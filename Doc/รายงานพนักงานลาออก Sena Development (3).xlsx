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ายชื่อพนักงานลาออกพ้นสภาพ" sheetId="1" r:id="rId5"/>
    <sheet state="visible" name="เลขที่เอกสารใบลาออก" sheetId="2" r:id="rId6"/>
    <sheet state="visible" name="รายชื่อพนักงานย้ายสังกัด" sheetId="3" r:id="rId7"/>
    <sheet state="visible" name="พนักงานลาออกพ้นสภาพ(2567-2568)" sheetId="4" r:id="rId8"/>
    <sheet state="hidden" name="ผู้ใช้งานคอมพิวเตอร์สำนักงานใหญ" sheetId="5" r:id="rId9"/>
    <sheet state="hidden" name="พนักงานที่ทำงานอยู่ปัจจุบัน" sheetId="6" r:id="rId10"/>
    <sheet state="hidden" name="ตรวจสอบ Licence พนักงานใช้ PC" sheetId="7" r:id="rId11"/>
    <sheet state="hidden" name="Query" sheetId="8" r:id="rId12"/>
    <sheet state="hidden" name="การใช้งานคอมพิวเตอร์" sheetId="9" r:id="rId13"/>
    <sheet state="hidden" name="PCRent" sheetId="10" r:id="rId14"/>
    <sheet state="hidden" name="MonitorRent" sheetId="11" r:id="rId15"/>
  </sheets>
  <definedNames/>
  <calcPr/>
</workbook>
</file>

<file path=xl/sharedStrings.xml><?xml version="1.0" encoding="utf-8"?>
<sst xmlns="http://schemas.openxmlformats.org/spreadsheetml/2006/main" count="66497" uniqueCount="18105">
  <si>
    <t>ลำดับ</t>
  </si>
  <si>
    <t>รหัสพนักงาน</t>
  </si>
  <si>
    <t>ชื่อ - สกุล</t>
  </si>
  <si>
    <t>ตำแหน่ง</t>
  </si>
  <si>
    <t>แผนก</t>
  </si>
  <si>
    <t>E-Mail</t>
  </si>
  <si>
    <t>ทำงานวันสุดท้าย     ( วัน-เดือน-ปี )</t>
  </si>
  <si>
    <t>วันที่พ้นสภาพ            ( วัน-เดือน-ปี )</t>
  </si>
  <si>
    <t>สถานะการลาออก/พ้นสภาพ</t>
  </si>
  <si>
    <t>สถานะการตรวจสอบเอกสาร</t>
  </si>
  <si>
    <t>สถานะการปิดลาออกจาก HR Online</t>
  </si>
  <si>
    <t>ปัจจัยการลาออก (For Report)</t>
  </si>
  <si>
    <t>เหตุผลการลาออก</t>
  </si>
  <si>
    <t xml:space="preserve">ลบข้อมูล Email
</t>
  </si>
  <si>
    <t>ลบข้อมูลระบบ REM</t>
  </si>
  <si>
    <t>ลบข้อมูลระบบ CMS</t>
  </si>
  <si>
    <t>BK650037</t>
  </si>
  <si>
    <t xml:space="preserve">นายกษมา ชาญวิบูลย์ </t>
  </si>
  <si>
    <t>8659 พนักงานขับรถส่วนกลาง</t>
  </si>
  <si>
    <t>แผนกยานพาหนะ</t>
  </si>
  <si>
    <t>kasamac@sena.co.th</t>
  </si>
  <si>
    <t>ยกเลิกลาออก</t>
  </si>
  <si>
    <t>ส่งเอกสารถึงพนักงาน</t>
  </si>
  <si>
    <t>ปัจจัยที่ 2 ความสัมพันธ์และบุคคลากรในองค์กร</t>
  </si>
  <si>
    <t>????</t>
  </si>
  <si>
    <t>ลาออก</t>
  </si>
  <si>
    <t>BK680355</t>
  </si>
  <si>
    <t xml:space="preserve">นายวิทยา จงบรรจบ </t>
  </si>
  <si>
    <t>7501 โฟร์แมนควบคุมงาน</t>
  </si>
  <si>
    <t>นิช โมโน เมกะ สเปซ บางนา</t>
  </si>
  <si>
    <t>witthayaj@sena.co.th</t>
  </si>
  <si>
    <t>ปิดลาออกแล้ว</t>
  </si>
  <si>
    <t>BK680275</t>
  </si>
  <si>
    <t>นายปวเรศ ปัญจศิลป์</t>
  </si>
  <si>
    <t>7406 เจ้าหน้าที่สนับสนุนการตลาด</t>
  </si>
  <si>
    <t>แผนกการตลาดบ้าน 1C</t>
  </si>
  <si>
    <t>pavaretp@sena.co.th</t>
  </si>
  <si>
    <t>ได้รับเอกสารแล้ว</t>
  </si>
  <si>
    <t>ปัจจัยที่ 3 งานในหน้าที่</t>
  </si>
  <si>
    <t>SSG</t>
  </si>
  <si>
    <t>VMS680102</t>
  </si>
  <si>
    <t>นางสาวชิรัชยา   สุรรัตน์</t>
  </si>
  <si>
    <t>5859 ผู้จัดการอาคาร</t>
  </si>
  <si>
    <t>แผนกอาคารชุด เสนาคิทท์ พหลโยธิน - นวนคร เฟส 1</t>
  </si>
  <si>
    <t>chiratchayas@senxgroup.com</t>
  </si>
  <si>
    <t>BK680400</t>
  </si>
  <si>
    <t>นายดนัยเดช สวายประโคน</t>
  </si>
  <si>
    <t>5555 วิศวกรไฟฟ้า</t>
  </si>
  <si>
    <t>เสนาคิทท์ สำโรง อินเตอร์เชนจ์</t>
  </si>
  <si>
    <t>danaydechs@sena.co.th</t>
  </si>
  <si>
    <t>ปัจจัยที่ 5 โอกาสในการเติบโต/พัฒนา</t>
  </si>
  <si>
    <t>VMS680318</t>
  </si>
  <si>
    <t>นางสาวกนกวรรณ  แห้วดี</t>
  </si>
  <si>
    <t>6759 เจ้าหน้าที่บัญชีปิดงบอาวุโส</t>
  </si>
  <si>
    <t>ฝ่ายบัญชีและการเงิน</t>
  </si>
  <si>
    <t>kanokwanh@senxgroup.com</t>
  </si>
  <si>
    <t>รายละเอียดค่อนข้างเยอะ มีความซับซ้อนต้องใช้เวลา และมีกำหนดส่งงานที่ค่อนข้างกระชันชิดในแต่ละเดือน</t>
  </si>
  <si>
    <t>BK680590</t>
  </si>
  <si>
    <t xml:space="preserve">น.ส.นันทิภา รัตนมาตย์ </t>
  </si>
  <si>
    <t>7504 เจ้าหน้าที่ธุรการโครงการ</t>
  </si>
  <si>
    <t>โคซี่ รามอินทรา - คู้บอน</t>
  </si>
  <si>
    <t>nuntipar@sena.co.th</t>
  </si>
  <si>
    <t>ปัจจัยที่ 6 ความจำเป็นส่วนตัว</t>
  </si>
  <si>
    <t>BK680637</t>
  </si>
  <si>
    <t xml:space="preserve">นายพิฆเนศ ถาวรพงศ์สถิต </t>
  </si>
  <si>
    <t>6401 เจ้าหน้าที่ขายและสินเชื่ออาวุโส</t>
  </si>
  <si>
    <t>เสนา วิลเลจ รามอินทรา กม.9</t>
  </si>
  <si>
    <t>pikanatet@sena.co.th</t>
  </si>
  <si>
    <t>ปัจจัยที่ 7 Probation (ไม่ผ่านทดลองงาน)</t>
  </si>
  <si>
    <t>VMS670135</t>
  </si>
  <si>
    <t>นายวิณัฐ  โภคา</t>
  </si>
  <si>
    <t>8857 ช่างเทคนิค</t>
  </si>
  <si>
    <t>แผนกอาคารชุด เดอะ ทรี อินเตอร์เชนจ์</t>
  </si>
  <si>
    <t>winutp@senxgroup.com</t>
  </si>
  <si>
    <t>ปัจจัยที่ 9 เหตุผลอื่น ๆ</t>
  </si>
  <si>
    <t>หมดสัญญาบริหารโครงการ</t>
  </si>
  <si>
    <t>BK600104</t>
  </si>
  <si>
    <t>น.ส.อนันตญา มินตา</t>
  </si>
  <si>
    <t>4563 วิศวกรประมาณราคาอาวุโส</t>
  </si>
  <si>
    <t>แผนกสถาปัตย์คอนโด 1,2</t>
  </si>
  <si>
    <t>anantayam@sena.co.th</t>
  </si>
  <si>
    <t>ประกอบธุรกิจส่วนตัวกับครอบครัวที่ชลบุรี เป็นผู้รับเหมา</t>
  </si>
  <si>
    <t>BK680561</t>
  </si>
  <si>
    <t xml:space="preserve">น.ส.สุพัฒตรา พุ่มจิ๋ว </t>
  </si>
  <si>
    <t>เสนาคิทท์ บางนา - ก.ม.29 เฟส 1,2</t>
  </si>
  <si>
    <t>Suphattrap@sena.co.th</t>
  </si>
  <si>
    <t>ปัจจัยที่ 4 องค์กร</t>
  </si>
  <si>
    <t>BK680564</t>
  </si>
  <si>
    <t xml:space="preserve">น.ส.เขมจิรา บุญคำ </t>
  </si>
  <si>
    <t>8501 พนักงานธุรการโครงการ</t>
  </si>
  <si>
    <t>เสนา พาร์ค แกรนด์  รามอินทรา เฟส 2</t>
  </si>
  <si>
    <t>Khemjirab@sena.co.th</t>
  </si>
  <si>
    <t>VMS680181</t>
  </si>
  <si>
    <t>นางสาวณัฐวรรณ  ศิริปรุ</t>
  </si>
  <si>
    <t>7853 เจ้าหน้าที่บัญชีนิติบุคคล</t>
  </si>
  <si>
    <t>แผนกบัญชีแนวราบ</t>
  </si>
  <si>
    <t>nattawans@senxgroup.com</t>
  </si>
  <si>
    <t>ปัจจัยที่ 1 ผลตอบแทนการทำงาน</t>
  </si>
  <si>
    <t>1.ต้องทำงานของคนเก่าที่ลาออกไม่ได้ต่องานกันซึ่งทำงานให้งานมีที่มีอยู่ปัจจุบันปิดงบไม่ทัน 2. ได้งานใหม่เงินเดือนเพิ่มจากเดิม 5,000 บาท</t>
  </si>
  <si>
    <t>VMS680078</t>
  </si>
  <si>
    <t>นางสาวณัฐชนท  เรืองทรัพย์บำรุง</t>
  </si>
  <si>
    <t>5754 ผู้ช่วยหัวหน้าแผนกบัญชีลูกหนี้</t>
  </si>
  <si>
    <t>แผนกการเงินรับ</t>
  </si>
  <si>
    <t>natchanontr@senxgroup.com</t>
  </si>
  <si>
    <t>เนื่องจากต้องกลับย้ายกลับไปอยู่บ้านต่างจังหวัดกำแพงเพชร ทำธุรกิจส่วนตัวทำขนมขาย</t>
  </si>
  <si>
    <t>VMS670136</t>
  </si>
  <si>
    <t>นายเทิดศักดิ์  ขันโอฬาร</t>
  </si>
  <si>
    <t>terdsakk@senxgroup.com</t>
  </si>
  <si>
    <t>VMS680145</t>
  </si>
  <si>
    <t>นายอานนท์  เส้งคล้าย</t>
  </si>
  <si>
    <t>7855 หัวหน้าช่างประจำอาคาร</t>
  </si>
  <si>
    <t>แผนกอาคารชุด ไอ-เฮาส์ ลากูน่า การ์เด้น</t>
  </si>
  <si>
    <t>arnons@senxgroup.com</t>
  </si>
  <si>
    <t xml:space="preserve">ได้งานใหม่  บริษัท ลีฟ อัลติเมท แวลูส์ จำกัด  เงินเดือนเพิ่มขึ้น 7,000 บาท ดูโครงการห้องจำนวน 1,400 ห้อง  </t>
  </si>
  <si>
    <t>BK680219</t>
  </si>
  <si>
    <t xml:space="preserve">น.ส.ฤชาลักษณ์ จิตอารี </t>
  </si>
  <si>
    <t>33 ผู้จัดการ</t>
  </si>
  <si>
    <t>ฝ่ายบริหารการขายคอนโด 4A</t>
  </si>
  <si>
    <t>luachaluckj@sena.co.th</t>
  </si>
  <si>
    <t>ลาออกไม่ครบ 30 วัน</t>
  </si>
  <si>
    <t>VMS680109</t>
  </si>
  <si>
    <t>นายเศรษฐวุฒิ  สอนง่าย</t>
  </si>
  <si>
    <t>8855 ช่างประจำอาคาร</t>
  </si>
  <si>
    <t>แผนกอาคารชุด เสนาคิทท์ รังสิต - ติวานนท์</t>
  </si>
  <si>
    <t>sethtawuts@senxgroup.com</t>
  </si>
  <si>
    <t>ได้งานใหม่เงินเดือนเพิ่ม จากเดิม 2,000 บาทและเลื่อนตำแหน่งจาก Officer เป็น Senior ทำงานกับบริษัท โนเบิ้ล</t>
  </si>
  <si>
    <t>VMS680329</t>
  </si>
  <si>
    <t>นางสาวดวงธิดา  วัฒนกุล</t>
  </si>
  <si>
    <t>7854 เจ้าหน้าที่นิติบุคคล</t>
  </si>
  <si>
    <t>แผนกอาคารชุด โชคชัยร่วมมิตร คอนโด</t>
  </si>
  <si>
    <t>duangtidaw@senxgroup.com</t>
  </si>
  <si>
    <t>ทำธุรกิจกับครอบครัวเปิดร้านกาแฟ</t>
  </si>
  <si>
    <t>VMS680184</t>
  </si>
  <si>
    <t>นายพะเยาว์  พุทธสีมา</t>
  </si>
  <si>
    <t>แผนกอาคารชุด นิช โมโน รามคำแหง</t>
  </si>
  <si>
    <t>payaop@senxgroup.com</t>
  </si>
  <si>
    <t>ไปทำธุรกิจประเภทรับเหมาก่อสร้าง</t>
  </si>
  <si>
    <t>VMS680237</t>
  </si>
  <si>
    <t>นายอุทิศ  สุจำนงค์</t>
  </si>
  <si>
    <t>แผนกอาคารชุด แมเนอร์ สนามบินน้ำ</t>
  </si>
  <si>
    <t>autids@senxgroup.com</t>
  </si>
  <si>
    <t>VMS670037</t>
  </si>
  <si>
    <t>นายจักรกฤษ์  ธรรมวงศ์</t>
  </si>
  <si>
    <t>แผนกอาคารชุด เวรี่ ลาซาล สุขุมวิท 105</t>
  </si>
  <si>
    <t>jukkritt@senxgroup.com</t>
  </si>
  <si>
    <t xml:space="preserve">เหตุผลเนื่องจากผ่านมาไม่มีการปรับเงินเดือน ทำให้ตัดสินใจลาออก  </t>
  </si>
  <si>
    <t>VMS680183</t>
  </si>
  <si>
    <t>นายพีรพัฒน์  อภัยพิพัฒน์</t>
  </si>
  <si>
    <t>แผนกอาคารชุด แอทโมซ รัชดา - ห้วยขวาง</t>
  </si>
  <si>
    <t>peerapata@senxgroup.com</t>
  </si>
  <si>
    <t xml:space="preserve">เหตุุผลที่ลาออกเนื่องจาก ติดเรียนวันเสาร์- อาทิตย์  </t>
  </si>
  <si>
    <t>BK670055</t>
  </si>
  <si>
    <t>น.ส.รัชนีกร แพงทรัพย์</t>
  </si>
  <si>
    <t>7759 เจ้าหน้าที่บัญชีปิดงบ</t>
  </si>
  <si>
    <t>แผนกบัญชีต้นทุน</t>
  </si>
  <si>
    <t>ratchaneekornp@sena.co.th</t>
  </si>
  <si>
    <t>VMS680130</t>
  </si>
  <si>
    <t>นายรัตนชัย  พลช่วย</t>
  </si>
  <si>
    <t>แผนกอาคารชุด เสนาคิทท์ เทพารักษ์ - บางบ่อ 2</t>
  </si>
  <si>
    <t>rattanachaip@senxgroup.com</t>
  </si>
  <si>
    <t>กลับบ้านต่างจังหวัดไปดูแลพ่อที่ป่วยเนื่องจากพิษราเดินไม่ได้ตอนนี้รักษาตัวอยู่ที่โรงพยาบาล</t>
  </si>
  <si>
    <t>VMS680113</t>
  </si>
  <si>
    <t>นางสาวกุสุมา  เล้าสูงเนิน</t>
  </si>
  <si>
    <t>แผนกการเงินจ่าย</t>
  </si>
  <si>
    <t>kusumal@senxgroup.com</t>
  </si>
  <si>
    <t>เหตุผลเนื่องจากขั้นตอนการทำงานที่ซับซ้อน ปรับเปลี่ยนตลอดทำให้งานที่ทำวนไปวนมา เหมือนการทำงานไม่มี Flow การทำงาน และ ได้งานใหม่ซึ่งที่ใหม่ให้เดือนเพิ่ม 5,000 บาท + เงินค่าไม่สาย ไม่ลา ไม่ขาดงาน อีก 1,000 บาท</t>
  </si>
  <si>
    <t>VMS670162</t>
  </si>
  <si>
    <t>นางสาววิภารัตน์  ตระกูลสัมพันธ์</t>
  </si>
  <si>
    <t>แผนกอาคารชุด เดอะ เชดด์ สาทร 1</t>
  </si>
  <si>
    <t>wiparattr@senxgroup.com</t>
  </si>
  <si>
    <t>เนื่องจากต้องย้ายไปอยู่ต่างจังหวัดกับพี่สาวที่ชลบุรี และ ต้องการทำงานในรูปแบบ Office ทำงาน 5 วัน ได้หยุดเสาร์  - อาทิตย์</t>
  </si>
  <si>
    <t>BK680663</t>
  </si>
  <si>
    <t xml:space="preserve">น.ส.กิรณา ครองศิริ </t>
  </si>
  <si>
    <t>7401 เจ้าหน้าที่ขายและสินเชื่อ</t>
  </si>
  <si>
    <t>นิช โมโน บางโพ</t>
  </si>
  <si>
    <t>kiranak@sena.co.th</t>
  </si>
  <si>
    <t>VMS620164</t>
  </si>
  <si>
    <t>นางสาวปนัดดา  อยู่แขก</t>
  </si>
  <si>
    <t>แผนกอาคารชุด เวนโต้ คอนโด เกษตร นวมินทร์</t>
  </si>
  <si>
    <t>panadday@senxgroup.com</t>
  </si>
  <si>
    <t>VMS680278</t>
  </si>
  <si>
    <t>นายสิรวิชญ์  หวังสมนึก</t>
  </si>
  <si>
    <t>sirawitw@senxgroup.com</t>
  </si>
  <si>
    <t>ไม่ผ่านทดลองงาน</t>
  </si>
  <si>
    <t>VMS680301</t>
  </si>
  <si>
    <t>นายศุภชัย  มานะผล</t>
  </si>
  <si>
    <t>supachaim@senxgroup.com</t>
  </si>
  <si>
    <t>VMS670300</t>
  </si>
  <si>
    <t>นางสาวศิริพรรณ  จิตรชัยภูมิ</t>
  </si>
  <si>
    <t>แผนกอาคารชุด นิช โมโน พระราม 9</t>
  </si>
  <si>
    <t>siripunj@senxgroup.com</t>
  </si>
  <si>
    <t xml:space="preserve">ได้งานที่ใหม่เดินทางใกล้บ้าน เงินเดือนเพิ่มจากเดิม 1,500 บาท ทำงานไม่มีปัญหา </t>
  </si>
  <si>
    <t>VMS680177</t>
  </si>
  <si>
    <t>นายพิพัฒพงษ์  ชัยสุวรรณ</t>
  </si>
  <si>
    <t>pipatpongc@senxgroup.com</t>
  </si>
  <si>
    <t xml:space="preserve">ได้งานใหม่ทำในตำแหน่งธุรการจัดซื้อ เป็นโรงงานจะมี OT  ซึ่งได้เงินเดือนเพิ่มจากเดิม 2,500 บาท </t>
  </si>
  <si>
    <t>SX680017</t>
  </si>
  <si>
    <t>นางสาวปุณยนุช  สืบนุกูล</t>
  </si>
  <si>
    <t>7754 เจ้าหน้าที่บัญชีลูกหนี้</t>
  </si>
  <si>
    <t xml:space="preserve">แผนกบัญชีลูกหนี้  </t>
  </si>
  <si>
    <t>poonyanuchs@senxgroup.com</t>
  </si>
  <si>
    <t>BK680553</t>
  </si>
  <si>
    <t xml:space="preserve">น.ส.ดวงจันทร์ วงทองนิล </t>
  </si>
  <si>
    <t>เสนา วิลล์ ลำลูกกา - คลอง 6</t>
  </si>
  <si>
    <t>duangjanw@sena.co.th</t>
  </si>
  <si>
    <t>BK680394</t>
  </si>
  <si>
    <t xml:space="preserve">นายสุรกานต์ หาญตระกูล </t>
  </si>
  <si>
    <t>5501 วิศวกรสนาม</t>
  </si>
  <si>
    <t>surakanh@sena.co.th</t>
  </si>
  <si>
    <t>BK680654</t>
  </si>
  <si>
    <t>นายพิชชากร ชอุ่มผล</t>
  </si>
  <si>
    <t>เสนา วิลเลจ บางนา - กม.29</t>
  </si>
  <si>
    <t>pichchakornc@sena.co.th</t>
  </si>
  <si>
    <t>ต้นสังกัดแจ้งทางเมล์</t>
  </si>
  <si>
    <t>SMF670005</t>
  </si>
  <si>
    <t>นางสาววันวิสาข์  พลอยประเสริฐ</t>
  </si>
  <si>
    <t>7974 เจ้าหน้าที่ประสานงาน</t>
  </si>
  <si>
    <t>แผนกค้าปลีกและพัฒนาผลิตภัณฑ์ (Smartify)</t>
  </si>
  <si>
    <t>wanwisap@senxgroup.com</t>
  </si>
  <si>
    <t>ได้งานใหม่เป็น  หน่วยงานรัฐวิสาหกิจ มีสวัสดิการเบิกค่ารักษาได้</t>
  </si>
  <si>
    <t>VMS680272</t>
  </si>
  <si>
    <t>นางสาวขณิตา   โพติยะ</t>
  </si>
  <si>
    <t>แผนกอาคารชุด เสนาคิทท์ เทพารักษ์ - บางบ่อ 1</t>
  </si>
  <si>
    <t>khanitap@senxgroup.com</t>
  </si>
  <si>
    <t>VMS650116</t>
  </si>
  <si>
    <t>นางสาวมณีรัตน์  ภูจักนิล</t>
  </si>
  <si>
    <t>แผนกอาคารชุด เฟล็กซี่ รัตนาธิเบศร์</t>
  </si>
  <si>
    <t>maneerutp@senxgroup.com</t>
  </si>
  <si>
    <t xml:space="preserve">ได้งานใหม่ ที่บริษัท SC Asset  เงินเดือนเพิ่มจากเดิม ประมาณ 4,000 บาท </t>
  </si>
  <si>
    <t>BK680301</t>
  </si>
  <si>
    <t xml:space="preserve">นายนิพนธ์ ราชโยธา </t>
  </si>
  <si>
    <t>34 ผู้จัดการโครงการ</t>
  </si>
  <si>
    <t>ฝ่ายบริหารโครงการคอนโด 11C</t>
  </si>
  <si>
    <t>niponr@sena.co.th</t>
  </si>
  <si>
    <t>BK680244</t>
  </si>
  <si>
    <t xml:space="preserve">นายคณิตกุล เทอดรัตนเกียรติ </t>
  </si>
  <si>
    <t>เฟล็กซี่ รัตนาธิเบศร์</t>
  </si>
  <si>
    <t>kanitkult@sena.co.th</t>
  </si>
  <si>
    <t>BK680287</t>
  </si>
  <si>
    <t>น.ส.กัญญ์สชาญ์ ชัยธนัตถ์โชค</t>
  </si>
  <si>
    <t>8401 พนักงานขายและสินเชื่อ</t>
  </si>
  <si>
    <t>บ้านบูรพา พราวน์ทาวน์ บ่อวิน</t>
  </si>
  <si>
    <t>kansachac@sena.co.th</t>
  </si>
  <si>
    <t>VMS680305</t>
  </si>
  <si>
    <t>นายธนวัช  ศรีปลั่ง</t>
  </si>
  <si>
    <t>แผนกอาคารชุด นิช โมโน สุขุมวิท - ปู่เจ้า</t>
  </si>
  <si>
    <t>thanawats@senxgroup.com</t>
  </si>
  <si>
    <t>VMS680315</t>
  </si>
  <si>
    <t>นางสาวฐัชชนันท์  ธาระผล</t>
  </si>
  <si>
    <t>แผนกมาตรฐานโครงการใหม่</t>
  </si>
  <si>
    <t>thatchanant@senxgroup.com</t>
  </si>
  <si>
    <t>ปลดออก</t>
  </si>
  <si>
    <t>BK650266</t>
  </si>
  <si>
    <t xml:space="preserve">นายศักดิ์สิทธิ์ รัตนภักดี </t>
  </si>
  <si>
    <t>7973 ช่างซ่อมบำรุง</t>
  </si>
  <si>
    <t>แผนกอาคารสถานที่</t>
  </si>
  <si>
    <t>saksitr@sena.co.th</t>
  </si>
  <si>
    <t>VMS690020</t>
  </si>
  <si>
    <t>นางสาวกรรณิการ์  น้อยวิไล</t>
  </si>
  <si>
    <t>แผนกอาคารชุด นิช โมโน แจ้งวัฒนะ</t>
  </si>
  <si>
    <t>kannikan@senxgroup.com</t>
  </si>
  <si>
    <t>VMS680372</t>
  </si>
  <si>
    <t>นายอรรถโรบล  เกิดมนตรี</t>
  </si>
  <si>
    <t>auttororong@senxgroup.com</t>
  </si>
  <si>
    <t>ไม่ผ่านทดลองงาน / เนื่องจากบกพร่องต่อหน้าที่ไม่มีการตรวจปั้มน้ำ และ กรรมการที่โครงการขอให้เปลี่ยนตัว</t>
  </si>
  <si>
    <t>VMS690008</t>
  </si>
  <si>
    <t>นายวรวุธ   งามเนตร</t>
  </si>
  <si>
    <t>แผนกอาคารชุด เดอะนิช ไพรด์ ทองหล่อ - เพชรบุรี</t>
  </si>
  <si>
    <t>worawutn@senxgroup.com</t>
  </si>
  <si>
    <t>BK680200</t>
  </si>
  <si>
    <t xml:space="preserve">น.ส.โชติรัตน์ สว่างวงษ์ </t>
  </si>
  <si>
    <t>6402 เจ้าหน้าที่การตลาดอาวุโส</t>
  </si>
  <si>
    <t>ฝ่ายบริหารการตลาดคอนโด 2B</t>
  </si>
  <si>
    <t>chotirats@sena.co.th</t>
  </si>
  <si>
    <t>BK670057</t>
  </si>
  <si>
    <t xml:space="preserve">นายอัฐพล บุญค่ำชู </t>
  </si>
  <si>
    <t>3601 ผู้ชำนาญการ 1</t>
  </si>
  <si>
    <t>ฝ่าย Project Management Strategy</t>
  </si>
  <si>
    <t>oatthaphonb@sena.co.th</t>
  </si>
  <si>
    <t>VMS680118</t>
  </si>
  <si>
    <t>นายนาธาน  สาเฮาะ</t>
  </si>
  <si>
    <t>nathans@senxgroup.com</t>
  </si>
  <si>
    <t>กลับต่างจังหวัดไปอยู่ใต้ แต่งงาน และ ไปเกณฑ์ทหาร</t>
  </si>
  <si>
    <t>VMS680312</t>
  </si>
  <si>
    <t>นางสาวพิชญาภา  พรมประเสริฐ</t>
  </si>
  <si>
    <t>pichayaphap@senxgroup.com</t>
  </si>
  <si>
    <t>ได้งานใหม่เงินเดือนเพิ่มขึ้น  และทำใหม่ที่ทำงานใกล้บ้านทำให้ประหยัดค่าเดินทาง</t>
  </si>
  <si>
    <t>SGA680006</t>
  </si>
  <si>
    <t xml:space="preserve">นายมานพ ศรีวิไลเลิศ </t>
  </si>
  <si>
    <t>4403 หัวหน้างานขาย</t>
  </si>
  <si>
    <t>แผนกขาย</t>
  </si>
  <si>
    <t>manops@senasolarenergy.com</t>
  </si>
  <si>
    <t>VMS680357</t>
  </si>
  <si>
    <t>นายณคเรศ  ดอกมณฑา</t>
  </si>
  <si>
    <t>แผนกอาคารชุด เสนาคิทท์ ศรีนครินทร์ - ศรีด่าน</t>
  </si>
  <si>
    <t>nakaretd@senxgroup.com</t>
  </si>
  <si>
    <t>ได้งานใหม่ ซึ่งเงินเดือนเพิ่มจากเดิม 2,000 บาท และเหตุผลเพิ่มจำนวนบุคคลากรตำแหน่งธุรการไม่เพียงพอ ทำให้ต้องมาช่วยแยกพัสดุ</t>
  </si>
  <si>
    <t>VMS690014</t>
  </si>
  <si>
    <t>นางสาวชัญญนัท  ภู่อารีย์</t>
  </si>
  <si>
    <t>chanyanatp@senxgroup.com</t>
  </si>
  <si>
    <t>โทรติดต่อไม่ได้</t>
  </si>
  <si>
    <t>VMS650087</t>
  </si>
  <si>
    <t>นางสาวสินจัย   ชัยศรี</t>
  </si>
  <si>
    <t>8854 พนักงานนิติบุคคล</t>
  </si>
  <si>
    <t>แผนกอาคารชุด เอ สเปซ มี บางนา</t>
  </si>
  <si>
    <t>sinjaic@senxgroup.com</t>
  </si>
  <si>
    <t>ได้งานใหม่เงินเดือนเพ่ิม 3,000 บาท  และเหตุผลเพิ่มให้มาทำในตำแหน่ง ผจก. บอกจะมีการปรับตำแหน่ง และปรับเงินเดือนให้ แต่ไม่ได้มีการปรับตามที่แจ้ง</t>
  </si>
  <si>
    <t>VMS690006</t>
  </si>
  <si>
    <t>นายวิฑูรย์  หิรัญสุข</t>
  </si>
  <si>
    <t>withunh@senxgroup.com</t>
  </si>
  <si>
    <t>กระบวนการทำงานเอกสารจากหน้างานไม่ครบถ้วน ส่งเอกสารไป - กลับ ทำให้ไม่ทันรอบของเอกสาร</t>
  </si>
  <si>
    <t>SX670017</t>
  </si>
  <si>
    <t>นายตรึก  โตบัณฑิตย์</t>
  </si>
  <si>
    <t>6501 โฟร์แมนควบคุมงานอาวุโส</t>
  </si>
  <si>
    <t>เสนา วิลล์ วงแหวน - บางบัวทอง</t>
  </si>
  <si>
    <t>trukt@senxgroup.com</t>
  </si>
  <si>
    <t>เนื่องจากมีปัญญาเรื่องสุขภาพ ด้านดวงตา</t>
  </si>
  <si>
    <t>VMS680085</t>
  </si>
  <si>
    <t>นายอาโมทย์  พิมสิม</t>
  </si>
  <si>
    <t>แผนกอาคารชุด ปีติ สุขุมวิท 101</t>
  </si>
  <si>
    <t>armotep@senaxgroup.com</t>
  </si>
  <si>
    <t>ได้งานใหม่ หยุดเสาร์ - อาทิตย์  ซึ่งได้ทำงานที่เดียวกับที่แฟนทำงาน เป็นบริษัท ผลิตโซล่าเซลล์</t>
  </si>
  <si>
    <t>VMS680336</t>
  </si>
  <si>
    <t>นายธนะวัตร  แพร่งสุวรรณ์</t>
  </si>
  <si>
    <t>thanawatp@senxgroup.com</t>
  </si>
  <si>
    <t>เนื่องจากให้ย้ายไปประจำโครงการอื่น เหตุผลเรื่องการเดินทางไกล ปัจจุบันพักแถวลาดพร้าว 110  ซึ่งโครงการที่ย้ายมาอยู่แถววิภาวดีรังสิตการเดินทางไกล</t>
  </si>
  <si>
    <t>BK680589</t>
  </si>
  <si>
    <t xml:space="preserve">น.ส.อัญพัชญ์ พีระภักดีพงศ์ </t>
  </si>
  <si>
    <t>23 ผู้อำนวยการ</t>
  </si>
  <si>
    <t>สายงานบริหารการขาย และการตลาดคอนโด 4</t>
  </si>
  <si>
    <t>aunyapachp@sena.co.th</t>
  </si>
  <si>
    <t>BK680226</t>
  </si>
  <si>
    <t>น.ส.ฐิตาภรณ์ ยวงทอง</t>
  </si>
  <si>
    <t>5404 ผู้ช่วยหัวหน้างานขายและสินเชื่อ</t>
  </si>
  <si>
    <t>โคซี่ บีทีเอส สะพานใหม่</t>
  </si>
  <si>
    <t>thitaporny@sena.co.th</t>
  </si>
  <si>
    <t>VMS680289</t>
  </si>
  <si>
    <t>นางสาวพรพรหม  ชาญชัย</t>
  </si>
  <si>
    <t>แผนกอาคารชุด เฟล็กซี่ สาทร - เจริญนคร เฟส 2</t>
  </si>
  <si>
    <t>pornpromc@senxgroup.com</t>
  </si>
  <si>
    <t>SP680031</t>
  </si>
  <si>
    <t>น.ส.ชลีรัตน์ สำรวล</t>
  </si>
  <si>
    <t>36 ผู้ช่วยผู้จัดการ</t>
  </si>
  <si>
    <t>chaleeruts@sena.co.th</t>
  </si>
  <si>
    <t>BK690003</t>
  </si>
  <si>
    <t xml:space="preserve">น.ส.กมลชนก ศุภวุฒิ </t>
  </si>
  <si>
    <t>7301 เจ้าหน้าที่จัดสรรเงินทุน</t>
  </si>
  <si>
    <t>แผนก Project Budgeting &amp; Budgeting Control</t>
  </si>
  <si>
    <t>kamonchanoksu@sena.co.th</t>
  </si>
  <si>
    <t>SSG670009</t>
  </si>
  <si>
    <t xml:space="preserve">นายกิตติภูมิ ฐิติโรจนเทพา </t>
  </si>
  <si>
    <t>8806 ผู้ช่วยช่าง</t>
  </si>
  <si>
    <t>ฝ่ายบำรุงรักษา</t>
  </si>
  <si>
    <t>kittipoomk@senasolarenergy.com</t>
  </si>
  <si>
    <t>SX680021</t>
  </si>
  <si>
    <t>นางสาวลัคนา  ไวเจริญกุล</t>
  </si>
  <si>
    <t>6601 เจ้าหน้าที่จัดซื้ออาวุโส</t>
  </si>
  <si>
    <t>แผนกทรัพย์สินสำนักงาน</t>
  </si>
  <si>
    <t>lakanaw@senxgroup.com</t>
  </si>
  <si>
    <t xml:space="preserve">ได้งานใหม่ ได้เงินเดือนเพิ่ม  3,000 บาท </t>
  </si>
  <si>
    <t>BK680171</t>
  </si>
  <si>
    <t>น.ส.สุภาพร แข่งขัน</t>
  </si>
  <si>
    <t>7405 เจ้าหน้าที่การตลาด</t>
  </si>
  <si>
    <t>สายงานบริหารการขาย และการตลาดคอนโด 1</t>
  </si>
  <si>
    <t>supapornk@sena.co.th</t>
  </si>
  <si>
    <t>SGA680015</t>
  </si>
  <si>
    <t xml:space="preserve">น.ส.ณัฐกานต์ รัตนกุล </t>
  </si>
  <si>
    <t>7988 เจ้าหน้าที่ธุรการขาย</t>
  </si>
  <si>
    <t>ฝ่ายลูกค้าสัมพันธ์</t>
  </si>
  <si>
    <t>nutthakarnr@senasolarenergy.com</t>
  </si>
  <si>
    <t>BK680158</t>
  </si>
  <si>
    <t>น.ส.วณิชชยา อายุโย</t>
  </si>
  <si>
    <t>7353 เจ้าหน้าที่ประสานงานขายและการตลาด</t>
  </si>
  <si>
    <t>สายงานบริหารการขายคอนโด 1</t>
  </si>
  <si>
    <t>wanitchayaa@sena.co.th</t>
  </si>
  <si>
    <t>VMS690016</t>
  </si>
  <si>
    <t>นายนนท์   จักรแก้ว</t>
  </si>
  <si>
    <t>nonj@senxgroup.com</t>
  </si>
  <si>
    <t>SGA690001</t>
  </si>
  <si>
    <t xml:space="preserve">น.ส.บุญยานุช หอมไกรลาศ </t>
  </si>
  <si>
    <t>7154 เจ้าหน้าที่ลูกค้าสัมพันธ์</t>
  </si>
  <si>
    <t>แผนกลูกค้าสัมพันธ์</t>
  </si>
  <si>
    <t>boonyanuth@senasolarenergy.com</t>
  </si>
  <si>
    <t>VMS680210</t>
  </si>
  <si>
    <t>นายปริทรรศ์  โพธิ์น้อยงาม</t>
  </si>
  <si>
    <t>แผนกอาคารชุด นิช โมโน อิสรภาพ</t>
  </si>
  <si>
    <t>pareetasp@senxgroup.com</t>
  </si>
  <si>
    <t>SPS670023</t>
  </si>
  <si>
    <t>นางสาวชนกนันท์  สายสิงห์</t>
  </si>
  <si>
    <t>ฝ่าย Inter Sales</t>
  </si>
  <si>
    <t>chanoknuns@senxgroup.com</t>
  </si>
  <si>
    <t>เนื่องจากไปทำร้านอาหารกับญาติ ที่ประเทศจีน</t>
  </si>
  <si>
    <t>VMS680227</t>
  </si>
  <si>
    <t>นายการุณย์  เอี่ยมสอาด</t>
  </si>
  <si>
    <t>5860 ผู้จัดการหมู่บ้าน</t>
  </si>
  <si>
    <t>แผนกหมู่บ้านจัดสรร โซนสำเพ็ง 2</t>
  </si>
  <si>
    <t>karoonl@senxgroup.com</t>
  </si>
  <si>
    <t>เนื่ื่องด้วยปริมาณงานที่ทำมีคนเดียวทำให้งานโหลด และเอกสารต้องไปให้คณะกรรมการเซ็นต์ซึ่งอยู่คนละที่ ทำให้เอกสารกว่าจะเซ็นต์ช้า</t>
  </si>
  <si>
    <t>VMS680012</t>
  </si>
  <si>
    <t>นางสาวจิรอร  จันทร์สว่าง</t>
  </si>
  <si>
    <t>jiraonj@sexgroup.com</t>
  </si>
  <si>
    <t>ได้งานใหม่เงินเพิ่มจากเดิม 1,000 บาท และเปลี่ยนสายงานเป็นตำแหน่งเจ้าหน้าที่จัดซื้อ</t>
  </si>
  <si>
    <t>VMS670387</t>
  </si>
  <si>
    <t>นายถวิลศักดิ์  รอดเรือง</t>
  </si>
  <si>
    <t>แผนกอาคารชุด อีส 2 พระราม 2</t>
  </si>
  <si>
    <t>tawinsakr@senxgroup.com</t>
  </si>
  <si>
    <t>กลับไปดูย่าที่ป่วยไม่มีคนดูแล ที่จังหวัดอำนาจเจริญ</t>
  </si>
  <si>
    <t>BK680521</t>
  </si>
  <si>
    <t xml:space="preserve">นายสุทธิพงษ์ ทองมี </t>
  </si>
  <si>
    <t>6558 เจ้าหน้าที่เขียนแบบอาวุโส</t>
  </si>
  <si>
    <t>แผนก Project Support</t>
  </si>
  <si>
    <t>suttipongt@sena.co.th</t>
  </si>
  <si>
    <t>VMS670120</t>
  </si>
  <si>
    <t>นายเมธาสิทธิ์  ถาปันแก้ว</t>
  </si>
  <si>
    <t>8254 ช่างเทคนิค</t>
  </si>
  <si>
    <t>แผนกอาคารชุด โมทีฟ คอนโด</t>
  </si>
  <si>
    <t>methasitt@senxgroup.com</t>
  </si>
  <si>
    <t>VMS690011</t>
  </si>
  <si>
    <t>นายอนุสรณ์  สังข์สกุล</t>
  </si>
  <si>
    <t>แผนกอาคารชุด เสนาคิทท์ เอ็มอาร์ที บางแค</t>
  </si>
  <si>
    <t>anusons@senxgroup.com</t>
  </si>
  <si>
    <t>ติดต่อไม่ได้ไม่รับสาย</t>
  </si>
  <si>
    <t>VMS690039</t>
  </si>
  <si>
    <t>นายธนัตถ์   ทรงวิริยะ</t>
  </si>
  <si>
    <t>แผนกอาคารชุด นิช โมโน บางโพ</t>
  </si>
  <si>
    <t>tanuts@senxgroup.com</t>
  </si>
  <si>
    <t>ได้งานใหม่ในสายงานที่เรียนมาวิศกรรมเครื่องกล  เป็นโรงงานคุมงานสายการผลิต</t>
  </si>
  <si>
    <t>SX690002</t>
  </si>
  <si>
    <t>นางพัชรพร  บัวดิศ</t>
  </si>
  <si>
    <t>7660 เจ้าหน้าที่ประชาสัมพันธ์</t>
  </si>
  <si>
    <t>แผนกบริหารข้อร้องเรียน</t>
  </si>
  <si>
    <t>patcharpornb@senxgroup.com</t>
  </si>
  <si>
    <t>VMS690060</t>
  </si>
  <si>
    <t>นายจักรพงษ์  แสนพล</t>
  </si>
  <si>
    <t>Jakkapongs@senxgroup.com</t>
  </si>
  <si>
    <t>VMS690047</t>
  </si>
  <si>
    <t>นายสิริวัฒน์  บุญราษฎร์</t>
  </si>
  <si>
    <t>แผนกอาคารชุด คอลเลซซิโอ สาทร - พิพัฒน์</t>
  </si>
  <si>
    <t>siriwatb@senxgroup.com</t>
  </si>
  <si>
    <t>VMS680364</t>
  </si>
  <si>
    <t>นางสาวนิชานันท์  สิทธิวรลักษณ์</t>
  </si>
  <si>
    <t>nichanuns@senxgroup.com</t>
  </si>
  <si>
    <t>SPS680005</t>
  </si>
  <si>
    <t>นางสาวนลินรัตน์  เอื้อโชคทวีวัฒน์</t>
  </si>
  <si>
    <t>7657 เจ้าหน้าที่ธุรการ</t>
  </si>
  <si>
    <t>แผนก RentNex</t>
  </si>
  <si>
    <t>nalinrata@senxgroup.com</t>
  </si>
  <si>
    <t>BK680662</t>
  </si>
  <si>
    <t>น.ส.ปวิตรา แสงรำไพ</t>
  </si>
  <si>
    <t>ปีติ สุขุมวิท 101</t>
  </si>
  <si>
    <t>pawitras@sena.co.th</t>
  </si>
  <si>
    <t>BK690021</t>
  </si>
  <si>
    <t>น.ส.ธันยารัศมิ์ ศุภประเสริฐ</t>
  </si>
  <si>
    <t>thanyarats@sena.co.th</t>
  </si>
  <si>
    <t>BK680294</t>
  </si>
  <si>
    <t xml:space="preserve">นายไพโรจน์ สินเพราะ </t>
  </si>
  <si>
    <t>สายงานบริหารโครงการคอนโด 11</t>
  </si>
  <si>
    <t>pairoajs@sena.co.th</t>
  </si>
  <si>
    <t>VMS680342</t>
  </si>
  <si>
    <t>นางสาวไพลิน  เชื้อวงษ์</t>
  </si>
  <si>
    <t>แผนกหมู่บ้านจัดสรร โซนรัตนาธิเบศร์ - บางบัวทอง</t>
  </si>
  <si>
    <t>pailinc@senxgroup.com</t>
  </si>
  <si>
    <t>รับผิดชอบ 4 โครง ทำให้ดูหน้าโครงการไม่ทั่วถึงและต้องวางระบบการทำงานใหม่ และ ในกรณีที่เจอปัญหาหัวหน้า AM ให้หาคำตอบจาก ผจก. คนอื่น</t>
  </si>
  <si>
    <t>VMS690034</t>
  </si>
  <si>
    <t>นางสาวสุลัดดา  แซ่เจีย</t>
  </si>
  <si>
    <t>8971 พนักงานต้อนรับและบริการ</t>
  </si>
  <si>
    <t>suladdas@senxgroup.com</t>
  </si>
  <si>
    <t>ต้องส่งอาหาร,ส่งของ,แบกน้ำแพ๊ค ส่งให้กับลูกบ้านทำให้ตอนนี้มีปัญหากับสุขภาพก้ามเนื้ออักเสบ</t>
  </si>
  <si>
    <t>แผนกอาคารชุด เสนาคิทท์ พหลโยธิน - นวนคร</t>
  </si>
  <si>
    <t xml:space="preserve">ต้องกลับต่างจังหวัดดูพ่อที่ป่วยนอนติดเตียง </t>
  </si>
  <si>
    <t>VMS680224</t>
  </si>
  <si>
    <t>นายจิตติ  แดงทิม</t>
  </si>
  <si>
    <t>chittid@senxgroup.com</t>
  </si>
  <si>
    <t>การเดินทางไกลบ้านปัจจุบันพักแถวดาวคะนอง  และมีค่าน้ำมันทีต้องเติมเดือนละประมาณ 6,000 บาท</t>
  </si>
  <si>
    <t>VMS670396</t>
  </si>
  <si>
    <t>นางสาววิภาวี  ปานรอด</t>
  </si>
  <si>
    <t>6851 ผู้ช่วยผู้จัดการอาคาร</t>
  </si>
  <si>
    <t>wipaweepa@senxgroup.com</t>
  </si>
  <si>
    <t>ได้งานใหม่ บ.LPP  เงินเดือนเพิ่ม 3,000 บาท  และ เดินทางไกลจากเดิมเนื่องจากปัจจุบันพัก 2 ที่ แถวพระราม 7  และ  จอมทอง</t>
  </si>
  <si>
    <t>BK680665</t>
  </si>
  <si>
    <t>น.ส.อลิสมาส เสงี่ยมวงศ์</t>
  </si>
  <si>
    <t>31.1 ผู้จัดการอาวุโส</t>
  </si>
  <si>
    <t>ฝ่ายบริหารการขายคอนโด 1E</t>
  </si>
  <si>
    <t>alissamass@sena.co.th</t>
  </si>
  <si>
    <t>BK680667</t>
  </si>
  <si>
    <t>น.ส.ปาณิสรา สงพะโยม</t>
  </si>
  <si>
    <t>6303 เจ้าหน้าที่กำกับดูแลอาวุโส</t>
  </si>
  <si>
    <t>แผนกกำกับดูแลกิจการ</t>
  </si>
  <si>
    <t>panisaras@sena.co.th</t>
  </si>
  <si>
    <t>SX680022</t>
  </si>
  <si>
    <t>นายภัทกร  น้อยหลุบเลา</t>
  </si>
  <si>
    <t>7252 เจ้าหน้าที่สนับสนุนงานคอมพิวเตอร์</t>
  </si>
  <si>
    <t>แผนกเทคโนโลยีสารสนเทศ</t>
  </si>
  <si>
    <t>pattakornn@senxgroup.com</t>
  </si>
  <si>
    <t>SSG650001</t>
  </si>
  <si>
    <t>นายกีรติ อับดุลย์</t>
  </si>
  <si>
    <t>ฝ่ายติดตั้ง</t>
  </si>
  <si>
    <t>Keeratia@senasolarenergy.com</t>
  </si>
  <si>
    <t>BK690018</t>
  </si>
  <si>
    <t xml:space="preserve">นายพีรภาส อ้นเล่ห์ </t>
  </si>
  <si>
    <t>แผนกบริหารการตลาดบ้าน 2B</t>
  </si>
  <si>
    <t>peerapaso@sena.co.th</t>
  </si>
  <si>
    <t>HP6680003</t>
  </si>
  <si>
    <t>นายพฤทธิ์พิชามญชุ์ อนุรักษ์สุนทร</t>
  </si>
  <si>
    <t>9023 หัวหน้าแผนกต้อนรับ</t>
  </si>
  <si>
    <t>พนักงาน SSB101</t>
  </si>
  <si>
    <t>VMS680313</t>
  </si>
  <si>
    <t>นางสาวอาริสา  พุ่มซ้อน</t>
  </si>
  <si>
    <t>แผนกอาคารชุด มาราเกช หัวหิน เรสซิเดนเซส</t>
  </si>
  <si>
    <t>arisap@senxgroup.com</t>
  </si>
  <si>
    <t>1.ได้งานใหม่ เงินเดือนเพิ่มจากเดิม 2,000 บาท 2.ปัจจุบันเดินทางไป-กลับ 100 โล เดินทางไกลจากบ้าน 3.ได้งานเป็นธุรกิจโรงแรม ซึ่งมีค่า Service เฉลี่ยต่อเดือนได้ประมาณ 20,000 บาท</t>
  </si>
  <si>
    <t>VMS680328</t>
  </si>
  <si>
    <t>นายสุรเชษฐ์  จูน้อย</t>
  </si>
  <si>
    <t>surachatj@senxgroup.com</t>
  </si>
  <si>
    <t xml:space="preserve">1.นโยบายการทำงานของ AM  ไม่ตรงกัน เนื่องจากเกิดเหตุการต้องเข้าประชุม ผจก. เข้าร่วมประชุมในกลุ่ม Line  แต่เข้าประชุมสายแจ้งว่าเหตุผลติดคุยเคสลูกบ้านเรื่องประกันเคลม </t>
  </si>
  <si>
    <t>VMS680370</t>
  </si>
  <si>
    <t>นางสาวณิฐิกานต์  สุทธิสอาด</t>
  </si>
  <si>
    <t>แผนกบัญชีและการเงิน</t>
  </si>
  <si>
    <t>nithikarns@senxgroup.com</t>
  </si>
  <si>
    <t>เนื่องจากไม่ผ่านทดลองงาน</t>
  </si>
  <si>
    <t>BK680666</t>
  </si>
  <si>
    <t xml:space="preserve">น.ส.ชนินาถ มะหะหมัด </t>
  </si>
  <si>
    <t>เสนา พาร์ค วิลล์ 2 รามอินทรา - วงแหวน</t>
  </si>
  <si>
    <t>chaninatm@sena.co.th</t>
  </si>
  <si>
    <t>VMS670092</t>
  </si>
  <si>
    <t>นายภูวนารถ   น้อยจันทร์</t>
  </si>
  <si>
    <t>bhumvanardn@senxgroup.com</t>
  </si>
  <si>
    <t>VMS660086</t>
  </si>
  <si>
    <t>นายอนุทิศ  เอี่ยมวิบูลย์</t>
  </si>
  <si>
    <t>แผนกอาคารชุด เฟรช คอนโดมิเนียม</t>
  </si>
  <si>
    <t>anutitl@Senxgroup.com</t>
  </si>
  <si>
    <t>ยังไม่ปิดลาออก</t>
  </si>
  <si>
    <t>VMS680369</t>
  </si>
  <si>
    <t>นายกีรติ   อติหฤทัยสุข</t>
  </si>
  <si>
    <t>แผนกอาคารชุด เฟล็กซี่ สาทร - เจริญนคร เฟส 1</t>
  </si>
  <si>
    <t>keeratia@senxgroup.com</t>
  </si>
  <si>
    <t>VMS680352</t>
  </si>
  <si>
    <t>นางสาวกนกวรรณ  พิกุลศรี</t>
  </si>
  <si>
    <t>แผนกอาคารชุด เสนาคิทท์ บีทีเอส สะพานใหม่</t>
  </si>
  <si>
    <t>kanokwanp@senxgroup.com</t>
  </si>
  <si>
    <t>VMS670128</t>
  </si>
  <si>
    <t>นางสาวณัฐกานต์  วิริยะดำรงกิจ</t>
  </si>
  <si>
    <t>natthakanw@senxgroup.com</t>
  </si>
  <si>
    <t>1.ได้งานใหม่เงินเดือนเพิ่มจากเดิม 2,000 บาท  2.เป็นโครงการที่บริหาของในเครือดุสิตธานี ชื่อโครงการมารค์ 3.ทำตำแหน่งธุรการ-การเงิน</t>
  </si>
  <si>
    <t>VMS670337</t>
  </si>
  <si>
    <t>นายกรกต  แสงเปล่ง</t>
  </si>
  <si>
    <t>korakods@senxgroup.com</t>
  </si>
  <si>
    <t>1. คนไม่พอทำให้ควบกะเช้า - บ่าย  2. บางวันต้องมานั่งที่ Reception แทน ถ้าลูกบ้านมาชำระค่าน้ำออกใบเสร็จไม่ได้</t>
  </si>
  <si>
    <t>BK680626</t>
  </si>
  <si>
    <t>นายณภัทร นาชัยคำ</t>
  </si>
  <si>
    <t>โคซี่ บีทีเอส ลาดพร้าว 107</t>
  </si>
  <si>
    <t>naphatn@sena.co.th</t>
  </si>
  <si>
    <t>SPS690012</t>
  </si>
  <si>
    <t>นางสาววลัยลักษณ์  กำเหนิดแก้ว</t>
  </si>
  <si>
    <t>walailakk@senxgroup.com</t>
  </si>
  <si>
    <t xml:space="preserve">งานที่ทำด้านอสังหาริมทรัพย์ไม่ถนัด กังวลงานออกมาไม่ดี </t>
  </si>
  <si>
    <t>VMS660130</t>
  </si>
  <si>
    <t>นางสาววริศรา  เลื่องลือวุฒิ</t>
  </si>
  <si>
    <t>แผนกหมู่บ้านจัดสรร โครงการ เสนา วีว่า เพชรเกษม - พุทธมณฑลสาย 7</t>
  </si>
  <si>
    <t>warisaral@senxgroup.com</t>
  </si>
  <si>
    <t>VMS680340</t>
  </si>
  <si>
    <t>นางสาวปาริตา  จันทร์ปา</t>
  </si>
  <si>
    <t>แผนกหมู่บ้านจัดสรร โครงการ เสนา วีว่า ฉลองกรุง - ลาดกระบัง</t>
  </si>
  <si>
    <t>paritac@senxgroup.com</t>
  </si>
  <si>
    <t>VMS680361</t>
  </si>
  <si>
    <t>นางสาวอินทุอร  คุสินธ์</t>
  </si>
  <si>
    <t>ฝ่ายบริหารอาคารศูนย์การค้า</t>
  </si>
  <si>
    <t>inthuonk@senxgroup.com</t>
  </si>
  <si>
    <t>VMS680356</t>
  </si>
  <si>
    <t>นายวรโชติ  เขียวน้อย</t>
  </si>
  <si>
    <t>vorachodk@senxgroup.com</t>
  </si>
  <si>
    <t>1. ไม่ถูกกับหัวหน้าช่าง   2. หลับในเวลางาน  3. นำน้ำกระท่อมมาในที่ทำงาน</t>
  </si>
  <si>
    <t>VMS670141</t>
  </si>
  <si>
    <t>นายณัฐพล  รัตนกิตติชัย</t>
  </si>
  <si>
    <t>natthaphonr@senxgroup.com</t>
  </si>
  <si>
    <t xml:space="preserve">1. ไม่ถูกกับหัวหน้าช่าง   2. หลับในเวลางาน  </t>
  </si>
  <si>
    <t>SSG680005</t>
  </si>
  <si>
    <t xml:space="preserve">นายวศิน ไพบูลย์ </t>
  </si>
  <si>
    <t>สายงานบริหาร SENA Solar Energy</t>
  </si>
  <si>
    <t>wasinp@senasolarenergy.com</t>
  </si>
  <si>
    <t>VMS680077</t>
  </si>
  <si>
    <t>นายนพพล  สีปานะ</t>
  </si>
  <si>
    <t>แผนกอาคารชุด เสนาคิทท์ เพชรเกษม 120</t>
  </si>
  <si>
    <t>noppols@senxgroup.com</t>
  </si>
  <si>
    <t>VMS670349</t>
  </si>
  <si>
    <t>นายศิริชัย  อยู่อยู่</t>
  </si>
  <si>
    <t>sirichaiy@senxgroup.com</t>
  </si>
  <si>
    <t>VMS670253</t>
  </si>
  <si>
    <t>นายณัฐกานต์  ประตูเงิน</t>
  </si>
  <si>
    <t>nattakanp@senxgroup.com</t>
  </si>
  <si>
    <t>VMS670348</t>
  </si>
  <si>
    <t>นายรวีโรจน์  สามบุญญาณ</t>
  </si>
  <si>
    <t>rawerots@senxgroup.com</t>
  </si>
  <si>
    <t>VMS690042</t>
  </si>
  <si>
    <t>นางสาวเกตุทิพย์วดี  สุวรรณฉวี</t>
  </si>
  <si>
    <t>แผนกหมู่บ้านจัดสรร โครงการ เสนา เวล่า สิริโสธร</t>
  </si>
  <si>
    <t>kedthipwadees@senxgroup.com</t>
  </si>
  <si>
    <t xml:space="preserve">1.ได้งานใหม่ เป็นโรงงานผลิตแผ่นพลาสติก  มีค่าข้าวให้วันละ 50 บาท และ ค่า TO  ให้ </t>
  </si>
  <si>
    <t>VMS670351</t>
  </si>
  <si>
    <t>นางสาวจารุวรรณ  สุขสวัสดิ์</t>
  </si>
  <si>
    <t>แผนกหมู่บ้านจัดสรร โครงการ เสนา วิลล์ บรมราชชนนี - สาย 5</t>
  </si>
  <si>
    <t>jaruwans@senxgroup.com</t>
  </si>
  <si>
    <t>1.เงินเดือนเพิ่มขึ้น 2,000 บาท  + มีค่าโทรศัพท์  2. การันตรีโบนัส ให้ 1 เดือน   ได้งานของ บริษัท sc able</t>
  </si>
  <si>
    <t>VMS690085</t>
  </si>
  <si>
    <t>นางสาวมาลิดา  แสงจำปา</t>
  </si>
  <si>
    <t>malidas@senxgroup.com</t>
  </si>
  <si>
    <t>BK680482</t>
  </si>
  <si>
    <t>นายเฉลิมลาภ อ่อนชะอ่ำ</t>
  </si>
  <si>
    <t>4505 หัวหน้าโฟร์แมน</t>
  </si>
  <si>
    <t>เสนาคิทท์ เทพารักษ์ - บางบ่อ 2</t>
  </si>
  <si>
    <t>chalermlapo@sena.co.th</t>
  </si>
  <si>
    <t>VMS680095</t>
  </si>
  <si>
    <t>นางสาวสุวภัทร  อยู่ดี</t>
  </si>
  <si>
    <t>แผนกอาคารชุด เดอะ ซีเครซ หัวหิน</t>
  </si>
  <si>
    <t>suwaphaty@senxgroup.com</t>
  </si>
  <si>
    <t>VMS680348</t>
  </si>
  <si>
    <t>นายสันติสุข  สีสูงเนิน</t>
  </si>
  <si>
    <t>แผนกอาคารชุด ศุภาลัย ซิตี้ รีสอร์ท ระยอง</t>
  </si>
  <si>
    <t>santisuks@senxgroup.com</t>
  </si>
  <si>
    <t>VMS690030</t>
  </si>
  <si>
    <t>นายสุรชัย  มหันพลามัย</t>
  </si>
  <si>
    <t>surachaim@senxgroup.com</t>
  </si>
  <si>
    <t>SP680043</t>
  </si>
  <si>
    <t>น.ส.อมรรัตน์ พรหมมา</t>
  </si>
  <si>
    <t>แผนกบัญชีลูกหนี้</t>
  </si>
  <si>
    <t>amornratp@sena.co.th</t>
  </si>
  <si>
    <t xml:space="preserve">1.ได้งานประเภทร้านคลีนิคความงาม ทำบัญชี คุมสต๊อก อปุกรณ์การแพทย์  2.ได้หยุดงานเสาร์ - อาทิตย์  3. ที่โครงการทำงานคนเดียวทำให้งานโหลด ไม่ทัน </t>
  </si>
  <si>
    <t>VMS690019</t>
  </si>
  <si>
    <t>นางสาวรวีวรรณ  คับคา</t>
  </si>
  <si>
    <t>rawiwank@senxgroup.com</t>
  </si>
  <si>
    <t xml:space="preserve">งานด้านเอกสารไม่ถนัดทำให้กดดันตัวเอง เพราะไม่เคยทำงานด้านนิติ </t>
  </si>
  <si>
    <t>HP6680006</t>
  </si>
  <si>
    <t>นายฐาปกรณ์ แจ่มจำรัส</t>
  </si>
  <si>
    <t>7993 เจ้าหน้าที่ต้อนรับ</t>
  </si>
  <si>
    <t>HP6680011</t>
  </si>
  <si>
    <t>นางสาวชุติกานต์ จันทรศรี</t>
  </si>
  <si>
    <t>4101 หัวหน้าแผนก</t>
  </si>
  <si>
    <t>VMS690081</t>
  </si>
  <si>
    <t>นายสุทธินันท์  คงสุดดี</t>
  </si>
  <si>
    <t>suthinank@senxgroup.com</t>
  </si>
  <si>
    <t>เป็นพนักงานใหม่มาทำงานได้ 1 วัน ไม่เข้าโครงการ</t>
  </si>
  <si>
    <t>VMS680335</t>
  </si>
  <si>
    <t>นายกมลศักดิ์  สงสาร</t>
  </si>
  <si>
    <t>kamonsaks@senxgroup.com</t>
  </si>
  <si>
    <t>SX670152</t>
  </si>
  <si>
    <t>นางสาวสุพร  ไชยสุริยานุฑิต</t>
  </si>
  <si>
    <t>4401 หัวหน้างานขายและสินเชื่อ</t>
  </si>
  <si>
    <t>เสนา วิลเลจ รังสิต - ติวานนท์</t>
  </si>
  <si>
    <t>supornc@senxgroup.com</t>
  </si>
  <si>
    <t xml:space="preserve">1.ต้องการเติบโตในสายงาน  2. เงินเดือนไม่ได้รับการปรับขึ้น  3. ต้องการให้มีสวัสดิการเรื่องค่าเดินทาง และ มีค่าโทรศัพท์ </t>
  </si>
  <si>
    <t>VMS680040</t>
  </si>
  <si>
    <t>นายภัทรพล   ฉิมสุวรรณ</t>
  </si>
  <si>
    <t>phattharapolc@senxgroup.com</t>
  </si>
  <si>
    <t>BK690008</t>
  </si>
  <si>
    <t>นายมนัฐพงษ์ ตรีพานิชย์</t>
  </si>
  <si>
    <t>6157 เจ้าหน้าที่การตลาดออนไลน์อาวุโส</t>
  </si>
  <si>
    <t>แผนก Online Media</t>
  </si>
  <si>
    <t>manuttapongt@sena.co.th</t>
  </si>
  <si>
    <t>BK660050</t>
  </si>
  <si>
    <t xml:space="preserve">นายศิวกร พวงเพ็ชร </t>
  </si>
  <si>
    <t>7662 เจ้าหน้าที่ทรัพย์สิน</t>
  </si>
  <si>
    <t>siwakornp@sena.co.th</t>
  </si>
  <si>
    <t>BK690017</t>
  </si>
  <si>
    <t xml:space="preserve">น.ส.มยุรี โนตา </t>
  </si>
  <si>
    <t>6352 เจ้าหน้าที่ประสานงานโครงการอาวุโส</t>
  </si>
  <si>
    <t>mayureen@sena.co.th</t>
  </si>
  <si>
    <t>VMS680255</t>
  </si>
  <si>
    <t>นายธัชพล วังควิง</t>
  </si>
  <si>
    <t>แผนกหมู่บ้านจัดสรร สราญสิริ ติวานนท์ - แจ้งวัฒนะ 2</t>
  </si>
  <si>
    <t>thatchapholw@senxgroup.com</t>
  </si>
  <si>
    <t>BK660117</t>
  </si>
  <si>
    <t xml:space="preserve">น.ส.จิราภา ราชวาณิชย์ </t>
  </si>
  <si>
    <t>6551 สถาปนิกอาวุโส</t>
  </si>
  <si>
    <t>แผนกพัฒนาโครงการแนวแนวราบ</t>
  </si>
  <si>
    <t>jirapar@sena.co.th</t>
  </si>
  <si>
    <t>BK650325</t>
  </si>
  <si>
    <t>น.ส.วรัลชญาน์ ศิระภิญโญวัฒน์</t>
  </si>
  <si>
    <t>7551 สถาปนิก</t>
  </si>
  <si>
    <t>แผนก Design Development</t>
  </si>
  <si>
    <t>waranchayas@sena.co.th</t>
  </si>
  <si>
    <t>BK670020</t>
  </si>
  <si>
    <t>น.ส.อาทิตยา ประชารัตน์</t>
  </si>
  <si>
    <t>5101 ผู้ช่วยหัวหน้าแผนก</t>
  </si>
  <si>
    <t>Athitayap@sena.co.th</t>
  </si>
  <si>
    <t>BK670059</t>
  </si>
  <si>
    <t xml:space="preserve">น.ส.ลัทธิษา กระต่ายน้อย </t>
  </si>
  <si>
    <t>แผนกบัญชีจ่ายผู้รับเหมาร้านค้า</t>
  </si>
  <si>
    <t>Latthisak@sena.co.th</t>
  </si>
  <si>
    <t>BK650161</t>
  </si>
  <si>
    <t xml:space="preserve">น.ส.กนกวรรณ คล้ายทิม </t>
  </si>
  <si>
    <t>แผนกพัฒนาโครงการแนวสูง</t>
  </si>
  <si>
    <t>kanokwank@sena.co.th</t>
  </si>
  <si>
    <t>BK680341</t>
  </si>
  <si>
    <t>นายจิรโรจน์ ศุภลักษณ์</t>
  </si>
  <si>
    <t>chirarots@sena.co.th</t>
  </si>
  <si>
    <t>BK680576</t>
  </si>
  <si>
    <t xml:space="preserve">น.ส.อภิรดี พิศแลงาม </t>
  </si>
  <si>
    <t>25 ผู้ช่วยผู้อำนวยการ</t>
  </si>
  <si>
    <t>apiradeep@sena.co.th</t>
  </si>
  <si>
    <t>BK680310</t>
  </si>
  <si>
    <t xml:space="preserve">น.ส.พัฒน์สุตา ช่วงนิษฐ์ใสธร </t>
  </si>
  <si>
    <t>4501 วิศวกรโครงการ</t>
  </si>
  <si>
    <t>นิช โมโน รามคำแหง</t>
  </si>
  <si>
    <t>patsutac@sena.co.th</t>
  </si>
  <si>
    <t>VMS680079</t>
  </si>
  <si>
    <t>นางสาวอิสปรียา  ดุลยเวสาสุข</t>
  </si>
  <si>
    <t>7756 เจ้าหน้าที่บัญชีทั่วไป</t>
  </si>
  <si>
    <t>issapriyad@senxgroup.com</t>
  </si>
  <si>
    <t xml:space="preserve">ต้องการทำงานในรูปแบบบริษัท </t>
  </si>
  <si>
    <t>BK680463</t>
  </si>
  <si>
    <t>นายชญกฤศ อาจะสมิต</t>
  </si>
  <si>
    <t>32 ผู้จัดการโครงการอาวุโส</t>
  </si>
  <si>
    <t>ฝ่ายบริหารโครงการคอนโด 12F</t>
  </si>
  <si>
    <t>chayakida@sena.co.th</t>
  </si>
  <si>
    <t>VMS690068</t>
  </si>
  <si>
    <t>นายซัรฮาน   ปิเต๊ะ</t>
  </si>
  <si>
    <t>sarhanp@senxgroup.com</t>
  </si>
  <si>
    <t>ขาดงานโทรติดต่อไม่ได้</t>
  </si>
  <si>
    <t>VMS690032</t>
  </si>
  <si>
    <t>นายธนัญชัย  อินโองการ</t>
  </si>
  <si>
    <t>แผนกอาคารชุด ศุภาลัย มอนเต้ 2</t>
  </si>
  <si>
    <t>thananchaii@senxgroup.com</t>
  </si>
  <si>
    <t xml:space="preserve">หมดสัญญาจ้าง </t>
  </si>
  <si>
    <t>VMS670391</t>
  </si>
  <si>
    <t>นางสาวมณลิชา  สามวัง</t>
  </si>
  <si>
    <t>monrichas@senxgroup.com</t>
  </si>
  <si>
    <t xml:space="preserve">1.ย้ายที่อยู่ปัจจุบันพักแถวตลาดพลู ย้ายที่อยู่ไปอยู่บางบัวทอง 2. เรื่องระบบงานหน้างานค่อนข้างซ้ำซ้อน และขั้นตอนเยอะ ทำให้ทำงานยาก </t>
  </si>
  <si>
    <t>VMS670335</t>
  </si>
  <si>
    <t>นายพิษณุ  นิลมณี</t>
  </si>
  <si>
    <t>แผนกอาคารชุด ดิ เอช เอกมัย</t>
  </si>
  <si>
    <t>phissanun@senxgroup.com</t>
  </si>
  <si>
    <t>คุยไว้เรื่องการปรับตำแหน่งให้ทำ ตำแหน่ง ผจก. อาคาร เดิมเป็นตำแหน่งหัวหน้าช่างประจำอาคาร ซึ่งจะมีการปรับเงินเดือนเพิ่มให้ 2,000 บาท แต่ไม่ปรับเงิน</t>
  </si>
  <si>
    <t>VMS670109</t>
  </si>
  <si>
    <t>นางสาววรรณวรางค์  สว่างเนตร</t>
  </si>
  <si>
    <t>แผนกอาคารชุด เลทีเซีย</t>
  </si>
  <si>
    <t>wanwarangs@senxgroup.com</t>
  </si>
  <si>
    <t>1.เปลี่ยนสายงานไปทำสายงาน Logistic  2.เรียนต่อด้านสายงาน Logistic</t>
  </si>
  <si>
    <t>VMS680244</t>
  </si>
  <si>
    <t>นางสาวชลิดา  ปัญจมาศิริ</t>
  </si>
  <si>
    <t>chalidap@senxgroup.com</t>
  </si>
  <si>
    <t>1.ได้งานใหม่เงินเดือนเพิ่ม เงินเดือนปัจจุบัน 18,000 บาท ได้ที่ใหม่ 32,000 บาท ทำตำแหน่ง ผู้ช่วยผู้จัดการ 2. ระบบงานหน้างานและขั้นตอนไม่เป็นระบบ เช่นค่าที่จอดรถลูกบ้านชำระแล้ว แต่ยังมีขอมูลการเรียบเก็บซ้ำ</t>
  </si>
  <si>
    <t>VMS650041</t>
  </si>
  <si>
    <t>นางสาวดวงใจ  วิจิตรชื่น</t>
  </si>
  <si>
    <t>แผนกอาคารชุด เสนาคิทท์ รัตนาธิเบศร์ - บางบัวทอง</t>
  </si>
  <si>
    <t>duangjaiw@senxgroup.com</t>
  </si>
  <si>
    <t>1.เปลี่ยนสายงานใหม่เป็น Sales ทัวร์ ได้เงินเดือนเพิ่ม จาก 18,000 บาท เพิ่มเป็น 25,000 บาท + มีค่าคอม</t>
  </si>
  <si>
    <t>VMS680068</t>
  </si>
  <si>
    <t>นางสาวจันทร์พิมพ์  สวนสังข์</t>
  </si>
  <si>
    <t>แผนกอาคารชุด เสนาคิทท์ ฉลองกรุง - ลาดกระบัง</t>
  </si>
  <si>
    <t>junpims@senxgroup.com</t>
  </si>
  <si>
    <t>1.ทำธุรกิจที่บ้านซึ่งเป็นธุรกินเปิดอพาร์เมนท์ให้เช่า</t>
  </si>
  <si>
    <t>VMS680190</t>
  </si>
  <si>
    <t>นางสาวกัลญา  คำแสนราช</t>
  </si>
  <si>
    <t>kanlayak@senxgroup.com</t>
  </si>
  <si>
    <t>1.ต้องการเปลี่ยนสายงานทำในรูปบริษัทฯ ได้หยุดเสาร์  - อาทิตย์</t>
  </si>
  <si>
    <t>VMS680147</t>
  </si>
  <si>
    <t>นางสาวจิวรา  ปานจันทร์</t>
  </si>
  <si>
    <t>jiwarap@senxgroup.com</t>
  </si>
  <si>
    <t xml:space="preserve">1.ย้ายที่อยู่เดิมอยู่แถาบางเขน ไปอยู่ดินแดง ทำให้การเดินทางไปโครงการไม่สะดวก 2. ต้องการเปลี่ยนสายงาน 3.ไม่รับการปรับเงินเดือน </t>
  </si>
  <si>
    <t>VMS690073</t>
  </si>
  <si>
    <t>นายนิวัฒน์  ศรีนิล</t>
  </si>
  <si>
    <t>niwats@senxgroup.com</t>
  </si>
  <si>
    <t>VMS670241</t>
  </si>
  <si>
    <t>นางสาวณัชธญา  นิลพานิชย์</t>
  </si>
  <si>
    <t>แผนกอาคารชุด มิว</t>
  </si>
  <si>
    <t>nutchatayan@senxgroup.com</t>
  </si>
  <si>
    <t>กลับต่างจังหวัดทำธุรกิจกับที่บ้าน เป็นธุรกิจรีสอร์ท</t>
  </si>
  <si>
    <t>VMS670246</t>
  </si>
  <si>
    <t>นายสกนธ์  รื่นภาคเวท</t>
  </si>
  <si>
    <t>sakonr@senxgroup.com</t>
  </si>
  <si>
    <t>1. มีปัญหากับเพื่อนร่วมงาน รองหัวหน้าช่าง เรื่องการสั่งงาน และ คำพูด 2. ปรับฐานเงินเดือนเพิ่มขึ้นน้อย</t>
  </si>
  <si>
    <t>VMS680075</t>
  </si>
  <si>
    <t>นายชนาธิป  สุขธิติพัฒน์</t>
  </si>
  <si>
    <t>chanatips@senxgroup.com</t>
  </si>
  <si>
    <t>1.ได้งานใหม่เงินเดือนเพิ่มขึ้น 1,500  บาท  2.โบนัสที่ได้รับน้อย 3. ได้ของบริษัท  Sc asset  ดูโครงการแนวราบ</t>
  </si>
  <si>
    <t>VMS670250</t>
  </si>
  <si>
    <t>นายวันชัย  สิงห์ปรีชา</t>
  </si>
  <si>
    <t>wanchais@senxgroup.com</t>
  </si>
  <si>
    <t>1. มีปัญหากับเพื่อนร่วมงาน รองหัวหน้าช่าง เรื่องการสั่งงาน และ คำพูด 2. ฐานเงินเดือนไม่ได้รับปรับเงินเดือนขึ้น 3.เกณฑ์การให้เกรดน้อยเรื่องโบนัส</t>
  </si>
  <si>
    <t>BK680198</t>
  </si>
  <si>
    <t xml:space="preserve">น.ส.อโณทัย เทียรเจริญ </t>
  </si>
  <si>
    <t>แผนกการตลาดคอนโด 3A</t>
  </si>
  <si>
    <t>anothait@sena.co.th</t>
  </si>
  <si>
    <t>BK670032</t>
  </si>
  <si>
    <t xml:space="preserve">น.ส.ศิริลักษณ์ ปุญญคุณากรณ์ </t>
  </si>
  <si>
    <t>7659 เจ้าหน้าที่ประสานงานทั่วไป</t>
  </si>
  <si>
    <t>แผนก Wecare Support</t>
  </si>
  <si>
    <t>siriluckp@sena.co.th</t>
  </si>
  <si>
    <t>TK680004</t>
  </si>
  <si>
    <t>นายภานุวัฒน์ เพชรรุ่งศักดิ์</t>
  </si>
  <si>
    <t>7804 โฟร์แมนบริการหลังการขาย</t>
  </si>
  <si>
    <t>แผนกปฏิบัติการก่อสร้าง</t>
  </si>
  <si>
    <t>Panuwatp@sena.co.th</t>
  </si>
  <si>
    <t>BK680177</t>
  </si>
  <si>
    <t>น.ส.วาริศศริน เวศย์วรุตม์</t>
  </si>
  <si>
    <t>ฝ่ายบริหารการขายคอนโด 2B</t>
  </si>
  <si>
    <t>warissarinv@sena.co.th</t>
  </si>
  <si>
    <t>VMS690050</t>
  </si>
  <si>
    <t>นางสาววรรณกานต์   พัฒบุผา</t>
  </si>
  <si>
    <t>wannakarnp@senxgroup.com</t>
  </si>
  <si>
    <t>VMS680146</t>
  </si>
  <si>
    <t>นายวิรพนธ์  อินทร์ศวร</t>
  </si>
  <si>
    <t>แผนกบริหารอาคารสำนักงานใหญ่</t>
  </si>
  <si>
    <t>wiraphona@senxgroup.com</t>
  </si>
  <si>
    <t>1.ต้องการเปลี่ยนสายงานทำโฟร์แมน และต้องการหยุดเสาร์ - อาทิตย์  2. เงินเดือนปัจจุบันรับ 17,000 บาท ต้องการหางานใหม่ที่เงินเดือนเพิ่มขึ้น</t>
  </si>
  <si>
    <t>VMS670400</t>
  </si>
  <si>
    <t>นายธีรินทร์  ประทุมโต</t>
  </si>
  <si>
    <t>แผนกอาคารชุด เฟล็กซี่ เตาปูน อินเตอร์เชนจ์</t>
  </si>
  <si>
    <t>theeinp@senxgroup.com</t>
  </si>
  <si>
    <t>ได้งานเป็นตำแหน่งช่าง ประจำสำนักงาน ได้หยุดเสาร์ - อาทิตย์  บริษัทฯ ทำเกี่ยวกับขายเครื่องมือแพทย์</t>
  </si>
  <si>
    <t>BK680026</t>
  </si>
  <si>
    <t>นายปัญญากร บุณยะกุล</t>
  </si>
  <si>
    <t>6155 เจ้าหน้าที่กราฟฟิคอาวุโส</t>
  </si>
  <si>
    <t>แผนก Creative และ Design Management</t>
  </si>
  <si>
    <t>panyakonb@sena.co.th</t>
  </si>
  <si>
    <t>BK650053</t>
  </si>
  <si>
    <t xml:space="preserve">นายชนะชัย อุปตอ </t>
  </si>
  <si>
    <t>chanachaiu@sena.co.th</t>
  </si>
  <si>
    <t>BK680554</t>
  </si>
  <si>
    <t xml:space="preserve">น.ส.สุพิชญา แสงสว่าง </t>
  </si>
  <si>
    <t>supitchayas@sena.co.th</t>
  </si>
  <si>
    <t>BK680274</t>
  </si>
  <si>
    <t xml:space="preserve">นายพีรณัฐ คงฤทธิ์ </t>
  </si>
  <si>
    <t>แผนกการตลาดบ้าน 1A</t>
  </si>
  <si>
    <t>piranutk@sena.co.th</t>
  </si>
  <si>
    <t>SSG690001</t>
  </si>
  <si>
    <t>นายนนทวัชร์ เทพทอง</t>
  </si>
  <si>
    <t>7656 เลขานุการและธุรการ</t>
  </si>
  <si>
    <t>แผนกบริการลูกค้า</t>
  </si>
  <si>
    <t>nonthawacht@senasolarenergy.com</t>
  </si>
  <si>
    <t>VMS670001</t>
  </si>
  <si>
    <t>นางสาวนวศรณ์  สุดสม</t>
  </si>
  <si>
    <t>ฝ่ายบริหารนิติบุคคลอาคารชุด (SENA)</t>
  </si>
  <si>
    <t>navasorns@senxgroup.com</t>
  </si>
  <si>
    <t>VMS620064</t>
  </si>
  <si>
    <t>นางสาวสุปาริณี  ปริเวทัง</t>
  </si>
  <si>
    <t>suparineep@senxgroup.com</t>
  </si>
  <si>
    <t>VMS670239</t>
  </si>
  <si>
    <t>นายชยุต  อรัญญิก</t>
  </si>
  <si>
    <t>chayuta@senxgroup.com</t>
  </si>
  <si>
    <t>ไปทำธุรกิจกับทางบ้าน  เปิดร้านปั้มน้ำมัน</t>
  </si>
  <si>
    <t>VMS680236</t>
  </si>
  <si>
    <t>นายสุทธิชา  พรหมศร</t>
  </si>
  <si>
    <t>suttichap@senxgroup.com</t>
  </si>
  <si>
    <t>1.ได้งานใหม่เงินเดือนเพิ่มจากเดิม 1,500  บาท  ของ บริษัท LPP  2. โครงการที่ทำใกล้บ้านประหยัดเรื่องค่าเดินทาง</t>
  </si>
  <si>
    <t>VMS670402</t>
  </si>
  <si>
    <t>นางสาวนพมาศ  พิณทมร</t>
  </si>
  <si>
    <t>noppamasp@senxgroup.com</t>
  </si>
  <si>
    <t>มีปัญหาทางบ้านต้องย้ายที่อยู่ เลิกกับสามีซึ่งต้องเปลี่ยที่อยู่ถูกแฟนทำร้าย</t>
  </si>
  <si>
    <t>VMS660143</t>
  </si>
  <si>
    <t>นายเจษฎา  เกตุสละ</t>
  </si>
  <si>
    <t>chedsadak@senxgroup.com</t>
  </si>
  <si>
    <t>1.ได้งานใหม่เงินเดือนเพิ่มขึ้นจากเดิม 4,000 บาท  บริษัทเดอะเวิร์คส์  กับ บริษัทเกี่ยวกับ ให้เช่าอาคารสำนักงาน ซึ่งทั้ง  2 บริษัทฯ อยู่ระหว่างการตัดสินใจจะเลือกทำงานที่บริษัทไหน</t>
  </si>
  <si>
    <t>VMS670221</t>
  </si>
  <si>
    <t>นายณัฐพล  ทีฆาวงค์</t>
  </si>
  <si>
    <t>nuttapont@senxgroup.com</t>
  </si>
  <si>
    <t>ทำธุรกิจกับทางบ้านเป็นรับเหมาเดินระบบไฟฟ้า</t>
  </si>
  <si>
    <t>VMS690023</t>
  </si>
  <si>
    <t>นายอุทิศ  มีรินทร์</t>
  </si>
  <si>
    <t>authitm@senxgroup.com</t>
  </si>
  <si>
    <t>กลับไปอยู่บ้านต่างหวัดเนื่องจากได้งาน โรงพยาบาล  จังหวัดเพชรบูรณ์</t>
  </si>
  <si>
    <t>VMS680173</t>
  </si>
  <si>
    <t>นายธีรวุฒิ  ยืนยาว</t>
  </si>
  <si>
    <t>theerawuty@senxgroup.com</t>
  </si>
  <si>
    <t>1.ช่างที่โครงการขาดบ่อยทำให้ควบกะเวลาการทำงาน 2. โบนัสได้รับน้อย</t>
  </si>
  <si>
    <t>BK680632</t>
  </si>
  <si>
    <t xml:space="preserve">นายณัฐรัชต์ เดชอุทัย </t>
  </si>
  <si>
    <t>เสนา วีว่า เพชรเกษม – พุทธมณฑล สาย 7</t>
  </si>
  <si>
    <t>nattharatd@sena.co.th</t>
  </si>
  <si>
    <t>SX660036</t>
  </si>
  <si>
    <t>นางสาวรจนา  เหล่หมุด</t>
  </si>
  <si>
    <t>7753 เจ้าหน้าที่บัญชีเจ้าหนี้</t>
  </si>
  <si>
    <t xml:space="preserve">แผนกบัญชีเจ้าหนี้ (AP) </t>
  </si>
  <si>
    <t>rotjanal@senxgroup.com</t>
  </si>
  <si>
    <t>1.ได้เงินเดือนเพิ่มขึ้น  2. ได้รับผิดชอบงานที่เพิ่มขึ้น ดูด้าน GL รวมถึงช่วยเรื่อง ปิดงบ</t>
  </si>
  <si>
    <t>VMS690101</t>
  </si>
  <si>
    <t>นางสาวพัชชากร  บวรไพศาลกุล</t>
  </si>
  <si>
    <t>patchakornb@senxgroup.com</t>
  </si>
  <si>
    <t>VMS690036</t>
  </si>
  <si>
    <t>นายสมพร   มามี</t>
  </si>
  <si>
    <t>sompornm@senxgroup.com</t>
  </si>
  <si>
    <t>VMS680239</t>
  </si>
  <si>
    <t>นายณัฐพัชร์  พันแน่น</t>
  </si>
  <si>
    <t>Natthaphatp@senxgroup.com</t>
  </si>
  <si>
    <t>VMS680122</t>
  </si>
  <si>
    <t>นายอพินดี  มหิเละ</t>
  </si>
  <si>
    <t>apindeem@senxgroup.com</t>
  </si>
  <si>
    <t>ไปเรียนต่อปริญาตรี  ในสาขาโยธา</t>
  </si>
  <si>
    <t>VMS670435</t>
  </si>
  <si>
    <t>นางสาววาสนา  กิมขุนทด</t>
  </si>
  <si>
    <t>wassanak@senxgroup.com</t>
  </si>
  <si>
    <t>1.ได้งานใหม่เงินเดือนเพิ่มขึ้น  3,000 บาท  บริษัท Sc asset   2.ด้านสวัสดิการมีประกันกลุ่มกรณีเกิดอุบัติเหตุ  และ มีทำประกันชีวิตให้</t>
  </si>
  <si>
    <t>VMS680129</t>
  </si>
  <si>
    <t>นางสาวรุ่งอรุณ  บุญป้อง</t>
  </si>
  <si>
    <t>7905 เจ้าหน้าที่อาคาร</t>
  </si>
  <si>
    <t>rungaroonb@senxgroup.com</t>
  </si>
  <si>
    <t>1.กลับไปอยู่บ้าน จังหวัดชลบุรี  2. ได้งานใหม่ที่จังหวัดชลบุรี เงินเดือน เพิ่มจากเดิม 3,000 บาท 3. ได้ตำแหน่งที่โตขึ้นเป็นตำแหน่ง ผจก. หมู่บ้าน ไม่แจ้งได้ของ บริษัทฯ อะไร</t>
  </si>
  <si>
    <t>VMS680248</t>
  </si>
  <si>
    <t>นางสาวรุ่งนภา  ชุมสมภาร</t>
  </si>
  <si>
    <t>rungnapac@senxgroup.com</t>
  </si>
  <si>
    <t>มีปัญหาเรื่องสุขภาพ ดวงตา เนื่องจากด้วยงานต้องแยกพัสดุทุกวันทำให้ตามีปัญหาเรื่องการมองเห็น</t>
  </si>
  <si>
    <t>SSG610020</t>
  </si>
  <si>
    <t xml:space="preserve">นายรุ่งศักดิ์ นิธิลาภพูล </t>
  </si>
  <si>
    <t>4707 หัวหน้าประสานงานราชการ</t>
  </si>
  <si>
    <t>แผนกประสานงานราชการ</t>
  </si>
  <si>
    <t>Rungsak@senasolarenergy.com</t>
  </si>
  <si>
    <t>VMS680219</t>
  </si>
  <si>
    <t>นายวิเศษศักดิ์  พิลารักษ์</t>
  </si>
  <si>
    <t>wisetsakp@senxgroup.com</t>
  </si>
  <si>
    <t>กลับไปอยู่ต่างจังหวัด ทำสวน ดูแลครอบครัวที่ต่างจังหวัด</t>
  </si>
  <si>
    <t>VMS690093</t>
  </si>
  <si>
    <t>นางสาวณัฐญา  แผ่วฉิมพลี</t>
  </si>
  <si>
    <t>แผนกหมู่บ้านจัดสรร บ้านกลางกรุง แกรนด์เวียนนา พระราม 3</t>
  </si>
  <si>
    <t>natthayap@senxgroup.com</t>
  </si>
  <si>
    <t>BK650028</t>
  </si>
  <si>
    <t>น.ส.พัชรีญา คงสิม</t>
  </si>
  <si>
    <t>6354 เจ้าหน้าที่ธุรกิจต่างประเทศอาวุโส</t>
  </si>
  <si>
    <t>แผนกกลยุทธ์การลงทุน</t>
  </si>
  <si>
    <t>patchareeyak@sena.co.th</t>
  </si>
  <si>
    <t>VMS690108</t>
  </si>
  <si>
    <t>นางสาววราภรณ์  ฝอยทอง</t>
  </si>
  <si>
    <t>warapornf@senxgroup.com</t>
  </si>
  <si>
    <t>VMS690084</t>
  </si>
  <si>
    <t>นายวงศกร  เดชะ</t>
  </si>
  <si>
    <t>wongsakornd@sexgroup.com</t>
  </si>
  <si>
    <t>VMS680136</t>
  </si>
  <si>
    <t>นายภูวสิษฏ์  ดอกจันทร์</t>
  </si>
  <si>
    <t>สายงานวิศวกรรม</t>
  </si>
  <si>
    <t>phuwasitd@senxgroup.com</t>
  </si>
  <si>
    <t>1.ได้งานใหม่ บริษัท โจนส์ แลง ลาซาลล์  เงินเดือนเพิ่มขึ้น 15,000 บาท  2.ดูแลในส่วนของพื้นเช่าอาคารสำนักงาน</t>
  </si>
  <si>
    <t>VMS680028</t>
  </si>
  <si>
    <t>นายสิทธิศักดิ์   ด้วยสาร</t>
  </si>
  <si>
    <t>แผนกวิศวกรรมงานระบบ</t>
  </si>
  <si>
    <t>sittisakd@senxgroup.com</t>
  </si>
  <si>
    <t xml:space="preserve">เรียนต่อ ป.ตรี ในสาขาวิศวกร  เนื่องจากเรียนปี 3 ซึ่งใกล้จะจบ  เรียนวันเสาร์ - อาทิตย์  </t>
  </si>
  <si>
    <t>VMS680199</t>
  </si>
  <si>
    <t>นางสาวตวงทอง  ศิวายพราหมณ์</t>
  </si>
  <si>
    <t>tuangthongs@senxgroup.com</t>
  </si>
  <si>
    <t xml:space="preserve">1.เรื่องการเดินทางเนื่องจากปัจจุบันพักแถวบางพลัด เดินทางหลายต่อ จาก MRT บางพลัด ต่อ ท่าพระ  และมาต่อ BTS บางหว้า  2. ได้งานใหม่ใกล้ที่พักทำให้ประหยัดเรื่องค่าเดินทาง </t>
  </si>
  <si>
    <t>BK680253</t>
  </si>
  <si>
    <t xml:space="preserve">น.ส.มิณญา ญาณุจจัย </t>
  </si>
  <si>
    <t>ฝ่ายบริหารการขายบ้าน 1C</t>
  </si>
  <si>
    <t>minyay@sena.co.th</t>
  </si>
  <si>
    <t>BK620171</t>
  </si>
  <si>
    <t>น.ส.วรรณา รัตนะดี</t>
  </si>
  <si>
    <t>6751 เจ้าหน้าที่บัญชีจ่ายอาวุโส</t>
  </si>
  <si>
    <t>แผนกบัญชีจ่ายทั่วไป</t>
  </si>
  <si>
    <t>wannar@sena.co.th</t>
  </si>
  <si>
    <t>SGE670035</t>
  </si>
  <si>
    <t xml:space="preserve">นายกันตพงศ์ บรรจงเพียร </t>
  </si>
  <si>
    <t>6991 เจ้าหน้าที่ Finance Business Partner อาวุโส</t>
  </si>
  <si>
    <t>สายงาน Finance  Business Partner</t>
  </si>
  <si>
    <t>kantapongb@senasolarenergy.com</t>
  </si>
  <si>
    <t>BK680142</t>
  </si>
  <si>
    <t xml:space="preserve">น.ส.ชิณณปะภา ปิ่นประภากุล </t>
  </si>
  <si>
    <t>เสนาคิทท์ เวสต์เกต - บางบัวทอง</t>
  </si>
  <si>
    <t>shinapraphap@sena.co.th</t>
  </si>
  <si>
    <t>BK620172</t>
  </si>
  <si>
    <t xml:space="preserve">นายอดิทัต เด่นโกวงษ์ </t>
  </si>
  <si>
    <t>adithutd@sena.co.th</t>
  </si>
  <si>
    <t>BK650042</t>
  </si>
  <si>
    <t xml:space="preserve">น.ส.อัษฎางค์ ทองรอง </t>
  </si>
  <si>
    <t>แผนกกฎหมาย</t>
  </si>
  <si>
    <t>autsadangt@sena.co.th</t>
  </si>
  <si>
    <t>VMS690021</t>
  </si>
  <si>
    <t>นายกรอบโชค  โมนิพัน</t>
  </si>
  <si>
    <t>kropchokm@senxgroup.com</t>
  </si>
  <si>
    <t>VMS660084</t>
  </si>
  <si>
    <t>นายชินวุฒิ  วงษ์หอม</t>
  </si>
  <si>
    <t>chinnawutw@senxgroup.com</t>
  </si>
  <si>
    <t>1.ต้องการหาประสบการณ์ใหม่ 2. ได้รับการปรับตำแหน่งเป็นตำแหน่งหัวหน้าช่าง แต่ไม่ได้รับการปรับเงินเดือน</t>
  </si>
  <si>
    <t>VMS690078</t>
  </si>
  <si>
    <t>นายณัฐวุฒิ  พันทา</t>
  </si>
  <si>
    <t>nuttawutp@senxgroup.com</t>
  </si>
  <si>
    <t xml:space="preserve">เรียนต่อ ปริญญาตรี </t>
  </si>
  <si>
    <t>VMS680338</t>
  </si>
  <si>
    <t>นายคุณธนโชติ  สว่างวงษ์</t>
  </si>
  <si>
    <t>khuntanachots@senxgroup.com</t>
  </si>
  <si>
    <t>1.ได้งานใกล้บ้าน เงินเดือนเพิ่มจากเดิม 2,000  บาท  ของ บริษัท ไนท์แฟงค์</t>
  </si>
  <si>
    <t>VMS680339</t>
  </si>
  <si>
    <t>นายณัฐกานต์  สุระเสียง</t>
  </si>
  <si>
    <t>natthakarns@senxgroup.com</t>
  </si>
  <si>
    <t>1.ได้งานใหม่เงินเดือนเพิ่มจากเดิม  1,000 บาท   ของ บริษัท ไนท์แฟงค์</t>
  </si>
  <si>
    <t>VMS670327</t>
  </si>
  <si>
    <t>นายอิรฟาณร์  ตีโด</t>
  </si>
  <si>
    <t>Irfant@senxgroup.com</t>
  </si>
  <si>
    <t>ที่ตัดสินใจลาออกเนื่องจากปัจจุบันได้รับเงินเดือนน้อย ไม่ได้รับการปรับฐานเงินเดือน</t>
  </si>
  <si>
    <t>VMS690024</t>
  </si>
  <si>
    <t>นายวุฒิพงษ์  อินจู</t>
  </si>
  <si>
    <t>wuttipongi@senxgroup.com</t>
  </si>
  <si>
    <t>VMS690098</t>
  </si>
  <si>
    <t>นายจิรวัฒน์  วงษ์ขวัญ</t>
  </si>
  <si>
    <t>jirawatw@senxgroup.com</t>
  </si>
  <si>
    <t>VMS690094</t>
  </si>
  <si>
    <t>นางสาวชลกนก  ลิ้มภรัณยู</t>
  </si>
  <si>
    <t>แผนกหมู่บ้านจัดสรร เสนา พาร์คแกรนด์ 2 รามอินทรา กม.9</t>
  </si>
  <si>
    <t>chonkanokl@senxgroup.com</t>
  </si>
  <si>
    <t>SPS690011</t>
  </si>
  <si>
    <t>นางสาวภัสร์ชวิน  วัฒนะธนากรพงศ์</t>
  </si>
  <si>
    <t>สายงาน Inter Sales - Resales</t>
  </si>
  <si>
    <t>patchawinw@senxgroup.com</t>
  </si>
  <si>
    <t>เลิกจ้าง</t>
  </si>
  <si>
    <t>HP6680012</t>
  </si>
  <si>
    <t>นายสุริยา กุลมร</t>
  </si>
  <si>
    <t>4555 หัวหน้าแผนกวิศวกรรมงานระบบ</t>
  </si>
  <si>
    <t>HP6690001</t>
  </si>
  <si>
    <t>นางสาวสิริภัทร สุภาปัญญา</t>
  </si>
  <si>
    <t>HP6680002</t>
  </si>
  <si>
    <t>นางสาวนาตยา ผิวผาง</t>
  </si>
  <si>
    <t>HP6680010</t>
  </si>
  <si>
    <t>นางสาวรุจยา วรรณแสงแก้ว</t>
  </si>
  <si>
    <t>VMSJ651001</t>
  </si>
  <si>
    <t>นางปัตมา  วงษ์วรแสง</t>
  </si>
  <si>
    <t>6657 เจ้าหน้าที่ธุรการอาวุโส</t>
  </si>
  <si>
    <t>pattamaw@Senxgroup.com</t>
  </si>
  <si>
    <t>ต้องการรักษาตัวเนื่องจากเพิ่งได้รับการผ่าตัดมดลูก</t>
  </si>
  <si>
    <t>VMS660088</t>
  </si>
  <si>
    <t>นายวรวิทย์  กุ้ยบำรุง</t>
  </si>
  <si>
    <t>worawitk@senxgroup.com</t>
  </si>
  <si>
    <t>ได้งานใหม่  การเดินทางที่ทำงานใหม่ใกล้บ้านประหยัดค่าเดินทาง</t>
  </si>
  <si>
    <t>VMS680221</t>
  </si>
  <si>
    <t>นางสาวศิรภัสสร  หอมสุวรรณ</t>
  </si>
  <si>
    <t>แผนกบัญชีแนวสูง</t>
  </si>
  <si>
    <t>sirapatsornh@senxgroup.com</t>
  </si>
  <si>
    <t xml:space="preserve">1.ได้งานใหม่เงินเดือนเพิ่มชึ้น 2,000 บาท  เป็นในเครือของ โรงแรมดุสิต 2. เรียนต่อ ป.โท  </t>
  </si>
  <si>
    <t>BK690042</t>
  </si>
  <si>
    <t>น.ส.เกษรา ปั้นแจ้งอรุณ</t>
  </si>
  <si>
    <t>ฝ่ายบริหารการขายคอนโด 1D</t>
  </si>
  <si>
    <t>ketsarap@sena.co.th</t>
  </si>
  <si>
    <t>BK690030</t>
  </si>
  <si>
    <t>นายชุติณธร อุ่นอาวรณ์</t>
  </si>
  <si>
    <t>6353 เจ้าหน้าที่ประสานงานขายและการตลาดอาวุโส</t>
  </si>
  <si>
    <t>ฝ่ายบริหารการขาย และการตลาด Premium</t>
  </si>
  <si>
    <t>chutinthono@sena.co.th</t>
  </si>
  <si>
    <t>SPS690014</t>
  </si>
  <si>
    <t>นางสาวลักษิกา  เอมอ่อน</t>
  </si>
  <si>
    <t>laksikaa@senxgroup.com</t>
  </si>
  <si>
    <t>VMS670117</t>
  </si>
  <si>
    <t>นายณรงค์ศักดิ์  เชยขุนทด</t>
  </si>
  <si>
    <t>7857 ผู้ช่วยหัวหน้าช่างประจำอาคาร</t>
  </si>
  <si>
    <t>narongsakc@senxgroup.com</t>
  </si>
  <si>
    <t>รักษาสุขภาพเนื่องจากระบบเม็ดเลือดไม่แข็งแรงเวลาลุกหน้าจะมืดบ่อย</t>
  </si>
  <si>
    <t>VMS670161</t>
  </si>
  <si>
    <t>นางสาวปภาวรินท์  โภคาพิพัฒน์</t>
  </si>
  <si>
    <t>papawarinp@senxgroup.com</t>
  </si>
  <si>
    <t>ยกเลิกสัญญาบริหาร</t>
  </si>
  <si>
    <t>VMS680165</t>
  </si>
  <si>
    <t>นางสาววรรณรัตน์  สุวรรณ</t>
  </si>
  <si>
    <t>wannarats@senxgroup.com</t>
  </si>
  <si>
    <t>VMS670165</t>
  </si>
  <si>
    <t>นายพลศิษฎ์  รัตนเกื้อกูลชัย</t>
  </si>
  <si>
    <t>ponlasitr@senxgroup.com</t>
  </si>
  <si>
    <t>VMS670166</t>
  </si>
  <si>
    <t>นายไตยภพ  นาคลี</t>
  </si>
  <si>
    <t>tripopn@senxgroup.com</t>
  </si>
  <si>
    <t>VMS690035</t>
  </si>
  <si>
    <t>นายธงไชย  ดูระภักดิ์</t>
  </si>
  <si>
    <t>thongchaid@senxgroup.com</t>
  </si>
  <si>
    <t>VMS680154</t>
  </si>
  <si>
    <t>นายเกรียงไกร  ศรีครั่ง</t>
  </si>
  <si>
    <t>kriangkrais@senxgroup.com</t>
  </si>
  <si>
    <t>VMS680331</t>
  </si>
  <si>
    <t>นายณภัทร  ยอดแก้ว</t>
  </si>
  <si>
    <t>แผนกอาคารชุด ติร ติรา</t>
  </si>
  <si>
    <t>naphaty@senxgroup.com</t>
  </si>
  <si>
    <t>VMS690122</t>
  </si>
  <si>
    <t>นายพีรวัฒน์  ปัญญาเสน</t>
  </si>
  <si>
    <t>peerawatp@senxgroup.com</t>
  </si>
  <si>
    <t>วันที่</t>
  </si>
  <si>
    <t>ชื่อนามสกุล</t>
  </si>
  <si>
    <t>ฝ่าย/แผนก</t>
  </si>
  <si>
    <t>วันที่พ้นสภาพ</t>
  </si>
  <si>
    <t>เลขที่เอกสารใบลาออก</t>
  </si>
  <si>
    <t>เลขที่เอกสาร Sena D</t>
  </si>
  <si>
    <t>เลขที่เอกสาร Sen X</t>
  </si>
  <si>
    <t>เลขที่เอกสาร Sena Green</t>
  </si>
  <si>
    <t>SD660001</t>
  </si>
  <si>
    <t>นางสาวกาญจนา เทวกุล</t>
  </si>
  <si>
    <t>21 ผู้อำนวยการอาวุโส</t>
  </si>
  <si>
    <t>สายงาน Brand &amp; Strategic Communication</t>
  </si>
  <si>
    <t>2024-001</t>
  </si>
  <si>
    <t>SX670050</t>
  </si>
  <si>
    <t>นายธวัช สินสิงห์</t>
  </si>
  <si>
    <t>ฝ่ายก่อสร้าง 52C</t>
  </si>
  <si>
    <t>2024-002</t>
  </si>
  <si>
    <t>SX-2024-001</t>
  </si>
  <si>
    <t>BK660105</t>
  </si>
  <si>
    <t>นางสาวกฤติยา พวงปัญญา</t>
  </si>
  <si>
    <t>2024-003</t>
  </si>
  <si>
    <t>SD650010</t>
  </si>
  <si>
    <t>นายธีระวัต  เกิดสุข</t>
  </si>
  <si>
    <t>7155 เจ้าหน้าที่กราฟฟิค</t>
  </si>
  <si>
    <t>แผนก Graphic Designer</t>
  </si>
  <si>
    <t>2024-004</t>
  </si>
  <si>
    <t>BK610104</t>
  </si>
  <si>
    <t>อุบลทิพย์ เอกชัยเรืองเดช</t>
  </si>
  <si>
    <t>แผนกพัฒนาธุรกิจและสรรหาที่ดิน</t>
  </si>
  <si>
    <t>2024-005</t>
  </si>
  <si>
    <t>MMS660436</t>
  </si>
  <si>
    <t>นางสาวอัยลดา กรโกษา</t>
  </si>
  <si>
    <t>ฝ่ายการตลาดธุรกิจ 2D</t>
  </si>
  <si>
    <t>2024-006</t>
  </si>
  <si>
    <t>BK660130</t>
  </si>
  <si>
    <t>นางสาวปนัดดา ศรีมาตย์</t>
  </si>
  <si>
    <t>7451 เจ้าหน้าที่สินเชื่อ</t>
  </si>
  <si>
    <t>2024-007</t>
  </si>
  <si>
    <t>BK660144</t>
  </si>
  <si>
    <t>นางสาวพิรญาณ์ พิมพา</t>
  </si>
  <si>
    <t>7453 เจ้าหน้าที่ภูมิทัศน์</t>
  </si>
  <si>
    <t>แผนกดูแลภูมิทัศน์</t>
  </si>
  <si>
    <t>2024-008</t>
  </si>
  <si>
    <t>BK650039</t>
  </si>
  <si>
    <t>นางสาวเพ็ญพิชชา แซ่หลี</t>
  </si>
  <si>
    <t>2024-009</t>
  </si>
  <si>
    <t>VMS660042</t>
  </si>
  <si>
    <t>นายนิธิพล คัมภีรพันธ์</t>
  </si>
  <si>
    <t>ส่วนงานวิศวกรรม</t>
  </si>
  <si>
    <t>2024-010</t>
  </si>
  <si>
    <t>SX-VMS2024-001</t>
  </si>
  <si>
    <t>VMS650135</t>
  </si>
  <si>
    <t>นายพุฒ กกกลิ่น</t>
  </si>
  <si>
    <t>2024-011</t>
  </si>
  <si>
    <t>SX-VMS2024-002</t>
  </si>
  <si>
    <t>MMS660398</t>
  </si>
  <si>
    <t>นางสาวภัสร์ฐิตา ตรีภพวริทธิ์ธร</t>
  </si>
  <si>
    <t>บ้านร่วมทางฝัน 6 ปิ่นเกล้า-บรมราชชนนี</t>
  </si>
  <si>
    <t>2024-012</t>
  </si>
  <si>
    <t>BK650105</t>
  </si>
  <si>
    <t>นางสาวธรรญธร โคมพันธ์</t>
  </si>
  <si>
    <t>7705 เจ้าหน้าที่โอนกรรมสิทธิ์</t>
  </si>
  <si>
    <t>แผนกโอนกรรมสิทธิ์</t>
  </si>
  <si>
    <t>2024-013</t>
  </si>
  <si>
    <t>VMS660120</t>
  </si>
  <si>
    <t>นายเดชา อุ่นหะวงค์</t>
  </si>
  <si>
    <t>2024-014</t>
  </si>
  <si>
    <t>SX-VMS2024-003</t>
  </si>
  <si>
    <t>VMS660134</t>
  </si>
  <si>
    <t>นายธนวัฒน์ พิวัฒน์สมบัติ</t>
  </si>
  <si>
    <t>2024-015</t>
  </si>
  <si>
    <t>SX-VMS2024-004</t>
  </si>
  <si>
    <t>BK650277</t>
  </si>
  <si>
    <t>นายชัยวิชิต เจริญชัยเพชร</t>
  </si>
  <si>
    <t>2024-016</t>
  </si>
  <si>
    <t>MMS660430</t>
  </si>
  <si>
    <t>นายศิร พวงธนสาร</t>
  </si>
  <si>
    <t>แผนกการตลาดธุรกิจ 2B</t>
  </si>
  <si>
    <t>2024-017</t>
  </si>
  <si>
    <t>SX670064</t>
  </si>
  <si>
    <t>นายสิทธิชัย มีสุข</t>
  </si>
  <si>
    <t>7502 ช่างสำรวจ</t>
  </si>
  <si>
    <t>ส่วนสำรวจโครงการก่อสร้าง 52</t>
  </si>
  <si>
    <t>2024-018</t>
  </si>
  <si>
    <t>SX-2024-002</t>
  </si>
  <si>
    <t>MMS670014</t>
  </si>
  <si>
    <t>นางสาวรัชนีกร ผ่องใส</t>
  </si>
  <si>
    <t>แผนกการตลาดธุรกิจ 41A</t>
  </si>
  <si>
    <t>2024-019</t>
  </si>
  <si>
    <t>นางสาวรุจิรา น้ำทอง</t>
  </si>
  <si>
    <t>2024-020</t>
  </si>
  <si>
    <t>ELR660003</t>
  </si>
  <si>
    <t>นางสาวเสาวณี สุขขำมาศ</t>
  </si>
  <si>
    <t>7971 เจ้าหน้าที่ต้อนรับและบริการ</t>
  </si>
  <si>
    <t>2024-021</t>
  </si>
  <si>
    <t>SX-ELR2024-001</t>
  </si>
  <si>
    <t>BK620192</t>
  </si>
  <si>
    <t>นางสาวอนุศรา สิงห์สา</t>
  </si>
  <si>
    <t>31 ผู้จัดการอาวุโส</t>
  </si>
  <si>
    <t>ฝ่ายจัดสรรเงินทุน</t>
  </si>
  <si>
    <t>2024-022</t>
  </si>
  <si>
    <t>SP17660004</t>
  </si>
  <si>
    <t>วิลาวัณย์ อุดศรี</t>
  </si>
  <si>
    <t>แผนกบัญชีลูกหนี้ (ร่วมทุน)</t>
  </si>
  <si>
    <t>2024-023</t>
  </si>
  <si>
    <t>MMS660219</t>
  </si>
  <si>
    <t>นางสาวธนัชภรณ์ พรมวาด</t>
  </si>
  <si>
    <t>เสนาคิทท์ สาทร-กัลปพฤกษ์</t>
  </si>
  <si>
    <t>2024-024</t>
  </si>
  <si>
    <t>MMS650142</t>
  </si>
  <si>
    <t>นางสาวรัฐติกรณ์ ฤทธิ์ประเสริฐ</t>
  </si>
  <si>
    <t>เสนา คิทท์ เพชรเกษม-พุทธมณฑลสาย 7</t>
  </si>
  <si>
    <t>2024-025</t>
  </si>
  <si>
    <t>VMS660103</t>
  </si>
  <si>
    <t xml:space="preserve">นายสนิท อินประภัทตร์  </t>
  </si>
  <si>
    <t>แผนกวิศวกรรมส่วนกลาง</t>
  </si>
  <si>
    <t>2024-026</t>
  </si>
  <si>
    <t>SX-VMS2024-005</t>
  </si>
  <si>
    <t>MMS660312</t>
  </si>
  <si>
    <t>นางสาวปาลญา อัศวะลาภา</t>
  </si>
  <si>
    <t>2024-027</t>
  </si>
  <si>
    <t>VMS620065</t>
  </si>
  <si>
    <t>นายประชา สมจิตร์</t>
  </si>
  <si>
    <t>6856 หัวหน้าช่างประจำอาคารอาวุโส</t>
  </si>
  <si>
    <t>แผนกพัฒนางานบริหารอาคาร (Start Up)</t>
  </si>
  <si>
    <t>2024-029</t>
  </si>
  <si>
    <t>SX-VMS2024-006</t>
  </si>
  <si>
    <t>SX660026</t>
  </si>
  <si>
    <t>นายสุภกิณห์ ภัทรมั่นคงสกุล</t>
  </si>
  <si>
    <t>7755 เจ้าหน้าที่บัญชีต้นทุน</t>
  </si>
  <si>
    <t>2024-030</t>
  </si>
  <si>
    <t>SX-2024-003</t>
  </si>
  <si>
    <t>BK660035</t>
  </si>
  <si>
    <t>นายภูวเดช อีศรัตน์</t>
  </si>
  <si>
    <t>เจ้าหน้าที่อาวุโส</t>
  </si>
  <si>
    <t>แผนกสินเชื่อ 1</t>
  </si>
  <si>
    <t>2024-031</t>
  </si>
  <si>
    <t>SP18660003</t>
  </si>
  <si>
    <t>นางสาวกนกทิพย์ แก้วสียา</t>
  </si>
  <si>
    <t>แผนกบัญชีงบการเงิน (ร่วมทุน)</t>
  </si>
  <si>
    <t>2024-032</t>
  </si>
  <si>
    <t>BK610009</t>
  </si>
  <si>
    <t>นายศุภกร ศรีวิเศษ</t>
  </si>
  <si>
    <t>แผนก DESIGN DEVELOP</t>
  </si>
  <si>
    <t>2024-033</t>
  </si>
  <si>
    <t>MMS650047</t>
  </si>
  <si>
    <t>นางสาวธนกร ใหม่จันทร์</t>
  </si>
  <si>
    <t>แผนกการตลาดธุรกิจ 12</t>
  </si>
  <si>
    <t>2024-034</t>
  </si>
  <si>
    <t>BK660002</t>
  </si>
  <si>
    <t>นางสาวแพรพลอย สุขสุทอง</t>
  </si>
  <si>
    <t>7601 เจ้าหน้าที่จัดซื้อ</t>
  </si>
  <si>
    <t>แผนกจัดซื้อแนวสูง</t>
  </si>
  <si>
    <t>2024-035</t>
  </si>
  <si>
    <t>BK670040</t>
  </si>
  <si>
    <t>นางสาวยุวเทวี กลางบุรัมย์</t>
  </si>
  <si>
    <t>สายงาน Supply Chain Planning</t>
  </si>
  <si>
    <t>2024-036</t>
  </si>
  <si>
    <t>BK650299</t>
  </si>
  <si>
    <t>นางสาวปรีดาวรรณ ทัพพ่วง</t>
  </si>
  <si>
    <t>สายงานบริการลูกค้าด้านสินเชื่อ</t>
  </si>
  <si>
    <t>2024-037</t>
  </si>
  <si>
    <t>VMS660034</t>
  </si>
  <si>
    <t>นายภาวัช นราสินธนโชค</t>
  </si>
  <si>
    <t>แผนกอาคารชุด นิช โมโน เมกะ สเปซ บางนา</t>
  </si>
  <si>
    <t>2024-038</t>
  </si>
  <si>
    <t>SX-VMS2024-007</t>
  </si>
  <si>
    <t>VMS650109</t>
  </si>
  <si>
    <t>นายนนวัต บวรวัชรเมธี</t>
  </si>
  <si>
    <t>2024-039</t>
  </si>
  <si>
    <t>SX-VMS2024-008</t>
  </si>
  <si>
    <t>VMS650118</t>
  </si>
  <si>
    <t>นางสาวอาแอเสาะ สาแล๊ะ</t>
  </si>
  <si>
    <t>ส่วนงานดูแลอาคาร</t>
  </si>
  <si>
    <t>2024-040</t>
  </si>
  <si>
    <t>SX-VMS2024-009</t>
  </si>
  <si>
    <t>SD650008</t>
  </si>
  <si>
    <t>นายอธิรักษ์ ธรมธัช</t>
  </si>
  <si>
    <t>7157 เจ้าหน้าที่การตลาดออนไลน์</t>
  </si>
  <si>
    <t>แผนก Online Marketing</t>
  </si>
  <si>
    <t>2024-041</t>
  </si>
  <si>
    <t>BK640183</t>
  </si>
  <si>
    <t>นายโสภณัฐ พรมสุทธิพันธ์</t>
  </si>
  <si>
    <t>2024-042</t>
  </si>
  <si>
    <t>VMS630030</t>
  </si>
  <si>
    <t>นายสิทธิกร ปานบุญทอง</t>
  </si>
  <si>
    <t>2024-043</t>
  </si>
  <si>
    <t>SX-VMS2024-010</t>
  </si>
  <si>
    <t>VMS660108</t>
  </si>
  <si>
    <t>นางสาวมุทิตา เปล่งสงคราม</t>
  </si>
  <si>
    <t>ฝ่ายบริหารนิติบุคคลหมู่บ้านจัดสรร (SENA)</t>
  </si>
  <si>
    <t>2024-044</t>
  </si>
  <si>
    <t>SX-VMS2024-011</t>
  </si>
  <si>
    <t>MMS660308</t>
  </si>
  <si>
    <t>นายสุทัศน์ มาตรักษ์</t>
  </si>
  <si>
    <t>2024-045</t>
  </si>
  <si>
    <t>VMS640037</t>
  </si>
  <si>
    <t>นายประพัทธ์ สืบรักษ์</t>
  </si>
  <si>
    <t>2024-046</t>
  </si>
  <si>
    <t>SX-VMS2024-012</t>
  </si>
  <si>
    <t>VMS640029</t>
  </si>
  <si>
    <t>นางสาวสุกัญญา โพธิ์ประยูร</t>
  </si>
  <si>
    <t>2024-047</t>
  </si>
  <si>
    <t>SX-VMS2024-013</t>
  </si>
  <si>
    <t>VMS650102</t>
  </si>
  <si>
    <t>นายกฤตเมธ สีสัย</t>
  </si>
  <si>
    <t>2024-048</t>
  </si>
  <si>
    <t>SX-VMS2024-014</t>
  </si>
  <si>
    <t>BK660041</t>
  </si>
  <si>
    <t>นางสาวปวริศา โสภาวาง</t>
  </si>
  <si>
    <t>7303 เจ้าหน้าที่กำกับดูแล</t>
  </si>
  <si>
    <t>2024-049</t>
  </si>
  <si>
    <t>MMS660316</t>
  </si>
  <si>
    <t>นางสาวพรรณทิพย์ หิรัญศุภโชติ</t>
  </si>
  <si>
    <t>เสนาคิทท์ รัตนาธิเบศร์-บางบัวทอง</t>
  </si>
  <si>
    <t>2024-050</t>
  </si>
  <si>
    <t>BK660060</t>
  </si>
  <si>
    <t>นางสาวจินตนา นิกรรัมย์</t>
  </si>
  <si>
    <t>7352 เจ้าหน้าที่ประสานงานโครงการ</t>
  </si>
  <si>
    <t>สายงานพัฒนาโครงการและพัฒนาผลิตภัณฑ์</t>
  </si>
  <si>
    <t>2024-051</t>
  </si>
  <si>
    <t>SX660033</t>
  </si>
  <si>
    <t>นางสาวจิตปราณี สีหนาทธัญญ</t>
  </si>
  <si>
    <t>แผนกบัญชีทั่วไป</t>
  </si>
  <si>
    <t>2024-052</t>
  </si>
  <si>
    <t>SX-2024-004</t>
  </si>
  <si>
    <t>MMS650485</t>
  </si>
  <si>
    <t>นายชลกร อุ่นมีศรี</t>
  </si>
  <si>
    <t>7354 Project Coordinator</t>
  </si>
  <si>
    <t>สายงานก่อสร้าง 11</t>
  </si>
  <si>
    <t>2024-053</t>
  </si>
  <si>
    <t>BK660095</t>
  </si>
  <si>
    <t>นางสาวกาญจนา กาบินพงษ์</t>
  </si>
  <si>
    <t>แผนกบริการสำนักงาน</t>
  </si>
  <si>
    <t>2024-054</t>
  </si>
  <si>
    <t>BK660009</t>
  </si>
  <si>
    <t>นายมนตรี อินทร์สำราญ</t>
  </si>
  <si>
    <t>7503 โฟร์แมนเกษตร</t>
  </si>
  <si>
    <t>แผนกดูแลภูมิทัศน์ (Green)</t>
  </si>
  <si>
    <t>2024-055</t>
  </si>
  <si>
    <t>BK560029</t>
  </si>
  <si>
    <t>นางสาวนิตยา วงษ์ดี</t>
  </si>
  <si>
    <t>49 เลขานุการผู้ช่วยกรรมการผู้จัดการ</t>
  </si>
  <si>
    <t>สายงานสนับสนุนงานก่อสร้าง</t>
  </si>
  <si>
    <t>2024-056</t>
  </si>
  <si>
    <t>MMS650082</t>
  </si>
  <si>
    <t>นายวัชรพล ธรรมรักษ์เจริญ</t>
  </si>
  <si>
    <t>2024-057</t>
  </si>
  <si>
    <t>SX670072</t>
  </si>
  <si>
    <t>ว่าที่ ร.ต.หญิงอรอุมา นิลรักษา</t>
  </si>
  <si>
    <t>ส่วนการขายเสนา อเวนิว 1-2 และเวล่า รังสิต - คลอง 1</t>
  </si>
  <si>
    <t>2024-058</t>
  </si>
  <si>
    <t>SX-2024-005</t>
  </si>
  <si>
    <t>VMS640030</t>
  </si>
  <si>
    <t>นายภูริพัฒน์ พวงสมบัติ</t>
  </si>
  <si>
    <t>2024-059</t>
  </si>
  <si>
    <t>SX-VMS2024-015</t>
  </si>
  <si>
    <t>VMS640032</t>
  </si>
  <si>
    <t>นายกระแสฟ้า หวังผล</t>
  </si>
  <si>
    <t>2024-060</t>
  </si>
  <si>
    <t>SX-VMS2024-016</t>
  </si>
  <si>
    <t>MMS650120</t>
  </si>
  <si>
    <t>นางสาวฐิติภรณ์ บำรุงสงฆ์</t>
  </si>
  <si>
    <t>เสนา วีว่า ฉลองกรุง - ลาดกระบัง</t>
  </si>
  <si>
    <t>2024-061</t>
  </si>
  <si>
    <t>SX670079</t>
  </si>
  <si>
    <t>นางสาวสุกัญญา ศรีวิชัย</t>
  </si>
  <si>
    <t>ส่วนการขายเสนา วิลเลจ ติวานนท์ - บางกะดี</t>
  </si>
  <si>
    <t>2024-062</t>
  </si>
  <si>
    <t>SX-2024-006</t>
  </si>
  <si>
    <t>VMS660041</t>
  </si>
  <si>
    <t>นายพีรพล พุทธชาติกุล</t>
  </si>
  <si>
    <t>2024-063</t>
  </si>
  <si>
    <t>SX-VMS2024-017</t>
  </si>
  <si>
    <t>MMS650511</t>
  </si>
  <si>
    <t>นางสาวณัฐพร แซ่ล้อ</t>
  </si>
  <si>
    <t>สำนักบริหารโครงการ 2</t>
  </si>
  <si>
    <t>2024-064</t>
  </si>
  <si>
    <t>2024-065</t>
  </si>
  <si>
    <t>BK660021</t>
  </si>
  <si>
    <t>นายเสกสม จิรวรรณสกุล</t>
  </si>
  <si>
    <t>สายงานบริหารทรัพยากรบุคคล</t>
  </si>
  <si>
    <t>2024-066</t>
  </si>
  <si>
    <t>MMS650089</t>
  </si>
  <si>
    <t>นายกิตติภณ อภิโรจน์</t>
  </si>
  <si>
    <t>6404 เจ้าหน้าที่การตลาดภาคสนามอาวุโส</t>
  </si>
  <si>
    <t>แผนกการตลาดธุรกิจ 3A</t>
  </si>
  <si>
    <t>2024-067</t>
  </si>
  <si>
    <t>JSA670003</t>
  </si>
  <si>
    <t>น.ส.ตวิษา ธรรมดี</t>
  </si>
  <si>
    <t>แผนกบริหารเสนาเฮ้าส์ สาขาพหลโยธิน 30</t>
  </si>
  <si>
    <t>2024-068</t>
  </si>
  <si>
    <t>SX-JSA2024-001</t>
  </si>
  <si>
    <t>MMS660222</t>
  </si>
  <si>
    <t>นายอดิพงษ์ วงศ์จันลา</t>
  </si>
  <si>
    <t>วิศวกรไฟฟ้า</t>
  </si>
  <si>
    <t>เสนา แกรนด์ โฮม บางนา กม.29</t>
  </si>
  <si>
    <t>2024-069</t>
  </si>
  <si>
    <t>VMS660082</t>
  </si>
  <si>
    <t>นายรินทร์ลภัทร เพ็งจันทร์</t>
  </si>
  <si>
    <t>2024-070</t>
  </si>
  <si>
    <t>SX-VMS2024-018</t>
  </si>
  <si>
    <t>MMS660379</t>
  </si>
  <si>
    <t xml:space="preserve">นายสุทธิพงษ์ บุญล้ำเลิศ </t>
  </si>
  <si>
    <t>เสนา เวล่า เทพารักษ์-บางบ่อ</t>
  </si>
  <si>
    <t>2024-071</t>
  </si>
  <si>
    <t>MMS650233</t>
  </si>
  <si>
    <t xml:space="preserve">นางสาวดวงชีวัน  กลิ่นเกษร </t>
  </si>
  <si>
    <t>เสนา วิลล์ รามอินทรา กม.8</t>
  </si>
  <si>
    <t>2024-072</t>
  </si>
  <si>
    <t>ELR660006</t>
  </si>
  <si>
    <t>นายเกียรติกูล แก้วภูมิแห</t>
  </si>
  <si>
    <t>พนักงานต้อนรับ</t>
  </si>
  <si>
    <t>โครงการ ปีติ สุขุมวิท101</t>
  </si>
  <si>
    <t>2024-073</t>
  </si>
  <si>
    <t>SX-ELR2024-002</t>
  </si>
  <si>
    <t>SX660028</t>
  </si>
  <si>
    <t>น.ส.ศศิธร โชติกุล</t>
  </si>
  <si>
    <t>เจ้าหน้าที่บัญชีเจ้าหนี้</t>
  </si>
  <si>
    <t>แผนกบัญชีเจ้าหนี้</t>
  </si>
  <si>
    <t>2024-074</t>
  </si>
  <si>
    <t>SX-2024-007</t>
  </si>
  <si>
    <t>BK650234</t>
  </si>
  <si>
    <t>นายพิชา ปานรักษา</t>
  </si>
  <si>
    <t>ผู้อำนวยการอาวุโส</t>
  </si>
  <si>
    <t>สายงานกลยุทธ์ธุรกิจ</t>
  </si>
  <si>
    <t>2024-075</t>
  </si>
  <si>
    <t>BK660071</t>
  </si>
  <si>
    <t>ลักษณพร เอี่ยมสำอางค์</t>
  </si>
  <si>
    <t>7751 เจ้าหน้าที่บัญชีจ่าย</t>
  </si>
  <si>
    <t>ฝ่ายบัญชีจ่าย-เจ้าหนี้</t>
  </si>
  <si>
    <t>2024-076</t>
  </si>
  <si>
    <t>MMS650522</t>
  </si>
  <si>
    <t>นายวิทยา สาที</t>
  </si>
  <si>
    <t>ผูู้จัดการโครงการ</t>
  </si>
  <si>
    <t>ก่อสร้างเสนาคิทท์ ศรีนครินทร์ – ศรีด่าน</t>
  </si>
  <si>
    <t>-</t>
  </si>
  <si>
    <t>SD2024-001</t>
  </si>
  <si>
    <t>MMS660200</t>
  </si>
  <si>
    <t>นายพงศ์พิสุทธิ์ ก้อนแก้ว</t>
  </si>
  <si>
    <t>เฟล็กซี่ สุขสวัสดิ์</t>
  </si>
  <si>
    <t>SD2024-002</t>
  </si>
  <si>
    <t>AR670109</t>
  </si>
  <si>
    <t>ธนบัตร สนิท</t>
  </si>
  <si>
    <t>ช่างเทคนิค</t>
  </si>
  <si>
    <t>นิติฯ เบลกราเวีย เรสซิเดนซ์</t>
  </si>
  <si>
    <t>SX-AR2024-001</t>
  </si>
  <si>
    <t>AR670099</t>
  </si>
  <si>
    <t>ศุภนีพร ลางคุลเสน</t>
  </si>
  <si>
    <t>ผู้จัดการอาคาร</t>
  </si>
  <si>
    <t>SX-AR2024-005</t>
  </si>
  <si>
    <t>AR670155</t>
  </si>
  <si>
    <t>ฉัตรชัย เกสลาม</t>
  </si>
  <si>
    <t>นิติฯ แมเนอร์ สนามบินน้ำ</t>
  </si>
  <si>
    <t>SX-AR2024-006</t>
  </si>
  <si>
    <t>AR670126</t>
  </si>
  <si>
    <t>ณัฐวุฒิ เจริญวงค์</t>
  </si>
  <si>
    <t>SX-AR2024-007</t>
  </si>
  <si>
    <t>AR670207</t>
  </si>
  <si>
    <t>นายบุญฤทธิ์ ทองห่อ</t>
  </si>
  <si>
    <t>นิติฯ เดอะเชดด์ สาทร 1</t>
  </si>
  <si>
    <t>SX-AR2024-008</t>
  </si>
  <si>
    <t>AR670165</t>
  </si>
  <si>
    <t>ณัฐวุฒิ พุ่มหมัน</t>
  </si>
  <si>
    <t>SX-AR2024-009</t>
  </si>
  <si>
    <t>AR670187</t>
  </si>
  <si>
    <t>วงศ์วิช ธันยวาท</t>
  </si>
  <si>
    <t>SX-AR2024-010</t>
  </si>
  <si>
    <t>AR670133</t>
  </si>
  <si>
    <t>พัชรพงษ์ ดีโท</t>
  </si>
  <si>
    <t>นิติฯ พลัมคอนโด รังสิต อไลฟ์ 2</t>
  </si>
  <si>
    <t>SX-AR2024-011</t>
  </si>
  <si>
    <t>AR670141</t>
  </si>
  <si>
    <t>พงศธร คำวันดี</t>
  </si>
  <si>
    <t>SX-AR2024-012</t>
  </si>
  <si>
    <t>AR670130</t>
  </si>
  <si>
    <t>กิตติ นพตะนา</t>
  </si>
  <si>
    <t>SX-AR2024-013</t>
  </si>
  <si>
    <t>AR670156</t>
  </si>
  <si>
    <t>อนันต์ หมัดสะและห์</t>
  </si>
  <si>
    <t>ผู้ช่วยช่างอาคาร</t>
  </si>
  <si>
    <t>SX-AR2024-015</t>
  </si>
  <si>
    <t>AR670119</t>
  </si>
  <si>
    <t>เอกนรินทร์ ศรีศักดิ์นอก</t>
  </si>
  <si>
    <t>นิติฯ พลัมคอนโด รามคำแหง 60 สเตชั่น</t>
  </si>
  <si>
    <t>SX-AR2024-016</t>
  </si>
  <si>
    <t>AR670179</t>
  </si>
  <si>
    <t>มณีรัตน์ วงศ์ริน</t>
  </si>
  <si>
    <t>เจ้าหน้าที่ธุรการ</t>
  </si>
  <si>
    <t>นิติฯ เลทีเซีย</t>
  </si>
  <si>
    <t>SX-AR2024-017</t>
  </si>
  <si>
    <t>AR670061</t>
  </si>
  <si>
    <t>กิตติกร ปวงบุผา</t>
  </si>
  <si>
    <t>SX-AR2024-018</t>
  </si>
  <si>
    <t>AR670208</t>
  </si>
  <si>
    <t>ลาภิสลา เจริญสุข</t>
  </si>
  <si>
    <t>นิติฯ เอชทู</t>
  </si>
  <si>
    <t>SX-AR2024-019</t>
  </si>
  <si>
    <t>AR670209</t>
  </si>
  <si>
    <t>ทรงฉัตร เนาวราช</t>
  </si>
  <si>
    <t>หัวหน้าช่างเทคนิค</t>
  </si>
  <si>
    <t>SX-AR2024-020</t>
  </si>
  <si>
    <t>AR670169</t>
  </si>
  <si>
    <t>ธนายุทธ บุตรมณี</t>
  </si>
  <si>
    <t>นิติฯ ศุภาลัย ซิตี้ รีสอร์ท ระยอง</t>
  </si>
  <si>
    <t>SX-AR2024-021</t>
  </si>
  <si>
    <t>AR670186</t>
  </si>
  <si>
    <t>สันติภาพ ตระการจันทร์</t>
  </si>
  <si>
    <t>นิติฯ โมทีฟ คอนโด</t>
  </si>
  <si>
    <t>SX-AR2024-022</t>
  </si>
  <si>
    <t>AR670194</t>
  </si>
  <si>
    <t>มานพ แก้วเนตร</t>
  </si>
  <si>
    <t>นิติฯ เดอะซีเครซ หัวหิน</t>
  </si>
  <si>
    <t>SX-AR2024-023</t>
  </si>
  <si>
    <t>AR670168</t>
  </si>
  <si>
    <t>จินดามาศ ต่ายเทศ</t>
  </si>
  <si>
    <t>เจ้าหน้าที่อาคาร</t>
  </si>
  <si>
    <t>SX-AR2024-024</t>
  </si>
  <si>
    <t>AR670110</t>
  </si>
  <si>
    <t>สารัช ศรีบูรณ์</t>
  </si>
  <si>
    <t>นิติฯ ศุภาลัย มอนเต้ 1</t>
  </si>
  <si>
    <t>SX-AR2024-025</t>
  </si>
  <si>
    <t>AR670215</t>
  </si>
  <si>
    <t>ภาคิไนย ชัยสุวยรรณ์</t>
  </si>
  <si>
    <t>ผู้จัดการหมู่บ้าน</t>
  </si>
  <si>
    <t>หมู่บ้านจัดสรรศุภาลัย มณฑลา ปิ่นเกล้า-พุทธมณฑลสาย 1</t>
  </si>
  <si>
    <t>SX-AR2024-026</t>
  </si>
  <si>
    <t>AR670074</t>
  </si>
  <si>
    <t>วิษณุ คงยิ้ม</t>
  </si>
  <si>
    <t>SX-AR2024-027</t>
  </si>
  <si>
    <t>AR670214</t>
  </si>
  <si>
    <t>มนัส ดีขาย</t>
  </si>
  <si>
    <t>SX-AR2024-028</t>
  </si>
  <si>
    <t>AR670212</t>
  </si>
  <si>
    <t>พนิตา มารศรี</t>
  </si>
  <si>
    <t>SX-AR2024-029</t>
  </si>
  <si>
    <t>AR670148</t>
  </si>
  <si>
    <t>วิรัช ติระนิ่ว</t>
  </si>
  <si>
    <t>นิติฯ เดอะทรี อินเตอร์เชนจ์</t>
  </si>
  <si>
    <t>SX-AR2024-030</t>
  </si>
  <si>
    <t>AR670189</t>
  </si>
  <si>
    <t>สุพิชฌาย์ วิชัยโย</t>
  </si>
  <si>
    <t>เจ้าหน้าที่ธุรการการเงิน</t>
  </si>
  <si>
    <t>SX-AR2024-031</t>
  </si>
  <si>
    <t>AR670203</t>
  </si>
  <si>
    <t>ศิวะกร พงศ์ธนัชชานน</t>
  </si>
  <si>
    <t>SX-AR2024-032</t>
  </si>
  <si>
    <t>AR670225</t>
  </si>
  <si>
    <t>รักสิทธิ์ วงค์ยอด</t>
  </si>
  <si>
    <t>อาคารชุด มิว</t>
  </si>
  <si>
    <t>SX-AR2024-033</t>
  </si>
  <si>
    <t>AR670048</t>
  </si>
  <si>
    <t>ภาณุวัฒน์ โยธา</t>
  </si>
  <si>
    <t>นิติฯ คาซ่า24</t>
  </si>
  <si>
    <t>SX-AR2024-034</t>
  </si>
  <si>
    <t>AR670096</t>
  </si>
  <si>
    <t>จตุรงค์ แหวนคำ</t>
  </si>
  <si>
    <t>นิติฯ แอทโมช รัชดา-ห้วยขวาง</t>
  </si>
  <si>
    <t>SX-AR2024-038</t>
  </si>
  <si>
    <t>AR670104</t>
  </si>
  <si>
    <t>เกียรติศักดิ์ มูลทรัพย์</t>
  </si>
  <si>
    <t>SX-AR2024-039</t>
  </si>
  <si>
    <t>AR670154</t>
  </si>
  <si>
    <t>คุณจักรกฤษณ์ วุธรา</t>
  </si>
  <si>
    <t>SX-AR2024-040</t>
  </si>
  <si>
    <t>AR670132</t>
  </si>
  <si>
    <t>สุชาดา พันธ์ฆ้อง</t>
  </si>
  <si>
    <t>SX-AR2024-041</t>
  </si>
  <si>
    <t>AR670137</t>
  </si>
  <si>
    <t>คุณสัมพันธ์ จันทร์หอม</t>
  </si>
  <si>
    <t>SX-AR2024-042</t>
  </si>
  <si>
    <t>AR670066</t>
  </si>
  <si>
    <t>ธมภร พุทธดี</t>
  </si>
  <si>
    <t>SX-AR2024-043</t>
  </si>
  <si>
    <t>AU670034</t>
  </si>
  <si>
    <t>นางสาวภัคณภัทร เหมพนม</t>
  </si>
  <si>
    <t>7403 เจ้าหน้าที่ขาย</t>
  </si>
  <si>
    <t>แผนกขายโครงการ</t>
  </si>
  <si>
    <t>SX-AU2024-001</t>
  </si>
  <si>
    <t>AU670038</t>
  </si>
  <si>
    <t>นางสาวธนภรณ์ เชิดชู</t>
  </si>
  <si>
    <t>ฝ่ายขายและให้เช่าทั่วไป</t>
  </si>
  <si>
    <t>SX-AU2024-002</t>
  </si>
  <si>
    <t>AU670032</t>
  </si>
  <si>
    <t>อุมาวดี สัตตัง</t>
  </si>
  <si>
    <t>SX-AU2024-003</t>
  </si>
  <si>
    <t>AU670039</t>
  </si>
  <si>
    <t>ขวัญฤทัย แยบไพคำ</t>
  </si>
  <si>
    <t>SX-AU2024-004</t>
  </si>
  <si>
    <t>AU670036</t>
  </si>
  <si>
    <t>อรพรรณ เอี่ยมสอาด</t>
  </si>
  <si>
    <t>SX-AU2024-005</t>
  </si>
  <si>
    <t>MMS660129</t>
  </si>
  <si>
    <t>น.ส.วรางคณา ศรีวัฒนกุล</t>
  </si>
  <si>
    <t>SD-2024-003</t>
  </si>
  <si>
    <t>MMS660364</t>
  </si>
  <si>
    <t>นายอาทิตย์ สนธิกุล</t>
  </si>
  <si>
    <t>เสนา เวล่า รามอินทรา</t>
  </si>
  <si>
    <t>SD-2024-004</t>
  </si>
  <si>
    <t>SX670059</t>
  </si>
  <si>
    <t>นายชินดนัย ภู่บุญ</t>
  </si>
  <si>
    <t>5301020501 ส่วนเสนา วีว่า ศรีราชา - อัสสัมชัญ</t>
  </si>
  <si>
    <t>SX-2024-008</t>
  </si>
  <si>
    <t>SX660009</t>
  </si>
  <si>
    <t>นายพิชิตพล ตนานนท์</t>
  </si>
  <si>
    <t>แผนกการตลาดโครงการปีติ 101</t>
  </si>
  <si>
    <t>SX-2024-014</t>
  </si>
  <si>
    <t>SX670101</t>
  </si>
  <si>
    <t>นางสาวเมธิยา ตันติ๊บ</t>
  </si>
  <si>
    <t>แผนกการขายโซนศรีราชา - บ่อวิน</t>
  </si>
  <si>
    <t>SX-2024-015</t>
  </si>
  <si>
    <t>SX670114</t>
  </si>
  <si>
    <t>นายทรงสิทธิ์ เวธิตะ</t>
  </si>
  <si>
    <t>แผนกการขายโซนวงแหวน - บางบัวทอง</t>
  </si>
  <si>
    <t>SX-2024-016</t>
  </si>
  <si>
    <t>JSA670004</t>
  </si>
  <si>
    <t>นางสาวสุภาพร มิ่งสำพาง</t>
  </si>
  <si>
    <t>แผนกบริหารอาคารศูนย์การค้าเสนาเฟสท์</t>
  </si>
  <si>
    <t>SX-JSA2024-002</t>
  </si>
  <si>
    <t>AR670241</t>
  </si>
  <si>
    <t>นางสาวฟาริดาห์ เซ็นติยานนท์</t>
  </si>
  <si>
    <t>จ้าหน้าที่ธุรการ</t>
  </si>
  <si>
    <t xml:space="preserve">โมทีฟ คอนโด </t>
  </si>
  <si>
    <t>SX-AR2024-044</t>
  </si>
  <si>
    <t>AR670237</t>
  </si>
  <si>
    <t>นายกวิน นันทเดชะ</t>
  </si>
  <si>
    <t xml:space="preserve">คาซ่า24 </t>
  </si>
  <si>
    <t>SX-AR2024-045</t>
  </si>
  <si>
    <t>SP11640001</t>
  </si>
  <si>
    <t>น.ส.นันทิยา จั่นจ้อย</t>
  </si>
  <si>
    <t>ฝ่ายบัญชีงบการเงิน (ร่วมทุน)</t>
  </si>
  <si>
    <t>SD-2024-005</t>
  </si>
  <si>
    <t>BK660054</t>
  </si>
  <si>
    <t>น.ส.เบญจพร ทองแพ</t>
  </si>
  <si>
    <t>ฝ่ายจัดซื้อ</t>
  </si>
  <si>
    <t>SD-2024-006</t>
  </si>
  <si>
    <t>VMS660058</t>
  </si>
  <si>
    <t>นางสาวนัฐธิกา จันทร์มณี</t>
  </si>
  <si>
    <t>เจ้าหน้าที่นิติบุคคล</t>
  </si>
  <si>
    <t>SX-VMS2024-019</t>
  </si>
  <si>
    <t xml:space="preserve">MMS660240
</t>
  </si>
  <si>
    <t>น.ส.อโณทัย เทียรเจริญ</t>
  </si>
  <si>
    <t>ฝ่ายการตลาดธุรกิจ 2A</t>
  </si>
  <si>
    <t>SD-2024-007</t>
  </si>
  <si>
    <t>MMS660190</t>
  </si>
  <si>
    <t>น.ส.เจนจิรา พูลศิริ</t>
  </si>
  <si>
    <t>5565 วิศวกรสำนักงาน</t>
  </si>
  <si>
    <t>สำนักบริหารโครงการ 3</t>
  </si>
  <si>
    <t>SD-2024-008</t>
  </si>
  <si>
    <t>MMS660323</t>
  </si>
  <si>
    <t>นายภูมิพัฒน์ ภิราษร</t>
  </si>
  <si>
    <t>เสนา อีโคทาวน์ รังสิต - สเตชั่น</t>
  </si>
  <si>
    <t>SD-2024-009</t>
  </si>
  <si>
    <t>VMS630032</t>
  </si>
  <si>
    <t>นายศุภชัย จุมที</t>
  </si>
  <si>
    <t>หัวหน้้าช่างประจำอาคาร</t>
  </si>
  <si>
    <t>นิติฯ เสนาคิทท์ เอ็มอาร์ที บางแค</t>
  </si>
  <si>
    <t>SX-VMS2024-020</t>
  </si>
  <si>
    <t>VMS670033</t>
  </si>
  <si>
    <t>นายวรธน จักตาวุธ</t>
  </si>
  <si>
    <t>SX-VMS2024-025</t>
  </si>
  <si>
    <t>PC660001</t>
  </si>
  <si>
    <t>น.ส.สุภพิมพ์ บุตรดา</t>
  </si>
  <si>
    <t>บริษัท เงินสดใจดี จำกัด</t>
  </si>
  <si>
    <t>SD-2024-0010</t>
  </si>
  <si>
    <t>BK660082</t>
  </si>
  <si>
    <t>นายรุ่งโรจน์ หาญวัฒนาวุฒิ</t>
  </si>
  <si>
    <t>สายงานประสานงานราชการ</t>
  </si>
  <si>
    <t>SD-2024-0011</t>
  </si>
  <si>
    <t>MMS650418</t>
  </si>
  <si>
    <t>น.ส.นริสา ช้างสำลี</t>
  </si>
  <si>
    <t>เสนาคิทท์ รังสิต - ติวานนท์</t>
  </si>
  <si>
    <t>SD-2024-0012</t>
  </si>
  <si>
    <t>MMS660215</t>
  </si>
  <si>
    <t>น.ส.กิรณา เรืองวรกฤต</t>
  </si>
  <si>
    <t>6504 เจ้าหน้าที่ธุรการโครงการอาวุโส</t>
  </si>
  <si>
    <t>เสนา แกรนด์โฮม บางนา กม.29</t>
  </si>
  <si>
    <t>SD-2024-0013</t>
  </si>
  <si>
    <t>SSE670029</t>
  </si>
  <si>
    <t>นางสาวสิริพร ดีนุ</t>
  </si>
  <si>
    <t>ฝ่ายบัญชีการเงิน-โซลาร์</t>
  </si>
  <si>
    <t>SGA660008</t>
  </si>
  <si>
    <t>นายเอกลักษณ์ เชื้อแม่น</t>
  </si>
  <si>
    <t>8981 ช่างยนต์</t>
  </si>
  <si>
    <t>บริษัท เสนา กรีน ออโตโมทีฟ จำกัด</t>
  </si>
  <si>
    <t>MMS660013</t>
  </si>
  <si>
    <t>นายเฉลิมเกียรติ ฐาปนะกิจไพบูลย์</t>
  </si>
  <si>
    <t>เสนาคิทท์ บางนา กม.29</t>
  </si>
  <si>
    <t>SD-2024-0014</t>
  </si>
  <si>
    <t xml:space="preserve">MMS650169
</t>
  </si>
  <si>
    <t>นายทัชชกร  ดีรักษา</t>
  </si>
  <si>
    <t>SD-2024-0015</t>
  </si>
  <si>
    <t>BK660013</t>
  </si>
  <si>
    <t xml:space="preserve">น.ส.อรนุช  ศรีเมืองบุญ </t>
  </si>
  <si>
    <t>6452 เจ้าหน้าที่ตรวจรับมอบห้องอาวุโส</t>
  </si>
  <si>
    <t>บริการลูกค้าด้านการตรวจห้อง</t>
  </si>
  <si>
    <t>SD-2024-0016</t>
  </si>
  <si>
    <t>MMS660170</t>
  </si>
  <si>
    <t>นายกฤษณะ มุ่งพังกลาง</t>
  </si>
  <si>
    <t>เสนา พาร์คแกรนด์ รามอินทรา กม.9 เฟส 2</t>
  </si>
  <si>
    <t>SD-2024-0017</t>
  </si>
  <si>
    <t>MMS650389</t>
  </si>
  <si>
    <t>นายชนานันท์ เปล่งรัศมี</t>
  </si>
  <si>
    <t>ฝ่ายก่อสร้าง 41A</t>
  </si>
  <si>
    <t>SD-2024-0018</t>
  </si>
  <si>
    <t>MMS660168</t>
  </si>
  <si>
    <t>นายชวน นันตา</t>
  </si>
  <si>
    <t>7505 ช่างไฟฟ้า</t>
  </si>
  <si>
    <t>SD-2024-0019</t>
  </si>
  <si>
    <t>BK660089</t>
  </si>
  <si>
    <t>นางสุวพัฒน์ ประธานธุรารักษ์</t>
  </si>
  <si>
    <t>แผนกแรงงานสัมพันธ์และสวัสดิการ</t>
  </si>
  <si>
    <t>SD-2024-0020</t>
  </si>
  <si>
    <t>BK670010</t>
  </si>
  <si>
    <t>น.ส.ดวงแก้ว ดิษขำ</t>
  </si>
  <si>
    <t>SD-2024-0021</t>
  </si>
  <si>
    <t>MMS660232</t>
  </si>
  <si>
    <t>น.ส.กุลนิษฐ์ สบายสมัย</t>
  </si>
  <si>
    <t>ฝ่ายการตลาดธุรกิจ 2B</t>
  </si>
  <si>
    <t>SD-2024-0022</t>
  </si>
  <si>
    <t>BK650232</t>
  </si>
  <si>
    <t>น.ส.ลฎาภา สามัญแก้ว</t>
  </si>
  <si>
    <t>ฝ่ายคอมพิวเตอร์และเครือข่าย</t>
  </si>
  <si>
    <t>SD-2024-0023</t>
  </si>
  <si>
    <t>MMS650545</t>
  </si>
  <si>
    <t>นายกีรติ คอนระไทย</t>
  </si>
  <si>
    <t>SD-2024-0024</t>
  </si>
  <si>
    <t>SD640018</t>
  </si>
  <si>
    <t>น.ส.วรรณวิสา สุภีโส</t>
  </si>
  <si>
    <t>7161 เจ้าหน้าที่ Content Writer</t>
  </si>
  <si>
    <t>แผนก Social Content</t>
  </si>
  <si>
    <t>SD-2024-0025</t>
  </si>
  <si>
    <t>BK650025</t>
  </si>
  <si>
    <t>น.ส.ทิพานัน ชูสกุลชาติ</t>
  </si>
  <si>
    <t>ฝ่ายกำกับดูแลราคาขายและข้อมูลระบบ</t>
  </si>
  <si>
    <t>SD-2024-0026</t>
  </si>
  <si>
    <t>MMS650173</t>
  </si>
  <si>
    <t>น.ส.อารีรัตน์ หัฏฐะเมตตา</t>
  </si>
  <si>
    <t>ฝ่ายการตลาดธุรกิจ 41B</t>
  </si>
  <si>
    <t>SD-2024-0027</t>
  </si>
  <si>
    <t>BK650172</t>
  </si>
  <si>
    <t>น.ส.พัชญ์ชัญญา  สนาคินิตร</t>
  </si>
  <si>
    <t>7452  เจ้าหน้าที่ตรวจรับมอบห้อง</t>
  </si>
  <si>
    <t>SD-2024-0030</t>
  </si>
  <si>
    <t>BK620132</t>
  </si>
  <si>
    <t>นายสมพงษ์ ผลไพบูลย์</t>
  </si>
  <si>
    <t>7453  เจ้าหน้าที่ตรวจรับมอบห้อง</t>
  </si>
  <si>
    <t>SD-2024-0031</t>
  </si>
  <si>
    <t>BK670008</t>
  </si>
  <si>
    <t>น.ส.สุภาภรณ์ ทองสุธา</t>
  </si>
  <si>
    <t>SD-2024-0032</t>
  </si>
  <si>
    <t>BK630107</t>
  </si>
  <si>
    <t>น.ส.สิรัญญา ไรจินดา</t>
  </si>
  <si>
    <t>6752 เจ้าหน้าที่บัญชีผู้รับเหมาอาวุโส</t>
  </si>
  <si>
    <t>แผนกบัญชีผู้รับเหมา</t>
  </si>
  <si>
    <t>SD-2024-0033</t>
  </si>
  <si>
    <t>MMS660328</t>
  </si>
  <si>
    <t>น.ส.พรไพลิน แสงคำมา</t>
  </si>
  <si>
    <t xml:space="preserve">เสนา คิทท์ ศรีนครินทร์-ศรีด่าน </t>
  </si>
  <si>
    <t>SD-2024-0034</t>
  </si>
  <si>
    <t>MMS660007</t>
  </si>
  <si>
    <t xml:space="preserve">นายสุภกิจ  พงษ์เมืองทอง </t>
  </si>
  <si>
    <t>SD-2024-0035</t>
  </si>
  <si>
    <t>MMS660069</t>
  </si>
  <si>
    <t xml:space="preserve">ว่าที่ร้อยตรี วัฒนะ น่วมแก้ว </t>
  </si>
  <si>
    <t>SD-2024-0036</t>
  </si>
  <si>
    <t>BK660084</t>
  </si>
  <si>
    <t>น.ส.ชัชชญา เรืองสมุทร</t>
  </si>
  <si>
    <t>ฝ่ายบัญชีปิดงบการเงิน</t>
  </si>
  <si>
    <t>SD-2024-0037</t>
  </si>
  <si>
    <t>MMS650398</t>
  </si>
  <si>
    <t>นายไกรสร พิมจันทึก</t>
  </si>
  <si>
    <t>สายงานก่อสร้าง 23</t>
  </si>
  <si>
    <t>SD-2024-0038</t>
  </si>
  <si>
    <t>MMS660284</t>
  </si>
  <si>
    <t>นายณัฐพล ยั่งยืน</t>
  </si>
  <si>
    <t>แผนกการตลาดธุรกิจ 13</t>
  </si>
  <si>
    <t>MMS670047</t>
  </si>
  <si>
    <t>นายอนุชิต บุญภู่</t>
  </si>
  <si>
    <t>SGA670008</t>
  </si>
  <si>
    <t>นายนิธิโชติ ภูมิพิชัยกุลภักดี</t>
  </si>
  <si>
    <t>7982 ที่ปรึกษางานด้านการขาย</t>
  </si>
  <si>
    <t>JSA660023</t>
  </si>
  <si>
    <t>นางสาวจิตติมา อารามรมณ์</t>
  </si>
  <si>
    <t>SX-JSA2024-003</t>
  </si>
  <si>
    <t>SX670102</t>
  </si>
  <si>
    <t>นางสาวธัญธร ลีชนะวานิชพันธ์</t>
  </si>
  <si>
    <t>ฝ่ายตัวแทนขายโครงการ</t>
  </si>
  <si>
    <t>SX-2024-009</t>
  </si>
  <si>
    <t>SX670085</t>
  </si>
  <si>
    <t>นางสาวหทัยรัตน์ ศิริปุณย์</t>
  </si>
  <si>
    <t>แผนกการตลาดโซนศรีราชา - บ่อวิน</t>
  </si>
  <si>
    <t>SX-2024-017</t>
  </si>
  <si>
    <t>JSA670008</t>
  </si>
  <si>
    <t>นายชนาสิน นิธิเขมธนัช</t>
  </si>
  <si>
    <t>SX-JSA2024-004</t>
  </si>
  <si>
    <t>MMS660422</t>
  </si>
  <si>
    <t>นายวิโรจน์ ละครพล</t>
  </si>
  <si>
    <t>SD-2024-0041</t>
  </si>
  <si>
    <t>BK640057</t>
  </si>
  <si>
    <t>น.ส.จุไรรัตน์ ทวีงาม</t>
  </si>
  <si>
    <t>6758 เจ้าหน้าที่บัญชีงบประมาณอาวุโส</t>
  </si>
  <si>
    <t>แผนกบัญชีงบประมาณ</t>
  </si>
  <si>
    <t>SD-2024-0042</t>
  </si>
  <si>
    <t>พี่นิดขอไป</t>
  </si>
  <si>
    <t>คุณนิมิต</t>
  </si>
  <si>
    <t>SD-2024-0043</t>
  </si>
  <si>
    <t>MMS650254</t>
  </si>
  <si>
    <t>นายพรเทพ วารินทร์ไพศาล</t>
  </si>
  <si>
    <t>แผนกการตลาดธุรกิจ 2D</t>
  </si>
  <si>
    <t>SD-2024-0044</t>
  </si>
  <si>
    <t>MMS650481</t>
  </si>
  <si>
    <t>น.ส.กัลยาณี ปานทอง</t>
  </si>
  <si>
    <t>สายงานขายและการตลาด 2</t>
  </si>
  <si>
    <t>SD-2024-0045</t>
  </si>
  <si>
    <t>MMS670018</t>
  </si>
  <si>
    <t>นายภัคพงษ์ จักเที่ยงธรรม</t>
  </si>
  <si>
    <t>สายงานการตลาดธุรกิจ 1</t>
  </si>
  <si>
    <t>SD-2024-0046</t>
  </si>
  <si>
    <t>SGA670012</t>
  </si>
  <si>
    <t>นายชยกริน เกิดผล</t>
  </si>
  <si>
    <t>MMS670023</t>
  </si>
  <si>
    <t>น.ส.กัลญา กนกวิมาน</t>
  </si>
  <si>
    <t>4402 หัวหน้าการตลาด</t>
  </si>
  <si>
    <t>แผนกการตลาดธุรกิจ 3B</t>
  </si>
  <si>
    <t>SD-2024-0047</t>
  </si>
  <si>
    <t>BK650122</t>
  </si>
  <si>
    <t>น.ส.วรชา ภู่ทอง</t>
  </si>
  <si>
    <t>แผนก ARCHITECTS</t>
  </si>
  <si>
    <t>SD-2024-0048</t>
  </si>
  <si>
    <t>MMS650483</t>
  </si>
  <si>
    <t xml:space="preserve">น.ส.ศรัณย์รัชต์ ปิยะศิริเจริญกุล </t>
  </si>
  <si>
    <t>เสนาคิทท์ ศรีนครินทร์ - ศรีด่าน</t>
  </si>
  <si>
    <t>SD-2024-0049</t>
  </si>
  <si>
    <t>MMS650482</t>
  </si>
  <si>
    <t>นายปิติภัทร ศุภวรรณาวิวัฒน์</t>
  </si>
  <si>
    <t>SD-2024-0050</t>
  </si>
  <si>
    <t>MMS660351</t>
  </si>
  <si>
    <t>น.ส.ปาริชาติ กองคำสุข</t>
  </si>
  <si>
    <t>7508 เจ้าหน้าที่สโตร์</t>
  </si>
  <si>
    <t>SD-2024-0051</t>
  </si>
  <si>
    <t>SGA660025</t>
  </si>
  <si>
    <t>นางสาวชุติกาญจน์ วรวงษ์พันธุ์</t>
  </si>
  <si>
    <t>MMS660130</t>
  </si>
  <si>
    <t>น.ส.ภัทร์ฐิตา มาลาชาติ</t>
  </si>
  <si>
    <t>เสนาคิทท์ MRT บางแค</t>
  </si>
  <si>
    <t>SD-2024-0052</t>
  </si>
  <si>
    <t>BK600131</t>
  </si>
  <si>
    <t>น.ส.พรรณทิวา ยารังษี</t>
  </si>
  <si>
    <t>6451 เจ้าหน้าที่สินเชื่ออาวุโส</t>
  </si>
  <si>
    <t>ฝ่ายสินเชื่อ 2</t>
  </si>
  <si>
    <t>SD-2024-0053</t>
  </si>
  <si>
    <t>SD-2024-0054</t>
  </si>
  <si>
    <t>songpont@sena.co.th</t>
  </si>
  <si>
    <t>MMS660145</t>
  </si>
  <si>
    <t>นายทรงพล ทิพย์ประโคน</t>
  </si>
  <si>
    <t>SD-2024-0055</t>
  </si>
  <si>
    <t>SSG630005</t>
  </si>
  <si>
    <t>นายเอกพล ปึงธนานุกิจ</t>
  </si>
  <si>
    <t>แผนกติดตั้ง</t>
  </si>
  <si>
    <t>SGA660026</t>
  </si>
  <si>
    <t>นางสาวภัทร์นฤน มากสินธุ์</t>
  </si>
  <si>
    <t>MMS660404</t>
  </si>
  <si>
    <t>นายฮาซัน แก้วมาต</t>
  </si>
  <si>
    <t>ฝ่ายการตลาดธุรกิจ 12</t>
  </si>
  <si>
    <t>SD-2024-0056</t>
  </si>
  <si>
    <t>BK650220</t>
  </si>
  <si>
    <t>น.ส.กาญจนา บัวจันทร์</t>
  </si>
  <si>
    <t>5554 วิศวกรออกแบบ</t>
  </si>
  <si>
    <t>สายงานจัดการระบบคุณภาพ QM</t>
  </si>
  <si>
    <t>SD-2024-0057</t>
  </si>
  <si>
    <t>BK620165</t>
  </si>
  <si>
    <t>น.ส.ปิรีญา สอนสุทธิ์</t>
  </si>
  <si>
    <t>ฝ่ายบัญชีรับ-ลูกหนี้</t>
  </si>
  <si>
    <t>SD-2024-0058</t>
  </si>
  <si>
    <t>BK620030</t>
  </si>
  <si>
    <t>น.ส.ธนานันท์ นิ่มงาม</t>
  </si>
  <si>
    <t>SD-2024-0059</t>
  </si>
  <si>
    <t>BK670039</t>
  </si>
  <si>
    <t>นายปิยพันธุ์ จิรภาโชติหิรัญ</t>
  </si>
  <si>
    <t>สายงานจัดสรรเงินทุน</t>
  </si>
  <si>
    <t>SD-2024-0060</t>
  </si>
  <si>
    <t>BK650171</t>
  </si>
  <si>
    <t>น.ส.กนิปกดาฬ ศุภจิตรสวัสดิ์</t>
  </si>
  <si>
    <t>5556 วิศวกรประมาณราคา</t>
  </si>
  <si>
    <t>ฝ่ายสนับสนุนงานก่อสร้าง</t>
  </si>
  <si>
    <t>SD-2024-0061</t>
  </si>
  <si>
    <t>BK650228</t>
  </si>
  <si>
    <t>นางศศิรัศมิ์ พยัคฆชนม์</t>
  </si>
  <si>
    <t>SD-2024-0062</t>
  </si>
  <si>
    <t>MMS670056</t>
  </si>
  <si>
    <t>น.ส.ภิญญาวีณ์ ฐิติจินตนาภรณ์</t>
  </si>
  <si>
    <t>นิช โมโน พระราม 9 เฟส1,2</t>
  </si>
  <si>
    <t>SD-2024-0063</t>
  </si>
  <si>
    <t>MMS660374</t>
  </si>
  <si>
    <t>นายวรวิททย์ บุตรมี</t>
  </si>
  <si>
    <t>37 ผู้ช่วยผู้จัดการโครงการ</t>
  </si>
  <si>
    <t>นิช ไพรด์ สมเด็จเจ้าพระยา</t>
  </si>
  <si>
    <t>SD-2024-0064</t>
  </si>
  <si>
    <t xml:space="preserve">MMS670035
</t>
  </si>
  <si>
    <t>น.ส.ภีรดา วิไลพัฒน์</t>
  </si>
  <si>
    <t>ฝ่ายการตลาดธุรกิจ 11</t>
  </si>
  <si>
    <t>SD-2024-0065</t>
  </si>
  <si>
    <t>MMS660384</t>
  </si>
  <si>
    <t>น.ส.ภัทรลภา จันทร์พราว</t>
  </si>
  <si>
    <t xml:space="preserve">พนักงานสโตร์
</t>
  </si>
  <si>
    <t>เสนา วิลเลจ บางนา กม.29</t>
  </si>
  <si>
    <t>SD-2024-0066</t>
  </si>
  <si>
    <t>BK650322</t>
  </si>
  <si>
    <t>น.ส.กนกวรรณ วุฒิสาร</t>
  </si>
  <si>
    <t>SD-2024-0067</t>
  </si>
  <si>
    <t>BK660006</t>
  </si>
  <si>
    <t>นายบัณฑิต ไผ่จันทร์</t>
  </si>
  <si>
    <t>ฝ่ายประมาณราคาและงบประมาณก่อสร้าง</t>
  </si>
  <si>
    <t>SD-2024-0069</t>
  </si>
  <si>
    <t>MMS650464</t>
  </si>
  <si>
    <t>น.ส.มนันญา เพ่งดี</t>
  </si>
  <si>
    <t>SD-2024-0070</t>
  </si>
  <si>
    <t>MMS650091</t>
  </si>
  <si>
    <t>นายณัฐวุฒิ นาคอ่อน</t>
  </si>
  <si>
    <t>ฝ่ายบริหารโครงการคอนโดและบ้าน 11A</t>
  </si>
  <si>
    <t>SD-2024-0071</t>
  </si>
  <si>
    <t>BK620174</t>
  </si>
  <si>
    <t>น.ส.แก้วมณี ขันธุรา</t>
  </si>
  <si>
    <t xml:space="preserve">ฝ่ายการเงิน
</t>
  </si>
  <si>
    <t>SD-2024-0072</t>
  </si>
  <si>
    <t>BK540290</t>
  </si>
  <si>
    <t>นายอำนาจ พิบูลย์</t>
  </si>
  <si>
    <t>ฝ่ายวิศวกรรม</t>
  </si>
  <si>
    <t>SD-2024-0073</t>
  </si>
  <si>
    <t>VMS670018</t>
  </si>
  <si>
    <t>นางสาวออราริญญ์ อิ่มจิตต์</t>
  </si>
  <si>
    <t>แผนกหมู่บ้านจัดสรร โครงการ บ้านบูรพา พราวทาวน์ บ่อวิน</t>
  </si>
  <si>
    <t>VMS670034</t>
  </si>
  <si>
    <t>นายสิทธิชัย สุริยสัตย์</t>
  </si>
  <si>
    <t>JSA670009</t>
  </si>
  <si>
    <t>นายจิรวัฒน์ วงษ์ขวัญ</t>
  </si>
  <si>
    <t>SX-JSA2024-006</t>
  </si>
  <si>
    <t>VMS660066</t>
  </si>
  <si>
    <t>นายเกษมสุข โสพันพิมพ์</t>
  </si>
  <si>
    <t>แผนกอาคารชุด เดอะนิช ไพรด์ ทองหล่อ-เพชรบุรี</t>
  </si>
  <si>
    <t>SX-VMS2024-023</t>
  </si>
  <si>
    <t>VMS670014</t>
  </si>
  <si>
    <t>นายณัฐวุฒิ ผุดบัวดง</t>
  </si>
  <si>
    <t>SX-VMS2024-024</t>
  </si>
  <si>
    <t>SX660087</t>
  </si>
  <si>
    <t>นางสาวรินทร์ปภัส เมธินนิติพัชร์</t>
  </si>
  <si>
    <t>SX-2024-011</t>
  </si>
  <si>
    <t>SPS670002</t>
  </si>
  <si>
    <t>นางสาวอุษณี แจ่มแจ้ง</t>
  </si>
  <si>
    <t>แผนกสนับสนุนการขาย</t>
  </si>
  <si>
    <t>SX-SPS2024-001</t>
  </si>
  <si>
    <t>VMS660102</t>
  </si>
  <si>
    <t>นายกฤษฎา พันจะพา</t>
  </si>
  <si>
    <t>SX-VMS2024-022</t>
  </si>
  <si>
    <t>JSA660026</t>
  </si>
  <si>
    <t>นายณัฐวุฒิ หักทะเล</t>
  </si>
  <si>
    <t>VMS620036</t>
  </si>
  <si>
    <t>นางสาววัชรีพร แสงศิลา</t>
  </si>
  <si>
    <t>SX-VMS2024-021</t>
  </si>
  <si>
    <t>SX670080</t>
  </si>
  <si>
    <t>นางสาววิภาวี พงษ์พิทักษ์วิเศษ</t>
  </si>
  <si>
    <t>แผนกการขายโซนรังสิต - ติวานนท์</t>
  </si>
  <si>
    <t>SX-2024-013</t>
  </si>
  <si>
    <t>SX660003</t>
  </si>
  <si>
    <t>นายนิมิตร พูลสวัสดิ์</t>
  </si>
  <si>
    <t>28 กรรมการผู้จัดการ</t>
  </si>
  <si>
    <t>กลุ่มพัฒนาอสังหาริมทรัพย์</t>
  </si>
  <si>
    <t>SX-2024-021</t>
  </si>
  <si>
    <t>SX660057</t>
  </si>
  <si>
    <t>นายยุทธนา แปลนดี</t>
  </si>
  <si>
    <t>SX670100</t>
  </si>
  <si>
    <t>นางสาวณชญาดา พระเทพ</t>
  </si>
  <si>
    <t>SX-2024-019</t>
  </si>
  <si>
    <t>VMS620018</t>
  </si>
  <si>
    <t>นายสุริยา สรสิทธิ์</t>
  </si>
  <si>
    <t>แผนกอาคารชุด นิช ไอดี สุขุมวิท 113</t>
  </si>
  <si>
    <t>SX-VMS2024-032</t>
  </si>
  <si>
    <t>VMS660004</t>
  </si>
  <si>
    <t>นายธนชัย แก้วประดิษฐ์</t>
  </si>
  <si>
    <t>แผนกอาคารชุด เฟล็กซี่ สาธร-เจริญนคร เฟส 1</t>
  </si>
  <si>
    <t>SX-VMS2024-028</t>
  </si>
  <si>
    <t>VMS670019</t>
  </si>
  <si>
    <t>นายไมตรี ดีน้ำจืด</t>
  </si>
  <si>
    <t>แผนกอาคารชุด นิช โมโน สุขุมวิท-ปู่เจ้า</t>
  </si>
  <si>
    <t>SX-VMS2024-031</t>
  </si>
  <si>
    <t>VMS670047</t>
  </si>
  <si>
    <t>นายโชติพัฒน์ บุณยรัตพันธุ์</t>
  </si>
  <si>
    <t>SX670137</t>
  </si>
  <si>
    <t>นายวาริช มีเหมือน</t>
  </si>
  <si>
    <t>สายงานจัดสรรเงินทุนและงบประมาณ</t>
  </si>
  <si>
    <t>SX-2024-022</t>
  </si>
  <si>
    <t>SX670165</t>
  </si>
  <si>
    <t>นางสาวเนตรนภา แก้วเกตุ</t>
  </si>
  <si>
    <t>เสนา วิลเลจ บางปะกง - บ้านโพธิ์</t>
  </si>
  <si>
    <t>SX-2024-027</t>
  </si>
  <si>
    <t>VMS670030</t>
  </si>
  <si>
    <t>นายพิรุณ แจ่มกระจ่าง</t>
  </si>
  <si>
    <t>SX-VMS2024-034</t>
  </si>
  <si>
    <t>VMS670046</t>
  </si>
  <si>
    <t>นางสาวชมพูนุช ต่อวิเศษ</t>
  </si>
  <si>
    <t>VMS670036</t>
  </si>
  <si>
    <t>นายดนัย  แย้มกลิ่น</t>
  </si>
  <si>
    <t>แผนกอาคารชุด นิช ไพรด์ เตาปูน-อินเตอร์เชนจ์</t>
  </si>
  <si>
    <t>VMS670057</t>
  </si>
  <si>
    <t>นายธนัญชนก จินดาไตรทศ</t>
  </si>
  <si>
    <t>VMS650011</t>
  </si>
  <si>
    <t>นายโทนี่ แดนิเอลเซน</t>
  </si>
  <si>
    <t>5861 ผู้จัดการชุมชน</t>
  </si>
  <si>
    <t>แผนกหมู่บ้านจัดสรร โครงการ เสนา วิลเลจ สุขุมวิท - แพรกษา</t>
  </si>
  <si>
    <t>SX-VMS2024-029</t>
  </si>
  <si>
    <t>VMS650010</t>
  </si>
  <si>
    <t>นางสาววิมลพันธ์ พรมรัตน์</t>
  </si>
  <si>
    <t>แผนกหมู่บ้านจัดสรร สำเพ็ง 2 เฟส 3 (18 แปลง)</t>
  </si>
  <si>
    <t>SX-VMS2024-026</t>
  </si>
  <si>
    <t>VMS670020</t>
  </si>
  <si>
    <t>นางสาวสุดารัตน์  เชื้อทอง</t>
  </si>
  <si>
    <t>VMS660028</t>
  </si>
  <si>
    <t>นายสุระชัย คำยางจ้อง</t>
  </si>
  <si>
    <t>แผนกหมู่บ้านจัดสรร โครงการ เสนา วีว่า วงแหวน - บางบัวทอง</t>
  </si>
  <si>
    <t>SX-VMS2024-027</t>
  </si>
  <si>
    <t>VMS670140</t>
  </si>
  <si>
    <t>นายภูวดล เอี่ยมมี</t>
  </si>
  <si>
    <t>SX-AR2024-059</t>
  </si>
  <si>
    <t>SX660019</t>
  </si>
  <si>
    <t>นางสาวศิริรัญญา ผลสุขศรี</t>
  </si>
  <si>
    <t>SX-2024-018</t>
  </si>
  <si>
    <t>VMS670189</t>
  </si>
  <si>
    <t>นายสมสกล ผิวพรรณ</t>
  </si>
  <si>
    <t>แผนกอาคารชุด มาร์เวสท์ หัวหิน</t>
  </si>
  <si>
    <t>SX670074</t>
  </si>
  <si>
    <t>วิทชินี สะอาดพันธุ์</t>
  </si>
  <si>
    <t>เสนา วิลเลจ รัตนาธิเบศร์ - บางบัวทอง</t>
  </si>
  <si>
    <t>SX-2024-023</t>
  </si>
  <si>
    <t>VMS670049</t>
  </si>
  <si>
    <t>นางสาวลินดา บัวบาล</t>
  </si>
  <si>
    <t>แผนกอาคารชุด เดอะคิทท์ พลัส พหลโยธิน-คูคต เฟส 1</t>
  </si>
  <si>
    <t>SX-VMS2024-037</t>
  </si>
  <si>
    <t>VMS670231</t>
  </si>
  <si>
    <t>นายกิติพงษ์ ด้วงใย</t>
  </si>
  <si>
    <t>SX-AR2024-062</t>
  </si>
  <si>
    <t>VMS660025</t>
  </si>
  <si>
    <t>ณัฐวรรณ กล่อมบาง</t>
  </si>
  <si>
    <t>แผนกอาคารชุด นิช โมโน แจ้งวัฒนะ เฟส 1</t>
  </si>
  <si>
    <t>SX-VMS2024-040</t>
  </si>
  <si>
    <t>VMS670268</t>
  </si>
  <si>
    <t>นางสาวนวภัทรสรณ์ วัฒนแสงศิริ</t>
  </si>
  <si>
    <t>7757 เจ้าหน้าที่การเงิน</t>
  </si>
  <si>
    <t>SX-VMS2024-041</t>
  </si>
  <si>
    <t>VMS660131</t>
  </si>
  <si>
    <t>นางสาวบุตรสิตา ยิ้มเกตุ</t>
  </si>
  <si>
    <t>แผนกอาคารชุด นิช โมโน พระราม 9 เฟส 1</t>
  </si>
  <si>
    <t>SX-VMS2024-035</t>
  </si>
  <si>
    <t>JSA670010</t>
  </si>
  <si>
    <t>นางสาวสุดานันท์ แก้วไพจิตร</t>
  </si>
  <si>
    <t>กลุ่มงานค้าปลีกและพัฒนาผลิตภัณฑ์ (Smartify)</t>
  </si>
  <si>
    <t>SX-JSA2024-007</t>
  </si>
  <si>
    <t>JSA670001</t>
  </si>
  <si>
    <t xml:space="preserve">นายวิกิจการ ทองบันเทิง </t>
  </si>
  <si>
    <t xml:space="preserve">ฝ่ายออกแบบ </t>
  </si>
  <si>
    <t>SX-JSA2024-008</t>
  </si>
  <si>
    <t>VMS660008</t>
  </si>
  <si>
    <t>นายสุภชัย จันทุม</t>
  </si>
  <si>
    <t>แผนกอาคารชุด เดอะคิทท์ พลัส พหลโยธิน-คูคต เฟส 2</t>
  </si>
  <si>
    <t>SX-VMS2024-036</t>
  </si>
  <si>
    <t>SPS670035</t>
  </si>
  <si>
    <t>นายกษิเดช  ชัชวาลกิจกุล</t>
  </si>
  <si>
    <t xml:space="preserve">แผนกการตลาดโครงการปีติ 101 </t>
  </si>
  <si>
    <t>SX-SPS2024-002</t>
  </si>
  <si>
    <t>SPS670014</t>
  </si>
  <si>
    <t>ศรสวรรค์  มะลิวรรณ</t>
  </si>
  <si>
    <t>แผนกการตลาด</t>
  </si>
  <si>
    <t>SX-SPS2024-003</t>
  </si>
  <si>
    <t>SX670009</t>
  </si>
  <si>
    <t>นายวินัย รุจิรายุกต์</t>
  </si>
  <si>
    <t>ฝ่ายพัฒนาโครงการก่อสร้าง 51</t>
  </si>
  <si>
    <t>SX-2024-020</t>
  </si>
  <si>
    <t>SX670132</t>
  </si>
  <si>
    <t>นางสาวโชติรส หล่อกำเหนิด</t>
  </si>
  <si>
    <t>ฝ่ายการตลาด</t>
  </si>
  <si>
    <t>SX-2024-029</t>
  </si>
  <si>
    <t>SX670084</t>
  </si>
  <si>
    <t>นายณัฐพงษ์ ศรีประเสริฐ</t>
  </si>
  <si>
    <t>แผนกการตลาดโซนวงแหวน - บางบัวทอง - รังสิต - แพรกษา</t>
  </si>
  <si>
    <t>SX-2024-028</t>
  </si>
  <si>
    <t>SX670113</t>
  </si>
  <si>
    <t>นายกำชัย วงศ์พินิจสกล</t>
  </si>
  <si>
    <t>ฝ่าย CMC</t>
  </si>
  <si>
    <t>SX-2024-031</t>
  </si>
  <si>
    <t>SX670112</t>
  </si>
  <si>
    <t>นายนพคุณ ชูศักดิ์พาณิชย์</t>
  </si>
  <si>
    <t>SX-2024-030</t>
  </si>
  <si>
    <t>SX670129</t>
  </si>
  <si>
    <t>นางสาวสุพิชญา แดงโสภา</t>
  </si>
  <si>
    <t>ผู้ช่วยผู้อำนวยการ</t>
  </si>
  <si>
    <t>SX-2024-026</t>
  </si>
  <si>
    <t>SX670069</t>
  </si>
  <si>
    <t>นางสาวธัญชนก ศิริรัตน์</t>
  </si>
  <si>
    <t>SX-2024-010</t>
  </si>
  <si>
    <t>SX660086</t>
  </si>
  <si>
    <t>นายนิพนธ์ คงเดช</t>
  </si>
  <si>
    <t>แผนกพัฒนาโครงการก่อสร้าง 51E</t>
  </si>
  <si>
    <t>SX-2024-012</t>
  </si>
  <si>
    <t>SX670163</t>
  </si>
  <si>
    <t>นายธรรณปกร  พิชิ</t>
  </si>
  <si>
    <t>ฝ่ายการตลาดธุรกิจ</t>
  </si>
  <si>
    <t>SX-2024-033</t>
  </si>
  <si>
    <t>SX670116</t>
  </si>
  <si>
    <t>นายศิทรรศน์ เด่นภัทรปรีชา</t>
  </si>
  <si>
    <t>เสนา เวล่า สิริโสธร</t>
  </si>
  <si>
    <t>SX-2024-034</t>
  </si>
  <si>
    <t>SX660020</t>
  </si>
  <si>
    <t>นางสาวศศิชา  วงศ์สุนันท์</t>
  </si>
  <si>
    <t>ฝ่ายพัฒนาโครงการแนวราบ</t>
  </si>
  <si>
    <t>SX-2024-035</t>
  </si>
  <si>
    <t>SX660022</t>
  </si>
  <si>
    <t>นางสาวปภากร  มณีรัตน์</t>
  </si>
  <si>
    <t xml:space="preserve">แผนกการเงิน </t>
  </si>
  <si>
    <t>SX-2024-032</t>
  </si>
  <si>
    <t>AU670001</t>
  </si>
  <si>
    <t>นายปรีชา  ศุภปีติพร</t>
  </si>
  <si>
    <t>ผู้อำนวยการบริหาร</t>
  </si>
  <si>
    <t xml:space="preserve">สายงานตัวแทนขายและให้เช่าทั่วไป </t>
  </si>
  <si>
    <t>SX-AU2024-013</t>
  </si>
  <si>
    <t>AU670003</t>
  </si>
  <si>
    <t>นางสาวฐิตาภัสร์ ฐิติศักดาสิทธิ์</t>
  </si>
  <si>
    <t>29 ผู้ช่วยกรรมการผู้จัดการ</t>
  </si>
  <si>
    <t xml:space="preserve">แผนกขายและให้เช่าทรัพย์สินทั่วไป </t>
  </si>
  <si>
    <t>SX-AU2024-008</t>
  </si>
  <si>
    <t>AU670007</t>
  </si>
  <si>
    <t>นางสาวเพชรรัตน์ ล้อเจริญรุ่งโรจน์</t>
  </si>
  <si>
    <t>SX-AU2024-009</t>
  </si>
  <si>
    <t>AU670018</t>
  </si>
  <si>
    <t>นางศศิวิมล แก้วไพจิตร</t>
  </si>
  <si>
    <t>SX-AU2024-010</t>
  </si>
  <si>
    <t>AU670027</t>
  </si>
  <si>
    <t>นางสาวจุฑามาศ สหชัยเจริญสกุล</t>
  </si>
  <si>
    <t>SX-AU2024-011</t>
  </si>
  <si>
    <t>AU670031</t>
  </si>
  <si>
    <t>นายรัชกฤช เรี่ยวแรง</t>
  </si>
  <si>
    <t>SX-AU2024-012</t>
  </si>
  <si>
    <t>SX670159</t>
  </si>
  <si>
    <t>นางสาวจิณัฐตา ทองเดช</t>
  </si>
  <si>
    <t>7655 เจ้าหน้าที่สวัสดิการ</t>
  </si>
  <si>
    <t>แผนกแรงงานสัมพันธ์</t>
  </si>
  <si>
    <t>SX-2024-025</t>
  </si>
  <si>
    <t xml:space="preserve">BK640068
</t>
  </si>
  <si>
    <t>น.ส.นันท์นภัส คอร์วีโน</t>
  </si>
  <si>
    <t>7455 เจ้าหน้าที่บริหารหนี้</t>
  </si>
  <si>
    <t>ฝ่ายบริหารเครดิต</t>
  </si>
  <si>
    <t>SD-2024-0077</t>
  </si>
  <si>
    <t>SGA670018</t>
  </si>
  <si>
    <t>นายณฐภัทร วันชาพรม</t>
  </si>
  <si>
    <t>BK650036</t>
  </si>
  <si>
    <t>นายยุวรัชต์ จันทรภัชเสน</t>
  </si>
  <si>
    <t xml:space="preserve">ฝ่ายสินเชื่อ </t>
  </si>
  <si>
    <t>SD-2024-0078</t>
  </si>
  <si>
    <t>BK650284</t>
  </si>
  <si>
    <t>น.ส.ณัฐธยาน์ นิมิตรดี</t>
  </si>
  <si>
    <t>สายงานบัญชีการเงินอสังหาริมทรัพย์ 1</t>
  </si>
  <si>
    <t>SD-2024-0079</t>
  </si>
  <si>
    <t>MMS660110</t>
  </si>
  <si>
    <t>น.ส.ธนาภรณ์  แสนคำภูมิ</t>
  </si>
  <si>
    <t>เสนาคิทท์ รังสิต – คลอง 4</t>
  </si>
  <si>
    <t>SD-2024-0081</t>
  </si>
  <si>
    <t>MMS650239</t>
  </si>
  <si>
    <t>นายสมยศ ธเนศวรางกูร</t>
  </si>
  <si>
    <t>18 ผู้ช่วยกรรมการผู้จัดการ</t>
  </si>
  <si>
    <t>BK670028</t>
  </si>
  <si>
    <t>นายรณสิทธิ์ วงศ์ไชยเสรี</t>
  </si>
  <si>
    <t>ฝ่ายบริการหลังการขาย OPM 2,4</t>
  </si>
  <si>
    <t>SD-2024-0082</t>
  </si>
  <si>
    <t>JSA670013</t>
  </si>
  <si>
    <t>นางสาวศิริขวัญ ศรีสวัสดิ์</t>
  </si>
  <si>
    <t>SX-JSA2024-009</t>
  </si>
  <si>
    <t>SPS670039</t>
  </si>
  <si>
    <t>นางสาวฐิดายุ   อดิสุวรรณ</t>
  </si>
  <si>
    <t>แผนกการตลาด โครงการนิช ไพด์เอกมัย</t>
  </si>
  <si>
    <t>SX-SPS2024-004</t>
  </si>
  <si>
    <t>SPS670015</t>
  </si>
  <si>
    <t>นาวสาวศศวรรณธรณ์  เวทพิสัย</t>
  </si>
  <si>
    <t>สายงานตัวแทนขายและให้เช่า</t>
  </si>
  <si>
    <t>SX-SPS2024-005</t>
  </si>
  <si>
    <t>SPS670025</t>
  </si>
  <si>
    <t>นางสาวนฤมล  ลลิตวงศ์อุดม</t>
  </si>
  <si>
    <t>ฝ่ายตัวแทนขายต่างประเทศ</t>
  </si>
  <si>
    <t>SX-SPS2024-006</t>
  </si>
  <si>
    <t>VMS640003</t>
  </si>
  <si>
    <t>นางสาวนันท์นภัส  ชุมทอง</t>
  </si>
  <si>
    <t>ฝ่ายสนับสนุนงานบริหารนิติบุคคล (SENA)</t>
  </si>
  <si>
    <t>SX-VMS2024-043</t>
  </si>
  <si>
    <t>VMS620109</t>
  </si>
  <si>
    <t>นางสาวทิพย์ประภา  อุดรศรี</t>
  </si>
  <si>
    <t>6854 เจ้าหน้าที่บัญชีนิติบุคคลอาวุโส</t>
  </si>
  <si>
    <t>SX-VMS2024-039</t>
  </si>
  <si>
    <t>BK660037</t>
  </si>
  <si>
    <t xml:space="preserve">นายไพศาล ลยมานุมาน </t>
  </si>
  <si>
    <t>สายงานบริหารงานเชิงกลยุทธ์</t>
  </si>
  <si>
    <t>SD-2024-0083</t>
  </si>
  <si>
    <t>BK650074</t>
  </si>
  <si>
    <t>น.ส.ธัญญ์วรถ หอมนาน</t>
  </si>
  <si>
    <t>แผนกสนับสนุนงานสินเชื่อ</t>
  </si>
  <si>
    <t>SD-2024-0084</t>
  </si>
  <si>
    <t>MMS660252</t>
  </si>
  <si>
    <t>นายเอกสิทธิ์ ทองบัวศิริไล</t>
  </si>
  <si>
    <t>ฝ่ายบริหารโครงการบ้าน 11C</t>
  </si>
  <si>
    <t>SD-2024-0085</t>
  </si>
  <si>
    <t>SD640033</t>
  </si>
  <si>
    <t>นายวัชรพันธ์ บุญญาภิสิทธิ์</t>
  </si>
  <si>
    <t>ฝ่าย Creative &amp; Design Management</t>
  </si>
  <si>
    <t>SD-2024-0086</t>
  </si>
  <si>
    <t>BK640117</t>
  </si>
  <si>
    <t>นายอิสระ ขุนเดช</t>
  </si>
  <si>
    <t>6652 เจ้าหน้าที่พัฒนาบุคลากรอาวุโส</t>
  </si>
  <si>
    <t>SD-2024-0087</t>
  </si>
  <si>
    <t>BK660140</t>
  </si>
  <si>
    <t>น.ส.ปุณยวีร์ พัฒนเจริญ</t>
  </si>
  <si>
    <t>SD-2024-0088</t>
  </si>
  <si>
    <t>SX670068</t>
  </si>
  <si>
    <t>นางสาวพิมพลอย คำคงนันพิพัฒน์</t>
  </si>
  <si>
    <t>ฝ่ายขายบ้าน 1B (โซนศรีราชา / บ่อวิน)</t>
  </si>
  <si>
    <t>SX-2024-036</t>
  </si>
  <si>
    <t>SPS670036</t>
  </si>
  <si>
    <t>นางสาวจินต์จุฑา  ปรางค์ชัยเวศม์</t>
  </si>
  <si>
    <t xml:space="preserve">ฝ่าย Premium house Ekkamai </t>
  </si>
  <si>
    <t>SX-SPS2024-007</t>
  </si>
  <si>
    <t>MMS650181</t>
  </si>
  <si>
    <t>น.ส.สุวิมล แสงอรุณ</t>
  </si>
  <si>
    <t>ฝ่ายบริหารโครงการคอนโด 12B</t>
  </si>
  <si>
    <t>SD-2024-0089</t>
  </si>
  <si>
    <t>BK610074</t>
  </si>
  <si>
    <t>นายณัฐพร จัดระเบียบ</t>
  </si>
  <si>
    <t>6757 เจ้าหน้าที่การเงินอาวุโส</t>
  </si>
  <si>
    <t>SD-2024-0090</t>
  </si>
  <si>
    <t>SD660013</t>
  </si>
  <si>
    <t>นายอติโรจน์ โชติพรสวัสดิ์</t>
  </si>
  <si>
    <t>สายงาน Corperate &amp; Communications</t>
  </si>
  <si>
    <t>SD-2024-0091</t>
  </si>
  <si>
    <t>BK660044</t>
  </si>
  <si>
    <t>น.ส.ทัศนีวรรณ สุทธิเพชร</t>
  </si>
  <si>
    <t>ฝ่ายพัฒนาผลิตภัณฑ์สถาปัตยกรรม</t>
  </si>
  <si>
    <t>SD-2024-0092</t>
  </si>
  <si>
    <t>MMS650022</t>
  </si>
  <si>
    <t xml:space="preserve">นายเพรียวพันธ์ เทียนยวง </t>
  </si>
  <si>
    <t>ฝ่ายบริหารโครงการคอนโดและบ้าน 12C</t>
  </si>
  <si>
    <t>SD-2024-0093</t>
  </si>
  <si>
    <t xml:space="preserve">BK670064
</t>
  </si>
  <si>
    <t>น.ส.วราพรรณ แสนจิตร์</t>
  </si>
  <si>
    <t>ฝ่ายกำกับนโยบายราคาขายข้อมูลเชิงระบบและบริหารเรื่องร้องเรียน</t>
  </si>
  <si>
    <t>SD-2024-0094</t>
  </si>
  <si>
    <t>MMS650406</t>
  </si>
  <si>
    <t>น.ส.ปุณฑรีท์ วิทรโถง</t>
  </si>
  <si>
    <t>นิช โมโน พระราม 9 เฟส 1,2</t>
  </si>
  <si>
    <t>SD-2024-0095</t>
  </si>
  <si>
    <t>SX670058</t>
  </si>
  <si>
    <t>นายณรงค์ฤทธิ์  สัมพุทธานนท์</t>
  </si>
  <si>
    <t>เสนา วีว่า ศรีราชา - อัสสัมชัญ</t>
  </si>
  <si>
    <t>SX-2024-039</t>
  </si>
  <si>
    <t>SX670081</t>
  </si>
  <si>
    <t>นางสาวจุฑามาศ  ดวงใจ</t>
  </si>
  <si>
    <t xml:space="preserve">โครงการ เสนา เวล่า รัตนาธิเบศร์-บางบัวทอง </t>
  </si>
  <si>
    <t>SX-2024-037</t>
  </si>
  <si>
    <t>SX670093</t>
  </si>
  <si>
    <t>นางสาววริฏฐา  จันทนพิศาล</t>
  </si>
  <si>
    <t xml:space="preserve">สายงาน Brand Communication </t>
  </si>
  <si>
    <t>SX-2024-038</t>
  </si>
  <si>
    <t>VMS670317</t>
  </si>
  <si>
    <t>นายศุภกิจ  เทศโมลี</t>
  </si>
  <si>
    <t xml:space="preserve">แผนกอาคารชุด นิช โมโน สุขุมวิท-ปู่เจ้า  </t>
  </si>
  <si>
    <t>SX-VMS2024-062</t>
  </si>
  <si>
    <t>SPS670008</t>
  </si>
  <si>
    <t>นายณรงค์เดช  วิเชียรชัย</t>
  </si>
  <si>
    <t>SX-SPS2024-008</t>
  </si>
  <si>
    <t xml:space="preserve">MMS670048
</t>
  </si>
  <si>
    <t>น.ส.กนกพร ประชุมวงศ์</t>
  </si>
  <si>
    <t xml:space="preserve">5402 ผู้ช่วยหัวหน้าการตลาด
</t>
  </si>
  <si>
    <t>ฝ่ายการตลาดคอนโด 3A</t>
  </si>
  <si>
    <t>SD-2024-0096</t>
  </si>
  <si>
    <t>SPS670031</t>
  </si>
  <si>
    <t>นายวิทยา มีกังวาล</t>
  </si>
  <si>
    <t>SX-SPS2024-009</t>
  </si>
  <si>
    <t>MMS650255</t>
  </si>
  <si>
    <t>นายภูษณะ พูลทรัพย์</t>
  </si>
  <si>
    <t>ฝ่ายการตลาดคอนโด 2A</t>
  </si>
  <si>
    <t>SD-2024-0097</t>
  </si>
  <si>
    <t>MMS660272</t>
  </si>
  <si>
    <t>น.ส.กชพร พันชวะนัส</t>
  </si>
  <si>
    <t>SD-2024-0098</t>
  </si>
  <si>
    <t>MMS650256</t>
  </si>
  <si>
    <t>น.ส.แคทรียา แสนนาม</t>
  </si>
  <si>
    <t>ฝ่ายบริหารโครงการคอนโด 12E</t>
  </si>
  <si>
    <t>SD-2024-0099</t>
  </si>
  <si>
    <t>MMS660165</t>
  </si>
  <si>
    <t>น.ส.ศุภนุช วงศ์ใหญ่</t>
  </si>
  <si>
    <t>SD-2024-0100</t>
  </si>
  <si>
    <t>BK670024</t>
  </si>
  <si>
    <t>น.ส.ทศเทพ สุขตะโก</t>
  </si>
  <si>
    <t>สายงาน Sena We Care</t>
  </si>
  <si>
    <t>SD-2024-0101</t>
  </si>
  <si>
    <t>BK620166</t>
  </si>
  <si>
    <t>น.ส.ภักตรา วิระสอน</t>
  </si>
  <si>
    <t>สายงานบัญชีการเงินอสังหาริมทรัพย์ 2</t>
  </si>
  <si>
    <t>SD-2024-0102</t>
  </si>
  <si>
    <t>JSA660012</t>
  </si>
  <si>
    <t>นางสาวณัฐญา  เผ่าเสริม</t>
  </si>
  <si>
    <t>แผนกธุรการ  อาคารศูนย์การค้าเสนาเฟสท์</t>
  </si>
  <si>
    <t>SX-JSA2024-010</t>
  </si>
  <si>
    <t>MMS660238</t>
  </si>
  <si>
    <t>นายทวีป อินทร์จันทร์</t>
  </si>
  <si>
    <t>ฝ่ายบริหารโครงการบ้าน 13F</t>
  </si>
  <si>
    <t>SD-2024-0104</t>
  </si>
  <si>
    <t>MMS660401</t>
  </si>
  <si>
    <t>นายสรรวัชญ์ รอดศิริ</t>
  </si>
  <si>
    <t>SD-2024-0105</t>
  </si>
  <si>
    <t>SX670117</t>
  </si>
  <si>
    <t>นางสาวปุณญภัส  พุ่มกลิ่น</t>
  </si>
  <si>
    <t>เสนา วิลเลจ สุขุมวิท - แพรกษา</t>
  </si>
  <si>
    <t>SX-2024-041</t>
  </si>
  <si>
    <t>SX670075</t>
  </si>
  <si>
    <t>นางสาวพัชร์ชยนันต์  วรามิตร</t>
  </si>
  <si>
    <t>ฝ่ายขายบ้าน 1F (โซนบางปะกงสิริ - บ้านโพธิ์ / สิริโสธร)</t>
  </si>
  <si>
    <t>SX-2024-040</t>
  </si>
  <si>
    <t>SPS670034</t>
  </si>
  <si>
    <t>นางสาวธนาภรณ์  เกียรติยศนุสรณ์</t>
  </si>
  <si>
    <t>ฝ่ายการตลาดคอนโด 2B</t>
  </si>
  <si>
    <t>SX-SPS2024-010</t>
  </si>
  <si>
    <t>MMS670073</t>
  </si>
  <si>
    <t>น.ส.วิริยา ทองมาก</t>
  </si>
  <si>
    <t>สายงานการตลาดบ้าน H1A</t>
  </si>
  <si>
    <t>SD-2024-0106</t>
  </si>
  <si>
    <t>BK670076</t>
  </si>
  <si>
    <t>น.ส.ชลธิชา สังข์ทอง</t>
  </si>
  <si>
    <t>เจ้าหน้าที่การเงิน</t>
  </si>
  <si>
    <t>แผนกการเงิน</t>
  </si>
  <si>
    <t>SD-2024-0108</t>
  </si>
  <si>
    <t>SX670106</t>
  </si>
  <si>
    <t>นางสาวกมลวรรณ  ปรุงผล</t>
  </si>
  <si>
    <t>7651 เจ้าหน้าที่บุคคล</t>
  </si>
  <si>
    <t xml:space="preserve">สายงานทรัพยากรบุคคล </t>
  </si>
  <si>
    <t>SX-2024-044</t>
  </si>
  <si>
    <t>SX670147</t>
  </si>
  <si>
    <t>นางสาวหฤทัย  เสือสา</t>
  </si>
  <si>
    <t>SX-2024-043</t>
  </si>
  <si>
    <t>MMS650449</t>
  </si>
  <si>
    <t>นายธิติพล ลิ้มชูวงศ์</t>
  </si>
  <si>
    <t>SD-2024-0109</t>
  </si>
  <si>
    <t>MMS650168</t>
  </si>
  <si>
    <t>นายทรงศักดิ์ กิตติเกริกพล</t>
  </si>
  <si>
    <t>ฝ่ายบริหารโครงการคอนโด 12C</t>
  </si>
  <si>
    <t>SD-2024-0110</t>
  </si>
  <si>
    <t>MMS660393</t>
  </si>
  <si>
    <t>นายภาสกร รักท้วม</t>
  </si>
  <si>
    <t>สายงานขายบ้าน H1A</t>
  </si>
  <si>
    <t>SD-2024-0111</t>
  </si>
  <si>
    <t>SX670096</t>
  </si>
  <si>
    <t>นางสาววิไลลักษณ์  อินทพัด</t>
  </si>
  <si>
    <t>SX-2024-042</t>
  </si>
  <si>
    <t>SPS670018</t>
  </si>
  <si>
    <t>นางกมลพร  ปรัชญาธนกุล</t>
  </si>
  <si>
    <t>สายงาน Industrial &amp; Investment</t>
  </si>
  <si>
    <t>SX-SPS2024-011</t>
  </si>
  <si>
    <t>SPS670001</t>
  </si>
  <si>
    <t>นางสาวจีรประภา  วสุธาร</t>
  </si>
  <si>
    <t>SX-SPS2024-012</t>
  </si>
  <si>
    <t>SPS670019</t>
  </si>
  <si>
    <t>นางสาวธัญญา  เรืองกลั่น</t>
  </si>
  <si>
    <t>SX-SPS2024-013</t>
  </si>
  <si>
    <t>SPS670020</t>
  </si>
  <si>
    <t>นางแจ็คกี้ แอน มานาโก  เกียรติ์มนตรี</t>
  </si>
  <si>
    <t>6403 เจ้าหน้าที่ขายอาวุโส</t>
  </si>
  <si>
    <t>SX-SPS2024-014</t>
  </si>
  <si>
    <t>BK670043</t>
  </si>
  <si>
    <t>นายสุริยา มานุจำ</t>
  </si>
  <si>
    <t>7555 โฟร์แมนตรวจคุณภาพงาน</t>
  </si>
  <si>
    <t>ฝ่ายประกันคุณภาพ และควบคุมต้นทุน</t>
  </si>
  <si>
    <t>SD-2024-0112</t>
  </si>
  <si>
    <t>SX670030</t>
  </si>
  <si>
    <t>นายภัทรวัจน์   พัชรจินดาวงศ์</t>
  </si>
  <si>
    <t>เสนา วิลเลจ วงแหวน - บางบัวทอง</t>
  </si>
  <si>
    <t>SX-2024-045</t>
  </si>
  <si>
    <t>MMS670066</t>
  </si>
  <si>
    <t>นายธงไชย กรัตพงศ์</t>
  </si>
  <si>
    <t>SD-2024-0113</t>
  </si>
  <si>
    <t>JSA670019</t>
  </si>
  <si>
    <t>นายภาณุพันธ์  ทองสกุล</t>
  </si>
  <si>
    <t xml:space="preserve">สายงานบริหารอาคารการค้า </t>
  </si>
  <si>
    <t>SX-JSA2024-011</t>
  </si>
  <si>
    <t>SPS670005</t>
  </si>
  <si>
    <t>นางสาวอัจจิมา   โลหะประภากุล</t>
  </si>
  <si>
    <t>6160 เจ้าหน้าที่ลูกค้าสัมพันธ์อาวุโส</t>
  </si>
  <si>
    <t>แผนก Re-Sales</t>
  </si>
  <si>
    <t>SX-SPS2024-015</t>
  </si>
  <si>
    <t>MMS670008</t>
  </si>
  <si>
    <t>น.ส.ชไมพร แขวงเมือง</t>
  </si>
  <si>
    <t>โคซี่ รามฯ 189 สเตชั่น</t>
  </si>
  <si>
    <t>SD-2024-0114</t>
  </si>
  <si>
    <t>VMS660036</t>
  </si>
  <si>
    <t>นายสุริยา   หรดี</t>
  </si>
  <si>
    <t xml:space="preserve">แผนกบัญชีแนวราบ  </t>
  </si>
  <si>
    <t>SX-VMS2024-049</t>
  </si>
  <si>
    <t>VMS670235</t>
  </si>
  <si>
    <t>นางสาวนัฐวรรณ  จั่นเปี่ยม</t>
  </si>
  <si>
    <t xml:space="preserve">แผนกอาคารชุด แมเนอร์ สนามบินน้ำ </t>
  </si>
  <si>
    <t>SX-VMS2024-050</t>
  </si>
  <si>
    <t>VMS670237</t>
  </si>
  <si>
    <t>นางสาวปรียาภา   เสมาชัย</t>
  </si>
  <si>
    <t>SX-VMS2024-051</t>
  </si>
  <si>
    <t>VMS670138</t>
  </si>
  <si>
    <t>นายอลงกต  บุญเกิด</t>
  </si>
  <si>
    <t>SX-VMS2024-052</t>
  </si>
  <si>
    <t>VMS670230</t>
  </si>
  <si>
    <t>นายวนัส  ใช้ปัญญา</t>
  </si>
  <si>
    <t xml:space="preserve">แผนกอาคารชุด แอทโมซ รัชดา - ห้วยขวาง  </t>
  </si>
  <si>
    <t>SX-VMS2024-053</t>
  </si>
  <si>
    <t>VMS660150</t>
  </si>
  <si>
    <t>นางสาวพัชรียา  ปรีชาพงษ์</t>
  </si>
  <si>
    <t xml:space="preserve">แผนกอาคารชุด เสนาคิทท์ ฉลองกรุง-ลาดกระบัง เฟส 1 - 2  </t>
  </si>
  <si>
    <t>SX-VMS2024-054</t>
  </si>
  <si>
    <t>VMS650058</t>
  </si>
  <si>
    <t>นายชัยราวิน  เสียงล้ำ</t>
  </si>
  <si>
    <t xml:space="preserve">แผนกอาคารชุด เดอะนิช ไพรด์ ทองหล่อ-เพชรบุรี  </t>
  </si>
  <si>
    <t>SX-VMS2024-055</t>
  </si>
  <si>
    <t>VMS670377</t>
  </si>
  <si>
    <t>นายวิทวัส  สุพร</t>
  </si>
  <si>
    <t xml:space="preserve">แผนกอาคารชุด เสนาคิทท์ เอ็มอาร์ที บางแค เฟส 1 - 2  </t>
  </si>
  <si>
    <t>VMS670315</t>
  </si>
  <si>
    <t>นายวัชร  เจริญกิจพิมล</t>
  </si>
  <si>
    <t xml:space="preserve">แผนกอาคารชุด นิช ไพรด์ เตาปูน-อินเตอร์เชนจ์  </t>
  </si>
  <si>
    <t>VMS670371</t>
  </si>
  <si>
    <t>นางสาวเสาวลักษณ์  ศรีแสง</t>
  </si>
  <si>
    <t>VMS670374</t>
  </si>
  <si>
    <t>นางสาวทิพย์ผกา  งามมั่ง</t>
  </si>
  <si>
    <t>7658 เจ้าหน้าที่ธุรการฝ่าย</t>
  </si>
  <si>
    <t xml:space="preserve">สายงานบริหารนิติบุคคล </t>
  </si>
  <si>
    <t>VMS650127</t>
  </si>
  <si>
    <t>นางสาวจิรัชยา  ชารีวาล</t>
  </si>
  <si>
    <t>6857 ผู้ช่วยผู้จัดการหมู่บ้าน</t>
  </si>
  <si>
    <t xml:space="preserve">แผนกหมู่บ้านจัดสรร โครงการ เสนา เวล่า เทพารักษ์ - บางบ่อ </t>
  </si>
  <si>
    <t>SX-VMS2024-048</t>
  </si>
  <si>
    <t>VMS670054</t>
  </si>
  <si>
    <t>นางสาวฐิตารัตน์   สิริรุ่งธนบูลย์</t>
  </si>
  <si>
    <t>นิติบุคคล หมู่บ้านจัดสรร โซนบางบัวทอง</t>
  </si>
  <si>
    <t>SX-VMS2024-056</t>
  </si>
  <si>
    <t>VMS660112</t>
  </si>
  <si>
    <t>นางสาวศุภากร   มะพรรณ์</t>
  </si>
  <si>
    <t>แผนกอาคารชุด เดอะนิช ไอดี เสรีไทย เฟส 1</t>
  </si>
  <si>
    <t>SX-VMS2024-057</t>
  </si>
  <si>
    <t>VMS660126</t>
  </si>
  <si>
    <t>นายวรยุทธ  สดชื่น</t>
  </si>
  <si>
    <t xml:space="preserve">แผนกอาคารชุด เดอะคิทท์ พลัส สุขุมวิท 113  </t>
  </si>
  <si>
    <t>SX-VMS2024-058</t>
  </si>
  <si>
    <t>VMS670084</t>
  </si>
  <si>
    <t>นางสาวลีลาวดี  จันทร์เหลี่ยม</t>
  </si>
  <si>
    <t xml:space="preserve">แผนกอาคารชุด เบลกราเวียร์ เรสซิเด้นซ์ </t>
  </si>
  <si>
    <t>SX-VMS2024-059</t>
  </si>
  <si>
    <t>VMS670010</t>
  </si>
  <si>
    <t>นางสาวกุลธิดา  ทองเพิ่ม</t>
  </si>
  <si>
    <t xml:space="preserve">แผนกบัญชีแนวสูง  </t>
  </si>
  <si>
    <t>SX-VMS2024-060</t>
  </si>
  <si>
    <t>VMS670051</t>
  </si>
  <si>
    <t>นางสาวศิริพรรณ   แก้วคำ</t>
  </si>
  <si>
    <t xml:space="preserve">แผนกอาคารชุด นิช โมโน รามคำแหง </t>
  </si>
  <si>
    <t>SX-VMS2024-064</t>
  </si>
  <si>
    <t>BK670005</t>
  </si>
  <si>
    <t>นายอนุสรณ์ เชือนเชื้อ</t>
  </si>
  <si>
    <t>แผนก Employee Service และ Relation</t>
  </si>
  <si>
    <t>SD-2024-0115</t>
  </si>
  <si>
    <t>VMS660063</t>
  </si>
  <si>
    <t>นายวันเฉลิม  สังวาลย์ทอง</t>
  </si>
  <si>
    <t xml:space="preserve">แผนกอาคารชุด ปีติ สุขุมวิท 101 </t>
  </si>
  <si>
    <t>SX-VMS2024-061</t>
  </si>
  <si>
    <t>SGA670015</t>
  </si>
  <si>
    <t>นางสาวปุณณภา สุธนนรบดี</t>
  </si>
  <si>
    <t>SG2024-009</t>
  </si>
  <si>
    <t>SSG670014</t>
  </si>
  <si>
    <t>นายอนุรักษ์ ชะระ</t>
  </si>
  <si>
    <t>ฝ่าย Warehouse &amp; Logistics</t>
  </si>
  <si>
    <t>SG2024-010</t>
  </si>
  <si>
    <t>SSG650004</t>
  </si>
  <si>
    <t>นายพงศภัค อาจารสุทธิ์</t>
  </si>
  <si>
    <t>SG2024-011</t>
  </si>
  <si>
    <t>JSA670015</t>
  </si>
  <si>
    <t>นายธนพงษ์  แก้วดวง</t>
  </si>
  <si>
    <t xml:space="preserve">ฝ่ายบริหารอาคารศูนย์การค้า </t>
  </si>
  <si>
    <t>SX-JSA2024-012</t>
  </si>
  <si>
    <t>VMS670297</t>
  </si>
  <si>
    <t>นายนภาวุฒิ  รุ่งเรืองศรี</t>
  </si>
  <si>
    <t>แผนกอาคารชุด เสนา อีโค่ ทาวน์ รังสิต-บางพูน</t>
  </si>
  <si>
    <t>VMS670343</t>
  </si>
  <si>
    <t>นางสาวชนิตา   ม่วงพรวน</t>
  </si>
  <si>
    <t xml:space="preserve">แผนกหมู่บ้านจัดสรร โครงการ เสนา วีว่า รัตนาธิเบศร์ - บางบัวทอง  </t>
  </si>
  <si>
    <t>VMS670139</t>
  </si>
  <si>
    <t>นายพรพิพัฒน์  พูลขำ</t>
  </si>
  <si>
    <t xml:space="preserve">แผนกอาคารชุด เดอะ ทรี อินเตอร์เชนจ์  </t>
  </si>
  <si>
    <t>SX-VMS2024-063</t>
  </si>
  <si>
    <t>MMS670082</t>
  </si>
  <si>
    <t>น.ส.ปรรณรัสสร เจริญทรัพย์</t>
  </si>
  <si>
    <t>SD-2024-0116</t>
  </si>
  <si>
    <t>VMS670198</t>
  </si>
  <si>
    <t>นางสาวเมธาวี  ภาสินีพิทักษ์กุล</t>
  </si>
  <si>
    <t xml:space="preserve">แผนกอาคารชุด ศุภาลัย ซิตี้ รีสอร์ท ระยอง  </t>
  </si>
  <si>
    <t>SX-VMS2024-065</t>
  </si>
  <si>
    <t>VMS660109</t>
  </si>
  <si>
    <t>นางสาวนุจนา   คำมาก</t>
  </si>
  <si>
    <t xml:space="preserve">แผนกอาคารชุด เสนาคิทท์ เพชรเกษม-พุทธมณฑล สาย 7 อาคารเอ บี ซี  </t>
  </si>
  <si>
    <t>VMS670355</t>
  </si>
  <si>
    <t>นางสาวชนาภรณ์   เคาเลิศ</t>
  </si>
  <si>
    <t>แผนกอาคารชุด เสนาคิทท์ บางนา-กม.29</t>
  </si>
  <si>
    <t>SX-VMS2024-069</t>
  </si>
  <si>
    <t>VMS670167</t>
  </si>
  <si>
    <t>นางสาวศศวัน  จิรผาตินาถ</t>
  </si>
  <si>
    <t xml:space="preserve">แผนกอาคารชุด บ้านแสงจันทร์ คอนโดมิเนียม  </t>
  </si>
  <si>
    <t>SX-VMS2024-066</t>
  </si>
  <si>
    <t>VMS670236</t>
  </si>
  <si>
    <t>นางสาวสุธิษา  นกรอด</t>
  </si>
  <si>
    <t xml:space="preserve">แผนกอาคารชุด แมเนอร์ สนามบินน้ำ  </t>
  </si>
  <si>
    <t>SX-VMS2024-067</t>
  </si>
  <si>
    <t>SX660001</t>
  </si>
  <si>
    <t>นางสุพินท์  มีชูชีพ</t>
  </si>
  <si>
    <t>11 ประธานเจ้าหน้าที่บริหาร</t>
  </si>
  <si>
    <t xml:space="preserve">กลุ่มงานประธานเจ้าหน้าที่บริหาร (SENX) </t>
  </si>
  <si>
    <t>SX660013</t>
  </si>
  <si>
    <t>นางสาวลัขณา  ลัชชานันท์</t>
  </si>
  <si>
    <t>41 เลขานุการประธานเจ้าหน้าที่บริหาร</t>
  </si>
  <si>
    <t>SX660037</t>
  </si>
  <si>
    <t>นายณรงค์  ใจเสริฐ</t>
  </si>
  <si>
    <t>8660 พนักงานขับรถโครงการ</t>
  </si>
  <si>
    <t>VMS670035</t>
  </si>
  <si>
    <t>นายคนินท์   บุญสนอง</t>
  </si>
  <si>
    <t>VMS660030</t>
  </si>
  <si>
    <t>นางสาวภัทรวดี   ทองเดช</t>
  </si>
  <si>
    <t xml:space="preserve">แผนกอาคารชุด นิช โมโน รามคำแหง  </t>
  </si>
  <si>
    <t>SX-VMS2024-068</t>
  </si>
  <si>
    <t>MMS660080</t>
  </si>
  <si>
    <t>นายปรัชญากรณ์ ฉายอรุณ</t>
  </si>
  <si>
    <t>คิทท์ บีทีเอส พหลโยธิน 50</t>
  </si>
  <si>
    <t>SD-2024-0117</t>
  </si>
  <si>
    <t>BK650268</t>
  </si>
  <si>
    <t>นายจิรพัชร์ โรจนสาโรช</t>
  </si>
  <si>
    <t>6701 ทนายความ</t>
  </si>
  <si>
    <t>ฝ่ายกฎหมาย</t>
  </si>
  <si>
    <t>VMS670298</t>
  </si>
  <si>
    <t>นายมงคล   องคไทร</t>
  </si>
  <si>
    <t>SX670087</t>
  </si>
  <si>
    <t>นางสาวพัทธนันท์   แสงสกุลโรจน์</t>
  </si>
  <si>
    <t>ฝ่ายขายบ้าน 1E (โซนวงแหวน - บางบัวทอง)</t>
  </si>
  <si>
    <t>SX-2024-046</t>
  </si>
  <si>
    <t>BK660046</t>
  </si>
  <si>
    <t>น.ส.เพ็ญศิริ วงษ์สันต์</t>
  </si>
  <si>
    <t>6655 เจ้าหน้าที่สวัสดิการอาวุโส</t>
  </si>
  <si>
    <t>SD-2024-0118</t>
  </si>
  <si>
    <t>MMS660406</t>
  </si>
  <si>
    <t>น.ส.ศิรินทร์รัตน์ เมืองอินทร์</t>
  </si>
  <si>
    <t>MMS670025</t>
  </si>
  <si>
    <t>น.ส.กชนิภา ลือเรือง</t>
  </si>
  <si>
    <t>VMS670155</t>
  </si>
  <si>
    <t>นายทวีชัย  ทิพย์แก้ว</t>
  </si>
  <si>
    <t xml:space="preserve">แผนกอาคารชุด เฟรช คอนโดมิเนียม  </t>
  </si>
  <si>
    <t>SX-VMS2024-070</t>
  </si>
  <si>
    <t>SX670095</t>
  </si>
  <si>
    <t>นายพงศกร   ภูมิเรศสุนทร</t>
  </si>
  <si>
    <t xml:space="preserve">แผนกสรรหาและคัดเลือก  </t>
  </si>
  <si>
    <t>SX-2024-047</t>
  </si>
  <si>
    <t>SSG670012</t>
  </si>
  <si>
    <t>นายสันติ เสมโซ๊ะ</t>
  </si>
  <si>
    <t>5562 วิศวกรไฟฟ้าอาวุโส</t>
  </si>
  <si>
    <t>SG2024-012</t>
  </si>
  <si>
    <t>SSG660004</t>
  </si>
  <si>
    <t>นางสาวพาสกุล ภัทรสุขสิโรตม์</t>
  </si>
  <si>
    <t>SG2024-013</t>
  </si>
  <si>
    <t>SGA660020</t>
  </si>
  <si>
    <t>นางสาวกิตติยา เมฆแสน</t>
  </si>
  <si>
    <t>SG2024-014</t>
  </si>
  <si>
    <t>SGA670010</t>
  </si>
  <si>
    <t>นางสาวชุติมา สิมศิริ</t>
  </si>
  <si>
    <t>SG2024-015</t>
  </si>
  <si>
    <t>SGA670011</t>
  </si>
  <si>
    <t>นายคุณาวุฒิ สิมศิริ</t>
  </si>
  <si>
    <t>SG2024-016</t>
  </si>
  <si>
    <t>SGA670007</t>
  </si>
  <si>
    <t>นายสุทธิพงษ์ ธิมา</t>
  </si>
  <si>
    <t>SG2024-017</t>
  </si>
  <si>
    <t>SGA670009</t>
  </si>
  <si>
    <t>นางศรุดา จันทรบุตร</t>
  </si>
  <si>
    <t>SG2024-018</t>
  </si>
  <si>
    <t>SGA670019</t>
  </si>
  <si>
    <t>นางสาวนฤมล ไชยเดช</t>
  </si>
  <si>
    <t>SG2024-019</t>
  </si>
  <si>
    <t>SGA670004</t>
  </si>
  <si>
    <t>นายภาคภูมิ เพชรเดช</t>
  </si>
  <si>
    <t>SG2024-020</t>
  </si>
  <si>
    <t>SGA660016</t>
  </si>
  <si>
    <t>นางสาวศิรประภา คำแดง</t>
  </si>
  <si>
    <t>SG2024-021</t>
  </si>
  <si>
    <t>SGA660029</t>
  </si>
  <si>
    <t>นายอนุสรณ์ พลภักดี</t>
  </si>
  <si>
    <t>SG2024-022</t>
  </si>
  <si>
    <t>SGA660021</t>
  </si>
  <si>
    <t>นางสาวชัญญา พึ่งธรรมคุณ</t>
  </si>
  <si>
    <t>SG2024-023</t>
  </si>
  <si>
    <t>SX660032</t>
  </si>
  <si>
    <t>นางสาวธารารัตน์  บุญรักษา</t>
  </si>
  <si>
    <t>SX-2024-048</t>
  </si>
  <si>
    <t>VMS670338</t>
  </si>
  <si>
    <t>นายพีระศักดิ์  ทรัพย์ทองคำ</t>
  </si>
  <si>
    <t>VMS670365</t>
  </si>
  <si>
    <t>นางสาวธัญรัตน์   ประสพ</t>
  </si>
  <si>
    <t xml:space="preserve">แผนกอาคารชุด โมทีฟ คอนโด  </t>
  </si>
  <si>
    <t>VMS650038</t>
  </si>
  <si>
    <t>นายวิศิษฐ์  อิสสระพงศ์</t>
  </si>
  <si>
    <t xml:space="preserve">แผนกหมู่บ้านจัดสรร โครงการ เสนา วีว่า วงแหวน - บางบัวทอง </t>
  </si>
  <si>
    <t>VMS660049</t>
  </si>
  <si>
    <t>นางสาวลลิตญาดา  ชุ่มชื่น</t>
  </si>
  <si>
    <t xml:space="preserve">แผนกอาคารชุด เสนาคิทท์ บีทีเอส สะพานใหม่  </t>
  </si>
  <si>
    <t>SPS670006</t>
  </si>
  <si>
    <t>นางสาวอัจฉรี  ปุณณะหิตานนท์</t>
  </si>
  <si>
    <t>ฝ่าย Re-Sales</t>
  </si>
  <si>
    <t>SX-SPS2024-016</t>
  </si>
  <si>
    <t>VMS660077</t>
  </si>
  <si>
    <t>นายสุรวุฒิ  กลีบผึ้ง</t>
  </si>
  <si>
    <t xml:space="preserve">แผนกอาคารชุด เสนาคิทท์ รัตนาธิเบศร์-บางบัวทอง  </t>
  </si>
  <si>
    <t>VMS660094</t>
  </si>
  <si>
    <t>นางสาวอรอุมา   มาลี</t>
  </si>
  <si>
    <t>VMS670008</t>
  </si>
  <si>
    <t>นางสาวจารุณี  มาลี</t>
  </si>
  <si>
    <t>VMS670083</t>
  </si>
  <si>
    <t>นายภาสวุฒิ  อิศรางกูร ณ อยุธยา</t>
  </si>
  <si>
    <t>SX660017</t>
  </si>
  <si>
    <t>นางสาวพรทิพย์  กุลสอน</t>
  </si>
  <si>
    <t>SX-2024-049</t>
  </si>
  <si>
    <t>VMS660050</t>
  </si>
  <si>
    <t>นางสาวจิราพร   เรณุนันทน์ ณ อยุธยา</t>
  </si>
  <si>
    <t>SX-VMS2024-071</t>
  </si>
  <si>
    <t>BK670048</t>
  </si>
  <si>
    <t>นางสาวกัลยา ทองโคตร</t>
  </si>
  <si>
    <t>ฝ่ายบัญชีจ่ายทั่วไป</t>
  </si>
  <si>
    <t>VMS670406</t>
  </si>
  <si>
    <t>นางสาวพยัตติกา   ประทุมพงษ์</t>
  </si>
  <si>
    <t>SX-VMS2024-072</t>
  </si>
  <si>
    <t>VMS670118</t>
  </si>
  <si>
    <t>นายจิรายุทธ  เสนาช่วย</t>
  </si>
  <si>
    <t xml:space="preserve">แผนกอาคารชุด ดิ เอสเตท ท่าพระ </t>
  </si>
  <si>
    <t>SX-VMS2024-073</t>
  </si>
  <si>
    <t>VMS670055</t>
  </si>
  <si>
    <t>นางสาวนัคมน  ยังจีน</t>
  </si>
  <si>
    <t>SX-VMS2024-074</t>
  </si>
  <si>
    <t>VMS670323</t>
  </si>
  <si>
    <t>นายศราวุธ  นุชนวล</t>
  </si>
  <si>
    <t>แผนกอาคารชุด เฟล็กซี่ สุขสวัสดิ์</t>
  </si>
  <si>
    <t>SX-VMS2024-075</t>
  </si>
  <si>
    <t>SX670173</t>
  </si>
  <si>
    <t>นางสาวขวัญกมล  วิเศษ</t>
  </si>
  <si>
    <t>เสนา เวล่า รัตนาธิเบศร์ - บางบัวทอง</t>
  </si>
  <si>
    <t>SX-2024-050</t>
  </si>
  <si>
    <t>MMS650250</t>
  </si>
  <si>
    <t xml:space="preserve">น.ส.ธนาภา ปาเป็ง </t>
  </si>
  <si>
    <t xml:space="preserve">6353 เจ้าหน้าที่ประสานงานขายและการตลาดอาวุโส </t>
  </si>
  <si>
    <t>สายงานบริหารการขาย และตลาดคอนโด 3</t>
  </si>
  <si>
    <t>SD-2024-0119</t>
  </si>
  <si>
    <t>VMS670289</t>
  </si>
  <si>
    <t>นางสาวอรรัชตา  บุสุวะ</t>
  </si>
  <si>
    <t>SX-VMS2024-076</t>
  </si>
  <si>
    <t>VMS670240</t>
  </si>
  <si>
    <t>นางสาวสิรินภา  สีขุนทด</t>
  </si>
  <si>
    <t>ยกเลิกลาออก SX-VMS2024-076</t>
  </si>
  <si>
    <t>VMS630006</t>
  </si>
  <si>
    <t>นายวรัญญู   นาเจริญ</t>
  </si>
  <si>
    <t xml:space="preserve">แผนกอาคารชุด นิช ไอดี แอท ปากเกร็ด สเตชั่น  </t>
  </si>
  <si>
    <t>SX-VMS2024-078</t>
  </si>
  <si>
    <t>VMS660141</t>
  </si>
  <si>
    <t>นางสาวสินจัย  ดงไมตรี</t>
  </si>
  <si>
    <t>SX-VMS2024-079</t>
  </si>
  <si>
    <t>VMS670025</t>
  </si>
  <si>
    <t>นายภีรพล  อินตาพวง</t>
  </si>
  <si>
    <t xml:space="preserve">แผนกอาคารชุด นิช โมโน เมกะ สเปซ บางนา </t>
  </si>
  <si>
    <t>SX-VMS2024-080</t>
  </si>
  <si>
    <t>VMS650023</t>
  </si>
  <si>
    <t>นายจตุภูมิ   สูนศรี</t>
  </si>
  <si>
    <t>แผนกบริการดูแลสระว่ายน้ำ</t>
  </si>
  <si>
    <t>VMS670384</t>
  </si>
  <si>
    <t>นายธนะชัย   กงชา</t>
  </si>
  <si>
    <t xml:space="preserve">แผนกอาคารชุด นิช ไอดี สุขุมวิท 113  </t>
  </si>
  <si>
    <t>VMS660052</t>
  </si>
  <si>
    <t>นางสาวธิดารัตน์  ลิ่มจู้หมึง</t>
  </si>
  <si>
    <t>SX-VMS2024-081</t>
  </si>
  <si>
    <t>BK650214</t>
  </si>
  <si>
    <t>นายสุรศักดิ์ อ่านพาณิชย์</t>
  </si>
  <si>
    <t>SD-2024-0214</t>
  </si>
  <si>
    <t>VMS650032</t>
  </si>
  <si>
    <t>นางสาวพณิชญา  พองชัยภูมิ</t>
  </si>
  <si>
    <t xml:space="preserve">แผนกอาคารชุด บ้านร่วมทางฝัน 4  </t>
  </si>
  <si>
    <t>SX-VMS2024-082</t>
  </si>
  <si>
    <t>SX-2024-051</t>
  </si>
  <si>
    <t>SX670007</t>
  </si>
  <si>
    <t>นายธนากร  ขันทอง</t>
  </si>
  <si>
    <t>6505 วิศวกรสำรวจ</t>
  </si>
  <si>
    <t>SX-2024-052</t>
  </si>
  <si>
    <t>VMS670096</t>
  </si>
  <si>
    <t>นางสาวณัฐฌา   นาเมืองรักษ์</t>
  </si>
  <si>
    <t xml:space="preserve">แผนกอาคารชุด ศุภาลัย ลอฟท์ แจ้งวัฒนะ  </t>
  </si>
  <si>
    <t>VMS670296</t>
  </si>
  <si>
    <t>นายภัทรพล  คำปาโน</t>
  </si>
  <si>
    <t>SX-VMS2024-083</t>
  </si>
  <si>
    <t>VMS670354</t>
  </si>
  <si>
    <t>นายไพโรจน์  สนามแจง</t>
  </si>
  <si>
    <t xml:space="preserve">แผนกอาคารชุด เดอะคิทท์ รังสิต-ติวานนท์  </t>
  </si>
  <si>
    <t>VMS670294</t>
  </si>
  <si>
    <t>นายศิริศักดิ์ ศิลาจำรูญ</t>
  </si>
  <si>
    <t>13 ผู้ช่วยประธานเจ้าหน้าที่บริหาร</t>
  </si>
  <si>
    <t>กลุ่มงานบริหารอสังหาริมทรัพย์</t>
  </si>
  <si>
    <t>SX-VMS2024-084</t>
  </si>
  <si>
    <t>VMS670295</t>
  </si>
  <si>
    <t>นางสาวชนิดา มีมูลทอง</t>
  </si>
  <si>
    <t xml:space="preserve">สายงานบริหารอาคารที่อยู่อาศัย (NON SENA) </t>
  </si>
  <si>
    <t>SX-VMS2024-085</t>
  </si>
  <si>
    <t>VMS670101</t>
  </si>
  <si>
    <t>นางสาวณภัทร คชเสนีย์</t>
  </si>
  <si>
    <t>ฝ่ายบริหารอสังหาริมทรัพย์</t>
  </si>
  <si>
    <t>SX-VMS2024-086</t>
  </si>
  <si>
    <t>VMS670102</t>
  </si>
  <si>
    <t>นายทรงศักดิ์ วิสิฐศักดิ์ชัย</t>
  </si>
  <si>
    <t xml:space="preserve">ฝ่ายบริหารอสังหาริมทรัพย์ </t>
  </si>
  <si>
    <t>SX-VMS2024-087</t>
  </si>
  <si>
    <t>MMS670006</t>
  </si>
  <si>
    <t>น.ส.กุสุมา สุขเสวก</t>
  </si>
  <si>
    <t xml:space="preserve">4401 หัวหน้างานขายและสินเชื่อ </t>
  </si>
  <si>
    <t>สำนักงานขาย เสนา แกรนด์ โฮม รังสิต - ติวานนท์</t>
  </si>
  <si>
    <t>SD-2024-0215</t>
  </si>
  <si>
    <t>VMS670266</t>
  </si>
  <si>
    <t>นายประดิษฐ์  ศีรีสุข</t>
  </si>
  <si>
    <t xml:space="preserve">แผนกโรงแรม เซ็นทารา ไลฟ์ บางกอก พระนคร </t>
  </si>
  <si>
    <t>SX-VMS2024-089</t>
  </si>
  <si>
    <t>VMS660056</t>
  </si>
  <si>
    <t>นายกรพัฒน์  แสนสุพรรณ</t>
  </si>
  <si>
    <t>SX-VMS2024-090</t>
  </si>
  <si>
    <t>VMS670329</t>
  </si>
  <si>
    <t>นายอิฟรอน  อาแซ</t>
  </si>
  <si>
    <t xml:space="preserve">แผนกอาคารชุด เบลกราเวียร์ เรสซิเด้นซ์  </t>
  </si>
  <si>
    <t>SX-VMS2024-091</t>
  </si>
  <si>
    <t>VMS670361</t>
  </si>
  <si>
    <t>นายกีรติ  รักเทศ</t>
  </si>
  <si>
    <t>SX660024</t>
  </si>
  <si>
    <t>นางสาวปัทมา   โกกลางดอน</t>
  </si>
  <si>
    <t>SX-2024-053</t>
  </si>
  <si>
    <t>VMS670394</t>
  </si>
  <si>
    <t>นางสาวกาญฐิมา  แสงดอก</t>
  </si>
  <si>
    <t>BK590066</t>
  </si>
  <si>
    <t>นางรุ่งทิพย์ นพสมบูรณ์</t>
  </si>
  <si>
    <t>ฝ่ายประสานงานราชการ 2</t>
  </si>
  <si>
    <t>SD-2024-0216</t>
  </si>
  <si>
    <t>SRF670004</t>
  </si>
  <si>
    <t>นางสาวทิพวรรณ อาจเลิศ</t>
  </si>
  <si>
    <t>ฝ่ายสนับสนุุน</t>
  </si>
  <si>
    <t>SG2024-024</t>
  </si>
  <si>
    <t>VMS670065</t>
  </si>
  <si>
    <t>นายอภิชาติ   เณรแก้ว</t>
  </si>
  <si>
    <t>MMS660227</t>
  </si>
  <si>
    <t>นายวัชชิรา วรสิทธิ์</t>
  </si>
  <si>
    <t>ฝ่ายบริหารโครงการบ้าน 13G</t>
  </si>
  <si>
    <t>SD-2024-0217</t>
  </si>
  <si>
    <t>BK660103</t>
  </si>
  <si>
    <t>น.ส.สุรีพร ประสารศรี</t>
  </si>
  <si>
    <t>ฝ่ายประมาณราคา และงบประมาณ</t>
  </si>
  <si>
    <t>SD-2024-128</t>
  </si>
  <si>
    <t>VMS670313</t>
  </si>
  <si>
    <t>นางสาวพัชราภรณ์  สิงห์หล้า</t>
  </si>
  <si>
    <t>SX-VMS2024-092</t>
  </si>
  <si>
    <t>SX670049</t>
  </si>
  <si>
    <t>นายเมธานันท์  ติละกุล</t>
  </si>
  <si>
    <t>เจ ทาวน์ เอ็กซ์คลูซีฟ บางปะกง - บ้านโพธิ์</t>
  </si>
  <si>
    <t>SX-2024-054</t>
  </si>
  <si>
    <t>SX660012</t>
  </si>
  <si>
    <t>นางสาวโรสมีณีย์  บือซา</t>
  </si>
  <si>
    <t xml:space="preserve">ฝ่ายบัญชีเจ้าหนี้  </t>
  </si>
  <si>
    <t>SX-2024-055</t>
  </si>
  <si>
    <t>MMS660015</t>
  </si>
  <si>
    <t>น.ส.มิณรญา ศุกิตติยานนท์</t>
  </si>
  <si>
    <t>SD-2024-0218</t>
  </si>
  <si>
    <t>VMS670421</t>
  </si>
  <si>
    <t>นายอานนท์  อริยนนท์</t>
  </si>
  <si>
    <t>MMS670095</t>
  </si>
  <si>
    <t>นายเกียรติ นาวินปกาสิตย์</t>
  </si>
  <si>
    <t>แผนกการตลาดคอนโด 2</t>
  </si>
  <si>
    <t>SD-2024-0129</t>
  </si>
  <si>
    <t>SX670029</t>
  </si>
  <si>
    <t>นายธีระพงษ์  วันชัย</t>
  </si>
  <si>
    <t>SX-2024-056</t>
  </si>
  <si>
    <t>VMS650114</t>
  </si>
  <si>
    <t>นายนันทิศักดิ์  เกษี</t>
  </si>
  <si>
    <t xml:space="preserve">แผนกอาคารชุด เฟล็กซี่ เตาปูน อินเตอร์เชนจ์  </t>
  </si>
  <si>
    <t>SX-VMS2024-093</t>
  </si>
  <si>
    <t>VMS670280</t>
  </si>
  <si>
    <t>นางสาวธนวัน  ชยางกูรวงษ์</t>
  </si>
  <si>
    <t xml:space="preserve">7756 เจ้าหน้าที่บัญชีทั่วไป	แผนกบัญชีและการเงิน  </t>
  </si>
  <si>
    <t>SX-VMS2024-094</t>
  </si>
  <si>
    <t>VMS670358</t>
  </si>
  <si>
    <t>นางสาวเจนจิรา  พรหมช้าง</t>
  </si>
  <si>
    <t>แผนกดูแลอาคารลานจอด</t>
  </si>
  <si>
    <t>SX-VMS2024-095</t>
  </si>
  <si>
    <t>VMS660127</t>
  </si>
  <si>
    <t>นางสาวหทัยรัชต์  นนท์วิสิฐ</t>
  </si>
  <si>
    <t>SX-VMS2024-096</t>
  </si>
  <si>
    <t>VMS670404</t>
  </si>
  <si>
    <t>นางสาวปริศนา  จันทร์แสนตอ</t>
  </si>
  <si>
    <t xml:space="preserve">นิติบุคคล หมู่บ้านจัดสรร โซนบางบัวทอง  </t>
  </si>
  <si>
    <t>VMS670414</t>
  </si>
  <si>
    <t>นางสาวจันทร์ทิพย์  ชูวงษ์</t>
  </si>
  <si>
    <t>VMS660021</t>
  </si>
  <si>
    <t>นายณรัฐกรณ์  แก้วประดิษฐ์</t>
  </si>
  <si>
    <t>MMS650373</t>
  </si>
  <si>
    <t>นางสาวพันธุ์ทิพย์ สุขเสวตร์</t>
  </si>
  <si>
    <t>SD-2024-0128</t>
  </si>
  <si>
    <t>VMS620071</t>
  </si>
  <si>
    <t>นางสาวโยษิตา  ธรรมะ</t>
  </si>
  <si>
    <t>SX-VMS2024-097</t>
  </si>
  <si>
    <t>VMS660001</t>
  </si>
  <si>
    <t>นายนันทภัทร  ไชยภัทรจิรสิน</t>
  </si>
  <si>
    <t>SX-VMS2024-098</t>
  </si>
  <si>
    <t>VMS660152</t>
  </si>
  <si>
    <t>นางสาวอาภาชนก  ผิวสร้อย</t>
  </si>
  <si>
    <t>SX-VMS2024-099</t>
  </si>
  <si>
    <t>VMS660137</t>
  </si>
  <si>
    <t>นายคมชาญ  เลิศเมธา</t>
  </si>
  <si>
    <t>SX-VMS2024-100</t>
  </si>
  <si>
    <t>VMS660151</t>
  </si>
  <si>
    <t>นายพงษ์ณชัย  พินิจชัยยันต์</t>
  </si>
  <si>
    <t>SX-VMS2024-101</t>
  </si>
  <si>
    <t>VMS620057</t>
  </si>
  <si>
    <t>นางสาวดารากูล  อาจหาญ</t>
  </si>
  <si>
    <t>SX-VMS2024-102</t>
  </si>
  <si>
    <t>VMS670060</t>
  </si>
  <si>
    <t>นางสาวภัทรียา  อุทัยใหม่</t>
  </si>
  <si>
    <t>SX-VMS2024-103</t>
  </si>
  <si>
    <t>VMS670045</t>
  </si>
  <si>
    <t>นางสาวภัทราภรณ์  อุตดิฐษ์</t>
  </si>
  <si>
    <t xml:space="preserve">แผนกการเงินรับ  </t>
  </si>
  <si>
    <t>VMS650130</t>
  </si>
  <si>
    <t>นายนราวัฒน์  หอมสุวรรณ</t>
  </si>
  <si>
    <t xml:space="preserve">แผนกอาคารชุด นิช โมโน แจ้งวัฒนะ เฟส 1 </t>
  </si>
  <si>
    <t>SX-VMS2024-104</t>
  </si>
  <si>
    <t>VMS650065</t>
  </si>
  <si>
    <t>นายสิทธินนท์  ช่างคิด</t>
  </si>
  <si>
    <t xml:space="preserve">แผนกอาคารชุด นิช โมโน แจ้งวัฒนะ เฟส 1  </t>
  </si>
  <si>
    <t>SX-VMS2024-105</t>
  </si>
  <si>
    <t>BK670050</t>
  </si>
  <si>
    <t>น.ส.ปพัชญา คนใหญ่</t>
  </si>
  <si>
    <t>ฝ่าย People Capabillity Devepment</t>
  </si>
  <si>
    <t>SD-2024-0131</t>
  </si>
  <si>
    <t>SSG670013</t>
  </si>
  <si>
    <t>นายทัศนัย สุขาชื่น</t>
  </si>
  <si>
    <t>ฝ่ายออกแบบและติดตั้ง</t>
  </si>
  <si>
    <t>SG2024-025</t>
  </si>
  <si>
    <t>VMS670262</t>
  </si>
  <si>
    <t>นายพีรณัฐ   ฐิตะโชติการ</t>
  </si>
  <si>
    <t xml:space="preserve">แผนกอาคารชุด คาซ่า 24 </t>
  </si>
  <si>
    <t>ยกเลิกลาออกSX-VMS2024-106</t>
  </si>
  <si>
    <t>VMS670422</t>
  </si>
  <si>
    <t>นายเป็นเอก  ปั้นรอด</t>
  </si>
  <si>
    <t>SX-VMS2024-107</t>
  </si>
  <si>
    <t>SPS670033</t>
  </si>
  <si>
    <t>นางสาวพรมณี  จ้อยเล็ก</t>
  </si>
  <si>
    <t>SPS670004</t>
  </si>
  <si>
    <t>นางสาวพรรณี  สงวนศักดิ์มั่น</t>
  </si>
  <si>
    <t>ฝ่าย Commercial / Retail &amp; Solar</t>
  </si>
  <si>
    <t>SX-SPS2024-017</t>
  </si>
  <si>
    <t xml:space="preserve">MMS650074 </t>
  </si>
  <si>
    <t>นายศุภชัย เอี่ยมสอาด</t>
  </si>
  <si>
    <t xml:space="preserve"> 4101 หัวหน้าแผนก </t>
  </si>
  <si>
    <t>ฝ่ายการตลาดบ้าน H1B (โซนพุทธมณฑล - ชลบุรี)</t>
  </si>
  <si>
    <t>SD-2024-0132</t>
  </si>
  <si>
    <t>VMS670098</t>
  </si>
  <si>
    <t>นายฉัตรฐาน์  มีนายน</t>
  </si>
  <si>
    <t xml:space="preserve">แผนกอาคารชุด เดอะ ซีเครซ หัวหิน  </t>
  </si>
  <si>
    <t>VMS670417</t>
  </si>
  <si>
    <t>นายกิตติพงษ์  พจน์ด้วง</t>
  </si>
  <si>
    <t xml:space="preserve">แผนกอาคารชุด เฟล็กซี่ รัตนาธิเบศร์  </t>
  </si>
  <si>
    <t xml:space="preserve"> BK670089</t>
  </si>
  <si>
    <t xml:space="preserve">น.ส.ศุภมาศ หิมเวช </t>
  </si>
  <si>
    <t xml:space="preserve">7655 เจ้าหน้าที่สวัสดิการ </t>
  </si>
  <si>
    <t xml:space="preserve">ฝ่าย Compensation &amp; Benefit </t>
  </si>
  <si>
    <t>SD-2024-0133</t>
  </si>
  <si>
    <t>SPS670009</t>
  </si>
  <si>
    <t>นายธนาวิทย์  ปิติสุนา</t>
  </si>
  <si>
    <t>แผนก Commercial / Retail &amp; Solar</t>
  </si>
  <si>
    <t>SX-SPS2024-018</t>
  </si>
  <si>
    <t>SPS670041</t>
  </si>
  <si>
    <t>นายภูเบศวร์  เสียวกสิกร</t>
  </si>
  <si>
    <t>SX-SPS2024-019</t>
  </si>
  <si>
    <t>VMS660069</t>
  </si>
  <si>
    <t>นายขุนทอง   สายสอาด</t>
  </si>
  <si>
    <t>SX-VMS2024-108</t>
  </si>
  <si>
    <t>VMS670441</t>
  </si>
  <si>
    <t>นางสาวชลิตา   ซุ่นใช้</t>
  </si>
  <si>
    <t>JSA670006</t>
  </si>
  <si>
    <t>นายธนวัฒน์ กัสตาวี</t>
  </si>
  <si>
    <t>แผนกดูแลอาคาร</t>
  </si>
  <si>
    <t>SX-JSA2024-013</t>
  </si>
  <si>
    <t>VMS620051</t>
  </si>
  <si>
    <t>นายศุภชัย   เหล่าบุญกล่อม</t>
  </si>
  <si>
    <t xml:space="preserve">แผนกอาคารชุด เดอะคิทท์ พลัส พหลโยธิน-คูคต เฟส 2  </t>
  </si>
  <si>
    <t>MMS670051</t>
  </si>
  <si>
    <t>นายปัณณ์พงศ์  วงศ์สระทอง</t>
  </si>
  <si>
    <t xml:space="preserve"> 4401 หัวหน้างานขายและสินเชื่อ</t>
  </si>
  <si>
    <t>สำนักงานขาย เสนา แกรนด์ โฮม บางนา กม.29</t>
  </si>
  <si>
    <t>SD2025-001</t>
  </si>
  <si>
    <t>BK620034</t>
  </si>
  <si>
    <t>น.ส.รุ้งเพชร โชติจรูญพงศ์</t>
  </si>
  <si>
    <t>6653 เจ้าหน้าที่สรรหาบุคลากรอาวุโส</t>
  </si>
  <si>
    <t xml:space="preserve">ฝ่าย Talent Acquisition &amp; Employee Branding </t>
  </si>
  <si>
    <t>SD2025-002</t>
  </si>
  <si>
    <t>VMS670273</t>
  </si>
  <si>
    <t>นายกฤษดา  เหลืองอร่าม</t>
  </si>
  <si>
    <t>5854 ผู้ช่วยหัวหน้าแผนกสนับสนุนส่วนกลาง 1</t>
  </si>
  <si>
    <t xml:space="preserve">แผนกวิศวกรรม  </t>
  </si>
  <si>
    <t>SX-VMS2025-001</t>
  </si>
  <si>
    <t>VMS670353</t>
  </si>
  <si>
    <t>นายเสกสรร  เต็มใจ</t>
  </si>
  <si>
    <t>SX-VMS2025-002</t>
  </si>
  <si>
    <t>VMS670175</t>
  </si>
  <si>
    <t>นางสาวภูริตา  อ่วมสำอางค์</t>
  </si>
  <si>
    <t xml:space="preserve">แผนกอาคารชุด มาราเกช หัวหิน เรสซิเดนเซส  </t>
  </si>
  <si>
    <t>SX-VMS2025-003</t>
  </si>
  <si>
    <t>VMS670378</t>
  </si>
  <si>
    <t>นางสาววีรสุ   ยืนยง</t>
  </si>
  <si>
    <t>ยกเลิกลาออก SX-VMS2025-004</t>
  </si>
  <si>
    <t>VMS670157</t>
  </si>
  <si>
    <t>นางสาวกัณฐมณี  บุญเงิน</t>
  </si>
  <si>
    <t>SX-VMS2025-005</t>
  </si>
  <si>
    <t>VMS670438</t>
  </si>
  <si>
    <t>นายชินภัทร   แสงโชติ</t>
  </si>
  <si>
    <t>MMS670078</t>
  </si>
  <si>
    <t>นายสรณีย์ สอนเชื้อจีน</t>
  </si>
  <si>
    <t>เสนาคิทท์ เอ็มอาร์ที - บางแค</t>
  </si>
  <si>
    <t>SD2025-003</t>
  </si>
  <si>
    <t>BK660036</t>
  </si>
  <si>
    <t>นายสรายุทธ ปานนพภา</t>
  </si>
  <si>
    <t>ฝ่าย Financial Project Analysis &amp; Planning</t>
  </si>
  <si>
    <t>SD2025-004</t>
  </si>
  <si>
    <t>VMS670310</t>
  </si>
  <si>
    <t>นางสาววราภรณ์  รุจิชิต</t>
  </si>
  <si>
    <t xml:space="preserve">แผนกอาคารชุด พลัม คอนโด รามคำแหง 60 สเตชั่น  </t>
  </si>
  <si>
    <t>SX-VMS2025-006</t>
  </si>
  <si>
    <t>BK680478</t>
  </si>
  <si>
    <t>ณัฐพล จุลวานิช</t>
  </si>
  <si>
    <t>SD2025-005</t>
  </si>
  <si>
    <t>SSG640009</t>
  </si>
  <si>
    <t>นายยศวริศ ดุลพินิจพัฒนะ</t>
  </si>
  <si>
    <t>กลุ่มบริหารธุรกิจโซลาร์</t>
  </si>
  <si>
    <t>SG2024-026</t>
  </si>
  <si>
    <t>SRF670005</t>
  </si>
  <si>
    <t>นายสมชาย ละการชั่ว</t>
  </si>
  <si>
    <t>ฝ่ายสนับสนุน</t>
  </si>
  <si>
    <t>SG2025-003</t>
  </si>
  <si>
    <t>SX670128</t>
  </si>
  <si>
    <t>นายบุญฤทธิ์  รุจิรวนิช</t>
  </si>
  <si>
    <t>SX-2025-001</t>
  </si>
  <si>
    <t>SX670115</t>
  </si>
  <si>
    <t>นางภรัณฌกร จิรภิญญากุล</t>
  </si>
  <si>
    <t>สายงานขายบ้าน H1B</t>
  </si>
  <si>
    <t>SD2025-006</t>
  </si>
  <si>
    <t>BK670090</t>
  </si>
  <si>
    <t>นางสาวสุดา จวิเสน</t>
  </si>
  <si>
    <t>SD2025-007</t>
  </si>
  <si>
    <t>VMS670401</t>
  </si>
  <si>
    <t>นายกำธร  จีนใจบุญ</t>
  </si>
  <si>
    <t>SX-VMS2025-007</t>
  </si>
  <si>
    <t>SX670015</t>
  </si>
  <si>
    <t>นางสาวณิรินทร์กร  ชื่นบานธนาพงศ์</t>
  </si>
  <si>
    <t>SX-2025-002</t>
  </si>
  <si>
    <t>VMS680007</t>
  </si>
  <si>
    <t>นายณัฐพล   วงศ์มา</t>
  </si>
  <si>
    <t>SX-VMS2025-008</t>
  </si>
  <si>
    <t>BK680132</t>
  </si>
  <si>
    <t>นายภาคภูมิ แซ่กั้ง</t>
  </si>
  <si>
    <t>สายงานขายคอนโด 1</t>
  </si>
  <si>
    <t>SD2025-008</t>
  </si>
  <si>
    <t>BK680333</t>
  </si>
  <si>
    <t>นางสาวนงนุช ขันเดช</t>
  </si>
  <si>
    <t>VMS670383</t>
  </si>
  <si>
    <t>นางสาวลลิตา  วงศ์ปถัมภ์</t>
  </si>
  <si>
    <t>VMS670437</t>
  </si>
  <si>
    <t>นางสาวปุณิกา  พุ่มอรุณ</t>
  </si>
  <si>
    <t>BK680297</t>
  </si>
  <si>
    <t>ว่าที่ ร.ต.กีรติ สุเชาวนกุล</t>
  </si>
  <si>
    <t>สายงานบริหารโครงการคอนโด 14</t>
  </si>
  <si>
    <t>SD2025-009</t>
  </si>
  <si>
    <t>VMS670425</t>
  </si>
  <si>
    <t>นางสาววาสนา  สร้อยโสภี</t>
  </si>
  <si>
    <t>VMS670415</t>
  </si>
  <si>
    <t>นายสรรชัย  ชัยรัมย์</t>
  </si>
  <si>
    <t xml:space="preserve">แผนกอาคารชุด คอลเลซซิโอ สาทร-พิพัฒน์ </t>
  </si>
  <si>
    <t>SPS680001</t>
  </si>
  <si>
    <t>นางสาวณรัฐวรรณ  ภัคสุรีกาญจน์</t>
  </si>
  <si>
    <t>7205 เจ้าหน้าที่พัฒนาธุรกิจ</t>
  </si>
  <si>
    <t xml:space="preserve">แผนกพัฒนาธุรกิจ  </t>
  </si>
  <si>
    <t>SX-SPS2025-001</t>
  </si>
  <si>
    <t>VMS670252</t>
  </si>
  <si>
    <t>นายโภควินท์  ทรัพย์แก้ว</t>
  </si>
  <si>
    <t>VMS670412</t>
  </si>
  <si>
    <t>นางสาววราภรณ์  ศรีธรรมมา</t>
  </si>
  <si>
    <t>VMS670332</t>
  </si>
  <si>
    <t>นายณัฐภูมิ  ชมภูแดง</t>
  </si>
  <si>
    <t>SX-VMS2025-009</t>
  </si>
  <si>
    <t>VMS680008</t>
  </si>
  <si>
    <t>นายรัฐศาสตร์   ธรรมนิยม</t>
  </si>
  <si>
    <t>BK680208</t>
  </si>
  <si>
    <t>นายนัฐพล วรสุข</t>
  </si>
  <si>
    <t>เฟล็กซี่ เตาปูน - อินเตอร์เชนจ์</t>
  </si>
  <si>
    <t>SD2025-010</t>
  </si>
  <si>
    <t xml:space="preserve">BK670088
</t>
  </si>
  <si>
    <t>นายชยกร พูลศรี</t>
  </si>
  <si>
    <t>SD2025-011</t>
  </si>
  <si>
    <t>VMS670432</t>
  </si>
  <si>
    <t>นายรัฐพงษ์  สมชัย</t>
  </si>
  <si>
    <t>SX-VMS2025-010</t>
  </si>
  <si>
    <t>BK680281</t>
  </si>
  <si>
    <t>นายกัญจน์ทนนท์ กสิเกษตรสิริ</t>
  </si>
  <si>
    <t>ฝ่ายการบ้าน H1A (โซนรามอินทรา)</t>
  </si>
  <si>
    <t>SD2025-012</t>
  </si>
  <si>
    <t>SX670179</t>
  </si>
  <si>
    <t xml:space="preserve">ณัฐเศรษฐ เอกขำ </t>
  </si>
  <si>
    <t xml:space="preserve"> 7405 เจ้าหน้าที่การตลาด</t>
  </si>
  <si>
    <t xml:space="preserve">ฝ่ายการตลาดบ้าน H1B (โซนพุทธมณฑล - ชลบุรี) </t>
  </si>
  <si>
    <t>SX-2025-003</t>
  </si>
  <si>
    <t>VMS670336</t>
  </si>
  <si>
    <t>นายพิชาภพ  สุ้ยแก้ว</t>
  </si>
  <si>
    <t>SX-VMS2025-011</t>
  </si>
  <si>
    <t>BK680267</t>
  </si>
  <si>
    <t>น.ส.อรนุช เอี่ยมระเบียบ</t>
  </si>
  <si>
    <t>SD2025-013</t>
  </si>
  <si>
    <t xml:space="preserve">BK680358
</t>
  </si>
  <si>
    <t>นางสาวสุวรรณา กระต่ายทอง</t>
  </si>
  <si>
    <t>เจ้าหน้าที่ธุรการโครงการ</t>
  </si>
  <si>
    <t>SD2025-014</t>
  </si>
  <si>
    <t>SGA680001</t>
  </si>
  <si>
    <t>นายพิสันต์ อาดำ</t>
  </si>
  <si>
    <t>SG2025-004</t>
  </si>
  <si>
    <t>SX660023</t>
  </si>
  <si>
    <t>นางสาวธัญลักษณ์  เทียมถนอม</t>
  </si>
  <si>
    <t xml:space="preserve">แผนกบัญชีทั่วไป  </t>
  </si>
  <si>
    <t>SX-2025-004</t>
  </si>
  <si>
    <t>VMS670372</t>
  </si>
  <si>
    <t>นายเด่นชัย  ดอมไธสง</t>
  </si>
  <si>
    <t xml:space="preserve">แผนกอาคารชุด เดอะคิทท์ พลัส สุขุมวิท 113 </t>
  </si>
  <si>
    <t>VMS660014</t>
  </si>
  <si>
    <t>นายธารินทร์  นันทปรีชา</t>
  </si>
  <si>
    <t xml:space="preserve">BK630071
</t>
  </si>
  <si>
    <t>นางสาวนุชนารถ นนพิภักดิ์</t>
  </si>
  <si>
    <t>7554 เจ้าหน้าที่ประมาณราคา</t>
  </si>
  <si>
    <t>SD2025-015</t>
  </si>
  <si>
    <t xml:space="preserve">BK680241
</t>
  </si>
  <si>
    <t>นางสาวกาญจนา เหล่าบัวบาน</t>
  </si>
  <si>
    <t>SD2025-016</t>
  </si>
  <si>
    <t>BK680464</t>
  </si>
  <si>
    <t>SD2025-017</t>
  </si>
  <si>
    <t>SX670045</t>
  </si>
  <si>
    <t>นายวทันยู  บุญมา</t>
  </si>
  <si>
    <t>เสนา วิลเลจ ติวานนท์ - บางกะดี</t>
  </si>
  <si>
    <t>SX-2025-005</t>
  </si>
  <si>
    <t>SX670083</t>
  </si>
  <si>
    <t>นายธีระเดช  อรุณวณิช</t>
  </si>
  <si>
    <t>แผนกการตลาดบ้าน H1A (โซนบางบัวทอง - บางใหญ่)</t>
  </si>
  <si>
    <t>SX-2025-006</t>
  </si>
  <si>
    <t>BK680562</t>
  </si>
  <si>
    <t xml:space="preserve">นางสาวระวีพร ประทีปพรศักดิ์ </t>
  </si>
  <si>
    <t xml:space="preserve">แผนก HRD และ OD </t>
  </si>
  <si>
    <t>SD2025-018</t>
  </si>
  <si>
    <t>BK680551</t>
  </si>
  <si>
    <t xml:space="preserve">นางสาวจิราภรณ์ มณีวรรณ </t>
  </si>
  <si>
    <t>SD2025-019</t>
  </si>
  <si>
    <t>BK670069</t>
  </si>
  <si>
    <t>นางสาวลัดดาวัลย์ ปัดพรม</t>
  </si>
  <si>
    <t>6660 เจ้าหน้าที่ประชาสัมพันธ์อาวุโส</t>
  </si>
  <si>
    <t>ฝ่ายบริการสำนักงานและอาคารสถานที่</t>
  </si>
  <si>
    <t>SD2025-020</t>
  </si>
  <si>
    <t>VMS670302</t>
  </si>
  <si>
    <t>นางสาวนาตยา  อิ่มอำไพ</t>
  </si>
  <si>
    <t>SX-VMS2025-012</t>
  </si>
  <si>
    <t>SX670174</t>
  </si>
  <si>
    <t>นางสาวสุพิชชา  เนียนพานิช</t>
  </si>
  <si>
    <t xml:space="preserve">แผนกการขายโซนวงแหวน - บางบัวทอง </t>
  </si>
  <si>
    <t>SX-2025-007</t>
  </si>
  <si>
    <t>BK680544</t>
  </si>
  <si>
    <t>นายธีรเดช บุญมา</t>
  </si>
  <si>
    <t>SD2025-021</t>
  </si>
  <si>
    <t>VMS670168</t>
  </si>
  <si>
    <t>นางสาวละออทิพย์  สินสมบุญ</t>
  </si>
  <si>
    <t xml:space="preserve">แผนกอาคารชุด บ้านแสนสราญ  </t>
  </si>
  <si>
    <t>SX-VMS2025-014</t>
  </si>
  <si>
    <t>VMS670321</t>
  </si>
  <si>
    <t>นางสาวกมลรัตน์  มีมะแม</t>
  </si>
  <si>
    <t xml:space="preserve">ฝ่ายบัญชีและการเงิน </t>
  </si>
  <si>
    <t>SX-VMS2025-015</t>
  </si>
  <si>
    <t>VMS680051</t>
  </si>
  <si>
    <t>นางสาวปัณฑิตา  โพธิ์โต</t>
  </si>
  <si>
    <t>VMS680006</t>
  </si>
  <si>
    <t>นางสาวศศิญา  การประเสริฐ</t>
  </si>
  <si>
    <t xml:space="preserve">แผนกอาคารชุด นิช โมโน อิสรภาพ </t>
  </si>
  <si>
    <t>SX-VMS2025-013</t>
  </si>
  <si>
    <t>VMS670169</t>
  </si>
  <si>
    <t>นางสาวศิริจิตร  คล้าก</t>
  </si>
  <si>
    <t>SX-VMS2025-016</t>
  </si>
  <si>
    <t>SGA680002</t>
  </si>
  <si>
    <t>นายธงชาติ มาลัยพรรณ</t>
  </si>
  <si>
    <t>เจ้าหน้าที่อะไหล่</t>
  </si>
  <si>
    <t>เสนา กรีน ออโตโมทีฟ</t>
  </si>
  <si>
    <t>SG2025-005</t>
  </si>
  <si>
    <t>VMS660135</t>
  </si>
  <si>
    <t>นางสาวกาญดารัตน์  ชาวบ้านเกาะ</t>
  </si>
  <si>
    <t>SX-VMS2025-017</t>
  </si>
  <si>
    <t>VMS680041</t>
  </si>
  <si>
    <t>นายสายยัณห์  พารา</t>
  </si>
  <si>
    <t>VMS670356</t>
  </si>
  <si>
    <t>นางสาวพิรญา  แสงสุวรรณ์</t>
  </si>
  <si>
    <t>VMS680013</t>
  </si>
  <si>
    <t>นายธนวรรธน์  อนุเวช</t>
  </si>
  <si>
    <t>VMS680046</t>
  </si>
  <si>
    <t>นายศุภกร  รักไทย</t>
  </si>
  <si>
    <t>VMS670156</t>
  </si>
  <si>
    <t>นางสาวณัชพิมพ์  วงษ์หิรัญวานิช</t>
  </si>
  <si>
    <t>SX-VMS2025-018</t>
  </si>
  <si>
    <t>VMS670363</t>
  </si>
  <si>
    <t>นายรุศิวาธารญ์  พิมาณรัตฐญาธรญ์</t>
  </si>
  <si>
    <t>BK680233</t>
  </si>
  <si>
    <t>นายธรรศ ครามะคำ</t>
  </si>
  <si>
    <t>SD2025-022</t>
  </si>
  <si>
    <t>SP11660001</t>
  </si>
  <si>
    <t>น.ส.อุษณี ศิลาสานต์</t>
  </si>
  <si>
    <t>ฝ่ายปิดงบการเงิน</t>
  </si>
  <si>
    <t>SD2025-023</t>
  </si>
  <si>
    <t>SP17660005</t>
  </si>
  <si>
    <t>นางสาว กรวิกา แก้วจันทร์</t>
  </si>
  <si>
    <t>SD2025-024</t>
  </si>
  <si>
    <t>VMS670434</t>
  </si>
  <si>
    <t>นายศราวุธ  ศรีพิกุล</t>
  </si>
  <si>
    <t>SX-VMS2025-019</t>
  </si>
  <si>
    <t>VMS680016</t>
  </si>
  <si>
    <t>นางสาวสุมิตรา  พนมเวศ</t>
  </si>
  <si>
    <t>SX-VMS2025-020</t>
  </si>
  <si>
    <t>VMS650091</t>
  </si>
  <si>
    <t>นางสาวอรวดี  หรั่งศรีทอง</t>
  </si>
  <si>
    <t>BK660056</t>
  </si>
  <si>
    <t>นายวรพันธ์ ลานทิพย์เลิศ</t>
  </si>
  <si>
    <t>7560 ภูมิสถาปนิก</t>
  </si>
  <si>
    <t>SD2025-025</t>
  </si>
  <si>
    <t>VMS680061</t>
  </si>
  <si>
    <t>นายกฤษดา  โกฮวด</t>
  </si>
  <si>
    <t>VMS680044</t>
  </si>
  <si>
    <t>นายนพดล  คงแป้น</t>
  </si>
  <si>
    <t>VMS650064</t>
  </si>
  <si>
    <t>นายณัฐวุฒิ  พัฒนวิบูลย์</t>
  </si>
  <si>
    <t>SX-VMS2025-021</t>
  </si>
  <si>
    <t xml:space="preserve">BK680248
</t>
  </si>
  <si>
    <t>น.ส.สายสุนทรี  เนตรทิพย์</t>
  </si>
  <si>
    <t>ฝ่ายการตลาดธุรกิจ 3B</t>
  </si>
  <si>
    <t>SD2025-026</t>
  </si>
  <si>
    <t>SP18670001</t>
  </si>
  <si>
    <t>น.ส.บุญสิตา ทวีคูณ</t>
  </si>
  <si>
    <t>SD2025-027</t>
  </si>
  <si>
    <t>BK680252</t>
  </si>
  <si>
    <t xml:space="preserve">น.ส.ณสรา จอมสูง </t>
  </si>
  <si>
    <t>ฝ่ายขายบ้าน 1A</t>
  </si>
  <si>
    <t>SD2025-028</t>
  </si>
  <si>
    <t>VMS670005</t>
  </si>
  <si>
    <t>นางสาวนวพร  นัยเนตร</t>
  </si>
  <si>
    <t>SX-VMS2025-022</t>
  </si>
  <si>
    <t>VMS650088</t>
  </si>
  <si>
    <t>นาวสาวธมลวรรณ  ห้าวหาญ</t>
  </si>
  <si>
    <t xml:space="preserve">แผนกอาคารชุด เสนาคิทท์ ศรีนครินทร์ - ศรีด่าน  </t>
  </si>
  <si>
    <t>SX-VMS2025-023</t>
  </si>
  <si>
    <t>VMS680026</t>
  </si>
  <si>
    <t>นางสาวอารีญา  หงษ์เขียว</t>
  </si>
  <si>
    <t xml:space="preserve">แผนกธุรการ  </t>
  </si>
  <si>
    <t>SX-VMS2025-024</t>
  </si>
  <si>
    <t>VMS680024</t>
  </si>
  <si>
    <t>นางสาวกุลชาติ  ชูเมือง</t>
  </si>
  <si>
    <t xml:space="preserve">แผนกลูกค้าสัมพันธ์  </t>
  </si>
  <si>
    <t>SX-VMS2025-025</t>
  </si>
  <si>
    <t>VMS670267</t>
  </si>
  <si>
    <t>นายประสงค์  คำโส</t>
  </si>
  <si>
    <t>SX-VMS2025-026</t>
  </si>
  <si>
    <t>VMS670370</t>
  </si>
  <si>
    <t>นายอับดุลอาชิ  มือลี</t>
  </si>
  <si>
    <t>SX-VMS2025-027</t>
  </si>
  <si>
    <t>BK530073</t>
  </si>
  <si>
    <t xml:space="preserve">น.ส.วิไล สายสิทธิ์ </t>
  </si>
  <si>
    <t>แผนก Compensation และ Benefit</t>
  </si>
  <si>
    <t>SD2025-029</t>
  </si>
  <si>
    <t>สุพัฒน์</t>
  </si>
  <si>
    <t>SD2025-030</t>
  </si>
  <si>
    <t>กีรติ</t>
  </si>
  <si>
    <t>SD2025-031</t>
  </si>
  <si>
    <t>BK680268</t>
  </si>
  <si>
    <t>นางสาวหทัยรัตน์ เติมสุข</t>
  </si>
  <si>
    <t>SD2025-032</t>
  </si>
  <si>
    <t>สหพล สิงห์โตทอง</t>
  </si>
  <si>
    <t>SD2025-033</t>
  </si>
  <si>
    <t xml:space="preserve">BK680247
</t>
  </si>
  <si>
    <t>นางสาวศิริกรพร กุสุมาลย์</t>
  </si>
  <si>
    <t>SD2025-034</t>
  </si>
  <si>
    <t>BK670066</t>
  </si>
  <si>
    <t>นางสาวขนิษฐา กองแหวน</t>
  </si>
  <si>
    <t>ฝ่ายสนับสนุนงานสินเชื่อ</t>
  </si>
  <si>
    <t>SD2025-035</t>
  </si>
  <si>
    <t>ยกเลิกลาออก SX-VMS2025-028</t>
  </si>
  <si>
    <t>SP11660010</t>
  </si>
  <si>
    <t xml:space="preserve">นายทินกรศักดิ์ โคราช </t>
  </si>
  <si>
    <t>แผนกปิดงบการเงิน</t>
  </si>
  <si>
    <t>SD2025-036</t>
  </si>
  <si>
    <t>BK670074</t>
  </si>
  <si>
    <t>จิรภิญญา ประมวล</t>
  </si>
  <si>
    <t>ฝ่ายบัญชีต้นทุน</t>
  </si>
  <si>
    <t>SD2025-037</t>
  </si>
  <si>
    <t>BK680575</t>
  </si>
  <si>
    <t>นางสาวอนุษรา ด่อนคร้าม</t>
  </si>
  <si>
    <t>SD2025-038</t>
  </si>
  <si>
    <t>SGE670027</t>
  </si>
  <si>
    <t>นางสาวอมรรัตน์ กันดี</t>
  </si>
  <si>
    <t>แผนกบัญชีการเงิน</t>
  </si>
  <si>
    <t>SG2025-006</t>
  </si>
  <si>
    <t>SSG660005</t>
  </si>
  <si>
    <t xml:space="preserve">นายสุพัฒนพงศ์ วงษ์กิจวิเชียร </t>
  </si>
  <si>
    <t>SG2025-007</t>
  </si>
  <si>
    <t>BK680486</t>
  </si>
  <si>
    <t xml:space="preserve">นางสาววีรภัทรา ม่วงศิริธรรม </t>
  </si>
  <si>
    <t>เสนา พาร์ค วิลล์ รามอินทรา - วงแหวน</t>
  </si>
  <si>
    <t>SD2025-039</t>
  </si>
  <si>
    <t xml:space="preserve">SRF670006
</t>
  </si>
  <si>
    <t>นาวสาวสุพินดา แป้นอ้อย</t>
  </si>
  <si>
    <t xml:space="preserve">ฝ่ายสนับสนุน
</t>
  </si>
  <si>
    <t>SG2025-008</t>
  </si>
  <si>
    <t>BK680389</t>
  </si>
  <si>
    <t xml:space="preserve">นายสิทธิโชค สีสังข์ </t>
  </si>
  <si>
    <t>เสนาคิทท์ ฉลองกรุง - ลาดกระบัง</t>
  </si>
  <si>
    <t>SD2025-040</t>
  </si>
  <si>
    <t>BK680309</t>
  </si>
  <si>
    <t>นายยุทธพงศ์ แซ่ฉั่ว</t>
  </si>
  <si>
    <t xml:space="preserve">แผนก Construction
</t>
  </si>
  <si>
    <t>SD2025-041</t>
  </si>
  <si>
    <t xml:space="preserve">BK670006
</t>
  </si>
  <si>
    <t>นางสาวปาริฉัตร รัตนบุญเกตุ</t>
  </si>
  <si>
    <t xml:space="preserve">7757 เจ้าหน้าที่การเงิน
</t>
  </si>
  <si>
    <t>SD2025-042</t>
  </si>
  <si>
    <t>VMS680089</t>
  </si>
  <si>
    <t>นายอภิเษก  พุดพันธ์</t>
  </si>
  <si>
    <t>SN670003</t>
  </si>
  <si>
    <t>สุดใจ เหนือบุตตา</t>
  </si>
  <si>
    <t>8805 ช่างทั่วไป</t>
  </si>
  <si>
    <t>สายงานบริหารธุรกิจเช่ารายย่อย (โกดัง)</t>
  </si>
  <si>
    <t>SD2025-043</t>
  </si>
  <si>
    <t xml:space="preserve">BK680560
</t>
  </si>
  <si>
    <t>นางสาวณภัค ธัญภัคหิรัญ</t>
  </si>
  <si>
    <t>SD2025-044</t>
  </si>
  <si>
    <t>VMS680062</t>
  </si>
  <si>
    <t>นางสาวเบญจมาศ  นูมหันต์</t>
  </si>
  <si>
    <t>SX-VMS2025-029</t>
  </si>
  <si>
    <t>VMS670364</t>
  </si>
  <si>
    <t>นางสาววรางค์คณา  ศรีเวียง</t>
  </si>
  <si>
    <t>VMS670408</t>
  </si>
  <si>
    <t>นายกอบเกียรติ   ไกรฤทธิ์</t>
  </si>
  <si>
    <t>VMS620007</t>
  </si>
  <si>
    <t>นายเสน่ห์  จันทร์ศิริ</t>
  </si>
  <si>
    <t xml:space="preserve">แผนกปฏิบัติการวิศวกรรมแนวสูง  </t>
  </si>
  <si>
    <t>SX-VMS2025-030</t>
  </si>
  <si>
    <t>VMS680042</t>
  </si>
  <si>
    <t>นางสาวมาริษา  เอี่ยมใจดี</t>
  </si>
  <si>
    <t>VMS670440</t>
  </si>
  <si>
    <t>นายดนุพงศ์  มีเจริญ</t>
  </si>
  <si>
    <t>SX-VMS2025-031</t>
  </si>
  <si>
    <t>VMS650020</t>
  </si>
  <si>
    <t>นายมโนรมย์  สมดา</t>
  </si>
  <si>
    <t xml:space="preserve">แผนกอาคารชุด นิช ไพรด์ เตาปูน-อินเตอร์เชนจ์ </t>
  </si>
  <si>
    <t>ยกเลิกลาออก SX-VMS2025-032</t>
  </si>
  <si>
    <t>VMS670158</t>
  </si>
  <si>
    <t>นายบุญส่ง  ทิพยานนท์</t>
  </si>
  <si>
    <t>SX-VMS2025-033</t>
  </si>
  <si>
    <t>SX660030</t>
  </si>
  <si>
    <t>นางสาววิภารัตน์  ธิศรี</t>
  </si>
  <si>
    <t xml:space="preserve">แผนกบัญชีลูกหนี้ </t>
  </si>
  <si>
    <t>SX-2025-008</t>
  </si>
  <si>
    <t>SX660025</t>
  </si>
  <si>
    <t>นางสาวปิ่นปฐวี  ฤทธิ์ฉิ้ม</t>
  </si>
  <si>
    <t>SX-2025-009</t>
  </si>
  <si>
    <t>BK680134</t>
  </si>
  <si>
    <t>นายอาทิตย์ อักษร</t>
  </si>
  <si>
    <t>สายงานบริหารการตลาดคอนโด 4</t>
  </si>
  <si>
    <t>SD2025-045</t>
  </si>
  <si>
    <t>BK680509</t>
  </si>
  <si>
    <t xml:space="preserve">นายนิรุติ สุมา </t>
  </si>
  <si>
    <t>เสนาคิทท์ บางนา - ก.ม.29 เฟส 1</t>
  </si>
  <si>
    <t>SD2025-046</t>
  </si>
  <si>
    <t>VMS670016</t>
  </si>
  <si>
    <t>นางสาวธัญญาเรศ  อ่อนภูเวียง</t>
  </si>
  <si>
    <t>SX-VMS2025-034</t>
  </si>
  <si>
    <t>SX670180</t>
  </si>
  <si>
    <t>นายนลวัทน์  ปรีชาพรประเสริฐ</t>
  </si>
  <si>
    <t>4301 หัวหน้าแผนกจัดสรรเงินทุน</t>
  </si>
  <si>
    <t xml:space="preserve">แผนกจัดสรรเงินทุน </t>
  </si>
  <si>
    <t>SX-2025-010</t>
  </si>
  <si>
    <t>VMS670200</t>
  </si>
  <si>
    <t>SX-VMS2025-035</t>
  </si>
  <si>
    <t>BK680570</t>
  </si>
  <si>
    <t>น.ส.เสาวลักษณ์ ภักดีพงษ์</t>
  </si>
  <si>
    <t>SD2025-047</t>
  </si>
  <si>
    <t>BK680485</t>
  </si>
  <si>
    <t xml:space="preserve">นายธนวัฒน์ ราชวงศา </t>
  </si>
  <si>
    <t>SD2025-048</t>
  </si>
  <si>
    <t>VMS670311</t>
  </si>
  <si>
    <t>นายอภิวัฒน์  มามีทรัพย์</t>
  </si>
  <si>
    <t>SX-VMS2025-036</t>
  </si>
  <si>
    <t>BK680136</t>
  </si>
  <si>
    <t xml:space="preserve">น.ส.จรรยพัฒน์ รุ่งรัตน์ธวัชชัย </t>
  </si>
  <si>
    <t>ฝ่ายขายคอนโด 1D</t>
  </si>
  <si>
    <t>SD2025-049</t>
  </si>
  <si>
    <t>BK680467</t>
  </si>
  <si>
    <t>นายภิตติ วสันต์ขจร</t>
  </si>
  <si>
    <t>ฝ่ายบริหารโครงการบ้าน 12F</t>
  </si>
  <si>
    <t>SD2025-050</t>
  </si>
  <si>
    <t>VMS670366</t>
  </si>
  <si>
    <t>นางสาวอารีรัตน์  เฉลิมพงษ์</t>
  </si>
  <si>
    <t>SX-VMS2025-037</t>
  </si>
  <si>
    <t>SD2025-051</t>
  </si>
  <si>
    <t>VMS670245</t>
  </si>
  <si>
    <t>นายวายุพัฒน์  มหาอำนาจ</t>
  </si>
  <si>
    <t xml:space="preserve">แผนกอาคารชุด มิว  </t>
  </si>
  <si>
    <t>SX-VMS2025-038</t>
  </si>
  <si>
    <t>VMS670031</t>
  </si>
  <si>
    <t>นางสาวกรองทอง  เกตุสละ</t>
  </si>
  <si>
    <t>SX-VMS2025-039</t>
  </si>
  <si>
    <t>VMS670433</t>
  </si>
  <si>
    <t>นางสาวกัลยาภรณ์  สมวงค์</t>
  </si>
  <si>
    <t>SX-VMS2025-040</t>
  </si>
  <si>
    <t>VMS670260</t>
  </si>
  <si>
    <t>นายบรรพต  ลักษณะพรรณดี</t>
  </si>
  <si>
    <t>SX-VMS2025-041</t>
  </si>
  <si>
    <t>VMS670439</t>
  </si>
  <si>
    <t>นายชัยยันต์  งามสน</t>
  </si>
  <si>
    <t>SGA660002</t>
  </si>
  <si>
    <t>นายพีรณัฐ เมธารังสิยา</t>
  </si>
  <si>
    <t>SG2025-009</t>
  </si>
  <si>
    <t>VMS680071</t>
  </si>
  <si>
    <t>นางสาวสราวลี  เปลี่ยนภักดี</t>
  </si>
  <si>
    <t>SX-VMS2025-042</t>
  </si>
  <si>
    <t>BK680175</t>
  </si>
  <si>
    <t>นางสาวรศิมาภรณ์ บุญยะมาลิค</t>
  </si>
  <si>
    <t>สายงานขาย และตลาดคอนโด 1</t>
  </si>
  <si>
    <t>SD2025-052</t>
  </si>
  <si>
    <t>BK680523</t>
  </si>
  <si>
    <t xml:space="preserve">นายรพีภัทร คีรีรมย์ </t>
  </si>
  <si>
    <t>สำนักบริหารโครงการบ้าน 1</t>
  </si>
  <si>
    <t>SD2025-053</t>
  </si>
  <si>
    <t>BK680015</t>
  </si>
  <si>
    <t>น.ส.อภิญญา เลิศพงดี</t>
  </si>
  <si>
    <t>7163 เจ้าหน้าที่ Social Media Content</t>
  </si>
  <si>
    <t>สายงาน Digital Marketing &amp; Communications</t>
  </si>
  <si>
    <t>SD2025-054</t>
  </si>
  <si>
    <t xml:space="preserve">แผนกบัญชีงบการเงิน (ร่วมทุน) </t>
  </si>
  <si>
    <t>SD2025-055</t>
  </si>
  <si>
    <t>VMS670204</t>
  </si>
  <si>
    <t>นางรุ่งทิวา  ธาตุอินจันทร์</t>
  </si>
  <si>
    <t xml:space="preserve">แผนกอาคารชุด ศุภาลัย มอนเต้ แอท เวียง เชียงใหม่  </t>
  </si>
  <si>
    <t>SX-VMS2025-043</t>
  </si>
  <si>
    <t>VMS670205</t>
  </si>
  <si>
    <t>นางสาวสิริกานต์  พรหมเสนา</t>
  </si>
  <si>
    <t>SX-VMS2025-044</t>
  </si>
  <si>
    <t>VMS670206</t>
  </si>
  <si>
    <t>นางสาวโยธกา   ปานโต</t>
  </si>
  <si>
    <t>SX-VMS2025-045</t>
  </si>
  <si>
    <t>VMS670207</t>
  </si>
  <si>
    <t>นางสาวประทานพร  ชัยบัตร์</t>
  </si>
  <si>
    <t>SX-VMS2025-046</t>
  </si>
  <si>
    <t>VMS670209</t>
  </si>
  <si>
    <t>นายสุริต  พ่อคำ</t>
  </si>
  <si>
    <t>SX-VMS2025-047</t>
  </si>
  <si>
    <t>VMS670212</t>
  </si>
  <si>
    <t>นายวรพจน์  เพียรธรรม</t>
  </si>
  <si>
    <t>SX-VMS2025-048</t>
  </si>
  <si>
    <t>VMS670208</t>
  </si>
  <si>
    <t>นายธีรภัทธ์  สุริยวงศ์</t>
  </si>
  <si>
    <t>SX-VMS2025-049</t>
  </si>
  <si>
    <t>VMS670210</t>
  </si>
  <si>
    <t>นายณัฐพล  คำสุข</t>
  </si>
  <si>
    <t>SX-VMS2025-050</t>
  </si>
  <si>
    <t>VMS670214</t>
  </si>
  <si>
    <t>นายวัชรพงษ์  เอื้ออาจิน</t>
  </si>
  <si>
    <t>SX-VMS2025-051</t>
  </si>
  <si>
    <t>VMS670213</t>
  </si>
  <si>
    <t>นายจิรวัฒน์  ปัญญากาบ</t>
  </si>
  <si>
    <t>SX-VMS2025-052</t>
  </si>
  <si>
    <t>VMS670211</t>
  </si>
  <si>
    <t>นายเวโรจน์  คุณนา</t>
  </si>
  <si>
    <t>SX-VMS2025-053</t>
  </si>
  <si>
    <t>VMS670288</t>
  </si>
  <si>
    <t>นายวรวิช  บุญศักดิ์</t>
  </si>
  <si>
    <t xml:space="preserve">แผนกวิศวกรรมส่วนกลาง  </t>
  </si>
  <si>
    <t>SX-VMS2025-054</t>
  </si>
  <si>
    <t>VMS670218</t>
  </si>
  <si>
    <t>นางสาวสุวนันท์  เลาว้าง</t>
  </si>
  <si>
    <t xml:space="preserve">แผนกอาคารชุด ศุภาลัย มอนเต้ 2  </t>
  </si>
  <si>
    <t>SX-VMS2025-055</t>
  </si>
  <si>
    <t>VMS670217</t>
  </si>
  <si>
    <t>นางสาวสุกัญญา  เรือนปลี</t>
  </si>
  <si>
    <t>SX-VMS2025-056</t>
  </si>
  <si>
    <t>SPS670028</t>
  </si>
  <si>
    <t>นางสาวชลทิชา  บุญเรือง</t>
  </si>
  <si>
    <t>แผนก Administrator</t>
  </si>
  <si>
    <t>SX-SPS2025-002</t>
  </si>
  <si>
    <t>VMS670131</t>
  </si>
  <si>
    <t>นางสาวปุณิกา  ปรีดาสิโรตม์</t>
  </si>
  <si>
    <t>SX-VMS2025-057</t>
  </si>
  <si>
    <t>SX670016</t>
  </si>
  <si>
    <t>นายปิยะวุฒิ  คำเลิศ</t>
  </si>
  <si>
    <t>เสนา วีว่า วงแหวน - บางบัวทอง</t>
  </si>
  <si>
    <t>SX-2025-011</t>
  </si>
  <si>
    <t>VMS680047</t>
  </si>
  <si>
    <t>นายวิวรรธน์   เอมสถิตย์</t>
  </si>
  <si>
    <t>VMS670150</t>
  </si>
  <si>
    <t>นายอิบรอฮีม  กูเตะ</t>
  </si>
  <si>
    <t>SX-VMS2025-058</t>
  </si>
  <si>
    <t>BK680483</t>
  </si>
  <si>
    <t>นายอภิชาติ ศรีอิ่นแก้ว</t>
  </si>
  <si>
    <t>4564 หัวหน้างานระบบ</t>
  </si>
  <si>
    <t>SD2025-056</t>
  </si>
  <si>
    <t>SX-VMS2025-059</t>
  </si>
  <si>
    <t>VMS640005</t>
  </si>
  <si>
    <t>นางสาวกานต์ชนก  หอมกอ</t>
  </si>
  <si>
    <t>SX-VMS2025-060</t>
  </si>
  <si>
    <t>BK680594</t>
  </si>
  <si>
    <t xml:space="preserve">นางสาวปณิธี ทรัพย์วราวงศ์ </t>
  </si>
  <si>
    <t>โคซี่ ศรีนครินทร์ 38</t>
  </si>
  <si>
    <t>SD2025-057</t>
  </si>
  <si>
    <t>BK680165</t>
  </si>
  <si>
    <t>นางสาวชนกานต์ เครือชาลี</t>
  </si>
  <si>
    <t>SD2025-058</t>
  </si>
  <si>
    <t>SP4650001</t>
  </si>
  <si>
    <t xml:space="preserve">นางสาวสุนันทา บุระวงค์ </t>
  </si>
  <si>
    <t>SD2025-059</t>
  </si>
  <si>
    <t>VMS670429</t>
  </si>
  <si>
    <t>นางสาวสุมนา  ศรีฉ่ำ</t>
  </si>
  <si>
    <t>VMS680074</t>
  </si>
  <si>
    <t>นายนคเรศร์  เกศโร</t>
  </si>
  <si>
    <t>SX-VMS2025-061</t>
  </si>
  <si>
    <t>BK680488</t>
  </si>
  <si>
    <t xml:space="preserve">นายเลอพงษ์ วาระสิทธิ์ </t>
  </si>
  <si>
    <t>SD2025-060</t>
  </si>
  <si>
    <t>SMF670003</t>
  </si>
  <si>
    <t>นายศิขเรศ  รักแผน</t>
  </si>
  <si>
    <t>SMF-2025-001</t>
  </si>
  <si>
    <t>VMS680125</t>
  </si>
  <si>
    <t>นายราชวัตร  คันทะนาค</t>
  </si>
  <si>
    <t>VMS670004</t>
  </si>
  <si>
    <t>นางสาวขวัญชนก  ลบช้าง</t>
  </si>
  <si>
    <t xml:space="preserve">เจ คอนโด สาทร - กัลปพฤกษ์  </t>
  </si>
  <si>
    <t>VMS680080</t>
  </si>
  <si>
    <t>นายชาญชัย   สังขสุข</t>
  </si>
  <si>
    <t>VMS670111</t>
  </si>
  <si>
    <t>นายธีรสิทธิ์  การะเกษ</t>
  </si>
  <si>
    <t xml:space="preserve">แผนกอาคารชุด เลทีเซีย  </t>
  </si>
  <si>
    <t>SX-VMS2025-062</t>
  </si>
  <si>
    <t>BK650253</t>
  </si>
  <si>
    <t>นายปริญญา ดาบุตร</t>
  </si>
  <si>
    <t>SD2025-061</t>
  </si>
  <si>
    <t>BK670067</t>
  </si>
  <si>
    <t>น.ส.ณัฐสุดา เทศฉิม</t>
  </si>
  <si>
    <t>SD2025-062</t>
  </si>
  <si>
    <t xml:space="preserve">BK680290
</t>
  </si>
  <si>
    <t>นายสันติสุข เต็มสหโสภณ</t>
  </si>
  <si>
    <t>แผนก Construction</t>
  </si>
  <si>
    <t>SD2025-063</t>
  </si>
  <si>
    <t>VMS680034</t>
  </si>
  <si>
    <t>นายพงศธร  เกษร</t>
  </si>
  <si>
    <t>SX-VMS2025-063</t>
  </si>
  <si>
    <t>BK680391</t>
  </si>
  <si>
    <t xml:space="preserve">นายกิตตินันท์ หลวงนุช </t>
  </si>
  <si>
    <t>เสนาคิทท์ รัตนาธิเบศร์ - บางบัวทอง</t>
  </si>
  <si>
    <t>SD2025-064</t>
  </si>
  <si>
    <t>VMS620117</t>
  </si>
  <si>
    <t>นางสาวสุประวีณ์  ธาตุทอง</t>
  </si>
  <si>
    <t>SX-VMS2025-064</t>
  </si>
  <si>
    <t>VMS670182</t>
  </si>
  <si>
    <t>นายณัฐพล  ทับทอง</t>
  </si>
  <si>
    <t>SX-VMS2025-065</t>
  </si>
  <si>
    <t>SGE670031</t>
  </si>
  <si>
    <t>นางสาวกุลนารี ธรรมโชติดำรง</t>
  </si>
  <si>
    <t>SG2025-010</t>
  </si>
  <si>
    <t>SX670103</t>
  </si>
  <si>
    <t>นายชิษณุพงศ์  ไวยลาภ</t>
  </si>
  <si>
    <t>SX-2025-012</t>
  </si>
  <si>
    <t>VMS670099</t>
  </si>
  <si>
    <t>นายจตุรงค์ จินดารัตน์</t>
  </si>
  <si>
    <t>8973 พนักงานทั่วไป</t>
  </si>
  <si>
    <t xml:space="preserve">แผนกการจ้างพนักงานพิการ  </t>
  </si>
  <si>
    <t>SX-VMS2025-066</t>
  </si>
  <si>
    <t>BK680581</t>
  </si>
  <si>
    <t xml:space="preserve">นางสาวสมัชญา บุญผ่อง </t>
  </si>
  <si>
    <t>SD2025-065</t>
  </si>
  <si>
    <t>VMS670066</t>
  </si>
  <si>
    <t>นายปิยบุตร  ชื่นภิรมย์</t>
  </si>
  <si>
    <t>VMS670201</t>
  </si>
  <si>
    <t>นายวิชิต  จันทร์ศรี</t>
  </si>
  <si>
    <t>SX-VMS2025-067</t>
  </si>
  <si>
    <t>SX670167</t>
  </si>
  <si>
    <t>นายภูวนาท  เนตรโสภา</t>
  </si>
  <si>
    <t>8658 พนักงานขับรถผู้บริหาร</t>
  </si>
  <si>
    <t xml:space="preserve">แผนกธุรการทั่วไป </t>
  </si>
  <si>
    <t>VMS670330</t>
  </si>
  <si>
    <t>นางสาวกัลยาณี  มาลัยนาค</t>
  </si>
  <si>
    <t>SX-VMS2025-068</t>
  </si>
  <si>
    <t>VMS680121</t>
  </si>
  <si>
    <t>นายอาวีดุล  ลาเต๊ะ</t>
  </si>
  <si>
    <t>VMS680088</t>
  </si>
  <si>
    <t>นายมะไซดี   กอและ</t>
  </si>
  <si>
    <t>VMS670345</t>
  </si>
  <si>
    <t>นายชนาธิป   พิมนิไสย์</t>
  </si>
  <si>
    <t>SX-VMS2025-069</t>
  </si>
  <si>
    <t>VMS670427</t>
  </si>
  <si>
    <t>นายศุภวัตน์  บุบผาวาส</t>
  </si>
  <si>
    <t>SX-VMS2025-070</t>
  </si>
  <si>
    <t>VMS670026</t>
  </si>
  <si>
    <t>นายเกริกฤทธิ์  ดวงมณี</t>
  </si>
  <si>
    <t>SX-VMS2025-071</t>
  </si>
  <si>
    <t>VMS680111</t>
  </si>
  <si>
    <t>นายนนทวัฒน์   มะโนใจ</t>
  </si>
  <si>
    <t>VMS670286</t>
  </si>
  <si>
    <t>นายนูรอัสวัน  มือลี</t>
  </si>
  <si>
    <t xml:space="preserve">แผนกอาคารชุด เดอะ เชดด์ สาทร 1  </t>
  </si>
  <si>
    <t>SX-VMS2025-072</t>
  </si>
  <si>
    <t>นางสาวปพัชญา คนใหญ่</t>
  </si>
  <si>
    <t>แผนก HR Project &amp; System</t>
  </si>
  <si>
    <t>SD2025-066</t>
  </si>
  <si>
    <t>BK680329</t>
  </si>
  <si>
    <t xml:space="preserve">นายธนินทร์ ปุญญา </t>
  </si>
  <si>
    <t>SD2025-067</t>
  </si>
  <si>
    <t>VMS670184</t>
  </si>
  <si>
    <t>นางสาวภัทรภร  ต๋าคำดี</t>
  </si>
  <si>
    <t xml:space="preserve">แผนกอาคารชุด มาร์เวสท์ หัวหิน  </t>
  </si>
  <si>
    <t>SX-VMS2025-073</t>
  </si>
  <si>
    <t>VMS670186</t>
  </si>
  <si>
    <t>นางสาวเทียนทิพย์  สัยสุข</t>
  </si>
  <si>
    <t>SX-VMS2025-074</t>
  </si>
  <si>
    <t>VMS670185</t>
  </si>
  <si>
    <t>นางสาวกาญจนา  เอี่ยมจิต</t>
  </si>
  <si>
    <t>SX-VMS2025-075</t>
  </si>
  <si>
    <t>VMS670188</t>
  </si>
  <si>
    <t>นายธนวัฒน์  ละม่อม</t>
  </si>
  <si>
    <t>SX-VMS2025-076</t>
  </si>
  <si>
    <t>VMS670085</t>
  </si>
  <si>
    <t>นายปัฐวิทย์  ใหม่เอี่ยม</t>
  </si>
  <si>
    <t>SX-VMS2025-077</t>
  </si>
  <si>
    <t>VMS670369</t>
  </si>
  <si>
    <t>นายเกรียงไกร  สินโพธิ์</t>
  </si>
  <si>
    <t>SX-VMS2025-078</t>
  </si>
  <si>
    <t>VMS670340</t>
  </si>
  <si>
    <t>นายยุทธพิชัย   จำหัน</t>
  </si>
  <si>
    <t>SX-VMS2025-079</t>
  </si>
  <si>
    <t>BK680469</t>
  </si>
  <si>
    <t xml:space="preserve">น.ส.จีวรัตน์ วังกะธาตุ </t>
  </si>
  <si>
    <t>SD2025-068</t>
  </si>
  <si>
    <t>SGE660025</t>
  </si>
  <si>
    <t>น.ส.นพสร สุดใจ</t>
  </si>
  <si>
    <t>SG2025-011</t>
  </si>
  <si>
    <t>SP11660005</t>
  </si>
  <si>
    <t>น.ส.วรรณภา ภาระบาล</t>
  </si>
  <si>
    <t>SD2025-069</t>
  </si>
  <si>
    <t>VMS670227</t>
  </si>
  <si>
    <t>นางสาวณัฐชา  ฉันสำราญ</t>
  </si>
  <si>
    <t>SX-VMS2025-080</t>
  </si>
  <si>
    <t>VMS670229</t>
  </si>
  <si>
    <t>นายจิระศักดิ์   แซ่กู๊</t>
  </si>
  <si>
    <t>SX-VMS2025-081</t>
  </si>
  <si>
    <t>BK650270</t>
  </si>
  <si>
    <t>น.ส.จิรัชยา เรืองสมบูรณ์</t>
  </si>
  <si>
    <t>SD2025-070</t>
  </si>
  <si>
    <t>VMS650107</t>
  </si>
  <si>
    <t>นางสาววริศรา  สร้อยระย้า</t>
  </si>
  <si>
    <t xml:space="preserve">แผนกอาคารชุด เฟล็กซี่ สาธร-เจริญนคร เฟส 1  </t>
  </si>
  <si>
    <t>SX-VMS2025-082</t>
  </si>
  <si>
    <t>BK680571</t>
  </si>
  <si>
    <t>นายปัฐธวีร์ สุทธิแสวง</t>
  </si>
  <si>
    <t>โคซี่ ศรีนครินทร์ - ศรีด่าน</t>
  </si>
  <si>
    <t>SD2025-071</t>
  </si>
  <si>
    <t>SGE670033</t>
  </si>
  <si>
    <t xml:space="preserve">นายธนากรณ์ มณีพฤกษ์ </t>
  </si>
  <si>
    <t>SG2025-012</t>
  </si>
  <si>
    <t>VMS650140</t>
  </si>
  <si>
    <t>นายพัฒนา   เกษมบุญรักษ์</t>
  </si>
  <si>
    <t xml:space="preserve">ฝ่ายภูมิทัศน์และสิ่งแวดล้อม </t>
  </si>
  <si>
    <t>SX-VMS2025-083</t>
  </si>
  <si>
    <t>SX-VMS2025-084</t>
  </si>
  <si>
    <t>VMS680018</t>
  </si>
  <si>
    <t>SX-VMS2025-085</t>
  </si>
  <si>
    <t>VMS680076</t>
  </si>
  <si>
    <t>นางสาวเอมมิกา  สิทธิฤทธิ์</t>
  </si>
  <si>
    <t>SX-VMS2025-086</t>
  </si>
  <si>
    <t>VMS670259</t>
  </si>
  <si>
    <t>นายอนุชา   หวายสันเทียะ</t>
  </si>
  <si>
    <t>SX-VMS2025-087</t>
  </si>
  <si>
    <t>SD2025-072</t>
  </si>
  <si>
    <t>VMS680081</t>
  </si>
  <si>
    <t>นางสาวกษิรา   วัฒนประพิณ</t>
  </si>
  <si>
    <t>SX-VMS2025-088</t>
  </si>
  <si>
    <t>SP17660001</t>
  </si>
  <si>
    <t xml:space="preserve">นายธีระวัฒน์ สุพร </t>
  </si>
  <si>
    <t>7752 เจ้าหน้าที่บัญชีผู้รับเหมา</t>
  </si>
  <si>
    <t>SD2025-073</t>
  </si>
  <si>
    <t>BK680582</t>
  </si>
  <si>
    <t xml:space="preserve">น.ส.จินตนา สังฆ์ลาย </t>
  </si>
  <si>
    <t>SD2025-074</t>
  </si>
  <si>
    <t>VMS680124</t>
  </si>
  <si>
    <t>นางสาววุฒินันท์  ผาเงิน</t>
  </si>
  <si>
    <t>SX-VMS2025-089</t>
  </si>
  <si>
    <t>VMS680131</t>
  </si>
  <si>
    <t>นายภาณุพงษ์  รัตนวงษ์</t>
  </si>
  <si>
    <t>VMS660026</t>
  </si>
  <si>
    <t>นางสาวญาณาพร  ตั้นอุยหลี</t>
  </si>
  <si>
    <t>SGA670005</t>
  </si>
  <si>
    <t xml:space="preserve">นายวุฒิชัย ตั้งชัยธนภัทร </t>
  </si>
  <si>
    <t>SG2025-013</t>
  </si>
  <si>
    <t>SGE670032</t>
  </si>
  <si>
    <t>น.ส.วรรณิกา หมื่นไธสง</t>
  </si>
  <si>
    <t>SG2025-014</t>
  </si>
  <si>
    <t>VMS680058</t>
  </si>
  <si>
    <t>นางสาวนิอร  อัลเบิร์ต</t>
  </si>
  <si>
    <t>SX-VMS2025-090</t>
  </si>
  <si>
    <t>พี่จั๊มขอ</t>
  </si>
  <si>
    <t>SD2025-075</t>
  </si>
  <si>
    <t>BK680520</t>
  </si>
  <si>
    <t xml:space="preserve">นายทวิทย์ เพชรรุ่งศักดิ์ </t>
  </si>
  <si>
    <t>6506 เจ้าหน้าที่ควบคุมภาคสนาม</t>
  </si>
  <si>
    <t>เสนา พาร์ค วิลล์ รามอินทรา - วงแหวน เฟส 2</t>
  </si>
  <si>
    <t>SD2025-076</t>
  </si>
  <si>
    <t>VMS680112</t>
  </si>
  <si>
    <t>นางสาวณิชกานต์  สายสมบูรณ์</t>
  </si>
  <si>
    <t xml:space="preserve">แผนกบริหารอาคารศูนย์การค้าเสนาเฟสท์ </t>
  </si>
  <si>
    <t>SX-VMS2025-091</t>
  </si>
  <si>
    <t>VMS660133</t>
  </si>
  <si>
    <t>นางสาวจิราภรณ์  พงศ์สกุล</t>
  </si>
  <si>
    <t xml:space="preserve">แผนกการเงินจ่าย  </t>
  </si>
  <si>
    <t>SX-VMS2025-092</t>
  </si>
  <si>
    <t>BK680461</t>
  </si>
  <si>
    <t xml:space="preserve">นายชัยพัฒน์ พันธ์จินดาทรัพย์ </t>
  </si>
  <si>
    <t>ฝ่ายบริหารโครงการคอนโด และบ้าน 14C</t>
  </si>
  <si>
    <t>SD2025-077</t>
  </si>
  <si>
    <t>SX670011</t>
  </si>
  <si>
    <t>นายภาณุวัฒน์   นิ่มสมบุญ</t>
  </si>
  <si>
    <t>SX-2025-013</t>
  </si>
  <si>
    <t>VMS660146</t>
  </si>
  <si>
    <t>นางสาววริศรา  เดชทัน</t>
  </si>
  <si>
    <t>แผนกกิจการพิเศษ</t>
  </si>
  <si>
    <t>SX-VMS2025-093</t>
  </si>
  <si>
    <t>SP7650002</t>
  </si>
  <si>
    <t xml:space="preserve">น.ส.ธัญธร อุ่นทรัพย์ </t>
  </si>
  <si>
    <t>SD2025-078</t>
  </si>
  <si>
    <t>VMS670379</t>
  </si>
  <si>
    <t>นายชัยพร  ดอกแก้ว</t>
  </si>
  <si>
    <t>BK610042</t>
  </si>
  <si>
    <t xml:space="preserve">น.ส.ดารารัตน์ เชื้อขาวพิมพ์ </t>
  </si>
  <si>
    <t>แผนกก่อสร้างแนวราบ 1,2</t>
  </si>
  <si>
    <t>SD2025-079</t>
  </si>
  <si>
    <t>VMS680019</t>
  </si>
  <si>
    <t>นายนัฐพล  สุขขะ</t>
  </si>
  <si>
    <t>SX-VMS2025-094</t>
  </si>
  <si>
    <t>VMS670232</t>
  </si>
  <si>
    <t>นายพนัส   พุทธรักษา</t>
  </si>
  <si>
    <t>SX-VMS2025-095</t>
  </si>
  <si>
    <t>VMS670089</t>
  </si>
  <si>
    <t>นายวีระพล  สีลาราช</t>
  </si>
  <si>
    <t>SX-VMS2025-096</t>
  </si>
  <si>
    <t>VMS680141</t>
  </si>
  <si>
    <t>นางสาวนริษา  ฤทธิญาณ</t>
  </si>
  <si>
    <t>SX-VMS2025-097</t>
  </si>
  <si>
    <t>VMS680086</t>
  </si>
  <si>
    <t xml:space="preserve">นายนาวี  รอดเรือง  </t>
  </si>
  <si>
    <t>SX-VMS2025-098</t>
  </si>
  <si>
    <t>VMS670094</t>
  </si>
  <si>
    <t>นายสมเกียรติ  แก้วกุลศรี</t>
  </si>
  <si>
    <t>SX-VMS2025-099</t>
  </si>
  <si>
    <t>BK680433</t>
  </si>
  <si>
    <t>น.ส.อริสรา บุญยิ่ง</t>
  </si>
  <si>
    <t>SD2025-080</t>
  </si>
  <si>
    <t>VMS680139</t>
  </si>
  <si>
    <t>นางสาวภัทรวดี  อาจวงษ์</t>
  </si>
  <si>
    <t>BK680130</t>
  </si>
  <si>
    <t>น.ส.ยุพิน เครือแสง</t>
  </si>
  <si>
    <t>แผนกคุณภาพกระบวนการ และการผลิต</t>
  </si>
  <si>
    <t>SD2025-081</t>
  </si>
  <si>
    <t>VMS680084</t>
  </si>
  <si>
    <t>นายศุภเสกช์  มุสันเทียะ</t>
  </si>
  <si>
    <t>SPS680003</t>
  </si>
  <si>
    <t>นางสาวทานตะวัน  เกตุน้ำเที่ยง</t>
  </si>
  <si>
    <t>แผนก Inter Sales</t>
  </si>
  <si>
    <t>SX-SPS2025-003</t>
  </si>
  <si>
    <t>VMS680132</t>
  </si>
  <si>
    <t>นายประสงค์  ชาวิชัย</t>
  </si>
  <si>
    <t>SX-VMS2025-100</t>
  </si>
  <si>
    <t>VMS670424</t>
  </si>
  <si>
    <t>นางสาวอรวรรณ  หวังประโยชน์</t>
  </si>
  <si>
    <t xml:space="preserve">แผนกอาคารชุด เดอะคิทท์ พลัส พหลโยธิน-คูคต เฟส 1 </t>
  </si>
  <si>
    <t>SX-VMS2025-101</t>
  </si>
  <si>
    <t>VMS680020</t>
  </si>
  <si>
    <t>นายอภิสิทธิ์  แซ่ซือ</t>
  </si>
  <si>
    <t>SX-VMS2025-102</t>
  </si>
  <si>
    <t>VMS670287</t>
  </si>
  <si>
    <t>นายชานน   บุตรมณี</t>
  </si>
  <si>
    <t xml:space="preserve">แผนกอาคารชุด แอทโมซ รัชดา - ห้วยขวาง </t>
  </si>
  <si>
    <t>SX-VMS2025-103</t>
  </si>
  <si>
    <t>BK680502</t>
  </si>
  <si>
    <t>นายธนกฤต บัวเรือง</t>
  </si>
  <si>
    <t>เสนา วิลล์ บรมราชชนนี - สาย 5</t>
  </si>
  <si>
    <t>SD2025-082</t>
  </si>
  <si>
    <t>BK680135</t>
  </si>
  <si>
    <t>น.ส.อรกัญญา วรรณทอง</t>
  </si>
  <si>
    <t>ฝ่ายบริหารการขายคอนโด 1A</t>
  </si>
  <si>
    <t>SD2025-083</t>
  </si>
  <si>
    <t>SSG610007</t>
  </si>
  <si>
    <t>น.ส.มณฑาทิพย์ เทศเล็ก</t>
  </si>
  <si>
    <t>SG2025-015</t>
  </si>
  <si>
    <t>VMS680082</t>
  </si>
  <si>
    <t>นายสิทธิพัฒน์  ลิ้มทอง</t>
  </si>
  <si>
    <t xml:space="preserve">แผนกอาคารชุด นิช โมโน อิสรภาพ  </t>
  </si>
  <si>
    <t>BK680569</t>
  </si>
  <si>
    <t>นายภานุพันธ์ ปัญญานะ</t>
  </si>
  <si>
    <t>สายงานบริหารการตลาดคอนโด 2</t>
  </si>
  <si>
    <t>SD2025-084</t>
  </si>
  <si>
    <t>VMS620021</t>
  </si>
  <si>
    <t>นางสาวพรนริน  สวัสดิ์ศรี</t>
  </si>
  <si>
    <t>VMS680143</t>
  </si>
  <si>
    <t>นางสาวนิชาภา  นาคคชฤทธิ์</t>
  </si>
  <si>
    <t>SD2025-085</t>
  </si>
  <si>
    <t>BK680525</t>
  </si>
  <si>
    <t xml:space="preserve">น.ส.ณิชารีย์ ภูมิวิจิตรการ </t>
  </si>
  <si>
    <t>แผนก Project Support 13</t>
  </si>
  <si>
    <t>SD2025-086</t>
  </si>
  <si>
    <t>SX660042</t>
  </si>
  <si>
    <t>น.ส.อาภัสรา พันธุ์แม็ต</t>
  </si>
  <si>
    <t xml:space="preserve">แผนกบัญชีเจ้าหนี้ (AP)  </t>
  </si>
  <si>
    <t>SX-VMS2025-104</t>
  </si>
  <si>
    <t>BK680270</t>
  </si>
  <si>
    <t xml:space="preserve">น.ส.สุขุมาภรณ์ ศรีวัฒนทรัพย์ </t>
  </si>
  <si>
    <t>SD2025-087</t>
  </si>
  <si>
    <t>NN680001</t>
  </si>
  <si>
    <t xml:space="preserve">นายวีระชัย โชคศิริวิไล </t>
  </si>
  <si>
    <t>แผนกเสนาแวร์เฮ้าส์ สุขุมวิท 50</t>
  </si>
  <si>
    <t>SD2025-088</t>
  </si>
  <si>
    <t>VMS670347</t>
  </si>
  <si>
    <t>นางสาวอารยา  อริยานนท์</t>
  </si>
  <si>
    <t>BK680212</t>
  </si>
  <si>
    <t xml:space="preserve">นายนัทชานันท์ ทองบาง </t>
  </si>
  <si>
    <t>แผนกการตลาดคอนโด 2D</t>
  </si>
  <si>
    <t>SD2025-089</t>
  </si>
  <si>
    <t>VMS680123</t>
  </si>
  <si>
    <t>นายชิณวัตร  เปี่ยมสุข</t>
  </si>
  <si>
    <t>SX-VMS2025-105</t>
  </si>
  <si>
    <t>BK670009</t>
  </si>
  <si>
    <t xml:space="preserve">นายนราชัย ขวัญสุข </t>
  </si>
  <si>
    <t>SD2025-090</t>
  </si>
  <si>
    <t>BK630038</t>
  </si>
  <si>
    <t>น.ส.ภาณินี ดวงตา</t>
  </si>
  <si>
    <t>6658 เจ้าหน้าที่ธุรการอาวุโส</t>
  </si>
  <si>
    <t>แผนก QC</t>
  </si>
  <si>
    <t>SD2025-091</t>
  </si>
  <si>
    <t>VMS680091</t>
  </si>
  <si>
    <t>นายสารินทร์  เหล่าโกทา</t>
  </si>
  <si>
    <t>SX-VMS2025-106</t>
  </si>
  <si>
    <t>VMS620133</t>
  </si>
  <si>
    <t>นางสาวกฤติกา  กิตติกรณ์กุล</t>
  </si>
  <si>
    <t>SX-VMS2025-107</t>
  </si>
  <si>
    <t>SX680009</t>
  </si>
  <si>
    <t>นางสาวสุนทรียา   คล้ายสีทอง</t>
  </si>
  <si>
    <t>SX-2025-014</t>
  </si>
  <si>
    <t>BK660129</t>
  </si>
  <si>
    <t xml:space="preserve">นางปรียานุช ชัยพันธุ์ </t>
  </si>
  <si>
    <t>SD2025-092</t>
  </si>
  <si>
    <t>BK670071</t>
  </si>
  <si>
    <t xml:space="preserve">น.ส.นวกาญจน์ กันจินะ </t>
  </si>
  <si>
    <t>SD2025-093</t>
  </si>
  <si>
    <t>SD2025-094</t>
  </si>
  <si>
    <t>BK680538</t>
  </si>
  <si>
    <t>นายประสบผล กุลวันดี</t>
  </si>
  <si>
    <t>SD2025-095</t>
  </si>
  <si>
    <t>BK680286</t>
  </si>
  <si>
    <t xml:space="preserve">น.ส.สกุลตลา สงขะสะโรช </t>
  </si>
  <si>
    <t>เสนา วีว่า เทพารักษ์ - บางบ่อ</t>
  </si>
  <si>
    <t>SD2025-096</t>
  </si>
  <si>
    <t>VMS670360</t>
  </si>
  <si>
    <t>นายนพริษฐ์  ศุภผล</t>
  </si>
  <si>
    <t>SX-VMS2025-108</t>
  </si>
  <si>
    <t>VMS680106</t>
  </si>
  <si>
    <t>นายวิรัช  ติยะนิ่ว</t>
  </si>
  <si>
    <t>SX-VMS2025-109</t>
  </si>
  <si>
    <t>VMS680093</t>
  </si>
  <si>
    <t>นางสาวธัญญ์นภัส  ธนศิริวรวิชญ์</t>
  </si>
  <si>
    <t>SX-VMS2025-110</t>
  </si>
  <si>
    <t>VMS660090</t>
  </si>
  <si>
    <t>นางสาวไอลดา  น่วมสำลี</t>
  </si>
  <si>
    <t>SX-VMS2025-111</t>
  </si>
  <si>
    <t>VMS670154</t>
  </si>
  <si>
    <t>นายสุรพจน์  พริกนาค</t>
  </si>
  <si>
    <t>SX-VMS2025-112</t>
  </si>
  <si>
    <t>SRF670002</t>
  </si>
  <si>
    <t xml:space="preserve">น.ส.พีรภัทร เซวาซิงห์ </t>
  </si>
  <si>
    <t>แผนกสนับสนุน</t>
  </si>
  <si>
    <t>SG2025-016</t>
  </si>
  <si>
    <t xml:space="preserve">SGA660018
</t>
  </si>
  <si>
    <t>นายนววิธ พงษ์พรกุล</t>
  </si>
  <si>
    <t>ฝ่ายขาย</t>
  </si>
  <si>
    <t>SG2025-017</t>
  </si>
  <si>
    <t xml:space="preserve">SGA660022
</t>
  </si>
  <si>
    <t>นายณัฐพงศ์  รุ่งสกุลลิขิต</t>
  </si>
  <si>
    <t>7981 Product Specialist</t>
  </si>
  <si>
    <t>SG2025-018</t>
  </si>
  <si>
    <t>VMS630014</t>
  </si>
  <si>
    <t>นางสาวนัฎฐกรณ์  พะนัส</t>
  </si>
  <si>
    <t xml:space="preserve">ฝ่ายประสานงานและบริการลูกค้า </t>
  </si>
  <si>
    <t>SX-VMS2025-113</t>
  </si>
  <si>
    <t>SSG640008</t>
  </si>
  <si>
    <t>นายพงศ์พัฒน์ ไตรประวัติ</t>
  </si>
  <si>
    <t>7557 เจ้าหน้าที่เขียนแบบ</t>
  </si>
  <si>
    <t>ฝ่ายออกแบบและประมาณราคา</t>
  </si>
  <si>
    <t>SG2025-019</t>
  </si>
  <si>
    <t>BK680337</t>
  </si>
  <si>
    <t xml:space="preserve">น.ส.อังคณา สุขสมัย </t>
  </si>
  <si>
    <t>SD2025-097</t>
  </si>
  <si>
    <t>VMS680096</t>
  </si>
  <si>
    <t>นายชินพงษ์  มีทรัพย์ทอง</t>
  </si>
  <si>
    <t>VMS670263</t>
  </si>
  <si>
    <t>นายอับดุลเลาะ  มูเซะ</t>
  </si>
  <si>
    <t>SX-VMS2025-114</t>
  </si>
  <si>
    <t>VMS680103</t>
  </si>
  <si>
    <t>นายธีระภัทร์  ลาภูตะมะ</t>
  </si>
  <si>
    <t>BK680172</t>
  </si>
  <si>
    <t>น.ส.พรจิรา อินทนอย</t>
  </si>
  <si>
    <t>SD2025-098</t>
  </si>
  <si>
    <t>SP11630003</t>
  </si>
  <si>
    <t xml:space="preserve">น.ส.ศุภนิดา แสงเผือก </t>
  </si>
  <si>
    <t>6754 เจ้าหน้าที่บัญชีลูกหนี้อาวุโส</t>
  </si>
  <si>
    <t>SD2025-099</t>
  </si>
  <si>
    <t>นายกระแสฟ้า  หวังผล</t>
  </si>
  <si>
    <t>SX-VMS2025-115</t>
  </si>
  <si>
    <t>BK650317</t>
  </si>
  <si>
    <t xml:space="preserve">น.ส.อนงค์วรรณ ดวงศรี </t>
  </si>
  <si>
    <t>6304 Senior Internal Auditor</t>
  </si>
  <si>
    <t>แผนกตรวจสอบภายใน</t>
  </si>
  <si>
    <t>SD2025-100</t>
  </si>
  <si>
    <t>BK680347</t>
  </si>
  <si>
    <t xml:space="preserve">นายวีระชัย มะพันธ์ </t>
  </si>
  <si>
    <t>เสนาคิทท์ เพชรเกษม 120</t>
  </si>
  <si>
    <t>SD2025-101</t>
  </si>
  <si>
    <t>BK660123</t>
  </si>
  <si>
    <t>น.ส.ณรดา จันทร์สุริย์</t>
  </si>
  <si>
    <t>7304 Internal Auditor</t>
  </si>
  <si>
    <t>SD2025-102</t>
  </si>
  <si>
    <t>BK620090</t>
  </si>
  <si>
    <t xml:space="preserve">น.ส.นิตยา นวลจอน </t>
  </si>
  <si>
    <t>SD2025-103</t>
  </si>
  <si>
    <t>VMS670063</t>
  </si>
  <si>
    <t>นายปกรณ์  อ้อนรักษ์</t>
  </si>
  <si>
    <t>SX-VMS2025-116</t>
  </si>
  <si>
    <t>VMS680021</t>
  </si>
  <si>
    <t>นางสาวนันทนัท  บุญอ่ำ</t>
  </si>
  <si>
    <t>SX-VMS2025-117</t>
  </si>
  <si>
    <t>VMS670114</t>
  </si>
  <si>
    <t>นางสาวนิสาชล  แซ่เจียม</t>
  </si>
  <si>
    <t>SX-VMS2025-118</t>
  </si>
  <si>
    <t>VMS680144</t>
  </si>
  <si>
    <t>นายคมสัน   สีหะ</t>
  </si>
  <si>
    <t>SX-VMS2025-119</t>
  </si>
  <si>
    <t>VMS680009</t>
  </si>
  <si>
    <t>นางสาวจาริตา   จุลหุ่น</t>
  </si>
  <si>
    <t>แผนกอาคารชุด เสนาคิทท์ สาทร - กัลปพฤกษ์ เฟส 1</t>
  </si>
  <si>
    <t>BK680332</t>
  </si>
  <si>
    <t xml:space="preserve">น.ส.นลัทพร ฤทธิ์พิทักษ์พงศ์ </t>
  </si>
  <si>
    <t>นิช โมโน แจ้งวัฒนะ</t>
  </si>
  <si>
    <t>SD2025-104</t>
  </si>
  <si>
    <t>SGA680005</t>
  </si>
  <si>
    <t>น.ส.นรินนา วีระเจริญ</t>
  </si>
  <si>
    <t>SG2025-020</t>
  </si>
  <si>
    <t>VMS680072</t>
  </si>
  <si>
    <t>นายยุทธพล สุขเกษม</t>
  </si>
  <si>
    <t>SX-VMS2025-120</t>
  </si>
  <si>
    <t>VMS650022</t>
  </si>
  <si>
    <t xml:space="preserve">นายวิรัล พิทูรโอฬาร </t>
  </si>
  <si>
    <t>SX-VMS2025-121</t>
  </si>
  <si>
    <t>BK680298</t>
  </si>
  <si>
    <t>นายณฐฐ์ภพ กิจมุติ</t>
  </si>
  <si>
    <t>ฝ่ายบริหารโครงการคอนโด 14C</t>
  </si>
  <si>
    <t>SD2025-105</t>
  </si>
  <si>
    <t>SX670010</t>
  </si>
  <si>
    <t>นายเอกกมล   วาศวิท</t>
  </si>
  <si>
    <t>ฝ่ายบริหารโครงการบ้าน 12B</t>
  </si>
  <si>
    <t>SX-2025-015</t>
  </si>
  <si>
    <t>VMS670097</t>
  </si>
  <si>
    <t>นายอนุสรณ์   สงล่า</t>
  </si>
  <si>
    <t>SX-VMS2025-122</t>
  </si>
  <si>
    <t>SX-VMS2025-123</t>
  </si>
  <si>
    <t>VMS670021</t>
  </si>
  <si>
    <t>นายชลิต  นิลพฤกษ์</t>
  </si>
  <si>
    <t>SX-VMS2025-124</t>
  </si>
  <si>
    <t>BK680519</t>
  </si>
  <si>
    <t xml:space="preserve">น.ส.วรรณิศา เสนามสอน </t>
  </si>
  <si>
    <t>SD2025-106</t>
  </si>
  <si>
    <t>VMS660023</t>
  </si>
  <si>
    <t>นางสาววราภรณ์  ขันทอง</t>
  </si>
  <si>
    <t xml:space="preserve">ฝ่ายบริหารนิติบุคคลหมู่บ้านจัดสรร (SENA) </t>
  </si>
  <si>
    <t>SX-VMS2025-125</t>
  </si>
  <si>
    <t>VMS680149</t>
  </si>
  <si>
    <t>นายธีรศักดิ์   อินต๊ะรักษา</t>
  </si>
  <si>
    <t>SX-VMS2025-126</t>
  </si>
  <si>
    <t>BK680545</t>
  </si>
  <si>
    <t>นายสุกิจ ศรีรักษา</t>
  </si>
  <si>
    <t>SD2025-107</t>
  </si>
  <si>
    <t>BK650125</t>
  </si>
  <si>
    <t xml:space="preserve">น.ส.พรกนก คำแผง </t>
  </si>
  <si>
    <t>SD2025-108</t>
  </si>
  <si>
    <t>BK650279</t>
  </si>
  <si>
    <t xml:space="preserve">นายอัครพล สงประเสริฐ </t>
  </si>
  <si>
    <t>SD2025-109</t>
  </si>
  <si>
    <t>VMS660111</t>
  </si>
  <si>
    <t>นางสาวปนิดา   อาญาเมือง</t>
  </si>
  <si>
    <t xml:space="preserve">แผนกหมู่บ้านจัดสรร โครงการ เสนา วิลเลจ รังสิต - ติวานนท์  </t>
  </si>
  <si>
    <t>VMS670228</t>
  </si>
  <si>
    <t>นางสาววารุณี  มูลขจร</t>
  </si>
  <si>
    <t>VMS670011</t>
  </si>
  <si>
    <t>นายทวีศักดิ์  ทัพทวี</t>
  </si>
  <si>
    <t>SX-VMS2025-127</t>
  </si>
  <si>
    <t>VMS660144</t>
  </si>
  <si>
    <t>นายอนิรุทธ์  คงเจริญ</t>
  </si>
  <si>
    <t>VMS680201</t>
  </si>
  <si>
    <t>นางสาวหยาดทิพย์  ชลธรสายไทย</t>
  </si>
  <si>
    <t>VMS670352</t>
  </si>
  <si>
    <t>นางสาวสุรัตน์วดี  เพชรสุข</t>
  </si>
  <si>
    <t>SX-VMS2025-128</t>
  </si>
  <si>
    <t>BK680471</t>
  </si>
  <si>
    <t>นายเอกพล แสนหาญ</t>
  </si>
  <si>
    <t>40 รักษาการผู้ช่วยผู้อำนวยการ</t>
  </si>
  <si>
    <t>สายงานบริหารโครงการบ้าน 12</t>
  </si>
  <si>
    <t>SD2025-110</t>
  </si>
  <si>
    <t>BK680431</t>
  </si>
  <si>
    <t xml:space="preserve">น.ส.นันทยา เอี่ยมสะอาด </t>
  </si>
  <si>
    <t>SD2025-111</t>
  </si>
  <si>
    <t>BK680210</t>
  </si>
  <si>
    <t xml:space="preserve">นายปัญจวุฒิ สงค์ประสิทธิ์ </t>
  </si>
  <si>
    <t>ฝ่ายการตลาดบ้าน H1A (โซนรามอินทรา)</t>
  </si>
  <si>
    <t>SD2025-112</t>
  </si>
  <si>
    <t>BK680211</t>
  </si>
  <si>
    <t xml:space="preserve">น.ส.ภิญญดาพัชญ์ รอดการชัยอนันต์ </t>
  </si>
  <si>
    <t>แผนกการตลาดคอนโด 2C</t>
  </si>
  <si>
    <t>SD2025-113</t>
  </si>
  <si>
    <t>VMS670249</t>
  </si>
  <si>
    <t>นายวรุฒิ   เกตุภรณ์</t>
  </si>
  <si>
    <t>SX-VMS2025-129</t>
  </si>
  <si>
    <t>BK680002</t>
  </si>
  <si>
    <t xml:space="preserve">นายธีรกานต์ เพ็ชรเวียงเหนือ </t>
  </si>
  <si>
    <t>สำนักบริหารการขาย และการตลาดบ้าน 2</t>
  </si>
  <si>
    <t>SD2025-114</t>
  </si>
  <si>
    <t>BK680207</t>
  </si>
  <si>
    <t xml:space="preserve">น.ส.กัญญพัชร์ คำฟูบุตร </t>
  </si>
  <si>
    <t>SD2025-115</t>
  </si>
  <si>
    <t>SP680025</t>
  </si>
  <si>
    <t xml:space="preserve">น.ส.วันวิสา ไทรหอมหวล </t>
  </si>
  <si>
    <t>SD2025-116</t>
  </si>
  <si>
    <t>VMS680137</t>
  </si>
  <si>
    <t>นายชัยวุฒิ  สมศิริ</t>
  </si>
  <si>
    <t>SX-VMS2025-130</t>
  </si>
  <si>
    <t>VMS670251</t>
  </si>
  <si>
    <t>นายชาญยุทธ  อ่อนส้มกิจ</t>
  </si>
  <si>
    <t>SX-VMS2025-131</t>
  </si>
  <si>
    <t>VMS670238</t>
  </si>
  <si>
    <t>นายธนพล  เริ่มสอน</t>
  </si>
  <si>
    <t>SX-VMS2025-132</t>
  </si>
  <si>
    <t>VMS670301</t>
  </si>
  <si>
    <t>นายเกรียงไกร  กองเวิน</t>
  </si>
  <si>
    <t>SX-VMS2025-133</t>
  </si>
  <si>
    <t>BK630033</t>
  </si>
  <si>
    <t>น.ส.นิตยา สาหลำสุหรี</t>
  </si>
  <si>
    <t>แผนกสถาปัตย์แนวราบ</t>
  </si>
  <si>
    <t>SD2025-117</t>
  </si>
  <si>
    <t>SX670065</t>
  </si>
  <si>
    <t>นายธีระวัฒน์  กระจ่างแก้ว</t>
  </si>
  <si>
    <t>SX-2025-016</t>
  </si>
  <si>
    <t>BK680364</t>
  </si>
  <si>
    <t>นายนัฐดนัย จันทะบุตร</t>
  </si>
  <si>
    <t>SD2025-118</t>
  </si>
  <si>
    <t>ISR670001</t>
  </si>
  <si>
    <t>นายธนัทชัย อินจ๋อย</t>
  </si>
  <si>
    <t>แผนกปรับปรุงบ้านและคอนโด</t>
  </si>
  <si>
    <t>SD2025-119</t>
  </si>
  <si>
    <t>BK680289</t>
  </si>
  <si>
    <t xml:space="preserve">นายกริช เถื่อนสุริยะ </t>
  </si>
  <si>
    <t>SD2025-120</t>
  </si>
  <si>
    <t>VMS680161</t>
  </si>
  <si>
    <t>นายณัฐวรรธน์  ทองเมืองพุทธ</t>
  </si>
  <si>
    <t>SX-VMS2025-134</t>
  </si>
  <si>
    <t>VMS680055</t>
  </si>
  <si>
    <t>นายกฤษณะ  สมเป็นชาย</t>
  </si>
  <si>
    <t>VMS680189</t>
  </si>
  <si>
    <t>นายธนากร  มะติยาภักดิ์</t>
  </si>
  <si>
    <t>VMS680180</t>
  </si>
  <si>
    <t>นางสาวอรญา  แสงสกล</t>
  </si>
  <si>
    <t>SP680040</t>
  </si>
  <si>
    <t xml:space="preserve">น.ส.สุภัค สุวรรณเลิศ </t>
  </si>
  <si>
    <t>VMS680164</t>
  </si>
  <si>
    <t>นางสาวสุนิสา  หนองผา</t>
  </si>
  <si>
    <t>BK680159</t>
  </si>
  <si>
    <t xml:space="preserve">นายนภัสสิริน พรรณา </t>
  </si>
  <si>
    <t>เสนา อีโค ทาวน์ รังสิต สเตชั่น</t>
  </si>
  <si>
    <t>SD2025-121</t>
  </si>
  <si>
    <t>SX670150</t>
  </si>
  <si>
    <t>SX-2025-017</t>
  </si>
  <si>
    <t>BK680586</t>
  </si>
  <si>
    <t xml:space="preserve">น.ส.สุนันทา ล่ำสัน </t>
  </si>
  <si>
    <t>SD2025-122</t>
  </si>
  <si>
    <t>BK680412</t>
  </si>
  <si>
    <t xml:space="preserve">นายธันวาศักดิ์ จันลา </t>
  </si>
  <si>
    <t>SD2025-123</t>
  </si>
  <si>
    <t>BK680631</t>
  </si>
  <si>
    <t xml:space="preserve">น.ส.ณัฐกฤตา สิริโชติธนภัทร </t>
  </si>
  <si>
    <t>SX670124</t>
  </si>
  <si>
    <t>นางสาววรพรรณ บุญทิม</t>
  </si>
  <si>
    <t>SX-2025-018</t>
  </si>
  <si>
    <t>VMS670056</t>
  </si>
  <si>
    <t>นางสาวบุษบา  ศุภปีติพร</t>
  </si>
  <si>
    <t>SX-VMS2025-135</t>
  </si>
  <si>
    <t>BK680262</t>
  </si>
  <si>
    <t xml:space="preserve">น.ส.วาสนา คตตระกาล </t>
  </si>
  <si>
    <t>SD2025-124</t>
  </si>
  <si>
    <t>VMS650040</t>
  </si>
  <si>
    <t>นางสาวธนพร  มีแสงนิล</t>
  </si>
  <si>
    <t xml:space="preserve">ฝ่ายบริหารนิติบุคคลอาคารชุด (SENA)  </t>
  </si>
  <si>
    <t>VMS680070</t>
  </si>
  <si>
    <t>นางสาววรัญชนา  กิ่งเกตุ</t>
  </si>
  <si>
    <t>BK680627</t>
  </si>
  <si>
    <t>น.ส.วัชรวีร์ ธนีจรัสพงศ์</t>
  </si>
  <si>
    <t>SD2025-125</t>
  </si>
  <si>
    <t>VMS670333</t>
  </si>
  <si>
    <t>นางสาวนพรัตน์  ภักดีรัตน์</t>
  </si>
  <si>
    <t>SX-VMS2025-136</t>
  </si>
  <si>
    <t>VMS680213</t>
  </si>
  <si>
    <t>นายศราวุธ  แจ้งกมล</t>
  </si>
  <si>
    <t>SX-VMS2025-137</t>
  </si>
  <si>
    <t>VMS670278</t>
  </si>
  <si>
    <t>นางสาวทัศนี  ยามประโคน</t>
  </si>
  <si>
    <t>SX-VMS2025-138</t>
  </si>
  <si>
    <t>VMS680142</t>
  </si>
  <si>
    <t>นางสาวกรชนก  ติ๊บแก้ว</t>
  </si>
  <si>
    <t>SX-VMS2025-139</t>
  </si>
  <si>
    <t>VMS680166</t>
  </si>
  <si>
    <t>นายรัชนาท  ศรีภักดิ์</t>
  </si>
  <si>
    <t>SX-VMS2025-140</t>
  </si>
  <si>
    <t>VMS680011</t>
  </si>
  <si>
    <t>นายพันธ์นรินทร์  พูนศาสตร์</t>
  </si>
  <si>
    <t>SX-VMS2025-141</t>
  </si>
  <si>
    <t>VMS680110</t>
  </si>
  <si>
    <t>นางสาวชลธิชา  แตงบูรณะ</t>
  </si>
  <si>
    <t>SX-VMS2025-142</t>
  </si>
  <si>
    <t>PC670002</t>
  </si>
  <si>
    <t>น.ส.ปณิดา เขียวโน</t>
  </si>
  <si>
    <t>แผนกปฏิบัติการสินเชื่อและบัญชี</t>
  </si>
  <si>
    <t>SD2025-126</t>
  </si>
  <si>
    <t>BK680629</t>
  </si>
  <si>
    <t xml:space="preserve">น.ส.ปริยากร รักขพันธ์ </t>
  </si>
  <si>
    <t>SD2025-127</t>
  </si>
  <si>
    <t>VMS680045</t>
  </si>
  <si>
    <t>นางสาวกานต์พิชชา  แดงสอาด</t>
  </si>
  <si>
    <t>VMS680057</t>
  </si>
  <si>
    <t>นายสราวุฒิ  บุตรดี</t>
  </si>
  <si>
    <t>SGA670020</t>
  </si>
  <si>
    <t>น.ส.ลลิตตรา ปทุมสิริรัตม์</t>
  </si>
  <si>
    <t>SGE680001</t>
  </si>
  <si>
    <t>น.ส.เพ็ญนภา ชุ่มหยวก</t>
  </si>
  <si>
    <t>SG2025-021</t>
  </si>
  <si>
    <t>BK680225</t>
  </si>
  <si>
    <t>น.ส.กมลชนก พรมรักษ์</t>
  </si>
  <si>
    <t>SD2025-128</t>
  </si>
  <si>
    <t>SX670046</t>
  </si>
  <si>
    <t>นายนพสิทธิ์ เตโช</t>
  </si>
  <si>
    <t>สายงานบริหารโครงการคอนโด และบ้าน 12</t>
  </si>
  <si>
    <t>SX-2025-019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</si>
  <si>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</si>
  <si>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VMS620016</t>
  </si>
  <si>
    <t>นายเกรียงไกร  ประดิษฐกุล</t>
  </si>
  <si>
    <t>SX-VMS2025-143</t>
  </si>
  <si>
    <t>VMS680087</t>
  </si>
  <si>
    <t>นางสาวรัตติยากร  กองสุกรรณ์</t>
  </si>
  <si>
    <t>SX-VMS2025-144</t>
  </si>
  <si>
    <t>BK670012</t>
  </si>
  <si>
    <t>นายณัฐพงษ์ คงเกตุ</t>
  </si>
  <si>
    <t>SD2025-129</t>
  </si>
  <si>
    <t>BK680188</t>
  </si>
  <si>
    <t xml:space="preserve">น.ส.ณัฐพร ดวงจิตต์ </t>
  </si>
  <si>
    <t>เฟล็กซี่ เมกะ สเปซ บางนา</t>
  </si>
  <si>
    <t>SD2025-130</t>
  </si>
  <si>
    <t>VMS680216</t>
  </si>
  <si>
    <t>นางสาววราพร  บุญมั่น</t>
  </si>
  <si>
    <t>SX-VMS2025-145</t>
  </si>
  <si>
    <t>VMS670050</t>
  </si>
  <si>
    <t>นายบุญเรือง  บุญเลิศ</t>
  </si>
  <si>
    <t>SX-VMS2025-146</t>
  </si>
  <si>
    <t>VMS670127</t>
  </si>
  <si>
    <t>นางสาวธัญญา  ภักดีรัตนสกุล</t>
  </si>
  <si>
    <t>SX-VMS2025-147</t>
  </si>
  <si>
    <t>VMS660083</t>
  </si>
  <si>
    <t>นายชาญชัย  สุภาพ</t>
  </si>
  <si>
    <t xml:space="preserve">แผนกอาคารชุด นิช โมโน พระราม 9 เฟส 1  </t>
  </si>
  <si>
    <t>SX-VMS2025-148</t>
  </si>
  <si>
    <t>VMS680158</t>
  </si>
  <si>
    <t>นายอรรถพล  มูลมีรัตน์</t>
  </si>
  <si>
    <t>BK680302</t>
  </si>
  <si>
    <t>นายวรวุธ เสาร์พูน</t>
  </si>
  <si>
    <t>ฝ่ายบริหารโครงการคอนโด 12A</t>
  </si>
  <si>
    <t>SD2025-131</t>
  </si>
  <si>
    <t>BK680263</t>
  </si>
  <si>
    <t xml:space="preserve">น.ส.ณัฐนันท์ เทศกิจ </t>
  </si>
  <si>
    <t>เสนา เวล่า รังสิต - คลอง 1</t>
  </si>
  <si>
    <t>SD2025-132</t>
  </si>
  <si>
    <t>VMS680204</t>
  </si>
  <si>
    <t>นายวรวุฒิ  ตะธรรมมา</t>
  </si>
  <si>
    <t>VMS670413</t>
  </si>
  <si>
    <t>นายธนบดี  ธัญดารักษ์</t>
  </si>
  <si>
    <t xml:space="preserve">ฝ่ายบริหารนิติบุคคลอาคารชุด (NON SENA) </t>
  </si>
  <si>
    <t>SX-VMS2025-149</t>
  </si>
  <si>
    <t>VMS670307</t>
  </si>
  <si>
    <t>นางสาวชาคริยา  แก้ววงศ์ศา</t>
  </si>
  <si>
    <t>SX-VMS2025-150</t>
  </si>
  <si>
    <t>VMS680162</t>
  </si>
  <si>
    <t>นางสาวกมลฉัตร  หนูนวล</t>
  </si>
  <si>
    <t>แผนกสโมสร เสนาคิทท์  สาทร - กัลปพฤกษ์</t>
  </si>
  <si>
    <t>SX-VMS2025-151</t>
  </si>
  <si>
    <t>SX670158</t>
  </si>
  <si>
    <t>นายธีรชัย  มุขศรี</t>
  </si>
  <si>
    <t>VMS670176</t>
  </si>
  <si>
    <t>นางสาวมาลินี  บัวจันทร์</t>
  </si>
  <si>
    <t>SX-VMS2025-152</t>
  </si>
  <si>
    <t>นางสาววิภาวี   ปานรอด</t>
  </si>
  <si>
    <t>BK680014</t>
  </si>
  <si>
    <t xml:space="preserve">น.ส.ขนิษฐา เมืองนาค </t>
  </si>
  <si>
    <t>SD2025-133</t>
  </si>
  <si>
    <t>SX-VMS2025-153</t>
  </si>
  <si>
    <t>BK680013</t>
  </si>
  <si>
    <t>น.ส.วริศรา แสงคำ</t>
  </si>
  <si>
    <t>SD2025-134</t>
  </si>
  <si>
    <t>BK680202</t>
  </si>
  <si>
    <t xml:space="preserve">น.ส.ปิยธิดา ทายพงศ์ศักดิ์ </t>
  </si>
  <si>
    <t>SD2025-135</t>
  </si>
  <si>
    <t>BK680110</t>
  </si>
  <si>
    <t>น.ส.กัลยาณี ชุติมากุล</t>
  </si>
  <si>
    <t>สายงานบริหารการขายคอนโด 2</t>
  </si>
  <si>
    <t>SD2025-136</t>
  </si>
  <si>
    <t>BK680020</t>
  </si>
  <si>
    <t xml:space="preserve">นายนเรนทร์ ตุนทกิจ </t>
  </si>
  <si>
    <t>ฝ่าย Data Analytic และ CRM</t>
  </si>
  <si>
    <t>SD2025-137</t>
  </si>
  <si>
    <t>SP680041</t>
  </si>
  <si>
    <t>น.ส.เพ็ญนภา พรมชัย</t>
  </si>
  <si>
    <t>นายวิรัล  พิทูรโอฬาร</t>
  </si>
  <si>
    <t>SX-VMS2025-154</t>
  </si>
  <si>
    <t>VMS670142</t>
  </si>
  <si>
    <t>นายคุณากร  รัตนเลิศรัศมี</t>
  </si>
  <si>
    <t>SX-VMS2025-155</t>
  </si>
  <si>
    <t>BK680141</t>
  </si>
  <si>
    <t>น.ส.พัฒสุชาณัท พงค์ภิตินันท์</t>
  </si>
  <si>
    <t>SD2025-138</t>
  </si>
  <si>
    <t>BK650192</t>
  </si>
  <si>
    <t>นายชาตรี วงศ์พันธุ์</t>
  </si>
  <si>
    <t>SD2025-139</t>
  </si>
  <si>
    <t>VMS670072</t>
  </si>
  <si>
    <t>นายอนันดา  สุนทรวัด</t>
  </si>
  <si>
    <t>SX-VMS2025-156</t>
  </si>
  <si>
    <t>VMS680242</t>
  </si>
  <si>
    <t>นางสาวศรุตยา  บุญมี</t>
  </si>
  <si>
    <t>SX-VMS2025-157</t>
  </si>
  <si>
    <t>VMS670326</t>
  </si>
  <si>
    <t>นายภาสกร  สุวรรณ</t>
  </si>
  <si>
    <t>SX-VMS2025-158</t>
  </si>
  <si>
    <t>SX670005</t>
  </si>
  <si>
    <t xml:space="preserve">น.ส.วิริยา เฉลิมกิจพานิชย์ </t>
  </si>
  <si>
    <t>52 เลขานุการประธานเจ้าหน้าที่บริหารด้านการเงิน</t>
  </si>
  <si>
    <t xml:space="preserve">กลุ่มงานบัญชีและการเงิน </t>
  </si>
  <si>
    <t>SX-VMS2025-159</t>
  </si>
  <si>
    <t>VMS670044</t>
  </si>
  <si>
    <t>นายนนวัต  บวรวัชรเมธี</t>
  </si>
  <si>
    <t>แผนกบริหารคู่สัญญารักษาความปลอดภัย</t>
  </si>
  <si>
    <t>SX-VMS2025-160</t>
  </si>
  <si>
    <t>SX680011</t>
  </si>
  <si>
    <t>นางสาวกัญญารัตน์  จู้พันธ์</t>
  </si>
  <si>
    <t>VMS680117</t>
  </si>
  <si>
    <t>นายนพพร  เกษม</t>
  </si>
  <si>
    <t>SX-VMS2025-161</t>
  </si>
  <si>
    <t>VMS670193</t>
  </si>
  <si>
    <t>นายตรีภพ  สำราญ</t>
  </si>
  <si>
    <t xml:space="preserve">แผนกอาคารชุด ติร ติรา  </t>
  </si>
  <si>
    <t>SX-VMS2025-162</t>
  </si>
  <si>
    <t>VMS680269</t>
  </si>
  <si>
    <t>นางสาวณภัทร  รัตนบุปผา</t>
  </si>
  <si>
    <t xml:space="preserve">แผนกอาคารชุด มาราเกช หัวหิน เรสซิเดนเซส </t>
  </si>
  <si>
    <t>SX-VMS2025-163</t>
  </si>
  <si>
    <t>VMS670086</t>
  </si>
  <si>
    <t>นางสาวรัตนาภรณ์  ธนูใจ</t>
  </si>
  <si>
    <t>SX-VMS2025-164</t>
  </si>
  <si>
    <t>VMS670277</t>
  </si>
  <si>
    <t>นางสาวณัฏฐวี  ปานขำ</t>
  </si>
  <si>
    <t>SX-VMS2025-165</t>
  </si>
  <si>
    <t>VMS670274</t>
  </si>
  <si>
    <t>นางสาวปุณยนุช  เรื่องลือ</t>
  </si>
  <si>
    <t>6756 เจ้าหน้าที่บัญชีทั่วไปอาวุโส</t>
  </si>
  <si>
    <t xml:space="preserve">แผนกบัญชีและการเงิน  </t>
  </si>
  <si>
    <t>SX-VMS2025-166</t>
  </si>
  <si>
    <t>VMS680274</t>
  </si>
  <si>
    <t>นายวุฒิชัย  สุขสำราญ</t>
  </si>
  <si>
    <t>SX-VMS2025-167</t>
  </si>
  <si>
    <t>BK680273</t>
  </si>
  <si>
    <t xml:space="preserve">น.ส.ฐิติมา มหากาฬ </t>
  </si>
  <si>
    <t>เสนา เวล่า สุขุมวิท - บางปู</t>
  </si>
  <si>
    <t>SD2025-140</t>
  </si>
  <si>
    <t>VMS680263</t>
  </si>
  <si>
    <t>นางสาวประภากร  โต๊ะยี</t>
  </si>
  <si>
    <t>SX-VMS2025-168</t>
  </si>
  <si>
    <t>BK650247</t>
  </si>
  <si>
    <t xml:space="preserve">น.ส.กาญจนา ชีใหม่ </t>
  </si>
  <si>
    <t>SD2025-141</t>
  </si>
  <si>
    <t>BK680556</t>
  </si>
  <si>
    <t xml:space="preserve">น.ส.ลออรัตน์ บูชา </t>
  </si>
  <si>
    <t>เสนา แกรนด์ โฮม รังสิต - ติวานนท์</t>
  </si>
  <si>
    <t>SD2025-142</t>
  </si>
  <si>
    <t>VMS680223</t>
  </si>
  <si>
    <t>นายอาบีดีน  เจะเด็ง</t>
  </si>
  <si>
    <t>SX-VMS2025-169</t>
  </si>
  <si>
    <t>VMS680167</t>
  </si>
  <si>
    <t>นางสาวโชติมา   สาระพัฒน์</t>
  </si>
  <si>
    <t>SX-VMS2025-170</t>
  </si>
  <si>
    <t>SD2025-143</t>
  </si>
  <si>
    <t>VMS680284</t>
  </si>
  <si>
    <t>นายประครอง  วรรณโล</t>
  </si>
  <si>
    <t>SX-VMS2025-171</t>
  </si>
  <si>
    <t xml:space="preserve">น.ส.เสาวลักษณ์ ภักดีพงษ์ </t>
  </si>
  <si>
    <t>แผนก Learning &amp; Development</t>
  </si>
  <si>
    <t>SD2025-144</t>
  </si>
  <si>
    <t>BK680597</t>
  </si>
  <si>
    <t xml:space="preserve">น.ส.พิมพ์ผกา วิโรจน์รัญจวน </t>
  </si>
  <si>
    <t>SD2025-145</t>
  </si>
  <si>
    <t>SX670094</t>
  </si>
  <si>
    <t>นายเขมราช  ม่วงกลิ้ง</t>
  </si>
  <si>
    <t>SX-2025-020</t>
  </si>
  <si>
    <t>BK680312</t>
  </si>
  <si>
    <t xml:space="preserve">นายเอกชัย ด้วงยิ้ม </t>
  </si>
  <si>
    <t>SD2025-146</t>
  </si>
  <si>
    <t>VMS680253</t>
  </si>
  <si>
    <t>นายอำนาจ  บัวบุศย์</t>
  </si>
  <si>
    <t>VMS660153</t>
  </si>
  <si>
    <t>นายสันติ  ปัญญาสิทธิ์</t>
  </si>
  <si>
    <t xml:space="preserve">แผนกอาคารชุด เดอะคิทท์ รังสิต-ติวานนท์ </t>
  </si>
  <si>
    <t>SX-VMS2025-172</t>
  </si>
  <si>
    <t>BK650276</t>
  </si>
  <si>
    <t xml:space="preserve">น.ส.กรรนิภา กาโยดม </t>
  </si>
  <si>
    <t>6301 เจ้าหน้าที่จัดสรรเงินทุนอาวุโส</t>
  </si>
  <si>
    <t>SD2025-147</t>
  </si>
  <si>
    <t>BK680578</t>
  </si>
  <si>
    <t>น.ส.ลูกปลา ถาวรวรรณ</t>
  </si>
  <si>
    <t>นิช ไพร์ด เอกมัย</t>
  </si>
  <si>
    <t>SD2025-148</t>
  </si>
  <si>
    <t>BK680593</t>
  </si>
  <si>
    <t xml:space="preserve">น.ส.ชนกสุดา กล่ำพะบุตร </t>
  </si>
  <si>
    <t>SD2025-149</t>
  </si>
  <si>
    <t>BK680111</t>
  </si>
  <si>
    <t>น.ส.อรจิรา ปัญญายง</t>
  </si>
  <si>
    <t>SD2025-150</t>
  </si>
  <si>
    <t>BK680112</t>
  </si>
  <si>
    <t xml:space="preserve">นายภาณุพงศ น้อยดอนไพร </t>
  </si>
  <si>
    <t>SD2025-151</t>
  </si>
  <si>
    <t>BK680113</t>
  </si>
  <si>
    <t>น.ส.ธนัชชา ประทยศ</t>
  </si>
  <si>
    <t>SD2025-152</t>
  </si>
  <si>
    <t>BK680577</t>
  </si>
  <si>
    <t>นายวรัญญู จิรักษา</t>
  </si>
  <si>
    <t>SD2025-153</t>
  </si>
  <si>
    <t>PC680002</t>
  </si>
  <si>
    <t>นายจิรายุ มาสมบูรณ์</t>
  </si>
  <si>
    <t>แผนกสินเชื่อ</t>
  </si>
  <si>
    <t>SD2025-154</t>
  </si>
  <si>
    <t>SX680010</t>
  </si>
  <si>
    <t>นายนวพล   บ้านพวน</t>
  </si>
  <si>
    <t>VMS680049</t>
  </si>
  <si>
    <t>นายพงศกร  มีชื่น</t>
  </si>
  <si>
    <t>VMS680157</t>
  </si>
  <si>
    <t>นายสันติ์ชัย  ฮวดตี๋</t>
  </si>
  <si>
    <t>VMS670242</t>
  </si>
  <si>
    <t>นางสาวโสพณา  ตันสุขเติม</t>
  </si>
  <si>
    <t>SX-VMS2025-173</t>
  </si>
  <si>
    <t>SSG670005</t>
  </si>
  <si>
    <t xml:space="preserve">นายสุทธิโชติ มั่งคั่ง </t>
  </si>
  <si>
    <t>SG2025-022</t>
  </si>
  <si>
    <t>VMS670331</t>
  </si>
  <si>
    <t>นายศิร  พวงธนสาร</t>
  </si>
  <si>
    <t>SX-VMS2025-177</t>
  </si>
  <si>
    <t>BK620193</t>
  </si>
  <si>
    <t>น.ส.หฤทัย ปัจจยาการกุล</t>
  </si>
  <si>
    <t>6101 เจ้าหน้าที่ประสานนโยบายอาวุโส</t>
  </si>
  <si>
    <t>แผนกกำกับนโยบาย 1</t>
  </si>
  <si>
    <t>SD2025-155</t>
  </si>
  <si>
    <t>BK680559</t>
  </si>
  <si>
    <t xml:space="preserve">น.ส.สุภรัตน์ อาจหาญ </t>
  </si>
  <si>
    <t>SD2025-156</t>
  </si>
  <si>
    <t>BK680623</t>
  </si>
  <si>
    <t xml:space="preserve">น.ส.กัญจน์พร ใสนาม </t>
  </si>
  <si>
    <t>SD2025-157</t>
  </si>
  <si>
    <t>VMS680243</t>
  </si>
  <si>
    <t>นางสาวนันทนา  มหาวงษ์</t>
  </si>
  <si>
    <t>VMS670061</t>
  </si>
  <si>
    <t>นายสุรเชษฐ์  ศรีทองเกิด</t>
  </si>
  <si>
    <t>SX-VMS2025-178</t>
  </si>
  <si>
    <t>VMS680290</t>
  </si>
  <si>
    <t>นางสาวพริตา  ถาศักดิ์</t>
  </si>
  <si>
    <t>VMS650073</t>
  </si>
  <si>
    <t>นางสาวสุจินดา  มาแลว</t>
  </si>
  <si>
    <t xml:space="preserve">แผนกหมู่บ้านจัดสรร โครงการ เสนา วีว่า ฉลองกรุง - ลาดกระบัง  </t>
  </si>
  <si>
    <t>SX-VMS2025-179</t>
  </si>
  <si>
    <t>SD2025-158</t>
  </si>
  <si>
    <t>SGA680004</t>
  </si>
  <si>
    <t xml:space="preserve">น.ส.ปุริมปรัชญ์ จิตรอาษา </t>
  </si>
  <si>
    <t>7986 เจ้าหน้าที่อะไหล่</t>
  </si>
  <si>
    <t>แผนกบริการ</t>
  </si>
  <si>
    <t>SG2025-023</t>
  </si>
  <si>
    <t>BK680206</t>
  </si>
  <si>
    <t>น.ส.ประภาพรรณ ตันเจริญ</t>
  </si>
  <si>
    <t>โคซี่ ตากสิน - จอมทอง</t>
  </si>
  <si>
    <t>SD2025-159</t>
  </si>
  <si>
    <t>SPS670021</t>
  </si>
  <si>
    <t>นางสาวกมลภัทร  แสวงกิจ</t>
  </si>
  <si>
    <t>SD2025-160</t>
  </si>
  <si>
    <t>ฝ่ายบริหารโครงการบ้าน 12A</t>
  </si>
  <si>
    <t>SX-2025-021</t>
  </si>
  <si>
    <t>SX670076</t>
  </si>
  <si>
    <t>นางสาวสุชีรา  เนียมประดิษฐ์</t>
  </si>
  <si>
    <t>ฝ่ายบริหารการตลาดบ้าน 1B</t>
  </si>
  <si>
    <t>SX-2025-022</t>
  </si>
  <si>
    <t>SG2025-024</t>
  </si>
  <si>
    <t>VMS680215</t>
  </si>
  <si>
    <t>นายมนู  จิ๋วเจริญ</t>
  </si>
  <si>
    <t>แผนกสโมสร เสนาคิทท์  พหลโยธิน - นวนคร</t>
  </si>
  <si>
    <t>SX-VMS2025-180</t>
  </si>
  <si>
    <t>VMS680275</t>
  </si>
  <si>
    <t>นางสาวภรภัทร  คัมภีรภาพ</t>
  </si>
  <si>
    <t>SX-VMS2025-181</t>
  </si>
  <si>
    <t>VMS670104</t>
  </si>
  <si>
    <t>นายชลณัฐ   นิ่มสกุล</t>
  </si>
  <si>
    <t>SX-VMS2025-182</t>
  </si>
  <si>
    <t>VMS670399</t>
  </si>
  <si>
    <t>นายอภิวัฒน์   น.มงคล</t>
  </si>
  <si>
    <t>SX-VMS2025-183</t>
  </si>
  <si>
    <t>SGA670016</t>
  </si>
  <si>
    <t xml:space="preserve">นายชัยรัตน์ พุดพิมเสน </t>
  </si>
  <si>
    <t>ฝ่ายบริการ</t>
  </si>
  <si>
    <t>SG2025-025</t>
  </si>
  <si>
    <t>BK670036</t>
  </si>
  <si>
    <t>นายพิเชษฐ อนุสนธิ์</t>
  </si>
  <si>
    <t>ฝ่ายซ่อมบำรุง แนวสูง</t>
  </si>
  <si>
    <t>SD2025-161</t>
  </si>
  <si>
    <t>VMS680197</t>
  </si>
  <si>
    <t>นายอนิรุต  คำแก้ว</t>
  </si>
  <si>
    <t>SX670175</t>
  </si>
  <si>
    <t>นางสาวกนกวรรณ  ทองนา</t>
  </si>
  <si>
    <t>VMS680325</t>
  </si>
  <si>
    <t>นายบุญฤทธิ์   คงสีปาน</t>
  </si>
  <si>
    <t>SX-VMS2025-184</t>
  </si>
  <si>
    <t>VMS670164</t>
  </si>
  <si>
    <t>นายกิติศักดิ์  ผากากูล</t>
  </si>
  <si>
    <t>SX-VMS2025-185</t>
  </si>
  <si>
    <t>VMS620134</t>
  </si>
  <si>
    <t>นายกมล   เจริญวีรกุล</t>
  </si>
  <si>
    <t>SX-VMS2025-186</t>
  </si>
  <si>
    <t>VMS660154</t>
  </si>
  <si>
    <t>นายสารชัย  ทองผาโคทร</t>
  </si>
  <si>
    <t>SX-VMS2025-187</t>
  </si>
  <si>
    <t>VMS680306</t>
  </si>
  <si>
    <t>นางสาวพิชชาอร  บุญขาว</t>
  </si>
  <si>
    <t>แผนกอาคารชุด อีส2 พระราม2</t>
  </si>
  <si>
    <t>BK680651</t>
  </si>
  <si>
    <t xml:space="preserve">นายปฏิภัทร ปานปลอด </t>
  </si>
  <si>
    <t>SD2025-162</t>
  </si>
  <si>
    <t>SX670164</t>
  </si>
  <si>
    <t>นางสาวน้ำฝน  รงสุวรรณาภรณ์</t>
  </si>
  <si>
    <t>SX-2025-023</t>
  </si>
  <si>
    <t>VMS680097</t>
  </si>
  <si>
    <t>นางสาวบุรีรัตน  พิลาสา</t>
  </si>
  <si>
    <t>SX680005</t>
  </si>
  <si>
    <t>นางสาวธนัช  สิลมัฐ</t>
  </si>
  <si>
    <t xml:space="preserve">แผนกบัญชีต้นทุน  </t>
  </si>
  <si>
    <t>SX-2025-024</t>
  </si>
  <si>
    <t>SD2025-163</t>
  </si>
  <si>
    <t>VMS670416</t>
  </si>
  <si>
    <t>นายพรเทพ  อิ่มมา</t>
  </si>
  <si>
    <t>VMS680264</t>
  </si>
  <si>
    <t>นายกฤตคุณ  สระสมศรี</t>
  </si>
  <si>
    <t>SX-VMS2025-188</t>
  </si>
  <si>
    <t>VMS650117</t>
  </si>
  <si>
    <t>นายวิชาญ  ศรีสุข</t>
  </si>
  <si>
    <t>SX-VMS2025-189</t>
  </si>
  <si>
    <t>VMS670395</t>
  </si>
  <si>
    <t>นายอภิวัฒน์  เฉลิมชัยกิตติคุณ</t>
  </si>
  <si>
    <t>SX-VMS2025-190</t>
  </si>
  <si>
    <t>SX670014</t>
  </si>
  <si>
    <t>นายธนาศักดิ์   พวงไม้</t>
  </si>
  <si>
    <t>เสนา เวล่า วงแหวน - บางบัวทอง</t>
  </si>
  <si>
    <t>SX-2025-025</t>
  </si>
  <si>
    <t>VMS680232</t>
  </si>
  <si>
    <t>นางสาวลัดดาวัลย์  สุวรรณกลาง</t>
  </si>
  <si>
    <t>SX-VMS2025-191</t>
  </si>
  <si>
    <t>BK680184</t>
  </si>
  <si>
    <t xml:space="preserve">น.ส.วรินทร์ลดา รุจิไชยหิรัญกุล </t>
  </si>
  <si>
    <t>บ้านร่วมทางฝัน 6</t>
  </si>
  <si>
    <t>SD2025-164</t>
  </si>
  <si>
    <t>BK620164</t>
  </si>
  <si>
    <t>นายพรชัย สุขเอี่ยม</t>
  </si>
  <si>
    <t>ฝ่าย Financial Planning และ Treasury</t>
  </si>
  <si>
    <t>SD2025-165</t>
  </si>
  <si>
    <t>VMS680205</t>
  </si>
  <si>
    <t>นางสาวสุนิสา   ธนะพงษ์ไพศาล</t>
  </si>
  <si>
    <t>แผนกอาคารชุด ดิ เอสเตท ท่าพระ</t>
  </si>
  <si>
    <t>VMS670202</t>
  </si>
  <si>
    <t>นายธวัชชัย   ลาภมี</t>
  </si>
  <si>
    <t>VMS680240</t>
  </si>
  <si>
    <t>นางสาววนิดา   จิรกุลพงศ์ธร</t>
  </si>
  <si>
    <t>VMS620068</t>
  </si>
  <si>
    <t>นายภานุมาส   ทระวงษ์</t>
  </si>
  <si>
    <t>SX-VMS2025-192</t>
  </si>
  <si>
    <t>VMS670390</t>
  </si>
  <si>
    <t>นางสาวบุญสิตา   อิ่มอยู่</t>
  </si>
  <si>
    <t>SX-VMS2025-193</t>
  </si>
  <si>
    <t>VMS670258</t>
  </si>
  <si>
    <t>นางสาวณพิชญา  คำยนต์</t>
  </si>
  <si>
    <t>SX-VMS2025-194</t>
  </si>
  <si>
    <t>VMS650113</t>
  </si>
  <si>
    <t>นายณัฐวรรธน์  ดีมาก</t>
  </si>
  <si>
    <t>SX-VMS2025-195</t>
  </si>
  <si>
    <t>VMS670134</t>
  </si>
  <si>
    <t>นายฐิฏิกรณ์   บุญจง</t>
  </si>
  <si>
    <t>SX-VMS2025-196</t>
  </si>
  <si>
    <t>SGA670013</t>
  </si>
  <si>
    <t>นายเมธีชัย ชัยศักดานุกูล</t>
  </si>
  <si>
    <t>SG2025-026</t>
  </si>
  <si>
    <t>BK680639</t>
  </si>
  <si>
    <t>น.ส.ปัณฑารีย์ วาทีรักษ์</t>
  </si>
  <si>
    <t>SD2025-166</t>
  </si>
  <si>
    <t>BK680652</t>
  </si>
  <si>
    <t xml:space="preserve">น.ส.ธัญดา ธนโชติชนิต </t>
  </si>
  <si>
    <t>SD2025-167</t>
  </si>
  <si>
    <t>VMS680245</t>
  </si>
  <si>
    <t>นายนัท   ปรางค์ปรุ</t>
  </si>
  <si>
    <t>SX-VMS2025-197</t>
  </si>
  <si>
    <t xml:space="preserve">น.ส.มณฑาทิพย์ เทศเล็ก </t>
  </si>
  <si>
    <t>BK680634</t>
  </si>
  <si>
    <t xml:space="preserve">น.ส.ลลิตา ปัญสุวรรณ์ </t>
  </si>
  <si>
    <t>สำนักบัญชีการเงิน</t>
  </si>
  <si>
    <t>SD2025-168</t>
  </si>
  <si>
    <t>VMS680194</t>
  </si>
  <si>
    <t>นายอนาวิล   หุณะปุน</t>
  </si>
  <si>
    <t>VMS680320</t>
  </si>
  <si>
    <t>นางสาวอรวรรณ  เจียนสุวรรณ</t>
  </si>
  <si>
    <t>VMS670244</t>
  </si>
  <si>
    <t>นายเด่นชาติ  บุญสมศรี</t>
  </si>
  <si>
    <t>SX-VMS2025-198</t>
  </si>
  <si>
    <t>VMS670254</t>
  </si>
  <si>
    <t>นายสุทธิชัย  โตใหญ่</t>
  </si>
  <si>
    <t>SX-VMS2025-199</t>
  </si>
  <si>
    <t>SGA680011</t>
  </si>
  <si>
    <t xml:space="preserve">น.ส.ธาฤดี ลออธนาโสภณ </t>
  </si>
  <si>
    <t>SG2025-027</t>
  </si>
  <si>
    <t>VMS680280</t>
  </si>
  <si>
    <t>นางสาวปภัสสร   สะอาดพุ่ม</t>
  </si>
  <si>
    <t>SX-VMS2025-200</t>
  </si>
  <si>
    <t>SX-VMS2025-201</t>
  </si>
  <si>
    <t>SD2025-169</t>
  </si>
  <si>
    <t>VMS670122</t>
  </si>
  <si>
    <t>นางสาวรัชฎาภรณ์  พรมบุตร</t>
  </si>
  <si>
    <t>SX-VMS2025-202</t>
  </si>
  <si>
    <t>VMS670124</t>
  </si>
  <si>
    <t>นางสาวรุ่งทิพย์  นามบุญลือ</t>
  </si>
  <si>
    <t>SX-VMS2025-203</t>
  </si>
  <si>
    <t>VMS670125</t>
  </si>
  <si>
    <t>นางสาวกัญจ์ฐภัส  ธนากิจขจรกุล</t>
  </si>
  <si>
    <t>SX-VMS2025-204</t>
  </si>
  <si>
    <t>VMS670126</t>
  </si>
  <si>
    <t>นางสาวบุษยมาส  สะตะ</t>
  </si>
  <si>
    <t>SX-VMS2025-205</t>
  </si>
  <si>
    <t>VMS670129</t>
  </si>
  <si>
    <t>นายอาณัติ  ไชยพัฒรัตนา</t>
  </si>
  <si>
    <t>SX-VMS2025-206</t>
  </si>
  <si>
    <t>VMS670130</t>
  </si>
  <si>
    <t>นางสาวอัจฉรา  ยาสาธร</t>
  </si>
  <si>
    <t>SX-VMS2025-207</t>
  </si>
  <si>
    <t>VMS670132</t>
  </si>
  <si>
    <t>นายรณกฤต   กิจไธสง</t>
  </si>
  <si>
    <t>SX-VMS2025-208</t>
  </si>
  <si>
    <t>VMS670133</t>
  </si>
  <si>
    <t>นายธวัชชัย  พลราช</t>
  </si>
  <si>
    <t>SX-VMS2025-209</t>
  </si>
  <si>
    <t>VMS670397</t>
  </si>
  <si>
    <t>นายสุดธิกร  พานทอง</t>
  </si>
  <si>
    <t>SX-VMS2025-210</t>
  </si>
  <si>
    <t>VMS670265</t>
  </si>
  <si>
    <t>นายพลกฤต  รุจิธรรมคุณ</t>
  </si>
  <si>
    <t>SX-VMS2025-211</t>
  </si>
  <si>
    <t>SD2025-170</t>
  </si>
  <si>
    <t>SX-VMS2025-212</t>
  </si>
  <si>
    <t>SD2025-171</t>
  </si>
  <si>
    <t>SD2025-172</t>
  </si>
  <si>
    <t>BK680285</t>
  </si>
  <si>
    <t xml:space="preserve">นายอนันต์ ศิลารัตน์ </t>
  </si>
  <si>
    <t>SD2025-173</t>
  </si>
  <si>
    <t>BK680657</t>
  </si>
  <si>
    <t xml:space="preserve">น.ส.มิลินกุญช์ อัสราศิรสุทธิ์ </t>
  </si>
  <si>
    <t>SD2025-174</t>
  </si>
  <si>
    <t>SX660068</t>
  </si>
  <si>
    <t>นางสาวประภัสสร  สุวรรณจักร์</t>
  </si>
  <si>
    <t>8753 พนักงานบัญชีเจ้าหนี้</t>
  </si>
  <si>
    <t xml:space="preserve">แผนกบัญชีเจ้าหนี้ (ผู้รับเหมา)  </t>
  </si>
  <si>
    <t>SX-2025-026</t>
  </si>
  <si>
    <t>VMS660129</t>
  </si>
  <si>
    <t>นางสาวสโรชา  พรประเสริฐวงศ์</t>
  </si>
  <si>
    <t>SX-VMS2025-213</t>
  </si>
  <si>
    <t>SX-VMS2025-214</t>
  </si>
  <si>
    <t>BK680646</t>
  </si>
  <si>
    <t>นายชิษณุชา รัตนวงศ์</t>
  </si>
  <si>
    <t>SD2025-175</t>
  </si>
  <si>
    <t>SX-VMS2025-215</t>
  </si>
  <si>
    <t>SX-VMS2025-216</t>
  </si>
  <si>
    <t>VMS670137</t>
  </si>
  <si>
    <t>นายกฤตภัทร์  มีชัย</t>
  </si>
  <si>
    <t>SX-VMS2025-217</t>
  </si>
  <si>
    <t>VMS680258</t>
  </si>
  <si>
    <t>นายสุธิชัย  บุตรโคตร</t>
  </si>
  <si>
    <t>VMS680319</t>
  </si>
  <si>
    <t>นายตะวัน  จันทร์เพ็ญ</t>
  </si>
  <si>
    <t>VMS680316</t>
  </si>
  <si>
    <t>นายสุทธิพงศ์  มงคลสุภา</t>
  </si>
  <si>
    <t>SX-VMS2025-218</t>
  </si>
  <si>
    <t>SX-VMS2025-219</t>
  </si>
  <si>
    <t>SD2025-176</t>
  </si>
  <si>
    <t>VMS680349</t>
  </si>
  <si>
    <t>นางสาวกมลพร  จิรพรสถิต</t>
  </si>
  <si>
    <t>31 ผู้ช่วยผู้อำนวยการ</t>
  </si>
  <si>
    <t>สายงานบริหารอาคารที่อยู่อาศัย (SENA)</t>
  </si>
  <si>
    <t>SX-VMS2025-220</t>
  </si>
  <si>
    <t>SX-VMS2025-221</t>
  </si>
  <si>
    <t>VMS680254</t>
  </si>
  <si>
    <t>นายธนธิป  ดีสุบิน</t>
  </si>
  <si>
    <t>SX-VMS2025-222</t>
  </si>
  <si>
    <t>VMS670163</t>
  </si>
  <si>
    <t>นางสาวแพรพลอย  ศรีบัวเอี่ยม</t>
  </si>
  <si>
    <t>SX-VMS2025-223</t>
  </si>
  <si>
    <t>SX-VMS2025-224</t>
  </si>
  <si>
    <t>SX-VMS2025-225</t>
  </si>
  <si>
    <t>VMS680332</t>
  </si>
  <si>
    <t>นางจารุณี  รักษ์วงษ์</t>
  </si>
  <si>
    <t>SX-VMS2025-226</t>
  </si>
  <si>
    <t>SX-VMS2025-227</t>
  </si>
  <si>
    <t>SGA680013</t>
  </si>
  <si>
    <t>น.ส.ชลธิดา ภาคนิ่มนวล</t>
  </si>
  <si>
    <t>SG2025-028</t>
  </si>
  <si>
    <t>VMS680249</t>
  </si>
  <si>
    <t>นายเทอดศักดิ์  ทองสุข</t>
  </si>
  <si>
    <t>SX-VMS2025-228</t>
  </si>
  <si>
    <t>VMS680297</t>
  </si>
  <si>
    <t>นายวชิรวิทย์  เสาทอง</t>
  </si>
  <si>
    <t>SX-VMS2025-229</t>
  </si>
  <si>
    <t>SX-VMS2025-230</t>
  </si>
  <si>
    <t>SX-VMS2025-231</t>
  </si>
  <si>
    <t>VMS680238</t>
  </si>
  <si>
    <t>นายคฑาวุธ  แตงไทย</t>
  </si>
  <si>
    <t>VMS660009</t>
  </si>
  <si>
    <t>นายโกเมนทร์  ลวดเงิน</t>
  </si>
  <si>
    <t>VMS670285</t>
  </si>
  <si>
    <t>นายสมศักดิ์  บุญสา</t>
  </si>
  <si>
    <t>VMS680293</t>
  </si>
  <si>
    <t>นางสาวทิพย์ภาพร  เจนพาณิชยา</t>
  </si>
  <si>
    <t>SD2025-177</t>
  </si>
  <si>
    <t>SX-VMS2025-232</t>
  </si>
  <si>
    <t>SX-VMS2025-233</t>
  </si>
  <si>
    <t>SX-VMS2025-234</t>
  </si>
  <si>
    <t>BK620134</t>
  </si>
  <si>
    <t>นายธีระยุทธ เจริญยศ</t>
  </si>
  <si>
    <t>ฝ่ายบริหารทรัพย์สิน</t>
  </si>
  <si>
    <t>SD2025-178</t>
  </si>
  <si>
    <t>SGA680016</t>
  </si>
  <si>
    <t>นายภัทรเทพ แก้วเบ้า</t>
  </si>
  <si>
    <t>SX-VMS2026-001</t>
  </si>
  <si>
    <t>SX-VMS2026-002</t>
  </si>
  <si>
    <t>SX-VMS2026-003</t>
  </si>
  <si>
    <t>SX-VMS2026-004</t>
  </si>
  <si>
    <t>SX-VMS2026-005</t>
  </si>
  <si>
    <t>SX-2026-001</t>
  </si>
  <si>
    <t>SD2026-001</t>
  </si>
  <si>
    <t>SD2026-002</t>
  </si>
  <si>
    <t>SMF-2026-001</t>
  </si>
  <si>
    <t>SX-VMS2026-006</t>
  </si>
  <si>
    <t>SX-VMS2026-007</t>
  </si>
  <si>
    <t>SD2026-003</t>
  </si>
  <si>
    <t>SD2026-004</t>
  </si>
  <si>
    <t>SD2026-005</t>
  </si>
  <si>
    <t>SX-VMS2026-008</t>
  </si>
  <si>
    <t>SD2026-006</t>
  </si>
  <si>
    <t>SX-VMS2026-009</t>
  </si>
  <si>
    <t>SD2026-007</t>
  </si>
  <si>
    <t>SD2026-008</t>
  </si>
  <si>
    <t>SX-VMS2026-010</t>
  </si>
  <si>
    <t>SX-VMS2026-011</t>
  </si>
  <si>
    <t>SG2026-001</t>
  </si>
  <si>
    <t>SX-VMS2026-012</t>
  </si>
  <si>
    <t>SX-VMS2026-013</t>
  </si>
  <si>
    <t>SX-VMS2026-014</t>
  </si>
  <si>
    <t>SX-VMS2026-015</t>
  </si>
  <si>
    <t>SX-2026-002</t>
  </si>
  <si>
    <t>SX-VMS2026-016</t>
  </si>
  <si>
    <t>SD2026-009</t>
  </si>
  <si>
    <t>SD2026-010</t>
  </si>
  <si>
    <t>SD2026-011</t>
  </si>
  <si>
    <t>SD2026-012</t>
  </si>
  <si>
    <t>SG2026-002</t>
  </si>
  <si>
    <t>SX-2026-003</t>
  </si>
  <si>
    <t>SD2026-013</t>
  </si>
  <si>
    <t>SG2026-003</t>
  </si>
  <si>
    <t>SD2026-014</t>
  </si>
  <si>
    <t>SG2026-004</t>
  </si>
  <si>
    <t>SX-SPS2026-001</t>
  </si>
  <si>
    <t>SX-VMS2026-017</t>
  </si>
  <si>
    <t>SX-VMS2026-018</t>
  </si>
  <si>
    <t>SD2026-015</t>
  </si>
  <si>
    <t>SX-VMS2026-019</t>
  </si>
  <si>
    <t>SD2026-016</t>
  </si>
  <si>
    <t>SD2026-018</t>
  </si>
  <si>
    <t>SD2026-017</t>
  </si>
  <si>
    <t>SX-VMS2026-020</t>
  </si>
  <si>
    <t>SX-VMS2026-021</t>
  </si>
  <si>
    <t>SX-VMS2026-022</t>
  </si>
  <si>
    <t>SX-VMS2026-023</t>
  </si>
  <si>
    <t>SX-VMS2026-024</t>
  </si>
  <si>
    <t>SD2026-019</t>
  </si>
  <si>
    <t>SD2026-020</t>
  </si>
  <si>
    <t>SG2026-005</t>
  </si>
  <si>
    <t>SD2026-021</t>
  </si>
  <si>
    <t>SX-VMS2026-025</t>
  </si>
  <si>
    <t>SX-VMS2026-026</t>
  </si>
  <si>
    <t>SX-VMS2026-027</t>
  </si>
  <si>
    <t>SD2026-022</t>
  </si>
  <si>
    <t>SX-VMS2026-028</t>
  </si>
  <si>
    <t>SX-VMS2026-029</t>
  </si>
  <si>
    <t>SD2026-023</t>
  </si>
  <si>
    <t>SX-VMS2026-030</t>
  </si>
  <si>
    <t>SX-VMS2026-031</t>
  </si>
  <si>
    <t>SX-VMS2026-032</t>
  </si>
  <si>
    <t>SG2026-006</t>
  </si>
  <si>
    <t>SX-VMS2026-033</t>
  </si>
  <si>
    <t>SX-VMS2026-034</t>
  </si>
  <si>
    <t>SX-VMS2026-035</t>
  </si>
  <si>
    <t>SX-VMS2026-036</t>
  </si>
  <si>
    <t>SX-VMS2026-037</t>
  </si>
  <si>
    <t>SX-VMS2026-038</t>
  </si>
  <si>
    <t>SX-VMS2026-039</t>
  </si>
  <si>
    <t>SD2026-024</t>
  </si>
  <si>
    <t>SX-VMS2026-040</t>
  </si>
  <si>
    <t>SX-VMS2026-041</t>
  </si>
  <si>
    <t>SX-VMS2026-042</t>
  </si>
  <si>
    <t>SD2026-025</t>
  </si>
  <si>
    <t>SX-VMS2026-043</t>
  </si>
  <si>
    <t>SX-VMS2026-044</t>
  </si>
  <si>
    <t>SX-VMS2026-045</t>
  </si>
  <si>
    <t>SX-2026-004</t>
  </si>
  <si>
    <t>SX-VMS2026-046</t>
  </si>
  <si>
    <t>SD2026-030</t>
  </si>
  <si>
    <t>SD2026-026</t>
  </si>
  <si>
    <t>SD2026-027</t>
  </si>
  <si>
    <t>SD2026-028</t>
  </si>
  <si>
    <t>SD2026-029</t>
  </si>
  <si>
    <t>SD2026-031</t>
  </si>
  <si>
    <t>SD2026-032</t>
  </si>
  <si>
    <t>SD2026-033</t>
  </si>
  <si>
    <t>SD2026-034</t>
  </si>
  <si>
    <t>SD2026-035</t>
  </si>
  <si>
    <t>SD2026-036</t>
  </si>
  <si>
    <t>SX-VMS2026-047</t>
  </si>
  <si>
    <t>SD2026-037</t>
  </si>
  <si>
    <t>SX-VMS2026-048</t>
  </si>
  <si>
    <t>SX-VMS2026-049</t>
  </si>
  <si>
    <t>SX-VMS2026-050</t>
  </si>
  <si>
    <t>SX-VMS2026-051</t>
  </si>
  <si>
    <t>SX-VMS2026-052</t>
  </si>
  <si>
    <t>SX-VMS2026-053</t>
  </si>
  <si>
    <t>SX-VMS2026-054</t>
  </si>
  <si>
    <t>SX-VMS2026-055</t>
  </si>
  <si>
    <t>SX-VMS2026-056</t>
  </si>
  <si>
    <t>SX-VMS2026-057</t>
  </si>
  <si>
    <t>SX-VMS2026-058</t>
  </si>
  <si>
    <t>SX-VMS2026-059</t>
  </si>
  <si>
    <t>SX-VMS2026-060</t>
  </si>
  <si>
    <t>SD2026-038</t>
  </si>
  <si>
    <t>SD2026-039</t>
  </si>
  <si>
    <t>SD2026-040</t>
  </si>
  <si>
    <t>SD2026-041</t>
  </si>
  <si>
    <t>SX-VMS2026-061</t>
  </si>
  <si>
    <t>SX-VMS2026-062</t>
  </si>
  <si>
    <t>SX-VMS2026-063</t>
  </si>
  <si>
    <t>SD2026-042</t>
  </si>
  <si>
    <t>SD2026-043</t>
  </si>
  <si>
    <t>SD2026-044</t>
  </si>
  <si>
    <t>SD2026-045</t>
  </si>
  <si>
    <t>SG2026-007</t>
  </si>
  <si>
    <t>SX-VMS2026-064</t>
  </si>
  <si>
    <t>SX-VMS2026-065</t>
  </si>
  <si>
    <t>SX-VMS2026-066</t>
  </si>
  <si>
    <t>SX-VMS2026-067</t>
  </si>
  <si>
    <t>SX-VMS2026-068</t>
  </si>
  <si>
    <t>SX-VMS2026-069</t>
  </si>
  <si>
    <t>SX-VMS2026-070</t>
  </si>
  <si>
    <t>SX-VMS2026-071</t>
  </si>
  <si>
    <t>SX-VMS2026-072</t>
  </si>
  <si>
    <t>SD2026-046</t>
  </si>
  <si>
    <t>SX-2026-005</t>
  </si>
  <si>
    <t>SX-VMS2026-073</t>
  </si>
  <si>
    <t>SX-VMS2026-074</t>
  </si>
  <si>
    <t>SX-VMS2026-075</t>
  </si>
  <si>
    <t>SX-VMS2026-076</t>
  </si>
  <si>
    <t>SX-VMS2026-077</t>
  </si>
  <si>
    <t>SG2026-008</t>
  </si>
  <si>
    <t>SX-VMS2026-078</t>
  </si>
  <si>
    <t>SD2026-047</t>
  </si>
  <si>
    <t>SX-VMS2026-079</t>
  </si>
  <si>
    <t>SX-VMS2026-080</t>
  </si>
  <si>
    <t>SX-VMS2026-081</t>
  </si>
  <si>
    <t>SD2026-048</t>
  </si>
  <si>
    <t>SD2026-049</t>
  </si>
  <si>
    <t>SG2026-009</t>
  </si>
  <si>
    <t>SD2026-050</t>
  </si>
  <si>
    <t>SD2026-051</t>
  </si>
  <si>
    <t>SD2026-052</t>
  </si>
  <si>
    <t>SX-VMS2026-082</t>
  </si>
  <si>
    <t>SX-VMS2026-083</t>
  </si>
  <si>
    <t>SX-VMS2026-084</t>
  </si>
  <si>
    <t>SX-VMS2026-085</t>
  </si>
  <si>
    <t>SX-VMS2026-086</t>
  </si>
  <si>
    <t>SX-VMS2026-087</t>
  </si>
  <si>
    <t>SX-VMS2026-088</t>
  </si>
  <si>
    <t>SX-VMS2026-089</t>
  </si>
  <si>
    <t>SX-VMS2026-090</t>
  </si>
  <si>
    <t>SX-VMS2026-091</t>
  </si>
  <si>
    <t>SD2026-053</t>
  </si>
  <si>
    <t>SD2026-054</t>
  </si>
  <si>
    <t>SX-SPS2026-002</t>
  </si>
  <si>
    <t>SX-VMS2026-092</t>
  </si>
  <si>
    <t>SX-VMS2026-093</t>
  </si>
  <si>
    <t>SX-VMS2026-094</t>
  </si>
  <si>
    <t>SX-VMS2026-095</t>
  </si>
  <si>
    <t>SX-VMS2026-096</t>
  </si>
  <si>
    <t>SX-VMS2026-097</t>
  </si>
  <si>
    <t>SX-VMS2026-098</t>
  </si>
  <si>
    <t>สังกัดเดิม</t>
  </si>
  <si>
    <t>--&gt;</t>
  </si>
  <si>
    <t>สังกัดใหม่</t>
  </si>
  <si>
    <t>บริษัท</t>
  </si>
  <si>
    <t>วันที่มีผล</t>
  </si>
  <si>
    <t>SD640001</t>
  </si>
  <si>
    <t>นางสาวอุมาพร ธัญลักษณ์ภาคย์</t>
  </si>
  <si>
    <t>สายงาน SENA IDEA</t>
  </si>
  <si>
    <t>Sena Idea</t>
  </si>
  <si>
    <t>Umapornt@senaidea.com</t>
  </si>
  <si>
    <t>BK680004</t>
  </si>
  <si>
    <t>Sena Development</t>
  </si>
  <si>
    <t>umapornt@sena.co.th</t>
  </si>
  <si>
    <t>SD650004</t>
  </si>
  <si>
    <t>นางสาวมรรษณา แสนคำลือ</t>
  </si>
  <si>
    <t>เจ้าหน้าที่ประสานงานทั่วไป</t>
  </si>
  <si>
    <t>munsanas@senaidea.com</t>
  </si>
  <si>
    <t>BK680005</t>
  </si>
  <si>
    <t>munsanas@sena.co.th</t>
  </si>
  <si>
    <t>SD660014</t>
  </si>
  <si>
    <t>นายภาคิไนย จิตติธำรง</t>
  </si>
  <si>
    <t>สายงาน Digital Marketing และ Communications</t>
  </si>
  <si>
    <t>pakinain@senaidea.com</t>
  </si>
  <si>
    <t>BK680006</t>
  </si>
  <si>
    <t>pakinain@sena.co.th</t>
  </si>
  <si>
    <t>SD670006</t>
  </si>
  <si>
    <t>นางสาวอิพภา พวงหัตถ์</t>
  </si>
  <si>
    <t>ผู้จัดการ</t>
  </si>
  <si>
    <t>ฝ่าย Digital Marketing</t>
  </si>
  <si>
    <t>ippap@senaidea.com</t>
  </si>
  <si>
    <t>BK680007</t>
  </si>
  <si>
    <t>ippap@sena.co.th</t>
  </si>
  <si>
    <t>SD640021</t>
  </si>
  <si>
    <t>นางสาวนัฐธิกา พรประเสริฐผล</t>
  </si>
  <si>
    <t>ผู้ช่วยหัวหน้าแผนก</t>
  </si>
  <si>
    <t>Nuttikap@senaidea.com</t>
  </si>
  <si>
    <t>BK680008</t>
  </si>
  <si>
    <t>nuttikap@sena.co.th</t>
  </si>
  <si>
    <t>SD640019</t>
  </si>
  <si>
    <t>นางสาวสิรรัณดา จุณณะภาต</t>
  </si>
  <si>
    <t>แผนก Social Media Communication</t>
  </si>
  <si>
    <t>Sirarandac@senaidea.com</t>
  </si>
  <si>
    <t>BK680009</t>
  </si>
  <si>
    <t>sirarandac@sena.co.th</t>
  </si>
  <si>
    <t>SD640017</t>
  </si>
  <si>
    <t>นายสุรชัย พัฒเท</t>
  </si>
  <si>
    <t>แผนก Digital Channel และ MKT Tech</t>
  </si>
  <si>
    <t>Surachaip@senaidea.com</t>
  </si>
  <si>
    <t>BK680010</t>
  </si>
  <si>
    <t>surachaip@sena.co.th</t>
  </si>
  <si>
    <t>SD650003</t>
  </si>
  <si>
    <t>นางสาวพรพรรณ สุทธิมล</t>
  </si>
  <si>
    <t>เจ้าหน้าที่ออกแบบเว็บไซด์อาวุโส</t>
  </si>
  <si>
    <t>pornpans@senaidea.com</t>
  </si>
  <si>
    <t>BK680011</t>
  </si>
  <si>
    <t>pornpans@sena.co.th</t>
  </si>
  <si>
    <t>SD660010</t>
  </si>
  <si>
    <t>นางสาวรัตนา ธนดำรงสิทธิ์</t>
  </si>
  <si>
    <t>เจ้าหน้าที่การตลาดออนไลน์</t>
  </si>
  <si>
    <t>rattanat@senaidea.com</t>
  </si>
  <si>
    <t>BK680012</t>
  </si>
  <si>
    <t>rattanat@sena.co.th</t>
  </si>
  <si>
    <t>SD670009</t>
  </si>
  <si>
    <t>นางสาววริศรา แสงคำ</t>
  </si>
  <si>
    <t>warissaras@senaidea.com</t>
  </si>
  <si>
    <t>warissaras@sena.co.th</t>
  </si>
  <si>
    <t>SDJ651002</t>
  </si>
  <si>
    <t>นางสาวขนิษฐา เมืองนาค</t>
  </si>
  <si>
    <t>khanittam@senaidea.com</t>
  </si>
  <si>
    <t>khanittam@sena.co.th</t>
  </si>
  <si>
    <t>SD670010</t>
  </si>
  <si>
    <t>นางสาวอภิญญา เลิศพงดี</t>
  </si>
  <si>
    <t>เจ้าหน้าที่ Social Media Content</t>
  </si>
  <si>
    <t>apinyal@senaidea.com</t>
  </si>
  <si>
    <t>apinyale@sena.co.th</t>
  </si>
  <si>
    <t>SD660008</t>
  </si>
  <si>
    <t>นางสาววชิราภรณ์ ศุภจรูญทรัพย์</t>
  </si>
  <si>
    <t>เจ้าหน้าที่ออกแบบเว็บไซด์</t>
  </si>
  <si>
    <t>wachiraporns@senaidea.com</t>
  </si>
  <si>
    <t>BK680016</t>
  </si>
  <si>
    <t>wachiraporns@sena.co.th</t>
  </si>
  <si>
    <t>SD670001</t>
  </si>
  <si>
    <t>นางสาวทัดดาว ชาญสุวรรณ</t>
  </si>
  <si>
    <t>ผู้อำนวยการ</t>
  </si>
  <si>
    <t>สายงาน Corperate และ Communications</t>
  </si>
  <si>
    <t>tuddaoc@senaidea.com</t>
  </si>
  <si>
    <t>BK680017</t>
  </si>
  <si>
    <t>tuddaoc@sena.co.th</t>
  </si>
  <si>
    <t>SD650009</t>
  </si>
  <si>
    <t>นายเฉลิมพล จันทร์ขจร</t>
  </si>
  <si>
    <t>ฝ่าย Brand และ Strategic Communications</t>
  </si>
  <si>
    <t>chalermponc@senaidea.com</t>
  </si>
  <si>
    <t>BK680018</t>
  </si>
  <si>
    <t>chalermponc@sena.co.th</t>
  </si>
  <si>
    <t>SD640007</t>
  </si>
  <si>
    <t>นายปัณณวิชญ์ จิรวิทยานนท์</t>
  </si>
  <si>
    <t>ผู้จัดการอาวุโส</t>
  </si>
  <si>
    <t>แผนก Project Maketing Communication</t>
  </si>
  <si>
    <t>pannawitj@senaidea.com</t>
  </si>
  <si>
    <t>BK680019</t>
  </si>
  <si>
    <t>pannawitj@sena.co.th</t>
  </si>
  <si>
    <t>SD670004</t>
  </si>
  <si>
    <t>นายนเรนทร์ ตุนทกิจ</t>
  </si>
  <si>
    <t>narentt@senaidea.com</t>
  </si>
  <si>
    <t>narentt@sena.co.th</t>
  </si>
  <si>
    <t>SD670005</t>
  </si>
  <si>
    <t>นางสาวพิจิตรา จิระกุลพรไพศาล</t>
  </si>
  <si>
    <t>แผนก Corperate PR</t>
  </si>
  <si>
    <t>pijitrac@senaidea.com</t>
  </si>
  <si>
    <t>BK680021</t>
  </si>
  <si>
    <t>pijitrac@sena.co.th</t>
  </si>
  <si>
    <t>SD660012</t>
  </si>
  <si>
    <t>นางสาวณิชนันทน์ ขวัญเลิศจิตต์</t>
  </si>
  <si>
    <t>ผู้ช่วยผู้จัดการ</t>
  </si>
  <si>
    <t>แผนก Corperate Marketing</t>
  </si>
  <si>
    <t>nitchanank@senaidea.com</t>
  </si>
  <si>
    <t>BK680022</t>
  </si>
  <si>
    <t>nitchanank@sena.co.th</t>
  </si>
  <si>
    <t>SD670011</t>
  </si>
  <si>
    <t>นางสาวศิริรัตน์ สินศิริ</t>
  </si>
  <si>
    <t>ฝ่าย Public Relations และ Corperate Communication</t>
  </si>
  <si>
    <t>sirirats@senaidea.com</t>
  </si>
  <si>
    <t>BK680023</t>
  </si>
  <si>
    <t>sirirats@sena.co.th</t>
  </si>
  <si>
    <t>SD640030</t>
  </si>
  <si>
    <t>นายพิชิตพล พิมพ์สนิท</t>
  </si>
  <si>
    <t>Phichitphonp@senaidea.com</t>
  </si>
  <si>
    <t>BK680024</t>
  </si>
  <si>
    <t>phichitphonp@sena.co.th</t>
  </si>
  <si>
    <t>SD640026</t>
  </si>
  <si>
    <t>นายเกริก ปรัชญาพัฒนพงศ์</t>
  </si>
  <si>
    <t>เจ้าหน้าที่กราฟฟิคอาวุโส</t>
  </si>
  <si>
    <t>Krerkp@senaidea.com</t>
  </si>
  <si>
    <t>BK680025</t>
  </si>
  <si>
    <t>krerkp@sena.co.th</t>
  </si>
  <si>
    <t>SD640029</t>
  </si>
  <si>
    <t>Panyakonb@senaidea.com</t>
  </si>
  <si>
    <t>SD640031</t>
  </si>
  <si>
    <t>นายชยิสรา เอมโอช</t>
  </si>
  <si>
    <t>Chayisaraa@senaidea.com</t>
  </si>
  <si>
    <t>BK680027</t>
  </si>
  <si>
    <t>chayisaraa@sena.co.th</t>
  </si>
  <si>
    <t>SD660005</t>
  </si>
  <si>
    <t>นายสาวิตร เจนพัฒนกุล</t>
  </si>
  <si>
    <t>sawitj@senaidea.com</t>
  </si>
  <si>
    <t>BK680028</t>
  </si>
  <si>
    <t>sawitj@sena.co.th</t>
  </si>
  <si>
    <t>SD670002</t>
  </si>
  <si>
    <t>นางสาวเกศนภา ทองคำ</t>
  </si>
  <si>
    <t>ketnapat@senaidea.com</t>
  </si>
  <si>
    <t>BK680029</t>
  </si>
  <si>
    <t>ketnapat@sena.co.th</t>
  </si>
  <si>
    <t>SD640012</t>
  </si>
  <si>
    <t>นางสาวปนัดดา อำลอย</t>
  </si>
  <si>
    <t>เจ้าหน้าที่ Call Center อาวุโส</t>
  </si>
  <si>
    <t>แผนก Call Center</t>
  </si>
  <si>
    <t>Panaddaa@senaidea.com</t>
  </si>
  <si>
    <t>BK680030</t>
  </si>
  <si>
    <t>panaddaa@sena.co.th</t>
  </si>
  <si>
    <t>SD640013</t>
  </si>
  <si>
    <t>นางมณิศา ลิมปนะรังสฤษฎ์</t>
  </si>
  <si>
    <t>Manisak@senaidea.com</t>
  </si>
  <si>
    <t>BK680031</t>
  </si>
  <si>
    <t>manisak@sena.co.th</t>
  </si>
  <si>
    <t>SD640014</t>
  </si>
  <si>
    <t>นายทรงพันธ์ ไม้แป้น</t>
  </si>
  <si>
    <t>Songpunm@senaidea.com</t>
  </si>
  <si>
    <t>BK680032</t>
  </si>
  <si>
    <t>songpunm@sena.co.th</t>
  </si>
  <si>
    <t>SDJ651003</t>
  </si>
  <si>
    <t>นางสาวจุฑามาศ เสนากุล</t>
  </si>
  <si>
    <t>jhutamarts@senaidea.com</t>
  </si>
  <si>
    <t>BK680033</t>
  </si>
  <si>
    <t>jhutamarts@sena.co.th</t>
  </si>
  <si>
    <t>SD650012</t>
  </si>
  <si>
    <t>นางสาวอรุณี อยู่ล้อมศักดิ์</t>
  </si>
  <si>
    <t>เจ้าหน้าที่กราฟฟิค</t>
  </si>
  <si>
    <t>aruneey@senaidea.com</t>
  </si>
  <si>
    <t>BK680034</t>
  </si>
  <si>
    <t>aruneey@sena.co.th</t>
  </si>
  <si>
    <t>SD670007</t>
  </si>
  <si>
    <t>นายธีระวัต เกิดสุข</t>
  </si>
  <si>
    <t>teerawatk@senaidea.com</t>
  </si>
  <si>
    <t>BK680035</t>
  </si>
  <si>
    <t>teerawatk@sena.co.th</t>
  </si>
  <si>
    <t>SDJ651001</t>
  </si>
  <si>
    <t>นายจักรินทร์ ทรัพย์นิมิตร</t>
  </si>
  <si>
    <t>jakarins@sena.co.th</t>
  </si>
  <si>
    <t>BK680036</t>
  </si>
  <si>
    <t>SRF670003</t>
  </si>
  <si>
    <t>นายจตุรงค์ สัจจะนรพันธ์</t>
  </si>
  <si>
    <t>สายงานที่ปรึกษาอสังหาริมทรัพย์</t>
  </si>
  <si>
    <t>Jaturongs@sena.co.th</t>
  </si>
  <si>
    <t>SSG680001</t>
  </si>
  <si>
    <t>Solarenergy</t>
  </si>
  <si>
    <t>jaturongs@senasolarenergy.com</t>
  </si>
  <si>
    <t>SX670177</t>
  </si>
  <si>
    <t>นายภูวสิษฏ์ ดอกจันทร์</t>
  </si>
  <si>
    <t>สายงาน Engineering</t>
  </si>
  <si>
    <t>Sen-X</t>
  </si>
  <si>
    <t>SSG680002</t>
  </si>
  <si>
    <t>สายงานติดตั้งและบำรุงรักษา</t>
  </si>
  <si>
    <t>phuwasitd@senasolarenergy.com</t>
  </si>
  <si>
    <t>SX670099</t>
  </si>
  <si>
    <t>6707 เจ้าหน้าที่กฎหมายอาวุโส</t>
  </si>
  <si>
    <t>แผนกธุรการทั่วไป</t>
  </si>
  <si>
    <t>varunyouj@senxgroup.com</t>
  </si>
  <si>
    <t>varunyouj@sena.co.th</t>
  </si>
  <si>
    <t>SX670008</t>
  </si>
  <si>
    <t>นายธนากร ขาวสนิท</t>
  </si>
  <si>
    <t>thanakornk@senxgroup.com</t>
  </si>
  <si>
    <t>BK680574</t>
  </si>
  <si>
    <t>แผนกประกันคุณภาพ และควบคุมต้นทุน</t>
  </si>
  <si>
    <t>thanakornk@sena.co.th</t>
  </si>
  <si>
    <t>SX670033</t>
  </si>
  <si>
    <t>นายอธิคม สุวรรณประเสริฐ</t>
  </si>
  <si>
    <t>5506 วิศวกรสำรวจอาวุโส</t>
  </si>
  <si>
    <t>aticoms@senxgroup.com</t>
  </si>
  <si>
    <t>BK680573</t>
  </si>
  <si>
    <t>aticoms@sena.co.th</t>
  </si>
  <si>
    <t>SX670169</t>
  </si>
  <si>
    <t>นางสาวลูกปลา ถาวรวรรณ</t>
  </si>
  <si>
    <t>lukplat@senxgroup.com</t>
  </si>
  <si>
    <t>lukplat@sena.co.th</t>
  </si>
  <si>
    <t>SGE670036</t>
  </si>
  <si>
    <t>นางสาวสมัชญา บุญผ่อง</t>
  </si>
  <si>
    <t xml:space="preserve">สายงานบัญชี 3 (กลุ่มธุรกิจโซลาร์) </t>
  </si>
  <si>
    <t>samatchayab@sena.co.th</t>
  </si>
  <si>
    <t>BK670053</t>
  </si>
  <si>
    <t>tanuss@sena.co.th</t>
  </si>
  <si>
    <t>SX680006</t>
  </si>
  <si>
    <t>Laddawanp@sena.co.th</t>
  </si>
  <si>
    <t>Laddawanp@senxgroup.com</t>
  </si>
  <si>
    <t>SX670044</t>
  </si>
  <si>
    <t>นางสาวนันทิภา รัตนมาตย์</t>
  </si>
  <si>
    <t>nuntipar@senxgroup.com</t>
  </si>
  <si>
    <t>SX670037</t>
  </si>
  <si>
    <t>นางสาวพิมพ์ผกา วิโรจน์รัญจวน</t>
  </si>
  <si>
    <t>pimpakaw@senxgroup.com</t>
  </si>
  <si>
    <t xml:space="preserve">5556 วิศวกรประมาณราคา </t>
  </si>
  <si>
    <t>pimpakaw@sena.co.th</t>
  </si>
  <si>
    <t>SGE660020</t>
  </si>
  <si>
    <t>นายสิทธิ รัตนราษี</t>
  </si>
  <si>
    <t>sittir@senasolarenergy.com</t>
  </si>
  <si>
    <t>BK680598</t>
  </si>
  <si>
    <t>sittir@sena.co.th</t>
  </si>
  <si>
    <t>BK680129</t>
  </si>
  <si>
    <t>นายชัยพจน์ ช่างแต่ง</t>
  </si>
  <si>
    <t>chaiyapotc@sena.co.th</t>
  </si>
  <si>
    <t>VMS680135</t>
  </si>
  <si>
    <t xml:space="preserve">ฝ่าย Engineering </t>
  </si>
  <si>
    <t>chaiyapotc@senxgroup.com</t>
  </si>
  <si>
    <t>สายงานติดตั้งและซ่อมบำรุง</t>
  </si>
  <si>
    <t xml:space="preserve">สายงาน Engineering </t>
  </si>
  <si>
    <t>SPS670030</t>
  </si>
  <si>
    <t>นางสาวกัลยาณี ชุติมากุล</t>
  </si>
  <si>
    <t>สายงานขายคอนโด 2</t>
  </si>
  <si>
    <t>kanlayaneec@senxgroup.com</t>
  </si>
  <si>
    <t>kanlayaneec@sena.co.th</t>
  </si>
  <si>
    <t>SPS670029</t>
  </si>
  <si>
    <t>นางสาวอรจิรา ปัญญายง</t>
  </si>
  <si>
    <t>ongirap@senxgroup.com</t>
  </si>
  <si>
    <t>ongirap@sena.co.th</t>
  </si>
  <si>
    <t>รบกวนใส่วันที่มีผลด้วยนะครับ เนื่องจากจะมีการส่ง Email แจ้งผู้ใหญ่ครับ</t>
  </si>
  <si>
    <t>SPS670037</t>
  </si>
  <si>
    <t>นายภาณุพงศ น้อยดอนไพร</t>
  </si>
  <si>
    <t>panupongn@senxgroup.com</t>
  </si>
  <si>
    <t>panupongn@sena.co.th</t>
  </si>
  <si>
    <t>SPS670038</t>
  </si>
  <si>
    <t>นางสาวธนัชชา ประทยศ</t>
  </si>
  <si>
    <t>thanatchap@senxgroup.com</t>
  </si>
  <si>
    <t>thanatchap@sena.co.th</t>
  </si>
  <si>
    <t>MMS660138</t>
  </si>
  <si>
    <t xml:space="preserve">สำนักบริหารโครงการ 5 (งานก่อสร้าง) </t>
  </si>
  <si>
    <t>Sena MMS</t>
  </si>
  <si>
    <t>noppasitt@sena.co.th</t>
  </si>
  <si>
    <t>สำนักบริหารโครงการคอนโด และบ้าน 1 (ก่อสร้าง)</t>
  </si>
  <si>
    <t>noppasitt@senxgroup.com</t>
  </si>
  <si>
    <t>BK680399</t>
  </si>
  <si>
    <t>อำพล ตาเตียว</t>
  </si>
  <si>
    <t>ampont@sena.co.th</t>
  </si>
  <si>
    <t>VMS680156</t>
  </si>
  <si>
    <t xml:space="preserve">สำนัักงานใหญ่ </t>
  </si>
  <si>
    <t>ampont@senxgroup.com</t>
  </si>
  <si>
    <t>BK680363</t>
  </si>
  <si>
    <t>นางสาวเพ็ญนภา ชุ่มหยวก</t>
  </si>
  <si>
    <t>pennapac@sena.co.th</t>
  </si>
  <si>
    <t>pennapac@senasolarenergy.com</t>
  </si>
  <si>
    <t xml:space="preserve">BK670027 </t>
  </si>
  <si>
    <t>ฝ่าย Sena We Care</t>
  </si>
  <si>
    <t>โครงการ</t>
  </si>
  <si>
    <t>ทีเค นวกิจ จำกัด</t>
  </si>
  <si>
    <t>BK680491</t>
  </si>
  <si>
    <t>นายสุภาพ ศิริวัฒนกุลวงศ์</t>
  </si>
  <si>
    <t>5505 ผู้ช่วยหัวหน้าโฟร์แมน</t>
  </si>
  <si>
    <t>Suphaps@sena.co.th</t>
  </si>
  <si>
    <t>TK680003</t>
  </si>
  <si>
    <t>BK680536</t>
  </si>
  <si>
    <t>นายพีรพัฒน์ อภัยพิพัฒน์</t>
  </si>
  <si>
    <t>peerapata@sena.co.th</t>
  </si>
  <si>
    <t>BK680535</t>
  </si>
  <si>
    <t>นายพะเยาว์ พุทธสีมา</t>
  </si>
  <si>
    <t>payaop@sena.co.th</t>
  </si>
  <si>
    <t>BK680342</t>
  </si>
  <si>
    <t>นายชัยวัฒน์ ทองจำปา</t>
  </si>
  <si>
    <t>chaiwatt@sena.co.th</t>
  </si>
  <si>
    <t>VMS680187</t>
  </si>
  <si>
    <t>chaiwatt@senxgroup.com</t>
  </si>
  <si>
    <t>BK680351</t>
  </si>
  <si>
    <t>นายปฐมพงษ์ ด้วงนิล</t>
  </si>
  <si>
    <t>pathompongd@sena.co.th</t>
  </si>
  <si>
    <t>VMS680186</t>
  </si>
  <si>
    <t>pathompongd@senxgroup.com</t>
  </si>
  <si>
    <t>BK680438</t>
  </si>
  <si>
    <t>นายวิเศษศักดิ์ พิลารักษ์</t>
  </si>
  <si>
    <t>เสนา วีว่า ฉลองกรุง – ลาดกระบัง</t>
  </si>
  <si>
    <t>wisetsakp@sena.co.th</t>
  </si>
  <si>
    <t>BK680541</t>
  </si>
  <si>
    <t>นายธีราภัทร เสาศิลา</t>
  </si>
  <si>
    <t>teerapatsa@sena.co.th</t>
  </si>
  <si>
    <t>VMS680220</t>
  </si>
  <si>
    <t>teerapatsa@senxgroup.com</t>
  </si>
  <si>
    <t>BK660051</t>
  </si>
  <si>
    <t>นายสันติภูมิ พัดทอง</t>
  </si>
  <si>
    <t>santiphump@sena.co.th</t>
  </si>
  <si>
    <t>VMS680279</t>
  </si>
  <si>
    <t>santiphump@senxgroup.com</t>
  </si>
  <si>
    <t>chatreew@sena.co.th</t>
  </si>
  <si>
    <t>VMS680307</t>
  </si>
  <si>
    <t>แผนกวิศวกรรมโยธา</t>
  </si>
  <si>
    <t>chatreewo@senxgroup.com</t>
  </si>
  <si>
    <t>SSG680006</t>
  </si>
  <si>
    <t>นายพัทธนันท์ เกตุแก้ว</t>
  </si>
  <si>
    <t>ฝ่ายขายและการตลาด</t>
  </si>
  <si>
    <t>pattanank@senasolarenergy.com</t>
  </si>
  <si>
    <t>BK680661</t>
  </si>
  <si>
    <t>7659 เจ้าหน้าที่ประสานงานทั่วไปกลุ่มประธานเจ้าหน้าที่บริหาร</t>
  </si>
  <si>
    <t>pattanank@sena.co.th</t>
  </si>
  <si>
    <t>นางสาวลลิตา ปัญสุวรรณ์</t>
  </si>
  <si>
    <t>lalitap@sena.co.th</t>
  </si>
  <si>
    <t>SX680023</t>
  </si>
  <si>
    <t>lalitap@senxgroup.com</t>
  </si>
  <si>
    <t>BK690014</t>
  </si>
  <si>
    <t>chatreewo@sena.co.th</t>
  </si>
  <si>
    <t>BK690013</t>
  </si>
  <si>
    <t>VT670001</t>
  </si>
  <si>
    <t>นางณัฐชยา อรุณเรืองสวัสดิ์</t>
  </si>
  <si>
    <t>สายงานบริหารธุรกิจเช่ารายย่อย (Service Apartment)</t>
  </si>
  <si>
    <t>เดอะ เซอร์วิส เรสซิเดนซ์ จำกัด</t>
  </si>
  <si>
    <t>natchayaa@sena.co.th</t>
  </si>
  <si>
    <t>SPS690002</t>
  </si>
  <si>
    <t>natchayaa@senxgroup.com</t>
  </si>
  <si>
    <t>VT670007</t>
  </si>
  <si>
    <t>นางสาวโสรยา เตชวิทูล</t>
  </si>
  <si>
    <t>4971 หัวหน้าแผนกต้อนรับและบริการ</t>
  </si>
  <si>
    <t>แผนกเสนาเฮ้าส์ ลำลูกกา คลอง 2</t>
  </si>
  <si>
    <t>sorayat@sena.co.th</t>
  </si>
  <si>
    <t>SPS690003</t>
  </si>
  <si>
    <t>sorayat@senxgroup.com</t>
  </si>
  <si>
    <t>VT670002</t>
  </si>
  <si>
    <t>นายเอกนรินทร์ ทองเงา</t>
  </si>
  <si>
    <t>แผนกเสนาเฮ้าส์ สาขาพหลโยธิน 30</t>
  </si>
  <si>
    <t>eaknarint@sena.co.th</t>
  </si>
  <si>
    <t>SPS690004</t>
  </si>
  <si>
    <t>eaknarint@senxgroup.com</t>
  </si>
  <si>
    <t>VT670004</t>
  </si>
  <si>
    <t>นางสาวกนกนวรัตน์ มามาตร</t>
  </si>
  <si>
    <t>kanoknawaratm@sena.co.th</t>
  </si>
  <si>
    <t>SPS690005</t>
  </si>
  <si>
    <t>kanoknawaratm@senxgroup.com</t>
  </si>
  <si>
    <t>คุณโสรยาและคุณสุธาวรรณ ต้องการใช้ Email เดิมเพราะใช้ใในการติดต่อ vender ภายนอก</t>
  </si>
  <si>
    <t>VT670006</t>
  </si>
  <si>
    <t>นางสาวสุธาวรรณ เมฆลอย</t>
  </si>
  <si>
    <t>sutawanm@sena.co.th</t>
  </si>
  <si>
    <t>SPS690006</t>
  </si>
  <si>
    <t>sutawanm@senxgroup.com</t>
  </si>
  <si>
    <t>VT670005</t>
  </si>
  <si>
    <t>นางสาวหยาดดาว เรือนปัญจะ</t>
  </si>
  <si>
    <t>yhaddaowr@sena.co.th</t>
  </si>
  <si>
    <t>SPS690007</t>
  </si>
  <si>
    <t>yhaddaowr@senxgroup.com</t>
  </si>
  <si>
    <t>VT670003</t>
  </si>
  <si>
    <t>นายใจเพชร ตั้งศักดาดิษฐ์</t>
  </si>
  <si>
    <t>jaipetcht@sena.co.th</t>
  </si>
  <si>
    <t>SPS690008</t>
  </si>
  <si>
    <t>jaipetcht@senxgroup.com</t>
  </si>
  <si>
    <t>นายอำพล ตาเตียว</t>
  </si>
  <si>
    <t>BK690023</t>
  </si>
  <si>
    <t xml:space="preserve">เสนา คิทท์ เทพารักษ์ - บางบ่อ 2 </t>
  </si>
  <si>
    <t>BK650064</t>
  </si>
  <si>
    <t>นางสาวศิลาพร ชลคงคา</t>
  </si>
  <si>
    <t>silapornc@sena.co.th</t>
  </si>
  <si>
    <t>SSG690003</t>
  </si>
  <si>
    <t>silapornc@senasolarenergy.com</t>
  </si>
  <si>
    <t>BK680318</t>
  </si>
  <si>
    <t>นายวุฒิชัย ยิ่งยงค์</t>
  </si>
  <si>
    <t>Wutthichaiy@sena.co.th</t>
  </si>
  <si>
    <t>SSG690004</t>
  </si>
  <si>
    <t>wutthichaiy@senasolarenergy.com</t>
  </si>
  <si>
    <t>SX690005</t>
  </si>
  <si>
    <t>นายโกวิท รอรั้ง</t>
  </si>
  <si>
    <t>ฝ่าย Graphic Design</t>
  </si>
  <si>
    <t>kowitr@senxgroup.com</t>
  </si>
  <si>
    <t>BK690046</t>
  </si>
  <si>
    <t>ฝ่าย Creative และ Design Management</t>
  </si>
  <si>
    <t>kowitr@sena.co.th</t>
  </si>
  <si>
    <t>ทำงานวันสุดท้าย     ( ปี-เดือน-วัน )</t>
  </si>
  <si>
    <t>วันที่พ้นสภาพ            ( ปี-เดือน-วัน )</t>
  </si>
  <si>
    <t>MMS660105</t>
  </si>
  <si>
    <t>นายธีระชัย ทาทอง</t>
  </si>
  <si>
    <t>เสนา คิทท์ บางนา กม.29</t>
  </si>
  <si>
    <t>theerachait@sena.co.th</t>
  </si>
  <si>
    <t>ยื่น Online</t>
  </si>
  <si>
    <t>ลบข้อมูลแล้ว</t>
  </si>
  <si>
    <t>MMS650434</t>
  </si>
  <si>
    <t>นางสาวสุภารัตน์ กุลทะโสม</t>
  </si>
  <si>
    <t>suparatk@sena.co.th</t>
  </si>
  <si>
    <t>VMS660048</t>
  </si>
  <si>
    <t>นางสาวเปมิกา กระแสงแก้ว</t>
  </si>
  <si>
    <t>ฝ่ายบัญชีนิติบุคคล 1 (คอนโด)</t>
  </si>
  <si>
    <t>paemikak@sena.co.th</t>
  </si>
  <si>
    <t>SP18660002</t>
  </si>
  <si>
    <t>นางสาวหฤทัยรัตน์ ขวัญทอง</t>
  </si>
  <si>
    <t>ฝ่ายบัญชีลูกหนี้ (ร่วมทุน)</t>
  </si>
  <si>
    <t>Haruthairatk@sena.co.th</t>
  </si>
  <si>
    <t>ยกเลิกเอกสาร</t>
  </si>
  <si>
    <t>VMS660095</t>
  </si>
  <si>
    <t>นางนงนุช แสนยาสมุทร์</t>
  </si>
  <si>
    <t>นิติบุคคล เฟล็กซี่ สาทร/เจริญนคร เฟส 1</t>
  </si>
  <si>
    <t>nongnuchs@sena.co.th</t>
  </si>
  <si>
    <t>SX660040</t>
  </si>
  <si>
    <t>นางสาวสิริวัฒนา วิไลรัตน์</t>
  </si>
  <si>
    <t>ได้งานใหม่</t>
  </si>
  <si>
    <t>siriwattanaw@senxgroup.com</t>
  </si>
  <si>
    <t>MMS660255</t>
  </si>
  <si>
    <t>นางสาวกฤษณี คลังทรัพย์</t>
  </si>
  <si>
    <t>เฟล็กซี่ สำโรง อินเตอร์เชนจ์</t>
  </si>
  <si>
    <t>krisneek@sena.co.th</t>
  </si>
  <si>
    <t>VMS650141</t>
  </si>
  <si>
    <t>นางสาวนุศรา มะมิง</t>
  </si>
  <si>
    <t>นิติบุคคล นิช โมโน รามคำแหง</t>
  </si>
  <si>
    <t>nusram@sena.co.th</t>
  </si>
  <si>
    <t>MMS660425</t>
  </si>
  <si>
    <t>นางสาวอนันต์ธินี เหมือนท่าไม้</t>
  </si>
  <si>
    <t>anantineem@sena.co.th</t>
  </si>
  <si>
    <t>MMS650027</t>
  </si>
  <si>
    <t>นางสำรอง ทองประเสริฐ</t>
  </si>
  <si>
    <t>8656 แม่บ้านโครงการ</t>
  </si>
  <si>
    <t>เสนา คิทท์ พหลโยธิน/คูคต</t>
  </si>
  <si>
    <t>Somrongt@sena.co.th</t>
  </si>
  <si>
    <t>เกษียณ</t>
  </si>
  <si>
    <t>ไม่มีเอกสารให้ตรวจสอบ</t>
  </si>
  <si>
    <t>BK650033</t>
  </si>
  <si>
    <t>นายชูเกียรติ จูมทอง</t>
  </si>
  <si>
    <t>สำนักกฎหมายและนิติกรรมสัญญา</t>
  </si>
  <si>
    <t>chookiatj@sena.co.th</t>
  </si>
  <si>
    <t>SX660052</t>
  </si>
  <si>
    <t>นางสาวพิศสิณี พงษ์พิทักษ์กุล</t>
  </si>
  <si>
    <t>สายงาน Inter Sale</t>
  </si>
  <si>
    <t>pitsineep@senxgroup.com</t>
  </si>
  <si>
    <t>TK660011</t>
  </si>
  <si>
    <t>นางสาวอรวรรณ ม่วงศรี</t>
  </si>
  <si>
    <t>แผนกซ่อมบำรุงหลังการขาย</t>
  </si>
  <si>
    <t>orawanm@sena.co.th</t>
  </si>
  <si>
    <t>BK650001</t>
  </si>
  <si>
    <t>นายกฤษฏิ์ วัฒนโยธิน</t>
  </si>
  <si>
    <t>แผนกพัฒนาโครงการแนวราบ</t>
  </si>
  <si>
    <t>kristiw@sena.co.th</t>
  </si>
  <si>
    <t>ส่งเอกสารกลับไปแก้ไข</t>
  </si>
  <si>
    <t>BK650260</t>
  </si>
  <si>
    <t>นายวิทยา รัตนสร้อย</t>
  </si>
  <si>
    <t>แผนกสินเชื่อ 2</t>
  </si>
  <si>
    <t>wittayar@sena.co.th</t>
  </si>
  <si>
    <t>SX670091</t>
  </si>
  <si>
    <t>นางสาวกัญจน์ชญา กิติคู้จึงพัฒนา</t>
  </si>
  <si>
    <t>BK660150</t>
  </si>
  <si>
    <t>นายวสุ รัศมิทัต</t>
  </si>
  <si>
    <t>6555 โฟร์แมนตรวจคุณภาพงานอาวุโส</t>
  </si>
  <si>
    <t>vasur@sena.co.th</t>
  </si>
  <si>
    <t>SX660071</t>
  </si>
  <si>
    <t>นางสาวอัคริมา จูฑะมงคล</t>
  </si>
  <si>
    <t>akrimaj@senxgroup.com</t>
  </si>
  <si>
    <t>kanchanab@senaidea.com</t>
  </si>
  <si>
    <t>VMS660148</t>
  </si>
  <si>
    <t>นายสุทธิพงษ์ วีระพันธ์</t>
  </si>
  <si>
    <t>นิติบุคคล นิช โมโน แจ้งวัฒนะ เฟส 1</t>
  </si>
  <si>
    <t>suthiphongv@sena.co.th</t>
  </si>
  <si>
    <t>MMS660244</t>
  </si>
  <si>
    <t>นายธนวัฒน์ ศิริพจนากุล</t>
  </si>
  <si>
    <t>thanawats@sena.co.th</t>
  </si>
  <si>
    <t>VMS660147</t>
  </si>
  <si>
    <t>นายชนสรณ์ ภักดีโต</t>
  </si>
  <si>
    <t>นิติบุคคล เฟล็กซี่ เตาปูน อินเตอร์เชนจ์</t>
  </si>
  <si>
    <t>chanasonp@sena.co.th</t>
  </si>
  <si>
    <t>JSA660034</t>
  </si>
  <si>
    <t>นายอำพล ทองศรี</t>
  </si>
  <si>
    <t>แผนกบริหารอาคาร</t>
  </si>
  <si>
    <t>ampolt@sena.co.th</t>
  </si>
  <si>
    <t>Tanabat28@gmail.com</t>
  </si>
  <si>
    <t>AR670006</t>
  </si>
  <si>
    <t>หนึ่งฤทัย ธนะศักดากร</t>
  </si>
  <si>
    <t>ผู้จัดการฝ่ายกฎหมาย</t>
  </si>
  <si>
    <t>สำนักงานใหญ่</t>
  </si>
  <si>
    <t>puipower26@gmail.com</t>
  </si>
  <si>
    <t>AR670046</t>
  </si>
  <si>
    <t>วรัญญู จิรักษา</t>
  </si>
  <si>
    <t>เจ้านห้าที่กฎหมายอาวุโส</t>
  </si>
  <si>
    <t>Varunyou.ji@gmail.com</t>
  </si>
  <si>
    <t>AR670191</t>
  </si>
  <si>
    <t>วิไลลักษณ์ อินทพัด</t>
  </si>
  <si>
    <t>เจ้าหน้าที่ฝ่ายทรัพยกรบุคคล</t>
  </si>
  <si>
    <t>vilailakintapat@gmail.com</t>
  </si>
  <si>
    <t>supaneep.sl@gmail.com</t>
  </si>
  <si>
    <t>jokermomosiki@gmail.com</t>
  </si>
  <si>
    <t>aumaumae4319@gmail.com</t>
  </si>
  <si>
    <t>Bunyarit.2544nakut@gmail.com</t>
  </si>
  <si>
    <t>jaiseznaja@gmail.com</t>
  </si>
  <si>
    <t>wongwich2547@gmail.com</t>
  </si>
  <si>
    <t>tanapron@acuterealty.com</t>
  </si>
  <si>
    <t>MMS660315</t>
  </si>
  <si>
    <t>นางสาวเพียงฤทัย พรมศรี</t>
  </si>
  <si>
    <t>ฝ่ายขายธุรกิจ 22</t>
  </si>
  <si>
    <t>phiangruthaip@sena.co.th</t>
  </si>
  <si>
    <t>MMS660280</t>
  </si>
  <si>
    <t>นางสาวสายรุ้ง แม่นวงค์</t>
  </si>
  <si>
    <t>เฟล็กซี่ สาทร/เจริญนคร เฟส 1</t>
  </si>
  <si>
    <t>sairungm@sena.co.th</t>
  </si>
  <si>
    <t>tawats@sena.co.th</t>
  </si>
  <si>
    <t>MMS660335</t>
  </si>
  <si>
    <t>นางสาวนฤมล ภูมิสถาน</t>
  </si>
  <si>
    <t>5401 ผู้ช่วยหัวหน้างานขาย</t>
  </si>
  <si>
    <t>naruemonp@sena.co.th</t>
  </si>
  <si>
    <t>SX670086</t>
  </si>
  <si>
    <t>นางสาวมธุรส สุรรัตน์</t>
  </si>
  <si>
    <t>mathuross@sena.co.th</t>
  </si>
  <si>
    <t>VMS660037</t>
  </si>
  <si>
    <t>นายสุรศักดิ์ ทองบ่อ</t>
  </si>
  <si>
    <t>นิติบุคคล เดอะคิทท์ ฉลองกรุง/ลาดกระบัง</t>
  </si>
  <si>
    <t>surasakt@sena.co.th</t>
  </si>
  <si>
    <t>VMS650001</t>
  </si>
  <si>
    <t>นายสิทธรัตน์ นุ่มเรือง</t>
  </si>
  <si>
    <t>สายงานบริหารนิติบุคคล</t>
  </si>
  <si>
    <t>sittaratn@sena.co.th</t>
  </si>
  <si>
    <t>VMS660046</t>
  </si>
  <si>
    <t>นายคมริกรณ์ ธัญมีไชยฉัตร</t>
  </si>
  <si>
    <t>นิติบุคคล คิทท์ ติวานนท์ เฟส 1</t>
  </si>
  <si>
    <t>kimrikornt@sena.co.th</t>
  </si>
  <si>
    <t>MMS660125</t>
  </si>
  <si>
    <t>นายภาณุพงษ์ พัวภวเวช</t>
  </si>
  <si>
    <t>สำนักบริหารโครงการ 5</t>
  </si>
  <si>
    <t>panupongp@sena.co.th</t>
  </si>
  <si>
    <t>SX660046</t>
  </si>
  <si>
    <t>นายพิสูจน์ สิทธิพรวัฒนากุล</t>
  </si>
  <si>
    <t>แผนกการขาย</t>
  </si>
  <si>
    <t>pisuths@senxgroup.com</t>
  </si>
  <si>
    <t>SGA660005</t>
  </si>
  <si>
    <t>ว่าที่ ร.ต.เชาวลิต มณีพฤกษ์</t>
  </si>
  <si>
    <t>chaovalitm@sena.co.th</t>
  </si>
  <si>
    <t>MMS660342</t>
  </si>
  <si>
    <t>เสนา วิลล์ บรมราชชนนี สาย 5</t>
  </si>
  <si>
    <t>jinattat@sena.co.th</t>
  </si>
  <si>
    <t>SD660015</t>
  </si>
  <si>
    <t>นางสาวอาทิตยา คุสิตา</t>
  </si>
  <si>
    <t>แผนก PR &amp; Media Buy</t>
  </si>
  <si>
    <t>artitayak@senaidea.com</t>
  </si>
  <si>
    <t>SX670089</t>
  </si>
  <si>
    <t>นางสาวชณันภัสร์ วิทยมงคลพัชร์</t>
  </si>
  <si>
    <t>เสนา วิลล์ วงแหวน/บางบัวทอง</t>
  </si>
  <si>
    <t>chananpasw@sena.co.th</t>
  </si>
  <si>
    <t>SGA660023</t>
  </si>
  <si>
    <t>นางสาวอรวรรณ แสงวัฒนา</t>
  </si>
  <si>
    <t>SX670088</t>
  </si>
  <si>
    <t>นางสาวรอยพิมพ์ คชาโภชน์</t>
  </si>
  <si>
    <t>roypimk@sena.co.th</t>
  </si>
  <si>
    <t>VMS660040</t>
  </si>
  <si>
    <t>นายสมพร ปากดี</t>
  </si>
  <si>
    <t>sompronp@sena.co.th</t>
  </si>
  <si>
    <t>SX670070</t>
  </si>
  <si>
    <t>นางสาวจัสมิน วิศิษฐสงคราม</t>
  </si>
  <si>
    <t>เสนา วีว่า ศรีราชา/อัสสัมชัญ</t>
  </si>
  <si>
    <t>jasminev@sena.co.th</t>
  </si>
  <si>
    <t>MMS670030</t>
  </si>
  <si>
    <t>นางสาวจุฑามาศ มะกล่ำทอง</t>
  </si>
  <si>
    <t>สำนักบริหารโครงการ 2 (ก่อสร้าง)</t>
  </si>
  <si>
    <t>MMS660056</t>
  </si>
  <si>
    <t>นายเอกรัตน์ แก้วศรี</t>
  </si>
  <si>
    <t>เสนา เวล่า เทพารักษ์/บางบ่อ</t>
  </si>
  <si>
    <t>ekkaratk@sena.co.th</t>
  </si>
  <si>
    <t>MMS650243</t>
  </si>
  <si>
    <t>นางสาวพนมมาศ ราชพรรณา</t>
  </si>
  <si>
    <t>Panommasr@sena.co.th</t>
  </si>
  <si>
    <t>MMS660407</t>
  </si>
  <si>
    <t>นางสาวชิณณปะภา ปิ่นประภากุล</t>
  </si>
  <si>
    <t>สำนักบริหารโครงการ 1 (งานขายและการตลาด)</t>
  </si>
  <si>
    <t>VMS660123</t>
  </si>
  <si>
    <t>นายโชติพัฒน์ งามเนตร</t>
  </si>
  <si>
    <t>นิติบุคคล นิช ไอดี แอท ปากเกร็ด สเตชั่น</t>
  </si>
  <si>
    <t>chotipatn@sena.co.th</t>
  </si>
  <si>
    <t>MMS660405</t>
  </si>
  <si>
    <t>นางสาวจุรีรัตน์ พันเดช</t>
  </si>
  <si>
    <t>โคซี่ เอ็มอาร์ที เพชรเกษม 48</t>
  </si>
  <si>
    <t>jureeratp@sena.co.th</t>
  </si>
  <si>
    <t>MMS660079</t>
  </si>
  <si>
    <t>นายปฏิพัทธ์ เมฆมูสิก</t>
  </si>
  <si>
    <t>เสนา คิทท์ พหลโยธิน/นวนคร</t>
  </si>
  <si>
    <t>patiphatm@sena.co.th</t>
  </si>
  <si>
    <t>MMS660301</t>
  </si>
  <si>
    <t>นายปพน พิสิฐไพศาลกุล</t>
  </si>
  <si>
    <t>เสนาคิทท์ ฉลองกรุง/ลาดกระบัง</t>
  </si>
  <si>
    <t>paponp@sena.co.th</t>
  </si>
  <si>
    <t>VMS660002</t>
  </si>
  <si>
    <t>นายวัตรธิชัย ดุลฮีม</t>
  </si>
  <si>
    <t>นิติบุคคล เสนาคิทท์ MRT/บางแค</t>
  </si>
  <si>
    <t>wattichaid@sena.co.th</t>
  </si>
  <si>
    <t>patcharanon61@gmail.com</t>
  </si>
  <si>
    <t>Pongsathon5960@gmail.com</t>
  </si>
  <si>
    <t>kittinoptana@gmail.com</t>
  </si>
  <si>
    <t>AR670077</t>
  </si>
  <si>
    <t>กมลวรรณ ปรุงผล</t>
  </si>
  <si>
    <t>ผู้ช่วยผู้จัดการอาคาร</t>
  </si>
  <si>
    <t>นิติฯ พลัมคอนโด มิกซ์ แจ้งวัฒนะ</t>
  </si>
  <si>
    <t>kamonwanprungphon@gmail.com</t>
  </si>
  <si>
    <t>nunnavy02@gmail.com</t>
  </si>
  <si>
    <t>kawin0895323636@gmail.com</t>
  </si>
  <si>
    <t>bew.160835@gmail.com</t>
  </si>
  <si>
    <t>puangbupha_4238@outlook.com</t>
  </si>
  <si>
    <t>parnvarn.r@gmail.com</t>
  </si>
  <si>
    <t>wan1992naowarach@gmail.com</t>
  </si>
  <si>
    <t>thanayut200936@gmail.com</t>
  </si>
  <si>
    <t>jason634722@gmail.com</t>
  </si>
  <si>
    <t>aumawadee@acuterealty.com</t>
  </si>
  <si>
    <t>kwanruetai@acuterealty.com</t>
  </si>
  <si>
    <t>MMS660203</t>
  </si>
  <si>
    <t>นายภัทรสรรพ์ วงศ์นิธิรักษ์</t>
  </si>
  <si>
    <t>สายงานก่อสร้าง 42</t>
  </si>
  <si>
    <t>phatsanw@sena.co.th</t>
  </si>
  <si>
    <t>MMS660395</t>
  </si>
  <si>
    <t>นางสาววรรณา สุนทอง</t>
  </si>
  <si>
    <t>เสนา คิทท์ เทพารักษ์/บางบ่อ</t>
  </si>
  <si>
    <t>wannasu@sena.co.th</t>
  </si>
  <si>
    <t>SX670006</t>
  </si>
  <si>
    <t>นายรังสรรค์ ทรงศิลป์</t>
  </si>
  <si>
    <t>สายงานก่อสร้าง 51</t>
  </si>
  <si>
    <t>rungsuns@sena.co.th</t>
  </si>
  <si>
    <t>VMS660118</t>
  </si>
  <si>
    <t>นายณัฐวุฒิ สุดาโมกข์</t>
  </si>
  <si>
    <t>nattawats@sena.co.th</t>
  </si>
  <si>
    <t>MMS660381</t>
  </si>
  <si>
    <t>นางสาวพรพรรณ สุเหร็น</t>
  </si>
  <si>
    <t>pornphans@sena.co.th</t>
  </si>
  <si>
    <t>BK660069</t>
  </si>
  <si>
    <t>นายศรัญย์ แก้วตา</t>
  </si>
  <si>
    <t>sarank@sena.co.th</t>
  </si>
  <si>
    <t>นายจตุภูมิ สูนศรี</t>
  </si>
  <si>
    <t>chatuphums@sena.co.th</t>
  </si>
  <si>
    <t>SX670077</t>
  </si>
  <si>
    <t>นายสุรพล บุตรกระจ่าง</t>
  </si>
  <si>
    <t>ฝ่ายการตลาดธุรกิจ 51B</t>
  </si>
  <si>
    <t>suraphonb@sena.co.th</t>
  </si>
  <si>
    <t>SGA660028</t>
  </si>
  <si>
    <t>นางสาวสุจิตรา พรหมเดช</t>
  </si>
  <si>
    <t>sujitrap@sena.co.th</t>
  </si>
  <si>
    <t>MMS660386</t>
  </si>
  <si>
    <t>นางสาวณภัค แพงศรี</t>
  </si>
  <si>
    <t>naphakp@sena.co.th</t>
  </si>
  <si>
    <t>MMS660302</t>
  </si>
  <si>
    <t>นางภนิชษากุญ ชนะชัยวิบูลวัฒน์</t>
  </si>
  <si>
    <t>phanichsakulc@sena.co.th</t>
  </si>
  <si>
    <t>SGA670001</t>
  </si>
  <si>
    <t>นายวีรภัทร แซ่โง้ว</t>
  </si>
  <si>
    <t>wirapats@sena.co.th</t>
  </si>
  <si>
    <t>kittiyap@sena.co.th</t>
  </si>
  <si>
    <t>SGA660019</t>
  </si>
  <si>
    <t>นางสาวอิ่มทิพย์ ประเสริฐกุล</t>
  </si>
  <si>
    <t>imthipp@sena.co.th</t>
  </si>
  <si>
    <t>BK660151</t>
  </si>
  <si>
    <t>นายอนุศร สุวรรณขำ</t>
  </si>
  <si>
    <t>anusorns@sena.co.th</t>
  </si>
  <si>
    <t>MMS670011</t>
  </si>
  <si>
    <t>นางสาวนริสรา ช้างสำลี</t>
  </si>
  <si>
    <t>เสนาคิทท์ รังสิต / ติวานนท์</t>
  </si>
  <si>
    <t>narisrac@sena.co.th</t>
  </si>
  <si>
    <t>VMS670015</t>
  </si>
  <si>
    <t>นางสาวจิรวดี สมสวย</t>
  </si>
  <si>
    <t>jirawadees@senxgroup.com</t>
  </si>
  <si>
    <t>ELR670002</t>
  </si>
  <si>
    <t>ชยากร เอกสินเสริม</t>
  </si>
  <si>
    <t>chayakora@senxgroup.com</t>
  </si>
  <si>
    <t>แผนกสนับสนุนงาน 1</t>
  </si>
  <si>
    <t>panaddas@sena.co.th</t>
  </si>
  <si>
    <t>pirayap@sena.co.th</t>
  </si>
  <si>
    <t>SX670090</t>
  </si>
  <si>
    <t>นายอภิสิทธิ์ ยังวิวัฒน์</t>
  </si>
  <si>
    <t>ส่วนเสนา เวล่า สิริโสธร</t>
  </si>
  <si>
    <t>apisity@sena.co.th</t>
  </si>
  <si>
    <t>SGA660030</t>
  </si>
  <si>
    <t>ธมลวรรณ แก้วม่วง</t>
  </si>
  <si>
    <t>tamolwank@sena.co.th</t>
  </si>
  <si>
    <t>ผ่านการตรวจสอบแล้ว</t>
  </si>
  <si>
    <t>SGA660024</t>
  </si>
  <si>
    <t>ธนวัต ชุนห์ไกรพิชญ์</t>
  </si>
  <si>
    <t>Tanawutc@sena.co.th</t>
  </si>
  <si>
    <t>VMS660057</t>
  </si>
  <si>
    <t>อัครเทพ ชายทวีป</t>
  </si>
  <si>
    <t>แผนกปฏิบัติการ 3</t>
  </si>
  <si>
    <t>akkharathepc@sena.co.th</t>
  </si>
  <si>
    <t>MMS650550</t>
  </si>
  <si>
    <t>นายศุภภร ปัทมาลัย</t>
  </si>
  <si>
    <t>เสนา คิทท์ บีทีเอส สะพานใหม่</t>
  </si>
  <si>
    <t>supapornp@sena.co.th</t>
  </si>
  <si>
    <t>MMS670041</t>
  </si>
  <si>
    <t>นายพริษฐกวินท์ ศิริศักดิ์</t>
  </si>
  <si>
    <t>pharitkawins@sena.co.th</t>
  </si>
  <si>
    <t>MMS660372</t>
  </si>
  <si>
    <t>นายอรรถวุฒิ ศรีกมลศิริศักดิ์</t>
  </si>
  <si>
    <t>atthawuts@sena.co.th</t>
  </si>
  <si>
    <t>VMS660138</t>
  </si>
  <si>
    <t>นายกฤษฎา บัวสุวรรณ</t>
  </si>
  <si>
    <t>แผนกบริหารทั่วไป</t>
  </si>
  <si>
    <t>krisadab@sena.co.th</t>
  </si>
  <si>
    <t>BK660134</t>
  </si>
  <si>
    <t>นางสาวชญาณิน สุขวิชัย</t>
  </si>
  <si>
    <t>แผนกค่าจ้างและค่าตอบแทน</t>
  </si>
  <si>
    <t>chayanins@sena.co.th</t>
  </si>
  <si>
    <t>BK650272</t>
  </si>
  <si>
    <t>นางสาวธนิกานต์ เศวตวงศ์</t>
  </si>
  <si>
    <t>แผนกประมาณราคา</t>
  </si>
  <si>
    <t>thanikarns@sena.co.th</t>
  </si>
  <si>
    <t>MMS670036</t>
  </si>
  <si>
    <t>นางสาวภารัตน์ รอดน้อย</t>
  </si>
  <si>
    <t>pharutr@sena.co.th</t>
  </si>
  <si>
    <t>BK670002</t>
  </si>
  <si>
    <t>นายสรวิศ วิทูกิจ</t>
  </si>
  <si>
    <t>sorawitw@sena.co.th</t>
  </si>
  <si>
    <t>SX670002</t>
  </si>
  <si>
    <t>นายปภพธีร์วรทย์ ซื่อสัตย์</t>
  </si>
  <si>
    <t>papopteewarots@senxgroup.com</t>
  </si>
  <si>
    <t>SGA660011</t>
  </si>
  <si>
    <t>นายนิธิโรจน์ อธิรัฐภูวภรณ์</t>
  </si>
  <si>
    <t>nithiroja@sena.co.th</t>
  </si>
  <si>
    <t>นางสาววิลาวัณย์ อุดศรี</t>
  </si>
  <si>
    <t>wilawano@sena.co.th</t>
  </si>
  <si>
    <t>BK660136</t>
  </si>
  <si>
    <t>นายคมสัน เศวตมาลย์</t>
  </si>
  <si>
    <t>komsons@sena.co.th</t>
  </si>
  <si>
    <t>นายสนิท อินประภัทตร์</t>
  </si>
  <si>
    <t>saniti@sena.co.th</t>
  </si>
  <si>
    <t>แผนกอาคารชุด นิช ไพรด์ เตาปูน/อินเตอร์เชนจ์</t>
  </si>
  <si>
    <t>putk@sena.co.th</t>
  </si>
  <si>
    <t>beejada5284@gmail.com</t>
  </si>
  <si>
    <t>Nutno1993@gmail.com</t>
  </si>
  <si>
    <t>หมู่บ้านจัดสรรศุภาลัย มณฑลา ปิ่นเกล้า/พุทธมณฑลสาย 1</t>
  </si>
  <si>
    <t>Phakinaichaisawan@gmail.com</t>
  </si>
  <si>
    <t>witsanukam1137@gmail.com</t>
  </si>
  <si>
    <t>manatdeekay9@gmail.com</t>
  </si>
  <si>
    <t>Panitamarasri@hotmail.com</t>
  </si>
  <si>
    <t>joeytvs50@gmail.com</t>
  </si>
  <si>
    <t>giftsupicha1101@gmail.com</t>
  </si>
  <si>
    <t>siwakorn0869736255@gmail.com</t>
  </si>
  <si>
    <t>Ruck/sit@hotmail.com</t>
  </si>
  <si>
    <t>penpitchas@sena.co.th</t>
  </si>
  <si>
    <t>nithiphonk@sena.co.th</t>
  </si>
  <si>
    <t>dechau@sena.co.th</t>
  </si>
  <si>
    <t>thanawatp@sena.co.th</t>
  </si>
  <si>
    <t>sitthichaim@sena.co.th</t>
  </si>
  <si>
    <t>ratchaneegornp@sena.co.th</t>
  </si>
  <si>
    <t>saowanees@sena.co.th</t>
  </si>
  <si>
    <t>SD660016</t>
  </si>
  <si>
    <t>ธวัลรัตน์ ภัทรกุลวัฒน์</t>
  </si>
  <si>
    <t>ฝ่าย PR &amp; Internal Communication</t>
  </si>
  <si>
    <t>thawanratp@senaidea.com</t>
  </si>
  <si>
    <t>MMS660094</t>
  </si>
  <si>
    <t>วุฒิกร ชุมนุมพร้อม</t>
  </si>
  <si>
    <t>สายงานก่อสร้าง 31</t>
  </si>
  <si>
    <t>wuttikornc@sena.co.th</t>
  </si>
  <si>
    <t>ภัสร์ฐิตา ตรีภพวริทธิ์ธร</t>
  </si>
  <si>
    <t>บ้านร่วมทางฝัน 6 ปิ่นเกล้า/บรมราชชนนี</t>
  </si>
  <si>
    <t>phatthitat@sena.co.th</t>
  </si>
  <si>
    <t>ศิร พวงธนสาร</t>
  </si>
  <si>
    <t>sirap@sena.co.th</t>
  </si>
  <si>
    <t>ชัยวิชิต เจริญชัยเพชร</t>
  </si>
  <si>
    <t>chaiwichitj@sena.co.th</t>
  </si>
  <si>
    <t>Ubolthipe@sena.co.th</t>
  </si>
  <si>
    <t>SD660011</t>
  </si>
  <si>
    <t>พิมพ์วัสสา มกรพงศ์</t>
  </si>
  <si>
    <t>ฝ่าย Internal &amp; External PR Call Center</t>
  </si>
  <si>
    <t>pimvassam@senaidea.com</t>
  </si>
  <si>
    <t>ailadak@sena.co.th</t>
  </si>
  <si>
    <t>SGA660015</t>
  </si>
  <si>
    <t>นางสาวภคมน มีทอง</t>
  </si>
  <si>
    <t>pakamonm@sena.co.th</t>
  </si>
  <si>
    <t>เสนา คิทท์ เพชรเกษม/พุทธมณฑลสาย 7</t>
  </si>
  <si>
    <t>rattikornr@sena.co.th</t>
  </si>
  <si>
    <t>MMS670004</t>
  </si>
  <si>
    <t>นางสมพิศ โตพังเทียม</t>
  </si>
  <si>
    <t>sompitt@sena.co.th</t>
  </si>
  <si>
    <t>SGA660027</t>
  </si>
  <si>
    <t>นายอชิระ จุ๋ยเกตุ</t>
  </si>
  <si>
    <t>ashiraj@sena.co.th</t>
  </si>
  <si>
    <t>phuwadechi@sena.co.th</t>
  </si>
  <si>
    <t>VMS650106</t>
  </si>
  <si>
    <t>นายณัฐวัฒน์ สุวรรณรักษา</t>
  </si>
  <si>
    <t>แผนกอาคารชุด เดอะคิทท์ พลัส สุขุมวิท 113</t>
  </si>
  <si>
    <t>nuttawats@sena.co.th</t>
  </si>
  <si>
    <t>ELR670003</t>
  </si>
  <si>
    <t>นายปิยะ สันสินธุ์งาม</t>
  </si>
  <si>
    <t>piyas@senxgroup.com</t>
  </si>
  <si>
    <t>MMS670039</t>
  </si>
  <si>
    <t>นางสาวเอวารินทร์ สถาพรวรเดช</t>
  </si>
  <si>
    <t>เสนา เวล่า เทพารักษ์ / บางบ่อ</t>
  </si>
  <si>
    <t>avarins@sena.co.th</t>
  </si>
  <si>
    <t>SX670052</t>
  </si>
  <si>
    <t>นายเกียรติศักดิ์ โชติรัตน์</t>
  </si>
  <si>
    <t>keattisakc@sena.co.th</t>
  </si>
  <si>
    <t>adipongw@sena.co.th</t>
  </si>
  <si>
    <t>MMS650102</t>
  </si>
  <si>
    <t>นายบุญศักดิ์ ศรีพุกทอง</t>
  </si>
  <si>
    <t>เสนา วีว่า เพชรเกษม / พุทธมณฑล สาย 7</t>
  </si>
  <si>
    <t>boonsaks@sena.co.th</t>
  </si>
  <si>
    <t>chintanan@sena.co.th</t>
  </si>
  <si>
    <t>BK670030</t>
  </si>
  <si>
    <t>นางสาวปนัดดา ยะนิล</t>
  </si>
  <si>
    <t>panaday@sena.co.th</t>
  </si>
  <si>
    <t>SGA660013</t>
  </si>
  <si>
    <t>นายไพวรรณ ขาวขำ</t>
  </si>
  <si>
    <t>paiwank@sena.co.th</t>
  </si>
  <si>
    <t>ธรรญธร โคมพันธ์</t>
  </si>
  <si>
    <t>thanyathonk@sena.co.th</t>
  </si>
  <si>
    <t>suphakorns@sena.co.th</t>
  </si>
  <si>
    <t>เสนาคิทท์ สาทร/กัลปพฤกษ์</t>
  </si>
  <si>
    <t>thanatpornp@sena.co.th</t>
  </si>
  <si>
    <t>anusaras@sena.co.th</t>
  </si>
  <si>
    <t>palayaa@sena.co.th</t>
  </si>
  <si>
    <t>seksomj@sena.co.th</t>
  </si>
  <si>
    <t>เสนาคิทท์ รัตนาธิเบศร์/บางบัวทอง</t>
  </si>
  <si>
    <t>phanthiph@sena.co.th</t>
  </si>
  <si>
    <t>AR670015</t>
  </si>
  <si>
    <t>วรัฎฐา เพ่งมานะยล</t>
  </si>
  <si>
    <t>ผู้ช่วยฝ่ายจัดซื้อ</t>
  </si>
  <si>
    <t>waratthap@senxgroup.com</t>
  </si>
  <si>
    <t>AR670092</t>
  </si>
  <si>
    <t>มนภัทร ปวีณชัย</t>
  </si>
  <si>
    <t>ผู้จัดการฝ่ายเทคโนโลยี</t>
  </si>
  <si>
    <t>monnapatp@senxgroup.com</t>
  </si>
  <si>
    <t>AR670093</t>
  </si>
  <si>
    <t>จุฑามาศ พ่ายนรินทร์</t>
  </si>
  <si>
    <t>เจ้าหน้าที่พัฒนา</t>
  </si>
  <si>
    <t>jutamatp@senxgroup.com</t>
  </si>
  <si>
    <t>นิติฯ แอทโมช รัชดา/ห้วยขวาง</t>
  </si>
  <si>
    <t>armhamak@gmail.com</t>
  </si>
  <si>
    <t>s5912n10018@gmail.com</t>
  </si>
  <si>
    <t>lamzatrue@gmail.com</t>
  </si>
  <si>
    <t>kritthamets@sena.co.th</t>
  </si>
  <si>
    <t>suchada.kf@gmail.com</t>
  </si>
  <si>
    <t>arthits@sena.co.th</t>
  </si>
  <si>
    <t>โมทีฟ คอนโด</t>
  </si>
  <si>
    <t>fayfaii25@gmail.com</t>
  </si>
  <si>
    <t>คาซ่า24</t>
  </si>
  <si>
    <t>kawin010738@gmail.com</t>
  </si>
  <si>
    <t>mutitap@sena.co.th</t>
  </si>
  <si>
    <t>pareploys@sena.co.th</t>
  </si>
  <si>
    <t>montreei@sena.co.th</t>
  </si>
  <si>
    <t>nittayaw@sena.co.th</t>
  </si>
  <si>
    <t>kanjanak@sena.co.th</t>
  </si>
  <si>
    <t>chonlakorna@sena.co.th</t>
  </si>
  <si>
    <t>kanokthipk@sena.co.th</t>
  </si>
  <si>
    <t>tanakornm@sena.co.th</t>
  </si>
  <si>
    <t>Prachas@sena.co.th</t>
  </si>
  <si>
    <t>supakinp@sena.co.th</t>
  </si>
  <si>
    <t>preedawant@sena.co.th</t>
  </si>
  <si>
    <t>pharwhachn@sena.co.th</t>
  </si>
  <si>
    <t>nonnawatb@sena.co.th</t>
  </si>
  <si>
    <t>aasahs@sena.co.th</t>
  </si>
  <si>
    <t>athirakt@senaidea.com</t>
  </si>
  <si>
    <t>sopanutp@sena.co.th</t>
  </si>
  <si>
    <t>sittikornp@sena.co.th</t>
  </si>
  <si>
    <t>เสนา วิลล์ ลำลูกกา / คลอง 6</t>
  </si>
  <si>
    <t>sutatm@sena.co.th</t>
  </si>
  <si>
    <t>praphats@sena.co.th</t>
  </si>
  <si>
    <t>sukunyaph@sena.co.th</t>
  </si>
  <si>
    <t>pawarisas@sena.co.th</t>
  </si>
  <si>
    <t>ส่วนการขายเสนา อเวนิว 1/2 และเวล่า รังสิต / คลอง 1</t>
  </si>
  <si>
    <t>onuman@sena.co.th</t>
  </si>
  <si>
    <t>phuripatp@sena.co.th</t>
  </si>
  <si>
    <t>เสนา วีว่า ฉลองกรุง / ลาดกระบัง</t>
  </si>
  <si>
    <t>thitipornb@sena.co.th</t>
  </si>
  <si>
    <t>ส่วนการขายเสนา วิลเลจ ติวานนท์ / บางกะดี</t>
  </si>
  <si>
    <t>sukanyasr@sena.co.th</t>
  </si>
  <si>
    <t>peeraponp@sena.co.th</t>
  </si>
  <si>
    <t>pichap@sena.co.th</t>
  </si>
  <si>
    <t>kearttikunk@sena.co.th</t>
  </si>
  <si>
    <t>ไม่ส่งเอกสารกลับมาที่ HR</t>
  </si>
  <si>
    <t>watcharapolt@sena.co.th</t>
  </si>
  <si>
    <t>jitpranees@sena.co.th</t>
  </si>
  <si>
    <t>MMS670028</t>
  </si>
  <si>
    <t>นางสาวสุนิษา รักชาติ</t>
  </si>
  <si>
    <t>เสนา อีโคทาวน์ รังสิต สเตชั่น</t>
  </si>
  <si>
    <t>sunisar@sena.co.th</t>
  </si>
  <si>
    <t>warangkanas@sena.co.th</t>
  </si>
  <si>
    <t>sasithornc@sena.co.th</t>
  </si>
  <si>
    <t>ฝ่ายบัญชีจ่าย/เจ้าหนี้</t>
  </si>
  <si>
    <t>laksanapona@sena.co.th</t>
  </si>
  <si>
    <t>นายสุทธิพงษ์ บุญล้ำเลิศ</t>
  </si>
  <si>
    <t>suttipongb@sena.co.th</t>
  </si>
  <si>
    <t>tawisat@sena.co.th</t>
  </si>
  <si>
    <t>kittipona@sena.co.th</t>
  </si>
  <si>
    <t>นางสาวดวงชีวัน กลิ่นเกษร</t>
  </si>
  <si>
    <t>Duangchiwank@sena.co.th</t>
  </si>
  <si>
    <t>sampan.janhom@gmail.com</t>
  </si>
  <si>
    <t>ore/ptt@hotmail.com</t>
  </si>
  <si>
    <t>นิติฯ เฟล็กซี่ รัตนาธิเบศร์</t>
  </si>
  <si>
    <t>nattikaj@sena.co.th</t>
  </si>
  <si>
    <t>เจนจิรา พูลศิริ</t>
  </si>
  <si>
    <t>janejirap@sena.co.th</t>
  </si>
  <si>
    <t>เสนา อีโคทาวน์ รังสิต / สเตชั่น</t>
  </si>
  <si>
    <t>phumiphatp@sena.co.th</t>
  </si>
  <si>
    <t>หัวหน้าช่างประจำอาคาร</t>
  </si>
  <si>
    <t>เสนา คิทท์ เอ็มอาร์ที บางแค</t>
  </si>
  <si>
    <t>Suppachaij@sena.co.th</t>
  </si>
  <si>
    <t>narisac@sena.co.th</t>
  </si>
  <si>
    <t>chonn@sena.co.th</t>
  </si>
  <si>
    <t>SGA670006</t>
  </si>
  <si>
    <t>นายปรภัทร ขันแข็ง</t>
  </si>
  <si>
    <t>porrapatk@sena.co.th</t>
  </si>
  <si>
    <t>ESE660006</t>
  </si>
  <si>
    <t>นายปราโมทย์ มีช่วย</t>
  </si>
  <si>
    <t>7951 เจ้าหน้าที่คลังสินค้า</t>
  </si>
  <si>
    <t>Warehouse &amp; Logistics</t>
  </si>
  <si>
    <t>pramotm@senasolarenergy.com</t>
  </si>
  <si>
    <t>supapornm@senxgroup.com</t>
  </si>
  <si>
    <t>pichitphont@senxgroup.com</t>
  </si>
  <si>
    <t>แผนกพัฒนาโครงการก่อสร้าง 52E</t>
  </si>
  <si>
    <t>chindanaip@sena.co.th</t>
  </si>
  <si>
    <t>แผนกการขายโซนศรีราชา / บ่อวิน</t>
  </si>
  <si>
    <t>maytiyat@senxgroup.com</t>
  </si>
  <si>
    <t>แผนกการขายโซนวงแหวน / บางบัวทอง</t>
  </si>
  <si>
    <t>songsitw@senxgroup.com</t>
  </si>
  <si>
    <t>นางสาวรินทร์ลภัทร เพ็งจันทร์</t>
  </si>
  <si>
    <t>แผนกหมู่บ้านจัดสรร โครงการ เสนา วีว่า รัตนาธิเบศร์ / บางบัวทอง</t>
  </si>
  <si>
    <t>linlapatp@sena.co.th</t>
  </si>
  <si>
    <t>worathonj@senxgroup.com</t>
  </si>
  <si>
    <t>SX660076</t>
  </si>
  <si>
    <t>นายชินพันธ์ ตรีทิพชุมสิริ</t>
  </si>
  <si>
    <t>1201 ประธานเจ้าหน้าที่ด้านการเงิน</t>
  </si>
  <si>
    <t>กลุ่มบัญชีและการเงิน</t>
  </si>
  <si>
    <t>chinnapant@senxgroup.com</t>
  </si>
  <si>
    <t>32 ผู้จัดการโครงการ</t>
  </si>
  <si>
    <t>เสนาคิทท์ ศรีนครินทร์ – ศรีด่าน</t>
  </si>
  <si>
    <t>witthayas@sena.co.th</t>
  </si>
  <si>
    <t>nuntiyaj@sena.co.th</t>
  </si>
  <si>
    <t>benchapornt@sena.co.th</t>
  </si>
  <si>
    <t>MMS660240</t>
  </si>
  <si>
    <t>supapimb@sena.co.th</t>
  </si>
  <si>
    <t>BK670013</t>
  </si>
  <si>
    <t>rungrojh@sena.co.th</t>
  </si>
  <si>
    <t>บัญชีการเงิน/โซลาร์</t>
  </si>
  <si>
    <t>siripornd@senasolarenergy.com</t>
  </si>
  <si>
    <t>aekkalakc@sena.co.th</t>
  </si>
  <si>
    <t>aurrarinl@senxgroup.com</t>
  </si>
  <si>
    <t>nithichotp@sena.co.th</t>
  </si>
  <si>
    <t>chayakrink@senasolarenergy.com</t>
  </si>
  <si>
    <t>nattaporns@sena.co.th</t>
  </si>
  <si>
    <t>chalermkiatt@sena.co.th</t>
  </si>
  <si>
    <t>MMS650169</t>
  </si>
  <si>
    <t>นายทัชชกร ดีรักษา</t>
  </si>
  <si>
    <t>tuschakornd@sena.co.th</t>
  </si>
  <si>
    <t>kitsanam@sena.co.th</t>
  </si>
  <si>
    <t>chananunt@sena.co.th</t>
  </si>
  <si>
    <t>duangkaewd@sena.co.th</t>
  </si>
  <si>
    <t>Suwapatp@sena.co.th</t>
  </si>
  <si>
    <t>khunlanids@sena.co.th</t>
  </si>
  <si>
    <t>keeratik@sena.co.th</t>
  </si>
  <si>
    <t>tipananc@sena.co.th</t>
  </si>
  <si>
    <t>7453 เจ้าหน้าที่ตรวจรับมอบห้อง</t>
  </si>
  <si>
    <t>Sompongp@sena.co.th</t>
  </si>
  <si>
    <t>ladaphas@sena.co.th</t>
  </si>
  <si>
    <t>supapornto@sena.co.th</t>
  </si>
  <si>
    <t>sirinyar@sena.co.th</t>
  </si>
  <si>
    <t>นายสุภกิจ พงษ์เมืองทอง</t>
  </si>
  <si>
    <t>supakitp@sena.co.th</t>
  </si>
  <si>
    <t>แผนกการตลาดโซนศรีราชา / บ่อวิน</t>
  </si>
  <si>
    <t>hathairats@sena.co.th</t>
  </si>
  <si>
    <t>jittimaa@senxgroup.com</t>
  </si>
  <si>
    <t>thanyathornl@senxgroup.com</t>
  </si>
  <si>
    <t>ผนกบริหารอาคารศูนย์การค้าเสนาเฟสท์</t>
  </si>
  <si>
    <t>chanasinn@senxgroup.com</t>
  </si>
  <si>
    <t>sittichais@senxgroup.com</t>
  </si>
  <si>
    <t>Wanwisas@senaidea.com</t>
  </si>
  <si>
    <t>kalayak@sena.co.th</t>
  </si>
  <si>
    <t>แผนกอาคารชุด เดอะนิช ไพรด์ ทองหล่อ/เพชรบุรี</t>
  </si>
  <si>
    <t>gasamsuks@sena.co.th</t>
  </si>
  <si>
    <t>nattawutp@senxgroup.com</t>
  </si>
  <si>
    <t>rinpapatm@senxgroup.com</t>
  </si>
  <si>
    <t>autsanic@senxgroup.com</t>
  </si>
  <si>
    <t>kitsadap@sena.co.th</t>
  </si>
  <si>
    <t>nattawuth@sena.co.th</t>
  </si>
  <si>
    <t>เสนา วิลเลจ บางปะกง / บ้านโพธิ์</t>
  </si>
  <si>
    <t>netnaphak@senxgroup.com</t>
  </si>
  <si>
    <t>pirunj@senxgroup.com</t>
  </si>
  <si>
    <t>Watchareeporns@sena.co.th</t>
  </si>
  <si>
    <t>แผนกการขายโซนรังสิต / ติวานนท์</t>
  </si>
  <si>
    <t>wipaweep@sena.co.th</t>
  </si>
  <si>
    <t>nimitp@sena.co.th</t>
  </si>
  <si>
    <t>youthanad@senxgroup.com</t>
  </si>
  <si>
    <t>nachayadap@senxgroup.com</t>
  </si>
  <si>
    <t>Suriyas@sena.co.th</t>
  </si>
  <si>
    <t>แผนกอาคารชุด เฟล็กซี่ สาธร/เจริญนคร เฟส 1</t>
  </si>
  <si>
    <t>thanachaik@sena.co.th</t>
  </si>
  <si>
    <t>แผนกอาคารชุด นิช โมโน สุขุมวิท/ปู่เจ้า</t>
  </si>
  <si>
    <t>maitreed@senxgroup.com</t>
  </si>
  <si>
    <t>showtipatb@senxgroup.com</t>
  </si>
  <si>
    <t>varishm@senxgroup.com</t>
  </si>
  <si>
    <t>เสนา คิทท์ ศรีนครินทร์/ศรีด่าน</t>
  </si>
  <si>
    <t>pornpilins@sena.co.th</t>
  </si>
  <si>
    <t>น.ส.อรนุช ศรีเมืองบุญ</t>
  </si>
  <si>
    <t>orranoots@sena.co.th</t>
  </si>
  <si>
    <t>น.ส.พัชญ์ชัญญา สนาคินิตร</t>
  </si>
  <si>
    <t>7452 เจ้าหน้าที่ตรวจรับมอบห้อง</t>
  </si>
  <si>
    <t>naramons@sena.co.th</t>
  </si>
  <si>
    <t>kiranar@sena.co.th</t>
  </si>
  <si>
    <t>Chatchayar@sena.co.th</t>
  </si>
  <si>
    <t>nutthaphony@sena.co.th</t>
  </si>
  <si>
    <t>anuchitb@sena.co.th</t>
  </si>
  <si>
    <t>เสนา วิลเลจ รังสิต / ติวานนท์</t>
  </si>
  <si>
    <t>wirotel@sena.co.th</t>
  </si>
  <si>
    <t>jurairatt@sena.co.th</t>
  </si>
  <si>
    <t>pornthepv@sena.co.th</t>
  </si>
  <si>
    <t>PakpongC@sena.co.th</t>
  </si>
  <si>
    <t>worachap@sena.co.th</t>
  </si>
  <si>
    <t>น.ส.ศรัณย์รัชต์ ปิยะศิริเจริญกุล</t>
  </si>
  <si>
    <t>sarunratp@sena.co.th</t>
  </si>
  <si>
    <t>pitiphats@sena.co.th</t>
  </si>
  <si>
    <t>parichartk@sena.co.th</t>
  </si>
  <si>
    <t>phatthitam@sena.co.th</t>
  </si>
  <si>
    <t>chutikarnw@sena.co.th</t>
  </si>
  <si>
    <t>kunlayaneep@sena.co.th</t>
  </si>
  <si>
    <t>MMS670005</t>
  </si>
  <si>
    <t>น.ส.ปภาวดี เอี่ยมกิจ</t>
  </si>
  <si>
    <t>พนักงานทั่วไป</t>
  </si>
  <si>
    <t>pinyaveet@sena.co.th</t>
  </si>
  <si>
    <t>kraisornp@sena.co.th</t>
  </si>
  <si>
    <t>MMS670053</t>
  </si>
  <si>
    <t>เอมอร วิริยะกุลวัฒน์</t>
  </si>
  <si>
    <t>เสนา วีว่า เทพารักษ์ / บางบ่อ</t>
  </si>
  <si>
    <t>emornw@sena.co.th</t>
  </si>
  <si>
    <t>chormpoonucht@senxgroup.com</t>
  </si>
  <si>
    <t>นายดนัย แย้มกลิ่น</t>
  </si>
  <si>
    <t>danaiy@senxgroup.com</t>
  </si>
  <si>
    <t>thananchakronj@senxgroup.com</t>
  </si>
  <si>
    <t>แผนกหมู่บ้านจัดสรร โครงการ เสนา วิลเลจ สุขุมวิท / แพรกษา</t>
  </si>
  <si>
    <t>tonyd@sena.co.th</t>
  </si>
  <si>
    <t>wimonpunp@sena.co.th</t>
  </si>
  <si>
    <t>นางสาวสุดารัตน์ เชื้อทอง</t>
  </si>
  <si>
    <t>แผนกอาคารชุด เสนาคิทท์ ศรีนครินทร์ / ศรีด่าน</t>
  </si>
  <si>
    <t>sudarutc@senxgroup.com</t>
  </si>
  <si>
    <t>แผนกหมู่บ้านจัดสรร โครงการ เสนา วีว่า วงแหวน / บางบัวทอง</t>
  </si>
  <si>
    <t>surachaik@sena.co.th</t>
  </si>
  <si>
    <t>poovadona@senxgroup.com</t>
  </si>
  <si>
    <t>siriranyap@sena.co.th</t>
  </si>
  <si>
    <t>samsagolp@senxgroup.com</t>
  </si>
  <si>
    <t>เสนา วิลเลจ รัตนาธิเบศร์ / บางบัวทอง</t>
  </si>
  <si>
    <t>witchinis@senxgroup.com</t>
  </si>
  <si>
    <t>แผนกอาคารชุด เดอะคิทท์ พลัส พหลโยธิน/คูคต เฟส 1</t>
  </si>
  <si>
    <t>lindab@senxgroup.com</t>
  </si>
  <si>
    <t>แผนกอาคารชุด แอทโมซ รัชดา / ห้วยขวาง</t>
  </si>
  <si>
    <t>kittipongd@senxgroup.com</t>
  </si>
  <si>
    <t>narvapatsornw@senxgroup.com</t>
  </si>
  <si>
    <t>nathtawank@sena.co.th</t>
  </si>
  <si>
    <t>MMS670071</t>
  </si>
  <si>
    <t>น.ส.เกษมณี ยรรยงค์</t>
  </si>
  <si>
    <t>สำนักงานขาย เสนาคิทท์ เอ็มอาร์ที บางแค</t>
  </si>
  <si>
    <t>katmaneey@sena.co.th</t>
  </si>
  <si>
    <t>areerath@sena.co.th</t>
  </si>
  <si>
    <t>pantiway@sena.co.th</t>
  </si>
  <si>
    <t>hasunk@sena.co.th</t>
  </si>
  <si>
    <t>kanjanab@sena.co.th</t>
  </si>
  <si>
    <t>ฝ่ายบัญชีรับ/ลูกหนี้</t>
  </si>
  <si>
    <t>pireeyas@sena.co.th</t>
  </si>
  <si>
    <t>thananann@sena.co.th</t>
  </si>
  <si>
    <t>piyapanj@sena.co.th</t>
  </si>
  <si>
    <t>kanipkadans@sena.co.th</t>
  </si>
  <si>
    <t>sasirasp@sena.co.th</t>
  </si>
  <si>
    <t>mananyap@sena.co.th</t>
  </si>
  <si>
    <t>ฝ่ายการเงิน</t>
  </si>
  <si>
    <t>kaewmaneek@sena.co.th</t>
  </si>
  <si>
    <t>supitchayad@sena.co.th</t>
  </si>
  <si>
    <t>noppakunec@sena.co.th</t>
  </si>
  <si>
    <t>kumchaiw@sena.co.th</t>
  </si>
  <si>
    <t>แผนกการตลาดโซนวงแหวน / บางบัวทอง / รังสิต / แพรกษา</t>
  </si>
  <si>
    <t>nattapongs@sena.co.th</t>
  </si>
  <si>
    <t>chotirosl@senxgroup.com</t>
  </si>
  <si>
    <t>vinair@sena.co.th</t>
  </si>
  <si>
    <t>ปัจจัยที่ 8 เกษียณอายุ</t>
  </si>
  <si>
    <t>tanchanoks@sena.co.th</t>
  </si>
  <si>
    <t>niponk@senxgroup.com</t>
  </si>
  <si>
    <t>นายธรรณปกร พิชิ</t>
  </si>
  <si>
    <t>tanpakornp@senxgroup.com</t>
  </si>
  <si>
    <t>situchd@senxgroup.com</t>
  </si>
  <si>
    <t>นางสาวศศิชา วงศ์สุนันท์</t>
  </si>
  <si>
    <t>sasichaw@sena.co.th</t>
  </si>
  <si>
    <t>jinattat@senxgroup.com</t>
  </si>
  <si>
    <t>นางสาวปภากร มณีรัตน์</t>
  </si>
  <si>
    <t>papakornm@senxgroup.com</t>
  </si>
  <si>
    <t>นายกษิเดช ชัชวาลกิจกุล</t>
  </si>
  <si>
    <t>kasidachc@senxgroup.com</t>
  </si>
  <si>
    <t>นางสาวศรสวรรค์ มะลิวรรณ</t>
  </si>
  <si>
    <t>sornsawans@senxgroup.com</t>
  </si>
  <si>
    <t>แผนกอาคารชุด เดอะคิทท์ พลัส พหลโยธิน/คูคต เฟส 2</t>
  </si>
  <si>
    <t>supachaic@sena.co.th</t>
  </si>
  <si>
    <t>butsitay@sena.co.th</t>
  </si>
  <si>
    <t>sudanunk@senxgroup.com</t>
  </si>
  <si>
    <t>นายวิกิจการ ทองบันเทิง</t>
  </si>
  <si>
    <t>ฝ่ายออกแบบ</t>
  </si>
  <si>
    <t>wikitkarnt@senxgroup.com</t>
  </si>
  <si>
    <t>BK640068</t>
  </si>
  <si>
    <t>nannaphatc@sena.co.th</t>
  </si>
  <si>
    <t>นายปรีชา ศุภปีติพร</t>
  </si>
  <si>
    <t>สายงานตัวแทนขายและให้เช่าทั่วไป</t>
  </si>
  <si>
    <t>prechas@senxgroup.com</t>
  </si>
  <si>
    <t>แผนกขายและให้เช่าทรัพย์สินทั่วไป</t>
  </si>
  <si>
    <t>thitapas@acuterealty.com</t>
  </si>
  <si>
    <t>petcharat@acuterealty.com</t>
  </si>
  <si>
    <t>sales.co@acuterealty.com</t>
  </si>
  <si>
    <t>juthamas@acuterealty.com</t>
  </si>
  <si>
    <t>ratchakrit@acuterealty.com</t>
  </si>
  <si>
    <t>MMS660198</t>
  </si>
  <si>
    <t>น.ส.รัตนวดี อารีย์วัฒนพงษ์</t>
  </si>
  <si>
    <t>rattanawadeea@sena.co.th</t>
  </si>
  <si>
    <t>SSG670006</t>
  </si>
  <si>
    <t>นายคณิติน หงษ์ทอง</t>
  </si>
  <si>
    <t>kanitinh@senasolarenergy.com</t>
  </si>
  <si>
    <t>SSG670004</t>
  </si>
  <si>
    <t>นางสาวพรพิมล รางแดง</t>
  </si>
  <si>
    <t>pornpimonr@senasolarenergy.com</t>
  </si>
  <si>
    <t>SSG670003</t>
  </si>
  <si>
    <t>นายนที เมืองทอง</t>
  </si>
  <si>
    <t>แผนกออกแบบ</t>
  </si>
  <si>
    <t>nateem@senasolarenergy.com</t>
  </si>
  <si>
    <t>SSG620007</t>
  </si>
  <si>
    <t>นางสาวบุษกร ศรีอนันตคม</t>
  </si>
  <si>
    <t>แผนก Warehouse &amp; Logistics</t>
  </si>
  <si>
    <t>Busakorn@senasolarenergy.com</t>
  </si>
  <si>
    <t>SSG670001</t>
  </si>
  <si>
    <t>นายปริญญา พุกพูล</t>
  </si>
  <si>
    <t>parinyap@senasolarenergy.com</t>
  </si>
  <si>
    <t>SSG660003</t>
  </si>
  <si>
    <t>นางสาวนารี เลิศสกุล</t>
  </si>
  <si>
    <t>nareel@senasolarenergy.com</t>
  </si>
  <si>
    <t>patnarinm@sena.co.th</t>
  </si>
  <si>
    <t>somyott@sena.co.th</t>
  </si>
  <si>
    <t>SSG670008</t>
  </si>
  <si>
    <t>นายชิตพล สมบูรณ์</t>
  </si>
  <si>
    <t>chittapols@senasolarenergy.com</t>
  </si>
  <si>
    <t>SSG670011</t>
  </si>
  <si>
    <t>นายธนวัฒน์ ครุฑใจกล้า</t>
  </si>
  <si>
    <t>thanawatk@senasolarenergy.com</t>
  </si>
  <si>
    <t>aekkaphol@eightsolar.com</t>
  </si>
  <si>
    <t>MMS670074</t>
  </si>
  <si>
    <t>น.ส.นภัชชา ไร่ใหญ่</t>
  </si>
  <si>
    <t>สำนักงานขาย เสนา คิทท์ รังสิต / คลอง 4</t>
  </si>
  <si>
    <t>MMS650118</t>
  </si>
  <si>
    <t>นายไพฑูลย์ กิจจันทึก</t>
  </si>
  <si>
    <t>paitoonk@sena.co.th</t>
  </si>
  <si>
    <t>นายวรวิทย์ บุตรมี</t>
  </si>
  <si>
    <t>voravitb@sena.co.th</t>
  </si>
  <si>
    <t>bunditp@sena.co.th</t>
  </si>
  <si>
    <t>natthawutn@sena.co.th</t>
  </si>
  <si>
    <t>Amnadp@sena.co.th</t>
  </si>
  <si>
    <t>ฝ่ายสินเชื่อ</t>
  </si>
  <si>
    <t>yuvaratc@sena.co.th</t>
  </si>
  <si>
    <t>MMS670035</t>
  </si>
  <si>
    <t>peeradaw@sena.co.th</t>
  </si>
  <si>
    <t>nattayani@sena.co.th</t>
  </si>
  <si>
    <t>น.ส.ธนาภรณ์ แสนคำภูมิ</t>
  </si>
  <si>
    <t>thanapornsn@sena.co.th</t>
  </si>
  <si>
    <t>Ronasitw@sena.co.th</t>
  </si>
  <si>
    <t>sairikhwans@senxgroup.com</t>
  </si>
  <si>
    <t>นางสาวฐิดายุ อดิสุวรรณ</t>
  </si>
  <si>
    <t>thidayua@senxgroup.com</t>
  </si>
  <si>
    <t>นาวสาวศศวรรณธรณ์ เวทพิสัย</t>
  </si>
  <si>
    <t>sasawnatornw@senxgroup.com</t>
  </si>
  <si>
    <t>nattaphatw@senasolarenergy.com</t>
  </si>
  <si>
    <t>SSG640004</t>
  </si>
  <si>
    <t>นายทรงเกียรติ ภัคสกุล</t>
  </si>
  <si>
    <t>Songkiat@senasolarenergy.com</t>
  </si>
  <si>
    <t>นางสาวนฤมล ลลิตวงศ์อุดม</t>
  </si>
  <si>
    <t>narulmonl@sena.co.th</t>
  </si>
  <si>
    <t>นางสาวนันท์นภัส ชุมทอง</t>
  </si>
  <si>
    <t>Nannapatc@sena.co.th</t>
  </si>
  <si>
    <t>นางสาวทิพย์ประภา อุดรศรี</t>
  </si>
  <si>
    <t>thanwaroth@sena.co.th</t>
  </si>
  <si>
    <t>aeksitt@sena.co.th</t>
  </si>
  <si>
    <t>MMS650478</t>
  </si>
  <si>
    <t>นายณัฐพล กลิ่นศรีสุข</t>
  </si>
  <si>
    <t>natthapholk@sena.co.th</t>
  </si>
  <si>
    <t>vacharapanb@senaidea.com</t>
  </si>
  <si>
    <t>SGA670017</t>
  </si>
  <si>
    <t>นางสาวรุ่งทิวา รอดกำแหง</t>
  </si>
  <si>
    <t>rungtivar@senasolarenergy.com</t>
  </si>
  <si>
    <t>isarak@sena.co.th</t>
  </si>
  <si>
    <t>punyaweep@sena.co.th</t>
  </si>
  <si>
    <t>kanokwanw@sena.co.th</t>
  </si>
  <si>
    <t>pimployk@sena.co.th</t>
  </si>
  <si>
    <t>นางสาวจินต์จุฑา ปรางค์ชัยเวศม์</t>
  </si>
  <si>
    <t>ฝ่าย Premium house Ekkamai</t>
  </si>
  <si>
    <t>jinchuthap@senxgroup.com</t>
  </si>
  <si>
    <t>พนักงานสโตร์</t>
  </si>
  <si>
    <t>Phatthalapac@sena.co.th</t>
  </si>
  <si>
    <t>MMS650140</t>
  </si>
  <si>
    <t>นายสมหวัง สร้อยพูล</t>
  </si>
  <si>
    <t>ฝ่ายบริหารโครงการคอนโด 11B</t>
  </si>
  <si>
    <t>somwangs@sena.co.th</t>
  </si>
  <si>
    <t>นายณรงค์เดช วิเชียรชัย</t>
  </si>
  <si>
    <t>narongdechw@senxgroup.com</t>
  </si>
  <si>
    <t>นายณรงค์ฤทธิ์ สัมพุทธานนท์</t>
  </si>
  <si>
    <t>เสนา วีว่า ศรีราชา / อัสสัมชัญ</t>
  </si>
  <si>
    <t>narongrits@senxgroup.com</t>
  </si>
  <si>
    <t>MMS670075</t>
  </si>
  <si>
    <t>น.ส.อนิตา เสือหนู</t>
  </si>
  <si>
    <t>anitas@sena.co.th</t>
  </si>
  <si>
    <t>wiriyat@sena.co.th</t>
  </si>
  <si>
    <t>Chontichas@sena.co.th</t>
  </si>
  <si>
    <t>นายศุภกิจ เทศโมลี</t>
  </si>
  <si>
    <t>supakitt@senxgroup.com</t>
  </si>
  <si>
    <t>VMS670350</t>
  </si>
  <si>
    <t>นางสาวสุภาภรณ์ ก๋องแก้ว</t>
  </si>
  <si>
    <t>แผนกอาคารชุด เฟล็กซี่ สาทร/เจริญนคร เฟส 2</t>
  </si>
  <si>
    <t>supapornko@senxgroup.com</t>
  </si>
  <si>
    <t>นายวิศิษฐ์ อิสสระพงศ์</t>
  </si>
  <si>
    <t>wisiti@senxgroup.com</t>
  </si>
  <si>
    <t>นางสาวลลิตญาดา ชุ่มชื่น</t>
  </si>
  <si>
    <t>lalityadac@senxgroup.com</t>
  </si>
  <si>
    <t>นายสุรวุฒิ กลีบผึ้ง</t>
  </si>
  <si>
    <t>แผนกอาคารชุด เสนาคิทท์ รัตนาธิเบศร์/บางบัวทอง</t>
  </si>
  <si>
    <t>surawutk@senxgroup.com</t>
  </si>
  <si>
    <t>นางสาวอรอุมา มาลี</t>
  </si>
  <si>
    <t>onumam@senxgroup.com</t>
  </si>
  <si>
    <t>นางสาวจารุณี มาลี</t>
  </si>
  <si>
    <t>jaruneem@senxgroup.com</t>
  </si>
  <si>
    <t>นายภาสวุฒิ อิศรางกูร ณ อยุธยา</t>
  </si>
  <si>
    <t>passawuti@senxgroup.com</t>
  </si>
  <si>
    <t>suwimons@sena.co.th</t>
  </si>
  <si>
    <t>atirojc@senaidea.com</t>
  </si>
  <si>
    <t>นายไพศาล ลยมานุมาน</t>
  </si>
  <si>
    <t>paisall@sena.co.th</t>
  </si>
  <si>
    <t>tassaneewans@sena.co.th</t>
  </si>
  <si>
    <r>
      <rPr>
        <rFont val="Cordia New"/>
        <color rgb="FF1155CC"/>
        <sz val="14.0"/>
        <u/>
      </rPr>
      <t>nattapornj@sena.co.th</t>
    </r>
  </si>
  <si>
    <t>นายเพรียวพันธ์ เทียนยวง</t>
  </si>
  <si>
    <t>Peawphant@sena.co.th</t>
  </si>
  <si>
    <t>BK670064</t>
  </si>
  <si>
    <t>warapans@sena.co.th</t>
  </si>
  <si>
    <t>pundarew@sena.co.th</t>
  </si>
  <si>
    <t>นางสาวจุฑามาศ ดวงใจ</t>
  </si>
  <si>
    <t>โครงการ เสนา เวล่า รัตนาธิเบศร์/บางบัวทอง</t>
  </si>
  <si>
    <t>jutamasd@senxgroup.com</t>
  </si>
  <si>
    <t>นางสาววริฏฐา จันทนพิศาล</t>
  </si>
  <si>
    <t>สายงาน Brand Communication</t>
  </si>
  <si>
    <t>waritthaj@senxgroup.com</t>
  </si>
  <si>
    <t>MMS670048</t>
  </si>
  <si>
    <t>5402 ผู้ช่วยหัวหน้าการตลาด</t>
  </si>
  <si>
    <t>kanokpornp@sena.co.th</t>
  </si>
  <si>
    <t>phusanap@sena.co.th</t>
  </si>
  <si>
    <t>kodchapornp@sena.co.th</t>
  </si>
  <si>
    <t>katareyas@sena.co.th</t>
  </si>
  <si>
    <t>suphanuchw@sena.co.th</t>
  </si>
  <si>
    <t>นายทศเทพ สุขตะโก</t>
  </si>
  <si>
    <t>totsatheps@sena.co.th</t>
  </si>
  <si>
    <t>wittayam@senxgroup.com</t>
  </si>
  <si>
    <t>Phaktraw@sena.co.th</t>
  </si>
  <si>
    <t>นางสาวณัฐญา เผ่าเสริม</t>
  </si>
  <si>
    <t>แผนกธุรการ อาคารศูนย์การค้าเสนาเฟสท์</t>
  </si>
  <si>
    <t>nattayap@senxgroup.com</t>
  </si>
  <si>
    <t>taweepi@sena.co.th</t>
  </si>
  <si>
    <t>นางสาวปุณญภัส พุ่มกลิ่น</t>
  </si>
  <si>
    <t>เสนา วิลเลจ สุขุมวิท / แพรกษา</t>
  </si>
  <si>
    <t>punyaphatp@senxgroup.com</t>
  </si>
  <si>
    <t>นางสาวพัชร์ชยนันต์ วรามิตร</t>
  </si>
  <si>
    <t>ฝ่ายขายบ้าน 1F (โซนบางปะกงสิริ / บ้านโพธิ์ / สิริโสธร)</t>
  </si>
  <si>
    <t>phatchayananw@senxgroup.com</t>
  </si>
  <si>
    <t>นางสาวธนาภรณ์ เกียรติยศนุสรณ์</t>
  </si>
  <si>
    <t>thanapornk@senxgroup.com</t>
  </si>
  <si>
    <t>bhassakornr@sena.co.th</t>
  </si>
  <si>
    <t>นางสาววิไลลักษณ์ อินทพัด</t>
  </si>
  <si>
    <t>สายงานทรัพยากรบุคคล</t>
  </si>
  <si>
    <t>vilailaki@senxgroup.com</t>
  </si>
  <si>
    <t>นางสาวกมลวรรณ ปรุงผล</t>
  </si>
  <si>
    <t>kamonwanp@senxgroup.com</t>
  </si>
  <si>
    <t>นางสาวหฤทัย เสือสา</t>
  </si>
  <si>
    <t>haruthais@senxgroup.com</t>
  </si>
  <si>
    <t>นายภาณุพันธ์ ทองสกุล</t>
  </si>
  <si>
    <t>สายงานบริหารอาคารการค้า</t>
  </si>
  <si>
    <t>panupant@senxgroup.com</t>
  </si>
  <si>
    <t>เสนา พาร์ค แกรนด์ รามอินทรา เฟส 2</t>
  </si>
  <si>
    <t>tongchaik@sena.co.th</t>
  </si>
  <si>
    <t>นางสาวปรียาภา เสมาชัย</t>
  </si>
  <si>
    <t>preeyapas@senxgroup.com</t>
  </si>
  <si>
    <t>นายวิทวัส สุพร</t>
  </si>
  <si>
    <t>แผนกอาคารชุด เสนาคิทท์ เอ็มอาร์ที บางแค เฟส 1 / 2</t>
  </si>
  <si>
    <t>wittawats@senxgroup.com</t>
  </si>
  <si>
    <t>นายวัชร เจริญกิจพิมล</t>
  </si>
  <si>
    <t>watcharac@senxgroup.com</t>
  </si>
  <si>
    <t>นางสาวเสาวลักษณ์ ศรีแสง</t>
  </si>
  <si>
    <t>saowalaks@senxgroup.com</t>
  </si>
  <si>
    <t>นางสาวทิพย์ผกา งามมั่ง</t>
  </si>
  <si>
    <t>tippakan@senxgroup.com</t>
  </si>
  <si>
    <t>นางสาวจิรัชยา ชารีวาล</t>
  </si>
  <si>
    <t>แผนกหมู่บ้านจัดสรร โครงการ เสนา เวล่า เทพารักษ์ / บางบ่อ</t>
  </si>
  <si>
    <t>jirachayac@senxgroup.com</t>
  </si>
  <si>
    <t>นางสาวฐิตารัตน์ สิริรุ่งธนบูลย์</t>
  </si>
  <si>
    <t>thitarrats@senxgroup.com</t>
  </si>
  <si>
    <t>นางสาวศุภากร มะพรรณ์</t>
  </si>
  <si>
    <t>supakornm@senxgroup.com</t>
  </si>
  <si>
    <t>นายวรยุทธ สดชื่น</t>
  </si>
  <si>
    <t>varayoots@senxgroup.com</t>
  </si>
  <si>
    <t>นางสาวลีลาวดี จันทร์เหลี่ยม</t>
  </si>
  <si>
    <t>แผนกอาคารชุด เบลกราเวียร์ เรสซิเด้นซ์</t>
  </si>
  <si>
    <t>lilawadic@senxgroup.com</t>
  </si>
  <si>
    <t>นางสาวกุลธิดา ทองเพิ่ม</t>
  </si>
  <si>
    <t>kuntidat@senxgroup.com</t>
  </si>
  <si>
    <t>นางสาวศิริพรรณ แก้วคำ</t>
  </si>
  <si>
    <t>siripank@senxgroup.com</t>
  </si>
  <si>
    <t>poonnapas@senasolarenergy.com</t>
  </si>
  <si>
    <t>นายวันเฉลิม สังวาลย์ทอง</t>
  </si>
  <si>
    <t>wanchalerms@senxgroup.com</t>
  </si>
  <si>
    <t>นายธนพงษ์ แก้วดวง</t>
  </si>
  <si>
    <t>tanapongk@senxgroup.com</t>
  </si>
  <si>
    <t>นายนภาวุฒิ รุ่งเรืองศรี</t>
  </si>
  <si>
    <t>แผนกอาคารชุด เสนา อีโค่ ทาวน์ รังสิต/บางพูน</t>
  </si>
  <si>
    <t>napavutr@senxgroup.com</t>
  </si>
  <si>
    <t>นางสาวนุจนา คำมาก</t>
  </si>
  <si>
    <t>แผนกอาคารชุด เสนาคิทท์ เพชรเกษม/พุทธมณฑล สาย 7 อาคารเอ บี ซี</t>
  </si>
  <si>
    <t>nuchanak@senxgroup.com</t>
  </si>
  <si>
    <t>นางสาวชนาภรณ์ เคาเลิศ</t>
  </si>
  <si>
    <t>แผนกอาคารชุด เสนาคิทท์ บางนา/กม.29</t>
  </si>
  <si>
    <t>chanapornk@senxgroup.com</t>
  </si>
  <si>
    <t>นางสาวสุธิษา นกรอด</t>
  </si>
  <si>
    <t>sutisan@senxgroup.com</t>
  </si>
  <si>
    <t>นางสุพินท์ มีชูชีพ</t>
  </si>
  <si>
    <t>กลุ่มงานประธานเจ้าหน้าที่บริหาร (SENX)</t>
  </si>
  <si>
    <t>suphinm@senxgroup.com</t>
  </si>
  <si>
    <t>นางสาวลัขณา ลัชชานันท์</t>
  </si>
  <si>
    <t>lakanal@senxgroup.com</t>
  </si>
  <si>
    <t>นายณรงค์ ใจเสริฐ</t>
  </si>
  <si>
    <t>narongj@senxgroup.com</t>
  </si>
  <si>
    <t>นายอลงกต บุญเกิด</t>
  </si>
  <si>
    <t>alongkodb@senxgroup.com</t>
  </si>
  <si>
    <t>นายคนินท์ บุญสนอง</t>
  </si>
  <si>
    <t>kaninb@senxgroup.com</t>
  </si>
  <si>
    <t>นายมงคล องคไทร</t>
  </si>
  <si>
    <t>mongkolo@senxgroup.com</t>
  </si>
  <si>
    <t>panrassornc@sena.co.th</t>
  </si>
  <si>
    <t>sanrawatr@sena.co.th</t>
  </si>
  <si>
    <t>songsakk@sena.co.th</t>
  </si>
  <si>
    <t>thitipoll@sena.co.th</t>
  </si>
  <si>
    <t>นางกมลพร ปรัชญาธนกุล</t>
  </si>
  <si>
    <t>kamolpornp@senxgroup.com</t>
  </si>
  <si>
    <t>นางสาวจีรประภา วสุธาร</t>
  </si>
  <si>
    <t>jeeraprapav@senxgroup.com</t>
  </si>
  <si>
    <t>นางสาวธัญญา เรืองกลั่น</t>
  </si>
  <si>
    <t>thanyar@senxgroup.com</t>
  </si>
  <si>
    <t>นางแจ็คกี้ แอน มานาโก เกียรติ์มนตรี</t>
  </si>
  <si>
    <t>jackieannemanagok@senxgroup.com</t>
  </si>
  <si>
    <t>นายภัทรวัจน์ พัชรจินดาวงศ์</t>
  </si>
  <si>
    <t>เสนา วิลเลจ วงแหวน / บางบัวทอง</t>
  </si>
  <si>
    <t>pattarawatp@senxgroup.com</t>
  </si>
  <si>
    <t>นางสาวอัจจิมา โลหะประภากุล</t>
  </si>
  <si>
    <t>แผนก Re/Sales</t>
  </si>
  <si>
    <t>atjimal@senxgroup.com</t>
  </si>
  <si>
    <t>chamaipornk@sena.co.th</t>
  </si>
  <si>
    <t>นายสุริยา หรดี</t>
  </si>
  <si>
    <t>suriyah@Senxgroup.com</t>
  </si>
  <si>
    <t>นางสาวนัฐวรรณ จั่นเปี่ยม</t>
  </si>
  <si>
    <t>natthawanc@senxgroup.com</t>
  </si>
  <si>
    <t>นายวนัส ใช้ปัญญา</t>
  </si>
  <si>
    <t>vanasc@senxgroup.com</t>
  </si>
  <si>
    <t>นางสาวพัชรียา ปรีชาพงษ์</t>
  </si>
  <si>
    <t>แผนกอาคารชุด เสนาคิทท์ ฉลองกรุง/ลาดกระบัง เฟส 1 / 2</t>
  </si>
  <si>
    <t>pachariyap@senxgroup.com</t>
  </si>
  <si>
    <t>นายชัยราวิน เสียงล้ำ</t>
  </si>
  <si>
    <t>chairawins@senxgroup.com</t>
  </si>
  <si>
    <t>pongsapak.a@senasolarenergy.com</t>
  </si>
  <si>
    <t>นางสาวชนิตา ม่วงพรวน</t>
  </si>
  <si>
    <t>chanitam@senxgroup.com</t>
  </si>
  <si>
    <t>นายพรพิพัฒน์ พูลขำ</t>
  </si>
  <si>
    <t>ponpipatp@senxgroup.com</t>
  </si>
  <si>
    <t>นางสาวเมธาวี ภาสินีพิทักษ์กุล</t>
  </si>
  <si>
    <t>methaawip@senxgroup.com</t>
  </si>
  <si>
    <t>นางสาวศศวัน จิรผาตินาถ</t>
  </si>
  <si>
    <t>แผนกอาคารชุด บ้านแสงจันทร์ คอนโดมิเนียม</t>
  </si>
  <si>
    <t>sasawanj@senxgroup.com</t>
  </si>
  <si>
    <t>นางสาวภัทรวดี ทองเดช</t>
  </si>
  <si>
    <t>pattarawadeet@senxgroup.com</t>
  </si>
  <si>
    <t>BK670078</t>
  </si>
  <si>
    <t>นายรัชวุฒิ พิชยาพันธ์</t>
  </si>
  <si>
    <t>กลุ่มดิจิทัล</t>
  </si>
  <si>
    <t>ruchvuthp@senxgroup.com</t>
  </si>
  <si>
    <t>jiraphatr@sena.co.th</t>
  </si>
  <si>
    <t>นางสาวพัทธนันท์ แสงสกุลโรจน์</t>
  </si>
  <si>
    <t>ฝ่ายขายบ้าน 1E (โซนวงแหวน / บางบัวทอง)</t>
  </si>
  <si>
    <t>phatthanans@senxgroup.com</t>
  </si>
  <si>
    <t>sirinrutm@sena.co.th</t>
  </si>
  <si>
    <t>kochaniphal@sena.co.th</t>
  </si>
  <si>
    <t>นายทวีชัย ทิพย์แก้ว</t>
  </si>
  <si>
    <t>taweechait@senxgroup.com</t>
  </si>
  <si>
    <t>นายพงศกร ภูมิเรศสุนทร</t>
  </si>
  <si>
    <t>แผนกสรรหาและคัดเลือก</t>
  </si>
  <si>
    <t>pongsakornp@senxgroup.com</t>
  </si>
  <si>
    <t>santis@senasolarenergy.com</t>
  </si>
  <si>
    <t>kittiyam@sena.co.th</t>
  </si>
  <si>
    <t>chutimas@senasolarenergy.com</t>
  </si>
  <si>
    <t>kunawuts@senasolarenergy.com</t>
  </si>
  <si>
    <t>sutipongt@sena.co.th</t>
  </si>
  <si>
    <t>sarudaj@sena.co.th</t>
  </si>
  <si>
    <t>naruemonc@sena.co.th</t>
  </si>
  <si>
    <t>Phakphump@sena.co.th</t>
  </si>
  <si>
    <t>sirapaphak@sena.co.th</t>
  </si>
  <si>
    <t>anusornp@sena.co.th</t>
  </si>
  <si>
    <t>chanyap@sena.co.th</t>
  </si>
  <si>
    <t>นายพีระศักดิ์ ทรัพย์ทองคำ</t>
  </si>
  <si>
    <t>peerasuks@senxgroup.com</t>
  </si>
  <si>
    <t>นางสาวธัญรัตน์ ประสพ</t>
  </si>
  <si>
    <t>thanyaratp@senxgroup.com</t>
  </si>
  <si>
    <t>นางสาวอัจฉรี ปุณณะหิตานนท์</t>
  </si>
  <si>
    <t>ฝ่าย Re/Sales</t>
  </si>
  <si>
    <t>archareep@senxgroup.com</t>
  </si>
  <si>
    <t>นางสาวจิราพร เรณุนันทน์ ณ อยุธยา</t>
  </si>
  <si>
    <t>jirapornr@senxgroup.com</t>
  </si>
  <si>
    <t>นางสาวพยัตติกา ประทุมพงษ์</t>
  </si>
  <si>
    <t>payattikap@senxgroup.com</t>
  </si>
  <si>
    <t>นายจิรายุทธ เสนาช่วย</t>
  </si>
  <si>
    <t>jirayuts@senxgroup.com</t>
  </si>
  <si>
    <t>นายศราวุธ นุชนวล</t>
  </si>
  <si>
    <t>sarawutn@senxgroup.com</t>
  </si>
  <si>
    <t>นางสาวขวัญกมล วิเศษ</t>
  </si>
  <si>
    <t>เสนา เวล่า รัตนาธิเบศร์ / บางบัวทอง</t>
  </si>
  <si>
    <t>khwankamonw@senxgroup.com</t>
  </si>
  <si>
    <t>chatuphums@senxgroup.com</t>
  </si>
  <si>
    <t>นายธนะชัย กงชา</t>
  </si>
  <si>
    <t>tanachaik@senxgroup.com</t>
  </si>
  <si>
    <t>นางสาวณัฐฌา นาเมืองรักษ์</t>
  </si>
  <si>
    <t>แผนกอาคารชุด ศุภาลัย ลอฟท์ แจ้งวัฒนะ</t>
  </si>
  <si>
    <t>natchan@senxgroup.com</t>
  </si>
  <si>
    <t>นายภัทรพล คำปาโน</t>
  </si>
  <si>
    <t>pattharaphonk@senxgroup.com</t>
  </si>
  <si>
    <t>นายไพโรจน์ สนามแจง</t>
  </si>
  <si>
    <t>แผนกอาคารชุด เดอะคิทท์ รังสิต/ติวานนท์</t>
  </si>
  <si>
    <t>phairots@senxgroup.com</t>
  </si>
  <si>
    <t>สำนักงานขาย เสนา แกรนด์ โฮม รังสิต / ติวานนท์</t>
  </si>
  <si>
    <t>kusumas@sena.co.th</t>
  </si>
  <si>
    <t>Anusornc@sena.co.th</t>
  </si>
  <si>
    <t>anurakc@senasolarenergy.com</t>
  </si>
  <si>
    <t>นางสาวธารารัตน์ บุญรักษา</t>
  </si>
  <si>
    <t>thararatb@senxgroup.com</t>
  </si>
  <si>
    <t>นางสาวพรทิพย์ กุลสอน</t>
  </si>
  <si>
    <t>porntipk@senxgroup.com</t>
  </si>
  <si>
    <t>kanlayat@sena.co.th</t>
  </si>
  <si>
    <t>นางสาวนัคมน ยังจีน</t>
  </si>
  <si>
    <t>nakkamony@senxgroup.com</t>
  </si>
  <si>
    <t>นางสาวอรรัชตา บุสุวะ</t>
  </si>
  <si>
    <t>ornrattab@senxgroup.com</t>
  </si>
  <si>
    <t>นางสาวสิรินภา สีขุนทด</t>
  </si>
  <si>
    <t>sirinaohas@senxgroup.com</t>
  </si>
  <si>
    <t>นายวรัญญู นาเจริญ</t>
  </si>
  <si>
    <t>แผนกอาคารชุด นิช ไอดี แอท ปากเกร็ด สเตชั่น</t>
  </si>
  <si>
    <t>waranyun@senxgroup.com</t>
  </si>
  <si>
    <t>นางสาวสินจัย ดงไมตรี</t>
  </si>
  <si>
    <t>sinjaid@senxgroup.com</t>
  </si>
  <si>
    <t>นายภีรพล อินตาพวง</t>
  </si>
  <si>
    <t>peeraponi@senxgroup.com</t>
  </si>
  <si>
    <t>pensiriw@sena.co.th</t>
  </si>
  <si>
    <t>นางสาวธิดารัตน์ ลิ่มจู้หมึง</t>
  </si>
  <si>
    <t>tidaratl@senxgroup.com</t>
  </si>
  <si>
    <t>surasaka@sena.co.th</t>
  </si>
  <si>
    <t>นางสาวพณิชญา พองชัยภูมิ</t>
  </si>
  <si>
    <t>แผนกอาคารชุด บ้านร่วมทางฝัน 4</t>
  </si>
  <si>
    <t>panichayap@senxgroup.com</t>
  </si>
  <si>
    <t>นายธนากร ขันทอง</t>
  </si>
  <si>
    <t>tanakornk@senxgroup.com</t>
  </si>
  <si>
    <r>
      <rPr>
        <rFont val="Cordia New"/>
        <color rgb="FF1155CC"/>
        <sz val="14.0"/>
        <u/>
      </rPr>
      <t>pasakulp@senasolarenergy.com</t>
    </r>
  </si>
  <si>
    <t>น.ส.ธนาภา ปาเป็ง</t>
  </si>
  <si>
    <t>thanapap@sena.co.th</t>
  </si>
  <si>
    <t>sirisaks@senxgroup.com</t>
  </si>
  <si>
    <t>สายงานบริหารอาคารที่อยู่อาศัย (NON SENA)</t>
  </si>
  <si>
    <t>chanidam@senxgroup.com</t>
  </si>
  <si>
    <t>naphatk@senxgroup.com</t>
  </si>
  <si>
    <t>songsakv@senxgroup.com</t>
  </si>
  <si>
    <t>pradits@senxgroup.com</t>
  </si>
  <si>
    <t>korapats@senxgroup.com</t>
  </si>
  <si>
    <t>ifrona@senxgroup.com</t>
  </si>
  <si>
    <t>keeratir@senxgroup.com</t>
  </si>
  <si>
    <t>patthamak@senxgroup.com</t>
  </si>
  <si>
    <t>karnthimars@senxgroup.com</t>
  </si>
  <si>
    <t>Rungtipn@sena.co.th</t>
  </si>
  <si>
    <t>Thippawana@sena.co.th</t>
  </si>
  <si>
    <t>aphichatn@senxgroup.com</t>
  </si>
  <si>
    <t>watchiraw@sena.co.th</t>
  </si>
  <si>
    <t>sureepornp@sena.co.th</t>
  </si>
  <si>
    <t>patcharaporns@senxgroup.com</t>
  </si>
  <si>
    <t>maythanant@senxgroup.com</t>
  </si>
  <si>
    <t>rosemeeneeb@senxgroup.com</t>
  </si>
  <si>
    <t>minrayas@sena.co.th</t>
  </si>
  <si>
    <t>arnona@senxgroup.com</t>
  </si>
  <si>
    <t>kietn@sena.co.th</t>
  </si>
  <si>
    <t>teerapongw@senxgroup.com</t>
  </si>
  <si>
    <t>nunthisakk@senxgroup.com</t>
  </si>
  <si>
    <t>tanawanc@senxgroup.com</t>
  </si>
  <si>
    <t>janejirap@senxgroup.com</t>
  </si>
  <si>
    <t>hathairatn@senxgroup.com</t>
  </si>
  <si>
    <t>prissanac@senxgroup.com</t>
  </si>
  <si>
    <t>chantipc@senxgroup.com</t>
  </si>
  <si>
    <t>narustakonk@senxgroup.com</t>
  </si>
  <si>
    <t>phunthips@sena.co.th</t>
  </si>
  <si>
    <t>มรณะ</t>
  </si>
  <si>
    <t>yositat@senxgroup.com</t>
  </si>
  <si>
    <t>nantapatc@senxgroup.com</t>
  </si>
  <si>
    <t>arphachanokp@senxgroup.com</t>
  </si>
  <si>
    <t>khomchanl@senxgroup.com</t>
  </si>
  <si>
    <t>phongnachaip@senxgroup.com</t>
  </si>
  <si>
    <t>darakula@senxgroup.com</t>
  </si>
  <si>
    <t>pattareeyau@senxgroup.com</t>
  </si>
  <si>
    <t>phattaraporna@senxgroup.com</t>
  </si>
  <si>
    <t>narawath@senxgroup.com</t>
  </si>
  <si>
    <t>sittinonc@senxgroup.com</t>
  </si>
  <si>
    <t>papachayak@sena.co.th</t>
  </si>
  <si>
    <t>thatsanais@senasolarenergy.com</t>
  </si>
  <si>
    <t>prachayakornc@sena.co.th</t>
  </si>
  <si>
    <t>MMS670090</t>
  </si>
  <si>
    <t>น.ส.ชนากานต์ ไพโรจน์ปฐมชัย</t>
  </si>
  <si>
    <t>แผนกการตลาดคอนโด 1</t>
  </si>
  <si>
    <t>chanakanp@sena.co.th</t>
  </si>
  <si>
    <t>peeranutt@senxgroup.com</t>
  </si>
  <si>
    <t>pen-eakp@senxgroup.com</t>
  </si>
  <si>
    <t>pornmaneej@senxgroup.com</t>
  </si>
  <si>
    <t>pannees@senxgroup.com</t>
  </si>
  <si>
    <t>VMS670283</t>
  </si>
  <si>
    <t>นางสาวสุวรรณา พันทา</t>
  </si>
  <si>
    <t>8654 แม่บ้านสำนักงาน</t>
  </si>
  <si>
    <t xml:space="preserve">แผนกสนับสนุนทั่วไป  </t>
  </si>
  <si>
    <t>suwannap@senxgroup.com</t>
  </si>
  <si>
    <t>BK680255</t>
  </si>
  <si>
    <t>supachaie@sena.co.th</t>
  </si>
  <si>
    <t>chattham@senxgroup.com</t>
  </si>
  <si>
    <t>kittipongp@senxgroup.com</t>
  </si>
  <si>
    <t>suphamash@sena.co.th</t>
  </si>
  <si>
    <t>tanawitp@senxgroup.com</t>
  </si>
  <si>
    <t>pubeaths@senxgroup.com</t>
  </si>
  <si>
    <t>khuntongs@senxgroup.com</t>
  </si>
  <si>
    <t>chalitars@senxgroup.com</t>
  </si>
  <si>
    <t>thanawatk@senxgroup.com</t>
  </si>
  <si>
    <t>suppachail@senxgroup.com</t>
  </si>
  <si>
    <t>BK680258</t>
  </si>
  <si>
    <t xml:space="preserve"> 4401 หัวหน้างานขายและสินเชื่อ </t>
  </si>
  <si>
    <t>phannapongw@sena.co.th</t>
  </si>
  <si>
    <t>MMS650549</t>
  </si>
  <si>
    <t>นสวัสดิ์ายธวัชชัย ทวีถาวร</t>
  </si>
  <si>
    <t>tavatchait@sena.co.th</t>
  </si>
  <si>
    <t>kitsadal@senxgroup.com</t>
  </si>
  <si>
    <t>saksant@senxgroup.com</t>
  </si>
  <si>
    <t>bhuritaa@senxgroup.com</t>
  </si>
  <si>
    <t>rungphetc@sena.co.th</t>
  </si>
  <si>
    <t>werasuy@senxgroup.com</t>
  </si>
  <si>
    <t>kantamaneeb@senxgroup.com</t>
  </si>
  <si>
    <t>chinnaphats@senxgroup.com</t>
  </si>
  <si>
    <t>BK680157</t>
  </si>
  <si>
    <t>นางสาวสรณีย์ สอนเชื้อจีน</t>
  </si>
  <si>
    <t>sonranees@sena.co.th</t>
  </si>
  <si>
    <t>sarayootp@sena.co.th</t>
  </si>
  <si>
    <t>warapornr@senxgroup.com</t>
  </si>
  <si>
    <t>นายณัฐพล จุลวานิช</t>
  </si>
  <si>
    <t>natthaphonj@sena.co.th</t>
  </si>
  <si>
    <t>Yoswarisd@senasolarenergy.com</t>
  </si>
  <si>
    <t>somchail@sena.co.th</t>
  </si>
  <si>
    <t>bunyaritr@senxgroup.com</t>
  </si>
  <si>
    <t>pharanchakornj@senxgroup.com</t>
  </si>
  <si>
    <t>kumthonj@senxgroup.com</t>
  </si>
  <si>
    <t>nirinkornc@senxgroup.com</t>
  </si>
  <si>
    <t>nattaponw@senxgroup.com</t>
  </si>
  <si>
    <t xml:space="preserve">Phakphums@sena.co.th
</t>
  </si>
  <si>
    <t>nongnuchk@sena.co.th</t>
  </si>
  <si>
    <t>lalitaw@senxgroup.com</t>
  </si>
  <si>
    <t>punikapu@senxgroup.com</t>
  </si>
  <si>
    <t>keeratis@sena.co.th</t>
  </si>
  <si>
    <t>wasanas@senxgroup.com</t>
  </si>
  <si>
    <t>sanchaic@senxgroup.com</t>
  </si>
  <si>
    <t>naratthawanp@senxgroup.com</t>
  </si>
  <si>
    <t>pokawins@senxgroup.com</t>
  </si>
  <si>
    <t>waraporns@senxgroup.com</t>
  </si>
  <si>
    <t>natthapoomc@senxgroup.com</t>
  </si>
  <si>
    <t>ratthasartt@senxgroup.com</t>
  </si>
  <si>
    <t>nattapolw@sena.co.th</t>
  </si>
  <si>
    <t xml:space="preserve">chayakornp@sena.co.th
</t>
  </si>
  <si>
    <t>rattapongs@senxgroup.com</t>
  </si>
  <si>
    <t>Kanthanon@sena.co.th</t>
  </si>
  <si>
    <t>Natthaseta@senxgroup.com</t>
  </si>
  <si>
    <t>phichaphops@senxgroup.com</t>
  </si>
  <si>
    <t>BK680358</t>
  </si>
  <si>
    <t>น.ส.สุวรรณา กระต่ายทอง</t>
  </si>
  <si>
    <t>suwannakr@sena.co.th</t>
  </si>
  <si>
    <t xml:space="preserve">BK680155
</t>
  </si>
  <si>
    <t xml:space="preserve">น.ส.วราภรณ์ กลัมภัก </t>
  </si>
  <si>
    <t>เจ้าหน้าที่ขายและสินเชื่ออาวุโส</t>
  </si>
  <si>
    <t xml:space="preserve">Warapornk@sena.co.th
</t>
  </si>
  <si>
    <t xml:space="preserve">pisana@senasolarenergy.com
</t>
  </si>
  <si>
    <t>thunyalagt@senxgroup.com</t>
  </si>
  <si>
    <t>denchaid@senxgroup.com</t>
  </si>
  <si>
    <t>tharinn@senxgroup.com</t>
  </si>
  <si>
    <t>BK630071</t>
  </si>
  <si>
    <t>nutchanatn@sena.co.th</t>
  </si>
  <si>
    <t>BK680241</t>
  </si>
  <si>
    <t>kanjanal@sena.co.th</t>
  </si>
  <si>
    <t>watunyub@senxgroup.com</t>
  </si>
  <si>
    <t>teeradecha@senxgroup.com</t>
  </si>
  <si>
    <t>raweepornp@sena.co.th</t>
  </si>
  <si>
    <t>jirapornm@sena.co.th</t>
  </si>
  <si>
    <t>BK680114</t>
  </si>
  <si>
    <t>นางสาวอินฑุภา แสนเจริญโชติกุล</t>
  </si>
  <si>
    <t>intupas@senxgroup.com</t>
  </si>
  <si>
    <t>natayai@senxgroup.com</t>
  </si>
  <si>
    <t>supichan@senxgroup.com</t>
  </si>
  <si>
    <t>teradathb@sena.co.th</t>
  </si>
  <si>
    <t>laorthips@senxgroup.com</t>
  </si>
  <si>
    <t>ได้งานใหม่เงินเดือนที่เพิ่มขึ้น</t>
  </si>
  <si>
    <t>kamonrat@senxgroup.com</t>
  </si>
  <si>
    <t>มีปริมาณงานที่เยอะ และ เดินทางไกล</t>
  </si>
  <si>
    <t>punthitap@sena.co.th</t>
  </si>
  <si>
    <t>sasiyak@senxgroup.com</t>
  </si>
  <si>
    <t>sirichitc@senxgroup.com</t>
  </si>
  <si>
    <t>thongchartm@senasolarenergy.com</t>
  </si>
  <si>
    <t>karndarratc@senxgroup.com</t>
  </si>
  <si>
    <t>saiyanp@senxgroup.com</t>
  </si>
  <si>
    <t>pirayas@senxgroup.com</t>
  </si>
  <si>
    <t>SSG660008</t>
  </si>
  <si>
    <t>นายจักรพันธ์ ศิริสุนทรชัย</t>
  </si>
  <si>
    <t>Chakkraphans@senasolarenergy.com</t>
  </si>
  <si>
    <t>thanawataj@sexgroup.com</t>
  </si>
  <si>
    <t>suphakonr@senxgroup.com</t>
  </si>
  <si>
    <t>natchapimw@senxgroup.com</t>
  </si>
  <si>
    <t>rusiwatanp@senxgroup.com</t>
  </si>
  <si>
    <t>thassk@sena.co.th</t>
  </si>
  <si>
    <t>Usanees@sena.co.th</t>
  </si>
  <si>
    <t>sarawuts@senxgroup.com</t>
  </si>
  <si>
    <t>sumittrapj@sexgroup.com</t>
  </si>
  <si>
    <t>kornwikak@sena.co.th</t>
  </si>
  <si>
    <t>onvadeer@Senxgroup.com</t>
  </si>
  <si>
    <t>worapunl@sena.co.th</t>
  </si>
  <si>
    <t>kissadak@senxgroup.com</t>
  </si>
  <si>
    <t>noppadolk@senxgroup.com</t>
  </si>
  <si>
    <t>BK680248</t>
  </si>
  <si>
    <t>saisoontreen@sena.co.th</t>
  </si>
  <si>
    <t>bunsitat@sena.co.th</t>
  </si>
  <si>
    <t>nasaraj@sena.co.th</t>
  </si>
  <si>
    <t>nawapornn@senxgroup.com</t>
  </si>
  <si>
    <t>tamonwanh@senxgroup.com</t>
  </si>
  <si>
    <t>arreeyah@senxgroup.com</t>
  </si>
  <si>
    <t>kunlachatc@senxgroup.com</t>
  </si>
  <si>
    <t>prasongc@senxgroup.com</t>
  </si>
  <si>
    <t>abdulasim@senxgroup.com</t>
  </si>
  <si>
    <t>hathairatt@sena.co.th</t>
  </si>
  <si>
    <t>VMS680052</t>
  </si>
  <si>
    <t>นางสาวเกศราภรณ์ โพธิ์ทอง</t>
  </si>
  <si>
    <t>katsarapornp@senxgroup.com</t>
  </si>
  <si>
    <t>BK680247</t>
  </si>
  <si>
    <t>sirikronpronk@sena.co.th</t>
  </si>
  <si>
    <t>khanitthak@sena.co.th</t>
  </si>
  <si>
    <t>thinnakornsakk@sena.co.th</t>
  </si>
  <si>
    <t>BK680460</t>
  </si>
  <si>
    <t>นายสหพล สิงห์โตทอง</t>
  </si>
  <si>
    <t>ฝ่ายบริหารโครงการบ้าน 14B</t>
  </si>
  <si>
    <t>sahapons@sena.co.th</t>
  </si>
  <si>
    <t>BK680138</t>
  </si>
  <si>
    <t>นายกีรติ เฉลิมการนนท์</t>
  </si>
  <si>
    <t>สายงานการตลาดคอนโด 1</t>
  </si>
  <si>
    <t>kiratic@sena.co.th</t>
  </si>
  <si>
    <t>น.ส.จิรภิญญา ประมวล</t>
  </si>
  <si>
    <t>jirapinyap@sena.co.th</t>
  </si>
  <si>
    <t>anutsarad@sena.co.th</t>
  </si>
  <si>
    <t>amornratk@sena.co.th</t>
  </si>
  <si>
    <t>supattanapongw@senasolarenergy.com</t>
  </si>
  <si>
    <t>weerapattram@sena.co.th</t>
  </si>
  <si>
    <t>SRF670006</t>
  </si>
  <si>
    <t>supindap@sena.co.th</t>
  </si>
  <si>
    <t>sittichocks@sena.co.th</t>
  </si>
  <si>
    <t>Yuttapongs@sena.co.th</t>
  </si>
  <si>
    <t>BK670006</t>
  </si>
  <si>
    <t xml:space="preserve">7757 เจ้าหน้าที่การเงิน
</t>
  </si>
  <si>
    <t>parichatr@sena.co.th</t>
  </si>
  <si>
    <t>apisekp@senxgroup.om</t>
  </si>
  <si>
    <t>นายสุดใจ เหนือบุตตา</t>
  </si>
  <si>
    <t xml:space="preserve">sudjain@sena.co.th
</t>
  </si>
  <si>
    <t>BK680560</t>
  </si>
  <si>
    <t>naphakt@sena.co.th</t>
  </si>
  <si>
    <t>benjamasn@senxgroup.com</t>
  </si>
  <si>
    <t>ได้งานใหม่เงินเดือนเพิ่มขึ้น</t>
  </si>
  <si>
    <t>warangkanas@senxgroup.com</t>
  </si>
  <si>
    <t>kopkiatk@senxgroup.com</t>
  </si>
  <si>
    <t>sanej@senxgroup.com</t>
  </si>
  <si>
    <t>กลับไปอยู่บ้านต่างจังหวัด</t>
  </si>
  <si>
    <t xml:space="preserve">BK640028
</t>
  </si>
  <si>
    <t>นายสุภัทร์ รัตนะโสภณชัย</t>
  </si>
  <si>
    <t>สำนักพัฒนาโครงการ</t>
  </si>
  <si>
    <t>supatr@sena.co.th</t>
  </si>
  <si>
    <t>marisaa@senxgroup.com</t>
  </si>
  <si>
    <t>danupongm@senxgroup.com</t>
  </si>
  <si>
    <t>manoroms@senxgroup.com</t>
  </si>
  <si>
    <t>ระบบการทำงานไม่เป็นระบบ และเรื่องสวัสดิการ</t>
  </si>
  <si>
    <t>boonsongt@senxgroup.com</t>
  </si>
  <si>
    <t>ได้งานใหม่ เงินเดือนเพิ่มขึ้น</t>
  </si>
  <si>
    <t>wiparatt@senxgroup.com</t>
  </si>
  <si>
    <t>pinpataweer@senxgroup.com</t>
  </si>
  <si>
    <t>artida@sena.co.th</t>
  </si>
  <si>
    <t>niruts@sena.co.th</t>
  </si>
  <si>
    <t>oranuchi@sena.co.th</t>
  </si>
  <si>
    <t>wilais@sena.co.th</t>
  </si>
  <si>
    <t>thunyareto@senxgroup.com</t>
  </si>
  <si>
    <t>ต้องการเปลี่ยนสายงาน  ต้องการเป็น Sales</t>
  </si>
  <si>
    <t>tachachanchanp@senxgroup.com</t>
  </si>
  <si>
    <t>natthaphatp@senxgroup.com</t>
  </si>
  <si>
    <t>ต้องการทำงานที่เป็นอิสระ ทำงานไปรษณีย์</t>
  </si>
  <si>
    <t>saowalukp@sena.co.th</t>
  </si>
  <si>
    <t>thanawatr@sena.co.th</t>
  </si>
  <si>
    <t>aphiwatm@senxgroup.com</t>
  </si>
  <si>
    <t>ได้งานใหม่  และได้สวัสดิการที่เพิ่มขึ้น</t>
  </si>
  <si>
    <t>areeratc@senxgroup.com</t>
  </si>
  <si>
    <t>janyapatr@sena.co.th</t>
  </si>
  <si>
    <t>pittiw@sena.co.th</t>
  </si>
  <si>
    <t>wayupartm@senxgroup.com</t>
  </si>
  <si>
    <t>krohthongk@senxgroup.com</t>
  </si>
  <si>
    <t>kanyaporns@senxgroup.com</t>
  </si>
  <si>
    <t>bunphotl@senxgroup.com</t>
  </si>
  <si>
    <t>ไปประกอบอาชีพส่วนตัว</t>
  </si>
  <si>
    <t>chaiyunn@senxgroup.com</t>
  </si>
  <si>
    <t>peeranatm@sena.co.th</t>
  </si>
  <si>
    <t>saravaleep@senxgroup.com</t>
  </si>
  <si>
    <t>มีอาการเวียนศรีษะ และอาการเดินเส หลังจากเหตุการณ์แผ่นดินไหว</t>
  </si>
  <si>
    <t xml:space="preserve">rasimapornb@sena.co.th
</t>
  </si>
  <si>
    <t>rapephatk@sena.co.th</t>
  </si>
  <si>
    <t>roongtiwat@senxgroup.com</t>
  </si>
  <si>
    <t>sirikanp@senxgroup.com</t>
  </si>
  <si>
    <t>yothakap@senxgroup.com</t>
  </si>
  <si>
    <t>pratanpornc@senxgroup.com</t>
  </si>
  <si>
    <t>suritp@senxgroup.com</t>
  </si>
  <si>
    <t>worrapothp@senxgroup.com</t>
  </si>
  <si>
    <t>teerapats@senxgroup.com</t>
  </si>
  <si>
    <t>nuttaponk@senxgroup.com</t>
  </si>
  <si>
    <t>watcharaponga@senxgroup.com</t>
  </si>
  <si>
    <t>chirawatp@senxgroup.com</t>
  </si>
  <si>
    <t>werotk@senxgroup.com</t>
  </si>
  <si>
    <t>worawitw@senxgroup.com</t>
  </si>
  <si>
    <t>ต้องการเปลี่ยนสายงานใหม่</t>
  </si>
  <si>
    <t>suwananl@senxgroup.com</t>
  </si>
  <si>
    <t>เนื่องจากลาออกกลับไปเลี้ยงลูก</t>
  </si>
  <si>
    <t>sukanyar@senxgroup.com</t>
  </si>
  <si>
    <t>ทำธุระกิจส่วนตัว เป็นคนกลางขายลำใย</t>
  </si>
  <si>
    <t>chontichab@senxgroup.com</t>
  </si>
  <si>
    <t>ได้งานใหม่เนื่องจากที่ทำงานใหม่ใกล้บ้าน</t>
  </si>
  <si>
    <t>punikap@senxgroup.com</t>
  </si>
  <si>
    <t>piyawutk@senxgroup.com</t>
  </si>
  <si>
    <t>ได้งานใหม่ ใกล้บ้าน</t>
  </si>
  <si>
    <t>vivate@senxgroup.com</t>
  </si>
  <si>
    <t>ibroheemk@senxgroup.com</t>
  </si>
  <si>
    <t>apichartsr@sena.co.th</t>
  </si>
  <si>
    <t>kanchanokh@Senxgroup.com</t>
  </si>
  <si>
    <t>กลับบ้านต่างจังหวัดทำสวนทุเรียน และ สวนยาง</t>
  </si>
  <si>
    <t>panitees@sena.co.th</t>
  </si>
  <si>
    <t>chonnagarnk@sena.co.th</t>
  </si>
  <si>
    <t>sunanthab@sena.co.th</t>
  </si>
  <si>
    <t>sumanas@senxgroup.com</t>
  </si>
  <si>
    <t>nakaresk@senxgroup.com</t>
  </si>
  <si>
    <t>lerpongw@sena.co.th</t>
  </si>
  <si>
    <t>sikharesr@senxgroup.com</t>
  </si>
  <si>
    <t>ได้งานใหม่ใกล้บ้าน</t>
  </si>
  <si>
    <t>rachawatk@senxgroup.com</t>
  </si>
  <si>
    <t>khwanchanokl@senxgroup.com</t>
  </si>
  <si>
    <t>chanchaisu@senxgroup.com</t>
  </si>
  <si>
    <t>teerasihtg@senxgroup.com</t>
  </si>
  <si>
    <t>parinyad@sena.co.th</t>
  </si>
  <si>
    <t>natsudat@sena.co.th</t>
  </si>
  <si>
    <t>BK680290</t>
  </si>
  <si>
    <t>santisukt@sena.co.th</t>
  </si>
  <si>
    <t>phongsathonk@senxgroup.com</t>
  </si>
  <si>
    <t>kittinunl@sena.co.th</t>
  </si>
  <si>
    <t>กลุ่มงานบริหาร SENA Solar Energy</t>
  </si>
  <si>
    <t>jaturongs@sena.co.th</t>
  </si>
  <si>
    <t>supraweet@senxgroup.com</t>
  </si>
  <si>
    <t>nattapont@senxgroup.com</t>
  </si>
  <si>
    <t>gunnareet@senasolarenergy.com</t>
  </si>
  <si>
    <t>chitsanuphongw@senxgroup.com</t>
  </si>
  <si>
    <t>jaturongj@senxgroup.com</t>
  </si>
  <si>
    <t>BK540074</t>
  </si>
  <si>
    <t>นางสาวสมพร สิงหไพศาล</t>
  </si>
  <si>
    <t>2101 ผู้เชี่ยวชาญ 3</t>
  </si>
  <si>
    <t>Somporn_s@sena.co.th</t>
  </si>
  <si>
    <t>piyabuhdc@senxgroup.com</t>
  </si>
  <si>
    <t>wichitc@senxgroup.com</t>
  </si>
  <si>
    <t>phuvanatn@senxgroup.com</t>
  </si>
  <si>
    <t>BK680547</t>
  </si>
  <si>
    <t xml:space="preserve">นายปลวัชร นุสิทธิ์ </t>
  </si>
  <si>
    <t>palawatn@sena.co.th</t>
  </si>
  <si>
    <t>kanlayaneem@senxgroup.com</t>
  </si>
  <si>
    <t>arweedull@senxgroup.com</t>
  </si>
  <si>
    <t>masaideek@senxgroup.com</t>
  </si>
  <si>
    <t>chanatipp@senxgroup.com</t>
  </si>
  <si>
    <t>เนื่องจากที่ทำงานไกลบ้านการเดินทางใช้ระยะเวลานาน</t>
  </si>
  <si>
    <t>supawatb@senxgroup.com</t>
  </si>
  <si>
    <t>เนื่ื่องด้วยมีปัญหาด้านสุขภาพ</t>
  </si>
  <si>
    <t>krekritd@senxgroup.com</t>
  </si>
  <si>
    <t>nonthawats@senxgroup.com</t>
  </si>
  <si>
    <t>nuraswanm@senxgroup.com</t>
  </si>
  <si>
    <t>SX670043</t>
  </si>
  <si>
    <t>นายจงลักษณ์ หมั่นอุตสาห์</t>
  </si>
  <si>
    <t>jongluckm@senxgroup.com</t>
  </si>
  <si>
    <t>SX670022</t>
  </si>
  <si>
    <t>นายพินิจ สีวัน</t>
  </si>
  <si>
    <t>pinits@senxgroup.com</t>
  </si>
  <si>
    <t>SX670104</t>
  </si>
  <si>
    <t>นายวรวุฒิ พรหมปั้น</t>
  </si>
  <si>
    <t>woravutp@senxgroup.com</t>
  </si>
  <si>
    <t>BK680534</t>
  </si>
  <si>
    <t>นายจิตตพัฒน์ เพิ่มธนพูล</t>
  </si>
  <si>
    <t>jattapattp@sena.co.th</t>
  </si>
  <si>
    <t>BK680354</t>
  </si>
  <si>
    <t>นายขวัญ พันหล้า</t>
  </si>
  <si>
    <t>khwanp@sena.co.th</t>
  </si>
  <si>
    <t>SX670013</t>
  </si>
  <si>
    <t>นายสิทธิพงศ์ คงเรืองฤทธิ์</t>
  </si>
  <si>
    <t>7506 หัวหน้าช่างไฟฟ้า</t>
  </si>
  <si>
    <t>sitthiphongk@senxgroup.com</t>
  </si>
  <si>
    <t>taninp@sena.co.th</t>
  </si>
  <si>
    <t>pattarapornt@senxgroup.com</t>
  </si>
  <si>
    <t>thianthips@senxgroup.com</t>
  </si>
  <si>
    <t>kanjanai@senxgroup.com</t>
  </si>
  <si>
    <t>thanawstl@senxgroup.com</t>
  </si>
  <si>
    <t>patthawitm@senxgroup.com</t>
  </si>
  <si>
    <t>kraingkrais@senxgroup.com</t>
  </si>
  <si>
    <t>yutthapicchaij@senxgroup.com</t>
  </si>
  <si>
    <t>jeewaratw@sena.co.th</t>
  </si>
  <si>
    <t>Napasorns@senasolarenergy.com</t>
  </si>
  <si>
    <t>wannapap@sena.co.th</t>
  </si>
  <si>
    <t>nutchac@senxgroup.com</t>
  </si>
  <si>
    <t>jirasaks@senxgroup.com</t>
  </si>
  <si>
    <t>jirachayar@sena.co.th</t>
  </si>
  <si>
    <t>warisaras@senxgroup.com</t>
  </si>
  <si>
    <t>อนาคตกังวลจะมีโอนย้ายพนักงานไปโครงการอื่น</t>
  </si>
  <si>
    <t>thanakornm@sena.co.th</t>
  </si>
  <si>
    <t>pattanak@Senxgroup.com</t>
  </si>
  <si>
    <t>ได้งานใหม่หัวหน้างานเก่าชวนไปทำงานด้วย</t>
  </si>
  <si>
    <t>pattawees@sena.co.th</t>
  </si>
  <si>
    <t>เพื่อรักษาอาการป่วย</t>
  </si>
  <si>
    <t>vanasc@sexgroup.com</t>
  </si>
  <si>
    <t>aemikas@senxgroup.com</t>
  </si>
  <si>
    <t>anuchaw@senxgroup.com</t>
  </si>
  <si>
    <t>kasirav@senxgroup.com</t>
  </si>
  <si>
    <t>teerawatsu@sena.co.th</t>
  </si>
  <si>
    <t>jintanas@sena.co.th</t>
  </si>
  <si>
    <t>BK680528</t>
  </si>
  <si>
    <t>นายสาทิศ ยิ้มสุด</t>
  </si>
  <si>
    <t>satity@sena.co.th</t>
  </si>
  <si>
    <t>wutinunp@senxgroup.com</t>
  </si>
  <si>
    <t>มีปัญหาเรื่องสุขภาพ</t>
  </si>
  <si>
    <t>phanuphongr@senxgroup.com</t>
  </si>
  <si>
    <t>yanapornt@senxgroup.com</t>
  </si>
  <si>
    <t>vuttichait@sena.co.th</t>
  </si>
  <si>
    <t>Wannikam@sena.co.th</t>
  </si>
  <si>
    <t>niona@senxgroup.com</t>
  </si>
  <si>
    <t>Tavitp@sena.co.th</t>
  </si>
  <si>
    <t>nichakarns@senxgroup.com</t>
  </si>
  <si>
    <t>jirapornp@Senxgroup.com</t>
  </si>
  <si>
    <t>chaipatp@sena.co.th</t>
  </si>
  <si>
    <t>panuwatn@senxgroup.com</t>
  </si>
  <si>
    <t>เรื่องระยะการเดินทางที่ไกลขึ้น</t>
  </si>
  <si>
    <t>waritsarad@Senxgroup.com</t>
  </si>
  <si>
    <t>เนื่องจากกลับต่างจังหวัดทำงานอำเภอ</t>
  </si>
  <si>
    <t>thunyatorna@sena.co.th</t>
  </si>
  <si>
    <t>chaiyapornd@senxgroup.com</t>
  </si>
  <si>
    <t>Dararatc@sena.co.th</t>
  </si>
  <si>
    <t>nattaphons@senxgroup.com</t>
  </si>
  <si>
    <t>panatp@senxgroup.com</t>
  </si>
  <si>
    <t>veeraphons@senxgroup.com</t>
  </si>
  <si>
    <t>narisar@senxgroup.com</t>
  </si>
  <si>
    <t>nawir@senxgroup.com</t>
  </si>
  <si>
    <t>somkaitk@senxgroup.com</t>
  </si>
  <si>
    <t>arissarab@sena.co.th</t>
  </si>
  <si>
    <t>phattharawadeea@senxgroup.com</t>
  </si>
  <si>
    <t>supasekm@senaxgroup.com</t>
  </si>
  <si>
    <t>tantawank@senxgroup.com</t>
  </si>
  <si>
    <t>กลับต่างจังหวัดเนื่องจากดูลุงที่ป่วย</t>
  </si>
  <si>
    <t>prasongch@senxgroup.com</t>
  </si>
  <si>
    <t>yupink@sena.co.th</t>
  </si>
  <si>
    <t>orawanwa@senxgroup.com</t>
  </si>
  <si>
    <t>apisits@senxgroup.com</t>
  </si>
  <si>
    <t>chanonb@senxgroup.com</t>
  </si>
  <si>
    <t>thanakitb@sena.co.th</t>
  </si>
  <si>
    <t>orakanyaw@sena.co.th</t>
  </si>
  <si>
    <t>Monthathip@senasolarenergy.com</t>
  </si>
  <si>
    <t>sittipatl@senxgroup.com</t>
  </si>
  <si>
    <t>pornnarins@Senxgroup.com</t>
  </si>
  <si>
    <t>phanuphanp@sena.co.th</t>
  </si>
  <si>
    <t>nichaphan@senxgroup.com</t>
  </si>
  <si>
    <t>nichareep@sena.co.th</t>
  </si>
  <si>
    <t>arphatsarap@senxgroup.com</t>
  </si>
  <si>
    <t>Sukumarporns@sena.co.th</t>
  </si>
  <si>
    <t>weerachaic@sena.co.th</t>
  </si>
  <si>
    <t>arayaa@senxgroup.com</t>
  </si>
  <si>
    <t>natchanunt@sena.co.th</t>
  </si>
  <si>
    <t>BK680182</t>
  </si>
  <si>
    <t>นายยุทธพล เอื้อสุนทรชัยกุล</t>
  </si>
  <si>
    <t>yuttapono@sena.co.th</t>
  </si>
  <si>
    <t>chinnawatp@senxgroup.com</t>
  </si>
  <si>
    <t>ได้งานใหม่ที่ทำงานใหม่ใกล้บ้าน</t>
  </si>
  <si>
    <t>narachaik@sena.co.th</t>
  </si>
  <si>
    <t>Panineed@sena.co.th</t>
  </si>
  <si>
    <t>sarinl@senxgroup.com</t>
  </si>
  <si>
    <t>ได้งานใหม่ที่ใกล้บ้าน และเงินเดือนเพิ่มขึ้น</t>
  </si>
  <si>
    <t>krittikak@senxgroup.com</t>
  </si>
  <si>
    <t>suntareeyak@senxgroup.com</t>
  </si>
  <si>
    <t>เนื่องด้วยระบบงานซ้ำซ้อน</t>
  </si>
  <si>
    <t>preeyanutc@sena.co.th</t>
  </si>
  <si>
    <t>nawakarnk@sena.co.th</t>
  </si>
  <si>
    <t>prasobpholk@sena.co.th</t>
  </si>
  <si>
    <t>sakuntalas@sena.co.th</t>
  </si>
  <si>
    <t>noppharits@senxgroup.com</t>
  </si>
  <si>
    <t>ได้งานใหม่ ใกล้บ้านเงินเดือนเพิ่มขึ้น</t>
  </si>
  <si>
    <t>viratt@senxgroup.com</t>
  </si>
  <si>
    <t>thannapast@senxgroup.com</t>
  </si>
  <si>
    <t>ailadan@Senxgroup.com</t>
  </si>
  <si>
    <t>surapotp@senxgroup.com</t>
  </si>
  <si>
    <t>peerapats@senasolarenergy.com</t>
  </si>
  <si>
    <t>SGA660018</t>
  </si>
  <si>
    <t>navavitp@sena.co.th</t>
  </si>
  <si>
    <t>SGA660022</t>
  </si>
  <si>
    <t>nuttapongr@sena.co.th</t>
  </si>
  <si>
    <t>natthagornp@Senxgroup.com</t>
  </si>
  <si>
    <t>pongpat@senasolarenergy.com</t>
  </si>
  <si>
    <t>angkanas@sena.co.th</t>
  </si>
  <si>
    <t>chinapongm@senaxgroup.com</t>
  </si>
  <si>
    <t>abdullohm@senxgroup.com</t>
  </si>
  <si>
    <t>theeraphatl@senxgroup.com</t>
  </si>
  <si>
    <t>pornjirai@sena.co.th</t>
  </si>
  <si>
    <t>supanidas@sena.co.th</t>
  </si>
  <si>
    <t>BK680540</t>
  </si>
  <si>
    <t>นายชัยโรจน์ ล้ำเลิศ</t>
  </si>
  <si>
    <t>chairotl@sena.co.th</t>
  </si>
  <si>
    <t>kasaefaw@senxgroup.com</t>
  </si>
  <si>
    <t>anongwand@sena.co.th</t>
  </si>
  <si>
    <t>weerachaim@sena.co.th</t>
  </si>
  <si>
    <t>naradac@sena.co.th</t>
  </si>
  <si>
    <t>nittayan@sena.co.th</t>
  </si>
  <si>
    <t>pakono@senxgroup.com</t>
  </si>
  <si>
    <t>nantanutb@senxgroup.com</t>
  </si>
  <si>
    <t>nisachons@senxgroup.com</t>
  </si>
  <si>
    <t>ได้งานงานเงินเดือนเพิ่มขึ้น และทีใหม่ใกล้บ้านสะดวกในการเดินทาง</t>
  </si>
  <si>
    <t>komsans@senxgroup.com</t>
  </si>
  <si>
    <t>jaritaj@senxgroup.com</t>
  </si>
  <si>
    <t>Nalatpornr@sena.co.th</t>
  </si>
  <si>
    <t>narinnav@senasolarenergy.com</t>
  </si>
  <si>
    <t>yutthapols@senxgroup.com</t>
  </si>
  <si>
    <t>wirulp@senxgroup.com</t>
  </si>
  <si>
    <t>Kornk@sena.co.th</t>
  </si>
  <si>
    <t>ekamolv@senxgroup.com</t>
  </si>
  <si>
    <t>anusorns@senxgroup.com</t>
  </si>
  <si>
    <t>chalitn@senxgroup.com</t>
  </si>
  <si>
    <t>เนื่องจากทำธุรกิจส่วนตัวเปิดร้านช่างซ่อมรถ</t>
  </si>
  <si>
    <t>wannisas@sena.co.th</t>
  </si>
  <si>
    <t>warapornk@senxgroup.com</t>
  </si>
  <si>
    <t>เนื่องจากได้งานใหม่ใกล้บ้านสะดวกในการเดินทาง</t>
  </si>
  <si>
    <t>teerasuki@senxgroup.com</t>
  </si>
  <si>
    <t>Sukijs@sena.co.th</t>
  </si>
  <si>
    <t>ponkanokk@sena.co.th</t>
  </si>
  <si>
    <t>akkarapons@sena.co.th</t>
  </si>
  <si>
    <t>panidaa@senxgroup.com</t>
  </si>
  <si>
    <t>waruneem@senxgroup.com</t>
  </si>
  <si>
    <t>thaveesakt@senxgroup.com</t>
  </si>
  <si>
    <t>anriutk@senxgroup.com</t>
  </si>
  <si>
    <t>yardthipc@senxgroup.com</t>
  </si>
  <si>
    <t>suratwadees@senxgroup.com</t>
  </si>
  <si>
    <t>aekkapons@sena.co.th</t>
  </si>
  <si>
    <t>nanthayai@sena.co.th</t>
  </si>
  <si>
    <t>panjawuts@sena.co.th</t>
  </si>
  <si>
    <t>pinyadapatr@sena.co.th</t>
  </si>
  <si>
    <t>warutk@senxgroup.com</t>
  </si>
  <si>
    <t>เนื่องจากสวัสดิ์การน้อยลงไม่มีประกันกลุ่ม</t>
  </si>
  <si>
    <t>teerakanp@sena.co.th</t>
  </si>
  <si>
    <t>kanyapatk@sena.co.th</t>
  </si>
  <si>
    <t>wanwisasa@sena.co.th</t>
  </si>
  <si>
    <t>chaiwoodhs@senxgroup.com</t>
  </si>
  <si>
    <t xml:space="preserve">ได้งานใหม่และเงินเดือนที่เพิ่มขึ้น </t>
  </si>
  <si>
    <t>chanyuto@senxgroup.com</t>
  </si>
  <si>
    <t>thanaphonr@senxgroup.com</t>
  </si>
  <si>
    <t>kreangkraik@senxgroup.com</t>
  </si>
  <si>
    <t>Nittayas@sena.co.th</t>
  </si>
  <si>
    <t>teerawatk@senxgroup.com</t>
  </si>
  <si>
    <t>nutdanaij@sena.co.th</t>
  </si>
  <si>
    <t>thananchaii@senasolarenergy.com</t>
  </si>
  <si>
    <t>kricht@sena.co.th</t>
  </si>
  <si>
    <t>nutthavattt@senxgroup.com</t>
  </si>
  <si>
    <t>krishnas@senxgroup.com</t>
  </si>
  <si>
    <t>thanakornm@senxgroup.com</t>
  </si>
  <si>
    <t>aorayas@senxgroup.com</t>
  </si>
  <si>
    <t>supaks@sena.co.th</t>
  </si>
  <si>
    <t>sunisan@senxgroup.com</t>
  </si>
  <si>
    <t>naphatsirinp@sena.co.th</t>
  </si>
  <si>
    <t>sunantal@sena.co.th</t>
  </si>
  <si>
    <t>Thanvasakj@sena.co.th</t>
  </si>
  <si>
    <t>nattakittas@sena.co.th</t>
  </si>
  <si>
    <t>woraphanb@senxgroup.com</t>
  </si>
  <si>
    <t>busabas@senxgroup.com</t>
  </si>
  <si>
    <t>wassanak@sena.co.th</t>
  </si>
  <si>
    <t>thanapornm@senxgroup.com</t>
  </si>
  <si>
    <t>waranchanak@senxgroup.com</t>
  </si>
  <si>
    <t>wacharaweet@sena.co.th</t>
  </si>
  <si>
    <t>nobpharatp@senxgroup.com</t>
  </si>
  <si>
    <t>sarawutj@senxgroup.com</t>
  </si>
  <si>
    <t>thasaneey@senxgroup.com</t>
  </si>
  <si>
    <t>kornchanokt@senxgroup.com</t>
  </si>
  <si>
    <t>radchanards@senxgroup.com</t>
  </si>
  <si>
    <t>pannarinp@senxgroup.com</t>
  </si>
  <si>
    <t>chonthichat@senxgroup.com</t>
  </si>
  <si>
    <t>panidak@moneyjaidee.com</t>
  </si>
  <si>
    <t>pariyakornr@sena.co.th</t>
  </si>
  <si>
    <t>kanpitchad@senxgroup.com</t>
  </si>
  <si>
    <t>sarawutbu@senxgroup.com</t>
  </si>
  <si>
    <t xml:space="preserve">lalittrap@senasolarenergy.com
</t>
  </si>
  <si>
    <t>เปลี่ยนตำแหน่งเป็นที่ปรึกษางานขาย</t>
  </si>
  <si>
    <t>kamonchanokp@sena.co.th</t>
  </si>
  <si>
    <t>kriangkraip@senxgroup.com</t>
  </si>
  <si>
    <t>rattiyakornk@senxgroup.com</t>
  </si>
  <si>
    <t>nuttapongk@sena.co.th</t>
  </si>
  <si>
    <t>Nattapondd@sena.co.th</t>
  </si>
  <si>
    <t>warapornb@senxgroup.com</t>
  </si>
  <si>
    <t>boonlertb@senxgroup.com</t>
  </si>
  <si>
    <t>tanyap@senxgroup.com</t>
  </si>
  <si>
    <t>chanchais@senxgroup.com</t>
  </si>
  <si>
    <t>atthaphonm@senxgroup.com</t>
  </si>
  <si>
    <t>vorawuts@sena.co.th</t>
  </si>
  <si>
    <t>nutthanunt@sena.co.th</t>
  </si>
  <si>
    <t>worawutt@senxgroup.com</t>
  </si>
  <si>
    <t>tanabadet@senxgroup.com</t>
  </si>
  <si>
    <t>chacriyak@senxgroup.com</t>
  </si>
  <si>
    <t>kamolchatn@senxgroup.com</t>
  </si>
  <si>
    <t>teerachaim@senxgroup.com</t>
  </si>
  <si>
    <t>malineeb@senxgroup.com</t>
  </si>
  <si>
    <t>phiyathidat@sena.co.th</t>
  </si>
  <si>
    <t>phennaphap@sena.co.th</t>
  </si>
  <si>
    <t>kunakornr@senxgroup.com</t>
  </si>
  <si>
    <t>patsuchanutp@sena.co.th</t>
  </si>
  <si>
    <t>anandas@senxgroup.com</t>
  </si>
  <si>
    <t>sarutayab@senxgroup.com</t>
  </si>
  <si>
    <t>patsakorns@senxgroup.com</t>
  </si>
  <si>
    <t>wiriyac@senxgroup.com</t>
  </si>
  <si>
    <t>nonnawatb@senxgroup.com</t>
  </si>
  <si>
    <t>ได้งานใหม่เงินเดือนเพิ่มขึ้น และที่ใหม่เดินทางใกล้บ้าน</t>
  </si>
  <si>
    <t>kanyaratj@senxgroup.com</t>
  </si>
  <si>
    <t>noppornk@senxgroup.com</t>
  </si>
  <si>
    <t>treepops@senxgroup.com</t>
  </si>
  <si>
    <t>naphatrr@senxgroup.com</t>
  </si>
  <si>
    <t>เนื่องจากเป็นหนี้ธนาคาร TTB กลัวโดนหักเงินเดือน</t>
  </si>
  <si>
    <t>rattanaphont@senxgroup.com</t>
  </si>
  <si>
    <t>natthaveep@senxgroup.com</t>
  </si>
  <si>
    <t xml:space="preserve">ได้งานใหม่เงินเดือนเพิ่มขึ้น </t>
  </si>
  <si>
    <t>punyanuchr@senxgroup.com</t>
  </si>
  <si>
    <t>ได้เงินเดือนเพิ่มขึ้น และที่ทำงานใหม่ใกล้บ้านเดินทางสะดวกกว่า</t>
  </si>
  <si>
    <t>wuttichais@senxgroup.com</t>
  </si>
  <si>
    <t>thitimam@sena.co.th</t>
  </si>
  <si>
    <t>prapakornt@senxgroup.com</t>
  </si>
  <si>
    <t>kanjanac@sena.co.th</t>
  </si>
  <si>
    <t>laaorratb@sena.co.th</t>
  </si>
  <si>
    <t>abideenc@senxgroup.com</t>
  </si>
  <si>
    <t>chotimac@senxgroup.com</t>
  </si>
  <si>
    <t>prakrongw@senxgroup.com</t>
  </si>
  <si>
    <t>เนื่องด้วยกลับต่างจังหวัดดูแลตาที่ป่วย</t>
  </si>
  <si>
    <t>Khemmarajm@senxgroup.com</t>
  </si>
  <si>
    <t>ekkachaid@sena.co.th</t>
  </si>
  <si>
    <t>amnadb@senxgroup.com</t>
  </si>
  <si>
    <t>santip@senxgroup.com</t>
  </si>
  <si>
    <t>kanniphak@sena.co.th</t>
  </si>
  <si>
    <t>chanogsudag@sena.co.th</t>
  </si>
  <si>
    <t>jirayum@moneyjaidee.com</t>
  </si>
  <si>
    <t>pongsakornm@senxgroup.com</t>
  </si>
  <si>
    <t>sanchaih@senxgroup.com</t>
  </si>
  <si>
    <t>sopanat@senxgroup.com</t>
  </si>
  <si>
    <t>suttichotm@sena.co.th</t>
  </si>
  <si>
    <t>sirap@senxgroup.com</t>
  </si>
  <si>
    <t>harutaip@sena.co.th</t>
  </si>
  <si>
    <t>suparata@sena.co.th</t>
  </si>
  <si>
    <t>kanjaporns@sena.co.th</t>
  </si>
  <si>
    <t>nantanam@senxgroup.com</t>
  </si>
  <si>
    <t>surachates@senxgroup.com</t>
  </si>
  <si>
    <t>pharitat@senxgroup.com</t>
  </si>
  <si>
    <t>suchindam@senxgroup.com</t>
  </si>
  <si>
    <t>purimpratj@senasolarenergy.com</t>
  </si>
  <si>
    <t>prapapant@sena.co.th</t>
  </si>
  <si>
    <t>kamolpats@senxgroup.com</t>
  </si>
  <si>
    <t>sucheran@senxgroup.com</t>
  </si>
  <si>
    <t>manuj@senxgroup.com</t>
  </si>
  <si>
    <t>prorapatk@senxgroup.com</t>
  </si>
  <si>
    <t>chonlanutn@senxgroup.com</t>
  </si>
  <si>
    <t>apiwatn@senxgroup.com</t>
  </si>
  <si>
    <t>chairatp@senasolarenergy.com</t>
  </si>
  <si>
    <t>picheta@sena.co.th</t>
  </si>
  <si>
    <t>anirutk@senxgroup.com</t>
  </si>
  <si>
    <t>kanokwant@senxgroup.com</t>
  </si>
  <si>
    <t>bunritk@senxgroup.com</t>
  </si>
  <si>
    <t>kittisakp@senxgroup.com</t>
  </si>
  <si>
    <t>ได้งานใหม่เงินเดือนเพิ่มกว่าปัจจุบันประมาณ 3,000 บาท โดยงานที่ใหม่ไห้ดูแลช่างประจำ Office  สำนักงาน</t>
  </si>
  <si>
    <t>kamonc@senxgroup.com</t>
  </si>
  <si>
    <t>มีปัญเรื่องครอบครัวเลิกกับแฟน ทำให้ต้องย้ายที่อยู่ใหม่ และต้องการหางานใหม่</t>
  </si>
  <si>
    <t>sarachait@senxgroup.com</t>
  </si>
  <si>
    <t>pitchaornb@senxgroup.com</t>
  </si>
  <si>
    <t>patipathp@sena.co.th</t>
  </si>
  <si>
    <t>numfonr@senxgroup.com</t>
  </si>
  <si>
    <t>buriratp@senxgroup.com</t>
  </si>
  <si>
    <t>ได้งานใหม่ ซึ่งมีสวัสดิการเงินออมทรัพย์ และ เบิกค่ารักษา พ่อ กับ แม่ได้</t>
  </si>
  <si>
    <t>pornthepa@senxgroup.com</t>
  </si>
  <si>
    <t>krittakhuns@senxgroup.com</t>
  </si>
  <si>
    <t>wichans@senxgroup.com</t>
  </si>
  <si>
    <t>apiwatc@senxgroup.com</t>
  </si>
  <si>
    <t>ได้ทำงานใหม่ๆ เป็นตำแหน่งรับงานไฟฟ้า  ได้หยุดวันเสาร์ - อาทิตย์</t>
  </si>
  <si>
    <t>thanasakp@senxgroup.com</t>
  </si>
  <si>
    <t>laddawans@senxgroup.com</t>
  </si>
  <si>
    <t xml:space="preserve">มีปัญญาเรื่องการเดินทาง เพราะเดินทางกว่าจะถึงที่งานเดินทางหลายต่อ </t>
  </si>
  <si>
    <t>walinladar@sena.co.th</t>
  </si>
  <si>
    <t>pornchais@sena.co.th</t>
  </si>
  <si>
    <t>sunisat@senxgroup.com</t>
  </si>
  <si>
    <t>thawatchail@senxgroup.com</t>
  </si>
  <si>
    <t>wanidaji@senxgroup.com</t>
  </si>
  <si>
    <t>panumast@senxgroup.com</t>
  </si>
  <si>
    <t>โครงที่ย้ายไปทำงาน เนื่องจากไกลบ้านไม่สะดวกเรื่องการเดินทาง</t>
  </si>
  <si>
    <t>boonsitai@senxgroup.com</t>
  </si>
  <si>
    <t>ได้งานใหม่ เนื่องจากที่ทำงานใหม่หยุดเสาร์-อาทิตย์</t>
  </si>
  <si>
    <t>napichayak@senxgroup.com</t>
  </si>
  <si>
    <t>ย้ายกลับต่างจังหวัด ช่วยทางบ้านทำร้านก๋วยเตี๊ยว</t>
  </si>
  <si>
    <t>nuttawatd@senxgroup.com</t>
  </si>
  <si>
    <t xml:space="preserve">เนื่องจากต้องกลับต่างจังหวัดเชียงราย ไปดูแลครอบครัวที่ต่างจังหวัดดูแลลูก </t>
  </si>
  <si>
    <t>thitikornb@senxgroup.com</t>
  </si>
  <si>
    <t>กลับต่างจังหวัด กลับไปทำสวนผลไม้ และ รับเหมาก่อสร้าง</t>
  </si>
  <si>
    <t>meteechaim@senasolarenergy.com</t>
  </si>
  <si>
    <t>pantareew@sena.co.th</t>
  </si>
  <si>
    <t>tandat@sena.co.th</t>
  </si>
  <si>
    <t>natp@senxgroup.com</t>
  </si>
  <si>
    <t>ลาออกตามหัวหน้าเนื่องจากหัวหน้างานไม่ผ่านทดลองงาน</t>
  </si>
  <si>
    <t>anawinh@senxgroup.com</t>
  </si>
  <si>
    <t>orawanj@senxgroup.com</t>
  </si>
  <si>
    <t>จำนวนห้องที่ดูแลประมาณ 1,700 กว่า มองว่าจำนวนพนักงานที่โครงการน้อยจึงทำให้งานที่ทำอยู่ไม่ทัน ซึ่งบัญชีการเงิน บางครั้งยังต้องไปช่วยคัดแยกพัสดุ</t>
  </si>
  <si>
    <t>denchatb@senxgroup.com</t>
  </si>
  <si>
    <t>suttichait@senxgroup.com</t>
  </si>
  <si>
    <t>ได้งานใหม่มีปรับตำแหน่งเป็นหัวหน้าช่าง และได้ปรับเงินเดือนเพิ่ม 6,000 บาท</t>
  </si>
  <si>
    <t>tharudeel@senasolarenergy.com</t>
  </si>
  <si>
    <t>paphassorns@senxgroup.com</t>
  </si>
  <si>
    <t>ปริมาณงานมากกว่าบุคคลกรที่มีอยู่  และ ในกรณีจ่ายค่าน้ำ ค่าไฟ เกินรอบที่กำหนดต้องเสียค่าปรับเอง</t>
  </si>
  <si>
    <t>ratchadapornp@senxgroup.com</t>
  </si>
  <si>
    <t>rungthipn@senxgroup.com</t>
  </si>
  <si>
    <t>kanthaphatt@senxgroup.com</t>
  </si>
  <si>
    <t>budsayamass@senxgroup.com</t>
  </si>
  <si>
    <t>arnutc@senxgroup.com</t>
  </si>
  <si>
    <t>atcharay@senxgroup.com</t>
  </si>
  <si>
    <t>ronnakitk@senxgroup.com</t>
  </si>
  <si>
    <t>thawatchaip@senxgroup.com</t>
  </si>
  <si>
    <t>sudthikronp@senxgroup.com</t>
  </si>
  <si>
    <t>phonkitr@senxgroup.com</t>
  </si>
  <si>
    <t>anans@sena.co.th</t>
  </si>
  <si>
    <t>milinkuna@sena.co.th</t>
  </si>
  <si>
    <t>papussorns@senxgroup.com</t>
  </si>
  <si>
    <t>เนื่องจากได้งานที่ต่างประเทศ</t>
  </si>
  <si>
    <t>sarochap@Senxgroup.com</t>
  </si>
  <si>
    <t>ไปทำงานต่างประเทศไปอยู่กับอา</t>
  </si>
  <si>
    <t>chitsanuchar@sena.co.th</t>
  </si>
  <si>
    <t>Krittaphatm@senxgroup.com</t>
  </si>
  <si>
    <t>sutichaib@senxgroup.com</t>
  </si>
  <si>
    <t>tawanc@senxgroup.com</t>
  </si>
  <si>
    <t>sutthipongm@senxgroup.com</t>
  </si>
  <si>
    <t>เนื่องจากต้องดูแลแม่ที่ป่วย</t>
  </si>
  <si>
    <t>kamonpornj@senxgroup.com</t>
  </si>
  <si>
    <t>tanatipd@senxgroup.com</t>
  </si>
  <si>
    <t>praeploys@senxgroup.com</t>
  </si>
  <si>
    <t>เพิ่งเรียนจบอยากทำงานด้านสายบัญชีโดยตรงกับวุฒิที่ตัวเองจบ ซึ่งได้เงินเดือนเพิ่มจากเดิมประมาณ 4,000 บาท เป็นบริษัท นำเข้าสินค้าส่งให้ตามห้าง</t>
  </si>
  <si>
    <t>jaruneer@senxgroup.com</t>
  </si>
  <si>
    <t>ได้งานใหม่ซึ่งไปอยู่กับบริษัท ที่รับบริหารต่อของโครงเดอะทรี</t>
  </si>
  <si>
    <t>chonthidap@senasolarenergy.com</t>
  </si>
  <si>
    <t>terdsakt@senxgroup.com</t>
  </si>
  <si>
    <t>wachirawits@senxgroup.com</t>
  </si>
  <si>
    <t>katawutt@senxgroup.com</t>
  </si>
  <si>
    <t>komainl@senxgroup.com</t>
  </si>
  <si>
    <t>sumsak@senxgroup.com</t>
  </si>
  <si>
    <t>thippapornj@senxgroup.com</t>
  </si>
  <si>
    <t>Teerayootc@sena.co.th</t>
  </si>
  <si>
    <t>pattarathepk@senasolarenergy.com</t>
  </si>
  <si>
    <t>Sena ตึก 448</t>
  </si>
  <si>
    <t>สถานที่ (Site) : อาคารธัญลักษณ์ภาคย์ 448</t>
  </si>
  <si>
    <t>สถานที่</t>
  </si>
  <si>
    <t>ชั้น</t>
  </si>
  <si>
    <t>คำนำหน้า (ไทย)</t>
  </si>
  <si>
    <t>ชื่อ- สกุล (ไทย)</t>
  </si>
  <si>
    <t>PC/NB</t>
  </si>
  <si>
    <t>Asset Name</t>
  </si>
  <si>
    <t>จอ</t>
  </si>
  <si>
    <t>Asset name</t>
  </si>
  <si>
    <t>บริษัท เสนาดีเวลลอปเม้นท์ จำกัด (มหาชน)</t>
  </si>
  <si>
    <t>สถานที่ (Site) : อาคารธัญลักษณ์ภาคย์ (ทรัพย์สินอาคารส่วนกลาง)</t>
  </si>
  <si>
    <t>BK620035</t>
  </si>
  <si>
    <t>นางสาว</t>
  </si>
  <si>
    <t>เครือมาศ อินทองปาน</t>
  </si>
  <si>
    <t>HO0027072C0005</t>
  </si>
  <si>
    <t>ชุดคอมพิวเตอร์ All in one</t>
  </si>
  <si>
    <t>M</t>
  </si>
  <si>
    <t>ลัดดาวัลย์ ปัดพรม</t>
  </si>
  <si>
    <t>CONHO012C0102</t>
  </si>
  <si>
    <t>ชุดคอมพิวเตอร์ CASE (ไม่รวมจอ)</t>
  </si>
  <si>
    <t>COMMHO012C0026</t>
  </si>
  <si>
    <t>MONITOR LCD 20"</t>
  </si>
  <si>
    <t>สถานที่ (Site) : อาคารธัญลักษณ์ภาคย์ (ฝ่าย IT Support)</t>
  </si>
  <si>
    <t>BK650137</t>
  </si>
  <si>
    <t>นาย</t>
  </si>
  <si>
    <t>วรวุฒิ รัตน์นันต์</t>
  </si>
  <si>
    <t>สายงานเทคโนโลยีสารสนเทศ</t>
  </si>
  <si>
    <t>ICTHO012C0444</t>
  </si>
  <si>
    <t>NoteBook</t>
  </si>
  <si>
    <t>STKICT01000001</t>
  </si>
  <si>
    <t>MONITOR LCD 27"</t>
  </si>
  <si>
    <t>สถานที่ (Site) : อาคารธัญลักษณ์ภาคย์ (ฝ่ายพัฒนาระบบสารสนเทศ)</t>
  </si>
  <si>
    <t>BK650280</t>
  </si>
  <si>
    <t>มลเชียร ทันนาเขตต์</t>
  </si>
  <si>
    <t>HO0007072A0001</t>
  </si>
  <si>
    <t>Apple MAC Mini M2</t>
  </si>
  <si>
    <t>HO0007073M0002</t>
  </si>
  <si>
    <t>จอคอมพิวเตอร์ FHD HP 27"</t>
  </si>
  <si>
    <t>BK650136</t>
  </si>
  <si>
    <t>เอกพล ทรัพย์ทวีกานต์</t>
  </si>
  <si>
    <t>ฝ่ายพัฒนาระบบสารสนเทศ</t>
  </si>
  <si>
    <t>HO0033072C0012</t>
  </si>
  <si>
    <t>HO0033073C0057</t>
  </si>
  <si>
    <t>จอคอมพิวเตอร์ LED HP 27 นิ้ว</t>
  </si>
  <si>
    <t>BK650141</t>
  </si>
  <si>
    <t>สิทธิชัย ดาดาษ</t>
  </si>
  <si>
    <t>แผนกพัฒนาระบบสารสนเทศ</t>
  </si>
  <si>
    <t>HO0007072C0038</t>
  </si>
  <si>
    <t>Notebook DELL Inspiron 5502 15.6 นิ้ว</t>
  </si>
  <si>
    <t>HO2C03021ACC</t>
  </si>
  <si>
    <t>BK650145</t>
  </si>
  <si>
    <t>วิเชฐ แจ้งดี</t>
  </si>
  <si>
    <t>ฝ่ายบริหารและสนับสนุนระบบดิจิทัล</t>
  </si>
  <si>
    <t>CONHO012C0021</t>
  </si>
  <si>
    <t>HO0009072C0014</t>
  </si>
  <si>
    <t>BK650143</t>
  </si>
  <si>
    <t>รุจิรา น้ำทอง</t>
  </si>
  <si>
    <t>แผนกบริหารและสนับสนุนระบบดิจิทัล</t>
  </si>
  <si>
    <t>ICTHO012C0540</t>
  </si>
  <si>
    <t>HO0006073C0004</t>
  </si>
  <si>
    <t>จอคอมพิวเตอร์ LED HP 24 นิ้ว</t>
  </si>
  <si>
    <t>BK650146</t>
  </si>
  <si>
    <t>ธนิสร เย็นประยูรสวัสดิ์</t>
  </si>
  <si>
    <t>SALCHANK072C0004</t>
  </si>
  <si>
    <t>CONPR2012C0001</t>
  </si>
  <si>
    <t>BK650174</t>
  </si>
  <si>
    <t>รัชช์ศิร์ บางเจริญพรพงค์</t>
  </si>
  <si>
    <t>ฝ่าย Technology และ Analytics</t>
  </si>
  <si>
    <t>HO0036072N0006</t>
  </si>
  <si>
    <t>Notebook DELL Inspiron 3511 15.6"</t>
  </si>
  <si>
    <t>HO0007073M0001</t>
  </si>
  <si>
    <t>BK650283</t>
  </si>
  <si>
    <t>ธนศักดิ์ ซ่อนกลิ่น</t>
  </si>
  <si>
    <t>HO0007072C0039</t>
  </si>
  <si>
    <t>Apple MAC Mini M1</t>
  </si>
  <si>
    <t>HO0006073C0005</t>
  </si>
  <si>
    <t>BK650309</t>
  </si>
  <si>
    <t>ณัฐพงศ์ ไหมพรม</t>
  </si>
  <si>
    <t>HO0036072N0044</t>
  </si>
  <si>
    <t>Notebook Lenovo ThinkPad E14 Gen2 14"</t>
  </si>
  <si>
    <t>HO0007073M0003</t>
  </si>
  <si>
    <t>BK660107</t>
  </si>
  <si>
    <t>มานิตย์ ศรีคงแก้ว</t>
  </si>
  <si>
    <t>SN:MP2EHAD9</t>
  </si>
  <si>
    <t>Notebook Lenovo Thinkbook G3 14"</t>
  </si>
  <si>
    <t>SN:9XQD7P3</t>
  </si>
  <si>
    <t>จอคอมพิวเตอร์ FHD DELL 27"</t>
  </si>
  <si>
    <t>รวม</t>
  </si>
  <si>
    <t>BK660131</t>
  </si>
  <si>
    <t>อดินันท์ อติพิศาลกุล</t>
  </si>
  <si>
    <t>SN:MP2EHW11</t>
  </si>
  <si>
    <t>HO0007073M0004</t>
  </si>
  <si>
    <t>BK650139</t>
  </si>
  <si>
    <t>ศุภณัฐ สุขอร่าม</t>
  </si>
  <si>
    <t>แผนก Technology และ Analytics</t>
  </si>
  <si>
    <t>SN:PF39GMY4</t>
  </si>
  <si>
    <t>Notebook Lenovo V14 GEN2 14"</t>
  </si>
  <si>
    <t>CONCKL012C0004</t>
  </si>
  <si>
    <t>สถานที่ (Site) : สำนักงานใหญ่ ตึก 522</t>
  </si>
  <si>
    <t>BK660094</t>
  </si>
  <si>
    <t>วัชรินทร์ กรพิมาย</t>
  </si>
  <si>
    <t>SN:MP2EJ0P7</t>
  </si>
  <si>
    <t>SN:6M6W3P3</t>
  </si>
  <si>
    <t>จอคอมพิวเตอร์ DELL FHD 24"</t>
  </si>
  <si>
    <t>BK650142</t>
  </si>
  <si>
    <t>พลวิทย์ ศรีสุวรรณกุล</t>
  </si>
  <si>
    <t>ฝ่ายคอมพิวเตอร์ และเครือข่าย</t>
  </si>
  <si>
    <t>HO0033072C0014</t>
  </si>
  <si>
    <t>ชุดคอมพิวเตอร์ Case - ไม่รวมจอ</t>
  </si>
  <si>
    <t>HO0033073M0002</t>
  </si>
  <si>
    <t>จอคอมพิวเตอร์ FHD SAMSUNG 24"</t>
  </si>
  <si>
    <t>BK650140</t>
  </si>
  <si>
    <t>สุขสันต์ บุตรนามรักษ์</t>
  </si>
  <si>
    <t>แผนกคอมพิวเตอร์ และเครือข่าย</t>
  </si>
  <si>
    <t>CONHO072C0013</t>
  </si>
  <si>
    <t>CPU Intel I7-2400</t>
  </si>
  <si>
    <t>HO0098073C0001</t>
  </si>
  <si>
    <t>จอคอมพิวเตอร์ ASUS TUF Gaming 24.5 นิ้ว</t>
  </si>
  <si>
    <t>BK650144</t>
  </si>
  <si>
    <t>วรรณิก สิมาลัย</t>
  </si>
  <si>
    <t>HO0033072C0013</t>
  </si>
  <si>
    <t>HO0014073M0002</t>
  </si>
  <si>
    <t>จอคอมพิวเตอร์ FHD HP 22"</t>
  </si>
  <si>
    <t>BK650147</t>
  </si>
  <si>
    <t>ชยพล ศิรินุพงษ์</t>
  </si>
  <si>
    <t>ICTHO072C0003</t>
  </si>
  <si>
    <t>HO0022073M0007</t>
  </si>
  <si>
    <t>จอคอมพิวเตอร์ LED LG 29"</t>
  </si>
  <si>
    <t>BK650316</t>
  </si>
  <si>
    <t>ปรเมศวร์ กาญจนธวัช</t>
  </si>
  <si>
    <t>SALSV50A012C0007</t>
  </si>
  <si>
    <t>HO0028073C0008</t>
  </si>
  <si>
    <t>BK660018</t>
  </si>
  <si>
    <t>ชานนท์ ขันอาษา</t>
  </si>
  <si>
    <t>HO0013072C0001</t>
  </si>
  <si>
    <t>HO2C03027ACC</t>
  </si>
  <si>
    <t>BK660122</t>
  </si>
  <si>
    <t>จรัส วงษ์โห้</t>
  </si>
  <si>
    <t>SN:FCD0HY3</t>
  </si>
  <si>
    <t>ชุดคอมพิวเตอร์ Dell 7010SFF i5-13500</t>
  </si>
  <si>
    <t>SN:C7GNYV3</t>
  </si>
  <si>
    <t>จอคอมพิวเตอร์ FHD DELL 24"</t>
  </si>
  <si>
    <t>BK670049</t>
  </si>
  <si>
    <t>ศิริพร ตรีพิพิธ</t>
  </si>
  <si>
    <t>LAWHO012C0017</t>
  </si>
  <si>
    <t>HO0009072C0015</t>
  </si>
  <si>
    <t>MONITOR LCD 22"</t>
  </si>
  <si>
    <t>สถานที่ (Site) : สำนักงานใหญ่ ตึก 524</t>
  </si>
  <si>
    <t>สถานที่ (Site) : หน่วยงาน SenX Digital (SenX Digital)</t>
  </si>
  <si>
    <t>BK670082</t>
  </si>
  <si>
    <t>พสิษฐ์ เหลืองอำพล</t>
  </si>
  <si>
    <t>ฝ่าย Digital Platform &amp; Integration</t>
  </si>
  <si>
    <t>SN:XFKYPXD4DR</t>
  </si>
  <si>
    <t>Apple Macbook 13.6" M2 Chip/8C CPU</t>
  </si>
  <si>
    <t>BK670085</t>
  </si>
  <si>
    <t>กานต์ เชาว์วิจิตร</t>
  </si>
  <si>
    <t>SN:MP2E0NAA</t>
  </si>
  <si>
    <t>BK670081</t>
  </si>
  <si>
    <t>สรัญญา ตั้งโซ๊ะ</t>
  </si>
  <si>
    <t>แผนก Digital Platform &amp; Integration</t>
  </si>
  <si>
    <t>SN:MP2ET26N</t>
  </si>
  <si>
    <t>Notebook Lenovo Thinkbook 15.6"</t>
  </si>
  <si>
    <t>สถานที่ (Site) : อาคารธัญลักษณ์ภาคย์ (แผนก Smartify)</t>
  </si>
  <si>
    <t>BK670083</t>
  </si>
  <si>
    <t>ทนงศักดิ์ นิราศ</t>
  </si>
  <si>
    <t>SN:MP2ESVB1</t>
  </si>
  <si>
    <t>BK670084</t>
  </si>
  <si>
    <t>ชเนษฎ์ วิชชจุฑากุล</t>
  </si>
  <si>
    <t>SN:P3KP62F25T</t>
  </si>
  <si>
    <t>BK680365</t>
  </si>
  <si>
    <t>ธานินทร์ สีน้ำอ้อม</t>
  </si>
  <si>
    <t>สายงานบริหารโครงการคอนโดและบ้าน 11</t>
  </si>
  <si>
    <t>CONT5072C0001</t>
  </si>
  <si>
    <t>Notebook Asus Vivobook 14 นิ้ว</t>
  </si>
  <si>
    <t>BK680366</t>
  </si>
  <si>
    <t>ปริพัตร ตริตรอง</t>
  </si>
  <si>
    <t>สายงานบริหารโครงการคอนโดและบ้าน 12</t>
  </si>
  <si>
    <t>CONT4072C0001</t>
  </si>
  <si>
    <t>BK670038</t>
  </si>
  <si>
    <t>อรรถพล เทียนเจริญ</t>
  </si>
  <si>
    <t>SN:MP2831NN</t>
  </si>
  <si>
    <t>BK650252</t>
  </si>
  <si>
    <t>สนิฎา หาญกำเนิดพงศ์</t>
  </si>
  <si>
    <t>HO0036072C0031</t>
  </si>
  <si>
    <t>ชุดคอมพิวเตอร์ CASE i5-10500 พร้อมอุปกรณ์</t>
  </si>
  <si>
    <t>HO0036073M0043</t>
  </si>
  <si>
    <t>เสาวลักษณ์ ภักดีพงษ์</t>
  </si>
  <si>
    <t>BK560045</t>
  </si>
  <si>
    <t>ว่าที่ ร.ต.</t>
  </si>
  <si>
    <t>ฐิตินันท์ อินทาปัจ</t>
  </si>
  <si>
    <t>PESHO012C0049</t>
  </si>
  <si>
    <t>PESHO012C0047</t>
  </si>
  <si>
    <t>ระวีพร ประทีปพรศักดิ์</t>
  </si>
  <si>
    <t>HO0021072C0001</t>
  </si>
  <si>
    <t>BK660083</t>
  </si>
  <si>
    <t>สุภาภรณ์ สุขคำมี</t>
  </si>
  <si>
    <t>HO0026072C0001</t>
  </si>
  <si>
    <t>SN:B3732Y3</t>
  </si>
  <si>
    <t>อนุสรณ์ เชือนเชื้อ</t>
  </si>
  <si>
    <t>SN:7QRKQ04</t>
  </si>
  <si>
    <t>SN:9F27XY3</t>
  </si>
  <si>
    <t>ปพัชญา คนใหญ่</t>
  </si>
  <si>
    <t>HO0026072C0014</t>
  </si>
  <si>
    <t>ชุดคอมพิวเตอร์ CASE i5-9400 พร้อมอุปกรณ์</t>
  </si>
  <si>
    <t>BK650231</t>
  </si>
  <si>
    <t>ฐานะพงษ์ สงนวน</t>
  </si>
  <si>
    <t>แผนก Talent Acquisition &amp; Employee Branding</t>
  </si>
  <si>
    <t>HO0026072N0001</t>
  </si>
  <si>
    <t>Notebook acer TravelMate P214 15"</t>
  </si>
  <si>
    <t>ACCHO012C0010</t>
  </si>
  <si>
    <t>BK670060</t>
  </si>
  <si>
    <t>กัลยา จันทุลาง</t>
  </si>
  <si>
    <t>แผนกบริการและสนับสนุนด้านเทคนิค</t>
  </si>
  <si>
    <t>SN:2V8BXW3</t>
  </si>
  <si>
    <t>SN:FYM6KT3</t>
  </si>
  <si>
    <t>บริษัท เสนา กรีน เอนเนอร์ยี่ จำกัด</t>
  </si>
  <si>
    <t>สิทธิ รัตนราษี</t>
  </si>
  <si>
    <t>SN:MP2ESZZ5</t>
  </si>
  <si>
    <t>วิไล สายสิทธิ์</t>
  </si>
  <si>
    <t>PESHO072C0003</t>
  </si>
  <si>
    <t>SN:DL1J8X3</t>
  </si>
  <si>
    <t>สถานที่ (Site) : อาคารธัญลักษณ์ภาคย์ (ฝ่ายตรวจสอบภายใน (IA))</t>
  </si>
  <si>
    <t>BK620048</t>
  </si>
  <si>
    <t>ภาวิพัชร มณีนิล</t>
  </si>
  <si>
    <t>ฝ่ายตรวจสอบภายใน</t>
  </si>
  <si>
    <t>SN:MP2ET3QQ</t>
  </si>
  <si>
    <t>HO0025073C0002</t>
  </si>
  <si>
    <t>จอคอมพิวเตอร์ LED HP 22 นิ้ว</t>
  </si>
  <si>
    <t>BK640044</t>
  </si>
  <si>
    <t>ชูวิทย์ ปรีชาศุทธิ์</t>
  </si>
  <si>
    <t>HO0038072C0001</t>
  </si>
  <si>
    <t>HO0036073C0011</t>
  </si>
  <si>
    <t>BK640131</t>
  </si>
  <si>
    <t>สุวภัทร ขวัญเมือง</t>
  </si>
  <si>
    <t>HO0036072C0013</t>
  </si>
  <si>
    <t>ชุดคอมพิวเตอร์ CASE i5-8500 (ไม่มีอุปกรณ์ต่อพ่วง)</t>
  </si>
  <si>
    <t>HO0038073C0001</t>
  </si>
  <si>
    <t>BK640132</t>
  </si>
  <si>
    <t>ธราเทพ ตราชู</t>
  </si>
  <si>
    <t>HO0038072C0004</t>
  </si>
  <si>
    <t>ชุดคอมพิวเตอร์ All in one Lennovo</t>
  </si>
  <si>
    <t>HO0038073M0001</t>
  </si>
  <si>
    <t>BK650278</t>
  </si>
  <si>
    <t>ภาวิศ พ่วงทองคำ</t>
  </si>
  <si>
    <t>HO0026072C0004</t>
  </si>
  <si>
    <t>CONHO012C0065</t>
  </si>
  <si>
    <t>อนงค์วรรณ ดวงศรี</t>
  </si>
  <si>
    <t>HO0038072C0003</t>
  </si>
  <si>
    <t>ชุดคอมพิวเตอร์ CASE i5-11400 พร้อมอุปกรณ์</t>
  </si>
  <si>
    <t>HO0038073M0002</t>
  </si>
  <si>
    <t>ณรดา จันทร์สุริย์</t>
  </si>
  <si>
    <t>FINRHO072C0001</t>
  </si>
  <si>
    <t>HO0008073C0002</t>
  </si>
  <si>
    <t>สถานที่ (Site) : อาคารธัญลักษณ์ภาคย์ (สายงานจัดซื้อ)</t>
  </si>
  <si>
    <t>BK000040</t>
  </si>
  <si>
    <t>ทัศนัย มั่นยวน</t>
  </si>
  <si>
    <t>สายงานจัดซื้อ</t>
  </si>
  <si>
    <t>PURHO072C0001</t>
  </si>
  <si>
    <t>HO0036073C0001</t>
  </si>
  <si>
    <t>จอคอมพิวเตอร์ LED SAMSUNG 27 นิ้ว</t>
  </si>
  <si>
    <t>BK620115</t>
  </si>
  <si>
    <t>ชุติมา อิทธิรัตนะโกมล</t>
  </si>
  <si>
    <t>PURHO072C0002</t>
  </si>
  <si>
    <t>PURHO072C0004</t>
  </si>
  <si>
    <t>MONITOR LCD 24"</t>
  </si>
  <si>
    <t>BK660087</t>
  </si>
  <si>
    <t>บุญญฤทธิ์ ชุนเจริญ</t>
  </si>
  <si>
    <t>HO2C01004PUR</t>
  </si>
  <si>
    <t>HO2C03004PUR</t>
  </si>
  <si>
    <t>BK660135</t>
  </si>
  <si>
    <t>ขวัญชนก มุขตวาภัย</t>
  </si>
  <si>
    <t>PURHO012C0014</t>
  </si>
  <si>
    <t>HO0023072C0003</t>
  </si>
  <si>
    <t>BK560038</t>
  </si>
  <si>
    <t>ปุณยนุช สิทธิไชยนันท์</t>
  </si>
  <si>
    <t>แผนกจัดซื้อ</t>
  </si>
  <si>
    <t>HO0014072C0012</t>
  </si>
  <si>
    <t>ชุดคอมพิวเตอร์ CASE i5-8500 พร้อมอุปกรณ์</t>
  </si>
  <si>
    <t>ICTHO012C0144</t>
  </si>
  <si>
    <t>BK650242</t>
  </si>
  <si>
    <t>นภาลัย ใจดี</t>
  </si>
  <si>
    <t>HO0023072C0006</t>
  </si>
  <si>
    <t>HO0023073M0003</t>
  </si>
  <si>
    <t>BK660020</t>
  </si>
  <si>
    <t>ศิรินภา ชมประเสริฐ</t>
  </si>
  <si>
    <t>HO0036072C0068</t>
  </si>
  <si>
    <t>HO0036073M0049</t>
  </si>
  <si>
    <t>BK670045</t>
  </si>
  <si>
    <t>ประภัสสร ปิยะวัติ</t>
  </si>
  <si>
    <t>HO0036072C00088</t>
  </si>
  <si>
    <t>BK670091</t>
  </si>
  <si>
    <t>สมใจ ปิ่นเพชร</t>
  </si>
  <si>
    <t>SN:6ZYNPY3</t>
  </si>
  <si>
    <t>SN:C7LNYV3</t>
  </si>
  <si>
    <t>BK670092</t>
  </si>
  <si>
    <t>ภัทรธิดา พิริยะรุ่งโรจน์</t>
  </si>
  <si>
    <t>HO0036072C0060</t>
  </si>
  <si>
    <t>HO0036073M0034</t>
  </si>
  <si>
    <t>BK610108</t>
  </si>
  <si>
    <t>นรีรัตน์ ครองตน</t>
  </si>
  <si>
    <t>แผนกจัดซื้อแนวราบ</t>
  </si>
  <si>
    <t>FINRHO012C0003</t>
  </si>
  <si>
    <t>HO2C03006PUR</t>
  </si>
  <si>
    <t>BK630020</t>
  </si>
  <si>
    <t>วรเทพ บุญอยู่</t>
  </si>
  <si>
    <t>ADMHO012C0031</t>
  </si>
  <si>
    <t>HO2C03003PUR</t>
  </si>
  <si>
    <t>BK660045</t>
  </si>
  <si>
    <t>ลัดดา จงปัตนา</t>
  </si>
  <si>
    <t>HO0023072C0005</t>
  </si>
  <si>
    <t>HO0023073M0004</t>
  </si>
  <si>
    <t>BK660086</t>
  </si>
  <si>
    <t>อนุสรา แก้วบัวดี</t>
  </si>
  <si>
    <t>HO0023072C0002</t>
  </si>
  <si>
    <t>HO0023073M0001</t>
  </si>
  <si>
    <t>BK550012</t>
  </si>
  <si>
    <t>ศิริลักษณ์ ทะวงค์ศรี</t>
  </si>
  <si>
    <t>HK2C01001SAL</t>
  </si>
  <si>
    <t>นิตยา นวลจอน</t>
  </si>
  <si>
    <t>CONHO012C0089</t>
  </si>
  <si>
    <t>HO0005073C0016</t>
  </si>
  <si>
    <t>BK650177</t>
  </si>
  <si>
    <t>ลีลาวดี อุทัยรังษี</t>
  </si>
  <si>
    <t>HO0023072C0007</t>
  </si>
  <si>
    <t>CONHO012C0060</t>
  </si>
  <si>
    <t>BK660078</t>
  </si>
  <si>
    <t>บัวแก้ว ศรีสร้อย</t>
  </si>
  <si>
    <t>PURHO012C0013</t>
  </si>
  <si>
    <t>HO2C03003A/C</t>
  </si>
  <si>
    <t>BK660152</t>
  </si>
  <si>
    <t>นาง</t>
  </si>
  <si>
    <t>วิรงรอง เพชรสะแก</t>
  </si>
  <si>
    <t>ฝ่าย Supply Chain Planning</t>
  </si>
  <si>
    <t>SN:MP2ET64A</t>
  </si>
  <si>
    <t>SCM1073M0001</t>
  </si>
  <si>
    <t>จอคอมพิวเตอร์ LCD AOC 24"</t>
  </si>
  <si>
    <t>BK670016</t>
  </si>
  <si>
    <t>วินัย พลายด้วง</t>
  </si>
  <si>
    <t>SN:MP2M8JL3</t>
  </si>
  <si>
    <t>Notebook Lenovo Thinkbook G4 14"</t>
  </si>
  <si>
    <t>BK670065</t>
  </si>
  <si>
    <t>วันชัย กล่ำบุญ</t>
  </si>
  <si>
    <t>CONSKN072C0001</t>
  </si>
  <si>
    <t>Notebook DELL Inspiron</t>
  </si>
  <si>
    <t>HOS010073M0004</t>
  </si>
  <si>
    <t>สถานที่ (Site) : อาคารธัญลักษณ์ภาคย์ (สายงานธุรกิจ 21) ( Supply Chain)</t>
  </si>
  <si>
    <t>ยุวเทวี กลางบุรัมย์</t>
  </si>
  <si>
    <t>แผนก Supply Chain Planning</t>
  </si>
  <si>
    <t>JPSHO072C0025</t>
  </si>
  <si>
    <t>SN:DMZH8X3</t>
  </si>
  <si>
    <t>สถานที่ (Site) : อาคารธัญลักษณ์ภาคย์ (เอท โซลาร์)</t>
  </si>
  <si>
    <t>ชัยรัตน์ พุดพิมเสน</t>
  </si>
  <si>
    <t>คอมส่วนตัว</t>
  </si>
  <si>
    <t>SGE660026</t>
  </si>
  <si>
    <t>อังคณา ใจการ</t>
  </si>
  <si>
    <t>ฝ่ายบัญชีการเงิน</t>
  </si>
  <si>
    <t>SN:PF3A18G4</t>
  </si>
  <si>
    <t>CONK2K012C0016</t>
  </si>
  <si>
    <t>อมรรัตน์ กันดี</t>
  </si>
  <si>
    <t>SN:BSRKQ04</t>
  </si>
  <si>
    <t>SN:8ZY7XY3</t>
  </si>
  <si>
    <t>วรรณิกา หมื่นไธสง</t>
  </si>
  <si>
    <t>SN:JJ6MBZ3</t>
  </si>
  <si>
    <t>SN:90N8XY3</t>
  </si>
  <si>
    <t>SGE670034</t>
  </si>
  <si>
    <t>อุไรวรรณ สายแวว</t>
  </si>
  <si>
    <t>SN:BRRKQ04</t>
  </si>
  <si>
    <t>SN:91X6XY3</t>
  </si>
  <si>
    <t>บริษัท เสนา โซลาร์ เอนเนอร์ยี่ จำกัด</t>
  </si>
  <si>
    <t>สถานที่ (Site) : กลุ่มธุรกิจเช่าอสังหาริมทรัพย์ SK Asset (สำนักงาน SK Asset)</t>
  </si>
  <si>
    <t>จตุรงค์ สัจจะนรพันธ์</t>
  </si>
  <si>
    <t>SN:MP2EJ2XP</t>
  </si>
  <si>
    <t>สถานที่ (Site) : อาคารธัญลักษณ์ภาคย์ (สายงานพัฒนาโครงการและพัฒนาผลิตภัณฑ์)</t>
  </si>
  <si>
    <t>SSG670017</t>
  </si>
  <si>
    <t>อำนาจ พิบูลย์</t>
  </si>
  <si>
    <t>HO0022072C0029</t>
  </si>
  <si>
    <t>HO2C03019CON</t>
  </si>
  <si>
    <t>สถานที่ (Site) : สายงานบริษัท เสนา กรีน เอนเนอร์ยี่ จำกัด (สายงาน เอท โซลาร์)</t>
  </si>
  <si>
    <t>พงศ์พัฒน์ ไตรประวัติ</t>
  </si>
  <si>
    <t>HO0002072C0011</t>
  </si>
  <si>
    <t>ชุดคอมพิวเตอร์ CASE i5-11500 พร้อมอุปกรณ์</t>
  </si>
  <si>
    <t>HO0002073C0008</t>
  </si>
  <si>
    <t>จอคอมพิวเตอร์ LED SAMSUNG 24 นิ้ว</t>
  </si>
  <si>
    <t>SSG650005</t>
  </si>
  <si>
    <t>อาทิตย์ ชาญเดช</t>
  </si>
  <si>
    <t>8SOLA072C0004</t>
  </si>
  <si>
    <t>HO0002073C0009</t>
  </si>
  <si>
    <t>SSG660007</t>
  </si>
  <si>
    <t>ศักดินันท์ สอนวงษ์</t>
  </si>
  <si>
    <t>SN:16F7LS3</t>
  </si>
  <si>
    <t>Notebook DELL Precision M3591</t>
  </si>
  <si>
    <t>HO0002073M0002</t>
  </si>
  <si>
    <t>จอคอมพิวเตอร์ LED Lenovo 24"</t>
  </si>
  <si>
    <t>จักรพันธ์ ศิริสุนทรชัย</t>
  </si>
  <si>
    <t>MP2EHCN6</t>
  </si>
  <si>
    <t>SSG610019</t>
  </si>
  <si>
    <t>วัชชนะศักดิ์ ศักดิ์สมวาสน์</t>
  </si>
  <si>
    <t>PTH2C13002SAL</t>
  </si>
  <si>
    <t>HO0002073M0005</t>
  </si>
  <si>
    <t>จอคอมพิวเตอร์ FHD HP 24"</t>
  </si>
  <si>
    <t>SSG610002</t>
  </si>
  <si>
    <t>สายสุณี ชาติบูรณะ</t>
  </si>
  <si>
    <t>แผนกคลังสินค้าและจัดส่ง</t>
  </si>
  <si>
    <t>PTH2C13008SAL</t>
  </si>
  <si>
    <t>COMMHO012C0001</t>
  </si>
  <si>
    <t>รุ่งศักดิ์ นิธิลาภพูล</t>
  </si>
  <si>
    <t>SN:MP2EHMN1</t>
  </si>
  <si>
    <t>SSG660009</t>
  </si>
  <si>
    <t>วารินทร์ เพ็ชร์ภักดี</t>
  </si>
  <si>
    <t>SN:FDD0HY3</t>
  </si>
  <si>
    <t>SN:C7FNYV3</t>
  </si>
  <si>
    <t>SSG670002</t>
  </si>
  <si>
    <t>ณฐมน แสนยะมูล</t>
  </si>
  <si>
    <t>ADMHO012C0018</t>
  </si>
  <si>
    <t>HOM09157XY3</t>
  </si>
  <si>
    <t>ภูวสิษฏ์ ดอกจันทร์</t>
  </si>
  <si>
    <t>กีรติ อับดุลย์</t>
  </si>
  <si>
    <t>HO0002072N0005</t>
  </si>
  <si>
    <t>SSG670018</t>
  </si>
  <si>
    <t>สุเปียน เด็งระกีนา</t>
  </si>
  <si>
    <t>HO0002072C0010</t>
  </si>
  <si>
    <t>Notebook ASUS ROG Strix G 15.6 นิ้ว</t>
  </si>
  <si>
    <t>สุพัฒนพงศ์ วงษ์กิจวิเชียร</t>
  </si>
  <si>
    <t>SN:MP2EJ2XV</t>
  </si>
  <si>
    <t>HO0002073M0001</t>
  </si>
  <si>
    <t>สุทธิโชติ มั่งคั่ง</t>
  </si>
  <si>
    <t>SN:MP2EHHQL</t>
  </si>
  <si>
    <t>สถานที่ (Site) : อาคารธัญลักษณ์ภาคย์ (เสนา โซลาร์)</t>
  </si>
  <si>
    <t>SGE660024</t>
  </si>
  <si>
    <t>สุภาวดี คาพิจารณ์</t>
  </si>
  <si>
    <t>SN:MP2EJ2WV</t>
  </si>
  <si>
    <t>HO2C03025ACC</t>
  </si>
  <si>
    <t>MONITOR CRT/CTX 17"</t>
  </si>
  <si>
    <t>สมัชญา บุญผ่อง</t>
  </si>
  <si>
    <t>สายงานบัญชี 3 (กลุ่มธุรกิจโซลาร์)</t>
  </si>
  <si>
    <t>มณฑาทิพย์ เทศเล็ก</t>
  </si>
  <si>
    <t>HO2C01006GPH</t>
  </si>
  <si>
    <t>HO0002073M0003</t>
  </si>
  <si>
    <t>SGE660023</t>
  </si>
  <si>
    <t>พิชยา พุฒพันธ์</t>
  </si>
  <si>
    <t>ADMHO012C0025</t>
  </si>
  <si>
    <t>SN:7PMVGZ3</t>
  </si>
  <si>
    <t>นพสร สุดใจ</t>
  </si>
  <si>
    <t>TTREHO012C0001</t>
  </si>
  <si>
    <t>CONHO012C0048</t>
  </si>
  <si>
    <t>SSG620003</t>
  </si>
  <si>
    <t>วริศ บวรรัตนสุภา</t>
  </si>
  <si>
    <t>SN:MP2E0P8R</t>
  </si>
  <si>
    <t>Notebook Lenovo Thinkbook Gen2 14"</t>
  </si>
  <si>
    <t>สถานที่ (Site) : อาคารธัญลักษณ์ภาคย์ (ฝ่ายธุรกิจต่างประเทศ)</t>
  </si>
  <si>
    <t>BK600084</t>
  </si>
  <si>
    <t>ปณิตา บุญญาศิริ</t>
  </si>
  <si>
    <t>HO0031072C0001</t>
  </si>
  <si>
    <t>HO0097073M0001</t>
  </si>
  <si>
    <t>พัชรีญา คงสิม</t>
  </si>
  <si>
    <t>HO0024072C0008</t>
  </si>
  <si>
    <t>HO0024072C0005</t>
  </si>
  <si>
    <t>สถานที่ (Site) : อาคารธัญลักษณ์ภาคย์ (สายงานจัดสรรเงินทุนและการลงทุน)</t>
  </si>
  <si>
    <t>BK510075</t>
  </si>
  <si>
    <t>อธิกา บุญรอดชู</t>
  </si>
  <si>
    <t>สายงาน Financial Project Analysis และ Planning</t>
  </si>
  <si>
    <t>HO0008072C0008</t>
  </si>
  <si>
    <t>HO0008073M0002</t>
  </si>
  <si>
    <t>BK640145</t>
  </si>
  <si>
    <t>กนิษ กนิษฐะสุนทร</t>
  </si>
  <si>
    <t>HO0008072C0007</t>
  </si>
  <si>
    <t>ชุดคอมพิวเตอร์ CASE i5-10400 พร้อมอุปกรณ์</t>
  </si>
  <si>
    <t>HO0008073M0001</t>
  </si>
  <si>
    <t>พรชัย สุขเอี่ยม</t>
  </si>
  <si>
    <t>ฝ่ายFinancial Project Analysis และ Planning</t>
  </si>
  <si>
    <t>FINRHO012C0007</t>
  </si>
  <si>
    <t>HO0036073M0020</t>
  </si>
  <si>
    <t>BK670046</t>
  </si>
  <si>
    <t>อนุศรา สิงห์สา</t>
  </si>
  <si>
    <t>HO0008072C0005</t>
  </si>
  <si>
    <t>HO0008072C0001</t>
  </si>
  <si>
    <t>บริษัท เสนา เอชเอชพี 17 จำกัด</t>
  </si>
  <si>
    <t>SP17660002</t>
  </si>
  <si>
    <t>ธนกร ศิริศุภนนท์</t>
  </si>
  <si>
    <t>HO0048072N0001</t>
  </si>
  <si>
    <t>Notebook DELL Latitude 3520 15.6"</t>
  </si>
  <si>
    <t>SHYHOPTH072C0004</t>
  </si>
  <si>
    <t>กรรนิภา กาโยดม</t>
  </si>
  <si>
    <t>แผนก Financial Project Analysis และ Planning</t>
  </si>
  <si>
    <t>HO0036072C0078</t>
  </si>
  <si>
    <t>HO0008072C0003</t>
  </si>
  <si>
    <t>BK670063</t>
  </si>
  <si>
    <t>เปรมยุดา รักษาศรี</t>
  </si>
  <si>
    <t>HOS010072C0006</t>
  </si>
  <si>
    <t>ชุดคอมพิวเตอร์ CASE i5-12400 พร้อมอุปกรณ์</t>
  </si>
  <si>
    <t>HOS010073M0003</t>
  </si>
  <si>
    <t>บริษัท เสนา เอชเอชพี 18 จำกัด</t>
  </si>
  <si>
    <t>SP18660001</t>
  </si>
  <si>
    <t>พศวัต สายทอง</t>
  </si>
  <si>
    <t>HO0036072C0076</t>
  </si>
  <si>
    <t>MAKHO072C0003</t>
  </si>
  <si>
    <t>บริษัท เสนา เอชเอชพี 4 จำกัด</t>
  </si>
  <si>
    <t>SP4630003</t>
  </si>
  <si>
    <t>คณิตตา จงก้องเกียรติ</t>
  </si>
  <si>
    <t>A3HOPTH072C0002</t>
  </si>
  <si>
    <t>FINRHO012C0010</t>
  </si>
  <si>
    <t>SP4660004</t>
  </si>
  <si>
    <t>ศิริลักษณ์ มะโนดำ</t>
  </si>
  <si>
    <t>HO0036072C0096</t>
  </si>
  <si>
    <t>HO0036073M0085</t>
  </si>
  <si>
    <t>จอคอมพิวเตอร์ FHD LG 22"</t>
  </si>
  <si>
    <t>สถานที่ (Site) : อาคารธัญลักษณ์ภาคย์ (ฝ่ายกำกับดูแลและบริหารทรัพย์สิน)</t>
  </si>
  <si>
    <t>BK590074</t>
  </si>
  <si>
    <t>วรรณิภา วุฒิวัฒน์</t>
  </si>
  <si>
    <t>กลุ่มงานด้านกำกับนโยบาย</t>
  </si>
  <si>
    <t>HO0005072C0013</t>
  </si>
  <si>
    <t>HO0028073C0005</t>
  </si>
  <si>
    <t>BK620145</t>
  </si>
  <si>
    <t>วาสนา แก้วบัวดี</t>
  </si>
  <si>
    <t>TS2C01002SAL</t>
  </si>
  <si>
    <t>SALVH012C0006</t>
  </si>
  <si>
    <t>สถานที่ (Site) : อาคารธัญลักษณ์ภาคย์ (สายงานกำกับนโยบายราคาขายข้อมูลระบบและบริหารเรื่องร้องเรียน)</t>
  </si>
  <si>
    <t>BK670062</t>
  </si>
  <si>
    <t>นิษา สุขอร่าม</t>
  </si>
  <si>
    <t>แผนก Rent to Own</t>
  </si>
  <si>
    <t>HO0036072C0083</t>
  </si>
  <si>
    <t>HOS010073M0001</t>
  </si>
  <si>
    <t>สถานที่ (Site) : อาคารธัญลักษณ์ภาคย์ (สายงานกำกับดูแลกิจการ)</t>
  </si>
  <si>
    <t>BK630052</t>
  </si>
  <si>
    <t>สุคนธา เกษมสุข</t>
  </si>
  <si>
    <t>ฝ่ายกำกับดูแลกิจการ</t>
  </si>
  <si>
    <t>SALRT3012C0008</t>
  </si>
  <si>
    <t>HO0025073M0002</t>
  </si>
  <si>
    <t>BK620019</t>
  </si>
  <si>
    <t>ฐิตวัฒน์ พุทธชาติ</t>
  </si>
  <si>
    <t>HO0036072C0065</t>
  </si>
  <si>
    <t>HO0036073M0048</t>
  </si>
  <si>
    <t>BK640012</t>
  </si>
  <si>
    <t>วรรณิษา หัตถมาศ</t>
  </si>
  <si>
    <t>HO0025072C0005</t>
  </si>
  <si>
    <t>HO0025073M0001</t>
  </si>
  <si>
    <t>BK660042</t>
  </si>
  <si>
    <t>ทวารัตน์ เต็งทอง</t>
  </si>
  <si>
    <t>HO0036072C0085</t>
  </si>
  <si>
    <t>HO0036073M0072</t>
  </si>
  <si>
    <t>ปรียานุช ชัยพันธุ์</t>
  </si>
  <si>
    <t>SN:HXYNPY3</t>
  </si>
  <si>
    <t>SN:C7QLYV3</t>
  </si>
  <si>
    <t>BK000068</t>
  </si>
  <si>
    <t>นันทวรรณ ศรีแป้นพุก</t>
  </si>
  <si>
    <t>สายงานกำกับนโยบายราคาขาย - ข้อมูลระบบ และบริหารเรื่องร้องเรียนลูกค้า (SPC)</t>
  </si>
  <si>
    <t>MGPHO012C0002</t>
  </si>
  <si>
    <t>HO0035073M0001</t>
  </si>
  <si>
    <t>BK620011</t>
  </si>
  <si>
    <t>ปรารถนา ช่วยคล้าย</t>
  </si>
  <si>
    <t>ฝ่ายกำกับราคาขาย - ข้อมูลระบบ (SPS)</t>
  </si>
  <si>
    <t>HO0035072C0001</t>
  </si>
  <si>
    <t>HO0044073M0001</t>
  </si>
  <si>
    <t>สถานที่ (Site) : อาคารธัญลักษณ์ภาคย์ (สายงานกำกับราคาขายและข้อมูลระบบ)</t>
  </si>
  <si>
    <t>BK620153</t>
  </si>
  <si>
    <t>ชลกนก ด่านดีคงสกุล</t>
  </si>
  <si>
    <t>CONPETBR072C0002</t>
  </si>
  <si>
    <t>HO0009072C0001R</t>
  </si>
  <si>
    <t>BK600129</t>
  </si>
  <si>
    <t>ศิริรัตน์ ชมภูพื้น</t>
  </si>
  <si>
    <t>แผนกกำกับราคาขาย - ข้อมูลระบบ (SPS)</t>
  </si>
  <si>
    <t>CONHO012C0022</t>
  </si>
  <si>
    <t>MGPHO073C0003</t>
  </si>
  <si>
    <t>BK620150</t>
  </si>
  <si>
    <t>พัชรินทร์ เย็นใจ</t>
  </si>
  <si>
    <t>COMMHO012C0016</t>
  </si>
  <si>
    <t>HO0009072C0002R</t>
  </si>
  <si>
    <t>BK660145</t>
  </si>
  <si>
    <t>วรารัตน์ จักรชัย</t>
  </si>
  <si>
    <t>HO0044072N0001</t>
  </si>
  <si>
    <t>HO0036073M0004</t>
  </si>
  <si>
    <t>BK680122</t>
  </si>
  <si>
    <t>ณัฏฐิกานต์ ศาสตร์ภักดี</t>
  </si>
  <si>
    <t>SN:DNT2CZ3</t>
  </si>
  <si>
    <t>SN:9X742Y3</t>
  </si>
  <si>
    <t>BK600073</t>
  </si>
  <si>
    <t>สุวรรณา ก้องเกียรติโสภณ</t>
  </si>
  <si>
    <t>HO0009072C0009</t>
  </si>
  <si>
    <t>MGPHO012C0016</t>
  </si>
  <si>
    <t>หฤทัย ปัจจยาการกุล</t>
  </si>
  <si>
    <t>COMMHO012C0006</t>
  </si>
  <si>
    <t>SALRT3012C0009</t>
  </si>
  <si>
    <t>BK660111</t>
  </si>
  <si>
    <t>สุรีย์วรรณ สายสุด</t>
  </si>
  <si>
    <t>SN:6FD0HY3</t>
  </si>
  <si>
    <t>SN:753KYV3</t>
  </si>
  <si>
    <t>BK620085</t>
  </si>
  <si>
    <t>ยุวธิดา พิพัฒนสุคนธ์</t>
  </si>
  <si>
    <t>แผนกกำกับนโยบาย 2</t>
  </si>
  <si>
    <t>HO0035072C0005</t>
  </si>
  <si>
    <t>CONHO012C0027</t>
  </si>
  <si>
    <t>BK610121</t>
  </si>
  <si>
    <t>อิสราภรณ์ เจ๊กจันทึก</t>
  </si>
  <si>
    <t>ฝ่ายบริหารเรื่องร้องเรียนของลูกค้า (CMD)</t>
  </si>
  <si>
    <t>HO0035072C0003</t>
  </si>
  <si>
    <t>HO0035072C0004</t>
  </si>
  <si>
    <t>บริษัท เดอะ เซอร์วิส เรสซิเด้นท์ จำกัด</t>
  </si>
  <si>
    <t>ณัฐชยา อรุณเรืองสวัสดิ์</t>
  </si>
  <si>
    <t>SN:PF39H4S5</t>
  </si>
  <si>
    <t>HO0008073C0001</t>
  </si>
  <si>
    <t>ธนากรณ์ มณีพฤกษ์</t>
  </si>
  <si>
    <t>SN:GJT2CZ3</t>
  </si>
  <si>
    <t>SN:DL0J8X3</t>
  </si>
  <si>
    <t>สถานที่ (Site) : อาคารธัญลักษณ์ภาคย์ (ฝ่ายบัญชี SenX)</t>
  </si>
  <si>
    <t>กุลนารี ธรรมโชติดำรง</t>
  </si>
  <si>
    <t>สายงาน Finance Business Partner</t>
  </si>
  <si>
    <t>SN:MP2ESVKP</t>
  </si>
  <si>
    <t>กันตพงศ์ บรรจงเพียร</t>
  </si>
  <si>
    <t>SN:MP2ETFC2</t>
  </si>
  <si>
    <t>บริษัท ไอโซร่า ไลน์ จำกัด</t>
  </si>
  <si>
    <t>ISR630001</t>
  </si>
  <si>
    <t>ภูมิพัฒน์ อาริภู</t>
  </si>
  <si>
    <t>HQOHO012C0013</t>
  </si>
  <si>
    <t>HQOHO072C0002</t>
  </si>
  <si>
    <t>บริษัท บริหารสินทรัพย์ ที.ที. จำกัด</t>
  </si>
  <si>
    <t>สถานที่ (Site) : อาคารธัญลักษณ์ภาคย์ (ฝ่ายบัญชีนอกตลาด)</t>
  </si>
  <si>
    <t>AM610001</t>
  </si>
  <si>
    <t>พจรินทร์ เจือจิตร</t>
  </si>
  <si>
    <t>HO0028072C0023</t>
  </si>
  <si>
    <t>HO0028073C0006</t>
  </si>
  <si>
    <t>AM670001</t>
  </si>
  <si>
    <t>สุกัญญา ช่วยประดิษฐ์</t>
  </si>
  <si>
    <t>แผนกบัญชีจ่าย</t>
  </si>
  <si>
    <t>HQOHO072C0001</t>
  </si>
  <si>
    <t>AM610003</t>
  </si>
  <si>
    <t>อินทิตา เตชะนันท์</t>
  </si>
  <si>
    <t>STKSV50012C0026</t>
  </si>
  <si>
    <t>CRMHO012C0002</t>
  </si>
  <si>
    <t>AM610004</t>
  </si>
  <si>
    <t>ธนพร สกุลรัง</t>
  </si>
  <si>
    <t>HO0028072C0007</t>
  </si>
  <si>
    <t>HO0028072C0008</t>
  </si>
  <si>
    <t>BK670052</t>
  </si>
  <si>
    <t>ศิวนันท์ ธัญลักษณ์ภาคย์</t>
  </si>
  <si>
    <t>สายงานกลยุทธ์การลงทุน</t>
  </si>
  <si>
    <t>SN:0F0069D23383BF</t>
  </si>
  <si>
    <t>Notebook Microsoft Surface Pro 9 i5 13"</t>
  </si>
  <si>
    <t>บริษัท เสนา เอชเอชพี 11 จำกัด</t>
  </si>
  <si>
    <t>สถานที่ (Site) : อาคารธัญลักษณ์ภาคย์ (สายงานบัญชีการเงินร่วมทุน)</t>
  </si>
  <si>
    <t>SP11630001</t>
  </si>
  <si>
    <t>กัญลญา สุขขวัญ</t>
  </si>
  <si>
    <t>สายงานบัญชีร่วมทุน 1</t>
  </si>
  <si>
    <t>SHHP5HOPTH072C0001</t>
  </si>
  <si>
    <t>Notebook Asus Firmament Green 15.6 นิ้ว</t>
  </si>
  <si>
    <t>HO0048073M0016</t>
  </si>
  <si>
    <t>อุษณี ศิลาสานต์</t>
  </si>
  <si>
    <t>SHYHOPTH072C0009</t>
  </si>
  <si>
    <t>SHYHOPTH073C0006</t>
  </si>
  <si>
    <t>กรวิกา แก้วจันทร์</t>
  </si>
  <si>
    <t>HO0048072C0004</t>
  </si>
  <si>
    <t>HO0048073M0005</t>
  </si>
  <si>
    <t>นันทิยา จั่นจ้อย</t>
  </si>
  <si>
    <t>HO0024072C0006</t>
  </si>
  <si>
    <t>HO0024072C0007</t>
  </si>
  <si>
    <t>SP11650004</t>
  </si>
  <si>
    <t>อรยา ดวงดี</t>
  </si>
  <si>
    <t>HO0048072C0003</t>
  </si>
  <si>
    <t>ชุดคอมพิวเตอร์ CASE i5-10400F พร้อมอุปกรณ์</t>
  </si>
  <si>
    <t>HO0048073M0004</t>
  </si>
  <si>
    <t>ทินกรศักดิ์ โคราช</t>
  </si>
  <si>
    <t>HO0048072C0011</t>
  </si>
  <si>
    <t>HO0048073M0012</t>
  </si>
  <si>
    <t>SP17670001</t>
  </si>
  <si>
    <t>ปภัสวดี ไสยะหุต</t>
  </si>
  <si>
    <t>SN:6WRKQ04</t>
  </si>
  <si>
    <t>SN:91X8XY3</t>
  </si>
  <si>
    <t>บริษัท เสนา เอชเอชพี 7 จำกัด</t>
  </si>
  <si>
    <t>ธัญธร อุ่นทรัพย์</t>
  </si>
  <si>
    <t>HO0048073M0007</t>
  </si>
  <si>
    <t>SP11650008</t>
  </si>
  <si>
    <t>ชาลีนา วิทยพัฒนากุล</t>
  </si>
  <si>
    <t>HO0036072C0066</t>
  </si>
  <si>
    <t>HO0036073M0063</t>
  </si>
  <si>
    <t>SP4640001</t>
  </si>
  <si>
    <t>อัฏฐพล เงินทองดี</t>
  </si>
  <si>
    <t>HO0048072C0001</t>
  </si>
  <si>
    <t>SHYHOPTH072C0006</t>
  </si>
  <si>
    <t>SP7660004</t>
  </si>
  <si>
    <t>ชลีรัตน์ สำรวล</t>
  </si>
  <si>
    <t>HO0048072C0005</t>
  </si>
  <si>
    <t>HO0048073M0008</t>
  </si>
  <si>
    <t>บริษัท เสนา ฮันคิว 1 จำกัด</t>
  </si>
  <si>
    <t>SHY640001</t>
  </si>
  <si>
    <t>เพ็ญพิชชา ชายทอง</t>
  </si>
  <si>
    <t>HO0048073M0006</t>
  </si>
  <si>
    <t>ศุภนิดา แสงเผือก</t>
  </si>
  <si>
    <t>SN:H8QJMY3</t>
  </si>
  <si>
    <t>SN:F0R4ZV3</t>
  </si>
  <si>
    <t>หฤทัยรัตน์ ขวัญทอง</t>
  </si>
  <si>
    <t>สุนันทา บุระวงค์</t>
  </si>
  <si>
    <t>SHY3HOPTH072C0002</t>
  </si>
  <si>
    <t>SHY3HOPTH073C0002</t>
  </si>
  <si>
    <t>SP11660002</t>
  </si>
  <si>
    <t>สุรีพร ไชยกาล</t>
  </si>
  <si>
    <t>SHHP5HOPTH072C0002</t>
  </si>
  <si>
    <t>HO0048073M0002</t>
  </si>
  <si>
    <t>SP11660003</t>
  </si>
  <si>
    <t>ญาภรณ์ หลอดทอง</t>
  </si>
  <si>
    <t>HO0048072C0007</t>
  </si>
  <si>
    <t>HO0048073M0011</t>
  </si>
  <si>
    <t>วรรณภา ภาระบาล</t>
  </si>
  <si>
    <t>HO0048072C0008</t>
  </si>
  <si>
    <t>HO0048073M0014</t>
  </si>
  <si>
    <t>SP11660009</t>
  </si>
  <si>
    <t>นันทนา นินทรัตน์</t>
  </si>
  <si>
    <t>SHYHOPTH073C0007</t>
  </si>
  <si>
    <t>SP7660001</t>
  </si>
  <si>
    <t>อัจราพร สุภาผล</t>
  </si>
  <si>
    <t>HO0048072C0006</t>
  </si>
  <si>
    <t>HO0048073M0010</t>
  </si>
  <si>
    <t>SP7660005</t>
  </si>
  <si>
    <t>ศกุนี ปัญญธนะ</t>
  </si>
  <si>
    <t>สายงานบัญชีร่วมทุน 2</t>
  </si>
  <si>
    <t>SN:BQT2CZ3</t>
  </si>
  <si>
    <t>SN:GH6F8T3</t>
  </si>
  <si>
    <t>SP17670002</t>
  </si>
  <si>
    <t>รดา กุลสุวรรณ์</t>
  </si>
  <si>
    <t>ฝ่ายบัญชีจ่ายผู้รับเหมาร้านค้า</t>
  </si>
  <si>
    <t>A3HOPTH072C0003</t>
  </si>
  <si>
    <t>A3HOPTH072C0001</t>
  </si>
  <si>
    <t>SP11650002</t>
  </si>
  <si>
    <t>จิตติ ไชยประเสริฐ</t>
  </si>
  <si>
    <t>SHHP5HOPTH072C0004</t>
  </si>
  <si>
    <t>SHHP5HOPTH073C0002</t>
  </si>
  <si>
    <t>SP11650003</t>
  </si>
  <si>
    <t>สุพัตรา เสือดำ</t>
  </si>
  <si>
    <t>HO0048072C0002</t>
  </si>
  <si>
    <t>HO0048073M0003</t>
  </si>
  <si>
    <t>SP11650006</t>
  </si>
  <si>
    <t>ผกาวรรณ วรรณสุทธิ์</t>
  </si>
  <si>
    <t>HO0036072C0051</t>
  </si>
  <si>
    <t>HO0036073M0028</t>
  </si>
  <si>
    <t>SP11650009</t>
  </si>
  <si>
    <t>สุวนันท์ กองเป็ง</t>
  </si>
  <si>
    <t>HO0036072C0043</t>
  </si>
  <si>
    <t>HO0036073M0025</t>
  </si>
  <si>
    <t>ธีระวัฒน์ สุพร</t>
  </si>
  <si>
    <t>HO0048072C0013</t>
  </si>
  <si>
    <t>HO0048072C0015</t>
  </si>
  <si>
    <t>จอคอมพิวเตอร์ FHD ASUS 22"</t>
  </si>
  <si>
    <t>SP17660003</t>
  </si>
  <si>
    <t>ปวีณา คุ้มโหมด</t>
  </si>
  <si>
    <t>A3HOPTH072C0006</t>
  </si>
  <si>
    <t>A3HOPTH072C0004</t>
  </si>
  <si>
    <t>SP7650001</t>
  </si>
  <si>
    <t>ชมพูพรรณ ชมภูพาน</t>
  </si>
  <si>
    <t>SHHP5HOPTH072C0003</t>
  </si>
  <si>
    <t>SHHP5HOPTH073C0003</t>
  </si>
  <si>
    <t>SP7660003</t>
  </si>
  <si>
    <t>อาทิตย์ นันทจักร</t>
  </si>
  <si>
    <t>HO0048072C0012</t>
  </si>
  <si>
    <t>HO0048072C0016</t>
  </si>
  <si>
    <t>SP11650007</t>
  </si>
  <si>
    <t>นุชนารถ พิมประสาร</t>
  </si>
  <si>
    <t>HO0036072C0044</t>
  </si>
  <si>
    <t>HO0036073M0026</t>
  </si>
  <si>
    <t>SP11660008</t>
  </si>
  <si>
    <t>ภัทรัตน์ พึ่งประสิทธิ์</t>
  </si>
  <si>
    <t>HO0048072C0010</t>
  </si>
  <si>
    <t>HO0048073M0015</t>
  </si>
  <si>
    <t>SP7630002</t>
  </si>
  <si>
    <t>ปราณี ประเสริฐสุข</t>
  </si>
  <si>
    <t>SHYHOPTH072C0001</t>
  </si>
  <si>
    <t>SHY3HOPTH073C0001</t>
  </si>
  <si>
    <t>SP7640002</t>
  </si>
  <si>
    <t>ศุภกาณฑ์ คำไพร</t>
  </si>
  <si>
    <t>HO0048073M0001</t>
  </si>
  <si>
    <t>สถานที่ (Site) : อาคารธัญลักษณ์ภาคย์ (ฝ่ายประสานงานราชการ)</t>
  </si>
  <si>
    <t>BK530142</t>
  </si>
  <si>
    <t>ปฐมพร ติรณสวัสดิ์</t>
  </si>
  <si>
    <t>กลุ่มงานด้านกฎหมาย</t>
  </si>
  <si>
    <t>LESHO012C0010</t>
  </si>
  <si>
    <t>LAWHO012C0014</t>
  </si>
  <si>
    <t>สถานที่ (Site) : อาคารธัญลักษณ์ภาคย์ (สายงานนิติกรรม)</t>
  </si>
  <si>
    <t>BK580026</t>
  </si>
  <si>
    <t>มัณฑนา เกิดแก้ว</t>
  </si>
  <si>
    <t>LAWHO012C0010</t>
  </si>
  <si>
    <t>HO0015073C0004</t>
  </si>
  <si>
    <t>สกล รักษาศรี</t>
  </si>
  <si>
    <t>ฝ่ายประสานงานราชการ 1</t>
  </si>
  <si>
    <t>HO0015072C0014</t>
  </si>
  <si>
    <t>HO2C03010LAW</t>
  </si>
  <si>
    <t>BK600115</t>
  </si>
  <si>
    <t>วนิดา สิงห์งอย</t>
  </si>
  <si>
    <t>แผนกประสานงานราชการ 1</t>
  </si>
  <si>
    <t>HO0015072C0017</t>
  </si>
  <si>
    <t>ICTHO012C0146</t>
  </si>
  <si>
    <t>BK650289</t>
  </si>
  <si>
    <t>ชีวานนท์ มาคุ้ม</t>
  </si>
  <si>
    <t>HO0015072C0016</t>
  </si>
  <si>
    <t>CONBN012C0007</t>
  </si>
  <si>
    <t>BK660157</t>
  </si>
  <si>
    <t>โกศล ขาวน้อย</t>
  </si>
  <si>
    <t>HO0015072C0006</t>
  </si>
  <si>
    <t>HO2C03024LAW</t>
  </si>
  <si>
    <t>BK610143</t>
  </si>
  <si>
    <t>คมกฤช ศักดิ์สมานพันธุ์</t>
  </si>
  <si>
    <t>CONHO012C0064</t>
  </si>
  <si>
    <t>HO2C03008LAW</t>
  </si>
  <si>
    <t>BK560011</t>
  </si>
  <si>
    <t>วิริทธิ์พล จงโชติศิริกุล</t>
  </si>
  <si>
    <t>แผนกประสานงานราชการ 2</t>
  </si>
  <si>
    <t>HO2C01007HQO</t>
  </si>
  <si>
    <t>HO0036073M0077</t>
  </si>
  <si>
    <t>BK650323</t>
  </si>
  <si>
    <t>จุฑาภรณ์ บัวพิศ</t>
  </si>
  <si>
    <t>SWCHO012C0009</t>
  </si>
  <si>
    <t>ICTHO012C0137</t>
  </si>
  <si>
    <t>BK660024</t>
  </si>
  <si>
    <t>บุณยกร บุณยะกุล</t>
  </si>
  <si>
    <t>JPMC16030008</t>
  </si>
  <si>
    <t>BK660048</t>
  </si>
  <si>
    <t>สันติสุข เขตคาม</t>
  </si>
  <si>
    <t>HO0015072C0009</t>
  </si>
  <si>
    <t>HO0015072C0010</t>
  </si>
  <si>
    <t>BK640063</t>
  </si>
  <si>
    <t>สันติ แดงบุบผา</t>
  </si>
  <si>
    <t>แผนกประสานงานราชการ 3</t>
  </si>
  <si>
    <t>HO0015072C0021</t>
  </si>
  <si>
    <t>HO0015073C0005</t>
  </si>
  <si>
    <t>จอคอมพิวเตอร์ FHD HP 22 นิ้ว</t>
  </si>
  <si>
    <t>สถานที่ (Site) : อาคารธัญลักษณ์ภาคย์ (สายงานสินเชื่อและบริหารเครดิต)</t>
  </si>
  <si>
    <t>BK000078</t>
  </si>
  <si>
    <t>ภาวิณีย์ พลคณา</t>
  </si>
  <si>
    <t>LAWHO012C0011</t>
  </si>
  <si>
    <t>LAWHO072C0006</t>
  </si>
  <si>
    <t>BK560037</t>
  </si>
  <si>
    <t>เจษฎา ประสงค์ยิ่ง</t>
  </si>
  <si>
    <t>CRMHO012C0004</t>
  </si>
  <si>
    <t>ICTHO012C0023</t>
  </si>
  <si>
    <t>สุดา จวิเสน</t>
  </si>
  <si>
    <t>CONHO012C0020</t>
  </si>
  <si>
    <t>HO0026073C0007</t>
  </si>
  <si>
    <t>BK620094</t>
  </si>
  <si>
    <t>ปาณิสรา วงศา</t>
  </si>
  <si>
    <t>แผนกบริหารเครดิต</t>
  </si>
  <si>
    <t>HO0014072C0007</t>
  </si>
  <si>
    <t>HO0014073M0004</t>
  </si>
  <si>
    <t>BK670068</t>
  </si>
  <si>
    <t>อนนท์ ทองยศ</t>
  </si>
  <si>
    <t>HO0036072N0016</t>
  </si>
  <si>
    <t>Notebook DELL Vostro V3510 15.6"</t>
  </si>
  <si>
    <t>HO0043073M0002</t>
  </si>
  <si>
    <t>BK630025</t>
  </si>
  <si>
    <t>วีราพัชร์ เพ็งพันธ์</t>
  </si>
  <si>
    <t>LAWHO012C0013</t>
  </si>
  <si>
    <t>HO2C03003CRM</t>
  </si>
  <si>
    <t>BK620038</t>
  </si>
  <si>
    <t>ธนิฐา สหัสสานนท์</t>
  </si>
  <si>
    <t>HO0014072C0010</t>
  </si>
  <si>
    <t>HO0014073C0003</t>
  </si>
  <si>
    <t>BK630024</t>
  </si>
  <si>
    <t>นันทพร ฉายาวงศ์</t>
  </si>
  <si>
    <t>SN:PF39GSHZ</t>
  </si>
  <si>
    <t>HO0014073M0003</t>
  </si>
  <si>
    <t>BK650167</t>
  </si>
  <si>
    <t>ธนรัตน์ เขื่อนคำ</t>
  </si>
  <si>
    <t>HO0036072C0047</t>
  </si>
  <si>
    <t>HO0036073M0029</t>
  </si>
  <si>
    <t>BK650285</t>
  </si>
  <si>
    <t>วรรณภา อินทร์ตา</t>
  </si>
  <si>
    <t>HO0036072C0077</t>
  </si>
  <si>
    <t>HO0036073M0059</t>
  </si>
  <si>
    <t>ขนิษฐา กองแหวน</t>
  </si>
  <si>
    <t>HO0004072C0025</t>
  </si>
  <si>
    <t>CONSV70073C0001</t>
  </si>
  <si>
    <t>ณัฐสุดา เทศฉิม</t>
  </si>
  <si>
    <t>HO0004072C0017</t>
  </si>
  <si>
    <t>HO0004072C0016</t>
  </si>
  <si>
    <t>BK620018</t>
  </si>
  <si>
    <t>อรชุมา อุดมชัยวุฒิ</t>
  </si>
  <si>
    <t>HO0014072C0009</t>
  </si>
  <si>
    <t>HO0014073C0001</t>
  </si>
  <si>
    <t>BK670070</t>
  </si>
  <si>
    <t>ณัฐพงษ์ เพ็ญศิริ</t>
  </si>
  <si>
    <t>SN:PF39GSJK</t>
  </si>
  <si>
    <t>BK610089</t>
  </si>
  <si>
    <t>วิลาวัณย์ จันทร์สุด</t>
  </si>
  <si>
    <t>HO0014072C0004</t>
  </si>
  <si>
    <t>HO0014073M0006</t>
  </si>
  <si>
    <t>BK620163</t>
  </si>
  <si>
    <t>ปัทมาภรณ์ นนท์ประเวศน์</t>
  </si>
  <si>
    <t>SALVH012C0008</t>
  </si>
  <si>
    <t>CONHO012C0014</t>
  </si>
  <si>
    <t>BK650286</t>
  </si>
  <si>
    <t>ละอองดาว โหลยา</t>
  </si>
  <si>
    <t>HO0036072N0025</t>
  </si>
  <si>
    <t>BK670073</t>
  </si>
  <si>
    <t>ธราพงษ์ นนทารักษ์</t>
  </si>
  <si>
    <t>ไปโครงการ</t>
  </si>
  <si>
    <t>BK670079</t>
  </si>
  <si>
    <t>ปิยากร รุ่งเรืองตันติสุข</t>
  </si>
  <si>
    <t>SN:PF3A0YSP</t>
  </si>
  <si>
    <t>สถานที่ (Site) : อาคารธัญลักษณ์ภาคย์ (ฝ่ายสัญญาโอนกรรมสิทธิ์)</t>
  </si>
  <si>
    <t>BK650237</t>
  </si>
  <si>
    <t>กาญจนา หงษ์ดิลกกุล</t>
  </si>
  <si>
    <t>สายงานโอนกรรมสิทธิ์</t>
  </si>
  <si>
    <t>JSPC2112008</t>
  </si>
  <si>
    <t>BK000010</t>
  </si>
  <si>
    <t>จิรัฏฐ์จิตชญา พจนานันทกุล</t>
  </si>
  <si>
    <t>ฝ่ายโอนกรรมสิทธิ์</t>
  </si>
  <si>
    <t>LAWHO012C0016</t>
  </si>
  <si>
    <t>SN:7NFWGZ3</t>
  </si>
  <si>
    <t>BK510028</t>
  </si>
  <si>
    <t>นฤมล สุขแจ่ม</t>
  </si>
  <si>
    <t>SN:1V8BXW3</t>
  </si>
  <si>
    <t>SN:39DNJT3</t>
  </si>
  <si>
    <t>BK560223</t>
  </si>
  <si>
    <t>นพรดา จำปางาม</t>
  </si>
  <si>
    <t>LAWHO072C0003</t>
  </si>
  <si>
    <t>HO0015072C0004</t>
  </si>
  <si>
    <t>BK620128</t>
  </si>
  <si>
    <t>อธิโชค วงศา</t>
  </si>
  <si>
    <t>LAWHO012C0019</t>
  </si>
  <si>
    <t>SN:7RYVGZ3</t>
  </si>
  <si>
    <t>BK620170</t>
  </si>
  <si>
    <t>ปานชนก จิระรัศมีโชติกุล</t>
  </si>
  <si>
    <t>HO0015072C0008</t>
  </si>
  <si>
    <t>ICTHO012C0145</t>
  </si>
  <si>
    <t>BK650218</t>
  </si>
  <si>
    <t>นพรัตน์ ปานพรเจริญ</t>
  </si>
  <si>
    <t>HO0067072C0002</t>
  </si>
  <si>
    <t>ICTHO012C0130</t>
  </si>
  <si>
    <t>BK650227</t>
  </si>
  <si>
    <t>ลัดดา คำแก้ววันดี</t>
  </si>
  <si>
    <t>HO0067072C0001</t>
  </si>
  <si>
    <t>SN:7PQXGZ3</t>
  </si>
  <si>
    <t>BK660156</t>
  </si>
  <si>
    <t>ปาริตา แสงสว่าง</t>
  </si>
  <si>
    <t>HO0015072C0003</t>
  </si>
  <si>
    <t>HO2C03002SAL</t>
  </si>
  <si>
    <t>นราชัย ขวัญสุข</t>
  </si>
  <si>
    <t>DPHO012C0008</t>
  </si>
  <si>
    <t>HO0036073M0052</t>
  </si>
  <si>
    <t>สถานที่ (Site) : อาคารธัญลักษณ์ภาคย์ (สายงานบริการลูกค้าเพื่อการส่งมอบ)</t>
  </si>
  <si>
    <t>BK520057</t>
  </si>
  <si>
    <t>อุทิศ เปียสำโรง</t>
  </si>
  <si>
    <t>สายงานบริการลูกค้าด้านตรวจห้อง</t>
  </si>
  <si>
    <t>LAWHO012C0012</t>
  </si>
  <si>
    <t>Notebook (MAC)</t>
  </si>
  <si>
    <t>HO0005073C0012</t>
  </si>
  <si>
    <t>BK620075</t>
  </si>
  <si>
    <t>ภิญญตา จ้อยศรีเกตุ</t>
  </si>
  <si>
    <t>HO0014072C0013</t>
  </si>
  <si>
    <t>Notebook DELL Inspiron 5490 14 นิ้ว Silver</t>
  </si>
  <si>
    <t>HO0017072C0002R</t>
  </si>
  <si>
    <t>BK650072</t>
  </si>
  <si>
    <t>ธนาวัฒน์ ไชยวงษ์</t>
  </si>
  <si>
    <t>ฝ่ายบริการลูกค้าด้านตรวจห้อง</t>
  </si>
  <si>
    <t>HO0017072C0004</t>
  </si>
  <si>
    <t>HO0017073C0001</t>
  </si>
  <si>
    <t>BK520179</t>
  </si>
  <si>
    <t>เอกกร กุลณ์ลิขิต</t>
  </si>
  <si>
    <t>แผนกบริการลูกค้าด้านตรวจห้อง</t>
  </si>
  <si>
    <t>SN:PF39HLLP</t>
  </si>
  <si>
    <t>BK610092</t>
  </si>
  <si>
    <t>สุภาพร บุญเถิง</t>
  </si>
  <si>
    <t>HO0017072C0007</t>
  </si>
  <si>
    <t>Notebook HP 14 นิ้ว รุ่น CE2008TX</t>
  </si>
  <si>
    <t>MGPHO012C0020</t>
  </si>
  <si>
    <t>MONITOR LCD 21.5"</t>
  </si>
  <si>
    <t>BK620027</t>
  </si>
  <si>
    <t>พงษ์พัฒน์ ศรีทอง</t>
  </si>
  <si>
    <t>SN:MP2ELLW0</t>
  </si>
  <si>
    <t>BK650269</t>
  </si>
  <si>
    <t>อัจฉราพรรณ โมทจิตต์</t>
  </si>
  <si>
    <t>SN:PF39GY0V</t>
  </si>
  <si>
    <t>BK650294</t>
  </si>
  <si>
    <t>สุรศักดิ์ ม่วงสวาท</t>
  </si>
  <si>
    <t>SN:PF37TR31</t>
  </si>
  <si>
    <t>BK650297</t>
  </si>
  <si>
    <t>กาญจนา ยารังษี</t>
  </si>
  <si>
    <t>HO0036072C0049</t>
  </si>
  <si>
    <t>HO0036073M0031</t>
  </si>
  <si>
    <t>BK660029</t>
  </si>
  <si>
    <t>ปนัดดา ภามี</t>
  </si>
  <si>
    <t>SN:PF39F4WE</t>
  </si>
  <si>
    <t>BK660110</t>
  </si>
  <si>
    <t>สุภาวดี ค้าโค</t>
  </si>
  <si>
    <t>SN:PF3A482W</t>
  </si>
  <si>
    <t>บริษัท สาระพี บิส จำกัด</t>
  </si>
  <si>
    <t>SRB630001</t>
  </si>
  <si>
    <t>สมคิด พลคณา</t>
  </si>
  <si>
    <t>HO0031072C0002</t>
  </si>
  <si>
    <t>ชุดคอมพิวเตอร์ CASE i5-8400 พร้อมอุปกรณ์</t>
  </si>
  <si>
    <t>LAWHO012C0018</t>
  </si>
  <si>
    <t>สถานที่ (Site) : อาคารธัญลักษณ์ภาคย์ (ฝ่ายบัญชีการเงิน ชั้น 7)</t>
  </si>
  <si>
    <t>BK000005</t>
  </si>
  <si>
    <t>วีรพร ไชยสิริยะสวัสดิ์</t>
  </si>
  <si>
    <t>กลุ่มงานด้านบัญชีการเงิน</t>
  </si>
  <si>
    <t>HO0028072A0001</t>
  </si>
  <si>
    <t>Computer AIO Lenovo IdeaCentre AIO 3</t>
  </si>
  <si>
    <t>HO0036073M0066</t>
  </si>
  <si>
    <t>BK000184</t>
  </si>
  <si>
    <t>สุภาวรรณ บุญแก้ว</t>
  </si>
  <si>
    <t>HO0029072C0003</t>
  </si>
  <si>
    <t>HOM0405TFVBOU071</t>
  </si>
  <si>
    <t>จอคอมพิวเตอร์ FHD LG 24"</t>
  </si>
  <si>
    <t>BK000052</t>
  </si>
  <si>
    <t>อุสนี ไชยสงโท</t>
  </si>
  <si>
    <t>HO0028072C0004</t>
  </si>
  <si>
    <t>HO0028073C0009</t>
  </si>
  <si>
    <t>BK000084</t>
  </si>
  <si>
    <t>ปราณีต ติจันทึก</t>
  </si>
  <si>
    <t>ฝ่ายบัญชีลูกหนี้อสังหาริมทรัพย์</t>
  </si>
  <si>
    <t>L1302C01004JPS</t>
  </si>
  <si>
    <t>HO2C03007A/C</t>
  </si>
  <si>
    <t>BK620130</t>
  </si>
  <si>
    <t>เพ็ญพักตร์ อ่อนอำพันธ์</t>
  </si>
  <si>
    <t>SALCKL012C0006</t>
  </si>
  <si>
    <t>HO2C03001A/C</t>
  </si>
  <si>
    <t>BK620083</t>
  </si>
  <si>
    <t>จริยา เพ็ชรซีก</t>
  </si>
  <si>
    <t>HO2C01005ACC</t>
  </si>
  <si>
    <t>HO0022073M0003</t>
  </si>
  <si>
    <t>BK660031</t>
  </si>
  <si>
    <t>ชลลดา แวงวรรณ</t>
  </si>
  <si>
    <t>ACCHO012C0014</t>
  </si>
  <si>
    <t>HO2C03005CON</t>
  </si>
  <si>
    <t>BK620129</t>
  </si>
  <si>
    <t>พรรณรมย์ สมดี</t>
  </si>
  <si>
    <t>ACCHO012C0015</t>
  </si>
  <si>
    <t>FINRHO012C0008</t>
  </si>
  <si>
    <t>BK660091</t>
  </si>
  <si>
    <t>ธิดารัตน์ วงค์ชัย</t>
  </si>
  <si>
    <t>HO0028072C0020</t>
  </si>
  <si>
    <t>HO0036073M0003</t>
  </si>
  <si>
    <t>BK620119</t>
  </si>
  <si>
    <t>หทัยนันท์ จันทร์บุญแก้ว</t>
  </si>
  <si>
    <t>HO0028072C0033</t>
  </si>
  <si>
    <t>HO2C03014ACC</t>
  </si>
  <si>
    <t>BK650100</t>
  </si>
  <si>
    <t>ทวิชาติ ธีระภาต</t>
  </si>
  <si>
    <t>HO0028072C0019</t>
  </si>
  <si>
    <t>SALBGKBK012C0006</t>
  </si>
  <si>
    <t>BK650262</t>
  </si>
  <si>
    <t>ธนัฐพงษ์ ชาญวินิจถาวร</t>
  </si>
  <si>
    <t>HO0036072C0045</t>
  </si>
  <si>
    <t>HO0036073M0027</t>
  </si>
  <si>
    <t>BK670042</t>
  </si>
  <si>
    <t>ปภาพินท์ ทองสมบูรณ์</t>
  </si>
  <si>
    <t>HO0028072C0032</t>
  </si>
  <si>
    <t>SALCKL012C0007</t>
  </si>
  <si>
    <t>นวกาญจน์ กันจินะ</t>
  </si>
  <si>
    <t>CONHO012C0032</t>
  </si>
  <si>
    <t>BK650204</t>
  </si>
  <si>
    <t>กิตติ เตชะวรรณเศรษฐ์</t>
  </si>
  <si>
    <t>HO0028072C0015</t>
  </si>
  <si>
    <t>HO2C03031ACC</t>
  </si>
  <si>
    <t>ปริญญา ดาบุตร</t>
  </si>
  <si>
    <t>ADMHO012C0020</t>
  </si>
  <si>
    <t>JPSSK3012C0003</t>
  </si>
  <si>
    <t>BK660133</t>
  </si>
  <si>
    <t>ภัทรนันท์ วามะกันต์</t>
  </si>
  <si>
    <t>HO0036072C0098</t>
  </si>
  <si>
    <t>HO0036073M0086</t>
  </si>
  <si>
    <t>ธนัช สิลมัฐ</t>
  </si>
  <si>
    <t>HO0028072C0028</t>
  </si>
  <si>
    <t>HO0028073C0023</t>
  </si>
  <si>
    <t>รัชนีกร แพงทรัพย์</t>
  </si>
  <si>
    <t>SN:4BSY6X3</t>
  </si>
  <si>
    <t>SN:F0Q6ZV3</t>
  </si>
  <si>
    <t>HO0028072C021</t>
  </si>
  <si>
    <t>FINRH0072C0003</t>
  </si>
  <si>
    <t>BK000072</t>
  </si>
  <si>
    <t>วลีรัชต์ ช่วงธนทรัพย์</t>
  </si>
  <si>
    <t>ADMHO012C0029</t>
  </si>
  <si>
    <t>BK620141</t>
  </si>
  <si>
    <t>ทิพรัตน์ เมธาวิทยากรณ์</t>
  </si>
  <si>
    <t>HO0028072C0027</t>
  </si>
  <si>
    <t>ICTHO012C0151</t>
  </si>
  <si>
    <t>BK620148</t>
  </si>
  <si>
    <t>นภัสสร เปียกากู่</t>
  </si>
  <si>
    <t>HO0028072C0025</t>
  </si>
  <si>
    <t>ICTHO012C0161</t>
  </si>
  <si>
    <t>BK630022</t>
  </si>
  <si>
    <t>สุวัฒน์ เอี่ยมเสริม</t>
  </si>
  <si>
    <t>HO2C01024ACC</t>
  </si>
  <si>
    <t>SN:F0Y6ZV3</t>
  </si>
  <si>
    <t>BK660092</t>
  </si>
  <si>
    <t>ลักษณ์นารา ปูกา</t>
  </si>
  <si>
    <t>HO0028072C0026</t>
  </si>
  <si>
    <t>HO0028073M0001</t>
  </si>
  <si>
    <t>BK670051</t>
  </si>
  <si>
    <t>เศวตตา ฉันทาลักษณ์</t>
  </si>
  <si>
    <t>SN:9GT2CZ3</t>
  </si>
  <si>
    <t>SN:8Z87XY3</t>
  </si>
  <si>
    <t>สมพร สิงหไพศาล</t>
  </si>
  <si>
    <t>HO2C01003ACC</t>
  </si>
  <si>
    <t>HO0028073C0010</t>
  </si>
  <si>
    <t>BK670061</t>
  </si>
  <si>
    <t>อิสราภรณ์ หนแสนดี</t>
  </si>
  <si>
    <t>HO0028072C0011</t>
  </si>
  <si>
    <t>HO2C03026CON</t>
  </si>
  <si>
    <t>วรรณา รัตนะดี</t>
  </si>
  <si>
    <t>HO2C01007A/C</t>
  </si>
  <si>
    <t>SN:DVTRL24</t>
  </si>
  <si>
    <t>BK680565</t>
  </si>
  <si>
    <t>วชิราภรณ์ จันทีนอก</t>
  </si>
  <si>
    <t>SN:DD6MBZ3</t>
  </si>
  <si>
    <t>SN:9X762Y3</t>
  </si>
  <si>
    <t>BK670087</t>
  </si>
  <si>
    <t>จิตอารีย์ คำแพงศรี</t>
  </si>
  <si>
    <t>HO0028072C0034</t>
  </si>
  <si>
    <t>ICTHO012C0158</t>
  </si>
  <si>
    <t>ลัทธิษา กระต่ายน้อย</t>
  </si>
  <si>
    <t>ICTHO012C0150</t>
  </si>
  <si>
    <t>BK670054</t>
  </si>
  <si>
    <t>ธนัชพร พลชนะ</t>
  </si>
  <si>
    <t>HO0025072C0001</t>
  </si>
  <si>
    <t>ICTHO012C0132</t>
  </si>
  <si>
    <t>บุญสิตา ทวีคูณ</t>
  </si>
  <si>
    <t>HO004872C0009</t>
  </si>
  <si>
    <t>HO0048073M0013</t>
  </si>
  <si>
    <t>SP17670003</t>
  </si>
  <si>
    <t>รุ่งฤดี จันเหลือง</t>
  </si>
  <si>
    <t>SHYHOPTH072C00008</t>
  </si>
  <si>
    <t>SHYHOPTH073C0005</t>
  </si>
  <si>
    <t>สถานที่ (Site) : อาคารธัญลักษณ์ภาคย์ (สายงานบริหารผลงานเชิงกลยุทธ์)</t>
  </si>
  <si>
    <t>BK680119</t>
  </si>
  <si>
    <t>สมพิศ ศรีระทัด</t>
  </si>
  <si>
    <t>MAKHO012C0039</t>
  </si>
  <si>
    <t>BK680120</t>
  </si>
  <si>
    <t>รัชนี รัตนมุณี</t>
  </si>
  <si>
    <t>HO0036072C0101</t>
  </si>
  <si>
    <t>HOM0FMQ8FP3</t>
  </si>
  <si>
    <t>สถานที่ (Site) : เสนา ไอเดีย (สายงานสื่อสารองค์กร)</t>
  </si>
  <si>
    <t>อุมาพร ธัญลักษณ์ภาคย์</t>
  </si>
  <si>
    <t>สายงาน Corporate Marketing</t>
  </si>
  <si>
    <t>HO0005072C0005</t>
  </si>
  <si>
    <t>มรรษณา แสนคำลือ</t>
  </si>
  <si>
    <t>SID1072C0001</t>
  </si>
  <si>
    <t>ICTHO012C0168</t>
  </si>
  <si>
    <t>สถานที่ (Site) : อาคารธัญลักษณ์ภาคย์ (ฝ่ายกลยุทธ์ธุรกิจ)</t>
  </si>
  <si>
    <t>ทัดดาว ชาญสุวรรณ</t>
  </si>
  <si>
    <t>SN:MP2EJ0NV</t>
  </si>
  <si>
    <t>SID1073M0003</t>
  </si>
  <si>
    <t>จอคอมพิวเตอร์ LED Lenovo 27"</t>
  </si>
  <si>
    <t>พิชิตพล พิมพ์สนิท</t>
  </si>
  <si>
    <t>SID1072A0001</t>
  </si>
  <si>
    <t>Apple iMac 24" 4.5K Display M1 Chip/8C CPU</t>
  </si>
  <si>
    <t>เกริก ปรัชญาพัฒนพงศ์</t>
  </si>
  <si>
    <t>COMMHO012C0032</t>
  </si>
  <si>
    <t>ชุดคอมพิวเตอร์ CASE (MAC)</t>
  </si>
  <si>
    <t>ปัญญากร บุณยะกุล</t>
  </si>
  <si>
    <t>HO0005072C0039</t>
  </si>
  <si>
    <t>Apple iMac 21.5" 4K Display Core i5</t>
  </si>
  <si>
    <t>ชยิสรา เอมโอช</t>
  </si>
  <si>
    <t>SID1072A0003</t>
  </si>
  <si>
    <t>สาวิตร เจนพัฒนกุล</t>
  </si>
  <si>
    <t>HO0036072A0001</t>
  </si>
  <si>
    <t>เกศนภา ทองคำ</t>
  </si>
  <si>
    <t>HO0005072C0044</t>
  </si>
  <si>
    <t>อรุณี อยู่ล้อมศักดิ์</t>
  </si>
  <si>
    <t>COMMHO012C0035</t>
  </si>
  <si>
    <t>ธีระวัต เกิดสุข</t>
  </si>
  <si>
    <t>SID1072A0002</t>
  </si>
  <si>
    <t>MAC</t>
  </si>
  <si>
    <t>HO0005012M0001</t>
  </si>
  <si>
    <t>จักรินทร์ ทรัพย์นิมิตร</t>
  </si>
  <si>
    <t>SN:CG7PFQC3HK</t>
  </si>
  <si>
    <t>Apple iMac 24 M4/512 MWV53TH</t>
  </si>
  <si>
    <t>เฉลิมพล จันทร์ขจร</t>
  </si>
  <si>
    <t>SN:MP2E0MCC</t>
  </si>
  <si>
    <t>SID1073M0001</t>
  </si>
  <si>
    <t>ปัณณวิชญ์ จิรวิทยานนท์</t>
  </si>
  <si>
    <t>HO0005072C0042</t>
  </si>
  <si>
    <t>Notebook DELL Inspiron 5480 14 นิ้ว</t>
  </si>
  <si>
    <t>SID1073M0004</t>
  </si>
  <si>
    <t>สถานที่ (Site) : อาคารธัญลักษณ์ภาคย์ (สายงานสื่อสารองค์กร)</t>
  </si>
  <si>
    <t>ณิชนันทน์ ขวัญเลิศจิตต์</t>
  </si>
  <si>
    <t>SN:MP2E0NAJ</t>
  </si>
  <si>
    <t>SID1073M0002</t>
  </si>
  <si>
    <t>ศิริรัตน์ สินศิริ</t>
  </si>
  <si>
    <t>SN:MP2E2SYC</t>
  </si>
  <si>
    <t>พิจิตรา จิระกุลพรไพศาล</t>
  </si>
  <si>
    <t>SN:MP283D3Q</t>
  </si>
  <si>
    <t>ปนัดดา อำลอย</t>
  </si>
  <si>
    <t>HO2C01005CALL</t>
  </si>
  <si>
    <t>HO2C03005CALL</t>
  </si>
  <si>
    <t>มณิศา ลิมปนะรังสฤษฎ์</t>
  </si>
  <si>
    <t>CONHO012C0036</t>
  </si>
  <si>
    <t>HO2C03008CALL</t>
  </si>
  <si>
    <t>ทรงพันธ์ ไม้แป้น</t>
  </si>
  <si>
    <t>CONHO012C0101</t>
  </si>
  <si>
    <t>HO2C03006CALL</t>
  </si>
  <si>
    <t>จุฑามาศ เสนากุล</t>
  </si>
  <si>
    <t>SN:MP2E2SYJ</t>
  </si>
  <si>
    <t>HO2C03006HQO</t>
  </si>
  <si>
    <t>นเรนทร์ ตุนทกิจ</t>
  </si>
  <si>
    <t>J5F7LS3</t>
  </si>
  <si>
    <t>SID1073M0005</t>
  </si>
  <si>
    <t>ภาคิไนย จิตติธำรง</t>
  </si>
  <si>
    <t>HO0036072N0013</t>
  </si>
  <si>
    <t>HO0005072C0004</t>
  </si>
  <si>
    <t>อิพภา พวงหัตถ์</t>
  </si>
  <si>
    <t>SN:PF39GVPA</t>
  </si>
  <si>
    <t>HOMUP102PF2</t>
  </si>
  <si>
    <t>นัฐธิกา พรประเสริฐผล</t>
  </si>
  <si>
    <t>HO0005072C0035</t>
  </si>
  <si>
    <t>HO0005073C0011</t>
  </si>
  <si>
    <t>รัตนา ธนดำรงสิทธิ์</t>
  </si>
  <si>
    <t>SALCKL012C0017</t>
  </si>
  <si>
    <t>SID1073M0006</t>
  </si>
  <si>
    <t>วริศรา แสงคำ</t>
  </si>
  <si>
    <t>HO0036072C0017</t>
  </si>
  <si>
    <t>ขนิษฐา เมืองนาค</t>
  </si>
  <si>
    <t>SN:MP2E0AEM</t>
  </si>
  <si>
    <t>SALK2012C0001</t>
  </si>
  <si>
    <t>สิรรัณดา จุณณะภาต</t>
  </si>
  <si>
    <t>HO0005072C0023</t>
  </si>
  <si>
    <t>STKSV50012C0027</t>
  </si>
  <si>
    <t>อภิญญา เลิศพงดี</t>
  </si>
  <si>
    <t>ACR6106052C</t>
  </si>
  <si>
    <t>ACR6612108C</t>
  </si>
  <si>
    <t>สุรชัย พัฒเท</t>
  </si>
  <si>
    <t>SN:CCBBS64</t>
  </si>
  <si>
    <t>HO2C03006ICT</t>
  </si>
  <si>
    <t>พรพรรณ สุทธิมล</t>
  </si>
  <si>
    <t>SN:DCBBS64</t>
  </si>
  <si>
    <t>COMMHO012C0017</t>
  </si>
  <si>
    <t>วชิราภรณ์ ศุภจรูญทรัพย์</t>
  </si>
  <si>
    <t>SN:FCBBS64</t>
  </si>
  <si>
    <t>HO0005073C0017</t>
  </si>
  <si>
    <t>สถานที่ (Site) : อาคารธัญลักษณ์ภาคย์ (สำนักบริหารโครงการ 1)</t>
  </si>
  <si>
    <t>BK680115</t>
  </si>
  <si>
    <t>ประกิต อัครเสรีนนท์</t>
  </si>
  <si>
    <t>กลุ่มงานด้านปฏิบัติการ 1</t>
  </si>
  <si>
    <t>HO0009072C0021</t>
  </si>
  <si>
    <t>Notebook Lenovo Thinkpad X1 Carbon</t>
  </si>
  <si>
    <t>BK680116</t>
  </si>
  <si>
    <t>ธารทิพย์ กิ่งสายหยุด</t>
  </si>
  <si>
    <t>HO0026072C0005</t>
  </si>
  <si>
    <t>HO0009073C0004</t>
  </si>
  <si>
    <t>BK680117</t>
  </si>
  <si>
    <t>วราภรณ์ บุญส่ง</t>
  </si>
  <si>
    <t>SN:5S4XMX3</t>
  </si>
  <si>
    <t>Notebook DELL Inspiron 15.6 นิ้ว i7 - 256GB</t>
  </si>
  <si>
    <t>BK680121</t>
  </si>
  <si>
    <t>ณัฐฌิมาภรณ์ เขาแก้ว</t>
  </si>
  <si>
    <t>SN:PF37TYWV</t>
  </si>
  <si>
    <t>SN:MP2ET265</t>
  </si>
  <si>
    <t>Notebook Lenovo ThinkPad 15.6"</t>
  </si>
  <si>
    <t>สถานที่ (Site) : อาคารธัญลักษณ์ภาคย์ (ฝ่ายพัฒนาธุรกิจและสรรหาที่ดิน)</t>
  </si>
  <si>
    <t>BK000043</t>
  </si>
  <si>
    <t>ชาติชาย ธัญลักษณ์ภาคย์</t>
  </si>
  <si>
    <t>สายงานพัฒนาธุรกิจ</t>
  </si>
  <si>
    <t>HO0006072C0002</t>
  </si>
  <si>
    <t>BDHO072C0002</t>
  </si>
  <si>
    <t>BK590079</t>
  </si>
  <si>
    <t>พิมลรัตน์ เพ็ชรทวีพรเดช</t>
  </si>
  <si>
    <t>HO0006072C0014</t>
  </si>
  <si>
    <t>HO0006072C0001</t>
  </si>
  <si>
    <t>BK660153</t>
  </si>
  <si>
    <t>พชรพล ฉลาดแพทย์</t>
  </si>
  <si>
    <t>DPHO012C0012</t>
  </si>
  <si>
    <t>HO0006073C0007</t>
  </si>
  <si>
    <t>สถานที่ (Site) : อาคารธัญลักษณ์ภาคย์ (ฝ่าย QC)</t>
  </si>
  <si>
    <t>BK560186</t>
  </si>
  <si>
    <t>ศักดิ์ชัย ศิลปศาสตร์</t>
  </si>
  <si>
    <t>COMMHO012C0012</t>
  </si>
  <si>
    <t>HO0022072C0012</t>
  </si>
  <si>
    <t>BK620124</t>
  </si>
  <si>
    <t>สมปอง รัตนเอกภาพ</t>
  </si>
  <si>
    <t>CONHO012C0106</t>
  </si>
  <si>
    <t>MAKHO012C0003</t>
  </si>
  <si>
    <t>ภาณินี ดวงตา</t>
  </si>
  <si>
    <t>HO0022072C0003</t>
  </si>
  <si>
    <t>CONHO012C0043</t>
  </si>
  <si>
    <t>BK650115</t>
  </si>
  <si>
    <t>ศิริณญดา สกุลมา</t>
  </si>
  <si>
    <t>HO0036072C0037</t>
  </si>
  <si>
    <t>HO0036073M0016</t>
  </si>
  <si>
    <t>อธิคม สุวรรณประเสริฐ</t>
  </si>
  <si>
    <t>SN:9S4XMX3</t>
  </si>
  <si>
    <t>ธนากร ขาวสนิท</t>
  </si>
  <si>
    <t>SN:7S4XMX3</t>
  </si>
  <si>
    <t>BK570022</t>
  </si>
  <si>
    <t>บุญศักดิ์ ทิพสงคราม</t>
  </si>
  <si>
    <t>SN:MP2EJ2XA</t>
  </si>
  <si>
    <t>BK600090</t>
  </si>
  <si>
    <t>ปุญญพัฒน์ กลิ่นแห</t>
  </si>
  <si>
    <t>SN:MP2EJ0N0</t>
  </si>
  <si>
    <t>BK650102</t>
  </si>
  <si>
    <t>ต้นตระการ เนียมขาว</t>
  </si>
  <si>
    <t>SN:MP2EJ0NH</t>
  </si>
  <si>
    <t>ชาตรี วงศ์พันธุ์</t>
  </si>
  <si>
    <t>SN:MP2EJ0N1</t>
  </si>
  <si>
    <t>BK650273</t>
  </si>
  <si>
    <t>กรีภพ โทบุดดี</t>
  </si>
  <si>
    <t>SN:MP2EHH21</t>
  </si>
  <si>
    <t>อัครพล สงประเสริฐ</t>
  </si>
  <si>
    <t>SN:MP2EHW17</t>
  </si>
  <si>
    <t>สันติภูมิ พัดทอง</t>
  </si>
  <si>
    <t>SN:MP2EHW2F</t>
  </si>
  <si>
    <t>BK660055</t>
  </si>
  <si>
    <t>รัชพล อมรจันทร์เพ็ญ</t>
  </si>
  <si>
    <t>SN:MP2EHYAQ</t>
  </si>
  <si>
    <t>BK660058</t>
  </si>
  <si>
    <t>ประสิทธิ์ ก่ำพัด</t>
  </si>
  <si>
    <t>SN:MP2EHYBH</t>
  </si>
  <si>
    <t>BK660061</t>
  </si>
  <si>
    <t>นิติพัฒน์ บริบูรณ์</t>
  </si>
  <si>
    <t>SN:MP2EJ2WP</t>
  </si>
  <si>
    <t>BK660102</t>
  </si>
  <si>
    <t>พิศุทธิ์ หวั่นหนู</t>
  </si>
  <si>
    <t>SN:MP2EHRWH</t>
  </si>
  <si>
    <t>BK660142</t>
  </si>
  <si>
    <t>กิตติพงศ์ วงศ์ปรีชาธรรม</t>
  </si>
  <si>
    <t>SN:MP2E0CE2</t>
  </si>
  <si>
    <t>ณัฐพงษ์ คงเกตุ</t>
  </si>
  <si>
    <t>SN:MP2ETWNN</t>
  </si>
  <si>
    <t>BK670015</t>
  </si>
  <si>
    <t>ธีธัช รักษตุล</t>
  </si>
  <si>
    <t>SN:MP2ET28E</t>
  </si>
  <si>
    <t>BK620065</t>
  </si>
  <si>
    <t>กฤษฎิ์ ใจอ่อน</t>
  </si>
  <si>
    <t>แผนก QS</t>
  </si>
  <si>
    <t>HO0022072C0032</t>
  </si>
  <si>
    <t>HO0022073C0017</t>
  </si>
  <si>
    <t>BK650094</t>
  </si>
  <si>
    <t>ปิยณัฐ รู้ทำนอง</t>
  </si>
  <si>
    <t>SN:MP2EJ2ZJ</t>
  </si>
  <si>
    <t>BK650223</t>
  </si>
  <si>
    <t>ชนินทร์ แก้วศรีนวล</t>
  </si>
  <si>
    <t>SN:MP2EJ0PH</t>
  </si>
  <si>
    <t>BK650314</t>
  </si>
  <si>
    <t>ธีรพงศ์ ชูสุวรรณ</t>
  </si>
  <si>
    <t>SN:MP2EJ0M4</t>
  </si>
  <si>
    <t>สถานที่ (Site) : อาคารธัญลักษณ์ภาคย์ (สายงานสนับสนุนงานก่อสร้าง)</t>
  </si>
  <si>
    <t>BK620100</t>
  </si>
  <si>
    <t>สุพิจ ศรีคำ</t>
  </si>
  <si>
    <t>SN:5YGG754</t>
  </si>
  <si>
    <t>HOM06NR8FP3</t>
  </si>
  <si>
    <t>BK670047</t>
  </si>
  <si>
    <t>อัญนภา แบขุนทด</t>
  </si>
  <si>
    <t>CONHO012C0045</t>
  </si>
  <si>
    <t>SN:755JYV3</t>
  </si>
  <si>
    <t>สถานที่ (Site) : อาคารธัญลักษณ์ภาคย์ (ฝ่ายประมาณราคา)</t>
  </si>
  <si>
    <t>BK620015</t>
  </si>
  <si>
    <t>วชิรวิชญ์ ริดจังหรีด</t>
  </si>
  <si>
    <t>HO0036072C0011</t>
  </si>
  <si>
    <t>ชุดคอมพิวเตอร์ CASE i7-9700 พร้อมอุปกรณ์</t>
  </si>
  <si>
    <t>HO0022072C0001</t>
  </si>
  <si>
    <t>BK620135</t>
  </si>
  <si>
    <t>วัชระ จตุมงคล</t>
  </si>
  <si>
    <t>CONHO012C0042</t>
  </si>
  <si>
    <t>CONHO012C0104</t>
  </si>
  <si>
    <t>BK630005</t>
  </si>
  <si>
    <t>วชิระ เหมจินดา</t>
  </si>
  <si>
    <t>HO0022072N0001</t>
  </si>
  <si>
    <t>Notebook DELL Inspiron AMD G15R 15.6"</t>
  </si>
  <si>
    <t>HO0035073C0002</t>
  </si>
  <si>
    <t>BK660070</t>
  </si>
  <si>
    <t>วสวัฒน์ ปิณฑะสุต</t>
  </si>
  <si>
    <t>HO0036072C0099</t>
  </si>
  <si>
    <t>ชุดคอมพิวเตอร์ CASE i7-10700 พร้อมอุปกรณ์</t>
  </si>
  <si>
    <t>HO0036073M0079</t>
  </si>
  <si>
    <t>BK660100</t>
  </si>
  <si>
    <t>พิชญ์ชุดา อยู่ชมบุญ</t>
  </si>
  <si>
    <t>HO0036072C0010</t>
  </si>
  <si>
    <t>HO0022073M0010</t>
  </si>
  <si>
    <t>BK660139</t>
  </si>
  <si>
    <t>ลลิตา คงกรุต</t>
  </si>
  <si>
    <t>SN:DZYNPY3</t>
  </si>
  <si>
    <t>SN:DQY4ZV3</t>
  </si>
  <si>
    <t>BK670075</t>
  </si>
  <si>
    <t>วิทยา แสงนนท์</t>
  </si>
  <si>
    <t>HO0036072C0053</t>
  </si>
  <si>
    <t>HO0036073M0021</t>
  </si>
  <si>
    <t>BK650176</t>
  </si>
  <si>
    <t>จุฑามาส คุ้มหรั่ง</t>
  </si>
  <si>
    <t>แผนกโครงสร้างคอนโด</t>
  </si>
  <si>
    <t>HO0036072C0055</t>
  </si>
  <si>
    <t>HO0036073M0035</t>
  </si>
  <si>
    <t>BK660106</t>
  </si>
  <si>
    <t>สุชาดา ทิพยาวงศ์</t>
  </si>
  <si>
    <t>HO0036072C0095</t>
  </si>
  <si>
    <t>HO0036073M0088</t>
  </si>
  <si>
    <t>BK600092</t>
  </si>
  <si>
    <t>รวิพร เรืองวัลย์ธนา</t>
  </si>
  <si>
    <t>CONHO072C0017</t>
  </si>
  <si>
    <t>HO0022073C0015</t>
  </si>
  <si>
    <t>อนันตญา มินตา</t>
  </si>
  <si>
    <t>HO0022072C0031</t>
  </si>
  <si>
    <t>HO0022073C0016</t>
  </si>
  <si>
    <t>BK650274</t>
  </si>
  <si>
    <t>เตียงคำ พลเยี่ยม</t>
  </si>
  <si>
    <t>HO0036072C0064</t>
  </si>
  <si>
    <t>HO0036073M0055</t>
  </si>
  <si>
    <t>ดารารัตน์ เชื้อขาวพิมพ์</t>
  </si>
  <si>
    <t>CONHO072C0015</t>
  </si>
  <si>
    <t>HO0022072C0006</t>
  </si>
  <si>
    <t>นิตยา สาหลำสุหรี</t>
  </si>
  <si>
    <t>HO0036072C0009</t>
  </si>
  <si>
    <t>HO0022073M0015</t>
  </si>
  <si>
    <t>BK640149</t>
  </si>
  <si>
    <t>สิทธิชัย นิทากร</t>
  </si>
  <si>
    <t>แผนกประมาณราคางานระบบไฟฟ้า</t>
  </si>
  <si>
    <t>HO0036072C0020</t>
  </si>
  <si>
    <t>HO0022073M0013</t>
  </si>
  <si>
    <t>BK620138</t>
  </si>
  <si>
    <t>ธนารัฐ พึ่งงาม</t>
  </si>
  <si>
    <t>แผนกอินทีเรีย</t>
  </si>
  <si>
    <t>CONHO072C0003</t>
  </si>
  <si>
    <t>HO0022073M0012</t>
  </si>
  <si>
    <t>นุชนารถ นนพิภักดิ์</t>
  </si>
  <si>
    <t>HO0022072C0027</t>
  </si>
  <si>
    <t>HO0022073M0009</t>
  </si>
  <si>
    <t>BK540304</t>
  </si>
  <si>
    <t>ธารทิพย์ ศรีต่างวงษ์</t>
  </si>
  <si>
    <t>แผนก CMS/RMS</t>
  </si>
  <si>
    <t>HO2C01026CON</t>
  </si>
  <si>
    <t>HO0022073M0014</t>
  </si>
  <si>
    <t>BK650117</t>
  </si>
  <si>
    <t>ธวัชชัย ประเสสัง</t>
  </si>
  <si>
    <t>แผนกประมาณราคางานระบบสุขาภิบาล</t>
  </si>
  <si>
    <t>HO0036072C0040</t>
  </si>
  <si>
    <t>HO0036073M0022</t>
  </si>
  <si>
    <t>สถานที่ (Site) : อาคารธัญลักษณ์ภาคย์ (ฝ่ายสรรหาและจัดจ้างงานก่อสร้าง)</t>
  </si>
  <si>
    <t>BK560032</t>
  </si>
  <si>
    <t>เสาวนีย์ ภิรมย์</t>
  </si>
  <si>
    <t>ฝ่ายสรรหา</t>
  </si>
  <si>
    <t>LESHO012C0006</t>
  </si>
  <si>
    <t>LESHO012C0008</t>
  </si>
  <si>
    <t>BK610053</t>
  </si>
  <si>
    <t>มีนณิกานต์ วังสวนดอกไม้</t>
  </si>
  <si>
    <t>HO0022072C0002</t>
  </si>
  <si>
    <t>CONHO012C0090</t>
  </si>
  <si>
    <t>BK650238</t>
  </si>
  <si>
    <t>อัจฉริยา อังศุศิริพงศ์</t>
  </si>
  <si>
    <t>HO0022072C0036</t>
  </si>
  <si>
    <t>HO0022073M0001</t>
  </si>
  <si>
    <t>BK640182</t>
  </si>
  <si>
    <t>ปรีดาภรณ์ วังหนอง</t>
  </si>
  <si>
    <t>แผนกสรรหาคอนโด</t>
  </si>
  <si>
    <t>HO0036072C0021</t>
  </si>
  <si>
    <t>HO0022073M0004</t>
  </si>
  <si>
    <t>BK660099</t>
  </si>
  <si>
    <t>ศักดิ์ณรงค์ ฤกษ์กายี</t>
  </si>
  <si>
    <t>HO0036072C0022</t>
  </si>
  <si>
    <t>BK650170</t>
  </si>
  <si>
    <t>จินตนาพร ทาอินทร์</t>
  </si>
  <si>
    <t>แผนกสรรหาแนวราบ</t>
  </si>
  <si>
    <t>HO0022072C0035</t>
  </si>
  <si>
    <t>HO0022073M0017</t>
  </si>
  <si>
    <t>BK660007</t>
  </si>
  <si>
    <t>ชนินทร ยอดศรีทอง</t>
  </si>
  <si>
    <t>HO0022072C0034</t>
  </si>
  <si>
    <t>HO0022073M0016</t>
  </si>
  <si>
    <t>สถานที่ (Site) : อาคารธัญลักษณ์ภาคย์ (ฝ่ายภูมิสถาปัตย์)</t>
  </si>
  <si>
    <t>BK570006</t>
  </si>
  <si>
    <t>ธีรพัฒน์ หาหลัง</t>
  </si>
  <si>
    <t>ฝ่ายภูมิสถาปัตย์</t>
  </si>
  <si>
    <t>CONHO072C0014</t>
  </si>
  <si>
    <t>HO0022073M0006</t>
  </si>
  <si>
    <t>BK660093</t>
  </si>
  <si>
    <t>วิชุดา เทพบริบูรณ์</t>
  </si>
  <si>
    <t>HO0036072C0033</t>
  </si>
  <si>
    <t>HO0036073M0082</t>
  </si>
  <si>
    <t>BK620114</t>
  </si>
  <si>
    <t>ณัฐพงศ์ ชิราพฤกษ์</t>
  </si>
  <si>
    <t>MGPHO012C0033</t>
  </si>
  <si>
    <t>JPSHO012C0003</t>
  </si>
  <si>
    <t>BK640071</t>
  </si>
  <si>
    <t>วรินทร์ทิพย์ ลักขณาชมยิ่ง</t>
  </si>
  <si>
    <t>HO0018072C0003</t>
  </si>
  <si>
    <t>HO0036073M0002</t>
  </si>
  <si>
    <t>พรกนก คำแผง</t>
  </si>
  <si>
    <t>CONHO072C0011</t>
  </si>
  <si>
    <t>HO0036073M0032</t>
  </si>
  <si>
    <t>กาญจนา ชีใหม่</t>
  </si>
  <si>
    <t>HO0018072C0001</t>
  </si>
  <si>
    <t>CONHO012C0046</t>
  </si>
  <si>
    <t>BK660057</t>
  </si>
  <si>
    <t>ศุภัทชา จาดเมือง</t>
  </si>
  <si>
    <t>HO0036072C0093</t>
  </si>
  <si>
    <t>HO0036073M0081</t>
  </si>
  <si>
    <t>BK660146</t>
  </si>
  <si>
    <t>วสุธร นาคณรงค์สวัสดิ์</t>
  </si>
  <si>
    <t>HO0022072C0037</t>
  </si>
  <si>
    <t>SN:92W9XY3</t>
  </si>
  <si>
    <t>BK660128</t>
  </si>
  <si>
    <t>อัจฉรา เหมือนกรุง</t>
  </si>
  <si>
    <t>แผนกประมาณราคาภูมิทัศน์</t>
  </si>
  <si>
    <t>HO0036072C0073</t>
  </si>
  <si>
    <t>HO0036073M0073</t>
  </si>
  <si>
    <t>BK000090</t>
  </si>
  <si>
    <t>ชลธิชา บุญไชย</t>
  </si>
  <si>
    <t>ฝ่ายสัญญาจ้างงานก่อสร้าง</t>
  </si>
  <si>
    <t>HO2C01011ICT</t>
  </si>
  <si>
    <t>SN:6YQD7P3</t>
  </si>
  <si>
    <t>BK560016</t>
  </si>
  <si>
    <t>ปัฐณัศยา ยศปัญญา</t>
  </si>
  <si>
    <t>แผนกสัญญา</t>
  </si>
  <si>
    <t>CONHO072C0006</t>
  </si>
  <si>
    <t>CONHO012C0019</t>
  </si>
  <si>
    <t>BK600120</t>
  </si>
  <si>
    <t>นิรัตน์ เสนานุช</t>
  </si>
  <si>
    <t>CONHO072C0020</t>
  </si>
  <si>
    <t>HO0022073C0014</t>
  </si>
  <si>
    <t>BK620136</t>
  </si>
  <si>
    <t>กรชวัล นนท์แก้ว</t>
  </si>
  <si>
    <t>COMMHO012C0018</t>
  </si>
  <si>
    <t>BDHO012C0007</t>
  </si>
  <si>
    <t>BK620140</t>
  </si>
  <si>
    <t>จิราภาภรณ์ ศิริบัว</t>
  </si>
  <si>
    <t>DPHO012C0003</t>
  </si>
  <si>
    <t>HO0036073C0006</t>
  </si>
  <si>
    <t>BK620155</t>
  </si>
  <si>
    <t>ภัทธิรา เรืองทอง</t>
  </si>
  <si>
    <t>CONHO012C0044</t>
  </si>
  <si>
    <t>HO0022073M0011</t>
  </si>
  <si>
    <t>สถานที่ (Site) : อาคารธัญลักษณ์ภาคย์ (สายงานจัดการระบบคุณภาพ QM)</t>
  </si>
  <si>
    <t>BK640049</t>
  </si>
  <si>
    <t>ธีระพงษ์ ชิรวานิช</t>
  </si>
  <si>
    <t>HO0009072C0017</t>
  </si>
  <si>
    <t>HO0034072C0007</t>
  </si>
  <si>
    <t>ชัยพจน์ ช่างแต่ง</t>
  </si>
  <si>
    <t>ฝ่ายจัดการระบบคุณภาพ QM</t>
  </si>
  <si>
    <t>HO0004072C0018</t>
  </si>
  <si>
    <t>กาญจนา บัวจันทร์</t>
  </si>
  <si>
    <t>แผนกจัดการระบบคุณภาพ QM</t>
  </si>
  <si>
    <t>JSPC21C7001</t>
  </si>
  <si>
    <t>ยุพิน เครือแสง</t>
  </si>
  <si>
    <t>SN:3V8BXW3</t>
  </si>
  <si>
    <t>SN:7CRHYV3</t>
  </si>
  <si>
    <t>BK650233</t>
  </si>
  <si>
    <t>ทัศนัย ว่องวิกย์การ</t>
  </si>
  <si>
    <t>สำนักกรรมการผู้จัดการ</t>
  </si>
  <si>
    <t>HOM09W662Y3</t>
  </si>
  <si>
    <t>อัฐพล บุญค่ำชู</t>
  </si>
  <si>
    <t>SN:PF39GF8H</t>
  </si>
  <si>
    <t>BK650290</t>
  </si>
  <si>
    <t>ธเนศ สุทธิวราภิรักษ์</t>
  </si>
  <si>
    <t>HOM09DG7XY3</t>
  </si>
  <si>
    <t>BK650291</t>
  </si>
  <si>
    <t>วัฒนผล โล่ห์สุนทร</t>
  </si>
  <si>
    <t>HOM09D79XY3</t>
  </si>
  <si>
    <t>BK630021</t>
  </si>
  <si>
    <t>พรภัส บุญวงศ์</t>
  </si>
  <si>
    <t>ฝ่ายกลยุทธ์ธุรกิจ</t>
  </si>
  <si>
    <t>SN:PF39GQ6D</t>
  </si>
  <si>
    <t>HO0026072C0008</t>
  </si>
  <si>
    <t>BK650239</t>
  </si>
  <si>
    <t>สิรินธร์ สืบจากรอด</t>
  </si>
  <si>
    <t>JSPC2112043</t>
  </si>
  <si>
    <t>JPM4141002212</t>
  </si>
  <si>
    <t>สถานที่ (Site) : อาคารธัญลักษณ์ภาคย์ (สำนักกรรมการผู้จัดการ)</t>
  </si>
  <si>
    <t>BK660053</t>
  </si>
  <si>
    <t>โกสิต อิสรียวงศ์</t>
  </si>
  <si>
    <t>SN:PF39G64R</t>
  </si>
  <si>
    <t>BK650229</t>
  </si>
  <si>
    <t>ประยูร จันทรรัตนศิริ</t>
  </si>
  <si>
    <t>แผนกกลยุทธ์ธุรกิจ</t>
  </si>
  <si>
    <t>JSPC1501002</t>
  </si>
  <si>
    <t>All in one</t>
  </si>
  <si>
    <t>BK640028</t>
  </si>
  <si>
    <t>สุภัทร์ รัตนะโสภณชัย</t>
  </si>
  <si>
    <t>HO0034072C0015</t>
  </si>
  <si>
    <t>HO00334072C0011</t>
  </si>
  <si>
    <t>BK590034</t>
  </si>
  <si>
    <t>ศรีวรัตน์ ธัญลักษณ์ภาคย์</t>
  </si>
  <si>
    <t>สายงานพัฒนาโครงการ และผลิตภัณฑ์</t>
  </si>
  <si>
    <t>HO0009072C0022</t>
  </si>
  <si>
    <t>Notebook ASUS Zenbook Pine Grey 14 นิ้ว</t>
  </si>
  <si>
    <t>MGPHO012C0023</t>
  </si>
  <si>
    <t>BK650288</t>
  </si>
  <si>
    <t>ปิยะรัตน์ สุบรรณวิลาศ</t>
  </si>
  <si>
    <t>HO2C01011ACC</t>
  </si>
  <si>
    <t>SALNET072C0006</t>
  </si>
  <si>
    <t>BK670058</t>
  </si>
  <si>
    <t>จริยา สุนทรวิภาค</t>
  </si>
  <si>
    <t>JPC21C70004</t>
  </si>
  <si>
    <t>JPC2107004</t>
  </si>
  <si>
    <t>BK650207</t>
  </si>
  <si>
    <t>ศากุล ติมวงศ์</t>
  </si>
  <si>
    <t>ฝ่ายพัฒนาโครงการแนวสูง</t>
  </si>
  <si>
    <t>HO0004072C0021</t>
  </si>
  <si>
    <t>BK650209</t>
  </si>
  <si>
    <t>วิไลพร ตรีพรชัยศักดิ์</t>
  </si>
  <si>
    <t>HO0036072N0019</t>
  </si>
  <si>
    <t>Notebook ASUS TUF Gaming A17 17.3"</t>
  </si>
  <si>
    <t>CONHO012C0082</t>
  </si>
  <si>
    <t>กนกวรรณ คล้ายทิม</t>
  </si>
  <si>
    <t>HO0036072N0017</t>
  </si>
  <si>
    <t>HO0009072C0007</t>
  </si>
  <si>
    <t>BK650208</t>
  </si>
  <si>
    <t>กฤษฎา ฉัฐมะ</t>
  </si>
  <si>
    <t>HO0020072C0002</t>
  </si>
  <si>
    <t>HO0020073C0002</t>
  </si>
  <si>
    <t>BK650265</t>
  </si>
  <si>
    <t>ธีรพัฒน์ สันตะจิตต์</t>
  </si>
  <si>
    <t>HO0006072C0009</t>
  </si>
  <si>
    <t>จิรัชยา เรืองสมบูรณ์</t>
  </si>
  <si>
    <t>HO0036072N0023</t>
  </si>
  <si>
    <t>Notebook ASUS TUF Gaming Dash 15.6"</t>
  </si>
  <si>
    <t>BK640114</t>
  </si>
  <si>
    <t>เอกชัย สว่างพันธ์</t>
  </si>
  <si>
    <t>แผนก Interior</t>
  </si>
  <si>
    <t>HO0034072C0018</t>
  </si>
  <si>
    <t>BK650248</t>
  </si>
  <si>
    <t>สุภาวดี สุขจันทร์</t>
  </si>
  <si>
    <t>HO0036072N0047</t>
  </si>
  <si>
    <t>Notebook ASUS TUF Gaming LAPTOP F15 15.6"</t>
  </si>
  <si>
    <t>BK660027</t>
  </si>
  <si>
    <t>จุฑาภรณ์ รุ่งเรือง</t>
  </si>
  <si>
    <t>JSP2107008</t>
  </si>
  <si>
    <t>JSP21100000</t>
  </si>
  <si>
    <t>BK670001</t>
  </si>
  <si>
    <t>เปมิกา มะลิซ้อน</t>
  </si>
  <si>
    <t>JSP21100002</t>
  </si>
  <si>
    <t>JSP2111003</t>
  </si>
  <si>
    <t>BK640090</t>
  </si>
  <si>
    <t>ปัญญาพล โสพันธุ์</t>
  </si>
  <si>
    <t>HO0036072N0046</t>
  </si>
  <si>
    <t>HO0036073M0006</t>
  </si>
  <si>
    <t>BK650002</t>
  </si>
  <si>
    <t>กฤตธี มาฆะศิรานนท์</t>
  </si>
  <si>
    <t>SN:JGZFFX3</t>
  </si>
  <si>
    <t>HO0034073M0002</t>
  </si>
  <si>
    <t>วรัลชญาน์ ศิระภิญโญวัฒน์</t>
  </si>
  <si>
    <t>JSP21100001</t>
  </si>
  <si>
    <t>JSP2111004</t>
  </si>
  <si>
    <t>วรพันธ์ ลานทิพย์เลิศ</t>
  </si>
  <si>
    <t>HO0034072C0004</t>
  </si>
  <si>
    <t>HO0034072C0009</t>
  </si>
  <si>
    <t>จอคอมพิวเตอร์ LED Samsung 27 นิ้ว</t>
  </si>
  <si>
    <t>จิราภา ราชวาณิชย์</t>
  </si>
  <si>
    <t>HO0006072C0015</t>
  </si>
  <si>
    <t>HO0006072C0012</t>
  </si>
  <si>
    <t>BK620152</t>
  </si>
  <si>
    <t>พรชนก เติมวรธรรม</t>
  </si>
  <si>
    <t>แผนกภูมิสถาปัตย์</t>
  </si>
  <si>
    <t>CONHO012C0085</t>
  </si>
  <si>
    <t>BK640096</t>
  </si>
  <si>
    <t>ประพิมพ์พร ประสารกก</t>
  </si>
  <si>
    <t>CONHO012C0083</t>
  </si>
  <si>
    <t>BK650215</t>
  </si>
  <si>
    <t>เอกราช นันตา</t>
  </si>
  <si>
    <t>JSPC21070005</t>
  </si>
  <si>
    <t>JSPC2107005</t>
  </si>
  <si>
    <t>BK660112</t>
  </si>
  <si>
    <t>ธารยา เจริญจิระตระกูล</t>
  </si>
  <si>
    <t>HO0036072C0072</t>
  </si>
  <si>
    <t>HO0036073M0036</t>
  </si>
  <si>
    <t>BK620131</t>
  </si>
  <si>
    <t>ลฎาภา ภูวธนาสินวุฒ</t>
  </si>
  <si>
    <t>CONHO072C0012</t>
  </si>
  <si>
    <t>HO0034072C0002</t>
  </si>
  <si>
    <t>BK630099</t>
  </si>
  <si>
    <t>ปิพิมาวดี พงษ์พิทักษ์</t>
  </si>
  <si>
    <t>HO0034072C0001</t>
  </si>
  <si>
    <t>HO0009072C0006</t>
  </si>
  <si>
    <t>BK680567</t>
  </si>
  <si>
    <t>สมวรา ดอกลำเจียก</t>
  </si>
  <si>
    <t>HO0034073M0001</t>
  </si>
  <si>
    <t>BK630002</t>
  </si>
  <si>
    <t>โยธิน เสนาไชย</t>
  </si>
  <si>
    <t>แผนก Drawing</t>
  </si>
  <si>
    <t>HO0006072C0013</t>
  </si>
  <si>
    <t>HO0025073C0001</t>
  </si>
  <si>
    <t>BK640146</t>
  </si>
  <si>
    <t>รัชกฤต ภู่จ้อย</t>
  </si>
  <si>
    <t>HO0036072C0016</t>
  </si>
  <si>
    <t>BK650219</t>
  </si>
  <si>
    <t>พัชรินทร์ พัฒนพันธ์ชัย</t>
  </si>
  <si>
    <t>JSP2111001</t>
  </si>
  <si>
    <t>BK650222</t>
  </si>
  <si>
    <t>มานพ โภคา</t>
  </si>
  <si>
    <t>JSPC21070003</t>
  </si>
  <si>
    <t>JSP0160503212</t>
  </si>
  <si>
    <t>BK650124</t>
  </si>
  <si>
    <t>เฉลิมพล โชควิเศษชัยสิทธิ์</t>
  </si>
  <si>
    <t>HO0004072C0014</t>
  </si>
  <si>
    <t>BK660073</t>
  </si>
  <si>
    <t>กิตติธัช กาฬภักดี</t>
  </si>
  <si>
    <t>HO0022072C0040</t>
  </si>
  <si>
    <t>HO0022073M0008</t>
  </si>
  <si>
    <t>BK590032</t>
  </si>
  <si>
    <t>ครองศักดิ์ มานะเจริญ</t>
  </si>
  <si>
    <t>แผนกวิศวกรรมโครงสร้าง</t>
  </si>
  <si>
    <t>CONHO012C0047</t>
  </si>
  <si>
    <t>HO2C03007CON</t>
  </si>
  <si>
    <t>BK620151</t>
  </si>
  <si>
    <t>นพดล วัฒนยืนยง</t>
  </si>
  <si>
    <t>HO0034072C0010</t>
  </si>
  <si>
    <t>HO0034073C0006</t>
  </si>
  <si>
    <t>BK610064</t>
  </si>
  <si>
    <t>ณรงค์ นนท์กรณิศ</t>
  </si>
  <si>
    <t>HO0022072C0018</t>
  </si>
  <si>
    <t>HO0022072C0019</t>
  </si>
  <si>
    <t>BK660077</t>
  </si>
  <si>
    <t>จาตุรนต์ สิงหนาท</t>
  </si>
  <si>
    <t>ฝ่ายพัฒนาโครงการ A ธุรกิจพิเศษ</t>
  </si>
  <si>
    <t>SN:1HZFFX3</t>
  </si>
  <si>
    <t>DPHO012C0013</t>
  </si>
  <si>
    <t>สถานที่ (Site) : อาคารธัญลักษณ์ภาคย์ (กลุ่มเลขานุการ ชั้น 11)</t>
  </si>
  <si>
    <t>BK000001</t>
  </si>
  <si>
    <t>ธีรวัฒน์ ธัญลักษณ์ภาคย์</t>
  </si>
  <si>
    <t>กลุ่มประธานเจ้าหน้าที่บริหาร</t>
  </si>
  <si>
    <t>HO0001072C0003</t>
  </si>
  <si>
    <t>สถานที่ (Site) : อาคารธัญลักษณ์ภาคย์ (พัทยาคันทรี่คลับ(สำนักงานใหญ่))</t>
  </si>
  <si>
    <t>BK000002</t>
  </si>
  <si>
    <t>เบญญาลักษณ์ ธัญลักษณ์ภาคย์</t>
  </si>
  <si>
    <t>PURHO012C0005</t>
  </si>
  <si>
    <t>BK000006</t>
  </si>
  <si>
    <t>ชนัดดา คณานุรักษ์</t>
  </si>
  <si>
    <t>HO0001072C0001</t>
  </si>
  <si>
    <t>BK000015</t>
  </si>
  <si>
    <t>กมลวรรณ คันธวณิชพันธุ์</t>
  </si>
  <si>
    <t>MBOHO012C0018</t>
  </si>
  <si>
    <t>BK550083</t>
  </si>
  <si>
    <t>ณัชชา พราหมณ์เกษม</t>
  </si>
  <si>
    <t>HO0001072C0004</t>
  </si>
  <si>
    <t>HO0001073C0017</t>
  </si>
  <si>
    <t>BK620123</t>
  </si>
  <si>
    <t>พลับพลึง จวิเสน</t>
  </si>
  <si>
    <t>HO0001072C0005</t>
  </si>
  <si>
    <t>BK620146</t>
  </si>
  <si>
    <t>พงศธร ชิณบุตร</t>
  </si>
  <si>
    <t>HQOHO012C0014</t>
  </si>
  <si>
    <t>สถานที่ (Site) : อาคารธัญลักษณ์ภาคย์ (ฝ่ายบัญชีการเงิน ชั้น 11)</t>
  </si>
  <si>
    <t>BK000039</t>
  </si>
  <si>
    <t>โสภิตสุดา สุทธิพันธุ์</t>
  </si>
  <si>
    <t>HO0029072C0005</t>
  </si>
  <si>
    <t>HO2C03010A/C</t>
  </si>
  <si>
    <t>BK560143</t>
  </si>
  <si>
    <t>คนึงนิตย์ หวานเสร็จ</t>
  </si>
  <si>
    <t>HO0029072C0004</t>
  </si>
  <si>
    <t>ICTHO012C0134</t>
  </si>
  <si>
    <t>ปาริฉัตร รัตนบุญเกตุ</t>
  </si>
  <si>
    <t>CVYNPY3</t>
  </si>
  <si>
    <t>DMVH8X3</t>
  </si>
  <si>
    <t>BK670072</t>
  </si>
  <si>
    <t>ซารียาฮ์ จิตต์จำนงค์</t>
  </si>
  <si>
    <t>ACHO072C0002</t>
  </si>
  <si>
    <t>HO0029073M0001</t>
  </si>
  <si>
    <t>บริษัท เอชายสร้างสรร จำกัด</t>
  </si>
  <si>
    <t>AC610002</t>
  </si>
  <si>
    <t>ธีระพงศ์ ลิ้มภูมิศักดิ์</t>
  </si>
  <si>
    <t>HO0015072C0013</t>
  </si>
  <si>
    <t>HO2C03005ICT</t>
  </si>
  <si>
    <t>สถานที่ (Site) : อาคารธัญลักษณ์ภาคย์ (กลุ่มเลขานุการ ชั้น 12)</t>
  </si>
  <si>
    <t>BK650249</t>
  </si>
  <si>
    <t>ณกานต์ อินทรศิริ</t>
  </si>
  <si>
    <t>กลุ่มกรรมการผู้จัดการ</t>
  </si>
  <si>
    <t>MGPHO01000012</t>
  </si>
  <si>
    <t>Computer HP Pavilion All in One 24-G2071</t>
  </si>
  <si>
    <t>BK650271</t>
  </si>
  <si>
    <t>ณิชานันท์ ไชยสิงห์</t>
  </si>
  <si>
    <t>SN:MSAF83N4S0102947</t>
  </si>
  <si>
    <t>Computer All in one MSI PRO AP272</t>
  </si>
  <si>
    <t>BK670003</t>
  </si>
  <si>
    <t>ภคมน วงศ์แก้ว</t>
  </si>
  <si>
    <t>HO0036072N0042</t>
  </si>
  <si>
    <t>Notebook Lenovo Thinkbook Gen2 13"</t>
  </si>
  <si>
    <t>สถานที่ (Site) : บริษัท เงินสดใจดี จำกัด (สายงาน เงินสดใจดี)</t>
  </si>
  <si>
    <t>PC640001</t>
  </si>
  <si>
    <t>สุธรรม โอฬารกิจอนันต์</t>
  </si>
  <si>
    <t>กลุ่มงาน เงินสดใจดี</t>
  </si>
  <si>
    <t>TTREHO072C0002</t>
  </si>
  <si>
    <t>ชุดคอมพิวเตอร์ Server (HP ML310e Gen8 V2)</t>
  </si>
  <si>
    <t>PC660003</t>
  </si>
  <si>
    <t>ศุภวรรณ อุ่นอกแดง</t>
  </si>
  <si>
    <t>SN:PF39GKNJ</t>
  </si>
  <si>
    <t>PC660002</t>
  </si>
  <si>
    <t>พิชญ์ สุนทัน</t>
  </si>
  <si>
    <t>ฝ่ายประสานงานสินเชื่อ</t>
  </si>
  <si>
    <t>SN:PF3A14R0</t>
  </si>
  <si>
    <t>PWC1073M0004</t>
  </si>
  <si>
    <t>PC640003</t>
  </si>
  <si>
    <t>สุพรรณี งามเริง</t>
  </si>
  <si>
    <t>ฝ่ายปฏิบัติการสินเชื่อและบัญชี</t>
  </si>
  <si>
    <t>SN:MP2EHYDS</t>
  </si>
  <si>
    <t>SN:91X9XY3</t>
  </si>
  <si>
    <t>PC660004</t>
  </si>
  <si>
    <t>สุพิชญา ภักดีคง</t>
  </si>
  <si>
    <t>SN:MP2E2VRX</t>
  </si>
  <si>
    <t>PC660005</t>
  </si>
  <si>
    <t>สมศักดิ์ หัตถ์สุวรรณ</t>
  </si>
  <si>
    <t>SN:MP2E0B89</t>
  </si>
  <si>
    <t>SN:B6S5HZ3</t>
  </si>
  <si>
    <t>PC670001</t>
  </si>
  <si>
    <t>นิพา มาตรักชาติ</t>
  </si>
  <si>
    <t>SN:1RRKQ04</t>
  </si>
  <si>
    <t>SN:92D8XY3</t>
  </si>
  <si>
    <t>ปณิดา เขียวโน</t>
  </si>
  <si>
    <t>HO0036072C0046</t>
  </si>
  <si>
    <t>HO0036073M0069</t>
  </si>
  <si>
    <t>Sena ตึก 522</t>
  </si>
  <si>
    <t>สถานที่ (Site) : สำนักงานใหญ่ ตึก 522 (ทรัพย์สินอาคารส่วนกลาง)</t>
  </si>
  <si>
    <t>BK620121</t>
  </si>
  <si>
    <t>จิดาภา บุปผากลิ่น</t>
  </si>
  <si>
    <t>HO0027072C0004</t>
  </si>
  <si>
    <t>SN:C7HNYV3</t>
  </si>
  <si>
    <t>สถานที่ (Site) : สำนักงานใหญ่ ตึก 522 (สำนักบริหารโครงการ 3)</t>
  </si>
  <si>
    <t>BK680459</t>
  </si>
  <si>
    <t>พงษ์พันธ์ โตเนียม</t>
  </si>
  <si>
    <t>สายงานบริหารโครงการบ้าน 11</t>
  </si>
  <si>
    <t>SN:PF39FJT1</t>
  </si>
  <si>
    <t>สถานที่ (Site) : สำนักงานใหญ่ ตึก 522 (ก่อสร้าง CON31)</t>
  </si>
  <si>
    <t>จีวรัตน์ วังกะธาตุ</t>
  </si>
  <si>
    <t>HOS020072C0002</t>
  </si>
  <si>
    <t>HOS020073M0002</t>
  </si>
  <si>
    <t>สถานที่ (Site) : สำนักงานใหญ่ ตึก 522 (ก่อสร้าง CON32)</t>
  </si>
  <si>
    <t>รพีภัทร คีรีรมย์</t>
  </si>
  <si>
    <t>HO0009072C0024</t>
  </si>
  <si>
    <t>HOS006073M0003</t>
  </si>
  <si>
    <t>BK680550</t>
  </si>
  <si>
    <t>กัลยารัตน์ วิหาร</t>
  </si>
  <si>
    <t>HOS006072C0004</t>
  </si>
  <si>
    <t>HOS006073M0004</t>
  </si>
  <si>
    <t>BK680563</t>
  </si>
  <si>
    <t>อรรถชา โคกบัว</t>
  </si>
  <si>
    <t>HO0036072C0038</t>
  </si>
  <si>
    <t>HO0036073M0017</t>
  </si>
  <si>
    <t>สถานที่ (Site) : สำนักงานใหญ่ ตึก 522 (ก่อสร้าง CON33)</t>
  </si>
  <si>
    <t>BK680484</t>
  </si>
  <si>
    <t>กุลวดี บุญเรืองขาว</t>
  </si>
  <si>
    <t>HOS006072C0002</t>
  </si>
  <si>
    <t>BK680494</t>
  </si>
  <si>
    <t>วาริสา ดิษดำ</t>
  </si>
  <si>
    <t>HOS006072C0003</t>
  </si>
  <si>
    <t>HOS006073M0005</t>
  </si>
  <si>
    <t>ณิชารีย์ ภูมิวิจิตรการ</t>
  </si>
  <si>
    <t>HOS006072N0001</t>
  </si>
  <si>
    <t>Notebook DELL Inspiron 3520 15.6"</t>
  </si>
  <si>
    <t>สุทธิพงษ์ ทองมี</t>
  </si>
  <si>
    <t>SN:57J3QY3</t>
  </si>
  <si>
    <t>ชุดคอมพิวเตอร์ Dell Precision i7-13700</t>
  </si>
  <si>
    <t>SN:4VTT4P3</t>
  </si>
  <si>
    <t>BK680522</t>
  </si>
  <si>
    <t>วิษณุ ธานีประเสริฐ</t>
  </si>
  <si>
    <t>HOS006072C0001</t>
  </si>
  <si>
    <t>HOS006073M0001</t>
  </si>
  <si>
    <t>เอกพล แสนหาญ</t>
  </si>
  <si>
    <t>BK680465</t>
  </si>
  <si>
    <t>นัฐพงษ์ วรวงษ์</t>
  </si>
  <si>
    <t>ฝ่ายบริหารโครงการบ้าน 11D</t>
  </si>
  <si>
    <t>เอกสิทธิ์ ทองบัวศิริไล</t>
  </si>
  <si>
    <t>HOS020072N0002</t>
  </si>
  <si>
    <t>Notebook Lenovo IdeaPad Gaming 3 15.6"</t>
  </si>
  <si>
    <t>สถานที่ (Site) : สำนักงานใหญ่ ตึก 522 (สำนักบริหารโครงการ 1)</t>
  </si>
  <si>
    <t>จิราภรณ์ มณีวรรณ</t>
  </si>
  <si>
    <t>SN:MP2E0HMQ</t>
  </si>
  <si>
    <t>BK680370</t>
  </si>
  <si>
    <t>อมรศักดิ์ ถนอมธรรม</t>
  </si>
  <si>
    <t>CONBDF4072N0001</t>
  </si>
  <si>
    <t>BK680376</t>
  </si>
  <si>
    <t>ณรงค์ฤทธิ์ อินสด</t>
  </si>
  <si>
    <t>HO0020072C0003</t>
  </si>
  <si>
    <t>ชุดคอมพิวเตอร์ CASE i5-11600 พร้อมอุปกรณ์</t>
  </si>
  <si>
    <t>HO0020073M0001</t>
  </si>
  <si>
    <t>จอคอมพิวเตอร์ MSI PRO MP271 27"</t>
  </si>
  <si>
    <t>BK680384</t>
  </si>
  <si>
    <t>มลิวรรณ์ แสงห้าว</t>
  </si>
  <si>
    <t>CONT4072C0002</t>
  </si>
  <si>
    <t>CONT4073C0002</t>
  </si>
  <si>
    <t>BK680385</t>
  </si>
  <si>
    <t>วิทยา มีสุข</t>
  </si>
  <si>
    <t>CONPR2072C0001</t>
  </si>
  <si>
    <t>MONITOR LCD 18.5"</t>
  </si>
  <si>
    <t>BK680423</t>
  </si>
  <si>
    <t>ศักดิ์ชัย ตุมอญ</t>
  </si>
  <si>
    <t>CONKPN072C0002</t>
  </si>
  <si>
    <t>CONKPN073M0002</t>
  </si>
  <si>
    <t>BK680428</t>
  </si>
  <si>
    <t>ธิดารัตน์ แก้วงาม</t>
  </si>
  <si>
    <t>HO0004072C0006</t>
  </si>
  <si>
    <t>HO0019073M0002</t>
  </si>
  <si>
    <t>BK680429</t>
  </si>
  <si>
    <t>ณรสิตา เสนานาม</t>
  </si>
  <si>
    <t>HO0036072C0029</t>
  </si>
  <si>
    <t>HO0036073M0010</t>
  </si>
  <si>
    <t>BK680430</t>
  </si>
  <si>
    <t>เบญจมาศ สโมสร</t>
  </si>
  <si>
    <t>HO0036072C0080</t>
  </si>
  <si>
    <t>HO0036073M0062</t>
  </si>
  <si>
    <t>นันทยา เอี่ยมสะอาด</t>
  </si>
  <si>
    <t>HO0036072C0069</t>
  </si>
  <si>
    <t>HO0036073M0050</t>
  </si>
  <si>
    <t>BK680432</t>
  </si>
  <si>
    <t>ณัฐธยาน์ ใจธรรม</t>
  </si>
  <si>
    <t>HO0020072C0004</t>
  </si>
  <si>
    <t>HO0020073M0002</t>
  </si>
  <si>
    <t>อริสรา บุญยิ่ง</t>
  </si>
  <si>
    <t>บริษัท เซ็น เอกซ์ จำกัด (มหาชน)</t>
  </si>
  <si>
    <t>สถานที่ (Site) : สำนักงานใหญ่ ตึก 522 (ก่อสร้าง CON13)</t>
  </si>
  <si>
    <t>นพสิทธิ์ เตโช</t>
  </si>
  <si>
    <t>สายงานบริหารโครงการคอนโดและบ้าน 13</t>
  </si>
  <si>
    <t>HO0036072N0011</t>
  </si>
  <si>
    <t>BK680367</t>
  </si>
  <si>
    <t>กิตติศักดิ์ เส้งสุย</t>
  </si>
  <si>
    <t>สายงานบริหารโครงการคอนโด และบ้าน 14</t>
  </si>
  <si>
    <t>BK680293</t>
  </si>
  <si>
    <t>พันฤทธิ์ บัวพา</t>
  </si>
  <si>
    <t>สำนักบริหารโครงการคอนโด 1</t>
  </si>
  <si>
    <t>HO0004072C0028</t>
  </si>
  <si>
    <t>Notebook ASUS ZenBook 14 นิ้ว รุ่น UX362FA</t>
  </si>
  <si>
    <t>SN:366K1L3</t>
  </si>
  <si>
    <t>สถานที่ (Site) : สำนักงานใหญ่ ตึก 522 (ขายและตลาดคอนโด1)</t>
  </si>
  <si>
    <t>BK680131</t>
  </si>
  <si>
    <t>จริญา ด่านสมพงค์</t>
  </si>
  <si>
    <t>SN:MP2ESVK1</t>
  </si>
  <si>
    <t>HO2C03015SAL</t>
  </si>
  <si>
    <t>สถานที่ (Site) : สำนักงานใหญ่ ตึก 522 (สายงานการตลาด BUD 1)</t>
  </si>
  <si>
    <t>สุภาพร แข่งขัน</t>
  </si>
  <si>
    <t>MAKHO072C0006</t>
  </si>
  <si>
    <t>HO0011073M0002</t>
  </si>
  <si>
    <t>พรจิรา อินทนอย</t>
  </si>
  <si>
    <t>MAKHO072C0005</t>
  </si>
  <si>
    <t>HOM0405TFGC0C647</t>
  </si>
  <si>
    <t>BK680174</t>
  </si>
  <si>
    <t>สุรัตนา สีดวงดี</t>
  </si>
  <si>
    <t>SMC072C0002</t>
  </si>
  <si>
    <t>HO0011073C0002</t>
  </si>
  <si>
    <t>รศิมาภรณ์ บุญยะมาลิค</t>
  </si>
  <si>
    <t>HO2C01001SAL</t>
  </si>
  <si>
    <t>HO2C03001FINR</t>
  </si>
  <si>
    <t>ภาคภูมิ แซ่กั้ง</t>
  </si>
  <si>
    <t>MAKHO072C0001</t>
  </si>
  <si>
    <t>วณิชชยา อายุโย</t>
  </si>
  <si>
    <t>HO0011073M0004</t>
  </si>
  <si>
    <t>จอคอมพิวเตอร์ LED HP 20"</t>
  </si>
  <si>
    <t>BK680147</t>
  </si>
  <si>
    <t>พิเชฐ แช่มช้อย</t>
  </si>
  <si>
    <t>แผนกการตลาดคอนโด 1B</t>
  </si>
  <si>
    <t>HO0011072C0002</t>
  </si>
  <si>
    <t>HO2C03006ACC</t>
  </si>
  <si>
    <t>BK680372</t>
  </si>
  <si>
    <t>ดำรงยุทธ ครุธทิน</t>
  </si>
  <si>
    <t>ฝ่ายบริหารโครงการคอนโดและบ้าน 11D</t>
  </si>
  <si>
    <t>CONBK073C0002</t>
  </si>
  <si>
    <t>BK680373</t>
  </si>
  <si>
    <t>ประวัติการณ์ คชฤทธิ์</t>
  </si>
  <si>
    <t>ฝ่ายบริหารโครงการคอนโดและบ้าน 12A</t>
  </si>
  <si>
    <t>SN:PF3A44EB</t>
  </si>
  <si>
    <t>สถานที่ (Site) : สำนักงานใหญ่ ตึก 522 (สำนักบริหารโครงการ 4)</t>
  </si>
  <si>
    <t>BK680307</t>
  </si>
  <si>
    <t>อาทิตยา ชลินทราภัทรกุล</t>
  </si>
  <si>
    <t>ฝ่าย Project Support</t>
  </si>
  <si>
    <t>SN:MP2EHYDW</t>
  </si>
  <si>
    <t>HO0043073M0001</t>
  </si>
  <si>
    <t>สถานที่ (Site) : สำนักงานใหญ่ ตึก 522 (สำนักบริหารโครงการ 2)</t>
  </si>
  <si>
    <t>BK680313</t>
  </si>
  <si>
    <t>ชลิดา อรรคศรีวร</t>
  </si>
  <si>
    <t>HO0004072C0010</t>
  </si>
  <si>
    <t>HO0004072C0011</t>
  </si>
  <si>
    <t>BK680320</t>
  </si>
  <si>
    <t>เพียงนภา ชำนาญมาก</t>
  </si>
  <si>
    <t>HO0014072C0015</t>
  </si>
  <si>
    <t>BK680321</t>
  </si>
  <si>
    <t>ศิลาพร ชลคงคา</t>
  </si>
  <si>
    <t>BK680322</t>
  </si>
  <si>
    <t>กนกนุช นวลเนตร</t>
  </si>
  <si>
    <t>HO0004072C0020</t>
  </si>
  <si>
    <t>CONHO012C0077</t>
  </si>
  <si>
    <t>BK680336</t>
  </si>
  <si>
    <t>กรีชภัทร์ฐา เดชเกิด</t>
  </si>
  <si>
    <t>HO0036072C0050</t>
  </si>
  <si>
    <t>HO0036073M0030</t>
  </si>
  <si>
    <t>อังคณา สุขสมัย</t>
  </si>
  <si>
    <t>HO0036072C0039</t>
  </si>
  <si>
    <t>HO0036073M0019</t>
  </si>
  <si>
    <t>BK680338</t>
  </si>
  <si>
    <t>ฉัตรนภา รักญาติ</t>
  </si>
  <si>
    <t>HO0036072C0048</t>
  </si>
  <si>
    <t>HO0036073M0068</t>
  </si>
  <si>
    <t>BK680339</t>
  </si>
  <si>
    <t>ธัญลักษณ์ ไก่แก้ว</t>
  </si>
  <si>
    <t>SN:MP2EHH0D</t>
  </si>
  <si>
    <t>HO0009073M0001</t>
  </si>
  <si>
    <t>สุวรรณา กระต่ายทอง</t>
  </si>
  <si>
    <t>CONRAMA9072C0002</t>
  </si>
  <si>
    <t>CONRAMA9073M0002</t>
  </si>
  <si>
    <t>จอคอมพิวเตอร์ LCD AOC 22"</t>
  </si>
  <si>
    <t>นัฐดนัย จันทะบุตร</t>
  </si>
  <si>
    <t>CONHO012C0071</t>
  </si>
  <si>
    <t>CONHO012C0081</t>
  </si>
  <si>
    <t>ยุทธพงศ์ แซ่ฉั่ว</t>
  </si>
  <si>
    <t>แผนก Construction Management Center</t>
  </si>
  <si>
    <t>HO0036072C0004</t>
  </si>
  <si>
    <t>SHY3HOPTH073C0003</t>
  </si>
  <si>
    <t>ไพโรจน์ สินเพราะ</t>
  </si>
  <si>
    <t>HO0036072N0015</t>
  </si>
  <si>
    <t>BK680340</t>
  </si>
  <si>
    <t>ดนุเดช ปั่งมาก</t>
  </si>
  <si>
    <t>SN:MP2EHAF4</t>
  </si>
  <si>
    <t>สถานที่ (Site) : สำนักงานใหญ่ ตึก 522 (สายงานก่อสร้าง 41 (NEW))</t>
  </si>
  <si>
    <t>BK680295</t>
  </si>
  <si>
    <t>สมโพธิ เจนศิริวาณิชย์</t>
  </si>
  <si>
    <t>สายงานบริหารโครงการคอนโด 12</t>
  </si>
  <si>
    <t>HO0043072N0001</t>
  </si>
  <si>
    <t>Notebook HP Pavillion Gaming 15.6"</t>
  </si>
  <si>
    <t>BK680296</t>
  </si>
  <si>
    <t>รัตน์วรา วิเชียรนพรัตน์</t>
  </si>
  <si>
    <t>สายงานบริหารโครงการคอนโด 13</t>
  </si>
  <si>
    <t>HO0004072C0004</t>
  </si>
  <si>
    <t>สถานที่ (Site) : สำนักงานใหญ่ ตึก 522 (สายงานการตลาด BUD 2)</t>
  </si>
  <si>
    <t>BK680213</t>
  </si>
  <si>
    <t>ภูษชญา ไกรลาศ</t>
  </si>
  <si>
    <t>HO0036072C0071</t>
  </si>
  <si>
    <t>HO0036073M0058</t>
  </si>
  <si>
    <t>BK680308</t>
  </si>
  <si>
    <t>เกียรติก้อง การะก่าน</t>
  </si>
  <si>
    <t>HO0004072N0004</t>
  </si>
  <si>
    <t>SALCKL012C0008</t>
  </si>
  <si>
    <t>BK680299</t>
  </si>
  <si>
    <t>อุบล แสงปาก</t>
  </si>
  <si>
    <t>ฝ่ายบริหารโครงการคอนโด 11A</t>
  </si>
  <si>
    <t>SN:PF39FBZ9</t>
  </si>
  <si>
    <t>BK680305</t>
  </si>
  <si>
    <t>วิรัช เรือนคำ</t>
  </si>
  <si>
    <t>ฝ่ายบริหารโครงการคอนโด 13C</t>
  </si>
  <si>
    <t>HO0004072C0005</t>
  </si>
  <si>
    <t>BK680306</t>
  </si>
  <si>
    <t>ธงชัย วงศ์ภูษาประกร</t>
  </si>
  <si>
    <t>ฝ่ายบริหารโครงการคอนโด 14B</t>
  </si>
  <si>
    <t>SN:MP2EJ0M6</t>
  </si>
  <si>
    <t>สถานที่ (Site) : สำนักงานใหญ่ ตึก 522 (สายงานสนับสนุนงานก่อสร้าง)</t>
  </si>
  <si>
    <t>ณฐฐ์ภพ กิจมุติ</t>
  </si>
  <si>
    <t>CONPR2072C0003</t>
  </si>
  <si>
    <t>สถานที่ (Site) : สำนักงานใหญ่ ตึก 522 (สายงานการตลาด BUD 4)</t>
  </si>
  <si>
    <t>BK680232</t>
  </si>
  <si>
    <t>วรรณพร พุกอนันต์</t>
  </si>
  <si>
    <t>HO0039072C0002</t>
  </si>
  <si>
    <t>HO0039073M0002</t>
  </si>
  <si>
    <t>สถานที่ (Site) : สำนักงานใหญ่ ตึก 522 (การตลาด BUD41)</t>
  </si>
  <si>
    <t>ธรรศ ครามะคำ</t>
  </si>
  <si>
    <t>SN:PF37V7ZB</t>
  </si>
  <si>
    <t>BK680234</t>
  </si>
  <si>
    <t>ศรัณยพร ไพศาลเรืองรุ่ง</t>
  </si>
  <si>
    <t>SN:MP2M8JLT</t>
  </si>
  <si>
    <t>BK680235</t>
  </si>
  <si>
    <t>สุพัตรา จันดา</t>
  </si>
  <si>
    <t>SN:PF3A446S</t>
  </si>
  <si>
    <t>สายสุนทรี เนตรทิพย์</t>
  </si>
  <si>
    <t>SN:MP2EJ2Y0</t>
  </si>
  <si>
    <t>สถานที่ (Site) : สำนักงานใหญ่ ตึก 522 (สายงานธุรกิจ 41)</t>
  </si>
  <si>
    <t>BK680216</t>
  </si>
  <si>
    <t>ชินญ์พิธา ชิ้นประเสริฐ</t>
  </si>
  <si>
    <t>HO0039072N0002</t>
  </si>
  <si>
    <t>Notebook DELL Inspiron 3501 15.6"</t>
  </si>
  <si>
    <t>สถานที่ (Site) : สำนักงานใหญ่ ตึก 522 (สายงานขายการตลาดบ้าน2)</t>
  </si>
  <si>
    <t>BK680237</t>
  </si>
  <si>
    <t>กมลชนก สุขสวัสดิ์</t>
  </si>
  <si>
    <t>HO0012072C0005</t>
  </si>
  <si>
    <t>ICTHO012C0140</t>
  </si>
  <si>
    <t>BK680269</t>
  </si>
  <si>
    <t>วรรณภา ลิขิตศรีกาญจนา</t>
  </si>
  <si>
    <t>COMMHO072C0003</t>
  </si>
  <si>
    <t>SALB1/5072C0004</t>
  </si>
  <si>
    <t>BK680250</t>
  </si>
  <si>
    <t>ประภาพรรณ เตชะสุนทรกล้า</t>
  </si>
  <si>
    <t>HO0036072N0050</t>
  </si>
  <si>
    <t>HO0012073M0002</t>
  </si>
  <si>
    <t>BK680251</t>
  </si>
  <si>
    <t>สุกัญญา ตันเจริญ</t>
  </si>
  <si>
    <t>ฝ่ายการตลาดบ้าน 2A (โซนสมุทรปราการ)</t>
  </si>
  <si>
    <t>MAKHO012C0024</t>
  </si>
  <si>
    <t>ปวเรศ ปัญจศิลป์</t>
  </si>
  <si>
    <t>แผนกการตลาดบ้าน H1B (โซนรังสิต - บางปะกง)</t>
  </si>
  <si>
    <t>MAKHO012C0023</t>
  </si>
  <si>
    <t>HO0012073C0004</t>
  </si>
  <si>
    <t>BK680249</t>
  </si>
  <si>
    <t>ศศมน ชาญพัฒนกิจ</t>
  </si>
  <si>
    <t>สายงานบริหารการขาย และตลาดบ้าน 1</t>
  </si>
  <si>
    <t>HO0010072C0003</t>
  </si>
  <si>
    <t>HO0005072C0003</t>
  </si>
  <si>
    <t>ธีรกานต์ เพ็ชรเวียงเหนือ</t>
  </si>
  <si>
    <t>สำนักบริหารการขาย และตลาดบ้าน 2</t>
  </si>
  <si>
    <t>SN:PF37TTAK</t>
  </si>
  <si>
    <t>BK680280</t>
  </si>
  <si>
    <t>ณัฏฐามณฑ์ อรรควิทยาพงศ์</t>
  </si>
  <si>
    <t>ฝ่ายขายบ้าน 2B</t>
  </si>
  <si>
    <t>SN:MP2EHRVQ</t>
  </si>
  <si>
    <t>BK680279</t>
  </si>
  <si>
    <t>วรวิทย์ ไทยใหม่</t>
  </si>
  <si>
    <t>SN:PF39F750</t>
  </si>
  <si>
    <t>BK680276</t>
  </si>
  <si>
    <t>เอกกฤษฎิ์ รัตนวิจารณ์</t>
  </si>
  <si>
    <t>สายงานบริหารการขาย และตลาดบ้าน 2</t>
  </si>
  <si>
    <t>SN:MP283D3P</t>
  </si>
  <si>
    <t>BK680277</t>
  </si>
  <si>
    <t>อัจฉริยา ฉายดำรงค์</t>
  </si>
  <si>
    <t>HO2C01020ICT</t>
  </si>
  <si>
    <t>MAKHO072C0008</t>
  </si>
  <si>
    <t>BK680284</t>
  </si>
  <si>
    <t>โสภิดา ไพรอด</t>
  </si>
  <si>
    <t>HO0036072C0104</t>
  </si>
  <si>
    <t>HO0036073M0014</t>
  </si>
  <si>
    <t>Sena ตึก 524</t>
  </si>
  <si>
    <t>สถานที่ (Site) : สำนักงานใหญ่ 484 - 524 (บริหารสำนักงานและอาคารสถานที่)</t>
  </si>
  <si>
    <t>BK530086</t>
  </si>
  <si>
    <t>ธันชัย ศิวาลัยพงศ์</t>
  </si>
  <si>
    <t>สายงานบริหารธุรการกลาง</t>
  </si>
  <si>
    <t>PESHO012C0002</t>
  </si>
  <si>
    <t>HO2C03009LAW</t>
  </si>
  <si>
    <t>BK000083</t>
  </si>
  <si>
    <t>วรรณา สิมาลัย</t>
  </si>
  <si>
    <t>ADMHO012C0032</t>
  </si>
  <si>
    <t>HO0013073M0001</t>
  </si>
  <si>
    <t>BK600125</t>
  </si>
  <si>
    <t>ศุภสิทธิ์ กันยาวรารักษ์</t>
  </si>
  <si>
    <t>HO0027072C0001</t>
  </si>
  <si>
    <t>HO0027072C0002</t>
  </si>
  <si>
    <t>สถานที่ (Site) : สำนักงานใหญ่ 484 - 524 (ทรัพย์สินสำรอง (ฝ่ายบริการสำนักงาน))</t>
  </si>
  <si>
    <t>BK630095</t>
  </si>
  <si>
    <t>ชัยวัฒน์ เครือบุญราช</t>
  </si>
  <si>
    <t>HO0036072N0032</t>
  </si>
  <si>
    <t>Notebook DELL Inspiron 5515 15.6"</t>
  </si>
  <si>
    <t>HO0027073C0005</t>
  </si>
  <si>
    <t>BK660049</t>
  </si>
  <si>
    <t>ศิวะทัศน์ ศุภะพันธุ์</t>
  </si>
  <si>
    <t>HO0036072C0008</t>
  </si>
  <si>
    <t>HO0036073M0040</t>
  </si>
  <si>
    <t>ศิวกร พวงเพ็ชร</t>
  </si>
  <si>
    <t>HO0027072C0003</t>
  </si>
  <si>
    <t>HO0036073M0039</t>
  </si>
  <si>
    <t>BK660068</t>
  </si>
  <si>
    <t>ชิโณรส บุญถาวร</t>
  </si>
  <si>
    <t>HO0036072C0094</t>
  </si>
  <si>
    <t>HO0036073M0067</t>
  </si>
  <si>
    <t>BK620078</t>
  </si>
  <si>
    <t>วรรณรี หลีวิจิตร</t>
  </si>
  <si>
    <t>HO0027072C0008</t>
  </si>
  <si>
    <t>ADMHO073M0001</t>
  </si>
  <si>
    <t>BK660113</t>
  </si>
  <si>
    <t>มงคล จิตทวี</t>
  </si>
  <si>
    <t>CONTWN8072C0001</t>
  </si>
  <si>
    <t>BK660088</t>
  </si>
  <si>
    <t>จ.ส.ต.หญิง</t>
  </si>
  <si>
    <t>วราภรณ์ กระวินทร์</t>
  </si>
  <si>
    <t>BDHO012C0002</t>
  </si>
  <si>
    <t>ICTHO012C0129</t>
  </si>
  <si>
    <t>BK620110</t>
  </si>
  <si>
    <t>กรวิก แช่มชื่น</t>
  </si>
  <si>
    <t>HO0027072C0007</t>
  </si>
  <si>
    <t>STKPTH072C0002</t>
  </si>
  <si>
    <t>ศักดิ์สิทธิ์ รัตนภักดี</t>
  </si>
  <si>
    <t>HO0036072C0103</t>
  </si>
  <si>
    <t>HO0036073M0087</t>
  </si>
  <si>
    <t>บริษัท 99 แอสเซ็ท เมเนจเม้นท์ จำกัด</t>
  </si>
  <si>
    <t>NN630002</t>
  </si>
  <si>
    <t>สุเมทย์ พิทยาธนาสกุล</t>
  </si>
  <si>
    <t>สถานที่ (Site) : สำนักงานใหญ่ 484 - 524 (ฝ่ายกฎหมาย)</t>
  </si>
  <si>
    <t>BK630088</t>
  </si>
  <si>
    <t>ทินกร ค้าไกล</t>
  </si>
  <si>
    <t>LEGHO073M0001</t>
  </si>
  <si>
    <t>BK590067</t>
  </si>
  <si>
    <t>หทัยรัตน์ อินทรชัย</t>
  </si>
  <si>
    <t>LAWHO012C0020</t>
  </si>
  <si>
    <t>HO0016073C0002</t>
  </si>
  <si>
    <t>BK620167</t>
  </si>
  <si>
    <t>จรัสศรี ชวนชม</t>
  </si>
  <si>
    <t>HO0016072C0006</t>
  </si>
  <si>
    <t>ICTHO012C0147</t>
  </si>
  <si>
    <t>อัษฎางค์ ทองรอง</t>
  </si>
  <si>
    <t>LEGHO072C0002</t>
  </si>
  <si>
    <t>BK650067</t>
  </si>
  <si>
    <t>ณัฐวุฒิ อนงค์</t>
  </si>
  <si>
    <t>HO0036072C0028</t>
  </si>
  <si>
    <t>HO0036073M0009</t>
  </si>
  <si>
    <t>BK650225</t>
  </si>
  <si>
    <t>กนกนิภา จันทรา</t>
  </si>
  <si>
    <t>LEGHO072C0001</t>
  </si>
  <si>
    <t>BK660098</t>
  </si>
  <si>
    <t>ปวินท์ บุญเกตุ</t>
  </si>
  <si>
    <t>HO0036072C0036</t>
  </si>
  <si>
    <t>HO0022073M0002</t>
  </si>
  <si>
    <t>SN:B2QD314</t>
  </si>
  <si>
    <t>SN:7PNXGZ3</t>
  </si>
  <si>
    <t>สถานที่ (Site) : สำนักงานใหญ่ 484 - 524 (สายงานวีแคร์)</t>
  </si>
  <si>
    <t>BK670017</t>
  </si>
  <si>
    <t>ศุภฤกษ์ อภิศักดิ์ศิริกุล</t>
  </si>
  <si>
    <t>SWCHO012C0101</t>
  </si>
  <si>
    <t>SWCHO072C0005</t>
  </si>
  <si>
    <t>BK680118</t>
  </si>
  <si>
    <t>อภิชาติ สุขจิตร์</t>
  </si>
  <si>
    <t>HO0021072C0004</t>
  </si>
  <si>
    <t>Notebook DELL Inspiron 3501 15.6 นิ้ว</t>
  </si>
  <si>
    <t>BK670019</t>
  </si>
  <si>
    <t>สิตานัน จันทร์เชื้อ</t>
  </si>
  <si>
    <t>ฝ่ายบริการลูกค้า</t>
  </si>
  <si>
    <t>SN:MP2EJ0MN</t>
  </si>
  <si>
    <t>SWCHO072C0004</t>
  </si>
  <si>
    <t>อาทิตยา ประชารัตน์</t>
  </si>
  <si>
    <t>SWCHO012C0011</t>
  </si>
  <si>
    <t>HQOHO012C0007</t>
  </si>
  <si>
    <t>BK670021</t>
  </si>
  <si>
    <t>อรวรรณ สุกใส</t>
  </si>
  <si>
    <t>HO0030072C0005</t>
  </si>
  <si>
    <t>HO0030073C0002</t>
  </si>
  <si>
    <t>BK670022</t>
  </si>
  <si>
    <t>อภิญญา ลิมปรัตนชัย</t>
  </si>
  <si>
    <t>HO0030072C0003</t>
  </si>
  <si>
    <t>CONHO012C0017</t>
  </si>
  <si>
    <t>BK670041</t>
  </si>
  <si>
    <t>สุทธีวัฒน์ พุทธาประสิทธิ์ผล</t>
  </si>
  <si>
    <t>SALBNA6072C0006</t>
  </si>
  <si>
    <t>SN:7PVVGZ3</t>
  </si>
  <si>
    <t>BK670044</t>
  </si>
  <si>
    <t>อิทธิพล หีบแก้ว</t>
  </si>
  <si>
    <t>SN:20QD314</t>
  </si>
  <si>
    <t>SN:81M3904</t>
  </si>
  <si>
    <t>BK670023</t>
  </si>
  <si>
    <t>กันต์วรินทร์ ศรีอนันต์</t>
  </si>
  <si>
    <t>SWCHO072C0003</t>
  </si>
  <si>
    <t>SWCHO072C0006</t>
  </si>
  <si>
    <t>พิเชษฐ อนุสนธิ์</t>
  </si>
  <si>
    <t>SN:MP2EHN0D</t>
  </si>
  <si>
    <t>SWCTK073M0001</t>
  </si>
  <si>
    <t>จอคอมพิวเตอร์ LED Lenovo 22"</t>
  </si>
  <si>
    <t>BK670025</t>
  </si>
  <si>
    <t>พิษณุ นาคากาวา</t>
  </si>
  <si>
    <t>แผนกบริการหลังการขาย OPM 2,4</t>
  </si>
  <si>
    <t>SN:PF39F0BT</t>
  </si>
  <si>
    <t>HO2C03007SAL</t>
  </si>
  <si>
    <t>BK670027</t>
  </si>
  <si>
    <t>ภานุวัฒน์ เพชรรุ่งศักดิ์</t>
  </si>
  <si>
    <t>SWCHO072C0002</t>
  </si>
  <si>
    <t>HO0031073M0001</t>
  </si>
  <si>
    <t>BK670029</t>
  </si>
  <si>
    <t>จักรพงศ์ ทรัพย์ไพบูลย์</t>
  </si>
  <si>
    <t>SWCHO072C0008</t>
  </si>
  <si>
    <t>SWCHO073C0001</t>
  </si>
  <si>
    <t>BK670031</t>
  </si>
  <si>
    <t>ธนะรัตน์ ปัญลังกา</t>
  </si>
  <si>
    <t>SN:PF37TWKT</t>
  </si>
  <si>
    <t>ศิริลักษณ์ ปุญญคุณากรณ์</t>
  </si>
  <si>
    <t>ADMHO012C0027</t>
  </si>
  <si>
    <t>CONHO012C0072</t>
  </si>
  <si>
    <t>BK670033</t>
  </si>
  <si>
    <t>ชนกดนัย คล่องใจ</t>
  </si>
  <si>
    <t>HO2C01030ACC</t>
  </si>
  <si>
    <t>HO0030072C0004</t>
  </si>
  <si>
    <t>BK670034</t>
  </si>
  <si>
    <t>อริย์ธัช บุญเหลือ</t>
  </si>
  <si>
    <t>BK670035</t>
  </si>
  <si>
    <t>เสาวลักษณ์ สุขอ่วม</t>
  </si>
  <si>
    <t>HO0030072C0006</t>
  </si>
  <si>
    <t>HO2C03007CALL</t>
  </si>
  <si>
    <t>BK670037</t>
  </si>
  <si>
    <t>จริวัฒน์ ลานันท์</t>
  </si>
  <si>
    <t>SN:MP2M8JL6</t>
  </si>
  <si>
    <t>BK680508</t>
  </si>
  <si>
    <t>เพิ่มศักดิ์ ตะโคตร</t>
  </si>
  <si>
    <t>บริษัท ทีเค นวกิจ จำกัด</t>
  </si>
  <si>
    <t>TK650012</t>
  </si>
  <si>
    <t>ก้องปฐพี เพชรรุ่งศักดิ์</t>
  </si>
  <si>
    <t>SWCHO072C0001</t>
  </si>
  <si>
    <t>SALSV70072C0009</t>
  </si>
  <si>
    <t>TK650021</t>
  </si>
  <si>
    <t>วิจิตร หงษ์แก้ว</t>
  </si>
  <si>
    <t>TK670004</t>
  </si>
  <si>
    <t>ปัญญมล เหล่างาม</t>
  </si>
  <si>
    <t>SN:MP2EHW3A</t>
  </si>
  <si>
    <t>TK660012</t>
  </si>
  <si>
    <t>จำนง บุราคร</t>
  </si>
  <si>
    <t>แผนก TK</t>
  </si>
  <si>
    <t>SN:MP2E0G9D</t>
  </si>
  <si>
    <t>TK670003</t>
  </si>
  <si>
    <t>ณัฐพงษ์ รัตนมรรคคา</t>
  </si>
  <si>
    <t>SN:82QD314</t>
  </si>
  <si>
    <t>SN:7PXVGZ3</t>
  </si>
  <si>
    <t>TK670005</t>
  </si>
  <si>
    <t>ชาลินี จันทะคร</t>
  </si>
  <si>
    <t>สายงานก่อสร้างทีเค</t>
  </si>
  <si>
    <t>SV1132C01001CON</t>
  </si>
  <si>
    <t>SWCHO073M0001</t>
  </si>
  <si>
    <t>TK680001</t>
  </si>
  <si>
    <t>ภาณุพงษ์ ไพรศรี</t>
  </si>
  <si>
    <t>SN:MP2ESXMW</t>
  </si>
  <si>
    <t>BK670018</t>
  </si>
  <si>
    <t>รดา บัวประเสริฐ</t>
  </si>
  <si>
    <t>แผนก Support</t>
  </si>
  <si>
    <t>SN:2TYNPY3</t>
  </si>
  <si>
    <t>SN:B3Z32Y3</t>
  </si>
  <si>
    <t>สถานที่ (Site) : สำนักบริหารโครงการ A (524) (สำนักบริหารโครงการ A)</t>
  </si>
  <si>
    <t>สันติสุข เต็มสหโสภณ</t>
  </si>
  <si>
    <t>SN:MP2E30CF</t>
  </si>
  <si>
    <t>BK680291</t>
  </si>
  <si>
    <t>นนทรัตน์ เขยธนานพศิริ</t>
  </si>
  <si>
    <t>SN:6KBJ904</t>
  </si>
  <si>
    <t>SN:CVMZ8P3</t>
  </si>
  <si>
    <t>บริษัท เสนา รีฟอเรสท์เทชั่น จำกัด</t>
  </si>
  <si>
    <t>สถานที่ (Site) : หน่วยงาน เสนา รีฟอเรสท์เทชั่น (เสนา ฟอเรสท์เทชั่น)</t>
  </si>
  <si>
    <t>SRF660003</t>
  </si>
  <si>
    <t>วีระพงษ์ คำยันต์</t>
  </si>
  <si>
    <t>ฝ่ายปฏิบัติการโครงการ</t>
  </si>
  <si>
    <t>SN:PF39FC22</t>
  </si>
  <si>
    <t>SRF670001</t>
  </si>
  <si>
    <t>สุรพงษ์ พันธ์เข็มทอง</t>
  </si>
  <si>
    <t>SN:MP2ESVJ3</t>
  </si>
  <si>
    <t>สมชาย ละการชั่ว</t>
  </si>
  <si>
    <t>พีรภัทร เซวาซิงห์</t>
  </si>
  <si>
    <t>SN:55RD314</t>
  </si>
  <si>
    <t>SN:7PSVGZ3</t>
  </si>
  <si>
    <t>สุพินดา แป้นอ้อย</t>
  </si>
  <si>
    <t>SN:2YYNPY3</t>
  </si>
  <si>
    <t>SN:DLT3ZV3</t>
  </si>
  <si>
    <t>BK680524</t>
  </si>
  <si>
    <t>พัชญ์ณฐณณ ดำคง</t>
  </si>
  <si>
    <t>SN:MP2840RN</t>
  </si>
  <si>
    <t>กริช เถื่อนสุริยะ</t>
  </si>
  <si>
    <t>สำนักบริหารโครงการ Alternative</t>
  </si>
  <si>
    <t>SN:PF3A187H</t>
  </si>
  <si>
    <t>BK680292</t>
  </si>
  <si>
    <t>สิปปวิชญ์ พูลเอก</t>
  </si>
  <si>
    <t>SN:MP283454</t>
  </si>
  <si>
    <t>Sen-X ตึก 448</t>
  </si>
  <si>
    <t>BK670077</t>
  </si>
  <si>
    <t>ณัฐวุฒิ ทองปิ่น</t>
  </si>
  <si>
    <t>SN:8S4XMX3</t>
  </si>
  <si>
    <t>HO0033073M0003</t>
  </si>
  <si>
    <t>จอคอมพิวเตอร์ FHD SAMSUNG 23"</t>
  </si>
  <si>
    <t>เขมราช ม่วงกลิ้ง</t>
  </si>
  <si>
    <t>HO0026072N0002</t>
  </si>
  <si>
    <t>SN:C7RNYV3</t>
  </si>
  <si>
    <t>SX670181</t>
  </si>
  <si>
    <t>สมบูรณ์ เซา</t>
  </si>
  <si>
    <t>ฝ่ายทรัพยากรบุคคล</t>
  </si>
  <si>
    <t>SN:MP2M8G9Y</t>
  </si>
  <si>
    <t>SX660027</t>
  </si>
  <si>
    <t>ณัฐชยา งามแป้น</t>
  </si>
  <si>
    <t>แผนกจัดสรรเงินทุน</t>
  </si>
  <si>
    <t>HO0036072C0062</t>
  </si>
  <si>
    <t>HO0008073M0003</t>
  </si>
  <si>
    <t>จอคอมพิวเตอร์ FHD DELL 22"</t>
  </si>
  <si>
    <t>SX660055</t>
  </si>
  <si>
    <t>ศศินันท์ วิโชติคันธพงษ์</t>
  </si>
  <si>
    <t>สายงานบัญชีและการเงิน</t>
  </si>
  <si>
    <t>HO0028072C0012</t>
  </si>
  <si>
    <t>HO0036073M0056</t>
  </si>
  <si>
    <t>SX660053</t>
  </si>
  <si>
    <t>สุวรีย์ เชาว์ปรีชา</t>
  </si>
  <si>
    <t>ฝ่ายบัญชีทั่วไป</t>
  </si>
  <si>
    <t>SN:5X8BXW3</t>
  </si>
  <si>
    <t>SN:7CSKYV3</t>
  </si>
  <si>
    <t>ธัญลักษณ์ เทียมถนอม</t>
  </si>
  <si>
    <t>HO0054072C0002</t>
  </si>
  <si>
    <t>HO0054073M0002</t>
  </si>
  <si>
    <t>SX660029</t>
  </si>
  <si>
    <t>จอมขวัญ ศรศรี</t>
  </si>
  <si>
    <t>HO0054072C0003</t>
  </si>
  <si>
    <t>HO0054073M0003</t>
  </si>
  <si>
    <t>SX670148</t>
  </si>
  <si>
    <t>พัชรินทร์ สาวิวัฒน์</t>
  </si>
  <si>
    <t>HO0054072C0004</t>
  </si>
  <si>
    <t>HO0045073M0004</t>
  </si>
  <si>
    <t>SX670149</t>
  </si>
  <si>
    <t>ลินดา ชำนิงาน</t>
  </si>
  <si>
    <t>HO0054072C0001</t>
  </si>
  <si>
    <t>HO0054073M0001</t>
  </si>
  <si>
    <t>ปุณยนุช สืบนุกูล</t>
  </si>
  <si>
    <t>HOS010072C0004</t>
  </si>
  <si>
    <t>HO0054073M0006</t>
  </si>
  <si>
    <t>SX660010</t>
  </si>
  <si>
    <t>สุนิตรา จันทร์แปลก</t>
  </si>
  <si>
    <t>JSPC2112034</t>
  </si>
  <si>
    <t>HO0054073M0007</t>
  </si>
  <si>
    <t>SX660021</t>
  </si>
  <si>
    <t>ขวัญฤดี แดงละอุ่น</t>
  </si>
  <si>
    <t>HO0054072N0001</t>
  </si>
  <si>
    <t>HO0036073M0064</t>
  </si>
  <si>
    <t>SX670172</t>
  </si>
  <si>
    <t>ศุภธิดา จันระดา</t>
  </si>
  <si>
    <t>JSPC2112039</t>
  </si>
  <si>
    <t>ไม่ได้ติด Label</t>
  </si>
  <si>
    <t>HO0022072C00110</t>
  </si>
  <si>
    <t>SX660015</t>
  </si>
  <si>
    <t>กัญญาภัทร์ พันธ์ประเสริฐ</t>
  </si>
  <si>
    <t>ฝ่ายบัญชีเจ้าหนี้</t>
  </si>
  <si>
    <t>SN:JSYNPY3</t>
  </si>
  <si>
    <t>SN:9W652Y3</t>
  </si>
  <si>
    <t>SX670161</t>
  </si>
  <si>
    <t>ลัดดาภรณ์ หาโล๊ะ</t>
  </si>
  <si>
    <t>SN:FXYNPY3</t>
  </si>
  <si>
    <t>SN:C7SMYV3</t>
  </si>
  <si>
    <t>รจนา เหล่หมุด</t>
  </si>
  <si>
    <t>แผนกบัญชีเจ้าหนี้ (AP)</t>
  </si>
  <si>
    <t>HO0036072C0090</t>
  </si>
  <si>
    <t>HO0036073M0042</t>
  </si>
  <si>
    <t>อาภัสรา พันธุ์แม็ต</t>
  </si>
  <si>
    <t>HO0036072C0097</t>
  </si>
  <si>
    <t>HO0036073M0084</t>
  </si>
  <si>
    <t>SX660069</t>
  </si>
  <si>
    <t>พรรณนิดา จารสาร</t>
  </si>
  <si>
    <t>SN:7T8BXW3</t>
  </si>
  <si>
    <t>SN:3Z139V3</t>
  </si>
  <si>
    <t>SX660035</t>
  </si>
  <si>
    <t>สุพัตรา ทองชุม</t>
  </si>
  <si>
    <t>แผนกบัญชีเจ้าหนี้ (ผู้รับเหมา)</t>
  </si>
  <si>
    <t>SN:7V8BXW3</t>
  </si>
  <si>
    <t>SN:7F7LYV3</t>
  </si>
  <si>
    <t>ประภัสสร สุวรรณจักร์</t>
  </si>
  <si>
    <t>HO0036072C0100</t>
  </si>
  <si>
    <t>HO0036073M0078</t>
  </si>
  <si>
    <t>SX660031</t>
  </si>
  <si>
    <t>พัชรี รัตนะดี</t>
  </si>
  <si>
    <t>แผนกบัญชีเจ้าหนี้ (CA)</t>
  </si>
  <si>
    <t>SN:9H6MBZ3</t>
  </si>
  <si>
    <t>SN:98H7XY3</t>
  </si>
  <si>
    <t>SX660018</t>
  </si>
  <si>
    <t>จุไรรัตน์ แป้นเกลี้ยง</t>
  </si>
  <si>
    <t>SN:9SRKQ04</t>
  </si>
  <si>
    <t>SN:9GV9XY3</t>
  </si>
  <si>
    <t>วิภารัตน์ ธิศรี</t>
  </si>
  <si>
    <t>SN:3SRKQ04</t>
  </si>
  <si>
    <t>SN:9GN7XY3</t>
  </si>
  <si>
    <t>SX660011</t>
  </si>
  <si>
    <t>ชญาณ์นันท์ โภคสมบัติ</t>
  </si>
  <si>
    <t>ฝ่ายบัญชีลูกหนี้</t>
  </si>
  <si>
    <t>JSPC2112036</t>
  </si>
  <si>
    <t>HO0036073M0075</t>
  </si>
  <si>
    <t>SX680001</t>
  </si>
  <si>
    <t>นันทนิช กล้าแข็ง</t>
  </si>
  <si>
    <t>SN:2RRKQ04</t>
  </si>
  <si>
    <t>SN:91X7XY3</t>
  </si>
  <si>
    <t>สถานที่ (Site) : อาคารธัญลักษณ์ภาคย์ (ฝ่ายการเงิน SenX)</t>
  </si>
  <si>
    <t>SX660056</t>
  </si>
  <si>
    <t>อัมพร หีตแก้ว</t>
  </si>
  <si>
    <t>HO0029072C0007</t>
  </si>
  <si>
    <t>HO2C03009A/C</t>
  </si>
  <si>
    <t>SX660016</t>
  </si>
  <si>
    <t>พุทธชาติ ชมบุญมี</t>
  </si>
  <si>
    <t>SN:HH6MBZ3</t>
  </si>
  <si>
    <t>SN:90P7XY3</t>
  </si>
  <si>
    <t>ปิ่นปฐวี ฤทธิ์ฉิ้ม</t>
  </si>
  <si>
    <t>SN:9PRKQ04</t>
  </si>
  <si>
    <t>SN:9027XY3</t>
  </si>
  <si>
    <t>วิริยา เฉลิมกิจพานิชย์</t>
  </si>
  <si>
    <t>กลุ่มงานบัญชีและการเงิน</t>
  </si>
  <si>
    <t>HO0036072N0038</t>
  </si>
  <si>
    <t>BK680566</t>
  </si>
  <si>
    <t>ธนากร แสนระเพ็ง</t>
  </si>
  <si>
    <t>SN:8D6MBZ3</t>
  </si>
  <si>
    <t>SN:9W352Y3</t>
  </si>
  <si>
    <t>Sen-X ตึก 522</t>
  </si>
  <si>
    <t>สถานที่ (Site) : สำนักงานใหญ่ ตึก 522 (สำนักบริหารโครงการ 5)</t>
  </si>
  <si>
    <t>SX670032</t>
  </si>
  <si>
    <t>ศรุดา ขจรจิตต์</t>
  </si>
  <si>
    <t>SN:PF39G3WR</t>
  </si>
  <si>
    <t>สถานที่ (Site) : สำนักงานใหญ่ ตึก 522 (แผนก Project Sales (SEN-X))</t>
  </si>
  <si>
    <t>กัลยาณี ชุติมากุล</t>
  </si>
  <si>
    <t>SN:MP2EHCNK</t>
  </si>
  <si>
    <t>สถานที่ (Site) : สำนักงานใหญ่ ตึก 522 (สายงานการตลาด BUD 5)</t>
  </si>
  <si>
    <t>กนกวรรณ ทองนา</t>
  </si>
  <si>
    <t>SN:MP2EVQ0L</t>
  </si>
  <si>
    <t>Update เมื่อ :</t>
  </si>
  <si>
    <t>Next Update :</t>
  </si>
  <si>
    <t>A = พนักงานประจำ</t>
  </si>
  <si>
    <t>V = ทดลองงาน</t>
  </si>
  <si>
    <t>No.</t>
  </si>
  <si>
    <t>Employee ID</t>
  </si>
  <si>
    <t>Company</t>
  </si>
  <si>
    <t>วันที่เริ่มงาน</t>
  </si>
  <si>
    <t>Prefix</t>
  </si>
  <si>
    <t>Name</t>
  </si>
  <si>
    <t>Surname</t>
  </si>
  <si>
    <t>ชื่อเล่น</t>
  </si>
  <si>
    <t>Email</t>
  </si>
  <si>
    <t>Workarea</t>
  </si>
  <si>
    <t>Position</t>
  </si>
  <si>
    <t>Department</t>
  </si>
  <si>
    <t>สถานะ</t>
  </si>
  <si>
    <t>ถือครองเครื่องเช่า</t>
  </si>
  <si>
    <t>09-03-2018</t>
  </si>
  <si>
    <t>สุเมทย์</t>
  </si>
  <si>
    <t>พิทยาธนาสกุล</t>
  </si>
  <si>
    <t>โต้ง</t>
  </si>
  <si>
    <t>Sumetp@sena.co.th</t>
  </si>
  <si>
    <t>เจ้าหน้าที่อาคารอาวุโส</t>
  </si>
  <si>
    <t>A</t>
  </si>
  <si>
    <t>PC680001</t>
  </si>
  <si>
    <t>18-09-2025</t>
  </si>
  <si>
    <t>กนกวรรณ</t>
  </si>
  <si>
    <t>ช่างประดับ</t>
  </si>
  <si>
    <t>ไอซ์</t>
  </si>
  <si>
    <t>kanokwanc@moneyjaidee.com</t>
  </si>
  <si>
    <t>เจ้าหน้าที่บัญชีทั่วไป</t>
  </si>
  <si>
    <t>V</t>
  </si>
  <si>
    <t>12-02-2024</t>
  </si>
  <si>
    <t>นิพา</t>
  </si>
  <si>
    <t>มาตรักชาติ</t>
  </si>
  <si>
    <t>นิ</t>
  </si>
  <si>
    <t>nipam@moneyjaidee.com</t>
  </si>
  <si>
    <t>จอคอมพิวเตอร์  DELL FHD 24"</t>
  </si>
  <si>
    <t>PC680003</t>
  </si>
  <si>
    <t>16-10-2025</t>
  </si>
  <si>
    <t>ปฐมชล</t>
  </si>
  <si>
    <t>ชื่นชมกิจ</t>
  </si>
  <si>
    <t>ต้นน้ำ</t>
  </si>
  <si>
    <t>patomcholc@moneyjaidee.com</t>
  </si>
  <si>
    <t>เจ้าหน้าที่สินเชื่อ</t>
  </si>
  <si>
    <t>02-05-2023</t>
  </si>
  <si>
    <t>พิชญ์</t>
  </si>
  <si>
    <t>สุนทัน</t>
  </si>
  <si>
    <t>พิช</t>
  </si>
  <si>
    <t>pitchs@sena.co.th</t>
  </si>
  <si>
    <t>16-06-2023</t>
  </si>
  <si>
    <t>ศุภวรรณ</t>
  </si>
  <si>
    <t>อุ่นอกแดง</t>
  </si>
  <si>
    <t>แนน</t>
  </si>
  <si>
    <t>supawanu@sena.co.th</t>
  </si>
  <si>
    <t>01-11-2023</t>
  </si>
  <si>
    <t>สมศักดิ์</t>
  </si>
  <si>
    <t>หัตถ์สุวรรณ</t>
  </si>
  <si>
    <t>ศักดิ์</t>
  </si>
  <si>
    <t>somsakh@moneyjaidee.com</t>
  </si>
  <si>
    <t>11-02-2020</t>
  </si>
  <si>
    <t>สุธรรม</t>
  </si>
  <si>
    <t>โอฬารกิจอนันต์</t>
  </si>
  <si>
    <t>บ็อบ</t>
  </si>
  <si>
    <t>suthamo@sena.co.th</t>
  </si>
  <si>
    <t>กรรมการผู้จัดการ</t>
  </si>
  <si>
    <t>กลุ่มงานบริการสินเชื่อเงินสดใจดี</t>
  </si>
  <si>
    <t>01-12-2021</t>
  </si>
  <si>
    <t>สุพรรณี</t>
  </si>
  <si>
    <t>งามเริง</t>
  </si>
  <si>
    <t>หนุ่ย</t>
  </si>
  <si>
    <t>supanneeng@sena.co.th</t>
  </si>
  <si>
    <t>25-09-2023</t>
  </si>
  <si>
    <t>สุพิชญา</t>
  </si>
  <si>
    <t>ภักดีคง</t>
  </si>
  <si>
    <t>แพร</t>
  </si>
  <si>
    <t>supichayap@moneyjaidee.com</t>
  </si>
  <si>
    <t>Test9999</t>
  </si>
  <si>
    <t>บริษัท เจ.เอ.แมเนจเม้นท์ จำกัด</t>
  </si>
  <si>
    <t>23-06-2025</t>
  </si>
  <si>
    <t>eeeee</t>
  </si>
  <si>
    <t>wwwww</t>
  </si>
  <si>
    <t>ถังแตก</t>
  </si>
  <si>
    <t>sarayutearth2542@gmail.com</t>
  </si>
  <si>
    <t>ก่อสร้างคอนโด 1</t>
  </si>
  <si>
    <t>JA630001</t>
  </si>
  <si>
    <t>27-05-2013</t>
  </si>
  <si>
    <t>ชูศักดิ์</t>
  </si>
  <si>
    <t>ชมชื่น</t>
  </si>
  <si>
    <t>ชู</t>
  </si>
  <si>
    <t>Chusakc@sena.co.th</t>
  </si>
  <si>
    <t>ช่างทั่วไป</t>
  </si>
  <si>
    <t>SX670004</t>
  </si>
  <si>
    <t>15-08-2022</t>
  </si>
  <si>
    <t>กรณิกา</t>
  </si>
  <si>
    <t>นรรัตน์</t>
  </si>
  <si>
    <t>ไก่</t>
  </si>
  <si>
    <t>kornnikan@senxgroup.com</t>
  </si>
  <si>
    <t>เจ้าหน้าที่การตลาด</t>
  </si>
  <si>
    <t>สายงานบริหารการขาย และการตลาดบ้าน 2</t>
  </si>
  <si>
    <t>SX670018</t>
  </si>
  <si>
    <t>14-03-2022</t>
  </si>
  <si>
    <t>กฤตยา</t>
  </si>
  <si>
    <t>บุญธา</t>
  </si>
  <si>
    <t>แจ็ค</t>
  </si>
  <si>
    <t>kistayab@senxgroup.com</t>
  </si>
  <si>
    <t>ผู้จัดการโครงการ</t>
  </si>
  <si>
    <t>ฝ่ายบริหารโครงการคอนโด และบ้าน 12F</t>
  </si>
  <si>
    <t>SX670019</t>
  </si>
  <si>
    <t>01-04-2022</t>
  </si>
  <si>
    <t>ก้องภัค</t>
  </si>
  <si>
    <t>ชิตรัตฐา</t>
  </si>
  <si>
    <t>ก้อง</t>
  </si>
  <si>
    <t>kongpakc@senxgroup.com</t>
  </si>
  <si>
    <t>โฟร์แมนควบคุมงานอาวุโส</t>
  </si>
  <si>
    <t>ฝ่ายบริหารโครงการคอนโด และบ้าน 12G</t>
  </si>
  <si>
    <t>12-05-2021</t>
  </si>
  <si>
    <t>กัญญาภัทร์</t>
  </si>
  <si>
    <t>พันธ์ประเสริฐ</t>
  </si>
  <si>
    <t>เดียว</t>
  </si>
  <si>
    <t>kanyapatp@senxgroup.com</t>
  </si>
  <si>
    <t>SX670061</t>
  </si>
  <si>
    <t>11-01-2021</t>
  </si>
  <si>
    <t>การันต์</t>
  </si>
  <si>
    <t>รัตนะ</t>
  </si>
  <si>
    <t>อบ</t>
  </si>
  <si>
    <t>karanr@senxgroup.com</t>
  </si>
  <si>
    <t>ฝ่ายบริหารโครงการคอนโด และบ้าน 12B</t>
  </si>
  <si>
    <t>SX680003</t>
  </si>
  <si>
    <t>01-02-2024</t>
  </si>
  <si>
    <t>เกษมิน</t>
  </si>
  <si>
    <t>นาคะประทีป</t>
  </si>
  <si>
    <t>บุ๋น</t>
  </si>
  <si>
    <t>kaseminn@senxgroup.com</t>
  </si>
  <si>
    <t>SX99999</t>
  </si>
  <si>
    <t>01-01-2004</t>
  </si>
  <si>
    <t>ดร.</t>
  </si>
  <si>
    <t>เกษรา</t>
  </si>
  <si>
    <t>ธัญลักษณ์ภาคย์</t>
  </si>
  <si>
    <t>ขวัญฤดี</t>
  </si>
  <si>
    <t>แดงละอุ่น</t>
  </si>
  <si>
    <t>ขวัญ</t>
  </si>
  <si>
    <t>kwanrudeed@senxgroup.com</t>
  </si>
  <si>
    <t>เจ้าหน้าที่บัญชีต้นทุน</t>
  </si>
  <si>
    <t>04-07-2022</t>
  </si>
  <si>
    <t>จอมขวัญ</t>
  </si>
  <si>
    <t>ศรศรี</t>
  </si>
  <si>
    <t>แฟง</t>
  </si>
  <si>
    <t>jomkwans@senxgroup.com</t>
  </si>
  <si>
    <t>เจ้าหน้าที่บัญชีปิดงบการเงิน</t>
  </si>
  <si>
    <t>SX670127</t>
  </si>
  <si>
    <t>27-04-2020</t>
  </si>
  <si>
    <t>จุฑามาศ</t>
  </si>
  <si>
    <t>พ่ายนรินทร์</t>
  </si>
  <si>
    <t>ยาหยี</t>
  </si>
  <si>
    <t>เจ้าหน้าที่สื่อสารองค์กรอาวุโส</t>
  </si>
  <si>
    <t>SX670168</t>
  </si>
  <si>
    <t>07-06-2024</t>
  </si>
  <si>
    <t>จุลหงษ์</t>
  </si>
  <si>
    <t>ปุ้มปุ้ย</t>
  </si>
  <si>
    <t>Juthamartj@senxgroup.com</t>
  </si>
  <si>
    <t>วิศวกรสนาม</t>
  </si>
  <si>
    <t>SX670184</t>
  </si>
  <si>
    <t>17-02-2020</t>
  </si>
  <si>
    <t>จุฑารัตน์</t>
  </si>
  <si>
    <t>ชัยพฤกษ์</t>
  </si>
  <si>
    <t>พลอย</t>
  </si>
  <si>
    <t>jutharatc@senxgroup.com</t>
  </si>
  <si>
    <t>23-06-2021</t>
  </si>
  <si>
    <t>จุไรรัตน์</t>
  </si>
  <si>
    <t>แป้นเกลี้ยง</t>
  </si>
  <si>
    <t>สร้อย</t>
  </si>
  <si>
    <t>churairatp@senxgroup.com</t>
  </si>
  <si>
    <t>เจ้าหน้าที่บัญชีลูกหนี้อาวุโส</t>
  </si>
  <si>
    <t>SX670107</t>
  </si>
  <si>
    <t>21-10-2021</t>
  </si>
  <si>
    <t>เจษฎา</t>
  </si>
  <si>
    <t>วงษ์มาก</t>
  </si>
  <si>
    <t>เอก</t>
  </si>
  <si>
    <t>jesadaw@senxgroup.com</t>
  </si>
  <si>
    <t>ฝ่ายบริหารโครงการบ้าน 11B</t>
  </si>
  <si>
    <t>16-11-2021</t>
  </si>
  <si>
    <t>ชญาณ์นันท์</t>
  </si>
  <si>
    <t>โภคสมบัติ</t>
  </si>
  <si>
    <t>สาว</t>
  </si>
  <si>
    <t>chayananp@senxgroup.com</t>
  </si>
  <si>
    <t>SX680019</t>
  </si>
  <si>
    <t>03-11-2025</t>
  </si>
  <si>
    <t>ชลิดา</t>
  </si>
  <si>
    <t>นุ้ยดำ</t>
  </si>
  <si>
    <t>วาวา</t>
  </si>
  <si>
    <t>chalidan@senxgroup.com</t>
  </si>
  <si>
    <t>เจ้าหน้าที่บุคคล</t>
  </si>
  <si>
    <t>ฝ่าย People Capabillity Development</t>
  </si>
  <si>
    <t>SX670157</t>
  </si>
  <si>
    <t>21-05-2024</t>
  </si>
  <si>
    <t>ฐานิตา</t>
  </si>
  <si>
    <t>เกิดผล</t>
  </si>
  <si>
    <t>นานา</t>
  </si>
  <si>
    <t>thanitak@senxgroup.com</t>
  </si>
  <si>
    <t>เจ้าหน้าที่ขายและสินเชื่อ</t>
  </si>
  <si>
    <t>ฝ่ายบริหารการขายบ้าน 2C</t>
  </si>
  <si>
    <t>Computer All in one AIO 3 27IAP7</t>
  </si>
  <si>
    <t>16-06-2022</t>
  </si>
  <si>
    <t>ณัฐชยา</t>
  </si>
  <si>
    <t>งามแป้น</t>
  </si>
  <si>
    <t>ยุ้ย</t>
  </si>
  <si>
    <t>nutchayan@senxgroup.com</t>
  </si>
  <si>
    <t>เจ้าหน้าที่จัดสรรเงินทุน</t>
  </si>
  <si>
    <t>SX680002</t>
  </si>
  <si>
    <t>09-01-2025</t>
  </si>
  <si>
    <t>ณัฐณิชา</t>
  </si>
  <si>
    <t>สุขกุลา</t>
  </si>
  <si>
    <t>กิ๊ฟ</t>
  </si>
  <si>
    <t>natnichas@senxgroup.com</t>
  </si>
  <si>
    <t>SX670048</t>
  </si>
  <si>
    <t>16-10-2023</t>
  </si>
  <si>
    <t>ณัฐพงษ์</t>
  </si>
  <si>
    <t>เรืองศรี</t>
  </si>
  <si>
    <t>นัท</t>
  </si>
  <si>
    <t>natthaphongr@senxgroup.com</t>
  </si>
  <si>
    <t>ฝ่ายบริหารการขายบ้าน 2B</t>
  </si>
  <si>
    <t>SX670020</t>
  </si>
  <si>
    <t>01-11-2022</t>
  </si>
  <si>
    <t>ณัฐพร</t>
  </si>
  <si>
    <t>ชยานันทสิริ</t>
  </si>
  <si>
    <t>อ้อ</t>
  </si>
  <si>
    <t>natthapornc@senxgroup.com</t>
  </si>
  <si>
    <t>เจ้าหน้าที่ธุรการโครงการอาวุโส</t>
  </si>
  <si>
    <t>10-07-2023</t>
  </si>
  <si>
    <t>ตรึก</t>
  </si>
  <si>
    <t>โตบัณฑิตย์</t>
  </si>
  <si>
    <t>มด</t>
  </si>
  <si>
    <t>SX670122</t>
  </si>
  <si>
    <t>01-04-2021</t>
  </si>
  <si>
    <t>ถาวร</t>
  </si>
  <si>
    <t>ประเสริฐแก้ว</t>
  </si>
  <si>
    <t>โย</t>
  </si>
  <si>
    <t>thavornp@senxgroup.com</t>
  </si>
  <si>
    <t>ฝ่ายเทคโนโลยีสารสนเทศ</t>
  </si>
  <si>
    <t>SX660044</t>
  </si>
  <si>
    <t>02-08-2021</t>
  </si>
  <si>
    <t>ทัศนัย</t>
  </si>
  <si>
    <t>ว่องวิกย์การ</t>
  </si>
  <si>
    <t>ผู้ช่วยกรรมการผู้จัดการ</t>
  </si>
  <si>
    <t>SX680015</t>
  </si>
  <si>
    <t>18-08-2025</t>
  </si>
  <si>
    <t>ทิพย์สุดา</t>
  </si>
  <si>
    <t>เพชรเจริญ</t>
  </si>
  <si>
    <t>ใบหม่อน</t>
  </si>
  <si>
    <t>tipsudap@senxgroup.com</t>
  </si>
  <si>
    <t>ฝ่ายตรวจสอบและสนับสนุนองค์กร</t>
  </si>
  <si>
    <t>SX660005</t>
  </si>
  <si>
    <t>18-06-2012</t>
  </si>
  <si>
    <t>ธิดารัตน์</t>
  </si>
  <si>
    <t>พัฒน์ทอง</t>
  </si>
  <si>
    <t>โอชิน</t>
  </si>
  <si>
    <t>tidaratp@senxgroup.com</t>
  </si>
  <si>
    <t>ผู้ช่วยประธานเจ้าหน้าที่บริหาร</t>
  </si>
  <si>
    <t>สำนักประธานเจ้าหน้าที่บริหาร (SENX)</t>
  </si>
  <si>
    <t>SX670060</t>
  </si>
  <si>
    <t>01-03-2021</t>
  </si>
  <si>
    <t>ธิติ</t>
  </si>
  <si>
    <t>ศรีชาวนา</t>
  </si>
  <si>
    <t>หม่ำ</t>
  </si>
  <si>
    <t>thitis@senxgroup.com</t>
  </si>
  <si>
    <t>โฟร์แมนควบคุมงาน</t>
  </si>
  <si>
    <t>SX670021</t>
  </si>
  <si>
    <t>13-12-2022</t>
  </si>
  <si>
    <t>นพพร</t>
  </si>
  <si>
    <t>ก้อนคำมา</t>
  </si>
  <si>
    <t>โบ้ท</t>
  </si>
  <si>
    <t>nopporng@senxgroup.com</t>
  </si>
  <si>
    <t>วิศวกรโครงการ</t>
  </si>
  <si>
    <t>08-05-2023</t>
  </si>
  <si>
    <t>นพสิทธิ์</t>
  </si>
  <si>
    <t>เตโช</t>
  </si>
  <si>
    <t>หนึ่ง</t>
  </si>
  <si>
    <t>SX670053</t>
  </si>
  <si>
    <t>16-11-2023</t>
  </si>
  <si>
    <t>นภัทร</t>
  </si>
  <si>
    <t>มัชฉิมวงศ์</t>
  </si>
  <si>
    <t>naphatm@senxgroup.com</t>
  </si>
  <si>
    <t>ฝ่ายบริหารโครงการคอนโด และบ้าน 12A</t>
  </si>
  <si>
    <t>02-01-2025</t>
  </si>
  <si>
    <t>นันทนิช</t>
  </si>
  <si>
    <t>กล้าแข็ง</t>
  </si>
  <si>
    <t>นัน</t>
  </si>
  <si>
    <t>nantanitg@senxgroup.com</t>
  </si>
  <si>
    <t>เจ้าหน้าที่บัญชีลูกหนี้</t>
  </si>
  <si>
    <t>SX670123</t>
  </si>
  <si>
    <t>14-11-2009</t>
  </si>
  <si>
    <t>นันทิดา</t>
  </si>
  <si>
    <t>สิงหัส</t>
  </si>
  <si>
    <t>ดา</t>
  </si>
  <si>
    <t>nuntidas@senxgroup.com</t>
  </si>
  <si>
    <t>04-06-2024</t>
  </si>
  <si>
    <t>น้ำฝน</t>
  </si>
  <si>
    <t>รงสุวรรณาภรณ์</t>
  </si>
  <si>
    <t>ฝน</t>
  </si>
  <si>
    <t>SX670026</t>
  </si>
  <si>
    <t>บุญสม</t>
  </si>
  <si>
    <t>สอาดชัย</t>
  </si>
  <si>
    <t>ปาน</t>
  </si>
  <si>
    <t>boonsoms@senxgroup.com</t>
  </si>
  <si>
    <t>SX670054</t>
  </si>
  <si>
    <t>08-02-2021</t>
  </si>
  <si>
    <t>บุษกร</t>
  </si>
  <si>
    <t>วิเชียรกุล</t>
  </si>
  <si>
    <t>เอ๋</t>
  </si>
  <si>
    <t>bussakornw@senxgroup.com</t>
  </si>
  <si>
    <t>พนักงานธุรการโครงการ</t>
  </si>
  <si>
    <t>SX670183</t>
  </si>
  <si>
    <t>02-12-2024</t>
  </si>
  <si>
    <t>ปกรณ์</t>
  </si>
  <si>
    <t>พรหโมปกรณ์</t>
  </si>
  <si>
    <t>นาว</t>
  </si>
  <si>
    <t>pakornp@senxgroup.com</t>
  </si>
  <si>
    <t>เจ้าหน้าที่สรรหาบุคลากรอาวุโส</t>
  </si>
  <si>
    <t>ฝ่ายสรรหาและคัดเลือก</t>
  </si>
  <si>
    <t>SX670108</t>
  </si>
  <si>
    <t>18-07-2022</t>
  </si>
  <si>
    <t>ประเสริฐชัย</t>
  </si>
  <si>
    <t>เพ็ชร์รักษ์</t>
  </si>
  <si>
    <t>เค้ก</t>
  </si>
  <si>
    <t>prasertchaip@senxgroup.com</t>
  </si>
  <si>
    <t>ฝ่ายบริหารโครงการคอนโดและบ้าน 12E</t>
  </si>
  <si>
    <t>SX680018</t>
  </si>
  <si>
    <t>01-12-2023</t>
  </si>
  <si>
    <t>ปรัชญา</t>
  </si>
  <si>
    <t>ไชยเมืองชื่น</t>
  </si>
  <si>
    <t>กอล์ฟ</t>
  </si>
  <si>
    <t>ฝ่ายแรงงานสัมพันธ์</t>
  </si>
  <si>
    <t>SX670040</t>
  </si>
  <si>
    <t>ปัญญา</t>
  </si>
  <si>
    <t>สรสิทธิ์</t>
  </si>
  <si>
    <t>บอย</t>
  </si>
  <si>
    <t>punyas@senxgroup.com</t>
  </si>
  <si>
    <t>SX670073</t>
  </si>
  <si>
    <t>17-04-2023</t>
  </si>
  <si>
    <t>ปาจรีย์</t>
  </si>
  <si>
    <t>เศรษฐพานิช</t>
  </si>
  <si>
    <t>pajarees@senxgroup.com</t>
  </si>
  <si>
    <t>หัวหน้างานขายและสินเชื่อ</t>
  </si>
  <si>
    <t>ฝ่ายบริหารการขายบ้าน 1B</t>
  </si>
  <si>
    <t>SX670078</t>
  </si>
  <si>
    <t>28-03-2022</t>
  </si>
  <si>
    <t>ปาลิดา</t>
  </si>
  <si>
    <t>ปิฉิมพลี</t>
  </si>
  <si>
    <t>แป้น</t>
  </si>
  <si>
    <t>palidap@senxgroup.com</t>
  </si>
  <si>
    <t>ฝ่ายบริหารการขายบ้าน 1A</t>
  </si>
  <si>
    <t>SX670025</t>
  </si>
  <si>
    <t>01-06-2023</t>
  </si>
  <si>
    <t>ปิติลักษณ์</t>
  </si>
  <si>
    <t>ปูรณะวิบูรณ์</t>
  </si>
  <si>
    <t>ยีนส์</t>
  </si>
  <si>
    <t>pitiluckp@senxgroup.com</t>
  </si>
  <si>
    <t>01-10-2025</t>
  </si>
  <si>
    <t>ปุณยนุช</t>
  </si>
  <si>
    <t>สืบนุกูล</t>
  </si>
  <si>
    <t>อ้น</t>
  </si>
  <si>
    <t>SX670067</t>
  </si>
  <si>
    <t>01-02-2021</t>
  </si>
  <si>
    <t>พงษ์นภา</t>
  </si>
  <si>
    <t>เสนาเลี้ยง</t>
  </si>
  <si>
    <t>กระต่าย</t>
  </si>
  <si>
    <t>pongnapas@senxgroup.com</t>
  </si>
  <si>
    <t>SX670047</t>
  </si>
  <si>
    <t>11-03-2019</t>
  </si>
  <si>
    <t>พชร</t>
  </si>
  <si>
    <t>ภู่ประไพ</t>
  </si>
  <si>
    <t>เดฟ</t>
  </si>
  <si>
    <t>patcharap@senxgroup.com</t>
  </si>
  <si>
    <t>ฝ่ายบริหารโครงการคอนโด และบ้าน 12D</t>
  </si>
  <si>
    <t>พรรณนิดา</t>
  </si>
  <si>
    <t>จารสาร</t>
  </si>
  <si>
    <t>punnidaj@senxgroup.com</t>
  </si>
  <si>
    <t>ฝ่ายบัญชีเจ้าหนี้ (AP)</t>
  </si>
  <si>
    <t>13-03-2023</t>
  </si>
  <si>
    <t>พัชรินทร์</t>
  </si>
  <si>
    <t>สาวิวัฒน์</t>
  </si>
  <si>
    <t>พัช</t>
  </si>
  <si>
    <t>patcharins@senxgroup.com</t>
  </si>
  <si>
    <t>29-08-2022</t>
  </si>
  <si>
    <t>พัชรี</t>
  </si>
  <si>
    <t>รัตนะดี</t>
  </si>
  <si>
    <t>พิม</t>
  </si>
  <si>
    <t>phatchareer@senxgroup.com</t>
  </si>
  <si>
    <t>ฝ่ายบัญชีเจ้าหนี้ (CA)</t>
  </si>
  <si>
    <t>SX680004</t>
  </si>
  <si>
    <t>25-12-2020</t>
  </si>
  <si>
    <t>พัชฬวีร์</t>
  </si>
  <si>
    <t>ฐษาวงษ์สกุล</t>
  </si>
  <si>
    <t>เปิ้ล</t>
  </si>
  <si>
    <t>phatcharaveert@senxgroup.com</t>
  </si>
  <si>
    <t>เลขานุการผู้ช่วยประธานเจ้าหน้าที่บริหาร</t>
  </si>
  <si>
    <t>SX680020</t>
  </si>
  <si>
    <t>พิณทิพย์</t>
  </si>
  <si>
    <t>เกษี</t>
  </si>
  <si>
    <t>phinthipk@senxgroup.com</t>
  </si>
  <si>
    <t>เจ้าหน้าที่จัดซื้อ</t>
  </si>
  <si>
    <t>ฝ่ายทรัพย์สินสำนักงาน</t>
  </si>
  <si>
    <t>16-06-2020</t>
  </si>
  <si>
    <t>พุทธชาติ</t>
  </si>
  <si>
    <t>ชมบุญมี</t>
  </si>
  <si>
    <t>puthachadc@senxgroup.com</t>
  </si>
  <si>
    <t>เจ้าหน้าที่การเงินอาวุโส</t>
  </si>
  <si>
    <t>SX660006</t>
  </si>
  <si>
    <t>02-05-2017</t>
  </si>
  <si>
    <t>ภรดี</t>
  </si>
  <si>
    <t>รัตนรุจิกร</t>
  </si>
  <si>
    <t>เปี๊ยก</t>
  </si>
  <si>
    <t>porradeer@senxgroup.com</t>
  </si>
  <si>
    <t>สายงานสนับสนุนธุรกิจองค์กร</t>
  </si>
  <si>
    <t>SX670105</t>
  </si>
  <si>
    <t>ภัคธร</t>
  </si>
  <si>
    <t>มาศิริ</t>
  </si>
  <si>
    <t>ทัวร์</t>
  </si>
  <si>
    <t>phakkhathornm@senxgroup.com</t>
  </si>
  <si>
    <t>17-11-2025</t>
  </si>
  <si>
    <t>ภัทกร</t>
  </si>
  <si>
    <t>น้อยหลุบเลา</t>
  </si>
  <si>
    <t>เจมส์</t>
  </si>
  <si>
    <t>เจ้าหน้าที่สนับสนุนงานคอมพิวเตอร์</t>
  </si>
  <si>
    <t>SX670057</t>
  </si>
  <si>
    <t>03-05-2022</t>
  </si>
  <si>
    <t>ภัทรพงศ์</t>
  </si>
  <si>
    <t>เกษแก้ว</t>
  </si>
  <si>
    <t>ติ๊ก</t>
  </si>
  <si>
    <t>phattharaphongk@senxgroup.com</t>
  </si>
  <si>
    <t>SX670031</t>
  </si>
  <si>
    <t>ภุชงค์</t>
  </si>
  <si>
    <t>คันธรักษ์</t>
  </si>
  <si>
    <t>มิ้งค์</t>
  </si>
  <si>
    <t>puchongk@senxgroup.com</t>
  </si>
  <si>
    <t>ผู้จัดการโครงการอาวุโส</t>
  </si>
  <si>
    <t>SX670042</t>
  </si>
  <si>
    <t>ภูรินทร์</t>
  </si>
  <si>
    <t>เจริญชื่น</t>
  </si>
  <si>
    <t>หมี</t>
  </si>
  <si>
    <t>poorinc@senxgroup.com</t>
  </si>
  <si>
    <t>SX670125</t>
  </si>
  <si>
    <t>มนภัทร</t>
  </si>
  <si>
    <t>ปวีณชัย</t>
  </si>
  <si>
    <t>ต่าย</t>
  </si>
  <si>
    <t>ฝ่ายบริหารข้อมูลและแพลตฟอร์มดิจิทัล</t>
  </si>
  <si>
    <t>SX670118</t>
  </si>
  <si>
    <t>มีนชัย</t>
  </si>
  <si>
    <t>เย็นใจ</t>
  </si>
  <si>
    <t>ปอ</t>
  </si>
  <si>
    <t>meenchaiy@senxgroup.com</t>
  </si>
  <si>
    <t>ฝ่ายบริหารการขายบ้าน 2A</t>
  </si>
  <si>
    <t>SX670109</t>
  </si>
  <si>
    <t>17-07-2023</t>
  </si>
  <si>
    <t>มุกรินทร์</t>
  </si>
  <si>
    <t>มีแก้ว</t>
  </si>
  <si>
    <t>มุก</t>
  </si>
  <si>
    <t>mukkarinm@senxgroup.com</t>
  </si>
  <si>
    <t>14-11-2022</t>
  </si>
  <si>
    <t>รจนา</t>
  </si>
  <si>
    <t>เหล่หมุด</t>
  </si>
  <si>
    <t>รจ</t>
  </si>
  <si>
    <t>SX670082</t>
  </si>
  <si>
    <t>01-02-2017</t>
  </si>
  <si>
    <t>รัตนาวดี</t>
  </si>
  <si>
    <t>ชัยจิรากรณ์</t>
  </si>
  <si>
    <t>เอ</t>
  </si>
  <si>
    <t>rattanawadeec@senxgroup.com</t>
  </si>
  <si>
    <t>01-12-2025</t>
  </si>
  <si>
    <t>ลลิตา</t>
  </si>
  <si>
    <t>ปัญสุวรรณ์</t>
  </si>
  <si>
    <t>นาเดีย</t>
  </si>
  <si>
    <t>ลัคนา</t>
  </si>
  <si>
    <t>ไวเจริญกุล</t>
  </si>
  <si>
    <t>เจิน</t>
  </si>
  <si>
    <t>เจ้าหน้าที่จัดซื้ออาวุโส</t>
  </si>
  <si>
    <t>20-05-2024</t>
  </si>
  <si>
    <t>ลัดดาภรณ์</t>
  </si>
  <si>
    <t>หาโล๊ะ</t>
  </si>
  <si>
    <t>แป้ง</t>
  </si>
  <si>
    <t>luddapornh@senxgroup.com</t>
  </si>
  <si>
    <t>02-01-2014</t>
  </si>
  <si>
    <t>ลัดดาวัลย์</t>
  </si>
  <si>
    <t>ปัดพรม</t>
  </si>
  <si>
    <t>ลัด</t>
  </si>
  <si>
    <t>01-08-2018</t>
  </si>
  <si>
    <t>ลินดา</t>
  </si>
  <si>
    <t>ชำนิงาน</t>
  </si>
  <si>
    <t>เหมียว</t>
  </si>
  <si>
    <t>lindac@senxgroup.com</t>
  </si>
  <si>
    <t>เจ้าหน้าที่บัญชีทั่วไปอาวุโส</t>
  </si>
  <si>
    <t>SX670131</t>
  </si>
  <si>
    <t>02-05-2024</t>
  </si>
  <si>
    <t>ลูกตาล</t>
  </si>
  <si>
    <t>ชินณะคำ</t>
  </si>
  <si>
    <t>น้ำตาล</t>
  </si>
  <si>
    <t>luktanc@senxgroup.com</t>
  </si>
  <si>
    <t>เจ้าหน้าที่ประชาสัมพันธ์</t>
  </si>
  <si>
    <t>SX670146</t>
  </si>
  <si>
    <t>วชิระ</t>
  </si>
  <si>
    <t>ชัยดี</t>
  </si>
  <si>
    <t>ชิ</t>
  </si>
  <si>
    <t>wachirac@senxgroup.com</t>
  </si>
  <si>
    <t>SX670051</t>
  </si>
  <si>
    <t>01-02-2023</t>
  </si>
  <si>
    <t>วรยุพา</t>
  </si>
  <si>
    <t>พูลเทียน</t>
  </si>
  <si>
    <t>ผึ้ง</t>
  </si>
  <si>
    <t>worayupap@senxgroup.com</t>
  </si>
  <si>
    <t>SX670126</t>
  </si>
  <si>
    <t>17-07-2014</t>
  </si>
  <si>
    <t>วรัฎฐา</t>
  </si>
  <si>
    <t>เพ่งมานะยล</t>
  </si>
  <si>
    <t>หมิว</t>
  </si>
  <si>
    <t>SX670055</t>
  </si>
  <si>
    <t>01-06-2022</t>
  </si>
  <si>
    <t>วันเฉลิม</t>
  </si>
  <si>
    <t>จันทร์ลือ</t>
  </si>
  <si>
    <t>อาร์ท</t>
  </si>
  <si>
    <t>wanchaloemj@senxgroup.com</t>
  </si>
  <si>
    <t>SX670028</t>
  </si>
  <si>
    <t>20-02-2023</t>
  </si>
  <si>
    <t>วัลลภ</t>
  </si>
  <si>
    <t>ชีพสมทรง</t>
  </si>
  <si>
    <t>หน่อง</t>
  </si>
  <si>
    <t>wallopc@senxgroup.com</t>
  </si>
  <si>
    <t>SX670023</t>
  </si>
  <si>
    <t>21-11-2022</t>
  </si>
  <si>
    <t>วิเชียร</t>
  </si>
  <si>
    <t>รัตนโพธิพรกุล</t>
  </si>
  <si>
    <t>เชียร</t>
  </si>
  <si>
    <t>wichianr@senxgroup.com</t>
  </si>
  <si>
    <t>SX670110</t>
  </si>
  <si>
    <t>01-09-2016</t>
  </si>
  <si>
    <t>วิพุธ</t>
  </si>
  <si>
    <t>ชคัตตรัยกุล</t>
  </si>
  <si>
    <t>จั๊ก</t>
  </si>
  <si>
    <t>viputc@senxgroup.com</t>
  </si>
  <si>
    <t>SX670041</t>
  </si>
  <si>
    <t>16-04-2020</t>
  </si>
  <si>
    <t>วีรยุทธ</t>
  </si>
  <si>
    <t>ทับทิม</t>
  </si>
  <si>
    <t>เยว</t>
  </si>
  <si>
    <t>veerayutt@senxgroup.com</t>
  </si>
  <si>
    <t>SX670003</t>
  </si>
  <si>
    <t>21-10-2020</t>
  </si>
  <si>
    <t>เวณิกา</t>
  </si>
  <si>
    <t>บุญทอง</t>
  </si>
  <si>
    <t>แม็ค</t>
  </si>
  <si>
    <t>wanikab@senxgroup.com</t>
  </si>
  <si>
    <t>เจ้าหน้าที่ประสานงานขายและการตลาดอาวุโส</t>
  </si>
  <si>
    <t>สายงานบริหารการตลาดบ้าน 1</t>
  </si>
  <si>
    <t>ศรุดา</t>
  </si>
  <si>
    <t>ขจรจิตต์</t>
  </si>
  <si>
    <t>นุ่น</t>
  </si>
  <si>
    <t>sarudas@senxgroup.com</t>
  </si>
  <si>
    <t>Senior Project Coodinator</t>
  </si>
  <si>
    <t>ฝ่าย Construction Management Center</t>
  </si>
  <si>
    <t>27-08-2007</t>
  </si>
  <si>
    <t>ศศินันท์</t>
  </si>
  <si>
    <t>วิโชติคันธพงษ์</t>
  </si>
  <si>
    <t>โอ๋ศศิ</t>
  </si>
  <si>
    <t>sasinanw@senxgroup.com</t>
  </si>
  <si>
    <t>SX670097</t>
  </si>
  <si>
    <t>19-09-2012</t>
  </si>
  <si>
    <t>ศิริลักษ์</t>
  </si>
  <si>
    <t>ภู่ทอง</t>
  </si>
  <si>
    <t>กระรอก</t>
  </si>
  <si>
    <t>sirirakp@senxgroup.com</t>
  </si>
  <si>
    <t>เจ้าหน้าที่บุคคลอาวุโส</t>
  </si>
  <si>
    <t>SX670160</t>
  </si>
  <si>
    <t>01-05-2024</t>
  </si>
  <si>
    <t>ศิวนันท์</t>
  </si>
  <si>
    <t>จอย</t>
  </si>
  <si>
    <t>sivanant@senxgroup.com</t>
  </si>
  <si>
    <t>ประธานเจ้าหน้าที่บริหารด้านการเงิน</t>
  </si>
  <si>
    <t>15-07-2024</t>
  </si>
  <si>
    <t>ศุภธิดา</t>
  </si>
  <si>
    <t>จันระดา</t>
  </si>
  <si>
    <t>นิว</t>
  </si>
  <si>
    <t>Suppathidaj@senxgroup.com</t>
  </si>
  <si>
    <t>01-03-2024</t>
  </si>
  <si>
    <t>สมบูรณ์</t>
  </si>
  <si>
    <t>เซา</t>
  </si>
  <si>
    <t>แฟรงค์</t>
  </si>
  <si>
    <t>somboons@senxgroup.com</t>
  </si>
  <si>
    <t>SX670130</t>
  </si>
  <si>
    <t>09-04-2024</t>
  </si>
  <si>
    <t>สรวิชญ์</t>
  </si>
  <si>
    <t>รักสัตย์มั่น</t>
  </si>
  <si>
    <t>นนท์</t>
  </si>
  <si>
    <t>sorawitr@senxgroup.com</t>
  </si>
  <si>
    <t>SX680014</t>
  </si>
  <si>
    <t>สุฑาทิพย์</t>
  </si>
  <si>
    <t>ธงศรี</t>
  </si>
  <si>
    <t>ออย</t>
  </si>
  <si>
    <t>suthatipt@senxgroup.com</t>
  </si>
  <si>
    <t>18-05-2020</t>
  </si>
  <si>
    <t>สุนิตรา</t>
  </si>
  <si>
    <t>จันทร์แปลก</t>
  </si>
  <si>
    <t>อ๋อม</t>
  </si>
  <si>
    <t>sunitrac@senxgroup.com</t>
  </si>
  <si>
    <t>16-05-2024</t>
  </si>
  <si>
    <t>สุพร</t>
  </si>
  <si>
    <t>ไชยสุริยานุฑิต</t>
  </si>
  <si>
    <t>สุ</t>
  </si>
  <si>
    <t>สุพัตรา</t>
  </si>
  <si>
    <t>ทองชุม</t>
  </si>
  <si>
    <t>suphattrat@senxgroup.com</t>
  </si>
  <si>
    <t>ฝ่ายบัญชีเจ้าหนี้ (ผู้รับเหมา)</t>
  </si>
  <si>
    <t>SX670182</t>
  </si>
  <si>
    <t>18-09-2024</t>
  </si>
  <si>
    <t>สุภัชชา</t>
  </si>
  <si>
    <t>พรมดาว</t>
  </si>
  <si>
    <t>ก้อย</t>
  </si>
  <si>
    <t>supatchap@senxgroup.com</t>
  </si>
  <si>
    <t>ฝ่าย Compensation &amp; Benefit</t>
  </si>
  <si>
    <t>SX670039</t>
  </si>
  <si>
    <t>21-03-2022</t>
  </si>
  <si>
    <t>สุภาภรณ์</t>
  </si>
  <si>
    <t>ทับทิมเทศ</t>
  </si>
  <si>
    <t>supapornt@senxgroup.com</t>
  </si>
  <si>
    <t>SX670024</t>
  </si>
  <si>
    <t>03-01-2023</t>
  </si>
  <si>
    <t>สุรเดช</t>
  </si>
  <si>
    <t>วงศ์วีรขันธ์</t>
  </si>
  <si>
    <t>พีร์</t>
  </si>
  <si>
    <t>suradechw@senxgroup.com</t>
  </si>
  <si>
    <t>SX670162</t>
  </si>
  <si>
    <t>01-06-2024</t>
  </si>
  <si>
    <t>สุรสิทธิ์</t>
  </si>
  <si>
    <t>แสนช่าง</t>
  </si>
  <si>
    <t>surasits@senxgroup.com</t>
  </si>
  <si>
    <t>SX670012</t>
  </si>
  <si>
    <t>01-12-2022</t>
  </si>
  <si>
    <t>สุวรรณี</t>
  </si>
  <si>
    <t>เฉลยกิจ</t>
  </si>
  <si>
    <t>แหม่ม</t>
  </si>
  <si>
    <t>suwanneec@senxgroup.com</t>
  </si>
  <si>
    <t>03-08-2023</t>
  </si>
  <si>
    <t>สุวรีย์</t>
  </si>
  <si>
    <t>เชาว์ปรีชา</t>
  </si>
  <si>
    <t>หนู</t>
  </si>
  <si>
    <t>suvareec@senxgroup.com</t>
  </si>
  <si>
    <t>SX670098</t>
  </si>
  <si>
    <t>21-02-2012</t>
  </si>
  <si>
    <t>หนึ่งฤทัย</t>
  </si>
  <si>
    <t>ธนะศักดากร</t>
  </si>
  <si>
    <t>ปุ้ย</t>
  </si>
  <si>
    <t>nuengruethait@senxgroup.com</t>
  </si>
  <si>
    <t>SX670071</t>
  </si>
  <si>
    <t>02-08-2023</t>
  </si>
  <si>
    <t>อนัญญา</t>
  </si>
  <si>
    <t>โนนศิลา</t>
  </si>
  <si>
    <t>ทิพย์</t>
  </si>
  <si>
    <t>ananyan@senxgroup.com</t>
  </si>
  <si>
    <t>SX670038</t>
  </si>
  <si>
    <t>อรรณพ</t>
  </si>
  <si>
    <t>ถาน้อย</t>
  </si>
  <si>
    <t>โจ้</t>
  </si>
  <si>
    <t>unnopt@senxgroup.com</t>
  </si>
  <si>
    <t>SX680012</t>
  </si>
  <si>
    <t>05-08-2025</t>
  </si>
  <si>
    <t>อรวรา</t>
  </si>
  <si>
    <t>ประเสริฐ</t>
  </si>
  <si>
    <t>แนนซี่</t>
  </si>
  <si>
    <t>aornwarap@senxgroup.com</t>
  </si>
  <si>
    <t>เจ้าหน้าที่บัญชีปิดงบ</t>
  </si>
  <si>
    <t>21-06-2010</t>
  </si>
  <si>
    <t>อัมพร</t>
  </si>
  <si>
    <t>หีตแก้ว</t>
  </si>
  <si>
    <t>อี๊ต</t>
  </si>
  <si>
    <t>ampornh@senxgroup.com</t>
  </si>
  <si>
    <t>SX670111</t>
  </si>
  <si>
    <t>27-03-2023</t>
  </si>
  <si>
    <t>อำนาจ</t>
  </si>
  <si>
    <t>ไกรหา</t>
  </si>
  <si>
    <t>นาจ</t>
  </si>
  <si>
    <t>amnatk@senxgroup.com</t>
  </si>
  <si>
    <t>บริษัท เซ็น เอกซ์ พร็อพเพอร์ตี้ เซอร์วิส จำกัด</t>
  </si>
  <si>
    <t>15-01-2024</t>
  </si>
  <si>
    <t>ชนกนันท์</t>
  </si>
  <si>
    <t>สายสิงห์</t>
  </si>
  <si>
    <t>SPS670022</t>
  </si>
  <si>
    <t>01-09-2023</t>
  </si>
  <si>
    <t>ณัฐปภัสร์</t>
  </si>
  <si>
    <t>ศรีแสงจันทรา</t>
  </si>
  <si>
    <t>เมย์</t>
  </si>
  <si>
    <t>nathpapats@senxgroup.com</t>
  </si>
  <si>
    <t>SPS670026</t>
  </si>
  <si>
    <t>07-01-2019</t>
  </si>
  <si>
    <t>ณัฐวงศ์</t>
  </si>
  <si>
    <t>มีประเสริฐ</t>
  </si>
  <si>
    <t>มืด</t>
  </si>
  <si>
    <t>natawongm@senxgroup.com</t>
  </si>
  <si>
    <t>หัวหน้าแผนก</t>
  </si>
  <si>
    <t>ฝ่าย Customer Service</t>
  </si>
  <si>
    <t>02-06-2025</t>
  </si>
  <si>
    <t>นลินรัตน์</t>
  </si>
  <si>
    <t>เอื้อโชคทวีวัฒน์</t>
  </si>
  <si>
    <t>ฝ่าย RentNex</t>
  </si>
  <si>
    <t>SPS680004</t>
  </si>
  <si>
    <t>01-09-2025</t>
  </si>
  <si>
    <t>เบญญาภา</t>
  </si>
  <si>
    <t>แสนสุข</t>
  </si>
  <si>
    <t>มินนี่</t>
  </si>
  <si>
    <t>benyaphas@senxgroup.com</t>
  </si>
  <si>
    <t>เจ้าหน้าที่ประสานงานขายและการตลาด</t>
  </si>
  <si>
    <t>SPS670040</t>
  </si>
  <si>
    <t>16-09-2024</t>
  </si>
  <si>
    <t>ปรีดาวรรณ</t>
  </si>
  <si>
    <t>ทัพพ่วง</t>
  </si>
  <si>
    <t>ปุ๊ก</t>
  </si>
  <si>
    <t>preedawant@senxgroup.com</t>
  </si>
  <si>
    <t>SPS670027</t>
  </si>
  <si>
    <t>03-09-2018</t>
  </si>
  <si>
    <t>พุฒิพงศ์</t>
  </si>
  <si>
    <t>กังงา</t>
  </si>
  <si>
    <t>นุ๊ก</t>
  </si>
  <si>
    <t>phutthiphongk@senxgroup.com</t>
  </si>
  <si>
    <t>ฝ่าย Administrator</t>
  </si>
  <si>
    <t>SPS670007</t>
  </si>
  <si>
    <t>10-09-2018</t>
  </si>
  <si>
    <t>รุจิรัตน์</t>
  </si>
  <si>
    <t>ภู่จั่น</t>
  </si>
  <si>
    <t>นุ้ย</t>
  </si>
  <si>
    <t>rujiratp@senxgroup.com</t>
  </si>
  <si>
    <t>หัวหน้างานขาย</t>
  </si>
  <si>
    <t>SPS680002</t>
  </si>
  <si>
    <t>17-02-2025</t>
  </si>
  <si>
    <t>วศิน</t>
  </si>
  <si>
    <t>จิรสัชฌกร</t>
  </si>
  <si>
    <t>แน็ค</t>
  </si>
  <si>
    <t>vasinj@senxgroup.com</t>
  </si>
  <si>
    <t>ฝ่ายพัฒนาธุรกิจ</t>
  </si>
  <si>
    <t>SPS670024</t>
  </si>
  <si>
    <t>06-09-2023</t>
  </si>
  <si>
    <t>สาวิตรี</t>
  </si>
  <si>
    <t>บุญช่วย</t>
  </si>
  <si>
    <t>ตุ๊กตา</t>
  </si>
  <si>
    <t>savitrib@senxgroup.com</t>
  </si>
  <si>
    <t>VMS680171</t>
  </si>
  <si>
    <t>บริษัท เซ็น เอกซ์ พร็อพเพอร์ตี้ แมเนจเม้นท์ จำกัด</t>
  </si>
  <si>
    <t>16-06-2025</t>
  </si>
  <si>
    <t>กนกพจน์</t>
  </si>
  <si>
    <t>นิวาสเวช</t>
  </si>
  <si>
    <t>kanokpotn@senxgroup.com</t>
  </si>
  <si>
    <t>VMS670346</t>
  </si>
  <si>
    <t>02-09-2024</t>
  </si>
  <si>
    <t>กนกพล</t>
  </si>
  <si>
    <t>ศรีนาคใส</t>
  </si>
  <si>
    <t>แนต</t>
  </si>
  <si>
    <t>kanokpols@senxgroup.com</t>
  </si>
  <si>
    <t>ช่างประจำอาคาร</t>
  </si>
  <si>
    <t>พิกุลศรี</t>
  </si>
  <si>
    <t>แห้วดี</t>
  </si>
  <si>
    <t>อิ๋ว</t>
  </si>
  <si>
    <t>เจ้าหน้าที่บัญชีปิดงบอาวุโส</t>
  </si>
  <si>
    <t>VMS620015</t>
  </si>
  <si>
    <t>06-03-2013</t>
  </si>
  <si>
    <t>กมลวรรณ</t>
  </si>
  <si>
    <t>อุรเคนทร์</t>
  </si>
  <si>
    <t>kamonwanu@senxgroup.com</t>
  </si>
  <si>
    <t>กมลศักดิ์</t>
  </si>
  <si>
    <t>สงสาร</t>
  </si>
  <si>
    <t>ไผ่</t>
  </si>
  <si>
    <t>ฝ่ายบริหารนิติบุคคลอาคารชุด (NON SENA)</t>
  </si>
  <si>
    <t>กรกต</t>
  </si>
  <si>
    <t>แสงเปล่ง</t>
  </si>
  <si>
    <t>ฟิล์ม</t>
  </si>
  <si>
    <t>VMS670305</t>
  </si>
  <si>
    <t>01-08-2024</t>
  </si>
  <si>
    <t>กรณ์กฤต</t>
  </si>
  <si>
    <t>อาจคำ</t>
  </si>
  <si>
    <t>กรณ์</t>
  </si>
  <si>
    <t>konkita@senxgroup.com</t>
  </si>
  <si>
    <t>VMS680105</t>
  </si>
  <si>
    <t>01-04-2025</t>
  </si>
  <si>
    <t>กฤษณา</t>
  </si>
  <si>
    <t>รักพร้า</t>
  </si>
  <si>
    <t>kissanar@senxgroup.com</t>
  </si>
  <si>
    <t>VMS670257</t>
  </si>
  <si>
    <t>23-05-2024</t>
  </si>
  <si>
    <t>รอดไว</t>
  </si>
  <si>
    <t>อุ้ม</t>
  </si>
  <si>
    <t>klissanarr@senxgroup.com</t>
  </si>
  <si>
    <t>VMS680172</t>
  </si>
  <si>
    <t>กวิณวัจน์</t>
  </si>
  <si>
    <t>วรินอรุณโชค</t>
  </si>
  <si>
    <t>ซัน</t>
  </si>
  <si>
    <t>kawinwatw@senxgroup.com</t>
  </si>
  <si>
    <t>VMS670170</t>
  </si>
  <si>
    <t>05-07-2012</t>
  </si>
  <si>
    <t>กัญญา</t>
  </si>
  <si>
    <t>แย้มรัศมี</t>
  </si>
  <si>
    <t>ตู่</t>
  </si>
  <si>
    <t>kanyay@senxgroup.com</t>
  </si>
  <si>
    <t>VMS620032</t>
  </si>
  <si>
    <t>18-01-2016</t>
  </si>
  <si>
    <t>ธรรมจิต</t>
  </si>
  <si>
    <t>น้อยหน่า</t>
  </si>
  <si>
    <t>kanyat@senxgroup.com</t>
  </si>
  <si>
    <t>ฝ่ายสนับสนุนงานบริหารอสังหาริมทรัพย์</t>
  </si>
  <si>
    <t>VMS680211</t>
  </si>
  <si>
    <t>07-08-2025</t>
  </si>
  <si>
    <t>กัญญาณัฐ</t>
  </si>
  <si>
    <t>นาคขุนทด</t>
  </si>
  <si>
    <t>กุ๊กกิ๊ก</t>
  </si>
  <si>
    <t>kanyanathn@senxgroup.com</t>
  </si>
  <si>
    <t>VMS670276</t>
  </si>
  <si>
    <t>25-08-2014</t>
  </si>
  <si>
    <t>พัฒนราช</t>
  </si>
  <si>
    <t>kanyanatp@senxgroup.com</t>
  </si>
  <si>
    <t>VMS620153</t>
  </si>
  <si>
    <t>02-09-2019</t>
  </si>
  <si>
    <t>กัญญาภัค</t>
  </si>
  <si>
    <t>สายใจ</t>
  </si>
  <si>
    <t>เพ็ญ</t>
  </si>
  <si>
    <t>kanyapaks@senxgroup.com</t>
  </si>
  <si>
    <t>07-07-2025</t>
  </si>
  <si>
    <t>กัลญา</t>
  </si>
  <si>
    <t>คำแสนราช</t>
  </si>
  <si>
    <t>ฟ้า</t>
  </si>
  <si>
    <t>VMS670270</t>
  </si>
  <si>
    <t>03-01-2012</t>
  </si>
  <si>
    <t>กัลป์กรณ์</t>
  </si>
  <si>
    <t>สมชนะกุลยุทธ์</t>
  </si>
  <si>
    <t>kanpakons@senxgroup.com</t>
  </si>
  <si>
    <t>ฝ่ายวิศวกรรมงานระบบ</t>
  </si>
  <si>
    <t>VMS670291</t>
  </si>
  <si>
    <t>กัลยกร</t>
  </si>
  <si>
    <t>มีชู</t>
  </si>
  <si>
    <t>ทราย</t>
  </si>
  <si>
    <t>kanyakornm@senxgroup.com</t>
  </si>
  <si>
    <t>VMS680344</t>
  </si>
  <si>
    <t>10-11-2025</t>
  </si>
  <si>
    <t>กัลยา</t>
  </si>
  <si>
    <t>เอื้อมบุญสุข</t>
  </si>
  <si>
    <t>kanlayaa@senxgroup.com</t>
  </si>
  <si>
    <t>VMS680299</t>
  </si>
  <si>
    <t>กัลยาภรณ์</t>
  </si>
  <si>
    <t>สมวงค์</t>
  </si>
  <si>
    <t>ป๊อป</t>
  </si>
  <si>
    <t>kanyapornso@senxgroup.com</t>
  </si>
  <si>
    <t>VMS680354</t>
  </si>
  <si>
    <t>08-12-2025</t>
  </si>
  <si>
    <t>กานต์พิชชา</t>
  </si>
  <si>
    <t>จิตรพร</t>
  </si>
  <si>
    <t>แอฟ</t>
  </si>
  <si>
    <t>kanpichaj@senxgroup.com</t>
  </si>
  <si>
    <t>08-08-2025</t>
  </si>
  <si>
    <t>การุณย์</t>
  </si>
  <si>
    <t>เอี่ยมสอาด</t>
  </si>
  <si>
    <t>กานต์</t>
  </si>
  <si>
    <t>VMS680368</t>
  </si>
  <si>
    <t>14-12-2025</t>
  </si>
  <si>
    <t>กิ่งกาญจน์</t>
  </si>
  <si>
    <t>สีแป้น</t>
  </si>
  <si>
    <t>กิ่ง</t>
  </si>
  <si>
    <t>kingkarns@senxgroup.com</t>
  </si>
  <si>
    <t>VMS620085</t>
  </si>
  <si>
    <t>02-07-2018</t>
  </si>
  <si>
    <t>กิ่งแก้ว</t>
  </si>
  <si>
    <t>พิมเสน</t>
  </si>
  <si>
    <t>แก้ว</t>
  </si>
  <si>
    <t>kingkaewp@senxgroup.com</t>
  </si>
  <si>
    <t>VMS670178</t>
  </si>
  <si>
    <t>05-06-2015</t>
  </si>
  <si>
    <t>กิตติชัย</t>
  </si>
  <si>
    <t>จีระนุช</t>
  </si>
  <si>
    <t>kittichaic@senxgroup.com</t>
  </si>
  <si>
    <t>VMS670146</t>
  </si>
  <si>
    <t>01-02-2019</t>
  </si>
  <si>
    <t>กิตติพงษ์</t>
  </si>
  <si>
    <t>วงค์เสน</t>
  </si>
  <si>
    <t>โน๊ต</t>
  </si>
  <si>
    <t>kitthipongv@senxgroup.com</t>
  </si>
  <si>
    <t>VMS680015</t>
  </si>
  <si>
    <t>16-01-2025</t>
  </si>
  <si>
    <t>ดาราช</t>
  </si>
  <si>
    <t>VMS630004</t>
  </si>
  <si>
    <t>01-01-2020</t>
  </si>
  <si>
    <t>หรั่งไพศาล</t>
  </si>
  <si>
    <t>เล็ก</t>
  </si>
  <si>
    <t>kittipongr@senxgroup.com</t>
  </si>
  <si>
    <t>VMS680300</t>
  </si>
  <si>
    <t>กิตติภูมิ</t>
  </si>
  <si>
    <t>ไชยปาก</t>
  </si>
  <si>
    <t>ฟลุ๊ค</t>
  </si>
  <si>
    <t>kittiphumc@senxgroup.com</t>
  </si>
  <si>
    <t>VMS680360</t>
  </si>
  <si>
    <t>03-12-2025</t>
  </si>
  <si>
    <t>กิติศักดิ์</t>
  </si>
  <si>
    <t>คำแก้ว</t>
  </si>
  <si>
    <t>kittisakk@senxgroup.com</t>
  </si>
  <si>
    <t>15-12-2025</t>
  </si>
  <si>
    <t>อติหฤทัยสุข</t>
  </si>
  <si>
    <t>สยาม</t>
  </si>
  <si>
    <t>VMS670261</t>
  </si>
  <si>
    <t>27-08-2014</t>
  </si>
  <si>
    <t>กุญช์ชาญ</t>
  </si>
  <si>
    <t>ศรีทองคำ</t>
  </si>
  <si>
    <t>ชาญ</t>
  </si>
  <si>
    <t>kunchans@senxgroup.com</t>
  </si>
  <si>
    <t>VMS680036</t>
  </si>
  <si>
    <t>06-06-2016</t>
  </si>
  <si>
    <t>กุลชลิต</t>
  </si>
  <si>
    <t>รังสีชีวชื่น</t>
  </si>
  <si>
    <t>อาท</t>
  </si>
  <si>
    <t>kulchalitr@senxgroup.com</t>
  </si>
  <si>
    <t>กุสุมา</t>
  </si>
  <si>
    <t>เล้าสูงเนิน</t>
  </si>
  <si>
    <t>เจ้าหน้าที่บัญชีนิติบุคคล</t>
  </si>
  <si>
    <t>09-06-2025</t>
  </si>
  <si>
    <t>เกรียงไกร</t>
  </si>
  <si>
    <t>ศรีครั่ง</t>
  </si>
  <si>
    <t>ต๊ะ</t>
  </si>
  <si>
    <t>VMS670264</t>
  </si>
  <si>
    <t>28-03-2024</t>
  </si>
  <si>
    <t>พระอารักษ์</t>
  </si>
  <si>
    <t>เกรียง</t>
  </si>
  <si>
    <t>Kriangkraiph@senxgroup.com</t>
  </si>
  <si>
    <t>VMS650018</t>
  </si>
  <si>
    <t>เกรียงศักดิ์</t>
  </si>
  <si>
    <t>โกษียาภรณ์</t>
  </si>
  <si>
    <t>เกา</t>
  </si>
  <si>
    <t>kreangsakk@senxgroup.com</t>
  </si>
  <si>
    <t>VMS640011</t>
  </si>
  <si>
    <t>เกษกานต์</t>
  </si>
  <si>
    <t>เกษโกมล</t>
  </si>
  <si>
    <t>ketkank@senxgroup.com</t>
  </si>
  <si>
    <t>ขณิตา</t>
  </si>
  <si>
    <t>โพติยะ</t>
  </si>
  <si>
    <t>คุณธนโชติ</t>
  </si>
  <si>
    <t>สว่างวงษ์</t>
  </si>
  <si>
    <t>คุณ</t>
  </si>
  <si>
    <t>VMS670151</t>
  </si>
  <si>
    <t>28-06-2023</t>
  </si>
  <si>
    <t>จตุรพร</t>
  </si>
  <si>
    <t>ช่อผูก</t>
  </si>
  <si>
    <t>ก็อต</t>
  </si>
  <si>
    <t>chaturaphonc@senxgroup.com</t>
  </si>
  <si>
    <t>03-04-2023</t>
  </si>
  <si>
    <t>จักรกฤษ์</t>
  </si>
  <si>
    <t>ธรรมวงศ์</t>
  </si>
  <si>
    <t>รุท</t>
  </si>
  <si>
    <t>VMS620059</t>
  </si>
  <si>
    <t>01-09-2017</t>
  </si>
  <si>
    <t>จักรกฤษณ์</t>
  </si>
  <si>
    <t>อนุรักษ์</t>
  </si>
  <si>
    <t>เบียร์</t>
  </si>
  <si>
    <t>jugkrida@senxgroup.com</t>
  </si>
  <si>
    <t>จันทร์พิมพ์</t>
  </si>
  <si>
    <t>สวนสังข์</t>
  </si>
  <si>
    <t>VMS680246</t>
  </si>
  <si>
    <t>จารุนันท์</t>
  </si>
  <si>
    <t>ใสศรีจันทร์</t>
  </si>
  <si>
    <t>หญิง</t>
  </si>
  <si>
    <t>jarunans@senxgroup.com</t>
  </si>
  <si>
    <t>VMS650030</t>
  </si>
  <si>
    <t>จารุพงษ์</t>
  </si>
  <si>
    <t>วงศ์ธิดา</t>
  </si>
  <si>
    <t>หนุ่ม</t>
  </si>
  <si>
    <t>charuphongw@senxgroup.com</t>
  </si>
  <si>
    <t>09-09-2024</t>
  </si>
  <si>
    <t>จารุวรรณ</t>
  </si>
  <si>
    <t>สุขสวัสดิ์</t>
  </si>
  <si>
    <t>VMS680127</t>
  </si>
  <si>
    <t>02-05-2025</t>
  </si>
  <si>
    <t>พุฒเปีย</t>
  </si>
  <si>
    <t>jaruwanp@senxgroup.com</t>
  </si>
  <si>
    <t>VMS670107</t>
  </si>
  <si>
    <t>25-11-2014</t>
  </si>
  <si>
    <t>จารุวัฒน์</t>
  </si>
  <si>
    <t>ยอดสิงห์</t>
  </si>
  <si>
    <t>จุ๋ม</t>
  </si>
  <si>
    <t>charuwaty@senxgroup.com</t>
  </si>
  <si>
    <t>06-08-2025</t>
  </si>
  <si>
    <t>จิตติ</t>
  </si>
  <si>
    <t>แดงทิม</t>
  </si>
  <si>
    <t>VMS670215</t>
  </si>
  <si>
    <t>01-11-2017</t>
  </si>
  <si>
    <t>จิรพร</t>
  </si>
  <si>
    <t>มูลหน้อย</t>
  </si>
  <si>
    <t>มาย</t>
  </si>
  <si>
    <t>jirapornm@senxgroup.com</t>
  </si>
  <si>
    <t>VMS660106</t>
  </si>
  <si>
    <t>จิรเมธ</t>
  </si>
  <si>
    <t>มณฑิชาชาติ</t>
  </si>
  <si>
    <t>jirametm@senxgroup.com</t>
  </si>
  <si>
    <t>จิรอร</t>
  </si>
  <si>
    <t>จันทร์สว่าง</t>
  </si>
  <si>
    <t>VMS670405</t>
  </si>
  <si>
    <t>01-11-2024</t>
  </si>
  <si>
    <t>จิรารัชช์</t>
  </si>
  <si>
    <t>ประเสริฐอนันต์</t>
  </si>
  <si>
    <t>jirarachp@senxgroup.com</t>
  </si>
  <si>
    <t>16-05-2025</t>
  </si>
  <si>
    <t>จิวรา</t>
  </si>
  <si>
    <t>ปานจันทร์</t>
  </si>
  <si>
    <t>เนย</t>
  </si>
  <si>
    <t>VMS680296</t>
  </si>
  <si>
    <t>จีรศักดิ์</t>
  </si>
  <si>
    <t>ปัญญาทา</t>
  </si>
  <si>
    <t>เบลล์</t>
  </si>
  <si>
    <t>jerasakp@senxgroup.com</t>
  </si>
  <si>
    <t>VMS680002</t>
  </si>
  <si>
    <t>เจนจิรา</t>
  </si>
  <si>
    <t>บุญสอน</t>
  </si>
  <si>
    <t>จุ๊ปแจง</t>
  </si>
  <si>
    <t>janjirab@senxgroup.com</t>
  </si>
  <si>
    <t>18-12-2023</t>
  </si>
  <si>
    <t>เกตุสละ</t>
  </si>
  <si>
    <t>เพชร</t>
  </si>
  <si>
    <t>VMS670314</t>
  </si>
  <si>
    <t>ฉัตรชัย</t>
  </si>
  <si>
    <t>ทัพไทย</t>
  </si>
  <si>
    <t>ฉัตร</t>
  </si>
  <si>
    <t>chatchait@senxgroup.com</t>
  </si>
  <si>
    <t>VMS680005</t>
  </si>
  <si>
    <t>ฉันวัฒน์</t>
  </si>
  <si>
    <t>ปสังคมาน</t>
  </si>
  <si>
    <t>สายฟ้า</t>
  </si>
  <si>
    <t>chanwatp@senxgroup.com</t>
  </si>
  <si>
    <t>VMS620014</t>
  </si>
  <si>
    <t>19-02-2013</t>
  </si>
  <si>
    <t>เฉลา</t>
  </si>
  <si>
    <t>ฝ้ายแสน</t>
  </si>
  <si>
    <t>เจี๊ยบ</t>
  </si>
  <si>
    <t>chaloaf@senxgroup.com</t>
  </si>
  <si>
    <t>VMS670225</t>
  </si>
  <si>
    <t>เฉลิมธง</t>
  </si>
  <si>
    <t>ทะระถา</t>
  </si>
  <si>
    <t>chaloemthongt@senxgroup.com</t>
  </si>
  <si>
    <t>VMS670428</t>
  </si>
  <si>
    <t>09-12-2024</t>
  </si>
  <si>
    <t>เฉลิมพน</t>
  </si>
  <si>
    <t>อินทปุระ</t>
  </si>
  <si>
    <t>อั้น</t>
  </si>
  <si>
    <t>chalermponl@senxgroup.com</t>
  </si>
  <si>
    <t>VMS620049</t>
  </si>
  <si>
    <t>14-12-2016</t>
  </si>
  <si>
    <t>เฉลิมวุฒิ</t>
  </si>
  <si>
    <t>chalermwutt@senxgroup.com</t>
  </si>
  <si>
    <t>ผู้จัดการอาคารอาวุโส</t>
  </si>
  <si>
    <t>VMS680317</t>
  </si>
  <si>
    <t>10-10-2025</t>
  </si>
  <si>
    <t>ชญานี</t>
  </si>
  <si>
    <t>เมืองเกิด</t>
  </si>
  <si>
    <t>แปร</t>
  </si>
  <si>
    <t>chayaneem@senxgroup.com</t>
  </si>
  <si>
    <t>03-03-2025</t>
  </si>
  <si>
    <t>ชนาธิป</t>
  </si>
  <si>
    <t>สุขธิติพัฒน์</t>
  </si>
  <si>
    <t>เอส</t>
  </si>
  <si>
    <t>VMS670190</t>
  </si>
  <si>
    <t>01-06-2019</t>
  </si>
  <si>
    <t>ชนิกานต์</t>
  </si>
  <si>
    <t>ยอดอ้อย</t>
  </si>
  <si>
    <t>นก</t>
  </si>
  <si>
    <t>chanikany@senxgroup.com</t>
  </si>
  <si>
    <t>VMS680345</t>
  </si>
  <si>
    <t>ชยกร</t>
  </si>
  <si>
    <t>จักรบวรมงคล</t>
  </si>
  <si>
    <t>อู๊ด</t>
  </si>
  <si>
    <t>chayakornc@senxgroup.com</t>
  </si>
  <si>
    <t>16-12-2022</t>
  </si>
  <si>
    <t>ชยุต</t>
  </si>
  <si>
    <t>อรัญญิก</t>
  </si>
  <si>
    <t>ยุต</t>
  </si>
  <si>
    <t>VMS620054</t>
  </si>
  <si>
    <t>11-07-2017</t>
  </si>
  <si>
    <t>ชลธิชา</t>
  </si>
  <si>
    <t>พรรดิ์จักร์</t>
  </si>
  <si>
    <t>น้ำ</t>
  </si>
  <si>
    <t>chontichap@senxgroup.com</t>
  </si>
  <si>
    <t>เจ้าหน้าที่ประสานงานทั่วไปอาวุโส</t>
  </si>
  <si>
    <t>ฝ่าย SENA SERVICE</t>
  </si>
  <si>
    <t>VMS680222</t>
  </si>
  <si>
    <t>พันธ์ยิ่งยง</t>
  </si>
  <si>
    <t>ใหม่</t>
  </si>
  <si>
    <t>chonthichap@senxgroup.com</t>
  </si>
  <si>
    <t>ปัญจมาศิริ</t>
  </si>
  <si>
    <t>น้อง</t>
  </si>
  <si>
    <t>VMS620111</t>
  </si>
  <si>
    <t>ชวัร</t>
  </si>
  <si>
    <t>ขาวทอง</t>
  </si>
  <si>
    <t>chawank@senxgroup.com</t>
  </si>
  <si>
    <t>VMS680133</t>
  </si>
  <si>
    <t>06-05-2025</t>
  </si>
  <si>
    <t>ชวัลลักษณ์</t>
  </si>
  <si>
    <t>พาลาภ</t>
  </si>
  <si>
    <t>เฟรม</t>
  </si>
  <si>
    <t>chawanluckp@senxgroup.com</t>
  </si>
  <si>
    <t>VMS650097</t>
  </si>
  <si>
    <t>12-09-2022</t>
  </si>
  <si>
    <t>ชัชชษา</t>
  </si>
  <si>
    <t>ประทุมจำปา</t>
  </si>
  <si>
    <t>ษา</t>
  </si>
  <si>
    <t>chatchasap@senxgroup.com</t>
  </si>
  <si>
    <t>VMS680286</t>
  </si>
  <si>
    <t>ชัชวาลย์</t>
  </si>
  <si>
    <t>อยู่เย็น</t>
  </si>
  <si>
    <t>โก๋</t>
  </si>
  <si>
    <t>chatchawaly@senxgroup.com</t>
  </si>
  <si>
    <t>VMS670116</t>
  </si>
  <si>
    <t>08-08-2013</t>
  </si>
  <si>
    <t>ชัยนิรันดร์</t>
  </si>
  <si>
    <t>ฮาดแมน</t>
  </si>
  <si>
    <t>รัน</t>
  </si>
  <si>
    <t>chainiranh@senxgroup.com</t>
  </si>
  <si>
    <t>SX680007</t>
  </si>
  <si>
    <t>01-11-2018</t>
  </si>
  <si>
    <t>ชัยพจน์</t>
  </si>
  <si>
    <t>ช่างแต่ง</t>
  </si>
  <si>
    <t>ป๊อก</t>
  </si>
  <si>
    <t>ฝ่าย Engineering</t>
  </si>
  <si>
    <t>ฝ่ายวิศวกรรมโยธา</t>
  </si>
  <si>
    <t>VMS680268</t>
  </si>
  <si>
    <t>10-09-2025</t>
  </si>
  <si>
    <t>ชัยวัฒน์</t>
  </si>
  <si>
    <t>กลิ่นเทียน</t>
  </si>
  <si>
    <t>มอส</t>
  </si>
  <si>
    <t>chaiwatkl@senxgroup.com</t>
  </si>
  <si>
    <t>03-07-2023</t>
  </si>
  <si>
    <t>ทองจำปา</t>
  </si>
  <si>
    <t>VMS670187</t>
  </si>
  <si>
    <t>10-04-2011</t>
  </si>
  <si>
    <t>ชาตรี</t>
  </si>
  <si>
    <t>สำราญ</t>
  </si>
  <si>
    <t>ปู</t>
  </si>
  <si>
    <t>chatrees@senxgroup.com</t>
  </si>
  <si>
    <t>13-06-2022</t>
  </si>
  <si>
    <t>วงศ์พันธุ์</t>
  </si>
  <si>
    <t>ตรี</t>
  </si>
  <si>
    <t>VMS670143</t>
  </si>
  <si>
    <t>ชินพร</t>
  </si>
  <si>
    <t>บัวสรวง</t>
  </si>
  <si>
    <t>ต๋อง</t>
  </si>
  <si>
    <t>chinnapornb@senxgroup.com</t>
  </si>
  <si>
    <t>16-08-2023</t>
  </si>
  <si>
    <t>ชินวุฒิ</t>
  </si>
  <si>
    <t>วงษ์หอม</t>
  </si>
  <si>
    <t>ทิว</t>
  </si>
  <si>
    <t>ชิรัชยา</t>
  </si>
  <si>
    <t>สุรรัตน์</t>
  </si>
  <si>
    <t>โอ</t>
  </si>
  <si>
    <t>VMS680203</t>
  </si>
  <si>
    <t>16-07-2025</t>
  </si>
  <si>
    <t>ชุติกาญจน์</t>
  </si>
  <si>
    <t>ธัญญไชยโคตร</t>
  </si>
  <si>
    <t>ออม</t>
  </si>
  <si>
    <t>chutikant@senxgroup.com</t>
  </si>
  <si>
    <t>VMS680027</t>
  </si>
  <si>
    <t>ชุลีพร</t>
  </si>
  <si>
    <t>บุญอ่อน</t>
  </si>
  <si>
    <t>ริว</t>
  </si>
  <si>
    <t>chuleepornb@senxgroup.com</t>
  </si>
  <si>
    <t>VMS640044</t>
  </si>
  <si>
    <t>18-10-2021</t>
  </si>
  <si>
    <t>ชูประการณ์</t>
  </si>
  <si>
    <t>บุตรหนองหว้า</t>
  </si>
  <si>
    <t>เซเว่น</t>
  </si>
  <si>
    <t>chuprakanb@senxgroup.com</t>
  </si>
  <si>
    <t>VMS620124</t>
  </si>
  <si>
    <t>13-05-2019</t>
  </si>
  <si>
    <t>โพธิสม</t>
  </si>
  <si>
    <t>ปอนด์</t>
  </si>
  <si>
    <t>choosakp@senxgroup.com</t>
  </si>
  <si>
    <t>โชติมา</t>
  </si>
  <si>
    <t>สาระพัฒน์</t>
  </si>
  <si>
    <t>VMS670322</t>
  </si>
  <si>
    <t>15-08-2024</t>
  </si>
  <si>
    <t>โชติรส</t>
  </si>
  <si>
    <t>เรืองมาก</t>
  </si>
  <si>
    <t>เม</t>
  </si>
  <si>
    <t>chotirosr@senxgroup.com</t>
  </si>
  <si>
    <t>ฝ่ายบัญชี</t>
  </si>
  <si>
    <t>VMS680022</t>
  </si>
  <si>
    <t>02-01-2013</t>
  </si>
  <si>
    <t>ญาณิดา</t>
  </si>
  <si>
    <t>yanidak@senxgroup.com</t>
  </si>
  <si>
    <t>VMS670017</t>
  </si>
  <si>
    <t>25-03-2024</t>
  </si>
  <si>
    <t>ญาติมา</t>
  </si>
  <si>
    <t>ศักดี</t>
  </si>
  <si>
    <t>จิน</t>
  </si>
  <si>
    <t>yatimas@senxgroup.com</t>
  </si>
  <si>
    <t>เจ้าหน้าที่ประสานงาน</t>
  </si>
  <si>
    <t>08-10-2025</t>
  </si>
  <si>
    <t>ฐัชชนันท์</t>
  </si>
  <si>
    <t>ธาระผล</t>
  </si>
  <si>
    <t>15-11-2021</t>
  </si>
  <si>
    <t>ฐิฏิกรณ์</t>
  </si>
  <si>
    <t>บุญจง</t>
  </si>
  <si>
    <t>ต้อ</t>
  </si>
  <si>
    <t>VMS680346</t>
  </si>
  <si>
    <t>13-11-2025</t>
  </si>
  <si>
    <t>ฐิตาภา</t>
  </si>
  <si>
    <t>แสงราษี</t>
  </si>
  <si>
    <t>titapas@senxgroup.com</t>
  </si>
  <si>
    <t>VMS620011</t>
  </si>
  <si>
    <t>02-05-2012</t>
  </si>
  <si>
    <t>ฐิติรัตน์</t>
  </si>
  <si>
    <t>แดงสุวรรณ</t>
  </si>
  <si>
    <t>thitirutd@senxgroup.com</t>
  </si>
  <si>
    <t>VMS680347</t>
  </si>
  <si>
    <t>ณกรณ์พงศ์</t>
  </si>
  <si>
    <t>พึ่งเพียร</t>
  </si>
  <si>
    <t>เคลียร์</t>
  </si>
  <si>
    <t>nakornphongp@senxgroup.com</t>
  </si>
  <si>
    <t>ณคเรศ</t>
  </si>
  <si>
    <t>ดอกมณฑา</t>
  </si>
  <si>
    <t>มิกซ์</t>
  </si>
  <si>
    <t>VMS660029</t>
  </si>
  <si>
    <t>ณพดล</t>
  </si>
  <si>
    <t>ดิษฐ์ภักดี</t>
  </si>
  <si>
    <t>ณพ</t>
  </si>
  <si>
    <t>noppadold@senxgroup.com</t>
  </si>
  <si>
    <t>VMS670418</t>
  </si>
  <si>
    <t>ณพัททอง</t>
  </si>
  <si>
    <t>อ่อนทอง</t>
  </si>
  <si>
    <t>ดีน</t>
  </si>
  <si>
    <t>napattongo@senxgroup.com</t>
  </si>
  <si>
    <t>VMS620027</t>
  </si>
  <si>
    <t>02-03-2015</t>
  </si>
  <si>
    <t>ณภัทร</t>
  </si>
  <si>
    <t>คชฤทธิ์</t>
  </si>
  <si>
    <t>ตอย</t>
  </si>
  <si>
    <t>napatk@senxgroup.com</t>
  </si>
  <si>
    <t>ยอดแก้ว</t>
  </si>
  <si>
    <t>บีม</t>
  </si>
  <si>
    <t>VMS670172</t>
  </si>
  <si>
    <t>04-12-2009</t>
  </si>
  <si>
    <t>ณรงค์ฤทธิ์</t>
  </si>
  <si>
    <t>ศรีวรศานต์</t>
  </si>
  <si>
    <t>ฤทธิ์</t>
  </si>
  <si>
    <t>narongritsr@senxgroup.com</t>
  </si>
  <si>
    <t>03-03-2014</t>
  </si>
  <si>
    <t>ณรงค์ศักดิ์</t>
  </si>
  <si>
    <t>เชยขุนทด</t>
  </si>
  <si>
    <t>VMS670058</t>
  </si>
  <si>
    <t>08-07-2024</t>
  </si>
  <si>
    <t>พลเสน</t>
  </si>
  <si>
    <t>ข้าวตู</t>
  </si>
  <si>
    <t>Narongsak@senxgroup.com</t>
  </si>
  <si>
    <t>VMS680108</t>
  </si>
  <si>
    <t>17-04-2025</t>
  </si>
  <si>
    <t>ณฤชา</t>
  </si>
  <si>
    <t>สามงามแก้ว</t>
  </si>
  <si>
    <t>naruchas@senxgroup.com</t>
  </si>
  <si>
    <t>VMS670380</t>
  </si>
  <si>
    <t>01-10-2024</t>
  </si>
  <si>
    <t>ณฤทธิ์</t>
  </si>
  <si>
    <t>รอดสัมฤทธิ์</t>
  </si>
  <si>
    <t>naritr@senxgroup.com</t>
  </si>
  <si>
    <t>26-12-2022</t>
  </si>
  <si>
    <t>ณัชธญา</t>
  </si>
  <si>
    <t>นิลพานิชย์</t>
  </si>
  <si>
    <t>นัต</t>
  </si>
  <si>
    <t>02-04-2024</t>
  </si>
  <si>
    <t>ณัฐกานต์</t>
  </si>
  <si>
    <t>ประตูเงิน</t>
  </si>
  <si>
    <t>สแตมป์</t>
  </si>
  <si>
    <t>20-01-2020</t>
  </si>
  <si>
    <t>วิริยะดำรงกิจ</t>
  </si>
  <si>
    <t>เป็ด</t>
  </si>
  <si>
    <t>สุระเสียง</t>
  </si>
  <si>
    <t>โจ</t>
  </si>
  <si>
    <t>VMS670105</t>
  </si>
  <si>
    <t>04-01-2021</t>
  </si>
  <si>
    <t>ณัฐกิตติ์</t>
  </si>
  <si>
    <t>บัวแสง</t>
  </si>
  <si>
    <t>พีท</t>
  </si>
  <si>
    <t>natthakritb@senxgroup.com</t>
  </si>
  <si>
    <t>17-03-2025</t>
  </si>
  <si>
    <t>ณัฐชนท</t>
  </si>
  <si>
    <t>เรืองทรัพย์บำรุง</t>
  </si>
  <si>
    <t>ผู้ช่วยหัวหน้าแผนกบัญชีลูกหนี้</t>
  </si>
  <si>
    <t>VMS620035</t>
  </si>
  <si>
    <t>18-04-2016</t>
  </si>
  <si>
    <t>ณัฐดนัย</t>
  </si>
  <si>
    <t>ปิดตาระเต</t>
  </si>
  <si>
    <t>ตั้ม</t>
  </si>
  <si>
    <t>natdanaip@senxgroup.com</t>
  </si>
  <si>
    <t>VMS670341</t>
  </si>
  <si>
    <t>ณัฐติพัฒน</t>
  </si>
  <si>
    <t>วิเชียรเสนาะ</t>
  </si>
  <si>
    <t>ฮาร์ทบีท</t>
  </si>
  <si>
    <t>nuttipatw@senxgroup.com</t>
  </si>
  <si>
    <t>VMS670007</t>
  </si>
  <si>
    <t>ณัฐธริชา</t>
  </si>
  <si>
    <t>ราชมณี</t>
  </si>
  <si>
    <t>กระแต</t>
  </si>
  <si>
    <t>nattharichar@senxgroup.com</t>
  </si>
  <si>
    <t>VMS620039</t>
  </si>
  <si>
    <t>16-06-2016</t>
  </si>
  <si>
    <t>ณัฐปคัลภ์</t>
  </si>
  <si>
    <t>จันทร์กลิ่น</t>
  </si>
  <si>
    <t>สามารถ</t>
  </si>
  <si>
    <t>natpakanj@senxgroup.com</t>
  </si>
  <si>
    <t>VMS660035</t>
  </si>
  <si>
    <t>โง๊ะบุดดา</t>
  </si>
  <si>
    <t>อุ๋ย</t>
  </si>
  <si>
    <t>nuttapornn@senxgroup.com</t>
  </si>
  <si>
    <t>ณัฐพล</t>
  </si>
  <si>
    <t>รัตนกิตติชัย</t>
  </si>
  <si>
    <t>เป๊ปซี่</t>
  </si>
  <si>
    <t>VMS670110</t>
  </si>
  <si>
    <t>08-09-2017</t>
  </si>
  <si>
    <t>จินานุรักษ์</t>
  </si>
  <si>
    <t>เป้</t>
  </si>
  <si>
    <t>nattaphonj@senxgroup.com</t>
  </si>
  <si>
    <t>ทีฆาวงค์</t>
  </si>
  <si>
    <t>ณัฐ</t>
  </si>
  <si>
    <t>20-08-2025</t>
  </si>
  <si>
    <t>ณัฐพัชร์</t>
  </si>
  <si>
    <t>พันแน่น</t>
  </si>
  <si>
    <t>เอ้</t>
  </si>
  <si>
    <t>VMS680126</t>
  </si>
  <si>
    <t>ณัฐพันธ์</t>
  </si>
  <si>
    <t>นันทกิจ</t>
  </si>
  <si>
    <t>ตัง</t>
  </si>
  <si>
    <t>nattapann@senxgroup.com</t>
  </si>
  <si>
    <t>VMS680115</t>
  </si>
  <si>
    <t>ณัฐริกา</t>
  </si>
  <si>
    <t>สุริโย</t>
  </si>
  <si>
    <t>โรส</t>
  </si>
  <si>
    <t>nattarikas@senxgroup.com</t>
  </si>
  <si>
    <t>01-07-2025</t>
  </si>
  <si>
    <t>ณัฐวรรณ</t>
  </si>
  <si>
    <t>ศิริปรุ</t>
  </si>
  <si>
    <t>อาย</t>
  </si>
  <si>
    <t>VMS680358</t>
  </si>
  <si>
    <t>ณัฐวัตร</t>
  </si>
  <si>
    <t>หงษ์ทอง</t>
  </si>
  <si>
    <t>nattawath@senxgroup.com</t>
  </si>
  <si>
    <t>VMS680178</t>
  </si>
  <si>
    <t>ตุ่นจันทร์</t>
  </si>
  <si>
    <t>nutawatt@senxgroup.com</t>
  </si>
  <si>
    <t>VMS680241</t>
  </si>
  <si>
    <t>ณัฐศจี</t>
  </si>
  <si>
    <t>ซึ้งศักดิ์สกุล</t>
  </si>
  <si>
    <t>แบม</t>
  </si>
  <si>
    <t>natsagees@senxgroup.com</t>
  </si>
  <si>
    <t>VMS670220</t>
  </si>
  <si>
    <t>ณัฒกานณ์</t>
  </si>
  <si>
    <t>ไชยศรีมา</t>
  </si>
  <si>
    <t>แมน</t>
  </si>
  <si>
    <t>nuttakarnc@senxgroup.com</t>
  </si>
  <si>
    <t>VMS660071</t>
  </si>
  <si>
    <t>ณัทธร</t>
  </si>
  <si>
    <t>เมืองทิพย์</t>
  </si>
  <si>
    <t>nuttornm@senxgroup.com</t>
  </si>
  <si>
    <t>ณิฐิกานต์</t>
  </si>
  <si>
    <t>สุทธิสอาด</t>
  </si>
  <si>
    <t>VMS620112</t>
  </si>
  <si>
    <t>18-03-2019</t>
  </si>
  <si>
    <t>ณีรนุช</t>
  </si>
  <si>
    <t>ขำฉา</t>
  </si>
  <si>
    <t>อ้อย</t>
  </si>
  <si>
    <t>neeranuchk@Senxgroup.com</t>
  </si>
  <si>
    <t>VMS680031</t>
  </si>
  <si>
    <t>01-03-2023</t>
  </si>
  <si>
    <t>ดนัยพร</t>
  </si>
  <si>
    <t>ดาสุข</t>
  </si>
  <si>
    <t>danaipornd@senxgroup.com</t>
  </si>
  <si>
    <t>VMS660092</t>
  </si>
  <si>
    <t>04-09-2023</t>
  </si>
  <si>
    <t>ดนิตา</t>
  </si>
  <si>
    <t>ธนะกรวิจิตร</t>
  </si>
  <si>
    <t>นิด</t>
  </si>
  <si>
    <t>danitat@senxgroup.com</t>
  </si>
  <si>
    <t>VMS660142</t>
  </si>
  <si>
    <t>ดรรชนีย์</t>
  </si>
  <si>
    <t>อยู่เป็นสุข</t>
  </si>
  <si>
    <t>datchaneey@senxgroup.com</t>
  </si>
  <si>
    <t>05-05-2022</t>
  </si>
  <si>
    <t>ดวงใจ</t>
  </si>
  <si>
    <t>วิจิตรชื่น</t>
  </si>
  <si>
    <t>ต่อ</t>
  </si>
  <si>
    <t>ดวงธิดา</t>
  </si>
  <si>
    <t>วัฒนกุล</t>
  </si>
  <si>
    <t>หวาน</t>
  </si>
  <si>
    <t>VMS660044</t>
  </si>
  <si>
    <t>12-06-2023</t>
  </si>
  <si>
    <t>ดอกไม้</t>
  </si>
  <si>
    <t>ปรือทอง</t>
  </si>
  <si>
    <t>แอน</t>
  </si>
  <si>
    <t>dokmaip@senxgroup.com</t>
  </si>
  <si>
    <t>ตวงทอง</t>
  </si>
  <si>
    <t>ศิวายพราหมณ์</t>
  </si>
  <si>
    <t>ตวง</t>
  </si>
  <si>
    <t>21-02-2023</t>
  </si>
  <si>
    <t>ไตยภพ</t>
  </si>
  <si>
    <t>นาคลี</t>
  </si>
  <si>
    <t>ไบร์ท</t>
  </si>
  <si>
    <t>16-10-2024</t>
  </si>
  <si>
    <t>ถวิลศักดิ์</t>
  </si>
  <si>
    <t>รอดเรือง</t>
  </si>
  <si>
    <t>กุ้ง</t>
  </si>
  <si>
    <t>VMS670173</t>
  </si>
  <si>
    <t>25-12-2014</t>
  </si>
  <si>
    <t>ใจกล้า</t>
  </si>
  <si>
    <t>น้อย</t>
  </si>
  <si>
    <t>thavornc@senxgroup.com</t>
  </si>
  <si>
    <t>VMS680153</t>
  </si>
  <si>
    <t>ถิรวุฒิ</t>
  </si>
  <si>
    <t>ผ่องอักษร</t>
  </si>
  <si>
    <t>อาร์ม</t>
  </si>
  <si>
    <t>tirawutp@senxgroup.com</t>
  </si>
  <si>
    <t>VMS620045</t>
  </si>
  <si>
    <t>15-08-2016</t>
  </si>
  <si>
    <t>ทนงศักดิ์</t>
  </si>
  <si>
    <t>ผาสุวิหาโร</t>
  </si>
  <si>
    <t>แจ๊ก</t>
  </si>
  <si>
    <t>tanongsakp@senxgroup.com</t>
  </si>
  <si>
    <t>VMS630027</t>
  </si>
  <si>
    <t>19-10-2020</t>
  </si>
  <si>
    <t>ทรงพร</t>
  </si>
  <si>
    <t>ปานสมรัก</t>
  </si>
  <si>
    <t>songpornp@senxgroup.com</t>
  </si>
  <si>
    <t>VMS670398</t>
  </si>
  <si>
    <t>ทรงพล</t>
  </si>
  <si>
    <t>เนตรกลาง</t>
  </si>
  <si>
    <t>จ๊อด</t>
  </si>
  <si>
    <t>songpholn@senxgroup.com</t>
  </si>
  <si>
    <t>VMS670430</t>
  </si>
  <si>
    <t>ทรนงค์</t>
  </si>
  <si>
    <t>แก้วศรีหา</t>
  </si>
  <si>
    <t>ชาติ</t>
  </si>
  <si>
    <t>toranongk@senxgroup.com</t>
  </si>
  <si>
    <t>VMS680366</t>
  </si>
  <si>
    <t>ทวีศักดิ์</t>
  </si>
  <si>
    <t>ขาววงศ์</t>
  </si>
  <si>
    <t>taweesakk@senxgroup.com</t>
  </si>
  <si>
    <t>VMS670159</t>
  </si>
  <si>
    <t>21-08-2023</t>
  </si>
  <si>
    <t>ทศพล</t>
  </si>
  <si>
    <t>แซ่หว่อง</t>
  </si>
  <si>
    <t>ทศ</t>
  </si>
  <si>
    <t>todsapons@senxgroup.com</t>
  </si>
  <si>
    <t>VMS670145</t>
  </si>
  <si>
    <t>04-04-2016</t>
  </si>
  <si>
    <t>ทัศนีย์</t>
  </si>
  <si>
    <t>คงเกลี้ยง</t>
  </si>
  <si>
    <t>อ้ำ</t>
  </si>
  <si>
    <t>tassaneek@senxgroup.com</t>
  </si>
  <si>
    <t>VMS670108</t>
  </si>
  <si>
    <t>01-03-2013</t>
  </si>
  <si>
    <t>โสตถิฉัตต์</t>
  </si>
  <si>
    <t>ต้น</t>
  </si>
  <si>
    <t>tasanees@senxgroup.com</t>
  </si>
  <si>
    <t>VMS670067</t>
  </si>
  <si>
    <t>ทิชากร</t>
  </si>
  <si>
    <t>ทองพิจิตร</t>
  </si>
  <si>
    <t>หนูนา</t>
  </si>
  <si>
    <t>tichakornt@senxgroup.com</t>
  </si>
  <si>
    <t>VMS680231</t>
  </si>
  <si>
    <t>ทิพวรรณ</t>
  </si>
  <si>
    <t>อาจเลิศ</t>
  </si>
  <si>
    <t>แอ๋ว</t>
  </si>
  <si>
    <t>thippawana@senxgroup.com</t>
  </si>
  <si>
    <t>VMS670195</t>
  </si>
  <si>
    <t>18-05-2023</t>
  </si>
  <si>
    <t>เทวินทร์</t>
  </si>
  <si>
    <t>วิน</t>
  </si>
  <si>
    <t>tawint@senxgroup.com</t>
  </si>
  <si>
    <t>เทิดศักดิ์</t>
  </si>
  <si>
    <t>ขันโอฬาร</t>
  </si>
  <si>
    <t>โอ๊ต</t>
  </si>
  <si>
    <t>VMS680351</t>
  </si>
  <si>
    <t>20-11-2025</t>
  </si>
  <si>
    <t>ธนกร</t>
  </si>
  <si>
    <t>ศรีสำราญ</t>
  </si>
  <si>
    <t>tanakorns@senxgroup.com</t>
  </si>
  <si>
    <t>VMS620170</t>
  </si>
  <si>
    <t>11-11-2019</t>
  </si>
  <si>
    <t>ธนกิจ</t>
  </si>
  <si>
    <t>ไพรสัน</t>
  </si>
  <si>
    <t>ดำ</t>
  </si>
  <si>
    <t>thanakitp@senxgroup.com</t>
  </si>
  <si>
    <t>ฝ่ายบริหารอาคารพิเศษ</t>
  </si>
  <si>
    <t>VMS670002</t>
  </si>
  <si>
    <t>ธนพร</t>
  </si>
  <si>
    <t>บุญฤกษ์</t>
  </si>
  <si>
    <t>เอเอ</t>
  </si>
  <si>
    <t>tanapornb@Senxgroup.com</t>
  </si>
  <si>
    <t>VMS680179</t>
  </si>
  <si>
    <t>ธนพล</t>
  </si>
  <si>
    <t>จุ้ยมิน</t>
  </si>
  <si>
    <t>มีน</t>
  </si>
  <si>
    <t>thanaphonc@senxgroup.com</t>
  </si>
  <si>
    <t>02-10-2025</t>
  </si>
  <si>
    <t>ธนวัช</t>
  </si>
  <si>
    <t>ศรีปลั่ง</t>
  </si>
  <si>
    <t>VMS670115</t>
  </si>
  <si>
    <t>25-11-2013</t>
  </si>
  <si>
    <t>ธนวัฒน์</t>
  </si>
  <si>
    <t>เอกพันธ์</t>
  </si>
  <si>
    <t>เต๊ก</t>
  </si>
  <si>
    <t>thnawata@senxgroup.com</t>
  </si>
  <si>
    <t>01-11-2025</t>
  </si>
  <si>
    <t>ธนะวัตร</t>
  </si>
  <si>
    <t>แพร่งสุวรรณ์</t>
  </si>
  <si>
    <t>เต้ย</t>
  </si>
  <si>
    <t>VMS660007</t>
  </si>
  <si>
    <t>17-04-2018</t>
  </si>
  <si>
    <t>ธนัช</t>
  </si>
  <si>
    <t>ชื่นโพธิ์</t>
  </si>
  <si>
    <t>tanatc@senxgroup.com</t>
  </si>
  <si>
    <t>VMS660047</t>
  </si>
  <si>
    <t>ธนัชชา</t>
  </si>
  <si>
    <t>วิจิตต์</t>
  </si>
  <si>
    <t>thanatchaw@senxgroup.com</t>
  </si>
  <si>
    <t>VMS680116</t>
  </si>
  <si>
    <t>ธนันณัฐ</t>
  </si>
  <si>
    <t>บ้านอภิวิโรจน์</t>
  </si>
  <si>
    <t>กาย</t>
  </si>
  <si>
    <t>thanunnatb@senxgroup.com</t>
  </si>
  <si>
    <t>VMS680188</t>
  </si>
  <si>
    <t>ธนัลกาญจน์</t>
  </si>
  <si>
    <t>ยสพันธ์</t>
  </si>
  <si>
    <t>เอื้อง</t>
  </si>
  <si>
    <t>thanankany@senxgroup.com</t>
  </si>
  <si>
    <t>VMS680295</t>
  </si>
  <si>
    <t>03-10-2025</t>
  </si>
  <si>
    <t>ธนา</t>
  </si>
  <si>
    <t>สารีวงศ์</t>
  </si>
  <si>
    <t>thanas@senxgroup.com</t>
  </si>
  <si>
    <t>VMS680326</t>
  </si>
  <si>
    <t>ธนาทร</t>
  </si>
  <si>
    <t>ปรีเปรม</t>
  </si>
  <si>
    <t>สตีฟ</t>
  </si>
  <si>
    <t>tanatornp@senxgroup.com</t>
  </si>
  <si>
    <t>VMS680029</t>
  </si>
  <si>
    <t>03-04-2024</t>
  </si>
  <si>
    <t>ธนาภรณ์</t>
  </si>
  <si>
    <t>กิจพรพาณิชย์</t>
  </si>
  <si>
    <t>แคท</t>
  </si>
  <si>
    <t>thanapornki@senxgroup.com</t>
  </si>
  <si>
    <t>เจ้าหน้าที่ประชาสัมพันธ์และบริการลูกค้า</t>
  </si>
  <si>
    <t>VMS640049</t>
  </si>
  <si>
    <t>08-11-2021</t>
  </si>
  <si>
    <t>ธวัชชัย</t>
  </si>
  <si>
    <t>โชติพูลผล</t>
  </si>
  <si>
    <t>ต้อม</t>
  </si>
  <si>
    <t>thawatchaic@senxgroup.com</t>
  </si>
  <si>
    <t>VMS680134</t>
  </si>
  <si>
    <t>ซอนลี</t>
  </si>
  <si>
    <t>ข้าวหอม</t>
  </si>
  <si>
    <t>thawatchais@senxgroup.com</t>
  </si>
  <si>
    <t>ธัชพล</t>
  </si>
  <si>
    <t>วังควิง</t>
  </si>
  <si>
    <t>บอล</t>
  </si>
  <si>
    <t>ฝ่ายบริหารนิติบุคคลหมู่บ้านจัดสรร (NON SENA)</t>
  </si>
  <si>
    <t>VMS680069</t>
  </si>
  <si>
    <t>ธัญ</t>
  </si>
  <si>
    <t>จิตตถาวร</t>
  </si>
  <si>
    <t>เบิร์ด</t>
  </si>
  <si>
    <t>thang@senxgroup.com</t>
  </si>
  <si>
    <t>VMS680252</t>
  </si>
  <si>
    <t>08-09-2025</t>
  </si>
  <si>
    <t>ธัญกวิน</t>
  </si>
  <si>
    <t>สมสีดา</t>
  </si>
  <si>
    <t>ใบเตย</t>
  </si>
  <si>
    <t>thunkawins@senxgroup.com</t>
  </si>
  <si>
    <t>VMS660093</t>
  </si>
  <si>
    <t>ธัญญ์ชนก</t>
  </si>
  <si>
    <t>มูลหา</t>
  </si>
  <si>
    <t>ฟาร์ม</t>
  </si>
  <si>
    <t>thunchanokm@senxgroup.com</t>
  </si>
  <si>
    <t>VMS660140</t>
  </si>
  <si>
    <t>13-11-2023</t>
  </si>
  <si>
    <t>ธันยากานต์</t>
  </si>
  <si>
    <t>นพวัฒน์ศิรกุล</t>
  </si>
  <si>
    <t>thunyakann@senxgroup.com</t>
  </si>
  <si>
    <t>VMS670362</t>
  </si>
  <si>
    <t>ธาวินี</t>
  </si>
  <si>
    <t>ท่าสะออน</t>
  </si>
  <si>
    <t>ธา</t>
  </si>
  <si>
    <t>thavineet@senxgroup.com</t>
  </si>
  <si>
    <t>VMS670243</t>
  </si>
  <si>
    <t>29-11-2023</t>
  </si>
  <si>
    <t>ธิดาพร</t>
  </si>
  <si>
    <t>สำลี</t>
  </si>
  <si>
    <t>tidaporns@senxgroup.com</t>
  </si>
  <si>
    <t>VMS670069</t>
  </si>
  <si>
    <t>03-07-2024</t>
  </si>
  <si>
    <t>ธิติพัทร์</t>
  </si>
  <si>
    <t>คงทอง</t>
  </si>
  <si>
    <t>เอ็ม</t>
  </si>
  <si>
    <t>thtiphatk@senxgroup.com</t>
  </si>
  <si>
    <t>VMS680371</t>
  </si>
  <si>
    <t>ธีรชัย</t>
  </si>
  <si>
    <t>แก้วใส</t>
  </si>
  <si>
    <t>สา</t>
  </si>
  <si>
    <t>teerachaik@senxgroup.com</t>
  </si>
  <si>
    <t>VMS680054</t>
  </si>
  <si>
    <t>10-02-2025</t>
  </si>
  <si>
    <t>ธีรภัทร</t>
  </si>
  <si>
    <t>กลั่นสุวรรณ</t>
  </si>
  <si>
    <t>อ๊อฟ</t>
  </si>
  <si>
    <t>terapatk@senxgroup.com</t>
  </si>
  <si>
    <t>VMS620009</t>
  </si>
  <si>
    <t>05-09-2011</t>
  </si>
  <si>
    <t>ธีรวัฒน์</t>
  </si>
  <si>
    <t>บัวขาว</t>
  </si>
  <si>
    <t>เป๊ก</t>
  </si>
  <si>
    <t>theeravathb@senxgroup.com</t>
  </si>
  <si>
    <t>ธีรวุฒิ</t>
  </si>
  <si>
    <t>ยืนยาว</t>
  </si>
  <si>
    <t>VMS680283</t>
  </si>
  <si>
    <t>ธีราทร</t>
  </si>
  <si>
    <t>เนื่องนิมมาน</t>
  </si>
  <si>
    <t>ตูน</t>
  </si>
  <si>
    <t>teeratornn@senxgroup.com</t>
  </si>
  <si>
    <t>19-06-2023</t>
  </si>
  <si>
    <t>ธีราภัทร</t>
  </si>
  <si>
    <t>เสาศิลา</t>
  </si>
  <si>
    <t>เบล</t>
  </si>
  <si>
    <t>ธีรินทร์</t>
  </si>
  <si>
    <t>ประทุมโต</t>
  </si>
  <si>
    <t>บอม</t>
  </si>
  <si>
    <t>VMS640039</t>
  </si>
  <si>
    <t>04-10-2021</t>
  </si>
  <si>
    <t>นครินทร์</t>
  </si>
  <si>
    <t>สุทธิเสริม</t>
  </si>
  <si>
    <t>กุ๊ก</t>
  </si>
  <si>
    <t>nakarins@senxgroup.com</t>
  </si>
  <si>
    <t>VMS680302</t>
  </si>
  <si>
    <t>กัณหา</t>
  </si>
  <si>
    <t>สนุ๊ก</t>
  </si>
  <si>
    <t>nakarink@senxgroup.com</t>
  </si>
  <si>
    <t>VMS680207</t>
  </si>
  <si>
    <t>01-08-2025</t>
  </si>
  <si>
    <t>ภาลีขันธ</t>
  </si>
  <si>
    <t>วาน</t>
  </si>
  <si>
    <t>nakharinp@senxgroup.com</t>
  </si>
  <si>
    <t>VMS670181</t>
  </si>
  <si>
    <t>01-11-2021</t>
  </si>
  <si>
    <t>นพดล</t>
  </si>
  <si>
    <t>เหมสันต์</t>
  </si>
  <si>
    <t>nopphadonh@senxgroup.com</t>
  </si>
  <si>
    <t>นพพล</t>
  </si>
  <si>
    <t>สีปานะ</t>
  </si>
  <si>
    <t>พล</t>
  </si>
  <si>
    <t>นพมาศ</t>
  </si>
  <si>
    <t>พิณทมร</t>
  </si>
  <si>
    <t>วันใหม่</t>
  </si>
  <si>
    <t>VMS640036</t>
  </si>
  <si>
    <t>23-08-2021</t>
  </si>
  <si>
    <t>มีเย็น</t>
  </si>
  <si>
    <t>โอ๋</t>
  </si>
  <si>
    <t>naphatme@senxgroup.com</t>
  </si>
  <si>
    <t>VMS680001</t>
  </si>
  <si>
    <t>นภัสนันท์</t>
  </si>
  <si>
    <t>วิเศษ</t>
  </si>
  <si>
    <t>แพท</t>
  </si>
  <si>
    <t>napassananw@senxgroup.com</t>
  </si>
  <si>
    <t>VMS620017</t>
  </si>
  <si>
    <t>10-01-2014</t>
  </si>
  <si>
    <t>นรินทร์</t>
  </si>
  <si>
    <t>ทวีบุตร</t>
  </si>
  <si>
    <t>เบนซ์</t>
  </si>
  <si>
    <t>narint@senxgroup.com</t>
  </si>
  <si>
    <t>VMS620005</t>
  </si>
  <si>
    <t>03-03-2011</t>
  </si>
  <si>
    <t>ขันทะชา</t>
  </si>
  <si>
    <t>narink@senxgroup.com</t>
  </si>
  <si>
    <t>VMS680092</t>
  </si>
  <si>
    <t>นริศรา</t>
  </si>
  <si>
    <t>แอ๋ม</t>
  </si>
  <si>
    <t>narisarap@senxgroup.com</t>
  </si>
  <si>
    <t>VMS640038</t>
  </si>
  <si>
    <t>20-09-2021</t>
  </si>
  <si>
    <t>นฤเบศร์</t>
  </si>
  <si>
    <t>พงษ์ศรี</t>
  </si>
  <si>
    <t>narubestp@senxgroup.com</t>
  </si>
  <si>
    <t>VMS660072</t>
  </si>
  <si>
    <t>นวมินทร์</t>
  </si>
  <si>
    <t>บุญอิ่ม</t>
  </si>
  <si>
    <t>โนส</t>
  </si>
  <si>
    <t>navaminb@Senxgroup.com</t>
  </si>
  <si>
    <t>นวศรณ์</t>
  </si>
  <si>
    <t>สุดสม</t>
  </si>
  <si>
    <t>VMS670224</t>
  </si>
  <si>
    <t>26-09-2022</t>
  </si>
  <si>
    <t>นัฐพงค์</t>
  </si>
  <si>
    <t>ถาคำ</t>
  </si>
  <si>
    <t>กล้า</t>
  </si>
  <si>
    <t>nathtapongt@senxgroup.com</t>
  </si>
  <si>
    <t>นัฐพล</t>
  </si>
  <si>
    <t>สุขขะ</t>
  </si>
  <si>
    <t>โบ้</t>
  </si>
  <si>
    <t>VMS680038</t>
  </si>
  <si>
    <t>03-02-2025</t>
  </si>
  <si>
    <t>นัทธ์ชวัล</t>
  </si>
  <si>
    <t>เจนสาริกิจ</t>
  </si>
  <si>
    <t>natchawanj@senxgroup.com</t>
  </si>
  <si>
    <t>VMS680333</t>
  </si>
  <si>
    <t>นันทกานต์</t>
  </si>
  <si>
    <t>ก้องสนั่น</t>
  </si>
  <si>
    <t>จิว</t>
  </si>
  <si>
    <t>nantakrank@senxgroup.com</t>
  </si>
  <si>
    <t>VMS680043</t>
  </si>
  <si>
    <t>นันทพร</t>
  </si>
  <si>
    <t>ชื่นอนุกูล</t>
  </si>
  <si>
    <t>nantapornc@senxgroup.com</t>
  </si>
  <si>
    <t>VMS680322</t>
  </si>
  <si>
    <t>นันธวุฒิ</t>
  </si>
  <si>
    <t>มั่นชัย</t>
  </si>
  <si>
    <t>ป๊อบ</t>
  </si>
  <si>
    <t>nanthawutm@senxgroup.com</t>
  </si>
  <si>
    <t>08-04-2025</t>
  </si>
  <si>
    <t>นาธาน</t>
  </si>
  <si>
    <t>สาเฮาะ</t>
  </si>
  <si>
    <t>VMS680277</t>
  </si>
  <si>
    <t>17-09-2025</t>
  </si>
  <si>
    <t>นาวี</t>
  </si>
  <si>
    <t>ศรีแพร</t>
  </si>
  <si>
    <t>จ๊อบ</t>
  </si>
  <si>
    <t>nawees@senxgroup.com</t>
  </si>
  <si>
    <t>VMS670381</t>
  </si>
  <si>
    <t>น้ำมนต์</t>
  </si>
  <si>
    <t>พวงมะโหด</t>
  </si>
  <si>
    <t>มนต์</t>
  </si>
  <si>
    <t>nammonp@senxgroup.com</t>
  </si>
  <si>
    <t>VMS680262</t>
  </si>
  <si>
    <t>นิชานันท์</t>
  </si>
  <si>
    <t>หมายชัย</t>
  </si>
  <si>
    <t>เจ</t>
  </si>
  <si>
    <t>nichananm@senxgroup.com</t>
  </si>
  <si>
    <t>สิทธิวรลักษณ์</t>
  </si>
  <si>
    <t>VMS640002</t>
  </si>
  <si>
    <t>นิฎฐา</t>
  </si>
  <si>
    <t>nitthap@Senxgroup.com</t>
  </si>
  <si>
    <t>VMS680288</t>
  </si>
  <si>
    <t>นิศาชล</t>
  </si>
  <si>
    <t>ธีรสิทธิ์</t>
  </si>
  <si>
    <t>บี</t>
  </si>
  <si>
    <t>nisachont@senxgroup.com</t>
  </si>
  <si>
    <t>VMS680228</t>
  </si>
  <si>
    <t>11-08-2025</t>
  </si>
  <si>
    <t>นุศรา</t>
  </si>
  <si>
    <t>จันทร์พรหม</t>
  </si>
  <si>
    <t>นุช</t>
  </si>
  <si>
    <t>nudcharac@senxgroup.com</t>
  </si>
  <si>
    <t>VMS680362</t>
  </si>
  <si>
    <t>09-12-2025</t>
  </si>
  <si>
    <t>ไนยชน</t>
  </si>
  <si>
    <t>คำมาก</t>
  </si>
  <si>
    <t>ไนท์</t>
  </si>
  <si>
    <t>naiyachonk@senxgroup.com</t>
  </si>
  <si>
    <t>VMS680104</t>
  </si>
  <si>
    <t>บวรวิช</t>
  </si>
  <si>
    <t>บุญใจใหญ่</t>
  </si>
  <si>
    <t>ไทเกอร์</t>
  </si>
  <si>
    <t>bowonwichb@senxgroup.com</t>
  </si>
  <si>
    <t>VMS680341</t>
  </si>
  <si>
    <t>05-11-2025</t>
  </si>
  <si>
    <t>บุญจันทร์</t>
  </si>
  <si>
    <t>เหล่ารัตน์</t>
  </si>
  <si>
    <t>boonjanl@senxgroup.com</t>
  </si>
  <si>
    <t>17-06-2024</t>
  </si>
  <si>
    <t>บุญเรือง</t>
  </si>
  <si>
    <t>บุญเลิศ</t>
  </si>
  <si>
    <t>VMS620029</t>
  </si>
  <si>
    <t>18-05-2015</t>
  </si>
  <si>
    <t>มูลลม่อม</t>
  </si>
  <si>
    <t>pakornm@senxgroup.com</t>
  </si>
  <si>
    <t>VMS680067</t>
  </si>
  <si>
    <t>ปฎิภาณ</t>
  </si>
  <si>
    <t>ศรียันต์</t>
  </si>
  <si>
    <t>patipans@senxgroup.com</t>
  </si>
  <si>
    <t>ปฐมพงษ์</t>
  </si>
  <si>
    <t>ด้วงนิล</t>
  </si>
  <si>
    <t>แจ๊ค</t>
  </si>
  <si>
    <t>VMS680355</t>
  </si>
  <si>
    <t>18-12-2025</t>
  </si>
  <si>
    <t>ปณิตา</t>
  </si>
  <si>
    <t>ทองมหา</t>
  </si>
  <si>
    <t>panitat@senxgroup.com</t>
  </si>
  <si>
    <t>VMS680353</t>
  </si>
  <si>
    <t>ปนัดดา</t>
  </si>
  <si>
    <t>ลีลาวุธาภรณ์</t>
  </si>
  <si>
    <t>มายด์</t>
  </si>
  <si>
    <t>panatdal@senxgroup.com</t>
  </si>
  <si>
    <t>15-10-2019</t>
  </si>
  <si>
    <t>อยู่แขก</t>
  </si>
  <si>
    <t>ตา</t>
  </si>
  <si>
    <t>VMS670411</t>
  </si>
  <si>
    <t>ปภัสสร</t>
  </si>
  <si>
    <t>ทับขุนทด</t>
  </si>
  <si>
    <t>แอม</t>
  </si>
  <si>
    <t>papassornt@senxgroup.com</t>
  </si>
  <si>
    <t>VMS680337</t>
  </si>
  <si>
    <t>ปภาดา</t>
  </si>
  <si>
    <t>ฉ่ำเสาวรส</t>
  </si>
  <si>
    <t>paphadac@senxgroup.com</t>
  </si>
  <si>
    <t>17-09-2019</t>
  </si>
  <si>
    <t>ปภาวรินท์</t>
  </si>
  <si>
    <t>โภคาพิพัฒน์</t>
  </si>
  <si>
    <t>ชมพู่</t>
  </si>
  <si>
    <t>VMS680098</t>
  </si>
  <si>
    <t>ขำเนตร</t>
  </si>
  <si>
    <t>ป๋อมแป๋ม</t>
  </si>
  <si>
    <t>papavarink@senxgroup.com</t>
  </si>
  <si>
    <t>VMS680311</t>
  </si>
  <si>
    <t>06-10-2025</t>
  </si>
  <si>
    <t>ประดิษฐ์</t>
  </si>
  <si>
    <t>ศรีสุุข</t>
  </si>
  <si>
    <t>แก่น</t>
  </si>
  <si>
    <t>VMS680048</t>
  </si>
  <si>
    <t>ประทีป</t>
  </si>
  <si>
    <t>เวทไธสง</t>
  </si>
  <si>
    <t>ตุ๊ก</t>
  </si>
  <si>
    <t>pratepw@senxgroup.com</t>
  </si>
  <si>
    <t>VMS680270</t>
  </si>
  <si>
    <t>ประภาพร</t>
  </si>
  <si>
    <t>วรรณคำ</t>
  </si>
  <si>
    <t>prapapornw@senxgroup.com</t>
  </si>
  <si>
    <t>VMS680066</t>
  </si>
  <si>
    <t>ประสิทธิ์</t>
  </si>
  <si>
    <t>มิสเล็ม</t>
  </si>
  <si>
    <t>prasitm@senxgroup.com</t>
  </si>
  <si>
    <t>VMS680251</t>
  </si>
  <si>
    <t>พร้อมมูล</t>
  </si>
  <si>
    <t>จั๊บ</t>
  </si>
  <si>
    <t>pratchayap@senxgroup.com</t>
  </si>
  <si>
    <t>VMS660068</t>
  </si>
  <si>
    <t>ปริญญา</t>
  </si>
  <si>
    <t>นพคุณ</t>
  </si>
  <si>
    <t>ตั๊ก</t>
  </si>
  <si>
    <t>parinyan@Senxgroup.com</t>
  </si>
  <si>
    <t>ปริทรรศ์</t>
  </si>
  <si>
    <t>โพธิ์น้อยงาม</t>
  </si>
  <si>
    <t>VMS670174</t>
  </si>
  <si>
    <t>26-12-2015</t>
  </si>
  <si>
    <t>ปริยาภรณ์</t>
  </si>
  <si>
    <t>โลมสนธิ</t>
  </si>
  <si>
    <t>บุ๋ม</t>
  </si>
  <si>
    <t>pariyapornl@senxgroup.com</t>
  </si>
  <si>
    <t>VMS620050</t>
  </si>
  <si>
    <t>04-01-2017</t>
  </si>
  <si>
    <t>ปรีชา</t>
  </si>
  <si>
    <t>หมีโชติ</t>
  </si>
  <si>
    <t>preecham@senxgroup.com</t>
  </si>
  <si>
    <t>VMS680063</t>
  </si>
  <si>
    <t>ปัญจมา</t>
  </si>
  <si>
    <t>นิลโอโล</t>
  </si>
  <si>
    <t>แซว</t>
  </si>
  <si>
    <t>panjaman@senxgroup.com</t>
  </si>
  <si>
    <t>VMS670386</t>
  </si>
  <si>
    <t>ปัญชลิกา</t>
  </si>
  <si>
    <t>กินโกฎ</t>
  </si>
  <si>
    <t>มีนา</t>
  </si>
  <si>
    <t>panchalikak@senxgroup.com</t>
  </si>
  <si>
    <t>18-04-2017</t>
  </si>
  <si>
    <t>ปัตมา</t>
  </si>
  <si>
    <t>วงษ์วรแสง</t>
  </si>
  <si>
    <t>เจ้าหน้าที่ธุรการอาวุโส</t>
  </si>
  <si>
    <t>VMS670191</t>
  </si>
  <si>
    <t>22-04-2019</t>
  </si>
  <si>
    <t>ปัทมา</t>
  </si>
  <si>
    <t>เพชรแย้ม</t>
  </si>
  <si>
    <t>Pattamap@senxgroup.com</t>
  </si>
  <si>
    <t>ปาริตา</t>
  </si>
  <si>
    <t>จันทร์ปา</t>
  </si>
  <si>
    <t>ริตา</t>
  </si>
  <si>
    <t>VMS680163</t>
  </si>
  <si>
    <t>ปิยธร</t>
  </si>
  <si>
    <t>หนองผา</t>
  </si>
  <si>
    <t>piyatornn@senxgroup.com</t>
  </si>
  <si>
    <t>VMS670177</t>
  </si>
  <si>
    <t>25-06-2022</t>
  </si>
  <si>
    <t>ปุริม</t>
  </si>
  <si>
    <t>purinl@senxgroup.com</t>
  </si>
  <si>
    <t>VMS660116</t>
  </si>
  <si>
    <t>09-10-2023</t>
  </si>
  <si>
    <t>เปรมรัตน์</t>
  </si>
  <si>
    <t>แผนคง</t>
  </si>
  <si>
    <t>กิ๊ก</t>
  </si>
  <si>
    <t>premratp@senxgroup.com</t>
  </si>
  <si>
    <t>VMS670409</t>
  </si>
  <si>
    <t>พงศกร</t>
  </si>
  <si>
    <t>ทองอิ่ม</t>
  </si>
  <si>
    <t>อัท</t>
  </si>
  <si>
    <t>phongsakornt@senxgroup.com</t>
  </si>
  <si>
    <t>VMS660074</t>
  </si>
  <si>
    <t>24-07-2023</t>
  </si>
  <si>
    <t>พงษ์พิพัฒน์</t>
  </si>
  <si>
    <t>แสงด้วง</t>
  </si>
  <si>
    <t>อ๋อง</t>
  </si>
  <si>
    <t>Phongphiphats@senxgroup.com</t>
  </si>
  <si>
    <t>VMS680285</t>
  </si>
  <si>
    <t>พชรกฤต</t>
  </si>
  <si>
    <t>โพธิ์แพง</t>
  </si>
  <si>
    <t>ยัน</t>
  </si>
  <si>
    <t>phatcharakitp@senxgroup.com</t>
  </si>
  <si>
    <t>VMS670148</t>
  </si>
  <si>
    <t>10-10-2022</t>
  </si>
  <si>
    <t>พชรดนัย</t>
  </si>
  <si>
    <t>เอี่ยมพร้อม</t>
  </si>
  <si>
    <t>ไมค์</t>
  </si>
  <si>
    <t>patcharadanaii@senxgroup.com</t>
  </si>
  <si>
    <t>VMS670392</t>
  </si>
  <si>
    <t>พรณพา</t>
  </si>
  <si>
    <t>พรจตุรพรหม</t>
  </si>
  <si>
    <t>pornnapap@senxgroup.com</t>
  </si>
  <si>
    <t>VMS680099</t>
  </si>
  <si>
    <t>พรเทพ</t>
  </si>
  <si>
    <t>pornthepp@senxgroup.com</t>
  </si>
  <si>
    <t>VMS680291</t>
  </si>
  <si>
    <t>19-09-2025</t>
  </si>
  <si>
    <t>พรพรรณ</t>
  </si>
  <si>
    <t>อ่อนทรัพย์</t>
  </si>
  <si>
    <t>pornpuno@senxgroup.com</t>
  </si>
  <si>
    <t>พรพรหม</t>
  </si>
  <si>
    <t>ชาญชัย</t>
  </si>
  <si>
    <t>VMS680073</t>
  </si>
  <si>
    <t>พรพิมล</t>
  </si>
  <si>
    <t>ปนสระน้อย</t>
  </si>
  <si>
    <t>ปาว</t>
  </si>
  <si>
    <t>pornpimonp@senxgroup.com</t>
  </si>
  <si>
    <t>VMS680169</t>
  </si>
  <si>
    <t>พรอุมา</t>
  </si>
  <si>
    <t>ศิวการุณย์</t>
  </si>
  <si>
    <t>เต้</t>
  </si>
  <si>
    <t>pornumas@senxgroup.com</t>
  </si>
  <si>
    <t>14-02-2022</t>
  </si>
  <si>
    <t>พลศิษฎ์</t>
  </si>
  <si>
    <t>รัตนเกื้อกูลชัย</t>
  </si>
  <si>
    <t>คิว</t>
  </si>
  <si>
    <t>VMS660145</t>
  </si>
  <si>
    <t>06-12-2023</t>
  </si>
  <si>
    <t>พศิกา</t>
  </si>
  <si>
    <t>บุญส่ง</t>
  </si>
  <si>
    <t>ลูกหมู</t>
  </si>
  <si>
    <t>phasikab@senxgroup.com</t>
  </si>
  <si>
    <t>18-09-2023</t>
  </si>
  <si>
    <t>พะเยาว์</t>
  </si>
  <si>
    <t>พุทธสีมา</t>
  </si>
  <si>
    <t>เดี่ยว</t>
  </si>
  <si>
    <t>VMS670222</t>
  </si>
  <si>
    <t>พัชร</t>
  </si>
  <si>
    <t>โชติกวิรัชกิจ</t>
  </si>
  <si>
    <t>patcharac@senxgroup.com</t>
  </si>
  <si>
    <t>VMS680225</t>
  </si>
  <si>
    <t>คล้ายนาค</t>
  </si>
  <si>
    <t>patchareek@senxgroup.com</t>
  </si>
  <si>
    <t>VMS680309</t>
  </si>
  <si>
    <t>ผ่องฉวี</t>
  </si>
  <si>
    <t>patchareep@senxgroup.com</t>
  </si>
  <si>
    <t>VMS680168</t>
  </si>
  <si>
    <t>อินทวงษ์</t>
  </si>
  <si>
    <t>บลู</t>
  </si>
  <si>
    <t>patchareei@senxgroup.com</t>
  </si>
  <si>
    <t>VMS680256</t>
  </si>
  <si>
    <t>พัณณ์นิกา</t>
  </si>
  <si>
    <t>เสรีมโนลักษณ์</t>
  </si>
  <si>
    <t>จูหลิน</t>
  </si>
  <si>
    <t>phannikas@senxgroup.com</t>
  </si>
  <si>
    <t>VMS680185</t>
  </si>
  <si>
    <t>01-04-2024</t>
  </si>
  <si>
    <t>พานิภัค</t>
  </si>
  <si>
    <t>แสนวันนา</t>
  </si>
  <si>
    <t>พิชญาภา</t>
  </si>
  <si>
    <t>พรมประเสริฐ</t>
  </si>
  <si>
    <t>VMS670423</t>
  </si>
  <si>
    <t>พิทักษ์ศิลป์</t>
  </si>
  <si>
    <t>อาจวิชัย</t>
  </si>
  <si>
    <t>pitaksina@senxgroup.com</t>
  </si>
  <si>
    <t>VMS620172</t>
  </si>
  <si>
    <t>25-11-2019</t>
  </si>
  <si>
    <t>พิบูล</t>
  </si>
  <si>
    <t>ประทุมวัน</t>
  </si>
  <si>
    <t>บูล</t>
  </si>
  <si>
    <t>piboonp@senxgroup.com</t>
  </si>
  <si>
    <t>พิพัฒพงษ์</t>
  </si>
  <si>
    <t>ชัยสุวรรณ</t>
  </si>
  <si>
    <t>VMS660100</t>
  </si>
  <si>
    <t>11-09-2023</t>
  </si>
  <si>
    <t>พิพิธ</t>
  </si>
  <si>
    <t>สุวรรณจิตกุล</t>
  </si>
  <si>
    <t>pipits@senxgroup.com</t>
  </si>
  <si>
    <t>VMS680035</t>
  </si>
  <si>
    <t>12-06-2017</t>
  </si>
  <si>
    <t>พิมพิกา</t>
  </si>
  <si>
    <t>พงศ์พรรณภาณุ</t>
  </si>
  <si>
    <t>pimpikap@senxgroup.com</t>
  </si>
  <si>
    <t>VMS680114</t>
  </si>
  <si>
    <t>พิรดา</t>
  </si>
  <si>
    <t>วาธิคุณ</t>
  </si>
  <si>
    <t>piradaw@senxgroup.com</t>
  </si>
  <si>
    <t>พิษณุ</t>
  </si>
  <si>
    <t>นิลมณี</t>
  </si>
  <si>
    <t>นุ</t>
  </si>
  <si>
    <t>VMS680259</t>
  </si>
  <si>
    <t>พิสิฎฐ</t>
  </si>
  <si>
    <t>ทองทิว</t>
  </si>
  <si>
    <t>สิท</t>
  </si>
  <si>
    <t>phisitt@senxgroup.com</t>
  </si>
  <si>
    <t>VMS680100</t>
  </si>
  <si>
    <t>พิสิทธิ์</t>
  </si>
  <si>
    <t>เพ็ชรนิล</t>
  </si>
  <si>
    <t>pissitp@senxgroup.com</t>
  </si>
  <si>
    <t>13-04-2020</t>
  </si>
  <si>
    <t>พีรณัฐ</t>
  </si>
  <si>
    <t>ฐิตะโชติการ</t>
  </si>
  <si>
    <t>03-01-2024</t>
  </si>
  <si>
    <t>พีรพัฒน์</t>
  </si>
  <si>
    <t>อภัยพิพัฒน์</t>
  </si>
  <si>
    <t>โก้</t>
  </si>
  <si>
    <t>VMS680202</t>
  </si>
  <si>
    <t>พีรศีล</t>
  </si>
  <si>
    <t>กวินสังคม</t>
  </si>
  <si>
    <t>พี</t>
  </si>
  <si>
    <t>peerasilpk@senxgroup.com</t>
  </si>
  <si>
    <t>VMS660149</t>
  </si>
  <si>
    <t>27-11-2023</t>
  </si>
  <si>
    <t>พุฒภินันท์</t>
  </si>
  <si>
    <t>บุญเสริมสุวรรณ</t>
  </si>
  <si>
    <t>putpinanb@senxgroup.com</t>
  </si>
  <si>
    <t>VMS680209</t>
  </si>
  <si>
    <t>เพ็ญพรรณ</t>
  </si>
  <si>
    <t>จันทร์สวย</t>
  </si>
  <si>
    <t>phenphanch@senxgroup.com</t>
  </si>
  <si>
    <t>VMS680014</t>
  </si>
  <si>
    <t>ไพบูลย์</t>
  </si>
  <si>
    <t>paiboonpj@sexgroup.com</t>
  </si>
  <si>
    <t>ไพลิน</t>
  </si>
  <si>
    <t>เชื้อวงษ์</t>
  </si>
  <si>
    <t>ใบปอ</t>
  </si>
  <si>
    <t>VMS620123</t>
  </si>
  <si>
    <t>ภนาปกร</t>
  </si>
  <si>
    <t>ศรีประยูร</t>
  </si>
  <si>
    <t>ท๊อป</t>
  </si>
  <si>
    <t>phanapakorns@senxgroup.com</t>
  </si>
  <si>
    <t>VMS640025</t>
  </si>
  <si>
    <t>01-06-2021</t>
  </si>
  <si>
    <t>ภราดร</t>
  </si>
  <si>
    <t>มนต์อ่อน</t>
  </si>
  <si>
    <t>paradonm@senxgroup.com</t>
  </si>
  <si>
    <t>VMS670027</t>
  </si>
  <si>
    <t>ภวริศา</t>
  </si>
  <si>
    <t>ชุ่มกมลชาตรี</t>
  </si>
  <si>
    <t>phawarisac@senxgroup.com</t>
  </si>
  <si>
    <t>VMS620033</t>
  </si>
  <si>
    <t>01-03-2016</t>
  </si>
  <si>
    <t>ภัควรรธน์</t>
  </si>
  <si>
    <t>ธนเปี่ยมพัฒน์</t>
  </si>
  <si>
    <t>pakkawatt@senxgroup.com</t>
  </si>
  <si>
    <t>VMS670113</t>
  </si>
  <si>
    <t>09-01-2016</t>
  </si>
  <si>
    <t>ภัคศรัณย์ภรณ์</t>
  </si>
  <si>
    <t>แดงศิริรัตน์</t>
  </si>
  <si>
    <t>phaksaranphond@senxgroup.com</t>
  </si>
  <si>
    <t>ภัทรพล</t>
  </si>
  <si>
    <t>ฉิมสุวรรณ</t>
  </si>
  <si>
    <t>VMS670293</t>
  </si>
  <si>
    <t>ภัทราวรินทร์</t>
  </si>
  <si>
    <t>รอดพ้นภัย</t>
  </si>
  <si>
    <t>pattaravrinr@senxgroup.com</t>
  </si>
  <si>
    <t>VMS680271</t>
  </si>
  <si>
    <t>16-09-2025</t>
  </si>
  <si>
    <t>ภัสสริญญา</t>
  </si>
  <si>
    <t>พุ่มพวง</t>
  </si>
  <si>
    <t>ภัส</t>
  </si>
  <si>
    <t>patsarinyap@senxgroup.com</t>
  </si>
  <si>
    <t>VMS670152</t>
  </si>
  <si>
    <t>15-03-2024</t>
  </si>
  <si>
    <t>ภาณุพงศ์</t>
  </si>
  <si>
    <t>คงมณีพันธ์</t>
  </si>
  <si>
    <t>อาเลน</t>
  </si>
  <si>
    <t>phanuphongk@senxgroup.com</t>
  </si>
  <si>
    <t>VMS680196</t>
  </si>
  <si>
    <t>ภานุพงศ์</t>
  </si>
  <si>
    <t>สุขหน้าไม้</t>
  </si>
  <si>
    <t>panupongs@senxgroup.com</t>
  </si>
  <si>
    <t>VMS660117</t>
  </si>
  <si>
    <t>ภานุวัฒน์</t>
  </si>
  <si>
    <t>ธิจร</t>
  </si>
  <si>
    <t>โบ๊ท</t>
  </si>
  <si>
    <t>phanuwatt@senxgroup.com</t>
  </si>
  <si>
    <t>VMS680191</t>
  </si>
  <si>
    <t>กลัดกลีบ</t>
  </si>
  <si>
    <t>เกมส์</t>
  </si>
  <si>
    <t>panuwatk@senxgroup.com</t>
  </si>
  <si>
    <t>VMS650089</t>
  </si>
  <si>
    <t>19-09-2022</t>
  </si>
  <si>
    <t>ภาวิณีพร</t>
  </si>
  <si>
    <t>แดงบัวจิรโรจน์</t>
  </si>
  <si>
    <t>pawineepornd@senxgroup.com</t>
  </si>
  <si>
    <t>VMS670255</t>
  </si>
  <si>
    <t>14-06-2023</t>
  </si>
  <si>
    <t>ภูมิ</t>
  </si>
  <si>
    <t>ศรีสุวรรณ</t>
  </si>
  <si>
    <t>pooms@senxgroup.com</t>
  </si>
  <si>
    <t>VMS680064</t>
  </si>
  <si>
    <t>ภูริพัฒน์</t>
  </si>
  <si>
    <t>พวงสมบัติ</t>
  </si>
  <si>
    <t>phuripatp@senxgroup.com</t>
  </si>
  <si>
    <t>VMS680176</t>
  </si>
  <si>
    <t>ภูวณัฏฐ์</t>
  </si>
  <si>
    <t>ศรีนภาวรรณ</t>
  </si>
  <si>
    <t>แบงค์</t>
  </si>
  <si>
    <t>phuwanas@senxgroup.com</t>
  </si>
  <si>
    <t>17-07-2024</t>
  </si>
  <si>
    <t>ภูวนารถ</t>
  </si>
  <si>
    <t>น้อยจันทร์</t>
  </si>
  <si>
    <t>ภูวสิษฏ์</t>
  </si>
  <si>
    <t>ดอกจันทร์</t>
  </si>
  <si>
    <t>สิงห์</t>
  </si>
  <si>
    <t>SX680008</t>
  </si>
  <si>
    <t>VMS670299</t>
  </si>
  <si>
    <t>มณฑล</t>
  </si>
  <si>
    <t>monthonp@senxgroup.com</t>
  </si>
  <si>
    <t>VMS680324</t>
  </si>
  <si>
    <t>มณทิวา</t>
  </si>
  <si>
    <t>สินภักดิ์</t>
  </si>
  <si>
    <t>โม</t>
  </si>
  <si>
    <t>monthiwas@senxgroup.com</t>
  </si>
  <si>
    <t>มณลิชา</t>
  </si>
  <si>
    <t>สามวัง</t>
  </si>
  <si>
    <t>03-10-2022</t>
  </si>
  <si>
    <t>มณีรัตน์</t>
  </si>
  <si>
    <t>ภูจักนิล</t>
  </si>
  <si>
    <t>มัท</t>
  </si>
  <si>
    <t>VMS670147</t>
  </si>
  <si>
    <t>มนตรี</t>
  </si>
  <si>
    <t>ภูชมศรี</t>
  </si>
  <si>
    <t>แต๊ก</t>
  </si>
  <si>
    <t>montreep@senxgroup.com</t>
  </si>
  <si>
    <t>VMS680060</t>
  </si>
  <si>
    <t>พัลวัล</t>
  </si>
  <si>
    <t>เชน</t>
  </si>
  <si>
    <t>montreepa@senxgroup.com</t>
  </si>
  <si>
    <t>VMS670119</t>
  </si>
  <si>
    <t>03-03-2023</t>
  </si>
  <si>
    <t>มานะชัย</t>
  </si>
  <si>
    <t>ทัศจันทร์</t>
  </si>
  <si>
    <t>ปุ้ม</t>
  </si>
  <si>
    <t>manachait@senxgroup.com</t>
  </si>
  <si>
    <t>VMS630005</t>
  </si>
  <si>
    <t>มาริษา</t>
  </si>
  <si>
    <t>ตันเจริญรัตน์</t>
  </si>
  <si>
    <t>แต๋น</t>
  </si>
  <si>
    <t>marisat@senxgroup.com</t>
  </si>
  <si>
    <t>19-03-2024</t>
  </si>
  <si>
    <t>เมธาสิทธิ์</t>
  </si>
  <si>
    <t>ถาปันแก้ว</t>
  </si>
  <si>
    <t>VMS660136</t>
  </si>
  <si>
    <t>เมธิศา</t>
  </si>
  <si>
    <t>ขันมณี</t>
  </si>
  <si>
    <t>methisak@senxgroup.com</t>
  </si>
  <si>
    <t>VMS650138</t>
  </si>
  <si>
    <t>ยศวัฒน์</t>
  </si>
  <si>
    <t>ศิริรักษ์รวิกุล</t>
  </si>
  <si>
    <t>อั้ม</t>
  </si>
  <si>
    <t>yodsawads@senxgroup.com</t>
  </si>
  <si>
    <t>VMS680276</t>
  </si>
  <si>
    <t>เยาวพา</t>
  </si>
  <si>
    <t>มนต์ทอง</t>
  </si>
  <si>
    <t>ม่อน</t>
  </si>
  <si>
    <t>yaowapam@senxgroup.com</t>
  </si>
  <si>
    <t>VMS670100</t>
  </si>
  <si>
    <t>รพีพรรณ</t>
  </si>
  <si>
    <t>เข็มเมือง</t>
  </si>
  <si>
    <t>rapeepank@senxgroup.com</t>
  </si>
  <si>
    <t>รวีโรจน์</t>
  </si>
  <si>
    <t>สามบุญญาณ</t>
  </si>
  <si>
    <t>ปาล์ม</t>
  </si>
  <si>
    <t>VMS670123</t>
  </si>
  <si>
    <t>21-04-2023</t>
  </si>
  <si>
    <t>รสสุคนธุ์</t>
  </si>
  <si>
    <t>เลขะวิจิตเลิศศ</t>
  </si>
  <si>
    <t>rodsukonl@senxgroup.com</t>
  </si>
  <si>
    <t>VMS680212</t>
  </si>
  <si>
    <t>รัชชานนท์</t>
  </si>
  <si>
    <t>ใจมล</t>
  </si>
  <si>
    <t>ratchanonc@senxgroup.com</t>
  </si>
  <si>
    <t>VMS660114</t>
  </si>
  <si>
    <t>รัฎชา</t>
  </si>
  <si>
    <t>เจริญสม</t>
  </si>
  <si>
    <t>ข้าว</t>
  </si>
  <si>
    <t>ratchac@senxgroup.com</t>
  </si>
  <si>
    <t>VMS670029</t>
  </si>
  <si>
    <t>รัฐติพงษ์</t>
  </si>
  <si>
    <t>เจริญไวย์</t>
  </si>
  <si>
    <t>กอต</t>
  </si>
  <si>
    <t>rattipongj@senxgroup.com</t>
  </si>
  <si>
    <t>VMS670226</t>
  </si>
  <si>
    <t>26-08-2022</t>
  </si>
  <si>
    <t>รัตนชฎาภรณ์</t>
  </si>
  <si>
    <t>เมตุลา</t>
  </si>
  <si>
    <t>rattanachadaponm@senxgroup.com</t>
  </si>
  <si>
    <t>รัตนชัย</t>
  </si>
  <si>
    <t>พลช่วย</t>
  </si>
  <si>
    <t>บาส</t>
  </si>
  <si>
    <t>รุ่งนภา</t>
  </si>
  <si>
    <t>ชุมสมภาร</t>
  </si>
  <si>
    <t>เก่ง</t>
  </si>
  <si>
    <t>รุ่งอรุณ</t>
  </si>
  <si>
    <t>บุญป้อง</t>
  </si>
  <si>
    <t>หนูแดง</t>
  </si>
  <si>
    <t>VMS670144</t>
  </si>
  <si>
    <t>ไชยวงค์ศรี</t>
  </si>
  <si>
    <t>lalitac@senxgroup.com</t>
  </si>
  <si>
    <t>VMS670192</t>
  </si>
  <si>
    <t>01-11-2019</t>
  </si>
  <si>
    <t>ลักษิกา</t>
  </si>
  <si>
    <t>จันสายทอง</t>
  </si>
  <si>
    <t>จ๋า</t>
  </si>
  <si>
    <t>lucksikat@senxgroup.com</t>
  </si>
  <si>
    <t>วรโชติ</t>
  </si>
  <si>
    <t>เขียวน้อย</t>
  </si>
  <si>
    <t>VMS670403</t>
  </si>
  <si>
    <t>วรรณชัย</t>
  </si>
  <si>
    <t>ผลาไสย์</t>
  </si>
  <si>
    <t>ตุ้ย</t>
  </si>
  <si>
    <t>wannachaip@senxgroup.com</t>
  </si>
  <si>
    <t>วรรณรัตน์</t>
  </si>
  <si>
    <t>สุวรรณ</t>
  </si>
  <si>
    <t>หยก</t>
  </si>
  <si>
    <t>27-05-2024</t>
  </si>
  <si>
    <t>วรรณวรางค์</t>
  </si>
  <si>
    <t>สว่างเนตร</t>
  </si>
  <si>
    <t>VMS680039</t>
  </si>
  <si>
    <t>วรรณวิภา</t>
  </si>
  <si>
    <t>พรเจริญ</t>
  </si>
  <si>
    <t>wanwiphap@senxgroup.com</t>
  </si>
  <si>
    <t>VMS680017</t>
  </si>
  <si>
    <t>วรรธนะ</t>
  </si>
  <si>
    <t>เดชอำนวย</t>
  </si>
  <si>
    <t>เดียร์</t>
  </si>
  <si>
    <t>wantanadj@sexgroup.com</t>
  </si>
  <si>
    <t>VMS680373</t>
  </si>
  <si>
    <t>วรวงษ์</t>
  </si>
  <si>
    <t>คามวัลย์</t>
  </si>
  <si>
    <t>เต๋า</t>
  </si>
  <si>
    <t>worawongk@senxgroup.com</t>
  </si>
  <si>
    <t>วรวิทย์</t>
  </si>
  <si>
    <t>กุ้ยบำรุง</t>
  </si>
  <si>
    <t>VMS680160</t>
  </si>
  <si>
    <t>วรวุฒิ</t>
  </si>
  <si>
    <t>ศิโรดมวิวัฒน์</t>
  </si>
  <si>
    <t>worawutsi@senxgroup.com</t>
  </si>
  <si>
    <t>VMS650017</t>
  </si>
  <si>
    <t>04-04-2022</t>
  </si>
  <si>
    <t>ศรีนวลจันทร์</t>
  </si>
  <si>
    <t>worrawuts@senxgroup.com</t>
  </si>
  <si>
    <t>VMS670344</t>
  </si>
  <si>
    <t>สายวรณ์</t>
  </si>
  <si>
    <t>วุฒิ</t>
  </si>
  <si>
    <t>worawuts@senxgroup.com</t>
  </si>
  <si>
    <t>วริศรา</t>
  </si>
  <si>
    <t>เลื่องลือวุฒิ</t>
  </si>
  <si>
    <t>VMS680208</t>
  </si>
  <si>
    <t>โตสวัสดิ์</t>
  </si>
  <si>
    <t>waritsarat@senxgroup.com</t>
  </si>
  <si>
    <t>VMS670112</t>
  </si>
  <si>
    <t>วัชรพงษ์</t>
  </si>
  <si>
    <t>ชูรัตน์</t>
  </si>
  <si>
    <t>watcharaphongc@senxgroup.com</t>
  </si>
  <si>
    <t>VMS680226</t>
  </si>
  <si>
    <t>วัชรพล</t>
  </si>
  <si>
    <t>หลอดทอง</t>
  </si>
  <si>
    <t>โดม</t>
  </si>
  <si>
    <t>watcharaphonl@senxgroup.com</t>
  </si>
  <si>
    <t>VMS670006</t>
  </si>
  <si>
    <t>22-01-2024</t>
  </si>
  <si>
    <t>วัชราภรณ์</t>
  </si>
  <si>
    <t>ไพยเสน</t>
  </si>
  <si>
    <t>กุ๊กไก่</t>
  </si>
  <si>
    <t>watcharapornp@senxgroup.com</t>
  </si>
  <si>
    <t>VMS680198</t>
  </si>
  <si>
    <t>วัชรินทร์</t>
  </si>
  <si>
    <t>กองพลสวัสดิ์</t>
  </si>
  <si>
    <t>watcharing@senxgroup.com</t>
  </si>
  <si>
    <t>VMS640047</t>
  </si>
  <si>
    <t>จ.ส.อ.</t>
  </si>
  <si>
    <t>วัฒนา</t>
  </si>
  <si>
    <t>ก่ำเชียงคำ</t>
  </si>
  <si>
    <t>watthanak@senxgroup.com</t>
  </si>
  <si>
    <t>VMS660125</t>
  </si>
  <si>
    <t>สุรคุปต์</t>
  </si>
  <si>
    <t>ตี๋</t>
  </si>
  <si>
    <t>wattanas@senxgroup.com</t>
  </si>
  <si>
    <t>วันชัย</t>
  </si>
  <si>
    <t>สิงห์ปรีชา</t>
  </si>
  <si>
    <t>วัน</t>
  </si>
  <si>
    <t>VMS620037</t>
  </si>
  <si>
    <t>03-05-2016</t>
  </si>
  <si>
    <t>วันวิสา</t>
  </si>
  <si>
    <t>ไหลงาม</t>
  </si>
  <si>
    <t>wanwisal@Senxgroup.com</t>
  </si>
  <si>
    <t>VMS680032</t>
  </si>
  <si>
    <t>15-04-2020</t>
  </si>
  <si>
    <t>วัยวุฒิ</t>
  </si>
  <si>
    <t>ศรีจันทร์</t>
  </si>
  <si>
    <t>waiwutis@senxgroup.com</t>
  </si>
  <si>
    <t>VMS620019</t>
  </si>
  <si>
    <t>16-04-2014</t>
  </si>
  <si>
    <t>วารุณี</t>
  </si>
  <si>
    <t>ลือชา</t>
  </si>
  <si>
    <t>waruneel@Senxgroup.com</t>
  </si>
  <si>
    <t>VMS680321</t>
  </si>
  <si>
    <t>ปิจคำ</t>
  </si>
  <si>
    <t>เอมมี่</t>
  </si>
  <si>
    <t>waruneep@senxgroup.com</t>
  </si>
  <si>
    <t>16-12-2024</t>
  </si>
  <si>
    <t>วาสนา</t>
  </si>
  <si>
    <t>กิมขุนทด</t>
  </si>
  <si>
    <t>วาส</t>
  </si>
  <si>
    <t>VMS670290</t>
  </si>
  <si>
    <t>พิทักษ์</t>
  </si>
  <si>
    <t>watsanap@senxgroup.com</t>
  </si>
  <si>
    <t>VMS670171</t>
  </si>
  <si>
    <t>02-12-2019</t>
  </si>
  <si>
    <t>วิชญา</t>
  </si>
  <si>
    <t>บันเชิด</t>
  </si>
  <si>
    <t>witchayarb@senxgroup.com</t>
  </si>
  <si>
    <t>VMS670048</t>
  </si>
  <si>
    <t>วิชัย</t>
  </si>
  <si>
    <t>สกุลตะริโส</t>
  </si>
  <si>
    <t>wichais@senxgroup.com</t>
  </si>
  <si>
    <t>VMS620087</t>
  </si>
  <si>
    <t>09-07-2018</t>
  </si>
  <si>
    <t>วิชัยยุทธ</t>
  </si>
  <si>
    <t>โคตรภูธร</t>
  </si>
  <si>
    <t>wichaiyutk@senxgroup.com</t>
  </si>
  <si>
    <t>VMS670368</t>
  </si>
  <si>
    <t>วิชุดา</t>
  </si>
  <si>
    <t>กาซาง</t>
  </si>
  <si>
    <t>wichudak@senxgroup.com</t>
  </si>
  <si>
    <t>VMS620012</t>
  </si>
  <si>
    <t>02-07-2012</t>
  </si>
  <si>
    <t>วิไชย</t>
  </si>
  <si>
    <t>แก้วมาก</t>
  </si>
  <si>
    <t>ชัย</t>
  </si>
  <si>
    <t>vichaik@Senxgroup.com</t>
  </si>
  <si>
    <t>14-09-2022</t>
  </si>
  <si>
    <t>วิณัฐ</t>
  </si>
  <si>
    <t>โภคา</t>
  </si>
  <si>
    <t>เบญ</t>
  </si>
  <si>
    <t>VMS660043</t>
  </si>
  <si>
    <t>วิทยา</t>
  </si>
  <si>
    <t>กิตติพาณิชกุล</t>
  </si>
  <si>
    <t>จูน</t>
  </si>
  <si>
    <t>vittayak@senxgroup.com</t>
  </si>
  <si>
    <t>VMS680010</t>
  </si>
  <si>
    <t>06-01-2025</t>
  </si>
  <si>
    <t>วิทวัส</t>
  </si>
  <si>
    <t>ดีใจยิ้ม</t>
  </si>
  <si>
    <t>ปิงปอง</t>
  </si>
  <si>
    <t>withawatd@senxgroup.com</t>
  </si>
  <si>
    <t>VMS680170</t>
  </si>
  <si>
    <t>วิธวินท์</t>
  </si>
  <si>
    <t>สมจันทร์</t>
  </si>
  <si>
    <t>เบสท์</t>
  </si>
  <si>
    <t>wittawins@senxgroup.com</t>
  </si>
  <si>
    <t>VMS680101</t>
  </si>
  <si>
    <t>วิธิสรรค์</t>
  </si>
  <si>
    <t>พละศักดิ์</t>
  </si>
  <si>
    <t>เอิร์ก</t>
  </si>
  <si>
    <t>witisanp@senxgroup.com</t>
  </si>
  <si>
    <t>06-03-2023</t>
  </si>
  <si>
    <t>วิภารัตน์</t>
  </si>
  <si>
    <t>ตระกูลสัมพันธ์</t>
  </si>
  <si>
    <t>บุษ</t>
  </si>
  <si>
    <t>VMS620079</t>
  </si>
  <si>
    <t>21-05-2018</t>
  </si>
  <si>
    <t>วิภาวดี</t>
  </si>
  <si>
    <t>วัตตะโร</t>
  </si>
  <si>
    <t>wipawadeew@senxgroup.com</t>
  </si>
  <si>
    <t>วิภาวี</t>
  </si>
  <si>
    <t>ปานรอด</t>
  </si>
  <si>
    <t>วิรพนธ์</t>
  </si>
  <si>
    <t>อินทร์ศวร</t>
  </si>
  <si>
    <t>ไซโล</t>
  </si>
  <si>
    <t>VMS680159</t>
  </si>
  <si>
    <t>วิริยาภรณ์</t>
  </si>
  <si>
    <t>ลอมไธสงค์</t>
  </si>
  <si>
    <t>ปลาย</t>
  </si>
  <si>
    <t>wiriyapornl@senxgroup.com</t>
  </si>
  <si>
    <t>22-11-2021</t>
  </si>
  <si>
    <t>วิเศษศักดิ์</t>
  </si>
  <si>
    <t>พิลารักษ์</t>
  </si>
  <si>
    <t>อ้วน</t>
  </si>
  <si>
    <t>VMS670334</t>
  </si>
  <si>
    <t>วีรเกติ</t>
  </si>
  <si>
    <t>บุญมานำ</t>
  </si>
  <si>
    <t>วี</t>
  </si>
  <si>
    <t>weeragetb@senxgroup.com</t>
  </si>
  <si>
    <t>วีรสุ</t>
  </si>
  <si>
    <t>ยืนยง</t>
  </si>
  <si>
    <t>VMS680138</t>
  </si>
  <si>
    <t>วีระเดช</t>
  </si>
  <si>
    <t>เพเมียกู</t>
  </si>
  <si>
    <t>weeradetp@senxgroup.com</t>
  </si>
  <si>
    <t>VMS680287</t>
  </si>
  <si>
    <t>วุฒิกร</t>
  </si>
  <si>
    <t>กลิ่นหอม</t>
  </si>
  <si>
    <t>wuttikornk@senxgroup.com</t>
  </si>
  <si>
    <t>VMS620097</t>
  </si>
  <si>
    <t>29-10-2018</t>
  </si>
  <si>
    <t>วุฒิไกร</t>
  </si>
  <si>
    <t>วิทยาบำรุง</t>
  </si>
  <si>
    <t>wutthikraiw@senxgroup.com</t>
  </si>
  <si>
    <t>VMS680003</t>
  </si>
  <si>
    <t>วุฒิชัย</t>
  </si>
  <si>
    <t>wuttichaip@senxgroup.com</t>
  </si>
  <si>
    <t>VMS680033</t>
  </si>
  <si>
    <t>วุฒินันท์</t>
  </si>
  <si>
    <t>จันทร์ผอง</t>
  </si>
  <si>
    <t>โอม</t>
  </si>
  <si>
    <t>wutthinanj@senxgroup.com</t>
  </si>
  <si>
    <t>VMS680266</t>
  </si>
  <si>
    <t>วุฒิโรจน์</t>
  </si>
  <si>
    <t>คาทิพาที</t>
  </si>
  <si>
    <t>อั๋น</t>
  </si>
  <si>
    <t>wutthirodk@senxgroup.com</t>
  </si>
  <si>
    <t>VMS630020</t>
  </si>
  <si>
    <t>29-07-2020</t>
  </si>
  <si>
    <t>วุฒิศักดิ์</t>
  </si>
  <si>
    <t>สมพร้อม</t>
  </si>
  <si>
    <t>ตุ้ม</t>
  </si>
  <si>
    <t>wuttisaks@senxgroup.com</t>
  </si>
  <si>
    <t>ผู้จัดการหมู่บ้านอาวุโส</t>
  </si>
  <si>
    <t>VMS670282</t>
  </si>
  <si>
    <t>18-01-2022</t>
  </si>
  <si>
    <t>ทองคำ</t>
  </si>
  <si>
    <t>wuttisakt@senxgroup.com</t>
  </si>
  <si>
    <t>VMS620081</t>
  </si>
  <si>
    <t>04-06-2018</t>
  </si>
  <si>
    <t>ไวรัลย์</t>
  </si>
  <si>
    <t>วงษ์นุรักษ์</t>
  </si>
  <si>
    <t>แต๋ม</t>
  </si>
  <si>
    <t>wairanw@senxgroup.com</t>
  </si>
  <si>
    <t>VMS620028</t>
  </si>
  <si>
    <t>ศราวุฒิ</t>
  </si>
  <si>
    <t>บำรุงศรี</t>
  </si>
  <si>
    <t>อาจ</t>
  </si>
  <si>
    <t>sarawutb@senxgroup.com</t>
  </si>
  <si>
    <t>VMS670292</t>
  </si>
  <si>
    <t>ศโรธร</t>
  </si>
  <si>
    <t>ไพศาลฤทธิ์</t>
  </si>
  <si>
    <t>ปีโป้</t>
  </si>
  <si>
    <t>salothonp@senxgroup.com</t>
  </si>
  <si>
    <t>VMS670426</t>
  </si>
  <si>
    <t>ศักดิ์ชัย</t>
  </si>
  <si>
    <t>ไชยสุวรรณ</t>
  </si>
  <si>
    <t>sakchaic@senxgroup.com</t>
  </si>
  <si>
    <t>VMS670393</t>
  </si>
  <si>
    <t>10-10-2024</t>
  </si>
  <si>
    <t>ศิธันว์วีร์</t>
  </si>
  <si>
    <t>ปฐมภาคย์</t>
  </si>
  <si>
    <t>sithanveep@senxgroup.com</t>
  </si>
  <si>
    <t>VMS680310</t>
  </si>
  <si>
    <t>ศิรณัฏฐ์</t>
  </si>
  <si>
    <t>ธนากิจโอฬาร</t>
  </si>
  <si>
    <t>นินิว</t>
  </si>
  <si>
    <t>siranussth@senxgroup.com</t>
  </si>
  <si>
    <t>ศิรภัสสร</t>
  </si>
  <si>
    <t>หอมสุวรรณ</t>
  </si>
  <si>
    <t>โปเต้</t>
  </si>
  <si>
    <t>ศิริชัย</t>
  </si>
  <si>
    <t>อยู่อยู่</t>
  </si>
  <si>
    <t>เกม</t>
  </si>
  <si>
    <t>VMS680261</t>
  </si>
  <si>
    <t>เอี่ยมหลัก</t>
  </si>
  <si>
    <t>ปลื้ม</t>
  </si>
  <si>
    <t>sirichaie@senxgroup.com</t>
  </si>
  <si>
    <t>VMS680182</t>
  </si>
  <si>
    <t>ศิริพร</t>
  </si>
  <si>
    <t>พันโญศรัณยา</t>
  </si>
  <si>
    <t>กวาง</t>
  </si>
  <si>
    <t>siripornp@senxgroup.com</t>
  </si>
  <si>
    <t>VMS680175</t>
  </si>
  <si>
    <t>ใจฟอง</t>
  </si>
  <si>
    <t>กิ๊ป</t>
  </si>
  <si>
    <t>siripornj@senxgroup.com</t>
  </si>
  <si>
    <t>ศิริพรรณ</t>
  </si>
  <si>
    <t>จิตรชัยภูมิ</t>
  </si>
  <si>
    <t>มิ้น</t>
  </si>
  <si>
    <t>VMS660032</t>
  </si>
  <si>
    <t>ศิวพร</t>
  </si>
  <si>
    <t>คำผิว</t>
  </si>
  <si>
    <t>ฝ้าย</t>
  </si>
  <si>
    <t>siwapornk@senxgroup.com</t>
  </si>
  <si>
    <t>ศุภชัย</t>
  </si>
  <si>
    <t>มานะผล</t>
  </si>
  <si>
    <t>อีส</t>
  </si>
  <si>
    <t>VMS680334</t>
  </si>
  <si>
    <t>ศุภณัฐ</t>
  </si>
  <si>
    <t>ใยบำรุง</t>
  </si>
  <si>
    <t>supanuty@senxgroup.com</t>
  </si>
  <si>
    <t>VMS680206</t>
  </si>
  <si>
    <t>supanath@senxgroup.com</t>
  </si>
  <si>
    <t>เศรษฐวุฒิ</t>
  </si>
  <si>
    <t>สอนง่าย</t>
  </si>
  <si>
    <t>22-02-2022</t>
  </si>
  <si>
    <t>สกนธ์</t>
  </si>
  <si>
    <t>รื่นภาคเวท</t>
  </si>
  <si>
    <t>เฟริส</t>
  </si>
  <si>
    <t>VMS660132</t>
  </si>
  <si>
    <t>สกุลตรา</t>
  </si>
  <si>
    <t>ค้าขึ้น</t>
  </si>
  <si>
    <t>โบ</t>
  </si>
  <si>
    <t>sakuntrak@senxgroup.com</t>
  </si>
  <si>
    <t>VMS670376</t>
  </si>
  <si>
    <t>สถาพร</t>
  </si>
  <si>
    <t>ดวงมณี</t>
  </si>
  <si>
    <t>sathapornd@senxgroup.com</t>
  </si>
  <si>
    <t>VMS670180</t>
  </si>
  <si>
    <t>02-10-2017</t>
  </si>
  <si>
    <t>สพล</t>
  </si>
  <si>
    <t>ปี่ไทย</t>
  </si>
  <si>
    <t>พ็อต</t>
  </si>
  <si>
    <t>sapolp@senxgroup.com</t>
  </si>
  <si>
    <t>ผู้ช่วยหัวหน้าช่างประจำอาคาร</t>
  </si>
  <si>
    <t>VMS680229</t>
  </si>
  <si>
    <t>สมใจ</t>
  </si>
  <si>
    <t>แหวนทองคำ</t>
  </si>
  <si>
    <t>บุ้งกี๋</t>
  </si>
  <si>
    <t>somjaw@senxgroup.com</t>
  </si>
  <si>
    <t>VMS680217</t>
  </si>
  <si>
    <t>สมชาย</t>
  </si>
  <si>
    <t>กุบแปะ</t>
  </si>
  <si>
    <t>somchaik@senxgroup.com</t>
  </si>
  <si>
    <t>VMS680214</t>
  </si>
  <si>
    <t>04-08-2025</t>
  </si>
  <si>
    <t>สมปราถณา</t>
  </si>
  <si>
    <t>ใจทะมาตร์</t>
  </si>
  <si>
    <t>อ้อม</t>
  </si>
  <si>
    <t>sompradthanaj@senxgroup.com</t>
  </si>
  <si>
    <t>VMS680308</t>
  </si>
  <si>
    <t>สมพงษ์</t>
  </si>
  <si>
    <t>เบส</t>
  </si>
  <si>
    <t>somphongt@senxgroup.com</t>
  </si>
  <si>
    <t>VMS620022</t>
  </si>
  <si>
    <t>22-12-2014</t>
  </si>
  <si>
    <t>สรศักดิ์</t>
  </si>
  <si>
    <t>ศรีชัย</t>
  </si>
  <si>
    <t>เก็ท</t>
  </si>
  <si>
    <t>sorasuks@senxgroup.com</t>
  </si>
  <si>
    <t>VMS680193</t>
  </si>
  <si>
    <t>สราวุฒิ</t>
  </si>
  <si>
    <t>โพธิ์ผาง</t>
  </si>
  <si>
    <t>บิ๊ก</t>
  </si>
  <si>
    <t>sarawutp@senxgroup.com</t>
  </si>
  <si>
    <t>06-11-2023</t>
  </si>
  <si>
    <t>สโรชา</t>
  </si>
  <si>
    <t>พรประเสริฐวงศ์</t>
  </si>
  <si>
    <t>ตาล</t>
  </si>
  <si>
    <t>สันติภูมิ</t>
  </si>
  <si>
    <t>พัดทอง</t>
  </si>
  <si>
    <t>14-11-2025</t>
  </si>
  <si>
    <t>สันติสุข</t>
  </si>
  <si>
    <t>สีสูงเนิน</t>
  </si>
  <si>
    <t>VMS670431</t>
  </si>
  <si>
    <t>เริกดี</t>
  </si>
  <si>
    <t>santisukr@senxgroup.com</t>
  </si>
  <si>
    <t>VMS630011</t>
  </si>
  <si>
    <t>02-03-2020</t>
  </si>
  <si>
    <t>สานิช</t>
  </si>
  <si>
    <t>อ่อนจันทร์</t>
  </si>
  <si>
    <t>sanitcho@senxgroup.com</t>
  </si>
  <si>
    <t>VMS620080</t>
  </si>
  <si>
    <t>สิทธิพงศ์</t>
  </si>
  <si>
    <t>แววไธสง</t>
  </si>
  <si>
    <t>sittipongw@senxgroup.com</t>
  </si>
  <si>
    <t>สิทธิศักดิ์</t>
  </si>
  <si>
    <t>ด้วยสาร</t>
  </si>
  <si>
    <t>ต๊อง</t>
  </si>
  <si>
    <t>01-09-2022</t>
  </si>
  <si>
    <t>สินจัย</t>
  </si>
  <si>
    <t>ชัยศรี</t>
  </si>
  <si>
    <t>พนักงานนิติบุคคล</t>
  </si>
  <si>
    <t>สิรวิชญ์</t>
  </si>
  <si>
    <t>หวังสมนึก</t>
  </si>
  <si>
    <t>จ้าว</t>
  </si>
  <si>
    <t>VMS680195</t>
  </si>
  <si>
    <t>เชาว์ไกร</t>
  </si>
  <si>
    <t>ตังก์</t>
  </si>
  <si>
    <t>sirawichch@senxgroup.com</t>
  </si>
  <si>
    <t>20-05-2022</t>
  </si>
  <si>
    <t>สิรินภา</t>
  </si>
  <si>
    <t>สีขุนทด</t>
  </si>
  <si>
    <t>VMS680050</t>
  </si>
  <si>
    <t>สิริมา</t>
  </si>
  <si>
    <t>เสนะวีระกุล</t>
  </si>
  <si>
    <t>ตอง</t>
  </si>
  <si>
    <t>sirimas@senxgroup.com</t>
  </si>
  <si>
    <t>VMS680298</t>
  </si>
  <si>
    <t>สิริรัตน์</t>
  </si>
  <si>
    <t>ศรีสุข</t>
  </si>
  <si>
    <t>sirirats@senxgroup.com</t>
  </si>
  <si>
    <t>VMS680065</t>
  </si>
  <si>
    <t>สุกัญญา</t>
  </si>
  <si>
    <t>โพธิ์ประยูร</t>
  </si>
  <si>
    <t>sukunyap@senxgroup.com</t>
  </si>
  <si>
    <t>VMS620010</t>
  </si>
  <si>
    <t>03-10-2011</t>
  </si>
  <si>
    <t>สุขนิตย์</t>
  </si>
  <si>
    <t>สานา</t>
  </si>
  <si>
    <t>ป้อม</t>
  </si>
  <si>
    <t>sukanits@senxgroup.com</t>
  </si>
  <si>
    <t>VMS670199</t>
  </si>
  <si>
    <t>สุดา</t>
  </si>
  <si>
    <t>sudat@senxgroup.com</t>
  </si>
  <si>
    <t>VMS680234</t>
  </si>
  <si>
    <t>สุดารัตน์</t>
  </si>
  <si>
    <t>จินดาวงษ์</t>
  </si>
  <si>
    <t>sudaratj@senxgroup.com</t>
  </si>
  <si>
    <t>VMS680192</t>
  </si>
  <si>
    <t>สุตธิดา</t>
  </si>
  <si>
    <t>อารีดี</t>
  </si>
  <si>
    <t>sutathidaa@senxgroup.com</t>
  </si>
  <si>
    <t>เจ้าหน้าที่ลูกค้าสัมพันธ์</t>
  </si>
  <si>
    <t>VMS620055</t>
  </si>
  <si>
    <t>07-08-2017</t>
  </si>
  <si>
    <t>สุทธิกรณ์</t>
  </si>
  <si>
    <t>เจริญตะคุ</t>
  </si>
  <si>
    <t>suthikornc@senxgroup.com</t>
  </si>
  <si>
    <t>VMS680365</t>
  </si>
  <si>
    <t>สุทธิชัย</t>
  </si>
  <si>
    <t>สัจจวิสัย</t>
  </si>
  <si>
    <t>sutthichais@senxgroup.com</t>
  </si>
  <si>
    <t>สุทธิชา</t>
  </si>
  <si>
    <t>พรหมศร</t>
  </si>
  <si>
    <t>เบ็ค</t>
  </si>
  <si>
    <t>VMS670219</t>
  </si>
  <si>
    <t>16-08-2018</t>
  </si>
  <si>
    <t>สุเทพ</t>
  </si>
  <si>
    <t>มหัคคตจิตต์</t>
  </si>
  <si>
    <t>suthepm@senxgroup.com</t>
  </si>
  <si>
    <t>VMS670279</t>
  </si>
  <si>
    <t>05-05-2020</t>
  </si>
  <si>
    <t>สุธิดา</t>
  </si>
  <si>
    <t>ส้มอุ้ย</t>
  </si>
  <si>
    <t>suthidas@senxgroup.com</t>
  </si>
  <si>
    <t>17-04-2019</t>
  </si>
  <si>
    <t>สุประวีณ์</t>
  </si>
  <si>
    <t>ธาตุทอง</t>
  </si>
  <si>
    <t>โบว์</t>
  </si>
  <si>
    <t>18-09-2017</t>
  </si>
  <si>
    <t>สุปาริณี</t>
  </si>
  <si>
    <t>ปริเวทัง</t>
  </si>
  <si>
    <t>แอ๊นท์</t>
  </si>
  <si>
    <t>VMS670234</t>
  </si>
  <si>
    <t>01-10-2022</t>
  </si>
  <si>
    <t>สุพจน์</t>
  </si>
  <si>
    <t>ชายศรี</t>
  </si>
  <si>
    <t>supojc@senxgroup.com</t>
  </si>
  <si>
    <t>VMS670388</t>
  </si>
  <si>
    <t>สุพรรษา</t>
  </si>
  <si>
    <t>เสาสำราญ</t>
  </si>
  <si>
    <t>supansas@senxgroup.com</t>
  </si>
  <si>
    <t>VMS680023</t>
  </si>
  <si>
    <t>15-12-2022</t>
  </si>
  <si>
    <t>สุภรัตน์</t>
  </si>
  <si>
    <t>เกตุรัตน์</t>
  </si>
  <si>
    <t>ปลา</t>
  </si>
  <si>
    <t>suparatke@senxgroup.com</t>
  </si>
  <si>
    <t>VMS620003</t>
  </si>
  <si>
    <t>สุภษา</t>
  </si>
  <si>
    <t>สิริธนาสาร</t>
  </si>
  <si>
    <t>หนิง</t>
  </si>
  <si>
    <t>supphasas@senxgroup.com</t>
  </si>
  <si>
    <t>สายงานบริหารอาคารที่อยู่อาศัย</t>
  </si>
  <si>
    <t>VMS620043</t>
  </si>
  <si>
    <t>01-08-2016</t>
  </si>
  <si>
    <t>สุภาณี</t>
  </si>
  <si>
    <t>ก๋งอุบล</t>
  </si>
  <si>
    <t>ดาว</t>
  </si>
  <si>
    <t>supaneek@senxgroup.com</t>
  </si>
  <si>
    <t>VMS670103</t>
  </si>
  <si>
    <t>01-02-2012</t>
  </si>
  <si>
    <t>สุภาพร</t>
  </si>
  <si>
    <t>ไชยพัฒรัตนา</t>
  </si>
  <si>
    <t>supapornc@senxgroup.com</t>
  </si>
  <si>
    <t>VMS680233</t>
  </si>
  <si>
    <t>สุภาวดี</t>
  </si>
  <si>
    <t>โกมล</t>
  </si>
  <si>
    <t>supawadeek@senxgroup.com</t>
  </si>
  <si>
    <t>สุรเชษฐ์</t>
  </si>
  <si>
    <t>จูน้อย</t>
  </si>
  <si>
    <t>เชษฐ์</t>
  </si>
  <si>
    <t>VMS620004</t>
  </si>
  <si>
    <t>11-12-2009</t>
  </si>
  <si>
    <t>สุรศักดิ์</t>
  </si>
  <si>
    <t>แก้วกอง</t>
  </si>
  <si>
    <t>ฟาง</t>
  </si>
  <si>
    <t>surasakk@Senxgroup.com</t>
  </si>
  <si>
    <t>VMS670179</t>
  </si>
  <si>
    <t>16-03-2017</t>
  </si>
  <si>
    <t>ยี่สุน</t>
  </si>
  <si>
    <t>แซม</t>
  </si>
  <si>
    <t>surasaky@senxgroup.com</t>
  </si>
  <si>
    <t>VMS680128</t>
  </si>
  <si>
    <t>แก้วชื่น</t>
  </si>
  <si>
    <t>แก๊ป</t>
  </si>
  <si>
    <t>surasakka@senxgroup.com</t>
  </si>
  <si>
    <t>VMS680363</t>
  </si>
  <si>
    <t>สุรัชนี</t>
  </si>
  <si>
    <t>เลิศรัตนถาวร</t>
  </si>
  <si>
    <t>suratchaneel@senxgroup.com</t>
  </si>
  <si>
    <t>19-03-2021</t>
  </si>
  <si>
    <t>สุวนันท์</t>
  </si>
  <si>
    <t>เลาว้าง</t>
  </si>
  <si>
    <t>15-03-2025</t>
  </si>
  <si>
    <t>สุวภัทร</t>
  </si>
  <si>
    <t>อยู่ดี</t>
  </si>
  <si>
    <t>VMSJ651004</t>
  </si>
  <si>
    <t>25-10-2021</t>
  </si>
  <si>
    <t>มีศรี</t>
  </si>
  <si>
    <t>วรรณ</t>
  </si>
  <si>
    <t>suwanm@senxgroup.com</t>
  </si>
  <si>
    <t>VMS680343</t>
  </si>
  <si>
    <t>สุวิชา</t>
  </si>
  <si>
    <t>ทองเล็ก</t>
  </si>
  <si>
    <t>หยอด</t>
  </si>
  <si>
    <t>suvichat@senxgroup.com</t>
  </si>
  <si>
    <t>VMS670275</t>
  </si>
  <si>
    <t>05-03-2014</t>
  </si>
  <si>
    <t>สุวิมล</t>
  </si>
  <si>
    <t>ออเพชร</t>
  </si>
  <si>
    <t>suwimola@senxgroup.com</t>
  </si>
  <si>
    <t>VMS670328</t>
  </si>
  <si>
    <t>เสาวภา</t>
  </si>
  <si>
    <t>ดวงเนตร</t>
  </si>
  <si>
    <t>กี้</t>
  </si>
  <si>
    <t>saowapad@senxgroup.com</t>
  </si>
  <si>
    <t>VMS670183</t>
  </si>
  <si>
    <t>โสภณ</t>
  </si>
  <si>
    <t>นรทศ</t>
  </si>
  <si>
    <t>ทอม</t>
  </si>
  <si>
    <t>soponn@senxgroup.com</t>
  </si>
  <si>
    <t>VMS680030</t>
  </si>
  <si>
    <t>22-02-2023</t>
  </si>
  <si>
    <t>จันทร์ใย</t>
  </si>
  <si>
    <t>nuengruetaij@senxgroup.com</t>
  </si>
  <si>
    <t>VMS680282</t>
  </si>
  <si>
    <t>ท้วมสมวัฒน์</t>
  </si>
  <si>
    <t>nueagruthait@senxgroup.com</t>
  </si>
  <si>
    <t>VMS680107</t>
  </si>
  <si>
    <t>หัสนัย</t>
  </si>
  <si>
    <t>การสังเวชน์</t>
  </si>
  <si>
    <t>hasnaik@senxgroup.com</t>
  </si>
  <si>
    <t>VMS670284</t>
  </si>
  <si>
    <t>01-04-2019</t>
  </si>
  <si>
    <t>อดิศักดิ์</t>
  </si>
  <si>
    <t>ศรีทอนชิน</t>
  </si>
  <si>
    <t>ดิว</t>
  </si>
  <si>
    <t>adisaks@senxgroup.com</t>
  </si>
  <si>
    <t>พนักงานรับส่งเอกสาร</t>
  </si>
  <si>
    <t>ฝ่ายสนับสนุนทั่วไป</t>
  </si>
  <si>
    <t>VMS670216</t>
  </si>
  <si>
    <t>01-05-2023</t>
  </si>
  <si>
    <t>อนันต์</t>
  </si>
  <si>
    <t>กองไชยวงศ์</t>
  </si>
  <si>
    <t>anank@senxgroup.com</t>
  </si>
  <si>
    <t>VMS670247</t>
  </si>
  <si>
    <t>อนุชิต</t>
  </si>
  <si>
    <t>เชยโภคา</t>
  </si>
  <si>
    <t>แฟ้ม</t>
  </si>
  <si>
    <t>anuchitc@senxgroup.com</t>
  </si>
  <si>
    <t>อนุทิศ</t>
  </si>
  <si>
    <t>เอี่ยมวิบูลย์</t>
  </si>
  <si>
    <t>VMS620069</t>
  </si>
  <si>
    <t>01-02-2018</t>
  </si>
  <si>
    <t>อนุรักร์</t>
  </si>
  <si>
    <t>บรรพต</t>
  </si>
  <si>
    <t>ปอง</t>
  </si>
  <si>
    <t>anurakb@senxgroup.com</t>
  </si>
  <si>
    <t>VMS670194</t>
  </si>
  <si>
    <t>อนุวรรตน์</t>
  </si>
  <si>
    <t>ครุฑธามาศ</t>
  </si>
  <si>
    <t>anuwatk@senxgroup.com</t>
  </si>
  <si>
    <t>VMS670272</t>
  </si>
  <si>
    <t>20-11-2014</t>
  </si>
  <si>
    <t>อนุสิทธิ์</t>
  </si>
  <si>
    <t>สาแก้ว</t>
  </si>
  <si>
    <t>โต</t>
  </si>
  <si>
    <t>anusits@senxgroup.com</t>
  </si>
  <si>
    <t>อพินดี</t>
  </si>
  <si>
    <t>มหิเละ</t>
  </si>
  <si>
    <t>ดี</t>
  </si>
  <si>
    <t>VMS680294</t>
  </si>
  <si>
    <t>อภิชญา</t>
  </si>
  <si>
    <t>ศิริมังกูลโกมาลย์</t>
  </si>
  <si>
    <t>apichayas@senxgroup.com</t>
  </si>
  <si>
    <t>VMS670316</t>
  </si>
  <si>
    <t>อภิวัฒน์</t>
  </si>
  <si>
    <t>สีพันดอน</t>
  </si>
  <si>
    <t>สิง</t>
  </si>
  <si>
    <t>apiwats@senxgroup.com</t>
  </si>
  <si>
    <t>VMS680151</t>
  </si>
  <si>
    <t>อรปวีย์</t>
  </si>
  <si>
    <t>รุ่งแสงทิวากร</t>
  </si>
  <si>
    <t>เพอรรี่</t>
  </si>
  <si>
    <t>ornpaveer@senxgroup.com</t>
  </si>
  <si>
    <t>VMS620072</t>
  </si>
  <si>
    <t>อรพรรณ</t>
  </si>
  <si>
    <t>ศรีแก้วใส</t>
  </si>
  <si>
    <t>ต๋อมแต๋ม</t>
  </si>
  <si>
    <t>orrapans@senxgroup.com</t>
  </si>
  <si>
    <t>VMS680119</t>
  </si>
  <si>
    <t>เสียงดี</t>
  </si>
  <si>
    <t>นพ</t>
  </si>
  <si>
    <t>annops@senxgroup.com</t>
  </si>
  <si>
    <t>VMS680053</t>
  </si>
  <si>
    <t>อรรถชัย</t>
  </si>
  <si>
    <t>เรือนมนต์</t>
  </si>
  <si>
    <t>attachar@senxgroup.com</t>
  </si>
  <si>
    <t>VMS680152</t>
  </si>
  <si>
    <t>อรรถพล</t>
  </si>
  <si>
    <t>เตี้ยเตี๊ยะ</t>
  </si>
  <si>
    <t>ออด</t>
  </si>
  <si>
    <t>auttapont@senxgroup.com</t>
  </si>
  <si>
    <t>อรรถโรบล</t>
  </si>
  <si>
    <t>เกิดมนตรี</t>
  </si>
  <si>
    <t>VMS680304</t>
  </si>
  <si>
    <t>อรรถวัฒน์</t>
  </si>
  <si>
    <t>ทองใบ</t>
  </si>
  <si>
    <t>แท๊กเตอร์</t>
  </si>
  <si>
    <t>atthawatt@senxgroup.com</t>
  </si>
  <si>
    <t>VMS670196</t>
  </si>
  <si>
    <t>29-01-2017</t>
  </si>
  <si>
    <t>อรวรรณ</t>
  </si>
  <si>
    <t>วงค์ใหญ่</t>
  </si>
  <si>
    <t>orawanw@senxgroup.com</t>
  </si>
  <si>
    <t>VMS620137</t>
  </si>
  <si>
    <t>17-06-2019</t>
  </si>
  <si>
    <t>อรัญญา</t>
  </si>
  <si>
    <t>ตุ่นสิงห์คำ</t>
  </si>
  <si>
    <t>arunyat@Senxgroup.com</t>
  </si>
  <si>
    <t>VMS670308</t>
  </si>
  <si>
    <t>อริสรา</t>
  </si>
  <si>
    <t>ทองไพ</t>
  </si>
  <si>
    <t>อริส</t>
  </si>
  <si>
    <t>arisarat@senxgroup.com</t>
  </si>
  <si>
    <t>VMS680292</t>
  </si>
  <si>
    <t>อัคนี</t>
  </si>
  <si>
    <t>รู้คุณ</t>
  </si>
  <si>
    <t>aukkanee@senxgroup.com</t>
  </si>
  <si>
    <t>VMS620098</t>
  </si>
  <si>
    <t>อัญญมา</t>
  </si>
  <si>
    <t>เซี่ยงฉิน</t>
  </si>
  <si>
    <t>อีฟ</t>
  </si>
  <si>
    <t>anyamac@senxgroup.com</t>
  </si>
  <si>
    <t>VMS680200</t>
  </si>
  <si>
    <t>อับดุลเลาะ</t>
  </si>
  <si>
    <t>เจะอุบง</t>
  </si>
  <si>
    <t>เลาะ</t>
  </si>
  <si>
    <t>abdullohc@senxgroup.com</t>
  </si>
  <si>
    <t>VMS670407</t>
  </si>
  <si>
    <t>11-11-2024</t>
  </si>
  <si>
    <t>อัยรินทร์</t>
  </si>
  <si>
    <t>สมธรรม</t>
  </si>
  <si>
    <t>aiyarind@senxgroup.com</t>
  </si>
  <si>
    <t>VMS680037</t>
  </si>
  <si>
    <t>01-02-2025</t>
  </si>
  <si>
    <t>อัลวีน่า</t>
  </si>
  <si>
    <t>ยาโงะ</t>
  </si>
  <si>
    <t>alveenay@senxgroup.com</t>
  </si>
  <si>
    <t>VMS680083</t>
  </si>
  <si>
    <t>10-03-2025</t>
  </si>
  <si>
    <t>อัศวโชติ</t>
  </si>
  <si>
    <t>เบญญานภัสวงศ์</t>
  </si>
  <si>
    <t>usawachotb@senxgroup.com</t>
  </si>
  <si>
    <t>VMS670203</t>
  </si>
  <si>
    <t>21-10-2023</t>
  </si>
  <si>
    <t>อัษฎาวุธ</t>
  </si>
  <si>
    <t>ดวงดาว</t>
  </si>
  <si>
    <t>กาฟิว</t>
  </si>
  <si>
    <t>oatsadawutd@senxgroup.com</t>
  </si>
  <si>
    <t>อานนท์</t>
  </si>
  <si>
    <t>เส้งคล้าย</t>
  </si>
  <si>
    <t>VMS650062</t>
  </si>
  <si>
    <t>01-08-2022</t>
  </si>
  <si>
    <t>โพธิ์น้อย</t>
  </si>
  <si>
    <t>anonp@senxgroup.com</t>
  </si>
  <si>
    <t>VMS620013</t>
  </si>
  <si>
    <t>01-10-2012</t>
  </si>
  <si>
    <t>อานันท์</t>
  </si>
  <si>
    <t>ศรีคง</t>
  </si>
  <si>
    <t>anans@senxgroup.com</t>
  </si>
  <si>
    <t>อาโมทย์</t>
  </si>
  <si>
    <t>พิมสิม</t>
  </si>
  <si>
    <t>โมทย์</t>
  </si>
  <si>
    <t>อาริสา</t>
  </si>
  <si>
    <t>พุ่มซ้อน</t>
  </si>
  <si>
    <t>รส</t>
  </si>
  <si>
    <t>VMS680323</t>
  </si>
  <si>
    <t>อาแอเสาะ</t>
  </si>
  <si>
    <t>สาแล๊ะ</t>
  </si>
  <si>
    <t>เซาะ</t>
  </si>
  <si>
    <t>a-asahs@senxgroup.com</t>
  </si>
  <si>
    <t>VMS670149</t>
  </si>
  <si>
    <t>01-01-2023</t>
  </si>
  <si>
    <t>อาฮามะตารีพี</t>
  </si>
  <si>
    <t>มะลือกะ</t>
  </si>
  <si>
    <t>ตารีฟี</t>
  </si>
  <si>
    <t>ahamataripeem@senxgroup.com</t>
  </si>
  <si>
    <t>VMS670233</t>
  </si>
  <si>
    <t>12-12-2022</t>
  </si>
  <si>
    <t>น้อยเกิด</t>
  </si>
  <si>
    <t>อำ</t>
  </si>
  <si>
    <t>amnardn@senxgroup.com</t>
  </si>
  <si>
    <t>VMS680359</t>
  </si>
  <si>
    <t>อำพล</t>
  </si>
  <si>
    <t>อารมชื่น</t>
  </si>
  <si>
    <t>amphola@senxgroup.com</t>
  </si>
  <si>
    <t>ตาเตียว</t>
  </si>
  <si>
    <t>พอ</t>
  </si>
  <si>
    <t>VMS670271</t>
  </si>
  <si>
    <t>16-10-2014</t>
  </si>
  <si>
    <t>ไพคำนาม</t>
  </si>
  <si>
    <t>amponp@senxgroup.com</t>
  </si>
  <si>
    <t>อินทุอร</t>
  </si>
  <si>
    <t>คุสินธ์</t>
  </si>
  <si>
    <t>13-08-2024</t>
  </si>
  <si>
    <t>อิรฟาณร์</t>
  </si>
  <si>
    <t>ตีโด</t>
  </si>
  <si>
    <t>ฟาน</t>
  </si>
  <si>
    <t>VMS680025</t>
  </si>
  <si>
    <t>14-09-2018</t>
  </si>
  <si>
    <t>อิศรินทร์</t>
  </si>
  <si>
    <t>กิตติไกรศักดิ์</t>
  </si>
  <si>
    <t>isarink@senxgroup.com</t>
  </si>
  <si>
    <t>อิสปรียา</t>
  </si>
  <si>
    <t>ดุลยเวสาสุข</t>
  </si>
  <si>
    <t>อัน</t>
  </si>
  <si>
    <t>อุทิศ</t>
  </si>
  <si>
    <t>สุจำนงค์</t>
  </si>
  <si>
    <t>VMS670223</t>
  </si>
  <si>
    <t>อุเทน</t>
  </si>
  <si>
    <t>ณะใจบุตร</t>
  </si>
  <si>
    <t>authenn@senxgroup.com</t>
  </si>
  <si>
    <t>VMS680094</t>
  </si>
  <si>
    <t>เอกชัย</t>
  </si>
  <si>
    <t>สงธิ</t>
  </si>
  <si>
    <t>aekkachais@senxgroup.com</t>
  </si>
  <si>
    <t>VMS670357</t>
  </si>
  <si>
    <t>แอนนา</t>
  </si>
  <si>
    <t>อุตรศรี</t>
  </si>
  <si>
    <t>annau@senxgroup.com</t>
  </si>
  <si>
    <t>23-02-2016</t>
  </si>
  <si>
    <t>กนกนวรัตน์</t>
  </si>
  <si>
    <t>มามาตร</t>
  </si>
  <si>
    <t>เจ้าหน้าที่ต้อนรับและบริการ</t>
  </si>
  <si>
    <t>ฝ่ายบริหารธุรกิจเช่ารายย่อย (Service Apartment)</t>
  </si>
  <si>
    <t>VT000082</t>
  </si>
  <si>
    <t>12-01-1995</t>
  </si>
  <si>
    <t>ขีณาระวี</t>
  </si>
  <si>
    <t>วัฒนสมพงษ์</t>
  </si>
  <si>
    <t>Kheenaraveew@sena.co.th</t>
  </si>
  <si>
    <t>ที่ปรึกษา</t>
  </si>
  <si>
    <t>12-12-2012</t>
  </si>
  <si>
    <t>ใจเพชร</t>
  </si>
  <si>
    <t>ตั้งศักดาดิษฐ์</t>
  </si>
  <si>
    <t>หัวหน้าช่างประจำอาคารอาวุโส</t>
  </si>
  <si>
    <t>02-05-2019</t>
  </si>
  <si>
    <t>อรุณเรืองสวัสดิ์</t>
  </si>
  <si>
    <t>น้ำพุ</t>
  </si>
  <si>
    <t>21-03-2016</t>
  </si>
  <si>
    <t>สุธาวรรณ</t>
  </si>
  <si>
    <t>เมฆลอย</t>
  </si>
  <si>
    <t>ยา</t>
  </si>
  <si>
    <t>โสรยา</t>
  </si>
  <si>
    <t>เตชวิทูล</t>
  </si>
  <si>
    <t>โส</t>
  </si>
  <si>
    <t>หัวหน้าแผนกต้อนรับและบริการ</t>
  </si>
  <si>
    <t>01-12-2016</t>
  </si>
  <si>
    <t>หยาดดาว</t>
  </si>
  <si>
    <t>เรือนปัญจะ</t>
  </si>
  <si>
    <t>11-01-2017</t>
  </si>
  <si>
    <t>เอกนรินทร์</t>
  </si>
  <si>
    <t>ทองเงา</t>
  </si>
  <si>
    <t>22-02-2017</t>
  </si>
  <si>
    <t>ก้องปฐพี</t>
  </si>
  <si>
    <t>เพชรรุ่งศักดิ์</t>
  </si>
  <si>
    <t>Kongpatapheep@sena.co.th</t>
  </si>
  <si>
    <t>ฝ่ายปฏิบัติการก่อสร้าง</t>
  </si>
  <si>
    <t>จำนง</t>
  </si>
  <si>
    <t>บุราคร</t>
  </si>
  <si>
    <t>ช้าง</t>
  </si>
  <si>
    <t>chamnongb@sena.co.th</t>
  </si>
  <si>
    <t>01-08-2015</t>
  </si>
  <si>
    <t>ชาลินี</t>
  </si>
  <si>
    <t>จันทะคร</t>
  </si>
  <si>
    <t>Chalineej@sena.co.th</t>
  </si>
  <si>
    <t>11-03-2024</t>
  </si>
  <si>
    <t>รัตนมรรคคา</t>
  </si>
  <si>
    <t>nattapongr@sena.co.th</t>
  </si>
  <si>
    <t>วิศวกรสำนักงาน</t>
  </si>
  <si>
    <t>TK650014</t>
  </si>
  <si>
    <t>ธวัช</t>
  </si>
  <si>
    <t>อ๊อด</t>
  </si>
  <si>
    <t>Tawatp@sena.co.th</t>
  </si>
  <si>
    <t>TK650015</t>
  </si>
  <si>
    <t>06-11-2017</t>
  </si>
  <si>
    <t>ผิวสอาด</t>
  </si>
  <si>
    <t>panyap@sena.co.th</t>
  </si>
  <si>
    <t>ช่างบริการหลังการขาย</t>
  </si>
  <si>
    <t>ภาณุพงษ์</t>
  </si>
  <si>
    <t>ไพรศรี</t>
  </si>
  <si>
    <t>panupongpr@sena.co.th</t>
  </si>
  <si>
    <t>03-07-2017</t>
  </si>
  <si>
    <t>โฟร์แมนบริการหลังการขาย</t>
  </si>
  <si>
    <t>TK680002</t>
  </si>
  <si>
    <t>มะรอนีอีน</t>
  </si>
  <si>
    <t>มูยี</t>
  </si>
  <si>
    <t>อิง</t>
  </si>
  <si>
    <t>maroneeinm@sena.co.th</t>
  </si>
  <si>
    <t>โฟร์แมนเกษตร</t>
  </si>
  <si>
    <t>18-02-2019</t>
  </si>
  <si>
    <t>วิจิตร</t>
  </si>
  <si>
    <t>หงษ์แก้ว</t>
  </si>
  <si>
    <t>แด๊นซ์</t>
  </si>
  <si>
    <t>wichith@sena.co.th</t>
  </si>
  <si>
    <t>พนักงานซ่อมบำรุงทั่วไป</t>
  </si>
  <si>
    <t>TK650016</t>
  </si>
  <si>
    <t>15-12-2017</t>
  </si>
  <si>
    <t>ศุภเชษฐ์</t>
  </si>
  <si>
    <t>suphachetp@sena.co.th</t>
  </si>
  <si>
    <t>TK680005</t>
  </si>
  <si>
    <t>11-07-2000</t>
  </si>
  <si>
    <t>ศุภฤกษ์</t>
  </si>
  <si>
    <t>อภิศักดิ์ศิริกุล</t>
  </si>
  <si>
    <t>เพ้ง</t>
  </si>
  <si>
    <t>suphalerka@sena.co.th</t>
  </si>
  <si>
    <t>สายงานทีเคนวกิจ</t>
  </si>
  <si>
    <t>21-09-2009</t>
  </si>
  <si>
    <t>สุภาพ</t>
  </si>
  <si>
    <t>ศิริวัฒนกุลวงศ์</t>
  </si>
  <si>
    <t>ภาพ</t>
  </si>
  <si>
    <t>ผู้ช่วยหัวหน้าโฟร์แมน</t>
  </si>
  <si>
    <t>12-11-2018</t>
  </si>
  <si>
    <t>สกุลรัง</t>
  </si>
  <si>
    <t>จุ๊บ</t>
  </si>
  <si>
    <t>thanaporns@sena.co.th</t>
  </si>
  <si>
    <t>03-09-2002</t>
  </si>
  <si>
    <t>พจรินทร์</t>
  </si>
  <si>
    <t>เจือจิตร</t>
  </si>
  <si>
    <t>อ๋อย</t>
  </si>
  <si>
    <t>Potcharin@sena.co.th</t>
  </si>
  <si>
    <t>01-07-2024</t>
  </si>
  <si>
    <t>ช่วยประดิษฐ์</t>
  </si>
  <si>
    <t>sukanyach@sena.co.th</t>
  </si>
  <si>
    <t>เจ้าหน้าที่บัญชีจ่าย</t>
  </si>
  <si>
    <t>27-08-2018</t>
  </si>
  <si>
    <t>อินทิตา</t>
  </si>
  <si>
    <t>เตชะนันท์</t>
  </si>
  <si>
    <t>inthitat@sena.co.th</t>
  </si>
  <si>
    <t>SMF670004</t>
  </si>
  <si>
    <t>บริษัท สมาร์ทติฟาย โฮม จำกัด</t>
  </si>
  <si>
    <t>25-05-2023</t>
  </si>
  <si>
    <t>แก้งทอง</t>
  </si>
  <si>
    <t>garank@senxgroup.com</t>
  </si>
  <si>
    <t>ฝ่ายบริหารสินค้า</t>
  </si>
  <si>
    <t>SMF670006</t>
  </si>
  <si>
    <t>19-08-2024</t>
  </si>
  <si>
    <t>โกวิท</t>
  </si>
  <si>
    <t>รอรั้ง</t>
  </si>
  <si>
    <t>SMF670002</t>
  </si>
  <si>
    <t>คีตวัฒน์</t>
  </si>
  <si>
    <t>วงษา</t>
  </si>
  <si>
    <t>ฮัลเล่ย์</t>
  </si>
  <si>
    <t>keetawatw@senxgroup.com</t>
  </si>
  <si>
    <t>ฝ่ายบริหารข้อมูล</t>
  </si>
  <si>
    <t>SMF680002</t>
  </si>
  <si>
    <t>จิรนันท์</t>
  </si>
  <si>
    <t>ตุ่นภักดี</t>
  </si>
  <si>
    <t>jiranant@senxgroup.com</t>
  </si>
  <si>
    <t>SMF680012</t>
  </si>
  <si>
    <t>11-01-2016</t>
  </si>
  <si>
    <t>จีระศักดิ์</t>
  </si>
  <si>
    <t>ศรีดอน</t>
  </si>
  <si>
    <t>jeerasaks@senxgroup.com</t>
  </si>
  <si>
    <t>ฝ่ายบริหารงานกิจการพิเศษ</t>
  </si>
  <si>
    <t>SMF680005</t>
  </si>
  <si>
    <t>07-05-2018</t>
  </si>
  <si>
    <t>เจิดจันทร์</t>
  </si>
  <si>
    <t>พันธ์วิไล</t>
  </si>
  <si>
    <t>Jerdjanp@senxgroup.com</t>
  </si>
  <si>
    <t>SMF680009</t>
  </si>
  <si>
    <t>ชูชีพ</t>
  </si>
  <si>
    <t>ศรีมูล</t>
  </si>
  <si>
    <t>chucheeps@senxgroup.com</t>
  </si>
  <si>
    <t>SMF670001</t>
  </si>
  <si>
    <t>18-04-2023</t>
  </si>
  <si>
    <t>ณฐมณฑ์</t>
  </si>
  <si>
    <t>เปล่งวิทยา</t>
  </si>
  <si>
    <t>nadhamontp@senxgroup.com</t>
  </si>
  <si>
    <t>สายงานค้าปลีกและพัฒนาผลิตภัณฑ์ (Smartify)</t>
  </si>
  <si>
    <t>SMF680008</t>
  </si>
  <si>
    <t>อ่อนวรรณา</t>
  </si>
  <si>
    <t>นัส</t>
  </si>
  <si>
    <t>nattakano@Senxgroup.com</t>
  </si>
  <si>
    <t>SMF680004</t>
  </si>
  <si>
    <t>16-12-2019</t>
  </si>
  <si>
    <t>ธนัญญา</t>
  </si>
  <si>
    <t>วีรปฏิญญา</t>
  </si>
  <si>
    <t>thanunyaw@senxgroup.com</t>
  </si>
  <si>
    <t>สายงานบริหารทางวิศวกรรม (Extra Service)</t>
  </si>
  <si>
    <t>SMF680013</t>
  </si>
  <si>
    <t>SMF680006</t>
  </si>
  <si>
    <t>01-07-2016</t>
  </si>
  <si>
    <t>พลเสฏฐ์</t>
  </si>
  <si>
    <t>เชื้อชัยนาท</t>
  </si>
  <si>
    <t>phonrasetc@senxgroup.com</t>
  </si>
  <si>
    <t>SMF680007</t>
  </si>
  <si>
    <t>รณชัย</t>
  </si>
  <si>
    <t>คงแสงชู</t>
  </si>
  <si>
    <t>ronnachaik@senxgroup.com</t>
  </si>
  <si>
    <t>SMF680001</t>
  </si>
  <si>
    <t>วจีมาศ</t>
  </si>
  <si>
    <t>มาลากุล ณ อยุธยา</t>
  </si>
  <si>
    <t>wachimatm@senxgroup.com</t>
  </si>
  <si>
    <t>SMF680011</t>
  </si>
  <si>
    <t>สร้อยสุวรรณ์</t>
  </si>
  <si>
    <t>watcharapons@senxgroup.com</t>
  </si>
  <si>
    <t>ผู้ช่วยหัวหน้าแผนกสนับสนุนส่วนกลาง 1</t>
  </si>
  <si>
    <t>วันวิสาข์</t>
  </si>
  <si>
    <t>พลอยประเสริฐ</t>
  </si>
  <si>
    <t>มิน</t>
  </si>
  <si>
    <t>ฝ่ายค้าปลีกและพัฒนาผลิตภัณฑ์ (Smartify)</t>
  </si>
  <si>
    <t>SMF680010</t>
  </si>
  <si>
    <t>01-07-2021</t>
  </si>
  <si>
    <t>เอนกพงษ์</t>
  </si>
  <si>
    <t>นันท์</t>
  </si>
  <si>
    <t>anana@senxgroup.com</t>
  </si>
  <si>
    <t>SMF680003</t>
  </si>
  <si>
    <t>เอกวิทย์</t>
  </si>
  <si>
    <t>ปั้นแจ่ม</t>
  </si>
  <si>
    <t>ekkawitp@senxgroup.com</t>
  </si>
  <si>
    <t>16-05-1983</t>
  </si>
  <si>
    <t>สมคิด</t>
  </si>
  <si>
    <t>พลคณา</t>
  </si>
  <si>
    <t>คิด</t>
  </si>
  <si>
    <t>Somkidp@sena.co.th</t>
  </si>
  <si>
    <t>ผู้ชำนาญการ 2</t>
  </si>
  <si>
    <t>SGA680009</t>
  </si>
  <si>
    <t>จมาพร</t>
  </si>
  <si>
    <t>อักษรสม</t>
  </si>
  <si>
    <t>ปิ่น</t>
  </si>
  <si>
    <t>jamaporna@senasolarenergy.com</t>
  </si>
  <si>
    <t>รัตนกุล</t>
  </si>
  <si>
    <t>เจ้าหน้าที่ธุรการขาย</t>
  </si>
  <si>
    <t>SGA670014</t>
  </si>
  <si>
    <t>ธงชัย</t>
  </si>
  <si>
    <t>รอดศิริ</t>
  </si>
  <si>
    <t>tongchair@senasolarenergy.com</t>
  </si>
  <si>
    <t>SGA680014</t>
  </si>
  <si>
    <t>ธนเดช</t>
  </si>
  <si>
    <t>นาคสถิตย์</t>
  </si>
  <si>
    <t>ปลั๊ก</t>
  </si>
  <si>
    <t>tanadechn@senasolarenergy.com</t>
  </si>
  <si>
    <t>ที่ปรึกษาด้านบริการ</t>
  </si>
  <si>
    <t>SGA660017</t>
  </si>
  <si>
    <t>ธัชพงศ์</t>
  </si>
  <si>
    <t>ทองบุศย์</t>
  </si>
  <si>
    <t>tutchapongt@sena.co.th</t>
  </si>
  <si>
    <t>SGA660004</t>
  </si>
  <si>
    <t>02-10-2023</t>
  </si>
  <si>
    <t>แสงประกอบทอง</t>
  </si>
  <si>
    <t>เด่น</t>
  </si>
  <si>
    <t>pakorns@sena.co.th</t>
  </si>
  <si>
    <t>SGA660001</t>
  </si>
  <si>
    <t>ปิยะนุช</t>
  </si>
  <si>
    <t>ช่วยทอง</t>
  </si>
  <si>
    <t>แตงกวา</t>
  </si>
  <si>
    <t>piyanutc@sena.co.th</t>
  </si>
  <si>
    <t>SGA670003</t>
  </si>
  <si>
    <t>16-02-2024</t>
  </si>
  <si>
    <t>พัสสินี</t>
  </si>
  <si>
    <t>พันธ์พานิชย์</t>
  </si>
  <si>
    <t>patsineep@sena.co.th</t>
  </si>
  <si>
    <t>16-12-2025</t>
  </si>
  <si>
    <t>ภัทรเทพ</t>
  </si>
  <si>
    <t>แก้วเบ้า</t>
  </si>
  <si>
    <t>ช่างยนต์</t>
  </si>
  <si>
    <t>SGA680010</t>
  </si>
  <si>
    <t>ภัทรปภา</t>
  </si>
  <si>
    <t>พันธุ์ยุรา</t>
  </si>
  <si>
    <t>phatthrapaphap@senasolarenergy.com</t>
  </si>
  <si>
    <t>SGA660006</t>
  </si>
  <si>
    <t>01-10-2023</t>
  </si>
  <si>
    <t>ภาณุมาศ</t>
  </si>
  <si>
    <t>ทัพเมธา</t>
  </si>
  <si>
    <t>จิง</t>
  </si>
  <si>
    <t>panumatt@sena.co.th</t>
  </si>
  <si>
    <t>กลุ่มประธานเจ้าหน้าที่บริหาร (SENA Green Automotive )</t>
  </si>
  <si>
    <t>SGA680003</t>
  </si>
  <si>
    <t>กะการดี</t>
  </si>
  <si>
    <t>montreek@senasolarenergy.com</t>
  </si>
  <si>
    <t>มานพ</t>
  </si>
  <si>
    <t>ศรีวิไลเลิศ</t>
  </si>
  <si>
    <t>อาร์ต</t>
  </si>
  <si>
    <t>SGA680012</t>
  </si>
  <si>
    <t>ศิริพงศ์</t>
  </si>
  <si>
    <t>พรรษา</t>
  </si>
  <si>
    <t>หลง</t>
  </si>
  <si>
    <t>siripongp@senasolarenergy.com</t>
  </si>
  <si>
    <t>SGA680008</t>
  </si>
  <si>
    <t>อนุสรณ์</t>
  </si>
  <si>
    <t>พลภักดี</t>
  </si>
  <si>
    <t>เป้ก</t>
  </si>
  <si>
    <t>anusornp@senasolarenergy.com</t>
  </si>
  <si>
    <t>เจ้าหน้าที่ธุรการ และประสานงานเช่ารถ</t>
  </si>
  <si>
    <t>SGA660003</t>
  </si>
  <si>
    <t>อารียา</t>
  </si>
  <si>
    <t>ดินม่วง</t>
  </si>
  <si>
    <t>บิว</t>
  </si>
  <si>
    <t>areeyad@sena.co.th</t>
  </si>
  <si>
    <t>หัวหน้าแผนกลูกค้าสัมพันธ์และธุรการ</t>
  </si>
  <si>
    <t>SGA680007</t>
  </si>
  <si>
    <t>อุมาพร</t>
  </si>
  <si>
    <t>สาทะเขียว</t>
  </si>
  <si>
    <t>umaphorns@senasolarenergy.com</t>
  </si>
  <si>
    <t>กันตพงศ์</t>
  </si>
  <si>
    <t>บรรจงเพียร</t>
  </si>
  <si>
    <t>เจ้าหน้าที่ Finance Business Partner อาวุโส</t>
  </si>
  <si>
    <t>กุลนารี</t>
  </si>
  <si>
    <t>ธรรมโชติดำรง</t>
  </si>
  <si>
    <t>SGE98899</t>
  </si>
  <si>
    <t>SGE680004</t>
  </si>
  <si>
    <t>11-09-2025</t>
  </si>
  <si>
    <t>จันทร์ศิริ</t>
  </si>
  <si>
    <t>ชายเกตุ</t>
  </si>
  <si>
    <t>ขิม</t>
  </si>
  <si>
    <t>junsiric@senasolarenergy.com</t>
  </si>
  <si>
    <t>SGE680003</t>
  </si>
  <si>
    <t>13-08-2025</t>
  </si>
  <si>
    <t>ณัฐธิกานต์</t>
  </si>
  <si>
    <t>ไชยรักษา</t>
  </si>
  <si>
    <t>อุ๋มอิ๋ม</t>
  </si>
  <si>
    <t>nattikanc@senasolarenergy.com</t>
  </si>
  <si>
    <t>01-04-2008</t>
  </si>
  <si>
    <t>พิชยา</t>
  </si>
  <si>
    <t>พุฒพันธ์</t>
  </si>
  <si>
    <t>Phichayap@senasolarenergy.com</t>
  </si>
  <si>
    <t>SGE680002</t>
  </si>
  <si>
    <t>สิวพรวสุวี</t>
  </si>
  <si>
    <t>สืบแย้ม</t>
  </si>
  <si>
    <t>จุ๊บแจง</t>
  </si>
  <si>
    <t>sivapornvasuvees@senasolarenergy.com</t>
  </si>
  <si>
    <t>01-10-2009</t>
  </si>
  <si>
    <t>คาพิจารณ์</t>
  </si>
  <si>
    <t>Supawadeek@senasolarenergy.com</t>
  </si>
  <si>
    <t>19-10-2015</t>
  </si>
  <si>
    <t>อังคณา</t>
  </si>
  <si>
    <t>ใจการ</t>
  </si>
  <si>
    <t>Angcanaj@senasolarenergy.com</t>
  </si>
  <si>
    <t>อุไรวรรณ</t>
  </si>
  <si>
    <t>สายแวว</t>
  </si>
  <si>
    <t>auraiwans@senasolarenergy.com</t>
  </si>
  <si>
    <t>ฐิติโรจนเทพา</t>
  </si>
  <si>
    <t>มาร์ท</t>
  </si>
  <si>
    <t>ผู้ช่วยช่าง</t>
  </si>
  <si>
    <t>01-03-2022</t>
  </si>
  <si>
    <t>อับดุลย์</t>
  </si>
  <si>
    <t>ESE670006</t>
  </si>
  <si>
    <t>คณิติน</t>
  </si>
  <si>
    <t>ESE660008</t>
  </si>
  <si>
    <t>29-08-2023</t>
  </si>
  <si>
    <t>จักรพันธ์</t>
  </si>
  <si>
    <t>ศิริสุนทรชัย</t>
  </si>
  <si>
    <t>ชาย</t>
  </si>
  <si>
    <t>SSG670010</t>
  </si>
  <si>
    <t>ขวบสันเทียะ</t>
  </si>
  <si>
    <t>chatchaik@senasolarenergy.com</t>
  </si>
  <si>
    <t>ณฐมน</t>
  </si>
  <si>
    <t>แสนยะมูล</t>
  </si>
  <si>
    <t>natramons@senasolarenergy.com</t>
  </si>
  <si>
    <t>เจ้าหน้าที่ประสานงานราชการอาวุโส</t>
  </si>
  <si>
    <t>ESE640004</t>
  </si>
  <si>
    <t>ทรงเกียรติ</t>
  </si>
  <si>
    <t>ภัคสกุล</t>
  </si>
  <si>
    <t>SSG670015</t>
  </si>
  <si>
    <t>จันทะพจน์</t>
  </si>
  <si>
    <t>thawatchaic@senasolarenergy.com</t>
  </si>
  <si>
    <t>SSG670016</t>
  </si>
  <si>
    <t>ธีรเวทย์</t>
  </si>
  <si>
    <t>แสนนาม</t>
  </si>
  <si>
    <t>แก็บ</t>
  </si>
  <si>
    <t>thirawets@senasolarenergy.com</t>
  </si>
  <si>
    <t>ESE670003</t>
  </si>
  <si>
    <t>นที</t>
  </si>
  <si>
    <t>เมืองทอง</t>
  </si>
  <si>
    <t>ESE660003</t>
  </si>
  <si>
    <t>นารี</t>
  </si>
  <si>
    <t>เลิศสกุล</t>
  </si>
  <si>
    <t>SSG680003</t>
  </si>
  <si>
    <t>บงกนก</t>
  </si>
  <si>
    <t>ไชยวงค์</t>
  </si>
  <si>
    <t>แจ๋ว</t>
  </si>
  <si>
    <t>bongkanokc@senasolarenergy.com</t>
  </si>
  <si>
    <t>เจ้าหน้าที่คลังสินค้า</t>
  </si>
  <si>
    <t>ESE620007</t>
  </si>
  <si>
    <t>ศรีอนันตคม</t>
  </si>
  <si>
    <t>ESE670001</t>
  </si>
  <si>
    <t>พุกพูล</t>
  </si>
  <si>
    <t>วิศวกรออกแบบ</t>
  </si>
  <si>
    <t>SSG680004</t>
  </si>
  <si>
    <t>19-05-2025</t>
  </si>
  <si>
    <t>ปัณณวัฒน์</t>
  </si>
  <si>
    <t>สุขพิพัฒนกุล</t>
  </si>
  <si>
    <t>pannawats@senasolarenergy.com</t>
  </si>
  <si>
    <t>06-09-2021</t>
  </si>
  <si>
    <t>พงศ์พัฒน์</t>
  </si>
  <si>
    <t>ไตรประวัติ</t>
  </si>
  <si>
    <t>พัด</t>
  </si>
  <si>
    <t>เจ้าหน้าที่เขียนแบบ</t>
  </si>
  <si>
    <t>ESE650004</t>
  </si>
  <si>
    <t>พงศภัค</t>
  </si>
  <si>
    <t>อาจารสุทธิ์</t>
  </si>
  <si>
    <t>ไนซ์</t>
  </si>
  <si>
    <t>Pongsapak.a@senasolarenergy.com</t>
  </si>
  <si>
    <t>ESE670004</t>
  </si>
  <si>
    <t>รางแดง</t>
  </si>
  <si>
    <t>เจ้าหน้าที่ธุรการฝ่าย</t>
  </si>
  <si>
    <t>ESE660004</t>
  </si>
  <si>
    <t>23-02-2023</t>
  </si>
  <si>
    <t>พาสกุล</t>
  </si>
  <si>
    <t>ภัทรสุขสิโรตม์</t>
  </si>
  <si>
    <t>ฟอย</t>
  </si>
  <si>
    <t>pasakulp@senasolarenergy.com</t>
  </si>
  <si>
    <t>เจ้าหน้าที่ขายอาวุโส</t>
  </si>
  <si>
    <t>ESE640009</t>
  </si>
  <si>
    <t>15-09-2021</t>
  </si>
  <si>
    <t>ยศวริศ</t>
  </si>
  <si>
    <t>ดุลพินิจพัฒนะ</t>
  </si>
  <si>
    <t>17-08-2018</t>
  </si>
  <si>
    <t>รุ่งศักดิ์</t>
  </si>
  <si>
    <t>นิธิลาภพูล</t>
  </si>
  <si>
    <t>คุง</t>
  </si>
  <si>
    <t>หัวหน้าประสานงานราชการ</t>
  </si>
  <si>
    <t>04-03-2019</t>
  </si>
  <si>
    <t>วริศ</t>
  </si>
  <si>
    <t>บวรรัตนสุภา</t>
  </si>
  <si>
    <t>โดนัท</t>
  </si>
  <si>
    <t>Varit@senasolarenergy.com</t>
  </si>
  <si>
    <t>อ๊อก</t>
  </si>
  <si>
    <t>03-10-2016</t>
  </si>
  <si>
    <t>วัชชนะศักดิ์</t>
  </si>
  <si>
    <t>ศักดิ์สมวาสน์</t>
  </si>
  <si>
    <t>Watchanasaks@senasolarenergy.com</t>
  </si>
  <si>
    <t>วารินทร์</t>
  </si>
  <si>
    <t>เพ็ชร์ภักดี</t>
  </si>
  <si>
    <t>โพส</t>
  </si>
  <si>
    <t>warinp@senasolarenergy.com</t>
  </si>
  <si>
    <t>เจ้าหน้าที่ประสานงานราชการ</t>
  </si>
  <si>
    <t>25-10-2023</t>
  </si>
  <si>
    <t>ศักดินันท์</t>
  </si>
  <si>
    <t>สอนวงษ์</t>
  </si>
  <si>
    <t>sakdinans@senasolarenergy.com</t>
  </si>
  <si>
    <t>08-01-2018</t>
  </si>
  <si>
    <t>สายสุณี</t>
  </si>
  <si>
    <t>ชาติบูรณะ</t>
  </si>
  <si>
    <t>Saysunee@senasolarenergy.com</t>
  </si>
  <si>
    <t>สุเปียน</t>
  </si>
  <si>
    <t>เด็งระกีนา</t>
  </si>
  <si>
    <t>ยัง</t>
  </si>
  <si>
    <t>supiand@senasolarenergy.com</t>
  </si>
  <si>
    <t>02-05-2014</t>
  </si>
  <si>
    <t>อาทิตย์</t>
  </si>
  <si>
    <t>ชาญเดช</t>
  </si>
  <si>
    <t>Arthit@senasolarenergy.com</t>
  </si>
  <si>
    <t>18-10-2011</t>
  </si>
  <si>
    <t>พิบูลย์</t>
  </si>
  <si>
    <t>ESE630005</t>
  </si>
  <si>
    <t>01-09-2020</t>
  </si>
  <si>
    <t>เอกพล</t>
  </si>
  <si>
    <t>ปึงธนานุกิจ</t>
  </si>
  <si>
    <t>MMS660017</t>
  </si>
  <si>
    <t>บริษัท เสนา แมเนจเม้นท์ เซอร์วิส จำกัด</t>
  </si>
  <si>
    <t>09-01-2023</t>
  </si>
  <si>
    <t>พงษ์พันธ์</t>
  </si>
  <si>
    <t>โตเนียม</t>
  </si>
  <si>
    <t>แมว</t>
  </si>
  <si>
    <t>pongpunt@sena.co.th</t>
  </si>
  <si>
    <t>สายงานบริหารโครงการบ้าน 13</t>
  </si>
  <si>
    <t>SRF680001</t>
  </si>
  <si>
    <t>ธิติชัย</t>
  </si>
  <si>
    <t>จำปางาม</t>
  </si>
  <si>
    <t>thitichaic@senasolarenergy.com</t>
  </si>
  <si>
    <t>วีระพงษ์</t>
  </si>
  <si>
    <t>คำยันต์</t>
  </si>
  <si>
    <t>weerapongk@sena.co.th</t>
  </si>
  <si>
    <t>สุรพงษ์</t>
  </si>
  <si>
    <t>พันธ์เข็มทอง</t>
  </si>
  <si>
    <t>นกแล</t>
  </si>
  <si>
    <t>surapongp@senasolarenergy.com</t>
  </si>
  <si>
    <t>SP11680001</t>
  </si>
  <si>
    <t>13-05-2025</t>
  </si>
  <si>
    <t>ภาณุวัตน์</t>
  </si>
  <si>
    <t>เลื่อนแก้ว</t>
  </si>
  <si>
    <t>panuvatl@sena.co.th</t>
  </si>
  <si>
    <t>SP680001</t>
  </si>
  <si>
    <t>บริษัท เสนา เอชเอชพี จำกัด</t>
  </si>
  <si>
    <t>กัญลญา</t>
  </si>
  <si>
    <t>สุขขวัญ</t>
  </si>
  <si>
    <t>ญา</t>
  </si>
  <si>
    <t>Kanlayas@sena.co.th</t>
  </si>
  <si>
    <t>SP680027</t>
  </si>
  <si>
    <t>13-07-2020</t>
  </si>
  <si>
    <t>คณิตตา</t>
  </si>
  <si>
    <t>จงก้องเกียรติ</t>
  </si>
  <si>
    <t>เพ่ยเพ่ย</t>
  </si>
  <si>
    <t>kanittaj@sena.co.th</t>
  </si>
  <si>
    <t>ฝ่าย Project Budgeting &amp; Budgeting Control</t>
  </si>
  <si>
    <t>SP680011</t>
  </si>
  <si>
    <t>07-02-2022</t>
  </si>
  <si>
    <t>ไชยประเสริฐ</t>
  </si>
  <si>
    <t>jittic@sena.co.th</t>
  </si>
  <si>
    <t>SP680034</t>
  </si>
  <si>
    <t>ชมพูพรรณ</t>
  </si>
  <si>
    <t>ชมภูพาน</t>
  </si>
  <si>
    <t>เลย์</t>
  </si>
  <si>
    <t>chompoopunc@sena.co.th</t>
  </si>
  <si>
    <t>ชลีรัตน์</t>
  </si>
  <si>
    <t>สำรวล</t>
  </si>
  <si>
    <t>SP680006</t>
  </si>
  <si>
    <t>ชาลีนา</t>
  </si>
  <si>
    <t>วิทยพัฒนากุล</t>
  </si>
  <si>
    <t>นา</t>
  </si>
  <si>
    <t>chaleenaw@sena.co.th</t>
  </si>
  <si>
    <t>SP680002</t>
  </si>
  <si>
    <t>15-07-2025</t>
  </si>
  <si>
    <t>ไชยา</t>
  </si>
  <si>
    <t>พลอยแก้ว</t>
  </si>
  <si>
    <t>chaiyap@sena.co.th</t>
  </si>
  <si>
    <t>SP680009</t>
  </si>
  <si>
    <t>07-03-2023</t>
  </si>
  <si>
    <t>ญาภรณ์</t>
  </si>
  <si>
    <t>หมวย</t>
  </si>
  <si>
    <t>yaphornh@sena.co.th</t>
  </si>
  <si>
    <t>SP680018</t>
  </si>
  <si>
    <t>สุทธิรักษ์</t>
  </si>
  <si>
    <t>nattaphols@sena.co.th</t>
  </si>
  <si>
    <t>SP680017</t>
  </si>
  <si>
    <t>20-08-2018</t>
  </si>
  <si>
    <t>ศิริศุภนนท์</t>
  </si>
  <si>
    <t>Tanakorns@sena.co.th</t>
  </si>
  <si>
    <t>SP680010</t>
  </si>
  <si>
    <t>นันทนา</t>
  </si>
  <si>
    <t>นินทรัตน์</t>
  </si>
  <si>
    <t>nantanan@sena.co.th</t>
  </si>
  <si>
    <t>SP680003</t>
  </si>
  <si>
    <t>นันทิยา</t>
  </si>
  <si>
    <t>จั่นจ้อย</t>
  </si>
  <si>
    <t>แอนนี่</t>
  </si>
  <si>
    <t>SP680042</t>
  </si>
  <si>
    <t>นิลวนา</t>
  </si>
  <si>
    <t>โตฉิม</t>
  </si>
  <si>
    <t>ninwanat@sena.co.th</t>
  </si>
  <si>
    <t>SP680015</t>
  </si>
  <si>
    <t>11-07-2022</t>
  </si>
  <si>
    <t>นุชนารถ</t>
  </si>
  <si>
    <t>พิมประสาร</t>
  </si>
  <si>
    <t>nutchanantp@sena.co.th</t>
  </si>
  <si>
    <t>SP680019</t>
  </si>
  <si>
    <t>ปภัสวดี</t>
  </si>
  <si>
    <t>ไสยะหุต</t>
  </si>
  <si>
    <t>papatsawadees@sena.co.th</t>
  </si>
  <si>
    <t>SP680036</t>
  </si>
  <si>
    <t>18-10-2018</t>
  </si>
  <si>
    <t>ปราณี</t>
  </si>
  <si>
    <t>ประเสริฐสุข</t>
  </si>
  <si>
    <t>praneep@sena.co.th</t>
  </si>
  <si>
    <t>SP680022</t>
  </si>
  <si>
    <t>23-04-2012</t>
  </si>
  <si>
    <t>ปวีณา</t>
  </si>
  <si>
    <t>คุ้มโหมด</t>
  </si>
  <si>
    <t>Paveenak@sena.co.th</t>
  </si>
  <si>
    <t>SP680013</t>
  </si>
  <si>
    <t>ผกาวรรณ</t>
  </si>
  <si>
    <t>วรรณสุทธิ์</t>
  </si>
  <si>
    <t>phakawanw@sena.co.th</t>
  </si>
  <si>
    <t>เจ้าหน้าที่บัญชีจ่ายอาวุโส</t>
  </si>
  <si>
    <t>SP680024</t>
  </si>
  <si>
    <t>14-10-2020</t>
  </si>
  <si>
    <t>พศวัต</t>
  </si>
  <si>
    <t>สายทอง</t>
  </si>
  <si>
    <t>เอิง</t>
  </si>
  <si>
    <t>possawatts@sena.co.th</t>
  </si>
  <si>
    <t>SP680038</t>
  </si>
  <si>
    <t>เพ็ญพิชชา</t>
  </si>
  <si>
    <t>ชายทอง</t>
  </si>
  <si>
    <t>แจ๊บ</t>
  </si>
  <si>
    <t>penpichac@sena.co.th</t>
  </si>
  <si>
    <t>เจ้าหน้าที่บัญชีเจ้าหนี้อาวุโส</t>
  </si>
  <si>
    <t>SP680016</t>
  </si>
  <si>
    <t>ภัทรัตน์</t>
  </si>
  <si>
    <t>พึ่งประสิทธิ์</t>
  </si>
  <si>
    <t>pattaratp@sena.co.th</t>
  </si>
  <si>
    <t>SP680021</t>
  </si>
  <si>
    <t>11-06-2008</t>
  </si>
  <si>
    <t>รดา</t>
  </si>
  <si>
    <t>กุลสุวรรณ์</t>
  </si>
  <si>
    <t>Radak@sena.co.th</t>
  </si>
  <si>
    <t>SP680005</t>
  </si>
  <si>
    <t>รพีพงศ์</t>
  </si>
  <si>
    <t>สถิตย์มั่น</t>
  </si>
  <si>
    <t>rapeepongs@sena.co.th</t>
  </si>
  <si>
    <t>SP680020</t>
  </si>
  <si>
    <t>06-08-2024</t>
  </si>
  <si>
    <t>รุ่งฤดี</t>
  </si>
  <si>
    <t>จันเหลือง</t>
  </si>
  <si>
    <t>รุ่ง</t>
  </si>
  <si>
    <t>rungruedeej@sena.co.th</t>
  </si>
  <si>
    <t>SP680033</t>
  </si>
  <si>
    <t>25-08-2008</t>
  </si>
  <si>
    <t>ศกุนี</t>
  </si>
  <si>
    <t>ปัญญธนะ</t>
  </si>
  <si>
    <t>Sakuneep@sena.co.th</t>
  </si>
  <si>
    <t>SP680028</t>
  </si>
  <si>
    <t>ศิริลักษณ์</t>
  </si>
  <si>
    <t>มะโนดำ</t>
  </si>
  <si>
    <t>กีต้าร์</t>
  </si>
  <si>
    <t>sirilukm@sena.co.th</t>
  </si>
  <si>
    <t>SP680037</t>
  </si>
  <si>
    <t>13-12-2021</t>
  </si>
  <si>
    <t>ศุภกาณฑ์</t>
  </si>
  <si>
    <t>คำไพร</t>
  </si>
  <si>
    <t>ไข่มุก</t>
  </si>
  <si>
    <t>supakarnk@sena.co.th</t>
  </si>
  <si>
    <t>SP680023</t>
  </si>
  <si>
    <t>พงษ์พันธุ์</t>
  </si>
  <si>
    <t>suppachaip@sena.co.th</t>
  </si>
  <si>
    <t>เจ้าหน้าที่บัญชีผู้รับเหมา</t>
  </si>
  <si>
    <t>SP680007</t>
  </si>
  <si>
    <t>24-08-2020</t>
  </si>
  <si>
    <t>ศุภนิดา</t>
  </si>
  <si>
    <t>แสงเผือก</t>
  </si>
  <si>
    <t>SP680012</t>
  </si>
  <si>
    <t>เสือดำ</t>
  </si>
  <si>
    <t>supattars@sena.co.th</t>
  </si>
  <si>
    <t>เจ้าหน้าที่บัญชีผู้รับเหมาอาวุโส</t>
  </si>
  <si>
    <t>SP680008</t>
  </si>
  <si>
    <t>23-01-2023</t>
  </si>
  <si>
    <t>สุรีพร</t>
  </si>
  <si>
    <t>ไชยกาล</t>
  </si>
  <si>
    <t>sureepornc@sena.co.th</t>
  </si>
  <si>
    <t>พนักงานการเงิน</t>
  </si>
  <si>
    <t>SP680014</t>
  </si>
  <si>
    <t>28-11-2022</t>
  </si>
  <si>
    <t>กองเป็ง</t>
  </si>
  <si>
    <t>นะห์</t>
  </si>
  <si>
    <t>suwanank@sena.co.th</t>
  </si>
  <si>
    <t>SP680030</t>
  </si>
  <si>
    <t>สุวรัตน์</t>
  </si>
  <si>
    <t>วงศ์สังฮะ</t>
  </si>
  <si>
    <t>แอร์</t>
  </si>
  <si>
    <t>suwaratw@sena.co.th</t>
  </si>
  <si>
    <t>SP680026</t>
  </si>
  <si>
    <t>หฤทัยรัตน์</t>
  </si>
  <si>
    <t>ขวัญทอง</t>
  </si>
  <si>
    <t>อมรรัตน์</t>
  </si>
  <si>
    <t>พรหมมา</t>
  </si>
  <si>
    <t>SP680004</t>
  </si>
  <si>
    <t>อรยา</t>
  </si>
  <si>
    <t>ดวงดี</t>
  </si>
  <si>
    <t>orayad@sena.co.th</t>
  </si>
  <si>
    <t>SP680032</t>
  </si>
  <si>
    <t>อัจราพร</t>
  </si>
  <si>
    <t>สุภาผล</t>
  </si>
  <si>
    <t>มายมิ้นท์</t>
  </si>
  <si>
    <t>aujaraporns@sena.co.th</t>
  </si>
  <si>
    <t>SP680029</t>
  </si>
  <si>
    <t>อัฏฐพล</t>
  </si>
  <si>
    <t>เงินทองดี</t>
  </si>
  <si>
    <t>attapoln@sena.co.th</t>
  </si>
  <si>
    <t>SP680039</t>
  </si>
  <si>
    <t>อัษฏายุส</t>
  </si>
  <si>
    <t>สิทธิชัยวรวัฒน์</t>
  </si>
  <si>
    <t>อัษ</t>
  </si>
  <si>
    <t>atsadayuts@sena.co.th</t>
  </si>
  <si>
    <t>เจ้าหน้าที่ธุรการบัญชีและการเงิน</t>
  </si>
  <si>
    <t>SP680035</t>
  </si>
  <si>
    <t>นันทจักร</t>
  </si>
  <si>
    <t>แน๊ก</t>
  </si>
  <si>
    <t>arthitn@sena.co.th</t>
  </si>
  <si>
    <t>BK680170</t>
  </si>
  <si>
    <t>กชกรพร</t>
  </si>
  <si>
    <t>สวนสุวรรณ</t>
  </si>
  <si>
    <t>kochkalbals@sena.co.th</t>
  </si>
  <si>
    <t>ฝ่ายบริหารการขายคอนโด 1C</t>
  </si>
  <si>
    <t>01-09-2014</t>
  </si>
  <si>
    <t>กนกนิภา</t>
  </si>
  <si>
    <t>จันทรา</t>
  </si>
  <si>
    <t>วิ</t>
  </si>
  <si>
    <t>kanoknipaj@sena.co.th</t>
  </si>
  <si>
    <t>16-07-2021</t>
  </si>
  <si>
    <t>กนกนุช</t>
  </si>
  <si>
    <t>นวลเนตร</t>
  </si>
  <si>
    <t>kanoknuchn@sena.co.th</t>
  </si>
  <si>
    <t>เจ้าหน้าที่ประสานงานโครงการอาวุโส</t>
  </si>
  <si>
    <t>BK680181</t>
  </si>
  <si>
    <t>กนกรัตน์</t>
  </si>
  <si>
    <t>อนันต์พิริยะกุล</t>
  </si>
  <si>
    <t>kanokrata@sena.co.th</t>
  </si>
  <si>
    <t>ฝ่ายบริหารการตลาดคอนโด 2C</t>
  </si>
  <si>
    <t>BK680227</t>
  </si>
  <si>
    <t>กนกลักษณ์</t>
  </si>
  <si>
    <t>ชวัลรัชต์พงษ์</t>
  </si>
  <si>
    <t>kanokluckc@sena.co.th</t>
  </si>
  <si>
    <t>ผู้ช่วยหัวหน้างานขายและสินเชื่อ</t>
  </si>
  <si>
    <t>01-07-2022</t>
  </si>
  <si>
    <t>คล้ายทิม</t>
  </si>
  <si>
    <t>มิ้ล</t>
  </si>
  <si>
    <t>กนิษ</t>
  </si>
  <si>
    <t>กนิษฐะสุนทร</t>
  </si>
  <si>
    <t>ป๋อง</t>
  </si>
  <si>
    <t>kanitk@sena.co.th</t>
  </si>
  <si>
    <t>ผู้เชียวชาญ 1</t>
  </si>
  <si>
    <t>08-08-2016</t>
  </si>
  <si>
    <t>กมลชนก</t>
  </si>
  <si>
    <t>Kamonchanoks@sena.co.th</t>
  </si>
  <si>
    <t>05-08-2002</t>
  </si>
  <si>
    <t>คันธวณิชพันธุ์</t>
  </si>
  <si>
    <t>เฉ้ง</t>
  </si>
  <si>
    <t>Kamonwank@sena.co.th</t>
  </si>
  <si>
    <t>ผู้ช่วยเลขานุการประธานเจ้าหน้าที่บริหาร</t>
  </si>
  <si>
    <t>25-09-2009</t>
  </si>
  <si>
    <t>กรชวัล</t>
  </si>
  <si>
    <t>นนท์แก้ว</t>
  </si>
  <si>
    <t>Kornchawann@sena.co.th</t>
  </si>
  <si>
    <t>BK680472</t>
  </si>
  <si>
    <t>นันทพฤกษาสกุล</t>
  </si>
  <si>
    <t>kornn@sena.co.th</t>
  </si>
  <si>
    <t>BK680638</t>
  </si>
  <si>
    <t>กรนารายณ์</t>
  </si>
  <si>
    <t>มาภักดี</t>
  </si>
  <si>
    <t>kornnaraim@sena.co.th</t>
  </si>
  <si>
    <t>ฝ่ายบริหารการตลาดบ้าน 2A</t>
  </si>
  <si>
    <t>BK680645</t>
  </si>
  <si>
    <t>กรรณิการ์</t>
  </si>
  <si>
    <t>หนไธสง</t>
  </si>
  <si>
    <t>kannikah@sena.co.th</t>
  </si>
  <si>
    <t>วิศวกรประมาณราคา</t>
  </si>
  <si>
    <t>04-10-2011</t>
  </si>
  <si>
    <t>กรวิก</t>
  </si>
  <si>
    <t>แช่มชื่น</t>
  </si>
  <si>
    <t>Korawikc@sena.co.th</t>
  </si>
  <si>
    <t>BK680176</t>
  </si>
  <si>
    <t>กรอุมา</t>
  </si>
  <si>
    <t>เขื่อนเพชร</t>
  </si>
  <si>
    <t>kornumak@sena.co.th</t>
  </si>
  <si>
    <t>สายงานบริหารการขาย และการตลาดคอนโด 2</t>
  </si>
  <si>
    <t>BK680489</t>
  </si>
  <si>
    <t>กริช</t>
  </si>
  <si>
    <t>มีล่อง</t>
  </si>
  <si>
    <t>krichm@sena.co.th</t>
  </si>
  <si>
    <t>ฝ่ายบริหารโครงการบ้าน 11A</t>
  </si>
  <si>
    <t>13-02-2023</t>
  </si>
  <si>
    <t>กรีชภัทร์ฐา</t>
  </si>
  <si>
    <t>เดชเกิด</t>
  </si>
  <si>
    <t>krichapaptad@sena.co.th</t>
  </si>
  <si>
    <t>เจ้าหน้าที่ประสานงานโครงการ</t>
  </si>
  <si>
    <t>กรีภพ</t>
  </si>
  <si>
    <t>โทบุดดี</t>
  </si>
  <si>
    <t>kreepopt@sena.co.th</t>
  </si>
  <si>
    <t>โฟร์แมนตรวจคุณภาพงาน</t>
  </si>
  <si>
    <t>ฝ่ายควบคุมคุณภาพ QC</t>
  </si>
  <si>
    <t>02-02-2022</t>
  </si>
  <si>
    <t>กฤตธี</t>
  </si>
  <si>
    <t>มาฆะศิรานนท์</t>
  </si>
  <si>
    <t>เจิด</t>
  </si>
  <si>
    <t>krittateem@sena.co.th</t>
  </si>
  <si>
    <t>13-11-2018</t>
  </si>
  <si>
    <t>กฤษฎา</t>
  </si>
  <si>
    <t>ฉัฐมะ</t>
  </si>
  <si>
    <t>kritsadac@sena.co.th</t>
  </si>
  <si>
    <t>10-06-2019</t>
  </si>
  <si>
    <t>กฤษฎิ์</t>
  </si>
  <si>
    <t>ใจอ่อน</t>
  </si>
  <si>
    <t>กิต</t>
  </si>
  <si>
    <t>kridj@sena.co.th</t>
  </si>
  <si>
    <t>ฝ่ายตรวจสอบปริมาณงาน (QS)</t>
  </si>
  <si>
    <t>BK680422</t>
  </si>
  <si>
    <t>กวีวรรณ</t>
  </si>
  <si>
    <t>ศรีพิมพ์</t>
  </si>
  <si>
    <t>kaweewans@sena.co.th</t>
  </si>
  <si>
    <t>เจ้าหน้าที่สโตร์อาวุโส</t>
  </si>
  <si>
    <t>BK680139</t>
  </si>
  <si>
    <t>23-09-2017</t>
  </si>
  <si>
    <t>กษม</t>
  </si>
  <si>
    <t>ปุณณวรานนท์</t>
  </si>
  <si>
    <t>jacky</t>
  </si>
  <si>
    <t>kasamap@sena.co.th</t>
  </si>
  <si>
    <t>ฝ่ายบริหารการขายคอนโด 1B</t>
  </si>
  <si>
    <t>กษมา</t>
  </si>
  <si>
    <t>ชาญวิบูลย์</t>
  </si>
  <si>
    <t>นิค</t>
  </si>
  <si>
    <t>พนักงานขับรถส่วนกลาง</t>
  </si>
  <si>
    <t>BK680414</t>
  </si>
  <si>
    <t>01-02-2011</t>
  </si>
  <si>
    <t>ก้องภพ</t>
  </si>
  <si>
    <t>มั่นคง</t>
  </si>
  <si>
    <t>Kongpobm@sena.co.th</t>
  </si>
  <si>
    <t>ฝ่ายบริหารโครงการคอนโดและบ้าน 11G</t>
  </si>
  <si>
    <t>BK680583</t>
  </si>
  <si>
    <t>กัญญ์ณณัฏฐ์</t>
  </si>
  <si>
    <t>น้อยน้ำคำ</t>
  </si>
  <si>
    <t>kannanatn@sena.co.th</t>
  </si>
  <si>
    <t>18-04-2022</t>
  </si>
  <si>
    <t>กัญญ์สชาญ์</t>
  </si>
  <si>
    <t>ชัยธนัตถ์โชค</t>
  </si>
  <si>
    <t>ส้มโอ</t>
  </si>
  <si>
    <t>พนักงานขายและสินเชื่อ</t>
  </si>
  <si>
    <t>BK680183</t>
  </si>
  <si>
    <t>04-01-2022</t>
  </si>
  <si>
    <t>สุวรรณนพ</t>
  </si>
  <si>
    <t>kanyapaksu@sena.co.th</t>
  </si>
  <si>
    <t>ฝ่ายบริหารการขายคอนโด 4B</t>
  </si>
  <si>
    <t>05-12-2007</t>
  </si>
  <si>
    <t>กันต์วรินทร์</t>
  </si>
  <si>
    <t>ศรีอนันต์</t>
  </si>
  <si>
    <t>มาด</t>
  </si>
  <si>
    <t>Kanvarints@sena.co.th</t>
  </si>
  <si>
    <t>ผู้ชำนาญการ 1</t>
  </si>
  <si>
    <t>06-12-2022</t>
  </si>
  <si>
    <t>จันทุลาง</t>
  </si>
  <si>
    <t>กิ๋ม</t>
  </si>
  <si>
    <t>kanlayaj@sena.co.th</t>
  </si>
  <si>
    <t>09-11-2020</t>
  </si>
  <si>
    <t>กัลยารัตน์</t>
  </si>
  <si>
    <t>วิหาร</t>
  </si>
  <si>
    <t>kanyaratw@sena.co.th</t>
  </si>
  <si>
    <t>กาญจนา</t>
  </si>
  <si>
    <t>ยารังษี</t>
  </si>
  <si>
    <t>บี้</t>
  </si>
  <si>
    <t>kanjanay@sena.co.th</t>
  </si>
  <si>
    <t>02-11-2020</t>
  </si>
  <si>
    <t>บัวจันทร์</t>
  </si>
  <si>
    <t>ฝ่ายวิศวกรรมคุณภาพ และการออกแบบ</t>
  </si>
  <si>
    <t>หงษ์ดิลกกุล</t>
  </si>
  <si>
    <t>ปุ๋ม</t>
  </si>
  <si>
    <t>kanjanah@sena.co.th</t>
  </si>
  <si>
    <t>20-06-2022</t>
  </si>
  <si>
    <t>กิตติ</t>
  </si>
  <si>
    <t>เตชะวรรณเศรษฐ์</t>
  </si>
  <si>
    <t>kittit@sena.co.th</t>
  </si>
  <si>
    <t>เจ้าหน้าที่บัญชีต้นทุนอาวุโส</t>
  </si>
  <si>
    <t>BK680591</t>
  </si>
  <si>
    <t>21-04-2025</t>
  </si>
  <si>
    <t>กิตติคุณ</t>
  </si>
  <si>
    <t>สีมานนทปริญญา</t>
  </si>
  <si>
    <t>kittikhuns@sena.co.th</t>
  </si>
  <si>
    <t>สายงานบริหารการตลาดคอนโด 1</t>
  </si>
  <si>
    <t>กิตติธัช</t>
  </si>
  <si>
    <t>กาฬภักดี</t>
  </si>
  <si>
    <t>kittithatk@sena.co.th</t>
  </si>
  <si>
    <t>กิตติพงศ์</t>
  </si>
  <si>
    <t>วงศ์ปรีชาธรรม</t>
  </si>
  <si>
    <t>kittipongw@sena.co.th</t>
  </si>
  <si>
    <t>วิศวกรเครื่องกล</t>
  </si>
  <si>
    <t>27-06-2022</t>
  </si>
  <si>
    <t>กิตติศักดิ์</t>
  </si>
  <si>
    <t>เส้งสุย</t>
  </si>
  <si>
    <t>ทน</t>
  </si>
  <si>
    <t>kittisaks@sena.co.th</t>
  </si>
  <si>
    <t>BK680636</t>
  </si>
  <si>
    <t>กิตติสัณห์</t>
  </si>
  <si>
    <t>ศรีธัญรัตน์</t>
  </si>
  <si>
    <t>แน็ก</t>
  </si>
  <si>
    <t>kittisans@sena.co.th</t>
  </si>
  <si>
    <t>กิรณา</t>
  </si>
  <si>
    <t>ครองศิริ</t>
  </si>
  <si>
    <t>กรีน</t>
  </si>
  <si>
    <t>ฝ่ายบริหารการขายคอนโด 3A</t>
  </si>
  <si>
    <t>BK680314</t>
  </si>
  <si>
    <t>คอนระไทย</t>
  </si>
  <si>
    <t>ก๊อต</t>
  </si>
  <si>
    <t>กุลวดี</t>
  </si>
  <si>
    <t>บุญเรืองขาว</t>
  </si>
  <si>
    <t>kulvadeeb@sena.co.th</t>
  </si>
  <si>
    <t>Senior Project Coordinator</t>
  </si>
  <si>
    <t>BK680246</t>
  </si>
  <si>
    <t>19-04-2021</t>
  </si>
  <si>
    <t>กุลวรินทร์</t>
  </si>
  <si>
    <t>เลิศพลนิธิโชติ ลี</t>
  </si>
  <si>
    <t>พัชชา</t>
  </si>
  <si>
    <t>kunwarinl@sena.co.th</t>
  </si>
  <si>
    <t>BK660085</t>
  </si>
  <si>
    <t>01-06-2013</t>
  </si>
  <si>
    <t>จันทร์ขำ</t>
  </si>
  <si>
    <t>Khengj@sena.co.th</t>
  </si>
  <si>
    <t>พนักงานขับรถผู้บริหาร</t>
  </si>
  <si>
    <t>เกริก</t>
  </si>
  <si>
    <t>ปรัชญาพัฒนพงศ์</t>
  </si>
  <si>
    <t>มาร์ค</t>
  </si>
  <si>
    <t>เกศนภา</t>
  </si>
  <si>
    <t>กิ๊ฟท์</t>
  </si>
  <si>
    <t>BK570084</t>
  </si>
  <si>
    <t>18-01-2021</t>
  </si>
  <si>
    <t>เกียรติก้อง</t>
  </si>
  <si>
    <t>การะก่าน</t>
  </si>
  <si>
    <t>Kiatkongk@sena.co.th</t>
  </si>
  <si>
    <t>ผู้ช่วยผู้จัดการโครงการ</t>
  </si>
  <si>
    <t>BK680473</t>
  </si>
  <si>
    <t>เกียรติชัย</t>
  </si>
  <si>
    <t>ทองแก้วจันทร์</t>
  </si>
  <si>
    <t>เกียรติ</t>
  </si>
  <si>
    <t>kiattichait@sena.co.th</t>
  </si>
  <si>
    <t>ฝ่ายบริหารโครงการคอนโด และบ้าน 12C</t>
  </si>
  <si>
    <t>โกศล</t>
  </si>
  <si>
    <t>ขาวน้อย</t>
  </si>
  <si>
    <t>kosonk@sena.co.th</t>
  </si>
  <si>
    <t>15-05-2023</t>
  </si>
  <si>
    <t>โกสิต</t>
  </si>
  <si>
    <t>อิสรียวงศ์</t>
  </si>
  <si>
    <t>โหน่ง</t>
  </si>
  <si>
    <t>kositi@sena.co.th</t>
  </si>
  <si>
    <t>ผู้ชำนาญการ 3</t>
  </si>
  <si>
    <t>BK680644</t>
  </si>
  <si>
    <t>ขวัญชนก</t>
  </si>
  <si>
    <t>แก้วแสงทอง</t>
  </si>
  <si>
    <t>khwanchanokk@sena.co.th</t>
  </si>
  <si>
    <t>เจ้าหน้าที่สรรหาบุคลากร</t>
  </si>
  <si>
    <t>ฝ่าย Talent Acquisition &amp; Employee Branding</t>
  </si>
  <si>
    <t>24-10-2023</t>
  </si>
  <si>
    <t>มุขตวาภัย</t>
  </si>
  <si>
    <t>kwanchanokm@sena.co.th</t>
  </si>
  <si>
    <t>09-10-2019</t>
  </si>
  <si>
    <t>เขมจิรา</t>
  </si>
  <si>
    <t>บุญคำ</t>
  </si>
  <si>
    <t>มะเหมี่ยว</t>
  </si>
  <si>
    <t>BK680642</t>
  </si>
  <si>
    <t>เขมิกา</t>
  </si>
  <si>
    <t>นวัตฐากุล</t>
  </si>
  <si>
    <t>เจน</t>
  </si>
  <si>
    <t>khemikan@sena.co.th</t>
  </si>
  <si>
    <t>BK680647</t>
  </si>
  <si>
    <t>เขมิสรา</t>
  </si>
  <si>
    <t>สิงห์เทพ</t>
  </si>
  <si>
    <t>khemisaras@sena.co.th</t>
  </si>
  <si>
    <t>หัวหน้าการตลาด</t>
  </si>
  <si>
    <t>ฝ่ายบริหารการตลาดบ้าน 2B</t>
  </si>
  <si>
    <t>คณิตกุล</t>
  </si>
  <si>
    <t>เทอดรัตนเกียรติ</t>
  </si>
  <si>
    <t>อิ๊คคิว</t>
  </si>
  <si>
    <t>ฝ่ายบริหารการขายคอนโด 2C</t>
  </si>
  <si>
    <t>BK680315</t>
  </si>
  <si>
    <t>คณิศร</t>
  </si>
  <si>
    <t>เสริมใหม่</t>
  </si>
  <si>
    <t>kanisons@sena.co.th</t>
  </si>
  <si>
    <t>04-06-2013</t>
  </si>
  <si>
    <t>คนึงนิตย์</t>
  </si>
  <si>
    <t>หวานเสร็จ</t>
  </si>
  <si>
    <t>Khanuengnitw@sena.co.th</t>
  </si>
  <si>
    <t>15-09-2006</t>
  </si>
  <si>
    <t>คมกฤช</t>
  </si>
  <si>
    <t>ศักดิ์สมานพันธุ์</t>
  </si>
  <si>
    <t>Komkrijs@sena.co.th</t>
  </si>
  <si>
    <t>ครองศักดิ์</t>
  </si>
  <si>
    <t>มานะเจริญ</t>
  </si>
  <si>
    <t>เบิ้ม</t>
  </si>
  <si>
    <t>Krongsakm@sena.co.th</t>
  </si>
  <si>
    <t>BK680555</t>
  </si>
  <si>
    <t>24-06-2013</t>
  </si>
  <si>
    <t>คำฟ้า</t>
  </si>
  <si>
    <t>มะริดดี</t>
  </si>
  <si>
    <t>Camfam@sena.co.th</t>
  </si>
  <si>
    <t>เครือมาศ</t>
  </si>
  <si>
    <t>อินทองปาน</t>
  </si>
  <si>
    <t>khruamasi@sena.co.th</t>
  </si>
  <si>
    <t>เจ้าหน้าที่ประชาสัมพันธ์อาวุโส</t>
  </si>
  <si>
    <t>จรัส</t>
  </si>
  <si>
    <t>วงษ์โห้</t>
  </si>
  <si>
    <t>jaratw@sena.co.th</t>
  </si>
  <si>
    <t>26-03-2018</t>
  </si>
  <si>
    <t>จรัสศรี</t>
  </si>
  <si>
    <t>ชวนชม</t>
  </si>
  <si>
    <t>หน่อย</t>
  </si>
  <si>
    <t>Jaratsric@sena.co.th</t>
  </si>
  <si>
    <t>จริญา</t>
  </si>
  <si>
    <t>ด่านสมพงค์</t>
  </si>
  <si>
    <t>jariyad@sena.co.th</t>
  </si>
  <si>
    <t>จริยา</t>
  </si>
  <si>
    <t>สุนทรวิภาค</t>
  </si>
  <si>
    <t>jariyas@sena.co.th</t>
  </si>
  <si>
    <t>08-07-2019</t>
  </si>
  <si>
    <t>เพ็ชรซีก</t>
  </si>
  <si>
    <t>ปัด</t>
  </si>
  <si>
    <t>jariyap@sena.co.th</t>
  </si>
  <si>
    <t>16-01-2024</t>
  </si>
  <si>
    <t>จริวัฒน์</t>
  </si>
  <si>
    <t>ลานันท์</t>
  </si>
  <si>
    <t>jariwatl@sena.co.th</t>
  </si>
  <si>
    <t>BK680507</t>
  </si>
  <si>
    <t>จักรกริตย์</t>
  </si>
  <si>
    <t>อาภรณ์รัมย์</t>
  </si>
  <si>
    <t>กริต</t>
  </si>
  <si>
    <t>jakkritar@sena.co.th</t>
  </si>
  <si>
    <t>17-12-2020</t>
  </si>
  <si>
    <t>จักรพงศ์</t>
  </si>
  <si>
    <t>ทรัพย์ไพบูลย์</t>
  </si>
  <si>
    <t>Jakkaphongs@sena.co.th</t>
  </si>
  <si>
    <t>โฟร์แมนบริการหลังการขายอาวุโส</t>
  </si>
  <si>
    <t>BK680401</t>
  </si>
  <si>
    <t>16-02-2015</t>
  </si>
  <si>
    <t>จักรพงษ์</t>
  </si>
  <si>
    <t>สุนสมบุญ</t>
  </si>
  <si>
    <t>ต๋า</t>
  </si>
  <si>
    <t>Jagkapongs@sena.co.th</t>
  </si>
  <si>
    <t>ฝ่ายบริหารโครงการคอนโด และบ้าน 11C</t>
  </si>
  <si>
    <t>08-03-2021</t>
  </si>
  <si>
    <t>จักรินทร์</t>
  </si>
  <si>
    <t>ทรัพย์นิมิตร</t>
  </si>
  <si>
    <t>ปิค</t>
  </si>
  <si>
    <t>BK000057</t>
  </si>
  <si>
    <t>08-03-2007</t>
  </si>
  <si>
    <t>จั๋นติ๊บ</t>
  </si>
  <si>
    <t>เจริญกูล</t>
  </si>
  <si>
    <t>ติ๊บ</t>
  </si>
  <si>
    <t>Jhantipc@sena.co.th</t>
  </si>
  <si>
    <t>BK680515</t>
  </si>
  <si>
    <t>25-01-2023</t>
  </si>
  <si>
    <t>จันทิรา</t>
  </si>
  <si>
    <t>กันภัย</t>
  </si>
  <si>
    <t>อุ้ย</t>
  </si>
  <si>
    <t>chantirak@sena.co.th</t>
  </si>
  <si>
    <t>จาตุรนต์</t>
  </si>
  <si>
    <t>สิงหนาท</t>
  </si>
  <si>
    <t>jaturons@sena.co.th</t>
  </si>
  <si>
    <t>BK680242</t>
  </si>
  <si>
    <t>จิณห์ณพัฒน์</t>
  </si>
  <si>
    <t>จันทร์คำ</t>
  </si>
  <si>
    <t>ซาเดียร์</t>
  </si>
  <si>
    <t>jinnapatj@sena.co.th</t>
  </si>
  <si>
    <t>05-09-2018</t>
  </si>
  <si>
    <t>จิดาภา</t>
  </si>
  <si>
    <t>บุปผากลิ่น</t>
  </si>
  <si>
    <t>ปิ๊ก</t>
  </si>
  <si>
    <t>jidapab@sena.co.th</t>
  </si>
  <si>
    <t>08-10-2024</t>
  </si>
  <si>
    <t>จิตอารีย์</t>
  </si>
  <si>
    <t>คำแพงศรี</t>
  </si>
  <si>
    <t>บิวตี้</t>
  </si>
  <si>
    <t>jitarereek@sena.co.th</t>
  </si>
  <si>
    <t>จินตนาพร</t>
  </si>
  <si>
    <t>ทาอินทร์</t>
  </si>
  <si>
    <t>หนูเล็ก</t>
  </si>
  <si>
    <t>jintanapornt@sena.co.th</t>
  </si>
  <si>
    <t>วิศวกรจัดจ้าง</t>
  </si>
  <si>
    <t>BK680209</t>
  </si>
  <si>
    <t>17-10-2022</t>
  </si>
  <si>
    <t>จินตภาส์</t>
  </si>
  <si>
    <t>วงศ์ชัยธนสิน</t>
  </si>
  <si>
    <t>chintapaw@sena.co.th</t>
  </si>
  <si>
    <t>BK680220</t>
  </si>
  <si>
    <t>25-04-2022</t>
  </si>
  <si>
    <t>จิรพิพัฒน์</t>
  </si>
  <si>
    <t>ดำรงค์ศรีสกุล</t>
  </si>
  <si>
    <t>Jiraphipatd@sena.co.th</t>
  </si>
  <si>
    <t>16-01-2023</t>
  </si>
  <si>
    <t>จิรโรจน์</t>
  </si>
  <si>
    <t>ศุภลักษณ์</t>
  </si>
  <si>
    <t>BK630015</t>
  </si>
  <si>
    <t>จิรวัฒน์</t>
  </si>
  <si>
    <t>แม่นปืน</t>
  </si>
  <si>
    <t>jirawatm@sena.co.th</t>
  </si>
  <si>
    <t>BK680458</t>
  </si>
  <si>
    <t>16-10-2007</t>
  </si>
  <si>
    <t>จิรศักดิ์</t>
  </si>
  <si>
    <t>บุญเถิง</t>
  </si>
  <si>
    <t>Jirasakb@sena.co.th</t>
  </si>
  <si>
    <t>BK680513</t>
  </si>
  <si>
    <t>จิรัชยา</t>
  </si>
  <si>
    <t>เชื้อนันไชย</t>
  </si>
  <si>
    <t>ต้นปาล์ม</t>
  </si>
  <si>
    <t>jiratchayac@sena.co.th</t>
  </si>
  <si>
    <t>09-05-1983</t>
  </si>
  <si>
    <t>จิรัฏฐ์จิตชญา</t>
  </si>
  <si>
    <t>พจนานันทกุล</t>
  </si>
  <si>
    <t>ชุ</t>
  </si>
  <si>
    <t>Jiradjitchayap@sena.co.th</t>
  </si>
  <si>
    <t>BK680193</t>
  </si>
  <si>
    <t>จิราพัชร</t>
  </si>
  <si>
    <t>ศรฤทธิ์</t>
  </si>
  <si>
    <t>jirapats@sena.co.th</t>
  </si>
  <si>
    <t>จิราภา</t>
  </si>
  <si>
    <t>ราชวาณิชย์</t>
  </si>
  <si>
    <t>แพรว</t>
  </si>
  <si>
    <t>สถาปนิกอาวุโส</t>
  </si>
  <si>
    <t>13-01-2014</t>
  </si>
  <si>
    <t>จิราภาภรณ์</t>
  </si>
  <si>
    <t>ศิริบัว</t>
  </si>
  <si>
    <t>จิ</t>
  </si>
  <si>
    <t>Jirapaporns@sena.co.th</t>
  </si>
  <si>
    <t>จุฑาภรณ์</t>
  </si>
  <si>
    <t>รุ่งเรือง</t>
  </si>
  <si>
    <t>เซนส์</t>
  </si>
  <si>
    <t>jutapornr@sena.co.th</t>
  </si>
  <si>
    <t>มัณฑนากร</t>
  </si>
  <si>
    <t>ฝ่าย INTERIOR</t>
  </si>
  <si>
    <t>บัวพิศ</t>
  </si>
  <si>
    <t>Jutapornb@sena.co.th</t>
  </si>
  <si>
    <t>01-05-2021</t>
  </si>
  <si>
    <t>เสนากุล</t>
  </si>
  <si>
    <t>ฝ่าย Public Relations &amp; Corporate Communication</t>
  </si>
  <si>
    <t>BK680514</t>
  </si>
  <si>
    <t>วุฒิพรม</t>
  </si>
  <si>
    <t>jutamartw@sena.co.th</t>
  </si>
  <si>
    <t>ฝ่ายบริหารโครงการคอนโด และบ้าน 12H</t>
  </si>
  <si>
    <t>จุฑามาส</t>
  </si>
  <si>
    <t>คุ้มหรั่ง</t>
  </si>
  <si>
    <t>juthamask@sena.co.th</t>
  </si>
  <si>
    <t>BK680190</t>
  </si>
  <si>
    <t>ทองใส</t>
  </si>
  <si>
    <t>รัตน์</t>
  </si>
  <si>
    <t>jurairatto@sena.co.th</t>
  </si>
  <si>
    <t>BK680487</t>
  </si>
  <si>
    <t>เจริญพงศ์</t>
  </si>
  <si>
    <t>มะโนบาล</t>
  </si>
  <si>
    <t>charoenphongm@sena.co.th</t>
  </si>
  <si>
    <t>02-07-2009</t>
  </si>
  <si>
    <t>ประสงค์ยิ่ง</t>
  </si>
  <si>
    <t>Jatsadap@sena.co.th</t>
  </si>
  <si>
    <t>BK680409</t>
  </si>
  <si>
    <t>ศรีราชพนมปาน</t>
  </si>
  <si>
    <t>chetsadas@sena.co.th</t>
  </si>
  <si>
    <t>ฝ่ายบริหารโครงการคอนโด และบ้าน 11E</t>
  </si>
  <si>
    <t>BK680243</t>
  </si>
  <si>
    <t>เจษรา</t>
  </si>
  <si>
    <t>jadsarak@sena.co.th</t>
  </si>
  <si>
    <t>Computer All in one  AIO HP 27-cb1009d</t>
  </si>
  <si>
    <t>ฉัตรนภา</t>
  </si>
  <si>
    <t>รักญาติ</t>
  </si>
  <si>
    <t>chatnapar@sena.co.th</t>
  </si>
  <si>
    <t>Project Coordinator</t>
  </si>
  <si>
    <t>เฉลิมพล</t>
  </si>
  <si>
    <t>จันทร์ขจร</t>
  </si>
  <si>
    <t>ตู๋</t>
  </si>
  <si>
    <t>ฝ่าย Brand &amp; Strategic Communications</t>
  </si>
  <si>
    <t>โชควิเศษชัยสิทธิ์</t>
  </si>
  <si>
    <t>charlermpolc@sena.co.th</t>
  </si>
  <si>
    <t>BK680475</t>
  </si>
  <si>
    <t>เนตรไสว</t>
  </si>
  <si>
    <t>ปริง</t>
  </si>
  <si>
    <t>chaleomponn@sena.co.th</t>
  </si>
  <si>
    <t>เฉลิมลาภ</t>
  </si>
  <si>
    <t>อ่อนชะอ่ำ</t>
  </si>
  <si>
    <t>หัวหน้าโฟร์แมน</t>
  </si>
  <si>
    <t>ชญกฤศ</t>
  </si>
  <si>
    <t>อาจะสมิต</t>
  </si>
  <si>
    <t>ฝ่ายบริหารโครงการคอนโด 11D</t>
  </si>
  <si>
    <t>BK680585</t>
  </si>
  <si>
    <t>05-03-2025</t>
  </si>
  <si>
    <t>ชดาษา</t>
  </si>
  <si>
    <t>พูลศักดิ์</t>
  </si>
  <si>
    <t>เนม</t>
  </si>
  <si>
    <t>chadasap@sena.co.th</t>
  </si>
  <si>
    <t>ชนกดนัย</t>
  </si>
  <si>
    <t>คล่องใจ</t>
  </si>
  <si>
    <t>เรียว</t>
  </si>
  <si>
    <t>chanokdanaik@sena.co.th</t>
  </si>
  <si>
    <t>BK680664</t>
  </si>
  <si>
    <t>ชนกานต์</t>
  </si>
  <si>
    <t>เครือชาลี</t>
  </si>
  <si>
    <t>แช็ป</t>
  </si>
  <si>
    <t>ฝ่ายบริหารการขายคอนโด 3C</t>
  </si>
  <si>
    <t>ชนะชัย</t>
  </si>
  <si>
    <t>อุปตอ</t>
  </si>
  <si>
    <t>นะ</t>
  </si>
  <si>
    <t>05-02-1991</t>
  </si>
  <si>
    <t>ชนัดดา</t>
  </si>
  <si>
    <t>คณานุรักษ์</t>
  </si>
  <si>
    <t>Chanaddak@sena.co.th</t>
  </si>
  <si>
    <t>เลขานุการประธานเจ้าหน้าที่บริหาร</t>
  </si>
  <si>
    <t>17-01-2020</t>
  </si>
  <si>
    <t>ชนินทร์</t>
  </si>
  <si>
    <t>แก้วศรีนวล</t>
  </si>
  <si>
    <t>chanink@sena.co.th</t>
  </si>
  <si>
    <t>ชนินทร</t>
  </si>
  <si>
    <t>ยอดศรีทอง</t>
  </si>
  <si>
    <t>เอิร์ธ</t>
  </si>
  <si>
    <t>chaninthorny@sena.co.th</t>
  </si>
  <si>
    <t>04-12-2025</t>
  </si>
  <si>
    <t>ชนินาถ</t>
  </si>
  <si>
    <t>มะหะหมัด</t>
  </si>
  <si>
    <t>อัม</t>
  </si>
  <si>
    <t>BK680599</t>
  </si>
  <si>
    <t>ชนิสรา</t>
  </si>
  <si>
    <t>ทิมทอง</t>
  </si>
  <si>
    <t>chanissarat@sena.co.th</t>
  </si>
  <si>
    <t>BK680450</t>
  </si>
  <si>
    <t>17-01-2022</t>
  </si>
  <si>
    <t>ชนุตพร</t>
  </si>
  <si>
    <t>ด้วงสอ</t>
  </si>
  <si>
    <t>ปั๊ก</t>
  </si>
  <si>
    <t>chanutapornd@sena.co.th</t>
  </si>
  <si>
    <t>03-12-2018</t>
  </si>
  <si>
    <t>ชเนษฎ์</t>
  </si>
  <si>
    <t>วิชชจุฑากุล</t>
  </si>
  <si>
    <t>ซ้ง</t>
  </si>
  <si>
    <t>chanetw@sena.co.th</t>
  </si>
  <si>
    <t>เจ้าหน้าที่การตลาดนวัตกรรมอาวุโส</t>
  </si>
  <si>
    <t>17-05-2021</t>
  </si>
  <si>
    <t>ชยพล</t>
  </si>
  <si>
    <t>ศิรินุพงษ์</t>
  </si>
  <si>
    <t>chayapols@sena.co.th</t>
  </si>
  <si>
    <t>เจ้าหน้าที่สนับสนุนงานคอมพิวเตอร์อาวุโส</t>
  </si>
  <si>
    <t>14-05-2012</t>
  </si>
  <si>
    <t>ชยิสรา</t>
  </si>
  <si>
    <t>เอมโอช</t>
  </si>
  <si>
    <t>23-03-1993</t>
  </si>
  <si>
    <t>บุญไชย</t>
  </si>
  <si>
    <t>Chontichab@sena.co.th</t>
  </si>
  <si>
    <t>ชลลดา</t>
  </si>
  <si>
    <t>แวงวรรณ</t>
  </si>
  <si>
    <t>cholladaw@sena.co.th</t>
  </si>
  <si>
    <t>06-08-2018</t>
  </si>
  <si>
    <t>อรรคศรีวร</t>
  </si>
  <si>
    <t>Chalidaa@sena.co.th</t>
  </si>
  <si>
    <t>BK680125</t>
  </si>
  <si>
    <t>ชัช</t>
  </si>
  <si>
    <t>สุระชีพ</t>
  </si>
  <si>
    <t>BK680516</t>
  </si>
  <si>
    <t>ชัชฎาพร</t>
  </si>
  <si>
    <t>เรืองหิรัญ</t>
  </si>
  <si>
    <t>chathadaponr@sena.co.th</t>
  </si>
  <si>
    <t>ฝ่ายบริหารโครงการบ้าน 12C</t>
  </si>
  <si>
    <t>BK680162</t>
  </si>
  <si>
    <t>11-03-2018</t>
  </si>
  <si>
    <t>ชัชวรรณ์</t>
  </si>
  <si>
    <t>สินประสิทธินที</t>
  </si>
  <si>
    <t>ปาล์มมี่</t>
  </si>
  <si>
    <t>chatchawarns@sena.co.th</t>
  </si>
  <si>
    <t>BK680393</t>
  </si>
  <si>
    <t>ชัยพร</t>
  </si>
  <si>
    <t>จงกลาง</t>
  </si>
  <si>
    <t>chaiyapornj@sena.co.th</t>
  </si>
  <si>
    <t>ฝ่ายบริหารโครงการคอนโด และบ้าน 11D</t>
  </si>
  <si>
    <t>BK680470</t>
  </si>
  <si>
    <t>10-05-2010</t>
  </si>
  <si>
    <t>ชัยภัทร</t>
  </si>
  <si>
    <t>กุลบุตร</t>
  </si>
  <si>
    <t>เที่ยง</t>
  </si>
  <si>
    <t>chaiphatk@sena.co.th</t>
  </si>
  <si>
    <t>เครือบุญราช</t>
  </si>
  <si>
    <t>chaiwatk@sena.co.th</t>
  </si>
  <si>
    <t>เจ้าหน้าที่ยานพาหนะอาวุโส</t>
  </si>
  <si>
    <t>BK680196</t>
  </si>
  <si>
    <t>ชาคริต</t>
  </si>
  <si>
    <t>สุวรรณกุลรัตน์</t>
  </si>
  <si>
    <t>แชมป์</t>
  </si>
  <si>
    <t>Chakrits@sena.co.th</t>
  </si>
  <si>
    <t>ฝ่ายบริหารการขายคอนโด 2A</t>
  </si>
  <si>
    <t>BK680256</t>
  </si>
  <si>
    <t>ชาคริยา</t>
  </si>
  <si>
    <t>สุขชนะ</t>
  </si>
  <si>
    <t>Chakhriyas@sena.co.th</t>
  </si>
  <si>
    <t>BK680152</t>
  </si>
  <si>
    <t>01-11-2013</t>
  </si>
  <si>
    <t>เข็มทอง</t>
  </si>
  <si>
    <t>หมู</t>
  </si>
  <si>
    <t>Chatreek@sena.co.th</t>
  </si>
  <si>
    <t>18-09-2006</t>
  </si>
  <si>
    <t>ชาติชาย</t>
  </si>
  <si>
    <t>ปิงปิง</t>
  </si>
  <si>
    <t>Chadchait@sena.co.th</t>
  </si>
  <si>
    <t>ชานนท์</t>
  </si>
  <si>
    <t>ขันอาษา</t>
  </si>
  <si>
    <t>chanonk@sena.co.th</t>
  </si>
  <si>
    <t>BK680151</t>
  </si>
  <si>
    <t>22-07-2014</t>
  </si>
  <si>
    <t>ชานิสา</t>
  </si>
  <si>
    <t>สุขปลั่ง</t>
  </si>
  <si>
    <t>Chanisas@sena.co.th</t>
  </si>
  <si>
    <t>20-11-2023</t>
  </si>
  <si>
    <t>ชิณณปะภา</t>
  </si>
  <si>
    <t>ปิ่นประภากุล</t>
  </si>
  <si>
    <t>ศศิ</t>
  </si>
  <si>
    <t>ชิโณรส</t>
  </si>
  <si>
    <t>บุญถาวร</t>
  </si>
  <si>
    <t>chinorodb@sena.co.th</t>
  </si>
  <si>
    <t>ฝ่าย Asset Control Management (ACM)</t>
  </si>
  <si>
    <t>BK620161</t>
  </si>
  <si>
    <t>ชินโชติ</t>
  </si>
  <si>
    <t>พรมชัย</t>
  </si>
  <si>
    <t>โชติ</t>
  </si>
  <si>
    <t>Chinachortp@sena.co.th</t>
  </si>
  <si>
    <t>19-07-2021</t>
  </si>
  <si>
    <t>ชินญ์พิธา</t>
  </si>
  <si>
    <t>ชิ้นประเสริฐ</t>
  </si>
  <si>
    <t>chinpitarc@sena.co.th</t>
  </si>
  <si>
    <t>ฝ่ายบริหารการตลาดคอนโด 3A</t>
  </si>
  <si>
    <t>15-09-2022</t>
  </si>
  <si>
    <t>ชีวานนท์</t>
  </si>
  <si>
    <t>มาคุ้ม</t>
  </si>
  <si>
    <t>wiratm@sena.co.th</t>
  </si>
  <si>
    <t>01-06-2011</t>
  </si>
  <si>
    <t>ชุติมา</t>
  </si>
  <si>
    <t>อิทธิรัตนะโกมล</t>
  </si>
  <si>
    <t>Chutimai@sena.co.th</t>
  </si>
  <si>
    <t>ชูวิทย์</t>
  </si>
  <si>
    <t>ปรีชาศุทธิ์</t>
  </si>
  <si>
    <t>ซา</t>
  </si>
  <si>
    <t>chuwitpr@sena.co.th</t>
  </si>
  <si>
    <t>BK620139</t>
  </si>
  <si>
    <t>01-08-2013</t>
  </si>
  <si>
    <t>เชาวลิต</t>
  </si>
  <si>
    <t>หาญแท้</t>
  </si>
  <si>
    <t>เชาว์</t>
  </si>
  <si>
    <t>Chaowalith@sena.co.th</t>
  </si>
  <si>
    <t>พ่อบ้านสำนักงาน</t>
  </si>
  <si>
    <t>โชติรัตน์</t>
  </si>
  <si>
    <t>กั้ง</t>
  </si>
  <si>
    <t>เจ้าหน้าที่การตลาดอาวุโส</t>
  </si>
  <si>
    <t>BK680435</t>
  </si>
  <si>
    <t>25-10-2022</t>
  </si>
  <si>
    <t>ไชยมงคล</t>
  </si>
  <si>
    <t>ไกษร</t>
  </si>
  <si>
    <t>chaimongkolk@sena.co.th</t>
  </si>
  <si>
    <t>ซารียาฮ์</t>
  </si>
  <si>
    <t>จิตต์จำนงค์</t>
  </si>
  <si>
    <t>sareeyaj@sena.co.th</t>
  </si>
  <si>
    <t>27-10-2020</t>
  </si>
  <si>
    <t>ฐานะพงษ์</t>
  </si>
  <si>
    <t>สงนวน</t>
  </si>
  <si>
    <t>thanapongs@sena.co.th</t>
  </si>
  <si>
    <t>Test17</t>
  </si>
  <si>
    <t>17-06-2025</t>
  </si>
  <si>
    <t>jo</t>
  </si>
  <si>
    <t>hr@aaa.com</t>
  </si>
  <si>
    <t>สายงานธุรกิจ 21(การตลาด)</t>
  </si>
  <si>
    <t>TT999999</t>
  </si>
  <si>
    <t>12-11-2025</t>
  </si>
  <si>
    <t>ฐิตวัฒน์</t>
  </si>
  <si>
    <t>ท็อป</t>
  </si>
  <si>
    <t>Titawatp@sena.co.th</t>
  </si>
  <si>
    <t>ฝ่าย HR Project &amp; System</t>
  </si>
  <si>
    <t>18-03-2024</t>
  </si>
  <si>
    <t>ฐิตาภรณ์</t>
  </si>
  <si>
    <t>ยวงทอง</t>
  </si>
  <si>
    <t>กิ๊บ</t>
  </si>
  <si>
    <t>ฝ่ายบริหารการขายคอนโด 3B</t>
  </si>
  <si>
    <t>17-05-2010</t>
  </si>
  <si>
    <t>ฐิตินันท์</t>
  </si>
  <si>
    <t>อินทาปัจ</t>
  </si>
  <si>
    <t>จั๊ม</t>
  </si>
  <si>
    <t>Thitinani@sena.co.th</t>
  </si>
  <si>
    <t>BK680386</t>
  </si>
  <si>
    <t>21-12-2020</t>
  </si>
  <si>
    <t>ฐิติพงศ์</t>
  </si>
  <si>
    <t>กัมมันตะคุณ</t>
  </si>
  <si>
    <t>titipongk@sena.co.th</t>
  </si>
  <si>
    <t>ณกานต์</t>
  </si>
  <si>
    <t>อินทรศิริ</t>
  </si>
  <si>
    <t>โบราณ</t>
  </si>
  <si>
    <t>nakarni@sena.co.th</t>
  </si>
  <si>
    <t>เลขานุการกรรมการผู้จัดการ</t>
  </si>
  <si>
    <t>Computer All in one  MSI PRO AP272</t>
  </si>
  <si>
    <t>BK670007</t>
  </si>
  <si>
    <t>ณฐนน</t>
  </si>
  <si>
    <t>คำป้อง</t>
  </si>
  <si>
    <t>นน</t>
  </si>
  <si>
    <t>nathanonk@sena.co.th</t>
  </si>
  <si>
    <t>BK680257</t>
  </si>
  <si>
    <t>02-05-2006</t>
  </si>
  <si>
    <t>ณณัฐรัตนดา</t>
  </si>
  <si>
    <t>กิจมุติ</t>
  </si>
  <si>
    <t>Natthaphatr@sena.co.th</t>
  </si>
  <si>
    <t>BK680655</t>
  </si>
  <si>
    <t>ณปภา</t>
  </si>
  <si>
    <t>รัตนเบญญาพร</t>
  </si>
  <si>
    <t>napaparr@sena.co.th</t>
  </si>
  <si>
    <t>นาชัยคำ</t>
  </si>
  <si>
    <t>ณรงค์</t>
  </si>
  <si>
    <t>นนท์กรณิศ</t>
  </si>
  <si>
    <t>naronngn@sena.co.th</t>
  </si>
  <si>
    <t>วิศวกรไฟฟ้าอาวุโส</t>
  </si>
  <si>
    <t>อินสด</t>
  </si>
  <si>
    <t>เท็น</t>
  </si>
  <si>
    <t>narongriti@sena.co.th</t>
  </si>
  <si>
    <t>17-05-2022</t>
  </si>
  <si>
    <t>ณรสิตา</t>
  </si>
  <si>
    <t>เสนานาม</t>
  </si>
  <si>
    <t>narasitas@sena.co.th</t>
  </si>
  <si>
    <t>BK680223</t>
  </si>
  <si>
    <t>ณรีภัสร์</t>
  </si>
  <si>
    <t>ปัถพี</t>
  </si>
  <si>
    <t>nareepatp@sena.co.th</t>
  </si>
  <si>
    <t>07-11-2012</t>
  </si>
  <si>
    <t>ณัชชา</t>
  </si>
  <si>
    <t>พราหมณ์เกษม</t>
  </si>
  <si>
    <t>ส้ม</t>
  </si>
  <si>
    <t>Natchap@sena.co.th</t>
  </si>
  <si>
    <t>เลขานุการรองประธานเจ้าหน้าที่บริหาร</t>
  </si>
  <si>
    <t>BK680621</t>
  </si>
  <si>
    <t>ศรีบุญเรือง</t>
  </si>
  <si>
    <t>ฟ้าใส</t>
  </si>
  <si>
    <t>nuchchas@sena.co.th</t>
  </si>
  <si>
    <t>ผู้ช่วยหัวหน้างานขาย</t>
  </si>
  <si>
    <t>ณัฏฐามณฑ์</t>
  </si>
  <si>
    <t>อรรควิทยาพงศ์</t>
  </si>
  <si>
    <t>ต๊าก</t>
  </si>
  <si>
    <t>nattamona@sena.co.th</t>
  </si>
  <si>
    <t>ณัฏฐิกานต์</t>
  </si>
  <si>
    <t>ศาสตร์ภักดี</t>
  </si>
  <si>
    <t>nattikans@sena.co.th</t>
  </si>
  <si>
    <t>ฝ่าย Rent to Own (RTO)</t>
  </si>
  <si>
    <t>BK680304</t>
  </si>
  <si>
    <t>คลอวุฒินันท์</t>
  </si>
  <si>
    <t>natk@sena.co.th</t>
  </si>
  <si>
    <t>ณัฐฌิมาภรณ์</t>
  </si>
  <si>
    <t>เขาแก้ว</t>
  </si>
  <si>
    <t>ณกุน</t>
  </si>
  <si>
    <t>nutchimapornk@sena.co.th</t>
  </si>
  <si>
    <t>BK680173</t>
  </si>
  <si>
    <t>ณัฐฐิชา</t>
  </si>
  <si>
    <t>ชูแสง</t>
  </si>
  <si>
    <t>natthichac@sena.co.th</t>
  </si>
  <si>
    <t>สายงานบริหารการขาย และการตลาดคอนโด 3</t>
  </si>
  <si>
    <t>BK680180</t>
  </si>
  <si>
    <t>พูนสวัสดิ์</t>
  </si>
  <si>
    <t>ป้อ</t>
  </si>
  <si>
    <t>natdanaipo@sena.co.th</t>
  </si>
  <si>
    <t>22-06-2021</t>
  </si>
  <si>
    <t>ณัฐธยาน์</t>
  </si>
  <si>
    <t>ใจธรรม</t>
  </si>
  <si>
    <t>nattayaj@sena.co.th</t>
  </si>
  <si>
    <t>BK680260</t>
  </si>
  <si>
    <t>20-04-2020</t>
  </si>
  <si>
    <t>ณัฐนันท์</t>
  </si>
  <si>
    <t>พิพัฒน์สกุลเกตุ</t>
  </si>
  <si>
    <t>nutthanunp@sena.co.th</t>
  </si>
  <si>
    <t>ณัฐพงศ์</t>
  </si>
  <si>
    <t>ไหมพรม</t>
  </si>
  <si>
    <t>nattapongm@sena.co.th</t>
  </si>
  <si>
    <t>ฝ่าย Technology &amp; Analytics</t>
  </si>
  <si>
    <t>25-01-2017</t>
  </si>
  <si>
    <t>ชิราพฤกษ์</t>
  </si>
  <si>
    <t>Nattapongc@sena.co.th</t>
  </si>
  <si>
    <t>เพ็ญศิริ</t>
  </si>
  <si>
    <t>nattaphongp@sena.co.th</t>
  </si>
  <si>
    <t>BK680379</t>
  </si>
  <si>
    <t>ทองมนต์</t>
  </si>
  <si>
    <t>โตโต้</t>
  </si>
  <si>
    <t>nattapont@sena.co.th</t>
  </si>
  <si>
    <t>BK680640</t>
  </si>
  <si>
    <t>เดชานุภาพ</t>
  </si>
  <si>
    <t>nuttapold@sena.co.th</t>
  </si>
  <si>
    <t>BK680245</t>
  </si>
  <si>
    <t>ณัฐมน</t>
  </si>
  <si>
    <t>บุรีรัตน์</t>
  </si>
  <si>
    <t>หนุงหนิง</t>
  </si>
  <si>
    <t>nattamonb@sena.co.th</t>
  </si>
  <si>
    <t>ณัฐรัชต์</t>
  </si>
  <si>
    <t>เดชอุทัย</t>
  </si>
  <si>
    <t>พัตเตอร์</t>
  </si>
  <si>
    <t>17-03-2008</t>
  </si>
  <si>
    <t>ณัฐวุฒิ</t>
  </si>
  <si>
    <t>ทองปิ่น</t>
  </si>
  <si>
    <t>nattawutt@sena.co.th</t>
  </si>
  <si>
    <t>อนงค์</t>
  </si>
  <si>
    <t>nattawuta@sena.co.th</t>
  </si>
  <si>
    <t>ทนายความ</t>
  </si>
  <si>
    <t>BK680319</t>
  </si>
  <si>
    <t>07-08-2023</t>
  </si>
  <si>
    <t>เกษมศรี</t>
  </si>
  <si>
    <t>nattawutk@sena.co.th</t>
  </si>
  <si>
    <t>BK680518</t>
  </si>
  <si>
    <t>ณัฐวุธ</t>
  </si>
  <si>
    <t>จิตสุข</t>
  </si>
  <si>
    <t>นัด</t>
  </si>
  <si>
    <t>nuttawutj@sena.co.th</t>
  </si>
  <si>
    <t>BK680089</t>
  </si>
  <si>
    <t>ณัฐเศรษฐ</t>
  </si>
  <si>
    <t>เอกขำ</t>
  </si>
  <si>
    <t>natthaseta@senxgroup.com</t>
  </si>
  <si>
    <t>ณิชนันทน์</t>
  </si>
  <si>
    <t>ขวัญเลิศจิตต์</t>
  </si>
  <si>
    <t>มิ้นท์</t>
  </si>
  <si>
    <t>16-08-2022</t>
  </si>
  <si>
    <t>ณิชานันท์</t>
  </si>
  <si>
    <t>ไชยสิงห์</t>
  </si>
  <si>
    <t>nichananc@sena.co.th</t>
  </si>
  <si>
    <t>BK680087</t>
  </si>
  <si>
    <t>ณิรินทร์กร</t>
  </si>
  <si>
    <t>ชื่นบานธนาพงศ์</t>
  </si>
  <si>
    <t>น้องฟลุ๊ค</t>
  </si>
  <si>
    <t>ฝ่ายขายบ้าน 1D (โซนรัตนาธิเบศร์ - บางบัวทอง)</t>
  </si>
  <si>
    <t>ดนัยเดช</t>
  </si>
  <si>
    <t>สวายประโคน</t>
  </si>
  <si>
    <t>ดนุเดช</t>
  </si>
  <si>
    <t>ปั่งมาก</t>
  </si>
  <si>
    <t>เนย์</t>
  </si>
  <si>
    <t>Danudatchp@sena.co.th</t>
  </si>
  <si>
    <t>BK680271</t>
  </si>
  <si>
    <t>19-09-2016</t>
  </si>
  <si>
    <t>ดลพร</t>
  </si>
  <si>
    <t>วงษ์ดี</t>
  </si>
  <si>
    <t>Donlapornw@sena.co.th</t>
  </si>
  <si>
    <t>ดวงจันทร์</t>
  </si>
  <si>
    <t>วงทองนิล</t>
  </si>
  <si>
    <t>ดวง</t>
  </si>
  <si>
    <t>BK660052</t>
  </si>
  <si>
    <t>ภาสถิตย์</t>
  </si>
  <si>
    <t>duangdeep@sena.co.th</t>
  </si>
  <si>
    <t>พนักงานทำความสะอาด</t>
  </si>
  <si>
    <t>BK680548</t>
  </si>
  <si>
    <t>05-07-2008</t>
  </si>
  <si>
    <t>ดาวเรือง</t>
  </si>
  <si>
    <t>ปัญญาภา</t>
  </si>
  <si>
    <t>Dawruangp@sena.co.th</t>
  </si>
  <si>
    <t>13-09-2021</t>
  </si>
  <si>
    <t>ดำรงยุทธ</t>
  </si>
  <si>
    <t>ครุธทิน</t>
  </si>
  <si>
    <t>กบ</t>
  </si>
  <si>
    <t>dumrongyutk@sena.co.th</t>
  </si>
  <si>
    <t>BK680353</t>
  </si>
  <si>
    <t>ดำริห์</t>
  </si>
  <si>
    <t>สีพ่วง</t>
  </si>
  <si>
    <t>โลม</t>
  </si>
  <si>
    <t>damris@sena.co.th</t>
  </si>
  <si>
    <t>ต้นตระการ</t>
  </si>
  <si>
    <t>เนียมขาว</t>
  </si>
  <si>
    <t>tontrakarnn@sena.co.th</t>
  </si>
  <si>
    <t>BK680357</t>
  </si>
  <si>
    <t>ตะวัน</t>
  </si>
  <si>
    <t>สายศรี</t>
  </si>
  <si>
    <t>tawans@sena.co.th</t>
  </si>
  <si>
    <t>เตียงคำ</t>
  </si>
  <si>
    <t>พลเยี่ยม</t>
  </si>
  <si>
    <t>เตียง</t>
  </si>
  <si>
    <t>tiangkamp@sena.co.th</t>
  </si>
  <si>
    <t>Payroll</t>
  </si>
  <si>
    <t>ทดสอบ</t>
  </si>
  <si>
    <t>บัญชีเงินเดือน</t>
  </si>
  <si>
    <t>กลุ่มงานบัญชีการเงิน</t>
  </si>
  <si>
    <t>นิราศ</t>
  </si>
  <si>
    <t>thanongsakn@sena.co.th</t>
  </si>
  <si>
    <t>Product Owner</t>
  </si>
  <si>
    <t>BK680392</t>
  </si>
  <si>
    <t>25-11-2021</t>
  </si>
  <si>
    <t>จันนามวงค์</t>
  </si>
  <si>
    <t>songponj@sena.co.th</t>
  </si>
  <si>
    <t>02-12-2013</t>
  </si>
  <si>
    <t>ทรงพันธ์</t>
  </si>
  <si>
    <t>ไม้แป้น</t>
  </si>
  <si>
    <t>ทวารัตน์</t>
  </si>
  <si>
    <t>เต็งทอง</t>
  </si>
  <si>
    <t>tavaratt@sena.co.th</t>
  </si>
  <si>
    <t>เจ้าหน้าที่กำกับดูแลอาวุโส</t>
  </si>
  <si>
    <t>ทวิชาติ</t>
  </si>
  <si>
    <t>ธีระภาต</t>
  </si>
  <si>
    <t>thawichatt@sena.co.th</t>
  </si>
  <si>
    <t>BK680167</t>
  </si>
  <si>
    <t>ทวินันท์</t>
  </si>
  <si>
    <t>มนนอก</t>
  </si>
  <si>
    <t>thawinanm@sena.co.th</t>
  </si>
  <si>
    <t>BK680527</t>
  </si>
  <si>
    <t>ทศพร</t>
  </si>
  <si>
    <t>พันธ์วงศ์</t>
  </si>
  <si>
    <t>thotsapornp@sena.co.th</t>
  </si>
  <si>
    <t>ทัดดาว</t>
  </si>
  <si>
    <t>ชาญสุวรรณ</t>
  </si>
  <si>
    <t>เปรียว</t>
  </si>
  <si>
    <t>สายงาน Corporate &amp; Communications</t>
  </si>
  <si>
    <t>tassanaiv@sena.co.th</t>
  </si>
  <si>
    <t>19-05-2003</t>
  </si>
  <si>
    <t>มั่นยวน</t>
  </si>
  <si>
    <t>Tassanaim@sena.co.th</t>
  </si>
  <si>
    <t>BK680596</t>
  </si>
  <si>
    <t>ทิชาดา</t>
  </si>
  <si>
    <t>สุริยะอาภา</t>
  </si>
  <si>
    <t>tichadas@sena.co.th</t>
  </si>
  <si>
    <t>ผู้ช่วยทนายความ</t>
  </si>
  <si>
    <t>01-12-2020</t>
  </si>
  <si>
    <t>ทินกร</t>
  </si>
  <si>
    <t>ค้าไกล</t>
  </si>
  <si>
    <t>คิม</t>
  </si>
  <si>
    <t>Tinnakornk@sena.co.th</t>
  </si>
  <si>
    <t>BK680381</t>
  </si>
  <si>
    <t>22-08-2022</t>
  </si>
  <si>
    <t>เขียวคำ</t>
  </si>
  <si>
    <t>แม็ก</t>
  </si>
  <si>
    <t>tinnakornka@sena.co.th</t>
  </si>
  <si>
    <t>27-01-2014</t>
  </si>
  <si>
    <t>ทิพรัตน์</t>
  </si>
  <si>
    <t>เมธาวิทยากรณ์</t>
  </si>
  <si>
    <t>Tipparatm@sena.co.th</t>
  </si>
  <si>
    <t>BK680413</t>
  </si>
  <si>
    <t>24-05-2010</t>
  </si>
  <si>
    <t>เทวฤทธิ์</t>
  </si>
  <si>
    <t>ศรีพิชิต</t>
  </si>
  <si>
    <t>สอง</t>
  </si>
  <si>
    <t>Tawarits@sena.co.th</t>
  </si>
  <si>
    <t>วงศ์ภูษาประกร</t>
  </si>
  <si>
    <t>thongchaiw@sena.co.th</t>
  </si>
  <si>
    <t>BK680492</t>
  </si>
  <si>
    <t>ธณกร</t>
  </si>
  <si>
    <t>เดือนงามจริง</t>
  </si>
  <si>
    <t>thanakornd@sena.co.th</t>
  </si>
  <si>
    <t>BK680388</t>
  </si>
  <si>
    <t>ธนภัทร</t>
  </si>
  <si>
    <t>คำสอน</t>
  </si>
  <si>
    <t>ดรีม</t>
  </si>
  <si>
    <t>thanaphatk@sena.co.th</t>
  </si>
  <si>
    <t>ฝ่ายบริหารโครงการคอนโด และบ้าน 11B</t>
  </si>
  <si>
    <t>06-06-2022</t>
  </si>
  <si>
    <t>ธนรัตน์</t>
  </si>
  <si>
    <t>เขื่อนคำ</t>
  </si>
  <si>
    <t>tanaratk@sena.co.th</t>
  </si>
  <si>
    <t>ธนศักดิ์</t>
  </si>
  <si>
    <t>ซ่อนกลิ่น</t>
  </si>
  <si>
    <t>thanasaks@sena.co.th</t>
  </si>
  <si>
    <t>ธนะรัตน์</t>
  </si>
  <si>
    <t>ปัญลังกา</t>
  </si>
  <si>
    <t>thanaratpa@sena.co.th</t>
  </si>
  <si>
    <t>BK680402</t>
  </si>
  <si>
    <t>12-09-2016</t>
  </si>
  <si>
    <t>ขาวผึ้ง</t>
  </si>
  <si>
    <t>Tanatk@sena.co.th</t>
  </si>
  <si>
    <t>ธนัชพร</t>
  </si>
  <si>
    <t>พลชนะ</t>
  </si>
  <si>
    <t>tanatchapornp@sena.co.th</t>
  </si>
  <si>
    <t>BK680144</t>
  </si>
  <si>
    <t>ธนัชภรณ์</t>
  </si>
  <si>
    <t>พรมวาด</t>
  </si>
  <si>
    <t>พร</t>
  </si>
  <si>
    <t>BK680330</t>
  </si>
  <si>
    <t>ธนัญพจน์</t>
  </si>
  <si>
    <t>คีรี</t>
  </si>
  <si>
    <t>เกต</t>
  </si>
  <si>
    <t>thanunpojk@sena.co.th</t>
  </si>
  <si>
    <t>ฝ่ายบริหารโครงการคอนโด 12D</t>
  </si>
  <si>
    <t>ธนัฐพงษ์</t>
  </si>
  <si>
    <t>ชาญวินิจถาวร</t>
  </si>
  <si>
    <t>tanatpongc@sena.co.th</t>
  </si>
  <si>
    <t>BK680377</t>
  </si>
  <si>
    <t>ธนากร</t>
  </si>
  <si>
    <t>ชาปะวัง</t>
  </si>
  <si>
    <t>tanakornch@sena.co.th</t>
  </si>
  <si>
    <t>แสนระเพ็ง</t>
  </si>
  <si>
    <t>เกรท</t>
  </si>
  <si>
    <t>thanakorns@sena.co.th</t>
  </si>
  <si>
    <t>เจ้าหน้าที่บัญชีงบประมาณ</t>
  </si>
  <si>
    <t>ฝ่ายบัญชีงบประมาณ</t>
  </si>
  <si>
    <t>ขาวสนิท</t>
  </si>
  <si>
    <t>วิศวกรสำรวจ</t>
  </si>
  <si>
    <t>ฝ่ายสำรวจ (Survey)</t>
  </si>
  <si>
    <t>BK680630</t>
  </si>
  <si>
    <t>ธนาธิป</t>
  </si>
  <si>
    <t>ถาวระ</t>
  </si>
  <si>
    <t>ธาร</t>
  </si>
  <si>
    <t>thanatipt@sena.co.th</t>
  </si>
  <si>
    <t>Internal Auditor</t>
  </si>
  <si>
    <t>18-03-2013</t>
  </si>
  <si>
    <t>ธนารัฐ</t>
  </si>
  <si>
    <t>พึ่งงาม</t>
  </si>
  <si>
    <t>ป้อง</t>
  </si>
  <si>
    <t>Thanaratp@sena.co.th</t>
  </si>
  <si>
    <t>เจ้าหน้าที่ประมาณราคาอาวุโส</t>
  </si>
  <si>
    <t>ธนาวัฒน์</t>
  </si>
  <si>
    <t>ไชยวงษ์</t>
  </si>
  <si>
    <t>thanawatc@sena.co.th</t>
  </si>
  <si>
    <t>ธนิฐา</t>
  </si>
  <si>
    <t>สหัสสานนท์</t>
  </si>
  <si>
    <t>เติ้ล</t>
  </si>
  <si>
    <t>tanitas@sena.co.th</t>
  </si>
  <si>
    <t>เจ้าหน้าที่สินเชื่ออาวุโส</t>
  </si>
  <si>
    <t>BK680543</t>
  </si>
  <si>
    <t>ธนิส</t>
  </si>
  <si>
    <t>เริ่มคิดการ</t>
  </si>
  <si>
    <t>ปื๊ด</t>
  </si>
  <si>
    <t>tanisr@sena.co.th</t>
  </si>
  <si>
    <t>ช่างสำรวจ</t>
  </si>
  <si>
    <t>ธนิสร</t>
  </si>
  <si>
    <t>เย็นประยูรสวัสดิ์</t>
  </si>
  <si>
    <t>tanisony@sena.co.th</t>
  </si>
  <si>
    <t>เจ้าหน้าที่ประสานงานและสนับสนุนระบบดิจิทัลอาวุโส</t>
  </si>
  <si>
    <t>ธเนศ</t>
  </si>
  <si>
    <t>สุทธิวราภิรักษ์</t>
  </si>
  <si>
    <t>เนศ</t>
  </si>
  <si>
    <t>thanatesu@sena.co.th</t>
  </si>
  <si>
    <t>BK650196</t>
  </si>
  <si>
    <t>ธรรมนูญ</t>
  </si>
  <si>
    <t>แคโอชา</t>
  </si>
  <si>
    <t>มดดำ</t>
  </si>
  <si>
    <t>tammanoonc@sena.co.th</t>
  </si>
  <si>
    <t>ธรา</t>
  </si>
  <si>
    <t>บวรเมธิชัย</t>
  </si>
  <si>
    <t>karnc@sena.co.th</t>
  </si>
  <si>
    <t>ธราเทพ</t>
  </si>
  <si>
    <t>ตราชู</t>
  </si>
  <si>
    <t>tharatept@sena.co.th</t>
  </si>
  <si>
    <t>Senior IT Auditor</t>
  </si>
  <si>
    <t>ธราพงษ์</t>
  </si>
  <si>
    <t>นนทารักษ์</t>
  </si>
  <si>
    <t>Tharaphongn@sena.co.th</t>
  </si>
  <si>
    <t>BK680445</t>
  </si>
  <si>
    <t>27-09-2022</t>
  </si>
  <si>
    <t>คุณสงฆ์</t>
  </si>
  <si>
    <t>thawadchaik@sena.co.th</t>
  </si>
  <si>
    <t>ประเสสัง</t>
  </si>
  <si>
    <t>tawatchaip@sena.co.th</t>
  </si>
  <si>
    <t>BK680224</t>
  </si>
  <si>
    <t>ธัญพิชชา</t>
  </si>
  <si>
    <t>วรวานิช</t>
  </si>
  <si>
    <t>มีมี่</t>
  </si>
  <si>
    <t>Thunpitchaw@sena.co.th</t>
  </si>
  <si>
    <t>ธัญลักษณ์</t>
  </si>
  <si>
    <t>ไก่แก้ว</t>
  </si>
  <si>
    <t>thanyalakk@sena.co.th</t>
  </si>
  <si>
    <t>15-06-2010</t>
  </si>
  <si>
    <t>ธันชัย</t>
  </si>
  <si>
    <t>ศิวาลัยพงศ์</t>
  </si>
  <si>
    <t>ถัง</t>
  </si>
  <si>
    <t>thanchais@sena.co.th</t>
  </si>
  <si>
    <t>สายงานบริหารสำนักงานกลาง</t>
  </si>
  <si>
    <t>BK680204</t>
  </si>
  <si>
    <t>ธันญภรณ์</t>
  </si>
  <si>
    <t>ถ้ำแก้ว</t>
  </si>
  <si>
    <t>thanyapornt@sena.co.th</t>
  </si>
  <si>
    <t>ธันวาศักดิ์</t>
  </si>
  <si>
    <t>จันลา</t>
  </si>
  <si>
    <t>โอ้</t>
  </si>
  <si>
    <t>17-04-2013</t>
  </si>
  <si>
    <t>ธานินทร์</t>
  </si>
  <si>
    <t>สีน้ำอ้อม</t>
  </si>
  <si>
    <t>Tanins@sena.co.th</t>
  </si>
  <si>
    <t>สายงานบริหารโครงการคอนโด และบ้าน 11</t>
  </si>
  <si>
    <t>19-02-2018</t>
  </si>
  <si>
    <t>ธารทิพย์</t>
  </si>
  <si>
    <t>กิ่งสายหยุด</t>
  </si>
  <si>
    <t>Tanthipk@sena.co.th</t>
  </si>
  <si>
    <t>เลขานุการรองกรรมการผู้จัดการ</t>
  </si>
  <si>
    <t>20-04-2002</t>
  </si>
  <si>
    <t>ศรีต่างวงษ์</t>
  </si>
  <si>
    <t>เง็ก</t>
  </si>
  <si>
    <t>Tharnthips@sena.co.th</t>
  </si>
  <si>
    <t>เจ้าหน้าที่เขียนแบบอาวุโส</t>
  </si>
  <si>
    <t>ธารยา</t>
  </si>
  <si>
    <t>เจริญจิระตระกูล</t>
  </si>
  <si>
    <t>เคอร์</t>
  </si>
  <si>
    <t>tharayaj@sena.co.th</t>
  </si>
  <si>
    <t>ภูมิสถาปนิก</t>
  </si>
  <si>
    <t>01-07-2015</t>
  </si>
  <si>
    <t>วงค์ชัย</t>
  </si>
  <si>
    <t>Tidarutw@sena.co.th</t>
  </si>
  <si>
    <t>แก้วงาม</t>
  </si>
  <si>
    <t>thidaratk@sena.co.th</t>
  </si>
  <si>
    <t>ธีธัช</t>
  </si>
  <si>
    <t>รักษตุล</t>
  </si>
  <si>
    <t>teethatr@sena.co.th</t>
  </si>
  <si>
    <t>ธีรพงศ์</t>
  </si>
  <si>
    <t>ชูสุวรรณ</t>
  </si>
  <si>
    <t>เค</t>
  </si>
  <si>
    <t>teeraphongc@sena.co.th</t>
  </si>
  <si>
    <t>วิศวกรตรวจสอบคุณภาพงาน</t>
  </si>
  <si>
    <t>BK680352</t>
  </si>
  <si>
    <t>ธีรพงษ์</t>
  </si>
  <si>
    <t>ทองโสม</t>
  </si>
  <si>
    <t>เทพ</t>
  </si>
  <si>
    <t>teerapongt@sena.co.th</t>
  </si>
  <si>
    <t>ธีรพัฒน์</t>
  </si>
  <si>
    <t>สันตะจิตต์</t>
  </si>
  <si>
    <t>teerapats@sena.co.th</t>
  </si>
  <si>
    <t>หาหลัง</t>
  </si>
  <si>
    <t>อัยย์</t>
  </si>
  <si>
    <t>Teerapath@sena.co.th</t>
  </si>
  <si>
    <t>01-01-1982</t>
  </si>
  <si>
    <t>Theerawatt@sena.co.th</t>
  </si>
  <si>
    <t>ประธานเจ้าหน้าที่บริหาร</t>
  </si>
  <si>
    <t>BK680088</t>
  </si>
  <si>
    <t>ธีระเดช</t>
  </si>
  <si>
    <t>อรุณวณิช</t>
  </si>
  <si>
    <t>ฝ่ายการตลาดบ้าน H1A (โซนบางบัวทอง - บางใหญ่)</t>
  </si>
  <si>
    <t>BK680346</t>
  </si>
  <si>
    <t>ธีระพงษ์</t>
  </si>
  <si>
    <t>พวงประยงค์</t>
  </si>
  <si>
    <t>teerapongp@sena.co.th</t>
  </si>
  <si>
    <t>ชิรวานิช</t>
  </si>
  <si>
    <t>อู</t>
  </si>
  <si>
    <t>teerapongc@sena.co.th</t>
  </si>
  <si>
    <t>01-12-2011</t>
  </si>
  <si>
    <t>ธีระยุทธ</t>
  </si>
  <si>
    <t>เจริญยศ</t>
  </si>
  <si>
    <t>BK680537</t>
  </si>
  <si>
    <t>ธีระวัฒน์</t>
  </si>
  <si>
    <t>เรือรินรักษ์</t>
  </si>
  <si>
    <t>theerawatr@sena.co.th</t>
  </si>
  <si>
    <t>ธีระวัต</t>
  </si>
  <si>
    <t>เกิดสุข</t>
  </si>
  <si>
    <t>นนทรัตน์</t>
  </si>
  <si>
    <t>เขยธนานพศิริ</t>
  </si>
  <si>
    <t>nontaratk@sena.co.th</t>
  </si>
  <si>
    <t>BK680405</t>
  </si>
  <si>
    <t>เถื่อนเอี่ยม</t>
  </si>
  <si>
    <t>noppadolt@sena.co.th</t>
  </si>
  <si>
    <t>01-06-2016</t>
  </si>
  <si>
    <t>วัฒนยืนยง</t>
  </si>
  <si>
    <t>เก๋</t>
  </si>
  <si>
    <t>Noppadolw@sena.co.th</t>
  </si>
  <si>
    <t>01-10-2013</t>
  </si>
  <si>
    <t>นพรดา</t>
  </si>
  <si>
    <t>Nongkhranj@sena.co.th</t>
  </si>
  <si>
    <t>นพรัตน์</t>
  </si>
  <si>
    <t>ปานพรเจริญ</t>
  </si>
  <si>
    <t>nopparatp@sena.co.th</t>
  </si>
  <si>
    <t>BK680149</t>
  </si>
  <si>
    <t>นภธร</t>
  </si>
  <si>
    <t>กอสันเทียะ</t>
  </si>
  <si>
    <t>naphathonk@sena.co.th</t>
  </si>
  <si>
    <t>BK680146</t>
  </si>
  <si>
    <t>นภสร</t>
  </si>
  <si>
    <t>โฉมงาม</t>
  </si>
  <si>
    <t>napasornc@sena.co.th</t>
  </si>
  <si>
    <t>ฝ่ายบริหารการตลาดคอนโด 1B</t>
  </si>
  <si>
    <t>BK680265</t>
  </si>
  <si>
    <t>นภสสร</t>
  </si>
  <si>
    <t>วงษ์สุภาพ</t>
  </si>
  <si>
    <t>napatsornw@sena.co.th</t>
  </si>
  <si>
    <t>นภัสสร</t>
  </si>
  <si>
    <t>เปียกากู่</t>
  </si>
  <si>
    <t>ปอย</t>
  </si>
  <si>
    <t>Napatsonp@sena.co.th</t>
  </si>
  <si>
    <t>BK680189</t>
  </si>
  <si>
    <t>จันทรรัตนศิริ</t>
  </si>
  <si>
    <t>napatsornj@sena.co.th</t>
  </si>
  <si>
    <t>นภาลัย</t>
  </si>
  <si>
    <t>ใจดี</t>
  </si>
  <si>
    <t>napalaij@sena.co.th</t>
  </si>
  <si>
    <t>BK680124</t>
  </si>
  <si>
    <t>นรากร</t>
  </si>
  <si>
    <t>อ่อนมณี</t>
  </si>
  <si>
    <t>BK675195</t>
  </si>
  <si>
    <t>08-08-2024</t>
  </si>
  <si>
    <t>นราธิป</t>
  </si>
  <si>
    <t>ธิป</t>
  </si>
  <si>
    <t>NONE</t>
  </si>
  <si>
    <t>BK680382</t>
  </si>
  <si>
    <t>นราเศรษฐ</t>
  </si>
  <si>
    <t>เหลามี</t>
  </si>
  <si>
    <t>ต้าร์</t>
  </si>
  <si>
    <t>narasetl@sena.co.th</t>
  </si>
  <si>
    <t>BK680497</t>
  </si>
  <si>
    <t>ปาลี</t>
  </si>
  <si>
    <t>narinp@sena.co.th</t>
  </si>
  <si>
    <t>นรีรัตน์</t>
  </si>
  <si>
    <t>ครองตน</t>
  </si>
  <si>
    <t>อัจ</t>
  </si>
  <si>
    <t>nareeratk@sena.co.th</t>
  </si>
  <si>
    <t>BK680635</t>
  </si>
  <si>
    <t>15-08-2025</t>
  </si>
  <si>
    <t>หลิมสกุล</t>
  </si>
  <si>
    <t>ป่าน</t>
  </si>
  <si>
    <t>nareeratl@sena.co.th</t>
  </si>
  <si>
    <t>BK680375</t>
  </si>
  <si>
    <t>16-05-2013</t>
  </si>
  <si>
    <t>นเรศ</t>
  </si>
  <si>
    <t>จันทร์เวียง</t>
  </si>
  <si>
    <t>Naresj@sena.co.th</t>
  </si>
  <si>
    <t>BK680410</t>
  </si>
  <si>
    <t>นฤนาจ</t>
  </si>
  <si>
    <t>นันทะเสนีย์</t>
  </si>
  <si>
    <t>naloenartn@sena.co.th</t>
  </si>
  <si>
    <t>15-05-2008</t>
  </si>
  <si>
    <t>นฤมล</t>
  </si>
  <si>
    <t>สุขแจ่ม</t>
  </si>
  <si>
    <t>Narumols@sena.co.th</t>
  </si>
  <si>
    <t>16-05-2019</t>
  </si>
  <si>
    <t>นัฐธิกา</t>
  </si>
  <si>
    <t>พรประเสริฐผล</t>
  </si>
  <si>
    <t>ฝ่าย Online Media</t>
  </si>
  <si>
    <t>นัฐพงษ์</t>
  </si>
  <si>
    <t>นัฐ</t>
  </si>
  <si>
    <t>Nattapongw@sena.co.th</t>
  </si>
  <si>
    <t>ฝ่ายบริหารโครงการบ้าน 12D</t>
  </si>
  <si>
    <t>BK680641</t>
  </si>
  <si>
    <t>สุวิทย์ชยานนท์</t>
  </si>
  <si>
    <t>nuttaphons@sena.co.th</t>
  </si>
  <si>
    <t>BK650213</t>
  </si>
  <si>
    <t>นันทกรณ์</t>
  </si>
  <si>
    <t>โกยเกียรติกุล</t>
  </si>
  <si>
    <t>nunthakornk@sena.co.th</t>
  </si>
  <si>
    <t>08-10-2012</t>
  </si>
  <si>
    <t>ฉายาวงศ์</t>
  </si>
  <si>
    <t>nantapondc@sena.co.th</t>
  </si>
  <si>
    <t>01-08-2007</t>
  </si>
  <si>
    <t>นันทวรรณ</t>
  </si>
  <si>
    <t>ศรีแป้นพุก</t>
  </si>
  <si>
    <t>Nuntawan@sena.co.th</t>
  </si>
  <si>
    <t>นันทิภา</t>
  </si>
  <si>
    <t>รัตนมาตย์</t>
  </si>
  <si>
    <t>ยิ้ม</t>
  </si>
  <si>
    <t>BK680164</t>
  </si>
  <si>
    <t>08-08-2022</t>
  </si>
  <si>
    <t>นัสรา</t>
  </si>
  <si>
    <t>แก้วเมืองกลาง</t>
  </si>
  <si>
    <t>น็อต</t>
  </si>
  <si>
    <t>narasak@sena.co.th</t>
  </si>
  <si>
    <t>BK680595</t>
  </si>
  <si>
    <t>นิชาภา</t>
  </si>
  <si>
    <t>เลิศอนันต์</t>
  </si>
  <si>
    <t>nichapal@sena.co.th</t>
  </si>
  <si>
    <t>BK680166</t>
  </si>
  <si>
    <t>05-04-2021</t>
  </si>
  <si>
    <t>นิตยา</t>
  </si>
  <si>
    <t>พนมวงค์</t>
  </si>
  <si>
    <t>nittayap@sena.co.th</t>
  </si>
  <si>
    <t>BK580082</t>
  </si>
  <si>
    <t>01-01-2024</t>
  </si>
  <si>
    <t>นิติญา</t>
  </si>
  <si>
    <t>ทรงประไพ</t>
  </si>
  <si>
    <t>นิติพัฒน์</t>
  </si>
  <si>
    <t>บริบูรณ์</t>
  </si>
  <si>
    <t>nithipatb@sena.co.th</t>
  </si>
  <si>
    <t>BK680349</t>
  </si>
  <si>
    <t>นิธิทัศน์</t>
  </si>
  <si>
    <t>เกษาพันธ์</t>
  </si>
  <si>
    <t>แบ็งค์</t>
  </si>
  <si>
    <t>nithitatk@sena.co.th</t>
  </si>
  <si>
    <t>นิพนธ์</t>
  </si>
  <si>
    <t>ราชโยธา</t>
  </si>
  <si>
    <t>BK680481</t>
  </si>
  <si>
    <t>07-01-2016</t>
  </si>
  <si>
    <t>กมลสัตย์</t>
  </si>
  <si>
    <t>Niphonk@sena.co.th</t>
  </si>
  <si>
    <t>20-11-2017</t>
  </si>
  <si>
    <t>นิรัตน์</t>
  </si>
  <si>
    <t>เสนานุช</t>
  </si>
  <si>
    <t>nirats@sena.co.th</t>
  </si>
  <si>
    <t>BK680123</t>
  </si>
  <si>
    <t>นิรุท</t>
  </si>
  <si>
    <t>น้ำค้าง</t>
  </si>
  <si>
    <t>นิษา</t>
  </si>
  <si>
    <t>สุขอร่าม</t>
  </si>
  <si>
    <t>nisas@sena.co.th</t>
  </si>
  <si>
    <t>BK680531</t>
  </si>
  <si>
    <t>12-07-2009</t>
  </si>
  <si>
    <t>บัญญัติ</t>
  </si>
  <si>
    <t>ญัติ</t>
  </si>
  <si>
    <t>Banyatp@sena.co.th</t>
  </si>
  <si>
    <t>01-12-2009</t>
  </si>
  <si>
    <t>บัวแก้ว</t>
  </si>
  <si>
    <t>ศรีสร้อย</t>
  </si>
  <si>
    <t>Buokaews@sena.co.th</t>
  </si>
  <si>
    <t>BK620073</t>
  </si>
  <si>
    <t>02-01-2010</t>
  </si>
  <si>
    <t>บัวพัน</t>
  </si>
  <si>
    <t>สัญญารัตน์</t>
  </si>
  <si>
    <t>เดือน</t>
  </si>
  <si>
    <t>Buapans@sena.co.th</t>
  </si>
  <si>
    <t>BK680512</t>
  </si>
  <si>
    <t>13-06-2016</t>
  </si>
  <si>
    <t>บัวเพียร</t>
  </si>
  <si>
    <t>หลงมา</t>
  </si>
  <si>
    <t>เพียร</t>
  </si>
  <si>
    <t>Buapianl@sena.co.th</t>
  </si>
  <si>
    <t>07-12-2005</t>
  </si>
  <si>
    <t>บุญญฤทธิ์</t>
  </si>
  <si>
    <t>ชุนเจริญ</t>
  </si>
  <si>
    <t>bunyarithac@sena.co.th</t>
  </si>
  <si>
    <t>BK680049</t>
  </si>
  <si>
    <t>บุญฤทธิ์</t>
  </si>
  <si>
    <t>รุจิรวนิช</t>
  </si>
  <si>
    <t>ริท</t>
  </si>
  <si>
    <t>BK680153</t>
  </si>
  <si>
    <t>บุญศรี</t>
  </si>
  <si>
    <t>บริสุทธิ์</t>
  </si>
  <si>
    <t>boonsrib@sena.co.th</t>
  </si>
  <si>
    <t>03-02-2014</t>
  </si>
  <si>
    <t>บุญศักดิ์</t>
  </si>
  <si>
    <t>ทิพสงคราม</t>
  </si>
  <si>
    <t>หอย</t>
  </si>
  <si>
    <t>Boonsakt@sena.co.th</t>
  </si>
  <si>
    <t>บุณยกร</t>
  </si>
  <si>
    <t>บุณยะกุล</t>
  </si>
  <si>
    <t>เอ๊ะ</t>
  </si>
  <si>
    <t>Bunyakornb@sena.co.th</t>
  </si>
  <si>
    <t>BK680215</t>
  </si>
  <si>
    <t>พงษ์ศิลป์</t>
  </si>
  <si>
    <t>busakornp@sena.co.th</t>
  </si>
  <si>
    <t>BK680168</t>
  </si>
  <si>
    <t>บุษยา</t>
  </si>
  <si>
    <t>เปรมชัยพร</t>
  </si>
  <si>
    <t>butsayarp@sena.co.th</t>
  </si>
  <si>
    <t>เบญจมาศ</t>
  </si>
  <si>
    <t>สโมสร</t>
  </si>
  <si>
    <t>benjamats@sena.co.th</t>
  </si>
  <si>
    <t>01-01-1992</t>
  </si>
  <si>
    <t>เบญญาลักษณ์</t>
  </si>
  <si>
    <t>benyaluckt@sena.co.th</t>
  </si>
  <si>
    <t>รองประธานเจ้าหน้าที่บริหาร</t>
  </si>
  <si>
    <t>BK680499</t>
  </si>
  <si>
    <t>ปกาญจน์</t>
  </si>
  <si>
    <t>สุรวัตร</t>
  </si>
  <si>
    <t>pakarns@sena.co.th</t>
  </si>
  <si>
    <t>01-10-2010</t>
  </si>
  <si>
    <t>ปฐมพร</t>
  </si>
  <si>
    <t>ติรณสวัสดิ์</t>
  </si>
  <si>
    <t>ขาว</t>
  </si>
  <si>
    <t>Pathompornt@sena.co.th</t>
  </si>
  <si>
    <t>รองกรรมการผู้จัดการ</t>
  </si>
  <si>
    <t>BK680214</t>
  </si>
  <si>
    <t>07-06-2021</t>
  </si>
  <si>
    <t>ปณวรรณ</t>
  </si>
  <si>
    <t>ปุโรทกานนท์</t>
  </si>
  <si>
    <t>panawanp@sena.co.th</t>
  </si>
  <si>
    <t>25-10-2016</t>
  </si>
  <si>
    <t>บุญญาศิริ</t>
  </si>
  <si>
    <t>เตย</t>
  </si>
  <si>
    <t>Panitab@sena.co.th</t>
  </si>
  <si>
    <t>ฝ่ายกลยุทธ์การลงทุน</t>
  </si>
  <si>
    <t>ฺBK680594</t>
  </si>
  <si>
    <t>ปณิธี</t>
  </si>
  <si>
    <t>ทรัพย์วราวงศ์</t>
  </si>
  <si>
    <t>จ๊ะจ๋า</t>
  </si>
  <si>
    <t>BK680143</t>
  </si>
  <si>
    <t>ปทิตตา</t>
  </si>
  <si>
    <t>จีนแฉ่ง</t>
  </si>
  <si>
    <t>แมะ</t>
  </si>
  <si>
    <t>patidtaj@sena.co.th</t>
  </si>
  <si>
    <t>10-09-2010</t>
  </si>
  <si>
    <t>อำลอย</t>
  </si>
  <si>
    <t>ภามี</t>
  </si>
  <si>
    <t>panaddap@sena.co.th</t>
  </si>
  <si>
    <t>เจ้าหน้าที่ตรวจรับมอบห้อง</t>
  </si>
  <si>
    <t>ปภัชญา</t>
  </si>
  <si>
    <t>ด่านดีคงสกุล</t>
  </si>
  <si>
    <t>ษร</t>
  </si>
  <si>
    <t>Chonkanokd@sena.co.th</t>
  </si>
  <si>
    <t>BK680421</t>
  </si>
  <si>
    <t>ปภัสร์ศมล</t>
  </si>
  <si>
    <t>ไวทยาพิศาลกุล</t>
  </si>
  <si>
    <t>Praphussamonv@sena.co.th</t>
  </si>
  <si>
    <t>ปภาพินท์</t>
  </si>
  <si>
    <t>ทองสมบูรณ์</t>
  </si>
  <si>
    <t>พีช</t>
  </si>
  <si>
    <t>papapint@sena.co.th</t>
  </si>
  <si>
    <t>ปรเมศวร์</t>
  </si>
  <si>
    <t>กาญจนธวัช</t>
  </si>
  <si>
    <t>porametk@sena.co.th</t>
  </si>
  <si>
    <t>01-04-2013</t>
  </si>
  <si>
    <t>ประกิต</t>
  </si>
  <si>
    <t>อัครเสรีนนท์</t>
  </si>
  <si>
    <t>Prakita@sena.co.th</t>
  </si>
  <si>
    <t>09-08-2021</t>
  </si>
  <si>
    <t>ประพิมพ์พร</t>
  </si>
  <si>
    <t>ประสารกก</t>
  </si>
  <si>
    <t>prapimpornp@sena.co.th</t>
  </si>
  <si>
    <t>ภูมิสถาปนิกอาวุโส</t>
  </si>
  <si>
    <t>03-07-2020</t>
  </si>
  <si>
    <t>ประภัสสร</t>
  </si>
  <si>
    <t>ปิยะวัติ</t>
  </si>
  <si>
    <t>Prapassornp@sena.co.th</t>
  </si>
  <si>
    <t>ประภาพรรณ</t>
  </si>
  <si>
    <t>ตันเจริญ</t>
  </si>
  <si>
    <t>ผักบุ้ง</t>
  </si>
  <si>
    <t>25-01-2016</t>
  </si>
  <si>
    <t>เตชะสุนทรกล้า</t>
  </si>
  <si>
    <t>prapaphant@sena.co.th</t>
  </si>
  <si>
    <t>06-12-2019</t>
  </si>
  <si>
    <t>ประยูร</t>
  </si>
  <si>
    <t>ยูร</t>
  </si>
  <si>
    <t>prayoonj@sena.co.th</t>
  </si>
  <si>
    <t>เจ้าหน้าที่กลยุทธ์ธุรกิจ</t>
  </si>
  <si>
    <t>ประวัติการณ์</t>
  </si>
  <si>
    <t>ต้อง</t>
  </si>
  <si>
    <t>prawatkarnk@sena.co.th</t>
  </si>
  <si>
    <t>BK680437</t>
  </si>
  <si>
    <t>08-07-2020</t>
  </si>
  <si>
    <t>ประเวช</t>
  </si>
  <si>
    <t>วงษ์พลบ</t>
  </si>
  <si>
    <t>เวช</t>
  </si>
  <si>
    <t>prawetw@sena.co.th</t>
  </si>
  <si>
    <t>ก่ำพัด</t>
  </si>
  <si>
    <t>prasitk@sena.co.th</t>
  </si>
  <si>
    <t>03-01-2001</t>
  </si>
  <si>
    <t>ปราณีต</t>
  </si>
  <si>
    <t>ติจันทึก</t>
  </si>
  <si>
    <t>Praneett@sena.co.th</t>
  </si>
  <si>
    <t>02-01-2019</t>
  </si>
  <si>
    <t>ปรารถนา</t>
  </si>
  <si>
    <t>ช่วยคล้าย</t>
  </si>
  <si>
    <t>prathanac@sena.co.th</t>
  </si>
  <si>
    <t>ดาบุตร</t>
  </si>
  <si>
    <t>15-03-2013</t>
  </si>
  <si>
    <t>ปริพัตร</t>
  </si>
  <si>
    <t>ตริตรอง</t>
  </si>
  <si>
    <t>Pariphatt@sena.co.th</t>
  </si>
  <si>
    <t>BK680426</t>
  </si>
  <si>
    <t>ปริษา</t>
  </si>
  <si>
    <t>กิตติรัตภากุล</t>
  </si>
  <si>
    <t>parisak@sena.co.th</t>
  </si>
  <si>
    <t>จป.วิชาชีพ</t>
  </si>
  <si>
    <t>BK680588</t>
  </si>
  <si>
    <t>ปรีดาพร</t>
  </si>
  <si>
    <t>สุวรรณดิลก</t>
  </si>
  <si>
    <t>preedaporns@sena.co.th</t>
  </si>
  <si>
    <t>ปรีดาภรณ์</t>
  </si>
  <si>
    <t>วังหนอง</t>
  </si>
  <si>
    <t>ปรี</t>
  </si>
  <si>
    <t>preedapornw@sena.co.th</t>
  </si>
  <si>
    <t>วิศวกรจัดจ้างอาวุโส</t>
  </si>
  <si>
    <t>BK680192</t>
  </si>
  <si>
    <t>ปรียานันท์</t>
  </si>
  <si>
    <t>โชคชัยม้าเรืองเดช</t>
  </si>
  <si>
    <t>มะปราง</t>
  </si>
  <si>
    <t>Preeyananc@sena.co.th</t>
  </si>
  <si>
    <t>BK680163</t>
  </si>
  <si>
    <t>ปรียานุช</t>
  </si>
  <si>
    <t>รถยงค์</t>
  </si>
  <si>
    <t>ออยล์</t>
  </si>
  <si>
    <t>preeyanutr@sena.co.th</t>
  </si>
  <si>
    <t>BK680542</t>
  </si>
  <si>
    <t>ปลิว</t>
  </si>
  <si>
    <t>ผดุงสันต์</t>
  </si>
  <si>
    <t>pliwp@sena.co.th</t>
  </si>
  <si>
    <t>ปวเรศ</t>
  </si>
  <si>
    <t>ปัญจศิลป์</t>
  </si>
  <si>
    <t>เจ้าหน้าที่สนับสนุนการตลาด</t>
  </si>
  <si>
    <t>ฝ่ายการตลาดบ้าน 1C</t>
  </si>
  <si>
    <t>ชุดคอมพิวเตอร์ Dell Precision i7-12700</t>
  </si>
  <si>
    <t>ปวิตรา</t>
  </si>
  <si>
    <t>แสงรำไพ</t>
  </si>
  <si>
    <t>แมงปอ</t>
  </si>
  <si>
    <t>ฝ่ายบริหารการขายคอนโด 2D</t>
  </si>
  <si>
    <t>ปวินท์</t>
  </si>
  <si>
    <t>บุญเกตุ</t>
  </si>
  <si>
    <t>pawintb@sena.co.th</t>
  </si>
  <si>
    <t>BK680656</t>
  </si>
  <si>
    <t>ปฬิมาพร</t>
  </si>
  <si>
    <t>จิรัฐติกาลกุลเวท</t>
  </si>
  <si>
    <t>ฟ่าง</t>
  </si>
  <si>
    <t>parimapornj@sena.co.th</t>
  </si>
  <si>
    <t>BK680625</t>
  </si>
  <si>
    <t>ปัญญมล</t>
  </si>
  <si>
    <t>เหล่างาม</t>
  </si>
  <si>
    <t>panyamoll@sena.co.th</t>
  </si>
  <si>
    <t>15-07-2019</t>
  </si>
  <si>
    <t>ปัญญากร</t>
  </si>
  <si>
    <t>ปัญญาพล</t>
  </si>
  <si>
    <t>โสพันธุ์</t>
  </si>
  <si>
    <t>panyapons@sena.co.th</t>
  </si>
  <si>
    <t>15-03-2010</t>
  </si>
  <si>
    <t>ปัฐณัศยา</t>
  </si>
  <si>
    <t>ยศปัญญา</t>
  </si>
  <si>
    <t>Patthanatsayay@sena.co.th</t>
  </si>
  <si>
    <t>BK680317</t>
  </si>
  <si>
    <t>ปัณญ์</t>
  </si>
  <si>
    <t>พลราช</t>
  </si>
  <si>
    <t>วา</t>
  </si>
  <si>
    <t>punp@sena.co.th</t>
  </si>
  <si>
    <t>16-08-2019</t>
  </si>
  <si>
    <t>ปัณณวิชญ์</t>
  </si>
  <si>
    <t>จิรวิทยานนท์</t>
  </si>
  <si>
    <t>ทิม</t>
  </si>
  <si>
    <t>03-04-2017</t>
  </si>
  <si>
    <t>ปัทมาภรณ์</t>
  </si>
  <si>
    <t>นนท์ประเวศน์</t>
  </si>
  <si>
    <t>Pattamapornn@sena.co.th</t>
  </si>
  <si>
    <t>ปาณิสรา</t>
  </si>
  <si>
    <t>สงพะโยม</t>
  </si>
  <si>
    <t>15-08-2019</t>
  </si>
  <si>
    <t>วงศา</t>
  </si>
  <si>
    <t>Panisaraw@sena.co.th</t>
  </si>
  <si>
    <t>ปานชนก</t>
  </si>
  <si>
    <t>จิระรัศมีโชติกุล</t>
  </si>
  <si>
    <t>มิ้ง</t>
  </si>
  <si>
    <t>panchanokc@sena.co.th</t>
  </si>
  <si>
    <t>พนักงานโอนกรรมสิทธิ์</t>
  </si>
  <si>
    <t>11-12-2023</t>
  </si>
  <si>
    <t>แสงสว่าง</t>
  </si>
  <si>
    <t>paritas@sena.co.th</t>
  </si>
  <si>
    <t>BK680222</t>
  </si>
  <si>
    <t>ยอดจัตุรัส</t>
  </si>
  <si>
    <t>paliday@sena.co.th</t>
  </si>
  <si>
    <t>BK680533</t>
  </si>
  <si>
    <t>20-11-2007</t>
  </si>
  <si>
    <t>ปิติชัย</t>
  </si>
  <si>
    <t>รัตน์ประสิทธิ์</t>
  </si>
  <si>
    <t>Pitichair@sena.co.th</t>
  </si>
  <si>
    <t>23-11-2020</t>
  </si>
  <si>
    <t>ปิพิมาวดี</t>
  </si>
  <si>
    <t>พงษ์พิทักษ์</t>
  </si>
  <si>
    <t>piphimavadeep@sena.co.th</t>
  </si>
  <si>
    <t>09-05-2022</t>
  </si>
  <si>
    <t>ปิยณัฐ</t>
  </si>
  <si>
    <t>รู้ทำนอง</t>
  </si>
  <si>
    <t>piyanatr@sena.co.th</t>
  </si>
  <si>
    <t>BK680448</t>
  </si>
  <si>
    <t>ปิยธิดา</t>
  </si>
  <si>
    <t>สัตพันธ์</t>
  </si>
  <si>
    <t>piyatidas@sena.co.th</t>
  </si>
  <si>
    <t>ปิยะรัตน์</t>
  </si>
  <si>
    <t>สุบรรณวิลาศ</t>
  </si>
  <si>
    <t>piyarats@sena.co.th</t>
  </si>
  <si>
    <t>เลขานุการและธุรการ</t>
  </si>
  <si>
    <t>BK680387</t>
  </si>
  <si>
    <t>ปิยะวัฒน์</t>
  </si>
  <si>
    <t>จงไกรจักร์</t>
  </si>
  <si>
    <t>piyawatj@sena.co.th</t>
  </si>
  <si>
    <t>ปิยากร</t>
  </si>
  <si>
    <t>รุ่งเรืองตันติสุข</t>
  </si>
  <si>
    <t>piyakornr@sena.co.th</t>
  </si>
  <si>
    <t>ปุญญพัฒน์</t>
  </si>
  <si>
    <t>กลิ่นแห</t>
  </si>
  <si>
    <t>sirimask@sena.co.th</t>
  </si>
  <si>
    <t>03-05-2011</t>
  </si>
  <si>
    <t>สิทธิไชยนันท์</t>
  </si>
  <si>
    <t>ตั๊กแตน</t>
  </si>
  <si>
    <t>Poonyanuchs@sena.co.th</t>
  </si>
  <si>
    <t>เปมิกา</t>
  </si>
  <si>
    <t>มะลิซ้อน</t>
  </si>
  <si>
    <t>เป</t>
  </si>
  <si>
    <t>pemikam@sena.co.th</t>
  </si>
  <si>
    <t>01-09-2021</t>
  </si>
  <si>
    <t>เปรมยุดา</t>
  </si>
  <si>
    <t>รักษาศรี</t>
  </si>
  <si>
    <t>น้ำผึ้ง</t>
  </si>
  <si>
    <t>preamyudar@sena.co.th</t>
  </si>
  <si>
    <t>BK600038</t>
  </si>
  <si>
    <t>01-10-2000</t>
  </si>
  <si>
    <t>ผดุงชัย</t>
  </si>
  <si>
    <t>เกล็ดสุวรรณ</t>
  </si>
  <si>
    <t>02-02-2015</t>
  </si>
  <si>
    <t>พงศธร</t>
  </si>
  <si>
    <t>ชิณบุตร</t>
  </si>
  <si>
    <t>Phongsathonc@sena.co.th</t>
  </si>
  <si>
    <t>BK680446</t>
  </si>
  <si>
    <t>พงศ์ประพันธ์</t>
  </si>
  <si>
    <t>จอมชิตกล่ำ</t>
  </si>
  <si>
    <t>ใหญ่</t>
  </si>
  <si>
    <t>phongprapanj@sena.co.th</t>
  </si>
  <si>
    <t>พงษ์พัฒน์</t>
  </si>
  <si>
    <t>ศรีทอง</t>
  </si>
  <si>
    <t>pongpats@sena.co.th</t>
  </si>
  <si>
    <t>เจ้าหน้าที่ตรวจรับมอบห้องอาวุโส</t>
  </si>
  <si>
    <t>พชรพล</t>
  </si>
  <si>
    <t>ฉลาดแพทย์</t>
  </si>
  <si>
    <t>pacharapolc@sena.co.th</t>
  </si>
  <si>
    <t>ฝ่ายพัฒนาธุรกิจและสรรหาที่ดิน</t>
  </si>
  <si>
    <t>BK680396</t>
  </si>
  <si>
    <t>21-06-2021</t>
  </si>
  <si>
    <t>พนธกร</t>
  </si>
  <si>
    <t>จรรยาธรรม</t>
  </si>
  <si>
    <t>phonthakonc@sena.co.th</t>
  </si>
  <si>
    <t>BK680380</t>
  </si>
  <si>
    <t>พนัสพงษ์</t>
  </si>
  <si>
    <t>ใจมีวงศ์</t>
  </si>
  <si>
    <t>phanutphongc@sena.co.th</t>
  </si>
  <si>
    <t>BK680572</t>
  </si>
  <si>
    <t>พนิดา</t>
  </si>
  <si>
    <t>panidap@sena.co.th</t>
  </si>
  <si>
    <t>BK680334</t>
  </si>
  <si>
    <t>พนิต</t>
  </si>
  <si>
    <t>คำสุข</t>
  </si>
  <si>
    <t>panitk@sena.co.th</t>
  </si>
  <si>
    <t>BK680137</t>
  </si>
  <si>
    <t>พรจันทร์</t>
  </si>
  <si>
    <t>โฉมเฉลา</t>
  </si>
  <si>
    <t>pornjanc@sena.co.th</t>
  </si>
  <si>
    <t>ฝ่ายบริหารการตลาดคอนโด 1A</t>
  </si>
  <si>
    <t>16-05-2016</t>
  </si>
  <si>
    <t>พรชนก</t>
  </si>
  <si>
    <t>เติมวรธรรม</t>
  </si>
  <si>
    <t>แจน</t>
  </si>
  <si>
    <t>pornchanokt@sena.co.th</t>
  </si>
  <si>
    <t>BK680203</t>
  </si>
  <si>
    <t>พรชัย</t>
  </si>
  <si>
    <t>ไชยแจ้ง</t>
  </si>
  <si>
    <t>นับหนึ่ง</t>
  </si>
  <si>
    <t>pornchaic@sena.co.th</t>
  </si>
  <si>
    <t>สุทธิมล</t>
  </si>
  <si>
    <t>ฝ่าย Digital Channel &amp; MKT Tech</t>
  </si>
  <si>
    <t>09-06-2014</t>
  </si>
  <si>
    <t>พรภัส</t>
  </si>
  <si>
    <t>บุญวงศ์</t>
  </si>
  <si>
    <t>ดล</t>
  </si>
  <si>
    <t>Pornpasb@sena.co.th</t>
  </si>
  <si>
    <t>ฝ่าย Organization Development Strategy</t>
  </si>
  <si>
    <t>พรรณรมย์</t>
  </si>
  <si>
    <t>สมดี</t>
  </si>
  <si>
    <t>Pannaroms@sena.co.th</t>
  </si>
  <si>
    <t>BK640140</t>
  </si>
  <si>
    <t>01-10-2021</t>
  </si>
  <si>
    <t>พรศักดิ์</t>
  </si>
  <si>
    <t>แก้วนิล</t>
  </si>
  <si>
    <t>Pornsakk@sena.co.th</t>
  </si>
  <si>
    <t>BK680420</t>
  </si>
  <si>
    <t>พราวพิชชา</t>
  </si>
  <si>
    <t>พุกปราง</t>
  </si>
  <si>
    <t>ทิพ</t>
  </si>
  <si>
    <t>Proudpitchap@sena.co.th</t>
  </si>
  <si>
    <t>15-09-2009</t>
  </si>
  <si>
    <t>พลวิทย์</t>
  </si>
  <si>
    <t>ศรีสุวรรณกุล</t>
  </si>
  <si>
    <t>Ponwits@sena.co.th</t>
  </si>
  <si>
    <t>BK680650</t>
  </si>
  <si>
    <t>พลัฏฐ์</t>
  </si>
  <si>
    <t>การุณย์ธนากิตติ์</t>
  </si>
  <si>
    <t>palatk@sena.co.th</t>
  </si>
  <si>
    <t>15-08-1994</t>
  </si>
  <si>
    <t>พลับพลึง</t>
  </si>
  <si>
    <t>จวิเสน</t>
  </si>
  <si>
    <t>ยอด</t>
  </si>
  <si>
    <t>Plubploungc@sena.co.th</t>
  </si>
  <si>
    <t>พสิษฐ์</t>
  </si>
  <si>
    <t>เหลืองอำพล</t>
  </si>
  <si>
    <t>pasitl@sena.co.th</t>
  </si>
  <si>
    <t>พัชญ์ณฐณณ</t>
  </si>
  <si>
    <t>ดำคง</t>
  </si>
  <si>
    <t>อุ๊</t>
  </si>
  <si>
    <t>phatnathanond@sena.co.th</t>
  </si>
  <si>
    <t>BK680584</t>
  </si>
  <si>
    <t>พัชริดา</t>
  </si>
  <si>
    <t>ปวันนา</t>
  </si>
  <si>
    <t>phatcharidap@sena.co.th</t>
  </si>
  <si>
    <t>Patchariny@sena.co.th</t>
  </si>
  <si>
    <t>พัฒนพันธ์ชัย</t>
  </si>
  <si>
    <t>patcharinp@sena.co.th</t>
  </si>
  <si>
    <t>พัชรีญา</t>
  </si>
  <si>
    <t>คงสิม</t>
  </si>
  <si>
    <t>เจ้าหน้าที่ธุรกิจต่างประเทศอาวุโส</t>
  </si>
  <si>
    <t>พัฒน์สุตา</t>
  </si>
  <si>
    <t>ช่วงนิษฐ์ใสธร</t>
  </si>
  <si>
    <t>BK680230</t>
  </si>
  <si>
    <t>พัณณ์ชิตา</t>
  </si>
  <si>
    <t>อารีชีวกุล</t>
  </si>
  <si>
    <t>panchitaa@sena.co.th</t>
  </si>
  <si>
    <t>พัทธนันท์</t>
  </si>
  <si>
    <t>เกตุแก้ว</t>
  </si>
  <si>
    <t>Jack</t>
  </si>
  <si>
    <t>BK680345</t>
  </si>
  <si>
    <t>พัทยา</t>
  </si>
  <si>
    <t>นามปัญญา</t>
  </si>
  <si>
    <t>ผา</t>
  </si>
  <si>
    <t>pattayan@sena.co.th</t>
  </si>
  <si>
    <t>01-07-2019</t>
  </si>
  <si>
    <t>พันฤทธิ์</t>
  </si>
  <si>
    <t>บัวพา</t>
  </si>
  <si>
    <t>Panritb@sena.co.th</t>
  </si>
  <si>
    <t>พิฆเนศ</t>
  </si>
  <si>
    <t>ถาวรพงศ์สถิต</t>
  </si>
  <si>
    <t>โต๋</t>
  </si>
  <si>
    <t>พิจิตรา</t>
  </si>
  <si>
    <t>จิระกุลพรไพศาล</t>
  </si>
  <si>
    <t>15-10-2025</t>
  </si>
  <si>
    <t>พิชชากร</t>
  </si>
  <si>
    <t>ชอุ่มผล</t>
  </si>
  <si>
    <t>สกาย</t>
  </si>
  <si>
    <t>พิชญ์ชุดา</t>
  </si>
  <si>
    <t>อยู่ชมบุญ</t>
  </si>
  <si>
    <t>เมษ์</t>
  </si>
  <si>
    <t>pitchoodau@sena.co.th</t>
  </si>
  <si>
    <t>01-11-2016</t>
  </si>
  <si>
    <t>พิชิตพล</t>
  </si>
  <si>
    <t>พิมพ์สนิท</t>
  </si>
  <si>
    <t>ชิต</t>
  </si>
  <si>
    <t>11-05-2015</t>
  </si>
  <si>
    <t>พิเชฐ</t>
  </si>
  <si>
    <t>แช่มช้อย</t>
  </si>
  <si>
    <t>Pichetc@sena.co.th</t>
  </si>
  <si>
    <t>ฝ่ายการตลาดคอนโด 4B</t>
  </si>
  <si>
    <t>BK680443</t>
  </si>
  <si>
    <t>02-05-2013</t>
  </si>
  <si>
    <t>ภูพานใหญ่</t>
  </si>
  <si>
    <t>หว่อง</t>
  </si>
  <si>
    <t>Phitakp@sena.co.th</t>
  </si>
  <si>
    <t>BK680178</t>
  </si>
  <si>
    <t>14-06-2021</t>
  </si>
  <si>
    <t>พิมพ์ประไพ</t>
  </si>
  <si>
    <t>อุดมปละ</t>
  </si>
  <si>
    <t>นิ่ม</t>
  </si>
  <si>
    <t>pimprapaiu@sena.co.th</t>
  </si>
  <si>
    <t>BK680587</t>
  </si>
  <si>
    <t>พิมพิลา</t>
  </si>
  <si>
    <t>ถานัดดี</t>
  </si>
  <si>
    <t>pimpilat@sena.co.th</t>
  </si>
  <si>
    <t>05-10-2016</t>
  </si>
  <si>
    <t>พิมลรัตน์</t>
  </si>
  <si>
    <t>เพ็ชรทวีพรเดช</t>
  </si>
  <si>
    <t>Pimolratk@sena.co.th</t>
  </si>
  <si>
    <t>พิศุทธิ์</t>
  </si>
  <si>
    <t>หวั่นหนู</t>
  </si>
  <si>
    <t>pisuth@sena.co.th</t>
  </si>
  <si>
    <t>03-09-2012</t>
  </si>
  <si>
    <t>นาคากาวา</t>
  </si>
  <si>
    <t>Pisanun@sena.co.th</t>
  </si>
  <si>
    <t>ฝ่ายซ่อมบำรุง แนวราบ</t>
  </si>
  <si>
    <t>BK680395</t>
  </si>
  <si>
    <t>พีรชาติ</t>
  </si>
  <si>
    <t>อินทร์จันทร์</t>
  </si>
  <si>
    <t>Phirachata@sena.co.th</t>
  </si>
  <si>
    <t>21-10-2024</t>
  </si>
  <si>
    <t>คงฤทธิ์</t>
  </si>
  <si>
    <t>ฝ่ายบริหารการตลาดบ้าน 1A</t>
  </si>
  <si>
    <t>BK680539</t>
  </si>
  <si>
    <t>พีระศักดิ์</t>
  </si>
  <si>
    <t>บุตรสีโคตร</t>
  </si>
  <si>
    <t>phirasakb@sena.co.th</t>
  </si>
  <si>
    <t>28-03-2011</t>
  </si>
  <si>
    <t>เพ็ญพักตร์</t>
  </si>
  <si>
    <t>อ่อนอำพันธ์</t>
  </si>
  <si>
    <t>Penpako@sena.co.th</t>
  </si>
  <si>
    <t>BK680369</t>
  </si>
  <si>
    <t>12-07-2010</t>
  </si>
  <si>
    <t>เพรียวพันธ์</t>
  </si>
  <si>
    <t>เทียนยวง</t>
  </si>
  <si>
    <t>เพรียว</t>
  </si>
  <si>
    <t>เพิ่มศักดิ์</t>
  </si>
  <si>
    <t>ตะโคตร</t>
  </si>
  <si>
    <t>phoemsakt@sena.co.th</t>
  </si>
  <si>
    <t>เพียงนภา</t>
  </si>
  <si>
    <t>ชำนาญมาก</t>
  </si>
  <si>
    <t>piangnapac@sena.co.th</t>
  </si>
  <si>
    <t>ไพโรจน์</t>
  </si>
  <si>
    <t>สินเพราะ</t>
  </si>
  <si>
    <t>โรจน์</t>
  </si>
  <si>
    <t>08-01-2024</t>
  </si>
  <si>
    <t>ภคมน</t>
  </si>
  <si>
    <t>วงศ์แก้ว</t>
  </si>
  <si>
    <t>phakamonw@sena.co.th</t>
  </si>
  <si>
    <t>BK680558</t>
  </si>
  <si>
    <t>ภรทิพย์</t>
  </si>
  <si>
    <t>สร้อยมาลัย</t>
  </si>
  <si>
    <t>pornthips@sena.co.th</t>
  </si>
  <si>
    <t>BK680038</t>
  </si>
  <si>
    <t>ภรัณฌกร</t>
  </si>
  <si>
    <t>จิรภิญญากุล</t>
  </si>
  <si>
    <t>เอี๊ยม</t>
  </si>
  <si>
    <t>BK680218</t>
  </si>
  <si>
    <t>ภัททิพัณณ์</t>
  </si>
  <si>
    <t>เจริญประสพลาภ</t>
  </si>
  <si>
    <t>phattipanc@sena.co.th</t>
  </si>
  <si>
    <t>ภัทธิรา</t>
  </si>
  <si>
    <t>เรืองทอง</t>
  </si>
  <si>
    <t>Pattirar@sena.co.th</t>
  </si>
  <si>
    <t>BK680169</t>
  </si>
  <si>
    <t>ภัทรกร</t>
  </si>
  <si>
    <t>มณีวรรณ</t>
  </si>
  <si>
    <t>เพจ</t>
  </si>
  <si>
    <t>pattalakoarnm@sena.co.th</t>
  </si>
  <si>
    <t>ภัทรธิดา</t>
  </si>
  <si>
    <t>พิริยะรุ่งโรจน์</t>
  </si>
  <si>
    <t>pattarathidap@sena.co.th</t>
  </si>
  <si>
    <t>ภัทรนันท์</t>
  </si>
  <si>
    <t>วามะกันต์</t>
  </si>
  <si>
    <t>pattarananw@sena.co.th</t>
  </si>
  <si>
    <t>BK680474</t>
  </si>
  <si>
    <t>อนงค์ทอง</t>
  </si>
  <si>
    <t>pattarapona@sena.co.th</t>
  </si>
  <si>
    <t>ฝ่ายแผนงานห่วงโซ่อุปทาน</t>
  </si>
  <si>
    <t>ภาคิไนย</t>
  </si>
  <si>
    <t>จิตติธำรง</t>
  </si>
  <si>
    <t>BK680311</t>
  </si>
  <si>
    <t>ภานุมาศ</t>
  </si>
  <si>
    <t>พรทอง</t>
  </si>
  <si>
    <t>panumasp@sena.co.th</t>
  </si>
  <si>
    <t>02-06-1996</t>
  </si>
  <si>
    <t>ภาวิณีย์</t>
  </si>
  <si>
    <t>Phawineep@sena.co.th</t>
  </si>
  <si>
    <t>07-05-2019</t>
  </si>
  <si>
    <t>ภาวิพัชร</t>
  </si>
  <si>
    <t>มณีนิล</t>
  </si>
  <si>
    <t>เนิส</t>
  </si>
  <si>
    <t>Pavipatm@sena.co.th</t>
  </si>
  <si>
    <t>ภาวิศ</t>
  </si>
  <si>
    <t>พ่วงทองคำ</t>
  </si>
  <si>
    <t>ฟอร์ด</t>
  </si>
  <si>
    <t>pavitp@sena.co.th</t>
  </si>
  <si>
    <t>Senior Internal Auditor</t>
  </si>
  <si>
    <t>ภิญญตา</t>
  </si>
  <si>
    <t>จ้อยศรีเกตุ</t>
  </si>
  <si>
    <t>เหน่ง</t>
  </si>
  <si>
    <t>Pinyataj@sena.co.th</t>
  </si>
  <si>
    <t>BK680335</t>
  </si>
  <si>
    <t>ภิญโญ</t>
  </si>
  <si>
    <t>ฮวบประเสริฐ</t>
  </si>
  <si>
    <t>โญ</t>
  </si>
  <si>
    <t>pinyoh@sena.co.th</t>
  </si>
  <si>
    <t>BK680532</t>
  </si>
  <si>
    <t>เทพกัน</t>
  </si>
  <si>
    <t>อู๋</t>
  </si>
  <si>
    <t>pinyot@sena.co.th</t>
  </si>
  <si>
    <t>BK680408</t>
  </si>
  <si>
    <t>ภูริวัจน์</t>
  </si>
  <si>
    <t>ถาวรฐิติพันธุ์</t>
  </si>
  <si>
    <t>Puriwatta@sena.co.th</t>
  </si>
  <si>
    <t>BK680316</t>
  </si>
  <si>
    <t>ภูวดล</t>
  </si>
  <si>
    <t>กรมไธสง</t>
  </si>
  <si>
    <t>phuwadonk@sena.co.th</t>
  </si>
  <si>
    <t>BK680348</t>
  </si>
  <si>
    <t>ภูวดิท</t>
  </si>
  <si>
    <t>ถิระผลิกะ</t>
  </si>
  <si>
    <t>bhoowaditt@sena.co.th</t>
  </si>
  <si>
    <t>ภูษชญา</t>
  </si>
  <si>
    <t>ไกรลาศ</t>
  </si>
  <si>
    <t>poosachayak@sena.co.th</t>
  </si>
  <si>
    <t>พนักงานธุรการ</t>
  </si>
  <si>
    <t>มงคล</t>
  </si>
  <si>
    <t>จิตทวี</t>
  </si>
  <si>
    <t>mongkonj@sena.co.th</t>
  </si>
  <si>
    <t>12-04-2013</t>
  </si>
  <si>
    <t>มณิศา</t>
  </si>
  <si>
    <t>ลิมปนะรังสฤษฎ์</t>
  </si>
  <si>
    <t>เฟิร์น</t>
  </si>
  <si>
    <t>BK680434</t>
  </si>
  <si>
    <t>ภูหน่วยหนา</t>
  </si>
  <si>
    <t>montrip@sena.co.th</t>
  </si>
  <si>
    <t>BK630014</t>
  </si>
  <si>
    <t>มนัส</t>
  </si>
  <si>
    <t>สมใจเพ็ง</t>
  </si>
  <si>
    <t>manass@sena.co.th</t>
  </si>
  <si>
    <t>BK680479</t>
  </si>
  <si>
    <t>มนูญ</t>
  </si>
  <si>
    <t>คำโสม</t>
  </si>
  <si>
    <t>manoonk@sena.co.th</t>
  </si>
  <si>
    <t>มรรษณา</t>
  </si>
  <si>
    <t>แสนคำลือ</t>
  </si>
  <si>
    <t>โซ่</t>
  </si>
  <si>
    <t>มลเชียร</t>
  </si>
  <si>
    <t>ทันนาเขตต์</t>
  </si>
  <si>
    <t>monchiant@sena.co.th</t>
  </si>
  <si>
    <t>มลิวรรณ์</t>
  </si>
  <si>
    <t>แสงห้าว</t>
  </si>
  <si>
    <t>maliwans@sena.co.th</t>
  </si>
  <si>
    <t>BK680140</t>
  </si>
  <si>
    <t>03-12-2012</t>
  </si>
  <si>
    <t>มะลิ</t>
  </si>
  <si>
    <t>มิตรโกสุม</t>
  </si>
  <si>
    <t>Malim@sena.co.th</t>
  </si>
  <si>
    <t>01-04-2015</t>
  </si>
  <si>
    <t>มัณฑนา</t>
  </si>
  <si>
    <t>เกิดแก้ว</t>
  </si>
  <si>
    <t>Manthanak@sena.co.th</t>
  </si>
  <si>
    <t>07-05-2021</t>
  </si>
  <si>
    <t>ต้อย</t>
  </si>
  <si>
    <t>manopp@sena.co.th</t>
  </si>
  <si>
    <t>BK660067</t>
  </si>
  <si>
    <t>คล้ามกลั่น</t>
  </si>
  <si>
    <t>manachaic@sena.co.th</t>
  </si>
  <si>
    <t>มานิตย์</t>
  </si>
  <si>
    <t>ศรีคงแก้ว</t>
  </si>
  <si>
    <t>เอี้ยง</t>
  </si>
  <si>
    <t>manits@sena.co.th</t>
  </si>
  <si>
    <t>BK520095</t>
  </si>
  <si>
    <t>12-09-2009</t>
  </si>
  <si>
    <t>มาลี</t>
  </si>
  <si>
    <t>ประทุมทัย</t>
  </si>
  <si>
    <t>Maleep@sena.co.th</t>
  </si>
  <si>
    <t>แม่บ้านสำนักงาน</t>
  </si>
  <si>
    <t>04-11-2019</t>
  </si>
  <si>
    <t>มิณญา</t>
  </si>
  <si>
    <t>ญาณุจจัย</t>
  </si>
  <si>
    <t>02-05-2018</t>
  </si>
  <si>
    <t>มีนณิกานต์</t>
  </si>
  <si>
    <t>วังสวนดอกไม้</t>
  </si>
  <si>
    <t>ปุย</t>
  </si>
  <si>
    <t>Meennikantw@sena.co.th</t>
  </si>
  <si>
    <t>BK680179</t>
  </si>
  <si>
    <t>เมลดา</t>
  </si>
  <si>
    <t>อุทา</t>
  </si>
  <si>
    <t>จอม</t>
  </si>
  <si>
    <t>mayladaa@sena.co.th</t>
  </si>
  <si>
    <t>BK680442</t>
  </si>
  <si>
    <t>16-10-2013</t>
  </si>
  <si>
    <t>ชูดี</t>
  </si>
  <si>
    <t>Manc@sena.co.th</t>
  </si>
  <si>
    <t>BK680205</t>
  </si>
  <si>
    <t>ยลพัชร์</t>
  </si>
  <si>
    <t>ทิพธิดาเปรมธนัน</t>
  </si>
  <si>
    <t>yonlaphatt@sena.co.th</t>
  </si>
  <si>
    <t>BK680228</t>
  </si>
  <si>
    <t>ยศภัทร</t>
  </si>
  <si>
    <t>จันทวรรณ์</t>
  </si>
  <si>
    <t>ปาร์ค</t>
  </si>
  <si>
    <t>yosapatj@sena.co.th</t>
  </si>
  <si>
    <t>BK680557</t>
  </si>
  <si>
    <t>26-11-2018</t>
  </si>
  <si>
    <t>ยศวดี</t>
  </si>
  <si>
    <t>อยู่วงศ์</t>
  </si>
  <si>
    <t>Yossawadeey@sena.co.th</t>
  </si>
  <si>
    <t>BK680327</t>
  </si>
  <si>
    <t>ยุกต์กฤต</t>
  </si>
  <si>
    <t>ประสานสารกิจ</t>
  </si>
  <si>
    <t>yookritp@sena.co.th</t>
  </si>
  <si>
    <t>09-09-2019</t>
  </si>
  <si>
    <t>ยุทธพงศ์</t>
  </si>
  <si>
    <t>แซ่ฉั่ว</t>
  </si>
  <si>
    <t>BK680326</t>
  </si>
  <si>
    <t>07-12-2020</t>
  </si>
  <si>
    <t>ว่าที่ ร.ต.หญิง</t>
  </si>
  <si>
    <t>ยุพาพร</t>
  </si>
  <si>
    <t>เนียมแดง</t>
  </si>
  <si>
    <t>Yupapornn@sena.co.th</t>
  </si>
  <si>
    <t>ยุวเทวี</t>
  </si>
  <si>
    <t>กลางบุรัมย์</t>
  </si>
  <si>
    <t>แยม</t>
  </si>
  <si>
    <t>yuwateweek@sena.co.th</t>
  </si>
  <si>
    <t>01-08-2019</t>
  </si>
  <si>
    <t>ยุวธิดา</t>
  </si>
  <si>
    <t>พิพัฒนสุคนธ์</t>
  </si>
  <si>
    <t>ปราย</t>
  </si>
  <si>
    <t>yuwathidap@sena.co.th</t>
  </si>
  <si>
    <t>ฝ่ายกำกับนโยบาย (PSD)</t>
  </si>
  <si>
    <t>BK680231</t>
  </si>
  <si>
    <t>26-02-2024</t>
  </si>
  <si>
    <t>ยุวนันท์</t>
  </si>
  <si>
    <t>น้อยตง</t>
  </si>
  <si>
    <t>yuwanunn@sena.co.th</t>
  </si>
  <si>
    <t>BK680601</t>
  </si>
  <si>
    <t>เยาวพรรณ</t>
  </si>
  <si>
    <t>ชัยปาณี</t>
  </si>
  <si>
    <t>BK680343</t>
  </si>
  <si>
    <t>เยียง</t>
  </si>
  <si>
    <t>บุรินรัมย์</t>
  </si>
  <si>
    <t>yeingb@sena.co.th</t>
  </si>
  <si>
    <t>BK680498</t>
  </si>
  <si>
    <t>โยคิน</t>
  </si>
  <si>
    <t>เพชรล้อมทอง</t>
  </si>
  <si>
    <t>yokinp@sena.co.th</t>
  </si>
  <si>
    <t>02-01-2020</t>
  </si>
  <si>
    <t>โยธิน</t>
  </si>
  <si>
    <t>เสนาไชย</t>
  </si>
  <si>
    <t>yothins@sena.co.th</t>
  </si>
  <si>
    <t>BK680374</t>
  </si>
  <si>
    <t>รชานนท์</t>
  </si>
  <si>
    <t>เฉลิมชัย</t>
  </si>
  <si>
    <t>rachanonc@sena.co.th</t>
  </si>
  <si>
    <t>15-06-2011</t>
  </si>
  <si>
    <t>บัวประเสริฐ</t>
  </si>
  <si>
    <t>ริน</t>
  </si>
  <si>
    <t>Radac@sena.co.th</t>
  </si>
  <si>
    <t>รวิพร</t>
  </si>
  <si>
    <t>เรืองวัลย์ธนา</t>
  </si>
  <si>
    <t>มัดหมี่</t>
  </si>
  <si>
    <t>rawipornw@sena.co.th</t>
  </si>
  <si>
    <t>11-10-2021</t>
  </si>
  <si>
    <t>รัชกฤต</t>
  </si>
  <si>
    <t>ภู่จ้อย</t>
  </si>
  <si>
    <t>Watcharap@sena.co.th</t>
  </si>
  <si>
    <t>รัชช์ศิร์</t>
  </si>
  <si>
    <t>บางเจริญพรพงค์</t>
  </si>
  <si>
    <t>ratsib@sena.co.th</t>
  </si>
  <si>
    <t>BK680197</t>
  </si>
  <si>
    <t>รัชดาวรรณ</t>
  </si>
  <si>
    <t>พวงอินทร์</t>
  </si>
  <si>
    <t>ratchadawanp@sena.co.th</t>
  </si>
  <si>
    <t>รัชนี</t>
  </si>
  <si>
    <t>รัตนมุณี</t>
  </si>
  <si>
    <t>ratchaneer@sena.co.th</t>
  </si>
  <si>
    <t>เลขานุการผู้ช่วยกรรมการผู้จัดการ</t>
  </si>
  <si>
    <t>รัชนีกร</t>
  </si>
  <si>
    <t>แพงทรัพย์</t>
  </si>
  <si>
    <t>รัชพล</t>
  </si>
  <si>
    <t>อมรจันทร์เพ็ญ</t>
  </si>
  <si>
    <t>ratchapona@sena.co.th</t>
  </si>
  <si>
    <t>BK680504</t>
  </si>
  <si>
    <t>รัตนชาติ</t>
  </si>
  <si>
    <t>โอษคลัง</t>
  </si>
  <si>
    <t>rattanachato@sena.co.th</t>
  </si>
  <si>
    <t>23-04-2018</t>
  </si>
  <si>
    <t>รัตน์วรา</t>
  </si>
  <si>
    <t>วิเชียรนพรัตน์</t>
  </si>
  <si>
    <t>เบริ์ด</t>
  </si>
  <si>
    <t>Ratvarav@sena.co.th</t>
  </si>
  <si>
    <t>รัตนา</t>
  </si>
  <si>
    <t>ธนดำรงสิทธิ์</t>
  </si>
  <si>
    <t>BK680288</t>
  </si>
  <si>
    <t>04-11-2024</t>
  </si>
  <si>
    <t>รัตนาภรณ์</t>
  </si>
  <si>
    <t>สาระดำ</t>
  </si>
  <si>
    <t>rattanaporns@sena.co.th</t>
  </si>
  <si>
    <t>01-12-2014</t>
  </si>
  <si>
    <t>รุจิรา</t>
  </si>
  <si>
    <t>น้ำทอง</t>
  </si>
  <si>
    <t>Rujiran@sena.co.th</t>
  </si>
  <si>
    <t>เจ้าหน้าที่ประสานงานและสนับสนุนระบบดิจิทัล</t>
  </si>
  <si>
    <t>BK680493</t>
  </si>
  <si>
    <t>รุสลัน</t>
  </si>
  <si>
    <t>วาแม</t>
  </si>
  <si>
    <t>ลัน</t>
  </si>
  <si>
    <t>ruslanw@sena.co.th</t>
  </si>
  <si>
    <t>BK680161</t>
  </si>
  <si>
    <t>เรนิกา</t>
  </si>
  <si>
    <t>อัคชาติ</t>
  </si>
  <si>
    <t>เรย์</t>
  </si>
  <si>
    <t>ranikao@sena.co.th</t>
  </si>
  <si>
    <t>24-07-2024</t>
  </si>
  <si>
    <t>ฤชาลักษณ์</t>
  </si>
  <si>
    <t>จิตอารี</t>
  </si>
  <si>
    <t>ตุ๋ม</t>
  </si>
  <si>
    <t>08-08-2011</t>
  </si>
  <si>
    <t>ลฎาภา</t>
  </si>
  <si>
    <t>ภูวธนาสินวุฒ</t>
  </si>
  <si>
    <t>Ladaphap@sena.co.th</t>
  </si>
  <si>
    <t>BK680592</t>
  </si>
  <si>
    <t>ลภัสรดา</t>
  </si>
  <si>
    <t>แจ่มเมฆ</t>
  </si>
  <si>
    <t>laphasladaj@sena.co.th</t>
  </si>
  <si>
    <t>คงกรุต</t>
  </si>
  <si>
    <t>ไอช์</t>
  </si>
  <si>
    <t>lalitak@sena.co.th</t>
  </si>
  <si>
    <t>ละอองดาว</t>
  </si>
  <si>
    <t>โหลยา</t>
  </si>
  <si>
    <t>แสตมป์</t>
  </si>
  <si>
    <t>laongdaol@sena.co.th</t>
  </si>
  <si>
    <t>BK680517</t>
  </si>
  <si>
    <t>ลักขณา</t>
  </si>
  <si>
    <t>ดำเลิศ</t>
  </si>
  <si>
    <t>lakkhanad@sena.co.th</t>
  </si>
  <si>
    <t>20-01-2014</t>
  </si>
  <si>
    <t>ลักษณ์นารา</t>
  </si>
  <si>
    <t>ปูกา</t>
  </si>
  <si>
    <t>Chanphenp@sena.co.th</t>
  </si>
  <si>
    <t>ลัดดา</t>
  </si>
  <si>
    <t>จงปัตนา</t>
  </si>
  <si>
    <t>ลักษณ์</t>
  </si>
  <si>
    <t>laddaj@sena.co.th</t>
  </si>
  <si>
    <t>คำแก้ววันดี</t>
  </si>
  <si>
    <t>ปลั๊กไฟ</t>
  </si>
  <si>
    <t>laddak@sena.co.th</t>
  </si>
  <si>
    <t>เจ้าหน้าที่โอนกรรมสิทธิ์</t>
  </si>
  <si>
    <t>ลัทธิษา</t>
  </si>
  <si>
    <t>กระต่ายน้อย</t>
  </si>
  <si>
    <t>ลีลาวดี</t>
  </si>
  <si>
    <t>อุทัยรังษี</t>
  </si>
  <si>
    <t>leelavadeeu@sena.co.th</t>
  </si>
  <si>
    <t>BK680511</t>
  </si>
  <si>
    <t>11-07-2003</t>
  </si>
  <si>
    <t>เลอศักดิ์</t>
  </si>
  <si>
    <t>เพชรอนันต์</t>
  </si>
  <si>
    <t>เลอ</t>
  </si>
  <si>
    <t>Lersakp@sena.co.th</t>
  </si>
  <si>
    <t>โฟร์แมนเกษตรอาวุโส</t>
  </si>
  <si>
    <t>วชิรวิชญ์</t>
  </si>
  <si>
    <t>ริดจังหรีด</t>
  </si>
  <si>
    <t>แหลม</t>
  </si>
  <si>
    <t>wachirawitr@sena.co.th</t>
  </si>
  <si>
    <t>16-01-2020</t>
  </si>
  <si>
    <t>เหมจินดา</t>
  </si>
  <si>
    <t>Vachirah@sena.co.th</t>
  </si>
  <si>
    <t>วชิราภรณ์</t>
  </si>
  <si>
    <t>ศุภจรูญทรัพย์</t>
  </si>
  <si>
    <t>จันทีนอก</t>
  </si>
  <si>
    <t>wachirapornj@sena.co.th</t>
  </si>
  <si>
    <t>วณิชชยา</t>
  </si>
  <si>
    <t>อายุโย</t>
  </si>
  <si>
    <t>BK680064</t>
  </si>
  <si>
    <t>06-06-2023</t>
  </si>
  <si>
    <t>วทันยู</t>
  </si>
  <si>
    <t>บุญมา</t>
  </si>
  <si>
    <t>ยู</t>
  </si>
  <si>
    <t>ฝ่ายบริหารโครงการคอนโดและบ้าน 13A</t>
  </si>
  <si>
    <t>วนิดา</t>
  </si>
  <si>
    <t>สิงห์งอย</t>
  </si>
  <si>
    <t>Wanidas@sena.co.th</t>
  </si>
  <si>
    <t>BK680359</t>
  </si>
  <si>
    <t>วรดร</t>
  </si>
  <si>
    <t>วงศ์วิลาศ</t>
  </si>
  <si>
    <t>นิต</t>
  </si>
  <si>
    <t>woradornw@sena.co.th</t>
  </si>
  <si>
    <t>วรเทพ</t>
  </si>
  <si>
    <t>บุญอยู่</t>
  </si>
  <si>
    <t>ชายแมน</t>
  </si>
  <si>
    <t>Worathepb@sena.co.th</t>
  </si>
  <si>
    <t>วรรณพร</t>
  </si>
  <si>
    <t>พุกอนันต์</t>
  </si>
  <si>
    <t>Wannapornp@sena.co.th</t>
  </si>
  <si>
    <t>วรรณภา</t>
  </si>
  <si>
    <t>อินทร์ตา</t>
  </si>
  <si>
    <t>wannapai@sena.co.th</t>
  </si>
  <si>
    <t>16-01-2017</t>
  </si>
  <si>
    <t>ลิขิตศรีกาญจนา</t>
  </si>
  <si>
    <t>Wannapal@sena.co.th</t>
  </si>
  <si>
    <t>สายงานบริหารการขาย และการตลาดบ้าน 1</t>
  </si>
  <si>
    <t>วรรณรี</t>
  </si>
  <si>
    <t>หลีวิจิตร</t>
  </si>
  <si>
    <t>wanareel@sena.co.th</t>
  </si>
  <si>
    <t>วรรณา</t>
  </si>
  <si>
    <t>สิมาลัย</t>
  </si>
  <si>
    <t>Wannas@sena.co.th</t>
  </si>
  <si>
    <t>01-06-2018</t>
  </si>
  <si>
    <t>20-12-2021</t>
  </si>
  <si>
    <t>วรรณิก</t>
  </si>
  <si>
    <t>wanniks@sena.co.th</t>
  </si>
  <si>
    <t>15-09-2016</t>
  </si>
  <si>
    <t>วรรณิภา</t>
  </si>
  <si>
    <t>วุฒิวัฒน์</t>
  </si>
  <si>
    <t>ภา</t>
  </si>
  <si>
    <t>wannipaw@sena.co.th</t>
  </si>
  <si>
    <t>วรรณิษา</t>
  </si>
  <si>
    <t>หัตถมาศ</t>
  </si>
  <si>
    <t>wannisah@sena.co.th</t>
  </si>
  <si>
    <t>ไทยใหม่</t>
  </si>
  <si>
    <t>worawitt@sena.co.th</t>
  </si>
  <si>
    <t>BK680526</t>
  </si>
  <si>
    <t>27-11-2019</t>
  </si>
  <si>
    <t>แจ้งไพร</t>
  </si>
  <si>
    <t>ไว</t>
  </si>
  <si>
    <t>vaoravutc@sena.co.th</t>
  </si>
  <si>
    <t>รัตน์นันต์</t>
  </si>
  <si>
    <t>แอ๊ด</t>
  </si>
  <si>
    <t>Vorawootr@sena.co.th</t>
  </si>
  <si>
    <t>วรัลชญาน์</t>
  </si>
  <si>
    <t>ศิระภิญโญวัฒน์</t>
  </si>
  <si>
    <t>สถาปนิก</t>
  </si>
  <si>
    <t>BK680649</t>
  </si>
  <si>
    <t>วรัลณิชฐา</t>
  </si>
  <si>
    <t>ทรงกำพล</t>
  </si>
  <si>
    <t>warunnitthas@sena.co.th</t>
  </si>
  <si>
    <t>วราภรณ์</t>
  </si>
  <si>
    <t>ด้า</t>
  </si>
  <si>
    <t>waraponb@sena.co.th</t>
  </si>
  <si>
    <t>06-01-2016</t>
  </si>
  <si>
    <t>กระวินทร์</t>
  </si>
  <si>
    <t>Varapornk@sena.co.th</t>
  </si>
  <si>
    <t>วรารัตน์</t>
  </si>
  <si>
    <t>จักรชัย</t>
  </si>
  <si>
    <t>แนท</t>
  </si>
  <si>
    <t>wararatj@sena.co.th</t>
  </si>
  <si>
    <t>วรินทร์ทิพย์</t>
  </si>
  <si>
    <t>ลักขณาชมยิ่ง</t>
  </si>
  <si>
    <t>จิ๊ฟ</t>
  </si>
  <si>
    <t>warinthipl@sena.co.th</t>
  </si>
  <si>
    <t>BK680653</t>
  </si>
  <si>
    <t>วรุฒ</t>
  </si>
  <si>
    <t>วงษ์สันต์</t>
  </si>
  <si>
    <t>กิฟ</t>
  </si>
  <si>
    <t>warutw@sena.co.th</t>
  </si>
  <si>
    <t>01-12-2007</t>
  </si>
  <si>
    <t>วลีรัชต์</t>
  </si>
  <si>
    <t>ช่วงธนทรัพย์</t>
  </si>
  <si>
    <t>โอ๋วลี</t>
  </si>
  <si>
    <t>Waleerachc@sena.co.th</t>
  </si>
  <si>
    <t>24-05-2023</t>
  </si>
  <si>
    <t>วสวัฒน์</t>
  </si>
  <si>
    <t>ปิณฑะสุต</t>
  </si>
  <si>
    <t>wasawatp@sena.co.th</t>
  </si>
  <si>
    <t>วสุธร</t>
  </si>
  <si>
    <t>นาคณรงค์สวัสดิ์</t>
  </si>
  <si>
    <t>โล่ย</t>
  </si>
  <si>
    <t>wasuthonn@sena.co.th</t>
  </si>
  <si>
    <t>เจ้าหน้าที่ภูมิทัศน์</t>
  </si>
  <si>
    <t>BK680344</t>
  </si>
  <si>
    <t>วัชระ</t>
  </si>
  <si>
    <t>บัวกอ</t>
  </si>
  <si>
    <t>watcharab@sena.co.th</t>
  </si>
  <si>
    <t>14-03-2011</t>
  </si>
  <si>
    <t>จตุมงคล</t>
  </si>
  <si>
    <t>Watcharaj@sena.co.th</t>
  </si>
  <si>
    <t>BK680439</t>
  </si>
  <si>
    <t>วัชระชัย</t>
  </si>
  <si>
    <t>มะลิวัลย์</t>
  </si>
  <si>
    <t>วัช</t>
  </si>
  <si>
    <t>watcharachaim@sena.co.th</t>
  </si>
  <si>
    <t>กรพิมาย</t>
  </si>
  <si>
    <t>เจม</t>
  </si>
  <si>
    <t>watcharink@sena.co.th</t>
  </si>
  <si>
    <t>โปรแกรมเมอร์</t>
  </si>
  <si>
    <t>BK620133</t>
  </si>
  <si>
    <t>27-05-1986</t>
  </si>
  <si>
    <t>เนื่องชมภู</t>
  </si>
  <si>
    <t>Wacharinn@sena.co.th</t>
  </si>
  <si>
    <t>วัฒนผล</t>
  </si>
  <si>
    <t>โล่ห์สุนทร</t>
  </si>
  <si>
    <t>wattanapholl@sena.co.th</t>
  </si>
  <si>
    <t>ฝ่าย New Business Development Strategy</t>
  </si>
  <si>
    <t>BK680324</t>
  </si>
  <si>
    <t>วัฒนะ</t>
  </si>
  <si>
    <t>น่วมแก้ว</t>
  </si>
  <si>
    <t>watthanan@sena.co.th</t>
  </si>
  <si>
    <t>BK680468</t>
  </si>
  <si>
    <t>ดวงรัตน์</t>
  </si>
  <si>
    <t>wattanad@sena.co.th</t>
  </si>
  <si>
    <t>22-04-2008</t>
  </si>
  <si>
    <t>กล่ำบุญ</t>
  </si>
  <si>
    <t>Wanchaik@sena.co.th</t>
  </si>
  <si>
    <t>BK680403</t>
  </si>
  <si>
    <t>วันชาติ</t>
  </si>
  <si>
    <t>ธนะสิทธิ์</t>
  </si>
  <si>
    <t>wanchatt@sena.co.th</t>
  </si>
  <si>
    <t>BK680266</t>
  </si>
  <si>
    <t>บุญเพ็ง</t>
  </si>
  <si>
    <t>wanwisab@sena.co.th</t>
  </si>
  <si>
    <t>BK680186</t>
  </si>
  <si>
    <t>14-07-2011</t>
  </si>
  <si>
    <t>วาทิน</t>
  </si>
  <si>
    <t>อยู่เณร</t>
  </si>
  <si>
    <t>Watiny@sena.co.th</t>
  </si>
  <si>
    <t>05-05-2021</t>
  </si>
  <si>
    <t>วาริศศริน</t>
  </si>
  <si>
    <t>เวศย์วรุตม์</t>
  </si>
  <si>
    <t>วาริสา</t>
  </si>
  <si>
    <t>ดิษดำ</t>
  </si>
  <si>
    <t>warisad@sena.co.th</t>
  </si>
  <si>
    <t>14-01-2015</t>
  </si>
  <si>
    <t>แก้วบัวดี</t>
  </si>
  <si>
    <t>Vassanak@sena.co.th</t>
  </si>
  <si>
    <t>หัวหน้าส่วนประสานงาน</t>
  </si>
  <si>
    <t>BK680201</t>
  </si>
  <si>
    <t>จิตโสภา</t>
  </si>
  <si>
    <t>ติม</t>
  </si>
  <si>
    <t>wassanac@sena.co.th</t>
  </si>
  <si>
    <t>สำนักบริหารการขาย และการตลาดคอนโด 4</t>
  </si>
  <si>
    <t>BK680496</t>
  </si>
  <si>
    <t>16-04-2004</t>
  </si>
  <si>
    <t>วิชาญ</t>
  </si>
  <si>
    <t>สายเชื้อ</t>
  </si>
  <si>
    <t>Vichans@sena.co.th</t>
  </si>
  <si>
    <t>BK680145</t>
  </si>
  <si>
    <t>วิชินากร</t>
  </si>
  <si>
    <t>สินสวัสดิ์</t>
  </si>
  <si>
    <t>Wichinakorns@sena.co.th</t>
  </si>
  <si>
    <t>เทพบริบูรณ์</t>
  </si>
  <si>
    <t>wichudat@sena.co.th</t>
  </si>
  <si>
    <t>01-12-2008</t>
  </si>
  <si>
    <t>วิเชฐ</t>
  </si>
  <si>
    <t>แจ้งดี</t>
  </si>
  <si>
    <t>เข้</t>
  </si>
  <si>
    <t>Vichate_it@sena.co.th</t>
  </si>
  <si>
    <t>มีสุข</t>
  </si>
  <si>
    <t>wittayam@sena.co.th</t>
  </si>
  <si>
    <t>จงบรรจบ</t>
  </si>
  <si>
    <t>BK680368</t>
  </si>
  <si>
    <t>23-09-2024</t>
  </si>
  <si>
    <t>สาที</t>
  </si>
  <si>
    <t>เพิก</t>
  </si>
  <si>
    <t>แสงนนท์</t>
  </si>
  <si>
    <t>wittayas@sena.co.th</t>
  </si>
  <si>
    <t>BK680350</t>
  </si>
  <si>
    <t>จันทร์คีรี</t>
  </si>
  <si>
    <t>ไอติม</t>
  </si>
  <si>
    <t>witthawatj@sena.co.th</t>
  </si>
  <si>
    <t>BK680415</t>
  </si>
  <si>
    <t>03-06-2013</t>
  </si>
  <si>
    <t>วินัย</t>
  </si>
  <si>
    <t>ฉัตรเงิน</t>
  </si>
  <si>
    <t>Winaic@sena.co.th</t>
  </si>
  <si>
    <t>พลายด้วง</t>
  </si>
  <si>
    <t>winaip@sena.co.th</t>
  </si>
  <si>
    <t>BK680500</t>
  </si>
  <si>
    <t>วิมล</t>
  </si>
  <si>
    <t>ผุดสุวรรณ์</t>
  </si>
  <si>
    <t>wimonp@sena.co.th</t>
  </si>
  <si>
    <t>BK680495</t>
  </si>
  <si>
    <t>วิมลศักดิ์</t>
  </si>
  <si>
    <t>นาควารี</t>
  </si>
  <si>
    <t>wimolsakn@sena.co.th</t>
  </si>
  <si>
    <t>วิรงรอง</t>
  </si>
  <si>
    <t>เพชรสะแก</t>
  </si>
  <si>
    <t>พู</t>
  </si>
  <si>
    <t>virongrongp@sena.co.th</t>
  </si>
  <si>
    <t>วิรัช</t>
  </si>
  <si>
    <t>เรือนคำ</t>
  </si>
  <si>
    <t>ลัก</t>
  </si>
  <si>
    <t>Wiratr@sena.co.th</t>
  </si>
  <si>
    <t>15-03-2011</t>
  </si>
  <si>
    <t>วิริทธิ์พล</t>
  </si>
  <si>
    <t>จงโชติศิริกุล</t>
  </si>
  <si>
    <t>Viritpolj@sena.co.th</t>
  </si>
  <si>
    <t>BK680454</t>
  </si>
  <si>
    <t>วิรุฬ</t>
  </si>
  <si>
    <t>ภักดีมณีเลิศ</t>
  </si>
  <si>
    <t>Wirunp@sena.co.th</t>
  </si>
  <si>
    <t>ช่างไฟฟ้าสนาม</t>
  </si>
  <si>
    <t>BK680362</t>
  </si>
  <si>
    <t>วิโรจน์</t>
  </si>
  <si>
    <t>จูมะโรง</t>
  </si>
  <si>
    <t>wirotc@sena.co.th</t>
  </si>
  <si>
    <t>เจ้าหน้าที่สโตร์</t>
  </si>
  <si>
    <t>BK680510</t>
  </si>
  <si>
    <t>ม่วงโพธิ์</t>
  </si>
  <si>
    <t>viroadm@sena.co.th</t>
  </si>
  <si>
    <t>BK680272</t>
  </si>
  <si>
    <t>11-02-2019</t>
  </si>
  <si>
    <t>วิลาวัณย์</t>
  </si>
  <si>
    <t>พรมศรี</t>
  </si>
  <si>
    <t>wilawanp@sena.co.th</t>
  </si>
  <si>
    <t>29-06-2018</t>
  </si>
  <si>
    <t>จันทร์สุด</t>
  </si>
  <si>
    <t>wilawanch@sena.co.th</t>
  </si>
  <si>
    <t>18-05-2010</t>
  </si>
  <si>
    <t>วิไล</t>
  </si>
  <si>
    <t>สายสิทธิ์</t>
  </si>
  <si>
    <t>04-09-2017</t>
  </si>
  <si>
    <t>วิไลพร</t>
  </si>
  <si>
    <t>ตรีพรชัยศักดิ์</t>
  </si>
  <si>
    <t>Wilaipornt@sena.co.th</t>
  </si>
  <si>
    <t>วิษณุ</t>
  </si>
  <si>
    <t>ธานีประเสริฐ</t>
  </si>
  <si>
    <t>visanut@sena.co.th</t>
  </si>
  <si>
    <t>BK680383</t>
  </si>
  <si>
    <t>วิษณุวัช</t>
  </si>
  <si>
    <t>รอดพันชู</t>
  </si>
  <si>
    <t>wisanuwatr@sena.co.th</t>
  </si>
  <si>
    <t>BK680440</t>
  </si>
  <si>
    <t>วีรพงศ์</t>
  </si>
  <si>
    <t>อินมี</t>
  </si>
  <si>
    <t>พงศ์</t>
  </si>
  <si>
    <t>weerapongi@sena.co.th</t>
  </si>
  <si>
    <t>01-12-1999</t>
  </si>
  <si>
    <t>วีรพร</t>
  </si>
  <si>
    <t>ไชยสิริยะสวัสดิ์</t>
  </si>
  <si>
    <t>weraporn@sena.co.th</t>
  </si>
  <si>
    <t>18-04-2011</t>
  </si>
  <si>
    <t>วีราพัชร์</t>
  </si>
  <si>
    <t>เพ็งพันธ์</t>
  </si>
  <si>
    <t>Weeraphatp@sena.co.th</t>
  </si>
  <si>
    <t>BK680229</t>
  </si>
  <si>
    <t>ชูทอง</t>
  </si>
  <si>
    <t>โตส</t>
  </si>
  <si>
    <t>wutichaic@sena.co.th</t>
  </si>
  <si>
    <t>ยิ่งยงค์</t>
  </si>
  <si>
    <t>BK680398</t>
  </si>
  <si>
    <t>อยู่สา</t>
  </si>
  <si>
    <t>wutthichaiyu@sena.co.th</t>
  </si>
  <si>
    <t>BK680505</t>
  </si>
  <si>
    <t>วงษ์ทอง</t>
  </si>
  <si>
    <t>โทนี่</t>
  </si>
  <si>
    <t>wuthichaiw@sena.co.th</t>
  </si>
  <si>
    <t>BK680331</t>
  </si>
  <si>
    <t>พูลยอด</t>
  </si>
  <si>
    <t>Wutthichaip@sena.co.th</t>
  </si>
  <si>
    <t>BK680325</t>
  </si>
  <si>
    <t>23-05-2016</t>
  </si>
  <si>
    <t>แวสะมาแอ</t>
  </si>
  <si>
    <t>ยูโซะ</t>
  </si>
  <si>
    <t>แวร์</t>
  </si>
  <si>
    <t>Waesamaaey@sena.co.th</t>
  </si>
  <si>
    <t>BK680480</t>
  </si>
  <si>
    <t>ศตวรรษ</t>
  </si>
  <si>
    <t>ช่วงโชติ</t>
  </si>
  <si>
    <t>sattawadc@sena.co.th</t>
  </si>
  <si>
    <t>ศรัณยพร</t>
  </si>
  <si>
    <t>ไพศาลเรืองรุ่ง</t>
  </si>
  <si>
    <t>saranyapondp@sena.co.th</t>
  </si>
  <si>
    <t>BK680455</t>
  </si>
  <si>
    <t>สุเนตร</t>
  </si>
  <si>
    <t>sarawoots@sena.co.th</t>
  </si>
  <si>
    <t>โฟร์แมนงานระบบ</t>
  </si>
  <si>
    <t>ศรีวรัตน์</t>
  </si>
  <si>
    <t>Srivaratt@sena.co.th</t>
  </si>
  <si>
    <t>BK680238</t>
  </si>
  <si>
    <t>ศลิษา</t>
  </si>
  <si>
    <t>แก้วบุดตา</t>
  </si>
  <si>
    <t>salisak@sena.co.th</t>
  </si>
  <si>
    <t>22-08-2013</t>
  </si>
  <si>
    <t>ศศมน</t>
  </si>
  <si>
    <t>ชาญพัฒนกิจ</t>
  </si>
  <si>
    <t>ลิลลี่</t>
  </si>
  <si>
    <t>Sasamonc@sena.co.th</t>
  </si>
  <si>
    <t>BK680643</t>
  </si>
  <si>
    <t>ศศิธร</t>
  </si>
  <si>
    <t>ทองดี</t>
  </si>
  <si>
    <t>แก้ม</t>
  </si>
  <si>
    <t>sasithont@sena.co.th</t>
  </si>
  <si>
    <t>BK680199</t>
  </si>
  <si>
    <t>ศศินภา</t>
  </si>
  <si>
    <t>ทูลธรรม</t>
  </si>
  <si>
    <t>sasinapa@sena.co.th</t>
  </si>
  <si>
    <t>ตุมอญ</t>
  </si>
  <si>
    <t>sakchait@sena.co.th</t>
  </si>
  <si>
    <t>12-09-2013</t>
  </si>
  <si>
    <t>ศิลปศาสตร์</t>
  </si>
  <si>
    <t>Sakchais@sena.co.th</t>
  </si>
  <si>
    <t>ศักดิ์ณรงค์</t>
  </si>
  <si>
    <t>ฤกษ์กายี</t>
  </si>
  <si>
    <t>saknarongl@sena.co.th</t>
  </si>
  <si>
    <t>ศักดิ์สิทธิ์</t>
  </si>
  <si>
    <t>รัตนภักดี</t>
  </si>
  <si>
    <t>ช่างซ่อมบำรุง</t>
  </si>
  <si>
    <t>BK680300</t>
  </si>
  <si>
    <t>ศักย์ศรณ์</t>
  </si>
  <si>
    <t>สกุลมา</t>
  </si>
  <si>
    <t>saksorns@sena.co.th</t>
  </si>
  <si>
    <t>01-10-2018</t>
  </si>
  <si>
    <t>ศากุล</t>
  </si>
  <si>
    <t>ติมวงศ์</t>
  </si>
  <si>
    <t>เอิญ</t>
  </si>
  <si>
    <t>Sakult@sena.co.th</t>
  </si>
  <si>
    <t>23-05-2022</t>
  </si>
  <si>
    <t>ศิริณญดา</t>
  </si>
  <si>
    <t>sirinyadas@sena.co.th</t>
  </si>
  <si>
    <t>ศิรินภา</t>
  </si>
  <si>
    <t>ชมประเสริฐ</t>
  </si>
  <si>
    <t>sirinapac@sena.co.th</t>
  </si>
  <si>
    <t>ตรีพิพิธ</t>
  </si>
  <si>
    <t>siripornt@sena.co.th</t>
  </si>
  <si>
    <t>BK680579</t>
  </si>
  <si>
    <t>อุ่นแก้ว</t>
  </si>
  <si>
    <t>siriporna@sena.co.th</t>
  </si>
  <si>
    <t>ศิริรัตน์</t>
  </si>
  <si>
    <t>สินศิริ</t>
  </si>
  <si>
    <t>18-12-2017</t>
  </si>
  <si>
    <t>ชมภูพื้น</t>
  </si>
  <si>
    <t>siriratc@sena.co.th</t>
  </si>
  <si>
    <t>01-03-2012</t>
  </si>
  <si>
    <t>ทะวงค์ศรี</t>
  </si>
  <si>
    <t>Sirilakt@sena.co.th</t>
  </si>
  <si>
    <t>BK680457</t>
  </si>
  <si>
    <t>รักมิตร</t>
  </si>
  <si>
    <t>sirilukr@sena.co.th</t>
  </si>
  <si>
    <t>ปุญญคุณากรณ์</t>
  </si>
  <si>
    <t>มิลค์</t>
  </si>
  <si>
    <t>ศิลาพร</t>
  </si>
  <si>
    <t>ชลคงคา</t>
  </si>
  <si>
    <t>ปุ่น</t>
  </si>
  <si>
    <t>ศิวกร</t>
  </si>
  <si>
    <t>พวงเพ็ชร</t>
  </si>
  <si>
    <t>เจ้าหน้าที่ทรัพย์สิน</t>
  </si>
  <si>
    <t>05-03-2012</t>
  </si>
  <si>
    <t>sivanant@sena.co.th</t>
  </si>
  <si>
    <t>ศิวะทัศน์</t>
  </si>
  <si>
    <t>ศุภะพันธุ์</t>
  </si>
  <si>
    <t>sivathats@sena.co.th</t>
  </si>
  <si>
    <t>BK680622</t>
  </si>
  <si>
    <t>ศุภกานต์</t>
  </si>
  <si>
    <t>โค้วเจริญ</t>
  </si>
  <si>
    <t>กุ๊ฟกิ๊ฟ</t>
  </si>
  <si>
    <t>supakarnko@saena.co.th</t>
  </si>
  <si>
    <t>ฝ่ายขายคอนโด 3B</t>
  </si>
  <si>
    <t>BK680441</t>
  </si>
  <si>
    <t>นุชวงษ์</t>
  </si>
  <si>
    <t>supachain@sena.co.th</t>
  </si>
  <si>
    <t>Supanats@sena.co.th</t>
  </si>
  <si>
    <t>BK680156</t>
  </si>
  <si>
    <t>ศุภรัตน์</t>
  </si>
  <si>
    <t>กุลทะโสม</t>
  </si>
  <si>
    <t>ลูกเจี๊ยบ</t>
  </si>
  <si>
    <t>BK680466</t>
  </si>
  <si>
    <t>เมนะเนตร</t>
  </si>
  <si>
    <t>supparerkm@sena.co.th</t>
  </si>
  <si>
    <t>BK650070</t>
  </si>
  <si>
    <t>ศุภวัฒน์</t>
  </si>
  <si>
    <t>คุ้มเสถียร</t>
  </si>
  <si>
    <t>BK680239</t>
  </si>
  <si>
    <t>ศุภศักดิ์</t>
  </si>
  <si>
    <t>ธนวัฒนไพบูลย์</t>
  </si>
  <si>
    <t>suppasakt@sena.co.th</t>
  </si>
  <si>
    <t>01-12-2017</t>
  </si>
  <si>
    <t>ศุภสิทธิ์</t>
  </si>
  <si>
    <t>กันยาวรารักษ์</t>
  </si>
  <si>
    <t>Supasitk@sena.co.th</t>
  </si>
  <si>
    <t>หัวหน้าแผนกทรัพย์สิน</t>
  </si>
  <si>
    <t>ศุภัทชา</t>
  </si>
  <si>
    <t>จาดเมือง</t>
  </si>
  <si>
    <t>ตังเม</t>
  </si>
  <si>
    <t>supatchac@sena.co.th</t>
  </si>
  <si>
    <t>05-06-2024</t>
  </si>
  <si>
    <t>เศวตตา</t>
  </si>
  <si>
    <t>ฉันทาลักษณ์</t>
  </si>
  <si>
    <t>เจียเจีย</t>
  </si>
  <si>
    <t>Sawettrac@sena.co.th</t>
  </si>
  <si>
    <t>17-08-2009</t>
  </si>
  <si>
    <t>สกล</t>
  </si>
  <si>
    <t>หนั่ง</t>
  </si>
  <si>
    <t>Sakolr@sena.co.th</t>
  </si>
  <si>
    <t>BK680283</t>
  </si>
  <si>
    <t>01-11-2009</t>
  </si>
  <si>
    <t>สกุลกาญจน์</t>
  </si>
  <si>
    <t>ชินพราหมณ์</t>
  </si>
  <si>
    <t>Sakulkanc@sena.co.th</t>
  </si>
  <si>
    <t>BK680416</t>
  </si>
  <si>
    <t>สงคราม</t>
  </si>
  <si>
    <t>อุปจักร์</t>
  </si>
  <si>
    <t>คราม</t>
  </si>
  <si>
    <t>Songkramo@sena.co.th</t>
  </si>
  <si>
    <t>ช่างสำรวจอาวุโส</t>
  </si>
  <si>
    <t>BK680254</t>
  </si>
  <si>
    <t>29-06-2012</t>
  </si>
  <si>
    <t>สนธิพัฒน์</t>
  </si>
  <si>
    <t>เสมรัตต์</t>
  </si>
  <si>
    <t>สน</t>
  </si>
  <si>
    <t>Sonthipats@sena.co.th</t>
  </si>
  <si>
    <t>สนิฎา</t>
  </si>
  <si>
    <t>หาญกำเนิดพงศ์</t>
  </si>
  <si>
    <t>สมายด์</t>
  </si>
  <si>
    <t>snidah@sena.co.th</t>
  </si>
  <si>
    <t>ปิ่นเพชร</t>
  </si>
  <si>
    <t>somjaip@sena.co.th</t>
  </si>
  <si>
    <t>BK680506</t>
  </si>
  <si>
    <t>สมโชค</t>
  </si>
  <si>
    <t>somchokk@sena.co.th</t>
  </si>
  <si>
    <t>21-11-2007</t>
  </si>
  <si>
    <t>สมปอง</t>
  </si>
  <si>
    <t>รัตนเอกภาพ</t>
  </si>
  <si>
    <t>Sompongr@sena.co.th</t>
  </si>
  <si>
    <t>สายงานควบคุมคุณภาพ QC</t>
  </si>
  <si>
    <t>สมพิศ</t>
  </si>
  <si>
    <t>ศรีระทัด</t>
  </si>
  <si>
    <t>ติ่มซำ</t>
  </si>
  <si>
    <t>Sompiss@sena.co.th</t>
  </si>
  <si>
    <t>สมโพธิ</t>
  </si>
  <si>
    <t>เจนศิริวาณิชย์</t>
  </si>
  <si>
    <t>โพธิ</t>
  </si>
  <si>
    <t>somphotej@sena.co.th</t>
  </si>
  <si>
    <t>BK680406</t>
  </si>
  <si>
    <t>สมยศ</t>
  </si>
  <si>
    <t>เจียมโคกกรวด</t>
  </si>
  <si>
    <t>ยศ</t>
  </si>
  <si>
    <t>somyotj@sena.co.th</t>
  </si>
  <si>
    <t>02-04-2018</t>
  </si>
  <si>
    <t>สมวรา</t>
  </si>
  <si>
    <t>ดอกลำเจียก</t>
  </si>
  <si>
    <t>สม</t>
  </si>
  <si>
    <t>Somwarad@sena.co.th</t>
  </si>
  <si>
    <t>BK670026</t>
  </si>
  <si>
    <t>11-06-2014</t>
  </si>
  <si>
    <t>สมหมาย</t>
  </si>
  <si>
    <t>แสนทอง</t>
  </si>
  <si>
    <t>Sommais@sena.co.th</t>
  </si>
  <si>
    <t>BK680444</t>
  </si>
  <si>
    <t>07-03-2022</t>
  </si>
  <si>
    <t>สมาน</t>
  </si>
  <si>
    <t>สมสมัย</t>
  </si>
  <si>
    <t>samans@sena.co.th</t>
  </si>
  <si>
    <t>สรัญญา</t>
  </si>
  <si>
    <t>ตั้งโซ๊ะ</t>
  </si>
  <si>
    <t>ซาร่า</t>
  </si>
  <si>
    <t>saranyat@sena.co.th</t>
  </si>
  <si>
    <t>BK680154</t>
  </si>
  <si>
    <t>สรารัตน์</t>
  </si>
  <si>
    <t>ราวใหม่</t>
  </si>
  <si>
    <t>Sararatr@sena.co.th</t>
  </si>
  <si>
    <t>BK680404</t>
  </si>
  <si>
    <t>บ้านเตย</t>
  </si>
  <si>
    <t>sarawutba@sena.co.th</t>
  </si>
  <si>
    <t>BK680160</t>
  </si>
  <si>
    <t>สราวุธ</t>
  </si>
  <si>
    <t>ทะราช</t>
  </si>
  <si>
    <t>sarawutt@sena.co.th</t>
  </si>
  <si>
    <t>10-05-2021</t>
  </si>
  <si>
    <t>สันติ</t>
  </si>
  <si>
    <t>แดงบุบผา</t>
  </si>
  <si>
    <t>santid@sena.co.th</t>
  </si>
  <si>
    <t>ฝ่ายประสานงานราชการ 3</t>
  </si>
  <si>
    <t>BK680456</t>
  </si>
  <si>
    <t>ผิวเหลือง</t>
  </si>
  <si>
    <t>สันต์</t>
  </si>
  <si>
    <t>santisukp@sena.co.th</t>
  </si>
  <si>
    <t>เขตคาม</t>
  </si>
  <si>
    <t>santisukk@sena.co.th</t>
  </si>
  <si>
    <t>BK680411</t>
  </si>
  <si>
    <t>สัมฤทธิ์</t>
  </si>
  <si>
    <t>ดวงพิลา</t>
  </si>
  <si>
    <t>samritd@sena.co.th</t>
  </si>
  <si>
    <t>BK620072</t>
  </si>
  <si>
    <t>13-05-2007</t>
  </si>
  <si>
    <t>สายรุ้ง</t>
  </si>
  <si>
    <t>ดีแก้ว</t>
  </si>
  <si>
    <t>รุ้ง</t>
  </si>
  <si>
    <t>Sairungd@sena.co.th</t>
  </si>
  <si>
    <t>BK680194</t>
  </si>
  <si>
    <t>แม่นวงค์</t>
  </si>
  <si>
    <t>สาวิตร</t>
  </si>
  <si>
    <t>เจนพัฒนกุล</t>
  </si>
  <si>
    <t>BK680185</t>
  </si>
  <si>
    <t>ธารีสืบ</t>
  </si>
  <si>
    <t>sawitreet@sena.co.th</t>
  </si>
  <si>
    <t>BK680633</t>
  </si>
  <si>
    <t>วัฒนพลาศาสตร์</t>
  </si>
  <si>
    <t>sawitriw@sena.co.th</t>
  </si>
  <si>
    <t>สิตานัน</t>
  </si>
  <si>
    <t>จันทร์เชื้อ</t>
  </si>
  <si>
    <t>sitanunj@sena.co.th</t>
  </si>
  <si>
    <t>ฝ่ายบริการลูกค้าสัมพันธ์</t>
  </si>
  <si>
    <t>14-12-2023</t>
  </si>
  <si>
    <t>สิทธิ</t>
  </si>
  <si>
    <t>รัตนราษี</t>
  </si>
  <si>
    <t>สิทธิชัย</t>
  </si>
  <si>
    <t>นิทากร</t>
  </si>
  <si>
    <t>เอ็กซ์</t>
  </si>
  <si>
    <t>Sittichain@sena.co.th</t>
  </si>
  <si>
    <t>ดาดาษ</t>
  </si>
  <si>
    <t>Sittichaid@sena.co.th</t>
  </si>
  <si>
    <t>System Analyst</t>
  </si>
  <si>
    <t>BK680476</t>
  </si>
  <si>
    <t>20-03-2023</t>
  </si>
  <si>
    <t>หงษ์สระคู</t>
  </si>
  <si>
    <t>sitthisakh@sena.co.th</t>
  </si>
  <si>
    <t>สิปปวิชญ์</t>
  </si>
  <si>
    <t>พูลเอก</t>
  </si>
  <si>
    <t>การ์ด</t>
  </si>
  <si>
    <t>sippawitp@sena.co.th</t>
  </si>
  <si>
    <t>สิรรัณดา</t>
  </si>
  <si>
    <t>จุณณะภาต</t>
  </si>
  <si>
    <t>ซอง</t>
  </si>
  <si>
    <t>ฝ่าย Social Media Communication</t>
  </si>
  <si>
    <t>BK680221</t>
  </si>
  <si>
    <t>สิริกมล</t>
  </si>
  <si>
    <t>อินประเสริฐ</t>
  </si>
  <si>
    <t>sirikamoni@sena.co.th</t>
  </si>
  <si>
    <t>03-08-2020</t>
  </si>
  <si>
    <t>สิรินธร์</t>
  </si>
  <si>
    <t>สืบจากรอด</t>
  </si>
  <si>
    <t>sirints@sena.co.th</t>
  </si>
  <si>
    <t>09-12-2013</t>
  </si>
  <si>
    <t>จีน</t>
  </si>
  <si>
    <t>sukanyat@sena.co.th</t>
  </si>
  <si>
    <t>BK680195</t>
  </si>
  <si>
    <t>สีนามก้อน</t>
  </si>
  <si>
    <t>sukanyase@sena.co.th</t>
  </si>
  <si>
    <t>BK680668</t>
  </si>
  <si>
    <t>แซ่จุ้ง</t>
  </si>
  <si>
    <t>sukanyas@sena.co.th</t>
  </si>
  <si>
    <t>สุขสันต์</t>
  </si>
  <si>
    <t>บุตรนามรักษ์</t>
  </si>
  <si>
    <t>Sooksunb@sena.co.th</t>
  </si>
  <si>
    <t>15-06-2020</t>
  </si>
  <si>
    <t>สุคนธา</t>
  </si>
  <si>
    <t>เกษมสุข</t>
  </si>
  <si>
    <t>sukontak@sena.co.th</t>
  </si>
  <si>
    <t>BK680624</t>
  </si>
  <si>
    <t>สุชยารัชต์</t>
  </si>
  <si>
    <t>รฐาธัญสุขธนาพิธา</t>
  </si>
  <si>
    <t>suchayaratr@sena.co.th</t>
  </si>
  <si>
    <t>สุชาดา</t>
  </si>
  <si>
    <t>ทิพยาวงศ์</t>
  </si>
  <si>
    <t>suchadat@sena.co.th</t>
  </si>
  <si>
    <t>BK680133</t>
  </si>
  <si>
    <t>12-12-2018</t>
  </si>
  <si>
    <t>สุชาวดี</t>
  </si>
  <si>
    <t>ทองทั้งสาย</t>
  </si>
  <si>
    <t>suchawadeet@sena.co.th</t>
  </si>
  <si>
    <t>BK680191</t>
  </si>
  <si>
    <t>สุดารณี</t>
  </si>
  <si>
    <t>พิเชฐพิทักษ์กุล</t>
  </si>
  <si>
    <t>sudaranep@sena.co.th</t>
  </si>
  <si>
    <t>BK680628</t>
  </si>
  <si>
    <t>จงประสาทสมบัติ</t>
  </si>
  <si>
    <t>sudaratj@sena.co.th</t>
  </si>
  <si>
    <t>BK680264</t>
  </si>
  <si>
    <t>ตั้งคงประเสริฐ</t>
  </si>
  <si>
    <t>sudaratt@sena.co.th</t>
  </si>
  <si>
    <t>BK680425</t>
  </si>
  <si>
    <t>นาแก้ว</t>
  </si>
  <si>
    <t>sudaratna@sena.co.th</t>
  </si>
  <si>
    <t>สุทธิพงษ์</t>
  </si>
  <si>
    <t>ทองมี</t>
  </si>
  <si>
    <t>20-02-2024</t>
  </si>
  <si>
    <t>สุทธีวัฒน์</t>
  </si>
  <si>
    <t>พุทธาประสิทธิ์ผล</t>
  </si>
  <si>
    <t>suttewatp@sena.co.th</t>
  </si>
  <si>
    <t>BK680490</t>
  </si>
  <si>
    <t>สุทัศน์</t>
  </si>
  <si>
    <t>สุขเดช</t>
  </si>
  <si>
    <t>ทัด</t>
  </si>
  <si>
    <t>sutass@sena.co.th</t>
  </si>
  <si>
    <t>BK680501</t>
  </si>
  <si>
    <t>Suthepk@sena.co.th</t>
  </si>
  <si>
    <t>BK680397</t>
  </si>
  <si>
    <t>09-10-2013</t>
  </si>
  <si>
    <t>รู้ทัน</t>
  </si>
  <si>
    <t>Suthepr@sena.co.th</t>
  </si>
  <si>
    <t>BK680552</t>
  </si>
  <si>
    <t>สุนันท์</t>
  </si>
  <si>
    <t>พวงอุไร</t>
  </si>
  <si>
    <t>sunanp@sena.co.th</t>
  </si>
  <si>
    <t>ฺBK680586</t>
  </si>
  <si>
    <t>สุนันทา</t>
  </si>
  <si>
    <t>ล่ำสัน</t>
  </si>
  <si>
    <t>BK680417</t>
  </si>
  <si>
    <t>03-08-2015</t>
  </si>
  <si>
    <t>สุนารี</t>
  </si>
  <si>
    <t>วิเศษวิสัย</t>
  </si>
  <si>
    <t>Sunareew@sena.co.th</t>
  </si>
  <si>
    <t>สุพัฒตรา</t>
  </si>
  <si>
    <t>พุ่มจิ๋ว</t>
  </si>
  <si>
    <t>จันดา</t>
  </si>
  <si>
    <t>supattraj@sena.co.th</t>
  </si>
  <si>
    <t>01-10-2019</t>
  </si>
  <si>
    <t>สุพิจ</t>
  </si>
  <si>
    <t>ศรีคำ</t>
  </si>
  <si>
    <t>สาม</t>
  </si>
  <si>
    <t>Suphits@sena.co.th</t>
  </si>
  <si>
    <t>BK690001</t>
  </si>
  <si>
    <t>08-01-2026</t>
  </si>
  <si>
    <t>สุภัทรชัย</t>
  </si>
  <si>
    <t>วิณะรัตน์</t>
  </si>
  <si>
    <t>supatarachaiv@sena.co.th</t>
  </si>
  <si>
    <t>BK680419</t>
  </si>
  <si>
    <t>29-11-2010</t>
  </si>
  <si>
    <t>สุภานัน</t>
  </si>
  <si>
    <t>หน่วยแก้ว</t>
  </si>
  <si>
    <t>Supanunn@sena.co.th</t>
  </si>
  <si>
    <t>BK620074</t>
  </si>
  <si>
    <t>08-11-2010</t>
  </si>
  <si>
    <t>สุจีนะพงษ์</t>
  </si>
  <si>
    <t>Suparbs@sena.co.th</t>
  </si>
  <si>
    <t>Supapornb@sena.co.th</t>
  </si>
  <si>
    <t>BK680278</t>
  </si>
  <si>
    <t>17-05-2013</t>
  </si>
  <si>
    <t>แสงโชติ</t>
  </si>
  <si>
    <t>Supaporn@sena.co.th</t>
  </si>
  <si>
    <t>แข่งขัน</t>
  </si>
  <si>
    <t>ว่าน</t>
  </si>
  <si>
    <t>06-05-2011</t>
  </si>
  <si>
    <t>สุขคำมี</t>
  </si>
  <si>
    <t>Supaporns@sena.co.th</t>
  </si>
  <si>
    <t>สุขจันทร์</t>
  </si>
  <si>
    <t>suphawadis@sena.co.th</t>
  </si>
  <si>
    <t>มัณฑนากรอาวุโส</t>
  </si>
  <si>
    <t>ค้าโค</t>
  </si>
  <si>
    <t>ออมมี่</t>
  </si>
  <si>
    <t>supawadeec@sena.co.th</t>
  </si>
  <si>
    <t>04-02-2008</t>
  </si>
  <si>
    <t>สุภาวรรณ</t>
  </si>
  <si>
    <t>บุญแก้ว</t>
  </si>
  <si>
    <t>Supawan@sena.co.th</t>
  </si>
  <si>
    <t>BK680328</t>
  </si>
  <si>
    <t>สุมน</t>
  </si>
  <si>
    <t>พรมสุริวงค์</t>
  </si>
  <si>
    <t>sumonp@sena.co.th</t>
  </si>
  <si>
    <t>สุรกานต์</t>
  </si>
  <si>
    <t>หาญตระกูล</t>
  </si>
  <si>
    <t>สุรชัย</t>
  </si>
  <si>
    <t>พัฒเท</t>
  </si>
  <si>
    <t>BK680462</t>
  </si>
  <si>
    <t>02-05-2009</t>
  </si>
  <si>
    <t>วัตตา</t>
  </si>
  <si>
    <t>แทน</t>
  </si>
  <si>
    <t>Surachatw@sena.co.th</t>
  </si>
  <si>
    <t>ม่วงสวาท</t>
  </si>
  <si>
    <t>surasak@sena.co.th</t>
  </si>
  <si>
    <t>สุรัตนา</t>
  </si>
  <si>
    <t>สีดวงดี</t>
  </si>
  <si>
    <t>suratanas@sena.co.th</t>
  </si>
  <si>
    <t>สุรีย์วรรณ</t>
  </si>
  <si>
    <t>สายสุด</t>
  </si>
  <si>
    <t>sureewans@sena.co.th</t>
  </si>
  <si>
    <t>เจ้าหน้าที่ประสานงานนโยบาย</t>
  </si>
  <si>
    <t>ขวัญเมือง</t>
  </si>
  <si>
    <t>suwaphatk@sena.co.th</t>
  </si>
  <si>
    <t>01-08-2017</t>
  </si>
  <si>
    <t>สุวรรณา</t>
  </si>
  <si>
    <t>ก้องเกียรติโสภณ</t>
  </si>
  <si>
    <t>Suwannak@sena.co.th</t>
  </si>
  <si>
    <t>BK680503</t>
  </si>
  <si>
    <t>สุวัฒน์</t>
  </si>
  <si>
    <t>ภาคำตา</t>
  </si>
  <si>
    <t>suwatp@sena.co.th</t>
  </si>
  <si>
    <t>02-08-2010</t>
  </si>
  <si>
    <t>เอี่ยมเสริม</t>
  </si>
  <si>
    <t>Suwati@sena.co.th</t>
  </si>
  <si>
    <t>BK680371</t>
  </si>
  <si>
    <t>02-08-2022</t>
  </si>
  <si>
    <t>สุวิบูลย์</t>
  </si>
  <si>
    <t>พิทย์เลิศพิทักษ์</t>
  </si>
  <si>
    <t>suviboonp@sena.co.th</t>
  </si>
  <si>
    <t>BK680436</t>
  </si>
  <si>
    <t>เสฐียรพงษ์</t>
  </si>
  <si>
    <t>อู่รัก</t>
  </si>
  <si>
    <t>ขอม</t>
  </si>
  <si>
    <t>satienpongu@sena.co.th</t>
  </si>
  <si>
    <t>BK680259</t>
  </si>
  <si>
    <t>23-03-2018</t>
  </si>
  <si>
    <t>เสาวณีย์</t>
  </si>
  <si>
    <t>ผลประเสริฐ</t>
  </si>
  <si>
    <t>เอิร์น</t>
  </si>
  <si>
    <t>Saowaneepo@sena.co.th</t>
  </si>
  <si>
    <t>01-08-2012</t>
  </si>
  <si>
    <t>เสาวนีย์</t>
  </si>
  <si>
    <t>ภิรมย์</t>
  </si>
  <si>
    <t>Saowaneep@sena.co.th</t>
  </si>
  <si>
    <t>BK680452</t>
  </si>
  <si>
    <t>เสาวรส</t>
  </si>
  <si>
    <t>คำเขิน</t>
  </si>
  <si>
    <t>sovarodk@sena.co.th</t>
  </si>
  <si>
    <t>เสาวลักษณ์</t>
  </si>
  <si>
    <t>สุขอ่วม</t>
  </si>
  <si>
    <t>เฟลม</t>
  </si>
  <si>
    <t>saowalaksu@sena.co.th</t>
  </si>
  <si>
    <t>BK680658</t>
  </si>
  <si>
    <t>เกียง</t>
  </si>
  <si>
    <t>saowaluckt@sena.co.th</t>
  </si>
  <si>
    <t>BK680148</t>
  </si>
  <si>
    <t>10-08-2010</t>
  </si>
  <si>
    <t>แสงเทียน</t>
  </si>
  <si>
    <t>เทพวงศ์</t>
  </si>
  <si>
    <t>แป๋ว</t>
  </si>
  <si>
    <t>Sangteanp@sena.co.th</t>
  </si>
  <si>
    <t>BK680217</t>
  </si>
  <si>
    <t>โสภนา</t>
  </si>
  <si>
    <t>จันทร์ตรี</t>
  </si>
  <si>
    <t>sopanac@sena.co.th</t>
  </si>
  <si>
    <t>โสภิดา</t>
  </si>
  <si>
    <t>ไพรอด</t>
  </si>
  <si>
    <t>sopidap@sena.co.th</t>
  </si>
  <si>
    <t>01-12-1993</t>
  </si>
  <si>
    <t>โสภิตสุดา</t>
  </si>
  <si>
    <t>สุทธิพันธุ์</t>
  </si>
  <si>
    <t>Sophitsudas@sena.co.th</t>
  </si>
  <si>
    <t>10-07-2018</t>
  </si>
  <si>
    <t>หทัยนันท์</t>
  </si>
  <si>
    <t>จันทร์บุญแก้ว</t>
  </si>
  <si>
    <t>Hathainanc@sena.co.th</t>
  </si>
  <si>
    <t>หทัยรัตน์</t>
  </si>
  <si>
    <t>อินทรชัย</t>
  </si>
  <si>
    <t>Hathairati@sena.co.th</t>
  </si>
  <si>
    <t>BK670086</t>
  </si>
  <si>
    <t>01-07-2020</t>
  </si>
  <si>
    <t>หิโรชิ</t>
  </si>
  <si>
    <t>ทานากะ</t>
  </si>
  <si>
    <t>โยชิ</t>
  </si>
  <si>
    <t>hiroshit@sena.co.th</t>
  </si>
  <si>
    <t>จป.วิชาชีพอาวุโส</t>
  </si>
  <si>
    <t>อโณทัย</t>
  </si>
  <si>
    <t>เทียรเจริญ</t>
  </si>
  <si>
    <t>อโณ</t>
  </si>
  <si>
    <t>03-08-2018</t>
  </si>
  <si>
    <t>อดิทัต</t>
  </si>
  <si>
    <t>เด่นโกวงษ์</t>
  </si>
  <si>
    <t>อดินันท์</t>
  </si>
  <si>
    <t>อติพิศาลกุล</t>
  </si>
  <si>
    <t>โอห์ม</t>
  </si>
  <si>
    <t>adinuna@sena.co.th</t>
  </si>
  <si>
    <t>BK680282</t>
  </si>
  <si>
    <t>อดิเรก</t>
  </si>
  <si>
    <t>ช่วงไชยะ</t>
  </si>
  <si>
    <t>adirekc@sena.co.th</t>
  </si>
  <si>
    <t>BK620149</t>
  </si>
  <si>
    <t>01-02-2016</t>
  </si>
  <si>
    <t>อดิษฐ</t>
  </si>
  <si>
    <t>วงศ์สุรีย์</t>
  </si>
  <si>
    <t>aditw@sena.co.th</t>
  </si>
  <si>
    <t>13-08-2008</t>
  </si>
  <si>
    <t>อธิกา</t>
  </si>
  <si>
    <t>บุญรอดชู</t>
  </si>
  <si>
    <t>Athikab@sena.co.th</t>
  </si>
  <si>
    <t>สายงาน Financial Project Analysis &amp; Planning</t>
  </si>
  <si>
    <t>อธิคม</t>
  </si>
  <si>
    <t>สุวรรณประเสริฐ</t>
  </si>
  <si>
    <t>วิศวกรสำรวจอาวุโส</t>
  </si>
  <si>
    <t>06-09-2010</t>
  </si>
  <si>
    <t>อธิโชค</t>
  </si>
  <si>
    <t>Athichokw@sena.co.th</t>
  </si>
  <si>
    <t>อนงค์วรรณ</t>
  </si>
  <si>
    <t>ดวงศรี</t>
  </si>
  <si>
    <t>อนนท์</t>
  </si>
  <si>
    <t>ทองยศ</t>
  </si>
  <si>
    <t>anont@sena.co.th</t>
  </si>
  <si>
    <t>พนักงานสินเชื่อ</t>
  </si>
  <si>
    <t>BK680660</t>
  </si>
  <si>
    <t>นามทอง</t>
  </si>
  <si>
    <t>ไอซ์์</t>
  </si>
  <si>
    <t>ananyan@sena.co.th</t>
  </si>
  <si>
    <t>16-10-2017</t>
  </si>
  <si>
    <t>อนันตญา</t>
  </si>
  <si>
    <t>มินตา</t>
  </si>
  <si>
    <t>วิศวกรประมาณราคาอาวุโส</t>
  </si>
  <si>
    <t>08-05-2024</t>
  </si>
  <si>
    <t>อนุศรา</t>
  </si>
  <si>
    <t>สิงห์สา</t>
  </si>
  <si>
    <t>แอล</t>
  </si>
  <si>
    <t>ฝ่าย Financial Planning &amp; Treasury</t>
  </si>
  <si>
    <t>เชือนเชื้อ</t>
  </si>
  <si>
    <t>ทอย</t>
  </si>
  <si>
    <t>23-04-2019</t>
  </si>
  <si>
    <t>อนุสรา</t>
  </si>
  <si>
    <t>Anusarak@sena.co.th</t>
  </si>
  <si>
    <t>20-04-2004</t>
  </si>
  <si>
    <t>อภิชาติ</t>
  </si>
  <si>
    <t>สุขจิตร์</t>
  </si>
  <si>
    <t>Apichats@sena.co.th</t>
  </si>
  <si>
    <t>09-05-2018</t>
  </si>
  <si>
    <t>อภิญญา</t>
  </si>
  <si>
    <t>ลิมปรัตนชัย</t>
  </si>
  <si>
    <t>Apinyal@sena.co.th</t>
  </si>
  <si>
    <t>เจ้าหน้าที่ลูกค้าสัมพันธ์และธุรการอาวุโส</t>
  </si>
  <si>
    <t>อภิรดี</t>
  </si>
  <si>
    <t>พิศแลงาม</t>
  </si>
  <si>
    <t>ดาด้า</t>
  </si>
  <si>
    <t>BK680546</t>
  </si>
  <si>
    <t>อภิรักษ์</t>
  </si>
  <si>
    <t>ดอกบัว</t>
  </si>
  <si>
    <t>apirakd@sena.co.th</t>
  </si>
  <si>
    <t>BK680418</t>
  </si>
  <si>
    <t>บัวอุไร</t>
  </si>
  <si>
    <t>กิฟท์</t>
  </si>
  <si>
    <t>amonratb@sena.co.th</t>
  </si>
  <si>
    <t>อมรศักดิ์</t>
  </si>
  <si>
    <t>ถนอมธรรม</t>
  </si>
  <si>
    <t>amornsakt@sena.co.th</t>
  </si>
  <si>
    <t>BK680240</t>
  </si>
  <si>
    <t>อมฤตา</t>
  </si>
  <si>
    <t>จันทรักษา</t>
  </si>
  <si>
    <t>ammarutac@sena.co.th</t>
  </si>
  <si>
    <t>อรชุมา</t>
  </si>
  <si>
    <t>อุดมชัยวุฒิ</t>
  </si>
  <si>
    <t>onchumau@sena.co.th</t>
  </si>
  <si>
    <t>BK680261</t>
  </si>
  <si>
    <t>20-03-2014</t>
  </si>
  <si>
    <t>อรทัย</t>
  </si>
  <si>
    <t>ลาตรินทร์</t>
  </si>
  <si>
    <t>ออ</t>
  </si>
  <si>
    <t>Orathail@sena.co.th</t>
  </si>
  <si>
    <t>อรรถชา</t>
  </si>
  <si>
    <t>โคกบัว</t>
  </si>
  <si>
    <t>atthachak@sena.co.th</t>
  </si>
  <si>
    <t>พนักงานประสานงานโครงการ</t>
  </si>
  <si>
    <t>เทียนเจริญ</t>
  </si>
  <si>
    <t>อรรถ</t>
  </si>
  <si>
    <t>autapolt@sena.co.th</t>
  </si>
  <si>
    <t>14-11-2016</t>
  </si>
  <si>
    <t>สุกใส</t>
  </si>
  <si>
    <t>Orawans@sena.co.th</t>
  </si>
  <si>
    <t>อริย์ธัช</t>
  </si>
  <si>
    <t>บุญเหลือ</t>
  </si>
  <si>
    <t>โอบาร์</t>
  </si>
  <si>
    <t>arithatb@sena.co.th</t>
  </si>
  <si>
    <t>อรุณี</t>
  </si>
  <si>
    <t>อยู่ล้อมศักดิ์</t>
  </si>
  <si>
    <t>อลิสมาส</t>
  </si>
  <si>
    <t>เสงี่ยมวงศ์</t>
  </si>
  <si>
    <t>Jibbie</t>
  </si>
  <si>
    <t>BK680303</t>
  </si>
  <si>
    <t>อัคคฤทธิ์</t>
  </si>
  <si>
    <t>นันทยศสกุล</t>
  </si>
  <si>
    <t>akkaritn@sena.co.th</t>
  </si>
  <si>
    <t>BK650190</t>
  </si>
  <si>
    <t>อัคนิรุตน์</t>
  </si>
  <si>
    <t>วิเศษสินธุ์</t>
  </si>
  <si>
    <t>แม็กซ์</t>
  </si>
  <si>
    <t>akanirutv@sena.co.th</t>
  </si>
  <si>
    <t>BK680323</t>
  </si>
  <si>
    <t>22-05-2023</t>
  </si>
  <si>
    <t>อัครพล</t>
  </si>
  <si>
    <t>ศรีอรรคจันทร์</t>
  </si>
  <si>
    <t>ต๋อม</t>
  </si>
  <si>
    <t>aukapons@sena.co.th</t>
  </si>
  <si>
    <t>BK680150</t>
  </si>
  <si>
    <t>อังคนางค์</t>
  </si>
  <si>
    <t>หารชะนะ</t>
  </si>
  <si>
    <t>หลี</t>
  </si>
  <si>
    <t>aungkanangh@sena.co.th</t>
  </si>
  <si>
    <t>อัจฉรา</t>
  </si>
  <si>
    <t>เหมือนกรุง</t>
  </si>
  <si>
    <t>atcharam@sena.co.th</t>
  </si>
  <si>
    <t>เจ้าหน้าที่ประมาณราคา</t>
  </si>
  <si>
    <t>อัจฉราพรรณ</t>
  </si>
  <si>
    <t>โมทจิตต์</t>
  </si>
  <si>
    <t>acharapanm@sena.co.th</t>
  </si>
  <si>
    <t>อัจฉริยา</t>
  </si>
  <si>
    <t>อังศุศิริพงศ์</t>
  </si>
  <si>
    <t>auchariyaa@sena.co.th</t>
  </si>
  <si>
    <t>01-09-1995</t>
  </si>
  <si>
    <t>ฉายดำรงค์</t>
  </si>
  <si>
    <t>Auchariyas@sena.co.th</t>
  </si>
  <si>
    <t>BK680187</t>
  </si>
  <si>
    <t>อัญชิษฐา</t>
  </si>
  <si>
    <t>มีนาค</t>
  </si>
  <si>
    <t>aunchittham@sena.co.th</t>
  </si>
  <si>
    <t>อัญนภา</t>
  </si>
  <si>
    <t>แบขุนทด</t>
  </si>
  <si>
    <t>บุ้ง</t>
  </si>
  <si>
    <t>annapab@sena.co.th</t>
  </si>
  <si>
    <t>อัญพัชญ์</t>
  </si>
  <si>
    <t>พีระภักดีพงศ์</t>
  </si>
  <si>
    <t>อัญญา</t>
  </si>
  <si>
    <t>อัฐพล</t>
  </si>
  <si>
    <t>บุญค่ำชู</t>
  </si>
  <si>
    <t>ไทน์</t>
  </si>
  <si>
    <t>BK680580</t>
  </si>
  <si>
    <t>อัฐภิญญา</t>
  </si>
  <si>
    <t>บุญฟัก</t>
  </si>
  <si>
    <t>attapinya@sena.co.th</t>
  </si>
  <si>
    <t>BK680356</t>
  </si>
  <si>
    <t>อัทยา</t>
  </si>
  <si>
    <t>ประยงค์หอม</t>
  </si>
  <si>
    <t>attayap@sena.co.th</t>
  </si>
  <si>
    <t>BK650212</t>
  </si>
  <si>
    <t>อัศนัย</t>
  </si>
  <si>
    <t>วรสุข</t>
  </si>
  <si>
    <t>assnaiv@sena.co.th</t>
  </si>
  <si>
    <t>อัษฎางค์</t>
  </si>
  <si>
    <t>ทองรอง</t>
  </si>
  <si>
    <t>ยาใจ</t>
  </si>
  <si>
    <t>ฝ่ายธุรการประสานงานราชการ</t>
  </si>
  <si>
    <t>27-09-2021</t>
  </si>
  <si>
    <t>อาทิตยา</t>
  </si>
  <si>
    <t>ชลินทราภัทรกุล</t>
  </si>
  <si>
    <t>ไม้ขิม</t>
  </si>
  <si>
    <t>atittayaw@sena.co.th</t>
  </si>
  <si>
    <t>21-08-2017</t>
  </si>
  <si>
    <t>ประชารัตน์</t>
  </si>
  <si>
    <t>BK680659</t>
  </si>
  <si>
    <t>ตนเอี่ยม</t>
  </si>
  <si>
    <t>arthittayat@sena.co.th</t>
  </si>
  <si>
    <t>BK680449</t>
  </si>
  <si>
    <t>07-11-2022</t>
  </si>
  <si>
    <t>คำบุญเรือง</t>
  </si>
  <si>
    <t>หมอนอิง</t>
  </si>
  <si>
    <t>atitayak@sena.co.th</t>
  </si>
  <si>
    <t>BK680378</t>
  </si>
  <si>
    <t>นันทวดีพิศาล</t>
  </si>
  <si>
    <t>ฝรั่ง</t>
  </si>
  <si>
    <t>arnonn@sena.co.th</t>
  </si>
  <si>
    <t>BK630017</t>
  </si>
  <si>
    <t>อารีรัตน์</t>
  </si>
  <si>
    <t>อารี</t>
  </si>
  <si>
    <t>areeratr@sena.co.th</t>
  </si>
  <si>
    <t>BK680407</t>
  </si>
  <si>
    <t>อำพัน</t>
  </si>
  <si>
    <t>เทียนเงิน</t>
  </si>
  <si>
    <t>amphant@sena.co.th</t>
  </si>
  <si>
    <t>อิทธิพล</t>
  </si>
  <si>
    <t>หีบแก้ว</t>
  </si>
  <si>
    <t>It-tiponh@sena.co.th</t>
  </si>
  <si>
    <t>อิพภา</t>
  </si>
  <si>
    <t>พวงหัตถ์</t>
  </si>
  <si>
    <t>อิ๊พ</t>
  </si>
  <si>
    <t>อิสราภรณ์</t>
  </si>
  <si>
    <t>เจ๊กจันทึก</t>
  </si>
  <si>
    <t>เชอร์รี่</t>
  </si>
  <si>
    <t>Isarapornj@sena.co.th</t>
  </si>
  <si>
    <t>05-08-2024</t>
  </si>
  <si>
    <t>หนแสนดี</t>
  </si>
  <si>
    <t>issarapornh@sena.co.th</t>
  </si>
  <si>
    <t>BK680236</t>
  </si>
  <si>
    <t>ทองเสน</t>
  </si>
  <si>
    <t>issarapornt@sena.co.th</t>
  </si>
  <si>
    <t>BK680427</t>
  </si>
  <si>
    <t>อุกฤษ</t>
  </si>
  <si>
    <t>ตรีภพ</t>
  </si>
  <si>
    <t>โจ๊ก</t>
  </si>
  <si>
    <t>aukritt@sena.co.th</t>
  </si>
  <si>
    <t>BK660080</t>
  </si>
  <si>
    <t>09-01-2008</t>
  </si>
  <si>
    <t>อุดร</t>
  </si>
  <si>
    <t>วาลง</t>
  </si>
  <si>
    <t>ดร</t>
  </si>
  <si>
    <t>Udonw@sena.co.th</t>
  </si>
  <si>
    <t>เปียสำโรง</t>
  </si>
  <si>
    <t>Uthitp@sena.co.th</t>
  </si>
  <si>
    <t>อุบล</t>
  </si>
  <si>
    <t>แสงปาก</t>
  </si>
  <si>
    <t>ubons@sena.co.th</t>
  </si>
  <si>
    <t>01-09-2009</t>
  </si>
  <si>
    <t>03-01-2007</t>
  </si>
  <si>
    <t>อุสนี</t>
  </si>
  <si>
    <t>ไชยสงโท</t>
  </si>
  <si>
    <t>บรีส</t>
  </si>
  <si>
    <t>Usaneec@sena.co.th</t>
  </si>
  <si>
    <t>เอกกร</t>
  </si>
  <si>
    <t>กุลณ์ลิขิต</t>
  </si>
  <si>
    <t>Aekkakornk@sena.co.th</t>
  </si>
  <si>
    <t>เอกกฤษฎิ์</t>
  </si>
  <si>
    <t>รัตนวิจารณ์</t>
  </si>
  <si>
    <t>ekkrishr@sena.co.th</t>
  </si>
  <si>
    <t>BK680530</t>
  </si>
  <si>
    <t>เอกฉัตร</t>
  </si>
  <si>
    <t>แพน</t>
  </si>
  <si>
    <t>ekachats@sena.co.th</t>
  </si>
  <si>
    <t>สว่างพันธ์</t>
  </si>
  <si>
    <t>akechais@sena.co.th</t>
  </si>
  <si>
    <t>01-12-2010</t>
  </si>
  <si>
    <t>ทรัพย์ทวีกานต์</t>
  </si>
  <si>
    <t>Ekapons@sena.co.th</t>
  </si>
  <si>
    <t>BK680390</t>
  </si>
  <si>
    <t>ผึ่งผดุง</t>
  </si>
  <si>
    <t>eakkaphanp@sena.co.th</t>
  </si>
  <si>
    <t>BK680529</t>
  </si>
  <si>
    <t>เอกภพ</t>
  </si>
  <si>
    <t>ศรีตะปัญญา</t>
  </si>
  <si>
    <t>akapops@sena.co.th</t>
  </si>
  <si>
    <t>เอกราช</t>
  </si>
  <si>
    <t>นันตา</t>
  </si>
  <si>
    <t>akarachn@sena.co.th</t>
  </si>
  <si>
    <t>BK680424</t>
  </si>
  <si>
    <t>เอกอนันต์</t>
  </si>
  <si>
    <t>ภูทอง</t>
  </si>
  <si>
    <t>eakananp@sena.co.th</t>
  </si>
  <si>
    <t>BK680447</t>
  </si>
  <si>
    <t>เอมอร</t>
  </si>
  <si>
    <t>เครือแสง</t>
  </si>
  <si>
    <t>เอม</t>
  </si>
  <si>
    <t>emornk@sena.co.th</t>
  </si>
  <si>
    <t>BK680453</t>
  </si>
  <si>
    <t>เอื้อมพร</t>
  </si>
  <si>
    <t>ถิตย์รัศมี</t>
  </si>
  <si>
    <t>aeumpornt@sena.co.th</t>
  </si>
  <si>
    <t>TD670018</t>
  </si>
  <si>
    <t>บริษัท อีสเทิร์น เสนาดีเวลลอปเม้นท์ จำกัด</t>
  </si>
  <si>
    <t>Chandoeun</t>
  </si>
  <si>
    <t>Yeng</t>
  </si>
  <si>
    <t>พนักงานระบบน้ำสปิงเกอร์</t>
  </si>
  <si>
    <t>ฝ่ายพัฒนาและบำรุงรักษา</t>
  </si>
  <si>
    <t>TD660028</t>
  </si>
  <si>
    <t>Chhang</t>
  </si>
  <si>
    <t>Chum</t>
  </si>
  <si>
    <t>พนักงานบริการส่วนกลาง</t>
  </si>
  <si>
    <t>ฝ่ายบริหารโครงการ</t>
  </si>
  <si>
    <t>TD670029</t>
  </si>
  <si>
    <t>01-12-2024</t>
  </si>
  <si>
    <t>Chhoeurb</t>
  </si>
  <si>
    <t>By</t>
  </si>
  <si>
    <t>TD650013</t>
  </si>
  <si>
    <t>Daoviene</t>
  </si>
  <si>
    <t>Noichanh</t>
  </si>
  <si>
    <t>พนักงานซุ้มน้ำ</t>
  </si>
  <si>
    <t>ฝ่ายบริหารคลับเอ้าส์</t>
  </si>
  <si>
    <t>TD680004</t>
  </si>
  <si>
    <t>Hing</t>
  </si>
  <si>
    <t>Khaun</t>
  </si>
  <si>
    <t>ฮิง</t>
  </si>
  <si>
    <t>TD660014</t>
  </si>
  <si>
    <t>01-07-2023</t>
  </si>
  <si>
    <t>Hun</t>
  </si>
  <si>
    <t>Hea</t>
  </si>
  <si>
    <t>หน</t>
  </si>
  <si>
    <t>พนักงานบำรุงรักษาสนาม</t>
  </si>
  <si>
    <t>TD670031</t>
  </si>
  <si>
    <t>Khamphen</t>
  </si>
  <si>
    <t>Tamongvanxay</t>
  </si>
  <si>
    <t>คำแผน</t>
  </si>
  <si>
    <t>TD660016</t>
  </si>
  <si>
    <t>Kne</t>
  </si>
  <si>
    <t>Man</t>
  </si>
  <si>
    <t>ทิศ</t>
  </si>
  <si>
    <t>พนักงานซ่อมบำรุงเครื่องจักร</t>
  </si>
  <si>
    <t>TD660017</t>
  </si>
  <si>
    <t>Morl</t>
  </si>
  <si>
    <t>Soan</t>
  </si>
  <si>
    <t>มอ</t>
  </si>
  <si>
    <t>TD660015</t>
  </si>
  <si>
    <t>Povphearom</t>
  </si>
  <si>
    <t>Phlai</t>
  </si>
  <si>
    <t>พนักงานช่อมบำรุงอาคารสถานที่</t>
  </si>
  <si>
    <t>TD660027</t>
  </si>
  <si>
    <t>Reth</t>
  </si>
  <si>
    <t>Soeurn</t>
  </si>
  <si>
    <t>เรด</t>
  </si>
  <si>
    <t>พนักงานซ่อมบำรุงอาคารสถานที่</t>
  </si>
  <si>
    <t>TD660026</t>
  </si>
  <si>
    <t>Salath</t>
  </si>
  <si>
    <t>Men</t>
  </si>
  <si>
    <t>สลัด</t>
  </si>
  <si>
    <t>ผู้ช่วยกุ๊ก</t>
  </si>
  <si>
    <t>TD660013</t>
  </si>
  <si>
    <t>Sokhen</t>
  </si>
  <si>
    <t>Nhav</t>
  </si>
  <si>
    <t>เคน</t>
  </si>
  <si>
    <t>TD680001</t>
  </si>
  <si>
    <t>ชินภักดี</t>
  </si>
  <si>
    <t>ผู้ช่วยหัวหน้าแผนกบำรุงรักษาสนาม</t>
  </si>
  <si>
    <t>TD640001</t>
  </si>
  <si>
    <t>01-01-2021</t>
  </si>
  <si>
    <t>บุญรักษา</t>
  </si>
  <si>
    <t>พนักงานรถกอล์ฟ</t>
  </si>
  <si>
    <t>ฝ่ายปฏิบัติการสนามกอล์ฟ</t>
  </si>
  <si>
    <t>TD560026</t>
  </si>
  <si>
    <t>05-08-2013</t>
  </si>
  <si>
    <t>กัญญาภัทร</t>
  </si>
  <si>
    <t>สรรพอาษา</t>
  </si>
  <si>
    <t>จ๊ะเอ๋</t>
  </si>
  <si>
    <t>kanyaphats@sena.co.th</t>
  </si>
  <si>
    <t>หัวหน้าแผนกต้อนรับ</t>
  </si>
  <si>
    <t>TD640005</t>
  </si>
  <si>
    <t>กายพรรณ</t>
  </si>
  <si>
    <t>พึ่งเมือง</t>
  </si>
  <si>
    <t>พนักงานเสิร์ฟ</t>
  </si>
  <si>
    <t>TD530013</t>
  </si>
  <si>
    <t>01-05-2010</t>
  </si>
  <si>
    <t>เกษร</t>
  </si>
  <si>
    <t>เพ็งผล</t>
  </si>
  <si>
    <t>เก</t>
  </si>
  <si>
    <t>หัวหน้าแผนกแม่บ้านและล็อคเกอร์</t>
  </si>
  <si>
    <t>TD680005</t>
  </si>
  <si>
    <t>โกสัย</t>
  </si>
  <si>
    <t>จรุงพัฒนานนท์</t>
  </si>
  <si>
    <t>โก</t>
  </si>
  <si>
    <t>หัวหน้าช่างซ่อมบำรุงเครื่องจักร</t>
  </si>
  <si>
    <t>TD530017</t>
  </si>
  <si>
    <t>10-10-2010</t>
  </si>
  <si>
    <t>จันทร์เพ็ญ</t>
  </si>
  <si>
    <t>ศรีสมบัติ</t>
  </si>
  <si>
    <t>พนักงานธุรการห้องครัว</t>
  </si>
  <si>
    <t>TD670025</t>
  </si>
  <si>
    <t>จิราภรณ์</t>
  </si>
  <si>
    <t>พนักงานแม่บ้าน</t>
  </si>
  <si>
    <t>TD640016</t>
  </si>
  <si>
    <t>จิรายุทธ</t>
  </si>
  <si>
    <t>บุตรสอน</t>
  </si>
  <si>
    <t>พนักงานแคชเชียร์กรีนฟรี</t>
  </si>
  <si>
    <t>TD650009</t>
  </si>
  <si>
    <t>ฉวีวรรณ</t>
  </si>
  <si>
    <t>ศุภกรศิริ</t>
  </si>
  <si>
    <t>TD580009</t>
  </si>
  <si>
    <t>01-03-2015</t>
  </si>
  <si>
    <t>ใจคง</t>
  </si>
  <si>
    <t>หวี</t>
  </si>
  <si>
    <t>TD640015</t>
  </si>
  <si>
    <t>ฉันทยา</t>
  </si>
  <si>
    <t>พรหมบุตร</t>
  </si>
  <si>
    <t>TD670005</t>
  </si>
  <si>
    <t>ชนธัญ</t>
  </si>
  <si>
    <t>แก้วมาตร</t>
  </si>
  <si>
    <t>งา</t>
  </si>
  <si>
    <t>เจ้าหน้าที่ประสานงานและบริการส่วนกลาง</t>
  </si>
  <si>
    <t>TD630006</t>
  </si>
  <si>
    <t>01-03-2020</t>
  </si>
  <si>
    <t>ฐาปนันท์</t>
  </si>
  <si>
    <t>นามประโล</t>
  </si>
  <si>
    <t>เจด้า</t>
  </si>
  <si>
    <t>พนักงานแคชเชียร์ห้องอาหาร</t>
  </si>
  <si>
    <t>TD670021</t>
  </si>
  <si>
    <t>อินต๊ะวิชัย</t>
  </si>
  <si>
    <t>TD600024</t>
  </si>
  <si>
    <t>01-04-2017</t>
  </si>
  <si>
    <t>คุณเหมียว</t>
  </si>
  <si>
    <t>natchayat@sena.co.th</t>
  </si>
  <si>
    <t>TD650014</t>
  </si>
  <si>
    <t>ศรีบุดดา</t>
  </si>
  <si>
    <t>TD630007</t>
  </si>
  <si>
    <t>21-05-2020</t>
  </si>
  <si>
    <t>เทพลิขิต</t>
  </si>
  <si>
    <t>โตสงค์</t>
  </si>
  <si>
    <t>theplikitt@sena.co.th</t>
  </si>
  <si>
    <t>เจ้าหน้าที่คอมพิวเตอร์</t>
  </si>
  <si>
    <t>ฝ่ายทรัพยากรบุคคลและบริการสำนักงาน</t>
  </si>
  <si>
    <t>TD600005</t>
  </si>
  <si>
    <t>09-02-2017</t>
  </si>
  <si>
    <t>ควรคำ</t>
  </si>
  <si>
    <t>เปีย</t>
  </si>
  <si>
    <t>เจ้าหน้าที่ต้อนรับ</t>
  </si>
  <si>
    <t>TD650018</t>
  </si>
  <si>
    <t>โพธิ์วันดี</t>
  </si>
  <si>
    <t>TD640003</t>
  </si>
  <si>
    <t>ธรรมวัฒน์</t>
  </si>
  <si>
    <t>วัฒนชีพ</t>
  </si>
  <si>
    <t>วัฒน์</t>
  </si>
  <si>
    <t>thammawatw@sena.co.th</t>
  </si>
  <si>
    <t>หัวหน้าแผนกห้องอาหารและซุ้มน้ำ</t>
  </si>
  <si>
    <t>TD560004</t>
  </si>
  <si>
    <t>06-02-2013</t>
  </si>
  <si>
    <t>ธารวิทย์</t>
  </si>
  <si>
    <t>ฐิติอนันท์</t>
  </si>
  <si>
    <t>วิทย์</t>
  </si>
  <si>
    <t>tharnwitt@sena.co.th</t>
  </si>
  <si>
    <t>TD650003</t>
  </si>
  <si>
    <t>16-02-2022</t>
  </si>
  <si>
    <t>น้ำทิพย์</t>
  </si>
  <si>
    <t>สระนารัมย์</t>
  </si>
  <si>
    <t>TD590001</t>
  </si>
  <si>
    <t>01-01-2016</t>
  </si>
  <si>
    <t>นิคม</t>
  </si>
  <si>
    <t>ธรรมสิทธิ์</t>
  </si>
  <si>
    <t>จ่า</t>
  </si>
  <si>
    <t>หัวหน้าแผนกบำรุงรักษาสนาม</t>
  </si>
  <si>
    <t>TD530010</t>
  </si>
  <si>
    <t>จันทวงษ์</t>
  </si>
  <si>
    <t>TD670006</t>
  </si>
  <si>
    <t>17-04-2024</t>
  </si>
  <si>
    <t>พลพิมาย</t>
  </si>
  <si>
    <t>นัตตี้</t>
  </si>
  <si>
    <t>พนักงานแคชเชียร์โปรช็อป</t>
  </si>
  <si>
    <t>TD600008</t>
  </si>
  <si>
    <t>09-03-2017</t>
  </si>
  <si>
    <t>นิรมล</t>
  </si>
  <si>
    <t>จันทรบาล</t>
  </si>
  <si>
    <t>ยุ</t>
  </si>
  <si>
    <t>niramolj@sena.co.th</t>
  </si>
  <si>
    <t>7994เจ้าหน้าที่บัญชีการเงิน</t>
  </si>
  <si>
    <t>TD530006</t>
  </si>
  <si>
    <t>นิศมา</t>
  </si>
  <si>
    <t>พรหมแสนวิเศษ</t>
  </si>
  <si>
    <t>nissamap@sena.co.th</t>
  </si>
  <si>
    <t>TD590025</t>
  </si>
  <si>
    <t>นุจรี</t>
  </si>
  <si>
    <t>ทรงศรีเอี่ยม</t>
  </si>
  <si>
    <t>นุจ</t>
  </si>
  <si>
    <t>TD670017</t>
  </si>
  <si>
    <t>เนตร</t>
  </si>
  <si>
    <t>แฟนพิมาย</t>
  </si>
  <si>
    <t>TD530008</t>
  </si>
  <si>
    <t>บุญชู</t>
  </si>
  <si>
    <t>ชูสุข</t>
  </si>
  <si>
    <t>ทอง</t>
  </si>
  <si>
    <t>TD670030</t>
  </si>
  <si>
    <t>บุญทัน</t>
  </si>
  <si>
    <t>ชัยพิทักษ์</t>
  </si>
  <si>
    <t>TD660007</t>
  </si>
  <si>
    <t>สุวรรณศรี</t>
  </si>
  <si>
    <t>TD620020</t>
  </si>
  <si>
    <t>01-09-2019</t>
  </si>
  <si>
    <t>ปารเมศ</t>
  </si>
  <si>
    <t>คุณใหญ่</t>
  </si>
  <si>
    <t>paramatet@sena.co.th</t>
  </si>
  <si>
    <t>ผู้จัดการทั่วไป</t>
  </si>
  <si>
    <t>ฝ่ายบริหารธุรกิจสนามกอล์ฟ</t>
  </si>
  <si>
    <t>TD670009</t>
  </si>
  <si>
    <t>ผดุงกิจ</t>
  </si>
  <si>
    <t>สิงห์โตทอง</t>
  </si>
  <si>
    <t>กิจ</t>
  </si>
  <si>
    <t>TD600002</t>
  </si>
  <si>
    <t>12-01-2017</t>
  </si>
  <si>
    <t>พิมพ์ใจ</t>
  </si>
  <si>
    <t>พลเดชา</t>
  </si>
  <si>
    <t>พิมพ์</t>
  </si>
  <si>
    <t>phimjaip@sena.co.th</t>
  </si>
  <si>
    <t>พนักงานบุคคล</t>
  </si>
  <si>
    <t>TD650006</t>
  </si>
  <si>
    <t>เพิ่มยศ</t>
  </si>
  <si>
    <t>TD670013</t>
  </si>
  <si>
    <t>ภาวิกา</t>
  </si>
  <si>
    <t>พะวันพรมราช</t>
  </si>
  <si>
    <t>pavikap@sena.co.th</t>
  </si>
  <si>
    <t>TD660006</t>
  </si>
  <si>
    <t>08-03-2023</t>
  </si>
  <si>
    <t>มงคลชัย</t>
  </si>
  <si>
    <t>ใจหล้า</t>
  </si>
  <si>
    <t>ผู้ช่วยหัวหน้าแผนกบริการส่วนกลาง</t>
  </si>
  <si>
    <t>TD670002</t>
  </si>
  <si>
    <t>มณีย์</t>
  </si>
  <si>
    <t>สมจิต</t>
  </si>
  <si>
    <t>มะ</t>
  </si>
  <si>
    <t>TD610011</t>
  </si>
  <si>
    <t>15-04-2018</t>
  </si>
  <si>
    <t>ภูมิจิตร</t>
  </si>
  <si>
    <t>โปรอาด</t>
  </si>
  <si>
    <t>marisab@sena.co.th</t>
  </si>
  <si>
    <t>รองผู้จัดการทั่วไป</t>
  </si>
  <si>
    <t>สายงาน Operation</t>
  </si>
  <si>
    <t>TD590020</t>
  </si>
  <si>
    <t>08-06-2016</t>
  </si>
  <si>
    <t>ยลดา</t>
  </si>
  <si>
    <t>ทองดีศรี</t>
  </si>
  <si>
    <t>yonladat@sena.co.th</t>
  </si>
  <si>
    <t>พนักงานการตลาด</t>
  </si>
  <si>
    <t>TD650022</t>
  </si>
  <si>
    <t>เปรี่ยมพิมาย</t>
  </si>
  <si>
    <t>TD620011</t>
  </si>
  <si>
    <t>04-06-2019</t>
  </si>
  <si>
    <t>รัตนวิชัย</t>
  </si>
  <si>
    <t>เชื้อตาทอง</t>
  </si>
  <si>
    <t>โลตัส</t>
  </si>
  <si>
    <t>TD590007</t>
  </si>
  <si>
    <t>13-02-2016</t>
  </si>
  <si>
    <t>รื่นฤดี</t>
  </si>
  <si>
    <t>พงษ์สูงเนิน</t>
  </si>
  <si>
    <t>พนักงานล็อคเกอร์</t>
  </si>
  <si>
    <t>TD630025</t>
  </si>
  <si>
    <t>21-11-2020</t>
  </si>
  <si>
    <t>รุ่งลาวัลย์</t>
  </si>
  <si>
    <t>สีลาโคตร</t>
  </si>
  <si>
    <t>พนักงานบาร์น้ำ</t>
  </si>
  <si>
    <t>TD670014</t>
  </si>
  <si>
    <t>ทันครบุรี</t>
  </si>
  <si>
    <t>พนักงานกอล์ฟแบ็ค</t>
  </si>
  <si>
    <t>TD610028</t>
  </si>
  <si>
    <t>21-09-2018</t>
  </si>
  <si>
    <t>สุดชนะ</t>
  </si>
  <si>
    <t>looktals@sena.co.th</t>
  </si>
  <si>
    <t>หัวหน้าแผนกแคดดี้</t>
  </si>
  <si>
    <t>TD620019</t>
  </si>
  <si>
    <t>บุญเสถียร</t>
  </si>
  <si>
    <t>พนักงานประสานงาน</t>
  </si>
  <si>
    <t>TD570048</t>
  </si>
  <si>
    <t>26-11-2014</t>
  </si>
  <si>
    <t>ศรีใหม</t>
  </si>
  <si>
    <t>ปีเตอร์</t>
  </si>
  <si>
    <t>พนักงานตรวจสอบ</t>
  </si>
  <si>
    <t>TD670011</t>
  </si>
  <si>
    <t>พรมเหลา</t>
  </si>
  <si>
    <t>TD570024</t>
  </si>
  <si>
    <t>21-05-2014</t>
  </si>
  <si>
    <t>วันนา</t>
  </si>
  <si>
    <t>หมื่นน้อย</t>
  </si>
  <si>
    <t>wannam@sena.co.th</t>
  </si>
  <si>
    <t>หัวหน้าแผนกจัดซื้อ</t>
  </si>
  <si>
    <t>TD610016</t>
  </si>
  <si>
    <t>วิเชษฐ</t>
  </si>
  <si>
    <t>ปาลกวงษ์ ณ อยุธยา</t>
  </si>
  <si>
    <t>โปรทิ้ง</t>
  </si>
  <si>
    <t>หัวหน้าแผนกกิจกรรมกอล์ฟ</t>
  </si>
  <si>
    <t>TD600014</t>
  </si>
  <si>
    <t>26-06-2017</t>
  </si>
  <si>
    <t>วิศรุต</t>
  </si>
  <si>
    <t>ชาญชิตร</t>
  </si>
  <si>
    <t>ต๋ง</t>
  </si>
  <si>
    <t>หัวหน้าแผนกบริการส่วนกลาง</t>
  </si>
  <si>
    <t>TD590026</t>
  </si>
  <si>
    <t>04-07-2016</t>
  </si>
  <si>
    <t>ศราวุธ</t>
  </si>
  <si>
    <t>โพธิ์ทอง</t>
  </si>
  <si>
    <t>sarawutp@sena.co.th</t>
  </si>
  <si>
    <t>TD660004</t>
  </si>
  <si>
    <t>10-02-2023</t>
  </si>
  <si>
    <t>รูปโฉม</t>
  </si>
  <si>
    <t>วิก</t>
  </si>
  <si>
    <t>ผู้ช่วยหัวหน้าแผนกกิจกรรมกอล์ฟ</t>
  </si>
  <si>
    <t>TD560038</t>
  </si>
  <si>
    <t>สมเกียรติ</t>
  </si>
  <si>
    <t>ยงค์วัตร</t>
  </si>
  <si>
    <t>นิก</t>
  </si>
  <si>
    <t>พนักงานขับรถ</t>
  </si>
  <si>
    <t>TD570034</t>
  </si>
  <si>
    <t>02-06-2014</t>
  </si>
  <si>
    <t>สมยงค์</t>
  </si>
  <si>
    <t>ทศภานนท์</t>
  </si>
  <si>
    <t>มะยม</t>
  </si>
  <si>
    <t>somyongt@sena.co.th</t>
  </si>
  <si>
    <t>หัวหน้าแผนกบัญชีจ่าย</t>
  </si>
  <si>
    <t>TD670027</t>
  </si>
  <si>
    <t>สลักเพ็ญ</t>
  </si>
  <si>
    <t>มุ่งดี</t>
  </si>
  <si>
    <t>TD620010</t>
  </si>
  <si>
    <t>สัตถวิชยพิชญ์</t>
  </si>
  <si>
    <t>ตุ๋ย</t>
  </si>
  <si>
    <t>เจ้าหน้าที่สตาร์ทเตอร์-มาแชลล์</t>
  </si>
  <si>
    <t>TD670022</t>
  </si>
  <si>
    <t>สายฝน</t>
  </si>
  <si>
    <t>พุทไทยสง</t>
  </si>
  <si>
    <t>TD590009</t>
  </si>
  <si>
    <t>สาวินี</t>
  </si>
  <si>
    <t>จุ้ยกลิ่น</t>
  </si>
  <si>
    <t>ปลาทอง</t>
  </si>
  <si>
    <t>พนักงานสตาร์ทเตอร์</t>
  </si>
  <si>
    <t>TD610015</t>
  </si>
  <si>
    <t>25-05-2018</t>
  </si>
  <si>
    <t>ขำพันธุ์</t>
  </si>
  <si>
    <t>จุ่น</t>
  </si>
  <si>
    <t>TD670007</t>
  </si>
  <si>
    <t>สุนัตตรา</t>
  </si>
  <si>
    <t>พิมพ์มณี</t>
  </si>
  <si>
    <t>TD630012</t>
  </si>
  <si>
    <t>22-06-2020</t>
  </si>
  <si>
    <t>มณฑาถวิล</t>
  </si>
  <si>
    <t>TD530007</t>
  </si>
  <si>
    <t>วงษ์ธานี</t>
  </si>
  <si>
    <t>TD670028</t>
  </si>
  <si>
    <t>12-11-2024</t>
  </si>
  <si>
    <t>สุมนต์</t>
  </si>
  <si>
    <t>มากมูล</t>
  </si>
  <si>
    <t>มน</t>
  </si>
  <si>
    <t>sumonm@sena.co.th</t>
  </si>
  <si>
    <t>เจ้าหน้าที่ขาย</t>
  </si>
  <si>
    <t>TD670023</t>
  </si>
  <si>
    <t>หนูแก้ว</t>
  </si>
  <si>
    <t>ทาเนตร</t>
  </si>
  <si>
    <t>TD640011</t>
  </si>
  <si>
    <t>22-09-2021</t>
  </si>
  <si>
    <t>TD570043</t>
  </si>
  <si>
    <t>อริยาวรรณ์</t>
  </si>
  <si>
    <t>เพียวอยู่</t>
  </si>
  <si>
    <t>ariyawanp@sena.co.th</t>
  </si>
  <si>
    <t>พนักงานจัดซื้อ</t>
  </si>
  <si>
    <t>TD660029</t>
  </si>
  <si>
    <t>02-11-2023</t>
  </si>
  <si>
    <t>artitt@sena.co.th</t>
  </si>
  <si>
    <t>หัวหน้าฝ่ายขายและการตลาด</t>
  </si>
  <si>
    <t>TD660002</t>
  </si>
  <si>
    <t>คุมผวก</t>
  </si>
  <si>
    <t>ผู้ช่วยหัวหน้าแผนกแคดดี้</t>
  </si>
  <si>
    <t>TD660018</t>
  </si>
  <si>
    <t>21-07-2023</t>
  </si>
  <si>
    <t>อำภาพร</t>
  </si>
  <si>
    <t>แกล้งกลางดอน</t>
  </si>
  <si>
    <t>TD530001</t>
  </si>
  <si>
    <t>เอกทวี</t>
  </si>
  <si>
    <t>นายเอก</t>
  </si>
  <si>
    <t>AC670001</t>
  </si>
  <si>
    <t>05-02-2024</t>
  </si>
  <si>
    <t>มีชัย</t>
  </si>
  <si>
    <t>kanjanam@sena.co.th</t>
  </si>
  <si>
    <t>AC670002</t>
  </si>
  <si>
    <t>กิจเตชะเจริญ</t>
  </si>
  <si>
    <t>theerawutk@sena.co.th</t>
  </si>
  <si>
    <t>พนักงานขับรถโครงการ</t>
  </si>
  <si>
    <t>08-02-2012</t>
  </si>
  <si>
    <t>ธีระพงศ์</t>
  </si>
  <si>
    <t>ลิ้มภูมิศักดิ์</t>
  </si>
  <si>
    <t>Theerapongl@sena.co.th</t>
  </si>
  <si>
    <t>AC550005</t>
  </si>
  <si>
    <t>25-10-1997</t>
  </si>
  <si>
    <t>นิดดา</t>
  </si>
  <si>
    <t>จูรัตน์ศักดิ์เจริญ</t>
  </si>
  <si>
    <t>Niddaj@sena.co.th</t>
  </si>
  <si>
    <t>AC620004</t>
  </si>
  <si>
    <t>พจน์</t>
  </si>
  <si>
    <t>เต่าทอง</t>
  </si>
  <si>
    <t>phott@sena.co.th</t>
  </si>
  <si>
    <t>AC600004</t>
  </si>
  <si>
    <t>08-02-2017</t>
  </si>
  <si>
    <t>วรุณี</t>
  </si>
  <si>
    <t>สิงหะเทพ</t>
  </si>
  <si>
    <t>Warunees@sena.co.th</t>
  </si>
  <si>
    <t>เจ้าหน้าที่ดูแลทรัพย์สิน</t>
  </si>
  <si>
    <t>AC610003</t>
  </si>
  <si>
    <t>วิไลย์</t>
  </si>
  <si>
    <t>ทองอ้ม</t>
  </si>
  <si>
    <t>ไลย์</t>
  </si>
  <si>
    <t>Wilait@sena.co.th</t>
  </si>
  <si>
    <t>AC680001</t>
  </si>
  <si>
    <t>22-06-2022</t>
  </si>
  <si>
    <t>บาลพับ</t>
  </si>
  <si>
    <t>somkidb@sena.co.th</t>
  </si>
  <si>
    <t>ฝ่ายบริหารคลังสินค้า</t>
  </si>
  <si>
    <t>AC660001</t>
  </si>
  <si>
    <t>เอกรินทร์</t>
  </si>
  <si>
    <t>คำชนะ</t>
  </si>
  <si>
    <t>ekarink@sena.co.th</t>
  </si>
  <si>
    <t>พนักงานดูแลทรัพย์สิน</t>
  </si>
  <si>
    <t>SN670006</t>
  </si>
  <si>
    <t>บริษัท เอส.เอ็น.แอสเซ็ท ดีเวลลอปเม้นท์ จำกัด</t>
  </si>
  <si>
    <t>01-04-2016</t>
  </si>
  <si>
    <t>วิบูลย์วัฒน์</t>
  </si>
  <si>
    <t>teerapongw@sena.co.th</t>
  </si>
  <si>
    <t>SN670001</t>
  </si>
  <si>
    <t>05-04-2015</t>
  </si>
  <si>
    <t>ปิยดนัย</t>
  </si>
  <si>
    <t>จันทร์หอม</t>
  </si>
  <si>
    <t>piyadanaic@sena.co.th</t>
  </si>
  <si>
    <t>SN670004</t>
  </si>
  <si>
    <t>20-12-2011</t>
  </si>
  <si>
    <t>ภัทรวดี</t>
  </si>
  <si>
    <t>นันทกวินวงศ์</t>
  </si>
  <si>
    <t>pattaravadeen@sena.co.th</t>
  </si>
  <si>
    <t>หัวหน้าแผนกดูแลคลังสินค้า</t>
  </si>
  <si>
    <t>SN670005</t>
  </si>
  <si>
    <t>02-06-2015</t>
  </si>
  <si>
    <t>วงศ์ตะวัน</t>
  </si>
  <si>
    <t>ปะตังคะนัง</t>
  </si>
  <si>
    <t>wongtawanp@sena.co.th</t>
  </si>
  <si>
    <t>SN670002</t>
  </si>
  <si>
    <t>16-10-2018</t>
  </si>
  <si>
    <t>มีช่วย</t>
  </si>
  <si>
    <t>somchokm@sena.co.th</t>
  </si>
  <si>
    <t>19-01-2015</t>
  </si>
  <si>
    <t>ภูมิพัฒน์</t>
  </si>
  <si>
    <t>อาริภู</t>
  </si>
  <si>
    <t>Phumiphata@sena.co.th</t>
  </si>
  <si>
    <t>HP6680008</t>
  </si>
  <si>
    <t>เสนา เอชเอชพี 6 จำกัด</t>
  </si>
  <si>
    <t>กมลพรรณ</t>
  </si>
  <si>
    <t>บุญยั่งยืน</t>
  </si>
  <si>
    <t>HP6680013</t>
  </si>
  <si>
    <t>05-01-2026</t>
  </si>
  <si>
    <t>ชญานิษฐ์</t>
  </si>
  <si>
    <t>หมินแดง</t>
  </si>
  <si>
    <t>SHAMA</t>
  </si>
  <si>
    <t>ชุติกานต์</t>
  </si>
  <si>
    <t>จันทรศรี</t>
  </si>
  <si>
    <t>ฐาปกรณ์</t>
  </si>
  <si>
    <t>แจ่มจำรัส</t>
  </si>
  <si>
    <t>HP6680004</t>
  </si>
  <si>
    <t>ณิฐชานันท์</t>
  </si>
  <si>
    <t>เชียรโชติวราพร</t>
  </si>
  <si>
    <t>HP6680007</t>
  </si>
  <si>
    <t>ธนพัฒน์</t>
  </si>
  <si>
    <t>นิรารมย์</t>
  </si>
  <si>
    <t>นาตยา</t>
  </si>
  <si>
    <t>ผิวผาง</t>
  </si>
  <si>
    <t>nattaya.p@shama.com</t>
  </si>
  <si>
    <t>HP6680009</t>
  </si>
  <si>
    <t>พรพันธ์</t>
  </si>
  <si>
    <t>ชนะพจน์</t>
  </si>
  <si>
    <t>20-10-2025</t>
  </si>
  <si>
    <t>พฤทธิ์พิชามญชุ์</t>
  </si>
  <si>
    <t>อนุรักษ์สุนทร</t>
  </si>
  <si>
    <t>HP6680005</t>
  </si>
  <si>
    <t>พิชิตชัย</t>
  </si>
  <si>
    <t>ร่มเกล้ามลุลี</t>
  </si>
  <si>
    <t>HP6680001</t>
  </si>
  <si>
    <t>พิพัฒน์พล</t>
  </si>
  <si>
    <t>จารุการ</t>
  </si>
  <si>
    <t>PJ</t>
  </si>
  <si>
    <t>Pipatpol.j@shama.com</t>
  </si>
  <si>
    <t>รุจยา</t>
  </si>
  <si>
    <t>วรรณแสงแก้ว</t>
  </si>
  <si>
    <t>สุริยา</t>
  </si>
  <si>
    <t>กุลมร</t>
  </si>
  <si>
    <t>หัวหน้าแผนกวิศวกรรมงานระบบ</t>
  </si>
  <si>
    <t>Sena D</t>
  </si>
  <si>
    <t>Licence Windows</t>
  </si>
  <si>
    <t>No LC Windows</t>
  </si>
  <si>
    <t>สีเขียวคือเครื่องที่มี LC</t>
  </si>
  <si>
    <t>อาคาร</t>
  </si>
  <si>
    <t>ชื่อ</t>
  </si>
  <si>
    <t>สกุล</t>
  </si>
  <si>
    <t>ตำเหน่ง</t>
  </si>
  <si>
    <t>เลขทรัพย์สิน</t>
  </si>
  <si>
    <t>รายละเอียด</t>
  </si>
  <si>
    <t>ประชาสัมพันธ์</t>
  </si>
  <si>
    <t>จนท.ประชาสัมพันธ์อาวุโส</t>
  </si>
  <si>
    <r>
      <rPr>
        <rFont val="&quot;Angsana New&quot;, serif"/>
        <color rgb="FF1155CC"/>
        <sz val="12.0"/>
        <u/>
      </rPr>
      <t>Khruamasi@sena.co.th</t>
    </r>
  </si>
  <si>
    <t>Computer All in One Lenovo Ideacentre AIO 27IRH9 Intel Core i5</t>
  </si>
  <si>
    <t>เงินสดใจดี</t>
  </si>
  <si>
    <r>
      <rPr>
        <rFont val="&quot;Angsana New&quot;, serif"/>
        <color rgb="FF1155CC"/>
        <sz val="12.0"/>
        <u/>
      </rPr>
      <t>Suthamo@moneyjaidee.com</t>
    </r>
  </si>
  <si>
    <r>
      <rPr>
        <rFont val="&quot;Angsana New&quot;, serif"/>
        <color rgb="FF1155CC"/>
        <sz val="12.0"/>
        <u/>
      </rPr>
      <t>somsakh@moneyjaidee.com</t>
    </r>
  </si>
  <si>
    <r>
      <rPr>
        <rFont val="&quot;Angsana New&quot;, serif"/>
        <color rgb="FF1155CC"/>
        <sz val="12.0"/>
        <u/>
      </rPr>
      <t>Supanneen@moneyjaidee.com</t>
    </r>
  </si>
  <si>
    <r>
      <rPr>
        <rFont val="&quot;Angsana New&quot;, serif"/>
        <color rgb="FF1155CC"/>
        <sz val="12.0"/>
        <u/>
      </rPr>
      <t>Pitchs@moneyjaidee.com</t>
    </r>
  </si>
  <si>
    <r>
      <rPr>
        <rFont val="&quot;Angsana New&quot;, serif"/>
        <color rgb="FF1155CC"/>
        <sz val="12.0"/>
        <u/>
      </rPr>
      <t>nipam@moneyjaidee.com</t>
    </r>
  </si>
  <si>
    <r>
      <rPr>
        <rFont val="&quot;Angsana New&quot;, serif"/>
        <color rgb="FF1155CC"/>
        <sz val="12.0"/>
        <u/>
      </rPr>
      <t>Supawanu@moneyjaidee.com</t>
    </r>
  </si>
  <si>
    <r>
      <rPr>
        <rFont val="&quot;Angsana New&quot;, serif"/>
        <color rgb="FF1155CC"/>
        <sz val="12.0"/>
        <u/>
      </rPr>
      <t>Supichayap@moneyjaidee.com</t>
    </r>
  </si>
  <si>
    <r>
      <rPr>
        <rFont val="&quot;Angsana New&quot;, serif"/>
        <color rgb="FF1155CC"/>
        <sz val="12.0"/>
        <u/>
      </rPr>
      <t>Kanokwanc@moneyjaidee.com</t>
    </r>
  </si>
  <si>
    <t>เจ้าหน้าที่สนับสนุนงานสินเชื่อ</t>
  </si>
  <si>
    <r>
      <rPr>
        <rFont val="&quot;Angsana New&quot;, serif"/>
        <color rgb="FF1155CC"/>
        <sz val="12.0"/>
        <u/>
      </rPr>
      <t>Patomcholc@moneyjaidee.com</t>
    </r>
  </si>
  <si>
    <t>กรรมการ</t>
  </si>
  <si>
    <r>
      <rPr>
        <rFont val="&quot;Angsana New&quot;, serif"/>
        <color rgb="FF1155CC"/>
        <sz val="12.0"/>
        <u/>
      </rPr>
      <t>Autapolt@sena.co.th</t>
    </r>
  </si>
  <si>
    <r>
      <rPr>
        <rFont val="&quot;Angsana New&quot;, serif"/>
        <color rgb="FF1155CC"/>
        <sz val="12.0"/>
        <u/>
      </rPr>
      <t>sittir@sena.co.th</t>
    </r>
  </si>
  <si>
    <r>
      <rPr>
        <rFont val="&quot;Angsana New&quot;, serif"/>
        <color rgb="FF1155CC"/>
        <sz val="12.0"/>
        <u/>
      </rPr>
      <t>Saowaluckt@sena.co.th</t>
    </r>
  </si>
  <si>
    <t>SN:MP2EHRWP</t>
  </si>
  <si>
    <r>
      <rPr>
        <rFont val="&quot;Angsana New&quot;, serif"/>
        <color rgb="FF1155CC"/>
        <sz val="12.0"/>
        <u/>
      </rPr>
      <t>Wilais@sena.co.th</t>
    </r>
  </si>
  <si>
    <t>SN:DB6MBZ3</t>
  </si>
  <si>
    <r>
      <rPr>
        <rFont val="&quot;Angsana New&quot;, serif"/>
        <color rgb="FF1155CC"/>
        <sz val="12.0"/>
        <u/>
      </rPr>
      <t>Thitinani@sena.co.th</t>
    </r>
  </si>
  <si>
    <r>
      <rPr>
        <rFont val="&quot;Angsana New&quot;, serif"/>
        <color rgb="FF1155CC"/>
        <sz val="12.0"/>
        <u/>
      </rPr>
      <t>Titawatp@sena.co.th</t>
    </r>
  </si>
  <si>
    <r>
      <rPr>
        <rFont val="&quot;Angsana New&quot;, serif"/>
        <color rgb="FF1155CC"/>
        <sz val="12.0"/>
        <u/>
      </rPr>
      <t>Supaporns@sena.co.th</t>
    </r>
  </si>
  <si>
    <t>SN:MP2ET69Z</t>
  </si>
  <si>
    <r>
      <rPr>
        <rFont val="&quot;Angsana New&quot;, serif"/>
        <color rgb="FF1155CC"/>
        <sz val="12.0"/>
        <u/>
      </rPr>
      <t>thanapongs@sena.co.th</t>
    </r>
  </si>
  <si>
    <t>SN:MP2EJ7K5</t>
  </si>
  <si>
    <t>เจ้าหน้าที่บริหารทรัพยากรมนุษย์</t>
  </si>
  <si>
    <r>
      <rPr>
        <rFont val="&quot;Angsana New&quot;, serif"/>
        <color rgb="FF1155CC"/>
        <sz val="12.0"/>
        <u/>
      </rPr>
      <t>Snidah@sena.co.th</t>
    </r>
  </si>
  <si>
    <r>
      <rPr>
        <rFont val="&quot;Angsana New&quot;, serif"/>
        <color rgb="FF1155CC"/>
        <sz val="12.0"/>
        <u/>
      </rPr>
      <t>Khwanchanokk@sena.co.th</t>
    </r>
  </si>
  <si>
    <r>
      <rPr>
        <rFont val="&quot;Angsana New&quot;, serif"/>
        <color rgb="FF1155CC"/>
        <sz val="12.0"/>
        <u/>
      </rPr>
      <t>Chanissarat@sena.co.th</t>
    </r>
  </si>
  <si>
    <t>เจ้าหน้าที่สวัสดิการ</t>
  </si>
  <si>
    <r>
      <rPr>
        <rFont val="&quot;Angsana New&quot;, serif"/>
        <color rgb="FF1155CC"/>
        <sz val="12.0"/>
        <u/>
      </rPr>
      <t>anusornc@sena.co.th</t>
    </r>
  </si>
  <si>
    <t>เจ้าหน้าที่ฝ่ายบุคคล(SENX)</t>
  </si>
  <si>
    <t>HO0036072N0008</t>
  </si>
  <si>
    <t>เจ้าหน้าที่ฝ่ายบุคคล</t>
  </si>
  <si>
    <r>
      <rPr>
        <rFont val="&quot;Angsana New&quot;, serif"/>
        <color rgb="FF1155CC"/>
        <sz val="12.0"/>
        <u/>
      </rPr>
      <t>asithont@sena.co.th</t>
    </r>
  </si>
  <si>
    <t>ผู้ชำนาญการ1</t>
  </si>
  <si>
    <r>
      <rPr>
        <rFont val="&quot;Angsana New&quot;, serif"/>
        <color rgb="FF1155CC"/>
        <sz val="12.0"/>
        <u/>
      </rPr>
      <t>nattawutt@sena.co.th</t>
    </r>
  </si>
  <si>
    <t>เทคโนโลยีสารสนเทศ</t>
  </si>
  <si>
    <r>
      <rPr>
        <rFont val="&quot;Angsana New&quot;, serif"/>
        <color rgb="FF1155CC"/>
        <sz val="12.0"/>
        <u/>
      </rPr>
      <t>Vorawootr@sena.co.th</t>
    </r>
  </si>
  <si>
    <r>
      <rPr>
        <rFont val="&quot;Angsana New&quot;, serif"/>
        <color rgb="FF1155CC"/>
        <sz val="12.0"/>
        <u/>
      </rPr>
      <t>monchiant@sena.co.th</t>
    </r>
  </si>
  <si>
    <t>HO0036072C0015</t>
  </si>
  <si>
    <r>
      <rPr>
        <rFont val="&quot;Angsana New&quot;, serif"/>
        <color rgb="FF1155CC"/>
        <sz val="12.0"/>
        <u/>
      </rPr>
      <t>rujiran@sena.co.th</t>
    </r>
  </si>
  <si>
    <t>SN:MP2E2VRW</t>
  </si>
  <si>
    <r>
      <rPr>
        <rFont val="&quot;Angsana New&quot;, serif"/>
        <color rgb="FF1155CC"/>
        <sz val="12.0"/>
        <u/>
      </rPr>
      <t>Ekapons@sena.co.th</t>
    </r>
  </si>
  <si>
    <r>
      <rPr>
        <rFont val="&quot;Angsana New&quot;, serif"/>
        <color rgb="FF1155CC"/>
        <sz val="12.0"/>
        <u/>
      </rPr>
      <t>Supanats@sena.co.th</t>
    </r>
  </si>
  <si>
    <t>มี Licence</t>
  </si>
  <si>
    <t>ไม่มี LC</t>
  </si>
  <si>
    <r>
      <rPr>
        <rFont val="&quot;Angsana New&quot;, serif"/>
        <color rgb="FF1155CC"/>
        <sz val="12.0"/>
        <u/>
      </rPr>
      <t>Sittichaid@sena.co.th</t>
    </r>
  </si>
  <si>
    <t>HO2C01004GPH</t>
  </si>
  <si>
    <t>รวมสำนักงานใหญ่</t>
  </si>
  <si>
    <r>
      <rPr>
        <rFont val="&quot;Angsana New&quot;, serif"/>
        <color rgb="FF1155CC"/>
        <sz val="12.0"/>
        <u/>
      </rPr>
      <t>Ponwits@sena.co.th</t>
    </r>
  </si>
  <si>
    <t>HO0007072C0029</t>
  </si>
  <si>
    <t>HP Ultrium Universal Cleaning Cartridge (ติดตั้งในห้อง Server)</t>
  </si>
  <si>
    <r>
      <rPr>
        <rFont val="&quot;Angsana New&quot;, serif"/>
        <color rgb="FF1155CC"/>
        <sz val="12.0"/>
        <u/>
      </rPr>
      <t>Sooksunb@sena.co.th</t>
    </r>
  </si>
  <si>
    <t>HO0036073M0012</t>
  </si>
  <si>
    <r>
      <rPr>
        <rFont val="&quot;Angsana New&quot;, serif"/>
        <color rgb="FF1155CC"/>
        <sz val="12.0"/>
        <u/>
      </rPr>
      <t>chayapols@sena.co.th</t>
    </r>
  </si>
  <si>
    <t>Update 26-11-2025</t>
  </si>
  <si>
    <r>
      <rPr>
        <rFont val="&quot;Angsana New&quot;, serif"/>
        <color rgb="FF1155CC"/>
        <sz val="12.0"/>
        <u/>
      </rPr>
      <t>Wanniks@sena.co.th</t>
    </r>
  </si>
  <si>
    <r>
      <rPr>
        <rFont val="&quot;Angsana New&quot;, serif"/>
        <color rgb="FF1155CC"/>
        <sz val="12.0"/>
        <u/>
      </rPr>
      <t>Porametk@sena.co.th</t>
    </r>
  </si>
  <si>
    <r>
      <rPr>
        <rFont val="&quot;Angsana New&quot;, serif"/>
        <color rgb="FF1155CC"/>
        <sz val="12.0"/>
        <u/>
      </rPr>
      <t>Chanonk@sena.co.th</t>
    </r>
  </si>
  <si>
    <r>
      <rPr>
        <rFont val="&quot;Angsana New&quot;, serif"/>
        <color rgb="FF1155CC"/>
        <sz val="12.0"/>
        <u/>
      </rPr>
      <t>Jaratw@sena.co.th</t>
    </r>
  </si>
  <si>
    <r>
      <rPr>
        <rFont val="&quot;Angsana New&quot;, serif"/>
        <color rgb="FF1155CC"/>
        <sz val="12.0"/>
        <u/>
      </rPr>
      <t>Siripornt@sena.co.th</t>
    </r>
  </si>
  <si>
    <t>HO0022072C0005</t>
  </si>
  <si>
    <r>
      <rPr>
        <rFont val="&quot;Angsana New&quot;, serif"/>
        <color rgb="FF1155CC"/>
        <sz val="12.0"/>
        <u/>
      </rPr>
      <t>Vichate_it@sena.co.th</t>
    </r>
  </si>
  <si>
    <t>HO0036072N0020</t>
  </si>
  <si>
    <r>
      <rPr>
        <rFont val="&quot;Angsana New&quot;, serif"/>
        <color rgb="FF1155CC"/>
        <sz val="12.0"/>
        <u/>
      </rPr>
      <t>ratsib@sena.co.th</t>
    </r>
  </si>
  <si>
    <t>SN:MP2EJ7GW</t>
  </si>
  <si>
    <r>
      <rPr>
        <rFont val="&quot;Angsana New&quot;, serif"/>
        <color rgb="FF1155CC"/>
        <sz val="12.0"/>
        <u/>
      </rPr>
      <t>Tanisony@sena.co.th</t>
    </r>
  </si>
  <si>
    <r>
      <rPr>
        <rFont val="&quot;Angsana New&quot;, serif"/>
        <color rgb="FF1155CC"/>
        <sz val="12.0"/>
        <u/>
      </rPr>
      <t>Adinuna@sena.co.th</t>
    </r>
  </si>
  <si>
    <r>
      <rPr>
        <rFont val="&quot;Angsana New&quot;, serif"/>
        <color rgb="FF1155CC"/>
        <sz val="12.0"/>
        <u/>
      </rPr>
      <t>Thanasaks@sena.co.th</t>
    </r>
  </si>
  <si>
    <r>
      <rPr>
        <rFont val="&quot;Angsana New&quot;, serif"/>
        <color rgb="FF1155CC"/>
        <sz val="12.0"/>
        <u/>
      </rPr>
      <t>Nattapongm@sena.co.th</t>
    </r>
  </si>
  <si>
    <r>
      <rPr>
        <rFont val="&quot;Angsana New&quot;, serif"/>
        <color rgb="FF1155CC"/>
        <sz val="12.0"/>
        <u/>
      </rPr>
      <t>Manits@sena.co.th</t>
    </r>
  </si>
  <si>
    <t>Programmer</t>
  </si>
  <si>
    <r>
      <rPr>
        <rFont val="&quot;Angsana New&quot;, serif"/>
        <color rgb="FF1155CC"/>
        <sz val="12.0"/>
        <u/>
      </rPr>
      <t>Watcharink@sena.co.th</t>
    </r>
  </si>
  <si>
    <r>
      <rPr>
        <rFont val="&quot;Angsana New&quot;, serif"/>
        <color rgb="FF1155CC"/>
        <sz val="12.0"/>
        <u/>
      </rPr>
      <t>Pasitl@sena.co.th</t>
    </r>
  </si>
  <si>
    <r>
      <rPr>
        <rFont val="Calibri, sans-serif"/>
        <color rgb="FF1155CC"/>
        <sz val="12.0"/>
        <u/>
      </rPr>
      <t>karnc@sena.co.th</t>
    </r>
  </si>
  <si>
    <r>
      <rPr>
        <rFont val="&quot;Angsana New&quot;, serif"/>
        <color rgb="FF1155CC"/>
        <sz val="12.0"/>
        <u/>
      </rPr>
      <t>chanetw@sena.co.th</t>
    </r>
  </si>
  <si>
    <t>Product Specialis</t>
  </si>
  <si>
    <r>
      <rPr>
        <rFont val="&quot;Angsana New&quot;, serif"/>
        <color rgb="FF1155CC"/>
        <sz val="12.0"/>
        <u/>
      </rPr>
      <t>thanongsakn@sena.co.th</t>
    </r>
  </si>
  <si>
    <r>
      <rPr>
        <rFont val="&quot;Angsana New&quot;, serif"/>
        <color rgb="FF1155CC"/>
        <sz val="12.0"/>
        <u/>
      </rPr>
      <t>saranyat@sena.co.th</t>
    </r>
  </si>
  <si>
    <t>จัดซื้อ</t>
  </si>
  <si>
    <r>
      <rPr>
        <rFont val="&quot;Angsana New&quot;, serif"/>
        <color rgb="FF1155CC"/>
        <sz val="12.0"/>
        <u/>
      </rPr>
      <t>Tassanaim@sena.co.th</t>
    </r>
  </si>
  <si>
    <t>HO2C01005PUR</t>
  </si>
  <si>
    <r>
      <rPr>
        <rFont val="&quot;Angsana New&quot;, serif"/>
        <color rgb="FF1155CC"/>
        <sz val="12.0"/>
        <u/>
      </rPr>
      <t>bunyarithac@sena.co.th</t>
    </r>
  </si>
  <si>
    <t>Kwanchanokm@sena.co.th</t>
  </si>
  <si>
    <r>
      <rPr>
        <rFont val="&quot;Angsana New&quot;, serif"/>
        <color rgb="FF1155CC"/>
        <sz val="12.0"/>
        <u/>
      </rPr>
      <t>Poonyanuchp@sena.co.th</t>
    </r>
  </si>
  <si>
    <t>SXCNK072C0032</t>
  </si>
  <si>
    <r>
      <rPr>
        <rFont val="&quot;Angsana New&quot;, serif"/>
        <color rgb="FF1155CC"/>
        <sz val="12.0"/>
        <u/>
      </rPr>
      <t>napalaij@sena.co.th</t>
    </r>
  </si>
  <si>
    <r>
      <rPr>
        <rFont val="&quot;Angsana New&quot;, serif"/>
        <color rgb="FF1155CC"/>
        <sz val="12.0"/>
        <u/>
      </rPr>
      <t>Anusarak@sena.co.th</t>
    </r>
  </si>
  <si>
    <r>
      <rPr>
        <rFont val="&quot;Angsana New&quot;, serif"/>
        <color rgb="FF1155CC"/>
        <sz val="12.0"/>
        <u/>
      </rPr>
      <t>nareeratk@sena.co.th</t>
    </r>
  </si>
  <si>
    <r>
      <rPr>
        <rFont val="&quot;Angsana New&quot;, serif"/>
        <color rgb="FF1155CC"/>
        <sz val="12.0"/>
        <u/>
      </rPr>
      <t>Jariyas@sena.co.th</t>
    </r>
  </si>
  <si>
    <r>
      <rPr>
        <rFont val="&quot;Angsana New&quot;, serif"/>
        <color rgb="FF1155CC"/>
        <sz val="12.0"/>
        <u/>
      </rPr>
      <t>Leelavadeeu@sena.co.th</t>
    </r>
  </si>
  <si>
    <t>SALNM8H012C0001</t>
  </si>
  <si>
    <r>
      <rPr>
        <rFont val="&quot;Angsana New&quot;, serif"/>
        <color rgb="FF1155CC"/>
        <sz val="12.0"/>
        <u/>
      </rPr>
      <t>Laddaj@sena.co.th</t>
    </r>
  </si>
  <si>
    <r>
      <rPr>
        <rFont val="&quot;Angsana New&quot;, serif"/>
        <color rgb="FF1155CC"/>
        <sz val="12.0"/>
        <u/>
      </rPr>
      <t>Prapassornp@sena.co.th</t>
    </r>
  </si>
  <si>
    <t>พนักงานธุรการฝ่าย</t>
  </si>
  <si>
    <r>
      <rPr>
        <rFont val="&quot;Angsana New&quot;, serif"/>
        <color rgb="FF1155CC"/>
        <sz val="12.0"/>
        <u/>
      </rPr>
      <t>Sirinapac@sena.co.th</t>
    </r>
  </si>
  <si>
    <t>ห่วงโซ่อุปทาน</t>
  </si>
  <si>
    <r>
      <rPr>
        <rFont val="&quot;Angsana New&quot;, serif"/>
        <color rgb="FF1155CC"/>
        <sz val="12.0"/>
        <u/>
      </rPr>
      <t>virongrongp@sena.co.th</t>
    </r>
  </si>
  <si>
    <r>
      <rPr>
        <rFont val="&quot;Angsana New&quot;, serif"/>
        <color rgb="FF1155CC"/>
        <sz val="12.0"/>
        <u/>
      </rPr>
      <t>Winaip@sena.co.th</t>
    </r>
  </si>
  <si>
    <r>
      <rPr>
        <rFont val="&quot;Angsana New&quot;, serif"/>
        <color rgb="FF1155CC"/>
        <sz val="12.0"/>
        <u/>
      </rPr>
      <t>pattarapona@sena.co.th</t>
    </r>
  </si>
  <si>
    <t>CON2PHUT7072N0001</t>
  </si>
  <si>
    <r>
      <rPr>
        <rFont val="&quot;Angsana New&quot;, serif"/>
        <color rgb="FF1155CC"/>
        <sz val="12.0"/>
        <u/>
      </rPr>
      <t>Yuwateweek@sena.co.th</t>
    </r>
  </si>
  <si>
    <t>บริหารธุรกิจโซลาร์</t>
  </si>
  <si>
    <t>wasinp@@senasolarenergy.com</t>
  </si>
  <si>
    <t>SN:MP2EJ7LT</t>
  </si>
  <si>
    <t>มณฑาทิพย์</t>
  </si>
  <si>
    <t>เทศเล็ก</t>
  </si>
  <si>
    <r>
      <rPr>
        <rFont val="&quot;Angsana New&quot;, serif"/>
        <color rgb="FF1155CC"/>
        <sz val="12.0"/>
        <u/>
      </rPr>
      <t>monthathip@senasolarenergy.com</t>
    </r>
  </si>
  <si>
    <r>
      <rPr>
        <rFont val="&quot;Angsana New&quot;, serif"/>
        <color rgb="FF1155CC"/>
        <sz val="12.0"/>
        <u/>
      </rPr>
      <t>Amnadp@sena.co.th</t>
    </r>
  </si>
  <si>
    <t>angcanaj@sena.co.th</t>
  </si>
  <si>
    <t>CONHO012C0076</t>
  </si>
  <si>
    <r>
      <rPr>
        <rFont val="&quot;Angsana New&quot;, serif"/>
        <color rgb="FF1155CC"/>
        <sz val="12.0"/>
        <u/>
      </rPr>
      <t>Watchanasaks@senasolarenergy.com</t>
    </r>
  </si>
  <si>
    <t>ADMHO012C0022</t>
  </si>
  <si>
    <r>
      <rPr>
        <rFont val="&quot;Angsana New&quot;, serif"/>
        <color rgb="FF1155CC"/>
        <sz val="12.0"/>
        <u/>
      </rPr>
      <t>Phichayap@sena.co.th</t>
    </r>
  </si>
  <si>
    <t>SN:C1QD314</t>
  </si>
  <si>
    <t>หัวหน้าแผนกคลังสินค้า</t>
  </si>
  <si>
    <r>
      <rPr>
        <rFont val="&quot;Angsana New&quot;, serif"/>
        <color rgb="FF1155CC"/>
        <sz val="12.0"/>
        <u/>
      </rPr>
      <t>Rungsak@senasolarenergy.com</t>
    </r>
  </si>
  <si>
    <r>
      <rPr>
        <rFont val="&quot;Angsana New&quot;, serif"/>
        <color rgb="FF1155CC"/>
        <sz val="12.0"/>
        <u/>
      </rPr>
      <t>Natramons@senasolarenergy.com</t>
    </r>
  </si>
  <si>
    <t>เพ็ชรภักดี</t>
  </si>
  <si>
    <r>
      <rPr>
        <rFont val="&quot;Angsana New&quot;, serif"/>
        <color rgb="FF1155CC"/>
        <sz val="12.0"/>
        <u/>
      </rPr>
      <t>Warinp@senasolarenergy.com</t>
    </r>
  </si>
  <si>
    <r>
      <rPr>
        <rFont val="&quot;Angsana New&quot;, serif"/>
        <color rgb="FF1155CC"/>
        <sz val="12.0"/>
        <u/>
      </rPr>
      <t>Nattikanc@senasolarenergy.com</t>
    </r>
  </si>
  <si>
    <r>
      <rPr>
        <rFont val="&quot;Angsana New&quot;, serif"/>
        <color rgb="FF1155CC"/>
        <sz val="12.0"/>
        <u/>
      </rPr>
      <t>Pongpatt@senasolarenergy.com</t>
    </r>
  </si>
  <si>
    <r>
      <rPr>
        <rFont val="&quot;Angsana New&quot;, serif"/>
        <color rgb="FF1155CC"/>
        <sz val="12.0"/>
        <u/>
      </rPr>
      <t>Keeratia@senasolarenergy.com</t>
    </r>
  </si>
  <si>
    <r>
      <rPr>
        <rFont val="&quot;Angsana New&quot;, serif"/>
        <color rgb="FF1155CC"/>
        <sz val="12.0"/>
        <u/>
      </rPr>
      <t>Arthit@senasolarenergy.com</t>
    </r>
  </si>
  <si>
    <t>HO0002072N0003</t>
  </si>
  <si>
    <r>
      <rPr>
        <rFont val="&quot;Angsana New&quot;, serif"/>
        <color rgb="FF1155CC"/>
        <sz val="12.0"/>
        <u/>
      </rPr>
      <t>Varit@senasolarenergy.com</t>
    </r>
  </si>
  <si>
    <r>
      <rPr>
        <rFont val="&quot;Angsana New&quot;, serif"/>
        <color rgb="FF1155CC"/>
        <sz val="12.0"/>
        <u/>
      </rPr>
      <t>Sakdinans@senasolarenergy.com</t>
    </r>
  </si>
  <si>
    <t>HO0002072N0004</t>
  </si>
  <si>
    <r>
      <rPr>
        <rFont val="&quot;Angsana New&quot;, serif"/>
        <color rgb="FF1155CC"/>
        <sz val="12.0"/>
        <u/>
      </rPr>
      <t>Supiand@senasolarenergy.com</t>
    </r>
  </si>
  <si>
    <r>
      <rPr>
        <rFont val="&quot;Angsana New&quot;, serif"/>
        <color rgb="FF1155CC"/>
        <sz val="12.0"/>
        <u/>
      </rPr>
      <t>Pannawats@senasolarenergy.com</t>
    </r>
  </si>
  <si>
    <t>SN:JXBHKZ3</t>
  </si>
  <si>
    <t>พนักงานคลังสินค้า</t>
  </si>
  <si>
    <r>
      <rPr>
        <rFont val="&quot;Angsana New&quot;, serif"/>
        <color rgb="FF1155CC"/>
        <sz val="12.0"/>
        <u/>
      </rPr>
      <t>Saysunee@senasolarenergy.com</t>
    </r>
  </si>
  <si>
    <t>HO2C01008SAL</t>
  </si>
  <si>
    <r>
      <rPr>
        <rFont val="&quot;Angsana New&quot;, serif"/>
        <color rgb="FF1155CC"/>
        <sz val="12.0"/>
        <u/>
      </rPr>
      <t>panumast@senagreenautomotive.com</t>
    </r>
  </si>
  <si>
    <t>SN:MP2E2VRV</t>
  </si>
  <si>
    <r>
      <rPr>
        <rFont val="&quot;Angsana New&quot;, serif"/>
        <color rgb="FF1155CC"/>
        <sz val="12.0"/>
        <u/>
      </rPr>
      <t>Pakorns@senagreenautomotive.com</t>
    </r>
  </si>
  <si>
    <t>SN:4XYNPY3</t>
  </si>
  <si>
    <t>หัวหน้าลูกค้าสัมพันธ์</t>
  </si>
  <si>
    <r>
      <rPr>
        <rFont val="&quot;Angsana New&quot;, serif"/>
        <color rgb="FF1155CC"/>
        <sz val="12.0"/>
        <u/>
      </rPr>
      <t>Areeyad@senagreenautomotive.com</t>
    </r>
  </si>
  <si>
    <t>SN:3ZYNPY3</t>
  </si>
  <si>
    <r>
      <rPr>
        <rFont val="&quot;Angsana New&quot;, serif"/>
        <color rgb="FF1155CC"/>
        <sz val="12.0"/>
        <u/>
      </rPr>
      <t>Piyanutc@senagreenautomotive.com</t>
    </r>
  </si>
  <si>
    <t>SN:PF39FX48</t>
  </si>
  <si>
    <r>
      <rPr>
        <rFont val="&quot;Angsana New&quot;, serif"/>
        <color rgb="FF1155CC"/>
        <sz val="12.0"/>
        <u/>
      </rPr>
      <t>Supawadeek@sena.co.th</t>
    </r>
  </si>
  <si>
    <r>
      <rPr>
        <rFont val="&quot;Angsana New&quot;, serif"/>
        <color rgb="FF1155CC"/>
        <sz val="12.0"/>
        <u/>
      </rPr>
      <t>Sivapornvasuvees@senagreenautomotive.com</t>
    </r>
  </si>
  <si>
    <t>ตรวจสอบภายใน</t>
  </si>
  <si>
    <r>
      <rPr>
        <rFont val="&quot;Angsana New&quot;, serif"/>
        <color rgb="FF1155CC"/>
        <sz val="12.0"/>
        <u/>
      </rPr>
      <t>Pavipatm@sena.co.th</t>
    </r>
  </si>
  <si>
    <t>HO0025072C0004</t>
  </si>
  <si>
    <r>
      <rPr>
        <rFont val="&quot;Angsana New&quot;, serif"/>
        <color rgb="FF1155CC"/>
        <sz val="12.0"/>
        <u/>
      </rPr>
      <t>Chuwitpr@sena.co.th</t>
    </r>
  </si>
  <si>
    <r>
      <rPr>
        <rFont val="&quot;Angsana New&quot;, serif"/>
        <color rgb="FF1155CC"/>
        <sz val="12.0"/>
        <u/>
      </rPr>
      <t>Kittisans@sena.co.th</t>
    </r>
  </si>
  <si>
    <t>HO0005072C0036</t>
  </si>
  <si>
    <t>เจ้าหน้าที่ตรวจสอบภายในอาวุโส</t>
  </si>
  <si>
    <t>Suwaphatk@sena.co.th</t>
  </si>
  <si>
    <r>
      <rPr>
        <rFont val="&quot;Angsana New&quot;, serif"/>
        <color rgb="FF1155CC"/>
        <sz val="12.0"/>
        <u/>
      </rPr>
      <t>Tharatept@sena.co.th</t>
    </r>
  </si>
  <si>
    <t>HO0038072C0002</t>
  </si>
  <si>
    <r>
      <rPr>
        <rFont val="&quot;Angsana New&quot;, serif"/>
        <color rgb="FF1155CC"/>
        <sz val="12.0"/>
        <u/>
      </rPr>
      <t>Pavitp@sena.co.th</t>
    </r>
  </si>
  <si>
    <r>
      <rPr>
        <rFont val="&quot;Angsana New&quot;, serif"/>
        <color rgb="FF1155CC"/>
        <sz val="12.0"/>
        <u/>
      </rPr>
      <t>Anongwand@sena.co.th</t>
    </r>
  </si>
  <si>
    <t>เจ้าหน้าที่ตรวจสอบภายใน</t>
  </si>
  <si>
    <r>
      <rPr>
        <rFont val="&quot;Angsana New&quot;, serif"/>
        <color rgb="FF1155CC"/>
        <sz val="12.0"/>
        <u/>
      </rPr>
      <t>Thanatipt@sena.co.th</t>
    </r>
  </si>
  <si>
    <t>จัดสรรเงินและการลงทุน</t>
  </si>
  <si>
    <r>
      <rPr>
        <rFont val="&quot;Angsana New&quot;, serif"/>
        <color rgb="FF1155CC"/>
        <sz val="12.0"/>
        <u/>
      </rPr>
      <t>Kanitk@sena.co.th</t>
    </r>
  </si>
  <si>
    <r>
      <rPr>
        <rFont val="&quot;Angsana New&quot;, serif"/>
        <color rgb="FF1155CC"/>
        <sz val="12.0"/>
        <u/>
      </rPr>
      <t>Tanakorns@sena.co.th</t>
    </r>
  </si>
  <si>
    <r>
      <rPr>
        <rFont val="&quot;Angsana New&quot;, serif"/>
        <color rgb="FF1155CC"/>
        <sz val="12.0"/>
        <u/>
      </rPr>
      <t>anusaras@sena.co.th</t>
    </r>
  </si>
  <si>
    <t>สุขเอี่ยม</t>
  </si>
  <si>
    <t>HO0036072C0034</t>
  </si>
  <si>
    <r>
      <rPr>
        <rFont val="&quot;Angsana New&quot;, serif"/>
        <color rgb="FF1155CC"/>
        <sz val="12.0"/>
        <u/>
      </rPr>
      <t>Possawatts@sena.co.th</t>
    </r>
  </si>
  <si>
    <r>
      <rPr>
        <rFont val="&quot;Angsana New&quot;, serif"/>
        <color rgb="FF1155CC"/>
        <sz val="12.0"/>
        <u/>
      </rPr>
      <t>Kanittaj@sena.co.th</t>
    </r>
  </si>
  <si>
    <t>HO0036072C0087</t>
  </si>
  <si>
    <r>
      <rPr>
        <rFont val="&quot;Angsana New&quot;, serif"/>
        <color rgb="FF1155CC"/>
        <sz val="12.0"/>
        <u/>
      </rPr>
      <t>Sirilukm@sena.co.th</t>
    </r>
  </si>
  <si>
    <r>
      <rPr>
        <rFont val="&quot;Angsana New&quot;, serif"/>
        <color rgb="FF1155CC"/>
        <sz val="12.0"/>
        <u/>
      </rPr>
      <t>Preamyudar@sena.co.th</t>
    </r>
  </si>
  <si>
    <r>
      <rPr>
        <rFont val="&quot;Angsana New&quot;, serif"/>
        <color rgb="FF1155CC"/>
        <sz val="12.0"/>
        <u/>
      </rPr>
      <t>phutthiphongk@senxgroup.com</t>
    </r>
  </si>
  <si>
    <t>SN:5FD0HY3</t>
  </si>
  <si>
    <r>
      <rPr>
        <rFont val="&quot;Angsana New&quot;, serif"/>
        <color rgb="FF1155CC"/>
        <sz val="12.0"/>
        <u/>
      </rPr>
      <t>Sukontak@sena.co.th</t>
    </r>
  </si>
  <si>
    <t>FINRHO072C0007</t>
  </si>
  <si>
    <r>
      <rPr>
        <rFont val="&quot;Angsana New&quot;, serif"/>
        <color rgb="FF1155CC"/>
        <sz val="12.0"/>
        <u/>
      </rPr>
      <t>Wannisah@sena.co.th</t>
    </r>
  </si>
  <si>
    <t>เจ้าหน้าที่กำกับดูแลกิจการอาวุโส</t>
  </si>
  <si>
    <t>Tavaratt@sena.co.th</t>
  </si>
  <si>
    <r>
      <rPr>
        <rFont val="&quot;Angsana New&quot;, serif"/>
        <color rgb="FF1155CC"/>
        <sz val="12.0"/>
        <u/>
      </rPr>
      <t>Panitab@sena.co.th</t>
    </r>
  </si>
  <si>
    <t>HO0036072C0030</t>
  </si>
  <si>
    <r>
      <rPr>
        <rFont val="&quot;Angsana New&quot;, serif"/>
        <color rgb="FF1155CC"/>
        <sz val="12.0"/>
        <u/>
      </rPr>
      <t>Patchareeyak@sena.co.th</t>
    </r>
  </si>
  <si>
    <t>Finance Business Partner อาวุโส</t>
  </si>
  <si>
    <r>
      <rPr>
        <rFont val="&quot;Angsana New&quot;, serif"/>
        <color rgb="FF1155CC"/>
        <sz val="12.0"/>
        <u/>
      </rPr>
      <t>Kantapongb@sena.co.th</t>
    </r>
  </si>
  <si>
    <r>
      <rPr>
        <rFont val="&quot;Angsana New&quot;, serif"/>
        <color rgb="FF1155CC"/>
        <sz val="12.0"/>
        <u/>
      </rPr>
      <t>Wannipaw@sena.co.th</t>
    </r>
  </si>
  <si>
    <r>
      <rPr>
        <rFont val="&quot;Angsana New&quot;, serif"/>
        <color rgb="FF1155CC"/>
        <sz val="12.0"/>
        <u/>
      </rPr>
      <t>Natchayaa@sena.co.th</t>
    </r>
  </si>
  <si>
    <t>HO0025072C0003</t>
  </si>
  <si>
    <t>SN:MP2EJ2X8</t>
  </si>
  <si>
    <t>HO0031072C0003</t>
  </si>
  <si>
    <r>
      <rPr>
        <rFont val="&quot;Angsana New&quot;, serif"/>
        <color rgb="FF1155CC"/>
        <sz val="12.0"/>
        <u/>
      </rPr>
      <t>Thanaporns@sena.co.th</t>
    </r>
  </si>
  <si>
    <r>
      <rPr>
        <rFont val="&quot;Angsana New&quot;, serif"/>
        <color rgb="FF1155CC"/>
        <sz val="12.0"/>
        <u/>
      </rPr>
      <t>sukanyach@sena.co.th</t>
    </r>
  </si>
  <si>
    <t>CONHO012C0039</t>
  </si>
  <si>
    <r>
      <rPr>
        <rFont val="&quot;Angsana New&quot;, serif"/>
        <color rgb="FF1155CC"/>
        <sz val="12.0"/>
        <u/>
      </rPr>
      <t>Nuntawan@sena.co.th</t>
    </r>
  </si>
  <si>
    <t>MGPHO072C0002</t>
  </si>
  <si>
    <t>ผู้ชำนาญการ 2 (ฝ่ายกำกับราคาขาย-ข้อมูลระบบ) SPS</t>
  </si>
  <si>
    <t>ผู้ช่วยผู้จัดการ (ฝ่ายบริหารเรื่องร้องเรียนลูกค้า) CMD</t>
  </si>
  <si>
    <r>
      <rPr>
        <rFont val="&quot;Angsana New&quot;, serif"/>
        <color rgb="FF1155CC"/>
        <sz val="12.0"/>
        <u/>
      </rPr>
      <t>Isarapornj@sena.co.th</t>
    </r>
  </si>
  <si>
    <t>ผู้ช่วยผู้จัดการ (ฝ่ายกำกับราคาขาย-ข้อมูลระบบ) SPS</t>
  </si>
  <si>
    <r>
      <rPr>
        <rFont val="&quot;Angsana New&quot;, serif"/>
        <color rgb="FF1155CC"/>
        <sz val="12.0"/>
        <u/>
      </rPr>
      <t>Prathanac@sena.co.th</t>
    </r>
  </si>
  <si>
    <t>HO0036072C0023</t>
  </si>
  <si>
    <t>หัวหน้าแผนก (แผนกกำกับนโยบาย 1) PSD</t>
  </si>
  <si>
    <t>SN:MP2EHYDL</t>
  </si>
  <si>
    <t>หัวหน้าแผนก (แผนกกำกับราคาขาย-ข้อมูลระบบ) SPS</t>
  </si>
  <si>
    <t>รองหัวหน้าแผนก (แผนกกำกับราคาขาย-ข้อมูลระบบ) SPS</t>
  </si>
  <si>
    <r>
      <rPr>
        <rFont val="&quot;Angsana New&quot;, serif"/>
        <color rgb="FF1155CC"/>
        <sz val="12.0"/>
        <u/>
      </rPr>
      <t>Siriratc@sena.co.th</t>
    </r>
  </si>
  <si>
    <t>รองหัวหน้าแผนก (แผนกกำกับนโยบาย 2) PSD</t>
  </si>
  <si>
    <r>
      <rPr>
        <rFont val="&quot;Angsana New&quot;, serif"/>
        <color rgb="FF1155CC"/>
        <sz val="12.0"/>
        <u/>
      </rPr>
      <t>Yuwathidap@sena.co.th</t>
    </r>
  </si>
  <si>
    <t>เจ้าหน้าที่ประสานงานโครงการอาวุโส (แผนก Rent to Own) RTO</t>
  </si>
  <si>
    <r>
      <rPr>
        <rFont val="&quot;Angsana New&quot;, serif"/>
        <color rgb="FF1155CC"/>
        <sz val="12.0"/>
        <u/>
      </rPr>
      <t>Nattikans@sena.co.th</t>
    </r>
  </si>
  <si>
    <t>เจ้าหน้าที่ประสานงานนโยบาย (แผนกกำกับนโยบาย 1) PSD</t>
  </si>
  <si>
    <r>
      <rPr>
        <rFont val="&quot;Angsana New&quot;, serif"/>
        <color rgb="FF1155CC"/>
        <sz val="12.0"/>
        <u/>
      </rPr>
      <t>Sureewans@sena.co.th</t>
    </r>
  </si>
  <si>
    <t>เจ้าหน้าที่ประสานงานโครงการ (แผนกกำกับราคาขาย-ข้อมูลระบบ) SPS</t>
  </si>
  <si>
    <r>
      <rPr>
        <rFont val="&quot;Angsana New&quot;, serif"/>
        <color rgb="FF1155CC"/>
        <sz val="12.0"/>
        <u/>
      </rPr>
      <t>Wararatj@sena.co.th</t>
    </r>
  </si>
  <si>
    <t>บัญชี-การเงินของ SEN-X</t>
  </si>
  <si>
    <t>COMMHO072C0005</t>
  </si>
  <si>
    <r>
      <rPr>
        <rFont val="&quot;Angsana New&quot;, serif"/>
        <color rgb="FF1155CC"/>
        <sz val="12.0"/>
        <u/>
      </rPr>
      <t>Sasinanw@senxgroup.com</t>
    </r>
  </si>
  <si>
    <t>ผู้จัดการบัญชีต้นทุน</t>
  </si>
  <si>
    <r>
      <rPr>
        <rFont val="&quot;Angsana New&quot;, serif"/>
        <color rgb="FF1155CC"/>
        <sz val="12.0"/>
        <u/>
      </rPr>
      <t>sunitrac@senxgroup.com</t>
    </r>
  </si>
  <si>
    <r>
      <rPr>
        <rFont val="&quot;Angsana New&quot;, serif"/>
        <color rgb="FF1155CC"/>
        <sz val="12.0"/>
        <u/>
      </rPr>
      <t>Kwanrudeed@senxgroup.com</t>
    </r>
  </si>
  <si>
    <t>HO0036072C0102</t>
  </si>
  <si>
    <r>
      <rPr>
        <rFont val="&quot;Angsana New&quot;, serif"/>
        <color rgb="FF1155CC"/>
        <sz val="12.0"/>
        <u/>
      </rPr>
      <t>Suvareec@senxgroup.com</t>
    </r>
  </si>
  <si>
    <r>
      <rPr>
        <rFont val="&quot;Angsana New&quot;, serif"/>
        <color rgb="FF1155CC"/>
        <sz val="12.0"/>
        <u/>
      </rPr>
      <t>Jomkwans@senxgroup.com</t>
    </r>
  </si>
  <si>
    <r>
      <rPr>
        <rFont val="&quot;Angsana New&quot;, serif"/>
        <color rgb="FF1155CC"/>
        <sz val="12.0"/>
        <u/>
      </rPr>
      <t>chayananp@senxgroup.com</t>
    </r>
  </si>
  <si>
    <r>
      <rPr>
        <rFont val="&quot;Angsana New&quot;, serif"/>
        <color rgb="FF1155CC"/>
        <sz val="12.0"/>
        <u/>
      </rPr>
      <t>churairatp@senxgroup.com</t>
    </r>
  </si>
  <si>
    <r>
      <rPr>
        <rFont val="&quot;Angsana New&quot;, serif"/>
        <color rgb="FF1155CC"/>
        <sz val="12.0"/>
        <u/>
      </rPr>
      <t>nantanitg@senxgroup.com</t>
    </r>
  </si>
  <si>
    <r>
      <rPr>
        <rFont val="&quot;Angsana New&quot;, serif"/>
        <color rgb="FF1155CC"/>
        <sz val="12.0"/>
        <u/>
      </rPr>
      <t>kanyapatp@senxgroup.com</t>
    </r>
  </si>
  <si>
    <r>
      <rPr>
        <rFont val="&quot;Angsana New&quot;, serif"/>
        <color rgb="FF1155CC"/>
        <sz val="12.0"/>
        <u/>
      </rPr>
      <t>Phatchareer@senxgroup.com</t>
    </r>
  </si>
  <si>
    <t>เจ้าหน้าที่บัญชีเจ้าหนี้(ผู้รับเหมา)</t>
  </si>
  <si>
    <r>
      <rPr>
        <rFont val="&quot;Angsana New&quot;, serif"/>
        <color rgb="FF1155CC"/>
        <sz val="12.0"/>
        <u/>
      </rPr>
      <t>Suphattrat@senxgroup.com</t>
    </r>
  </si>
  <si>
    <t>สุวรรณจักร์</t>
  </si>
  <si>
    <t>พนักงานบัญชีเจ้าหนี้(ผู้รับเหมา)</t>
  </si>
  <si>
    <r>
      <rPr>
        <rFont val="&quot;Angsana New&quot;, serif"/>
        <color rgb="FF1155CC"/>
        <sz val="12.0"/>
        <u/>
      </rPr>
      <t>Papussorns@senxgroup.com</t>
    </r>
  </si>
  <si>
    <r>
      <rPr>
        <rFont val="&quot;Angsana New&quot;, serif"/>
        <color rgb="FF1155CC"/>
        <sz val="12.0"/>
        <u/>
      </rPr>
      <t>Rotjanal@senxgroup.com</t>
    </r>
  </si>
  <si>
    <r>
      <rPr>
        <rFont val="&quot;Angsana New&quot;, serif"/>
        <color rgb="FF1155CC"/>
        <sz val="12.0"/>
        <u/>
      </rPr>
      <t>Punnidaj@senxgroup.com</t>
    </r>
  </si>
  <si>
    <r>
      <rPr>
        <rFont val="&quot;Angsana New&quot;, serif"/>
        <color rgb="FF1155CC"/>
        <sz val="12.0"/>
        <u/>
      </rPr>
      <t>Ampornh@senxgroup.com</t>
    </r>
  </si>
  <si>
    <r>
      <rPr>
        <rFont val="&quot;Angsana New&quot;, serif"/>
        <color rgb="FF1155CC"/>
        <sz val="12.0"/>
        <u/>
      </rPr>
      <t>puthachadc@senxgroup.com</t>
    </r>
  </si>
  <si>
    <r>
      <rPr>
        <rFont val="&quot;Angsana New&quot;, serif"/>
        <color rgb="FF1155CC"/>
        <sz val="12.0"/>
        <u/>
      </rPr>
      <t>Laddawanp@senxgroup.com</t>
    </r>
  </si>
  <si>
    <t>SN:4RRKQ04</t>
  </si>
  <si>
    <t>ผู้จัดการอาคารจอดรถ 536</t>
  </si>
  <si>
    <r>
      <rPr>
        <rFont val="&quot;Angsana New&quot;, serif"/>
        <color rgb="FF1155CC"/>
        <sz val="12.0"/>
        <u/>
      </rPr>
      <t>rattanachadaponm@Senxgroup.com</t>
    </r>
  </si>
  <si>
    <t>SN:HQT2CZ3</t>
  </si>
  <si>
    <t>บัญชีการเงิน ร่วมทุน</t>
  </si>
  <si>
    <r>
      <rPr>
        <rFont val="&quot;Angsana New&quot;, serif"/>
        <color rgb="FF1155CC"/>
        <sz val="12.0"/>
        <u/>
      </rPr>
      <t>Kanlayas@sena.co.th</t>
    </r>
  </si>
  <si>
    <t>Chaleeruts@sena.co.th</t>
  </si>
  <si>
    <r>
      <rPr>
        <rFont val="&quot;Angsana New&quot;, serif"/>
        <color rgb="FF1155CC"/>
        <sz val="12.0"/>
        <u/>
      </rPr>
      <t>Praneep@sena.co.th</t>
    </r>
  </si>
  <si>
    <t>SHY3HOPTH072C0001</t>
  </si>
  <si>
    <t>PT22C01001SAL</t>
  </si>
  <si>
    <t>ผู้ช่วยผู้หัวหน้าแผนก</t>
  </si>
  <si>
    <r>
      <rPr>
        <rFont val="&quot;Angsana New&quot;, serif"/>
        <color rgb="FF1155CC"/>
        <sz val="12.0"/>
        <u/>
      </rPr>
      <t>Jittic@sena.co.th</t>
    </r>
  </si>
  <si>
    <r>
      <rPr>
        <rFont val="&quot;Angsana New&quot;, serif"/>
        <color rgb="FF1155CC"/>
        <sz val="12.0"/>
        <u/>
      </rPr>
      <t>Nuntiyaj@sena.co.th</t>
    </r>
  </si>
  <si>
    <r>
      <rPr>
        <rFont val="&quot;Angsana New&quot;, serif"/>
        <color rgb="FF1155CC"/>
        <sz val="12.0"/>
        <u/>
      </rPr>
      <t>Orayad@sena.co.th</t>
    </r>
  </si>
  <si>
    <r>
      <rPr>
        <rFont val="&quot;Angsana New&quot;, serif"/>
        <color rgb="FF1155CC"/>
        <sz val="12.0"/>
        <u/>
      </rPr>
      <t>Papatsawadees@sena.co.th</t>
    </r>
  </si>
  <si>
    <t>Rapeepongs@sena.co.th</t>
  </si>
  <si>
    <r>
      <rPr>
        <rFont val="&quot;Angsana New&quot;, serif"/>
        <color rgb="FF1155CC"/>
        <sz val="12.0"/>
        <u/>
      </rPr>
      <t>Suwaratw@sena.co.th</t>
    </r>
  </si>
  <si>
    <t>HO0048072C0009</t>
  </si>
  <si>
    <r>
      <rPr>
        <rFont val="&quot;Angsana New&quot;, serif"/>
        <color rgb="FF1155CC"/>
        <sz val="12.0"/>
        <u/>
      </rPr>
      <t>Chaiyap@sena.co.th</t>
    </r>
  </si>
  <si>
    <r>
      <rPr>
        <rFont val="&quot;Angsana New&quot;, serif"/>
        <color rgb="FF1155CC"/>
        <sz val="12.0"/>
        <u/>
      </rPr>
      <t>Nattaphols@sena.co.th</t>
    </r>
  </si>
  <si>
    <t>HO0048072C0014</t>
  </si>
  <si>
    <t>Ninwanat@sena.co.th</t>
  </si>
  <si>
    <r>
      <rPr>
        <rFont val="&quot;Angsana New&quot;, serif"/>
        <color rgb="FF1155CC"/>
        <sz val="12.0"/>
        <u/>
      </rPr>
      <t>atsadayuts@sena.co.th</t>
    </r>
  </si>
  <si>
    <r>
      <rPr>
        <rFont val="&quot;Angsana New&quot;, serif"/>
        <color rgb="FF1155CC"/>
        <sz val="12.0"/>
        <u/>
      </rPr>
      <t>Attapoln@sena.co.th</t>
    </r>
  </si>
  <si>
    <r>
      <rPr>
        <rFont val="&quot;Angsana New&quot;, serif"/>
        <color rgb="FF1155CC"/>
        <sz val="12.0"/>
        <u/>
      </rPr>
      <t>Chaleenaw@sena.co.th</t>
    </r>
  </si>
  <si>
    <r>
      <rPr>
        <rFont val="&quot;Angsana New&quot;, serif"/>
        <color rgb="FF1155CC"/>
        <sz val="12.0"/>
        <u/>
      </rPr>
      <t>Supattras@sena.co.th</t>
    </r>
  </si>
  <si>
    <r>
      <rPr>
        <rFont val="&quot;Angsana New&quot;, serif"/>
        <color rgb="FF1155CC"/>
        <sz val="12.0"/>
        <u/>
      </rPr>
      <t>Arthitn@sena.co.th</t>
    </r>
  </si>
  <si>
    <r>
      <rPr>
        <rFont val="&quot;Angsana New&quot;, serif"/>
        <color rgb="FF1155CC"/>
        <sz val="12.0"/>
        <u/>
      </rPr>
      <t>Suppachaip@sena.co.th</t>
    </r>
  </si>
  <si>
    <r>
      <rPr>
        <rFont val="&quot;Angsana New&quot;, serif"/>
        <color rgb="FF1155CC"/>
        <sz val="12.0"/>
        <u/>
      </rPr>
      <t>Phakawanw@sena.co.th</t>
    </r>
  </si>
  <si>
    <r>
      <rPr>
        <rFont val="&quot;Angsana New&quot;, serif"/>
        <color rgb="FF1155CC"/>
        <sz val="12.0"/>
        <u/>
      </rPr>
      <t>Suwanank@sena.co.th</t>
    </r>
  </si>
  <si>
    <r>
      <rPr>
        <rFont val="&quot;Angsana New&quot;, serif"/>
        <color rgb="FF1155CC"/>
        <sz val="12.0"/>
        <u/>
      </rPr>
      <t>Chompoopunc@sena.co.th</t>
    </r>
  </si>
  <si>
    <r>
      <rPr>
        <rFont val="&quot;Angsana New&quot;, serif"/>
        <color rgb="FF1155CC"/>
        <sz val="12.0"/>
        <u/>
      </rPr>
      <t>Pattaratp@sena.co.th</t>
    </r>
  </si>
  <si>
    <r>
      <rPr>
        <rFont val="&quot;Angsana New&quot;, serif"/>
        <color rgb="FF1155CC"/>
        <sz val="12.0"/>
        <u/>
      </rPr>
      <t>Nutchanantp@sena.co.th</t>
    </r>
  </si>
  <si>
    <r>
      <rPr>
        <rFont val="&quot;Angsana New&quot;, serif"/>
        <color rgb="FF1155CC"/>
        <sz val="12.0"/>
        <u/>
      </rPr>
      <t>Supakarnk@sena.co.th</t>
    </r>
  </si>
  <si>
    <r>
      <rPr>
        <rFont val="&quot;Angsana New&quot;, serif"/>
        <color rgb="FF1155CC"/>
        <sz val="12.0"/>
        <u/>
      </rPr>
      <t>Penpichac@sena.co.th</t>
    </r>
  </si>
  <si>
    <r>
      <rPr>
        <rFont val="&quot;Angsana New&quot;, serif"/>
        <color rgb="FF1155CC"/>
        <sz val="12.0"/>
        <u/>
      </rPr>
      <t>Aujaraporns@sena.co.th</t>
    </r>
  </si>
  <si>
    <r>
      <rPr>
        <rFont val="&quot;Angsana New&quot;, serif"/>
        <color rgb="FF1155CC"/>
        <sz val="12.0"/>
        <u/>
      </rPr>
      <t>Yaphornh@sena.co.th</t>
    </r>
  </si>
  <si>
    <r>
      <rPr>
        <rFont val="&quot;Angsana New&quot;, serif"/>
        <color rgb="FF1155CC"/>
        <sz val="12.0"/>
        <u/>
      </rPr>
      <t>Nantanan@sena.co.th</t>
    </r>
  </si>
  <si>
    <r>
      <rPr>
        <rFont val="&quot;Angsana New&quot;, serif"/>
        <color rgb="FF1155CC"/>
        <sz val="12.0"/>
        <u/>
      </rPr>
      <t>sureepornc@sena.co.th</t>
    </r>
  </si>
  <si>
    <t>กลุ่มงานกฏหมาย</t>
  </si>
  <si>
    <t>Padungchaik@sena.co.th</t>
  </si>
  <si>
    <t>HO2C01017LAW</t>
  </si>
  <si>
    <t>HO2C01003LAW</t>
  </si>
  <si>
    <t>เลขานุการรองกรรมการผู้จดการ</t>
  </si>
  <si>
    <t>HO0015072C0020</t>
  </si>
  <si>
    <t>สัญญาโอนกรรมสิทธิ์</t>
  </si>
  <si>
    <t>ผู้ชำนาญการ2</t>
  </si>
  <si>
    <r>
      <rPr>
        <rFont val="&quot;Angsana New&quot;, serif"/>
        <color rgb="FF1155CC"/>
        <sz val="12.0"/>
        <u/>
      </rPr>
      <t>Jiradjitchayap@sena.co.th</t>
    </r>
  </si>
  <si>
    <t>SN:81QD314</t>
  </si>
  <si>
    <r>
      <rPr>
        <rFont val="&quot;Angsana New&quot;, serif"/>
        <color rgb="FF1155CC"/>
        <sz val="12.0"/>
        <u/>
      </rPr>
      <t>Kanjanah@sena.co.th</t>
    </r>
  </si>
  <si>
    <t>Athichockw@sena.co.th</t>
  </si>
  <si>
    <t>SN:HZPD314</t>
  </si>
  <si>
    <r>
      <rPr>
        <rFont val="&quot;Angsana New&quot;, serif"/>
        <color rgb="FF1155CC"/>
        <sz val="12.0"/>
        <u/>
      </rPr>
      <t>Nopparatp@sena.co.th</t>
    </r>
  </si>
  <si>
    <t>HO0036072C0074</t>
  </si>
  <si>
    <r>
      <rPr>
        <rFont val="&quot;Angsana New&quot;, serif"/>
        <color rgb="FF1155CC"/>
        <sz val="12.0"/>
        <u/>
      </rPr>
      <t>Paritas@sena.co.th</t>
    </r>
  </si>
  <si>
    <r>
      <rPr>
        <rFont val="&quot;Angsana New&quot;, serif"/>
        <color rgb="FF1155CC"/>
        <sz val="12.0"/>
        <u/>
      </rPr>
      <t>Panchanokc@sena.co.th</t>
    </r>
  </si>
  <si>
    <r>
      <rPr>
        <rFont val="&quot;Angsana New&quot;, serif"/>
        <color rgb="FF1155CC"/>
        <sz val="12.0"/>
        <u/>
      </rPr>
      <t>Laddak@sena.co.th</t>
    </r>
  </si>
  <si>
    <t>SN:60QD314</t>
  </si>
  <si>
    <t>ประสานงานราชการแนวราบ</t>
  </si>
  <si>
    <r>
      <rPr>
        <rFont val="&quot;Angsana New&quot;, serif"/>
        <color rgb="FF1155CC"/>
        <sz val="12.0"/>
        <u/>
      </rPr>
      <t>Kosonk@sena.co.th</t>
    </r>
  </si>
  <si>
    <t>เจ้าหน้าที่ธุรการฝ่ายอาวุโส</t>
  </si>
  <si>
    <r>
      <rPr>
        <rFont val="&quot;Angsana New&quot;, serif"/>
        <color rgb="FF1155CC"/>
        <sz val="12.0"/>
        <u/>
      </rPr>
      <t>Santid@sena.co.th</t>
    </r>
  </si>
  <si>
    <r>
      <rPr>
        <rFont val="&quot;Angsana New&quot;, serif"/>
        <color rgb="FF1155CC"/>
        <sz val="12.0"/>
        <u/>
      </rPr>
      <t>Wirutm@sena.co.th</t>
    </r>
  </si>
  <si>
    <r>
      <rPr>
        <rFont val="&quot;Angsana New&quot;, serif"/>
        <color rgb="FF1155CC"/>
        <sz val="12.0"/>
        <u/>
      </rPr>
      <t>Thitichaic@sena.co.th</t>
    </r>
  </si>
  <si>
    <r>
      <rPr>
        <rFont val="&quot;Angsana New&quot;, serif"/>
        <color rgb="FF1155CC"/>
        <sz val="12.0"/>
        <u/>
      </rPr>
      <t>Weerapongk@sena.co.th</t>
    </r>
  </si>
  <si>
    <t>ประสานงานราชการอาคาร</t>
  </si>
  <si>
    <t>komkrijs@sena.co.th</t>
  </si>
  <si>
    <t>HO0036072C0075</t>
  </si>
  <si>
    <r>
      <rPr>
        <rFont val="&quot;Angsana New&quot;, serif"/>
        <color rgb="FF1155CC"/>
        <sz val="12.0"/>
        <u/>
      </rPr>
      <t>Jutapornb@sena.co.th</t>
    </r>
  </si>
  <si>
    <t>LAWHO012C0022</t>
  </si>
  <si>
    <r>
      <rPr>
        <rFont val="&quot;Angsana New&quot;, serif"/>
        <color rgb="FF1155CC"/>
        <sz val="12.0"/>
        <u/>
      </rPr>
      <t>Santisukk@sena.co.th</t>
    </r>
  </si>
  <si>
    <r>
      <rPr>
        <rFont val="&quot;Angsana New&quot;, serif"/>
        <color rgb="FF1155CC"/>
        <sz val="12.0"/>
        <u/>
      </rPr>
      <t>Autsadangt@sena.co.th</t>
    </r>
  </si>
  <si>
    <t>สินเชื่อและบริหารเคดิตร</t>
  </si>
  <si>
    <t>HO2C01004ADM</t>
  </si>
  <si>
    <r>
      <rPr>
        <rFont val="&quot;Angsana New&quot;, serif"/>
        <color rgb="FF1155CC"/>
        <sz val="12.0"/>
        <u/>
      </rPr>
      <t>Onchumau@sena.co.th</t>
    </r>
  </si>
  <si>
    <t>CRMHO012C0003</t>
  </si>
  <si>
    <r>
      <rPr>
        <rFont val="&quot;Angsana New&quot;, serif"/>
        <color rgb="FF1155CC"/>
        <sz val="12.0"/>
        <u/>
      </rPr>
      <t>Nantapondc@sena.co.th</t>
    </r>
  </si>
  <si>
    <t>ADMHO012C0024</t>
  </si>
  <si>
    <r>
      <rPr>
        <rFont val="&quot;Angsana New&quot;, serif"/>
        <color rgb="FF1155CC"/>
        <sz val="12.0"/>
        <u/>
      </rPr>
      <t>Nattaphongp@sena.co.th</t>
    </r>
  </si>
  <si>
    <r>
      <rPr>
        <rFont val="&quot;Angsana New&quot;, serif"/>
        <color rgb="FF1155CC"/>
        <sz val="12.0"/>
        <u/>
      </rPr>
      <t>Tanitas@sena.co.th</t>
    </r>
  </si>
  <si>
    <r>
      <rPr>
        <rFont val="&quot;Angsana New&quot;, serif"/>
        <color rgb="FF1155CC"/>
        <sz val="12.0"/>
        <u/>
      </rPr>
      <t>Wilawanch@sena.co.th</t>
    </r>
  </si>
  <si>
    <r>
      <rPr>
        <rFont val="&quot;Angsana New&quot;, serif"/>
        <color rgb="FF1155CC"/>
        <sz val="12.0"/>
        <u/>
      </rPr>
      <t>Tanaratk@sena.co.th</t>
    </r>
  </si>
  <si>
    <r>
      <rPr>
        <rFont val="&quot;Angsana New&quot;, serif"/>
        <color rgb="FF1155CC"/>
        <sz val="12.0"/>
        <u/>
      </rPr>
      <t>Wannapai@sena.co.th</t>
    </r>
  </si>
  <si>
    <r>
      <rPr>
        <rFont val="&quot;Angsana New&quot;, serif"/>
        <color rgb="FF1155CC"/>
        <sz val="12.0"/>
        <u/>
      </rPr>
      <t>LaOngDaol@sena.co.th</t>
    </r>
  </si>
  <si>
    <t>HO0014072C0001</t>
  </si>
  <si>
    <r>
      <rPr>
        <rFont val="&quot;Angsana New&quot;, serif"/>
        <color rgb="FF1155CC"/>
        <sz val="12.0"/>
        <u/>
      </rPr>
      <t>Tharaphongn@sena.co.th</t>
    </r>
  </si>
  <si>
    <t>HO0036072N0009</t>
  </si>
  <si>
    <r>
      <rPr>
        <rFont val="&quot;Angsana New&quot;, serif"/>
        <color rgb="FF1155CC"/>
        <sz val="12.0"/>
        <u/>
      </rPr>
      <t>Piyakornr@sena.co.th</t>
    </r>
  </si>
  <si>
    <r>
      <rPr>
        <rFont val="&quot;Angsana New&quot;, serif"/>
        <color rgb="FF1155CC"/>
        <sz val="12.0"/>
        <u/>
      </rPr>
      <t>Anont@sena.co.th</t>
    </r>
  </si>
  <si>
    <t>HO2C01022SAL</t>
  </si>
  <si>
    <t>เจ้าหน้าที่ประสานงานงานโครงการอาวุโส</t>
  </si>
  <si>
    <r>
      <rPr>
        <rFont val="&quot;Angsana New&quot;, serif"/>
        <color rgb="FF1155CC"/>
        <sz val="12.0"/>
        <u/>
      </rPr>
      <t>Supapornb@sena.co.th</t>
    </r>
  </si>
  <si>
    <r>
      <rPr>
        <rFont val="&quot;Angsana New&quot;, serif"/>
        <color rgb="FF1155CC"/>
        <sz val="12.0"/>
        <u/>
      </rPr>
      <t>Panaddap@sena.co.th</t>
    </r>
  </si>
  <si>
    <t>บริการลูกค้ารับมอบห้อง</t>
  </si>
  <si>
    <t>HO0017072C0001</t>
  </si>
  <si>
    <r>
      <rPr>
        <rFont val="&quot;Angsana New&quot;, serif"/>
        <color rgb="FF1155CC"/>
        <sz val="12.0"/>
        <u/>
      </rPr>
      <t>Thanawatc@sena.co.th</t>
    </r>
  </si>
  <si>
    <t>หัวหน้าแผนกบริการลูกค้า</t>
  </si>
  <si>
    <r>
      <rPr>
        <rFont val="&quot;Angsana New&quot;, serif"/>
        <color rgb="FF1155CC"/>
        <sz val="12.0"/>
        <u/>
      </rPr>
      <t>Supapornb@sena.co.th</t>
    </r>
  </si>
  <si>
    <t>Kanjanay@sena.co.th</t>
  </si>
  <si>
    <r>
      <rPr>
        <rFont val="&quot;Angsana New&quot;, serif"/>
        <color rgb="FF1155CC"/>
        <sz val="12.0"/>
        <u/>
      </rPr>
      <t>Pongpats@sena.co.th</t>
    </r>
  </si>
  <si>
    <r>
      <rPr>
        <rFont val="&quot;Angsana New&quot;, serif"/>
        <color rgb="FF1155CC"/>
        <sz val="12.0"/>
        <u/>
      </rPr>
      <t>acharapanm@sena.co.th</t>
    </r>
  </si>
  <si>
    <t>เจ้าหน้าที่บริการรับมอบห้อง</t>
  </si>
  <si>
    <r>
      <rPr>
        <rFont val="&quot;Angsana New&quot;, serif"/>
        <color rgb="FF1155CC"/>
        <sz val="12.0"/>
        <u/>
      </rPr>
      <t>Surasak@sena.co.th</t>
    </r>
  </si>
  <si>
    <r>
      <rPr>
        <rFont val="&quot;Angsana New&quot;, serif"/>
        <color rgb="FF1155CC"/>
        <sz val="12.0"/>
        <u/>
      </rPr>
      <t>Panaddap@sena.co.th</t>
    </r>
  </si>
  <si>
    <r>
      <rPr>
        <rFont val="&quot;Angsana New&quot;, serif"/>
        <color rgb="FF1155CC"/>
        <sz val="12.0"/>
        <u/>
      </rPr>
      <t>Supawadeec@sena.co.th</t>
    </r>
  </si>
  <si>
    <t>บัญชีการเงินอสังหาริมทรัพย์</t>
  </si>
  <si>
    <r>
      <rPr>
        <rFont val="&quot;Angsana New&quot;, serif"/>
        <color rgb="FF1155CC"/>
        <sz val="12.0"/>
        <u/>
      </rPr>
      <t>Weraporn@sena.co.th</t>
    </r>
  </si>
  <si>
    <t>CONECOB1072N0002</t>
  </si>
  <si>
    <r>
      <rPr>
        <rFont val="&quot;Angsana New&quot;, serif"/>
        <color rgb="FF1155CC"/>
        <sz val="12.0"/>
        <u/>
      </rPr>
      <t>Supawan@sena.co.th</t>
    </r>
  </si>
  <si>
    <t>HO0029072C0008</t>
  </si>
  <si>
    <t>บัญชีจ่ายผู้รับเหมาร้านค้า</t>
  </si>
  <si>
    <t>SN:MP2ESEYZ</t>
  </si>
  <si>
    <t>SN:9GSY6X3</t>
  </si>
  <si>
    <r>
      <rPr>
        <rFont val="&quot;Angsana New&quot;, serif"/>
        <color rgb="FF1155CC"/>
        <sz val="12.0"/>
        <u/>
      </rPr>
      <t>Latthisak@sena.co.th</t>
    </r>
  </si>
  <si>
    <t>HO0004072C0002</t>
  </si>
  <si>
    <t>เจ้าหน้าที่บัญชีจ่ายทั่วไป</t>
  </si>
  <si>
    <r>
      <rPr>
        <rFont val="&quot;Angsana New&quot;, serif"/>
        <color rgb="FF1155CC"/>
        <sz val="12.0"/>
        <u/>
      </rPr>
      <t>Wachirapornj@sena.co.th</t>
    </r>
  </si>
  <si>
    <t>บัญชีจ่ายทั่วไป</t>
  </si>
  <si>
    <r>
      <rPr>
        <rFont val="&quot;Angsana New&quot;, serif"/>
        <color rgb="FF1155CC"/>
        <sz val="12.0"/>
        <u/>
      </rPr>
      <t>Wannar@sena.co.th</t>
    </r>
  </si>
  <si>
    <t>HO2C01027ACC</t>
  </si>
  <si>
    <t>isarapornh@sena.co.th</t>
  </si>
  <si>
    <t>HO0036072C0091</t>
  </si>
  <si>
    <r>
      <rPr>
        <rFont val="&quot;Angsana New&quot;, serif"/>
        <color rgb="FF1155CC"/>
        <sz val="12.0"/>
        <u/>
      </rPr>
      <t>Jitarereek@sena.co.th</t>
    </r>
  </si>
  <si>
    <t>HO0036072C0079</t>
  </si>
  <si>
    <t>บัญชีลูกหนี้อสังหาริมทรัพย์</t>
  </si>
  <si>
    <t>HO2C01001A/C</t>
  </si>
  <si>
    <r>
      <rPr>
        <rFont val="&quot;Angsana New&quot;, serif"/>
        <color rgb="FF1155CC"/>
        <sz val="12.0"/>
        <u/>
      </rPr>
      <t>Jariyap@sena.co.th</t>
    </r>
  </si>
  <si>
    <t>SN:MP2ET25J</t>
  </si>
  <si>
    <t>SN:MP2M8GBG</t>
  </si>
  <si>
    <t>ปิดงบการเงิน</t>
  </si>
  <si>
    <t>HO2C01001ACC</t>
  </si>
  <si>
    <t>SALCKL012C0005</t>
  </si>
  <si>
    <r>
      <rPr>
        <rFont val="&quot;Angsana New&quot;, serif"/>
        <color rgb="FF1155CC"/>
        <sz val="12.0"/>
        <u/>
      </rPr>
      <t>Hathainanc@sena.co.th</t>
    </r>
  </si>
  <si>
    <r>
      <rPr>
        <rFont val="&quot;Angsana New&quot;, serif"/>
        <color rgb="FF1155CC"/>
        <sz val="12.0"/>
        <u/>
      </rPr>
      <t>Papapint@sena.co.th</t>
    </r>
  </si>
  <si>
    <r>
      <rPr>
        <rFont val="&quot;Angsana New&quot;, serif"/>
        <color rgb="FF1155CC"/>
        <sz val="12.0"/>
        <u/>
      </rPr>
      <t>Cholladaw@sena.co.th</t>
    </r>
  </si>
  <si>
    <t>HO0036072C0024</t>
  </si>
  <si>
    <r>
      <rPr>
        <rFont val="&quot;Angsana New&quot;, serif"/>
        <color rgb="FF1155CC"/>
        <sz val="12.0"/>
        <u/>
      </rPr>
      <t>Thawichatt@sena.co.th</t>
    </r>
  </si>
  <si>
    <t>SID1072C0005</t>
  </si>
  <si>
    <r>
      <rPr>
        <rFont val="&quot;Angsana New&quot;, serif"/>
        <color rgb="FF1155CC"/>
        <sz val="12.0"/>
        <u/>
      </rPr>
      <t>Tanatpongc@sena.co.th</t>
    </r>
  </si>
  <si>
    <t>บัญชีต้นทุน</t>
  </si>
  <si>
    <r>
      <rPr>
        <rFont val="&quot;Angsana New&quot;, serif"/>
        <color rgb="FF1155CC"/>
        <sz val="12.0"/>
        <u/>
      </rPr>
      <t>Pattarananw@sena.co.th</t>
    </r>
  </si>
  <si>
    <r>
      <rPr>
        <rFont val="&quot;Angsana New&quot;, serif"/>
        <color rgb="FF1155CC"/>
        <sz val="12.0"/>
        <u/>
      </rPr>
      <t>Kittit@sena.co.th</t>
    </r>
  </si>
  <si>
    <r>
      <rPr>
        <rFont val="&quot;Angsana New&quot;, serif"/>
        <color rgb="FF1155CC"/>
        <sz val="12.0"/>
        <u/>
      </rPr>
      <t>Parinyad@sena.co.th</t>
    </r>
  </si>
  <si>
    <t>บัญชีงบประมาณ</t>
  </si>
  <si>
    <r>
      <rPr>
        <rFont val="&quot;Angsana New&quot;, serif"/>
        <color rgb="FF1155CC"/>
        <sz val="12.0"/>
        <u/>
      </rPr>
      <t>thanakorns@sena.co.th</t>
    </r>
  </si>
  <si>
    <r>
      <rPr>
        <rFont val="&quot;Angsana New&quot;, serif"/>
        <color rgb="FF1155CC"/>
        <sz val="12.0"/>
        <u/>
      </rPr>
      <t>Sawettrac@sena.co.th</t>
    </r>
  </si>
  <si>
    <r>
      <rPr>
        <rFont val="&quot;Angsana New&quot;, serif"/>
        <color rgb="FF1155CC"/>
        <sz val="12.0"/>
        <u/>
      </rPr>
      <t>waraponb@sena.co.th</t>
    </r>
  </si>
  <si>
    <r>
      <rPr>
        <rFont val="&quot;Angsana New&quot;, serif"/>
        <color rgb="FF1155CC"/>
        <sz val="12.0"/>
        <u/>
      </rPr>
      <t>Nutchimapornk@sena.co.th</t>
    </r>
  </si>
  <si>
    <t>HO0011072C0001</t>
  </si>
  <si>
    <t>Ratchaneer@sena.co.th</t>
  </si>
  <si>
    <t>BK-M.COME</t>
  </si>
  <si>
    <r>
      <rPr>
        <rFont val="&quot;Angsana New&quot;, serif"/>
        <color rgb="FF1155CC"/>
        <sz val="12.0"/>
        <u/>
      </rPr>
      <t>Umapornt@sena.co.th</t>
    </r>
  </si>
  <si>
    <r>
      <rPr>
        <rFont val="&quot;Angsana New&quot;, serif"/>
        <color rgb="FF1155CC"/>
        <sz val="12.0"/>
        <u/>
      </rPr>
      <t>Tuddaoc@sena.co.th</t>
    </r>
  </si>
  <si>
    <r>
      <rPr>
        <rFont val="&quot;Angsana New&quot;, serif"/>
        <color rgb="FF1155CC"/>
        <sz val="12.0"/>
        <u/>
      </rPr>
      <t>Pakinain@sena.co.th</t>
    </r>
  </si>
  <si>
    <r>
      <rPr>
        <rFont val="&quot;Angsana New&quot;, serif"/>
        <color rgb="FF1155CC"/>
        <sz val="12.0"/>
        <u/>
      </rPr>
      <t>Chalermponc@sena.co.th</t>
    </r>
  </si>
  <si>
    <r>
      <rPr>
        <rFont val="&quot;Angsana New&quot;, serif"/>
        <color rgb="FF1155CC"/>
        <sz val="12.0"/>
        <u/>
      </rPr>
      <t>pannawitj@sena.co.th</t>
    </r>
  </si>
  <si>
    <r>
      <rPr>
        <rFont val="&quot;Angsana New&quot;, serif"/>
        <color rgb="FF1155CC"/>
        <sz val="12.0"/>
        <u/>
      </rPr>
      <t>Pijitrac@sena.co.th</t>
    </r>
  </si>
  <si>
    <r>
      <rPr>
        <rFont val="&quot;Angsana New&quot;, serif"/>
        <color rgb="FF1155CC"/>
        <sz val="12.0"/>
        <u/>
      </rPr>
      <t>Ippap@sena.co.th</t>
    </r>
  </si>
  <si>
    <r>
      <rPr>
        <rFont val="&quot;Angsana New&quot;, serif"/>
        <color rgb="FF1155CC"/>
        <sz val="12.0"/>
        <u/>
      </rPr>
      <t>Nitchanank@sena.co.th</t>
    </r>
  </si>
  <si>
    <r>
      <rPr>
        <rFont val="&quot;Angsana New&quot;, serif"/>
        <color rgb="FF1155CC"/>
        <sz val="12.0"/>
        <u/>
      </rPr>
      <t>Sirirats@sena.co.th</t>
    </r>
  </si>
  <si>
    <r>
      <rPr>
        <rFont val="&quot;Angsana New&quot;, serif"/>
        <color rgb="FF1155CC"/>
        <sz val="12.0"/>
        <u/>
      </rPr>
      <t>Phichitphonp@sena.co.th</t>
    </r>
  </si>
  <si>
    <t>เจ้าหน้าที่กราฟิกอาวุโส</t>
  </si>
  <si>
    <r>
      <rPr>
        <rFont val="&quot;Angsana New&quot;, serif"/>
        <color rgb="FF1155CC"/>
        <sz val="12.0"/>
        <u/>
      </rPr>
      <t>Chayisaraa@sena.co.th</t>
    </r>
  </si>
  <si>
    <t>COMMHO012C0034</t>
  </si>
  <si>
    <r>
      <rPr>
        <rFont val="&quot;Angsana New&quot;, serif"/>
        <color rgb="FF1155CC"/>
        <sz val="12.0"/>
        <u/>
      </rPr>
      <t>Krerkp@sena.co.th</t>
    </r>
  </si>
  <si>
    <r>
      <rPr>
        <rFont val="&quot;Angsana New&quot;, serif"/>
        <color rgb="FF1155CC"/>
        <sz val="12.0"/>
        <u/>
      </rPr>
      <t>Sawitj@sena.co.th</t>
    </r>
  </si>
  <si>
    <t>CONHO012C0061</t>
  </si>
  <si>
    <r>
      <rPr>
        <rFont val="&quot;Angsana New&quot;, serif"/>
        <color rgb="FF1155CC"/>
        <sz val="12.0"/>
        <u/>
      </rPr>
      <t>Nuttikap@sena.co.th</t>
    </r>
  </si>
  <si>
    <r>
      <rPr>
        <rFont val="&quot;Angsana New&quot;, serif"/>
        <color rgb="FF1155CC"/>
        <sz val="12.0"/>
        <u/>
      </rPr>
      <t>Surachaip@sena.co.th</t>
    </r>
  </si>
  <si>
    <r>
      <rPr>
        <rFont val="&quot;Angsana New&quot;, serif"/>
        <color rgb="FF1155CC"/>
        <sz val="12.0"/>
        <u/>
      </rPr>
      <t>Panyakonb@sena.co.th</t>
    </r>
  </si>
  <si>
    <r>
      <rPr>
        <rFont val="&quot;Angsana New&quot;, serif"/>
        <color rgb="FF1155CC"/>
        <sz val="12.0"/>
        <u/>
      </rPr>
      <t>Jakarins@sena.co.th</t>
    </r>
  </si>
  <si>
    <t>COMMHO012C0036</t>
  </si>
  <si>
    <t>เจ้าหน้าที่กราฟฟิก</t>
  </si>
  <si>
    <r>
      <rPr>
        <rFont val="&quot;Angsana New&quot;, serif"/>
        <color rgb="FF1155CC"/>
        <sz val="12.0"/>
        <u/>
      </rPr>
      <t>Aruneey@sena.co.th</t>
    </r>
  </si>
  <si>
    <r>
      <rPr>
        <rFont val="&quot;Angsana New&quot;, serif"/>
        <color rgb="FF1155CC"/>
        <sz val="12.0"/>
        <u/>
      </rPr>
      <t>teerawatk@sena.co.th</t>
    </r>
  </si>
  <si>
    <t>เจ้าหน้าที่กราฟฟิกอาวุโส</t>
  </si>
  <si>
    <r>
      <rPr>
        <rFont val="&quot;Angsana New&quot;, serif"/>
        <color rgb="FF1155CC"/>
        <sz val="12.0"/>
        <u/>
      </rPr>
      <t>Ketnapat@sena.co.th</t>
    </r>
  </si>
  <si>
    <t>ปฏิภัทร</t>
  </si>
  <si>
    <t>ปานปลอด</t>
  </si>
  <si>
    <t>เจ้าหน้าที่การตลาดออนไลน์อาวุโส</t>
  </si>
  <si>
    <r>
      <rPr>
        <rFont val="&quot;Angsana New&quot;, serif"/>
        <color rgb="FF1155CC"/>
        <sz val="12.0"/>
        <u/>
      </rPr>
      <t>Patipathp@sena.co.th</t>
    </r>
  </si>
  <si>
    <r>
      <rPr>
        <rFont val="&quot;Angsana New&quot;, serif"/>
        <color rgb="FF1155CC"/>
        <sz val="12.0"/>
        <u/>
      </rPr>
      <t>Rattanat@sena.co.th</t>
    </r>
  </si>
  <si>
    <t>เจ้าหน้าที่ออกแบบเว็บไซต์อาวุโส</t>
  </si>
  <si>
    <r>
      <rPr>
        <rFont val="&quot;Angsana New&quot;, serif"/>
        <color rgb="FF1155CC"/>
        <sz val="12.0"/>
        <u/>
      </rPr>
      <t>Pornpans@sena.co.th</t>
    </r>
  </si>
  <si>
    <t>เจ้าหน้าที่ออกแบบเว็บไซต์</t>
  </si>
  <si>
    <r>
      <rPr>
        <rFont val="&quot;Angsana New&quot;, serif"/>
        <color rgb="FF1155CC"/>
        <sz val="12.0"/>
        <u/>
      </rPr>
      <t>Wachiraporns@sena.co.th</t>
    </r>
  </si>
  <si>
    <r>
      <rPr>
        <rFont val="&quot;Angsana New&quot;, serif"/>
        <color rgb="FF1155CC"/>
        <sz val="12.0"/>
        <u/>
      </rPr>
      <t>Sirarandac@sena.co.th</t>
    </r>
  </si>
  <si>
    <t>Munsanas@sena.co.th</t>
  </si>
  <si>
    <t>Call Center</t>
  </si>
  <si>
    <r>
      <rPr>
        <rFont val="&quot;Angsana New&quot;, serif"/>
        <color rgb="FF1155CC"/>
        <sz val="12.0"/>
        <u/>
      </rPr>
      <t>Songpunm@sena.co.th</t>
    </r>
  </si>
  <si>
    <t>HO0005072C0045</t>
  </si>
  <si>
    <t>เจ้าหน้าที่ Call Centerอาวุโส</t>
  </si>
  <si>
    <r>
      <rPr>
        <rFont val="&quot;Angsana New&quot;, serif"/>
        <color rgb="FF1155CC"/>
        <sz val="12.0"/>
        <u/>
      </rPr>
      <t>Panaddaa@sena.co.th</t>
    </r>
  </si>
  <si>
    <t>SID1072C0004</t>
  </si>
  <si>
    <r>
      <rPr>
        <rFont val="&quot;Angsana New&quot;, serif"/>
        <color rgb="FF1155CC"/>
        <sz val="12.0"/>
        <u/>
      </rPr>
      <t>Manisak@sena.co.th</t>
    </r>
  </si>
  <si>
    <t>เจ้าหน้าที่ Call Center</t>
  </si>
  <si>
    <t>Jhutamarts@sena.co.th</t>
  </si>
  <si>
    <r>
      <rPr>
        <rFont val="&quot;Angsana New&quot;, serif"/>
        <color rgb="FF1155CC"/>
        <sz val="12.0"/>
        <u/>
      </rPr>
      <t>Suphits@sena.co.th</t>
    </r>
  </si>
  <si>
    <r>
      <rPr>
        <rFont val="&quot;Angsana New&quot;, serif"/>
        <color rgb="FF1155CC"/>
        <sz val="12.0"/>
        <u/>
      </rPr>
      <t>annapab@sena.co.th</t>
    </r>
  </si>
  <si>
    <t>CONHO012C0093</t>
  </si>
  <si>
    <t>HO2C01010ICT</t>
  </si>
  <si>
    <t>HO0022072C0039</t>
  </si>
  <si>
    <r>
      <rPr>
        <rFont val="&quot;Angsana New&quot;, serif"/>
        <color rgb="FF1155CC"/>
        <sz val="12.0"/>
        <u/>
      </rPr>
      <t>Nirats@sena.co.th</t>
    </r>
  </si>
  <si>
    <r>
      <rPr>
        <rFont val="&quot;Angsana New&quot;, serif"/>
        <color rgb="FF1155CC"/>
        <sz val="12.0"/>
        <u/>
      </rPr>
      <t>Vachirah@sena.co.th</t>
    </r>
  </si>
  <si>
    <r>
      <rPr>
        <rFont val="&quot;Angsana New&quot;, serif"/>
        <color rgb="FF1155CC"/>
        <sz val="12.0"/>
        <u/>
      </rPr>
      <t>Wasawatp@sena.co.th</t>
    </r>
  </si>
  <si>
    <r>
      <rPr>
        <rFont val="&quot;Angsana New&quot;, serif"/>
        <color rgb="FF1155CC"/>
        <sz val="12.0"/>
        <u/>
      </rPr>
      <t>Wittayas@sena.co.th</t>
    </r>
  </si>
  <si>
    <t>HO2C01001CON</t>
  </si>
  <si>
    <t>HO2C01010CON</t>
  </si>
  <si>
    <r>
      <rPr>
        <rFont val="&quot;Angsana New&quot;, serif"/>
        <color rgb="FF1155CC"/>
        <sz val="12.0"/>
        <u/>
      </rPr>
      <t>wachirawitr@sena.co.th</t>
    </r>
  </si>
  <si>
    <r>
      <rPr>
        <rFont val="&quot;Angsana New&quot;, serif"/>
        <color rgb="FF1155CC"/>
        <sz val="12.0"/>
        <u/>
      </rPr>
      <t>Rawipornw@sena.co.th</t>
    </r>
  </si>
  <si>
    <r>
      <rPr>
        <rFont val="&quot;Angsana New&quot;, serif"/>
        <color rgb="FF1155CC"/>
        <sz val="12.0"/>
        <u/>
      </rPr>
      <t>Sittichain@sena.co.th</t>
    </r>
  </si>
  <si>
    <r>
      <rPr>
        <rFont val="&quot;Angsana New&quot;, serif"/>
        <color rgb="FF1155CC"/>
        <sz val="12.0"/>
        <u/>
      </rPr>
      <t>Anantayam@sena.co.th</t>
    </r>
  </si>
  <si>
    <r>
      <rPr>
        <rFont val="&quot;Angsana New&quot;, serif"/>
        <color rgb="FF1155CC"/>
        <sz val="12.0"/>
        <u/>
      </rPr>
      <t>Juthamask@sena.co.th</t>
    </r>
  </si>
  <si>
    <r>
      <rPr>
        <rFont val="&quot;Angsana New&quot;, serif"/>
        <color rgb="FF1155CC"/>
        <sz val="12.0"/>
        <u/>
      </rPr>
      <t>Tiangkamp@sena.co.th</t>
    </r>
  </si>
  <si>
    <r>
      <rPr>
        <rFont val="&quot;Angsana New&quot;, serif"/>
        <color rgb="FF1155CC"/>
        <sz val="12.0"/>
        <u/>
      </rPr>
      <t>Pitchoodau@sena.co.th</t>
    </r>
  </si>
  <si>
    <r>
      <rPr>
        <rFont val="&quot;Angsana New&quot;, serif"/>
        <color rgb="FF1155CC"/>
        <sz val="12.0"/>
        <u/>
      </rPr>
      <t>Suchadat@sena.co.th</t>
    </r>
  </si>
  <si>
    <r>
      <rPr>
        <rFont val="&quot;Angsana New&quot;, serif"/>
        <color rgb="FF1155CC"/>
        <sz val="12.0"/>
        <u/>
      </rPr>
      <t>Tawatchaip@sena.co.th</t>
    </r>
  </si>
  <si>
    <r>
      <rPr>
        <rFont val="&quot;Angsana New&quot;, serif"/>
        <color rgb="FF1155CC"/>
        <sz val="12.0"/>
        <u/>
      </rPr>
      <t>Nuttapold@sena.co.th</t>
    </r>
  </si>
  <si>
    <r>
      <rPr>
        <rFont val="&quot;Angsana New&quot;, serif"/>
        <color rgb="FF1155CC"/>
        <sz val="12.0"/>
        <u/>
      </rPr>
      <t>Kannikah@sena.co.th</t>
    </r>
  </si>
  <si>
    <r>
      <rPr>
        <rFont val="&quot;Angsana New&quot;, serif"/>
        <color rgb="FF1155CC"/>
        <sz val="12.0"/>
        <u/>
      </rPr>
      <t>lalitak@sena.co.th</t>
    </r>
  </si>
  <si>
    <r>
      <rPr>
        <rFont val="&quot;Angsana New&quot;, serif"/>
        <color rgb="FF1155CC"/>
        <sz val="12.0"/>
        <u/>
      </rPr>
      <t>Meennikantw@sena.co.th</t>
    </r>
  </si>
  <si>
    <t>Auchariyaa@sena.co.th</t>
  </si>
  <si>
    <t>Preedapornw@sena.co.th</t>
  </si>
  <si>
    <r>
      <rPr>
        <rFont val="&quot;Angsana New&quot;, serif"/>
        <color rgb="FF1155CC"/>
        <sz val="12.0"/>
        <u/>
      </rPr>
      <t>Jintanapornt@sena.co.th</t>
    </r>
  </si>
  <si>
    <r>
      <rPr>
        <rFont val="&quot;Angsana New&quot;, serif"/>
        <color rgb="FF1155CC"/>
        <sz val="12.0"/>
        <u/>
      </rPr>
      <t>Chaninthorny@sena.co.th</t>
    </r>
  </si>
  <si>
    <r>
      <rPr>
        <rFont val="&quot;Angsana New&quot;, serif"/>
        <color rgb="FF1155CC"/>
        <sz val="12.0"/>
        <u/>
      </rPr>
      <t>Saknarongl@sena.co.th</t>
    </r>
  </si>
  <si>
    <t>HO0036072C0002</t>
  </si>
  <si>
    <r>
      <rPr>
        <rFont val="&quot;Angsana New&quot;, serif"/>
        <color rgb="FF1155CC"/>
        <sz val="12.0"/>
        <u/>
      </rPr>
      <t>Atcharam@sena.co.th</t>
    </r>
  </si>
  <si>
    <r>
      <rPr>
        <rFont val="&quot;Angsana New&quot;, serif"/>
        <color rgb="FF1155CC"/>
        <sz val="12.0"/>
        <u/>
      </rPr>
      <t>Supatchac@sena.co.th</t>
    </r>
  </si>
  <si>
    <r>
      <rPr>
        <rFont val="&quot;Angsana New&quot;, serif"/>
        <color rgb="FF1155CC"/>
        <sz val="12.0"/>
        <u/>
      </rPr>
      <t>Wasuthonn@sena.co.th</t>
    </r>
  </si>
  <si>
    <t>SN:BJT2CZ3</t>
  </si>
  <si>
    <t>HO0036072C0052</t>
  </si>
  <si>
    <r>
      <rPr>
        <rFont val="&quot;Angsana New&quot;, serif"/>
        <color rgb="FF1155CC"/>
        <sz val="12.0"/>
        <u/>
      </rPr>
      <t>Warinthipl@sena.co.th</t>
    </r>
  </si>
  <si>
    <r>
      <rPr>
        <rFont val="&quot;Angsana New&quot;, serif"/>
        <color rgb="FF1155CC"/>
        <sz val="12.0"/>
        <u/>
      </rPr>
      <t>WiChudat@sena.co.th</t>
    </r>
  </si>
  <si>
    <t>ชิษณุชา</t>
  </si>
  <si>
    <t>รัตนวงศ์</t>
  </si>
  <si>
    <r>
      <rPr>
        <rFont val="&quot;Angsana New&quot;, serif"/>
        <color rgb="FF1155CC"/>
        <sz val="12.0"/>
        <u/>
      </rPr>
      <t>Chitsanuchar@sena.co.th</t>
    </r>
  </si>
  <si>
    <r>
      <rPr>
        <rFont val="&quot;Angsana New&quot;, serif"/>
        <color rgb="FF1155CC"/>
        <sz val="12.0"/>
        <u/>
      </rPr>
      <t>Parimapornj@sena.co.th</t>
    </r>
  </si>
  <si>
    <t>HO0022072C0028</t>
  </si>
  <si>
    <r>
      <rPr>
        <rFont val="&quot;Angsana New&quot;, serif"/>
        <color rgb="FF1155CC"/>
        <sz val="12.0"/>
        <u/>
      </rPr>
      <t>Sirimask@sena.co.th</t>
    </r>
  </si>
  <si>
    <r>
      <rPr>
        <rFont val="&quot;Angsana New&quot;, serif"/>
        <color rgb="FF1155CC"/>
        <sz val="12.0"/>
        <u/>
      </rPr>
      <t>Kridj@sena.co.th</t>
    </r>
  </si>
  <si>
    <t>HO0022072C0033</t>
  </si>
  <si>
    <r>
      <rPr>
        <rFont val="&quot;Angsana New&quot;, serif"/>
        <color rgb="FF1155CC"/>
        <sz val="12.0"/>
        <u/>
      </rPr>
      <t>chanink@sena.co.th</t>
    </r>
  </si>
  <si>
    <r>
      <rPr>
        <rFont val="&quot;Angsana New&quot;, serif"/>
        <color rgb="FF1155CC"/>
        <sz val="12.0"/>
        <u/>
      </rPr>
      <t>tontrakarnn@sena.co.th</t>
    </r>
  </si>
  <si>
    <t>โฟร์แมนตรวจคุณภาพงานอาวุโส</t>
  </si>
  <si>
    <r>
      <rPr>
        <rFont val="&quot;Angsana New&quot;, serif"/>
        <color rgb="FF1155CC"/>
        <sz val="12.0"/>
        <u/>
      </rPr>
      <t>Piyanatr@sena.co.th</t>
    </r>
  </si>
  <si>
    <r>
      <rPr>
        <rFont val="&quot;Angsana New&quot;, serif"/>
        <color rgb="FF1155CC"/>
        <sz val="12.0"/>
        <u/>
      </rPr>
      <t>aticoms@sena.co.th</t>
    </r>
  </si>
  <si>
    <r>
      <rPr>
        <rFont val="&quot;Angsana New&quot;, serif"/>
        <color rgb="FF1155CC"/>
        <sz val="12.0"/>
        <u/>
      </rPr>
      <t>thanakornk@sena.co.th</t>
    </r>
  </si>
  <si>
    <t>วิศวกรตรวจคุณภาพงาน</t>
  </si>
  <si>
    <r>
      <rPr>
        <rFont val="&quot;Angsana New&quot;, serif"/>
        <color rgb="FF1155CC"/>
        <sz val="12.0"/>
        <u/>
      </rPr>
      <t>Teeraphongc@sena.co.th</t>
    </r>
  </si>
  <si>
    <r>
      <rPr>
        <rFont val="&quot;Angsana New&quot;, serif"/>
        <color rgb="FF1155CC"/>
        <sz val="12.0"/>
        <u/>
      </rPr>
      <t>Pisuth@sena.co.th</t>
    </r>
  </si>
  <si>
    <r>
      <rPr>
        <rFont val="&quot;Angsana New&quot;, serif"/>
        <color rgb="FF1155CC"/>
        <sz val="12.0"/>
        <u/>
      </rPr>
      <t>Kittipongw@sena.co.th</t>
    </r>
  </si>
  <si>
    <r>
      <rPr>
        <rFont val="&quot;Angsana New&quot;, serif"/>
        <color rgb="FF1155CC"/>
        <sz val="12.0"/>
        <u/>
      </rPr>
      <t>akanirutv@sena.co.th</t>
    </r>
  </si>
  <si>
    <r>
      <rPr>
        <rFont val="&quot;Angsana New&quot;, serif"/>
        <color rgb="FF1155CC"/>
        <sz val="12.0"/>
        <u/>
      </rPr>
      <t>kreepopt@sena.co.th</t>
    </r>
  </si>
  <si>
    <r>
      <rPr>
        <rFont val="&quot;Angsana New&quot;, serif"/>
        <color rgb="FF1155CC"/>
        <sz val="12.0"/>
        <u/>
      </rPr>
      <t>Ratchapona@sena.co.th</t>
    </r>
  </si>
  <si>
    <r>
      <rPr>
        <rFont val="&quot;Angsana New&quot;, serif"/>
        <color rgb="FF1155CC"/>
        <sz val="12.0"/>
        <u/>
      </rPr>
      <t>Nithipatb@sena.co.th</t>
    </r>
  </si>
  <si>
    <r>
      <rPr>
        <rFont val="&quot;Angsana New&quot;, serif"/>
        <color rgb="FF1155CC"/>
        <sz val="12.0"/>
        <u/>
      </rPr>
      <t>prasitk@sena.co.th</t>
    </r>
  </si>
  <si>
    <r>
      <rPr>
        <rFont val="&quot;Angsana New&quot;, serif"/>
        <color rgb="FF1155CC"/>
        <sz val="12.0"/>
        <u/>
      </rPr>
      <t>Teethatr@sena.co.th</t>
    </r>
  </si>
  <si>
    <r>
      <rPr>
        <rFont val="&quot;Angsana New&quot;, serif"/>
        <color rgb="FF1155CC"/>
        <sz val="12.0"/>
        <u/>
      </rPr>
      <t>Sirinyadas@sena.co.th</t>
    </r>
  </si>
  <si>
    <r>
      <rPr>
        <rFont val="&quot;Angsana New&quot;, serif"/>
        <color rgb="FF1155CC"/>
        <sz val="12.0"/>
        <u/>
      </rPr>
      <t>Teerapongc@sena.co.th</t>
    </r>
  </si>
  <si>
    <r>
      <rPr>
        <rFont val="&quot;Angsana New&quot;, serif"/>
        <color rgb="FF1155CC"/>
        <sz val="12.0"/>
        <u/>
      </rPr>
      <t>kanjanab@sena.co.th</t>
    </r>
  </si>
  <si>
    <r>
      <rPr>
        <rFont val="&quot;Angsana New&quot;, serif"/>
        <color rgb="FF1155CC"/>
        <sz val="12.0"/>
        <u/>
      </rPr>
      <t>Tassanaiv@sena.co.th</t>
    </r>
  </si>
  <si>
    <r>
      <rPr>
        <rFont val="&quot;Angsana New&quot;, serif"/>
        <color rgb="FF1155CC"/>
        <sz val="12.0"/>
        <u/>
      </rPr>
      <t>Wattanapholl@sena.co.th</t>
    </r>
  </si>
  <si>
    <t>ผู้เชี่ยวชาญ3</t>
  </si>
  <si>
    <r>
      <rPr>
        <rFont val="&quot;Angsana New&quot;, serif"/>
        <color rgb="FF1155CC"/>
        <sz val="12.0"/>
        <u/>
      </rPr>
      <t>Thanatesu@sena.co.th</t>
    </r>
  </si>
  <si>
    <r>
      <rPr>
        <rFont val="&quot;Angsana New&quot;, serif"/>
        <color rgb="FF1155CC"/>
        <sz val="12.0"/>
        <u/>
      </rPr>
      <t>Kositi@sena.co.th</t>
    </r>
  </si>
  <si>
    <t>HO2C01002ADM</t>
  </si>
  <si>
    <r>
      <rPr>
        <rFont val="&quot;Angsana New&quot;, serif"/>
        <color rgb="FF1155CC"/>
        <sz val="12.0"/>
        <u/>
      </rPr>
      <t>Sirints@sena.co.th</t>
    </r>
  </si>
  <si>
    <r>
      <rPr>
        <rFont val="&quot;Angsana New&quot;, serif"/>
        <color rgb="FF1155CC"/>
        <sz val="12.0"/>
        <u/>
      </rPr>
      <t>Oatthaphonb@sena.co.th</t>
    </r>
  </si>
  <si>
    <t>CONKBN2072C0002</t>
  </si>
  <si>
    <r>
      <rPr>
        <rFont val="&quot;Angsana New&quot;, serif"/>
        <color rgb="FF1155CC"/>
        <sz val="12.0"/>
        <u/>
      </rPr>
      <t>Prayoonj@sena.co.th</t>
    </r>
  </si>
  <si>
    <t>HO0036072C0019</t>
  </si>
  <si>
    <t>พัฒนาโครงการ และผลิตภัณฑ์</t>
  </si>
  <si>
    <t>MGPHO012C0022</t>
  </si>
  <si>
    <r>
      <rPr>
        <rFont val="&quot;Angsana New&quot;, serif"/>
        <color rgb="FF1155CC"/>
        <sz val="12.0"/>
        <u/>
      </rPr>
      <t>Jaturons@sena.co.th</t>
    </r>
  </si>
  <si>
    <r>
      <rPr>
        <rFont val="&quot;Angsana New&quot;, serif"/>
        <color rgb="FF1155CC"/>
        <sz val="12.0"/>
        <u/>
      </rPr>
      <t>Panyapons@sena.co.th</t>
    </r>
  </si>
  <si>
    <t>HO0034072C0017</t>
  </si>
  <si>
    <r>
      <rPr>
        <rFont val="&quot;Angsana New&quot;, serif"/>
        <color rgb="FF1155CC"/>
        <sz val="12.0"/>
        <u/>
      </rPr>
      <t>Piyarats@sena.co.th</t>
    </r>
  </si>
  <si>
    <r>
      <rPr>
        <rFont val="&quot;Angsana New&quot;, serif"/>
        <color rgb="FF1155CC"/>
        <sz val="12.0"/>
        <u/>
      </rPr>
      <t>Piphimavadeep@sena.co.th</t>
    </r>
  </si>
  <si>
    <t>HO0034072C0008</t>
  </si>
  <si>
    <t>ผู้ช่วยผู้จัดการฝ่าย</t>
  </si>
  <si>
    <t>หัวหน้าแผนกงานแบบ</t>
  </si>
  <si>
    <r>
      <rPr>
        <rFont val="&quot;Angsana New&quot;, serif"/>
        <color rgb="FF1155CC"/>
        <sz val="12.0"/>
        <u/>
      </rPr>
      <t>Watcharap@sena.co.th</t>
    </r>
  </si>
  <si>
    <r>
      <rPr>
        <rFont val="&quot;Angsana New&quot;, serif"/>
        <color rgb="FF1155CC"/>
        <sz val="12.0"/>
        <u/>
      </rPr>
      <t>Krittateem@sena.co.th</t>
    </r>
  </si>
  <si>
    <t>HO0006072C0007</t>
  </si>
  <si>
    <r>
      <rPr>
        <rFont val="&quot;Angsana New&quot;, serif"/>
        <color rgb="FF1155CC"/>
        <sz val="12.0"/>
        <u/>
      </rPr>
      <t>Yothins@sena.co.th</t>
    </r>
  </si>
  <si>
    <r>
      <rPr>
        <rFont val="&quot;Angsana New&quot;, serif"/>
        <color rgb="FF1155CC"/>
        <sz val="12.0"/>
        <u/>
      </rPr>
      <t>Jirapar@sena.co.th</t>
    </r>
  </si>
  <si>
    <r>
      <rPr>
        <rFont val="&quot;Angsana New&quot;, serif"/>
        <color rgb="FF1155CC"/>
        <sz val="12.0"/>
        <u/>
      </rPr>
      <t>waranchayas@sena.co.th</t>
    </r>
  </si>
  <si>
    <r>
      <rPr>
        <rFont val="&quot;Angsana New&quot;, serif"/>
        <color rgb="FF1155CC"/>
        <sz val="12.0"/>
        <u/>
      </rPr>
      <t>Sakult@sena.co.th</t>
    </r>
  </si>
  <si>
    <r>
      <rPr>
        <rFont val="&quot;Angsana New&quot;, serif"/>
        <color rgb="FF1155CC"/>
        <sz val="12.0"/>
        <u/>
      </rPr>
      <t>Kritsadac@sena.co.th</t>
    </r>
  </si>
  <si>
    <r>
      <rPr>
        <rFont val="&quot;Angsana New&quot;, serif"/>
        <color rgb="FF1155CC"/>
        <sz val="12.0"/>
        <u/>
      </rPr>
      <t>Kanokwank@sena.co.th</t>
    </r>
  </si>
  <si>
    <r>
      <rPr>
        <rFont val="&quot;Angsana New&quot;, serif"/>
        <color rgb="FF1155CC"/>
        <sz val="12.0"/>
        <u/>
      </rPr>
      <t>Teerapats@sena.co.th</t>
    </r>
  </si>
  <si>
    <r>
      <rPr>
        <rFont val="&quot;Angsana New&quot;, serif"/>
        <color rgb="FF1155CC"/>
        <sz val="12.0"/>
        <u/>
      </rPr>
      <t>Akechais@sena.co.th</t>
    </r>
  </si>
  <si>
    <r>
      <rPr>
        <rFont val="&quot;Angsana New&quot;, serif"/>
        <color rgb="FF1155CC"/>
        <sz val="12.0"/>
        <u/>
      </rPr>
      <t>Suphawadis@sena.co.th</t>
    </r>
  </si>
  <si>
    <r>
      <rPr>
        <rFont val="&quot;Angsana New&quot;, serif"/>
        <color rgb="FF1155CC"/>
        <sz val="12.0"/>
        <u/>
      </rPr>
      <t>Jutapornr@sena.co.th</t>
    </r>
  </si>
  <si>
    <r>
      <rPr>
        <rFont val="&quot;Angsana New&quot;, serif"/>
        <color rgb="FF1155CC"/>
        <sz val="12.0"/>
        <u/>
      </rPr>
      <t>Pemikam@sena.co.th</t>
    </r>
  </si>
  <si>
    <r>
      <rPr>
        <rFont val="&quot;Angsana New&quot;, serif"/>
        <color rgb="FF1155CC"/>
        <sz val="12.0"/>
        <u/>
      </rPr>
      <t>Kittithatk@sena.co.th</t>
    </r>
  </si>
  <si>
    <r>
      <rPr>
        <rFont val="&quot;Angsana New&quot;, serif"/>
        <color rgb="FF1155CC"/>
        <sz val="12.0"/>
        <u/>
      </rPr>
      <t>Akarachn@sena.co.th</t>
    </r>
  </si>
  <si>
    <r>
      <rPr>
        <rFont val="&quot;Angsana New&quot;, serif"/>
        <color rgb="FF1155CC"/>
        <sz val="12.0"/>
        <u/>
      </rPr>
      <t>Pornchanokt@sena.co.th</t>
    </r>
  </si>
  <si>
    <r>
      <rPr>
        <rFont val="&quot;Angsana New&quot;, serif"/>
        <color rgb="FF1155CC"/>
        <sz val="12.0"/>
        <u/>
      </rPr>
      <t>manoppa@sena.co.th</t>
    </r>
  </si>
  <si>
    <t>เจ้าหน้าที่ภูมิสถาปัตย์อาวุโส</t>
  </si>
  <si>
    <t>Prapimpornp@sena.co.th</t>
  </si>
  <si>
    <t>เจ้าหน้าที่ภูมิสถาปัตย์</t>
  </si>
  <si>
    <r>
      <rPr>
        <rFont val="&quot;Angsana New&quot;, serif"/>
        <color rgb="FF1155CC"/>
        <sz val="12.0"/>
        <u/>
      </rPr>
      <t>Tharayaj@sena.co.th</t>
    </r>
  </si>
  <si>
    <t>ผู้จัดการอาวุโส/วิศวกรงานระบบ</t>
  </si>
  <si>
    <r>
      <rPr>
        <rFont val="&quot;Angsana New&quot;, serif"/>
        <color rgb="FF1155CC"/>
        <sz val="12.0"/>
        <u/>
      </rPr>
      <t>charlermpolc@sena.co.th</t>
    </r>
  </si>
  <si>
    <r>
      <rPr>
        <rFont val="&quot;Angsana New&quot;, serif"/>
        <color rgb="FF1155CC"/>
        <sz val="12.0"/>
        <u/>
      </rPr>
      <t>Krongsakm@sena.co.th</t>
    </r>
  </si>
  <si>
    <r>
      <rPr>
        <rFont val="&quot;Angsana New&quot;, serif"/>
        <color rgb="FF1155CC"/>
        <sz val="12.0"/>
        <u/>
      </rPr>
      <t>Patcharinp@sena.co.th</t>
    </r>
  </si>
  <si>
    <r>
      <rPr>
        <rFont val="&quot;Angsana New&quot;, serif"/>
        <color rgb="FF1155CC"/>
        <sz val="12.0"/>
        <u/>
      </rPr>
      <t>Noppadolw@sena.co.th</t>
    </r>
  </si>
  <si>
    <r>
      <rPr>
        <rFont val="&quot;Angsana New&quot;, serif"/>
        <color rgb="FF1155CC"/>
        <sz val="12.0"/>
        <u/>
      </rPr>
      <t>Naronngn@sena.co.th</t>
    </r>
  </si>
  <si>
    <t>BDHO072C0001</t>
  </si>
  <si>
    <r>
      <rPr>
        <rFont val="&quot;Angsana New&quot;, serif"/>
        <color rgb="FF1155CC"/>
        <sz val="12.0"/>
        <u/>
      </rPr>
      <t>Pacharapolc@sena.co.th</t>
    </r>
  </si>
  <si>
    <t>HO0001072C0002</t>
  </si>
  <si>
    <t>HO2C01025CON</t>
  </si>
  <si>
    <r>
      <rPr>
        <rFont val="&quot;Angsana New&quot;, serif"/>
        <color rgb="FF1155CC"/>
        <sz val="12.0"/>
        <u/>
      </rPr>
      <t>pattanank@senagreenautomotive.com</t>
    </r>
  </si>
  <si>
    <t>SN:MP2E0M2J</t>
  </si>
  <si>
    <t>สายงานการเงิน</t>
  </si>
  <si>
    <t>HO2C01002A/C</t>
  </si>
  <si>
    <r>
      <rPr>
        <rFont val="&quot;Angsana New&quot;, serif"/>
        <color rgb="FF1155CC"/>
        <sz val="12.0"/>
        <u/>
      </rPr>
      <t>Sareeyaj@sena.co.th</t>
    </r>
  </si>
  <si>
    <t>SN:CVYNPY3</t>
  </si>
  <si>
    <t>Lalitap@sena.co.th</t>
  </si>
  <si>
    <t>บัญชี-การเงินพัทยา</t>
  </si>
  <si>
    <r>
      <rPr>
        <rFont val="&quot;Angsana New&quot;, serif"/>
        <color rgb="FF1155CC"/>
        <sz val="12.0"/>
        <u/>
      </rPr>
      <t>natchayat@sena.co.th</t>
    </r>
  </si>
  <si>
    <t>PURHO012C0007</t>
  </si>
  <si>
    <t>เจ้าหน้าที่ประสานงานส่วนกลาง</t>
  </si>
  <si>
    <r>
      <rPr>
        <rFont val="&quot;Angsana New&quot;, serif"/>
        <color rgb="FF1155CC"/>
        <sz val="12.0"/>
        <u/>
      </rPr>
      <t>wanidab@sena.co.th</t>
    </r>
  </si>
  <si>
    <t>ฝ่ายกรรมการผู้จัดการ</t>
  </si>
  <si>
    <r>
      <rPr>
        <rFont val="&quot;Angsana New&quot;, serif"/>
        <color rgb="FF1155CC"/>
        <sz val="12.0"/>
        <u/>
      </rPr>
      <t>Nichananc@sena.co.th</t>
    </r>
  </si>
  <si>
    <t>Nakarni@sena.co.th</t>
  </si>
  <si>
    <r>
      <rPr>
        <rFont val="&quot;Angsana New&quot;, serif"/>
        <color rgb="FF1155CC"/>
        <sz val="12.0"/>
        <u/>
      </rPr>
      <t>Phakamonw@sena.co.th</t>
    </r>
  </si>
  <si>
    <t>ฝ่ายธุรการและบริการทั่วไป</t>
  </si>
  <si>
    <r>
      <rPr>
        <rFont val="&quot;Angsana New&quot;, serif"/>
        <color rgb="FF1155CC"/>
        <sz val="12.0"/>
        <u/>
      </rPr>
      <t>Thanchais@sena.co.th</t>
    </r>
  </si>
  <si>
    <t>HO0013072C0006</t>
  </si>
  <si>
    <r>
      <rPr>
        <rFont val="&quot;Angsana New&quot;, serif"/>
        <color rgb="FF1155CC"/>
        <sz val="12.0"/>
        <u/>
      </rPr>
      <t>wanchaik@sena.co.th</t>
    </r>
  </si>
  <si>
    <r>
      <rPr>
        <rFont val="&quot;Angsana New&quot;, serif"/>
        <color rgb="FF1155CC"/>
        <sz val="12.0"/>
        <u/>
      </rPr>
      <t>Wanareel@sena.co.th</t>
    </r>
  </si>
  <si>
    <t>เจ้าหน้าที่ทรัพย์สินอาวุโส</t>
  </si>
  <si>
    <r>
      <rPr>
        <rFont val="&quot;Angsana New&quot;, serif"/>
        <color rgb="FF1155CC"/>
        <sz val="12.0"/>
        <u/>
      </rPr>
      <t>Chaiwatk@sena.co.th</t>
    </r>
  </si>
  <si>
    <t>HO0027072C0006</t>
  </si>
  <si>
    <r>
      <rPr>
        <rFont val="&quot;Angsana New&quot;, serif"/>
        <color rgb="FF1155CC"/>
        <sz val="12.0"/>
        <u/>
      </rPr>
      <t>Mongkonj@sena.co.th</t>
    </r>
  </si>
  <si>
    <r>
      <rPr>
        <rFont val="&quot;Angsana New&quot;, serif"/>
        <color rgb="FF1155CC"/>
        <sz val="12.0"/>
        <u/>
      </rPr>
      <t>Saksitr@sena.co.th</t>
    </r>
  </si>
  <si>
    <t>ฝ่ายทรัพย์สิน</t>
  </si>
  <si>
    <r>
      <rPr>
        <rFont val="&quot;Angsana New&quot;, serif"/>
        <color rgb="FF1155CC"/>
        <sz val="12.0"/>
        <u/>
      </rPr>
      <t>Supasitk@sena.co.th</t>
    </r>
  </si>
  <si>
    <r>
      <rPr>
        <rFont val="&quot;Angsana New&quot;, serif"/>
        <color rgb="FF1155CC"/>
        <sz val="12.0"/>
        <u/>
      </rPr>
      <t>Sivathats@sena.co.th</t>
    </r>
  </si>
  <si>
    <t>HO0036072C0067</t>
  </si>
  <si>
    <r>
      <rPr>
        <rFont val="&quot;Angsana New&quot;, serif"/>
        <color rgb="FF1155CC"/>
        <sz val="12.0"/>
        <u/>
      </rPr>
      <t>Siwakornp@sena.co.th</t>
    </r>
  </si>
  <si>
    <t>เจ้าหน้าที่ธุรการทรัพย์สิน</t>
  </si>
  <si>
    <r>
      <rPr>
        <rFont val="&quot;Angsana New&quot;, serif"/>
        <color rgb="FF1155CC"/>
        <sz val="12.0"/>
        <u/>
      </rPr>
      <t>Chinorodb@sena.co.th</t>
    </r>
  </si>
  <si>
    <t>บุญยะกุล</t>
  </si>
  <si>
    <t>ที่ปรึกษางานกฎหมาย</t>
  </si>
  <si>
    <t>HO2C01005LAW</t>
  </si>
  <si>
    <r>
      <rPr>
        <rFont val="&quot;Angsana New&quot;, serif"/>
        <color rgb="FF1155CC"/>
        <sz val="12.0"/>
        <u/>
      </rPr>
      <t>Tinnakornk@sena.co.th</t>
    </r>
  </si>
  <si>
    <r>
      <rPr>
        <rFont val="&quot;Angsana New&quot;, serif"/>
        <color rgb="FF1155CC"/>
        <sz val="12.0"/>
        <u/>
      </rPr>
      <t>Nattawuta@sena.co.th</t>
    </r>
  </si>
  <si>
    <r>
      <rPr>
        <rFont val="&quot;Angsana New&quot;, serif"/>
        <color rgb="FF1155CC"/>
        <sz val="12.0"/>
        <u/>
      </rPr>
      <t>Pawintb@sena.co.th</t>
    </r>
  </si>
  <si>
    <r>
      <rPr>
        <rFont val="&quot;Angsana New&quot;, serif"/>
        <color rgb="FF1155CC"/>
        <sz val="12.0"/>
        <u/>
      </rPr>
      <t>Tichadas@sena.co.th</t>
    </r>
  </si>
  <si>
    <t>SN:4MT2CZ3</t>
  </si>
  <si>
    <t>วรัญญู</t>
  </si>
  <si>
    <t>จิรักษา</t>
  </si>
  <si>
    <t>เจ้าหน้าที่ฝ่ายกฎหมาย</t>
  </si>
  <si>
    <r>
      <rPr>
        <rFont val="&quot;Angsana New&quot;, serif"/>
        <color rgb="FF1155CC"/>
        <sz val="12.0"/>
        <u/>
      </rPr>
      <t>Hathairati@sena.co.th</t>
    </r>
  </si>
  <si>
    <r>
      <rPr>
        <rFont val="&quot;Angsana New&quot;, serif"/>
        <color rgb="FF1155CC"/>
        <sz val="12.0"/>
        <u/>
      </rPr>
      <t>Kanoknipaj@sena.co.th</t>
    </r>
  </si>
  <si>
    <t>ฝ่ายบริการหลังการขาย</t>
  </si>
  <si>
    <r>
      <rPr>
        <rFont val="&quot;Angsana New&quot;, serif"/>
        <color rgb="FF1155CC"/>
        <sz val="12.0"/>
        <u/>
      </rPr>
      <t>suphalerka@sena.co.th</t>
    </r>
  </si>
  <si>
    <t>SWCHO012C0013</t>
  </si>
  <si>
    <r>
      <rPr>
        <rFont val="&quot;Angsana New&quot;, serif"/>
        <color rgb="FF1155CC"/>
        <sz val="12.0"/>
        <u/>
      </rPr>
      <t>Chamnongb@sena.co.th</t>
    </r>
  </si>
  <si>
    <t>พิเชษฐ</t>
  </si>
  <si>
    <t>อนุสนธิ์</t>
  </si>
  <si>
    <r>
      <rPr>
        <rFont val="&quot;Angsana New&quot;, serif"/>
        <color rgb="FF1155CC"/>
        <sz val="12.0"/>
        <u/>
      </rPr>
      <t>Picheta@sena.co.th</t>
    </r>
  </si>
  <si>
    <r>
      <rPr>
        <rFont val="&quot;Angsana New&quot;, serif"/>
        <color rgb="FF1155CC"/>
        <sz val="12.0"/>
        <u/>
      </rPr>
      <t>Apichats@sena.co.th</t>
    </r>
  </si>
  <si>
    <r>
      <rPr>
        <rFont val="&quot;Angsana New&quot;, serif"/>
        <color rgb="FF1155CC"/>
        <sz val="12.0"/>
        <u/>
      </rPr>
      <t>sitanunj@sena.co.th</t>
    </r>
  </si>
  <si>
    <r>
      <rPr>
        <rFont val="&quot;Angsana New&quot;, serif"/>
        <color rgb="FF1155CC"/>
        <sz val="12.0"/>
        <u/>
      </rPr>
      <t>Kanvarints@sena.co.th</t>
    </r>
  </si>
  <si>
    <r>
      <rPr>
        <rFont val="&quot;Angsana New&quot;, serif"/>
        <color rgb="FF1155CC"/>
        <sz val="12.0"/>
        <u/>
      </rPr>
      <t>Radac@sena.co.th</t>
    </r>
  </si>
  <si>
    <t>ศิริวัฒนกุลวงษ์</t>
  </si>
  <si>
    <r>
      <rPr>
        <rFont val="&quot;Angsana New&quot;, serif"/>
        <color rgb="FF1155CC"/>
        <sz val="12.0"/>
        <u/>
      </rPr>
      <t>Athitayap@sena.co.th</t>
    </r>
  </si>
  <si>
    <r>
      <rPr>
        <rFont val="&quot;Angsana New&quot;, serif"/>
        <color rgb="FF1155CC"/>
        <sz val="12.0"/>
        <u/>
      </rPr>
      <t>Orawans@sena.co.th</t>
    </r>
  </si>
  <si>
    <r>
      <rPr>
        <rFont val="&quot;Angsana New&quot;, serif"/>
        <color rgb="FF1155CC"/>
        <sz val="12.0"/>
        <u/>
      </rPr>
      <t>Apinyal@sena.co.th</t>
    </r>
  </si>
  <si>
    <r>
      <rPr>
        <rFont val="&quot;Angsana New&quot;, serif"/>
        <color rgb="FF1155CC"/>
        <sz val="12.0"/>
        <u/>
      </rPr>
      <t>chalineej@sena.co.th</t>
    </r>
  </si>
  <si>
    <r>
      <rPr>
        <rFont val="&quot;Angsana New&quot;, serif"/>
        <color rgb="FF1155CC"/>
        <sz val="12.0"/>
        <u/>
      </rPr>
      <t>Suttewatp@sena.co.th</t>
    </r>
  </si>
  <si>
    <t>SN:D1QD314</t>
  </si>
  <si>
    <r>
      <rPr>
        <rFont val="&quot;Angsana New&quot;, serif"/>
        <color rgb="FF1155CC"/>
        <sz val="12.0"/>
        <u/>
      </rPr>
      <t>Ittiponh@sena.co.th</t>
    </r>
  </si>
  <si>
    <r>
      <rPr>
        <rFont val="&quot;Angsana New&quot;, serif"/>
        <color rgb="FF1155CC"/>
        <sz val="12.0"/>
        <u/>
      </rPr>
      <t>Saowalaksu@sena.co.th</t>
    </r>
  </si>
  <si>
    <t>เจ้าหน้าที่จัดซื้อจัดจ้าง</t>
  </si>
  <si>
    <r>
      <rPr>
        <rFont val="&quot;Angsana New&quot;, serif"/>
        <color rgb="FF1155CC"/>
        <sz val="12.0"/>
        <u/>
      </rPr>
      <t>Chanokdanaik@sena.co.th</t>
    </r>
  </si>
  <si>
    <t>เจ้าหน้าที่บัญชีการเงิน</t>
  </si>
  <si>
    <r>
      <rPr>
        <rFont val="&quot;Angsana New&quot;, serif"/>
        <color rgb="FF1155CC"/>
        <sz val="12.0"/>
        <u/>
      </rPr>
      <t>siriluckp@sena.co.th</t>
    </r>
  </si>
  <si>
    <r>
      <rPr>
        <rFont val="&quot;Angsana New&quot;, serif"/>
        <color rgb="FF1155CC"/>
        <sz val="12.0"/>
        <u/>
      </rPr>
      <t>Nattapongr@sena.co.th</t>
    </r>
  </si>
  <si>
    <r>
      <rPr>
        <rFont val="&quot;Angsana New&quot;, serif"/>
        <color rgb="FF1155CC"/>
        <sz val="12.0"/>
        <u/>
      </rPr>
      <t>Arithatb@sena.co.th</t>
    </r>
  </si>
  <si>
    <r>
      <rPr>
        <rFont val="&quot;Angsana New&quot;, serif"/>
        <color rgb="FF1155CC"/>
        <sz val="12.0"/>
        <u/>
      </rPr>
      <t>Jariwatl@sena.co.th</t>
    </r>
  </si>
  <si>
    <r>
      <rPr>
        <rFont val="&quot;Angsana New&quot;, serif"/>
        <color rgb="FF1155CC"/>
        <sz val="12.0"/>
        <u/>
      </rPr>
      <t>Panyamoll@sena.co.th</t>
    </r>
  </si>
  <si>
    <t>จนท.ประชาสัมพันธ์</t>
  </si>
  <si>
    <r>
      <rPr>
        <rFont val="&quot;Angsana New&quot;, serif"/>
        <color rgb="FF1155CC"/>
        <sz val="12.0"/>
        <u/>
      </rPr>
      <t>Jidapab@sena.co.th</t>
    </r>
  </si>
  <si>
    <t>SN:FFD0HY3</t>
  </si>
  <si>
    <t xml:space="preserve"> ฝ่ายบริหารโครงการบ้าน1</t>
  </si>
  <si>
    <r>
      <rPr>
        <rFont val="&quot;Angsana New&quot;, serif"/>
        <color rgb="FF1155CC"/>
        <sz val="12.0"/>
        <u/>
      </rPr>
      <t>Pongpunt@sena.co.th</t>
    </r>
  </si>
  <si>
    <r>
      <rPr>
        <rFont val="&quot;Angsana New&quot;, serif"/>
        <color rgb="FF1155CC"/>
        <sz val="12.0"/>
        <u/>
      </rPr>
      <t>warisad@sena.co.th</t>
    </r>
  </si>
  <si>
    <r>
      <rPr>
        <rFont val="&quot;Angsana New&quot;, serif"/>
        <color rgb="FF1155CC"/>
        <sz val="12.0"/>
        <u/>
      </rPr>
      <t>kulvadeeb@sena.co.th</t>
    </r>
  </si>
  <si>
    <r>
      <rPr>
        <rFont val="&quot;Angsana New&quot;, serif"/>
        <color rgb="FF1155CC"/>
        <sz val="12.0"/>
        <u/>
      </rPr>
      <t>Atthachak@sena.co.th</t>
    </r>
  </si>
  <si>
    <t>เอกกมล</t>
  </si>
  <si>
    <t>วาศวิท</t>
  </si>
  <si>
    <r>
      <rPr>
        <rFont val="&quot;Angsana New&quot;, serif"/>
        <color rgb="FF1155CC"/>
        <sz val="12.0"/>
        <u/>
      </rPr>
      <t>ekamolv@sena.co.th</t>
    </r>
  </si>
  <si>
    <t>SN:PF39GMX4</t>
  </si>
  <si>
    <r>
      <rPr>
        <rFont val="&quot;Angsana New&quot;, serif"/>
        <color rgb="FF1155CC"/>
        <sz val="12.0"/>
        <u/>
      </rPr>
      <t>nattapongw@sena.co.th</t>
    </r>
  </si>
  <si>
    <r>
      <rPr>
        <rFont val="&quot;Angsana New&quot;, serif"/>
        <color rgb="FF1155CC"/>
        <sz val="12.0"/>
        <u/>
      </rPr>
      <t>Puchongk@sena.co.th</t>
    </r>
  </si>
  <si>
    <t>HO0036072N0021</t>
  </si>
  <si>
    <r>
      <rPr>
        <rFont val="&quot;Angsana New&quot;, serif"/>
        <color rgb="FF1155CC"/>
        <sz val="12.0"/>
        <u/>
      </rPr>
      <t>jesadaw@sena.co.th</t>
    </r>
  </si>
  <si>
    <r>
      <rPr>
        <rFont val="&quot;Angsana New&quot;, serif"/>
        <color rgb="FF1155CC"/>
        <sz val="12.0"/>
        <u/>
      </rPr>
      <t>Akkaritn@sena.co.th</t>
    </r>
  </si>
  <si>
    <t>CONECOB1072N0001</t>
  </si>
  <si>
    <t>สายงานขายการตลาดคอนโด1</t>
  </si>
  <si>
    <r>
      <rPr>
        <rFont val="&quot;Angsana New&quot;, serif"/>
        <color rgb="FF1155CC"/>
        <sz val="12.0"/>
        <u/>
      </rPr>
      <t>Pariphatt@sena.co.th</t>
    </r>
  </si>
  <si>
    <t>Kittisaks@sena.co.th</t>
  </si>
  <si>
    <r>
      <rPr>
        <rFont val="&quot;Angsana New&quot;, serif"/>
        <color rgb="FF1155CC"/>
        <sz val="12.0"/>
        <u/>
      </rPr>
      <t>Maliwans@sena.co.th</t>
    </r>
  </si>
  <si>
    <r>
      <rPr>
        <rFont val="&quot;Angsana New&quot;, serif"/>
        <color rgb="FF1155CC"/>
        <sz val="12.0"/>
        <u/>
      </rPr>
      <t>Eakananp@sena.co.th</t>
    </r>
  </si>
  <si>
    <r>
      <rPr>
        <rFont val="&quot;Angsana New&quot;, serif"/>
        <color rgb="FF1155CC"/>
        <sz val="12.0"/>
        <u/>
      </rPr>
      <t>Sakchait@sena.co.th</t>
    </r>
  </si>
  <si>
    <t>Nattayaj@sena.co.th</t>
  </si>
  <si>
    <r>
      <rPr>
        <rFont val="&quot;Angsana New&quot;, serif"/>
        <color rgb="FF1155CC"/>
        <sz val="12.0"/>
        <u/>
      </rPr>
      <t>Benjamats@sena.co.th</t>
    </r>
  </si>
  <si>
    <r>
      <rPr>
        <rFont val="&quot;Angsana New&quot;, serif"/>
        <color rgb="FF1155CC"/>
        <sz val="12.0"/>
        <u/>
      </rPr>
      <t>Thidaratk@sena.co.th</t>
    </r>
  </si>
  <si>
    <r>
      <rPr>
        <rFont val="&quot;Angsana New&quot;, serif"/>
        <color rgb="FF1155CC"/>
        <sz val="12.0"/>
        <u/>
      </rPr>
      <t>Narasitas@sena.co.th</t>
    </r>
  </si>
  <si>
    <r>
      <rPr>
        <rFont val="&quot;Angsana New&quot;, serif"/>
        <color rgb="FF1155CC"/>
        <sz val="12.0"/>
        <u/>
      </rPr>
      <t>kistayab@senxgroup.com</t>
    </r>
  </si>
  <si>
    <t>peawphant@sena.co.th</t>
  </si>
  <si>
    <t>CONBD073C0002</t>
  </si>
  <si>
    <r>
      <rPr>
        <rFont val="&quot;Angsana New&quot;, serif"/>
        <color rgb="FF1155CC"/>
        <sz val="12.0"/>
        <u/>
      </rPr>
      <t>Witthayas@sena.co.th</t>
    </r>
  </si>
  <si>
    <t>SN:MP2ESZXW</t>
  </si>
  <si>
    <t>surachatw@sena.co.th</t>
  </si>
  <si>
    <t>CONB1/5072C0007</t>
  </si>
  <si>
    <r>
      <rPr>
        <rFont val="&quot;Angsana New&quot;, serif"/>
        <color rgb="FF1155CC"/>
        <sz val="12.0"/>
        <u/>
      </rPr>
      <t>Supparerkm@sena.co.th</t>
    </r>
  </si>
  <si>
    <t>CONF9-3D072C0001</t>
  </si>
  <si>
    <r>
      <rPr>
        <rFont val="&quot;Angsana New&quot;, serif"/>
        <color rgb="FF1155CC"/>
        <sz val="12.0"/>
        <u/>
      </rPr>
      <t>Wattanad@sena.co.th</t>
    </r>
  </si>
  <si>
    <t>SN:MP283HSA</t>
  </si>
  <si>
    <r>
      <rPr>
        <rFont val="&quot;Angsana New&quot;, serif"/>
        <color rgb="FF1155CC"/>
        <sz val="12.0"/>
        <u/>
      </rPr>
      <t>naresj@sena.co.th</t>
    </r>
  </si>
  <si>
    <r>
      <rPr>
        <rFont val="&quot;Angsana New&quot;, serif"/>
        <color rgb="FF1155CC"/>
        <sz val="12.0"/>
        <u/>
      </rPr>
      <t>Unnopt@sena.co.th</t>
    </r>
  </si>
  <si>
    <t>karanr@sena.co.th</t>
  </si>
  <si>
    <r>
      <rPr>
        <rFont val="&quot;Angsana New&quot;, serif"/>
        <color rgb="FF1155CC"/>
        <sz val="12.0"/>
        <u/>
      </rPr>
      <t>suviboonp@sena.co.th</t>
    </r>
  </si>
  <si>
    <r>
      <rPr>
        <rFont val="&quot;Angsana New&quot;, serif"/>
        <color rgb="FF1155CC"/>
        <sz val="12.0"/>
        <u/>
      </rPr>
      <t>Dumrongyutk@sena.co.th</t>
    </r>
  </si>
  <si>
    <r>
      <rPr>
        <rFont val="&quot;Angsana New&quot;, serif"/>
        <color rgb="FF1155CC"/>
        <sz val="12.0"/>
        <u/>
      </rPr>
      <t>rachanonc@sena.co.th</t>
    </r>
  </si>
  <si>
    <t>CONKPN072N0001</t>
  </si>
  <si>
    <r>
      <rPr>
        <rFont val="&quot;Angsana New&quot;, serif"/>
        <color rgb="FF1155CC"/>
        <sz val="12.0"/>
        <u/>
      </rPr>
      <t>Prawatkarnk@sena.co.th</t>
    </r>
  </si>
  <si>
    <t>SN:6S4XMX3</t>
  </si>
  <si>
    <t>สำนักบริหารโครงการคอนโด1</t>
  </si>
  <si>
    <r>
      <rPr>
        <rFont val="&quot;Angsana New&quot;, serif"/>
        <color rgb="FF1155CC"/>
        <sz val="12.0"/>
        <u/>
      </rPr>
      <t>Panritb@sena.co.th</t>
    </r>
  </si>
  <si>
    <t>SN:JKT2CZ3</t>
  </si>
  <si>
    <r>
      <rPr>
        <rFont val="&quot;Angsana New&quot;, serif"/>
        <color rgb="FF1155CC"/>
        <sz val="12.0"/>
        <u/>
      </rPr>
      <t>Pairoajs@sena.co.th</t>
    </r>
  </si>
  <si>
    <r>
      <rPr>
        <rFont val="&quot;Angsana New&quot;, serif"/>
        <color rgb="FF1155CC"/>
        <sz val="12.0"/>
        <u/>
      </rPr>
      <t>ratvarav@sena.co.th</t>
    </r>
  </si>
  <si>
    <r>
      <rPr>
        <rFont val="&quot;Angsana New&quot;, serif"/>
        <color rgb="FF1155CC"/>
        <sz val="12.0"/>
        <u/>
      </rPr>
      <t>Somphotej@sena.co.th</t>
    </r>
  </si>
  <si>
    <r>
      <rPr>
        <rFont val="&quot;Angsana New&quot;, serif"/>
        <color rgb="FF1155CC"/>
        <sz val="12.0"/>
        <u/>
      </rPr>
      <t>Chalidaa@sena.co.th</t>
    </r>
  </si>
  <si>
    <r>
      <rPr>
        <rFont val="&quot;Angsana New&quot;, serif"/>
        <color rgb="FF1155CC"/>
        <sz val="12.0"/>
        <u/>
      </rPr>
      <t>Silapornc@sena.co.th</t>
    </r>
  </si>
  <si>
    <t>HO0036072C0026</t>
  </si>
  <si>
    <r>
      <rPr>
        <rFont val="&quot;Angsana New&quot;, serif"/>
        <color rgb="FF1155CC"/>
        <sz val="12.0"/>
        <u/>
      </rPr>
      <t>Piangnapac@sena.co.th</t>
    </r>
  </si>
  <si>
    <r>
      <rPr>
        <rFont val="&quot;Angsana New&quot;, serif"/>
        <color rgb="FF1155CC"/>
        <sz val="12.0"/>
        <u/>
      </rPr>
      <t>Krichapaptad@sena.co.th</t>
    </r>
  </si>
  <si>
    <t>SALEISARA072C0001</t>
  </si>
  <si>
    <r>
      <rPr>
        <rFont val="&quot;Angsana New&quot;, serif"/>
        <color rgb="FF1155CC"/>
        <sz val="12.0"/>
        <u/>
      </rPr>
      <t>Sippawitp@sena.co.th</t>
    </r>
  </si>
  <si>
    <r>
      <rPr>
        <rFont val="Calibri, sans-serif"/>
        <color rgb="FF1155CC"/>
        <sz val="12.0"/>
        <u/>
      </rPr>
      <t>Atittayaw@sena.co.th</t>
    </r>
  </si>
  <si>
    <t>HO0043072C0002</t>
  </si>
  <si>
    <t>yuttapongs@sena.co.th</t>
  </si>
  <si>
    <r>
      <rPr>
        <rFont val="&quot;Angsana New&quot;, serif"/>
        <color rgb="FF1155CC"/>
        <sz val="12.0"/>
        <u/>
      </rPr>
      <t>Thanyalakk@sena.co.th</t>
    </r>
  </si>
  <si>
    <r>
      <rPr>
        <rFont val="&quot;Angsana New&quot;, serif"/>
        <color rgb="FF1155CC"/>
        <sz val="12.0"/>
        <u/>
      </rPr>
      <t>Chatnapar@sena.co.th</t>
    </r>
  </si>
  <si>
    <r>
      <rPr>
        <rFont val="&quot;Angsana New&quot;, serif"/>
        <color rgb="FF1155CC"/>
        <sz val="12.0"/>
        <u/>
      </rPr>
      <t>phatnathanond@sena.co.th</t>
    </r>
  </si>
  <si>
    <r>
      <rPr>
        <rFont val="&quot;Angsana New&quot;, serif"/>
        <color rgb="FF1155CC"/>
        <sz val="12.0"/>
        <u/>
      </rPr>
      <t>Nontaratk@sena.co.th</t>
    </r>
  </si>
  <si>
    <t>SN:MP2ESVBT</t>
  </si>
  <si>
    <r>
      <rPr>
        <rFont val="&quot;Angsana New&quot;, serif"/>
        <color rgb="FF1155CC"/>
        <sz val="12.0"/>
        <u/>
      </rPr>
      <t>Thongchaiw@sena.co.th</t>
    </r>
  </si>
  <si>
    <t>Ubons@sena.co.th</t>
  </si>
  <si>
    <r>
      <rPr>
        <rFont val="&quot;Angsana New&quot;, serif"/>
        <color rgb="FF1155CC"/>
        <sz val="12.0"/>
        <u/>
      </rPr>
      <t>Natk@sena.co.th</t>
    </r>
  </si>
  <si>
    <t>SN:PF37V5Q5</t>
  </si>
  <si>
    <r>
      <rPr>
        <rFont val="&quot;Angsana New&quot;, serif"/>
        <color rgb="FF1155CC"/>
        <sz val="12.0"/>
        <u/>
      </rPr>
      <t>Niponr@sena.co.th</t>
    </r>
  </si>
  <si>
    <t>SN:MP2EHAFC</t>
  </si>
  <si>
    <t>HO0004072N0005</t>
  </si>
  <si>
    <r>
      <rPr>
        <rFont val="&quot;Angsana New&quot;, serif"/>
        <color rgb="FF1155CC"/>
        <sz val="12.0"/>
        <u/>
      </rPr>
      <t>Saksorns@sena.co.th</t>
    </r>
  </si>
  <si>
    <t>สายงานขายและการตลาด คอนโด2</t>
  </si>
  <si>
    <r>
      <rPr>
        <rFont val="&quot;Angsana New&quot;, serif"/>
        <color rgb="FF1155CC"/>
        <sz val="12.0"/>
        <u/>
      </rPr>
      <t>Kornumak@sena.co.th</t>
    </r>
  </si>
  <si>
    <t>SN:MP2E09KS</t>
  </si>
  <si>
    <r>
      <rPr>
        <rFont val="&quot;Angsana New&quot;, serif"/>
        <color rgb="FF1155CC"/>
        <sz val="12.0"/>
        <u/>
      </rPr>
      <t>Pimprapaiu@sena.co.th</t>
    </r>
  </si>
  <si>
    <t>HO0010073C0009</t>
  </si>
  <si>
    <t>SN:PF39G3TZ</t>
  </si>
  <si>
    <r>
      <rPr>
        <rFont val="&quot;Angsana New&quot;, serif"/>
        <color rgb="FF1155CC"/>
        <sz val="12.0"/>
        <u/>
      </rPr>
      <t>Kanokrata@sena.co.th</t>
    </r>
  </si>
  <si>
    <t>HO0004072C0013</t>
  </si>
  <si>
    <r>
      <rPr>
        <rFont val="&quot;Angsana New&quot;, serif"/>
        <color rgb="FF1155CC"/>
        <sz val="12.0"/>
        <u/>
      </rPr>
      <t>Natdanaipo@sena.co.th</t>
    </r>
  </si>
  <si>
    <t>SALFX1072N0001</t>
  </si>
  <si>
    <r>
      <rPr>
        <rFont val="&quot;Angsana New&quot;, serif"/>
        <color rgb="FF1155CC"/>
        <sz val="12.0"/>
        <u/>
      </rPr>
      <t>Mayladaa@sena.co.th</t>
    </r>
  </si>
  <si>
    <t>HO0013073C0002</t>
  </si>
  <si>
    <r>
      <rPr>
        <rFont val="&quot;Angsana New&quot;, serif"/>
        <color rgb="FF1155CC"/>
        <sz val="12.0"/>
        <u/>
      </rPr>
      <t>Nareeratl@sena.co.th</t>
    </r>
  </si>
  <si>
    <t>SN:MP2EHCMN</t>
  </si>
  <si>
    <r>
      <rPr>
        <rFont val="&quot;Angsana New&quot;, serif"/>
        <color rgb="FF1155CC"/>
        <sz val="12.0"/>
        <u/>
      </rPr>
      <t>Sasinapat@sena.co.th</t>
    </r>
  </si>
  <si>
    <t>HO0036072C0003</t>
  </si>
  <si>
    <r>
      <rPr>
        <rFont val="&quot;Angsana New&quot;, serif"/>
        <color rgb="FF1155CC"/>
        <sz val="12.0"/>
        <u/>
      </rPr>
      <t>Chotirats@sena.co.th</t>
    </r>
  </si>
  <si>
    <t>HO0010072C0007</t>
  </si>
  <si>
    <t>ปัณฑารีย์</t>
  </si>
  <si>
    <t>วาทีรักษ์</t>
  </si>
  <si>
    <r>
      <rPr>
        <rFont val="&quot;Angsana New&quot;, serif"/>
        <color rgb="FF1155CC"/>
        <sz val="12.0"/>
        <u/>
      </rPr>
      <t>Pantareew@sena.co.th</t>
    </r>
  </si>
  <si>
    <t>HO0010072C0010</t>
  </si>
  <si>
    <r>
      <rPr>
        <rFont val="&quot;Angsana New&quot;, serif"/>
        <color rgb="FF1155CC"/>
        <sz val="12.0"/>
        <u/>
      </rPr>
      <t>Sudaranep@sena.co.th</t>
    </r>
  </si>
  <si>
    <t>SALSV70072N0001</t>
  </si>
  <si>
    <r>
      <rPr>
        <rFont val="&quot;Angsana New&quot;, serif"/>
        <color rgb="FF1155CC"/>
        <sz val="12.0"/>
        <u/>
      </rPr>
      <t>Jurairatto@sena.co.th</t>
    </r>
  </si>
  <si>
    <t>SALEPUNVI072C0010</t>
  </si>
  <si>
    <r>
      <rPr>
        <rFont val="&quot;Angsana New&quot;, serif"/>
        <color rgb="FF1155CC"/>
        <sz val="12.0"/>
        <u/>
      </rPr>
      <t>Napatsornj@sena.co.th</t>
    </r>
  </si>
  <si>
    <r>
      <rPr>
        <rFont val="&quot;Angsana New&quot;, serif"/>
        <color rgb="FF1155CC"/>
        <sz val="12.0"/>
        <u/>
      </rPr>
      <t>Poosachayak@sena.co.th</t>
    </r>
  </si>
  <si>
    <t>สายงานขายและการตลาดคอนโด3</t>
  </si>
  <si>
    <t>Panawanp@sena.co.th</t>
  </si>
  <si>
    <t>SN:PF39G1LK</t>
  </si>
  <si>
    <t>Chinpitarc@sena.co.th</t>
  </si>
  <si>
    <r>
      <rPr>
        <rFont val="&quot;Angsana New&quot;, serif"/>
        <color rgb="FF1155CC"/>
        <sz val="12.0"/>
        <u/>
      </rPr>
      <t>Phattipanc@sena.co.th</t>
    </r>
  </si>
  <si>
    <t>SN:MP24V5Q9</t>
  </si>
  <si>
    <t>Sopanac@sena.co.th</t>
  </si>
  <si>
    <t>SN:MP2DGHZ0</t>
  </si>
  <si>
    <r>
      <rPr>
        <rFont val="&quot;Angsana New&quot;, serif"/>
        <color rgb="FF1155CC"/>
        <sz val="12.0"/>
        <u/>
      </rPr>
      <t>Sawitriw@sena.co.th</t>
    </r>
  </si>
  <si>
    <t>SN:MP2EHH34</t>
  </si>
  <si>
    <r>
      <rPr>
        <rFont val="&quot;Angsana New&quot;, serif"/>
        <color rgb="FF1155CC"/>
        <sz val="12.0"/>
        <u/>
      </rPr>
      <t>Supattraj@sena.co.th</t>
    </r>
  </si>
  <si>
    <r>
      <rPr>
        <rFont val="&quot;Angsana New&quot;, serif"/>
        <color rgb="FF1155CC"/>
        <sz val="12.0"/>
        <u/>
      </rPr>
      <t>Saranyapondp@sena.co.th</t>
    </r>
  </si>
  <si>
    <r>
      <rPr>
        <rFont val="&quot;Angsana New&quot;, serif"/>
        <color rgb="FF1155CC"/>
        <sz val="12.0"/>
        <u/>
      </rPr>
      <t>Wannapornp@sena.co.th</t>
    </r>
  </si>
  <si>
    <r>
      <rPr>
        <rFont val="&quot;Angsana New&quot;, serif"/>
        <color rgb="FF1155CC"/>
        <sz val="12.0"/>
        <u/>
      </rPr>
      <t>Issarapornt@sena.co.th</t>
    </r>
  </si>
  <si>
    <t>HO0036072C0032</t>
  </si>
  <si>
    <r>
      <rPr>
        <rFont val="&quot;Angsana New&quot;, serif"/>
        <color rgb="FF1155CC"/>
        <sz val="12.0"/>
        <u/>
      </rPr>
      <t>Natthichac@sena.co.th</t>
    </r>
  </si>
  <si>
    <t>HO0036072C0042</t>
  </si>
  <si>
    <r>
      <rPr>
        <rFont val="&quot;Angsana New&quot;, serif"/>
        <color rgb="FF1155CC"/>
        <sz val="12.0"/>
        <u/>
      </rPr>
      <t>Salisak@sena.co.th</t>
    </r>
  </si>
  <si>
    <t>SN:3TYNPY3</t>
  </si>
  <si>
    <t>สายงานขายและการตลาดคอนโด4</t>
  </si>
  <si>
    <t>Aunyapachp@sena.co.th</t>
  </si>
  <si>
    <t>SN:MP2DGJHR</t>
  </si>
  <si>
    <r>
      <rPr>
        <rFont val="&quot;Angsana New&quot;, serif"/>
        <color rgb="FF1155CC"/>
        <sz val="12.0"/>
        <u/>
      </rPr>
      <t>Suchawadeet@sena.co.th</t>
    </r>
  </si>
  <si>
    <t>SALPETBR012C0014</t>
  </si>
  <si>
    <r>
      <rPr>
        <rFont val="&quot;Angsana New&quot;, serif"/>
        <color rgb="FF1155CC"/>
        <sz val="12.0"/>
        <u/>
      </rPr>
      <t>Luachaluckj@sena.co.th</t>
    </r>
  </si>
  <si>
    <r>
      <rPr>
        <rFont val="&quot;Angsana New&quot;, serif"/>
        <color rgb="FF1155CC"/>
        <sz val="12.0"/>
        <u/>
      </rPr>
      <t>Napaparr@sena.co.th</t>
    </r>
  </si>
  <si>
    <r>
      <rPr>
        <rFont val="&quot;Angsana New&quot;, serif"/>
        <color rgb="FF1155CC"/>
        <sz val="12.0"/>
        <u/>
      </rPr>
      <t>Wassanac@sena.co.th</t>
    </r>
  </si>
  <si>
    <t>HO0036072C0081</t>
  </si>
  <si>
    <r>
      <rPr>
        <rFont val="&quot;Angsana New&quot;, serif"/>
        <color rgb="FF1155CC"/>
        <sz val="12.0"/>
        <u/>
      </rPr>
      <t>Anothait@sena.co.th</t>
    </r>
  </si>
  <si>
    <t>SN:MP2EJ7JM</t>
  </si>
  <si>
    <t>สายงานขายและการตลาดบ้าน1</t>
  </si>
  <si>
    <r>
      <rPr>
        <rFont val="&quot;Angsana New&quot;, serif"/>
        <color rgb="FF1155CC"/>
        <sz val="12.0"/>
        <u/>
      </rPr>
      <t>Sasamonc@sena.co.th</t>
    </r>
  </si>
  <si>
    <r>
      <rPr>
        <rFont val="&quot;Angsana New&quot;, serif"/>
        <color rgb="FF1155CC"/>
        <sz val="12.0"/>
        <u/>
      </rPr>
      <t>Prapaphant@sena.co.th</t>
    </r>
  </si>
  <si>
    <t>CONHO012C0056</t>
  </si>
  <si>
    <r>
      <rPr>
        <rFont val="&quot;Angsana New&quot;, serif"/>
        <color rgb="FF1155CC"/>
        <sz val="12.0"/>
        <u/>
      </rPr>
      <t>Sukanyat@sena.co.th</t>
    </r>
  </si>
  <si>
    <t>SN:MP2EHW4S</t>
  </si>
  <si>
    <t>สุชีรา</t>
  </si>
  <si>
    <t>เนียมประดิษฐ์</t>
  </si>
  <si>
    <r>
      <rPr>
        <rFont val="&quot;Angsana New&quot;, serif"/>
        <color rgb="FF1155CC"/>
        <sz val="12.0"/>
        <u/>
      </rPr>
      <t>sucheran@sena.co.th</t>
    </r>
  </si>
  <si>
    <t>MAKHO012C0038</t>
  </si>
  <si>
    <t>K112C01002SAL</t>
  </si>
  <si>
    <t>HO2C01025SAL</t>
  </si>
  <si>
    <r>
      <rPr>
        <rFont val="&quot;Angsana New&quot;, serif"/>
        <color rgb="FF1155CC"/>
        <sz val="12.0"/>
        <u/>
      </rPr>
      <t>Wanikab@senxgroup.com</t>
    </r>
  </si>
  <si>
    <t>HOS011072C0004</t>
  </si>
  <si>
    <r>
      <rPr>
        <rFont val="&quot;Angsana New&quot;, serif"/>
        <color rgb="FF1155CC"/>
        <sz val="12.0"/>
        <u/>
      </rPr>
      <t>Piranutk@sena.co.th</t>
    </r>
  </si>
  <si>
    <t>HO0036072C0070</t>
  </si>
  <si>
    <r>
      <rPr>
        <rFont val="&quot;Angsana New&quot;, serif"/>
        <color rgb="FF1155CC"/>
        <sz val="12.0"/>
        <u/>
      </rPr>
      <t>pavaretp@sena.co.th</t>
    </r>
  </si>
  <si>
    <t>สายงานขายการตลาดบ้าน2</t>
  </si>
  <si>
    <r>
      <rPr>
        <rFont val="&quot;Angsana New&quot;, serif"/>
        <color rgb="FF1155CC"/>
        <sz val="12.0"/>
        <u/>
      </rPr>
      <t>Ekkrishr@sena.co.th</t>
    </r>
  </si>
  <si>
    <t>HO0012072C0002</t>
  </si>
  <si>
    <r>
      <rPr>
        <rFont val="&quot;Angsana New&quot;, serif"/>
        <color rgb="FF1155CC"/>
        <sz val="12.0"/>
        <u/>
      </rPr>
      <t>Worawitt@sena.co.th</t>
    </r>
  </si>
  <si>
    <r>
      <rPr>
        <rFont val="&quot;Angsana New&quot;, serif"/>
        <color rgb="FF1155CC"/>
        <sz val="12.0"/>
        <u/>
      </rPr>
      <t>Nattamona@sena.co.th</t>
    </r>
  </si>
  <si>
    <t>ทองนา</t>
  </si>
  <si>
    <t>หัวหน้าแผนกการตลาด</t>
  </si>
  <si>
    <r>
      <rPr>
        <rFont val="&quot;Angsana New&quot;, serif"/>
        <color rgb="FF1155CC"/>
        <sz val="12.0"/>
        <u/>
      </rPr>
      <t>Khemisaras@sena.co.th</t>
    </r>
  </si>
  <si>
    <r>
      <rPr>
        <rFont val="&quot;Angsana New&quot;, serif"/>
        <color rgb="FF1155CC"/>
        <sz val="12.0"/>
        <u/>
      </rPr>
      <t>kornnikan@senxgroup.com</t>
    </r>
  </si>
  <si>
    <t>HOS011072C0003</t>
  </si>
  <si>
    <r>
      <rPr>
        <rFont val="&quot;Angsana New&quot;, serif"/>
        <color rgb="FF1155CC"/>
        <sz val="12.0"/>
        <u/>
      </rPr>
      <t>Kornnaraim@sena.co.th</t>
    </r>
  </si>
  <si>
    <t>พนักงานที่ทำงานอยู่ปัจจุบัน</t>
  </si>
  <si>
    <t>SELECT [EmployeeID]
      ,[Branch]
          ,    RIGHT('0' + CAST(DAY(StartDate) AS VARCHAR(2)), 2) + '-' + RIGHT('0' + CAST(MONTH(StartDate) AS VARCHAR(2)), 2) + '-' + CAST(YEAR(StartDate) AS VARCHAR(4)) AS Startdate
      ,[PrefixTH]
      ,[NameTH]
      ,[SurnameTH]
          ,[Nickname]
      ,[Email]
      ,[Workarea]
      ,[PositionName]
      ,[DepartmentName]
      ,[status]
  FROM [SenaAssetsDB].[dbo].[ms_hremployee]
  where (Status ='A' or Status ='V' )
  and Branch &lt;&gt;''
  order by Branch,NameTH,DepartmentName</t>
  </si>
  <si>
    <t>PCRent</t>
  </si>
  <si>
    <t>SELECT 
    -- ตัดชื่อ
    CASE 
        WHEN CHARINDEX(' ', s.staff_name) &gt; 0 
        THEN LEFT(s.staff_name, CHARINDEX(' ', s.staff_name) - 1)
        ELSE s.staff_name
    END AS name,
    -- ตัดนามสกุล
    CASE 
        WHEN CHARINDEX(' ', s.staff_name) &gt; 0 
        THEN RIGHT(s.staff_name, LEN(s.staff_name) - CHARINDEX(' ', s.staff_name))
        ELSE ''
    END AS surname,
    a.serialno,
    b.product_name,
    CONVERT(VARCHAR(10), a.start_date, 103) AS start_date,
        CONVERT(VARCHAR(10), a.end_date, 103) AS end_date,
    d.description AS department_staff
FROM ms_serial a
JOIN ms_product b ON a.product_code = b.product_code
LEFT JOIN ms_staff s ON s.staff_code = a.staff_code
LEFT JOIN ms_department d ON d.department_code = s.department_code
WHERE a.product_code IN (
    SELECT product_code
    FROM ms_product
    WHERE product_group_code IN ('01','02') 
      AND product_type_code = '07'
)
AND a.serialno LIKE 'SN:%'
AND b.product_name NOT LIKE N'%จอ%'
AND a.is_active = 'Y'
ORDER BY a.update_date DESC;</t>
  </si>
  <si>
    <t>MonitorRent</t>
  </si>
  <si>
    <t>SELECT 
    -- ตัดชื่อ
    CASE 
        WHEN CHARINDEX(' ', s.staff_name) &gt; 0 
        THEN LEFT(s.staff_name, CHARINDEX(' ', s.staff_name) - 1)
        ELSE s.staff_name
    END AS name,
    -- ตัดนามสกุล
    CASE 
        WHEN CHARINDEX(' ', s.staff_name) &gt; 0 
        THEN RIGHT(s.staff_name, LEN(s.staff_name) - CHARINDEX(' ', s.staff_name))
        ELSE ''
    END AS surname,
    a.serialno,
    b.product_name,
    CONVERT(VARCHAR(10), a.start_date, 103) AS start_date,
        CONVERT(VARCHAR(10), a.end_date, 103) AS end_date,
    d.description AS department_staff
FROM ms_serial a
JOIN ms_product b ON a.product_code = b.product_code
LEFT JOIN ms_staff s ON s.staff_code = a.staff_code
LEFT JOIN ms_department d ON d.department_code = s.department_code
WHERE a.product_code IN (
    SELECT product_code
    FROM ms_product
    WHERE product_group_code IN ('01','02') 
      AND product_type_code = '07'
)
AND a.serialno LIKE 'SN:%'
AND b.product_name LIKE '%จอ%'
AND a.is_active = 'Y'
ORDER BY a.update_date DESC;</t>
  </si>
  <si>
    <t>ดึงข้อมูล พนักงานย้ายสังกัด</t>
  </si>
  <si>
    <t>มาวางใน db เพื่อให้แจ้งเตือน Email</t>
  </si>
  <si>
    <t>ID</t>
  </si>
  <si>
    <t>สถานะพนักงาน</t>
  </si>
  <si>
    <t>คอมพิวเตอร์</t>
  </si>
  <si>
    <t>RENT</t>
  </si>
  <si>
    <t>ฝ่าย Public Relations &amp; Corperate Communication</t>
  </si>
  <si>
    <t>kantapongb@sena.co.th</t>
  </si>
  <si>
    <t>เจ้าหน้าที่กฎหมายอาวุโส</t>
  </si>
  <si>
    <t>ปิ่นปฐวี</t>
  </si>
  <si>
    <t>ฤทธิ์ฉิ้ม</t>
  </si>
  <si>
    <t>วิว</t>
  </si>
  <si>
    <t>ขนิษฐา</t>
  </si>
  <si>
    <t>เมืองนาค</t>
  </si>
  <si>
    <t>ฝ่ายการตลาดคอนโด 2C</t>
  </si>
  <si>
    <t>ชัยพันธุ์</t>
  </si>
  <si>
    <t>เจ้าหน้าที่กำกับดูแล</t>
  </si>
  <si>
    <t>ศิลารัตน์</t>
  </si>
  <si>
    <t>ฝ่ายขายบ้าน 2 (โซนศรีราชา / บ่อวิน)</t>
  </si>
  <si>
    <t>สกุลตลา</t>
  </si>
  <si>
    <t>สงขะสะโรช</t>
  </si>
  <si>
    <t>ฝ่ายขายบ้าน 2A</t>
  </si>
  <si>
    <t>ฝ่ายขายคอนโด 3A</t>
  </si>
  <si>
    <t>ฝ่ายขายคอนโด 3D</t>
  </si>
  <si>
    <t>ประทยศ</t>
  </si>
  <si>
    <t>ฝ่ายขายคอนโด 2D</t>
  </si>
  <si>
    <t>ฝ่ายขายคอนโด 2A</t>
  </si>
  <si>
    <t>ฝ่ายขายบ้าน 1D</t>
  </si>
  <si>
    <t>ฝ่ายขายคอนโด 4A</t>
  </si>
  <si>
    <t>นภัสสิริน</t>
  </si>
  <si>
    <t>พรรณา</t>
  </si>
  <si>
    <t>ฝ่ายขายคอนโด 1A</t>
  </si>
  <si>
    <t>ศิริกรพร</t>
  </si>
  <si>
    <t>กุสุมาลย์</t>
  </si>
  <si>
    <t>ฐิติมา</t>
  </si>
  <si>
    <t>มหากาฬ</t>
  </si>
  <si>
    <t>ไหม</t>
  </si>
  <si>
    <t>ฝ่ายขายคอนโด 4B</t>
  </si>
  <si>
    <t>ปัฐธวีร์</t>
  </si>
  <si>
    <t>สุทธิแสวง</t>
  </si>
  <si>
    <t>ฝ่ายขายคอนโด 2C</t>
  </si>
  <si>
    <t>เทศกิจ</t>
  </si>
  <si>
    <t>ฝ่ายขายบ้าน 1C</t>
  </si>
  <si>
    <t>อนุษรา</t>
  </si>
  <si>
    <t>ด่อนคร้าม</t>
  </si>
  <si>
    <t>ฝ่ายขายคอนโด 2B</t>
  </si>
  <si>
    <t>ฝ่ายขายคอนโด 3C</t>
  </si>
  <si>
    <t>ฝ่ายธุรการทั่วไป</t>
  </si>
  <si>
    <t>BK680360</t>
  </si>
  <si>
    <t>ฝ่ายบริหารโครงการคอนโดและบ้าน 11E</t>
  </si>
  <si>
    <t>ฝ่ายบริหารโครงการคอนโดและบ้าน 13F</t>
  </si>
  <si>
    <t>ฝ่ายบริหารโครงการบ้าน 11E</t>
  </si>
  <si>
    <t>วรพรรณ</t>
  </si>
  <si>
    <t>บุญทิม</t>
  </si>
  <si>
    <t>เพียว</t>
  </si>
  <si>
    <t>วรรณิกา</t>
  </si>
  <si>
    <t>หมื่นไธสง</t>
  </si>
  <si>
    <t>ธิศรี</t>
  </si>
  <si>
    <t>กันดี</t>
  </si>
  <si>
    <t>สุพินดา</t>
  </si>
  <si>
    <t>แป้นอ้อย</t>
  </si>
  <si>
    <t>แต้ว</t>
  </si>
  <si>
    <t>พีรภัทร</t>
  </si>
  <si>
    <t>เซวาซิงห์</t>
  </si>
  <si>
    <t>บิ๊ว</t>
  </si>
  <si>
    <t>ธนากรณ์</t>
  </si>
  <si>
    <t>มณีพฤกษ์</t>
  </si>
  <si>
    <t>ฟรุต</t>
  </si>
  <si>
    <t>ยุพิน</t>
  </si>
  <si>
    <t>ชลทิชา</t>
  </si>
  <si>
    <t>โซเฟีย</t>
  </si>
  <si>
    <t>เพ็ญนภา</t>
  </si>
  <si>
    <t>ชุ่มหยวก</t>
  </si>
  <si>
    <t>ฝ่ายบริหารโครงการคอนโดและบ้าน 11C</t>
  </si>
  <si>
    <t>เลขานุการกรรมการผู้จัดการอาวุโส</t>
  </si>
  <si>
    <t>ฝ่ายบริหารอาคารที่อยู่อาศัย</t>
  </si>
  <si>
    <t>ฝ่ายบริหารโครงการคอนโด 14A</t>
  </si>
  <si>
    <t>ฝ่ายบริหารโครงการบ้าน 11G</t>
  </si>
  <si>
    <t>นลัทพร</t>
  </si>
  <si>
    <t>ฤทธิ์พิทักษ์พงศ์</t>
  </si>
  <si>
    <t>จตุรงค์</t>
  </si>
  <si>
    <t>สัจจะนรพันธ์</t>
  </si>
  <si>
    <t>สุทธิโชติ</t>
  </si>
  <si>
    <t>มั่งคั่ง</t>
  </si>
  <si>
    <t>มิก</t>
  </si>
  <si>
    <t>เมธีชัย</t>
  </si>
  <si>
    <t>ชัยศักดานุกูล</t>
  </si>
  <si>
    <t>จรรยพัฒน์</t>
  </si>
  <si>
    <t>รุ่งรัตน์ธวัชชัย</t>
  </si>
  <si>
    <t>ฝ่ายบริหารคู่สัญญา</t>
  </si>
  <si>
    <t>ภานุพันธ์</t>
  </si>
  <si>
    <t>ปัญญานะ</t>
  </si>
  <si>
    <t>ภานุ</t>
  </si>
  <si>
    <t>สายงานการตลาดธุรกิจ 2</t>
  </si>
  <si>
    <t>เชษฐ</t>
  </si>
  <si>
    <t>เฉลิมการนนท์</t>
  </si>
  <si>
    <t>ฝ่ายการตลาดคอนโด 1C</t>
  </si>
  <si>
    <t>สุพัฒนพงศ์</t>
  </si>
  <si>
    <t>วงษ์กิจวิเชียร</t>
  </si>
  <si>
    <t>อรกัญญา</t>
  </si>
  <si>
    <t>วรรณทอง</t>
  </si>
  <si>
    <t>เมเปิ้ล</t>
  </si>
  <si>
    <t>เมธารังสิยา</t>
  </si>
  <si>
    <t>ฝ่ายงานเทคโนโลยีสารสนเทศ</t>
  </si>
  <si>
    <t>ฝ่ายบริหารโครงการคอนโดและบ้าน 13E</t>
  </si>
  <si>
    <t>ฝ่ายบริหารโครงการคอนโดและบ้าน 13C</t>
  </si>
  <si>
    <t>ภิตติ</t>
  </si>
  <si>
    <t>วสันต์ขจร</t>
  </si>
  <si>
    <t>วรวุธ</t>
  </si>
  <si>
    <t>เสาร์พูน</t>
  </si>
  <si>
    <t>วุธ</t>
  </si>
  <si>
    <t>สหพล</t>
  </si>
  <si>
    <t>ฝ่ายกิจการพิเศษ</t>
  </si>
  <si>
    <t>ฝ่ายขายบ้าน 1B</t>
  </si>
  <si>
    <t>ฝ่าย TK</t>
  </si>
  <si>
    <t>เชาว์วิจิตร</t>
  </si>
  <si>
    <t>อักษร</t>
  </si>
  <si>
    <t>กมลภัทร</t>
  </si>
  <si>
    <t>แสวงกิจ</t>
  </si>
  <si>
    <t>สายงาน Inter Sale - Resale</t>
  </si>
  <si>
    <t>เถื่อนสุริยะ</t>
  </si>
  <si>
    <t>ฝ่ายขายคอนโด 1C</t>
  </si>
  <si>
    <t>Phichayap@sena.co.th</t>
  </si>
  <si>
    <t>พัฒนา</t>
  </si>
  <si>
    <t>เกษมบุญรักษ์</t>
  </si>
  <si>
    <t>ฝ่ายภูมิทัศน์และสิ่งแวดล้อม</t>
  </si>
  <si>
    <t>ฝ่ายพัฒนาโครงการ</t>
  </si>
  <si>
    <t>ฝ่ายขายคอนโด 1B</t>
  </si>
  <si>
    <t>supawadeek@sena.co.th</t>
  </si>
  <si>
    <t>ฝ่ายบริหารทั่วไป</t>
  </si>
  <si>
    <t>นัฎฐกรณ์</t>
  </si>
  <si>
    <t>พะนัส</t>
  </si>
  <si>
    <t>ฝ่ายประสานงานและบริการลูกค้า</t>
  </si>
  <si>
    <t>เสน่ห์</t>
  </si>
  <si>
    <t>ธีรกานต์</t>
  </si>
  <si>
    <t>เพ็ชรเวียงเหนือ</t>
  </si>
  <si>
    <t>กอร์ฟ</t>
  </si>
  <si>
    <t>ยุทธพล</t>
  </si>
  <si>
    <t>เอื้อสุนทรชัยกุล</t>
  </si>
  <si>
    <t>เซี้ย</t>
  </si>
  <si>
    <t>VMS620034</t>
  </si>
  <si>
    <t>สายงานบริการทางวิศวกรรม (Extra Service)</t>
  </si>
  <si>
    <t>เขมราช</t>
  </si>
  <si>
    <t>ม่วงกลิ้ง</t>
  </si>
  <si>
    <t>แซ็ก</t>
  </si>
  <si>
    <t>เพน</t>
  </si>
  <si>
    <t>VMS620044</t>
  </si>
  <si>
    <t>VMS620041</t>
  </si>
  <si>
    <t>ฝ่ายขายคอนโด 1E</t>
  </si>
  <si>
    <t>คตตระกาล</t>
  </si>
  <si>
    <t>nuttawutt@senxgroup.com</t>
  </si>
  <si>
    <t>กัลยาณี</t>
  </si>
  <si>
    <t>ชุติมากุล</t>
  </si>
  <si>
    <t>สายงาน Premium house Ekkamai</t>
  </si>
  <si>
    <t>สายงานขาย และการตลาดคอนโด 2</t>
  </si>
  <si>
    <t>รักษาการผู้ช่วยหัวหน้าแผนก</t>
  </si>
  <si>
    <t>เต็มสหโสภณ</t>
  </si>
  <si>
    <t>ฝ่าย Construction</t>
  </si>
  <si>
    <t>ฝ่ายบริหารโครงการบ้าน 11F</t>
  </si>
  <si>
    <t>ธนาศักดิ์</t>
  </si>
  <si>
    <t>พวงไม้</t>
  </si>
  <si>
    <t>ภาณุวัฒน์</t>
  </si>
  <si>
    <t>นิ่มสมบุญ</t>
  </si>
  <si>
    <t>สงประเสริฐ</t>
  </si>
  <si>
    <t>คงเกตุ</t>
  </si>
  <si>
    <t>โจ๊ะ</t>
  </si>
  <si>
    <t>เลอพงษ์</t>
  </si>
  <si>
    <t>วาระสิทธิ์</t>
  </si>
  <si>
    <t>ราชวงศา</t>
  </si>
  <si>
    <t>VMS620074</t>
  </si>
  <si>
    <t>นลวัทน์</t>
  </si>
  <si>
    <t>ปรีชาพรประเสริฐ</t>
  </si>
  <si>
    <t>เอฟ</t>
  </si>
  <si>
    <t>หัวหน้าแผนกจัดสรรเงินทุน</t>
  </si>
  <si>
    <t>ฝ่ายการตลาดคอนโด 1B</t>
  </si>
  <si>
    <t>พัฒสุชาณัท</t>
  </si>
  <si>
    <t>พงค์ภิตินันท์</t>
  </si>
  <si>
    <t>VMS640031</t>
  </si>
  <si>
    <t>VMS620031</t>
  </si>
  <si>
    <t>ณรดา</t>
  </si>
  <si>
    <t>จันทร์สุริย์</t>
  </si>
  <si>
    <t>แอปเปิ้ล</t>
  </si>
  <si>
    <t>ซื้อขาด</t>
  </si>
  <si>
    <t>รุ่งสกุลลิขิต</t>
  </si>
  <si>
    <t>Product Specialist</t>
  </si>
  <si>
    <t>สุขสมัย</t>
  </si>
  <si>
    <t>บุญยิ่ง</t>
  </si>
  <si>
    <t>นันทยา</t>
  </si>
  <si>
    <t>เอี่ยมสะอาด</t>
  </si>
  <si>
    <t>ณิชารีย์</t>
  </si>
  <si>
    <t>ภูมิวิจิตรการ</t>
  </si>
  <si>
    <t>ฝ่าย Project Support 13</t>
  </si>
  <si>
    <t>รพีภัทร</t>
  </si>
  <si>
    <t>คีรีรมย์</t>
  </si>
  <si>
    <t>เลิศพงดี</t>
  </si>
  <si>
    <t>นัฐดนัย</t>
  </si>
  <si>
    <t>จันทะบุตร</t>
  </si>
  <si>
    <t>นราชัย</t>
  </si>
  <si>
    <t>ขวัญสุข</t>
  </si>
  <si>
    <t>ภาระบาล</t>
  </si>
  <si>
    <t>ปาริฉัตร</t>
  </si>
  <si>
    <t>รัตนบุญเกตุ</t>
  </si>
  <si>
    <t>นัทชานันท์</t>
  </si>
  <si>
    <t>ทองบาง</t>
  </si>
  <si>
    <t>พริก</t>
  </si>
  <si>
    <t>ฝ่ายการตลาดคอนโด 2D</t>
  </si>
  <si>
    <t>ปัญจวุฒิ</t>
  </si>
  <si>
    <t>สงค์ประสิทธิ์</t>
  </si>
  <si>
    <t>ภิญญดาพัชญ์</t>
  </si>
  <si>
    <t>รอดการชัยอนันต์</t>
  </si>
  <si>
    <t>ฝ่ายการตลาดบ้าน H1B (โซนรังสิต - บางปะกง)</t>
  </si>
  <si>
    <t>พรจิรา</t>
  </si>
  <si>
    <t>อินทนอย</t>
  </si>
  <si>
    <t>แสงคำ</t>
  </si>
  <si>
    <t>ชนกสุดา</t>
  </si>
  <si>
    <t>กล่ำพะบุตร</t>
  </si>
  <si>
    <t>กัญญพัชร์</t>
  </si>
  <si>
    <t>คำฟูบุตร</t>
  </si>
  <si>
    <t>เลิศพลนิธิโชติ</t>
  </si>
  <si>
    <t>ทายพงศ์ศักดิ์</t>
  </si>
  <si>
    <t>โนเบล</t>
  </si>
  <si>
    <t>สุขุมาภรณ์</t>
  </si>
  <si>
    <t>ศรีวัฒนทรัพย์</t>
  </si>
  <si>
    <t>อรนุช</t>
  </si>
  <si>
    <t>เอี่ยมระเบียบ</t>
  </si>
  <si>
    <t>นวลจอน</t>
  </si>
  <si>
    <t>อัง</t>
  </si>
  <si>
    <t>กรรนิภา</t>
  </si>
  <si>
    <t>กาโยดม</t>
  </si>
  <si>
    <t>แคร์</t>
  </si>
  <si>
    <t>เจ้าหน้าที่จัดสรรเงินทุนอาวุโส</t>
  </si>
  <si>
    <t>แผนกดูแลทรัพย์สินและบริการเครื่องจักร</t>
  </si>
  <si>
    <t>ณิชกานต์</t>
  </si>
  <si>
    <t>สายสมบูรณ์</t>
  </si>
  <si>
    <t>พั้น</t>
  </si>
  <si>
    <t>ขันทอง</t>
  </si>
  <si>
    <t>เดชทัน</t>
  </si>
  <si>
    <t>สำนักบริหารการขาย และตลาดคอนโด 3</t>
  </si>
  <si>
    <t>รศิมาภรณ์</t>
  </si>
  <si>
    <t>บุญยะมาลิค</t>
  </si>
  <si>
    <t>rasimapornb@sena.co.th</t>
  </si>
  <si>
    <t>BK680451</t>
  </si>
  <si>
    <t>ฝ่ายบริหารโครงการคอนโดและบ้าน 12D</t>
  </si>
  <si>
    <t>ฝ่ายบริหารโครงการบ้าน 14A</t>
  </si>
  <si>
    <t>ลออรัตน์</t>
  </si>
  <si>
    <t>บูชา</t>
  </si>
  <si>
    <t>ณภัค</t>
  </si>
  <si>
    <t>ธัญภัคหิรัญ</t>
  </si>
  <si>
    <t>ฝ่ายบริหารโครงการบ้าน 12E</t>
  </si>
  <si>
    <t>อาจหาญ</t>
  </si>
  <si>
    <t>ฝ่ายบริหารโครงการคอนโดและบ้าน 13B</t>
  </si>
  <si>
    <t>ฝ่ายบริหารโครงการคอนโดและบ้าน 12B</t>
  </si>
  <si>
    <t>วรรณิศา</t>
  </si>
  <si>
    <t>เสนามสอน</t>
  </si>
  <si>
    <t>ภาณินี</t>
  </si>
  <si>
    <t>ดวงตา</t>
  </si>
  <si>
    <t>อาภัสรา</t>
  </si>
  <si>
    <t>พันธุ์แม็ต</t>
  </si>
  <si>
    <t>สมัชญา</t>
  </si>
  <si>
    <t>บุญผ่อง</t>
  </si>
  <si>
    <t>สิลมัฐ</t>
  </si>
  <si>
    <t>จิรภิญญา</t>
  </si>
  <si>
    <t>ประมวล</t>
  </si>
  <si>
    <t>แอ็บ</t>
  </si>
  <si>
    <t>ปณิดา</t>
  </si>
  <si>
    <t>เขียวโน</t>
  </si>
  <si>
    <t>นวกาญจน์</t>
  </si>
  <si>
    <t>กันจินะ</t>
  </si>
  <si>
    <t>เรื่องลือ</t>
  </si>
  <si>
    <t>ไอลดา</t>
  </si>
  <si>
    <t>น่วมสำลี</t>
  </si>
  <si>
    <t>พงศ์สกุล</t>
  </si>
  <si>
    <t>กานต์ชนก</t>
  </si>
  <si>
    <t>หอมกอ</t>
  </si>
  <si>
    <t>ใบขิง</t>
  </si>
  <si>
    <t>พรนริน</t>
  </si>
  <si>
    <t>สวัสดิ์ศรี</t>
  </si>
  <si>
    <t>ทัพทวี</t>
  </si>
  <si>
    <t>กมลรัตน์</t>
  </si>
  <si>
    <t>มีมะแม</t>
  </si>
  <si>
    <t>ทินกรศักดิ์</t>
  </si>
  <si>
    <t>โคราช</t>
  </si>
  <si>
    <t>บุญสิตา</t>
  </si>
  <si>
    <t>ทวีคูณ</t>
  </si>
  <si>
    <t>ธัญธร</t>
  </si>
  <si>
    <t>อุ่นทรัพย์</t>
  </si>
  <si>
    <t>บุระวงค์</t>
  </si>
  <si>
    <t>ปพัชญา</t>
  </si>
  <si>
    <t>คนใหญ่</t>
  </si>
  <si>
    <t>ไอด้า</t>
  </si>
  <si>
    <t>ภักดีพงษ์</t>
  </si>
  <si>
    <t>โอปอ</t>
  </si>
  <si>
    <t>มาลินี</t>
  </si>
  <si>
    <t>ฝ่าย Rent to Own</t>
  </si>
  <si>
    <t>ทานตะวัน</t>
  </si>
  <si>
    <t>เกตุน้ำเที่ยง</t>
  </si>
  <si>
    <t>หฤทัย</t>
  </si>
  <si>
    <t>ปัจจยาการกุล</t>
  </si>
  <si>
    <t>เจ้าหน้าที่ประสานนโยบายอาวุโส</t>
  </si>
  <si>
    <t>กองแหวน</t>
  </si>
  <si>
    <t>ณัฐสุดา</t>
  </si>
  <si>
    <t>เทศฉิม</t>
  </si>
  <si>
    <t>ฝ่าย Brand Communication</t>
  </si>
  <si>
    <t>วิริยา</t>
  </si>
  <si>
    <t>เฉลิมกิจพานิชย์</t>
  </si>
  <si>
    <t>เลขานุการประธานเจ้าหน้าที่บริหารด้านการเงิน</t>
  </si>
  <si>
    <t>สุดใจ</t>
  </si>
  <si>
    <t>เหนือบุตตา</t>
  </si>
  <si>
    <t>sudjain@sena.co.th</t>
  </si>
  <si>
    <t>BK680600</t>
  </si>
  <si>
    <t>วิกรม</t>
  </si>
  <si>
    <t>หวังศิริ</t>
  </si>
  <si>
    <t>สมพร</t>
  </si>
  <si>
    <t>สิงหไพศาล</t>
  </si>
  <si>
    <t>ผู้เชี่ยวชาญ 3</t>
  </si>
  <si>
    <t>ธนบดี</t>
  </si>
  <si>
    <t>ธัญดารักษ์</t>
  </si>
  <si>
    <t>ฮัว</t>
  </si>
  <si>
    <t>ทัศนี</t>
  </si>
  <si>
    <t>ยามประโคน</t>
  </si>
  <si>
    <t>ทัศ</t>
  </si>
  <si>
    <t>VMS680120</t>
  </si>
  <si>
    <t>ชะระ</t>
  </si>
  <si>
    <t>สุขาชื่น</t>
  </si>
  <si>
    <t>อุษณี</t>
  </si>
  <si>
    <t>ศิลาสานต์</t>
  </si>
  <si>
    <t>ปลาอุษ</t>
  </si>
  <si>
    <t>ณฐฐ์ภพ</t>
  </si>
  <si>
    <t>กร</t>
  </si>
  <si>
    <t>ฝ่ายการตลาดคอนโด 1A</t>
  </si>
  <si>
    <t>ฝ่ายบริหารโครงการคอนโดและบ้าน 13H</t>
  </si>
  <si>
    <t>ชัยพัฒน์</t>
  </si>
  <si>
    <t>พันธ์จินดาทรัพย์</t>
  </si>
  <si>
    <t>บริษัท เสนา ไอเดีย จำกัด</t>
  </si>
  <si>
    <t>pannawitji@senaidea.com</t>
  </si>
  <si>
    <t>ฝ่าย Brand &amp; Strategic Communication</t>
  </si>
  <si>
    <t>นเรนทร์</t>
  </si>
  <si>
    <t>ตุนทกิจ</t>
  </si>
  <si>
    <t>ฝ่าย Data Analytic &amp; CRM</t>
  </si>
  <si>
    <t>อรจิรา</t>
  </si>
  <si>
    <t>ปัญญายง</t>
  </si>
  <si>
    <t>ลูกน้ำ</t>
  </si>
  <si>
    <t>ฝ่ายวิศวกรรมส่วนกลาง</t>
  </si>
  <si>
    <t>ณัฏฐวี</t>
  </si>
  <si>
    <t>ปานขำ</t>
  </si>
  <si>
    <t>ศิขเรศ</t>
  </si>
  <si>
    <t>รักแผน</t>
  </si>
  <si>
    <t>ออฟ</t>
  </si>
  <si>
    <t>จีวรัตน์</t>
  </si>
  <si>
    <t>วังกะธาตุ</t>
  </si>
  <si>
    <t>จี</t>
  </si>
  <si>
    <t>ภาณุพงศ</t>
  </si>
  <si>
    <t>น้อยดอนไพร</t>
  </si>
  <si>
    <t>เลข</t>
  </si>
  <si>
    <t>สุเชาวนกุล</t>
  </si>
  <si>
    <t>รอง</t>
  </si>
  <si>
    <t>ดวงจิตต์</t>
  </si>
  <si>
    <t>ชลกนก</t>
  </si>
  <si>
    <t>ชลณัฐ</t>
  </si>
  <si>
    <t>นิ่มสกุล</t>
  </si>
  <si>
    <t>บุษบา</t>
  </si>
  <si>
    <t>ศุภปีติพร</t>
  </si>
  <si>
    <t>พี่เพี๊ยะ</t>
  </si>
  <si>
    <t>จินดารัตน์</t>
  </si>
  <si>
    <t>พนักงานบัญชีเจ้าหนี้</t>
  </si>
  <si>
    <t>แสนหาญ</t>
  </si>
  <si>
    <t>รักษาการผู้ช่วยผู้อำนวยการ</t>
  </si>
  <si>
    <t>ด้วงยิ้ม</t>
  </si>
  <si>
    <t>ฝ่ายบริหารโครงการคอนโดและบ้าน 11B</t>
  </si>
  <si>
    <t>พิมพ์ผกา</t>
  </si>
  <si>
    <t>วิโรจน์รัญจวน</t>
  </si>
  <si>
    <t>ดารารัตน์</t>
  </si>
  <si>
    <t>เชื้อขาวพิมพ์</t>
  </si>
  <si>
    <t>สาหลำสุหรี</t>
  </si>
  <si>
    <t>กิตตินันท์</t>
  </si>
  <si>
    <t>หลวงนุช</t>
  </si>
  <si>
    <t>สิทธิโชค</t>
  </si>
  <si>
    <t>สีสังข์</t>
  </si>
  <si>
    <t>ต้า</t>
  </si>
  <si>
    <t>เรืองสมบูรณ์</t>
  </si>
  <si>
    <t>ข้าวคั่ว</t>
  </si>
  <si>
    <t>นนวัต</t>
  </si>
  <si>
    <t>บวรวัชรเมธี</t>
  </si>
  <si>
    <t>VMS620175</t>
  </si>
  <si>
    <t>ชัยรัตน์</t>
  </si>
  <si>
    <t>พุดพิมเสน</t>
  </si>
  <si>
    <t>โอ้ค</t>
  </si>
  <si>
    <t>นพสร</t>
  </si>
  <si>
    <t>ปุ๊</t>
  </si>
  <si>
    <t>ลลิตตรา</t>
  </si>
  <si>
    <t>ปทุมสิริรัตม์</t>
  </si>
  <si>
    <t>ลูกปัด</t>
  </si>
  <si>
    <t>lalittrap@senasolarenergy.com</t>
  </si>
  <si>
    <t>manops@sena.co.th</t>
  </si>
  <si>
    <t>นรินนา</t>
  </si>
  <si>
    <t>วีระเจริญ</t>
  </si>
  <si>
    <t>แซน</t>
  </si>
  <si>
    <t>narinnav@sena.co.th</t>
  </si>
  <si>
    <t>นววิธ</t>
  </si>
  <si>
    <t>พงษ์พรกุล</t>
  </si>
  <si>
    <t>ตั้งชัยธนภัทร</t>
  </si>
  <si>
    <t>จินตนา</t>
  </si>
  <si>
    <t>สังฆ์ลาย</t>
  </si>
  <si>
    <t>เอินเอิน</t>
  </si>
  <si>
    <t>พรมรักษ์</t>
  </si>
  <si>
    <t>วรินทร์ลดา</t>
  </si>
  <si>
    <t>รุจิไชยหิรัญกุล</t>
  </si>
  <si>
    <t>ศรีอิ่นแก้ว</t>
  </si>
  <si>
    <t>ไกร</t>
  </si>
  <si>
    <t>หัวหน้างานระบบ</t>
  </si>
  <si>
    <t>คงเรืองฤทธิ์</t>
  </si>
  <si>
    <t>หัวหน้าช่างไฟฟ้า</t>
  </si>
  <si>
    <t>BK680361</t>
  </si>
  <si>
    <t>SN:MP2E0NB9</t>
  </si>
  <si>
    <t>30/01/2024</t>
  </si>
  <si>
    <t>30/12/2026</t>
  </si>
  <si>
    <t>30/12/2023</t>
  </si>
  <si>
    <t>30/11/2026</t>
  </si>
  <si>
    <t>STOCK</t>
  </si>
  <si>
    <t>NULL</t>
  </si>
  <si>
    <t>SN:MP2AN2C4</t>
  </si>
  <si>
    <t>29/02/2024</t>
  </si>
  <si>
    <t>30/01/2027</t>
  </si>
  <si>
    <t>SN:85ZNPY3</t>
  </si>
  <si>
    <t>30/10/2023</t>
  </si>
  <si>
    <t>30/09/2026</t>
  </si>
  <si>
    <t>SN:P-1JM3674</t>
  </si>
  <si>
    <t>25/10/2025</t>
  </si>
  <si>
    <t>25/09/2028</t>
  </si>
  <si>
    <t>SN:P-2JM3674</t>
  </si>
  <si>
    <t>SN:P-51PD874</t>
  </si>
  <si>
    <t>SN:P-JHM3674</t>
  </si>
  <si>
    <t>SN:P-3HM3674</t>
  </si>
  <si>
    <t>SN:P-3KM3674</t>
  </si>
  <si>
    <t>SN:P-FJM3674</t>
  </si>
  <si>
    <t>SN:MP2DM9NZ</t>
  </si>
  <si>
    <t>30/09/2023</t>
  </si>
  <si>
    <t>30/08/2026</t>
  </si>
  <si>
    <t>สายงานบริการสินเชื่อเงินสดใจดี</t>
  </si>
  <si>
    <t>SN:7XYNPY3</t>
  </si>
  <si>
    <t>SN:MP2AN2CK</t>
  </si>
  <si>
    <t>SN:MP2AN2C2</t>
  </si>
  <si>
    <t>SN:PF39G3W2</t>
  </si>
  <si>
    <t>15/06/2023</t>
  </si>
  <si>
    <t>15/05/2026</t>
  </si>
  <si>
    <t>SN:MP2AN2CV</t>
  </si>
  <si>
    <t>SN:MP2AN2C7</t>
  </si>
  <si>
    <t>SN:MP2AN2C5</t>
  </si>
  <si>
    <t>SN:MP2ET6A7</t>
  </si>
  <si>
    <t>30/07/2023</t>
  </si>
  <si>
    <t>30/06/2026</t>
  </si>
  <si>
    <t>SN:MP2DGHXK</t>
  </si>
  <si>
    <t>สายงานบริหารการขายคอนโด 4</t>
  </si>
  <si>
    <t>SN:MP2E0LDC</t>
  </si>
  <si>
    <t>SN:MP2DGHYP</t>
  </si>
  <si>
    <t>SN:MP2AN2CR</t>
  </si>
  <si>
    <t>SN:MP2M8GAM</t>
  </si>
  <si>
    <t>SN:MP2ETWQZ</t>
  </si>
  <si>
    <t>30/03/2024</t>
  </si>
  <si>
    <t>28/02/2027</t>
  </si>
  <si>
    <t>SN:7CD0HY3</t>
  </si>
  <si>
    <t>SN:MSAF83N4S0102944</t>
  </si>
  <si>
    <t>SN:5DD0HY3</t>
  </si>
  <si>
    <t>SN:MP2DGHWE</t>
  </si>
  <si>
    <t>SN:83RD314</t>
  </si>
  <si>
    <t>SN:MP2AN2C9</t>
  </si>
  <si>
    <t>SN:C02K507X125F</t>
  </si>
  <si>
    <t>SN:C02K5082125F</t>
  </si>
  <si>
    <t>SN:J5F7LS3</t>
  </si>
  <si>
    <t>SN:MP2DGHX4</t>
  </si>
  <si>
    <t>SN:MP2AN2CQ</t>
  </si>
  <si>
    <t>SN:DTYNPY3</t>
  </si>
  <si>
    <t>SN:MP2AN2CE</t>
  </si>
  <si>
    <t>SN:7S9ZVX3</t>
  </si>
  <si>
    <t>30/08/2023</t>
  </si>
  <si>
    <t>30/07/2026</t>
  </si>
  <si>
    <t>กมลพร</t>
  </si>
  <si>
    <t>จิรพรสถิต</t>
  </si>
  <si>
    <t>สายงานการตลาดคอนโด 2</t>
  </si>
  <si>
    <t>SN:MP2ESVE3</t>
  </si>
  <si>
    <t>SN:PF39GKQG</t>
  </si>
  <si>
    <t>SN:MP2EJ2Y5</t>
  </si>
  <si>
    <t>SN:PF37V3EF</t>
  </si>
  <si>
    <t>SN:93ZNPY3</t>
  </si>
  <si>
    <t>SN:5YYNPY3</t>
  </si>
  <si>
    <t>SN:MP2M8JJP</t>
  </si>
  <si>
    <t>SN:MP2M8GA3</t>
  </si>
  <si>
    <t>สายงาน SENA SERVICE</t>
  </si>
  <si>
    <t>สายงานสนับสนุนงานบริหารอสังหาริมทรัพย์</t>
  </si>
  <si>
    <t>SN:46ZNPY3</t>
  </si>
  <si>
    <t>SN:MP2E2YHS</t>
  </si>
  <si>
    <t>สายงานบัญชีการเงิน</t>
  </si>
  <si>
    <t>SN:BTYNPY3</t>
  </si>
  <si>
    <t>SN:MP2AN2CJ</t>
  </si>
  <si>
    <t>SN:MP2ARVM6</t>
  </si>
  <si>
    <t>20/03/2025</t>
  </si>
  <si>
    <t>20/02/2028</t>
  </si>
  <si>
    <t>SN:MP2ELNMQ</t>
  </si>
  <si>
    <t>SN:MP2EJ0LK</t>
  </si>
  <si>
    <t>SN:MP2EHYF5</t>
  </si>
  <si>
    <t>SN:5KBJ904</t>
  </si>
  <si>
    <t>SN:MP2DGHWG</t>
  </si>
  <si>
    <t>SN:MP2ET010</t>
  </si>
  <si>
    <t>SN:MP2DGHYQ</t>
  </si>
  <si>
    <t>SN:67J3QY3</t>
  </si>
  <si>
    <t>SN:PF39GCY2</t>
  </si>
  <si>
    <t>SN:MP2AN2CH</t>
  </si>
  <si>
    <t>SN:MP2DM9MN</t>
  </si>
  <si>
    <t>SN:MP2AN2CN</t>
  </si>
  <si>
    <t>SN:MP2AN2CD</t>
  </si>
  <si>
    <t>SN:9VRKQ04</t>
  </si>
  <si>
    <t>SN:MP2DGHXE</t>
  </si>
  <si>
    <t>SN:MP2DGHZ5</t>
  </si>
  <si>
    <t>SN:HW8BXW3</t>
  </si>
  <si>
    <t>SN:PF39GMXA</t>
  </si>
  <si>
    <t>SN:MP2ARVN8</t>
  </si>
  <si>
    <t>SN:MP2ARXXB</t>
  </si>
  <si>
    <t>SN:MP2AN2CT</t>
  </si>
  <si>
    <t>SN:9FD0HY3</t>
  </si>
  <si>
    <t>SN:MP2AN2CB</t>
  </si>
  <si>
    <t>SN:MP24V5Q2</t>
  </si>
  <si>
    <t>SN:JQT2CZ3</t>
  </si>
  <si>
    <t>SN:MP2DGHYA</t>
  </si>
  <si>
    <t>SN:PF39FPCB</t>
  </si>
  <si>
    <t>SN:3CD0HY3</t>
  </si>
  <si>
    <t>SN:9YYNPY3</t>
  </si>
  <si>
    <t>SN:MP2AN2CA</t>
  </si>
  <si>
    <t>ลูกปลา</t>
  </si>
  <si>
    <t>ถาวรวรรณ</t>
  </si>
  <si>
    <t>SN:MP2AN2CF</t>
  </si>
  <si>
    <t>SN:MP2AN2C3</t>
  </si>
  <si>
    <t>SN:4JT2CZ3</t>
  </si>
  <si>
    <t>20/12/2024</t>
  </si>
  <si>
    <t>19/12/2027</t>
  </si>
  <si>
    <t>SN:MP2EHAFM</t>
  </si>
  <si>
    <t>SN:PF39FE6C</t>
  </si>
  <si>
    <t>SN:J85MR04</t>
  </si>
  <si>
    <t>20/09/2024</t>
  </si>
  <si>
    <t>20/08/2027</t>
  </si>
  <si>
    <t>SN:MP2M8JNK</t>
  </si>
  <si>
    <t>SN:MP2M8JMC</t>
  </si>
  <si>
    <t>SN:MP283D2M</t>
  </si>
  <si>
    <t>SN:63RD314</t>
  </si>
  <si>
    <t>SN:PF3A155E</t>
  </si>
  <si>
    <t>SN:MP2M8JKZ</t>
  </si>
  <si>
    <t>SN:MP2M8JN5</t>
  </si>
  <si>
    <t>SN:MP2M8GAT</t>
  </si>
  <si>
    <t>SN:MP2840QR</t>
  </si>
  <si>
    <t>สำนักกฎหมาย และนิติกรรมสัญญา</t>
  </si>
  <si>
    <t>SN:F4RD314</t>
  </si>
  <si>
    <t>SN:F1QD314</t>
  </si>
  <si>
    <t>SN:92QD314</t>
  </si>
  <si>
    <t>SN:72QD314</t>
  </si>
  <si>
    <t>สำนักกำกับนโยบาย</t>
  </si>
  <si>
    <t>SN:21QD314</t>
  </si>
  <si>
    <t>SN:70QD314</t>
  </si>
  <si>
    <t>SN:MP2DGJFL</t>
  </si>
  <si>
    <t>SN:MP2M8GBC</t>
  </si>
  <si>
    <t>SN:MP2M8GAA</t>
  </si>
  <si>
    <t>SN:MP2M8GBZ</t>
  </si>
  <si>
    <t>SN:MP2M8G9E</t>
  </si>
  <si>
    <t>SN:MP2M8GAQ</t>
  </si>
  <si>
    <t>SN:MP2M8JK2</t>
  </si>
  <si>
    <t>SN:MP2M8G9N</t>
  </si>
  <si>
    <t>SN:MP2M8G9A</t>
  </si>
  <si>
    <t>SN:MP2M8G9P</t>
  </si>
  <si>
    <t>SN:MP2M8JN1</t>
  </si>
  <si>
    <t>SN:MP2M8G9M</t>
  </si>
  <si>
    <t>SN:MP2M8GBL</t>
  </si>
  <si>
    <t>SN:MP2M8GBJ</t>
  </si>
  <si>
    <t>SN:MP2M8JJC</t>
  </si>
  <si>
    <t>SN:MP2M8GAH</t>
  </si>
  <si>
    <t>SN:MP2M8GAE</t>
  </si>
  <si>
    <t>SN:MP2M8GB3</t>
  </si>
  <si>
    <t>SN:HQRKQ04</t>
  </si>
  <si>
    <t>กลุ่มประธานเจ้าหน้าที่บริหาร (SENA Reforestation )</t>
  </si>
  <si>
    <t>SN:MP2EVQ0M</t>
  </si>
  <si>
    <t>สายงาน Recurring Income</t>
  </si>
  <si>
    <t>SN:MP2ESXRE</t>
  </si>
  <si>
    <t>SN:MP2AN2CS</t>
  </si>
  <si>
    <t>SN:MP2AN2CW</t>
  </si>
  <si>
    <t>SN:MP2AN2CP</t>
  </si>
  <si>
    <t>SN:MP2AN2CM</t>
  </si>
  <si>
    <t>SN:MP2AN2CL</t>
  </si>
  <si>
    <t>SN:MP2AN2CG</t>
  </si>
  <si>
    <t>SN:MP2AN2CC</t>
  </si>
  <si>
    <t>SN:MP2AN2C8</t>
  </si>
  <si>
    <t>SN:MP2AN2C6</t>
  </si>
  <si>
    <t>SN:MP2AN2C1</t>
  </si>
  <si>
    <t>SN:MP2AN2C0</t>
  </si>
  <si>
    <t>SN:MP2ESXTM</t>
  </si>
  <si>
    <t>SN:MP2ETHGH</t>
  </si>
  <si>
    <t>SN:8K6MBZ3</t>
  </si>
  <si>
    <t>SN:MP2ETWRC</t>
  </si>
  <si>
    <t>สายงานตรวจสอบภายใน</t>
  </si>
  <si>
    <t>SN:MP2ET281</t>
  </si>
  <si>
    <t>SN:JGT2CZ3</t>
  </si>
  <si>
    <t>SN:MP2DGHXT</t>
  </si>
  <si>
    <t>SN:GQR6GZ3</t>
  </si>
  <si>
    <t>SN:7KT2CZ3</t>
  </si>
  <si>
    <t>SN:CMT2CZ3</t>
  </si>
  <si>
    <t>SN:GKT2CZ3</t>
  </si>
  <si>
    <t>SN:MP2E0N3P</t>
  </si>
  <si>
    <t>SN:MP2E0P81</t>
  </si>
  <si>
    <t>SN:MP2E0ADV</t>
  </si>
  <si>
    <t>SN:MP2E0NB8</t>
  </si>
  <si>
    <t>SN:MP24V5QP</t>
  </si>
  <si>
    <t>SN:MP2DGJFW</t>
  </si>
  <si>
    <t>SN:F96MBZ3</t>
  </si>
  <si>
    <t>SN:BPT2CZ3</t>
  </si>
  <si>
    <t>SN:7NT2CZ3</t>
  </si>
  <si>
    <t>SN:MP2E0ETV</t>
  </si>
  <si>
    <t>SN:MP2E0P7K</t>
  </si>
  <si>
    <t>SN:MP2E0NBS</t>
  </si>
  <si>
    <t>SN:7RNJKX3</t>
  </si>
  <si>
    <t>SN:7TYNPY3</t>
  </si>
  <si>
    <t>SN:HTYNPY3</t>
  </si>
  <si>
    <t>SN:MP2E0P96</t>
  </si>
  <si>
    <t>30/10/2026</t>
  </si>
  <si>
    <t>SN:MP2E0P88</t>
  </si>
  <si>
    <t>SN:MP2E0ENX</t>
  </si>
  <si>
    <t>SN:MP2DGHZR</t>
  </si>
  <si>
    <t>SN:MP2DGHZ2</t>
  </si>
  <si>
    <t>SN:MP2DGHX1</t>
  </si>
  <si>
    <t>SN:MP2DGHWL</t>
  </si>
  <si>
    <t>SN:MP2DGHW8</t>
  </si>
  <si>
    <t>SN:MP2840PD</t>
  </si>
  <si>
    <t>SN:MP2840QK</t>
  </si>
  <si>
    <t>SN:MP2DGHYX</t>
  </si>
  <si>
    <t>SN:PF39FTSF</t>
  </si>
  <si>
    <t>SN:MP2E319W</t>
  </si>
  <si>
    <t>SN:MP2E2YER</t>
  </si>
  <si>
    <t>SN:MP2E2SY3</t>
  </si>
  <si>
    <t>SN:8XYNPY3</t>
  </si>
  <si>
    <t>SN:BZYNPY3</t>
  </si>
  <si>
    <t>SN:6XYNPY3</t>
  </si>
  <si>
    <t>SN:MP2E2VSH</t>
  </si>
  <si>
    <t>SN:MP2EHCMH</t>
  </si>
  <si>
    <t>SN:MP2ELJEP</t>
  </si>
  <si>
    <t>SN:MP2EJ7KH</t>
  </si>
  <si>
    <t>SN:MP2EJ7HR</t>
  </si>
  <si>
    <t>SN:MP2EJ2XH</t>
  </si>
  <si>
    <t>SN:CDD0HY3</t>
  </si>
  <si>
    <t>SN:HV8BXW3</t>
  </si>
  <si>
    <t>SN:MP2E2VW4</t>
  </si>
  <si>
    <t>ขวัญณิฐฌา</t>
  </si>
  <si>
    <t>อำไพพันธุ์</t>
  </si>
  <si>
    <t>SN:MP2E316P</t>
  </si>
  <si>
    <t>ฝ่ายปฏิบัติการคอนโด 3 OM 1.3</t>
  </si>
  <si>
    <t>SN:MP2E2SWE</t>
  </si>
  <si>
    <t>SN:MP2E2SWF</t>
  </si>
  <si>
    <t>SN:MP2E2VRS</t>
  </si>
  <si>
    <t>SN:MP2EJ2XM</t>
  </si>
  <si>
    <t>SN:MP2EJ0NQ</t>
  </si>
  <si>
    <t>SN:PF3A0MRX</t>
  </si>
  <si>
    <t>SN:MP2EHYDB</t>
  </si>
  <si>
    <t>SN:MSAF83N4S0102931</t>
  </si>
  <si>
    <t>SN:MSAF83N4S0102932</t>
  </si>
  <si>
    <t>SN:MP2EJ0KJ</t>
  </si>
  <si>
    <t>SN:MP2EHK7L</t>
  </si>
  <si>
    <t>SN:MP2EHQ29</t>
  </si>
  <si>
    <t>SN:MP2EJ0N2</t>
  </si>
  <si>
    <t>SN:MP2EHAFL</t>
  </si>
  <si>
    <t>SN:MP2EHADX</t>
  </si>
  <si>
    <t>SN:MP2EHH0C</t>
  </si>
  <si>
    <t>SN:MP2EHAEM</t>
  </si>
  <si>
    <t>SN:PF37VA5K</t>
  </si>
  <si>
    <t>SN:PF39GAQ5</t>
  </si>
  <si>
    <t>SN:PF39GALS</t>
  </si>
  <si>
    <t>ชนัญชิดา</t>
  </si>
  <si>
    <t>สงวนยวง</t>
  </si>
  <si>
    <t>SN:MP2ELNPS</t>
  </si>
  <si>
    <t>ฝ่ายการตลาดธุรกิจ 2</t>
  </si>
  <si>
    <t>SN:PF39FJR0</t>
  </si>
  <si>
    <t>ธาฤดี</t>
  </si>
  <si>
    <t>ลออธนาโสภณ</t>
  </si>
  <si>
    <t>SN:MP2EHCN6</t>
  </si>
  <si>
    <t>SN:PF37V3CQ</t>
  </si>
  <si>
    <t>SN:2HZFFX3</t>
  </si>
  <si>
    <t>SN:MP2EHYEX</t>
  </si>
  <si>
    <t>SN:MP2EJ2X3</t>
  </si>
  <si>
    <t>SN:PF37V7Y1</t>
  </si>
  <si>
    <t>SN:PF39G62N</t>
  </si>
  <si>
    <t>SN:PF39GMZ7</t>
  </si>
  <si>
    <t>SN:PF39GCXP</t>
  </si>
  <si>
    <t>SN:PF39F2M3</t>
  </si>
  <si>
    <t>SN:MP2EHW2K</t>
  </si>
  <si>
    <t>SN:MP2EHH1X</t>
  </si>
  <si>
    <t>SN:7X8BXW3</t>
  </si>
  <si>
    <t>SN:MP2EJ2WM</t>
  </si>
  <si>
    <t>SN:MP2EHW2Y</t>
  </si>
  <si>
    <t>SN:MP2EJ2XY</t>
  </si>
  <si>
    <t>SN:MP2EJ0M1</t>
  </si>
  <si>
    <t>SN:PF37V16H</t>
  </si>
  <si>
    <t>SN:PF3A46ZZ</t>
  </si>
  <si>
    <t>SN:PF39G1MG</t>
  </si>
  <si>
    <t>SN:PF37TTE2</t>
  </si>
  <si>
    <t>SN:PF39GCWX</t>
  </si>
  <si>
    <t>SN:PF39GSGV</t>
  </si>
  <si>
    <t>SN:PF39G8CH</t>
  </si>
  <si>
    <t>สำนักบริหารโครงการคอนโด และบ้าน 1</t>
  </si>
  <si>
    <t>SN:PF39GXZD</t>
  </si>
  <si>
    <t>SN:PF39GVS5</t>
  </si>
  <si>
    <t>SN:PF39F0C2</t>
  </si>
  <si>
    <t>SN:9VMZ8P3</t>
  </si>
  <si>
    <t>SN:P-6YVZQB4</t>
  </si>
  <si>
    <t>SN:P-6WVZQB4</t>
  </si>
  <si>
    <t>SN:P-70TZQB4</t>
  </si>
  <si>
    <t>SN:P-66WZQB4</t>
  </si>
  <si>
    <t>SN:P-6STZQB4</t>
  </si>
  <si>
    <t>SN:P-6VTZQB4</t>
  </si>
  <si>
    <t>SN:P-6RVZQB4</t>
  </si>
  <si>
    <t>SN:458FSS3</t>
  </si>
  <si>
    <t>SN:72MKYV3</t>
  </si>
  <si>
    <t>SN:7RZVGZ3</t>
  </si>
  <si>
    <t>SN:DKZH8Y3</t>
  </si>
  <si>
    <t>SN:DMVH8X3</t>
  </si>
  <si>
    <t>SN:DL3G8X3</t>
  </si>
  <si>
    <t>SN:BSZP3P3</t>
  </si>
  <si>
    <t>SN:DJD6ZV3</t>
  </si>
  <si>
    <t>SN:C7KNYV3</t>
  </si>
  <si>
    <t>SN:C7DNYV3</t>
  </si>
  <si>
    <t>SN:20YM7P3</t>
  </si>
  <si>
    <t>SN:5VTT4P3</t>
  </si>
  <si>
    <t>SN:3YX29V3</t>
  </si>
  <si>
    <t>SN:C7FMYV3</t>
  </si>
  <si>
    <t>SN:DL2G8X3</t>
  </si>
  <si>
    <t>SN:71FHYV3</t>
  </si>
  <si>
    <t>SN:DQZ4ZV3</t>
  </si>
  <si>
    <t>SN:9GC8XY3</t>
  </si>
  <si>
    <t>SN:91B8XY3</t>
  </si>
  <si>
    <t>SN:DL1G8X3</t>
  </si>
  <si>
    <t>SN:7PPYGZ3</t>
  </si>
  <si>
    <t>SN:HLF0ZV3</t>
  </si>
  <si>
    <t>SN:B6T5HZ3</t>
  </si>
  <si>
    <t>SN:7PKXGZ3</t>
  </si>
  <si>
    <t>SN:7S0WGZ3</t>
  </si>
  <si>
    <t>SN:BKW5HZ3</t>
  </si>
  <si>
    <t>SN:7PTVGZ3</t>
  </si>
  <si>
    <t>SN:8ZZ6XY3</t>
  </si>
  <si>
    <t>SN:8Z49XY3</t>
  </si>
  <si>
    <t>SN:9W242Y3</t>
  </si>
  <si>
    <t>SN:DN2G8X3</t>
  </si>
  <si>
    <t>SN:DKVH8X3</t>
  </si>
  <si>
    <t>SN:B3762Y3</t>
  </si>
  <si>
    <t>SN:B3862Y3</t>
  </si>
  <si>
    <t>SN:9W452Y3</t>
  </si>
  <si>
    <t>SN:DMZF8X3</t>
  </si>
  <si>
    <t>SN:DL1H8X3</t>
  </si>
  <si>
    <t>SN:9W832Y3</t>
  </si>
  <si>
    <t>SN:DQW5ZV3</t>
  </si>
  <si>
    <t>SN:C7QMYV3</t>
  </si>
  <si>
    <t>SN:C7LLYV3</t>
  </si>
  <si>
    <t>SN:C7JLYV3</t>
  </si>
  <si>
    <t>SN:C7CNYV3</t>
  </si>
  <si>
    <t>SN:C7HLYV3</t>
  </si>
  <si>
    <t>SN:GDB7KT3</t>
  </si>
  <si>
    <t>SN:72ZHYV3</t>
  </si>
  <si>
    <t>SN:F937SS3</t>
  </si>
  <si>
    <t>SN:FYK8KT3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</si>
</sst>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-&quot;mm&quot;-&quot;yyyy"/>
    <numFmt numFmtId="165" formatCode="m/d/yyyy"/>
    <numFmt numFmtId="166" formatCode="d&quot;/&quot;m&quot;/&quot;yyyy"/>
    <numFmt numFmtId="167" formatCode="yyyy-mm-dd"/>
    <numFmt numFmtId="168" formatCode="mm/dd/yyyy"/>
  </numFmts>
  <fonts count="73">
    <font>
      <sz val="10.0"/>
      <color rgb="FF000000"/>
      <name val="Arial"/>
      <scheme val="minor"/>
    </font>
    <font>
      <b/>
      <sz val="14.0"/>
      <color theme="1"/>
      <name val="Cordia New"/>
    </font>
    <font>
      <b/>
      <sz val="10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Cordia New"/>
    </font>
    <font>
      <sz val="14.0"/>
      <color rgb="FFFF0000"/>
      <name val="Cordia New"/>
    </font>
    <font>
      <sz val="14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4.0"/>
      <color rgb="FF17365D"/>
      <name val="Cordia New"/>
    </font>
    <font>
      <sz val="14.0"/>
      <color rgb="FF0000FF"/>
      <name val="Cordia New"/>
    </font>
    <font>
      <u/>
      <sz val="14.0"/>
      <color rgb="FF0563C1"/>
      <name val="Cordia New"/>
    </font>
    <font>
      <u/>
      <sz val="14.0"/>
      <color theme="1"/>
      <name val="Cordia New"/>
    </font>
    <font>
      <u/>
      <sz val="14.0"/>
      <color rgb="FF1155CC"/>
      <name val="Cordia New"/>
    </font>
    <font>
      <u/>
      <sz val="14.0"/>
      <color rgb="FF0563C1"/>
      <name val="Cordia New"/>
    </font>
    <font>
      <sz val="14.0"/>
      <color rgb="FF002060"/>
      <name val="Cordia New"/>
    </font>
    <font>
      <u/>
      <sz val="14.0"/>
      <color rgb="FF002060"/>
      <name val="Cordia New"/>
    </font>
    <font>
      <sz val="14.0"/>
      <color rgb="FF1F1F1F"/>
      <name val="Cordia New"/>
    </font>
    <font>
      <sz val="14.0"/>
      <color rgb="FF000000"/>
      <name val="Cordia New"/>
    </font>
    <font>
      <sz val="27.0"/>
      <color theme="1"/>
      <name val="Arial"/>
      <scheme val="minor"/>
    </font>
    <font>
      <b/>
      <sz val="27.0"/>
      <color theme="1"/>
      <name val="Cordia New"/>
    </font>
    <font>
      <sz val="28.0"/>
      <color theme="1"/>
      <name val="Arial"/>
      <scheme val="minor"/>
    </font>
    <font>
      <sz val="14.0"/>
      <color rgb="FF1155CC"/>
      <name val="Cordia New"/>
    </font>
    <font>
      <sz val="13.0"/>
      <color theme="1"/>
      <name val="Cordia New"/>
    </font>
    <font>
      <sz val="15.0"/>
      <color theme="1"/>
      <name val="Cordia New"/>
    </font>
    <font>
      <color rgb="FF4A86E8"/>
      <name val="Arial"/>
      <scheme val="minor"/>
    </font>
    <font>
      <color rgb="FF4A86E8"/>
      <name val="Arial"/>
    </font>
    <font>
      <color rgb="FF4285F4"/>
      <name val="Arial"/>
    </font>
    <font>
      <color rgb="FF000000"/>
      <name val="Arial"/>
    </font>
    <font>
      <u/>
      <sz val="14.0"/>
      <color rgb="FF0000FF"/>
      <name val="Cordia New"/>
    </font>
    <font>
      <sz val="14.0"/>
      <color theme="1"/>
      <name val="Browallia New"/>
    </font>
    <font>
      <color rgb="FF000000"/>
      <name val="Arial"/>
      <scheme val="minor"/>
    </font>
    <font>
      <color theme="5"/>
      <name val="Arial"/>
      <scheme val="minor"/>
    </font>
    <font>
      <color rgb="FFFF0000"/>
      <name val="Arial"/>
      <scheme val="minor"/>
    </font>
    <font>
      <sz val="14.0"/>
      <color theme="1"/>
      <name val="&quot;Cordia New&quot;"/>
    </font>
    <font>
      <sz val="24.0"/>
      <color theme="1"/>
      <name val="Arial"/>
      <scheme val="minor"/>
    </font>
    <font>
      <b/>
      <sz val="12.0"/>
      <color rgb="FF000000"/>
      <name val="&quot;Aptos Narrow&quot;"/>
    </font>
    <font>
      <sz val="11.0"/>
      <color rgb="FF000000"/>
      <name val="&quot;Aptos Narrow&quot;"/>
    </font>
    <font>
      <sz val="10.0"/>
      <color rgb="FF000000"/>
      <name val="&quot;Aptos Narrow&quot;"/>
    </font>
    <font>
      <b/>
      <sz val="10.0"/>
      <color rgb="FF000000"/>
      <name val="&quot;Aptos Narrow&quot;"/>
    </font>
    <font>
      <sz val="11.0"/>
      <color rgb="FF000000"/>
      <name val="Arial"/>
    </font>
    <font>
      <b/>
      <sz val="11.0"/>
      <color rgb="FF000000"/>
      <name val="&quot;Aptos Narrow&quot;"/>
    </font>
    <font/>
    <font>
      <sz val="10.0"/>
      <color theme="1"/>
      <name val="Arial"/>
      <scheme val="minor"/>
    </font>
    <font>
      <sz val="8.0"/>
      <color theme="1"/>
      <name val="Arial"/>
      <scheme val="minor"/>
    </font>
    <font>
      <sz val="8.0"/>
      <color theme="1"/>
      <name val="&quot;Times New Roman&quot;"/>
    </font>
    <font>
      <sz val="7.0"/>
      <color theme="1"/>
      <name val="Arial"/>
      <scheme val="minor"/>
    </font>
    <font>
      <b/>
      <sz val="12.0"/>
      <color rgb="FF000000"/>
      <name val="Arial"/>
    </font>
    <font>
      <b/>
      <color theme="1"/>
      <name val="Arial"/>
      <scheme val="minor"/>
    </font>
    <font>
      <sz val="12.0"/>
      <color theme="1"/>
      <name val="Arial"/>
      <scheme val="minor"/>
    </font>
    <font>
      <sz val="17.0"/>
      <color rgb="FF000000"/>
      <name val="Angsana New"/>
    </font>
    <font>
      <sz val="17.0"/>
      <color theme="1"/>
      <name val="Angsana New"/>
    </font>
    <font>
      <sz val="12.0"/>
      <color rgb="FF000000"/>
      <name val="Calibri"/>
    </font>
    <font>
      <sz val="12.0"/>
      <color rgb="FF000000"/>
      <name val="&quot;Angsana New&quot;"/>
    </font>
    <font>
      <sz val="12.0"/>
      <color theme="1"/>
      <name val="&quot;Angsana New&quot;"/>
    </font>
    <font>
      <u/>
      <sz val="12.0"/>
      <color rgb="FF0000FF"/>
      <name val="&quot;Angsana New&quot;"/>
    </font>
    <font>
      <u/>
      <sz val="12.0"/>
      <color rgb="FF0000FF"/>
      <name val="&quot;Angsana New&quot;"/>
    </font>
    <font>
      <u/>
      <sz val="12.0"/>
      <color rgb="FF0000FF"/>
      <name val="&quot;Angsana New&quot;"/>
    </font>
    <font>
      <u/>
      <sz val="12.0"/>
      <color rgb="FF0000FF"/>
      <name val="&quot;Angsana New&quot;"/>
    </font>
    <font>
      <u/>
      <sz val="12.0"/>
      <color rgb="FF0000FF"/>
      <name val="&quot;Angsana New&quot;"/>
    </font>
    <font>
      <u/>
      <sz val="12.0"/>
      <color rgb="FF0000FF"/>
      <name val="&quot;Angsana New&quot;"/>
    </font>
    <font>
      <u/>
      <sz val="12.0"/>
      <color rgb="FF0000FF"/>
      <name val="&quot;Angsana New&quot;"/>
    </font>
    <font>
      <sz val="12.0"/>
      <color theme="1"/>
      <name val="AngsanaUPC"/>
    </font>
    <font>
      <u/>
      <sz val="12.0"/>
      <color rgb="FF0000FF"/>
      <name val="&quot;Angsana New&quot;"/>
    </font>
    <font>
      <u/>
      <sz val="12.0"/>
      <color rgb="FF0000FF"/>
      <name val="Calibri"/>
    </font>
    <font>
      <u/>
      <sz val="12.0"/>
      <color rgb="FF0000FF"/>
      <name val="&quot;Angsana New&quot;"/>
    </font>
    <font>
      <u/>
      <sz val="12.0"/>
      <color rgb="FF0000FF"/>
      <name val="&quot;Angsana New&quot;"/>
    </font>
    <font>
      <u/>
      <sz val="12.0"/>
      <color rgb="FF0563C1"/>
      <name val="&quot;Angsana New&quot;"/>
    </font>
    <font>
      <u/>
      <sz val="12.0"/>
      <color rgb="FF0000FF"/>
      <name val="&quot;Angsana New&quot;"/>
    </font>
    <font>
      <u/>
      <sz val="12.0"/>
      <color rgb="FF0000FF"/>
      <name val="&quot;Angsana New&quot;"/>
    </font>
    <font>
      <u/>
      <sz val="12.0"/>
      <color rgb="FF0000FF"/>
      <name val="&quot;Angsana New&quot;"/>
    </font>
    <font>
      <u/>
      <sz val="12.0"/>
      <color rgb="FF0000FF"/>
      <name val="&quot;Angsana New&quot;"/>
    </font>
    <font>
      <u/>
      <sz val="12.0"/>
      <color rgb="FF0000FF"/>
      <name val="Calibri"/>
    </font>
  </fonts>
  <fills count="33">
    <fill>
      <patternFill patternType="none"/>
    </fill>
    <fill>
      <patternFill patternType="lightGray"/>
    </fill>
    <fill>
      <patternFill patternType="solid">
        <fgColor rgb="FFFEFEFC"/>
        <bgColor rgb="FFFEFEF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E69138"/>
        <bgColor rgb="FFE69138"/>
      </patternFill>
    </fill>
    <fill>
      <patternFill patternType="solid">
        <fgColor rgb="FF6AA84F"/>
        <bgColor rgb="FF6AA84F"/>
      </patternFill>
    </fill>
    <fill>
      <patternFill patternType="solid">
        <fgColor rgb="FFA4C2F4"/>
        <bgColor rgb="FFA4C2F4"/>
      </patternFill>
    </fill>
    <fill>
      <patternFill patternType="solid">
        <fgColor rgb="FFB7E1CD"/>
        <bgColor rgb="FFB7E1CD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theme="7"/>
        <bgColor theme="7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00B050"/>
        <bgColor rgb="FF00B050"/>
      </patternFill>
    </fill>
    <fill>
      <patternFill patternType="solid">
        <fgColor rgb="FF61CBF3"/>
        <bgColor rgb="FF61CBF3"/>
      </patternFill>
    </fill>
    <fill>
      <patternFill patternType="solid">
        <fgColor rgb="FFC1F0C8"/>
        <bgColor rgb="FFC1F0C8"/>
      </patternFill>
    </fill>
    <fill>
      <patternFill patternType="solid">
        <fgColor rgb="FFCAEDFB"/>
        <bgColor rgb="FFCAEDFB"/>
      </patternFill>
    </fill>
    <fill>
      <patternFill patternType="solid">
        <fgColor rgb="FFFFC000"/>
        <bgColor rgb="FFFFC000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  <fill>
      <patternFill patternType="solid">
        <fgColor theme="6"/>
        <bgColor theme="6"/>
      </patternFill>
    </fill>
    <fill>
      <patternFill patternType="solid">
        <fgColor rgb="FFE6B8AF"/>
        <bgColor rgb="FFE6B8AF"/>
      </patternFill>
    </fill>
    <fill>
      <patternFill patternType="solid">
        <fgColor rgb="FF83CCEB"/>
        <bgColor rgb="FF83CCEB"/>
      </patternFill>
    </fill>
  </fills>
  <borders count="36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4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4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1" fillId="2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2" fontId="4" numFmtId="164" xfId="0" applyAlignment="1" applyBorder="1" applyFont="1" applyNumberFormat="1">
      <alignment horizontal="center" readingOrder="0"/>
    </xf>
    <xf borderId="1" fillId="4" fontId="4" numFmtId="16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Border="1" applyFont="1"/>
    <xf borderId="0" fillId="0" fontId="4" numFmtId="0" xfId="0" applyAlignment="1" applyFont="1">
      <alignment readingOrder="0"/>
    </xf>
    <xf borderId="0" fillId="0" fontId="6" numFmtId="0" xfId="0" applyFont="1"/>
    <xf borderId="2" fillId="0" fontId="4" numFmtId="0" xfId="0" applyAlignment="1" applyBorder="1" applyFont="1">
      <alignment readingOrder="0"/>
    </xf>
    <xf borderId="2" fillId="4" fontId="4" numFmtId="164" xfId="0" applyAlignment="1" applyBorder="1" applyFont="1" applyNumberFormat="1">
      <alignment horizontal="center" readingOrder="0"/>
    </xf>
    <xf borderId="3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1" fillId="5" fontId="4" numFmtId="0" xfId="0" applyAlignment="1" applyBorder="1" applyFill="1" applyFont="1">
      <alignment readingOrder="0"/>
    </xf>
    <xf borderId="1" fillId="3" fontId="4" numFmtId="0" xfId="0" applyAlignment="1" applyBorder="1" applyFont="1">
      <alignment readingOrder="0"/>
    </xf>
    <xf borderId="6" fillId="3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 readingOrder="0"/>
    </xf>
    <xf borderId="0" fillId="0" fontId="8" numFmtId="0" xfId="0" applyFont="1"/>
    <xf borderId="0" fillId="0" fontId="4" numFmtId="164" xfId="0" applyAlignment="1" applyFont="1" applyNumberFormat="1">
      <alignment horizontal="center" readingOrder="0"/>
    </xf>
    <xf borderId="0" fillId="3" fontId="4" numFmtId="0" xfId="0" applyFont="1"/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0" fontId="4" numFmtId="0" xfId="0" applyFont="1"/>
    <xf borderId="0" fillId="3" fontId="4" numFmtId="164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center"/>
    </xf>
    <xf borderId="0" fillId="0" fontId="5" numFmtId="0" xfId="0" applyFont="1"/>
    <xf borderId="0" fillId="2" fontId="9" numFmtId="0" xfId="0" applyFont="1"/>
    <xf borderId="0" fillId="0" fontId="4" numFmtId="164" xfId="0" applyAlignment="1" applyFont="1" applyNumberFormat="1">
      <alignment horizontal="center"/>
    </xf>
    <xf borderId="0" fillId="0" fontId="5" numFmtId="164" xfId="0" applyAlignment="1" applyFont="1" applyNumberFormat="1">
      <alignment horizontal="center" readingOrder="0"/>
    </xf>
    <xf borderId="0" fillId="4" fontId="4" numFmtId="164" xfId="0" applyAlignment="1" applyFont="1" applyNumberFormat="1">
      <alignment horizontal="center" readingOrder="0"/>
    </xf>
    <xf borderId="0" fillId="4" fontId="4" numFmtId="0" xfId="0" applyFont="1"/>
    <xf borderId="0" fillId="4" fontId="5" numFmtId="0" xfId="0" applyAlignment="1" applyFont="1">
      <alignment horizontal="center"/>
    </xf>
    <xf borderId="0" fillId="4" fontId="4" numFmtId="0" xfId="0" applyAlignment="1" applyFont="1">
      <alignment horizontal="center" vertical="bottom"/>
    </xf>
    <xf borderId="0" fillId="4" fontId="4" numFmtId="0" xfId="0" applyAlignment="1" applyFont="1">
      <alignment horizontal="center"/>
    </xf>
    <xf borderId="0" fillId="0" fontId="4" numFmtId="0" xfId="0" applyAlignment="1" applyFont="1">
      <alignment vertical="bottom"/>
    </xf>
    <xf borderId="0" fillId="0" fontId="10" numFmtId="0" xfId="0" applyFont="1"/>
    <xf borderId="0" fillId="0" fontId="4" numFmtId="164" xfId="0" applyAlignment="1" applyFont="1" applyNumberFormat="1">
      <alignment horizontal="center" readingOrder="0" vertical="bottom"/>
    </xf>
    <xf borderId="0" fillId="0" fontId="4" numFmtId="164" xfId="0" applyAlignment="1" applyFont="1" applyNumberFormat="1">
      <alignment horizontal="center" vertical="bottom"/>
    </xf>
    <xf borderId="0" fillId="3" fontId="4" numFmtId="0" xfId="0" applyAlignment="1" applyFont="1">
      <alignment vertical="bottom"/>
    </xf>
    <xf borderId="0" fillId="6" fontId="4" numFmtId="164" xfId="0" applyAlignment="1" applyFill="1" applyFont="1" applyNumberFormat="1">
      <alignment horizontal="center" readingOrder="0" vertical="bottom"/>
    </xf>
    <xf borderId="0" fillId="0" fontId="4" numFmtId="0" xfId="0" applyAlignment="1" applyFont="1">
      <alignment horizontal="center" shrinkToFit="0" vertical="bottom" wrapText="1"/>
    </xf>
    <xf borderId="0" fillId="0" fontId="11" numFmtId="0" xfId="0" applyAlignment="1" applyFont="1">
      <alignment horizontal="center" vertical="bottom"/>
    </xf>
    <xf borderId="0" fillId="0" fontId="12" numFmtId="0" xfId="0" applyAlignment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3" fontId="4" numFmtId="164" xfId="0" applyAlignment="1" applyFont="1" applyNumberFormat="1">
      <alignment horizontal="center" readingOrder="0" vertical="bottom"/>
    </xf>
    <xf borderId="0" fillId="3" fontId="14" numFmtId="0" xfId="0" applyAlignment="1" applyFont="1">
      <alignment horizontal="center" vertical="bottom"/>
    </xf>
    <xf borderId="0" fillId="0" fontId="15" numFmtId="164" xfId="0" applyAlignment="1" applyFont="1" applyNumberFormat="1">
      <alignment horizontal="center" readingOrder="0"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horizontal="center" vertical="bottom"/>
    </xf>
    <xf borderId="0" fillId="3" fontId="4" numFmtId="0" xfId="0" applyAlignment="1" applyFont="1">
      <alignment horizontal="center"/>
    </xf>
    <xf borderId="0" fillId="3" fontId="17" numFmtId="0" xfId="0" applyAlignment="1" applyFont="1">
      <alignment horizontal="center" vertical="bottom"/>
    </xf>
    <xf borderId="0" fillId="3" fontId="4" numFmtId="164" xfId="0" applyAlignment="1" applyFont="1" applyNumberFormat="1">
      <alignment horizontal="center"/>
    </xf>
    <xf borderId="0" fillId="3" fontId="5" numFmtId="164" xfId="0" applyAlignment="1" applyFont="1" applyNumberFormat="1">
      <alignment horizontal="center"/>
    </xf>
    <xf borderId="0" fillId="3" fontId="5" numFmtId="0" xfId="0" applyFont="1"/>
    <xf borderId="0" fillId="0" fontId="5" numFmtId="0" xfId="0" applyAlignment="1" applyFont="1">
      <alignment horizontal="center" shrinkToFit="0" vertical="bottom" wrapText="1"/>
    </xf>
    <xf borderId="0" fillId="2" fontId="4" numFmtId="164" xfId="0" applyAlignment="1" applyFont="1" applyNumberFormat="1">
      <alignment horizontal="center"/>
    </xf>
    <xf borderId="0" fillId="0" fontId="5" numFmtId="0" xfId="0" applyAlignment="1" applyFont="1">
      <alignment horizontal="center" readingOrder="0" shrinkToFit="0" vertical="bottom" wrapText="1"/>
    </xf>
    <xf borderId="0" fillId="3" fontId="4" numFmtId="164" xfId="0" applyAlignment="1" applyFont="1" applyNumberFormat="1">
      <alignment horizontal="center" vertical="bottom"/>
    </xf>
    <xf borderId="0" fillId="4" fontId="4" numFmtId="164" xfId="0" applyAlignment="1" applyFont="1" applyNumberFormat="1">
      <alignment horizontal="center"/>
    </xf>
    <xf borderId="0" fillId="3" fontId="4" numFmtId="0" xfId="0" applyFont="1"/>
    <xf borderId="0" fillId="0" fontId="4" numFmtId="0" xfId="0" applyAlignment="1" applyFont="1">
      <alignment horizontal="center" readingOrder="0"/>
    </xf>
    <xf borderId="0" fillId="3" fontId="17" numFmtId="0" xfId="0" applyAlignment="1" applyFont="1">
      <alignment readingOrder="0"/>
    </xf>
    <xf borderId="0" fillId="3" fontId="4" numFmtId="0" xfId="0" applyAlignment="1" applyFont="1">
      <alignment readingOrder="0" vertical="bottom"/>
    </xf>
    <xf borderId="0" fillId="3" fontId="18" numFmtId="0" xfId="0" applyAlignment="1" applyFont="1">
      <alignment horizontal="left" readingOrder="0"/>
    </xf>
    <xf borderId="0" fillId="0" fontId="4" numFmtId="0" xfId="0" applyAlignment="1" applyFont="1">
      <alignment horizontal="center" readingOrder="0" shrinkToFit="0" vertical="bottom" wrapText="1"/>
    </xf>
    <xf borderId="0" fillId="2" fontId="4" numFmtId="0" xfId="0" applyAlignment="1" applyFont="1">
      <alignment horizontal="center"/>
    </xf>
    <xf borderId="0" fillId="0" fontId="4" numFmtId="0" xfId="0" applyAlignment="1" applyFont="1">
      <alignment horizontal="center" readingOrder="0" vertical="bottom"/>
    </xf>
    <xf borderId="0" fillId="0" fontId="18" numFmtId="0" xfId="0" applyAlignment="1" applyFont="1">
      <alignment horizontal="left" readingOrder="0" shrinkToFit="0" wrapText="0"/>
    </xf>
    <xf borderId="0" fillId="0" fontId="18" numFmtId="0" xfId="0" applyAlignment="1" applyFont="1">
      <alignment horizontal="center" readingOrder="0" shrinkToFit="0" wrapText="0"/>
    </xf>
    <xf borderId="7" fillId="0" fontId="4" numFmtId="0" xfId="0" applyAlignment="1" applyBorder="1" applyFont="1">
      <alignment horizontal="left" readingOrder="0" shrinkToFit="0" vertical="bottom" wrapText="0"/>
    </xf>
    <xf borderId="0" fillId="7" fontId="4" numFmtId="164" xfId="0" applyAlignment="1" applyFill="1" applyFont="1" applyNumberFormat="1">
      <alignment horizontal="center" readingOrder="0"/>
    </xf>
    <xf borderId="8" fillId="0" fontId="4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5" numFmtId="0" xfId="0" applyAlignment="1" applyFont="1">
      <alignment horizontal="center" readingOrder="0" vertical="bottom"/>
    </xf>
    <xf borderId="0" fillId="3" fontId="4" numFmtId="0" xfId="0" applyAlignment="1" applyFont="1">
      <alignment horizontal="center" readingOrder="0"/>
    </xf>
    <xf borderId="9" fillId="8" fontId="19" numFmtId="0" xfId="0" applyAlignment="1" applyBorder="1" applyFill="1" applyFont="1">
      <alignment horizontal="center" readingOrder="0" vertical="center"/>
    </xf>
    <xf borderId="10" fillId="8" fontId="19" numFmtId="0" xfId="0" applyAlignment="1" applyBorder="1" applyFont="1">
      <alignment horizontal="center" readingOrder="0" vertical="center"/>
    </xf>
    <xf borderId="11" fillId="8" fontId="19" numFmtId="0" xfId="0" applyAlignment="1" applyBorder="1" applyFont="1">
      <alignment horizontal="center" readingOrder="0" vertical="center"/>
    </xf>
    <xf quotePrefix="1" borderId="0" fillId="0" fontId="20" numFmtId="0" xfId="0" applyAlignment="1" applyFont="1">
      <alignment horizontal="center" readingOrder="0" vertical="center"/>
    </xf>
    <xf borderId="9" fillId="9" fontId="21" numFmtId="0" xfId="0" applyAlignment="1" applyBorder="1" applyFill="1" applyFont="1">
      <alignment horizontal="center" readingOrder="0" vertical="center"/>
    </xf>
    <xf borderId="10" fillId="9" fontId="21" numFmtId="0" xfId="0" applyAlignment="1" applyBorder="1" applyFont="1">
      <alignment horizontal="center" readingOrder="0" vertical="center"/>
    </xf>
    <xf borderId="11" fillId="9" fontId="21" numFmtId="164" xfId="0" applyAlignment="1" applyBorder="1" applyFont="1" applyNumberFormat="1">
      <alignment horizontal="center" readingOrder="0" vertical="center"/>
    </xf>
    <xf borderId="6" fillId="3" fontId="4" numFmtId="0" xfId="0" applyAlignment="1" applyBorder="1" applyFont="1">
      <alignment horizontal="center" readingOrder="0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6" fillId="0" fontId="4" numFmtId="164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vertical="center"/>
    </xf>
    <xf borderId="6" fillId="4" fontId="4" numFmtId="0" xfId="0" applyAlignment="1" applyBorder="1" applyFont="1">
      <alignment vertical="center"/>
    </xf>
    <xf borderId="6" fillId="4" fontId="7" numFmtId="0" xfId="0" applyAlignment="1" applyBorder="1" applyFont="1">
      <alignment readingOrder="0" vertical="center"/>
    </xf>
    <xf borderId="6" fillId="0" fontId="8" numFmtId="0" xfId="0" applyAlignment="1" applyBorder="1" applyFont="1">
      <alignment horizontal="left" readingOrder="0" shrinkToFit="0" vertical="center" wrapText="0"/>
    </xf>
    <xf borderId="0" fillId="4" fontId="7" numFmtId="0" xfId="0" applyAlignment="1" applyFont="1">
      <alignment vertical="center"/>
    </xf>
    <xf borderId="6" fillId="2" fontId="4" numFmtId="164" xfId="0" applyAlignment="1" applyBorder="1" applyFont="1" applyNumberFormat="1">
      <alignment horizontal="center" readingOrder="0" vertical="center"/>
    </xf>
    <xf borderId="6" fillId="10" fontId="4" numFmtId="0" xfId="0" applyAlignment="1" applyBorder="1" applyFill="1" applyFont="1">
      <alignment vertical="center"/>
    </xf>
    <xf borderId="6" fillId="10" fontId="7" numFmtId="0" xfId="0" applyAlignment="1" applyBorder="1" applyFont="1">
      <alignment readingOrder="0" vertical="center"/>
    </xf>
    <xf borderId="6" fillId="10" fontId="8" numFmtId="0" xfId="0" applyAlignment="1" applyBorder="1" applyFont="1">
      <alignment horizontal="left" readingOrder="0" shrinkToFit="0" vertical="center" wrapText="0"/>
    </xf>
    <xf borderId="0" fillId="2" fontId="7" numFmtId="0" xfId="0" applyAlignment="1" applyFont="1">
      <alignment vertical="center"/>
    </xf>
    <xf borderId="0" fillId="10" fontId="7" numFmtId="0" xfId="0" applyAlignment="1" applyFont="1">
      <alignment vertical="center"/>
    </xf>
    <xf borderId="6" fillId="3" fontId="4" numFmtId="0" xfId="0" applyAlignment="1" applyBorder="1" applyFont="1">
      <alignment vertical="center"/>
    </xf>
    <xf borderId="6" fillId="0" fontId="7" numFmtId="0" xfId="0" applyAlignment="1" applyBorder="1" applyFont="1">
      <alignment readingOrder="0" vertical="center"/>
    </xf>
    <xf borderId="6" fillId="3" fontId="22" numFmtId="0" xfId="0" applyAlignment="1" applyBorder="1" applyFont="1">
      <alignment vertical="center"/>
    </xf>
    <xf borderId="6" fillId="3" fontId="4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center"/>
    </xf>
    <xf borderId="0" fillId="3" fontId="7" numFmtId="0" xfId="0" applyAlignment="1" applyFont="1">
      <alignment vertical="center"/>
    </xf>
    <xf borderId="6" fillId="3" fontId="22" numFmtId="0" xfId="0" applyAlignment="1" applyBorder="1" applyFont="1">
      <alignment vertical="bottom"/>
    </xf>
    <xf borderId="6" fillId="2" fontId="4" numFmtId="0" xfId="0" applyAlignment="1" applyBorder="1" applyFont="1">
      <alignment vertical="bottom"/>
    </xf>
    <xf borderId="6" fillId="2" fontId="7" numFmtId="0" xfId="0" applyAlignment="1" applyBorder="1" applyFont="1">
      <alignment readingOrder="0" vertical="center"/>
    </xf>
    <xf borderId="6" fillId="2" fontId="22" numFmtId="0" xfId="0" applyAlignment="1" applyBorder="1" applyFont="1">
      <alignment vertical="bottom"/>
    </xf>
    <xf borderId="6" fillId="2" fontId="4" numFmtId="0" xfId="0" applyAlignment="1" applyBorder="1" applyFont="1">
      <alignment readingOrder="0" vertical="bottom"/>
    </xf>
    <xf borderId="6" fillId="2" fontId="18" numFmtId="0" xfId="0" applyAlignment="1" applyBorder="1" applyFont="1">
      <alignment horizontal="left" readingOrder="0" vertical="bottom"/>
    </xf>
    <xf borderId="6" fillId="2" fontId="22" numFmtId="0" xfId="0" applyAlignment="1" applyBorder="1" applyFont="1">
      <alignment horizontal="left" readingOrder="0" vertical="bottom"/>
    </xf>
    <xf borderId="6" fillId="2" fontId="22" numFmtId="0" xfId="0" applyAlignment="1" applyBorder="1" applyFont="1">
      <alignment vertical="bottom"/>
    </xf>
    <xf borderId="6" fillId="11" fontId="4" numFmtId="164" xfId="0" applyAlignment="1" applyBorder="1" applyFill="1" applyFont="1" applyNumberFormat="1">
      <alignment horizontal="center" readingOrder="0" vertical="center"/>
    </xf>
    <xf borderId="0" fillId="12" fontId="7" numFmtId="0" xfId="0" applyAlignment="1" applyFill="1" applyFont="1">
      <alignment readingOrder="0" vertical="center"/>
    </xf>
    <xf borderId="0" fillId="12" fontId="7" numFmtId="0" xfId="0" applyAlignment="1" applyFont="1">
      <alignment vertical="center"/>
    </xf>
    <xf borderId="6" fillId="2" fontId="4" numFmtId="0" xfId="0" applyAlignment="1" applyBorder="1" applyFont="1">
      <alignment readingOrder="0" vertical="center"/>
    </xf>
    <xf borderId="6" fillId="3" fontId="18" numFmtId="0" xfId="0" applyAlignment="1" applyBorder="1" applyFont="1">
      <alignment horizontal="left" readingOrder="0" vertical="bottom"/>
    </xf>
    <xf borderId="6" fillId="3" fontId="4" numFmtId="0" xfId="0" applyAlignment="1" applyBorder="1" applyFont="1">
      <alignment readingOrder="0" vertical="center"/>
    </xf>
    <xf borderId="0" fillId="3" fontId="4" numFmtId="0" xfId="0" applyAlignment="1" applyFont="1">
      <alignment vertical="center"/>
    </xf>
    <xf borderId="6" fillId="13" fontId="4" numFmtId="164" xfId="0" applyAlignment="1" applyBorder="1" applyFill="1" applyFont="1" applyNumberFormat="1">
      <alignment horizontal="center" readingOrder="0" vertical="center"/>
    </xf>
    <xf borderId="6" fillId="3" fontId="4" numFmtId="0" xfId="0" applyAlignment="1" applyBorder="1" applyFont="1">
      <alignment horizontal="left" readingOrder="0" vertical="bottom"/>
    </xf>
    <xf borderId="6" fillId="3" fontId="8" numFmtId="0" xfId="0" applyAlignment="1" applyBorder="1" applyFont="1">
      <alignment horizontal="left" readingOrder="0" vertical="bottom"/>
    </xf>
    <xf borderId="6" fillId="3" fontId="23" numFmtId="0" xfId="0" applyAlignment="1" applyBorder="1" applyFont="1">
      <alignment readingOrder="0" vertical="center"/>
    </xf>
    <xf borderId="6" fillId="3" fontId="4" numFmtId="164" xfId="0" applyAlignment="1" applyBorder="1" applyFont="1" applyNumberFormat="1">
      <alignment horizontal="center" readingOrder="0" vertical="center"/>
    </xf>
    <xf borderId="6" fillId="3" fontId="24" numFmtId="0" xfId="0" applyAlignment="1" applyBorder="1" applyFont="1">
      <alignment horizontal="left" readingOrder="0" vertical="bottom"/>
    </xf>
    <xf borderId="6" fillId="3" fontId="18" numFmtId="0" xfId="0" applyAlignment="1" applyBorder="1" applyFont="1">
      <alignment readingOrder="0" vertical="bottom"/>
    </xf>
    <xf borderId="6" fillId="0" fontId="8" numFmtId="0" xfId="0" applyAlignment="1" applyBorder="1" applyFont="1">
      <alignment readingOrder="0" vertical="bottom"/>
    </xf>
    <xf borderId="0" fillId="0" fontId="25" numFmtId="0" xfId="0" applyAlignment="1" applyFont="1">
      <alignment readingOrder="0"/>
    </xf>
    <xf borderId="6" fillId="0" fontId="26" numFmtId="0" xfId="0" applyAlignment="1" applyBorder="1" applyFont="1">
      <alignment readingOrder="0" vertical="bottom"/>
    </xf>
    <xf borderId="6" fillId="3" fontId="7" numFmtId="0" xfId="0" applyAlignment="1" applyBorder="1" applyFont="1">
      <alignment vertical="center"/>
    </xf>
    <xf borderId="6" fillId="3" fontId="8" numFmtId="0" xfId="0" applyAlignment="1" applyBorder="1" applyFont="1">
      <alignment vertical="bottom"/>
    </xf>
    <xf borderId="6" fillId="3" fontId="8" numFmtId="0" xfId="0" applyAlignment="1" applyBorder="1" applyFont="1">
      <alignment readingOrder="0" vertical="bottom"/>
    </xf>
    <xf borderId="6" fillId="3" fontId="27" numFmtId="0" xfId="0" applyAlignment="1" applyBorder="1" applyFont="1">
      <alignment vertical="bottom"/>
    </xf>
    <xf borderId="6" fillId="14" fontId="8" numFmtId="0" xfId="0" applyAlignment="1" applyBorder="1" applyFill="1" applyFont="1">
      <alignment vertical="bottom"/>
    </xf>
    <xf borderId="6" fillId="14" fontId="8" numFmtId="0" xfId="0" applyAlignment="1" applyBorder="1" applyFont="1">
      <alignment readingOrder="0" vertical="bottom"/>
    </xf>
    <xf borderId="0" fillId="14" fontId="7" numFmtId="0" xfId="0" applyAlignment="1" applyFont="1">
      <alignment vertical="center"/>
    </xf>
    <xf borderId="6" fillId="14" fontId="27" numFmtId="0" xfId="0" applyAlignment="1" applyBorder="1" applyFont="1">
      <alignment vertical="bottom"/>
    </xf>
    <xf borderId="6" fillId="14" fontId="4" numFmtId="164" xfId="0" applyAlignment="1" applyBorder="1" applyFont="1" applyNumberFormat="1">
      <alignment horizontal="center" readingOrder="0" vertical="center"/>
    </xf>
    <xf borderId="0" fillId="15" fontId="7" numFmtId="0" xfId="0" applyAlignment="1" applyFill="1" applyFont="1">
      <alignment readingOrder="0" vertical="center"/>
    </xf>
    <xf borderId="6" fillId="4" fontId="8" numFmtId="0" xfId="0" applyAlignment="1" applyBorder="1" applyFont="1">
      <alignment readingOrder="0" vertical="bottom"/>
    </xf>
    <xf borderId="6" fillId="4" fontId="28" numFmtId="0" xfId="0" applyAlignment="1" applyBorder="1" applyFont="1">
      <alignment readingOrder="0" vertical="bottom"/>
    </xf>
    <xf borderId="6" fillId="4" fontId="4" numFmtId="164" xfId="0" applyAlignment="1" applyBorder="1" applyFont="1" applyNumberFormat="1">
      <alignment horizontal="center" readingOrder="0" vertical="center"/>
    </xf>
    <xf borderId="6" fillId="16" fontId="8" numFmtId="0" xfId="0" applyAlignment="1" applyBorder="1" applyFill="1" applyFont="1">
      <alignment readingOrder="0" vertical="bottom"/>
    </xf>
    <xf borderId="0" fillId="16" fontId="7" numFmtId="0" xfId="0" applyAlignment="1" applyFont="1">
      <alignment vertical="center"/>
    </xf>
    <xf borderId="6" fillId="16" fontId="4" numFmtId="164" xfId="0" applyAlignment="1" applyBorder="1" applyFont="1" applyNumberFormat="1">
      <alignment horizontal="center" readingOrder="0" vertical="center"/>
    </xf>
    <xf borderId="6" fillId="16" fontId="28" numFmtId="0" xfId="0" applyAlignment="1" applyBorder="1" applyFont="1">
      <alignment readingOrder="0" vertical="bottom"/>
    </xf>
    <xf borderId="6" fillId="0" fontId="7" numFmtId="0" xfId="0" applyAlignment="1" applyBorder="1" applyFont="1">
      <alignment vertical="center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1" fillId="3" fontId="1" numFmtId="164" xfId="0" applyAlignment="1" applyBorder="1" applyFont="1" applyNumberFormat="1">
      <alignment horizontal="center" readingOrder="0" shrinkToFit="0" vertical="center" wrapText="1"/>
    </xf>
    <xf borderId="1" fillId="0" fontId="18" numFmtId="0" xfId="0" applyAlignment="1" applyBorder="1" applyFont="1">
      <alignment horizontal="left" readingOrder="0" shrinkToFit="0" vertical="bottom" wrapText="0"/>
    </xf>
    <xf borderId="1" fillId="2" fontId="18" numFmtId="164" xfId="0" applyAlignment="1" applyBorder="1" applyFont="1" applyNumberFormat="1">
      <alignment horizontal="center" readingOrder="0"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1" fillId="0" fontId="18" numFmtId="0" xfId="0" applyAlignment="1" applyBorder="1" applyFont="1">
      <alignment readingOrder="0" shrinkToFit="0" vertical="bottom" wrapText="0"/>
    </xf>
    <xf borderId="1" fillId="0" fontId="18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left" readingOrder="0" shrinkToFit="0" vertical="bottom" wrapText="0"/>
    </xf>
    <xf borderId="1" fillId="17" fontId="4" numFmtId="164" xfId="0" applyAlignment="1" applyBorder="1" applyFill="1" applyFont="1" applyNumberFormat="1">
      <alignment horizontal="center" readingOrder="0"/>
    </xf>
    <xf borderId="1" fillId="18" fontId="4" numFmtId="164" xfId="0" applyAlignment="1" applyBorder="1" applyFill="1" applyFont="1" applyNumberFormat="1">
      <alignment horizontal="center" readingOrder="0"/>
    </xf>
    <xf borderId="1" fillId="2" fontId="18" numFmtId="0" xfId="0" applyAlignment="1" applyBorder="1" applyFont="1">
      <alignment horizontal="left" readingOrder="0" shrinkToFit="0" vertical="bottom" wrapText="0"/>
    </xf>
    <xf borderId="1" fillId="2" fontId="5" numFmtId="0" xfId="0" applyAlignment="1" applyBorder="1" applyFont="1">
      <alignment horizontal="left"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2" fontId="5" numFmtId="164" xfId="0" applyAlignment="1" applyBorder="1" applyFont="1" applyNumberFormat="1">
      <alignment horizontal="center" readingOrder="0"/>
    </xf>
    <xf borderId="1" fillId="2" fontId="5" numFmtId="164" xfId="0" applyAlignment="1" applyBorder="1" applyFont="1" applyNumberFormat="1">
      <alignment horizontal="center" readingOrder="0" shrinkToFit="0" vertical="bottom" wrapText="0"/>
    </xf>
    <xf borderId="1" fillId="0" fontId="18" numFmtId="0" xfId="0" applyAlignment="1" applyBorder="1" applyFont="1">
      <alignment shrinkToFit="0" vertical="bottom" wrapText="0"/>
    </xf>
    <xf borderId="1" fillId="2" fontId="4" numFmtId="165" xfId="0" applyAlignment="1" applyBorder="1" applyFont="1" applyNumberFormat="1">
      <alignment horizontal="center" readingOrder="0"/>
    </xf>
    <xf borderId="1" fillId="2" fontId="18" numFmtId="0" xfId="0" applyAlignment="1" applyBorder="1" applyFont="1">
      <alignment shrinkToFit="0" vertical="bottom" wrapText="0"/>
    </xf>
    <xf borderId="1" fillId="2" fontId="29" numFmtId="0" xfId="0" applyAlignment="1" applyBorder="1" applyFont="1">
      <alignment horizontal="left" readingOrder="0" shrinkToFit="0" vertical="bottom" wrapText="0"/>
    </xf>
    <xf borderId="1" fillId="3" fontId="18" numFmtId="0" xfId="0" applyAlignment="1" applyBorder="1" applyFont="1">
      <alignment horizontal="left" readingOrder="0" shrinkToFit="0" vertical="bottom" wrapText="0"/>
    </xf>
    <xf borderId="1" fillId="4" fontId="18" numFmtId="0" xfId="0" applyAlignment="1" applyBorder="1" applyFont="1">
      <alignment horizontal="left" readingOrder="0" shrinkToFit="0" vertical="bottom" wrapText="0"/>
    </xf>
    <xf borderId="1" fillId="2" fontId="4" numFmtId="0" xfId="0" applyBorder="1" applyFont="1"/>
    <xf borderId="1" fillId="2" fontId="4" numFmtId="0" xfId="0" applyAlignment="1" applyBorder="1" applyFont="1">
      <alignment readingOrder="0"/>
    </xf>
    <xf borderId="1" fillId="2" fontId="4" numFmtId="164" xfId="0" applyAlignment="1" applyBorder="1" applyFont="1" applyNumberFormat="1">
      <alignment horizontal="center"/>
    </xf>
    <xf borderId="1" fillId="0" fontId="4" numFmtId="0" xfId="0" applyBorder="1" applyFont="1"/>
    <xf borderId="1" fillId="3" fontId="4" numFmtId="0" xfId="0" applyBorder="1" applyFont="1"/>
    <xf borderId="1" fillId="3" fontId="17" numFmtId="0" xfId="0" applyAlignment="1" applyBorder="1" applyFont="1">
      <alignment readingOrder="0"/>
    </xf>
    <xf borderId="1" fillId="2" fontId="18" numFmtId="0" xfId="0" applyAlignment="1" applyBorder="1" applyFont="1">
      <alignment horizontal="left" readingOrder="0"/>
    </xf>
    <xf borderId="1" fillId="3" fontId="30" numFmtId="0" xfId="0" applyAlignment="1" applyBorder="1" applyFont="1">
      <alignment readingOrder="0" vertical="bottom"/>
    </xf>
    <xf borderId="1" fillId="4" fontId="4" numFmtId="0" xfId="0" applyAlignment="1" applyBorder="1" applyFont="1">
      <alignment readingOrder="0"/>
    </xf>
    <xf borderId="1" fillId="2" fontId="18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1" fillId="2" fontId="5" numFmtId="0" xfId="0" applyAlignment="1" applyBorder="1" applyFont="1">
      <alignment readingOrder="0"/>
    </xf>
    <xf borderId="1" fillId="3" fontId="4" numFmtId="0" xfId="0" applyBorder="1" applyFont="1"/>
    <xf borderId="1" fillId="2" fontId="18" numFmtId="0" xfId="0" applyAlignment="1" applyBorder="1" applyFont="1">
      <alignment horizontal="left" readingOrder="0" vertical="center"/>
    </xf>
    <xf borderId="1" fillId="2" fontId="4" numFmtId="0" xfId="0" applyBorder="1" applyFont="1"/>
    <xf borderId="0" fillId="3" fontId="5" numFmtId="0" xfId="0" applyAlignment="1" applyFont="1">
      <alignment readingOrder="0"/>
    </xf>
    <xf borderId="0" fillId="2" fontId="4" numFmtId="0" xfId="0" applyAlignment="1" applyFont="1">
      <alignment readingOrder="0"/>
    </xf>
    <xf borderId="0" fillId="4" fontId="4" numFmtId="0" xfId="0" applyAlignment="1" applyFont="1">
      <alignment readingOrder="0"/>
    </xf>
    <xf borderId="2" fillId="2" fontId="4" numFmtId="0" xfId="0" applyAlignment="1" applyBorder="1" applyFont="1">
      <alignment readingOrder="0"/>
    </xf>
    <xf borderId="4" fillId="2" fontId="18" numFmtId="0" xfId="0" applyAlignment="1" applyBorder="1" applyFont="1">
      <alignment readingOrder="0"/>
    </xf>
    <xf borderId="3" fillId="4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4" fillId="4" fontId="4" numFmtId="0" xfId="0" applyAlignment="1" applyBorder="1" applyFont="1">
      <alignment readingOrder="0"/>
    </xf>
    <xf borderId="5" fillId="2" fontId="4" numFmtId="0" xfId="0" applyAlignment="1" applyBorder="1" applyFont="1">
      <alignment readingOrder="0"/>
    </xf>
    <xf borderId="2" fillId="4" fontId="4" numFmtId="0" xfId="0" applyAlignment="1" applyBorder="1" applyFont="1">
      <alignment readingOrder="0"/>
    </xf>
    <xf borderId="3" fillId="2" fontId="4" numFmtId="0" xfId="0" applyAlignment="1" applyBorder="1" applyFont="1">
      <alignment horizontal="center" readingOrder="0"/>
    </xf>
    <xf borderId="1" fillId="2" fontId="31" numFmtId="0" xfId="0" applyAlignment="1" applyBorder="1" applyFont="1">
      <alignment readingOrder="0"/>
    </xf>
    <xf borderId="1" fillId="4" fontId="31" numFmtId="0" xfId="0" applyAlignment="1" applyBorder="1" applyFont="1">
      <alignment readingOrder="0"/>
    </xf>
    <xf borderId="1" fillId="4" fontId="18" numFmtId="0" xfId="0" applyAlignment="1" applyBorder="1" applyFont="1">
      <alignment readingOrder="0"/>
    </xf>
    <xf borderId="1" fillId="3" fontId="18" numFmtId="0" xfId="0" applyAlignment="1" applyBorder="1" applyFont="1">
      <alignment readingOrder="0"/>
    </xf>
    <xf borderId="1" fillId="2" fontId="32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5" fillId="4" fontId="4" numFmtId="0" xfId="0" applyAlignment="1" applyBorder="1" applyFont="1">
      <alignment readingOrder="0"/>
    </xf>
    <xf borderId="12" fillId="0" fontId="8" numFmtId="0" xfId="0" applyAlignment="1" applyBorder="1" applyFont="1">
      <alignment horizontal="left" readingOrder="0" shrinkToFit="0" vertical="bottom" wrapText="0"/>
    </xf>
    <xf borderId="0" fillId="4" fontId="7" numFmtId="0" xfId="0" applyAlignment="1" applyFont="1">
      <alignment readingOrder="0"/>
    </xf>
    <xf borderId="0" fillId="2" fontId="7" numFmtId="0" xfId="0" applyAlignment="1" applyFont="1">
      <alignment readingOrder="0"/>
    </xf>
    <xf borderId="1" fillId="0" fontId="18" numFmtId="164" xfId="0" applyAlignment="1" applyBorder="1" applyFont="1" applyNumberFormat="1">
      <alignment horizontal="center" readingOrder="0" shrinkToFit="0" vertical="bottom" wrapText="0"/>
    </xf>
    <xf borderId="0" fillId="4" fontId="24" numFmtId="0" xfId="0" applyAlignment="1" applyFont="1">
      <alignment readingOrder="0"/>
    </xf>
    <xf borderId="0" fillId="2" fontId="24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 vertical="center"/>
    </xf>
    <xf borderId="1" fillId="0" fontId="1" numFmtId="0" xfId="0" applyAlignment="1" applyBorder="1" applyFont="1">
      <alignment readingOrder="0"/>
    </xf>
    <xf borderId="1" fillId="0" fontId="18" numFmtId="0" xfId="0" applyAlignment="1" applyBorder="1" applyFont="1">
      <alignment readingOrder="0"/>
    </xf>
    <xf borderId="1" fillId="0" fontId="34" numFmtId="0" xfId="0" applyAlignment="1" applyBorder="1" applyFont="1">
      <alignment readingOrder="0"/>
    </xf>
    <xf borderId="1" fillId="19" fontId="4" numFmtId="164" xfId="0" applyAlignment="1" applyBorder="1" applyFill="1" applyFont="1" applyNumberFormat="1">
      <alignment horizontal="center" readingOrder="0"/>
    </xf>
    <xf borderId="0" fillId="20" fontId="35" numFmtId="0" xfId="0" applyAlignment="1" applyFill="1" applyFont="1">
      <alignment horizontal="center" readingOrder="0" vertical="center"/>
    </xf>
    <xf borderId="6" fillId="0" fontId="36" numFmtId="0" xfId="0" applyAlignment="1" applyBorder="1" applyFont="1">
      <alignment horizontal="center" readingOrder="0" shrinkToFit="0" vertical="bottom" wrapText="0"/>
    </xf>
    <xf borderId="11" fillId="21" fontId="36" numFmtId="0" xfId="0" applyAlignment="1" applyBorder="1" applyFill="1" applyFont="1">
      <alignment horizontal="center" readingOrder="0" shrinkToFit="0" vertical="bottom" wrapText="0"/>
    </xf>
    <xf borderId="11" fillId="22" fontId="36" numFmtId="0" xfId="0" applyAlignment="1" applyBorder="1" applyFill="1" applyFont="1">
      <alignment horizontal="center" readingOrder="0" shrinkToFit="0" vertical="bottom" wrapText="0"/>
    </xf>
    <xf borderId="0" fillId="0" fontId="37" numFmtId="0" xfId="0" applyAlignment="1" applyFont="1">
      <alignment shrinkToFit="0" vertical="bottom" wrapText="0"/>
    </xf>
    <xf borderId="0" fillId="0" fontId="37" numFmtId="0" xfId="0" applyAlignment="1" applyFont="1">
      <alignment horizontal="center" readingOrder="0" shrinkToFit="0" vertical="bottom" wrapText="0"/>
    </xf>
    <xf borderId="0" fillId="0" fontId="37" numFmtId="0" xfId="0" applyAlignment="1" applyFont="1">
      <alignment horizontal="center" readingOrder="0" shrinkToFit="0" wrapText="0"/>
    </xf>
    <xf borderId="13" fillId="0" fontId="37" numFmtId="0" xfId="0" applyAlignment="1" applyBorder="1" applyFont="1">
      <alignment horizontal="center" readingOrder="0" shrinkToFit="0" vertical="bottom" wrapText="0"/>
    </xf>
    <xf borderId="14" fillId="23" fontId="37" numFmtId="0" xfId="0" applyAlignment="1" applyBorder="1" applyFill="1" applyFont="1">
      <alignment horizontal="center" readingOrder="0" shrinkToFit="0" vertical="bottom" wrapText="0"/>
    </xf>
    <xf borderId="14" fillId="24" fontId="37" numFmtId="0" xfId="0" applyAlignment="1" applyBorder="1" applyFill="1" applyFont="1">
      <alignment horizontal="center" shrinkToFit="0" vertical="bottom" wrapText="0"/>
    </xf>
    <xf borderId="0" fillId="0" fontId="37" numFmtId="0" xfId="0" applyAlignment="1" applyFont="1">
      <alignment horizontal="left" readingOrder="0" shrinkToFit="0" vertical="bottom" wrapText="0"/>
    </xf>
    <xf borderId="14" fillId="24" fontId="37" numFmtId="0" xfId="0" applyAlignment="1" applyBorder="1" applyFont="1">
      <alignment horizontal="center" readingOrder="0" shrinkToFit="0" vertical="bottom" wrapText="0"/>
    </xf>
    <xf borderId="15" fillId="0" fontId="37" numFmtId="0" xfId="0" applyAlignment="1" applyBorder="1" applyFont="1">
      <alignment horizontal="center" readingOrder="0" shrinkToFit="0" vertical="bottom" wrapText="0"/>
    </xf>
    <xf borderId="16" fillId="23" fontId="37" numFmtId="0" xfId="0" applyAlignment="1" applyBorder="1" applyFont="1">
      <alignment horizontal="center" readingOrder="0" shrinkToFit="0" vertical="bottom" wrapText="0"/>
    </xf>
    <xf borderId="16" fillId="24" fontId="37" numFmtId="0" xfId="0" applyAlignment="1" applyBorder="1" applyFont="1">
      <alignment horizontal="center" shrinkToFit="0" vertical="bottom" wrapText="0"/>
    </xf>
    <xf borderId="6" fillId="25" fontId="38" numFmtId="0" xfId="0" applyAlignment="1" applyBorder="1" applyFill="1" applyFont="1">
      <alignment horizontal="center" readingOrder="0" shrinkToFit="0" vertical="center" wrapText="0"/>
    </xf>
    <xf borderId="11" fillId="6" fontId="39" numFmtId="0" xfId="0" applyAlignment="1" applyBorder="1" applyFont="1">
      <alignment horizontal="center" readingOrder="0" shrinkToFit="0" vertical="center" wrapText="0"/>
    </xf>
    <xf borderId="0" fillId="0" fontId="37" numFmtId="0" xfId="0" applyAlignment="1" applyFont="1">
      <alignment horizontal="center" shrinkToFit="0" vertical="bottom" wrapText="0"/>
    </xf>
    <xf borderId="16" fillId="24" fontId="37" numFmtId="0" xfId="0" applyAlignment="1" applyBorder="1" applyFont="1">
      <alignment horizontal="center" readingOrder="0" shrinkToFit="0" vertical="bottom" wrapText="0"/>
    </xf>
    <xf borderId="6" fillId="25" fontId="38" numFmtId="0" xfId="0" applyAlignment="1" applyBorder="1" applyFont="1">
      <alignment horizontal="center" readingOrder="0" shrinkToFit="0" vertical="bottom" wrapText="0"/>
    </xf>
    <xf borderId="11" fillId="6" fontId="39" numFmtId="0" xfId="0" applyAlignment="1" applyBorder="1" applyFont="1">
      <alignment horizontal="center" readingOrder="0" shrinkToFit="0" vertical="bottom" wrapText="0"/>
    </xf>
    <xf borderId="0" fillId="0" fontId="40" numFmtId="0" xfId="0" applyAlignment="1" applyFont="1">
      <alignment horizontal="left" readingOrder="0" shrinkToFit="0" vertical="bottom" wrapText="0"/>
    </xf>
    <xf borderId="6" fillId="25" fontId="37" numFmtId="0" xfId="0" applyAlignment="1" applyBorder="1" applyFont="1">
      <alignment horizontal="center" readingOrder="0" shrinkToFit="0" vertical="bottom" wrapText="0"/>
    </xf>
    <xf borderId="11" fillId="6" fontId="41" numFmtId="0" xfId="0" applyAlignment="1" applyBorder="1" applyFont="1">
      <alignment horizontal="center" readingOrder="0" shrinkToFit="0" vertical="bottom" wrapText="0"/>
    </xf>
    <xf borderId="6" fillId="26" fontId="41" numFmtId="0" xfId="0" applyAlignment="1" applyBorder="1" applyFill="1" applyFont="1">
      <alignment horizontal="center" readingOrder="0" shrinkToFit="0" vertical="bottom" wrapText="0"/>
    </xf>
    <xf borderId="11" fillId="26" fontId="41" numFmtId="0" xfId="0" applyAlignment="1" applyBorder="1" applyFont="1">
      <alignment horizontal="center" readingOrder="0" shrinkToFit="0" vertical="bottom" wrapText="0"/>
    </xf>
    <xf borderId="10" fillId="26" fontId="41" numFmtId="0" xfId="0" applyAlignment="1" applyBorder="1" applyFont="1">
      <alignment horizontal="center" readingOrder="0" shrinkToFit="0" vertical="bottom" wrapText="0"/>
    </xf>
    <xf borderId="6" fillId="26" fontId="41" numFmtId="0" xfId="0" applyAlignment="1" applyBorder="1" applyFont="1">
      <alignment horizontal="right" readingOrder="0" shrinkToFit="0" vertical="bottom" wrapText="0"/>
    </xf>
    <xf borderId="0" fillId="27" fontId="35" numFmtId="0" xfId="0" applyAlignment="1" applyFill="1" applyFont="1">
      <alignment horizontal="center" readingOrder="0" vertical="center"/>
    </xf>
    <xf borderId="0" fillId="28" fontId="35" numFmtId="0" xfId="0" applyAlignment="1" applyFill="1" applyFont="1">
      <alignment horizontal="center" readingOrder="0" vertical="center"/>
    </xf>
    <xf borderId="0" fillId="29" fontId="35" numFmtId="0" xfId="0" applyAlignment="1" applyFill="1" applyFont="1">
      <alignment horizontal="center" readingOrder="0" vertical="center"/>
    </xf>
    <xf borderId="0" fillId="0" fontId="37" numFmtId="0" xfId="0" applyAlignment="1" applyFont="1">
      <alignment horizontal="right" readingOrder="0" shrinkToFit="0" vertical="bottom" wrapText="0"/>
    </xf>
    <xf borderId="6" fillId="0" fontId="7" numFmtId="0" xfId="0" applyAlignment="1" applyBorder="1" applyFont="1">
      <alignment readingOrder="0"/>
    </xf>
    <xf borderId="8" fillId="30" fontId="7" numFmtId="166" xfId="0" applyAlignment="1" applyBorder="1" applyFill="1" applyFont="1" applyNumberFormat="1">
      <alignment horizontal="center" readingOrder="0" vertical="center"/>
    </xf>
    <xf borderId="12" fillId="0" fontId="42" numFmtId="0" xfId="0" applyBorder="1" applyFont="1"/>
    <xf borderId="0" fillId="0" fontId="7" numFmtId="49" xfId="0" applyAlignment="1" applyFont="1" applyNumberFormat="1">
      <alignment horizontal="center" readingOrder="0"/>
    </xf>
    <xf borderId="8" fillId="13" fontId="7" numFmtId="166" xfId="0" applyAlignment="1" applyBorder="1" applyFont="1" applyNumberFormat="1">
      <alignment horizontal="center" readingOrder="0" vertical="center"/>
    </xf>
    <xf borderId="17" fillId="0" fontId="42" numFmtId="0" xfId="0" applyBorder="1" applyFont="1"/>
    <xf borderId="8" fillId="4" fontId="43" numFmtId="0" xfId="0" applyAlignment="1" applyBorder="1" applyFont="1">
      <alignment horizontal="center" readingOrder="0" vertical="center"/>
    </xf>
    <xf borderId="17" fillId="4" fontId="43" numFmtId="0" xfId="0" applyAlignment="1" applyBorder="1" applyFont="1">
      <alignment horizontal="center" readingOrder="0" vertical="center"/>
    </xf>
    <xf borderId="12" fillId="4" fontId="43" numFmtId="0" xfId="0" applyAlignment="1" applyBorder="1" applyFont="1">
      <alignment horizontal="center" readingOrder="0" vertical="center"/>
    </xf>
    <xf borderId="9" fillId="2" fontId="7" numFmtId="0" xfId="0" applyAlignment="1" applyBorder="1" applyFont="1">
      <alignment horizontal="left" readingOrder="0"/>
    </xf>
    <xf borderId="10" fillId="0" fontId="42" numFmtId="0" xfId="0" applyBorder="1" applyFont="1"/>
    <xf borderId="11" fillId="0" fontId="42" numFmtId="0" xfId="0" applyBorder="1" applyFont="1"/>
    <xf borderId="0" fillId="0" fontId="44" numFmtId="0" xfId="0" applyFont="1"/>
    <xf borderId="0" fillId="0" fontId="7" numFmtId="0" xfId="0" applyAlignment="1" applyFont="1">
      <alignment horizontal="center" readingOrder="0"/>
    </xf>
    <xf borderId="18" fillId="0" fontId="42" numFmtId="0" xfId="0" applyBorder="1" applyFont="1"/>
    <xf borderId="14" fillId="0" fontId="42" numFmtId="0" xfId="0" applyBorder="1" applyFont="1"/>
    <xf borderId="19" fillId="0" fontId="42" numFmtId="0" xfId="0" applyBorder="1" applyFont="1"/>
    <xf borderId="18" fillId="4" fontId="43" numFmtId="0" xfId="0" applyAlignment="1" applyBorder="1" applyFont="1">
      <alignment horizontal="center" readingOrder="0" vertical="center"/>
    </xf>
    <xf borderId="19" fillId="4" fontId="43" numFmtId="0" xfId="0" applyAlignment="1" applyBorder="1" applyFont="1">
      <alignment horizontal="center" readingOrder="0" vertical="center"/>
    </xf>
    <xf borderId="14" fillId="4" fontId="43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/>
    </xf>
    <xf borderId="6" fillId="0" fontId="43" numFmtId="0" xfId="0" applyAlignment="1" applyBorder="1" applyFont="1">
      <alignment horizontal="center" readingOrder="0"/>
    </xf>
    <xf borderId="6" fillId="0" fontId="7" numFmtId="49" xfId="0" applyAlignment="1" applyBorder="1" applyFont="1" applyNumberFormat="1">
      <alignment horizontal="center" readingOrder="0"/>
    </xf>
    <xf borderId="6" fillId="2" fontId="7" numFmtId="0" xfId="0" applyAlignment="1" applyBorder="1" applyFont="1">
      <alignment horizontal="center" readingOrder="0"/>
    </xf>
    <xf borderId="9" fillId="0" fontId="43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 vertical="center"/>
    </xf>
    <xf borderId="0" fillId="0" fontId="45" numFmtId="0" xfId="0" applyAlignment="1" applyFont="1">
      <alignment readingOrder="0"/>
    </xf>
    <xf borderId="0" fillId="0" fontId="45" numFmtId="49" xfId="0" applyAlignment="1" applyFont="1" applyNumberFormat="1">
      <alignment readingOrder="0"/>
    </xf>
    <xf borderId="0" fillId="2" fontId="7" numFmtId="0" xfId="0" applyFont="1"/>
    <xf borderId="8" fillId="13" fontId="44" numFmtId="0" xfId="0" applyBorder="1" applyFont="1"/>
    <xf borderId="8" fillId="27" fontId="44" numFmtId="0" xfId="0" applyBorder="1" applyFont="1"/>
    <xf borderId="7" fillId="5" fontId="44" numFmtId="0" xfId="0" applyBorder="1" applyFont="1"/>
    <xf borderId="12" fillId="28" fontId="44" numFmtId="0" xfId="0" applyBorder="1" applyFont="1"/>
    <xf borderId="20" fillId="13" fontId="44" numFmtId="0" xfId="0" applyBorder="1" applyFont="1"/>
    <xf borderId="20" fillId="27" fontId="44" numFmtId="0" xfId="0" applyBorder="1" applyFont="1"/>
    <xf borderId="15" fillId="5" fontId="44" numFmtId="0" xfId="0" applyBorder="1" applyFont="1"/>
    <xf borderId="16" fillId="28" fontId="44" numFmtId="0" xfId="0" applyBorder="1" applyFont="1"/>
    <xf borderId="0" fillId="0" fontId="45" numFmtId="0" xfId="0" applyFont="1"/>
    <xf borderId="0" fillId="0" fontId="45" numFmtId="0" xfId="0" applyFont="1"/>
    <xf borderId="0" fillId="0" fontId="43" numFmtId="0" xfId="0" applyAlignment="1" applyFont="1">
      <alignment readingOrder="0"/>
    </xf>
    <xf borderId="0" fillId="0" fontId="7" numFmtId="49" xfId="0" applyAlignment="1" applyFont="1" applyNumberFormat="1">
      <alignment readingOrder="0"/>
    </xf>
    <xf borderId="0" fillId="0" fontId="46" numFmtId="0" xfId="0" applyAlignment="1" applyFont="1">
      <alignment readingOrder="0"/>
    </xf>
    <xf borderId="0" fillId="2" fontId="7" numFmtId="0" xfId="0" applyAlignment="1" applyFont="1">
      <alignment horizontal="center" readingOrder="0"/>
    </xf>
    <xf borderId="0" fillId="0" fontId="46" numFmtId="0" xfId="0" applyFont="1"/>
    <xf borderId="0" fillId="0" fontId="43" numFmtId="0" xfId="0" applyFont="1"/>
    <xf borderId="0" fillId="2" fontId="7" numFmtId="0" xfId="0" applyAlignment="1" applyFont="1">
      <alignment horizontal="center"/>
    </xf>
    <xf borderId="6" fillId="0" fontId="36" numFmtId="0" xfId="0" applyAlignment="1" applyBorder="1" applyFont="1">
      <alignment horizontal="center" readingOrder="0" shrinkToFit="0" vertical="center" wrapText="0"/>
    </xf>
    <xf borderId="11" fillId="21" fontId="47" numFmtId="0" xfId="0" applyAlignment="1" applyBorder="1" applyFont="1">
      <alignment horizontal="center" readingOrder="0" shrinkToFit="0" vertical="center" wrapText="0"/>
    </xf>
    <xf borderId="11" fillId="22" fontId="36" numFmtId="0" xfId="0" applyAlignment="1" applyBorder="1" applyFont="1">
      <alignment horizontal="center" readingOrder="0" shrinkToFit="0" vertical="center" wrapText="0"/>
    </xf>
    <xf borderId="6" fillId="13" fontId="48" numFmtId="0" xfId="0" applyAlignment="1" applyBorder="1" applyFont="1">
      <alignment horizontal="center" readingOrder="0" vertical="center"/>
    </xf>
    <xf borderId="6" fillId="19" fontId="48" numFmtId="0" xfId="0" applyAlignment="1" applyBorder="1" applyFont="1">
      <alignment horizontal="center" readingOrder="0" vertical="center"/>
    </xf>
    <xf borderId="0" fillId="13" fontId="49" numFmtId="0" xfId="0" applyAlignment="1" applyFont="1">
      <alignment horizontal="center" readingOrder="0" vertical="center"/>
    </xf>
    <xf borderId="7" fillId="0" fontId="50" numFmtId="0" xfId="0" applyAlignment="1" applyBorder="1" applyFont="1">
      <alignment horizontal="center" readingOrder="0" shrinkToFit="0" vertical="center" wrapText="0"/>
    </xf>
    <xf borderId="7" fillId="0" fontId="51" numFmtId="0" xfId="0" applyAlignment="1" applyBorder="1" applyFont="1">
      <alignment horizontal="center" readingOrder="0" shrinkToFit="0" vertical="center" wrapText="0"/>
    </xf>
    <xf borderId="14" fillId="23" fontId="40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readingOrder="0" vertical="center"/>
    </xf>
    <xf borderId="6" fillId="0" fontId="49" numFmtId="0" xfId="0" applyAlignment="1" applyBorder="1" applyFont="1">
      <alignment horizontal="center" readingOrder="0" vertical="center"/>
    </xf>
    <xf borderId="21" fillId="13" fontId="52" numFmtId="0" xfId="0" applyAlignment="1" applyBorder="1" applyFont="1">
      <alignment horizontal="center" readingOrder="0" shrinkToFit="0" vertical="center" wrapText="0"/>
    </xf>
    <xf borderId="22" fillId="0" fontId="52" numFmtId="0" xfId="0" applyAlignment="1" applyBorder="1" applyFont="1">
      <alignment horizontal="center" readingOrder="0" shrinkToFit="0" wrapText="0"/>
    </xf>
    <xf borderId="22" fillId="0" fontId="53" numFmtId="0" xfId="0" applyAlignment="1" applyBorder="1" applyFont="1">
      <alignment horizontal="left" readingOrder="0" shrinkToFit="0" vertical="bottom" wrapText="0"/>
    </xf>
    <xf borderId="22" fillId="0" fontId="54" numFmtId="0" xfId="0" applyAlignment="1" applyBorder="1" applyFont="1">
      <alignment horizontal="left" readingOrder="0" shrinkToFit="0" wrapText="0"/>
    </xf>
    <xf borderId="22" fillId="0" fontId="55" numFmtId="0" xfId="0" applyAlignment="1" applyBorder="1" applyFont="1">
      <alignment horizontal="left" readingOrder="0" shrinkToFit="0" vertical="bottom" wrapText="0"/>
    </xf>
    <xf borderId="23" fillId="0" fontId="53" numFmtId="0" xfId="0" applyAlignment="1" applyBorder="1" applyFont="1">
      <alignment horizontal="left" readingOrder="0" shrinkToFit="0" vertical="bottom" wrapText="0"/>
    </xf>
    <xf borderId="24" fillId="0" fontId="52" numFmtId="0" xfId="0" applyAlignment="1" applyBorder="1" applyFont="1">
      <alignment horizontal="center" readingOrder="0" shrinkToFit="0" vertical="center" wrapText="0"/>
    </xf>
    <xf borderId="17" fillId="0" fontId="52" numFmtId="0" xfId="0" applyAlignment="1" applyBorder="1" applyFont="1">
      <alignment horizontal="center" readingOrder="0" shrinkToFit="0" wrapText="0"/>
    </xf>
    <xf borderId="17" fillId="0" fontId="53" numFmtId="0" xfId="0" applyAlignment="1" applyBorder="1" applyFont="1">
      <alignment horizontal="left" readingOrder="0" shrinkToFit="0" vertical="bottom" wrapText="0"/>
    </xf>
    <xf borderId="17" fillId="0" fontId="56" numFmtId="0" xfId="0" applyAlignment="1" applyBorder="1" applyFont="1">
      <alignment horizontal="left" readingOrder="0" shrinkToFit="0" vertical="bottom" wrapText="0"/>
    </xf>
    <xf borderId="25" fillId="0" fontId="53" numFmtId="0" xfId="0" applyAlignment="1" applyBorder="1" applyFont="1">
      <alignment horizontal="left" readingOrder="0" shrinkToFit="0" vertical="bottom" wrapText="0"/>
    </xf>
    <xf borderId="0" fillId="0" fontId="49" numFmtId="0" xfId="0" applyAlignment="1" applyFont="1">
      <alignment horizontal="center" vertical="center"/>
    </xf>
    <xf borderId="26" fillId="13" fontId="52" numFmtId="0" xfId="0" applyAlignment="1" applyBorder="1" applyFont="1">
      <alignment horizontal="center" readingOrder="0" shrinkToFit="0" vertical="center" wrapText="0"/>
    </xf>
    <xf borderId="0" fillId="0" fontId="52" numFmtId="0" xfId="0" applyAlignment="1" applyFont="1">
      <alignment horizontal="center" readingOrder="0" shrinkToFit="0" wrapText="0"/>
    </xf>
    <xf borderId="0" fillId="0" fontId="53" numFmtId="0" xfId="0" applyAlignment="1" applyFont="1">
      <alignment horizontal="left" readingOrder="0" shrinkToFit="0" vertical="bottom" wrapText="0"/>
    </xf>
    <xf borderId="0" fillId="0" fontId="54" numFmtId="0" xfId="0" applyAlignment="1" applyFont="1">
      <alignment horizontal="left" readingOrder="0" shrinkToFit="0" wrapText="0"/>
    </xf>
    <xf borderId="0" fillId="0" fontId="57" numFmtId="0" xfId="0" applyAlignment="1" applyFont="1">
      <alignment horizontal="left" readingOrder="0"/>
    </xf>
    <xf borderId="27" fillId="0" fontId="53" numFmtId="0" xfId="0" applyAlignment="1" applyBorder="1" applyFont="1">
      <alignment horizontal="left" readingOrder="0" shrinkToFit="0" vertical="bottom" wrapText="0"/>
    </xf>
    <xf borderId="0" fillId="0" fontId="58" numFmtId="0" xfId="0" applyAlignment="1" applyFont="1">
      <alignment horizontal="left" readingOrder="0" shrinkToFit="0" wrapText="0"/>
    </xf>
    <xf borderId="0" fillId="19" fontId="53" numFmtId="0" xfId="0" applyAlignment="1" applyFont="1">
      <alignment shrinkToFit="0" vertical="bottom" wrapText="0"/>
    </xf>
    <xf borderId="27" fillId="19" fontId="53" numFmtId="0" xfId="0" applyAlignment="1" applyBorder="1" applyFont="1">
      <alignment shrinkToFit="0" vertical="bottom" wrapText="0"/>
    </xf>
    <xf borderId="0" fillId="0" fontId="59" numFmtId="0" xfId="0" applyAlignment="1" applyFont="1">
      <alignment horizontal="left" readingOrder="0" shrinkToFit="0" vertical="bottom" wrapText="0"/>
    </xf>
    <xf borderId="14" fillId="24" fontId="40" numFmtId="0" xfId="0" applyAlignment="1" applyBorder="1" applyFont="1">
      <alignment horizontal="center" readingOrder="0" shrinkToFit="0" vertical="bottom" wrapText="0"/>
    </xf>
    <xf borderId="0" fillId="0" fontId="53" numFmtId="0" xfId="0" applyAlignment="1" applyFont="1">
      <alignment horizontal="left" readingOrder="0" vertical="bottom"/>
    </xf>
    <xf borderId="26" fillId="0" fontId="52" numFmtId="0" xfId="0" applyAlignment="1" applyBorder="1" applyFont="1">
      <alignment horizontal="center" readingOrder="0" shrinkToFit="0" vertical="center" wrapText="0"/>
    </xf>
    <xf borderId="28" fillId="13" fontId="52" numFmtId="0" xfId="0" applyAlignment="1" applyBorder="1" applyFont="1">
      <alignment horizontal="center" readingOrder="0" shrinkToFit="0" vertical="center" wrapText="0"/>
    </xf>
    <xf borderId="19" fillId="0" fontId="52" numFmtId="0" xfId="0" applyAlignment="1" applyBorder="1" applyFont="1">
      <alignment horizontal="center" readingOrder="0" shrinkToFit="0" wrapText="0"/>
    </xf>
    <xf borderId="19" fillId="0" fontId="53" numFmtId="0" xfId="0" applyAlignment="1" applyBorder="1" applyFont="1">
      <alignment horizontal="left" readingOrder="0" shrinkToFit="0" vertical="bottom" wrapText="0"/>
    </xf>
    <xf borderId="19" fillId="0" fontId="60" numFmtId="0" xfId="0" applyAlignment="1" applyBorder="1" applyFont="1">
      <alignment horizontal="left" readingOrder="0" vertical="bottom"/>
    </xf>
    <xf borderId="29" fillId="0" fontId="53" numFmtId="0" xfId="0" applyAlignment="1" applyBorder="1" applyFont="1">
      <alignment horizontal="left" readingOrder="0" shrinkToFit="0" vertical="bottom" wrapText="0"/>
    </xf>
    <xf borderId="17" fillId="0" fontId="53" numFmtId="0" xfId="0" applyAlignment="1" applyBorder="1" applyFont="1">
      <alignment horizontal="left" readingOrder="0" shrinkToFit="0" vertical="top" wrapText="0"/>
    </xf>
    <xf borderId="17" fillId="0" fontId="53" numFmtId="0" xfId="0" applyAlignment="1" applyBorder="1" applyFont="1">
      <alignment shrinkToFit="0" vertical="bottom" wrapText="0"/>
    </xf>
    <xf borderId="25" fillId="0" fontId="53" numFmtId="0" xfId="0" applyAlignment="1" applyBorder="1" applyFont="1">
      <alignment shrinkToFit="0" vertical="bottom" wrapText="0"/>
    </xf>
    <xf borderId="16" fillId="23" fontId="40" numFmtId="0" xfId="0" applyAlignment="1" applyBorder="1" applyFont="1">
      <alignment horizontal="center" readingOrder="0" shrinkToFit="0" vertical="bottom" wrapText="0"/>
    </xf>
    <xf borderId="6" fillId="13" fontId="7" numFmtId="0" xfId="0" applyAlignment="1" applyBorder="1" applyFont="1">
      <alignment horizontal="center" vertical="center"/>
    </xf>
    <xf borderId="6" fillId="19" fontId="7" numFmtId="0" xfId="0" applyAlignment="1" applyBorder="1" applyFont="1">
      <alignment horizontal="center" vertical="center"/>
    </xf>
    <xf borderId="0" fillId="0" fontId="54" numFmtId="0" xfId="0" applyAlignment="1" applyFont="1">
      <alignment horizontal="left" readingOrder="0" shrinkToFit="0" vertical="bottom" wrapText="0"/>
    </xf>
    <xf borderId="0" fillId="0" fontId="61" numFmtId="0" xfId="0" applyAlignment="1" applyFont="1">
      <alignment horizontal="left" readingOrder="0" vertical="bottom"/>
    </xf>
    <xf borderId="0" fillId="0" fontId="7" numFmtId="0" xfId="0" applyAlignment="1" applyFont="1">
      <alignment horizontal="center" vertical="center"/>
    </xf>
    <xf borderId="0" fillId="0" fontId="62" numFmtId="0" xfId="0" applyAlignment="1" applyFont="1">
      <alignment horizontal="left" readingOrder="0" shrinkToFit="0" vertical="top" wrapText="0"/>
    </xf>
    <xf borderId="0" fillId="0" fontId="54" numFmtId="0" xfId="0" applyAlignment="1" applyFont="1">
      <alignment horizontal="left" readingOrder="0" shrinkToFit="0" vertical="top" wrapText="0"/>
    </xf>
    <xf borderId="16" fillId="24" fontId="40" numFmtId="0" xfId="0" applyAlignment="1" applyBorder="1" applyFont="1">
      <alignment horizontal="center" readingOrder="0" shrinkToFit="0" vertical="bottom" wrapText="0"/>
    </xf>
    <xf borderId="6" fillId="0" fontId="47" numFmtId="0" xfId="0" applyAlignment="1" applyBorder="1" applyFont="1">
      <alignment horizontal="center" readingOrder="0" shrinkToFit="0" vertical="center" wrapText="0"/>
    </xf>
    <xf borderId="19" fillId="0" fontId="54" numFmtId="0" xfId="0" applyAlignment="1" applyBorder="1" applyFont="1">
      <alignment horizontal="left" readingOrder="0" vertical="bottom"/>
    </xf>
    <xf borderId="24" fillId="13" fontId="52" numFmtId="0" xfId="0" applyAlignment="1" applyBorder="1" applyFont="1">
      <alignment horizontal="center" readingOrder="0" shrinkToFit="0" vertical="center" wrapText="0"/>
    </xf>
    <xf borderId="17" fillId="0" fontId="54" numFmtId="0" xfId="0" applyAlignment="1" applyBorder="1" applyFont="1">
      <alignment horizontal="left" readingOrder="0" shrinkToFit="0" wrapText="0"/>
    </xf>
    <xf borderId="17" fillId="0" fontId="63" numFmtId="0" xfId="0" applyAlignment="1" applyBorder="1" applyFont="1">
      <alignment horizontal="left" readingOrder="0" shrinkToFit="0" wrapText="0"/>
    </xf>
    <xf borderId="30" fillId="0" fontId="7" numFmtId="0" xfId="0" applyBorder="1" applyFont="1"/>
    <xf borderId="31" fillId="0" fontId="7" numFmtId="0" xfId="0" applyBorder="1" applyFont="1"/>
    <xf borderId="32" fillId="0" fontId="7" numFmtId="0" xfId="0" applyBorder="1" applyFont="1"/>
    <xf borderId="26" fillId="0" fontId="7" numFmtId="0" xfId="0" applyBorder="1" applyFont="1"/>
    <xf borderId="27" fillId="0" fontId="7" numFmtId="0" xfId="0" applyBorder="1" applyFont="1"/>
    <xf borderId="26" fillId="31" fontId="7" numFmtId="0" xfId="0" applyAlignment="1" applyBorder="1" applyFill="1" applyFont="1">
      <alignment horizontal="center" readingOrder="0" vertical="center"/>
    </xf>
    <xf borderId="33" fillId="0" fontId="7" numFmtId="0" xfId="0" applyBorder="1" applyFont="1"/>
    <xf borderId="34" fillId="0" fontId="7" numFmtId="0" xfId="0" applyBorder="1" applyFont="1"/>
    <xf borderId="34" fillId="0" fontId="7" numFmtId="0" xfId="0" applyAlignment="1" applyBorder="1" applyFont="1">
      <alignment horizontal="center" vertical="center"/>
    </xf>
    <xf borderId="35" fillId="0" fontId="7" numFmtId="0" xfId="0" applyBorder="1" applyFont="1"/>
    <xf borderId="0" fillId="6" fontId="53" numFmtId="0" xfId="0" applyAlignment="1" applyFont="1">
      <alignment horizontal="left" readingOrder="0" shrinkToFit="0" vertical="bottom" wrapText="0"/>
    </xf>
    <xf borderId="27" fillId="6" fontId="53" numFmtId="0" xfId="0" applyAlignment="1" applyBorder="1" applyFont="1">
      <alignment horizontal="left" readingOrder="0" shrinkToFit="0" vertical="bottom" wrapText="0"/>
    </xf>
    <xf borderId="27" fillId="0" fontId="53" numFmtId="0" xfId="0" applyAlignment="1" applyBorder="1" applyFont="1">
      <alignment readingOrder="0" shrinkToFit="0" vertical="bottom" wrapText="0"/>
    </xf>
    <xf borderId="0" fillId="0" fontId="53" numFmtId="0" xfId="0" applyAlignment="1" applyFont="1">
      <alignment horizontal="left" readingOrder="0"/>
    </xf>
    <xf borderId="0" fillId="0" fontId="64" numFmtId="0" xfId="0" applyAlignment="1" applyFont="1">
      <alignment horizontal="left" readingOrder="0" shrinkToFit="0" vertical="bottom" wrapText="0"/>
    </xf>
    <xf borderId="19" fillId="0" fontId="65" numFmtId="0" xfId="0" applyAlignment="1" applyBorder="1" applyFont="1">
      <alignment horizontal="left" readingOrder="0" shrinkToFit="0" vertical="bottom" wrapText="0"/>
    </xf>
    <xf borderId="17" fillId="0" fontId="53" numFmtId="0" xfId="0" applyAlignment="1" applyBorder="1" applyFont="1">
      <alignment horizontal="left" readingOrder="0" shrinkToFit="0" wrapText="0"/>
    </xf>
    <xf borderId="0" fillId="0" fontId="53" numFmtId="0" xfId="0" applyAlignment="1" applyFont="1">
      <alignment horizontal="left" readingOrder="0" shrinkToFit="0" wrapText="0"/>
    </xf>
    <xf borderId="28" fillId="0" fontId="52" numFmtId="0" xfId="0" applyAlignment="1" applyBorder="1" applyFont="1">
      <alignment horizontal="center" readingOrder="0" shrinkToFit="0" vertical="center" wrapText="0"/>
    </xf>
    <xf borderId="19" fillId="19" fontId="53" numFmtId="0" xfId="0" applyAlignment="1" applyBorder="1" applyFont="1">
      <alignment shrinkToFit="0" vertical="bottom" wrapText="0"/>
    </xf>
    <xf borderId="29" fillId="19" fontId="53" numFmtId="0" xfId="0" applyAlignment="1" applyBorder="1" applyFont="1">
      <alignment shrinkToFit="0" vertical="bottom" wrapText="0"/>
    </xf>
    <xf borderId="0" fillId="0" fontId="53" numFmtId="0" xfId="0" applyAlignment="1" applyFont="1">
      <alignment shrinkToFit="0" vertical="bottom" wrapText="0"/>
    </xf>
    <xf borderId="19" fillId="0" fontId="54" numFmtId="0" xfId="0" applyAlignment="1" applyBorder="1" applyFont="1">
      <alignment horizontal="left" readingOrder="0" shrinkToFit="0" wrapText="0"/>
    </xf>
    <xf borderId="26" fillId="27" fontId="52" numFmtId="0" xfId="0" applyAlignment="1" applyBorder="1" applyFont="1">
      <alignment horizontal="center" readingOrder="0" shrinkToFit="0" vertical="center" wrapText="0"/>
    </xf>
    <xf borderId="17" fillId="0" fontId="54" numFmtId="0" xfId="0" applyAlignment="1" applyBorder="1" applyFont="1">
      <alignment horizontal="left" readingOrder="0" shrinkToFit="0" vertical="bottom" wrapText="0"/>
    </xf>
    <xf borderId="0" fillId="0" fontId="54" numFmtId="0" xfId="0" applyAlignment="1" applyFont="1">
      <alignment horizontal="left" readingOrder="0" vertical="bottom"/>
    </xf>
    <xf borderId="19" fillId="0" fontId="66" numFmtId="0" xfId="0" applyAlignment="1" applyBorder="1" applyFont="1">
      <alignment horizontal="left" readingOrder="0" shrinkToFit="0" wrapText="0"/>
    </xf>
    <xf borderId="19" fillId="0" fontId="53" numFmtId="0" xfId="0" applyAlignment="1" applyBorder="1" applyFont="1">
      <alignment horizontal="left" readingOrder="0" vertical="bottom"/>
    </xf>
    <xf borderId="19" fillId="0" fontId="54" numFmtId="0" xfId="0" applyAlignment="1" applyBorder="1" applyFont="1">
      <alignment horizontal="left" readingOrder="0" shrinkToFit="0" vertical="bottom" wrapText="0"/>
    </xf>
    <xf borderId="19" fillId="0" fontId="54" numFmtId="0" xfId="0" applyAlignment="1" applyBorder="1" applyFont="1">
      <alignment horizontal="left" readingOrder="0" shrinkToFit="0" vertical="top" wrapText="0"/>
    </xf>
    <xf borderId="19" fillId="0" fontId="52" numFmtId="0" xfId="0" applyAlignment="1" applyBorder="1" applyFont="1">
      <alignment horizontal="left" readingOrder="0" shrinkToFit="0" vertical="bottom" wrapText="0"/>
    </xf>
    <xf borderId="0" fillId="0" fontId="49" numFmtId="0" xfId="0" applyAlignment="1" applyFont="1">
      <alignment readingOrder="0"/>
    </xf>
    <xf borderId="19" fillId="0" fontId="53" numFmtId="0" xfId="0" applyAlignment="1" applyBorder="1" applyFont="1">
      <alignment horizontal="left" readingOrder="0" shrinkToFit="0" wrapText="0"/>
    </xf>
    <xf borderId="0" fillId="0" fontId="67" numFmtId="0" xfId="0" applyAlignment="1" applyFont="1">
      <alignment horizontal="left" shrinkToFit="0" wrapText="0"/>
    </xf>
    <xf borderId="33" fillId="0" fontId="52" numFmtId="0" xfId="0" applyAlignment="1" applyBorder="1" applyFont="1">
      <alignment horizontal="center" readingOrder="0" shrinkToFit="0" vertical="center" wrapText="0"/>
    </xf>
    <xf borderId="34" fillId="0" fontId="52" numFmtId="0" xfId="0" applyAlignment="1" applyBorder="1" applyFont="1">
      <alignment horizontal="center" readingOrder="0" shrinkToFit="0" wrapText="0"/>
    </xf>
    <xf borderId="34" fillId="0" fontId="53" numFmtId="0" xfId="0" applyAlignment="1" applyBorder="1" applyFont="1">
      <alignment horizontal="left" readingOrder="0" shrinkToFit="0" vertical="bottom" wrapText="0"/>
    </xf>
    <xf borderId="34" fillId="0" fontId="54" numFmtId="0" xfId="0" applyAlignment="1" applyBorder="1" applyFont="1">
      <alignment horizontal="left" readingOrder="0" shrinkToFit="0" wrapText="0"/>
    </xf>
    <xf borderId="34" fillId="0" fontId="68" numFmtId="0" xfId="0" applyAlignment="1" applyBorder="1" applyFont="1">
      <alignment horizontal="left" readingOrder="0" vertical="bottom"/>
    </xf>
    <xf borderId="34" fillId="19" fontId="53" numFmtId="0" xfId="0" applyAlignment="1" applyBorder="1" applyFont="1">
      <alignment shrinkToFit="0" vertical="bottom" wrapText="0"/>
    </xf>
    <xf borderId="35" fillId="19" fontId="53" numFmtId="0" xfId="0" applyAlignment="1" applyBorder="1" applyFont="1">
      <alignment shrinkToFit="0" vertical="bottom" wrapText="0"/>
    </xf>
    <xf borderId="30" fillId="0" fontId="52" numFmtId="0" xfId="0" applyAlignment="1" applyBorder="1" applyFont="1">
      <alignment horizontal="center" readingOrder="0" shrinkToFit="0" vertical="center" wrapText="0"/>
    </xf>
    <xf borderId="31" fillId="0" fontId="52" numFmtId="0" xfId="0" applyAlignment="1" applyBorder="1" applyFont="1">
      <alignment horizontal="center" readingOrder="0" shrinkToFit="0" wrapText="0"/>
    </xf>
    <xf borderId="31" fillId="0" fontId="53" numFmtId="0" xfId="0" applyAlignment="1" applyBorder="1" applyFont="1">
      <alignment horizontal="left" readingOrder="0" shrinkToFit="0" vertical="bottom" wrapText="0"/>
    </xf>
    <xf borderId="31" fillId="0" fontId="53" numFmtId="0" xfId="0" applyAlignment="1" applyBorder="1" applyFont="1">
      <alignment horizontal="left" readingOrder="0" shrinkToFit="0" vertical="top" wrapText="0"/>
    </xf>
    <xf borderId="31" fillId="0" fontId="69" numFmtId="0" xfId="0" applyAlignment="1" applyBorder="1" applyFont="1">
      <alignment horizontal="left" readingOrder="0" shrinkToFit="0" vertical="bottom" wrapText="0"/>
    </xf>
    <xf borderId="32" fillId="0" fontId="53" numFmtId="0" xfId="0" applyAlignment="1" applyBorder="1" applyFont="1">
      <alignment horizontal="left" readingOrder="0" shrinkToFit="0" vertical="bottom" wrapText="0"/>
    </xf>
    <xf borderId="0" fillId="0" fontId="52" numFmtId="0" xfId="0" applyAlignment="1" applyFont="1">
      <alignment horizontal="left" readingOrder="0" shrinkToFit="0" vertical="bottom" wrapText="0"/>
    </xf>
    <xf borderId="0" fillId="0" fontId="54" numFmtId="0" xfId="0" applyAlignment="1" applyFont="1">
      <alignment shrinkToFit="0" vertical="bottom" wrapText="0"/>
    </xf>
    <xf borderId="0" fillId="0" fontId="53" numFmtId="0" xfId="0" applyAlignment="1" applyFont="1">
      <alignment horizontal="left" readingOrder="0" shrinkToFit="0" vertical="top" wrapText="0"/>
    </xf>
    <xf borderId="0" fillId="0" fontId="70" numFmtId="0" xfId="0" applyAlignment="1" applyFont="1">
      <alignment horizontal="left" readingOrder="0" shrinkToFit="0" vertical="top" wrapText="0"/>
    </xf>
    <xf borderId="33" fillId="13" fontId="52" numFmtId="0" xfId="0" applyAlignment="1" applyBorder="1" applyFont="1">
      <alignment horizontal="center" readingOrder="0" shrinkToFit="0" vertical="center" wrapText="0"/>
    </xf>
    <xf borderId="34" fillId="0" fontId="71" numFmtId="0" xfId="0" applyAlignment="1" applyBorder="1" applyFont="1">
      <alignment horizontal="left" readingOrder="0" shrinkToFit="0" vertical="bottom" wrapText="0"/>
    </xf>
    <xf borderId="35" fillId="0" fontId="53" numFmtId="0" xfId="0" applyAlignment="1" applyBorder="1" applyFont="1">
      <alignment horizontal="left" readingOrder="0" shrinkToFit="0" vertical="bottom" wrapText="0"/>
    </xf>
    <xf borderId="0" fillId="0" fontId="72" numFmtId="0" xfId="0" applyAlignment="1" applyFont="1">
      <alignment horizontal="left" readingOrder="0" shrinkToFit="0" wrapText="0"/>
    </xf>
    <xf borderId="19" fillId="6" fontId="53" numFmtId="0" xfId="0" applyAlignment="1" applyBorder="1" applyFont="1">
      <alignment horizontal="left" readingOrder="0" shrinkToFit="0" vertical="bottom" wrapText="0"/>
    </xf>
    <xf borderId="29" fillId="6" fontId="53" numFmtId="0" xfId="0" applyAlignment="1" applyBorder="1" applyFont="1">
      <alignment horizontal="left" readingOrder="0" shrinkToFit="0" vertical="bottom" wrapText="0"/>
    </xf>
    <xf borderId="0" fillId="0" fontId="43" numFmtId="0" xfId="0" applyAlignment="1" applyFont="1">
      <alignment vertical="center"/>
    </xf>
    <xf borderId="0" fillId="0" fontId="7" numFmtId="165" xfId="0" applyAlignment="1" applyFont="1" applyNumberFormat="1">
      <alignment readingOrder="0"/>
    </xf>
    <xf borderId="0" fillId="19" fontId="7" numFmtId="0" xfId="0" applyAlignment="1" applyFont="1">
      <alignment readingOrder="0"/>
    </xf>
    <xf borderId="6" fillId="0" fontId="40" numFmtId="0" xfId="0" applyAlignment="1" applyBorder="1" applyFont="1">
      <alignment horizontal="center" readingOrder="0" shrinkToFit="0" vertical="bottom" wrapText="0"/>
    </xf>
    <xf borderId="6" fillId="0" fontId="40" numFmtId="0" xfId="0" applyAlignment="1" applyBorder="1" applyFont="1">
      <alignment horizontal="left" readingOrder="0" shrinkToFit="0" vertical="bottom" wrapText="0"/>
    </xf>
    <xf borderId="6" fillId="23" fontId="40" numFmtId="0" xfId="0" applyAlignment="1" applyBorder="1" applyFont="1">
      <alignment horizontal="center" readingOrder="0" shrinkToFit="0" vertical="bottom" wrapText="0"/>
    </xf>
    <xf borderId="20" fillId="0" fontId="37" numFmtId="0" xfId="0" applyAlignment="1" applyBorder="1" applyFont="1">
      <alignment horizontal="center" readingOrder="0" shrinkToFit="0" vertical="bottom" wrapText="0"/>
    </xf>
    <xf borderId="0" fillId="0" fontId="37" numFmtId="167" xfId="0" applyAlignment="1" applyFont="1" applyNumberFormat="1">
      <alignment horizontal="right" readingOrder="0" shrinkToFit="0" vertical="bottom" wrapText="0"/>
    </xf>
    <xf borderId="15" fillId="23" fontId="37" numFmtId="0" xfId="0" applyAlignment="1" applyBorder="1" applyFont="1">
      <alignment horizontal="center" readingOrder="0" shrinkToFit="0" vertical="bottom" wrapText="0"/>
    </xf>
    <xf borderId="15" fillId="32" fontId="37" numFmtId="0" xfId="0" applyAlignment="1" applyBorder="1" applyFill="1" applyFont="1">
      <alignment horizontal="center" readingOrder="0" shrinkToFit="0" vertical="bottom" wrapText="0"/>
    </xf>
    <xf borderId="18" fillId="0" fontId="37" numFmtId="0" xfId="0" applyAlignment="1" applyBorder="1" applyFont="1">
      <alignment horizontal="center" readingOrder="0" shrinkToFit="0" vertical="bottom" wrapText="0"/>
    </xf>
    <xf borderId="19" fillId="0" fontId="37" numFmtId="0" xfId="0" applyAlignment="1" applyBorder="1" applyFont="1">
      <alignment horizontal="left" readingOrder="0" shrinkToFit="0" vertical="bottom" wrapText="0"/>
    </xf>
    <xf borderId="19" fillId="0" fontId="37" numFmtId="167" xfId="0" applyAlignment="1" applyBorder="1" applyFont="1" applyNumberFormat="1">
      <alignment horizontal="right" readingOrder="0" shrinkToFit="0" vertical="bottom" wrapText="0"/>
    </xf>
    <xf borderId="19" fillId="0" fontId="37" numFmtId="0" xfId="0" applyAlignment="1" applyBorder="1" applyFont="1">
      <alignment horizontal="center" readingOrder="0" shrinkToFit="0" vertical="bottom" wrapText="0"/>
    </xf>
    <xf borderId="13" fillId="32" fontId="37" numFmtId="0" xfId="0" applyAlignment="1" applyBorder="1" applyFont="1">
      <alignment horizontal="center" readingOrder="0" shrinkToFit="0" vertical="bottom" wrapText="0"/>
    </xf>
    <xf borderId="0" fillId="4" fontId="3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left" readingOrder="0"/>
    </xf>
    <xf borderId="0" fillId="0" fontId="7" numFmtId="168" xfId="0" applyAlignment="1" applyFont="1" applyNumberFormat="1">
      <alignment horizontal="left" readingOrder="0"/>
    </xf>
    <xf borderId="0" fillId="0" fontId="7" numFmtId="165" xfId="0" applyAlignment="1" applyFont="1" applyNumberFormat="1">
      <alignment horizontal="left" readingOrder="0"/>
    </xf>
    <xf borderId="0" fillId="0" fontId="7" numFmtId="168" xfId="0" applyAlignment="1" applyFont="1" applyNumberFormat="1">
      <alignment readingOrder="0"/>
    </xf>
    <xf borderId="0" fillId="0" fontId="7" numFmtId="0" xfId="0" applyAlignment="1" applyFont="1">
      <alignment horizontal="left"/>
    </xf>
  </cellXfs>
  <cellStyles count="1">
    <cellStyle xfId="0" name="Normal" builtinId="0"/>
  </cellStyles>
  <dxfs count="6">
    <dxf>
      <font>
        <color rgb="FF000000"/>
      </font>
      <fill>
        <patternFill patternType="solid">
          <fgColor rgb="FFFEFEFC"/>
          <bgColor rgb="FFFEFEFC"/>
        </patternFill>
      </fill>
      <border/>
    </dxf>
    <dxf>
      <font>
        <color rgb="FF000000"/>
      </font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2" pivot="0" name="รายชื่อพนักงานย้ายสังกัด-style">
      <tableStyleElement dxfId="4" type="firstRowStripe"/>
      <tableStyleElement dxfId="5" type="secondRowStripe"/>
    </tableStyle>
    <tableStyle count="2" pivot="0" name="รายชื่อพนักงานย้ายสังกัด-style 2"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942975</xdr:colOff>
      <xdr:row>66</xdr:row>
      <xdr:rowOff>19050</xdr:rowOff>
    </xdr:from>
    <xdr:ext cx="8305800" cy="15049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1:F81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รายชื่อพนักงานย้ายสังกัด-style" showColumnStripes="0" showFirstColumn="1" showLastColumn="1" showRowStripes="1"/>
</table>
</file>

<file path=xl/tables/table2.xml><?xml version="1.0" encoding="utf-8"?>
<table xmlns="http://schemas.openxmlformats.org/spreadsheetml/2006/main" headerRowCount="0" ref="H71:L81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รายชื่อพนักงานย้ายสังกัด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nattapornj@sena.co.th" TargetMode="External"/><Relationship Id="rId2" Type="http://schemas.openxmlformats.org/officeDocument/2006/relationships/hyperlink" Target="mailto:pasakulp@senasolarenergy.com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mailto:Supapornb@sena.co.th" TargetMode="External"/><Relationship Id="rId194" Type="http://schemas.openxmlformats.org/officeDocument/2006/relationships/hyperlink" Target="mailto:Pongpats@sena.co.th" TargetMode="External"/><Relationship Id="rId193" Type="http://schemas.openxmlformats.org/officeDocument/2006/relationships/hyperlink" Target="mailto:Supapornb@sena.co.th" TargetMode="External"/><Relationship Id="rId192" Type="http://schemas.openxmlformats.org/officeDocument/2006/relationships/hyperlink" Target="mailto:Thanawatc@sena.co.th" TargetMode="External"/><Relationship Id="rId191" Type="http://schemas.openxmlformats.org/officeDocument/2006/relationships/hyperlink" Target="mailto:Panaddap@sena.co.th" TargetMode="External"/><Relationship Id="rId187" Type="http://schemas.openxmlformats.org/officeDocument/2006/relationships/hyperlink" Target="mailto:Tharaphongn@sena.co.th" TargetMode="External"/><Relationship Id="rId186" Type="http://schemas.openxmlformats.org/officeDocument/2006/relationships/hyperlink" Target="mailto:LaOngDaol@sena.co.th" TargetMode="External"/><Relationship Id="rId185" Type="http://schemas.openxmlformats.org/officeDocument/2006/relationships/hyperlink" Target="mailto:Wannapai@sena.co.th" TargetMode="External"/><Relationship Id="rId184" Type="http://schemas.openxmlformats.org/officeDocument/2006/relationships/hyperlink" Target="mailto:Tanaratk@sena.co.th" TargetMode="External"/><Relationship Id="rId189" Type="http://schemas.openxmlformats.org/officeDocument/2006/relationships/hyperlink" Target="mailto:Anont@sena.co.th" TargetMode="External"/><Relationship Id="rId188" Type="http://schemas.openxmlformats.org/officeDocument/2006/relationships/hyperlink" Target="mailto:Piyakornr@sena.co.th" TargetMode="External"/><Relationship Id="rId183" Type="http://schemas.openxmlformats.org/officeDocument/2006/relationships/hyperlink" Target="mailto:Wilawanch@sena.co.th" TargetMode="External"/><Relationship Id="rId182" Type="http://schemas.openxmlformats.org/officeDocument/2006/relationships/hyperlink" Target="mailto:Tanitas@sena.co.th" TargetMode="External"/><Relationship Id="rId181" Type="http://schemas.openxmlformats.org/officeDocument/2006/relationships/hyperlink" Target="mailto:Nattaphongp@sena.co.th" TargetMode="External"/><Relationship Id="rId180" Type="http://schemas.openxmlformats.org/officeDocument/2006/relationships/hyperlink" Target="mailto:Nantapondc@sena.co.th" TargetMode="External"/><Relationship Id="rId176" Type="http://schemas.openxmlformats.org/officeDocument/2006/relationships/hyperlink" Target="mailto:Jutapornb@sena.co.th" TargetMode="External"/><Relationship Id="rId297" Type="http://schemas.openxmlformats.org/officeDocument/2006/relationships/hyperlink" Target="mailto:Kositi@sena.co.th" TargetMode="External"/><Relationship Id="rId175" Type="http://schemas.openxmlformats.org/officeDocument/2006/relationships/hyperlink" Target="mailto:Weerapongk@sena.co.th" TargetMode="External"/><Relationship Id="rId296" Type="http://schemas.openxmlformats.org/officeDocument/2006/relationships/hyperlink" Target="mailto:Thanatesu@sena.co.th" TargetMode="External"/><Relationship Id="rId174" Type="http://schemas.openxmlformats.org/officeDocument/2006/relationships/hyperlink" Target="mailto:Thitichaic@sena.co.th" TargetMode="External"/><Relationship Id="rId295" Type="http://schemas.openxmlformats.org/officeDocument/2006/relationships/hyperlink" Target="mailto:Wattanapholl@sena.co.th" TargetMode="External"/><Relationship Id="rId173" Type="http://schemas.openxmlformats.org/officeDocument/2006/relationships/hyperlink" Target="mailto:Wirutm@sena.co.th" TargetMode="External"/><Relationship Id="rId294" Type="http://schemas.openxmlformats.org/officeDocument/2006/relationships/hyperlink" Target="mailto:Tassanaiv@sena.co.th" TargetMode="External"/><Relationship Id="rId179" Type="http://schemas.openxmlformats.org/officeDocument/2006/relationships/hyperlink" Target="mailto:Onchumau@sena.co.th" TargetMode="External"/><Relationship Id="rId178" Type="http://schemas.openxmlformats.org/officeDocument/2006/relationships/hyperlink" Target="mailto:Autsadangt@sena.co.th" TargetMode="External"/><Relationship Id="rId299" Type="http://schemas.openxmlformats.org/officeDocument/2006/relationships/hyperlink" Target="mailto:Oatthaphonb@sena.co.th" TargetMode="External"/><Relationship Id="rId177" Type="http://schemas.openxmlformats.org/officeDocument/2006/relationships/hyperlink" Target="mailto:Santisukk@sena.co.th" TargetMode="External"/><Relationship Id="rId298" Type="http://schemas.openxmlformats.org/officeDocument/2006/relationships/hyperlink" Target="mailto:Sirints@sena.co.th" TargetMode="External"/><Relationship Id="rId198" Type="http://schemas.openxmlformats.org/officeDocument/2006/relationships/hyperlink" Target="mailto:Supawadeec@sena.co.th" TargetMode="External"/><Relationship Id="rId197" Type="http://schemas.openxmlformats.org/officeDocument/2006/relationships/hyperlink" Target="mailto:Panaddap@sena.co.th" TargetMode="External"/><Relationship Id="rId196" Type="http://schemas.openxmlformats.org/officeDocument/2006/relationships/hyperlink" Target="mailto:Surasak@sena.co.th" TargetMode="External"/><Relationship Id="rId195" Type="http://schemas.openxmlformats.org/officeDocument/2006/relationships/hyperlink" Target="mailto:acharapanm@sena.co.th" TargetMode="External"/><Relationship Id="rId199" Type="http://schemas.openxmlformats.org/officeDocument/2006/relationships/hyperlink" Target="mailto:Weraporn@sena.co.th" TargetMode="External"/><Relationship Id="rId150" Type="http://schemas.openxmlformats.org/officeDocument/2006/relationships/hyperlink" Target="mailto:Chaleenaw@sena.co.th" TargetMode="External"/><Relationship Id="rId271" Type="http://schemas.openxmlformats.org/officeDocument/2006/relationships/hyperlink" Target="mailto:Warinthipl@sena.co.th" TargetMode="External"/><Relationship Id="rId392" Type="http://schemas.openxmlformats.org/officeDocument/2006/relationships/hyperlink" Target="mailto:naresj@sena.co.th" TargetMode="External"/><Relationship Id="rId270" Type="http://schemas.openxmlformats.org/officeDocument/2006/relationships/hyperlink" Target="mailto:Wasuthonn@sena.co.th" TargetMode="External"/><Relationship Id="rId391" Type="http://schemas.openxmlformats.org/officeDocument/2006/relationships/hyperlink" Target="mailto:Wattanad@sena.co.th" TargetMode="External"/><Relationship Id="rId390" Type="http://schemas.openxmlformats.org/officeDocument/2006/relationships/hyperlink" Target="mailto:Supparerkm@sena.co.th" TargetMode="External"/><Relationship Id="rId1" Type="http://schemas.openxmlformats.org/officeDocument/2006/relationships/hyperlink" Target="mailto:Khruamasi@sena.co.th" TargetMode="External"/><Relationship Id="rId2" Type="http://schemas.openxmlformats.org/officeDocument/2006/relationships/hyperlink" Target="mailto:Suthamo@moneyjaidee.com" TargetMode="External"/><Relationship Id="rId3" Type="http://schemas.openxmlformats.org/officeDocument/2006/relationships/hyperlink" Target="mailto:somsakh@moneyjaidee.com" TargetMode="External"/><Relationship Id="rId149" Type="http://schemas.openxmlformats.org/officeDocument/2006/relationships/hyperlink" Target="mailto:Attapoln@sena.co.th" TargetMode="External"/><Relationship Id="rId4" Type="http://schemas.openxmlformats.org/officeDocument/2006/relationships/hyperlink" Target="mailto:Supanneen@moneyjaidee.com" TargetMode="External"/><Relationship Id="rId148" Type="http://schemas.openxmlformats.org/officeDocument/2006/relationships/hyperlink" Target="mailto:atsadayuts@sena.co.th" TargetMode="External"/><Relationship Id="rId269" Type="http://schemas.openxmlformats.org/officeDocument/2006/relationships/hyperlink" Target="mailto:Supatchac@sena.co.th" TargetMode="External"/><Relationship Id="rId9" Type="http://schemas.openxmlformats.org/officeDocument/2006/relationships/hyperlink" Target="mailto:Kanokwanc@moneyjaidee.com" TargetMode="External"/><Relationship Id="rId143" Type="http://schemas.openxmlformats.org/officeDocument/2006/relationships/hyperlink" Target="mailto:Orayad@sena.co.th" TargetMode="External"/><Relationship Id="rId264" Type="http://schemas.openxmlformats.org/officeDocument/2006/relationships/hyperlink" Target="mailto:Meennikantw@sena.co.th" TargetMode="External"/><Relationship Id="rId385" Type="http://schemas.openxmlformats.org/officeDocument/2006/relationships/hyperlink" Target="mailto:Benjamats@sena.co.th" TargetMode="External"/><Relationship Id="rId142" Type="http://schemas.openxmlformats.org/officeDocument/2006/relationships/hyperlink" Target="mailto:Nuntiyaj@sena.co.th" TargetMode="External"/><Relationship Id="rId263" Type="http://schemas.openxmlformats.org/officeDocument/2006/relationships/hyperlink" Target="mailto:lalitak@sena.co.th" TargetMode="External"/><Relationship Id="rId384" Type="http://schemas.openxmlformats.org/officeDocument/2006/relationships/hyperlink" Target="mailto:Sakchait@sena.co.th" TargetMode="External"/><Relationship Id="rId141" Type="http://schemas.openxmlformats.org/officeDocument/2006/relationships/hyperlink" Target="mailto:Jittic@sena.co.th" TargetMode="External"/><Relationship Id="rId262" Type="http://schemas.openxmlformats.org/officeDocument/2006/relationships/hyperlink" Target="mailto:Kannikah@sena.co.th" TargetMode="External"/><Relationship Id="rId383" Type="http://schemas.openxmlformats.org/officeDocument/2006/relationships/hyperlink" Target="mailto:Eakananp@sena.co.th" TargetMode="External"/><Relationship Id="rId140" Type="http://schemas.openxmlformats.org/officeDocument/2006/relationships/hyperlink" Target="mailto:Praneep@sena.co.th" TargetMode="External"/><Relationship Id="rId261" Type="http://schemas.openxmlformats.org/officeDocument/2006/relationships/hyperlink" Target="mailto:Nuttapold@sena.co.th" TargetMode="External"/><Relationship Id="rId382" Type="http://schemas.openxmlformats.org/officeDocument/2006/relationships/hyperlink" Target="mailto:Maliwans@sena.co.th" TargetMode="External"/><Relationship Id="rId5" Type="http://schemas.openxmlformats.org/officeDocument/2006/relationships/hyperlink" Target="mailto:Pitchs@moneyjaidee.com" TargetMode="External"/><Relationship Id="rId147" Type="http://schemas.openxmlformats.org/officeDocument/2006/relationships/hyperlink" Target="mailto:Nattaphols@sena.co.th" TargetMode="External"/><Relationship Id="rId268" Type="http://schemas.openxmlformats.org/officeDocument/2006/relationships/hyperlink" Target="mailto:Atcharam@sena.co.th" TargetMode="External"/><Relationship Id="rId389" Type="http://schemas.openxmlformats.org/officeDocument/2006/relationships/hyperlink" Target="mailto:Witthayas@sena.co.th" TargetMode="External"/><Relationship Id="rId6" Type="http://schemas.openxmlformats.org/officeDocument/2006/relationships/hyperlink" Target="mailto:Nipam@sena.co.th" TargetMode="External"/><Relationship Id="rId146" Type="http://schemas.openxmlformats.org/officeDocument/2006/relationships/hyperlink" Target="mailto:Chaiyap@sena.co.th" TargetMode="External"/><Relationship Id="rId267" Type="http://schemas.openxmlformats.org/officeDocument/2006/relationships/hyperlink" Target="mailto:Saknarongl@sena.co.th" TargetMode="External"/><Relationship Id="rId388" Type="http://schemas.openxmlformats.org/officeDocument/2006/relationships/hyperlink" Target="mailto:kistayab@senxgroup.com" TargetMode="External"/><Relationship Id="rId7" Type="http://schemas.openxmlformats.org/officeDocument/2006/relationships/hyperlink" Target="mailto:Supawanu@moneyjaidee.com" TargetMode="External"/><Relationship Id="rId145" Type="http://schemas.openxmlformats.org/officeDocument/2006/relationships/hyperlink" Target="mailto:Suwaratw@sena.co.th" TargetMode="External"/><Relationship Id="rId266" Type="http://schemas.openxmlformats.org/officeDocument/2006/relationships/hyperlink" Target="mailto:Chaninthorny@sena.co.th" TargetMode="External"/><Relationship Id="rId387" Type="http://schemas.openxmlformats.org/officeDocument/2006/relationships/hyperlink" Target="mailto:Narasitas@sena.co.th" TargetMode="External"/><Relationship Id="rId8" Type="http://schemas.openxmlformats.org/officeDocument/2006/relationships/hyperlink" Target="mailto:Supichayap@moneyjaidee.com" TargetMode="External"/><Relationship Id="rId144" Type="http://schemas.openxmlformats.org/officeDocument/2006/relationships/hyperlink" Target="mailto:Papatsawadees@sena.co.th" TargetMode="External"/><Relationship Id="rId265" Type="http://schemas.openxmlformats.org/officeDocument/2006/relationships/hyperlink" Target="mailto:Jintanapornt@sena.co.th" TargetMode="External"/><Relationship Id="rId386" Type="http://schemas.openxmlformats.org/officeDocument/2006/relationships/hyperlink" Target="mailto:Thidaratk@sena.co.th" TargetMode="External"/><Relationship Id="rId260" Type="http://schemas.openxmlformats.org/officeDocument/2006/relationships/hyperlink" Target="mailto:Tawatchaip@sena.co.th" TargetMode="External"/><Relationship Id="rId381" Type="http://schemas.openxmlformats.org/officeDocument/2006/relationships/hyperlink" Target="mailto:Pariphatt@sena.co.th" TargetMode="External"/><Relationship Id="rId380" Type="http://schemas.openxmlformats.org/officeDocument/2006/relationships/hyperlink" Target="mailto:Akkaritn@sena.co.th" TargetMode="External"/><Relationship Id="rId139" Type="http://schemas.openxmlformats.org/officeDocument/2006/relationships/hyperlink" Target="mailto:Kanlayas@sena.co.th" TargetMode="External"/><Relationship Id="rId138" Type="http://schemas.openxmlformats.org/officeDocument/2006/relationships/hyperlink" Target="mailto:rattanachadaponm@Senxgroup.com" TargetMode="External"/><Relationship Id="rId259" Type="http://schemas.openxmlformats.org/officeDocument/2006/relationships/hyperlink" Target="mailto:Suchadat@sena.co.th" TargetMode="External"/><Relationship Id="rId137" Type="http://schemas.openxmlformats.org/officeDocument/2006/relationships/hyperlink" Target="mailto:Laddawanp@senxgroup.com" TargetMode="External"/><Relationship Id="rId258" Type="http://schemas.openxmlformats.org/officeDocument/2006/relationships/hyperlink" Target="mailto:Pitchoodau@sena.co.th" TargetMode="External"/><Relationship Id="rId379" Type="http://schemas.openxmlformats.org/officeDocument/2006/relationships/hyperlink" Target="mailto:jesadaw@sena.co.th" TargetMode="External"/><Relationship Id="rId132" Type="http://schemas.openxmlformats.org/officeDocument/2006/relationships/hyperlink" Target="mailto:Papussorns@senxgroup.com" TargetMode="External"/><Relationship Id="rId253" Type="http://schemas.openxmlformats.org/officeDocument/2006/relationships/hyperlink" Target="mailto:Rawipornw@sena.co.th" TargetMode="External"/><Relationship Id="rId374" Type="http://schemas.openxmlformats.org/officeDocument/2006/relationships/hyperlink" Target="mailto:kulvadeeb@sena.co.th" TargetMode="External"/><Relationship Id="rId131" Type="http://schemas.openxmlformats.org/officeDocument/2006/relationships/hyperlink" Target="mailto:Suphattrat@senxgroup.com" TargetMode="External"/><Relationship Id="rId252" Type="http://schemas.openxmlformats.org/officeDocument/2006/relationships/hyperlink" Target="mailto:wachirawitr@sena.co.th" TargetMode="External"/><Relationship Id="rId373" Type="http://schemas.openxmlformats.org/officeDocument/2006/relationships/hyperlink" Target="mailto:warisad@sena.co.th" TargetMode="External"/><Relationship Id="rId130" Type="http://schemas.openxmlformats.org/officeDocument/2006/relationships/hyperlink" Target="mailto:Phatchareer@senxgroup.com" TargetMode="External"/><Relationship Id="rId251" Type="http://schemas.openxmlformats.org/officeDocument/2006/relationships/hyperlink" Target="mailto:Wittayas@sena.co.th" TargetMode="External"/><Relationship Id="rId372" Type="http://schemas.openxmlformats.org/officeDocument/2006/relationships/hyperlink" Target="mailto:Pongpunt@sena.co.th" TargetMode="External"/><Relationship Id="rId250" Type="http://schemas.openxmlformats.org/officeDocument/2006/relationships/hyperlink" Target="mailto:Wasawatp@sena.co.th" TargetMode="External"/><Relationship Id="rId371" Type="http://schemas.openxmlformats.org/officeDocument/2006/relationships/hyperlink" Target="mailto:Jidapab@sena.co.th" TargetMode="External"/><Relationship Id="rId136" Type="http://schemas.openxmlformats.org/officeDocument/2006/relationships/hyperlink" Target="mailto:puthachadc@senxgroup.com" TargetMode="External"/><Relationship Id="rId257" Type="http://schemas.openxmlformats.org/officeDocument/2006/relationships/hyperlink" Target="mailto:Tiangkamp@sena.co.th" TargetMode="External"/><Relationship Id="rId378" Type="http://schemas.openxmlformats.org/officeDocument/2006/relationships/hyperlink" Target="mailto:Puchongk@sena.co.th" TargetMode="External"/><Relationship Id="rId135" Type="http://schemas.openxmlformats.org/officeDocument/2006/relationships/hyperlink" Target="mailto:Ampornh@senxgroup.com" TargetMode="External"/><Relationship Id="rId256" Type="http://schemas.openxmlformats.org/officeDocument/2006/relationships/hyperlink" Target="mailto:Juthamask@sena.co.th" TargetMode="External"/><Relationship Id="rId377" Type="http://schemas.openxmlformats.org/officeDocument/2006/relationships/hyperlink" Target="mailto:Tanongsakp@sena.co.th" TargetMode="External"/><Relationship Id="rId134" Type="http://schemas.openxmlformats.org/officeDocument/2006/relationships/hyperlink" Target="mailto:Punnidaj@senxgroup.com" TargetMode="External"/><Relationship Id="rId255" Type="http://schemas.openxmlformats.org/officeDocument/2006/relationships/hyperlink" Target="mailto:Anantayam@sena.co.th" TargetMode="External"/><Relationship Id="rId376" Type="http://schemas.openxmlformats.org/officeDocument/2006/relationships/hyperlink" Target="mailto:ekamolv@sena.co.th" TargetMode="External"/><Relationship Id="rId133" Type="http://schemas.openxmlformats.org/officeDocument/2006/relationships/hyperlink" Target="mailto:Rotjanal@senxgroup.com" TargetMode="External"/><Relationship Id="rId254" Type="http://schemas.openxmlformats.org/officeDocument/2006/relationships/hyperlink" Target="mailto:Sittichain@sena.co.th" TargetMode="External"/><Relationship Id="rId375" Type="http://schemas.openxmlformats.org/officeDocument/2006/relationships/hyperlink" Target="mailto:Atthachak@sena.co.th" TargetMode="External"/><Relationship Id="rId172" Type="http://schemas.openxmlformats.org/officeDocument/2006/relationships/hyperlink" Target="mailto:Santid@sena.co.th" TargetMode="External"/><Relationship Id="rId293" Type="http://schemas.openxmlformats.org/officeDocument/2006/relationships/hyperlink" Target="mailto:kanjanab@sena.co.th" TargetMode="External"/><Relationship Id="rId171" Type="http://schemas.openxmlformats.org/officeDocument/2006/relationships/hyperlink" Target="mailto:Kosonk@sena.co.th" TargetMode="External"/><Relationship Id="rId292" Type="http://schemas.openxmlformats.org/officeDocument/2006/relationships/hyperlink" Target="mailto:Teerapongc@sena.co.th" TargetMode="External"/><Relationship Id="rId170" Type="http://schemas.openxmlformats.org/officeDocument/2006/relationships/hyperlink" Target="mailto:Laddak@sena.co.th" TargetMode="External"/><Relationship Id="rId291" Type="http://schemas.openxmlformats.org/officeDocument/2006/relationships/hyperlink" Target="mailto:Sirinyadas@sena.co.th" TargetMode="External"/><Relationship Id="rId290" Type="http://schemas.openxmlformats.org/officeDocument/2006/relationships/hyperlink" Target="mailto:Teethatr@sena.co.th" TargetMode="External"/><Relationship Id="rId165" Type="http://schemas.openxmlformats.org/officeDocument/2006/relationships/hyperlink" Target="mailto:Jiradjitchayap@sena.co.th" TargetMode="External"/><Relationship Id="rId286" Type="http://schemas.openxmlformats.org/officeDocument/2006/relationships/hyperlink" Target="mailto:kreepopt@sena.co.th" TargetMode="External"/><Relationship Id="rId164" Type="http://schemas.openxmlformats.org/officeDocument/2006/relationships/hyperlink" Target="mailto:sureepornc@sena.co.th" TargetMode="External"/><Relationship Id="rId285" Type="http://schemas.openxmlformats.org/officeDocument/2006/relationships/hyperlink" Target="mailto:akanirutv@sena.co.th" TargetMode="External"/><Relationship Id="rId163" Type="http://schemas.openxmlformats.org/officeDocument/2006/relationships/hyperlink" Target="mailto:Nantanan@sena.co.th" TargetMode="External"/><Relationship Id="rId284" Type="http://schemas.openxmlformats.org/officeDocument/2006/relationships/hyperlink" Target="mailto:Kittipongw@sena.co.th" TargetMode="External"/><Relationship Id="rId162" Type="http://schemas.openxmlformats.org/officeDocument/2006/relationships/hyperlink" Target="mailto:Yaphornh@sena.co.th" TargetMode="External"/><Relationship Id="rId283" Type="http://schemas.openxmlformats.org/officeDocument/2006/relationships/hyperlink" Target="mailto:Pisuth@sena.co.th" TargetMode="External"/><Relationship Id="rId169" Type="http://schemas.openxmlformats.org/officeDocument/2006/relationships/hyperlink" Target="mailto:Panchanokc@sena.co.th" TargetMode="External"/><Relationship Id="rId168" Type="http://schemas.openxmlformats.org/officeDocument/2006/relationships/hyperlink" Target="mailto:Paritas@sena.co.th" TargetMode="External"/><Relationship Id="rId289" Type="http://schemas.openxmlformats.org/officeDocument/2006/relationships/hyperlink" Target="mailto:prasitk@sena.co.th" TargetMode="External"/><Relationship Id="rId167" Type="http://schemas.openxmlformats.org/officeDocument/2006/relationships/hyperlink" Target="mailto:Nopparatp@sena.co.th" TargetMode="External"/><Relationship Id="rId288" Type="http://schemas.openxmlformats.org/officeDocument/2006/relationships/hyperlink" Target="mailto:Nithipatb@sena.co.th" TargetMode="External"/><Relationship Id="rId166" Type="http://schemas.openxmlformats.org/officeDocument/2006/relationships/hyperlink" Target="mailto:Kanjanah@sena.co.th" TargetMode="External"/><Relationship Id="rId287" Type="http://schemas.openxmlformats.org/officeDocument/2006/relationships/hyperlink" Target="mailto:Ratchapona@sena.co.th" TargetMode="External"/><Relationship Id="rId161" Type="http://schemas.openxmlformats.org/officeDocument/2006/relationships/hyperlink" Target="mailto:Aujaraporns@sena.co.th" TargetMode="External"/><Relationship Id="rId282" Type="http://schemas.openxmlformats.org/officeDocument/2006/relationships/hyperlink" Target="mailto:Teeraphongc@sena.co.th" TargetMode="External"/><Relationship Id="rId160" Type="http://schemas.openxmlformats.org/officeDocument/2006/relationships/hyperlink" Target="mailto:Penpichac@sena.co.th" TargetMode="External"/><Relationship Id="rId281" Type="http://schemas.openxmlformats.org/officeDocument/2006/relationships/hyperlink" Target="mailto:thanakornk@sena.co.th" TargetMode="External"/><Relationship Id="rId280" Type="http://schemas.openxmlformats.org/officeDocument/2006/relationships/hyperlink" Target="mailto:aticoms@sena.co.th" TargetMode="External"/><Relationship Id="rId159" Type="http://schemas.openxmlformats.org/officeDocument/2006/relationships/hyperlink" Target="mailto:Supakarnk@sena.co.th" TargetMode="External"/><Relationship Id="rId154" Type="http://schemas.openxmlformats.org/officeDocument/2006/relationships/hyperlink" Target="mailto:Phakawanw@sena.co.th" TargetMode="External"/><Relationship Id="rId275" Type="http://schemas.openxmlformats.org/officeDocument/2006/relationships/hyperlink" Target="mailto:Sirimask@sena.co.th" TargetMode="External"/><Relationship Id="rId396" Type="http://schemas.openxmlformats.org/officeDocument/2006/relationships/hyperlink" Target="mailto:rachanonc@sena.co.th" TargetMode="External"/><Relationship Id="rId153" Type="http://schemas.openxmlformats.org/officeDocument/2006/relationships/hyperlink" Target="mailto:Suppachaip@sena.co.th" TargetMode="External"/><Relationship Id="rId274" Type="http://schemas.openxmlformats.org/officeDocument/2006/relationships/hyperlink" Target="mailto:Parimapornj@sena.co.th" TargetMode="External"/><Relationship Id="rId395" Type="http://schemas.openxmlformats.org/officeDocument/2006/relationships/hyperlink" Target="mailto:Dumrongyutk@sena.co.th" TargetMode="External"/><Relationship Id="rId152" Type="http://schemas.openxmlformats.org/officeDocument/2006/relationships/hyperlink" Target="mailto:Arthitn@sena.co.th" TargetMode="External"/><Relationship Id="rId273" Type="http://schemas.openxmlformats.org/officeDocument/2006/relationships/hyperlink" Target="mailto:Chitsanuchar@sena.co.th" TargetMode="External"/><Relationship Id="rId394" Type="http://schemas.openxmlformats.org/officeDocument/2006/relationships/hyperlink" Target="mailto:suviboonp@sena.co.th" TargetMode="External"/><Relationship Id="rId151" Type="http://schemas.openxmlformats.org/officeDocument/2006/relationships/hyperlink" Target="mailto:Supattras@sena.co.th" TargetMode="External"/><Relationship Id="rId272" Type="http://schemas.openxmlformats.org/officeDocument/2006/relationships/hyperlink" Target="mailto:WiChudat@sena.co.th" TargetMode="External"/><Relationship Id="rId393" Type="http://schemas.openxmlformats.org/officeDocument/2006/relationships/hyperlink" Target="mailto:Unnopt@sena.co.th" TargetMode="External"/><Relationship Id="rId158" Type="http://schemas.openxmlformats.org/officeDocument/2006/relationships/hyperlink" Target="mailto:Nutchanantp@sena.co.th" TargetMode="External"/><Relationship Id="rId279" Type="http://schemas.openxmlformats.org/officeDocument/2006/relationships/hyperlink" Target="mailto:Piyanatr@sena.co.th" TargetMode="External"/><Relationship Id="rId157" Type="http://schemas.openxmlformats.org/officeDocument/2006/relationships/hyperlink" Target="mailto:Pattaratp@sena.co.th" TargetMode="External"/><Relationship Id="rId278" Type="http://schemas.openxmlformats.org/officeDocument/2006/relationships/hyperlink" Target="mailto:tontrakarnn@sena.co.th" TargetMode="External"/><Relationship Id="rId399" Type="http://schemas.openxmlformats.org/officeDocument/2006/relationships/hyperlink" Target="mailto:Pairoajs@sena.co.th" TargetMode="External"/><Relationship Id="rId156" Type="http://schemas.openxmlformats.org/officeDocument/2006/relationships/hyperlink" Target="mailto:Chompoopunc@sena.co.th" TargetMode="External"/><Relationship Id="rId277" Type="http://schemas.openxmlformats.org/officeDocument/2006/relationships/hyperlink" Target="mailto:chanink@sena.co.th" TargetMode="External"/><Relationship Id="rId398" Type="http://schemas.openxmlformats.org/officeDocument/2006/relationships/hyperlink" Target="mailto:Panritb@sena.co.th" TargetMode="External"/><Relationship Id="rId155" Type="http://schemas.openxmlformats.org/officeDocument/2006/relationships/hyperlink" Target="mailto:Suwanank@sena.co.th" TargetMode="External"/><Relationship Id="rId276" Type="http://schemas.openxmlformats.org/officeDocument/2006/relationships/hyperlink" Target="mailto:Kridj@sena.co.th" TargetMode="External"/><Relationship Id="rId397" Type="http://schemas.openxmlformats.org/officeDocument/2006/relationships/hyperlink" Target="mailto:Prawatkarnk@sena.co.th" TargetMode="External"/><Relationship Id="rId40" Type="http://schemas.openxmlformats.org/officeDocument/2006/relationships/hyperlink" Target="mailto:ratsib@sena.co.th" TargetMode="External"/><Relationship Id="rId42" Type="http://schemas.openxmlformats.org/officeDocument/2006/relationships/hyperlink" Target="mailto:Adinuna@sena.co.th" TargetMode="External"/><Relationship Id="rId41" Type="http://schemas.openxmlformats.org/officeDocument/2006/relationships/hyperlink" Target="mailto:Tanisony@sena.co.th" TargetMode="External"/><Relationship Id="rId44" Type="http://schemas.openxmlformats.org/officeDocument/2006/relationships/hyperlink" Target="mailto:Nattapongm@sena.co.th" TargetMode="External"/><Relationship Id="rId43" Type="http://schemas.openxmlformats.org/officeDocument/2006/relationships/hyperlink" Target="mailto:Thanasaks@sena.co.th" TargetMode="External"/><Relationship Id="rId46" Type="http://schemas.openxmlformats.org/officeDocument/2006/relationships/hyperlink" Target="mailto:Watcharink@sena.co.th" TargetMode="External"/><Relationship Id="rId45" Type="http://schemas.openxmlformats.org/officeDocument/2006/relationships/hyperlink" Target="mailto:Manits@sena.co.th" TargetMode="External"/><Relationship Id="rId48" Type="http://schemas.openxmlformats.org/officeDocument/2006/relationships/hyperlink" Target="mailto:karnc@sena.co.th" TargetMode="External"/><Relationship Id="rId47" Type="http://schemas.openxmlformats.org/officeDocument/2006/relationships/hyperlink" Target="mailto:Pasitl@sena.co.th" TargetMode="External"/><Relationship Id="rId49" Type="http://schemas.openxmlformats.org/officeDocument/2006/relationships/hyperlink" Target="mailto:chanetw@sena.co.th" TargetMode="External"/><Relationship Id="rId31" Type="http://schemas.openxmlformats.org/officeDocument/2006/relationships/hyperlink" Target="mailto:Ponwits@sena.co.th" TargetMode="External"/><Relationship Id="rId30" Type="http://schemas.openxmlformats.org/officeDocument/2006/relationships/hyperlink" Target="mailto:Sittichaid@sena.co.th" TargetMode="External"/><Relationship Id="rId33" Type="http://schemas.openxmlformats.org/officeDocument/2006/relationships/hyperlink" Target="mailto:chayapols@sena.co.th" TargetMode="External"/><Relationship Id="rId32" Type="http://schemas.openxmlformats.org/officeDocument/2006/relationships/hyperlink" Target="mailto:Sooksunb@sena.co.th" TargetMode="External"/><Relationship Id="rId35" Type="http://schemas.openxmlformats.org/officeDocument/2006/relationships/hyperlink" Target="mailto:Porametk@sena.co.th" TargetMode="External"/><Relationship Id="rId34" Type="http://schemas.openxmlformats.org/officeDocument/2006/relationships/hyperlink" Target="mailto:Wanniks@sena.co.th" TargetMode="External"/><Relationship Id="rId37" Type="http://schemas.openxmlformats.org/officeDocument/2006/relationships/hyperlink" Target="mailto:Jaratw@sena.co.th" TargetMode="External"/><Relationship Id="rId36" Type="http://schemas.openxmlformats.org/officeDocument/2006/relationships/hyperlink" Target="mailto:Chanonk@sena.co.th" TargetMode="External"/><Relationship Id="rId39" Type="http://schemas.openxmlformats.org/officeDocument/2006/relationships/hyperlink" Target="mailto:Vichate_it@sena.co.th" TargetMode="External"/><Relationship Id="rId38" Type="http://schemas.openxmlformats.org/officeDocument/2006/relationships/hyperlink" Target="mailto:Siripornt@sena.co.th" TargetMode="External"/><Relationship Id="rId20" Type="http://schemas.openxmlformats.org/officeDocument/2006/relationships/hyperlink" Target="mailto:Khwanchanokk@sena.co.th" TargetMode="External"/><Relationship Id="rId22" Type="http://schemas.openxmlformats.org/officeDocument/2006/relationships/hyperlink" Target="mailto:Pasitl@sena.co.th" TargetMode="External"/><Relationship Id="rId21" Type="http://schemas.openxmlformats.org/officeDocument/2006/relationships/hyperlink" Target="mailto:Chanissarat@sena.co.th" TargetMode="External"/><Relationship Id="rId24" Type="http://schemas.openxmlformats.org/officeDocument/2006/relationships/hyperlink" Target="mailto:nattawutt@sena.co.th" TargetMode="External"/><Relationship Id="rId23" Type="http://schemas.openxmlformats.org/officeDocument/2006/relationships/hyperlink" Target="mailto:asithont@sena.co.th" TargetMode="External"/><Relationship Id="rId409" Type="http://schemas.openxmlformats.org/officeDocument/2006/relationships/hyperlink" Target="mailto:Chatnapar@sena.co.th" TargetMode="External"/><Relationship Id="rId404" Type="http://schemas.openxmlformats.org/officeDocument/2006/relationships/hyperlink" Target="mailto:Piangnapac@sena.co.th" TargetMode="External"/><Relationship Id="rId403" Type="http://schemas.openxmlformats.org/officeDocument/2006/relationships/hyperlink" Target="mailto:Silapornc@sena.co.th" TargetMode="External"/><Relationship Id="rId402" Type="http://schemas.openxmlformats.org/officeDocument/2006/relationships/hyperlink" Target="mailto:Chalidaa@sena.co.th" TargetMode="External"/><Relationship Id="rId401" Type="http://schemas.openxmlformats.org/officeDocument/2006/relationships/hyperlink" Target="mailto:Somphotej@sena.co.th" TargetMode="External"/><Relationship Id="rId408" Type="http://schemas.openxmlformats.org/officeDocument/2006/relationships/hyperlink" Target="mailto:Thanyalakk@sena.co.th" TargetMode="External"/><Relationship Id="rId407" Type="http://schemas.openxmlformats.org/officeDocument/2006/relationships/hyperlink" Target="mailto:Atittayaw@sena.co.th" TargetMode="External"/><Relationship Id="rId406" Type="http://schemas.openxmlformats.org/officeDocument/2006/relationships/hyperlink" Target="mailto:Sippawitp@sena.co.th" TargetMode="External"/><Relationship Id="rId405" Type="http://schemas.openxmlformats.org/officeDocument/2006/relationships/hyperlink" Target="mailto:Krichapaptad@sena.co.th" TargetMode="External"/><Relationship Id="rId26" Type="http://schemas.openxmlformats.org/officeDocument/2006/relationships/hyperlink" Target="mailto:monchiant@sena.co.th" TargetMode="External"/><Relationship Id="rId25" Type="http://schemas.openxmlformats.org/officeDocument/2006/relationships/hyperlink" Target="mailto:Vorawootr@sena.co.th" TargetMode="External"/><Relationship Id="rId28" Type="http://schemas.openxmlformats.org/officeDocument/2006/relationships/hyperlink" Target="mailto:Ekapons@sena.co.th" TargetMode="External"/><Relationship Id="rId27" Type="http://schemas.openxmlformats.org/officeDocument/2006/relationships/hyperlink" Target="mailto:rujiran@sena.co.th" TargetMode="External"/><Relationship Id="rId400" Type="http://schemas.openxmlformats.org/officeDocument/2006/relationships/hyperlink" Target="mailto:ratvarav@sena.co.th" TargetMode="External"/><Relationship Id="rId29" Type="http://schemas.openxmlformats.org/officeDocument/2006/relationships/hyperlink" Target="mailto:Supanats@sena.co.th" TargetMode="External"/><Relationship Id="rId11" Type="http://schemas.openxmlformats.org/officeDocument/2006/relationships/hyperlink" Target="mailto:Autapolt@sena.co.th" TargetMode="External"/><Relationship Id="rId10" Type="http://schemas.openxmlformats.org/officeDocument/2006/relationships/hyperlink" Target="mailto:Patomcholc@moneyjaidee.com" TargetMode="External"/><Relationship Id="rId13" Type="http://schemas.openxmlformats.org/officeDocument/2006/relationships/hyperlink" Target="mailto:Saowaluckt@sena.co.th" TargetMode="External"/><Relationship Id="rId12" Type="http://schemas.openxmlformats.org/officeDocument/2006/relationships/hyperlink" Target="mailto:sittir@sena.co.th" TargetMode="External"/><Relationship Id="rId15" Type="http://schemas.openxmlformats.org/officeDocument/2006/relationships/hyperlink" Target="mailto:Thitinani@sena.co.th" TargetMode="External"/><Relationship Id="rId14" Type="http://schemas.openxmlformats.org/officeDocument/2006/relationships/hyperlink" Target="mailto:Wilais@sena.co.th" TargetMode="External"/><Relationship Id="rId17" Type="http://schemas.openxmlformats.org/officeDocument/2006/relationships/hyperlink" Target="mailto:Supaporns@sena.co.th" TargetMode="External"/><Relationship Id="rId16" Type="http://schemas.openxmlformats.org/officeDocument/2006/relationships/hyperlink" Target="mailto:Titawatp@sena.co.th" TargetMode="External"/><Relationship Id="rId19" Type="http://schemas.openxmlformats.org/officeDocument/2006/relationships/hyperlink" Target="mailto:Snidah@sena.co.th" TargetMode="External"/><Relationship Id="rId18" Type="http://schemas.openxmlformats.org/officeDocument/2006/relationships/hyperlink" Target="mailto:thanapongs@sena.co.th" TargetMode="External"/><Relationship Id="rId84" Type="http://schemas.openxmlformats.org/officeDocument/2006/relationships/hyperlink" Target="mailto:Pakorns@senagreenautomotive.com" TargetMode="External"/><Relationship Id="rId83" Type="http://schemas.openxmlformats.org/officeDocument/2006/relationships/hyperlink" Target="mailto:panumast@senagreenautomotive.com" TargetMode="External"/><Relationship Id="rId86" Type="http://schemas.openxmlformats.org/officeDocument/2006/relationships/hyperlink" Target="mailto:Piyanutc@senagreenautomotive.com" TargetMode="External"/><Relationship Id="rId85" Type="http://schemas.openxmlformats.org/officeDocument/2006/relationships/hyperlink" Target="mailto:Areeyad@senagreenautomotive.com" TargetMode="External"/><Relationship Id="rId88" Type="http://schemas.openxmlformats.org/officeDocument/2006/relationships/hyperlink" Target="mailto:Sivapornvasuvees@senagreenautomotive.com" TargetMode="External"/><Relationship Id="rId87" Type="http://schemas.openxmlformats.org/officeDocument/2006/relationships/hyperlink" Target="mailto:Supawadeek@sena.co.th" TargetMode="External"/><Relationship Id="rId89" Type="http://schemas.openxmlformats.org/officeDocument/2006/relationships/hyperlink" Target="mailto:Pavipatm@sena.co.th" TargetMode="External"/><Relationship Id="rId80" Type="http://schemas.openxmlformats.org/officeDocument/2006/relationships/hyperlink" Target="mailto:Supiand@senasolarenergy.com" TargetMode="External"/><Relationship Id="rId82" Type="http://schemas.openxmlformats.org/officeDocument/2006/relationships/hyperlink" Target="mailto:Saysunee@senasolarenergy.com" TargetMode="External"/><Relationship Id="rId81" Type="http://schemas.openxmlformats.org/officeDocument/2006/relationships/hyperlink" Target="mailto:Pannawats@senasolarenergy.com" TargetMode="External"/><Relationship Id="rId73" Type="http://schemas.openxmlformats.org/officeDocument/2006/relationships/hyperlink" Target="mailto:Warinp@senasolarenergy.com" TargetMode="External"/><Relationship Id="rId72" Type="http://schemas.openxmlformats.org/officeDocument/2006/relationships/hyperlink" Target="mailto:Natramons@senasolarenergy.com" TargetMode="External"/><Relationship Id="rId75" Type="http://schemas.openxmlformats.org/officeDocument/2006/relationships/hyperlink" Target="mailto:Pongpatt@senasolarenergy.com" TargetMode="External"/><Relationship Id="rId74" Type="http://schemas.openxmlformats.org/officeDocument/2006/relationships/hyperlink" Target="mailto:Nattikanc@senasolarenergy.com" TargetMode="External"/><Relationship Id="rId77" Type="http://schemas.openxmlformats.org/officeDocument/2006/relationships/hyperlink" Target="mailto:Arthit@senasolarenergy.com" TargetMode="External"/><Relationship Id="rId76" Type="http://schemas.openxmlformats.org/officeDocument/2006/relationships/hyperlink" Target="mailto:Keeratia@senasolarenergy.com" TargetMode="External"/><Relationship Id="rId79" Type="http://schemas.openxmlformats.org/officeDocument/2006/relationships/hyperlink" Target="mailto:Sakdinans@senasolarenergy.com" TargetMode="External"/><Relationship Id="rId78" Type="http://schemas.openxmlformats.org/officeDocument/2006/relationships/hyperlink" Target="mailto:Varit@senasolarenergy.com" TargetMode="External"/><Relationship Id="rId71" Type="http://schemas.openxmlformats.org/officeDocument/2006/relationships/hyperlink" Target="mailto:Rungsak@senasolarenergy.com" TargetMode="External"/><Relationship Id="rId70" Type="http://schemas.openxmlformats.org/officeDocument/2006/relationships/hyperlink" Target="mailto:Phichayap@sena.co.th" TargetMode="External"/><Relationship Id="rId62" Type="http://schemas.openxmlformats.org/officeDocument/2006/relationships/hyperlink" Target="mailto:Sirinapac@sena.co.th" TargetMode="External"/><Relationship Id="rId61" Type="http://schemas.openxmlformats.org/officeDocument/2006/relationships/hyperlink" Target="mailto:Prapassornp@sena.co.th" TargetMode="External"/><Relationship Id="rId64" Type="http://schemas.openxmlformats.org/officeDocument/2006/relationships/hyperlink" Target="mailto:Winaip@sena.co.th" TargetMode="External"/><Relationship Id="rId63" Type="http://schemas.openxmlformats.org/officeDocument/2006/relationships/hyperlink" Target="mailto:virongrongp@sena.co.th" TargetMode="External"/><Relationship Id="rId66" Type="http://schemas.openxmlformats.org/officeDocument/2006/relationships/hyperlink" Target="mailto:Yuwateweek@sena.co.th" TargetMode="External"/><Relationship Id="rId65" Type="http://schemas.openxmlformats.org/officeDocument/2006/relationships/hyperlink" Target="mailto:pattarapona@sena.co.th" TargetMode="External"/><Relationship Id="rId68" Type="http://schemas.openxmlformats.org/officeDocument/2006/relationships/hyperlink" Target="mailto:Amnadp@sena.co.th" TargetMode="External"/><Relationship Id="rId67" Type="http://schemas.openxmlformats.org/officeDocument/2006/relationships/hyperlink" Target="mailto:monthathip@senasolarenergy.com" TargetMode="External"/><Relationship Id="rId60" Type="http://schemas.openxmlformats.org/officeDocument/2006/relationships/hyperlink" Target="mailto:Laddaj@sena.co.th" TargetMode="External"/><Relationship Id="rId69" Type="http://schemas.openxmlformats.org/officeDocument/2006/relationships/hyperlink" Target="mailto:Watchanasaks@senasolarenergy.com" TargetMode="External"/><Relationship Id="rId51" Type="http://schemas.openxmlformats.org/officeDocument/2006/relationships/hyperlink" Target="mailto:saranyat@sena.co.th" TargetMode="External"/><Relationship Id="rId50" Type="http://schemas.openxmlformats.org/officeDocument/2006/relationships/hyperlink" Target="mailto:thanongsakn@sena.co.th" TargetMode="External"/><Relationship Id="rId53" Type="http://schemas.openxmlformats.org/officeDocument/2006/relationships/hyperlink" Target="mailto:bunyarithac@sena.co.th" TargetMode="External"/><Relationship Id="rId52" Type="http://schemas.openxmlformats.org/officeDocument/2006/relationships/hyperlink" Target="mailto:Tassanaim@sena.co.th" TargetMode="External"/><Relationship Id="rId55" Type="http://schemas.openxmlformats.org/officeDocument/2006/relationships/hyperlink" Target="mailto:napalaij@sena.co.th" TargetMode="External"/><Relationship Id="rId54" Type="http://schemas.openxmlformats.org/officeDocument/2006/relationships/hyperlink" Target="mailto:Poonyanuchp@sena.co.th" TargetMode="External"/><Relationship Id="rId57" Type="http://schemas.openxmlformats.org/officeDocument/2006/relationships/hyperlink" Target="mailto:nareeratk@sena.co.th" TargetMode="External"/><Relationship Id="rId56" Type="http://schemas.openxmlformats.org/officeDocument/2006/relationships/hyperlink" Target="mailto:Anusarak@sena.co.th" TargetMode="External"/><Relationship Id="rId59" Type="http://schemas.openxmlformats.org/officeDocument/2006/relationships/hyperlink" Target="mailto:Leelavadeeu@sena.co.th" TargetMode="External"/><Relationship Id="rId58" Type="http://schemas.openxmlformats.org/officeDocument/2006/relationships/hyperlink" Target="mailto:Jariyas@sena.co.th" TargetMode="External"/><Relationship Id="rId107" Type="http://schemas.openxmlformats.org/officeDocument/2006/relationships/hyperlink" Target="mailto:Patchareeyak@sena.co.th" TargetMode="External"/><Relationship Id="rId228" Type="http://schemas.openxmlformats.org/officeDocument/2006/relationships/hyperlink" Target="mailto:Chayisaraa@sena.co.th" TargetMode="External"/><Relationship Id="rId349" Type="http://schemas.openxmlformats.org/officeDocument/2006/relationships/hyperlink" Target="mailto:Hathairati@sena.co.th" TargetMode="External"/><Relationship Id="rId106" Type="http://schemas.openxmlformats.org/officeDocument/2006/relationships/hyperlink" Target="mailto:Panitab@sena.co.th" TargetMode="External"/><Relationship Id="rId227" Type="http://schemas.openxmlformats.org/officeDocument/2006/relationships/hyperlink" Target="mailto:Phichitphonp@sena.co.th" TargetMode="External"/><Relationship Id="rId348" Type="http://schemas.openxmlformats.org/officeDocument/2006/relationships/hyperlink" Target="mailto:Tichadas@sena.co.th" TargetMode="External"/><Relationship Id="rId105" Type="http://schemas.openxmlformats.org/officeDocument/2006/relationships/hyperlink" Target="mailto:Wannisah@sena.co.th" TargetMode="External"/><Relationship Id="rId226" Type="http://schemas.openxmlformats.org/officeDocument/2006/relationships/hyperlink" Target="mailto:Sirirats@sena.co.th" TargetMode="External"/><Relationship Id="rId347" Type="http://schemas.openxmlformats.org/officeDocument/2006/relationships/hyperlink" Target="mailto:Pawintb@sena.co.th" TargetMode="External"/><Relationship Id="rId104" Type="http://schemas.openxmlformats.org/officeDocument/2006/relationships/hyperlink" Target="mailto:Sukontak@sena.co.th" TargetMode="External"/><Relationship Id="rId225" Type="http://schemas.openxmlformats.org/officeDocument/2006/relationships/hyperlink" Target="mailto:Nitchanank@sena.co.th" TargetMode="External"/><Relationship Id="rId346" Type="http://schemas.openxmlformats.org/officeDocument/2006/relationships/hyperlink" Target="mailto:Nattawuta@sena.co.th" TargetMode="External"/><Relationship Id="rId109" Type="http://schemas.openxmlformats.org/officeDocument/2006/relationships/hyperlink" Target="mailto:Wannipaw@sena.co.th" TargetMode="External"/><Relationship Id="rId108" Type="http://schemas.openxmlformats.org/officeDocument/2006/relationships/hyperlink" Target="mailto:Kantapongb@sena.co.th" TargetMode="External"/><Relationship Id="rId229" Type="http://schemas.openxmlformats.org/officeDocument/2006/relationships/hyperlink" Target="mailto:Krerkp@sena.co.th" TargetMode="External"/><Relationship Id="rId220" Type="http://schemas.openxmlformats.org/officeDocument/2006/relationships/hyperlink" Target="mailto:Pakinain@sena.co.th" TargetMode="External"/><Relationship Id="rId341" Type="http://schemas.openxmlformats.org/officeDocument/2006/relationships/hyperlink" Target="mailto:Supasitk@sena.co.th" TargetMode="External"/><Relationship Id="rId340" Type="http://schemas.openxmlformats.org/officeDocument/2006/relationships/hyperlink" Target="mailto:Saksitr@sena.co.th" TargetMode="External"/><Relationship Id="rId103" Type="http://schemas.openxmlformats.org/officeDocument/2006/relationships/hyperlink" Target="mailto:phutthiphongk@senxgroup.com" TargetMode="External"/><Relationship Id="rId224" Type="http://schemas.openxmlformats.org/officeDocument/2006/relationships/hyperlink" Target="mailto:Ippap@sena.co.th" TargetMode="External"/><Relationship Id="rId345" Type="http://schemas.openxmlformats.org/officeDocument/2006/relationships/hyperlink" Target="mailto:Tinnakornk@sena.co.th" TargetMode="External"/><Relationship Id="rId102" Type="http://schemas.openxmlformats.org/officeDocument/2006/relationships/hyperlink" Target="mailto:Preamyudar@sena.co.th" TargetMode="External"/><Relationship Id="rId223" Type="http://schemas.openxmlformats.org/officeDocument/2006/relationships/hyperlink" Target="mailto:Pijitrac@sena.co.th" TargetMode="External"/><Relationship Id="rId344" Type="http://schemas.openxmlformats.org/officeDocument/2006/relationships/hyperlink" Target="mailto:Chinorodb@sena.co.th" TargetMode="External"/><Relationship Id="rId101" Type="http://schemas.openxmlformats.org/officeDocument/2006/relationships/hyperlink" Target="mailto:Sirilukm@sena.co.th" TargetMode="External"/><Relationship Id="rId222" Type="http://schemas.openxmlformats.org/officeDocument/2006/relationships/hyperlink" Target="mailto:pannawitj@sena.co.th" TargetMode="External"/><Relationship Id="rId343" Type="http://schemas.openxmlformats.org/officeDocument/2006/relationships/hyperlink" Target="mailto:Siwakornp@sena.co.th" TargetMode="External"/><Relationship Id="rId100" Type="http://schemas.openxmlformats.org/officeDocument/2006/relationships/hyperlink" Target="mailto:Kanittaj@sena.co.th" TargetMode="External"/><Relationship Id="rId221" Type="http://schemas.openxmlformats.org/officeDocument/2006/relationships/hyperlink" Target="mailto:Chalermponc@sena.co.th" TargetMode="External"/><Relationship Id="rId342" Type="http://schemas.openxmlformats.org/officeDocument/2006/relationships/hyperlink" Target="mailto:Sivathats@sena.co.th" TargetMode="External"/><Relationship Id="rId217" Type="http://schemas.openxmlformats.org/officeDocument/2006/relationships/hyperlink" Target="mailto:Nutchimapornk@sena.co.th" TargetMode="External"/><Relationship Id="rId338" Type="http://schemas.openxmlformats.org/officeDocument/2006/relationships/hyperlink" Target="mailto:Chaiwatk@sena.co.th" TargetMode="External"/><Relationship Id="rId216" Type="http://schemas.openxmlformats.org/officeDocument/2006/relationships/hyperlink" Target="mailto:waraponb@sena.co.th" TargetMode="External"/><Relationship Id="rId337" Type="http://schemas.openxmlformats.org/officeDocument/2006/relationships/hyperlink" Target="mailto:Wanareel@sena.co.th" TargetMode="External"/><Relationship Id="rId215" Type="http://schemas.openxmlformats.org/officeDocument/2006/relationships/hyperlink" Target="mailto:Sawettrac@sena.co.th" TargetMode="External"/><Relationship Id="rId336" Type="http://schemas.openxmlformats.org/officeDocument/2006/relationships/hyperlink" Target="mailto:wanchaik@sena.co.th" TargetMode="External"/><Relationship Id="rId214" Type="http://schemas.openxmlformats.org/officeDocument/2006/relationships/hyperlink" Target="mailto:thanakorns@sena.co.th" TargetMode="External"/><Relationship Id="rId335" Type="http://schemas.openxmlformats.org/officeDocument/2006/relationships/hyperlink" Target="mailto:Thanchais@sena.co.th" TargetMode="External"/><Relationship Id="rId219" Type="http://schemas.openxmlformats.org/officeDocument/2006/relationships/hyperlink" Target="mailto:Tuddaoc@sena.co.th" TargetMode="External"/><Relationship Id="rId218" Type="http://schemas.openxmlformats.org/officeDocument/2006/relationships/hyperlink" Target="mailto:Umapornt@sena.co.th" TargetMode="External"/><Relationship Id="rId339" Type="http://schemas.openxmlformats.org/officeDocument/2006/relationships/hyperlink" Target="mailto:Mongkonj@sena.co.th" TargetMode="External"/><Relationship Id="rId330" Type="http://schemas.openxmlformats.org/officeDocument/2006/relationships/hyperlink" Target="mailto:Sareeyaj@sena.co.th" TargetMode="External"/><Relationship Id="rId451" Type="http://schemas.openxmlformats.org/officeDocument/2006/relationships/hyperlink" Target="mailto:Nattamona@sena.co.th" TargetMode="External"/><Relationship Id="rId450" Type="http://schemas.openxmlformats.org/officeDocument/2006/relationships/hyperlink" Target="mailto:Worawitt@sena.co.th" TargetMode="External"/><Relationship Id="rId213" Type="http://schemas.openxmlformats.org/officeDocument/2006/relationships/hyperlink" Target="mailto:Parinyad@sena.co.th" TargetMode="External"/><Relationship Id="rId334" Type="http://schemas.openxmlformats.org/officeDocument/2006/relationships/hyperlink" Target="mailto:Phakamonw@sena.co.th" TargetMode="External"/><Relationship Id="rId455" Type="http://schemas.openxmlformats.org/officeDocument/2006/relationships/drawing" Target="../drawings/drawing7.xml"/><Relationship Id="rId212" Type="http://schemas.openxmlformats.org/officeDocument/2006/relationships/hyperlink" Target="mailto:Kittit@sena.co.th" TargetMode="External"/><Relationship Id="rId333" Type="http://schemas.openxmlformats.org/officeDocument/2006/relationships/hyperlink" Target="mailto:Nichananc@sena.co.th" TargetMode="External"/><Relationship Id="rId454" Type="http://schemas.openxmlformats.org/officeDocument/2006/relationships/hyperlink" Target="mailto:Kornnaraim@sena.co.th" TargetMode="External"/><Relationship Id="rId211" Type="http://schemas.openxmlformats.org/officeDocument/2006/relationships/hyperlink" Target="mailto:Pattarananw@sena.co.th" TargetMode="External"/><Relationship Id="rId332" Type="http://schemas.openxmlformats.org/officeDocument/2006/relationships/hyperlink" Target="mailto:wanidab@sena.co.th" TargetMode="External"/><Relationship Id="rId453" Type="http://schemas.openxmlformats.org/officeDocument/2006/relationships/hyperlink" Target="mailto:kornnikan@senxgroup.com" TargetMode="External"/><Relationship Id="rId210" Type="http://schemas.openxmlformats.org/officeDocument/2006/relationships/hyperlink" Target="mailto:Tanatpongc@sena.co.th" TargetMode="External"/><Relationship Id="rId331" Type="http://schemas.openxmlformats.org/officeDocument/2006/relationships/hyperlink" Target="mailto:natchayat@sena.co.th" TargetMode="External"/><Relationship Id="rId452" Type="http://schemas.openxmlformats.org/officeDocument/2006/relationships/hyperlink" Target="mailto:Khemisaras@sena.co.th" TargetMode="External"/><Relationship Id="rId370" Type="http://schemas.openxmlformats.org/officeDocument/2006/relationships/hyperlink" Target="mailto:Panyamoll@sena.co.th" TargetMode="External"/><Relationship Id="rId129" Type="http://schemas.openxmlformats.org/officeDocument/2006/relationships/hyperlink" Target="mailto:kanyapatp@senxgroup.com" TargetMode="External"/><Relationship Id="rId128" Type="http://schemas.openxmlformats.org/officeDocument/2006/relationships/hyperlink" Target="mailto:nantanitg@senxgroup.com" TargetMode="External"/><Relationship Id="rId249" Type="http://schemas.openxmlformats.org/officeDocument/2006/relationships/hyperlink" Target="mailto:Vachirah@sena.co.th" TargetMode="External"/><Relationship Id="rId127" Type="http://schemas.openxmlformats.org/officeDocument/2006/relationships/hyperlink" Target="mailto:churairatp@senxgroup.com" TargetMode="External"/><Relationship Id="rId248" Type="http://schemas.openxmlformats.org/officeDocument/2006/relationships/hyperlink" Target="mailto:Nirats@sena.co.th" TargetMode="External"/><Relationship Id="rId369" Type="http://schemas.openxmlformats.org/officeDocument/2006/relationships/hyperlink" Target="mailto:Jariwatl@sena.co.th" TargetMode="External"/><Relationship Id="rId126" Type="http://schemas.openxmlformats.org/officeDocument/2006/relationships/hyperlink" Target="mailto:chayananp@senxgroup.com" TargetMode="External"/><Relationship Id="rId247" Type="http://schemas.openxmlformats.org/officeDocument/2006/relationships/hyperlink" Target="mailto:annapab@sena.co.th" TargetMode="External"/><Relationship Id="rId368" Type="http://schemas.openxmlformats.org/officeDocument/2006/relationships/hyperlink" Target="mailto:Arithatb@sena.co.th" TargetMode="External"/><Relationship Id="rId121" Type="http://schemas.openxmlformats.org/officeDocument/2006/relationships/hyperlink" Target="mailto:Sasinanw@senxgroup.com" TargetMode="External"/><Relationship Id="rId242" Type="http://schemas.openxmlformats.org/officeDocument/2006/relationships/hyperlink" Target="mailto:Sirarandac@sena.co.th" TargetMode="External"/><Relationship Id="rId363" Type="http://schemas.openxmlformats.org/officeDocument/2006/relationships/hyperlink" Target="mailto:Ittiponh@sena.co.th" TargetMode="External"/><Relationship Id="rId120" Type="http://schemas.openxmlformats.org/officeDocument/2006/relationships/hyperlink" Target="mailto:Wararatj@sena.co.th" TargetMode="External"/><Relationship Id="rId241" Type="http://schemas.openxmlformats.org/officeDocument/2006/relationships/hyperlink" Target="mailto:Wachiraporns@sena.co.th" TargetMode="External"/><Relationship Id="rId362" Type="http://schemas.openxmlformats.org/officeDocument/2006/relationships/hyperlink" Target="mailto:Suttewatp@sena.co.th" TargetMode="External"/><Relationship Id="rId240" Type="http://schemas.openxmlformats.org/officeDocument/2006/relationships/hyperlink" Target="mailto:Pornpans@sena.co.th" TargetMode="External"/><Relationship Id="rId361" Type="http://schemas.openxmlformats.org/officeDocument/2006/relationships/hyperlink" Target="mailto:chalineej@sena.co.th" TargetMode="External"/><Relationship Id="rId360" Type="http://schemas.openxmlformats.org/officeDocument/2006/relationships/hyperlink" Target="mailto:Apinyal@sena.co.th" TargetMode="External"/><Relationship Id="rId125" Type="http://schemas.openxmlformats.org/officeDocument/2006/relationships/hyperlink" Target="mailto:Jomkwans@senxgroup.com" TargetMode="External"/><Relationship Id="rId246" Type="http://schemas.openxmlformats.org/officeDocument/2006/relationships/hyperlink" Target="mailto:Suphits@sena.co.th" TargetMode="External"/><Relationship Id="rId367" Type="http://schemas.openxmlformats.org/officeDocument/2006/relationships/hyperlink" Target="mailto:Nattapongr@sena.co.th" TargetMode="External"/><Relationship Id="rId124" Type="http://schemas.openxmlformats.org/officeDocument/2006/relationships/hyperlink" Target="mailto:Suvareec@senxgroup.com" TargetMode="External"/><Relationship Id="rId245" Type="http://schemas.openxmlformats.org/officeDocument/2006/relationships/hyperlink" Target="mailto:Manisak@sena.co.th" TargetMode="External"/><Relationship Id="rId366" Type="http://schemas.openxmlformats.org/officeDocument/2006/relationships/hyperlink" Target="mailto:siriluckp@sena.co.th" TargetMode="External"/><Relationship Id="rId123" Type="http://schemas.openxmlformats.org/officeDocument/2006/relationships/hyperlink" Target="mailto:Kwanrudeed@senxgroup.com" TargetMode="External"/><Relationship Id="rId244" Type="http://schemas.openxmlformats.org/officeDocument/2006/relationships/hyperlink" Target="mailto:Panaddaa@sena.co.th" TargetMode="External"/><Relationship Id="rId365" Type="http://schemas.openxmlformats.org/officeDocument/2006/relationships/hyperlink" Target="mailto:Chanokdanaik@sena.co.th" TargetMode="External"/><Relationship Id="rId122" Type="http://schemas.openxmlformats.org/officeDocument/2006/relationships/hyperlink" Target="mailto:sunitrac@senxgroup.com" TargetMode="External"/><Relationship Id="rId243" Type="http://schemas.openxmlformats.org/officeDocument/2006/relationships/hyperlink" Target="mailto:Songpunm@sena.co.th" TargetMode="External"/><Relationship Id="rId364" Type="http://schemas.openxmlformats.org/officeDocument/2006/relationships/hyperlink" Target="mailto:Saowalaksu@sena.co.th" TargetMode="External"/><Relationship Id="rId95" Type="http://schemas.openxmlformats.org/officeDocument/2006/relationships/hyperlink" Target="mailto:Thanatipt@sena.co.th" TargetMode="External"/><Relationship Id="rId94" Type="http://schemas.openxmlformats.org/officeDocument/2006/relationships/hyperlink" Target="mailto:Anongwand@sena.co.th" TargetMode="External"/><Relationship Id="rId97" Type="http://schemas.openxmlformats.org/officeDocument/2006/relationships/hyperlink" Target="mailto:Tanakorns@sena.co.th" TargetMode="External"/><Relationship Id="rId96" Type="http://schemas.openxmlformats.org/officeDocument/2006/relationships/hyperlink" Target="mailto:Kanitk@sena.co.th" TargetMode="External"/><Relationship Id="rId99" Type="http://schemas.openxmlformats.org/officeDocument/2006/relationships/hyperlink" Target="mailto:Possawatts@sena.co.th" TargetMode="External"/><Relationship Id="rId98" Type="http://schemas.openxmlformats.org/officeDocument/2006/relationships/hyperlink" Target="mailto:anusaras@sena.co.th" TargetMode="External"/><Relationship Id="rId91" Type="http://schemas.openxmlformats.org/officeDocument/2006/relationships/hyperlink" Target="mailto:Kittisans@sena.co.th" TargetMode="External"/><Relationship Id="rId90" Type="http://schemas.openxmlformats.org/officeDocument/2006/relationships/hyperlink" Target="mailto:Chuwitpr@sena.co.th" TargetMode="External"/><Relationship Id="rId93" Type="http://schemas.openxmlformats.org/officeDocument/2006/relationships/hyperlink" Target="mailto:Pavitp@sena.co.th" TargetMode="External"/><Relationship Id="rId92" Type="http://schemas.openxmlformats.org/officeDocument/2006/relationships/hyperlink" Target="mailto:Tharatept@sena.co.th" TargetMode="External"/><Relationship Id="rId118" Type="http://schemas.openxmlformats.org/officeDocument/2006/relationships/hyperlink" Target="mailto:Nattikans@sena.co.th" TargetMode="External"/><Relationship Id="rId239" Type="http://schemas.openxmlformats.org/officeDocument/2006/relationships/hyperlink" Target="mailto:Rattanat@sena.co.th" TargetMode="External"/><Relationship Id="rId117" Type="http://schemas.openxmlformats.org/officeDocument/2006/relationships/hyperlink" Target="mailto:Yuwathidap@sena.co.th" TargetMode="External"/><Relationship Id="rId238" Type="http://schemas.openxmlformats.org/officeDocument/2006/relationships/hyperlink" Target="mailto:Patipathp@sena.co.th" TargetMode="External"/><Relationship Id="rId359" Type="http://schemas.openxmlformats.org/officeDocument/2006/relationships/hyperlink" Target="mailto:Orawans@sena.co.th" TargetMode="External"/><Relationship Id="rId116" Type="http://schemas.openxmlformats.org/officeDocument/2006/relationships/hyperlink" Target="mailto:Siriratc@sena.co.th" TargetMode="External"/><Relationship Id="rId237" Type="http://schemas.openxmlformats.org/officeDocument/2006/relationships/hyperlink" Target="mailto:Ketnapat@sena.co.th" TargetMode="External"/><Relationship Id="rId358" Type="http://schemas.openxmlformats.org/officeDocument/2006/relationships/hyperlink" Target="mailto:Athitayap@sena.co.th" TargetMode="External"/><Relationship Id="rId115" Type="http://schemas.openxmlformats.org/officeDocument/2006/relationships/hyperlink" Target="mailto:Prathanac@sena.co.th" TargetMode="External"/><Relationship Id="rId236" Type="http://schemas.openxmlformats.org/officeDocument/2006/relationships/hyperlink" Target="mailto:teerawatk@sena.co.th" TargetMode="External"/><Relationship Id="rId357" Type="http://schemas.openxmlformats.org/officeDocument/2006/relationships/hyperlink" Target="mailto:Radac@sena.co.th" TargetMode="External"/><Relationship Id="rId119" Type="http://schemas.openxmlformats.org/officeDocument/2006/relationships/hyperlink" Target="mailto:Sureewans@sena.co.th" TargetMode="External"/><Relationship Id="rId110" Type="http://schemas.openxmlformats.org/officeDocument/2006/relationships/hyperlink" Target="mailto:Natchayaa@sena.co.th" TargetMode="External"/><Relationship Id="rId231" Type="http://schemas.openxmlformats.org/officeDocument/2006/relationships/hyperlink" Target="mailto:Nuttikap@sena.co.th" TargetMode="External"/><Relationship Id="rId352" Type="http://schemas.openxmlformats.org/officeDocument/2006/relationships/hyperlink" Target="mailto:Chamnongb@sena.co.th" TargetMode="External"/><Relationship Id="rId230" Type="http://schemas.openxmlformats.org/officeDocument/2006/relationships/hyperlink" Target="mailto:Sawitj@sena.co.th" TargetMode="External"/><Relationship Id="rId351" Type="http://schemas.openxmlformats.org/officeDocument/2006/relationships/hyperlink" Target="mailto:suphalerka@sena.co.th" TargetMode="External"/><Relationship Id="rId350" Type="http://schemas.openxmlformats.org/officeDocument/2006/relationships/hyperlink" Target="mailto:Kanoknipaj@sena.co.th" TargetMode="External"/><Relationship Id="rId114" Type="http://schemas.openxmlformats.org/officeDocument/2006/relationships/hyperlink" Target="mailto:Isarapornj@sena.co.th" TargetMode="External"/><Relationship Id="rId235" Type="http://schemas.openxmlformats.org/officeDocument/2006/relationships/hyperlink" Target="mailto:Aruneey@sena.co.th" TargetMode="External"/><Relationship Id="rId356" Type="http://schemas.openxmlformats.org/officeDocument/2006/relationships/hyperlink" Target="mailto:Kanvarints@sena.co.th" TargetMode="External"/><Relationship Id="rId113" Type="http://schemas.openxmlformats.org/officeDocument/2006/relationships/hyperlink" Target="mailto:Nuntawan@sena.co.th" TargetMode="External"/><Relationship Id="rId234" Type="http://schemas.openxmlformats.org/officeDocument/2006/relationships/hyperlink" Target="mailto:Jakarins@sena.co.th" TargetMode="External"/><Relationship Id="rId355" Type="http://schemas.openxmlformats.org/officeDocument/2006/relationships/hyperlink" Target="mailto:sitanunj@sena.co.th" TargetMode="External"/><Relationship Id="rId112" Type="http://schemas.openxmlformats.org/officeDocument/2006/relationships/hyperlink" Target="mailto:sukanyach@sena.co.th" TargetMode="External"/><Relationship Id="rId233" Type="http://schemas.openxmlformats.org/officeDocument/2006/relationships/hyperlink" Target="mailto:Panyakonb@sena.co.th" TargetMode="External"/><Relationship Id="rId354" Type="http://schemas.openxmlformats.org/officeDocument/2006/relationships/hyperlink" Target="mailto:Apichats@sena.co.th" TargetMode="External"/><Relationship Id="rId111" Type="http://schemas.openxmlformats.org/officeDocument/2006/relationships/hyperlink" Target="mailto:Thanaporns@sena.co.th" TargetMode="External"/><Relationship Id="rId232" Type="http://schemas.openxmlformats.org/officeDocument/2006/relationships/hyperlink" Target="mailto:Surachaip@sena.co.th" TargetMode="External"/><Relationship Id="rId353" Type="http://schemas.openxmlformats.org/officeDocument/2006/relationships/hyperlink" Target="mailto:Picheta@sena.co.th" TargetMode="External"/><Relationship Id="rId305" Type="http://schemas.openxmlformats.org/officeDocument/2006/relationships/hyperlink" Target="mailto:Watcharap@sena.co.th" TargetMode="External"/><Relationship Id="rId426" Type="http://schemas.openxmlformats.org/officeDocument/2006/relationships/hyperlink" Target="mailto:Jurairatto@sena.co.th" TargetMode="External"/><Relationship Id="rId304" Type="http://schemas.openxmlformats.org/officeDocument/2006/relationships/hyperlink" Target="mailto:Piphimavadeep@sena.co.th" TargetMode="External"/><Relationship Id="rId425" Type="http://schemas.openxmlformats.org/officeDocument/2006/relationships/hyperlink" Target="mailto:Sudaranep@sena.co.th" TargetMode="External"/><Relationship Id="rId303" Type="http://schemas.openxmlformats.org/officeDocument/2006/relationships/hyperlink" Target="mailto:Piyarats@sena.co.th" TargetMode="External"/><Relationship Id="rId424" Type="http://schemas.openxmlformats.org/officeDocument/2006/relationships/hyperlink" Target="mailto:Pantareew@sena.co.th" TargetMode="External"/><Relationship Id="rId302" Type="http://schemas.openxmlformats.org/officeDocument/2006/relationships/hyperlink" Target="mailto:Panyapons@sena.co.th" TargetMode="External"/><Relationship Id="rId423" Type="http://schemas.openxmlformats.org/officeDocument/2006/relationships/hyperlink" Target="mailto:Chotirats@sena.co.th" TargetMode="External"/><Relationship Id="rId309" Type="http://schemas.openxmlformats.org/officeDocument/2006/relationships/hyperlink" Target="mailto:waranchayas@sena.co.th" TargetMode="External"/><Relationship Id="rId308" Type="http://schemas.openxmlformats.org/officeDocument/2006/relationships/hyperlink" Target="mailto:Jirapar@sena.co.th" TargetMode="External"/><Relationship Id="rId429" Type="http://schemas.openxmlformats.org/officeDocument/2006/relationships/hyperlink" Target="mailto:Phattipanc@sena.co.th" TargetMode="External"/><Relationship Id="rId307" Type="http://schemas.openxmlformats.org/officeDocument/2006/relationships/hyperlink" Target="mailto:Yothins@sena.co.th" TargetMode="External"/><Relationship Id="rId428" Type="http://schemas.openxmlformats.org/officeDocument/2006/relationships/hyperlink" Target="mailto:Poosachayak@sena.co.th" TargetMode="External"/><Relationship Id="rId306" Type="http://schemas.openxmlformats.org/officeDocument/2006/relationships/hyperlink" Target="mailto:Krittateem@sena.co.th" TargetMode="External"/><Relationship Id="rId427" Type="http://schemas.openxmlformats.org/officeDocument/2006/relationships/hyperlink" Target="mailto:Napatsornj@sena.co.th" TargetMode="External"/><Relationship Id="rId301" Type="http://schemas.openxmlformats.org/officeDocument/2006/relationships/hyperlink" Target="mailto:Jaturons@sena.co.th" TargetMode="External"/><Relationship Id="rId422" Type="http://schemas.openxmlformats.org/officeDocument/2006/relationships/hyperlink" Target="mailto:Sasinapat@sena.co.th" TargetMode="External"/><Relationship Id="rId300" Type="http://schemas.openxmlformats.org/officeDocument/2006/relationships/hyperlink" Target="mailto:Prayoonj@sena.co.th" TargetMode="External"/><Relationship Id="rId421" Type="http://schemas.openxmlformats.org/officeDocument/2006/relationships/hyperlink" Target="mailto:Nareeratl@sena.co.th" TargetMode="External"/><Relationship Id="rId420" Type="http://schemas.openxmlformats.org/officeDocument/2006/relationships/hyperlink" Target="mailto:Mayladaa@sena.co.th" TargetMode="External"/><Relationship Id="rId415" Type="http://schemas.openxmlformats.org/officeDocument/2006/relationships/hyperlink" Target="mailto:Saksorns@sena.co.th" TargetMode="External"/><Relationship Id="rId414" Type="http://schemas.openxmlformats.org/officeDocument/2006/relationships/hyperlink" Target="mailto:Niponr@sena.co.th" TargetMode="External"/><Relationship Id="rId413" Type="http://schemas.openxmlformats.org/officeDocument/2006/relationships/hyperlink" Target="mailto:Natk@sena.co.th" TargetMode="External"/><Relationship Id="rId412" Type="http://schemas.openxmlformats.org/officeDocument/2006/relationships/hyperlink" Target="mailto:Thongchaiw@sena.co.th" TargetMode="External"/><Relationship Id="rId419" Type="http://schemas.openxmlformats.org/officeDocument/2006/relationships/hyperlink" Target="mailto:Natdanaipo@sena.co.th" TargetMode="External"/><Relationship Id="rId418" Type="http://schemas.openxmlformats.org/officeDocument/2006/relationships/hyperlink" Target="mailto:Kanokrata@sena.co.th" TargetMode="External"/><Relationship Id="rId417" Type="http://schemas.openxmlformats.org/officeDocument/2006/relationships/hyperlink" Target="mailto:Pimprapaiu@sena.co.th" TargetMode="External"/><Relationship Id="rId416" Type="http://schemas.openxmlformats.org/officeDocument/2006/relationships/hyperlink" Target="mailto:Kornumak@sena.co.th" TargetMode="External"/><Relationship Id="rId411" Type="http://schemas.openxmlformats.org/officeDocument/2006/relationships/hyperlink" Target="mailto:Nontaratk@sena.co.th" TargetMode="External"/><Relationship Id="rId410" Type="http://schemas.openxmlformats.org/officeDocument/2006/relationships/hyperlink" Target="mailto:phatnathanond@sena.co.th" TargetMode="External"/><Relationship Id="rId206" Type="http://schemas.openxmlformats.org/officeDocument/2006/relationships/hyperlink" Target="mailto:Hathainanc@sena.co.th" TargetMode="External"/><Relationship Id="rId327" Type="http://schemas.openxmlformats.org/officeDocument/2006/relationships/hyperlink" Target="mailto:Naronngn@sena.co.th" TargetMode="External"/><Relationship Id="rId448" Type="http://schemas.openxmlformats.org/officeDocument/2006/relationships/hyperlink" Target="mailto:pavaretp@sena.co.th" TargetMode="External"/><Relationship Id="rId205" Type="http://schemas.openxmlformats.org/officeDocument/2006/relationships/hyperlink" Target="mailto:Jariyap@sena.co.th" TargetMode="External"/><Relationship Id="rId326" Type="http://schemas.openxmlformats.org/officeDocument/2006/relationships/hyperlink" Target="mailto:Noppadolw@sena.co.th" TargetMode="External"/><Relationship Id="rId447" Type="http://schemas.openxmlformats.org/officeDocument/2006/relationships/hyperlink" Target="mailto:Piranutk@sena.co.th" TargetMode="External"/><Relationship Id="rId204" Type="http://schemas.openxmlformats.org/officeDocument/2006/relationships/hyperlink" Target="mailto:Jitarereek@sena.co.th" TargetMode="External"/><Relationship Id="rId325" Type="http://schemas.openxmlformats.org/officeDocument/2006/relationships/hyperlink" Target="mailto:Patcharinp@sena.co.th" TargetMode="External"/><Relationship Id="rId446" Type="http://schemas.openxmlformats.org/officeDocument/2006/relationships/hyperlink" Target="mailto:Wanikab@senxgroup.com" TargetMode="External"/><Relationship Id="rId203" Type="http://schemas.openxmlformats.org/officeDocument/2006/relationships/hyperlink" Target="mailto:Wannar@sena.co.th" TargetMode="External"/><Relationship Id="rId324" Type="http://schemas.openxmlformats.org/officeDocument/2006/relationships/hyperlink" Target="mailto:Krongsakm@sena.co.th" TargetMode="External"/><Relationship Id="rId445" Type="http://schemas.openxmlformats.org/officeDocument/2006/relationships/hyperlink" Target="mailto:sucheran@sena.co.th" TargetMode="External"/><Relationship Id="rId209" Type="http://schemas.openxmlformats.org/officeDocument/2006/relationships/hyperlink" Target="mailto:Thawichatt@sena.co.th" TargetMode="External"/><Relationship Id="rId208" Type="http://schemas.openxmlformats.org/officeDocument/2006/relationships/hyperlink" Target="mailto:Cholladaw@sena.co.th" TargetMode="External"/><Relationship Id="rId329" Type="http://schemas.openxmlformats.org/officeDocument/2006/relationships/hyperlink" Target="mailto:pattanank@senagreenautomotive.com" TargetMode="External"/><Relationship Id="rId207" Type="http://schemas.openxmlformats.org/officeDocument/2006/relationships/hyperlink" Target="mailto:Papapint@sena.co.th" TargetMode="External"/><Relationship Id="rId328" Type="http://schemas.openxmlformats.org/officeDocument/2006/relationships/hyperlink" Target="mailto:Pacharapolc@sena.co.th" TargetMode="External"/><Relationship Id="rId449" Type="http://schemas.openxmlformats.org/officeDocument/2006/relationships/hyperlink" Target="mailto:Ekkrishr@sena.co.th" TargetMode="External"/><Relationship Id="rId440" Type="http://schemas.openxmlformats.org/officeDocument/2006/relationships/hyperlink" Target="mailto:Wassanac@sena.co.th" TargetMode="External"/><Relationship Id="rId202" Type="http://schemas.openxmlformats.org/officeDocument/2006/relationships/hyperlink" Target="mailto:Wachirapornj@sena.co.th" TargetMode="External"/><Relationship Id="rId323" Type="http://schemas.openxmlformats.org/officeDocument/2006/relationships/hyperlink" Target="mailto:charlermpolc@sena.co.th" TargetMode="External"/><Relationship Id="rId444" Type="http://schemas.openxmlformats.org/officeDocument/2006/relationships/hyperlink" Target="mailto:Sukanyat@sena.co.th" TargetMode="External"/><Relationship Id="rId201" Type="http://schemas.openxmlformats.org/officeDocument/2006/relationships/hyperlink" Target="mailto:Latthisak@sena.co.th" TargetMode="External"/><Relationship Id="rId322" Type="http://schemas.openxmlformats.org/officeDocument/2006/relationships/hyperlink" Target="mailto:Tharayaj@sena.co.th" TargetMode="External"/><Relationship Id="rId443" Type="http://schemas.openxmlformats.org/officeDocument/2006/relationships/hyperlink" Target="mailto:Prapaphant@sena.co.th" TargetMode="External"/><Relationship Id="rId200" Type="http://schemas.openxmlformats.org/officeDocument/2006/relationships/hyperlink" Target="mailto:Supawan@sena.co.th" TargetMode="External"/><Relationship Id="rId321" Type="http://schemas.openxmlformats.org/officeDocument/2006/relationships/hyperlink" Target="mailto:manoppa@sena.co.th" TargetMode="External"/><Relationship Id="rId442" Type="http://schemas.openxmlformats.org/officeDocument/2006/relationships/hyperlink" Target="mailto:Sasamonc@sena.co.th" TargetMode="External"/><Relationship Id="rId320" Type="http://schemas.openxmlformats.org/officeDocument/2006/relationships/hyperlink" Target="mailto:Pornchanokt@sena.co.th" TargetMode="External"/><Relationship Id="rId441" Type="http://schemas.openxmlformats.org/officeDocument/2006/relationships/hyperlink" Target="mailto:Anothait@sena.co.th" TargetMode="External"/><Relationship Id="rId316" Type="http://schemas.openxmlformats.org/officeDocument/2006/relationships/hyperlink" Target="mailto:Jutapornr@sena.co.th" TargetMode="External"/><Relationship Id="rId437" Type="http://schemas.openxmlformats.org/officeDocument/2006/relationships/hyperlink" Target="mailto:Suchawadeet@sena.co.th" TargetMode="External"/><Relationship Id="rId315" Type="http://schemas.openxmlformats.org/officeDocument/2006/relationships/hyperlink" Target="mailto:Suphawadis@sena.co.th" TargetMode="External"/><Relationship Id="rId436" Type="http://schemas.openxmlformats.org/officeDocument/2006/relationships/hyperlink" Target="mailto:Salisak@sena.co.th" TargetMode="External"/><Relationship Id="rId314" Type="http://schemas.openxmlformats.org/officeDocument/2006/relationships/hyperlink" Target="mailto:Akechais@sena.co.th" TargetMode="External"/><Relationship Id="rId435" Type="http://schemas.openxmlformats.org/officeDocument/2006/relationships/hyperlink" Target="mailto:Natthichac@sena.co.th" TargetMode="External"/><Relationship Id="rId313" Type="http://schemas.openxmlformats.org/officeDocument/2006/relationships/hyperlink" Target="mailto:Teerapats@sena.co.th" TargetMode="External"/><Relationship Id="rId434" Type="http://schemas.openxmlformats.org/officeDocument/2006/relationships/hyperlink" Target="mailto:Issarapornt@sena.co.th" TargetMode="External"/><Relationship Id="rId319" Type="http://schemas.openxmlformats.org/officeDocument/2006/relationships/hyperlink" Target="mailto:Akarachn@sena.co.th" TargetMode="External"/><Relationship Id="rId318" Type="http://schemas.openxmlformats.org/officeDocument/2006/relationships/hyperlink" Target="mailto:Kittithatk@sena.co.th" TargetMode="External"/><Relationship Id="rId439" Type="http://schemas.openxmlformats.org/officeDocument/2006/relationships/hyperlink" Target="mailto:Napaparr@sena.co.th" TargetMode="External"/><Relationship Id="rId317" Type="http://schemas.openxmlformats.org/officeDocument/2006/relationships/hyperlink" Target="mailto:Pemikam@sena.co.th" TargetMode="External"/><Relationship Id="rId438" Type="http://schemas.openxmlformats.org/officeDocument/2006/relationships/hyperlink" Target="mailto:Luachaluckj@sena.co.th" TargetMode="External"/><Relationship Id="rId312" Type="http://schemas.openxmlformats.org/officeDocument/2006/relationships/hyperlink" Target="mailto:Kanokwank@sena.co.th" TargetMode="External"/><Relationship Id="rId433" Type="http://schemas.openxmlformats.org/officeDocument/2006/relationships/hyperlink" Target="mailto:Wannapornp@sena.co.th" TargetMode="External"/><Relationship Id="rId311" Type="http://schemas.openxmlformats.org/officeDocument/2006/relationships/hyperlink" Target="mailto:Kritsadac@sena.co.th" TargetMode="External"/><Relationship Id="rId432" Type="http://schemas.openxmlformats.org/officeDocument/2006/relationships/hyperlink" Target="mailto:Saranyapondp@sena.co.th" TargetMode="External"/><Relationship Id="rId310" Type="http://schemas.openxmlformats.org/officeDocument/2006/relationships/hyperlink" Target="mailto:Sakult@sena.co.th" TargetMode="External"/><Relationship Id="rId431" Type="http://schemas.openxmlformats.org/officeDocument/2006/relationships/hyperlink" Target="mailto:Supattraj@sena.co.th" TargetMode="External"/><Relationship Id="rId430" Type="http://schemas.openxmlformats.org/officeDocument/2006/relationships/hyperlink" Target="mailto:Sawitriw@sena.co.th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10.63"/>
    <col customWidth="1" min="3" max="3" width="22.88"/>
    <col customWidth="1" min="4" max="4" width="26.25"/>
    <col customWidth="1" min="5" max="5" width="38.63"/>
    <col customWidth="1" min="6" max="6" width="22.25"/>
    <col customWidth="1" min="7" max="7" width="12.88"/>
    <col customWidth="1" min="8" max="8" width="11.0"/>
    <col customWidth="1" min="9" max="9" width="16.88"/>
    <col customWidth="1" min="10" max="10" width="20.75"/>
    <col customWidth="1" min="11" max="11" width="16.5"/>
    <col customWidth="1" min="12" max="12" width="27.0"/>
    <col customWidth="1" min="13" max="13" width="46.75"/>
    <col customWidth="1" min="14" max="14" width="17.88"/>
    <col customWidth="1" min="15" max="15" width="16.5"/>
    <col customWidth="1" min="16" max="16" width="17.25"/>
  </cols>
  <sheetData>
    <row r="1" ht="38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2" t="s">
        <v>7</v>
      </c>
      <c r="I1" s="4" t="s">
        <v>8</v>
      </c>
      <c r="J1" s="3" t="s">
        <v>9</v>
      </c>
      <c r="K1" s="2" t="s">
        <v>10</v>
      </c>
      <c r="L1" s="5" t="s">
        <v>11</v>
      </c>
      <c r="M1" s="3" t="s">
        <v>12</v>
      </c>
      <c r="N1" s="6" t="s">
        <v>13</v>
      </c>
      <c r="O1" s="7" t="s">
        <v>14</v>
      </c>
      <c r="P1" s="7" t="s">
        <v>15</v>
      </c>
      <c r="Q1" s="8"/>
      <c r="R1" s="8"/>
      <c r="S1" s="8"/>
      <c r="T1" s="8"/>
      <c r="U1" s="8"/>
      <c r="V1" s="8"/>
      <c r="W1" s="8"/>
      <c r="X1" s="8"/>
      <c r="Y1" s="8"/>
    </row>
    <row r="2" ht="18.75" customHeight="1">
      <c r="A2" s="9">
        <v>838.0</v>
      </c>
      <c r="B2" s="10" t="s">
        <v>16</v>
      </c>
      <c r="C2" s="10" t="s">
        <v>17</v>
      </c>
      <c r="D2" s="10" t="s">
        <v>18</v>
      </c>
      <c r="E2" s="10" t="s">
        <v>19</v>
      </c>
      <c r="F2" s="11" t="s">
        <v>20</v>
      </c>
      <c r="G2" s="12"/>
      <c r="H2" s="13"/>
      <c r="I2" s="11" t="s">
        <v>21</v>
      </c>
      <c r="J2" s="11" t="s">
        <v>22</v>
      </c>
      <c r="K2" s="14"/>
      <c r="L2" s="11" t="s">
        <v>23</v>
      </c>
      <c r="M2" s="15"/>
      <c r="N2" s="16"/>
      <c r="O2" s="16"/>
      <c r="P2" s="16"/>
      <c r="Q2" s="17"/>
      <c r="R2" s="17"/>
      <c r="S2" s="17"/>
      <c r="T2" s="17"/>
      <c r="U2" s="17"/>
      <c r="V2" s="17"/>
      <c r="W2" s="17"/>
      <c r="X2" s="17"/>
      <c r="Y2" s="17"/>
    </row>
    <row r="3" ht="18.75" customHeight="1">
      <c r="A3" s="9">
        <v>898.0</v>
      </c>
      <c r="B3" s="11" t="s">
        <v>24</v>
      </c>
      <c r="C3" s="11" t="s">
        <v>24</v>
      </c>
      <c r="D3" s="11"/>
      <c r="E3" s="11"/>
      <c r="F3" s="11"/>
      <c r="G3" s="12"/>
      <c r="H3" s="12"/>
      <c r="I3" s="11" t="s">
        <v>25</v>
      </c>
      <c r="J3" s="11" t="s">
        <v>22</v>
      </c>
      <c r="K3" s="14"/>
      <c r="L3" s="11"/>
      <c r="M3" s="15"/>
      <c r="N3" s="16"/>
      <c r="O3" s="16"/>
      <c r="P3" s="16"/>
      <c r="Q3" s="17"/>
      <c r="R3" s="17"/>
      <c r="S3" s="17"/>
      <c r="T3" s="17"/>
      <c r="U3" s="17"/>
      <c r="V3" s="17"/>
      <c r="W3" s="17"/>
      <c r="X3" s="17"/>
      <c r="Y3" s="17"/>
    </row>
    <row r="4" ht="18.75" customHeight="1">
      <c r="A4" s="9">
        <v>1046.0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2">
        <v>46081.0</v>
      </c>
      <c r="H4" s="12">
        <v>46082.0</v>
      </c>
      <c r="I4" s="11" t="s">
        <v>25</v>
      </c>
      <c r="J4" s="11" t="s">
        <v>22</v>
      </c>
      <c r="K4" s="14" t="s">
        <v>31</v>
      </c>
      <c r="L4" s="11" t="s">
        <v>23</v>
      </c>
      <c r="M4" s="15"/>
      <c r="N4" s="16"/>
      <c r="O4" s="16"/>
      <c r="P4" s="16"/>
      <c r="Q4" s="17"/>
      <c r="R4" s="17"/>
      <c r="S4" s="17"/>
      <c r="T4" s="17"/>
      <c r="U4" s="17"/>
      <c r="V4" s="17"/>
      <c r="W4" s="17"/>
      <c r="X4" s="17"/>
      <c r="Y4" s="17"/>
    </row>
    <row r="5" ht="18.75" customHeight="1">
      <c r="A5" s="9">
        <v>1079.0</v>
      </c>
      <c r="B5" s="11" t="s">
        <v>32</v>
      </c>
      <c r="C5" s="11" t="s">
        <v>33</v>
      </c>
      <c r="D5" s="11" t="s">
        <v>34</v>
      </c>
      <c r="E5" s="11" t="s">
        <v>35</v>
      </c>
      <c r="F5" s="11" t="s">
        <v>36</v>
      </c>
      <c r="G5" s="13">
        <v>46022.0</v>
      </c>
      <c r="H5" s="13">
        <v>46023.0</v>
      </c>
      <c r="I5" s="11" t="s">
        <v>25</v>
      </c>
      <c r="J5" s="11" t="s">
        <v>37</v>
      </c>
      <c r="K5" s="14" t="s">
        <v>31</v>
      </c>
      <c r="L5" s="11" t="s">
        <v>38</v>
      </c>
      <c r="M5" s="15"/>
      <c r="N5" s="16"/>
      <c r="O5" s="16"/>
      <c r="P5" s="16"/>
      <c r="Q5" s="17"/>
      <c r="R5" s="17"/>
      <c r="S5" s="17"/>
      <c r="T5" s="17"/>
      <c r="U5" s="17"/>
      <c r="V5" s="17"/>
      <c r="W5" s="17"/>
      <c r="X5" s="17"/>
      <c r="Y5" s="17"/>
    </row>
    <row r="6" ht="18.75" customHeight="1">
      <c r="A6" s="9">
        <v>1082.0</v>
      </c>
      <c r="B6" s="11" t="s">
        <v>39</v>
      </c>
      <c r="C6" s="11"/>
      <c r="D6" s="11"/>
      <c r="E6" s="11"/>
      <c r="F6" s="11"/>
      <c r="G6" s="12"/>
      <c r="H6" s="13"/>
      <c r="I6" s="11" t="s">
        <v>21</v>
      </c>
      <c r="J6" s="11"/>
      <c r="K6" s="14"/>
      <c r="L6" s="11"/>
      <c r="M6" s="15"/>
      <c r="N6" s="16"/>
      <c r="O6" s="16"/>
      <c r="P6" s="16"/>
      <c r="Q6" s="17"/>
      <c r="R6" s="17"/>
      <c r="S6" s="17"/>
      <c r="T6" s="17"/>
      <c r="U6" s="17"/>
      <c r="V6" s="17"/>
      <c r="W6" s="17"/>
      <c r="X6" s="17"/>
      <c r="Y6" s="17"/>
    </row>
    <row r="7" ht="18.75" customHeight="1">
      <c r="A7" s="9">
        <v>1092.0</v>
      </c>
      <c r="B7" s="11" t="s">
        <v>40</v>
      </c>
      <c r="C7" s="11" t="s">
        <v>41</v>
      </c>
      <c r="D7" s="11" t="s">
        <v>42</v>
      </c>
      <c r="E7" s="11" t="s">
        <v>43</v>
      </c>
      <c r="F7" s="11" t="s">
        <v>44</v>
      </c>
      <c r="G7" s="13">
        <v>46022.0</v>
      </c>
      <c r="H7" s="13">
        <v>46023.0</v>
      </c>
      <c r="I7" s="11" t="s">
        <v>21</v>
      </c>
      <c r="J7" s="11" t="s">
        <v>22</v>
      </c>
      <c r="K7" s="14"/>
      <c r="L7" s="11"/>
      <c r="M7" s="15"/>
      <c r="N7" s="16"/>
      <c r="O7" s="16"/>
      <c r="P7" s="16"/>
      <c r="Q7" s="17"/>
      <c r="R7" s="17"/>
      <c r="S7" s="17"/>
      <c r="T7" s="17"/>
      <c r="U7" s="17"/>
      <c r="V7" s="17"/>
      <c r="W7" s="17"/>
      <c r="X7" s="17"/>
      <c r="Y7" s="17"/>
    </row>
    <row r="8" ht="18.75" customHeight="1">
      <c r="A8" s="9">
        <v>1101.0</v>
      </c>
      <c r="B8" s="11" t="s">
        <v>45</v>
      </c>
      <c r="C8" s="11" t="s">
        <v>46</v>
      </c>
      <c r="D8" s="11" t="s">
        <v>47</v>
      </c>
      <c r="E8" s="11" t="s">
        <v>48</v>
      </c>
      <c r="F8" s="11" t="s">
        <v>49</v>
      </c>
      <c r="G8" s="13">
        <v>46022.0</v>
      </c>
      <c r="H8" s="13">
        <v>46023.0</v>
      </c>
      <c r="I8" s="11" t="s">
        <v>25</v>
      </c>
      <c r="J8" s="11" t="s">
        <v>37</v>
      </c>
      <c r="K8" s="14" t="s">
        <v>31</v>
      </c>
      <c r="L8" s="11" t="s">
        <v>50</v>
      </c>
      <c r="M8" s="15"/>
      <c r="N8" s="16"/>
      <c r="O8" s="16"/>
      <c r="P8" s="16"/>
      <c r="Q8" s="17"/>
      <c r="R8" s="17"/>
      <c r="S8" s="17"/>
      <c r="T8" s="17"/>
      <c r="U8" s="17"/>
      <c r="V8" s="17"/>
      <c r="W8" s="17"/>
      <c r="X8" s="17"/>
      <c r="Y8" s="17"/>
    </row>
    <row r="9" ht="18.75" customHeight="1">
      <c r="A9" s="9">
        <v>1130.0</v>
      </c>
      <c r="B9" s="11" t="s">
        <v>51</v>
      </c>
      <c r="C9" s="11" t="s">
        <v>52</v>
      </c>
      <c r="D9" s="11" t="s">
        <v>53</v>
      </c>
      <c r="E9" s="11" t="s">
        <v>54</v>
      </c>
      <c r="F9" s="11" t="s">
        <v>55</v>
      </c>
      <c r="G9" s="12">
        <v>46022.0</v>
      </c>
      <c r="H9" s="12">
        <v>46023.0</v>
      </c>
      <c r="I9" s="11" t="s">
        <v>25</v>
      </c>
      <c r="J9" s="11" t="s">
        <v>37</v>
      </c>
      <c r="K9" s="14" t="s">
        <v>31</v>
      </c>
      <c r="L9" s="11" t="s">
        <v>38</v>
      </c>
      <c r="M9" s="11" t="s">
        <v>56</v>
      </c>
      <c r="N9" s="16"/>
      <c r="O9" s="16"/>
      <c r="P9" s="16"/>
      <c r="Q9" s="17"/>
      <c r="R9" s="17"/>
      <c r="S9" s="17"/>
      <c r="T9" s="17"/>
      <c r="U9" s="17"/>
      <c r="V9" s="17"/>
      <c r="W9" s="17"/>
      <c r="X9" s="17"/>
      <c r="Y9" s="17"/>
    </row>
    <row r="10" ht="18.75" customHeight="1">
      <c r="A10" s="9">
        <v>1131.0</v>
      </c>
      <c r="B10" s="11" t="s">
        <v>57</v>
      </c>
      <c r="C10" s="11" t="s">
        <v>58</v>
      </c>
      <c r="D10" s="11" t="s">
        <v>59</v>
      </c>
      <c r="E10" s="11" t="s">
        <v>60</v>
      </c>
      <c r="F10" s="11" t="s">
        <v>61</v>
      </c>
      <c r="G10" s="12">
        <v>46022.0</v>
      </c>
      <c r="H10" s="12">
        <v>46023.0</v>
      </c>
      <c r="I10" s="11" t="s">
        <v>25</v>
      </c>
      <c r="J10" s="11" t="s">
        <v>37</v>
      </c>
      <c r="K10" s="14" t="s">
        <v>31</v>
      </c>
      <c r="L10" s="11" t="s">
        <v>62</v>
      </c>
      <c r="M10" s="15"/>
      <c r="N10" s="16"/>
      <c r="O10" s="16"/>
      <c r="P10" s="16"/>
      <c r="Q10" s="17"/>
      <c r="R10" s="17"/>
      <c r="S10" s="17"/>
      <c r="T10" s="17"/>
      <c r="U10" s="17"/>
      <c r="V10" s="17"/>
      <c r="W10" s="17"/>
      <c r="X10" s="17"/>
      <c r="Y10" s="17"/>
    </row>
    <row r="11" ht="18.75" customHeight="1">
      <c r="A11" s="9">
        <v>1142.0</v>
      </c>
      <c r="B11" s="11" t="s">
        <v>63</v>
      </c>
      <c r="C11" s="11" t="s">
        <v>64</v>
      </c>
      <c r="D11" s="11" t="s">
        <v>65</v>
      </c>
      <c r="E11" s="11" t="s">
        <v>66</v>
      </c>
      <c r="F11" s="11" t="s">
        <v>67</v>
      </c>
      <c r="G11" s="12">
        <v>46022.0</v>
      </c>
      <c r="H11" s="12">
        <v>46023.0</v>
      </c>
      <c r="I11" s="11" t="s">
        <v>25</v>
      </c>
      <c r="J11" s="11" t="s">
        <v>37</v>
      </c>
      <c r="K11" s="14" t="s">
        <v>31</v>
      </c>
      <c r="L11" s="11" t="s">
        <v>68</v>
      </c>
      <c r="M11" s="15"/>
      <c r="N11" s="16"/>
      <c r="O11" s="16"/>
      <c r="P11" s="16"/>
      <c r="Q11" s="17"/>
      <c r="R11" s="17"/>
      <c r="S11" s="17"/>
      <c r="T11" s="17"/>
      <c r="U11" s="17"/>
      <c r="V11" s="17"/>
      <c r="W11" s="17"/>
      <c r="X11" s="17"/>
      <c r="Y11" s="17"/>
    </row>
    <row r="12" ht="18.75" customHeight="1">
      <c r="A12" s="9">
        <v>1143.0</v>
      </c>
      <c r="B12" s="11" t="s">
        <v>69</v>
      </c>
      <c r="C12" s="11" t="s">
        <v>70</v>
      </c>
      <c r="D12" s="11" t="s">
        <v>71</v>
      </c>
      <c r="E12" s="11" t="s">
        <v>72</v>
      </c>
      <c r="F12" s="11" t="s">
        <v>73</v>
      </c>
      <c r="G12" s="12">
        <v>46022.0</v>
      </c>
      <c r="H12" s="12">
        <v>46023.0</v>
      </c>
      <c r="I12" s="11" t="s">
        <v>25</v>
      </c>
      <c r="J12" s="11" t="s">
        <v>37</v>
      </c>
      <c r="K12" s="14" t="s">
        <v>31</v>
      </c>
      <c r="L12" s="11" t="s">
        <v>74</v>
      </c>
      <c r="M12" s="11" t="s">
        <v>75</v>
      </c>
      <c r="N12" s="16"/>
      <c r="O12" s="16"/>
      <c r="P12" s="16"/>
      <c r="Q12" s="17"/>
      <c r="R12" s="17"/>
      <c r="S12" s="17"/>
      <c r="T12" s="17"/>
      <c r="U12" s="17"/>
      <c r="V12" s="17"/>
      <c r="W12" s="17"/>
      <c r="X12" s="17"/>
      <c r="Y12" s="17"/>
    </row>
    <row r="13" ht="18.75" customHeight="1">
      <c r="A13" s="9">
        <v>1144.0</v>
      </c>
      <c r="B13" s="11" t="s">
        <v>76</v>
      </c>
      <c r="C13" s="11" t="s">
        <v>77</v>
      </c>
      <c r="D13" s="11" t="s">
        <v>78</v>
      </c>
      <c r="E13" s="11" t="s">
        <v>79</v>
      </c>
      <c r="F13" s="11" t="s">
        <v>80</v>
      </c>
      <c r="G13" s="12">
        <v>46022.0</v>
      </c>
      <c r="H13" s="13">
        <v>46023.0</v>
      </c>
      <c r="I13" s="11" t="s">
        <v>25</v>
      </c>
      <c r="J13" s="11" t="s">
        <v>37</v>
      </c>
      <c r="K13" s="14" t="s">
        <v>31</v>
      </c>
      <c r="L13" s="11" t="s">
        <v>62</v>
      </c>
      <c r="M13" s="11" t="s">
        <v>81</v>
      </c>
      <c r="N13" s="16"/>
      <c r="O13" s="16"/>
      <c r="P13" s="16"/>
      <c r="Q13" s="17"/>
      <c r="R13" s="17"/>
      <c r="S13" s="17"/>
      <c r="T13" s="17"/>
      <c r="U13" s="17"/>
      <c r="V13" s="17"/>
      <c r="W13" s="17"/>
      <c r="X13" s="17"/>
      <c r="Y13" s="17"/>
    </row>
    <row r="14" ht="18.75" customHeight="1">
      <c r="A14" s="9">
        <v>1145.0</v>
      </c>
      <c r="B14" s="11" t="s">
        <v>82</v>
      </c>
      <c r="C14" s="11" t="s">
        <v>83</v>
      </c>
      <c r="D14" s="11" t="s">
        <v>59</v>
      </c>
      <c r="E14" s="11" t="s">
        <v>84</v>
      </c>
      <c r="F14" s="11" t="s">
        <v>85</v>
      </c>
      <c r="G14" s="12">
        <v>46022.0</v>
      </c>
      <c r="H14" s="13">
        <v>46023.0</v>
      </c>
      <c r="I14" s="11" t="s">
        <v>25</v>
      </c>
      <c r="J14" s="11" t="s">
        <v>37</v>
      </c>
      <c r="K14" s="14" t="s">
        <v>31</v>
      </c>
      <c r="L14" s="11" t="s">
        <v>86</v>
      </c>
      <c r="M14" s="15"/>
      <c r="N14" s="16"/>
      <c r="O14" s="16"/>
      <c r="P14" s="16"/>
      <c r="Q14" s="17"/>
      <c r="R14" s="17"/>
      <c r="S14" s="17"/>
      <c r="T14" s="17"/>
      <c r="U14" s="17"/>
      <c r="V14" s="17"/>
      <c r="W14" s="17"/>
      <c r="X14" s="17"/>
      <c r="Y14" s="17"/>
    </row>
    <row r="15" ht="18.75" customHeight="1">
      <c r="A15" s="9">
        <v>1148.0</v>
      </c>
      <c r="B15" s="11" t="s">
        <v>87</v>
      </c>
      <c r="C15" s="11" t="s">
        <v>88</v>
      </c>
      <c r="D15" s="11" t="s">
        <v>89</v>
      </c>
      <c r="E15" s="11" t="s">
        <v>90</v>
      </c>
      <c r="F15" s="11" t="s">
        <v>91</v>
      </c>
      <c r="G15" s="12">
        <v>46142.0</v>
      </c>
      <c r="H15" s="12">
        <v>46143.0</v>
      </c>
      <c r="I15" s="11" t="s">
        <v>25</v>
      </c>
      <c r="J15" s="11" t="s">
        <v>37</v>
      </c>
      <c r="K15" s="14" t="s">
        <v>31</v>
      </c>
      <c r="L15" s="11" t="s">
        <v>62</v>
      </c>
      <c r="M15" s="15"/>
      <c r="N15" s="16"/>
      <c r="O15" s="16"/>
      <c r="P15" s="16"/>
      <c r="Q15" s="17"/>
      <c r="R15" s="17"/>
      <c r="S15" s="17"/>
      <c r="T15" s="17"/>
      <c r="U15" s="17"/>
      <c r="V15" s="17"/>
      <c r="W15" s="17"/>
      <c r="X15" s="17"/>
      <c r="Y15" s="17"/>
    </row>
    <row r="16" ht="18.75" customHeight="1">
      <c r="A16" s="9">
        <v>1151.0</v>
      </c>
      <c r="B16" s="11" t="s">
        <v>92</v>
      </c>
      <c r="C16" s="11" t="s">
        <v>93</v>
      </c>
      <c r="D16" s="11" t="s">
        <v>94</v>
      </c>
      <c r="E16" s="11" t="s">
        <v>95</v>
      </c>
      <c r="F16" s="11" t="s">
        <v>96</v>
      </c>
      <c r="G16" s="12">
        <v>46022.0</v>
      </c>
      <c r="H16" s="13">
        <v>46023.0</v>
      </c>
      <c r="I16" s="11" t="s">
        <v>25</v>
      </c>
      <c r="J16" s="11" t="s">
        <v>37</v>
      </c>
      <c r="K16" s="14" t="s">
        <v>31</v>
      </c>
      <c r="L16" s="11" t="s">
        <v>97</v>
      </c>
      <c r="M16" s="11" t="s">
        <v>98</v>
      </c>
      <c r="N16" s="16"/>
      <c r="O16" s="16"/>
      <c r="P16" s="16"/>
      <c r="Q16" s="17"/>
      <c r="R16" s="17"/>
      <c r="S16" s="17"/>
      <c r="T16" s="17"/>
      <c r="U16" s="17"/>
      <c r="V16" s="17"/>
      <c r="W16" s="17"/>
      <c r="X16" s="17"/>
      <c r="Y16" s="17"/>
    </row>
    <row r="17" ht="18.75" customHeight="1">
      <c r="A17" s="9">
        <v>1153.0</v>
      </c>
      <c r="B17" s="11" t="s">
        <v>99</v>
      </c>
      <c r="C17" s="11" t="s">
        <v>100</v>
      </c>
      <c r="D17" s="11" t="s">
        <v>101</v>
      </c>
      <c r="E17" s="11" t="s">
        <v>102</v>
      </c>
      <c r="F17" s="11" t="s">
        <v>103</v>
      </c>
      <c r="G17" s="12">
        <v>46022.0</v>
      </c>
      <c r="H17" s="13">
        <v>46023.0</v>
      </c>
      <c r="I17" s="11" t="s">
        <v>25</v>
      </c>
      <c r="J17" s="11" t="s">
        <v>37</v>
      </c>
      <c r="K17" s="14" t="s">
        <v>31</v>
      </c>
      <c r="L17" s="11" t="s">
        <v>62</v>
      </c>
      <c r="M17" s="11" t="s">
        <v>104</v>
      </c>
      <c r="N17" s="16"/>
      <c r="O17" s="16"/>
      <c r="P17" s="16"/>
      <c r="Q17" s="17"/>
      <c r="R17" s="17"/>
      <c r="S17" s="17"/>
      <c r="T17" s="17"/>
      <c r="U17" s="17"/>
      <c r="V17" s="17"/>
      <c r="W17" s="17"/>
      <c r="X17" s="17"/>
      <c r="Y17" s="17"/>
    </row>
    <row r="18" ht="18.75" customHeight="1">
      <c r="A18" s="9">
        <v>1154.0</v>
      </c>
      <c r="B18" s="11" t="s">
        <v>105</v>
      </c>
      <c r="C18" s="11" t="s">
        <v>106</v>
      </c>
      <c r="D18" s="11" t="s">
        <v>71</v>
      </c>
      <c r="E18" s="11" t="s">
        <v>72</v>
      </c>
      <c r="F18" s="11" t="s">
        <v>107</v>
      </c>
      <c r="G18" s="12">
        <v>46022.0</v>
      </c>
      <c r="H18" s="13">
        <v>46023.0</v>
      </c>
      <c r="I18" s="11" t="s">
        <v>25</v>
      </c>
      <c r="J18" s="11" t="s">
        <v>37</v>
      </c>
      <c r="K18" s="14" t="s">
        <v>31</v>
      </c>
      <c r="L18" s="11" t="s">
        <v>74</v>
      </c>
      <c r="M18" s="11" t="s">
        <v>75</v>
      </c>
      <c r="N18" s="16"/>
      <c r="O18" s="16"/>
      <c r="P18" s="16"/>
      <c r="Q18" s="17"/>
      <c r="R18" s="17"/>
      <c r="S18" s="17"/>
      <c r="T18" s="17"/>
      <c r="U18" s="17"/>
      <c r="V18" s="17"/>
      <c r="W18" s="17"/>
      <c r="X18" s="17"/>
      <c r="Y18" s="17"/>
    </row>
    <row r="19" ht="18.75" customHeight="1">
      <c r="A19" s="9">
        <v>1159.0</v>
      </c>
      <c r="B19" s="11" t="s">
        <v>108</v>
      </c>
      <c r="C19" s="11" t="s">
        <v>109</v>
      </c>
      <c r="D19" s="11" t="s">
        <v>110</v>
      </c>
      <c r="E19" s="11" t="s">
        <v>111</v>
      </c>
      <c r="F19" s="11" t="s">
        <v>112</v>
      </c>
      <c r="G19" s="12">
        <v>46022.0</v>
      </c>
      <c r="H19" s="13">
        <v>46023.0</v>
      </c>
      <c r="I19" s="11" t="s">
        <v>25</v>
      </c>
      <c r="J19" s="11" t="s">
        <v>37</v>
      </c>
      <c r="K19" s="14" t="s">
        <v>31</v>
      </c>
      <c r="L19" s="11" t="s">
        <v>97</v>
      </c>
      <c r="M19" s="11" t="s">
        <v>113</v>
      </c>
      <c r="N19" s="16"/>
      <c r="O19" s="16"/>
      <c r="P19" s="16"/>
      <c r="Q19" s="17"/>
      <c r="R19" s="17"/>
      <c r="S19" s="17"/>
      <c r="T19" s="17"/>
      <c r="U19" s="17"/>
      <c r="V19" s="17"/>
      <c r="W19" s="17"/>
      <c r="X19" s="17"/>
      <c r="Y19" s="17"/>
    </row>
    <row r="20" ht="18.75" customHeight="1">
      <c r="A20" s="9">
        <v>1160.0</v>
      </c>
      <c r="B20" s="11" t="s">
        <v>114</v>
      </c>
      <c r="C20" s="11" t="s">
        <v>115</v>
      </c>
      <c r="D20" s="11" t="s">
        <v>116</v>
      </c>
      <c r="E20" s="11" t="s">
        <v>117</v>
      </c>
      <c r="F20" s="11" t="s">
        <v>118</v>
      </c>
      <c r="G20" s="13">
        <v>46022.0</v>
      </c>
      <c r="H20" s="13">
        <v>46023.0</v>
      </c>
      <c r="I20" s="11" t="s">
        <v>119</v>
      </c>
      <c r="J20" s="11" t="s">
        <v>37</v>
      </c>
      <c r="K20" s="14" t="s">
        <v>31</v>
      </c>
      <c r="L20" s="11"/>
      <c r="M20" s="15"/>
      <c r="N20" s="16"/>
      <c r="O20" s="16"/>
      <c r="P20" s="16"/>
      <c r="Q20" s="17"/>
      <c r="R20" s="17"/>
      <c r="S20" s="17"/>
      <c r="T20" s="17"/>
      <c r="U20" s="17"/>
      <c r="V20" s="17"/>
      <c r="W20" s="17"/>
      <c r="X20" s="17"/>
      <c r="Y20" s="17"/>
    </row>
    <row r="21" ht="18.75" customHeight="1">
      <c r="A21" s="9">
        <v>1162.0</v>
      </c>
      <c r="B21" s="11" t="s">
        <v>120</v>
      </c>
      <c r="C21" s="11" t="s">
        <v>121</v>
      </c>
      <c r="D21" s="11" t="s">
        <v>122</v>
      </c>
      <c r="E21" s="11" t="s">
        <v>123</v>
      </c>
      <c r="F21" s="11" t="s">
        <v>124</v>
      </c>
      <c r="G21" s="12">
        <v>46022.0</v>
      </c>
      <c r="H21" s="13">
        <v>46023.0</v>
      </c>
      <c r="I21" s="11" t="s">
        <v>119</v>
      </c>
      <c r="J21" s="11" t="s">
        <v>37</v>
      </c>
      <c r="K21" s="14" t="s">
        <v>31</v>
      </c>
      <c r="L21" s="11" t="s">
        <v>97</v>
      </c>
      <c r="M21" s="11" t="s">
        <v>125</v>
      </c>
      <c r="N21" s="16"/>
      <c r="O21" s="16"/>
      <c r="P21" s="16"/>
      <c r="Q21" s="17"/>
      <c r="R21" s="17"/>
      <c r="S21" s="17"/>
      <c r="T21" s="17"/>
      <c r="U21" s="17"/>
      <c r="V21" s="17"/>
      <c r="W21" s="17"/>
      <c r="X21" s="17"/>
      <c r="Y21" s="17"/>
    </row>
    <row r="22" ht="18.75" customHeight="1">
      <c r="A22" s="9">
        <v>1165.0</v>
      </c>
      <c r="B22" s="11" t="s">
        <v>126</v>
      </c>
      <c r="C22" s="11" t="s">
        <v>127</v>
      </c>
      <c r="D22" s="11" t="s">
        <v>128</v>
      </c>
      <c r="E22" s="11" t="s">
        <v>129</v>
      </c>
      <c r="F22" s="11" t="s">
        <v>130</v>
      </c>
      <c r="G22" s="12">
        <v>46022.0</v>
      </c>
      <c r="H22" s="13">
        <v>46023.0</v>
      </c>
      <c r="I22" s="11" t="s">
        <v>119</v>
      </c>
      <c r="J22" s="11" t="s">
        <v>37</v>
      </c>
      <c r="K22" s="14" t="s">
        <v>31</v>
      </c>
      <c r="L22" s="11" t="s">
        <v>62</v>
      </c>
      <c r="M22" s="11" t="s">
        <v>131</v>
      </c>
      <c r="N22" s="16"/>
      <c r="O22" s="16"/>
      <c r="P22" s="16"/>
      <c r="Q22" s="17"/>
      <c r="R22" s="17"/>
      <c r="S22" s="17"/>
      <c r="T22" s="17"/>
      <c r="U22" s="17"/>
      <c r="V22" s="17"/>
      <c r="W22" s="17"/>
      <c r="X22" s="17"/>
      <c r="Y22" s="17"/>
    </row>
    <row r="23" ht="18.75" customHeight="1">
      <c r="A23" s="9">
        <v>1166.0</v>
      </c>
      <c r="B23" s="11" t="s">
        <v>132</v>
      </c>
      <c r="C23" s="11" t="s">
        <v>133</v>
      </c>
      <c r="D23" s="11" t="s">
        <v>122</v>
      </c>
      <c r="E23" s="11" t="s">
        <v>134</v>
      </c>
      <c r="F23" s="11" t="s">
        <v>135</v>
      </c>
      <c r="G23" s="12">
        <v>46022.0</v>
      </c>
      <c r="H23" s="13">
        <v>46023.0</v>
      </c>
      <c r="I23" s="11" t="s">
        <v>25</v>
      </c>
      <c r="J23" s="11" t="s">
        <v>37</v>
      </c>
      <c r="K23" s="14" t="s">
        <v>31</v>
      </c>
      <c r="L23" s="11" t="s">
        <v>62</v>
      </c>
      <c r="M23" s="11" t="s">
        <v>136</v>
      </c>
      <c r="N23" s="16"/>
      <c r="O23" s="16"/>
      <c r="P23" s="16"/>
      <c r="Q23" s="17"/>
      <c r="R23" s="17"/>
      <c r="S23" s="17"/>
      <c r="T23" s="17"/>
      <c r="U23" s="17"/>
      <c r="V23" s="17"/>
      <c r="W23" s="17"/>
      <c r="X23" s="17"/>
      <c r="Y23" s="17"/>
    </row>
    <row r="24" ht="18.75" customHeight="1">
      <c r="A24" s="9">
        <v>1168.0</v>
      </c>
      <c r="B24" s="11" t="s">
        <v>137</v>
      </c>
      <c r="C24" s="11" t="s">
        <v>138</v>
      </c>
      <c r="D24" s="11" t="s">
        <v>122</v>
      </c>
      <c r="E24" s="11" t="s">
        <v>139</v>
      </c>
      <c r="F24" s="11" t="s">
        <v>140</v>
      </c>
      <c r="G24" s="12">
        <v>46022.0</v>
      </c>
      <c r="H24" s="13">
        <v>46023.0</v>
      </c>
      <c r="I24" s="11" t="s">
        <v>25</v>
      </c>
      <c r="J24" s="11"/>
      <c r="K24" s="14" t="s">
        <v>31</v>
      </c>
      <c r="L24" s="11"/>
      <c r="M24" s="15"/>
      <c r="N24" s="16"/>
      <c r="O24" s="16"/>
      <c r="P24" s="16"/>
      <c r="Q24" s="17"/>
      <c r="R24" s="17"/>
      <c r="S24" s="17"/>
      <c r="T24" s="17"/>
      <c r="U24" s="17"/>
      <c r="V24" s="17"/>
      <c r="W24" s="17"/>
      <c r="X24" s="17"/>
      <c r="Y24" s="17"/>
    </row>
    <row r="25" ht="18.75" customHeight="1">
      <c r="A25" s="9">
        <v>1172.0</v>
      </c>
      <c r="B25" s="11" t="s">
        <v>141</v>
      </c>
      <c r="C25" s="11" t="s">
        <v>142</v>
      </c>
      <c r="D25" s="11" t="s">
        <v>122</v>
      </c>
      <c r="E25" s="11" t="s">
        <v>143</v>
      </c>
      <c r="F25" s="11" t="s">
        <v>144</v>
      </c>
      <c r="G25" s="12">
        <v>46022.0</v>
      </c>
      <c r="H25" s="13">
        <v>46023.0</v>
      </c>
      <c r="I25" s="11" t="s">
        <v>119</v>
      </c>
      <c r="J25" s="11" t="s">
        <v>37</v>
      </c>
      <c r="K25" s="14" t="s">
        <v>31</v>
      </c>
      <c r="L25" s="11" t="s">
        <v>97</v>
      </c>
      <c r="M25" s="11" t="s">
        <v>145</v>
      </c>
      <c r="N25" s="16"/>
      <c r="O25" s="16"/>
      <c r="P25" s="16"/>
      <c r="Q25" s="17"/>
      <c r="R25" s="17"/>
      <c r="S25" s="17"/>
      <c r="T25" s="17"/>
      <c r="U25" s="17"/>
      <c r="V25" s="17"/>
      <c r="W25" s="17"/>
      <c r="X25" s="17"/>
      <c r="Y25" s="17"/>
    </row>
    <row r="26" ht="18.75" customHeight="1">
      <c r="A26" s="9">
        <v>1173.0</v>
      </c>
      <c r="B26" s="11" t="s">
        <v>146</v>
      </c>
      <c r="C26" s="11" t="s">
        <v>147</v>
      </c>
      <c r="D26" s="11" t="s">
        <v>122</v>
      </c>
      <c r="E26" s="11" t="s">
        <v>148</v>
      </c>
      <c r="F26" s="11" t="s">
        <v>149</v>
      </c>
      <c r="G26" s="13">
        <v>46030.0</v>
      </c>
      <c r="H26" s="13">
        <v>46031.0</v>
      </c>
      <c r="I26" s="11" t="s">
        <v>21</v>
      </c>
      <c r="J26" s="11"/>
      <c r="K26" s="14"/>
      <c r="L26" s="11"/>
      <c r="M26" s="11" t="s">
        <v>150</v>
      </c>
      <c r="N26" s="16"/>
      <c r="O26" s="16"/>
      <c r="P26" s="16"/>
      <c r="Q26" s="17"/>
      <c r="R26" s="17"/>
      <c r="S26" s="17"/>
      <c r="T26" s="17"/>
      <c r="U26" s="17"/>
      <c r="V26" s="17"/>
      <c r="W26" s="17"/>
      <c r="X26" s="17"/>
      <c r="Y26" s="17"/>
    </row>
    <row r="27" ht="18.75" customHeight="1">
      <c r="A27" s="9">
        <v>1178.0</v>
      </c>
      <c r="B27" s="11" t="s">
        <v>151</v>
      </c>
      <c r="C27" s="11" t="s">
        <v>152</v>
      </c>
      <c r="D27" s="11" t="s">
        <v>153</v>
      </c>
      <c r="E27" s="11" t="s">
        <v>154</v>
      </c>
      <c r="F27" s="11" t="s">
        <v>155</v>
      </c>
      <c r="G27" s="13">
        <v>46053.0</v>
      </c>
      <c r="H27" s="13">
        <v>46054.0</v>
      </c>
      <c r="I27" s="11" t="s">
        <v>25</v>
      </c>
      <c r="J27" s="11" t="s">
        <v>37</v>
      </c>
      <c r="K27" s="14" t="s">
        <v>31</v>
      </c>
      <c r="L27" s="11" t="s">
        <v>50</v>
      </c>
      <c r="M27" s="15"/>
      <c r="N27" s="16"/>
      <c r="O27" s="16"/>
      <c r="P27" s="16"/>
      <c r="Q27" s="17"/>
      <c r="R27" s="17"/>
      <c r="S27" s="17"/>
      <c r="T27" s="17"/>
      <c r="U27" s="17"/>
      <c r="V27" s="17"/>
      <c r="W27" s="17"/>
      <c r="X27" s="17"/>
      <c r="Y27" s="17"/>
    </row>
    <row r="28" ht="18.75" customHeight="1">
      <c r="A28" s="9">
        <v>1179.0</v>
      </c>
      <c r="B28" s="11" t="s">
        <v>156</v>
      </c>
      <c r="C28" s="11" t="s">
        <v>157</v>
      </c>
      <c r="D28" s="11" t="s">
        <v>122</v>
      </c>
      <c r="E28" s="11" t="s">
        <v>158</v>
      </c>
      <c r="F28" s="11" t="s">
        <v>159</v>
      </c>
      <c r="G28" s="13">
        <v>46037.0</v>
      </c>
      <c r="H28" s="13">
        <v>46038.0</v>
      </c>
      <c r="I28" s="11" t="s">
        <v>25</v>
      </c>
      <c r="J28" s="11" t="s">
        <v>37</v>
      </c>
      <c r="K28" s="14" t="s">
        <v>31</v>
      </c>
      <c r="L28" s="11" t="s">
        <v>62</v>
      </c>
      <c r="M28" s="11" t="s">
        <v>160</v>
      </c>
      <c r="N28" s="16"/>
      <c r="O28" s="16"/>
      <c r="P28" s="16"/>
      <c r="Q28" s="17"/>
      <c r="R28" s="17"/>
      <c r="S28" s="17"/>
      <c r="T28" s="17"/>
      <c r="U28" s="17"/>
      <c r="V28" s="17"/>
      <c r="W28" s="17"/>
      <c r="X28" s="17"/>
      <c r="Y28" s="17"/>
    </row>
    <row r="29" ht="18.75" customHeight="1">
      <c r="A29" s="9">
        <v>1180.0</v>
      </c>
      <c r="B29" s="11" t="s">
        <v>161</v>
      </c>
      <c r="C29" s="11" t="s">
        <v>162</v>
      </c>
      <c r="D29" s="11" t="s">
        <v>94</v>
      </c>
      <c r="E29" s="11" t="s">
        <v>163</v>
      </c>
      <c r="F29" s="11" t="s">
        <v>164</v>
      </c>
      <c r="G29" s="13">
        <v>46037.0</v>
      </c>
      <c r="H29" s="13">
        <v>46038.0</v>
      </c>
      <c r="I29" s="11" t="s">
        <v>25</v>
      </c>
      <c r="J29" s="11" t="s">
        <v>37</v>
      </c>
      <c r="K29" s="14" t="s">
        <v>31</v>
      </c>
      <c r="L29" s="11" t="s">
        <v>38</v>
      </c>
      <c r="M29" s="11" t="s">
        <v>165</v>
      </c>
      <c r="N29" s="16"/>
      <c r="O29" s="16"/>
      <c r="P29" s="16"/>
      <c r="Q29" s="17"/>
      <c r="R29" s="17"/>
      <c r="S29" s="17"/>
      <c r="T29" s="17"/>
      <c r="U29" s="17"/>
      <c r="V29" s="17"/>
      <c r="W29" s="17"/>
      <c r="X29" s="17"/>
      <c r="Y29" s="17"/>
    </row>
    <row r="30" ht="18.75" customHeight="1">
      <c r="A30" s="9">
        <v>1181.0</v>
      </c>
      <c r="B30" s="11" t="s">
        <v>166</v>
      </c>
      <c r="C30" s="11" t="s">
        <v>167</v>
      </c>
      <c r="D30" s="11" t="s">
        <v>59</v>
      </c>
      <c r="E30" s="11" t="s">
        <v>168</v>
      </c>
      <c r="F30" s="11" t="s">
        <v>169</v>
      </c>
      <c r="G30" s="13">
        <v>46045.0</v>
      </c>
      <c r="H30" s="13">
        <v>46046.0</v>
      </c>
      <c r="I30" s="11" t="s">
        <v>25</v>
      </c>
      <c r="J30" s="11" t="s">
        <v>37</v>
      </c>
      <c r="K30" s="14" t="s">
        <v>31</v>
      </c>
      <c r="L30" s="11" t="s">
        <v>62</v>
      </c>
      <c r="M30" s="11" t="s">
        <v>170</v>
      </c>
      <c r="N30" s="16"/>
      <c r="O30" s="16"/>
      <c r="P30" s="16"/>
      <c r="Q30" s="17"/>
      <c r="R30" s="17"/>
      <c r="S30" s="17"/>
      <c r="T30" s="17"/>
      <c r="U30" s="17"/>
      <c r="V30" s="17"/>
      <c r="W30" s="17"/>
      <c r="X30" s="17"/>
      <c r="Y30" s="17"/>
    </row>
    <row r="31" ht="18.75" customHeight="1">
      <c r="A31" s="9">
        <v>1183.0</v>
      </c>
      <c r="B31" s="11" t="s">
        <v>171</v>
      </c>
      <c r="C31" s="11" t="s">
        <v>172</v>
      </c>
      <c r="D31" s="11" t="s">
        <v>173</v>
      </c>
      <c r="E31" s="11" t="s">
        <v>174</v>
      </c>
      <c r="F31" s="11" t="s">
        <v>175</v>
      </c>
      <c r="G31" s="13">
        <v>46040.0</v>
      </c>
      <c r="H31" s="13">
        <v>46041.0</v>
      </c>
      <c r="I31" s="11" t="s">
        <v>119</v>
      </c>
      <c r="J31" s="11" t="s">
        <v>37</v>
      </c>
      <c r="K31" s="14" t="s">
        <v>31</v>
      </c>
      <c r="L31" s="11" t="s">
        <v>23</v>
      </c>
      <c r="M31" s="15"/>
      <c r="N31" s="16"/>
      <c r="O31" s="16"/>
      <c r="P31" s="16"/>
      <c r="Q31" s="17"/>
      <c r="R31" s="17"/>
      <c r="S31" s="17"/>
      <c r="T31" s="17"/>
      <c r="U31" s="17"/>
      <c r="V31" s="17"/>
      <c r="W31" s="17"/>
      <c r="X31" s="17"/>
      <c r="Y31" s="17"/>
    </row>
    <row r="32" ht="18.75" customHeight="1">
      <c r="A32" s="9">
        <v>1185.0</v>
      </c>
      <c r="B32" s="11" t="s">
        <v>176</v>
      </c>
      <c r="C32" s="11" t="s">
        <v>177</v>
      </c>
      <c r="D32" s="11" t="s">
        <v>42</v>
      </c>
      <c r="E32" s="11" t="s">
        <v>178</v>
      </c>
      <c r="F32" s="11" t="s">
        <v>179</v>
      </c>
      <c r="G32" s="13">
        <v>46023.0</v>
      </c>
      <c r="H32" s="13">
        <v>46024.0</v>
      </c>
      <c r="I32" s="11" t="s">
        <v>21</v>
      </c>
      <c r="J32" s="11"/>
      <c r="K32" s="14"/>
      <c r="L32" s="11"/>
      <c r="M32" s="15"/>
      <c r="N32" s="16"/>
      <c r="O32" s="16"/>
      <c r="P32" s="16"/>
      <c r="Q32" s="17"/>
      <c r="R32" s="17"/>
      <c r="S32" s="17"/>
      <c r="T32" s="17"/>
      <c r="U32" s="17"/>
      <c r="V32" s="17"/>
      <c r="W32" s="17"/>
      <c r="X32" s="17"/>
      <c r="Y32" s="17"/>
    </row>
    <row r="33" ht="18.75" customHeight="1">
      <c r="A33" s="9">
        <v>1186.0</v>
      </c>
      <c r="B33" s="11" t="s">
        <v>180</v>
      </c>
      <c r="C33" s="11" t="s">
        <v>181</v>
      </c>
      <c r="D33" s="11" t="s">
        <v>122</v>
      </c>
      <c r="E33" s="11" t="s">
        <v>143</v>
      </c>
      <c r="F33" s="11" t="s">
        <v>182</v>
      </c>
      <c r="G33" s="13">
        <v>46037.0</v>
      </c>
      <c r="H33" s="13">
        <v>46038.0</v>
      </c>
      <c r="I33" s="11" t="s">
        <v>25</v>
      </c>
      <c r="J33" s="11" t="s">
        <v>37</v>
      </c>
      <c r="K33" s="14" t="s">
        <v>31</v>
      </c>
      <c r="L33" s="11" t="s">
        <v>68</v>
      </c>
      <c r="M33" s="11" t="s">
        <v>183</v>
      </c>
      <c r="N33" s="16"/>
      <c r="O33" s="16"/>
      <c r="P33" s="16"/>
      <c r="Q33" s="17"/>
      <c r="R33" s="17"/>
      <c r="S33" s="17"/>
      <c r="T33" s="17"/>
      <c r="U33" s="17"/>
      <c r="V33" s="17"/>
      <c r="W33" s="17"/>
      <c r="X33" s="17"/>
      <c r="Y33" s="17"/>
    </row>
    <row r="34" ht="18.75" customHeight="1">
      <c r="A34" s="9">
        <v>1187.0</v>
      </c>
      <c r="B34" s="11" t="s">
        <v>184</v>
      </c>
      <c r="C34" s="11" t="s">
        <v>185</v>
      </c>
      <c r="D34" s="11" t="s">
        <v>122</v>
      </c>
      <c r="E34" s="11" t="s">
        <v>143</v>
      </c>
      <c r="F34" s="11" t="s">
        <v>186</v>
      </c>
      <c r="G34" s="13">
        <v>46053.0</v>
      </c>
      <c r="H34" s="13">
        <v>46054.0</v>
      </c>
      <c r="I34" s="11" t="s">
        <v>25</v>
      </c>
      <c r="J34" s="11" t="s">
        <v>37</v>
      </c>
      <c r="K34" s="14" t="s">
        <v>31</v>
      </c>
      <c r="L34" s="11" t="s">
        <v>68</v>
      </c>
      <c r="M34" s="11" t="s">
        <v>183</v>
      </c>
      <c r="N34" s="16"/>
      <c r="O34" s="16"/>
      <c r="P34" s="16"/>
      <c r="Q34" s="17"/>
      <c r="R34" s="17"/>
      <c r="S34" s="17"/>
      <c r="T34" s="17"/>
      <c r="U34" s="17"/>
      <c r="V34" s="17"/>
      <c r="W34" s="17"/>
      <c r="X34" s="17"/>
      <c r="Y34" s="17"/>
    </row>
    <row r="35" ht="18.75" customHeight="1">
      <c r="A35" s="9">
        <v>1188.0</v>
      </c>
      <c r="B35" s="11" t="s">
        <v>187</v>
      </c>
      <c r="C35" s="11" t="s">
        <v>188</v>
      </c>
      <c r="D35" s="11" t="s">
        <v>128</v>
      </c>
      <c r="E35" s="11" t="s">
        <v>189</v>
      </c>
      <c r="F35" s="11" t="s">
        <v>190</v>
      </c>
      <c r="G35" s="13">
        <v>46030.0</v>
      </c>
      <c r="H35" s="13">
        <v>46031.0</v>
      </c>
      <c r="I35" s="11" t="s">
        <v>119</v>
      </c>
      <c r="J35" s="11" t="s">
        <v>37</v>
      </c>
      <c r="K35" s="14" t="s">
        <v>31</v>
      </c>
      <c r="L35" s="11" t="s">
        <v>97</v>
      </c>
      <c r="M35" s="11" t="s">
        <v>191</v>
      </c>
      <c r="N35" s="16"/>
      <c r="O35" s="16"/>
      <c r="P35" s="16"/>
      <c r="Q35" s="17"/>
      <c r="R35" s="17"/>
      <c r="S35" s="17"/>
      <c r="T35" s="17"/>
      <c r="U35" s="17"/>
      <c r="V35" s="17"/>
      <c r="W35" s="17"/>
      <c r="X35" s="17"/>
      <c r="Y35" s="17"/>
    </row>
    <row r="36" ht="18.75" customHeight="1">
      <c r="A36" s="9">
        <v>1189.0</v>
      </c>
      <c r="B36" s="11" t="s">
        <v>192</v>
      </c>
      <c r="C36" s="11" t="s">
        <v>193</v>
      </c>
      <c r="D36" s="11" t="s">
        <v>122</v>
      </c>
      <c r="E36" s="11" t="s">
        <v>148</v>
      </c>
      <c r="F36" s="11" t="s">
        <v>194</v>
      </c>
      <c r="G36" s="13">
        <v>46027.0</v>
      </c>
      <c r="H36" s="13">
        <v>46028.0</v>
      </c>
      <c r="I36" s="11" t="s">
        <v>119</v>
      </c>
      <c r="J36" s="11"/>
      <c r="K36" s="14" t="s">
        <v>31</v>
      </c>
      <c r="L36" s="11" t="s">
        <v>97</v>
      </c>
      <c r="M36" s="11" t="s">
        <v>195</v>
      </c>
      <c r="N36" s="16"/>
      <c r="O36" s="16"/>
      <c r="P36" s="16"/>
      <c r="Q36" s="17"/>
      <c r="R36" s="17"/>
      <c r="S36" s="17"/>
      <c r="T36" s="17"/>
      <c r="U36" s="17"/>
      <c r="V36" s="17"/>
      <c r="W36" s="17"/>
      <c r="X36" s="17"/>
      <c r="Y36" s="17"/>
    </row>
    <row r="37" ht="18.75" customHeight="1">
      <c r="A37" s="9">
        <v>1190.0</v>
      </c>
      <c r="B37" s="11" t="s">
        <v>196</v>
      </c>
      <c r="C37" s="11" t="s">
        <v>197</v>
      </c>
      <c r="D37" s="11" t="s">
        <v>198</v>
      </c>
      <c r="E37" s="11" t="s">
        <v>199</v>
      </c>
      <c r="F37" s="11" t="s">
        <v>200</v>
      </c>
      <c r="G37" s="13">
        <v>46022.0</v>
      </c>
      <c r="H37" s="13">
        <v>46023.0</v>
      </c>
      <c r="I37" s="11" t="s">
        <v>119</v>
      </c>
      <c r="J37" s="11"/>
      <c r="K37" s="14" t="s">
        <v>31</v>
      </c>
      <c r="L37" s="11" t="s">
        <v>68</v>
      </c>
      <c r="M37" s="11" t="s">
        <v>183</v>
      </c>
      <c r="N37" s="16"/>
      <c r="O37" s="16"/>
      <c r="P37" s="16"/>
      <c r="Q37" s="17"/>
      <c r="R37" s="17"/>
      <c r="S37" s="17"/>
      <c r="T37" s="17"/>
      <c r="U37" s="17"/>
      <c r="V37" s="17"/>
      <c r="W37" s="17"/>
      <c r="X37" s="17"/>
      <c r="Y37" s="17"/>
    </row>
    <row r="38" ht="18.75" customHeight="1">
      <c r="A38" s="9">
        <v>1191.0</v>
      </c>
      <c r="B38" s="11" t="s">
        <v>201</v>
      </c>
      <c r="C38" s="11" t="s">
        <v>202</v>
      </c>
      <c r="D38" s="11" t="s">
        <v>59</v>
      </c>
      <c r="E38" s="11" t="s">
        <v>203</v>
      </c>
      <c r="F38" s="11" t="s">
        <v>204</v>
      </c>
      <c r="G38" s="13">
        <v>46053.0</v>
      </c>
      <c r="H38" s="13">
        <v>46054.0</v>
      </c>
      <c r="I38" s="11" t="s">
        <v>25</v>
      </c>
      <c r="J38" s="11" t="s">
        <v>37</v>
      </c>
      <c r="K38" s="14" t="s">
        <v>31</v>
      </c>
      <c r="L38" s="11" t="s">
        <v>62</v>
      </c>
      <c r="M38" s="15"/>
      <c r="N38" s="16"/>
      <c r="O38" s="16"/>
      <c r="P38" s="16"/>
      <c r="Q38" s="17"/>
      <c r="R38" s="17"/>
      <c r="S38" s="17"/>
      <c r="T38" s="17"/>
      <c r="U38" s="17"/>
      <c r="V38" s="17"/>
      <c r="W38" s="17"/>
      <c r="X38" s="17"/>
      <c r="Y38" s="17"/>
    </row>
    <row r="39" ht="18.75" customHeight="1">
      <c r="A39" s="9">
        <v>1192.0</v>
      </c>
      <c r="B39" s="11" t="s">
        <v>205</v>
      </c>
      <c r="C39" s="11" t="s">
        <v>206</v>
      </c>
      <c r="D39" s="11" t="s">
        <v>207</v>
      </c>
      <c r="E39" s="11" t="s">
        <v>48</v>
      </c>
      <c r="F39" s="11" t="s">
        <v>208</v>
      </c>
      <c r="G39" s="13">
        <v>46053.0</v>
      </c>
      <c r="H39" s="13">
        <v>46054.0</v>
      </c>
      <c r="I39" s="11" t="s">
        <v>25</v>
      </c>
      <c r="J39" s="11" t="s">
        <v>37</v>
      </c>
      <c r="K39" s="14" t="s">
        <v>31</v>
      </c>
      <c r="L39" s="11" t="s">
        <v>97</v>
      </c>
      <c r="M39" s="15"/>
      <c r="N39" s="16"/>
      <c r="O39" s="16"/>
      <c r="P39" s="16"/>
      <c r="Q39" s="17"/>
      <c r="R39" s="17"/>
      <c r="S39" s="17"/>
      <c r="T39" s="17"/>
      <c r="U39" s="17"/>
      <c r="V39" s="17"/>
      <c r="W39" s="17"/>
      <c r="X39" s="17"/>
      <c r="Y39" s="17"/>
    </row>
    <row r="40" ht="18.75" customHeight="1">
      <c r="A40" s="9">
        <v>1193.0</v>
      </c>
      <c r="B40" s="11" t="s">
        <v>209</v>
      </c>
      <c r="C40" s="11" t="s">
        <v>210</v>
      </c>
      <c r="D40" s="11" t="s">
        <v>65</v>
      </c>
      <c r="E40" s="11" t="s">
        <v>211</v>
      </c>
      <c r="F40" s="11" t="s">
        <v>212</v>
      </c>
      <c r="G40" s="13">
        <v>46022.0</v>
      </c>
      <c r="H40" s="13">
        <v>46023.0</v>
      </c>
      <c r="I40" s="11" t="s">
        <v>119</v>
      </c>
      <c r="J40" s="11" t="s">
        <v>213</v>
      </c>
      <c r="K40" s="14" t="s">
        <v>31</v>
      </c>
      <c r="L40" s="11"/>
      <c r="M40" s="15"/>
      <c r="N40" s="16"/>
      <c r="O40" s="16"/>
      <c r="P40" s="16"/>
      <c r="Q40" s="17"/>
      <c r="R40" s="17"/>
      <c r="S40" s="17"/>
      <c r="T40" s="17"/>
      <c r="U40" s="17"/>
      <c r="V40" s="17"/>
      <c r="W40" s="17"/>
      <c r="X40" s="17"/>
      <c r="Y40" s="17"/>
    </row>
    <row r="41" ht="18.75" customHeight="1">
      <c r="A41" s="9">
        <v>1194.0</v>
      </c>
      <c r="B41" s="11" t="s">
        <v>214</v>
      </c>
      <c r="C41" s="11" t="s">
        <v>215</v>
      </c>
      <c r="D41" s="11" t="s">
        <v>216</v>
      </c>
      <c r="E41" s="11" t="s">
        <v>217</v>
      </c>
      <c r="F41" s="11" t="s">
        <v>218</v>
      </c>
      <c r="G41" s="13">
        <v>46053.0</v>
      </c>
      <c r="H41" s="13">
        <v>46054.0</v>
      </c>
      <c r="I41" s="11" t="s">
        <v>25</v>
      </c>
      <c r="J41" s="11" t="s">
        <v>37</v>
      </c>
      <c r="K41" s="14" t="s">
        <v>31</v>
      </c>
      <c r="L41" s="11" t="s">
        <v>97</v>
      </c>
      <c r="M41" s="11" t="s">
        <v>219</v>
      </c>
      <c r="N41" s="16"/>
      <c r="O41" s="16"/>
      <c r="P41" s="16"/>
      <c r="Q41" s="17"/>
      <c r="R41" s="17"/>
      <c r="S41" s="17"/>
      <c r="T41" s="17"/>
      <c r="U41" s="17"/>
      <c r="V41" s="17"/>
      <c r="W41" s="17"/>
      <c r="X41" s="17"/>
      <c r="Y41" s="17"/>
    </row>
    <row r="42" ht="18.75" customHeight="1">
      <c r="A42" s="9">
        <v>1195.0</v>
      </c>
      <c r="B42" s="11" t="s">
        <v>220</v>
      </c>
      <c r="C42" s="11" t="s">
        <v>221</v>
      </c>
      <c r="D42" s="11" t="s">
        <v>42</v>
      </c>
      <c r="E42" s="11" t="s">
        <v>222</v>
      </c>
      <c r="F42" s="11" t="s">
        <v>223</v>
      </c>
      <c r="G42" s="13">
        <v>46053.0</v>
      </c>
      <c r="H42" s="13">
        <v>46054.0</v>
      </c>
      <c r="I42" s="11" t="s">
        <v>21</v>
      </c>
      <c r="J42" s="11"/>
      <c r="K42" s="14"/>
      <c r="L42" s="11"/>
      <c r="M42" s="15"/>
      <c r="N42" s="16"/>
      <c r="O42" s="16"/>
      <c r="P42" s="16"/>
      <c r="Q42" s="17"/>
      <c r="R42" s="17"/>
      <c r="S42" s="17"/>
      <c r="T42" s="17"/>
      <c r="U42" s="17"/>
      <c r="V42" s="17"/>
      <c r="W42" s="17"/>
      <c r="X42" s="17"/>
      <c r="Y42" s="17"/>
    </row>
    <row r="43" ht="18.75" customHeight="1">
      <c r="A43" s="9">
        <v>1196.0</v>
      </c>
      <c r="B43" s="11" t="s">
        <v>224</v>
      </c>
      <c r="C43" s="11" t="s">
        <v>225</v>
      </c>
      <c r="D43" s="11" t="s">
        <v>42</v>
      </c>
      <c r="E43" s="11" t="s">
        <v>226</v>
      </c>
      <c r="F43" s="11" t="s">
        <v>227</v>
      </c>
      <c r="G43" s="13">
        <v>46037.0</v>
      </c>
      <c r="H43" s="13">
        <v>46038.0</v>
      </c>
      <c r="I43" s="11" t="s">
        <v>119</v>
      </c>
      <c r="J43" s="11" t="s">
        <v>37</v>
      </c>
      <c r="K43" s="14" t="s">
        <v>31</v>
      </c>
      <c r="L43" s="11" t="s">
        <v>97</v>
      </c>
      <c r="M43" s="11" t="s">
        <v>228</v>
      </c>
      <c r="N43" s="16"/>
      <c r="O43" s="16"/>
      <c r="P43" s="16"/>
      <c r="Q43" s="17"/>
      <c r="R43" s="17"/>
      <c r="S43" s="17"/>
      <c r="T43" s="17"/>
      <c r="U43" s="17"/>
      <c r="V43" s="17"/>
      <c r="W43" s="17"/>
      <c r="X43" s="17"/>
      <c r="Y43" s="17"/>
    </row>
    <row r="44" ht="18.75" customHeight="1">
      <c r="A44" s="9">
        <v>1197.0</v>
      </c>
      <c r="B44" s="11" t="s">
        <v>229</v>
      </c>
      <c r="C44" s="11" t="s">
        <v>230</v>
      </c>
      <c r="D44" s="11" t="s">
        <v>231</v>
      </c>
      <c r="E44" s="11" t="s">
        <v>232</v>
      </c>
      <c r="F44" s="11" t="s">
        <v>233</v>
      </c>
      <c r="G44" s="13">
        <v>46053.0</v>
      </c>
      <c r="H44" s="13">
        <v>46054.0</v>
      </c>
      <c r="I44" s="11" t="s">
        <v>119</v>
      </c>
      <c r="J44" s="11" t="s">
        <v>22</v>
      </c>
      <c r="K44" s="14" t="s">
        <v>31</v>
      </c>
      <c r="L44" s="11" t="s">
        <v>62</v>
      </c>
      <c r="M44" s="15"/>
      <c r="N44" s="16"/>
      <c r="O44" s="16"/>
      <c r="P44" s="16"/>
      <c r="Q44" s="17"/>
      <c r="R44" s="17"/>
      <c r="S44" s="17"/>
      <c r="T44" s="17"/>
      <c r="U44" s="17"/>
      <c r="V44" s="17"/>
      <c r="W44" s="17"/>
      <c r="X44" s="17"/>
      <c r="Y44" s="17"/>
    </row>
    <row r="45" ht="18.75" customHeight="1">
      <c r="A45" s="9">
        <v>1198.0</v>
      </c>
      <c r="B45" s="11" t="s">
        <v>234</v>
      </c>
      <c r="C45" s="11" t="s">
        <v>235</v>
      </c>
      <c r="D45" s="11" t="s">
        <v>173</v>
      </c>
      <c r="E45" s="11" t="s">
        <v>236</v>
      </c>
      <c r="F45" s="11" t="s">
        <v>237</v>
      </c>
      <c r="G45" s="13">
        <v>46053.0</v>
      </c>
      <c r="H45" s="13">
        <v>46054.0</v>
      </c>
      <c r="I45" s="11" t="s">
        <v>119</v>
      </c>
      <c r="J45" s="11" t="s">
        <v>37</v>
      </c>
      <c r="K45" s="14" t="s">
        <v>31</v>
      </c>
      <c r="L45" s="11" t="s">
        <v>62</v>
      </c>
      <c r="M45" s="15"/>
      <c r="N45" s="16"/>
      <c r="O45" s="16"/>
      <c r="P45" s="16"/>
      <c r="Q45" s="17"/>
      <c r="R45" s="17"/>
      <c r="S45" s="17"/>
      <c r="T45" s="17"/>
      <c r="U45" s="17"/>
      <c r="V45" s="17"/>
      <c r="W45" s="17"/>
      <c r="X45" s="17"/>
      <c r="Y45" s="17"/>
    </row>
    <row r="46" ht="18.75" customHeight="1">
      <c r="A46" s="9">
        <v>1199.0</v>
      </c>
      <c r="B46" s="11" t="s">
        <v>238</v>
      </c>
      <c r="C46" s="11" t="s">
        <v>239</v>
      </c>
      <c r="D46" s="11" t="s">
        <v>240</v>
      </c>
      <c r="E46" s="11" t="s">
        <v>241</v>
      </c>
      <c r="F46" s="11" t="s">
        <v>242</v>
      </c>
      <c r="G46" s="13">
        <v>46053.0</v>
      </c>
      <c r="H46" s="13">
        <v>46054.0</v>
      </c>
      <c r="I46" s="11" t="s">
        <v>119</v>
      </c>
      <c r="J46" s="11" t="s">
        <v>22</v>
      </c>
      <c r="K46" s="14" t="s">
        <v>31</v>
      </c>
      <c r="L46" s="11" t="s">
        <v>38</v>
      </c>
      <c r="M46" s="15"/>
      <c r="N46" s="16"/>
      <c r="O46" s="16"/>
      <c r="P46" s="16"/>
      <c r="Q46" s="17"/>
      <c r="R46" s="17"/>
      <c r="S46" s="17"/>
      <c r="T46" s="17"/>
      <c r="U46" s="17"/>
      <c r="V46" s="17"/>
      <c r="W46" s="17"/>
      <c r="X46" s="17"/>
      <c r="Y46" s="17"/>
    </row>
    <row r="47" ht="18.75" customHeight="1">
      <c r="A47" s="9">
        <v>1200.0</v>
      </c>
      <c r="B47" s="11" t="s">
        <v>243</v>
      </c>
      <c r="C47" s="11" t="s">
        <v>244</v>
      </c>
      <c r="D47" s="11" t="s">
        <v>122</v>
      </c>
      <c r="E47" s="18" t="s">
        <v>245</v>
      </c>
      <c r="F47" s="18" t="s">
        <v>246</v>
      </c>
      <c r="G47" s="13">
        <v>46050.0</v>
      </c>
      <c r="H47" s="19">
        <v>46051.0</v>
      </c>
      <c r="I47" s="11" t="s">
        <v>21</v>
      </c>
      <c r="J47" s="11"/>
      <c r="K47" s="14"/>
      <c r="L47" s="11" t="s">
        <v>68</v>
      </c>
      <c r="M47" s="11" t="s">
        <v>183</v>
      </c>
      <c r="N47" s="16"/>
      <c r="O47" s="16"/>
      <c r="P47" s="16"/>
      <c r="Q47" s="17"/>
      <c r="R47" s="17"/>
      <c r="S47" s="17"/>
      <c r="T47" s="17"/>
      <c r="U47" s="17"/>
      <c r="V47" s="17"/>
      <c r="W47" s="17"/>
      <c r="X47" s="17"/>
      <c r="Y47" s="17"/>
    </row>
    <row r="48" ht="18.75" customHeight="1">
      <c r="A48" s="9">
        <v>1201.0</v>
      </c>
      <c r="B48" s="11" t="s">
        <v>247</v>
      </c>
      <c r="C48" s="11" t="s">
        <v>248</v>
      </c>
      <c r="D48" s="20" t="s">
        <v>128</v>
      </c>
      <c r="E48" s="11" t="s">
        <v>249</v>
      </c>
      <c r="F48" s="11" t="s">
        <v>250</v>
      </c>
      <c r="G48" s="13">
        <v>46022.0</v>
      </c>
      <c r="H48" s="13">
        <v>46023.0</v>
      </c>
      <c r="I48" s="21" t="s">
        <v>251</v>
      </c>
      <c r="J48" s="11" t="s">
        <v>213</v>
      </c>
      <c r="K48" s="14" t="s">
        <v>31</v>
      </c>
      <c r="L48" s="11"/>
      <c r="M48" s="15"/>
      <c r="N48" s="16"/>
      <c r="O48" s="16"/>
      <c r="P48" s="16"/>
      <c r="Q48" s="17"/>
      <c r="R48" s="17"/>
      <c r="S48" s="17"/>
      <c r="T48" s="17"/>
      <c r="U48" s="17"/>
      <c r="V48" s="17"/>
      <c r="W48" s="17"/>
      <c r="X48" s="17"/>
      <c r="Y48" s="17"/>
    </row>
    <row r="49" ht="18.75" customHeight="1">
      <c r="A49" s="9">
        <v>1202.0</v>
      </c>
      <c r="B49" s="11" t="s">
        <v>252</v>
      </c>
      <c r="C49" s="11" t="s">
        <v>253</v>
      </c>
      <c r="D49" s="11" t="s">
        <v>254</v>
      </c>
      <c r="E49" s="22" t="s">
        <v>255</v>
      </c>
      <c r="F49" s="22" t="s">
        <v>256</v>
      </c>
      <c r="G49" s="13">
        <v>46066.0</v>
      </c>
      <c r="H49" s="13">
        <v>46067.0</v>
      </c>
      <c r="I49" s="11" t="s">
        <v>25</v>
      </c>
      <c r="J49" s="11" t="s">
        <v>37</v>
      </c>
      <c r="K49" s="14" t="s">
        <v>31</v>
      </c>
      <c r="L49" s="11" t="s">
        <v>50</v>
      </c>
      <c r="M49" s="15"/>
      <c r="N49" s="16"/>
      <c r="O49" s="16"/>
      <c r="P49" s="16"/>
      <c r="Q49" s="17"/>
      <c r="R49" s="17"/>
      <c r="S49" s="17"/>
      <c r="T49" s="17"/>
      <c r="U49" s="17"/>
      <c r="V49" s="17"/>
      <c r="W49" s="17"/>
      <c r="X49" s="17"/>
      <c r="Y49" s="17"/>
    </row>
    <row r="50" ht="18.75" customHeight="1">
      <c r="A50" s="9">
        <v>1203.0</v>
      </c>
      <c r="B50" s="11" t="s">
        <v>257</v>
      </c>
      <c r="C50" s="11" t="s">
        <v>258</v>
      </c>
      <c r="D50" s="11" t="s">
        <v>128</v>
      </c>
      <c r="E50" s="11" t="s">
        <v>259</v>
      </c>
      <c r="F50" s="11" t="s">
        <v>260</v>
      </c>
      <c r="G50" s="13">
        <v>46033.0</v>
      </c>
      <c r="H50" s="13">
        <v>46034.0</v>
      </c>
      <c r="I50" s="11" t="s">
        <v>251</v>
      </c>
      <c r="J50" s="11" t="s">
        <v>213</v>
      </c>
      <c r="K50" s="14" t="s">
        <v>31</v>
      </c>
      <c r="L50" s="11"/>
      <c r="M50" s="15"/>
      <c r="N50" s="16"/>
      <c r="O50" s="16"/>
      <c r="P50" s="16"/>
      <c r="Q50" s="17"/>
      <c r="R50" s="17"/>
      <c r="S50" s="17"/>
      <c r="T50" s="17"/>
      <c r="U50" s="17"/>
      <c r="V50" s="17"/>
      <c r="W50" s="17"/>
      <c r="X50" s="17"/>
      <c r="Y50" s="17"/>
    </row>
    <row r="51" ht="18.75" customHeight="1">
      <c r="A51" s="9">
        <v>1204.0</v>
      </c>
      <c r="B51" s="11" t="s">
        <v>261</v>
      </c>
      <c r="C51" s="11" t="s">
        <v>262</v>
      </c>
      <c r="D51" s="11" t="s">
        <v>110</v>
      </c>
      <c r="E51" s="11" t="s">
        <v>111</v>
      </c>
      <c r="F51" s="11" t="s">
        <v>263</v>
      </c>
      <c r="G51" s="13">
        <v>46053.0</v>
      </c>
      <c r="H51" s="13">
        <v>46054.0</v>
      </c>
      <c r="I51" s="11" t="s">
        <v>25</v>
      </c>
      <c r="J51" s="11" t="s">
        <v>37</v>
      </c>
      <c r="K51" s="14" t="s">
        <v>31</v>
      </c>
      <c r="L51" s="11" t="s">
        <v>68</v>
      </c>
      <c r="M51" s="11" t="s">
        <v>264</v>
      </c>
      <c r="N51" s="16"/>
      <c r="O51" s="16"/>
      <c r="P51" s="16"/>
      <c r="Q51" s="17"/>
      <c r="R51" s="17"/>
      <c r="S51" s="17"/>
      <c r="T51" s="17"/>
      <c r="U51" s="17"/>
      <c r="V51" s="17"/>
      <c r="W51" s="17"/>
      <c r="X51" s="17"/>
      <c r="Y51" s="17"/>
    </row>
    <row r="52" ht="18.75" customHeight="1">
      <c r="A52" s="9">
        <v>1205.0</v>
      </c>
      <c r="B52" s="11" t="s">
        <v>265</v>
      </c>
      <c r="C52" s="11" t="s">
        <v>266</v>
      </c>
      <c r="D52" s="11" t="s">
        <v>110</v>
      </c>
      <c r="E52" s="16" t="s">
        <v>267</v>
      </c>
      <c r="F52" s="11" t="s">
        <v>268</v>
      </c>
      <c r="G52" s="13">
        <v>46028.0</v>
      </c>
      <c r="H52" s="13">
        <v>46029.0</v>
      </c>
      <c r="I52" s="11" t="s">
        <v>251</v>
      </c>
      <c r="J52" s="11" t="s">
        <v>213</v>
      </c>
      <c r="K52" s="14" t="s">
        <v>31</v>
      </c>
      <c r="L52" s="11"/>
      <c r="M52" s="15"/>
      <c r="N52" s="16"/>
      <c r="O52" s="16"/>
      <c r="P52" s="16"/>
      <c r="Q52" s="17"/>
      <c r="R52" s="17"/>
      <c r="S52" s="17"/>
      <c r="T52" s="17"/>
      <c r="U52" s="17"/>
      <c r="V52" s="17"/>
      <c r="W52" s="17"/>
      <c r="X52" s="17"/>
      <c r="Y52" s="17"/>
    </row>
    <row r="53" ht="18.75" customHeight="1">
      <c r="A53" s="9">
        <v>1206.0</v>
      </c>
      <c r="B53" s="11" t="s">
        <v>269</v>
      </c>
      <c r="C53" s="11" t="s">
        <v>270</v>
      </c>
      <c r="D53" s="11" t="s">
        <v>271</v>
      </c>
      <c r="E53" s="11" t="s">
        <v>272</v>
      </c>
      <c r="F53" s="11" t="s">
        <v>273</v>
      </c>
      <c r="G53" s="13">
        <v>46069.0</v>
      </c>
      <c r="H53" s="13">
        <v>46070.0</v>
      </c>
      <c r="I53" s="11" t="s">
        <v>25</v>
      </c>
      <c r="J53" s="11" t="s">
        <v>37</v>
      </c>
      <c r="K53" s="14" t="s">
        <v>31</v>
      </c>
      <c r="L53" s="11" t="s">
        <v>97</v>
      </c>
      <c r="M53" s="15"/>
      <c r="N53" s="16"/>
      <c r="O53" s="16"/>
      <c r="P53" s="16"/>
      <c r="Q53" s="17"/>
      <c r="R53" s="17"/>
      <c r="S53" s="17"/>
      <c r="T53" s="17"/>
      <c r="U53" s="17"/>
      <c r="V53" s="17"/>
      <c r="W53" s="17"/>
      <c r="X53" s="17"/>
      <c r="Y53" s="17"/>
    </row>
    <row r="54" ht="18.75" customHeight="1">
      <c r="A54" s="9">
        <v>1207.0</v>
      </c>
      <c r="B54" s="11" t="s">
        <v>274</v>
      </c>
      <c r="C54" s="11" t="s">
        <v>275</v>
      </c>
      <c r="D54" s="11" t="s">
        <v>276</v>
      </c>
      <c r="E54" s="11" t="s">
        <v>277</v>
      </c>
      <c r="F54" s="11" t="s">
        <v>278</v>
      </c>
      <c r="G54" s="13">
        <v>46076.0</v>
      </c>
      <c r="H54" s="13">
        <v>46077.0</v>
      </c>
      <c r="I54" s="11" t="s">
        <v>25</v>
      </c>
      <c r="J54" s="11"/>
      <c r="K54" s="14" t="s">
        <v>31</v>
      </c>
      <c r="L54" s="11" t="s">
        <v>97</v>
      </c>
      <c r="M54" s="15"/>
      <c r="N54" s="16"/>
      <c r="O54" s="16"/>
      <c r="P54" s="16"/>
      <c r="Q54" s="17"/>
      <c r="R54" s="17"/>
      <c r="S54" s="17"/>
      <c r="T54" s="17"/>
      <c r="U54" s="17"/>
      <c r="V54" s="17"/>
      <c r="W54" s="17"/>
      <c r="X54" s="17"/>
      <c r="Y54" s="17"/>
    </row>
    <row r="55" ht="18.75" customHeight="1">
      <c r="A55" s="9">
        <v>1208.0</v>
      </c>
      <c r="B55" s="11" t="s">
        <v>279</v>
      </c>
      <c r="C55" s="11" t="s">
        <v>280</v>
      </c>
      <c r="D55" s="11" t="s">
        <v>122</v>
      </c>
      <c r="E55" s="11" t="s">
        <v>134</v>
      </c>
      <c r="F55" s="11" t="s">
        <v>281</v>
      </c>
      <c r="G55" s="13">
        <v>46052.0</v>
      </c>
      <c r="H55" s="13">
        <v>46053.0</v>
      </c>
      <c r="I55" s="11" t="s">
        <v>25</v>
      </c>
      <c r="J55" s="11" t="s">
        <v>37</v>
      </c>
      <c r="K55" s="14" t="s">
        <v>31</v>
      </c>
      <c r="L55" s="11" t="s">
        <v>62</v>
      </c>
      <c r="M55" s="11" t="s">
        <v>282</v>
      </c>
      <c r="N55" s="16"/>
      <c r="O55" s="16"/>
      <c r="P55" s="16"/>
      <c r="Q55" s="17"/>
      <c r="R55" s="17"/>
      <c r="S55" s="17"/>
      <c r="T55" s="17"/>
      <c r="U55" s="17"/>
      <c r="V55" s="17"/>
      <c r="W55" s="17"/>
      <c r="X55" s="17"/>
      <c r="Y55" s="17"/>
    </row>
    <row r="56" ht="18.75" customHeight="1">
      <c r="A56" s="9">
        <v>1209.0</v>
      </c>
      <c r="B56" s="11" t="s">
        <v>283</v>
      </c>
      <c r="C56" s="11" t="s">
        <v>284</v>
      </c>
      <c r="D56" s="11" t="s">
        <v>198</v>
      </c>
      <c r="E56" s="11" t="s">
        <v>198</v>
      </c>
      <c r="F56" s="11" t="s">
        <v>285</v>
      </c>
      <c r="G56" s="13">
        <v>46053.0</v>
      </c>
      <c r="H56" s="13">
        <v>46054.0</v>
      </c>
      <c r="I56" s="11" t="s">
        <v>119</v>
      </c>
      <c r="J56" s="11" t="s">
        <v>37</v>
      </c>
      <c r="K56" s="14" t="s">
        <v>31</v>
      </c>
      <c r="L56" s="11" t="s">
        <v>97</v>
      </c>
      <c r="M56" s="11" t="s">
        <v>286</v>
      </c>
      <c r="N56" s="16"/>
      <c r="O56" s="16"/>
      <c r="P56" s="16"/>
      <c r="Q56" s="17"/>
      <c r="R56" s="17"/>
      <c r="S56" s="17"/>
      <c r="T56" s="17"/>
      <c r="U56" s="17"/>
      <c r="V56" s="17"/>
      <c r="W56" s="17"/>
      <c r="X56" s="17"/>
      <c r="Y56" s="17"/>
    </row>
    <row r="57" ht="18.75" customHeight="1">
      <c r="A57" s="9">
        <v>1210.0</v>
      </c>
      <c r="B57" s="11" t="s">
        <v>287</v>
      </c>
      <c r="C57" s="11" t="s">
        <v>288</v>
      </c>
      <c r="D57" s="11" t="s">
        <v>289</v>
      </c>
      <c r="E57" s="11" t="s">
        <v>290</v>
      </c>
      <c r="F57" s="11" t="s">
        <v>291</v>
      </c>
      <c r="G57" s="13">
        <v>46053.0</v>
      </c>
      <c r="H57" s="13">
        <v>46054.0</v>
      </c>
      <c r="I57" s="11" t="s">
        <v>119</v>
      </c>
      <c r="J57" s="11" t="s">
        <v>37</v>
      </c>
      <c r="K57" s="14" t="s">
        <v>31</v>
      </c>
      <c r="L57" s="11"/>
      <c r="M57" s="15"/>
      <c r="N57" s="16"/>
      <c r="O57" s="16"/>
      <c r="P57" s="16"/>
      <c r="Q57" s="17"/>
      <c r="R57" s="17"/>
      <c r="S57" s="17"/>
      <c r="T57" s="17"/>
      <c r="U57" s="17"/>
      <c r="V57" s="17"/>
      <c r="W57" s="17"/>
      <c r="X57" s="17"/>
      <c r="Y57" s="17"/>
    </row>
    <row r="58" ht="18.75" customHeight="1">
      <c r="A58" s="9">
        <v>1211.0</v>
      </c>
      <c r="B58" s="11" t="s">
        <v>292</v>
      </c>
      <c r="C58" s="11" t="s">
        <v>293</v>
      </c>
      <c r="D58" s="11" t="s">
        <v>122</v>
      </c>
      <c r="E58" s="11" t="s">
        <v>294</v>
      </c>
      <c r="F58" s="11" t="s">
        <v>295</v>
      </c>
      <c r="G58" s="12">
        <v>46068.0</v>
      </c>
      <c r="H58" s="13">
        <v>46069.0</v>
      </c>
      <c r="I58" s="11" t="s">
        <v>25</v>
      </c>
      <c r="J58" s="11"/>
      <c r="K58" s="14" t="s">
        <v>31</v>
      </c>
      <c r="L58" s="11" t="s">
        <v>97</v>
      </c>
      <c r="M58" s="11" t="s">
        <v>296</v>
      </c>
      <c r="N58" s="16"/>
      <c r="O58" s="16"/>
      <c r="P58" s="16"/>
      <c r="Q58" s="17"/>
      <c r="R58" s="17"/>
      <c r="S58" s="17"/>
      <c r="T58" s="17"/>
      <c r="U58" s="17"/>
      <c r="V58" s="17"/>
      <c r="W58" s="17"/>
      <c r="X58" s="17"/>
      <c r="Y58" s="17"/>
    </row>
    <row r="59" ht="18.75" customHeight="1">
      <c r="A59" s="9">
        <v>1212.0</v>
      </c>
      <c r="B59" s="11" t="s">
        <v>297</v>
      </c>
      <c r="C59" s="11" t="s">
        <v>298</v>
      </c>
      <c r="D59" s="11" t="s">
        <v>128</v>
      </c>
      <c r="E59" s="11" t="s">
        <v>168</v>
      </c>
      <c r="F59" s="11" t="s">
        <v>299</v>
      </c>
      <c r="G59" s="12">
        <v>46043.0</v>
      </c>
      <c r="H59" s="13">
        <v>46044.0</v>
      </c>
      <c r="I59" s="11" t="s">
        <v>251</v>
      </c>
      <c r="J59" s="11" t="s">
        <v>213</v>
      </c>
      <c r="K59" s="14" t="s">
        <v>31</v>
      </c>
      <c r="L59" s="11"/>
      <c r="M59" s="11" t="s">
        <v>300</v>
      </c>
      <c r="N59" s="16"/>
      <c r="O59" s="16"/>
      <c r="P59" s="16"/>
      <c r="Q59" s="17"/>
      <c r="R59" s="17"/>
      <c r="S59" s="17"/>
      <c r="T59" s="17"/>
      <c r="U59" s="17"/>
      <c r="V59" s="17"/>
      <c r="W59" s="17"/>
      <c r="X59" s="17"/>
      <c r="Y59" s="17"/>
    </row>
    <row r="60" ht="18.75" customHeight="1">
      <c r="A60" s="9">
        <v>1213.0</v>
      </c>
      <c r="B60" s="11" t="s">
        <v>301</v>
      </c>
      <c r="C60" s="11" t="s">
        <v>302</v>
      </c>
      <c r="D60" s="11" t="s">
        <v>303</v>
      </c>
      <c r="E60" s="11" t="s">
        <v>304</v>
      </c>
      <c r="F60" s="11" t="s">
        <v>305</v>
      </c>
      <c r="G60" s="12">
        <v>46052.0</v>
      </c>
      <c r="H60" s="13">
        <v>46053.0</v>
      </c>
      <c r="I60" s="11" t="s">
        <v>25</v>
      </c>
      <c r="J60" s="11" t="s">
        <v>37</v>
      </c>
      <c r="K60" s="14" t="s">
        <v>31</v>
      </c>
      <c r="L60" s="11" t="s">
        <v>97</v>
      </c>
      <c r="M60" s="11" t="s">
        <v>306</v>
      </c>
      <c r="N60" s="16"/>
      <c r="O60" s="16"/>
      <c r="P60" s="16"/>
      <c r="Q60" s="17"/>
      <c r="R60" s="17"/>
      <c r="S60" s="17"/>
      <c r="T60" s="17"/>
      <c r="U60" s="17"/>
      <c r="V60" s="17"/>
      <c r="W60" s="17"/>
      <c r="X60" s="17"/>
      <c r="Y60" s="17"/>
    </row>
    <row r="61" ht="18.75" customHeight="1">
      <c r="A61" s="9">
        <v>1214.0</v>
      </c>
      <c r="B61" s="11" t="s">
        <v>307</v>
      </c>
      <c r="C61" s="11" t="s">
        <v>308</v>
      </c>
      <c r="D61" s="11" t="s">
        <v>94</v>
      </c>
      <c r="E61" s="11" t="s">
        <v>163</v>
      </c>
      <c r="F61" s="11" t="s">
        <v>309</v>
      </c>
      <c r="G61" s="12">
        <v>46053.0</v>
      </c>
      <c r="H61" s="13">
        <v>46054.0</v>
      </c>
      <c r="I61" s="11" t="s">
        <v>119</v>
      </c>
      <c r="J61" s="11" t="s">
        <v>37</v>
      </c>
      <c r="K61" s="14" t="s">
        <v>31</v>
      </c>
      <c r="L61" s="11" t="s">
        <v>38</v>
      </c>
      <c r="M61" s="11" t="s">
        <v>310</v>
      </c>
      <c r="N61" s="16"/>
      <c r="O61" s="16"/>
      <c r="P61" s="16"/>
      <c r="Q61" s="17"/>
      <c r="R61" s="17"/>
      <c r="S61" s="17"/>
      <c r="T61" s="17"/>
      <c r="U61" s="17"/>
      <c r="V61" s="17"/>
      <c r="W61" s="17"/>
      <c r="X61" s="17"/>
      <c r="Y61" s="17"/>
    </row>
    <row r="62" ht="18.75" customHeight="1">
      <c r="A62" s="9">
        <v>1215.0</v>
      </c>
      <c r="B62" s="11" t="s">
        <v>311</v>
      </c>
      <c r="C62" s="11" t="s">
        <v>312</v>
      </c>
      <c r="D62" s="11" t="s">
        <v>313</v>
      </c>
      <c r="E62" s="11" t="s">
        <v>314</v>
      </c>
      <c r="F62" s="11" t="s">
        <v>315</v>
      </c>
      <c r="G62" s="12">
        <v>46053.0</v>
      </c>
      <c r="H62" s="13">
        <v>46054.0</v>
      </c>
      <c r="I62" s="11" t="s">
        <v>119</v>
      </c>
      <c r="J62" s="11"/>
      <c r="K62" s="14" t="s">
        <v>31</v>
      </c>
      <c r="L62" s="11" t="s">
        <v>62</v>
      </c>
      <c r="M62" s="11" t="s">
        <v>316</v>
      </c>
      <c r="N62" s="16"/>
      <c r="O62" s="16"/>
      <c r="P62" s="16"/>
      <c r="Q62" s="17"/>
      <c r="R62" s="17"/>
      <c r="S62" s="17"/>
      <c r="T62" s="17"/>
      <c r="U62" s="17"/>
      <c r="V62" s="17"/>
      <c r="W62" s="17"/>
      <c r="X62" s="17"/>
      <c r="Y62" s="17"/>
    </row>
    <row r="63" ht="18.75" customHeight="1">
      <c r="A63" s="9">
        <v>1216.0</v>
      </c>
      <c r="B63" s="11" t="s">
        <v>317</v>
      </c>
      <c r="C63" s="11" t="s">
        <v>318</v>
      </c>
      <c r="D63" s="11" t="s">
        <v>122</v>
      </c>
      <c r="E63" s="11" t="s">
        <v>319</v>
      </c>
      <c r="F63" s="11" t="s">
        <v>320</v>
      </c>
      <c r="G63" s="12">
        <v>46076.0</v>
      </c>
      <c r="H63" s="13">
        <v>46077.0</v>
      </c>
      <c r="I63" s="11" t="s">
        <v>25</v>
      </c>
      <c r="J63" s="11" t="s">
        <v>37</v>
      </c>
      <c r="K63" s="14" t="s">
        <v>31</v>
      </c>
      <c r="L63" s="11" t="s">
        <v>38</v>
      </c>
      <c r="M63" s="11" t="s">
        <v>321</v>
      </c>
      <c r="N63" s="16"/>
      <c r="O63" s="16"/>
      <c r="P63" s="16"/>
      <c r="Q63" s="17"/>
      <c r="R63" s="17"/>
      <c r="S63" s="17"/>
      <c r="T63" s="17"/>
      <c r="U63" s="17"/>
      <c r="V63" s="17"/>
      <c r="W63" s="17"/>
      <c r="X63" s="17"/>
      <c r="Y63" s="17"/>
    </row>
    <row r="64" ht="18.75" customHeight="1">
      <c r="A64" s="9">
        <v>1217.0</v>
      </c>
      <c r="B64" s="11" t="s">
        <v>322</v>
      </c>
      <c r="C64" s="11" t="s">
        <v>323</v>
      </c>
      <c r="D64" s="11" t="s">
        <v>122</v>
      </c>
      <c r="E64" s="11" t="s">
        <v>189</v>
      </c>
      <c r="F64" s="11" t="s">
        <v>324</v>
      </c>
      <c r="G64" s="12">
        <v>46042.0</v>
      </c>
      <c r="H64" s="13">
        <v>46043.0</v>
      </c>
      <c r="I64" s="11" t="s">
        <v>251</v>
      </c>
      <c r="J64" s="11" t="s">
        <v>213</v>
      </c>
      <c r="K64" s="14" t="s">
        <v>31</v>
      </c>
      <c r="L64" s="11" t="s">
        <v>38</v>
      </c>
      <c r="M64" s="11" t="s">
        <v>325</v>
      </c>
      <c r="N64" s="16"/>
      <c r="O64" s="16"/>
      <c r="P64" s="16"/>
      <c r="Q64" s="17"/>
      <c r="R64" s="17"/>
      <c r="S64" s="17"/>
      <c r="T64" s="17"/>
      <c r="U64" s="17"/>
      <c r="V64" s="17"/>
      <c r="W64" s="17"/>
      <c r="X64" s="17"/>
      <c r="Y64" s="17"/>
    </row>
    <row r="65" ht="18.75" customHeight="1">
      <c r="A65" s="9">
        <v>1218.0</v>
      </c>
      <c r="B65" s="11" t="s">
        <v>326</v>
      </c>
      <c r="C65" s="11" t="s">
        <v>327</v>
      </c>
      <c r="D65" s="11" t="s">
        <v>328</v>
      </c>
      <c r="E65" s="11" t="s">
        <v>329</v>
      </c>
      <c r="F65" s="11" t="s">
        <v>330</v>
      </c>
      <c r="G65" s="12">
        <v>46112.0</v>
      </c>
      <c r="H65" s="12">
        <v>46113.0</v>
      </c>
      <c r="I65" s="11" t="s">
        <v>25</v>
      </c>
      <c r="J65" s="11" t="s">
        <v>37</v>
      </c>
      <c r="K65" s="14" t="s">
        <v>31</v>
      </c>
      <c r="L65" s="11"/>
      <c r="M65" s="15"/>
      <c r="N65" s="16"/>
      <c r="O65" s="16"/>
      <c r="P65" s="16"/>
      <c r="Q65" s="17"/>
      <c r="R65" s="17"/>
      <c r="S65" s="17"/>
      <c r="T65" s="17"/>
      <c r="U65" s="17"/>
      <c r="V65" s="17"/>
      <c r="W65" s="17"/>
      <c r="X65" s="17"/>
      <c r="Y65" s="17"/>
    </row>
    <row r="66" ht="18.75" customHeight="1">
      <c r="A66" s="9">
        <v>1219.0</v>
      </c>
      <c r="B66" s="11" t="s">
        <v>331</v>
      </c>
      <c r="C66" s="11" t="s">
        <v>332</v>
      </c>
      <c r="D66" s="11" t="s">
        <v>333</v>
      </c>
      <c r="E66" s="11" t="s">
        <v>334</v>
      </c>
      <c r="F66" s="11" t="s">
        <v>335</v>
      </c>
      <c r="G66" s="12">
        <v>46076.0</v>
      </c>
      <c r="H66" s="13">
        <v>46077.0</v>
      </c>
      <c r="I66" s="11" t="s">
        <v>25</v>
      </c>
      <c r="J66" s="11" t="s">
        <v>37</v>
      </c>
      <c r="K66" s="14" t="s">
        <v>31</v>
      </c>
      <c r="L66" s="11" t="s">
        <v>97</v>
      </c>
      <c r="M66" s="15"/>
      <c r="N66" s="16"/>
      <c r="O66" s="16"/>
      <c r="P66" s="16"/>
      <c r="Q66" s="17"/>
      <c r="R66" s="17"/>
      <c r="S66" s="17"/>
      <c r="T66" s="17"/>
      <c r="U66" s="17"/>
      <c r="V66" s="17"/>
      <c r="W66" s="17"/>
      <c r="X66" s="17"/>
      <c r="Y66" s="17"/>
    </row>
    <row r="67" ht="18.75" customHeight="1">
      <c r="A67" s="9">
        <v>1220.0</v>
      </c>
      <c r="B67" s="11" t="s">
        <v>336</v>
      </c>
      <c r="C67" s="11" t="s">
        <v>337</v>
      </c>
      <c r="D67" s="11" t="s">
        <v>42</v>
      </c>
      <c r="E67" s="11" t="s">
        <v>338</v>
      </c>
      <c r="F67" s="11" t="s">
        <v>339</v>
      </c>
      <c r="G67" s="12">
        <v>46037.0</v>
      </c>
      <c r="H67" s="13">
        <v>46038.0</v>
      </c>
      <c r="I67" s="11" t="s">
        <v>251</v>
      </c>
      <c r="J67" s="11"/>
      <c r="K67" s="14" t="s">
        <v>31</v>
      </c>
      <c r="L67" s="11"/>
      <c r="M67" s="15"/>
      <c r="N67" s="16"/>
      <c r="O67" s="16"/>
      <c r="P67" s="16"/>
      <c r="Q67" s="17"/>
      <c r="R67" s="17"/>
      <c r="S67" s="17"/>
      <c r="T67" s="17"/>
      <c r="U67" s="17"/>
      <c r="V67" s="17"/>
      <c r="W67" s="17"/>
      <c r="X67" s="17"/>
      <c r="Y67" s="17"/>
    </row>
    <row r="68" ht="18.75" customHeight="1">
      <c r="A68" s="9">
        <v>1221.0</v>
      </c>
      <c r="B68" s="11" t="s">
        <v>340</v>
      </c>
      <c r="C68" s="11" t="s">
        <v>341</v>
      </c>
      <c r="D68" s="11" t="s">
        <v>342</v>
      </c>
      <c r="E68" s="11" t="s">
        <v>154</v>
      </c>
      <c r="F68" s="11" t="s">
        <v>343</v>
      </c>
      <c r="G68" s="12">
        <v>46081.0</v>
      </c>
      <c r="H68" s="12">
        <v>46082.0</v>
      </c>
      <c r="I68" s="11" t="s">
        <v>21</v>
      </c>
      <c r="J68" s="11" t="s">
        <v>22</v>
      </c>
      <c r="K68" s="14"/>
      <c r="L68" s="11" t="s">
        <v>50</v>
      </c>
      <c r="M68" s="15"/>
      <c r="N68" s="16"/>
      <c r="O68" s="16"/>
      <c r="P68" s="16"/>
      <c r="Q68" s="17"/>
      <c r="R68" s="17"/>
      <c r="S68" s="17"/>
      <c r="T68" s="17"/>
      <c r="U68" s="17"/>
      <c r="V68" s="17"/>
      <c r="W68" s="17"/>
      <c r="X68" s="17"/>
      <c r="Y68" s="17"/>
    </row>
    <row r="69" ht="18.75" customHeight="1">
      <c r="A69" s="9">
        <v>1222.0</v>
      </c>
      <c r="B69" s="11" t="s">
        <v>344</v>
      </c>
      <c r="C69" s="11" t="s">
        <v>345</v>
      </c>
      <c r="D69" s="11" t="s">
        <v>346</v>
      </c>
      <c r="E69" s="11" t="s">
        <v>347</v>
      </c>
      <c r="F69" s="11" t="s">
        <v>348</v>
      </c>
      <c r="G69" s="12">
        <v>46053.0</v>
      </c>
      <c r="H69" s="13">
        <v>46054.0</v>
      </c>
      <c r="I69" s="11" t="s">
        <v>119</v>
      </c>
      <c r="J69" s="11" t="s">
        <v>37</v>
      </c>
      <c r="K69" s="14" t="s">
        <v>31</v>
      </c>
      <c r="L69" s="11" t="s">
        <v>38</v>
      </c>
      <c r="M69" s="15"/>
      <c r="N69" s="16"/>
      <c r="O69" s="16"/>
      <c r="P69" s="16"/>
      <c r="Q69" s="17"/>
      <c r="R69" s="17"/>
      <c r="S69" s="17"/>
      <c r="T69" s="17"/>
      <c r="U69" s="17"/>
      <c r="V69" s="17"/>
      <c r="W69" s="17"/>
      <c r="X69" s="17"/>
      <c r="Y69" s="17"/>
    </row>
    <row r="70" ht="18.75" customHeight="1">
      <c r="A70" s="9">
        <v>1223.0</v>
      </c>
      <c r="B70" s="11" t="s">
        <v>349</v>
      </c>
      <c r="C70" s="11" t="s">
        <v>350</v>
      </c>
      <c r="D70" s="11" t="s">
        <v>351</v>
      </c>
      <c r="E70" s="11" t="s">
        <v>352</v>
      </c>
      <c r="F70" s="11" t="s">
        <v>353</v>
      </c>
      <c r="G70" s="12">
        <v>46081.0</v>
      </c>
      <c r="H70" s="12">
        <v>46082.0</v>
      </c>
      <c r="I70" s="11" t="s">
        <v>25</v>
      </c>
      <c r="J70" s="11" t="s">
        <v>37</v>
      </c>
      <c r="K70" s="14" t="s">
        <v>31</v>
      </c>
      <c r="L70" s="11"/>
      <c r="M70" s="15"/>
      <c r="N70" s="16"/>
      <c r="O70" s="16"/>
      <c r="P70" s="16"/>
      <c r="Q70" s="17"/>
      <c r="R70" s="17"/>
      <c r="S70" s="17"/>
      <c r="T70" s="17"/>
      <c r="U70" s="17"/>
      <c r="V70" s="17"/>
      <c r="W70" s="17"/>
      <c r="X70" s="17"/>
      <c r="Y70" s="17"/>
    </row>
    <row r="71" ht="18.75" customHeight="1">
      <c r="A71" s="9">
        <v>1224.0</v>
      </c>
      <c r="B71" s="11" t="s">
        <v>354</v>
      </c>
      <c r="C71" s="11" t="s">
        <v>355</v>
      </c>
      <c r="D71" s="11" t="s">
        <v>356</v>
      </c>
      <c r="E71" s="11" t="s">
        <v>357</v>
      </c>
      <c r="F71" s="11" t="s">
        <v>358</v>
      </c>
      <c r="G71" s="12">
        <v>46053.0</v>
      </c>
      <c r="H71" s="13">
        <v>46054.0</v>
      </c>
      <c r="I71" s="11" t="s">
        <v>119</v>
      </c>
      <c r="J71" s="11" t="s">
        <v>37</v>
      </c>
      <c r="K71" s="14" t="s">
        <v>31</v>
      </c>
      <c r="L71" s="11" t="s">
        <v>50</v>
      </c>
      <c r="M71" s="11" t="s">
        <v>359</v>
      </c>
      <c r="N71" s="16"/>
      <c r="O71" s="16"/>
      <c r="P71" s="16"/>
      <c r="Q71" s="17"/>
      <c r="R71" s="17"/>
      <c r="S71" s="17"/>
      <c r="T71" s="17"/>
      <c r="U71" s="17"/>
      <c r="V71" s="17"/>
      <c r="W71" s="17"/>
      <c r="X71" s="17"/>
      <c r="Y71" s="17"/>
    </row>
    <row r="72" ht="18.75" customHeight="1">
      <c r="A72" s="9">
        <v>1225.0</v>
      </c>
      <c r="B72" s="11" t="s">
        <v>360</v>
      </c>
      <c r="C72" s="11" t="s">
        <v>361</v>
      </c>
      <c r="D72" s="11" t="s">
        <v>362</v>
      </c>
      <c r="E72" s="11" t="s">
        <v>363</v>
      </c>
      <c r="F72" s="11" t="s">
        <v>364</v>
      </c>
      <c r="G72" s="12">
        <v>46081.0</v>
      </c>
      <c r="H72" s="12">
        <v>46082.0</v>
      </c>
      <c r="I72" s="11" t="s">
        <v>25</v>
      </c>
      <c r="J72" s="11" t="s">
        <v>37</v>
      </c>
      <c r="K72" s="14" t="s">
        <v>31</v>
      </c>
      <c r="L72" s="11" t="s">
        <v>97</v>
      </c>
      <c r="M72" s="15"/>
      <c r="N72" s="16"/>
      <c r="O72" s="16"/>
      <c r="P72" s="16"/>
      <c r="Q72" s="17"/>
      <c r="R72" s="17"/>
      <c r="S72" s="17"/>
      <c r="T72" s="17"/>
      <c r="U72" s="17"/>
      <c r="V72" s="17"/>
      <c r="W72" s="17"/>
      <c r="X72" s="17"/>
      <c r="Y72" s="17"/>
    </row>
    <row r="73" ht="18.75" customHeight="1">
      <c r="A73" s="9">
        <v>1226.0</v>
      </c>
      <c r="B73" s="11" t="s">
        <v>365</v>
      </c>
      <c r="C73" s="11" t="s">
        <v>366</v>
      </c>
      <c r="D73" s="11" t="s">
        <v>367</v>
      </c>
      <c r="E73" s="11" t="s">
        <v>368</v>
      </c>
      <c r="F73" s="11" t="s">
        <v>369</v>
      </c>
      <c r="G73" s="12">
        <v>46053.0</v>
      </c>
      <c r="H73" s="13">
        <v>46054.0</v>
      </c>
      <c r="I73" s="11" t="s">
        <v>119</v>
      </c>
      <c r="J73" s="11" t="s">
        <v>37</v>
      </c>
      <c r="K73" s="14" t="s">
        <v>31</v>
      </c>
      <c r="L73" s="11"/>
      <c r="M73" s="15"/>
      <c r="N73" s="16"/>
      <c r="O73" s="16"/>
      <c r="P73" s="16"/>
      <c r="Q73" s="17"/>
      <c r="R73" s="17"/>
      <c r="S73" s="17"/>
      <c r="T73" s="17"/>
      <c r="U73" s="17"/>
      <c r="V73" s="17"/>
      <c r="W73" s="17"/>
      <c r="X73" s="17"/>
      <c r="Y73" s="17"/>
    </row>
    <row r="74" ht="18.75" customHeight="1">
      <c r="A74" s="9">
        <v>1227.0</v>
      </c>
      <c r="B74" s="11" t="s">
        <v>370</v>
      </c>
      <c r="C74" s="11" t="s">
        <v>371</v>
      </c>
      <c r="D74" s="11" t="s">
        <v>372</v>
      </c>
      <c r="E74" s="11" t="s">
        <v>373</v>
      </c>
      <c r="F74" s="11" t="s">
        <v>374</v>
      </c>
      <c r="G74" s="12">
        <v>46081.0</v>
      </c>
      <c r="H74" s="12">
        <v>46082.0</v>
      </c>
      <c r="I74" s="11" t="s">
        <v>25</v>
      </c>
      <c r="J74" s="11" t="s">
        <v>37</v>
      </c>
      <c r="K74" s="14" t="s">
        <v>31</v>
      </c>
      <c r="L74" s="11" t="s">
        <v>97</v>
      </c>
      <c r="M74" s="15"/>
      <c r="N74" s="16"/>
      <c r="O74" s="16"/>
      <c r="P74" s="16"/>
      <c r="Q74" s="17"/>
      <c r="R74" s="17"/>
      <c r="S74" s="17"/>
      <c r="T74" s="17"/>
      <c r="U74" s="17"/>
      <c r="V74" s="17"/>
      <c r="W74" s="17"/>
      <c r="X74" s="17"/>
      <c r="Y74" s="17"/>
    </row>
    <row r="75" ht="18.75" customHeight="1">
      <c r="A75" s="9">
        <v>1228.0</v>
      </c>
      <c r="B75" s="11" t="s">
        <v>375</v>
      </c>
      <c r="C75" s="11" t="s">
        <v>376</v>
      </c>
      <c r="D75" s="11" t="s">
        <v>122</v>
      </c>
      <c r="E75" s="11" t="s">
        <v>123</v>
      </c>
      <c r="F75" s="11" t="s">
        <v>377</v>
      </c>
      <c r="G75" s="12">
        <v>46053.0</v>
      </c>
      <c r="H75" s="13">
        <v>46054.0</v>
      </c>
      <c r="I75" s="11" t="s">
        <v>251</v>
      </c>
      <c r="J75" s="11" t="s">
        <v>213</v>
      </c>
      <c r="K75" s="14" t="s">
        <v>31</v>
      </c>
      <c r="L75" s="11"/>
      <c r="M75" s="15"/>
      <c r="N75" s="16"/>
      <c r="O75" s="16"/>
      <c r="P75" s="16"/>
      <c r="Q75" s="17"/>
      <c r="R75" s="17"/>
      <c r="S75" s="17"/>
      <c r="T75" s="17"/>
      <c r="U75" s="17"/>
      <c r="V75" s="17"/>
      <c r="W75" s="17"/>
      <c r="X75" s="17"/>
      <c r="Y75" s="17"/>
    </row>
    <row r="76" ht="18.75" customHeight="1">
      <c r="A76" s="9">
        <v>1229.0</v>
      </c>
      <c r="B76" s="11" t="s">
        <v>378</v>
      </c>
      <c r="C76" s="11" t="s">
        <v>379</v>
      </c>
      <c r="D76" s="11" t="s">
        <v>380</v>
      </c>
      <c r="E76" s="11" t="s">
        <v>381</v>
      </c>
      <c r="F76" s="11" t="s">
        <v>382</v>
      </c>
      <c r="G76" s="12">
        <v>46081.0</v>
      </c>
      <c r="H76" s="12">
        <v>46082.0</v>
      </c>
      <c r="I76" s="11" t="s">
        <v>25</v>
      </c>
      <c r="J76" s="11" t="s">
        <v>37</v>
      </c>
      <c r="K76" s="14" t="s">
        <v>31</v>
      </c>
      <c r="L76" s="11"/>
      <c r="M76" s="15"/>
      <c r="N76" s="16"/>
      <c r="O76" s="16"/>
      <c r="P76" s="16"/>
      <c r="Q76" s="17"/>
      <c r="R76" s="17"/>
      <c r="S76" s="17"/>
      <c r="T76" s="17"/>
      <c r="U76" s="17"/>
      <c r="V76" s="17"/>
      <c r="W76" s="17"/>
      <c r="X76" s="17"/>
      <c r="Y76" s="17"/>
    </row>
    <row r="77" ht="18.75" customHeight="1">
      <c r="A77" s="9">
        <v>1230.0</v>
      </c>
      <c r="B77" s="11" t="s">
        <v>383</v>
      </c>
      <c r="C77" s="11" t="s">
        <v>384</v>
      </c>
      <c r="D77" s="11" t="s">
        <v>122</v>
      </c>
      <c r="E77" s="11" t="s">
        <v>385</v>
      </c>
      <c r="F77" s="11" t="s">
        <v>386</v>
      </c>
      <c r="G77" s="12">
        <v>46053.0</v>
      </c>
      <c r="H77" s="13">
        <v>46054.0</v>
      </c>
      <c r="I77" s="11" t="s">
        <v>251</v>
      </c>
      <c r="J77" s="11" t="s">
        <v>213</v>
      </c>
      <c r="K77" s="14" t="s">
        <v>31</v>
      </c>
      <c r="L77" s="11"/>
      <c r="M77" s="15"/>
      <c r="N77" s="16"/>
      <c r="O77" s="16"/>
      <c r="P77" s="16"/>
      <c r="Q77" s="17"/>
      <c r="R77" s="17"/>
      <c r="S77" s="17"/>
      <c r="T77" s="17"/>
      <c r="U77" s="17"/>
      <c r="V77" s="17"/>
      <c r="W77" s="17"/>
      <c r="X77" s="17"/>
      <c r="Y77" s="17"/>
    </row>
    <row r="78" ht="18.75" customHeight="1">
      <c r="A78" s="9">
        <v>1231.0</v>
      </c>
      <c r="B78" s="11" t="s">
        <v>387</v>
      </c>
      <c r="C78" s="11" t="s">
        <v>388</v>
      </c>
      <c r="D78" s="11" t="s">
        <v>342</v>
      </c>
      <c r="E78" s="11" t="s">
        <v>389</v>
      </c>
      <c r="F78" s="11" t="s">
        <v>390</v>
      </c>
      <c r="G78" s="12">
        <v>46066.0</v>
      </c>
      <c r="H78" s="13">
        <v>46067.0</v>
      </c>
      <c r="I78" s="11" t="s">
        <v>119</v>
      </c>
      <c r="J78" s="11"/>
      <c r="K78" s="14" t="s">
        <v>31</v>
      </c>
      <c r="L78" s="11" t="s">
        <v>62</v>
      </c>
      <c r="M78" s="11" t="s">
        <v>391</v>
      </c>
      <c r="N78" s="16"/>
      <c r="O78" s="16"/>
      <c r="P78" s="16"/>
      <c r="Q78" s="17"/>
      <c r="R78" s="17"/>
      <c r="S78" s="17"/>
      <c r="T78" s="17"/>
      <c r="U78" s="17"/>
      <c r="V78" s="17"/>
      <c r="W78" s="17"/>
      <c r="X78" s="17"/>
      <c r="Y78" s="17"/>
    </row>
    <row r="79" ht="18.75" customHeight="1">
      <c r="A79" s="9">
        <v>1232.0</v>
      </c>
      <c r="B79" s="11" t="s">
        <v>392</v>
      </c>
      <c r="C79" s="11" t="s">
        <v>393</v>
      </c>
      <c r="D79" s="11" t="s">
        <v>394</v>
      </c>
      <c r="E79" s="11" t="s">
        <v>395</v>
      </c>
      <c r="F79" s="11" t="s">
        <v>396</v>
      </c>
      <c r="G79" s="12">
        <v>46081.0</v>
      </c>
      <c r="H79" s="13">
        <v>46082.0</v>
      </c>
      <c r="I79" s="11" t="s">
        <v>25</v>
      </c>
      <c r="J79" s="11"/>
      <c r="K79" s="14" t="s">
        <v>31</v>
      </c>
      <c r="L79" s="11"/>
      <c r="M79" s="11" t="s">
        <v>397</v>
      </c>
      <c r="N79" s="16"/>
      <c r="O79" s="16"/>
      <c r="P79" s="16"/>
      <c r="Q79" s="17"/>
      <c r="R79" s="17"/>
      <c r="S79" s="17"/>
      <c r="T79" s="17"/>
      <c r="U79" s="17"/>
      <c r="V79" s="17"/>
      <c r="W79" s="17"/>
      <c r="X79" s="17"/>
      <c r="Y79" s="17"/>
    </row>
    <row r="80" ht="18.75" customHeight="1">
      <c r="A80" s="9">
        <v>1233.0</v>
      </c>
      <c r="B80" s="11" t="s">
        <v>398</v>
      </c>
      <c r="C80" s="11" t="s">
        <v>399</v>
      </c>
      <c r="D80" s="11" t="s">
        <v>128</v>
      </c>
      <c r="E80" s="11" t="s">
        <v>245</v>
      </c>
      <c r="F80" s="11" t="s">
        <v>400</v>
      </c>
      <c r="G80" s="12">
        <v>46084.0</v>
      </c>
      <c r="H80" s="13">
        <v>46085.0</v>
      </c>
      <c r="I80" s="11" t="s">
        <v>25</v>
      </c>
      <c r="J80" s="11"/>
      <c r="K80" s="14" t="s">
        <v>31</v>
      </c>
      <c r="L80" s="11" t="s">
        <v>97</v>
      </c>
      <c r="M80" s="11" t="s">
        <v>401</v>
      </c>
      <c r="N80" s="16"/>
      <c r="O80" s="16"/>
      <c r="P80" s="16"/>
      <c r="Q80" s="17"/>
      <c r="R80" s="17"/>
      <c r="S80" s="17"/>
      <c r="T80" s="17"/>
      <c r="U80" s="17"/>
      <c r="V80" s="17"/>
      <c r="W80" s="17"/>
      <c r="X80" s="17"/>
      <c r="Y80" s="17"/>
    </row>
    <row r="81" ht="18.75" customHeight="1">
      <c r="A81" s="9">
        <v>1234.0</v>
      </c>
      <c r="B81" s="11" t="s">
        <v>402</v>
      </c>
      <c r="C81" s="11" t="s">
        <v>403</v>
      </c>
      <c r="D81" s="11" t="s">
        <v>122</v>
      </c>
      <c r="E81" s="11" t="s">
        <v>404</v>
      </c>
      <c r="F81" s="11" t="s">
        <v>405</v>
      </c>
      <c r="G81" s="12">
        <v>46053.0</v>
      </c>
      <c r="H81" s="13">
        <v>46054.0</v>
      </c>
      <c r="I81" s="11" t="s">
        <v>251</v>
      </c>
      <c r="J81" s="11" t="s">
        <v>213</v>
      </c>
      <c r="K81" s="14" t="s">
        <v>31</v>
      </c>
      <c r="L81" s="11" t="s">
        <v>62</v>
      </c>
      <c r="M81" s="11" t="s">
        <v>406</v>
      </c>
      <c r="N81" s="16"/>
      <c r="O81" s="16"/>
      <c r="P81" s="16"/>
      <c r="Q81" s="17"/>
      <c r="R81" s="17"/>
      <c r="S81" s="17"/>
      <c r="T81" s="17"/>
      <c r="U81" s="17"/>
      <c r="V81" s="17"/>
      <c r="W81" s="17"/>
      <c r="X81" s="17"/>
      <c r="Y81" s="17"/>
    </row>
    <row r="82" ht="18.75" customHeight="1">
      <c r="A82" s="9">
        <v>1235.0</v>
      </c>
      <c r="B82" s="11" t="s">
        <v>407</v>
      </c>
      <c r="C82" s="11" t="s">
        <v>408</v>
      </c>
      <c r="D82" s="11" t="s">
        <v>409</v>
      </c>
      <c r="E82" s="11" t="s">
        <v>410</v>
      </c>
      <c r="F82" s="11" t="s">
        <v>411</v>
      </c>
      <c r="G82" s="12">
        <v>46081.0</v>
      </c>
      <c r="H82" s="12">
        <v>46082.0</v>
      </c>
      <c r="I82" s="11" t="s">
        <v>119</v>
      </c>
      <c r="J82" s="11" t="s">
        <v>37</v>
      </c>
      <c r="K82" s="14" t="s">
        <v>31</v>
      </c>
      <c r="L82" s="11"/>
      <c r="M82" s="15"/>
      <c r="N82" s="16"/>
      <c r="O82" s="16"/>
      <c r="P82" s="16"/>
      <c r="Q82" s="17"/>
      <c r="R82" s="17"/>
      <c r="S82" s="17"/>
      <c r="T82" s="17"/>
      <c r="U82" s="17"/>
      <c r="V82" s="17"/>
      <c r="W82" s="17"/>
      <c r="X82" s="17"/>
      <c r="Y82" s="17"/>
    </row>
    <row r="83" ht="18.75" customHeight="1">
      <c r="A83" s="9">
        <v>1236.0</v>
      </c>
      <c r="B83" s="11" t="s">
        <v>412</v>
      </c>
      <c r="C83" s="11" t="s">
        <v>413</v>
      </c>
      <c r="D83" s="11" t="s">
        <v>414</v>
      </c>
      <c r="E83" s="11" t="s">
        <v>415</v>
      </c>
      <c r="F83" s="11" t="s">
        <v>416</v>
      </c>
      <c r="G83" s="12">
        <v>46053.0</v>
      </c>
      <c r="H83" s="13">
        <v>46054.0</v>
      </c>
      <c r="I83" s="11" t="s">
        <v>251</v>
      </c>
      <c r="J83" s="11" t="s">
        <v>213</v>
      </c>
      <c r="K83" s="14" t="s">
        <v>31</v>
      </c>
      <c r="L83" s="11"/>
      <c r="M83" s="15"/>
      <c r="N83" s="16"/>
      <c r="O83" s="16"/>
      <c r="P83" s="16"/>
      <c r="Q83" s="17"/>
      <c r="R83" s="17"/>
      <c r="S83" s="17"/>
      <c r="T83" s="17"/>
      <c r="U83" s="17"/>
      <c r="V83" s="17"/>
      <c r="W83" s="17"/>
      <c r="X83" s="17"/>
      <c r="Y83" s="17"/>
    </row>
    <row r="84" ht="18.75" customHeight="1">
      <c r="A84" s="9">
        <v>1237.0</v>
      </c>
      <c r="B84" s="11" t="s">
        <v>417</v>
      </c>
      <c r="C84" s="11" t="s">
        <v>418</v>
      </c>
      <c r="D84" s="11" t="s">
        <v>110</v>
      </c>
      <c r="E84" s="11" t="s">
        <v>419</v>
      </c>
      <c r="F84" s="11" t="s">
        <v>420</v>
      </c>
      <c r="G84" s="12">
        <v>46058.0</v>
      </c>
      <c r="H84" s="13">
        <v>46059.0</v>
      </c>
      <c r="I84" s="11" t="s">
        <v>251</v>
      </c>
      <c r="J84" s="11" t="s">
        <v>213</v>
      </c>
      <c r="K84" s="14" t="s">
        <v>31</v>
      </c>
      <c r="L84" s="11"/>
      <c r="M84" s="11" t="s">
        <v>421</v>
      </c>
      <c r="N84" s="16"/>
      <c r="O84" s="16"/>
      <c r="P84" s="16"/>
      <c r="Q84" s="17"/>
      <c r="R84" s="17"/>
      <c r="S84" s="17"/>
      <c r="T84" s="17"/>
      <c r="U84" s="17"/>
      <c r="V84" s="17"/>
      <c r="W84" s="17"/>
      <c r="X84" s="17"/>
      <c r="Y84" s="17"/>
    </row>
    <row r="85" ht="18.75" customHeight="1">
      <c r="A85" s="9">
        <v>1238.0</v>
      </c>
      <c r="B85" s="11" t="s">
        <v>422</v>
      </c>
      <c r="C85" s="11" t="s">
        <v>423</v>
      </c>
      <c r="D85" s="11" t="s">
        <v>122</v>
      </c>
      <c r="E85" s="11" t="s">
        <v>424</v>
      </c>
      <c r="F85" s="11" t="s">
        <v>425</v>
      </c>
      <c r="G85" s="12">
        <v>46068.0</v>
      </c>
      <c r="H85" s="13">
        <v>46069.0</v>
      </c>
      <c r="I85" s="11" t="s">
        <v>119</v>
      </c>
      <c r="J85" s="11"/>
      <c r="K85" s="14" t="s">
        <v>31</v>
      </c>
      <c r="L85" s="11"/>
      <c r="M85" s="11" t="s">
        <v>426</v>
      </c>
      <c r="N85" s="16"/>
      <c r="O85" s="16"/>
      <c r="P85" s="16"/>
      <c r="Q85" s="17"/>
      <c r="R85" s="17"/>
      <c r="S85" s="17"/>
      <c r="T85" s="17"/>
      <c r="U85" s="17"/>
      <c r="V85" s="17"/>
      <c r="W85" s="17"/>
      <c r="X85" s="17"/>
      <c r="Y85" s="17"/>
    </row>
    <row r="86" ht="18.75" customHeight="1">
      <c r="A86" s="9">
        <v>1239.0</v>
      </c>
      <c r="B86" s="11" t="s">
        <v>427</v>
      </c>
      <c r="C86" s="11" t="s">
        <v>428</v>
      </c>
      <c r="D86" s="11" t="s">
        <v>429</v>
      </c>
      <c r="E86" s="11" t="s">
        <v>430</v>
      </c>
      <c r="F86" s="11" t="s">
        <v>431</v>
      </c>
      <c r="G86" s="12">
        <v>46055.0</v>
      </c>
      <c r="H86" s="13">
        <v>46056.0</v>
      </c>
      <c r="I86" s="11" t="s">
        <v>251</v>
      </c>
      <c r="J86" s="11" t="s">
        <v>213</v>
      </c>
      <c r="K86" s="14" t="s">
        <v>31</v>
      </c>
      <c r="L86" s="11"/>
      <c r="M86" s="15"/>
      <c r="N86" s="16"/>
      <c r="O86" s="16"/>
      <c r="P86" s="16"/>
      <c r="Q86" s="17"/>
      <c r="R86" s="17"/>
      <c r="S86" s="17"/>
      <c r="T86" s="17"/>
      <c r="U86" s="17"/>
      <c r="V86" s="17"/>
      <c r="W86" s="17"/>
      <c r="X86" s="17"/>
      <c r="Y86" s="17"/>
    </row>
    <row r="87" ht="18.75" customHeight="1">
      <c r="A87" s="9">
        <v>1240.0</v>
      </c>
      <c r="B87" s="11" t="s">
        <v>432</v>
      </c>
      <c r="C87" s="11" t="s">
        <v>433</v>
      </c>
      <c r="D87" s="11" t="s">
        <v>122</v>
      </c>
      <c r="E87" s="11" t="s">
        <v>143</v>
      </c>
      <c r="F87" s="11" t="s">
        <v>434</v>
      </c>
      <c r="G87" s="12">
        <v>46056.0</v>
      </c>
      <c r="H87" s="13">
        <v>46057.0</v>
      </c>
      <c r="I87" s="11" t="s">
        <v>251</v>
      </c>
      <c r="J87" s="11" t="s">
        <v>213</v>
      </c>
      <c r="K87" s="14" t="s">
        <v>31</v>
      </c>
      <c r="L87" s="11"/>
      <c r="M87" s="15"/>
      <c r="N87" s="16"/>
      <c r="O87" s="16"/>
      <c r="P87" s="16"/>
      <c r="Q87" s="17"/>
      <c r="R87" s="17"/>
      <c r="S87" s="17"/>
      <c r="T87" s="17"/>
      <c r="U87" s="17"/>
      <c r="V87" s="17"/>
      <c r="W87" s="17"/>
      <c r="X87" s="17"/>
      <c r="Y87" s="17"/>
    </row>
    <row r="88" ht="18.75" customHeight="1">
      <c r="A88" s="9">
        <v>1241.0</v>
      </c>
      <c r="B88" s="11" t="s">
        <v>435</v>
      </c>
      <c r="C88" s="11" t="s">
        <v>436</v>
      </c>
      <c r="D88" s="11" t="s">
        <v>122</v>
      </c>
      <c r="E88" s="11" t="s">
        <v>437</v>
      </c>
      <c r="F88" s="11" t="s">
        <v>438</v>
      </c>
      <c r="G88" s="12">
        <v>46063.0</v>
      </c>
      <c r="H88" s="13">
        <v>46064.0</v>
      </c>
      <c r="I88" s="11" t="s">
        <v>251</v>
      </c>
      <c r="J88" s="11"/>
      <c r="K88" s="14" t="s">
        <v>31</v>
      </c>
      <c r="L88" s="11"/>
      <c r="M88" s="15"/>
      <c r="N88" s="16"/>
      <c r="O88" s="16"/>
      <c r="P88" s="16"/>
      <c r="Q88" s="17"/>
      <c r="R88" s="17"/>
      <c r="S88" s="17"/>
      <c r="T88" s="17"/>
      <c r="U88" s="17"/>
      <c r="V88" s="17"/>
      <c r="W88" s="17"/>
      <c r="X88" s="17"/>
      <c r="Y88" s="17"/>
    </row>
    <row r="89" ht="18.75" customHeight="1">
      <c r="A89" s="9">
        <v>1242.0</v>
      </c>
      <c r="B89" s="11" t="s">
        <v>439</v>
      </c>
      <c r="C89" s="11" t="s">
        <v>440</v>
      </c>
      <c r="D89" s="11" t="s">
        <v>42</v>
      </c>
      <c r="E89" s="23" t="s">
        <v>249</v>
      </c>
      <c r="F89" s="11" t="s">
        <v>441</v>
      </c>
      <c r="G89" s="12">
        <v>46055.0</v>
      </c>
      <c r="H89" s="13">
        <v>46056.0</v>
      </c>
      <c r="I89" s="11" t="s">
        <v>251</v>
      </c>
      <c r="J89" s="11"/>
      <c r="K89" s="14" t="s">
        <v>31</v>
      </c>
      <c r="L89" s="11"/>
      <c r="M89" s="15"/>
      <c r="N89" s="16"/>
      <c r="O89" s="16"/>
      <c r="P89" s="16"/>
      <c r="Q89" s="17"/>
      <c r="R89" s="17"/>
      <c r="S89" s="17"/>
      <c r="T89" s="17"/>
      <c r="U89" s="17"/>
      <c r="V89" s="17"/>
      <c r="W89" s="17"/>
      <c r="X89" s="17"/>
      <c r="Y89" s="17"/>
    </row>
    <row r="90" ht="18.75" customHeight="1">
      <c r="A90" s="9">
        <v>1243.0</v>
      </c>
      <c r="B90" s="11" t="s">
        <v>442</v>
      </c>
      <c r="C90" s="11" t="s">
        <v>443</v>
      </c>
      <c r="D90" s="11" t="s">
        <v>444</v>
      </c>
      <c r="E90" s="11" t="s">
        <v>445</v>
      </c>
      <c r="F90" s="11" t="s">
        <v>446</v>
      </c>
      <c r="G90" s="12">
        <v>46063.0</v>
      </c>
      <c r="H90" s="13">
        <v>46064.0</v>
      </c>
      <c r="I90" s="11" t="s">
        <v>251</v>
      </c>
      <c r="J90" s="11"/>
      <c r="K90" s="14" t="s">
        <v>31</v>
      </c>
      <c r="L90" s="11"/>
      <c r="M90" s="15"/>
      <c r="N90" s="16"/>
      <c r="O90" s="16"/>
      <c r="P90" s="16"/>
      <c r="Q90" s="17"/>
      <c r="R90" s="17"/>
      <c r="S90" s="17"/>
      <c r="T90" s="17"/>
      <c r="U90" s="17"/>
      <c r="V90" s="17"/>
      <c r="W90" s="17"/>
      <c r="X90" s="17"/>
      <c r="Y90" s="17"/>
    </row>
    <row r="91" ht="18.75" customHeight="1">
      <c r="A91" s="9">
        <v>1244.0</v>
      </c>
      <c r="B91" s="11" t="s">
        <v>447</v>
      </c>
      <c r="C91" s="11" t="s">
        <v>448</v>
      </c>
      <c r="D91" s="11" t="s">
        <v>65</v>
      </c>
      <c r="E91" s="11" t="s">
        <v>449</v>
      </c>
      <c r="F91" s="11" t="s">
        <v>450</v>
      </c>
      <c r="G91" s="12">
        <v>46081.0</v>
      </c>
      <c r="H91" s="12">
        <v>46082.0</v>
      </c>
      <c r="I91" s="11" t="s">
        <v>119</v>
      </c>
      <c r="J91" s="11" t="s">
        <v>37</v>
      </c>
      <c r="K91" s="14" t="s">
        <v>31</v>
      </c>
      <c r="L91" s="11"/>
      <c r="M91" s="15"/>
      <c r="N91" s="16"/>
      <c r="O91" s="16"/>
      <c r="P91" s="16"/>
      <c r="Q91" s="17"/>
      <c r="R91" s="17"/>
      <c r="S91" s="17"/>
      <c r="T91" s="17"/>
      <c r="U91" s="17"/>
      <c r="V91" s="17"/>
      <c r="W91" s="17"/>
      <c r="X91" s="17"/>
      <c r="Y91" s="17"/>
    </row>
    <row r="92" ht="18.75" customHeight="1">
      <c r="A92" s="9">
        <v>1245.0</v>
      </c>
      <c r="B92" s="11" t="s">
        <v>451</v>
      </c>
      <c r="C92" s="11" t="s">
        <v>452</v>
      </c>
      <c r="D92" s="11" t="s">
        <v>59</v>
      </c>
      <c r="E92" s="11" t="s">
        <v>211</v>
      </c>
      <c r="F92" s="11" t="s">
        <v>453</v>
      </c>
      <c r="G92" s="13">
        <v>46068.0</v>
      </c>
      <c r="H92" s="13">
        <v>46069.0</v>
      </c>
      <c r="I92" s="11" t="s">
        <v>119</v>
      </c>
      <c r="J92" s="11"/>
      <c r="K92" s="14" t="s">
        <v>31</v>
      </c>
      <c r="L92" s="11" t="s">
        <v>38</v>
      </c>
      <c r="M92" s="15"/>
      <c r="N92" s="16"/>
      <c r="O92" s="16"/>
      <c r="P92" s="16"/>
      <c r="Q92" s="17"/>
      <c r="R92" s="17"/>
      <c r="S92" s="17"/>
      <c r="T92" s="17"/>
      <c r="U92" s="17"/>
      <c r="V92" s="17"/>
      <c r="W92" s="17"/>
      <c r="X92" s="17"/>
      <c r="Y92" s="17"/>
    </row>
    <row r="93" ht="18.75" customHeight="1">
      <c r="A93" s="9">
        <v>1246.0</v>
      </c>
      <c r="B93" s="11" t="s">
        <v>454</v>
      </c>
      <c r="C93" s="11" t="s">
        <v>455</v>
      </c>
      <c r="D93" s="11" t="s">
        <v>328</v>
      </c>
      <c r="E93" s="11" t="s">
        <v>456</v>
      </c>
      <c r="F93" s="11" t="s">
        <v>457</v>
      </c>
      <c r="G93" s="12">
        <v>46099.0</v>
      </c>
      <c r="H93" s="12">
        <v>46100.0</v>
      </c>
      <c r="I93" s="11" t="s">
        <v>25</v>
      </c>
      <c r="J93" s="11" t="s">
        <v>37</v>
      </c>
      <c r="K93" s="14" t="s">
        <v>31</v>
      </c>
      <c r="L93" s="11" t="s">
        <v>50</v>
      </c>
      <c r="M93" s="15"/>
      <c r="N93" s="16"/>
      <c r="O93" s="16"/>
      <c r="P93" s="16"/>
      <c r="Q93" s="17"/>
      <c r="R93" s="17"/>
      <c r="S93" s="17"/>
      <c r="T93" s="17"/>
      <c r="U93" s="17"/>
      <c r="V93" s="17"/>
      <c r="W93" s="17"/>
      <c r="X93" s="17"/>
      <c r="Y93" s="17"/>
    </row>
    <row r="94" ht="18.75" customHeight="1">
      <c r="A94" s="9">
        <v>1247.0</v>
      </c>
      <c r="B94" s="11" t="s">
        <v>458</v>
      </c>
      <c r="C94" s="11" t="s">
        <v>459</v>
      </c>
      <c r="D94" s="11" t="s">
        <v>394</v>
      </c>
      <c r="E94" s="11" t="s">
        <v>460</v>
      </c>
      <c r="F94" s="11" t="s">
        <v>461</v>
      </c>
      <c r="G94" s="12">
        <v>46093.0</v>
      </c>
      <c r="H94" s="13">
        <v>46094.0</v>
      </c>
      <c r="I94" s="11" t="s">
        <v>25</v>
      </c>
      <c r="J94" s="11"/>
      <c r="K94" s="14" t="s">
        <v>31</v>
      </c>
      <c r="L94" s="11"/>
      <c r="M94" s="11" t="s">
        <v>462</v>
      </c>
      <c r="N94" s="16"/>
      <c r="O94" s="16"/>
      <c r="P94" s="16"/>
      <c r="Q94" s="17"/>
      <c r="R94" s="17"/>
      <c r="S94" s="17"/>
      <c r="T94" s="17"/>
      <c r="U94" s="17"/>
      <c r="V94" s="17"/>
      <c r="W94" s="17"/>
      <c r="X94" s="17"/>
      <c r="Y94" s="17"/>
    </row>
    <row r="95" ht="18.75" customHeight="1">
      <c r="A95" s="9">
        <v>1248.0</v>
      </c>
      <c r="B95" s="11" t="s">
        <v>463</v>
      </c>
      <c r="C95" s="11" t="s">
        <v>464</v>
      </c>
      <c r="D95" s="11" t="s">
        <v>465</v>
      </c>
      <c r="E95" s="11" t="s">
        <v>319</v>
      </c>
      <c r="F95" s="11" t="s">
        <v>466</v>
      </c>
      <c r="G95" s="12">
        <v>46098.0</v>
      </c>
      <c r="H95" s="13">
        <v>46099.0</v>
      </c>
      <c r="I95" s="11" t="s">
        <v>25</v>
      </c>
      <c r="J95" s="11"/>
      <c r="K95" s="14" t="s">
        <v>31</v>
      </c>
      <c r="L95" s="11"/>
      <c r="M95" s="11" t="s">
        <v>467</v>
      </c>
      <c r="N95" s="16"/>
      <c r="O95" s="16"/>
      <c r="P95" s="16"/>
      <c r="Q95" s="17"/>
      <c r="R95" s="17"/>
      <c r="S95" s="17"/>
      <c r="T95" s="17"/>
      <c r="U95" s="17"/>
      <c r="V95" s="17"/>
      <c r="W95" s="17"/>
      <c r="X95" s="17"/>
      <c r="Y95" s="17"/>
    </row>
    <row r="96" ht="18.75" customHeight="1">
      <c r="A96" s="9">
        <v>1249.0</v>
      </c>
      <c r="B96" s="11" t="s">
        <v>40</v>
      </c>
      <c r="C96" s="11" t="s">
        <v>41</v>
      </c>
      <c r="D96" s="11" t="s">
        <v>42</v>
      </c>
      <c r="E96" s="11" t="s">
        <v>468</v>
      </c>
      <c r="F96" s="11" t="s">
        <v>44</v>
      </c>
      <c r="G96" s="12">
        <v>46096.0</v>
      </c>
      <c r="H96" s="13">
        <v>46097.0</v>
      </c>
      <c r="I96" s="11" t="s">
        <v>25</v>
      </c>
      <c r="J96" s="11"/>
      <c r="K96" s="14" t="s">
        <v>31</v>
      </c>
      <c r="L96" s="11"/>
      <c r="M96" s="11" t="s">
        <v>469</v>
      </c>
      <c r="N96" s="16"/>
      <c r="O96" s="16"/>
      <c r="P96" s="16"/>
      <c r="Q96" s="17"/>
      <c r="R96" s="17"/>
      <c r="S96" s="17"/>
      <c r="T96" s="17"/>
      <c r="U96" s="17"/>
      <c r="V96" s="17"/>
      <c r="W96" s="17"/>
      <c r="X96" s="17"/>
      <c r="Y96" s="17"/>
    </row>
    <row r="97" ht="18.75" customHeight="1">
      <c r="A97" s="9">
        <v>1250.0</v>
      </c>
      <c r="B97" s="11" t="s">
        <v>470</v>
      </c>
      <c r="C97" s="11" t="s">
        <v>471</v>
      </c>
      <c r="D97" s="11" t="s">
        <v>128</v>
      </c>
      <c r="E97" s="11" t="s">
        <v>267</v>
      </c>
      <c r="F97" s="11" t="s">
        <v>472</v>
      </c>
      <c r="G97" s="12">
        <v>46081.0</v>
      </c>
      <c r="H97" s="13">
        <v>46082.0</v>
      </c>
      <c r="I97" s="11" t="s">
        <v>119</v>
      </c>
      <c r="J97" s="11"/>
      <c r="K97" s="14" t="s">
        <v>31</v>
      </c>
      <c r="L97" s="11"/>
      <c r="M97" s="11" t="s">
        <v>473</v>
      </c>
      <c r="N97" s="16"/>
      <c r="O97" s="16"/>
      <c r="P97" s="16"/>
      <c r="Q97" s="17"/>
      <c r="R97" s="17"/>
      <c r="S97" s="17"/>
      <c r="T97" s="17"/>
      <c r="U97" s="17"/>
      <c r="V97" s="17"/>
      <c r="W97" s="17"/>
      <c r="X97" s="17"/>
      <c r="Y97" s="17"/>
    </row>
    <row r="98" ht="18.75" customHeight="1">
      <c r="A98" s="9">
        <v>1251.0</v>
      </c>
      <c r="B98" s="11" t="s">
        <v>474</v>
      </c>
      <c r="C98" s="11" t="s">
        <v>475</v>
      </c>
      <c r="D98" s="11" t="s">
        <v>476</v>
      </c>
      <c r="E98" s="11" t="s">
        <v>129</v>
      </c>
      <c r="F98" s="11" t="s">
        <v>477</v>
      </c>
      <c r="G98" s="12">
        <v>46081.0</v>
      </c>
      <c r="H98" s="13">
        <v>46082.0</v>
      </c>
      <c r="I98" s="11" t="s">
        <v>25</v>
      </c>
      <c r="J98" s="11"/>
      <c r="K98" s="14" t="s">
        <v>31</v>
      </c>
      <c r="L98" s="11"/>
      <c r="M98" s="11" t="s">
        <v>478</v>
      </c>
      <c r="N98" s="16"/>
      <c r="O98" s="16"/>
      <c r="P98" s="16"/>
      <c r="Q98" s="17"/>
      <c r="R98" s="17"/>
      <c r="S98" s="17"/>
      <c r="T98" s="17"/>
      <c r="U98" s="17"/>
      <c r="V98" s="17"/>
      <c r="W98" s="17"/>
      <c r="X98" s="17"/>
      <c r="Y98" s="17"/>
    </row>
    <row r="99" ht="18.75" customHeight="1">
      <c r="A99" s="9">
        <v>1252.0</v>
      </c>
      <c r="B99" s="11" t="s">
        <v>479</v>
      </c>
      <c r="C99" s="11" t="s">
        <v>480</v>
      </c>
      <c r="D99" s="11" t="s">
        <v>481</v>
      </c>
      <c r="E99" s="11" t="s">
        <v>482</v>
      </c>
      <c r="F99" s="11" t="s">
        <v>483</v>
      </c>
      <c r="G99" s="12">
        <v>46081.0</v>
      </c>
      <c r="H99" s="13">
        <v>46082.0</v>
      </c>
      <c r="I99" s="11" t="s">
        <v>119</v>
      </c>
      <c r="J99" s="11" t="s">
        <v>37</v>
      </c>
      <c r="K99" s="14" t="s">
        <v>31</v>
      </c>
      <c r="L99" s="11" t="s">
        <v>68</v>
      </c>
      <c r="M99" s="15"/>
      <c r="N99" s="16"/>
      <c r="O99" s="16"/>
      <c r="P99" s="16"/>
      <c r="Q99" s="17"/>
      <c r="R99" s="17"/>
      <c r="S99" s="17"/>
      <c r="T99" s="17"/>
      <c r="U99" s="17"/>
      <c r="V99" s="17"/>
      <c r="W99" s="17"/>
      <c r="X99" s="17"/>
      <c r="Y99" s="17"/>
    </row>
    <row r="100" ht="18.75" customHeight="1">
      <c r="A100" s="9">
        <v>1253.0</v>
      </c>
      <c r="B100" s="11" t="s">
        <v>484</v>
      </c>
      <c r="C100" s="11" t="s">
        <v>485</v>
      </c>
      <c r="D100" s="11" t="s">
        <v>486</v>
      </c>
      <c r="E100" s="11" t="s">
        <v>487</v>
      </c>
      <c r="F100" s="11" t="s">
        <v>488</v>
      </c>
      <c r="G100" s="12">
        <v>46081.0</v>
      </c>
      <c r="H100" s="13">
        <v>46082.0</v>
      </c>
      <c r="I100" s="11" t="s">
        <v>119</v>
      </c>
      <c r="J100" s="11" t="s">
        <v>37</v>
      </c>
      <c r="K100" s="14" t="s">
        <v>31</v>
      </c>
      <c r="L100" s="11" t="s">
        <v>38</v>
      </c>
      <c r="M100" s="15"/>
      <c r="N100" s="16"/>
      <c r="O100" s="16"/>
      <c r="P100" s="16"/>
      <c r="Q100" s="17"/>
      <c r="R100" s="17"/>
      <c r="S100" s="17"/>
      <c r="T100" s="17"/>
      <c r="U100" s="17"/>
      <c r="V100" s="17"/>
      <c r="W100" s="17"/>
      <c r="X100" s="17"/>
      <c r="Y100" s="17"/>
    </row>
    <row r="101" ht="18.75" customHeight="1">
      <c r="A101" s="9">
        <v>1254.0</v>
      </c>
      <c r="B101" s="11" t="s">
        <v>489</v>
      </c>
      <c r="C101" s="11" t="s">
        <v>490</v>
      </c>
      <c r="D101" s="11" t="s">
        <v>491</v>
      </c>
      <c r="E101" s="11" t="s">
        <v>492</v>
      </c>
      <c r="F101" s="11" t="s">
        <v>493</v>
      </c>
      <c r="G101" s="12">
        <v>46065.0</v>
      </c>
      <c r="H101" s="13">
        <v>46066.0</v>
      </c>
      <c r="I101" s="11" t="s">
        <v>251</v>
      </c>
      <c r="J101" s="11" t="s">
        <v>213</v>
      </c>
      <c r="K101" s="14" t="s">
        <v>31</v>
      </c>
      <c r="L101" s="11"/>
      <c r="M101" s="15"/>
      <c r="N101" s="16"/>
      <c r="O101" s="16"/>
      <c r="P101" s="16"/>
      <c r="Q101" s="17"/>
      <c r="R101" s="17"/>
      <c r="S101" s="17"/>
      <c r="T101" s="17"/>
      <c r="U101" s="17"/>
      <c r="V101" s="17"/>
      <c r="W101" s="17"/>
      <c r="X101" s="17"/>
      <c r="Y101" s="17"/>
    </row>
    <row r="102" ht="18.75" customHeight="1">
      <c r="A102" s="9">
        <v>1255.0</v>
      </c>
      <c r="B102" s="11" t="s">
        <v>494</v>
      </c>
      <c r="C102" s="11" t="s">
        <v>495</v>
      </c>
      <c r="D102" s="11" t="s">
        <v>414</v>
      </c>
      <c r="E102" s="11" t="s">
        <v>496</v>
      </c>
      <c r="F102" s="11" t="s">
        <v>497</v>
      </c>
      <c r="G102" s="12">
        <v>46101.0</v>
      </c>
      <c r="H102" s="12">
        <v>46102.0</v>
      </c>
      <c r="I102" s="11" t="s">
        <v>25</v>
      </c>
      <c r="J102" s="11" t="s">
        <v>22</v>
      </c>
      <c r="K102" s="14" t="s">
        <v>31</v>
      </c>
      <c r="L102" s="11" t="s">
        <v>97</v>
      </c>
      <c r="M102" s="15"/>
      <c r="N102" s="16"/>
      <c r="O102" s="16"/>
      <c r="P102" s="16"/>
      <c r="Q102" s="17"/>
      <c r="R102" s="17"/>
      <c r="S102" s="17"/>
      <c r="T102" s="17"/>
      <c r="U102" s="17"/>
      <c r="V102" s="17"/>
      <c r="W102" s="17"/>
      <c r="X102" s="17"/>
      <c r="Y102" s="17"/>
    </row>
    <row r="103" ht="18.75" customHeight="1">
      <c r="A103" s="9">
        <v>1256.0</v>
      </c>
      <c r="B103" s="11" t="s">
        <v>498</v>
      </c>
      <c r="C103" s="11" t="s">
        <v>499</v>
      </c>
      <c r="D103" s="11" t="s">
        <v>362</v>
      </c>
      <c r="E103" s="11" t="s">
        <v>500</v>
      </c>
      <c r="F103" s="11" t="s">
        <v>501</v>
      </c>
      <c r="G103" s="12">
        <v>46079.0</v>
      </c>
      <c r="H103" s="12">
        <v>46080.0</v>
      </c>
      <c r="I103" s="11" t="s">
        <v>119</v>
      </c>
      <c r="J103" s="11" t="s">
        <v>37</v>
      </c>
      <c r="K103" s="14" t="s">
        <v>31</v>
      </c>
      <c r="L103" s="11" t="s">
        <v>38</v>
      </c>
      <c r="M103" s="15"/>
      <c r="N103" s="16"/>
      <c r="O103" s="16"/>
      <c r="P103" s="16"/>
      <c r="Q103" s="17"/>
      <c r="R103" s="17"/>
      <c r="S103" s="17"/>
      <c r="T103" s="17"/>
      <c r="U103" s="17"/>
      <c r="V103" s="17"/>
      <c r="W103" s="17"/>
      <c r="X103" s="17"/>
      <c r="Y103" s="17"/>
    </row>
    <row r="104" ht="18.75" customHeight="1">
      <c r="A104" s="9">
        <v>1257.0</v>
      </c>
      <c r="B104" s="11" t="s">
        <v>502</v>
      </c>
      <c r="C104" s="11" t="s">
        <v>503</v>
      </c>
      <c r="D104" s="11" t="s">
        <v>504</v>
      </c>
      <c r="E104" s="11" t="s">
        <v>319</v>
      </c>
      <c r="F104" s="15"/>
      <c r="G104" s="12">
        <v>46075.0</v>
      </c>
      <c r="H104" s="13">
        <v>46076.0</v>
      </c>
      <c r="I104" s="11" t="s">
        <v>25</v>
      </c>
      <c r="J104" s="11"/>
      <c r="K104" s="14" t="s">
        <v>31</v>
      </c>
      <c r="L104" s="11"/>
      <c r="M104" s="11" t="s">
        <v>505</v>
      </c>
      <c r="N104" s="16"/>
      <c r="O104" s="16"/>
      <c r="P104" s="16"/>
      <c r="Q104" s="17"/>
      <c r="R104" s="17"/>
      <c r="S104" s="17"/>
      <c r="T104" s="17"/>
      <c r="U104" s="17"/>
      <c r="V104" s="17"/>
      <c r="W104" s="17"/>
      <c r="X104" s="17"/>
      <c r="Y104" s="17"/>
    </row>
    <row r="105" ht="18.75" customHeight="1">
      <c r="A105" s="9">
        <v>1258.0</v>
      </c>
      <c r="B105" s="11" t="s">
        <v>506</v>
      </c>
      <c r="C105" s="11" t="s">
        <v>507</v>
      </c>
      <c r="D105" s="11" t="s">
        <v>128</v>
      </c>
      <c r="E105" s="11" t="s">
        <v>508</v>
      </c>
      <c r="F105" s="11" t="s">
        <v>509</v>
      </c>
      <c r="G105" s="12">
        <v>46100.0</v>
      </c>
      <c r="H105" s="13">
        <v>46101.0</v>
      </c>
      <c r="I105" s="11" t="s">
        <v>25</v>
      </c>
      <c r="J105" s="11"/>
      <c r="K105" s="14" t="s">
        <v>31</v>
      </c>
      <c r="L105" s="11"/>
      <c r="M105" s="11" t="s">
        <v>510</v>
      </c>
      <c r="N105" s="16"/>
      <c r="O105" s="16"/>
      <c r="P105" s="16"/>
      <c r="Q105" s="17"/>
      <c r="R105" s="17"/>
      <c r="S105" s="17"/>
      <c r="T105" s="17"/>
      <c r="U105" s="17"/>
      <c r="V105" s="17"/>
      <c r="W105" s="17"/>
      <c r="X105" s="17"/>
      <c r="Y105" s="17"/>
    </row>
    <row r="106" ht="18.75" customHeight="1">
      <c r="A106" s="9">
        <v>1259.0</v>
      </c>
      <c r="B106" s="11" t="s">
        <v>511</v>
      </c>
      <c r="C106" s="11" t="s">
        <v>512</v>
      </c>
      <c r="D106" s="11" t="s">
        <v>42</v>
      </c>
      <c r="E106" s="11" t="s">
        <v>267</v>
      </c>
      <c r="F106" s="11" t="s">
        <v>513</v>
      </c>
      <c r="G106" s="12">
        <v>46085.0</v>
      </c>
      <c r="H106" s="13">
        <v>46086.0</v>
      </c>
      <c r="I106" s="11" t="s">
        <v>119</v>
      </c>
      <c r="J106" s="11"/>
      <c r="K106" s="14" t="s">
        <v>31</v>
      </c>
      <c r="L106" s="11"/>
      <c r="M106" s="11" t="s">
        <v>514</v>
      </c>
      <c r="N106" s="16"/>
      <c r="O106" s="16"/>
      <c r="P106" s="16"/>
      <c r="Q106" s="17"/>
      <c r="R106" s="17"/>
      <c r="S106" s="17"/>
      <c r="T106" s="17"/>
      <c r="U106" s="17"/>
      <c r="V106" s="17"/>
      <c r="W106" s="17"/>
      <c r="X106" s="17"/>
      <c r="Y106" s="17"/>
    </row>
    <row r="107" ht="18.75" customHeight="1">
      <c r="A107" s="9">
        <v>1260.0</v>
      </c>
      <c r="B107" s="11" t="s">
        <v>515</v>
      </c>
      <c r="C107" s="11" t="s">
        <v>516</v>
      </c>
      <c r="D107" s="11" t="s">
        <v>198</v>
      </c>
      <c r="E107" s="11" t="s">
        <v>517</v>
      </c>
      <c r="F107" s="11" t="s">
        <v>518</v>
      </c>
      <c r="G107" s="12">
        <v>46101.0</v>
      </c>
      <c r="H107" s="13">
        <v>46102.0</v>
      </c>
      <c r="I107" s="11" t="s">
        <v>119</v>
      </c>
      <c r="J107" s="11"/>
      <c r="K107" s="14" t="s">
        <v>31</v>
      </c>
      <c r="L107" s="11"/>
      <c r="M107" s="11" t="s">
        <v>519</v>
      </c>
      <c r="N107" s="16"/>
      <c r="O107" s="16"/>
      <c r="P107" s="16"/>
      <c r="Q107" s="17"/>
      <c r="R107" s="17"/>
      <c r="S107" s="17"/>
      <c r="T107" s="17"/>
      <c r="U107" s="17"/>
      <c r="V107" s="17"/>
      <c r="W107" s="17"/>
      <c r="X107" s="17"/>
      <c r="Y107" s="17"/>
    </row>
    <row r="108" ht="18.75" customHeight="1">
      <c r="A108" s="9">
        <v>1261.0</v>
      </c>
      <c r="B108" s="11" t="s">
        <v>520</v>
      </c>
      <c r="C108" s="11" t="s">
        <v>521</v>
      </c>
      <c r="D108" s="11" t="s">
        <v>65</v>
      </c>
      <c r="E108" s="11" t="s">
        <v>522</v>
      </c>
      <c r="F108" s="11" t="s">
        <v>523</v>
      </c>
      <c r="G108" s="12">
        <v>46096.0</v>
      </c>
      <c r="H108" s="12">
        <v>46097.0</v>
      </c>
      <c r="I108" s="11" t="s">
        <v>119</v>
      </c>
      <c r="J108" s="11" t="s">
        <v>37</v>
      </c>
      <c r="K108" s="14" t="s">
        <v>31</v>
      </c>
      <c r="L108" s="11"/>
      <c r="M108" s="15"/>
      <c r="N108" s="16"/>
      <c r="O108" s="16"/>
      <c r="P108" s="16"/>
      <c r="Q108" s="17"/>
      <c r="R108" s="17"/>
      <c r="S108" s="17"/>
      <c r="T108" s="17"/>
      <c r="U108" s="17"/>
      <c r="V108" s="17"/>
      <c r="W108" s="17"/>
      <c r="X108" s="17"/>
      <c r="Y108" s="17"/>
    </row>
    <row r="109" ht="18.75" customHeight="1">
      <c r="A109" s="9">
        <v>1262.0</v>
      </c>
      <c r="B109" s="11" t="s">
        <v>524</v>
      </c>
      <c r="C109" s="11" t="s">
        <v>525</v>
      </c>
      <c r="D109" s="11" t="s">
        <v>122</v>
      </c>
      <c r="E109" s="11" t="s">
        <v>143</v>
      </c>
      <c r="F109" s="11" t="s">
        <v>526</v>
      </c>
      <c r="G109" s="12">
        <v>46081.0</v>
      </c>
      <c r="H109" s="13">
        <v>46082.0</v>
      </c>
      <c r="I109" s="11" t="s">
        <v>21</v>
      </c>
      <c r="J109" s="11" t="s">
        <v>213</v>
      </c>
      <c r="K109" s="14"/>
      <c r="L109" s="11"/>
      <c r="M109" s="15"/>
      <c r="N109" s="16"/>
      <c r="O109" s="16"/>
      <c r="P109" s="16"/>
      <c r="Q109" s="17"/>
      <c r="R109" s="17"/>
      <c r="S109" s="17"/>
      <c r="T109" s="17"/>
      <c r="U109" s="17"/>
      <c r="V109" s="17"/>
      <c r="W109" s="17"/>
      <c r="X109" s="17"/>
      <c r="Y109" s="17"/>
    </row>
    <row r="110" ht="18.75" customHeight="1">
      <c r="A110" s="9">
        <v>1263.0</v>
      </c>
      <c r="B110" s="11" t="s">
        <v>527</v>
      </c>
      <c r="C110" s="11" t="s">
        <v>528</v>
      </c>
      <c r="D110" s="11" t="s">
        <v>71</v>
      </c>
      <c r="E110" s="11" t="s">
        <v>529</v>
      </c>
      <c r="F110" s="11" t="s">
        <v>530</v>
      </c>
      <c r="G110" s="12">
        <v>46081.0</v>
      </c>
      <c r="H110" s="13">
        <v>46082.0</v>
      </c>
      <c r="I110" s="11" t="s">
        <v>21</v>
      </c>
      <c r="J110" s="11" t="s">
        <v>213</v>
      </c>
      <c r="K110" s="14" t="s">
        <v>531</v>
      </c>
      <c r="L110" s="11"/>
      <c r="M110" s="15"/>
      <c r="N110" s="16"/>
      <c r="O110" s="16"/>
      <c r="P110" s="16"/>
      <c r="Q110" s="17"/>
      <c r="R110" s="17"/>
      <c r="S110" s="17"/>
      <c r="T110" s="17"/>
      <c r="U110" s="17"/>
      <c r="V110" s="17"/>
      <c r="W110" s="17"/>
      <c r="X110" s="17"/>
      <c r="Y110" s="17"/>
    </row>
    <row r="111" ht="18.75" customHeight="1">
      <c r="A111" s="9">
        <v>1264.0</v>
      </c>
      <c r="B111" s="11" t="s">
        <v>532</v>
      </c>
      <c r="C111" s="11" t="s">
        <v>533</v>
      </c>
      <c r="D111" s="11" t="s">
        <v>110</v>
      </c>
      <c r="E111" s="11" t="s">
        <v>534</v>
      </c>
      <c r="F111" s="11" t="s">
        <v>535</v>
      </c>
      <c r="G111" s="12">
        <v>46081.0</v>
      </c>
      <c r="H111" s="13">
        <v>46082.0</v>
      </c>
      <c r="I111" s="11" t="s">
        <v>251</v>
      </c>
      <c r="J111" s="11" t="s">
        <v>213</v>
      </c>
      <c r="K111" s="14" t="s">
        <v>31</v>
      </c>
      <c r="L111" s="11"/>
      <c r="M111" s="15"/>
      <c r="N111" s="16"/>
      <c r="O111" s="16"/>
      <c r="P111" s="16"/>
      <c r="Q111" s="17"/>
      <c r="R111" s="17"/>
      <c r="S111" s="17"/>
      <c r="T111" s="17"/>
      <c r="U111" s="17"/>
      <c r="V111" s="17"/>
      <c r="W111" s="17"/>
      <c r="X111" s="17"/>
      <c r="Y111" s="17"/>
    </row>
    <row r="112" ht="18.75" customHeight="1">
      <c r="A112" s="9">
        <v>1265.0</v>
      </c>
      <c r="B112" s="11" t="s">
        <v>536</v>
      </c>
      <c r="C112" s="11" t="s">
        <v>537</v>
      </c>
      <c r="D112" s="11" t="s">
        <v>128</v>
      </c>
      <c r="E112" s="11" t="s">
        <v>538</v>
      </c>
      <c r="F112" s="11" t="s">
        <v>539</v>
      </c>
      <c r="G112" s="12">
        <v>46081.0</v>
      </c>
      <c r="H112" s="13">
        <v>46082.0</v>
      </c>
      <c r="I112" s="11" t="s">
        <v>251</v>
      </c>
      <c r="J112" s="11"/>
      <c r="K112" s="14" t="s">
        <v>31</v>
      </c>
      <c r="L112" s="11"/>
      <c r="M112" s="15"/>
      <c r="N112" s="16"/>
      <c r="O112" s="16"/>
      <c r="P112" s="16"/>
      <c r="Q112" s="17"/>
      <c r="R112" s="17"/>
      <c r="S112" s="17"/>
      <c r="T112" s="17"/>
      <c r="U112" s="17"/>
      <c r="V112" s="17"/>
      <c r="W112" s="17"/>
      <c r="X112" s="17"/>
      <c r="Y112" s="17"/>
    </row>
    <row r="113" ht="18.75" customHeight="1">
      <c r="A113" s="9">
        <v>1266.0</v>
      </c>
      <c r="B113" s="11" t="s">
        <v>540</v>
      </c>
      <c r="C113" s="11" t="s">
        <v>541</v>
      </c>
      <c r="D113" s="11" t="s">
        <v>476</v>
      </c>
      <c r="E113" s="11" t="s">
        <v>139</v>
      </c>
      <c r="F113" s="11" t="s">
        <v>542</v>
      </c>
      <c r="G113" s="12">
        <v>46112.0</v>
      </c>
      <c r="H113" s="13">
        <v>46113.0</v>
      </c>
      <c r="I113" s="11" t="s">
        <v>119</v>
      </c>
      <c r="J113" s="11"/>
      <c r="K113" s="14" t="s">
        <v>31</v>
      </c>
      <c r="L113" s="11"/>
      <c r="M113" s="11" t="s">
        <v>543</v>
      </c>
      <c r="N113" s="16"/>
      <c r="O113" s="16"/>
      <c r="P113" s="16"/>
      <c r="Q113" s="17"/>
      <c r="R113" s="17"/>
      <c r="S113" s="17"/>
      <c r="T113" s="17"/>
      <c r="U113" s="17"/>
      <c r="V113" s="17"/>
      <c r="W113" s="17"/>
      <c r="X113" s="17"/>
      <c r="Y113" s="17"/>
    </row>
    <row r="114" ht="18.75" customHeight="1">
      <c r="A114" s="9">
        <v>1267.0</v>
      </c>
      <c r="B114" s="11" t="s">
        <v>544</v>
      </c>
      <c r="C114" s="11" t="s">
        <v>545</v>
      </c>
      <c r="D114" s="11" t="s">
        <v>122</v>
      </c>
      <c r="E114" s="11" t="s">
        <v>319</v>
      </c>
      <c r="F114" s="11" t="s">
        <v>546</v>
      </c>
      <c r="G114" s="12">
        <v>46112.0</v>
      </c>
      <c r="H114" s="13">
        <v>46113.0</v>
      </c>
      <c r="I114" s="11" t="s">
        <v>25</v>
      </c>
      <c r="J114" s="11"/>
      <c r="K114" s="14" t="s">
        <v>31</v>
      </c>
      <c r="L114" s="11"/>
      <c r="M114" s="11" t="s">
        <v>547</v>
      </c>
      <c r="N114" s="16"/>
      <c r="O114" s="16"/>
      <c r="P114" s="16"/>
      <c r="Q114" s="17"/>
      <c r="R114" s="17"/>
      <c r="S114" s="17"/>
      <c r="T114" s="17"/>
      <c r="U114" s="17"/>
      <c r="V114" s="17"/>
      <c r="W114" s="17"/>
      <c r="X114" s="17"/>
      <c r="Y114" s="17"/>
    </row>
    <row r="115" ht="18.75" customHeight="1">
      <c r="A115" s="9">
        <v>1268.0</v>
      </c>
      <c r="B115" s="11" t="s">
        <v>548</v>
      </c>
      <c r="C115" s="11" t="s">
        <v>549</v>
      </c>
      <c r="D115" s="11" t="s">
        <v>65</v>
      </c>
      <c r="E115" s="11" t="s">
        <v>550</v>
      </c>
      <c r="F115" s="11" t="s">
        <v>551</v>
      </c>
      <c r="G115" s="12">
        <v>46112.0</v>
      </c>
      <c r="H115" s="13">
        <v>46113.0</v>
      </c>
      <c r="I115" s="11" t="s">
        <v>25</v>
      </c>
      <c r="J115" s="11" t="s">
        <v>37</v>
      </c>
      <c r="K115" s="14" t="s">
        <v>31</v>
      </c>
      <c r="L115" s="11" t="s">
        <v>97</v>
      </c>
      <c r="M115" s="15"/>
      <c r="N115" s="16"/>
      <c r="O115" s="16"/>
      <c r="P115" s="16"/>
      <c r="Q115" s="17"/>
      <c r="R115" s="17"/>
      <c r="S115" s="17"/>
      <c r="T115" s="17"/>
      <c r="U115" s="17"/>
      <c r="V115" s="17"/>
      <c r="W115" s="17"/>
      <c r="X115" s="17"/>
      <c r="Y115" s="17"/>
    </row>
    <row r="116" ht="18.75" customHeight="1">
      <c r="A116" s="9">
        <v>1269.0</v>
      </c>
      <c r="B116" s="11" t="s">
        <v>552</v>
      </c>
      <c r="C116" s="11" t="s">
        <v>553</v>
      </c>
      <c r="D116" s="11" t="s">
        <v>444</v>
      </c>
      <c r="E116" s="11" t="s">
        <v>445</v>
      </c>
      <c r="F116" s="11" t="s">
        <v>554</v>
      </c>
      <c r="G116" s="12">
        <v>46086.0</v>
      </c>
      <c r="H116" s="13">
        <v>46087.0</v>
      </c>
      <c r="I116" s="11" t="s">
        <v>119</v>
      </c>
      <c r="J116" s="11"/>
      <c r="K116" s="14" t="s">
        <v>31</v>
      </c>
      <c r="L116" s="11"/>
      <c r="M116" s="11" t="s">
        <v>555</v>
      </c>
      <c r="N116" s="16"/>
      <c r="O116" s="16"/>
      <c r="P116" s="16"/>
      <c r="Q116" s="17"/>
      <c r="R116" s="17"/>
      <c r="S116" s="17"/>
      <c r="T116" s="17"/>
      <c r="U116" s="17"/>
      <c r="V116" s="17"/>
      <c r="W116" s="17"/>
      <c r="X116" s="17"/>
      <c r="Y116" s="17"/>
    </row>
    <row r="117" ht="18.75" customHeight="1">
      <c r="A117" s="9">
        <v>1270.0</v>
      </c>
      <c r="B117" s="11" t="s">
        <v>556</v>
      </c>
      <c r="C117" s="11" t="s">
        <v>557</v>
      </c>
      <c r="D117" s="11" t="s">
        <v>128</v>
      </c>
      <c r="E117" s="11" t="s">
        <v>558</v>
      </c>
      <c r="F117" s="11" t="s">
        <v>559</v>
      </c>
      <c r="G117" s="12">
        <v>46096.0</v>
      </c>
      <c r="H117" s="13">
        <v>46097.0</v>
      </c>
      <c r="I117" s="11" t="s">
        <v>119</v>
      </c>
      <c r="J117" s="11"/>
      <c r="K117" s="14" t="s">
        <v>31</v>
      </c>
      <c r="L117" s="11"/>
      <c r="M117" s="15"/>
      <c r="N117" s="16"/>
      <c r="O117" s="16"/>
      <c r="P117" s="16"/>
      <c r="Q117" s="17"/>
      <c r="R117" s="17"/>
      <c r="S117" s="17"/>
      <c r="T117" s="17"/>
      <c r="U117" s="17"/>
      <c r="V117" s="17"/>
      <c r="W117" s="17"/>
      <c r="X117" s="17"/>
      <c r="Y117" s="17"/>
    </row>
    <row r="118" ht="18.75" customHeight="1">
      <c r="A118" s="9">
        <v>1271.0</v>
      </c>
      <c r="B118" s="11" t="s">
        <v>560</v>
      </c>
      <c r="C118" s="11" t="s">
        <v>561</v>
      </c>
      <c r="D118" s="11" t="s">
        <v>394</v>
      </c>
      <c r="E118" s="11" t="s">
        <v>562</v>
      </c>
      <c r="F118" s="11" t="s">
        <v>563</v>
      </c>
      <c r="G118" s="12">
        <v>46081.0</v>
      </c>
      <c r="H118" s="13">
        <v>46082.0</v>
      </c>
      <c r="I118" s="11" t="s">
        <v>251</v>
      </c>
      <c r="J118" s="11"/>
      <c r="K118" s="14" t="s">
        <v>31</v>
      </c>
      <c r="L118" s="11"/>
      <c r="M118" s="15"/>
      <c r="N118" s="16"/>
      <c r="O118" s="16"/>
      <c r="P118" s="16"/>
      <c r="Q118" s="17"/>
      <c r="R118" s="17"/>
      <c r="S118" s="17"/>
      <c r="T118" s="17"/>
      <c r="U118" s="17"/>
      <c r="V118" s="17"/>
      <c r="W118" s="17"/>
      <c r="X118" s="17"/>
      <c r="Y118" s="17"/>
    </row>
    <row r="119" ht="18.75" customHeight="1">
      <c r="A119" s="9">
        <v>1272.0</v>
      </c>
      <c r="B119" s="11" t="s">
        <v>564</v>
      </c>
      <c r="C119" s="11" t="s">
        <v>565</v>
      </c>
      <c r="D119" s="11" t="s">
        <v>444</v>
      </c>
      <c r="E119" s="11" t="s">
        <v>566</v>
      </c>
      <c r="F119" s="11" t="s">
        <v>567</v>
      </c>
      <c r="G119" s="12">
        <v>46081.0</v>
      </c>
      <c r="H119" s="13">
        <v>46082.0</v>
      </c>
      <c r="I119" s="11" t="s">
        <v>251</v>
      </c>
      <c r="J119" s="11"/>
      <c r="K119" s="14" t="s">
        <v>31</v>
      </c>
      <c r="L119" s="11"/>
      <c r="M119" s="15"/>
      <c r="N119" s="16"/>
      <c r="O119" s="16"/>
      <c r="P119" s="16"/>
      <c r="Q119" s="17"/>
      <c r="R119" s="17"/>
      <c r="S119" s="17"/>
      <c r="T119" s="17"/>
      <c r="U119" s="17"/>
      <c r="V119" s="17"/>
      <c r="W119" s="17"/>
      <c r="X119" s="17"/>
      <c r="Y119" s="17"/>
    </row>
    <row r="120" ht="18.75" customHeight="1">
      <c r="A120" s="9">
        <v>1273.0</v>
      </c>
      <c r="B120" s="11" t="s">
        <v>568</v>
      </c>
      <c r="C120" s="11" t="s">
        <v>569</v>
      </c>
      <c r="D120" s="11" t="s">
        <v>122</v>
      </c>
      <c r="E120" s="11" t="s">
        <v>139</v>
      </c>
      <c r="F120" s="11" t="s">
        <v>570</v>
      </c>
      <c r="G120" s="12">
        <v>46092.0</v>
      </c>
      <c r="H120" s="13">
        <v>46093.0</v>
      </c>
      <c r="I120" s="11" t="s">
        <v>25</v>
      </c>
      <c r="J120" s="11"/>
      <c r="K120" s="14" t="s">
        <v>31</v>
      </c>
      <c r="L120" s="11"/>
      <c r="M120" s="11" t="s">
        <v>571</v>
      </c>
      <c r="N120" s="16"/>
      <c r="O120" s="16"/>
      <c r="P120" s="16"/>
      <c r="Q120" s="17"/>
      <c r="R120" s="17"/>
      <c r="S120" s="17"/>
      <c r="T120" s="17"/>
      <c r="U120" s="17"/>
      <c r="V120" s="17"/>
      <c r="W120" s="17"/>
      <c r="X120" s="17"/>
      <c r="Y120" s="17"/>
    </row>
    <row r="121" ht="18.75" customHeight="1">
      <c r="A121" s="9">
        <v>1274.0</v>
      </c>
      <c r="B121" s="11" t="s">
        <v>572</v>
      </c>
      <c r="C121" s="11" t="s">
        <v>573</v>
      </c>
      <c r="D121" s="11" t="s">
        <v>122</v>
      </c>
      <c r="E121" s="11" t="s">
        <v>139</v>
      </c>
      <c r="F121" s="11" t="s">
        <v>574</v>
      </c>
      <c r="G121" s="12">
        <v>46112.0</v>
      </c>
      <c r="H121" s="13">
        <v>46113.0</v>
      </c>
      <c r="I121" s="11" t="s">
        <v>25</v>
      </c>
      <c r="J121" s="11"/>
      <c r="K121" s="14" t="s">
        <v>31</v>
      </c>
      <c r="L121" s="11"/>
      <c r="M121" s="11" t="s">
        <v>575</v>
      </c>
      <c r="N121" s="16"/>
      <c r="O121" s="16"/>
      <c r="P121" s="16"/>
      <c r="Q121" s="17"/>
      <c r="R121" s="17"/>
      <c r="S121" s="17"/>
      <c r="T121" s="17"/>
      <c r="U121" s="17"/>
      <c r="V121" s="17"/>
      <c r="W121" s="17"/>
      <c r="X121" s="17"/>
      <c r="Y121" s="17"/>
    </row>
    <row r="122" ht="18.75" customHeight="1">
      <c r="A122" s="9">
        <v>1275.0</v>
      </c>
      <c r="B122" s="11" t="s">
        <v>576</v>
      </c>
      <c r="C122" s="11" t="s">
        <v>577</v>
      </c>
      <c r="D122" s="11" t="s">
        <v>328</v>
      </c>
      <c r="E122" s="11" t="s">
        <v>578</v>
      </c>
      <c r="F122" s="11" t="s">
        <v>579</v>
      </c>
      <c r="G122" s="12">
        <v>46157.0</v>
      </c>
      <c r="H122" s="12">
        <v>46158.0</v>
      </c>
      <c r="I122" s="11" t="s">
        <v>25</v>
      </c>
      <c r="J122" s="11" t="s">
        <v>22</v>
      </c>
      <c r="K122" s="14"/>
      <c r="L122" s="11"/>
      <c r="M122" s="15"/>
      <c r="N122" s="16"/>
      <c r="O122" s="16"/>
      <c r="P122" s="16"/>
      <c r="Q122" s="17"/>
      <c r="R122" s="17"/>
      <c r="S122" s="17"/>
      <c r="T122" s="17"/>
      <c r="U122" s="17"/>
      <c r="V122" s="17"/>
      <c r="W122" s="17"/>
      <c r="X122" s="17"/>
      <c r="Y122" s="17"/>
    </row>
    <row r="123" ht="18.75" customHeight="1">
      <c r="A123" s="9">
        <v>1276.0</v>
      </c>
      <c r="B123" s="11" t="s">
        <v>580</v>
      </c>
      <c r="C123" s="11" t="s">
        <v>581</v>
      </c>
      <c r="D123" s="11" t="s">
        <v>122</v>
      </c>
      <c r="E123" s="11" t="s">
        <v>582</v>
      </c>
      <c r="F123" s="11" t="s">
        <v>583</v>
      </c>
      <c r="G123" s="12">
        <v>46112.0</v>
      </c>
      <c r="H123" s="13">
        <v>46113.0</v>
      </c>
      <c r="I123" s="11" t="s">
        <v>119</v>
      </c>
      <c r="J123" s="11"/>
      <c r="K123" s="14" t="s">
        <v>31</v>
      </c>
      <c r="L123" s="11"/>
      <c r="M123" s="15"/>
      <c r="N123" s="16"/>
      <c r="O123" s="16"/>
      <c r="P123" s="16"/>
      <c r="Q123" s="17"/>
      <c r="R123" s="17"/>
      <c r="S123" s="17"/>
      <c r="T123" s="17"/>
      <c r="U123" s="17"/>
      <c r="V123" s="17"/>
      <c r="W123" s="17"/>
      <c r="X123" s="17"/>
      <c r="Y123" s="17"/>
    </row>
    <row r="124" ht="18.75" customHeight="1">
      <c r="A124" s="9">
        <v>1277.0</v>
      </c>
      <c r="B124" s="11" t="s">
        <v>584</v>
      </c>
      <c r="C124" s="11" t="s">
        <v>585</v>
      </c>
      <c r="D124" s="11" t="s">
        <v>122</v>
      </c>
      <c r="E124" s="11" t="s">
        <v>139</v>
      </c>
      <c r="F124" s="11" t="s">
        <v>586</v>
      </c>
      <c r="G124" s="13">
        <v>46128.0</v>
      </c>
      <c r="H124" s="13">
        <v>46129.0</v>
      </c>
      <c r="I124" s="11" t="s">
        <v>25</v>
      </c>
      <c r="J124" s="11"/>
      <c r="K124" s="14" t="s">
        <v>31</v>
      </c>
      <c r="L124" s="11"/>
      <c r="M124" s="15"/>
      <c r="N124" s="16"/>
      <c r="O124" s="16"/>
      <c r="P124" s="16"/>
      <c r="Q124" s="17"/>
      <c r="R124" s="17"/>
      <c r="S124" s="17"/>
      <c r="T124" s="17"/>
      <c r="U124" s="17"/>
      <c r="V124" s="17"/>
      <c r="W124" s="17"/>
      <c r="X124" s="17"/>
      <c r="Y124" s="17"/>
    </row>
    <row r="125" ht="18.75" customHeight="1">
      <c r="A125" s="9">
        <v>1278.0</v>
      </c>
      <c r="B125" s="11" t="s">
        <v>587</v>
      </c>
      <c r="C125" s="11" t="s">
        <v>588</v>
      </c>
      <c r="D125" s="11" t="s">
        <v>414</v>
      </c>
      <c r="E125" s="11" t="s">
        <v>139</v>
      </c>
      <c r="F125" s="11" t="s">
        <v>589</v>
      </c>
      <c r="G125" s="13">
        <v>46128.0</v>
      </c>
      <c r="H125" s="13">
        <v>46129.0</v>
      </c>
      <c r="I125" s="11" t="s">
        <v>25</v>
      </c>
      <c r="J125" s="11"/>
      <c r="K125" s="14" t="s">
        <v>31</v>
      </c>
      <c r="L125" s="11"/>
      <c r="M125" s="15"/>
      <c r="N125" s="16"/>
      <c r="O125" s="16"/>
      <c r="P125" s="16"/>
      <c r="Q125" s="17"/>
      <c r="R125" s="17"/>
      <c r="S125" s="17"/>
      <c r="T125" s="17"/>
      <c r="U125" s="17"/>
      <c r="V125" s="17"/>
      <c r="W125" s="17"/>
      <c r="X125" s="17"/>
      <c r="Y125" s="17"/>
    </row>
    <row r="126" ht="18.75" customHeight="1">
      <c r="A126" s="9">
        <v>1279.0</v>
      </c>
      <c r="B126" s="11" t="s">
        <v>590</v>
      </c>
      <c r="C126" s="11" t="s">
        <v>591</v>
      </c>
      <c r="D126" s="11" t="s">
        <v>122</v>
      </c>
      <c r="E126" s="11" t="s">
        <v>139</v>
      </c>
      <c r="F126" s="11" t="s">
        <v>592</v>
      </c>
      <c r="G126" s="13">
        <v>46128.0</v>
      </c>
      <c r="H126" s="13">
        <v>46129.0</v>
      </c>
      <c r="I126" s="11" t="s">
        <v>25</v>
      </c>
      <c r="J126" s="11"/>
      <c r="K126" s="14" t="s">
        <v>31</v>
      </c>
      <c r="L126" s="11"/>
      <c r="M126" s="15"/>
      <c r="N126" s="16"/>
      <c r="O126" s="16"/>
      <c r="P126" s="16"/>
      <c r="Q126" s="17"/>
      <c r="R126" s="17"/>
      <c r="S126" s="17"/>
      <c r="T126" s="17"/>
      <c r="U126" s="17"/>
      <c r="V126" s="17"/>
      <c r="W126" s="17"/>
      <c r="X126" s="17"/>
      <c r="Y126" s="17"/>
    </row>
    <row r="127" ht="18.75" customHeight="1">
      <c r="A127" s="9">
        <v>1280.0</v>
      </c>
      <c r="B127" s="11" t="s">
        <v>593</v>
      </c>
      <c r="C127" s="11" t="s">
        <v>594</v>
      </c>
      <c r="D127" s="11" t="s">
        <v>128</v>
      </c>
      <c r="E127" s="11" t="s">
        <v>595</v>
      </c>
      <c r="F127" s="11" t="s">
        <v>596</v>
      </c>
      <c r="G127" s="13">
        <v>46122.0</v>
      </c>
      <c r="H127" s="13">
        <v>46123.0</v>
      </c>
      <c r="I127" s="11" t="s">
        <v>25</v>
      </c>
      <c r="J127" s="11"/>
      <c r="K127" s="14" t="s">
        <v>31</v>
      </c>
      <c r="L127" s="11"/>
      <c r="M127" s="11" t="s">
        <v>597</v>
      </c>
      <c r="N127" s="16"/>
      <c r="O127" s="16"/>
      <c r="P127" s="16"/>
      <c r="Q127" s="17"/>
      <c r="R127" s="17"/>
      <c r="S127" s="17"/>
      <c r="T127" s="17"/>
      <c r="U127" s="17"/>
      <c r="V127" s="17"/>
      <c r="W127" s="17"/>
      <c r="X127" s="17"/>
      <c r="Y127" s="17"/>
    </row>
    <row r="128" ht="18.75" customHeight="1">
      <c r="A128" s="9">
        <v>1281.0</v>
      </c>
      <c r="B128" s="11" t="s">
        <v>598</v>
      </c>
      <c r="C128" s="11" t="s">
        <v>599</v>
      </c>
      <c r="D128" s="11" t="s">
        <v>394</v>
      </c>
      <c r="E128" s="11" t="s">
        <v>600</v>
      </c>
      <c r="F128" s="11" t="s">
        <v>601</v>
      </c>
      <c r="G128" s="13">
        <v>46122.0</v>
      </c>
      <c r="H128" s="13">
        <v>46123.0</v>
      </c>
      <c r="I128" s="11" t="s">
        <v>25</v>
      </c>
      <c r="J128" s="11"/>
      <c r="K128" s="14" t="s">
        <v>31</v>
      </c>
      <c r="L128" s="11"/>
      <c r="M128" s="11" t="s">
        <v>602</v>
      </c>
      <c r="N128" s="16"/>
      <c r="O128" s="16"/>
      <c r="P128" s="16"/>
      <c r="Q128" s="17"/>
      <c r="R128" s="17"/>
      <c r="S128" s="17"/>
      <c r="T128" s="17"/>
      <c r="U128" s="17"/>
      <c r="V128" s="17"/>
      <c r="W128" s="17"/>
      <c r="X128" s="17"/>
      <c r="Y128" s="17"/>
    </row>
    <row r="129" ht="18.75" customHeight="1">
      <c r="A129" s="9">
        <v>1282.0</v>
      </c>
      <c r="B129" s="11" t="s">
        <v>603</v>
      </c>
      <c r="C129" s="11" t="s">
        <v>604</v>
      </c>
      <c r="D129" s="11" t="s">
        <v>128</v>
      </c>
      <c r="E129" s="11" t="s">
        <v>245</v>
      </c>
      <c r="F129" s="11" t="s">
        <v>605</v>
      </c>
      <c r="G129" s="13">
        <v>46112.0</v>
      </c>
      <c r="H129" s="13">
        <v>46113.0</v>
      </c>
      <c r="I129" s="11" t="s">
        <v>251</v>
      </c>
      <c r="J129" s="11" t="s">
        <v>213</v>
      </c>
      <c r="K129" s="14" t="s">
        <v>31</v>
      </c>
      <c r="L129" s="11"/>
      <c r="M129" s="11" t="s">
        <v>183</v>
      </c>
      <c r="N129" s="16"/>
      <c r="O129" s="16"/>
      <c r="P129" s="16"/>
      <c r="Q129" s="17"/>
      <c r="R129" s="17"/>
      <c r="S129" s="17"/>
      <c r="T129" s="17"/>
      <c r="U129" s="17"/>
      <c r="V129" s="17"/>
      <c r="W129" s="17"/>
      <c r="X129" s="17"/>
      <c r="Y129" s="17"/>
    </row>
    <row r="130" ht="18.75" customHeight="1">
      <c r="A130" s="9">
        <v>1283.0</v>
      </c>
      <c r="B130" s="11" t="s">
        <v>606</v>
      </c>
      <c r="C130" s="24" t="s">
        <v>607</v>
      </c>
      <c r="D130" s="11" t="s">
        <v>608</v>
      </c>
      <c r="E130" s="11" t="s">
        <v>609</v>
      </c>
      <c r="F130" s="11" t="s">
        <v>610</v>
      </c>
      <c r="G130" s="13">
        <v>46129.0</v>
      </c>
      <c r="H130" s="13">
        <v>46130.0</v>
      </c>
      <c r="I130" s="11" t="s">
        <v>25</v>
      </c>
      <c r="J130" s="11" t="s">
        <v>37</v>
      </c>
      <c r="K130" s="14" t="s">
        <v>31</v>
      </c>
      <c r="L130" s="11" t="s">
        <v>50</v>
      </c>
      <c r="M130" s="15"/>
      <c r="N130" s="16"/>
      <c r="O130" s="16"/>
      <c r="P130" s="16"/>
      <c r="Q130" s="17"/>
      <c r="R130" s="17"/>
      <c r="S130" s="17"/>
      <c r="T130" s="17"/>
      <c r="U130" s="17"/>
      <c r="V130" s="17"/>
      <c r="W130" s="17"/>
      <c r="X130" s="17"/>
      <c r="Y130" s="17"/>
    </row>
    <row r="131" ht="18.75" customHeight="1">
      <c r="A131" s="9">
        <v>1284.0</v>
      </c>
      <c r="B131" s="11" t="s">
        <v>611</v>
      </c>
      <c r="C131" s="11" t="s">
        <v>612</v>
      </c>
      <c r="D131" s="11" t="s">
        <v>128</v>
      </c>
      <c r="E131" s="11" t="s">
        <v>613</v>
      </c>
      <c r="F131" s="11" t="s">
        <v>614</v>
      </c>
      <c r="G131" s="12">
        <v>46133.0</v>
      </c>
      <c r="H131" s="13">
        <v>46134.0</v>
      </c>
      <c r="I131" s="11" t="s">
        <v>25</v>
      </c>
      <c r="J131" s="11"/>
      <c r="K131" s="14" t="s">
        <v>31</v>
      </c>
      <c r="L131" s="11"/>
      <c r="M131" s="15"/>
      <c r="N131" s="16"/>
      <c r="O131" s="16"/>
      <c r="P131" s="16"/>
      <c r="Q131" s="17"/>
      <c r="R131" s="17"/>
      <c r="S131" s="17"/>
      <c r="T131" s="17"/>
      <c r="U131" s="17"/>
      <c r="V131" s="17"/>
      <c r="W131" s="17"/>
      <c r="X131" s="17"/>
      <c r="Y131" s="17"/>
    </row>
    <row r="132" ht="18.75" customHeight="1">
      <c r="A132" s="9">
        <v>1285.0</v>
      </c>
      <c r="B132" s="11" t="s">
        <v>615</v>
      </c>
      <c r="C132" s="11" t="s">
        <v>616</v>
      </c>
      <c r="D132" s="11" t="s">
        <v>122</v>
      </c>
      <c r="E132" s="11" t="s">
        <v>617</v>
      </c>
      <c r="F132" s="11" t="s">
        <v>618</v>
      </c>
      <c r="G132" s="12">
        <v>46112.0</v>
      </c>
      <c r="H132" s="13">
        <v>46113.0</v>
      </c>
      <c r="I132" s="11" t="s">
        <v>119</v>
      </c>
      <c r="J132" s="11"/>
      <c r="K132" s="14" t="s">
        <v>31</v>
      </c>
      <c r="L132" s="11"/>
      <c r="M132" s="15"/>
      <c r="N132" s="16"/>
      <c r="O132" s="16"/>
      <c r="P132" s="16"/>
      <c r="Q132" s="17"/>
      <c r="R132" s="17"/>
      <c r="S132" s="17"/>
      <c r="T132" s="17"/>
      <c r="U132" s="17"/>
      <c r="V132" s="17"/>
      <c r="W132" s="17"/>
      <c r="X132" s="17"/>
      <c r="Y132" s="17"/>
    </row>
    <row r="133" ht="18.75" customHeight="1">
      <c r="A133" s="9">
        <v>1286.0</v>
      </c>
      <c r="B133" s="11" t="s">
        <v>619</v>
      </c>
      <c r="C133" s="11" t="s">
        <v>620</v>
      </c>
      <c r="D133" s="11" t="s">
        <v>110</v>
      </c>
      <c r="E133" s="11" t="s">
        <v>424</v>
      </c>
      <c r="F133" s="11" t="s">
        <v>621</v>
      </c>
      <c r="G133" s="12">
        <v>46112.0</v>
      </c>
      <c r="H133" s="13">
        <v>46113.0</v>
      </c>
      <c r="I133" s="11" t="s">
        <v>25</v>
      </c>
      <c r="J133" s="11"/>
      <c r="K133" s="14" t="s">
        <v>31</v>
      </c>
      <c r="L133" s="11"/>
      <c r="M133" s="11" t="s">
        <v>183</v>
      </c>
      <c r="N133" s="16"/>
      <c r="O133" s="16"/>
      <c r="P133" s="16"/>
      <c r="Q133" s="17"/>
      <c r="R133" s="17"/>
      <c r="S133" s="17"/>
      <c r="T133" s="17"/>
      <c r="U133" s="17"/>
      <c r="V133" s="17"/>
      <c r="W133" s="17"/>
      <c r="X133" s="17"/>
      <c r="Y133" s="17"/>
    </row>
    <row r="134" ht="18.75" customHeight="1">
      <c r="A134" s="9">
        <v>1287.0</v>
      </c>
      <c r="B134" s="11" t="s">
        <v>524</v>
      </c>
      <c r="C134" s="11" t="s">
        <v>525</v>
      </c>
      <c r="D134" s="11" t="s">
        <v>122</v>
      </c>
      <c r="E134" s="11" t="s">
        <v>143</v>
      </c>
      <c r="F134" s="11" t="s">
        <v>526</v>
      </c>
      <c r="G134" s="12">
        <v>46089.0</v>
      </c>
      <c r="H134" s="13">
        <v>46090.0</v>
      </c>
      <c r="I134" s="11" t="s">
        <v>251</v>
      </c>
      <c r="J134" s="11"/>
      <c r="K134" s="14" t="s">
        <v>31</v>
      </c>
      <c r="L134" s="11"/>
      <c r="M134" s="11" t="s">
        <v>300</v>
      </c>
      <c r="N134" s="16"/>
      <c r="O134" s="16"/>
      <c r="P134" s="16"/>
      <c r="Q134" s="17"/>
      <c r="R134" s="17"/>
      <c r="S134" s="17"/>
      <c r="T134" s="17"/>
      <c r="U134" s="17"/>
      <c r="V134" s="17"/>
      <c r="W134" s="17"/>
      <c r="X134" s="17"/>
      <c r="Y134" s="17"/>
    </row>
    <row r="135" ht="18.75" customHeight="1">
      <c r="A135" s="9">
        <v>1288.0</v>
      </c>
      <c r="B135" s="11" t="s">
        <v>622</v>
      </c>
      <c r="C135" s="11" t="s">
        <v>623</v>
      </c>
      <c r="D135" s="11" t="s">
        <v>198</v>
      </c>
      <c r="E135" s="11" t="s">
        <v>624</v>
      </c>
      <c r="F135" s="11" t="s">
        <v>625</v>
      </c>
      <c r="G135" s="13">
        <v>46128.0</v>
      </c>
      <c r="H135" s="13">
        <v>46129.0</v>
      </c>
      <c r="I135" s="11" t="s">
        <v>119</v>
      </c>
      <c r="J135" s="11" t="s">
        <v>37</v>
      </c>
      <c r="K135" s="14" t="s">
        <v>31</v>
      </c>
      <c r="L135" s="11" t="s">
        <v>62</v>
      </c>
      <c r="M135" s="15"/>
      <c r="N135" s="16"/>
      <c r="O135" s="16"/>
      <c r="P135" s="16"/>
      <c r="Q135" s="17"/>
      <c r="R135" s="17"/>
      <c r="S135" s="17"/>
      <c r="T135" s="17"/>
      <c r="U135" s="17"/>
      <c r="V135" s="17"/>
      <c r="W135" s="17"/>
      <c r="X135" s="17"/>
      <c r="Y135" s="17"/>
    </row>
    <row r="136" ht="18.75" customHeight="1">
      <c r="A136" s="9">
        <v>1289.0</v>
      </c>
      <c r="B136" s="11" t="s">
        <v>220</v>
      </c>
      <c r="C136" s="11" t="s">
        <v>221</v>
      </c>
      <c r="D136" s="11" t="s">
        <v>42</v>
      </c>
      <c r="E136" s="11" t="s">
        <v>178</v>
      </c>
      <c r="F136" s="11" t="s">
        <v>223</v>
      </c>
      <c r="G136" s="12">
        <v>46112.0</v>
      </c>
      <c r="H136" s="13">
        <v>46113.0</v>
      </c>
      <c r="I136" s="11" t="s">
        <v>119</v>
      </c>
      <c r="J136" s="11"/>
      <c r="K136" s="14" t="s">
        <v>31</v>
      </c>
      <c r="L136" s="11"/>
      <c r="M136" s="11" t="s">
        <v>626</v>
      </c>
      <c r="N136" s="16"/>
      <c r="O136" s="16"/>
      <c r="P136" s="16"/>
      <c r="Q136" s="17"/>
      <c r="R136" s="17"/>
      <c r="S136" s="17"/>
      <c r="T136" s="17"/>
      <c r="U136" s="17"/>
      <c r="V136" s="17"/>
      <c r="W136" s="17"/>
      <c r="X136" s="17"/>
      <c r="Y136" s="17"/>
    </row>
    <row r="137" ht="18.75" customHeight="1">
      <c r="A137" s="9">
        <v>1290.0</v>
      </c>
      <c r="B137" s="11" t="s">
        <v>627</v>
      </c>
      <c r="C137" s="11" t="s">
        <v>628</v>
      </c>
      <c r="D137" s="11" t="s">
        <v>128</v>
      </c>
      <c r="E137" s="11" t="s">
        <v>168</v>
      </c>
      <c r="F137" s="11" t="s">
        <v>629</v>
      </c>
      <c r="G137" s="12">
        <v>46112.0</v>
      </c>
      <c r="H137" s="13">
        <v>46113.0</v>
      </c>
      <c r="I137" s="11" t="s">
        <v>119</v>
      </c>
      <c r="J137" s="11"/>
      <c r="K137" s="14" t="s">
        <v>31</v>
      </c>
      <c r="L137" s="11"/>
      <c r="M137" s="11" t="s">
        <v>630</v>
      </c>
      <c r="N137" s="16"/>
      <c r="O137" s="16"/>
      <c r="P137" s="16"/>
      <c r="Q137" s="17"/>
      <c r="R137" s="17"/>
      <c r="S137" s="17"/>
      <c r="T137" s="17"/>
      <c r="U137" s="17"/>
      <c r="V137" s="17"/>
      <c r="W137" s="17"/>
      <c r="X137" s="17"/>
      <c r="Y137" s="17"/>
    </row>
    <row r="138" ht="18.75" customHeight="1">
      <c r="A138" s="9">
        <v>1291.0</v>
      </c>
      <c r="B138" s="11" t="s">
        <v>631</v>
      </c>
      <c r="C138" s="11" t="s">
        <v>632</v>
      </c>
      <c r="D138" s="11" t="s">
        <v>633</v>
      </c>
      <c r="E138" s="11" t="s">
        <v>319</v>
      </c>
      <c r="F138" s="15"/>
      <c r="G138" s="13">
        <v>46084.0</v>
      </c>
      <c r="H138" s="13">
        <v>46085.0</v>
      </c>
      <c r="I138" s="11" t="s">
        <v>25</v>
      </c>
      <c r="J138" s="11"/>
      <c r="K138" s="14" t="s">
        <v>31</v>
      </c>
      <c r="L138" s="11"/>
      <c r="M138" s="15"/>
      <c r="N138" s="16"/>
      <c r="O138" s="16"/>
      <c r="P138" s="16"/>
      <c r="Q138" s="17"/>
      <c r="R138" s="17"/>
      <c r="S138" s="17"/>
      <c r="T138" s="17"/>
      <c r="U138" s="17"/>
      <c r="V138" s="17"/>
      <c r="W138" s="17"/>
      <c r="X138" s="17"/>
      <c r="Y138" s="17"/>
    </row>
    <row r="139" ht="18.75" customHeight="1">
      <c r="A139" s="9">
        <v>1292.0</v>
      </c>
      <c r="B139" s="11" t="s">
        <v>634</v>
      </c>
      <c r="C139" s="11" t="s">
        <v>635</v>
      </c>
      <c r="D139" s="11" t="s">
        <v>636</v>
      </c>
      <c r="E139" s="11" t="s">
        <v>319</v>
      </c>
      <c r="F139" s="15"/>
      <c r="G139" s="13">
        <v>46083.0</v>
      </c>
      <c r="H139" s="13">
        <v>46084.0</v>
      </c>
      <c r="I139" s="11" t="s">
        <v>25</v>
      </c>
      <c r="J139" s="11"/>
      <c r="K139" s="14" t="s">
        <v>31</v>
      </c>
      <c r="L139" s="11"/>
      <c r="M139" s="15"/>
      <c r="N139" s="16"/>
      <c r="O139" s="16"/>
      <c r="P139" s="16"/>
      <c r="Q139" s="17"/>
      <c r="R139" s="17"/>
      <c r="S139" s="17"/>
      <c r="T139" s="17"/>
      <c r="U139" s="17"/>
      <c r="V139" s="17"/>
      <c r="W139" s="17"/>
      <c r="X139" s="17"/>
      <c r="Y139" s="17"/>
    </row>
    <row r="140" ht="18.75" customHeight="1">
      <c r="A140" s="9">
        <v>1293.0</v>
      </c>
      <c r="B140" s="11" t="s">
        <v>637</v>
      </c>
      <c r="C140" s="11" t="s">
        <v>638</v>
      </c>
      <c r="D140" s="11" t="s">
        <v>110</v>
      </c>
      <c r="E140" s="11" t="s">
        <v>419</v>
      </c>
      <c r="F140" s="11" t="s">
        <v>639</v>
      </c>
      <c r="G140" s="12">
        <v>46101.0</v>
      </c>
      <c r="H140" s="13">
        <v>46102.0</v>
      </c>
      <c r="I140" s="11" t="s">
        <v>251</v>
      </c>
      <c r="J140" s="11"/>
      <c r="K140" s="14" t="s">
        <v>31</v>
      </c>
      <c r="L140" s="11"/>
      <c r="M140" s="11" t="s">
        <v>640</v>
      </c>
      <c r="N140" s="16"/>
      <c r="O140" s="16"/>
      <c r="P140" s="16"/>
      <c r="Q140" s="17"/>
      <c r="R140" s="17"/>
      <c r="S140" s="17"/>
      <c r="T140" s="17"/>
      <c r="U140" s="17"/>
      <c r="V140" s="17"/>
      <c r="W140" s="17"/>
      <c r="X140" s="17"/>
      <c r="Y140" s="17"/>
    </row>
    <row r="141" ht="18.75" customHeight="1">
      <c r="A141" s="9">
        <v>1294.0</v>
      </c>
      <c r="B141" s="11" t="s">
        <v>641</v>
      </c>
      <c r="C141" s="11" t="s">
        <v>642</v>
      </c>
      <c r="D141" s="11" t="s">
        <v>128</v>
      </c>
      <c r="E141" s="11" t="s">
        <v>404</v>
      </c>
      <c r="F141" s="11" t="s">
        <v>643</v>
      </c>
      <c r="G141" s="12">
        <v>46112.0</v>
      </c>
      <c r="H141" s="13">
        <v>46113.0</v>
      </c>
      <c r="I141" s="11" t="s">
        <v>119</v>
      </c>
      <c r="J141" s="11"/>
      <c r="K141" s="14" t="s">
        <v>31</v>
      </c>
      <c r="L141" s="11"/>
      <c r="M141" s="15"/>
      <c r="N141" s="16"/>
      <c r="O141" s="16"/>
      <c r="P141" s="16"/>
      <c r="Q141" s="17"/>
      <c r="R141" s="17"/>
      <c r="S141" s="17"/>
      <c r="T141" s="17"/>
      <c r="U141" s="17"/>
      <c r="V141" s="17"/>
      <c r="W141" s="17"/>
      <c r="X141" s="17"/>
      <c r="Y141" s="17"/>
    </row>
    <row r="142" ht="18.75" customHeight="1">
      <c r="A142" s="9">
        <v>1295.0</v>
      </c>
      <c r="B142" s="11" t="s">
        <v>644</v>
      </c>
      <c r="C142" s="11" t="s">
        <v>645</v>
      </c>
      <c r="D142" s="11" t="s">
        <v>646</v>
      </c>
      <c r="E142" s="11" t="s">
        <v>647</v>
      </c>
      <c r="F142" s="11" t="s">
        <v>648</v>
      </c>
      <c r="G142" s="12">
        <v>46137.0</v>
      </c>
      <c r="H142" s="13">
        <v>46138.0</v>
      </c>
      <c r="I142" s="11" t="s">
        <v>25</v>
      </c>
      <c r="J142" s="11"/>
      <c r="K142" s="14" t="s">
        <v>31</v>
      </c>
      <c r="L142" s="11"/>
      <c r="M142" s="11" t="s">
        <v>649</v>
      </c>
      <c r="N142" s="16"/>
      <c r="O142" s="16"/>
      <c r="P142" s="16"/>
      <c r="Q142" s="17"/>
      <c r="R142" s="17"/>
      <c r="S142" s="17"/>
      <c r="T142" s="17"/>
      <c r="U142" s="17"/>
      <c r="V142" s="17"/>
      <c r="W142" s="17"/>
      <c r="X142" s="17"/>
      <c r="Y142" s="17"/>
    </row>
    <row r="143" ht="18.75" customHeight="1">
      <c r="A143" s="9">
        <v>1296.0</v>
      </c>
      <c r="B143" s="11" t="s">
        <v>650</v>
      </c>
      <c r="C143" s="11" t="s">
        <v>651</v>
      </c>
      <c r="D143" s="11" t="s">
        <v>122</v>
      </c>
      <c r="E143" s="11" t="s">
        <v>259</v>
      </c>
      <c r="F143" s="11" t="s">
        <v>652</v>
      </c>
      <c r="G143" s="12">
        <v>46112.0</v>
      </c>
      <c r="H143" s="13">
        <v>46113.0</v>
      </c>
      <c r="I143" s="11" t="s">
        <v>25</v>
      </c>
      <c r="J143" s="11"/>
      <c r="K143" s="14" t="s">
        <v>31</v>
      </c>
      <c r="L143" s="11"/>
      <c r="M143" s="15"/>
      <c r="N143" s="16"/>
      <c r="O143" s="16"/>
      <c r="P143" s="16"/>
      <c r="Q143" s="17"/>
      <c r="R143" s="17"/>
      <c r="S143" s="17"/>
      <c r="T143" s="17"/>
      <c r="U143" s="17"/>
      <c r="V143" s="17"/>
      <c r="W143" s="17"/>
      <c r="X143" s="17"/>
      <c r="Y143" s="17"/>
    </row>
    <row r="144" ht="18.75" customHeight="1">
      <c r="A144" s="9">
        <v>1297.0</v>
      </c>
      <c r="B144" s="11" t="s">
        <v>653</v>
      </c>
      <c r="C144" s="11" t="s">
        <v>654</v>
      </c>
      <c r="D144" s="11" t="s">
        <v>655</v>
      </c>
      <c r="E144" s="11" t="s">
        <v>656</v>
      </c>
      <c r="F144" s="11" t="s">
        <v>657</v>
      </c>
      <c r="G144" s="12">
        <v>46112.0</v>
      </c>
      <c r="H144" s="13">
        <v>46113.0</v>
      </c>
      <c r="I144" s="11" t="s">
        <v>119</v>
      </c>
      <c r="J144" s="11" t="s">
        <v>213</v>
      </c>
      <c r="K144" s="14" t="s">
        <v>31</v>
      </c>
      <c r="L144" s="11" t="s">
        <v>62</v>
      </c>
      <c r="M144" s="15"/>
      <c r="N144" s="16"/>
      <c r="O144" s="16"/>
      <c r="P144" s="16"/>
      <c r="Q144" s="17"/>
      <c r="R144" s="17"/>
      <c r="S144" s="17"/>
      <c r="T144" s="17"/>
      <c r="U144" s="17"/>
      <c r="V144" s="17"/>
      <c r="W144" s="17"/>
      <c r="X144" s="17"/>
      <c r="Y144" s="17"/>
    </row>
    <row r="145" ht="18.75" customHeight="1">
      <c r="A145" s="9">
        <v>1298.0</v>
      </c>
      <c r="B145" s="11" t="s">
        <v>658</v>
      </c>
      <c r="C145" s="11" t="s">
        <v>659</v>
      </c>
      <c r="D145" s="11" t="s">
        <v>660</v>
      </c>
      <c r="E145" s="11" t="s">
        <v>357</v>
      </c>
      <c r="F145" s="11" t="s">
        <v>661</v>
      </c>
      <c r="G145" s="12">
        <v>46136.0</v>
      </c>
      <c r="H145" s="12">
        <v>46137.0</v>
      </c>
      <c r="I145" s="11" t="s">
        <v>25</v>
      </c>
      <c r="J145" s="11" t="s">
        <v>37</v>
      </c>
      <c r="K145" s="14" t="s">
        <v>31</v>
      </c>
      <c r="L145" s="11" t="s">
        <v>50</v>
      </c>
      <c r="M145" s="15"/>
      <c r="N145" s="16"/>
      <c r="O145" s="16"/>
      <c r="P145" s="16"/>
      <c r="Q145" s="17"/>
      <c r="R145" s="17"/>
      <c r="S145" s="17"/>
      <c r="T145" s="17"/>
      <c r="U145" s="17"/>
      <c r="V145" s="17"/>
      <c r="W145" s="17"/>
      <c r="X145" s="17"/>
      <c r="Y145" s="17"/>
    </row>
    <row r="146" ht="18.75" customHeight="1">
      <c r="A146" s="9">
        <v>1299.0</v>
      </c>
      <c r="B146" s="11" t="s">
        <v>662</v>
      </c>
      <c r="C146" s="11" t="s">
        <v>663</v>
      </c>
      <c r="D146" s="11" t="s">
        <v>664</v>
      </c>
      <c r="E146" s="11" t="s">
        <v>410</v>
      </c>
      <c r="F146" s="11" t="s">
        <v>665</v>
      </c>
      <c r="G146" s="13">
        <v>46122.0</v>
      </c>
      <c r="H146" s="13">
        <v>46123.0</v>
      </c>
      <c r="I146" s="11" t="s">
        <v>119</v>
      </c>
      <c r="J146" s="11" t="s">
        <v>37</v>
      </c>
      <c r="K146" s="14" t="s">
        <v>31</v>
      </c>
      <c r="L146" s="11" t="s">
        <v>38</v>
      </c>
      <c r="M146" s="15"/>
      <c r="N146" s="16"/>
      <c r="O146" s="16"/>
      <c r="P146" s="16"/>
      <c r="Q146" s="17"/>
      <c r="R146" s="17"/>
      <c r="S146" s="17"/>
      <c r="T146" s="17"/>
      <c r="U146" s="17"/>
      <c r="V146" s="17"/>
      <c r="W146" s="17"/>
      <c r="X146" s="17"/>
      <c r="Y146" s="17"/>
    </row>
    <row r="147" ht="18.75" customHeight="1">
      <c r="A147" s="9">
        <v>1300.0</v>
      </c>
      <c r="B147" s="11" t="s">
        <v>666</v>
      </c>
      <c r="C147" s="11" t="s">
        <v>667</v>
      </c>
      <c r="D147" s="11" t="s">
        <v>122</v>
      </c>
      <c r="E147" s="11" t="s">
        <v>668</v>
      </c>
      <c r="F147" s="11" t="s">
        <v>669</v>
      </c>
      <c r="G147" s="12">
        <v>46112.0</v>
      </c>
      <c r="H147" s="13">
        <v>46113.0</v>
      </c>
      <c r="I147" s="11" t="s">
        <v>251</v>
      </c>
      <c r="J147" s="11" t="s">
        <v>213</v>
      </c>
      <c r="K147" s="14" t="s">
        <v>31</v>
      </c>
      <c r="L147" s="11"/>
      <c r="M147" s="15"/>
      <c r="N147" s="16"/>
      <c r="O147" s="16"/>
      <c r="P147" s="16"/>
      <c r="Q147" s="17"/>
      <c r="R147" s="17"/>
      <c r="S147" s="17"/>
      <c r="T147" s="17"/>
      <c r="U147" s="17"/>
      <c r="V147" s="17"/>
      <c r="W147" s="17"/>
      <c r="X147" s="17"/>
      <c r="Y147" s="17"/>
    </row>
    <row r="148" ht="18.75" customHeight="1">
      <c r="A148" s="9">
        <v>1301.0</v>
      </c>
      <c r="B148" s="11" t="s">
        <v>670</v>
      </c>
      <c r="C148" s="11" t="s">
        <v>671</v>
      </c>
      <c r="D148" s="11" t="s">
        <v>672</v>
      </c>
      <c r="E148" s="11" t="s">
        <v>673</v>
      </c>
      <c r="F148" s="11" t="s">
        <v>674</v>
      </c>
      <c r="G148" s="13">
        <v>46142.0</v>
      </c>
      <c r="H148" s="13">
        <v>46143.0</v>
      </c>
      <c r="I148" s="11" t="s">
        <v>25</v>
      </c>
      <c r="J148" s="11" t="s">
        <v>37</v>
      </c>
      <c r="K148" s="14" t="s">
        <v>31</v>
      </c>
      <c r="L148" s="11" t="s">
        <v>50</v>
      </c>
      <c r="M148" s="15"/>
      <c r="N148" s="16"/>
      <c r="O148" s="16"/>
      <c r="P148" s="16"/>
      <c r="Q148" s="17"/>
      <c r="R148" s="17"/>
      <c r="S148" s="17"/>
      <c r="T148" s="17"/>
      <c r="U148" s="17"/>
      <c r="V148" s="17"/>
      <c r="W148" s="17"/>
      <c r="X148" s="17"/>
      <c r="Y148" s="17"/>
    </row>
    <row r="149" ht="18.75" customHeight="1">
      <c r="A149" s="9">
        <v>1302.0</v>
      </c>
      <c r="B149" s="11" t="s">
        <v>675</v>
      </c>
      <c r="C149" s="25" t="s">
        <v>676</v>
      </c>
      <c r="D149" s="11" t="s">
        <v>677</v>
      </c>
      <c r="E149" s="11" t="s">
        <v>678</v>
      </c>
      <c r="F149" s="11" t="s">
        <v>679</v>
      </c>
      <c r="G149" s="13">
        <v>46142.0</v>
      </c>
      <c r="H149" s="13">
        <v>46143.0</v>
      </c>
      <c r="I149" s="11" t="s">
        <v>25</v>
      </c>
      <c r="J149" s="11" t="s">
        <v>37</v>
      </c>
      <c r="K149" s="14" t="s">
        <v>31</v>
      </c>
      <c r="L149" s="11" t="s">
        <v>62</v>
      </c>
      <c r="M149" s="15"/>
      <c r="N149" s="16"/>
      <c r="O149" s="16"/>
      <c r="P149" s="16"/>
      <c r="Q149" s="17"/>
      <c r="R149" s="17"/>
      <c r="S149" s="17"/>
      <c r="T149" s="17"/>
      <c r="U149" s="17"/>
      <c r="V149" s="17"/>
      <c r="W149" s="17"/>
      <c r="X149" s="17"/>
      <c r="Y149" s="17"/>
    </row>
    <row r="150" ht="18.75" customHeight="1">
      <c r="A150" s="9">
        <v>1303.0</v>
      </c>
      <c r="B150" s="11" t="s">
        <v>680</v>
      </c>
      <c r="C150" s="25" t="s">
        <v>681</v>
      </c>
      <c r="D150" s="11" t="s">
        <v>682</v>
      </c>
      <c r="E150" s="11" t="s">
        <v>381</v>
      </c>
      <c r="F150" s="11" t="s">
        <v>683</v>
      </c>
      <c r="G150" s="13">
        <v>46142.0</v>
      </c>
      <c r="H150" s="13">
        <v>46143.0</v>
      </c>
      <c r="I150" s="11" t="s">
        <v>25</v>
      </c>
      <c r="J150" s="11" t="s">
        <v>37</v>
      </c>
      <c r="K150" s="14" t="s">
        <v>31</v>
      </c>
      <c r="L150" s="11" t="s">
        <v>62</v>
      </c>
      <c r="M150" s="15"/>
      <c r="N150" s="16"/>
      <c r="O150" s="16"/>
      <c r="P150" s="16"/>
      <c r="Q150" s="17"/>
      <c r="R150" s="17"/>
      <c r="S150" s="17"/>
      <c r="T150" s="17"/>
      <c r="U150" s="17"/>
      <c r="V150" s="17"/>
      <c r="W150" s="17"/>
      <c r="X150" s="17"/>
      <c r="Y150" s="17"/>
    </row>
    <row r="151" ht="18.75" customHeight="1">
      <c r="A151" s="9">
        <v>1304.0</v>
      </c>
      <c r="B151" s="11" t="s">
        <v>684</v>
      </c>
      <c r="C151" s="11" t="s">
        <v>685</v>
      </c>
      <c r="D151" s="11" t="s">
        <v>682</v>
      </c>
      <c r="E151" s="11" t="s">
        <v>686</v>
      </c>
      <c r="F151" s="11" t="s">
        <v>687</v>
      </c>
      <c r="G151" s="13">
        <v>46142.0</v>
      </c>
      <c r="H151" s="13">
        <v>46143.0</v>
      </c>
      <c r="I151" s="11" t="s">
        <v>25</v>
      </c>
      <c r="J151" s="11" t="s">
        <v>37</v>
      </c>
      <c r="K151" s="14" t="s">
        <v>31</v>
      </c>
      <c r="L151" s="11" t="s">
        <v>97</v>
      </c>
      <c r="M151" s="15"/>
      <c r="N151" s="16"/>
      <c r="O151" s="16"/>
      <c r="P151" s="16"/>
      <c r="Q151" s="17"/>
      <c r="R151" s="17"/>
      <c r="S151" s="17"/>
      <c r="T151" s="17"/>
      <c r="U151" s="17"/>
      <c r="V151" s="17"/>
      <c r="W151" s="17"/>
      <c r="X151" s="17"/>
      <c r="Y151" s="17"/>
    </row>
    <row r="152" ht="18.75" customHeight="1">
      <c r="A152" s="9">
        <v>1305.0</v>
      </c>
      <c r="B152" s="11" t="s">
        <v>688</v>
      </c>
      <c r="C152" s="11" t="s">
        <v>689</v>
      </c>
      <c r="D152" s="11" t="s">
        <v>682</v>
      </c>
      <c r="E152" s="11" t="s">
        <v>690</v>
      </c>
      <c r="F152" s="11" t="s">
        <v>691</v>
      </c>
      <c r="G152" s="13">
        <v>46122.0</v>
      </c>
      <c r="H152" s="13">
        <v>46123.0</v>
      </c>
      <c r="I152" s="11" t="s">
        <v>119</v>
      </c>
      <c r="J152" s="11" t="s">
        <v>37</v>
      </c>
      <c r="K152" s="14" t="s">
        <v>31</v>
      </c>
      <c r="L152" s="11" t="s">
        <v>62</v>
      </c>
      <c r="M152" s="15"/>
      <c r="N152" s="16"/>
      <c r="O152" s="16"/>
      <c r="P152" s="16"/>
      <c r="Q152" s="17"/>
      <c r="R152" s="17"/>
      <c r="S152" s="17"/>
      <c r="T152" s="17"/>
      <c r="U152" s="17"/>
      <c r="V152" s="17"/>
      <c r="W152" s="17"/>
      <c r="X152" s="17"/>
      <c r="Y152" s="17"/>
    </row>
    <row r="153" ht="18.75" customHeight="1">
      <c r="A153" s="9">
        <v>1306.0</v>
      </c>
      <c r="B153" s="11" t="s">
        <v>692</v>
      </c>
      <c r="C153" s="25" t="s">
        <v>693</v>
      </c>
      <c r="D153" s="11" t="s">
        <v>28</v>
      </c>
      <c r="E153" s="11" t="s">
        <v>236</v>
      </c>
      <c r="F153" s="11" t="s">
        <v>694</v>
      </c>
      <c r="G153" s="13">
        <v>46142.0</v>
      </c>
      <c r="H153" s="13">
        <v>46143.0</v>
      </c>
      <c r="I153" s="11" t="s">
        <v>25</v>
      </c>
      <c r="J153" s="11" t="s">
        <v>37</v>
      </c>
      <c r="K153" s="14" t="s">
        <v>31</v>
      </c>
      <c r="L153" s="11" t="s">
        <v>86</v>
      </c>
      <c r="M153" s="15"/>
      <c r="N153" s="16"/>
      <c r="O153" s="16"/>
      <c r="P153" s="16"/>
      <c r="Q153" s="17"/>
      <c r="R153" s="17"/>
      <c r="S153" s="17"/>
      <c r="T153" s="17"/>
      <c r="U153" s="17"/>
      <c r="V153" s="17"/>
      <c r="W153" s="17"/>
      <c r="X153" s="17"/>
      <c r="Y153" s="17"/>
    </row>
    <row r="154" ht="18.75" customHeight="1">
      <c r="A154" s="9">
        <v>1307.0</v>
      </c>
      <c r="B154" s="11" t="s">
        <v>695</v>
      </c>
      <c r="C154" s="11" t="s">
        <v>696</v>
      </c>
      <c r="D154" s="11" t="s">
        <v>697</v>
      </c>
      <c r="E154" s="11" t="s">
        <v>363</v>
      </c>
      <c r="F154" s="11" t="s">
        <v>698</v>
      </c>
      <c r="G154" s="13">
        <v>46142.0</v>
      </c>
      <c r="H154" s="13">
        <v>46143.0</v>
      </c>
      <c r="I154" s="11" t="s">
        <v>25</v>
      </c>
      <c r="J154" s="11" t="s">
        <v>37</v>
      </c>
      <c r="K154" s="14" t="s">
        <v>31</v>
      </c>
      <c r="L154" s="11" t="s">
        <v>38</v>
      </c>
      <c r="M154" s="15"/>
      <c r="N154" s="16"/>
      <c r="O154" s="16"/>
      <c r="P154" s="16"/>
      <c r="Q154" s="17"/>
      <c r="R154" s="17"/>
      <c r="S154" s="17"/>
      <c r="T154" s="17"/>
      <c r="U154" s="17"/>
      <c r="V154" s="17"/>
      <c r="W154" s="17"/>
      <c r="X154" s="17"/>
      <c r="Y154" s="17"/>
    </row>
    <row r="155" ht="18.75" customHeight="1">
      <c r="A155" s="9">
        <v>1308.0</v>
      </c>
      <c r="B155" s="11" t="s">
        <v>699</v>
      </c>
      <c r="C155" s="11" t="s">
        <v>700</v>
      </c>
      <c r="D155" s="11" t="s">
        <v>701</v>
      </c>
      <c r="E155" s="11" t="s">
        <v>702</v>
      </c>
      <c r="F155" s="11" t="s">
        <v>703</v>
      </c>
      <c r="G155" s="13">
        <v>46142.0</v>
      </c>
      <c r="H155" s="13">
        <v>46143.0</v>
      </c>
      <c r="I155" s="11" t="s">
        <v>25</v>
      </c>
      <c r="J155" s="11" t="s">
        <v>37</v>
      </c>
      <c r="K155" s="14" t="s">
        <v>31</v>
      </c>
      <c r="L155" s="11" t="s">
        <v>62</v>
      </c>
      <c r="M155" s="15"/>
      <c r="N155" s="16"/>
      <c r="O155" s="16"/>
      <c r="P155" s="16"/>
      <c r="Q155" s="17"/>
      <c r="R155" s="17"/>
      <c r="S155" s="17"/>
      <c r="T155" s="17"/>
      <c r="U155" s="17"/>
      <c r="V155" s="17"/>
      <c r="W155" s="17"/>
      <c r="X155" s="17"/>
      <c r="Y155" s="17"/>
    </row>
    <row r="156" ht="18.75" customHeight="1">
      <c r="A156" s="9">
        <v>1309.0</v>
      </c>
      <c r="B156" s="11" t="s">
        <v>704</v>
      </c>
      <c r="C156" s="11" t="s">
        <v>705</v>
      </c>
      <c r="D156" s="11" t="s">
        <v>706</v>
      </c>
      <c r="E156" s="11" t="s">
        <v>517</v>
      </c>
      <c r="F156" s="11" t="s">
        <v>707</v>
      </c>
      <c r="G156" s="12">
        <v>46155.0</v>
      </c>
      <c r="H156" s="13">
        <v>46156.0</v>
      </c>
      <c r="I156" s="11" t="s">
        <v>25</v>
      </c>
      <c r="J156" s="11"/>
      <c r="K156" s="14"/>
      <c r="L156" s="11"/>
      <c r="M156" s="11" t="s">
        <v>708</v>
      </c>
      <c r="N156" s="16"/>
      <c r="O156" s="16"/>
      <c r="P156" s="16"/>
      <c r="Q156" s="17"/>
      <c r="R156" s="17"/>
      <c r="S156" s="17"/>
      <c r="T156" s="17"/>
      <c r="U156" s="17"/>
      <c r="V156" s="17"/>
      <c r="W156" s="17"/>
      <c r="X156" s="17"/>
      <c r="Y156" s="17"/>
    </row>
    <row r="157" ht="18.75" customHeight="1">
      <c r="A157" s="9">
        <v>1310.0</v>
      </c>
      <c r="B157" s="11" t="s">
        <v>709</v>
      </c>
      <c r="C157" s="11" t="s">
        <v>710</v>
      </c>
      <c r="D157" s="11" t="s">
        <v>711</v>
      </c>
      <c r="E157" s="11" t="s">
        <v>712</v>
      </c>
      <c r="F157" s="11" t="s">
        <v>713</v>
      </c>
      <c r="G157" s="12">
        <v>46157.0</v>
      </c>
      <c r="H157" s="13">
        <v>46158.0</v>
      </c>
      <c r="I157" s="11" t="s">
        <v>25</v>
      </c>
      <c r="J157" s="11"/>
      <c r="K157" s="14"/>
      <c r="L157" s="11" t="s">
        <v>74</v>
      </c>
      <c r="M157" s="15"/>
      <c r="N157" s="16"/>
      <c r="O157" s="16"/>
      <c r="P157" s="16"/>
      <c r="Q157" s="17"/>
      <c r="R157" s="17"/>
      <c r="S157" s="17"/>
      <c r="T157" s="17"/>
      <c r="U157" s="17"/>
      <c r="V157" s="17"/>
      <c r="W157" s="17"/>
      <c r="X157" s="17"/>
      <c r="Y157" s="17"/>
    </row>
    <row r="158" ht="18.75" customHeight="1">
      <c r="A158" s="9">
        <v>1311.0</v>
      </c>
      <c r="B158" s="11" t="s">
        <v>714</v>
      </c>
      <c r="C158" s="11" t="s">
        <v>715</v>
      </c>
      <c r="D158" s="11" t="s">
        <v>122</v>
      </c>
      <c r="E158" s="11" t="s">
        <v>129</v>
      </c>
      <c r="F158" s="11" t="s">
        <v>716</v>
      </c>
      <c r="G158" s="12">
        <v>46112.0</v>
      </c>
      <c r="H158" s="13">
        <v>46113.0</v>
      </c>
      <c r="I158" s="11" t="s">
        <v>251</v>
      </c>
      <c r="J158" s="11" t="s">
        <v>213</v>
      </c>
      <c r="K158" s="14" t="s">
        <v>31</v>
      </c>
      <c r="L158" s="11"/>
      <c r="M158" s="11" t="s">
        <v>717</v>
      </c>
      <c r="N158" s="16"/>
      <c r="O158" s="16"/>
      <c r="P158" s="16"/>
      <c r="Q158" s="17"/>
      <c r="R158" s="17"/>
      <c r="S158" s="17"/>
      <c r="T158" s="17"/>
      <c r="U158" s="17"/>
      <c r="V158" s="17"/>
      <c r="W158" s="17"/>
      <c r="X158" s="17"/>
      <c r="Y158" s="17"/>
    </row>
    <row r="159" ht="18.75" customHeight="1">
      <c r="A159" s="9">
        <v>1312.0</v>
      </c>
      <c r="B159" s="11" t="s">
        <v>718</v>
      </c>
      <c r="C159" s="11" t="s">
        <v>719</v>
      </c>
      <c r="D159" s="11" t="s">
        <v>42</v>
      </c>
      <c r="E159" s="11" t="s">
        <v>720</v>
      </c>
      <c r="F159" s="11" t="s">
        <v>721</v>
      </c>
      <c r="G159" s="12">
        <v>46112.0</v>
      </c>
      <c r="H159" s="13">
        <v>46113.0</v>
      </c>
      <c r="I159" s="11" t="s">
        <v>25</v>
      </c>
      <c r="J159" s="11"/>
      <c r="K159" s="14" t="s">
        <v>31</v>
      </c>
      <c r="L159" s="11"/>
      <c r="M159" s="11" t="s">
        <v>722</v>
      </c>
      <c r="N159" s="16"/>
      <c r="O159" s="16"/>
      <c r="P159" s="16"/>
      <c r="Q159" s="17"/>
      <c r="R159" s="17"/>
      <c r="S159" s="17"/>
      <c r="T159" s="17"/>
      <c r="U159" s="17"/>
      <c r="V159" s="17"/>
      <c r="W159" s="17"/>
      <c r="X159" s="17"/>
      <c r="Y159" s="17"/>
    </row>
    <row r="160" ht="18.75" customHeight="1">
      <c r="A160" s="9">
        <v>1313.0</v>
      </c>
      <c r="B160" s="11" t="s">
        <v>723</v>
      </c>
      <c r="C160" s="11" t="s">
        <v>724</v>
      </c>
      <c r="D160" s="11" t="s">
        <v>42</v>
      </c>
      <c r="E160" s="11" t="s">
        <v>385</v>
      </c>
      <c r="F160" s="11" t="s">
        <v>725</v>
      </c>
      <c r="G160" s="13">
        <v>46142.0</v>
      </c>
      <c r="H160" s="13">
        <v>46143.0</v>
      </c>
      <c r="I160" s="11" t="s">
        <v>25</v>
      </c>
      <c r="J160" s="11"/>
      <c r="K160" s="14" t="s">
        <v>31</v>
      </c>
      <c r="L160" s="11"/>
      <c r="M160" s="11" t="s">
        <v>726</v>
      </c>
      <c r="N160" s="16"/>
      <c r="O160" s="16"/>
      <c r="P160" s="16"/>
      <c r="Q160" s="17"/>
      <c r="R160" s="17"/>
      <c r="S160" s="17"/>
      <c r="T160" s="17"/>
      <c r="U160" s="17"/>
      <c r="V160" s="17"/>
      <c r="W160" s="17"/>
      <c r="X160" s="17"/>
      <c r="Y160" s="17"/>
    </row>
    <row r="161" ht="18.75" customHeight="1">
      <c r="A161" s="9">
        <v>1314.0</v>
      </c>
      <c r="B161" s="11" t="s">
        <v>727</v>
      </c>
      <c r="C161" s="11" t="s">
        <v>728</v>
      </c>
      <c r="D161" s="11" t="s">
        <v>42</v>
      </c>
      <c r="E161" s="11" t="s">
        <v>729</v>
      </c>
      <c r="F161" s="11" t="s">
        <v>730</v>
      </c>
      <c r="G161" s="13">
        <v>46134.0</v>
      </c>
      <c r="H161" s="13">
        <v>46135.0</v>
      </c>
      <c r="I161" s="11" t="s">
        <v>119</v>
      </c>
      <c r="J161" s="11"/>
      <c r="K161" s="14" t="s">
        <v>31</v>
      </c>
      <c r="L161" s="11"/>
      <c r="M161" s="11" t="s">
        <v>731</v>
      </c>
      <c r="N161" s="16"/>
      <c r="O161" s="16"/>
      <c r="P161" s="16"/>
      <c r="Q161" s="17"/>
      <c r="R161" s="17"/>
      <c r="S161" s="17"/>
      <c r="T161" s="17"/>
      <c r="U161" s="17"/>
      <c r="V161" s="17"/>
      <c r="W161" s="17"/>
      <c r="X161" s="17"/>
      <c r="Y161" s="17"/>
    </row>
    <row r="162" ht="18.75" customHeight="1">
      <c r="A162" s="9">
        <v>1315.0</v>
      </c>
      <c r="B162" s="11" t="s">
        <v>732</v>
      </c>
      <c r="C162" s="11" t="s">
        <v>733</v>
      </c>
      <c r="D162" s="11" t="s">
        <v>444</v>
      </c>
      <c r="E162" s="11" t="s">
        <v>734</v>
      </c>
      <c r="F162" s="11" t="s">
        <v>735</v>
      </c>
      <c r="G162" s="13">
        <v>46146.0</v>
      </c>
      <c r="H162" s="13">
        <v>46147.0</v>
      </c>
      <c r="I162" s="11" t="s">
        <v>25</v>
      </c>
      <c r="J162" s="11"/>
      <c r="K162" s="14" t="s">
        <v>31</v>
      </c>
      <c r="L162" s="11"/>
      <c r="M162" s="11" t="s">
        <v>736</v>
      </c>
      <c r="N162" s="16"/>
      <c r="O162" s="16"/>
      <c r="P162" s="16"/>
      <c r="Q162" s="17"/>
      <c r="R162" s="17"/>
      <c r="S162" s="17"/>
      <c r="T162" s="17"/>
      <c r="U162" s="17"/>
      <c r="V162" s="17"/>
      <c r="W162" s="17"/>
      <c r="X162" s="17"/>
      <c r="Y162" s="17"/>
    </row>
    <row r="163" ht="18.75" customHeight="1">
      <c r="A163" s="9">
        <v>1316.0</v>
      </c>
      <c r="B163" s="11" t="s">
        <v>737</v>
      </c>
      <c r="C163" s="11" t="s">
        <v>738</v>
      </c>
      <c r="D163" s="11" t="s">
        <v>128</v>
      </c>
      <c r="E163" s="11" t="s">
        <v>385</v>
      </c>
      <c r="F163" s="11" t="s">
        <v>739</v>
      </c>
      <c r="G163" s="13">
        <v>46132.0</v>
      </c>
      <c r="H163" s="13">
        <v>46133.0</v>
      </c>
      <c r="I163" s="11" t="s">
        <v>119</v>
      </c>
      <c r="J163" s="11"/>
      <c r="K163" s="14" t="s">
        <v>31</v>
      </c>
      <c r="L163" s="11"/>
      <c r="M163" s="11" t="s">
        <v>740</v>
      </c>
      <c r="N163" s="16"/>
      <c r="O163" s="16"/>
      <c r="P163" s="16"/>
      <c r="Q163" s="17"/>
      <c r="R163" s="17"/>
      <c r="S163" s="17"/>
      <c r="T163" s="17"/>
      <c r="U163" s="17"/>
      <c r="V163" s="17"/>
      <c r="W163" s="17"/>
      <c r="X163" s="17"/>
      <c r="Y163" s="17"/>
    </row>
    <row r="164" ht="18.75" customHeight="1">
      <c r="A164" s="9">
        <v>1317.0</v>
      </c>
      <c r="B164" s="11" t="s">
        <v>741</v>
      </c>
      <c r="C164" s="11" t="s">
        <v>742</v>
      </c>
      <c r="D164" s="11" t="s">
        <v>128</v>
      </c>
      <c r="E164" s="11" t="s">
        <v>743</v>
      </c>
      <c r="F164" s="11" t="s">
        <v>744</v>
      </c>
      <c r="G164" s="13">
        <v>46142.0</v>
      </c>
      <c r="H164" s="13">
        <v>46143.0</v>
      </c>
      <c r="I164" s="11" t="s">
        <v>25</v>
      </c>
      <c r="J164" s="11"/>
      <c r="K164" s="14" t="s">
        <v>31</v>
      </c>
      <c r="L164" s="11"/>
      <c r="M164" s="11" t="s">
        <v>745</v>
      </c>
      <c r="N164" s="16"/>
      <c r="O164" s="16"/>
      <c r="P164" s="16"/>
      <c r="Q164" s="17"/>
      <c r="R164" s="17"/>
      <c r="S164" s="17"/>
      <c r="T164" s="17"/>
      <c r="U164" s="17"/>
      <c r="V164" s="17"/>
      <c r="W164" s="17"/>
      <c r="X164" s="17"/>
      <c r="Y164" s="17"/>
    </row>
    <row r="165" ht="18.75" customHeight="1">
      <c r="A165" s="9">
        <v>1318.0</v>
      </c>
      <c r="B165" s="11" t="s">
        <v>746</v>
      </c>
      <c r="C165" s="11" t="s">
        <v>747</v>
      </c>
      <c r="D165" s="11" t="s">
        <v>128</v>
      </c>
      <c r="E165" s="11" t="s">
        <v>748</v>
      </c>
      <c r="F165" s="11" t="s">
        <v>749</v>
      </c>
      <c r="G165" s="13">
        <v>46142.0</v>
      </c>
      <c r="H165" s="13">
        <v>46143.0</v>
      </c>
      <c r="I165" s="11" t="s">
        <v>25</v>
      </c>
      <c r="J165" s="11"/>
      <c r="K165" s="14" t="s">
        <v>31</v>
      </c>
      <c r="L165" s="11"/>
      <c r="M165" s="11" t="s">
        <v>750</v>
      </c>
      <c r="N165" s="16"/>
      <c r="O165" s="16"/>
      <c r="P165" s="16"/>
      <c r="Q165" s="17"/>
      <c r="R165" s="17"/>
      <c r="S165" s="17"/>
      <c r="T165" s="17"/>
      <c r="U165" s="17"/>
      <c r="V165" s="17"/>
      <c r="W165" s="17"/>
      <c r="X165" s="17"/>
      <c r="Y165" s="17"/>
    </row>
    <row r="166" ht="18.75" customHeight="1">
      <c r="A166" s="9">
        <v>1319.0</v>
      </c>
      <c r="B166" s="11" t="s">
        <v>751</v>
      </c>
      <c r="C166" s="11" t="s">
        <v>752</v>
      </c>
      <c r="D166" s="11" t="s">
        <v>128</v>
      </c>
      <c r="E166" s="11" t="s">
        <v>419</v>
      </c>
      <c r="F166" s="11" t="s">
        <v>753</v>
      </c>
      <c r="G166" s="13">
        <v>46144.0</v>
      </c>
      <c r="H166" s="13">
        <v>46145.0</v>
      </c>
      <c r="I166" s="11" t="s">
        <v>25</v>
      </c>
      <c r="J166" s="11"/>
      <c r="K166" s="14" t="s">
        <v>31</v>
      </c>
      <c r="L166" s="11"/>
      <c r="M166" s="11" t="s">
        <v>754</v>
      </c>
      <c r="N166" s="16"/>
      <c r="O166" s="16"/>
      <c r="P166" s="16"/>
      <c r="Q166" s="17"/>
      <c r="R166" s="17"/>
      <c r="S166" s="17"/>
      <c r="T166" s="17"/>
      <c r="U166" s="17"/>
      <c r="V166" s="17"/>
      <c r="W166" s="17"/>
      <c r="X166" s="17"/>
      <c r="Y166" s="17"/>
    </row>
    <row r="167" ht="18.75" customHeight="1">
      <c r="A167" s="9">
        <v>1320.0</v>
      </c>
      <c r="B167" s="11" t="s">
        <v>755</v>
      </c>
      <c r="C167" s="11" t="s">
        <v>756</v>
      </c>
      <c r="D167" s="11" t="s">
        <v>128</v>
      </c>
      <c r="E167" s="11" t="s">
        <v>538</v>
      </c>
      <c r="F167" s="11" t="s">
        <v>757</v>
      </c>
      <c r="G167" s="13">
        <v>46173.0</v>
      </c>
      <c r="H167" s="13">
        <v>46174.0</v>
      </c>
      <c r="I167" s="11" t="s">
        <v>25</v>
      </c>
      <c r="J167" s="11"/>
      <c r="K167" s="14"/>
      <c r="L167" s="11"/>
      <c r="M167" s="11" t="s">
        <v>758</v>
      </c>
      <c r="N167" s="16"/>
      <c r="O167" s="16"/>
      <c r="P167" s="16"/>
      <c r="Q167" s="17"/>
      <c r="R167" s="17"/>
      <c r="S167" s="17"/>
      <c r="T167" s="17"/>
      <c r="U167" s="17"/>
      <c r="V167" s="17"/>
      <c r="W167" s="17"/>
      <c r="X167" s="17"/>
      <c r="Y167" s="17"/>
    </row>
    <row r="168" ht="18.75" customHeight="1">
      <c r="A168" s="9">
        <v>1321.0</v>
      </c>
      <c r="B168" s="11" t="s">
        <v>759</v>
      </c>
      <c r="C168" s="11" t="s">
        <v>760</v>
      </c>
      <c r="D168" s="11" t="s">
        <v>122</v>
      </c>
      <c r="E168" s="11" t="s">
        <v>123</v>
      </c>
      <c r="F168" s="11" t="s">
        <v>761</v>
      </c>
      <c r="G168" s="13">
        <v>46120.0</v>
      </c>
      <c r="H168" s="13">
        <v>46121.0</v>
      </c>
      <c r="I168" s="11" t="s">
        <v>251</v>
      </c>
      <c r="J168" s="11"/>
      <c r="K168" s="14" t="s">
        <v>31</v>
      </c>
      <c r="L168" s="11"/>
      <c r="M168" s="11" t="s">
        <v>183</v>
      </c>
      <c r="N168" s="16"/>
      <c r="O168" s="16"/>
      <c r="P168" s="16"/>
      <c r="Q168" s="17"/>
      <c r="R168" s="17"/>
      <c r="S168" s="17"/>
      <c r="T168" s="17"/>
      <c r="U168" s="17"/>
      <c r="V168" s="17"/>
      <c r="W168" s="17"/>
      <c r="X168" s="17"/>
      <c r="Y168" s="17"/>
    </row>
    <row r="169" ht="18.75" customHeight="1">
      <c r="A169" s="9">
        <v>1322.0</v>
      </c>
      <c r="B169" s="11" t="s">
        <v>762</v>
      </c>
      <c r="C169" s="11" t="s">
        <v>763</v>
      </c>
      <c r="D169" s="11" t="s">
        <v>59</v>
      </c>
      <c r="E169" s="11" t="s">
        <v>764</v>
      </c>
      <c r="F169" s="11" t="s">
        <v>765</v>
      </c>
      <c r="G169" s="12">
        <v>46132.0</v>
      </c>
      <c r="H169" s="13">
        <v>46133.0</v>
      </c>
      <c r="I169" s="11" t="s">
        <v>119</v>
      </c>
      <c r="J169" s="11"/>
      <c r="K169" s="14" t="s">
        <v>31</v>
      </c>
      <c r="L169" s="11"/>
      <c r="M169" s="11" t="s">
        <v>766</v>
      </c>
      <c r="N169" s="16"/>
      <c r="O169" s="16"/>
      <c r="P169" s="16"/>
      <c r="Q169" s="17"/>
      <c r="R169" s="17"/>
      <c r="S169" s="17"/>
      <c r="T169" s="17"/>
      <c r="U169" s="17"/>
      <c r="V169" s="17"/>
      <c r="W169" s="17"/>
      <c r="X169" s="17"/>
      <c r="Y169" s="17"/>
    </row>
    <row r="170" ht="18.75" customHeight="1">
      <c r="A170" s="9">
        <v>1323.0</v>
      </c>
      <c r="B170" s="11" t="s">
        <v>767</v>
      </c>
      <c r="C170" s="11" t="s">
        <v>768</v>
      </c>
      <c r="D170" s="11" t="s">
        <v>71</v>
      </c>
      <c r="E170" s="11" t="s">
        <v>139</v>
      </c>
      <c r="F170" s="11" t="s">
        <v>769</v>
      </c>
      <c r="G170" s="12">
        <v>46142.0</v>
      </c>
      <c r="H170" s="13">
        <v>46143.0</v>
      </c>
      <c r="I170" s="11" t="s">
        <v>25</v>
      </c>
      <c r="J170" s="11"/>
      <c r="K170" s="14" t="s">
        <v>31</v>
      </c>
      <c r="L170" s="11"/>
      <c r="M170" s="11" t="s">
        <v>770</v>
      </c>
      <c r="N170" s="16"/>
      <c r="O170" s="16"/>
      <c r="P170" s="16"/>
      <c r="Q170" s="17"/>
      <c r="R170" s="17"/>
      <c r="S170" s="17"/>
      <c r="T170" s="17"/>
      <c r="U170" s="17"/>
      <c r="V170" s="17"/>
      <c r="W170" s="17"/>
      <c r="X170" s="17"/>
      <c r="Y170" s="17"/>
    </row>
    <row r="171" ht="18.75" customHeight="1">
      <c r="A171" s="9">
        <v>1324.0</v>
      </c>
      <c r="B171" s="11" t="s">
        <v>771</v>
      </c>
      <c r="C171" s="11" t="s">
        <v>772</v>
      </c>
      <c r="D171" s="11" t="s">
        <v>122</v>
      </c>
      <c r="E171" s="11" t="s">
        <v>139</v>
      </c>
      <c r="F171" s="11" t="s">
        <v>773</v>
      </c>
      <c r="G171" s="12">
        <v>46142.0</v>
      </c>
      <c r="H171" s="13">
        <v>46143.0</v>
      </c>
      <c r="I171" s="11" t="s">
        <v>25</v>
      </c>
      <c r="J171" s="11"/>
      <c r="K171" s="14" t="s">
        <v>31</v>
      </c>
      <c r="L171" s="11"/>
      <c r="M171" s="11" t="s">
        <v>774</v>
      </c>
      <c r="N171" s="16"/>
      <c r="O171" s="16"/>
      <c r="P171" s="16"/>
      <c r="Q171" s="17"/>
      <c r="R171" s="17"/>
      <c r="S171" s="17"/>
      <c r="T171" s="17"/>
      <c r="U171" s="17"/>
      <c r="V171" s="17"/>
      <c r="W171" s="17"/>
      <c r="X171" s="17"/>
      <c r="Y171" s="17"/>
    </row>
    <row r="172" ht="18.75" customHeight="1">
      <c r="A172" s="9">
        <v>1325.0</v>
      </c>
      <c r="B172" s="11" t="s">
        <v>775</v>
      </c>
      <c r="C172" s="11" t="s">
        <v>776</v>
      </c>
      <c r="D172" s="11" t="s">
        <v>71</v>
      </c>
      <c r="E172" s="11" t="s">
        <v>139</v>
      </c>
      <c r="F172" s="11" t="s">
        <v>777</v>
      </c>
      <c r="G172" s="12">
        <v>46142.0</v>
      </c>
      <c r="H172" s="13">
        <v>46143.0</v>
      </c>
      <c r="I172" s="11" t="s">
        <v>25</v>
      </c>
      <c r="J172" s="11"/>
      <c r="K172" s="14" t="s">
        <v>31</v>
      </c>
      <c r="L172" s="11"/>
      <c r="M172" s="11" t="s">
        <v>778</v>
      </c>
      <c r="N172" s="16"/>
      <c r="O172" s="16"/>
      <c r="P172" s="16"/>
      <c r="Q172" s="17"/>
      <c r="R172" s="17"/>
      <c r="S172" s="17"/>
      <c r="T172" s="17"/>
      <c r="U172" s="17"/>
      <c r="V172" s="17"/>
      <c r="W172" s="17"/>
      <c r="X172" s="17"/>
      <c r="Y172" s="17"/>
    </row>
    <row r="173" ht="18.75" customHeight="1">
      <c r="A173" s="9">
        <v>1326.0</v>
      </c>
      <c r="B173" s="11" t="s">
        <v>779</v>
      </c>
      <c r="C173" s="25" t="s">
        <v>780</v>
      </c>
      <c r="D173" s="11" t="s">
        <v>271</v>
      </c>
      <c r="E173" s="11" t="s">
        <v>781</v>
      </c>
      <c r="F173" s="11" t="s">
        <v>782</v>
      </c>
      <c r="G173" s="12">
        <v>46142.0</v>
      </c>
      <c r="H173" s="13">
        <v>46143.0</v>
      </c>
      <c r="I173" s="11" t="s">
        <v>25</v>
      </c>
      <c r="J173" s="11" t="s">
        <v>37</v>
      </c>
      <c r="K173" s="14" t="s">
        <v>31</v>
      </c>
      <c r="L173" s="11" t="s">
        <v>62</v>
      </c>
      <c r="M173" s="15"/>
      <c r="N173" s="16"/>
      <c r="O173" s="16"/>
      <c r="P173" s="16"/>
      <c r="Q173" s="17"/>
      <c r="R173" s="17"/>
      <c r="S173" s="17"/>
      <c r="T173" s="17"/>
      <c r="U173" s="17"/>
      <c r="V173" s="17"/>
      <c r="W173" s="17"/>
      <c r="X173" s="17"/>
      <c r="Y173" s="17"/>
    </row>
    <row r="174" ht="18.75" customHeight="1">
      <c r="A174" s="9">
        <v>1327.0</v>
      </c>
      <c r="B174" s="11" t="s">
        <v>783</v>
      </c>
      <c r="C174" s="11" t="s">
        <v>784</v>
      </c>
      <c r="D174" s="11" t="s">
        <v>785</v>
      </c>
      <c r="E174" s="11" t="s">
        <v>786</v>
      </c>
      <c r="F174" s="11" t="s">
        <v>787</v>
      </c>
      <c r="G174" s="12">
        <v>46112.0</v>
      </c>
      <c r="H174" s="13">
        <v>46113.0</v>
      </c>
      <c r="I174" s="11" t="s">
        <v>119</v>
      </c>
      <c r="J174" s="11" t="s">
        <v>37</v>
      </c>
      <c r="K174" s="14" t="s">
        <v>31</v>
      </c>
      <c r="L174" s="11" t="s">
        <v>62</v>
      </c>
      <c r="M174" s="15"/>
      <c r="N174" s="16"/>
      <c r="O174" s="16"/>
      <c r="P174" s="16"/>
      <c r="Q174" s="17"/>
      <c r="R174" s="17"/>
      <c r="S174" s="17"/>
      <c r="T174" s="17"/>
      <c r="U174" s="17"/>
      <c r="V174" s="17"/>
      <c r="W174" s="17"/>
      <c r="X174" s="17"/>
      <c r="Y174" s="17"/>
    </row>
    <row r="175" ht="18.75" customHeight="1">
      <c r="A175" s="9">
        <v>1328.0</v>
      </c>
      <c r="B175" s="11" t="s">
        <v>788</v>
      </c>
      <c r="C175" s="11" t="s">
        <v>789</v>
      </c>
      <c r="D175" s="11" t="s">
        <v>790</v>
      </c>
      <c r="E175" s="11" t="s">
        <v>791</v>
      </c>
      <c r="F175" s="11" t="s">
        <v>792</v>
      </c>
      <c r="G175" s="12">
        <v>46142.0</v>
      </c>
      <c r="H175" s="13">
        <v>46143.0</v>
      </c>
      <c r="I175" s="11" t="s">
        <v>25</v>
      </c>
      <c r="J175" s="11" t="s">
        <v>37</v>
      </c>
      <c r="K175" s="14" t="s">
        <v>31</v>
      </c>
      <c r="L175" s="11" t="s">
        <v>62</v>
      </c>
      <c r="M175" s="15"/>
      <c r="N175" s="16"/>
      <c r="O175" s="16"/>
      <c r="P175" s="16"/>
      <c r="Q175" s="17"/>
      <c r="R175" s="17"/>
      <c r="S175" s="17"/>
      <c r="T175" s="17"/>
      <c r="U175" s="17"/>
      <c r="V175" s="17"/>
      <c r="W175" s="17"/>
      <c r="X175" s="17"/>
      <c r="Y175" s="17"/>
    </row>
    <row r="176" ht="18.75" customHeight="1">
      <c r="A176" s="9">
        <v>1329.0</v>
      </c>
      <c r="B176" s="11" t="s">
        <v>793</v>
      </c>
      <c r="C176" s="11" t="s">
        <v>794</v>
      </c>
      <c r="D176" s="11" t="s">
        <v>481</v>
      </c>
      <c r="E176" s="11" t="s">
        <v>795</v>
      </c>
      <c r="F176" s="11" t="s">
        <v>796</v>
      </c>
      <c r="G176" s="13">
        <v>46147.0</v>
      </c>
      <c r="H176" s="13">
        <v>46148.0</v>
      </c>
      <c r="I176" s="11" t="s">
        <v>25</v>
      </c>
      <c r="J176" s="11" t="s">
        <v>37</v>
      </c>
      <c r="K176" s="14"/>
      <c r="L176" s="11"/>
      <c r="M176" s="15"/>
      <c r="N176" s="16"/>
      <c r="O176" s="16"/>
      <c r="P176" s="16"/>
      <c r="Q176" s="17"/>
      <c r="R176" s="17"/>
      <c r="S176" s="17"/>
      <c r="T176" s="17"/>
      <c r="U176" s="17"/>
      <c r="V176" s="17"/>
      <c r="W176" s="17"/>
      <c r="X176" s="17"/>
      <c r="Y176" s="17"/>
    </row>
    <row r="177" ht="18.75" customHeight="1">
      <c r="A177" s="9">
        <v>1330.0</v>
      </c>
      <c r="B177" s="11" t="s">
        <v>797</v>
      </c>
      <c r="C177" s="11" t="s">
        <v>798</v>
      </c>
      <c r="D177" s="11" t="s">
        <v>94</v>
      </c>
      <c r="E177" s="11" t="s">
        <v>163</v>
      </c>
      <c r="F177" s="11" t="s">
        <v>799</v>
      </c>
      <c r="G177" s="12">
        <v>46142.0</v>
      </c>
      <c r="H177" s="13">
        <v>46143.0</v>
      </c>
      <c r="I177" s="11" t="s">
        <v>25</v>
      </c>
      <c r="J177" s="11"/>
      <c r="K177" s="14" t="s">
        <v>31</v>
      </c>
      <c r="L177" s="11"/>
      <c r="M177" s="15"/>
      <c r="N177" s="16"/>
      <c r="O177" s="16"/>
      <c r="P177" s="16"/>
      <c r="Q177" s="17"/>
      <c r="R177" s="17"/>
      <c r="S177" s="17"/>
      <c r="T177" s="17"/>
      <c r="U177" s="17"/>
      <c r="V177" s="17"/>
      <c r="W177" s="17"/>
      <c r="X177" s="17"/>
      <c r="Y177" s="17"/>
    </row>
    <row r="178" ht="18.75" customHeight="1">
      <c r="A178" s="9">
        <v>1331.0</v>
      </c>
      <c r="B178" s="11" t="s">
        <v>800</v>
      </c>
      <c r="C178" s="11" t="s">
        <v>801</v>
      </c>
      <c r="D178" s="11" t="s">
        <v>122</v>
      </c>
      <c r="E178" s="11" t="s">
        <v>802</v>
      </c>
      <c r="F178" s="11" t="s">
        <v>803</v>
      </c>
      <c r="G178" s="12">
        <v>46142.0</v>
      </c>
      <c r="H178" s="13">
        <v>46143.0</v>
      </c>
      <c r="I178" s="11" t="s">
        <v>25</v>
      </c>
      <c r="J178" s="11"/>
      <c r="K178" s="14" t="s">
        <v>31</v>
      </c>
      <c r="L178" s="11"/>
      <c r="M178" s="11" t="s">
        <v>804</v>
      </c>
      <c r="N178" s="16"/>
      <c r="O178" s="16"/>
      <c r="P178" s="16"/>
      <c r="Q178" s="17"/>
      <c r="R178" s="17"/>
      <c r="S178" s="17"/>
      <c r="T178" s="17"/>
      <c r="U178" s="17"/>
      <c r="V178" s="17"/>
      <c r="W178" s="17"/>
      <c r="X178" s="17"/>
      <c r="Y178" s="17"/>
    </row>
    <row r="179" ht="18.75" customHeight="1">
      <c r="A179" s="9">
        <v>1332.0</v>
      </c>
      <c r="B179" s="11" t="s">
        <v>805</v>
      </c>
      <c r="C179" s="11" t="s">
        <v>806</v>
      </c>
      <c r="D179" s="11" t="s">
        <v>122</v>
      </c>
      <c r="E179" s="11" t="s">
        <v>807</v>
      </c>
      <c r="F179" s="11" t="s">
        <v>808</v>
      </c>
      <c r="G179" s="12">
        <v>46144.0</v>
      </c>
      <c r="H179" s="13">
        <v>46145.0</v>
      </c>
      <c r="I179" s="11" t="s">
        <v>25</v>
      </c>
      <c r="J179" s="11"/>
      <c r="K179" s="14"/>
      <c r="L179" s="11"/>
      <c r="M179" s="11" t="s">
        <v>809</v>
      </c>
      <c r="N179" s="16"/>
      <c r="O179" s="16"/>
      <c r="P179" s="16"/>
      <c r="Q179" s="17"/>
      <c r="R179" s="17"/>
      <c r="S179" s="17"/>
      <c r="T179" s="17"/>
      <c r="U179" s="17"/>
      <c r="V179" s="17"/>
      <c r="W179" s="17"/>
      <c r="X179" s="17"/>
      <c r="Y179" s="17"/>
    </row>
    <row r="180" ht="18.75" customHeight="1">
      <c r="A180" s="9">
        <v>1333.0</v>
      </c>
      <c r="B180" s="11" t="s">
        <v>810</v>
      </c>
      <c r="C180" s="11" t="s">
        <v>811</v>
      </c>
      <c r="D180" s="11" t="s">
        <v>812</v>
      </c>
      <c r="E180" s="11" t="s">
        <v>813</v>
      </c>
      <c r="F180" s="11" t="s">
        <v>814</v>
      </c>
      <c r="G180" s="12">
        <v>46142.0</v>
      </c>
      <c r="H180" s="13">
        <v>46143.0</v>
      </c>
      <c r="I180" s="11" t="s">
        <v>25</v>
      </c>
      <c r="J180" s="11" t="s">
        <v>37</v>
      </c>
      <c r="K180" s="14" t="s">
        <v>31</v>
      </c>
      <c r="L180" s="11" t="s">
        <v>50</v>
      </c>
      <c r="M180" s="15"/>
      <c r="N180" s="16"/>
      <c r="O180" s="16"/>
      <c r="P180" s="16"/>
      <c r="Q180" s="17"/>
      <c r="R180" s="17"/>
      <c r="S180" s="17"/>
      <c r="T180" s="17"/>
      <c r="U180" s="17"/>
      <c r="V180" s="17"/>
      <c r="W180" s="17"/>
      <c r="X180" s="17"/>
      <c r="Y180" s="17"/>
    </row>
    <row r="181" ht="18.75" customHeight="1">
      <c r="A181" s="9">
        <v>1334.0</v>
      </c>
      <c r="B181" s="11" t="s">
        <v>815</v>
      </c>
      <c r="C181" s="11" t="s">
        <v>816</v>
      </c>
      <c r="D181" s="11" t="s">
        <v>18</v>
      </c>
      <c r="E181" s="11" t="s">
        <v>19</v>
      </c>
      <c r="F181" s="11" t="s">
        <v>817</v>
      </c>
      <c r="G181" s="12">
        <v>46142.0</v>
      </c>
      <c r="H181" s="13">
        <v>46143.0</v>
      </c>
      <c r="I181" s="11" t="s">
        <v>25</v>
      </c>
      <c r="J181" s="11" t="s">
        <v>37</v>
      </c>
      <c r="K181" s="14" t="s">
        <v>31</v>
      </c>
      <c r="L181" s="11" t="s">
        <v>62</v>
      </c>
      <c r="M181" s="15"/>
      <c r="N181" s="16"/>
      <c r="O181" s="16"/>
      <c r="P181" s="16"/>
      <c r="Q181" s="17"/>
      <c r="R181" s="17"/>
      <c r="S181" s="17"/>
      <c r="T181" s="17"/>
      <c r="U181" s="17"/>
      <c r="V181" s="17"/>
      <c r="W181" s="17"/>
      <c r="X181" s="17"/>
      <c r="Y181" s="17"/>
    </row>
    <row r="182" ht="18.75" customHeight="1">
      <c r="A182" s="9">
        <v>1335.0</v>
      </c>
      <c r="B182" s="11" t="s">
        <v>818</v>
      </c>
      <c r="C182" s="25" t="s">
        <v>819</v>
      </c>
      <c r="D182" s="11" t="s">
        <v>59</v>
      </c>
      <c r="E182" s="11" t="s">
        <v>203</v>
      </c>
      <c r="F182" s="11" t="s">
        <v>820</v>
      </c>
      <c r="G182" s="12">
        <v>46142.0</v>
      </c>
      <c r="H182" s="13">
        <v>46143.0</v>
      </c>
      <c r="I182" s="11" t="s">
        <v>25</v>
      </c>
      <c r="J182" s="11" t="s">
        <v>37</v>
      </c>
      <c r="K182" s="14" t="s">
        <v>31</v>
      </c>
      <c r="L182" s="11" t="s">
        <v>97</v>
      </c>
      <c r="M182" s="15"/>
      <c r="N182" s="16"/>
      <c r="O182" s="16"/>
      <c r="P182" s="16"/>
      <c r="Q182" s="17"/>
      <c r="R182" s="17"/>
      <c r="S182" s="17"/>
      <c r="T182" s="17"/>
      <c r="U182" s="17"/>
      <c r="V182" s="17"/>
      <c r="W182" s="17"/>
      <c r="X182" s="17"/>
      <c r="Y182" s="17"/>
    </row>
    <row r="183" ht="18.75" customHeight="1">
      <c r="A183" s="9">
        <v>1336.0</v>
      </c>
      <c r="B183" s="11" t="s">
        <v>821</v>
      </c>
      <c r="C183" s="24" t="s">
        <v>822</v>
      </c>
      <c r="D183" s="11" t="s">
        <v>362</v>
      </c>
      <c r="E183" s="11" t="s">
        <v>823</v>
      </c>
      <c r="F183" s="11" t="s">
        <v>824</v>
      </c>
      <c r="G183" s="12">
        <v>46142.0</v>
      </c>
      <c r="H183" s="13">
        <v>46143.0</v>
      </c>
      <c r="I183" s="11" t="s">
        <v>25</v>
      </c>
      <c r="J183" s="11" t="s">
        <v>37</v>
      </c>
      <c r="K183" s="14" t="s">
        <v>31</v>
      </c>
      <c r="L183" s="11" t="s">
        <v>62</v>
      </c>
      <c r="M183" s="15"/>
      <c r="N183" s="16"/>
      <c r="O183" s="16"/>
      <c r="P183" s="16"/>
      <c r="Q183" s="17"/>
      <c r="R183" s="17"/>
      <c r="S183" s="17"/>
      <c r="T183" s="17"/>
      <c r="U183" s="17"/>
      <c r="V183" s="17"/>
      <c r="W183" s="17"/>
      <c r="X183" s="17"/>
      <c r="Y183" s="17"/>
    </row>
    <row r="184" ht="18.75" customHeight="1">
      <c r="A184" s="9">
        <v>1337.0</v>
      </c>
      <c r="B184" s="11" t="s">
        <v>825</v>
      </c>
      <c r="C184" s="11" t="s">
        <v>826</v>
      </c>
      <c r="D184" s="11" t="s">
        <v>827</v>
      </c>
      <c r="E184" s="11" t="s">
        <v>828</v>
      </c>
      <c r="F184" s="11" t="s">
        <v>829</v>
      </c>
      <c r="G184" s="13">
        <v>46150.0</v>
      </c>
      <c r="H184" s="13">
        <v>46151.0</v>
      </c>
      <c r="I184" s="11" t="s">
        <v>25</v>
      </c>
      <c r="J184" s="11" t="s">
        <v>37</v>
      </c>
      <c r="K184" s="14"/>
      <c r="L184" s="11" t="s">
        <v>97</v>
      </c>
      <c r="M184" s="15"/>
      <c r="N184" s="16"/>
      <c r="O184" s="16"/>
      <c r="P184" s="16"/>
      <c r="Q184" s="17"/>
      <c r="R184" s="17"/>
      <c r="S184" s="17"/>
      <c r="T184" s="17"/>
      <c r="U184" s="17"/>
      <c r="V184" s="17"/>
      <c r="W184" s="17"/>
      <c r="X184" s="17"/>
      <c r="Y184" s="17"/>
    </row>
    <row r="185" ht="18.75" customHeight="1">
      <c r="A185" s="9">
        <v>1338.0</v>
      </c>
      <c r="B185" s="11" t="s">
        <v>830</v>
      </c>
      <c r="C185" s="11" t="s">
        <v>831</v>
      </c>
      <c r="D185" s="11" t="s">
        <v>342</v>
      </c>
      <c r="E185" s="11" t="s">
        <v>832</v>
      </c>
      <c r="F185" s="11" t="s">
        <v>833</v>
      </c>
      <c r="G185" s="12">
        <v>46142.0</v>
      </c>
      <c r="H185" s="13">
        <v>46143.0</v>
      </c>
      <c r="I185" s="11" t="s">
        <v>25</v>
      </c>
      <c r="J185" s="11"/>
      <c r="K185" s="14"/>
      <c r="L185" s="11"/>
      <c r="M185" s="15"/>
      <c r="N185" s="16"/>
      <c r="O185" s="16"/>
      <c r="P185" s="16"/>
      <c r="Q185" s="17"/>
      <c r="R185" s="17"/>
      <c r="S185" s="17"/>
      <c r="T185" s="17"/>
      <c r="U185" s="17"/>
      <c r="V185" s="17"/>
      <c r="W185" s="17"/>
      <c r="X185" s="17"/>
      <c r="Y185" s="17"/>
    </row>
    <row r="186" ht="18.75" customHeight="1">
      <c r="A186" s="9">
        <v>1339.0</v>
      </c>
      <c r="B186" s="11" t="s">
        <v>834</v>
      </c>
      <c r="C186" s="11" t="s">
        <v>835</v>
      </c>
      <c r="D186" s="11" t="s">
        <v>342</v>
      </c>
      <c r="E186" s="11" t="s">
        <v>832</v>
      </c>
      <c r="F186" s="11" t="s">
        <v>836</v>
      </c>
      <c r="G186" s="12">
        <v>46142.0</v>
      </c>
      <c r="H186" s="13">
        <v>46143.0</v>
      </c>
      <c r="I186" s="11" t="s">
        <v>25</v>
      </c>
      <c r="J186" s="11"/>
      <c r="K186" s="14"/>
      <c r="L186" s="11"/>
      <c r="M186" s="15"/>
      <c r="N186" s="16"/>
      <c r="O186" s="16"/>
      <c r="P186" s="16"/>
      <c r="Q186" s="17"/>
      <c r="R186" s="17"/>
      <c r="S186" s="17"/>
      <c r="T186" s="17"/>
      <c r="U186" s="17"/>
      <c r="V186" s="17"/>
      <c r="W186" s="17"/>
      <c r="X186" s="17"/>
      <c r="Y186" s="17"/>
    </row>
    <row r="187" ht="18.75" customHeight="1">
      <c r="A187" s="9">
        <v>1340.0</v>
      </c>
      <c r="B187" s="11" t="s">
        <v>837</v>
      </c>
      <c r="C187" s="11" t="s">
        <v>838</v>
      </c>
      <c r="D187" s="11" t="s">
        <v>128</v>
      </c>
      <c r="E187" s="11" t="s">
        <v>139</v>
      </c>
      <c r="F187" s="11" t="s">
        <v>839</v>
      </c>
      <c r="G187" s="12">
        <v>46157.0</v>
      </c>
      <c r="H187" s="13">
        <v>46158.0</v>
      </c>
      <c r="I187" s="11" t="s">
        <v>25</v>
      </c>
      <c r="J187" s="11"/>
      <c r="K187" s="14"/>
      <c r="L187" s="11"/>
      <c r="M187" s="11" t="s">
        <v>840</v>
      </c>
      <c r="N187" s="16"/>
      <c r="O187" s="16"/>
      <c r="P187" s="16"/>
      <c r="Q187" s="17"/>
      <c r="R187" s="17"/>
      <c r="S187" s="17"/>
      <c r="T187" s="17"/>
      <c r="U187" s="17"/>
      <c r="V187" s="17"/>
      <c r="W187" s="17"/>
      <c r="X187" s="17"/>
      <c r="Y187" s="17"/>
    </row>
    <row r="188" ht="18.75" customHeight="1">
      <c r="A188" s="9">
        <v>1341.0</v>
      </c>
      <c r="B188" s="11" t="s">
        <v>841</v>
      </c>
      <c r="C188" s="11" t="s">
        <v>842</v>
      </c>
      <c r="D188" s="11" t="s">
        <v>122</v>
      </c>
      <c r="E188" s="11" t="s">
        <v>139</v>
      </c>
      <c r="F188" s="11" t="s">
        <v>843</v>
      </c>
      <c r="G188" s="12">
        <v>46157.0</v>
      </c>
      <c r="H188" s="13">
        <v>46158.0</v>
      </c>
      <c r="I188" s="11" t="s">
        <v>25</v>
      </c>
      <c r="J188" s="11"/>
      <c r="K188" s="14"/>
      <c r="L188" s="11"/>
      <c r="M188" s="11" t="s">
        <v>844</v>
      </c>
      <c r="N188" s="16"/>
      <c r="O188" s="16"/>
      <c r="P188" s="16"/>
      <c r="Q188" s="17"/>
      <c r="R188" s="17"/>
      <c r="S188" s="17"/>
      <c r="T188" s="17"/>
      <c r="U188" s="17"/>
      <c r="V188" s="17"/>
      <c r="W188" s="17"/>
      <c r="X188" s="17"/>
      <c r="Y188" s="17"/>
    </row>
    <row r="189" ht="18.75" customHeight="1">
      <c r="A189" s="9">
        <v>1342.0</v>
      </c>
      <c r="B189" s="11" t="s">
        <v>845</v>
      </c>
      <c r="C189" s="11" t="s">
        <v>846</v>
      </c>
      <c r="D189" s="11" t="s">
        <v>128</v>
      </c>
      <c r="E189" s="11" t="s">
        <v>748</v>
      </c>
      <c r="F189" s="11" t="s">
        <v>847</v>
      </c>
      <c r="G189" s="12">
        <v>46157.0</v>
      </c>
      <c r="H189" s="13">
        <v>46158.0</v>
      </c>
      <c r="I189" s="11" t="s">
        <v>25</v>
      </c>
      <c r="J189" s="11"/>
      <c r="K189" s="14"/>
      <c r="L189" s="11"/>
      <c r="M189" s="11" t="s">
        <v>848</v>
      </c>
      <c r="N189" s="16"/>
      <c r="O189" s="16"/>
      <c r="P189" s="16"/>
      <c r="Q189" s="17"/>
      <c r="R189" s="17"/>
      <c r="S189" s="17"/>
      <c r="T189" s="17"/>
      <c r="U189" s="17"/>
      <c r="V189" s="17"/>
      <c r="W189" s="17"/>
      <c r="X189" s="17"/>
      <c r="Y189" s="17"/>
    </row>
    <row r="190" ht="18.75" customHeight="1">
      <c r="A190" s="9">
        <v>1343.0</v>
      </c>
      <c r="B190" s="11" t="s">
        <v>849</v>
      </c>
      <c r="C190" s="11" t="s">
        <v>850</v>
      </c>
      <c r="D190" s="11" t="s">
        <v>42</v>
      </c>
      <c r="E190" s="11" t="s">
        <v>743</v>
      </c>
      <c r="F190" s="11" t="s">
        <v>851</v>
      </c>
      <c r="G190" s="12">
        <v>46142.0</v>
      </c>
      <c r="H190" s="13">
        <v>46143.0</v>
      </c>
      <c r="I190" s="11" t="s">
        <v>119</v>
      </c>
      <c r="J190" s="11"/>
      <c r="K190" s="14" t="s">
        <v>31</v>
      </c>
      <c r="L190" s="11"/>
      <c r="M190" s="11" t="s">
        <v>852</v>
      </c>
      <c r="N190" s="16"/>
      <c r="O190" s="16"/>
      <c r="P190" s="16"/>
      <c r="Q190" s="17"/>
      <c r="R190" s="17"/>
      <c r="S190" s="17"/>
      <c r="T190" s="17"/>
      <c r="U190" s="17"/>
      <c r="V190" s="17"/>
      <c r="W190" s="17"/>
      <c r="X190" s="17"/>
      <c r="Y190" s="17"/>
    </row>
    <row r="191" ht="18.75" customHeight="1">
      <c r="A191" s="9">
        <v>1344.0</v>
      </c>
      <c r="B191" s="11" t="s">
        <v>853</v>
      </c>
      <c r="C191" s="11" t="s">
        <v>854</v>
      </c>
      <c r="D191" s="11" t="s">
        <v>71</v>
      </c>
      <c r="E191" s="11" t="s">
        <v>720</v>
      </c>
      <c r="F191" s="11" t="s">
        <v>855</v>
      </c>
      <c r="G191" s="13">
        <v>46158.0</v>
      </c>
      <c r="H191" s="13">
        <v>46159.0</v>
      </c>
      <c r="I191" s="11" t="s">
        <v>25</v>
      </c>
      <c r="J191" s="11"/>
      <c r="K191" s="14"/>
      <c r="L191" s="11"/>
      <c r="M191" s="11" t="s">
        <v>856</v>
      </c>
      <c r="N191" s="16"/>
      <c r="O191" s="16"/>
      <c r="P191" s="16"/>
      <c r="Q191" s="17"/>
      <c r="R191" s="17"/>
      <c r="S191" s="17"/>
      <c r="T191" s="17"/>
      <c r="U191" s="17"/>
      <c r="V191" s="17"/>
      <c r="W191" s="17"/>
      <c r="X191" s="17"/>
      <c r="Y191" s="17"/>
    </row>
    <row r="192" ht="18.75" customHeight="1">
      <c r="A192" s="9">
        <v>1345.0</v>
      </c>
      <c r="B192" s="11" t="s">
        <v>857</v>
      </c>
      <c r="C192" s="11" t="s">
        <v>858</v>
      </c>
      <c r="D192" s="11" t="s">
        <v>122</v>
      </c>
      <c r="E192" s="11" t="s">
        <v>534</v>
      </c>
      <c r="F192" s="11" t="s">
        <v>859</v>
      </c>
      <c r="G192" s="12">
        <v>46120.0</v>
      </c>
      <c r="H192" s="13">
        <v>46121.0</v>
      </c>
      <c r="I192" s="11" t="s">
        <v>119</v>
      </c>
      <c r="J192" s="11"/>
      <c r="K192" s="14" t="s">
        <v>31</v>
      </c>
      <c r="L192" s="11"/>
      <c r="M192" s="11" t="s">
        <v>860</v>
      </c>
      <c r="N192" s="16"/>
      <c r="O192" s="16"/>
      <c r="P192" s="16"/>
      <c r="Q192" s="17"/>
      <c r="R192" s="17"/>
      <c r="S192" s="17"/>
      <c r="T192" s="17"/>
      <c r="U192" s="17"/>
      <c r="V192" s="17"/>
      <c r="W192" s="17"/>
      <c r="X192" s="17"/>
      <c r="Y192" s="17"/>
    </row>
    <row r="193" ht="18.75" customHeight="1">
      <c r="A193" s="9">
        <v>1346.0</v>
      </c>
      <c r="B193" s="11" t="s">
        <v>861</v>
      </c>
      <c r="C193" s="11" t="s">
        <v>862</v>
      </c>
      <c r="D193" s="11" t="s">
        <v>122</v>
      </c>
      <c r="E193" s="11" t="s">
        <v>807</v>
      </c>
      <c r="F193" s="11" t="s">
        <v>863</v>
      </c>
      <c r="G193" s="13">
        <v>46144.0</v>
      </c>
      <c r="H193" s="13">
        <v>46145.0</v>
      </c>
      <c r="I193" s="11" t="s">
        <v>25</v>
      </c>
      <c r="J193" s="11"/>
      <c r="K193" s="14" t="s">
        <v>31</v>
      </c>
      <c r="L193" s="11"/>
      <c r="M193" s="11" t="s">
        <v>864</v>
      </c>
      <c r="N193" s="16"/>
      <c r="O193" s="16"/>
      <c r="P193" s="16"/>
      <c r="Q193" s="17"/>
      <c r="R193" s="17"/>
      <c r="S193" s="17"/>
      <c r="T193" s="17"/>
      <c r="U193" s="17"/>
      <c r="V193" s="17"/>
      <c r="W193" s="17"/>
      <c r="X193" s="17"/>
      <c r="Y193" s="17"/>
    </row>
    <row r="194" ht="18.75" customHeight="1">
      <c r="A194" s="9">
        <v>1347.0</v>
      </c>
      <c r="B194" s="11" t="s">
        <v>865</v>
      </c>
      <c r="C194" s="11" t="s">
        <v>866</v>
      </c>
      <c r="D194" s="11" t="s">
        <v>65</v>
      </c>
      <c r="E194" s="11" t="s">
        <v>867</v>
      </c>
      <c r="F194" s="11" t="s">
        <v>868</v>
      </c>
      <c r="G194" s="12">
        <v>46135.0</v>
      </c>
      <c r="H194" s="12">
        <v>46136.0</v>
      </c>
      <c r="I194" s="11" t="s">
        <v>119</v>
      </c>
      <c r="J194" s="11" t="s">
        <v>37</v>
      </c>
      <c r="K194" s="14" t="s">
        <v>31</v>
      </c>
      <c r="L194" s="11" t="s">
        <v>62</v>
      </c>
      <c r="M194" s="15"/>
      <c r="N194" s="16"/>
      <c r="O194" s="16"/>
      <c r="P194" s="16"/>
      <c r="Q194" s="17"/>
      <c r="R194" s="17"/>
      <c r="S194" s="17"/>
      <c r="T194" s="17"/>
      <c r="U194" s="17"/>
      <c r="V194" s="17"/>
      <c r="W194" s="17"/>
      <c r="X194" s="17"/>
      <c r="Y194" s="17"/>
    </row>
    <row r="195" ht="18.75" customHeight="1">
      <c r="A195" s="9">
        <v>1348.0</v>
      </c>
      <c r="B195" s="11" t="s">
        <v>869</v>
      </c>
      <c r="C195" s="11" t="s">
        <v>870</v>
      </c>
      <c r="D195" s="11" t="s">
        <v>871</v>
      </c>
      <c r="E195" s="11" t="s">
        <v>872</v>
      </c>
      <c r="F195" s="11" t="s">
        <v>873</v>
      </c>
      <c r="G195" s="13">
        <v>46148.0</v>
      </c>
      <c r="H195" s="13">
        <v>46149.0</v>
      </c>
      <c r="I195" s="11" t="s">
        <v>25</v>
      </c>
      <c r="J195" s="11"/>
      <c r="K195" s="14"/>
      <c r="L195" s="11"/>
      <c r="M195" s="11" t="s">
        <v>874</v>
      </c>
      <c r="N195" s="16"/>
      <c r="O195" s="16"/>
      <c r="P195" s="16"/>
      <c r="Q195" s="17"/>
      <c r="R195" s="17"/>
      <c r="S195" s="17"/>
      <c r="T195" s="17"/>
      <c r="U195" s="17"/>
      <c r="V195" s="17"/>
      <c r="W195" s="17"/>
      <c r="X195" s="17"/>
      <c r="Y195" s="17"/>
    </row>
    <row r="196" ht="18.75" customHeight="1">
      <c r="A196" s="9">
        <v>1349.0</v>
      </c>
      <c r="B196" s="11" t="s">
        <v>875</v>
      </c>
      <c r="C196" s="11" t="s">
        <v>876</v>
      </c>
      <c r="D196" s="11" t="s">
        <v>128</v>
      </c>
      <c r="E196" s="11" t="s">
        <v>267</v>
      </c>
      <c r="F196" s="11" t="s">
        <v>877</v>
      </c>
      <c r="G196" s="12">
        <v>46115.0</v>
      </c>
      <c r="H196" s="13">
        <v>46116.0</v>
      </c>
      <c r="I196" s="11" t="s">
        <v>251</v>
      </c>
      <c r="J196" s="11" t="s">
        <v>213</v>
      </c>
      <c r="K196" s="14" t="s">
        <v>31</v>
      </c>
      <c r="L196" s="11"/>
      <c r="M196" s="15"/>
      <c r="N196" s="16"/>
      <c r="O196" s="16"/>
      <c r="P196" s="16"/>
      <c r="Q196" s="17"/>
      <c r="R196" s="17"/>
      <c r="S196" s="17"/>
      <c r="T196" s="17"/>
      <c r="U196" s="17"/>
      <c r="V196" s="17"/>
      <c r="W196" s="17"/>
      <c r="X196" s="17"/>
      <c r="Y196" s="17"/>
    </row>
    <row r="197" ht="18.75" customHeight="1">
      <c r="A197" s="9">
        <v>1350.0</v>
      </c>
      <c r="B197" s="11" t="s">
        <v>878</v>
      </c>
      <c r="C197" s="11" t="s">
        <v>879</v>
      </c>
      <c r="D197" s="11" t="s">
        <v>122</v>
      </c>
      <c r="E197" s="11" t="s">
        <v>111</v>
      </c>
      <c r="F197" s="11" t="s">
        <v>880</v>
      </c>
      <c r="G197" s="12">
        <v>46112.0</v>
      </c>
      <c r="H197" s="13">
        <v>46113.0</v>
      </c>
      <c r="I197" s="11" t="s">
        <v>251</v>
      </c>
      <c r="J197" s="11" t="s">
        <v>213</v>
      </c>
      <c r="K197" s="14" t="s">
        <v>31</v>
      </c>
      <c r="L197" s="11"/>
      <c r="M197" s="15"/>
      <c r="N197" s="16"/>
      <c r="O197" s="16"/>
      <c r="P197" s="16"/>
      <c r="Q197" s="17"/>
      <c r="R197" s="17"/>
      <c r="S197" s="17"/>
      <c r="T197" s="17"/>
      <c r="U197" s="17"/>
      <c r="V197" s="17"/>
      <c r="W197" s="17"/>
      <c r="X197" s="17"/>
      <c r="Y197" s="17"/>
    </row>
    <row r="198" ht="18.75" customHeight="1">
      <c r="A198" s="9">
        <v>1351.0</v>
      </c>
      <c r="B198" s="11" t="s">
        <v>881</v>
      </c>
      <c r="C198" s="11" t="s">
        <v>882</v>
      </c>
      <c r="D198" s="11" t="s">
        <v>110</v>
      </c>
      <c r="E198" s="11" t="s">
        <v>617</v>
      </c>
      <c r="F198" s="11" t="s">
        <v>883</v>
      </c>
      <c r="G198" s="12">
        <v>46124.0</v>
      </c>
      <c r="H198" s="13">
        <v>46125.0</v>
      </c>
      <c r="I198" s="11" t="s">
        <v>119</v>
      </c>
      <c r="J198" s="11"/>
      <c r="K198" s="14" t="s">
        <v>31</v>
      </c>
      <c r="L198" s="11"/>
      <c r="M198" s="15"/>
      <c r="N198" s="16"/>
      <c r="O198" s="16"/>
      <c r="P198" s="16"/>
      <c r="Q198" s="17"/>
      <c r="R198" s="17"/>
      <c r="S198" s="17"/>
      <c r="T198" s="17"/>
      <c r="U198" s="17"/>
      <c r="V198" s="17"/>
      <c r="W198" s="17"/>
      <c r="X198" s="17"/>
      <c r="Y198" s="17"/>
    </row>
    <row r="199" ht="18.75" customHeight="1">
      <c r="A199" s="9">
        <v>1352.0</v>
      </c>
      <c r="B199" s="11" t="s">
        <v>884</v>
      </c>
      <c r="C199" s="11" t="s">
        <v>885</v>
      </c>
      <c r="D199" s="11" t="s">
        <v>122</v>
      </c>
      <c r="E199" s="11" t="s">
        <v>134</v>
      </c>
      <c r="F199" s="11" t="s">
        <v>886</v>
      </c>
      <c r="G199" s="12">
        <v>46162.0</v>
      </c>
      <c r="H199" s="13">
        <v>46163.0</v>
      </c>
      <c r="I199" s="11" t="s">
        <v>25</v>
      </c>
      <c r="J199" s="11"/>
      <c r="K199" s="14"/>
      <c r="L199" s="11"/>
      <c r="M199" s="11" t="s">
        <v>887</v>
      </c>
      <c r="N199" s="16"/>
      <c r="O199" s="16"/>
      <c r="P199" s="16"/>
      <c r="Q199" s="17"/>
      <c r="R199" s="17"/>
      <c r="S199" s="17"/>
      <c r="T199" s="17"/>
      <c r="U199" s="17"/>
      <c r="V199" s="17"/>
      <c r="W199" s="17"/>
      <c r="X199" s="17"/>
      <c r="Y199" s="17"/>
    </row>
    <row r="200" ht="18.75" customHeight="1">
      <c r="A200" s="9">
        <v>1353.0</v>
      </c>
      <c r="B200" s="11" t="s">
        <v>888</v>
      </c>
      <c r="C200" s="11" t="s">
        <v>889</v>
      </c>
      <c r="D200" s="11" t="s">
        <v>42</v>
      </c>
      <c r="E200" s="11" t="s">
        <v>748</v>
      </c>
      <c r="F200" s="11" t="s">
        <v>890</v>
      </c>
      <c r="G200" s="12">
        <v>46142.0</v>
      </c>
      <c r="H200" s="13">
        <v>46143.0</v>
      </c>
      <c r="I200" s="11" t="s">
        <v>119</v>
      </c>
      <c r="J200" s="11"/>
      <c r="K200" s="14" t="s">
        <v>31</v>
      </c>
      <c r="L200" s="11"/>
      <c r="M200" s="11" t="s">
        <v>891</v>
      </c>
      <c r="N200" s="16"/>
      <c r="O200" s="16"/>
      <c r="P200" s="16"/>
      <c r="Q200" s="17"/>
      <c r="R200" s="17"/>
      <c r="S200" s="17"/>
      <c r="T200" s="17"/>
      <c r="U200" s="17"/>
      <c r="V200" s="17"/>
      <c r="W200" s="17"/>
      <c r="X200" s="17"/>
      <c r="Y200" s="17"/>
    </row>
    <row r="201" ht="18.75" customHeight="1">
      <c r="A201" s="9">
        <v>1354.0</v>
      </c>
      <c r="B201" s="11" t="s">
        <v>892</v>
      </c>
      <c r="C201" s="11" t="s">
        <v>893</v>
      </c>
      <c r="D201" s="11" t="s">
        <v>894</v>
      </c>
      <c r="E201" s="11" t="s">
        <v>139</v>
      </c>
      <c r="F201" s="11" t="s">
        <v>895</v>
      </c>
      <c r="G201" s="13">
        <v>46157.0</v>
      </c>
      <c r="H201" s="13">
        <v>46158.0</v>
      </c>
      <c r="I201" s="11" t="s">
        <v>25</v>
      </c>
      <c r="J201" s="11"/>
      <c r="K201" s="14"/>
      <c r="L201" s="11"/>
      <c r="M201" s="11" t="s">
        <v>896</v>
      </c>
      <c r="N201" s="16"/>
      <c r="O201" s="16"/>
      <c r="P201" s="16"/>
      <c r="Q201" s="17"/>
      <c r="R201" s="17"/>
      <c r="S201" s="17"/>
      <c r="T201" s="17"/>
      <c r="U201" s="17"/>
      <c r="V201" s="17"/>
      <c r="W201" s="17"/>
      <c r="X201" s="17"/>
      <c r="Y201" s="17"/>
    </row>
    <row r="202" ht="18.75" customHeight="1">
      <c r="A202" s="9">
        <v>1355.0</v>
      </c>
      <c r="B202" s="11" t="s">
        <v>897</v>
      </c>
      <c r="C202" s="11" t="s">
        <v>898</v>
      </c>
      <c r="D202" s="11" t="s">
        <v>128</v>
      </c>
      <c r="E202" s="11" t="s">
        <v>139</v>
      </c>
      <c r="F202" s="11" t="s">
        <v>899</v>
      </c>
      <c r="G202" s="12">
        <v>46127.0</v>
      </c>
      <c r="H202" s="13">
        <v>46128.0</v>
      </c>
      <c r="I202" s="11" t="s">
        <v>119</v>
      </c>
      <c r="J202" s="11"/>
      <c r="K202" s="14" t="s">
        <v>31</v>
      </c>
      <c r="L202" s="11"/>
      <c r="M202" s="11" t="s">
        <v>900</v>
      </c>
      <c r="N202" s="16"/>
      <c r="O202" s="16"/>
      <c r="P202" s="16"/>
      <c r="Q202" s="17"/>
      <c r="R202" s="17"/>
      <c r="S202" s="17"/>
      <c r="T202" s="17"/>
      <c r="U202" s="17"/>
      <c r="V202" s="17"/>
      <c r="W202" s="17"/>
      <c r="X202" s="17"/>
      <c r="Y202" s="17"/>
    </row>
    <row r="203" ht="18.75" customHeight="1">
      <c r="A203" s="9">
        <v>1356.0</v>
      </c>
      <c r="B203" s="11" t="s">
        <v>901</v>
      </c>
      <c r="C203" s="11" t="s">
        <v>902</v>
      </c>
      <c r="D203" s="11" t="s">
        <v>903</v>
      </c>
      <c r="E203" s="11" t="s">
        <v>904</v>
      </c>
      <c r="F203" s="11" t="s">
        <v>905</v>
      </c>
      <c r="G203" s="13">
        <v>46157.0</v>
      </c>
      <c r="H203" s="13">
        <v>46158.0</v>
      </c>
      <c r="I203" s="11" t="s">
        <v>25</v>
      </c>
      <c r="J203" s="11" t="s">
        <v>37</v>
      </c>
      <c r="K203" s="14"/>
      <c r="L203" s="11" t="s">
        <v>97</v>
      </c>
      <c r="M203" s="15"/>
      <c r="N203" s="16"/>
      <c r="O203" s="16"/>
      <c r="P203" s="16"/>
      <c r="Q203" s="17"/>
      <c r="R203" s="17"/>
      <c r="S203" s="17"/>
      <c r="T203" s="17"/>
      <c r="U203" s="17"/>
      <c r="V203" s="17"/>
      <c r="W203" s="17"/>
      <c r="X203" s="17"/>
      <c r="Y203" s="17"/>
    </row>
    <row r="204" ht="18.75" customHeight="1">
      <c r="A204" s="9">
        <v>1357.0</v>
      </c>
      <c r="B204" s="11" t="s">
        <v>906</v>
      </c>
      <c r="C204" s="11" t="s">
        <v>907</v>
      </c>
      <c r="D204" s="11" t="s">
        <v>122</v>
      </c>
      <c r="E204" s="11" t="s">
        <v>134</v>
      </c>
      <c r="F204" s="11" t="s">
        <v>908</v>
      </c>
      <c r="G204" s="12">
        <v>46142.0</v>
      </c>
      <c r="H204" s="13">
        <v>46143.0</v>
      </c>
      <c r="I204" s="11" t="s">
        <v>25</v>
      </c>
      <c r="J204" s="11"/>
      <c r="K204" s="14" t="s">
        <v>31</v>
      </c>
      <c r="L204" s="11"/>
      <c r="M204" s="11" t="s">
        <v>909</v>
      </c>
      <c r="N204" s="16"/>
      <c r="O204" s="16"/>
      <c r="P204" s="16"/>
      <c r="Q204" s="17"/>
      <c r="R204" s="17"/>
      <c r="S204" s="17"/>
      <c r="T204" s="17"/>
      <c r="U204" s="17"/>
      <c r="V204" s="17"/>
      <c r="W204" s="17"/>
      <c r="X204" s="17"/>
      <c r="Y204" s="17"/>
    </row>
    <row r="205" ht="18.75" customHeight="1">
      <c r="A205" s="9">
        <v>1358.0</v>
      </c>
      <c r="B205" s="11" t="s">
        <v>910</v>
      </c>
      <c r="C205" s="11" t="s">
        <v>911</v>
      </c>
      <c r="D205" s="11" t="s">
        <v>128</v>
      </c>
      <c r="E205" s="11" t="s">
        <v>912</v>
      </c>
      <c r="F205" s="11" t="s">
        <v>913</v>
      </c>
      <c r="G205" s="12">
        <v>46116.0</v>
      </c>
      <c r="H205" s="13">
        <v>46117.0</v>
      </c>
      <c r="I205" s="11" t="s">
        <v>251</v>
      </c>
      <c r="J205" s="11" t="s">
        <v>213</v>
      </c>
      <c r="K205" s="14" t="s">
        <v>31</v>
      </c>
      <c r="L205" s="11"/>
      <c r="M205" s="15"/>
      <c r="N205" s="16"/>
      <c r="O205" s="16"/>
      <c r="P205" s="16"/>
      <c r="Q205" s="17"/>
      <c r="R205" s="17"/>
      <c r="S205" s="17"/>
      <c r="T205" s="17"/>
      <c r="U205" s="17"/>
      <c r="V205" s="17"/>
      <c r="W205" s="17"/>
      <c r="X205" s="17"/>
      <c r="Y205" s="17"/>
    </row>
    <row r="206" ht="18.75" customHeight="1">
      <c r="A206" s="9">
        <v>1359.0</v>
      </c>
      <c r="B206" s="11" t="s">
        <v>914</v>
      </c>
      <c r="C206" s="25" t="s">
        <v>915</v>
      </c>
      <c r="D206" s="11" t="s">
        <v>916</v>
      </c>
      <c r="E206" s="11" t="s">
        <v>917</v>
      </c>
      <c r="F206" s="11" t="s">
        <v>918</v>
      </c>
      <c r="G206" s="12">
        <v>46142.0</v>
      </c>
      <c r="H206" s="13">
        <v>46143.0</v>
      </c>
      <c r="I206" s="11" t="s">
        <v>119</v>
      </c>
      <c r="J206" s="11" t="s">
        <v>37</v>
      </c>
      <c r="K206" s="14" t="s">
        <v>31</v>
      </c>
      <c r="L206" s="11" t="s">
        <v>50</v>
      </c>
      <c r="M206" s="15"/>
      <c r="N206" s="16"/>
      <c r="O206" s="16"/>
      <c r="P206" s="16"/>
      <c r="Q206" s="17"/>
      <c r="R206" s="17"/>
      <c r="S206" s="17"/>
      <c r="T206" s="17"/>
      <c r="U206" s="17"/>
      <c r="V206" s="17"/>
      <c r="W206" s="17"/>
      <c r="X206" s="17"/>
      <c r="Y206" s="17"/>
    </row>
    <row r="207" ht="18.75" customHeight="1">
      <c r="A207" s="9">
        <v>1360.0</v>
      </c>
      <c r="B207" s="11" t="s">
        <v>919</v>
      </c>
      <c r="C207" s="11" t="s">
        <v>920</v>
      </c>
      <c r="D207" s="11" t="s">
        <v>394</v>
      </c>
      <c r="E207" s="11" t="s">
        <v>912</v>
      </c>
      <c r="F207" s="11" t="s">
        <v>921</v>
      </c>
      <c r="G207" s="12">
        <v>46114.0</v>
      </c>
      <c r="H207" s="13">
        <v>46115.0</v>
      </c>
      <c r="I207" s="11" t="s">
        <v>251</v>
      </c>
      <c r="J207" s="11" t="s">
        <v>213</v>
      </c>
      <c r="K207" s="14" t="s">
        <v>31</v>
      </c>
      <c r="L207" s="11"/>
      <c r="M207" s="15"/>
      <c r="N207" s="16"/>
      <c r="O207" s="16"/>
      <c r="P207" s="16"/>
      <c r="Q207" s="17"/>
      <c r="R207" s="17"/>
      <c r="S207" s="17"/>
      <c r="T207" s="17"/>
      <c r="U207" s="17"/>
      <c r="V207" s="17"/>
      <c r="W207" s="17"/>
      <c r="X207" s="17"/>
      <c r="Y207" s="17"/>
    </row>
    <row r="208" ht="18.75" customHeight="1">
      <c r="A208" s="9">
        <v>1361.0</v>
      </c>
      <c r="B208" s="11" t="s">
        <v>922</v>
      </c>
      <c r="C208" s="11" t="s">
        <v>923</v>
      </c>
      <c r="D208" s="11" t="s">
        <v>122</v>
      </c>
      <c r="E208" s="11" t="s">
        <v>319</v>
      </c>
      <c r="F208" s="11" t="s">
        <v>924</v>
      </c>
      <c r="G208" s="12">
        <v>46115.0</v>
      </c>
      <c r="H208" s="13">
        <v>46116.0</v>
      </c>
      <c r="I208" s="11" t="s">
        <v>251</v>
      </c>
      <c r="J208" s="11" t="s">
        <v>213</v>
      </c>
      <c r="K208" s="14" t="s">
        <v>31</v>
      </c>
      <c r="L208" s="11"/>
      <c r="M208" s="15"/>
      <c r="N208" s="16"/>
      <c r="O208" s="16"/>
      <c r="P208" s="16"/>
      <c r="Q208" s="17"/>
      <c r="R208" s="17"/>
      <c r="S208" s="17"/>
      <c r="T208" s="17"/>
      <c r="U208" s="17"/>
      <c r="V208" s="17"/>
      <c r="W208" s="17"/>
      <c r="X208" s="17"/>
      <c r="Y208" s="17"/>
    </row>
    <row r="209" ht="18.75" customHeight="1">
      <c r="A209" s="9">
        <v>1362.0</v>
      </c>
      <c r="B209" s="11" t="s">
        <v>925</v>
      </c>
      <c r="C209" s="11" t="s">
        <v>926</v>
      </c>
      <c r="D209" s="11" t="s">
        <v>697</v>
      </c>
      <c r="E209" s="11" t="s">
        <v>927</v>
      </c>
      <c r="F209" s="11" t="s">
        <v>928</v>
      </c>
      <c r="G209" s="12">
        <v>46153.0</v>
      </c>
      <c r="H209" s="13">
        <v>46154.0</v>
      </c>
      <c r="I209" s="11" t="s">
        <v>25</v>
      </c>
      <c r="J209" s="11"/>
      <c r="K209" s="14"/>
      <c r="L209" s="11"/>
      <c r="M209" s="11" t="s">
        <v>929</v>
      </c>
      <c r="N209" s="16"/>
      <c r="O209" s="16"/>
      <c r="P209" s="16"/>
      <c r="Q209" s="17"/>
      <c r="R209" s="17"/>
      <c r="S209" s="17"/>
      <c r="T209" s="17"/>
      <c r="U209" s="17"/>
      <c r="V209" s="17"/>
      <c r="W209" s="17"/>
      <c r="X209" s="17"/>
      <c r="Y209" s="17"/>
    </row>
    <row r="210" ht="18.75" customHeight="1">
      <c r="A210" s="9">
        <v>1363.0</v>
      </c>
      <c r="B210" s="11" t="s">
        <v>930</v>
      </c>
      <c r="C210" s="11" t="s">
        <v>931</v>
      </c>
      <c r="D210" s="11" t="s">
        <v>682</v>
      </c>
      <c r="E210" s="11" t="s">
        <v>932</v>
      </c>
      <c r="F210" s="11" t="s">
        <v>933</v>
      </c>
      <c r="G210" s="12">
        <v>46152.0</v>
      </c>
      <c r="H210" s="13">
        <v>46153.0</v>
      </c>
      <c r="I210" s="11" t="s">
        <v>25</v>
      </c>
      <c r="J210" s="11"/>
      <c r="K210" s="14"/>
      <c r="L210" s="11"/>
      <c r="M210" s="11" t="s">
        <v>934</v>
      </c>
      <c r="N210" s="16"/>
      <c r="O210" s="16"/>
      <c r="P210" s="16"/>
      <c r="Q210" s="17"/>
      <c r="R210" s="17"/>
      <c r="S210" s="17"/>
      <c r="T210" s="17"/>
      <c r="U210" s="17"/>
      <c r="V210" s="17"/>
      <c r="W210" s="17"/>
      <c r="X210" s="17"/>
      <c r="Y210" s="17"/>
    </row>
    <row r="211" ht="18.75" customHeight="1">
      <c r="A211" s="9">
        <v>1364.0</v>
      </c>
      <c r="B211" s="11" t="s">
        <v>935</v>
      </c>
      <c r="C211" s="11" t="s">
        <v>936</v>
      </c>
      <c r="D211" s="11" t="s">
        <v>94</v>
      </c>
      <c r="E211" s="11" t="s">
        <v>163</v>
      </c>
      <c r="F211" s="11" t="s">
        <v>937</v>
      </c>
      <c r="G211" s="12">
        <v>46142.0</v>
      </c>
      <c r="H211" s="13">
        <v>46143.0</v>
      </c>
      <c r="I211" s="11" t="s">
        <v>25</v>
      </c>
      <c r="J211" s="11"/>
      <c r="K211" s="14" t="s">
        <v>31</v>
      </c>
      <c r="L211" s="11"/>
      <c r="M211" s="11" t="s">
        <v>938</v>
      </c>
      <c r="N211" s="16"/>
      <c r="O211" s="16"/>
      <c r="P211" s="16"/>
      <c r="Q211" s="17"/>
      <c r="R211" s="17"/>
      <c r="S211" s="17"/>
      <c r="T211" s="17"/>
      <c r="U211" s="17"/>
      <c r="V211" s="17"/>
      <c r="W211" s="17"/>
      <c r="X211" s="17"/>
      <c r="Y211" s="17"/>
    </row>
    <row r="212" ht="18.75" customHeight="1">
      <c r="A212" s="9">
        <v>1365.0</v>
      </c>
      <c r="B212" s="11" t="s">
        <v>939</v>
      </c>
      <c r="C212" s="11" t="s">
        <v>940</v>
      </c>
      <c r="D212" s="11" t="s">
        <v>116</v>
      </c>
      <c r="E212" s="11" t="s">
        <v>941</v>
      </c>
      <c r="F212" s="11" t="s">
        <v>942</v>
      </c>
      <c r="G212" s="13">
        <v>46173.0</v>
      </c>
      <c r="H212" s="13">
        <v>46174.0</v>
      </c>
      <c r="I212" s="11" t="s">
        <v>25</v>
      </c>
      <c r="J212" s="11" t="s">
        <v>37</v>
      </c>
      <c r="K212" s="14"/>
      <c r="L212" s="11" t="s">
        <v>38</v>
      </c>
      <c r="M212" s="15"/>
      <c r="N212" s="16"/>
      <c r="O212" s="16"/>
      <c r="P212" s="16"/>
      <c r="Q212" s="17"/>
      <c r="R212" s="17"/>
      <c r="S212" s="17"/>
      <c r="T212" s="17"/>
      <c r="U212" s="17"/>
      <c r="V212" s="17"/>
      <c r="W212" s="17"/>
      <c r="X212" s="17"/>
      <c r="Y212" s="17"/>
    </row>
    <row r="213" ht="18.75" customHeight="1">
      <c r="A213" s="9">
        <v>1366.0</v>
      </c>
      <c r="B213" s="11" t="s">
        <v>943</v>
      </c>
      <c r="C213" s="11" t="s">
        <v>944</v>
      </c>
      <c r="D213" s="11" t="s">
        <v>945</v>
      </c>
      <c r="E213" s="11" t="s">
        <v>946</v>
      </c>
      <c r="F213" s="11" t="s">
        <v>947</v>
      </c>
      <c r="G213" s="13">
        <v>46162.0</v>
      </c>
      <c r="H213" s="13">
        <v>46163.0</v>
      </c>
      <c r="I213" s="11" t="s">
        <v>25</v>
      </c>
      <c r="J213" s="11" t="s">
        <v>37</v>
      </c>
      <c r="K213" s="14"/>
      <c r="L213" s="11" t="s">
        <v>62</v>
      </c>
      <c r="M213" s="15"/>
      <c r="N213" s="16"/>
      <c r="O213" s="16"/>
      <c r="P213" s="16"/>
      <c r="Q213" s="17"/>
      <c r="R213" s="17"/>
      <c r="S213" s="17"/>
      <c r="T213" s="17"/>
      <c r="U213" s="17"/>
      <c r="V213" s="17"/>
      <c r="W213" s="17"/>
      <c r="X213" s="17"/>
      <c r="Y213" s="17"/>
    </row>
    <row r="214" ht="18.75" customHeight="1">
      <c r="A214" s="9">
        <v>1367.0</v>
      </c>
      <c r="B214" s="11" t="s">
        <v>948</v>
      </c>
      <c r="C214" s="11" t="s">
        <v>949</v>
      </c>
      <c r="D214" s="11" t="s">
        <v>950</v>
      </c>
      <c r="E214" s="11" t="s">
        <v>951</v>
      </c>
      <c r="F214" s="11" t="s">
        <v>952</v>
      </c>
      <c r="G214" s="13">
        <v>46157.0</v>
      </c>
      <c r="H214" s="13">
        <v>46158.0</v>
      </c>
      <c r="I214" s="11" t="s">
        <v>119</v>
      </c>
      <c r="J214" s="11" t="s">
        <v>22</v>
      </c>
      <c r="K214" s="14"/>
      <c r="L214" s="11" t="s">
        <v>50</v>
      </c>
      <c r="M214" s="15"/>
      <c r="N214" s="16"/>
      <c r="O214" s="16"/>
      <c r="P214" s="16"/>
      <c r="Q214" s="17"/>
      <c r="R214" s="17"/>
      <c r="S214" s="17"/>
      <c r="T214" s="17"/>
      <c r="U214" s="17"/>
      <c r="V214" s="17"/>
      <c r="W214" s="17"/>
      <c r="X214" s="17"/>
      <c r="Y214" s="17"/>
    </row>
    <row r="215" ht="18.75" customHeight="1">
      <c r="A215" s="9">
        <v>1368.0</v>
      </c>
      <c r="B215" s="11" t="s">
        <v>953</v>
      </c>
      <c r="C215" s="11" t="s">
        <v>954</v>
      </c>
      <c r="D215" s="11" t="s">
        <v>646</v>
      </c>
      <c r="E215" s="11" t="s">
        <v>955</v>
      </c>
      <c r="F215" s="11" t="s">
        <v>956</v>
      </c>
      <c r="G215" s="12">
        <v>46142.0</v>
      </c>
      <c r="H215" s="13">
        <v>46143.0</v>
      </c>
      <c r="I215" s="11" t="s">
        <v>119</v>
      </c>
      <c r="J215" s="11" t="s">
        <v>37</v>
      </c>
      <c r="K215" s="14" t="s">
        <v>31</v>
      </c>
      <c r="L215" s="11" t="s">
        <v>38</v>
      </c>
      <c r="M215" s="15"/>
      <c r="N215" s="16"/>
      <c r="O215" s="16"/>
      <c r="P215" s="16"/>
      <c r="Q215" s="17"/>
      <c r="R215" s="17"/>
      <c r="S215" s="17"/>
      <c r="T215" s="17"/>
      <c r="U215" s="17"/>
      <c r="V215" s="17"/>
      <c r="W215" s="17"/>
      <c r="X215" s="17"/>
      <c r="Y215" s="17"/>
    </row>
    <row r="216" ht="18.75" customHeight="1">
      <c r="A216" s="9">
        <v>1369.0</v>
      </c>
      <c r="B216" s="11" t="s">
        <v>957</v>
      </c>
      <c r="C216" s="11" t="s">
        <v>958</v>
      </c>
      <c r="D216" s="11" t="s">
        <v>18</v>
      </c>
      <c r="E216" s="11" t="s">
        <v>19</v>
      </c>
      <c r="F216" s="11" t="s">
        <v>959</v>
      </c>
      <c r="G216" s="13">
        <v>46173.0</v>
      </c>
      <c r="H216" s="13">
        <v>46174.0</v>
      </c>
      <c r="I216" s="11" t="s">
        <v>25</v>
      </c>
      <c r="J216" s="11" t="s">
        <v>37</v>
      </c>
      <c r="K216" s="14"/>
      <c r="L216" s="11" t="s">
        <v>62</v>
      </c>
      <c r="M216" s="15"/>
      <c r="N216" s="16"/>
      <c r="O216" s="16"/>
      <c r="P216" s="16"/>
      <c r="Q216" s="17"/>
      <c r="R216" s="17"/>
      <c r="S216" s="17"/>
      <c r="T216" s="17"/>
      <c r="U216" s="17"/>
      <c r="V216" s="17"/>
      <c r="W216" s="17"/>
      <c r="X216" s="17"/>
      <c r="Y216" s="17"/>
    </row>
    <row r="217" ht="18.75" customHeight="1">
      <c r="A217" s="9">
        <v>1370.0</v>
      </c>
      <c r="B217" s="11" t="s">
        <v>960</v>
      </c>
      <c r="C217" s="11" t="s">
        <v>961</v>
      </c>
      <c r="D217" s="11" t="s">
        <v>444</v>
      </c>
      <c r="E217" s="11" t="s">
        <v>962</v>
      </c>
      <c r="F217" s="11" t="s">
        <v>963</v>
      </c>
      <c r="G217" s="13">
        <v>46173.0</v>
      </c>
      <c r="H217" s="13">
        <v>46174.0</v>
      </c>
      <c r="I217" s="11" t="s">
        <v>25</v>
      </c>
      <c r="J217" s="11" t="s">
        <v>22</v>
      </c>
      <c r="K217" s="14"/>
      <c r="L217" s="11" t="s">
        <v>62</v>
      </c>
      <c r="M217" s="15"/>
      <c r="N217" s="16"/>
      <c r="O217" s="16"/>
      <c r="P217" s="16"/>
      <c r="Q217" s="17"/>
      <c r="R217" s="17"/>
      <c r="S217" s="17"/>
      <c r="T217" s="17"/>
      <c r="U217" s="17"/>
      <c r="V217" s="17"/>
      <c r="W217" s="17"/>
      <c r="X217" s="17"/>
      <c r="Y217" s="17"/>
    </row>
    <row r="218" ht="18.75" customHeight="1">
      <c r="A218" s="9">
        <v>1371.0</v>
      </c>
      <c r="B218" s="11" t="s">
        <v>964</v>
      </c>
      <c r="C218" s="11" t="s">
        <v>965</v>
      </c>
      <c r="D218" s="11" t="s">
        <v>122</v>
      </c>
      <c r="E218" s="11" t="s">
        <v>189</v>
      </c>
      <c r="F218" s="11" t="s">
        <v>966</v>
      </c>
      <c r="G218" s="12">
        <v>46133.0</v>
      </c>
      <c r="H218" s="13">
        <v>46134.0</v>
      </c>
      <c r="I218" s="11" t="s">
        <v>251</v>
      </c>
      <c r="J218" s="11" t="s">
        <v>213</v>
      </c>
      <c r="K218" s="14" t="s">
        <v>31</v>
      </c>
      <c r="L218" s="11"/>
      <c r="M218" s="15"/>
      <c r="N218" s="16"/>
      <c r="O218" s="16"/>
      <c r="P218" s="16"/>
      <c r="Q218" s="17"/>
      <c r="R218" s="17"/>
      <c r="S218" s="17"/>
      <c r="T218" s="17"/>
      <c r="U218" s="17"/>
      <c r="V218" s="17"/>
      <c r="W218" s="17"/>
      <c r="X218" s="17"/>
      <c r="Y218" s="17"/>
    </row>
    <row r="219" ht="18.75" customHeight="1">
      <c r="A219" s="9">
        <v>1372.0</v>
      </c>
      <c r="B219" s="11" t="s">
        <v>967</v>
      </c>
      <c r="C219" s="11" t="s">
        <v>968</v>
      </c>
      <c r="D219" s="11" t="s">
        <v>122</v>
      </c>
      <c r="E219" s="11" t="s">
        <v>807</v>
      </c>
      <c r="F219" s="11" t="s">
        <v>969</v>
      </c>
      <c r="G219" s="12">
        <v>46142.0</v>
      </c>
      <c r="H219" s="13">
        <v>46143.0</v>
      </c>
      <c r="I219" s="11" t="s">
        <v>25</v>
      </c>
      <c r="J219" s="11"/>
      <c r="K219" s="14" t="s">
        <v>31</v>
      </c>
      <c r="L219" s="11"/>
      <c r="M219" s="11" t="s">
        <v>970</v>
      </c>
      <c r="N219" s="16"/>
      <c r="O219" s="16"/>
      <c r="P219" s="16"/>
      <c r="Q219" s="17"/>
      <c r="R219" s="17"/>
      <c r="S219" s="17"/>
      <c r="T219" s="17"/>
      <c r="U219" s="17"/>
      <c r="V219" s="17"/>
      <c r="W219" s="17"/>
      <c r="X219" s="17"/>
      <c r="Y219" s="17"/>
    </row>
    <row r="220" ht="18.75" customHeight="1">
      <c r="A220" s="9">
        <v>1373.0</v>
      </c>
      <c r="B220" s="11" t="s">
        <v>971</v>
      </c>
      <c r="C220" s="11" t="s">
        <v>972</v>
      </c>
      <c r="D220" s="11" t="s">
        <v>122</v>
      </c>
      <c r="E220" s="11" t="s">
        <v>807</v>
      </c>
      <c r="F220" s="11" t="s">
        <v>973</v>
      </c>
      <c r="G220" s="12">
        <v>46142.0</v>
      </c>
      <c r="H220" s="13">
        <v>46143.0</v>
      </c>
      <c r="I220" s="11" t="s">
        <v>119</v>
      </c>
      <c r="J220" s="11"/>
      <c r="K220" s="14" t="s">
        <v>31</v>
      </c>
      <c r="L220" s="11"/>
      <c r="M220" s="11" t="s">
        <v>974</v>
      </c>
      <c r="N220" s="16"/>
      <c r="O220" s="16"/>
      <c r="P220" s="16"/>
      <c r="Q220" s="17"/>
      <c r="R220" s="17"/>
      <c r="S220" s="17"/>
      <c r="T220" s="17"/>
      <c r="U220" s="17"/>
      <c r="V220" s="17"/>
      <c r="W220" s="17"/>
      <c r="X220" s="17"/>
      <c r="Y220" s="17"/>
    </row>
    <row r="221" ht="18.75" customHeight="1">
      <c r="A221" s="9">
        <v>1374.0</v>
      </c>
      <c r="B221" s="11" t="s">
        <v>975</v>
      </c>
      <c r="C221" s="11" t="s">
        <v>976</v>
      </c>
      <c r="D221" s="11" t="s">
        <v>122</v>
      </c>
      <c r="E221" s="11" t="s">
        <v>764</v>
      </c>
      <c r="F221" s="11" t="s">
        <v>977</v>
      </c>
      <c r="G221" s="12">
        <v>46152.0</v>
      </c>
      <c r="H221" s="13">
        <v>46153.0</v>
      </c>
      <c r="I221" s="11" t="s">
        <v>25</v>
      </c>
      <c r="J221" s="11"/>
      <c r="K221" s="14"/>
      <c r="L221" s="11"/>
      <c r="M221" s="11" t="s">
        <v>978</v>
      </c>
      <c r="N221" s="16"/>
      <c r="O221" s="16"/>
      <c r="P221" s="16"/>
      <c r="Q221" s="17"/>
      <c r="R221" s="17"/>
      <c r="S221" s="17"/>
      <c r="T221" s="17"/>
      <c r="U221" s="17"/>
      <c r="V221" s="17"/>
      <c r="W221" s="17"/>
      <c r="X221" s="17"/>
      <c r="Y221" s="17"/>
    </row>
    <row r="222" ht="18.75" customHeight="1">
      <c r="A222" s="9">
        <v>1375.0</v>
      </c>
      <c r="B222" s="11" t="s">
        <v>979</v>
      </c>
      <c r="C222" s="11" t="s">
        <v>980</v>
      </c>
      <c r="D222" s="11" t="s">
        <v>122</v>
      </c>
      <c r="E222" s="11" t="s">
        <v>764</v>
      </c>
      <c r="F222" s="11" t="s">
        <v>981</v>
      </c>
      <c r="G222" s="12">
        <v>46152.0</v>
      </c>
      <c r="H222" s="13">
        <v>46153.0</v>
      </c>
      <c r="I222" s="11" t="s">
        <v>25</v>
      </c>
      <c r="J222" s="11"/>
      <c r="K222" s="14"/>
      <c r="L222" s="11"/>
      <c r="M222" s="11" t="s">
        <v>982</v>
      </c>
      <c r="N222" s="16"/>
      <c r="O222" s="16"/>
      <c r="P222" s="16"/>
      <c r="Q222" s="17"/>
      <c r="R222" s="17"/>
      <c r="S222" s="17"/>
      <c r="T222" s="17"/>
      <c r="U222" s="17"/>
      <c r="V222" s="17"/>
      <c r="W222" s="17"/>
      <c r="X222" s="17"/>
      <c r="Y222" s="17"/>
    </row>
    <row r="223" ht="18.75" customHeight="1">
      <c r="A223" s="9">
        <v>1376.0</v>
      </c>
      <c r="B223" s="11" t="s">
        <v>983</v>
      </c>
      <c r="C223" s="11" t="s">
        <v>984</v>
      </c>
      <c r="D223" s="11" t="s">
        <v>122</v>
      </c>
      <c r="E223" s="11" t="s">
        <v>734</v>
      </c>
      <c r="F223" s="11" t="s">
        <v>985</v>
      </c>
      <c r="G223" s="12">
        <v>46162.0</v>
      </c>
      <c r="H223" s="13">
        <v>46163.0</v>
      </c>
      <c r="I223" s="11" t="s">
        <v>25</v>
      </c>
      <c r="J223" s="11"/>
      <c r="K223" s="14"/>
      <c r="L223" s="11"/>
      <c r="M223" s="11" t="s">
        <v>986</v>
      </c>
      <c r="N223" s="16"/>
      <c r="O223" s="16"/>
      <c r="P223" s="16"/>
      <c r="Q223" s="17"/>
      <c r="R223" s="17"/>
      <c r="S223" s="17"/>
      <c r="T223" s="17"/>
      <c r="U223" s="17"/>
      <c r="V223" s="17"/>
      <c r="W223" s="17"/>
      <c r="X223" s="17"/>
      <c r="Y223" s="17"/>
    </row>
    <row r="224" ht="18.75" customHeight="1">
      <c r="A224" s="9">
        <v>1377.0</v>
      </c>
      <c r="B224" s="11" t="s">
        <v>987</v>
      </c>
      <c r="C224" s="11" t="s">
        <v>988</v>
      </c>
      <c r="D224" s="11" t="s">
        <v>122</v>
      </c>
      <c r="E224" s="11" t="s">
        <v>529</v>
      </c>
      <c r="F224" s="11" t="s">
        <v>989</v>
      </c>
      <c r="G224" s="12">
        <v>46137.0</v>
      </c>
      <c r="H224" s="13">
        <v>46138.0</v>
      </c>
      <c r="I224" s="11" t="s">
        <v>25</v>
      </c>
      <c r="J224" s="11"/>
      <c r="K224" s="14" t="s">
        <v>31</v>
      </c>
      <c r="L224" s="11"/>
      <c r="M224" s="11" t="s">
        <v>183</v>
      </c>
      <c r="N224" s="16"/>
      <c r="O224" s="16"/>
      <c r="P224" s="16"/>
      <c r="Q224" s="17"/>
      <c r="R224" s="17"/>
      <c r="S224" s="17"/>
      <c r="T224" s="17"/>
      <c r="U224" s="17"/>
      <c r="V224" s="17"/>
      <c r="W224" s="17"/>
      <c r="X224" s="17"/>
      <c r="Y224" s="17"/>
    </row>
    <row r="225" ht="18.75" customHeight="1">
      <c r="A225" s="9">
        <v>1378.0</v>
      </c>
      <c r="B225" s="11" t="s">
        <v>990</v>
      </c>
      <c r="C225" s="11" t="s">
        <v>991</v>
      </c>
      <c r="D225" s="11" t="s">
        <v>122</v>
      </c>
      <c r="E225" s="11" t="s">
        <v>222</v>
      </c>
      <c r="F225" s="11" t="s">
        <v>992</v>
      </c>
      <c r="G225" s="12">
        <v>46123.0</v>
      </c>
      <c r="H225" s="13">
        <v>46124.0</v>
      </c>
      <c r="I225" s="11" t="s">
        <v>251</v>
      </c>
      <c r="J225" s="11"/>
      <c r="K225" s="14" t="s">
        <v>31</v>
      </c>
      <c r="L225" s="11"/>
      <c r="M225" s="15"/>
      <c r="N225" s="16"/>
      <c r="O225" s="16"/>
      <c r="P225" s="16"/>
      <c r="Q225" s="17"/>
      <c r="R225" s="17"/>
      <c r="S225" s="17"/>
      <c r="T225" s="17"/>
      <c r="U225" s="17"/>
      <c r="V225" s="17"/>
      <c r="W225" s="17"/>
      <c r="X225" s="17"/>
      <c r="Y225" s="17"/>
    </row>
    <row r="226" ht="18.75" customHeight="1">
      <c r="A226" s="9">
        <v>1379.0</v>
      </c>
      <c r="B226" s="11" t="s">
        <v>993</v>
      </c>
      <c r="C226" s="11" t="s">
        <v>994</v>
      </c>
      <c r="D226" s="11" t="s">
        <v>394</v>
      </c>
      <c r="E226" s="11" t="s">
        <v>995</v>
      </c>
      <c r="F226" s="11" t="s">
        <v>996</v>
      </c>
      <c r="G226" s="12">
        <v>46147.0</v>
      </c>
      <c r="H226" s="13">
        <v>46148.0</v>
      </c>
      <c r="I226" s="11" t="s">
        <v>119</v>
      </c>
      <c r="J226" s="11"/>
      <c r="K226" s="14"/>
      <c r="L226" s="11"/>
      <c r="M226" s="15"/>
      <c r="N226" s="16"/>
      <c r="O226" s="16"/>
      <c r="P226" s="16"/>
      <c r="Q226" s="17"/>
      <c r="R226" s="17"/>
      <c r="S226" s="17"/>
      <c r="T226" s="17"/>
      <c r="U226" s="17"/>
      <c r="V226" s="17"/>
      <c r="W226" s="17"/>
      <c r="X226" s="17"/>
      <c r="Y226" s="17"/>
    </row>
    <row r="227" ht="18.75" customHeight="1">
      <c r="A227" s="9">
        <v>1380.0</v>
      </c>
      <c r="B227" s="11" t="s">
        <v>997</v>
      </c>
      <c r="C227" s="11" t="s">
        <v>998</v>
      </c>
      <c r="D227" s="11" t="s">
        <v>697</v>
      </c>
      <c r="E227" s="11" t="s">
        <v>999</v>
      </c>
      <c r="F227" s="11" t="s">
        <v>1000</v>
      </c>
      <c r="G227" s="12">
        <v>46173.0</v>
      </c>
      <c r="H227" s="13">
        <v>46174.0</v>
      </c>
      <c r="I227" s="11" t="s">
        <v>25</v>
      </c>
      <c r="J227" s="11"/>
      <c r="K227" s="14"/>
      <c r="L227" s="11"/>
      <c r="M227" s="11" t="s">
        <v>1001</v>
      </c>
      <c r="N227" s="16"/>
      <c r="O227" s="16"/>
      <c r="P227" s="16"/>
      <c r="Q227" s="17"/>
      <c r="R227" s="17"/>
      <c r="S227" s="17"/>
      <c r="T227" s="17"/>
      <c r="U227" s="17"/>
      <c r="V227" s="17"/>
      <c r="W227" s="17"/>
      <c r="X227" s="17"/>
      <c r="Y227" s="17"/>
    </row>
    <row r="228" ht="18.75" customHeight="1">
      <c r="A228" s="9">
        <v>1381.0</v>
      </c>
      <c r="B228" s="11" t="s">
        <v>1002</v>
      </c>
      <c r="C228" s="11" t="s">
        <v>1003</v>
      </c>
      <c r="D228" s="11" t="s">
        <v>1004</v>
      </c>
      <c r="E228" s="11" t="s">
        <v>319</v>
      </c>
      <c r="F228" s="15"/>
      <c r="G228" s="12">
        <v>46118.0</v>
      </c>
      <c r="H228" s="13">
        <v>46119.0</v>
      </c>
      <c r="I228" s="11" t="s">
        <v>25</v>
      </c>
      <c r="J228" s="11"/>
      <c r="K228" s="14" t="s">
        <v>31</v>
      </c>
      <c r="L228" s="11"/>
      <c r="M228" s="15"/>
      <c r="N228" s="16"/>
      <c r="O228" s="16"/>
      <c r="P228" s="16"/>
      <c r="Q228" s="17"/>
      <c r="R228" s="17"/>
      <c r="S228" s="17"/>
      <c r="T228" s="17"/>
      <c r="U228" s="17"/>
      <c r="V228" s="17"/>
      <c r="W228" s="17"/>
      <c r="X228" s="17"/>
      <c r="Y228" s="17"/>
    </row>
    <row r="229" ht="18.75" customHeight="1">
      <c r="A229" s="9">
        <v>1382.0</v>
      </c>
      <c r="B229" s="11" t="s">
        <v>1005</v>
      </c>
      <c r="C229" s="11" t="s">
        <v>1006</v>
      </c>
      <c r="D229" s="11" t="s">
        <v>116</v>
      </c>
      <c r="E229" s="11" t="s">
        <v>319</v>
      </c>
      <c r="F229" s="15"/>
      <c r="G229" s="12">
        <v>46120.0</v>
      </c>
      <c r="H229" s="13">
        <v>46121.0</v>
      </c>
      <c r="I229" s="11" t="s">
        <v>25</v>
      </c>
      <c r="J229" s="11"/>
      <c r="K229" s="14" t="s">
        <v>31</v>
      </c>
      <c r="L229" s="11"/>
      <c r="M229" s="15"/>
      <c r="N229" s="16"/>
      <c r="O229" s="16"/>
      <c r="P229" s="16"/>
      <c r="Q229" s="17"/>
      <c r="R229" s="17"/>
      <c r="S229" s="17"/>
      <c r="T229" s="17"/>
      <c r="U229" s="17"/>
      <c r="V229" s="17"/>
      <c r="W229" s="17"/>
      <c r="X229" s="17"/>
      <c r="Y229" s="17"/>
    </row>
    <row r="230" ht="18.75" customHeight="1">
      <c r="A230" s="9">
        <v>1383.0</v>
      </c>
      <c r="B230" s="11" t="s">
        <v>1007</v>
      </c>
      <c r="C230" s="11" t="s">
        <v>1008</v>
      </c>
      <c r="D230" s="11" t="s">
        <v>116</v>
      </c>
      <c r="E230" s="11" t="s">
        <v>319</v>
      </c>
      <c r="F230" s="15"/>
      <c r="G230" s="12">
        <v>46134.0</v>
      </c>
      <c r="H230" s="13">
        <v>46135.0</v>
      </c>
      <c r="I230" s="11" t="s">
        <v>25</v>
      </c>
      <c r="J230" s="11"/>
      <c r="K230" s="14" t="s">
        <v>31</v>
      </c>
      <c r="L230" s="11"/>
      <c r="M230" s="15"/>
      <c r="N230" s="16"/>
      <c r="O230" s="16"/>
      <c r="P230" s="16"/>
      <c r="Q230" s="17"/>
      <c r="R230" s="17"/>
      <c r="S230" s="17"/>
      <c r="T230" s="17"/>
      <c r="U230" s="17"/>
      <c r="V230" s="17"/>
      <c r="W230" s="17"/>
      <c r="X230" s="17"/>
      <c r="Y230" s="17"/>
    </row>
    <row r="231" ht="18.75" customHeight="1">
      <c r="A231" s="9">
        <v>1384.0</v>
      </c>
      <c r="B231" s="11" t="s">
        <v>1009</v>
      </c>
      <c r="C231" s="11" t="s">
        <v>1010</v>
      </c>
      <c r="D231" s="11" t="s">
        <v>116</v>
      </c>
      <c r="E231" s="11" t="s">
        <v>319</v>
      </c>
      <c r="F231" s="15"/>
      <c r="G231" s="12">
        <v>46142.0</v>
      </c>
      <c r="H231" s="13">
        <v>46143.0</v>
      </c>
      <c r="I231" s="11" t="s">
        <v>25</v>
      </c>
      <c r="J231" s="11"/>
      <c r="K231" s="14" t="s">
        <v>31</v>
      </c>
      <c r="L231" s="11"/>
      <c r="M231" s="15"/>
      <c r="N231" s="16"/>
      <c r="O231" s="16"/>
      <c r="P231" s="16"/>
      <c r="Q231" s="17"/>
      <c r="R231" s="17"/>
      <c r="S231" s="17"/>
      <c r="T231" s="17"/>
      <c r="U231" s="17"/>
      <c r="V231" s="17"/>
      <c r="W231" s="17"/>
      <c r="X231" s="17"/>
      <c r="Y231" s="17"/>
    </row>
    <row r="232" ht="18.75" customHeight="1">
      <c r="A232" s="9">
        <v>1385.0</v>
      </c>
      <c r="B232" s="11" t="s">
        <v>1011</v>
      </c>
      <c r="C232" s="11" t="s">
        <v>1012</v>
      </c>
      <c r="D232" s="11" t="s">
        <v>1013</v>
      </c>
      <c r="E232" s="11" t="s">
        <v>102</v>
      </c>
      <c r="F232" s="11" t="s">
        <v>1014</v>
      </c>
      <c r="G232" s="12">
        <v>46142.0</v>
      </c>
      <c r="H232" s="13">
        <v>46143.0</v>
      </c>
      <c r="I232" s="11" t="s">
        <v>119</v>
      </c>
      <c r="J232" s="11"/>
      <c r="K232" s="14" t="s">
        <v>31</v>
      </c>
      <c r="L232" s="11"/>
      <c r="M232" s="11" t="s">
        <v>1015</v>
      </c>
      <c r="N232" s="16"/>
      <c r="O232" s="16"/>
      <c r="P232" s="16"/>
      <c r="Q232" s="17"/>
      <c r="R232" s="17"/>
      <c r="S232" s="17"/>
      <c r="T232" s="17"/>
      <c r="U232" s="17"/>
      <c r="V232" s="17"/>
      <c r="W232" s="17"/>
      <c r="X232" s="17"/>
      <c r="Y232" s="17"/>
    </row>
    <row r="233" ht="18.75" customHeight="1">
      <c r="A233" s="9">
        <v>1386.0</v>
      </c>
      <c r="B233" s="11" t="s">
        <v>1016</v>
      </c>
      <c r="C233" s="11" t="s">
        <v>1017</v>
      </c>
      <c r="D233" s="11" t="s">
        <v>42</v>
      </c>
      <c r="E233" s="11" t="s">
        <v>304</v>
      </c>
      <c r="F233" s="11" t="s">
        <v>1018</v>
      </c>
      <c r="G233" s="12">
        <v>46148.0</v>
      </c>
      <c r="H233" s="13">
        <v>46149.0</v>
      </c>
      <c r="I233" s="11" t="s">
        <v>119</v>
      </c>
      <c r="J233" s="11"/>
      <c r="K233" s="14"/>
      <c r="L233" s="11"/>
      <c r="M233" s="11" t="s">
        <v>1019</v>
      </c>
      <c r="N233" s="16"/>
      <c r="O233" s="16"/>
      <c r="P233" s="16"/>
      <c r="Q233" s="17"/>
      <c r="R233" s="17"/>
      <c r="S233" s="17"/>
      <c r="T233" s="17"/>
      <c r="U233" s="17"/>
      <c r="V233" s="17"/>
      <c r="W233" s="17"/>
      <c r="X233" s="17"/>
      <c r="Y233" s="17"/>
    </row>
    <row r="234" ht="18.75" customHeight="1">
      <c r="A234" s="9">
        <v>1387.0</v>
      </c>
      <c r="B234" s="11" t="s">
        <v>1020</v>
      </c>
      <c r="C234" s="11" t="s">
        <v>1021</v>
      </c>
      <c r="D234" s="11" t="s">
        <v>94</v>
      </c>
      <c r="E234" s="11" t="s">
        <v>1022</v>
      </c>
      <c r="F234" s="11" t="s">
        <v>1023</v>
      </c>
      <c r="G234" s="12">
        <v>46142.0</v>
      </c>
      <c r="H234" s="13">
        <v>46143.0</v>
      </c>
      <c r="I234" s="11" t="s">
        <v>119</v>
      </c>
      <c r="J234" s="11"/>
      <c r="K234" s="14" t="s">
        <v>31</v>
      </c>
      <c r="L234" s="11"/>
      <c r="M234" s="11" t="s">
        <v>1024</v>
      </c>
      <c r="N234" s="16"/>
      <c r="O234" s="16"/>
      <c r="P234" s="16"/>
      <c r="Q234" s="17"/>
      <c r="R234" s="17"/>
      <c r="S234" s="17"/>
      <c r="T234" s="17"/>
      <c r="U234" s="17"/>
      <c r="V234" s="17"/>
      <c r="W234" s="17"/>
      <c r="X234" s="17"/>
      <c r="Y234" s="17"/>
    </row>
    <row r="235" ht="18.75" customHeight="1">
      <c r="A235" s="9">
        <v>1388.0</v>
      </c>
      <c r="B235" s="11" t="s">
        <v>1025</v>
      </c>
      <c r="C235" s="11" t="s">
        <v>1026</v>
      </c>
      <c r="D235" s="11" t="s">
        <v>116</v>
      </c>
      <c r="E235" s="11" t="s">
        <v>1027</v>
      </c>
      <c r="F235" s="11" t="s">
        <v>1028</v>
      </c>
      <c r="G235" s="12">
        <v>46149.0</v>
      </c>
      <c r="H235" s="12">
        <v>46150.0</v>
      </c>
      <c r="I235" s="11" t="s">
        <v>119</v>
      </c>
      <c r="J235" s="11"/>
      <c r="K235" s="14"/>
      <c r="L235" s="11" t="s">
        <v>50</v>
      </c>
      <c r="M235" s="15"/>
      <c r="N235" s="16"/>
      <c r="O235" s="16"/>
      <c r="P235" s="16"/>
      <c r="Q235" s="17"/>
      <c r="R235" s="17"/>
      <c r="S235" s="17"/>
      <c r="T235" s="17"/>
      <c r="U235" s="17"/>
      <c r="V235" s="17"/>
      <c r="W235" s="17"/>
      <c r="X235" s="17"/>
      <c r="Y235" s="17"/>
    </row>
    <row r="236" ht="18.75" customHeight="1">
      <c r="A236" s="9">
        <v>1389.0</v>
      </c>
      <c r="B236" s="11" t="s">
        <v>1029</v>
      </c>
      <c r="C236" s="11" t="s">
        <v>1030</v>
      </c>
      <c r="D236" s="11" t="s">
        <v>1031</v>
      </c>
      <c r="E236" s="11" t="s">
        <v>1032</v>
      </c>
      <c r="F236" s="11" t="s">
        <v>1033</v>
      </c>
      <c r="G236" s="12">
        <v>46157.0</v>
      </c>
      <c r="H236" s="13">
        <v>46158.0</v>
      </c>
      <c r="I236" s="11"/>
      <c r="J236" s="11"/>
      <c r="K236" s="14"/>
      <c r="L236" s="11" t="s">
        <v>50</v>
      </c>
      <c r="M236" s="15"/>
      <c r="N236" s="16"/>
      <c r="O236" s="16"/>
      <c r="P236" s="16"/>
      <c r="Q236" s="17"/>
      <c r="R236" s="17"/>
      <c r="S236" s="17"/>
      <c r="T236" s="17"/>
      <c r="U236" s="17"/>
      <c r="V236" s="17"/>
      <c r="W236" s="17"/>
      <c r="X236" s="17"/>
      <c r="Y236" s="17"/>
    </row>
    <row r="237" ht="18.75" customHeight="1">
      <c r="A237" s="9">
        <v>1390.0</v>
      </c>
      <c r="B237" s="11" t="s">
        <v>1034</v>
      </c>
      <c r="C237" s="11" t="s">
        <v>1035</v>
      </c>
      <c r="D237" s="11" t="s">
        <v>444</v>
      </c>
      <c r="E237" s="11" t="s">
        <v>445</v>
      </c>
      <c r="F237" s="11" t="s">
        <v>1036</v>
      </c>
      <c r="G237" s="12">
        <v>46142.0</v>
      </c>
      <c r="H237" s="13">
        <v>46143.0</v>
      </c>
      <c r="I237" s="11" t="s">
        <v>251</v>
      </c>
      <c r="J237" s="11"/>
      <c r="K237" s="14" t="s">
        <v>31</v>
      </c>
      <c r="L237" s="11"/>
      <c r="M237" s="15"/>
      <c r="N237" s="16"/>
      <c r="O237" s="16"/>
      <c r="P237" s="16"/>
      <c r="Q237" s="17"/>
      <c r="R237" s="17"/>
      <c r="S237" s="17"/>
      <c r="T237" s="17"/>
      <c r="U237" s="17"/>
      <c r="V237" s="17"/>
      <c r="W237" s="17"/>
      <c r="X237" s="17"/>
      <c r="Y237" s="17"/>
    </row>
    <row r="238" ht="18.75" customHeight="1">
      <c r="A238" s="9">
        <v>1391.0</v>
      </c>
      <c r="B238" s="11" t="s">
        <v>1037</v>
      </c>
      <c r="C238" s="11" t="s">
        <v>1038</v>
      </c>
      <c r="D238" s="11" t="s">
        <v>1039</v>
      </c>
      <c r="E238" s="11" t="s">
        <v>139</v>
      </c>
      <c r="F238" s="11" t="s">
        <v>1040</v>
      </c>
      <c r="G238" s="12">
        <v>46147.0</v>
      </c>
      <c r="H238" s="13">
        <v>46148.0</v>
      </c>
      <c r="I238" s="11" t="s">
        <v>119</v>
      </c>
      <c r="J238" s="11"/>
      <c r="K238" s="14"/>
      <c r="L238" s="11"/>
      <c r="M238" s="11" t="s">
        <v>1041</v>
      </c>
      <c r="N238" s="16"/>
      <c r="O238" s="16"/>
      <c r="P238" s="16"/>
      <c r="Q238" s="17"/>
      <c r="R238" s="17"/>
      <c r="S238" s="17"/>
      <c r="T238" s="17"/>
      <c r="U238" s="17"/>
      <c r="V238" s="17"/>
      <c r="W238" s="17"/>
      <c r="X238" s="17"/>
      <c r="Y238" s="17"/>
    </row>
    <row r="239" ht="18.75" customHeight="1">
      <c r="A239" s="9">
        <v>1392.0</v>
      </c>
      <c r="B239" s="11" t="s">
        <v>1042</v>
      </c>
      <c r="C239" s="11" t="s">
        <v>1043</v>
      </c>
      <c r="D239" s="11" t="s">
        <v>42</v>
      </c>
      <c r="E239" s="11" t="s">
        <v>168</v>
      </c>
      <c r="F239" s="11" t="s">
        <v>1044</v>
      </c>
      <c r="G239" s="12">
        <v>46173.0</v>
      </c>
      <c r="H239" s="13">
        <v>46174.0</v>
      </c>
      <c r="I239" s="11" t="s">
        <v>25</v>
      </c>
      <c r="J239" s="11"/>
      <c r="K239" s="14"/>
      <c r="L239" s="11"/>
      <c r="M239" s="11" t="s">
        <v>1045</v>
      </c>
      <c r="N239" s="16"/>
      <c r="O239" s="16"/>
      <c r="P239" s="16"/>
      <c r="Q239" s="17"/>
      <c r="R239" s="17"/>
      <c r="S239" s="17"/>
      <c r="T239" s="17"/>
      <c r="U239" s="17"/>
      <c r="V239" s="17"/>
      <c r="W239" s="17"/>
      <c r="X239" s="17"/>
      <c r="Y239" s="17"/>
    </row>
    <row r="240" ht="18.75" customHeight="1">
      <c r="A240" s="9">
        <v>1393.0</v>
      </c>
      <c r="B240" s="11" t="s">
        <v>1046</v>
      </c>
      <c r="C240" s="11" t="s">
        <v>1047</v>
      </c>
      <c r="D240" s="11" t="s">
        <v>128</v>
      </c>
      <c r="E240" s="11" t="s">
        <v>534</v>
      </c>
      <c r="F240" s="11" t="s">
        <v>1048</v>
      </c>
      <c r="G240" s="12">
        <v>46173.0</v>
      </c>
      <c r="H240" s="13">
        <v>46174.0</v>
      </c>
      <c r="I240" s="11" t="s">
        <v>25</v>
      </c>
      <c r="J240" s="11"/>
      <c r="K240" s="14"/>
      <c r="L240" s="11"/>
      <c r="M240" s="11" t="s">
        <v>1045</v>
      </c>
      <c r="N240" s="16"/>
      <c r="O240" s="16"/>
      <c r="P240" s="16"/>
      <c r="Q240" s="17"/>
      <c r="R240" s="17"/>
      <c r="S240" s="17"/>
      <c r="T240" s="17"/>
      <c r="U240" s="17"/>
      <c r="V240" s="17"/>
      <c r="W240" s="17"/>
      <c r="X240" s="17"/>
      <c r="Y240" s="17"/>
    </row>
    <row r="241" ht="18.75" customHeight="1">
      <c r="A241" s="9">
        <v>1394.0</v>
      </c>
      <c r="B241" s="11" t="s">
        <v>1049</v>
      </c>
      <c r="C241" s="11" t="s">
        <v>1050</v>
      </c>
      <c r="D241" s="11" t="s">
        <v>71</v>
      </c>
      <c r="E241" s="11" t="s">
        <v>168</v>
      </c>
      <c r="F241" s="11" t="s">
        <v>1051</v>
      </c>
      <c r="G241" s="12">
        <v>46173.0</v>
      </c>
      <c r="H241" s="13">
        <v>46174.0</v>
      </c>
      <c r="I241" s="11" t="s">
        <v>25</v>
      </c>
      <c r="J241" s="11"/>
      <c r="K241" s="14"/>
      <c r="L241" s="11"/>
      <c r="M241" s="11" t="s">
        <v>1045</v>
      </c>
      <c r="N241" s="16"/>
      <c r="O241" s="16"/>
      <c r="P241" s="16"/>
      <c r="Q241" s="17"/>
      <c r="R241" s="17"/>
      <c r="S241" s="17"/>
      <c r="T241" s="17"/>
      <c r="U241" s="17"/>
      <c r="V241" s="17"/>
      <c r="W241" s="17"/>
      <c r="X241" s="17"/>
      <c r="Y241" s="17"/>
    </row>
    <row r="242" ht="18.75" customHeight="1">
      <c r="A242" s="9">
        <v>1395.0</v>
      </c>
      <c r="B242" s="11" t="s">
        <v>1052</v>
      </c>
      <c r="C242" s="11" t="s">
        <v>1053</v>
      </c>
      <c r="D242" s="11" t="s">
        <v>71</v>
      </c>
      <c r="E242" s="11" t="s">
        <v>168</v>
      </c>
      <c r="F242" s="11" t="s">
        <v>1054</v>
      </c>
      <c r="G242" s="12">
        <v>46173.0</v>
      </c>
      <c r="H242" s="13">
        <v>46174.0</v>
      </c>
      <c r="I242" s="11" t="s">
        <v>25</v>
      </c>
      <c r="J242" s="11"/>
      <c r="K242" s="14"/>
      <c r="L242" s="11"/>
      <c r="M242" s="11" t="s">
        <v>1045</v>
      </c>
      <c r="N242" s="16"/>
      <c r="O242" s="16"/>
      <c r="P242" s="16"/>
      <c r="Q242" s="17"/>
      <c r="R242" s="17"/>
      <c r="S242" s="17"/>
      <c r="T242" s="17"/>
      <c r="U242" s="17"/>
      <c r="V242" s="17"/>
      <c r="W242" s="17"/>
      <c r="X242" s="17"/>
      <c r="Y242" s="17"/>
    </row>
    <row r="243" ht="18.75" customHeight="1">
      <c r="A243" s="9">
        <v>1396.0</v>
      </c>
      <c r="B243" s="11" t="s">
        <v>1055</v>
      </c>
      <c r="C243" s="11" t="s">
        <v>1056</v>
      </c>
      <c r="D243" s="11" t="s">
        <v>122</v>
      </c>
      <c r="E243" s="11" t="s">
        <v>168</v>
      </c>
      <c r="F243" s="11" t="s">
        <v>1057</v>
      </c>
      <c r="G243" s="12">
        <v>46173.0</v>
      </c>
      <c r="H243" s="13">
        <v>46174.0</v>
      </c>
      <c r="I243" s="11" t="s">
        <v>25</v>
      </c>
      <c r="J243" s="11"/>
      <c r="K243" s="14"/>
      <c r="L243" s="11"/>
      <c r="M243" s="11" t="s">
        <v>1045</v>
      </c>
      <c r="N243" s="16"/>
      <c r="O243" s="16"/>
      <c r="P243" s="16"/>
      <c r="Q243" s="17"/>
      <c r="R243" s="17"/>
      <c r="S243" s="17"/>
      <c r="T243" s="17"/>
      <c r="U243" s="17"/>
      <c r="V243" s="17"/>
      <c r="W243" s="17"/>
      <c r="X243" s="17"/>
      <c r="Y243" s="17"/>
    </row>
    <row r="244" ht="18.75" customHeight="1">
      <c r="A244" s="9">
        <v>1397.0</v>
      </c>
      <c r="B244" s="11" t="s">
        <v>1058</v>
      </c>
      <c r="C244" s="11" t="s">
        <v>1059</v>
      </c>
      <c r="D244" s="11" t="s">
        <v>122</v>
      </c>
      <c r="E244" s="11" t="s">
        <v>168</v>
      </c>
      <c r="F244" s="11" t="s">
        <v>1060</v>
      </c>
      <c r="G244" s="12">
        <v>46173.0</v>
      </c>
      <c r="H244" s="13">
        <v>46174.0</v>
      </c>
      <c r="I244" s="11" t="s">
        <v>25</v>
      </c>
      <c r="J244" s="11"/>
      <c r="K244" s="14"/>
      <c r="L244" s="11"/>
      <c r="M244" s="11" t="s">
        <v>1045</v>
      </c>
      <c r="N244" s="16"/>
      <c r="O244" s="16"/>
      <c r="P244" s="16"/>
      <c r="Q244" s="17"/>
      <c r="R244" s="17"/>
      <c r="S244" s="17"/>
      <c r="T244" s="17"/>
      <c r="U244" s="17"/>
      <c r="V244" s="17"/>
      <c r="W244" s="17"/>
      <c r="X244" s="17"/>
      <c r="Y244" s="17"/>
    </row>
    <row r="245" ht="18.75" customHeight="1">
      <c r="A245" s="9">
        <v>1398.0</v>
      </c>
      <c r="B245" s="11" t="s">
        <v>1061</v>
      </c>
      <c r="C245" s="11" t="s">
        <v>1062</v>
      </c>
      <c r="D245" s="11" t="s">
        <v>122</v>
      </c>
      <c r="E245" s="11" t="s">
        <v>1063</v>
      </c>
      <c r="F245" s="11" t="s">
        <v>1064</v>
      </c>
      <c r="G245" s="12">
        <v>46144.0</v>
      </c>
      <c r="H245" s="13">
        <v>46145.0</v>
      </c>
      <c r="I245" s="11" t="s">
        <v>21</v>
      </c>
      <c r="J245" s="11" t="s">
        <v>213</v>
      </c>
      <c r="K245" s="14"/>
      <c r="L245" s="11"/>
      <c r="M245" s="15"/>
      <c r="N245" s="16"/>
      <c r="O245" s="16"/>
      <c r="P245" s="16"/>
      <c r="Q245" s="17"/>
      <c r="R245" s="17"/>
      <c r="S245" s="17"/>
      <c r="T245" s="17"/>
      <c r="U245" s="17"/>
      <c r="V245" s="17"/>
      <c r="W245" s="17"/>
      <c r="X245" s="17"/>
      <c r="Y245" s="17"/>
    </row>
    <row r="246" ht="18.75" customHeight="1">
      <c r="A246" s="9">
        <v>1399.0</v>
      </c>
      <c r="B246" s="11" t="s">
        <v>1065</v>
      </c>
      <c r="C246" s="11" t="s">
        <v>1066</v>
      </c>
      <c r="D246" s="11" t="s">
        <v>122</v>
      </c>
      <c r="E246" s="11" t="s">
        <v>134</v>
      </c>
      <c r="F246" s="11" t="s">
        <v>1067</v>
      </c>
      <c r="G246" s="12">
        <v>46142.0</v>
      </c>
      <c r="H246" s="13">
        <v>46143.0</v>
      </c>
      <c r="I246" s="11" t="s">
        <v>251</v>
      </c>
      <c r="J246" s="11"/>
      <c r="K246" s="14" t="s">
        <v>31</v>
      </c>
      <c r="L246" s="11"/>
      <c r="M246" s="15"/>
      <c r="N246" s="16"/>
      <c r="O246" s="16"/>
      <c r="P246" s="16"/>
      <c r="Q246" s="17"/>
      <c r="R246" s="17"/>
      <c r="S246" s="17"/>
      <c r="T246" s="17"/>
      <c r="U246" s="17"/>
      <c r="V246" s="17"/>
      <c r="W246" s="17"/>
      <c r="X246" s="17"/>
      <c r="Y246" s="17"/>
    </row>
    <row r="247" ht="18.75" customHeight="1">
      <c r="A247" s="9">
        <v>1400.0</v>
      </c>
      <c r="B247" s="15"/>
      <c r="C247" s="15"/>
      <c r="D247" s="15"/>
      <c r="E247" s="15"/>
      <c r="F247" s="15"/>
      <c r="G247" s="12"/>
      <c r="H247" s="13"/>
      <c r="I247" s="11"/>
      <c r="J247" s="11"/>
      <c r="K247" s="14"/>
      <c r="L247" s="11"/>
      <c r="M247" s="15"/>
      <c r="N247" s="16"/>
      <c r="O247" s="16"/>
      <c r="P247" s="16"/>
      <c r="Q247" s="17"/>
      <c r="R247" s="17"/>
      <c r="S247" s="17"/>
      <c r="T247" s="17"/>
      <c r="U247" s="17"/>
      <c r="V247" s="17"/>
      <c r="W247" s="17"/>
      <c r="X247" s="17"/>
      <c r="Y247" s="17"/>
    </row>
    <row r="248" ht="18.75" customHeight="1">
      <c r="A248" s="9">
        <v>1401.0</v>
      </c>
      <c r="B248" s="15"/>
      <c r="C248" s="15"/>
      <c r="D248" s="15"/>
      <c r="E248" s="15"/>
      <c r="F248" s="15"/>
      <c r="G248" s="12"/>
      <c r="H248" s="13"/>
      <c r="I248" s="11"/>
      <c r="J248" s="11"/>
      <c r="K248" s="14"/>
      <c r="L248" s="11"/>
      <c r="M248" s="15"/>
      <c r="N248" s="16"/>
      <c r="O248" s="16"/>
      <c r="P248" s="16"/>
      <c r="Q248" s="17"/>
      <c r="R248" s="17"/>
      <c r="S248" s="17"/>
      <c r="T248" s="17"/>
      <c r="U248" s="17"/>
      <c r="V248" s="17"/>
      <c r="W248" s="17"/>
      <c r="X248" s="17"/>
      <c r="Y248" s="17"/>
    </row>
    <row r="249" ht="18.75" customHeight="1">
      <c r="A249" s="9">
        <v>1402.0</v>
      </c>
      <c r="B249" s="15"/>
      <c r="C249" s="15"/>
      <c r="D249" s="15"/>
      <c r="E249" s="15"/>
      <c r="F249" s="15"/>
      <c r="G249" s="12"/>
      <c r="H249" s="13"/>
      <c r="I249" s="11"/>
      <c r="J249" s="11"/>
      <c r="K249" s="14"/>
      <c r="L249" s="11"/>
      <c r="M249" s="15"/>
      <c r="N249" s="16"/>
      <c r="O249" s="16"/>
      <c r="P249" s="16"/>
      <c r="Q249" s="17"/>
      <c r="R249" s="17"/>
      <c r="S249" s="17"/>
      <c r="T249" s="17"/>
      <c r="U249" s="17"/>
      <c r="V249" s="17"/>
      <c r="W249" s="17"/>
      <c r="X249" s="17"/>
      <c r="Y249" s="17"/>
    </row>
    <row r="250" ht="18.75" customHeight="1">
      <c r="A250" s="9">
        <v>1403.0</v>
      </c>
      <c r="B250" s="15"/>
      <c r="C250" s="15"/>
      <c r="D250" s="15"/>
      <c r="E250" s="15"/>
      <c r="F250" s="15"/>
      <c r="G250" s="12"/>
      <c r="H250" s="13"/>
      <c r="I250" s="11"/>
      <c r="J250" s="11"/>
      <c r="K250" s="14"/>
      <c r="L250" s="11"/>
      <c r="M250" s="15"/>
      <c r="N250" s="16"/>
      <c r="O250" s="16"/>
      <c r="P250" s="16"/>
      <c r="Q250" s="17"/>
      <c r="R250" s="17"/>
      <c r="S250" s="17"/>
      <c r="T250" s="17"/>
      <c r="U250" s="17"/>
      <c r="V250" s="17"/>
      <c r="W250" s="17"/>
      <c r="X250" s="17"/>
      <c r="Y250" s="17"/>
    </row>
    <row r="251" ht="18.75" customHeight="1">
      <c r="A251" s="9">
        <v>1404.0</v>
      </c>
      <c r="B251" s="15"/>
      <c r="C251" s="15"/>
      <c r="D251" s="15"/>
      <c r="E251" s="15"/>
      <c r="F251" s="15"/>
      <c r="G251" s="12"/>
      <c r="H251" s="13"/>
      <c r="I251" s="11"/>
      <c r="J251" s="11"/>
      <c r="K251" s="14"/>
      <c r="L251" s="11"/>
      <c r="M251" s="15"/>
      <c r="N251" s="16"/>
      <c r="O251" s="16"/>
      <c r="P251" s="16"/>
      <c r="Q251" s="17"/>
      <c r="R251" s="17"/>
      <c r="S251" s="17"/>
      <c r="T251" s="17"/>
      <c r="U251" s="17"/>
      <c r="V251" s="17"/>
      <c r="W251" s="17"/>
      <c r="X251" s="17"/>
      <c r="Y251" s="17"/>
    </row>
    <row r="252" ht="18.75" customHeight="1">
      <c r="A252" s="9">
        <v>1405.0</v>
      </c>
      <c r="B252" s="15"/>
      <c r="C252" s="15"/>
      <c r="D252" s="15"/>
      <c r="E252" s="15"/>
      <c r="F252" s="15"/>
      <c r="G252" s="12"/>
      <c r="H252" s="13"/>
      <c r="I252" s="11"/>
      <c r="J252" s="11"/>
      <c r="K252" s="14"/>
      <c r="L252" s="11"/>
      <c r="M252" s="15"/>
      <c r="N252" s="16"/>
      <c r="O252" s="16"/>
      <c r="P252" s="16"/>
      <c r="Q252" s="17"/>
      <c r="R252" s="17"/>
      <c r="S252" s="17"/>
      <c r="T252" s="17"/>
      <c r="U252" s="17"/>
      <c r="V252" s="17"/>
      <c r="W252" s="17"/>
      <c r="X252" s="17"/>
      <c r="Y252" s="17"/>
    </row>
    <row r="253" ht="18.75" customHeight="1">
      <c r="A253" s="9">
        <v>1406.0</v>
      </c>
      <c r="B253" s="15"/>
      <c r="C253" s="15"/>
      <c r="D253" s="15"/>
      <c r="E253" s="15"/>
      <c r="F253" s="15"/>
      <c r="G253" s="12"/>
      <c r="H253" s="13"/>
      <c r="I253" s="11"/>
      <c r="J253" s="11"/>
      <c r="K253" s="14"/>
      <c r="L253" s="11"/>
      <c r="M253" s="15"/>
      <c r="N253" s="16"/>
      <c r="O253" s="16"/>
      <c r="P253" s="16"/>
      <c r="Q253" s="17"/>
      <c r="R253" s="17"/>
      <c r="S253" s="17"/>
      <c r="T253" s="17"/>
      <c r="U253" s="17"/>
      <c r="V253" s="17"/>
      <c r="W253" s="17"/>
      <c r="X253" s="17"/>
      <c r="Y253" s="17"/>
    </row>
    <row r="254" ht="18.75" customHeight="1">
      <c r="A254" s="9">
        <v>1407.0</v>
      </c>
      <c r="B254" s="15"/>
      <c r="C254" s="15"/>
      <c r="D254" s="15"/>
      <c r="E254" s="15"/>
      <c r="F254" s="15"/>
      <c r="G254" s="12"/>
      <c r="H254" s="13"/>
      <c r="I254" s="11"/>
      <c r="J254" s="11"/>
      <c r="K254" s="14"/>
      <c r="L254" s="11"/>
      <c r="M254" s="15"/>
      <c r="N254" s="16"/>
      <c r="O254" s="16"/>
      <c r="P254" s="16"/>
      <c r="Q254" s="17"/>
      <c r="R254" s="17"/>
      <c r="S254" s="17"/>
      <c r="T254" s="17"/>
      <c r="U254" s="17"/>
      <c r="V254" s="17"/>
      <c r="W254" s="17"/>
      <c r="X254" s="17"/>
      <c r="Y254" s="17"/>
    </row>
    <row r="255" ht="18.75" customHeight="1">
      <c r="A255" s="9">
        <v>1408.0</v>
      </c>
      <c r="B255" s="15"/>
      <c r="C255" s="15"/>
      <c r="D255" s="15"/>
      <c r="E255" s="15"/>
      <c r="F255" s="15"/>
      <c r="G255" s="12"/>
      <c r="H255" s="13"/>
      <c r="I255" s="11"/>
      <c r="J255" s="11"/>
      <c r="K255" s="14"/>
      <c r="L255" s="11"/>
      <c r="M255" s="15"/>
      <c r="N255" s="16"/>
      <c r="O255" s="16"/>
      <c r="P255" s="16"/>
      <c r="Q255" s="17"/>
      <c r="R255" s="17"/>
      <c r="S255" s="17"/>
      <c r="T255" s="17"/>
      <c r="U255" s="17"/>
      <c r="V255" s="17"/>
      <c r="W255" s="17"/>
      <c r="X255" s="17"/>
      <c r="Y255" s="17"/>
    </row>
    <row r="256" ht="18.75" customHeight="1">
      <c r="A256" s="9">
        <v>1409.0</v>
      </c>
      <c r="B256" s="15"/>
      <c r="C256" s="15"/>
      <c r="D256" s="15"/>
      <c r="E256" s="15"/>
      <c r="F256" s="15"/>
      <c r="G256" s="12"/>
      <c r="H256" s="13"/>
      <c r="I256" s="11"/>
      <c r="J256" s="11"/>
      <c r="K256" s="14"/>
      <c r="L256" s="11"/>
      <c r="M256" s="15"/>
      <c r="N256" s="16"/>
      <c r="O256" s="16"/>
      <c r="P256" s="16"/>
      <c r="Q256" s="17"/>
      <c r="R256" s="17"/>
      <c r="S256" s="17"/>
      <c r="T256" s="17"/>
      <c r="U256" s="17"/>
      <c r="V256" s="17"/>
      <c r="W256" s="17"/>
      <c r="X256" s="17"/>
      <c r="Y256" s="17"/>
    </row>
    <row r="257" ht="18.75" customHeight="1">
      <c r="A257" s="9">
        <v>1410.0</v>
      </c>
      <c r="B257" s="15"/>
      <c r="C257" s="15"/>
      <c r="D257" s="15"/>
      <c r="E257" s="15"/>
      <c r="F257" s="15"/>
      <c r="G257" s="12"/>
      <c r="H257" s="13"/>
      <c r="I257" s="11"/>
      <c r="J257" s="11"/>
      <c r="K257" s="14"/>
      <c r="L257" s="11"/>
      <c r="M257" s="15"/>
      <c r="N257" s="16"/>
      <c r="O257" s="16"/>
      <c r="P257" s="16"/>
      <c r="Q257" s="17"/>
      <c r="R257" s="17"/>
      <c r="S257" s="17"/>
      <c r="T257" s="17"/>
      <c r="U257" s="17"/>
      <c r="V257" s="17"/>
      <c r="W257" s="17"/>
      <c r="X257" s="17"/>
      <c r="Y257" s="17"/>
    </row>
    <row r="258" ht="18.75" customHeight="1">
      <c r="A258" s="9">
        <v>1411.0</v>
      </c>
      <c r="B258" s="15"/>
      <c r="C258" s="15"/>
      <c r="D258" s="15"/>
      <c r="E258" s="15"/>
      <c r="F258" s="15"/>
      <c r="G258" s="12"/>
      <c r="H258" s="13"/>
      <c r="I258" s="11"/>
      <c r="J258" s="11"/>
      <c r="K258" s="14"/>
      <c r="L258" s="11"/>
      <c r="M258" s="15"/>
      <c r="N258" s="16"/>
      <c r="O258" s="16"/>
      <c r="P258" s="16"/>
      <c r="Q258" s="17"/>
      <c r="R258" s="17"/>
      <c r="S258" s="17"/>
      <c r="T258" s="17"/>
      <c r="U258" s="17"/>
      <c r="V258" s="17"/>
      <c r="W258" s="17"/>
      <c r="X258" s="17"/>
      <c r="Y258" s="17"/>
    </row>
    <row r="259" ht="18.75" customHeight="1">
      <c r="A259" s="9">
        <v>1412.0</v>
      </c>
      <c r="B259" s="15"/>
      <c r="C259" s="15"/>
      <c r="D259" s="15"/>
      <c r="E259" s="15"/>
      <c r="F259" s="15"/>
      <c r="G259" s="12"/>
      <c r="H259" s="13"/>
      <c r="I259" s="11"/>
      <c r="J259" s="11"/>
      <c r="K259" s="14"/>
      <c r="L259" s="11"/>
      <c r="M259" s="15"/>
      <c r="N259" s="16"/>
      <c r="O259" s="16"/>
      <c r="P259" s="16"/>
      <c r="Q259" s="17"/>
      <c r="R259" s="17"/>
      <c r="S259" s="17"/>
      <c r="T259" s="17"/>
      <c r="U259" s="17"/>
      <c r="V259" s="17"/>
      <c r="W259" s="17"/>
      <c r="X259" s="17"/>
      <c r="Y259" s="17"/>
    </row>
    <row r="260" ht="18.75" customHeight="1">
      <c r="A260" s="9">
        <v>1413.0</v>
      </c>
      <c r="B260" s="15"/>
      <c r="C260" s="15"/>
      <c r="D260" s="15"/>
      <c r="E260" s="15"/>
      <c r="F260" s="15"/>
      <c r="G260" s="12"/>
      <c r="H260" s="13"/>
      <c r="I260" s="11"/>
      <c r="J260" s="11"/>
      <c r="K260" s="14"/>
      <c r="L260" s="11"/>
      <c r="M260" s="15"/>
      <c r="N260" s="16"/>
      <c r="O260" s="16"/>
      <c r="P260" s="16"/>
      <c r="Q260" s="17"/>
      <c r="R260" s="17"/>
      <c r="S260" s="17"/>
      <c r="T260" s="17"/>
      <c r="U260" s="17"/>
      <c r="V260" s="17"/>
      <c r="W260" s="17"/>
      <c r="X260" s="17"/>
      <c r="Y260" s="17"/>
    </row>
    <row r="261" ht="18.75" customHeight="1">
      <c r="A261" s="9">
        <v>1414.0</v>
      </c>
      <c r="B261" s="15"/>
      <c r="C261" s="15"/>
      <c r="D261" s="15"/>
      <c r="E261" s="15"/>
      <c r="F261" s="15"/>
      <c r="G261" s="12"/>
      <c r="H261" s="13"/>
      <c r="I261" s="11"/>
      <c r="J261" s="11"/>
      <c r="K261" s="14"/>
      <c r="L261" s="11"/>
      <c r="M261" s="15"/>
      <c r="N261" s="16"/>
      <c r="O261" s="16"/>
      <c r="P261" s="16"/>
      <c r="Q261" s="17"/>
      <c r="R261" s="17"/>
      <c r="S261" s="17"/>
      <c r="T261" s="17"/>
      <c r="U261" s="17"/>
      <c r="V261" s="17"/>
      <c r="W261" s="17"/>
      <c r="X261" s="17"/>
      <c r="Y261" s="17"/>
    </row>
    <row r="262" ht="18.75" customHeight="1">
      <c r="A262" s="9">
        <v>1415.0</v>
      </c>
      <c r="B262" s="15"/>
      <c r="C262" s="15"/>
      <c r="D262" s="15"/>
      <c r="E262" s="15"/>
      <c r="F262" s="15"/>
      <c r="G262" s="12"/>
      <c r="H262" s="13"/>
      <c r="I262" s="11"/>
      <c r="J262" s="11"/>
      <c r="K262" s="14"/>
      <c r="L262" s="11"/>
      <c r="M262" s="15"/>
      <c r="N262" s="16"/>
      <c r="O262" s="16"/>
      <c r="P262" s="16"/>
      <c r="Q262" s="17"/>
      <c r="R262" s="17"/>
      <c r="S262" s="17"/>
      <c r="T262" s="17"/>
      <c r="U262" s="17"/>
      <c r="V262" s="17"/>
      <c r="W262" s="17"/>
      <c r="X262" s="17"/>
      <c r="Y262" s="17"/>
    </row>
    <row r="263" ht="18.75" customHeight="1">
      <c r="A263" s="9">
        <v>1416.0</v>
      </c>
      <c r="B263" s="15"/>
      <c r="C263" s="15"/>
      <c r="D263" s="15"/>
      <c r="E263" s="15"/>
      <c r="F263" s="15"/>
      <c r="G263" s="12"/>
      <c r="H263" s="13"/>
      <c r="I263" s="11"/>
      <c r="J263" s="11"/>
      <c r="K263" s="14"/>
      <c r="L263" s="11"/>
      <c r="M263" s="15"/>
      <c r="N263" s="16"/>
      <c r="O263" s="16"/>
      <c r="P263" s="16"/>
      <c r="Q263" s="17"/>
      <c r="R263" s="17"/>
      <c r="S263" s="17"/>
      <c r="T263" s="17"/>
      <c r="U263" s="17"/>
      <c r="V263" s="17"/>
      <c r="W263" s="17"/>
      <c r="X263" s="17"/>
      <c r="Y263" s="17"/>
    </row>
    <row r="264" ht="18.75" customHeight="1">
      <c r="A264" s="9">
        <v>1417.0</v>
      </c>
      <c r="B264" s="15"/>
      <c r="C264" s="15"/>
      <c r="D264" s="15"/>
      <c r="E264" s="15"/>
      <c r="F264" s="15"/>
      <c r="G264" s="12"/>
      <c r="H264" s="13"/>
      <c r="I264" s="11"/>
      <c r="J264" s="11"/>
      <c r="K264" s="14"/>
      <c r="L264" s="11"/>
      <c r="M264" s="15"/>
      <c r="N264" s="16"/>
      <c r="O264" s="16"/>
      <c r="P264" s="16"/>
      <c r="Q264" s="17"/>
      <c r="R264" s="17"/>
      <c r="S264" s="17"/>
      <c r="T264" s="17"/>
      <c r="U264" s="17"/>
      <c r="V264" s="17"/>
      <c r="W264" s="17"/>
      <c r="X264" s="17"/>
      <c r="Y264" s="17"/>
    </row>
    <row r="265" ht="18.75" customHeight="1">
      <c r="A265" s="9">
        <v>1418.0</v>
      </c>
      <c r="B265" s="15"/>
      <c r="C265" s="15"/>
      <c r="D265" s="15"/>
      <c r="E265" s="15"/>
      <c r="F265" s="15"/>
      <c r="G265" s="12"/>
      <c r="H265" s="13"/>
      <c r="I265" s="11"/>
      <c r="J265" s="11"/>
      <c r="K265" s="14"/>
      <c r="L265" s="11"/>
      <c r="M265" s="15"/>
      <c r="N265" s="16"/>
      <c r="O265" s="16"/>
      <c r="P265" s="16"/>
      <c r="Q265" s="17"/>
      <c r="R265" s="17"/>
      <c r="S265" s="17"/>
      <c r="T265" s="17"/>
      <c r="U265" s="17"/>
      <c r="V265" s="17"/>
      <c r="W265" s="17"/>
      <c r="X265" s="17"/>
      <c r="Y265" s="17"/>
    </row>
    <row r="266" ht="18.75" customHeight="1">
      <c r="A266" s="9">
        <v>1419.0</v>
      </c>
      <c r="B266" s="15"/>
      <c r="C266" s="15"/>
      <c r="D266" s="15"/>
      <c r="E266" s="15"/>
      <c r="F266" s="15"/>
      <c r="G266" s="12"/>
      <c r="H266" s="13"/>
      <c r="I266" s="11"/>
      <c r="J266" s="11"/>
      <c r="K266" s="14"/>
      <c r="L266" s="11"/>
      <c r="M266" s="15"/>
      <c r="N266" s="16"/>
      <c r="O266" s="16"/>
      <c r="P266" s="16"/>
      <c r="Q266" s="17"/>
      <c r="R266" s="17"/>
      <c r="S266" s="17"/>
      <c r="T266" s="17"/>
      <c r="U266" s="17"/>
      <c r="V266" s="17"/>
      <c r="W266" s="17"/>
      <c r="X266" s="17"/>
      <c r="Y266" s="17"/>
    </row>
    <row r="267" ht="18.75" customHeight="1">
      <c r="A267" s="9">
        <v>1420.0</v>
      </c>
      <c r="B267" s="15"/>
      <c r="C267" s="15"/>
      <c r="D267" s="15"/>
      <c r="E267" s="15"/>
      <c r="F267" s="15"/>
      <c r="G267" s="12"/>
      <c r="H267" s="13"/>
      <c r="I267" s="11"/>
      <c r="J267" s="11"/>
      <c r="K267" s="14"/>
      <c r="L267" s="11"/>
      <c r="M267" s="15"/>
      <c r="N267" s="16"/>
      <c r="O267" s="16"/>
      <c r="P267" s="16"/>
      <c r="Q267" s="17"/>
      <c r="R267" s="17"/>
      <c r="S267" s="17"/>
      <c r="T267" s="17"/>
      <c r="U267" s="17"/>
      <c r="V267" s="17"/>
      <c r="W267" s="17"/>
      <c r="X267" s="17"/>
      <c r="Y267" s="17"/>
    </row>
    <row r="268" ht="18.75" customHeight="1">
      <c r="A268" s="9">
        <v>1421.0</v>
      </c>
      <c r="B268" s="15"/>
      <c r="C268" s="15"/>
      <c r="D268" s="15"/>
      <c r="E268" s="15"/>
      <c r="F268" s="15"/>
      <c r="G268" s="12"/>
      <c r="H268" s="13"/>
      <c r="I268" s="11"/>
      <c r="J268" s="11"/>
      <c r="K268" s="14"/>
      <c r="L268" s="11"/>
      <c r="M268" s="15"/>
      <c r="N268" s="16"/>
      <c r="O268" s="16"/>
      <c r="P268" s="16"/>
      <c r="Q268" s="17"/>
      <c r="R268" s="17"/>
      <c r="S268" s="17"/>
      <c r="T268" s="17"/>
      <c r="U268" s="17"/>
      <c r="V268" s="17"/>
      <c r="W268" s="17"/>
      <c r="X268" s="17"/>
      <c r="Y268" s="17"/>
    </row>
    <row r="269" ht="18.75" customHeight="1">
      <c r="A269" s="9">
        <v>1422.0</v>
      </c>
      <c r="B269" s="15"/>
      <c r="C269" s="15"/>
      <c r="D269" s="15"/>
      <c r="E269" s="15"/>
      <c r="F269" s="15"/>
      <c r="G269" s="12"/>
      <c r="H269" s="13"/>
      <c r="I269" s="11"/>
      <c r="J269" s="11"/>
      <c r="K269" s="14"/>
      <c r="L269" s="11"/>
      <c r="M269" s="15"/>
      <c r="N269" s="16"/>
      <c r="O269" s="16"/>
      <c r="P269" s="16"/>
      <c r="Q269" s="17"/>
      <c r="R269" s="17"/>
      <c r="S269" s="17"/>
      <c r="T269" s="17"/>
      <c r="U269" s="17"/>
      <c r="V269" s="17"/>
      <c r="W269" s="17"/>
      <c r="X269" s="17"/>
      <c r="Y269" s="17"/>
    </row>
    <row r="270" ht="18.75" customHeight="1">
      <c r="A270" s="9">
        <v>1423.0</v>
      </c>
      <c r="B270" s="15"/>
      <c r="C270" s="15"/>
      <c r="D270" s="15"/>
      <c r="E270" s="15"/>
      <c r="F270" s="15"/>
      <c r="G270" s="12"/>
      <c r="H270" s="13"/>
      <c r="I270" s="11"/>
      <c r="J270" s="11"/>
      <c r="K270" s="14"/>
      <c r="L270" s="11"/>
      <c r="M270" s="15"/>
      <c r="N270" s="16"/>
      <c r="O270" s="16"/>
      <c r="P270" s="16"/>
      <c r="Q270" s="17"/>
      <c r="R270" s="17"/>
      <c r="S270" s="17"/>
      <c r="T270" s="17"/>
      <c r="U270" s="17"/>
      <c r="V270" s="17"/>
      <c r="W270" s="17"/>
      <c r="X270" s="17"/>
      <c r="Y270" s="17"/>
    </row>
    <row r="271" ht="18.75" customHeight="1">
      <c r="A271" s="9">
        <v>1424.0</v>
      </c>
      <c r="B271" s="15"/>
      <c r="C271" s="15"/>
      <c r="D271" s="15"/>
      <c r="E271" s="15"/>
      <c r="F271" s="15"/>
      <c r="G271" s="12"/>
      <c r="H271" s="13"/>
      <c r="I271" s="11"/>
      <c r="J271" s="11"/>
      <c r="K271" s="14"/>
      <c r="L271" s="11"/>
      <c r="M271" s="15"/>
      <c r="N271" s="16"/>
      <c r="O271" s="16"/>
      <c r="P271" s="16"/>
      <c r="Q271" s="17"/>
      <c r="R271" s="17"/>
      <c r="S271" s="17"/>
      <c r="T271" s="17"/>
      <c r="U271" s="17"/>
      <c r="V271" s="17"/>
      <c r="W271" s="17"/>
      <c r="X271" s="17"/>
      <c r="Y271" s="17"/>
    </row>
    <row r="272" ht="18.75" customHeight="1">
      <c r="A272" s="9">
        <v>1425.0</v>
      </c>
      <c r="B272" s="15"/>
      <c r="C272" s="15"/>
      <c r="D272" s="15"/>
      <c r="E272" s="15"/>
      <c r="F272" s="15"/>
      <c r="G272" s="12"/>
      <c r="H272" s="13"/>
      <c r="I272" s="11"/>
      <c r="J272" s="11"/>
      <c r="K272" s="14"/>
      <c r="L272" s="11"/>
      <c r="M272" s="15"/>
      <c r="N272" s="16"/>
      <c r="O272" s="16"/>
      <c r="P272" s="16"/>
      <c r="Q272" s="17"/>
      <c r="R272" s="17"/>
      <c r="S272" s="17"/>
      <c r="T272" s="17"/>
      <c r="U272" s="17"/>
      <c r="V272" s="17"/>
      <c r="W272" s="17"/>
      <c r="X272" s="17"/>
      <c r="Y272" s="17"/>
    </row>
    <row r="273" ht="18.75" customHeight="1">
      <c r="A273" s="9">
        <v>1426.0</v>
      </c>
      <c r="B273" s="15"/>
      <c r="C273" s="15"/>
      <c r="D273" s="15"/>
      <c r="E273" s="15"/>
      <c r="F273" s="15"/>
      <c r="G273" s="12"/>
      <c r="H273" s="13"/>
      <c r="I273" s="11"/>
      <c r="J273" s="11"/>
      <c r="K273" s="14"/>
      <c r="L273" s="11"/>
      <c r="M273" s="15"/>
      <c r="N273" s="16"/>
      <c r="O273" s="16"/>
      <c r="P273" s="16"/>
      <c r="Q273" s="17"/>
      <c r="R273" s="17"/>
      <c r="S273" s="17"/>
      <c r="T273" s="17"/>
      <c r="U273" s="17"/>
      <c r="V273" s="17"/>
      <c r="W273" s="17"/>
      <c r="X273" s="17"/>
      <c r="Y273" s="17"/>
    </row>
    <row r="274" ht="18.75" customHeight="1">
      <c r="A274" s="9">
        <v>1427.0</v>
      </c>
      <c r="B274" s="15"/>
      <c r="C274" s="15"/>
      <c r="D274" s="15"/>
      <c r="E274" s="15"/>
      <c r="F274" s="15"/>
      <c r="G274" s="12"/>
      <c r="H274" s="13"/>
      <c r="I274" s="11"/>
      <c r="J274" s="11"/>
      <c r="K274" s="14"/>
      <c r="L274" s="11"/>
      <c r="M274" s="15"/>
      <c r="N274" s="16"/>
      <c r="O274" s="16"/>
      <c r="P274" s="16"/>
      <c r="Q274" s="17"/>
      <c r="R274" s="17"/>
      <c r="S274" s="17"/>
      <c r="T274" s="17"/>
      <c r="U274" s="17"/>
      <c r="V274" s="17"/>
      <c r="W274" s="17"/>
      <c r="X274" s="17"/>
      <c r="Y274" s="17"/>
    </row>
    <row r="275" ht="18.75" customHeight="1">
      <c r="A275" s="9">
        <v>1428.0</v>
      </c>
      <c r="B275" s="15"/>
      <c r="C275" s="15"/>
      <c r="D275" s="15"/>
      <c r="E275" s="15"/>
      <c r="F275" s="15"/>
      <c r="G275" s="12"/>
      <c r="H275" s="13"/>
      <c r="I275" s="11"/>
      <c r="J275" s="11"/>
      <c r="K275" s="14"/>
      <c r="L275" s="11"/>
      <c r="M275" s="15"/>
      <c r="N275" s="16"/>
      <c r="O275" s="16"/>
      <c r="P275" s="16"/>
      <c r="Q275" s="17"/>
      <c r="R275" s="17"/>
      <c r="S275" s="17"/>
      <c r="T275" s="17"/>
      <c r="U275" s="17"/>
      <c r="V275" s="17"/>
      <c r="W275" s="17"/>
      <c r="X275" s="17"/>
      <c r="Y275" s="17"/>
    </row>
    <row r="276" ht="18.75" customHeight="1">
      <c r="A276" s="9">
        <v>1429.0</v>
      </c>
      <c r="B276" s="15"/>
      <c r="C276" s="15"/>
      <c r="D276" s="15"/>
      <c r="E276" s="15"/>
      <c r="F276" s="15"/>
      <c r="G276" s="12"/>
      <c r="H276" s="13"/>
      <c r="I276" s="11"/>
      <c r="J276" s="11"/>
      <c r="K276" s="14"/>
      <c r="L276" s="11"/>
      <c r="M276" s="15"/>
      <c r="N276" s="16"/>
      <c r="O276" s="16"/>
      <c r="P276" s="16"/>
      <c r="Q276" s="17"/>
      <c r="R276" s="17"/>
      <c r="S276" s="17"/>
      <c r="T276" s="17"/>
      <c r="U276" s="17"/>
      <c r="V276" s="17"/>
      <c r="W276" s="17"/>
      <c r="X276" s="17"/>
      <c r="Y276" s="17"/>
    </row>
    <row r="277" ht="18.75" customHeight="1">
      <c r="A277" s="9">
        <v>1430.0</v>
      </c>
      <c r="B277" s="15"/>
      <c r="C277" s="15"/>
      <c r="D277" s="15"/>
      <c r="E277" s="15"/>
      <c r="F277" s="15"/>
      <c r="G277" s="12"/>
      <c r="H277" s="13"/>
      <c r="I277" s="11"/>
      <c r="J277" s="11"/>
      <c r="K277" s="14"/>
      <c r="L277" s="11"/>
      <c r="M277" s="15"/>
      <c r="N277" s="16"/>
      <c r="O277" s="16"/>
      <c r="P277" s="16"/>
      <c r="Q277" s="17"/>
      <c r="R277" s="17"/>
      <c r="S277" s="17"/>
      <c r="T277" s="17"/>
      <c r="U277" s="17"/>
      <c r="V277" s="17"/>
      <c r="W277" s="17"/>
      <c r="X277" s="17"/>
      <c r="Y277" s="17"/>
    </row>
    <row r="278" ht="18.75" customHeight="1">
      <c r="A278" s="9">
        <v>1431.0</v>
      </c>
      <c r="B278" s="15"/>
      <c r="C278" s="15"/>
      <c r="D278" s="15"/>
      <c r="E278" s="15"/>
      <c r="F278" s="15"/>
      <c r="G278" s="12"/>
      <c r="H278" s="13"/>
      <c r="I278" s="11"/>
      <c r="J278" s="11"/>
      <c r="K278" s="14"/>
      <c r="L278" s="11"/>
      <c r="M278" s="15"/>
      <c r="N278" s="16"/>
      <c r="O278" s="16"/>
      <c r="P278" s="16"/>
      <c r="Q278" s="17"/>
      <c r="R278" s="17"/>
      <c r="S278" s="17"/>
      <c r="T278" s="17"/>
      <c r="U278" s="17"/>
      <c r="V278" s="17"/>
      <c r="W278" s="17"/>
      <c r="X278" s="17"/>
      <c r="Y278" s="17"/>
    </row>
    <row r="279" ht="18.75" customHeight="1">
      <c r="A279" s="9">
        <v>1432.0</v>
      </c>
      <c r="B279" s="15"/>
      <c r="C279" s="15"/>
      <c r="D279" s="15"/>
      <c r="E279" s="15"/>
      <c r="F279" s="15"/>
      <c r="G279" s="12"/>
      <c r="H279" s="13"/>
      <c r="I279" s="11"/>
      <c r="J279" s="11"/>
      <c r="K279" s="14"/>
      <c r="L279" s="11"/>
      <c r="M279" s="15"/>
      <c r="N279" s="16"/>
      <c r="O279" s="16"/>
      <c r="P279" s="16"/>
      <c r="Q279" s="17"/>
      <c r="R279" s="17"/>
      <c r="S279" s="17"/>
      <c r="T279" s="17"/>
      <c r="U279" s="17"/>
      <c r="V279" s="17"/>
      <c r="W279" s="17"/>
      <c r="X279" s="17"/>
      <c r="Y279" s="17"/>
    </row>
    <row r="280" ht="18.75" customHeight="1">
      <c r="A280" s="9">
        <v>1433.0</v>
      </c>
      <c r="B280" s="15"/>
      <c r="C280" s="15"/>
      <c r="D280" s="15"/>
      <c r="E280" s="15"/>
      <c r="F280" s="15"/>
      <c r="G280" s="12"/>
      <c r="H280" s="13"/>
      <c r="I280" s="11"/>
      <c r="J280" s="11"/>
      <c r="K280" s="14"/>
      <c r="L280" s="11"/>
      <c r="M280" s="15"/>
      <c r="N280" s="16"/>
      <c r="O280" s="16"/>
      <c r="P280" s="16"/>
      <c r="Q280" s="17"/>
      <c r="R280" s="17"/>
      <c r="S280" s="17"/>
      <c r="T280" s="17"/>
      <c r="U280" s="17"/>
      <c r="V280" s="17"/>
      <c r="W280" s="17"/>
      <c r="X280" s="17"/>
      <c r="Y280" s="17"/>
    </row>
    <row r="281" ht="18.75" customHeight="1">
      <c r="A281" s="9">
        <v>1434.0</v>
      </c>
      <c r="B281" s="15"/>
      <c r="C281" s="15"/>
      <c r="D281" s="15"/>
      <c r="E281" s="15"/>
      <c r="F281" s="15"/>
      <c r="G281" s="12"/>
      <c r="H281" s="13"/>
      <c r="I281" s="11"/>
      <c r="J281" s="11"/>
      <c r="K281" s="14"/>
      <c r="L281" s="11"/>
      <c r="M281" s="15"/>
      <c r="N281" s="16"/>
      <c r="O281" s="16"/>
      <c r="P281" s="16"/>
      <c r="Q281" s="17"/>
      <c r="R281" s="17"/>
      <c r="S281" s="17"/>
      <c r="T281" s="17"/>
      <c r="U281" s="17"/>
      <c r="V281" s="17"/>
      <c r="W281" s="17"/>
      <c r="X281" s="17"/>
      <c r="Y281" s="17"/>
    </row>
    <row r="282" ht="18.75" customHeight="1">
      <c r="A282" s="9">
        <v>1435.0</v>
      </c>
      <c r="B282" s="15"/>
      <c r="C282" s="15"/>
      <c r="D282" s="15"/>
      <c r="E282" s="15"/>
      <c r="F282" s="15"/>
      <c r="G282" s="12"/>
      <c r="H282" s="13"/>
      <c r="I282" s="11"/>
      <c r="J282" s="11"/>
      <c r="K282" s="14"/>
      <c r="L282" s="11"/>
      <c r="M282" s="15"/>
      <c r="N282" s="16"/>
      <c r="O282" s="16"/>
      <c r="P282" s="16"/>
      <c r="Q282" s="17"/>
      <c r="R282" s="17"/>
      <c r="S282" s="17"/>
      <c r="T282" s="17"/>
      <c r="U282" s="17"/>
      <c r="V282" s="17"/>
      <c r="W282" s="17"/>
      <c r="X282" s="17"/>
      <c r="Y282" s="17"/>
    </row>
    <row r="283" ht="18.75" customHeight="1">
      <c r="A283" s="9">
        <v>1436.0</v>
      </c>
      <c r="B283" s="15"/>
      <c r="C283" s="15"/>
      <c r="D283" s="15"/>
      <c r="E283" s="15"/>
      <c r="F283" s="15"/>
      <c r="G283" s="12"/>
      <c r="H283" s="13"/>
      <c r="I283" s="11"/>
      <c r="J283" s="11"/>
      <c r="K283" s="14"/>
      <c r="L283" s="11"/>
      <c r="M283" s="15"/>
      <c r="N283" s="16"/>
      <c r="O283" s="16"/>
      <c r="P283" s="16"/>
      <c r="Q283" s="17"/>
      <c r="R283" s="17"/>
      <c r="S283" s="17"/>
      <c r="T283" s="17"/>
      <c r="U283" s="17"/>
      <c r="V283" s="17"/>
      <c r="W283" s="17"/>
      <c r="X283" s="17"/>
      <c r="Y283" s="17"/>
    </row>
    <row r="284" ht="18.75" customHeight="1">
      <c r="A284" s="9">
        <v>1437.0</v>
      </c>
      <c r="B284" s="15"/>
      <c r="C284" s="15"/>
      <c r="D284" s="15"/>
      <c r="E284" s="15"/>
      <c r="F284" s="15"/>
      <c r="G284" s="12"/>
      <c r="H284" s="13"/>
      <c r="I284" s="11"/>
      <c r="J284" s="11"/>
      <c r="K284" s="14"/>
      <c r="L284" s="11"/>
      <c r="M284" s="15"/>
      <c r="N284" s="16"/>
      <c r="O284" s="16"/>
      <c r="P284" s="16"/>
      <c r="Q284" s="17"/>
      <c r="R284" s="17"/>
      <c r="S284" s="17"/>
      <c r="T284" s="17"/>
      <c r="U284" s="17"/>
      <c r="V284" s="17"/>
      <c r="W284" s="17"/>
      <c r="X284" s="17"/>
      <c r="Y284" s="17"/>
    </row>
    <row r="285" ht="18.75" customHeight="1">
      <c r="A285" s="9">
        <v>1438.0</v>
      </c>
      <c r="B285" s="15"/>
      <c r="C285" s="15"/>
      <c r="D285" s="15"/>
      <c r="E285" s="15"/>
      <c r="F285" s="15"/>
      <c r="G285" s="12"/>
      <c r="H285" s="13"/>
      <c r="I285" s="11"/>
      <c r="J285" s="11"/>
      <c r="K285" s="14"/>
      <c r="L285" s="11"/>
      <c r="M285" s="15"/>
      <c r="N285" s="16"/>
      <c r="O285" s="16"/>
      <c r="P285" s="16"/>
      <c r="Q285" s="17"/>
      <c r="R285" s="17"/>
      <c r="S285" s="17"/>
      <c r="T285" s="17"/>
      <c r="U285" s="17"/>
      <c r="V285" s="17"/>
      <c r="W285" s="17"/>
      <c r="X285" s="17"/>
      <c r="Y285" s="17"/>
    </row>
    <row r="286" ht="18.75" customHeight="1">
      <c r="A286" s="9">
        <v>1439.0</v>
      </c>
      <c r="B286" s="15"/>
      <c r="C286" s="15"/>
      <c r="D286" s="15"/>
      <c r="E286" s="15"/>
      <c r="F286" s="15"/>
      <c r="G286" s="12"/>
      <c r="H286" s="13"/>
      <c r="I286" s="11"/>
      <c r="J286" s="11"/>
      <c r="K286" s="14"/>
      <c r="L286" s="11"/>
      <c r="M286" s="15"/>
      <c r="N286" s="16"/>
      <c r="O286" s="16"/>
      <c r="P286" s="16"/>
      <c r="Q286" s="17"/>
      <c r="R286" s="17"/>
      <c r="S286" s="17"/>
      <c r="T286" s="17"/>
      <c r="U286" s="17"/>
      <c r="V286" s="17"/>
      <c r="W286" s="17"/>
      <c r="X286" s="17"/>
      <c r="Y286" s="17"/>
    </row>
    <row r="287" ht="18.75" customHeight="1">
      <c r="A287" s="9">
        <v>1440.0</v>
      </c>
      <c r="B287" s="15"/>
      <c r="C287" s="15"/>
      <c r="D287" s="15"/>
      <c r="E287" s="15"/>
      <c r="F287" s="15"/>
      <c r="G287" s="12"/>
      <c r="H287" s="13"/>
      <c r="I287" s="11"/>
      <c r="J287" s="11"/>
      <c r="K287" s="14"/>
      <c r="L287" s="11"/>
      <c r="M287" s="15"/>
      <c r="N287" s="16"/>
      <c r="O287" s="16"/>
      <c r="P287" s="16"/>
      <c r="Q287" s="17"/>
      <c r="R287" s="17"/>
      <c r="S287" s="17"/>
      <c r="T287" s="17"/>
      <c r="U287" s="17"/>
      <c r="V287" s="17"/>
      <c r="W287" s="17"/>
      <c r="X287" s="17"/>
      <c r="Y287" s="17"/>
    </row>
    <row r="288" ht="18.75" customHeight="1">
      <c r="A288" s="9">
        <v>1441.0</v>
      </c>
      <c r="B288" s="15"/>
      <c r="C288" s="15"/>
      <c r="D288" s="15"/>
      <c r="E288" s="15"/>
      <c r="F288" s="15"/>
      <c r="G288" s="12"/>
      <c r="H288" s="13"/>
      <c r="I288" s="11"/>
      <c r="J288" s="11"/>
      <c r="K288" s="14"/>
      <c r="L288" s="11"/>
      <c r="M288" s="15"/>
      <c r="N288" s="16"/>
      <c r="O288" s="16"/>
      <c r="P288" s="16"/>
      <c r="Q288" s="17"/>
      <c r="R288" s="17"/>
      <c r="S288" s="17"/>
      <c r="T288" s="17"/>
      <c r="U288" s="17"/>
      <c r="V288" s="17"/>
      <c r="W288" s="17"/>
      <c r="X288" s="17"/>
      <c r="Y288" s="17"/>
    </row>
    <row r="289" ht="18.75" customHeight="1">
      <c r="A289" s="9">
        <v>1442.0</v>
      </c>
      <c r="B289" s="15"/>
      <c r="C289" s="15"/>
      <c r="D289" s="15"/>
      <c r="E289" s="15"/>
      <c r="F289" s="15"/>
      <c r="G289" s="12"/>
      <c r="H289" s="13"/>
      <c r="I289" s="11"/>
      <c r="J289" s="11"/>
      <c r="K289" s="14"/>
      <c r="L289" s="11"/>
      <c r="M289" s="15"/>
      <c r="N289" s="16"/>
      <c r="O289" s="16"/>
      <c r="P289" s="16"/>
      <c r="Q289" s="17"/>
      <c r="R289" s="17"/>
      <c r="S289" s="17"/>
      <c r="T289" s="17"/>
      <c r="U289" s="17"/>
      <c r="V289" s="17"/>
      <c r="W289" s="17"/>
      <c r="X289" s="17"/>
      <c r="Y289" s="17"/>
    </row>
    <row r="290" ht="18.75" customHeight="1">
      <c r="A290" s="9">
        <v>1443.0</v>
      </c>
      <c r="B290" s="15"/>
      <c r="C290" s="15"/>
      <c r="D290" s="15"/>
      <c r="E290" s="15"/>
      <c r="F290" s="15"/>
      <c r="G290" s="12"/>
      <c r="H290" s="13"/>
      <c r="I290" s="11"/>
      <c r="J290" s="11"/>
      <c r="K290" s="14"/>
      <c r="L290" s="11"/>
      <c r="M290" s="15"/>
      <c r="N290" s="16"/>
      <c r="O290" s="16"/>
      <c r="P290" s="16"/>
      <c r="Q290" s="17"/>
      <c r="R290" s="17"/>
      <c r="S290" s="17"/>
      <c r="T290" s="17"/>
      <c r="U290" s="17"/>
      <c r="V290" s="17"/>
      <c r="W290" s="17"/>
      <c r="X290" s="17"/>
      <c r="Y290" s="17"/>
    </row>
    <row r="291" ht="18.75" customHeight="1">
      <c r="A291" s="9">
        <v>1444.0</v>
      </c>
      <c r="B291" s="15"/>
      <c r="C291" s="15"/>
      <c r="D291" s="15"/>
      <c r="E291" s="15"/>
      <c r="F291" s="15"/>
      <c r="G291" s="12"/>
      <c r="H291" s="13"/>
      <c r="I291" s="11"/>
      <c r="J291" s="11"/>
      <c r="K291" s="14"/>
      <c r="L291" s="11"/>
      <c r="M291" s="15"/>
      <c r="N291" s="16"/>
      <c r="O291" s="16"/>
      <c r="P291" s="16"/>
      <c r="Q291" s="17"/>
      <c r="R291" s="17"/>
      <c r="S291" s="17"/>
      <c r="T291" s="17"/>
      <c r="U291" s="17"/>
      <c r="V291" s="17"/>
      <c r="W291" s="17"/>
      <c r="X291" s="17"/>
      <c r="Y291" s="17"/>
    </row>
    <row r="292" ht="18.75" customHeight="1">
      <c r="A292" s="9">
        <v>1445.0</v>
      </c>
      <c r="B292" s="15"/>
      <c r="C292" s="15"/>
      <c r="D292" s="15"/>
      <c r="E292" s="15"/>
      <c r="F292" s="15"/>
      <c r="G292" s="12"/>
      <c r="H292" s="13"/>
      <c r="I292" s="11"/>
      <c r="J292" s="11"/>
      <c r="K292" s="14"/>
      <c r="L292" s="11"/>
      <c r="M292" s="15"/>
      <c r="N292" s="16"/>
      <c r="O292" s="16"/>
      <c r="P292" s="16"/>
      <c r="Q292" s="17"/>
      <c r="R292" s="17"/>
      <c r="S292" s="17"/>
      <c r="T292" s="17"/>
      <c r="U292" s="17"/>
      <c r="V292" s="17"/>
      <c r="W292" s="17"/>
      <c r="X292" s="17"/>
      <c r="Y292" s="17"/>
    </row>
    <row r="293" ht="18.75" customHeight="1">
      <c r="A293" s="9">
        <v>1446.0</v>
      </c>
      <c r="B293" s="15"/>
      <c r="C293" s="15"/>
      <c r="D293" s="15"/>
      <c r="E293" s="15"/>
      <c r="F293" s="15"/>
      <c r="G293" s="12"/>
      <c r="H293" s="13"/>
      <c r="I293" s="11"/>
      <c r="J293" s="11"/>
      <c r="K293" s="14"/>
      <c r="L293" s="11"/>
      <c r="M293" s="15"/>
      <c r="N293" s="16"/>
      <c r="O293" s="16"/>
      <c r="P293" s="16"/>
      <c r="Q293" s="17"/>
      <c r="R293" s="17"/>
      <c r="S293" s="17"/>
      <c r="T293" s="17"/>
      <c r="U293" s="17"/>
      <c r="V293" s="17"/>
      <c r="W293" s="17"/>
      <c r="X293" s="17"/>
      <c r="Y293" s="17"/>
    </row>
    <row r="294" ht="18.75" customHeight="1">
      <c r="A294" s="9">
        <v>1447.0</v>
      </c>
      <c r="B294" s="15"/>
      <c r="C294" s="15"/>
      <c r="D294" s="15"/>
      <c r="E294" s="15"/>
      <c r="F294" s="15"/>
      <c r="G294" s="12"/>
      <c r="H294" s="13"/>
      <c r="I294" s="11"/>
      <c r="J294" s="11"/>
      <c r="K294" s="14"/>
      <c r="L294" s="11"/>
      <c r="M294" s="15"/>
      <c r="N294" s="16"/>
      <c r="O294" s="16"/>
      <c r="P294" s="16"/>
      <c r="Q294" s="17"/>
      <c r="R294" s="17"/>
      <c r="S294" s="17"/>
      <c r="T294" s="17"/>
      <c r="U294" s="17"/>
      <c r="V294" s="17"/>
      <c r="W294" s="17"/>
      <c r="X294" s="17"/>
      <c r="Y294" s="17"/>
    </row>
    <row r="295" ht="18.75" customHeight="1">
      <c r="A295" s="9">
        <v>1448.0</v>
      </c>
      <c r="B295" s="15"/>
      <c r="C295" s="15"/>
      <c r="D295" s="15"/>
      <c r="E295" s="15"/>
      <c r="F295" s="15"/>
      <c r="G295" s="12"/>
      <c r="H295" s="13"/>
      <c r="I295" s="11"/>
      <c r="J295" s="11"/>
      <c r="K295" s="14"/>
      <c r="L295" s="11"/>
      <c r="M295" s="15"/>
      <c r="N295" s="16"/>
      <c r="O295" s="16"/>
      <c r="P295" s="16"/>
      <c r="Q295" s="17"/>
      <c r="R295" s="17"/>
      <c r="S295" s="17"/>
      <c r="T295" s="17"/>
      <c r="U295" s="17"/>
      <c r="V295" s="17"/>
      <c r="W295" s="17"/>
      <c r="X295" s="17"/>
      <c r="Y295" s="17"/>
    </row>
    <row r="296" ht="18.75" customHeight="1">
      <c r="A296" s="9">
        <v>1449.0</v>
      </c>
      <c r="B296" s="15"/>
      <c r="C296" s="15"/>
      <c r="D296" s="15"/>
      <c r="E296" s="15"/>
      <c r="F296" s="15"/>
      <c r="G296" s="12"/>
      <c r="H296" s="13"/>
      <c r="I296" s="11"/>
      <c r="J296" s="11"/>
      <c r="K296" s="14"/>
      <c r="L296" s="11"/>
      <c r="M296" s="15"/>
      <c r="N296" s="16"/>
      <c r="O296" s="16"/>
      <c r="P296" s="16"/>
      <c r="Q296" s="17"/>
      <c r="R296" s="17"/>
      <c r="S296" s="17"/>
      <c r="T296" s="17"/>
      <c r="U296" s="17"/>
      <c r="V296" s="17"/>
      <c r="W296" s="17"/>
      <c r="X296" s="17"/>
      <c r="Y296" s="17"/>
    </row>
    <row r="297" ht="18.75" customHeight="1">
      <c r="A297" s="9">
        <v>1450.0</v>
      </c>
      <c r="B297" s="15"/>
      <c r="C297" s="15"/>
      <c r="D297" s="15"/>
      <c r="E297" s="15"/>
      <c r="F297" s="15"/>
      <c r="G297" s="12"/>
      <c r="H297" s="13"/>
      <c r="I297" s="11"/>
      <c r="J297" s="11"/>
      <c r="K297" s="14"/>
      <c r="L297" s="11"/>
      <c r="M297" s="15"/>
      <c r="N297" s="16"/>
      <c r="O297" s="16"/>
      <c r="P297" s="16"/>
      <c r="Q297" s="17"/>
      <c r="R297" s="17"/>
      <c r="S297" s="17"/>
      <c r="T297" s="17"/>
      <c r="U297" s="17"/>
      <c r="V297" s="17"/>
      <c r="W297" s="17"/>
      <c r="X297" s="17"/>
      <c r="Y297" s="17"/>
    </row>
    <row r="298" ht="18.75" customHeight="1">
      <c r="A298" s="9">
        <v>1451.0</v>
      </c>
      <c r="B298" s="15"/>
      <c r="C298" s="15"/>
      <c r="D298" s="15"/>
      <c r="E298" s="15"/>
      <c r="F298" s="15"/>
      <c r="G298" s="12"/>
      <c r="H298" s="13"/>
      <c r="I298" s="11"/>
      <c r="J298" s="11"/>
      <c r="K298" s="14"/>
      <c r="L298" s="11"/>
      <c r="M298" s="15"/>
      <c r="N298" s="16"/>
      <c r="O298" s="16"/>
      <c r="P298" s="16"/>
      <c r="Q298" s="17"/>
      <c r="R298" s="17"/>
      <c r="S298" s="17"/>
      <c r="T298" s="17"/>
      <c r="U298" s="17"/>
      <c r="V298" s="17"/>
      <c r="W298" s="17"/>
      <c r="X298" s="17"/>
      <c r="Y298" s="17"/>
    </row>
    <row r="299" ht="18.75" customHeight="1">
      <c r="A299" s="9">
        <v>1452.0</v>
      </c>
      <c r="B299" s="15"/>
      <c r="C299" s="15"/>
      <c r="D299" s="15"/>
      <c r="E299" s="15"/>
      <c r="F299" s="15"/>
      <c r="G299" s="12"/>
      <c r="H299" s="13"/>
      <c r="I299" s="11"/>
      <c r="J299" s="11"/>
      <c r="K299" s="14"/>
      <c r="L299" s="11"/>
      <c r="M299" s="15"/>
      <c r="N299" s="16"/>
      <c r="O299" s="16"/>
      <c r="P299" s="16"/>
      <c r="Q299" s="17"/>
      <c r="R299" s="17"/>
      <c r="S299" s="17"/>
      <c r="T299" s="17"/>
      <c r="U299" s="17"/>
      <c r="V299" s="17"/>
      <c r="W299" s="17"/>
      <c r="X299" s="17"/>
      <c r="Y299" s="17"/>
    </row>
    <row r="300" ht="18.75" customHeight="1">
      <c r="A300" s="9">
        <v>1453.0</v>
      </c>
      <c r="B300" s="15"/>
      <c r="C300" s="15"/>
      <c r="D300" s="15"/>
      <c r="E300" s="15"/>
      <c r="F300" s="15"/>
      <c r="G300" s="12"/>
      <c r="H300" s="13"/>
      <c r="I300" s="11"/>
      <c r="J300" s="11"/>
      <c r="K300" s="14"/>
      <c r="L300" s="11"/>
      <c r="M300" s="15"/>
      <c r="N300" s="16"/>
      <c r="O300" s="16"/>
      <c r="P300" s="16"/>
      <c r="Q300" s="17"/>
      <c r="R300" s="17"/>
      <c r="S300" s="17"/>
      <c r="T300" s="17"/>
      <c r="U300" s="17"/>
      <c r="V300" s="17"/>
      <c r="W300" s="17"/>
      <c r="X300" s="17"/>
      <c r="Y300" s="17"/>
    </row>
    <row r="301" ht="18.75" customHeight="1">
      <c r="A301" s="9">
        <v>1454.0</v>
      </c>
      <c r="B301" s="15"/>
      <c r="C301" s="15"/>
      <c r="D301" s="15"/>
      <c r="E301" s="15"/>
      <c r="F301" s="15"/>
      <c r="G301" s="12"/>
      <c r="H301" s="13"/>
      <c r="I301" s="11"/>
      <c r="J301" s="11"/>
      <c r="K301" s="14"/>
      <c r="L301" s="11"/>
      <c r="M301" s="15"/>
      <c r="N301" s="16"/>
      <c r="O301" s="16"/>
      <c r="P301" s="16"/>
      <c r="Q301" s="17"/>
      <c r="R301" s="17"/>
      <c r="S301" s="17"/>
      <c r="T301" s="17"/>
      <c r="U301" s="17"/>
      <c r="V301" s="17"/>
      <c r="W301" s="17"/>
      <c r="X301" s="17"/>
      <c r="Y301" s="17"/>
    </row>
    <row r="302" ht="18.75" customHeight="1">
      <c r="A302" s="9">
        <v>1455.0</v>
      </c>
      <c r="B302" s="15"/>
      <c r="C302" s="15"/>
      <c r="D302" s="15"/>
      <c r="E302" s="15"/>
      <c r="F302" s="15"/>
      <c r="G302" s="12"/>
      <c r="H302" s="13"/>
      <c r="I302" s="11"/>
      <c r="J302" s="11"/>
      <c r="K302" s="14"/>
      <c r="L302" s="11"/>
      <c r="M302" s="15"/>
      <c r="N302" s="16"/>
      <c r="O302" s="16"/>
      <c r="P302" s="16"/>
      <c r="Q302" s="17"/>
      <c r="R302" s="17"/>
      <c r="S302" s="17"/>
      <c r="T302" s="17"/>
      <c r="U302" s="17"/>
      <c r="V302" s="17"/>
      <c r="W302" s="17"/>
      <c r="X302" s="17"/>
      <c r="Y302" s="17"/>
    </row>
    <row r="303" ht="18.75" customHeight="1">
      <c r="A303" s="9">
        <v>1456.0</v>
      </c>
      <c r="B303" s="15"/>
      <c r="C303" s="15"/>
      <c r="D303" s="15"/>
      <c r="E303" s="15"/>
      <c r="F303" s="15"/>
      <c r="G303" s="12"/>
      <c r="H303" s="13"/>
      <c r="I303" s="11"/>
      <c r="J303" s="11"/>
      <c r="K303" s="14"/>
      <c r="L303" s="11"/>
      <c r="M303" s="15"/>
      <c r="N303" s="16"/>
      <c r="O303" s="16"/>
      <c r="P303" s="16"/>
      <c r="Q303" s="17"/>
      <c r="R303" s="17"/>
      <c r="S303" s="17"/>
      <c r="T303" s="17"/>
      <c r="U303" s="17"/>
      <c r="V303" s="17"/>
      <c r="W303" s="17"/>
      <c r="X303" s="17"/>
      <c r="Y303" s="17"/>
    </row>
    <row r="304" ht="18.75" customHeight="1">
      <c r="A304" s="9">
        <v>1457.0</v>
      </c>
      <c r="B304" s="15"/>
      <c r="C304" s="15"/>
      <c r="D304" s="15"/>
      <c r="E304" s="15"/>
      <c r="F304" s="15"/>
      <c r="G304" s="12"/>
      <c r="H304" s="13"/>
      <c r="I304" s="11"/>
      <c r="J304" s="11"/>
      <c r="K304" s="14"/>
      <c r="L304" s="11"/>
      <c r="M304" s="15"/>
      <c r="N304" s="16"/>
      <c r="O304" s="16"/>
      <c r="P304" s="16"/>
      <c r="Q304" s="17"/>
      <c r="R304" s="17"/>
      <c r="S304" s="17"/>
      <c r="T304" s="17"/>
      <c r="U304" s="17"/>
      <c r="V304" s="17"/>
      <c r="W304" s="17"/>
      <c r="X304" s="17"/>
      <c r="Y304" s="17"/>
    </row>
    <row r="305" ht="18.75" customHeight="1">
      <c r="A305" s="9">
        <v>1458.0</v>
      </c>
      <c r="B305" s="15"/>
      <c r="C305" s="15"/>
      <c r="D305" s="15"/>
      <c r="E305" s="15"/>
      <c r="F305" s="15"/>
      <c r="G305" s="12"/>
      <c r="H305" s="13"/>
      <c r="I305" s="11"/>
      <c r="J305" s="11"/>
      <c r="K305" s="14"/>
      <c r="L305" s="11"/>
      <c r="M305" s="15"/>
      <c r="N305" s="16"/>
      <c r="O305" s="16"/>
      <c r="P305" s="16"/>
      <c r="Q305" s="17"/>
      <c r="R305" s="17"/>
      <c r="S305" s="17"/>
      <c r="T305" s="17"/>
      <c r="U305" s="17"/>
      <c r="V305" s="17"/>
      <c r="W305" s="17"/>
      <c r="X305" s="17"/>
      <c r="Y305" s="17"/>
    </row>
    <row r="306" ht="18.75" customHeight="1">
      <c r="A306" s="9">
        <v>1459.0</v>
      </c>
      <c r="B306" s="15"/>
      <c r="C306" s="15"/>
      <c r="D306" s="15"/>
      <c r="E306" s="15"/>
      <c r="F306" s="15"/>
      <c r="G306" s="12"/>
      <c r="H306" s="13"/>
      <c r="I306" s="11"/>
      <c r="J306" s="11"/>
      <c r="K306" s="14"/>
      <c r="L306" s="11"/>
      <c r="M306" s="15"/>
      <c r="N306" s="16"/>
      <c r="O306" s="16"/>
      <c r="P306" s="16"/>
      <c r="Q306" s="17"/>
      <c r="R306" s="17"/>
      <c r="S306" s="17"/>
      <c r="T306" s="17"/>
      <c r="U306" s="17"/>
      <c r="V306" s="17"/>
      <c r="W306" s="17"/>
      <c r="X306" s="17"/>
      <c r="Y306" s="17"/>
    </row>
    <row r="307" ht="18.75" customHeight="1">
      <c r="A307" s="9">
        <v>1460.0</v>
      </c>
      <c r="B307" s="15"/>
      <c r="C307" s="15"/>
      <c r="D307" s="15"/>
      <c r="E307" s="15"/>
      <c r="F307" s="15"/>
      <c r="G307" s="12"/>
      <c r="H307" s="13"/>
      <c r="I307" s="11"/>
      <c r="J307" s="11"/>
      <c r="K307" s="14"/>
      <c r="L307" s="11"/>
      <c r="M307" s="15"/>
      <c r="N307" s="16"/>
      <c r="O307" s="16"/>
      <c r="P307" s="16"/>
      <c r="Q307" s="17"/>
      <c r="R307" s="17"/>
      <c r="S307" s="17"/>
      <c r="T307" s="17"/>
      <c r="U307" s="17"/>
      <c r="V307" s="17"/>
      <c r="W307" s="17"/>
      <c r="X307" s="17"/>
      <c r="Y307" s="17"/>
    </row>
    <row r="308" ht="18.75" customHeight="1">
      <c r="A308" s="9">
        <v>1461.0</v>
      </c>
      <c r="B308" s="15"/>
      <c r="C308" s="15"/>
      <c r="D308" s="15"/>
      <c r="E308" s="15"/>
      <c r="F308" s="15"/>
      <c r="G308" s="12"/>
      <c r="H308" s="13"/>
      <c r="I308" s="11"/>
      <c r="J308" s="11"/>
      <c r="K308" s="14"/>
      <c r="L308" s="11"/>
      <c r="M308" s="15"/>
      <c r="N308" s="16"/>
      <c r="O308" s="16"/>
      <c r="P308" s="16"/>
      <c r="Q308" s="17"/>
      <c r="R308" s="17"/>
      <c r="S308" s="17"/>
      <c r="T308" s="17"/>
      <c r="U308" s="17"/>
      <c r="V308" s="17"/>
      <c r="W308" s="17"/>
      <c r="X308" s="17"/>
      <c r="Y308" s="17"/>
    </row>
    <row r="309" ht="18.75" customHeight="1">
      <c r="A309" s="9">
        <v>1462.0</v>
      </c>
      <c r="B309" s="15"/>
      <c r="C309" s="15"/>
      <c r="D309" s="15"/>
      <c r="E309" s="15"/>
      <c r="F309" s="15"/>
      <c r="G309" s="12"/>
      <c r="H309" s="13"/>
      <c r="I309" s="11"/>
      <c r="J309" s="11"/>
      <c r="K309" s="14"/>
      <c r="L309" s="11"/>
      <c r="M309" s="15"/>
      <c r="N309" s="16"/>
      <c r="O309" s="16"/>
      <c r="P309" s="16"/>
      <c r="Q309" s="17"/>
      <c r="R309" s="17"/>
      <c r="S309" s="17"/>
      <c r="T309" s="17"/>
      <c r="U309" s="17"/>
      <c r="V309" s="17"/>
      <c r="W309" s="17"/>
      <c r="X309" s="17"/>
      <c r="Y309" s="17"/>
    </row>
    <row r="310" ht="18.75" customHeight="1">
      <c r="A310" s="9">
        <v>1463.0</v>
      </c>
      <c r="B310" s="15"/>
      <c r="C310" s="15"/>
      <c r="D310" s="15"/>
      <c r="E310" s="15"/>
      <c r="F310" s="15"/>
      <c r="G310" s="12"/>
      <c r="H310" s="13"/>
      <c r="I310" s="11"/>
      <c r="J310" s="11"/>
      <c r="K310" s="14"/>
      <c r="L310" s="11"/>
      <c r="M310" s="15"/>
      <c r="N310" s="16"/>
      <c r="O310" s="16"/>
      <c r="P310" s="16"/>
      <c r="Q310" s="17"/>
      <c r="R310" s="17"/>
      <c r="S310" s="17"/>
      <c r="T310" s="17"/>
      <c r="U310" s="17"/>
      <c r="V310" s="17"/>
      <c r="W310" s="17"/>
      <c r="X310" s="17"/>
      <c r="Y310" s="17"/>
    </row>
    <row r="311" ht="18.75" customHeight="1">
      <c r="A311" s="9">
        <v>1464.0</v>
      </c>
      <c r="B311" s="15"/>
      <c r="C311" s="15"/>
      <c r="D311" s="15"/>
      <c r="E311" s="15"/>
      <c r="F311" s="15"/>
      <c r="G311" s="12"/>
      <c r="H311" s="13"/>
      <c r="I311" s="11"/>
      <c r="J311" s="11"/>
      <c r="K311" s="14"/>
      <c r="L311" s="11"/>
      <c r="M311" s="15"/>
      <c r="N311" s="16"/>
      <c r="O311" s="16"/>
      <c r="P311" s="16"/>
      <c r="Q311" s="17"/>
      <c r="R311" s="17"/>
      <c r="S311" s="17"/>
      <c r="T311" s="17"/>
      <c r="U311" s="17"/>
      <c r="V311" s="17"/>
      <c r="W311" s="17"/>
      <c r="X311" s="17"/>
      <c r="Y311" s="17"/>
    </row>
    <row r="312" ht="18.75" customHeight="1">
      <c r="A312" s="9">
        <v>1465.0</v>
      </c>
      <c r="B312" s="15"/>
      <c r="C312" s="15"/>
      <c r="D312" s="15"/>
      <c r="E312" s="15"/>
      <c r="F312" s="15"/>
      <c r="G312" s="12"/>
      <c r="H312" s="13"/>
      <c r="I312" s="11"/>
      <c r="J312" s="11"/>
      <c r="K312" s="14"/>
      <c r="L312" s="11"/>
      <c r="M312" s="15"/>
      <c r="N312" s="16"/>
      <c r="O312" s="16"/>
      <c r="P312" s="16"/>
      <c r="Q312" s="17"/>
      <c r="R312" s="17"/>
      <c r="S312" s="17"/>
      <c r="T312" s="17"/>
      <c r="U312" s="17"/>
      <c r="V312" s="17"/>
      <c r="W312" s="17"/>
      <c r="X312" s="17"/>
      <c r="Y312" s="17"/>
    </row>
    <row r="313" ht="18.75" customHeight="1">
      <c r="A313" s="9">
        <v>1466.0</v>
      </c>
      <c r="B313" s="15"/>
      <c r="C313" s="15"/>
      <c r="D313" s="15"/>
      <c r="E313" s="15"/>
      <c r="F313" s="15"/>
      <c r="G313" s="12"/>
      <c r="H313" s="13"/>
      <c r="I313" s="11"/>
      <c r="J313" s="11"/>
      <c r="K313" s="14"/>
      <c r="L313" s="11"/>
      <c r="M313" s="15"/>
      <c r="N313" s="16"/>
      <c r="O313" s="16"/>
      <c r="P313" s="16"/>
      <c r="Q313" s="17"/>
      <c r="R313" s="17"/>
      <c r="S313" s="17"/>
      <c r="T313" s="17"/>
      <c r="U313" s="17"/>
      <c r="V313" s="17"/>
      <c r="W313" s="17"/>
      <c r="X313" s="17"/>
      <c r="Y313" s="17"/>
    </row>
    <row r="314" ht="18.75" customHeight="1">
      <c r="A314" s="9">
        <v>1467.0</v>
      </c>
      <c r="B314" s="15"/>
      <c r="C314" s="15"/>
      <c r="D314" s="15"/>
      <c r="E314" s="15"/>
      <c r="F314" s="15"/>
      <c r="G314" s="12"/>
      <c r="H314" s="13"/>
      <c r="I314" s="11"/>
      <c r="J314" s="11"/>
      <c r="K314" s="14"/>
      <c r="L314" s="11"/>
      <c r="M314" s="15"/>
      <c r="N314" s="16"/>
      <c r="O314" s="16"/>
      <c r="P314" s="16"/>
      <c r="Q314" s="17"/>
      <c r="R314" s="17"/>
      <c r="S314" s="17"/>
      <c r="T314" s="17"/>
      <c r="U314" s="17"/>
      <c r="V314" s="17"/>
      <c r="W314" s="17"/>
      <c r="X314" s="17"/>
      <c r="Y314" s="17"/>
    </row>
    <row r="315" ht="18.75" customHeight="1">
      <c r="A315" s="9">
        <v>1468.0</v>
      </c>
      <c r="B315" s="15"/>
      <c r="C315" s="15"/>
      <c r="D315" s="15"/>
      <c r="E315" s="15"/>
      <c r="F315" s="15"/>
      <c r="G315" s="12"/>
      <c r="H315" s="13"/>
      <c r="I315" s="11"/>
      <c r="J315" s="11"/>
      <c r="K315" s="14"/>
      <c r="L315" s="11"/>
      <c r="M315" s="15"/>
      <c r="N315" s="16"/>
      <c r="O315" s="16"/>
      <c r="P315" s="16"/>
      <c r="Q315" s="17"/>
      <c r="R315" s="17"/>
      <c r="S315" s="17"/>
      <c r="T315" s="17"/>
      <c r="U315" s="17"/>
      <c r="V315" s="17"/>
      <c r="W315" s="17"/>
      <c r="X315" s="17"/>
      <c r="Y315" s="17"/>
    </row>
    <row r="316" ht="18.75" customHeight="1">
      <c r="A316" s="9">
        <v>1469.0</v>
      </c>
      <c r="B316" s="15"/>
      <c r="C316" s="15"/>
      <c r="D316" s="15"/>
      <c r="E316" s="15"/>
      <c r="F316" s="15"/>
      <c r="G316" s="12"/>
      <c r="H316" s="13"/>
      <c r="I316" s="11"/>
      <c r="J316" s="11"/>
      <c r="K316" s="14"/>
      <c r="L316" s="11"/>
      <c r="M316" s="15"/>
      <c r="N316" s="16"/>
      <c r="O316" s="16"/>
      <c r="P316" s="16"/>
      <c r="Q316" s="17"/>
      <c r="R316" s="17"/>
      <c r="S316" s="17"/>
      <c r="T316" s="17"/>
      <c r="U316" s="17"/>
      <c r="V316" s="17"/>
      <c r="W316" s="17"/>
      <c r="X316" s="17"/>
      <c r="Y316" s="17"/>
    </row>
    <row r="317" ht="18.75" customHeight="1">
      <c r="A317" s="9">
        <v>1470.0</v>
      </c>
      <c r="B317" s="15"/>
      <c r="C317" s="15"/>
      <c r="D317" s="15"/>
      <c r="E317" s="15"/>
      <c r="F317" s="15"/>
      <c r="G317" s="12"/>
      <c r="H317" s="13"/>
      <c r="I317" s="11"/>
      <c r="J317" s="11"/>
      <c r="K317" s="14"/>
      <c r="L317" s="11"/>
      <c r="M317" s="15"/>
      <c r="N317" s="16"/>
      <c r="O317" s="16"/>
      <c r="P317" s="16"/>
      <c r="Q317" s="17"/>
      <c r="R317" s="17"/>
      <c r="S317" s="17"/>
      <c r="T317" s="17"/>
      <c r="U317" s="17"/>
      <c r="V317" s="17"/>
      <c r="W317" s="17"/>
      <c r="X317" s="17"/>
      <c r="Y317" s="17"/>
    </row>
    <row r="318" ht="18.75" customHeight="1">
      <c r="A318" s="9">
        <v>1471.0</v>
      </c>
      <c r="B318" s="15"/>
      <c r="C318" s="15"/>
      <c r="D318" s="15"/>
      <c r="E318" s="15"/>
      <c r="F318" s="15"/>
      <c r="G318" s="12"/>
      <c r="H318" s="13"/>
      <c r="I318" s="11"/>
      <c r="J318" s="11"/>
      <c r="K318" s="14"/>
      <c r="L318" s="11"/>
      <c r="M318" s="15"/>
      <c r="N318" s="16"/>
      <c r="O318" s="16"/>
      <c r="P318" s="16"/>
      <c r="Q318" s="17"/>
      <c r="R318" s="17"/>
      <c r="S318" s="17"/>
      <c r="T318" s="17"/>
      <c r="U318" s="17"/>
      <c r="V318" s="17"/>
      <c r="W318" s="17"/>
      <c r="X318" s="17"/>
      <c r="Y318" s="17"/>
    </row>
    <row r="319" ht="18.75" customHeight="1">
      <c r="A319" s="9">
        <v>1472.0</v>
      </c>
      <c r="B319" s="15"/>
      <c r="C319" s="15"/>
      <c r="D319" s="15"/>
      <c r="E319" s="15"/>
      <c r="F319" s="15"/>
      <c r="G319" s="12"/>
      <c r="H319" s="13"/>
      <c r="I319" s="11"/>
      <c r="J319" s="11"/>
      <c r="K319" s="14"/>
      <c r="L319" s="11"/>
      <c r="M319" s="15"/>
      <c r="N319" s="16"/>
      <c r="O319" s="16"/>
      <c r="P319" s="16"/>
      <c r="Q319" s="17"/>
      <c r="R319" s="17"/>
      <c r="S319" s="17"/>
      <c r="T319" s="17"/>
      <c r="U319" s="17"/>
      <c r="V319" s="17"/>
      <c r="W319" s="17"/>
      <c r="X319" s="17"/>
      <c r="Y319" s="17"/>
    </row>
    <row r="320" ht="18.75" customHeight="1">
      <c r="A320" s="9">
        <v>1473.0</v>
      </c>
      <c r="B320" s="15"/>
      <c r="C320" s="15"/>
      <c r="D320" s="15"/>
      <c r="E320" s="15"/>
      <c r="F320" s="15"/>
      <c r="G320" s="12"/>
      <c r="H320" s="13"/>
      <c r="I320" s="11"/>
      <c r="J320" s="11"/>
      <c r="K320" s="14"/>
      <c r="L320" s="11"/>
      <c r="M320" s="15"/>
      <c r="N320" s="16"/>
      <c r="O320" s="16"/>
      <c r="P320" s="16"/>
      <c r="Q320" s="17"/>
      <c r="R320" s="17"/>
      <c r="S320" s="17"/>
      <c r="T320" s="17"/>
      <c r="U320" s="17"/>
      <c r="V320" s="17"/>
      <c r="W320" s="17"/>
      <c r="X320" s="17"/>
      <c r="Y320" s="17"/>
    </row>
    <row r="321" ht="18.75" customHeight="1">
      <c r="A321" s="9">
        <v>1474.0</v>
      </c>
      <c r="B321" s="15"/>
      <c r="C321" s="15"/>
      <c r="D321" s="15"/>
      <c r="E321" s="15"/>
      <c r="F321" s="15"/>
      <c r="G321" s="12"/>
      <c r="H321" s="13"/>
      <c r="I321" s="11"/>
      <c r="J321" s="11"/>
      <c r="K321" s="14"/>
      <c r="L321" s="11"/>
      <c r="M321" s="15"/>
      <c r="N321" s="16"/>
      <c r="O321" s="16"/>
      <c r="P321" s="16"/>
      <c r="Q321" s="17"/>
      <c r="R321" s="17"/>
      <c r="S321" s="17"/>
      <c r="T321" s="17"/>
      <c r="U321" s="17"/>
      <c r="V321" s="17"/>
      <c r="W321" s="17"/>
      <c r="X321" s="17"/>
      <c r="Y321" s="17"/>
    </row>
    <row r="322" ht="18.75" customHeight="1">
      <c r="A322" s="9">
        <v>1475.0</v>
      </c>
      <c r="B322" s="15"/>
      <c r="C322" s="15"/>
      <c r="D322" s="15"/>
      <c r="E322" s="15"/>
      <c r="F322" s="15"/>
      <c r="G322" s="12"/>
      <c r="H322" s="13"/>
      <c r="I322" s="11"/>
      <c r="J322" s="11"/>
      <c r="K322" s="14"/>
      <c r="L322" s="11"/>
      <c r="M322" s="15"/>
      <c r="N322" s="16"/>
      <c r="O322" s="16"/>
      <c r="P322" s="16"/>
      <c r="Q322" s="17"/>
      <c r="R322" s="17"/>
      <c r="S322" s="17"/>
      <c r="T322" s="17"/>
      <c r="U322" s="17"/>
      <c r="V322" s="17"/>
      <c r="W322" s="17"/>
      <c r="X322" s="17"/>
      <c r="Y322" s="17"/>
    </row>
    <row r="323" ht="18.75" customHeight="1">
      <c r="A323" s="9">
        <v>1476.0</v>
      </c>
      <c r="B323" s="15"/>
      <c r="C323" s="15"/>
      <c r="D323" s="15"/>
      <c r="E323" s="15"/>
      <c r="F323" s="15"/>
      <c r="G323" s="12"/>
      <c r="H323" s="13"/>
      <c r="I323" s="11"/>
      <c r="J323" s="11"/>
      <c r="K323" s="14"/>
      <c r="L323" s="11"/>
      <c r="M323" s="15"/>
      <c r="N323" s="16"/>
      <c r="O323" s="16"/>
      <c r="P323" s="16"/>
      <c r="Q323" s="17"/>
      <c r="R323" s="17"/>
      <c r="S323" s="17"/>
      <c r="T323" s="17"/>
      <c r="U323" s="17"/>
      <c r="V323" s="17"/>
      <c r="W323" s="17"/>
      <c r="X323" s="17"/>
      <c r="Y323" s="17"/>
    </row>
    <row r="324" ht="18.75" customHeight="1">
      <c r="A324" s="9">
        <v>1477.0</v>
      </c>
      <c r="B324" s="15"/>
      <c r="C324" s="15"/>
      <c r="D324" s="15"/>
      <c r="E324" s="15"/>
      <c r="F324" s="15"/>
      <c r="G324" s="12"/>
      <c r="H324" s="13"/>
      <c r="I324" s="11"/>
      <c r="J324" s="11"/>
      <c r="K324" s="14"/>
      <c r="L324" s="11"/>
      <c r="M324" s="15"/>
      <c r="N324" s="16"/>
      <c r="O324" s="16"/>
      <c r="P324" s="16"/>
      <c r="Q324" s="17"/>
      <c r="R324" s="17"/>
      <c r="S324" s="17"/>
      <c r="T324" s="17"/>
      <c r="U324" s="17"/>
      <c r="V324" s="17"/>
      <c r="W324" s="17"/>
      <c r="X324" s="17"/>
      <c r="Y324" s="17"/>
    </row>
    <row r="325" ht="18.75" customHeight="1">
      <c r="A325" s="9">
        <v>1478.0</v>
      </c>
      <c r="B325" s="15"/>
      <c r="C325" s="15"/>
      <c r="D325" s="15"/>
      <c r="E325" s="15"/>
      <c r="F325" s="15"/>
      <c r="G325" s="12"/>
      <c r="H325" s="13"/>
      <c r="I325" s="11"/>
      <c r="J325" s="11"/>
      <c r="K325" s="14"/>
      <c r="L325" s="11"/>
      <c r="M325" s="15"/>
      <c r="N325" s="16"/>
      <c r="O325" s="16"/>
      <c r="P325" s="16"/>
      <c r="Q325" s="17"/>
      <c r="R325" s="17"/>
      <c r="S325" s="17"/>
      <c r="T325" s="17"/>
      <c r="U325" s="17"/>
      <c r="V325" s="17"/>
      <c r="W325" s="17"/>
      <c r="X325" s="17"/>
      <c r="Y325" s="17"/>
    </row>
    <row r="326" ht="18.75" customHeight="1">
      <c r="A326" s="9">
        <v>1479.0</v>
      </c>
      <c r="B326" s="15"/>
      <c r="C326" s="15"/>
      <c r="D326" s="15"/>
      <c r="E326" s="15"/>
      <c r="F326" s="15"/>
      <c r="G326" s="12"/>
      <c r="H326" s="13"/>
      <c r="I326" s="11"/>
      <c r="J326" s="11"/>
      <c r="K326" s="14"/>
      <c r="L326" s="11"/>
      <c r="M326" s="15"/>
      <c r="N326" s="16"/>
      <c r="O326" s="16"/>
      <c r="P326" s="16"/>
      <c r="Q326" s="17"/>
      <c r="R326" s="17"/>
      <c r="S326" s="17"/>
      <c r="T326" s="17"/>
      <c r="U326" s="17"/>
      <c r="V326" s="17"/>
      <c r="W326" s="17"/>
      <c r="X326" s="17"/>
      <c r="Y326" s="17"/>
    </row>
    <row r="327" ht="18.75" customHeight="1">
      <c r="A327" s="9">
        <v>1480.0</v>
      </c>
      <c r="B327" s="15"/>
      <c r="C327" s="15"/>
      <c r="D327" s="15"/>
      <c r="E327" s="15"/>
      <c r="F327" s="15"/>
      <c r="G327" s="12"/>
      <c r="H327" s="13"/>
      <c r="I327" s="11"/>
      <c r="J327" s="11"/>
      <c r="K327" s="14"/>
      <c r="L327" s="11"/>
      <c r="M327" s="15"/>
      <c r="N327" s="16"/>
      <c r="O327" s="16"/>
      <c r="P327" s="16"/>
      <c r="Q327" s="17"/>
      <c r="R327" s="17"/>
      <c r="S327" s="17"/>
      <c r="T327" s="17"/>
      <c r="U327" s="17"/>
      <c r="V327" s="17"/>
      <c r="W327" s="17"/>
      <c r="X327" s="17"/>
      <c r="Y327" s="17"/>
    </row>
    <row r="328" ht="18.75" customHeight="1">
      <c r="A328" s="9">
        <v>1481.0</v>
      </c>
      <c r="B328" s="15"/>
      <c r="C328" s="15"/>
      <c r="D328" s="15"/>
      <c r="E328" s="15"/>
      <c r="F328" s="15"/>
      <c r="G328" s="12"/>
      <c r="H328" s="13"/>
      <c r="I328" s="11"/>
      <c r="J328" s="11"/>
      <c r="K328" s="14"/>
      <c r="L328" s="11"/>
      <c r="M328" s="15"/>
      <c r="N328" s="16"/>
      <c r="O328" s="16"/>
      <c r="P328" s="16"/>
      <c r="Q328" s="17"/>
      <c r="R328" s="17"/>
      <c r="S328" s="17"/>
      <c r="T328" s="17"/>
      <c r="U328" s="17"/>
      <c r="V328" s="17"/>
      <c r="W328" s="17"/>
      <c r="X328" s="17"/>
      <c r="Y328" s="17"/>
    </row>
    <row r="329" ht="18.75" customHeight="1">
      <c r="A329" s="9">
        <v>1482.0</v>
      </c>
      <c r="B329" s="15"/>
      <c r="C329" s="15"/>
      <c r="D329" s="15"/>
      <c r="E329" s="15"/>
      <c r="F329" s="15"/>
      <c r="G329" s="12"/>
      <c r="H329" s="13"/>
      <c r="I329" s="11"/>
      <c r="J329" s="11"/>
      <c r="K329" s="14"/>
      <c r="L329" s="11"/>
      <c r="M329" s="15"/>
      <c r="N329" s="16"/>
      <c r="O329" s="16"/>
      <c r="P329" s="16"/>
      <c r="Q329" s="17"/>
      <c r="R329" s="17"/>
      <c r="S329" s="17"/>
      <c r="T329" s="17"/>
      <c r="U329" s="17"/>
      <c r="V329" s="17"/>
      <c r="W329" s="17"/>
      <c r="X329" s="17"/>
      <c r="Y329" s="17"/>
    </row>
    <row r="330" ht="18.75" customHeight="1">
      <c r="A330" s="9">
        <v>1483.0</v>
      </c>
      <c r="B330" s="15"/>
      <c r="C330" s="15"/>
      <c r="D330" s="15"/>
      <c r="E330" s="15"/>
      <c r="F330" s="15"/>
      <c r="G330" s="12"/>
      <c r="H330" s="13"/>
      <c r="I330" s="11"/>
      <c r="J330" s="11"/>
      <c r="K330" s="14"/>
      <c r="L330" s="11"/>
      <c r="M330" s="15"/>
      <c r="N330" s="16"/>
      <c r="O330" s="16"/>
      <c r="P330" s="16"/>
      <c r="Q330" s="17"/>
      <c r="R330" s="17"/>
      <c r="S330" s="17"/>
      <c r="T330" s="17"/>
      <c r="U330" s="17"/>
      <c r="V330" s="17"/>
      <c r="W330" s="17"/>
      <c r="X330" s="17"/>
      <c r="Y330" s="17"/>
    </row>
    <row r="331" ht="18.75" customHeight="1">
      <c r="A331" s="9">
        <v>1484.0</v>
      </c>
      <c r="B331" s="15"/>
      <c r="C331" s="15"/>
      <c r="D331" s="15"/>
      <c r="E331" s="15"/>
      <c r="F331" s="15"/>
      <c r="G331" s="12"/>
      <c r="H331" s="13"/>
      <c r="I331" s="11"/>
      <c r="J331" s="11"/>
      <c r="K331" s="14"/>
      <c r="L331" s="11"/>
      <c r="M331" s="15"/>
      <c r="N331" s="16"/>
      <c r="O331" s="16"/>
      <c r="P331" s="16"/>
      <c r="Q331" s="17"/>
      <c r="R331" s="17"/>
      <c r="S331" s="17"/>
      <c r="T331" s="17"/>
      <c r="U331" s="17"/>
      <c r="V331" s="17"/>
      <c r="W331" s="17"/>
      <c r="X331" s="17"/>
      <c r="Y331" s="17"/>
    </row>
    <row r="332" ht="18.75" customHeight="1">
      <c r="A332" s="9">
        <v>1485.0</v>
      </c>
      <c r="B332" s="15"/>
      <c r="C332" s="15"/>
      <c r="D332" s="15"/>
      <c r="E332" s="15"/>
      <c r="F332" s="15"/>
      <c r="G332" s="12"/>
      <c r="H332" s="13"/>
      <c r="I332" s="11"/>
      <c r="J332" s="11"/>
      <c r="K332" s="14"/>
      <c r="L332" s="11"/>
      <c r="M332" s="15"/>
      <c r="N332" s="16"/>
      <c r="O332" s="16"/>
      <c r="P332" s="16"/>
      <c r="Q332" s="17"/>
      <c r="R332" s="17"/>
      <c r="S332" s="17"/>
      <c r="T332" s="17"/>
      <c r="U332" s="17"/>
      <c r="V332" s="17"/>
      <c r="W332" s="17"/>
      <c r="X332" s="17"/>
      <c r="Y332" s="17"/>
    </row>
    <row r="333" ht="18.75" customHeight="1">
      <c r="A333" s="9">
        <v>1486.0</v>
      </c>
      <c r="B333" s="15"/>
      <c r="C333" s="15"/>
      <c r="D333" s="15"/>
      <c r="E333" s="15"/>
      <c r="F333" s="15"/>
      <c r="G333" s="12"/>
      <c r="H333" s="13"/>
      <c r="I333" s="11"/>
      <c r="J333" s="11"/>
      <c r="K333" s="14"/>
      <c r="L333" s="11"/>
      <c r="M333" s="15"/>
      <c r="N333" s="16"/>
      <c r="O333" s="16"/>
      <c r="P333" s="16"/>
      <c r="Q333" s="17"/>
      <c r="R333" s="17"/>
      <c r="S333" s="17"/>
      <c r="T333" s="17"/>
      <c r="U333" s="17"/>
      <c r="V333" s="17"/>
      <c r="W333" s="17"/>
      <c r="X333" s="17"/>
      <c r="Y333" s="17"/>
    </row>
    <row r="334" ht="18.75" customHeight="1">
      <c r="A334" s="9">
        <v>1487.0</v>
      </c>
      <c r="B334" s="15"/>
      <c r="C334" s="15"/>
      <c r="D334" s="15"/>
      <c r="E334" s="15"/>
      <c r="F334" s="15"/>
      <c r="G334" s="12"/>
      <c r="H334" s="13"/>
      <c r="I334" s="11"/>
      <c r="J334" s="11"/>
      <c r="K334" s="14"/>
      <c r="L334" s="11"/>
      <c r="M334" s="15"/>
      <c r="N334" s="16"/>
      <c r="O334" s="16"/>
      <c r="P334" s="16"/>
      <c r="Q334" s="17"/>
      <c r="R334" s="17"/>
      <c r="S334" s="17"/>
      <c r="T334" s="17"/>
      <c r="U334" s="17"/>
      <c r="V334" s="17"/>
      <c r="W334" s="17"/>
      <c r="X334" s="17"/>
      <c r="Y334" s="17"/>
    </row>
    <row r="335" ht="18.75" customHeight="1">
      <c r="A335" s="9">
        <v>1488.0</v>
      </c>
      <c r="B335" s="15"/>
      <c r="C335" s="15"/>
      <c r="D335" s="15"/>
      <c r="E335" s="15"/>
      <c r="F335" s="15"/>
      <c r="G335" s="12"/>
      <c r="H335" s="13"/>
      <c r="I335" s="11"/>
      <c r="J335" s="11"/>
      <c r="K335" s="14"/>
      <c r="L335" s="11"/>
      <c r="M335" s="15"/>
      <c r="N335" s="16"/>
      <c r="O335" s="16"/>
      <c r="P335" s="16"/>
      <c r="Q335" s="17"/>
      <c r="R335" s="17"/>
      <c r="S335" s="17"/>
      <c r="T335" s="17"/>
      <c r="U335" s="17"/>
      <c r="V335" s="17"/>
      <c r="W335" s="17"/>
      <c r="X335" s="17"/>
      <c r="Y335" s="17"/>
    </row>
    <row r="336" ht="18.75" customHeight="1">
      <c r="A336" s="9">
        <v>1489.0</v>
      </c>
      <c r="B336" s="15"/>
      <c r="C336" s="15"/>
      <c r="D336" s="15"/>
      <c r="E336" s="15"/>
      <c r="F336" s="15"/>
      <c r="G336" s="12"/>
      <c r="H336" s="13"/>
      <c r="I336" s="11"/>
      <c r="J336" s="11"/>
      <c r="K336" s="14"/>
      <c r="L336" s="11"/>
      <c r="M336" s="15"/>
      <c r="N336" s="16"/>
      <c r="O336" s="16"/>
      <c r="P336" s="16"/>
      <c r="Q336" s="17"/>
      <c r="R336" s="17"/>
      <c r="S336" s="17"/>
      <c r="T336" s="17"/>
      <c r="U336" s="17"/>
      <c r="V336" s="17"/>
      <c r="W336" s="17"/>
      <c r="X336" s="17"/>
      <c r="Y336" s="17"/>
    </row>
    <row r="337" ht="18.75" customHeight="1">
      <c r="A337" s="9">
        <v>1490.0</v>
      </c>
      <c r="B337" s="15"/>
      <c r="C337" s="15"/>
      <c r="D337" s="15"/>
      <c r="E337" s="15"/>
      <c r="F337" s="15"/>
      <c r="G337" s="12"/>
      <c r="H337" s="13"/>
      <c r="I337" s="11"/>
      <c r="J337" s="11"/>
      <c r="K337" s="14"/>
      <c r="L337" s="11"/>
      <c r="M337" s="15"/>
      <c r="N337" s="16"/>
      <c r="O337" s="16"/>
      <c r="P337" s="16"/>
      <c r="Q337" s="17"/>
      <c r="R337" s="17"/>
      <c r="S337" s="17"/>
      <c r="T337" s="17"/>
      <c r="U337" s="17"/>
      <c r="V337" s="17"/>
      <c r="W337" s="17"/>
      <c r="X337" s="17"/>
      <c r="Y337" s="17"/>
    </row>
    <row r="338" ht="18.75" customHeight="1">
      <c r="A338" s="9">
        <v>1491.0</v>
      </c>
      <c r="B338" s="15"/>
      <c r="C338" s="15"/>
      <c r="D338" s="15"/>
      <c r="E338" s="15"/>
      <c r="F338" s="15"/>
      <c r="G338" s="12"/>
      <c r="H338" s="13"/>
      <c r="I338" s="11"/>
      <c r="J338" s="11"/>
      <c r="K338" s="14"/>
      <c r="L338" s="11"/>
      <c r="M338" s="15"/>
      <c r="N338" s="16"/>
      <c r="O338" s="16"/>
      <c r="P338" s="16"/>
      <c r="Q338" s="17"/>
      <c r="R338" s="17"/>
      <c r="S338" s="17"/>
      <c r="T338" s="17"/>
      <c r="U338" s="17"/>
      <c r="V338" s="17"/>
      <c r="W338" s="17"/>
      <c r="X338" s="17"/>
      <c r="Y338" s="17"/>
    </row>
    <row r="339" ht="18.75" customHeight="1">
      <c r="A339" s="9">
        <v>1492.0</v>
      </c>
      <c r="B339" s="15"/>
      <c r="C339" s="15"/>
      <c r="D339" s="15"/>
      <c r="E339" s="15"/>
      <c r="F339" s="15"/>
      <c r="G339" s="12"/>
      <c r="H339" s="13"/>
      <c r="I339" s="11"/>
      <c r="J339" s="11"/>
      <c r="K339" s="14"/>
      <c r="L339" s="11"/>
      <c r="M339" s="15"/>
      <c r="N339" s="16"/>
      <c r="O339" s="16"/>
      <c r="P339" s="16"/>
      <c r="Q339" s="17"/>
      <c r="R339" s="17"/>
      <c r="S339" s="17"/>
      <c r="T339" s="17"/>
      <c r="U339" s="17"/>
      <c r="V339" s="17"/>
      <c r="W339" s="17"/>
      <c r="X339" s="17"/>
      <c r="Y339" s="17"/>
    </row>
    <row r="340" ht="18.75" customHeight="1">
      <c r="A340" s="9">
        <v>1493.0</v>
      </c>
      <c r="B340" s="15"/>
      <c r="C340" s="15"/>
      <c r="D340" s="15"/>
      <c r="E340" s="15"/>
      <c r="F340" s="15"/>
      <c r="G340" s="12"/>
      <c r="H340" s="13"/>
      <c r="I340" s="11"/>
      <c r="J340" s="11"/>
      <c r="K340" s="14"/>
      <c r="L340" s="11"/>
      <c r="M340" s="15"/>
      <c r="N340" s="16"/>
      <c r="O340" s="16"/>
      <c r="P340" s="16"/>
      <c r="Q340" s="17"/>
      <c r="R340" s="17"/>
      <c r="S340" s="17"/>
      <c r="T340" s="17"/>
      <c r="U340" s="17"/>
      <c r="V340" s="17"/>
      <c r="W340" s="17"/>
      <c r="X340" s="17"/>
      <c r="Y340" s="17"/>
    </row>
    <row r="341" ht="18.75" customHeight="1">
      <c r="A341" s="9">
        <v>1494.0</v>
      </c>
      <c r="B341" s="15"/>
      <c r="C341" s="15"/>
      <c r="D341" s="15"/>
      <c r="E341" s="15"/>
      <c r="F341" s="15"/>
      <c r="G341" s="12"/>
      <c r="H341" s="13"/>
      <c r="I341" s="11"/>
      <c r="J341" s="11"/>
      <c r="K341" s="14"/>
      <c r="L341" s="11"/>
      <c r="M341" s="15"/>
      <c r="N341" s="16"/>
      <c r="O341" s="16"/>
      <c r="P341" s="16"/>
      <c r="Q341" s="17"/>
      <c r="R341" s="17"/>
      <c r="S341" s="17"/>
      <c r="T341" s="17"/>
      <c r="U341" s="17"/>
      <c r="V341" s="17"/>
      <c r="W341" s="17"/>
      <c r="X341" s="17"/>
      <c r="Y341" s="17"/>
    </row>
    <row r="342" ht="18.75" customHeight="1">
      <c r="A342" s="9">
        <v>1495.0</v>
      </c>
      <c r="B342" s="15"/>
      <c r="C342" s="15"/>
      <c r="D342" s="15"/>
      <c r="E342" s="15"/>
      <c r="F342" s="15"/>
      <c r="G342" s="12"/>
      <c r="H342" s="13"/>
      <c r="I342" s="11"/>
      <c r="J342" s="11"/>
      <c r="K342" s="14"/>
      <c r="L342" s="11"/>
      <c r="M342" s="15"/>
      <c r="N342" s="16"/>
      <c r="O342" s="16"/>
      <c r="P342" s="16"/>
      <c r="Q342" s="17"/>
      <c r="R342" s="17"/>
      <c r="S342" s="17"/>
      <c r="T342" s="17"/>
      <c r="U342" s="17"/>
      <c r="V342" s="17"/>
      <c r="W342" s="17"/>
      <c r="X342" s="17"/>
      <c r="Y342" s="17"/>
    </row>
    <row r="343" ht="18.75" customHeight="1">
      <c r="A343" s="9">
        <v>1496.0</v>
      </c>
      <c r="B343" s="15"/>
      <c r="C343" s="15"/>
      <c r="D343" s="15"/>
      <c r="E343" s="15"/>
      <c r="F343" s="15"/>
      <c r="G343" s="12"/>
      <c r="H343" s="13"/>
      <c r="I343" s="11"/>
      <c r="J343" s="11"/>
      <c r="K343" s="14"/>
      <c r="L343" s="11"/>
      <c r="M343" s="15"/>
      <c r="N343" s="16"/>
      <c r="O343" s="16"/>
      <c r="P343" s="16"/>
      <c r="Q343" s="17"/>
      <c r="R343" s="17"/>
      <c r="S343" s="17"/>
      <c r="T343" s="17"/>
      <c r="U343" s="17"/>
      <c r="V343" s="17"/>
      <c r="W343" s="17"/>
      <c r="X343" s="17"/>
      <c r="Y343" s="17"/>
    </row>
    <row r="344" ht="18.75" customHeight="1">
      <c r="A344" s="9">
        <v>1497.0</v>
      </c>
      <c r="B344" s="15"/>
      <c r="C344" s="15"/>
      <c r="D344" s="15"/>
      <c r="E344" s="15"/>
      <c r="F344" s="15"/>
      <c r="G344" s="12"/>
      <c r="H344" s="13"/>
      <c r="I344" s="11"/>
      <c r="J344" s="11"/>
      <c r="K344" s="14"/>
      <c r="L344" s="11"/>
      <c r="M344" s="15"/>
      <c r="N344" s="16"/>
      <c r="O344" s="16"/>
      <c r="P344" s="16"/>
      <c r="Q344" s="17"/>
      <c r="R344" s="17"/>
      <c r="S344" s="17"/>
      <c r="T344" s="17"/>
      <c r="U344" s="17"/>
      <c r="V344" s="17"/>
      <c r="W344" s="17"/>
      <c r="X344" s="17"/>
      <c r="Y344" s="17"/>
    </row>
    <row r="345" ht="18.75" customHeight="1">
      <c r="A345" s="9">
        <v>1498.0</v>
      </c>
      <c r="B345" s="15"/>
      <c r="C345" s="15"/>
      <c r="D345" s="15"/>
      <c r="E345" s="15"/>
      <c r="F345" s="15"/>
      <c r="G345" s="12"/>
      <c r="H345" s="13"/>
      <c r="I345" s="11"/>
      <c r="J345" s="11"/>
      <c r="K345" s="14"/>
      <c r="L345" s="11"/>
      <c r="M345" s="15"/>
      <c r="N345" s="16"/>
      <c r="O345" s="16"/>
      <c r="P345" s="16"/>
      <c r="Q345" s="17"/>
      <c r="R345" s="17"/>
      <c r="S345" s="17"/>
      <c r="T345" s="17"/>
      <c r="U345" s="17"/>
      <c r="V345" s="17"/>
      <c r="W345" s="17"/>
      <c r="X345" s="17"/>
      <c r="Y345" s="17"/>
    </row>
    <row r="346" ht="18.75" customHeight="1">
      <c r="A346" s="9">
        <v>1499.0</v>
      </c>
      <c r="B346" s="15"/>
      <c r="C346" s="15"/>
      <c r="D346" s="15"/>
      <c r="E346" s="15"/>
      <c r="F346" s="15"/>
      <c r="G346" s="12"/>
      <c r="H346" s="13"/>
      <c r="I346" s="11"/>
      <c r="J346" s="11"/>
      <c r="K346" s="14"/>
      <c r="L346" s="11"/>
      <c r="M346" s="15"/>
      <c r="N346" s="16"/>
      <c r="O346" s="16"/>
      <c r="P346" s="16"/>
      <c r="Q346" s="17"/>
      <c r="R346" s="17"/>
      <c r="S346" s="17"/>
      <c r="T346" s="17"/>
      <c r="U346" s="17"/>
      <c r="V346" s="17"/>
      <c r="W346" s="17"/>
      <c r="X346" s="17"/>
      <c r="Y346" s="17"/>
    </row>
    <row r="347" ht="18.75" customHeight="1">
      <c r="A347" s="9">
        <v>1500.0</v>
      </c>
      <c r="B347" s="15"/>
      <c r="C347" s="15"/>
      <c r="D347" s="15"/>
      <c r="E347" s="15"/>
      <c r="F347" s="15"/>
      <c r="G347" s="12"/>
      <c r="H347" s="13"/>
      <c r="I347" s="11"/>
      <c r="J347" s="11"/>
      <c r="K347" s="14"/>
      <c r="L347" s="11"/>
      <c r="M347" s="15"/>
      <c r="N347" s="16"/>
      <c r="O347" s="16"/>
      <c r="P347" s="16"/>
      <c r="Q347" s="17"/>
      <c r="R347" s="17"/>
      <c r="S347" s="17"/>
      <c r="T347" s="17"/>
      <c r="U347" s="17"/>
      <c r="V347" s="17"/>
      <c r="W347" s="17"/>
      <c r="X347" s="17"/>
      <c r="Y347" s="17"/>
    </row>
    <row r="348" ht="18.75" customHeight="1">
      <c r="A348" s="9">
        <v>1501.0</v>
      </c>
      <c r="B348" s="15"/>
      <c r="C348" s="15"/>
      <c r="D348" s="15"/>
      <c r="E348" s="15"/>
      <c r="F348" s="15"/>
      <c r="G348" s="12"/>
      <c r="H348" s="13"/>
      <c r="I348" s="11"/>
      <c r="J348" s="11"/>
      <c r="K348" s="14"/>
      <c r="L348" s="11"/>
      <c r="M348" s="15"/>
      <c r="N348" s="16"/>
      <c r="O348" s="16"/>
      <c r="P348" s="16"/>
      <c r="Q348" s="17"/>
      <c r="R348" s="17"/>
      <c r="S348" s="17"/>
      <c r="T348" s="17"/>
      <c r="U348" s="17"/>
      <c r="V348" s="17"/>
      <c r="W348" s="17"/>
      <c r="X348" s="17"/>
      <c r="Y348" s="17"/>
    </row>
    <row r="349" ht="18.75" customHeight="1">
      <c r="A349" s="9">
        <v>1502.0</v>
      </c>
      <c r="B349" s="15"/>
      <c r="C349" s="15"/>
      <c r="D349" s="15"/>
      <c r="E349" s="15"/>
      <c r="F349" s="15"/>
      <c r="G349" s="12"/>
      <c r="H349" s="13"/>
      <c r="I349" s="11"/>
      <c r="J349" s="11"/>
      <c r="K349" s="14"/>
      <c r="L349" s="11"/>
      <c r="M349" s="15"/>
      <c r="N349" s="16"/>
      <c r="O349" s="16"/>
      <c r="P349" s="16"/>
      <c r="Q349" s="17"/>
      <c r="R349" s="17"/>
      <c r="S349" s="17"/>
      <c r="T349" s="17"/>
      <c r="U349" s="17"/>
      <c r="V349" s="17"/>
      <c r="W349" s="17"/>
      <c r="X349" s="17"/>
      <c r="Y349" s="17"/>
    </row>
    <row r="350" ht="18.75" customHeight="1">
      <c r="A350" s="9">
        <v>1503.0</v>
      </c>
      <c r="B350" s="15"/>
      <c r="C350" s="15"/>
      <c r="D350" s="15"/>
      <c r="E350" s="15"/>
      <c r="F350" s="15"/>
      <c r="G350" s="12"/>
      <c r="H350" s="13"/>
      <c r="I350" s="11"/>
      <c r="J350" s="11"/>
      <c r="K350" s="14"/>
      <c r="L350" s="11"/>
      <c r="M350" s="15"/>
      <c r="N350" s="16"/>
      <c r="O350" s="16"/>
      <c r="P350" s="16"/>
      <c r="Q350" s="17"/>
      <c r="R350" s="17"/>
      <c r="S350" s="17"/>
      <c r="T350" s="17"/>
      <c r="U350" s="17"/>
      <c r="V350" s="17"/>
      <c r="W350" s="17"/>
      <c r="X350" s="17"/>
      <c r="Y350" s="17"/>
    </row>
    <row r="351" ht="18.75" customHeight="1">
      <c r="A351" s="9">
        <v>1504.0</v>
      </c>
      <c r="B351" s="15"/>
      <c r="C351" s="15"/>
      <c r="D351" s="15"/>
      <c r="E351" s="15"/>
      <c r="F351" s="15"/>
      <c r="G351" s="12"/>
      <c r="H351" s="13"/>
      <c r="I351" s="11"/>
      <c r="J351" s="11"/>
      <c r="K351" s="14"/>
      <c r="L351" s="11"/>
      <c r="M351" s="15"/>
      <c r="N351" s="16"/>
      <c r="O351" s="16"/>
      <c r="P351" s="16"/>
      <c r="Q351" s="17"/>
      <c r="R351" s="17"/>
      <c r="S351" s="17"/>
      <c r="T351" s="17"/>
      <c r="U351" s="17"/>
      <c r="V351" s="17"/>
      <c r="W351" s="17"/>
      <c r="X351" s="17"/>
      <c r="Y351" s="17"/>
    </row>
    <row r="352" ht="18.75" customHeight="1">
      <c r="A352" s="9">
        <v>1505.0</v>
      </c>
      <c r="B352" s="15"/>
      <c r="C352" s="15"/>
      <c r="D352" s="15"/>
      <c r="E352" s="15"/>
      <c r="F352" s="15"/>
      <c r="G352" s="12"/>
      <c r="H352" s="13"/>
      <c r="I352" s="11"/>
      <c r="J352" s="11"/>
      <c r="K352" s="14"/>
      <c r="L352" s="11"/>
      <c r="M352" s="15"/>
      <c r="N352" s="16"/>
      <c r="O352" s="16"/>
      <c r="P352" s="16"/>
      <c r="Q352" s="17"/>
      <c r="R352" s="17"/>
      <c r="S352" s="17"/>
      <c r="T352" s="17"/>
      <c r="U352" s="17"/>
      <c r="V352" s="17"/>
      <c r="W352" s="17"/>
      <c r="X352" s="17"/>
      <c r="Y352" s="17"/>
    </row>
    <row r="353" ht="18.75" customHeight="1">
      <c r="A353" s="9">
        <v>1506.0</v>
      </c>
      <c r="B353" s="15"/>
      <c r="C353" s="15"/>
      <c r="D353" s="15"/>
      <c r="E353" s="15"/>
      <c r="F353" s="15"/>
      <c r="G353" s="12"/>
      <c r="H353" s="13"/>
      <c r="I353" s="11"/>
      <c r="J353" s="11"/>
      <c r="K353" s="14"/>
      <c r="L353" s="11"/>
      <c r="M353" s="15"/>
      <c r="N353" s="16"/>
      <c r="O353" s="16"/>
      <c r="P353" s="16"/>
      <c r="Q353" s="17"/>
      <c r="R353" s="17"/>
      <c r="S353" s="17"/>
      <c r="T353" s="17"/>
      <c r="U353" s="17"/>
      <c r="V353" s="17"/>
      <c r="W353" s="17"/>
      <c r="X353" s="17"/>
      <c r="Y353" s="17"/>
    </row>
    <row r="354" ht="18.75" customHeight="1">
      <c r="A354" s="9">
        <v>1507.0</v>
      </c>
      <c r="B354" s="15"/>
      <c r="C354" s="15"/>
      <c r="D354" s="15"/>
      <c r="E354" s="15"/>
      <c r="F354" s="15"/>
      <c r="G354" s="12"/>
      <c r="H354" s="13"/>
      <c r="I354" s="11"/>
      <c r="J354" s="11"/>
      <c r="K354" s="14"/>
      <c r="L354" s="11"/>
      <c r="M354" s="15"/>
      <c r="N354" s="16"/>
      <c r="O354" s="16"/>
      <c r="P354" s="16"/>
      <c r="Q354" s="17"/>
      <c r="R354" s="17"/>
      <c r="S354" s="17"/>
      <c r="T354" s="17"/>
      <c r="U354" s="17"/>
      <c r="V354" s="17"/>
      <c r="W354" s="17"/>
      <c r="X354" s="17"/>
      <c r="Y354" s="17"/>
    </row>
    <row r="355" ht="18.75" customHeight="1">
      <c r="A355" s="9">
        <v>1508.0</v>
      </c>
      <c r="B355" s="15"/>
      <c r="C355" s="15"/>
      <c r="D355" s="15"/>
      <c r="E355" s="15"/>
      <c r="F355" s="15"/>
      <c r="G355" s="12"/>
      <c r="H355" s="13"/>
      <c r="I355" s="11"/>
      <c r="J355" s="11"/>
      <c r="K355" s="14"/>
      <c r="L355" s="11"/>
      <c r="M355" s="15"/>
      <c r="N355" s="16"/>
      <c r="O355" s="16"/>
      <c r="P355" s="16"/>
      <c r="Q355" s="17"/>
      <c r="R355" s="17"/>
      <c r="S355" s="17"/>
      <c r="T355" s="17"/>
      <c r="U355" s="17"/>
      <c r="V355" s="17"/>
      <c r="W355" s="17"/>
      <c r="X355" s="17"/>
      <c r="Y355" s="17"/>
    </row>
    <row r="356" ht="18.75" customHeight="1">
      <c r="A356" s="9">
        <v>1509.0</v>
      </c>
      <c r="B356" s="15"/>
      <c r="C356" s="15"/>
      <c r="D356" s="15"/>
      <c r="E356" s="15"/>
      <c r="F356" s="15"/>
      <c r="G356" s="12"/>
      <c r="H356" s="13"/>
      <c r="I356" s="11"/>
      <c r="J356" s="11"/>
      <c r="K356" s="14"/>
      <c r="L356" s="11"/>
      <c r="M356" s="15"/>
      <c r="N356" s="16"/>
      <c r="O356" s="16"/>
      <c r="P356" s="16"/>
      <c r="Q356" s="17"/>
      <c r="R356" s="17"/>
      <c r="S356" s="17"/>
      <c r="T356" s="17"/>
      <c r="U356" s="17"/>
      <c r="V356" s="17"/>
      <c r="W356" s="17"/>
      <c r="X356" s="17"/>
      <c r="Y356" s="17"/>
    </row>
    <row r="357" ht="18.75" customHeight="1">
      <c r="A357" s="9">
        <v>1510.0</v>
      </c>
      <c r="B357" s="15"/>
      <c r="C357" s="15"/>
      <c r="D357" s="15"/>
      <c r="E357" s="15"/>
      <c r="F357" s="15"/>
      <c r="G357" s="12"/>
      <c r="H357" s="13"/>
      <c r="I357" s="11"/>
      <c r="J357" s="11"/>
      <c r="K357" s="14"/>
      <c r="L357" s="11"/>
      <c r="M357" s="15"/>
      <c r="N357" s="16"/>
      <c r="O357" s="16"/>
      <c r="P357" s="16"/>
      <c r="Q357" s="17"/>
      <c r="R357" s="17"/>
      <c r="S357" s="17"/>
      <c r="T357" s="17"/>
      <c r="U357" s="17"/>
      <c r="V357" s="17"/>
      <c r="W357" s="17"/>
      <c r="X357" s="17"/>
      <c r="Y357" s="17"/>
    </row>
    <row r="358" ht="18.75" customHeight="1">
      <c r="A358" s="9">
        <v>1511.0</v>
      </c>
      <c r="B358" s="15"/>
      <c r="C358" s="15"/>
      <c r="D358" s="15"/>
      <c r="E358" s="15"/>
      <c r="F358" s="15"/>
      <c r="G358" s="12"/>
      <c r="H358" s="13"/>
      <c r="I358" s="11"/>
      <c r="J358" s="11"/>
      <c r="K358" s="14"/>
      <c r="L358" s="11"/>
      <c r="M358" s="15"/>
      <c r="N358" s="16"/>
      <c r="O358" s="16"/>
      <c r="P358" s="16"/>
      <c r="Q358" s="17"/>
      <c r="R358" s="17"/>
      <c r="S358" s="17"/>
      <c r="T358" s="17"/>
      <c r="U358" s="17"/>
      <c r="V358" s="17"/>
      <c r="W358" s="17"/>
      <c r="X358" s="17"/>
      <c r="Y358" s="17"/>
    </row>
    <row r="359" ht="18.75" customHeight="1">
      <c r="A359" s="9">
        <v>1512.0</v>
      </c>
      <c r="B359" s="15"/>
      <c r="C359" s="15"/>
      <c r="D359" s="15"/>
      <c r="E359" s="15"/>
      <c r="F359" s="15"/>
      <c r="G359" s="12"/>
      <c r="H359" s="13"/>
      <c r="I359" s="11"/>
      <c r="J359" s="11"/>
      <c r="K359" s="14"/>
      <c r="L359" s="11"/>
      <c r="M359" s="15"/>
      <c r="N359" s="16"/>
      <c r="O359" s="16"/>
      <c r="P359" s="16"/>
      <c r="Q359" s="17"/>
      <c r="R359" s="17"/>
      <c r="S359" s="17"/>
      <c r="T359" s="17"/>
      <c r="U359" s="17"/>
      <c r="V359" s="17"/>
      <c r="W359" s="17"/>
      <c r="X359" s="17"/>
      <c r="Y359" s="17"/>
    </row>
    <row r="360" ht="18.75" customHeight="1">
      <c r="A360" s="9">
        <v>1513.0</v>
      </c>
      <c r="B360" s="15"/>
      <c r="C360" s="15"/>
      <c r="D360" s="15"/>
      <c r="E360" s="15"/>
      <c r="F360" s="15"/>
      <c r="G360" s="12"/>
      <c r="H360" s="13"/>
      <c r="I360" s="11"/>
      <c r="J360" s="11"/>
      <c r="K360" s="14"/>
      <c r="L360" s="11"/>
      <c r="M360" s="15"/>
      <c r="N360" s="16"/>
      <c r="O360" s="16"/>
      <c r="P360" s="16"/>
      <c r="Q360" s="17"/>
      <c r="R360" s="17"/>
      <c r="S360" s="17"/>
      <c r="T360" s="17"/>
      <c r="U360" s="17"/>
      <c r="V360" s="17"/>
      <c r="W360" s="17"/>
      <c r="X360" s="17"/>
      <c r="Y360" s="17"/>
    </row>
    <row r="361" ht="18.75" customHeight="1">
      <c r="A361" s="9">
        <v>1514.0</v>
      </c>
      <c r="B361" s="15"/>
      <c r="C361" s="15"/>
      <c r="D361" s="15"/>
      <c r="E361" s="15"/>
      <c r="F361" s="15"/>
      <c r="G361" s="12"/>
      <c r="H361" s="13"/>
      <c r="I361" s="11"/>
      <c r="J361" s="11"/>
      <c r="K361" s="14"/>
      <c r="L361" s="11"/>
      <c r="M361" s="15"/>
      <c r="N361" s="16"/>
      <c r="O361" s="16"/>
      <c r="P361" s="16"/>
      <c r="Q361" s="17"/>
      <c r="R361" s="17"/>
      <c r="S361" s="17"/>
      <c r="T361" s="17"/>
      <c r="U361" s="17"/>
      <c r="V361" s="17"/>
      <c r="W361" s="17"/>
      <c r="X361" s="17"/>
      <c r="Y361" s="17"/>
    </row>
    <row r="362" ht="18.75" customHeight="1">
      <c r="A362" s="9">
        <v>1515.0</v>
      </c>
      <c r="B362" s="15"/>
      <c r="C362" s="15"/>
      <c r="D362" s="15"/>
      <c r="E362" s="15"/>
      <c r="F362" s="15"/>
      <c r="G362" s="12"/>
      <c r="H362" s="13"/>
      <c r="I362" s="11"/>
      <c r="J362" s="11"/>
      <c r="K362" s="14"/>
      <c r="L362" s="11"/>
      <c r="M362" s="15"/>
      <c r="N362" s="16"/>
      <c r="O362" s="16"/>
      <c r="P362" s="16"/>
      <c r="Q362" s="17"/>
      <c r="R362" s="17"/>
      <c r="S362" s="17"/>
      <c r="T362" s="17"/>
      <c r="U362" s="17"/>
      <c r="V362" s="17"/>
      <c r="W362" s="17"/>
      <c r="X362" s="17"/>
      <c r="Y362" s="17"/>
    </row>
    <row r="363" ht="18.75" customHeight="1">
      <c r="A363" s="9">
        <v>1516.0</v>
      </c>
      <c r="B363" s="15"/>
      <c r="C363" s="15"/>
      <c r="D363" s="15"/>
      <c r="E363" s="15"/>
      <c r="F363" s="15"/>
      <c r="G363" s="12"/>
      <c r="H363" s="13"/>
      <c r="I363" s="11"/>
      <c r="J363" s="11"/>
      <c r="K363" s="14"/>
      <c r="L363" s="11"/>
      <c r="M363" s="15"/>
      <c r="N363" s="16"/>
      <c r="O363" s="16"/>
      <c r="P363" s="16"/>
      <c r="Q363" s="17"/>
      <c r="R363" s="17"/>
      <c r="S363" s="17"/>
      <c r="T363" s="17"/>
      <c r="U363" s="17"/>
      <c r="V363" s="17"/>
      <c r="W363" s="17"/>
      <c r="X363" s="17"/>
      <c r="Y363" s="17"/>
    </row>
    <row r="364" ht="18.75" customHeight="1">
      <c r="A364" s="9">
        <v>1517.0</v>
      </c>
      <c r="B364" s="15"/>
      <c r="C364" s="15"/>
      <c r="D364" s="15"/>
      <c r="E364" s="15"/>
      <c r="F364" s="15"/>
      <c r="G364" s="12"/>
      <c r="H364" s="13"/>
      <c r="I364" s="11"/>
      <c r="J364" s="11"/>
      <c r="K364" s="14"/>
      <c r="L364" s="11"/>
      <c r="M364" s="15"/>
      <c r="N364" s="16"/>
      <c r="O364" s="16"/>
      <c r="P364" s="16"/>
      <c r="Q364" s="17"/>
      <c r="R364" s="17"/>
      <c r="S364" s="17"/>
      <c r="T364" s="17"/>
      <c r="U364" s="17"/>
      <c r="V364" s="17"/>
      <c r="W364" s="17"/>
      <c r="X364" s="17"/>
      <c r="Y364" s="17"/>
    </row>
    <row r="365" ht="18.75" customHeight="1">
      <c r="A365" s="9">
        <v>1518.0</v>
      </c>
      <c r="B365" s="15"/>
      <c r="C365" s="15"/>
      <c r="D365" s="15"/>
      <c r="E365" s="15"/>
      <c r="F365" s="15"/>
      <c r="G365" s="12"/>
      <c r="H365" s="13"/>
      <c r="I365" s="11"/>
      <c r="J365" s="11"/>
      <c r="K365" s="14"/>
      <c r="L365" s="11"/>
      <c r="M365" s="15"/>
      <c r="N365" s="16"/>
      <c r="O365" s="16"/>
      <c r="P365" s="16"/>
      <c r="Q365" s="17"/>
      <c r="R365" s="17"/>
      <c r="S365" s="17"/>
      <c r="T365" s="17"/>
      <c r="U365" s="17"/>
      <c r="V365" s="17"/>
      <c r="W365" s="17"/>
      <c r="X365" s="17"/>
      <c r="Y365" s="17"/>
    </row>
    <row r="366" ht="18.75" customHeight="1">
      <c r="A366" s="9">
        <v>1519.0</v>
      </c>
      <c r="B366" s="15"/>
      <c r="C366" s="15"/>
      <c r="D366" s="15"/>
      <c r="E366" s="15"/>
      <c r="F366" s="15"/>
      <c r="G366" s="12"/>
      <c r="H366" s="13"/>
      <c r="I366" s="11"/>
      <c r="J366" s="11"/>
      <c r="K366" s="14"/>
      <c r="L366" s="11"/>
      <c r="M366" s="15"/>
      <c r="N366" s="16"/>
      <c r="O366" s="16"/>
      <c r="P366" s="16"/>
      <c r="Q366" s="17"/>
      <c r="R366" s="17"/>
      <c r="S366" s="17"/>
      <c r="T366" s="17"/>
      <c r="U366" s="17"/>
      <c r="V366" s="17"/>
      <c r="W366" s="17"/>
      <c r="X366" s="17"/>
      <c r="Y366" s="17"/>
    </row>
    <row r="367" ht="18.75" customHeight="1">
      <c r="A367" s="9">
        <v>1520.0</v>
      </c>
      <c r="B367" s="15"/>
      <c r="C367" s="15"/>
      <c r="D367" s="15"/>
      <c r="E367" s="15"/>
      <c r="F367" s="15"/>
      <c r="G367" s="12"/>
      <c r="H367" s="13"/>
      <c r="I367" s="11"/>
      <c r="J367" s="11"/>
      <c r="K367" s="14"/>
      <c r="L367" s="11"/>
      <c r="M367" s="15"/>
      <c r="N367" s="16"/>
      <c r="O367" s="16"/>
      <c r="P367" s="16"/>
      <c r="Q367" s="17"/>
      <c r="R367" s="17"/>
      <c r="S367" s="17"/>
      <c r="T367" s="17"/>
      <c r="U367" s="17"/>
      <c r="V367" s="17"/>
      <c r="W367" s="17"/>
      <c r="X367" s="17"/>
      <c r="Y367" s="17"/>
    </row>
    <row r="368" ht="18.75" customHeight="1">
      <c r="A368" s="9">
        <v>1521.0</v>
      </c>
      <c r="B368" s="15"/>
      <c r="C368" s="15"/>
      <c r="D368" s="15"/>
      <c r="E368" s="15"/>
      <c r="F368" s="15"/>
      <c r="G368" s="12"/>
      <c r="H368" s="13"/>
      <c r="I368" s="11"/>
      <c r="J368" s="11"/>
      <c r="K368" s="14"/>
      <c r="L368" s="11"/>
      <c r="M368" s="15"/>
      <c r="N368" s="16"/>
      <c r="O368" s="16"/>
      <c r="P368" s="16"/>
      <c r="Q368" s="17"/>
      <c r="R368" s="17"/>
      <c r="S368" s="17"/>
      <c r="T368" s="17"/>
      <c r="U368" s="17"/>
      <c r="V368" s="17"/>
      <c r="W368" s="17"/>
      <c r="X368" s="17"/>
      <c r="Y368" s="17"/>
    </row>
    <row r="369" ht="18.75" customHeight="1">
      <c r="A369" s="9">
        <v>1522.0</v>
      </c>
      <c r="B369" s="15"/>
      <c r="C369" s="15"/>
      <c r="D369" s="15"/>
      <c r="E369" s="15"/>
      <c r="F369" s="15"/>
      <c r="G369" s="12"/>
      <c r="H369" s="13"/>
      <c r="I369" s="11"/>
      <c r="J369" s="11"/>
      <c r="K369" s="14"/>
      <c r="L369" s="11"/>
      <c r="M369" s="15"/>
      <c r="N369" s="16"/>
      <c r="O369" s="16"/>
      <c r="P369" s="16"/>
      <c r="Q369" s="17"/>
      <c r="R369" s="17"/>
      <c r="S369" s="17"/>
      <c r="T369" s="17"/>
      <c r="U369" s="17"/>
      <c r="V369" s="17"/>
      <c r="W369" s="17"/>
      <c r="X369" s="17"/>
      <c r="Y369" s="17"/>
    </row>
    <row r="370" ht="18.75" customHeight="1">
      <c r="A370" s="9">
        <v>1523.0</v>
      </c>
      <c r="B370" s="15"/>
      <c r="C370" s="15"/>
      <c r="D370" s="15"/>
      <c r="E370" s="15"/>
      <c r="F370" s="15"/>
      <c r="G370" s="12"/>
      <c r="H370" s="13"/>
      <c r="I370" s="11"/>
      <c r="J370" s="11"/>
      <c r="K370" s="14"/>
      <c r="L370" s="11"/>
      <c r="M370" s="15"/>
      <c r="N370" s="16"/>
      <c r="O370" s="16"/>
      <c r="P370" s="16"/>
      <c r="Q370" s="17"/>
      <c r="R370" s="17"/>
      <c r="S370" s="17"/>
      <c r="T370" s="17"/>
      <c r="U370" s="17"/>
      <c r="V370" s="17"/>
      <c r="W370" s="17"/>
      <c r="X370" s="17"/>
      <c r="Y370" s="17"/>
    </row>
    <row r="371" ht="18.75" customHeight="1">
      <c r="A371" s="9">
        <v>1524.0</v>
      </c>
      <c r="B371" s="15"/>
      <c r="C371" s="15"/>
      <c r="D371" s="15"/>
      <c r="E371" s="15"/>
      <c r="F371" s="15"/>
      <c r="G371" s="12"/>
      <c r="H371" s="13"/>
      <c r="I371" s="11"/>
      <c r="J371" s="11"/>
      <c r="K371" s="14"/>
      <c r="L371" s="11"/>
      <c r="M371" s="15"/>
      <c r="N371" s="16"/>
      <c r="O371" s="16"/>
      <c r="P371" s="16"/>
      <c r="Q371" s="17"/>
      <c r="R371" s="17"/>
      <c r="S371" s="17"/>
      <c r="T371" s="17"/>
      <c r="U371" s="17"/>
      <c r="V371" s="17"/>
      <c r="W371" s="17"/>
      <c r="X371" s="17"/>
      <c r="Y371" s="17"/>
    </row>
    <row r="372" ht="18.75" customHeight="1">
      <c r="A372" s="9">
        <v>1525.0</v>
      </c>
      <c r="B372" s="15"/>
      <c r="C372" s="15"/>
      <c r="D372" s="15"/>
      <c r="E372" s="15"/>
      <c r="F372" s="15"/>
      <c r="G372" s="12"/>
      <c r="H372" s="13"/>
      <c r="I372" s="11"/>
      <c r="J372" s="11"/>
      <c r="K372" s="14"/>
      <c r="L372" s="11"/>
      <c r="M372" s="15"/>
      <c r="N372" s="16"/>
      <c r="O372" s="16"/>
      <c r="P372" s="16"/>
      <c r="Q372" s="17"/>
      <c r="R372" s="17"/>
      <c r="S372" s="17"/>
      <c r="T372" s="17"/>
      <c r="U372" s="17"/>
      <c r="V372" s="17"/>
      <c r="W372" s="17"/>
      <c r="X372" s="17"/>
      <c r="Y372" s="17"/>
    </row>
    <row r="373" ht="18.75" customHeight="1">
      <c r="A373" s="9">
        <v>1526.0</v>
      </c>
      <c r="B373" s="15"/>
      <c r="C373" s="15"/>
      <c r="D373" s="15"/>
      <c r="E373" s="15"/>
      <c r="F373" s="15"/>
      <c r="G373" s="12"/>
      <c r="H373" s="13"/>
      <c r="I373" s="11"/>
      <c r="J373" s="11"/>
      <c r="K373" s="14"/>
      <c r="L373" s="11"/>
      <c r="M373" s="15"/>
      <c r="N373" s="16"/>
      <c r="O373" s="16"/>
      <c r="P373" s="16"/>
      <c r="Q373" s="17"/>
      <c r="R373" s="17"/>
      <c r="S373" s="17"/>
      <c r="T373" s="17"/>
      <c r="U373" s="17"/>
      <c r="V373" s="17"/>
      <c r="W373" s="17"/>
      <c r="X373" s="17"/>
      <c r="Y373" s="17"/>
    </row>
    <row r="374" ht="18.75" customHeight="1">
      <c r="A374" s="9">
        <v>1527.0</v>
      </c>
      <c r="B374" s="15"/>
      <c r="C374" s="15"/>
      <c r="D374" s="15"/>
      <c r="E374" s="15"/>
      <c r="F374" s="15"/>
      <c r="G374" s="12"/>
      <c r="H374" s="13"/>
      <c r="I374" s="11"/>
      <c r="J374" s="11"/>
      <c r="K374" s="14"/>
      <c r="L374" s="11"/>
      <c r="M374" s="15"/>
      <c r="N374" s="16"/>
      <c r="O374" s="16"/>
      <c r="P374" s="16"/>
      <c r="Q374" s="17"/>
      <c r="R374" s="17"/>
      <c r="S374" s="17"/>
      <c r="T374" s="17"/>
      <c r="U374" s="17"/>
      <c r="V374" s="17"/>
      <c r="W374" s="17"/>
      <c r="X374" s="17"/>
      <c r="Y374" s="17"/>
    </row>
    <row r="375" ht="18.75" customHeight="1">
      <c r="A375" s="9">
        <v>1528.0</v>
      </c>
      <c r="B375" s="15"/>
      <c r="C375" s="15"/>
      <c r="D375" s="15"/>
      <c r="E375" s="15"/>
      <c r="F375" s="15"/>
      <c r="G375" s="12"/>
      <c r="H375" s="13"/>
      <c r="I375" s="11"/>
      <c r="J375" s="11"/>
      <c r="K375" s="14"/>
      <c r="L375" s="11"/>
      <c r="M375" s="15"/>
      <c r="N375" s="16"/>
      <c r="O375" s="16"/>
      <c r="P375" s="16"/>
      <c r="Q375" s="17"/>
      <c r="R375" s="17"/>
      <c r="S375" s="17"/>
      <c r="T375" s="17"/>
      <c r="U375" s="17"/>
      <c r="V375" s="17"/>
      <c r="W375" s="17"/>
      <c r="X375" s="17"/>
      <c r="Y375" s="17"/>
    </row>
    <row r="376" ht="18.75" customHeight="1">
      <c r="A376" s="9">
        <v>1529.0</v>
      </c>
      <c r="B376" s="15"/>
      <c r="C376" s="15"/>
      <c r="D376" s="15"/>
      <c r="E376" s="15"/>
      <c r="F376" s="15"/>
      <c r="G376" s="12"/>
      <c r="H376" s="13"/>
      <c r="I376" s="11"/>
      <c r="J376" s="11"/>
      <c r="K376" s="14"/>
      <c r="L376" s="11"/>
      <c r="M376" s="15"/>
      <c r="N376" s="16"/>
      <c r="O376" s="16"/>
      <c r="P376" s="16"/>
      <c r="Q376" s="17"/>
      <c r="R376" s="17"/>
      <c r="S376" s="17"/>
      <c r="T376" s="17"/>
      <c r="U376" s="17"/>
      <c r="V376" s="17"/>
      <c r="W376" s="17"/>
      <c r="X376" s="17"/>
      <c r="Y376" s="17"/>
    </row>
    <row r="377" ht="18.75" customHeight="1">
      <c r="A377" s="9">
        <v>1530.0</v>
      </c>
      <c r="B377" s="15"/>
      <c r="C377" s="15"/>
      <c r="D377" s="15"/>
      <c r="E377" s="15"/>
      <c r="F377" s="15"/>
      <c r="G377" s="12"/>
      <c r="H377" s="13"/>
      <c r="I377" s="11"/>
      <c r="J377" s="11"/>
      <c r="K377" s="14"/>
      <c r="L377" s="11"/>
      <c r="M377" s="15"/>
      <c r="N377" s="16"/>
      <c r="O377" s="16"/>
      <c r="P377" s="16"/>
      <c r="Q377" s="17"/>
      <c r="R377" s="17"/>
      <c r="S377" s="17"/>
      <c r="T377" s="17"/>
      <c r="U377" s="17"/>
      <c r="V377" s="17"/>
      <c r="W377" s="17"/>
      <c r="X377" s="17"/>
      <c r="Y377" s="17"/>
    </row>
    <row r="378" ht="18.75" customHeight="1">
      <c r="A378" s="9">
        <v>1531.0</v>
      </c>
      <c r="B378" s="15"/>
      <c r="C378" s="15"/>
      <c r="D378" s="15"/>
      <c r="E378" s="15"/>
      <c r="F378" s="15"/>
      <c r="G378" s="12"/>
      <c r="H378" s="13"/>
      <c r="I378" s="11"/>
      <c r="J378" s="11"/>
      <c r="K378" s="14"/>
      <c r="L378" s="11"/>
      <c r="M378" s="15"/>
      <c r="N378" s="16"/>
      <c r="O378" s="16"/>
      <c r="P378" s="16"/>
      <c r="Q378" s="17"/>
      <c r="R378" s="17"/>
      <c r="S378" s="17"/>
      <c r="T378" s="17"/>
      <c r="U378" s="17"/>
      <c r="V378" s="17"/>
      <c r="W378" s="17"/>
      <c r="X378" s="17"/>
      <c r="Y378" s="17"/>
    </row>
    <row r="379" ht="18.75" customHeight="1">
      <c r="A379" s="9">
        <v>1532.0</v>
      </c>
      <c r="B379" s="15"/>
      <c r="C379" s="15"/>
      <c r="D379" s="15"/>
      <c r="E379" s="15"/>
      <c r="F379" s="15"/>
      <c r="G379" s="12"/>
      <c r="H379" s="13"/>
      <c r="I379" s="11"/>
      <c r="J379" s="11"/>
      <c r="K379" s="14"/>
      <c r="L379" s="11"/>
      <c r="M379" s="15"/>
      <c r="N379" s="16"/>
      <c r="O379" s="16"/>
      <c r="P379" s="16"/>
      <c r="Q379" s="17"/>
      <c r="R379" s="17"/>
      <c r="S379" s="17"/>
      <c r="T379" s="17"/>
      <c r="U379" s="17"/>
      <c r="V379" s="17"/>
      <c r="W379" s="17"/>
      <c r="X379" s="17"/>
      <c r="Y379" s="17"/>
    </row>
    <row r="380" ht="18.75" customHeight="1">
      <c r="A380" s="9">
        <v>1533.0</v>
      </c>
      <c r="B380" s="15"/>
      <c r="C380" s="15"/>
      <c r="D380" s="15"/>
      <c r="E380" s="15"/>
      <c r="F380" s="15"/>
      <c r="G380" s="12"/>
      <c r="H380" s="13"/>
      <c r="I380" s="11"/>
      <c r="J380" s="11"/>
      <c r="K380" s="14"/>
      <c r="L380" s="11"/>
      <c r="M380" s="15"/>
      <c r="N380" s="16"/>
      <c r="O380" s="16"/>
      <c r="P380" s="16"/>
      <c r="Q380" s="17"/>
      <c r="R380" s="17"/>
      <c r="S380" s="17"/>
      <c r="T380" s="17"/>
      <c r="U380" s="17"/>
      <c r="V380" s="17"/>
      <c r="W380" s="17"/>
      <c r="X380" s="17"/>
      <c r="Y380" s="17"/>
    </row>
    <row r="381" ht="18.75" customHeight="1">
      <c r="A381" s="9">
        <v>1534.0</v>
      </c>
      <c r="B381" s="15"/>
      <c r="C381" s="15"/>
      <c r="D381" s="15"/>
      <c r="E381" s="15"/>
      <c r="F381" s="15"/>
      <c r="G381" s="12"/>
      <c r="H381" s="13"/>
      <c r="I381" s="11"/>
      <c r="J381" s="11"/>
      <c r="K381" s="14"/>
      <c r="L381" s="11"/>
      <c r="M381" s="15"/>
      <c r="N381" s="16"/>
      <c r="O381" s="16"/>
      <c r="P381" s="16"/>
      <c r="Q381" s="17"/>
      <c r="R381" s="17"/>
      <c r="S381" s="17"/>
      <c r="T381" s="17"/>
      <c r="U381" s="17"/>
      <c r="V381" s="17"/>
      <c r="W381" s="17"/>
      <c r="X381" s="17"/>
      <c r="Y381" s="17"/>
    </row>
    <row r="382" ht="18.75" customHeight="1">
      <c r="A382" s="9">
        <v>1535.0</v>
      </c>
      <c r="B382" s="15"/>
      <c r="C382" s="15"/>
      <c r="D382" s="15"/>
      <c r="E382" s="15"/>
      <c r="F382" s="15"/>
      <c r="G382" s="12"/>
      <c r="H382" s="13"/>
      <c r="I382" s="11"/>
      <c r="J382" s="11"/>
      <c r="K382" s="14"/>
      <c r="L382" s="11"/>
      <c r="M382" s="15"/>
      <c r="N382" s="16"/>
      <c r="O382" s="16"/>
      <c r="P382" s="16"/>
      <c r="Q382" s="17"/>
      <c r="R382" s="17"/>
      <c r="S382" s="17"/>
      <c r="T382" s="17"/>
      <c r="U382" s="17"/>
      <c r="V382" s="17"/>
      <c r="W382" s="17"/>
      <c r="X382" s="17"/>
      <c r="Y382" s="17"/>
    </row>
    <row r="383" ht="18.75" customHeight="1">
      <c r="A383" s="9">
        <v>1536.0</v>
      </c>
      <c r="B383" s="15"/>
      <c r="C383" s="15"/>
      <c r="D383" s="15"/>
      <c r="E383" s="15"/>
      <c r="F383" s="15"/>
      <c r="G383" s="12"/>
      <c r="H383" s="13"/>
      <c r="I383" s="11"/>
      <c r="J383" s="11"/>
      <c r="K383" s="14"/>
      <c r="L383" s="11"/>
      <c r="M383" s="15"/>
      <c r="N383" s="16"/>
      <c r="O383" s="16"/>
      <c r="P383" s="16"/>
      <c r="Q383" s="17"/>
      <c r="R383" s="17"/>
      <c r="S383" s="17"/>
      <c r="T383" s="17"/>
      <c r="U383" s="17"/>
      <c r="V383" s="17"/>
      <c r="W383" s="17"/>
      <c r="X383" s="17"/>
      <c r="Y383" s="17"/>
    </row>
    <row r="384" ht="18.75" customHeight="1">
      <c r="A384" s="9">
        <v>1537.0</v>
      </c>
      <c r="B384" s="15"/>
      <c r="C384" s="15"/>
      <c r="D384" s="15"/>
      <c r="E384" s="15"/>
      <c r="F384" s="15"/>
      <c r="G384" s="12"/>
      <c r="H384" s="13"/>
      <c r="I384" s="11"/>
      <c r="J384" s="11"/>
      <c r="K384" s="14"/>
      <c r="L384" s="11"/>
      <c r="M384" s="15"/>
      <c r="N384" s="16"/>
      <c r="O384" s="16"/>
      <c r="P384" s="16"/>
      <c r="Q384" s="17"/>
      <c r="R384" s="17"/>
      <c r="S384" s="17"/>
      <c r="T384" s="17"/>
      <c r="U384" s="17"/>
      <c r="V384" s="17"/>
      <c r="W384" s="17"/>
      <c r="X384" s="17"/>
      <c r="Y384" s="17"/>
    </row>
    <row r="385" ht="18.75" customHeight="1">
      <c r="A385" s="9">
        <v>1538.0</v>
      </c>
      <c r="B385" s="15"/>
      <c r="C385" s="15"/>
      <c r="D385" s="15"/>
      <c r="E385" s="15"/>
      <c r="F385" s="15"/>
      <c r="G385" s="12"/>
      <c r="H385" s="13"/>
      <c r="I385" s="11"/>
      <c r="J385" s="11"/>
      <c r="K385" s="14"/>
      <c r="L385" s="11"/>
      <c r="M385" s="15"/>
      <c r="N385" s="16"/>
      <c r="O385" s="16"/>
      <c r="P385" s="16"/>
      <c r="Q385" s="17"/>
      <c r="R385" s="17"/>
      <c r="S385" s="17"/>
      <c r="T385" s="17"/>
      <c r="U385" s="17"/>
      <c r="V385" s="17"/>
      <c r="W385" s="17"/>
      <c r="X385" s="17"/>
      <c r="Y385" s="17"/>
    </row>
    <row r="386" ht="18.75" customHeight="1">
      <c r="A386" s="9">
        <v>1539.0</v>
      </c>
      <c r="B386" s="15"/>
      <c r="C386" s="15"/>
      <c r="D386" s="15"/>
      <c r="E386" s="15"/>
      <c r="F386" s="15"/>
      <c r="G386" s="12"/>
      <c r="H386" s="13"/>
      <c r="I386" s="11"/>
      <c r="J386" s="11"/>
      <c r="K386" s="14"/>
      <c r="L386" s="11"/>
      <c r="M386" s="15"/>
      <c r="N386" s="16"/>
      <c r="O386" s="16"/>
      <c r="P386" s="16"/>
      <c r="Q386" s="17"/>
      <c r="R386" s="17"/>
      <c r="S386" s="17"/>
      <c r="T386" s="17"/>
      <c r="U386" s="17"/>
      <c r="V386" s="17"/>
      <c r="W386" s="17"/>
      <c r="X386" s="17"/>
      <c r="Y386" s="17"/>
    </row>
    <row r="387" ht="18.75" customHeight="1">
      <c r="A387" s="9">
        <v>1540.0</v>
      </c>
      <c r="B387" s="15"/>
      <c r="C387" s="15"/>
      <c r="D387" s="15"/>
      <c r="E387" s="15"/>
      <c r="F387" s="15"/>
      <c r="G387" s="12"/>
      <c r="H387" s="13"/>
      <c r="I387" s="11"/>
      <c r="J387" s="11"/>
      <c r="K387" s="14"/>
      <c r="L387" s="11"/>
      <c r="M387" s="15"/>
      <c r="N387" s="16"/>
      <c r="O387" s="16"/>
      <c r="P387" s="16"/>
      <c r="Q387" s="17"/>
      <c r="R387" s="17"/>
      <c r="S387" s="17"/>
      <c r="T387" s="17"/>
      <c r="U387" s="17"/>
      <c r="V387" s="17"/>
      <c r="W387" s="17"/>
      <c r="X387" s="17"/>
      <c r="Y387" s="17"/>
    </row>
    <row r="388" ht="18.75" customHeight="1">
      <c r="A388" s="9">
        <v>1541.0</v>
      </c>
      <c r="B388" s="15"/>
      <c r="C388" s="15"/>
      <c r="D388" s="15"/>
      <c r="E388" s="15"/>
      <c r="F388" s="15"/>
      <c r="G388" s="12"/>
      <c r="H388" s="13"/>
      <c r="I388" s="11"/>
      <c r="J388" s="11"/>
      <c r="K388" s="14"/>
      <c r="L388" s="11"/>
      <c r="M388" s="15"/>
      <c r="N388" s="16"/>
      <c r="O388" s="16"/>
      <c r="P388" s="16"/>
      <c r="Q388" s="17"/>
      <c r="R388" s="17"/>
      <c r="S388" s="17"/>
      <c r="T388" s="17"/>
      <c r="U388" s="17"/>
      <c r="V388" s="17"/>
      <c r="W388" s="17"/>
      <c r="X388" s="17"/>
      <c r="Y388" s="17"/>
    </row>
    <row r="389" ht="18.75" customHeight="1">
      <c r="A389" s="9">
        <v>1542.0</v>
      </c>
      <c r="B389" s="15"/>
      <c r="C389" s="15"/>
      <c r="D389" s="15"/>
      <c r="E389" s="15"/>
      <c r="F389" s="15"/>
      <c r="G389" s="12"/>
      <c r="H389" s="13"/>
      <c r="I389" s="11"/>
      <c r="J389" s="11"/>
      <c r="K389" s="14"/>
      <c r="L389" s="11"/>
      <c r="M389" s="15"/>
      <c r="N389" s="16"/>
      <c r="O389" s="16"/>
      <c r="P389" s="16"/>
      <c r="Q389" s="17"/>
      <c r="R389" s="17"/>
      <c r="S389" s="17"/>
      <c r="T389" s="17"/>
      <c r="U389" s="17"/>
      <c r="V389" s="17"/>
      <c r="W389" s="17"/>
      <c r="X389" s="17"/>
      <c r="Y389" s="17"/>
    </row>
    <row r="390" ht="18.75" customHeight="1">
      <c r="A390" s="9">
        <v>1543.0</v>
      </c>
      <c r="B390" s="15"/>
      <c r="C390" s="15"/>
      <c r="D390" s="15"/>
      <c r="E390" s="15"/>
      <c r="F390" s="15"/>
      <c r="G390" s="12"/>
      <c r="H390" s="13"/>
      <c r="I390" s="11"/>
      <c r="J390" s="11"/>
      <c r="K390" s="14"/>
      <c r="L390" s="11"/>
      <c r="M390" s="15"/>
      <c r="N390" s="16"/>
      <c r="O390" s="16"/>
      <c r="P390" s="16"/>
      <c r="Q390" s="17"/>
      <c r="R390" s="17"/>
      <c r="S390" s="17"/>
      <c r="T390" s="17"/>
      <c r="U390" s="17"/>
      <c r="V390" s="17"/>
      <c r="W390" s="17"/>
      <c r="X390" s="17"/>
      <c r="Y390" s="17"/>
    </row>
    <row r="391" ht="18.75" customHeight="1">
      <c r="A391" s="9">
        <v>1544.0</v>
      </c>
      <c r="B391" s="15"/>
      <c r="C391" s="15"/>
      <c r="D391" s="15"/>
      <c r="E391" s="15"/>
      <c r="F391" s="15"/>
      <c r="G391" s="12"/>
      <c r="H391" s="13"/>
      <c r="I391" s="11"/>
      <c r="J391" s="11"/>
      <c r="K391" s="14"/>
      <c r="L391" s="11"/>
      <c r="M391" s="15"/>
      <c r="N391" s="16"/>
      <c r="O391" s="16"/>
      <c r="P391" s="16"/>
      <c r="Q391" s="17"/>
      <c r="R391" s="17"/>
      <c r="S391" s="17"/>
      <c r="T391" s="17"/>
      <c r="U391" s="17"/>
      <c r="V391" s="17"/>
      <c r="W391" s="17"/>
      <c r="X391" s="17"/>
      <c r="Y391" s="17"/>
    </row>
    <row r="392" ht="18.75" customHeight="1">
      <c r="A392" s="9">
        <v>1545.0</v>
      </c>
      <c r="B392" s="15"/>
      <c r="C392" s="15"/>
      <c r="D392" s="15"/>
      <c r="E392" s="15"/>
      <c r="F392" s="15"/>
      <c r="G392" s="12"/>
      <c r="H392" s="13"/>
      <c r="I392" s="11"/>
      <c r="J392" s="11"/>
      <c r="K392" s="14"/>
      <c r="L392" s="11"/>
      <c r="M392" s="15"/>
      <c r="N392" s="16"/>
      <c r="O392" s="16"/>
      <c r="P392" s="16"/>
      <c r="Q392" s="17"/>
      <c r="R392" s="17"/>
      <c r="S392" s="17"/>
      <c r="T392" s="17"/>
      <c r="U392" s="17"/>
      <c r="V392" s="17"/>
      <c r="W392" s="17"/>
      <c r="X392" s="17"/>
      <c r="Y392" s="17"/>
    </row>
    <row r="393" ht="18.75" customHeight="1">
      <c r="A393" s="9">
        <v>1546.0</v>
      </c>
      <c r="B393" s="15"/>
      <c r="C393" s="15"/>
      <c r="D393" s="15"/>
      <c r="E393" s="15"/>
      <c r="F393" s="15"/>
      <c r="G393" s="12"/>
      <c r="H393" s="13"/>
      <c r="I393" s="11"/>
      <c r="J393" s="11"/>
      <c r="K393" s="14"/>
      <c r="L393" s="11"/>
      <c r="M393" s="15"/>
      <c r="N393" s="16"/>
      <c r="O393" s="16"/>
      <c r="P393" s="16"/>
      <c r="Q393" s="17"/>
      <c r="R393" s="17"/>
      <c r="S393" s="17"/>
      <c r="T393" s="17"/>
      <c r="U393" s="17"/>
      <c r="V393" s="17"/>
      <c r="W393" s="17"/>
      <c r="X393" s="17"/>
      <c r="Y393" s="17"/>
    </row>
    <row r="394" ht="18.75" customHeight="1">
      <c r="A394" s="9">
        <v>1547.0</v>
      </c>
      <c r="B394" s="15"/>
      <c r="C394" s="15"/>
      <c r="D394" s="15"/>
      <c r="E394" s="15"/>
      <c r="F394" s="15"/>
      <c r="G394" s="12"/>
      <c r="H394" s="13"/>
      <c r="I394" s="11"/>
      <c r="J394" s="11"/>
      <c r="K394" s="14"/>
      <c r="L394" s="11"/>
      <c r="M394" s="15"/>
      <c r="N394" s="16"/>
      <c r="O394" s="16"/>
      <c r="P394" s="16"/>
      <c r="Q394" s="17"/>
      <c r="R394" s="17"/>
      <c r="S394" s="17"/>
      <c r="T394" s="17"/>
      <c r="U394" s="17"/>
      <c r="V394" s="17"/>
      <c r="W394" s="17"/>
      <c r="X394" s="17"/>
      <c r="Y394" s="17"/>
    </row>
    <row r="395" ht="18.75" customHeight="1">
      <c r="A395" s="9">
        <v>1548.0</v>
      </c>
      <c r="B395" s="15"/>
      <c r="C395" s="15"/>
      <c r="D395" s="15"/>
      <c r="E395" s="15"/>
      <c r="F395" s="15"/>
      <c r="G395" s="12"/>
      <c r="H395" s="13"/>
      <c r="I395" s="11"/>
      <c r="J395" s="11"/>
      <c r="K395" s="14"/>
      <c r="L395" s="11"/>
      <c r="M395" s="15"/>
      <c r="N395" s="16"/>
      <c r="O395" s="16"/>
      <c r="P395" s="16"/>
      <c r="Q395" s="17"/>
      <c r="R395" s="17"/>
      <c r="S395" s="17"/>
      <c r="T395" s="17"/>
      <c r="U395" s="17"/>
      <c r="V395" s="17"/>
      <c r="W395" s="17"/>
      <c r="X395" s="17"/>
      <c r="Y395" s="17"/>
    </row>
    <row r="396" ht="18.75" customHeight="1">
      <c r="A396" s="9">
        <v>1549.0</v>
      </c>
      <c r="B396" s="15"/>
      <c r="C396" s="15"/>
      <c r="D396" s="15"/>
      <c r="E396" s="15"/>
      <c r="F396" s="15"/>
      <c r="G396" s="12"/>
      <c r="H396" s="13"/>
      <c r="I396" s="11"/>
      <c r="J396" s="11"/>
      <c r="K396" s="14"/>
      <c r="L396" s="11"/>
      <c r="M396" s="15"/>
      <c r="N396" s="16"/>
      <c r="O396" s="16"/>
      <c r="P396" s="16"/>
      <c r="Q396" s="17"/>
      <c r="R396" s="17"/>
      <c r="S396" s="17"/>
      <c r="T396" s="17"/>
      <c r="U396" s="17"/>
      <c r="V396" s="17"/>
      <c r="W396" s="17"/>
      <c r="X396" s="17"/>
      <c r="Y396" s="17"/>
    </row>
    <row r="397" ht="18.75" customHeight="1">
      <c r="A397" s="9">
        <v>1550.0</v>
      </c>
      <c r="B397" s="15"/>
      <c r="C397" s="15"/>
      <c r="D397" s="15"/>
      <c r="E397" s="15"/>
      <c r="F397" s="15"/>
      <c r="G397" s="12"/>
      <c r="H397" s="13"/>
      <c r="I397" s="11"/>
      <c r="J397" s="11"/>
      <c r="K397" s="14"/>
      <c r="L397" s="11"/>
      <c r="M397" s="15"/>
      <c r="N397" s="16"/>
      <c r="O397" s="16"/>
      <c r="P397" s="16"/>
      <c r="Q397" s="17"/>
      <c r="R397" s="17"/>
      <c r="S397" s="17"/>
      <c r="T397" s="17"/>
      <c r="U397" s="17"/>
      <c r="V397" s="17"/>
      <c r="W397" s="17"/>
      <c r="X397" s="17"/>
      <c r="Y397" s="17"/>
    </row>
    <row r="398" ht="18.75" customHeight="1">
      <c r="A398" s="9">
        <v>1551.0</v>
      </c>
      <c r="B398" s="15"/>
      <c r="C398" s="15"/>
      <c r="D398" s="15"/>
      <c r="E398" s="15"/>
      <c r="F398" s="15"/>
      <c r="G398" s="12"/>
      <c r="H398" s="13"/>
      <c r="I398" s="11"/>
      <c r="J398" s="11"/>
      <c r="K398" s="14"/>
      <c r="L398" s="11"/>
      <c r="M398" s="15"/>
      <c r="N398" s="16"/>
      <c r="O398" s="16"/>
      <c r="P398" s="16"/>
      <c r="Q398" s="17"/>
      <c r="R398" s="17"/>
      <c r="S398" s="17"/>
      <c r="T398" s="17"/>
      <c r="U398" s="17"/>
      <c r="V398" s="17"/>
      <c r="W398" s="17"/>
      <c r="X398" s="17"/>
      <c r="Y398" s="17"/>
    </row>
    <row r="399" ht="18.75" customHeight="1">
      <c r="A399" s="9">
        <v>1552.0</v>
      </c>
      <c r="B399" s="15"/>
      <c r="C399" s="15"/>
      <c r="D399" s="15"/>
      <c r="E399" s="15"/>
      <c r="F399" s="15"/>
      <c r="G399" s="12"/>
      <c r="H399" s="13"/>
      <c r="I399" s="11"/>
      <c r="J399" s="11"/>
      <c r="K399" s="14"/>
      <c r="L399" s="11"/>
      <c r="M399" s="15"/>
      <c r="N399" s="16"/>
      <c r="O399" s="16"/>
      <c r="P399" s="16"/>
      <c r="Q399" s="17"/>
      <c r="R399" s="17"/>
      <c r="S399" s="17"/>
      <c r="T399" s="17"/>
      <c r="U399" s="17"/>
      <c r="V399" s="17"/>
      <c r="W399" s="17"/>
      <c r="X399" s="17"/>
      <c r="Y399" s="17"/>
    </row>
    <row r="400" ht="18.75" customHeight="1">
      <c r="A400" s="9">
        <v>1553.0</v>
      </c>
      <c r="B400" s="15"/>
      <c r="C400" s="15"/>
      <c r="D400" s="15"/>
      <c r="E400" s="15"/>
      <c r="F400" s="15"/>
      <c r="G400" s="12"/>
      <c r="H400" s="13"/>
      <c r="I400" s="11"/>
      <c r="J400" s="11"/>
      <c r="K400" s="14"/>
      <c r="L400" s="11"/>
      <c r="M400" s="15"/>
      <c r="N400" s="16"/>
      <c r="O400" s="16"/>
      <c r="P400" s="16"/>
      <c r="Q400" s="17"/>
      <c r="R400" s="17"/>
      <c r="S400" s="17"/>
      <c r="T400" s="17"/>
      <c r="U400" s="17"/>
      <c r="V400" s="17"/>
      <c r="W400" s="17"/>
      <c r="X400" s="17"/>
      <c r="Y400" s="17"/>
    </row>
    <row r="401" ht="18.75" customHeight="1">
      <c r="A401" s="9">
        <v>1554.0</v>
      </c>
      <c r="B401" s="15"/>
      <c r="C401" s="15"/>
      <c r="D401" s="15"/>
      <c r="E401" s="15"/>
      <c r="F401" s="15"/>
      <c r="G401" s="12"/>
      <c r="H401" s="13"/>
      <c r="I401" s="11"/>
      <c r="J401" s="11"/>
      <c r="K401" s="14"/>
      <c r="L401" s="11"/>
      <c r="M401" s="15"/>
      <c r="N401" s="16"/>
      <c r="O401" s="16"/>
      <c r="P401" s="16"/>
      <c r="Q401" s="17"/>
      <c r="R401" s="17"/>
      <c r="S401" s="17"/>
      <c r="T401" s="17"/>
      <c r="U401" s="17"/>
      <c r="V401" s="17"/>
      <c r="W401" s="17"/>
      <c r="X401" s="17"/>
      <c r="Y401" s="17"/>
    </row>
    <row r="402" ht="18.75" customHeight="1">
      <c r="A402" s="9">
        <v>1555.0</v>
      </c>
      <c r="B402" s="15"/>
      <c r="C402" s="15"/>
      <c r="D402" s="15"/>
      <c r="E402" s="15"/>
      <c r="F402" s="15"/>
      <c r="G402" s="12"/>
      <c r="H402" s="13"/>
      <c r="I402" s="11"/>
      <c r="J402" s="11"/>
      <c r="K402" s="14"/>
      <c r="L402" s="11"/>
      <c r="M402" s="15"/>
      <c r="N402" s="16"/>
      <c r="O402" s="16"/>
      <c r="P402" s="16"/>
      <c r="Q402" s="17"/>
      <c r="R402" s="17"/>
      <c r="S402" s="17"/>
      <c r="T402" s="17"/>
      <c r="U402" s="17"/>
      <c r="V402" s="17"/>
      <c r="W402" s="17"/>
      <c r="X402" s="17"/>
      <c r="Y402" s="17"/>
    </row>
    <row r="403" ht="18.75" customHeight="1">
      <c r="A403" s="9">
        <v>1556.0</v>
      </c>
      <c r="B403" s="15"/>
      <c r="C403" s="15"/>
      <c r="D403" s="15"/>
      <c r="E403" s="15"/>
      <c r="F403" s="15"/>
      <c r="G403" s="12"/>
      <c r="H403" s="13"/>
      <c r="I403" s="11"/>
      <c r="J403" s="11"/>
      <c r="K403" s="14"/>
      <c r="L403" s="11"/>
      <c r="M403" s="15"/>
      <c r="N403" s="16"/>
      <c r="O403" s="16"/>
      <c r="P403" s="16"/>
      <c r="Q403" s="17"/>
      <c r="R403" s="17"/>
      <c r="S403" s="17"/>
      <c r="T403" s="17"/>
      <c r="U403" s="17"/>
      <c r="V403" s="17"/>
      <c r="W403" s="17"/>
      <c r="X403" s="17"/>
      <c r="Y403" s="17"/>
    </row>
    <row r="404" ht="18.75" customHeight="1">
      <c r="A404" s="9">
        <v>1557.0</v>
      </c>
      <c r="B404" s="15"/>
      <c r="C404" s="15"/>
      <c r="D404" s="15"/>
      <c r="E404" s="15"/>
      <c r="F404" s="15"/>
      <c r="G404" s="12"/>
      <c r="H404" s="13"/>
      <c r="I404" s="11"/>
      <c r="J404" s="11"/>
      <c r="K404" s="14"/>
      <c r="L404" s="11"/>
      <c r="M404" s="15"/>
      <c r="N404" s="16"/>
      <c r="O404" s="16"/>
      <c r="P404" s="16"/>
      <c r="Q404" s="17"/>
      <c r="R404" s="17"/>
      <c r="S404" s="17"/>
      <c r="T404" s="17"/>
      <c r="U404" s="17"/>
      <c r="V404" s="17"/>
      <c r="W404" s="17"/>
      <c r="X404" s="17"/>
      <c r="Y404" s="17"/>
    </row>
    <row r="405" ht="18.75" customHeight="1">
      <c r="A405" s="9">
        <v>1558.0</v>
      </c>
      <c r="B405" s="15"/>
      <c r="C405" s="15"/>
      <c r="D405" s="15"/>
      <c r="E405" s="15"/>
      <c r="F405" s="15"/>
      <c r="G405" s="12"/>
      <c r="H405" s="13"/>
      <c r="I405" s="11"/>
      <c r="J405" s="11"/>
      <c r="K405" s="14"/>
      <c r="L405" s="11"/>
      <c r="M405" s="15"/>
      <c r="N405" s="16"/>
      <c r="O405" s="16"/>
      <c r="P405" s="16"/>
      <c r="Q405" s="17"/>
      <c r="R405" s="17"/>
      <c r="S405" s="17"/>
      <c r="T405" s="17"/>
      <c r="U405" s="17"/>
      <c r="V405" s="17"/>
      <c r="W405" s="17"/>
      <c r="X405" s="17"/>
      <c r="Y405" s="17"/>
    </row>
    <row r="406" ht="18.75" customHeight="1">
      <c r="A406" s="9">
        <v>1559.0</v>
      </c>
      <c r="B406" s="15"/>
      <c r="C406" s="15"/>
      <c r="D406" s="15"/>
      <c r="E406" s="15"/>
      <c r="F406" s="15"/>
      <c r="G406" s="12"/>
      <c r="H406" s="13"/>
      <c r="I406" s="11"/>
      <c r="J406" s="11"/>
      <c r="K406" s="14"/>
      <c r="L406" s="11"/>
      <c r="M406" s="15"/>
      <c r="N406" s="16"/>
      <c r="O406" s="16"/>
      <c r="P406" s="16"/>
      <c r="Q406" s="17"/>
      <c r="R406" s="17"/>
      <c r="S406" s="17"/>
      <c r="T406" s="17"/>
      <c r="U406" s="17"/>
      <c r="V406" s="17"/>
      <c r="W406" s="17"/>
      <c r="X406" s="17"/>
      <c r="Y406" s="17"/>
    </row>
    <row r="407" ht="18.75" customHeight="1">
      <c r="A407" s="9">
        <v>1560.0</v>
      </c>
      <c r="B407" s="15"/>
      <c r="C407" s="15"/>
      <c r="D407" s="15"/>
      <c r="E407" s="15"/>
      <c r="F407" s="15"/>
      <c r="G407" s="12"/>
      <c r="H407" s="13"/>
      <c r="I407" s="11"/>
      <c r="J407" s="11"/>
      <c r="K407" s="14"/>
      <c r="L407" s="11"/>
      <c r="M407" s="15"/>
      <c r="N407" s="16"/>
      <c r="O407" s="16"/>
      <c r="P407" s="16"/>
      <c r="Q407" s="17"/>
      <c r="R407" s="17"/>
      <c r="S407" s="17"/>
      <c r="T407" s="17"/>
      <c r="U407" s="17"/>
      <c r="V407" s="17"/>
      <c r="W407" s="17"/>
      <c r="X407" s="17"/>
      <c r="Y407" s="17"/>
    </row>
    <row r="408" ht="18.75" customHeight="1">
      <c r="A408" s="9">
        <v>1561.0</v>
      </c>
      <c r="B408" s="15"/>
      <c r="C408" s="15"/>
      <c r="D408" s="15"/>
      <c r="E408" s="15"/>
      <c r="F408" s="15"/>
      <c r="G408" s="12"/>
      <c r="H408" s="13"/>
      <c r="I408" s="11"/>
      <c r="J408" s="11"/>
      <c r="K408" s="14"/>
      <c r="L408" s="11"/>
      <c r="M408" s="15"/>
      <c r="N408" s="16"/>
      <c r="O408" s="16"/>
      <c r="P408" s="16"/>
      <c r="Q408" s="17"/>
      <c r="R408" s="17"/>
      <c r="S408" s="17"/>
      <c r="T408" s="17"/>
      <c r="U408" s="17"/>
      <c r="V408" s="17"/>
      <c r="W408" s="17"/>
      <c r="X408" s="17"/>
      <c r="Y408" s="17"/>
    </row>
    <row r="409" ht="18.75" customHeight="1">
      <c r="A409" s="9">
        <v>1562.0</v>
      </c>
      <c r="B409" s="15"/>
      <c r="C409" s="15"/>
      <c r="D409" s="15"/>
      <c r="E409" s="15"/>
      <c r="F409" s="15"/>
      <c r="G409" s="12"/>
      <c r="H409" s="13"/>
      <c r="I409" s="11"/>
      <c r="J409" s="11"/>
      <c r="K409" s="14"/>
      <c r="L409" s="11"/>
      <c r="M409" s="15"/>
      <c r="N409" s="16"/>
      <c r="O409" s="16"/>
      <c r="P409" s="16"/>
      <c r="Q409" s="17"/>
      <c r="R409" s="17"/>
      <c r="S409" s="17"/>
      <c r="T409" s="17"/>
      <c r="U409" s="17"/>
      <c r="V409" s="17"/>
      <c r="W409" s="17"/>
      <c r="X409" s="17"/>
      <c r="Y409" s="17"/>
    </row>
    <row r="410" ht="18.75" customHeight="1">
      <c r="A410" s="9">
        <v>1563.0</v>
      </c>
      <c r="B410" s="15"/>
      <c r="C410" s="15"/>
      <c r="D410" s="15"/>
      <c r="E410" s="15"/>
      <c r="F410" s="15"/>
      <c r="G410" s="12"/>
      <c r="H410" s="13"/>
      <c r="I410" s="11"/>
      <c r="J410" s="11"/>
      <c r="K410" s="14"/>
      <c r="L410" s="11"/>
      <c r="M410" s="15"/>
      <c r="N410" s="16"/>
      <c r="O410" s="16"/>
      <c r="P410" s="16"/>
      <c r="Q410" s="17"/>
      <c r="R410" s="17"/>
      <c r="S410" s="17"/>
      <c r="T410" s="17"/>
      <c r="U410" s="17"/>
      <c r="V410" s="17"/>
      <c r="W410" s="17"/>
      <c r="X410" s="17"/>
      <c r="Y410" s="17"/>
    </row>
    <row r="411" ht="18.75" customHeight="1">
      <c r="A411" s="9">
        <v>1564.0</v>
      </c>
      <c r="B411" s="15"/>
      <c r="C411" s="15"/>
      <c r="D411" s="15"/>
      <c r="E411" s="15"/>
      <c r="F411" s="15"/>
      <c r="G411" s="12"/>
      <c r="H411" s="13"/>
      <c r="I411" s="11"/>
      <c r="J411" s="11"/>
      <c r="K411" s="14"/>
      <c r="L411" s="11"/>
      <c r="M411" s="15"/>
      <c r="N411" s="16"/>
      <c r="O411" s="16"/>
      <c r="P411" s="16"/>
      <c r="Q411" s="17"/>
      <c r="R411" s="17"/>
      <c r="S411" s="17"/>
      <c r="T411" s="17"/>
      <c r="U411" s="17"/>
      <c r="V411" s="17"/>
      <c r="W411" s="17"/>
      <c r="X411" s="17"/>
      <c r="Y411" s="17"/>
    </row>
    <row r="412" ht="18.75" customHeight="1">
      <c r="A412" s="9">
        <v>1565.0</v>
      </c>
      <c r="B412" s="15"/>
      <c r="C412" s="15"/>
      <c r="D412" s="15"/>
      <c r="E412" s="15"/>
      <c r="F412" s="15"/>
      <c r="G412" s="12"/>
      <c r="H412" s="13"/>
      <c r="I412" s="11"/>
      <c r="J412" s="11"/>
      <c r="K412" s="14"/>
      <c r="L412" s="11"/>
      <c r="M412" s="15"/>
      <c r="N412" s="16"/>
      <c r="O412" s="16"/>
      <c r="P412" s="16"/>
      <c r="Q412" s="17"/>
      <c r="R412" s="17"/>
      <c r="S412" s="17"/>
      <c r="T412" s="17"/>
      <c r="U412" s="17"/>
      <c r="V412" s="17"/>
      <c r="W412" s="17"/>
      <c r="X412" s="17"/>
      <c r="Y412" s="17"/>
    </row>
    <row r="413" ht="18.75" customHeight="1">
      <c r="A413" s="9">
        <v>1566.0</v>
      </c>
      <c r="B413" s="15"/>
      <c r="C413" s="15"/>
      <c r="D413" s="15"/>
      <c r="E413" s="15"/>
      <c r="F413" s="15"/>
      <c r="G413" s="12"/>
      <c r="H413" s="13"/>
      <c r="I413" s="11"/>
      <c r="J413" s="11"/>
      <c r="K413" s="14"/>
      <c r="L413" s="11"/>
      <c r="M413" s="15"/>
      <c r="N413" s="16"/>
      <c r="O413" s="16"/>
      <c r="P413" s="16"/>
      <c r="Q413" s="17"/>
      <c r="R413" s="17"/>
      <c r="S413" s="17"/>
      <c r="T413" s="17"/>
      <c r="U413" s="17"/>
      <c r="V413" s="17"/>
      <c r="W413" s="17"/>
      <c r="X413" s="17"/>
      <c r="Y413" s="17"/>
    </row>
    <row r="414" ht="18.75" customHeight="1">
      <c r="A414" s="9">
        <v>1567.0</v>
      </c>
      <c r="B414" s="15"/>
      <c r="C414" s="15"/>
      <c r="D414" s="15"/>
      <c r="E414" s="15"/>
      <c r="F414" s="15"/>
      <c r="G414" s="12"/>
      <c r="H414" s="13"/>
      <c r="I414" s="11"/>
      <c r="J414" s="11"/>
      <c r="K414" s="14"/>
      <c r="L414" s="11"/>
      <c r="M414" s="15"/>
      <c r="N414" s="16"/>
      <c r="O414" s="16"/>
      <c r="P414" s="16"/>
      <c r="Q414" s="17"/>
      <c r="R414" s="17"/>
      <c r="S414" s="17"/>
      <c r="T414" s="17"/>
      <c r="U414" s="17"/>
      <c r="V414" s="17"/>
      <c r="W414" s="17"/>
      <c r="X414" s="17"/>
      <c r="Y414" s="17"/>
    </row>
    <row r="415" ht="18.75" customHeight="1">
      <c r="A415" s="9">
        <v>1568.0</v>
      </c>
      <c r="B415" s="15"/>
      <c r="C415" s="15"/>
      <c r="D415" s="15"/>
      <c r="E415" s="15"/>
      <c r="F415" s="15"/>
      <c r="G415" s="12"/>
      <c r="H415" s="13"/>
      <c r="I415" s="11"/>
      <c r="J415" s="11"/>
      <c r="K415" s="14"/>
      <c r="L415" s="11"/>
      <c r="M415" s="15"/>
      <c r="N415" s="16"/>
      <c r="O415" s="16"/>
      <c r="P415" s="16"/>
      <c r="Q415" s="17"/>
      <c r="R415" s="17"/>
      <c r="S415" s="17"/>
      <c r="T415" s="17"/>
      <c r="U415" s="17"/>
      <c r="V415" s="17"/>
      <c r="W415" s="17"/>
      <c r="X415" s="17"/>
      <c r="Y415" s="17"/>
    </row>
    <row r="416" ht="18.75" customHeight="1">
      <c r="A416" s="9">
        <v>1569.0</v>
      </c>
      <c r="B416" s="15"/>
      <c r="C416" s="15"/>
      <c r="D416" s="15"/>
      <c r="E416" s="15"/>
      <c r="F416" s="15"/>
      <c r="G416" s="12"/>
      <c r="H416" s="13"/>
      <c r="I416" s="11"/>
      <c r="J416" s="11"/>
      <c r="K416" s="14"/>
      <c r="L416" s="11"/>
      <c r="M416" s="15"/>
      <c r="N416" s="16"/>
      <c r="O416" s="16"/>
      <c r="P416" s="16"/>
      <c r="Q416" s="17"/>
      <c r="R416" s="17"/>
      <c r="S416" s="17"/>
      <c r="T416" s="17"/>
      <c r="U416" s="17"/>
      <c r="V416" s="17"/>
      <c r="W416" s="17"/>
      <c r="X416" s="17"/>
      <c r="Y416" s="17"/>
    </row>
    <row r="417" ht="18.75" customHeight="1">
      <c r="A417" s="9">
        <v>1570.0</v>
      </c>
      <c r="B417" s="15"/>
      <c r="C417" s="15"/>
      <c r="D417" s="15"/>
      <c r="E417" s="15"/>
      <c r="F417" s="15"/>
      <c r="G417" s="12"/>
      <c r="H417" s="13"/>
      <c r="I417" s="11"/>
      <c r="J417" s="11"/>
      <c r="K417" s="14"/>
      <c r="L417" s="11"/>
      <c r="M417" s="15"/>
      <c r="N417" s="16"/>
      <c r="O417" s="16"/>
      <c r="P417" s="16"/>
      <c r="Q417" s="17"/>
      <c r="R417" s="17"/>
      <c r="S417" s="17"/>
      <c r="T417" s="17"/>
      <c r="U417" s="17"/>
      <c r="V417" s="17"/>
      <c r="W417" s="17"/>
      <c r="X417" s="17"/>
      <c r="Y417" s="17"/>
    </row>
    <row r="418" ht="18.75" customHeight="1">
      <c r="A418" s="9">
        <v>1571.0</v>
      </c>
      <c r="B418" s="15"/>
      <c r="C418" s="15"/>
      <c r="D418" s="15"/>
      <c r="E418" s="15"/>
      <c r="F418" s="15"/>
      <c r="G418" s="12"/>
      <c r="H418" s="13"/>
      <c r="I418" s="11"/>
      <c r="J418" s="11"/>
      <c r="K418" s="14"/>
      <c r="L418" s="11"/>
      <c r="M418" s="15"/>
      <c r="N418" s="16"/>
      <c r="O418" s="16"/>
      <c r="P418" s="16"/>
      <c r="Q418" s="17"/>
      <c r="R418" s="17"/>
      <c r="S418" s="17"/>
      <c r="T418" s="17"/>
      <c r="U418" s="17"/>
      <c r="V418" s="17"/>
      <c r="W418" s="17"/>
      <c r="X418" s="17"/>
      <c r="Y418" s="17"/>
    </row>
    <row r="419" ht="18.75" customHeight="1">
      <c r="A419" s="9">
        <v>1572.0</v>
      </c>
      <c r="B419" s="15"/>
      <c r="C419" s="15"/>
      <c r="D419" s="15"/>
      <c r="E419" s="15"/>
      <c r="F419" s="15"/>
      <c r="G419" s="12"/>
      <c r="H419" s="13"/>
      <c r="I419" s="11"/>
      <c r="J419" s="11"/>
      <c r="K419" s="14"/>
      <c r="L419" s="11"/>
      <c r="M419" s="15"/>
      <c r="N419" s="16"/>
      <c r="O419" s="16"/>
      <c r="P419" s="16"/>
      <c r="Q419" s="17"/>
      <c r="R419" s="17"/>
      <c r="S419" s="17"/>
      <c r="T419" s="17"/>
      <c r="U419" s="17"/>
      <c r="V419" s="17"/>
      <c r="W419" s="17"/>
      <c r="X419" s="17"/>
      <c r="Y419" s="17"/>
    </row>
    <row r="420" ht="18.75" customHeight="1">
      <c r="A420" s="9">
        <v>1573.0</v>
      </c>
      <c r="B420" s="15"/>
      <c r="C420" s="15"/>
      <c r="D420" s="15"/>
      <c r="E420" s="15"/>
      <c r="F420" s="15"/>
      <c r="G420" s="12"/>
      <c r="H420" s="13"/>
      <c r="I420" s="11"/>
      <c r="J420" s="11"/>
      <c r="K420" s="14"/>
      <c r="L420" s="11"/>
      <c r="M420" s="15"/>
      <c r="N420" s="16"/>
      <c r="O420" s="16"/>
      <c r="P420" s="16"/>
      <c r="Q420" s="17"/>
      <c r="R420" s="17"/>
      <c r="S420" s="17"/>
      <c r="T420" s="17"/>
      <c r="U420" s="17"/>
      <c r="V420" s="17"/>
      <c r="W420" s="17"/>
      <c r="X420" s="17"/>
      <c r="Y420" s="17"/>
    </row>
    <row r="421" ht="18.75" customHeight="1">
      <c r="A421" s="9">
        <v>1574.0</v>
      </c>
      <c r="B421" s="15"/>
      <c r="C421" s="15"/>
      <c r="D421" s="15"/>
      <c r="E421" s="15"/>
      <c r="F421" s="15"/>
      <c r="G421" s="12"/>
      <c r="H421" s="13"/>
      <c r="I421" s="11"/>
      <c r="J421" s="11"/>
      <c r="K421" s="14"/>
      <c r="L421" s="11"/>
      <c r="M421" s="15"/>
      <c r="N421" s="16"/>
      <c r="O421" s="16"/>
      <c r="P421" s="16"/>
      <c r="Q421" s="17"/>
      <c r="R421" s="17"/>
      <c r="S421" s="17"/>
      <c r="T421" s="17"/>
      <c r="U421" s="17"/>
      <c r="V421" s="17"/>
      <c r="W421" s="17"/>
      <c r="X421" s="17"/>
      <c r="Y421" s="17"/>
    </row>
    <row r="422" ht="18.75" customHeight="1">
      <c r="A422" s="9">
        <v>1575.0</v>
      </c>
      <c r="B422" s="15"/>
      <c r="C422" s="15"/>
      <c r="D422" s="15"/>
      <c r="E422" s="15"/>
      <c r="F422" s="15"/>
      <c r="G422" s="12"/>
      <c r="H422" s="13"/>
      <c r="I422" s="11"/>
      <c r="J422" s="11"/>
      <c r="K422" s="14"/>
      <c r="L422" s="11"/>
      <c r="M422" s="15"/>
      <c r="N422" s="16"/>
      <c r="O422" s="16"/>
      <c r="P422" s="16"/>
      <c r="Q422" s="17"/>
      <c r="R422" s="17"/>
      <c r="S422" s="17"/>
      <c r="T422" s="17"/>
      <c r="U422" s="17"/>
      <c r="V422" s="17"/>
      <c r="W422" s="17"/>
      <c r="X422" s="17"/>
      <c r="Y422" s="17"/>
    </row>
    <row r="423" ht="18.75" customHeight="1">
      <c r="A423" s="9">
        <v>1576.0</v>
      </c>
      <c r="B423" s="15"/>
      <c r="C423" s="15"/>
      <c r="D423" s="15"/>
      <c r="E423" s="15"/>
      <c r="F423" s="15"/>
      <c r="G423" s="12"/>
      <c r="H423" s="13"/>
      <c r="I423" s="11"/>
      <c r="J423" s="11"/>
      <c r="K423" s="14"/>
      <c r="L423" s="11"/>
      <c r="M423" s="15"/>
      <c r="N423" s="16"/>
      <c r="O423" s="16"/>
      <c r="P423" s="16"/>
      <c r="Q423" s="17"/>
      <c r="R423" s="17"/>
      <c r="S423" s="17"/>
      <c r="T423" s="17"/>
      <c r="U423" s="17"/>
      <c r="V423" s="17"/>
      <c r="W423" s="17"/>
      <c r="X423" s="17"/>
      <c r="Y423" s="17"/>
    </row>
    <row r="424" ht="18.75" customHeight="1">
      <c r="A424" s="9">
        <v>1577.0</v>
      </c>
      <c r="B424" s="15"/>
      <c r="C424" s="15"/>
      <c r="D424" s="15"/>
      <c r="E424" s="15"/>
      <c r="F424" s="15"/>
      <c r="G424" s="12"/>
      <c r="H424" s="13"/>
      <c r="I424" s="11"/>
      <c r="J424" s="11"/>
      <c r="K424" s="14"/>
      <c r="L424" s="11"/>
      <c r="M424" s="15"/>
      <c r="N424" s="16"/>
      <c r="O424" s="16"/>
      <c r="P424" s="16"/>
      <c r="Q424" s="17"/>
      <c r="R424" s="17"/>
      <c r="S424" s="17"/>
      <c r="T424" s="17"/>
      <c r="U424" s="17"/>
      <c r="V424" s="17"/>
      <c r="W424" s="17"/>
      <c r="X424" s="17"/>
      <c r="Y424" s="17"/>
    </row>
    <row r="425" ht="18.75" customHeight="1">
      <c r="A425" s="9">
        <v>1578.0</v>
      </c>
      <c r="B425" s="15"/>
      <c r="C425" s="15"/>
      <c r="D425" s="15"/>
      <c r="E425" s="15"/>
      <c r="F425" s="15"/>
      <c r="G425" s="12"/>
      <c r="H425" s="13"/>
      <c r="I425" s="11"/>
      <c r="J425" s="11"/>
      <c r="K425" s="14"/>
      <c r="L425" s="11"/>
      <c r="M425" s="15"/>
      <c r="N425" s="16"/>
      <c r="O425" s="16"/>
      <c r="P425" s="16"/>
      <c r="Q425" s="17"/>
      <c r="R425" s="17"/>
      <c r="S425" s="17"/>
      <c r="T425" s="17"/>
      <c r="U425" s="17"/>
      <c r="V425" s="17"/>
      <c r="W425" s="17"/>
      <c r="X425" s="17"/>
      <c r="Y425" s="17"/>
    </row>
    <row r="426" ht="18.75" customHeight="1">
      <c r="A426" s="9">
        <v>1579.0</v>
      </c>
      <c r="B426" s="15"/>
      <c r="C426" s="15"/>
      <c r="D426" s="15"/>
      <c r="E426" s="15"/>
      <c r="F426" s="15"/>
      <c r="G426" s="12"/>
      <c r="H426" s="13"/>
      <c r="I426" s="11"/>
      <c r="J426" s="11"/>
      <c r="K426" s="14"/>
      <c r="L426" s="11"/>
      <c r="M426" s="15"/>
      <c r="N426" s="16"/>
      <c r="O426" s="16"/>
      <c r="P426" s="16"/>
      <c r="Q426" s="17"/>
      <c r="R426" s="17"/>
      <c r="S426" s="17"/>
      <c r="T426" s="17"/>
      <c r="U426" s="17"/>
      <c r="V426" s="17"/>
      <c r="W426" s="17"/>
      <c r="X426" s="17"/>
      <c r="Y426" s="17"/>
    </row>
    <row r="427" ht="18.75" customHeight="1">
      <c r="A427" s="9">
        <v>1580.0</v>
      </c>
      <c r="B427" s="15"/>
      <c r="C427" s="15"/>
      <c r="D427" s="15"/>
      <c r="E427" s="15"/>
      <c r="F427" s="15"/>
      <c r="G427" s="12"/>
      <c r="H427" s="13"/>
      <c r="I427" s="11"/>
      <c r="J427" s="11"/>
      <c r="K427" s="14"/>
      <c r="L427" s="11"/>
      <c r="M427" s="15"/>
      <c r="N427" s="16"/>
      <c r="O427" s="16"/>
      <c r="P427" s="16"/>
      <c r="Q427" s="17"/>
      <c r="R427" s="17"/>
      <c r="S427" s="17"/>
      <c r="T427" s="17"/>
      <c r="U427" s="17"/>
      <c r="V427" s="17"/>
      <c r="W427" s="17"/>
      <c r="X427" s="17"/>
      <c r="Y427" s="17"/>
    </row>
    <row r="428" ht="18.75" customHeight="1">
      <c r="A428" s="9">
        <v>1581.0</v>
      </c>
      <c r="B428" s="15"/>
      <c r="C428" s="15"/>
      <c r="D428" s="15"/>
      <c r="E428" s="15"/>
      <c r="F428" s="15"/>
      <c r="G428" s="12"/>
      <c r="H428" s="13"/>
      <c r="I428" s="11"/>
      <c r="J428" s="11"/>
      <c r="K428" s="14"/>
      <c r="L428" s="11"/>
      <c r="M428" s="15"/>
      <c r="N428" s="16"/>
      <c r="O428" s="16"/>
      <c r="P428" s="16"/>
      <c r="Q428" s="17"/>
      <c r="R428" s="17"/>
      <c r="S428" s="17"/>
      <c r="T428" s="17"/>
      <c r="U428" s="17"/>
      <c r="V428" s="17"/>
      <c r="W428" s="17"/>
      <c r="X428" s="17"/>
      <c r="Y428" s="17"/>
    </row>
    <row r="429" ht="18.75" customHeight="1">
      <c r="A429" s="9">
        <v>1582.0</v>
      </c>
      <c r="B429" s="15"/>
      <c r="C429" s="15"/>
      <c r="D429" s="15"/>
      <c r="E429" s="15"/>
      <c r="F429" s="15"/>
      <c r="G429" s="12"/>
      <c r="H429" s="13"/>
      <c r="I429" s="11"/>
      <c r="J429" s="11"/>
      <c r="K429" s="14"/>
      <c r="L429" s="11"/>
      <c r="M429" s="15"/>
      <c r="N429" s="16"/>
      <c r="O429" s="16"/>
      <c r="P429" s="16"/>
      <c r="Q429" s="17"/>
      <c r="R429" s="17"/>
      <c r="S429" s="17"/>
      <c r="T429" s="17"/>
      <c r="U429" s="17"/>
      <c r="V429" s="17"/>
      <c r="W429" s="17"/>
      <c r="X429" s="17"/>
      <c r="Y429" s="17"/>
    </row>
    <row r="430" ht="18.75" customHeight="1">
      <c r="A430" s="9">
        <v>1583.0</v>
      </c>
      <c r="B430" s="15"/>
      <c r="C430" s="15"/>
      <c r="D430" s="15"/>
      <c r="E430" s="15"/>
      <c r="F430" s="15"/>
      <c r="G430" s="12"/>
      <c r="H430" s="13"/>
      <c r="I430" s="11"/>
      <c r="J430" s="11"/>
      <c r="K430" s="14"/>
      <c r="L430" s="11"/>
      <c r="M430" s="15"/>
      <c r="N430" s="16"/>
      <c r="O430" s="16"/>
      <c r="P430" s="16"/>
      <c r="Q430" s="17"/>
      <c r="R430" s="17"/>
      <c r="S430" s="17"/>
      <c r="T430" s="17"/>
      <c r="U430" s="17"/>
      <c r="V430" s="17"/>
      <c r="W430" s="17"/>
      <c r="X430" s="17"/>
      <c r="Y430" s="17"/>
    </row>
    <row r="431" ht="18.75" customHeight="1">
      <c r="A431" s="9">
        <v>1584.0</v>
      </c>
      <c r="B431" s="15"/>
      <c r="C431" s="15"/>
      <c r="D431" s="15"/>
      <c r="E431" s="15"/>
      <c r="F431" s="15"/>
      <c r="G431" s="12"/>
      <c r="H431" s="13"/>
      <c r="I431" s="11"/>
      <c r="J431" s="11"/>
      <c r="K431" s="14"/>
      <c r="L431" s="11"/>
      <c r="M431" s="15"/>
      <c r="N431" s="16"/>
      <c r="O431" s="16"/>
      <c r="P431" s="16"/>
      <c r="Q431" s="17"/>
      <c r="R431" s="17"/>
      <c r="S431" s="17"/>
      <c r="T431" s="17"/>
      <c r="U431" s="17"/>
      <c r="V431" s="17"/>
      <c r="W431" s="17"/>
      <c r="X431" s="17"/>
      <c r="Y431" s="17"/>
    </row>
    <row r="432" ht="18.75" customHeight="1">
      <c r="A432" s="9">
        <v>1585.0</v>
      </c>
      <c r="B432" s="15"/>
      <c r="C432" s="15"/>
      <c r="D432" s="15"/>
      <c r="E432" s="15"/>
      <c r="F432" s="15"/>
      <c r="G432" s="12"/>
      <c r="H432" s="13"/>
      <c r="I432" s="11"/>
      <c r="J432" s="11"/>
      <c r="K432" s="14"/>
      <c r="L432" s="11"/>
      <c r="M432" s="15"/>
      <c r="N432" s="16"/>
      <c r="O432" s="16"/>
      <c r="P432" s="16"/>
      <c r="Q432" s="17"/>
      <c r="R432" s="17"/>
      <c r="S432" s="17"/>
      <c r="T432" s="17"/>
      <c r="U432" s="17"/>
      <c r="V432" s="17"/>
      <c r="W432" s="17"/>
      <c r="X432" s="17"/>
      <c r="Y432" s="17"/>
    </row>
    <row r="433" ht="18.75" customHeight="1">
      <c r="A433" s="9">
        <v>1586.0</v>
      </c>
      <c r="B433" s="15"/>
      <c r="C433" s="15"/>
      <c r="D433" s="15"/>
      <c r="E433" s="15"/>
      <c r="F433" s="15"/>
      <c r="G433" s="12"/>
      <c r="H433" s="13"/>
      <c r="I433" s="11"/>
      <c r="J433" s="11"/>
      <c r="K433" s="14"/>
      <c r="L433" s="11"/>
      <c r="M433" s="15"/>
      <c r="N433" s="16"/>
      <c r="O433" s="16"/>
      <c r="P433" s="16"/>
      <c r="Q433" s="17"/>
      <c r="R433" s="17"/>
      <c r="S433" s="17"/>
      <c r="T433" s="17"/>
      <c r="U433" s="17"/>
      <c r="V433" s="17"/>
      <c r="W433" s="17"/>
      <c r="X433" s="17"/>
      <c r="Y433" s="17"/>
    </row>
    <row r="434" ht="18.75" customHeight="1">
      <c r="A434" s="9">
        <v>1587.0</v>
      </c>
      <c r="B434" s="15"/>
      <c r="C434" s="15"/>
      <c r="D434" s="15"/>
      <c r="E434" s="15"/>
      <c r="F434" s="15"/>
      <c r="G434" s="12"/>
      <c r="H434" s="13"/>
      <c r="I434" s="11"/>
      <c r="J434" s="11"/>
      <c r="K434" s="14"/>
      <c r="L434" s="11"/>
      <c r="M434" s="15"/>
      <c r="N434" s="16"/>
      <c r="O434" s="16"/>
      <c r="P434" s="16"/>
      <c r="Q434" s="17"/>
      <c r="R434" s="17"/>
      <c r="S434" s="17"/>
      <c r="T434" s="17"/>
      <c r="U434" s="17"/>
      <c r="V434" s="17"/>
      <c r="W434" s="17"/>
      <c r="X434" s="17"/>
      <c r="Y434" s="17"/>
    </row>
    <row r="435" ht="18.75" customHeight="1">
      <c r="A435" s="9">
        <v>1588.0</v>
      </c>
      <c r="B435" s="15"/>
      <c r="C435" s="15"/>
      <c r="D435" s="15"/>
      <c r="E435" s="15"/>
      <c r="F435" s="15"/>
      <c r="G435" s="12"/>
      <c r="H435" s="13"/>
      <c r="I435" s="11"/>
      <c r="J435" s="11"/>
      <c r="K435" s="14"/>
      <c r="L435" s="11"/>
      <c r="M435" s="15"/>
      <c r="N435" s="16"/>
      <c r="O435" s="16"/>
      <c r="P435" s="16"/>
      <c r="Q435" s="17"/>
      <c r="R435" s="17"/>
      <c r="S435" s="17"/>
      <c r="T435" s="17"/>
      <c r="U435" s="17"/>
      <c r="V435" s="17"/>
      <c r="W435" s="17"/>
      <c r="X435" s="17"/>
      <c r="Y435" s="17"/>
    </row>
    <row r="436" ht="18.75" customHeight="1">
      <c r="A436" s="9">
        <v>1589.0</v>
      </c>
      <c r="B436" s="15"/>
      <c r="C436" s="15"/>
      <c r="D436" s="15"/>
      <c r="E436" s="15"/>
      <c r="F436" s="15"/>
      <c r="G436" s="12"/>
      <c r="H436" s="13"/>
      <c r="I436" s="11"/>
      <c r="J436" s="11"/>
      <c r="K436" s="14"/>
      <c r="L436" s="11"/>
      <c r="M436" s="15"/>
      <c r="N436" s="16"/>
      <c r="O436" s="16"/>
      <c r="P436" s="16"/>
      <c r="Q436" s="17"/>
      <c r="R436" s="17"/>
      <c r="S436" s="17"/>
      <c r="T436" s="17"/>
      <c r="U436" s="17"/>
      <c r="V436" s="17"/>
      <c r="W436" s="17"/>
      <c r="X436" s="17"/>
      <c r="Y436" s="17"/>
    </row>
    <row r="437" ht="18.75" customHeight="1">
      <c r="A437" s="9">
        <v>1590.0</v>
      </c>
      <c r="B437" s="15"/>
      <c r="C437" s="15"/>
      <c r="D437" s="15"/>
      <c r="E437" s="15"/>
      <c r="F437" s="15"/>
      <c r="G437" s="12"/>
      <c r="H437" s="13"/>
      <c r="I437" s="11"/>
      <c r="J437" s="11"/>
      <c r="K437" s="14"/>
      <c r="L437" s="11"/>
      <c r="M437" s="15"/>
      <c r="N437" s="16"/>
      <c r="O437" s="16"/>
      <c r="P437" s="16"/>
      <c r="Q437" s="17"/>
      <c r="R437" s="17"/>
      <c r="S437" s="17"/>
      <c r="T437" s="17"/>
      <c r="U437" s="17"/>
      <c r="V437" s="17"/>
      <c r="W437" s="17"/>
      <c r="X437" s="17"/>
      <c r="Y437" s="17"/>
    </row>
    <row r="438" ht="18.75" customHeight="1">
      <c r="A438" s="9">
        <v>1591.0</v>
      </c>
      <c r="B438" s="15"/>
      <c r="C438" s="15"/>
      <c r="D438" s="15"/>
      <c r="E438" s="15"/>
      <c r="F438" s="15"/>
      <c r="G438" s="12"/>
      <c r="H438" s="13"/>
      <c r="I438" s="11"/>
      <c r="J438" s="11"/>
      <c r="K438" s="14"/>
      <c r="L438" s="11"/>
      <c r="M438" s="15"/>
      <c r="N438" s="16"/>
      <c r="O438" s="16"/>
      <c r="P438" s="16"/>
      <c r="Q438" s="17"/>
      <c r="R438" s="17"/>
      <c r="S438" s="17"/>
      <c r="T438" s="17"/>
      <c r="U438" s="17"/>
      <c r="V438" s="17"/>
      <c r="W438" s="17"/>
      <c r="X438" s="17"/>
      <c r="Y438" s="17"/>
    </row>
    <row r="439" ht="18.75" customHeight="1">
      <c r="A439" s="9">
        <v>1592.0</v>
      </c>
      <c r="B439" s="15"/>
      <c r="C439" s="15"/>
      <c r="D439" s="15"/>
      <c r="E439" s="15"/>
      <c r="F439" s="15"/>
      <c r="G439" s="12"/>
      <c r="H439" s="13"/>
      <c r="I439" s="11"/>
      <c r="J439" s="11"/>
      <c r="K439" s="14"/>
      <c r="L439" s="11"/>
      <c r="M439" s="15"/>
      <c r="N439" s="16"/>
      <c r="O439" s="16"/>
      <c r="P439" s="16"/>
      <c r="Q439" s="17"/>
      <c r="R439" s="17"/>
      <c r="S439" s="17"/>
      <c r="T439" s="17"/>
      <c r="U439" s="17"/>
      <c r="V439" s="17"/>
      <c r="W439" s="17"/>
      <c r="X439" s="17"/>
      <c r="Y439" s="17"/>
    </row>
    <row r="440" ht="18.75" customHeight="1">
      <c r="A440" s="9">
        <v>1593.0</v>
      </c>
      <c r="B440" s="15"/>
      <c r="C440" s="15"/>
      <c r="D440" s="15"/>
      <c r="E440" s="15"/>
      <c r="F440" s="15"/>
      <c r="G440" s="12"/>
      <c r="H440" s="13"/>
      <c r="I440" s="11"/>
      <c r="J440" s="11"/>
      <c r="K440" s="14"/>
      <c r="L440" s="11"/>
      <c r="M440" s="15"/>
      <c r="N440" s="16"/>
      <c r="O440" s="16"/>
      <c r="P440" s="16"/>
      <c r="Q440" s="17"/>
      <c r="R440" s="17"/>
      <c r="S440" s="17"/>
      <c r="T440" s="17"/>
      <c r="U440" s="17"/>
      <c r="V440" s="17"/>
      <c r="W440" s="17"/>
      <c r="X440" s="17"/>
      <c r="Y440" s="17"/>
    </row>
    <row r="441" ht="18.75" customHeight="1">
      <c r="A441" s="9">
        <v>1594.0</v>
      </c>
      <c r="B441" s="15"/>
      <c r="C441" s="15"/>
      <c r="D441" s="15"/>
      <c r="E441" s="15"/>
      <c r="F441" s="15"/>
      <c r="G441" s="12"/>
      <c r="H441" s="13"/>
      <c r="I441" s="11"/>
      <c r="J441" s="11"/>
      <c r="K441" s="14"/>
      <c r="L441" s="11"/>
      <c r="M441" s="15"/>
      <c r="N441" s="16"/>
      <c r="O441" s="16"/>
      <c r="P441" s="16"/>
      <c r="Q441" s="17"/>
      <c r="R441" s="17"/>
      <c r="S441" s="17"/>
      <c r="T441" s="17"/>
      <c r="U441" s="17"/>
      <c r="V441" s="17"/>
      <c r="W441" s="17"/>
      <c r="X441" s="17"/>
      <c r="Y441" s="17"/>
    </row>
    <row r="442" ht="18.75" customHeight="1">
      <c r="A442" s="9">
        <v>1595.0</v>
      </c>
      <c r="B442" s="15"/>
      <c r="C442" s="15"/>
      <c r="D442" s="15"/>
      <c r="E442" s="15"/>
      <c r="F442" s="15"/>
      <c r="G442" s="12"/>
      <c r="H442" s="13"/>
      <c r="I442" s="11"/>
      <c r="J442" s="11"/>
      <c r="K442" s="14"/>
      <c r="L442" s="11"/>
      <c r="M442" s="15"/>
      <c r="N442" s="16"/>
      <c r="O442" s="16"/>
      <c r="P442" s="16"/>
      <c r="Q442" s="17"/>
      <c r="R442" s="17"/>
      <c r="S442" s="17"/>
      <c r="T442" s="17"/>
      <c r="U442" s="17"/>
      <c r="V442" s="17"/>
      <c r="W442" s="17"/>
      <c r="X442" s="17"/>
      <c r="Y442" s="17"/>
    </row>
    <row r="443" ht="18.75" customHeight="1">
      <c r="A443" s="9">
        <v>1596.0</v>
      </c>
      <c r="B443" s="15"/>
      <c r="C443" s="15"/>
      <c r="D443" s="15"/>
      <c r="E443" s="15"/>
      <c r="F443" s="15"/>
      <c r="G443" s="12"/>
      <c r="H443" s="13"/>
      <c r="I443" s="11"/>
      <c r="J443" s="11"/>
      <c r="K443" s="14"/>
      <c r="L443" s="11"/>
      <c r="M443" s="15"/>
      <c r="N443" s="16"/>
      <c r="O443" s="16"/>
      <c r="P443" s="16"/>
      <c r="Q443" s="17"/>
      <c r="R443" s="17"/>
      <c r="S443" s="17"/>
      <c r="T443" s="17"/>
      <c r="U443" s="17"/>
      <c r="V443" s="17"/>
      <c r="W443" s="17"/>
      <c r="X443" s="17"/>
      <c r="Y443" s="17"/>
    </row>
    <row r="444" ht="18.75" customHeight="1">
      <c r="A444" s="9">
        <v>1597.0</v>
      </c>
      <c r="B444" s="15"/>
      <c r="C444" s="15"/>
      <c r="D444" s="15"/>
      <c r="E444" s="15"/>
      <c r="F444" s="15"/>
      <c r="G444" s="12"/>
      <c r="H444" s="13"/>
      <c r="I444" s="11"/>
      <c r="J444" s="11"/>
      <c r="K444" s="14"/>
      <c r="L444" s="11"/>
      <c r="M444" s="15"/>
      <c r="N444" s="16"/>
      <c r="O444" s="16"/>
      <c r="P444" s="16"/>
      <c r="Q444" s="17"/>
      <c r="R444" s="17"/>
      <c r="S444" s="17"/>
      <c r="T444" s="17"/>
      <c r="U444" s="17"/>
      <c r="V444" s="17"/>
      <c r="W444" s="17"/>
      <c r="X444" s="17"/>
      <c r="Y444" s="17"/>
    </row>
    <row r="445" ht="18.75" customHeight="1">
      <c r="A445" s="9">
        <v>1598.0</v>
      </c>
      <c r="B445" s="15"/>
      <c r="C445" s="15"/>
      <c r="D445" s="15"/>
      <c r="E445" s="15"/>
      <c r="F445" s="15"/>
      <c r="G445" s="12"/>
      <c r="H445" s="13"/>
      <c r="I445" s="11"/>
      <c r="J445" s="11"/>
      <c r="K445" s="14"/>
      <c r="L445" s="11"/>
      <c r="M445" s="15"/>
      <c r="N445" s="16"/>
      <c r="O445" s="16"/>
      <c r="P445" s="16"/>
      <c r="Q445" s="17"/>
      <c r="R445" s="17"/>
      <c r="S445" s="17"/>
      <c r="T445" s="17"/>
      <c r="U445" s="17"/>
      <c r="V445" s="17"/>
      <c r="W445" s="17"/>
      <c r="X445" s="17"/>
      <c r="Y445" s="17"/>
    </row>
    <row r="446" ht="18.75" customHeight="1">
      <c r="A446" s="9">
        <v>1599.0</v>
      </c>
      <c r="B446" s="15"/>
      <c r="C446" s="15"/>
      <c r="D446" s="15"/>
      <c r="E446" s="15"/>
      <c r="F446" s="15"/>
      <c r="G446" s="12"/>
      <c r="H446" s="13"/>
      <c r="I446" s="11"/>
      <c r="J446" s="11"/>
      <c r="K446" s="14"/>
      <c r="L446" s="11"/>
      <c r="M446" s="15"/>
      <c r="N446" s="16"/>
      <c r="O446" s="16"/>
      <c r="P446" s="16"/>
      <c r="Q446" s="17"/>
      <c r="R446" s="17"/>
      <c r="S446" s="17"/>
      <c r="T446" s="17"/>
      <c r="U446" s="17"/>
      <c r="V446" s="17"/>
      <c r="W446" s="17"/>
      <c r="X446" s="17"/>
      <c r="Y446" s="17"/>
    </row>
    <row r="447" ht="18.75" customHeight="1">
      <c r="A447" s="9">
        <v>1600.0</v>
      </c>
      <c r="B447" s="15"/>
      <c r="C447" s="15"/>
      <c r="D447" s="15"/>
      <c r="E447" s="15"/>
      <c r="F447" s="15"/>
      <c r="G447" s="12"/>
      <c r="H447" s="13"/>
      <c r="I447" s="11"/>
      <c r="J447" s="11"/>
      <c r="K447" s="14"/>
      <c r="L447" s="11"/>
      <c r="M447" s="15"/>
      <c r="N447" s="16"/>
      <c r="O447" s="16"/>
      <c r="P447" s="16"/>
      <c r="Q447" s="17"/>
      <c r="R447" s="17"/>
      <c r="S447" s="17"/>
      <c r="T447" s="17"/>
      <c r="U447" s="17"/>
      <c r="V447" s="17"/>
      <c r="W447" s="17"/>
      <c r="X447" s="17"/>
      <c r="Y447" s="17"/>
    </row>
    <row r="448" ht="18.75" customHeight="1">
      <c r="A448" s="9">
        <v>1601.0</v>
      </c>
      <c r="B448" s="15"/>
      <c r="C448" s="15"/>
      <c r="D448" s="15"/>
      <c r="E448" s="15"/>
      <c r="F448" s="15"/>
      <c r="G448" s="12"/>
      <c r="H448" s="13"/>
      <c r="I448" s="11"/>
      <c r="J448" s="11"/>
      <c r="K448" s="14"/>
      <c r="L448" s="11"/>
      <c r="M448" s="15"/>
      <c r="N448" s="16"/>
      <c r="O448" s="16"/>
      <c r="P448" s="16"/>
      <c r="Q448" s="17"/>
      <c r="R448" s="17"/>
      <c r="S448" s="17"/>
      <c r="T448" s="17"/>
      <c r="U448" s="17"/>
      <c r="V448" s="17"/>
      <c r="W448" s="17"/>
      <c r="X448" s="17"/>
      <c r="Y448" s="17"/>
    </row>
    <row r="449" ht="18.75" customHeight="1">
      <c r="A449" s="9">
        <v>1602.0</v>
      </c>
      <c r="B449" s="15"/>
      <c r="C449" s="15"/>
      <c r="D449" s="15"/>
      <c r="E449" s="15"/>
      <c r="F449" s="15"/>
      <c r="G449" s="12"/>
      <c r="H449" s="13"/>
      <c r="I449" s="11"/>
      <c r="J449" s="11"/>
      <c r="K449" s="14"/>
      <c r="L449" s="11"/>
      <c r="M449" s="15"/>
      <c r="N449" s="16"/>
      <c r="O449" s="16"/>
      <c r="P449" s="16"/>
      <c r="Q449" s="17"/>
      <c r="R449" s="17"/>
      <c r="S449" s="17"/>
      <c r="T449" s="17"/>
      <c r="U449" s="17"/>
      <c r="V449" s="17"/>
      <c r="W449" s="17"/>
      <c r="X449" s="17"/>
      <c r="Y449" s="17"/>
    </row>
    <row r="450" ht="18.75" customHeight="1">
      <c r="A450" s="9">
        <v>1603.0</v>
      </c>
      <c r="B450" s="15"/>
      <c r="C450" s="15"/>
      <c r="D450" s="15"/>
      <c r="E450" s="15"/>
      <c r="F450" s="15"/>
      <c r="G450" s="12"/>
      <c r="H450" s="13"/>
      <c r="I450" s="11"/>
      <c r="J450" s="11"/>
      <c r="K450" s="14"/>
      <c r="L450" s="11"/>
      <c r="M450" s="15"/>
      <c r="N450" s="16"/>
      <c r="O450" s="16"/>
      <c r="P450" s="16"/>
      <c r="Q450" s="17"/>
      <c r="R450" s="17"/>
      <c r="S450" s="17"/>
      <c r="T450" s="17"/>
      <c r="U450" s="17"/>
      <c r="V450" s="17"/>
      <c r="W450" s="17"/>
      <c r="X450" s="17"/>
      <c r="Y450" s="17"/>
    </row>
    <row r="451" ht="18.75" customHeight="1">
      <c r="A451" s="9">
        <v>1604.0</v>
      </c>
      <c r="B451" s="15"/>
      <c r="C451" s="15"/>
      <c r="D451" s="15"/>
      <c r="E451" s="15"/>
      <c r="F451" s="15"/>
      <c r="G451" s="12"/>
      <c r="H451" s="13"/>
      <c r="I451" s="11"/>
      <c r="J451" s="11"/>
      <c r="K451" s="14"/>
      <c r="L451" s="11"/>
      <c r="M451" s="15"/>
      <c r="N451" s="16"/>
      <c r="O451" s="16"/>
      <c r="P451" s="16"/>
      <c r="Q451" s="17"/>
      <c r="R451" s="17"/>
      <c r="S451" s="17"/>
      <c r="T451" s="17"/>
      <c r="U451" s="17"/>
      <c r="V451" s="17"/>
      <c r="W451" s="17"/>
      <c r="X451" s="17"/>
      <c r="Y451" s="17"/>
    </row>
    <row r="452" ht="18.75" customHeight="1">
      <c r="A452" s="9">
        <v>1605.0</v>
      </c>
      <c r="B452" s="15"/>
      <c r="C452" s="15"/>
      <c r="D452" s="15"/>
      <c r="E452" s="15"/>
      <c r="F452" s="15"/>
      <c r="G452" s="12"/>
      <c r="H452" s="13"/>
      <c r="I452" s="11"/>
      <c r="J452" s="11"/>
      <c r="K452" s="14"/>
      <c r="L452" s="11"/>
      <c r="M452" s="15"/>
      <c r="N452" s="16"/>
      <c r="O452" s="16"/>
      <c r="P452" s="16"/>
      <c r="Q452" s="17"/>
      <c r="R452" s="17"/>
      <c r="S452" s="17"/>
      <c r="T452" s="17"/>
      <c r="U452" s="17"/>
      <c r="V452" s="17"/>
      <c r="W452" s="17"/>
      <c r="X452" s="17"/>
      <c r="Y452" s="17"/>
    </row>
    <row r="453" ht="18.75" customHeight="1">
      <c r="A453" s="9">
        <v>1606.0</v>
      </c>
      <c r="B453" s="15"/>
      <c r="C453" s="15"/>
      <c r="D453" s="15"/>
      <c r="E453" s="15"/>
      <c r="F453" s="15"/>
      <c r="G453" s="12"/>
      <c r="H453" s="13"/>
      <c r="I453" s="11"/>
      <c r="J453" s="11"/>
      <c r="K453" s="14"/>
      <c r="L453" s="11"/>
      <c r="M453" s="15"/>
      <c r="N453" s="16"/>
      <c r="O453" s="16"/>
      <c r="P453" s="16"/>
      <c r="Q453" s="17"/>
      <c r="R453" s="17"/>
      <c r="S453" s="17"/>
      <c r="T453" s="17"/>
      <c r="U453" s="17"/>
      <c r="V453" s="17"/>
      <c r="W453" s="17"/>
      <c r="X453" s="17"/>
      <c r="Y453" s="17"/>
    </row>
    <row r="454" ht="18.75" customHeight="1">
      <c r="A454" s="9">
        <v>1607.0</v>
      </c>
      <c r="B454" s="15"/>
      <c r="C454" s="15"/>
      <c r="D454" s="15"/>
      <c r="E454" s="15"/>
      <c r="F454" s="15"/>
      <c r="G454" s="12"/>
      <c r="H454" s="13"/>
      <c r="I454" s="11"/>
      <c r="J454" s="11"/>
      <c r="K454" s="14"/>
      <c r="L454" s="11"/>
      <c r="M454" s="15"/>
      <c r="N454" s="16"/>
      <c r="O454" s="16"/>
      <c r="P454" s="16"/>
      <c r="Q454" s="17"/>
      <c r="R454" s="17"/>
      <c r="S454" s="17"/>
      <c r="T454" s="17"/>
      <c r="U454" s="17"/>
      <c r="V454" s="17"/>
      <c r="W454" s="17"/>
      <c r="X454" s="17"/>
      <c r="Y454" s="17"/>
    </row>
    <row r="455" ht="18.75" customHeight="1">
      <c r="A455" s="9">
        <v>1608.0</v>
      </c>
      <c r="B455" s="15"/>
      <c r="C455" s="15"/>
      <c r="D455" s="15"/>
      <c r="E455" s="15"/>
      <c r="F455" s="15"/>
      <c r="G455" s="12"/>
      <c r="H455" s="13"/>
      <c r="I455" s="11"/>
      <c r="J455" s="11"/>
      <c r="K455" s="14"/>
      <c r="L455" s="11"/>
      <c r="M455" s="15"/>
      <c r="N455" s="16"/>
      <c r="O455" s="16"/>
      <c r="P455" s="16"/>
      <c r="Q455" s="17"/>
      <c r="R455" s="17"/>
      <c r="S455" s="17"/>
      <c r="T455" s="17"/>
      <c r="U455" s="17"/>
      <c r="V455" s="17"/>
      <c r="W455" s="17"/>
      <c r="X455" s="17"/>
      <c r="Y455" s="17"/>
    </row>
    <row r="456" ht="18.75" customHeight="1">
      <c r="A456" s="9">
        <v>1609.0</v>
      </c>
      <c r="B456" s="15"/>
      <c r="C456" s="15"/>
      <c r="D456" s="15"/>
      <c r="E456" s="15"/>
      <c r="F456" s="15"/>
      <c r="G456" s="12"/>
      <c r="H456" s="13"/>
      <c r="I456" s="11"/>
      <c r="J456" s="11"/>
      <c r="K456" s="14"/>
      <c r="L456" s="11"/>
      <c r="M456" s="15"/>
      <c r="N456" s="16"/>
      <c r="O456" s="16"/>
      <c r="P456" s="16"/>
      <c r="Q456" s="17"/>
      <c r="R456" s="17"/>
      <c r="S456" s="17"/>
      <c r="T456" s="17"/>
      <c r="U456" s="17"/>
      <c r="V456" s="17"/>
      <c r="W456" s="17"/>
      <c r="X456" s="17"/>
      <c r="Y456" s="17"/>
    </row>
    <row r="457" ht="18.75" customHeight="1">
      <c r="A457" s="9">
        <v>1610.0</v>
      </c>
      <c r="B457" s="15"/>
      <c r="C457" s="15"/>
      <c r="D457" s="15"/>
      <c r="E457" s="15"/>
      <c r="F457" s="15"/>
      <c r="G457" s="12"/>
      <c r="H457" s="13"/>
      <c r="I457" s="11"/>
      <c r="J457" s="11"/>
      <c r="K457" s="14"/>
      <c r="L457" s="11"/>
      <c r="M457" s="15"/>
      <c r="N457" s="16"/>
      <c r="O457" s="16"/>
      <c r="P457" s="16"/>
      <c r="Q457" s="17"/>
      <c r="R457" s="17"/>
      <c r="S457" s="17"/>
      <c r="T457" s="17"/>
      <c r="U457" s="17"/>
      <c r="V457" s="17"/>
      <c r="W457" s="17"/>
      <c r="X457" s="17"/>
      <c r="Y457" s="17"/>
    </row>
    <row r="458" ht="18.75" customHeight="1">
      <c r="A458" s="9">
        <v>1611.0</v>
      </c>
      <c r="B458" s="15"/>
      <c r="C458" s="15"/>
      <c r="D458" s="15"/>
      <c r="E458" s="15"/>
      <c r="F458" s="15"/>
      <c r="G458" s="12"/>
      <c r="H458" s="13"/>
      <c r="I458" s="11"/>
      <c r="J458" s="11"/>
      <c r="K458" s="14"/>
      <c r="L458" s="11"/>
      <c r="M458" s="15"/>
      <c r="N458" s="16"/>
      <c r="O458" s="16"/>
      <c r="P458" s="16"/>
      <c r="Q458" s="17"/>
      <c r="R458" s="17"/>
      <c r="S458" s="17"/>
      <c r="T458" s="17"/>
      <c r="U458" s="17"/>
      <c r="V458" s="17"/>
      <c r="W458" s="17"/>
      <c r="X458" s="17"/>
      <c r="Y458" s="17"/>
    </row>
    <row r="459" ht="18.75" customHeight="1">
      <c r="A459" s="9">
        <v>1612.0</v>
      </c>
      <c r="B459" s="15"/>
      <c r="C459" s="15"/>
      <c r="D459" s="15"/>
      <c r="E459" s="15"/>
      <c r="F459" s="15"/>
      <c r="G459" s="12"/>
      <c r="H459" s="13"/>
      <c r="I459" s="11"/>
      <c r="J459" s="11"/>
      <c r="K459" s="14"/>
      <c r="L459" s="11"/>
      <c r="M459" s="15"/>
      <c r="N459" s="16"/>
      <c r="O459" s="16"/>
      <c r="P459" s="16"/>
      <c r="Q459" s="17"/>
      <c r="R459" s="17"/>
      <c r="S459" s="17"/>
      <c r="T459" s="17"/>
      <c r="U459" s="17"/>
      <c r="V459" s="17"/>
      <c r="W459" s="17"/>
      <c r="X459" s="17"/>
      <c r="Y459" s="17"/>
    </row>
    <row r="460" ht="18.75" customHeight="1">
      <c r="A460" s="9">
        <v>1613.0</v>
      </c>
      <c r="B460" s="15"/>
      <c r="C460" s="15"/>
      <c r="D460" s="15"/>
      <c r="E460" s="15"/>
      <c r="F460" s="15"/>
      <c r="G460" s="12"/>
      <c r="H460" s="13"/>
      <c r="I460" s="11"/>
      <c r="J460" s="11"/>
      <c r="K460" s="14"/>
      <c r="L460" s="11"/>
      <c r="M460" s="15"/>
      <c r="N460" s="16"/>
      <c r="O460" s="16"/>
      <c r="P460" s="16"/>
      <c r="Q460" s="17"/>
      <c r="R460" s="17"/>
      <c r="S460" s="17"/>
      <c r="T460" s="17"/>
      <c r="U460" s="17"/>
      <c r="V460" s="17"/>
      <c r="W460" s="17"/>
      <c r="X460" s="17"/>
      <c r="Y460" s="17"/>
    </row>
    <row r="461" ht="18.75" customHeight="1">
      <c r="A461" s="9">
        <v>1614.0</v>
      </c>
      <c r="B461" s="15"/>
      <c r="C461" s="15"/>
      <c r="D461" s="15"/>
      <c r="E461" s="15"/>
      <c r="F461" s="15"/>
      <c r="G461" s="12"/>
      <c r="H461" s="13"/>
      <c r="I461" s="11"/>
      <c r="J461" s="11"/>
      <c r="K461" s="14"/>
      <c r="L461" s="11"/>
      <c r="M461" s="15"/>
      <c r="N461" s="16"/>
      <c r="O461" s="16"/>
      <c r="P461" s="16"/>
      <c r="Q461" s="17"/>
      <c r="R461" s="17"/>
      <c r="S461" s="17"/>
      <c r="T461" s="17"/>
      <c r="U461" s="17"/>
      <c r="V461" s="17"/>
      <c r="W461" s="17"/>
      <c r="X461" s="17"/>
      <c r="Y461" s="17"/>
    </row>
    <row r="462" ht="18.75" customHeight="1">
      <c r="A462" s="9">
        <v>1615.0</v>
      </c>
      <c r="B462" s="15"/>
      <c r="C462" s="15"/>
      <c r="D462" s="15"/>
      <c r="E462" s="15"/>
      <c r="F462" s="15"/>
      <c r="G462" s="12"/>
      <c r="H462" s="13"/>
      <c r="I462" s="11"/>
      <c r="J462" s="11"/>
      <c r="K462" s="14"/>
      <c r="L462" s="11"/>
      <c r="M462" s="15"/>
      <c r="N462" s="16"/>
      <c r="O462" s="16"/>
      <c r="P462" s="16"/>
      <c r="Q462" s="17"/>
      <c r="R462" s="17"/>
      <c r="S462" s="17"/>
      <c r="T462" s="17"/>
      <c r="U462" s="17"/>
      <c r="V462" s="17"/>
      <c r="W462" s="17"/>
      <c r="X462" s="17"/>
      <c r="Y462" s="17"/>
    </row>
    <row r="463" ht="18.75" customHeight="1">
      <c r="A463" s="9">
        <v>1616.0</v>
      </c>
      <c r="B463" s="15"/>
      <c r="C463" s="15"/>
      <c r="D463" s="15"/>
      <c r="E463" s="15"/>
      <c r="F463" s="15"/>
      <c r="G463" s="12"/>
      <c r="H463" s="13"/>
      <c r="I463" s="11"/>
      <c r="J463" s="11"/>
      <c r="K463" s="14"/>
      <c r="L463" s="11"/>
      <c r="M463" s="15"/>
      <c r="N463" s="16"/>
      <c r="O463" s="16"/>
      <c r="P463" s="16"/>
      <c r="Q463" s="17"/>
      <c r="R463" s="17"/>
      <c r="S463" s="17"/>
      <c r="T463" s="17"/>
      <c r="U463" s="17"/>
      <c r="V463" s="17"/>
      <c r="W463" s="17"/>
      <c r="X463" s="17"/>
      <c r="Y463" s="17"/>
    </row>
    <row r="464" ht="18.75" customHeight="1">
      <c r="A464" s="9">
        <v>1617.0</v>
      </c>
      <c r="B464" s="15"/>
      <c r="C464" s="15"/>
      <c r="D464" s="15"/>
      <c r="E464" s="15"/>
      <c r="F464" s="15"/>
      <c r="G464" s="12"/>
      <c r="H464" s="13"/>
      <c r="I464" s="11"/>
      <c r="J464" s="11"/>
      <c r="K464" s="14"/>
      <c r="L464" s="11"/>
      <c r="M464" s="15"/>
      <c r="N464" s="16"/>
      <c r="O464" s="16"/>
      <c r="P464" s="16"/>
      <c r="Q464" s="17"/>
      <c r="R464" s="17"/>
      <c r="S464" s="17"/>
      <c r="T464" s="17"/>
      <c r="U464" s="17"/>
      <c r="V464" s="17"/>
      <c r="W464" s="17"/>
      <c r="X464" s="17"/>
      <c r="Y464" s="17"/>
    </row>
    <row r="465" ht="18.75" customHeight="1">
      <c r="A465" s="9">
        <v>1618.0</v>
      </c>
      <c r="B465" s="15"/>
      <c r="C465" s="15"/>
      <c r="D465" s="15"/>
      <c r="E465" s="15"/>
      <c r="F465" s="15"/>
      <c r="G465" s="12"/>
      <c r="H465" s="13"/>
      <c r="I465" s="11"/>
      <c r="J465" s="11"/>
      <c r="K465" s="14"/>
      <c r="L465" s="11"/>
      <c r="M465" s="15"/>
      <c r="N465" s="16"/>
      <c r="O465" s="16"/>
      <c r="P465" s="16"/>
      <c r="Q465" s="17"/>
      <c r="R465" s="17"/>
      <c r="S465" s="17"/>
      <c r="T465" s="17"/>
      <c r="U465" s="17"/>
      <c r="V465" s="17"/>
      <c r="W465" s="17"/>
      <c r="X465" s="17"/>
      <c r="Y465" s="17"/>
    </row>
    <row r="466" ht="18.75" customHeight="1">
      <c r="A466" s="9">
        <v>1619.0</v>
      </c>
      <c r="B466" s="15"/>
      <c r="C466" s="15"/>
      <c r="D466" s="15"/>
      <c r="E466" s="15"/>
      <c r="F466" s="15"/>
      <c r="G466" s="12"/>
      <c r="H466" s="13"/>
      <c r="I466" s="11"/>
      <c r="J466" s="11"/>
      <c r="K466" s="14"/>
      <c r="L466" s="11"/>
      <c r="M466" s="15"/>
      <c r="N466" s="16"/>
      <c r="O466" s="16"/>
      <c r="P466" s="16"/>
      <c r="Q466" s="17"/>
      <c r="R466" s="17"/>
      <c r="S466" s="17"/>
      <c r="T466" s="17"/>
      <c r="U466" s="17"/>
      <c r="V466" s="17"/>
      <c r="W466" s="17"/>
      <c r="X466" s="17"/>
      <c r="Y466" s="17"/>
    </row>
    <row r="467" ht="18.75" customHeight="1">
      <c r="A467" s="9">
        <v>1620.0</v>
      </c>
      <c r="B467" s="15"/>
      <c r="C467" s="15"/>
      <c r="D467" s="15"/>
      <c r="E467" s="15"/>
      <c r="F467" s="15"/>
      <c r="G467" s="12"/>
      <c r="H467" s="13"/>
      <c r="I467" s="11"/>
      <c r="J467" s="11"/>
      <c r="K467" s="14"/>
      <c r="L467" s="11"/>
      <c r="M467" s="15"/>
      <c r="N467" s="16"/>
      <c r="O467" s="16"/>
      <c r="P467" s="16"/>
      <c r="Q467" s="17"/>
      <c r="R467" s="17"/>
      <c r="S467" s="17"/>
      <c r="T467" s="17"/>
      <c r="U467" s="17"/>
      <c r="V467" s="17"/>
      <c r="W467" s="17"/>
      <c r="X467" s="17"/>
      <c r="Y467" s="17"/>
    </row>
    <row r="468" ht="18.75" customHeight="1">
      <c r="A468" s="9">
        <v>1621.0</v>
      </c>
      <c r="B468" s="15"/>
      <c r="C468" s="15"/>
      <c r="D468" s="15"/>
      <c r="E468" s="15"/>
      <c r="F468" s="15"/>
      <c r="G468" s="12"/>
      <c r="H468" s="13"/>
      <c r="I468" s="11"/>
      <c r="J468" s="11"/>
      <c r="K468" s="14"/>
      <c r="L468" s="11"/>
      <c r="M468" s="15"/>
      <c r="N468" s="16"/>
      <c r="O468" s="16"/>
      <c r="P468" s="16"/>
      <c r="Q468" s="17"/>
      <c r="R468" s="17"/>
      <c r="S468" s="17"/>
      <c r="T468" s="17"/>
      <c r="U468" s="17"/>
      <c r="V468" s="17"/>
      <c r="W468" s="17"/>
      <c r="X468" s="17"/>
      <c r="Y468" s="17"/>
    </row>
    <row r="469" ht="18.75" customHeight="1">
      <c r="A469" s="9">
        <v>1622.0</v>
      </c>
      <c r="B469" s="15"/>
      <c r="C469" s="15"/>
      <c r="D469" s="15"/>
      <c r="E469" s="15"/>
      <c r="F469" s="15"/>
      <c r="G469" s="12"/>
      <c r="H469" s="13"/>
      <c r="I469" s="11"/>
      <c r="J469" s="11"/>
      <c r="K469" s="14"/>
      <c r="L469" s="11"/>
      <c r="M469" s="15"/>
      <c r="N469" s="16"/>
      <c r="O469" s="16"/>
      <c r="P469" s="16"/>
      <c r="Q469" s="17"/>
      <c r="R469" s="17"/>
      <c r="S469" s="17"/>
      <c r="T469" s="17"/>
      <c r="U469" s="17"/>
      <c r="V469" s="17"/>
      <c r="W469" s="17"/>
      <c r="X469" s="17"/>
      <c r="Y469" s="17"/>
    </row>
    <row r="470" ht="18.75" customHeight="1">
      <c r="A470" s="9">
        <v>1623.0</v>
      </c>
      <c r="B470" s="15"/>
      <c r="C470" s="15"/>
      <c r="D470" s="15"/>
      <c r="E470" s="15"/>
      <c r="F470" s="15"/>
      <c r="G470" s="12"/>
      <c r="H470" s="13"/>
      <c r="I470" s="11"/>
      <c r="J470" s="11"/>
      <c r="K470" s="14"/>
      <c r="L470" s="11"/>
      <c r="M470" s="15"/>
      <c r="N470" s="16"/>
      <c r="O470" s="16"/>
      <c r="P470" s="16"/>
      <c r="Q470" s="17"/>
      <c r="R470" s="17"/>
      <c r="S470" s="17"/>
      <c r="T470" s="17"/>
      <c r="U470" s="17"/>
      <c r="V470" s="17"/>
      <c r="W470" s="17"/>
      <c r="X470" s="17"/>
      <c r="Y470" s="17"/>
    </row>
    <row r="471" ht="18.75" customHeight="1">
      <c r="A471" s="9">
        <v>1624.0</v>
      </c>
      <c r="B471" s="15"/>
      <c r="C471" s="15"/>
      <c r="D471" s="15"/>
      <c r="E471" s="15"/>
      <c r="F471" s="15"/>
      <c r="G471" s="12"/>
      <c r="H471" s="13"/>
      <c r="I471" s="11"/>
      <c r="J471" s="11"/>
      <c r="K471" s="14"/>
      <c r="L471" s="11"/>
      <c r="M471" s="15"/>
      <c r="N471" s="16"/>
      <c r="O471" s="16"/>
      <c r="P471" s="16"/>
      <c r="Q471" s="17"/>
      <c r="R471" s="17"/>
      <c r="S471" s="17"/>
      <c r="T471" s="17"/>
      <c r="U471" s="17"/>
      <c r="V471" s="17"/>
      <c r="W471" s="17"/>
      <c r="X471" s="17"/>
      <c r="Y471" s="17"/>
    </row>
    <row r="472" ht="18.75" customHeight="1">
      <c r="A472" s="9">
        <v>1625.0</v>
      </c>
      <c r="B472" s="15"/>
      <c r="C472" s="15"/>
      <c r="D472" s="15"/>
      <c r="E472" s="15"/>
      <c r="F472" s="15"/>
      <c r="G472" s="12"/>
      <c r="H472" s="13"/>
      <c r="I472" s="11"/>
      <c r="J472" s="11"/>
      <c r="K472" s="14"/>
      <c r="L472" s="11"/>
      <c r="M472" s="15"/>
      <c r="N472" s="16"/>
      <c r="O472" s="16"/>
      <c r="P472" s="16"/>
      <c r="Q472" s="17"/>
      <c r="R472" s="17"/>
      <c r="S472" s="17"/>
      <c r="T472" s="17"/>
      <c r="U472" s="17"/>
      <c r="V472" s="17"/>
      <c r="W472" s="17"/>
      <c r="X472" s="17"/>
      <c r="Y472" s="17"/>
    </row>
    <row r="473" ht="18.75" customHeight="1">
      <c r="A473" s="9">
        <v>1626.0</v>
      </c>
      <c r="B473" s="15"/>
      <c r="C473" s="15"/>
      <c r="D473" s="15"/>
      <c r="E473" s="15"/>
      <c r="F473" s="15"/>
      <c r="G473" s="12"/>
      <c r="H473" s="13"/>
      <c r="I473" s="11"/>
      <c r="J473" s="11"/>
      <c r="K473" s="14"/>
      <c r="L473" s="11"/>
      <c r="M473" s="15"/>
      <c r="N473" s="16"/>
      <c r="O473" s="16"/>
      <c r="P473" s="16"/>
      <c r="Q473" s="17"/>
      <c r="R473" s="17"/>
      <c r="S473" s="17"/>
      <c r="T473" s="17"/>
      <c r="U473" s="17"/>
      <c r="V473" s="17"/>
      <c r="W473" s="17"/>
      <c r="X473" s="17"/>
      <c r="Y473" s="17"/>
    </row>
    <row r="474" ht="18.75" customHeight="1">
      <c r="A474" s="9">
        <v>1627.0</v>
      </c>
      <c r="B474" s="15"/>
      <c r="C474" s="15"/>
      <c r="D474" s="15"/>
      <c r="E474" s="15"/>
      <c r="F474" s="15"/>
      <c r="G474" s="12"/>
      <c r="H474" s="13"/>
      <c r="I474" s="11"/>
      <c r="J474" s="11"/>
      <c r="K474" s="14"/>
      <c r="L474" s="11"/>
      <c r="M474" s="15"/>
      <c r="N474" s="16"/>
      <c r="O474" s="16"/>
      <c r="P474" s="16"/>
      <c r="Q474" s="17"/>
      <c r="R474" s="17"/>
      <c r="S474" s="17"/>
      <c r="T474" s="17"/>
      <c r="U474" s="17"/>
      <c r="V474" s="17"/>
      <c r="W474" s="17"/>
      <c r="X474" s="17"/>
      <c r="Y474" s="17"/>
    </row>
    <row r="475" ht="18.75" customHeight="1">
      <c r="A475" s="9">
        <v>1628.0</v>
      </c>
      <c r="B475" s="15"/>
      <c r="C475" s="15"/>
      <c r="D475" s="15"/>
      <c r="E475" s="15"/>
      <c r="F475" s="15"/>
      <c r="G475" s="12"/>
      <c r="H475" s="13"/>
      <c r="I475" s="11"/>
      <c r="J475" s="11"/>
      <c r="K475" s="14"/>
      <c r="L475" s="11"/>
      <c r="M475" s="15"/>
      <c r="N475" s="16"/>
      <c r="O475" s="16"/>
      <c r="P475" s="16"/>
      <c r="Q475" s="17"/>
      <c r="R475" s="17"/>
      <c r="S475" s="17"/>
      <c r="T475" s="17"/>
      <c r="U475" s="17"/>
      <c r="V475" s="17"/>
      <c r="W475" s="17"/>
      <c r="X475" s="17"/>
      <c r="Y475" s="17"/>
    </row>
    <row r="476" ht="18.75" customHeight="1">
      <c r="A476" s="9">
        <v>1629.0</v>
      </c>
      <c r="B476" s="15"/>
      <c r="C476" s="15"/>
      <c r="D476" s="15"/>
      <c r="E476" s="15"/>
      <c r="F476" s="15"/>
      <c r="G476" s="12"/>
      <c r="H476" s="13"/>
      <c r="I476" s="11"/>
      <c r="J476" s="11"/>
      <c r="K476" s="14"/>
      <c r="L476" s="11"/>
      <c r="M476" s="15"/>
      <c r="N476" s="16"/>
      <c r="O476" s="16"/>
      <c r="P476" s="16"/>
      <c r="Q476" s="17"/>
      <c r="R476" s="17"/>
      <c r="S476" s="17"/>
      <c r="T476" s="17"/>
      <c r="U476" s="17"/>
      <c r="V476" s="17"/>
      <c r="W476" s="17"/>
      <c r="X476" s="17"/>
      <c r="Y476" s="17"/>
    </row>
    <row r="477" ht="18.75" customHeight="1">
      <c r="A477" s="9">
        <v>1630.0</v>
      </c>
      <c r="B477" s="15"/>
      <c r="C477" s="15"/>
      <c r="D477" s="15"/>
      <c r="E477" s="15"/>
      <c r="F477" s="15"/>
      <c r="G477" s="12"/>
      <c r="H477" s="13"/>
      <c r="I477" s="11"/>
      <c r="J477" s="11"/>
      <c r="K477" s="14"/>
      <c r="L477" s="11"/>
      <c r="M477" s="15"/>
      <c r="N477" s="16"/>
      <c r="O477" s="16"/>
      <c r="P477" s="16"/>
      <c r="Q477" s="17"/>
      <c r="R477" s="17"/>
      <c r="S477" s="17"/>
      <c r="T477" s="17"/>
      <c r="U477" s="17"/>
      <c r="V477" s="17"/>
      <c r="W477" s="17"/>
      <c r="X477" s="17"/>
      <c r="Y477" s="17"/>
    </row>
    <row r="478" ht="18.75" customHeight="1">
      <c r="A478" s="9">
        <v>1631.0</v>
      </c>
      <c r="B478" s="15"/>
      <c r="C478" s="15"/>
      <c r="D478" s="15"/>
      <c r="E478" s="15"/>
      <c r="F478" s="15"/>
      <c r="G478" s="12"/>
      <c r="H478" s="13"/>
      <c r="I478" s="11"/>
      <c r="J478" s="11"/>
      <c r="K478" s="14"/>
      <c r="L478" s="11"/>
      <c r="M478" s="15"/>
      <c r="N478" s="16"/>
      <c r="O478" s="16"/>
      <c r="P478" s="16"/>
      <c r="Q478" s="17"/>
      <c r="R478" s="17"/>
      <c r="S478" s="17"/>
      <c r="T478" s="17"/>
      <c r="U478" s="17"/>
      <c r="V478" s="17"/>
      <c r="W478" s="17"/>
      <c r="X478" s="17"/>
      <c r="Y478" s="17"/>
    </row>
    <row r="479" ht="18.75" customHeight="1">
      <c r="A479" s="9">
        <v>1632.0</v>
      </c>
      <c r="B479" s="15"/>
      <c r="C479" s="15"/>
      <c r="D479" s="15"/>
      <c r="E479" s="15"/>
      <c r="F479" s="15"/>
      <c r="G479" s="12"/>
      <c r="H479" s="13"/>
      <c r="I479" s="11"/>
      <c r="J479" s="11"/>
      <c r="K479" s="14"/>
      <c r="L479" s="11"/>
      <c r="M479" s="15"/>
      <c r="N479" s="16"/>
      <c r="O479" s="16"/>
      <c r="P479" s="16"/>
      <c r="Q479" s="17"/>
      <c r="R479" s="17"/>
      <c r="S479" s="17"/>
      <c r="T479" s="17"/>
      <c r="U479" s="17"/>
      <c r="V479" s="17"/>
      <c r="W479" s="17"/>
      <c r="X479" s="17"/>
      <c r="Y479" s="17"/>
    </row>
    <row r="480" ht="18.75" customHeight="1">
      <c r="A480" s="9">
        <v>1633.0</v>
      </c>
      <c r="B480" s="15"/>
      <c r="C480" s="15"/>
      <c r="D480" s="15"/>
      <c r="E480" s="15"/>
      <c r="F480" s="15"/>
      <c r="G480" s="12"/>
      <c r="H480" s="13"/>
      <c r="I480" s="11"/>
      <c r="J480" s="11"/>
      <c r="K480" s="14"/>
      <c r="L480" s="11"/>
      <c r="M480" s="15"/>
      <c r="N480" s="16"/>
      <c r="O480" s="16"/>
      <c r="P480" s="16"/>
      <c r="Q480" s="17"/>
      <c r="R480" s="17"/>
      <c r="S480" s="17"/>
      <c r="T480" s="17"/>
      <c r="U480" s="17"/>
      <c r="V480" s="17"/>
      <c r="W480" s="17"/>
      <c r="X480" s="17"/>
      <c r="Y480" s="17"/>
    </row>
    <row r="481" ht="18.75" customHeight="1">
      <c r="A481" s="9">
        <v>1634.0</v>
      </c>
      <c r="B481" s="15"/>
      <c r="C481" s="15"/>
      <c r="D481" s="15"/>
      <c r="E481" s="15"/>
      <c r="F481" s="15"/>
      <c r="G481" s="12"/>
      <c r="H481" s="13"/>
      <c r="I481" s="11"/>
      <c r="J481" s="11"/>
      <c r="K481" s="14"/>
      <c r="L481" s="11"/>
      <c r="M481" s="15"/>
      <c r="N481" s="16"/>
      <c r="O481" s="16"/>
      <c r="P481" s="16"/>
      <c r="Q481" s="17"/>
      <c r="R481" s="17"/>
      <c r="S481" s="17"/>
      <c r="T481" s="17"/>
      <c r="U481" s="17"/>
      <c r="V481" s="17"/>
      <c r="W481" s="17"/>
      <c r="X481" s="17"/>
      <c r="Y481" s="17"/>
    </row>
    <row r="482" ht="18.75" customHeight="1">
      <c r="A482" s="9">
        <v>1635.0</v>
      </c>
      <c r="B482" s="15"/>
      <c r="C482" s="15"/>
      <c r="D482" s="15"/>
      <c r="E482" s="15"/>
      <c r="F482" s="15"/>
      <c r="G482" s="12"/>
      <c r="H482" s="13"/>
      <c r="I482" s="11"/>
      <c r="J482" s="11"/>
      <c r="K482" s="14"/>
      <c r="L482" s="11"/>
      <c r="M482" s="15"/>
      <c r="N482" s="16"/>
      <c r="O482" s="16"/>
      <c r="P482" s="16"/>
      <c r="Q482" s="17"/>
      <c r="R482" s="17"/>
      <c r="S482" s="17"/>
      <c r="T482" s="17"/>
      <c r="U482" s="17"/>
      <c r="V482" s="17"/>
      <c r="W482" s="17"/>
      <c r="X482" s="17"/>
      <c r="Y482" s="17"/>
    </row>
    <row r="483" ht="18.75" customHeight="1">
      <c r="A483" s="9">
        <v>1636.0</v>
      </c>
      <c r="B483" s="15"/>
      <c r="C483" s="15"/>
      <c r="D483" s="15"/>
      <c r="E483" s="15"/>
      <c r="F483" s="15"/>
      <c r="G483" s="12"/>
      <c r="H483" s="13"/>
      <c r="I483" s="11"/>
      <c r="J483" s="11"/>
      <c r="K483" s="14"/>
      <c r="L483" s="11"/>
      <c r="M483" s="15"/>
      <c r="N483" s="16"/>
      <c r="O483" s="16"/>
      <c r="P483" s="16"/>
      <c r="Q483" s="17"/>
      <c r="R483" s="17"/>
      <c r="S483" s="17"/>
      <c r="T483" s="17"/>
      <c r="U483" s="17"/>
      <c r="V483" s="17"/>
      <c r="W483" s="17"/>
      <c r="X483" s="17"/>
      <c r="Y483" s="17"/>
    </row>
    <row r="484" ht="18.75" customHeight="1">
      <c r="A484" s="9">
        <v>1637.0</v>
      </c>
      <c r="B484" s="15"/>
      <c r="C484" s="15"/>
      <c r="D484" s="15"/>
      <c r="E484" s="15"/>
      <c r="F484" s="15"/>
      <c r="G484" s="12"/>
      <c r="H484" s="13"/>
      <c r="I484" s="11"/>
      <c r="J484" s="11"/>
      <c r="K484" s="14"/>
      <c r="L484" s="11"/>
      <c r="M484" s="15"/>
      <c r="N484" s="16"/>
      <c r="O484" s="16"/>
      <c r="P484" s="16"/>
      <c r="Q484" s="17"/>
      <c r="R484" s="17"/>
      <c r="S484" s="17"/>
      <c r="T484" s="17"/>
      <c r="U484" s="17"/>
      <c r="V484" s="17"/>
      <c r="W484" s="17"/>
      <c r="X484" s="17"/>
      <c r="Y484" s="17"/>
    </row>
    <row r="485" ht="18.75" customHeight="1">
      <c r="A485" s="9">
        <v>1638.0</v>
      </c>
      <c r="B485" s="15"/>
      <c r="C485" s="15"/>
      <c r="D485" s="15"/>
      <c r="E485" s="15"/>
      <c r="F485" s="15"/>
      <c r="G485" s="12"/>
      <c r="H485" s="13"/>
      <c r="I485" s="11"/>
      <c r="J485" s="11"/>
      <c r="K485" s="14"/>
      <c r="L485" s="11"/>
      <c r="M485" s="15"/>
      <c r="N485" s="16"/>
      <c r="O485" s="16"/>
      <c r="P485" s="16"/>
      <c r="Q485" s="17"/>
      <c r="R485" s="17"/>
      <c r="S485" s="17"/>
      <c r="T485" s="17"/>
      <c r="U485" s="17"/>
      <c r="V485" s="17"/>
      <c r="W485" s="17"/>
      <c r="X485" s="17"/>
      <c r="Y485" s="17"/>
    </row>
    <row r="486" ht="18.75" customHeight="1">
      <c r="A486" s="9">
        <v>1639.0</v>
      </c>
      <c r="B486" s="15"/>
      <c r="C486" s="15"/>
      <c r="D486" s="15"/>
      <c r="E486" s="15"/>
      <c r="F486" s="15"/>
      <c r="G486" s="12"/>
      <c r="H486" s="13"/>
      <c r="I486" s="11"/>
      <c r="J486" s="11"/>
      <c r="K486" s="14"/>
      <c r="L486" s="11"/>
      <c r="M486" s="15"/>
      <c r="N486" s="16"/>
      <c r="O486" s="16"/>
      <c r="P486" s="16"/>
      <c r="Q486" s="17"/>
      <c r="R486" s="17"/>
      <c r="S486" s="17"/>
      <c r="T486" s="17"/>
      <c r="U486" s="17"/>
      <c r="V486" s="17"/>
      <c r="W486" s="17"/>
      <c r="X486" s="17"/>
      <c r="Y486" s="17"/>
    </row>
    <row r="487" ht="18.75" customHeight="1">
      <c r="A487" s="9">
        <v>1640.0</v>
      </c>
      <c r="B487" s="15"/>
      <c r="C487" s="15"/>
      <c r="D487" s="15"/>
      <c r="E487" s="15"/>
      <c r="F487" s="15"/>
      <c r="G487" s="12"/>
      <c r="H487" s="13"/>
      <c r="I487" s="11"/>
      <c r="J487" s="11"/>
      <c r="K487" s="14"/>
      <c r="L487" s="11"/>
      <c r="M487" s="15"/>
      <c r="N487" s="16"/>
      <c r="O487" s="16"/>
      <c r="P487" s="16"/>
      <c r="Q487" s="17"/>
      <c r="R487" s="17"/>
      <c r="S487" s="17"/>
      <c r="T487" s="17"/>
      <c r="U487" s="17"/>
      <c r="V487" s="17"/>
      <c r="W487" s="17"/>
      <c r="X487" s="17"/>
      <c r="Y487" s="17"/>
    </row>
    <row r="488" ht="18.75" customHeight="1">
      <c r="A488" s="9">
        <v>1641.0</v>
      </c>
      <c r="B488" s="15"/>
      <c r="C488" s="15"/>
      <c r="D488" s="15"/>
      <c r="E488" s="15"/>
      <c r="F488" s="15"/>
      <c r="G488" s="12"/>
      <c r="H488" s="13"/>
      <c r="I488" s="11"/>
      <c r="J488" s="11"/>
      <c r="K488" s="14"/>
      <c r="L488" s="11"/>
      <c r="M488" s="15"/>
      <c r="N488" s="16"/>
      <c r="O488" s="16"/>
      <c r="P488" s="16"/>
      <c r="Q488" s="17"/>
      <c r="R488" s="17"/>
      <c r="S488" s="17"/>
      <c r="T488" s="17"/>
      <c r="U488" s="17"/>
      <c r="V488" s="17"/>
      <c r="W488" s="17"/>
      <c r="X488" s="17"/>
      <c r="Y488" s="17"/>
    </row>
    <row r="489" ht="18.75" customHeight="1">
      <c r="A489" s="9">
        <v>1642.0</v>
      </c>
      <c r="B489" s="15"/>
      <c r="C489" s="15"/>
      <c r="D489" s="15"/>
      <c r="E489" s="15"/>
      <c r="F489" s="15"/>
      <c r="G489" s="12"/>
      <c r="H489" s="13"/>
      <c r="I489" s="11"/>
      <c r="J489" s="11"/>
      <c r="K489" s="14"/>
      <c r="L489" s="11"/>
      <c r="M489" s="15"/>
      <c r="N489" s="16"/>
      <c r="O489" s="16"/>
      <c r="P489" s="16"/>
      <c r="Q489" s="17"/>
      <c r="R489" s="17"/>
      <c r="S489" s="17"/>
      <c r="T489" s="17"/>
      <c r="U489" s="17"/>
      <c r="V489" s="17"/>
      <c r="W489" s="17"/>
      <c r="X489" s="17"/>
      <c r="Y489" s="17"/>
    </row>
    <row r="490" ht="18.75" customHeight="1">
      <c r="A490" s="9">
        <v>1643.0</v>
      </c>
      <c r="B490" s="15"/>
      <c r="C490" s="15"/>
      <c r="D490" s="15"/>
      <c r="E490" s="15"/>
      <c r="F490" s="15"/>
      <c r="G490" s="12"/>
      <c r="H490" s="13"/>
      <c r="I490" s="11"/>
      <c r="J490" s="11"/>
      <c r="K490" s="14"/>
      <c r="L490" s="11"/>
      <c r="M490" s="15"/>
      <c r="N490" s="16"/>
      <c r="O490" s="16"/>
      <c r="P490" s="16"/>
      <c r="Q490" s="17"/>
      <c r="R490" s="17"/>
      <c r="S490" s="17"/>
      <c r="T490" s="17"/>
      <c r="U490" s="17"/>
      <c r="V490" s="17"/>
      <c r="W490" s="17"/>
      <c r="X490" s="17"/>
      <c r="Y490" s="17"/>
    </row>
    <row r="491" ht="18.75" customHeight="1">
      <c r="A491" s="9">
        <v>1644.0</v>
      </c>
      <c r="B491" s="15"/>
      <c r="C491" s="15"/>
      <c r="D491" s="15"/>
      <c r="E491" s="15"/>
      <c r="F491" s="15"/>
      <c r="G491" s="12"/>
      <c r="H491" s="13"/>
      <c r="I491" s="11"/>
      <c r="J491" s="11"/>
      <c r="K491" s="14"/>
      <c r="L491" s="11"/>
      <c r="M491" s="15"/>
      <c r="N491" s="16"/>
      <c r="O491" s="16"/>
      <c r="P491" s="16"/>
      <c r="Q491" s="17"/>
      <c r="R491" s="17"/>
      <c r="S491" s="17"/>
      <c r="T491" s="17"/>
      <c r="U491" s="17"/>
      <c r="V491" s="17"/>
      <c r="W491" s="17"/>
      <c r="X491" s="17"/>
      <c r="Y491" s="17"/>
    </row>
    <row r="492" ht="18.75" customHeight="1">
      <c r="A492" s="9">
        <v>1645.0</v>
      </c>
      <c r="B492" s="15"/>
      <c r="C492" s="15"/>
      <c r="D492" s="15"/>
      <c r="E492" s="15"/>
      <c r="F492" s="15"/>
      <c r="G492" s="12"/>
      <c r="H492" s="13"/>
      <c r="I492" s="11"/>
      <c r="J492" s="11"/>
      <c r="K492" s="14"/>
      <c r="L492" s="11"/>
      <c r="M492" s="15"/>
      <c r="N492" s="16"/>
      <c r="O492" s="16"/>
      <c r="P492" s="16"/>
      <c r="Q492" s="17"/>
      <c r="R492" s="17"/>
      <c r="S492" s="17"/>
      <c r="T492" s="17"/>
      <c r="U492" s="17"/>
      <c r="V492" s="17"/>
      <c r="W492" s="17"/>
      <c r="X492" s="17"/>
      <c r="Y492" s="17"/>
    </row>
    <row r="493" ht="18.75" customHeight="1">
      <c r="A493" s="9">
        <v>1646.0</v>
      </c>
      <c r="B493" s="15"/>
      <c r="C493" s="15"/>
      <c r="D493" s="15"/>
      <c r="E493" s="15"/>
      <c r="F493" s="15"/>
      <c r="G493" s="12"/>
      <c r="H493" s="13"/>
      <c r="I493" s="11"/>
      <c r="J493" s="11"/>
      <c r="K493" s="14"/>
      <c r="L493" s="11"/>
      <c r="M493" s="15"/>
      <c r="N493" s="16"/>
      <c r="O493" s="16"/>
      <c r="P493" s="16"/>
      <c r="Q493" s="17"/>
      <c r="R493" s="17"/>
      <c r="S493" s="17"/>
      <c r="T493" s="17"/>
      <c r="U493" s="17"/>
      <c r="V493" s="17"/>
      <c r="W493" s="17"/>
      <c r="X493" s="17"/>
      <c r="Y493" s="17"/>
    </row>
    <row r="494" ht="18.75" customHeight="1">
      <c r="A494" s="9">
        <v>1647.0</v>
      </c>
      <c r="B494" s="15"/>
      <c r="C494" s="15"/>
      <c r="D494" s="15"/>
      <c r="E494" s="15"/>
      <c r="F494" s="15"/>
      <c r="G494" s="12"/>
      <c r="H494" s="13"/>
      <c r="I494" s="11"/>
      <c r="J494" s="11"/>
      <c r="K494" s="14"/>
      <c r="L494" s="11"/>
      <c r="M494" s="15"/>
      <c r="N494" s="16"/>
      <c r="O494" s="16"/>
      <c r="P494" s="16"/>
      <c r="Q494" s="17"/>
      <c r="R494" s="17"/>
      <c r="S494" s="17"/>
      <c r="T494" s="17"/>
      <c r="U494" s="17"/>
      <c r="V494" s="17"/>
      <c r="W494" s="17"/>
      <c r="X494" s="17"/>
      <c r="Y494" s="17"/>
    </row>
    <row r="495" ht="18.75" customHeight="1">
      <c r="A495" s="9">
        <v>1648.0</v>
      </c>
      <c r="B495" s="15"/>
      <c r="C495" s="15"/>
      <c r="D495" s="15"/>
      <c r="E495" s="15"/>
      <c r="F495" s="15"/>
      <c r="G495" s="12"/>
      <c r="H495" s="13"/>
      <c r="I495" s="11"/>
      <c r="J495" s="11"/>
      <c r="K495" s="14"/>
      <c r="L495" s="11"/>
      <c r="M495" s="15"/>
      <c r="N495" s="16"/>
      <c r="O495" s="16"/>
      <c r="P495" s="16"/>
      <c r="Q495" s="17"/>
      <c r="R495" s="17"/>
      <c r="S495" s="17"/>
      <c r="T495" s="17"/>
      <c r="U495" s="17"/>
      <c r="V495" s="17"/>
      <c r="W495" s="17"/>
      <c r="X495" s="17"/>
      <c r="Y495" s="17"/>
    </row>
    <row r="496" ht="18.75" customHeight="1">
      <c r="A496" s="9">
        <v>1649.0</v>
      </c>
      <c r="B496" s="15"/>
      <c r="C496" s="15"/>
      <c r="D496" s="15"/>
      <c r="E496" s="15"/>
      <c r="F496" s="15"/>
      <c r="G496" s="12"/>
      <c r="H496" s="13"/>
      <c r="I496" s="11"/>
      <c r="J496" s="11"/>
      <c r="K496" s="14"/>
      <c r="L496" s="11"/>
      <c r="M496" s="15"/>
      <c r="N496" s="16"/>
      <c r="O496" s="16"/>
      <c r="P496" s="16"/>
      <c r="Q496" s="17"/>
      <c r="R496" s="17"/>
      <c r="S496" s="17"/>
      <c r="T496" s="17"/>
      <c r="U496" s="17"/>
      <c r="V496" s="17"/>
      <c r="W496" s="17"/>
      <c r="X496" s="17"/>
      <c r="Y496" s="17"/>
    </row>
    <row r="497" ht="18.75" customHeight="1">
      <c r="A497" s="9">
        <v>1650.0</v>
      </c>
      <c r="B497" s="15"/>
      <c r="C497" s="15"/>
      <c r="D497" s="15"/>
      <c r="E497" s="15"/>
      <c r="F497" s="15"/>
      <c r="G497" s="12"/>
      <c r="H497" s="13"/>
      <c r="I497" s="11"/>
      <c r="J497" s="11"/>
      <c r="K497" s="14"/>
      <c r="L497" s="11"/>
      <c r="M497" s="15"/>
      <c r="N497" s="16"/>
      <c r="O497" s="16"/>
      <c r="P497" s="16"/>
      <c r="Q497" s="17"/>
      <c r="R497" s="17"/>
      <c r="S497" s="17"/>
      <c r="T497" s="17"/>
      <c r="U497" s="17"/>
      <c r="V497" s="17"/>
      <c r="W497" s="17"/>
      <c r="X497" s="17"/>
      <c r="Y497" s="17"/>
    </row>
    <row r="498" ht="18.75" customHeight="1">
      <c r="A498" s="9">
        <v>1651.0</v>
      </c>
      <c r="B498" s="15"/>
      <c r="C498" s="15"/>
      <c r="D498" s="15"/>
      <c r="E498" s="15"/>
      <c r="F498" s="15"/>
      <c r="G498" s="12"/>
      <c r="H498" s="13"/>
      <c r="I498" s="11"/>
      <c r="J498" s="11"/>
      <c r="K498" s="14"/>
      <c r="L498" s="11"/>
      <c r="M498" s="15"/>
      <c r="N498" s="16"/>
      <c r="O498" s="16"/>
      <c r="P498" s="16"/>
      <c r="Q498" s="17"/>
      <c r="R498" s="17"/>
      <c r="S498" s="17"/>
      <c r="T498" s="17"/>
      <c r="U498" s="17"/>
      <c r="V498" s="17"/>
      <c r="W498" s="17"/>
      <c r="X498" s="17"/>
      <c r="Y498" s="17"/>
    </row>
    <row r="499" ht="18.75" customHeight="1">
      <c r="A499" s="9">
        <v>1652.0</v>
      </c>
      <c r="B499" s="15"/>
      <c r="C499" s="15"/>
      <c r="D499" s="15"/>
      <c r="E499" s="15"/>
      <c r="F499" s="15"/>
      <c r="G499" s="12"/>
      <c r="H499" s="13"/>
      <c r="I499" s="11"/>
      <c r="J499" s="11"/>
      <c r="K499" s="14"/>
      <c r="L499" s="11"/>
      <c r="M499" s="15"/>
      <c r="N499" s="16"/>
      <c r="O499" s="16"/>
      <c r="P499" s="16"/>
      <c r="Q499" s="17"/>
      <c r="R499" s="17"/>
      <c r="S499" s="17"/>
      <c r="T499" s="17"/>
      <c r="U499" s="17"/>
      <c r="V499" s="17"/>
      <c r="W499" s="17"/>
      <c r="X499" s="17"/>
      <c r="Y499" s="17"/>
    </row>
    <row r="500" ht="18.75" customHeight="1">
      <c r="A500" s="9">
        <v>1653.0</v>
      </c>
      <c r="B500" s="15"/>
      <c r="C500" s="15"/>
      <c r="D500" s="15"/>
      <c r="E500" s="15"/>
      <c r="F500" s="15"/>
      <c r="G500" s="12"/>
      <c r="H500" s="13"/>
      <c r="I500" s="11"/>
      <c r="J500" s="11"/>
      <c r="K500" s="14"/>
      <c r="L500" s="11"/>
      <c r="M500" s="15"/>
      <c r="N500" s="16"/>
      <c r="O500" s="16"/>
      <c r="P500" s="16"/>
      <c r="Q500" s="17"/>
      <c r="R500" s="17"/>
      <c r="S500" s="17"/>
      <c r="T500" s="17"/>
      <c r="U500" s="17"/>
      <c r="V500" s="17"/>
      <c r="W500" s="17"/>
      <c r="X500" s="17"/>
      <c r="Y500" s="17"/>
    </row>
    <row r="501" ht="18.75" customHeight="1">
      <c r="A501" s="9">
        <v>1654.0</v>
      </c>
      <c r="B501" s="15"/>
      <c r="C501" s="15"/>
      <c r="D501" s="15"/>
      <c r="E501" s="15"/>
      <c r="F501" s="15"/>
      <c r="G501" s="12"/>
      <c r="H501" s="13"/>
      <c r="I501" s="11"/>
      <c r="J501" s="11"/>
      <c r="K501" s="14"/>
      <c r="L501" s="11"/>
      <c r="M501" s="15"/>
      <c r="N501" s="16"/>
      <c r="O501" s="16"/>
      <c r="P501" s="16"/>
      <c r="Q501" s="17"/>
      <c r="R501" s="17"/>
      <c r="S501" s="17"/>
      <c r="T501" s="17"/>
      <c r="U501" s="17"/>
      <c r="V501" s="17"/>
      <c r="W501" s="17"/>
      <c r="X501" s="17"/>
      <c r="Y501" s="17"/>
    </row>
    <row r="502" ht="18.75" customHeight="1">
      <c r="A502" s="9">
        <v>1655.0</v>
      </c>
      <c r="B502" s="15"/>
      <c r="C502" s="15"/>
      <c r="D502" s="15"/>
      <c r="E502" s="15"/>
      <c r="F502" s="15"/>
      <c r="G502" s="12"/>
      <c r="H502" s="13"/>
      <c r="I502" s="11"/>
      <c r="J502" s="11"/>
      <c r="K502" s="14"/>
      <c r="L502" s="11"/>
      <c r="M502" s="15"/>
      <c r="N502" s="16"/>
      <c r="O502" s="16"/>
      <c r="P502" s="16"/>
      <c r="Q502" s="17"/>
      <c r="R502" s="17"/>
      <c r="S502" s="17"/>
      <c r="T502" s="17"/>
      <c r="U502" s="17"/>
      <c r="V502" s="17"/>
      <c r="W502" s="17"/>
      <c r="X502" s="17"/>
      <c r="Y502" s="17"/>
    </row>
    <row r="503" ht="18.75" customHeight="1">
      <c r="A503" s="9">
        <v>1656.0</v>
      </c>
      <c r="B503" s="15"/>
      <c r="C503" s="15"/>
      <c r="D503" s="15"/>
      <c r="E503" s="15"/>
      <c r="F503" s="15"/>
      <c r="G503" s="12"/>
      <c r="H503" s="13"/>
      <c r="I503" s="11"/>
      <c r="J503" s="11"/>
      <c r="K503" s="14"/>
      <c r="L503" s="11"/>
      <c r="M503" s="15"/>
      <c r="N503" s="16"/>
      <c r="O503" s="16"/>
      <c r="P503" s="16"/>
      <c r="Q503" s="17"/>
      <c r="R503" s="17"/>
      <c r="S503" s="17"/>
      <c r="T503" s="17"/>
      <c r="U503" s="17"/>
      <c r="V503" s="17"/>
      <c r="W503" s="17"/>
      <c r="X503" s="17"/>
      <c r="Y503" s="17"/>
    </row>
    <row r="504" ht="18.75" customHeight="1">
      <c r="A504" s="9">
        <v>1657.0</v>
      </c>
      <c r="B504" s="15"/>
      <c r="C504" s="15"/>
      <c r="D504" s="15"/>
      <c r="E504" s="15"/>
      <c r="F504" s="15"/>
      <c r="G504" s="12"/>
      <c r="H504" s="13"/>
      <c r="I504" s="11"/>
      <c r="J504" s="11"/>
      <c r="K504" s="14"/>
      <c r="L504" s="11"/>
      <c r="M504" s="15"/>
      <c r="N504" s="16"/>
      <c r="O504" s="16"/>
      <c r="P504" s="16"/>
      <c r="Q504" s="17"/>
      <c r="R504" s="17"/>
      <c r="S504" s="17"/>
      <c r="T504" s="17"/>
      <c r="U504" s="17"/>
      <c r="V504" s="17"/>
      <c r="W504" s="17"/>
      <c r="X504" s="17"/>
      <c r="Y504" s="17"/>
    </row>
    <row r="505" ht="18.75" customHeight="1">
      <c r="A505" s="9">
        <v>1658.0</v>
      </c>
      <c r="B505" s="15"/>
      <c r="C505" s="15"/>
      <c r="D505" s="15"/>
      <c r="E505" s="15"/>
      <c r="F505" s="15"/>
      <c r="G505" s="12"/>
      <c r="H505" s="13"/>
      <c r="I505" s="11"/>
      <c r="J505" s="11"/>
      <c r="K505" s="14"/>
      <c r="L505" s="11"/>
      <c r="M505" s="15"/>
      <c r="N505" s="16"/>
      <c r="O505" s="16"/>
      <c r="P505" s="16"/>
      <c r="Q505" s="17"/>
      <c r="R505" s="17"/>
      <c r="S505" s="17"/>
      <c r="T505" s="17"/>
      <c r="U505" s="17"/>
      <c r="V505" s="17"/>
      <c r="W505" s="17"/>
      <c r="X505" s="17"/>
      <c r="Y505" s="17"/>
    </row>
    <row r="506" ht="18.75" customHeight="1">
      <c r="A506" s="9">
        <v>1659.0</v>
      </c>
      <c r="B506" s="15"/>
      <c r="C506" s="15"/>
      <c r="D506" s="15"/>
      <c r="E506" s="15"/>
      <c r="F506" s="15"/>
      <c r="G506" s="12"/>
      <c r="H506" s="13"/>
      <c r="I506" s="11"/>
      <c r="J506" s="11"/>
      <c r="K506" s="14"/>
      <c r="L506" s="11"/>
      <c r="M506" s="15"/>
      <c r="N506" s="16"/>
      <c r="O506" s="16"/>
      <c r="P506" s="16"/>
      <c r="Q506" s="17"/>
      <c r="R506" s="17"/>
      <c r="S506" s="17"/>
      <c r="T506" s="17"/>
      <c r="U506" s="17"/>
      <c r="V506" s="17"/>
      <c r="W506" s="17"/>
      <c r="X506" s="17"/>
      <c r="Y506" s="17"/>
    </row>
    <row r="507" ht="18.75" customHeight="1">
      <c r="A507" s="9">
        <v>1660.0</v>
      </c>
      <c r="B507" s="15"/>
      <c r="C507" s="15"/>
      <c r="D507" s="15"/>
      <c r="E507" s="15"/>
      <c r="F507" s="15"/>
      <c r="G507" s="12"/>
      <c r="H507" s="13"/>
      <c r="I507" s="11"/>
      <c r="J507" s="11"/>
      <c r="K507" s="14"/>
      <c r="L507" s="11"/>
      <c r="M507" s="15"/>
      <c r="N507" s="16"/>
      <c r="O507" s="16"/>
      <c r="P507" s="16"/>
      <c r="Q507" s="17"/>
      <c r="R507" s="17"/>
      <c r="S507" s="17"/>
      <c r="T507" s="17"/>
      <c r="U507" s="17"/>
      <c r="V507" s="17"/>
      <c r="W507" s="17"/>
      <c r="X507" s="17"/>
      <c r="Y507" s="17"/>
    </row>
    <row r="508" ht="18.75" customHeight="1">
      <c r="A508" s="9">
        <v>1661.0</v>
      </c>
      <c r="B508" s="15"/>
      <c r="C508" s="15"/>
      <c r="D508" s="15"/>
      <c r="E508" s="15"/>
      <c r="F508" s="15"/>
      <c r="G508" s="12"/>
      <c r="H508" s="13"/>
      <c r="I508" s="11"/>
      <c r="J508" s="11"/>
      <c r="K508" s="14"/>
      <c r="L508" s="11"/>
      <c r="M508" s="15"/>
      <c r="N508" s="16"/>
      <c r="O508" s="16"/>
      <c r="P508" s="16"/>
      <c r="Q508" s="17"/>
      <c r="R508" s="17"/>
      <c r="S508" s="17"/>
      <c r="T508" s="17"/>
      <c r="U508" s="17"/>
      <c r="V508" s="17"/>
      <c r="W508" s="17"/>
      <c r="X508" s="17"/>
      <c r="Y508" s="17"/>
    </row>
    <row r="509" ht="18.75" customHeight="1">
      <c r="A509" s="9">
        <v>1662.0</v>
      </c>
      <c r="B509" s="15"/>
      <c r="C509" s="15"/>
      <c r="D509" s="15"/>
      <c r="E509" s="15"/>
      <c r="F509" s="15"/>
      <c r="G509" s="12"/>
      <c r="H509" s="13"/>
      <c r="I509" s="11"/>
      <c r="J509" s="11"/>
      <c r="K509" s="14"/>
      <c r="L509" s="11"/>
      <c r="M509" s="15"/>
      <c r="N509" s="16"/>
      <c r="O509" s="16"/>
      <c r="P509" s="16"/>
      <c r="Q509" s="17"/>
      <c r="R509" s="17"/>
      <c r="S509" s="17"/>
      <c r="T509" s="17"/>
      <c r="U509" s="17"/>
      <c r="V509" s="17"/>
      <c r="W509" s="17"/>
      <c r="X509" s="17"/>
      <c r="Y509" s="17"/>
    </row>
    <row r="510" ht="18.75" customHeight="1">
      <c r="A510" s="9">
        <v>1663.0</v>
      </c>
      <c r="B510" s="15"/>
      <c r="C510" s="15"/>
      <c r="D510" s="15"/>
      <c r="E510" s="15"/>
      <c r="F510" s="15"/>
      <c r="G510" s="12"/>
      <c r="H510" s="13"/>
      <c r="I510" s="11"/>
      <c r="J510" s="11"/>
      <c r="K510" s="14"/>
      <c r="L510" s="11"/>
      <c r="M510" s="15"/>
      <c r="N510" s="16"/>
      <c r="O510" s="16"/>
      <c r="P510" s="16"/>
      <c r="Q510" s="17"/>
      <c r="R510" s="17"/>
      <c r="S510" s="17"/>
      <c r="T510" s="17"/>
      <c r="U510" s="17"/>
      <c r="V510" s="17"/>
      <c r="W510" s="17"/>
      <c r="X510" s="17"/>
      <c r="Y510" s="17"/>
    </row>
    <row r="511" ht="18.75" customHeight="1">
      <c r="A511" s="9">
        <v>1664.0</v>
      </c>
      <c r="B511" s="15"/>
      <c r="C511" s="15"/>
      <c r="D511" s="15"/>
      <c r="E511" s="15"/>
      <c r="F511" s="15"/>
      <c r="G511" s="12"/>
      <c r="H511" s="13"/>
      <c r="I511" s="11"/>
      <c r="J511" s="11"/>
      <c r="K511" s="14"/>
      <c r="L511" s="11"/>
      <c r="M511" s="15"/>
      <c r="N511" s="16"/>
      <c r="O511" s="16"/>
      <c r="P511" s="16"/>
      <c r="Q511" s="17"/>
      <c r="R511" s="17"/>
      <c r="S511" s="17"/>
      <c r="T511" s="17"/>
      <c r="U511" s="17"/>
      <c r="V511" s="17"/>
      <c r="W511" s="17"/>
      <c r="X511" s="17"/>
      <c r="Y511" s="17"/>
    </row>
    <row r="512" ht="18.75" customHeight="1">
      <c r="A512" s="9">
        <v>1665.0</v>
      </c>
      <c r="B512" s="15"/>
      <c r="C512" s="15"/>
      <c r="D512" s="15"/>
      <c r="E512" s="15"/>
      <c r="F512" s="15"/>
      <c r="G512" s="12"/>
      <c r="H512" s="13"/>
      <c r="I512" s="11"/>
      <c r="J512" s="11"/>
      <c r="K512" s="14"/>
      <c r="L512" s="11"/>
      <c r="M512" s="15"/>
      <c r="N512" s="16"/>
      <c r="O512" s="16"/>
      <c r="P512" s="16"/>
      <c r="Q512" s="17"/>
      <c r="R512" s="17"/>
      <c r="S512" s="17"/>
      <c r="T512" s="17"/>
      <c r="U512" s="17"/>
      <c r="V512" s="17"/>
      <c r="W512" s="17"/>
      <c r="X512" s="17"/>
      <c r="Y512" s="17"/>
    </row>
    <row r="513" ht="18.75" customHeight="1">
      <c r="A513" s="9">
        <v>1666.0</v>
      </c>
      <c r="B513" s="15"/>
      <c r="C513" s="15"/>
      <c r="D513" s="15"/>
      <c r="E513" s="15"/>
      <c r="F513" s="15"/>
      <c r="G513" s="12"/>
      <c r="H513" s="13"/>
      <c r="I513" s="11"/>
      <c r="J513" s="11"/>
      <c r="K513" s="14"/>
      <c r="L513" s="11"/>
      <c r="M513" s="15"/>
      <c r="N513" s="16"/>
      <c r="O513" s="16"/>
      <c r="P513" s="16"/>
      <c r="Q513" s="17"/>
      <c r="R513" s="17"/>
      <c r="S513" s="17"/>
      <c r="T513" s="17"/>
      <c r="U513" s="17"/>
      <c r="V513" s="17"/>
      <c r="W513" s="17"/>
      <c r="X513" s="17"/>
      <c r="Y513" s="17"/>
    </row>
    <row r="514" ht="18.75" customHeight="1">
      <c r="A514" s="9">
        <v>1667.0</v>
      </c>
      <c r="B514" s="15"/>
      <c r="C514" s="15"/>
      <c r="D514" s="15"/>
      <c r="E514" s="15"/>
      <c r="F514" s="15"/>
      <c r="G514" s="12"/>
      <c r="H514" s="13"/>
      <c r="I514" s="11"/>
      <c r="J514" s="11"/>
      <c r="K514" s="14"/>
      <c r="L514" s="11"/>
      <c r="M514" s="15"/>
      <c r="N514" s="16"/>
      <c r="O514" s="16"/>
      <c r="P514" s="16"/>
      <c r="Q514" s="17"/>
      <c r="R514" s="17"/>
      <c r="S514" s="17"/>
      <c r="T514" s="17"/>
      <c r="U514" s="17"/>
      <c r="V514" s="17"/>
      <c r="W514" s="17"/>
      <c r="X514" s="17"/>
      <c r="Y514" s="17"/>
    </row>
    <row r="515" ht="18.75" customHeight="1">
      <c r="A515" s="9">
        <v>1668.0</v>
      </c>
      <c r="B515" s="15"/>
      <c r="C515" s="15"/>
      <c r="D515" s="15"/>
      <c r="E515" s="15"/>
      <c r="F515" s="15"/>
      <c r="G515" s="12"/>
      <c r="H515" s="13"/>
      <c r="I515" s="11"/>
      <c r="J515" s="11"/>
      <c r="K515" s="14"/>
      <c r="L515" s="11"/>
      <c r="M515" s="15"/>
      <c r="N515" s="16"/>
      <c r="O515" s="16"/>
      <c r="P515" s="16"/>
      <c r="Q515" s="17"/>
      <c r="R515" s="17"/>
      <c r="S515" s="17"/>
      <c r="T515" s="17"/>
      <c r="U515" s="17"/>
      <c r="V515" s="17"/>
      <c r="W515" s="17"/>
      <c r="X515" s="17"/>
      <c r="Y515" s="17"/>
    </row>
    <row r="516" ht="18.75" customHeight="1">
      <c r="A516" s="9">
        <v>1669.0</v>
      </c>
      <c r="B516" s="15"/>
      <c r="C516" s="15"/>
      <c r="D516" s="15"/>
      <c r="E516" s="15"/>
      <c r="F516" s="15"/>
      <c r="G516" s="12"/>
      <c r="H516" s="13"/>
      <c r="I516" s="11"/>
      <c r="J516" s="11"/>
      <c r="K516" s="14"/>
      <c r="L516" s="11"/>
      <c r="M516" s="15"/>
      <c r="N516" s="16"/>
      <c r="O516" s="16"/>
      <c r="P516" s="16"/>
      <c r="Q516" s="17"/>
      <c r="R516" s="17"/>
      <c r="S516" s="17"/>
      <c r="T516" s="17"/>
      <c r="U516" s="17"/>
      <c r="V516" s="17"/>
      <c r="W516" s="17"/>
      <c r="X516" s="17"/>
      <c r="Y516" s="17"/>
    </row>
    <row r="517" ht="18.75" customHeight="1">
      <c r="A517" s="9">
        <v>1670.0</v>
      </c>
      <c r="B517" s="15"/>
      <c r="C517" s="15"/>
      <c r="D517" s="15"/>
      <c r="E517" s="15"/>
      <c r="F517" s="15"/>
      <c r="G517" s="12"/>
      <c r="H517" s="13"/>
      <c r="I517" s="11"/>
      <c r="J517" s="11"/>
      <c r="K517" s="14"/>
      <c r="L517" s="11"/>
      <c r="M517" s="15"/>
      <c r="N517" s="16"/>
      <c r="O517" s="16"/>
      <c r="P517" s="16"/>
      <c r="Q517" s="17"/>
      <c r="R517" s="17"/>
      <c r="S517" s="17"/>
      <c r="T517" s="17"/>
      <c r="U517" s="17"/>
      <c r="V517" s="17"/>
      <c r="W517" s="17"/>
      <c r="X517" s="17"/>
      <c r="Y517" s="17"/>
    </row>
    <row r="518" ht="18.75" customHeight="1">
      <c r="A518" s="9">
        <v>1671.0</v>
      </c>
      <c r="B518" s="15"/>
      <c r="C518" s="15"/>
      <c r="D518" s="15"/>
      <c r="E518" s="15"/>
      <c r="F518" s="15"/>
      <c r="G518" s="12"/>
      <c r="H518" s="13"/>
      <c r="I518" s="11"/>
      <c r="J518" s="11"/>
      <c r="K518" s="14"/>
      <c r="L518" s="11"/>
      <c r="M518" s="15"/>
      <c r="N518" s="16"/>
      <c r="O518" s="16"/>
      <c r="P518" s="16"/>
      <c r="Q518" s="17"/>
      <c r="R518" s="17"/>
      <c r="S518" s="17"/>
      <c r="T518" s="17"/>
      <c r="U518" s="17"/>
      <c r="V518" s="17"/>
      <c r="W518" s="17"/>
      <c r="X518" s="17"/>
      <c r="Y518" s="17"/>
    </row>
    <row r="519" ht="18.75" customHeight="1">
      <c r="A519" s="9">
        <v>1672.0</v>
      </c>
      <c r="B519" s="15"/>
      <c r="C519" s="15"/>
      <c r="D519" s="15"/>
      <c r="E519" s="15"/>
      <c r="F519" s="15"/>
      <c r="G519" s="12"/>
      <c r="H519" s="13"/>
      <c r="I519" s="11"/>
      <c r="J519" s="11"/>
      <c r="K519" s="14"/>
      <c r="L519" s="11"/>
      <c r="M519" s="15"/>
      <c r="N519" s="16"/>
      <c r="O519" s="16"/>
      <c r="P519" s="16"/>
      <c r="Q519" s="17"/>
      <c r="R519" s="17"/>
      <c r="S519" s="17"/>
      <c r="T519" s="17"/>
      <c r="U519" s="17"/>
      <c r="V519" s="17"/>
      <c r="W519" s="17"/>
      <c r="X519" s="17"/>
      <c r="Y519" s="17"/>
    </row>
    <row r="520" ht="18.75" customHeight="1">
      <c r="A520" s="9">
        <v>1673.0</v>
      </c>
      <c r="B520" s="15"/>
      <c r="C520" s="15"/>
      <c r="D520" s="15"/>
      <c r="E520" s="15"/>
      <c r="F520" s="15"/>
      <c r="G520" s="12"/>
      <c r="H520" s="13"/>
      <c r="I520" s="11"/>
      <c r="J520" s="11"/>
      <c r="K520" s="14"/>
      <c r="L520" s="11"/>
      <c r="M520" s="15"/>
      <c r="N520" s="16"/>
      <c r="O520" s="16"/>
      <c r="P520" s="16"/>
      <c r="Q520" s="17"/>
      <c r="R520" s="17"/>
      <c r="S520" s="17"/>
      <c r="T520" s="17"/>
      <c r="U520" s="17"/>
      <c r="V520" s="17"/>
      <c r="W520" s="17"/>
      <c r="X520" s="17"/>
      <c r="Y520" s="17"/>
    </row>
    <row r="521" ht="18.75" customHeight="1">
      <c r="A521" s="9">
        <v>1674.0</v>
      </c>
      <c r="B521" s="15"/>
      <c r="C521" s="15"/>
      <c r="D521" s="15"/>
      <c r="E521" s="15"/>
      <c r="F521" s="15"/>
      <c r="G521" s="12"/>
      <c r="H521" s="13"/>
      <c r="I521" s="11"/>
      <c r="J521" s="11"/>
      <c r="K521" s="14"/>
      <c r="L521" s="11"/>
      <c r="M521" s="15"/>
      <c r="N521" s="16"/>
      <c r="O521" s="16"/>
      <c r="P521" s="16"/>
      <c r="Q521" s="17"/>
      <c r="R521" s="17"/>
      <c r="S521" s="17"/>
      <c r="T521" s="17"/>
      <c r="U521" s="17"/>
      <c r="V521" s="17"/>
      <c r="W521" s="17"/>
      <c r="X521" s="17"/>
      <c r="Y521" s="17"/>
    </row>
    <row r="522" ht="18.75" customHeight="1">
      <c r="A522" s="9">
        <v>1675.0</v>
      </c>
      <c r="B522" s="15"/>
      <c r="C522" s="15"/>
      <c r="D522" s="15"/>
      <c r="E522" s="15"/>
      <c r="F522" s="15"/>
      <c r="G522" s="12"/>
      <c r="H522" s="13"/>
      <c r="I522" s="11"/>
      <c r="J522" s="11"/>
      <c r="K522" s="14"/>
      <c r="L522" s="11"/>
      <c r="M522" s="15"/>
      <c r="N522" s="16"/>
      <c r="O522" s="16"/>
      <c r="P522" s="16"/>
      <c r="Q522" s="17"/>
      <c r="R522" s="17"/>
      <c r="S522" s="17"/>
      <c r="T522" s="17"/>
      <c r="U522" s="17"/>
      <c r="V522" s="17"/>
      <c r="W522" s="17"/>
      <c r="X522" s="17"/>
      <c r="Y522" s="17"/>
    </row>
    <row r="523" ht="18.75" customHeight="1">
      <c r="A523" s="9">
        <v>1676.0</v>
      </c>
      <c r="B523" s="15"/>
      <c r="C523" s="15"/>
      <c r="D523" s="15"/>
      <c r="E523" s="15"/>
      <c r="F523" s="15"/>
      <c r="G523" s="12"/>
      <c r="H523" s="13"/>
      <c r="I523" s="11"/>
      <c r="J523" s="11"/>
      <c r="K523" s="14"/>
      <c r="L523" s="11"/>
      <c r="M523" s="15"/>
      <c r="N523" s="16"/>
      <c r="O523" s="16"/>
      <c r="P523" s="16"/>
      <c r="Q523" s="17"/>
      <c r="R523" s="17"/>
      <c r="S523" s="17"/>
      <c r="T523" s="17"/>
      <c r="U523" s="17"/>
      <c r="V523" s="17"/>
      <c r="W523" s="17"/>
      <c r="X523" s="17"/>
      <c r="Y523" s="17"/>
    </row>
    <row r="524" ht="18.75" customHeight="1">
      <c r="A524" s="9">
        <v>1677.0</v>
      </c>
      <c r="B524" s="15"/>
      <c r="C524" s="15"/>
      <c r="D524" s="15"/>
      <c r="E524" s="15"/>
      <c r="F524" s="15"/>
      <c r="G524" s="12"/>
      <c r="H524" s="13"/>
      <c r="I524" s="11"/>
      <c r="J524" s="11"/>
      <c r="K524" s="14"/>
      <c r="L524" s="11"/>
      <c r="M524" s="15"/>
      <c r="N524" s="16"/>
      <c r="O524" s="16"/>
      <c r="P524" s="16"/>
      <c r="Q524" s="17"/>
      <c r="R524" s="17"/>
      <c r="S524" s="17"/>
      <c r="T524" s="17"/>
      <c r="U524" s="17"/>
      <c r="V524" s="17"/>
      <c r="W524" s="17"/>
      <c r="X524" s="17"/>
      <c r="Y524" s="17"/>
    </row>
    <row r="525" ht="18.75" customHeight="1">
      <c r="A525" s="9">
        <v>1678.0</v>
      </c>
      <c r="B525" s="15"/>
      <c r="C525" s="15"/>
      <c r="D525" s="15"/>
      <c r="E525" s="15"/>
      <c r="F525" s="15"/>
      <c r="G525" s="12"/>
      <c r="H525" s="13"/>
      <c r="I525" s="11"/>
      <c r="J525" s="11"/>
      <c r="K525" s="14"/>
      <c r="L525" s="11"/>
      <c r="M525" s="15"/>
      <c r="N525" s="16"/>
      <c r="O525" s="16"/>
      <c r="P525" s="16"/>
      <c r="Q525" s="17"/>
      <c r="R525" s="17"/>
      <c r="S525" s="17"/>
      <c r="T525" s="17"/>
      <c r="U525" s="17"/>
      <c r="V525" s="17"/>
      <c r="W525" s="17"/>
      <c r="X525" s="17"/>
      <c r="Y525" s="17"/>
    </row>
    <row r="526" ht="18.75" customHeight="1">
      <c r="A526" s="9">
        <v>1679.0</v>
      </c>
      <c r="B526" s="15"/>
      <c r="C526" s="15"/>
      <c r="D526" s="15"/>
      <c r="E526" s="15"/>
      <c r="F526" s="15"/>
      <c r="G526" s="12"/>
      <c r="H526" s="13"/>
      <c r="I526" s="11"/>
      <c r="J526" s="11"/>
      <c r="K526" s="14"/>
      <c r="L526" s="11"/>
      <c r="M526" s="15"/>
      <c r="N526" s="16"/>
      <c r="O526" s="16"/>
      <c r="P526" s="16"/>
      <c r="Q526" s="17"/>
      <c r="R526" s="17"/>
      <c r="S526" s="17"/>
      <c r="T526" s="17"/>
      <c r="U526" s="17"/>
      <c r="V526" s="17"/>
      <c r="W526" s="17"/>
      <c r="X526" s="17"/>
      <c r="Y526" s="17"/>
    </row>
    <row r="527" ht="18.75" customHeight="1">
      <c r="A527" s="9">
        <v>1680.0</v>
      </c>
      <c r="B527" s="15"/>
      <c r="C527" s="15"/>
      <c r="D527" s="15"/>
      <c r="E527" s="15"/>
      <c r="F527" s="15"/>
      <c r="G527" s="12"/>
      <c r="H527" s="13"/>
      <c r="I527" s="11"/>
      <c r="J527" s="11"/>
      <c r="K527" s="14"/>
      <c r="L527" s="11"/>
      <c r="M527" s="15"/>
      <c r="N527" s="16"/>
      <c r="O527" s="16"/>
      <c r="P527" s="16"/>
      <c r="Q527" s="17"/>
      <c r="R527" s="17"/>
      <c r="S527" s="17"/>
      <c r="T527" s="17"/>
      <c r="U527" s="17"/>
      <c r="V527" s="17"/>
      <c r="W527" s="17"/>
      <c r="X527" s="17"/>
      <c r="Y527" s="17"/>
    </row>
    <row r="528" ht="18.75" customHeight="1">
      <c r="A528" s="9">
        <v>1681.0</v>
      </c>
      <c r="B528" s="15"/>
      <c r="C528" s="15"/>
      <c r="D528" s="15"/>
      <c r="E528" s="15"/>
      <c r="F528" s="15"/>
      <c r="G528" s="12"/>
      <c r="H528" s="13"/>
      <c r="I528" s="11"/>
      <c r="J528" s="11"/>
      <c r="K528" s="14"/>
      <c r="L528" s="11"/>
      <c r="M528" s="15"/>
      <c r="N528" s="16"/>
      <c r="O528" s="16"/>
      <c r="P528" s="16"/>
      <c r="Q528" s="17"/>
      <c r="R528" s="17"/>
      <c r="S528" s="17"/>
      <c r="T528" s="17"/>
      <c r="U528" s="17"/>
      <c r="V528" s="17"/>
      <c r="W528" s="17"/>
      <c r="X528" s="17"/>
      <c r="Y528" s="17"/>
    </row>
    <row r="529" ht="18.75" customHeight="1">
      <c r="A529" s="9">
        <v>1682.0</v>
      </c>
      <c r="B529" s="15"/>
      <c r="C529" s="15"/>
      <c r="D529" s="15"/>
      <c r="E529" s="15"/>
      <c r="F529" s="15"/>
      <c r="G529" s="12"/>
      <c r="H529" s="13"/>
      <c r="I529" s="11"/>
      <c r="J529" s="11"/>
      <c r="K529" s="14"/>
      <c r="L529" s="11"/>
      <c r="M529" s="15"/>
      <c r="N529" s="16"/>
      <c r="O529" s="16"/>
      <c r="P529" s="16"/>
      <c r="Q529" s="17"/>
      <c r="R529" s="17"/>
      <c r="S529" s="17"/>
      <c r="T529" s="17"/>
      <c r="U529" s="17"/>
      <c r="V529" s="17"/>
      <c r="W529" s="17"/>
      <c r="X529" s="17"/>
      <c r="Y529" s="17"/>
    </row>
    <row r="530" ht="18.75" customHeight="1">
      <c r="A530" s="9">
        <v>1683.0</v>
      </c>
      <c r="B530" s="15"/>
      <c r="C530" s="15"/>
      <c r="D530" s="15"/>
      <c r="E530" s="15"/>
      <c r="F530" s="15"/>
      <c r="G530" s="12"/>
      <c r="H530" s="13"/>
      <c r="I530" s="11"/>
      <c r="J530" s="11"/>
      <c r="K530" s="14"/>
      <c r="L530" s="11"/>
      <c r="M530" s="15"/>
      <c r="N530" s="16"/>
      <c r="O530" s="16"/>
      <c r="P530" s="16"/>
      <c r="Q530" s="17"/>
      <c r="R530" s="17"/>
      <c r="S530" s="17"/>
      <c r="T530" s="17"/>
      <c r="U530" s="17"/>
      <c r="V530" s="17"/>
      <c r="W530" s="17"/>
      <c r="X530" s="17"/>
      <c r="Y530" s="17"/>
    </row>
    <row r="531" ht="18.75" customHeight="1">
      <c r="A531" s="9">
        <v>1684.0</v>
      </c>
      <c r="B531" s="15"/>
      <c r="C531" s="15"/>
      <c r="D531" s="15"/>
      <c r="E531" s="15"/>
      <c r="F531" s="15"/>
      <c r="G531" s="12"/>
      <c r="H531" s="13"/>
      <c r="I531" s="11"/>
      <c r="J531" s="11"/>
      <c r="K531" s="14"/>
      <c r="L531" s="11"/>
      <c r="M531" s="15"/>
      <c r="N531" s="16"/>
      <c r="O531" s="16"/>
      <c r="P531" s="16"/>
      <c r="Q531" s="17"/>
      <c r="R531" s="17"/>
      <c r="S531" s="17"/>
      <c r="T531" s="17"/>
      <c r="U531" s="17"/>
      <c r="V531" s="17"/>
      <c r="W531" s="17"/>
      <c r="X531" s="17"/>
      <c r="Y531" s="17"/>
    </row>
    <row r="532" ht="18.75" customHeight="1">
      <c r="A532" s="9">
        <v>1685.0</v>
      </c>
      <c r="B532" s="15"/>
      <c r="C532" s="15"/>
      <c r="D532" s="15"/>
      <c r="E532" s="15"/>
      <c r="F532" s="15"/>
      <c r="G532" s="12"/>
      <c r="H532" s="13"/>
      <c r="I532" s="11"/>
      <c r="J532" s="11"/>
      <c r="K532" s="14"/>
      <c r="L532" s="11"/>
      <c r="M532" s="15"/>
      <c r="N532" s="16"/>
      <c r="O532" s="16"/>
      <c r="P532" s="16"/>
      <c r="Q532" s="17"/>
      <c r="R532" s="17"/>
      <c r="S532" s="17"/>
      <c r="T532" s="17"/>
      <c r="U532" s="17"/>
      <c r="V532" s="17"/>
      <c r="W532" s="17"/>
      <c r="X532" s="17"/>
      <c r="Y532" s="17"/>
    </row>
    <row r="533" ht="18.75" customHeight="1">
      <c r="A533" s="9">
        <v>1686.0</v>
      </c>
      <c r="B533" s="15"/>
      <c r="C533" s="15"/>
      <c r="D533" s="15"/>
      <c r="E533" s="15"/>
      <c r="F533" s="15"/>
      <c r="G533" s="12"/>
      <c r="H533" s="13"/>
      <c r="I533" s="11"/>
      <c r="J533" s="11"/>
      <c r="K533" s="14"/>
      <c r="L533" s="11"/>
      <c r="M533" s="15"/>
      <c r="N533" s="16"/>
      <c r="O533" s="16"/>
      <c r="P533" s="16"/>
      <c r="Q533" s="17"/>
      <c r="R533" s="17"/>
      <c r="S533" s="17"/>
      <c r="T533" s="17"/>
      <c r="U533" s="17"/>
      <c r="V533" s="17"/>
      <c r="W533" s="17"/>
      <c r="X533" s="17"/>
      <c r="Y533" s="17"/>
    </row>
    <row r="534" ht="18.75" customHeight="1">
      <c r="A534" s="9">
        <v>1687.0</v>
      </c>
      <c r="B534" s="15"/>
      <c r="C534" s="15"/>
      <c r="D534" s="15"/>
      <c r="E534" s="15"/>
      <c r="F534" s="15"/>
      <c r="G534" s="12"/>
      <c r="H534" s="13"/>
      <c r="I534" s="11"/>
      <c r="J534" s="11"/>
      <c r="K534" s="14"/>
      <c r="L534" s="11"/>
      <c r="M534" s="15"/>
      <c r="N534" s="16"/>
      <c r="O534" s="16"/>
      <c r="P534" s="16"/>
      <c r="Q534" s="17"/>
      <c r="R534" s="17"/>
      <c r="S534" s="17"/>
      <c r="T534" s="17"/>
      <c r="U534" s="17"/>
      <c r="V534" s="17"/>
      <c r="W534" s="17"/>
      <c r="X534" s="17"/>
      <c r="Y534" s="17"/>
    </row>
    <row r="535" ht="18.75" customHeight="1">
      <c r="A535" s="9">
        <v>1688.0</v>
      </c>
      <c r="B535" s="15"/>
      <c r="C535" s="15"/>
      <c r="D535" s="15"/>
      <c r="E535" s="15"/>
      <c r="F535" s="15"/>
      <c r="G535" s="12"/>
      <c r="H535" s="13"/>
      <c r="I535" s="11"/>
      <c r="J535" s="11"/>
      <c r="K535" s="14"/>
      <c r="L535" s="11"/>
      <c r="M535" s="15"/>
      <c r="N535" s="16"/>
      <c r="O535" s="16"/>
      <c r="P535" s="16"/>
      <c r="Q535" s="17"/>
      <c r="R535" s="17"/>
      <c r="S535" s="17"/>
      <c r="T535" s="17"/>
      <c r="U535" s="17"/>
      <c r="V535" s="17"/>
      <c r="W535" s="17"/>
      <c r="X535" s="17"/>
      <c r="Y535" s="17"/>
    </row>
    <row r="536" ht="18.75" customHeight="1">
      <c r="A536" s="9">
        <v>1689.0</v>
      </c>
      <c r="B536" s="15"/>
      <c r="C536" s="15"/>
      <c r="D536" s="15"/>
      <c r="E536" s="15"/>
      <c r="F536" s="15"/>
      <c r="G536" s="12"/>
      <c r="H536" s="13"/>
      <c r="I536" s="11"/>
      <c r="J536" s="11"/>
      <c r="K536" s="14"/>
      <c r="L536" s="11"/>
      <c r="M536" s="15"/>
      <c r="N536" s="16"/>
      <c r="O536" s="16"/>
      <c r="P536" s="16"/>
      <c r="Q536" s="17"/>
      <c r="R536" s="17"/>
      <c r="S536" s="17"/>
      <c r="T536" s="17"/>
      <c r="U536" s="17"/>
      <c r="V536" s="17"/>
      <c r="W536" s="17"/>
      <c r="X536" s="17"/>
      <c r="Y536" s="17"/>
    </row>
    <row r="537" ht="18.75" customHeight="1">
      <c r="A537" s="9">
        <v>1690.0</v>
      </c>
      <c r="B537" s="15"/>
      <c r="C537" s="15"/>
      <c r="D537" s="15"/>
      <c r="E537" s="15"/>
      <c r="F537" s="15"/>
      <c r="G537" s="12"/>
      <c r="H537" s="13"/>
      <c r="I537" s="11"/>
      <c r="J537" s="11"/>
      <c r="K537" s="14"/>
      <c r="L537" s="11"/>
      <c r="M537" s="15"/>
      <c r="N537" s="16"/>
      <c r="O537" s="16"/>
      <c r="P537" s="16"/>
      <c r="Q537" s="17"/>
      <c r="R537" s="17"/>
      <c r="S537" s="17"/>
      <c r="T537" s="17"/>
      <c r="U537" s="17"/>
      <c r="V537" s="17"/>
      <c r="W537" s="17"/>
      <c r="X537" s="17"/>
      <c r="Y537" s="17"/>
    </row>
    <row r="538" ht="18.75" customHeight="1">
      <c r="A538" s="9">
        <v>1691.0</v>
      </c>
      <c r="B538" s="15"/>
      <c r="C538" s="15"/>
      <c r="D538" s="15"/>
      <c r="E538" s="15"/>
      <c r="F538" s="15"/>
      <c r="G538" s="12"/>
      <c r="H538" s="13"/>
      <c r="I538" s="11"/>
      <c r="J538" s="11"/>
      <c r="K538" s="14"/>
      <c r="L538" s="11"/>
      <c r="M538" s="15"/>
      <c r="N538" s="16"/>
      <c r="O538" s="16"/>
      <c r="P538" s="16"/>
      <c r="Q538" s="17"/>
      <c r="R538" s="17"/>
      <c r="S538" s="17"/>
      <c r="T538" s="17"/>
      <c r="U538" s="17"/>
      <c r="V538" s="17"/>
      <c r="W538" s="17"/>
      <c r="X538" s="17"/>
      <c r="Y538" s="17"/>
    </row>
    <row r="539" ht="18.75" customHeight="1">
      <c r="A539" s="9">
        <v>1692.0</v>
      </c>
      <c r="B539" s="15"/>
      <c r="C539" s="15"/>
      <c r="D539" s="15"/>
      <c r="E539" s="15"/>
      <c r="F539" s="15"/>
      <c r="G539" s="12"/>
      <c r="H539" s="13"/>
      <c r="I539" s="11"/>
      <c r="J539" s="11"/>
      <c r="K539" s="14"/>
      <c r="L539" s="11"/>
      <c r="M539" s="15"/>
      <c r="N539" s="16"/>
      <c r="O539" s="16"/>
      <c r="P539" s="16"/>
      <c r="Q539" s="17"/>
      <c r="R539" s="17"/>
      <c r="S539" s="17"/>
      <c r="T539" s="17"/>
      <c r="U539" s="17"/>
      <c r="V539" s="17"/>
      <c r="W539" s="17"/>
      <c r="X539" s="17"/>
      <c r="Y539" s="17"/>
    </row>
    <row r="540" ht="18.75" customHeight="1">
      <c r="A540" s="9">
        <v>1693.0</v>
      </c>
      <c r="B540" s="15"/>
      <c r="C540" s="15"/>
      <c r="D540" s="15"/>
      <c r="E540" s="15"/>
      <c r="F540" s="15"/>
      <c r="G540" s="12"/>
      <c r="H540" s="13"/>
      <c r="I540" s="11"/>
      <c r="J540" s="11"/>
      <c r="K540" s="14"/>
      <c r="L540" s="11"/>
      <c r="M540" s="15"/>
      <c r="N540" s="16"/>
      <c r="O540" s="16"/>
      <c r="P540" s="16"/>
      <c r="Q540" s="17"/>
      <c r="R540" s="17"/>
      <c r="S540" s="17"/>
      <c r="T540" s="17"/>
      <c r="U540" s="17"/>
      <c r="V540" s="17"/>
      <c r="W540" s="17"/>
      <c r="X540" s="17"/>
      <c r="Y540" s="17"/>
    </row>
    <row r="541" ht="18.75" customHeight="1">
      <c r="A541" s="9">
        <v>1694.0</v>
      </c>
      <c r="B541" s="15"/>
      <c r="C541" s="15"/>
      <c r="D541" s="15"/>
      <c r="E541" s="15"/>
      <c r="F541" s="15"/>
      <c r="G541" s="12"/>
      <c r="H541" s="13"/>
      <c r="I541" s="11"/>
      <c r="J541" s="11"/>
      <c r="K541" s="14"/>
      <c r="L541" s="11"/>
      <c r="M541" s="15"/>
      <c r="N541" s="16"/>
      <c r="O541" s="16"/>
      <c r="P541" s="16"/>
      <c r="Q541" s="17"/>
      <c r="R541" s="17"/>
      <c r="S541" s="17"/>
      <c r="T541" s="17"/>
      <c r="U541" s="17"/>
      <c r="V541" s="17"/>
      <c r="W541" s="17"/>
      <c r="X541" s="17"/>
      <c r="Y541" s="17"/>
    </row>
    <row r="542" ht="18.75" customHeight="1">
      <c r="A542" s="9">
        <v>1695.0</v>
      </c>
      <c r="B542" s="15"/>
      <c r="C542" s="15"/>
      <c r="D542" s="15"/>
      <c r="E542" s="15"/>
      <c r="F542" s="15"/>
      <c r="G542" s="12"/>
      <c r="H542" s="13"/>
      <c r="I542" s="11"/>
      <c r="J542" s="11"/>
      <c r="K542" s="14"/>
      <c r="L542" s="11"/>
      <c r="M542" s="15"/>
      <c r="N542" s="16"/>
      <c r="O542" s="16"/>
      <c r="P542" s="16"/>
      <c r="Q542" s="17"/>
      <c r="R542" s="17"/>
      <c r="S542" s="17"/>
      <c r="T542" s="17"/>
      <c r="U542" s="17"/>
      <c r="V542" s="17"/>
      <c r="W542" s="17"/>
      <c r="X542" s="17"/>
      <c r="Y542" s="17"/>
    </row>
    <row r="543" ht="18.75" customHeight="1">
      <c r="A543" s="9">
        <v>1696.0</v>
      </c>
      <c r="B543" s="15"/>
      <c r="C543" s="15"/>
      <c r="D543" s="15"/>
      <c r="E543" s="15"/>
      <c r="F543" s="15"/>
      <c r="G543" s="12"/>
      <c r="H543" s="13"/>
      <c r="I543" s="11"/>
      <c r="J543" s="11"/>
      <c r="K543" s="14"/>
      <c r="L543" s="11"/>
      <c r="M543" s="15"/>
      <c r="N543" s="16"/>
      <c r="O543" s="16"/>
      <c r="P543" s="16"/>
      <c r="Q543" s="17"/>
      <c r="R543" s="17"/>
      <c r="S543" s="17"/>
      <c r="T543" s="17"/>
      <c r="U543" s="17"/>
      <c r="V543" s="17"/>
      <c r="W543" s="17"/>
      <c r="X543" s="17"/>
      <c r="Y543" s="17"/>
    </row>
    <row r="544" ht="18.75" customHeight="1">
      <c r="A544" s="9">
        <v>1697.0</v>
      </c>
      <c r="B544" s="15"/>
      <c r="C544" s="15"/>
      <c r="D544" s="15"/>
      <c r="E544" s="15"/>
      <c r="F544" s="15"/>
      <c r="G544" s="12"/>
      <c r="H544" s="13"/>
      <c r="I544" s="11"/>
      <c r="J544" s="11"/>
      <c r="K544" s="14"/>
      <c r="L544" s="11"/>
      <c r="M544" s="15"/>
      <c r="N544" s="16"/>
      <c r="O544" s="16"/>
      <c r="P544" s="16"/>
      <c r="Q544" s="17"/>
      <c r="R544" s="17"/>
      <c r="S544" s="17"/>
      <c r="T544" s="17"/>
      <c r="U544" s="17"/>
      <c r="V544" s="17"/>
      <c r="W544" s="17"/>
      <c r="X544" s="17"/>
      <c r="Y544" s="17"/>
    </row>
    <row r="545" ht="18.75" customHeight="1">
      <c r="A545" s="9">
        <v>1698.0</v>
      </c>
      <c r="B545" s="15"/>
      <c r="C545" s="15"/>
      <c r="D545" s="15"/>
      <c r="E545" s="15"/>
      <c r="F545" s="15"/>
      <c r="G545" s="12"/>
      <c r="H545" s="13"/>
      <c r="I545" s="11"/>
      <c r="J545" s="11"/>
      <c r="K545" s="14"/>
      <c r="L545" s="11"/>
      <c r="M545" s="15"/>
      <c r="N545" s="16"/>
      <c r="O545" s="16"/>
      <c r="P545" s="16"/>
      <c r="Q545" s="17"/>
      <c r="R545" s="17"/>
      <c r="S545" s="17"/>
      <c r="T545" s="17"/>
      <c r="U545" s="17"/>
      <c r="V545" s="17"/>
      <c r="W545" s="17"/>
      <c r="X545" s="17"/>
      <c r="Y545" s="17"/>
    </row>
    <row r="546" ht="18.75" customHeight="1">
      <c r="A546" s="9">
        <v>1699.0</v>
      </c>
      <c r="B546" s="15"/>
      <c r="C546" s="15"/>
      <c r="D546" s="15"/>
      <c r="E546" s="15"/>
      <c r="F546" s="15"/>
      <c r="G546" s="12"/>
      <c r="H546" s="13"/>
      <c r="I546" s="11"/>
      <c r="J546" s="11"/>
      <c r="K546" s="14"/>
      <c r="L546" s="11"/>
      <c r="M546" s="15"/>
      <c r="N546" s="16"/>
      <c r="O546" s="16"/>
      <c r="P546" s="16"/>
      <c r="Q546" s="17"/>
      <c r="R546" s="17"/>
      <c r="S546" s="17"/>
      <c r="T546" s="17"/>
      <c r="U546" s="17"/>
      <c r="V546" s="17"/>
      <c r="W546" s="17"/>
      <c r="X546" s="17"/>
      <c r="Y546" s="17"/>
    </row>
    <row r="547" ht="18.75" customHeight="1">
      <c r="A547" s="9">
        <v>1700.0</v>
      </c>
      <c r="B547" s="15"/>
      <c r="C547" s="15"/>
      <c r="D547" s="15"/>
      <c r="E547" s="15"/>
      <c r="F547" s="15"/>
      <c r="G547" s="12"/>
      <c r="H547" s="13"/>
      <c r="I547" s="11"/>
      <c r="J547" s="11"/>
      <c r="K547" s="14"/>
      <c r="L547" s="11"/>
      <c r="M547" s="15"/>
      <c r="N547" s="16"/>
      <c r="O547" s="16"/>
      <c r="P547" s="16"/>
      <c r="Q547" s="17"/>
      <c r="R547" s="17"/>
      <c r="S547" s="17"/>
      <c r="T547" s="17"/>
      <c r="U547" s="17"/>
      <c r="V547" s="17"/>
      <c r="W547" s="17"/>
      <c r="X547" s="17"/>
      <c r="Y547" s="17"/>
    </row>
    <row r="548" ht="18.75" customHeight="1">
      <c r="A548" s="9">
        <v>1701.0</v>
      </c>
      <c r="B548" s="15"/>
      <c r="C548" s="15"/>
      <c r="D548" s="15"/>
      <c r="E548" s="15"/>
      <c r="F548" s="15"/>
      <c r="G548" s="12"/>
      <c r="H548" s="13"/>
      <c r="I548" s="11"/>
      <c r="J548" s="11"/>
      <c r="K548" s="14"/>
      <c r="L548" s="11"/>
      <c r="M548" s="15"/>
      <c r="N548" s="16"/>
      <c r="O548" s="16"/>
      <c r="P548" s="16"/>
      <c r="Q548" s="17"/>
      <c r="R548" s="17"/>
      <c r="S548" s="17"/>
      <c r="T548" s="17"/>
      <c r="U548" s="17"/>
      <c r="V548" s="17"/>
      <c r="W548" s="17"/>
      <c r="X548" s="17"/>
      <c r="Y548" s="17"/>
    </row>
    <row r="549" ht="18.75" customHeight="1">
      <c r="A549" s="9">
        <v>1702.0</v>
      </c>
      <c r="B549" s="15"/>
      <c r="C549" s="15"/>
      <c r="D549" s="15"/>
      <c r="E549" s="15"/>
      <c r="F549" s="15"/>
      <c r="G549" s="12"/>
      <c r="H549" s="13"/>
      <c r="I549" s="11"/>
      <c r="J549" s="11"/>
      <c r="K549" s="14"/>
      <c r="L549" s="11"/>
      <c r="M549" s="15"/>
      <c r="N549" s="16"/>
      <c r="O549" s="16"/>
      <c r="P549" s="16"/>
      <c r="Q549" s="17"/>
      <c r="R549" s="17"/>
      <c r="S549" s="17"/>
      <c r="T549" s="17"/>
      <c r="U549" s="17"/>
      <c r="V549" s="17"/>
      <c r="W549" s="17"/>
      <c r="X549" s="17"/>
      <c r="Y549" s="17"/>
    </row>
    <row r="550" ht="18.75" customHeight="1">
      <c r="A550" s="9">
        <v>1703.0</v>
      </c>
      <c r="B550" s="15"/>
      <c r="C550" s="15"/>
      <c r="D550" s="15"/>
      <c r="E550" s="15"/>
      <c r="F550" s="15"/>
      <c r="G550" s="12"/>
      <c r="H550" s="13"/>
      <c r="I550" s="11"/>
      <c r="J550" s="11"/>
      <c r="K550" s="14"/>
      <c r="L550" s="11"/>
      <c r="M550" s="15"/>
      <c r="N550" s="16"/>
      <c r="O550" s="16"/>
      <c r="P550" s="16"/>
      <c r="Q550" s="17"/>
      <c r="R550" s="17"/>
      <c r="S550" s="17"/>
      <c r="T550" s="17"/>
      <c r="U550" s="17"/>
      <c r="V550" s="17"/>
      <c r="W550" s="17"/>
      <c r="X550" s="17"/>
      <c r="Y550" s="17"/>
    </row>
    <row r="551" ht="18.75" customHeight="1">
      <c r="A551" s="9">
        <v>1704.0</v>
      </c>
      <c r="B551" s="15"/>
      <c r="C551" s="15"/>
      <c r="D551" s="15"/>
      <c r="E551" s="15"/>
      <c r="F551" s="15"/>
      <c r="G551" s="12"/>
      <c r="H551" s="13"/>
      <c r="I551" s="11"/>
      <c r="J551" s="11"/>
      <c r="K551" s="14"/>
      <c r="L551" s="11"/>
      <c r="M551" s="15"/>
      <c r="N551" s="16"/>
      <c r="O551" s="16"/>
      <c r="P551" s="16"/>
      <c r="Q551" s="17"/>
      <c r="R551" s="17"/>
      <c r="S551" s="17"/>
      <c r="T551" s="17"/>
      <c r="U551" s="17"/>
      <c r="V551" s="17"/>
      <c r="W551" s="17"/>
      <c r="X551" s="17"/>
      <c r="Y551" s="17"/>
    </row>
    <row r="552" ht="18.75" customHeight="1">
      <c r="A552" s="9">
        <v>1705.0</v>
      </c>
      <c r="B552" s="15"/>
      <c r="C552" s="15"/>
      <c r="D552" s="15"/>
      <c r="E552" s="15"/>
      <c r="F552" s="15"/>
      <c r="G552" s="12"/>
      <c r="H552" s="13"/>
      <c r="I552" s="11"/>
      <c r="J552" s="11"/>
      <c r="K552" s="14"/>
      <c r="L552" s="11"/>
      <c r="M552" s="15"/>
      <c r="N552" s="16"/>
      <c r="O552" s="16"/>
      <c r="P552" s="16"/>
      <c r="Q552" s="17"/>
      <c r="R552" s="17"/>
      <c r="S552" s="17"/>
      <c r="T552" s="17"/>
      <c r="U552" s="17"/>
      <c r="V552" s="17"/>
      <c r="W552" s="17"/>
      <c r="X552" s="17"/>
      <c r="Y552" s="17"/>
    </row>
    <row r="553" ht="18.75" customHeight="1">
      <c r="A553" s="9">
        <v>1706.0</v>
      </c>
      <c r="B553" s="15"/>
      <c r="C553" s="15"/>
      <c r="D553" s="15"/>
      <c r="E553" s="15"/>
      <c r="F553" s="15"/>
      <c r="G553" s="12"/>
      <c r="H553" s="13"/>
      <c r="I553" s="11"/>
      <c r="J553" s="11"/>
      <c r="K553" s="14"/>
      <c r="L553" s="11"/>
      <c r="M553" s="15"/>
      <c r="N553" s="16"/>
      <c r="O553" s="16"/>
      <c r="P553" s="16"/>
      <c r="Q553" s="17"/>
      <c r="R553" s="17"/>
      <c r="S553" s="17"/>
      <c r="T553" s="17"/>
      <c r="U553" s="17"/>
      <c r="V553" s="17"/>
      <c r="W553" s="17"/>
      <c r="X553" s="17"/>
      <c r="Y553" s="17"/>
    </row>
    <row r="554" ht="18.75" customHeight="1">
      <c r="A554" s="9">
        <v>1707.0</v>
      </c>
      <c r="B554" s="15"/>
      <c r="C554" s="15"/>
      <c r="D554" s="15"/>
      <c r="E554" s="15"/>
      <c r="F554" s="15"/>
      <c r="G554" s="12"/>
      <c r="H554" s="13"/>
      <c r="I554" s="11"/>
      <c r="J554" s="11"/>
      <c r="K554" s="14"/>
      <c r="L554" s="11"/>
      <c r="M554" s="15"/>
      <c r="N554" s="16"/>
      <c r="O554" s="16"/>
      <c r="P554" s="16"/>
      <c r="Q554" s="17"/>
      <c r="R554" s="17"/>
      <c r="S554" s="17"/>
      <c r="T554" s="17"/>
      <c r="U554" s="17"/>
      <c r="V554" s="17"/>
      <c r="W554" s="17"/>
      <c r="X554" s="17"/>
      <c r="Y554" s="17"/>
    </row>
    <row r="555" ht="18.75" customHeight="1">
      <c r="A555" s="9">
        <v>1708.0</v>
      </c>
      <c r="B555" s="15"/>
      <c r="C555" s="15"/>
      <c r="D555" s="15"/>
      <c r="E555" s="15"/>
      <c r="F555" s="15"/>
      <c r="G555" s="12"/>
      <c r="H555" s="13"/>
      <c r="I555" s="11"/>
      <c r="J555" s="11"/>
      <c r="K555" s="14"/>
      <c r="L555" s="11"/>
      <c r="M555" s="15"/>
      <c r="N555" s="16"/>
      <c r="O555" s="16"/>
      <c r="P555" s="16"/>
      <c r="Q555" s="17"/>
      <c r="R555" s="17"/>
      <c r="S555" s="17"/>
      <c r="T555" s="17"/>
      <c r="U555" s="17"/>
      <c r="V555" s="17"/>
      <c r="W555" s="17"/>
      <c r="X555" s="17"/>
      <c r="Y555" s="17"/>
    </row>
    <row r="556" ht="18.75" customHeight="1">
      <c r="A556" s="9">
        <v>1709.0</v>
      </c>
      <c r="B556" s="15"/>
      <c r="C556" s="15"/>
      <c r="D556" s="15"/>
      <c r="E556" s="15"/>
      <c r="F556" s="15"/>
      <c r="G556" s="12"/>
      <c r="H556" s="13"/>
      <c r="I556" s="11"/>
      <c r="J556" s="11"/>
      <c r="K556" s="14"/>
      <c r="L556" s="11"/>
      <c r="M556" s="15"/>
      <c r="N556" s="16"/>
      <c r="O556" s="16"/>
      <c r="P556" s="16"/>
      <c r="Q556" s="17"/>
      <c r="R556" s="17"/>
      <c r="S556" s="17"/>
      <c r="T556" s="17"/>
      <c r="U556" s="17"/>
      <c r="V556" s="17"/>
      <c r="W556" s="17"/>
      <c r="X556" s="17"/>
      <c r="Y556" s="17"/>
    </row>
    <row r="557" ht="18.75" customHeight="1">
      <c r="A557" s="9">
        <v>1710.0</v>
      </c>
      <c r="B557" s="15"/>
      <c r="C557" s="15"/>
      <c r="D557" s="15"/>
      <c r="E557" s="15"/>
      <c r="F557" s="15"/>
      <c r="G557" s="12"/>
      <c r="H557" s="13"/>
      <c r="I557" s="11"/>
      <c r="J557" s="11"/>
      <c r="K557" s="14"/>
      <c r="L557" s="11"/>
      <c r="M557" s="15"/>
      <c r="N557" s="16"/>
      <c r="O557" s="16"/>
      <c r="P557" s="16"/>
      <c r="Q557" s="17"/>
      <c r="R557" s="17"/>
      <c r="S557" s="17"/>
      <c r="T557" s="17"/>
      <c r="U557" s="17"/>
      <c r="V557" s="17"/>
      <c r="W557" s="17"/>
      <c r="X557" s="17"/>
      <c r="Y557" s="17"/>
    </row>
    <row r="558" ht="18.75" customHeight="1">
      <c r="A558" s="9">
        <v>1711.0</v>
      </c>
      <c r="B558" s="15"/>
      <c r="C558" s="15"/>
      <c r="D558" s="15"/>
      <c r="E558" s="15"/>
      <c r="F558" s="15"/>
      <c r="G558" s="12"/>
      <c r="H558" s="13"/>
      <c r="I558" s="11"/>
      <c r="J558" s="11"/>
      <c r="K558" s="14"/>
      <c r="L558" s="11"/>
      <c r="M558" s="15"/>
      <c r="N558" s="16"/>
      <c r="O558" s="16"/>
      <c r="P558" s="16"/>
      <c r="Q558" s="17"/>
      <c r="R558" s="17"/>
      <c r="S558" s="17"/>
      <c r="T558" s="17"/>
      <c r="U558" s="17"/>
      <c r="V558" s="17"/>
      <c r="W558" s="17"/>
      <c r="X558" s="17"/>
      <c r="Y558" s="17"/>
    </row>
    <row r="559" ht="18.75" customHeight="1">
      <c r="A559" s="9">
        <v>1712.0</v>
      </c>
      <c r="B559" s="15"/>
      <c r="C559" s="15"/>
      <c r="D559" s="15"/>
      <c r="E559" s="15"/>
      <c r="F559" s="15"/>
      <c r="G559" s="12"/>
      <c r="H559" s="13"/>
      <c r="I559" s="11"/>
      <c r="J559" s="11"/>
      <c r="K559" s="14"/>
      <c r="L559" s="11"/>
      <c r="M559" s="15"/>
      <c r="N559" s="16"/>
      <c r="O559" s="16"/>
      <c r="P559" s="16"/>
      <c r="Q559" s="17"/>
      <c r="R559" s="17"/>
      <c r="S559" s="17"/>
      <c r="T559" s="17"/>
      <c r="U559" s="17"/>
      <c r="V559" s="17"/>
      <c r="W559" s="17"/>
      <c r="X559" s="17"/>
      <c r="Y559" s="17"/>
    </row>
    <row r="560" ht="18.75" customHeight="1">
      <c r="A560" s="9">
        <v>1713.0</v>
      </c>
      <c r="B560" s="15"/>
      <c r="C560" s="15"/>
      <c r="D560" s="15"/>
      <c r="E560" s="15"/>
      <c r="F560" s="15"/>
      <c r="G560" s="12"/>
      <c r="H560" s="13"/>
      <c r="I560" s="11"/>
      <c r="J560" s="11"/>
      <c r="K560" s="14"/>
      <c r="L560" s="11"/>
      <c r="M560" s="15"/>
      <c r="N560" s="16"/>
      <c r="O560" s="16"/>
      <c r="P560" s="16"/>
      <c r="Q560" s="17"/>
      <c r="R560" s="17"/>
      <c r="S560" s="17"/>
      <c r="T560" s="17"/>
      <c r="U560" s="17"/>
      <c r="V560" s="17"/>
      <c r="W560" s="17"/>
      <c r="X560" s="17"/>
      <c r="Y560" s="17"/>
    </row>
    <row r="561" ht="18.75" customHeight="1">
      <c r="A561" s="9">
        <v>1714.0</v>
      </c>
      <c r="B561" s="15"/>
      <c r="C561" s="15"/>
      <c r="D561" s="15"/>
      <c r="E561" s="15"/>
      <c r="F561" s="15"/>
      <c r="G561" s="12"/>
      <c r="H561" s="13"/>
      <c r="I561" s="11"/>
      <c r="J561" s="11"/>
      <c r="K561" s="14"/>
      <c r="L561" s="11"/>
      <c r="M561" s="15"/>
      <c r="N561" s="16"/>
      <c r="O561" s="16"/>
      <c r="P561" s="16"/>
      <c r="Q561" s="17"/>
      <c r="R561" s="17"/>
      <c r="S561" s="17"/>
      <c r="T561" s="17"/>
      <c r="U561" s="17"/>
      <c r="V561" s="17"/>
      <c r="W561" s="17"/>
      <c r="X561" s="17"/>
      <c r="Y561" s="17"/>
    </row>
    <row r="562" ht="18.75" customHeight="1">
      <c r="A562" s="9">
        <v>1715.0</v>
      </c>
      <c r="B562" s="15"/>
      <c r="C562" s="15"/>
      <c r="D562" s="15"/>
      <c r="E562" s="15"/>
      <c r="F562" s="15"/>
      <c r="G562" s="12"/>
      <c r="H562" s="13"/>
      <c r="I562" s="11"/>
      <c r="J562" s="11"/>
      <c r="K562" s="14"/>
      <c r="L562" s="11"/>
      <c r="M562" s="15"/>
      <c r="N562" s="16"/>
      <c r="O562" s="16"/>
      <c r="P562" s="16"/>
      <c r="Q562" s="17"/>
      <c r="R562" s="17"/>
      <c r="S562" s="17"/>
      <c r="T562" s="17"/>
      <c r="U562" s="17"/>
      <c r="V562" s="17"/>
      <c r="W562" s="17"/>
      <c r="X562" s="17"/>
      <c r="Y562" s="17"/>
    </row>
    <row r="563" ht="18.75" customHeight="1">
      <c r="A563" s="9">
        <v>1716.0</v>
      </c>
      <c r="B563" s="15"/>
      <c r="C563" s="15"/>
      <c r="D563" s="15"/>
      <c r="E563" s="15"/>
      <c r="F563" s="15"/>
      <c r="G563" s="12"/>
      <c r="H563" s="13"/>
      <c r="I563" s="11"/>
      <c r="J563" s="11"/>
      <c r="K563" s="14"/>
      <c r="L563" s="11"/>
      <c r="M563" s="15"/>
      <c r="N563" s="16"/>
      <c r="O563" s="16"/>
      <c r="P563" s="16"/>
      <c r="Q563" s="17"/>
      <c r="R563" s="17"/>
      <c r="S563" s="17"/>
      <c r="T563" s="17"/>
      <c r="U563" s="17"/>
      <c r="V563" s="17"/>
      <c r="W563" s="17"/>
      <c r="X563" s="17"/>
      <c r="Y563" s="17"/>
    </row>
    <row r="564" ht="18.75" customHeight="1">
      <c r="A564" s="9">
        <v>1717.0</v>
      </c>
      <c r="B564" s="15"/>
      <c r="C564" s="15"/>
      <c r="D564" s="15"/>
      <c r="E564" s="15"/>
      <c r="F564" s="15"/>
      <c r="G564" s="12"/>
      <c r="H564" s="13"/>
      <c r="I564" s="11"/>
      <c r="J564" s="11"/>
      <c r="K564" s="14"/>
      <c r="L564" s="11"/>
      <c r="M564" s="15"/>
      <c r="N564" s="16"/>
      <c r="O564" s="16"/>
      <c r="P564" s="16"/>
      <c r="Q564" s="17"/>
      <c r="R564" s="17"/>
      <c r="S564" s="17"/>
      <c r="T564" s="17"/>
      <c r="U564" s="17"/>
      <c r="V564" s="17"/>
      <c r="W564" s="17"/>
      <c r="X564" s="17"/>
      <c r="Y564" s="17"/>
    </row>
    <row r="565" ht="18.75" customHeight="1">
      <c r="A565" s="9">
        <v>1718.0</v>
      </c>
      <c r="B565" s="15"/>
      <c r="C565" s="15"/>
      <c r="D565" s="15"/>
      <c r="E565" s="15"/>
      <c r="F565" s="15"/>
      <c r="G565" s="12"/>
      <c r="H565" s="13"/>
      <c r="I565" s="11"/>
      <c r="J565" s="11"/>
      <c r="K565" s="14"/>
      <c r="L565" s="11"/>
      <c r="M565" s="15"/>
      <c r="N565" s="16"/>
      <c r="O565" s="16"/>
      <c r="P565" s="16"/>
      <c r="Q565" s="17"/>
      <c r="R565" s="17"/>
      <c r="S565" s="17"/>
      <c r="T565" s="17"/>
      <c r="U565" s="17"/>
      <c r="V565" s="17"/>
      <c r="W565" s="17"/>
      <c r="X565" s="17"/>
      <c r="Y565" s="17"/>
    </row>
    <row r="566" ht="18.75" customHeight="1">
      <c r="A566" s="9">
        <v>1719.0</v>
      </c>
      <c r="B566" s="15"/>
      <c r="C566" s="15"/>
      <c r="D566" s="15"/>
      <c r="E566" s="15"/>
      <c r="F566" s="15"/>
      <c r="G566" s="12"/>
      <c r="H566" s="13"/>
      <c r="I566" s="11"/>
      <c r="J566" s="11"/>
      <c r="K566" s="14"/>
      <c r="L566" s="11"/>
      <c r="M566" s="15"/>
      <c r="N566" s="16"/>
      <c r="O566" s="16"/>
      <c r="P566" s="16"/>
      <c r="Q566" s="17"/>
      <c r="R566" s="17"/>
      <c r="S566" s="17"/>
      <c r="T566" s="17"/>
      <c r="U566" s="17"/>
      <c r="V566" s="17"/>
      <c r="W566" s="17"/>
      <c r="X566" s="17"/>
      <c r="Y566" s="17"/>
    </row>
    <row r="567" ht="18.75" customHeight="1">
      <c r="A567" s="9">
        <v>1720.0</v>
      </c>
      <c r="B567" s="15"/>
      <c r="C567" s="15"/>
      <c r="D567" s="15"/>
      <c r="E567" s="15"/>
      <c r="F567" s="15"/>
      <c r="G567" s="12"/>
      <c r="H567" s="13"/>
      <c r="I567" s="11"/>
      <c r="J567" s="11"/>
      <c r="K567" s="14"/>
      <c r="L567" s="11"/>
      <c r="M567" s="15"/>
      <c r="N567" s="16"/>
      <c r="O567" s="16"/>
      <c r="P567" s="16"/>
      <c r="Q567" s="17"/>
      <c r="R567" s="17"/>
      <c r="S567" s="17"/>
      <c r="T567" s="17"/>
      <c r="U567" s="17"/>
      <c r="V567" s="17"/>
      <c r="W567" s="17"/>
      <c r="X567" s="17"/>
      <c r="Y567" s="17"/>
    </row>
    <row r="568" ht="18.75" customHeight="1">
      <c r="A568" s="9">
        <v>1721.0</v>
      </c>
      <c r="B568" s="15"/>
      <c r="C568" s="15"/>
      <c r="D568" s="15"/>
      <c r="E568" s="15"/>
      <c r="F568" s="15"/>
      <c r="G568" s="12"/>
      <c r="H568" s="13"/>
      <c r="I568" s="11"/>
      <c r="J568" s="11"/>
      <c r="K568" s="14"/>
      <c r="L568" s="11"/>
      <c r="M568" s="15"/>
      <c r="N568" s="16"/>
      <c r="O568" s="16"/>
      <c r="P568" s="16"/>
      <c r="Q568" s="17"/>
      <c r="R568" s="17"/>
      <c r="S568" s="17"/>
      <c r="T568" s="17"/>
      <c r="U568" s="17"/>
      <c r="V568" s="17"/>
      <c r="W568" s="17"/>
      <c r="X568" s="17"/>
      <c r="Y568" s="17"/>
    </row>
    <row r="569" ht="18.75" customHeight="1">
      <c r="A569" s="9">
        <v>1722.0</v>
      </c>
      <c r="B569" s="15"/>
      <c r="C569" s="15"/>
      <c r="D569" s="15"/>
      <c r="E569" s="15"/>
      <c r="F569" s="15"/>
      <c r="G569" s="12"/>
      <c r="H569" s="13"/>
      <c r="I569" s="11"/>
      <c r="J569" s="11"/>
      <c r="K569" s="14"/>
      <c r="L569" s="11"/>
      <c r="M569" s="15"/>
      <c r="N569" s="16"/>
      <c r="O569" s="16"/>
      <c r="P569" s="16"/>
      <c r="Q569" s="17"/>
      <c r="R569" s="17"/>
      <c r="S569" s="17"/>
      <c r="T569" s="17"/>
      <c r="U569" s="17"/>
      <c r="V569" s="17"/>
      <c r="W569" s="17"/>
      <c r="X569" s="17"/>
      <c r="Y569" s="17"/>
    </row>
    <row r="570" ht="18.75" customHeight="1">
      <c r="A570" s="9">
        <v>1723.0</v>
      </c>
      <c r="B570" s="15"/>
      <c r="C570" s="15"/>
      <c r="D570" s="15"/>
      <c r="E570" s="15"/>
      <c r="F570" s="15"/>
      <c r="G570" s="12"/>
      <c r="H570" s="13"/>
      <c r="I570" s="11"/>
      <c r="J570" s="11"/>
      <c r="K570" s="14"/>
      <c r="L570" s="11"/>
      <c r="M570" s="15"/>
      <c r="N570" s="16"/>
      <c r="O570" s="16"/>
      <c r="P570" s="16"/>
      <c r="Q570" s="17"/>
      <c r="R570" s="17"/>
      <c r="S570" s="17"/>
      <c r="T570" s="17"/>
      <c r="U570" s="17"/>
      <c r="V570" s="17"/>
      <c r="W570" s="17"/>
      <c r="X570" s="17"/>
      <c r="Y570" s="17"/>
    </row>
    <row r="571" ht="18.75" customHeight="1">
      <c r="A571" s="9">
        <v>1724.0</v>
      </c>
      <c r="B571" s="15"/>
      <c r="C571" s="15"/>
      <c r="D571" s="15"/>
      <c r="E571" s="15"/>
      <c r="F571" s="15"/>
      <c r="G571" s="12"/>
      <c r="H571" s="13"/>
      <c r="I571" s="11"/>
      <c r="J571" s="11"/>
      <c r="K571" s="14"/>
      <c r="L571" s="11"/>
      <c r="M571" s="15"/>
      <c r="N571" s="16"/>
      <c r="O571" s="16"/>
      <c r="P571" s="16"/>
      <c r="Q571" s="17"/>
      <c r="R571" s="17"/>
      <c r="S571" s="17"/>
      <c r="T571" s="17"/>
      <c r="U571" s="17"/>
      <c r="V571" s="17"/>
      <c r="W571" s="17"/>
      <c r="X571" s="17"/>
      <c r="Y571" s="17"/>
    </row>
    <row r="572" ht="18.75" customHeight="1">
      <c r="A572" s="9">
        <v>1725.0</v>
      </c>
      <c r="B572" s="15"/>
      <c r="C572" s="15"/>
      <c r="D572" s="15"/>
      <c r="E572" s="15"/>
      <c r="F572" s="15"/>
      <c r="G572" s="12"/>
      <c r="H572" s="13"/>
      <c r="I572" s="11"/>
      <c r="J572" s="11"/>
      <c r="K572" s="14"/>
      <c r="L572" s="11"/>
      <c r="M572" s="15"/>
      <c r="N572" s="16"/>
      <c r="O572" s="16"/>
      <c r="P572" s="16"/>
      <c r="Q572" s="17"/>
      <c r="R572" s="17"/>
      <c r="S572" s="17"/>
      <c r="T572" s="17"/>
      <c r="U572" s="17"/>
      <c r="V572" s="17"/>
      <c r="W572" s="17"/>
      <c r="X572" s="17"/>
      <c r="Y572" s="17"/>
    </row>
    <row r="573" ht="18.75" customHeight="1">
      <c r="A573" s="9">
        <v>1726.0</v>
      </c>
      <c r="B573" s="15"/>
      <c r="C573" s="15"/>
      <c r="D573" s="15"/>
      <c r="E573" s="15"/>
      <c r="F573" s="15"/>
      <c r="G573" s="12"/>
      <c r="H573" s="13"/>
      <c r="I573" s="11"/>
      <c r="J573" s="11"/>
      <c r="K573" s="14"/>
      <c r="L573" s="11"/>
      <c r="M573" s="15"/>
      <c r="N573" s="16"/>
      <c r="O573" s="16"/>
      <c r="P573" s="16"/>
      <c r="Q573" s="17"/>
      <c r="R573" s="17"/>
      <c r="S573" s="17"/>
      <c r="T573" s="17"/>
      <c r="U573" s="17"/>
      <c r="V573" s="17"/>
      <c r="W573" s="17"/>
      <c r="X573" s="17"/>
      <c r="Y573" s="17"/>
    </row>
    <row r="574" ht="18.75" customHeight="1">
      <c r="A574" s="9">
        <v>1727.0</v>
      </c>
      <c r="B574" s="15"/>
      <c r="C574" s="15"/>
      <c r="D574" s="15"/>
      <c r="E574" s="15"/>
      <c r="F574" s="15"/>
      <c r="G574" s="12"/>
      <c r="H574" s="13"/>
      <c r="I574" s="11"/>
      <c r="J574" s="11"/>
      <c r="K574" s="14"/>
      <c r="L574" s="11"/>
      <c r="M574" s="15"/>
      <c r="N574" s="16"/>
      <c r="O574" s="16"/>
      <c r="P574" s="16"/>
      <c r="Q574" s="17"/>
      <c r="R574" s="17"/>
      <c r="S574" s="17"/>
      <c r="T574" s="17"/>
      <c r="U574" s="17"/>
      <c r="V574" s="17"/>
      <c r="W574" s="17"/>
      <c r="X574" s="17"/>
      <c r="Y574" s="17"/>
    </row>
    <row r="575" ht="18.75" customHeight="1">
      <c r="A575" s="9">
        <v>1728.0</v>
      </c>
      <c r="B575" s="15"/>
      <c r="C575" s="15"/>
      <c r="D575" s="15"/>
      <c r="E575" s="15"/>
      <c r="F575" s="15"/>
      <c r="G575" s="12"/>
      <c r="H575" s="13"/>
      <c r="I575" s="11"/>
      <c r="J575" s="11"/>
      <c r="K575" s="14"/>
      <c r="L575" s="11"/>
      <c r="M575" s="15"/>
      <c r="N575" s="16"/>
      <c r="O575" s="16"/>
      <c r="P575" s="16"/>
      <c r="Q575" s="17"/>
      <c r="R575" s="17"/>
      <c r="S575" s="17"/>
      <c r="T575" s="17"/>
      <c r="U575" s="17"/>
      <c r="V575" s="17"/>
      <c r="W575" s="17"/>
      <c r="X575" s="17"/>
      <c r="Y575" s="17"/>
    </row>
    <row r="576" ht="18.75" customHeight="1">
      <c r="A576" s="9">
        <v>1729.0</v>
      </c>
      <c r="B576" s="15"/>
      <c r="C576" s="15"/>
      <c r="D576" s="15"/>
      <c r="E576" s="15"/>
      <c r="F576" s="15"/>
      <c r="G576" s="12"/>
      <c r="H576" s="13"/>
      <c r="I576" s="11"/>
      <c r="J576" s="11"/>
      <c r="K576" s="14"/>
      <c r="L576" s="11"/>
      <c r="M576" s="15"/>
      <c r="N576" s="16"/>
      <c r="O576" s="16"/>
      <c r="P576" s="16"/>
      <c r="Q576" s="17"/>
      <c r="R576" s="17"/>
      <c r="S576" s="17"/>
      <c r="T576" s="17"/>
      <c r="U576" s="17"/>
      <c r="V576" s="17"/>
      <c r="W576" s="17"/>
      <c r="X576" s="17"/>
      <c r="Y576" s="17"/>
    </row>
    <row r="577" ht="18.75" customHeight="1">
      <c r="A577" s="9">
        <v>1730.0</v>
      </c>
      <c r="B577" s="15"/>
      <c r="C577" s="15"/>
      <c r="D577" s="15"/>
      <c r="E577" s="15"/>
      <c r="F577" s="15"/>
      <c r="G577" s="12"/>
      <c r="H577" s="13"/>
      <c r="I577" s="11"/>
      <c r="J577" s="11"/>
      <c r="K577" s="14"/>
      <c r="L577" s="11"/>
      <c r="M577" s="15"/>
      <c r="N577" s="16"/>
      <c r="O577" s="16"/>
      <c r="P577" s="16"/>
      <c r="Q577" s="17"/>
      <c r="R577" s="17"/>
      <c r="S577" s="17"/>
      <c r="T577" s="17"/>
      <c r="U577" s="17"/>
      <c r="V577" s="17"/>
      <c r="W577" s="17"/>
      <c r="X577" s="17"/>
      <c r="Y577" s="17"/>
    </row>
    <row r="578" ht="18.75" customHeight="1">
      <c r="A578" s="9">
        <v>1731.0</v>
      </c>
      <c r="B578" s="15"/>
      <c r="C578" s="15"/>
      <c r="D578" s="15"/>
      <c r="E578" s="15"/>
      <c r="F578" s="15"/>
      <c r="G578" s="12"/>
      <c r="H578" s="13"/>
      <c r="I578" s="11"/>
      <c r="J578" s="11"/>
      <c r="K578" s="14"/>
      <c r="L578" s="11"/>
      <c r="M578" s="15"/>
      <c r="N578" s="16"/>
      <c r="O578" s="16"/>
      <c r="P578" s="16"/>
      <c r="Q578" s="17"/>
      <c r="R578" s="17"/>
      <c r="S578" s="17"/>
      <c r="T578" s="17"/>
      <c r="U578" s="17"/>
      <c r="V578" s="17"/>
      <c r="W578" s="17"/>
      <c r="X578" s="17"/>
      <c r="Y578" s="17"/>
    </row>
    <row r="579" ht="18.75" customHeight="1">
      <c r="A579" s="9">
        <v>1732.0</v>
      </c>
      <c r="B579" s="15"/>
      <c r="C579" s="15"/>
      <c r="D579" s="15"/>
      <c r="E579" s="15"/>
      <c r="F579" s="15"/>
      <c r="G579" s="12"/>
      <c r="H579" s="13"/>
      <c r="I579" s="11"/>
      <c r="J579" s="11"/>
      <c r="K579" s="14"/>
      <c r="L579" s="11"/>
      <c r="M579" s="15"/>
      <c r="N579" s="16"/>
      <c r="O579" s="16"/>
      <c r="P579" s="16"/>
      <c r="Q579" s="17"/>
      <c r="R579" s="17"/>
      <c r="S579" s="17"/>
      <c r="T579" s="17"/>
      <c r="U579" s="17"/>
      <c r="V579" s="17"/>
      <c r="W579" s="17"/>
      <c r="X579" s="17"/>
      <c r="Y579" s="17"/>
    </row>
    <row r="580" ht="18.75" customHeight="1">
      <c r="A580" s="9">
        <v>1733.0</v>
      </c>
      <c r="B580" s="15"/>
      <c r="C580" s="15"/>
      <c r="D580" s="15"/>
      <c r="E580" s="15"/>
      <c r="F580" s="15"/>
      <c r="G580" s="12"/>
      <c r="H580" s="13"/>
      <c r="I580" s="11"/>
      <c r="J580" s="11"/>
      <c r="K580" s="14"/>
      <c r="L580" s="11"/>
      <c r="M580" s="15"/>
      <c r="N580" s="16"/>
      <c r="O580" s="16"/>
      <c r="P580" s="16"/>
      <c r="Q580" s="17"/>
      <c r="R580" s="17"/>
      <c r="S580" s="17"/>
      <c r="T580" s="17"/>
      <c r="U580" s="17"/>
      <c r="V580" s="17"/>
      <c r="W580" s="17"/>
      <c r="X580" s="17"/>
      <c r="Y580" s="17"/>
    </row>
    <row r="581" ht="18.75" customHeight="1">
      <c r="A581" s="9">
        <v>1734.0</v>
      </c>
      <c r="B581" s="15"/>
      <c r="C581" s="15"/>
      <c r="D581" s="15"/>
      <c r="E581" s="15"/>
      <c r="F581" s="15"/>
      <c r="G581" s="12"/>
      <c r="H581" s="13"/>
      <c r="I581" s="11"/>
      <c r="J581" s="11"/>
      <c r="K581" s="14"/>
      <c r="L581" s="11"/>
      <c r="M581" s="15"/>
      <c r="N581" s="16"/>
      <c r="O581" s="16"/>
      <c r="P581" s="16"/>
      <c r="Q581" s="17"/>
      <c r="R581" s="17"/>
      <c r="S581" s="17"/>
      <c r="T581" s="17"/>
      <c r="U581" s="17"/>
      <c r="V581" s="17"/>
      <c r="W581" s="17"/>
      <c r="X581" s="17"/>
      <c r="Y581" s="17"/>
    </row>
    <row r="582" ht="18.75" customHeight="1">
      <c r="A582" s="9">
        <v>1735.0</v>
      </c>
      <c r="B582" s="15"/>
      <c r="C582" s="15"/>
      <c r="D582" s="15"/>
      <c r="E582" s="15"/>
      <c r="F582" s="15"/>
      <c r="G582" s="12"/>
      <c r="H582" s="13"/>
      <c r="I582" s="11"/>
      <c r="J582" s="11"/>
      <c r="K582" s="14"/>
      <c r="L582" s="11"/>
      <c r="M582" s="15"/>
      <c r="N582" s="16"/>
      <c r="O582" s="16"/>
      <c r="P582" s="16"/>
      <c r="Q582" s="17"/>
      <c r="R582" s="17"/>
      <c r="S582" s="17"/>
      <c r="T582" s="17"/>
      <c r="U582" s="17"/>
      <c r="V582" s="17"/>
      <c r="W582" s="17"/>
      <c r="X582" s="17"/>
      <c r="Y582" s="17"/>
    </row>
    <row r="583" ht="18.75" customHeight="1">
      <c r="A583" s="9">
        <v>1736.0</v>
      </c>
      <c r="B583" s="15"/>
      <c r="C583" s="15"/>
      <c r="D583" s="15"/>
      <c r="E583" s="15"/>
      <c r="F583" s="15"/>
      <c r="G583" s="12"/>
      <c r="H583" s="13"/>
      <c r="I583" s="11"/>
      <c r="J583" s="11"/>
      <c r="K583" s="14"/>
      <c r="L583" s="11"/>
      <c r="M583" s="15"/>
      <c r="N583" s="16"/>
      <c r="O583" s="16"/>
      <c r="P583" s="16"/>
      <c r="Q583" s="17"/>
      <c r="R583" s="17"/>
      <c r="S583" s="17"/>
      <c r="T583" s="17"/>
      <c r="U583" s="17"/>
      <c r="V583" s="17"/>
      <c r="W583" s="17"/>
      <c r="X583" s="17"/>
      <c r="Y583" s="17"/>
    </row>
    <row r="584" ht="18.75" customHeight="1">
      <c r="A584" s="9">
        <v>1737.0</v>
      </c>
      <c r="B584" s="15"/>
      <c r="C584" s="15"/>
      <c r="D584" s="15"/>
      <c r="E584" s="15"/>
      <c r="F584" s="15"/>
      <c r="G584" s="12"/>
      <c r="H584" s="13"/>
      <c r="I584" s="11"/>
      <c r="J584" s="11"/>
      <c r="K584" s="14"/>
      <c r="L584" s="11"/>
      <c r="M584" s="15"/>
      <c r="N584" s="16"/>
      <c r="O584" s="16"/>
      <c r="P584" s="16"/>
      <c r="Q584" s="17"/>
      <c r="R584" s="17"/>
      <c r="S584" s="17"/>
      <c r="T584" s="17"/>
      <c r="U584" s="17"/>
      <c r="V584" s="17"/>
      <c r="W584" s="17"/>
      <c r="X584" s="17"/>
      <c r="Y584" s="17"/>
    </row>
    <row r="585" ht="18.75" customHeight="1">
      <c r="A585" s="9">
        <v>1738.0</v>
      </c>
      <c r="B585" s="15"/>
      <c r="C585" s="15"/>
      <c r="D585" s="15"/>
      <c r="E585" s="15"/>
      <c r="F585" s="15"/>
      <c r="G585" s="12"/>
      <c r="H585" s="13"/>
      <c r="I585" s="11"/>
      <c r="J585" s="11"/>
      <c r="K585" s="14"/>
      <c r="L585" s="11"/>
      <c r="M585" s="15"/>
      <c r="N585" s="16"/>
      <c r="O585" s="16"/>
      <c r="P585" s="16"/>
      <c r="Q585" s="17"/>
      <c r="R585" s="17"/>
      <c r="S585" s="17"/>
      <c r="T585" s="17"/>
      <c r="U585" s="17"/>
      <c r="V585" s="17"/>
      <c r="W585" s="17"/>
      <c r="X585" s="17"/>
      <c r="Y585" s="17"/>
    </row>
    <row r="586" ht="18.75" customHeight="1">
      <c r="A586" s="9">
        <v>1739.0</v>
      </c>
      <c r="B586" s="15"/>
      <c r="C586" s="15"/>
      <c r="D586" s="15"/>
      <c r="E586" s="15"/>
      <c r="F586" s="15"/>
      <c r="G586" s="12"/>
      <c r="H586" s="13"/>
      <c r="I586" s="11"/>
      <c r="J586" s="11"/>
      <c r="K586" s="14"/>
      <c r="L586" s="11"/>
      <c r="M586" s="15"/>
      <c r="N586" s="16"/>
      <c r="O586" s="16"/>
      <c r="P586" s="16"/>
      <c r="Q586" s="17"/>
      <c r="R586" s="17"/>
      <c r="S586" s="17"/>
      <c r="T586" s="17"/>
      <c r="U586" s="17"/>
      <c r="V586" s="17"/>
      <c r="W586" s="17"/>
      <c r="X586" s="17"/>
      <c r="Y586" s="17"/>
    </row>
    <row r="587" ht="18.75" customHeight="1">
      <c r="A587" s="9">
        <v>1740.0</v>
      </c>
      <c r="B587" s="15"/>
      <c r="C587" s="15"/>
      <c r="D587" s="15"/>
      <c r="E587" s="15"/>
      <c r="F587" s="15"/>
      <c r="G587" s="12"/>
      <c r="H587" s="13"/>
      <c r="I587" s="11"/>
      <c r="J587" s="11"/>
      <c r="K587" s="14"/>
      <c r="L587" s="11"/>
      <c r="M587" s="15"/>
      <c r="N587" s="16"/>
      <c r="O587" s="16"/>
      <c r="P587" s="16"/>
      <c r="Q587" s="17"/>
      <c r="R587" s="17"/>
      <c r="S587" s="17"/>
      <c r="T587" s="17"/>
      <c r="U587" s="17"/>
      <c r="V587" s="17"/>
      <c r="W587" s="17"/>
      <c r="X587" s="17"/>
      <c r="Y587" s="17"/>
    </row>
    <row r="588" ht="18.75" customHeight="1">
      <c r="A588" s="9">
        <v>1741.0</v>
      </c>
      <c r="B588" s="15"/>
      <c r="C588" s="15"/>
      <c r="D588" s="15"/>
      <c r="E588" s="15"/>
      <c r="F588" s="15"/>
      <c r="G588" s="12"/>
      <c r="H588" s="13"/>
      <c r="I588" s="11"/>
      <c r="J588" s="11"/>
      <c r="K588" s="14"/>
      <c r="L588" s="11"/>
      <c r="M588" s="15"/>
      <c r="N588" s="16"/>
      <c r="O588" s="16"/>
      <c r="P588" s="16"/>
      <c r="Q588" s="17"/>
      <c r="R588" s="17"/>
      <c r="S588" s="17"/>
      <c r="T588" s="17"/>
      <c r="U588" s="17"/>
      <c r="V588" s="17"/>
      <c r="W588" s="17"/>
      <c r="X588" s="17"/>
      <c r="Y588" s="17"/>
    </row>
    <row r="589" ht="18.75" customHeight="1">
      <c r="A589" s="9">
        <v>1742.0</v>
      </c>
      <c r="B589" s="15"/>
      <c r="C589" s="15"/>
      <c r="D589" s="15"/>
      <c r="E589" s="15"/>
      <c r="F589" s="15"/>
      <c r="G589" s="12"/>
      <c r="H589" s="13"/>
      <c r="I589" s="11"/>
      <c r="J589" s="11"/>
      <c r="K589" s="14"/>
      <c r="L589" s="11"/>
      <c r="M589" s="15"/>
      <c r="N589" s="16"/>
      <c r="O589" s="16"/>
      <c r="P589" s="16"/>
      <c r="Q589" s="17"/>
      <c r="R589" s="17"/>
      <c r="S589" s="17"/>
      <c r="T589" s="17"/>
      <c r="U589" s="17"/>
      <c r="V589" s="17"/>
      <c r="W589" s="17"/>
      <c r="X589" s="17"/>
      <c r="Y589" s="17"/>
    </row>
    <row r="590" ht="18.75" customHeight="1">
      <c r="A590" s="9">
        <v>1743.0</v>
      </c>
      <c r="B590" s="15"/>
      <c r="C590" s="15"/>
      <c r="D590" s="15"/>
      <c r="E590" s="15"/>
      <c r="F590" s="15"/>
      <c r="G590" s="12"/>
      <c r="H590" s="13"/>
      <c r="I590" s="11"/>
      <c r="J590" s="11"/>
      <c r="K590" s="14"/>
      <c r="L590" s="11"/>
      <c r="M590" s="15"/>
      <c r="N590" s="16"/>
      <c r="O590" s="16"/>
      <c r="P590" s="16"/>
      <c r="Q590" s="17"/>
      <c r="R590" s="17"/>
      <c r="S590" s="17"/>
      <c r="T590" s="17"/>
      <c r="U590" s="17"/>
      <c r="V590" s="17"/>
      <c r="W590" s="17"/>
      <c r="X590" s="17"/>
      <c r="Y590" s="17"/>
    </row>
    <row r="591" ht="18.75" customHeight="1">
      <c r="A591" s="9">
        <v>1744.0</v>
      </c>
      <c r="B591" s="15"/>
      <c r="C591" s="15"/>
      <c r="D591" s="15"/>
      <c r="E591" s="15"/>
      <c r="F591" s="15"/>
      <c r="G591" s="12"/>
      <c r="H591" s="13"/>
      <c r="I591" s="11"/>
      <c r="J591" s="11"/>
      <c r="K591" s="14"/>
      <c r="L591" s="11"/>
      <c r="M591" s="15"/>
      <c r="N591" s="16"/>
      <c r="O591" s="16"/>
      <c r="P591" s="16"/>
      <c r="Q591" s="17"/>
      <c r="R591" s="17"/>
      <c r="S591" s="17"/>
      <c r="T591" s="17"/>
      <c r="U591" s="17"/>
      <c r="V591" s="17"/>
      <c r="W591" s="17"/>
      <c r="X591" s="17"/>
      <c r="Y591" s="17"/>
    </row>
    <row r="592" ht="18.75" customHeight="1">
      <c r="A592" s="9">
        <v>1745.0</v>
      </c>
      <c r="B592" s="15"/>
      <c r="C592" s="15"/>
      <c r="D592" s="15"/>
      <c r="E592" s="15"/>
      <c r="F592" s="15"/>
      <c r="G592" s="12"/>
      <c r="H592" s="13"/>
      <c r="I592" s="11"/>
      <c r="J592" s="11"/>
      <c r="K592" s="14"/>
      <c r="L592" s="11"/>
      <c r="M592" s="15"/>
      <c r="N592" s="16"/>
      <c r="O592" s="16"/>
      <c r="P592" s="16"/>
      <c r="Q592" s="17"/>
      <c r="R592" s="17"/>
      <c r="S592" s="17"/>
      <c r="T592" s="17"/>
      <c r="U592" s="17"/>
      <c r="V592" s="17"/>
      <c r="W592" s="17"/>
      <c r="X592" s="17"/>
      <c r="Y592" s="17"/>
    </row>
    <row r="593" ht="18.75" customHeight="1">
      <c r="A593" s="9">
        <v>1746.0</v>
      </c>
      <c r="B593" s="15"/>
      <c r="C593" s="15"/>
      <c r="D593" s="15"/>
      <c r="E593" s="15"/>
      <c r="F593" s="15"/>
      <c r="G593" s="12"/>
      <c r="H593" s="13"/>
      <c r="I593" s="11"/>
      <c r="J593" s="11"/>
      <c r="K593" s="14"/>
      <c r="L593" s="11"/>
      <c r="M593" s="15"/>
      <c r="N593" s="16"/>
      <c r="O593" s="16"/>
      <c r="P593" s="16"/>
      <c r="Q593" s="17"/>
      <c r="R593" s="17"/>
      <c r="S593" s="17"/>
      <c r="T593" s="17"/>
      <c r="U593" s="17"/>
      <c r="V593" s="17"/>
      <c r="W593" s="17"/>
      <c r="X593" s="17"/>
      <c r="Y593" s="17"/>
    </row>
    <row r="594" ht="18.75" customHeight="1">
      <c r="A594" s="9">
        <v>1747.0</v>
      </c>
      <c r="B594" s="15"/>
      <c r="C594" s="15"/>
      <c r="D594" s="15"/>
      <c r="E594" s="15"/>
      <c r="F594" s="15"/>
      <c r="G594" s="12"/>
      <c r="H594" s="13"/>
      <c r="I594" s="11"/>
      <c r="J594" s="11"/>
      <c r="K594" s="14"/>
      <c r="L594" s="11"/>
      <c r="M594" s="15"/>
      <c r="N594" s="16"/>
      <c r="O594" s="16"/>
      <c r="P594" s="16"/>
      <c r="Q594" s="17"/>
      <c r="R594" s="17"/>
      <c r="S594" s="17"/>
      <c r="T594" s="17"/>
      <c r="U594" s="17"/>
      <c r="V594" s="17"/>
      <c r="W594" s="17"/>
      <c r="X594" s="17"/>
      <c r="Y594" s="17"/>
    </row>
    <row r="595" ht="18.75" customHeight="1">
      <c r="A595" s="9">
        <v>1748.0</v>
      </c>
      <c r="B595" s="15"/>
      <c r="C595" s="15"/>
      <c r="D595" s="15"/>
      <c r="E595" s="15"/>
      <c r="F595" s="15"/>
      <c r="G595" s="12"/>
      <c r="H595" s="13"/>
      <c r="I595" s="11"/>
      <c r="J595" s="11"/>
      <c r="K595" s="14"/>
      <c r="L595" s="11"/>
      <c r="M595" s="15"/>
      <c r="N595" s="16"/>
      <c r="O595" s="16"/>
      <c r="P595" s="16"/>
      <c r="Q595" s="17"/>
      <c r="R595" s="17"/>
      <c r="S595" s="17"/>
      <c r="T595" s="17"/>
      <c r="U595" s="17"/>
      <c r="V595" s="17"/>
      <c r="W595" s="17"/>
      <c r="X595" s="17"/>
      <c r="Y595" s="17"/>
    </row>
    <row r="596" ht="18.75" customHeight="1">
      <c r="A596" s="9">
        <v>1749.0</v>
      </c>
      <c r="B596" s="15"/>
      <c r="C596" s="15"/>
      <c r="D596" s="15"/>
      <c r="E596" s="15"/>
      <c r="F596" s="15"/>
      <c r="G596" s="12"/>
      <c r="H596" s="13"/>
      <c r="I596" s="11"/>
      <c r="J596" s="11"/>
      <c r="K596" s="14"/>
      <c r="L596" s="11"/>
      <c r="M596" s="15"/>
      <c r="N596" s="16"/>
      <c r="O596" s="16"/>
      <c r="P596" s="16"/>
      <c r="Q596" s="17"/>
      <c r="R596" s="17"/>
      <c r="S596" s="17"/>
      <c r="T596" s="17"/>
      <c r="U596" s="17"/>
      <c r="V596" s="17"/>
      <c r="W596" s="17"/>
      <c r="X596" s="17"/>
      <c r="Y596" s="17"/>
    </row>
    <row r="597" ht="18.75" customHeight="1">
      <c r="A597" s="9">
        <v>1750.0</v>
      </c>
      <c r="B597" s="15"/>
      <c r="C597" s="15"/>
      <c r="D597" s="15"/>
      <c r="E597" s="15"/>
      <c r="F597" s="15"/>
      <c r="G597" s="12"/>
      <c r="H597" s="13"/>
      <c r="I597" s="11"/>
      <c r="J597" s="11"/>
      <c r="K597" s="14"/>
      <c r="L597" s="11"/>
      <c r="M597" s="15"/>
      <c r="N597" s="16"/>
      <c r="O597" s="16"/>
      <c r="P597" s="16"/>
      <c r="Q597" s="17"/>
      <c r="R597" s="17"/>
      <c r="S597" s="17"/>
      <c r="T597" s="17"/>
      <c r="U597" s="17"/>
      <c r="V597" s="17"/>
      <c r="W597" s="17"/>
      <c r="X597" s="17"/>
      <c r="Y597" s="17"/>
    </row>
    <row r="598" ht="18.75" customHeight="1">
      <c r="A598" s="9">
        <v>1751.0</v>
      </c>
      <c r="B598" s="15"/>
      <c r="C598" s="15"/>
      <c r="D598" s="15"/>
      <c r="E598" s="15"/>
      <c r="F598" s="15"/>
      <c r="G598" s="12"/>
      <c r="H598" s="13"/>
      <c r="I598" s="11"/>
      <c r="J598" s="11"/>
      <c r="K598" s="14"/>
      <c r="L598" s="11"/>
      <c r="M598" s="15"/>
      <c r="N598" s="16"/>
      <c r="O598" s="16"/>
      <c r="P598" s="16"/>
      <c r="Q598" s="17"/>
      <c r="R598" s="17"/>
      <c r="S598" s="17"/>
      <c r="T598" s="17"/>
      <c r="U598" s="17"/>
      <c r="V598" s="17"/>
      <c r="W598" s="17"/>
      <c r="X598" s="17"/>
      <c r="Y598" s="17"/>
    </row>
    <row r="599" ht="18.75" customHeight="1">
      <c r="A599" s="9">
        <v>1752.0</v>
      </c>
      <c r="B599" s="15"/>
      <c r="C599" s="15"/>
      <c r="D599" s="15"/>
      <c r="E599" s="15"/>
      <c r="F599" s="15"/>
      <c r="G599" s="12"/>
      <c r="H599" s="13"/>
      <c r="I599" s="11"/>
      <c r="J599" s="11"/>
      <c r="K599" s="14"/>
      <c r="L599" s="11"/>
      <c r="M599" s="15"/>
      <c r="N599" s="16"/>
      <c r="O599" s="16"/>
      <c r="P599" s="16"/>
      <c r="Q599" s="17"/>
      <c r="R599" s="17"/>
      <c r="S599" s="17"/>
      <c r="T599" s="17"/>
      <c r="U599" s="17"/>
      <c r="V599" s="17"/>
      <c r="W599" s="17"/>
      <c r="X599" s="17"/>
      <c r="Y599" s="17"/>
    </row>
    <row r="600" ht="18.75" customHeight="1">
      <c r="A600" s="9">
        <v>1753.0</v>
      </c>
      <c r="B600" s="15"/>
      <c r="C600" s="15"/>
      <c r="D600" s="15"/>
      <c r="E600" s="15"/>
      <c r="F600" s="15"/>
      <c r="G600" s="12"/>
      <c r="H600" s="13"/>
      <c r="I600" s="11"/>
      <c r="J600" s="11"/>
      <c r="K600" s="14"/>
      <c r="L600" s="11"/>
      <c r="M600" s="15"/>
      <c r="N600" s="16"/>
      <c r="O600" s="16"/>
      <c r="P600" s="16"/>
      <c r="Q600" s="17"/>
      <c r="R600" s="17"/>
      <c r="S600" s="17"/>
      <c r="T600" s="17"/>
      <c r="U600" s="17"/>
      <c r="V600" s="17"/>
      <c r="W600" s="17"/>
      <c r="X600" s="17"/>
      <c r="Y600" s="17"/>
    </row>
    <row r="601" ht="18.75" customHeight="1">
      <c r="A601" s="9">
        <v>1754.0</v>
      </c>
      <c r="B601" s="15"/>
      <c r="C601" s="15"/>
      <c r="D601" s="15"/>
      <c r="E601" s="15"/>
      <c r="F601" s="15"/>
      <c r="G601" s="12"/>
      <c r="H601" s="13"/>
      <c r="I601" s="11"/>
      <c r="J601" s="11"/>
      <c r="K601" s="14"/>
      <c r="L601" s="11"/>
      <c r="M601" s="15"/>
      <c r="N601" s="16"/>
      <c r="O601" s="16"/>
      <c r="P601" s="16"/>
      <c r="Q601" s="17"/>
      <c r="R601" s="17"/>
      <c r="S601" s="17"/>
      <c r="T601" s="17"/>
      <c r="U601" s="17"/>
      <c r="V601" s="17"/>
      <c r="W601" s="17"/>
      <c r="X601" s="17"/>
      <c r="Y601" s="17"/>
    </row>
    <row r="602" ht="18.75" customHeight="1">
      <c r="A602" s="9">
        <v>1755.0</v>
      </c>
      <c r="B602" s="15"/>
      <c r="C602" s="15"/>
      <c r="D602" s="15"/>
      <c r="E602" s="15"/>
      <c r="F602" s="15"/>
      <c r="G602" s="12"/>
      <c r="H602" s="13"/>
      <c r="I602" s="11"/>
      <c r="J602" s="11"/>
      <c r="K602" s="14"/>
      <c r="L602" s="11"/>
      <c r="M602" s="15"/>
      <c r="N602" s="16"/>
      <c r="O602" s="16"/>
      <c r="P602" s="16"/>
      <c r="Q602" s="17"/>
      <c r="R602" s="17"/>
      <c r="S602" s="17"/>
      <c r="T602" s="17"/>
      <c r="U602" s="17"/>
      <c r="V602" s="17"/>
      <c r="W602" s="17"/>
      <c r="X602" s="17"/>
      <c r="Y602" s="17"/>
    </row>
    <row r="603" ht="18.75" customHeight="1">
      <c r="A603" s="9">
        <v>1756.0</v>
      </c>
      <c r="B603" s="15"/>
      <c r="C603" s="15"/>
      <c r="D603" s="15"/>
      <c r="E603" s="15"/>
      <c r="F603" s="15"/>
      <c r="G603" s="12"/>
      <c r="H603" s="13"/>
      <c r="I603" s="11"/>
      <c r="J603" s="11"/>
      <c r="K603" s="14"/>
      <c r="L603" s="11"/>
      <c r="M603" s="15"/>
      <c r="N603" s="16"/>
      <c r="O603" s="16"/>
      <c r="P603" s="16"/>
      <c r="Q603" s="17"/>
      <c r="R603" s="17"/>
      <c r="S603" s="17"/>
      <c r="T603" s="17"/>
      <c r="U603" s="17"/>
      <c r="V603" s="17"/>
      <c r="W603" s="17"/>
      <c r="X603" s="17"/>
      <c r="Y603" s="17"/>
    </row>
    <row r="604" ht="18.75" customHeight="1">
      <c r="A604" s="9">
        <v>1757.0</v>
      </c>
      <c r="B604" s="15"/>
      <c r="C604" s="15"/>
      <c r="D604" s="15"/>
      <c r="E604" s="15"/>
      <c r="F604" s="15"/>
      <c r="G604" s="12"/>
      <c r="H604" s="13"/>
      <c r="I604" s="11"/>
      <c r="J604" s="11"/>
      <c r="K604" s="14"/>
      <c r="L604" s="11"/>
      <c r="M604" s="15"/>
      <c r="N604" s="16"/>
      <c r="O604" s="16"/>
      <c r="P604" s="16"/>
      <c r="Q604" s="17"/>
      <c r="R604" s="17"/>
      <c r="S604" s="17"/>
      <c r="T604" s="17"/>
      <c r="U604" s="17"/>
      <c r="V604" s="17"/>
      <c r="W604" s="17"/>
      <c r="X604" s="17"/>
      <c r="Y604" s="17"/>
    </row>
    <row r="605" ht="18.75" customHeight="1">
      <c r="A605" s="9">
        <v>1758.0</v>
      </c>
      <c r="B605" s="15"/>
      <c r="C605" s="15"/>
      <c r="D605" s="15"/>
      <c r="E605" s="15"/>
      <c r="F605" s="15"/>
      <c r="G605" s="12"/>
      <c r="H605" s="13"/>
      <c r="I605" s="11"/>
      <c r="J605" s="11"/>
      <c r="K605" s="14"/>
      <c r="L605" s="11"/>
      <c r="M605" s="15"/>
      <c r="N605" s="16"/>
      <c r="O605" s="16"/>
      <c r="P605" s="16"/>
      <c r="Q605" s="17"/>
      <c r="R605" s="17"/>
      <c r="S605" s="17"/>
      <c r="T605" s="17"/>
      <c r="U605" s="17"/>
      <c r="V605" s="17"/>
      <c r="W605" s="17"/>
      <c r="X605" s="17"/>
      <c r="Y605" s="17"/>
    </row>
    <row r="606" ht="18.75" customHeight="1">
      <c r="A606" s="9">
        <v>1759.0</v>
      </c>
      <c r="B606" s="15"/>
      <c r="C606" s="15"/>
      <c r="D606" s="15"/>
      <c r="E606" s="15"/>
      <c r="F606" s="15"/>
      <c r="G606" s="12"/>
      <c r="H606" s="13"/>
      <c r="I606" s="11"/>
      <c r="J606" s="11"/>
      <c r="K606" s="14"/>
      <c r="L606" s="11"/>
      <c r="M606" s="15"/>
      <c r="N606" s="16"/>
      <c r="O606" s="16"/>
      <c r="P606" s="16"/>
      <c r="Q606" s="17"/>
      <c r="R606" s="17"/>
      <c r="S606" s="17"/>
      <c r="T606" s="17"/>
      <c r="U606" s="17"/>
      <c r="V606" s="17"/>
      <c r="W606" s="17"/>
      <c r="X606" s="17"/>
      <c r="Y606" s="17"/>
    </row>
    <row r="607" ht="18.75" customHeight="1">
      <c r="A607" s="9">
        <v>1760.0</v>
      </c>
      <c r="B607" s="15"/>
      <c r="C607" s="15"/>
      <c r="D607" s="15"/>
      <c r="E607" s="15"/>
      <c r="F607" s="15"/>
      <c r="G607" s="12"/>
      <c r="H607" s="13"/>
      <c r="I607" s="11"/>
      <c r="J607" s="11"/>
      <c r="K607" s="14"/>
      <c r="L607" s="11"/>
      <c r="M607" s="15"/>
      <c r="N607" s="16"/>
      <c r="O607" s="16"/>
      <c r="P607" s="16"/>
      <c r="Q607" s="17"/>
      <c r="R607" s="17"/>
      <c r="S607" s="17"/>
      <c r="T607" s="17"/>
      <c r="U607" s="17"/>
      <c r="V607" s="17"/>
      <c r="W607" s="17"/>
      <c r="X607" s="17"/>
      <c r="Y607" s="17"/>
    </row>
    <row r="608" ht="18.75" customHeight="1">
      <c r="A608" s="9">
        <v>1761.0</v>
      </c>
      <c r="B608" s="15"/>
      <c r="C608" s="15"/>
      <c r="D608" s="15"/>
      <c r="E608" s="15"/>
      <c r="F608" s="15"/>
      <c r="G608" s="12"/>
      <c r="H608" s="13"/>
      <c r="I608" s="11"/>
      <c r="J608" s="11"/>
      <c r="K608" s="14"/>
      <c r="L608" s="11"/>
      <c r="M608" s="15"/>
      <c r="N608" s="16"/>
      <c r="O608" s="16"/>
      <c r="P608" s="16"/>
      <c r="Q608" s="17"/>
      <c r="R608" s="17"/>
      <c r="S608" s="17"/>
      <c r="T608" s="17"/>
      <c r="U608" s="17"/>
      <c r="V608" s="17"/>
      <c r="W608" s="17"/>
      <c r="X608" s="17"/>
      <c r="Y608" s="17"/>
    </row>
    <row r="609" ht="18.75" customHeight="1">
      <c r="A609" s="9">
        <v>1762.0</v>
      </c>
      <c r="B609" s="15"/>
      <c r="C609" s="15"/>
      <c r="D609" s="15"/>
      <c r="E609" s="15"/>
      <c r="F609" s="15"/>
      <c r="G609" s="12"/>
      <c r="H609" s="13"/>
      <c r="I609" s="11"/>
      <c r="J609" s="11"/>
      <c r="K609" s="14"/>
      <c r="L609" s="11"/>
      <c r="M609" s="15"/>
      <c r="N609" s="16"/>
      <c r="O609" s="16"/>
      <c r="P609" s="16"/>
      <c r="Q609" s="17"/>
      <c r="R609" s="17"/>
      <c r="S609" s="17"/>
      <c r="T609" s="17"/>
      <c r="U609" s="17"/>
      <c r="V609" s="17"/>
      <c r="W609" s="17"/>
      <c r="X609" s="17"/>
      <c r="Y609" s="17"/>
    </row>
    <row r="610" ht="18.75" customHeight="1">
      <c r="A610" s="9">
        <v>1763.0</v>
      </c>
      <c r="B610" s="15"/>
      <c r="C610" s="15"/>
      <c r="D610" s="15"/>
      <c r="E610" s="15"/>
      <c r="F610" s="15"/>
      <c r="G610" s="12"/>
      <c r="H610" s="13"/>
      <c r="I610" s="11"/>
      <c r="J610" s="11"/>
      <c r="K610" s="14"/>
      <c r="L610" s="11"/>
      <c r="M610" s="15"/>
      <c r="N610" s="16"/>
      <c r="O610" s="16"/>
      <c r="P610" s="16"/>
      <c r="Q610" s="17"/>
      <c r="R610" s="17"/>
      <c r="S610" s="17"/>
      <c r="T610" s="17"/>
      <c r="U610" s="17"/>
      <c r="V610" s="17"/>
      <c r="W610" s="17"/>
      <c r="X610" s="17"/>
      <c r="Y610" s="17"/>
    </row>
    <row r="611" ht="18.75" customHeight="1">
      <c r="A611" s="9">
        <v>1764.0</v>
      </c>
      <c r="B611" s="15"/>
      <c r="C611" s="15"/>
      <c r="D611" s="15"/>
      <c r="E611" s="15"/>
      <c r="F611" s="15"/>
      <c r="G611" s="12"/>
      <c r="H611" s="13"/>
      <c r="I611" s="11"/>
      <c r="J611" s="11"/>
      <c r="K611" s="14"/>
      <c r="L611" s="11"/>
      <c r="M611" s="15"/>
      <c r="N611" s="16"/>
      <c r="O611" s="16"/>
      <c r="P611" s="16"/>
      <c r="Q611" s="17"/>
      <c r="R611" s="17"/>
      <c r="S611" s="17"/>
      <c r="T611" s="17"/>
      <c r="U611" s="17"/>
      <c r="V611" s="17"/>
      <c r="W611" s="17"/>
      <c r="X611" s="17"/>
      <c r="Y611" s="17"/>
    </row>
    <row r="612" ht="18.75" customHeight="1">
      <c r="A612" s="9">
        <v>1765.0</v>
      </c>
      <c r="B612" s="15"/>
      <c r="C612" s="15"/>
      <c r="D612" s="15"/>
      <c r="E612" s="15"/>
      <c r="F612" s="15"/>
      <c r="G612" s="12"/>
      <c r="H612" s="13"/>
      <c r="I612" s="11"/>
      <c r="J612" s="11"/>
      <c r="K612" s="14"/>
      <c r="L612" s="11"/>
      <c r="M612" s="15"/>
      <c r="N612" s="16"/>
      <c r="O612" s="16"/>
      <c r="P612" s="16"/>
      <c r="Q612" s="17"/>
      <c r="R612" s="17"/>
      <c r="S612" s="17"/>
      <c r="T612" s="17"/>
      <c r="U612" s="17"/>
      <c r="V612" s="17"/>
      <c r="W612" s="17"/>
      <c r="X612" s="17"/>
      <c r="Y612" s="17"/>
    </row>
    <row r="613" ht="18.75" customHeight="1">
      <c r="A613" s="9">
        <v>1766.0</v>
      </c>
      <c r="B613" s="15"/>
      <c r="C613" s="15"/>
      <c r="D613" s="15"/>
      <c r="E613" s="15"/>
      <c r="F613" s="15"/>
      <c r="G613" s="12"/>
      <c r="H613" s="13"/>
      <c r="I613" s="11"/>
      <c r="J613" s="11"/>
      <c r="K613" s="14"/>
      <c r="L613" s="11"/>
      <c r="M613" s="15"/>
      <c r="N613" s="16"/>
      <c r="O613" s="16"/>
      <c r="P613" s="16"/>
      <c r="Q613" s="17"/>
      <c r="R613" s="17"/>
      <c r="S613" s="17"/>
      <c r="T613" s="17"/>
      <c r="U613" s="17"/>
      <c r="V613" s="17"/>
      <c r="W613" s="17"/>
      <c r="X613" s="17"/>
      <c r="Y613" s="17"/>
    </row>
    <row r="614" ht="18.75" customHeight="1">
      <c r="A614" s="9">
        <v>1767.0</v>
      </c>
      <c r="B614" s="15"/>
      <c r="C614" s="15"/>
      <c r="D614" s="15"/>
      <c r="E614" s="15"/>
      <c r="F614" s="15"/>
      <c r="G614" s="12"/>
      <c r="H614" s="13"/>
      <c r="I614" s="11"/>
      <c r="J614" s="11"/>
      <c r="K614" s="14"/>
      <c r="L614" s="11"/>
      <c r="M614" s="15"/>
      <c r="N614" s="16"/>
      <c r="O614" s="16"/>
      <c r="P614" s="16"/>
      <c r="Q614" s="17"/>
      <c r="R614" s="17"/>
      <c r="S614" s="17"/>
      <c r="T614" s="17"/>
      <c r="U614" s="17"/>
      <c r="V614" s="17"/>
      <c r="W614" s="17"/>
      <c r="X614" s="17"/>
      <c r="Y614" s="17"/>
    </row>
    <row r="615" ht="18.75" customHeight="1">
      <c r="A615" s="9">
        <v>1768.0</v>
      </c>
      <c r="B615" s="15"/>
      <c r="C615" s="15"/>
      <c r="D615" s="15"/>
      <c r="E615" s="15"/>
      <c r="F615" s="15"/>
      <c r="G615" s="12"/>
      <c r="H615" s="13"/>
      <c r="I615" s="11"/>
      <c r="J615" s="11"/>
      <c r="K615" s="14"/>
      <c r="L615" s="11"/>
      <c r="M615" s="15"/>
      <c r="N615" s="16"/>
      <c r="O615" s="16"/>
      <c r="P615" s="16"/>
      <c r="Q615" s="17"/>
      <c r="R615" s="17"/>
      <c r="S615" s="17"/>
      <c r="T615" s="17"/>
      <c r="U615" s="17"/>
      <c r="V615" s="17"/>
      <c r="W615" s="17"/>
      <c r="X615" s="17"/>
      <c r="Y615" s="17"/>
    </row>
    <row r="616" ht="18.75" customHeight="1">
      <c r="A616" s="9">
        <v>1769.0</v>
      </c>
      <c r="B616" s="15"/>
      <c r="C616" s="15"/>
      <c r="D616" s="15"/>
      <c r="E616" s="15"/>
      <c r="F616" s="15"/>
      <c r="G616" s="12"/>
      <c r="H616" s="13"/>
      <c r="I616" s="11"/>
      <c r="J616" s="11"/>
      <c r="K616" s="14"/>
      <c r="L616" s="11"/>
      <c r="M616" s="15"/>
      <c r="N616" s="16"/>
      <c r="O616" s="16"/>
      <c r="P616" s="16"/>
      <c r="Q616" s="17"/>
      <c r="R616" s="17"/>
      <c r="S616" s="17"/>
      <c r="T616" s="17"/>
      <c r="U616" s="17"/>
      <c r="V616" s="17"/>
      <c r="W616" s="17"/>
      <c r="X616" s="17"/>
      <c r="Y616" s="17"/>
    </row>
    <row r="617" ht="18.75" customHeight="1">
      <c r="A617" s="9">
        <v>1770.0</v>
      </c>
      <c r="B617" s="15"/>
      <c r="C617" s="15"/>
      <c r="D617" s="15"/>
      <c r="E617" s="15"/>
      <c r="F617" s="15"/>
      <c r="G617" s="12"/>
      <c r="H617" s="13"/>
      <c r="I617" s="11"/>
      <c r="J617" s="11"/>
      <c r="K617" s="14"/>
      <c r="L617" s="11"/>
      <c r="M617" s="15"/>
      <c r="N617" s="16"/>
      <c r="O617" s="16"/>
      <c r="P617" s="16"/>
      <c r="Q617" s="17"/>
      <c r="R617" s="17"/>
      <c r="S617" s="17"/>
      <c r="T617" s="17"/>
      <c r="U617" s="17"/>
      <c r="V617" s="17"/>
      <c r="W617" s="17"/>
      <c r="X617" s="17"/>
      <c r="Y617" s="17"/>
    </row>
    <row r="618" ht="18.75" customHeight="1">
      <c r="A618" s="9">
        <v>1771.0</v>
      </c>
      <c r="B618" s="15"/>
      <c r="C618" s="15"/>
      <c r="D618" s="15"/>
      <c r="E618" s="15"/>
      <c r="F618" s="15"/>
      <c r="G618" s="12"/>
      <c r="H618" s="13"/>
      <c r="I618" s="11"/>
      <c r="J618" s="11"/>
      <c r="K618" s="14"/>
      <c r="L618" s="11"/>
      <c r="M618" s="15"/>
      <c r="N618" s="16"/>
      <c r="O618" s="16"/>
      <c r="P618" s="16"/>
      <c r="Q618" s="17"/>
      <c r="R618" s="17"/>
      <c r="S618" s="17"/>
      <c r="T618" s="17"/>
      <c r="U618" s="17"/>
      <c r="V618" s="17"/>
      <c r="W618" s="17"/>
      <c r="X618" s="17"/>
      <c r="Y618" s="17"/>
    </row>
    <row r="619" ht="18.75" customHeight="1">
      <c r="A619" s="9">
        <v>1772.0</v>
      </c>
      <c r="B619" s="15"/>
      <c r="C619" s="15"/>
      <c r="D619" s="15"/>
      <c r="E619" s="15"/>
      <c r="F619" s="15"/>
      <c r="G619" s="12"/>
      <c r="H619" s="13"/>
      <c r="I619" s="11"/>
      <c r="J619" s="11"/>
      <c r="K619" s="14"/>
      <c r="L619" s="11"/>
      <c r="M619" s="15"/>
      <c r="N619" s="16"/>
      <c r="O619" s="16"/>
      <c r="P619" s="16"/>
      <c r="Q619" s="17"/>
      <c r="R619" s="17"/>
      <c r="S619" s="17"/>
      <c r="T619" s="17"/>
      <c r="U619" s="17"/>
      <c r="V619" s="17"/>
      <c r="W619" s="17"/>
      <c r="X619" s="17"/>
      <c r="Y619" s="17"/>
    </row>
    <row r="620" ht="18.75" customHeight="1">
      <c r="A620" s="9">
        <v>1773.0</v>
      </c>
      <c r="B620" s="15"/>
      <c r="C620" s="15"/>
      <c r="D620" s="15"/>
      <c r="E620" s="15"/>
      <c r="F620" s="15"/>
      <c r="G620" s="12"/>
      <c r="H620" s="13"/>
      <c r="I620" s="11"/>
      <c r="J620" s="11"/>
      <c r="K620" s="14"/>
      <c r="L620" s="11"/>
      <c r="M620" s="15"/>
      <c r="N620" s="16"/>
      <c r="O620" s="16"/>
      <c r="P620" s="16"/>
      <c r="Q620" s="17"/>
      <c r="R620" s="17"/>
      <c r="S620" s="17"/>
      <c r="T620" s="17"/>
      <c r="U620" s="17"/>
      <c r="V620" s="17"/>
      <c r="W620" s="17"/>
      <c r="X620" s="17"/>
      <c r="Y620" s="17"/>
    </row>
    <row r="621" ht="18.75" customHeight="1">
      <c r="A621" s="9">
        <v>1774.0</v>
      </c>
      <c r="B621" s="15"/>
      <c r="C621" s="15"/>
      <c r="D621" s="15"/>
      <c r="E621" s="15"/>
      <c r="F621" s="15"/>
      <c r="G621" s="12"/>
      <c r="H621" s="13"/>
      <c r="I621" s="11"/>
      <c r="J621" s="11"/>
      <c r="K621" s="14"/>
      <c r="L621" s="11"/>
      <c r="M621" s="15"/>
      <c r="N621" s="16"/>
      <c r="O621" s="16"/>
      <c r="P621" s="16"/>
      <c r="Q621" s="17"/>
      <c r="R621" s="17"/>
      <c r="S621" s="17"/>
      <c r="T621" s="17"/>
      <c r="U621" s="17"/>
      <c r="V621" s="17"/>
      <c r="W621" s="17"/>
      <c r="X621" s="17"/>
      <c r="Y621" s="17"/>
    </row>
    <row r="622" ht="18.75" customHeight="1">
      <c r="A622" s="9">
        <v>1775.0</v>
      </c>
      <c r="B622" s="15"/>
      <c r="C622" s="15"/>
      <c r="D622" s="15"/>
      <c r="E622" s="15"/>
      <c r="F622" s="15"/>
      <c r="G622" s="12"/>
      <c r="H622" s="13"/>
      <c r="I622" s="11"/>
      <c r="J622" s="11"/>
      <c r="K622" s="14"/>
      <c r="L622" s="11"/>
      <c r="M622" s="15"/>
      <c r="N622" s="16"/>
      <c r="O622" s="16"/>
      <c r="P622" s="16"/>
      <c r="Q622" s="17"/>
      <c r="R622" s="17"/>
      <c r="S622" s="17"/>
      <c r="T622" s="17"/>
      <c r="U622" s="17"/>
      <c r="V622" s="17"/>
      <c r="W622" s="17"/>
      <c r="X622" s="17"/>
      <c r="Y622" s="17"/>
    </row>
    <row r="623" ht="18.75" customHeight="1">
      <c r="A623" s="9">
        <v>1776.0</v>
      </c>
      <c r="B623" s="15"/>
      <c r="C623" s="15"/>
      <c r="D623" s="15"/>
      <c r="E623" s="15"/>
      <c r="F623" s="15"/>
      <c r="G623" s="12"/>
      <c r="H623" s="13"/>
      <c r="I623" s="11"/>
      <c r="J623" s="11"/>
      <c r="K623" s="14"/>
      <c r="L623" s="11"/>
      <c r="M623" s="15"/>
      <c r="N623" s="16"/>
      <c r="O623" s="16"/>
      <c r="P623" s="16"/>
      <c r="Q623" s="17"/>
      <c r="R623" s="17"/>
      <c r="S623" s="17"/>
      <c r="T623" s="17"/>
      <c r="U623" s="17"/>
      <c r="V623" s="17"/>
      <c r="W623" s="17"/>
      <c r="X623" s="17"/>
      <c r="Y623" s="17"/>
    </row>
    <row r="624" ht="18.75" customHeight="1">
      <c r="A624" s="9">
        <v>1777.0</v>
      </c>
      <c r="B624" s="15"/>
      <c r="C624" s="15"/>
      <c r="D624" s="15"/>
      <c r="E624" s="15"/>
      <c r="F624" s="15"/>
      <c r="G624" s="12"/>
      <c r="H624" s="13"/>
      <c r="I624" s="11"/>
      <c r="J624" s="11"/>
      <c r="K624" s="14"/>
      <c r="L624" s="11"/>
      <c r="M624" s="15"/>
      <c r="N624" s="16"/>
      <c r="O624" s="16"/>
      <c r="P624" s="16"/>
      <c r="Q624" s="17"/>
      <c r="R624" s="17"/>
      <c r="S624" s="17"/>
      <c r="T624" s="17"/>
      <c r="U624" s="17"/>
      <c r="V624" s="17"/>
      <c r="W624" s="17"/>
      <c r="X624" s="17"/>
      <c r="Y624" s="17"/>
    </row>
    <row r="625" ht="18.75" customHeight="1">
      <c r="A625" s="9">
        <v>1778.0</v>
      </c>
      <c r="B625" s="15"/>
      <c r="C625" s="15"/>
      <c r="D625" s="15"/>
      <c r="E625" s="15"/>
      <c r="F625" s="15"/>
      <c r="G625" s="12"/>
      <c r="H625" s="13"/>
      <c r="I625" s="11"/>
      <c r="J625" s="11"/>
      <c r="K625" s="14"/>
      <c r="L625" s="11"/>
      <c r="M625" s="15"/>
      <c r="N625" s="16"/>
      <c r="O625" s="16"/>
      <c r="P625" s="16"/>
      <c r="Q625" s="17"/>
      <c r="R625" s="17"/>
      <c r="S625" s="17"/>
      <c r="T625" s="17"/>
      <c r="U625" s="17"/>
      <c r="V625" s="17"/>
      <c r="W625" s="17"/>
      <c r="X625" s="17"/>
      <c r="Y625" s="17"/>
    </row>
    <row r="626" ht="18.75" customHeight="1">
      <c r="A626" s="9">
        <v>1779.0</v>
      </c>
      <c r="B626" s="15"/>
      <c r="C626" s="15"/>
      <c r="D626" s="15"/>
      <c r="E626" s="15"/>
      <c r="F626" s="15"/>
      <c r="G626" s="12"/>
      <c r="H626" s="13"/>
      <c r="I626" s="11"/>
      <c r="J626" s="11"/>
      <c r="K626" s="14"/>
      <c r="L626" s="11"/>
      <c r="M626" s="15"/>
      <c r="N626" s="16"/>
      <c r="O626" s="16"/>
      <c r="P626" s="16"/>
      <c r="Q626" s="17"/>
      <c r="R626" s="17"/>
      <c r="S626" s="17"/>
      <c r="T626" s="17"/>
      <c r="U626" s="17"/>
      <c r="V626" s="17"/>
      <c r="W626" s="17"/>
      <c r="X626" s="17"/>
      <c r="Y626" s="17"/>
    </row>
    <row r="627" ht="18.75" customHeight="1">
      <c r="A627" s="9">
        <v>1780.0</v>
      </c>
      <c r="B627" s="15"/>
      <c r="C627" s="15"/>
      <c r="D627" s="15"/>
      <c r="E627" s="15"/>
      <c r="F627" s="15"/>
      <c r="G627" s="12"/>
      <c r="H627" s="13"/>
      <c r="I627" s="11"/>
      <c r="J627" s="11"/>
      <c r="K627" s="14"/>
      <c r="L627" s="11"/>
      <c r="M627" s="15"/>
      <c r="N627" s="16"/>
      <c r="O627" s="16"/>
      <c r="P627" s="16"/>
      <c r="Q627" s="17"/>
      <c r="R627" s="17"/>
      <c r="S627" s="17"/>
      <c r="T627" s="17"/>
      <c r="U627" s="17"/>
      <c r="V627" s="17"/>
      <c r="W627" s="17"/>
      <c r="X627" s="17"/>
      <c r="Y627" s="17"/>
    </row>
    <row r="628" ht="18.75" customHeight="1">
      <c r="A628" s="9">
        <v>1781.0</v>
      </c>
      <c r="B628" s="15"/>
      <c r="C628" s="15"/>
      <c r="D628" s="15"/>
      <c r="E628" s="15"/>
      <c r="F628" s="15"/>
      <c r="G628" s="12"/>
      <c r="H628" s="13"/>
      <c r="I628" s="11"/>
      <c r="J628" s="11"/>
      <c r="K628" s="14"/>
      <c r="L628" s="11"/>
      <c r="M628" s="15"/>
      <c r="N628" s="16"/>
      <c r="O628" s="16"/>
      <c r="P628" s="16"/>
      <c r="Q628" s="17"/>
      <c r="R628" s="17"/>
      <c r="S628" s="17"/>
      <c r="T628" s="17"/>
      <c r="U628" s="17"/>
      <c r="V628" s="17"/>
      <c r="W628" s="17"/>
      <c r="X628" s="17"/>
      <c r="Y628" s="17"/>
    </row>
    <row r="629" ht="18.75" customHeight="1">
      <c r="A629" s="9">
        <v>1782.0</v>
      </c>
      <c r="B629" s="15"/>
      <c r="C629" s="15"/>
      <c r="D629" s="15"/>
      <c r="E629" s="15"/>
      <c r="F629" s="15"/>
      <c r="G629" s="12"/>
      <c r="H629" s="13"/>
      <c r="I629" s="11"/>
      <c r="J629" s="11"/>
      <c r="K629" s="14"/>
      <c r="L629" s="11"/>
      <c r="M629" s="15"/>
      <c r="N629" s="16"/>
      <c r="O629" s="16"/>
      <c r="P629" s="16"/>
      <c r="Q629" s="17"/>
      <c r="R629" s="17"/>
      <c r="S629" s="17"/>
      <c r="T629" s="17"/>
      <c r="U629" s="17"/>
      <c r="V629" s="17"/>
      <c r="W629" s="17"/>
      <c r="X629" s="17"/>
      <c r="Y629" s="17"/>
    </row>
    <row r="630" ht="18.75" customHeight="1">
      <c r="A630" s="9">
        <v>1783.0</v>
      </c>
      <c r="B630" s="15"/>
      <c r="C630" s="15"/>
      <c r="D630" s="15"/>
      <c r="E630" s="15"/>
      <c r="F630" s="15"/>
      <c r="G630" s="12"/>
      <c r="H630" s="13"/>
      <c r="I630" s="11"/>
      <c r="J630" s="11"/>
      <c r="K630" s="14"/>
      <c r="L630" s="11"/>
      <c r="M630" s="15"/>
      <c r="N630" s="16"/>
      <c r="O630" s="16"/>
      <c r="P630" s="16"/>
      <c r="Q630" s="17"/>
      <c r="R630" s="17"/>
      <c r="S630" s="17"/>
      <c r="T630" s="17"/>
      <c r="U630" s="17"/>
      <c r="V630" s="17"/>
      <c r="W630" s="17"/>
      <c r="X630" s="17"/>
      <c r="Y630" s="17"/>
    </row>
    <row r="631" ht="18.75" customHeight="1">
      <c r="A631" s="9">
        <v>1784.0</v>
      </c>
      <c r="B631" s="15"/>
      <c r="C631" s="15"/>
      <c r="D631" s="15"/>
      <c r="E631" s="15"/>
      <c r="F631" s="15"/>
      <c r="G631" s="12"/>
      <c r="H631" s="13"/>
      <c r="I631" s="11"/>
      <c r="J631" s="11"/>
      <c r="K631" s="14"/>
      <c r="L631" s="11"/>
      <c r="M631" s="15"/>
      <c r="N631" s="16"/>
      <c r="O631" s="16"/>
      <c r="P631" s="16"/>
      <c r="Q631" s="17"/>
      <c r="R631" s="17"/>
      <c r="S631" s="17"/>
      <c r="T631" s="17"/>
      <c r="U631" s="17"/>
      <c r="V631" s="17"/>
      <c r="W631" s="17"/>
      <c r="X631" s="17"/>
      <c r="Y631" s="17"/>
    </row>
    <row r="632" ht="18.75" customHeight="1">
      <c r="A632" s="9">
        <v>1785.0</v>
      </c>
      <c r="B632" s="15"/>
      <c r="C632" s="15"/>
      <c r="D632" s="15"/>
      <c r="E632" s="15"/>
      <c r="F632" s="15"/>
      <c r="G632" s="12"/>
      <c r="H632" s="13"/>
      <c r="I632" s="11"/>
      <c r="J632" s="11"/>
      <c r="K632" s="14"/>
      <c r="L632" s="11"/>
      <c r="M632" s="15"/>
      <c r="N632" s="16"/>
      <c r="O632" s="16"/>
      <c r="P632" s="16"/>
      <c r="Q632" s="17"/>
      <c r="R632" s="17"/>
      <c r="S632" s="17"/>
      <c r="T632" s="17"/>
      <c r="U632" s="17"/>
      <c r="V632" s="17"/>
      <c r="W632" s="17"/>
      <c r="X632" s="17"/>
      <c r="Y632" s="17"/>
    </row>
    <row r="633" ht="18.75" customHeight="1">
      <c r="A633" s="9">
        <v>1786.0</v>
      </c>
      <c r="B633" s="15"/>
      <c r="C633" s="15"/>
      <c r="D633" s="15"/>
      <c r="E633" s="15"/>
      <c r="F633" s="15"/>
      <c r="G633" s="12"/>
      <c r="H633" s="13"/>
      <c r="I633" s="11"/>
      <c r="J633" s="11"/>
      <c r="K633" s="14"/>
      <c r="L633" s="11"/>
      <c r="M633" s="15"/>
      <c r="N633" s="16"/>
      <c r="O633" s="16"/>
      <c r="P633" s="16"/>
      <c r="Q633" s="17"/>
      <c r="R633" s="17"/>
      <c r="S633" s="17"/>
      <c r="T633" s="17"/>
      <c r="U633" s="17"/>
      <c r="V633" s="17"/>
      <c r="W633" s="17"/>
      <c r="X633" s="17"/>
      <c r="Y633" s="17"/>
    </row>
    <row r="634" ht="18.75" customHeight="1">
      <c r="A634" s="9">
        <v>1787.0</v>
      </c>
      <c r="B634" s="15"/>
      <c r="C634" s="15"/>
      <c r="D634" s="15"/>
      <c r="E634" s="15"/>
      <c r="F634" s="15"/>
      <c r="G634" s="12"/>
      <c r="H634" s="13"/>
      <c r="I634" s="11"/>
      <c r="J634" s="11"/>
      <c r="K634" s="14"/>
      <c r="L634" s="11"/>
      <c r="M634" s="15"/>
      <c r="N634" s="16"/>
      <c r="O634" s="16"/>
      <c r="P634" s="16"/>
      <c r="Q634" s="17"/>
      <c r="R634" s="17"/>
      <c r="S634" s="17"/>
      <c r="T634" s="17"/>
      <c r="U634" s="17"/>
      <c r="V634" s="17"/>
      <c r="W634" s="17"/>
      <c r="X634" s="17"/>
      <c r="Y634" s="17"/>
    </row>
    <row r="635" ht="18.75" customHeight="1">
      <c r="A635" s="9">
        <v>1788.0</v>
      </c>
      <c r="B635" s="15"/>
      <c r="C635" s="15"/>
      <c r="D635" s="15"/>
      <c r="E635" s="15"/>
      <c r="F635" s="15"/>
      <c r="G635" s="12"/>
      <c r="H635" s="13"/>
      <c r="I635" s="11"/>
      <c r="J635" s="11"/>
      <c r="K635" s="14"/>
      <c r="L635" s="11"/>
      <c r="M635" s="15"/>
      <c r="N635" s="16"/>
      <c r="O635" s="16"/>
      <c r="P635" s="16"/>
      <c r="Q635" s="17"/>
      <c r="R635" s="17"/>
      <c r="S635" s="17"/>
      <c r="T635" s="17"/>
      <c r="U635" s="17"/>
      <c r="V635" s="17"/>
      <c r="W635" s="17"/>
      <c r="X635" s="17"/>
      <c r="Y635" s="17"/>
    </row>
    <row r="636" ht="18.75" customHeight="1">
      <c r="A636" s="9">
        <v>1789.0</v>
      </c>
      <c r="B636" s="15"/>
      <c r="C636" s="15"/>
      <c r="D636" s="15"/>
      <c r="E636" s="15"/>
      <c r="F636" s="15"/>
      <c r="G636" s="12"/>
      <c r="H636" s="13"/>
      <c r="I636" s="11"/>
      <c r="J636" s="11"/>
      <c r="K636" s="14"/>
      <c r="L636" s="11"/>
      <c r="M636" s="15"/>
      <c r="N636" s="16"/>
      <c r="O636" s="16"/>
      <c r="P636" s="16"/>
      <c r="Q636" s="17"/>
      <c r="R636" s="17"/>
      <c r="S636" s="17"/>
      <c r="T636" s="17"/>
      <c r="U636" s="17"/>
      <c r="V636" s="17"/>
      <c r="W636" s="17"/>
      <c r="X636" s="17"/>
      <c r="Y636" s="17"/>
    </row>
    <row r="637" ht="18.75" customHeight="1">
      <c r="A637" s="9">
        <v>1790.0</v>
      </c>
      <c r="B637" s="15"/>
      <c r="C637" s="15"/>
      <c r="D637" s="15"/>
      <c r="E637" s="15"/>
      <c r="F637" s="15"/>
      <c r="G637" s="12"/>
      <c r="H637" s="13"/>
      <c r="I637" s="11"/>
      <c r="J637" s="11"/>
      <c r="K637" s="14"/>
      <c r="L637" s="11"/>
      <c r="M637" s="15"/>
      <c r="N637" s="16"/>
      <c r="O637" s="16"/>
      <c r="P637" s="16"/>
      <c r="Q637" s="17"/>
      <c r="R637" s="17"/>
      <c r="S637" s="17"/>
      <c r="T637" s="17"/>
      <c r="U637" s="17"/>
      <c r="V637" s="17"/>
      <c r="W637" s="17"/>
      <c r="X637" s="17"/>
      <c r="Y637" s="17"/>
    </row>
    <row r="638" ht="18.75" customHeight="1">
      <c r="A638" s="9">
        <v>1791.0</v>
      </c>
      <c r="B638" s="15"/>
      <c r="C638" s="15"/>
      <c r="D638" s="15"/>
      <c r="E638" s="15"/>
      <c r="F638" s="15"/>
      <c r="G638" s="12"/>
      <c r="H638" s="13"/>
      <c r="I638" s="11"/>
      <c r="J638" s="11"/>
      <c r="K638" s="14"/>
      <c r="L638" s="11"/>
      <c r="M638" s="15"/>
      <c r="N638" s="16"/>
      <c r="O638" s="16"/>
      <c r="P638" s="16"/>
      <c r="Q638" s="17"/>
      <c r="R638" s="17"/>
      <c r="S638" s="17"/>
      <c r="T638" s="17"/>
      <c r="U638" s="17"/>
      <c r="V638" s="17"/>
      <c r="W638" s="17"/>
      <c r="X638" s="17"/>
      <c r="Y638" s="17"/>
    </row>
    <row r="639" ht="18.75" customHeight="1">
      <c r="A639" s="9">
        <v>1792.0</v>
      </c>
      <c r="B639" s="15"/>
      <c r="C639" s="15"/>
      <c r="D639" s="15"/>
      <c r="E639" s="15"/>
      <c r="F639" s="15"/>
      <c r="G639" s="12"/>
      <c r="H639" s="13"/>
      <c r="I639" s="11"/>
      <c r="J639" s="11"/>
      <c r="K639" s="14"/>
      <c r="L639" s="11"/>
      <c r="M639" s="15"/>
      <c r="N639" s="16"/>
      <c r="O639" s="16"/>
      <c r="P639" s="16"/>
      <c r="Q639" s="17"/>
      <c r="R639" s="17"/>
      <c r="S639" s="17"/>
      <c r="T639" s="17"/>
      <c r="U639" s="17"/>
      <c r="V639" s="17"/>
      <c r="W639" s="17"/>
      <c r="X639" s="17"/>
      <c r="Y639" s="17"/>
    </row>
    <row r="640" ht="18.75" customHeight="1">
      <c r="A640" s="9">
        <v>1793.0</v>
      </c>
      <c r="B640" s="15"/>
      <c r="C640" s="15"/>
      <c r="D640" s="15"/>
      <c r="E640" s="15"/>
      <c r="F640" s="15"/>
      <c r="G640" s="12"/>
      <c r="H640" s="13"/>
      <c r="I640" s="11"/>
      <c r="J640" s="11"/>
      <c r="K640" s="14"/>
      <c r="L640" s="11"/>
      <c r="M640" s="15"/>
      <c r="N640" s="16"/>
      <c r="O640" s="16"/>
      <c r="P640" s="16"/>
      <c r="Q640" s="17"/>
      <c r="R640" s="17"/>
      <c r="S640" s="17"/>
      <c r="T640" s="17"/>
      <c r="U640" s="17"/>
      <c r="V640" s="17"/>
      <c r="W640" s="17"/>
      <c r="X640" s="17"/>
      <c r="Y640" s="17"/>
    </row>
    <row r="641" ht="18.75" customHeight="1">
      <c r="A641" s="9">
        <v>1794.0</v>
      </c>
      <c r="B641" s="15"/>
      <c r="C641" s="15"/>
      <c r="D641" s="15"/>
      <c r="E641" s="15"/>
      <c r="F641" s="15"/>
      <c r="G641" s="12"/>
      <c r="H641" s="13"/>
      <c r="I641" s="11"/>
      <c r="J641" s="11"/>
      <c r="K641" s="14"/>
      <c r="L641" s="11"/>
      <c r="M641" s="15"/>
      <c r="N641" s="16"/>
      <c r="O641" s="16"/>
      <c r="P641" s="16"/>
      <c r="Q641" s="17"/>
      <c r="R641" s="17"/>
      <c r="S641" s="17"/>
      <c r="T641" s="17"/>
      <c r="U641" s="17"/>
      <c r="V641" s="17"/>
      <c r="W641" s="17"/>
      <c r="X641" s="17"/>
      <c r="Y641" s="17"/>
    </row>
    <row r="642" ht="18.75" customHeight="1">
      <c r="A642" s="9">
        <v>1795.0</v>
      </c>
      <c r="B642" s="15"/>
      <c r="C642" s="15"/>
      <c r="D642" s="15"/>
      <c r="E642" s="15"/>
      <c r="F642" s="15"/>
      <c r="G642" s="12"/>
      <c r="H642" s="13"/>
      <c r="I642" s="11"/>
      <c r="J642" s="11"/>
      <c r="K642" s="14"/>
      <c r="L642" s="11"/>
      <c r="M642" s="15"/>
      <c r="N642" s="16"/>
      <c r="O642" s="16"/>
      <c r="P642" s="16"/>
      <c r="Q642" s="17"/>
      <c r="R642" s="17"/>
      <c r="S642" s="17"/>
      <c r="T642" s="17"/>
      <c r="U642" s="17"/>
      <c r="V642" s="17"/>
      <c r="W642" s="17"/>
      <c r="X642" s="17"/>
      <c r="Y642" s="17"/>
    </row>
    <row r="643" ht="18.75" customHeight="1">
      <c r="A643" s="9">
        <v>1796.0</v>
      </c>
      <c r="B643" s="15"/>
      <c r="C643" s="15"/>
      <c r="D643" s="15"/>
      <c r="E643" s="15"/>
      <c r="F643" s="15"/>
      <c r="G643" s="12"/>
      <c r="H643" s="13"/>
      <c r="I643" s="11"/>
      <c r="J643" s="11"/>
      <c r="K643" s="14"/>
      <c r="L643" s="11"/>
      <c r="M643" s="15"/>
      <c r="N643" s="16"/>
      <c r="O643" s="16"/>
      <c r="P643" s="16"/>
      <c r="Q643" s="17"/>
      <c r="R643" s="17"/>
      <c r="S643" s="17"/>
      <c r="T643" s="17"/>
      <c r="U643" s="17"/>
      <c r="V643" s="17"/>
      <c r="W643" s="17"/>
      <c r="X643" s="17"/>
      <c r="Y643" s="17"/>
    </row>
    <row r="644" ht="18.75" customHeight="1">
      <c r="A644" s="9">
        <v>1797.0</v>
      </c>
      <c r="B644" s="15"/>
      <c r="C644" s="15"/>
      <c r="D644" s="15"/>
      <c r="E644" s="15"/>
      <c r="F644" s="15"/>
      <c r="G644" s="12"/>
      <c r="H644" s="13"/>
      <c r="I644" s="11"/>
      <c r="J644" s="11"/>
      <c r="K644" s="14"/>
      <c r="L644" s="11"/>
      <c r="M644" s="15"/>
      <c r="N644" s="16"/>
      <c r="O644" s="16"/>
      <c r="P644" s="16"/>
      <c r="Q644" s="17"/>
      <c r="R644" s="17"/>
      <c r="S644" s="17"/>
      <c r="T644" s="17"/>
      <c r="U644" s="17"/>
      <c r="V644" s="17"/>
      <c r="W644" s="17"/>
      <c r="X644" s="17"/>
      <c r="Y644" s="17"/>
    </row>
    <row r="645" ht="18.75" customHeight="1">
      <c r="A645" s="9">
        <v>1798.0</v>
      </c>
      <c r="B645" s="15"/>
      <c r="C645" s="15"/>
      <c r="D645" s="15"/>
      <c r="E645" s="15"/>
      <c r="F645" s="15"/>
      <c r="G645" s="12"/>
      <c r="H645" s="13"/>
      <c r="I645" s="11"/>
      <c r="J645" s="11"/>
      <c r="K645" s="14"/>
      <c r="L645" s="11"/>
      <c r="M645" s="15"/>
      <c r="N645" s="16"/>
      <c r="O645" s="16"/>
      <c r="P645" s="16"/>
      <c r="Q645" s="17"/>
      <c r="R645" s="17"/>
      <c r="S645" s="17"/>
      <c r="T645" s="17"/>
      <c r="U645" s="17"/>
      <c r="V645" s="17"/>
      <c r="W645" s="17"/>
      <c r="X645" s="17"/>
      <c r="Y645" s="17"/>
    </row>
    <row r="646" ht="18.75" customHeight="1">
      <c r="A646" s="9">
        <v>1799.0</v>
      </c>
      <c r="B646" s="15"/>
      <c r="C646" s="15"/>
      <c r="D646" s="15"/>
      <c r="E646" s="15"/>
      <c r="F646" s="15"/>
      <c r="G646" s="12"/>
      <c r="H646" s="13"/>
      <c r="I646" s="11"/>
      <c r="J646" s="11"/>
      <c r="K646" s="14"/>
      <c r="L646" s="11"/>
      <c r="M646" s="15"/>
      <c r="N646" s="16"/>
      <c r="O646" s="16"/>
      <c r="P646" s="16"/>
      <c r="Q646" s="17"/>
      <c r="R646" s="17"/>
      <c r="S646" s="17"/>
      <c r="T646" s="17"/>
      <c r="U646" s="17"/>
      <c r="V646" s="17"/>
      <c r="W646" s="17"/>
      <c r="X646" s="17"/>
      <c r="Y646" s="17"/>
    </row>
    <row r="647" ht="18.75" customHeight="1">
      <c r="A647" s="9">
        <v>1800.0</v>
      </c>
      <c r="B647" s="15"/>
      <c r="C647" s="15"/>
      <c r="D647" s="15"/>
      <c r="E647" s="15"/>
      <c r="F647" s="15"/>
      <c r="G647" s="12"/>
      <c r="H647" s="13"/>
      <c r="I647" s="11"/>
      <c r="J647" s="11"/>
      <c r="K647" s="14"/>
      <c r="L647" s="11"/>
      <c r="M647" s="15"/>
      <c r="N647" s="16"/>
      <c r="O647" s="16"/>
      <c r="P647" s="16"/>
      <c r="Q647" s="17"/>
      <c r="R647" s="17"/>
      <c r="S647" s="17"/>
      <c r="T647" s="17"/>
      <c r="U647" s="17"/>
      <c r="V647" s="17"/>
      <c r="W647" s="17"/>
      <c r="X647" s="17"/>
      <c r="Y647" s="17"/>
    </row>
    <row r="648" ht="18.75" customHeight="1">
      <c r="A648" s="9">
        <v>1801.0</v>
      </c>
      <c r="B648" s="15"/>
      <c r="C648" s="15"/>
      <c r="D648" s="15"/>
      <c r="E648" s="15"/>
      <c r="F648" s="15"/>
      <c r="G648" s="12"/>
      <c r="H648" s="13"/>
      <c r="I648" s="11"/>
      <c r="J648" s="11"/>
      <c r="K648" s="14"/>
      <c r="L648" s="11"/>
      <c r="M648" s="15"/>
      <c r="N648" s="16"/>
      <c r="O648" s="16"/>
      <c r="P648" s="16"/>
      <c r="Q648" s="17"/>
      <c r="R648" s="17"/>
      <c r="S648" s="17"/>
      <c r="T648" s="17"/>
      <c r="U648" s="17"/>
      <c r="V648" s="17"/>
      <c r="W648" s="17"/>
      <c r="X648" s="17"/>
      <c r="Y648" s="17"/>
    </row>
    <row r="649" ht="18.75" customHeight="1">
      <c r="A649" s="9">
        <v>1802.0</v>
      </c>
      <c r="B649" s="15"/>
      <c r="C649" s="15"/>
      <c r="D649" s="15"/>
      <c r="E649" s="15"/>
      <c r="F649" s="15"/>
      <c r="G649" s="12"/>
      <c r="H649" s="13"/>
      <c r="I649" s="11"/>
      <c r="J649" s="11"/>
      <c r="K649" s="14"/>
      <c r="L649" s="11"/>
      <c r="M649" s="15"/>
      <c r="N649" s="16"/>
      <c r="O649" s="16"/>
      <c r="P649" s="16"/>
      <c r="Q649" s="17"/>
      <c r="R649" s="17"/>
      <c r="S649" s="17"/>
      <c r="T649" s="17"/>
      <c r="U649" s="17"/>
      <c r="V649" s="17"/>
      <c r="W649" s="17"/>
      <c r="X649" s="17"/>
      <c r="Y649" s="17"/>
    </row>
    <row r="650" ht="18.75" customHeight="1">
      <c r="A650" s="9">
        <v>1803.0</v>
      </c>
      <c r="B650" s="15"/>
      <c r="C650" s="15"/>
      <c r="D650" s="15"/>
      <c r="E650" s="15"/>
      <c r="F650" s="15"/>
      <c r="G650" s="12"/>
      <c r="H650" s="13"/>
      <c r="I650" s="11"/>
      <c r="J650" s="11"/>
      <c r="K650" s="14"/>
      <c r="L650" s="11"/>
      <c r="M650" s="15"/>
      <c r="N650" s="16"/>
      <c r="O650" s="16"/>
      <c r="P650" s="16"/>
      <c r="Q650" s="17"/>
      <c r="R650" s="17"/>
      <c r="S650" s="17"/>
      <c r="T650" s="17"/>
      <c r="U650" s="17"/>
      <c r="V650" s="17"/>
      <c r="W650" s="17"/>
      <c r="X650" s="17"/>
      <c r="Y650" s="17"/>
    </row>
    <row r="651" ht="18.75" customHeight="1">
      <c r="A651" s="9">
        <v>1804.0</v>
      </c>
      <c r="B651" s="15"/>
      <c r="C651" s="15"/>
      <c r="D651" s="15"/>
      <c r="E651" s="15"/>
      <c r="F651" s="15"/>
      <c r="G651" s="12"/>
      <c r="H651" s="13"/>
      <c r="I651" s="11"/>
      <c r="J651" s="11"/>
      <c r="K651" s="14"/>
      <c r="L651" s="11"/>
      <c r="M651" s="15"/>
      <c r="N651" s="16"/>
      <c r="O651" s="16"/>
      <c r="P651" s="16"/>
      <c r="Q651" s="17"/>
      <c r="R651" s="17"/>
      <c r="S651" s="17"/>
      <c r="T651" s="17"/>
      <c r="U651" s="17"/>
      <c r="V651" s="17"/>
      <c r="W651" s="17"/>
      <c r="X651" s="17"/>
      <c r="Y651" s="17"/>
    </row>
    <row r="652" ht="18.75" customHeight="1">
      <c r="A652" s="9">
        <v>1805.0</v>
      </c>
      <c r="B652" s="15"/>
      <c r="C652" s="15"/>
      <c r="D652" s="15"/>
      <c r="E652" s="15"/>
      <c r="F652" s="15"/>
      <c r="G652" s="12"/>
      <c r="H652" s="13"/>
      <c r="I652" s="11"/>
      <c r="J652" s="11"/>
      <c r="K652" s="14"/>
      <c r="L652" s="11"/>
      <c r="M652" s="15"/>
      <c r="N652" s="16"/>
      <c r="O652" s="16"/>
      <c r="P652" s="16"/>
      <c r="Q652" s="17"/>
      <c r="R652" s="17"/>
      <c r="S652" s="17"/>
      <c r="T652" s="17"/>
      <c r="U652" s="17"/>
      <c r="V652" s="17"/>
      <c r="W652" s="17"/>
      <c r="X652" s="17"/>
      <c r="Y652" s="17"/>
    </row>
    <row r="653" ht="18.75" customHeight="1">
      <c r="A653" s="9">
        <v>1806.0</v>
      </c>
      <c r="B653" s="15"/>
      <c r="C653" s="15"/>
      <c r="D653" s="15"/>
      <c r="E653" s="15"/>
      <c r="F653" s="15"/>
      <c r="G653" s="12"/>
      <c r="H653" s="13"/>
      <c r="I653" s="11"/>
      <c r="J653" s="11"/>
      <c r="K653" s="14"/>
      <c r="L653" s="11"/>
      <c r="M653" s="15"/>
      <c r="N653" s="16"/>
      <c r="O653" s="16"/>
      <c r="P653" s="16"/>
      <c r="Q653" s="17"/>
      <c r="R653" s="17"/>
      <c r="S653" s="17"/>
      <c r="T653" s="17"/>
      <c r="U653" s="17"/>
      <c r="V653" s="17"/>
      <c r="W653" s="17"/>
      <c r="X653" s="17"/>
      <c r="Y653" s="17"/>
    </row>
    <row r="654" ht="18.75" customHeight="1">
      <c r="A654" s="9">
        <v>1807.0</v>
      </c>
      <c r="B654" s="15"/>
      <c r="C654" s="15"/>
      <c r="D654" s="15"/>
      <c r="E654" s="15"/>
      <c r="F654" s="15"/>
      <c r="G654" s="12"/>
      <c r="H654" s="13"/>
      <c r="I654" s="11"/>
      <c r="J654" s="11"/>
      <c r="K654" s="14"/>
      <c r="L654" s="11"/>
      <c r="M654" s="15"/>
      <c r="N654" s="16"/>
      <c r="O654" s="16"/>
      <c r="P654" s="16"/>
      <c r="Q654" s="17"/>
      <c r="R654" s="17"/>
      <c r="S654" s="17"/>
      <c r="T654" s="17"/>
      <c r="U654" s="17"/>
      <c r="V654" s="17"/>
      <c r="W654" s="17"/>
      <c r="X654" s="17"/>
      <c r="Y654" s="17"/>
    </row>
    <row r="655" ht="18.75" customHeight="1">
      <c r="A655" s="9">
        <v>1808.0</v>
      </c>
      <c r="B655" s="15"/>
      <c r="C655" s="15"/>
      <c r="D655" s="15"/>
      <c r="E655" s="15"/>
      <c r="F655" s="15"/>
      <c r="G655" s="12"/>
      <c r="H655" s="13"/>
      <c r="I655" s="11"/>
      <c r="J655" s="11"/>
      <c r="K655" s="14"/>
      <c r="L655" s="11"/>
      <c r="M655" s="15"/>
      <c r="N655" s="16"/>
      <c r="O655" s="16"/>
      <c r="P655" s="16"/>
      <c r="Q655" s="17"/>
      <c r="R655" s="17"/>
      <c r="S655" s="17"/>
      <c r="T655" s="17"/>
      <c r="U655" s="17"/>
      <c r="V655" s="17"/>
      <c r="W655" s="17"/>
      <c r="X655" s="17"/>
      <c r="Y655" s="17"/>
    </row>
    <row r="656" ht="18.75" customHeight="1">
      <c r="A656" s="9">
        <v>1809.0</v>
      </c>
      <c r="B656" s="15"/>
      <c r="C656" s="15"/>
      <c r="D656" s="15"/>
      <c r="E656" s="15"/>
      <c r="F656" s="15"/>
      <c r="G656" s="12"/>
      <c r="H656" s="13"/>
      <c r="I656" s="11"/>
      <c r="J656" s="11"/>
      <c r="K656" s="14"/>
      <c r="L656" s="11"/>
      <c r="M656" s="15"/>
      <c r="N656" s="16"/>
      <c r="O656" s="16"/>
      <c r="P656" s="16"/>
      <c r="Q656" s="17"/>
      <c r="R656" s="17"/>
      <c r="S656" s="17"/>
      <c r="T656" s="17"/>
      <c r="U656" s="17"/>
      <c r="V656" s="17"/>
      <c r="W656" s="17"/>
      <c r="X656" s="17"/>
      <c r="Y656" s="17"/>
    </row>
    <row r="657" ht="18.75" customHeight="1">
      <c r="A657" s="9">
        <v>1810.0</v>
      </c>
      <c r="B657" s="15"/>
      <c r="C657" s="15"/>
      <c r="D657" s="15"/>
      <c r="E657" s="15"/>
      <c r="F657" s="15"/>
      <c r="G657" s="12"/>
      <c r="H657" s="13"/>
      <c r="I657" s="11"/>
      <c r="J657" s="11"/>
      <c r="K657" s="14"/>
      <c r="L657" s="11"/>
      <c r="M657" s="15"/>
      <c r="N657" s="16"/>
      <c r="O657" s="16"/>
      <c r="P657" s="16"/>
      <c r="Q657" s="17"/>
      <c r="R657" s="17"/>
      <c r="S657" s="17"/>
      <c r="T657" s="17"/>
      <c r="U657" s="17"/>
      <c r="V657" s="17"/>
      <c r="W657" s="17"/>
      <c r="X657" s="17"/>
      <c r="Y657" s="17"/>
    </row>
    <row r="658" ht="18.75" customHeight="1">
      <c r="A658" s="9">
        <v>1811.0</v>
      </c>
      <c r="B658" s="15"/>
      <c r="C658" s="15"/>
      <c r="D658" s="15"/>
      <c r="E658" s="15"/>
      <c r="F658" s="15"/>
      <c r="G658" s="12"/>
      <c r="H658" s="13"/>
      <c r="I658" s="11"/>
      <c r="J658" s="11"/>
      <c r="K658" s="14"/>
      <c r="L658" s="11"/>
      <c r="M658" s="15"/>
      <c r="N658" s="16"/>
      <c r="O658" s="16"/>
      <c r="P658" s="16"/>
      <c r="Q658" s="17"/>
      <c r="R658" s="17"/>
      <c r="S658" s="17"/>
      <c r="T658" s="17"/>
      <c r="U658" s="17"/>
      <c r="V658" s="17"/>
      <c r="W658" s="17"/>
      <c r="X658" s="17"/>
      <c r="Y658" s="17"/>
    </row>
    <row r="659" ht="18.75" customHeight="1">
      <c r="A659" s="9">
        <v>1812.0</v>
      </c>
      <c r="B659" s="15"/>
      <c r="C659" s="15"/>
      <c r="D659" s="15"/>
      <c r="E659" s="15"/>
      <c r="F659" s="15"/>
      <c r="G659" s="12"/>
      <c r="H659" s="13"/>
      <c r="I659" s="11"/>
      <c r="J659" s="11"/>
      <c r="K659" s="14"/>
      <c r="L659" s="11"/>
      <c r="M659" s="15"/>
      <c r="N659" s="16"/>
      <c r="O659" s="16"/>
      <c r="P659" s="16"/>
      <c r="Q659" s="17"/>
      <c r="R659" s="17"/>
      <c r="S659" s="17"/>
      <c r="T659" s="17"/>
      <c r="U659" s="17"/>
      <c r="V659" s="17"/>
      <c r="W659" s="17"/>
      <c r="X659" s="17"/>
      <c r="Y659" s="17"/>
    </row>
    <row r="660" ht="18.75" customHeight="1">
      <c r="A660" s="9">
        <v>1813.0</v>
      </c>
      <c r="B660" s="15"/>
      <c r="C660" s="15"/>
      <c r="D660" s="15"/>
      <c r="E660" s="15"/>
      <c r="F660" s="15"/>
      <c r="G660" s="12"/>
      <c r="H660" s="13"/>
      <c r="I660" s="11"/>
      <c r="J660" s="11"/>
      <c r="K660" s="14"/>
      <c r="L660" s="11"/>
      <c r="M660" s="15"/>
      <c r="N660" s="16"/>
      <c r="O660" s="16"/>
      <c r="P660" s="16"/>
      <c r="Q660" s="17"/>
      <c r="R660" s="17"/>
      <c r="S660" s="17"/>
      <c r="T660" s="17"/>
      <c r="U660" s="17"/>
      <c r="V660" s="17"/>
      <c r="W660" s="17"/>
      <c r="X660" s="17"/>
      <c r="Y660" s="17"/>
    </row>
    <row r="661" ht="18.75" customHeight="1">
      <c r="A661" s="9">
        <v>1814.0</v>
      </c>
      <c r="B661" s="15"/>
      <c r="C661" s="15"/>
      <c r="D661" s="15"/>
      <c r="E661" s="15"/>
      <c r="F661" s="15"/>
      <c r="G661" s="12"/>
      <c r="H661" s="13"/>
      <c r="I661" s="11"/>
      <c r="J661" s="11"/>
      <c r="K661" s="14"/>
      <c r="L661" s="11"/>
      <c r="M661" s="15"/>
      <c r="N661" s="16"/>
      <c r="O661" s="16"/>
      <c r="P661" s="16"/>
      <c r="Q661" s="17"/>
      <c r="R661" s="17"/>
      <c r="S661" s="17"/>
      <c r="T661" s="17"/>
      <c r="U661" s="17"/>
      <c r="V661" s="17"/>
      <c r="W661" s="17"/>
      <c r="X661" s="17"/>
      <c r="Y661" s="17"/>
    </row>
    <row r="662" ht="18.75" customHeight="1">
      <c r="A662" s="9">
        <v>1815.0</v>
      </c>
      <c r="B662" s="15"/>
      <c r="C662" s="15"/>
      <c r="D662" s="15"/>
      <c r="E662" s="15"/>
      <c r="F662" s="15"/>
      <c r="G662" s="12"/>
      <c r="H662" s="13"/>
      <c r="I662" s="11"/>
      <c r="J662" s="11"/>
      <c r="K662" s="14"/>
      <c r="L662" s="11"/>
      <c r="M662" s="15"/>
      <c r="N662" s="16"/>
      <c r="O662" s="16"/>
      <c r="P662" s="16"/>
      <c r="Q662" s="17"/>
      <c r="R662" s="17"/>
      <c r="S662" s="17"/>
      <c r="T662" s="17"/>
      <c r="U662" s="17"/>
      <c r="V662" s="17"/>
      <c r="W662" s="17"/>
      <c r="X662" s="17"/>
      <c r="Y662" s="17"/>
    </row>
    <row r="663" ht="18.75" customHeight="1">
      <c r="A663" s="9">
        <v>1816.0</v>
      </c>
      <c r="B663" s="15"/>
      <c r="C663" s="15"/>
      <c r="D663" s="15"/>
      <c r="E663" s="15"/>
      <c r="F663" s="15"/>
      <c r="G663" s="12"/>
      <c r="H663" s="13"/>
      <c r="I663" s="11"/>
      <c r="J663" s="11"/>
      <c r="K663" s="14"/>
      <c r="L663" s="11"/>
      <c r="M663" s="15"/>
      <c r="N663" s="16"/>
      <c r="O663" s="16"/>
      <c r="P663" s="16"/>
      <c r="Q663" s="17"/>
      <c r="R663" s="17"/>
      <c r="S663" s="17"/>
      <c r="T663" s="17"/>
      <c r="U663" s="17"/>
      <c r="V663" s="17"/>
      <c r="W663" s="17"/>
      <c r="X663" s="17"/>
      <c r="Y663" s="17"/>
    </row>
    <row r="664" ht="18.75" customHeight="1">
      <c r="A664" s="9">
        <v>1817.0</v>
      </c>
      <c r="B664" s="15"/>
      <c r="C664" s="15"/>
      <c r="D664" s="15"/>
      <c r="E664" s="15"/>
      <c r="F664" s="15"/>
      <c r="G664" s="12"/>
      <c r="H664" s="13"/>
      <c r="I664" s="11"/>
      <c r="J664" s="11"/>
      <c r="K664" s="14"/>
      <c r="L664" s="11"/>
      <c r="M664" s="15"/>
      <c r="N664" s="16"/>
      <c r="O664" s="16"/>
      <c r="P664" s="16"/>
      <c r="Q664" s="17"/>
      <c r="R664" s="17"/>
      <c r="S664" s="17"/>
      <c r="T664" s="17"/>
      <c r="U664" s="17"/>
      <c r="V664" s="17"/>
      <c r="W664" s="17"/>
      <c r="X664" s="17"/>
      <c r="Y664" s="17"/>
    </row>
    <row r="665" ht="18.75" customHeight="1">
      <c r="A665" s="9">
        <v>1818.0</v>
      </c>
      <c r="B665" s="15"/>
      <c r="C665" s="15"/>
      <c r="D665" s="15"/>
      <c r="E665" s="15"/>
      <c r="F665" s="15"/>
      <c r="G665" s="12"/>
      <c r="H665" s="13"/>
      <c r="I665" s="11"/>
      <c r="J665" s="11"/>
      <c r="K665" s="14"/>
      <c r="L665" s="11"/>
      <c r="M665" s="15"/>
      <c r="N665" s="16"/>
      <c r="O665" s="16"/>
      <c r="P665" s="16"/>
      <c r="Q665" s="17"/>
      <c r="R665" s="17"/>
      <c r="S665" s="17"/>
      <c r="T665" s="17"/>
      <c r="U665" s="17"/>
      <c r="V665" s="17"/>
      <c r="W665" s="17"/>
      <c r="X665" s="17"/>
      <c r="Y665" s="17"/>
    </row>
    <row r="666" ht="18.75" customHeight="1">
      <c r="A666" s="9">
        <v>1819.0</v>
      </c>
      <c r="B666" s="15"/>
      <c r="C666" s="15"/>
      <c r="D666" s="15"/>
      <c r="E666" s="15"/>
      <c r="F666" s="15"/>
      <c r="G666" s="12"/>
      <c r="H666" s="13"/>
      <c r="I666" s="11"/>
      <c r="J666" s="11"/>
      <c r="K666" s="14"/>
      <c r="L666" s="11"/>
      <c r="M666" s="15"/>
      <c r="N666" s="16"/>
      <c r="O666" s="16"/>
      <c r="P666" s="16"/>
      <c r="Q666" s="17"/>
      <c r="R666" s="17"/>
      <c r="S666" s="17"/>
      <c r="T666" s="17"/>
      <c r="U666" s="17"/>
      <c r="V666" s="17"/>
      <c r="W666" s="17"/>
      <c r="X666" s="17"/>
      <c r="Y666" s="17"/>
    </row>
    <row r="667" ht="18.75" customHeight="1">
      <c r="A667" s="9">
        <v>1820.0</v>
      </c>
      <c r="B667" s="15"/>
      <c r="C667" s="15"/>
      <c r="D667" s="15"/>
      <c r="E667" s="15"/>
      <c r="F667" s="15"/>
      <c r="G667" s="12"/>
      <c r="H667" s="13"/>
      <c r="I667" s="11"/>
      <c r="J667" s="11"/>
      <c r="K667" s="14"/>
      <c r="L667" s="11"/>
      <c r="M667" s="15"/>
      <c r="N667" s="16"/>
      <c r="O667" s="16"/>
      <c r="P667" s="16"/>
      <c r="Q667" s="17"/>
      <c r="R667" s="17"/>
      <c r="S667" s="17"/>
      <c r="T667" s="17"/>
      <c r="U667" s="17"/>
      <c r="V667" s="17"/>
      <c r="W667" s="17"/>
      <c r="X667" s="17"/>
      <c r="Y667" s="17"/>
    </row>
    <row r="668" ht="18.75" customHeight="1">
      <c r="A668" s="9">
        <v>1821.0</v>
      </c>
      <c r="B668" s="15"/>
      <c r="C668" s="15"/>
      <c r="D668" s="15"/>
      <c r="E668" s="15"/>
      <c r="F668" s="15"/>
      <c r="G668" s="12"/>
      <c r="H668" s="13"/>
      <c r="I668" s="11"/>
      <c r="J668" s="11"/>
      <c r="K668" s="14"/>
      <c r="L668" s="11"/>
      <c r="M668" s="15"/>
      <c r="N668" s="16"/>
      <c r="O668" s="16"/>
      <c r="P668" s="16"/>
      <c r="Q668" s="17"/>
      <c r="R668" s="17"/>
      <c r="S668" s="17"/>
      <c r="T668" s="17"/>
      <c r="U668" s="17"/>
      <c r="V668" s="17"/>
      <c r="W668" s="17"/>
      <c r="X668" s="17"/>
      <c r="Y668" s="17"/>
    </row>
    <row r="669" ht="18.75" customHeight="1">
      <c r="A669" s="9">
        <v>1822.0</v>
      </c>
      <c r="B669" s="15"/>
      <c r="C669" s="15"/>
      <c r="D669" s="15"/>
      <c r="E669" s="15"/>
      <c r="F669" s="15"/>
      <c r="G669" s="12"/>
      <c r="H669" s="13"/>
      <c r="I669" s="11"/>
      <c r="J669" s="11"/>
      <c r="K669" s="14"/>
      <c r="L669" s="11"/>
      <c r="M669" s="15"/>
      <c r="N669" s="16"/>
      <c r="O669" s="16"/>
      <c r="P669" s="16"/>
      <c r="Q669" s="17"/>
      <c r="R669" s="17"/>
      <c r="S669" s="17"/>
      <c r="T669" s="17"/>
      <c r="U669" s="17"/>
      <c r="V669" s="17"/>
      <c r="W669" s="17"/>
      <c r="X669" s="17"/>
      <c r="Y669" s="17"/>
    </row>
    <row r="670" ht="18.75" customHeight="1">
      <c r="A670" s="9">
        <v>1823.0</v>
      </c>
      <c r="B670" s="15"/>
      <c r="C670" s="15"/>
      <c r="D670" s="15"/>
      <c r="E670" s="15"/>
      <c r="F670" s="15"/>
      <c r="G670" s="12"/>
      <c r="H670" s="13"/>
      <c r="I670" s="11"/>
      <c r="J670" s="11"/>
      <c r="K670" s="14"/>
      <c r="L670" s="11"/>
      <c r="M670" s="15"/>
      <c r="N670" s="16"/>
      <c r="O670" s="16"/>
      <c r="P670" s="16"/>
      <c r="Q670" s="17"/>
      <c r="R670" s="17"/>
      <c r="S670" s="17"/>
      <c r="T670" s="17"/>
      <c r="U670" s="17"/>
      <c r="V670" s="17"/>
      <c r="W670" s="17"/>
      <c r="X670" s="17"/>
      <c r="Y670" s="17"/>
    </row>
    <row r="671" ht="18.75" customHeight="1">
      <c r="A671" s="9">
        <v>1824.0</v>
      </c>
      <c r="B671" s="15"/>
      <c r="C671" s="15"/>
      <c r="D671" s="15"/>
      <c r="E671" s="15"/>
      <c r="F671" s="15"/>
      <c r="G671" s="12"/>
      <c r="H671" s="13"/>
      <c r="I671" s="11"/>
      <c r="J671" s="11"/>
      <c r="K671" s="14"/>
      <c r="L671" s="11"/>
      <c r="M671" s="15"/>
      <c r="N671" s="16"/>
      <c r="O671" s="16"/>
      <c r="P671" s="16"/>
      <c r="Q671" s="17"/>
      <c r="R671" s="17"/>
      <c r="S671" s="17"/>
      <c r="T671" s="17"/>
      <c r="U671" s="17"/>
      <c r="V671" s="17"/>
      <c r="W671" s="17"/>
      <c r="X671" s="17"/>
      <c r="Y671" s="17"/>
    </row>
    <row r="672" ht="18.75" customHeight="1">
      <c r="A672" s="9">
        <v>1825.0</v>
      </c>
      <c r="B672" s="15"/>
      <c r="C672" s="15"/>
      <c r="D672" s="15"/>
      <c r="E672" s="15"/>
      <c r="F672" s="15"/>
      <c r="G672" s="12"/>
      <c r="H672" s="13"/>
      <c r="I672" s="11"/>
      <c r="J672" s="11"/>
      <c r="K672" s="14"/>
      <c r="L672" s="11"/>
      <c r="M672" s="15"/>
      <c r="N672" s="16"/>
      <c r="O672" s="16"/>
      <c r="P672" s="16"/>
      <c r="Q672" s="17"/>
      <c r="R672" s="17"/>
      <c r="S672" s="17"/>
      <c r="T672" s="17"/>
      <c r="U672" s="17"/>
      <c r="V672" s="17"/>
      <c r="W672" s="17"/>
      <c r="X672" s="17"/>
      <c r="Y672" s="17"/>
    </row>
    <row r="673" ht="18.75" customHeight="1">
      <c r="A673" s="9">
        <v>1826.0</v>
      </c>
      <c r="B673" s="15"/>
      <c r="C673" s="15"/>
      <c r="D673" s="15"/>
      <c r="E673" s="15"/>
      <c r="F673" s="15"/>
      <c r="G673" s="12"/>
      <c r="H673" s="13"/>
      <c r="I673" s="11"/>
      <c r="J673" s="11"/>
      <c r="K673" s="14"/>
      <c r="L673" s="11"/>
      <c r="M673" s="15"/>
      <c r="N673" s="16"/>
      <c r="O673" s="16"/>
      <c r="P673" s="16"/>
      <c r="Q673" s="17"/>
      <c r="R673" s="17"/>
      <c r="S673" s="17"/>
      <c r="T673" s="17"/>
      <c r="U673" s="17"/>
      <c r="V673" s="17"/>
      <c r="W673" s="17"/>
      <c r="X673" s="17"/>
      <c r="Y673" s="17"/>
    </row>
    <row r="674" ht="18.75" customHeight="1">
      <c r="A674" s="9">
        <v>1827.0</v>
      </c>
      <c r="B674" s="15"/>
      <c r="C674" s="15"/>
      <c r="D674" s="15"/>
      <c r="E674" s="15"/>
      <c r="F674" s="15"/>
      <c r="G674" s="12"/>
      <c r="H674" s="13"/>
      <c r="I674" s="11"/>
      <c r="J674" s="11"/>
      <c r="K674" s="14"/>
      <c r="L674" s="11"/>
      <c r="M674" s="15"/>
      <c r="N674" s="16"/>
      <c r="O674" s="16"/>
      <c r="P674" s="16"/>
      <c r="Q674" s="17"/>
      <c r="R674" s="17"/>
      <c r="S674" s="17"/>
      <c r="T674" s="17"/>
      <c r="U674" s="17"/>
      <c r="V674" s="17"/>
      <c r="W674" s="17"/>
      <c r="X674" s="17"/>
      <c r="Y674" s="17"/>
    </row>
    <row r="675" ht="18.75" customHeight="1">
      <c r="A675" s="9">
        <v>1828.0</v>
      </c>
      <c r="B675" s="15"/>
      <c r="C675" s="15"/>
      <c r="D675" s="15"/>
      <c r="E675" s="15"/>
      <c r="F675" s="15"/>
      <c r="G675" s="12"/>
      <c r="H675" s="13"/>
      <c r="I675" s="11"/>
      <c r="J675" s="11"/>
      <c r="K675" s="14"/>
      <c r="L675" s="11"/>
      <c r="M675" s="15"/>
      <c r="N675" s="16"/>
      <c r="O675" s="16"/>
      <c r="P675" s="16"/>
      <c r="Q675" s="17"/>
      <c r="R675" s="17"/>
      <c r="S675" s="17"/>
      <c r="T675" s="17"/>
      <c r="U675" s="17"/>
      <c r="V675" s="17"/>
      <c r="W675" s="17"/>
      <c r="X675" s="17"/>
      <c r="Y675" s="17"/>
    </row>
    <row r="676" ht="18.75" customHeight="1">
      <c r="A676" s="9">
        <v>1829.0</v>
      </c>
      <c r="B676" s="15"/>
      <c r="C676" s="15"/>
      <c r="D676" s="15"/>
      <c r="E676" s="15"/>
      <c r="F676" s="15"/>
      <c r="G676" s="12"/>
      <c r="H676" s="13"/>
      <c r="I676" s="11"/>
      <c r="J676" s="11"/>
      <c r="K676" s="14"/>
      <c r="L676" s="11"/>
      <c r="M676" s="15"/>
      <c r="N676" s="16"/>
      <c r="O676" s="16"/>
      <c r="P676" s="16"/>
      <c r="Q676" s="17"/>
      <c r="R676" s="17"/>
      <c r="S676" s="17"/>
      <c r="T676" s="17"/>
      <c r="U676" s="17"/>
      <c r="V676" s="17"/>
      <c r="W676" s="17"/>
      <c r="X676" s="17"/>
      <c r="Y676" s="17"/>
    </row>
    <row r="677" ht="18.75" customHeight="1">
      <c r="A677" s="9">
        <v>1830.0</v>
      </c>
      <c r="B677" s="15"/>
      <c r="C677" s="15"/>
      <c r="D677" s="15"/>
      <c r="E677" s="15"/>
      <c r="F677" s="15"/>
      <c r="G677" s="12"/>
      <c r="H677" s="13"/>
      <c r="I677" s="11"/>
      <c r="J677" s="11"/>
      <c r="K677" s="14"/>
      <c r="L677" s="11"/>
      <c r="M677" s="15"/>
      <c r="N677" s="16"/>
      <c r="O677" s="16"/>
      <c r="P677" s="16"/>
      <c r="Q677" s="17"/>
      <c r="R677" s="17"/>
      <c r="S677" s="17"/>
      <c r="T677" s="17"/>
      <c r="U677" s="17"/>
      <c r="V677" s="17"/>
      <c r="W677" s="17"/>
      <c r="X677" s="17"/>
      <c r="Y677" s="17"/>
    </row>
    <row r="678" ht="18.75" customHeight="1">
      <c r="A678" s="9">
        <v>1831.0</v>
      </c>
      <c r="B678" s="15"/>
      <c r="C678" s="15"/>
      <c r="D678" s="15"/>
      <c r="E678" s="15"/>
      <c r="F678" s="15"/>
      <c r="G678" s="12"/>
      <c r="H678" s="13"/>
      <c r="I678" s="11"/>
      <c r="J678" s="11"/>
      <c r="K678" s="14"/>
      <c r="L678" s="11"/>
      <c r="M678" s="15"/>
      <c r="N678" s="16"/>
      <c r="O678" s="16"/>
      <c r="P678" s="16"/>
      <c r="Q678" s="17"/>
      <c r="R678" s="17"/>
      <c r="S678" s="17"/>
      <c r="T678" s="17"/>
      <c r="U678" s="17"/>
      <c r="V678" s="17"/>
      <c r="W678" s="17"/>
      <c r="X678" s="17"/>
      <c r="Y678" s="17"/>
    </row>
    <row r="679" ht="18.75" customHeight="1">
      <c r="A679" s="9">
        <v>1832.0</v>
      </c>
      <c r="B679" s="15"/>
      <c r="C679" s="15"/>
      <c r="D679" s="15"/>
      <c r="E679" s="15"/>
      <c r="F679" s="15"/>
      <c r="G679" s="12"/>
      <c r="H679" s="13"/>
      <c r="I679" s="11"/>
      <c r="J679" s="11"/>
      <c r="K679" s="14"/>
      <c r="L679" s="11"/>
      <c r="M679" s="15"/>
      <c r="N679" s="16"/>
      <c r="O679" s="16"/>
      <c r="P679" s="16"/>
      <c r="Q679" s="17"/>
      <c r="R679" s="17"/>
      <c r="S679" s="17"/>
      <c r="T679" s="17"/>
      <c r="U679" s="17"/>
      <c r="V679" s="17"/>
      <c r="W679" s="17"/>
      <c r="X679" s="17"/>
      <c r="Y679" s="17"/>
    </row>
    <row r="680" ht="18.75" customHeight="1">
      <c r="A680" s="9">
        <v>1833.0</v>
      </c>
      <c r="B680" s="15"/>
      <c r="C680" s="15"/>
      <c r="D680" s="15"/>
      <c r="E680" s="15"/>
      <c r="F680" s="15"/>
      <c r="G680" s="12"/>
      <c r="H680" s="13"/>
      <c r="I680" s="11"/>
      <c r="J680" s="11"/>
      <c r="K680" s="14"/>
      <c r="L680" s="11"/>
      <c r="M680" s="15"/>
      <c r="N680" s="16"/>
      <c r="O680" s="16"/>
      <c r="P680" s="16"/>
      <c r="Q680" s="17"/>
      <c r="R680" s="17"/>
      <c r="S680" s="17"/>
      <c r="T680" s="17"/>
      <c r="U680" s="17"/>
      <c r="V680" s="17"/>
      <c r="W680" s="17"/>
      <c r="X680" s="17"/>
      <c r="Y680" s="17"/>
    </row>
    <row r="681" ht="18.75" customHeight="1">
      <c r="A681" s="9">
        <v>1834.0</v>
      </c>
      <c r="B681" s="15"/>
      <c r="C681" s="15"/>
      <c r="D681" s="15"/>
      <c r="E681" s="15"/>
      <c r="F681" s="15"/>
      <c r="G681" s="12"/>
      <c r="H681" s="13"/>
      <c r="I681" s="11"/>
      <c r="J681" s="11"/>
      <c r="K681" s="14"/>
      <c r="L681" s="11"/>
      <c r="M681" s="15"/>
      <c r="N681" s="16"/>
      <c r="O681" s="16"/>
      <c r="P681" s="16"/>
      <c r="Q681" s="17"/>
      <c r="R681" s="17"/>
      <c r="S681" s="17"/>
      <c r="T681" s="17"/>
      <c r="U681" s="17"/>
      <c r="V681" s="17"/>
      <c r="W681" s="17"/>
      <c r="X681" s="17"/>
      <c r="Y681" s="17"/>
    </row>
    <row r="682" ht="18.75" customHeight="1">
      <c r="A682" s="9">
        <v>1835.0</v>
      </c>
      <c r="B682" s="15"/>
      <c r="C682" s="15"/>
      <c r="D682" s="15"/>
      <c r="E682" s="15"/>
      <c r="F682" s="15"/>
      <c r="G682" s="12"/>
      <c r="H682" s="13"/>
      <c r="I682" s="11"/>
      <c r="J682" s="11"/>
      <c r="K682" s="14"/>
      <c r="L682" s="11"/>
      <c r="M682" s="15"/>
      <c r="N682" s="16"/>
      <c r="O682" s="16"/>
      <c r="P682" s="16"/>
      <c r="Q682" s="17"/>
      <c r="R682" s="17"/>
      <c r="S682" s="17"/>
      <c r="T682" s="17"/>
      <c r="U682" s="17"/>
      <c r="V682" s="17"/>
      <c r="W682" s="17"/>
      <c r="X682" s="17"/>
      <c r="Y682" s="17"/>
    </row>
    <row r="683" ht="18.75" customHeight="1">
      <c r="A683" s="9">
        <v>1836.0</v>
      </c>
      <c r="B683" s="15"/>
      <c r="C683" s="15"/>
      <c r="D683" s="15"/>
      <c r="E683" s="15"/>
      <c r="F683" s="15"/>
      <c r="G683" s="12"/>
      <c r="H683" s="13"/>
      <c r="I683" s="11"/>
      <c r="J683" s="11"/>
      <c r="K683" s="14"/>
      <c r="L683" s="11"/>
      <c r="M683" s="15"/>
      <c r="N683" s="16"/>
      <c r="O683" s="16"/>
      <c r="P683" s="16"/>
      <c r="Q683" s="17"/>
      <c r="R683" s="17"/>
      <c r="S683" s="17"/>
      <c r="T683" s="17"/>
      <c r="U683" s="17"/>
      <c r="V683" s="17"/>
      <c r="W683" s="17"/>
      <c r="X683" s="17"/>
      <c r="Y683" s="17"/>
    </row>
    <row r="684" ht="18.75" customHeight="1">
      <c r="A684" s="9">
        <v>1837.0</v>
      </c>
      <c r="B684" s="15"/>
      <c r="C684" s="15"/>
      <c r="D684" s="15"/>
      <c r="E684" s="15"/>
      <c r="F684" s="15"/>
      <c r="G684" s="12"/>
      <c r="H684" s="13"/>
      <c r="I684" s="11"/>
      <c r="J684" s="11"/>
      <c r="K684" s="14"/>
      <c r="L684" s="11"/>
      <c r="M684" s="15"/>
      <c r="N684" s="16"/>
      <c r="O684" s="16"/>
      <c r="P684" s="16"/>
      <c r="Q684" s="17"/>
      <c r="R684" s="17"/>
      <c r="S684" s="17"/>
      <c r="T684" s="17"/>
      <c r="U684" s="17"/>
      <c r="V684" s="17"/>
      <c r="W684" s="17"/>
      <c r="X684" s="17"/>
      <c r="Y684" s="17"/>
    </row>
    <row r="685" ht="18.75" customHeight="1">
      <c r="A685" s="9">
        <v>1838.0</v>
      </c>
      <c r="B685" s="15"/>
      <c r="C685" s="15"/>
      <c r="D685" s="15"/>
      <c r="E685" s="15"/>
      <c r="F685" s="15"/>
      <c r="G685" s="12"/>
      <c r="H685" s="13"/>
      <c r="I685" s="11"/>
      <c r="J685" s="11"/>
      <c r="K685" s="14"/>
      <c r="L685" s="11"/>
      <c r="M685" s="15"/>
      <c r="N685" s="16"/>
      <c r="O685" s="16"/>
      <c r="P685" s="16"/>
      <c r="Q685" s="17"/>
      <c r="R685" s="17"/>
      <c r="S685" s="17"/>
      <c r="T685" s="17"/>
      <c r="U685" s="17"/>
      <c r="V685" s="17"/>
      <c r="W685" s="17"/>
      <c r="X685" s="17"/>
      <c r="Y685" s="17"/>
    </row>
    <row r="686" ht="18.75" customHeight="1">
      <c r="A686" s="9">
        <v>1839.0</v>
      </c>
      <c r="B686" s="15"/>
      <c r="C686" s="15"/>
      <c r="D686" s="15"/>
      <c r="E686" s="15"/>
      <c r="F686" s="15"/>
      <c r="G686" s="12"/>
      <c r="H686" s="13"/>
      <c r="I686" s="11"/>
      <c r="J686" s="11"/>
      <c r="K686" s="14"/>
      <c r="L686" s="11"/>
      <c r="M686" s="15"/>
      <c r="N686" s="16"/>
      <c r="O686" s="16"/>
      <c r="P686" s="16"/>
      <c r="Q686" s="17"/>
      <c r="R686" s="17"/>
      <c r="S686" s="17"/>
      <c r="T686" s="17"/>
      <c r="U686" s="17"/>
      <c r="V686" s="17"/>
      <c r="W686" s="17"/>
      <c r="X686" s="17"/>
      <c r="Y686" s="17"/>
    </row>
    <row r="687" ht="18.75" customHeight="1">
      <c r="A687" s="9">
        <v>1840.0</v>
      </c>
      <c r="B687" s="15"/>
      <c r="C687" s="15"/>
      <c r="D687" s="15"/>
      <c r="E687" s="15"/>
      <c r="F687" s="15"/>
      <c r="G687" s="12"/>
      <c r="H687" s="13"/>
      <c r="I687" s="11"/>
      <c r="J687" s="11"/>
      <c r="K687" s="14"/>
      <c r="L687" s="11"/>
      <c r="M687" s="15"/>
      <c r="N687" s="16"/>
      <c r="O687" s="16"/>
      <c r="P687" s="16"/>
      <c r="Q687" s="17"/>
      <c r="R687" s="17"/>
      <c r="S687" s="17"/>
      <c r="T687" s="17"/>
      <c r="U687" s="17"/>
      <c r="V687" s="17"/>
      <c r="W687" s="17"/>
      <c r="X687" s="17"/>
      <c r="Y687" s="17"/>
    </row>
    <row r="688" ht="18.75" customHeight="1">
      <c r="A688" s="9">
        <v>1841.0</v>
      </c>
      <c r="B688" s="15"/>
      <c r="C688" s="15"/>
      <c r="D688" s="15"/>
      <c r="E688" s="15"/>
      <c r="F688" s="15"/>
      <c r="G688" s="12"/>
      <c r="H688" s="13"/>
      <c r="I688" s="11"/>
      <c r="J688" s="11"/>
      <c r="K688" s="14"/>
      <c r="L688" s="11"/>
      <c r="M688" s="15"/>
      <c r="N688" s="16"/>
      <c r="O688" s="16"/>
      <c r="P688" s="16"/>
      <c r="Q688" s="17"/>
      <c r="R688" s="17"/>
      <c r="S688" s="17"/>
      <c r="T688" s="17"/>
      <c r="U688" s="17"/>
      <c r="V688" s="17"/>
      <c r="W688" s="17"/>
      <c r="X688" s="17"/>
      <c r="Y688" s="17"/>
    </row>
    <row r="689" ht="18.75" customHeight="1">
      <c r="A689" s="9">
        <v>1842.0</v>
      </c>
      <c r="B689" s="15"/>
      <c r="C689" s="15"/>
      <c r="D689" s="15"/>
      <c r="E689" s="15"/>
      <c r="F689" s="15"/>
      <c r="G689" s="12"/>
      <c r="H689" s="13"/>
      <c r="I689" s="11"/>
      <c r="J689" s="11"/>
      <c r="K689" s="14"/>
      <c r="L689" s="11"/>
      <c r="M689" s="15"/>
      <c r="N689" s="16"/>
      <c r="O689" s="16"/>
      <c r="P689" s="16"/>
      <c r="Q689" s="17"/>
      <c r="R689" s="17"/>
      <c r="S689" s="17"/>
      <c r="T689" s="17"/>
      <c r="U689" s="17"/>
      <c r="V689" s="17"/>
      <c r="W689" s="17"/>
      <c r="X689" s="17"/>
      <c r="Y689" s="17"/>
    </row>
    <row r="690" ht="18.75" customHeight="1">
      <c r="A690" s="9">
        <v>1843.0</v>
      </c>
      <c r="B690" s="15"/>
      <c r="C690" s="15"/>
      <c r="D690" s="15"/>
      <c r="E690" s="15"/>
      <c r="F690" s="15"/>
      <c r="G690" s="12"/>
      <c r="H690" s="13"/>
      <c r="I690" s="11"/>
      <c r="J690" s="11"/>
      <c r="K690" s="14"/>
      <c r="L690" s="11"/>
      <c r="M690" s="15"/>
      <c r="N690" s="16"/>
      <c r="O690" s="16"/>
      <c r="P690" s="16"/>
      <c r="Q690" s="17"/>
      <c r="R690" s="17"/>
      <c r="S690" s="17"/>
      <c r="T690" s="17"/>
      <c r="U690" s="17"/>
      <c r="V690" s="17"/>
      <c r="W690" s="17"/>
      <c r="X690" s="17"/>
      <c r="Y690" s="17"/>
    </row>
    <row r="691" ht="18.75" customHeight="1">
      <c r="A691" s="9">
        <v>1844.0</v>
      </c>
      <c r="B691" s="15"/>
      <c r="C691" s="15"/>
      <c r="D691" s="15"/>
      <c r="E691" s="15"/>
      <c r="F691" s="15"/>
      <c r="G691" s="12"/>
      <c r="H691" s="13"/>
      <c r="I691" s="11"/>
      <c r="J691" s="11"/>
      <c r="K691" s="14"/>
      <c r="L691" s="11"/>
      <c r="M691" s="15"/>
      <c r="N691" s="16"/>
      <c r="O691" s="16"/>
      <c r="P691" s="16"/>
      <c r="Q691" s="17"/>
      <c r="R691" s="17"/>
      <c r="S691" s="17"/>
      <c r="T691" s="17"/>
      <c r="U691" s="17"/>
      <c r="V691" s="17"/>
      <c r="W691" s="17"/>
      <c r="X691" s="17"/>
      <c r="Y691" s="17"/>
    </row>
    <row r="692" ht="18.75" customHeight="1">
      <c r="A692" s="9">
        <v>1845.0</v>
      </c>
      <c r="B692" s="15"/>
      <c r="C692" s="15"/>
      <c r="D692" s="15"/>
      <c r="E692" s="15"/>
      <c r="F692" s="15"/>
      <c r="G692" s="12"/>
      <c r="H692" s="13"/>
      <c r="I692" s="11"/>
      <c r="J692" s="11"/>
      <c r="K692" s="14"/>
      <c r="L692" s="11"/>
      <c r="M692" s="15"/>
      <c r="N692" s="16"/>
      <c r="O692" s="16"/>
      <c r="P692" s="16"/>
      <c r="Q692" s="17"/>
      <c r="R692" s="17"/>
      <c r="S692" s="17"/>
      <c r="T692" s="17"/>
      <c r="U692" s="17"/>
      <c r="V692" s="17"/>
      <c r="W692" s="17"/>
      <c r="X692" s="17"/>
      <c r="Y692" s="17"/>
    </row>
    <row r="693" ht="18.75" customHeight="1">
      <c r="A693" s="9">
        <v>1846.0</v>
      </c>
      <c r="B693" s="15"/>
      <c r="C693" s="15"/>
      <c r="D693" s="15"/>
      <c r="E693" s="15"/>
      <c r="F693" s="15"/>
      <c r="G693" s="12"/>
      <c r="H693" s="13"/>
      <c r="I693" s="11"/>
      <c r="J693" s="11"/>
      <c r="K693" s="14"/>
      <c r="L693" s="11"/>
      <c r="M693" s="15"/>
      <c r="N693" s="16"/>
      <c r="O693" s="16"/>
      <c r="P693" s="16"/>
      <c r="Q693" s="17"/>
      <c r="R693" s="17"/>
      <c r="S693" s="17"/>
      <c r="T693" s="17"/>
      <c r="U693" s="17"/>
      <c r="V693" s="17"/>
      <c r="W693" s="17"/>
      <c r="X693" s="17"/>
      <c r="Y693" s="17"/>
    </row>
    <row r="694" ht="18.75" customHeight="1">
      <c r="A694" s="9">
        <v>1847.0</v>
      </c>
      <c r="B694" s="15"/>
      <c r="C694" s="15"/>
      <c r="D694" s="15"/>
      <c r="E694" s="15"/>
      <c r="F694" s="15"/>
      <c r="G694" s="12"/>
      <c r="H694" s="13"/>
      <c r="I694" s="11"/>
      <c r="J694" s="11"/>
      <c r="K694" s="14"/>
      <c r="L694" s="11"/>
      <c r="M694" s="15"/>
      <c r="N694" s="16"/>
      <c r="O694" s="16"/>
      <c r="P694" s="16"/>
      <c r="Q694" s="17"/>
      <c r="R694" s="17"/>
      <c r="S694" s="17"/>
      <c r="T694" s="17"/>
      <c r="U694" s="17"/>
      <c r="V694" s="17"/>
      <c r="W694" s="17"/>
      <c r="X694" s="17"/>
      <c r="Y694" s="17"/>
    </row>
    <row r="695" ht="18.75" customHeight="1">
      <c r="A695" s="9">
        <v>1848.0</v>
      </c>
      <c r="B695" s="15"/>
      <c r="C695" s="15"/>
      <c r="D695" s="15"/>
      <c r="E695" s="15"/>
      <c r="F695" s="15"/>
      <c r="G695" s="12"/>
      <c r="H695" s="13"/>
      <c r="I695" s="11"/>
      <c r="J695" s="11"/>
      <c r="K695" s="14"/>
      <c r="L695" s="11"/>
      <c r="M695" s="15"/>
      <c r="N695" s="16"/>
      <c r="O695" s="16"/>
      <c r="P695" s="16"/>
      <c r="Q695" s="17"/>
      <c r="R695" s="17"/>
      <c r="S695" s="17"/>
      <c r="T695" s="17"/>
      <c r="U695" s="17"/>
      <c r="V695" s="17"/>
      <c r="W695" s="17"/>
      <c r="X695" s="17"/>
      <c r="Y695" s="17"/>
    </row>
    <row r="696" ht="18.75" customHeight="1">
      <c r="A696" s="9">
        <v>1849.0</v>
      </c>
      <c r="B696" s="15"/>
      <c r="C696" s="15"/>
      <c r="D696" s="15"/>
      <c r="E696" s="15"/>
      <c r="F696" s="15"/>
      <c r="G696" s="12"/>
      <c r="H696" s="13"/>
      <c r="I696" s="11"/>
      <c r="J696" s="11"/>
      <c r="K696" s="14"/>
      <c r="L696" s="11"/>
      <c r="M696" s="15"/>
      <c r="N696" s="16"/>
      <c r="O696" s="16"/>
      <c r="P696" s="16"/>
      <c r="Q696" s="17"/>
      <c r="R696" s="17"/>
      <c r="S696" s="17"/>
      <c r="T696" s="17"/>
      <c r="U696" s="17"/>
      <c r="V696" s="17"/>
      <c r="W696" s="17"/>
      <c r="X696" s="17"/>
      <c r="Y696" s="17"/>
    </row>
    <row r="697" ht="18.75" customHeight="1">
      <c r="A697" s="9">
        <v>1850.0</v>
      </c>
      <c r="B697" s="15"/>
      <c r="C697" s="15"/>
      <c r="D697" s="15"/>
      <c r="E697" s="15"/>
      <c r="F697" s="15"/>
      <c r="G697" s="12"/>
      <c r="H697" s="13"/>
      <c r="I697" s="11"/>
      <c r="J697" s="11"/>
      <c r="K697" s="14"/>
      <c r="L697" s="11"/>
      <c r="M697" s="15"/>
      <c r="N697" s="16"/>
      <c r="O697" s="16"/>
      <c r="P697" s="16"/>
      <c r="Q697" s="17"/>
      <c r="R697" s="17"/>
      <c r="S697" s="17"/>
      <c r="T697" s="17"/>
      <c r="U697" s="17"/>
      <c r="V697" s="17"/>
      <c r="W697" s="17"/>
      <c r="X697" s="17"/>
      <c r="Y697" s="17"/>
    </row>
    <row r="698" ht="18.75" customHeight="1">
      <c r="A698" s="9">
        <v>1851.0</v>
      </c>
      <c r="B698" s="15"/>
      <c r="C698" s="15"/>
      <c r="D698" s="15"/>
      <c r="E698" s="15"/>
      <c r="F698" s="15"/>
      <c r="G698" s="12"/>
      <c r="H698" s="13"/>
      <c r="I698" s="11"/>
      <c r="J698" s="11"/>
      <c r="K698" s="14"/>
      <c r="L698" s="11"/>
      <c r="M698" s="15"/>
      <c r="N698" s="16"/>
      <c r="O698" s="16"/>
      <c r="P698" s="16"/>
      <c r="Q698" s="17"/>
      <c r="R698" s="17"/>
      <c r="S698" s="17"/>
      <c r="T698" s="17"/>
      <c r="U698" s="17"/>
      <c r="V698" s="17"/>
      <c r="W698" s="17"/>
      <c r="X698" s="17"/>
      <c r="Y698" s="17"/>
    </row>
    <row r="699" ht="18.75" customHeight="1">
      <c r="A699" s="9">
        <v>1852.0</v>
      </c>
      <c r="B699" s="15"/>
      <c r="C699" s="15"/>
      <c r="D699" s="15"/>
      <c r="E699" s="15"/>
      <c r="F699" s="15"/>
      <c r="G699" s="12"/>
      <c r="H699" s="13"/>
      <c r="I699" s="11"/>
      <c r="J699" s="11"/>
      <c r="K699" s="14"/>
      <c r="L699" s="11"/>
      <c r="M699" s="15"/>
      <c r="N699" s="16"/>
      <c r="O699" s="16"/>
      <c r="P699" s="16"/>
      <c r="Q699" s="17"/>
      <c r="R699" s="17"/>
      <c r="S699" s="17"/>
      <c r="T699" s="17"/>
      <c r="U699" s="17"/>
      <c r="V699" s="17"/>
      <c r="W699" s="17"/>
      <c r="X699" s="17"/>
      <c r="Y699" s="17"/>
    </row>
    <row r="700" ht="18.75" customHeight="1">
      <c r="A700" s="9">
        <v>1853.0</v>
      </c>
      <c r="B700" s="15"/>
      <c r="C700" s="15"/>
      <c r="D700" s="15"/>
      <c r="E700" s="15"/>
      <c r="F700" s="15"/>
      <c r="G700" s="12"/>
      <c r="H700" s="13"/>
      <c r="I700" s="11"/>
      <c r="J700" s="11"/>
      <c r="K700" s="14"/>
      <c r="L700" s="11"/>
      <c r="M700" s="15"/>
      <c r="N700" s="16"/>
      <c r="O700" s="16"/>
      <c r="P700" s="16"/>
      <c r="Q700" s="17"/>
      <c r="R700" s="17"/>
      <c r="S700" s="17"/>
      <c r="T700" s="17"/>
      <c r="U700" s="17"/>
      <c r="V700" s="17"/>
      <c r="W700" s="17"/>
      <c r="X700" s="17"/>
      <c r="Y700" s="17"/>
    </row>
    <row r="701" ht="18.75" customHeight="1">
      <c r="A701" s="9">
        <v>1854.0</v>
      </c>
      <c r="B701" s="15"/>
      <c r="C701" s="15"/>
      <c r="D701" s="15"/>
      <c r="E701" s="15"/>
      <c r="F701" s="15"/>
      <c r="G701" s="12"/>
      <c r="H701" s="13"/>
      <c r="I701" s="11"/>
      <c r="J701" s="11"/>
      <c r="K701" s="14"/>
      <c r="L701" s="11"/>
      <c r="M701" s="15"/>
      <c r="N701" s="16"/>
      <c r="O701" s="16"/>
      <c r="P701" s="16"/>
      <c r="Q701" s="17"/>
      <c r="R701" s="17"/>
      <c r="S701" s="17"/>
      <c r="T701" s="17"/>
      <c r="U701" s="17"/>
      <c r="V701" s="17"/>
      <c r="W701" s="17"/>
      <c r="X701" s="17"/>
      <c r="Y701" s="17"/>
    </row>
    <row r="702" ht="18.75" customHeight="1">
      <c r="A702" s="9">
        <v>1855.0</v>
      </c>
      <c r="B702" s="15"/>
      <c r="C702" s="15"/>
      <c r="D702" s="15"/>
      <c r="E702" s="15"/>
      <c r="F702" s="15"/>
      <c r="G702" s="12"/>
      <c r="H702" s="13"/>
      <c r="I702" s="11"/>
      <c r="J702" s="11"/>
      <c r="K702" s="14"/>
      <c r="L702" s="11"/>
      <c r="M702" s="15"/>
      <c r="N702" s="16"/>
      <c r="O702" s="16"/>
      <c r="P702" s="16"/>
      <c r="Q702" s="17"/>
      <c r="R702" s="17"/>
      <c r="S702" s="17"/>
      <c r="T702" s="17"/>
      <c r="U702" s="17"/>
      <c r="V702" s="17"/>
      <c r="W702" s="17"/>
      <c r="X702" s="17"/>
      <c r="Y702" s="17"/>
    </row>
    <row r="703" ht="18.75" customHeight="1">
      <c r="A703" s="9">
        <v>1856.0</v>
      </c>
      <c r="B703" s="15"/>
      <c r="C703" s="15"/>
      <c r="D703" s="15"/>
      <c r="E703" s="15"/>
      <c r="F703" s="15"/>
      <c r="G703" s="12"/>
      <c r="H703" s="13"/>
      <c r="I703" s="11"/>
      <c r="J703" s="11"/>
      <c r="K703" s="14"/>
      <c r="L703" s="11"/>
      <c r="M703" s="15"/>
      <c r="N703" s="16"/>
      <c r="O703" s="16"/>
      <c r="P703" s="16"/>
      <c r="Q703" s="17"/>
      <c r="R703" s="17"/>
      <c r="S703" s="17"/>
      <c r="T703" s="17"/>
      <c r="U703" s="17"/>
      <c r="V703" s="17"/>
      <c r="W703" s="17"/>
      <c r="X703" s="17"/>
      <c r="Y703" s="17"/>
    </row>
    <row r="704" ht="18.75" customHeight="1">
      <c r="A704" s="9">
        <v>1857.0</v>
      </c>
      <c r="B704" s="15"/>
      <c r="C704" s="15"/>
      <c r="D704" s="15"/>
      <c r="E704" s="15"/>
      <c r="F704" s="15"/>
      <c r="G704" s="12"/>
      <c r="H704" s="13"/>
      <c r="I704" s="11"/>
      <c r="J704" s="11"/>
      <c r="K704" s="14"/>
      <c r="L704" s="11"/>
      <c r="M704" s="15"/>
      <c r="N704" s="16"/>
      <c r="O704" s="16"/>
      <c r="P704" s="16"/>
      <c r="Q704" s="17"/>
      <c r="R704" s="17"/>
      <c r="S704" s="17"/>
      <c r="T704" s="17"/>
      <c r="U704" s="17"/>
      <c r="V704" s="17"/>
      <c r="W704" s="17"/>
      <c r="X704" s="17"/>
      <c r="Y704" s="17"/>
    </row>
    <row r="705" ht="18.75" customHeight="1">
      <c r="A705" s="9">
        <v>1858.0</v>
      </c>
      <c r="B705" s="15"/>
      <c r="C705" s="15"/>
      <c r="D705" s="15"/>
      <c r="E705" s="15"/>
      <c r="F705" s="15"/>
      <c r="G705" s="12"/>
      <c r="H705" s="13"/>
      <c r="I705" s="11"/>
      <c r="J705" s="11"/>
      <c r="K705" s="14"/>
      <c r="L705" s="11"/>
      <c r="M705" s="15"/>
      <c r="N705" s="16"/>
      <c r="O705" s="16"/>
      <c r="P705" s="16"/>
      <c r="Q705" s="17"/>
      <c r="R705" s="17"/>
      <c r="S705" s="17"/>
      <c r="T705" s="17"/>
      <c r="U705" s="17"/>
      <c r="V705" s="17"/>
      <c r="W705" s="17"/>
      <c r="X705" s="17"/>
      <c r="Y705" s="17"/>
    </row>
    <row r="706" ht="18.75" customHeight="1">
      <c r="A706" s="9">
        <v>1859.0</v>
      </c>
      <c r="B706" s="15"/>
      <c r="C706" s="15"/>
      <c r="D706" s="15"/>
      <c r="E706" s="15"/>
      <c r="F706" s="15"/>
      <c r="G706" s="12"/>
      <c r="H706" s="13"/>
      <c r="I706" s="11"/>
      <c r="J706" s="11"/>
      <c r="K706" s="14"/>
      <c r="L706" s="11"/>
      <c r="M706" s="15"/>
      <c r="N706" s="16"/>
      <c r="O706" s="16"/>
      <c r="P706" s="16"/>
      <c r="Q706" s="17"/>
      <c r="R706" s="17"/>
      <c r="S706" s="17"/>
      <c r="T706" s="17"/>
      <c r="U706" s="17"/>
      <c r="V706" s="17"/>
      <c r="W706" s="17"/>
      <c r="X706" s="17"/>
      <c r="Y706" s="17"/>
    </row>
    <row r="707" ht="18.75" customHeight="1">
      <c r="A707" s="9">
        <v>1860.0</v>
      </c>
      <c r="B707" s="15"/>
      <c r="C707" s="15"/>
      <c r="D707" s="15"/>
      <c r="E707" s="15"/>
      <c r="F707" s="15"/>
      <c r="G707" s="12"/>
      <c r="H707" s="13"/>
      <c r="I707" s="11"/>
      <c r="J707" s="11"/>
      <c r="K707" s="14"/>
      <c r="L707" s="11"/>
      <c r="M707" s="15"/>
      <c r="N707" s="16"/>
      <c r="O707" s="16"/>
      <c r="P707" s="16"/>
      <c r="Q707" s="17"/>
      <c r="R707" s="17"/>
      <c r="S707" s="17"/>
      <c r="T707" s="17"/>
      <c r="U707" s="17"/>
      <c r="V707" s="17"/>
      <c r="W707" s="17"/>
      <c r="X707" s="17"/>
      <c r="Y707" s="17"/>
    </row>
    <row r="708" ht="18.75" customHeight="1">
      <c r="A708" s="9">
        <v>1861.0</v>
      </c>
      <c r="B708" s="15"/>
      <c r="C708" s="15"/>
      <c r="D708" s="15"/>
      <c r="E708" s="15"/>
      <c r="F708" s="15"/>
      <c r="G708" s="12"/>
      <c r="H708" s="13"/>
      <c r="I708" s="11"/>
      <c r="J708" s="11"/>
      <c r="K708" s="14"/>
      <c r="L708" s="11"/>
      <c r="M708" s="15"/>
      <c r="N708" s="16"/>
      <c r="O708" s="16"/>
      <c r="P708" s="16"/>
      <c r="Q708" s="17"/>
      <c r="R708" s="17"/>
      <c r="S708" s="17"/>
      <c r="T708" s="17"/>
      <c r="U708" s="17"/>
      <c r="V708" s="17"/>
      <c r="W708" s="17"/>
      <c r="X708" s="17"/>
      <c r="Y708" s="17"/>
    </row>
    <row r="709" ht="18.75" customHeight="1">
      <c r="A709" s="9">
        <v>1862.0</v>
      </c>
      <c r="B709" s="15"/>
      <c r="C709" s="15"/>
      <c r="D709" s="15"/>
      <c r="E709" s="15"/>
      <c r="F709" s="15"/>
      <c r="G709" s="12"/>
      <c r="H709" s="13"/>
      <c r="I709" s="11"/>
      <c r="J709" s="11"/>
      <c r="K709" s="14"/>
      <c r="L709" s="11"/>
      <c r="M709" s="15"/>
      <c r="N709" s="16"/>
      <c r="O709" s="16"/>
      <c r="P709" s="16"/>
      <c r="Q709" s="17"/>
      <c r="R709" s="17"/>
      <c r="S709" s="17"/>
      <c r="T709" s="17"/>
      <c r="U709" s="17"/>
      <c r="V709" s="17"/>
      <c r="W709" s="17"/>
      <c r="X709" s="17"/>
      <c r="Y709" s="17"/>
    </row>
    <row r="710" ht="18.75" customHeight="1">
      <c r="A710" s="9">
        <v>1863.0</v>
      </c>
      <c r="B710" s="15"/>
      <c r="C710" s="15"/>
      <c r="D710" s="15"/>
      <c r="E710" s="15"/>
      <c r="F710" s="15"/>
      <c r="G710" s="12"/>
      <c r="H710" s="13"/>
      <c r="I710" s="11"/>
      <c r="J710" s="11"/>
      <c r="K710" s="14"/>
      <c r="L710" s="11"/>
      <c r="M710" s="15"/>
      <c r="N710" s="16"/>
      <c r="O710" s="16"/>
      <c r="P710" s="16"/>
      <c r="Q710" s="17"/>
      <c r="R710" s="17"/>
      <c r="S710" s="17"/>
      <c r="T710" s="17"/>
      <c r="U710" s="17"/>
      <c r="V710" s="17"/>
      <c r="W710" s="17"/>
      <c r="X710" s="17"/>
      <c r="Y710" s="17"/>
    </row>
    <row r="711" ht="18.75" customHeight="1">
      <c r="A711" s="9">
        <v>1864.0</v>
      </c>
      <c r="B711" s="15"/>
      <c r="C711" s="15"/>
      <c r="D711" s="15"/>
      <c r="E711" s="15"/>
      <c r="F711" s="15"/>
      <c r="G711" s="12"/>
      <c r="H711" s="13"/>
      <c r="I711" s="11"/>
      <c r="J711" s="11"/>
      <c r="K711" s="14"/>
      <c r="L711" s="11"/>
      <c r="M711" s="15"/>
      <c r="N711" s="16"/>
      <c r="O711" s="16"/>
      <c r="P711" s="16"/>
      <c r="Q711" s="17"/>
      <c r="R711" s="17"/>
      <c r="S711" s="17"/>
      <c r="T711" s="17"/>
      <c r="U711" s="17"/>
      <c r="V711" s="17"/>
      <c r="W711" s="17"/>
      <c r="X711" s="17"/>
      <c r="Y711" s="17"/>
    </row>
    <row r="712" ht="18.75" customHeight="1">
      <c r="A712" s="9">
        <v>1865.0</v>
      </c>
      <c r="B712" s="15"/>
      <c r="C712" s="15"/>
      <c r="D712" s="15"/>
      <c r="E712" s="15"/>
      <c r="F712" s="15"/>
      <c r="G712" s="12"/>
      <c r="H712" s="13"/>
      <c r="I712" s="11"/>
      <c r="J712" s="11"/>
      <c r="K712" s="14"/>
      <c r="L712" s="11"/>
      <c r="M712" s="15"/>
      <c r="N712" s="16"/>
      <c r="O712" s="16"/>
      <c r="P712" s="16"/>
      <c r="Q712" s="17"/>
      <c r="R712" s="17"/>
      <c r="S712" s="17"/>
      <c r="T712" s="17"/>
      <c r="U712" s="17"/>
      <c r="V712" s="17"/>
      <c r="W712" s="17"/>
      <c r="X712" s="17"/>
      <c r="Y712" s="17"/>
    </row>
    <row r="713" ht="18.75" customHeight="1">
      <c r="A713" s="9">
        <v>1866.0</v>
      </c>
      <c r="B713" s="15"/>
      <c r="C713" s="15"/>
      <c r="D713" s="15"/>
      <c r="E713" s="15"/>
      <c r="F713" s="15"/>
      <c r="G713" s="12"/>
      <c r="H713" s="13"/>
      <c r="I713" s="11"/>
      <c r="J713" s="11"/>
      <c r="K713" s="14"/>
      <c r="L713" s="11"/>
      <c r="M713" s="15"/>
      <c r="N713" s="16"/>
      <c r="O713" s="16"/>
      <c r="P713" s="16"/>
      <c r="Q713" s="17"/>
      <c r="R713" s="17"/>
      <c r="S713" s="17"/>
      <c r="T713" s="17"/>
      <c r="U713" s="17"/>
      <c r="V713" s="17"/>
      <c r="W713" s="17"/>
      <c r="X713" s="17"/>
      <c r="Y713" s="17"/>
    </row>
    <row r="714" ht="18.75" customHeight="1">
      <c r="A714" s="9">
        <v>1867.0</v>
      </c>
      <c r="B714" s="15"/>
      <c r="C714" s="15"/>
      <c r="D714" s="15"/>
      <c r="E714" s="15"/>
      <c r="F714" s="15"/>
      <c r="G714" s="12"/>
      <c r="H714" s="13"/>
      <c r="I714" s="11"/>
      <c r="J714" s="11"/>
      <c r="K714" s="14"/>
      <c r="L714" s="11"/>
      <c r="M714" s="15"/>
      <c r="N714" s="16"/>
      <c r="O714" s="16"/>
      <c r="P714" s="16"/>
      <c r="Q714" s="17"/>
      <c r="R714" s="17"/>
      <c r="S714" s="17"/>
      <c r="T714" s="17"/>
      <c r="U714" s="17"/>
      <c r="V714" s="17"/>
      <c r="W714" s="17"/>
      <c r="X714" s="17"/>
      <c r="Y714" s="17"/>
    </row>
    <row r="715" ht="18.75" customHeight="1">
      <c r="A715" s="9">
        <v>1868.0</v>
      </c>
      <c r="B715" s="15"/>
      <c r="C715" s="15"/>
      <c r="D715" s="15"/>
      <c r="E715" s="15"/>
      <c r="F715" s="15"/>
      <c r="G715" s="12"/>
      <c r="H715" s="13"/>
      <c r="I715" s="11"/>
      <c r="J715" s="11"/>
      <c r="K715" s="14"/>
      <c r="L715" s="11"/>
      <c r="M715" s="15"/>
      <c r="N715" s="16"/>
      <c r="O715" s="16"/>
      <c r="P715" s="16"/>
      <c r="Q715" s="17"/>
      <c r="R715" s="17"/>
      <c r="S715" s="17"/>
      <c r="T715" s="17"/>
      <c r="U715" s="17"/>
      <c r="V715" s="17"/>
      <c r="W715" s="17"/>
      <c r="X715" s="17"/>
      <c r="Y715" s="17"/>
    </row>
    <row r="716" ht="18.75" customHeight="1">
      <c r="A716" s="9">
        <v>1869.0</v>
      </c>
      <c r="B716" s="15"/>
      <c r="C716" s="15"/>
      <c r="D716" s="15"/>
      <c r="E716" s="15"/>
      <c r="F716" s="15"/>
      <c r="G716" s="12"/>
      <c r="H716" s="13"/>
      <c r="I716" s="11"/>
      <c r="J716" s="11"/>
      <c r="K716" s="14"/>
      <c r="L716" s="11"/>
      <c r="M716" s="15"/>
      <c r="N716" s="16"/>
      <c r="O716" s="16"/>
      <c r="P716" s="16"/>
      <c r="Q716" s="17"/>
      <c r="R716" s="17"/>
      <c r="S716" s="17"/>
      <c r="T716" s="17"/>
      <c r="U716" s="17"/>
      <c r="V716" s="17"/>
      <c r="W716" s="17"/>
      <c r="X716" s="17"/>
      <c r="Y716" s="17"/>
    </row>
    <row r="717" ht="18.75" customHeight="1">
      <c r="A717" s="9">
        <v>1870.0</v>
      </c>
      <c r="B717" s="15"/>
      <c r="C717" s="15"/>
      <c r="D717" s="15"/>
      <c r="E717" s="15"/>
      <c r="F717" s="15"/>
      <c r="G717" s="12"/>
      <c r="H717" s="13"/>
      <c r="I717" s="11"/>
      <c r="J717" s="11"/>
      <c r="K717" s="14"/>
      <c r="L717" s="11"/>
      <c r="M717" s="15"/>
      <c r="N717" s="16"/>
      <c r="O717" s="16"/>
      <c r="P717" s="16"/>
      <c r="Q717" s="17"/>
      <c r="R717" s="17"/>
      <c r="S717" s="17"/>
      <c r="T717" s="17"/>
      <c r="U717" s="17"/>
      <c r="V717" s="17"/>
      <c r="W717" s="17"/>
      <c r="X717" s="17"/>
      <c r="Y717" s="17"/>
    </row>
    <row r="718" ht="18.75" customHeight="1">
      <c r="A718" s="9">
        <v>1871.0</v>
      </c>
      <c r="B718" s="15"/>
      <c r="C718" s="15"/>
      <c r="D718" s="15"/>
      <c r="E718" s="15"/>
      <c r="F718" s="15"/>
      <c r="G718" s="12"/>
      <c r="H718" s="13"/>
      <c r="I718" s="11"/>
      <c r="J718" s="11"/>
      <c r="K718" s="14"/>
      <c r="L718" s="11"/>
      <c r="M718" s="15"/>
      <c r="N718" s="16"/>
      <c r="O718" s="16"/>
      <c r="P718" s="16"/>
      <c r="Q718" s="17"/>
      <c r="R718" s="17"/>
      <c r="S718" s="17"/>
      <c r="T718" s="17"/>
      <c r="U718" s="17"/>
      <c r="V718" s="17"/>
      <c r="W718" s="17"/>
      <c r="X718" s="17"/>
      <c r="Y718" s="17"/>
    </row>
    <row r="719" ht="18.75" customHeight="1">
      <c r="A719" s="9">
        <v>1872.0</v>
      </c>
      <c r="B719" s="15"/>
      <c r="C719" s="15"/>
      <c r="D719" s="15"/>
      <c r="E719" s="15"/>
      <c r="F719" s="15"/>
      <c r="G719" s="12"/>
      <c r="H719" s="13"/>
      <c r="I719" s="11"/>
      <c r="J719" s="11"/>
      <c r="K719" s="14"/>
      <c r="L719" s="11"/>
      <c r="M719" s="15"/>
      <c r="N719" s="16"/>
      <c r="O719" s="16"/>
      <c r="P719" s="16"/>
      <c r="Q719" s="17"/>
      <c r="R719" s="17"/>
      <c r="S719" s="17"/>
      <c r="T719" s="17"/>
      <c r="U719" s="17"/>
      <c r="V719" s="17"/>
      <c r="W719" s="17"/>
      <c r="X719" s="17"/>
      <c r="Y719" s="17"/>
    </row>
    <row r="720" ht="18.75" customHeight="1">
      <c r="A720" s="9">
        <v>1873.0</v>
      </c>
      <c r="B720" s="15"/>
      <c r="C720" s="15"/>
      <c r="D720" s="15"/>
      <c r="E720" s="15"/>
      <c r="F720" s="15"/>
      <c r="G720" s="12"/>
      <c r="H720" s="13"/>
      <c r="I720" s="11"/>
      <c r="J720" s="11"/>
      <c r="K720" s="14"/>
      <c r="L720" s="11"/>
      <c r="M720" s="15"/>
      <c r="N720" s="16"/>
      <c r="O720" s="16"/>
      <c r="P720" s="16"/>
      <c r="Q720" s="17"/>
      <c r="R720" s="17"/>
      <c r="S720" s="17"/>
      <c r="T720" s="17"/>
      <c r="U720" s="17"/>
      <c r="V720" s="17"/>
      <c r="W720" s="17"/>
      <c r="X720" s="17"/>
      <c r="Y720" s="17"/>
    </row>
    <row r="721" ht="18.75" customHeight="1">
      <c r="A721" s="9">
        <v>1874.0</v>
      </c>
      <c r="B721" s="15"/>
      <c r="C721" s="15"/>
      <c r="D721" s="15"/>
      <c r="E721" s="15"/>
      <c r="F721" s="15"/>
      <c r="G721" s="12"/>
      <c r="H721" s="13"/>
      <c r="I721" s="11"/>
      <c r="J721" s="11"/>
      <c r="K721" s="14"/>
      <c r="L721" s="11"/>
      <c r="M721" s="15"/>
      <c r="N721" s="16"/>
      <c r="O721" s="16"/>
      <c r="P721" s="16"/>
      <c r="Q721" s="17"/>
      <c r="R721" s="17"/>
      <c r="S721" s="17"/>
      <c r="T721" s="17"/>
      <c r="U721" s="17"/>
      <c r="V721" s="17"/>
      <c r="W721" s="17"/>
      <c r="X721" s="17"/>
      <c r="Y721" s="17"/>
    </row>
    <row r="722" ht="18.75" customHeight="1">
      <c r="A722" s="9">
        <v>1875.0</v>
      </c>
      <c r="B722" s="15"/>
      <c r="C722" s="15"/>
      <c r="D722" s="15"/>
      <c r="E722" s="15"/>
      <c r="F722" s="15"/>
      <c r="G722" s="12"/>
      <c r="H722" s="13"/>
      <c r="I722" s="11"/>
      <c r="J722" s="11"/>
      <c r="K722" s="14"/>
      <c r="L722" s="11"/>
      <c r="M722" s="15"/>
      <c r="N722" s="16"/>
      <c r="O722" s="16"/>
      <c r="P722" s="16"/>
      <c r="Q722" s="17"/>
      <c r="R722" s="17"/>
      <c r="S722" s="17"/>
      <c r="T722" s="17"/>
      <c r="U722" s="17"/>
      <c r="V722" s="17"/>
      <c r="W722" s="17"/>
      <c r="X722" s="17"/>
      <c r="Y722" s="17"/>
    </row>
    <row r="723" ht="18.75" customHeight="1">
      <c r="A723" s="9">
        <v>1876.0</v>
      </c>
      <c r="B723" s="15"/>
      <c r="C723" s="15"/>
      <c r="D723" s="15"/>
      <c r="E723" s="15"/>
      <c r="F723" s="15"/>
      <c r="G723" s="12"/>
      <c r="H723" s="13"/>
      <c r="I723" s="11"/>
      <c r="J723" s="11"/>
      <c r="K723" s="14"/>
      <c r="L723" s="11"/>
      <c r="M723" s="15"/>
      <c r="N723" s="16"/>
      <c r="O723" s="16"/>
      <c r="P723" s="16"/>
      <c r="Q723" s="17"/>
      <c r="R723" s="17"/>
      <c r="S723" s="17"/>
      <c r="T723" s="17"/>
      <c r="U723" s="17"/>
      <c r="V723" s="17"/>
      <c r="W723" s="17"/>
      <c r="X723" s="17"/>
      <c r="Y723" s="17"/>
    </row>
    <row r="724" ht="18.75" customHeight="1">
      <c r="A724" s="9">
        <v>1877.0</v>
      </c>
      <c r="B724" s="15"/>
      <c r="C724" s="15"/>
      <c r="D724" s="15"/>
      <c r="E724" s="15"/>
      <c r="F724" s="15"/>
      <c r="G724" s="12"/>
      <c r="H724" s="13"/>
      <c r="I724" s="11"/>
      <c r="J724" s="11"/>
      <c r="K724" s="14"/>
      <c r="L724" s="11"/>
      <c r="M724" s="15"/>
      <c r="N724" s="16"/>
      <c r="O724" s="16"/>
      <c r="P724" s="16"/>
      <c r="Q724" s="17"/>
      <c r="R724" s="17"/>
      <c r="S724" s="17"/>
      <c r="T724" s="17"/>
      <c r="U724" s="17"/>
      <c r="V724" s="17"/>
      <c r="W724" s="17"/>
      <c r="X724" s="17"/>
      <c r="Y724" s="17"/>
    </row>
    <row r="725" ht="18.75" customHeight="1">
      <c r="A725" s="9">
        <v>1878.0</v>
      </c>
      <c r="B725" s="15"/>
      <c r="C725" s="15"/>
      <c r="D725" s="15"/>
      <c r="E725" s="15"/>
      <c r="F725" s="15"/>
      <c r="G725" s="12"/>
      <c r="H725" s="13"/>
      <c r="I725" s="11"/>
      <c r="J725" s="11"/>
      <c r="K725" s="14"/>
      <c r="L725" s="11"/>
      <c r="M725" s="15"/>
      <c r="N725" s="16"/>
      <c r="O725" s="16"/>
      <c r="P725" s="16"/>
      <c r="Q725" s="17"/>
      <c r="R725" s="17"/>
      <c r="S725" s="17"/>
      <c r="T725" s="17"/>
      <c r="U725" s="17"/>
      <c r="V725" s="17"/>
      <c r="W725" s="17"/>
      <c r="X725" s="17"/>
      <c r="Y725" s="17"/>
    </row>
    <row r="726" ht="18.75" customHeight="1">
      <c r="A726" s="9">
        <v>1879.0</v>
      </c>
      <c r="B726" s="15"/>
      <c r="C726" s="15"/>
      <c r="D726" s="15"/>
      <c r="E726" s="15"/>
      <c r="F726" s="15"/>
      <c r="G726" s="12"/>
      <c r="H726" s="13"/>
      <c r="I726" s="11"/>
      <c r="J726" s="11"/>
      <c r="K726" s="14"/>
      <c r="L726" s="11"/>
      <c r="M726" s="15"/>
      <c r="N726" s="16"/>
      <c r="O726" s="16"/>
      <c r="P726" s="16"/>
      <c r="Q726" s="17"/>
      <c r="R726" s="17"/>
      <c r="S726" s="17"/>
      <c r="T726" s="17"/>
      <c r="U726" s="17"/>
      <c r="V726" s="17"/>
      <c r="W726" s="17"/>
      <c r="X726" s="17"/>
      <c r="Y726" s="17"/>
    </row>
    <row r="727" ht="18.75" customHeight="1">
      <c r="A727" s="9">
        <v>1880.0</v>
      </c>
      <c r="B727" s="15"/>
      <c r="C727" s="15"/>
      <c r="D727" s="15"/>
      <c r="E727" s="15"/>
      <c r="F727" s="15"/>
      <c r="G727" s="12"/>
      <c r="H727" s="13"/>
      <c r="I727" s="11"/>
      <c r="J727" s="11"/>
      <c r="K727" s="14"/>
      <c r="L727" s="11"/>
      <c r="M727" s="15"/>
      <c r="N727" s="16"/>
      <c r="O727" s="16"/>
      <c r="P727" s="16"/>
      <c r="Q727" s="17"/>
      <c r="R727" s="17"/>
      <c r="S727" s="17"/>
      <c r="T727" s="17"/>
      <c r="U727" s="17"/>
      <c r="V727" s="17"/>
      <c r="W727" s="17"/>
      <c r="X727" s="17"/>
      <c r="Y727" s="17"/>
    </row>
    <row r="728" ht="18.75" customHeight="1">
      <c r="A728" s="9">
        <v>1881.0</v>
      </c>
      <c r="B728" s="15"/>
      <c r="C728" s="15"/>
      <c r="D728" s="15"/>
      <c r="E728" s="15"/>
      <c r="F728" s="15"/>
      <c r="G728" s="12"/>
      <c r="H728" s="13"/>
      <c r="I728" s="11"/>
      <c r="J728" s="11"/>
      <c r="K728" s="14"/>
      <c r="L728" s="11"/>
      <c r="M728" s="15"/>
      <c r="N728" s="16"/>
      <c r="O728" s="16"/>
      <c r="P728" s="16"/>
      <c r="Q728" s="17"/>
      <c r="R728" s="17"/>
      <c r="S728" s="17"/>
      <c r="T728" s="17"/>
      <c r="U728" s="17"/>
      <c r="V728" s="17"/>
      <c r="W728" s="17"/>
      <c r="X728" s="17"/>
      <c r="Y728" s="17"/>
    </row>
    <row r="729" ht="18.75" customHeight="1">
      <c r="A729" s="9">
        <v>1882.0</v>
      </c>
      <c r="B729" s="15"/>
      <c r="C729" s="15"/>
      <c r="D729" s="15"/>
      <c r="E729" s="15"/>
      <c r="F729" s="15"/>
      <c r="G729" s="12"/>
      <c r="H729" s="13"/>
      <c r="I729" s="11"/>
      <c r="J729" s="11"/>
      <c r="K729" s="14"/>
      <c r="L729" s="11"/>
      <c r="M729" s="15"/>
      <c r="N729" s="16"/>
      <c r="O729" s="16"/>
      <c r="P729" s="16"/>
      <c r="Q729" s="17"/>
      <c r="R729" s="17"/>
      <c r="S729" s="17"/>
      <c r="T729" s="17"/>
      <c r="U729" s="17"/>
      <c r="V729" s="17"/>
      <c r="W729" s="17"/>
      <c r="X729" s="17"/>
      <c r="Y729" s="17"/>
    </row>
    <row r="730" ht="18.75" customHeight="1">
      <c r="A730" s="9">
        <v>1883.0</v>
      </c>
      <c r="B730" s="15"/>
      <c r="C730" s="15"/>
      <c r="D730" s="15"/>
      <c r="E730" s="15"/>
      <c r="F730" s="15"/>
      <c r="G730" s="12"/>
      <c r="H730" s="13"/>
      <c r="I730" s="11"/>
      <c r="J730" s="11"/>
      <c r="K730" s="14"/>
      <c r="L730" s="11"/>
      <c r="M730" s="15"/>
      <c r="N730" s="16"/>
      <c r="O730" s="16"/>
      <c r="P730" s="16"/>
      <c r="Q730" s="17"/>
      <c r="R730" s="17"/>
      <c r="S730" s="17"/>
      <c r="T730" s="17"/>
      <c r="U730" s="17"/>
      <c r="V730" s="17"/>
      <c r="W730" s="17"/>
      <c r="X730" s="17"/>
      <c r="Y730" s="17"/>
    </row>
    <row r="731" ht="18.75" customHeight="1">
      <c r="A731" s="9">
        <v>1884.0</v>
      </c>
      <c r="B731" s="15"/>
      <c r="C731" s="15"/>
      <c r="D731" s="15"/>
      <c r="E731" s="15"/>
      <c r="F731" s="15"/>
      <c r="G731" s="12"/>
      <c r="H731" s="13"/>
      <c r="I731" s="11"/>
      <c r="J731" s="11"/>
      <c r="K731" s="14"/>
      <c r="L731" s="11"/>
      <c r="M731" s="15"/>
      <c r="N731" s="16"/>
      <c r="O731" s="16"/>
      <c r="P731" s="16"/>
      <c r="Q731" s="17"/>
      <c r="R731" s="17"/>
      <c r="S731" s="17"/>
      <c r="T731" s="17"/>
      <c r="U731" s="17"/>
      <c r="V731" s="17"/>
      <c r="W731" s="17"/>
      <c r="X731" s="17"/>
      <c r="Y731" s="17"/>
    </row>
    <row r="732" ht="18.75" customHeight="1">
      <c r="A732" s="9">
        <v>1885.0</v>
      </c>
      <c r="B732" s="15"/>
      <c r="C732" s="15"/>
      <c r="D732" s="15"/>
      <c r="E732" s="15"/>
      <c r="F732" s="15"/>
      <c r="G732" s="12"/>
      <c r="H732" s="13"/>
      <c r="I732" s="11"/>
      <c r="J732" s="11"/>
      <c r="K732" s="14"/>
      <c r="L732" s="11"/>
      <c r="M732" s="15"/>
      <c r="N732" s="16"/>
      <c r="O732" s="16"/>
      <c r="P732" s="16"/>
      <c r="Q732" s="17"/>
      <c r="R732" s="17"/>
      <c r="S732" s="17"/>
      <c r="T732" s="17"/>
      <c r="U732" s="17"/>
      <c r="V732" s="17"/>
      <c r="W732" s="17"/>
      <c r="X732" s="17"/>
      <c r="Y732" s="17"/>
    </row>
    <row r="733" ht="18.75" customHeight="1">
      <c r="A733" s="9">
        <v>1886.0</v>
      </c>
      <c r="B733" s="15"/>
      <c r="C733" s="15"/>
      <c r="D733" s="15"/>
      <c r="E733" s="15"/>
      <c r="F733" s="15"/>
      <c r="G733" s="12"/>
      <c r="H733" s="13"/>
      <c r="I733" s="11"/>
      <c r="J733" s="11"/>
      <c r="K733" s="14"/>
      <c r="L733" s="11"/>
      <c r="M733" s="15"/>
      <c r="N733" s="16"/>
      <c r="O733" s="16"/>
      <c r="P733" s="16"/>
      <c r="Q733" s="17"/>
      <c r="R733" s="17"/>
      <c r="S733" s="17"/>
      <c r="T733" s="17"/>
      <c r="U733" s="17"/>
      <c r="V733" s="17"/>
      <c r="W733" s="17"/>
      <c r="X733" s="17"/>
      <c r="Y733" s="17"/>
    </row>
    <row r="734" ht="18.75" customHeight="1">
      <c r="A734" s="9">
        <v>1887.0</v>
      </c>
      <c r="B734" s="15"/>
      <c r="C734" s="15"/>
      <c r="D734" s="15"/>
      <c r="E734" s="15"/>
      <c r="F734" s="15"/>
      <c r="G734" s="12"/>
      <c r="H734" s="13"/>
      <c r="I734" s="11"/>
      <c r="J734" s="11"/>
      <c r="K734" s="14"/>
      <c r="L734" s="11"/>
      <c r="M734" s="15"/>
      <c r="N734" s="16"/>
      <c r="O734" s="16"/>
      <c r="P734" s="16"/>
      <c r="Q734" s="17"/>
      <c r="R734" s="17"/>
      <c r="S734" s="17"/>
      <c r="T734" s="17"/>
      <c r="U734" s="17"/>
      <c r="V734" s="17"/>
      <c r="W734" s="17"/>
      <c r="X734" s="17"/>
      <c r="Y734" s="17"/>
    </row>
    <row r="735" ht="18.75" customHeight="1">
      <c r="A735" s="9">
        <v>1888.0</v>
      </c>
      <c r="B735" s="15"/>
      <c r="C735" s="15"/>
      <c r="D735" s="15"/>
      <c r="E735" s="15"/>
      <c r="F735" s="15"/>
      <c r="G735" s="12"/>
      <c r="H735" s="13"/>
      <c r="I735" s="11"/>
      <c r="J735" s="11"/>
      <c r="K735" s="14"/>
      <c r="L735" s="11"/>
      <c r="M735" s="15"/>
      <c r="N735" s="16"/>
      <c r="O735" s="16"/>
      <c r="P735" s="16"/>
      <c r="Q735" s="17"/>
      <c r="R735" s="17"/>
      <c r="S735" s="17"/>
      <c r="T735" s="17"/>
      <c r="U735" s="17"/>
      <c r="V735" s="17"/>
      <c r="W735" s="17"/>
      <c r="X735" s="17"/>
      <c r="Y735" s="17"/>
    </row>
    <row r="736" ht="18.75" customHeight="1">
      <c r="A736" s="9">
        <v>1889.0</v>
      </c>
      <c r="B736" s="15"/>
      <c r="C736" s="15"/>
      <c r="D736" s="15"/>
      <c r="E736" s="15"/>
      <c r="F736" s="15"/>
      <c r="G736" s="12"/>
      <c r="H736" s="13"/>
      <c r="I736" s="11"/>
      <c r="J736" s="11"/>
      <c r="K736" s="14"/>
      <c r="L736" s="11"/>
      <c r="M736" s="15"/>
      <c r="N736" s="16"/>
      <c r="O736" s="16"/>
      <c r="P736" s="16"/>
      <c r="Q736" s="17"/>
      <c r="R736" s="17"/>
      <c r="S736" s="17"/>
      <c r="T736" s="17"/>
      <c r="U736" s="17"/>
      <c r="V736" s="17"/>
      <c r="W736" s="17"/>
      <c r="X736" s="17"/>
      <c r="Y736" s="17"/>
    </row>
    <row r="737" ht="18.75" customHeight="1">
      <c r="A737" s="9">
        <v>1890.0</v>
      </c>
      <c r="B737" s="15"/>
      <c r="C737" s="15"/>
      <c r="D737" s="15"/>
      <c r="E737" s="15"/>
      <c r="F737" s="15"/>
      <c r="G737" s="12"/>
      <c r="H737" s="13"/>
      <c r="I737" s="11"/>
      <c r="J737" s="11"/>
      <c r="K737" s="14"/>
      <c r="L737" s="11"/>
      <c r="M737" s="15"/>
      <c r="N737" s="16"/>
      <c r="O737" s="16"/>
      <c r="P737" s="16"/>
      <c r="Q737" s="17"/>
      <c r="R737" s="17"/>
      <c r="S737" s="17"/>
      <c r="T737" s="17"/>
      <c r="U737" s="17"/>
      <c r="V737" s="17"/>
      <c r="W737" s="17"/>
      <c r="X737" s="17"/>
      <c r="Y737" s="17"/>
    </row>
    <row r="738" ht="18.75" customHeight="1">
      <c r="A738" s="9">
        <v>1891.0</v>
      </c>
      <c r="B738" s="15"/>
      <c r="C738" s="15"/>
      <c r="D738" s="15"/>
      <c r="E738" s="15"/>
      <c r="F738" s="15"/>
      <c r="G738" s="12"/>
      <c r="H738" s="13"/>
      <c r="I738" s="11"/>
      <c r="J738" s="11"/>
      <c r="K738" s="14"/>
      <c r="L738" s="11"/>
      <c r="M738" s="15"/>
      <c r="N738" s="16"/>
      <c r="O738" s="16"/>
      <c r="P738" s="16"/>
      <c r="Q738" s="17"/>
      <c r="R738" s="17"/>
      <c r="S738" s="17"/>
      <c r="T738" s="17"/>
      <c r="U738" s="17"/>
      <c r="V738" s="17"/>
      <c r="W738" s="17"/>
      <c r="X738" s="17"/>
      <c r="Y738" s="17"/>
    </row>
    <row r="739" ht="18.75" customHeight="1">
      <c r="A739" s="9">
        <v>1892.0</v>
      </c>
      <c r="B739" s="15"/>
      <c r="C739" s="15"/>
      <c r="D739" s="15"/>
      <c r="E739" s="15"/>
      <c r="F739" s="15"/>
      <c r="G739" s="12"/>
      <c r="H739" s="13"/>
      <c r="I739" s="11"/>
      <c r="J739" s="11"/>
      <c r="K739" s="14"/>
      <c r="L739" s="11"/>
      <c r="M739" s="15"/>
      <c r="N739" s="16"/>
      <c r="O739" s="16"/>
      <c r="P739" s="16"/>
      <c r="Q739" s="17"/>
      <c r="R739" s="17"/>
      <c r="S739" s="17"/>
      <c r="T739" s="17"/>
      <c r="U739" s="17"/>
      <c r="V739" s="17"/>
      <c r="W739" s="17"/>
      <c r="X739" s="17"/>
      <c r="Y739" s="17"/>
    </row>
    <row r="740" ht="18.75" customHeight="1">
      <c r="A740" s="9">
        <v>1893.0</v>
      </c>
      <c r="B740" s="15"/>
      <c r="C740" s="15"/>
      <c r="D740" s="15"/>
      <c r="E740" s="15"/>
      <c r="F740" s="15"/>
      <c r="G740" s="12"/>
      <c r="H740" s="13"/>
      <c r="I740" s="11"/>
      <c r="J740" s="11"/>
      <c r="K740" s="14"/>
      <c r="L740" s="11"/>
      <c r="M740" s="15"/>
      <c r="N740" s="16"/>
      <c r="O740" s="16"/>
      <c r="P740" s="16"/>
      <c r="Q740" s="17"/>
      <c r="R740" s="17"/>
      <c r="S740" s="17"/>
      <c r="T740" s="17"/>
      <c r="U740" s="17"/>
      <c r="V740" s="17"/>
      <c r="W740" s="17"/>
      <c r="X740" s="17"/>
      <c r="Y740" s="17"/>
    </row>
    <row r="741" ht="18.75" customHeight="1">
      <c r="A741" s="9">
        <v>1894.0</v>
      </c>
      <c r="B741" s="15"/>
      <c r="C741" s="15"/>
      <c r="D741" s="15"/>
      <c r="E741" s="15"/>
      <c r="F741" s="15"/>
      <c r="G741" s="12"/>
      <c r="H741" s="13"/>
      <c r="I741" s="11"/>
      <c r="J741" s="11"/>
      <c r="K741" s="14"/>
      <c r="L741" s="11"/>
      <c r="M741" s="15"/>
      <c r="N741" s="16"/>
      <c r="O741" s="16"/>
      <c r="P741" s="16"/>
      <c r="Q741" s="17"/>
      <c r="R741" s="17"/>
      <c r="S741" s="17"/>
      <c r="T741" s="17"/>
      <c r="U741" s="17"/>
      <c r="V741" s="17"/>
      <c r="W741" s="17"/>
      <c r="X741" s="17"/>
      <c r="Y741" s="17"/>
    </row>
    <row r="742" ht="18.75" customHeight="1">
      <c r="A742" s="9">
        <v>1895.0</v>
      </c>
      <c r="B742" s="15"/>
      <c r="C742" s="15"/>
      <c r="D742" s="15"/>
      <c r="E742" s="15"/>
      <c r="F742" s="15"/>
      <c r="G742" s="12"/>
      <c r="H742" s="13"/>
      <c r="I742" s="11"/>
      <c r="J742" s="11"/>
      <c r="K742" s="14"/>
      <c r="L742" s="11"/>
      <c r="M742" s="15"/>
      <c r="N742" s="16"/>
      <c r="O742" s="16"/>
      <c r="P742" s="16"/>
      <c r="Q742" s="17"/>
      <c r="R742" s="17"/>
      <c r="S742" s="17"/>
      <c r="T742" s="17"/>
      <c r="U742" s="17"/>
      <c r="V742" s="17"/>
      <c r="W742" s="17"/>
      <c r="X742" s="17"/>
      <c r="Y742" s="17"/>
    </row>
    <row r="743" ht="18.75" customHeight="1">
      <c r="A743" s="9">
        <v>1896.0</v>
      </c>
      <c r="B743" s="15"/>
      <c r="C743" s="15"/>
      <c r="D743" s="15"/>
      <c r="E743" s="15"/>
      <c r="F743" s="15"/>
      <c r="G743" s="12"/>
      <c r="H743" s="13"/>
      <c r="I743" s="11"/>
      <c r="J743" s="11"/>
      <c r="K743" s="14"/>
      <c r="L743" s="11"/>
      <c r="M743" s="15"/>
      <c r="N743" s="16"/>
      <c r="O743" s="16"/>
      <c r="P743" s="16"/>
      <c r="Q743" s="17"/>
      <c r="R743" s="17"/>
      <c r="S743" s="17"/>
      <c r="T743" s="17"/>
      <c r="U743" s="17"/>
      <c r="V743" s="17"/>
      <c r="W743" s="17"/>
      <c r="X743" s="17"/>
      <c r="Y743" s="17"/>
    </row>
    <row r="744" ht="18.75" customHeight="1">
      <c r="A744" s="9">
        <v>1897.0</v>
      </c>
      <c r="B744" s="15"/>
      <c r="C744" s="15"/>
      <c r="D744" s="15"/>
      <c r="E744" s="15"/>
      <c r="F744" s="15"/>
      <c r="G744" s="12"/>
      <c r="H744" s="13"/>
      <c r="I744" s="11"/>
      <c r="J744" s="11"/>
      <c r="K744" s="14"/>
      <c r="L744" s="11"/>
      <c r="M744" s="15"/>
      <c r="N744" s="16"/>
      <c r="O744" s="16"/>
      <c r="P744" s="16"/>
      <c r="Q744" s="17"/>
      <c r="R744" s="17"/>
      <c r="S744" s="17"/>
      <c r="T744" s="17"/>
      <c r="U744" s="17"/>
      <c r="V744" s="17"/>
      <c r="W744" s="17"/>
      <c r="X744" s="17"/>
      <c r="Y744" s="17"/>
    </row>
    <row r="745" ht="18.75" customHeight="1">
      <c r="A745" s="9">
        <v>1898.0</v>
      </c>
      <c r="B745" s="15"/>
      <c r="C745" s="15"/>
      <c r="D745" s="15"/>
      <c r="E745" s="15"/>
      <c r="F745" s="15"/>
      <c r="G745" s="12"/>
      <c r="H745" s="13"/>
      <c r="I745" s="11"/>
      <c r="J745" s="11"/>
      <c r="K745" s="14"/>
      <c r="L745" s="11"/>
      <c r="M745" s="15"/>
      <c r="N745" s="16"/>
      <c r="O745" s="16"/>
      <c r="P745" s="16"/>
      <c r="Q745" s="17"/>
      <c r="R745" s="17"/>
      <c r="S745" s="17"/>
      <c r="T745" s="17"/>
      <c r="U745" s="17"/>
      <c r="V745" s="17"/>
      <c r="W745" s="17"/>
      <c r="X745" s="17"/>
      <c r="Y745" s="17"/>
    </row>
    <row r="746" ht="18.75" customHeight="1">
      <c r="A746" s="9">
        <v>1899.0</v>
      </c>
      <c r="B746" s="15"/>
      <c r="C746" s="15"/>
      <c r="D746" s="15"/>
      <c r="E746" s="15"/>
      <c r="F746" s="15"/>
      <c r="G746" s="12"/>
      <c r="H746" s="13"/>
      <c r="I746" s="11"/>
      <c r="J746" s="11"/>
      <c r="K746" s="14"/>
      <c r="L746" s="11"/>
      <c r="M746" s="15"/>
      <c r="N746" s="16"/>
      <c r="O746" s="16"/>
      <c r="P746" s="16"/>
      <c r="Q746" s="17"/>
      <c r="R746" s="17"/>
      <c r="S746" s="17"/>
      <c r="T746" s="17"/>
      <c r="U746" s="17"/>
      <c r="V746" s="17"/>
      <c r="W746" s="17"/>
      <c r="X746" s="17"/>
      <c r="Y746" s="17"/>
    </row>
    <row r="747" ht="18.75" customHeight="1">
      <c r="A747" s="9">
        <v>1900.0</v>
      </c>
      <c r="B747" s="15"/>
      <c r="C747" s="15"/>
      <c r="D747" s="15"/>
      <c r="E747" s="15"/>
      <c r="F747" s="15"/>
      <c r="G747" s="12"/>
      <c r="H747" s="13"/>
      <c r="I747" s="11"/>
      <c r="J747" s="11"/>
      <c r="K747" s="14"/>
      <c r="L747" s="11"/>
      <c r="M747" s="15"/>
      <c r="N747" s="16"/>
      <c r="O747" s="16"/>
      <c r="P747" s="16"/>
      <c r="Q747" s="17"/>
      <c r="R747" s="17"/>
      <c r="S747" s="17"/>
      <c r="T747" s="17"/>
      <c r="U747" s="17"/>
      <c r="V747" s="17"/>
      <c r="W747" s="17"/>
      <c r="X747" s="17"/>
      <c r="Y747" s="17"/>
    </row>
    <row r="748" ht="18.75" customHeight="1">
      <c r="A748" s="9">
        <v>1901.0</v>
      </c>
      <c r="B748" s="15"/>
      <c r="C748" s="15"/>
      <c r="D748" s="15"/>
      <c r="E748" s="15"/>
      <c r="F748" s="15"/>
      <c r="G748" s="12"/>
      <c r="H748" s="13"/>
      <c r="I748" s="11"/>
      <c r="J748" s="11"/>
      <c r="K748" s="14"/>
      <c r="L748" s="11"/>
      <c r="M748" s="15"/>
      <c r="N748" s="16"/>
      <c r="O748" s="16"/>
      <c r="P748" s="16"/>
      <c r="Q748" s="17"/>
      <c r="R748" s="17"/>
      <c r="S748" s="17"/>
      <c r="T748" s="17"/>
      <c r="U748" s="17"/>
      <c r="V748" s="17"/>
      <c r="W748" s="17"/>
      <c r="X748" s="17"/>
      <c r="Y748" s="17"/>
    </row>
    <row r="749" ht="18.75" customHeight="1">
      <c r="A749" s="9">
        <v>1902.0</v>
      </c>
      <c r="B749" s="15"/>
      <c r="C749" s="15"/>
      <c r="D749" s="15"/>
      <c r="E749" s="15"/>
      <c r="F749" s="15"/>
      <c r="G749" s="12"/>
      <c r="H749" s="13"/>
      <c r="I749" s="11"/>
      <c r="J749" s="11"/>
      <c r="K749" s="14"/>
      <c r="L749" s="11"/>
      <c r="M749" s="15"/>
      <c r="N749" s="16"/>
      <c r="O749" s="16"/>
      <c r="P749" s="16"/>
      <c r="Q749" s="17"/>
      <c r="R749" s="17"/>
      <c r="S749" s="17"/>
      <c r="T749" s="17"/>
      <c r="U749" s="17"/>
      <c r="V749" s="17"/>
      <c r="W749" s="17"/>
      <c r="X749" s="17"/>
      <c r="Y749" s="17"/>
    </row>
    <row r="750" ht="18.75" customHeight="1">
      <c r="A750" s="9">
        <v>1903.0</v>
      </c>
      <c r="B750" s="15"/>
      <c r="C750" s="15"/>
      <c r="D750" s="15"/>
      <c r="E750" s="15"/>
      <c r="F750" s="15"/>
      <c r="G750" s="12"/>
      <c r="H750" s="13"/>
      <c r="I750" s="11"/>
      <c r="J750" s="11"/>
      <c r="K750" s="14"/>
      <c r="L750" s="11"/>
      <c r="M750" s="15"/>
      <c r="N750" s="16"/>
      <c r="O750" s="16"/>
      <c r="P750" s="16"/>
      <c r="Q750" s="17"/>
      <c r="R750" s="17"/>
      <c r="S750" s="17"/>
      <c r="T750" s="17"/>
      <c r="U750" s="17"/>
      <c r="V750" s="17"/>
      <c r="W750" s="17"/>
      <c r="X750" s="17"/>
      <c r="Y750" s="17"/>
    </row>
    <row r="751" ht="18.75" customHeight="1">
      <c r="A751" s="9">
        <v>1904.0</v>
      </c>
      <c r="B751" s="15"/>
      <c r="C751" s="15"/>
      <c r="D751" s="15"/>
      <c r="E751" s="15"/>
      <c r="F751" s="15"/>
      <c r="G751" s="12"/>
      <c r="H751" s="13"/>
      <c r="I751" s="11"/>
      <c r="J751" s="11"/>
      <c r="K751" s="14"/>
      <c r="L751" s="11"/>
      <c r="M751" s="15"/>
      <c r="N751" s="16"/>
      <c r="O751" s="16"/>
      <c r="P751" s="16"/>
      <c r="Q751" s="17"/>
      <c r="R751" s="17"/>
      <c r="S751" s="17"/>
      <c r="T751" s="17"/>
      <c r="U751" s="17"/>
      <c r="V751" s="17"/>
      <c r="W751" s="17"/>
      <c r="X751" s="17"/>
      <c r="Y751" s="17"/>
    </row>
    <row r="752" ht="18.75" customHeight="1">
      <c r="A752" s="9">
        <v>1905.0</v>
      </c>
      <c r="B752" s="15"/>
      <c r="C752" s="15"/>
      <c r="D752" s="15"/>
      <c r="E752" s="15"/>
      <c r="F752" s="15"/>
      <c r="G752" s="12"/>
      <c r="H752" s="13"/>
      <c r="I752" s="11"/>
      <c r="J752" s="11"/>
      <c r="K752" s="14"/>
      <c r="L752" s="11"/>
      <c r="M752" s="15"/>
      <c r="N752" s="16"/>
      <c r="O752" s="16"/>
      <c r="P752" s="16"/>
      <c r="Q752" s="17"/>
      <c r="R752" s="17"/>
      <c r="S752" s="17"/>
      <c r="T752" s="17"/>
      <c r="U752" s="17"/>
      <c r="V752" s="17"/>
      <c r="W752" s="17"/>
      <c r="X752" s="17"/>
      <c r="Y752" s="17"/>
    </row>
    <row r="753" ht="18.75" customHeight="1">
      <c r="A753" s="9">
        <v>1906.0</v>
      </c>
      <c r="B753" s="15"/>
      <c r="C753" s="15"/>
      <c r="D753" s="15"/>
      <c r="E753" s="15"/>
      <c r="F753" s="15"/>
      <c r="G753" s="12"/>
      <c r="H753" s="13"/>
      <c r="I753" s="11"/>
      <c r="J753" s="11"/>
      <c r="K753" s="14"/>
      <c r="L753" s="11"/>
      <c r="M753" s="15"/>
      <c r="N753" s="16"/>
      <c r="O753" s="16"/>
      <c r="P753" s="16"/>
      <c r="Q753" s="17"/>
      <c r="R753" s="17"/>
      <c r="S753" s="17"/>
      <c r="T753" s="17"/>
      <c r="U753" s="17"/>
      <c r="V753" s="17"/>
      <c r="W753" s="17"/>
      <c r="X753" s="17"/>
      <c r="Y753" s="17"/>
    </row>
    <row r="754" ht="18.75" customHeight="1">
      <c r="A754" s="9">
        <v>1907.0</v>
      </c>
      <c r="B754" s="15"/>
      <c r="C754" s="15"/>
      <c r="D754" s="15"/>
      <c r="E754" s="15"/>
      <c r="F754" s="15"/>
      <c r="G754" s="12"/>
      <c r="H754" s="13"/>
      <c r="I754" s="11"/>
      <c r="J754" s="11"/>
      <c r="K754" s="14"/>
      <c r="L754" s="11"/>
      <c r="M754" s="15"/>
      <c r="N754" s="16"/>
      <c r="O754" s="16"/>
      <c r="P754" s="16"/>
      <c r="Q754" s="17"/>
      <c r="R754" s="17"/>
      <c r="S754" s="17"/>
      <c r="T754" s="17"/>
      <c r="U754" s="17"/>
      <c r="V754" s="17"/>
      <c r="W754" s="17"/>
      <c r="X754" s="17"/>
      <c r="Y754" s="17"/>
    </row>
    <row r="755" ht="18.75" customHeight="1">
      <c r="A755" s="9">
        <v>1908.0</v>
      </c>
      <c r="B755" s="15"/>
      <c r="C755" s="15"/>
      <c r="D755" s="15"/>
      <c r="E755" s="15"/>
      <c r="F755" s="15"/>
      <c r="G755" s="12"/>
      <c r="H755" s="13"/>
      <c r="I755" s="11"/>
      <c r="J755" s="11"/>
      <c r="K755" s="14"/>
      <c r="L755" s="11"/>
      <c r="M755" s="15"/>
      <c r="N755" s="16"/>
      <c r="O755" s="16"/>
      <c r="P755" s="16"/>
      <c r="Q755" s="17"/>
      <c r="R755" s="17"/>
      <c r="S755" s="17"/>
      <c r="T755" s="17"/>
      <c r="U755" s="17"/>
      <c r="V755" s="17"/>
      <c r="W755" s="17"/>
      <c r="X755" s="17"/>
      <c r="Y755" s="17"/>
    </row>
    <row r="756" ht="18.75" customHeight="1">
      <c r="A756" s="9">
        <v>1909.0</v>
      </c>
      <c r="B756" s="15"/>
      <c r="C756" s="15"/>
      <c r="D756" s="15"/>
      <c r="E756" s="15"/>
      <c r="F756" s="15"/>
      <c r="G756" s="12"/>
      <c r="H756" s="13"/>
      <c r="I756" s="11"/>
      <c r="J756" s="11"/>
      <c r="K756" s="14"/>
      <c r="L756" s="11"/>
      <c r="M756" s="15"/>
      <c r="N756" s="16"/>
      <c r="O756" s="16"/>
      <c r="P756" s="16"/>
      <c r="Q756" s="17"/>
      <c r="R756" s="17"/>
      <c r="S756" s="17"/>
      <c r="T756" s="17"/>
      <c r="U756" s="17"/>
      <c r="V756" s="17"/>
      <c r="W756" s="17"/>
      <c r="X756" s="17"/>
      <c r="Y756" s="17"/>
    </row>
    <row r="757" ht="18.75" customHeight="1">
      <c r="A757" s="9">
        <v>1910.0</v>
      </c>
      <c r="B757" s="15"/>
      <c r="C757" s="15"/>
      <c r="D757" s="15"/>
      <c r="E757" s="15"/>
      <c r="F757" s="15"/>
      <c r="G757" s="12"/>
      <c r="H757" s="13"/>
      <c r="I757" s="11"/>
      <c r="J757" s="11"/>
      <c r="K757" s="14"/>
      <c r="L757" s="11"/>
      <c r="M757" s="15"/>
      <c r="N757" s="16"/>
      <c r="O757" s="16"/>
      <c r="P757" s="16"/>
      <c r="Q757" s="17"/>
      <c r="R757" s="17"/>
      <c r="S757" s="17"/>
      <c r="T757" s="17"/>
      <c r="U757" s="17"/>
      <c r="V757" s="17"/>
      <c r="W757" s="17"/>
      <c r="X757" s="17"/>
      <c r="Y757" s="17"/>
    </row>
    <row r="758" ht="18.75" customHeight="1">
      <c r="A758" s="9">
        <v>1911.0</v>
      </c>
      <c r="B758" s="15"/>
      <c r="C758" s="15"/>
      <c r="D758" s="15"/>
      <c r="E758" s="15"/>
      <c r="F758" s="15"/>
      <c r="G758" s="12"/>
      <c r="H758" s="13"/>
      <c r="I758" s="11"/>
      <c r="J758" s="11"/>
      <c r="K758" s="14"/>
      <c r="L758" s="11"/>
      <c r="M758" s="15"/>
      <c r="N758" s="16"/>
      <c r="O758" s="16"/>
      <c r="P758" s="16"/>
      <c r="Q758" s="17"/>
      <c r="R758" s="17"/>
      <c r="S758" s="17"/>
      <c r="T758" s="17"/>
      <c r="U758" s="17"/>
      <c r="V758" s="17"/>
      <c r="W758" s="17"/>
      <c r="X758" s="17"/>
      <c r="Y758" s="17"/>
    </row>
    <row r="759" ht="18.75" customHeight="1">
      <c r="A759" s="9">
        <v>1912.0</v>
      </c>
      <c r="B759" s="15"/>
      <c r="C759" s="15"/>
      <c r="D759" s="15"/>
      <c r="E759" s="15"/>
      <c r="F759" s="15"/>
      <c r="G759" s="12"/>
      <c r="H759" s="13"/>
      <c r="I759" s="11"/>
      <c r="J759" s="11"/>
      <c r="K759" s="14"/>
      <c r="L759" s="11"/>
      <c r="M759" s="15"/>
      <c r="N759" s="16"/>
      <c r="O759" s="16"/>
      <c r="P759" s="16"/>
      <c r="Q759" s="17"/>
      <c r="R759" s="17"/>
      <c r="S759" s="17"/>
      <c r="T759" s="17"/>
      <c r="U759" s="17"/>
      <c r="V759" s="17"/>
      <c r="W759" s="17"/>
      <c r="X759" s="17"/>
      <c r="Y759" s="17"/>
    </row>
    <row r="760" ht="18.75" customHeight="1">
      <c r="A760" s="9">
        <v>1913.0</v>
      </c>
      <c r="B760" s="15"/>
      <c r="C760" s="15"/>
      <c r="D760" s="15"/>
      <c r="E760" s="15"/>
      <c r="F760" s="15"/>
      <c r="G760" s="12"/>
      <c r="H760" s="13"/>
      <c r="I760" s="11"/>
      <c r="J760" s="11"/>
      <c r="K760" s="14"/>
      <c r="L760" s="11"/>
      <c r="M760" s="15"/>
      <c r="N760" s="16"/>
      <c r="O760" s="16"/>
      <c r="P760" s="16"/>
      <c r="Q760" s="17"/>
      <c r="R760" s="17"/>
      <c r="S760" s="17"/>
      <c r="T760" s="17"/>
      <c r="U760" s="17"/>
      <c r="V760" s="17"/>
      <c r="W760" s="17"/>
      <c r="X760" s="17"/>
      <c r="Y760" s="17"/>
    </row>
    <row r="761" ht="18.75" customHeight="1">
      <c r="A761" s="9">
        <v>1914.0</v>
      </c>
      <c r="B761" s="15"/>
      <c r="C761" s="15"/>
      <c r="D761" s="15"/>
      <c r="E761" s="15"/>
      <c r="F761" s="15"/>
      <c r="G761" s="12"/>
      <c r="H761" s="13"/>
      <c r="I761" s="11"/>
      <c r="J761" s="11"/>
      <c r="K761" s="14"/>
      <c r="L761" s="11"/>
      <c r="M761" s="15"/>
      <c r="N761" s="16"/>
      <c r="O761" s="16"/>
      <c r="P761" s="16"/>
      <c r="Q761" s="17"/>
      <c r="R761" s="17"/>
      <c r="S761" s="17"/>
      <c r="T761" s="17"/>
      <c r="U761" s="17"/>
      <c r="V761" s="17"/>
      <c r="W761" s="17"/>
      <c r="X761" s="17"/>
      <c r="Y761" s="17"/>
    </row>
    <row r="762" ht="18.75" customHeight="1">
      <c r="A762" s="9">
        <v>1915.0</v>
      </c>
      <c r="B762" s="15"/>
      <c r="C762" s="15"/>
      <c r="D762" s="15"/>
      <c r="E762" s="15"/>
      <c r="F762" s="15"/>
      <c r="G762" s="12"/>
      <c r="H762" s="13"/>
      <c r="I762" s="11"/>
      <c r="J762" s="11"/>
      <c r="K762" s="14"/>
      <c r="L762" s="11"/>
      <c r="M762" s="15"/>
      <c r="N762" s="16"/>
      <c r="O762" s="16"/>
      <c r="P762" s="16"/>
      <c r="Q762" s="17"/>
      <c r="R762" s="17"/>
      <c r="S762" s="17"/>
      <c r="T762" s="17"/>
      <c r="U762" s="17"/>
      <c r="V762" s="17"/>
      <c r="W762" s="17"/>
      <c r="X762" s="17"/>
      <c r="Y762" s="17"/>
    </row>
    <row r="763" ht="18.75" customHeight="1">
      <c r="A763" s="9">
        <v>1916.0</v>
      </c>
      <c r="B763" s="15"/>
      <c r="C763" s="15"/>
      <c r="D763" s="15"/>
      <c r="E763" s="15"/>
      <c r="F763" s="15"/>
      <c r="G763" s="12"/>
      <c r="H763" s="13"/>
      <c r="I763" s="11"/>
      <c r="J763" s="11"/>
      <c r="K763" s="14"/>
      <c r="L763" s="11"/>
      <c r="M763" s="15"/>
      <c r="N763" s="16"/>
      <c r="O763" s="16"/>
      <c r="P763" s="16"/>
      <c r="Q763" s="17"/>
      <c r="R763" s="17"/>
      <c r="S763" s="17"/>
      <c r="T763" s="17"/>
      <c r="U763" s="17"/>
      <c r="V763" s="17"/>
      <c r="W763" s="17"/>
      <c r="X763" s="17"/>
      <c r="Y763" s="17"/>
    </row>
    <row r="764" ht="18.75" customHeight="1">
      <c r="A764" s="9">
        <v>1917.0</v>
      </c>
      <c r="B764" s="15"/>
      <c r="C764" s="15"/>
      <c r="D764" s="15"/>
      <c r="E764" s="15"/>
      <c r="F764" s="15"/>
      <c r="G764" s="12"/>
      <c r="H764" s="13"/>
      <c r="I764" s="11"/>
      <c r="J764" s="11"/>
      <c r="K764" s="14"/>
      <c r="L764" s="11"/>
      <c r="M764" s="15"/>
      <c r="N764" s="16"/>
      <c r="O764" s="16"/>
      <c r="P764" s="16"/>
      <c r="Q764" s="17"/>
      <c r="R764" s="17"/>
      <c r="S764" s="17"/>
      <c r="T764" s="17"/>
      <c r="U764" s="17"/>
      <c r="V764" s="17"/>
      <c r="W764" s="17"/>
      <c r="X764" s="17"/>
      <c r="Y764" s="17"/>
    </row>
    <row r="765" ht="18.75" customHeight="1">
      <c r="A765" s="9">
        <v>1918.0</v>
      </c>
      <c r="B765" s="15"/>
      <c r="C765" s="15"/>
      <c r="D765" s="15"/>
      <c r="E765" s="15"/>
      <c r="F765" s="15"/>
      <c r="G765" s="12"/>
      <c r="H765" s="13"/>
      <c r="I765" s="11"/>
      <c r="J765" s="11"/>
      <c r="K765" s="14"/>
      <c r="L765" s="11"/>
      <c r="M765" s="15"/>
      <c r="N765" s="16"/>
      <c r="O765" s="16"/>
      <c r="P765" s="16"/>
      <c r="Q765" s="17"/>
      <c r="R765" s="17"/>
      <c r="S765" s="17"/>
      <c r="T765" s="17"/>
      <c r="U765" s="17"/>
      <c r="V765" s="17"/>
      <c r="W765" s="17"/>
      <c r="X765" s="17"/>
      <c r="Y765" s="17"/>
    </row>
    <row r="766" ht="18.75" customHeight="1">
      <c r="A766" s="9">
        <v>1919.0</v>
      </c>
      <c r="B766" s="15"/>
      <c r="C766" s="15"/>
      <c r="D766" s="15"/>
      <c r="E766" s="15"/>
      <c r="F766" s="15"/>
      <c r="G766" s="12"/>
      <c r="H766" s="13"/>
      <c r="I766" s="11"/>
      <c r="J766" s="11"/>
      <c r="K766" s="14"/>
      <c r="L766" s="11"/>
      <c r="M766" s="15"/>
      <c r="N766" s="16"/>
      <c r="O766" s="16"/>
      <c r="P766" s="16"/>
      <c r="Q766" s="17"/>
      <c r="R766" s="17"/>
      <c r="S766" s="17"/>
      <c r="T766" s="17"/>
      <c r="U766" s="17"/>
      <c r="V766" s="17"/>
      <c r="W766" s="17"/>
      <c r="X766" s="17"/>
      <c r="Y766" s="17"/>
    </row>
    <row r="767" ht="18.75" customHeight="1">
      <c r="A767" s="9">
        <v>1920.0</v>
      </c>
      <c r="B767" s="15"/>
      <c r="C767" s="15"/>
      <c r="D767" s="15"/>
      <c r="E767" s="15"/>
      <c r="F767" s="15"/>
      <c r="G767" s="12"/>
      <c r="H767" s="13"/>
      <c r="I767" s="11"/>
      <c r="J767" s="11"/>
      <c r="K767" s="14"/>
      <c r="L767" s="11"/>
      <c r="M767" s="15"/>
      <c r="N767" s="16"/>
      <c r="O767" s="16"/>
      <c r="P767" s="16"/>
      <c r="Q767" s="17"/>
      <c r="R767" s="17"/>
      <c r="S767" s="17"/>
      <c r="T767" s="17"/>
      <c r="U767" s="17"/>
      <c r="V767" s="17"/>
      <c r="W767" s="17"/>
      <c r="X767" s="17"/>
      <c r="Y767" s="17"/>
    </row>
    <row r="768" ht="18.75" customHeight="1">
      <c r="A768" s="9">
        <v>1921.0</v>
      </c>
      <c r="B768" s="15"/>
      <c r="C768" s="15"/>
      <c r="D768" s="15"/>
      <c r="E768" s="15"/>
      <c r="F768" s="15"/>
      <c r="G768" s="12"/>
      <c r="H768" s="13"/>
      <c r="I768" s="11"/>
      <c r="J768" s="11"/>
      <c r="K768" s="14"/>
      <c r="L768" s="11"/>
      <c r="M768" s="15"/>
      <c r="N768" s="16"/>
      <c r="O768" s="16"/>
      <c r="P768" s="16"/>
      <c r="Q768" s="17"/>
      <c r="R768" s="17"/>
      <c r="S768" s="17"/>
      <c r="T768" s="17"/>
      <c r="U768" s="17"/>
      <c r="V768" s="17"/>
      <c r="W768" s="17"/>
      <c r="X768" s="17"/>
      <c r="Y768" s="17"/>
    </row>
    <row r="769" ht="18.75" customHeight="1">
      <c r="A769" s="9">
        <v>1922.0</v>
      </c>
      <c r="B769" s="15"/>
      <c r="C769" s="15"/>
      <c r="D769" s="15"/>
      <c r="E769" s="15"/>
      <c r="F769" s="15"/>
      <c r="G769" s="12"/>
      <c r="H769" s="13"/>
      <c r="I769" s="11"/>
      <c r="J769" s="11"/>
      <c r="K769" s="14"/>
      <c r="L769" s="11"/>
      <c r="M769" s="15"/>
      <c r="N769" s="16"/>
      <c r="O769" s="16"/>
      <c r="P769" s="16"/>
      <c r="Q769" s="17"/>
      <c r="R769" s="17"/>
      <c r="S769" s="17"/>
      <c r="T769" s="17"/>
      <c r="U769" s="17"/>
      <c r="V769" s="17"/>
      <c r="W769" s="17"/>
      <c r="X769" s="17"/>
      <c r="Y769" s="17"/>
    </row>
    <row r="770" ht="18.75" customHeight="1">
      <c r="A770" s="9">
        <v>1923.0</v>
      </c>
      <c r="B770" s="15"/>
      <c r="C770" s="15"/>
      <c r="D770" s="15"/>
      <c r="E770" s="15"/>
      <c r="F770" s="15"/>
      <c r="G770" s="12"/>
      <c r="H770" s="13"/>
      <c r="I770" s="11"/>
      <c r="J770" s="11"/>
      <c r="K770" s="14"/>
      <c r="L770" s="11"/>
      <c r="M770" s="15"/>
      <c r="N770" s="16"/>
      <c r="O770" s="16"/>
      <c r="P770" s="16"/>
      <c r="Q770" s="17"/>
      <c r="R770" s="17"/>
      <c r="S770" s="17"/>
      <c r="T770" s="17"/>
      <c r="U770" s="17"/>
      <c r="V770" s="17"/>
      <c r="W770" s="17"/>
      <c r="X770" s="17"/>
      <c r="Y770" s="17"/>
    </row>
    <row r="771" ht="18.75" customHeight="1">
      <c r="A771" s="9">
        <v>1924.0</v>
      </c>
      <c r="B771" s="15"/>
      <c r="C771" s="15"/>
      <c r="D771" s="15"/>
      <c r="E771" s="15"/>
      <c r="F771" s="15"/>
      <c r="G771" s="12"/>
      <c r="H771" s="13"/>
      <c r="I771" s="11"/>
      <c r="J771" s="11"/>
      <c r="K771" s="14"/>
      <c r="L771" s="11"/>
      <c r="M771" s="15"/>
      <c r="N771" s="16"/>
      <c r="O771" s="16"/>
      <c r="P771" s="16"/>
      <c r="Q771" s="17"/>
      <c r="R771" s="17"/>
      <c r="S771" s="17"/>
      <c r="T771" s="17"/>
      <c r="U771" s="17"/>
      <c r="V771" s="17"/>
      <c r="W771" s="17"/>
      <c r="X771" s="17"/>
      <c r="Y771" s="17"/>
    </row>
    <row r="772" ht="18.75" customHeight="1">
      <c r="A772" s="9">
        <v>1925.0</v>
      </c>
      <c r="B772" s="15"/>
      <c r="C772" s="15"/>
      <c r="D772" s="15"/>
      <c r="E772" s="15"/>
      <c r="F772" s="15"/>
      <c r="G772" s="12"/>
      <c r="H772" s="13"/>
      <c r="I772" s="11"/>
      <c r="J772" s="11"/>
      <c r="K772" s="14"/>
      <c r="L772" s="11"/>
      <c r="M772" s="15"/>
      <c r="N772" s="16"/>
      <c r="O772" s="16"/>
      <c r="P772" s="16"/>
      <c r="Q772" s="17"/>
      <c r="R772" s="17"/>
      <c r="S772" s="17"/>
      <c r="T772" s="17"/>
      <c r="U772" s="17"/>
      <c r="V772" s="17"/>
      <c r="W772" s="17"/>
      <c r="X772" s="17"/>
      <c r="Y772" s="17"/>
    </row>
    <row r="773" ht="18.75" customHeight="1">
      <c r="A773" s="9">
        <v>1926.0</v>
      </c>
      <c r="B773" s="15"/>
      <c r="C773" s="15"/>
      <c r="D773" s="15"/>
      <c r="E773" s="15"/>
      <c r="F773" s="15"/>
      <c r="G773" s="12"/>
      <c r="H773" s="13"/>
      <c r="I773" s="11"/>
      <c r="J773" s="11"/>
      <c r="K773" s="14"/>
      <c r="L773" s="11"/>
      <c r="M773" s="15"/>
      <c r="N773" s="16"/>
      <c r="O773" s="16"/>
      <c r="P773" s="16"/>
      <c r="Q773" s="17"/>
      <c r="R773" s="17"/>
      <c r="S773" s="17"/>
      <c r="T773" s="17"/>
      <c r="U773" s="17"/>
      <c r="V773" s="17"/>
      <c r="W773" s="17"/>
      <c r="X773" s="17"/>
      <c r="Y773" s="17"/>
    </row>
    <row r="774" ht="18.75" customHeight="1">
      <c r="A774" s="9">
        <v>1927.0</v>
      </c>
      <c r="B774" s="15"/>
      <c r="C774" s="15"/>
      <c r="D774" s="15"/>
      <c r="E774" s="15"/>
      <c r="F774" s="15"/>
      <c r="G774" s="12"/>
      <c r="H774" s="13"/>
      <c r="I774" s="11"/>
      <c r="J774" s="11"/>
      <c r="K774" s="14"/>
      <c r="L774" s="11"/>
      <c r="M774" s="15"/>
      <c r="N774" s="16"/>
      <c r="O774" s="16"/>
      <c r="P774" s="16"/>
      <c r="Q774" s="17"/>
      <c r="R774" s="17"/>
      <c r="S774" s="17"/>
      <c r="T774" s="17"/>
      <c r="U774" s="17"/>
      <c r="V774" s="17"/>
      <c r="W774" s="17"/>
      <c r="X774" s="17"/>
      <c r="Y774" s="17"/>
    </row>
    <row r="775" ht="18.75" customHeight="1">
      <c r="A775" s="9">
        <v>1928.0</v>
      </c>
      <c r="B775" s="15"/>
      <c r="C775" s="15"/>
      <c r="D775" s="15"/>
      <c r="E775" s="15"/>
      <c r="F775" s="15"/>
      <c r="G775" s="12"/>
      <c r="H775" s="13"/>
      <c r="I775" s="11"/>
      <c r="J775" s="11"/>
      <c r="K775" s="14"/>
      <c r="L775" s="11"/>
      <c r="M775" s="15"/>
      <c r="N775" s="16"/>
      <c r="O775" s="16"/>
      <c r="P775" s="16"/>
      <c r="Q775" s="17"/>
      <c r="R775" s="17"/>
      <c r="S775" s="17"/>
      <c r="T775" s="17"/>
      <c r="U775" s="17"/>
      <c r="V775" s="17"/>
      <c r="W775" s="17"/>
      <c r="X775" s="17"/>
      <c r="Y775" s="17"/>
    </row>
    <row r="776" ht="18.75" customHeight="1">
      <c r="A776" s="9">
        <v>1929.0</v>
      </c>
      <c r="B776" s="15"/>
      <c r="C776" s="15"/>
      <c r="D776" s="15"/>
      <c r="E776" s="15"/>
      <c r="F776" s="15"/>
      <c r="G776" s="12"/>
      <c r="H776" s="13"/>
      <c r="I776" s="11"/>
      <c r="J776" s="11"/>
      <c r="K776" s="14"/>
      <c r="L776" s="11"/>
      <c r="M776" s="15"/>
      <c r="N776" s="16"/>
      <c r="O776" s="16"/>
      <c r="P776" s="16"/>
      <c r="Q776" s="17"/>
      <c r="R776" s="17"/>
      <c r="S776" s="17"/>
      <c r="T776" s="17"/>
      <c r="U776" s="17"/>
      <c r="V776" s="17"/>
      <c r="W776" s="17"/>
      <c r="X776" s="17"/>
      <c r="Y776" s="17"/>
    </row>
    <row r="777" ht="18.75" customHeight="1">
      <c r="A777" s="9">
        <v>1930.0</v>
      </c>
      <c r="B777" s="15"/>
      <c r="C777" s="15"/>
      <c r="D777" s="15"/>
      <c r="E777" s="15"/>
      <c r="F777" s="15"/>
      <c r="G777" s="12"/>
      <c r="H777" s="13"/>
      <c r="I777" s="11"/>
      <c r="J777" s="11"/>
      <c r="K777" s="14"/>
      <c r="L777" s="11"/>
      <c r="M777" s="15"/>
      <c r="N777" s="16"/>
      <c r="O777" s="16"/>
      <c r="P777" s="16"/>
      <c r="Q777" s="17"/>
      <c r="R777" s="17"/>
      <c r="S777" s="17"/>
      <c r="T777" s="17"/>
      <c r="U777" s="17"/>
      <c r="V777" s="17"/>
      <c r="W777" s="17"/>
      <c r="X777" s="17"/>
      <c r="Y777" s="17"/>
    </row>
    <row r="778" ht="18.75" customHeight="1">
      <c r="A778" s="9">
        <v>1931.0</v>
      </c>
      <c r="B778" s="15"/>
      <c r="C778" s="15"/>
      <c r="D778" s="15"/>
      <c r="E778" s="15"/>
      <c r="F778" s="15"/>
      <c r="G778" s="12"/>
      <c r="H778" s="13"/>
      <c r="I778" s="11"/>
      <c r="J778" s="11"/>
      <c r="K778" s="14"/>
      <c r="L778" s="11"/>
      <c r="M778" s="15"/>
      <c r="N778" s="16"/>
      <c r="O778" s="16"/>
      <c r="P778" s="16"/>
      <c r="Q778" s="17"/>
      <c r="R778" s="17"/>
      <c r="S778" s="17"/>
      <c r="T778" s="17"/>
      <c r="U778" s="17"/>
      <c r="V778" s="17"/>
      <c r="W778" s="17"/>
      <c r="X778" s="17"/>
      <c r="Y778" s="17"/>
    </row>
    <row r="779" ht="18.75" customHeight="1">
      <c r="A779" s="9">
        <v>1932.0</v>
      </c>
      <c r="B779" s="15"/>
      <c r="C779" s="15"/>
      <c r="D779" s="15"/>
      <c r="E779" s="15"/>
      <c r="F779" s="15"/>
      <c r="G779" s="12"/>
      <c r="H779" s="13"/>
      <c r="I779" s="11"/>
      <c r="J779" s="11"/>
      <c r="K779" s="14"/>
      <c r="L779" s="11"/>
      <c r="M779" s="15"/>
      <c r="N779" s="16"/>
      <c r="O779" s="16"/>
      <c r="P779" s="16"/>
      <c r="Q779" s="17"/>
      <c r="R779" s="17"/>
      <c r="S779" s="17"/>
      <c r="T779" s="17"/>
      <c r="U779" s="17"/>
      <c r="V779" s="17"/>
      <c r="W779" s="17"/>
      <c r="X779" s="17"/>
      <c r="Y779" s="17"/>
    </row>
    <row r="780" ht="18.75" customHeight="1">
      <c r="A780" s="9">
        <v>1933.0</v>
      </c>
      <c r="B780" s="15"/>
      <c r="C780" s="15"/>
      <c r="D780" s="15"/>
      <c r="E780" s="15"/>
      <c r="F780" s="15"/>
      <c r="G780" s="12"/>
      <c r="H780" s="13"/>
      <c r="I780" s="11"/>
      <c r="J780" s="11"/>
      <c r="K780" s="14"/>
      <c r="L780" s="11"/>
      <c r="M780" s="15"/>
      <c r="N780" s="16"/>
      <c r="O780" s="16"/>
      <c r="P780" s="16"/>
      <c r="Q780" s="17"/>
      <c r="R780" s="17"/>
      <c r="S780" s="17"/>
      <c r="T780" s="17"/>
      <c r="U780" s="17"/>
      <c r="V780" s="17"/>
      <c r="W780" s="17"/>
      <c r="X780" s="17"/>
      <c r="Y780" s="17"/>
    </row>
    <row r="781" ht="18.75" customHeight="1">
      <c r="A781" s="9">
        <v>1934.0</v>
      </c>
      <c r="B781" s="15"/>
      <c r="C781" s="15"/>
      <c r="D781" s="15"/>
      <c r="E781" s="15"/>
      <c r="F781" s="15"/>
      <c r="G781" s="12"/>
      <c r="H781" s="13"/>
      <c r="I781" s="11"/>
      <c r="J781" s="11"/>
      <c r="K781" s="14"/>
      <c r="L781" s="11"/>
      <c r="M781" s="15"/>
      <c r="N781" s="16"/>
      <c r="O781" s="16"/>
      <c r="P781" s="16"/>
      <c r="Q781" s="17"/>
      <c r="R781" s="17"/>
      <c r="S781" s="17"/>
      <c r="T781" s="17"/>
      <c r="U781" s="17"/>
      <c r="V781" s="17"/>
      <c r="W781" s="17"/>
      <c r="X781" s="17"/>
      <c r="Y781" s="17"/>
    </row>
    <row r="782" ht="18.75" customHeight="1">
      <c r="A782" s="9">
        <v>1935.0</v>
      </c>
      <c r="B782" s="15"/>
      <c r="C782" s="15"/>
      <c r="D782" s="15"/>
      <c r="E782" s="15"/>
      <c r="F782" s="15"/>
      <c r="G782" s="12"/>
      <c r="H782" s="13"/>
      <c r="I782" s="11"/>
      <c r="J782" s="11"/>
      <c r="K782" s="14"/>
      <c r="L782" s="11"/>
      <c r="M782" s="15"/>
      <c r="N782" s="16"/>
      <c r="O782" s="16"/>
      <c r="P782" s="16"/>
      <c r="Q782" s="17"/>
      <c r="R782" s="17"/>
      <c r="S782" s="17"/>
      <c r="T782" s="17"/>
      <c r="U782" s="17"/>
      <c r="V782" s="17"/>
      <c r="W782" s="17"/>
      <c r="X782" s="17"/>
      <c r="Y782" s="17"/>
    </row>
    <row r="783" ht="18.75" customHeight="1">
      <c r="A783" s="9">
        <v>1936.0</v>
      </c>
      <c r="B783" s="15"/>
      <c r="C783" s="15"/>
      <c r="D783" s="15"/>
      <c r="E783" s="15"/>
      <c r="F783" s="15"/>
      <c r="G783" s="12"/>
      <c r="H783" s="13"/>
      <c r="I783" s="11"/>
      <c r="J783" s="11"/>
      <c r="K783" s="14"/>
      <c r="L783" s="11"/>
      <c r="M783" s="15"/>
      <c r="N783" s="16"/>
      <c r="O783" s="16"/>
      <c r="P783" s="16"/>
      <c r="Q783" s="17"/>
      <c r="R783" s="17"/>
      <c r="S783" s="17"/>
      <c r="T783" s="17"/>
      <c r="U783" s="17"/>
      <c r="V783" s="17"/>
      <c r="W783" s="17"/>
      <c r="X783" s="17"/>
      <c r="Y783" s="17"/>
    </row>
    <row r="784" ht="18.75" customHeight="1">
      <c r="A784" s="9">
        <v>1937.0</v>
      </c>
      <c r="B784" s="15"/>
      <c r="C784" s="15"/>
      <c r="D784" s="15"/>
      <c r="E784" s="15"/>
      <c r="F784" s="15"/>
      <c r="G784" s="12"/>
      <c r="H784" s="13"/>
      <c r="I784" s="11"/>
      <c r="J784" s="11"/>
      <c r="K784" s="14"/>
      <c r="L784" s="11"/>
      <c r="M784" s="15"/>
      <c r="N784" s="16"/>
      <c r="O784" s="16"/>
      <c r="P784" s="16"/>
      <c r="Q784" s="17"/>
      <c r="R784" s="17"/>
      <c r="S784" s="17"/>
      <c r="T784" s="17"/>
      <c r="U784" s="17"/>
      <c r="V784" s="17"/>
      <c r="W784" s="17"/>
      <c r="X784" s="17"/>
      <c r="Y784" s="17"/>
    </row>
    <row r="785" ht="18.75" customHeight="1">
      <c r="A785" s="9">
        <v>1938.0</v>
      </c>
      <c r="B785" s="15"/>
      <c r="C785" s="15"/>
      <c r="D785" s="15"/>
      <c r="E785" s="15"/>
      <c r="F785" s="15"/>
      <c r="G785" s="12"/>
      <c r="H785" s="13"/>
      <c r="I785" s="11"/>
      <c r="J785" s="11"/>
      <c r="K785" s="14"/>
      <c r="L785" s="11"/>
      <c r="M785" s="15"/>
      <c r="N785" s="16"/>
      <c r="O785" s="16"/>
      <c r="P785" s="16"/>
      <c r="Q785" s="17"/>
      <c r="R785" s="17"/>
      <c r="S785" s="17"/>
      <c r="T785" s="17"/>
      <c r="U785" s="17"/>
      <c r="V785" s="17"/>
      <c r="W785" s="17"/>
      <c r="X785" s="17"/>
      <c r="Y785" s="17"/>
    </row>
    <row r="786" ht="18.75" customHeight="1">
      <c r="A786" s="9">
        <v>1939.0</v>
      </c>
      <c r="B786" s="15"/>
      <c r="C786" s="15"/>
      <c r="D786" s="15"/>
      <c r="E786" s="15"/>
      <c r="F786" s="15"/>
      <c r="G786" s="12"/>
      <c r="H786" s="13"/>
      <c r="I786" s="11"/>
      <c r="J786" s="11"/>
      <c r="K786" s="14"/>
      <c r="L786" s="11"/>
      <c r="M786" s="15"/>
      <c r="N786" s="16"/>
      <c r="O786" s="16"/>
      <c r="P786" s="16"/>
      <c r="Q786" s="17"/>
      <c r="R786" s="17"/>
      <c r="S786" s="17"/>
      <c r="T786" s="17"/>
      <c r="U786" s="17"/>
      <c r="V786" s="17"/>
      <c r="W786" s="17"/>
      <c r="X786" s="17"/>
      <c r="Y786" s="17"/>
    </row>
    <row r="787" ht="18.75" customHeight="1">
      <c r="A787" s="9">
        <v>1940.0</v>
      </c>
      <c r="B787" s="15"/>
      <c r="C787" s="15"/>
      <c r="D787" s="15"/>
      <c r="E787" s="15"/>
      <c r="F787" s="15"/>
      <c r="G787" s="12"/>
      <c r="H787" s="13"/>
      <c r="I787" s="11"/>
      <c r="J787" s="11"/>
      <c r="K787" s="14"/>
      <c r="L787" s="11"/>
      <c r="M787" s="15"/>
      <c r="N787" s="16"/>
      <c r="O787" s="16"/>
      <c r="P787" s="16"/>
      <c r="Q787" s="17"/>
      <c r="R787" s="17"/>
      <c r="S787" s="17"/>
      <c r="T787" s="17"/>
      <c r="U787" s="17"/>
      <c r="V787" s="17"/>
      <c r="W787" s="17"/>
      <c r="X787" s="17"/>
      <c r="Y787" s="17"/>
    </row>
    <row r="788" ht="18.75" customHeight="1">
      <c r="A788" s="9">
        <v>1941.0</v>
      </c>
      <c r="B788" s="15"/>
      <c r="C788" s="15"/>
      <c r="D788" s="15"/>
      <c r="E788" s="15"/>
      <c r="F788" s="15"/>
      <c r="G788" s="12"/>
      <c r="H788" s="13"/>
      <c r="I788" s="11"/>
      <c r="J788" s="11"/>
      <c r="K788" s="14"/>
      <c r="L788" s="11"/>
      <c r="M788" s="15"/>
      <c r="N788" s="16"/>
      <c r="O788" s="16"/>
      <c r="P788" s="16"/>
      <c r="Q788" s="17"/>
      <c r="R788" s="17"/>
      <c r="S788" s="17"/>
      <c r="T788" s="17"/>
      <c r="U788" s="17"/>
      <c r="V788" s="17"/>
      <c r="W788" s="17"/>
      <c r="X788" s="17"/>
      <c r="Y788" s="17"/>
    </row>
    <row r="789" ht="18.75" customHeight="1">
      <c r="A789" s="9">
        <v>1942.0</v>
      </c>
      <c r="B789" s="15"/>
      <c r="C789" s="15"/>
      <c r="D789" s="15"/>
      <c r="E789" s="15"/>
      <c r="F789" s="15"/>
      <c r="G789" s="12"/>
      <c r="H789" s="13"/>
      <c r="I789" s="11"/>
      <c r="J789" s="11"/>
      <c r="K789" s="14"/>
      <c r="L789" s="11"/>
      <c r="M789" s="15"/>
      <c r="N789" s="16"/>
      <c r="O789" s="16"/>
      <c r="P789" s="16"/>
      <c r="Q789" s="17"/>
      <c r="R789" s="17"/>
      <c r="S789" s="17"/>
      <c r="T789" s="17"/>
      <c r="U789" s="17"/>
      <c r="V789" s="17"/>
      <c r="W789" s="17"/>
      <c r="X789" s="17"/>
      <c r="Y789" s="17"/>
    </row>
    <row r="790" ht="18.75" customHeight="1">
      <c r="A790" s="9">
        <v>1943.0</v>
      </c>
      <c r="B790" s="15"/>
      <c r="C790" s="15"/>
      <c r="D790" s="15"/>
      <c r="E790" s="15"/>
      <c r="F790" s="15"/>
      <c r="G790" s="12"/>
      <c r="H790" s="13"/>
      <c r="I790" s="11"/>
      <c r="J790" s="11"/>
      <c r="K790" s="14"/>
      <c r="L790" s="11"/>
      <c r="M790" s="15"/>
      <c r="N790" s="16"/>
      <c r="O790" s="16"/>
      <c r="P790" s="16"/>
      <c r="Q790" s="17"/>
      <c r="R790" s="17"/>
      <c r="S790" s="17"/>
      <c r="T790" s="17"/>
      <c r="U790" s="17"/>
      <c r="V790" s="17"/>
      <c r="W790" s="17"/>
      <c r="X790" s="17"/>
      <c r="Y790" s="17"/>
    </row>
    <row r="791" ht="18.75" customHeight="1">
      <c r="A791" s="9">
        <v>1944.0</v>
      </c>
      <c r="B791" s="15"/>
      <c r="C791" s="15"/>
      <c r="D791" s="15"/>
      <c r="E791" s="15"/>
      <c r="F791" s="15"/>
      <c r="G791" s="12"/>
      <c r="H791" s="13"/>
      <c r="I791" s="11"/>
      <c r="J791" s="11"/>
      <c r="K791" s="14"/>
      <c r="L791" s="11"/>
      <c r="M791" s="15"/>
      <c r="N791" s="16"/>
      <c r="O791" s="16"/>
      <c r="P791" s="16"/>
      <c r="Q791" s="17"/>
      <c r="R791" s="17"/>
      <c r="S791" s="17"/>
      <c r="T791" s="17"/>
      <c r="U791" s="17"/>
      <c r="V791" s="17"/>
      <c r="W791" s="17"/>
      <c r="X791" s="17"/>
      <c r="Y791" s="17"/>
    </row>
    <row r="792" ht="18.75" customHeight="1">
      <c r="A792" s="9">
        <v>1945.0</v>
      </c>
      <c r="B792" s="15"/>
      <c r="C792" s="15"/>
      <c r="D792" s="15"/>
      <c r="E792" s="15"/>
      <c r="F792" s="15"/>
      <c r="G792" s="12"/>
      <c r="H792" s="13"/>
      <c r="I792" s="11"/>
      <c r="J792" s="11"/>
      <c r="K792" s="14"/>
      <c r="L792" s="11"/>
      <c r="M792" s="15"/>
      <c r="N792" s="16"/>
      <c r="O792" s="16"/>
      <c r="P792" s="16"/>
      <c r="Q792" s="17"/>
      <c r="R792" s="17"/>
      <c r="S792" s="17"/>
      <c r="T792" s="17"/>
      <c r="U792" s="17"/>
      <c r="V792" s="17"/>
      <c r="W792" s="17"/>
      <c r="X792" s="17"/>
      <c r="Y792" s="17"/>
    </row>
    <row r="793" ht="18.75" customHeight="1">
      <c r="A793" s="9">
        <v>1946.0</v>
      </c>
      <c r="B793" s="15"/>
      <c r="C793" s="15"/>
      <c r="D793" s="15"/>
      <c r="E793" s="15"/>
      <c r="F793" s="15"/>
      <c r="G793" s="12"/>
      <c r="H793" s="13"/>
      <c r="I793" s="11"/>
      <c r="J793" s="11"/>
      <c r="K793" s="14"/>
      <c r="L793" s="11"/>
      <c r="M793" s="15"/>
      <c r="N793" s="16"/>
      <c r="O793" s="16"/>
      <c r="P793" s="16"/>
      <c r="Q793" s="17"/>
      <c r="R793" s="17"/>
      <c r="S793" s="17"/>
      <c r="T793" s="17"/>
      <c r="U793" s="17"/>
      <c r="V793" s="17"/>
      <c r="W793" s="17"/>
      <c r="X793" s="17"/>
      <c r="Y793" s="17"/>
    </row>
    <row r="794" ht="18.75" customHeight="1">
      <c r="A794" s="9">
        <v>1947.0</v>
      </c>
      <c r="B794" s="15"/>
      <c r="C794" s="15"/>
      <c r="D794" s="15"/>
      <c r="E794" s="15"/>
      <c r="F794" s="15"/>
      <c r="G794" s="12"/>
      <c r="H794" s="13"/>
      <c r="I794" s="11"/>
      <c r="J794" s="11"/>
      <c r="K794" s="14"/>
      <c r="L794" s="11"/>
      <c r="M794" s="15"/>
      <c r="N794" s="16"/>
      <c r="O794" s="16"/>
      <c r="P794" s="16"/>
      <c r="Q794" s="17"/>
      <c r="R794" s="17"/>
      <c r="S794" s="17"/>
      <c r="T794" s="17"/>
      <c r="U794" s="17"/>
      <c r="V794" s="17"/>
      <c r="W794" s="17"/>
      <c r="X794" s="17"/>
      <c r="Y794" s="17"/>
    </row>
    <row r="795" ht="18.75" customHeight="1">
      <c r="A795" s="9">
        <v>1948.0</v>
      </c>
      <c r="B795" s="15"/>
      <c r="C795" s="15"/>
      <c r="D795" s="15"/>
      <c r="E795" s="15"/>
      <c r="F795" s="15"/>
      <c r="G795" s="12"/>
      <c r="H795" s="13"/>
      <c r="I795" s="11"/>
      <c r="J795" s="11"/>
      <c r="K795" s="14"/>
      <c r="L795" s="11"/>
      <c r="M795" s="15"/>
      <c r="N795" s="16"/>
      <c r="O795" s="16"/>
      <c r="P795" s="16"/>
      <c r="Q795" s="17"/>
      <c r="R795" s="17"/>
      <c r="S795" s="17"/>
      <c r="T795" s="17"/>
      <c r="U795" s="17"/>
      <c r="V795" s="17"/>
      <c r="W795" s="17"/>
      <c r="X795" s="17"/>
      <c r="Y795" s="17"/>
    </row>
    <row r="796" ht="18.75" customHeight="1">
      <c r="A796" s="9">
        <v>1949.0</v>
      </c>
      <c r="B796" s="15"/>
      <c r="C796" s="15"/>
      <c r="D796" s="15"/>
      <c r="E796" s="15"/>
      <c r="F796" s="15"/>
      <c r="G796" s="12"/>
      <c r="H796" s="13"/>
      <c r="I796" s="11"/>
      <c r="J796" s="11"/>
      <c r="K796" s="14"/>
      <c r="L796" s="11"/>
      <c r="M796" s="15"/>
      <c r="N796" s="16"/>
      <c r="O796" s="16"/>
      <c r="P796" s="16"/>
      <c r="Q796" s="17"/>
      <c r="R796" s="17"/>
      <c r="S796" s="17"/>
      <c r="T796" s="17"/>
      <c r="U796" s="17"/>
      <c r="V796" s="17"/>
      <c r="W796" s="17"/>
      <c r="X796" s="17"/>
      <c r="Y796" s="17"/>
    </row>
    <row r="797" ht="18.75" customHeight="1">
      <c r="A797" s="9">
        <v>1950.0</v>
      </c>
      <c r="B797" s="15"/>
      <c r="C797" s="15"/>
      <c r="D797" s="15"/>
      <c r="E797" s="15"/>
      <c r="F797" s="15"/>
      <c r="G797" s="12"/>
      <c r="H797" s="13"/>
      <c r="I797" s="11"/>
      <c r="J797" s="11"/>
      <c r="K797" s="14"/>
      <c r="L797" s="11"/>
      <c r="M797" s="15"/>
      <c r="N797" s="16"/>
      <c r="O797" s="16"/>
      <c r="P797" s="16"/>
      <c r="Q797" s="17"/>
      <c r="R797" s="17"/>
      <c r="S797" s="17"/>
      <c r="T797" s="17"/>
      <c r="U797" s="17"/>
      <c r="V797" s="17"/>
      <c r="W797" s="17"/>
      <c r="X797" s="17"/>
      <c r="Y797" s="17"/>
    </row>
    <row r="798" ht="18.75" customHeight="1">
      <c r="A798" s="9">
        <v>1951.0</v>
      </c>
      <c r="B798" s="15"/>
      <c r="C798" s="15"/>
      <c r="D798" s="15"/>
      <c r="E798" s="15"/>
      <c r="F798" s="15"/>
      <c r="G798" s="12"/>
      <c r="H798" s="13"/>
      <c r="I798" s="11"/>
      <c r="J798" s="11"/>
      <c r="K798" s="14"/>
      <c r="L798" s="11"/>
      <c r="M798" s="15"/>
      <c r="N798" s="16"/>
      <c r="O798" s="16"/>
      <c r="P798" s="16"/>
      <c r="Q798" s="17"/>
      <c r="R798" s="17"/>
      <c r="S798" s="17"/>
      <c r="T798" s="17"/>
      <c r="U798" s="17"/>
      <c r="V798" s="17"/>
      <c r="W798" s="17"/>
      <c r="X798" s="17"/>
      <c r="Y798" s="17"/>
    </row>
    <row r="799" ht="18.75" customHeight="1">
      <c r="A799" s="9">
        <v>1952.0</v>
      </c>
      <c r="B799" s="15"/>
      <c r="C799" s="15"/>
      <c r="D799" s="15"/>
      <c r="E799" s="15"/>
      <c r="F799" s="15"/>
      <c r="G799" s="12"/>
      <c r="H799" s="13"/>
      <c r="I799" s="11"/>
      <c r="J799" s="11"/>
      <c r="K799" s="14"/>
      <c r="L799" s="11"/>
      <c r="M799" s="15"/>
      <c r="N799" s="16"/>
      <c r="O799" s="16"/>
      <c r="P799" s="16"/>
      <c r="Q799" s="17"/>
      <c r="R799" s="17"/>
      <c r="S799" s="17"/>
      <c r="T799" s="17"/>
      <c r="U799" s="17"/>
      <c r="V799" s="17"/>
      <c r="W799" s="17"/>
      <c r="X799" s="17"/>
      <c r="Y799" s="17"/>
    </row>
    <row r="800" ht="18.75" customHeight="1">
      <c r="A800" s="9">
        <v>1953.0</v>
      </c>
      <c r="B800" s="15"/>
      <c r="C800" s="15"/>
      <c r="D800" s="15"/>
      <c r="E800" s="15"/>
      <c r="F800" s="15"/>
      <c r="G800" s="12"/>
      <c r="H800" s="13"/>
      <c r="I800" s="11"/>
      <c r="J800" s="11"/>
      <c r="K800" s="14"/>
      <c r="L800" s="11"/>
      <c r="M800" s="15"/>
      <c r="N800" s="16"/>
      <c r="O800" s="16"/>
      <c r="P800" s="16"/>
      <c r="Q800" s="17"/>
      <c r="R800" s="17"/>
      <c r="S800" s="17"/>
      <c r="T800" s="17"/>
      <c r="U800" s="17"/>
      <c r="V800" s="17"/>
      <c r="W800" s="17"/>
      <c r="X800" s="17"/>
      <c r="Y800" s="17"/>
    </row>
    <row r="801" ht="18.75" customHeight="1">
      <c r="A801" s="9">
        <v>1954.0</v>
      </c>
      <c r="B801" s="15"/>
      <c r="C801" s="15"/>
      <c r="D801" s="15"/>
      <c r="E801" s="15"/>
      <c r="F801" s="15"/>
      <c r="G801" s="12"/>
      <c r="H801" s="13"/>
      <c r="I801" s="11"/>
      <c r="J801" s="11"/>
      <c r="K801" s="14"/>
      <c r="L801" s="11"/>
      <c r="M801" s="15"/>
      <c r="N801" s="16"/>
      <c r="O801" s="16"/>
      <c r="P801" s="16"/>
      <c r="Q801" s="17"/>
      <c r="R801" s="17"/>
      <c r="S801" s="17"/>
      <c r="T801" s="17"/>
      <c r="U801" s="17"/>
      <c r="V801" s="17"/>
      <c r="W801" s="17"/>
      <c r="X801" s="17"/>
      <c r="Y801" s="17"/>
    </row>
    <row r="802" ht="18.75" customHeight="1">
      <c r="A802" s="9">
        <v>1955.0</v>
      </c>
      <c r="B802" s="15"/>
      <c r="C802" s="15"/>
      <c r="D802" s="15"/>
      <c r="E802" s="15"/>
      <c r="F802" s="15"/>
      <c r="G802" s="12"/>
      <c r="H802" s="13"/>
      <c r="I802" s="11"/>
      <c r="J802" s="11"/>
      <c r="K802" s="14"/>
      <c r="L802" s="11"/>
      <c r="M802" s="15"/>
      <c r="N802" s="16"/>
      <c r="O802" s="16"/>
      <c r="P802" s="16"/>
      <c r="Q802" s="17"/>
      <c r="R802" s="17"/>
      <c r="S802" s="17"/>
      <c r="T802" s="17"/>
      <c r="U802" s="17"/>
      <c r="V802" s="17"/>
      <c r="W802" s="17"/>
      <c r="X802" s="17"/>
      <c r="Y802" s="17"/>
    </row>
    <row r="803" ht="18.75" customHeight="1">
      <c r="A803" s="9">
        <v>1956.0</v>
      </c>
      <c r="B803" s="15"/>
      <c r="C803" s="15"/>
      <c r="D803" s="15"/>
      <c r="E803" s="15"/>
      <c r="F803" s="15"/>
      <c r="G803" s="12"/>
      <c r="H803" s="13"/>
      <c r="I803" s="11"/>
      <c r="J803" s="11"/>
      <c r="K803" s="14"/>
      <c r="L803" s="11"/>
      <c r="M803" s="15"/>
      <c r="N803" s="16"/>
      <c r="O803" s="16"/>
      <c r="P803" s="16"/>
      <c r="Q803" s="17"/>
      <c r="R803" s="17"/>
      <c r="S803" s="17"/>
      <c r="T803" s="17"/>
      <c r="U803" s="17"/>
      <c r="V803" s="17"/>
      <c r="W803" s="17"/>
      <c r="X803" s="17"/>
      <c r="Y803" s="17"/>
    </row>
    <row r="804" ht="18.75" customHeight="1">
      <c r="A804" s="9">
        <v>1957.0</v>
      </c>
      <c r="B804" s="15"/>
      <c r="C804" s="15"/>
      <c r="D804" s="15"/>
      <c r="E804" s="15"/>
      <c r="F804" s="15"/>
      <c r="G804" s="12"/>
      <c r="H804" s="13"/>
      <c r="I804" s="11"/>
      <c r="J804" s="11"/>
      <c r="K804" s="14"/>
      <c r="L804" s="11"/>
      <c r="M804" s="15"/>
      <c r="N804" s="16"/>
      <c r="O804" s="16"/>
      <c r="P804" s="16"/>
      <c r="Q804" s="17"/>
      <c r="R804" s="17"/>
      <c r="S804" s="17"/>
      <c r="T804" s="17"/>
      <c r="U804" s="17"/>
      <c r="V804" s="17"/>
      <c r="W804" s="17"/>
      <c r="X804" s="17"/>
      <c r="Y804" s="17"/>
    </row>
    <row r="805" ht="18.75" customHeight="1">
      <c r="A805" s="9">
        <v>1958.0</v>
      </c>
      <c r="B805" s="15"/>
      <c r="C805" s="15"/>
      <c r="D805" s="15"/>
      <c r="E805" s="15"/>
      <c r="F805" s="15"/>
      <c r="G805" s="12"/>
      <c r="H805" s="13"/>
      <c r="I805" s="11"/>
      <c r="J805" s="11"/>
      <c r="K805" s="14"/>
      <c r="L805" s="11"/>
      <c r="M805" s="15"/>
      <c r="N805" s="16"/>
      <c r="O805" s="16"/>
      <c r="P805" s="16"/>
      <c r="Q805" s="17"/>
      <c r="R805" s="17"/>
      <c r="S805" s="17"/>
      <c r="T805" s="17"/>
      <c r="U805" s="17"/>
      <c r="V805" s="17"/>
      <c r="W805" s="17"/>
      <c r="X805" s="17"/>
      <c r="Y805" s="17"/>
    </row>
    <row r="806" ht="18.75" customHeight="1">
      <c r="A806" s="9">
        <v>1959.0</v>
      </c>
      <c r="B806" s="15"/>
      <c r="C806" s="15"/>
      <c r="D806" s="15"/>
      <c r="E806" s="15"/>
      <c r="F806" s="15"/>
      <c r="G806" s="12"/>
      <c r="H806" s="13"/>
      <c r="I806" s="11"/>
      <c r="J806" s="11"/>
      <c r="K806" s="14"/>
      <c r="L806" s="11"/>
      <c r="M806" s="15"/>
      <c r="N806" s="16"/>
      <c r="O806" s="16"/>
      <c r="P806" s="16"/>
      <c r="Q806" s="17"/>
      <c r="R806" s="17"/>
      <c r="S806" s="17"/>
      <c r="T806" s="17"/>
      <c r="U806" s="17"/>
      <c r="V806" s="17"/>
      <c r="W806" s="17"/>
      <c r="X806" s="17"/>
      <c r="Y806" s="17"/>
    </row>
    <row r="807" ht="18.75" customHeight="1">
      <c r="A807" s="9">
        <v>1960.0</v>
      </c>
      <c r="B807" s="15"/>
      <c r="C807" s="15"/>
      <c r="D807" s="15"/>
      <c r="E807" s="15"/>
      <c r="F807" s="15"/>
      <c r="G807" s="12"/>
      <c r="H807" s="13"/>
      <c r="I807" s="11"/>
      <c r="J807" s="11"/>
      <c r="K807" s="14"/>
      <c r="L807" s="11"/>
      <c r="M807" s="15"/>
      <c r="N807" s="16"/>
      <c r="O807" s="16"/>
      <c r="P807" s="16"/>
      <c r="Q807" s="17"/>
      <c r="R807" s="17"/>
      <c r="S807" s="17"/>
      <c r="T807" s="17"/>
      <c r="U807" s="17"/>
      <c r="V807" s="17"/>
      <c r="W807" s="17"/>
      <c r="X807" s="17"/>
      <c r="Y807" s="17"/>
    </row>
    <row r="808" ht="18.75" customHeight="1">
      <c r="A808" s="9">
        <v>1961.0</v>
      </c>
      <c r="B808" s="15"/>
      <c r="C808" s="15"/>
      <c r="D808" s="15"/>
      <c r="E808" s="15"/>
      <c r="F808" s="15"/>
      <c r="G808" s="12"/>
      <c r="H808" s="13"/>
      <c r="I808" s="11"/>
      <c r="J808" s="11"/>
      <c r="K808" s="14"/>
      <c r="L808" s="11"/>
      <c r="M808" s="15"/>
      <c r="N808" s="16"/>
      <c r="O808" s="16"/>
      <c r="P808" s="16"/>
      <c r="Q808" s="17"/>
      <c r="R808" s="17"/>
      <c r="S808" s="17"/>
      <c r="T808" s="17"/>
      <c r="U808" s="17"/>
      <c r="V808" s="17"/>
      <c r="W808" s="17"/>
      <c r="X808" s="17"/>
      <c r="Y808" s="17"/>
    </row>
    <row r="809" ht="18.75" customHeight="1">
      <c r="A809" s="9">
        <v>1962.0</v>
      </c>
      <c r="B809" s="15"/>
      <c r="C809" s="15"/>
      <c r="D809" s="15"/>
      <c r="E809" s="15"/>
      <c r="F809" s="15"/>
      <c r="G809" s="12"/>
      <c r="H809" s="13"/>
      <c r="I809" s="11"/>
      <c r="J809" s="11"/>
      <c r="K809" s="14"/>
      <c r="L809" s="11"/>
      <c r="M809" s="15"/>
      <c r="N809" s="16"/>
      <c r="O809" s="16"/>
      <c r="P809" s="16"/>
      <c r="Q809" s="17"/>
      <c r="R809" s="17"/>
      <c r="S809" s="17"/>
      <c r="T809" s="17"/>
      <c r="U809" s="17"/>
      <c r="V809" s="17"/>
      <c r="W809" s="17"/>
      <c r="X809" s="17"/>
      <c r="Y809" s="17"/>
    </row>
    <row r="810" ht="18.75" customHeight="1">
      <c r="A810" s="9">
        <v>1963.0</v>
      </c>
      <c r="B810" s="15"/>
      <c r="C810" s="15"/>
      <c r="D810" s="15"/>
      <c r="E810" s="15"/>
      <c r="F810" s="15"/>
      <c r="G810" s="12"/>
      <c r="H810" s="13"/>
      <c r="I810" s="11"/>
      <c r="J810" s="11"/>
      <c r="K810" s="14"/>
      <c r="L810" s="11"/>
      <c r="M810" s="15"/>
      <c r="N810" s="16"/>
      <c r="O810" s="16"/>
      <c r="P810" s="16"/>
      <c r="Q810" s="17"/>
      <c r="R810" s="17"/>
      <c r="S810" s="17"/>
      <c r="T810" s="17"/>
      <c r="U810" s="17"/>
      <c r="V810" s="17"/>
      <c r="W810" s="17"/>
      <c r="X810" s="17"/>
      <c r="Y810" s="17"/>
    </row>
    <row r="811" ht="18.75" customHeight="1">
      <c r="A811" s="9">
        <v>1964.0</v>
      </c>
      <c r="B811" s="15"/>
      <c r="C811" s="15"/>
      <c r="D811" s="15"/>
      <c r="E811" s="15"/>
      <c r="F811" s="15"/>
      <c r="G811" s="12"/>
      <c r="H811" s="13"/>
      <c r="I811" s="11"/>
      <c r="J811" s="11"/>
      <c r="K811" s="14"/>
      <c r="L811" s="11"/>
      <c r="M811" s="15"/>
      <c r="N811" s="16"/>
      <c r="O811" s="16"/>
      <c r="P811" s="16"/>
      <c r="Q811" s="17"/>
      <c r="R811" s="17"/>
      <c r="S811" s="17"/>
      <c r="T811" s="17"/>
      <c r="U811" s="17"/>
      <c r="V811" s="17"/>
      <c r="W811" s="17"/>
      <c r="X811" s="17"/>
      <c r="Y811" s="17"/>
    </row>
    <row r="812" ht="18.75" customHeight="1">
      <c r="A812" s="9">
        <v>1965.0</v>
      </c>
      <c r="B812" s="15"/>
      <c r="C812" s="15"/>
      <c r="D812" s="15"/>
      <c r="E812" s="15"/>
      <c r="F812" s="15"/>
      <c r="G812" s="12"/>
      <c r="H812" s="13"/>
      <c r="I812" s="11"/>
      <c r="J812" s="11"/>
      <c r="K812" s="14"/>
      <c r="L812" s="11"/>
      <c r="M812" s="15"/>
      <c r="N812" s="16"/>
      <c r="O812" s="16"/>
      <c r="P812" s="16"/>
      <c r="Q812" s="17"/>
      <c r="R812" s="17"/>
      <c r="S812" s="17"/>
      <c r="T812" s="17"/>
      <c r="U812" s="17"/>
      <c r="V812" s="17"/>
      <c r="W812" s="17"/>
      <c r="X812" s="17"/>
      <c r="Y812" s="17"/>
    </row>
    <row r="813" ht="18.75" customHeight="1">
      <c r="A813" s="9">
        <v>1966.0</v>
      </c>
      <c r="B813" s="15"/>
      <c r="C813" s="15"/>
      <c r="D813" s="15"/>
      <c r="E813" s="15"/>
      <c r="F813" s="15"/>
      <c r="G813" s="12"/>
      <c r="H813" s="13"/>
      <c r="I813" s="11"/>
      <c r="J813" s="11"/>
      <c r="K813" s="14"/>
      <c r="L813" s="11"/>
      <c r="M813" s="15"/>
      <c r="N813" s="16"/>
      <c r="O813" s="16"/>
      <c r="P813" s="16"/>
      <c r="Q813" s="17"/>
      <c r="R813" s="17"/>
      <c r="S813" s="17"/>
      <c r="T813" s="17"/>
      <c r="U813" s="17"/>
      <c r="V813" s="17"/>
      <c r="W813" s="17"/>
      <c r="X813" s="17"/>
      <c r="Y813" s="17"/>
    </row>
    <row r="814" ht="18.75" customHeight="1">
      <c r="A814" s="9">
        <v>1967.0</v>
      </c>
      <c r="B814" s="15"/>
      <c r="C814" s="15"/>
      <c r="D814" s="15"/>
      <c r="E814" s="15"/>
      <c r="F814" s="15"/>
      <c r="G814" s="12"/>
      <c r="H814" s="13"/>
      <c r="I814" s="11"/>
      <c r="J814" s="11"/>
      <c r="K814" s="14"/>
      <c r="L814" s="11"/>
      <c r="M814" s="15"/>
      <c r="N814" s="16"/>
      <c r="O814" s="16"/>
      <c r="P814" s="16"/>
      <c r="Q814" s="17"/>
      <c r="R814" s="17"/>
      <c r="S814" s="17"/>
      <c r="T814" s="17"/>
      <c r="U814" s="17"/>
      <c r="V814" s="17"/>
      <c r="W814" s="17"/>
      <c r="X814" s="17"/>
      <c r="Y814" s="17"/>
    </row>
    <row r="815" ht="18.75" customHeight="1">
      <c r="A815" s="9">
        <v>1968.0</v>
      </c>
      <c r="B815" s="15"/>
      <c r="C815" s="15"/>
      <c r="D815" s="15"/>
      <c r="E815" s="15"/>
      <c r="F815" s="15"/>
      <c r="G815" s="12"/>
      <c r="H815" s="13"/>
      <c r="I815" s="11"/>
      <c r="J815" s="11"/>
      <c r="K815" s="14"/>
      <c r="L815" s="11"/>
      <c r="M815" s="15"/>
      <c r="N815" s="16"/>
      <c r="O815" s="16"/>
      <c r="P815" s="16"/>
      <c r="Q815" s="17"/>
      <c r="R815" s="17"/>
      <c r="S815" s="17"/>
      <c r="T815" s="17"/>
      <c r="U815" s="17"/>
      <c r="V815" s="17"/>
      <c r="W815" s="17"/>
      <c r="X815" s="17"/>
      <c r="Y815" s="17"/>
    </row>
    <row r="816" ht="18.75" customHeight="1">
      <c r="A816" s="9">
        <v>1969.0</v>
      </c>
      <c r="B816" s="15"/>
      <c r="C816" s="15"/>
      <c r="D816" s="15"/>
      <c r="E816" s="15"/>
      <c r="F816" s="15"/>
      <c r="G816" s="12"/>
      <c r="H816" s="13"/>
      <c r="I816" s="11"/>
      <c r="J816" s="11"/>
      <c r="K816" s="14"/>
      <c r="L816" s="11"/>
      <c r="M816" s="15"/>
      <c r="N816" s="16"/>
      <c r="O816" s="16"/>
      <c r="P816" s="16"/>
      <c r="Q816" s="17"/>
      <c r="R816" s="17"/>
      <c r="S816" s="17"/>
      <c r="T816" s="17"/>
      <c r="U816" s="17"/>
      <c r="V816" s="17"/>
      <c r="W816" s="17"/>
      <c r="X816" s="17"/>
      <c r="Y816" s="17"/>
    </row>
    <row r="817" ht="18.75" customHeight="1">
      <c r="A817" s="9">
        <v>1970.0</v>
      </c>
      <c r="B817" s="15"/>
      <c r="C817" s="15"/>
      <c r="D817" s="15"/>
      <c r="E817" s="15"/>
      <c r="F817" s="15"/>
      <c r="G817" s="12"/>
      <c r="H817" s="13"/>
      <c r="I817" s="11"/>
      <c r="J817" s="11"/>
      <c r="K817" s="14"/>
      <c r="L817" s="11"/>
      <c r="M817" s="15"/>
      <c r="N817" s="16"/>
      <c r="O817" s="16"/>
      <c r="P817" s="16"/>
      <c r="Q817" s="17"/>
      <c r="R817" s="17"/>
      <c r="S817" s="17"/>
      <c r="T817" s="17"/>
      <c r="U817" s="17"/>
      <c r="V817" s="17"/>
      <c r="W817" s="17"/>
      <c r="X817" s="17"/>
      <c r="Y817" s="17"/>
    </row>
    <row r="818" ht="18.75" customHeight="1">
      <c r="A818" s="9">
        <v>1971.0</v>
      </c>
      <c r="B818" s="15"/>
      <c r="C818" s="15"/>
      <c r="D818" s="15"/>
      <c r="E818" s="15"/>
      <c r="F818" s="15"/>
      <c r="G818" s="12"/>
      <c r="H818" s="13"/>
      <c r="I818" s="11"/>
      <c r="J818" s="11"/>
      <c r="K818" s="14"/>
      <c r="L818" s="11"/>
      <c r="M818" s="15"/>
      <c r="N818" s="16"/>
      <c r="O818" s="16"/>
      <c r="P818" s="16"/>
      <c r="Q818" s="17"/>
      <c r="R818" s="17"/>
      <c r="S818" s="17"/>
      <c r="T818" s="17"/>
      <c r="U818" s="17"/>
      <c r="V818" s="17"/>
      <c r="W818" s="17"/>
      <c r="X818" s="17"/>
      <c r="Y818" s="17"/>
    </row>
    <row r="819" ht="18.75" customHeight="1">
      <c r="A819" s="9">
        <v>1972.0</v>
      </c>
      <c r="B819" s="15"/>
      <c r="C819" s="15"/>
      <c r="D819" s="15"/>
      <c r="E819" s="15"/>
      <c r="F819" s="15"/>
      <c r="G819" s="12"/>
      <c r="H819" s="13"/>
      <c r="I819" s="11"/>
      <c r="J819" s="11"/>
      <c r="K819" s="14"/>
      <c r="L819" s="11"/>
      <c r="M819" s="15"/>
      <c r="N819" s="16"/>
      <c r="O819" s="16"/>
      <c r="P819" s="16"/>
      <c r="Q819" s="17"/>
      <c r="R819" s="17"/>
      <c r="S819" s="17"/>
      <c r="T819" s="17"/>
      <c r="U819" s="17"/>
      <c r="V819" s="17"/>
      <c r="W819" s="17"/>
      <c r="X819" s="17"/>
      <c r="Y819" s="17"/>
    </row>
    <row r="820" ht="18.75" customHeight="1">
      <c r="A820" s="9">
        <v>1973.0</v>
      </c>
      <c r="B820" s="15"/>
      <c r="C820" s="15"/>
      <c r="D820" s="15"/>
      <c r="E820" s="15"/>
      <c r="F820" s="15"/>
      <c r="G820" s="12"/>
      <c r="H820" s="13"/>
      <c r="I820" s="11"/>
      <c r="J820" s="11"/>
      <c r="K820" s="14"/>
      <c r="L820" s="11"/>
      <c r="M820" s="15"/>
      <c r="N820" s="16"/>
      <c r="O820" s="16"/>
      <c r="P820" s="16"/>
      <c r="Q820" s="17"/>
      <c r="R820" s="17"/>
      <c r="S820" s="17"/>
      <c r="T820" s="17"/>
      <c r="U820" s="17"/>
      <c r="V820" s="17"/>
      <c r="W820" s="17"/>
      <c r="X820" s="17"/>
      <c r="Y820" s="17"/>
    </row>
    <row r="821" ht="18.75" customHeight="1">
      <c r="A821" s="9">
        <v>1974.0</v>
      </c>
      <c r="B821" s="15"/>
      <c r="C821" s="15"/>
      <c r="D821" s="15"/>
      <c r="E821" s="15"/>
      <c r="F821" s="15"/>
      <c r="G821" s="12"/>
      <c r="H821" s="13"/>
      <c r="I821" s="11"/>
      <c r="J821" s="11"/>
      <c r="K821" s="14"/>
      <c r="L821" s="11"/>
      <c r="M821" s="15"/>
      <c r="N821" s="16"/>
      <c r="O821" s="16"/>
      <c r="P821" s="16"/>
      <c r="Q821" s="17"/>
      <c r="R821" s="17"/>
      <c r="S821" s="17"/>
      <c r="T821" s="17"/>
      <c r="U821" s="17"/>
      <c r="V821" s="17"/>
      <c r="W821" s="17"/>
      <c r="X821" s="17"/>
      <c r="Y821" s="17"/>
    </row>
    <row r="822" ht="18.75" customHeight="1">
      <c r="A822" s="9">
        <v>1975.0</v>
      </c>
      <c r="B822" s="15"/>
      <c r="C822" s="15"/>
      <c r="D822" s="15"/>
      <c r="E822" s="15"/>
      <c r="F822" s="15"/>
      <c r="G822" s="12"/>
      <c r="H822" s="13"/>
      <c r="I822" s="11"/>
      <c r="J822" s="11"/>
      <c r="K822" s="14"/>
      <c r="L822" s="11"/>
      <c r="M822" s="15"/>
      <c r="N822" s="16"/>
      <c r="O822" s="16"/>
      <c r="P822" s="16"/>
      <c r="Q822" s="17"/>
      <c r="R822" s="17"/>
      <c r="S822" s="17"/>
      <c r="T822" s="17"/>
      <c r="U822" s="17"/>
      <c r="V822" s="17"/>
      <c r="W822" s="17"/>
      <c r="X822" s="17"/>
      <c r="Y822" s="17"/>
    </row>
    <row r="823" ht="18.75" customHeight="1">
      <c r="A823" s="9">
        <v>1976.0</v>
      </c>
      <c r="B823" s="15"/>
      <c r="C823" s="15"/>
      <c r="D823" s="15"/>
      <c r="E823" s="15"/>
      <c r="F823" s="15"/>
      <c r="G823" s="12"/>
      <c r="H823" s="13"/>
      <c r="I823" s="11"/>
      <c r="J823" s="11"/>
      <c r="K823" s="14"/>
      <c r="L823" s="11"/>
      <c r="M823" s="15"/>
      <c r="N823" s="16"/>
      <c r="O823" s="16"/>
      <c r="P823" s="16"/>
      <c r="Q823" s="17"/>
      <c r="R823" s="17"/>
      <c r="S823" s="17"/>
      <c r="T823" s="17"/>
      <c r="U823" s="17"/>
      <c r="V823" s="17"/>
      <c r="W823" s="17"/>
      <c r="X823" s="17"/>
      <c r="Y823" s="17"/>
    </row>
    <row r="824" ht="18.75" customHeight="1">
      <c r="A824" s="9">
        <v>1977.0</v>
      </c>
      <c r="B824" s="15"/>
      <c r="C824" s="15"/>
      <c r="D824" s="15"/>
      <c r="E824" s="15"/>
      <c r="F824" s="15"/>
      <c r="G824" s="12"/>
      <c r="H824" s="13"/>
      <c r="I824" s="11"/>
      <c r="J824" s="11"/>
      <c r="K824" s="14"/>
      <c r="L824" s="11"/>
      <c r="M824" s="15"/>
      <c r="N824" s="16"/>
      <c r="O824" s="16"/>
      <c r="P824" s="16"/>
      <c r="Q824" s="17"/>
      <c r="R824" s="17"/>
      <c r="S824" s="17"/>
      <c r="T824" s="17"/>
      <c r="U824" s="17"/>
      <c r="V824" s="17"/>
      <c r="W824" s="17"/>
      <c r="X824" s="17"/>
      <c r="Y824" s="17"/>
    </row>
    <row r="825" ht="18.75" customHeight="1">
      <c r="A825" s="9">
        <v>1978.0</v>
      </c>
      <c r="B825" s="15"/>
      <c r="C825" s="15"/>
      <c r="D825" s="15"/>
      <c r="E825" s="15"/>
      <c r="F825" s="15"/>
      <c r="G825" s="12"/>
      <c r="H825" s="13"/>
      <c r="I825" s="11"/>
      <c r="J825" s="11"/>
      <c r="K825" s="14"/>
      <c r="L825" s="11"/>
      <c r="M825" s="15"/>
      <c r="N825" s="16"/>
      <c r="O825" s="16"/>
      <c r="P825" s="16"/>
      <c r="Q825" s="17"/>
      <c r="R825" s="17"/>
      <c r="S825" s="17"/>
      <c r="T825" s="17"/>
      <c r="U825" s="17"/>
      <c r="V825" s="17"/>
      <c r="W825" s="17"/>
      <c r="X825" s="17"/>
      <c r="Y825" s="17"/>
    </row>
    <row r="826" ht="18.75" customHeight="1">
      <c r="A826" s="9">
        <v>1979.0</v>
      </c>
      <c r="B826" s="15"/>
      <c r="C826" s="15"/>
      <c r="D826" s="15"/>
      <c r="E826" s="15"/>
      <c r="F826" s="15"/>
      <c r="G826" s="12"/>
      <c r="H826" s="13"/>
      <c r="I826" s="11"/>
      <c r="J826" s="11"/>
      <c r="K826" s="14"/>
      <c r="L826" s="11"/>
      <c r="M826" s="15"/>
      <c r="N826" s="16"/>
      <c r="O826" s="16"/>
      <c r="P826" s="16"/>
      <c r="Q826" s="17"/>
      <c r="R826" s="17"/>
      <c r="S826" s="17"/>
      <c r="T826" s="17"/>
      <c r="U826" s="17"/>
      <c r="V826" s="17"/>
      <c r="W826" s="17"/>
      <c r="X826" s="17"/>
      <c r="Y826" s="17"/>
    </row>
    <row r="827" ht="18.75" customHeight="1">
      <c r="A827" s="9">
        <v>1980.0</v>
      </c>
      <c r="B827" s="15"/>
      <c r="C827" s="15"/>
      <c r="D827" s="15"/>
      <c r="E827" s="15"/>
      <c r="F827" s="15"/>
      <c r="G827" s="12"/>
      <c r="H827" s="13"/>
      <c r="I827" s="11"/>
      <c r="J827" s="11"/>
      <c r="K827" s="14"/>
      <c r="L827" s="11"/>
      <c r="M827" s="15"/>
      <c r="N827" s="16"/>
      <c r="O827" s="16"/>
      <c r="P827" s="16"/>
      <c r="Q827" s="17"/>
      <c r="R827" s="17"/>
      <c r="S827" s="17"/>
      <c r="T827" s="17"/>
      <c r="U827" s="17"/>
      <c r="V827" s="17"/>
      <c r="W827" s="17"/>
      <c r="X827" s="17"/>
      <c r="Y827" s="17"/>
    </row>
    <row r="828" ht="18.75" customHeight="1">
      <c r="A828" s="9">
        <v>1981.0</v>
      </c>
      <c r="B828" s="15"/>
      <c r="C828" s="15"/>
      <c r="D828" s="15"/>
      <c r="E828" s="15"/>
      <c r="F828" s="15"/>
      <c r="G828" s="12"/>
      <c r="H828" s="13"/>
      <c r="I828" s="11"/>
      <c r="J828" s="11"/>
      <c r="K828" s="14"/>
      <c r="L828" s="11"/>
      <c r="M828" s="15"/>
      <c r="N828" s="16"/>
      <c r="O828" s="16"/>
      <c r="P828" s="16"/>
      <c r="Q828" s="17"/>
      <c r="R828" s="17"/>
      <c r="S828" s="17"/>
      <c r="T828" s="17"/>
      <c r="U828" s="17"/>
      <c r="V828" s="17"/>
      <c r="W828" s="17"/>
      <c r="X828" s="17"/>
      <c r="Y828" s="17"/>
    </row>
    <row r="829" ht="18.75" customHeight="1">
      <c r="A829" s="9">
        <v>1982.0</v>
      </c>
      <c r="B829" s="15"/>
      <c r="C829" s="15"/>
      <c r="D829" s="15"/>
      <c r="E829" s="15"/>
      <c r="F829" s="15"/>
      <c r="G829" s="12"/>
      <c r="H829" s="13"/>
      <c r="I829" s="11"/>
      <c r="J829" s="11"/>
      <c r="K829" s="14"/>
      <c r="L829" s="11"/>
      <c r="M829" s="15"/>
      <c r="N829" s="16"/>
      <c r="O829" s="16"/>
      <c r="P829" s="16"/>
      <c r="Q829" s="17"/>
      <c r="R829" s="17"/>
      <c r="S829" s="17"/>
      <c r="T829" s="17"/>
      <c r="U829" s="17"/>
      <c r="V829" s="17"/>
      <c r="W829" s="17"/>
      <c r="X829" s="17"/>
      <c r="Y829" s="17"/>
    </row>
    <row r="830" ht="18.75" customHeight="1">
      <c r="A830" s="9">
        <v>1983.0</v>
      </c>
      <c r="B830" s="15"/>
      <c r="C830" s="15"/>
      <c r="D830" s="15"/>
      <c r="E830" s="15"/>
      <c r="F830" s="15"/>
      <c r="G830" s="12"/>
      <c r="H830" s="13"/>
      <c r="I830" s="11"/>
      <c r="J830" s="11"/>
      <c r="K830" s="14"/>
      <c r="L830" s="11"/>
      <c r="M830" s="15"/>
      <c r="N830" s="16"/>
      <c r="O830" s="16"/>
      <c r="P830" s="16"/>
      <c r="Q830" s="17"/>
      <c r="R830" s="17"/>
      <c r="S830" s="17"/>
      <c r="T830" s="17"/>
      <c r="U830" s="17"/>
      <c r="V830" s="17"/>
      <c r="W830" s="17"/>
      <c r="X830" s="17"/>
      <c r="Y830" s="17"/>
    </row>
    <row r="831" ht="18.75" customHeight="1">
      <c r="A831" s="9">
        <v>1984.0</v>
      </c>
      <c r="B831" s="15"/>
      <c r="C831" s="15"/>
      <c r="D831" s="15"/>
      <c r="E831" s="15"/>
      <c r="F831" s="15"/>
      <c r="G831" s="12"/>
      <c r="H831" s="13"/>
      <c r="I831" s="11"/>
      <c r="J831" s="11"/>
      <c r="K831" s="14"/>
      <c r="L831" s="11"/>
      <c r="M831" s="15"/>
      <c r="N831" s="16"/>
      <c r="O831" s="16"/>
      <c r="P831" s="16"/>
      <c r="Q831" s="17"/>
      <c r="R831" s="17"/>
      <c r="S831" s="17"/>
      <c r="T831" s="17"/>
      <c r="U831" s="17"/>
      <c r="V831" s="17"/>
      <c r="W831" s="17"/>
      <c r="X831" s="17"/>
      <c r="Y831" s="17"/>
    </row>
    <row r="832" ht="18.75" customHeight="1">
      <c r="A832" s="9">
        <v>1985.0</v>
      </c>
      <c r="B832" s="15"/>
      <c r="C832" s="15"/>
      <c r="D832" s="15"/>
      <c r="E832" s="15"/>
      <c r="F832" s="15"/>
      <c r="G832" s="12"/>
      <c r="H832" s="13"/>
      <c r="I832" s="11"/>
      <c r="J832" s="11"/>
      <c r="K832" s="14"/>
      <c r="L832" s="11"/>
      <c r="M832" s="15"/>
      <c r="N832" s="16"/>
      <c r="O832" s="16"/>
      <c r="P832" s="16"/>
      <c r="Q832" s="17"/>
      <c r="R832" s="17"/>
      <c r="S832" s="17"/>
      <c r="T832" s="17"/>
      <c r="U832" s="17"/>
      <c r="V832" s="17"/>
      <c r="W832" s="17"/>
      <c r="X832" s="17"/>
      <c r="Y832" s="17"/>
    </row>
    <row r="833" ht="18.75" customHeight="1">
      <c r="A833" s="9">
        <v>1986.0</v>
      </c>
      <c r="B833" s="15"/>
      <c r="C833" s="15"/>
      <c r="D833" s="15"/>
      <c r="E833" s="15"/>
      <c r="F833" s="15"/>
      <c r="G833" s="12"/>
      <c r="H833" s="13"/>
      <c r="I833" s="11"/>
      <c r="J833" s="11"/>
      <c r="K833" s="14"/>
      <c r="L833" s="11"/>
      <c r="M833" s="15"/>
      <c r="N833" s="16"/>
      <c r="O833" s="16"/>
      <c r="P833" s="16"/>
      <c r="Q833" s="17"/>
      <c r="R833" s="17"/>
      <c r="S833" s="17"/>
      <c r="T833" s="17"/>
      <c r="U833" s="17"/>
      <c r="V833" s="17"/>
      <c r="W833" s="17"/>
      <c r="X833" s="17"/>
      <c r="Y833" s="17"/>
    </row>
    <row r="834" ht="18.75" customHeight="1">
      <c r="A834" s="9">
        <v>1987.0</v>
      </c>
      <c r="B834" s="15"/>
      <c r="C834" s="15"/>
      <c r="D834" s="15"/>
      <c r="E834" s="15"/>
      <c r="F834" s="15"/>
      <c r="G834" s="12"/>
      <c r="H834" s="13"/>
      <c r="I834" s="11"/>
      <c r="J834" s="11"/>
      <c r="K834" s="14"/>
      <c r="L834" s="11"/>
      <c r="M834" s="15"/>
      <c r="N834" s="16"/>
      <c r="O834" s="16"/>
      <c r="P834" s="16"/>
      <c r="Q834" s="17"/>
      <c r="R834" s="17"/>
      <c r="S834" s="17"/>
      <c r="T834" s="17"/>
      <c r="U834" s="17"/>
      <c r="V834" s="17"/>
      <c r="W834" s="17"/>
      <c r="X834" s="17"/>
      <c r="Y834" s="17"/>
    </row>
    <row r="835" ht="18.75" customHeight="1">
      <c r="A835" s="9">
        <v>1988.0</v>
      </c>
      <c r="B835" s="15"/>
      <c r="C835" s="15"/>
      <c r="D835" s="15"/>
      <c r="E835" s="15"/>
      <c r="F835" s="15"/>
      <c r="G835" s="12"/>
      <c r="H835" s="13"/>
      <c r="I835" s="11"/>
      <c r="J835" s="11"/>
      <c r="K835" s="14"/>
      <c r="L835" s="11"/>
      <c r="M835" s="15"/>
      <c r="N835" s="16"/>
      <c r="O835" s="16"/>
      <c r="P835" s="16"/>
      <c r="Q835" s="17"/>
      <c r="R835" s="17"/>
      <c r="S835" s="17"/>
      <c r="T835" s="17"/>
      <c r="U835" s="17"/>
      <c r="V835" s="17"/>
      <c r="W835" s="17"/>
      <c r="X835" s="17"/>
      <c r="Y835" s="17"/>
    </row>
    <row r="836" ht="18.75" customHeight="1">
      <c r="A836" s="9">
        <v>1989.0</v>
      </c>
      <c r="B836" s="15"/>
      <c r="C836" s="15"/>
      <c r="D836" s="15"/>
      <c r="E836" s="15"/>
      <c r="F836" s="15"/>
      <c r="G836" s="12"/>
      <c r="H836" s="13"/>
      <c r="I836" s="11"/>
      <c r="J836" s="11"/>
      <c r="K836" s="14"/>
      <c r="L836" s="11"/>
      <c r="M836" s="15"/>
      <c r="N836" s="16"/>
      <c r="O836" s="16"/>
      <c r="P836" s="16"/>
      <c r="Q836" s="17"/>
      <c r="R836" s="17"/>
      <c r="S836" s="17"/>
      <c r="T836" s="17"/>
      <c r="U836" s="17"/>
      <c r="V836" s="17"/>
      <c r="W836" s="17"/>
      <c r="X836" s="17"/>
      <c r="Y836" s="17"/>
    </row>
    <row r="837" ht="18.75" customHeight="1">
      <c r="A837" s="9">
        <v>1990.0</v>
      </c>
      <c r="B837" s="15"/>
      <c r="C837" s="15"/>
      <c r="D837" s="15"/>
      <c r="E837" s="15"/>
      <c r="F837" s="15"/>
      <c r="G837" s="12"/>
      <c r="H837" s="13"/>
      <c r="I837" s="11"/>
      <c r="J837" s="11"/>
      <c r="K837" s="14"/>
      <c r="L837" s="11"/>
      <c r="M837" s="15"/>
      <c r="N837" s="16"/>
      <c r="O837" s="16"/>
      <c r="P837" s="16"/>
      <c r="Q837" s="17"/>
      <c r="R837" s="17"/>
      <c r="S837" s="17"/>
      <c r="T837" s="17"/>
      <c r="U837" s="17"/>
      <c r="V837" s="17"/>
      <c r="W837" s="17"/>
      <c r="X837" s="17"/>
      <c r="Y837" s="17"/>
    </row>
    <row r="838" ht="18.75" customHeight="1">
      <c r="A838" s="9">
        <v>1991.0</v>
      </c>
      <c r="B838" s="15"/>
      <c r="C838" s="15"/>
      <c r="D838" s="15"/>
      <c r="E838" s="15"/>
      <c r="F838" s="15"/>
      <c r="G838" s="12"/>
      <c r="H838" s="13"/>
      <c r="I838" s="11"/>
      <c r="J838" s="11"/>
      <c r="K838" s="14"/>
      <c r="L838" s="11"/>
      <c r="M838" s="15"/>
      <c r="N838" s="16"/>
      <c r="O838" s="16"/>
      <c r="P838" s="16"/>
      <c r="Q838" s="17"/>
      <c r="R838" s="17"/>
      <c r="S838" s="17"/>
      <c r="T838" s="17"/>
      <c r="U838" s="17"/>
      <c r="V838" s="17"/>
      <c r="W838" s="17"/>
      <c r="X838" s="17"/>
      <c r="Y838" s="17"/>
    </row>
    <row r="839" ht="18.75" customHeight="1">
      <c r="A839" s="9">
        <v>1992.0</v>
      </c>
      <c r="B839" s="15"/>
      <c r="C839" s="15"/>
      <c r="D839" s="15"/>
      <c r="E839" s="15"/>
      <c r="F839" s="15"/>
      <c r="G839" s="12"/>
      <c r="H839" s="13"/>
      <c r="I839" s="11"/>
      <c r="J839" s="11"/>
      <c r="K839" s="14"/>
      <c r="L839" s="11"/>
      <c r="M839" s="15"/>
      <c r="N839" s="16"/>
      <c r="O839" s="16"/>
      <c r="P839" s="16"/>
      <c r="Q839" s="17"/>
      <c r="R839" s="17"/>
      <c r="S839" s="17"/>
      <c r="T839" s="17"/>
      <c r="U839" s="17"/>
      <c r="V839" s="17"/>
      <c r="W839" s="17"/>
      <c r="X839" s="17"/>
      <c r="Y839" s="17"/>
    </row>
    <row r="840" ht="18.75" customHeight="1">
      <c r="A840" s="9">
        <v>1993.0</v>
      </c>
      <c r="B840" s="15"/>
      <c r="C840" s="15"/>
      <c r="D840" s="15"/>
      <c r="E840" s="15"/>
      <c r="F840" s="15"/>
      <c r="G840" s="12"/>
      <c r="H840" s="13"/>
      <c r="I840" s="11"/>
      <c r="J840" s="11"/>
      <c r="K840" s="14"/>
      <c r="L840" s="11"/>
      <c r="M840" s="15"/>
      <c r="N840" s="16"/>
      <c r="O840" s="16"/>
      <c r="P840" s="16"/>
      <c r="Q840" s="17"/>
      <c r="R840" s="17"/>
      <c r="S840" s="17"/>
      <c r="T840" s="17"/>
      <c r="U840" s="17"/>
      <c r="V840" s="17"/>
      <c r="W840" s="17"/>
      <c r="X840" s="17"/>
      <c r="Y840" s="17"/>
    </row>
    <row r="841" ht="18.75" customHeight="1">
      <c r="A841" s="9">
        <v>1994.0</v>
      </c>
      <c r="B841" s="15"/>
      <c r="C841" s="15"/>
      <c r="D841" s="15"/>
      <c r="E841" s="15"/>
      <c r="F841" s="15"/>
      <c r="G841" s="12"/>
      <c r="H841" s="13"/>
      <c r="I841" s="11"/>
      <c r="J841" s="11"/>
      <c r="K841" s="14"/>
      <c r="L841" s="11"/>
      <c r="M841" s="15"/>
      <c r="N841" s="16"/>
      <c r="O841" s="16"/>
      <c r="P841" s="16"/>
      <c r="Q841" s="17"/>
      <c r="R841" s="17"/>
      <c r="S841" s="17"/>
      <c r="T841" s="17"/>
      <c r="U841" s="17"/>
      <c r="V841" s="17"/>
      <c r="W841" s="17"/>
      <c r="X841" s="17"/>
      <c r="Y841" s="17"/>
    </row>
    <row r="842" ht="18.75" customHeight="1">
      <c r="A842" s="9">
        <v>1995.0</v>
      </c>
      <c r="B842" s="15"/>
      <c r="C842" s="15"/>
      <c r="D842" s="15"/>
      <c r="E842" s="15"/>
      <c r="F842" s="15"/>
      <c r="G842" s="12"/>
      <c r="H842" s="13"/>
      <c r="I842" s="11"/>
      <c r="J842" s="11"/>
      <c r="K842" s="14"/>
      <c r="L842" s="11"/>
      <c r="M842" s="15"/>
      <c r="N842" s="16"/>
      <c r="O842" s="16"/>
      <c r="P842" s="16"/>
      <c r="Q842" s="17"/>
      <c r="R842" s="17"/>
      <c r="S842" s="17"/>
      <c r="T842" s="17"/>
      <c r="U842" s="17"/>
      <c r="V842" s="17"/>
      <c r="W842" s="17"/>
      <c r="X842" s="17"/>
      <c r="Y842" s="17"/>
    </row>
    <row r="843" ht="18.75" customHeight="1">
      <c r="A843" s="9">
        <v>1996.0</v>
      </c>
      <c r="B843" s="15"/>
      <c r="C843" s="15"/>
      <c r="D843" s="15"/>
      <c r="E843" s="15"/>
      <c r="F843" s="15"/>
      <c r="G843" s="12"/>
      <c r="H843" s="13"/>
      <c r="I843" s="11"/>
      <c r="J843" s="11"/>
      <c r="K843" s="14"/>
      <c r="L843" s="11"/>
      <c r="M843" s="15"/>
      <c r="N843" s="16"/>
      <c r="O843" s="16"/>
      <c r="P843" s="16"/>
      <c r="Q843" s="17"/>
      <c r="R843" s="17"/>
      <c r="S843" s="17"/>
      <c r="T843" s="17"/>
      <c r="U843" s="17"/>
      <c r="V843" s="17"/>
      <c r="W843" s="17"/>
      <c r="X843" s="17"/>
      <c r="Y843" s="17"/>
    </row>
    <row r="844" ht="18.75" customHeight="1">
      <c r="A844" s="9">
        <v>1997.0</v>
      </c>
      <c r="B844" s="15"/>
      <c r="C844" s="15"/>
      <c r="D844" s="15"/>
      <c r="E844" s="15"/>
      <c r="F844" s="15"/>
      <c r="G844" s="12"/>
      <c r="H844" s="13"/>
      <c r="I844" s="11"/>
      <c r="J844" s="11"/>
      <c r="K844" s="14"/>
      <c r="L844" s="11"/>
      <c r="M844" s="15"/>
      <c r="N844" s="16"/>
      <c r="O844" s="16"/>
      <c r="P844" s="16"/>
      <c r="Q844" s="17"/>
      <c r="R844" s="17"/>
      <c r="S844" s="17"/>
      <c r="T844" s="17"/>
      <c r="U844" s="17"/>
      <c r="V844" s="17"/>
      <c r="W844" s="17"/>
      <c r="X844" s="17"/>
      <c r="Y844" s="17"/>
    </row>
    <row r="845" ht="18.75" customHeight="1">
      <c r="A845" s="9">
        <v>1998.0</v>
      </c>
      <c r="B845" s="15"/>
      <c r="C845" s="15"/>
      <c r="D845" s="15"/>
      <c r="E845" s="15"/>
      <c r="F845" s="15"/>
      <c r="G845" s="12"/>
      <c r="H845" s="13"/>
      <c r="I845" s="11"/>
      <c r="J845" s="11"/>
      <c r="K845" s="14"/>
      <c r="L845" s="11"/>
      <c r="M845" s="15"/>
      <c r="N845" s="16"/>
      <c r="O845" s="16"/>
      <c r="P845" s="16"/>
      <c r="Q845" s="17"/>
      <c r="R845" s="17"/>
      <c r="S845" s="17"/>
      <c r="T845" s="17"/>
      <c r="U845" s="17"/>
      <c r="V845" s="17"/>
      <c r="W845" s="17"/>
      <c r="X845" s="17"/>
      <c r="Y845" s="17"/>
    </row>
    <row r="846" ht="18.75" customHeight="1">
      <c r="A846" s="9">
        <v>1999.0</v>
      </c>
      <c r="B846" s="15"/>
      <c r="C846" s="15"/>
      <c r="D846" s="15"/>
      <c r="E846" s="15"/>
      <c r="F846" s="15"/>
      <c r="G846" s="12"/>
      <c r="H846" s="13"/>
      <c r="I846" s="11"/>
      <c r="J846" s="11"/>
      <c r="K846" s="14"/>
      <c r="L846" s="11"/>
      <c r="M846" s="15"/>
      <c r="N846" s="16"/>
      <c r="O846" s="16"/>
      <c r="P846" s="16"/>
      <c r="Q846" s="17"/>
      <c r="R846" s="17"/>
      <c r="S846" s="17"/>
      <c r="T846" s="17"/>
      <c r="U846" s="17"/>
      <c r="V846" s="17"/>
      <c r="W846" s="17"/>
      <c r="X846" s="17"/>
      <c r="Y846" s="17"/>
    </row>
  </sheetData>
  <conditionalFormatting sqref="G2:G846 H3:H5 H7 H16 H18 H20 H25 H29 H31:H32 H37:H42 H44:H46 H48:H49 H51 H53:H54 H56:H57 H65 H68 H70 H72 H74 H76 H82 H91:H93 H102:H103 H108 H122 H130 H145:H146 H148:H155 H160 H162 H164:H168 H174 H176 H184 H194 H197 H199 H203 H212:H214 H216:H217 H235">
    <cfRule type="notContainsBlanks" dxfId="0" priority="1">
      <formula>LEN(TRIM(G2))&gt;0</formula>
    </cfRule>
  </conditionalFormatting>
  <conditionalFormatting sqref="H2:H846 G3:G4 G7 G17 G20 G25:G57 G65 G68 G70 G72 G74 G76 G82 G91:G92 G124:G130 G135 G138:G139 G146 G148:G155 G160:G168 G176 G184 G191 G193 G195 G201 G203 G212:G214 G216:G217">
    <cfRule type="notContainsBlanks" dxfId="1" priority="2">
      <formula>LEN(TRIM(H2))&gt;0</formula>
    </cfRule>
  </conditionalFormatting>
  <conditionalFormatting sqref="G2:G846 H3:H5 H7 H16 H18 H20 H25 H29 H31:H32 H37:H42 H44:H46 H48:H49 H51 H53:H54 H56:H57 H65 H68 H70 H72 H74 H76 H82 H91:H93 H102:H103 H108 H122 H130 H145:H146 H148:H155 H160 H162 H164:H168 H174 H176 H184 H194 H197 H199 H203 H212:H214 H216:H217 H235">
    <cfRule type="notContainsBlanks" dxfId="0" priority="3">
      <formula>LEN(TRIM(G2))&gt;0</formula>
    </cfRule>
  </conditionalFormatting>
  <conditionalFormatting sqref="N2:P846">
    <cfRule type="notContainsBlanks" dxfId="2" priority="4">
      <formula>LEN(TRIM(N2))&gt;0</formula>
    </cfRule>
  </conditionalFormatting>
  <conditionalFormatting sqref="G2:G846 H3:H5 H7 H16 H18 H20 H25 H29 H31:H32 H37:H42 H44:H46 H48:H49 H51 H53:H54 H56:H57 H65 H68 H70 H72 H74 H76 H82 H91:H93 H102:H103 H108 H122 H130 H145:H146 H148:H155 H160 H162 H164:H168 H174 H176 H184 H194 H197 H199 H203 H212:H214 H216:H217 H235">
    <cfRule type="notContainsBlanks" dxfId="0" priority="5">
      <formula>LEN(TRIM(G2))&gt;0</formula>
    </cfRule>
  </conditionalFormatting>
  <dataValidations>
    <dataValidation type="list" allowBlank="1" showErrorMessage="1" sqref="O2:O846">
      <formula1>"ลบข้อมูลแล้ว"</formula1>
    </dataValidation>
    <dataValidation type="list" allowBlank="1" showErrorMessage="1" sqref="P2:P846">
      <formula1>"ลบข้อมูลแล้ว"</formula1>
    </dataValidation>
    <dataValidation type="list" allowBlank="1" showErrorMessage="1" sqref="K2:K846">
      <formula1>"ยังไม่ปิดลาออก,ปิดลาออกแล้ว"</formula1>
    </dataValidation>
    <dataValidation type="custom" allowBlank="1" showDropDown="1" showInputMessage="1" showErrorMessage="1" prompt="ป้อนวันที่ที่ถูกต้อง" sqref="G2:H846">
      <formula1>OR(NOT(ISERROR(DATEVALUE(G2))), AND(ISNUMBER(G2), LEFT(CELL("format", G2))="D"))</formula1>
    </dataValidation>
    <dataValidation type="list" allowBlank="1" showErrorMessage="1" sqref="N2:N846">
      <formula1>"ลบข้อมูลแล้ว"</formula1>
    </dataValidation>
    <dataValidation type="list" allowBlank="1" showErrorMessage="1" sqref="J2:J846">
      <formula1>"รอการตรวจสอบ,ผ่านการตรวจสอบแล้ว,ไม่มีเอกสารให้ตรวจสอบ,ยกเลิกเอกสาร,ส่งเอกสารถึงพนักงาน,ได้รับเอกสารแล้ว,ไม่ส่งเอกสารกลับมาที่ HR,ยื่น Online,ส่งเอกสารกลับไปแก้ไข,ต้นสังกัดแจ้งทางเมล์"</formula1>
    </dataValidation>
    <dataValidation type="list" allowBlank="1" showErrorMessage="1" sqref="L2:L846">
      <formula1>"ปัจจัยที่ 1 ผลตอบแทนการทำงาน,ปัจจัยที่ 2 ความสัมพันธ์และบุคคลากรในองค์กร,ปัจจัยที่ 3 งานในหน้าที่,ปัจจัยที่ 4 องค์กร,ปัจจัยที่ 5 โอกาสในการเติบโต/พัฒนา,ปัจจัยที่ 6 ความจำเป็นส่วนตัว,ปัจจัยที่ 7 Probation (ไม่ผ่านทดลองงาน),ปัจจัยที่ 8 เกษียณอายุ,ปัจจัยที่ "&amp;"9 เหตุผลอื่น ๆ"</formula1>
    </dataValidation>
    <dataValidation type="list" allowBlank="1" showErrorMessage="1" sqref="I2:I846">
      <formula1>"ลาออก,ลาออกไม่ครบ 30 วัน,ปลดออก,มรณะ,เกษียร,ยกเลิกลาออก"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7.5"/>
    <col customWidth="1" min="3" max="3" width="28.5"/>
    <col customWidth="1" min="4" max="4" width="38.13"/>
    <col customWidth="1" min="5" max="5" width="39.25"/>
    <col customWidth="1" min="6" max="6" width="13.13"/>
    <col customWidth="1" min="7" max="7" width="18.13"/>
    <col customWidth="1" min="8" max="8" width="16.75"/>
    <col customWidth="1" min="9" max="9" width="15.38"/>
    <col customWidth="1" min="10" max="10" width="18.88"/>
  </cols>
  <sheetData>
    <row r="1">
      <c r="A1" s="26" t="s">
        <v>1068</v>
      </c>
      <c r="B1" s="27" t="s">
        <v>1</v>
      </c>
      <c r="C1" s="27" t="s">
        <v>1069</v>
      </c>
      <c r="D1" s="27" t="s">
        <v>3</v>
      </c>
      <c r="E1" s="27" t="s">
        <v>1070</v>
      </c>
      <c r="F1" s="28" t="s">
        <v>1071</v>
      </c>
      <c r="G1" s="27" t="s">
        <v>1072</v>
      </c>
      <c r="H1" s="27" t="s">
        <v>1073</v>
      </c>
      <c r="I1" s="27" t="s">
        <v>1074</v>
      </c>
      <c r="J1" s="27" t="s">
        <v>1075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</row>
    <row r="2">
      <c r="A2" s="30">
        <v>45304.0</v>
      </c>
      <c r="B2" s="31" t="s">
        <v>1076</v>
      </c>
      <c r="C2" s="31" t="s">
        <v>1077</v>
      </c>
      <c r="D2" s="31" t="s">
        <v>1078</v>
      </c>
      <c r="E2" s="31" t="s">
        <v>1079</v>
      </c>
      <c r="F2" s="30">
        <v>45304.0</v>
      </c>
      <c r="G2" s="32" t="s">
        <v>1080</v>
      </c>
      <c r="H2" s="33"/>
      <c r="I2" s="34"/>
      <c r="J2" s="33" t="str">
        <f>if(IF(OR(LEFT(B2,3)="SSE",LEFT(B2,3)="ESE",LEFT(B2,3)="SGA",LEFT(B2,3)="SRF",LEFT(B2,3)="SSG",LEFT(B2,3)="SGE"),"SGE")="SGE","SG2024-"&amp;if(counta(#REF!)-countifs(#REF!,"")+1&lt;=9,"00"&amp;counta(#REF!)-countifs(#REF!,"")+1,if(counta(#REF!)-countifs(#REF!,"")+1&lt;=99,"0"&amp;counta(#REF!)-countifs(#REF!,"")+1,counta(#REF!)-countifs(#REF!,"")+1)),"")</f>
        <v/>
      </c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</row>
    <row r="3">
      <c r="A3" s="30">
        <v>45323.0</v>
      </c>
      <c r="B3" s="31" t="s">
        <v>1081</v>
      </c>
      <c r="C3" s="31" t="s">
        <v>1082</v>
      </c>
      <c r="D3" s="31" t="s">
        <v>231</v>
      </c>
      <c r="E3" s="31" t="s">
        <v>1083</v>
      </c>
      <c r="F3" s="30">
        <v>45323.0</v>
      </c>
      <c r="G3" s="32" t="s">
        <v>1084</v>
      </c>
      <c r="H3" s="33"/>
      <c r="I3" s="34" t="s">
        <v>1085</v>
      </c>
      <c r="J3" s="33" t="str">
        <f t="shared" ref="J3:J301" si="1">if(IF(OR(LEFT(B3,3)="SSE",LEFT(B3,3)="ESE",LEFT(B3,3)="SGA",LEFT(B3,3)="SRF",LEFT(B3,3)="SSG",LEFT(B3,3)="SGE"),"SGE")="SGE","SG2024-"&amp;if(counta($J$2:J2)-countifs($J$2:J2,"")+1&lt;=9,"00"&amp;counta($J$2:J2)-countifs($J$2:J2,"")+1,if(counta($J$2:J2)-countifs($J$2:J2,"")+1&lt;=99,"0"&amp;counta($J$2:J2)-countifs($J$2:J2,"")+1,counta($J$2:J2)-countifs($J$2:J2,"")+1)),"")</f>
        <v/>
      </c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</row>
    <row r="4">
      <c r="A4" s="36">
        <v>45352.0</v>
      </c>
      <c r="B4" s="35" t="s">
        <v>1086</v>
      </c>
      <c r="C4" s="35" t="s">
        <v>1087</v>
      </c>
      <c r="D4" s="35" t="s">
        <v>153</v>
      </c>
      <c r="E4" s="35" t="s">
        <v>154</v>
      </c>
      <c r="F4" s="36">
        <v>45352.0</v>
      </c>
      <c r="G4" s="32" t="s">
        <v>1088</v>
      </c>
      <c r="H4" s="33"/>
      <c r="I4" s="34"/>
      <c r="J4" s="33" t="str">
        <f t="shared" si="1"/>
        <v/>
      </c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</row>
    <row r="5">
      <c r="A5" s="36">
        <v>45367.0</v>
      </c>
      <c r="B5" s="31" t="s">
        <v>1089</v>
      </c>
      <c r="C5" s="31" t="s">
        <v>1090</v>
      </c>
      <c r="D5" s="31" t="s">
        <v>1091</v>
      </c>
      <c r="E5" s="31" t="s">
        <v>1092</v>
      </c>
      <c r="F5" s="36">
        <v>45367.0</v>
      </c>
      <c r="G5" s="32" t="s">
        <v>1093</v>
      </c>
      <c r="H5" s="33"/>
      <c r="I5" s="34"/>
      <c r="J5" s="33" t="str">
        <f t="shared" si="1"/>
        <v/>
      </c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</row>
    <row r="6">
      <c r="A6" s="30">
        <v>45383.0</v>
      </c>
      <c r="B6" s="35" t="s">
        <v>1094</v>
      </c>
      <c r="C6" s="35" t="s">
        <v>1095</v>
      </c>
      <c r="D6" s="35" t="s">
        <v>672</v>
      </c>
      <c r="E6" s="35" t="s">
        <v>1096</v>
      </c>
      <c r="F6" s="30">
        <v>45390.0</v>
      </c>
      <c r="G6" s="32" t="s">
        <v>1097</v>
      </c>
      <c r="H6" s="33"/>
      <c r="I6" s="34"/>
      <c r="J6" s="33" t="str">
        <f t="shared" si="1"/>
        <v/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</row>
    <row r="7">
      <c r="A7" s="30">
        <v>45383.0</v>
      </c>
      <c r="B7" s="35" t="s">
        <v>1098</v>
      </c>
      <c r="C7" s="35" t="s">
        <v>1099</v>
      </c>
      <c r="D7" s="35" t="s">
        <v>116</v>
      </c>
      <c r="E7" s="35" t="s">
        <v>1100</v>
      </c>
      <c r="F7" s="30">
        <v>45383.0</v>
      </c>
      <c r="G7" s="32" t="s">
        <v>1101</v>
      </c>
      <c r="H7" s="33"/>
      <c r="I7" s="34"/>
      <c r="J7" s="33" t="str">
        <f t="shared" si="1"/>
        <v/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</row>
    <row r="8">
      <c r="A8" s="30">
        <v>45352.0</v>
      </c>
      <c r="B8" s="35" t="s">
        <v>1102</v>
      </c>
      <c r="C8" s="35" t="s">
        <v>1103</v>
      </c>
      <c r="D8" s="31" t="s">
        <v>1104</v>
      </c>
      <c r="E8" s="35" t="s">
        <v>1100</v>
      </c>
      <c r="F8" s="30">
        <v>45352.0</v>
      </c>
      <c r="G8" s="32" t="s">
        <v>1105</v>
      </c>
      <c r="H8" s="33"/>
      <c r="I8" s="34"/>
      <c r="J8" s="33" t="str">
        <f t="shared" si="1"/>
        <v/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</row>
    <row r="9">
      <c r="A9" s="30">
        <v>45352.0</v>
      </c>
      <c r="B9" s="35" t="s">
        <v>1106</v>
      </c>
      <c r="C9" s="35" t="s">
        <v>1107</v>
      </c>
      <c r="D9" s="35" t="s">
        <v>1108</v>
      </c>
      <c r="E9" s="35" t="s">
        <v>1109</v>
      </c>
      <c r="F9" s="30">
        <v>45352.0</v>
      </c>
      <c r="G9" s="32" t="s">
        <v>1110</v>
      </c>
      <c r="H9" s="33"/>
      <c r="I9" s="34"/>
      <c r="J9" s="33" t="str">
        <f t="shared" si="1"/>
        <v/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</row>
    <row r="10">
      <c r="A10" s="30">
        <v>45383.0</v>
      </c>
      <c r="B10" s="31" t="s">
        <v>1111</v>
      </c>
      <c r="C10" s="31" t="s">
        <v>1112</v>
      </c>
      <c r="D10" s="31" t="s">
        <v>153</v>
      </c>
      <c r="E10" s="31" t="s">
        <v>154</v>
      </c>
      <c r="F10" s="30">
        <v>45383.0</v>
      </c>
      <c r="G10" s="32" t="s">
        <v>1113</v>
      </c>
      <c r="H10" s="33"/>
      <c r="I10" s="34"/>
      <c r="J10" s="33" t="str">
        <f t="shared" si="1"/>
        <v/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</row>
    <row r="11">
      <c r="A11" s="30">
        <v>45383.0</v>
      </c>
      <c r="B11" s="35" t="s">
        <v>1114</v>
      </c>
      <c r="C11" s="35" t="s">
        <v>1115</v>
      </c>
      <c r="D11" s="35" t="s">
        <v>122</v>
      </c>
      <c r="E11" s="35" t="s">
        <v>1116</v>
      </c>
      <c r="F11" s="30">
        <v>45383.0</v>
      </c>
      <c r="G11" s="32" t="s">
        <v>1117</v>
      </c>
      <c r="H11" s="33"/>
      <c r="I11" s="34" t="s">
        <v>1118</v>
      </c>
      <c r="J11" s="33" t="str">
        <f t="shared" si="1"/>
        <v/>
      </c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</row>
    <row r="12">
      <c r="A12" s="30">
        <v>45380.0</v>
      </c>
      <c r="B12" s="35" t="s">
        <v>1119</v>
      </c>
      <c r="C12" s="35" t="s">
        <v>1120</v>
      </c>
      <c r="D12" s="35" t="s">
        <v>122</v>
      </c>
      <c r="E12" s="35" t="s">
        <v>1116</v>
      </c>
      <c r="F12" s="30">
        <v>45380.0</v>
      </c>
      <c r="G12" s="32" t="s">
        <v>1121</v>
      </c>
      <c r="H12" s="33"/>
      <c r="I12" s="34" t="s">
        <v>1122</v>
      </c>
      <c r="J12" s="33" t="str">
        <f t="shared" si="1"/>
        <v/>
      </c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</row>
    <row r="13">
      <c r="A13" s="30">
        <v>45383.0</v>
      </c>
      <c r="B13" s="35" t="s">
        <v>1123</v>
      </c>
      <c r="C13" s="35" t="s">
        <v>1124</v>
      </c>
      <c r="D13" s="35" t="s">
        <v>65</v>
      </c>
      <c r="E13" s="35" t="s">
        <v>1125</v>
      </c>
      <c r="F13" s="30">
        <v>45383.0</v>
      </c>
      <c r="G13" s="32" t="s">
        <v>1126</v>
      </c>
      <c r="H13" s="33"/>
      <c r="I13" s="34"/>
      <c r="J13" s="33" t="str">
        <f t="shared" si="1"/>
        <v/>
      </c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</row>
    <row r="14">
      <c r="A14" s="30">
        <v>45395.0</v>
      </c>
      <c r="B14" s="35" t="s">
        <v>1127</v>
      </c>
      <c r="C14" s="35" t="s">
        <v>1128</v>
      </c>
      <c r="D14" s="35" t="s">
        <v>1129</v>
      </c>
      <c r="E14" s="35" t="s">
        <v>1130</v>
      </c>
      <c r="F14" s="30">
        <v>45395.0</v>
      </c>
      <c r="G14" s="32" t="s">
        <v>1131</v>
      </c>
      <c r="H14" s="33"/>
      <c r="I14" s="34"/>
      <c r="J14" s="33" t="str">
        <f t="shared" si="1"/>
        <v/>
      </c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</row>
    <row r="15">
      <c r="A15" s="30">
        <v>45383.0</v>
      </c>
      <c r="B15" s="35" t="s">
        <v>1132</v>
      </c>
      <c r="C15" s="31" t="s">
        <v>1133</v>
      </c>
      <c r="D15" s="35" t="s">
        <v>110</v>
      </c>
      <c r="E15" s="35" t="s">
        <v>807</v>
      </c>
      <c r="F15" s="30">
        <v>45383.0</v>
      </c>
      <c r="G15" s="32" t="s">
        <v>1134</v>
      </c>
      <c r="H15" s="33"/>
      <c r="I15" s="34" t="s">
        <v>1135</v>
      </c>
      <c r="J15" s="33" t="str">
        <f t="shared" si="1"/>
        <v/>
      </c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</row>
    <row r="16">
      <c r="A16" s="30">
        <v>45383.0</v>
      </c>
      <c r="B16" s="35" t="s">
        <v>1136</v>
      </c>
      <c r="C16" s="35" t="s">
        <v>1137</v>
      </c>
      <c r="D16" s="35" t="s">
        <v>128</v>
      </c>
      <c r="E16" s="35" t="s">
        <v>226</v>
      </c>
      <c r="F16" s="30">
        <v>45383.0</v>
      </c>
      <c r="G16" s="32" t="s">
        <v>1138</v>
      </c>
      <c r="H16" s="33"/>
      <c r="I16" s="34" t="s">
        <v>1139</v>
      </c>
      <c r="J16" s="33" t="str">
        <f t="shared" si="1"/>
        <v/>
      </c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</row>
    <row r="17">
      <c r="A17" s="30">
        <v>45383.0</v>
      </c>
      <c r="B17" s="35" t="s">
        <v>1140</v>
      </c>
      <c r="C17" s="35" t="s">
        <v>1141</v>
      </c>
      <c r="D17" s="35" t="s">
        <v>1129</v>
      </c>
      <c r="E17" s="35" t="s">
        <v>1130</v>
      </c>
      <c r="F17" s="30">
        <v>45383.0</v>
      </c>
      <c r="G17" s="32" t="s">
        <v>1142</v>
      </c>
      <c r="H17" s="33"/>
      <c r="I17" s="34"/>
      <c r="J17" s="33" t="str">
        <f t="shared" si="1"/>
        <v/>
      </c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</row>
    <row r="18">
      <c r="A18" s="30">
        <v>45383.0</v>
      </c>
      <c r="B18" s="35" t="s">
        <v>1143</v>
      </c>
      <c r="C18" s="35" t="s">
        <v>1144</v>
      </c>
      <c r="D18" s="35" t="s">
        <v>362</v>
      </c>
      <c r="E18" s="35" t="s">
        <v>1145</v>
      </c>
      <c r="F18" s="30">
        <v>45383.0</v>
      </c>
      <c r="G18" s="32" t="s">
        <v>1146</v>
      </c>
      <c r="H18" s="33"/>
      <c r="I18" s="34"/>
      <c r="J18" s="33" t="str">
        <f t="shared" si="1"/>
        <v/>
      </c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</row>
    <row r="19">
      <c r="A19" s="30">
        <v>45383.0</v>
      </c>
      <c r="B19" s="35" t="s">
        <v>1147</v>
      </c>
      <c r="C19" s="35" t="s">
        <v>1148</v>
      </c>
      <c r="D19" s="35" t="s">
        <v>1149</v>
      </c>
      <c r="E19" s="35" t="s">
        <v>1150</v>
      </c>
      <c r="F19" s="30">
        <v>45383.0</v>
      </c>
      <c r="G19" s="32" t="s">
        <v>1151</v>
      </c>
      <c r="H19" s="33"/>
      <c r="I19" s="34" t="s">
        <v>1152</v>
      </c>
      <c r="J19" s="33" t="str">
        <f t="shared" si="1"/>
        <v/>
      </c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</row>
    <row r="20">
      <c r="A20" s="30">
        <v>45383.0</v>
      </c>
      <c r="B20" s="35" t="s">
        <v>1153</v>
      </c>
      <c r="C20" s="35" t="s">
        <v>1154</v>
      </c>
      <c r="D20" s="35" t="s">
        <v>271</v>
      </c>
      <c r="E20" s="35" t="s">
        <v>1155</v>
      </c>
      <c r="F20" s="30">
        <v>45383.0</v>
      </c>
      <c r="G20" s="32" t="s">
        <v>1156</v>
      </c>
      <c r="H20" s="33"/>
      <c r="I20" s="34"/>
      <c r="J20" s="33" t="str">
        <f t="shared" si="1"/>
        <v/>
      </c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</row>
    <row r="21">
      <c r="A21" s="37"/>
      <c r="B21" s="35"/>
      <c r="C21" s="38" t="s">
        <v>1157</v>
      </c>
      <c r="D21" s="35"/>
      <c r="E21" s="35"/>
      <c r="F21" s="37"/>
      <c r="G21" s="32" t="s">
        <v>1158</v>
      </c>
      <c r="H21" s="33"/>
      <c r="I21" s="34"/>
      <c r="J21" s="33" t="str">
        <f t="shared" si="1"/>
        <v/>
      </c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</row>
    <row r="22">
      <c r="A22" s="30">
        <v>45383.0</v>
      </c>
      <c r="B22" s="31" t="s">
        <v>1159</v>
      </c>
      <c r="C22" s="31" t="s">
        <v>1160</v>
      </c>
      <c r="D22" s="31" t="s">
        <v>1161</v>
      </c>
      <c r="E22" s="31" t="s">
        <v>319</v>
      </c>
      <c r="F22" s="30">
        <v>45383.0</v>
      </c>
      <c r="G22" s="32" t="s">
        <v>1162</v>
      </c>
      <c r="H22" s="33"/>
      <c r="I22" s="34" t="s">
        <v>1163</v>
      </c>
      <c r="J22" s="33" t="str">
        <f t="shared" si="1"/>
        <v/>
      </c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</row>
    <row r="23">
      <c r="A23" s="30">
        <v>45398.0</v>
      </c>
      <c r="B23" s="35" t="s">
        <v>1164</v>
      </c>
      <c r="C23" s="35" t="s">
        <v>1165</v>
      </c>
      <c r="D23" s="35" t="s">
        <v>1166</v>
      </c>
      <c r="E23" s="35" t="s">
        <v>1167</v>
      </c>
      <c r="F23" s="30">
        <v>45398.0</v>
      </c>
      <c r="G23" s="32" t="s">
        <v>1168</v>
      </c>
      <c r="H23" s="33"/>
      <c r="I23" s="34"/>
      <c r="J23" s="33" t="str">
        <f t="shared" si="1"/>
        <v/>
      </c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</row>
    <row r="24">
      <c r="A24" s="36">
        <v>45367.0</v>
      </c>
      <c r="B24" s="35" t="s">
        <v>1169</v>
      </c>
      <c r="C24" s="35" t="s">
        <v>1170</v>
      </c>
      <c r="D24" s="35" t="s">
        <v>198</v>
      </c>
      <c r="E24" s="35" t="s">
        <v>1171</v>
      </c>
      <c r="F24" s="36">
        <v>45367.0</v>
      </c>
      <c r="G24" s="32" t="s">
        <v>1172</v>
      </c>
      <c r="H24" s="33"/>
      <c r="I24" s="34"/>
      <c r="J24" s="33" t="str">
        <f t="shared" si="1"/>
        <v/>
      </c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</row>
    <row r="25">
      <c r="A25" s="30">
        <v>45399.0</v>
      </c>
      <c r="B25" s="35" t="s">
        <v>1173</v>
      </c>
      <c r="C25" s="35" t="s">
        <v>1174</v>
      </c>
      <c r="D25" s="35" t="s">
        <v>646</v>
      </c>
      <c r="E25" s="35" t="s">
        <v>1175</v>
      </c>
      <c r="F25" s="30">
        <v>45399.0</v>
      </c>
      <c r="G25" s="32" t="s">
        <v>1176</v>
      </c>
      <c r="H25" s="33"/>
      <c r="I25" s="34"/>
      <c r="J25" s="33" t="str">
        <f t="shared" si="1"/>
        <v/>
      </c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</row>
    <row r="26">
      <c r="A26" s="30">
        <v>45383.0</v>
      </c>
      <c r="B26" s="35" t="s">
        <v>1177</v>
      </c>
      <c r="C26" s="39" t="s">
        <v>1178</v>
      </c>
      <c r="D26" s="35" t="s">
        <v>65</v>
      </c>
      <c r="E26" s="35" t="s">
        <v>1179</v>
      </c>
      <c r="F26" s="30">
        <v>45383.0</v>
      </c>
      <c r="G26" s="32" t="s">
        <v>1180</v>
      </c>
      <c r="H26" s="33"/>
      <c r="I26" s="34"/>
      <c r="J26" s="33" t="str">
        <f t="shared" si="1"/>
        <v/>
      </c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</row>
    <row r="27">
      <c r="A27" s="40">
        <v>45371.0</v>
      </c>
      <c r="B27" s="35" t="s">
        <v>1181</v>
      </c>
      <c r="C27" s="35" t="s">
        <v>1182</v>
      </c>
      <c r="D27" s="35" t="s">
        <v>122</v>
      </c>
      <c r="E27" s="35" t="s">
        <v>1183</v>
      </c>
      <c r="F27" s="40">
        <v>45371.0</v>
      </c>
      <c r="G27" s="32" t="s">
        <v>1184</v>
      </c>
      <c r="H27" s="33"/>
      <c r="I27" s="34" t="s">
        <v>1185</v>
      </c>
      <c r="J27" s="33" t="str">
        <f t="shared" si="1"/>
        <v/>
      </c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</row>
    <row r="28">
      <c r="A28" s="30">
        <v>45400.0</v>
      </c>
      <c r="B28" s="35" t="s">
        <v>1186</v>
      </c>
      <c r="C28" s="35" t="s">
        <v>1187</v>
      </c>
      <c r="D28" s="35" t="s">
        <v>65</v>
      </c>
      <c r="E28" s="35" t="s">
        <v>1175</v>
      </c>
      <c r="F28" s="30">
        <v>45400.0</v>
      </c>
      <c r="G28" s="32" t="s">
        <v>1188</v>
      </c>
      <c r="H28" s="33"/>
      <c r="I28" s="34"/>
      <c r="J28" s="33" t="str">
        <f t="shared" si="1"/>
        <v/>
      </c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</row>
    <row r="29">
      <c r="A29" s="30">
        <v>45413.0</v>
      </c>
      <c r="B29" s="35" t="s">
        <v>1189</v>
      </c>
      <c r="C29" s="35" t="s">
        <v>1190</v>
      </c>
      <c r="D29" s="35" t="s">
        <v>1191</v>
      </c>
      <c r="E29" s="35" t="s">
        <v>1192</v>
      </c>
      <c r="F29" s="30">
        <v>45413.0</v>
      </c>
      <c r="G29" s="32" t="s">
        <v>1193</v>
      </c>
      <c r="H29" s="33"/>
      <c r="I29" s="34" t="s">
        <v>1194</v>
      </c>
      <c r="J29" s="33" t="str">
        <f t="shared" si="1"/>
        <v/>
      </c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</row>
    <row r="30">
      <c r="A30" s="30">
        <v>45413.0</v>
      </c>
      <c r="B30" s="35" t="s">
        <v>1195</v>
      </c>
      <c r="C30" s="35" t="s">
        <v>1196</v>
      </c>
      <c r="D30" s="35" t="s">
        <v>1197</v>
      </c>
      <c r="E30" s="35" t="s">
        <v>154</v>
      </c>
      <c r="F30" s="30">
        <v>45413.0</v>
      </c>
      <c r="G30" s="32" t="s">
        <v>1198</v>
      </c>
      <c r="H30" s="33"/>
      <c r="I30" s="34" t="s">
        <v>1199</v>
      </c>
      <c r="J30" s="33" t="str">
        <f t="shared" si="1"/>
        <v/>
      </c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</row>
    <row r="31">
      <c r="A31" s="30">
        <v>45413.0</v>
      </c>
      <c r="B31" s="35" t="s">
        <v>1200</v>
      </c>
      <c r="C31" s="35" t="s">
        <v>1201</v>
      </c>
      <c r="D31" s="35" t="s">
        <v>1202</v>
      </c>
      <c r="E31" s="35" t="s">
        <v>1203</v>
      </c>
      <c r="F31" s="30">
        <v>45413.0</v>
      </c>
      <c r="G31" s="32" t="s">
        <v>1204</v>
      </c>
      <c r="H31" s="33"/>
      <c r="I31" s="34"/>
      <c r="J31" s="33" t="str">
        <f t="shared" si="1"/>
        <v/>
      </c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</row>
    <row r="32">
      <c r="A32" s="30">
        <v>45413.0</v>
      </c>
      <c r="B32" s="35" t="s">
        <v>1205</v>
      </c>
      <c r="C32" s="35" t="s">
        <v>1206</v>
      </c>
      <c r="D32" s="35" t="s">
        <v>153</v>
      </c>
      <c r="E32" s="35" t="s">
        <v>1207</v>
      </c>
      <c r="F32" s="30">
        <v>45413.0</v>
      </c>
      <c r="G32" s="32" t="s">
        <v>1208</v>
      </c>
      <c r="H32" s="33"/>
      <c r="I32" s="34"/>
      <c r="J32" s="33" t="str">
        <f t="shared" si="1"/>
        <v/>
      </c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</row>
    <row r="33">
      <c r="A33" s="30">
        <v>45398.0</v>
      </c>
      <c r="B33" s="35" t="s">
        <v>1209</v>
      </c>
      <c r="C33" s="35" t="s">
        <v>1210</v>
      </c>
      <c r="D33" s="35" t="s">
        <v>677</v>
      </c>
      <c r="E33" s="35" t="s">
        <v>1211</v>
      </c>
      <c r="F33" s="30">
        <v>45398.0</v>
      </c>
      <c r="G33" s="32" t="s">
        <v>1212</v>
      </c>
      <c r="H33" s="33"/>
      <c r="I33" s="34"/>
      <c r="J33" s="33" t="str">
        <f t="shared" si="1"/>
        <v/>
      </c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</row>
    <row r="34">
      <c r="A34" s="30">
        <v>45413.0</v>
      </c>
      <c r="B34" s="35" t="s">
        <v>1213</v>
      </c>
      <c r="C34" s="35" t="s">
        <v>1214</v>
      </c>
      <c r="D34" s="35" t="s">
        <v>682</v>
      </c>
      <c r="E34" s="35" t="s">
        <v>1215</v>
      </c>
      <c r="F34" s="30">
        <v>45413.0</v>
      </c>
      <c r="G34" s="32" t="s">
        <v>1216</v>
      </c>
      <c r="H34" s="33"/>
      <c r="I34" s="34"/>
      <c r="J34" s="33" t="str">
        <f t="shared" si="1"/>
        <v/>
      </c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</row>
    <row r="35">
      <c r="A35" s="30">
        <v>45413.0</v>
      </c>
      <c r="B35" s="35" t="s">
        <v>1217</v>
      </c>
      <c r="C35" s="35" t="s">
        <v>1218</v>
      </c>
      <c r="D35" s="35" t="s">
        <v>1219</v>
      </c>
      <c r="E35" s="35" t="s">
        <v>1220</v>
      </c>
      <c r="F35" s="30">
        <v>45413.0</v>
      </c>
      <c r="G35" s="32" t="s">
        <v>1221</v>
      </c>
      <c r="H35" s="33"/>
      <c r="I35" s="34"/>
      <c r="J35" s="33" t="str">
        <f t="shared" si="1"/>
        <v/>
      </c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</row>
    <row r="36">
      <c r="A36" s="41">
        <v>45413.0</v>
      </c>
      <c r="B36" s="38" t="s">
        <v>1222</v>
      </c>
      <c r="C36" s="38" t="s">
        <v>1223</v>
      </c>
      <c r="D36" s="38" t="s">
        <v>785</v>
      </c>
      <c r="E36" s="38" t="s">
        <v>1224</v>
      </c>
      <c r="F36" s="41">
        <v>45413.0</v>
      </c>
      <c r="G36" s="32" t="s">
        <v>1225</v>
      </c>
      <c r="H36" s="33"/>
      <c r="I36" s="34"/>
      <c r="J36" s="33" t="str">
        <f t="shared" si="1"/>
        <v/>
      </c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</row>
    <row r="37">
      <c r="A37" s="30">
        <v>45413.0</v>
      </c>
      <c r="B37" s="35" t="s">
        <v>1226</v>
      </c>
      <c r="C37" s="35" t="s">
        <v>1227</v>
      </c>
      <c r="D37" s="35" t="s">
        <v>328</v>
      </c>
      <c r="E37" s="35" t="s">
        <v>1228</v>
      </c>
      <c r="F37" s="30">
        <v>45413.0</v>
      </c>
      <c r="G37" s="32" t="s">
        <v>1229</v>
      </c>
      <c r="H37" s="33"/>
      <c r="I37" s="34"/>
      <c r="J37" s="33" t="str">
        <f t="shared" si="1"/>
        <v/>
      </c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</row>
    <row r="38">
      <c r="A38" s="30">
        <v>45413.0</v>
      </c>
      <c r="B38" s="35" t="s">
        <v>1230</v>
      </c>
      <c r="C38" s="35" t="s">
        <v>1231</v>
      </c>
      <c r="D38" s="35" t="s">
        <v>42</v>
      </c>
      <c r="E38" s="35" t="s">
        <v>1232</v>
      </c>
      <c r="F38" s="30">
        <v>45413.0</v>
      </c>
      <c r="G38" s="32" t="s">
        <v>1233</v>
      </c>
      <c r="H38" s="33"/>
      <c r="I38" s="34" t="s">
        <v>1234</v>
      </c>
      <c r="J38" s="33" t="str">
        <f t="shared" si="1"/>
        <v/>
      </c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</row>
    <row r="39">
      <c r="A39" s="30">
        <v>45413.0</v>
      </c>
      <c r="B39" s="35" t="s">
        <v>1235</v>
      </c>
      <c r="C39" s="35" t="s">
        <v>1236</v>
      </c>
      <c r="D39" s="35" t="s">
        <v>42</v>
      </c>
      <c r="E39" s="35" t="s">
        <v>1192</v>
      </c>
      <c r="F39" s="30">
        <v>45413.0</v>
      </c>
      <c r="G39" s="32" t="s">
        <v>1237</v>
      </c>
      <c r="H39" s="33"/>
      <c r="I39" s="34" t="s">
        <v>1238</v>
      </c>
      <c r="J39" s="33" t="str">
        <f t="shared" si="1"/>
        <v/>
      </c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</row>
    <row r="40">
      <c r="A40" s="30">
        <v>45413.0</v>
      </c>
      <c r="B40" s="35" t="s">
        <v>1239</v>
      </c>
      <c r="C40" s="35" t="s">
        <v>1240</v>
      </c>
      <c r="D40" s="35" t="s">
        <v>128</v>
      </c>
      <c r="E40" s="35" t="s">
        <v>1241</v>
      </c>
      <c r="F40" s="30">
        <v>45413.0</v>
      </c>
      <c r="G40" s="32" t="s">
        <v>1242</v>
      </c>
      <c r="H40" s="33"/>
      <c r="I40" s="34" t="s">
        <v>1243</v>
      </c>
      <c r="J40" s="33" t="str">
        <f t="shared" si="1"/>
        <v/>
      </c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</row>
    <row r="41">
      <c r="A41" s="30">
        <v>45413.0</v>
      </c>
      <c r="B41" s="35" t="s">
        <v>1244</v>
      </c>
      <c r="C41" s="35" t="s">
        <v>1245</v>
      </c>
      <c r="D41" s="35" t="s">
        <v>1246</v>
      </c>
      <c r="E41" s="35" t="s">
        <v>1247</v>
      </c>
      <c r="F41" s="30">
        <v>45413.0</v>
      </c>
      <c r="G41" s="32" t="s">
        <v>1248</v>
      </c>
      <c r="H41" s="33"/>
      <c r="I41" s="34"/>
      <c r="J41" s="33" t="str">
        <f t="shared" si="1"/>
        <v/>
      </c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</row>
    <row r="42">
      <c r="A42" s="30">
        <v>45413.0</v>
      </c>
      <c r="B42" s="35" t="s">
        <v>1249</v>
      </c>
      <c r="C42" s="35" t="s">
        <v>1250</v>
      </c>
      <c r="D42" s="35" t="s">
        <v>1197</v>
      </c>
      <c r="E42" s="35" t="s">
        <v>154</v>
      </c>
      <c r="F42" s="30">
        <v>45413.0</v>
      </c>
      <c r="G42" s="32" t="s">
        <v>1251</v>
      </c>
      <c r="H42" s="33"/>
      <c r="I42" s="34"/>
      <c r="J42" s="33" t="str">
        <f t="shared" si="1"/>
        <v/>
      </c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</row>
    <row r="43">
      <c r="A43" s="30">
        <v>45413.0</v>
      </c>
      <c r="B43" s="35" t="s">
        <v>1252</v>
      </c>
      <c r="C43" s="35" t="s">
        <v>1253</v>
      </c>
      <c r="D43" s="35" t="s">
        <v>122</v>
      </c>
      <c r="E43" s="35" t="s">
        <v>1116</v>
      </c>
      <c r="F43" s="30">
        <v>45413.0</v>
      </c>
      <c r="G43" s="32" t="s">
        <v>1254</v>
      </c>
      <c r="H43" s="33"/>
      <c r="I43" s="34" t="s">
        <v>1255</v>
      </c>
      <c r="J43" s="33" t="str">
        <f t="shared" si="1"/>
        <v/>
      </c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</row>
    <row r="44">
      <c r="A44" s="30">
        <v>45411.0</v>
      </c>
      <c r="B44" s="35" t="s">
        <v>1256</v>
      </c>
      <c r="C44" s="35" t="s">
        <v>1257</v>
      </c>
      <c r="D44" s="35" t="s">
        <v>342</v>
      </c>
      <c r="E44" s="35" t="s">
        <v>1258</v>
      </c>
      <c r="F44" s="30">
        <v>45411.0</v>
      </c>
      <c r="G44" s="32" t="s">
        <v>1259</v>
      </c>
      <c r="H44" s="33"/>
      <c r="I44" s="34" t="s">
        <v>1260</v>
      </c>
      <c r="J44" s="33" t="str">
        <f t="shared" si="1"/>
        <v/>
      </c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</row>
    <row r="45">
      <c r="A45" s="30">
        <v>45413.0</v>
      </c>
      <c r="B45" s="35" t="s">
        <v>1261</v>
      </c>
      <c r="C45" s="35" t="s">
        <v>1262</v>
      </c>
      <c r="D45" s="35" t="s">
        <v>701</v>
      </c>
      <c r="E45" s="35" t="s">
        <v>203</v>
      </c>
      <c r="F45" s="30">
        <v>45413.0</v>
      </c>
      <c r="G45" s="32" t="s">
        <v>1263</v>
      </c>
      <c r="H45" s="33"/>
      <c r="I45" s="34"/>
      <c r="J45" s="33" t="str">
        <f t="shared" si="1"/>
        <v/>
      </c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</row>
    <row r="46">
      <c r="A46" s="30">
        <v>45413.0</v>
      </c>
      <c r="B46" s="35" t="s">
        <v>1264</v>
      </c>
      <c r="C46" s="35" t="s">
        <v>1265</v>
      </c>
      <c r="D46" s="35" t="s">
        <v>128</v>
      </c>
      <c r="E46" s="35" t="s">
        <v>1241</v>
      </c>
      <c r="F46" s="30">
        <v>45413.0</v>
      </c>
      <c r="G46" s="32" t="s">
        <v>1266</v>
      </c>
      <c r="H46" s="33"/>
      <c r="I46" s="34" t="s">
        <v>1267</v>
      </c>
      <c r="J46" s="33" t="str">
        <f t="shared" si="1"/>
        <v/>
      </c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</row>
    <row r="47">
      <c r="A47" s="30">
        <v>45413.0</v>
      </c>
      <c r="B47" s="35" t="s">
        <v>1268</v>
      </c>
      <c r="C47" s="35" t="s">
        <v>1269</v>
      </c>
      <c r="D47" s="35" t="s">
        <v>128</v>
      </c>
      <c r="E47" s="35" t="s">
        <v>1241</v>
      </c>
      <c r="F47" s="30">
        <v>45413.0</v>
      </c>
      <c r="G47" s="32" t="s">
        <v>1270</v>
      </c>
      <c r="H47" s="33"/>
      <c r="I47" s="34" t="s">
        <v>1271</v>
      </c>
      <c r="J47" s="33" t="str">
        <f t="shared" si="1"/>
        <v/>
      </c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</row>
    <row r="48">
      <c r="A48" s="30">
        <v>45413.0</v>
      </c>
      <c r="B48" s="35" t="s">
        <v>1272</v>
      </c>
      <c r="C48" s="35" t="s">
        <v>1273</v>
      </c>
      <c r="D48" s="35" t="s">
        <v>71</v>
      </c>
      <c r="E48" s="35" t="s">
        <v>1183</v>
      </c>
      <c r="F48" s="30">
        <v>45413.0</v>
      </c>
      <c r="G48" s="32" t="s">
        <v>1274</v>
      </c>
      <c r="H48" s="33"/>
      <c r="I48" s="34" t="s">
        <v>1275</v>
      </c>
      <c r="J48" s="33" t="str">
        <f t="shared" si="1"/>
        <v/>
      </c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</row>
    <row r="49">
      <c r="A49" s="30">
        <v>45413.0</v>
      </c>
      <c r="B49" s="35" t="s">
        <v>1276</v>
      </c>
      <c r="C49" s="35" t="s">
        <v>1277</v>
      </c>
      <c r="D49" s="35" t="s">
        <v>1278</v>
      </c>
      <c r="E49" s="35" t="s">
        <v>487</v>
      </c>
      <c r="F49" s="30">
        <v>45413.0</v>
      </c>
      <c r="G49" s="32" t="s">
        <v>1279</v>
      </c>
      <c r="H49" s="33"/>
      <c r="I49" s="34"/>
      <c r="J49" s="33" t="str">
        <f t="shared" si="1"/>
        <v/>
      </c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</row>
    <row r="50">
      <c r="A50" s="30">
        <v>45404.0</v>
      </c>
      <c r="B50" s="35" t="s">
        <v>1280</v>
      </c>
      <c r="C50" s="35" t="s">
        <v>1281</v>
      </c>
      <c r="D50" s="35" t="s">
        <v>173</v>
      </c>
      <c r="E50" s="35" t="s">
        <v>1282</v>
      </c>
      <c r="F50" s="30">
        <v>45404.0</v>
      </c>
      <c r="G50" s="32" t="s">
        <v>1283</v>
      </c>
      <c r="H50" s="33"/>
      <c r="I50" s="34"/>
      <c r="J50" s="33" t="str">
        <f t="shared" si="1"/>
        <v/>
      </c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</row>
    <row r="51">
      <c r="A51" s="30">
        <v>45387.0</v>
      </c>
      <c r="B51" s="35" t="s">
        <v>1284</v>
      </c>
      <c r="C51" s="35" t="s">
        <v>1285</v>
      </c>
      <c r="D51" s="35" t="s">
        <v>1286</v>
      </c>
      <c r="E51" s="35" t="s">
        <v>1287</v>
      </c>
      <c r="F51" s="30">
        <v>45387.0</v>
      </c>
      <c r="G51" s="32" t="s">
        <v>1288</v>
      </c>
      <c r="H51" s="33"/>
      <c r="I51" s="34"/>
      <c r="J51" s="33" t="str">
        <f t="shared" si="1"/>
        <v/>
      </c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</row>
    <row r="52">
      <c r="A52" s="30">
        <v>45416.0</v>
      </c>
      <c r="B52" s="35" t="s">
        <v>1289</v>
      </c>
      <c r="C52" s="35" t="s">
        <v>1290</v>
      </c>
      <c r="D52" s="35" t="s">
        <v>706</v>
      </c>
      <c r="E52" s="35" t="s">
        <v>1291</v>
      </c>
      <c r="F52" s="30">
        <v>45416.0</v>
      </c>
      <c r="G52" s="32" t="s">
        <v>1292</v>
      </c>
      <c r="H52" s="33"/>
      <c r="I52" s="34" t="s">
        <v>1293</v>
      </c>
      <c r="J52" s="33" t="str">
        <f t="shared" si="1"/>
        <v/>
      </c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</row>
    <row r="53">
      <c r="A53" s="30">
        <v>45413.0</v>
      </c>
      <c r="B53" s="35" t="s">
        <v>1294</v>
      </c>
      <c r="C53" s="35" t="s">
        <v>1295</v>
      </c>
      <c r="D53" s="35" t="s">
        <v>1296</v>
      </c>
      <c r="E53" s="35" t="s">
        <v>1297</v>
      </c>
      <c r="F53" s="30">
        <v>45413.0</v>
      </c>
      <c r="G53" s="32" t="s">
        <v>1298</v>
      </c>
      <c r="H53" s="33"/>
      <c r="I53" s="34"/>
      <c r="J53" s="33" t="str">
        <f t="shared" si="1"/>
        <v/>
      </c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</row>
    <row r="54">
      <c r="A54" s="30">
        <v>45413.0</v>
      </c>
      <c r="B54" s="35" t="s">
        <v>1299</v>
      </c>
      <c r="C54" s="35" t="s">
        <v>1300</v>
      </c>
      <c r="D54" s="35" t="s">
        <v>429</v>
      </c>
      <c r="E54" s="35" t="s">
        <v>1301</v>
      </c>
      <c r="F54" s="30">
        <v>45413.0</v>
      </c>
      <c r="G54" s="32" t="s">
        <v>1302</v>
      </c>
      <c r="H54" s="33"/>
      <c r="I54" s="34"/>
      <c r="J54" s="33" t="str">
        <f t="shared" si="1"/>
        <v/>
      </c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</row>
    <row r="55">
      <c r="A55" s="30">
        <v>45413.0</v>
      </c>
      <c r="B55" s="35" t="s">
        <v>1303</v>
      </c>
      <c r="C55" s="35" t="s">
        <v>1304</v>
      </c>
      <c r="D55" s="35" t="s">
        <v>1305</v>
      </c>
      <c r="E55" s="35" t="s">
        <v>1306</v>
      </c>
      <c r="F55" s="30">
        <v>45413.0</v>
      </c>
      <c r="G55" s="32" t="s">
        <v>1307</v>
      </c>
      <c r="H55" s="33"/>
      <c r="I55" s="34"/>
      <c r="J55" s="33" t="str">
        <f t="shared" si="1"/>
        <v/>
      </c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</row>
    <row r="56">
      <c r="A56" s="30">
        <v>45418.0</v>
      </c>
      <c r="B56" s="35" t="s">
        <v>1308</v>
      </c>
      <c r="C56" s="35" t="s">
        <v>1309</v>
      </c>
      <c r="D56" s="35" t="s">
        <v>1310</v>
      </c>
      <c r="E56" s="35" t="s">
        <v>1311</v>
      </c>
      <c r="F56" s="30">
        <v>45418.0</v>
      </c>
      <c r="G56" s="32" t="s">
        <v>1312</v>
      </c>
      <c r="H56" s="33"/>
      <c r="I56" s="34"/>
      <c r="J56" s="33" t="str">
        <f t="shared" si="1"/>
        <v/>
      </c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</row>
    <row r="57">
      <c r="A57" s="30">
        <v>45415.0</v>
      </c>
      <c r="B57" s="35" t="s">
        <v>1313</v>
      </c>
      <c r="C57" s="35" t="s">
        <v>1314</v>
      </c>
      <c r="D57" s="35" t="s">
        <v>1305</v>
      </c>
      <c r="E57" s="35" t="s">
        <v>203</v>
      </c>
      <c r="F57" s="30">
        <v>45415.0</v>
      </c>
      <c r="G57" s="32" t="s">
        <v>1315</v>
      </c>
      <c r="H57" s="33"/>
      <c r="I57" s="34"/>
      <c r="J57" s="33" t="str">
        <f t="shared" si="1"/>
        <v/>
      </c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</row>
    <row r="58">
      <c r="A58" s="30">
        <v>45413.0</v>
      </c>
      <c r="B58" s="35" t="s">
        <v>1316</v>
      </c>
      <c r="C58" s="35" t="s">
        <v>1317</v>
      </c>
      <c r="D58" s="35" t="s">
        <v>65</v>
      </c>
      <c r="E58" s="35" t="s">
        <v>1318</v>
      </c>
      <c r="F58" s="30">
        <v>45413.0</v>
      </c>
      <c r="G58" s="32" t="s">
        <v>1319</v>
      </c>
      <c r="H58" s="33"/>
      <c r="I58" s="34" t="s">
        <v>1320</v>
      </c>
      <c r="J58" s="33" t="str">
        <f t="shared" si="1"/>
        <v/>
      </c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</row>
    <row r="59">
      <c r="A59" s="30">
        <v>45413.0</v>
      </c>
      <c r="B59" s="35" t="s">
        <v>1321</v>
      </c>
      <c r="C59" s="35" t="s">
        <v>1322</v>
      </c>
      <c r="D59" s="35" t="s">
        <v>122</v>
      </c>
      <c r="E59" s="35" t="s">
        <v>1232</v>
      </c>
      <c r="F59" s="30">
        <v>45413.0</v>
      </c>
      <c r="G59" s="32" t="s">
        <v>1323</v>
      </c>
      <c r="H59" s="33"/>
      <c r="I59" s="34" t="s">
        <v>1324</v>
      </c>
      <c r="J59" s="33" t="str">
        <f t="shared" si="1"/>
        <v/>
      </c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</row>
    <row r="60">
      <c r="A60" s="30">
        <v>45413.0</v>
      </c>
      <c r="B60" s="35" t="s">
        <v>1325</v>
      </c>
      <c r="C60" s="35" t="s">
        <v>1326</v>
      </c>
      <c r="D60" s="35" t="s">
        <v>122</v>
      </c>
      <c r="E60" s="35" t="s">
        <v>1232</v>
      </c>
      <c r="F60" s="30">
        <v>45413.0</v>
      </c>
      <c r="G60" s="32" t="s">
        <v>1327</v>
      </c>
      <c r="H60" s="33"/>
      <c r="I60" s="34" t="s">
        <v>1328</v>
      </c>
      <c r="J60" s="33" t="str">
        <f t="shared" si="1"/>
        <v/>
      </c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</row>
    <row r="61">
      <c r="A61" s="30">
        <v>45413.0</v>
      </c>
      <c r="B61" s="35" t="s">
        <v>1329</v>
      </c>
      <c r="C61" s="35" t="s">
        <v>1330</v>
      </c>
      <c r="D61" s="35" t="s">
        <v>59</v>
      </c>
      <c r="E61" s="35" t="s">
        <v>1331</v>
      </c>
      <c r="F61" s="30">
        <v>45413.0</v>
      </c>
      <c r="G61" s="32" t="s">
        <v>1332</v>
      </c>
      <c r="H61" s="33"/>
      <c r="I61" s="34"/>
      <c r="J61" s="33" t="str">
        <f t="shared" si="1"/>
        <v/>
      </c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</row>
    <row r="62">
      <c r="A62" s="30">
        <v>45413.0</v>
      </c>
      <c r="B62" s="35" t="s">
        <v>1333</v>
      </c>
      <c r="C62" s="35" t="s">
        <v>1334</v>
      </c>
      <c r="D62" s="35" t="s">
        <v>173</v>
      </c>
      <c r="E62" s="35" t="s">
        <v>1335</v>
      </c>
      <c r="F62" s="30">
        <v>45413.0</v>
      </c>
      <c r="G62" s="32" t="s">
        <v>1336</v>
      </c>
      <c r="H62" s="33"/>
      <c r="I62" s="34" t="s">
        <v>1337</v>
      </c>
      <c r="J62" s="33" t="str">
        <f t="shared" si="1"/>
        <v/>
      </c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</row>
    <row r="63">
      <c r="A63" s="30">
        <v>45413.0</v>
      </c>
      <c r="B63" s="35" t="s">
        <v>1338</v>
      </c>
      <c r="C63" s="35" t="s">
        <v>1339</v>
      </c>
      <c r="D63" s="35" t="s">
        <v>122</v>
      </c>
      <c r="E63" s="35" t="s">
        <v>1116</v>
      </c>
      <c r="F63" s="30">
        <v>45413.0</v>
      </c>
      <c r="G63" s="32" t="s">
        <v>1340</v>
      </c>
      <c r="H63" s="33"/>
      <c r="I63" s="34" t="s">
        <v>1341</v>
      </c>
      <c r="J63" s="33" t="str">
        <f t="shared" si="1"/>
        <v/>
      </c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</row>
    <row r="64">
      <c r="A64" s="30">
        <v>45418.0</v>
      </c>
      <c r="B64" s="35" t="s">
        <v>1342</v>
      </c>
      <c r="C64" s="35" t="s">
        <v>1343</v>
      </c>
      <c r="D64" s="35" t="s">
        <v>1296</v>
      </c>
      <c r="E64" s="35" t="s">
        <v>1344</v>
      </c>
      <c r="F64" s="30">
        <v>45418.0</v>
      </c>
      <c r="G64" s="32" t="s">
        <v>1345</v>
      </c>
      <c r="H64" s="33"/>
      <c r="I64" s="34"/>
      <c r="J64" s="33" t="str">
        <f t="shared" si="1"/>
        <v/>
      </c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</row>
    <row r="65">
      <c r="A65" s="30">
        <v>45383.0</v>
      </c>
      <c r="B65" s="35" t="s">
        <v>1098</v>
      </c>
      <c r="C65" s="35" t="s">
        <v>1099</v>
      </c>
      <c r="D65" s="35" t="s">
        <v>116</v>
      </c>
      <c r="E65" s="35" t="s">
        <v>1100</v>
      </c>
      <c r="F65" s="30">
        <v>45383.0</v>
      </c>
      <c r="G65" s="32" t="s">
        <v>1346</v>
      </c>
      <c r="H65" s="33"/>
      <c r="I65" s="34"/>
      <c r="J65" s="33" t="str">
        <f t="shared" si="1"/>
        <v/>
      </c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</row>
    <row r="66">
      <c r="A66" s="42">
        <v>45400.0</v>
      </c>
      <c r="B66" s="43" t="s">
        <v>1347</v>
      </c>
      <c r="C66" s="43" t="s">
        <v>1348</v>
      </c>
      <c r="D66" s="43" t="s">
        <v>328</v>
      </c>
      <c r="E66" s="43" t="s">
        <v>1349</v>
      </c>
      <c r="F66" s="42">
        <v>45400.0</v>
      </c>
      <c r="G66" s="44" t="s">
        <v>1350</v>
      </c>
      <c r="H66" s="45"/>
      <c r="I66" s="45"/>
      <c r="J66" s="46" t="str">
        <f t="shared" si="1"/>
        <v/>
      </c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</row>
    <row r="67">
      <c r="A67" s="30">
        <v>45416.0</v>
      </c>
      <c r="B67" s="35" t="s">
        <v>1351</v>
      </c>
      <c r="C67" s="35" t="s">
        <v>1352</v>
      </c>
      <c r="D67" s="35" t="s">
        <v>1353</v>
      </c>
      <c r="E67" s="35" t="s">
        <v>1354</v>
      </c>
      <c r="F67" s="30">
        <v>45416.0</v>
      </c>
      <c r="G67" s="32" t="s">
        <v>1355</v>
      </c>
      <c r="H67" s="33"/>
      <c r="I67" s="34"/>
      <c r="J67" s="33" t="str">
        <f t="shared" si="1"/>
        <v/>
      </c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</row>
    <row r="68">
      <c r="A68" s="30">
        <v>45413.0</v>
      </c>
      <c r="B68" s="35" t="s">
        <v>1356</v>
      </c>
      <c r="C68" s="35" t="s">
        <v>1357</v>
      </c>
      <c r="D68" s="35" t="s">
        <v>636</v>
      </c>
      <c r="E68" s="35" t="s">
        <v>1358</v>
      </c>
      <c r="F68" s="30">
        <v>45413.0</v>
      </c>
      <c r="G68" s="32" t="s">
        <v>1359</v>
      </c>
      <c r="H68" s="33"/>
      <c r="I68" s="34" t="s">
        <v>1360</v>
      </c>
      <c r="J68" s="33" t="str">
        <f t="shared" si="1"/>
        <v/>
      </c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</row>
    <row r="69">
      <c r="A69" s="41">
        <v>45383.0</v>
      </c>
      <c r="B69" s="38" t="s">
        <v>1361</v>
      </c>
      <c r="C69" s="38" t="s">
        <v>1362</v>
      </c>
      <c r="D69" s="38" t="s">
        <v>1363</v>
      </c>
      <c r="E69" s="38" t="s">
        <v>1364</v>
      </c>
      <c r="F69" s="41">
        <v>45383.0</v>
      </c>
      <c r="G69" s="32" t="s">
        <v>1365</v>
      </c>
      <c r="H69" s="33"/>
      <c r="I69" s="34"/>
      <c r="J69" s="33" t="str">
        <f t="shared" si="1"/>
        <v/>
      </c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</row>
    <row r="70">
      <c r="A70" s="30">
        <v>45426.0</v>
      </c>
      <c r="B70" s="35" t="s">
        <v>1366</v>
      </c>
      <c r="C70" s="35" t="s">
        <v>1367</v>
      </c>
      <c r="D70" s="47"/>
      <c r="E70" s="35"/>
      <c r="F70" s="30">
        <v>45426.0</v>
      </c>
      <c r="G70" s="33" t="s">
        <v>1368</v>
      </c>
      <c r="H70" s="33"/>
      <c r="I70" s="34" t="s">
        <v>1369</v>
      </c>
      <c r="J70" s="33" t="str">
        <f t="shared" si="1"/>
        <v/>
      </c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</row>
    <row r="71">
      <c r="A71" s="41">
        <v>45413.0</v>
      </c>
      <c r="B71" s="38" t="s">
        <v>1370</v>
      </c>
      <c r="C71" s="38" t="s">
        <v>1371</v>
      </c>
      <c r="D71" s="38" t="s">
        <v>646</v>
      </c>
      <c r="E71" s="38" t="s">
        <v>1372</v>
      </c>
      <c r="F71" s="41">
        <v>45413.0</v>
      </c>
      <c r="G71" s="32" t="s">
        <v>1373</v>
      </c>
      <c r="H71" s="33"/>
      <c r="I71" s="34"/>
      <c r="J71" s="33" t="str">
        <f t="shared" si="1"/>
        <v/>
      </c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</row>
    <row r="72">
      <c r="A72" s="30">
        <v>45428.0</v>
      </c>
      <c r="B72" s="35" t="s">
        <v>1374</v>
      </c>
      <c r="C72" s="35" t="s">
        <v>1375</v>
      </c>
      <c r="D72" s="35" t="s">
        <v>28</v>
      </c>
      <c r="E72" s="35" t="s">
        <v>1376</v>
      </c>
      <c r="F72" s="30">
        <v>45428.0</v>
      </c>
      <c r="G72" s="32" t="s">
        <v>1377</v>
      </c>
      <c r="H72" s="33"/>
      <c r="I72" s="34"/>
      <c r="J72" s="33" t="str">
        <f t="shared" si="1"/>
        <v/>
      </c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</row>
    <row r="73">
      <c r="A73" s="30">
        <v>45413.0</v>
      </c>
      <c r="B73" s="35" t="s">
        <v>1378</v>
      </c>
      <c r="C73" s="48" t="s">
        <v>1379</v>
      </c>
      <c r="D73" s="35" t="s">
        <v>1380</v>
      </c>
      <c r="E73" s="35" t="s">
        <v>1381</v>
      </c>
      <c r="F73" s="30">
        <v>45413.0</v>
      </c>
      <c r="G73" s="32" t="s">
        <v>1382</v>
      </c>
      <c r="H73" s="33"/>
      <c r="I73" s="34" t="s">
        <v>1383</v>
      </c>
      <c r="J73" s="33" t="str">
        <f t="shared" si="1"/>
        <v/>
      </c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</row>
    <row r="74">
      <c r="A74" s="30">
        <v>45423.0</v>
      </c>
      <c r="B74" s="35" t="s">
        <v>1384</v>
      </c>
      <c r="C74" s="48" t="s">
        <v>1385</v>
      </c>
      <c r="D74" s="35" t="s">
        <v>1386</v>
      </c>
      <c r="E74" s="35" t="s">
        <v>1387</v>
      </c>
      <c r="F74" s="30">
        <v>45423.0</v>
      </c>
      <c r="G74" s="32" t="s">
        <v>1388</v>
      </c>
      <c r="H74" s="33"/>
      <c r="I74" s="34" t="s">
        <v>1389</v>
      </c>
      <c r="J74" s="33" t="str">
        <f t="shared" si="1"/>
        <v/>
      </c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</row>
    <row r="75">
      <c r="A75" s="30">
        <v>45413.0</v>
      </c>
      <c r="B75" s="35" t="s">
        <v>1390</v>
      </c>
      <c r="C75" s="48" t="s">
        <v>1391</v>
      </c>
      <c r="D75" s="35" t="s">
        <v>1392</v>
      </c>
      <c r="E75" s="35" t="s">
        <v>1393</v>
      </c>
      <c r="F75" s="30">
        <v>45413.0</v>
      </c>
      <c r="G75" s="32" t="s">
        <v>1394</v>
      </c>
      <c r="H75" s="33"/>
      <c r="I75" s="34"/>
      <c r="J75" s="33" t="str">
        <f t="shared" si="1"/>
        <v/>
      </c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</row>
    <row r="76">
      <c r="A76" s="30">
        <v>45413.0</v>
      </c>
      <c r="B76" s="35" t="s">
        <v>1395</v>
      </c>
      <c r="C76" s="48" t="s">
        <v>1396</v>
      </c>
      <c r="D76" s="35" t="s">
        <v>1397</v>
      </c>
      <c r="E76" s="35" t="s">
        <v>1398</v>
      </c>
      <c r="F76" s="30">
        <v>45413.0</v>
      </c>
      <c r="G76" s="32" t="s">
        <v>1399</v>
      </c>
      <c r="H76" s="33"/>
      <c r="I76" s="34"/>
      <c r="J76" s="33" t="str">
        <f t="shared" si="1"/>
        <v/>
      </c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</row>
    <row r="77">
      <c r="A77" s="30">
        <v>45444.0</v>
      </c>
      <c r="B77" s="35" t="s">
        <v>1400</v>
      </c>
      <c r="C77" s="48" t="s">
        <v>1401</v>
      </c>
      <c r="D77" s="35" t="s">
        <v>1402</v>
      </c>
      <c r="E77" s="35" t="s">
        <v>1403</v>
      </c>
      <c r="F77" s="30">
        <v>45444.0</v>
      </c>
      <c r="G77" s="33" t="s">
        <v>1404</v>
      </c>
      <c r="H77" s="33" t="s">
        <v>1405</v>
      </c>
      <c r="I77" s="34"/>
      <c r="J77" s="33" t="str">
        <f t="shared" si="1"/>
        <v/>
      </c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</row>
    <row r="78">
      <c r="A78" s="30">
        <v>45444.0</v>
      </c>
      <c r="B78" s="35" t="s">
        <v>1406</v>
      </c>
      <c r="C78" s="48" t="s">
        <v>1407</v>
      </c>
      <c r="D78" s="35" t="s">
        <v>28</v>
      </c>
      <c r="E78" s="35" t="s">
        <v>1408</v>
      </c>
      <c r="F78" s="30">
        <v>45444.0</v>
      </c>
      <c r="G78" s="33" t="s">
        <v>1404</v>
      </c>
      <c r="H78" s="33" t="s">
        <v>1409</v>
      </c>
      <c r="I78" s="34"/>
      <c r="J78" s="33" t="str">
        <f t="shared" si="1"/>
        <v/>
      </c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</row>
    <row r="79">
      <c r="A79" s="49">
        <v>45292.0</v>
      </c>
      <c r="B79" s="47" t="s">
        <v>1410</v>
      </c>
      <c r="C79" s="47" t="s">
        <v>1411</v>
      </c>
      <c r="D79" s="47" t="s">
        <v>1412</v>
      </c>
      <c r="E79" s="47" t="s">
        <v>1413</v>
      </c>
      <c r="F79" s="49">
        <v>45292.0</v>
      </c>
      <c r="G79" s="33"/>
      <c r="H79" s="33"/>
      <c r="I79" s="34" t="s">
        <v>1414</v>
      </c>
      <c r="J79" s="33" t="str">
        <f t="shared" si="1"/>
        <v/>
      </c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</row>
    <row r="80">
      <c r="A80" s="50">
        <v>24476.0</v>
      </c>
      <c r="B80" s="47" t="s">
        <v>1415</v>
      </c>
      <c r="C80" s="47" t="s">
        <v>1416</v>
      </c>
      <c r="D80" s="47" t="s">
        <v>1417</v>
      </c>
      <c r="E80" s="47" t="s">
        <v>1413</v>
      </c>
      <c r="F80" s="50">
        <v>24476.0</v>
      </c>
      <c r="G80" s="33"/>
      <c r="H80" s="33"/>
      <c r="I80" s="34" t="s">
        <v>1418</v>
      </c>
      <c r="J80" s="33" t="str">
        <f t="shared" si="1"/>
        <v/>
      </c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</row>
    <row r="81">
      <c r="A81" s="49">
        <v>45302.0</v>
      </c>
      <c r="B81" s="47" t="s">
        <v>1419</v>
      </c>
      <c r="C81" s="47" t="s">
        <v>1420</v>
      </c>
      <c r="D81" s="47" t="s">
        <v>1412</v>
      </c>
      <c r="E81" s="47" t="s">
        <v>1421</v>
      </c>
      <c r="F81" s="49">
        <v>45302.0</v>
      </c>
      <c r="G81" s="33"/>
      <c r="H81" s="33"/>
      <c r="I81" s="34" t="s">
        <v>1422</v>
      </c>
      <c r="J81" s="33" t="str">
        <f t="shared" si="1"/>
        <v/>
      </c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</row>
    <row r="82">
      <c r="A82" s="49">
        <v>45312.0</v>
      </c>
      <c r="B82" s="47" t="s">
        <v>1423</v>
      </c>
      <c r="C82" s="47" t="s">
        <v>1424</v>
      </c>
      <c r="D82" s="47" t="s">
        <v>1412</v>
      </c>
      <c r="E82" s="47" t="s">
        <v>1421</v>
      </c>
      <c r="F82" s="49">
        <v>45312.0</v>
      </c>
      <c r="G82" s="33"/>
      <c r="H82" s="33"/>
      <c r="I82" s="34" t="s">
        <v>1425</v>
      </c>
      <c r="J82" s="33" t="str">
        <f t="shared" si="1"/>
        <v/>
      </c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</row>
    <row r="83">
      <c r="A83" s="49">
        <v>45312.0</v>
      </c>
      <c r="B83" s="47" t="s">
        <v>1426</v>
      </c>
      <c r="C83" s="47" t="s">
        <v>1427</v>
      </c>
      <c r="D83" s="47" t="s">
        <v>1412</v>
      </c>
      <c r="E83" s="47" t="s">
        <v>1428</v>
      </c>
      <c r="F83" s="49">
        <v>45312.0</v>
      </c>
      <c r="G83" s="33"/>
      <c r="H83" s="33"/>
      <c r="I83" s="34" t="s">
        <v>1429</v>
      </c>
      <c r="J83" s="33" t="str">
        <f t="shared" si="1"/>
        <v/>
      </c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</row>
    <row r="84">
      <c r="A84" s="49">
        <v>45310.0</v>
      </c>
      <c r="B84" s="47" t="s">
        <v>1430</v>
      </c>
      <c r="C84" s="47" t="s">
        <v>1431</v>
      </c>
      <c r="D84" s="47" t="s">
        <v>1412</v>
      </c>
      <c r="E84" s="47" t="s">
        <v>1421</v>
      </c>
      <c r="F84" s="49">
        <v>45310.0</v>
      </c>
      <c r="G84" s="33"/>
      <c r="H84" s="33"/>
      <c r="I84" s="34" t="s">
        <v>1432</v>
      </c>
      <c r="J84" s="33" t="str">
        <f t="shared" si="1"/>
        <v/>
      </c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</row>
    <row r="85">
      <c r="A85" s="49">
        <v>45316.0</v>
      </c>
      <c r="B85" s="47" t="s">
        <v>1433</v>
      </c>
      <c r="C85" s="47" t="s">
        <v>1434</v>
      </c>
      <c r="D85" s="47" t="s">
        <v>1412</v>
      </c>
      <c r="E85" s="47" t="s">
        <v>1413</v>
      </c>
      <c r="F85" s="49">
        <v>45316.0</v>
      </c>
      <c r="G85" s="33"/>
      <c r="H85" s="33"/>
      <c r="I85" s="34" t="s">
        <v>1435</v>
      </c>
      <c r="J85" s="33" t="str">
        <f t="shared" si="1"/>
        <v/>
      </c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</row>
    <row r="86">
      <c r="A86" s="49">
        <v>45323.0</v>
      </c>
      <c r="B86" s="47" t="s">
        <v>1436</v>
      </c>
      <c r="C86" s="47" t="s">
        <v>1437</v>
      </c>
      <c r="D86" s="47" t="s">
        <v>1412</v>
      </c>
      <c r="E86" s="47" t="s">
        <v>1438</v>
      </c>
      <c r="F86" s="49">
        <v>45323.0</v>
      </c>
      <c r="G86" s="33"/>
      <c r="H86" s="33"/>
      <c r="I86" s="34" t="s">
        <v>1439</v>
      </c>
      <c r="J86" s="33" t="str">
        <f t="shared" si="1"/>
        <v/>
      </c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</row>
    <row r="87">
      <c r="A87" s="49">
        <v>45323.0</v>
      </c>
      <c r="B87" s="47" t="s">
        <v>1440</v>
      </c>
      <c r="C87" s="47" t="s">
        <v>1441</v>
      </c>
      <c r="D87" s="47" t="s">
        <v>1412</v>
      </c>
      <c r="E87" s="47" t="s">
        <v>1438</v>
      </c>
      <c r="F87" s="49">
        <v>45323.0</v>
      </c>
      <c r="G87" s="33"/>
      <c r="H87" s="33"/>
      <c r="I87" s="34" t="s">
        <v>1442</v>
      </c>
      <c r="J87" s="33" t="str">
        <f t="shared" si="1"/>
        <v/>
      </c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</row>
    <row r="88">
      <c r="A88" s="49">
        <v>45323.0</v>
      </c>
      <c r="B88" s="47" t="s">
        <v>1443</v>
      </c>
      <c r="C88" s="47" t="s">
        <v>1444</v>
      </c>
      <c r="D88" s="47" t="s">
        <v>1412</v>
      </c>
      <c r="E88" s="47" t="s">
        <v>1438</v>
      </c>
      <c r="F88" s="49">
        <v>45323.0</v>
      </c>
      <c r="G88" s="33"/>
      <c r="H88" s="33"/>
      <c r="I88" s="34" t="s">
        <v>1445</v>
      </c>
      <c r="J88" s="33" t="str">
        <f t="shared" si="1"/>
        <v/>
      </c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</row>
    <row r="89">
      <c r="A89" s="49">
        <v>45330.0</v>
      </c>
      <c r="B89" s="47" t="s">
        <v>1446</v>
      </c>
      <c r="C89" s="47" t="s">
        <v>1447</v>
      </c>
      <c r="D89" s="47" t="s">
        <v>1448</v>
      </c>
      <c r="E89" s="47" t="s">
        <v>1421</v>
      </c>
      <c r="F89" s="49">
        <v>45330.0</v>
      </c>
      <c r="G89" s="33"/>
      <c r="H89" s="33"/>
      <c r="I89" s="34" t="s">
        <v>1449</v>
      </c>
      <c r="J89" s="33" t="str">
        <f t="shared" si="1"/>
        <v/>
      </c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</row>
    <row r="90">
      <c r="A90" s="49">
        <v>45329.0</v>
      </c>
      <c r="B90" s="47" t="s">
        <v>1450</v>
      </c>
      <c r="C90" s="47" t="s">
        <v>1451</v>
      </c>
      <c r="D90" s="47" t="s">
        <v>1412</v>
      </c>
      <c r="E90" s="47" t="s">
        <v>1452</v>
      </c>
      <c r="F90" s="49">
        <v>45329.0</v>
      </c>
      <c r="G90" s="33"/>
      <c r="H90" s="33"/>
      <c r="I90" s="34" t="s">
        <v>1453</v>
      </c>
      <c r="J90" s="33" t="str">
        <f t="shared" si="1"/>
        <v/>
      </c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</row>
    <row r="91">
      <c r="A91" s="49">
        <v>45333.0</v>
      </c>
      <c r="B91" s="47" t="s">
        <v>1454</v>
      </c>
      <c r="C91" s="47" t="s">
        <v>1455</v>
      </c>
      <c r="D91" s="47" t="s">
        <v>1456</v>
      </c>
      <c r="E91" s="47" t="s">
        <v>1457</v>
      </c>
      <c r="F91" s="49">
        <v>45333.0</v>
      </c>
      <c r="G91" s="33"/>
      <c r="H91" s="33"/>
      <c r="I91" s="34" t="s">
        <v>1458</v>
      </c>
      <c r="J91" s="33" t="str">
        <f t="shared" si="1"/>
        <v/>
      </c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</row>
    <row r="92">
      <c r="A92" s="49">
        <v>45334.0</v>
      </c>
      <c r="B92" s="47" t="s">
        <v>1459</v>
      </c>
      <c r="C92" s="47" t="s">
        <v>1460</v>
      </c>
      <c r="D92" s="47" t="s">
        <v>1412</v>
      </c>
      <c r="E92" s="47" t="s">
        <v>1438</v>
      </c>
      <c r="F92" s="49">
        <v>45334.0</v>
      </c>
      <c r="G92" s="33"/>
      <c r="H92" s="33"/>
      <c r="I92" s="34" t="s">
        <v>1461</v>
      </c>
      <c r="J92" s="33" t="str">
        <f t="shared" si="1"/>
        <v/>
      </c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</row>
    <row r="93">
      <c r="A93" s="49">
        <v>45338.0</v>
      </c>
      <c r="B93" s="47" t="s">
        <v>1462</v>
      </c>
      <c r="C93" s="47" t="s">
        <v>1463</v>
      </c>
      <c r="D93" s="47" t="s">
        <v>1417</v>
      </c>
      <c r="E93" s="47" t="s">
        <v>1464</v>
      </c>
      <c r="F93" s="49">
        <v>45338.0</v>
      </c>
      <c r="G93" s="33"/>
      <c r="H93" s="33"/>
      <c r="I93" s="34" t="s">
        <v>1465</v>
      </c>
      <c r="J93" s="33" t="str">
        <f t="shared" si="1"/>
        <v/>
      </c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</row>
    <row r="94">
      <c r="A94" s="49">
        <v>45338.0</v>
      </c>
      <c r="B94" s="47" t="s">
        <v>1466</v>
      </c>
      <c r="C94" s="47" t="s">
        <v>1467</v>
      </c>
      <c r="D94" s="47" t="s">
        <v>1468</v>
      </c>
      <c r="E94" s="47" t="s">
        <v>1464</v>
      </c>
      <c r="F94" s="49">
        <v>45338.0</v>
      </c>
      <c r="G94" s="33"/>
      <c r="H94" s="33"/>
      <c r="I94" s="34" t="s">
        <v>1469</v>
      </c>
      <c r="J94" s="33" t="str">
        <f t="shared" si="1"/>
        <v/>
      </c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</row>
    <row r="95">
      <c r="A95" s="49">
        <v>45339.0</v>
      </c>
      <c r="B95" s="47" t="s">
        <v>1470</v>
      </c>
      <c r="C95" s="47" t="s">
        <v>1471</v>
      </c>
      <c r="D95" s="47" t="s">
        <v>1412</v>
      </c>
      <c r="E95" s="47" t="s">
        <v>1472</v>
      </c>
      <c r="F95" s="49">
        <v>45339.0</v>
      </c>
      <c r="G95" s="33"/>
      <c r="H95" s="33"/>
      <c r="I95" s="34" t="s">
        <v>1473</v>
      </c>
      <c r="J95" s="33" t="str">
        <f t="shared" si="1"/>
        <v/>
      </c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</row>
    <row r="96">
      <c r="A96" s="49">
        <v>45339.0</v>
      </c>
      <c r="B96" s="47" t="s">
        <v>1474</v>
      </c>
      <c r="C96" s="47" t="s">
        <v>1475</v>
      </c>
      <c r="D96" s="47" t="s">
        <v>1412</v>
      </c>
      <c r="E96" s="47" t="s">
        <v>1476</v>
      </c>
      <c r="F96" s="49">
        <v>45339.0</v>
      </c>
      <c r="G96" s="33"/>
      <c r="H96" s="33"/>
      <c r="I96" s="34" t="s">
        <v>1477</v>
      </c>
      <c r="J96" s="33" t="str">
        <f t="shared" si="1"/>
        <v/>
      </c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</row>
    <row r="97">
      <c r="A97" s="49">
        <v>45352.0</v>
      </c>
      <c r="B97" s="47" t="s">
        <v>1478</v>
      </c>
      <c r="C97" s="47" t="s">
        <v>1479</v>
      </c>
      <c r="D97" s="47" t="s">
        <v>1412</v>
      </c>
      <c r="E97" s="47" t="s">
        <v>1480</v>
      </c>
      <c r="F97" s="49">
        <v>45352.0</v>
      </c>
      <c r="G97" s="33"/>
      <c r="H97" s="33"/>
      <c r="I97" s="34" t="s">
        <v>1481</v>
      </c>
      <c r="J97" s="33" t="str">
        <f t="shared" si="1"/>
        <v/>
      </c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</row>
    <row r="98">
      <c r="A98" s="49">
        <v>45352.0</v>
      </c>
      <c r="B98" s="47" t="s">
        <v>1482</v>
      </c>
      <c r="C98" s="47" t="s">
        <v>1483</v>
      </c>
      <c r="D98" s="47" t="s">
        <v>1484</v>
      </c>
      <c r="E98" s="47" t="s">
        <v>1421</v>
      </c>
      <c r="F98" s="49">
        <v>45352.0</v>
      </c>
      <c r="G98" s="33"/>
      <c r="H98" s="33"/>
      <c r="I98" s="34" t="s">
        <v>1485</v>
      </c>
      <c r="J98" s="33" t="str">
        <f t="shared" si="1"/>
        <v/>
      </c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</row>
    <row r="99">
      <c r="A99" s="49">
        <v>45352.0</v>
      </c>
      <c r="B99" s="47" t="s">
        <v>1486</v>
      </c>
      <c r="C99" s="47" t="s">
        <v>1487</v>
      </c>
      <c r="D99" s="47" t="s">
        <v>1412</v>
      </c>
      <c r="E99" s="47" t="s">
        <v>1488</v>
      </c>
      <c r="F99" s="49">
        <v>45352.0</v>
      </c>
      <c r="G99" s="33"/>
      <c r="H99" s="33"/>
      <c r="I99" s="34" t="s">
        <v>1489</v>
      </c>
      <c r="J99" s="33" t="str">
        <f t="shared" si="1"/>
        <v/>
      </c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</row>
    <row r="100">
      <c r="A100" s="49">
        <v>45352.0</v>
      </c>
      <c r="B100" s="47" t="s">
        <v>1490</v>
      </c>
      <c r="C100" s="47" t="s">
        <v>1491</v>
      </c>
      <c r="D100" s="47" t="s">
        <v>1492</v>
      </c>
      <c r="E100" s="47" t="s">
        <v>1493</v>
      </c>
      <c r="F100" s="49">
        <v>45352.0</v>
      </c>
      <c r="G100" s="33"/>
      <c r="H100" s="33"/>
      <c r="I100" s="34" t="s">
        <v>1494</v>
      </c>
      <c r="J100" s="33" t="str">
        <f t="shared" si="1"/>
        <v/>
      </c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</row>
    <row r="101">
      <c r="A101" s="49">
        <v>45353.0</v>
      </c>
      <c r="B101" s="47" t="s">
        <v>1495</v>
      </c>
      <c r="C101" s="47" t="s">
        <v>1496</v>
      </c>
      <c r="D101" s="47" t="s">
        <v>1412</v>
      </c>
      <c r="E101" s="47" t="s">
        <v>1457</v>
      </c>
      <c r="F101" s="49">
        <v>45353.0</v>
      </c>
      <c r="G101" s="33"/>
      <c r="H101" s="33"/>
      <c r="I101" s="34" t="s">
        <v>1497</v>
      </c>
      <c r="J101" s="33" t="str">
        <f t="shared" si="1"/>
        <v/>
      </c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</row>
    <row r="102">
      <c r="A102" s="49">
        <v>45355.0</v>
      </c>
      <c r="B102" s="47" t="s">
        <v>1498</v>
      </c>
      <c r="C102" s="47" t="s">
        <v>1499</v>
      </c>
      <c r="D102" s="47" t="s">
        <v>1412</v>
      </c>
      <c r="E102" s="47" t="s">
        <v>1421</v>
      </c>
      <c r="F102" s="49">
        <v>45355.0</v>
      </c>
      <c r="G102" s="33"/>
      <c r="H102" s="33"/>
      <c r="I102" s="34" t="s">
        <v>1500</v>
      </c>
      <c r="J102" s="33" t="str">
        <f t="shared" si="1"/>
        <v/>
      </c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</row>
    <row r="103">
      <c r="A103" s="49">
        <v>45356.0</v>
      </c>
      <c r="B103" s="47" t="s">
        <v>1501</v>
      </c>
      <c r="C103" s="47" t="s">
        <v>1502</v>
      </c>
      <c r="D103" s="47" t="s">
        <v>1456</v>
      </c>
      <c r="E103" s="47" t="s">
        <v>1472</v>
      </c>
      <c r="F103" s="49">
        <v>45356.0</v>
      </c>
      <c r="G103" s="33"/>
      <c r="H103" s="33"/>
      <c r="I103" s="34" t="s">
        <v>1503</v>
      </c>
      <c r="J103" s="33" t="str">
        <f t="shared" si="1"/>
        <v/>
      </c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</row>
    <row r="104">
      <c r="A104" s="49">
        <v>45366.0</v>
      </c>
      <c r="B104" s="47" t="s">
        <v>1504</v>
      </c>
      <c r="C104" s="47" t="s">
        <v>1505</v>
      </c>
      <c r="D104" s="47" t="s">
        <v>1412</v>
      </c>
      <c r="E104" s="47" t="s">
        <v>1506</v>
      </c>
      <c r="F104" s="49">
        <v>45366.0</v>
      </c>
      <c r="G104" s="33"/>
      <c r="H104" s="33"/>
      <c r="I104" s="34" t="s">
        <v>1507</v>
      </c>
      <c r="J104" s="33" t="str">
        <f t="shared" si="1"/>
        <v/>
      </c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</row>
    <row r="105">
      <c r="A105" s="49">
        <v>45367.0</v>
      </c>
      <c r="B105" s="47" t="s">
        <v>1508</v>
      </c>
      <c r="C105" s="47" t="s">
        <v>1509</v>
      </c>
      <c r="D105" s="47" t="s">
        <v>1510</v>
      </c>
      <c r="E105" s="47" t="s">
        <v>1421</v>
      </c>
      <c r="F105" s="49">
        <v>45367.0</v>
      </c>
      <c r="G105" s="33"/>
      <c r="H105" s="33"/>
      <c r="I105" s="34" t="s">
        <v>1511</v>
      </c>
      <c r="J105" s="33" t="str">
        <f t="shared" si="1"/>
        <v/>
      </c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</row>
    <row r="106">
      <c r="A106" s="49">
        <v>45372.0</v>
      </c>
      <c r="B106" s="47" t="s">
        <v>1512</v>
      </c>
      <c r="C106" s="47" t="s">
        <v>1513</v>
      </c>
      <c r="D106" s="47" t="s">
        <v>1412</v>
      </c>
      <c r="E106" s="47" t="s">
        <v>1457</v>
      </c>
      <c r="F106" s="49">
        <v>45372.0</v>
      </c>
      <c r="G106" s="33"/>
      <c r="H106" s="33"/>
      <c r="I106" s="34" t="s">
        <v>1514</v>
      </c>
      <c r="J106" s="33" t="str">
        <f t="shared" si="1"/>
        <v/>
      </c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</row>
    <row r="107">
      <c r="A107" s="49">
        <v>45380.0</v>
      </c>
      <c r="B107" s="47" t="s">
        <v>1515</v>
      </c>
      <c r="C107" s="47" t="s">
        <v>1516</v>
      </c>
      <c r="D107" s="47" t="s">
        <v>1412</v>
      </c>
      <c r="E107" s="47" t="s">
        <v>1517</v>
      </c>
      <c r="F107" s="49">
        <v>45380.0</v>
      </c>
      <c r="G107" s="33"/>
      <c r="H107" s="33"/>
      <c r="I107" s="34" t="s">
        <v>1518</v>
      </c>
      <c r="J107" s="33" t="str">
        <f t="shared" si="1"/>
        <v/>
      </c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</row>
    <row r="108">
      <c r="A108" s="49">
        <v>45383.0</v>
      </c>
      <c r="B108" s="47" t="s">
        <v>1519</v>
      </c>
      <c r="C108" s="47" t="s">
        <v>1520</v>
      </c>
      <c r="D108" s="47" t="s">
        <v>1468</v>
      </c>
      <c r="E108" s="47" t="s">
        <v>1521</v>
      </c>
      <c r="F108" s="49">
        <v>45383.0</v>
      </c>
      <c r="G108" s="33"/>
      <c r="H108" s="33"/>
      <c r="I108" s="34" t="s">
        <v>1522</v>
      </c>
      <c r="J108" s="33" t="str">
        <f t="shared" si="1"/>
        <v/>
      </c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</row>
    <row r="109">
      <c r="A109" s="49">
        <v>45388.0</v>
      </c>
      <c r="B109" s="47" t="s">
        <v>1523</v>
      </c>
      <c r="C109" s="47" t="s">
        <v>1524</v>
      </c>
      <c r="D109" s="47" t="s">
        <v>1412</v>
      </c>
      <c r="E109" s="47" t="s">
        <v>1525</v>
      </c>
      <c r="F109" s="49">
        <v>45388.0</v>
      </c>
      <c r="G109" s="33"/>
      <c r="H109" s="33"/>
      <c r="I109" s="34" t="s">
        <v>1526</v>
      </c>
      <c r="J109" s="33" t="str">
        <f t="shared" si="1"/>
        <v/>
      </c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</row>
    <row r="110">
      <c r="A110" s="49">
        <v>45398.0</v>
      </c>
      <c r="B110" s="47" t="s">
        <v>1527</v>
      </c>
      <c r="C110" s="47" t="s">
        <v>1528</v>
      </c>
      <c r="D110" s="47" t="s">
        <v>1412</v>
      </c>
      <c r="E110" s="47" t="s">
        <v>1413</v>
      </c>
      <c r="F110" s="49">
        <v>45398.0</v>
      </c>
      <c r="G110" s="33"/>
      <c r="H110" s="33"/>
      <c r="I110" s="34" t="s">
        <v>1529</v>
      </c>
      <c r="J110" s="33" t="str">
        <f t="shared" si="1"/>
        <v/>
      </c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</row>
    <row r="111">
      <c r="A111" s="49">
        <v>45403.0</v>
      </c>
      <c r="B111" s="47" t="s">
        <v>1530</v>
      </c>
      <c r="C111" s="47" t="s">
        <v>1531</v>
      </c>
      <c r="D111" s="47" t="s">
        <v>1412</v>
      </c>
      <c r="E111" s="47" t="s">
        <v>1421</v>
      </c>
      <c r="F111" s="49">
        <v>45403.0</v>
      </c>
      <c r="G111" s="33"/>
      <c r="H111" s="33"/>
      <c r="I111" s="34" t="s">
        <v>1532</v>
      </c>
      <c r="J111" s="33" t="str">
        <f t="shared" si="1"/>
        <v/>
      </c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</row>
    <row r="112">
      <c r="A112" s="49">
        <v>45407.0</v>
      </c>
      <c r="B112" s="47" t="s">
        <v>1533</v>
      </c>
      <c r="C112" s="47" t="s">
        <v>1534</v>
      </c>
      <c r="D112" s="47" t="s">
        <v>1456</v>
      </c>
      <c r="E112" s="47" t="s">
        <v>1438</v>
      </c>
      <c r="F112" s="49">
        <v>45407.0</v>
      </c>
      <c r="G112" s="33"/>
      <c r="H112" s="33"/>
      <c r="I112" s="34" t="s">
        <v>1535</v>
      </c>
      <c r="J112" s="33" t="str">
        <f t="shared" si="1"/>
        <v/>
      </c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</row>
    <row r="113">
      <c r="A113" s="49">
        <v>45413.0</v>
      </c>
      <c r="B113" s="47" t="s">
        <v>1536</v>
      </c>
      <c r="C113" s="47" t="s">
        <v>1537</v>
      </c>
      <c r="D113" s="47" t="s">
        <v>1412</v>
      </c>
      <c r="E113" s="47" t="s">
        <v>1525</v>
      </c>
      <c r="F113" s="49">
        <v>45413.0</v>
      </c>
      <c r="G113" s="33"/>
      <c r="H113" s="33"/>
      <c r="I113" s="34" t="s">
        <v>1538</v>
      </c>
      <c r="J113" s="33" t="str">
        <f t="shared" si="1"/>
        <v/>
      </c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</row>
    <row r="114">
      <c r="A114" s="49">
        <v>45413.0</v>
      </c>
      <c r="B114" s="47" t="s">
        <v>1539</v>
      </c>
      <c r="C114" s="47" t="s">
        <v>1540</v>
      </c>
      <c r="D114" s="47" t="s">
        <v>1417</v>
      </c>
      <c r="E114" s="47" t="s">
        <v>1421</v>
      </c>
      <c r="F114" s="49">
        <v>45413.0</v>
      </c>
      <c r="G114" s="33"/>
      <c r="H114" s="33"/>
      <c r="I114" s="34" t="s">
        <v>1541</v>
      </c>
      <c r="J114" s="33" t="str">
        <f t="shared" si="1"/>
        <v/>
      </c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</row>
    <row r="115">
      <c r="A115" s="49">
        <v>45297.0</v>
      </c>
      <c r="B115" s="47" t="s">
        <v>1542</v>
      </c>
      <c r="C115" s="47" t="s">
        <v>1543</v>
      </c>
      <c r="D115" s="47" t="s">
        <v>1544</v>
      </c>
      <c r="E115" s="47" t="s">
        <v>1545</v>
      </c>
      <c r="F115" s="49">
        <v>45297.0</v>
      </c>
      <c r="G115" s="33"/>
      <c r="H115" s="33"/>
      <c r="I115" s="34" t="s">
        <v>1546</v>
      </c>
      <c r="J115" s="33" t="str">
        <f t="shared" si="1"/>
        <v/>
      </c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</row>
    <row r="116">
      <c r="A116" s="49">
        <v>45317.0</v>
      </c>
      <c r="B116" s="47" t="s">
        <v>1547</v>
      </c>
      <c r="C116" s="47" t="s">
        <v>1548</v>
      </c>
      <c r="D116" s="47" t="s">
        <v>1544</v>
      </c>
      <c r="E116" s="47" t="s">
        <v>1549</v>
      </c>
      <c r="F116" s="49">
        <v>45317.0</v>
      </c>
      <c r="G116" s="33"/>
      <c r="H116" s="33"/>
      <c r="I116" s="34" t="s">
        <v>1550</v>
      </c>
      <c r="J116" s="33" t="str">
        <f t="shared" si="1"/>
        <v/>
      </c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</row>
    <row r="117">
      <c r="A117" s="49">
        <v>45323.0</v>
      </c>
      <c r="B117" s="47" t="s">
        <v>1551</v>
      </c>
      <c r="C117" s="47" t="s">
        <v>1552</v>
      </c>
      <c r="D117" s="47" t="s">
        <v>1544</v>
      </c>
      <c r="E117" s="47" t="s">
        <v>1549</v>
      </c>
      <c r="F117" s="49">
        <v>45323.0</v>
      </c>
      <c r="G117" s="33"/>
      <c r="H117" s="33"/>
      <c r="I117" s="34" t="s">
        <v>1553</v>
      </c>
      <c r="J117" s="33" t="str">
        <f t="shared" si="1"/>
        <v/>
      </c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</row>
    <row r="118">
      <c r="A118" s="49">
        <v>45335.0</v>
      </c>
      <c r="B118" s="47" t="s">
        <v>1554</v>
      </c>
      <c r="C118" s="47" t="s">
        <v>1555</v>
      </c>
      <c r="D118" s="47" t="s">
        <v>1544</v>
      </c>
      <c r="E118" s="47" t="s">
        <v>1549</v>
      </c>
      <c r="F118" s="49">
        <v>45335.0</v>
      </c>
      <c r="G118" s="33"/>
      <c r="H118" s="33"/>
      <c r="I118" s="34" t="s">
        <v>1556</v>
      </c>
      <c r="J118" s="33" t="str">
        <f t="shared" si="1"/>
        <v/>
      </c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</row>
    <row r="119">
      <c r="A119" s="49">
        <v>45338.0</v>
      </c>
      <c r="B119" s="47" t="s">
        <v>1557</v>
      </c>
      <c r="C119" s="47" t="s">
        <v>1558</v>
      </c>
      <c r="D119" s="47" t="s">
        <v>1544</v>
      </c>
      <c r="E119" s="47" t="s">
        <v>1545</v>
      </c>
      <c r="F119" s="49">
        <v>45338.0</v>
      </c>
      <c r="G119" s="33"/>
      <c r="H119" s="33"/>
      <c r="I119" s="34" t="s">
        <v>1559</v>
      </c>
      <c r="J119" s="33" t="str">
        <f t="shared" si="1"/>
        <v/>
      </c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</row>
    <row r="120">
      <c r="A120" s="49">
        <v>45413.0</v>
      </c>
      <c r="B120" s="35" t="s">
        <v>1560</v>
      </c>
      <c r="C120" s="35" t="s">
        <v>1561</v>
      </c>
      <c r="D120" s="35" t="s">
        <v>173</v>
      </c>
      <c r="E120" s="35" t="s">
        <v>449</v>
      </c>
      <c r="F120" s="49">
        <v>45413.0</v>
      </c>
      <c r="G120" s="33"/>
      <c r="H120" s="33" t="s">
        <v>1562</v>
      </c>
      <c r="I120" s="33"/>
      <c r="J120" s="33" t="str">
        <f t="shared" si="1"/>
        <v/>
      </c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</row>
    <row r="121">
      <c r="A121" s="49">
        <v>45413.0</v>
      </c>
      <c r="B121" s="35" t="s">
        <v>1563</v>
      </c>
      <c r="C121" s="35" t="s">
        <v>1564</v>
      </c>
      <c r="D121" s="35" t="s">
        <v>207</v>
      </c>
      <c r="E121" s="35" t="s">
        <v>1565</v>
      </c>
      <c r="F121" s="49">
        <v>45413.0</v>
      </c>
      <c r="G121" s="33"/>
      <c r="H121" s="33" t="s">
        <v>1566</v>
      </c>
      <c r="I121" s="33"/>
      <c r="J121" s="33" t="str">
        <f t="shared" si="1"/>
        <v/>
      </c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</row>
    <row r="122">
      <c r="A122" s="49">
        <v>45414.0</v>
      </c>
      <c r="B122" s="47" t="s">
        <v>1567</v>
      </c>
      <c r="C122" s="35" t="s">
        <v>1568</v>
      </c>
      <c r="D122" s="35" t="s">
        <v>207</v>
      </c>
      <c r="E122" s="35" t="s">
        <v>1569</v>
      </c>
      <c r="F122" s="49">
        <v>45414.0</v>
      </c>
      <c r="G122" s="33"/>
      <c r="H122" s="33"/>
      <c r="I122" s="34" t="s">
        <v>1570</v>
      </c>
      <c r="J122" s="33" t="str">
        <f t="shared" si="1"/>
        <v/>
      </c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</row>
    <row r="123">
      <c r="A123" s="30">
        <v>45413.0</v>
      </c>
      <c r="B123" s="47" t="s">
        <v>1571</v>
      </c>
      <c r="C123" s="35" t="s">
        <v>1572</v>
      </c>
      <c r="D123" s="35" t="s">
        <v>328</v>
      </c>
      <c r="E123" s="35" t="s">
        <v>1573</v>
      </c>
      <c r="F123" s="30">
        <v>45413.0</v>
      </c>
      <c r="G123" s="33"/>
      <c r="H123" s="33"/>
      <c r="I123" s="34" t="s">
        <v>1574</v>
      </c>
      <c r="J123" s="33" t="str">
        <f t="shared" si="1"/>
        <v/>
      </c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</row>
    <row r="124">
      <c r="A124" s="30">
        <v>45414.0</v>
      </c>
      <c r="B124" s="47" t="s">
        <v>1575</v>
      </c>
      <c r="C124" s="35" t="s">
        <v>1576</v>
      </c>
      <c r="D124" s="35" t="s">
        <v>173</v>
      </c>
      <c r="E124" s="35" t="s">
        <v>1577</v>
      </c>
      <c r="F124" s="30">
        <v>45414.0</v>
      </c>
      <c r="G124" s="33"/>
      <c r="H124" s="33"/>
      <c r="I124" s="34" t="s">
        <v>1578</v>
      </c>
      <c r="J124" s="33" t="str">
        <f t="shared" si="1"/>
        <v/>
      </c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</row>
    <row r="125">
      <c r="A125" s="30">
        <v>45414.0</v>
      </c>
      <c r="B125" s="47" t="s">
        <v>1579</v>
      </c>
      <c r="C125" s="35" t="s">
        <v>1580</v>
      </c>
      <c r="D125" s="35" t="s">
        <v>173</v>
      </c>
      <c r="E125" s="35" t="s">
        <v>1581</v>
      </c>
      <c r="F125" s="30">
        <v>45414.0</v>
      </c>
      <c r="G125" s="33"/>
      <c r="H125" s="33"/>
      <c r="I125" s="34" t="s">
        <v>1582</v>
      </c>
      <c r="J125" s="33" t="str">
        <f t="shared" si="1"/>
        <v/>
      </c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</row>
    <row r="126">
      <c r="A126" s="30">
        <v>45415.0</v>
      </c>
      <c r="B126" s="35" t="s">
        <v>1583</v>
      </c>
      <c r="C126" s="35" t="s">
        <v>1584</v>
      </c>
      <c r="D126" s="35" t="s">
        <v>380</v>
      </c>
      <c r="E126" s="35" t="s">
        <v>1585</v>
      </c>
      <c r="F126" s="30">
        <v>45415.0</v>
      </c>
      <c r="G126" s="33"/>
      <c r="H126" s="33"/>
      <c r="I126" s="34" t="s">
        <v>1586</v>
      </c>
      <c r="J126" s="33" t="str">
        <f t="shared" si="1"/>
        <v/>
      </c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</row>
    <row r="127">
      <c r="A127" s="30">
        <v>45407.0</v>
      </c>
      <c r="B127" s="35" t="s">
        <v>1587</v>
      </c>
      <c r="C127" s="35" t="s">
        <v>1588</v>
      </c>
      <c r="D127" s="35" t="s">
        <v>1589</v>
      </c>
      <c r="E127" s="35" t="s">
        <v>1590</v>
      </c>
      <c r="F127" s="30">
        <v>45407.0</v>
      </c>
      <c r="G127" s="33"/>
      <c r="H127" s="33"/>
      <c r="I127" s="34" t="s">
        <v>1591</v>
      </c>
      <c r="J127" s="33" t="str">
        <f t="shared" si="1"/>
        <v/>
      </c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</row>
    <row r="128">
      <c r="A128" s="30">
        <v>45403.0</v>
      </c>
      <c r="B128" s="35" t="s">
        <v>1592</v>
      </c>
      <c r="C128" s="35" t="s">
        <v>1593</v>
      </c>
      <c r="D128" s="47" t="s">
        <v>1412</v>
      </c>
      <c r="E128" s="35" t="s">
        <v>1594</v>
      </c>
      <c r="F128" s="30">
        <v>45403.0</v>
      </c>
      <c r="G128" s="33"/>
      <c r="H128" s="33"/>
      <c r="I128" s="34" t="s">
        <v>1595</v>
      </c>
      <c r="J128" s="33" t="str">
        <f t="shared" si="1"/>
        <v/>
      </c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</row>
    <row r="129">
      <c r="A129" s="30">
        <v>45444.0</v>
      </c>
      <c r="B129" s="35" t="s">
        <v>1596</v>
      </c>
      <c r="C129" s="35" t="s">
        <v>1597</v>
      </c>
      <c r="D129" s="35" t="s">
        <v>53</v>
      </c>
      <c r="E129" s="35" t="s">
        <v>1598</v>
      </c>
      <c r="F129" s="30">
        <v>45444.0</v>
      </c>
      <c r="G129" s="33"/>
      <c r="H129" s="33" t="s">
        <v>1599</v>
      </c>
      <c r="I129" s="33"/>
      <c r="J129" s="33" t="str">
        <f t="shared" si="1"/>
        <v/>
      </c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</row>
    <row r="130">
      <c r="A130" s="30">
        <v>45444.0</v>
      </c>
      <c r="B130" s="35" t="s">
        <v>1600</v>
      </c>
      <c r="C130" s="35" t="s">
        <v>1601</v>
      </c>
      <c r="D130" s="35" t="s">
        <v>1219</v>
      </c>
      <c r="E130" s="35" t="s">
        <v>1602</v>
      </c>
      <c r="F130" s="30">
        <v>45444.0</v>
      </c>
      <c r="G130" s="33"/>
      <c r="H130" s="33" t="s">
        <v>1603</v>
      </c>
      <c r="I130" s="33"/>
      <c r="J130" s="33" t="str">
        <f t="shared" si="1"/>
        <v/>
      </c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</row>
    <row r="131">
      <c r="A131" s="30">
        <v>45423.0</v>
      </c>
      <c r="B131" s="35" t="s">
        <v>1604</v>
      </c>
      <c r="C131" s="35" t="s">
        <v>1605</v>
      </c>
      <c r="D131" s="35" t="s">
        <v>1606</v>
      </c>
      <c r="E131" s="35" t="s">
        <v>236</v>
      </c>
      <c r="F131" s="30">
        <v>45423.0</v>
      </c>
      <c r="G131" s="33"/>
      <c r="H131" s="33"/>
      <c r="I131" s="34" t="s">
        <v>1607</v>
      </c>
      <c r="J131" s="33" t="str">
        <f t="shared" si="1"/>
        <v/>
      </c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</row>
    <row r="132">
      <c r="A132" s="30">
        <v>45444.0</v>
      </c>
      <c r="B132" s="35" t="s">
        <v>1608</v>
      </c>
      <c r="C132" s="35" t="s">
        <v>1609</v>
      </c>
      <c r="D132" s="35" t="s">
        <v>271</v>
      </c>
      <c r="E132" s="35" t="s">
        <v>1610</v>
      </c>
      <c r="F132" s="30">
        <v>45444.0</v>
      </c>
      <c r="G132" s="33"/>
      <c r="H132" s="33" t="s">
        <v>1611</v>
      </c>
      <c r="I132" s="33"/>
      <c r="J132" s="33" t="str">
        <f t="shared" si="1"/>
        <v/>
      </c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</row>
    <row r="133">
      <c r="A133" s="49">
        <v>45413.0</v>
      </c>
      <c r="B133" s="35" t="s">
        <v>1612</v>
      </c>
      <c r="C133" s="35" t="s">
        <v>1613</v>
      </c>
      <c r="D133" s="35" t="s">
        <v>1614</v>
      </c>
      <c r="E133" s="35" t="s">
        <v>1615</v>
      </c>
      <c r="F133" s="49">
        <v>45413.0</v>
      </c>
      <c r="G133" s="33"/>
      <c r="H133" s="33" t="s">
        <v>1616</v>
      </c>
      <c r="I133" s="33"/>
      <c r="J133" s="33" t="str">
        <f t="shared" si="1"/>
        <v/>
      </c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</row>
    <row r="134">
      <c r="A134" s="49">
        <v>45413.0</v>
      </c>
      <c r="B134" s="35" t="s">
        <v>1617</v>
      </c>
      <c r="C134" s="35" t="s">
        <v>1618</v>
      </c>
      <c r="D134" s="35" t="s">
        <v>47</v>
      </c>
      <c r="E134" s="35" t="s">
        <v>1619</v>
      </c>
      <c r="F134" s="49">
        <v>45413.0</v>
      </c>
      <c r="G134" s="33"/>
      <c r="H134" s="33" t="s">
        <v>1620</v>
      </c>
      <c r="I134" s="33"/>
      <c r="J134" s="33" t="str">
        <f t="shared" si="1"/>
        <v/>
      </c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</row>
    <row r="135">
      <c r="A135" s="30">
        <v>45432.0</v>
      </c>
      <c r="B135" s="35" t="s">
        <v>1621</v>
      </c>
      <c r="C135" s="35" t="s">
        <v>1622</v>
      </c>
      <c r="D135" s="35" t="s">
        <v>1623</v>
      </c>
      <c r="E135" s="35" t="s">
        <v>1624</v>
      </c>
      <c r="F135" s="30">
        <v>45432.0</v>
      </c>
      <c r="G135" s="33"/>
      <c r="H135" s="33"/>
      <c r="I135" s="34" t="s">
        <v>1625</v>
      </c>
      <c r="J135" s="33" t="str">
        <f t="shared" si="1"/>
        <v/>
      </c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</row>
    <row r="136">
      <c r="A136" s="30">
        <v>45433.0</v>
      </c>
      <c r="B136" s="35" t="s">
        <v>1626</v>
      </c>
      <c r="C136" s="35" t="s">
        <v>1627</v>
      </c>
      <c r="D136" s="35" t="s">
        <v>128</v>
      </c>
      <c r="E136" s="35" t="s">
        <v>134</v>
      </c>
      <c r="F136" s="30">
        <v>45433.0</v>
      </c>
      <c r="G136" s="33"/>
      <c r="H136" s="33"/>
      <c r="I136" s="34" t="s">
        <v>1628</v>
      </c>
      <c r="J136" s="33" t="str">
        <f t="shared" si="1"/>
        <v/>
      </c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</row>
    <row r="137">
      <c r="A137" s="30">
        <v>45444.0</v>
      </c>
      <c r="B137" s="35" t="s">
        <v>1629</v>
      </c>
      <c r="C137" s="35" t="s">
        <v>1630</v>
      </c>
      <c r="D137" s="35" t="s">
        <v>706</v>
      </c>
      <c r="E137" s="35" t="s">
        <v>1631</v>
      </c>
      <c r="F137" s="30">
        <v>45444.0</v>
      </c>
      <c r="G137" s="33"/>
      <c r="H137" s="33" t="s">
        <v>1632</v>
      </c>
      <c r="I137" s="33"/>
      <c r="J137" s="33" t="str">
        <f t="shared" si="1"/>
        <v/>
      </c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</row>
    <row r="138">
      <c r="A138" s="49">
        <v>45415.0</v>
      </c>
      <c r="B138" s="35" t="s">
        <v>1633</v>
      </c>
      <c r="C138" s="35" t="s">
        <v>1634</v>
      </c>
      <c r="D138" s="35" t="s">
        <v>697</v>
      </c>
      <c r="E138" s="35" t="s">
        <v>1635</v>
      </c>
      <c r="F138" s="49">
        <v>45415.0</v>
      </c>
      <c r="G138" s="33"/>
      <c r="H138" s="33" t="s">
        <v>1636</v>
      </c>
      <c r="I138" s="33"/>
      <c r="J138" s="33" t="str">
        <f t="shared" si="1"/>
        <v/>
      </c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</row>
    <row r="139">
      <c r="A139" s="49">
        <v>45428.0</v>
      </c>
      <c r="B139" s="51" t="s">
        <v>1637</v>
      </c>
      <c r="C139" s="35" t="s">
        <v>1638</v>
      </c>
      <c r="D139" s="35" t="s">
        <v>173</v>
      </c>
      <c r="E139" s="35" t="s">
        <v>1639</v>
      </c>
      <c r="F139" s="49">
        <v>45428.0</v>
      </c>
      <c r="G139" s="33"/>
      <c r="H139" s="33" t="s">
        <v>1640</v>
      </c>
      <c r="I139" s="33"/>
      <c r="J139" s="33" t="str">
        <f t="shared" si="1"/>
        <v/>
      </c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</row>
    <row r="140">
      <c r="A140" s="52">
        <v>45444.0</v>
      </c>
      <c r="B140" s="35" t="s">
        <v>1641</v>
      </c>
      <c r="C140" s="35" t="s">
        <v>1642</v>
      </c>
      <c r="D140" s="35" t="s">
        <v>1643</v>
      </c>
      <c r="E140" s="35" t="s">
        <v>1644</v>
      </c>
      <c r="F140" s="52">
        <v>45444.0</v>
      </c>
      <c r="G140" s="33"/>
      <c r="H140" s="33" t="s">
        <v>1645</v>
      </c>
      <c r="I140" s="33"/>
      <c r="J140" s="33" t="str">
        <f t="shared" si="1"/>
        <v/>
      </c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</row>
    <row r="141">
      <c r="A141" s="40">
        <v>45444.0</v>
      </c>
      <c r="B141" s="35" t="s">
        <v>1646</v>
      </c>
      <c r="C141" s="35" t="s">
        <v>1647</v>
      </c>
      <c r="D141" s="35" t="s">
        <v>1397</v>
      </c>
      <c r="E141" s="35" t="s">
        <v>1648</v>
      </c>
      <c r="F141" s="40">
        <v>45444.0</v>
      </c>
      <c r="G141" s="33"/>
      <c r="H141" s="33"/>
      <c r="I141" s="33"/>
      <c r="J141" s="33" t="str">
        <f t="shared" si="1"/>
        <v>SG2024-001</v>
      </c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</row>
    <row r="142">
      <c r="A142" s="40">
        <v>45444.0</v>
      </c>
      <c r="B142" s="35" t="s">
        <v>1649</v>
      </c>
      <c r="C142" s="35" t="s">
        <v>1650</v>
      </c>
      <c r="D142" s="35" t="s">
        <v>1651</v>
      </c>
      <c r="E142" s="35" t="s">
        <v>1652</v>
      </c>
      <c r="F142" s="40">
        <v>45444.0</v>
      </c>
      <c r="G142" s="33"/>
      <c r="H142" s="33"/>
      <c r="I142" s="33"/>
      <c r="J142" s="33" t="str">
        <f t="shared" si="1"/>
        <v>SG2024-002</v>
      </c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</row>
    <row r="143">
      <c r="A143" s="49">
        <v>45452.0</v>
      </c>
      <c r="B143" s="35" t="s">
        <v>1653</v>
      </c>
      <c r="C143" s="35" t="s">
        <v>1654</v>
      </c>
      <c r="D143" s="35" t="s">
        <v>701</v>
      </c>
      <c r="E143" s="35" t="s">
        <v>1655</v>
      </c>
      <c r="F143" s="49">
        <v>45452.0</v>
      </c>
      <c r="G143" s="34"/>
      <c r="H143" s="33" t="s">
        <v>1656</v>
      </c>
      <c r="I143" s="33"/>
      <c r="J143" s="33" t="str">
        <f t="shared" si="1"/>
        <v/>
      </c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</row>
    <row r="144">
      <c r="A144" s="49">
        <v>45459.0</v>
      </c>
      <c r="B144" s="35" t="s">
        <v>1657</v>
      </c>
      <c r="C144" s="35" t="s">
        <v>1658</v>
      </c>
      <c r="D144" s="35" t="s">
        <v>701</v>
      </c>
      <c r="E144" s="35" t="s">
        <v>1331</v>
      </c>
      <c r="F144" s="49">
        <v>45459.0</v>
      </c>
      <c r="G144" s="33"/>
      <c r="H144" s="33" t="s">
        <v>1659</v>
      </c>
      <c r="I144" s="33"/>
      <c r="J144" s="33" t="str">
        <f t="shared" si="1"/>
        <v/>
      </c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</row>
    <row r="145">
      <c r="A145" s="49">
        <v>45474.0</v>
      </c>
      <c r="B145" s="35" t="s">
        <v>1660</v>
      </c>
      <c r="C145" s="35" t="s">
        <v>1661</v>
      </c>
      <c r="D145" s="35" t="s">
        <v>1662</v>
      </c>
      <c r="E145" s="35" t="s">
        <v>1663</v>
      </c>
      <c r="F145" s="49">
        <v>45474.0</v>
      </c>
      <c r="G145" s="33"/>
      <c r="H145" s="33" t="s">
        <v>1664</v>
      </c>
      <c r="I145" s="33"/>
      <c r="J145" s="33" t="str">
        <f t="shared" si="1"/>
        <v/>
      </c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</row>
    <row r="146">
      <c r="A146" s="40">
        <v>45444.0</v>
      </c>
      <c r="B146" s="35" t="s">
        <v>1665</v>
      </c>
      <c r="C146" s="35" t="s">
        <v>1666</v>
      </c>
      <c r="D146" s="35" t="s">
        <v>701</v>
      </c>
      <c r="E146" s="35" t="s">
        <v>1667</v>
      </c>
      <c r="F146" s="40">
        <v>45444.0</v>
      </c>
      <c r="G146" s="33"/>
      <c r="H146" s="33" t="s">
        <v>1668</v>
      </c>
      <c r="I146" s="33"/>
      <c r="J146" s="33" t="str">
        <f t="shared" si="1"/>
        <v/>
      </c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</row>
    <row r="147">
      <c r="A147" s="49">
        <v>45459.0</v>
      </c>
      <c r="B147" s="35" t="s">
        <v>1669</v>
      </c>
      <c r="C147" s="35" t="s">
        <v>1670</v>
      </c>
      <c r="D147" s="35" t="s">
        <v>231</v>
      </c>
      <c r="E147" s="35" t="s">
        <v>1671</v>
      </c>
      <c r="F147" s="49">
        <v>45459.0</v>
      </c>
      <c r="G147" s="33"/>
      <c r="H147" s="33" t="s">
        <v>1672</v>
      </c>
      <c r="I147" s="33"/>
      <c r="J147" s="33" t="str">
        <f t="shared" si="1"/>
        <v/>
      </c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</row>
    <row r="148">
      <c r="A148" s="49">
        <v>45428.0</v>
      </c>
      <c r="B148" s="35" t="s">
        <v>1673</v>
      </c>
      <c r="C148" s="35" t="s">
        <v>1674</v>
      </c>
      <c r="D148" s="35" t="s">
        <v>1675</v>
      </c>
      <c r="E148" s="35" t="s">
        <v>1408</v>
      </c>
      <c r="F148" s="49">
        <v>45428.0</v>
      </c>
      <c r="G148" s="33"/>
      <c r="H148" s="33" t="s">
        <v>1676</v>
      </c>
      <c r="I148" s="33"/>
      <c r="J148" s="33" t="str">
        <f t="shared" si="1"/>
        <v/>
      </c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</row>
    <row r="149">
      <c r="A149" s="49">
        <v>45458.0</v>
      </c>
      <c r="B149" s="35" t="s">
        <v>1677</v>
      </c>
      <c r="C149" s="35" t="s">
        <v>1678</v>
      </c>
      <c r="D149" s="35" t="s">
        <v>682</v>
      </c>
      <c r="E149" s="35" t="s">
        <v>1679</v>
      </c>
      <c r="F149" s="49">
        <v>45458.0</v>
      </c>
      <c r="G149" s="33"/>
      <c r="H149" s="33" t="s">
        <v>1680</v>
      </c>
      <c r="I149" s="33"/>
      <c r="J149" s="33" t="str">
        <f t="shared" si="1"/>
        <v/>
      </c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</row>
    <row r="150">
      <c r="A150" s="49">
        <v>45444.0</v>
      </c>
      <c r="B150" s="35" t="s">
        <v>1681</v>
      </c>
      <c r="C150" s="35" t="s">
        <v>1682</v>
      </c>
      <c r="D150" s="35" t="s">
        <v>153</v>
      </c>
      <c r="E150" s="35" t="s">
        <v>154</v>
      </c>
      <c r="F150" s="49">
        <v>45444.0</v>
      </c>
      <c r="G150" s="33"/>
      <c r="H150" s="33" t="s">
        <v>1683</v>
      </c>
      <c r="I150" s="33"/>
      <c r="J150" s="33" t="str">
        <f t="shared" si="1"/>
        <v/>
      </c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</row>
    <row r="151">
      <c r="A151" s="49">
        <v>45444.0</v>
      </c>
      <c r="B151" s="35" t="s">
        <v>1684</v>
      </c>
      <c r="C151" s="35" t="s">
        <v>1685</v>
      </c>
      <c r="D151" s="35" t="s">
        <v>362</v>
      </c>
      <c r="E151" s="35" t="s">
        <v>1686</v>
      </c>
      <c r="F151" s="49">
        <v>45444.0</v>
      </c>
      <c r="G151" s="33"/>
      <c r="H151" s="33" t="s">
        <v>1687</v>
      </c>
      <c r="I151" s="33"/>
      <c r="J151" s="33" t="str">
        <f t="shared" si="1"/>
        <v/>
      </c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</row>
    <row r="152">
      <c r="A152" s="49">
        <v>45472.0</v>
      </c>
      <c r="B152" s="35" t="s">
        <v>1688</v>
      </c>
      <c r="C152" s="35" t="s">
        <v>1689</v>
      </c>
      <c r="D152" s="35" t="s">
        <v>785</v>
      </c>
      <c r="E152" s="35" t="s">
        <v>1690</v>
      </c>
      <c r="F152" s="49">
        <v>45472.0</v>
      </c>
      <c r="G152" s="33"/>
      <c r="H152" s="33" t="s">
        <v>1691</v>
      </c>
      <c r="I152" s="33"/>
      <c r="J152" s="33" t="str">
        <f t="shared" si="1"/>
        <v/>
      </c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</row>
    <row r="153">
      <c r="A153" s="49">
        <v>45461.0</v>
      </c>
      <c r="B153" s="35" t="s">
        <v>1692</v>
      </c>
      <c r="C153" s="35" t="s">
        <v>1693</v>
      </c>
      <c r="D153" s="35" t="s">
        <v>207</v>
      </c>
      <c r="E153" s="35" t="s">
        <v>236</v>
      </c>
      <c r="F153" s="49">
        <v>45461.0</v>
      </c>
      <c r="G153" s="33"/>
      <c r="H153" s="33" t="s">
        <v>1694</v>
      </c>
      <c r="I153" s="33"/>
      <c r="J153" s="33" t="str">
        <f t="shared" si="1"/>
        <v/>
      </c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</row>
    <row r="154">
      <c r="A154" s="49">
        <v>45472.0</v>
      </c>
      <c r="B154" s="35" t="s">
        <v>1695</v>
      </c>
      <c r="C154" s="35" t="s">
        <v>1696</v>
      </c>
      <c r="D154" s="35" t="s">
        <v>1697</v>
      </c>
      <c r="E154" s="35" t="s">
        <v>1698</v>
      </c>
      <c r="F154" s="49">
        <v>45472.0</v>
      </c>
      <c r="G154" s="33"/>
      <c r="H154" s="33" t="s">
        <v>1699</v>
      </c>
      <c r="I154" s="33"/>
      <c r="J154" s="33" t="str">
        <f t="shared" si="1"/>
        <v/>
      </c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</row>
    <row r="155">
      <c r="A155" s="49">
        <v>45472.0</v>
      </c>
      <c r="B155" s="35" t="s">
        <v>1700</v>
      </c>
      <c r="C155" s="35" t="s">
        <v>1701</v>
      </c>
      <c r="D155" s="35" t="s">
        <v>116</v>
      </c>
      <c r="E155" s="35" t="s">
        <v>1702</v>
      </c>
      <c r="F155" s="49">
        <v>45472.0</v>
      </c>
      <c r="G155" s="34"/>
      <c r="H155" s="33" t="s">
        <v>1703</v>
      </c>
      <c r="I155" s="33"/>
      <c r="J155" s="33" t="str">
        <f t="shared" si="1"/>
        <v/>
      </c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</row>
    <row r="156">
      <c r="A156" s="49">
        <v>45505.0</v>
      </c>
      <c r="B156" s="35" t="s">
        <v>1704</v>
      </c>
      <c r="C156" s="35" t="s">
        <v>1705</v>
      </c>
      <c r="D156" s="35" t="s">
        <v>116</v>
      </c>
      <c r="E156" s="35" t="s">
        <v>1706</v>
      </c>
      <c r="F156" s="49">
        <v>45505.0</v>
      </c>
      <c r="G156" s="33"/>
      <c r="H156" s="33" t="s">
        <v>1707</v>
      </c>
      <c r="I156" s="33"/>
      <c r="J156" s="33" t="str">
        <f t="shared" si="1"/>
        <v/>
      </c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</row>
    <row r="157">
      <c r="A157" s="49">
        <v>45474.0</v>
      </c>
      <c r="B157" s="35" t="s">
        <v>1708</v>
      </c>
      <c r="C157" s="35" t="s">
        <v>1709</v>
      </c>
      <c r="D157" s="35" t="s">
        <v>1710</v>
      </c>
      <c r="E157" s="35" t="s">
        <v>1663</v>
      </c>
      <c r="F157" s="49">
        <v>45474.0</v>
      </c>
      <c r="G157" s="33"/>
      <c r="H157" s="33" t="s">
        <v>1711</v>
      </c>
      <c r="I157" s="33"/>
      <c r="J157" s="33" t="str">
        <f t="shared" si="1"/>
        <v/>
      </c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</row>
    <row r="158">
      <c r="A158" s="49">
        <v>45459.0</v>
      </c>
      <c r="B158" s="35" t="s">
        <v>1712</v>
      </c>
      <c r="C158" s="35" t="s">
        <v>1713</v>
      </c>
      <c r="D158" s="35" t="s">
        <v>1714</v>
      </c>
      <c r="E158" s="35" t="s">
        <v>1663</v>
      </c>
      <c r="F158" s="49">
        <v>45459.0</v>
      </c>
      <c r="G158" s="33"/>
      <c r="H158" s="33" t="s">
        <v>1715</v>
      </c>
      <c r="I158" s="33"/>
      <c r="J158" s="33" t="str">
        <f t="shared" si="1"/>
        <v/>
      </c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</row>
    <row r="159">
      <c r="A159" s="49">
        <v>45444.0</v>
      </c>
      <c r="B159" s="35" t="s">
        <v>1716</v>
      </c>
      <c r="C159" s="35" t="s">
        <v>1717</v>
      </c>
      <c r="D159" s="35" t="s">
        <v>1397</v>
      </c>
      <c r="E159" s="35" t="s">
        <v>1398</v>
      </c>
      <c r="F159" s="49">
        <v>45444.0</v>
      </c>
      <c r="G159" s="33"/>
      <c r="H159" s="33" t="s">
        <v>1718</v>
      </c>
      <c r="I159" s="33"/>
      <c r="J159" s="33" t="str">
        <f t="shared" si="1"/>
        <v/>
      </c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</row>
    <row r="160">
      <c r="A160" s="49">
        <v>45472.0</v>
      </c>
      <c r="B160" s="35" t="s">
        <v>1719</v>
      </c>
      <c r="C160" s="35" t="s">
        <v>1720</v>
      </c>
      <c r="D160" s="35" t="s">
        <v>1721</v>
      </c>
      <c r="E160" s="47" t="s">
        <v>1722</v>
      </c>
      <c r="F160" s="49">
        <v>45472.0</v>
      </c>
      <c r="G160" s="33"/>
      <c r="H160" s="33" t="s">
        <v>1723</v>
      </c>
      <c r="I160" s="33"/>
      <c r="J160" s="33" t="str">
        <f t="shared" si="1"/>
        <v/>
      </c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</row>
    <row r="161">
      <c r="A161" s="49">
        <v>45474.0</v>
      </c>
      <c r="B161" s="35" t="s">
        <v>1724</v>
      </c>
      <c r="C161" s="35" t="s">
        <v>1725</v>
      </c>
      <c r="D161" s="35" t="s">
        <v>173</v>
      </c>
      <c r="E161" s="35" t="s">
        <v>1726</v>
      </c>
      <c r="F161" s="49">
        <v>45474.0</v>
      </c>
      <c r="G161" s="33"/>
      <c r="H161" s="33" t="s">
        <v>1727</v>
      </c>
      <c r="I161" s="33"/>
      <c r="J161" s="33" t="str">
        <f t="shared" si="1"/>
        <v/>
      </c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</row>
    <row r="162">
      <c r="A162" s="49">
        <v>45453.0</v>
      </c>
      <c r="B162" s="35" t="s">
        <v>1728</v>
      </c>
      <c r="C162" s="35" t="s">
        <v>1729</v>
      </c>
      <c r="D162" s="35" t="s">
        <v>701</v>
      </c>
      <c r="E162" s="35" t="s">
        <v>1408</v>
      </c>
      <c r="F162" s="49">
        <v>45453.0</v>
      </c>
      <c r="G162" s="33"/>
      <c r="H162" s="33" t="s">
        <v>1730</v>
      </c>
      <c r="I162" s="33"/>
      <c r="J162" s="33" t="str">
        <f t="shared" si="1"/>
        <v/>
      </c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</row>
    <row r="163">
      <c r="A163" s="40"/>
      <c r="B163" s="38" t="s">
        <v>1731</v>
      </c>
      <c r="C163" s="38" t="s">
        <v>1732</v>
      </c>
      <c r="D163" s="38" t="s">
        <v>313</v>
      </c>
      <c r="E163" s="38" t="s">
        <v>1408</v>
      </c>
      <c r="F163" s="40"/>
      <c r="G163" s="32"/>
      <c r="H163" s="32" t="s">
        <v>1733</v>
      </c>
      <c r="I163" s="33"/>
      <c r="J163" s="33" t="str">
        <f t="shared" si="1"/>
        <v/>
      </c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</row>
    <row r="164">
      <c r="A164" s="49">
        <v>45479.0</v>
      </c>
      <c r="B164" s="35" t="s">
        <v>1734</v>
      </c>
      <c r="C164" s="35" t="s">
        <v>1735</v>
      </c>
      <c r="D164" s="35" t="s">
        <v>342</v>
      </c>
      <c r="E164" s="35" t="s">
        <v>1736</v>
      </c>
      <c r="F164" s="49">
        <v>45479.0</v>
      </c>
      <c r="G164" s="33"/>
      <c r="H164" s="33" t="s">
        <v>1737</v>
      </c>
      <c r="I164" s="33"/>
      <c r="J164" s="33" t="str">
        <f t="shared" si="1"/>
        <v/>
      </c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</row>
    <row r="165">
      <c r="A165" s="49">
        <v>45509.0</v>
      </c>
      <c r="B165" s="35" t="s">
        <v>1738</v>
      </c>
      <c r="C165" s="35" t="s">
        <v>1739</v>
      </c>
      <c r="D165" s="35" t="s">
        <v>697</v>
      </c>
      <c r="E165" s="35" t="s">
        <v>1740</v>
      </c>
      <c r="F165" s="49">
        <v>45509.0</v>
      </c>
      <c r="G165" s="33"/>
      <c r="H165" s="33" t="s">
        <v>1741</v>
      </c>
      <c r="I165" s="33"/>
      <c r="J165" s="33" t="str">
        <f t="shared" si="1"/>
        <v/>
      </c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</row>
    <row r="166">
      <c r="A166" s="49">
        <v>45479.0</v>
      </c>
      <c r="B166" s="35" t="s">
        <v>1742</v>
      </c>
      <c r="C166" s="35" t="s">
        <v>1743</v>
      </c>
      <c r="D166" s="35" t="s">
        <v>362</v>
      </c>
      <c r="E166" s="35" t="s">
        <v>1744</v>
      </c>
      <c r="F166" s="49">
        <v>45479.0</v>
      </c>
      <c r="G166" s="33"/>
      <c r="H166" s="33"/>
      <c r="I166" s="33"/>
      <c r="J166" s="33" t="str">
        <f t="shared" si="1"/>
        <v/>
      </c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</row>
    <row r="167">
      <c r="A167" s="49">
        <v>45479.0</v>
      </c>
      <c r="B167" s="35" t="s">
        <v>1745</v>
      </c>
      <c r="C167" s="35" t="s">
        <v>1746</v>
      </c>
      <c r="D167" s="35" t="s">
        <v>271</v>
      </c>
      <c r="E167" s="35" t="s">
        <v>1744</v>
      </c>
      <c r="F167" s="49">
        <v>45479.0</v>
      </c>
      <c r="G167" s="33"/>
      <c r="H167" s="33"/>
      <c r="I167" s="33"/>
      <c r="J167" s="33" t="str">
        <f t="shared" si="1"/>
        <v/>
      </c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</row>
    <row r="168">
      <c r="A168" s="40">
        <v>45458.0</v>
      </c>
      <c r="B168" s="35" t="s">
        <v>1747</v>
      </c>
      <c r="C168" s="35" t="s">
        <v>1748</v>
      </c>
      <c r="D168" s="35" t="s">
        <v>1749</v>
      </c>
      <c r="E168" s="35" t="s">
        <v>1652</v>
      </c>
      <c r="F168" s="40">
        <v>45458.0</v>
      </c>
      <c r="G168" s="33"/>
      <c r="H168" s="33"/>
      <c r="I168" s="33"/>
      <c r="J168" s="33" t="str">
        <f t="shared" si="1"/>
        <v>SG2024-003</v>
      </c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</row>
    <row r="169">
      <c r="A169" s="40">
        <v>45444.0</v>
      </c>
      <c r="B169" s="35" t="s">
        <v>1750</v>
      </c>
      <c r="C169" s="35" t="s">
        <v>1751</v>
      </c>
      <c r="D169" s="35" t="s">
        <v>1161</v>
      </c>
      <c r="E169" s="35" t="s">
        <v>1358</v>
      </c>
      <c r="F169" s="40">
        <v>45444.0</v>
      </c>
      <c r="G169" s="33"/>
      <c r="H169" s="33"/>
      <c r="I169" s="34" t="s">
        <v>1752</v>
      </c>
      <c r="J169" s="33" t="str">
        <f t="shared" si="1"/>
        <v/>
      </c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</row>
    <row r="170">
      <c r="A170" s="40">
        <v>45444.0</v>
      </c>
      <c r="B170" s="35" t="s">
        <v>1753</v>
      </c>
      <c r="C170" s="35" t="s">
        <v>1754</v>
      </c>
      <c r="D170" s="35" t="s">
        <v>1078</v>
      </c>
      <c r="E170" s="35" t="s">
        <v>1755</v>
      </c>
      <c r="F170" s="40">
        <v>45444.0</v>
      </c>
      <c r="G170" s="33"/>
      <c r="H170" s="33"/>
      <c r="I170" s="53" t="s">
        <v>1756</v>
      </c>
      <c r="J170" s="33" t="str">
        <f t="shared" si="1"/>
        <v/>
      </c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</row>
    <row r="171">
      <c r="A171" s="30">
        <v>45444.0</v>
      </c>
      <c r="B171" s="35" t="s">
        <v>1757</v>
      </c>
      <c r="C171" s="35" t="s">
        <v>1758</v>
      </c>
      <c r="D171" s="35" t="s">
        <v>116</v>
      </c>
      <c r="E171" s="35" t="s">
        <v>1759</v>
      </c>
      <c r="F171" s="30">
        <v>45444.0</v>
      </c>
      <c r="G171" s="33"/>
      <c r="H171" s="33"/>
      <c r="I171" s="53" t="s">
        <v>1760</v>
      </c>
      <c r="J171" s="33" t="str">
        <f t="shared" si="1"/>
        <v/>
      </c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</row>
    <row r="172">
      <c r="A172" s="30">
        <v>45444.0</v>
      </c>
      <c r="B172" s="35" t="s">
        <v>1761</v>
      </c>
      <c r="C172" s="35" t="s">
        <v>1762</v>
      </c>
      <c r="D172" s="35" t="s">
        <v>122</v>
      </c>
      <c r="E172" s="35" t="s">
        <v>566</v>
      </c>
      <c r="F172" s="30">
        <v>45444.0</v>
      </c>
      <c r="G172" s="33"/>
      <c r="H172" s="33"/>
      <c r="I172" s="34" t="s">
        <v>1763</v>
      </c>
      <c r="J172" s="33" t="str">
        <f t="shared" si="1"/>
        <v/>
      </c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</row>
    <row r="173">
      <c r="A173" s="40">
        <v>45474.0</v>
      </c>
      <c r="B173" s="35" t="s">
        <v>1764</v>
      </c>
      <c r="C173" s="35" t="s">
        <v>1765</v>
      </c>
      <c r="D173" s="35" t="s">
        <v>28</v>
      </c>
      <c r="E173" s="35" t="s">
        <v>647</v>
      </c>
      <c r="F173" s="40">
        <v>45474.0</v>
      </c>
      <c r="G173" s="33"/>
      <c r="H173" s="33" t="s">
        <v>1766</v>
      </c>
      <c r="I173" s="33"/>
      <c r="J173" s="33" t="str">
        <f t="shared" si="1"/>
        <v/>
      </c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</row>
    <row r="174">
      <c r="A174" s="40">
        <v>45486.0</v>
      </c>
      <c r="B174" s="35" t="s">
        <v>1767</v>
      </c>
      <c r="C174" s="35" t="s">
        <v>1768</v>
      </c>
      <c r="D174" s="35" t="s">
        <v>1769</v>
      </c>
      <c r="E174" s="35" t="s">
        <v>1770</v>
      </c>
      <c r="F174" s="40">
        <v>45486.0</v>
      </c>
      <c r="G174" s="33"/>
      <c r="H174" s="33" t="s">
        <v>1771</v>
      </c>
      <c r="I174" s="33"/>
      <c r="J174" s="33" t="str">
        <f t="shared" si="1"/>
        <v/>
      </c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</row>
    <row r="175">
      <c r="A175" s="40"/>
      <c r="B175" s="35" t="s">
        <v>1772</v>
      </c>
      <c r="C175" s="35" t="s">
        <v>1773</v>
      </c>
      <c r="D175" s="35"/>
      <c r="E175" s="35"/>
      <c r="F175" s="40"/>
      <c r="G175" s="33"/>
      <c r="H175" s="33" t="s">
        <v>1774</v>
      </c>
      <c r="I175" s="33"/>
      <c r="J175" s="33" t="str">
        <f t="shared" si="1"/>
        <v/>
      </c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</row>
    <row r="176">
      <c r="A176" s="40">
        <v>45490.0</v>
      </c>
      <c r="B176" s="35" t="s">
        <v>1775</v>
      </c>
      <c r="C176" s="35" t="s">
        <v>1776</v>
      </c>
      <c r="D176" s="35" t="s">
        <v>271</v>
      </c>
      <c r="E176" s="35" t="s">
        <v>1777</v>
      </c>
      <c r="F176" s="40">
        <v>45490.0</v>
      </c>
      <c r="G176" s="33"/>
      <c r="H176" s="33" t="s">
        <v>1778</v>
      </c>
      <c r="I176" s="33"/>
      <c r="J176" s="33" t="str">
        <f t="shared" si="1"/>
        <v/>
      </c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</row>
    <row r="177">
      <c r="A177" s="40">
        <v>45490.0</v>
      </c>
      <c r="B177" s="35" t="s">
        <v>1779</v>
      </c>
      <c r="C177" s="35" t="s">
        <v>1780</v>
      </c>
      <c r="D177" s="35" t="s">
        <v>697</v>
      </c>
      <c r="E177" s="35" t="s">
        <v>1781</v>
      </c>
      <c r="F177" s="40">
        <v>45490.0</v>
      </c>
      <c r="G177" s="34"/>
      <c r="H177" s="33" t="s">
        <v>1782</v>
      </c>
      <c r="I177" s="33"/>
      <c r="J177" s="33" t="str">
        <f t="shared" si="1"/>
        <v/>
      </c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</row>
    <row r="178">
      <c r="A178" s="40">
        <v>45474.0</v>
      </c>
      <c r="B178" s="35" t="s">
        <v>1783</v>
      </c>
      <c r="C178" s="35" t="s">
        <v>1784</v>
      </c>
      <c r="D178" s="35" t="s">
        <v>697</v>
      </c>
      <c r="E178" s="35" t="s">
        <v>1785</v>
      </c>
      <c r="F178" s="40">
        <v>45474.0</v>
      </c>
      <c r="G178" s="33"/>
      <c r="H178" s="33" t="s">
        <v>1786</v>
      </c>
      <c r="I178" s="33"/>
      <c r="J178" s="33" t="str">
        <f t="shared" si="1"/>
        <v/>
      </c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</row>
    <row r="179">
      <c r="A179" s="40">
        <v>45462.0</v>
      </c>
      <c r="B179" s="35" t="s">
        <v>1787</v>
      </c>
      <c r="C179" s="35" t="s">
        <v>1788</v>
      </c>
      <c r="D179" s="35" t="s">
        <v>1749</v>
      </c>
      <c r="E179" s="35" t="s">
        <v>1652</v>
      </c>
      <c r="F179" s="40">
        <v>45462.0</v>
      </c>
      <c r="G179" s="33"/>
      <c r="H179" s="33"/>
      <c r="I179" s="33"/>
      <c r="J179" s="33" t="str">
        <f t="shared" si="1"/>
        <v>SG2024-004</v>
      </c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</row>
    <row r="180">
      <c r="A180" s="40">
        <v>45472.0</v>
      </c>
      <c r="B180" s="35" t="s">
        <v>1789</v>
      </c>
      <c r="C180" s="35" t="s">
        <v>1790</v>
      </c>
      <c r="D180" s="35" t="s">
        <v>1791</v>
      </c>
      <c r="E180" s="35" t="s">
        <v>1792</v>
      </c>
      <c r="F180" s="40">
        <v>45472.0</v>
      </c>
      <c r="G180" s="33"/>
      <c r="H180" s="33" t="s">
        <v>1793</v>
      </c>
      <c r="I180" s="33"/>
      <c r="J180" s="33" t="str">
        <f t="shared" si="1"/>
        <v/>
      </c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</row>
    <row r="181">
      <c r="A181" s="40">
        <v>45493.0</v>
      </c>
      <c r="B181" s="35" t="s">
        <v>1794</v>
      </c>
      <c r="C181" s="35" t="s">
        <v>1795</v>
      </c>
      <c r="D181" s="35" t="s">
        <v>677</v>
      </c>
      <c r="E181" s="35" t="s">
        <v>1796</v>
      </c>
      <c r="F181" s="40">
        <v>45493.0</v>
      </c>
      <c r="G181" s="33"/>
      <c r="H181" s="33" t="s">
        <v>1797</v>
      </c>
      <c r="I181" s="33"/>
      <c r="J181" s="33" t="str">
        <f t="shared" si="1"/>
        <v/>
      </c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</row>
    <row r="182">
      <c r="A182" s="40">
        <v>45474.0</v>
      </c>
      <c r="B182" s="35" t="s">
        <v>1798</v>
      </c>
      <c r="C182" s="35" t="s">
        <v>1799</v>
      </c>
      <c r="D182" s="35" t="s">
        <v>173</v>
      </c>
      <c r="E182" s="35" t="s">
        <v>1800</v>
      </c>
      <c r="F182" s="40">
        <v>45474.0</v>
      </c>
      <c r="G182" s="33"/>
      <c r="H182" s="33" t="s">
        <v>1801</v>
      </c>
      <c r="I182" s="33"/>
      <c r="J182" s="33" t="str">
        <f t="shared" si="1"/>
        <v/>
      </c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</row>
    <row r="183">
      <c r="A183" s="40">
        <v>45474.0</v>
      </c>
      <c r="B183" s="35" t="s">
        <v>1802</v>
      </c>
      <c r="C183" s="35" t="s">
        <v>1803</v>
      </c>
      <c r="D183" s="35" t="s">
        <v>173</v>
      </c>
      <c r="E183" s="35" t="s">
        <v>236</v>
      </c>
      <c r="F183" s="40">
        <v>45474.0</v>
      </c>
      <c r="G183" s="33"/>
      <c r="H183" s="33" t="s">
        <v>1804</v>
      </c>
      <c r="I183" s="33"/>
      <c r="J183" s="33" t="str">
        <f t="shared" si="1"/>
        <v/>
      </c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</row>
    <row r="184">
      <c r="A184" s="40">
        <v>45501.0</v>
      </c>
      <c r="B184" s="35" t="s">
        <v>1805</v>
      </c>
      <c r="C184" s="35" t="s">
        <v>1806</v>
      </c>
      <c r="D184" s="35" t="s">
        <v>1807</v>
      </c>
      <c r="E184" s="35" t="s">
        <v>1619</v>
      </c>
      <c r="F184" s="40">
        <v>45501.0</v>
      </c>
      <c r="G184" s="33"/>
      <c r="H184" s="33" t="s">
        <v>1808</v>
      </c>
      <c r="I184" s="33"/>
      <c r="J184" s="33" t="str">
        <f t="shared" si="1"/>
        <v/>
      </c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</row>
    <row r="185">
      <c r="A185" s="40">
        <v>45489.0</v>
      </c>
      <c r="B185" s="35" t="s">
        <v>1809</v>
      </c>
      <c r="C185" s="35" t="s">
        <v>1810</v>
      </c>
      <c r="D185" s="35" t="s">
        <v>1749</v>
      </c>
      <c r="E185" s="35" t="s">
        <v>1652</v>
      </c>
      <c r="F185" s="40">
        <v>45489.0</v>
      </c>
      <c r="G185" s="34"/>
      <c r="H185" s="33"/>
      <c r="I185" s="33"/>
      <c r="J185" s="33" t="str">
        <f t="shared" si="1"/>
        <v>SG2024-005</v>
      </c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</row>
    <row r="186">
      <c r="A186" s="40">
        <v>45484.0</v>
      </c>
      <c r="B186" s="35" t="s">
        <v>1811</v>
      </c>
      <c r="C186" s="35" t="s">
        <v>1812</v>
      </c>
      <c r="D186" s="35" t="s">
        <v>65</v>
      </c>
      <c r="E186" s="35" t="s">
        <v>1813</v>
      </c>
      <c r="F186" s="40">
        <v>45484.0</v>
      </c>
      <c r="G186" s="54"/>
      <c r="H186" s="33" t="s">
        <v>1814</v>
      </c>
      <c r="I186" s="33"/>
      <c r="J186" s="33" t="str">
        <f t="shared" si="1"/>
        <v/>
      </c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</row>
    <row r="187">
      <c r="A187" s="40">
        <v>45505.0</v>
      </c>
      <c r="B187" s="35" t="s">
        <v>1815</v>
      </c>
      <c r="C187" s="35" t="s">
        <v>1816</v>
      </c>
      <c r="D187" s="35" t="s">
        <v>1817</v>
      </c>
      <c r="E187" s="35" t="s">
        <v>1818</v>
      </c>
      <c r="F187" s="40">
        <v>45505.0</v>
      </c>
      <c r="G187" s="33"/>
      <c r="H187" s="33" t="s">
        <v>1819</v>
      </c>
      <c r="I187" s="33"/>
      <c r="J187" s="33" t="str">
        <f t="shared" si="1"/>
        <v/>
      </c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</row>
    <row r="188">
      <c r="A188" s="40"/>
      <c r="B188" s="35" t="s">
        <v>1772</v>
      </c>
      <c r="C188" s="35"/>
      <c r="D188" s="35"/>
      <c r="E188" s="35"/>
      <c r="F188" s="40"/>
      <c r="G188" s="33"/>
      <c r="H188" s="33" t="s">
        <v>1820</v>
      </c>
      <c r="I188" s="33"/>
      <c r="J188" s="33" t="str">
        <f t="shared" si="1"/>
        <v/>
      </c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</row>
    <row r="189">
      <c r="A189" s="40" t="s">
        <v>1821</v>
      </c>
      <c r="B189" s="35" t="s">
        <v>1822</v>
      </c>
      <c r="C189" s="35" t="s">
        <v>1823</v>
      </c>
      <c r="D189" s="35" t="s">
        <v>207</v>
      </c>
      <c r="E189" s="35" t="s">
        <v>1655</v>
      </c>
      <c r="F189" s="40" t="s">
        <v>1821</v>
      </c>
      <c r="G189" s="33"/>
      <c r="H189" s="33" t="s">
        <v>1824</v>
      </c>
      <c r="I189" s="33"/>
      <c r="J189" s="33" t="str">
        <f t="shared" si="1"/>
        <v/>
      </c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</row>
    <row r="190">
      <c r="A190" s="40">
        <v>45521.0</v>
      </c>
      <c r="B190" s="35" t="s">
        <v>1825</v>
      </c>
      <c r="C190" s="35" t="s">
        <v>1826</v>
      </c>
      <c r="D190" s="35" t="s">
        <v>47</v>
      </c>
      <c r="E190" s="35" t="s">
        <v>1827</v>
      </c>
      <c r="F190" s="40">
        <v>45521.0</v>
      </c>
      <c r="G190" s="33"/>
      <c r="H190" s="33"/>
      <c r="I190" s="33"/>
      <c r="J190" s="33" t="str">
        <f t="shared" si="1"/>
        <v>SG2024-006</v>
      </c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</row>
    <row r="191">
      <c r="A191" s="40">
        <v>45505.0</v>
      </c>
      <c r="B191" s="35" t="s">
        <v>1828</v>
      </c>
      <c r="C191" s="35" t="s">
        <v>1829</v>
      </c>
      <c r="D191" s="35" t="s">
        <v>1749</v>
      </c>
      <c r="E191" s="35" t="s">
        <v>290</v>
      </c>
      <c r="F191" s="40">
        <v>45505.0</v>
      </c>
      <c r="G191" s="33"/>
      <c r="H191" s="33"/>
      <c r="I191" s="33"/>
      <c r="J191" s="33" t="str">
        <f t="shared" si="1"/>
        <v>SG2024-007</v>
      </c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</row>
    <row r="192">
      <c r="A192" s="40">
        <v>45505.0</v>
      </c>
      <c r="B192" s="35" t="s">
        <v>1830</v>
      </c>
      <c r="C192" s="35" t="s">
        <v>1831</v>
      </c>
      <c r="D192" s="35" t="s">
        <v>362</v>
      </c>
      <c r="E192" s="35" t="s">
        <v>1832</v>
      </c>
      <c r="F192" s="40">
        <v>45505.0</v>
      </c>
      <c r="G192" s="33"/>
      <c r="H192" s="33" t="s">
        <v>1833</v>
      </c>
      <c r="I192" s="33"/>
      <c r="J192" s="33" t="str">
        <f t="shared" si="1"/>
        <v/>
      </c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</row>
    <row r="193">
      <c r="A193" s="40">
        <v>45505.0</v>
      </c>
      <c r="B193" s="35" t="s">
        <v>1834</v>
      </c>
      <c r="C193" s="35" t="s">
        <v>1835</v>
      </c>
      <c r="D193" s="35" t="s">
        <v>1836</v>
      </c>
      <c r="E193" s="35" t="s">
        <v>1837</v>
      </c>
      <c r="F193" s="40">
        <v>45505.0</v>
      </c>
      <c r="G193" s="33"/>
      <c r="H193" s="33" t="s">
        <v>1838</v>
      </c>
      <c r="I193" s="33"/>
      <c r="J193" s="33" t="str">
        <f t="shared" si="1"/>
        <v/>
      </c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</row>
    <row r="194">
      <c r="A194" s="40">
        <v>45507.0</v>
      </c>
      <c r="B194" s="35" t="s">
        <v>1839</v>
      </c>
      <c r="C194" s="35" t="s">
        <v>1840</v>
      </c>
      <c r="D194" s="35" t="s">
        <v>682</v>
      </c>
      <c r="E194" s="35" t="s">
        <v>1841</v>
      </c>
      <c r="F194" s="40">
        <v>45507.0</v>
      </c>
      <c r="G194" s="34"/>
      <c r="H194" s="33" t="s">
        <v>1842</v>
      </c>
      <c r="I194" s="33"/>
      <c r="J194" s="33" t="str">
        <f t="shared" si="1"/>
        <v/>
      </c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</row>
    <row r="195">
      <c r="A195" s="40">
        <v>45505.0</v>
      </c>
      <c r="B195" s="35" t="s">
        <v>1843</v>
      </c>
      <c r="C195" s="35" t="s">
        <v>1844</v>
      </c>
      <c r="D195" s="35" t="s">
        <v>356</v>
      </c>
      <c r="E195" s="35" t="s">
        <v>1602</v>
      </c>
      <c r="F195" s="40">
        <v>45505.0</v>
      </c>
      <c r="G195" s="33"/>
      <c r="H195" s="33" t="s">
        <v>1845</v>
      </c>
      <c r="I195" s="33"/>
      <c r="J195" s="33" t="str">
        <f t="shared" si="1"/>
        <v/>
      </c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</row>
    <row r="196">
      <c r="A196" s="40">
        <v>45505.0</v>
      </c>
      <c r="B196" s="35" t="s">
        <v>1846</v>
      </c>
      <c r="C196" s="35" t="s">
        <v>1847</v>
      </c>
      <c r="D196" s="35" t="s">
        <v>342</v>
      </c>
      <c r="E196" s="35" t="s">
        <v>1848</v>
      </c>
      <c r="F196" s="40">
        <v>45505.0</v>
      </c>
      <c r="G196" s="33"/>
      <c r="H196" s="33" t="s">
        <v>1849</v>
      </c>
      <c r="I196" s="33"/>
      <c r="J196" s="33" t="str">
        <f t="shared" si="1"/>
        <v/>
      </c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</row>
    <row r="197">
      <c r="A197" s="40">
        <v>45522.0</v>
      </c>
      <c r="B197" s="35" t="s">
        <v>1850</v>
      </c>
      <c r="C197" s="35" t="s">
        <v>1851</v>
      </c>
      <c r="D197" s="35" t="s">
        <v>1852</v>
      </c>
      <c r="E197" s="35" t="s">
        <v>1853</v>
      </c>
      <c r="F197" s="40">
        <v>45522.0</v>
      </c>
      <c r="G197" s="33"/>
      <c r="H197" s="33" t="s">
        <v>1854</v>
      </c>
      <c r="I197" s="33"/>
      <c r="J197" s="33" t="str">
        <f t="shared" si="1"/>
        <v/>
      </c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</row>
    <row r="198">
      <c r="A198" s="40">
        <v>45520.0</v>
      </c>
      <c r="B198" s="35" t="s">
        <v>1855</v>
      </c>
      <c r="C198" s="35" t="s">
        <v>1856</v>
      </c>
      <c r="D198" s="35" t="s">
        <v>1104</v>
      </c>
      <c r="E198" s="35" t="s">
        <v>1818</v>
      </c>
      <c r="F198" s="40">
        <v>45520.0</v>
      </c>
      <c r="G198" s="33"/>
      <c r="H198" s="33" t="s">
        <v>1857</v>
      </c>
      <c r="I198" s="33"/>
      <c r="J198" s="33" t="str">
        <f t="shared" si="1"/>
        <v/>
      </c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</row>
    <row r="199">
      <c r="A199" s="40"/>
      <c r="B199" s="35" t="s">
        <v>1772</v>
      </c>
      <c r="C199" s="35"/>
      <c r="D199" s="35"/>
      <c r="E199" s="35"/>
      <c r="F199" s="40"/>
      <c r="G199" s="33"/>
      <c r="H199" s="33"/>
      <c r="I199" s="33"/>
      <c r="J199" s="33" t="str">
        <f t="shared" si="1"/>
        <v/>
      </c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</row>
    <row r="200">
      <c r="A200" s="40">
        <v>45485.0</v>
      </c>
      <c r="B200" s="35" t="s">
        <v>1858</v>
      </c>
      <c r="C200" s="35" t="s">
        <v>1859</v>
      </c>
      <c r="D200" s="35" t="s">
        <v>646</v>
      </c>
      <c r="E200" s="35" t="s">
        <v>1860</v>
      </c>
      <c r="F200" s="40">
        <v>45485.0</v>
      </c>
      <c r="G200" s="33"/>
      <c r="H200" s="33" t="s">
        <v>1861</v>
      </c>
      <c r="I200" s="33"/>
      <c r="J200" s="33" t="str">
        <f t="shared" si="1"/>
        <v/>
      </c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</row>
    <row r="201">
      <c r="A201" s="40">
        <v>45536.0</v>
      </c>
      <c r="B201" s="35" t="s">
        <v>1862</v>
      </c>
      <c r="C201" s="35" t="s">
        <v>1863</v>
      </c>
      <c r="D201" s="35" t="s">
        <v>1864</v>
      </c>
      <c r="E201" s="35" t="s">
        <v>1865</v>
      </c>
      <c r="F201" s="40">
        <v>45536.0</v>
      </c>
      <c r="G201" s="33"/>
      <c r="H201" s="33" t="s">
        <v>1866</v>
      </c>
      <c r="I201" s="33"/>
      <c r="J201" s="33" t="str">
        <f t="shared" si="1"/>
        <v/>
      </c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</row>
    <row r="202">
      <c r="A202" s="40">
        <v>45524.0</v>
      </c>
      <c r="B202" s="35" t="s">
        <v>1867</v>
      </c>
      <c r="C202" s="35" t="s">
        <v>1868</v>
      </c>
      <c r="D202" s="35" t="s">
        <v>271</v>
      </c>
      <c r="E202" s="35" t="s">
        <v>1869</v>
      </c>
      <c r="F202" s="40">
        <v>45524.0</v>
      </c>
      <c r="G202" s="33"/>
      <c r="H202" s="33" t="s">
        <v>1870</v>
      </c>
      <c r="I202" s="33"/>
      <c r="J202" s="33" t="str">
        <f t="shared" si="1"/>
        <v/>
      </c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</row>
    <row r="203">
      <c r="A203" s="40"/>
      <c r="B203" s="35" t="s">
        <v>1871</v>
      </c>
      <c r="C203" s="35" t="s">
        <v>1872</v>
      </c>
      <c r="D203" s="35" t="s">
        <v>1873</v>
      </c>
      <c r="E203" s="35" t="s">
        <v>1874</v>
      </c>
      <c r="F203" s="40"/>
      <c r="G203" s="33"/>
      <c r="H203" s="33" t="s">
        <v>1875</v>
      </c>
      <c r="I203" s="33"/>
      <c r="J203" s="33" t="str">
        <f t="shared" si="1"/>
        <v/>
      </c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</row>
    <row r="204">
      <c r="A204" s="40">
        <v>45521.0</v>
      </c>
      <c r="B204" s="35" t="s">
        <v>1876</v>
      </c>
      <c r="C204" s="35" t="s">
        <v>1877</v>
      </c>
      <c r="D204" s="35" t="s">
        <v>1197</v>
      </c>
      <c r="E204" s="35" t="s">
        <v>1736</v>
      </c>
      <c r="F204" s="40">
        <v>45521.0</v>
      </c>
      <c r="G204" s="33"/>
      <c r="H204" s="33" t="s">
        <v>1878</v>
      </c>
      <c r="I204" s="33"/>
      <c r="J204" s="33" t="str">
        <f t="shared" si="1"/>
        <v/>
      </c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</row>
    <row r="205">
      <c r="A205" s="40">
        <v>45536.0</v>
      </c>
      <c r="B205" s="35" t="s">
        <v>1879</v>
      </c>
      <c r="C205" s="35" t="s">
        <v>1880</v>
      </c>
      <c r="D205" s="35" t="s">
        <v>116</v>
      </c>
      <c r="E205" s="35" t="s">
        <v>1881</v>
      </c>
      <c r="F205" s="40">
        <v>45536.0</v>
      </c>
      <c r="G205" s="33"/>
      <c r="H205" s="33" t="s">
        <v>1882</v>
      </c>
      <c r="I205" s="33"/>
      <c r="J205" s="33" t="str">
        <f t="shared" si="1"/>
        <v/>
      </c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</row>
    <row r="206">
      <c r="A206" s="40">
        <v>45520.0</v>
      </c>
      <c r="B206" s="35" t="s">
        <v>1883</v>
      </c>
      <c r="C206" s="35" t="s">
        <v>1884</v>
      </c>
      <c r="D206" s="35" t="s">
        <v>65</v>
      </c>
      <c r="E206" s="35" t="s">
        <v>449</v>
      </c>
      <c r="F206" s="40">
        <v>45520.0</v>
      </c>
      <c r="G206" s="33"/>
      <c r="H206" s="33" t="s">
        <v>1885</v>
      </c>
      <c r="I206" s="33"/>
      <c r="J206" s="33" t="str">
        <f t="shared" si="1"/>
        <v/>
      </c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</row>
    <row r="207">
      <c r="A207" s="40">
        <v>45536.0</v>
      </c>
      <c r="B207" s="35" t="s">
        <v>1886</v>
      </c>
      <c r="C207" s="35" t="s">
        <v>1887</v>
      </c>
      <c r="D207" s="35" t="s">
        <v>231</v>
      </c>
      <c r="E207" s="35" t="s">
        <v>1888</v>
      </c>
      <c r="F207" s="40">
        <v>45536.0</v>
      </c>
      <c r="G207" s="33"/>
      <c r="H207" s="33" t="s">
        <v>1889</v>
      </c>
      <c r="I207" s="33"/>
      <c r="J207" s="33" t="str">
        <f t="shared" si="1"/>
        <v/>
      </c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</row>
    <row r="208">
      <c r="A208" s="40">
        <v>45528.0</v>
      </c>
      <c r="B208" s="35" t="s">
        <v>1890</v>
      </c>
      <c r="C208" s="35" t="s">
        <v>1891</v>
      </c>
      <c r="D208" s="35" t="s">
        <v>682</v>
      </c>
      <c r="E208" s="35" t="s">
        <v>1892</v>
      </c>
      <c r="F208" s="40">
        <v>45528.0</v>
      </c>
      <c r="G208" s="33"/>
      <c r="H208" s="33" t="s">
        <v>1893</v>
      </c>
      <c r="I208" s="33"/>
      <c r="J208" s="33" t="str">
        <f t="shared" si="1"/>
        <v/>
      </c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</row>
    <row r="209">
      <c r="A209" s="40">
        <v>45536.0</v>
      </c>
      <c r="B209" s="35" t="s">
        <v>1894</v>
      </c>
      <c r="C209" s="35" t="s">
        <v>1895</v>
      </c>
      <c r="D209" s="35" t="s">
        <v>636</v>
      </c>
      <c r="E209" s="35" t="s">
        <v>1896</v>
      </c>
      <c r="F209" s="40">
        <v>45536.0</v>
      </c>
      <c r="G209" s="33"/>
      <c r="H209" s="33" t="s">
        <v>1897</v>
      </c>
      <c r="I209" s="33"/>
      <c r="J209" s="33" t="str">
        <f t="shared" si="1"/>
        <v/>
      </c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</row>
    <row r="210">
      <c r="A210" s="49">
        <v>45444.0</v>
      </c>
      <c r="B210" s="47" t="s">
        <v>1898</v>
      </c>
      <c r="C210" s="47" t="s">
        <v>1899</v>
      </c>
      <c r="D210" s="47" t="s">
        <v>128</v>
      </c>
      <c r="E210" s="47" t="s">
        <v>1900</v>
      </c>
      <c r="F210" s="49">
        <v>45444.0</v>
      </c>
      <c r="G210" s="34"/>
      <c r="H210" s="33"/>
      <c r="I210" s="33"/>
      <c r="J210" s="33" t="str">
        <f t="shared" si="1"/>
        <v/>
      </c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</row>
    <row r="211">
      <c r="A211" s="49">
        <v>45450.0</v>
      </c>
      <c r="B211" s="47" t="s">
        <v>1901</v>
      </c>
      <c r="C211" s="47" t="s">
        <v>1902</v>
      </c>
      <c r="D211" s="47" t="s">
        <v>122</v>
      </c>
      <c r="E211" s="47" t="s">
        <v>1232</v>
      </c>
      <c r="F211" s="49">
        <v>45450.0</v>
      </c>
      <c r="G211" s="55"/>
      <c r="H211" s="33"/>
      <c r="I211" s="33"/>
      <c r="J211" s="33" t="str">
        <f t="shared" si="1"/>
        <v/>
      </c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</row>
    <row r="212">
      <c r="A212" s="49">
        <v>45457.0</v>
      </c>
      <c r="B212" s="47" t="s">
        <v>1903</v>
      </c>
      <c r="C212" s="47" t="s">
        <v>1904</v>
      </c>
      <c r="D212" s="47" t="s">
        <v>122</v>
      </c>
      <c r="E212" s="47" t="s">
        <v>1585</v>
      </c>
      <c r="F212" s="49">
        <v>45457.0</v>
      </c>
      <c r="G212" s="34"/>
      <c r="H212" s="33"/>
      <c r="I212" s="33" t="s">
        <v>1905</v>
      </c>
      <c r="J212" s="33" t="str">
        <f t="shared" si="1"/>
        <v/>
      </c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</row>
    <row r="213">
      <c r="A213" s="49">
        <v>45459.0</v>
      </c>
      <c r="B213" s="47" t="s">
        <v>1906</v>
      </c>
      <c r="C213" s="47" t="s">
        <v>1907</v>
      </c>
      <c r="D213" s="47" t="s">
        <v>122</v>
      </c>
      <c r="E213" s="47" t="s">
        <v>1908</v>
      </c>
      <c r="F213" s="49">
        <v>45459.0</v>
      </c>
      <c r="G213" s="34"/>
      <c r="H213" s="33"/>
      <c r="I213" s="53" t="s">
        <v>1909</v>
      </c>
      <c r="J213" s="33" t="str">
        <f t="shared" si="1"/>
        <v/>
      </c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</row>
    <row r="214">
      <c r="A214" s="49">
        <v>45459.0</v>
      </c>
      <c r="B214" s="47" t="s">
        <v>1910</v>
      </c>
      <c r="C214" s="47" t="s">
        <v>1911</v>
      </c>
      <c r="D214" s="47" t="s">
        <v>476</v>
      </c>
      <c r="E214" s="47" t="s">
        <v>1183</v>
      </c>
      <c r="F214" s="49">
        <v>45459.0</v>
      </c>
      <c r="G214" s="34"/>
      <c r="H214" s="33"/>
      <c r="I214" s="53" t="s">
        <v>1912</v>
      </c>
      <c r="J214" s="33" t="str">
        <f t="shared" si="1"/>
        <v/>
      </c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</row>
    <row r="215">
      <c r="A215" s="49">
        <v>45461.0</v>
      </c>
      <c r="B215" s="47" t="s">
        <v>1913</v>
      </c>
      <c r="C215" s="47" t="s">
        <v>1914</v>
      </c>
      <c r="D215" s="47" t="s">
        <v>153</v>
      </c>
      <c r="E215" s="47" t="s">
        <v>1291</v>
      </c>
      <c r="F215" s="49">
        <v>45461.0</v>
      </c>
      <c r="G215" s="34"/>
      <c r="H215" s="33"/>
      <c r="I215" s="53" t="s">
        <v>1915</v>
      </c>
      <c r="J215" s="33" t="str">
        <f t="shared" si="1"/>
        <v/>
      </c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</row>
    <row r="216">
      <c r="A216" s="49">
        <v>45464.0</v>
      </c>
      <c r="B216" s="47" t="s">
        <v>1916</v>
      </c>
      <c r="C216" s="47" t="s">
        <v>1917</v>
      </c>
      <c r="D216" s="47" t="s">
        <v>444</v>
      </c>
      <c r="E216" s="47" t="s">
        <v>1918</v>
      </c>
      <c r="F216" s="49">
        <v>45464.0</v>
      </c>
      <c r="G216" s="34"/>
      <c r="H216" s="33"/>
      <c r="I216" s="33" t="s">
        <v>1919</v>
      </c>
      <c r="J216" s="33" t="str">
        <f t="shared" si="1"/>
        <v/>
      </c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</row>
    <row r="217">
      <c r="A217" s="49">
        <v>45467.0</v>
      </c>
      <c r="B217" s="47" t="s">
        <v>1920</v>
      </c>
      <c r="C217" s="47" t="s">
        <v>1921</v>
      </c>
      <c r="D217" s="47" t="s">
        <v>122</v>
      </c>
      <c r="E217" s="47" t="s">
        <v>807</v>
      </c>
      <c r="F217" s="49">
        <v>45467.0</v>
      </c>
      <c r="G217" s="34"/>
      <c r="H217" s="33"/>
      <c r="I217" s="53" t="s">
        <v>1922</v>
      </c>
      <c r="J217" s="33" t="str">
        <f t="shared" si="1"/>
        <v/>
      </c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</row>
    <row r="218">
      <c r="A218" s="49">
        <v>45468.0</v>
      </c>
      <c r="B218" s="47" t="s">
        <v>1923</v>
      </c>
      <c r="C218" s="47" t="s">
        <v>1924</v>
      </c>
      <c r="D218" s="47" t="s">
        <v>122</v>
      </c>
      <c r="E218" s="47" t="s">
        <v>1585</v>
      </c>
      <c r="F218" s="49">
        <v>45468.0</v>
      </c>
      <c r="G218" s="34"/>
      <c r="H218" s="33"/>
      <c r="I218" s="33"/>
      <c r="J218" s="33" t="str">
        <f t="shared" si="1"/>
        <v/>
      </c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</row>
    <row r="219">
      <c r="A219" s="49">
        <v>45474.0</v>
      </c>
      <c r="B219" s="47" t="s">
        <v>1925</v>
      </c>
      <c r="C219" s="47" t="s">
        <v>1926</v>
      </c>
      <c r="D219" s="47" t="s">
        <v>42</v>
      </c>
      <c r="E219" s="47" t="s">
        <v>624</v>
      </c>
      <c r="F219" s="49">
        <v>45474.0</v>
      </c>
      <c r="G219" s="34"/>
      <c r="H219" s="33"/>
      <c r="I219" s="53" t="s">
        <v>1927</v>
      </c>
      <c r="J219" s="33" t="str">
        <f t="shared" si="1"/>
        <v/>
      </c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</row>
    <row r="220">
      <c r="A220" s="49">
        <v>45474.0</v>
      </c>
      <c r="B220" s="47" t="s">
        <v>1928</v>
      </c>
      <c r="C220" s="47" t="s">
        <v>1929</v>
      </c>
      <c r="D220" s="47" t="s">
        <v>173</v>
      </c>
      <c r="E220" s="47" t="s">
        <v>1930</v>
      </c>
      <c r="F220" s="49">
        <v>45474.0</v>
      </c>
      <c r="G220" s="34"/>
      <c r="H220" s="33"/>
      <c r="I220" s="53" t="s">
        <v>1931</v>
      </c>
      <c r="J220" s="33" t="str">
        <f t="shared" si="1"/>
        <v/>
      </c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</row>
    <row r="221">
      <c r="A221" s="49">
        <v>45474.0</v>
      </c>
      <c r="B221" s="47" t="s">
        <v>1932</v>
      </c>
      <c r="C221" s="47" t="s">
        <v>1933</v>
      </c>
      <c r="D221" s="47" t="s">
        <v>1934</v>
      </c>
      <c r="E221" s="47" t="s">
        <v>1935</v>
      </c>
      <c r="F221" s="49">
        <v>45474.0</v>
      </c>
      <c r="G221" s="34"/>
      <c r="H221" s="33"/>
      <c r="I221" s="53" t="s">
        <v>1936</v>
      </c>
      <c r="J221" s="33" t="str">
        <f t="shared" si="1"/>
        <v/>
      </c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</row>
    <row r="222">
      <c r="A222" s="49">
        <v>45474.0</v>
      </c>
      <c r="B222" s="47" t="s">
        <v>1937</v>
      </c>
      <c r="C222" s="47" t="s">
        <v>1938</v>
      </c>
      <c r="D222" s="47" t="s">
        <v>342</v>
      </c>
      <c r="E222" s="47" t="s">
        <v>1573</v>
      </c>
      <c r="F222" s="49">
        <v>45474.0</v>
      </c>
      <c r="G222" s="34"/>
      <c r="H222" s="33"/>
      <c r="I222" s="33"/>
      <c r="J222" s="33" t="str">
        <f t="shared" si="1"/>
        <v/>
      </c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</row>
    <row r="223">
      <c r="A223" s="49">
        <v>45474.0</v>
      </c>
      <c r="B223" s="47" t="s">
        <v>1939</v>
      </c>
      <c r="C223" s="47" t="s">
        <v>1940</v>
      </c>
      <c r="D223" s="47" t="s">
        <v>173</v>
      </c>
      <c r="E223" s="47" t="s">
        <v>1577</v>
      </c>
      <c r="F223" s="49">
        <v>45474.0</v>
      </c>
      <c r="G223" s="56"/>
      <c r="H223" s="33"/>
      <c r="I223" s="53" t="s">
        <v>1941</v>
      </c>
      <c r="J223" s="33" t="str">
        <f t="shared" si="1"/>
        <v/>
      </c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</row>
    <row r="224">
      <c r="A224" s="57">
        <v>45466.0</v>
      </c>
      <c r="B224" s="47" t="s">
        <v>1942</v>
      </c>
      <c r="C224" s="47" t="s">
        <v>1943</v>
      </c>
      <c r="D224" s="47" t="s">
        <v>110</v>
      </c>
      <c r="E224" s="47" t="s">
        <v>1944</v>
      </c>
      <c r="F224" s="57">
        <v>45466.0</v>
      </c>
      <c r="G224" s="58"/>
      <c r="H224" s="33"/>
      <c r="I224" s="53" t="s">
        <v>1945</v>
      </c>
      <c r="J224" s="33" t="str">
        <f t="shared" si="1"/>
        <v/>
      </c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</row>
    <row r="225">
      <c r="A225" s="49">
        <v>45474.0</v>
      </c>
      <c r="B225" s="47" t="s">
        <v>1946</v>
      </c>
      <c r="C225" s="47" t="s">
        <v>1947</v>
      </c>
      <c r="D225" s="47" t="s">
        <v>128</v>
      </c>
      <c r="E225" s="47" t="s">
        <v>1948</v>
      </c>
      <c r="F225" s="49">
        <v>45474.0</v>
      </c>
      <c r="G225" s="58"/>
      <c r="H225" s="33"/>
      <c r="I225" s="53" t="s">
        <v>1949</v>
      </c>
      <c r="J225" s="33" t="str">
        <f t="shared" si="1"/>
        <v/>
      </c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</row>
    <row r="226">
      <c r="A226" s="57">
        <v>45474.0</v>
      </c>
      <c r="B226" s="47" t="s">
        <v>1950</v>
      </c>
      <c r="C226" s="47" t="s">
        <v>1951</v>
      </c>
      <c r="D226" s="47" t="s">
        <v>414</v>
      </c>
      <c r="E226" s="47" t="s">
        <v>1952</v>
      </c>
      <c r="F226" s="57">
        <v>45474.0</v>
      </c>
      <c r="G226" s="58"/>
      <c r="H226" s="33"/>
      <c r="I226" s="53" t="s">
        <v>1953</v>
      </c>
      <c r="J226" s="33" t="str">
        <f t="shared" si="1"/>
        <v/>
      </c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</row>
    <row r="227">
      <c r="A227" s="57">
        <v>45463.0</v>
      </c>
      <c r="B227" s="47" t="s">
        <v>1954</v>
      </c>
      <c r="C227" s="47" t="s">
        <v>1955</v>
      </c>
      <c r="D227" s="47" t="s">
        <v>476</v>
      </c>
      <c r="E227" s="47" t="s">
        <v>1183</v>
      </c>
      <c r="F227" s="57">
        <v>45463.0</v>
      </c>
      <c r="G227" s="58"/>
      <c r="H227" s="33"/>
      <c r="I227" s="33"/>
      <c r="J227" s="33" t="str">
        <f t="shared" si="1"/>
        <v/>
      </c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</row>
    <row r="228">
      <c r="A228" s="49">
        <v>45474.0</v>
      </c>
      <c r="B228" s="47" t="s">
        <v>1956</v>
      </c>
      <c r="C228" s="47" t="s">
        <v>1957</v>
      </c>
      <c r="D228" s="47" t="s">
        <v>697</v>
      </c>
      <c r="E228" s="47" t="s">
        <v>1958</v>
      </c>
      <c r="F228" s="49">
        <v>45474.0</v>
      </c>
      <c r="G228" s="54"/>
      <c r="H228" s="33"/>
      <c r="I228" s="53" t="s">
        <v>1959</v>
      </c>
      <c r="J228" s="33" t="str">
        <f t="shared" si="1"/>
        <v/>
      </c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</row>
    <row r="229">
      <c r="A229" s="49">
        <v>45471.0</v>
      </c>
      <c r="B229" s="47" t="s">
        <v>1960</v>
      </c>
      <c r="C229" s="47" t="s">
        <v>1961</v>
      </c>
      <c r="D229" s="47" t="s">
        <v>173</v>
      </c>
      <c r="E229" s="47" t="s">
        <v>1962</v>
      </c>
      <c r="F229" s="49">
        <v>45471.0</v>
      </c>
      <c r="G229" s="55"/>
      <c r="H229" s="33"/>
      <c r="I229" s="53" t="s">
        <v>1963</v>
      </c>
      <c r="J229" s="33" t="str">
        <f t="shared" si="1"/>
        <v/>
      </c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</row>
    <row r="230">
      <c r="A230" s="59">
        <v>45471.0</v>
      </c>
      <c r="B230" s="60" t="s">
        <v>1964</v>
      </c>
      <c r="C230" s="60" t="s">
        <v>1965</v>
      </c>
      <c r="D230" s="60" t="s">
        <v>122</v>
      </c>
      <c r="E230" s="60" t="s">
        <v>1232</v>
      </c>
      <c r="F230" s="59">
        <v>45471.0</v>
      </c>
      <c r="G230" s="61"/>
      <c r="H230" s="33"/>
      <c r="I230" s="53" t="s">
        <v>1966</v>
      </c>
      <c r="J230" s="33" t="str">
        <f t="shared" si="1"/>
        <v/>
      </c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</row>
    <row r="231">
      <c r="A231" s="30">
        <v>45474.0</v>
      </c>
      <c r="B231" s="35" t="s">
        <v>1967</v>
      </c>
      <c r="C231" s="35" t="s">
        <v>1968</v>
      </c>
      <c r="D231" s="35" t="s">
        <v>128</v>
      </c>
      <c r="E231" s="35" t="s">
        <v>1952</v>
      </c>
      <c r="F231" s="30">
        <v>45474.0</v>
      </c>
      <c r="G231" s="33"/>
      <c r="H231" s="34"/>
      <c r="I231" s="33"/>
      <c r="J231" s="33" t="str">
        <f t="shared" si="1"/>
        <v/>
      </c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</row>
    <row r="232">
      <c r="A232" s="30">
        <v>45474.0</v>
      </c>
      <c r="B232" s="35" t="s">
        <v>1969</v>
      </c>
      <c r="C232" s="35" t="s">
        <v>1970</v>
      </c>
      <c r="D232" s="35" t="s">
        <v>42</v>
      </c>
      <c r="E232" s="35" t="s">
        <v>1971</v>
      </c>
      <c r="F232" s="30">
        <v>45474.0</v>
      </c>
      <c r="G232" s="33"/>
      <c r="H232" s="34"/>
      <c r="I232" s="33"/>
      <c r="J232" s="33" t="str">
        <f t="shared" si="1"/>
        <v/>
      </c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</row>
    <row r="233">
      <c r="A233" s="30">
        <v>45476.0</v>
      </c>
      <c r="B233" s="35" t="s">
        <v>1972</v>
      </c>
      <c r="C233" s="35" t="s">
        <v>1973</v>
      </c>
      <c r="D233" s="35" t="s">
        <v>706</v>
      </c>
      <c r="E233" s="35" t="s">
        <v>517</v>
      </c>
      <c r="F233" s="30">
        <v>45476.0</v>
      </c>
      <c r="G233" s="33"/>
      <c r="H233" s="34"/>
      <c r="I233" s="33"/>
      <c r="J233" s="33" t="str">
        <f t="shared" si="1"/>
        <v/>
      </c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</row>
    <row r="234">
      <c r="A234" s="30">
        <v>45476.0</v>
      </c>
      <c r="B234" s="35" t="s">
        <v>1974</v>
      </c>
      <c r="C234" s="35" t="s">
        <v>1975</v>
      </c>
      <c r="D234" s="35" t="s">
        <v>1976</v>
      </c>
      <c r="E234" s="35" t="s">
        <v>1977</v>
      </c>
      <c r="F234" s="30">
        <v>45476.0</v>
      </c>
      <c r="G234" s="33"/>
      <c r="H234" s="34"/>
      <c r="I234" s="53" t="s">
        <v>1978</v>
      </c>
      <c r="J234" s="33" t="str">
        <f t="shared" si="1"/>
        <v/>
      </c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</row>
    <row r="235">
      <c r="A235" s="30">
        <v>45481.0</v>
      </c>
      <c r="B235" s="35" t="s">
        <v>1979</v>
      </c>
      <c r="C235" s="35" t="s">
        <v>1980</v>
      </c>
      <c r="D235" s="35" t="s">
        <v>1976</v>
      </c>
      <c r="E235" s="35" t="s">
        <v>1981</v>
      </c>
      <c r="F235" s="30">
        <v>45481.0</v>
      </c>
      <c r="G235" s="33"/>
      <c r="H235" s="34"/>
      <c r="I235" s="53" t="s">
        <v>1982</v>
      </c>
      <c r="J235" s="33" t="str">
        <f t="shared" si="1"/>
        <v/>
      </c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</row>
    <row r="236">
      <c r="A236" s="30">
        <v>45483.0</v>
      </c>
      <c r="B236" s="35" t="s">
        <v>1983</v>
      </c>
      <c r="C236" s="35" t="s">
        <v>1984</v>
      </c>
      <c r="D236" s="35" t="s">
        <v>128</v>
      </c>
      <c r="E236" s="35" t="s">
        <v>294</v>
      </c>
      <c r="F236" s="30">
        <v>45483.0</v>
      </c>
      <c r="G236" s="33"/>
      <c r="H236" s="34"/>
      <c r="I236" s="33"/>
      <c r="J236" s="33" t="str">
        <f t="shared" si="1"/>
        <v/>
      </c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</row>
    <row r="237">
      <c r="A237" s="30">
        <v>45485.0</v>
      </c>
      <c r="B237" s="35" t="s">
        <v>1985</v>
      </c>
      <c r="C237" s="35" t="s">
        <v>1986</v>
      </c>
      <c r="D237" s="35" t="s">
        <v>1976</v>
      </c>
      <c r="E237" s="35" t="s">
        <v>1987</v>
      </c>
      <c r="F237" s="30">
        <v>45485.0</v>
      </c>
      <c r="G237" s="33"/>
      <c r="H237" s="34"/>
      <c r="I237" s="53" t="s">
        <v>1988</v>
      </c>
      <c r="J237" s="33" t="str">
        <f t="shared" si="1"/>
        <v/>
      </c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</row>
    <row r="238">
      <c r="A238" s="30">
        <v>45485.0</v>
      </c>
      <c r="B238" s="35" t="s">
        <v>1989</v>
      </c>
      <c r="C238" s="35" t="s">
        <v>1990</v>
      </c>
      <c r="D238" s="35" t="s">
        <v>71</v>
      </c>
      <c r="E238" s="35" t="s">
        <v>72</v>
      </c>
      <c r="F238" s="30">
        <v>45485.0</v>
      </c>
      <c r="G238" s="33"/>
      <c r="H238" s="34"/>
      <c r="I238" s="53" t="s">
        <v>1991</v>
      </c>
      <c r="J238" s="33" t="str">
        <f t="shared" si="1"/>
        <v/>
      </c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</row>
    <row r="239">
      <c r="A239" s="30">
        <v>45486.0</v>
      </c>
      <c r="B239" s="35" t="s">
        <v>1992</v>
      </c>
      <c r="C239" s="35" t="s">
        <v>1993</v>
      </c>
      <c r="D239" s="35" t="s">
        <v>153</v>
      </c>
      <c r="E239" s="35" t="s">
        <v>1291</v>
      </c>
      <c r="F239" s="30">
        <v>45486.0</v>
      </c>
      <c r="G239" s="33"/>
      <c r="H239" s="34"/>
      <c r="I239" s="53" t="s">
        <v>1994</v>
      </c>
      <c r="J239" s="33" t="str">
        <f t="shared" si="1"/>
        <v/>
      </c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</row>
    <row r="240">
      <c r="A240" s="30">
        <v>45488.0</v>
      </c>
      <c r="B240" s="35" t="s">
        <v>1995</v>
      </c>
      <c r="C240" s="35" t="s">
        <v>1996</v>
      </c>
      <c r="D240" s="35" t="s">
        <v>71</v>
      </c>
      <c r="E240" s="35" t="s">
        <v>1997</v>
      </c>
      <c r="F240" s="30">
        <v>45488.0</v>
      </c>
      <c r="G240" s="33"/>
      <c r="H240" s="34"/>
      <c r="I240" s="33"/>
      <c r="J240" s="33" t="str">
        <f t="shared" si="1"/>
        <v/>
      </c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</row>
    <row r="241">
      <c r="A241" s="30">
        <v>45489.0</v>
      </c>
      <c r="B241" s="35" t="s">
        <v>1998</v>
      </c>
      <c r="C241" s="35" t="s">
        <v>1999</v>
      </c>
      <c r="D241" s="35" t="s">
        <v>173</v>
      </c>
      <c r="E241" s="35" t="s">
        <v>2000</v>
      </c>
      <c r="F241" s="30">
        <v>45489.0</v>
      </c>
      <c r="G241" s="33"/>
      <c r="H241" s="34"/>
      <c r="I241" s="53" t="s">
        <v>2001</v>
      </c>
      <c r="J241" s="33" t="str">
        <f t="shared" si="1"/>
        <v/>
      </c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</row>
    <row r="242">
      <c r="A242" s="30">
        <v>45490.0</v>
      </c>
      <c r="B242" s="35" t="s">
        <v>2002</v>
      </c>
      <c r="C242" s="35" t="s">
        <v>2003</v>
      </c>
      <c r="D242" s="35" t="s">
        <v>128</v>
      </c>
      <c r="E242" s="35" t="s">
        <v>2004</v>
      </c>
      <c r="F242" s="30">
        <v>45490.0</v>
      </c>
      <c r="G242" s="33"/>
      <c r="H242" s="34"/>
      <c r="I242" s="53" t="s">
        <v>2005</v>
      </c>
      <c r="J242" s="33" t="str">
        <f t="shared" si="1"/>
        <v/>
      </c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</row>
    <row r="243">
      <c r="A243" s="30">
        <v>45494.0</v>
      </c>
      <c r="B243" s="35" t="s">
        <v>2006</v>
      </c>
      <c r="C243" s="35" t="s">
        <v>2007</v>
      </c>
      <c r="D243" s="35" t="s">
        <v>71</v>
      </c>
      <c r="E243" s="35" t="s">
        <v>148</v>
      </c>
      <c r="F243" s="30">
        <v>45494.0</v>
      </c>
      <c r="G243" s="33"/>
      <c r="H243" s="34"/>
      <c r="I243" s="53" t="s">
        <v>2008</v>
      </c>
      <c r="J243" s="33" t="str">
        <f t="shared" si="1"/>
        <v/>
      </c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</row>
    <row r="244">
      <c r="A244" s="30">
        <v>45498.0</v>
      </c>
      <c r="B244" s="35" t="s">
        <v>2009</v>
      </c>
      <c r="C244" s="35" t="s">
        <v>2010</v>
      </c>
      <c r="D244" s="35" t="s">
        <v>128</v>
      </c>
      <c r="E244" s="35" t="s">
        <v>2011</v>
      </c>
      <c r="F244" s="30">
        <v>45498.0</v>
      </c>
      <c r="G244" s="33"/>
      <c r="H244" s="34"/>
      <c r="I244" s="53" t="s">
        <v>2012</v>
      </c>
      <c r="J244" s="33" t="str">
        <f t="shared" si="1"/>
        <v/>
      </c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</row>
    <row r="245">
      <c r="A245" s="30">
        <v>45500.0</v>
      </c>
      <c r="B245" s="35" t="s">
        <v>2013</v>
      </c>
      <c r="C245" s="35" t="s">
        <v>2014</v>
      </c>
      <c r="D245" s="35" t="s">
        <v>2015</v>
      </c>
      <c r="E245" s="35" t="s">
        <v>529</v>
      </c>
      <c r="F245" s="30">
        <v>45500.0</v>
      </c>
      <c r="G245" s="33"/>
      <c r="H245" s="34"/>
      <c r="I245" s="53" t="s">
        <v>2016</v>
      </c>
      <c r="J245" s="33" t="str">
        <f t="shared" si="1"/>
        <v/>
      </c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</row>
    <row r="246">
      <c r="A246" s="30">
        <v>45505.0</v>
      </c>
      <c r="B246" s="35" t="s">
        <v>2017</v>
      </c>
      <c r="C246" s="35" t="s">
        <v>2018</v>
      </c>
      <c r="D246" s="35" t="s">
        <v>128</v>
      </c>
      <c r="E246" s="35" t="s">
        <v>2019</v>
      </c>
      <c r="F246" s="30">
        <v>45505.0</v>
      </c>
      <c r="G246" s="33"/>
      <c r="H246" s="34"/>
      <c r="I246" s="53" t="s">
        <v>2020</v>
      </c>
      <c r="J246" s="33" t="str">
        <f t="shared" si="1"/>
        <v/>
      </c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</row>
    <row r="247">
      <c r="A247" s="30">
        <v>45505.0</v>
      </c>
      <c r="B247" s="35" t="s">
        <v>2021</v>
      </c>
      <c r="C247" s="35" t="s">
        <v>2022</v>
      </c>
      <c r="D247" s="35" t="s">
        <v>216</v>
      </c>
      <c r="E247" s="35" t="s">
        <v>2023</v>
      </c>
      <c r="F247" s="30">
        <v>45505.0</v>
      </c>
      <c r="G247" s="33"/>
      <c r="H247" s="34"/>
      <c r="I247" s="33" t="s">
        <v>2024</v>
      </c>
      <c r="J247" s="33" t="str">
        <f t="shared" si="1"/>
        <v/>
      </c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</row>
    <row r="248">
      <c r="A248" s="30">
        <v>45505.0</v>
      </c>
      <c r="B248" s="35" t="s">
        <v>2025</v>
      </c>
      <c r="C248" s="35" t="s">
        <v>2026</v>
      </c>
      <c r="D248" s="35" t="s">
        <v>1166</v>
      </c>
      <c r="E248" s="35" t="s">
        <v>2027</v>
      </c>
      <c r="F248" s="30">
        <v>45505.0</v>
      </c>
      <c r="G248" s="33"/>
      <c r="H248" s="34"/>
      <c r="I248" s="33" t="s">
        <v>2028</v>
      </c>
      <c r="J248" s="33" t="str">
        <f t="shared" si="1"/>
        <v/>
      </c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</row>
    <row r="249">
      <c r="A249" s="30">
        <v>45505.0</v>
      </c>
      <c r="B249" s="35" t="s">
        <v>2029</v>
      </c>
      <c r="C249" s="35" t="s">
        <v>2030</v>
      </c>
      <c r="D249" s="35" t="s">
        <v>128</v>
      </c>
      <c r="E249" s="35" t="s">
        <v>2031</v>
      </c>
      <c r="F249" s="30">
        <v>45505.0</v>
      </c>
      <c r="G249" s="33"/>
      <c r="H249" s="34"/>
      <c r="I249" s="53" t="s">
        <v>2032</v>
      </c>
      <c r="J249" s="33" t="str">
        <f t="shared" si="1"/>
        <v/>
      </c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</row>
    <row r="250">
      <c r="A250" s="30">
        <v>45505.0</v>
      </c>
      <c r="B250" s="35" t="s">
        <v>2033</v>
      </c>
      <c r="C250" s="35" t="s">
        <v>2034</v>
      </c>
      <c r="D250" s="31" t="s">
        <v>1031</v>
      </c>
      <c r="E250" s="31" t="s">
        <v>2035</v>
      </c>
      <c r="F250" s="30">
        <v>45505.0</v>
      </c>
      <c r="G250" s="62"/>
      <c r="H250" s="34"/>
      <c r="I250" s="53" t="s">
        <v>2036</v>
      </c>
      <c r="J250" s="33" t="str">
        <f t="shared" si="1"/>
        <v/>
      </c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</row>
    <row r="251">
      <c r="A251" s="30">
        <v>45505.0</v>
      </c>
      <c r="B251" s="35" t="s">
        <v>2037</v>
      </c>
      <c r="C251" s="35" t="s">
        <v>2038</v>
      </c>
      <c r="D251" s="35" t="s">
        <v>1246</v>
      </c>
      <c r="E251" s="35" t="s">
        <v>2039</v>
      </c>
      <c r="F251" s="30">
        <v>45505.0</v>
      </c>
      <c r="G251" s="33"/>
      <c r="H251" s="34"/>
      <c r="I251" s="53" t="s">
        <v>2040</v>
      </c>
      <c r="J251" s="33" t="str">
        <f t="shared" si="1"/>
        <v/>
      </c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</row>
    <row r="252">
      <c r="A252" s="30">
        <v>45505.0</v>
      </c>
      <c r="B252" s="35" t="s">
        <v>2041</v>
      </c>
      <c r="C252" s="35" t="s">
        <v>2042</v>
      </c>
      <c r="D252" s="35" t="s">
        <v>328</v>
      </c>
      <c r="E252" s="35" t="s">
        <v>2043</v>
      </c>
      <c r="F252" s="30">
        <v>45505.0</v>
      </c>
      <c r="G252" s="33"/>
      <c r="H252" s="34"/>
      <c r="I252" s="53" t="s">
        <v>2044</v>
      </c>
      <c r="J252" s="33" t="str">
        <f t="shared" si="1"/>
        <v/>
      </c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</row>
    <row r="253">
      <c r="A253" s="30">
        <v>45505.0</v>
      </c>
      <c r="B253" s="35" t="s">
        <v>2045</v>
      </c>
      <c r="C253" s="35" t="s">
        <v>2046</v>
      </c>
      <c r="D253" s="35" t="s">
        <v>342</v>
      </c>
      <c r="E253" s="35" t="s">
        <v>2047</v>
      </c>
      <c r="F253" s="30">
        <v>45505.0</v>
      </c>
      <c r="G253" s="33"/>
      <c r="H253" s="34"/>
      <c r="I253" s="53" t="s">
        <v>2048</v>
      </c>
      <c r="J253" s="33" t="str">
        <f t="shared" si="1"/>
        <v/>
      </c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</row>
    <row r="254">
      <c r="A254" s="30">
        <v>45505.0</v>
      </c>
      <c r="B254" s="35" t="s">
        <v>2049</v>
      </c>
      <c r="C254" s="35" t="s">
        <v>2050</v>
      </c>
      <c r="D254" s="35" t="s">
        <v>342</v>
      </c>
      <c r="E254" s="35" t="s">
        <v>2051</v>
      </c>
      <c r="F254" s="30">
        <v>45505.0</v>
      </c>
      <c r="G254" s="33"/>
      <c r="H254" s="34"/>
      <c r="I254" s="53" t="s">
        <v>2052</v>
      </c>
      <c r="J254" s="33" t="str">
        <f t="shared" si="1"/>
        <v/>
      </c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</row>
    <row r="255">
      <c r="A255" s="30">
        <v>45505.0</v>
      </c>
      <c r="B255" s="35" t="s">
        <v>2053</v>
      </c>
      <c r="C255" s="35" t="s">
        <v>2054</v>
      </c>
      <c r="D255" s="35" t="s">
        <v>1166</v>
      </c>
      <c r="E255" s="35" t="s">
        <v>2055</v>
      </c>
      <c r="F255" s="30">
        <v>45505.0</v>
      </c>
      <c r="G255" s="33"/>
      <c r="H255" s="34"/>
      <c r="I255" s="53" t="s">
        <v>2056</v>
      </c>
      <c r="J255" s="33" t="str">
        <f t="shared" si="1"/>
        <v/>
      </c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</row>
    <row r="256">
      <c r="A256" s="30">
        <v>45505.0</v>
      </c>
      <c r="B256" s="35" t="s">
        <v>2057</v>
      </c>
      <c r="C256" s="35" t="s">
        <v>2058</v>
      </c>
      <c r="D256" s="35" t="s">
        <v>328</v>
      </c>
      <c r="E256" s="35" t="s">
        <v>2055</v>
      </c>
      <c r="F256" s="30">
        <v>45505.0</v>
      </c>
      <c r="G256" s="33"/>
      <c r="H256" s="34"/>
      <c r="I256" s="53" t="s">
        <v>2059</v>
      </c>
      <c r="J256" s="33" t="str">
        <f t="shared" si="1"/>
        <v/>
      </c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</row>
    <row r="257">
      <c r="A257" s="30">
        <v>45505.0</v>
      </c>
      <c r="B257" s="35" t="s">
        <v>2060</v>
      </c>
      <c r="C257" s="35" t="s">
        <v>2061</v>
      </c>
      <c r="D257" s="35" t="s">
        <v>2062</v>
      </c>
      <c r="E257" s="35" t="s">
        <v>2047</v>
      </c>
      <c r="F257" s="30">
        <v>45505.0</v>
      </c>
      <c r="G257" s="33"/>
      <c r="H257" s="34"/>
      <c r="I257" s="53" t="s">
        <v>2063</v>
      </c>
      <c r="J257" s="33" t="str">
        <f t="shared" si="1"/>
        <v/>
      </c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</row>
    <row r="258">
      <c r="A258" s="30">
        <v>45505.0</v>
      </c>
      <c r="B258" s="47" t="s">
        <v>2064</v>
      </c>
      <c r="C258" s="47" t="s">
        <v>2065</v>
      </c>
      <c r="D258" s="47" t="s">
        <v>173</v>
      </c>
      <c r="E258" s="47" t="s">
        <v>1577</v>
      </c>
      <c r="F258" s="30">
        <v>45505.0</v>
      </c>
      <c r="G258" s="34"/>
      <c r="H258" s="33"/>
      <c r="I258" s="53" t="s">
        <v>2066</v>
      </c>
      <c r="J258" s="33" t="str">
        <f t="shared" si="1"/>
        <v/>
      </c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</row>
    <row r="259">
      <c r="A259" s="30">
        <v>45505.0</v>
      </c>
      <c r="B259" s="47" t="s">
        <v>2067</v>
      </c>
      <c r="C259" s="47" t="s">
        <v>2068</v>
      </c>
      <c r="D259" s="47" t="s">
        <v>697</v>
      </c>
      <c r="E259" s="47" t="s">
        <v>2069</v>
      </c>
      <c r="F259" s="30">
        <v>45505.0</v>
      </c>
      <c r="G259" s="34"/>
      <c r="H259" s="33"/>
      <c r="I259" s="53" t="s">
        <v>2070</v>
      </c>
      <c r="J259" s="33" t="str">
        <f t="shared" si="1"/>
        <v/>
      </c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</row>
    <row r="260">
      <c r="A260" s="30">
        <v>45505.0</v>
      </c>
      <c r="B260" s="35" t="s">
        <v>2071</v>
      </c>
      <c r="C260" s="35" t="s">
        <v>2072</v>
      </c>
      <c r="D260" s="35" t="s">
        <v>116</v>
      </c>
      <c r="E260" s="35" t="s">
        <v>2073</v>
      </c>
      <c r="F260" s="30">
        <v>45505.0</v>
      </c>
      <c r="G260" s="33"/>
      <c r="H260" s="33"/>
      <c r="I260" s="53" t="s">
        <v>2074</v>
      </c>
      <c r="J260" s="33" t="str">
        <f t="shared" si="1"/>
        <v/>
      </c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</row>
    <row r="261">
      <c r="A261" s="30">
        <v>45505.0</v>
      </c>
      <c r="B261" s="47" t="s">
        <v>2075</v>
      </c>
      <c r="C261" s="47" t="s">
        <v>2076</v>
      </c>
      <c r="D261" s="31" t="s">
        <v>28</v>
      </c>
      <c r="E261" s="31" t="s">
        <v>2077</v>
      </c>
      <c r="F261" s="30">
        <v>45505.0</v>
      </c>
      <c r="G261" s="63"/>
      <c r="H261" s="34"/>
      <c r="I261" s="53" t="s">
        <v>2078</v>
      </c>
      <c r="J261" s="33" t="str">
        <f t="shared" si="1"/>
        <v/>
      </c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</row>
    <row r="262">
      <c r="A262" s="49">
        <v>45535.0</v>
      </c>
      <c r="B262" s="35" t="s">
        <v>2079</v>
      </c>
      <c r="C262" s="31" t="s">
        <v>2080</v>
      </c>
      <c r="D262" s="31" t="s">
        <v>677</v>
      </c>
      <c r="E262" s="31" t="s">
        <v>2081</v>
      </c>
      <c r="F262" s="49">
        <v>45535.0</v>
      </c>
      <c r="G262" s="62"/>
      <c r="H262" s="34"/>
      <c r="I262" s="53" t="s">
        <v>2082</v>
      </c>
      <c r="J262" s="33" t="str">
        <f t="shared" si="1"/>
        <v/>
      </c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</row>
    <row r="263">
      <c r="A263" s="30">
        <v>45528.0</v>
      </c>
      <c r="B263" s="47" t="s">
        <v>2083</v>
      </c>
      <c r="C263" s="47" t="s">
        <v>2084</v>
      </c>
      <c r="D263" s="31" t="s">
        <v>2015</v>
      </c>
      <c r="E263" s="31" t="s">
        <v>2085</v>
      </c>
      <c r="F263" s="30">
        <v>45528.0</v>
      </c>
      <c r="G263" s="62"/>
      <c r="H263" s="34"/>
      <c r="I263" s="34" t="s">
        <v>2086</v>
      </c>
      <c r="J263" s="33" t="str">
        <f t="shared" si="1"/>
        <v/>
      </c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</row>
    <row r="264">
      <c r="A264" s="30">
        <v>45505.0</v>
      </c>
      <c r="B264" s="47" t="s">
        <v>2087</v>
      </c>
      <c r="C264" s="47" t="s">
        <v>2088</v>
      </c>
      <c r="D264" s="31" t="s">
        <v>2089</v>
      </c>
      <c r="E264" s="31" t="s">
        <v>2090</v>
      </c>
      <c r="F264" s="30">
        <v>45505.0</v>
      </c>
      <c r="G264" s="63"/>
      <c r="H264" s="34"/>
      <c r="I264" s="34" t="s">
        <v>2091</v>
      </c>
      <c r="J264" s="33" t="str">
        <f t="shared" si="1"/>
        <v/>
      </c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</row>
    <row r="265">
      <c r="A265" s="30">
        <v>45505.0</v>
      </c>
      <c r="B265" s="47" t="s">
        <v>2092</v>
      </c>
      <c r="C265" s="47" t="s">
        <v>2093</v>
      </c>
      <c r="D265" s="31" t="s">
        <v>2094</v>
      </c>
      <c r="E265" s="31" t="s">
        <v>2095</v>
      </c>
      <c r="F265" s="30">
        <v>45505.0</v>
      </c>
      <c r="G265" s="62"/>
      <c r="H265" s="34"/>
      <c r="I265" s="34" t="s">
        <v>2096</v>
      </c>
      <c r="J265" s="33" t="str">
        <f t="shared" si="1"/>
        <v/>
      </c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</row>
    <row r="266">
      <c r="A266" s="30">
        <v>45505.0</v>
      </c>
      <c r="B266" s="47" t="s">
        <v>2097</v>
      </c>
      <c r="C266" s="47" t="s">
        <v>2098</v>
      </c>
      <c r="D266" s="31" t="s">
        <v>1166</v>
      </c>
      <c r="E266" s="31" t="s">
        <v>2095</v>
      </c>
      <c r="F266" s="30">
        <v>45505.0</v>
      </c>
      <c r="G266" s="62"/>
      <c r="H266" s="34"/>
      <c r="I266" s="34" t="s">
        <v>2099</v>
      </c>
      <c r="J266" s="33" t="str">
        <f t="shared" si="1"/>
        <v/>
      </c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</row>
    <row r="267">
      <c r="A267" s="30">
        <v>45505.0</v>
      </c>
      <c r="B267" s="47" t="s">
        <v>2100</v>
      </c>
      <c r="C267" s="47" t="s">
        <v>2101</v>
      </c>
      <c r="D267" s="31" t="s">
        <v>444</v>
      </c>
      <c r="E267" s="31" t="s">
        <v>2095</v>
      </c>
      <c r="F267" s="30">
        <v>45505.0</v>
      </c>
      <c r="G267" s="62"/>
      <c r="H267" s="34"/>
      <c r="I267" s="34" t="s">
        <v>2102</v>
      </c>
      <c r="J267" s="33" t="str">
        <f t="shared" si="1"/>
        <v/>
      </c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</row>
    <row r="268">
      <c r="A268" s="30">
        <v>45505.0</v>
      </c>
      <c r="B268" s="47" t="s">
        <v>2103</v>
      </c>
      <c r="C268" s="51" t="s">
        <v>2104</v>
      </c>
      <c r="D268" s="31" t="s">
        <v>1544</v>
      </c>
      <c r="E268" s="31" t="s">
        <v>2095</v>
      </c>
      <c r="F268" s="30">
        <v>45505.0</v>
      </c>
      <c r="G268" s="62"/>
      <c r="H268" s="34"/>
      <c r="I268" s="34" t="s">
        <v>2105</v>
      </c>
      <c r="J268" s="33" t="str">
        <f t="shared" si="1"/>
        <v/>
      </c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</row>
    <row r="269">
      <c r="A269" s="30">
        <v>45505.0</v>
      </c>
      <c r="B269" s="47" t="s">
        <v>2106</v>
      </c>
      <c r="C269" s="47" t="s">
        <v>2107</v>
      </c>
      <c r="D269" s="31" t="s">
        <v>1544</v>
      </c>
      <c r="E269" s="31" t="s">
        <v>2095</v>
      </c>
      <c r="F269" s="30">
        <v>45505.0</v>
      </c>
      <c r="G269" s="62"/>
      <c r="H269" s="34"/>
      <c r="I269" s="34" t="s">
        <v>2108</v>
      </c>
      <c r="J269" s="33" t="str">
        <f t="shared" si="1"/>
        <v/>
      </c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</row>
    <row r="270">
      <c r="A270" s="49">
        <v>45520.0</v>
      </c>
      <c r="B270" s="35" t="s">
        <v>2109</v>
      </c>
      <c r="C270" s="35" t="s">
        <v>2110</v>
      </c>
      <c r="D270" s="35" t="s">
        <v>2111</v>
      </c>
      <c r="E270" s="35" t="s">
        <v>2112</v>
      </c>
      <c r="F270" s="49">
        <v>45520.0</v>
      </c>
      <c r="G270" s="33"/>
      <c r="H270" s="33"/>
      <c r="I270" s="53" t="s">
        <v>2113</v>
      </c>
      <c r="J270" s="33" t="str">
        <f t="shared" si="1"/>
        <v/>
      </c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</row>
    <row r="271">
      <c r="A271" s="49">
        <v>45521.0</v>
      </c>
      <c r="B271" s="35" t="s">
        <v>2114</v>
      </c>
      <c r="C271" s="35" t="s">
        <v>2115</v>
      </c>
      <c r="D271" s="35" t="s">
        <v>2116</v>
      </c>
      <c r="E271" s="35" t="s">
        <v>2117</v>
      </c>
      <c r="F271" s="49">
        <v>45521.0</v>
      </c>
      <c r="G271" s="33"/>
      <c r="H271" s="33" t="s">
        <v>2118</v>
      </c>
      <c r="I271" s="33"/>
      <c r="J271" s="33" t="str">
        <f t="shared" si="1"/>
        <v/>
      </c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</row>
    <row r="272">
      <c r="A272" s="40">
        <v>45536.0</v>
      </c>
      <c r="B272" s="35" t="s">
        <v>2119</v>
      </c>
      <c r="C272" s="35" t="s">
        <v>2120</v>
      </c>
      <c r="D272" s="35" t="s">
        <v>1749</v>
      </c>
      <c r="E272" s="35" t="s">
        <v>290</v>
      </c>
      <c r="F272" s="40">
        <v>45536.0</v>
      </c>
      <c r="G272" s="33"/>
      <c r="H272" s="33"/>
      <c r="I272" s="33"/>
      <c r="J272" s="33" t="str">
        <f t="shared" si="1"/>
        <v>SG2024-008</v>
      </c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</row>
    <row r="273">
      <c r="A273" s="30">
        <v>45536.0</v>
      </c>
      <c r="B273" s="35" t="s">
        <v>2121</v>
      </c>
      <c r="C273" s="35" t="s">
        <v>2122</v>
      </c>
      <c r="D273" s="35" t="s">
        <v>1104</v>
      </c>
      <c r="E273" s="35" t="s">
        <v>2123</v>
      </c>
      <c r="F273" s="30">
        <v>45536.0</v>
      </c>
      <c r="G273" s="33"/>
      <c r="H273" s="33" t="s">
        <v>2124</v>
      </c>
      <c r="I273" s="33"/>
      <c r="J273" s="33" t="str">
        <f t="shared" si="1"/>
        <v/>
      </c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</row>
    <row r="274">
      <c r="A274" s="30">
        <v>45536.0</v>
      </c>
      <c r="B274" s="35" t="s">
        <v>2125</v>
      </c>
      <c r="C274" s="35" t="s">
        <v>2126</v>
      </c>
      <c r="D274" s="35" t="s">
        <v>706</v>
      </c>
      <c r="E274" s="35" t="s">
        <v>2127</v>
      </c>
      <c r="F274" s="30">
        <v>45536.0</v>
      </c>
      <c r="G274" s="33"/>
      <c r="H274" s="33" t="s">
        <v>2128</v>
      </c>
      <c r="I274" s="33"/>
      <c r="J274" s="33" t="str">
        <f t="shared" si="1"/>
        <v/>
      </c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</row>
    <row r="275">
      <c r="A275" s="30">
        <v>45536.0</v>
      </c>
      <c r="B275" s="31" t="s">
        <v>2129</v>
      </c>
      <c r="C275" s="35" t="s">
        <v>2130</v>
      </c>
      <c r="D275" s="31" t="s">
        <v>173</v>
      </c>
      <c r="E275" s="31" t="s">
        <v>2131</v>
      </c>
      <c r="F275" s="30">
        <v>45536.0</v>
      </c>
      <c r="G275" s="62"/>
      <c r="H275" s="33" t="s">
        <v>2132</v>
      </c>
      <c r="I275" s="33"/>
      <c r="J275" s="33" t="str">
        <f t="shared" si="1"/>
        <v/>
      </c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</row>
    <row r="276">
      <c r="A276" s="30">
        <v>45536.0</v>
      </c>
      <c r="B276" s="35" t="s">
        <v>2133</v>
      </c>
      <c r="C276" s="35" t="s">
        <v>2134</v>
      </c>
      <c r="D276" s="35" t="s">
        <v>2135</v>
      </c>
      <c r="E276" s="35" t="s">
        <v>1344</v>
      </c>
      <c r="F276" s="30">
        <v>45536.0</v>
      </c>
      <c r="G276" s="33"/>
      <c r="H276" s="33" t="s">
        <v>1820</v>
      </c>
      <c r="I276" s="33"/>
      <c r="J276" s="33" t="str">
        <f t="shared" si="1"/>
        <v/>
      </c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</row>
    <row r="277">
      <c r="A277" s="30">
        <v>45536.0</v>
      </c>
      <c r="B277" s="35" t="s">
        <v>2136</v>
      </c>
      <c r="C277" s="35" t="s">
        <v>2137</v>
      </c>
      <c r="D277" s="35" t="s">
        <v>790</v>
      </c>
      <c r="E277" s="35" t="s">
        <v>2138</v>
      </c>
      <c r="F277" s="30">
        <v>45536.0</v>
      </c>
      <c r="G277" s="33"/>
      <c r="H277" s="33" t="s">
        <v>2139</v>
      </c>
      <c r="I277" s="33"/>
      <c r="J277" s="33" t="str">
        <f t="shared" si="1"/>
        <v/>
      </c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</row>
    <row r="278">
      <c r="A278" s="30">
        <v>45536.0</v>
      </c>
      <c r="B278" s="35" t="s">
        <v>2140</v>
      </c>
      <c r="C278" s="51" t="s">
        <v>2141</v>
      </c>
      <c r="D278" s="35" t="s">
        <v>380</v>
      </c>
      <c r="E278" s="35" t="s">
        <v>1585</v>
      </c>
      <c r="F278" s="30">
        <v>45536.0</v>
      </c>
      <c r="G278" s="33"/>
      <c r="H278" s="33"/>
      <c r="I278" s="34" t="s">
        <v>2142</v>
      </c>
      <c r="J278" s="33" t="str">
        <f t="shared" si="1"/>
        <v/>
      </c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</row>
    <row r="279">
      <c r="A279" s="30">
        <v>45536.0</v>
      </c>
      <c r="B279" s="35" t="s">
        <v>2143</v>
      </c>
      <c r="C279" s="35" t="s">
        <v>2144</v>
      </c>
      <c r="D279" s="35" t="s">
        <v>362</v>
      </c>
      <c r="E279" s="35" t="s">
        <v>2145</v>
      </c>
      <c r="F279" s="30">
        <v>45536.0</v>
      </c>
      <c r="G279" s="33"/>
      <c r="H279" s="33"/>
      <c r="I279" s="53" t="s">
        <v>2146</v>
      </c>
      <c r="J279" s="33" t="str">
        <f t="shared" si="1"/>
        <v/>
      </c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</row>
    <row r="280">
      <c r="A280" s="30">
        <v>45536.0</v>
      </c>
      <c r="B280" s="35" t="s">
        <v>2147</v>
      </c>
      <c r="C280" s="35" t="s">
        <v>2148</v>
      </c>
      <c r="D280" s="35" t="s">
        <v>116</v>
      </c>
      <c r="E280" s="31" t="s">
        <v>2149</v>
      </c>
      <c r="F280" s="30">
        <v>45536.0</v>
      </c>
      <c r="G280" s="62"/>
      <c r="H280" s="33"/>
      <c r="I280" s="53" t="s">
        <v>2150</v>
      </c>
      <c r="J280" s="33" t="str">
        <f t="shared" si="1"/>
        <v/>
      </c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</row>
    <row r="281">
      <c r="A281" s="30">
        <v>45549.0</v>
      </c>
      <c r="B281" s="31" t="s">
        <v>2151</v>
      </c>
      <c r="C281" s="31" t="s">
        <v>2152</v>
      </c>
      <c r="D281" s="31" t="s">
        <v>362</v>
      </c>
      <c r="E281" s="31" t="s">
        <v>2153</v>
      </c>
      <c r="F281" s="30">
        <v>45549.0</v>
      </c>
      <c r="G281" s="62"/>
      <c r="H281" s="33"/>
      <c r="I281" s="53" t="s">
        <v>2154</v>
      </c>
      <c r="J281" s="33" t="str">
        <f t="shared" si="1"/>
        <v/>
      </c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</row>
    <row r="282">
      <c r="A282" s="50">
        <v>45542.0</v>
      </c>
      <c r="B282" s="35" t="s">
        <v>2155</v>
      </c>
      <c r="C282" s="35" t="s">
        <v>2156</v>
      </c>
      <c r="D282" s="35" t="s">
        <v>94</v>
      </c>
      <c r="E282" s="31" t="s">
        <v>2157</v>
      </c>
      <c r="F282" s="50">
        <v>45542.0</v>
      </c>
      <c r="G282" s="62"/>
      <c r="H282" s="33"/>
      <c r="I282" s="53" t="s">
        <v>2158</v>
      </c>
      <c r="J282" s="33" t="str">
        <f t="shared" si="1"/>
        <v/>
      </c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</row>
    <row r="283">
      <c r="A283" s="30">
        <v>45536.0</v>
      </c>
      <c r="B283" s="35" t="s">
        <v>2159</v>
      </c>
      <c r="C283" s="35" t="s">
        <v>2160</v>
      </c>
      <c r="D283" s="35" t="s">
        <v>2161</v>
      </c>
      <c r="E283" s="31" t="s">
        <v>2157</v>
      </c>
      <c r="F283" s="30">
        <v>45536.0</v>
      </c>
      <c r="G283" s="63"/>
      <c r="H283" s="33"/>
      <c r="I283" s="53" t="s">
        <v>2162</v>
      </c>
      <c r="J283" s="33" t="str">
        <f t="shared" si="1"/>
        <v/>
      </c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</row>
    <row r="284">
      <c r="A284" s="40">
        <v>45565.0</v>
      </c>
      <c r="B284" s="35" t="s">
        <v>2163</v>
      </c>
      <c r="C284" s="35" t="s">
        <v>2164</v>
      </c>
      <c r="D284" s="35" t="s">
        <v>328</v>
      </c>
      <c r="E284" s="35" t="s">
        <v>2165</v>
      </c>
      <c r="F284" s="40">
        <v>45565.0</v>
      </c>
      <c r="G284" s="33"/>
      <c r="H284" s="33" t="s">
        <v>2166</v>
      </c>
      <c r="I284" s="33"/>
      <c r="J284" s="33" t="str">
        <f t="shared" si="1"/>
        <v/>
      </c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</row>
    <row r="285">
      <c r="A285" s="40">
        <v>45540.0</v>
      </c>
      <c r="B285" s="35" t="s">
        <v>2167</v>
      </c>
      <c r="C285" s="35" t="s">
        <v>2168</v>
      </c>
      <c r="D285" s="35" t="s">
        <v>1104</v>
      </c>
      <c r="E285" s="35" t="s">
        <v>2169</v>
      </c>
      <c r="F285" s="40">
        <v>45540.0</v>
      </c>
      <c r="G285" s="33"/>
      <c r="H285" s="33" t="s">
        <v>2170</v>
      </c>
      <c r="I285" s="33"/>
      <c r="J285" s="33" t="str">
        <f t="shared" si="1"/>
        <v/>
      </c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</row>
    <row r="286">
      <c r="A286" s="30">
        <v>45536.0</v>
      </c>
      <c r="B286" s="35" t="s">
        <v>2171</v>
      </c>
      <c r="C286" s="35" t="s">
        <v>2172</v>
      </c>
      <c r="D286" s="35" t="s">
        <v>231</v>
      </c>
      <c r="E286" s="35" t="s">
        <v>2173</v>
      </c>
      <c r="F286" s="30">
        <v>45536.0</v>
      </c>
      <c r="G286" s="33"/>
      <c r="H286" s="33" t="s">
        <v>2174</v>
      </c>
      <c r="I286" s="33"/>
      <c r="J286" s="33" t="str">
        <f t="shared" si="1"/>
        <v/>
      </c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</row>
    <row r="287">
      <c r="A287" s="30">
        <v>45536.0</v>
      </c>
      <c r="B287" s="35" t="s">
        <v>2175</v>
      </c>
      <c r="C287" s="35" t="s">
        <v>2176</v>
      </c>
      <c r="D287" s="35" t="s">
        <v>697</v>
      </c>
      <c r="E287" s="35" t="s">
        <v>2177</v>
      </c>
      <c r="F287" s="30">
        <v>45536.0</v>
      </c>
      <c r="G287" s="33"/>
      <c r="H287" s="33" t="s">
        <v>2178</v>
      </c>
      <c r="I287" s="33"/>
      <c r="J287" s="33" t="str">
        <f t="shared" si="1"/>
        <v/>
      </c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</row>
    <row r="288">
      <c r="A288" s="30">
        <v>45555.0</v>
      </c>
      <c r="B288" s="35" t="s">
        <v>2179</v>
      </c>
      <c r="C288" s="35" t="s">
        <v>2180</v>
      </c>
      <c r="D288" s="35" t="s">
        <v>2181</v>
      </c>
      <c r="E288" s="35" t="s">
        <v>1349</v>
      </c>
      <c r="F288" s="30">
        <v>45555.0</v>
      </c>
      <c r="G288" s="33"/>
      <c r="H288" s="33" t="s">
        <v>2182</v>
      </c>
      <c r="I288" s="33"/>
      <c r="J288" s="33" t="str">
        <f t="shared" si="1"/>
        <v/>
      </c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</row>
    <row r="289">
      <c r="A289" s="30">
        <v>45536.0</v>
      </c>
      <c r="B289" s="47" t="s">
        <v>2183</v>
      </c>
      <c r="C289" s="35" t="s">
        <v>2184</v>
      </c>
      <c r="D289" s="35" t="s">
        <v>1104</v>
      </c>
      <c r="E289" s="35" t="s">
        <v>2123</v>
      </c>
      <c r="F289" s="30">
        <v>45536.0</v>
      </c>
      <c r="G289" s="33"/>
      <c r="H289" s="33" t="s">
        <v>2185</v>
      </c>
      <c r="I289" s="33"/>
      <c r="J289" s="33" t="str">
        <f t="shared" si="1"/>
        <v/>
      </c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</row>
    <row r="290">
      <c r="A290" s="30">
        <v>45536.0</v>
      </c>
      <c r="B290" s="31" t="s">
        <v>2186</v>
      </c>
      <c r="C290" s="35" t="s">
        <v>2187</v>
      </c>
      <c r="D290" s="31" t="s">
        <v>116</v>
      </c>
      <c r="E290" s="31" t="s">
        <v>2188</v>
      </c>
      <c r="F290" s="30">
        <v>45536.0</v>
      </c>
      <c r="G290" s="33"/>
      <c r="H290" s="33"/>
      <c r="I290" s="53" t="s">
        <v>2189</v>
      </c>
      <c r="J290" s="33" t="str">
        <f t="shared" si="1"/>
        <v/>
      </c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</row>
    <row r="291">
      <c r="A291" s="30">
        <v>45536.0</v>
      </c>
      <c r="B291" s="31" t="s">
        <v>2190</v>
      </c>
      <c r="C291" s="31" t="s">
        <v>2191</v>
      </c>
      <c r="D291" s="31" t="s">
        <v>481</v>
      </c>
      <c r="E291" s="31" t="s">
        <v>2192</v>
      </c>
      <c r="F291" s="30">
        <v>45536.0</v>
      </c>
      <c r="G291" s="63"/>
      <c r="H291" s="33"/>
      <c r="I291" s="53" t="s">
        <v>2193</v>
      </c>
      <c r="J291" s="33" t="str">
        <f t="shared" si="1"/>
        <v/>
      </c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</row>
    <row r="292">
      <c r="A292" s="30">
        <v>45566.0</v>
      </c>
      <c r="B292" s="35" t="s">
        <v>2194</v>
      </c>
      <c r="C292" s="35" t="s">
        <v>2195</v>
      </c>
      <c r="D292" s="35" t="s">
        <v>231</v>
      </c>
      <c r="E292" s="35" t="s">
        <v>2196</v>
      </c>
      <c r="F292" s="30">
        <v>45566.0</v>
      </c>
      <c r="G292" s="33"/>
      <c r="H292" s="33" t="s">
        <v>2197</v>
      </c>
      <c r="I292" s="33"/>
      <c r="J292" s="33" t="str">
        <f t="shared" si="1"/>
        <v/>
      </c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</row>
    <row r="293">
      <c r="A293" s="30">
        <v>45566.0</v>
      </c>
      <c r="B293" s="35" t="s">
        <v>2198</v>
      </c>
      <c r="C293" s="35" t="s">
        <v>2199</v>
      </c>
      <c r="D293" s="35" t="s">
        <v>2200</v>
      </c>
      <c r="E293" s="35" t="s">
        <v>1892</v>
      </c>
      <c r="F293" s="30">
        <v>45566.0</v>
      </c>
      <c r="G293" s="33"/>
      <c r="H293" s="33" t="s">
        <v>2201</v>
      </c>
      <c r="I293" s="33"/>
      <c r="J293" s="33" t="str">
        <f t="shared" si="1"/>
        <v/>
      </c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</row>
    <row r="294">
      <c r="A294" s="30">
        <v>45566.0</v>
      </c>
      <c r="B294" s="35" t="s">
        <v>2202</v>
      </c>
      <c r="C294" s="35" t="s">
        <v>2203</v>
      </c>
      <c r="D294" s="35" t="s">
        <v>697</v>
      </c>
      <c r="E294" s="35" t="s">
        <v>2204</v>
      </c>
      <c r="F294" s="30">
        <v>45566.0</v>
      </c>
      <c r="G294" s="33"/>
      <c r="H294" s="33" t="s">
        <v>2205</v>
      </c>
      <c r="I294" s="33"/>
      <c r="J294" s="33" t="str">
        <f t="shared" si="1"/>
        <v/>
      </c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</row>
    <row r="295">
      <c r="A295" s="30">
        <v>45566.0</v>
      </c>
      <c r="B295" s="35" t="s">
        <v>2206</v>
      </c>
      <c r="C295" s="35" t="s">
        <v>2207</v>
      </c>
      <c r="D295" s="35" t="s">
        <v>682</v>
      </c>
      <c r="E295" s="35" t="s">
        <v>2208</v>
      </c>
      <c r="F295" s="30">
        <v>45566.0</v>
      </c>
      <c r="G295" s="33"/>
      <c r="H295" s="33" t="s">
        <v>2209</v>
      </c>
      <c r="I295" s="33"/>
      <c r="J295" s="33" t="str">
        <f t="shared" si="1"/>
        <v/>
      </c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</row>
    <row r="296">
      <c r="A296" s="30">
        <v>45566.0</v>
      </c>
      <c r="B296" s="35" t="s">
        <v>2210</v>
      </c>
      <c r="C296" s="35" t="s">
        <v>2211</v>
      </c>
      <c r="D296" s="35" t="s">
        <v>711</v>
      </c>
      <c r="E296" s="35" t="s">
        <v>2212</v>
      </c>
      <c r="F296" s="30">
        <v>45566.0</v>
      </c>
      <c r="G296" s="33"/>
      <c r="H296" s="33" t="s">
        <v>2213</v>
      </c>
      <c r="I296" s="33"/>
      <c r="J296" s="33" t="str">
        <f t="shared" si="1"/>
        <v/>
      </c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</row>
    <row r="297">
      <c r="A297" s="30">
        <v>45566.0</v>
      </c>
      <c r="B297" s="35" t="s">
        <v>2214</v>
      </c>
      <c r="C297" s="35" t="s">
        <v>2215</v>
      </c>
      <c r="D297" s="35" t="s">
        <v>1286</v>
      </c>
      <c r="E297" s="35" t="s">
        <v>2216</v>
      </c>
      <c r="F297" s="30">
        <v>45566.0</v>
      </c>
      <c r="G297" s="33"/>
      <c r="H297" s="33" t="s">
        <v>2217</v>
      </c>
      <c r="I297" s="33"/>
      <c r="J297" s="33" t="str">
        <f t="shared" si="1"/>
        <v/>
      </c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</row>
    <row r="298">
      <c r="A298" s="64">
        <v>45572.0</v>
      </c>
      <c r="B298" s="35" t="s">
        <v>2218</v>
      </c>
      <c r="C298" s="35" t="s">
        <v>2219</v>
      </c>
      <c r="D298" s="35" t="s">
        <v>65</v>
      </c>
      <c r="E298" s="35" t="s">
        <v>2220</v>
      </c>
      <c r="F298" s="64">
        <v>45572.0</v>
      </c>
      <c r="G298" s="33"/>
      <c r="H298" s="33" t="s">
        <v>2221</v>
      </c>
      <c r="I298" s="33"/>
      <c r="J298" s="33" t="str">
        <f t="shared" si="1"/>
        <v/>
      </c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</row>
    <row r="299">
      <c r="A299" s="64">
        <v>45551.0</v>
      </c>
      <c r="B299" s="31" t="s">
        <v>2222</v>
      </c>
      <c r="C299" s="31" t="s">
        <v>2223</v>
      </c>
      <c r="D299" s="31" t="s">
        <v>28</v>
      </c>
      <c r="E299" s="31" t="s">
        <v>2224</v>
      </c>
      <c r="F299" s="64">
        <v>45551.0</v>
      </c>
      <c r="G299" s="62"/>
      <c r="H299" s="33"/>
      <c r="I299" s="53" t="s">
        <v>2225</v>
      </c>
      <c r="J299" s="33" t="str">
        <f t="shared" si="1"/>
        <v/>
      </c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</row>
    <row r="300">
      <c r="A300" s="30">
        <v>45566.0</v>
      </c>
      <c r="B300" s="35" t="s">
        <v>2226</v>
      </c>
      <c r="C300" s="35" t="s">
        <v>2227</v>
      </c>
      <c r="D300" s="35" t="s">
        <v>173</v>
      </c>
      <c r="E300" s="35" t="s">
        <v>2228</v>
      </c>
      <c r="F300" s="30">
        <v>45566.0</v>
      </c>
      <c r="G300" s="34"/>
      <c r="H300" s="33"/>
      <c r="I300" s="53" t="s">
        <v>2229</v>
      </c>
      <c r="J300" s="33" t="str">
        <f t="shared" si="1"/>
        <v/>
      </c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</row>
    <row r="301">
      <c r="A301" s="30">
        <v>45566.0</v>
      </c>
      <c r="B301" s="31" t="s">
        <v>2230</v>
      </c>
      <c r="C301" s="31" t="s">
        <v>2231</v>
      </c>
      <c r="D301" s="31" t="s">
        <v>328</v>
      </c>
      <c r="E301" s="31" t="s">
        <v>2232</v>
      </c>
      <c r="F301" s="30">
        <v>45566.0</v>
      </c>
      <c r="G301" s="62"/>
      <c r="H301" s="33"/>
      <c r="I301" s="53" t="s">
        <v>2233</v>
      </c>
      <c r="J301" s="33" t="str">
        <f t="shared" si="1"/>
        <v/>
      </c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</row>
    <row r="302">
      <c r="A302" s="64">
        <v>45559.0</v>
      </c>
      <c r="B302" s="31" t="s">
        <v>2234</v>
      </c>
      <c r="C302" s="31" t="s">
        <v>2235</v>
      </c>
      <c r="D302" s="31" t="s">
        <v>122</v>
      </c>
      <c r="E302" s="31" t="s">
        <v>2236</v>
      </c>
      <c r="F302" s="64">
        <v>45559.0</v>
      </c>
      <c r="G302" s="62"/>
      <c r="H302" s="33"/>
      <c r="I302" s="53" t="s">
        <v>2237</v>
      </c>
      <c r="J302" s="33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</row>
    <row r="303">
      <c r="A303" s="64">
        <v>45556.0</v>
      </c>
      <c r="B303" s="31" t="s">
        <v>2238</v>
      </c>
      <c r="C303" s="31" t="s">
        <v>2239</v>
      </c>
      <c r="D303" s="31" t="s">
        <v>1246</v>
      </c>
      <c r="E303" s="31" t="s">
        <v>2039</v>
      </c>
      <c r="F303" s="64">
        <v>45556.0</v>
      </c>
      <c r="G303" s="62"/>
      <c r="H303" s="33"/>
      <c r="I303" s="53" t="s">
        <v>2240</v>
      </c>
      <c r="J303" s="33" t="str">
        <f>if(IF(OR(LEFT(B303,3)="SSE",LEFT(B303,3)="ESE",LEFT(B303,3)="SGA",LEFT(B303,3)="SRF",LEFT(B303,3)="SSG",LEFT(B303,3)="SGE"),"SGE")="SGE","SG2024-"&amp;if(counta($J$2:J301)-countifs($J$2:J301,"")+1&lt;=9,"00"&amp;counta($J$2:J301)-countifs($J$2:J301,"")+1,if(counta($J$2:J301)-countifs($J$2:J301,"")+1&lt;=99,"0"&amp;counta($J$2:J301)-countifs($J$2:J301,"")+1,counta($J$2:J301)-countifs($J$2:J301,"")+1)),"")</f>
        <v/>
      </c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</row>
    <row r="304">
      <c r="A304" s="30">
        <v>45566.0</v>
      </c>
      <c r="B304" s="35" t="s">
        <v>2241</v>
      </c>
      <c r="C304" s="35" t="s">
        <v>2242</v>
      </c>
      <c r="D304" s="35" t="s">
        <v>2243</v>
      </c>
      <c r="E304" s="35" t="s">
        <v>2244</v>
      </c>
      <c r="F304" s="30">
        <v>45566.0</v>
      </c>
      <c r="G304" s="33"/>
      <c r="H304" s="33" t="s">
        <v>2245</v>
      </c>
      <c r="I304" s="33"/>
      <c r="J304" s="33" t="str">
        <f t="shared" ref="J304:J316" si="2">if(IF(OR(LEFT(B304,3)="SSE",LEFT(B304,3)="ESE",LEFT(B304,3)="SGA",LEFT(B304,3)="SRF",LEFT(B304,3)="SSG",LEFT(B304,3)="SGE"),"SGE")="SGE","SG2024-"&amp;if(counta($J$2:J303)-countifs($J$2:J303,"")+1&lt;=9,"00"&amp;counta($J$2:J303)-countifs($J$2:J303,"")+1,if(counta($J$2:J303)-countifs($J$2:J303,"")+1&lt;=99,"0"&amp;counta($J$2:J303)-countifs($J$2:J303,"")+1,counta($J$2:J303)-countifs($J$2:J303,"")+1)),"")</f>
        <v/>
      </c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</row>
    <row r="305">
      <c r="A305" s="30">
        <v>45566.0</v>
      </c>
      <c r="B305" s="31" t="s">
        <v>2246</v>
      </c>
      <c r="C305" s="35" t="s">
        <v>2247</v>
      </c>
      <c r="D305" s="35" t="s">
        <v>116</v>
      </c>
      <c r="E305" s="35" t="s">
        <v>2149</v>
      </c>
      <c r="F305" s="30">
        <v>45566.0</v>
      </c>
      <c r="G305" s="33"/>
      <c r="H305" s="33"/>
      <c r="I305" s="53" t="s">
        <v>2248</v>
      </c>
      <c r="J305" s="33" t="str">
        <f t="shared" si="2"/>
        <v/>
      </c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</row>
    <row r="306">
      <c r="A306" s="64">
        <v>45566.0</v>
      </c>
      <c r="B306" s="35" t="s">
        <v>2249</v>
      </c>
      <c r="C306" s="35" t="s">
        <v>2250</v>
      </c>
      <c r="D306" s="35" t="s">
        <v>481</v>
      </c>
      <c r="E306" s="35" t="s">
        <v>2251</v>
      </c>
      <c r="F306" s="64">
        <v>45566.0</v>
      </c>
      <c r="G306" s="33"/>
      <c r="H306" s="33" t="s">
        <v>2252</v>
      </c>
      <c r="I306" s="33"/>
      <c r="J306" s="33" t="str">
        <f t="shared" si="2"/>
        <v/>
      </c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</row>
    <row r="307">
      <c r="A307" s="64">
        <v>45566.0</v>
      </c>
      <c r="B307" s="35" t="s">
        <v>2253</v>
      </c>
      <c r="C307" s="35" t="s">
        <v>2254</v>
      </c>
      <c r="D307" s="35" t="s">
        <v>173</v>
      </c>
      <c r="E307" s="35" t="s">
        <v>2220</v>
      </c>
      <c r="F307" s="64">
        <v>45566.0</v>
      </c>
      <c r="G307" s="33"/>
      <c r="H307" s="33" t="s">
        <v>2255</v>
      </c>
      <c r="I307" s="33"/>
      <c r="J307" s="33" t="str">
        <f t="shared" si="2"/>
        <v/>
      </c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</row>
    <row r="308">
      <c r="A308" s="64">
        <v>45575.0</v>
      </c>
      <c r="B308" s="35" t="s">
        <v>2256</v>
      </c>
      <c r="C308" s="31" t="s">
        <v>2257</v>
      </c>
      <c r="D308" s="35" t="s">
        <v>28</v>
      </c>
      <c r="E308" s="35" t="s">
        <v>2258</v>
      </c>
      <c r="F308" s="64">
        <v>45575.0</v>
      </c>
      <c r="G308" s="33"/>
      <c r="H308" s="33" t="s">
        <v>2259</v>
      </c>
      <c r="I308" s="33"/>
      <c r="J308" s="33" t="str">
        <f t="shared" si="2"/>
        <v/>
      </c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</row>
    <row r="309">
      <c r="A309" s="64">
        <v>45575.0</v>
      </c>
      <c r="B309" s="35" t="s">
        <v>2260</v>
      </c>
      <c r="C309" s="35" t="s">
        <v>2261</v>
      </c>
      <c r="D309" s="35" t="s">
        <v>173</v>
      </c>
      <c r="E309" s="35" t="s">
        <v>702</v>
      </c>
      <c r="F309" s="64">
        <v>45575.0</v>
      </c>
      <c r="G309" s="33"/>
      <c r="H309" s="33" t="s">
        <v>2262</v>
      </c>
      <c r="I309" s="33"/>
      <c r="J309" s="33" t="str">
        <f t="shared" si="2"/>
        <v/>
      </c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</row>
    <row r="310">
      <c r="A310" s="64">
        <v>45566.0</v>
      </c>
      <c r="B310" s="35" t="s">
        <v>2263</v>
      </c>
      <c r="C310" s="35" t="s">
        <v>2264</v>
      </c>
      <c r="D310" s="35" t="s">
        <v>116</v>
      </c>
      <c r="E310" s="35" t="s">
        <v>2265</v>
      </c>
      <c r="F310" s="64">
        <v>45566.0</v>
      </c>
      <c r="G310" s="33"/>
      <c r="H310" s="33" t="s">
        <v>2266</v>
      </c>
      <c r="I310" s="33"/>
      <c r="J310" s="33" t="str">
        <f t="shared" si="2"/>
        <v/>
      </c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</row>
    <row r="311">
      <c r="A311" s="64">
        <v>45590.0</v>
      </c>
      <c r="B311" s="35" t="s">
        <v>2267</v>
      </c>
      <c r="C311" s="35" t="s">
        <v>2268</v>
      </c>
      <c r="D311" s="35" t="s">
        <v>682</v>
      </c>
      <c r="E311" s="35" t="s">
        <v>2269</v>
      </c>
      <c r="F311" s="64">
        <v>45590.0</v>
      </c>
      <c r="G311" s="33"/>
      <c r="H311" s="33" t="s">
        <v>2270</v>
      </c>
      <c r="I311" s="33"/>
      <c r="J311" s="33" t="str">
        <f t="shared" si="2"/>
        <v/>
      </c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</row>
    <row r="312">
      <c r="A312" s="64">
        <v>45566.0</v>
      </c>
      <c r="B312" s="35" t="s">
        <v>2271</v>
      </c>
      <c r="C312" s="35" t="s">
        <v>2272</v>
      </c>
      <c r="D312" s="35" t="s">
        <v>444</v>
      </c>
      <c r="E312" s="31" t="s">
        <v>2273</v>
      </c>
      <c r="F312" s="64">
        <v>45566.0</v>
      </c>
      <c r="G312" s="62"/>
      <c r="H312" s="33"/>
      <c r="I312" s="34" t="s">
        <v>2274</v>
      </c>
      <c r="J312" s="33" t="str">
        <f t="shared" si="2"/>
        <v/>
      </c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</row>
    <row r="313">
      <c r="A313" s="64">
        <v>45566.0</v>
      </c>
      <c r="B313" s="35" t="s">
        <v>2275</v>
      </c>
      <c r="C313" s="35" t="s">
        <v>2276</v>
      </c>
      <c r="D313" s="35" t="s">
        <v>47</v>
      </c>
      <c r="E313" s="35" t="s">
        <v>2277</v>
      </c>
      <c r="F313" s="64">
        <v>45566.0</v>
      </c>
      <c r="G313" s="33"/>
      <c r="H313" s="33" t="s">
        <v>2278</v>
      </c>
      <c r="I313" s="33"/>
      <c r="J313" s="33" t="str">
        <f t="shared" si="2"/>
        <v/>
      </c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</row>
    <row r="314">
      <c r="A314" s="64">
        <v>45597.0</v>
      </c>
      <c r="B314" s="35" t="s">
        <v>2279</v>
      </c>
      <c r="C314" s="35" t="s">
        <v>2280</v>
      </c>
      <c r="D314" s="35" t="s">
        <v>701</v>
      </c>
      <c r="E314" s="35" t="s">
        <v>2173</v>
      </c>
      <c r="F314" s="64">
        <v>45597.0</v>
      </c>
      <c r="G314" s="33"/>
      <c r="H314" s="33" t="s">
        <v>2281</v>
      </c>
      <c r="I314" s="33"/>
      <c r="J314" s="33" t="str">
        <f t="shared" si="2"/>
        <v/>
      </c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</row>
    <row r="315">
      <c r="A315" s="64">
        <v>45585.0</v>
      </c>
      <c r="B315" s="35" t="s">
        <v>2282</v>
      </c>
      <c r="C315" s="35" t="s">
        <v>2283</v>
      </c>
      <c r="D315" s="35" t="s">
        <v>173</v>
      </c>
      <c r="E315" s="35" t="s">
        <v>2284</v>
      </c>
      <c r="F315" s="64">
        <v>45585.0</v>
      </c>
      <c r="G315" s="33"/>
      <c r="H315" s="33"/>
      <c r="I315" s="53" t="s">
        <v>2285</v>
      </c>
      <c r="J315" s="33" t="str">
        <f t="shared" si="2"/>
        <v/>
      </c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</row>
    <row r="316">
      <c r="A316" s="64">
        <v>45588.0</v>
      </c>
      <c r="B316" s="31" t="s">
        <v>2286</v>
      </c>
      <c r="C316" s="31" t="s">
        <v>2287</v>
      </c>
      <c r="D316" s="31" t="s">
        <v>481</v>
      </c>
      <c r="E316" s="31" t="s">
        <v>2288</v>
      </c>
      <c r="F316" s="64">
        <v>45588.0</v>
      </c>
      <c r="G316" s="62"/>
      <c r="H316" s="33"/>
      <c r="I316" s="53" t="s">
        <v>2289</v>
      </c>
      <c r="J316" s="33" t="str">
        <f t="shared" si="2"/>
        <v/>
      </c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</row>
    <row r="317">
      <c r="A317" s="64">
        <v>45588.0</v>
      </c>
      <c r="B317" s="31" t="s">
        <v>2290</v>
      </c>
      <c r="C317" s="31" t="s">
        <v>2291</v>
      </c>
      <c r="D317" s="31" t="s">
        <v>342</v>
      </c>
      <c r="E317" s="31" t="s">
        <v>2292</v>
      </c>
      <c r="F317" s="64">
        <v>45588.0</v>
      </c>
      <c r="G317" s="62"/>
      <c r="H317" s="33"/>
      <c r="I317" s="53" t="s">
        <v>2293</v>
      </c>
      <c r="J317" s="33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</row>
    <row r="318">
      <c r="A318" s="64">
        <v>45559.0</v>
      </c>
      <c r="B318" s="35" t="s">
        <v>2294</v>
      </c>
      <c r="C318" s="35" t="s">
        <v>2295</v>
      </c>
      <c r="D318" s="35" t="s">
        <v>116</v>
      </c>
      <c r="E318" s="35" t="s">
        <v>2296</v>
      </c>
      <c r="F318" s="64">
        <v>45559.0</v>
      </c>
      <c r="G318" s="33"/>
      <c r="H318" s="33" t="s">
        <v>2297</v>
      </c>
      <c r="I318" s="33"/>
      <c r="J318" s="33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</row>
    <row r="319">
      <c r="A319" s="64">
        <v>45563.0</v>
      </c>
      <c r="B319" s="35" t="s">
        <v>2298</v>
      </c>
      <c r="C319" s="35" t="s">
        <v>2299</v>
      </c>
      <c r="D319" s="35" t="s">
        <v>2300</v>
      </c>
      <c r="E319" s="35" t="s">
        <v>2301</v>
      </c>
      <c r="F319" s="64">
        <v>45563.0</v>
      </c>
      <c r="G319" s="33"/>
      <c r="H319" s="33" t="s">
        <v>2302</v>
      </c>
      <c r="I319" s="33"/>
      <c r="J319" s="33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</row>
    <row r="320">
      <c r="A320" s="64">
        <v>45566.0</v>
      </c>
      <c r="B320" s="31" t="s">
        <v>2303</v>
      </c>
      <c r="C320" s="31" t="s">
        <v>2304</v>
      </c>
      <c r="D320" s="31" t="s">
        <v>2305</v>
      </c>
      <c r="E320" s="31" t="s">
        <v>2306</v>
      </c>
      <c r="F320" s="64">
        <v>45566.0</v>
      </c>
      <c r="G320" s="62"/>
      <c r="H320" s="33"/>
      <c r="I320" s="53" t="s">
        <v>2307</v>
      </c>
      <c r="J320" s="33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</row>
    <row r="321">
      <c r="A321" s="64">
        <v>45566.0</v>
      </c>
      <c r="B321" s="31" t="s">
        <v>2308</v>
      </c>
      <c r="C321" s="31" t="s">
        <v>2309</v>
      </c>
      <c r="D321" s="31" t="s">
        <v>116</v>
      </c>
      <c r="E321" s="31" t="s">
        <v>2306</v>
      </c>
      <c r="F321" s="64">
        <v>45566.0</v>
      </c>
      <c r="G321" s="62"/>
      <c r="H321" s="33"/>
      <c r="I321" s="53" t="s">
        <v>2310</v>
      </c>
      <c r="J321" s="33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</row>
    <row r="322">
      <c r="A322" s="64">
        <v>45597.0</v>
      </c>
      <c r="B322" s="35" t="s">
        <v>2311</v>
      </c>
      <c r="C322" s="35" t="s">
        <v>2312</v>
      </c>
      <c r="D322" s="35" t="s">
        <v>362</v>
      </c>
      <c r="E322" s="35" t="s">
        <v>2296</v>
      </c>
      <c r="F322" s="64">
        <v>45597.0</v>
      </c>
      <c r="G322" s="33"/>
      <c r="H322" s="33" t="s">
        <v>2313</v>
      </c>
      <c r="I322" s="33"/>
      <c r="J322" s="33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</row>
    <row r="323">
      <c r="A323" s="64">
        <v>45597.0</v>
      </c>
      <c r="B323" s="35" t="s">
        <v>2314</v>
      </c>
      <c r="C323" s="35" t="s">
        <v>2315</v>
      </c>
      <c r="D323" s="35" t="s">
        <v>231</v>
      </c>
      <c r="E323" s="35" t="s">
        <v>2316</v>
      </c>
      <c r="F323" s="64">
        <v>45597.0</v>
      </c>
      <c r="G323" s="33"/>
      <c r="H323" s="33" t="s">
        <v>2317</v>
      </c>
      <c r="I323" s="33"/>
      <c r="J323" s="33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</row>
    <row r="324">
      <c r="A324" s="64">
        <v>45578.0</v>
      </c>
      <c r="B324" s="35" t="s">
        <v>2318</v>
      </c>
      <c r="C324" s="35" t="s">
        <v>2319</v>
      </c>
      <c r="D324" s="35" t="s">
        <v>65</v>
      </c>
      <c r="E324" s="35" t="s">
        <v>2320</v>
      </c>
      <c r="F324" s="64">
        <v>45578.0</v>
      </c>
      <c r="G324" s="33"/>
      <c r="H324" s="33" t="s">
        <v>2321</v>
      </c>
      <c r="I324" s="33"/>
      <c r="J324" s="33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</row>
    <row r="325">
      <c r="A325" s="64">
        <v>45581.0</v>
      </c>
      <c r="B325" s="31" t="s">
        <v>2322</v>
      </c>
      <c r="C325" s="31" t="s">
        <v>2323</v>
      </c>
      <c r="D325" s="31" t="s">
        <v>2305</v>
      </c>
      <c r="E325" s="31" t="s">
        <v>2306</v>
      </c>
      <c r="F325" s="64">
        <v>45581.0</v>
      </c>
      <c r="G325" s="62"/>
      <c r="H325" s="33"/>
      <c r="I325" s="53" t="s">
        <v>2324</v>
      </c>
      <c r="J325" s="33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</row>
    <row r="326">
      <c r="A326" s="64">
        <v>45597.0</v>
      </c>
      <c r="B326" s="31" t="s">
        <v>2325</v>
      </c>
      <c r="C326" s="31" t="s">
        <v>2326</v>
      </c>
      <c r="D326" s="31" t="s">
        <v>1078</v>
      </c>
      <c r="E326" s="31" t="s">
        <v>2327</v>
      </c>
      <c r="F326" s="64">
        <v>45597.0</v>
      </c>
      <c r="G326" s="62"/>
      <c r="H326" s="33"/>
      <c r="I326" s="53" t="s">
        <v>2328</v>
      </c>
      <c r="J326" s="33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</row>
    <row r="327">
      <c r="A327" s="64">
        <v>45597.0</v>
      </c>
      <c r="B327" s="31" t="s">
        <v>2329</v>
      </c>
      <c r="C327" s="31" t="s">
        <v>2330</v>
      </c>
      <c r="D327" s="31" t="s">
        <v>1544</v>
      </c>
      <c r="E327" s="31" t="s">
        <v>2327</v>
      </c>
      <c r="F327" s="64">
        <v>45597.0</v>
      </c>
      <c r="G327" s="62"/>
      <c r="H327" s="33"/>
      <c r="I327" s="53" t="s">
        <v>2331</v>
      </c>
      <c r="J327" s="33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</row>
    <row r="328">
      <c r="A328" s="64">
        <v>45597.0</v>
      </c>
      <c r="B328" s="31" t="s">
        <v>2332</v>
      </c>
      <c r="C328" s="35" t="s">
        <v>2333</v>
      </c>
      <c r="D328" s="31" t="s">
        <v>1544</v>
      </c>
      <c r="E328" s="31" t="s">
        <v>2327</v>
      </c>
      <c r="F328" s="64">
        <v>45597.0</v>
      </c>
      <c r="G328" s="33"/>
      <c r="H328" s="33"/>
      <c r="I328" s="53" t="s">
        <v>2334</v>
      </c>
      <c r="J328" s="33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</row>
    <row r="329">
      <c r="A329" s="64">
        <v>45597.0</v>
      </c>
      <c r="B329" s="31" t="s">
        <v>2335</v>
      </c>
      <c r="C329" s="31" t="s">
        <v>2336</v>
      </c>
      <c r="D329" s="31" t="s">
        <v>2337</v>
      </c>
      <c r="E329" s="31" t="s">
        <v>2327</v>
      </c>
      <c r="F329" s="64">
        <v>45597.0</v>
      </c>
      <c r="G329" s="62"/>
      <c r="H329" s="33"/>
      <c r="I329" s="53" t="s">
        <v>2338</v>
      </c>
      <c r="J329" s="33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</row>
    <row r="330">
      <c r="A330" s="64">
        <v>45597.0</v>
      </c>
      <c r="B330" s="35" t="s">
        <v>2339</v>
      </c>
      <c r="C330" s="35" t="s">
        <v>2340</v>
      </c>
      <c r="D330" s="35" t="s">
        <v>2341</v>
      </c>
      <c r="E330" s="35" t="s">
        <v>2342</v>
      </c>
      <c r="F330" s="64">
        <v>45597.0</v>
      </c>
      <c r="G330" s="33"/>
      <c r="H330" s="33" t="s">
        <v>2343</v>
      </c>
      <c r="I330" s="33"/>
      <c r="J330" s="33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</row>
    <row r="331">
      <c r="A331" s="65" t="s">
        <v>21</v>
      </c>
      <c r="B331" s="66" t="s">
        <v>2344</v>
      </c>
      <c r="C331" s="66" t="s">
        <v>2345</v>
      </c>
      <c r="D331" s="66" t="s">
        <v>701</v>
      </c>
      <c r="E331" s="66" t="s">
        <v>2346</v>
      </c>
      <c r="F331" s="65" t="s">
        <v>21</v>
      </c>
      <c r="G331" s="32"/>
      <c r="H331" s="33"/>
      <c r="I331" s="67" t="s">
        <v>2347</v>
      </c>
      <c r="J331" s="33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</row>
    <row r="332">
      <c r="A332" s="40">
        <v>45581.0</v>
      </c>
      <c r="B332" s="35" t="s">
        <v>2348</v>
      </c>
      <c r="C332" s="35" t="s">
        <v>2349</v>
      </c>
      <c r="D332" s="35" t="s">
        <v>701</v>
      </c>
      <c r="E332" s="35" t="s">
        <v>90</v>
      </c>
      <c r="F332" s="40">
        <v>45581.0</v>
      </c>
      <c r="G332" s="33"/>
      <c r="H332" s="33" t="s">
        <v>2350</v>
      </c>
      <c r="I332" s="33"/>
      <c r="J332" s="33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</row>
    <row r="333">
      <c r="A333" s="64">
        <v>45569.0</v>
      </c>
      <c r="B333" s="31" t="s">
        <v>2351</v>
      </c>
      <c r="C333" s="31" t="s">
        <v>2352</v>
      </c>
      <c r="D333" s="31" t="s">
        <v>380</v>
      </c>
      <c r="E333" s="31" t="s">
        <v>2353</v>
      </c>
      <c r="F333" s="64">
        <v>45569.0</v>
      </c>
      <c r="G333" s="62"/>
      <c r="H333" s="33"/>
      <c r="I333" s="34" t="s">
        <v>2354</v>
      </c>
      <c r="J333" s="33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</row>
    <row r="334">
      <c r="A334" s="64">
        <v>45597.0</v>
      </c>
      <c r="B334" s="31" t="s">
        <v>2355</v>
      </c>
      <c r="C334" s="31" t="s">
        <v>2356</v>
      </c>
      <c r="D334" s="31" t="s">
        <v>2357</v>
      </c>
      <c r="E334" s="31" t="s">
        <v>2358</v>
      </c>
      <c r="F334" s="64">
        <v>45597.0</v>
      </c>
      <c r="G334" s="62"/>
      <c r="H334" s="33"/>
      <c r="I334" s="53" t="s">
        <v>2359</v>
      </c>
      <c r="J334" s="33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</row>
    <row r="335">
      <c r="A335" s="64">
        <v>45597.0</v>
      </c>
      <c r="B335" s="35" t="s">
        <v>2360</v>
      </c>
      <c r="C335" s="35" t="s">
        <v>2361</v>
      </c>
      <c r="D335" s="35" t="s">
        <v>65</v>
      </c>
      <c r="E335" s="35" t="s">
        <v>2362</v>
      </c>
      <c r="F335" s="64">
        <v>45597.0</v>
      </c>
      <c r="G335" s="33"/>
      <c r="H335" s="33" t="s">
        <v>2363</v>
      </c>
      <c r="I335" s="33"/>
      <c r="J335" s="33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</row>
    <row r="336">
      <c r="A336" s="64">
        <v>45597.0</v>
      </c>
      <c r="B336" s="31" t="s">
        <v>2364</v>
      </c>
      <c r="C336" s="31" t="s">
        <v>2365</v>
      </c>
      <c r="D336" s="31" t="s">
        <v>2161</v>
      </c>
      <c r="E336" s="31" t="s">
        <v>2366</v>
      </c>
      <c r="F336" s="64">
        <v>45597.0</v>
      </c>
      <c r="G336" s="62"/>
      <c r="H336" s="33"/>
      <c r="I336" s="53" t="s">
        <v>2367</v>
      </c>
      <c r="J336" s="33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</row>
    <row r="337">
      <c r="A337" s="64">
        <v>45597.0</v>
      </c>
      <c r="B337" s="31" t="s">
        <v>2368</v>
      </c>
      <c r="C337" s="31" t="s">
        <v>2369</v>
      </c>
      <c r="D337" s="31" t="s">
        <v>476</v>
      </c>
      <c r="E337" s="31" t="s">
        <v>2370</v>
      </c>
      <c r="F337" s="64">
        <v>45597.0</v>
      </c>
      <c r="G337" s="62"/>
      <c r="H337" s="33"/>
      <c r="I337" s="53" t="s">
        <v>2371</v>
      </c>
      <c r="J337" s="33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</row>
    <row r="338">
      <c r="A338" s="64">
        <v>45591.0</v>
      </c>
      <c r="B338" s="31" t="s">
        <v>2372</v>
      </c>
      <c r="C338" s="31" t="s">
        <v>2373</v>
      </c>
      <c r="D338" s="31" t="s">
        <v>476</v>
      </c>
      <c r="E338" s="31" t="s">
        <v>2370</v>
      </c>
      <c r="F338" s="64">
        <v>45591.0</v>
      </c>
      <c r="G338" s="62"/>
      <c r="H338" s="33"/>
      <c r="I338" s="53" t="s">
        <v>2374</v>
      </c>
      <c r="J338" s="33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</row>
    <row r="339">
      <c r="A339" s="64">
        <v>45597.0</v>
      </c>
      <c r="B339" s="31" t="s">
        <v>2375</v>
      </c>
      <c r="C339" s="31" t="s">
        <v>2376</v>
      </c>
      <c r="D339" s="31" t="s">
        <v>71</v>
      </c>
      <c r="E339" s="31" t="s">
        <v>72</v>
      </c>
      <c r="F339" s="64">
        <v>45597.0</v>
      </c>
      <c r="G339" s="62"/>
      <c r="H339" s="33"/>
      <c r="I339" s="53" t="s">
        <v>2377</v>
      </c>
      <c r="J339" s="33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</row>
    <row r="340">
      <c r="A340" s="64">
        <v>45605.0</v>
      </c>
      <c r="B340" s="31" t="s">
        <v>2378</v>
      </c>
      <c r="C340" s="31" t="s">
        <v>2379</v>
      </c>
      <c r="D340" s="31" t="s">
        <v>71</v>
      </c>
      <c r="E340" s="31" t="s">
        <v>2380</v>
      </c>
      <c r="F340" s="64">
        <v>45605.0</v>
      </c>
      <c r="G340" s="62"/>
      <c r="H340" s="33"/>
      <c r="I340" s="53" t="s">
        <v>2381</v>
      </c>
      <c r="J340" s="33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</row>
    <row r="341">
      <c r="A341" s="64">
        <v>45597.0</v>
      </c>
      <c r="B341" s="31" t="s">
        <v>2382</v>
      </c>
      <c r="C341" s="31" t="s">
        <v>2383</v>
      </c>
      <c r="D341" s="31" t="s">
        <v>128</v>
      </c>
      <c r="E341" s="31" t="s">
        <v>2384</v>
      </c>
      <c r="F341" s="64">
        <v>45597.0</v>
      </c>
      <c r="G341" s="62"/>
      <c r="H341" s="33"/>
      <c r="I341" s="53" t="s">
        <v>2385</v>
      </c>
      <c r="J341" s="33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</row>
    <row r="342">
      <c r="A342" s="64">
        <v>45597.0</v>
      </c>
      <c r="B342" s="31" t="s">
        <v>2386</v>
      </c>
      <c r="C342" s="31" t="s">
        <v>2387</v>
      </c>
      <c r="D342" s="31" t="s">
        <v>110</v>
      </c>
      <c r="E342" s="31" t="s">
        <v>2388</v>
      </c>
      <c r="F342" s="64">
        <v>45597.0</v>
      </c>
      <c r="G342" s="62"/>
      <c r="H342" s="33"/>
      <c r="I342" s="53" t="s">
        <v>2389</v>
      </c>
      <c r="J342" s="33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</row>
    <row r="343">
      <c r="A343" s="64">
        <v>45567.0</v>
      </c>
      <c r="B343" s="31" t="s">
        <v>2390</v>
      </c>
      <c r="C343" s="31" t="s">
        <v>2391</v>
      </c>
      <c r="D343" s="31" t="s">
        <v>122</v>
      </c>
      <c r="E343" s="31" t="s">
        <v>2392</v>
      </c>
      <c r="F343" s="64">
        <v>45567.0</v>
      </c>
      <c r="G343" s="62"/>
      <c r="H343" s="33"/>
      <c r="I343" s="33"/>
      <c r="J343" s="33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</row>
    <row r="344">
      <c r="A344" s="64">
        <v>45566.0</v>
      </c>
      <c r="B344" s="31" t="s">
        <v>2393</v>
      </c>
      <c r="C344" s="31" t="s">
        <v>2394</v>
      </c>
      <c r="D344" s="31" t="s">
        <v>122</v>
      </c>
      <c r="E344" s="31" t="s">
        <v>2395</v>
      </c>
      <c r="F344" s="64">
        <v>45566.0</v>
      </c>
      <c r="G344" s="62"/>
      <c r="H344" s="33"/>
      <c r="I344" s="33"/>
      <c r="J344" s="33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</row>
    <row r="345">
      <c r="A345" s="64">
        <v>45572.0</v>
      </c>
      <c r="B345" s="31" t="s">
        <v>2396</v>
      </c>
      <c r="C345" s="31" t="s">
        <v>2397</v>
      </c>
      <c r="D345" s="31" t="s">
        <v>128</v>
      </c>
      <c r="E345" s="31" t="s">
        <v>2395</v>
      </c>
      <c r="F345" s="64">
        <v>45572.0</v>
      </c>
      <c r="G345" s="62"/>
      <c r="H345" s="33"/>
      <c r="I345" s="33"/>
      <c r="J345" s="33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</row>
    <row r="346">
      <c r="A346" s="64">
        <v>45568.0</v>
      </c>
      <c r="B346" s="31" t="s">
        <v>2398</v>
      </c>
      <c r="C346" s="31" t="s">
        <v>2399</v>
      </c>
      <c r="D346" s="31" t="s">
        <v>2400</v>
      </c>
      <c r="E346" s="31" t="s">
        <v>2401</v>
      </c>
      <c r="F346" s="64">
        <v>45568.0</v>
      </c>
      <c r="G346" s="62"/>
      <c r="H346" s="33"/>
      <c r="I346" s="33"/>
      <c r="J346" s="33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</row>
    <row r="347">
      <c r="A347" s="64">
        <v>45566.0</v>
      </c>
      <c r="B347" s="31" t="s">
        <v>2402</v>
      </c>
      <c r="C347" s="31" t="s">
        <v>2403</v>
      </c>
      <c r="D347" s="31" t="s">
        <v>2404</v>
      </c>
      <c r="E347" s="31" t="s">
        <v>2405</v>
      </c>
      <c r="F347" s="64">
        <v>45566.0</v>
      </c>
      <c r="G347" s="62"/>
      <c r="H347" s="33"/>
      <c r="I347" s="53" t="s">
        <v>2406</v>
      </c>
      <c r="J347" s="33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</row>
    <row r="348">
      <c r="A348" s="64">
        <v>45584.0</v>
      </c>
      <c r="B348" s="31" t="s">
        <v>2407</v>
      </c>
      <c r="C348" s="31" t="s">
        <v>2408</v>
      </c>
      <c r="D348" s="31" t="s">
        <v>394</v>
      </c>
      <c r="E348" s="31" t="s">
        <v>2409</v>
      </c>
      <c r="F348" s="64">
        <v>45584.0</v>
      </c>
      <c r="G348" s="62"/>
      <c r="H348" s="33"/>
      <c r="I348" s="53" t="s">
        <v>2410</v>
      </c>
      <c r="J348" s="33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</row>
    <row r="349">
      <c r="A349" s="64">
        <v>45566.0</v>
      </c>
      <c r="B349" s="31" t="s">
        <v>2411</v>
      </c>
      <c r="C349" s="31" t="s">
        <v>2412</v>
      </c>
      <c r="D349" s="31" t="s">
        <v>128</v>
      </c>
      <c r="E349" s="31" t="s">
        <v>2413</v>
      </c>
      <c r="F349" s="64">
        <v>45566.0</v>
      </c>
      <c r="G349" s="62"/>
      <c r="H349" s="33"/>
      <c r="I349" s="53" t="s">
        <v>2414</v>
      </c>
      <c r="J349" s="33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</row>
    <row r="350">
      <c r="A350" s="64">
        <v>45566.0</v>
      </c>
      <c r="B350" s="31" t="s">
        <v>2415</v>
      </c>
      <c r="C350" s="31" t="s">
        <v>2416</v>
      </c>
      <c r="D350" s="31" t="s">
        <v>110</v>
      </c>
      <c r="E350" s="31" t="s">
        <v>2417</v>
      </c>
      <c r="F350" s="64">
        <v>45566.0</v>
      </c>
      <c r="G350" s="62"/>
      <c r="H350" s="33"/>
      <c r="I350" s="53" t="s">
        <v>2418</v>
      </c>
      <c r="J350" s="33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</row>
    <row r="351">
      <c r="A351" s="64">
        <v>45566.0</v>
      </c>
      <c r="B351" s="31" t="s">
        <v>2419</v>
      </c>
      <c r="C351" s="31" t="s">
        <v>2420</v>
      </c>
      <c r="D351" s="31" t="s">
        <v>128</v>
      </c>
      <c r="E351" s="31" t="s">
        <v>2421</v>
      </c>
      <c r="F351" s="64">
        <v>45566.0</v>
      </c>
      <c r="G351" s="62"/>
      <c r="H351" s="33"/>
      <c r="I351" s="53" t="s">
        <v>2422</v>
      </c>
      <c r="J351" s="33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</row>
    <row r="352">
      <c r="A352" s="64">
        <v>45566.0</v>
      </c>
      <c r="B352" s="31" t="s">
        <v>2423</v>
      </c>
      <c r="C352" s="31" t="s">
        <v>2424</v>
      </c>
      <c r="D352" s="31" t="s">
        <v>94</v>
      </c>
      <c r="E352" s="31" t="s">
        <v>2425</v>
      </c>
      <c r="F352" s="64">
        <v>45566.0</v>
      </c>
      <c r="G352" s="62"/>
      <c r="H352" s="33"/>
      <c r="I352" s="53" t="s">
        <v>2426</v>
      </c>
      <c r="J352" s="33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</row>
    <row r="353">
      <c r="A353" s="64">
        <v>45578.0</v>
      </c>
      <c r="B353" s="31" t="s">
        <v>2427</v>
      </c>
      <c r="C353" s="31" t="s">
        <v>2428</v>
      </c>
      <c r="D353" s="31" t="s">
        <v>128</v>
      </c>
      <c r="E353" s="31" t="s">
        <v>2429</v>
      </c>
      <c r="F353" s="64">
        <v>45578.0</v>
      </c>
      <c r="G353" s="62"/>
      <c r="H353" s="33"/>
      <c r="I353" s="53" t="s">
        <v>2430</v>
      </c>
      <c r="J353" s="33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</row>
    <row r="354">
      <c r="A354" s="64">
        <v>45627.0</v>
      </c>
      <c r="B354" s="35" t="s">
        <v>2431</v>
      </c>
      <c r="C354" s="35" t="s">
        <v>2432</v>
      </c>
      <c r="D354" s="35" t="s">
        <v>2305</v>
      </c>
      <c r="E354" s="35" t="s">
        <v>2433</v>
      </c>
      <c r="F354" s="64">
        <v>45627.0</v>
      </c>
      <c r="G354" s="33"/>
      <c r="H354" s="33" t="s">
        <v>2434</v>
      </c>
      <c r="I354" s="33"/>
      <c r="J354" s="33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</row>
    <row r="355">
      <c r="A355" s="68">
        <v>45566.0</v>
      </c>
      <c r="B355" s="31" t="s">
        <v>2435</v>
      </c>
      <c r="C355" s="31" t="s">
        <v>2436</v>
      </c>
      <c r="D355" s="31" t="s">
        <v>42</v>
      </c>
      <c r="E355" s="31" t="s">
        <v>2437</v>
      </c>
      <c r="F355" s="68">
        <v>45566.0</v>
      </c>
      <c r="G355" s="62"/>
      <c r="H355" s="33"/>
      <c r="I355" s="53" t="s">
        <v>2438</v>
      </c>
      <c r="J355" s="33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</row>
    <row r="356">
      <c r="A356" s="40">
        <v>45566.0</v>
      </c>
      <c r="B356" s="47" t="s">
        <v>2439</v>
      </c>
      <c r="C356" s="47" t="s">
        <v>2440</v>
      </c>
      <c r="D356" s="47" t="s">
        <v>1749</v>
      </c>
      <c r="E356" s="47" t="s">
        <v>290</v>
      </c>
      <c r="F356" s="40">
        <v>45566.0</v>
      </c>
      <c r="G356" s="34"/>
      <c r="H356" s="33"/>
      <c r="I356" s="33"/>
      <c r="J356" s="34" t="s">
        <v>2441</v>
      </c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</row>
    <row r="357">
      <c r="A357" s="40">
        <v>45627.0</v>
      </c>
      <c r="B357" s="47" t="s">
        <v>2442</v>
      </c>
      <c r="C357" s="47" t="s">
        <v>2443</v>
      </c>
      <c r="D357" s="47" t="s">
        <v>116</v>
      </c>
      <c r="E357" s="47" t="s">
        <v>2444</v>
      </c>
      <c r="F357" s="40">
        <v>45627.0</v>
      </c>
      <c r="G357" s="34"/>
      <c r="H357" s="33"/>
      <c r="I357" s="33"/>
      <c r="J357" s="34" t="s">
        <v>2445</v>
      </c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</row>
    <row r="358">
      <c r="A358" s="40">
        <v>45597.0</v>
      </c>
      <c r="B358" s="47" t="s">
        <v>2446</v>
      </c>
      <c r="C358" s="47" t="s">
        <v>2447</v>
      </c>
      <c r="D358" s="47" t="s">
        <v>47</v>
      </c>
      <c r="E358" s="47" t="s">
        <v>1827</v>
      </c>
      <c r="F358" s="40">
        <v>45597.0</v>
      </c>
      <c r="G358" s="34"/>
      <c r="H358" s="33"/>
      <c r="I358" s="33"/>
      <c r="J358" s="34" t="s">
        <v>2448</v>
      </c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</row>
    <row r="359">
      <c r="A359" s="64">
        <v>45575.0</v>
      </c>
      <c r="B359" s="31" t="s">
        <v>2449</v>
      </c>
      <c r="C359" s="31" t="s">
        <v>2450</v>
      </c>
      <c r="D359" s="31" t="s">
        <v>122</v>
      </c>
      <c r="E359" s="31" t="s">
        <v>2451</v>
      </c>
      <c r="F359" s="64">
        <v>45575.0</v>
      </c>
      <c r="G359" s="62"/>
      <c r="H359" s="33"/>
      <c r="I359" s="34" t="s">
        <v>2452</v>
      </c>
      <c r="J359" s="33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</row>
    <row r="360">
      <c r="A360" s="64">
        <v>45573.0</v>
      </c>
      <c r="B360" s="31" t="s">
        <v>2453</v>
      </c>
      <c r="C360" s="31" t="s">
        <v>2454</v>
      </c>
      <c r="D360" s="31" t="s">
        <v>444</v>
      </c>
      <c r="E360" s="31" t="s">
        <v>2455</v>
      </c>
      <c r="F360" s="64">
        <v>45573.0</v>
      </c>
      <c r="G360" s="62"/>
      <c r="H360" s="33"/>
      <c r="I360" s="33"/>
      <c r="J360" s="33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</row>
    <row r="361">
      <c r="A361" s="64">
        <v>45597.0</v>
      </c>
      <c r="B361" s="31" t="s">
        <v>2456</v>
      </c>
      <c r="C361" s="31" t="s">
        <v>2457</v>
      </c>
      <c r="D361" s="31" t="s">
        <v>128</v>
      </c>
      <c r="E361" s="31" t="s">
        <v>2458</v>
      </c>
      <c r="F361" s="64">
        <v>45597.0</v>
      </c>
      <c r="G361" s="62"/>
      <c r="H361" s="33"/>
      <c r="I361" s="53" t="s">
        <v>2237</v>
      </c>
      <c r="J361" s="33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</row>
    <row r="362">
      <c r="A362" s="64">
        <v>45600.0</v>
      </c>
      <c r="B362" s="31" t="s">
        <v>2459</v>
      </c>
      <c r="C362" s="31" t="s">
        <v>2460</v>
      </c>
      <c r="D362" s="31" t="s">
        <v>71</v>
      </c>
      <c r="E362" s="31" t="s">
        <v>2461</v>
      </c>
      <c r="F362" s="64">
        <v>45600.0</v>
      </c>
      <c r="G362" s="33"/>
      <c r="H362" s="33"/>
      <c r="I362" s="53" t="s">
        <v>2462</v>
      </c>
      <c r="J362" s="33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</row>
    <row r="363">
      <c r="A363" s="40"/>
      <c r="B363" s="31" t="s">
        <v>2463</v>
      </c>
      <c r="C363" s="31" t="s">
        <v>2464</v>
      </c>
      <c r="D363" s="35" t="s">
        <v>333</v>
      </c>
      <c r="E363" s="35" t="s">
        <v>2220</v>
      </c>
      <c r="F363" s="40"/>
      <c r="G363" s="33"/>
      <c r="H363" s="33" t="s">
        <v>2465</v>
      </c>
      <c r="I363" s="33"/>
      <c r="J363" s="33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</row>
    <row r="364">
      <c r="A364" s="64">
        <v>45597.0</v>
      </c>
      <c r="B364" s="47" t="s">
        <v>2466</v>
      </c>
      <c r="C364" s="47" t="s">
        <v>2467</v>
      </c>
      <c r="D364" s="47" t="s">
        <v>444</v>
      </c>
      <c r="E364" s="31" t="s">
        <v>2468</v>
      </c>
      <c r="F364" s="64">
        <v>45597.0</v>
      </c>
      <c r="G364" s="34"/>
      <c r="H364" s="33"/>
      <c r="I364" s="53" t="s">
        <v>2469</v>
      </c>
      <c r="J364" s="33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</row>
    <row r="365">
      <c r="A365" s="64">
        <v>45566.0</v>
      </c>
      <c r="B365" s="31" t="s">
        <v>2470</v>
      </c>
      <c r="C365" s="31" t="s">
        <v>2471</v>
      </c>
      <c r="D365" s="31" t="s">
        <v>42</v>
      </c>
      <c r="E365" s="31" t="s">
        <v>2472</v>
      </c>
      <c r="F365" s="64">
        <v>45566.0</v>
      </c>
      <c r="G365" s="62"/>
      <c r="H365" s="33"/>
      <c r="I365" s="33"/>
      <c r="J365" s="33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</row>
    <row r="366">
      <c r="A366" s="64">
        <v>45585.0</v>
      </c>
      <c r="B366" s="31" t="s">
        <v>2473</v>
      </c>
      <c r="C366" s="31" t="s">
        <v>2474</v>
      </c>
      <c r="D366" s="31" t="s">
        <v>128</v>
      </c>
      <c r="E366" s="31" t="s">
        <v>2475</v>
      </c>
      <c r="F366" s="64">
        <v>45585.0</v>
      </c>
      <c r="G366" s="62"/>
      <c r="H366" s="33"/>
      <c r="I366" s="53" t="s">
        <v>2476</v>
      </c>
      <c r="J366" s="33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</row>
    <row r="367">
      <c r="A367" s="64">
        <v>45615.0</v>
      </c>
      <c r="B367" s="31" t="s">
        <v>2477</v>
      </c>
      <c r="C367" s="31" t="s">
        <v>2478</v>
      </c>
      <c r="D367" s="31" t="s">
        <v>42</v>
      </c>
      <c r="E367" s="31" t="s">
        <v>2479</v>
      </c>
      <c r="F367" s="64">
        <v>45615.0</v>
      </c>
      <c r="G367" s="62"/>
      <c r="H367" s="33"/>
      <c r="I367" s="53" t="s">
        <v>2480</v>
      </c>
      <c r="J367" s="33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</row>
    <row r="368">
      <c r="A368" s="64">
        <v>45586.0</v>
      </c>
      <c r="B368" s="31" t="s">
        <v>2481</v>
      </c>
      <c r="C368" s="31" t="s">
        <v>2482</v>
      </c>
      <c r="D368" s="31" t="s">
        <v>42</v>
      </c>
      <c r="E368" s="31" t="s">
        <v>2483</v>
      </c>
      <c r="F368" s="64">
        <v>45586.0</v>
      </c>
      <c r="G368" s="62"/>
      <c r="H368" s="33"/>
      <c r="I368" s="53" t="s">
        <v>2484</v>
      </c>
      <c r="J368" s="33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</row>
    <row r="369">
      <c r="A369" s="64">
        <v>45566.0</v>
      </c>
      <c r="B369" s="31" t="s">
        <v>2485</v>
      </c>
      <c r="C369" s="31" t="s">
        <v>2486</v>
      </c>
      <c r="D369" s="31" t="s">
        <v>2487</v>
      </c>
      <c r="E369" s="31" t="s">
        <v>2488</v>
      </c>
      <c r="F369" s="64">
        <v>45566.0</v>
      </c>
      <c r="G369" s="62"/>
      <c r="H369" s="33"/>
      <c r="I369" s="33"/>
      <c r="J369" s="33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</row>
    <row r="370">
      <c r="A370" s="64">
        <v>45566.0</v>
      </c>
      <c r="B370" s="35" t="s">
        <v>2489</v>
      </c>
      <c r="C370" s="31" t="s">
        <v>2490</v>
      </c>
      <c r="D370" s="31" t="s">
        <v>2491</v>
      </c>
      <c r="E370" s="31" t="s">
        <v>2488</v>
      </c>
      <c r="F370" s="64">
        <v>45566.0</v>
      </c>
      <c r="G370" s="62"/>
      <c r="H370" s="33"/>
      <c r="I370" s="33"/>
      <c r="J370" s="33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</row>
    <row r="371">
      <c r="A371" s="64">
        <v>45566.0</v>
      </c>
      <c r="B371" s="31" t="s">
        <v>2492</v>
      </c>
      <c r="C371" s="31" t="s">
        <v>2493</v>
      </c>
      <c r="D371" s="31" t="s">
        <v>2494</v>
      </c>
      <c r="E371" s="31" t="s">
        <v>2488</v>
      </c>
      <c r="F371" s="64">
        <v>45566.0</v>
      </c>
      <c r="G371" s="62"/>
      <c r="H371" s="33"/>
      <c r="I371" s="33"/>
      <c r="J371" s="33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</row>
    <row r="372">
      <c r="A372" s="64">
        <v>45566.0</v>
      </c>
      <c r="B372" s="31" t="s">
        <v>2495</v>
      </c>
      <c r="C372" s="31" t="s">
        <v>2496</v>
      </c>
      <c r="D372" s="31" t="s">
        <v>122</v>
      </c>
      <c r="E372" s="31" t="s">
        <v>2395</v>
      </c>
      <c r="F372" s="64">
        <v>45566.0</v>
      </c>
      <c r="G372" s="62"/>
      <c r="H372" s="33"/>
      <c r="I372" s="33"/>
      <c r="J372" s="33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</row>
    <row r="373">
      <c r="A373" s="64">
        <v>45619.0</v>
      </c>
      <c r="B373" s="31" t="s">
        <v>2497</v>
      </c>
      <c r="C373" s="31" t="s">
        <v>2498</v>
      </c>
      <c r="D373" s="31" t="s">
        <v>128</v>
      </c>
      <c r="E373" s="31" t="s">
        <v>2499</v>
      </c>
      <c r="F373" s="64">
        <v>45619.0</v>
      </c>
      <c r="G373" s="62"/>
      <c r="H373" s="33"/>
      <c r="I373" s="53" t="s">
        <v>2500</v>
      </c>
      <c r="J373" s="33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</row>
    <row r="374">
      <c r="A374" s="64">
        <v>45619.0</v>
      </c>
      <c r="B374" s="35" t="s">
        <v>2501</v>
      </c>
      <c r="C374" s="35" t="s">
        <v>2502</v>
      </c>
      <c r="D374" s="35" t="s">
        <v>28</v>
      </c>
      <c r="E374" s="35" t="s">
        <v>2503</v>
      </c>
      <c r="F374" s="64">
        <v>45619.0</v>
      </c>
      <c r="G374" s="33"/>
      <c r="H374" s="33" t="s">
        <v>2504</v>
      </c>
      <c r="I374" s="33"/>
      <c r="J374" s="33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</row>
    <row r="375">
      <c r="A375" s="64">
        <v>45597.0</v>
      </c>
      <c r="B375" s="35" t="s">
        <v>2505</v>
      </c>
      <c r="C375" s="35" t="s">
        <v>2506</v>
      </c>
      <c r="D375" s="35" t="s">
        <v>2507</v>
      </c>
      <c r="E375" s="35" t="s">
        <v>2508</v>
      </c>
      <c r="F375" s="64">
        <v>45597.0</v>
      </c>
      <c r="G375" s="33"/>
      <c r="H375" s="33"/>
      <c r="I375" s="33"/>
      <c r="J375" s="33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</row>
    <row r="376">
      <c r="A376" s="64">
        <v>45570.0</v>
      </c>
      <c r="B376" s="31" t="s">
        <v>2509</v>
      </c>
      <c r="C376" s="31" t="s">
        <v>2510</v>
      </c>
      <c r="D376" s="31" t="s">
        <v>122</v>
      </c>
      <c r="E376" s="31" t="s">
        <v>2380</v>
      </c>
      <c r="F376" s="64">
        <v>45570.0</v>
      </c>
      <c r="G376" s="62"/>
      <c r="H376" s="33"/>
      <c r="I376" s="33"/>
      <c r="J376" s="33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</row>
    <row r="377">
      <c r="A377" s="64">
        <v>45610.0</v>
      </c>
      <c r="B377" s="31" t="s">
        <v>2511</v>
      </c>
      <c r="C377" s="31" t="s">
        <v>2512</v>
      </c>
      <c r="D377" s="31" t="s">
        <v>646</v>
      </c>
      <c r="E377" s="31" t="s">
        <v>2513</v>
      </c>
      <c r="F377" s="64">
        <v>45610.0</v>
      </c>
      <c r="G377" s="62"/>
      <c r="H377" s="33"/>
      <c r="I377" s="33" t="s">
        <v>2514</v>
      </c>
      <c r="J377" s="33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</row>
    <row r="378">
      <c r="A378" s="40"/>
      <c r="B378" s="35" t="s">
        <v>2515</v>
      </c>
      <c r="C378" s="35" t="s">
        <v>2516</v>
      </c>
      <c r="D378" s="35" t="s">
        <v>2517</v>
      </c>
      <c r="E378" s="35" t="s">
        <v>2433</v>
      </c>
      <c r="F378" s="40"/>
      <c r="G378" s="33"/>
      <c r="H378" s="33" t="s">
        <v>2518</v>
      </c>
      <c r="I378" s="33"/>
      <c r="J378" s="33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</row>
    <row r="379">
      <c r="A379" s="64">
        <v>45622.0</v>
      </c>
      <c r="B379" s="35" t="s">
        <v>2519</v>
      </c>
      <c r="C379" s="35" t="s">
        <v>2520</v>
      </c>
      <c r="D379" s="35" t="s">
        <v>65</v>
      </c>
      <c r="E379" s="35" t="s">
        <v>2362</v>
      </c>
      <c r="F379" s="64">
        <v>45622.0</v>
      </c>
      <c r="G379" s="33"/>
      <c r="H379" s="33"/>
      <c r="I379" s="33"/>
      <c r="J379" s="33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</row>
    <row r="380">
      <c r="A380" s="64">
        <v>45617.0</v>
      </c>
      <c r="B380" s="35" t="s">
        <v>2521</v>
      </c>
      <c r="C380" s="35" t="s">
        <v>2522</v>
      </c>
      <c r="D380" s="35" t="s">
        <v>173</v>
      </c>
      <c r="E380" s="35" t="s">
        <v>2362</v>
      </c>
      <c r="F380" s="64">
        <v>45617.0</v>
      </c>
      <c r="G380" s="33"/>
      <c r="H380" s="33"/>
      <c r="I380" s="33"/>
      <c r="J380" s="33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</row>
    <row r="381">
      <c r="A381" s="64">
        <v>45598.0</v>
      </c>
      <c r="B381" s="31" t="s">
        <v>2523</v>
      </c>
      <c r="C381" s="31" t="s">
        <v>2524</v>
      </c>
      <c r="D381" s="31" t="s">
        <v>110</v>
      </c>
      <c r="E381" s="31" t="s">
        <v>2525</v>
      </c>
      <c r="F381" s="64">
        <v>45598.0</v>
      </c>
      <c r="G381" s="62"/>
      <c r="H381" s="33"/>
      <c r="I381" s="53" t="s">
        <v>2526</v>
      </c>
      <c r="J381" s="33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</row>
    <row r="382">
      <c r="A382" s="64">
        <v>45612.0</v>
      </c>
      <c r="B382" s="31" t="s">
        <v>2527</v>
      </c>
      <c r="C382" s="31" t="s">
        <v>2528</v>
      </c>
      <c r="D382" s="31" t="s">
        <v>2305</v>
      </c>
      <c r="E382" s="31" t="s">
        <v>2529</v>
      </c>
      <c r="F382" s="64">
        <v>45612.0</v>
      </c>
      <c r="G382" s="62"/>
      <c r="H382" s="33"/>
      <c r="I382" s="33" t="s">
        <v>2530</v>
      </c>
      <c r="J382" s="33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</row>
    <row r="383">
      <c r="A383" s="40">
        <v>45619.0</v>
      </c>
      <c r="B383" s="47" t="s">
        <v>2531</v>
      </c>
      <c r="C383" s="47" t="s">
        <v>2532</v>
      </c>
      <c r="D383" s="47" t="s">
        <v>2533</v>
      </c>
      <c r="E383" s="47" t="s">
        <v>1827</v>
      </c>
      <c r="F383" s="40">
        <v>45619.0</v>
      </c>
      <c r="G383" s="34"/>
      <c r="H383" s="33"/>
      <c r="I383" s="33"/>
      <c r="J383" s="34" t="s">
        <v>2534</v>
      </c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</row>
    <row r="384">
      <c r="A384" s="40">
        <v>45658.0</v>
      </c>
      <c r="B384" s="47" t="s">
        <v>2535</v>
      </c>
      <c r="C384" s="47" t="s">
        <v>2536</v>
      </c>
      <c r="D384" s="47" t="s">
        <v>2337</v>
      </c>
      <c r="E384" s="47" t="s">
        <v>290</v>
      </c>
      <c r="F384" s="40">
        <v>45658.0</v>
      </c>
      <c r="G384" s="34"/>
      <c r="H384" s="33"/>
      <c r="I384" s="33"/>
      <c r="J384" s="34" t="s">
        <v>2537</v>
      </c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</row>
    <row r="385">
      <c r="A385" s="40">
        <v>45597.0</v>
      </c>
      <c r="B385" s="47" t="s">
        <v>2538</v>
      </c>
      <c r="C385" s="47" t="s">
        <v>2539</v>
      </c>
      <c r="D385" s="47" t="s">
        <v>1749</v>
      </c>
      <c r="E385" s="47" t="s">
        <v>290</v>
      </c>
      <c r="F385" s="40">
        <v>45597.0</v>
      </c>
      <c r="G385" s="34"/>
      <c r="H385" s="33"/>
      <c r="I385" s="33"/>
      <c r="J385" s="34" t="s">
        <v>2540</v>
      </c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</row>
    <row r="386">
      <c r="A386" s="40">
        <v>45597.0</v>
      </c>
      <c r="B386" s="47" t="s">
        <v>2541</v>
      </c>
      <c r="C386" s="47" t="s">
        <v>2542</v>
      </c>
      <c r="D386" s="47" t="s">
        <v>1749</v>
      </c>
      <c r="E386" s="47" t="s">
        <v>290</v>
      </c>
      <c r="F386" s="40">
        <v>45597.0</v>
      </c>
      <c r="G386" s="34"/>
      <c r="H386" s="33"/>
      <c r="I386" s="33"/>
      <c r="J386" s="34" t="s">
        <v>2543</v>
      </c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</row>
    <row r="387">
      <c r="A387" s="40">
        <v>45597.0</v>
      </c>
      <c r="B387" s="47" t="s">
        <v>2544</v>
      </c>
      <c r="C387" s="47" t="s">
        <v>2545</v>
      </c>
      <c r="D387" s="47" t="s">
        <v>1749</v>
      </c>
      <c r="E387" s="47" t="s">
        <v>290</v>
      </c>
      <c r="F387" s="40">
        <v>45597.0</v>
      </c>
      <c r="G387" s="34"/>
      <c r="H387" s="33"/>
      <c r="I387" s="33"/>
      <c r="J387" s="34" t="s">
        <v>2546</v>
      </c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</row>
    <row r="388">
      <c r="A388" s="40">
        <v>45597.0</v>
      </c>
      <c r="B388" s="47" t="s">
        <v>2547</v>
      </c>
      <c r="C388" s="47" t="s">
        <v>2548</v>
      </c>
      <c r="D388" s="47" t="s">
        <v>1749</v>
      </c>
      <c r="E388" s="47" t="s">
        <v>290</v>
      </c>
      <c r="F388" s="40">
        <v>45597.0</v>
      </c>
      <c r="G388" s="34"/>
      <c r="H388" s="33"/>
      <c r="I388" s="33"/>
      <c r="J388" s="34" t="s">
        <v>2549</v>
      </c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</row>
    <row r="389">
      <c r="A389" s="40">
        <v>45597.0</v>
      </c>
      <c r="B389" s="47" t="s">
        <v>2550</v>
      </c>
      <c r="C389" s="47" t="s">
        <v>2551</v>
      </c>
      <c r="D389" s="47" t="s">
        <v>1749</v>
      </c>
      <c r="E389" s="47" t="s">
        <v>290</v>
      </c>
      <c r="F389" s="40">
        <v>45597.0</v>
      </c>
      <c r="G389" s="34"/>
      <c r="H389" s="33"/>
      <c r="I389" s="33"/>
      <c r="J389" s="34" t="s">
        <v>2552</v>
      </c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</row>
    <row r="390">
      <c r="A390" s="40">
        <v>45597.0</v>
      </c>
      <c r="B390" s="47" t="s">
        <v>2553</v>
      </c>
      <c r="C390" s="47" t="s">
        <v>2554</v>
      </c>
      <c r="D390" s="47" t="s">
        <v>1749</v>
      </c>
      <c r="E390" s="47" t="s">
        <v>290</v>
      </c>
      <c r="F390" s="40">
        <v>45597.0</v>
      </c>
      <c r="G390" s="34"/>
      <c r="H390" s="33"/>
      <c r="I390" s="33"/>
      <c r="J390" s="34" t="s">
        <v>2555</v>
      </c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</row>
    <row r="391">
      <c r="A391" s="40">
        <v>45597.0</v>
      </c>
      <c r="B391" s="47" t="s">
        <v>2556</v>
      </c>
      <c r="C391" s="47" t="s">
        <v>2557</v>
      </c>
      <c r="D391" s="47" t="s">
        <v>1749</v>
      </c>
      <c r="E391" s="47" t="s">
        <v>290</v>
      </c>
      <c r="F391" s="40">
        <v>45597.0</v>
      </c>
      <c r="G391" s="34"/>
      <c r="H391" s="33"/>
      <c r="I391" s="33"/>
      <c r="J391" s="34" t="s">
        <v>2558</v>
      </c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</row>
    <row r="392">
      <c r="A392" s="40">
        <v>45597.0</v>
      </c>
      <c r="B392" s="47" t="s">
        <v>2559</v>
      </c>
      <c r="C392" s="47" t="s">
        <v>2560</v>
      </c>
      <c r="D392" s="47" t="s">
        <v>1749</v>
      </c>
      <c r="E392" s="47" t="s">
        <v>290</v>
      </c>
      <c r="F392" s="40">
        <v>45597.0</v>
      </c>
      <c r="G392" s="34"/>
      <c r="H392" s="33"/>
      <c r="I392" s="33"/>
      <c r="J392" s="34" t="s">
        <v>2561</v>
      </c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</row>
    <row r="393">
      <c r="A393" s="40">
        <v>45597.0</v>
      </c>
      <c r="B393" s="47" t="s">
        <v>2562</v>
      </c>
      <c r="C393" s="47" t="s">
        <v>2563</v>
      </c>
      <c r="D393" s="47" t="s">
        <v>1749</v>
      </c>
      <c r="E393" s="47" t="s">
        <v>290</v>
      </c>
      <c r="F393" s="40">
        <v>45597.0</v>
      </c>
      <c r="G393" s="34"/>
      <c r="H393" s="33"/>
      <c r="I393" s="33"/>
      <c r="J393" s="34" t="s">
        <v>2564</v>
      </c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</row>
    <row r="394">
      <c r="A394" s="40">
        <v>45597.0</v>
      </c>
      <c r="B394" s="47" t="s">
        <v>2565</v>
      </c>
      <c r="C394" s="47" t="s">
        <v>2566</v>
      </c>
      <c r="D394" s="47" t="s">
        <v>1749</v>
      </c>
      <c r="E394" s="47" t="s">
        <v>290</v>
      </c>
      <c r="F394" s="40">
        <v>45597.0</v>
      </c>
      <c r="G394" s="34"/>
      <c r="H394" s="33"/>
      <c r="I394" s="33"/>
      <c r="J394" s="34" t="s">
        <v>2567</v>
      </c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</row>
    <row r="395">
      <c r="A395" s="40">
        <v>45627.0</v>
      </c>
      <c r="B395" s="31" t="s">
        <v>2568</v>
      </c>
      <c r="C395" s="31" t="s">
        <v>2569</v>
      </c>
      <c r="D395" s="31" t="s">
        <v>871</v>
      </c>
      <c r="E395" s="31" t="s">
        <v>199</v>
      </c>
      <c r="F395" s="40">
        <v>45627.0</v>
      </c>
      <c r="G395" s="62"/>
      <c r="H395" s="33"/>
      <c r="I395" s="33" t="s">
        <v>2570</v>
      </c>
      <c r="J395" s="33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</row>
    <row r="396">
      <c r="A396" s="40">
        <v>45597.0</v>
      </c>
      <c r="B396" s="31" t="s">
        <v>2571</v>
      </c>
      <c r="C396" s="31" t="s">
        <v>2572</v>
      </c>
      <c r="D396" s="31" t="s">
        <v>122</v>
      </c>
      <c r="E396" s="31" t="s">
        <v>2236</v>
      </c>
      <c r="F396" s="40">
        <v>45597.0</v>
      </c>
      <c r="G396" s="62"/>
      <c r="H396" s="33"/>
      <c r="I396" s="33"/>
      <c r="J396" s="33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</row>
    <row r="397">
      <c r="A397" s="40">
        <v>45597.0</v>
      </c>
      <c r="B397" s="31" t="s">
        <v>2573</v>
      </c>
      <c r="C397" s="31" t="s">
        <v>2574</v>
      </c>
      <c r="D397" s="31" t="s">
        <v>128</v>
      </c>
      <c r="E397" s="31" t="s">
        <v>2575</v>
      </c>
      <c r="F397" s="40">
        <v>45597.0</v>
      </c>
      <c r="G397" s="62"/>
      <c r="H397" s="33"/>
      <c r="I397" s="33"/>
      <c r="J397" s="33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</row>
    <row r="398">
      <c r="A398" s="64">
        <v>45556.0</v>
      </c>
      <c r="B398" s="31" t="s">
        <v>2576</v>
      </c>
      <c r="C398" s="31" t="s">
        <v>2577</v>
      </c>
      <c r="D398" s="31" t="s">
        <v>1976</v>
      </c>
      <c r="E398" s="31" t="s">
        <v>2578</v>
      </c>
      <c r="F398" s="64">
        <v>45556.0</v>
      </c>
      <c r="G398" s="62"/>
      <c r="H398" s="33"/>
      <c r="I398" s="33"/>
      <c r="J398" s="33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</row>
    <row r="399">
      <c r="A399" s="64">
        <v>45541.0</v>
      </c>
      <c r="B399" s="31" t="s">
        <v>2579</v>
      </c>
      <c r="C399" s="31" t="s">
        <v>2580</v>
      </c>
      <c r="D399" s="31" t="s">
        <v>42</v>
      </c>
      <c r="E399" s="31" t="s">
        <v>2581</v>
      </c>
      <c r="F399" s="64">
        <v>45541.0</v>
      </c>
      <c r="G399" s="62"/>
      <c r="H399" s="33"/>
      <c r="I399" s="33"/>
      <c r="J399" s="33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</row>
    <row r="400">
      <c r="A400" s="64">
        <v>45605.0</v>
      </c>
      <c r="B400" s="31" t="s">
        <v>2582</v>
      </c>
      <c r="C400" s="31" t="s">
        <v>2583</v>
      </c>
      <c r="D400" s="31" t="s">
        <v>116</v>
      </c>
      <c r="E400" s="31" t="s">
        <v>2584</v>
      </c>
      <c r="F400" s="64">
        <v>45605.0</v>
      </c>
      <c r="G400" s="62"/>
      <c r="H400" s="33"/>
      <c r="I400" s="53" t="s">
        <v>2585</v>
      </c>
      <c r="J400" s="33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</row>
    <row r="401">
      <c r="A401" s="50">
        <v>45536.0</v>
      </c>
      <c r="B401" s="31" t="s">
        <v>2586</v>
      </c>
      <c r="C401" s="31" t="s">
        <v>2587</v>
      </c>
      <c r="D401" s="31" t="s">
        <v>122</v>
      </c>
      <c r="E401" s="31" t="s">
        <v>2588</v>
      </c>
      <c r="F401" s="50">
        <v>45536.0</v>
      </c>
      <c r="G401" s="62"/>
      <c r="H401" s="33"/>
      <c r="I401" s="33"/>
      <c r="J401" s="33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</row>
    <row r="402">
      <c r="A402" s="50">
        <v>45536.0</v>
      </c>
      <c r="B402" s="31" t="s">
        <v>2589</v>
      </c>
      <c r="C402" s="31" t="s">
        <v>2590</v>
      </c>
      <c r="D402" s="31" t="s">
        <v>128</v>
      </c>
      <c r="E402" s="31" t="s">
        <v>2499</v>
      </c>
      <c r="F402" s="50">
        <v>45536.0</v>
      </c>
      <c r="G402" s="62"/>
      <c r="H402" s="33"/>
      <c r="I402" s="33"/>
      <c r="J402" s="33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</row>
    <row r="403">
      <c r="A403" s="50">
        <v>45536.0</v>
      </c>
      <c r="B403" s="31" t="s">
        <v>2591</v>
      </c>
      <c r="C403" s="31" t="s">
        <v>2592</v>
      </c>
      <c r="D403" s="31" t="s">
        <v>128</v>
      </c>
      <c r="E403" s="31" t="s">
        <v>2499</v>
      </c>
      <c r="F403" s="50">
        <v>45536.0</v>
      </c>
      <c r="G403" s="62"/>
      <c r="H403" s="33"/>
      <c r="I403" s="33"/>
      <c r="J403" s="33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</row>
    <row r="404">
      <c r="A404" s="50">
        <v>45536.0</v>
      </c>
      <c r="B404" s="31" t="s">
        <v>2593</v>
      </c>
      <c r="C404" s="31" t="s">
        <v>2594</v>
      </c>
      <c r="D404" s="31" t="s">
        <v>128</v>
      </c>
      <c r="E404" s="31" t="s">
        <v>2575</v>
      </c>
      <c r="F404" s="50">
        <v>45536.0</v>
      </c>
      <c r="G404" s="62"/>
      <c r="H404" s="33"/>
      <c r="I404" s="33"/>
      <c r="J404" s="33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</row>
    <row r="405">
      <c r="A405" s="40">
        <v>45627.0</v>
      </c>
      <c r="B405" s="31" t="s">
        <v>2595</v>
      </c>
      <c r="C405" s="31" t="s">
        <v>2596</v>
      </c>
      <c r="D405" s="31" t="s">
        <v>2200</v>
      </c>
      <c r="E405" s="31" t="s">
        <v>2085</v>
      </c>
      <c r="F405" s="40">
        <v>45627.0</v>
      </c>
      <c r="G405" s="62"/>
      <c r="H405" s="33"/>
      <c r="I405" s="33" t="s">
        <v>2597</v>
      </c>
      <c r="J405" s="33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</row>
    <row r="406">
      <c r="A406" s="64">
        <v>45612.0</v>
      </c>
      <c r="B406" s="31" t="s">
        <v>2598</v>
      </c>
      <c r="C406" s="31" t="s">
        <v>2599</v>
      </c>
      <c r="D406" s="31" t="s">
        <v>476</v>
      </c>
      <c r="E406" s="31" t="s">
        <v>2388</v>
      </c>
      <c r="F406" s="64">
        <v>45612.0</v>
      </c>
      <c r="G406" s="62"/>
      <c r="H406" s="33"/>
      <c r="I406" s="53" t="s">
        <v>2600</v>
      </c>
      <c r="J406" s="33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</row>
    <row r="407">
      <c r="A407" s="40">
        <v>45631.0</v>
      </c>
      <c r="B407" s="35" t="s">
        <v>2601</v>
      </c>
      <c r="C407" s="35" t="s">
        <v>2602</v>
      </c>
      <c r="D407" s="35" t="s">
        <v>1397</v>
      </c>
      <c r="E407" s="35" t="s">
        <v>2603</v>
      </c>
      <c r="F407" s="40">
        <v>45631.0</v>
      </c>
      <c r="G407" s="33"/>
      <c r="H407" s="33"/>
      <c r="I407" s="34"/>
      <c r="J407" s="33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</row>
    <row r="408">
      <c r="A408" s="64">
        <v>45602.0</v>
      </c>
      <c r="B408" s="31" t="s">
        <v>2604</v>
      </c>
      <c r="C408" s="31" t="s">
        <v>2605</v>
      </c>
      <c r="D408" s="31" t="s">
        <v>128</v>
      </c>
      <c r="E408" s="31" t="s">
        <v>2395</v>
      </c>
      <c r="F408" s="64">
        <v>45602.0</v>
      </c>
      <c r="G408" s="62"/>
      <c r="H408" s="33"/>
      <c r="I408" s="53" t="s">
        <v>2606</v>
      </c>
      <c r="J408" s="33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</row>
    <row r="409">
      <c r="A409" s="64">
        <v>45613.0</v>
      </c>
      <c r="B409" s="31" t="s">
        <v>2607</v>
      </c>
      <c r="C409" s="31" t="s">
        <v>2608</v>
      </c>
      <c r="D409" s="31" t="s">
        <v>71</v>
      </c>
      <c r="E409" s="31" t="s">
        <v>2609</v>
      </c>
      <c r="F409" s="64">
        <v>45613.0</v>
      </c>
      <c r="G409" s="62"/>
      <c r="H409" s="33"/>
      <c r="I409" s="53" t="s">
        <v>2610</v>
      </c>
      <c r="J409" s="33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</row>
    <row r="410">
      <c r="A410" s="40">
        <v>45632.0</v>
      </c>
      <c r="B410" s="31" t="s">
        <v>2611</v>
      </c>
      <c r="C410" s="31" t="s">
        <v>2612</v>
      </c>
      <c r="D410" s="31" t="s">
        <v>42</v>
      </c>
      <c r="E410" s="31" t="s">
        <v>2475</v>
      </c>
      <c r="F410" s="40">
        <v>45632.0</v>
      </c>
      <c r="G410" s="62"/>
      <c r="H410" s="33"/>
      <c r="I410" s="53" t="s">
        <v>2613</v>
      </c>
      <c r="J410" s="33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</row>
    <row r="411">
      <c r="A411" s="64">
        <v>45626.0</v>
      </c>
      <c r="B411" s="31" t="s">
        <v>2614</v>
      </c>
      <c r="C411" s="31" t="s">
        <v>2615</v>
      </c>
      <c r="D411" s="31" t="s">
        <v>122</v>
      </c>
      <c r="E411" s="31" t="s">
        <v>2616</v>
      </c>
      <c r="F411" s="64">
        <v>45626.0</v>
      </c>
      <c r="G411" s="62"/>
      <c r="H411" s="33"/>
      <c r="I411" s="53" t="s">
        <v>2617</v>
      </c>
      <c r="J411" s="33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</row>
    <row r="412">
      <c r="A412" s="64">
        <v>45611.0</v>
      </c>
      <c r="B412" s="31" t="s">
        <v>2618</v>
      </c>
      <c r="C412" s="31" t="s">
        <v>2619</v>
      </c>
      <c r="D412" s="31" t="s">
        <v>173</v>
      </c>
      <c r="E412" s="31" t="s">
        <v>2620</v>
      </c>
      <c r="F412" s="64">
        <v>45611.0</v>
      </c>
      <c r="G412" s="62"/>
      <c r="H412" s="33"/>
      <c r="I412" s="33" t="s">
        <v>2621</v>
      </c>
      <c r="J412" s="33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</row>
    <row r="413">
      <c r="A413" s="40">
        <v>45654.0</v>
      </c>
      <c r="B413" s="35" t="s">
        <v>2622</v>
      </c>
      <c r="C413" s="35" t="s">
        <v>2623</v>
      </c>
      <c r="D413" s="35" t="s">
        <v>2624</v>
      </c>
      <c r="E413" s="35" t="s">
        <v>2625</v>
      </c>
      <c r="F413" s="40">
        <v>45654.0</v>
      </c>
      <c r="G413" s="33"/>
      <c r="H413" s="33" t="s">
        <v>2626</v>
      </c>
      <c r="I413" s="33"/>
      <c r="J413" s="33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</row>
    <row r="414">
      <c r="A414" s="40">
        <v>45627.0</v>
      </c>
      <c r="B414" s="31" t="s">
        <v>2627</v>
      </c>
      <c r="C414" s="31" t="s">
        <v>2628</v>
      </c>
      <c r="D414" s="31" t="s">
        <v>42</v>
      </c>
      <c r="E414" s="31" t="s">
        <v>2388</v>
      </c>
      <c r="F414" s="40">
        <v>45627.0</v>
      </c>
      <c r="G414" s="62"/>
      <c r="H414" s="33"/>
      <c r="I414" s="53" t="s">
        <v>2629</v>
      </c>
      <c r="J414" s="33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</row>
    <row r="415">
      <c r="A415" s="40">
        <v>45627.0</v>
      </c>
      <c r="B415" s="31" t="s">
        <v>2630</v>
      </c>
      <c r="C415" s="31" t="s">
        <v>2631</v>
      </c>
      <c r="D415" s="31" t="s">
        <v>59</v>
      </c>
      <c r="E415" s="31" t="s">
        <v>2483</v>
      </c>
      <c r="F415" s="40">
        <v>45627.0</v>
      </c>
      <c r="G415" s="62"/>
      <c r="H415" s="33"/>
      <c r="I415" s="69" t="s">
        <v>2632</v>
      </c>
      <c r="J415" s="33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</row>
    <row r="416">
      <c r="A416" s="40">
        <v>45634.0</v>
      </c>
      <c r="B416" s="31" t="s">
        <v>2633</v>
      </c>
      <c r="C416" s="31" t="s">
        <v>2634</v>
      </c>
      <c r="D416" s="31" t="s">
        <v>122</v>
      </c>
      <c r="E416" s="31" t="s">
        <v>2635</v>
      </c>
      <c r="F416" s="30">
        <v>45658.0</v>
      </c>
      <c r="G416" s="62"/>
      <c r="H416" s="33"/>
      <c r="I416" s="53" t="s">
        <v>2636</v>
      </c>
      <c r="J416" s="33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</row>
    <row r="417">
      <c r="A417" s="40">
        <v>45627.0</v>
      </c>
      <c r="B417" s="31" t="s">
        <v>2637</v>
      </c>
      <c r="C417" s="31" t="s">
        <v>2638</v>
      </c>
      <c r="D417" s="31" t="s">
        <v>42</v>
      </c>
      <c r="E417" s="31" t="s">
        <v>2384</v>
      </c>
      <c r="F417" s="40">
        <v>45627.0</v>
      </c>
      <c r="G417" s="62"/>
      <c r="H417" s="33"/>
      <c r="I417" s="53" t="s">
        <v>2639</v>
      </c>
      <c r="J417" s="33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</row>
    <row r="418">
      <c r="A418" s="40">
        <v>45627.0</v>
      </c>
      <c r="B418" s="31" t="s">
        <v>2640</v>
      </c>
      <c r="C418" s="31" t="s">
        <v>2641</v>
      </c>
      <c r="D418" s="31" t="s">
        <v>122</v>
      </c>
      <c r="E418" s="31" t="s">
        <v>2642</v>
      </c>
      <c r="F418" s="40">
        <v>45627.0</v>
      </c>
      <c r="G418" s="62"/>
      <c r="H418" s="33"/>
      <c r="I418" s="53" t="s">
        <v>2643</v>
      </c>
      <c r="J418" s="33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</row>
    <row r="419">
      <c r="A419" s="64">
        <v>45597.0</v>
      </c>
      <c r="B419" s="31" t="s">
        <v>2644</v>
      </c>
      <c r="C419" s="31" t="s">
        <v>2645</v>
      </c>
      <c r="D419" s="31" t="s">
        <v>122</v>
      </c>
      <c r="E419" s="31" t="s">
        <v>2646</v>
      </c>
      <c r="F419" s="64">
        <v>45597.0</v>
      </c>
      <c r="G419" s="62"/>
      <c r="H419" s="33"/>
      <c r="I419" s="33"/>
      <c r="J419" s="33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</row>
    <row r="420">
      <c r="A420" s="70">
        <v>45611.0</v>
      </c>
      <c r="B420" s="31" t="s">
        <v>2647</v>
      </c>
      <c r="C420" s="31" t="s">
        <v>2648</v>
      </c>
      <c r="D420" s="31" t="s">
        <v>110</v>
      </c>
      <c r="E420" s="31" t="s">
        <v>2649</v>
      </c>
      <c r="F420" s="70">
        <v>45611.0</v>
      </c>
      <c r="G420" s="62"/>
      <c r="H420" s="33"/>
      <c r="I420" s="33"/>
      <c r="J420" s="33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</row>
    <row r="421">
      <c r="A421" s="40">
        <v>45644.0</v>
      </c>
      <c r="B421" s="31" t="s">
        <v>2650</v>
      </c>
      <c r="C421" s="31" t="s">
        <v>2651</v>
      </c>
      <c r="D421" s="31" t="s">
        <v>128</v>
      </c>
      <c r="E421" s="31" t="s">
        <v>2642</v>
      </c>
      <c r="F421" s="30">
        <v>45658.0</v>
      </c>
      <c r="G421" s="62"/>
      <c r="H421" s="33"/>
      <c r="I421" s="53" t="s">
        <v>2652</v>
      </c>
      <c r="J421" s="33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</row>
    <row r="422">
      <c r="A422" s="40">
        <v>45647.0</v>
      </c>
      <c r="B422" s="35" t="s">
        <v>2653</v>
      </c>
      <c r="C422" s="35" t="s">
        <v>2654</v>
      </c>
      <c r="D422" s="35" t="s">
        <v>636</v>
      </c>
      <c r="E422" s="35" t="s">
        <v>2208</v>
      </c>
      <c r="F422" s="40">
        <v>45647.0</v>
      </c>
      <c r="G422" s="33"/>
      <c r="H422" s="33" t="s">
        <v>2655</v>
      </c>
      <c r="I422" s="33"/>
      <c r="J422" s="33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</row>
    <row r="423">
      <c r="A423" s="40">
        <v>45642.0</v>
      </c>
      <c r="B423" s="31" t="s">
        <v>2656</v>
      </c>
      <c r="C423" s="31" t="s">
        <v>2657</v>
      </c>
      <c r="D423" s="31" t="s">
        <v>128</v>
      </c>
      <c r="E423" s="31" t="s">
        <v>2658</v>
      </c>
      <c r="F423" s="40">
        <v>45642.0</v>
      </c>
      <c r="G423" s="62"/>
      <c r="H423" s="33"/>
      <c r="I423" s="53" t="s">
        <v>2659</v>
      </c>
      <c r="J423" s="33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</row>
    <row r="424">
      <c r="A424" s="40">
        <v>45647.0</v>
      </c>
      <c r="B424" s="31" t="s">
        <v>2344</v>
      </c>
      <c r="C424" s="31" t="s">
        <v>2345</v>
      </c>
      <c r="D424" s="31" t="s">
        <v>701</v>
      </c>
      <c r="E424" s="31" t="s">
        <v>2346</v>
      </c>
      <c r="F424" s="40">
        <v>45647.0</v>
      </c>
      <c r="G424" s="62"/>
      <c r="H424" s="33"/>
      <c r="I424" s="33" t="s">
        <v>2660</v>
      </c>
      <c r="J424" s="33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</row>
    <row r="425">
      <c r="A425" s="40">
        <v>45647.0</v>
      </c>
      <c r="B425" s="31" t="s">
        <v>2661</v>
      </c>
      <c r="C425" s="31" t="s">
        <v>2662</v>
      </c>
      <c r="D425" s="31" t="s">
        <v>2663</v>
      </c>
      <c r="E425" s="31" t="s">
        <v>410</v>
      </c>
      <c r="F425" s="40">
        <v>45647.0</v>
      </c>
      <c r="G425" s="62"/>
      <c r="H425" s="33"/>
      <c r="I425" s="33" t="s">
        <v>2664</v>
      </c>
      <c r="J425" s="33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</row>
    <row r="426">
      <c r="A426" s="64">
        <v>45597.0</v>
      </c>
      <c r="B426" s="31" t="s">
        <v>2665</v>
      </c>
      <c r="C426" s="31" t="s">
        <v>2666</v>
      </c>
      <c r="D426" s="31" t="s">
        <v>128</v>
      </c>
      <c r="E426" s="31" t="s">
        <v>2667</v>
      </c>
      <c r="F426" s="64">
        <v>45597.0</v>
      </c>
      <c r="G426" s="62"/>
      <c r="H426" s="33"/>
      <c r="I426" s="33"/>
      <c r="J426" s="33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</row>
    <row r="427">
      <c r="A427" s="64">
        <v>45625.0</v>
      </c>
      <c r="B427" s="31" t="s">
        <v>2668</v>
      </c>
      <c r="C427" s="31" t="s">
        <v>2669</v>
      </c>
      <c r="D427" s="31" t="s">
        <v>122</v>
      </c>
      <c r="E427" s="31" t="s">
        <v>2667</v>
      </c>
      <c r="F427" s="64">
        <v>45625.0</v>
      </c>
      <c r="G427" s="62"/>
      <c r="H427" s="33"/>
      <c r="I427" s="53" t="s">
        <v>2670</v>
      </c>
      <c r="J427" s="33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</row>
    <row r="428">
      <c r="A428" s="64">
        <v>45600.0</v>
      </c>
      <c r="B428" s="31" t="s">
        <v>2671</v>
      </c>
      <c r="C428" s="31" t="s">
        <v>2672</v>
      </c>
      <c r="D428" s="31" t="s">
        <v>122</v>
      </c>
      <c r="E428" s="31" t="s">
        <v>2673</v>
      </c>
      <c r="F428" s="64">
        <v>45600.0</v>
      </c>
      <c r="G428" s="62"/>
      <c r="H428" s="33"/>
      <c r="I428" s="33"/>
      <c r="J428" s="33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</row>
    <row r="429">
      <c r="A429" s="64">
        <v>45658.0</v>
      </c>
      <c r="B429" s="31" t="s">
        <v>2674</v>
      </c>
      <c r="C429" s="31" t="s">
        <v>2675</v>
      </c>
      <c r="D429" s="31" t="s">
        <v>2676</v>
      </c>
      <c r="E429" s="31" t="s">
        <v>2677</v>
      </c>
      <c r="F429" s="64">
        <v>45658.0</v>
      </c>
      <c r="G429" s="62"/>
      <c r="H429" s="33"/>
      <c r="I429" s="53" t="s">
        <v>2678</v>
      </c>
      <c r="J429" s="33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</row>
    <row r="430">
      <c r="A430" s="64">
        <v>45658.0</v>
      </c>
      <c r="B430" s="31" t="s">
        <v>2679</v>
      </c>
      <c r="C430" s="31" t="s">
        <v>2680</v>
      </c>
      <c r="D430" s="31" t="s">
        <v>1078</v>
      </c>
      <c r="E430" s="31" t="s">
        <v>2681</v>
      </c>
      <c r="F430" s="64">
        <v>45658.0</v>
      </c>
      <c r="G430" s="62"/>
      <c r="H430" s="33"/>
      <c r="I430" s="53" t="s">
        <v>2682</v>
      </c>
      <c r="J430" s="33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</row>
    <row r="431">
      <c r="A431" s="64">
        <v>45658.0</v>
      </c>
      <c r="B431" s="31" t="s">
        <v>2683</v>
      </c>
      <c r="C431" s="31" t="s">
        <v>2684</v>
      </c>
      <c r="D431" s="31" t="s">
        <v>116</v>
      </c>
      <c r="E431" s="31" t="s">
        <v>2685</v>
      </c>
      <c r="F431" s="64">
        <v>45658.0</v>
      </c>
      <c r="G431" s="62"/>
      <c r="H431" s="33"/>
      <c r="I431" s="53" t="s">
        <v>2686</v>
      </c>
      <c r="J431" s="33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</row>
    <row r="432">
      <c r="A432" s="64">
        <v>45658.0</v>
      </c>
      <c r="B432" s="31" t="s">
        <v>2687</v>
      </c>
      <c r="C432" s="31" t="s">
        <v>2688</v>
      </c>
      <c r="D432" s="31" t="s">
        <v>116</v>
      </c>
      <c r="E432" s="31" t="s">
        <v>2689</v>
      </c>
      <c r="F432" s="64">
        <v>45658.0</v>
      </c>
      <c r="G432" s="62"/>
      <c r="H432" s="33"/>
      <c r="I432" s="53" t="s">
        <v>2690</v>
      </c>
      <c r="J432" s="33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</row>
    <row r="433">
      <c r="A433" s="40">
        <v>45627.0</v>
      </c>
      <c r="B433" s="31" t="s">
        <v>2691</v>
      </c>
      <c r="C433" s="31" t="s">
        <v>2692</v>
      </c>
      <c r="D433" s="31" t="s">
        <v>2693</v>
      </c>
      <c r="E433" s="31" t="s">
        <v>2694</v>
      </c>
      <c r="F433" s="40">
        <v>45627.0</v>
      </c>
      <c r="G433" s="62"/>
      <c r="H433" s="33" t="s">
        <v>2695</v>
      </c>
      <c r="I433" s="33"/>
      <c r="J433" s="33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</row>
    <row r="434">
      <c r="A434" s="40"/>
      <c r="B434" s="31" t="s">
        <v>2696</v>
      </c>
      <c r="C434" s="31" t="s">
        <v>2697</v>
      </c>
      <c r="D434" s="31" t="s">
        <v>414</v>
      </c>
      <c r="E434" s="31" t="s">
        <v>2698</v>
      </c>
      <c r="F434" s="42">
        <v>45635.0</v>
      </c>
      <c r="G434" s="62"/>
      <c r="H434" s="33"/>
      <c r="I434" s="53" t="s">
        <v>2699</v>
      </c>
      <c r="J434" s="33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</row>
    <row r="435">
      <c r="A435" s="40"/>
      <c r="B435" s="31" t="s">
        <v>2700</v>
      </c>
      <c r="C435" s="31" t="s">
        <v>2701</v>
      </c>
      <c r="D435" s="31" t="s">
        <v>122</v>
      </c>
      <c r="E435" s="31" t="s">
        <v>2635</v>
      </c>
      <c r="F435" s="71">
        <v>45627.0</v>
      </c>
      <c r="G435" s="62"/>
      <c r="H435" s="33"/>
      <c r="I435" s="53" t="s">
        <v>2702</v>
      </c>
      <c r="J435" s="33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</row>
    <row r="436">
      <c r="A436" s="40"/>
      <c r="B436" s="72" t="s">
        <v>2703</v>
      </c>
      <c r="C436" s="31" t="s">
        <v>2704</v>
      </c>
      <c r="D436" s="31" t="s">
        <v>122</v>
      </c>
      <c r="E436" s="31" t="s">
        <v>2705</v>
      </c>
      <c r="F436" s="71">
        <v>45627.0</v>
      </c>
      <c r="G436" s="62"/>
      <c r="H436" s="33"/>
      <c r="I436" s="53" t="s">
        <v>2706</v>
      </c>
      <c r="J436" s="33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</row>
    <row r="437">
      <c r="A437" s="40"/>
      <c r="B437" s="31" t="s">
        <v>2707</v>
      </c>
      <c r="C437" s="31" t="s">
        <v>2708</v>
      </c>
      <c r="D437" s="31" t="s">
        <v>128</v>
      </c>
      <c r="E437" s="31" t="s">
        <v>2499</v>
      </c>
      <c r="F437" s="71">
        <v>45627.0</v>
      </c>
      <c r="G437" s="62"/>
      <c r="H437" s="33"/>
      <c r="I437" s="33"/>
      <c r="J437" s="33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</row>
    <row r="438">
      <c r="A438" s="40"/>
      <c r="B438" s="31" t="s">
        <v>2709</v>
      </c>
      <c r="C438" s="31" t="s">
        <v>2710</v>
      </c>
      <c r="D438" s="31" t="s">
        <v>2015</v>
      </c>
      <c r="E438" s="31" t="s">
        <v>2085</v>
      </c>
      <c r="F438" s="71">
        <v>45658.0</v>
      </c>
      <c r="G438" s="33"/>
      <c r="H438" s="33"/>
      <c r="I438" s="33" t="s">
        <v>2711</v>
      </c>
      <c r="J438" s="33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</row>
    <row r="439">
      <c r="A439" s="40"/>
      <c r="B439" s="31" t="s">
        <v>2712</v>
      </c>
      <c r="C439" s="31" t="s">
        <v>2713</v>
      </c>
      <c r="D439" s="31" t="s">
        <v>42</v>
      </c>
      <c r="E439" s="31" t="s">
        <v>2472</v>
      </c>
      <c r="F439" s="71">
        <v>45626.0</v>
      </c>
      <c r="G439" s="33"/>
      <c r="H439" s="33"/>
      <c r="I439" s="33"/>
      <c r="J439" s="33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</row>
    <row r="440">
      <c r="A440" s="40"/>
      <c r="B440" s="35" t="s">
        <v>2714</v>
      </c>
      <c r="C440" s="35" t="s">
        <v>2715</v>
      </c>
      <c r="D440" s="35" t="s">
        <v>116</v>
      </c>
      <c r="E440" s="35" t="s">
        <v>2716</v>
      </c>
      <c r="F440" s="64">
        <v>45658.0</v>
      </c>
      <c r="G440" s="33"/>
      <c r="H440" s="33" t="s">
        <v>2717</v>
      </c>
      <c r="I440" s="33"/>
      <c r="J440" s="33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</row>
    <row r="441">
      <c r="A441" s="40"/>
      <c r="B441" s="35" t="s">
        <v>2718</v>
      </c>
      <c r="C441" s="35" t="s">
        <v>2719</v>
      </c>
      <c r="D441" s="35" t="s">
        <v>116</v>
      </c>
      <c r="E441" s="35" t="s">
        <v>2720</v>
      </c>
      <c r="F441" s="64">
        <v>45658.0</v>
      </c>
      <c r="G441" s="33"/>
      <c r="H441" s="33"/>
      <c r="I441" s="33"/>
      <c r="J441" s="33" t="s">
        <v>2721</v>
      </c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</row>
    <row r="442">
      <c r="A442" s="40"/>
      <c r="B442" s="31" t="s">
        <v>2722</v>
      </c>
      <c r="C442" s="31" t="s">
        <v>2723</v>
      </c>
      <c r="D442" s="31" t="s">
        <v>122</v>
      </c>
      <c r="E442" s="31" t="s">
        <v>2616</v>
      </c>
      <c r="F442" s="71">
        <v>45627.0</v>
      </c>
      <c r="G442" s="62"/>
      <c r="H442" s="33"/>
      <c r="I442" s="33"/>
      <c r="J442" s="33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</row>
    <row r="443">
      <c r="A443" s="40"/>
      <c r="B443" s="35" t="s">
        <v>2724</v>
      </c>
      <c r="C443" s="35" t="s">
        <v>2725</v>
      </c>
      <c r="D443" s="35" t="s">
        <v>28</v>
      </c>
      <c r="E443" s="31" t="s">
        <v>2726</v>
      </c>
      <c r="F443" s="64">
        <v>45658.0</v>
      </c>
      <c r="G443" s="33"/>
      <c r="H443" s="33" t="s">
        <v>2727</v>
      </c>
      <c r="I443" s="33"/>
      <c r="J443" s="33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</row>
    <row r="444">
      <c r="A444" s="40"/>
      <c r="B444" s="35" t="s">
        <v>2728</v>
      </c>
      <c r="C444" s="35" t="s">
        <v>2729</v>
      </c>
      <c r="D444" s="35" t="s">
        <v>1852</v>
      </c>
      <c r="E444" s="35" t="s">
        <v>2730</v>
      </c>
      <c r="F444" s="64">
        <v>45658.0</v>
      </c>
      <c r="G444" s="33"/>
      <c r="H444" s="73" t="s">
        <v>2731</v>
      </c>
      <c r="I444" s="33"/>
      <c r="J444" s="33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</row>
    <row r="445">
      <c r="A445" s="40"/>
      <c r="B445" s="31" t="s">
        <v>2732</v>
      </c>
      <c r="C445" s="31" t="s">
        <v>2733</v>
      </c>
      <c r="D445" s="31" t="s">
        <v>128</v>
      </c>
      <c r="E445" s="31" t="s">
        <v>2642</v>
      </c>
      <c r="F445" s="71">
        <v>45650.0</v>
      </c>
      <c r="G445" s="62"/>
      <c r="H445" s="33"/>
      <c r="I445" s="53" t="s">
        <v>2734</v>
      </c>
      <c r="J445" s="33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</row>
    <row r="446">
      <c r="A446" s="40"/>
      <c r="B446" s="31" t="s">
        <v>2735</v>
      </c>
      <c r="C446" s="31" t="s">
        <v>2736</v>
      </c>
      <c r="D446" s="31" t="s">
        <v>207</v>
      </c>
      <c r="E446" s="31" t="s">
        <v>2737</v>
      </c>
      <c r="F446" s="71">
        <v>45658.0</v>
      </c>
      <c r="G446" s="62"/>
      <c r="H446" s="33"/>
      <c r="I446" s="33" t="s">
        <v>2738</v>
      </c>
      <c r="J446" s="33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</row>
    <row r="447">
      <c r="A447" s="40"/>
      <c r="B447" s="31" t="s">
        <v>2739</v>
      </c>
      <c r="C447" s="31" t="s">
        <v>2740</v>
      </c>
      <c r="D447" s="31" t="s">
        <v>116</v>
      </c>
      <c r="E447" s="31" t="s">
        <v>2741</v>
      </c>
      <c r="F447" s="71">
        <v>45653.0</v>
      </c>
      <c r="G447" s="62"/>
      <c r="H447" s="33"/>
      <c r="I447" s="33" t="s">
        <v>2742</v>
      </c>
      <c r="J447" s="33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</row>
    <row r="448">
      <c r="A448" s="40"/>
      <c r="B448" s="35" t="s">
        <v>2743</v>
      </c>
      <c r="C448" s="35" t="s">
        <v>2744</v>
      </c>
      <c r="D448" s="35" t="s">
        <v>173</v>
      </c>
      <c r="E448" s="35" t="s">
        <v>1408</v>
      </c>
      <c r="F448" s="40">
        <v>45658.0</v>
      </c>
      <c r="G448" s="33"/>
      <c r="H448" s="33" t="s">
        <v>2745</v>
      </c>
      <c r="I448" s="33"/>
      <c r="J448" s="33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</row>
    <row r="449">
      <c r="A449" s="40"/>
      <c r="B449" s="31" t="s">
        <v>2746</v>
      </c>
      <c r="C449" s="31" t="s">
        <v>2747</v>
      </c>
      <c r="D449" s="31" t="s">
        <v>122</v>
      </c>
      <c r="E449" s="31" t="s">
        <v>2673</v>
      </c>
      <c r="F449" s="71">
        <v>45625.0</v>
      </c>
      <c r="G449" s="62"/>
      <c r="H449" s="33"/>
      <c r="I449" s="33"/>
      <c r="J449" s="33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</row>
    <row r="450">
      <c r="A450" s="30">
        <v>45635.0</v>
      </c>
      <c r="B450" s="74" t="s">
        <v>2748</v>
      </c>
      <c r="C450" s="16" t="s">
        <v>2749</v>
      </c>
      <c r="D450" s="35" t="s">
        <v>1791</v>
      </c>
      <c r="E450" s="75" t="s">
        <v>2750</v>
      </c>
      <c r="F450" s="40">
        <v>45658.0</v>
      </c>
      <c r="G450" s="33"/>
      <c r="H450" s="73" t="s">
        <v>2751</v>
      </c>
      <c r="I450" s="33"/>
      <c r="J450" s="33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</row>
    <row r="451">
      <c r="A451" s="30">
        <v>45639.0</v>
      </c>
      <c r="B451" s="16" t="s">
        <v>2752</v>
      </c>
      <c r="C451" s="16" t="s">
        <v>2753</v>
      </c>
      <c r="D451" s="76" t="s">
        <v>28</v>
      </c>
      <c r="E451" s="16" t="s">
        <v>2346</v>
      </c>
      <c r="F451" s="42">
        <v>45658.0</v>
      </c>
      <c r="G451" s="33"/>
      <c r="H451" s="33"/>
      <c r="I451" s="73" t="s">
        <v>2754</v>
      </c>
      <c r="J451" s="33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</row>
    <row r="452">
      <c r="A452" s="30">
        <v>45639.0</v>
      </c>
      <c r="B452" s="16" t="s">
        <v>2755</v>
      </c>
      <c r="C452" s="16" t="s">
        <v>2756</v>
      </c>
      <c r="D452" s="16" t="s">
        <v>122</v>
      </c>
      <c r="E452" s="16" t="s">
        <v>2757</v>
      </c>
      <c r="F452" s="42">
        <v>45658.0</v>
      </c>
      <c r="G452" s="33"/>
      <c r="H452" s="33"/>
      <c r="I452" s="77" t="s">
        <v>2758</v>
      </c>
      <c r="J452" s="33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</row>
    <row r="453">
      <c r="A453" s="30">
        <v>45639.0</v>
      </c>
      <c r="B453" s="16" t="s">
        <v>2759</v>
      </c>
      <c r="C453" s="16" t="s">
        <v>2760</v>
      </c>
      <c r="D453" s="16" t="s">
        <v>2761</v>
      </c>
      <c r="E453" s="35"/>
      <c r="F453" s="42">
        <v>45661.0</v>
      </c>
      <c r="G453" s="33"/>
      <c r="H453" s="33"/>
      <c r="I453" s="77" t="s">
        <v>2762</v>
      </c>
      <c r="J453" s="33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</row>
    <row r="454">
      <c r="A454" s="30">
        <v>45639.0</v>
      </c>
      <c r="B454" s="16" t="s">
        <v>2763</v>
      </c>
      <c r="C454" s="16" t="s">
        <v>2764</v>
      </c>
      <c r="D454" s="16" t="s">
        <v>476</v>
      </c>
      <c r="E454" s="16" t="s">
        <v>2765</v>
      </c>
      <c r="F454" s="42">
        <v>45627.0</v>
      </c>
      <c r="G454" s="33"/>
      <c r="H454" s="33"/>
      <c r="I454" s="77" t="s">
        <v>2766</v>
      </c>
      <c r="J454" s="33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</row>
    <row r="455">
      <c r="A455" s="30">
        <v>45643.0</v>
      </c>
      <c r="B455" s="16" t="s">
        <v>2767</v>
      </c>
      <c r="C455" s="16" t="s">
        <v>2768</v>
      </c>
      <c r="D455" s="16" t="s">
        <v>128</v>
      </c>
      <c r="E455" s="16" t="s">
        <v>2011</v>
      </c>
      <c r="F455" s="71">
        <v>45658.0</v>
      </c>
      <c r="G455" s="33"/>
      <c r="H455" s="33"/>
      <c r="I455" s="77" t="s">
        <v>2769</v>
      </c>
      <c r="J455" s="33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</row>
    <row r="456">
      <c r="A456" s="30">
        <v>45643.0</v>
      </c>
      <c r="B456" s="16" t="s">
        <v>2770</v>
      </c>
      <c r="C456" s="16" t="s">
        <v>2771</v>
      </c>
      <c r="D456" s="16" t="s">
        <v>1976</v>
      </c>
      <c r="E456" s="16" t="s">
        <v>2772</v>
      </c>
      <c r="F456" s="30">
        <v>45627.0</v>
      </c>
      <c r="G456" s="33"/>
      <c r="H456" s="33"/>
      <c r="I456" s="33"/>
      <c r="J456" s="33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</row>
    <row r="457">
      <c r="A457" s="30">
        <v>45643.0</v>
      </c>
      <c r="B457" s="16" t="s">
        <v>2773</v>
      </c>
      <c r="C457" s="16" t="s">
        <v>2774</v>
      </c>
      <c r="D457" s="16" t="s">
        <v>128</v>
      </c>
      <c r="E457" s="16" t="s">
        <v>2458</v>
      </c>
      <c r="F457" s="30">
        <v>45627.0</v>
      </c>
      <c r="G457" s="33"/>
      <c r="H457" s="33"/>
      <c r="I457" s="33"/>
      <c r="J457" s="33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</row>
    <row r="458">
      <c r="A458" s="30">
        <v>45644.0</v>
      </c>
      <c r="B458" s="16" t="s">
        <v>2775</v>
      </c>
      <c r="C458" s="16" t="s">
        <v>2776</v>
      </c>
      <c r="D458" s="16" t="s">
        <v>122</v>
      </c>
      <c r="E458" s="16" t="s">
        <v>2658</v>
      </c>
      <c r="F458" s="30">
        <v>45636.0</v>
      </c>
      <c r="G458" s="78"/>
      <c r="H458" s="33"/>
      <c r="I458" s="33"/>
      <c r="J458" s="33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</row>
    <row r="459">
      <c r="A459" s="30">
        <v>45643.0</v>
      </c>
      <c r="B459" s="16" t="s">
        <v>2777</v>
      </c>
      <c r="C459" s="16" t="s">
        <v>2778</v>
      </c>
      <c r="D459" s="16"/>
      <c r="E459" s="16"/>
      <c r="F459" s="40"/>
      <c r="G459" s="33"/>
      <c r="H459" s="73" t="s">
        <v>2779</v>
      </c>
      <c r="I459" s="33"/>
      <c r="J459" s="33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</row>
    <row r="460">
      <c r="A460" s="30">
        <v>45644.0</v>
      </c>
      <c r="B460" s="16" t="s">
        <v>2780</v>
      </c>
      <c r="C460" s="16" t="s">
        <v>2781</v>
      </c>
      <c r="D460" s="16" t="s">
        <v>42</v>
      </c>
      <c r="E460" s="16" t="s">
        <v>2635</v>
      </c>
      <c r="F460" s="30">
        <v>45658.0</v>
      </c>
      <c r="G460" s="33"/>
      <c r="H460" s="33"/>
      <c r="I460" s="77" t="s">
        <v>2782</v>
      </c>
      <c r="J460" s="33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</row>
    <row r="461">
      <c r="A461" s="30">
        <v>45644.0</v>
      </c>
      <c r="B461" s="16" t="s">
        <v>2783</v>
      </c>
      <c r="C461" s="16" t="s">
        <v>2784</v>
      </c>
      <c r="D461" s="16" t="s">
        <v>122</v>
      </c>
      <c r="E461" s="16" t="s">
        <v>2635</v>
      </c>
      <c r="F461" s="30">
        <v>45658.0</v>
      </c>
      <c r="G461" s="33"/>
      <c r="H461" s="33"/>
      <c r="I461" s="77" t="s">
        <v>2785</v>
      </c>
      <c r="J461" s="33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</row>
    <row r="462">
      <c r="A462" s="30">
        <v>45644.0</v>
      </c>
      <c r="B462" s="16" t="s">
        <v>2786</v>
      </c>
      <c r="C462" s="16" t="s">
        <v>2787</v>
      </c>
      <c r="D462" s="16" t="s">
        <v>128</v>
      </c>
      <c r="E462" s="16" t="s">
        <v>2635</v>
      </c>
      <c r="F462" s="30">
        <v>45658.0</v>
      </c>
      <c r="G462" s="33"/>
      <c r="H462" s="33"/>
      <c r="I462" s="77" t="s">
        <v>2788</v>
      </c>
      <c r="J462" s="33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</row>
    <row r="463">
      <c r="A463" s="30">
        <v>45644.0</v>
      </c>
      <c r="B463" s="16" t="s">
        <v>2789</v>
      </c>
      <c r="C463" s="16" t="s">
        <v>2790</v>
      </c>
      <c r="D463" s="16" t="s">
        <v>122</v>
      </c>
      <c r="E463" s="16" t="s">
        <v>2635</v>
      </c>
      <c r="F463" s="30">
        <v>45658.0</v>
      </c>
      <c r="G463" s="33"/>
      <c r="H463" s="33"/>
      <c r="I463" s="77" t="s">
        <v>2791</v>
      </c>
      <c r="J463" s="33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</row>
    <row r="464">
      <c r="A464" s="30">
        <v>45644.0</v>
      </c>
      <c r="B464" s="16" t="s">
        <v>2792</v>
      </c>
      <c r="C464" s="16" t="s">
        <v>2793</v>
      </c>
      <c r="D464" s="16" t="s">
        <v>110</v>
      </c>
      <c r="E464" s="16" t="s">
        <v>2635</v>
      </c>
      <c r="F464" s="30">
        <v>45658.0</v>
      </c>
      <c r="G464" s="33"/>
      <c r="H464" s="33"/>
      <c r="I464" s="77" t="s">
        <v>2794</v>
      </c>
      <c r="J464" s="33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</row>
    <row r="465">
      <c r="A465" s="30">
        <v>45644.0</v>
      </c>
      <c r="B465" s="16" t="s">
        <v>2795</v>
      </c>
      <c r="C465" s="16" t="s">
        <v>2796</v>
      </c>
      <c r="D465" s="16" t="s">
        <v>476</v>
      </c>
      <c r="E465" s="16" t="s">
        <v>2635</v>
      </c>
      <c r="F465" s="30">
        <v>45658.0</v>
      </c>
      <c r="G465" s="33"/>
      <c r="H465" s="33"/>
      <c r="I465" s="77" t="s">
        <v>2797</v>
      </c>
      <c r="J465" s="33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</row>
    <row r="466">
      <c r="A466" s="30">
        <v>45644.0</v>
      </c>
      <c r="B466" s="16" t="s">
        <v>2798</v>
      </c>
      <c r="C466" s="16" t="s">
        <v>2799</v>
      </c>
      <c r="D466" s="16" t="s">
        <v>128</v>
      </c>
      <c r="E466" s="16" t="s">
        <v>2635</v>
      </c>
      <c r="F466" s="30">
        <v>45658.0</v>
      </c>
      <c r="G466" s="33"/>
      <c r="H466" s="33"/>
      <c r="I466" s="77" t="s">
        <v>2800</v>
      </c>
      <c r="J466" s="33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</row>
    <row r="467">
      <c r="A467" s="30">
        <v>45644.0</v>
      </c>
      <c r="B467" s="16" t="s">
        <v>2801</v>
      </c>
      <c r="C467" s="16" t="s">
        <v>2802</v>
      </c>
      <c r="D467" s="16" t="s">
        <v>94</v>
      </c>
      <c r="E467" s="16" t="s">
        <v>2803</v>
      </c>
      <c r="F467" s="30">
        <v>45629.0</v>
      </c>
      <c r="G467" s="33"/>
      <c r="H467" s="33"/>
      <c r="I467" s="33"/>
      <c r="J467" s="33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</row>
    <row r="468">
      <c r="A468" s="30">
        <v>45644.0</v>
      </c>
      <c r="B468" s="16" t="s">
        <v>2804</v>
      </c>
      <c r="C468" s="16" t="s">
        <v>2805</v>
      </c>
      <c r="D468" s="16" t="s">
        <v>122</v>
      </c>
      <c r="E468" s="16" t="s">
        <v>2806</v>
      </c>
      <c r="F468" s="30">
        <v>45658.0</v>
      </c>
      <c r="G468" s="33"/>
      <c r="H468" s="33"/>
      <c r="I468" s="77" t="s">
        <v>2807</v>
      </c>
      <c r="J468" s="33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</row>
    <row r="469">
      <c r="A469" s="30">
        <v>45644.0</v>
      </c>
      <c r="B469" s="16" t="s">
        <v>2808</v>
      </c>
      <c r="C469" s="16" t="s">
        <v>2809</v>
      </c>
      <c r="D469" s="16" t="s">
        <v>122</v>
      </c>
      <c r="E469" s="16" t="s">
        <v>2810</v>
      </c>
      <c r="F469" s="30">
        <v>45658.0</v>
      </c>
      <c r="G469" s="33"/>
      <c r="H469" s="33"/>
      <c r="I469" s="77" t="s">
        <v>2811</v>
      </c>
      <c r="J469" s="33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</row>
    <row r="470">
      <c r="A470" s="30">
        <v>45645.0</v>
      </c>
      <c r="B470" s="16" t="s">
        <v>2812</v>
      </c>
      <c r="C470" s="16" t="s">
        <v>2813</v>
      </c>
      <c r="D470" s="16" t="s">
        <v>2305</v>
      </c>
      <c r="E470" s="16" t="s">
        <v>2814</v>
      </c>
      <c r="F470" s="30">
        <v>45654.0</v>
      </c>
      <c r="G470" s="33"/>
      <c r="H470" s="73" t="s">
        <v>2815</v>
      </c>
      <c r="I470" s="33"/>
      <c r="J470" s="33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</row>
    <row r="471">
      <c r="A471" s="30">
        <v>45645.0</v>
      </c>
      <c r="B471" s="16" t="s">
        <v>2816</v>
      </c>
      <c r="C471" s="16" t="s">
        <v>2817</v>
      </c>
      <c r="D471" s="16" t="s">
        <v>116</v>
      </c>
      <c r="E471" s="16" t="s">
        <v>2818</v>
      </c>
      <c r="F471" s="30">
        <v>45661.0</v>
      </c>
      <c r="G471" s="33"/>
      <c r="H471" s="33"/>
      <c r="I471" s="33"/>
      <c r="J471" s="73" t="s">
        <v>2819</v>
      </c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</row>
    <row r="472">
      <c r="A472" s="30">
        <v>45646.0</v>
      </c>
      <c r="B472" s="16" t="s">
        <v>2820</v>
      </c>
      <c r="C472" s="16" t="s">
        <v>2821</v>
      </c>
      <c r="D472" s="16" t="s">
        <v>71</v>
      </c>
      <c r="E472" s="16" t="s">
        <v>2822</v>
      </c>
      <c r="F472" s="30">
        <v>45658.0</v>
      </c>
      <c r="G472" s="33"/>
      <c r="H472" s="33"/>
      <c r="I472" s="69" t="s">
        <v>2823</v>
      </c>
      <c r="J472" s="33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</row>
    <row r="473">
      <c r="A473" s="30">
        <v>45646.0</v>
      </c>
      <c r="B473" s="16" t="s">
        <v>2824</v>
      </c>
      <c r="C473" s="16" t="s">
        <v>2825</v>
      </c>
      <c r="D473" s="16" t="s">
        <v>128</v>
      </c>
      <c r="E473" s="16" t="s">
        <v>2395</v>
      </c>
      <c r="F473" s="30">
        <v>45665.0</v>
      </c>
      <c r="G473" s="33"/>
      <c r="H473" s="33"/>
      <c r="I473" s="77" t="s">
        <v>2826</v>
      </c>
      <c r="J473" s="33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</row>
    <row r="474">
      <c r="A474" s="30">
        <v>45646.0</v>
      </c>
      <c r="B474" s="16" t="s">
        <v>2827</v>
      </c>
      <c r="C474" s="16" t="s">
        <v>2828</v>
      </c>
      <c r="D474" s="16" t="s">
        <v>342</v>
      </c>
      <c r="E474" s="16" t="s">
        <v>449</v>
      </c>
      <c r="F474" s="30">
        <v>45689.0</v>
      </c>
      <c r="G474" s="33"/>
      <c r="H474" s="33"/>
      <c r="I474" s="73" t="s">
        <v>2585</v>
      </c>
      <c r="J474" s="33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</row>
    <row r="475">
      <c r="A475" s="30">
        <v>45646.0</v>
      </c>
      <c r="B475" s="16" t="s">
        <v>2829</v>
      </c>
      <c r="C475" s="16" t="s">
        <v>2830</v>
      </c>
      <c r="D475" s="16" t="s">
        <v>481</v>
      </c>
      <c r="E475" s="16" t="s">
        <v>2831</v>
      </c>
      <c r="F475" s="30">
        <v>45667.0</v>
      </c>
      <c r="G475" s="33"/>
      <c r="H475" s="33"/>
      <c r="I475" s="73" t="s">
        <v>2832</v>
      </c>
      <c r="J475" s="33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</row>
    <row r="476">
      <c r="A476" s="30">
        <v>45649.0</v>
      </c>
      <c r="B476" s="16" t="s">
        <v>2833</v>
      </c>
      <c r="C476" s="16" t="s">
        <v>2834</v>
      </c>
      <c r="D476" s="16" t="s">
        <v>2835</v>
      </c>
      <c r="E476" s="16" t="s">
        <v>2836</v>
      </c>
      <c r="F476" s="30">
        <v>45680.0</v>
      </c>
      <c r="G476" s="33"/>
      <c r="H476" s="73" t="s">
        <v>2837</v>
      </c>
      <c r="I476" s="33"/>
      <c r="J476" s="33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</row>
    <row r="477">
      <c r="A477" s="30">
        <v>45649.0</v>
      </c>
      <c r="B477" s="16" t="s">
        <v>2838</v>
      </c>
      <c r="C477" s="16" t="s">
        <v>2839</v>
      </c>
      <c r="D477" s="16" t="s">
        <v>122</v>
      </c>
      <c r="E477" s="16" t="s">
        <v>2840</v>
      </c>
      <c r="F477" s="30">
        <v>45638.0</v>
      </c>
      <c r="G477" s="33"/>
      <c r="H477" s="33"/>
      <c r="I477" s="33"/>
      <c r="J477" s="33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</row>
    <row r="478">
      <c r="A478" s="30">
        <v>45649.0</v>
      </c>
      <c r="B478" s="16" t="s">
        <v>2841</v>
      </c>
      <c r="C478" s="16" t="s">
        <v>2842</v>
      </c>
      <c r="D478" s="16" t="s">
        <v>122</v>
      </c>
      <c r="E478" s="16" t="s">
        <v>2843</v>
      </c>
      <c r="F478" s="30">
        <v>45641.0</v>
      </c>
      <c r="G478" s="33"/>
      <c r="H478" s="33"/>
      <c r="I478" s="33"/>
      <c r="J478" s="33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</row>
    <row r="479">
      <c r="A479" s="30">
        <v>45650.0</v>
      </c>
      <c r="B479" s="16" t="s">
        <v>2844</v>
      </c>
      <c r="C479" s="16" t="s">
        <v>2845</v>
      </c>
      <c r="D479" s="16" t="s">
        <v>2846</v>
      </c>
      <c r="E479" s="16" t="s">
        <v>2847</v>
      </c>
      <c r="F479" s="30">
        <v>45689.0</v>
      </c>
      <c r="G479" s="33"/>
      <c r="H479" s="73" t="s">
        <v>2848</v>
      </c>
      <c r="I479" s="33"/>
      <c r="J479" s="33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</row>
    <row r="480">
      <c r="A480" s="30">
        <v>45650.0</v>
      </c>
      <c r="B480" s="16" t="s">
        <v>2849</v>
      </c>
      <c r="C480" s="16" t="s">
        <v>2850</v>
      </c>
      <c r="D480" s="16" t="s">
        <v>1544</v>
      </c>
      <c r="E480" s="16" t="s">
        <v>2851</v>
      </c>
      <c r="F480" s="30">
        <v>45667.0</v>
      </c>
      <c r="G480" s="33"/>
      <c r="H480" s="33"/>
      <c r="I480" s="73" t="s">
        <v>2852</v>
      </c>
      <c r="J480" s="33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</row>
    <row r="481">
      <c r="A481" s="30">
        <v>45650.0</v>
      </c>
      <c r="B481" s="16" t="s">
        <v>2853</v>
      </c>
      <c r="C481" s="16" t="s">
        <v>2854</v>
      </c>
      <c r="D481" s="16" t="s">
        <v>342</v>
      </c>
      <c r="E481" s="16" t="s">
        <v>2292</v>
      </c>
      <c r="F481" s="30">
        <v>45678.0</v>
      </c>
      <c r="G481" s="33"/>
      <c r="H481" s="33"/>
      <c r="I481" s="73" t="s">
        <v>2855</v>
      </c>
      <c r="J481" s="33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</row>
    <row r="482">
      <c r="A482" s="30">
        <v>45650.0</v>
      </c>
      <c r="B482" s="16" t="s">
        <v>2856</v>
      </c>
      <c r="C482" s="16" t="s">
        <v>2857</v>
      </c>
      <c r="D482" s="16" t="s">
        <v>122</v>
      </c>
      <c r="E482" s="16" t="s">
        <v>2388</v>
      </c>
      <c r="F482" s="30">
        <v>45689.0</v>
      </c>
      <c r="G482" s="33"/>
      <c r="H482" s="33"/>
      <c r="I482" s="77" t="s">
        <v>2858</v>
      </c>
      <c r="J482" s="33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</row>
    <row r="483">
      <c r="A483" s="30">
        <v>45650.0</v>
      </c>
      <c r="B483" s="16" t="s">
        <v>2859</v>
      </c>
      <c r="C483" s="16" t="s">
        <v>2860</v>
      </c>
      <c r="D483" s="16" t="s">
        <v>128</v>
      </c>
      <c r="E483" s="16" t="s">
        <v>2472</v>
      </c>
      <c r="F483" s="30">
        <v>45644.0</v>
      </c>
      <c r="G483" s="33"/>
      <c r="H483" s="33"/>
      <c r="I483" s="33"/>
      <c r="J483" s="33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</row>
    <row r="484">
      <c r="A484" s="30">
        <v>45652.0</v>
      </c>
      <c r="B484" s="16" t="s">
        <v>2861</v>
      </c>
      <c r="C484" s="16" t="s">
        <v>2862</v>
      </c>
      <c r="D484" s="16" t="s">
        <v>894</v>
      </c>
      <c r="E484" s="16" t="s">
        <v>2863</v>
      </c>
      <c r="F484" s="30">
        <v>45652.0</v>
      </c>
      <c r="G484" s="33"/>
      <c r="H484" s="33"/>
      <c r="I484" s="79" t="s">
        <v>2864</v>
      </c>
      <c r="J484" s="33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</row>
    <row r="485">
      <c r="A485" s="30">
        <v>45659.0</v>
      </c>
      <c r="B485" s="16" t="s">
        <v>2865</v>
      </c>
      <c r="C485" s="16" t="s">
        <v>2866</v>
      </c>
      <c r="D485" s="16" t="s">
        <v>110</v>
      </c>
      <c r="E485" s="16" t="s">
        <v>2867</v>
      </c>
      <c r="F485" s="30">
        <v>45658.0</v>
      </c>
      <c r="G485" s="33"/>
      <c r="H485" s="33"/>
      <c r="I485" s="33"/>
      <c r="J485" s="33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</row>
    <row r="486">
      <c r="A486" s="30">
        <v>45659.0</v>
      </c>
      <c r="B486" s="16" t="s">
        <v>2868</v>
      </c>
      <c r="C486" s="16" t="s">
        <v>2869</v>
      </c>
      <c r="D486" s="16" t="s">
        <v>2870</v>
      </c>
      <c r="E486" s="16" t="s">
        <v>2871</v>
      </c>
      <c r="F486" s="30">
        <v>45667.0</v>
      </c>
      <c r="G486" s="33"/>
      <c r="H486" s="73" t="s">
        <v>2872</v>
      </c>
      <c r="I486" s="33"/>
      <c r="J486" s="33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</row>
    <row r="487">
      <c r="A487" s="30">
        <v>45659.0</v>
      </c>
      <c r="B487" s="16" t="s">
        <v>2873</v>
      </c>
      <c r="C487" s="16" t="s">
        <v>2874</v>
      </c>
      <c r="D487" s="16" t="s">
        <v>2875</v>
      </c>
      <c r="E487" s="16" t="s">
        <v>2876</v>
      </c>
      <c r="F487" s="30">
        <v>45689.0</v>
      </c>
      <c r="G487" s="33"/>
      <c r="H487" s="73" t="s">
        <v>2877</v>
      </c>
      <c r="I487" s="77"/>
      <c r="J487" s="33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</row>
    <row r="488">
      <c r="A488" s="30">
        <v>45664.0</v>
      </c>
      <c r="B488" s="16" t="s">
        <v>2878</v>
      </c>
      <c r="C488" s="16" t="s">
        <v>2879</v>
      </c>
      <c r="D488" s="16" t="s">
        <v>2880</v>
      </c>
      <c r="E488" s="16" t="s">
        <v>2881</v>
      </c>
      <c r="F488" s="30">
        <v>45689.0</v>
      </c>
      <c r="G488" s="33"/>
      <c r="H488" s="33"/>
      <c r="I488" s="77" t="s">
        <v>2882</v>
      </c>
      <c r="J488" s="33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</row>
    <row r="489">
      <c r="A489" s="30">
        <v>45664.0</v>
      </c>
      <c r="B489" s="16" t="s">
        <v>2883</v>
      </c>
      <c r="C489" s="16" t="s">
        <v>2884</v>
      </c>
      <c r="D489" s="16" t="s">
        <v>122</v>
      </c>
      <c r="E489" s="16" t="s">
        <v>2588</v>
      </c>
      <c r="F489" s="30">
        <v>45689.0</v>
      </c>
      <c r="G489" s="33"/>
      <c r="H489" s="33"/>
      <c r="I489" s="77" t="s">
        <v>2885</v>
      </c>
      <c r="J489" s="33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</row>
    <row r="490">
      <c r="A490" s="30">
        <v>45664.0</v>
      </c>
      <c r="B490" s="16" t="s">
        <v>2886</v>
      </c>
      <c r="C490" s="16" t="s">
        <v>2887</v>
      </c>
      <c r="D490" s="16" t="s">
        <v>476</v>
      </c>
      <c r="E490" s="16" t="s">
        <v>2888</v>
      </c>
      <c r="F490" s="30">
        <v>45689.0</v>
      </c>
      <c r="G490" s="33"/>
      <c r="H490" s="33"/>
      <c r="I490" s="77" t="s">
        <v>2889</v>
      </c>
      <c r="J490" s="33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</row>
    <row r="491">
      <c r="A491" s="30">
        <v>45664.0</v>
      </c>
      <c r="B491" s="16" t="s">
        <v>2890</v>
      </c>
      <c r="C491" s="16" t="s">
        <v>2891</v>
      </c>
      <c r="D491" s="16" t="s">
        <v>42</v>
      </c>
      <c r="E491" s="16" t="s">
        <v>2483</v>
      </c>
      <c r="F491" s="30">
        <v>45673.0</v>
      </c>
      <c r="G491" s="33"/>
      <c r="H491" s="33"/>
      <c r="I491" s="69" t="s">
        <v>2892</v>
      </c>
      <c r="J491" s="33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</row>
    <row r="492">
      <c r="A492" s="30">
        <v>45664.0</v>
      </c>
      <c r="B492" s="16" t="s">
        <v>2893</v>
      </c>
      <c r="C492" s="16" t="s">
        <v>2894</v>
      </c>
      <c r="D492" s="16" t="s">
        <v>42</v>
      </c>
      <c r="E492" s="16" t="s">
        <v>2609</v>
      </c>
      <c r="F492" s="30">
        <v>45688.0</v>
      </c>
      <c r="G492" s="33"/>
      <c r="H492" s="33"/>
      <c r="I492" s="77" t="s">
        <v>2895</v>
      </c>
      <c r="J492" s="33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</row>
    <row r="493">
      <c r="A493" s="30">
        <v>45664.0</v>
      </c>
      <c r="B493" s="16" t="s">
        <v>2896</v>
      </c>
      <c r="C493" s="16" t="s">
        <v>2897</v>
      </c>
      <c r="D493" s="16" t="s">
        <v>122</v>
      </c>
      <c r="E493" s="16" t="s">
        <v>2673</v>
      </c>
      <c r="F493" s="30">
        <v>45653.0</v>
      </c>
      <c r="G493" s="33"/>
      <c r="H493" s="33"/>
      <c r="I493" s="33"/>
      <c r="J493" s="33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</row>
    <row r="494">
      <c r="A494" s="30">
        <v>45665.0</v>
      </c>
      <c r="B494" s="16" t="s">
        <v>2898</v>
      </c>
      <c r="C494" s="16" t="s">
        <v>2899</v>
      </c>
      <c r="D494" s="16" t="s">
        <v>65</v>
      </c>
      <c r="E494" s="16" t="s">
        <v>2900</v>
      </c>
      <c r="F494" s="30">
        <v>45689.0</v>
      </c>
      <c r="G494" s="33"/>
      <c r="H494" s="73" t="s">
        <v>2901</v>
      </c>
      <c r="I494" s="33"/>
      <c r="J494" s="33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</row>
    <row r="495">
      <c r="A495" s="30">
        <v>45667.0</v>
      </c>
      <c r="B495" s="16" t="s">
        <v>2902</v>
      </c>
      <c r="C495" s="16" t="s">
        <v>2903</v>
      </c>
      <c r="D495" s="16" t="s">
        <v>116</v>
      </c>
      <c r="E495" s="16" t="s">
        <v>2904</v>
      </c>
      <c r="F495" s="30">
        <v>45689.0</v>
      </c>
      <c r="G495" s="33"/>
      <c r="H495" s="73" t="s">
        <v>2905</v>
      </c>
      <c r="I495" s="33"/>
      <c r="J495" s="33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</row>
    <row r="496">
      <c r="A496" s="30">
        <v>45670.0</v>
      </c>
      <c r="B496" s="16" t="s">
        <v>2906</v>
      </c>
      <c r="C496" s="16" t="s">
        <v>2907</v>
      </c>
      <c r="D496" s="16" t="s">
        <v>128</v>
      </c>
      <c r="E496" s="16" t="s">
        <v>2908</v>
      </c>
      <c r="F496" s="30">
        <v>45689.0</v>
      </c>
      <c r="G496" s="33"/>
      <c r="H496" s="33"/>
      <c r="I496" s="73" t="s">
        <v>2909</v>
      </c>
      <c r="J496" s="33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</row>
    <row r="497">
      <c r="A497" s="30">
        <v>45671.0</v>
      </c>
      <c r="B497" s="16" t="s">
        <v>2910</v>
      </c>
      <c r="C497" s="16" t="s">
        <v>2911</v>
      </c>
      <c r="D497" s="16" t="s">
        <v>701</v>
      </c>
      <c r="E497" s="16" t="s">
        <v>211</v>
      </c>
      <c r="F497" s="30">
        <v>45689.0</v>
      </c>
      <c r="G497" s="33"/>
      <c r="H497" s="73" t="s">
        <v>2912</v>
      </c>
      <c r="I497" s="33"/>
      <c r="J497" s="33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</row>
    <row r="498">
      <c r="A498" s="30">
        <v>45673.0</v>
      </c>
      <c r="B498" s="80" t="s">
        <v>2913</v>
      </c>
      <c r="C498" s="80" t="s">
        <v>2914</v>
      </c>
      <c r="D498" s="80" t="s">
        <v>1934</v>
      </c>
      <c r="E498" s="80" t="s">
        <v>2915</v>
      </c>
      <c r="F498" s="30">
        <v>45689.0</v>
      </c>
      <c r="G498" s="33"/>
      <c r="H498" s="33"/>
      <c r="I498" s="33"/>
      <c r="J498" s="81" t="s">
        <v>2916</v>
      </c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</row>
    <row r="499">
      <c r="A499" s="30">
        <v>45673.0</v>
      </c>
      <c r="B499" s="80" t="s">
        <v>2917</v>
      </c>
      <c r="C499" s="80" t="s">
        <v>2918</v>
      </c>
      <c r="D499" s="80" t="s">
        <v>342</v>
      </c>
      <c r="E499" s="80" t="s">
        <v>2919</v>
      </c>
      <c r="F499" s="30">
        <v>45703.0</v>
      </c>
      <c r="G499" s="33"/>
      <c r="H499" s="33"/>
      <c r="I499" s="33"/>
      <c r="J499" s="81" t="s">
        <v>2920</v>
      </c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</row>
    <row r="500">
      <c r="A500" s="30">
        <v>45673.0</v>
      </c>
      <c r="B500" s="16" t="s">
        <v>2921</v>
      </c>
      <c r="C500" s="16" t="s">
        <v>2922</v>
      </c>
      <c r="D500" s="16" t="s">
        <v>342</v>
      </c>
      <c r="E500" s="16" t="s">
        <v>2513</v>
      </c>
      <c r="F500" s="30">
        <v>45689.0</v>
      </c>
      <c r="G500" s="33"/>
      <c r="H500" s="33"/>
      <c r="I500" s="73" t="s">
        <v>2923</v>
      </c>
      <c r="J500" s="33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</row>
    <row r="501">
      <c r="A501" s="30">
        <v>45672.0</v>
      </c>
      <c r="B501" s="16" t="s">
        <v>2924</v>
      </c>
      <c r="C501" s="16" t="s">
        <v>2925</v>
      </c>
      <c r="D501" s="16" t="s">
        <v>697</v>
      </c>
      <c r="E501" s="16" t="s">
        <v>2926</v>
      </c>
      <c r="F501" s="30">
        <v>45717.0</v>
      </c>
      <c r="G501" s="33"/>
      <c r="H501" s="73" t="s">
        <v>2927</v>
      </c>
      <c r="I501" s="33"/>
      <c r="J501" s="33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</row>
    <row r="502">
      <c r="A502" s="30">
        <v>45673.0</v>
      </c>
      <c r="B502" s="16" t="s">
        <v>2928</v>
      </c>
      <c r="C502" s="16" t="s">
        <v>2929</v>
      </c>
      <c r="D502" s="16" t="s">
        <v>342</v>
      </c>
      <c r="E502" s="16" t="s">
        <v>1228</v>
      </c>
      <c r="F502" s="30">
        <v>45748.0</v>
      </c>
      <c r="G502" s="33"/>
      <c r="H502" s="73" t="s">
        <v>2930</v>
      </c>
      <c r="I502" s="33"/>
      <c r="J502" s="33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</row>
    <row r="503">
      <c r="A503" s="30">
        <v>45674.0</v>
      </c>
      <c r="B503" s="16" t="s">
        <v>2931</v>
      </c>
      <c r="C503" s="16" t="s">
        <v>2932</v>
      </c>
      <c r="D503" s="16" t="s">
        <v>122</v>
      </c>
      <c r="E503" s="16" t="s">
        <v>2395</v>
      </c>
      <c r="F503" s="30">
        <v>45679.0</v>
      </c>
      <c r="G503" s="33"/>
      <c r="H503" s="33"/>
      <c r="I503" s="73" t="s">
        <v>2933</v>
      </c>
      <c r="J503" s="33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</row>
    <row r="504">
      <c r="A504" s="30">
        <v>45674.0</v>
      </c>
      <c r="B504" s="16" t="s">
        <v>2934</v>
      </c>
      <c r="C504" s="16" t="s">
        <v>2935</v>
      </c>
      <c r="D504" s="16" t="s">
        <v>173</v>
      </c>
      <c r="E504" s="16" t="s">
        <v>2620</v>
      </c>
      <c r="F504" s="30">
        <v>45689.0</v>
      </c>
      <c r="G504" s="33"/>
      <c r="H504" s="33"/>
      <c r="I504" s="73" t="s">
        <v>2936</v>
      </c>
      <c r="J504" s="33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</row>
    <row r="505">
      <c r="A505" s="30">
        <v>45674.0</v>
      </c>
      <c r="B505" s="16" t="s">
        <v>2937</v>
      </c>
      <c r="C505" s="16" t="s">
        <v>2938</v>
      </c>
      <c r="D505" s="16" t="s">
        <v>110</v>
      </c>
      <c r="E505" s="16" t="s">
        <v>2867</v>
      </c>
      <c r="F505" s="30">
        <v>45677.0</v>
      </c>
      <c r="G505" s="33"/>
      <c r="H505" s="33"/>
      <c r="I505" s="73" t="s">
        <v>2939</v>
      </c>
      <c r="J505" s="33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</row>
    <row r="506">
      <c r="A506" s="30">
        <v>45674.0</v>
      </c>
      <c r="B506" s="16" t="s">
        <v>2940</v>
      </c>
      <c r="C506" s="16" t="s">
        <v>2941</v>
      </c>
      <c r="D506" s="16" t="s">
        <v>697</v>
      </c>
      <c r="E506" s="16" t="s">
        <v>2942</v>
      </c>
      <c r="F506" s="40"/>
      <c r="G506" s="33"/>
      <c r="H506" s="73" t="s">
        <v>2943</v>
      </c>
      <c r="I506" s="33"/>
      <c r="J506" s="33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</row>
    <row r="507">
      <c r="A507" s="30">
        <v>45677.0</v>
      </c>
      <c r="B507" s="16" t="s">
        <v>2944</v>
      </c>
      <c r="C507" s="16" t="s">
        <v>2945</v>
      </c>
      <c r="D507" s="16" t="s">
        <v>1643</v>
      </c>
      <c r="E507" s="16" t="s">
        <v>1408</v>
      </c>
      <c r="F507" s="40"/>
      <c r="G507" s="33"/>
      <c r="H507" s="73" t="s">
        <v>2930</v>
      </c>
      <c r="I507" s="33"/>
      <c r="J507" s="33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</row>
    <row r="508">
      <c r="A508" s="30">
        <v>45678.0</v>
      </c>
      <c r="B508" s="16" t="s">
        <v>2946</v>
      </c>
      <c r="C508" s="16" t="s">
        <v>2947</v>
      </c>
      <c r="D508" s="16" t="s">
        <v>128</v>
      </c>
      <c r="E508" s="16" t="s">
        <v>2705</v>
      </c>
      <c r="F508" s="30">
        <v>45665.0</v>
      </c>
      <c r="G508" s="33"/>
      <c r="H508" s="33"/>
      <c r="I508" s="33"/>
      <c r="J508" s="33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</row>
    <row r="509">
      <c r="A509" s="30">
        <v>45679.0</v>
      </c>
      <c r="B509" s="16" t="s">
        <v>2948</v>
      </c>
      <c r="C509" s="16" t="s">
        <v>2949</v>
      </c>
      <c r="D509" s="16" t="s">
        <v>128</v>
      </c>
      <c r="E509" s="16" t="s">
        <v>2236</v>
      </c>
      <c r="F509" s="30">
        <v>45658.0</v>
      </c>
      <c r="G509" s="33"/>
      <c r="H509" s="33"/>
      <c r="I509" s="33"/>
      <c r="J509" s="33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</row>
    <row r="510">
      <c r="A510" s="30">
        <v>45679.0</v>
      </c>
      <c r="B510" s="16" t="s">
        <v>2950</v>
      </c>
      <c r="C510" s="16" t="s">
        <v>2951</v>
      </c>
      <c r="D510" s="16" t="s">
        <v>697</v>
      </c>
      <c r="E510" s="16" t="s">
        <v>2952</v>
      </c>
      <c r="F510" s="40"/>
      <c r="G510" s="33"/>
      <c r="H510" s="73" t="s">
        <v>2953</v>
      </c>
      <c r="I510" s="33"/>
      <c r="J510" s="33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</row>
    <row r="511">
      <c r="A511" s="30">
        <v>45680.0</v>
      </c>
      <c r="B511" s="16" t="s">
        <v>2954</v>
      </c>
      <c r="C511" s="16" t="s">
        <v>2955</v>
      </c>
      <c r="D511" s="16" t="s">
        <v>476</v>
      </c>
      <c r="E511" s="16" t="s">
        <v>2658</v>
      </c>
      <c r="F511" s="30">
        <v>45673.0</v>
      </c>
      <c r="G511" s="33"/>
      <c r="H511" s="33"/>
      <c r="I511" s="33"/>
      <c r="J511" s="33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</row>
    <row r="512">
      <c r="A512" s="30">
        <v>45680.0</v>
      </c>
      <c r="B512" s="16" t="s">
        <v>2956</v>
      </c>
      <c r="C512" s="16" t="s">
        <v>2957</v>
      </c>
      <c r="D512" s="16" t="s">
        <v>122</v>
      </c>
      <c r="E512" s="16" t="s">
        <v>2958</v>
      </c>
      <c r="F512" s="30">
        <v>45680.0</v>
      </c>
      <c r="G512" s="33"/>
      <c r="H512" s="33"/>
      <c r="I512" s="33"/>
      <c r="J512" s="33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</row>
    <row r="513">
      <c r="A513" s="30">
        <v>45681.0</v>
      </c>
      <c r="B513" s="16" t="s">
        <v>2959</v>
      </c>
      <c r="C513" s="16" t="s">
        <v>2960</v>
      </c>
      <c r="D513" s="16" t="s">
        <v>2961</v>
      </c>
      <c r="E513" s="16" t="s">
        <v>2962</v>
      </c>
      <c r="F513" s="30">
        <v>45681.0</v>
      </c>
      <c r="G513" s="33"/>
      <c r="H513" s="33"/>
      <c r="I513" s="73" t="s">
        <v>2963</v>
      </c>
      <c r="J513" s="33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</row>
    <row r="514">
      <c r="A514" s="30">
        <v>45681.0</v>
      </c>
      <c r="B514" s="16" t="s">
        <v>2964</v>
      </c>
      <c r="C514" s="16" t="s">
        <v>2965</v>
      </c>
      <c r="D514" s="16" t="s">
        <v>414</v>
      </c>
      <c r="E514" s="16" t="s">
        <v>2483</v>
      </c>
      <c r="F514" s="30">
        <v>45677.0</v>
      </c>
      <c r="G514" s="33"/>
      <c r="H514" s="33"/>
      <c r="I514" s="33"/>
      <c r="J514" s="33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</row>
    <row r="515">
      <c r="A515" s="30">
        <v>45681.0</v>
      </c>
      <c r="B515" s="16" t="s">
        <v>2966</v>
      </c>
      <c r="C515" s="16" t="s">
        <v>2967</v>
      </c>
      <c r="D515" s="16" t="s">
        <v>128</v>
      </c>
      <c r="E515" s="16" t="s">
        <v>2483</v>
      </c>
      <c r="F515" s="30">
        <v>45667.0</v>
      </c>
      <c r="G515" s="33"/>
      <c r="H515" s="33"/>
      <c r="I515" s="33"/>
      <c r="J515" s="33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</row>
    <row r="516">
      <c r="A516" s="30">
        <v>45681.0</v>
      </c>
      <c r="B516" s="16" t="s">
        <v>2968</v>
      </c>
      <c r="C516" s="16" t="s">
        <v>2969</v>
      </c>
      <c r="D516" s="16" t="s">
        <v>465</v>
      </c>
      <c r="E516" s="16" t="s">
        <v>2437</v>
      </c>
      <c r="F516" s="30">
        <v>45689.0</v>
      </c>
      <c r="G516" s="33"/>
      <c r="H516" s="33"/>
      <c r="I516" s="73" t="s">
        <v>2970</v>
      </c>
      <c r="J516" s="33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</row>
    <row r="517">
      <c r="A517" s="30">
        <v>45684.0</v>
      </c>
      <c r="B517" s="16" t="s">
        <v>2971</v>
      </c>
      <c r="C517" s="16" t="s">
        <v>2972</v>
      </c>
      <c r="D517" s="16" t="s">
        <v>128</v>
      </c>
      <c r="E517" s="16" t="s">
        <v>2392</v>
      </c>
      <c r="F517" s="30">
        <v>45676.0</v>
      </c>
      <c r="G517" s="33"/>
      <c r="H517" s="33"/>
      <c r="I517" s="33"/>
      <c r="J517" s="33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</row>
    <row r="518">
      <c r="A518" s="30">
        <v>45685.0</v>
      </c>
      <c r="B518" s="16" t="s">
        <v>2973</v>
      </c>
      <c r="C518" s="16" t="s">
        <v>2974</v>
      </c>
      <c r="D518" s="16" t="s">
        <v>173</v>
      </c>
      <c r="E518" s="16" t="s">
        <v>2975</v>
      </c>
      <c r="F518" s="40"/>
      <c r="G518" s="33"/>
      <c r="H518" s="73" t="s">
        <v>2976</v>
      </c>
      <c r="I518" s="33"/>
      <c r="J518" s="33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</row>
    <row r="519">
      <c r="A519" s="30">
        <v>45685.0</v>
      </c>
      <c r="B519" s="16" t="s">
        <v>2977</v>
      </c>
      <c r="C519" s="16" t="s">
        <v>2978</v>
      </c>
      <c r="D519" s="16" t="s">
        <v>2015</v>
      </c>
      <c r="E519" s="16" t="s">
        <v>2803</v>
      </c>
      <c r="F519" s="40"/>
      <c r="G519" s="33"/>
      <c r="H519" s="73" t="s">
        <v>2979</v>
      </c>
      <c r="I519" s="33"/>
      <c r="J519" s="33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</row>
    <row r="520">
      <c r="A520" s="30">
        <v>45685.0</v>
      </c>
      <c r="B520" s="16" t="s">
        <v>2980</v>
      </c>
      <c r="C520" s="16" t="s">
        <v>2981</v>
      </c>
      <c r="D520" s="16" t="s">
        <v>122</v>
      </c>
      <c r="E520" s="16" t="s">
        <v>2616</v>
      </c>
      <c r="F520" s="30">
        <v>45689.0</v>
      </c>
      <c r="G520" s="33"/>
      <c r="H520" s="33"/>
      <c r="I520" s="73" t="s">
        <v>2982</v>
      </c>
      <c r="J520" s="33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</row>
    <row r="521">
      <c r="A521" s="30">
        <v>45687.0</v>
      </c>
      <c r="B521" s="16" t="s">
        <v>2983</v>
      </c>
      <c r="C521" s="16" t="s">
        <v>2984</v>
      </c>
      <c r="D521" s="16" t="s">
        <v>636</v>
      </c>
      <c r="E521" s="16" t="s">
        <v>2985</v>
      </c>
      <c r="F521" s="30">
        <v>45716.0</v>
      </c>
      <c r="G521" s="33"/>
      <c r="H521" s="73" t="s">
        <v>2986</v>
      </c>
      <c r="I521" s="33"/>
      <c r="J521" s="33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</row>
    <row r="522">
      <c r="A522" s="30">
        <v>45687.0</v>
      </c>
      <c r="B522" s="16" t="s">
        <v>2987</v>
      </c>
      <c r="C522" s="16" t="s">
        <v>2988</v>
      </c>
      <c r="D522" s="16" t="s">
        <v>2989</v>
      </c>
      <c r="E522" s="16" t="s">
        <v>2990</v>
      </c>
      <c r="F522" s="30">
        <v>45677.0</v>
      </c>
      <c r="G522" s="33"/>
      <c r="H522" s="33"/>
      <c r="I522" s="73" t="s">
        <v>2991</v>
      </c>
      <c r="J522" s="33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</row>
    <row r="523">
      <c r="A523" s="30">
        <v>45688.0</v>
      </c>
      <c r="B523" s="16" t="s">
        <v>2992</v>
      </c>
      <c r="C523" s="16" t="s">
        <v>2993</v>
      </c>
      <c r="D523" s="16" t="s">
        <v>122</v>
      </c>
      <c r="E523" s="16" t="s">
        <v>2667</v>
      </c>
      <c r="F523" s="30">
        <v>45717.0</v>
      </c>
      <c r="G523" s="33"/>
      <c r="H523" s="33"/>
      <c r="I523" s="73" t="s">
        <v>2994</v>
      </c>
      <c r="J523" s="33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</row>
    <row r="524">
      <c r="A524" s="40"/>
      <c r="B524" s="16" t="s">
        <v>2995</v>
      </c>
      <c r="C524" s="16" t="s">
        <v>2996</v>
      </c>
      <c r="D524" s="16" t="s">
        <v>65</v>
      </c>
      <c r="E524" s="16" t="s">
        <v>1376</v>
      </c>
      <c r="F524" s="40"/>
      <c r="G524" s="33"/>
      <c r="H524" s="73" t="s">
        <v>2997</v>
      </c>
      <c r="I524" s="33"/>
      <c r="J524" s="33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</row>
    <row r="525">
      <c r="A525" s="30">
        <v>45688.0</v>
      </c>
      <c r="B525" s="16" t="s">
        <v>2998</v>
      </c>
      <c r="C525" s="16" t="s">
        <v>2999</v>
      </c>
      <c r="D525" s="16" t="s">
        <v>3000</v>
      </c>
      <c r="E525" s="16" t="s">
        <v>410</v>
      </c>
      <c r="F525" s="40"/>
      <c r="G525" s="33"/>
      <c r="H525" s="73" t="s">
        <v>3001</v>
      </c>
      <c r="I525" s="33"/>
      <c r="J525" s="33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</row>
    <row r="526">
      <c r="A526" s="30">
        <v>45693.0</v>
      </c>
      <c r="B526" s="16" t="s">
        <v>3002</v>
      </c>
      <c r="C526" s="16" t="s">
        <v>3003</v>
      </c>
      <c r="D526" s="16" t="s">
        <v>1091</v>
      </c>
      <c r="E526" s="82" t="s">
        <v>1652</v>
      </c>
      <c r="F526" s="30">
        <v>45688.0</v>
      </c>
      <c r="G526" s="33"/>
      <c r="H526" s="33"/>
      <c r="I526" s="33"/>
      <c r="J526" s="81" t="s">
        <v>3004</v>
      </c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</row>
    <row r="527">
      <c r="A527" s="30">
        <v>45693.0</v>
      </c>
      <c r="B527" s="16" t="s">
        <v>3005</v>
      </c>
      <c r="C527" s="16" t="s">
        <v>3006</v>
      </c>
      <c r="D527" s="16" t="s">
        <v>153</v>
      </c>
      <c r="E527" s="16" t="s">
        <v>3007</v>
      </c>
      <c r="F527" s="40"/>
      <c r="G527" s="33"/>
      <c r="H527" s="33"/>
      <c r="I527" s="73" t="s">
        <v>3008</v>
      </c>
      <c r="J527" s="33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</row>
    <row r="528">
      <c r="A528" s="30">
        <v>45693.0</v>
      </c>
      <c r="B528" s="16" t="s">
        <v>3009</v>
      </c>
      <c r="C528" s="16" t="s">
        <v>3010</v>
      </c>
      <c r="D528" s="16" t="s">
        <v>122</v>
      </c>
      <c r="E528" s="16" t="s">
        <v>3011</v>
      </c>
      <c r="F528" s="83"/>
      <c r="G528" s="33"/>
      <c r="H528" s="33"/>
      <c r="I528" s="33"/>
      <c r="J528" s="33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</row>
    <row r="529">
      <c r="A529" s="30">
        <v>45693.0</v>
      </c>
      <c r="B529" s="16" t="s">
        <v>3012</v>
      </c>
      <c r="C529" s="16" t="s">
        <v>3013</v>
      </c>
      <c r="D529" s="16" t="s">
        <v>122</v>
      </c>
      <c r="E529" s="16" t="s">
        <v>2658</v>
      </c>
      <c r="F529" s="83"/>
      <c r="G529" s="33"/>
      <c r="H529" s="33"/>
      <c r="I529" s="33"/>
      <c r="J529" s="33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</row>
    <row r="530">
      <c r="A530" s="30">
        <v>45693.0</v>
      </c>
      <c r="B530" s="16" t="s">
        <v>3014</v>
      </c>
      <c r="C530" s="16" t="s">
        <v>3015</v>
      </c>
      <c r="D530" s="16" t="s">
        <v>3016</v>
      </c>
      <c r="E530" s="16" t="s">
        <v>2730</v>
      </c>
      <c r="F530" s="40"/>
      <c r="G530" s="33"/>
      <c r="H530" s="73" t="s">
        <v>3017</v>
      </c>
      <c r="I530" s="33"/>
      <c r="J530" s="33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</row>
    <row r="531">
      <c r="A531" s="30">
        <v>45693.0</v>
      </c>
      <c r="B531" s="16" t="s">
        <v>3018</v>
      </c>
      <c r="C531" s="16" t="s">
        <v>3019</v>
      </c>
      <c r="D531" s="16" t="s">
        <v>173</v>
      </c>
      <c r="E531" s="16" t="s">
        <v>702</v>
      </c>
      <c r="F531" s="40"/>
      <c r="G531" s="33"/>
      <c r="H531" s="73" t="s">
        <v>3020</v>
      </c>
      <c r="I531" s="33"/>
      <c r="J531" s="33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</row>
    <row r="532">
      <c r="A532" s="30">
        <v>45693.0</v>
      </c>
      <c r="B532" s="16" t="s">
        <v>3021</v>
      </c>
      <c r="C532" s="35" t="s">
        <v>2172</v>
      </c>
      <c r="D532" s="35" t="s">
        <v>231</v>
      </c>
      <c r="E532" s="35" t="s">
        <v>2173</v>
      </c>
      <c r="F532" s="40"/>
      <c r="G532" s="33"/>
      <c r="H532" s="73" t="s">
        <v>3022</v>
      </c>
      <c r="I532" s="33"/>
      <c r="J532" s="33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</row>
    <row r="533">
      <c r="A533" s="30">
        <v>45693.0</v>
      </c>
      <c r="B533" s="16" t="s">
        <v>3023</v>
      </c>
      <c r="C533" s="16" t="s">
        <v>3024</v>
      </c>
      <c r="D533" s="16" t="s">
        <v>207</v>
      </c>
      <c r="E533" s="16" t="s">
        <v>3025</v>
      </c>
      <c r="F533" s="42"/>
      <c r="G533" s="33"/>
      <c r="H533" s="73"/>
      <c r="I533" s="73" t="s">
        <v>3026</v>
      </c>
      <c r="J533" s="33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</row>
    <row r="534">
      <c r="A534" s="30">
        <v>45694.0</v>
      </c>
      <c r="B534" s="16" t="s">
        <v>3027</v>
      </c>
      <c r="C534" s="16" t="s">
        <v>3028</v>
      </c>
      <c r="D534" s="16" t="s">
        <v>362</v>
      </c>
      <c r="E534" s="16" t="s">
        <v>3029</v>
      </c>
      <c r="F534" s="42"/>
      <c r="G534" s="33"/>
      <c r="H534" s="33"/>
      <c r="I534" s="73" t="s">
        <v>3030</v>
      </c>
      <c r="J534" s="33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</row>
    <row r="535">
      <c r="A535" s="30">
        <v>45694.0</v>
      </c>
      <c r="B535" s="16" t="s">
        <v>3031</v>
      </c>
      <c r="C535" s="16" t="s">
        <v>3032</v>
      </c>
      <c r="D535" s="16" t="s">
        <v>682</v>
      </c>
      <c r="E535" s="16" t="s">
        <v>3033</v>
      </c>
      <c r="F535" s="40"/>
      <c r="G535" s="33"/>
      <c r="H535" s="73" t="s">
        <v>3034</v>
      </c>
      <c r="I535" s="33"/>
      <c r="J535" s="33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</row>
    <row r="536">
      <c r="A536" s="30">
        <v>45694.0</v>
      </c>
      <c r="B536" s="16" t="s">
        <v>3035</v>
      </c>
      <c r="C536" s="16" t="s">
        <v>3036</v>
      </c>
      <c r="D536" s="16" t="s">
        <v>59</v>
      </c>
      <c r="E536" s="16" t="s">
        <v>410</v>
      </c>
      <c r="F536" s="40"/>
      <c r="G536" s="33"/>
      <c r="H536" s="73" t="s">
        <v>3037</v>
      </c>
      <c r="I536" s="33"/>
      <c r="J536" s="33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</row>
    <row r="537">
      <c r="A537" s="30">
        <v>45698.0</v>
      </c>
      <c r="B537" s="16" t="s">
        <v>3038</v>
      </c>
      <c r="C537" s="16" t="s">
        <v>3039</v>
      </c>
      <c r="D537" s="16" t="s">
        <v>3040</v>
      </c>
      <c r="E537" s="16" t="s">
        <v>3041</v>
      </c>
      <c r="F537" s="40"/>
      <c r="G537" s="33"/>
      <c r="H537" s="73" t="s">
        <v>3042</v>
      </c>
      <c r="I537" s="33"/>
      <c r="J537" s="33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</row>
    <row r="538">
      <c r="A538" s="30">
        <v>45699.0</v>
      </c>
      <c r="B538" s="16" t="s">
        <v>3043</v>
      </c>
      <c r="C538" s="16" t="s">
        <v>3044</v>
      </c>
      <c r="D538" s="16" t="s">
        <v>128</v>
      </c>
      <c r="E538" s="16" t="s">
        <v>2455</v>
      </c>
      <c r="F538" s="40"/>
      <c r="G538" s="33"/>
      <c r="H538" s="33"/>
      <c r="I538" s="73" t="s">
        <v>3045</v>
      </c>
      <c r="J538" s="33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</row>
    <row r="539">
      <c r="A539" s="30">
        <v>45699.0</v>
      </c>
      <c r="B539" s="16" t="s">
        <v>3046</v>
      </c>
      <c r="C539" s="16" t="s">
        <v>3047</v>
      </c>
      <c r="D539" s="16" t="s">
        <v>173</v>
      </c>
      <c r="E539" s="16" t="s">
        <v>3048</v>
      </c>
      <c r="F539" s="40"/>
      <c r="G539" s="33"/>
      <c r="H539" s="33"/>
      <c r="I539" s="73" t="s">
        <v>3049</v>
      </c>
      <c r="J539" s="33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</row>
    <row r="540">
      <c r="A540" s="30">
        <v>45701.0</v>
      </c>
      <c r="B540" s="16" t="s">
        <v>3050</v>
      </c>
      <c r="C540" s="16" t="s">
        <v>3051</v>
      </c>
      <c r="D540" s="16" t="s">
        <v>1149</v>
      </c>
      <c r="E540" s="16" t="s">
        <v>1644</v>
      </c>
      <c r="F540" s="40"/>
      <c r="G540" s="33"/>
      <c r="H540" s="73" t="s">
        <v>3052</v>
      </c>
      <c r="I540" s="33"/>
      <c r="J540" s="33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</row>
    <row r="541">
      <c r="A541" s="30">
        <v>45706.0</v>
      </c>
      <c r="B541" s="16" t="s">
        <v>3053</v>
      </c>
      <c r="C541" s="16" t="s">
        <v>3054</v>
      </c>
      <c r="D541" s="16" t="s">
        <v>476</v>
      </c>
      <c r="E541" s="16" t="s">
        <v>3055</v>
      </c>
      <c r="F541" s="42"/>
      <c r="G541" s="33"/>
      <c r="H541" s="33"/>
      <c r="I541" s="73" t="s">
        <v>3056</v>
      </c>
      <c r="J541" s="33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</row>
    <row r="542">
      <c r="A542" s="30">
        <v>45706.0</v>
      </c>
      <c r="B542" s="16" t="s">
        <v>3057</v>
      </c>
      <c r="C542" s="16" t="s">
        <v>3058</v>
      </c>
      <c r="D542" s="16" t="s">
        <v>153</v>
      </c>
      <c r="E542" s="16" t="s">
        <v>3059</v>
      </c>
      <c r="F542" s="42"/>
      <c r="G542" s="33"/>
      <c r="H542" s="33"/>
      <c r="I542" s="73" t="s">
        <v>3060</v>
      </c>
      <c r="J542" s="33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</row>
    <row r="543">
      <c r="A543" s="30">
        <v>45706.0</v>
      </c>
      <c r="B543" s="16" t="s">
        <v>3061</v>
      </c>
      <c r="C543" s="16" t="s">
        <v>3062</v>
      </c>
      <c r="D543" s="16" t="s">
        <v>128</v>
      </c>
      <c r="E543" s="16" t="s">
        <v>2392</v>
      </c>
      <c r="F543" s="42"/>
      <c r="G543" s="33"/>
      <c r="H543" s="33"/>
      <c r="I543" s="33"/>
      <c r="J543" s="33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</row>
    <row r="544">
      <c r="A544" s="30">
        <v>45707.0</v>
      </c>
      <c r="B544" s="16" t="s">
        <v>3063</v>
      </c>
      <c r="C544" s="16" t="s">
        <v>3064</v>
      </c>
      <c r="D544" s="16" t="s">
        <v>42</v>
      </c>
      <c r="E544" s="16" t="s">
        <v>3065</v>
      </c>
      <c r="F544" s="40"/>
      <c r="G544" s="33"/>
      <c r="H544" s="33"/>
      <c r="I544" s="73" t="s">
        <v>3066</v>
      </c>
      <c r="J544" s="33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</row>
    <row r="545">
      <c r="A545" s="30">
        <v>45707.0</v>
      </c>
      <c r="B545" s="16" t="s">
        <v>3067</v>
      </c>
      <c r="C545" s="16" t="s">
        <v>3068</v>
      </c>
      <c r="D545" s="16" t="s">
        <v>42</v>
      </c>
      <c r="E545" s="16" t="s">
        <v>3055</v>
      </c>
      <c r="F545" s="40"/>
      <c r="G545" s="33"/>
      <c r="H545" s="33"/>
      <c r="I545" s="73" t="s">
        <v>3069</v>
      </c>
      <c r="J545" s="33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</row>
    <row r="546">
      <c r="A546" s="30">
        <v>45707.0</v>
      </c>
      <c r="B546" s="16" t="s">
        <v>3070</v>
      </c>
      <c r="C546" s="16" t="s">
        <v>3071</v>
      </c>
      <c r="D546" s="16" t="s">
        <v>3072</v>
      </c>
      <c r="E546" s="16" t="s">
        <v>3073</v>
      </c>
      <c r="F546" s="30">
        <v>45717.0</v>
      </c>
      <c r="G546" s="33"/>
      <c r="H546" s="33"/>
      <c r="I546" s="33"/>
      <c r="J546" s="81" t="s">
        <v>3074</v>
      </c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</row>
    <row r="547">
      <c r="A547" s="30">
        <v>45707.0</v>
      </c>
      <c r="B547" s="16" t="s">
        <v>3075</v>
      </c>
      <c r="C547" s="16" t="s">
        <v>3076</v>
      </c>
      <c r="D547" s="16" t="s">
        <v>128</v>
      </c>
      <c r="E547" s="16" t="s">
        <v>2384</v>
      </c>
      <c r="F547" s="40"/>
      <c r="G547" s="33"/>
      <c r="H547" s="33"/>
      <c r="I547" s="73" t="s">
        <v>3077</v>
      </c>
      <c r="J547" s="33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</row>
    <row r="548">
      <c r="A548" s="30">
        <v>45709.0</v>
      </c>
      <c r="B548" s="16" t="s">
        <v>3078</v>
      </c>
      <c r="C548" s="16" t="s">
        <v>3079</v>
      </c>
      <c r="D548" s="16" t="s">
        <v>110</v>
      </c>
      <c r="E548" s="16" t="s">
        <v>111</v>
      </c>
      <c r="F548" s="40"/>
      <c r="G548" s="33"/>
      <c r="H548" s="33"/>
      <c r="I548" s="33"/>
      <c r="J548" s="33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</row>
    <row r="549">
      <c r="A549" s="30">
        <v>45709.0</v>
      </c>
      <c r="B549" s="16" t="s">
        <v>3080</v>
      </c>
      <c r="C549" s="16" t="s">
        <v>3081</v>
      </c>
      <c r="D549" s="16" t="s">
        <v>128</v>
      </c>
      <c r="E549" s="16" t="s">
        <v>2499</v>
      </c>
      <c r="F549" s="40"/>
      <c r="G549" s="33"/>
      <c r="H549" s="33"/>
      <c r="I549" s="33"/>
      <c r="J549" s="33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</row>
    <row r="550">
      <c r="A550" s="30">
        <v>45712.0</v>
      </c>
      <c r="B550" s="16" t="s">
        <v>3082</v>
      </c>
      <c r="C550" s="16" t="s">
        <v>3083</v>
      </c>
      <c r="D550" s="16" t="s">
        <v>122</v>
      </c>
      <c r="E550" s="16" t="s">
        <v>2609</v>
      </c>
      <c r="F550" s="40"/>
      <c r="G550" s="33"/>
      <c r="H550" s="33"/>
      <c r="I550" s="33"/>
      <c r="J550" s="33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</row>
    <row r="551">
      <c r="A551" s="30">
        <v>45712.0</v>
      </c>
      <c r="B551" s="16" t="s">
        <v>3084</v>
      </c>
      <c r="C551" s="16" t="s">
        <v>3085</v>
      </c>
      <c r="D551" s="16" t="s">
        <v>42</v>
      </c>
      <c r="E551" s="16" t="s">
        <v>2609</v>
      </c>
      <c r="F551" s="40"/>
      <c r="G551" s="33"/>
      <c r="H551" s="33"/>
      <c r="I551" s="33"/>
      <c r="J551" s="33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</row>
    <row r="552">
      <c r="A552" s="30">
        <v>45712.0</v>
      </c>
      <c r="B552" s="16" t="s">
        <v>3086</v>
      </c>
      <c r="C552" s="16" t="s">
        <v>3087</v>
      </c>
      <c r="D552" s="16" t="s">
        <v>42</v>
      </c>
      <c r="E552" s="16" t="s">
        <v>158</v>
      </c>
      <c r="F552" s="40"/>
      <c r="G552" s="33"/>
      <c r="H552" s="33"/>
      <c r="I552" s="73" t="s">
        <v>3088</v>
      </c>
      <c r="J552" s="33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</row>
    <row r="553">
      <c r="A553" s="30">
        <v>45713.0</v>
      </c>
      <c r="B553" s="16" t="s">
        <v>3089</v>
      </c>
      <c r="C553" s="16" t="s">
        <v>3090</v>
      </c>
      <c r="D553" s="16" t="s">
        <v>42</v>
      </c>
      <c r="E553" s="16" t="s">
        <v>2380</v>
      </c>
      <c r="F553" s="40"/>
      <c r="G553" s="33"/>
      <c r="H553" s="33"/>
      <c r="I553" s="33"/>
      <c r="J553" s="33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</row>
    <row r="554">
      <c r="A554" s="30">
        <v>45715.0</v>
      </c>
      <c r="B554" s="16" t="s">
        <v>3091</v>
      </c>
      <c r="C554" s="16" t="s">
        <v>3092</v>
      </c>
      <c r="D554" s="16" t="s">
        <v>271</v>
      </c>
      <c r="E554" s="16" t="s">
        <v>2244</v>
      </c>
      <c r="F554" s="40"/>
      <c r="G554" s="33"/>
      <c r="H554" s="73" t="s">
        <v>3093</v>
      </c>
      <c r="I554" s="33"/>
      <c r="J554" s="33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</row>
    <row r="555">
      <c r="A555" s="30">
        <v>45716.0</v>
      </c>
      <c r="B555" s="16" t="s">
        <v>3094</v>
      </c>
      <c r="C555" s="16" t="s">
        <v>3095</v>
      </c>
      <c r="D555" s="16" t="s">
        <v>116</v>
      </c>
      <c r="E555" s="16" t="s">
        <v>3096</v>
      </c>
      <c r="F555" s="40"/>
      <c r="G555" s="33"/>
      <c r="H555" s="73" t="s">
        <v>3097</v>
      </c>
      <c r="I555" s="33"/>
      <c r="J555" s="33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</row>
    <row r="556">
      <c r="A556" s="30">
        <v>45716.0</v>
      </c>
      <c r="B556" s="16" t="s">
        <v>3098</v>
      </c>
      <c r="C556" s="16" t="s">
        <v>3099</v>
      </c>
      <c r="D556" s="16" t="s">
        <v>116</v>
      </c>
      <c r="E556" s="16" t="s">
        <v>3096</v>
      </c>
      <c r="F556" s="40"/>
      <c r="G556" s="33"/>
      <c r="H556" s="73" t="s">
        <v>3100</v>
      </c>
      <c r="I556" s="33"/>
      <c r="J556" s="33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</row>
    <row r="557">
      <c r="A557" s="30">
        <v>45716.0</v>
      </c>
      <c r="B557" s="16" t="s">
        <v>3101</v>
      </c>
      <c r="C557" s="16" t="s">
        <v>3102</v>
      </c>
      <c r="D557" s="16" t="s">
        <v>122</v>
      </c>
      <c r="E557" s="16" t="s">
        <v>582</v>
      </c>
      <c r="F557" s="40"/>
      <c r="G557" s="33"/>
      <c r="H557" s="33"/>
      <c r="I557" s="73" t="s">
        <v>3103</v>
      </c>
      <c r="J557" s="33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</row>
    <row r="558">
      <c r="A558" s="30">
        <v>45716.0</v>
      </c>
      <c r="B558" s="16" t="s">
        <v>3104</v>
      </c>
      <c r="C558" s="16" t="s">
        <v>3105</v>
      </c>
      <c r="D558" s="16" t="s">
        <v>128</v>
      </c>
      <c r="E558" s="16" t="s">
        <v>2395</v>
      </c>
      <c r="F558" s="40"/>
      <c r="G558" s="33"/>
      <c r="H558" s="33"/>
      <c r="I558" s="73" t="s">
        <v>3106</v>
      </c>
      <c r="J558" s="33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</row>
    <row r="559">
      <c r="A559" s="30">
        <v>45719.0</v>
      </c>
      <c r="B559" s="16" t="s">
        <v>3107</v>
      </c>
      <c r="C559" s="16" t="s">
        <v>3108</v>
      </c>
      <c r="D559" s="16" t="s">
        <v>101</v>
      </c>
      <c r="E559" s="16" t="s">
        <v>2803</v>
      </c>
      <c r="F559" s="40"/>
      <c r="G559" s="33"/>
      <c r="H559" s="33"/>
      <c r="I559" s="33"/>
      <c r="J559" s="33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</row>
    <row r="560">
      <c r="A560" s="30">
        <v>45719.0</v>
      </c>
      <c r="B560" s="16" t="s">
        <v>3109</v>
      </c>
      <c r="C560" s="16" t="s">
        <v>3110</v>
      </c>
      <c r="D560" s="16" t="s">
        <v>3111</v>
      </c>
      <c r="E560" s="16" t="s">
        <v>673</v>
      </c>
      <c r="F560" s="40"/>
      <c r="G560" s="33"/>
      <c r="H560" s="73" t="s">
        <v>3112</v>
      </c>
      <c r="I560" s="33"/>
      <c r="J560" s="33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</row>
    <row r="561">
      <c r="A561" s="30">
        <v>45720.0</v>
      </c>
      <c r="B561" s="16" t="s">
        <v>3113</v>
      </c>
      <c r="C561" s="16" t="s">
        <v>3114</v>
      </c>
      <c r="D561" s="16" t="s">
        <v>122</v>
      </c>
      <c r="E561" s="16" t="s">
        <v>2499</v>
      </c>
      <c r="F561" s="40"/>
      <c r="G561" s="33"/>
      <c r="H561" s="33"/>
      <c r="I561" s="33"/>
      <c r="J561" s="33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</row>
    <row r="562">
      <c r="A562" s="30">
        <v>45720.0</v>
      </c>
      <c r="B562" s="16" t="s">
        <v>3115</v>
      </c>
      <c r="C562" s="16" t="s">
        <v>3116</v>
      </c>
      <c r="D562" s="16" t="s">
        <v>122</v>
      </c>
      <c r="E562" s="16" t="s">
        <v>2810</v>
      </c>
      <c r="F562" s="40"/>
      <c r="G562" s="33"/>
      <c r="H562" s="33"/>
      <c r="I562" s="33"/>
      <c r="J562" s="33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</row>
    <row r="563">
      <c r="A563" s="30">
        <v>45720.0</v>
      </c>
      <c r="B563" s="16" t="s">
        <v>3117</v>
      </c>
      <c r="C563" s="16" t="s">
        <v>3118</v>
      </c>
      <c r="D563" s="16" t="s">
        <v>122</v>
      </c>
      <c r="E563" s="16" t="s">
        <v>2810</v>
      </c>
      <c r="F563" s="40"/>
      <c r="G563" s="33"/>
      <c r="H563" s="33"/>
      <c r="I563" s="73" t="s">
        <v>3119</v>
      </c>
      <c r="J563" s="33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</row>
    <row r="564">
      <c r="A564" s="30">
        <v>45722.0</v>
      </c>
      <c r="B564" s="16" t="s">
        <v>3120</v>
      </c>
      <c r="C564" s="16" t="s">
        <v>3121</v>
      </c>
      <c r="D564" s="82" t="s">
        <v>362</v>
      </c>
      <c r="E564" s="84" t="s">
        <v>3122</v>
      </c>
      <c r="F564" s="40"/>
      <c r="G564" s="33"/>
      <c r="H564" s="73" t="s">
        <v>3123</v>
      </c>
      <c r="I564" s="33"/>
      <c r="J564" s="33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</row>
    <row r="565">
      <c r="A565" s="30">
        <v>45726.0</v>
      </c>
      <c r="B565" s="16" t="s">
        <v>3124</v>
      </c>
      <c r="C565" s="16" t="s">
        <v>3125</v>
      </c>
      <c r="D565" s="16" t="s">
        <v>153</v>
      </c>
      <c r="E565" s="16" t="s">
        <v>1598</v>
      </c>
      <c r="F565" s="40"/>
      <c r="G565" s="33"/>
      <c r="H565" s="73" t="s">
        <v>3126</v>
      </c>
      <c r="I565" s="33"/>
      <c r="J565" s="33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</row>
    <row r="566">
      <c r="A566" s="30">
        <v>45726.0</v>
      </c>
      <c r="B566" s="16" t="s">
        <v>3127</v>
      </c>
      <c r="C566" s="16" t="s">
        <v>3128</v>
      </c>
      <c r="D566" s="16" t="s">
        <v>116</v>
      </c>
      <c r="E566" s="16" t="s">
        <v>3129</v>
      </c>
      <c r="F566" s="40"/>
      <c r="G566" s="33"/>
      <c r="H566" s="73" t="s">
        <v>3130</v>
      </c>
      <c r="I566" s="33"/>
      <c r="J566" s="33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</row>
    <row r="567">
      <c r="A567" s="30">
        <v>45726.0</v>
      </c>
      <c r="B567" s="16" t="s">
        <v>3131</v>
      </c>
      <c r="C567" s="16" t="s">
        <v>3132</v>
      </c>
      <c r="D567" s="16" t="s">
        <v>128</v>
      </c>
      <c r="E567" s="16" t="s">
        <v>2499</v>
      </c>
      <c r="F567" s="40"/>
      <c r="G567" s="33"/>
      <c r="H567" s="33"/>
      <c r="I567" s="73" t="s">
        <v>3133</v>
      </c>
      <c r="J567" s="33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</row>
    <row r="568">
      <c r="A568" s="30">
        <v>45726.0</v>
      </c>
      <c r="B568" s="16" t="s">
        <v>3134</v>
      </c>
      <c r="C568" s="16" t="s">
        <v>3135</v>
      </c>
      <c r="D568" s="16" t="s">
        <v>303</v>
      </c>
      <c r="E568" s="16" t="s">
        <v>3136</v>
      </c>
      <c r="F568" s="40"/>
      <c r="G568" s="33"/>
      <c r="H568" s="33"/>
      <c r="I568" s="73" t="s">
        <v>3137</v>
      </c>
      <c r="J568" s="33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</row>
    <row r="569">
      <c r="A569" s="30">
        <v>45727.0</v>
      </c>
      <c r="B569" s="16" t="s">
        <v>3138</v>
      </c>
      <c r="C569" s="16" t="s">
        <v>3139</v>
      </c>
      <c r="D569" s="16" t="s">
        <v>444</v>
      </c>
      <c r="E569" s="16" t="s">
        <v>3140</v>
      </c>
      <c r="F569" s="40"/>
      <c r="G569" s="33"/>
      <c r="H569" s="33"/>
      <c r="I569" s="73" t="s">
        <v>3141</v>
      </c>
      <c r="J569" s="33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</row>
    <row r="570">
      <c r="A570" s="30">
        <v>45733.0</v>
      </c>
      <c r="B570" s="16" t="s">
        <v>3142</v>
      </c>
      <c r="C570" s="16" t="s">
        <v>3143</v>
      </c>
      <c r="D570" s="16" t="s">
        <v>380</v>
      </c>
      <c r="E570" s="16" t="s">
        <v>3144</v>
      </c>
      <c r="F570" s="40"/>
      <c r="G570" s="33"/>
      <c r="H570" s="33"/>
      <c r="I570" s="73" t="s">
        <v>3145</v>
      </c>
      <c r="J570" s="33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</row>
    <row r="571">
      <c r="A571" s="30">
        <v>45733.0</v>
      </c>
      <c r="B571" s="16" t="s">
        <v>3146</v>
      </c>
      <c r="C571" s="16" t="s">
        <v>3147</v>
      </c>
      <c r="D571" s="16" t="s">
        <v>414</v>
      </c>
      <c r="E571" s="16" t="s">
        <v>2698</v>
      </c>
      <c r="F571" s="40"/>
      <c r="G571" s="33"/>
      <c r="H571" s="33"/>
      <c r="I571" s="73" t="s">
        <v>3148</v>
      </c>
      <c r="J571" s="33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</row>
    <row r="572">
      <c r="A572" s="30">
        <v>45734.0</v>
      </c>
      <c r="B572" s="16" t="s">
        <v>3149</v>
      </c>
      <c r="C572" s="16" t="s">
        <v>3150</v>
      </c>
      <c r="D572" s="16" t="s">
        <v>122</v>
      </c>
      <c r="E572" s="16" t="s">
        <v>2822</v>
      </c>
      <c r="F572" s="40"/>
      <c r="G572" s="33"/>
      <c r="H572" s="33"/>
      <c r="I572" s="73" t="s">
        <v>3151</v>
      </c>
      <c r="J572" s="33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</row>
    <row r="573">
      <c r="A573" s="30">
        <v>45733.0</v>
      </c>
      <c r="B573" s="16" t="s">
        <v>3152</v>
      </c>
      <c r="C573" s="16" t="s">
        <v>3153</v>
      </c>
      <c r="D573" s="16" t="s">
        <v>636</v>
      </c>
      <c r="E573" s="16" t="s">
        <v>3154</v>
      </c>
      <c r="F573" s="40"/>
      <c r="G573" s="33"/>
      <c r="H573" s="73" t="s">
        <v>3155</v>
      </c>
      <c r="I573" s="33"/>
      <c r="J573" s="33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</row>
    <row r="574">
      <c r="A574" s="30">
        <v>45733.0</v>
      </c>
      <c r="B574" s="35"/>
      <c r="C574" s="16" t="s">
        <v>3156</v>
      </c>
      <c r="D574" s="35"/>
      <c r="E574" s="35"/>
      <c r="F574" s="40"/>
      <c r="G574" s="33"/>
      <c r="H574" s="73" t="s">
        <v>3157</v>
      </c>
      <c r="I574" s="33"/>
      <c r="J574" s="33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</row>
    <row r="575">
      <c r="A575" s="30">
        <v>45733.0</v>
      </c>
      <c r="B575" s="35"/>
      <c r="C575" s="16" t="s">
        <v>3158</v>
      </c>
      <c r="D575" s="35"/>
      <c r="E575" s="35"/>
      <c r="F575" s="40"/>
      <c r="G575" s="33"/>
      <c r="H575" s="73" t="s">
        <v>3159</v>
      </c>
      <c r="I575" s="33"/>
      <c r="J575" s="33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</row>
    <row r="576">
      <c r="A576" s="30">
        <v>45735.0</v>
      </c>
      <c r="B576" s="16" t="s">
        <v>3160</v>
      </c>
      <c r="C576" s="16" t="s">
        <v>3161</v>
      </c>
      <c r="D576" s="16" t="s">
        <v>65</v>
      </c>
      <c r="E576" s="16" t="s">
        <v>314</v>
      </c>
      <c r="F576" s="40"/>
      <c r="G576" s="33"/>
      <c r="H576" s="73" t="s">
        <v>3162</v>
      </c>
      <c r="I576" s="33"/>
      <c r="J576" s="33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</row>
    <row r="577">
      <c r="A577" s="30">
        <v>45737.0</v>
      </c>
      <c r="B577" s="35"/>
      <c r="C577" s="16" t="s">
        <v>3163</v>
      </c>
      <c r="D577" s="35"/>
      <c r="E577" s="35"/>
      <c r="F577" s="40"/>
      <c r="G577" s="33"/>
      <c r="H577" s="73" t="s">
        <v>3164</v>
      </c>
      <c r="I577" s="33"/>
      <c r="J577" s="33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</row>
    <row r="578">
      <c r="A578" s="30">
        <v>45737.0</v>
      </c>
      <c r="B578" s="16" t="s">
        <v>3165</v>
      </c>
      <c r="C578" s="16" t="s">
        <v>3166</v>
      </c>
      <c r="D578" s="16" t="s">
        <v>173</v>
      </c>
      <c r="E578" s="16" t="s">
        <v>334</v>
      </c>
      <c r="F578" s="40"/>
      <c r="G578" s="33"/>
      <c r="H578" s="73" t="s">
        <v>3167</v>
      </c>
      <c r="I578" s="33"/>
      <c r="J578" s="33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</row>
    <row r="579">
      <c r="A579" s="30">
        <v>45737.0</v>
      </c>
      <c r="B579" s="16" t="s">
        <v>3168</v>
      </c>
      <c r="C579" s="16" t="s">
        <v>3169</v>
      </c>
      <c r="D579" s="16" t="s">
        <v>1104</v>
      </c>
      <c r="E579" s="16" t="s">
        <v>3170</v>
      </c>
      <c r="F579" s="40"/>
      <c r="G579" s="33"/>
      <c r="H579" s="73" t="s">
        <v>3171</v>
      </c>
      <c r="I579" s="33"/>
      <c r="J579" s="33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</row>
    <row r="580">
      <c r="A580" s="30">
        <v>45740.0</v>
      </c>
      <c r="B580" s="16" t="s">
        <v>967</v>
      </c>
      <c r="C580" s="16" t="s">
        <v>968</v>
      </c>
      <c r="D580" s="16" t="s">
        <v>122</v>
      </c>
      <c r="E580" s="16" t="s">
        <v>2757</v>
      </c>
      <c r="F580" s="40"/>
      <c r="G580" s="33"/>
      <c r="H580" s="33"/>
      <c r="I580" s="85" t="s">
        <v>3172</v>
      </c>
      <c r="J580" s="33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</row>
    <row r="581">
      <c r="A581" s="30">
        <v>45740.0</v>
      </c>
      <c r="B581" s="16" t="s">
        <v>3173</v>
      </c>
      <c r="C581" s="16" t="s">
        <v>3174</v>
      </c>
      <c r="D581" s="16" t="s">
        <v>153</v>
      </c>
      <c r="E581" s="16" t="s">
        <v>3175</v>
      </c>
      <c r="F581" s="40"/>
      <c r="G581" s="33"/>
      <c r="H581" s="73" t="s">
        <v>3176</v>
      </c>
      <c r="I581" s="33"/>
      <c r="J581" s="33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</row>
    <row r="582">
      <c r="A582" s="30">
        <v>45747.0</v>
      </c>
      <c r="B582" s="16" t="s">
        <v>3177</v>
      </c>
      <c r="C582" s="16" t="s">
        <v>3178</v>
      </c>
      <c r="D582" s="16" t="s">
        <v>1197</v>
      </c>
      <c r="E582" s="16" t="s">
        <v>3179</v>
      </c>
      <c r="F582" s="40"/>
      <c r="G582" s="33"/>
      <c r="H582" s="73" t="s">
        <v>3180</v>
      </c>
      <c r="I582" s="33"/>
      <c r="J582" s="33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</row>
    <row r="583">
      <c r="A583" s="30">
        <v>45747.0</v>
      </c>
      <c r="B583" s="16" t="s">
        <v>3181</v>
      </c>
      <c r="C583" s="16" t="s">
        <v>3182</v>
      </c>
      <c r="D583" s="16" t="s">
        <v>65</v>
      </c>
      <c r="E583" s="16" t="s">
        <v>60</v>
      </c>
      <c r="F583" s="40"/>
      <c r="G583" s="33"/>
      <c r="H583" s="73" t="s">
        <v>3183</v>
      </c>
      <c r="I583" s="33"/>
      <c r="J583" s="33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</row>
    <row r="584">
      <c r="A584" s="30">
        <v>45747.0</v>
      </c>
      <c r="B584" s="16" t="s">
        <v>3184</v>
      </c>
      <c r="C584" s="16" t="s">
        <v>3185</v>
      </c>
      <c r="D584" s="16" t="s">
        <v>198</v>
      </c>
      <c r="E584" s="16" t="s">
        <v>3186</v>
      </c>
      <c r="F584" s="40"/>
      <c r="G584" s="33"/>
      <c r="H584" s="73"/>
      <c r="I584" s="33"/>
      <c r="J584" s="81" t="s">
        <v>3187</v>
      </c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</row>
    <row r="585">
      <c r="A585" s="30">
        <v>45747.0</v>
      </c>
      <c r="B585" s="16" t="s">
        <v>3188</v>
      </c>
      <c r="C585" s="16" t="s">
        <v>3189</v>
      </c>
      <c r="D585" s="16" t="s">
        <v>116</v>
      </c>
      <c r="E585" s="16" t="s">
        <v>352</v>
      </c>
      <c r="F585" s="40"/>
      <c r="G585" s="33"/>
      <c r="H585" s="33"/>
      <c r="I585" s="33"/>
      <c r="J585" s="81" t="s">
        <v>3190</v>
      </c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</row>
    <row r="586">
      <c r="A586" s="30">
        <v>45748.0</v>
      </c>
      <c r="B586" s="16" t="s">
        <v>3191</v>
      </c>
      <c r="C586" s="16" t="s">
        <v>3192</v>
      </c>
      <c r="D586" s="16" t="s">
        <v>207</v>
      </c>
      <c r="E586" s="16" t="s">
        <v>3193</v>
      </c>
      <c r="F586" s="40"/>
      <c r="G586" s="33"/>
      <c r="H586" s="73" t="s">
        <v>3194</v>
      </c>
      <c r="I586" s="33"/>
      <c r="J586" s="33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</row>
    <row r="587">
      <c r="A587" s="30">
        <v>45748.0</v>
      </c>
      <c r="B587" s="16" t="s">
        <v>3195</v>
      </c>
      <c r="C587" s="16" t="s">
        <v>3196</v>
      </c>
      <c r="D587" s="16" t="s">
        <v>216</v>
      </c>
      <c r="E587" s="16" t="s">
        <v>3197</v>
      </c>
      <c r="F587" s="40"/>
      <c r="G587" s="33"/>
      <c r="H587" s="33"/>
      <c r="I587" s="33"/>
      <c r="J587" s="81" t="s">
        <v>3198</v>
      </c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</row>
    <row r="588">
      <c r="A588" s="30">
        <v>45748.0</v>
      </c>
      <c r="B588" s="16" t="s">
        <v>3199</v>
      </c>
      <c r="C588" s="16" t="s">
        <v>3200</v>
      </c>
      <c r="D588" s="16" t="s">
        <v>207</v>
      </c>
      <c r="E588" s="16" t="s">
        <v>3201</v>
      </c>
      <c r="F588" s="40"/>
      <c r="G588" s="33"/>
      <c r="H588" s="73" t="s">
        <v>3202</v>
      </c>
      <c r="I588" s="33"/>
      <c r="J588" s="33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</row>
    <row r="589">
      <c r="A589" s="30">
        <v>45748.0</v>
      </c>
      <c r="B589" s="16" t="s">
        <v>3203</v>
      </c>
      <c r="C589" s="16" t="s">
        <v>3204</v>
      </c>
      <c r="D589" s="16" t="s">
        <v>701</v>
      </c>
      <c r="E589" s="16" t="s">
        <v>3205</v>
      </c>
      <c r="F589" s="40"/>
      <c r="G589" s="33"/>
      <c r="H589" s="73" t="s">
        <v>3206</v>
      </c>
      <c r="I589" s="33"/>
      <c r="J589" s="33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</row>
    <row r="590">
      <c r="A590" s="30">
        <v>45748.0</v>
      </c>
      <c r="B590" s="16" t="s">
        <v>3207</v>
      </c>
      <c r="C590" s="16" t="s">
        <v>3208</v>
      </c>
      <c r="D590" s="16" t="s">
        <v>3209</v>
      </c>
      <c r="E590" s="16" t="s">
        <v>2301</v>
      </c>
      <c r="F590" s="40"/>
      <c r="G590" s="33"/>
      <c r="H590" s="73" t="s">
        <v>3210</v>
      </c>
      <c r="I590" s="33"/>
      <c r="J590" s="33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</row>
    <row r="591">
      <c r="A591" s="30">
        <v>45748.0</v>
      </c>
      <c r="B591" s="16" t="s">
        <v>3211</v>
      </c>
      <c r="C591" s="16" t="s">
        <v>3212</v>
      </c>
      <c r="D591" s="16" t="s">
        <v>122</v>
      </c>
      <c r="E591" s="16" t="s">
        <v>2499</v>
      </c>
      <c r="F591" s="40"/>
      <c r="G591" s="33"/>
      <c r="H591" s="33"/>
      <c r="I591" s="33"/>
      <c r="J591" s="33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</row>
    <row r="592">
      <c r="A592" s="30">
        <v>45749.0</v>
      </c>
      <c r="B592" s="16" t="s">
        <v>3213</v>
      </c>
      <c r="C592" s="16" t="s">
        <v>3214</v>
      </c>
      <c r="D592" s="16" t="s">
        <v>3215</v>
      </c>
      <c r="E592" s="16" t="s">
        <v>3216</v>
      </c>
      <c r="F592" s="40"/>
      <c r="G592" s="33"/>
      <c r="H592" s="73" t="s">
        <v>3217</v>
      </c>
      <c r="I592" s="33"/>
      <c r="J592" s="33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</row>
    <row r="593">
      <c r="A593" s="30">
        <v>45749.0</v>
      </c>
      <c r="B593" s="16" t="s">
        <v>3218</v>
      </c>
      <c r="C593" s="16" t="s">
        <v>3219</v>
      </c>
      <c r="D593" s="16" t="s">
        <v>59</v>
      </c>
      <c r="E593" s="16" t="s">
        <v>211</v>
      </c>
      <c r="F593" s="40"/>
      <c r="G593" s="33"/>
      <c r="H593" s="73" t="s">
        <v>3220</v>
      </c>
      <c r="I593" s="33"/>
      <c r="J593" s="33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</row>
    <row r="594">
      <c r="A594" s="30">
        <v>45749.0</v>
      </c>
      <c r="B594" s="16" t="s">
        <v>3221</v>
      </c>
      <c r="C594" s="16" t="s">
        <v>3222</v>
      </c>
      <c r="D594" s="16" t="s">
        <v>128</v>
      </c>
      <c r="E594" s="16" t="s">
        <v>2388</v>
      </c>
      <c r="F594" s="40"/>
      <c r="G594" s="33"/>
      <c r="H594" s="73"/>
      <c r="I594" s="73" t="s">
        <v>3223</v>
      </c>
      <c r="J594" s="33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</row>
    <row r="595">
      <c r="A595" s="30">
        <v>45749.0</v>
      </c>
      <c r="B595" s="16" t="s">
        <v>3224</v>
      </c>
      <c r="C595" s="16" t="s">
        <v>3225</v>
      </c>
      <c r="D595" s="16" t="s">
        <v>894</v>
      </c>
      <c r="E595" s="16" t="s">
        <v>2483</v>
      </c>
      <c r="F595" s="40"/>
      <c r="G595" s="33"/>
      <c r="H595" s="33"/>
      <c r="I595" s="33"/>
      <c r="J595" s="33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</row>
    <row r="596">
      <c r="A596" s="30">
        <v>45749.0</v>
      </c>
      <c r="B596" s="16" t="s">
        <v>3226</v>
      </c>
      <c r="C596" s="16" t="s">
        <v>3227</v>
      </c>
      <c r="D596" s="16" t="s">
        <v>110</v>
      </c>
      <c r="E596" s="16" t="s">
        <v>2843</v>
      </c>
      <c r="F596" s="40"/>
      <c r="G596" s="33"/>
      <c r="H596" s="33"/>
      <c r="I596" s="33"/>
      <c r="J596" s="33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</row>
    <row r="597">
      <c r="A597" s="30">
        <v>45749.0</v>
      </c>
      <c r="B597" s="16" t="s">
        <v>3228</v>
      </c>
      <c r="C597" s="16" t="s">
        <v>3229</v>
      </c>
      <c r="D597" s="16" t="s">
        <v>342</v>
      </c>
      <c r="E597" s="16" t="s">
        <v>3230</v>
      </c>
      <c r="F597" s="40"/>
      <c r="G597" s="33"/>
      <c r="H597" s="33"/>
      <c r="I597" s="73" t="s">
        <v>3231</v>
      </c>
      <c r="J597" s="33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</row>
    <row r="598">
      <c r="A598" s="30">
        <v>45749.0</v>
      </c>
      <c r="B598" s="16" t="s">
        <v>3232</v>
      </c>
      <c r="C598" s="16" t="s">
        <v>3233</v>
      </c>
      <c r="D598" s="16" t="s">
        <v>128</v>
      </c>
      <c r="E598" s="16" t="s">
        <v>2395</v>
      </c>
      <c r="F598" s="40"/>
      <c r="G598" s="33"/>
      <c r="H598" s="33"/>
      <c r="I598" s="73"/>
      <c r="J598" s="33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</row>
    <row r="599">
      <c r="A599" s="30">
        <v>45749.0</v>
      </c>
      <c r="B599" s="16" t="s">
        <v>3234</v>
      </c>
      <c r="C599" s="16" t="s">
        <v>3235</v>
      </c>
      <c r="D599" s="16" t="s">
        <v>122</v>
      </c>
      <c r="E599" s="16" t="s">
        <v>582</v>
      </c>
      <c r="F599" s="40"/>
      <c r="G599" s="33"/>
      <c r="H599" s="33"/>
      <c r="I599" s="73" t="s">
        <v>3236</v>
      </c>
      <c r="J599" s="33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</row>
    <row r="600">
      <c r="A600" s="30">
        <v>45749.0</v>
      </c>
      <c r="B600" s="16" t="s">
        <v>3237</v>
      </c>
      <c r="C600" s="16" t="s">
        <v>3238</v>
      </c>
      <c r="D600" s="16" t="s">
        <v>110</v>
      </c>
      <c r="E600" s="16" t="s">
        <v>3239</v>
      </c>
      <c r="F600" s="40"/>
      <c r="G600" s="33"/>
      <c r="H600" s="33"/>
      <c r="I600" s="85" t="s">
        <v>3240</v>
      </c>
      <c r="J600" s="33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</row>
    <row r="601">
      <c r="A601" s="30">
        <v>45749.0</v>
      </c>
      <c r="B601" s="16" t="s">
        <v>3241</v>
      </c>
      <c r="C601" s="16" t="s">
        <v>3242</v>
      </c>
      <c r="D601" s="16" t="s">
        <v>110</v>
      </c>
      <c r="E601" s="16" t="s">
        <v>2667</v>
      </c>
      <c r="F601" s="40"/>
      <c r="G601" s="33"/>
      <c r="H601" s="33"/>
      <c r="I601" s="73" t="s">
        <v>3243</v>
      </c>
      <c r="J601" s="33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</row>
    <row r="602">
      <c r="A602" s="30">
        <v>45749.0</v>
      </c>
      <c r="B602" s="16" t="s">
        <v>3244</v>
      </c>
      <c r="C602" s="16" t="s">
        <v>3245</v>
      </c>
      <c r="D602" s="16" t="s">
        <v>198</v>
      </c>
      <c r="E602" s="16" t="s">
        <v>3246</v>
      </c>
      <c r="F602" s="40"/>
      <c r="G602" s="33"/>
      <c r="H602" s="33"/>
      <c r="I602" s="73" t="s">
        <v>3247</v>
      </c>
      <c r="J602" s="33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</row>
    <row r="603">
      <c r="A603" s="30">
        <v>45749.0</v>
      </c>
      <c r="B603" s="16" t="s">
        <v>3248</v>
      </c>
      <c r="C603" s="16" t="s">
        <v>3249</v>
      </c>
      <c r="D603" s="16" t="s">
        <v>2015</v>
      </c>
      <c r="E603" s="16" t="s">
        <v>2085</v>
      </c>
      <c r="F603" s="40"/>
      <c r="G603" s="33"/>
      <c r="H603" s="33"/>
      <c r="I603" s="73" t="s">
        <v>3250</v>
      </c>
      <c r="J603" s="33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</row>
    <row r="604">
      <c r="A604" s="30">
        <v>45750.0</v>
      </c>
      <c r="B604" s="16" t="s">
        <v>3251</v>
      </c>
      <c r="C604" s="16" t="s">
        <v>3252</v>
      </c>
      <c r="D604" s="16" t="s">
        <v>481</v>
      </c>
      <c r="E604" s="16" t="s">
        <v>3253</v>
      </c>
      <c r="F604" s="40"/>
      <c r="G604" s="33"/>
      <c r="H604" s="73" t="s">
        <v>3254</v>
      </c>
      <c r="I604" s="33"/>
      <c r="J604" s="33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</row>
    <row r="605">
      <c r="A605" s="30">
        <v>45750.0</v>
      </c>
      <c r="B605" s="16" t="s">
        <v>3255</v>
      </c>
      <c r="C605" s="16" t="s">
        <v>3256</v>
      </c>
      <c r="D605" s="16" t="s">
        <v>313</v>
      </c>
      <c r="E605" s="16" t="s">
        <v>3257</v>
      </c>
      <c r="F605" s="40"/>
      <c r="G605" s="33"/>
      <c r="H605" s="73" t="s">
        <v>3258</v>
      </c>
      <c r="I605" s="33"/>
      <c r="J605" s="33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</row>
    <row r="606">
      <c r="A606" s="30">
        <v>45750.0</v>
      </c>
      <c r="B606" s="16" t="s">
        <v>3259</v>
      </c>
      <c r="C606" s="16" t="s">
        <v>3260</v>
      </c>
      <c r="D606" s="16" t="s">
        <v>128</v>
      </c>
      <c r="E606" s="16" t="s">
        <v>2581</v>
      </c>
      <c r="F606" s="40"/>
      <c r="G606" s="33"/>
      <c r="H606" s="33"/>
      <c r="I606" s="73" t="s">
        <v>3261</v>
      </c>
      <c r="J606" s="33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</row>
    <row r="607">
      <c r="A607" s="30">
        <v>45750.0</v>
      </c>
      <c r="B607" s="16" t="s">
        <v>3262</v>
      </c>
      <c r="C607" s="16" t="s">
        <v>3263</v>
      </c>
      <c r="D607" s="16" t="s">
        <v>3264</v>
      </c>
      <c r="E607" s="16" t="s">
        <v>3265</v>
      </c>
      <c r="F607" s="40"/>
      <c r="G607" s="33"/>
      <c r="H607" s="33"/>
      <c r="I607" s="73" t="s">
        <v>3266</v>
      </c>
      <c r="J607" s="33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</row>
    <row r="608">
      <c r="A608" s="30">
        <v>45750.0</v>
      </c>
      <c r="B608" s="16" t="s">
        <v>3267</v>
      </c>
      <c r="C608" s="16" t="s">
        <v>882</v>
      </c>
      <c r="D608" s="16" t="s">
        <v>110</v>
      </c>
      <c r="E608" s="16" t="s">
        <v>2468</v>
      </c>
      <c r="F608" s="40"/>
      <c r="G608" s="33"/>
      <c r="H608" s="33"/>
      <c r="I608" s="73" t="s">
        <v>3268</v>
      </c>
      <c r="J608" s="33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</row>
    <row r="609">
      <c r="A609" s="30">
        <v>45750.0</v>
      </c>
      <c r="B609" s="16" t="s">
        <v>3269</v>
      </c>
      <c r="C609" s="16" t="s">
        <v>3270</v>
      </c>
      <c r="D609" s="16" t="s">
        <v>2305</v>
      </c>
      <c r="E609" s="16" t="s">
        <v>3154</v>
      </c>
      <c r="F609" s="40"/>
      <c r="G609" s="33"/>
      <c r="H609" s="73" t="s">
        <v>3271</v>
      </c>
      <c r="I609" s="33"/>
      <c r="J609" s="33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</row>
    <row r="610">
      <c r="A610" s="30">
        <v>45750.0</v>
      </c>
      <c r="B610" s="16" t="s">
        <v>3272</v>
      </c>
      <c r="C610" s="16" t="s">
        <v>3273</v>
      </c>
      <c r="D610" s="16" t="s">
        <v>207</v>
      </c>
      <c r="E610" s="16" t="s">
        <v>66</v>
      </c>
      <c r="F610" s="40"/>
      <c r="G610" s="33"/>
      <c r="H610" s="73" t="s">
        <v>3274</v>
      </c>
      <c r="I610" s="33"/>
      <c r="J610" s="33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</row>
    <row r="611">
      <c r="A611" s="30">
        <v>45751.0</v>
      </c>
      <c r="B611" s="16" t="s">
        <v>3275</v>
      </c>
      <c r="C611" s="16" t="s">
        <v>3276</v>
      </c>
      <c r="D611" s="16" t="s">
        <v>122</v>
      </c>
      <c r="E611" s="16" t="s">
        <v>2667</v>
      </c>
      <c r="F611" s="40"/>
      <c r="G611" s="33"/>
      <c r="H611" s="33"/>
      <c r="I611" s="73" t="s">
        <v>3277</v>
      </c>
      <c r="J611" s="33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</row>
    <row r="612">
      <c r="A612" s="30">
        <v>45755.0</v>
      </c>
      <c r="B612" s="16" t="s">
        <v>3278</v>
      </c>
      <c r="C612" s="16" t="s">
        <v>3279</v>
      </c>
      <c r="D612" s="16" t="s">
        <v>116</v>
      </c>
      <c r="E612" s="16" t="s">
        <v>3280</v>
      </c>
      <c r="F612" s="40"/>
      <c r="G612" s="33"/>
      <c r="H612" s="73" t="s">
        <v>3281</v>
      </c>
      <c r="I612" s="73"/>
      <c r="J612" s="33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</row>
    <row r="613">
      <c r="A613" s="30">
        <v>45755.0</v>
      </c>
      <c r="B613" s="16" t="s">
        <v>3282</v>
      </c>
      <c r="C613" s="16" t="s">
        <v>3283</v>
      </c>
      <c r="D613" s="16" t="s">
        <v>231</v>
      </c>
      <c r="E613" s="16" t="s">
        <v>3284</v>
      </c>
      <c r="F613" s="40"/>
      <c r="G613" s="33"/>
      <c r="H613" s="73" t="s">
        <v>3285</v>
      </c>
      <c r="I613" s="33"/>
      <c r="J613" s="33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</row>
    <row r="614">
      <c r="A614" s="30">
        <v>45755.0</v>
      </c>
      <c r="B614" s="16" t="s">
        <v>3286</v>
      </c>
      <c r="C614" s="16" t="s">
        <v>3287</v>
      </c>
      <c r="D614" s="16" t="s">
        <v>128</v>
      </c>
      <c r="E614" s="16" t="s">
        <v>2667</v>
      </c>
      <c r="F614" s="40"/>
      <c r="G614" s="33"/>
      <c r="H614" s="33"/>
      <c r="I614" s="73" t="s">
        <v>3288</v>
      </c>
      <c r="J614" s="33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</row>
    <row r="615">
      <c r="A615" s="30">
        <v>45755.0</v>
      </c>
      <c r="B615" s="16" t="s">
        <v>3094</v>
      </c>
      <c r="C615" s="16" t="s">
        <v>3095</v>
      </c>
      <c r="D615" s="16" t="s">
        <v>116</v>
      </c>
      <c r="E615" s="16" t="s">
        <v>3096</v>
      </c>
      <c r="F615" s="40"/>
      <c r="G615" s="33"/>
      <c r="H615" s="73" t="s">
        <v>3289</v>
      </c>
      <c r="I615" s="33"/>
      <c r="J615" s="33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</row>
    <row r="616">
      <c r="A616" s="30">
        <v>45755.0</v>
      </c>
      <c r="B616" s="16" t="s">
        <v>3290</v>
      </c>
      <c r="C616" s="16" t="s">
        <v>3291</v>
      </c>
      <c r="D616" s="16" t="s">
        <v>110</v>
      </c>
      <c r="E616" s="16" t="s">
        <v>3292</v>
      </c>
      <c r="F616" s="40"/>
      <c r="G616" s="33"/>
      <c r="H616" s="33"/>
      <c r="I616" s="73" t="s">
        <v>3293</v>
      </c>
      <c r="J616" s="33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</row>
    <row r="617">
      <c r="A617" s="30">
        <v>45755.0</v>
      </c>
      <c r="B617" s="16" t="s">
        <v>3294</v>
      </c>
      <c r="C617" s="16" t="s">
        <v>3295</v>
      </c>
      <c r="D617" s="16" t="s">
        <v>128</v>
      </c>
      <c r="E617" s="16" t="s">
        <v>2843</v>
      </c>
      <c r="F617" s="40"/>
      <c r="G617" s="33"/>
      <c r="H617" s="33"/>
      <c r="I617" s="73" t="s">
        <v>3296</v>
      </c>
      <c r="J617" s="33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</row>
    <row r="618">
      <c r="A618" s="30">
        <v>45755.0</v>
      </c>
      <c r="B618" s="16" t="s">
        <v>3297</v>
      </c>
      <c r="C618" s="16" t="s">
        <v>3298</v>
      </c>
      <c r="D618" s="16" t="s">
        <v>128</v>
      </c>
      <c r="E618" s="16" t="s">
        <v>2642</v>
      </c>
      <c r="F618" s="40"/>
      <c r="G618" s="33"/>
      <c r="H618" s="33"/>
      <c r="I618" s="73" t="s">
        <v>3299</v>
      </c>
      <c r="J618" s="33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</row>
    <row r="619">
      <c r="A619" s="30">
        <v>45755.0</v>
      </c>
      <c r="B619" s="16" t="s">
        <v>3300</v>
      </c>
      <c r="C619" s="16" t="s">
        <v>3301</v>
      </c>
      <c r="D619" s="16" t="s">
        <v>122</v>
      </c>
      <c r="E619" s="16" t="s">
        <v>3292</v>
      </c>
      <c r="F619" s="40"/>
      <c r="G619" s="33"/>
      <c r="H619" s="33"/>
      <c r="I619" s="73" t="s">
        <v>3302</v>
      </c>
      <c r="J619" s="33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</row>
    <row r="620">
      <c r="A620" s="30">
        <v>45755.0</v>
      </c>
      <c r="B620" s="16" t="s">
        <v>3303</v>
      </c>
      <c r="C620" s="16" t="s">
        <v>3304</v>
      </c>
      <c r="D620" s="16" t="s">
        <v>110</v>
      </c>
      <c r="E620" s="16" t="s">
        <v>2236</v>
      </c>
      <c r="F620" s="40"/>
      <c r="G620" s="33"/>
      <c r="H620" s="33"/>
      <c r="I620" s="33"/>
      <c r="J620" s="33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</row>
    <row r="621">
      <c r="A621" s="30">
        <v>45756.0</v>
      </c>
      <c r="B621" s="16" t="s">
        <v>3305</v>
      </c>
      <c r="C621" s="16" t="s">
        <v>3306</v>
      </c>
      <c r="D621" s="16" t="s">
        <v>116</v>
      </c>
      <c r="E621" s="16" t="s">
        <v>2047</v>
      </c>
      <c r="F621" s="40"/>
      <c r="G621" s="33"/>
      <c r="H621" s="33"/>
      <c r="I621" s="33"/>
      <c r="J621" s="81" t="s">
        <v>3307</v>
      </c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</row>
    <row r="622">
      <c r="A622" s="30">
        <v>45756.0</v>
      </c>
      <c r="B622" s="16" t="s">
        <v>3308</v>
      </c>
      <c r="C622" s="16" t="s">
        <v>3309</v>
      </c>
      <c r="D622" s="16" t="s">
        <v>128</v>
      </c>
      <c r="E622" s="16" t="s">
        <v>2667</v>
      </c>
      <c r="F622" s="40"/>
      <c r="G622" s="33"/>
      <c r="H622" s="33"/>
      <c r="I622" s="73" t="s">
        <v>3310</v>
      </c>
      <c r="J622" s="33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</row>
    <row r="623">
      <c r="A623" s="30">
        <v>45756.0</v>
      </c>
      <c r="B623" s="16" t="s">
        <v>3311</v>
      </c>
      <c r="C623" s="16" t="s">
        <v>3312</v>
      </c>
      <c r="D623" s="16" t="s">
        <v>444</v>
      </c>
      <c r="E623" s="16" t="s">
        <v>3313</v>
      </c>
      <c r="F623" s="40"/>
      <c r="G623" s="33"/>
      <c r="H623" s="73" t="s">
        <v>3314</v>
      </c>
      <c r="I623" s="33"/>
      <c r="J623" s="33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</row>
    <row r="624">
      <c r="A624" s="30">
        <v>45758.0</v>
      </c>
      <c r="B624" s="16" t="s">
        <v>3315</v>
      </c>
      <c r="C624" s="16" t="s">
        <v>3316</v>
      </c>
      <c r="D624" s="16" t="s">
        <v>1296</v>
      </c>
      <c r="E624" s="16" t="s">
        <v>3317</v>
      </c>
      <c r="F624" s="40"/>
      <c r="G624" s="33"/>
      <c r="H624" s="73" t="s">
        <v>3318</v>
      </c>
      <c r="I624" s="33"/>
      <c r="J624" s="33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</row>
    <row r="625">
      <c r="A625" s="30">
        <v>45758.0</v>
      </c>
      <c r="B625" s="16" t="s">
        <v>3319</v>
      </c>
      <c r="C625" s="16" t="s">
        <v>3320</v>
      </c>
      <c r="D625" s="16" t="s">
        <v>3321</v>
      </c>
      <c r="E625" s="16" t="s">
        <v>3322</v>
      </c>
      <c r="F625" s="40"/>
      <c r="G625" s="33"/>
      <c r="H625" s="73" t="s">
        <v>3323</v>
      </c>
      <c r="I625" s="33"/>
      <c r="J625" s="33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</row>
    <row r="626">
      <c r="A626" s="30">
        <v>45765.0</v>
      </c>
      <c r="B626" s="16" t="s">
        <v>3124</v>
      </c>
      <c r="C626" s="16" t="s">
        <v>3125</v>
      </c>
      <c r="D626" s="16" t="s">
        <v>153</v>
      </c>
      <c r="E626" s="16" t="s">
        <v>3324</v>
      </c>
      <c r="F626" s="40"/>
      <c r="G626" s="33"/>
      <c r="H626" s="73" t="s">
        <v>3325</v>
      </c>
      <c r="I626" s="33"/>
      <c r="J626" s="33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</row>
    <row r="627">
      <c r="A627" s="30">
        <v>45765.0</v>
      </c>
      <c r="B627" s="16" t="s">
        <v>3326</v>
      </c>
      <c r="C627" s="16" t="s">
        <v>3327</v>
      </c>
      <c r="D627" s="16" t="s">
        <v>42</v>
      </c>
      <c r="E627" s="16" t="s">
        <v>3328</v>
      </c>
      <c r="F627" s="40"/>
      <c r="G627" s="33"/>
      <c r="H627" s="33"/>
      <c r="I627" s="73" t="s">
        <v>3329</v>
      </c>
      <c r="J627" s="33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</row>
    <row r="628">
      <c r="A628" s="30">
        <v>45765.0</v>
      </c>
      <c r="B628" s="16" t="s">
        <v>3330</v>
      </c>
      <c r="C628" s="16" t="s">
        <v>3331</v>
      </c>
      <c r="D628" s="16" t="s">
        <v>476</v>
      </c>
      <c r="E628" s="16" t="s">
        <v>3328</v>
      </c>
      <c r="F628" s="40"/>
      <c r="G628" s="33"/>
      <c r="H628" s="33"/>
      <c r="I628" s="73" t="s">
        <v>3332</v>
      </c>
      <c r="J628" s="33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</row>
    <row r="629">
      <c r="A629" s="30">
        <v>45765.0</v>
      </c>
      <c r="B629" s="16" t="s">
        <v>3333</v>
      </c>
      <c r="C629" s="16" t="s">
        <v>3334</v>
      </c>
      <c r="D629" s="16" t="s">
        <v>59</v>
      </c>
      <c r="E629" s="16" t="s">
        <v>3328</v>
      </c>
      <c r="F629" s="40"/>
      <c r="G629" s="33"/>
      <c r="H629" s="33"/>
      <c r="I629" s="73" t="s">
        <v>3335</v>
      </c>
      <c r="J629" s="33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</row>
    <row r="630">
      <c r="A630" s="30">
        <v>45765.0</v>
      </c>
      <c r="B630" s="16" t="s">
        <v>3336</v>
      </c>
      <c r="C630" s="16" t="s">
        <v>3337</v>
      </c>
      <c r="D630" s="16" t="s">
        <v>59</v>
      </c>
      <c r="E630" s="16" t="s">
        <v>3328</v>
      </c>
      <c r="F630" s="40"/>
      <c r="G630" s="33"/>
      <c r="H630" s="33"/>
      <c r="I630" s="73" t="s">
        <v>3338</v>
      </c>
      <c r="J630" s="33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</row>
    <row r="631">
      <c r="A631" s="30">
        <v>45765.0</v>
      </c>
      <c r="B631" s="16" t="s">
        <v>3339</v>
      </c>
      <c r="C631" s="16" t="s">
        <v>3340</v>
      </c>
      <c r="D631" s="16" t="s">
        <v>110</v>
      </c>
      <c r="E631" s="16" t="s">
        <v>3328</v>
      </c>
      <c r="F631" s="40"/>
      <c r="G631" s="33"/>
      <c r="H631" s="33"/>
      <c r="I631" s="73" t="s">
        <v>3341</v>
      </c>
      <c r="J631" s="33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</row>
    <row r="632">
      <c r="A632" s="30">
        <v>45765.0</v>
      </c>
      <c r="B632" s="16" t="s">
        <v>3342</v>
      </c>
      <c r="C632" s="16" t="s">
        <v>3343</v>
      </c>
      <c r="D632" s="16" t="s">
        <v>71</v>
      </c>
      <c r="E632" s="16" t="s">
        <v>3328</v>
      </c>
      <c r="F632" s="40"/>
      <c r="G632" s="33"/>
      <c r="H632" s="33"/>
      <c r="I632" s="73" t="s">
        <v>3344</v>
      </c>
      <c r="J632" s="33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</row>
    <row r="633">
      <c r="A633" s="30">
        <v>45765.0</v>
      </c>
      <c r="B633" s="16" t="s">
        <v>3345</v>
      </c>
      <c r="C633" s="16" t="s">
        <v>3346</v>
      </c>
      <c r="D633" s="16" t="s">
        <v>71</v>
      </c>
      <c r="E633" s="16" t="s">
        <v>3328</v>
      </c>
      <c r="F633" s="40"/>
      <c r="G633" s="33"/>
      <c r="H633" s="33"/>
      <c r="I633" s="73" t="s">
        <v>3347</v>
      </c>
      <c r="J633" s="33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</row>
    <row r="634">
      <c r="A634" s="30">
        <v>45765.0</v>
      </c>
      <c r="B634" s="16" t="s">
        <v>3348</v>
      </c>
      <c r="C634" s="16" t="s">
        <v>3349</v>
      </c>
      <c r="D634" s="16" t="s">
        <v>71</v>
      </c>
      <c r="E634" s="16" t="s">
        <v>3328</v>
      </c>
      <c r="F634" s="40"/>
      <c r="G634" s="33"/>
      <c r="H634" s="33"/>
      <c r="I634" s="73" t="s">
        <v>3350</v>
      </c>
      <c r="J634" s="33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</row>
    <row r="635">
      <c r="A635" s="30">
        <v>45765.0</v>
      </c>
      <c r="B635" s="16" t="s">
        <v>3351</v>
      </c>
      <c r="C635" s="16" t="s">
        <v>3352</v>
      </c>
      <c r="D635" s="16" t="s">
        <v>414</v>
      </c>
      <c r="E635" s="16" t="s">
        <v>3328</v>
      </c>
      <c r="F635" s="40"/>
      <c r="G635" s="33"/>
      <c r="H635" s="33"/>
      <c r="I635" s="73" t="s">
        <v>3353</v>
      </c>
      <c r="J635" s="33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</row>
    <row r="636">
      <c r="A636" s="30">
        <v>45765.0</v>
      </c>
      <c r="B636" s="16" t="s">
        <v>3354</v>
      </c>
      <c r="C636" s="16" t="s">
        <v>3355</v>
      </c>
      <c r="D636" s="16" t="s">
        <v>71</v>
      </c>
      <c r="E636" s="16" t="s">
        <v>3328</v>
      </c>
      <c r="F636" s="40"/>
      <c r="G636" s="33"/>
      <c r="H636" s="33"/>
      <c r="I636" s="73" t="s">
        <v>3356</v>
      </c>
      <c r="J636" s="33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</row>
    <row r="637">
      <c r="A637" s="30">
        <v>45765.0</v>
      </c>
      <c r="B637" s="16" t="s">
        <v>3357</v>
      </c>
      <c r="C637" s="16" t="s">
        <v>3358</v>
      </c>
      <c r="D637" s="16" t="s">
        <v>71</v>
      </c>
      <c r="E637" s="16" t="s">
        <v>3328</v>
      </c>
      <c r="F637" s="40"/>
      <c r="G637" s="33"/>
      <c r="H637" s="33"/>
      <c r="I637" s="73" t="s">
        <v>3359</v>
      </c>
      <c r="J637" s="33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</row>
    <row r="638">
      <c r="A638" s="30">
        <v>45765.0</v>
      </c>
      <c r="B638" s="16" t="s">
        <v>3360</v>
      </c>
      <c r="C638" s="16" t="s">
        <v>3361</v>
      </c>
      <c r="D638" s="16" t="s">
        <v>122</v>
      </c>
      <c r="E638" s="16" t="s">
        <v>3362</v>
      </c>
      <c r="F638" s="40"/>
      <c r="G638" s="33"/>
      <c r="H638" s="33"/>
      <c r="I638" s="73" t="s">
        <v>3363</v>
      </c>
      <c r="J638" s="33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</row>
    <row r="639">
      <c r="A639" s="30">
        <v>45768.0</v>
      </c>
      <c r="B639" s="16" t="s">
        <v>3364</v>
      </c>
      <c r="C639" s="16" t="s">
        <v>3365</v>
      </c>
      <c r="D639" s="16" t="s">
        <v>59</v>
      </c>
      <c r="E639" s="16" t="s">
        <v>3366</v>
      </c>
      <c r="F639" s="40"/>
      <c r="G639" s="33"/>
      <c r="H639" s="33"/>
      <c r="I639" s="73" t="s">
        <v>3367</v>
      </c>
      <c r="J639" s="33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</row>
    <row r="640">
      <c r="A640" s="30">
        <v>45768.0</v>
      </c>
      <c r="B640" s="16" t="s">
        <v>3368</v>
      </c>
      <c r="C640" s="16" t="s">
        <v>3369</v>
      </c>
      <c r="D640" s="16" t="s">
        <v>59</v>
      </c>
      <c r="E640" s="16" t="s">
        <v>3366</v>
      </c>
      <c r="F640" s="40"/>
      <c r="G640" s="33"/>
      <c r="H640" s="33"/>
      <c r="I640" s="73" t="s">
        <v>3370</v>
      </c>
      <c r="J640" s="33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</row>
    <row r="641">
      <c r="A641" s="30">
        <v>45768.0</v>
      </c>
      <c r="B641" s="16" t="s">
        <v>3371</v>
      </c>
      <c r="C641" s="16" t="s">
        <v>3372</v>
      </c>
      <c r="D641" s="16" t="s">
        <v>372</v>
      </c>
      <c r="E641" s="16" t="s">
        <v>3373</v>
      </c>
      <c r="F641" s="40"/>
      <c r="G641" s="33"/>
      <c r="H641" s="33"/>
      <c r="I641" s="73" t="s">
        <v>3374</v>
      </c>
      <c r="J641" s="33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</row>
    <row r="642">
      <c r="A642" s="30">
        <v>45770.0</v>
      </c>
      <c r="B642" s="16" t="s">
        <v>3375</v>
      </c>
      <c r="C642" s="16" t="s">
        <v>3376</v>
      </c>
      <c r="D642" s="16" t="s">
        <v>59</v>
      </c>
      <c r="E642" s="16" t="s">
        <v>2370</v>
      </c>
      <c r="F642" s="40"/>
      <c r="G642" s="33"/>
      <c r="H642" s="33"/>
      <c r="I642" s="73" t="s">
        <v>3377</v>
      </c>
      <c r="J642" s="33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</row>
    <row r="643">
      <c r="A643" s="30">
        <v>45770.0</v>
      </c>
      <c r="B643" s="16" t="s">
        <v>3378</v>
      </c>
      <c r="C643" s="16" t="s">
        <v>3379</v>
      </c>
      <c r="D643" s="16" t="s">
        <v>28</v>
      </c>
      <c r="E643" s="16" t="s">
        <v>3380</v>
      </c>
      <c r="F643" s="40"/>
      <c r="G643" s="33"/>
      <c r="H643" s="33"/>
      <c r="I643" s="73" t="s">
        <v>3381</v>
      </c>
      <c r="J643" s="33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</row>
    <row r="644">
      <c r="A644" s="30">
        <v>45771.0</v>
      </c>
      <c r="B644" s="16" t="s">
        <v>3382</v>
      </c>
      <c r="C644" s="16" t="s">
        <v>3383</v>
      </c>
      <c r="D644" s="16" t="s">
        <v>122</v>
      </c>
      <c r="E644" s="16" t="s">
        <v>222</v>
      </c>
      <c r="F644" s="40"/>
      <c r="G644" s="33"/>
      <c r="H644" s="33"/>
      <c r="I644" s="33"/>
      <c r="J644" s="33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</row>
    <row r="645">
      <c r="A645" s="30">
        <v>45771.0</v>
      </c>
      <c r="B645" s="16" t="s">
        <v>3384</v>
      </c>
      <c r="C645" s="16" t="s">
        <v>3385</v>
      </c>
      <c r="D645" s="16" t="s">
        <v>71</v>
      </c>
      <c r="E645" s="16" t="s">
        <v>2908</v>
      </c>
      <c r="F645" s="40"/>
      <c r="G645" s="33"/>
      <c r="H645" s="33"/>
      <c r="I645" s="73" t="s">
        <v>3386</v>
      </c>
      <c r="J645" s="33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</row>
    <row r="646">
      <c r="A646" s="30">
        <v>45771.0</v>
      </c>
      <c r="B646" s="16" t="s">
        <v>3387</v>
      </c>
      <c r="C646" s="16" t="s">
        <v>3388</v>
      </c>
      <c r="D646" s="16" t="s">
        <v>3389</v>
      </c>
      <c r="E646" s="16" t="s">
        <v>3257</v>
      </c>
      <c r="F646" s="40"/>
      <c r="G646" s="33"/>
      <c r="H646" s="73" t="s">
        <v>3390</v>
      </c>
      <c r="I646" s="33"/>
      <c r="J646" s="33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</row>
    <row r="647">
      <c r="A647" s="30">
        <v>45775.0</v>
      </c>
      <c r="B647" s="16" t="s">
        <v>3237</v>
      </c>
      <c r="C647" s="16" t="s">
        <v>3238</v>
      </c>
      <c r="D647" s="16" t="s">
        <v>110</v>
      </c>
      <c r="E647" s="16" t="s">
        <v>2395</v>
      </c>
      <c r="F647" s="40"/>
      <c r="G647" s="33"/>
      <c r="H647" s="33"/>
      <c r="I647" s="73" t="s">
        <v>3391</v>
      </c>
      <c r="J647" s="33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</row>
    <row r="648">
      <c r="A648" s="30">
        <v>45775.0</v>
      </c>
      <c r="B648" s="16" t="s">
        <v>3392</v>
      </c>
      <c r="C648" s="16" t="s">
        <v>3393</v>
      </c>
      <c r="D648" s="16" t="s">
        <v>94</v>
      </c>
      <c r="E648" s="16" t="s">
        <v>2425</v>
      </c>
      <c r="F648" s="40"/>
      <c r="G648" s="33"/>
      <c r="H648" s="33"/>
      <c r="I648" s="73" t="s">
        <v>3394</v>
      </c>
      <c r="J648" s="33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</row>
    <row r="649">
      <c r="A649" s="30">
        <v>45775.0</v>
      </c>
      <c r="B649" s="16" t="s">
        <v>3395</v>
      </c>
      <c r="C649" s="16" t="s">
        <v>3396</v>
      </c>
      <c r="D649" s="16" t="s">
        <v>173</v>
      </c>
      <c r="E649" s="16" t="s">
        <v>3397</v>
      </c>
      <c r="F649" s="40"/>
      <c r="G649" s="33"/>
      <c r="H649" s="73" t="s">
        <v>3398</v>
      </c>
      <c r="I649" s="33"/>
      <c r="J649" s="33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</row>
    <row r="650">
      <c r="A650" s="30">
        <v>45775.0</v>
      </c>
      <c r="B650" s="16" t="s">
        <v>3399</v>
      </c>
      <c r="C650" s="16" t="s">
        <v>3400</v>
      </c>
      <c r="D650" s="16" t="s">
        <v>173</v>
      </c>
      <c r="E650" s="16" t="s">
        <v>1800</v>
      </c>
      <c r="F650" s="40"/>
      <c r="G650" s="33"/>
      <c r="H650" s="73" t="s">
        <v>3401</v>
      </c>
      <c r="I650" s="33"/>
      <c r="J650" s="33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</row>
    <row r="651">
      <c r="A651" s="30">
        <v>45775.0</v>
      </c>
      <c r="B651" s="16" t="s">
        <v>3402</v>
      </c>
      <c r="C651" s="16" t="s">
        <v>3403</v>
      </c>
      <c r="D651" s="16" t="s">
        <v>198</v>
      </c>
      <c r="E651" s="16" t="s">
        <v>624</v>
      </c>
      <c r="F651" s="40"/>
      <c r="G651" s="33"/>
      <c r="H651" s="73" t="s">
        <v>3404</v>
      </c>
      <c r="I651" s="33"/>
      <c r="J651" s="33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</row>
    <row r="652">
      <c r="A652" s="30">
        <v>45775.0</v>
      </c>
      <c r="B652" s="16" t="s">
        <v>3405</v>
      </c>
      <c r="C652" s="16" t="s">
        <v>3406</v>
      </c>
      <c r="D652" s="16" t="s">
        <v>128</v>
      </c>
      <c r="E652" s="16" t="s">
        <v>2575</v>
      </c>
      <c r="F652" s="40"/>
      <c r="G652" s="33"/>
      <c r="H652" s="33"/>
      <c r="I652" s="33"/>
      <c r="J652" s="33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</row>
    <row r="653">
      <c r="A653" s="30">
        <v>45775.0</v>
      </c>
      <c r="B653" s="16" t="s">
        <v>3407</v>
      </c>
      <c r="C653" s="16" t="s">
        <v>3408</v>
      </c>
      <c r="D653" s="16" t="s">
        <v>110</v>
      </c>
      <c r="E653" s="16" t="s">
        <v>111</v>
      </c>
      <c r="F653" s="40"/>
      <c r="G653" s="33"/>
      <c r="H653" s="33"/>
      <c r="I653" s="73" t="s">
        <v>3409</v>
      </c>
      <c r="J653" s="33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</row>
    <row r="654">
      <c r="A654" s="30">
        <v>45775.0</v>
      </c>
      <c r="B654" s="16" t="s">
        <v>3410</v>
      </c>
      <c r="C654" s="16" t="s">
        <v>3411</v>
      </c>
      <c r="D654" s="16" t="s">
        <v>207</v>
      </c>
      <c r="E654" s="16" t="s">
        <v>3257</v>
      </c>
      <c r="F654" s="40"/>
      <c r="G654" s="33"/>
      <c r="H654" s="73" t="s">
        <v>3412</v>
      </c>
      <c r="I654" s="33"/>
      <c r="J654" s="33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</row>
    <row r="655">
      <c r="A655" s="30">
        <v>45775.0</v>
      </c>
      <c r="B655" s="16" t="s">
        <v>3131</v>
      </c>
      <c r="C655" s="16" t="s">
        <v>3132</v>
      </c>
      <c r="D655" s="16" t="s">
        <v>128</v>
      </c>
      <c r="E655" s="16" t="s">
        <v>2499</v>
      </c>
      <c r="F655" s="40"/>
      <c r="G655" s="33"/>
      <c r="H655" s="33"/>
      <c r="I655" s="33"/>
      <c r="J655" s="33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</row>
    <row r="656">
      <c r="A656" s="30">
        <v>45776.0</v>
      </c>
      <c r="B656" s="16" t="s">
        <v>3413</v>
      </c>
      <c r="C656" s="16" t="s">
        <v>3414</v>
      </c>
      <c r="D656" s="16" t="s">
        <v>342</v>
      </c>
      <c r="E656" s="16" t="s">
        <v>2047</v>
      </c>
      <c r="F656" s="40"/>
      <c r="G656" s="33"/>
      <c r="H656" s="33"/>
      <c r="I656" s="73" t="s">
        <v>3415</v>
      </c>
      <c r="J656" s="33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</row>
    <row r="657">
      <c r="A657" s="30">
        <v>45776.0</v>
      </c>
      <c r="B657" s="16" t="s">
        <v>3416</v>
      </c>
      <c r="C657" s="16" t="s">
        <v>3417</v>
      </c>
      <c r="D657" s="16" t="s">
        <v>110</v>
      </c>
      <c r="E657" s="16" t="s">
        <v>2843</v>
      </c>
      <c r="F657" s="40"/>
      <c r="G657" s="33"/>
      <c r="H657" s="33"/>
      <c r="I657" s="73"/>
      <c r="J657" s="33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</row>
    <row r="658">
      <c r="A658" s="30">
        <v>45777.0</v>
      </c>
      <c r="B658" s="16" t="s">
        <v>3418</v>
      </c>
      <c r="C658" s="16" t="s">
        <v>3419</v>
      </c>
      <c r="D658" s="16" t="s">
        <v>2404</v>
      </c>
      <c r="E658" s="16" t="s">
        <v>3420</v>
      </c>
      <c r="F658" s="40"/>
      <c r="G658" s="33"/>
      <c r="H658" s="33"/>
      <c r="I658" s="33"/>
      <c r="J658" s="33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</row>
    <row r="659">
      <c r="A659" s="30">
        <v>45777.0</v>
      </c>
      <c r="B659" s="16" t="s">
        <v>3421</v>
      </c>
      <c r="C659" s="16" t="s">
        <v>3422</v>
      </c>
      <c r="D659" s="16" t="s">
        <v>42</v>
      </c>
      <c r="E659" s="16" t="s">
        <v>2667</v>
      </c>
      <c r="F659" s="40"/>
      <c r="G659" s="33"/>
      <c r="H659" s="33"/>
      <c r="I659" s="33"/>
      <c r="J659" s="33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</row>
    <row r="660">
      <c r="A660" s="30">
        <v>45777.0</v>
      </c>
      <c r="B660" s="16" t="s">
        <v>3423</v>
      </c>
      <c r="C660" s="16" t="s">
        <v>3424</v>
      </c>
      <c r="D660" s="16" t="s">
        <v>71</v>
      </c>
      <c r="E660" s="16" t="s">
        <v>3425</v>
      </c>
      <c r="F660" s="40"/>
      <c r="G660" s="33"/>
      <c r="H660" s="33"/>
      <c r="I660" s="73" t="s">
        <v>3426</v>
      </c>
      <c r="J660" s="33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</row>
    <row r="661">
      <c r="A661" s="30">
        <v>45779.0</v>
      </c>
      <c r="B661" s="16" t="s">
        <v>3427</v>
      </c>
      <c r="C661" s="16" t="s">
        <v>3428</v>
      </c>
      <c r="D661" s="16" t="s">
        <v>1197</v>
      </c>
      <c r="E661" s="16" t="s">
        <v>154</v>
      </c>
      <c r="F661" s="40"/>
      <c r="G661" s="33"/>
      <c r="H661" s="73" t="s">
        <v>3429</v>
      </c>
      <c r="I661" s="33"/>
      <c r="J661" s="33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</row>
    <row r="662">
      <c r="A662" s="30">
        <v>45779.0</v>
      </c>
      <c r="B662" s="16" t="s">
        <v>3430</v>
      </c>
      <c r="C662" s="16" t="s">
        <v>3431</v>
      </c>
      <c r="D662" s="16" t="s">
        <v>1104</v>
      </c>
      <c r="E662" s="16" t="s">
        <v>2169</v>
      </c>
      <c r="F662" s="40"/>
      <c r="G662" s="33"/>
      <c r="H662" s="73" t="s">
        <v>3432</v>
      </c>
      <c r="I662" s="33"/>
      <c r="J662" s="33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</row>
    <row r="663">
      <c r="A663" s="30">
        <v>45779.0</v>
      </c>
      <c r="B663" s="16" t="s">
        <v>3433</v>
      </c>
      <c r="C663" s="16" t="s">
        <v>3434</v>
      </c>
      <c r="D663" s="16" t="s">
        <v>701</v>
      </c>
      <c r="E663" s="16" t="s">
        <v>3435</v>
      </c>
      <c r="F663" s="40"/>
      <c r="G663" s="33"/>
      <c r="H663" s="73" t="s">
        <v>3436</v>
      </c>
      <c r="I663" s="33"/>
      <c r="J663" s="33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</row>
    <row r="664">
      <c r="A664" s="30">
        <v>45779.0</v>
      </c>
      <c r="B664" s="16" t="s">
        <v>3437</v>
      </c>
      <c r="C664" s="16" t="s">
        <v>3438</v>
      </c>
      <c r="D664" s="16" t="s">
        <v>122</v>
      </c>
      <c r="E664" s="16" t="s">
        <v>2451</v>
      </c>
      <c r="F664" s="40"/>
      <c r="G664" s="33"/>
      <c r="H664" s="33"/>
      <c r="I664" s="73" t="s">
        <v>3439</v>
      </c>
      <c r="J664" s="33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</row>
    <row r="665">
      <c r="A665" s="30">
        <v>45779.0</v>
      </c>
      <c r="B665" s="16" t="s">
        <v>3440</v>
      </c>
      <c r="C665" s="16" t="s">
        <v>3441</v>
      </c>
      <c r="D665" s="16" t="s">
        <v>207</v>
      </c>
      <c r="E665" s="16" t="s">
        <v>3442</v>
      </c>
      <c r="F665" s="40"/>
      <c r="G665" s="33"/>
      <c r="H665" s="73" t="s">
        <v>3443</v>
      </c>
      <c r="I665" s="33"/>
      <c r="J665" s="33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</row>
    <row r="666">
      <c r="A666" s="30">
        <v>45783.0</v>
      </c>
      <c r="B666" s="16" t="s">
        <v>3444</v>
      </c>
      <c r="C666" s="16" t="s">
        <v>3445</v>
      </c>
      <c r="D666" s="16" t="s">
        <v>42</v>
      </c>
      <c r="E666" s="16" t="s">
        <v>2388</v>
      </c>
      <c r="F666" s="40"/>
      <c r="G666" s="33"/>
      <c r="H666" s="33"/>
      <c r="I666" s="73" t="s">
        <v>3446</v>
      </c>
      <c r="J666" s="33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</row>
    <row r="667">
      <c r="A667" s="30">
        <v>45783.0</v>
      </c>
      <c r="B667" s="16" t="s">
        <v>3447</v>
      </c>
      <c r="C667" s="16" t="s">
        <v>3448</v>
      </c>
      <c r="D667" s="16" t="s">
        <v>71</v>
      </c>
      <c r="E667" s="16" t="s">
        <v>2888</v>
      </c>
      <c r="F667" s="40"/>
      <c r="G667" s="33"/>
      <c r="H667" s="33"/>
      <c r="I667" s="73" t="s">
        <v>3449</v>
      </c>
      <c r="J667" s="33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</row>
    <row r="668">
      <c r="A668" s="30">
        <v>45783.0</v>
      </c>
      <c r="B668" s="16" t="s">
        <v>3450</v>
      </c>
      <c r="C668" s="16" t="s">
        <v>3451</v>
      </c>
      <c r="D668" s="16" t="s">
        <v>697</v>
      </c>
      <c r="E668" s="16" t="s">
        <v>951</v>
      </c>
      <c r="F668" s="40"/>
      <c r="G668" s="33"/>
      <c r="H668" s="33"/>
      <c r="I668" s="33"/>
      <c r="J668" s="81" t="s">
        <v>3452</v>
      </c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</row>
    <row r="669">
      <c r="A669" s="30">
        <v>45783.0</v>
      </c>
      <c r="B669" s="16" t="s">
        <v>3453</v>
      </c>
      <c r="C669" s="16" t="s">
        <v>3454</v>
      </c>
      <c r="D669" s="16" t="s">
        <v>28</v>
      </c>
      <c r="E669" s="16" t="s">
        <v>3380</v>
      </c>
      <c r="F669" s="40"/>
      <c r="G669" s="33"/>
      <c r="H669" s="33"/>
      <c r="I669" s="73" t="s">
        <v>3455</v>
      </c>
      <c r="J669" s="33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</row>
    <row r="670">
      <c r="A670" s="30">
        <v>45783.0</v>
      </c>
      <c r="B670" s="16" t="s">
        <v>3456</v>
      </c>
      <c r="C670" s="16" t="s">
        <v>3457</v>
      </c>
      <c r="D670" s="16" t="s">
        <v>3458</v>
      </c>
      <c r="E670" s="16" t="s">
        <v>3459</v>
      </c>
      <c r="F670" s="40"/>
      <c r="G670" s="33"/>
      <c r="H670" s="33"/>
      <c r="I670" s="73" t="s">
        <v>3460</v>
      </c>
      <c r="J670" s="33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</row>
    <row r="671">
      <c r="A671" s="30">
        <v>45785.0</v>
      </c>
      <c r="B671" s="16" t="s">
        <v>3461</v>
      </c>
      <c r="C671" s="16" t="s">
        <v>3462</v>
      </c>
      <c r="D671" s="16" t="s">
        <v>1397</v>
      </c>
      <c r="E671" s="16" t="s">
        <v>946</v>
      </c>
      <c r="F671" s="40"/>
      <c r="G671" s="33"/>
      <c r="H671" s="73" t="s">
        <v>3463</v>
      </c>
      <c r="I671" s="33"/>
      <c r="J671" s="33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</row>
    <row r="672">
      <c r="A672" s="30">
        <v>45785.0</v>
      </c>
      <c r="B672" s="16" t="s">
        <v>3464</v>
      </c>
      <c r="C672" s="16" t="s">
        <v>3465</v>
      </c>
      <c r="D672" s="16" t="s">
        <v>122</v>
      </c>
      <c r="E672" s="16" t="s">
        <v>2757</v>
      </c>
      <c r="F672" s="40"/>
      <c r="G672" s="33"/>
      <c r="H672" s="33"/>
      <c r="I672" s="33"/>
      <c r="J672" s="33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</row>
    <row r="673">
      <c r="A673" s="30">
        <v>45785.0</v>
      </c>
      <c r="B673" s="16" t="s">
        <v>3466</v>
      </c>
      <c r="C673" s="16" t="s">
        <v>3467</v>
      </c>
      <c r="D673" s="16" t="s">
        <v>71</v>
      </c>
      <c r="E673" s="16" t="s">
        <v>2468</v>
      </c>
      <c r="F673" s="40"/>
      <c r="G673" s="33"/>
      <c r="H673" s="33"/>
      <c r="I673" s="73" t="s">
        <v>3468</v>
      </c>
      <c r="J673" s="33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</row>
    <row r="674">
      <c r="A674" s="30">
        <v>45785.0</v>
      </c>
      <c r="B674" s="16" t="s">
        <v>3469</v>
      </c>
      <c r="C674" s="16" t="s">
        <v>3470</v>
      </c>
      <c r="D674" s="16" t="s">
        <v>3471</v>
      </c>
      <c r="E674" s="16" t="s">
        <v>3472</v>
      </c>
      <c r="F674" s="40"/>
      <c r="G674" s="33"/>
      <c r="H674" s="33"/>
      <c r="I674" s="33"/>
      <c r="J674" s="33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</row>
    <row r="675">
      <c r="A675" s="30">
        <v>45785.0</v>
      </c>
      <c r="B675" s="16" t="s">
        <v>3473</v>
      </c>
      <c r="C675" s="16" t="s">
        <v>3474</v>
      </c>
      <c r="D675" s="16" t="s">
        <v>42</v>
      </c>
      <c r="E675" s="16" t="s">
        <v>2437</v>
      </c>
      <c r="F675" s="40"/>
      <c r="G675" s="33"/>
      <c r="H675" s="33"/>
      <c r="I675" s="73" t="s">
        <v>3475</v>
      </c>
      <c r="J675" s="33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</row>
    <row r="676">
      <c r="A676" s="30">
        <v>45790.0</v>
      </c>
      <c r="B676" s="16" t="s">
        <v>3476</v>
      </c>
      <c r="C676" s="16" t="s">
        <v>3477</v>
      </c>
      <c r="D676" s="16" t="s">
        <v>122</v>
      </c>
      <c r="E676" s="16" t="s">
        <v>2499</v>
      </c>
      <c r="F676" s="40"/>
      <c r="G676" s="33"/>
      <c r="H676" s="33"/>
      <c r="I676" s="33"/>
      <c r="J676" s="33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</row>
    <row r="677">
      <c r="A677" s="30">
        <v>45790.0</v>
      </c>
      <c r="B677" s="16" t="s">
        <v>3478</v>
      </c>
      <c r="C677" s="16" t="s">
        <v>3479</v>
      </c>
      <c r="D677" s="16" t="s">
        <v>122</v>
      </c>
      <c r="E677" s="16" t="s">
        <v>2499</v>
      </c>
      <c r="F677" s="40"/>
      <c r="G677" s="33"/>
      <c r="H677" s="33"/>
      <c r="I677" s="33"/>
      <c r="J677" s="33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</row>
    <row r="678">
      <c r="A678" s="30">
        <v>45790.0</v>
      </c>
      <c r="B678" s="16" t="s">
        <v>3480</v>
      </c>
      <c r="C678" s="16" t="s">
        <v>3481</v>
      </c>
      <c r="D678" s="16" t="s">
        <v>122</v>
      </c>
      <c r="E678" s="16" t="s">
        <v>2388</v>
      </c>
      <c r="F678" s="40"/>
      <c r="G678" s="33"/>
      <c r="H678" s="33"/>
      <c r="I678" s="73" t="s">
        <v>3482</v>
      </c>
      <c r="J678" s="33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</row>
    <row r="679">
      <c r="A679" s="30">
        <v>45790.0</v>
      </c>
      <c r="B679" s="16" t="s">
        <v>3483</v>
      </c>
      <c r="C679" s="16" t="s">
        <v>3484</v>
      </c>
      <c r="D679" s="16" t="s">
        <v>110</v>
      </c>
      <c r="E679" s="16" t="s">
        <v>2388</v>
      </c>
      <c r="F679" s="40"/>
      <c r="G679" s="33"/>
      <c r="H679" s="33"/>
      <c r="I679" s="73" t="s">
        <v>3485</v>
      </c>
      <c r="J679" s="33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</row>
    <row r="680">
      <c r="A680" s="30">
        <v>45790.0</v>
      </c>
      <c r="B680" s="16" t="s">
        <v>3486</v>
      </c>
      <c r="C680" s="16" t="s">
        <v>3487</v>
      </c>
      <c r="D680" s="16" t="s">
        <v>110</v>
      </c>
      <c r="E680" s="16" t="s">
        <v>2616</v>
      </c>
      <c r="F680" s="40"/>
      <c r="G680" s="33"/>
      <c r="H680" s="33"/>
      <c r="I680" s="73" t="s">
        <v>3488</v>
      </c>
      <c r="J680" s="33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</row>
    <row r="681">
      <c r="A681" s="30">
        <v>45790.0</v>
      </c>
      <c r="B681" s="16" t="s">
        <v>3489</v>
      </c>
      <c r="C681" s="16" t="s">
        <v>3490</v>
      </c>
      <c r="D681" s="16" t="s">
        <v>128</v>
      </c>
      <c r="E681" s="16" t="s">
        <v>2392</v>
      </c>
      <c r="F681" s="40"/>
      <c r="G681" s="33"/>
      <c r="H681" s="33"/>
      <c r="I681" s="33"/>
      <c r="J681" s="33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</row>
    <row r="682">
      <c r="A682" s="30">
        <v>45790.0</v>
      </c>
      <c r="B682" s="16" t="s">
        <v>3491</v>
      </c>
      <c r="C682" s="16" t="s">
        <v>3492</v>
      </c>
      <c r="D682" s="16" t="s">
        <v>122</v>
      </c>
      <c r="E682" s="16" t="s">
        <v>3493</v>
      </c>
      <c r="F682" s="40"/>
      <c r="G682" s="33"/>
      <c r="H682" s="33"/>
      <c r="I682" s="73" t="s">
        <v>3494</v>
      </c>
      <c r="J682" s="33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</row>
    <row r="683">
      <c r="A683" s="30">
        <v>45790.0</v>
      </c>
      <c r="B683" s="16" t="s">
        <v>2812</v>
      </c>
      <c r="C683" s="16" t="s">
        <v>3495</v>
      </c>
      <c r="D683" s="16" t="s">
        <v>2305</v>
      </c>
      <c r="E683" s="16" t="s">
        <v>3496</v>
      </c>
      <c r="F683" s="40"/>
      <c r="G683" s="33"/>
      <c r="H683" s="73" t="s">
        <v>3497</v>
      </c>
      <c r="I683" s="33"/>
      <c r="J683" s="33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</row>
    <row r="684">
      <c r="A684" s="30">
        <v>45790.0</v>
      </c>
      <c r="B684" s="16" t="s">
        <v>3498</v>
      </c>
      <c r="C684" s="16" t="s">
        <v>3499</v>
      </c>
      <c r="D684" s="16" t="s">
        <v>313</v>
      </c>
      <c r="E684" s="16" t="s">
        <v>2362</v>
      </c>
      <c r="F684" s="40"/>
      <c r="G684" s="33"/>
      <c r="H684" s="73" t="s">
        <v>3500</v>
      </c>
      <c r="I684" s="33"/>
      <c r="J684" s="33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</row>
    <row r="685">
      <c r="A685" s="30">
        <v>45790.0</v>
      </c>
      <c r="B685" s="16" t="s">
        <v>3501</v>
      </c>
      <c r="C685" s="16" t="s">
        <v>3502</v>
      </c>
      <c r="D685" s="16" t="s">
        <v>42</v>
      </c>
      <c r="E685" s="16" t="s">
        <v>3503</v>
      </c>
      <c r="F685" s="40"/>
      <c r="G685" s="33"/>
      <c r="H685" s="33"/>
      <c r="I685" s="73" t="s">
        <v>3504</v>
      </c>
      <c r="J685" s="33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</row>
    <row r="686">
      <c r="A686" s="30">
        <v>45790.0</v>
      </c>
      <c r="B686" s="16" t="s">
        <v>3505</v>
      </c>
      <c r="C686" s="16" t="s">
        <v>3506</v>
      </c>
      <c r="D686" s="16" t="s">
        <v>59</v>
      </c>
      <c r="E686" s="16" t="s">
        <v>3503</v>
      </c>
      <c r="F686" s="40"/>
      <c r="G686" s="33"/>
      <c r="H686" s="33"/>
      <c r="I686" s="73" t="s">
        <v>3507</v>
      </c>
      <c r="J686" s="33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</row>
    <row r="687">
      <c r="A687" s="30">
        <v>45790.0</v>
      </c>
      <c r="B687" s="16" t="s">
        <v>3508</v>
      </c>
      <c r="C687" s="16" t="s">
        <v>3509</v>
      </c>
      <c r="D687" s="16" t="s">
        <v>59</v>
      </c>
      <c r="E687" s="16" t="s">
        <v>3503</v>
      </c>
      <c r="F687" s="40"/>
      <c r="G687" s="33"/>
      <c r="H687" s="33"/>
      <c r="I687" s="73" t="s">
        <v>3510</v>
      </c>
      <c r="J687" s="33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</row>
    <row r="688">
      <c r="A688" s="30">
        <v>45790.0</v>
      </c>
      <c r="B688" s="16" t="s">
        <v>3511</v>
      </c>
      <c r="C688" s="16" t="s">
        <v>3512</v>
      </c>
      <c r="D688" s="16" t="s">
        <v>71</v>
      </c>
      <c r="E688" s="16" t="s">
        <v>3503</v>
      </c>
      <c r="F688" s="40"/>
      <c r="G688" s="33"/>
      <c r="H688" s="33"/>
      <c r="I688" s="73" t="s">
        <v>3513</v>
      </c>
      <c r="J688" s="33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</row>
    <row r="689">
      <c r="A689" s="30">
        <v>45790.0</v>
      </c>
      <c r="B689" s="16" t="s">
        <v>3514</v>
      </c>
      <c r="C689" s="16" t="s">
        <v>3515</v>
      </c>
      <c r="D689" s="16" t="s">
        <v>122</v>
      </c>
      <c r="E689" s="16" t="s">
        <v>3503</v>
      </c>
      <c r="F689" s="40"/>
      <c r="G689" s="33"/>
      <c r="H689" s="33"/>
      <c r="I689" s="73" t="s">
        <v>3516</v>
      </c>
      <c r="J689" s="33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</row>
    <row r="690">
      <c r="A690" s="30">
        <v>45790.0</v>
      </c>
      <c r="B690" s="16" t="s">
        <v>3517</v>
      </c>
      <c r="C690" s="16" t="s">
        <v>3518</v>
      </c>
      <c r="D690" s="16" t="s">
        <v>122</v>
      </c>
      <c r="E690" s="16" t="s">
        <v>3503</v>
      </c>
      <c r="F690" s="40"/>
      <c r="G690" s="33"/>
      <c r="H690" s="33"/>
      <c r="I690" s="73" t="s">
        <v>3519</v>
      </c>
      <c r="J690" s="33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</row>
    <row r="691">
      <c r="A691" s="30">
        <v>45790.0</v>
      </c>
      <c r="B691" s="16" t="s">
        <v>3520</v>
      </c>
      <c r="C691" s="16" t="s">
        <v>3521</v>
      </c>
      <c r="D691" s="16" t="s">
        <v>122</v>
      </c>
      <c r="E691" s="16" t="s">
        <v>3503</v>
      </c>
      <c r="F691" s="40"/>
      <c r="G691" s="33"/>
      <c r="H691" s="33"/>
      <c r="I691" s="73" t="s">
        <v>3522</v>
      </c>
      <c r="J691" s="33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</row>
    <row r="692">
      <c r="A692" s="30">
        <v>45791.0</v>
      </c>
      <c r="B692" s="16" t="s">
        <v>3523</v>
      </c>
      <c r="C692" s="16" t="s">
        <v>3524</v>
      </c>
      <c r="D692" s="16" t="s">
        <v>342</v>
      </c>
      <c r="E692" s="16" t="s">
        <v>410</v>
      </c>
      <c r="F692" s="30"/>
      <c r="G692" s="33"/>
      <c r="H692" s="73" t="s">
        <v>3525</v>
      </c>
      <c r="I692" s="33"/>
      <c r="J692" s="33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</row>
    <row r="693">
      <c r="A693" s="30">
        <v>45791.0</v>
      </c>
      <c r="B693" s="16" t="s">
        <v>3526</v>
      </c>
      <c r="C693" s="16" t="s">
        <v>3527</v>
      </c>
      <c r="D693" s="16" t="s">
        <v>636</v>
      </c>
      <c r="E693" s="16" t="s">
        <v>3186</v>
      </c>
      <c r="F693" s="40"/>
      <c r="G693" s="33"/>
      <c r="H693" s="33"/>
      <c r="I693" s="33"/>
      <c r="J693" s="81" t="s">
        <v>3528</v>
      </c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</row>
    <row r="694">
      <c r="A694" s="30">
        <v>45791.0</v>
      </c>
      <c r="B694" s="16" t="s">
        <v>3529</v>
      </c>
      <c r="C694" s="16" t="s">
        <v>3530</v>
      </c>
      <c r="D694" s="16" t="s">
        <v>2015</v>
      </c>
      <c r="E694" s="16" t="s">
        <v>2301</v>
      </c>
      <c r="F694" s="40"/>
      <c r="G694" s="33"/>
      <c r="H694" s="73" t="s">
        <v>3531</v>
      </c>
      <c r="I694" s="33"/>
      <c r="J694" s="33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</row>
    <row r="695">
      <c r="A695" s="30">
        <v>45791.0</v>
      </c>
      <c r="B695" s="16" t="s">
        <v>3532</v>
      </c>
      <c r="C695" s="16" t="s">
        <v>3533</v>
      </c>
      <c r="D695" s="16" t="s">
        <v>59</v>
      </c>
      <c r="E695" s="16" t="s">
        <v>2380</v>
      </c>
      <c r="F695" s="40"/>
      <c r="G695" s="33"/>
      <c r="H695" s="33"/>
      <c r="I695" s="73" t="s">
        <v>3534</v>
      </c>
      <c r="J695" s="33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</row>
    <row r="696">
      <c r="A696" s="30">
        <v>45791.0</v>
      </c>
      <c r="B696" s="16" t="s">
        <v>3535</v>
      </c>
      <c r="C696" s="16" t="s">
        <v>3536</v>
      </c>
      <c r="D696" s="16" t="s">
        <v>110</v>
      </c>
      <c r="E696" s="16" t="s">
        <v>2380</v>
      </c>
      <c r="F696" s="40"/>
      <c r="G696" s="33"/>
      <c r="H696" s="33"/>
      <c r="I696" s="73" t="s">
        <v>3537</v>
      </c>
      <c r="J696" s="33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</row>
    <row r="697">
      <c r="A697" s="30">
        <v>45793.0</v>
      </c>
      <c r="B697" s="16" t="s">
        <v>3538</v>
      </c>
      <c r="C697" s="16" t="s">
        <v>3539</v>
      </c>
      <c r="D697" s="16" t="s">
        <v>677</v>
      </c>
      <c r="E697" s="16" t="s">
        <v>690</v>
      </c>
      <c r="F697" s="40"/>
      <c r="G697" s="33"/>
      <c r="H697" s="73" t="s">
        <v>3540</v>
      </c>
      <c r="I697" s="33"/>
      <c r="J697" s="33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</row>
    <row r="698">
      <c r="A698" s="30">
        <v>45796.0</v>
      </c>
      <c r="B698" s="16" t="s">
        <v>3541</v>
      </c>
      <c r="C698" s="16" t="s">
        <v>3542</v>
      </c>
      <c r="D698" s="16" t="s">
        <v>128</v>
      </c>
      <c r="E698" s="16" t="s">
        <v>3543</v>
      </c>
      <c r="F698" s="40"/>
      <c r="G698" s="33"/>
      <c r="H698" s="33"/>
      <c r="I698" s="73" t="s">
        <v>3544</v>
      </c>
      <c r="J698" s="33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</row>
    <row r="699">
      <c r="A699" s="30">
        <v>45796.0</v>
      </c>
      <c r="B699" s="16" t="s">
        <v>3545</v>
      </c>
      <c r="C699" s="16" t="s">
        <v>3546</v>
      </c>
      <c r="D699" s="16" t="s">
        <v>173</v>
      </c>
      <c r="E699" s="16" t="s">
        <v>3547</v>
      </c>
      <c r="F699" s="40"/>
      <c r="G699" s="33"/>
      <c r="H699" s="73" t="s">
        <v>3548</v>
      </c>
      <c r="I699" s="33"/>
      <c r="J699" s="33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</row>
    <row r="700">
      <c r="A700" s="30">
        <v>45796.0</v>
      </c>
      <c r="B700" s="16" t="s">
        <v>3549</v>
      </c>
      <c r="C700" s="16" t="s">
        <v>3550</v>
      </c>
      <c r="D700" s="16" t="s">
        <v>216</v>
      </c>
      <c r="E700" s="16" t="s">
        <v>1167</v>
      </c>
      <c r="F700" s="40"/>
      <c r="G700" s="33"/>
      <c r="H700" s="33"/>
      <c r="I700" s="33"/>
      <c r="J700" s="81" t="s">
        <v>3551</v>
      </c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</row>
    <row r="701">
      <c r="A701" s="30">
        <v>45796.0</v>
      </c>
      <c r="B701" s="16" t="s">
        <v>3552</v>
      </c>
      <c r="C701" s="16" t="s">
        <v>3553</v>
      </c>
      <c r="D701" s="16" t="s">
        <v>342</v>
      </c>
      <c r="E701" s="16" t="s">
        <v>3554</v>
      </c>
      <c r="F701" s="40"/>
      <c r="G701" s="33"/>
      <c r="H701" s="33"/>
      <c r="I701" s="73" t="s">
        <v>3555</v>
      </c>
      <c r="J701" s="33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</row>
    <row r="702">
      <c r="A702" s="30">
        <v>45797.0</v>
      </c>
      <c r="B702" s="16" t="s">
        <v>176</v>
      </c>
      <c r="C702" s="16" t="s">
        <v>177</v>
      </c>
      <c r="D702" s="16" t="s">
        <v>42</v>
      </c>
      <c r="E702" s="16" t="s">
        <v>2380</v>
      </c>
      <c r="F702" s="40"/>
      <c r="G702" s="33"/>
      <c r="H702" s="33"/>
      <c r="I702" s="73" t="s">
        <v>3556</v>
      </c>
      <c r="J702" s="33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</row>
    <row r="703">
      <c r="A703" s="30">
        <v>45797.0</v>
      </c>
      <c r="B703" s="16" t="s">
        <v>3557</v>
      </c>
      <c r="C703" s="16" t="s">
        <v>2379</v>
      </c>
      <c r="D703" s="16" t="s">
        <v>122</v>
      </c>
      <c r="E703" s="16" t="s">
        <v>2380</v>
      </c>
      <c r="F703" s="40"/>
      <c r="G703" s="33"/>
      <c r="H703" s="33"/>
      <c r="I703" s="73" t="s">
        <v>3558</v>
      </c>
      <c r="J703" s="33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</row>
    <row r="704">
      <c r="A704" s="30">
        <v>45797.0</v>
      </c>
      <c r="B704" s="16" t="s">
        <v>3559</v>
      </c>
      <c r="C704" s="16" t="s">
        <v>3560</v>
      </c>
      <c r="D704" s="16" t="s">
        <v>128</v>
      </c>
      <c r="E704" s="16" t="s">
        <v>2525</v>
      </c>
      <c r="F704" s="40"/>
      <c r="G704" s="33"/>
      <c r="H704" s="33"/>
      <c r="I704" s="73" t="s">
        <v>3561</v>
      </c>
      <c r="J704" s="33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</row>
    <row r="705">
      <c r="A705" s="30">
        <v>45797.0</v>
      </c>
      <c r="B705" s="16" t="s">
        <v>3562</v>
      </c>
      <c r="C705" s="16" t="s">
        <v>3563</v>
      </c>
      <c r="D705" s="16" t="s">
        <v>414</v>
      </c>
      <c r="E705" s="16" t="s">
        <v>3292</v>
      </c>
      <c r="F705" s="40"/>
      <c r="G705" s="33"/>
      <c r="H705" s="33"/>
      <c r="I705" s="73" t="s">
        <v>3564</v>
      </c>
      <c r="J705" s="33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</row>
    <row r="706">
      <c r="A706" s="30">
        <v>45797.0</v>
      </c>
      <c r="B706" s="16" t="s">
        <v>16</v>
      </c>
      <c r="C706" s="16" t="s">
        <v>17</v>
      </c>
      <c r="D706" s="16" t="s">
        <v>18</v>
      </c>
      <c r="E706" s="16" t="s">
        <v>19</v>
      </c>
      <c r="F706" s="40"/>
      <c r="G706" s="33"/>
      <c r="H706" s="73" t="s">
        <v>3565</v>
      </c>
      <c r="I706" s="33"/>
      <c r="J706" s="33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</row>
    <row r="707">
      <c r="A707" s="30">
        <v>45797.0</v>
      </c>
      <c r="B707" s="16" t="s">
        <v>3566</v>
      </c>
      <c r="C707" s="16" t="s">
        <v>3567</v>
      </c>
      <c r="D707" s="16" t="s">
        <v>42</v>
      </c>
      <c r="E707" s="16" t="s">
        <v>2609</v>
      </c>
      <c r="F707" s="40"/>
      <c r="G707" s="33"/>
      <c r="H707" s="33"/>
      <c r="I707" s="73" t="s">
        <v>3568</v>
      </c>
      <c r="J707" s="33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</row>
    <row r="708">
      <c r="A708" s="30">
        <v>45798.0</v>
      </c>
      <c r="B708" s="16" t="s">
        <v>3569</v>
      </c>
      <c r="C708" s="16" t="s">
        <v>3570</v>
      </c>
      <c r="D708" s="16" t="s">
        <v>3571</v>
      </c>
      <c r="E708" s="16" t="s">
        <v>686</v>
      </c>
      <c r="F708" s="40"/>
      <c r="G708" s="33"/>
      <c r="H708" s="73" t="s">
        <v>3572</v>
      </c>
      <c r="I708" s="33"/>
      <c r="J708" s="33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</row>
    <row r="709">
      <c r="A709" s="30">
        <v>45798.0</v>
      </c>
      <c r="B709" s="16" t="s">
        <v>3573</v>
      </c>
      <c r="C709" s="16" t="s">
        <v>3574</v>
      </c>
      <c r="D709" s="16" t="s">
        <v>646</v>
      </c>
      <c r="E709" s="16" t="s">
        <v>3547</v>
      </c>
      <c r="F709" s="40"/>
      <c r="G709" s="33"/>
      <c r="H709" s="73" t="s">
        <v>3575</v>
      </c>
      <c r="I709" s="33"/>
      <c r="J709" s="33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</row>
    <row r="710">
      <c r="A710" s="30">
        <v>45799.0</v>
      </c>
      <c r="B710" s="16" t="s">
        <v>3576</v>
      </c>
      <c r="C710" s="16" t="s">
        <v>3577</v>
      </c>
      <c r="D710" s="16" t="s">
        <v>128</v>
      </c>
      <c r="E710" s="16" t="s">
        <v>2843</v>
      </c>
      <c r="F710" s="40"/>
      <c r="G710" s="33"/>
      <c r="H710" s="33"/>
      <c r="I710" s="73" t="s">
        <v>3578</v>
      </c>
      <c r="J710" s="33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</row>
    <row r="711">
      <c r="A711" s="30">
        <v>45799.0</v>
      </c>
      <c r="B711" s="16" t="s">
        <v>3579</v>
      </c>
      <c r="C711" s="16" t="s">
        <v>3580</v>
      </c>
      <c r="D711" s="16" t="s">
        <v>110</v>
      </c>
      <c r="E711" s="16" t="s">
        <v>2395</v>
      </c>
      <c r="F711" s="40"/>
      <c r="G711" s="33"/>
      <c r="H711" s="33"/>
      <c r="I711" s="33"/>
      <c r="J711" s="33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</row>
    <row r="712">
      <c r="A712" s="30">
        <v>45799.0</v>
      </c>
      <c r="B712" s="16" t="s">
        <v>3581</v>
      </c>
      <c r="C712" s="16" t="s">
        <v>3582</v>
      </c>
      <c r="D712" s="16" t="s">
        <v>303</v>
      </c>
      <c r="E712" s="16" t="s">
        <v>2392</v>
      </c>
      <c r="F712" s="40"/>
      <c r="G712" s="33"/>
      <c r="H712" s="33"/>
      <c r="I712" s="33"/>
      <c r="J712" s="33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</row>
    <row r="713">
      <c r="A713" s="30">
        <v>45799.0</v>
      </c>
      <c r="B713" s="16" t="s">
        <v>3583</v>
      </c>
      <c r="C713" s="16" t="s">
        <v>3584</v>
      </c>
      <c r="D713" s="16" t="s">
        <v>289</v>
      </c>
      <c r="E713" s="16" t="s">
        <v>290</v>
      </c>
      <c r="F713" s="40"/>
      <c r="G713" s="33"/>
      <c r="H713" s="33"/>
      <c r="I713" s="33"/>
      <c r="J713" s="81" t="s">
        <v>3585</v>
      </c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</row>
    <row r="714">
      <c r="A714" s="30">
        <v>45799.0</v>
      </c>
      <c r="B714" s="16" t="s">
        <v>3586</v>
      </c>
      <c r="C714" s="16" t="s">
        <v>3587</v>
      </c>
      <c r="D714" s="16" t="s">
        <v>706</v>
      </c>
      <c r="E714" s="16" t="s">
        <v>3186</v>
      </c>
      <c r="F714" s="40"/>
      <c r="G714" s="33"/>
      <c r="H714" s="33"/>
      <c r="I714" s="33"/>
      <c r="J714" s="81" t="s">
        <v>3588</v>
      </c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</row>
    <row r="715">
      <c r="A715" s="30">
        <v>45803.0</v>
      </c>
      <c r="B715" s="16" t="s">
        <v>3589</v>
      </c>
      <c r="C715" s="16" t="s">
        <v>3590</v>
      </c>
      <c r="D715" s="16" t="s">
        <v>59</v>
      </c>
      <c r="E715" s="16" t="s">
        <v>2840</v>
      </c>
      <c r="F715" s="40"/>
      <c r="G715" s="33"/>
      <c r="H715" s="33"/>
      <c r="I715" s="73" t="s">
        <v>3591</v>
      </c>
      <c r="J715" s="33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</row>
    <row r="716">
      <c r="A716" s="30">
        <v>45803.0</v>
      </c>
      <c r="B716" s="35"/>
      <c r="C716" s="16" t="s">
        <v>3592</v>
      </c>
      <c r="D716" s="35"/>
      <c r="E716" s="35"/>
      <c r="F716" s="40"/>
      <c r="G716" s="33"/>
      <c r="H716" s="73" t="s">
        <v>3593</v>
      </c>
      <c r="I716" s="33"/>
      <c r="J716" s="33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</row>
    <row r="717">
      <c r="A717" s="30">
        <v>45803.0</v>
      </c>
      <c r="B717" s="16" t="s">
        <v>3594</v>
      </c>
      <c r="C717" s="16" t="s">
        <v>3595</v>
      </c>
      <c r="D717" s="16" t="s">
        <v>3596</v>
      </c>
      <c r="E717" s="16" t="s">
        <v>3597</v>
      </c>
      <c r="F717" s="40"/>
      <c r="G717" s="33"/>
      <c r="H717" s="73" t="s">
        <v>3598</v>
      </c>
      <c r="I717" s="33"/>
      <c r="J717" s="33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</row>
    <row r="718">
      <c r="A718" s="30">
        <v>45804.0</v>
      </c>
      <c r="B718" s="16" t="s">
        <v>3599</v>
      </c>
      <c r="C718" s="16" t="s">
        <v>3600</v>
      </c>
      <c r="D718" s="16" t="s">
        <v>444</v>
      </c>
      <c r="E718" s="16" t="s">
        <v>3601</v>
      </c>
      <c r="F718" s="40"/>
      <c r="G718" s="33"/>
      <c r="H718" s="33"/>
      <c r="I718" s="73" t="s">
        <v>3602</v>
      </c>
      <c r="J718" s="33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</row>
    <row r="719">
      <c r="A719" s="30">
        <v>45804.0</v>
      </c>
      <c r="B719" s="16" t="s">
        <v>3603</v>
      </c>
      <c r="C719" s="16" t="s">
        <v>3604</v>
      </c>
      <c r="D719" s="16" t="s">
        <v>94</v>
      </c>
      <c r="E719" s="16" t="s">
        <v>3605</v>
      </c>
      <c r="F719" s="40"/>
      <c r="G719" s="33"/>
      <c r="H719" s="33"/>
      <c r="I719" s="73" t="s">
        <v>3606</v>
      </c>
      <c r="J719" s="33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</row>
    <row r="720">
      <c r="A720" s="30">
        <v>45805.0</v>
      </c>
      <c r="B720" s="16" t="s">
        <v>3607</v>
      </c>
      <c r="C720" s="16" t="s">
        <v>3608</v>
      </c>
      <c r="D720" s="16" t="s">
        <v>711</v>
      </c>
      <c r="E720" s="16" t="s">
        <v>3609</v>
      </c>
      <c r="F720" s="40"/>
      <c r="G720" s="33"/>
      <c r="H720" s="73" t="s">
        <v>3610</v>
      </c>
      <c r="I720" s="33"/>
      <c r="J720" s="33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</row>
    <row r="721">
      <c r="A721" s="30">
        <v>45805.0</v>
      </c>
      <c r="B721" s="16" t="s">
        <v>3611</v>
      </c>
      <c r="C721" s="16" t="s">
        <v>3612</v>
      </c>
      <c r="D721" s="16" t="s">
        <v>701</v>
      </c>
      <c r="E721" s="16" t="s">
        <v>3380</v>
      </c>
      <c r="F721" s="40"/>
      <c r="G721" s="33"/>
      <c r="H721" s="33"/>
      <c r="I721" s="73" t="s">
        <v>3613</v>
      </c>
      <c r="J721" s="33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</row>
    <row r="722">
      <c r="A722" s="30">
        <v>45805.0</v>
      </c>
      <c r="B722" s="16" t="s">
        <v>3614</v>
      </c>
      <c r="C722" s="16" t="s">
        <v>3615</v>
      </c>
      <c r="D722" s="16" t="s">
        <v>444</v>
      </c>
      <c r="E722" s="16" t="s">
        <v>3616</v>
      </c>
      <c r="F722" s="40"/>
      <c r="G722" s="33"/>
      <c r="H722" s="33"/>
      <c r="I722" s="73" t="s">
        <v>3617</v>
      </c>
      <c r="J722" s="33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</row>
    <row r="723">
      <c r="A723" s="30">
        <v>45806.0</v>
      </c>
      <c r="B723" s="16" t="s">
        <v>3618</v>
      </c>
      <c r="C723" s="16" t="s">
        <v>3619</v>
      </c>
      <c r="D723" s="16" t="s">
        <v>53</v>
      </c>
      <c r="E723" s="16" t="s">
        <v>3175</v>
      </c>
      <c r="F723" s="40"/>
      <c r="G723" s="33"/>
      <c r="H723" s="73" t="s">
        <v>3620</v>
      </c>
      <c r="I723" s="33"/>
      <c r="J723" s="33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</row>
    <row r="724">
      <c r="A724" s="30">
        <v>45807.0</v>
      </c>
      <c r="B724" s="16" t="s">
        <v>3621</v>
      </c>
      <c r="C724" s="16" t="s">
        <v>3622</v>
      </c>
      <c r="D724" s="16" t="s">
        <v>122</v>
      </c>
      <c r="E724" s="16" t="s">
        <v>2392</v>
      </c>
      <c r="F724" s="40"/>
      <c r="G724" s="33"/>
      <c r="H724" s="33"/>
      <c r="I724" s="33"/>
      <c r="J724" s="33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</row>
    <row r="725">
      <c r="A725" s="30">
        <v>45807.0</v>
      </c>
      <c r="B725" s="16" t="s">
        <v>3623</v>
      </c>
      <c r="C725" s="16" t="s">
        <v>3624</v>
      </c>
      <c r="D725" s="16" t="s">
        <v>78</v>
      </c>
      <c r="E725" s="16" t="s">
        <v>3625</v>
      </c>
      <c r="F725" s="40"/>
      <c r="G725" s="33"/>
      <c r="H725" s="73" t="s">
        <v>3626</v>
      </c>
      <c r="I725" s="33"/>
      <c r="J725" s="33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</row>
    <row r="726">
      <c r="A726" s="30">
        <v>45810.0</v>
      </c>
      <c r="B726" s="16" t="s">
        <v>3627</v>
      </c>
      <c r="C726" s="16" t="s">
        <v>3628</v>
      </c>
      <c r="D726" s="16" t="s">
        <v>122</v>
      </c>
      <c r="E726" s="16" t="s">
        <v>2616</v>
      </c>
      <c r="F726" s="40"/>
      <c r="G726" s="33"/>
      <c r="H726" s="33"/>
      <c r="I726" s="73" t="s">
        <v>3629</v>
      </c>
      <c r="J726" s="33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</row>
    <row r="727">
      <c r="A727" s="30">
        <v>45810.0</v>
      </c>
      <c r="B727" s="16" t="s">
        <v>3630</v>
      </c>
      <c r="C727" s="16" t="s">
        <v>3631</v>
      </c>
      <c r="D727" s="16" t="s">
        <v>71</v>
      </c>
      <c r="E727" s="16" t="s">
        <v>2380</v>
      </c>
      <c r="F727" s="40"/>
      <c r="G727" s="33"/>
      <c r="H727" s="33"/>
      <c r="I727" s="73" t="s">
        <v>3632</v>
      </c>
      <c r="J727" s="33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</row>
    <row r="728">
      <c r="A728" s="30">
        <v>45810.0</v>
      </c>
      <c r="B728" s="16" t="s">
        <v>3633</v>
      </c>
      <c r="C728" s="16" t="s">
        <v>3634</v>
      </c>
      <c r="D728" s="16" t="s">
        <v>122</v>
      </c>
      <c r="E728" s="16" t="s">
        <v>2667</v>
      </c>
      <c r="F728" s="40"/>
      <c r="G728" s="33"/>
      <c r="H728" s="33"/>
      <c r="I728" s="73" t="s">
        <v>3635</v>
      </c>
      <c r="J728" s="33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</row>
    <row r="729">
      <c r="A729" s="30">
        <v>45810.0</v>
      </c>
      <c r="B729" s="16" t="s">
        <v>3636</v>
      </c>
      <c r="C729" s="16" t="s">
        <v>3637</v>
      </c>
      <c r="D729" s="16" t="s">
        <v>128</v>
      </c>
      <c r="E729" s="16" t="s">
        <v>2667</v>
      </c>
      <c r="F729" s="40"/>
      <c r="G729" s="33"/>
      <c r="H729" s="33"/>
      <c r="I729" s="73" t="s">
        <v>3638</v>
      </c>
      <c r="J729" s="33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</row>
    <row r="730">
      <c r="A730" s="30">
        <v>45810.0</v>
      </c>
      <c r="B730" s="16" t="s">
        <v>3639</v>
      </c>
      <c r="C730" s="16" t="s">
        <v>3640</v>
      </c>
      <c r="D730" s="16" t="s">
        <v>122</v>
      </c>
      <c r="E730" s="16" t="s">
        <v>2667</v>
      </c>
      <c r="F730" s="40"/>
      <c r="G730" s="33"/>
      <c r="H730" s="33"/>
      <c r="I730" s="73" t="s">
        <v>3641</v>
      </c>
      <c r="J730" s="33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</row>
    <row r="731">
      <c r="A731" s="30">
        <v>45810.0</v>
      </c>
      <c r="B731" s="16" t="s">
        <v>3642</v>
      </c>
      <c r="C731" s="16" t="s">
        <v>3643</v>
      </c>
      <c r="D731" s="16" t="s">
        <v>71</v>
      </c>
      <c r="E731" s="16" t="s">
        <v>2667</v>
      </c>
      <c r="F731" s="40"/>
      <c r="G731" s="33"/>
      <c r="H731" s="33"/>
      <c r="I731" s="73" t="s">
        <v>3644</v>
      </c>
      <c r="J731" s="33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</row>
    <row r="732">
      <c r="A732" s="30">
        <v>45812.0</v>
      </c>
      <c r="B732" s="16" t="s">
        <v>3645</v>
      </c>
      <c r="C732" s="16" t="s">
        <v>3646</v>
      </c>
      <c r="D732" s="16" t="s">
        <v>1296</v>
      </c>
      <c r="E732" s="16" t="s">
        <v>410</v>
      </c>
      <c r="F732" s="40"/>
      <c r="G732" s="33"/>
      <c r="H732" s="73" t="s">
        <v>3647</v>
      </c>
      <c r="I732" s="33"/>
      <c r="J732" s="33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</row>
    <row r="733">
      <c r="A733" s="30">
        <v>45813.0</v>
      </c>
      <c r="B733" s="16" t="s">
        <v>3648</v>
      </c>
      <c r="C733" s="16" t="s">
        <v>3649</v>
      </c>
      <c r="D733" s="16" t="s">
        <v>476</v>
      </c>
      <c r="E733" s="16" t="s">
        <v>2388</v>
      </c>
      <c r="F733" s="40"/>
      <c r="G733" s="33"/>
      <c r="H733" s="33"/>
      <c r="I733" s="33"/>
      <c r="J733" s="33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</row>
    <row r="734">
      <c r="A734" s="30">
        <v>45813.0</v>
      </c>
      <c r="B734" s="16" t="s">
        <v>3650</v>
      </c>
      <c r="C734" s="16" t="s">
        <v>3651</v>
      </c>
      <c r="D734" s="16" t="s">
        <v>664</v>
      </c>
      <c r="E734" s="16" t="s">
        <v>3652</v>
      </c>
      <c r="F734" s="40"/>
      <c r="G734" s="33"/>
      <c r="H734" s="73" t="s">
        <v>3653</v>
      </c>
      <c r="I734" s="33"/>
      <c r="J734" s="33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</row>
    <row r="735">
      <c r="A735" s="30">
        <v>45813.0</v>
      </c>
      <c r="B735" s="16" t="s">
        <v>3654</v>
      </c>
      <c r="C735" s="16" t="s">
        <v>3655</v>
      </c>
      <c r="D735" s="16" t="s">
        <v>122</v>
      </c>
      <c r="E735" s="16" t="s">
        <v>2609</v>
      </c>
      <c r="F735" s="40"/>
      <c r="G735" s="33"/>
      <c r="H735" s="33"/>
      <c r="I735" s="33"/>
      <c r="J735" s="33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</row>
    <row r="736">
      <c r="A736" s="30">
        <v>45813.0</v>
      </c>
      <c r="B736" s="16" t="s">
        <v>3656</v>
      </c>
      <c r="C736" s="16" t="s">
        <v>3657</v>
      </c>
      <c r="D736" s="16" t="s">
        <v>372</v>
      </c>
      <c r="E736" s="16" t="s">
        <v>3658</v>
      </c>
      <c r="F736" s="40"/>
      <c r="G736" s="33"/>
      <c r="H736" s="33"/>
      <c r="I736" s="73" t="s">
        <v>3659</v>
      </c>
      <c r="J736" s="33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</row>
    <row r="737">
      <c r="A737" s="30">
        <v>45813.0</v>
      </c>
      <c r="B737" s="16" t="s">
        <v>3660</v>
      </c>
      <c r="C737" s="16" t="s">
        <v>3661</v>
      </c>
      <c r="D737" s="16" t="s">
        <v>110</v>
      </c>
      <c r="E737" s="16" t="s">
        <v>2667</v>
      </c>
      <c r="F737" s="40"/>
      <c r="G737" s="33"/>
      <c r="H737" s="33"/>
      <c r="I737" s="73" t="s">
        <v>3662</v>
      </c>
      <c r="J737" s="33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</row>
    <row r="738">
      <c r="A738" s="30">
        <v>45814.0</v>
      </c>
      <c r="B738" s="16" t="s">
        <v>3663</v>
      </c>
      <c r="C738" s="16" t="s">
        <v>3664</v>
      </c>
      <c r="D738" s="16" t="s">
        <v>42</v>
      </c>
      <c r="E738" s="16" t="s">
        <v>3665</v>
      </c>
      <c r="F738" s="40"/>
      <c r="G738" s="33"/>
      <c r="H738" s="33"/>
      <c r="I738" s="73" t="s">
        <v>3666</v>
      </c>
      <c r="J738" s="33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</row>
    <row r="739">
      <c r="A739" s="30">
        <v>45817.0</v>
      </c>
      <c r="B739" s="16" t="s">
        <v>3667</v>
      </c>
      <c r="C739" s="16" t="s">
        <v>3668</v>
      </c>
      <c r="D739" s="16" t="s">
        <v>122</v>
      </c>
      <c r="E739" s="16" t="s">
        <v>2658</v>
      </c>
      <c r="F739" s="40"/>
      <c r="G739" s="33"/>
      <c r="H739" s="33"/>
      <c r="I739" s="73" t="s">
        <v>3669</v>
      </c>
      <c r="J739" s="33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</row>
    <row r="740">
      <c r="A740" s="30">
        <v>45818.0</v>
      </c>
      <c r="B740" s="16" t="s">
        <v>3670</v>
      </c>
      <c r="C740" s="16" t="s">
        <v>3671</v>
      </c>
      <c r="D740" s="16" t="s">
        <v>71</v>
      </c>
      <c r="E740" s="16" t="s">
        <v>3672</v>
      </c>
      <c r="F740" s="40"/>
      <c r="G740" s="33"/>
      <c r="H740" s="33"/>
      <c r="I740" s="73" t="s">
        <v>3673</v>
      </c>
      <c r="J740" s="33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</row>
    <row r="741">
      <c r="A741" s="30">
        <v>45818.0</v>
      </c>
      <c r="B741" s="16" t="s">
        <v>3674</v>
      </c>
      <c r="C741" s="16" t="s">
        <v>3675</v>
      </c>
      <c r="D741" s="16" t="s">
        <v>313</v>
      </c>
      <c r="E741" s="16" t="s">
        <v>3676</v>
      </c>
      <c r="F741" s="40"/>
      <c r="G741" s="33"/>
      <c r="H741" s="73" t="s">
        <v>3677</v>
      </c>
      <c r="I741" s="33"/>
      <c r="J741" s="33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</row>
    <row r="742">
      <c r="A742" s="30">
        <v>45818.0</v>
      </c>
      <c r="B742" s="16" t="s">
        <v>3678</v>
      </c>
      <c r="C742" s="16" t="s">
        <v>3679</v>
      </c>
      <c r="D742" s="16" t="s">
        <v>116</v>
      </c>
      <c r="E742" s="16" t="s">
        <v>3680</v>
      </c>
      <c r="F742" s="30"/>
      <c r="G742" s="33"/>
      <c r="H742" s="73" t="s">
        <v>3681</v>
      </c>
      <c r="I742" s="33"/>
      <c r="J742" s="33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</row>
    <row r="743">
      <c r="A743" s="30">
        <v>45818.0</v>
      </c>
      <c r="B743" s="16" t="s">
        <v>3682</v>
      </c>
      <c r="C743" s="16" t="s">
        <v>3683</v>
      </c>
      <c r="D743" s="16" t="s">
        <v>827</v>
      </c>
      <c r="E743" s="16" t="s">
        <v>828</v>
      </c>
      <c r="F743" s="40"/>
      <c r="G743" s="33"/>
      <c r="H743" s="33"/>
      <c r="I743" s="33"/>
      <c r="J743" s="73" t="s">
        <v>3684</v>
      </c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</row>
    <row r="744">
      <c r="A744" s="30">
        <v>45819.0</v>
      </c>
      <c r="B744" s="16" t="s">
        <v>3685</v>
      </c>
      <c r="C744" s="16" t="s">
        <v>3686</v>
      </c>
      <c r="D744" s="16" t="s">
        <v>122</v>
      </c>
      <c r="E744" s="16" t="s">
        <v>3687</v>
      </c>
      <c r="F744" s="40"/>
      <c r="G744" s="33"/>
      <c r="H744" s="33"/>
      <c r="I744" s="33"/>
      <c r="J744" s="33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</row>
    <row r="745">
      <c r="A745" s="30">
        <v>45819.0</v>
      </c>
      <c r="B745" s="16" t="s">
        <v>3688</v>
      </c>
      <c r="C745" s="16" t="s">
        <v>3689</v>
      </c>
      <c r="D745" s="16" t="s">
        <v>116</v>
      </c>
      <c r="E745" s="16" t="s">
        <v>3690</v>
      </c>
      <c r="F745" s="40"/>
      <c r="G745" s="33"/>
      <c r="H745" s="73" t="s">
        <v>3691</v>
      </c>
      <c r="I745" s="33"/>
      <c r="J745" s="33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</row>
    <row r="746">
      <c r="A746" s="30">
        <v>45819.0</v>
      </c>
      <c r="B746" s="16" t="s">
        <v>3692</v>
      </c>
      <c r="C746" s="16" t="s">
        <v>3693</v>
      </c>
      <c r="D746" s="16" t="s">
        <v>94</v>
      </c>
      <c r="E746" s="16" t="s">
        <v>2366</v>
      </c>
      <c r="F746" s="40"/>
      <c r="G746" s="33"/>
      <c r="H746" s="33"/>
      <c r="I746" s="33"/>
      <c r="J746" s="33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</row>
    <row r="747">
      <c r="A747" s="30">
        <v>45820.0</v>
      </c>
      <c r="B747" s="16" t="s">
        <v>3694</v>
      </c>
      <c r="C747" s="16" t="s">
        <v>3695</v>
      </c>
      <c r="D747" s="16" t="s">
        <v>128</v>
      </c>
      <c r="E747" s="16" t="s">
        <v>2575</v>
      </c>
      <c r="F747" s="40"/>
      <c r="G747" s="33"/>
      <c r="H747" s="33"/>
      <c r="I747" s="33"/>
      <c r="J747" s="33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</row>
    <row r="748">
      <c r="A748" s="30">
        <v>45821.0</v>
      </c>
      <c r="B748" s="16" t="s">
        <v>2950</v>
      </c>
      <c r="C748" s="16" t="s">
        <v>2951</v>
      </c>
      <c r="D748" s="16" t="s">
        <v>697</v>
      </c>
      <c r="E748" s="16" t="s">
        <v>2952</v>
      </c>
      <c r="F748" s="40"/>
      <c r="G748" s="33"/>
      <c r="H748" s="73" t="s">
        <v>3696</v>
      </c>
      <c r="I748" s="33"/>
      <c r="J748" s="33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</row>
    <row r="749">
      <c r="A749" s="30">
        <v>45824.0</v>
      </c>
      <c r="B749" s="16" t="s">
        <v>3697</v>
      </c>
      <c r="C749" s="16" t="s">
        <v>3698</v>
      </c>
      <c r="D749" s="16" t="s">
        <v>1296</v>
      </c>
      <c r="E749" s="16" t="s">
        <v>3699</v>
      </c>
      <c r="F749" s="40"/>
      <c r="G749" s="33"/>
      <c r="H749" s="73" t="s">
        <v>3700</v>
      </c>
      <c r="I749" s="33"/>
      <c r="J749" s="33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</row>
    <row r="750">
      <c r="A750" s="30">
        <v>45824.0</v>
      </c>
      <c r="B750" s="16" t="s">
        <v>3701</v>
      </c>
      <c r="C750" s="16" t="s">
        <v>3702</v>
      </c>
      <c r="D750" s="16" t="s">
        <v>871</v>
      </c>
      <c r="E750" s="16" t="s">
        <v>3703</v>
      </c>
      <c r="F750" s="40"/>
      <c r="G750" s="33"/>
      <c r="H750" s="33"/>
      <c r="I750" s="73" t="s">
        <v>3704</v>
      </c>
      <c r="J750" s="33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</row>
    <row r="751">
      <c r="A751" s="30">
        <v>45824.0</v>
      </c>
      <c r="B751" s="16" t="s">
        <v>3705</v>
      </c>
      <c r="C751" s="16" t="s">
        <v>3706</v>
      </c>
      <c r="D751" s="16" t="s">
        <v>173</v>
      </c>
      <c r="E751" s="16" t="s">
        <v>867</v>
      </c>
      <c r="F751" s="40"/>
      <c r="G751" s="33"/>
      <c r="H751" s="73" t="s">
        <v>3707</v>
      </c>
      <c r="I751" s="33"/>
      <c r="J751" s="33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</row>
    <row r="752">
      <c r="A752" s="30">
        <v>45824.0</v>
      </c>
      <c r="B752" s="16" t="s">
        <v>3708</v>
      </c>
      <c r="C752" s="16" t="s">
        <v>3709</v>
      </c>
      <c r="D752" s="16" t="s">
        <v>3215</v>
      </c>
      <c r="E752" s="16" t="s">
        <v>3710</v>
      </c>
      <c r="F752" s="40"/>
      <c r="G752" s="33"/>
      <c r="H752" s="73" t="s">
        <v>3711</v>
      </c>
      <c r="I752" s="33"/>
      <c r="J752" s="33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</row>
    <row r="753">
      <c r="A753" s="30">
        <v>45824.0</v>
      </c>
      <c r="B753" s="16" t="s">
        <v>3712</v>
      </c>
      <c r="C753" s="16" t="s">
        <v>3713</v>
      </c>
      <c r="D753" s="16" t="s">
        <v>128</v>
      </c>
      <c r="E753" s="16" t="s">
        <v>3665</v>
      </c>
      <c r="F753" s="40"/>
      <c r="G753" s="33"/>
      <c r="H753" s="33"/>
      <c r="I753" s="33"/>
      <c r="J753" s="33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</row>
    <row r="754">
      <c r="A754" s="30">
        <v>45824.0</v>
      </c>
      <c r="B754" s="16" t="s">
        <v>3714</v>
      </c>
      <c r="C754" s="16" t="s">
        <v>3715</v>
      </c>
      <c r="D754" s="16" t="s">
        <v>362</v>
      </c>
      <c r="E754" s="16" t="s">
        <v>3716</v>
      </c>
      <c r="F754" s="40"/>
      <c r="G754" s="33"/>
      <c r="H754" s="73" t="s">
        <v>3717</v>
      </c>
      <c r="I754" s="33"/>
      <c r="J754" s="33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</row>
    <row r="755">
      <c r="A755" s="30">
        <v>45825.0</v>
      </c>
      <c r="B755" s="16" t="s">
        <v>3718</v>
      </c>
      <c r="C755" s="16" t="s">
        <v>3719</v>
      </c>
      <c r="D755" s="16" t="s">
        <v>122</v>
      </c>
      <c r="E755" s="16" t="s">
        <v>43</v>
      </c>
      <c r="F755" s="40"/>
      <c r="G755" s="33"/>
      <c r="H755" s="33"/>
      <c r="I755" s="73" t="s">
        <v>3720</v>
      </c>
      <c r="J755" s="33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</row>
    <row r="756">
      <c r="A756" s="30">
        <v>45826.0</v>
      </c>
      <c r="B756" s="16" t="s">
        <v>3721</v>
      </c>
      <c r="C756" s="16" t="s">
        <v>3722</v>
      </c>
      <c r="D756" s="16" t="s">
        <v>1129</v>
      </c>
      <c r="E756" s="16" t="s">
        <v>1130</v>
      </c>
      <c r="F756" s="40"/>
      <c r="G756" s="33"/>
      <c r="H756" s="73" t="s">
        <v>3723</v>
      </c>
      <c r="I756" s="33"/>
      <c r="J756" s="33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</row>
    <row r="757">
      <c r="A757" s="30">
        <v>45826.0</v>
      </c>
      <c r="B757" s="16" t="s">
        <v>3724</v>
      </c>
      <c r="C757" s="16" t="s">
        <v>3725</v>
      </c>
      <c r="D757" s="16" t="s">
        <v>3726</v>
      </c>
      <c r="E757" s="16" t="s">
        <v>3727</v>
      </c>
      <c r="F757" s="40"/>
      <c r="G757" s="33"/>
      <c r="H757" s="73" t="s">
        <v>3728</v>
      </c>
      <c r="I757" s="33"/>
      <c r="J757" s="33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</row>
    <row r="758">
      <c r="A758" s="30">
        <v>45826.0</v>
      </c>
      <c r="B758" s="16" t="s">
        <v>3729</v>
      </c>
      <c r="C758" s="16" t="s">
        <v>3730</v>
      </c>
      <c r="D758" s="16" t="s">
        <v>128</v>
      </c>
      <c r="E758" s="16" t="s">
        <v>2395</v>
      </c>
      <c r="F758" s="40"/>
      <c r="G758" s="33"/>
      <c r="H758" s="33"/>
      <c r="I758" s="33"/>
      <c r="J758" s="33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</row>
    <row r="759">
      <c r="A759" s="30">
        <v>45826.0</v>
      </c>
      <c r="B759" s="16" t="s">
        <v>3297</v>
      </c>
      <c r="C759" s="16" t="s">
        <v>3298</v>
      </c>
      <c r="D759" s="16" t="s">
        <v>128</v>
      </c>
      <c r="E759" s="16" t="s">
        <v>2642</v>
      </c>
      <c r="F759" s="40"/>
      <c r="G759" s="33"/>
      <c r="H759" s="33"/>
      <c r="I759" s="73" t="s">
        <v>3731</v>
      </c>
      <c r="J759" s="33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</row>
    <row r="760">
      <c r="A760" s="30">
        <v>45826.0</v>
      </c>
      <c r="B760" s="16" t="s">
        <v>3732</v>
      </c>
      <c r="C760" s="16" t="s">
        <v>3733</v>
      </c>
      <c r="D760" s="16" t="s">
        <v>42</v>
      </c>
      <c r="E760" s="16" t="s">
        <v>3543</v>
      </c>
      <c r="F760" s="40"/>
      <c r="G760" s="33"/>
      <c r="H760" s="33"/>
      <c r="I760" s="73" t="s">
        <v>3734</v>
      </c>
      <c r="J760" s="33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</row>
    <row r="761">
      <c r="A761" s="30">
        <v>45827.0</v>
      </c>
      <c r="B761" s="16" t="s">
        <v>3735</v>
      </c>
      <c r="C761" s="16" t="s">
        <v>3736</v>
      </c>
      <c r="D761" s="16" t="s">
        <v>198</v>
      </c>
      <c r="E761" s="16" t="s">
        <v>199</v>
      </c>
      <c r="F761" s="40"/>
      <c r="G761" s="33"/>
      <c r="H761" s="33"/>
      <c r="I761" s="73" t="s">
        <v>3737</v>
      </c>
      <c r="J761" s="33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</row>
    <row r="762">
      <c r="A762" s="30">
        <v>45828.0</v>
      </c>
      <c r="B762" s="16" t="s">
        <v>3738</v>
      </c>
      <c r="C762" s="16" t="s">
        <v>3739</v>
      </c>
      <c r="D762" s="16" t="s">
        <v>1278</v>
      </c>
      <c r="E762" s="16" t="s">
        <v>487</v>
      </c>
      <c r="F762" s="40"/>
      <c r="G762" s="33"/>
      <c r="H762" s="73" t="s">
        <v>3740</v>
      </c>
      <c r="I762" s="33"/>
      <c r="J762" s="33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</row>
    <row r="763">
      <c r="A763" s="30">
        <v>45831.0</v>
      </c>
      <c r="B763" s="16" t="s">
        <v>3741</v>
      </c>
      <c r="C763" s="16" t="s">
        <v>3742</v>
      </c>
      <c r="D763" s="16" t="s">
        <v>706</v>
      </c>
      <c r="E763" s="16" t="s">
        <v>3175</v>
      </c>
      <c r="F763" s="40"/>
      <c r="G763" s="33"/>
      <c r="H763" s="73" t="s">
        <v>3743</v>
      </c>
      <c r="I763" s="33"/>
      <c r="J763" s="33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</row>
    <row r="764">
      <c r="A764" s="30">
        <v>45831.0</v>
      </c>
      <c r="B764" s="35"/>
      <c r="C764" s="16" t="s">
        <v>24</v>
      </c>
      <c r="D764" s="35"/>
      <c r="E764" s="35"/>
      <c r="F764" s="40"/>
      <c r="G764" s="33"/>
      <c r="H764" s="73" t="s">
        <v>3744</v>
      </c>
      <c r="I764" s="33"/>
      <c r="J764" s="33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</row>
    <row r="765">
      <c r="A765" s="30">
        <v>45831.0</v>
      </c>
      <c r="B765" s="16" t="s">
        <v>3745</v>
      </c>
      <c r="C765" s="16" t="s">
        <v>3746</v>
      </c>
      <c r="D765" s="16" t="s">
        <v>28</v>
      </c>
      <c r="E765" s="16" t="s">
        <v>1644</v>
      </c>
      <c r="F765" s="40"/>
      <c r="G765" s="33"/>
      <c r="H765" s="73" t="s">
        <v>3747</v>
      </c>
      <c r="I765" s="33"/>
      <c r="J765" s="33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</row>
    <row r="766">
      <c r="A766" s="30">
        <v>45831.0</v>
      </c>
      <c r="B766" s="16" t="s">
        <v>3748</v>
      </c>
      <c r="C766" s="16" t="s">
        <v>3749</v>
      </c>
      <c r="D766" s="16" t="s">
        <v>173</v>
      </c>
      <c r="E766" s="16" t="s">
        <v>3750</v>
      </c>
      <c r="F766" s="40"/>
      <c r="G766" s="33"/>
      <c r="H766" s="73" t="s">
        <v>3751</v>
      </c>
      <c r="I766" s="33"/>
      <c r="J766" s="33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</row>
    <row r="767">
      <c r="A767" s="30">
        <v>45832.0</v>
      </c>
      <c r="B767" s="16" t="s">
        <v>3752</v>
      </c>
      <c r="C767" s="16" t="s">
        <v>3753</v>
      </c>
      <c r="D767" s="16" t="s">
        <v>122</v>
      </c>
      <c r="E767" s="16" t="s">
        <v>2417</v>
      </c>
      <c r="F767" s="40"/>
      <c r="G767" s="33"/>
      <c r="H767" s="33"/>
      <c r="I767" s="73" t="s">
        <v>3754</v>
      </c>
      <c r="J767" s="33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</row>
    <row r="768">
      <c r="A768" s="30">
        <v>45832.0</v>
      </c>
      <c r="B768" s="16" t="s">
        <v>3755</v>
      </c>
      <c r="C768" s="16" t="s">
        <v>3756</v>
      </c>
      <c r="D768" s="16" t="s">
        <v>122</v>
      </c>
      <c r="E768" s="16" t="s">
        <v>2806</v>
      </c>
      <c r="F768" s="40"/>
      <c r="G768" s="33"/>
      <c r="H768" s="33"/>
      <c r="I768" s="73" t="s">
        <v>3757</v>
      </c>
      <c r="J768" s="33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</row>
    <row r="769">
      <c r="A769" s="30">
        <v>45832.0</v>
      </c>
      <c r="B769" s="16" t="s">
        <v>3758</v>
      </c>
      <c r="C769" s="16" t="s">
        <v>3759</v>
      </c>
      <c r="D769" s="16" t="s">
        <v>476</v>
      </c>
      <c r="E769" s="16" t="s">
        <v>2236</v>
      </c>
      <c r="F769" s="40"/>
      <c r="G769" s="33"/>
      <c r="H769" s="33"/>
      <c r="I769" s="73" t="s">
        <v>3760</v>
      </c>
      <c r="J769" s="33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</row>
    <row r="770">
      <c r="A770" s="30">
        <v>45832.0</v>
      </c>
      <c r="B770" s="16" t="s">
        <v>3761</v>
      </c>
      <c r="C770" s="16" t="s">
        <v>3762</v>
      </c>
      <c r="D770" s="16" t="s">
        <v>94</v>
      </c>
      <c r="E770" s="16" t="s">
        <v>3605</v>
      </c>
      <c r="F770" s="40"/>
      <c r="G770" s="33"/>
      <c r="H770" s="33"/>
      <c r="I770" s="73" t="s">
        <v>3763</v>
      </c>
      <c r="J770" s="33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</row>
    <row r="771">
      <c r="A771" s="30">
        <v>45833.0</v>
      </c>
      <c r="B771" s="16" t="s">
        <v>3764</v>
      </c>
      <c r="C771" s="16" t="s">
        <v>3765</v>
      </c>
      <c r="D771" s="16" t="s">
        <v>71</v>
      </c>
      <c r="E771" s="16" t="s">
        <v>3292</v>
      </c>
      <c r="F771" s="40"/>
      <c r="G771" s="33"/>
      <c r="H771" s="33"/>
      <c r="I771" s="73" t="s">
        <v>3766</v>
      </c>
      <c r="J771" s="33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</row>
    <row r="772">
      <c r="A772" s="30">
        <v>45834.0</v>
      </c>
      <c r="B772" s="16" t="s">
        <v>3767</v>
      </c>
      <c r="C772" s="16" t="s">
        <v>3768</v>
      </c>
      <c r="D772" s="16" t="s">
        <v>216</v>
      </c>
      <c r="E772" s="16" t="s">
        <v>3769</v>
      </c>
      <c r="F772" s="40"/>
      <c r="G772" s="33"/>
      <c r="H772" s="33"/>
      <c r="I772" s="33"/>
      <c r="J772" s="73" t="s">
        <v>3770</v>
      </c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</row>
    <row r="773">
      <c r="A773" s="30">
        <v>45838.0</v>
      </c>
      <c r="B773" s="16" t="s">
        <v>3771</v>
      </c>
      <c r="C773" s="16" t="s">
        <v>3772</v>
      </c>
      <c r="D773" s="16" t="s">
        <v>289</v>
      </c>
      <c r="E773" s="16" t="s">
        <v>3773</v>
      </c>
      <c r="F773" s="40"/>
      <c r="G773" s="33"/>
      <c r="H773" s="33"/>
      <c r="I773" s="33"/>
      <c r="J773" s="73" t="s">
        <v>3774</v>
      </c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</row>
    <row r="774">
      <c r="A774" s="30">
        <v>45838.0</v>
      </c>
      <c r="B774" s="16" t="s">
        <v>3775</v>
      </c>
      <c r="C774" s="16" t="s">
        <v>3776</v>
      </c>
      <c r="D774" s="16" t="s">
        <v>3777</v>
      </c>
      <c r="E774" s="16" t="s">
        <v>3773</v>
      </c>
      <c r="F774" s="40"/>
      <c r="G774" s="33"/>
      <c r="H774" s="33"/>
      <c r="I774" s="33"/>
      <c r="J774" s="73" t="s">
        <v>3778</v>
      </c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</row>
    <row r="775">
      <c r="A775" s="30">
        <v>45838.0</v>
      </c>
      <c r="B775" s="16" t="s">
        <v>3779</v>
      </c>
      <c r="C775" s="16" t="s">
        <v>3780</v>
      </c>
      <c r="D775" s="16" t="s">
        <v>342</v>
      </c>
      <c r="E775" s="16" t="s">
        <v>3781</v>
      </c>
      <c r="F775" s="40"/>
      <c r="G775" s="33"/>
      <c r="H775" s="33"/>
      <c r="I775" s="73" t="s">
        <v>3782</v>
      </c>
      <c r="J775" s="33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</row>
    <row r="776">
      <c r="A776" s="30">
        <v>45839.0</v>
      </c>
      <c r="B776" s="16" t="s">
        <v>3783</v>
      </c>
      <c r="C776" s="16" t="s">
        <v>3784</v>
      </c>
      <c r="D776" s="16" t="s">
        <v>3785</v>
      </c>
      <c r="E776" s="16" t="s">
        <v>3786</v>
      </c>
      <c r="F776" s="40"/>
      <c r="G776" s="33"/>
      <c r="H776" s="33"/>
      <c r="I776" s="33"/>
      <c r="J776" s="73" t="s">
        <v>3787</v>
      </c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</row>
    <row r="777">
      <c r="A777" s="30">
        <v>45839.0</v>
      </c>
      <c r="B777" s="16" t="s">
        <v>3788</v>
      </c>
      <c r="C777" s="16" t="s">
        <v>3789</v>
      </c>
      <c r="D777" s="16" t="s">
        <v>1296</v>
      </c>
      <c r="E777" s="16" t="s">
        <v>410</v>
      </c>
      <c r="F777" s="40"/>
      <c r="G777" s="33"/>
      <c r="H777" s="73" t="s">
        <v>3790</v>
      </c>
      <c r="I777" s="33"/>
      <c r="J777" s="33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</row>
    <row r="778">
      <c r="A778" s="30">
        <v>45839.0</v>
      </c>
      <c r="B778" s="16" t="s">
        <v>3791</v>
      </c>
      <c r="C778" s="16" t="s">
        <v>3792</v>
      </c>
      <c r="D778" s="16" t="s">
        <v>122</v>
      </c>
      <c r="E778" s="16" t="s">
        <v>2757</v>
      </c>
      <c r="F778" s="40"/>
      <c r="G778" s="33"/>
      <c r="H778" s="33"/>
      <c r="I778" s="33"/>
      <c r="J778" s="33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</row>
    <row r="779">
      <c r="A779" s="30">
        <v>45841.0</v>
      </c>
      <c r="B779" s="16" t="s">
        <v>3793</v>
      </c>
      <c r="C779" s="16" t="s">
        <v>3794</v>
      </c>
      <c r="D779" s="16" t="s">
        <v>71</v>
      </c>
      <c r="E779" s="16" t="s">
        <v>2822</v>
      </c>
      <c r="F779" s="40"/>
      <c r="G779" s="33"/>
      <c r="H779" s="33"/>
      <c r="I779" s="73" t="s">
        <v>3795</v>
      </c>
      <c r="J779" s="33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</row>
    <row r="780">
      <c r="A780" s="30">
        <v>45841.0</v>
      </c>
      <c r="B780" s="16" t="s">
        <v>3796</v>
      </c>
      <c r="C780" s="16" t="s">
        <v>3797</v>
      </c>
      <c r="D780" s="16" t="s">
        <v>122</v>
      </c>
      <c r="E780" s="16" t="s">
        <v>582</v>
      </c>
      <c r="F780" s="40"/>
      <c r="G780" s="33"/>
      <c r="H780" s="33"/>
      <c r="I780" s="33"/>
      <c r="J780" s="33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</row>
    <row r="781">
      <c r="A781" s="30">
        <v>45841.0</v>
      </c>
      <c r="B781" s="16" t="s">
        <v>3798</v>
      </c>
      <c r="C781" s="16" t="s">
        <v>3799</v>
      </c>
      <c r="D781" s="16" t="s">
        <v>362</v>
      </c>
      <c r="E781" s="16" t="s">
        <v>363</v>
      </c>
      <c r="F781" s="40"/>
      <c r="G781" s="33"/>
      <c r="H781" s="73" t="s">
        <v>3800</v>
      </c>
      <c r="I781" s="33"/>
      <c r="J781" s="33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</row>
    <row r="782">
      <c r="A782" s="30">
        <v>45841.0</v>
      </c>
      <c r="B782" s="16" t="s">
        <v>3801</v>
      </c>
      <c r="C782" s="16" t="s">
        <v>3802</v>
      </c>
      <c r="D782" s="16" t="s">
        <v>3803</v>
      </c>
      <c r="E782" s="16" t="s">
        <v>624</v>
      </c>
      <c r="F782" s="40"/>
      <c r="G782" s="33"/>
      <c r="H782" s="73" t="s">
        <v>3804</v>
      </c>
      <c r="I782" s="33"/>
      <c r="J782" s="33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</row>
    <row r="783">
      <c r="A783" s="30">
        <v>45842.0</v>
      </c>
      <c r="B783" s="16" t="s">
        <v>1325</v>
      </c>
      <c r="C783" s="16" t="s">
        <v>3805</v>
      </c>
      <c r="D783" s="16" t="s">
        <v>122</v>
      </c>
      <c r="E783" s="16" t="s">
        <v>2642</v>
      </c>
      <c r="F783" s="40"/>
      <c r="G783" s="33"/>
      <c r="H783" s="33"/>
      <c r="I783" s="73" t="s">
        <v>3806</v>
      </c>
      <c r="J783" s="33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</row>
    <row r="784">
      <c r="A784" s="30">
        <v>45845.0</v>
      </c>
      <c r="B784" s="16" t="s">
        <v>3807</v>
      </c>
      <c r="C784" s="16" t="s">
        <v>3808</v>
      </c>
      <c r="D784" s="16" t="s">
        <v>3809</v>
      </c>
      <c r="E784" s="16" t="s">
        <v>3810</v>
      </c>
      <c r="F784" s="40"/>
      <c r="G784" s="33"/>
      <c r="H784" s="73" t="s">
        <v>3811</v>
      </c>
      <c r="I784" s="33"/>
      <c r="J784" s="33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</row>
    <row r="785">
      <c r="A785" s="30">
        <v>45845.0</v>
      </c>
      <c r="B785" s="16" t="s">
        <v>3812</v>
      </c>
      <c r="C785" s="16" t="s">
        <v>3813</v>
      </c>
      <c r="D785" s="16" t="s">
        <v>28</v>
      </c>
      <c r="E785" s="16" t="s">
        <v>3814</v>
      </c>
      <c r="F785" s="40"/>
      <c r="G785" s="33"/>
      <c r="H785" s="73" t="s">
        <v>3815</v>
      </c>
      <c r="I785" s="33"/>
      <c r="J785" s="33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</row>
    <row r="786">
      <c r="A786" s="30">
        <v>45845.0</v>
      </c>
      <c r="B786" s="16" t="s">
        <v>3816</v>
      </c>
      <c r="C786" s="16" t="s">
        <v>3817</v>
      </c>
      <c r="D786" s="16" t="s">
        <v>3818</v>
      </c>
      <c r="E786" s="16" t="s">
        <v>3810</v>
      </c>
      <c r="F786" s="40"/>
      <c r="G786" s="33"/>
      <c r="H786" s="73" t="s">
        <v>3819</v>
      </c>
      <c r="I786" s="33"/>
      <c r="J786" s="33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</row>
    <row r="787">
      <c r="A787" s="30">
        <v>45845.0</v>
      </c>
      <c r="B787" s="16" t="s">
        <v>3820</v>
      </c>
      <c r="C787" s="16" t="s">
        <v>3821</v>
      </c>
      <c r="D787" s="16" t="s">
        <v>1219</v>
      </c>
      <c r="E787" s="16" t="s">
        <v>1220</v>
      </c>
      <c r="F787" s="40"/>
      <c r="G787" s="33"/>
      <c r="H787" s="73" t="s">
        <v>3822</v>
      </c>
      <c r="I787" s="33"/>
      <c r="J787" s="33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</row>
    <row r="788">
      <c r="A788" s="30">
        <v>45846.0</v>
      </c>
      <c r="B788" s="16" t="s">
        <v>3823</v>
      </c>
      <c r="C788" s="16" t="s">
        <v>3824</v>
      </c>
      <c r="D788" s="16" t="s">
        <v>122</v>
      </c>
      <c r="E788" s="16" t="s">
        <v>2642</v>
      </c>
      <c r="F788" s="40"/>
      <c r="G788" s="33"/>
      <c r="H788" s="33"/>
      <c r="I788" s="73" t="s">
        <v>3825</v>
      </c>
      <c r="J788" s="33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</row>
    <row r="789">
      <c r="A789" s="30">
        <v>45846.0</v>
      </c>
      <c r="B789" s="16" t="s">
        <v>3826</v>
      </c>
      <c r="C789" s="16" t="s">
        <v>3827</v>
      </c>
      <c r="D789" s="16" t="s">
        <v>128</v>
      </c>
      <c r="E789" s="16" t="s">
        <v>2642</v>
      </c>
      <c r="F789" s="40"/>
      <c r="G789" s="33"/>
      <c r="H789" s="33"/>
      <c r="I789" s="73" t="s">
        <v>3828</v>
      </c>
      <c r="J789" s="33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</row>
    <row r="790">
      <c r="A790" s="30">
        <v>45846.0</v>
      </c>
      <c r="B790" s="16" t="s">
        <v>3829</v>
      </c>
      <c r="C790" s="16" t="s">
        <v>3830</v>
      </c>
      <c r="D790" s="16" t="s">
        <v>59</v>
      </c>
      <c r="E790" s="16" t="s">
        <v>2575</v>
      </c>
      <c r="F790" s="40"/>
      <c r="G790" s="33"/>
      <c r="H790" s="33"/>
      <c r="I790" s="73" t="s">
        <v>3831</v>
      </c>
      <c r="J790" s="33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</row>
    <row r="791">
      <c r="A791" s="30">
        <v>45847.0</v>
      </c>
      <c r="B791" s="16" t="s">
        <v>3832</v>
      </c>
      <c r="C791" s="16" t="s">
        <v>3833</v>
      </c>
      <c r="D791" s="16" t="s">
        <v>110</v>
      </c>
      <c r="E791" s="16" t="s">
        <v>2468</v>
      </c>
      <c r="F791" s="40"/>
      <c r="G791" s="33"/>
      <c r="H791" s="33"/>
      <c r="I791" s="73" t="s">
        <v>3834</v>
      </c>
      <c r="J791" s="33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</row>
    <row r="792">
      <c r="A792" s="30">
        <v>45847.0</v>
      </c>
      <c r="B792" s="16" t="s">
        <v>3835</v>
      </c>
      <c r="C792" s="16" t="s">
        <v>3836</v>
      </c>
      <c r="D792" s="16" t="s">
        <v>42</v>
      </c>
      <c r="E792" s="16" t="s">
        <v>3837</v>
      </c>
      <c r="F792" s="40"/>
      <c r="G792" s="33"/>
      <c r="H792" s="33"/>
      <c r="I792" s="33"/>
      <c r="J792" s="33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</row>
    <row r="793">
      <c r="A793" s="30">
        <v>45849.0</v>
      </c>
      <c r="B793" s="16" t="s">
        <v>3838</v>
      </c>
      <c r="C793" s="16" t="s">
        <v>3839</v>
      </c>
      <c r="D793" s="16" t="s">
        <v>313</v>
      </c>
      <c r="E793" s="16" t="s">
        <v>3840</v>
      </c>
      <c r="F793" s="30"/>
      <c r="G793" s="33"/>
      <c r="H793" s="73" t="s">
        <v>3841</v>
      </c>
      <c r="I793" s="33"/>
      <c r="J793" s="33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</row>
    <row r="794">
      <c r="A794" s="30">
        <v>45852.0</v>
      </c>
      <c r="B794" s="16" t="s">
        <v>3842</v>
      </c>
      <c r="C794" s="16" t="s">
        <v>3843</v>
      </c>
      <c r="D794" s="16" t="s">
        <v>289</v>
      </c>
      <c r="E794" s="16" t="s">
        <v>290</v>
      </c>
      <c r="F794" s="40"/>
      <c r="G794" s="33"/>
      <c r="H794" s="33"/>
      <c r="I794" s="33"/>
      <c r="J794" s="73" t="s">
        <v>3844</v>
      </c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</row>
    <row r="795">
      <c r="A795" s="30">
        <v>45852.0</v>
      </c>
      <c r="B795" s="16" t="s">
        <v>3845</v>
      </c>
      <c r="C795" s="16" t="s">
        <v>3846</v>
      </c>
      <c r="D795" s="16" t="s">
        <v>128</v>
      </c>
      <c r="E795" s="16" t="s">
        <v>2499</v>
      </c>
      <c r="F795" s="40"/>
      <c r="G795" s="33"/>
      <c r="H795" s="33"/>
      <c r="I795" s="73" t="s">
        <v>3847</v>
      </c>
      <c r="J795" s="33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</row>
    <row r="796">
      <c r="A796" s="30">
        <v>45852.0</v>
      </c>
      <c r="B796" s="16" t="s">
        <v>3848</v>
      </c>
      <c r="C796" s="16" t="s">
        <v>3849</v>
      </c>
      <c r="D796" s="16" t="s">
        <v>122</v>
      </c>
      <c r="E796" s="16" t="s">
        <v>2388</v>
      </c>
      <c r="F796" s="40"/>
      <c r="G796" s="33"/>
      <c r="H796" s="33"/>
      <c r="I796" s="73" t="s">
        <v>3850</v>
      </c>
      <c r="J796" s="33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</row>
    <row r="797">
      <c r="A797" s="30">
        <v>45852.0</v>
      </c>
      <c r="B797" s="16" t="s">
        <v>3851</v>
      </c>
      <c r="C797" s="16" t="s">
        <v>3852</v>
      </c>
      <c r="D797" s="16" t="s">
        <v>116</v>
      </c>
      <c r="E797" s="16" t="s">
        <v>3853</v>
      </c>
      <c r="F797" s="40"/>
      <c r="G797" s="33"/>
      <c r="H797" s="73" t="s">
        <v>3854</v>
      </c>
      <c r="I797" s="33"/>
      <c r="J797" s="33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</row>
    <row r="798">
      <c r="A798" s="30">
        <v>45853.0</v>
      </c>
      <c r="B798" s="16" t="s">
        <v>3855</v>
      </c>
      <c r="C798" s="16" t="s">
        <v>3856</v>
      </c>
      <c r="D798" s="16" t="s">
        <v>231</v>
      </c>
      <c r="E798" s="16" t="s">
        <v>3857</v>
      </c>
      <c r="F798" s="40"/>
      <c r="G798" s="33"/>
      <c r="H798" s="33"/>
      <c r="I798" s="73" t="s">
        <v>3858</v>
      </c>
      <c r="J798" s="33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</row>
    <row r="799">
      <c r="A799" s="30">
        <v>45853.0</v>
      </c>
      <c r="B799" s="16" t="s">
        <v>3859</v>
      </c>
      <c r="C799" s="16" t="s">
        <v>3860</v>
      </c>
      <c r="D799" s="16" t="s">
        <v>71</v>
      </c>
      <c r="E799" s="16" t="s">
        <v>2840</v>
      </c>
      <c r="F799" s="40"/>
      <c r="G799" s="33"/>
      <c r="H799" s="33"/>
      <c r="I799" s="73" t="s">
        <v>3861</v>
      </c>
      <c r="J799" s="33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</row>
    <row r="800">
      <c r="A800" s="30">
        <v>45853.0</v>
      </c>
      <c r="B800" s="16" t="s">
        <v>474</v>
      </c>
      <c r="C800" s="16" t="s">
        <v>475</v>
      </c>
      <c r="D800" s="16" t="s">
        <v>476</v>
      </c>
      <c r="E800" s="16" t="s">
        <v>2395</v>
      </c>
      <c r="F800" s="40"/>
      <c r="G800" s="33"/>
      <c r="H800" s="33"/>
      <c r="I800" s="73" t="s">
        <v>3862</v>
      </c>
      <c r="J800" s="33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</row>
    <row r="801">
      <c r="A801" s="30">
        <v>45853.0</v>
      </c>
      <c r="B801" s="16" t="s">
        <v>3863</v>
      </c>
      <c r="C801" s="16" t="s">
        <v>3864</v>
      </c>
      <c r="D801" s="16" t="s">
        <v>110</v>
      </c>
      <c r="E801" s="16" t="s">
        <v>2757</v>
      </c>
      <c r="F801" s="40"/>
      <c r="G801" s="33"/>
      <c r="H801" s="33"/>
      <c r="I801" s="73" t="s">
        <v>3865</v>
      </c>
      <c r="J801" s="33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</row>
    <row r="802">
      <c r="A802" s="30">
        <v>45853.0</v>
      </c>
      <c r="B802" s="16" t="s">
        <v>3866</v>
      </c>
      <c r="C802" s="16" t="s">
        <v>3867</v>
      </c>
      <c r="D802" s="16" t="s">
        <v>1643</v>
      </c>
      <c r="E802" s="16" t="s">
        <v>3257</v>
      </c>
      <c r="F802" s="40"/>
      <c r="G802" s="33"/>
      <c r="H802" s="73" t="s">
        <v>3868</v>
      </c>
      <c r="I802" s="33"/>
      <c r="J802" s="33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</row>
    <row r="803">
      <c r="A803" s="30">
        <v>45854.0</v>
      </c>
      <c r="B803" s="16" t="s">
        <v>3869</v>
      </c>
      <c r="C803" s="16" t="s">
        <v>3870</v>
      </c>
      <c r="D803" s="16" t="s">
        <v>444</v>
      </c>
      <c r="E803" s="16" t="s">
        <v>3871</v>
      </c>
      <c r="F803" s="40"/>
      <c r="G803" s="33"/>
      <c r="H803" s="33"/>
      <c r="I803" s="73" t="s">
        <v>3872</v>
      </c>
      <c r="J803" s="33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</row>
    <row r="804">
      <c r="A804" s="30">
        <v>45854.0</v>
      </c>
      <c r="B804" s="16" t="s">
        <v>3873</v>
      </c>
      <c r="C804" s="16" t="s">
        <v>3874</v>
      </c>
      <c r="D804" s="16" t="s">
        <v>894</v>
      </c>
      <c r="E804" s="16" t="s">
        <v>3601</v>
      </c>
      <c r="F804" s="40"/>
      <c r="G804" s="33"/>
      <c r="H804" s="33"/>
      <c r="I804" s="73" t="s">
        <v>3875</v>
      </c>
      <c r="J804" s="33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</row>
    <row r="805">
      <c r="A805" s="30">
        <v>45854.0</v>
      </c>
      <c r="B805" s="16" t="s">
        <v>3876</v>
      </c>
      <c r="C805" s="16" t="s">
        <v>3877</v>
      </c>
      <c r="D805" s="16" t="s">
        <v>1149</v>
      </c>
      <c r="E805" s="16" t="s">
        <v>211</v>
      </c>
      <c r="F805" s="40"/>
      <c r="G805" s="33"/>
      <c r="H805" s="73" t="s">
        <v>3878</v>
      </c>
      <c r="I805" s="33"/>
      <c r="J805" s="33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</row>
    <row r="806">
      <c r="A806" s="30">
        <v>45854.0</v>
      </c>
      <c r="B806" s="16" t="s">
        <v>3879</v>
      </c>
      <c r="C806" s="16" t="s">
        <v>3880</v>
      </c>
      <c r="D806" s="16" t="s">
        <v>1305</v>
      </c>
      <c r="E806" s="16" t="s">
        <v>1109</v>
      </c>
      <c r="F806" s="40"/>
      <c r="G806" s="33"/>
      <c r="H806" s="73" t="s">
        <v>3881</v>
      </c>
      <c r="I806" s="33"/>
      <c r="J806" s="33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</row>
    <row r="807">
      <c r="A807" s="30">
        <v>45854.0</v>
      </c>
      <c r="B807" s="16" t="s">
        <v>3882</v>
      </c>
      <c r="C807" s="16" t="s">
        <v>3883</v>
      </c>
      <c r="D807" s="16" t="s">
        <v>47</v>
      </c>
      <c r="E807" s="16" t="s">
        <v>3727</v>
      </c>
      <c r="F807" s="40"/>
      <c r="G807" s="33"/>
      <c r="H807" s="73" t="s">
        <v>3884</v>
      </c>
      <c r="I807" s="33"/>
      <c r="J807" s="33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</row>
    <row r="808">
      <c r="A808" s="30">
        <v>45855.0</v>
      </c>
      <c r="B808" s="16" t="s">
        <v>3885</v>
      </c>
      <c r="C808" s="16" t="s">
        <v>3886</v>
      </c>
      <c r="D808" s="16" t="s">
        <v>128</v>
      </c>
      <c r="E808" s="16" t="s">
        <v>3887</v>
      </c>
      <c r="F808" s="40"/>
      <c r="G808" s="33"/>
      <c r="H808" s="33"/>
      <c r="I808" s="33"/>
      <c r="J808" s="33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</row>
    <row r="809">
      <c r="A809" s="30">
        <v>45856.0</v>
      </c>
      <c r="B809" s="35" t="s">
        <v>3888</v>
      </c>
      <c r="C809" s="35" t="s">
        <v>3889</v>
      </c>
      <c r="D809" s="35" t="s">
        <v>59</v>
      </c>
      <c r="E809" s="35" t="s">
        <v>2380</v>
      </c>
      <c r="F809" s="40"/>
      <c r="G809" s="33"/>
      <c r="H809" s="33"/>
      <c r="I809" s="33"/>
      <c r="J809" s="33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</row>
    <row r="810">
      <c r="A810" s="30">
        <v>45856.0</v>
      </c>
      <c r="B810" s="35" t="s">
        <v>3890</v>
      </c>
      <c r="C810" s="35" t="s">
        <v>3891</v>
      </c>
      <c r="D810" s="35" t="s">
        <v>94</v>
      </c>
      <c r="E810" s="35" t="s">
        <v>3007</v>
      </c>
      <c r="F810" s="40">
        <v>45867.0</v>
      </c>
      <c r="G810" s="33"/>
      <c r="H810" s="33"/>
      <c r="I810" s="73" t="s">
        <v>3892</v>
      </c>
      <c r="J810" s="33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</row>
    <row r="811">
      <c r="A811" s="30">
        <v>45860.0</v>
      </c>
      <c r="B811" s="35" t="s">
        <v>3893</v>
      </c>
      <c r="C811" s="35" t="s">
        <v>3894</v>
      </c>
      <c r="D811" s="35" t="s">
        <v>122</v>
      </c>
      <c r="E811" s="35" t="s">
        <v>3687</v>
      </c>
      <c r="F811" s="40">
        <v>45854.0</v>
      </c>
      <c r="G811" s="33"/>
      <c r="H811" s="33"/>
      <c r="I811" s="33"/>
      <c r="J811" s="33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</row>
    <row r="812">
      <c r="A812" s="30">
        <v>45860.0</v>
      </c>
      <c r="B812" s="35" t="s">
        <v>3895</v>
      </c>
      <c r="C812" s="35" t="s">
        <v>3896</v>
      </c>
      <c r="D812" s="35" t="s">
        <v>128</v>
      </c>
      <c r="E812" s="35" t="s">
        <v>3687</v>
      </c>
      <c r="F812" s="40">
        <v>45846.0</v>
      </c>
      <c r="G812" s="33"/>
      <c r="H812" s="33"/>
      <c r="I812" s="33"/>
      <c r="J812" s="33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</row>
    <row r="813">
      <c r="A813" s="30">
        <v>45860.0</v>
      </c>
      <c r="B813" s="35" t="s">
        <v>3897</v>
      </c>
      <c r="C813" s="35" t="s">
        <v>3898</v>
      </c>
      <c r="D813" s="35" t="s">
        <v>128</v>
      </c>
      <c r="E813" s="35" t="s">
        <v>2616</v>
      </c>
      <c r="F813" s="40">
        <v>45880.0</v>
      </c>
      <c r="G813" s="33"/>
      <c r="H813" s="33"/>
      <c r="I813" s="73" t="s">
        <v>3899</v>
      </c>
      <c r="J813" s="33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</row>
    <row r="814">
      <c r="A814" s="30">
        <v>45860.0</v>
      </c>
      <c r="B814" s="35" t="s">
        <v>3900</v>
      </c>
      <c r="C814" s="35" t="s">
        <v>3901</v>
      </c>
      <c r="D814" s="35" t="s">
        <v>3902</v>
      </c>
      <c r="E814" s="35" t="s">
        <v>3903</v>
      </c>
      <c r="F814" s="40">
        <v>45901.0</v>
      </c>
      <c r="G814" s="33"/>
      <c r="H814" s="73" t="s">
        <v>3904</v>
      </c>
      <c r="I814" s="33"/>
      <c r="J814" s="33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</row>
    <row r="815">
      <c r="A815" s="30">
        <v>45861.0</v>
      </c>
      <c r="B815" s="35" t="s">
        <v>3905</v>
      </c>
      <c r="C815" s="35" t="s">
        <v>3906</v>
      </c>
      <c r="D815" s="35" t="s">
        <v>1296</v>
      </c>
      <c r="E815" s="35" t="s">
        <v>410</v>
      </c>
      <c r="F815" s="40">
        <v>45870.0</v>
      </c>
      <c r="G815" s="33"/>
      <c r="H815" s="73" t="s">
        <v>3907</v>
      </c>
      <c r="I815" s="33"/>
      <c r="J815" s="33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</row>
    <row r="816">
      <c r="A816" s="30">
        <v>45861.0</v>
      </c>
      <c r="B816" s="35" t="s">
        <v>3908</v>
      </c>
      <c r="C816" s="35" t="s">
        <v>3909</v>
      </c>
      <c r="D816" s="35" t="s">
        <v>362</v>
      </c>
      <c r="E816" s="35" t="s">
        <v>3910</v>
      </c>
      <c r="F816" s="40">
        <v>45870.0</v>
      </c>
      <c r="G816" s="33"/>
      <c r="H816" s="73" t="s">
        <v>3911</v>
      </c>
      <c r="I816" s="33"/>
      <c r="J816" s="33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</row>
    <row r="817">
      <c r="A817" s="30">
        <v>45861.0</v>
      </c>
      <c r="B817" s="35" t="s">
        <v>3912</v>
      </c>
      <c r="C817" s="35" t="s">
        <v>3913</v>
      </c>
      <c r="D817" s="35" t="s">
        <v>362</v>
      </c>
      <c r="E817" s="35" t="s">
        <v>3914</v>
      </c>
      <c r="F817" s="40">
        <v>45901.0</v>
      </c>
      <c r="G817" s="33"/>
      <c r="H817" s="73" t="s">
        <v>3915</v>
      </c>
      <c r="I817" s="33"/>
      <c r="J817" s="33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</row>
    <row r="818">
      <c r="A818" s="30">
        <v>45862.0</v>
      </c>
      <c r="B818" s="35" t="s">
        <v>3916</v>
      </c>
      <c r="C818" s="35" t="s">
        <v>3917</v>
      </c>
      <c r="D818" s="35" t="s">
        <v>71</v>
      </c>
      <c r="E818" s="35" t="s">
        <v>2483</v>
      </c>
      <c r="F818" s="40">
        <v>45870.0</v>
      </c>
      <c r="G818" s="33"/>
      <c r="H818" s="33"/>
      <c r="I818" s="73" t="s">
        <v>3918</v>
      </c>
      <c r="J818" s="33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</row>
    <row r="819">
      <c r="A819" s="30">
        <v>45863.0</v>
      </c>
      <c r="B819" s="35" t="s">
        <v>3919</v>
      </c>
      <c r="C819" s="35" t="s">
        <v>3920</v>
      </c>
      <c r="D819" s="35" t="s">
        <v>342</v>
      </c>
      <c r="E819" s="35" t="s">
        <v>3921</v>
      </c>
      <c r="F819" s="40">
        <v>45901.0</v>
      </c>
      <c r="G819" s="33"/>
      <c r="H819" s="73" t="s">
        <v>3922</v>
      </c>
      <c r="I819" s="33"/>
      <c r="J819" s="33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</row>
    <row r="820">
      <c r="A820" s="30">
        <v>45863.0</v>
      </c>
      <c r="B820" s="35" t="s">
        <v>3923</v>
      </c>
      <c r="C820" s="35" t="s">
        <v>3924</v>
      </c>
      <c r="D820" s="35" t="s">
        <v>173</v>
      </c>
      <c r="E820" s="35" t="s">
        <v>3380</v>
      </c>
      <c r="F820" s="40">
        <v>45887.0</v>
      </c>
      <c r="G820" s="33"/>
      <c r="H820" s="73" t="s">
        <v>3925</v>
      </c>
      <c r="I820" s="33"/>
      <c r="J820" s="33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</row>
    <row r="821">
      <c r="A821" s="30">
        <v>45867.0</v>
      </c>
      <c r="B821" s="35" t="s">
        <v>3926</v>
      </c>
      <c r="C821" s="35" t="s">
        <v>3927</v>
      </c>
      <c r="D821" s="35" t="s">
        <v>53</v>
      </c>
      <c r="E821" s="35" t="s">
        <v>3175</v>
      </c>
      <c r="F821" s="40">
        <v>45870.0</v>
      </c>
      <c r="G821" s="33"/>
      <c r="H821" s="73" t="s">
        <v>3928</v>
      </c>
      <c r="I821" s="33"/>
      <c r="J821" s="33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</row>
    <row r="822">
      <c r="A822" s="30">
        <v>45868.0</v>
      </c>
      <c r="B822" s="35" t="s">
        <v>3929</v>
      </c>
      <c r="C822" s="35" t="s">
        <v>3930</v>
      </c>
      <c r="D822" s="35" t="s">
        <v>394</v>
      </c>
      <c r="E822" s="35" t="s">
        <v>3420</v>
      </c>
      <c r="F822" s="40">
        <v>45877.0</v>
      </c>
      <c r="G822" s="33"/>
      <c r="H822" s="86"/>
      <c r="I822" s="73" t="s">
        <v>3931</v>
      </c>
      <c r="J822" s="33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</row>
    <row r="823">
      <c r="A823" s="30">
        <v>45868.0</v>
      </c>
      <c r="B823" s="35" t="s">
        <v>3932</v>
      </c>
      <c r="C823" s="35" t="s">
        <v>3933</v>
      </c>
      <c r="D823" s="35" t="s">
        <v>414</v>
      </c>
      <c r="E823" s="35" t="s">
        <v>2483</v>
      </c>
      <c r="F823" s="40">
        <v>45870.0</v>
      </c>
      <c r="G823" s="33"/>
      <c r="H823" s="33"/>
      <c r="I823" s="73" t="s">
        <v>3934</v>
      </c>
      <c r="J823" s="33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</row>
    <row r="824">
      <c r="A824" s="30">
        <v>45868.0</v>
      </c>
      <c r="B824" s="35" t="s">
        <v>3935</v>
      </c>
      <c r="C824" s="35" t="s">
        <v>3936</v>
      </c>
      <c r="D824" s="35" t="s">
        <v>414</v>
      </c>
      <c r="E824" s="35" t="s">
        <v>2483</v>
      </c>
      <c r="F824" s="40">
        <v>45870.0</v>
      </c>
      <c r="G824" s="33"/>
      <c r="H824" s="33"/>
      <c r="I824" s="73" t="s">
        <v>3937</v>
      </c>
      <c r="J824" s="33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</row>
    <row r="825">
      <c r="A825" s="30">
        <v>45868.0</v>
      </c>
      <c r="B825" s="35" t="s">
        <v>3938</v>
      </c>
      <c r="C825" s="35" t="s">
        <v>3939</v>
      </c>
      <c r="D825" s="35" t="s">
        <v>128</v>
      </c>
      <c r="E825" s="35" t="s">
        <v>2658</v>
      </c>
      <c r="F825" s="40">
        <v>45895.0</v>
      </c>
      <c r="G825" s="33"/>
      <c r="H825" s="33"/>
      <c r="I825" s="73" t="s">
        <v>3940</v>
      </c>
      <c r="J825" s="33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</row>
    <row r="826">
      <c r="A826" s="30">
        <v>45869.0</v>
      </c>
      <c r="B826" s="35" t="s">
        <v>3941</v>
      </c>
      <c r="C826" s="35" t="s">
        <v>3942</v>
      </c>
      <c r="D826" s="35" t="s">
        <v>78</v>
      </c>
      <c r="E826" s="35" t="s">
        <v>3943</v>
      </c>
      <c r="F826" s="40">
        <v>45901.0</v>
      </c>
      <c r="G826" s="33"/>
      <c r="H826" s="73" t="s">
        <v>3944</v>
      </c>
      <c r="I826" s="33"/>
      <c r="J826" s="33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</row>
    <row r="827" ht="17.25" customHeight="1">
      <c r="A827" s="30">
        <v>45870.0</v>
      </c>
      <c r="B827" s="35" t="s">
        <v>3945</v>
      </c>
      <c r="C827" s="35" t="s">
        <v>3946</v>
      </c>
      <c r="D827" s="35" t="s">
        <v>1149</v>
      </c>
      <c r="E827" s="35" t="s">
        <v>410</v>
      </c>
      <c r="F827" s="40">
        <v>45875.0</v>
      </c>
      <c r="G827" s="33"/>
      <c r="H827" s="33"/>
      <c r="I827" s="73" t="s">
        <v>3947</v>
      </c>
      <c r="J827" s="33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</row>
    <row r="828">
      <c r="A828" s="30">
        <v>45870.0</v>
      </c>
      <c r="B828" s="35" t="s">
        <v>3948</v>
      </c>
      <c r="C828" s="35" t="s">
        <v>3949</v>
      </c>
      <c r="D828" s="35" t="s">
        <v>3785</v>
      </c>
      <c r="E828" s="35" t="s">
        <v>410</v>
      </c>
      <c r="F828" s="40">
        <v>45885.0</v>
      </c>
      <c r="G828" s="33"/>
      <c r="H828" s="73" t="s">
        <v>3950</v>
      </c>
      <c r="I828" s="33"/>
      <c r="J828" s="33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</row>
    <row r="829">
      <c r="A829" s="30">
        <v>45870.0</v>
      </c>
      <c r="B829" s="35" t="s">
        <v>3951</v>
      </c>
      <c r="C829" s="35" t="s">
        <v>3952</v>
      </c>
      <c r="D829" s="35" t="s">
        <v>254</v>
      </c>
      <c r="E829" s="35" t="s">
        <v>3953</v>
      </c>
      <c r="F829" s="40">
        <v>45901.0</v>
      </c>
      <c r="G829" s="33"/>
      <c r="H829" s="73" t="s">
        <v>3954</v>
      </c>
      <c r="I829" s="33"/>
      <c r="J829" s="33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</row>
    <row r="830">
      <c r="A830" s="30">
        <v>45873.0</v>
      </c>
      <c r="B830" s="35" t="s">
        <v>3955</v>
      </c>
      <c r="C830" s="35" t="s">
        <v>3956</v>
      </c>
      <c r="D830" s="35" t="s">
        <v>1078</v>
      </c>
      <c r="E830" s="35" t="s">
        <v>2952</v>
      </c>
      <c r="F830" s="40">
        <v>45901.0</v>
      </c>
      <c r="G830" s="33"/>
      <c r="H830" s="73" t="s">
        <v>3957</v>
      </c>
      <c r="I830" s="33"/>
      <c r="J830" s="33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</row>
    <row r="831">
      <c r="A831" s="30">
        <v>45873.0</v>
      </c>
      <c r="B831" s="35" t="s">
        <v>3958</v>
      </c>
      <c r="C831" s="35" t="s">
        <v>3959</v>
      </c>
      <c r="D831" s="35" t="s">
        <v>110</v>
      </c>
      <c r="E831" s="35" t="s">
        <v>3292</v>
      </c>
      <c r="F831" s="40">
        <v>45885.0</v>
      </c>
      <c r="G831" s="33"/>
      <c r="H831" s="33"/>
      <c r="I831" s="73" t="s">
        <v>3960</v>
      </c>
      <c r="J831" s="33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</row>
    <row r="832">
      <c r="A832" s="30">
        <v>45874.0</v>
      </c>
      <c r="B832" s="35" t="s">
        <v>3961</v>
      </c>
      <c r="C832" s="35" t="s">
        <v>3962</v>
      </c>
      <c r="D832" s="35" t="s">
        <v>122</v>
      </c>
      <c r="E832" s="35" t="s">
        <v>2843</v>
      </c>
      <c r="F832" s="40">
        <v>45872.0</v>
      </c>
      <c r="G832" s="33"/>
      <c r="H832" s="33"/>
      <c r="I832" s="33"/>
      <c r="J832" s="33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</row>
    <row r="833">
      <c r="A833" s="30">
        <v>45875.0</v>
      </c>
      <c r="B833" s="35" t="s">
        <v>3963</v>
      </c>
      <c r="C833" s="35" t="s">
        <v>3964</v>
      </c>
      <c r="D833" s="35" t="s">
        <v>110</v>
      </c>
      <c r="E833" s="35" t="s">
        <v>2380</v>
      </c>
      <c r="F833" s="40">
        <v>45871.0</v>
      </c>
      <c r="G833" s="33"/>
      <c r="H833" s="33"/>
      <c r="I833" s="33"/>
      <c r="J833" s="33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</row>
    <row r="834">
      <c r="A834" s="30">
        <v>45876.0</v>
      </c>
      <c r="B834" s="35" t="s">
        <v>3965</v>
      </c>
      <c r="C834" s="35" t="s">
        <v>3966</v>
      </c>
      <c r="D834" s="35" t="s">
        <v>444</v>
      </c>
      <c r="E834" s="35" t="s">
        <v>3616</v>
      </c>
      <c r="F834" s="40">
        <v>45870.0</v>
      </c>
      <c r="G834" s="33"/>
      <c r="H834" s="33"/>
      <c r="I834" s="33"/>
      <c r="J834" s="33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</row>
    <row r="835">
      <c r="A835" s="30">
        <v>45876.0</v>
      </c>
      <c r="B835" s="35" t="s">
        <v>3967</v>
      </c>
      <c r="C835" s="35" t="s">
        <v>3968</v>
      </c>
      <c r="D835" s="35" t="s">
        <v>198</v>
      </c>
      <c r="E835" s="35" t="s">
        <v>624</v>
      </c>
      <c r="F835" s="40">
        <v>45874.0</v>
      </c>
      <c r="G835" s="33"/>
      <c r="H835" s="33"/>
      <c r="I835" s="33"/>
      <c r="J835" s="33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</row>
    <row r="836">
      <c r="A836" s="30">
        <v>45876.0</v>
      </c>
      <c r="B836" s="35" t="s">
        <v>3969</v>
      </c>
      <c r="C836" s="35" t="s">
        <v>3970</v>
      </c>
      <c r="D836" s="35" t="s">
        <v>128</v>
      </c>
      <c r="E836" s="35" t="s">
        <v>2843</v>
      </c>
      <c r="F836" s="40">
        <v>45876.0</v>
      </c>
      <c r="G836" s="33"/>
      <c r="H836" s="33"/>
      <c r="I836" s="33"/>
      <c r="J836" s="33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</row>
    <row r="837">
      <c r="A837" s="30">
        <v>45876.0</v>
      </c>
      <c r="B837" s="35" t="s">
        <v>3971</v>
      </c>
      <c r="C837" s="35" t="s">
        <v>3972</v>
      </c>
      <c r="D837" s="35" t="s">
        <v>173</v>
      </c>
      <c r="E837" s="35" t="s">
        <v>3973</v>
      </c>
      <c r="F837" s="40">
        <v>45901.0</v>
      </c>
      <c r="G837" s="33"/>
      <c r="H837" s="73" t="s">
        <v>3974</v>
      </c>
      <c r="I837" s="33"/>
      <c r="J837" s="33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</row>
    <row r="838">
      <c r="A838" s="30">
        <v>45877.0</v>
      </c>
      <c r="B838" s="35" t="s">
        <v>3975</v>
      </c>
      <c r="C838" s="35" t="s">
        <v>197</v>
      </c>
      <c r="D838" s="35" t="s">
        <v>706</v>
      </c>
      <c r="E838" s="35" t="s">
        <v>3007</v>
      </c>
      <c r="F838" s="40">
        <v>45906.0</v>
      </c>
      <c r="G838" s="33"/>
      <c r="H838" s="33"/>
      <c r="I838" s="73" t="s">
        <v>3976</v>
      </c>
      <c r="J838" s="33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</row>
    <row r="839">
      <c r="A839" s="30">
        <v>45877.0</v>
      </c>
      <c r="B839" s="35" t="s">
        <v>3977</v>
      </c>
      <c r="C839" s="35" t="s">
        <v>3978</v>
      </c>
      <c r="D839" s="35" t="s">
        <v>65</v>
      </c>
      <c r="E839" s="35" t="s">
        <v>3397</v>
      </c>
      <c r="F839" s="40">
        <v>45901.0</v>
      </c>
      <c r="G839" s="33"/>
      <c r="H839" s="73" t="s">
        <v>3979</v>
      </c>
      <c r="I839" s="33"/>
      <c r="J839" s="33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</row>
    <row r="840">
      <c r="A840" s="30">
        <v>45882.0</v>
      </c>
      <c r="B840" s="35" t="s">
        <v>3980</v>
      </c>
      <c r="C840" s="35" t="s">
        <v>3981</v>
      </c>
      <c r="D840" s="35" t="s">
        <v>313</v>
      </c>
      <c r="E840" s="35" t="s">
        <v>203</v>
      </c>
      <c r="F840" s="40">
        <v>45913.0</v>
      </c>
      <c r="G840" s="33"/>
      <c r="H840" s="73" t="s">
        <v>3982</v>
      </c>
      <c r="I840" s="33"/>
      <c r="J840" s="33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</row>
    <row r="841">
      <c r="A841" s="30">
        <v>45883.0</v>
      </c>
      <c r="B841" s="35" t="s">
        <v>3983</v>
      </c>
      <c r="C841" s="35" t="s">
        <v>3984</v>
      </c>
      <c r="D841" s="35" t="s">
        <v>65</v>
      </c>
      <c r="E841" s="35" t="s">
        <v>522</v>
      </c>
      <c r="F841" s="40">
        <v>45876.0</v>
      </c>
      <c r="G841" s="33"/>
      <c r="H841" s="33"/>
      <c r="I841" s="33"/>
      <c r="J841" s="33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</row>
    <row r="842">
      <c r="A842" s="30">
        <v>45884.0</v>
      </c>
      <c r="B842" s="35" t="s">
        <v>3985</v>
      </c>
      <c r="C842" s="35" t="s">
        <v>3986</v>
      </c>
      <c r="D842" s="35" t="s">
        <v>3726</v>
      </c>
      <c r="E842" s="35" t="s">
        <v>3472</v>
      </c>
      <c r="F842" s="40">
        <v>45901.0</v>
      </c>
      <c r="G842" s="33"/>
      <c r="H842" s="33"/>
      <c r="I842" s="73" t="s">
        <v>3987</v>
      </c>
      <c r="J842" s="33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</row>
    <row r="843">
      <c r="A843" s="30">
        <v>45884.0</v>
      </c>
      <c r="B843" s="35" t="s">
        <v>3988</v>
      </c>
      <c r="C843" s="35" t="s">
        <v>3989</v>
      </c>
      <c r="D843" s="35" t="s">
        <v>1078</v>
      </c>
      <c r="E843" s="35" t="s">
        <v>3059</v>
      </c>
      <c r="F843" s="40">
        <v>45931.0</v>
      </c>
      <c r="G843" s="33"/>
      <c r="H843" s="33"/>
      <c r="I843" s="73" t="s">
        <v>3990</v>
      </c>
      <c r="J843" s="33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</row>
    <row r="844">
      <c r="A844" s="30">
        <v>45884.0</v>
      </c>
      <c r="B844" s="35" t="s">
        <v>3991</v>
      </c>
      <c r="C844" s="35" t="s">
        <v>3992</v>
      </c>
      <c r="D844" s="35" t="s">
        <v>333</v>
      </c>
      <c r="E844" s="35" t="s">
        <v>211</v>
      </c>
      <c r="F844" s="40">
        <v>45916.0</v>
      </c>
      <c r="G844" s="33"/>
      <c r="H844" s="73" t="s">
        <v>3993</v>
      </c>
      <c r="I844" s="33"/>
      <c r="J844" s="33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</row>
    <row r="845">
      <c r="A845" s="30">
        <v>45887.0</v>
      </c>
      <c r="B845" s="35" t="s">
        <v>3994</v>
      </c>
      <c r="C845" s="35" t="s">
        <v>3995</v>
      </c>
      <c r="D845" s="35" t="s">
        <v>128</v>
      </c>
      <c r="E845" s="35" t="s">
        <v>3996</v>
      </c>
      <c r="F845" s="40">
        <v>45885.0</v>
      </c>
      <c r="G845" s="33"/>
      <c r="H845" s="33"/>
      <c r="I845" s="33"/>
      <c r="J845" s="33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</row>
    <row r="846">
      <c r="A846" s="30">
        <v>45887.0</v>
      </c>
      <c r="B846" s="35" t="s">
        <v>3997</v>
      </c>
      <c r="C846" s="35" t="s">
        <v>3998</v>
      </c>
      <c r="D846" s="35" t="s">
        <v>394</v>
      </c>
      <c r="E846" s="35" t="s">
        <v>2772</v>
      </c>
      <c r="F846" s="40">
        <v>45883.0</v>
      </c>
      <c r="G846" s="33"/>
      <c r="H846" s="33"/>
      <c r="I846" s="33"/>
      <c r="J846" s="33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</row>
    <row r="847">
      <c r="A847" s="30">
        <v>45887.0</v>
      </c>
      <c r="B847" s="35" t="s">
        <v>3999</v>
      </c>
      <c r="C847" s="35" t="s">
        <v>4000</v>
      </c>
      <c r="D847" s="35" t="s">
        <v>65</v>
      </c>
      <c r="E847" s="35" t="s">
        <v>334</v>
      </c>
      <c r="F847" s="40">
        <v>45920.0</v>
      </c>
      <c r="G847" s="33"/>
      <c r="H847" s="73" t="s">
        <v>4001</v>
      </c>
      <c r="I847" s="33"/>
      <c r="J847" s="33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</row>
    <row r="848">
      <c r="A848" s="30">
        <v>45888.0</v>
      </c>
      <c r="B848" s="35" t="s">
        <v>4002</v>
      </c>
      <c r="C848" s="35" t="s">
        <v>4003</v>
      </c>
      <c r="D848" s="35" t="s">
        <v>128</v>
      </c>
      <c r="E848" s="35" t="s">
        <v>2437</v>
      </c>
      <c r="F848" s="40">
        <v>45916.0</v>
      </c>
      <c r="G848" s="33"/>
      <c r="H848" s="33"/>
      <c r="I848" s="73" t="s">
        <v>4004</v>
      </c>
      <c r="J848" s="33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</row>
    <row r="849">
      <c r="A849" s="30">
        <v>45888.0</v>
      </c>
      <c r="B849" s="35" t="s">
        <v>4005</v>
      </c>
      <c r="C849" s="35" t="s">
        <v>4006</v>
      </c>
      <c r="D849" s="35" t="s">
        <v>122</v>
      </c>
      <c r="E849" s="35" t="s">
        <v>43</v>
      </c>
      <c r="F849" s="40">
        <v>45901.0</v>
      </c>
      <c r="G849" s="33"/>
      <c r="H849" s="33"/>
      <c r="I849" s="73" t="s">
        <v>4007</v>
      </c>
      <c r="J849" s="33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</row>
    <row r="850">
      <c r="A850" s="30">
        <v>45888.0</v>
      </c>
      <c r="B850" s="35" t="s">
        <v>4008</v>
      </c>
      <c r="C850" s="35" t="s">
        <v>4009</v>
      </c>
      <c r="D850" s="35" t="s">
        <v>116</v>
      </c>
      <c r="E850" s="35" t="s">
        <v>3059</v>
      </c>
      <c r="F850" s="40">
        <v>45931.0</v>
      </c>
      <c r="G850" s="33"/>
      <c r="H850" s="33"/>
      <c r="I850" s="73" t="s">
        <v>4010</v>
      </c>
      <c r="J850" s="33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</row>
    <row r="851">
      <c r="A851" s="30">
        <v>45888.0</v>
      </c>
      <c r="B851" s="35" t="s">
        <v>4011</v>
      </c>
      <c r="C851" s="35" t="s">
        <v>4012</v>
      </c>
      <c r="D851" s="35" t="s">
        <v>94</v>
      </c>
      <c r="E851" s="35" t="s">
        <v>2425</v>
      </c>
      <c r="F851" s="40">
        <v>45913.0</v>
      </c>
      <c r="G851" s="33"/>
      <c r="H851" s="33"/>
      <c r="I851" s="73" t="s">
        <v>4013</v>
      </c>
      <c r="J851" s="33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</row>
    <row r="852">
      <c r="A852" s="30">
        <v>45888.0</v>
      </c>
      <c r="B852" s="35" t="s">
        <v>4014</v>
      </c>
      <c r="C852" s="35" t="s">
        <v>4015</v>
      </c>
      <c r="D852" s="35" t="s">
        <v>122</v>
      </c>
      <c r="E852" s="35" t="s">
        <v>2451</v>
      </c>
      <c r="F852" s="40">
        <v>45931.0</v>
      </c>
      <c r="G852" s="33"/>
      <c r="H852" s="33"/>
      <c r="I852" s="73" t="s">
        <v>4016</v>
      </c>
      <c r="J852" s="33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</row>
    <row r="853">
      <c r="A853" s="30">
        <v>45889.0</v>
      </c>
      <c r="B853" s="35" t="s">
        <v>4017</v>
      </c>
      <c r="C853" s="35" t="s">
        <v>4018</v>
      </c>
      <c r="D853" s="35" t="s">
        <v>122</v>
      </c>
      <c r="E853" s="35" t="s">
        <v>2451</v>
      </c>
      <c r="F853" s="40">
        <v>45931.0</v>
      </c>
      <c r="G853" s="33"/>
      <c r="H853" s="33"/>
      <c r="I853" s="73" t="s">
        <v>4019</v>
      </c>
      <c r="J853" s="33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</row>
    <row r="854">
      <c r="A854" s="30">
        <v>45890.0</v>
      </c>
      <c r="B854" s="35" t="s">
        <v>4020</v>
      </c>
      <c r="C854" s="35" t="s">
        <v>4021</v>
      </c>
      <c r="D854" s="35" t="s">
        <v>128</v>
      </c>
      <c r="E854" s="35" t="s">
        <v>2395</v>
      </c>
      <c r="F854" s="40">
        <v>45901.0</v>
      </c>
      <c r="G854" s="33"/>
      <c r="H854" s="33"/>
      <c r="I854" s="73" t="s">
        <v>4022</v>
      </c>
      <c r="J854" s="33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</row>
    <row r="855">
      <c r="A855" s="30">
        <v>45891.0</v>
      </c>
      <c r="B855" s="35" t="s">
        <v>4023</v>
      </c>
      <c r="C855" s="35" t="s">
        <v>4024</v>
      </c>
      <c r="D855" s="35" t="s">
        <v>706</v>
      </c>
      <c r="E855" s="35" t="s">
        <v>4025</v>
      </c>
      <c r="F855" s="40">
        <v>45931.0</v>
      </c>
      <c r="G855" s="33"/>
      <c r="H855" s="73" t="s">
        <v>4026</v>
      </c>
      <c r="I855" s="33"/>
      <c r="J855" s="33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</row>
    <row r="856">
      <c r="A856" s="30">
        <v>45891.0</v>
      </c>
      <c r="B856" s="35" t="s">
        <v>4027</v>
      </c>
      <c r="C856" s="35" t="s">
        <v>4028</v>
      </c>
      <c r="D856" s="35" t="s">
        <v>2305</v>
      </c>
      <c r="E856" s="35" t="s">
        <v>3154</v>
      </c>
      <c r="F856" s="40">
        <v>45901.0</v>
      </c>
      <c r="G856" s="33"/>
      <c r="H856" s="73" t="s">
        <v>4029</v>
      </c>
      <c r="I856" s="33"/>
      <c r="J856" s="33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</row>
    <row r="857">
      <c r="A857" s="30">
        <v>45891.0</v>
      </c>
      <c r="B857" s="35" t="s">
        <v>4030</v>
      </c>
      <c r="C857" s="35" t="s">
        <v>4031</v>
      </c>
      <c r="D857" s="35" t="s">
        <v>128</v>
      </c>
      <c r="E857" s="35" t="s">
        <v>2458</v>
      </c>
      <c r="F857" s="40">
        <v>45891.0</v>
      </c>
      <c r="G857" s="33"/>
      <c r="H857" s="33"/>
      <c r="I857" s="33"/>
      <c r="J857" s="33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</row>
    <row r="858">
      <c r="A858" s="30">
        <v>45894.0</v>
      </c>
      <c r="B858" s="35" t="s">
        <v>4032</v>
      </c>
      <c r="C858" s="35" t="s">
        <v>4033</v>
      </c>
      <c r="D858" s="35" t="s">
        <v>122</v>
      </c>
      <c r="E858" s="35" t="s">
        <v>158</v>
      </c>
      <c r="F858" s="40">
        <v>45889.0</v>
      </c>
      <c r="G858" s="33"/>
      <c r="H858" s="33"/>
      <c r="I858" s="33"/>
      <c r="J858" s="33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</row>
    <row r="859">
      <c r="A859" s="30">
        <v>45894.0</v>
      </c>
      <c r="B859" s="16" t="s">
        <v>4034</v>
      </c>
      <c r="C859" s="35" t="s">
        <v>4035</v>
      </c>
      <c r="D859" s="35" t="s">
        <v>289</v>
      </c>
      <c r="E859" s="35" t="s">
        <v>290</v>
      </c>
      <c r="F859" s="40">
        <v>45901.0</v>
      </c>
      <c r="G859" s="33"/>
      <c r="H859" s="33"/>
      <c r="I859" s="33"/>
      <c r="J859" s="73" t="s">
        <v>3844</v>
      </c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</row>
    <row r="860">
      <c r="A860" s="30">
        <v>45895.0</v>
      </c>
      <c r="B860" s="35" t="s">
        <v>4036</v>
      </c>
      <c r="C860" s="35" t="s">
        <v>4037</v>
      </c>
      <c r="D860" s="35" t="s">
        <v>2015</v>
      </c>
      <c r="E860" s="35" t="s">
        <v>3186</v>
      </c>
      <c r="F860" s="40">
        <v>45913.0</v>
      </c>
      <c r="G860" s="33"/>
      <c r="H860" s="33"/>
      <c r="I860" s="33"/>
      <c r="J860" s="73" t="s">
        <v>4038</v>
      </c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</row>
    <row r="861">
      <c r="A861" s="30">
        <v>45895.0</v>
      </c>
      <c r="B861" s="35" t="s">
        <v>4039</v>
      </c>
      <c r="C861" s="35" t="s">
        <v>4040</v>
      </c>
      <c r="D861" s="35" t="s">
        <v>646</v>
      </c>
      <c r="E861" s="35" t="s">
        <v>211</v>
      </c>
      <c r="F861" s="40">
        <v>45926.0</v>
      </c>
      <c r="G861" s="33"/>
      <c r="H861" s="73" t="s">
        <v>4041</v>
      </c>
      <c r="I861" s="33"/>
      <c r="J861" s="33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</row>
    <row r="862">
      <c r="A862" s="30">
        <v>45896.0</v>
      </c>
      <c r="B862" s="35" t="s">
        <v>4042</v>
      </c>
      <c r="C862" s="35" t="s">
        <v>4043</v>
      </c>
      <c r="D862" s="35" t="s">
        <v>328</v>
      </c>
      <c r="E862" s="35" t="s">
        <v>4044</v>
      </c>
      <c r="F862" s="40">
        <v>45931.0</v>
      </c>
      <c r="G862" s="33"/>
      <c r="H862" s="33"/>
      <c r="I862" s="73" t="s">
        <v>4045</v>
      </c>
      <c r="J862" s="73" t="s">
        <v>4046</v>
      </c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</row>
    <row r="863">
      <c r="A863" s="30">
        <v>45898.0</v>
      </c>
      <c r="B863" s="35" t="s">
        <v>4047</v>
      </c>
      <c r="C863" s="35" t="s">
        <v>4048</v>
      </c>
      <c r="D863" s="35" t="s">
        <v>110</v>
      </c>
      <c r="E863" s="35" t="s">
        <v>2475</v>
      </c>
      <c r="F863" s="40">
        <v>45931.0</v>
      </c>
      <c r="G863" s="33"/>
      <c r="H863" s="33"/>
      <c r="I863" s="73" t="s">
        <v>4049</v>
      </c>
      <c r="J863" s="33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</row>
    <row r="864">
      <c r="A864" s="30">
        <v>45898.0</v>
      </c>
      <c r="B864" s="35" t="s">
        <v>4050</v>
      </c>
      <c r="C864" s="35" t="s">
        <v>4051</v>
      </c>
      <c r="D864" s="35" t="s">
        <v>128</v>
      </c>
      <c r="E864" s="35" t="s">
        <v>2392</v>
      </c>
      <c r="F864" s="40">
        <v>45901.0</v>
      </c>
      <c r="G864" s="33"/>
      <c r="H864" s="33"/>
      <c r="I864" s="73" t="s">
        <v>4052</v>
      </c>
      <c r="J864" s="33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</row>
    <row r="865">
      <c r="A865" s="30">
        <v>45901.0</v>
      </c>
      <c r="B865" s="35" t="s">
        <v>4053</v>
      </c>
      <c r="C865" s="35" t="s">
        <v>4054</v>
      </c>
      <c r="D865" s="35" t="s">
        <v>122</v>
      </c>
      <c r="E865" s="35" t="s">
        <v>111</v>
      </c>
      <c r="F865" s="40">
        <v>45901.0</v>
      </c>
      <c r="G865" s="33"/>
      <c r="H865" s="73" t="s">
        <v>4055</v>
      </c>
      <c r="I865" s="33"/>
      <c r="J865" s="33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</row>
    <row r="866">
      <c r="A866" s="30">
        <v>45902.0</v>
      </c>
      <c r="B866" s="35" t="s">
        <v>4056</v>
      </c>
      <c r="C866" s="35" t="s">
        <v>4057</v>
      </c>
      <c r="D866" s="35" t="s">
        <v>333</v>
      </c>
      <c r="E866" s="35" t="s">
        <v>4058</v>
      </c>
      <c r="F866" s="40">
        <v>45931.0</v>
      </c>
      <c r="G866" s="33"/>
      <c r="H866" s="73" t="s">
        <v>4059</v>
      </c>
      <c r="I866" s="33"/>
      <c r="J866" s="33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</row>
    <row r="867">
      <c r="A867" s="30">
        <v>45902.0</v>
      </c>
      <c r="B867" s="35" t="s">
        <v>4060</v>
      </c>
      <c r="C867" s="35" t="s">
        <v>4061</v>
      </c>
      <c r="D867" s="35" t="s">
        <v>476</v>
      </c>
      <c r="E867" s="35" t="s">
        <v>2388</v>
      </c>
      <c r="F867" s="40">
        <v>45901.0</v>
      </c>
      <c r="G867" s="33"/>
      <c r="H867" s="33"/>
      <c r="I867" s="73" t="s">
        <v>4062</v>
      </c>
      <c r="J867" s="33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</row>
    <row r="868">
      <c r="A868" s="30">
        <v>45902.0</v>
      </c>
      <c r="B868" s="35" t="s">
        <v>4063</v>
      </c>
      <c r="C868" s="35" t="s">
        <v>4064</v>
      </c>
      <c r="D868" s="35" t="s">
        <v>110</v>
      </c>
      <c r="E868" s="35" t="s">
        <v>2388</v>
      </c>
      <c r="F868" s="40">
        <v>45931.0</v>
      </c>
      <c r="G868" s="33"/>
      <c r="H868" s="33"/>
      <c r="I868" s="73" t="s">
        <v>4065</v>
      </c>
      <c r="J868" s="33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</row>
    <row r="869">
      <c r="A869" s="30">
        <v>45902.0</v>
      </c>
      <c r="B869" s="35" t="s">
        <v>4066</v>
      </c>
      <c r="C869" s="35" t="s">
        <v>4067</v>
      </c>
      <c r="D869" s="35" t="s">
        <v>59</v>
      </c>
      <c r="E869" s="35" t="s">
        <v>2461</v>
      </c>
      <c r="F869" s="40">
        <v>45931.0</v>
      </c>
      <c r="G869" s="33"/>
      <c r="H869" s="33"/>
      <c r="I869" s="73" t="s">
        <v>4068</v>
      </c>
      <c r="J869" s="33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</row>
    <row r="870">
      <c r="A870" s="30">
        <v>45902.0</v>
      </c>
      <c r="B870" s="35" t="s">
        <v>4069</v>
      </c>
      <c r="C870" s="35" t="s">
        <v>4070</v>
      </c>
      <c r="D870" s="35" t="s">
        <v>122</v>
      </c>
      <c r="E870" s="35" t="s">
        <v>4071</v>
      </c>
      <c r="F870" s="40">
        <v>45931.0</v>
      </c>
      <c r="G870" s="33"/>
      <c r="H870" s="33"/>
      <c r="I870" s="73" t="s">
        <v>4072</v>
      </c>
      <c r="J870" s="33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</row>
    <row r="871">
      <c r="A871" s="30">
        <v>45902.0</v>
      </c>
      <c r="B871" s="35" t="s">
        <v>4073</v>
      </c>
      <c r="C871" s="35" t="s">
        <v>4074</v>
      </c>
      <c r="D871" s="35" t="s">
        <v>122</v>
      </c>
      <c r="E871" s="35" t="s">
        <v>2698</v>
      </c>
      <c r="F871" s="40">
        <v>45901.0</v>
      </c>
      <c r="G871" s="33"/>
      <c r="H871" s="33"/>
      <c r="I871" s="33"/>
      <c r="J871" s="33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</row>
    <row r="872">
      <c r="A872" s="30">
        <v>45903.0</v>
      </c>
      <c r="B872" s="35" t="s">
        <v>4075</v>
      </c>
      <c r="C872" s="35" t="s">
        <v>4076</v>
      </c>
      <c r="D872" s="35" t="s">
        <v>231</v>
      </c>
      <c r="E872" s="35" t="s">
        <v>4077</v>
      </c>
      <c r="F872" s="40">
        <v>45931.0</v>
      </c>
      <c r="G872" s="33"/>
      <c r="H872" s="73" t="s">
        <v>4078</v>
      </c>
      <c r="I872" s="33"/>
      <c r="J872" s="33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</row>
    <row r="873">
      <c r="A873" s="30">
        <v>45903.0</v>
      </c>
      <c r="B873" s="35" t="s">
        <v>4079</v>
      </c>
      <c r="C873" s="35" t="s">
        <v>4080</v>
      </c>
      <c r="D873" s="35" t="s">
        <v>65</v>
      </c>
      <c r="E873" s="35" t="s">
        <v>4081</v>
      </c>
      <c r="F873" s="40">
        <v>45931.0</v>
      </c>
      <c r="G873" s="33"/>
      <c r="H873" s="73" t="s">
        <v>4082</v>
      </c>
      <c r="I873" s="33"/>
      <c r="J873" s="33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</row>
    <row r="874">
      <c r="A874" s="30">
        <v>45903.0</v>
      </c>
      <c r="B874" s="35" t="s">
        <v>4083</v>
      </c>
      <c r="C874" s="35" t="s">
        <v>4084</v>
      </c>
      <c r="D874" s="35" t="s">
        <v>122</v>
      </c>
      <c r="E874" s="35" t="s">
        <v>222</v>
      </c>
      <c r="F874" s="40">
        <v>45901.0</v>
      </c>
      <c r="G874" s="33"/>
      <c r="H874" s="33"/>
      <c r="I874" s="33"/>
      <c r="J874" s="33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</row>
    <row r="875">
      <c r="A875" s="30">
        <v>45903.0</v>
      </c>
      <c r="B875" s="35" t="s">
        <v>4085</v>
      </c>
      <c r="C875" s="35" t="s">
        <v>4086</v>
      </c>
      <c r="D875" s="35" t="s">
        <v>116</v>
      </c>
      <c r="E875" s="35" t="s">
        <v>4087</v>
      </c>
      <c r="F875" s="40">
        <v>45931.0</v>
      </c>
      <c r="G875" s="33"/>
      <c r="H875" s="33"/>
      <c r="I875" s="73" t="s">
        <v>4088</v>
      </c>
      <c r="J875" s="33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</row>
    <row r="876">
      <c r="A876" s="30">
        <v>45903.0</v>
      </c>
      <c r="B876" s="35" t="s">
        <v>4089</v>
      </c>
      <c r="C876" s="35" t="s">
        <v>4090</v>
      </c>
      <c r="D876" s="35" t="s">
        <v>128</v>
      </c>
      <c r="E876" s="35" t="s">
        <v>3665</v>
      </c>
      <c r="F876" s="40">
        <v>45910.0</v>
      </c>
      <c r="G876" s="33"/>
      <c r="H876" s="33"/>
      <c r="I876" s="73" t="s">
        <v>4091</v>
      </c>
      <c r="J876" s="33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</row>
    <row r="877">
      <c r="A877" s="30">
        <v>45903.0</v>
      </c>
      <c r="B877" s="35" t="s">
        <v>4092</v>
      </c>
      <c r="C877" s="35" t="s">
        <v>4093</v>
      </c>
      <c r="D877" s="35" t="s">
        <v>444</v>
      </c>
      <c r="E877" s="35" t="s">
        <v>4094</v>
      </c>
      <c r="F877" s="40">
        <v>45934.0</v>
      </c>
      <c r="G877" s="33"/>
      <c r="H877" s="33"/>
      <c r="I877" s="73" t="s">
        <v>4095</v>
      </c>
      <c r="J877" s="33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</row>
    <row r="878">
      <c r="A878" s="30">
        <v>45904.0</v>
      </c>
      <c r="B878" s="35" t="s">
        <v>4096</v>
      </c>
      <c r="C878" s="35" t="s">
        <v>4097</v>
      </c>
      <c r="D878" s="35" t="s">
        <v>28</v>
      </c>
      <c r="E878" s="35" t="s">
        <v>1962</v>
      </c>
      <c r="F878" s="40">
        <v>45901.0</v>
      </c>
      <c r="G878" s="33"/>
      <c r="H878" s="33"/>
      <c r="I878" s="33"/>
      <c r="J878" s="33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</row>
    <row r="879">
      <c r="A879" s="30">
        <v>45904.0</v>
      </c>
      <c r="B879" s="35" t="s">
        <v>4098</v>
      </c>
      <c r="C879" s="35" t="s">
        <v>4099</v>
      </c>
      <c r="D879" s="35" t="s">
        <v>429</v>
      </c>
      <c r="E879" s="35" t="s">
        <v>2888</v>
      </c>
      <c r="F879" s="40">
        <v>45916.0</v>
      </c>
      <c r="G879" s="33"/>
      <c r="H879" s="33"/>
      <c r="I879" s="73" t="s">
        <v>4100</v>
      </c>
      <c r="J879" s="33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</row>
    <row r="880">
      <c r="A880" s="30">
        <v>45905.0</v>
      </c>
      <c r="B880" s="35" t="s">
        <v>474</v>
      </c>
      <c r="C880" s="35" t="s">
        <v>4101</v>
      </c>
      <c r="D880" s="35" t="s">
        <v>476</v>
      </c>
      <c r="E880" s="35" t="s">
        <v>2395</v>
      </c>
      <c r="F880" s="40">
        <v>45931.0</v>
      </c>
      <c r="G880" s="33"/>
      <c r="H880" s="33"/>
      <c r="I880" s="33"/>
      <c r="J880" s="33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</row>
    <row r="881">
      <c r="A881" s="30">
        <v>45905.0</v>
      </c>
      <c r="B881" s="35" t="s">
        <v>4102</v>
      </c>
      <c r="C881" s="35" t="s">
        <v>4103</v>
      </c>
      <c r="D881" s="35" t="s">
        <v>1246</v>
      </c>
      <c r="E881" s="35" t="s">
        <v>656</v>
      </c>
      <c r="F881" s="40">
        <v>45931.0</v>
      </c>
      <c r="G881" s="33"/>
      <c r="H881" s="73" t="s">
        <v>4104</v>
      </c>
      <c r="I881" s="73" t="s">
        <v>4105</v>
      </c>
      <c r="J881" s="33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</row>
    <row r="882">
      <c r="A882" s="30">
        <v>45909.0</v>
      </c>
      <c r="B882" s="35" t="s">
        <v>4106</v>
      </c>
      <c r="C882" s="35" t="s">
        <v>4107</v>
      </c>
      <c r="D882" s="35" t="s">
        <v>1246</v>
      </c>
      <c r="E882" s="35" t="s">
        <v>656</v>
      </c>
      <c r="F882" s="40">
        <v>45931.0</v>
      </c>
      <c r="G882" s="33"/>
      <c r="H882" s="73" t="s">
        <v>4108</v>
      </c>
      <c r="I882" s="33"/>
      <c r="J882" s="33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</row>
    <row r="883">
      <c r="A883" s="30">
        <v>45909.0</v>
      </c>
      <c r="B883" s="35" t="s">
        <v>4109</v>
      </c>
      <c r="C883" s="35" t="s">
        <v>4110</v>
      </c>
      <c r="D883" s="35" t="s">
        <v>173</v>
      </c>
      <c r="E883" s="35" t="s">
        <v>236</v>
      </c>
      <c r="F883" s="40">
        <v>45931.0</v>
      </c>
      <c r="G883" s="33"/>
      <c r="H883" s="73" t="s">
        <v>4111</v>
      </c>
      <c r="I883" s="33"/>
      <c r="J883" s="33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</row>
    <row r="884">
      <c r="A884" s="30">
        <v>45910.0</v>
      </c>
      <c r="B884" s="35" t="s">
        <v>4112</v>
      </c>
      <c r="C884" s="35" t="s">
        <v>4113</v>
      </c>
      <c r="D884" s="35" t="s">
        <v>328</v>
      </c>
      <c r="E884" s="35" t="s">
        <v>4114</v>
      </c>
      <c r="F884" s="40">
        <v>45962.0</v>
      </c>
      <c r="G884" s="33"/>
      <c r="H884" s="73" t="s">
        <v>4115</v>
      </c>
      <c r="I884" s="33"/>
      <c r="J884" s="33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</row>
    <row r="885">
      <c r="A885" s="30">
        <v>45910.0</v>
      </c>
      <c r="B885" s="35" t="s">
        <v>4116</v>
      </c>
      <c r="C885" s="35" t="s">
        <v>4117</v>
      </c>
      <c r="D885" s="35" t="s">
        <v>481</v>
      </c>
      <c r="E885" s="35" t="s">
        <v>4118</v>
      </c>
      <c r="F885" s="40">
        <v>45931.0</v>
      </c>
      <c r="G885" s="33"/>
      <c r="H885" s="73" t="s">
        <v>4119</v>
      </c>
      <c r="I885" s="33"/>
      <c r="J885" s="33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</row>
    <row r="886">
      <c r="A886" s="30">
        <v>45910.0</v>
      </c>
      <c r="B886" s="35" t="s">
        <v>4120</v>
      </c>
      <c r="C886" s="35" t="s">
        <v>4121</v>
      </c>
      <c r="D886" s="35" t="s">
        <v>198</v>
      </c>
      <c r="E886" s="35" t="s">
        <v>624</v>
      </c>
      <c r="F886" s="40">
        <v>45908.0</v>
      </c>
      <c r="G886" s="33"/>
      <c r="H886" s="33"/>
      <c r="I886" s="33"/>
      <c r="J886" s="33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</row>
    <row r="887">
      <c r="A887" s="30">
        <v>45910.0</v>
      </c>
      <c r="B887" s="35" t="s">
        <v>3848</v>
      </c>
      <c r="C887" s="35" t="s">
        <v>4122</v>
      </c>
      <c r="D887" s="35" t="s">
        <v>122</v>
      </c>
      <c r="E887" s="35" t="s">
        <v>111</v>
      </c>
      <c r="F887" s="40">
        <v>45926.0</v>
      </c>
      <c r="G887" s="33"/>
      <c r="H887" s="33"/>
      <c r="I887" s="73" t="s">
        <v>4123</v>
      </c>
      <c r="J887" s="33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</row>
    <row r="888">
      <c r="A888" s="30">
        <v>45910.0</v>
      </c>
      <c r="B888" s="35" t="s">
        <v>4124</v>
      </c>
      <c r="C888" s="35" t="s">
        <v>4125</v>
      </c>
      <c r="D888" s="35" t="s">
        <v>71</v>
      </c>
      <c r="E888" s="35" t="s">
        <v>2461</v>
      </c>
      <c r="F888" s="40">
        <v>45939.0</v>
      </c>
      <c r="G888" s="33"/>
      <c r="H888" s="33"/>
      <c r="I888" s="73" t="s">
        <v>4126</v>
      </c>
      <c r="J888" s="33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</row>
    <row r="889">
      <c r="A889" s="30">
        <v>45912.0</v>
      </c>
      <c r="B889" s="35" t="s">
        <v>4127</v>
      </c>
      <c r="C889" s="35" t="s">
        <v>4128</v>
      </c>
      <c r="D889" s="35" t="s">
        <v>646</v>
      </c>
      <c r="E889" s="35" t="s">
        <v>3973</v>
      </c>
      <c r="F889" s="40">
        <v>45941.0</v>
      </c>
      <c r="G889" s="33"/>
      <c r="H889" s="73" t="s">
        <v>4129</v>
      </c>
      <c r="I889" s="33"/>
      <c r="J889" s="33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</row>
    <row r="890">
      <c r="A890" s="30">
        <v>45912.0</v>
      </c>
      <c r="B890" s="35" t="s">
        <v>4130</v>
      </c>
      <c r="C890" s="35" t="s">
        <v>4131</v>
      </c>
      <c r="D890" s="35" t="s">
        <v>122</v>
      </c>
      <c r="E890" s="35" t="s">
        <v>2757</v>
      </c>
      <c r="F890" s="40">
        <v>45931.0</v>
      </c>
      <c r="G890" s="33"/>
      <c r="H890" s="73" t="s">
        <v>4132</v>
      </c>
      <c r="I890" s="33"/>
      <c r="J890" s="33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</row>
    <row r="891">
      <c r="A891" s="30">
        <v>45912.0</v>
      </c>
      <c r="B891" s="35" t="s">
        <v>4133</v>
      </c>
      <c r="C891" s="35" t="s">
        <v>4134</v>
      </c>
      <c r="D891" s="35" t="s">
        <v>414</v>
      </c>
      <c r="E891" s="35" t="s">
        <v>3292</v>
      </c>
      <c r="F891" s="40">
        <v>45913.0</v>
      </c>
      <c r="G891" s="33"/>
      <c r="H891" s="33"/>
      <c r="I891" s="73" t="s">
        <v>4135</v>
      </c>
      <c r="J891" s="33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</row>
    <row r="892">
      <c r="A892" s="30">
        <v>45915.0</v>
      </c>
      <c r="B892" s="35" t="s">
        <v>4136</v>
      </c>
      <c r="C892" s="35" t="s">
        <v>4137</v>
      </c>
      <c r="D892" s="35" t="s">
        <v>128</v>
      </c>
      <c r="E892" s="35" t="s">
        <v>129</v>
      </c>
      <c r="F892" s="40">
        <v>45912.0</v>
      </c>
      <c r="G892" s="33"/>
      <c r="H892" s="33"/>
      <c r="I892" s="73" t="s">
        <v>4138</v>
      </c>
      <c r="J892" s="33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</row>
    <row r="893">
      <c r="A893" s="30">
        <v>45915.0</v>
      </c>
      <c r="B893" s="35" t="s">
        <v>4139</v>
      </c>
      <c r="C893" s="35" t="s">
        <v>4140</v>
      </c>
      <c r="D893" s="35" t="s">
        <v>122</v>
      </c>
      <c r="E893" s="35" t="s">
        <v>2468</v>
      </c>
      <c r="F893" s="40">
        <v>45941.0</v>
      </c>
      <c r="G893" s="33"/>
      <c r="H893" s="33"/>
      <c r="I893" s="73" t="s">
        <v>4141</v>
      </c>
      <c r="J893" s="33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</row>
    <row r="894">
      <c r="A894" s="30">
        <v>45915.0</v>
      </c>
      <c r="B894" s="35" t="s">
        <v>4142</v>
      </c>
      <c r="C894" s="35" t="s">
        <v>4143</v>
      </c>
      <c r="D894" s="35" t="s">
        <v>4144</v>
      </c>
      <c r="E894" s="35" t="s">
        <v>4145</v>
      </c>
      <c r="F894" s="40">
        <v>45946.0</v>
      </c>
      <c r="G894" s="33"/>
      <c r="H894" s="33"/>
      <c r="I894" s="73" t="s">
        <v>4146</v>
      </c>
      <c r="J894" s="33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</row>
    <row r="895">
      <c r="A895" s="30">
        <v>45916.0</v>
      </c>
      <c r="B895" s="35" t="s">
        <v>4147</v>
      </c>
      <c r="C895" s="35" t="s">
        <v>4148</v>
      </c>
      <c r="D895" s="35" t="s">
        <v>636</v>
      </c>
      <c r="E895" s="35" t="s">
        <v>4149</v>
      </c>
      <c r="F895" s="40">
        <v>45931.0</v>
      </c>
      <c r="G895" s="33"/>
      <c r="H895" s="33"/>
      <c r="I895" s="73" t="s">
        <v>4150</v>
      </c>
      <c r="J895" s="33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</row>
    <row r="896">
      <c r="A896" s="30">
        <v>45922.0</v>
      </c>
      <c r="B896" s="35" t="s">
        <v>4151</v>
      </c>
      <c r="C896" s="35" t="s">
        <v>4152</v>
      </c>
      <c r="D896" s="35" t="s">
        <v>198</v>
      </c>
      <c r="E896" s="35" t="s">
        <v>199</v>
      </c>
      <c r="F896" s="40">
        <v>45919.0</v>
      </c>
      <c r="G896" s="33"/>
      <c r="H896" s="33"/>
      <c r="I896" s="33"/>
      <c r="J896" s="33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</row>
    <row r="897">
      <c r="A897" s="30">
        <v>45923.0</v>
      </c>
      <c r="B897" s="35" t="s">
        <v>4153</v>
      </c>
      <c r="C897" s="35" t="s">
        <v>4154</v>
      </c>
      <c r="D897" s="35" t="s">
        <v>122</v>
      </c>
      <c r="E897" s="35" t="s">
        <v>3292</v>
      </c>
      <c r="F897" s="40">
        <v>45931.0</v>
      </c>
      <c r="G897" s="33"/>
      <c r="H897" s="33"/>
      <c r="I897" s="73" t="s">
        <v>4155</v>
      </c>
      <c r="J897" s="33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</row>
    <row r="898">
      <c r="A898" s="30">
        <v>45923.0</v>
      </c>
      <c r="B898" s="35" t="s">
        <v>4156</v>
      </c>
      <c r="C898" s="35" t="s">
        <v>4157</v>
      </c>
      <c r="D898" s="35" t="s">
        <v>122</v>
      </c>
      <c r="E898" s="35" t="s">
        <v>4158</v>
      </c>
      <c r="F898" s="40">
        <v>45952.0</v>
      </c>
      <c r="G898" s="33"/>
      <c r="H898" s="33"/>
      <c r="I898" s="73" t="s">
        <v>4159</v>
      </c>
      <c r="J898" s="33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</row>
    <row r="899">
      <c r="A899" s="30">
        <v>45923.0</v>
      </c>
      <c r="B899" s="35" t="s">
        <v>4160</v>
      </c>
      <c r="C899" s="35" t="s">
        <v>4161</v>
      </c>
      <c r="D899" s="35" t="s">
        <v>128</v>
      </c>
      <c r="E899" s="35" t="s">
        <v>4162</v>
      </c>
      <c r="F899" s="40">
        <v>45931.0</v>
      </c>
      <c r="G899" s="33"/>
      <c r="H899" s="33"/>
      <c r="I899" s="73" t="s">
        <v>4163</v>
      </c>
      <c r="J899" s="33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</row>
    <row r="900">
      <c r="A900" s="30">
        <v>45924.0</v>
      </c>
      <c r="B900" s="35" t="s">
        <v>4164</v>
      </c>
      <c r="C900" s="35" t="s">
        <v>4165</v>
      </c>
      <c r="D900" s="35" t="s">
        <v>42</v>
      </c>
      <c r="E900" s="35" t="s">
        <v>2388</v>
      </c>
      <c r="F900" s="40">
        <v>45954.0</v>
      </c>
      <c r="G900" s="33"/>
      <c r="H900" s="33"/>
      <c r="I900" s="73" t="s">
        <v>4166</v>
      </c>
      <c r="J900" s="33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</row>
    <row r="901">
      <c r="A901" s="30">
        <v>45924.0</v>
      </c>
      <c r="B901" s="35" t="s">
        <v>4167</v>
      </c>
      <c r="C901" s="35" t="s">
        <v>4168</v>
      </c>
      <c r="D901" s="35" t="s">
        <v>342</v>
      </c>
      <c r="E901" s="35" t="s">
        <v>3059</v>
      </c>
      <c r="F901" s="40">
        <v>45962.0</v>
      </c>
      <c r="G901" s="33"/>
      <c r="H901" s="33"/>
      <c r="I901" s="73" t="s">
        <v>4169</v>
      </c>
      <c r="J901" s="33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</row>
    <row r="902">
      <c r="A902" s="30">
        <v>45924.0</v>
      </c>
      <c r="B902" s="35" t="s">
        <v>4170</v>
      </c>
      <c r="C902" s="35" t="s">
        <v>4171</v>
      </c>
      <c r="D902" s="35" t="s">
        <v>4172</v>
      </c>
      <c r="E902" s="35" t="s">
        <v>4173</v>
      </c>
      <c r="F902" s="40">
        <v>45962.0</v>
      </c>
      <c r="G902" s="33"/>
      <c r="H902" s="33"/>
      <c r="I902" s="73" t="s">
        <v>4174</v>
      </c>
      <c r="J902" s="33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</row>
    <row r="903">
      <c r="A903" s="30">
        <v>45925.0</v>
      </c>
      <c r="B903" s="35" t="s">
        <v>4175</v>
      </c>
      <c r="C903" s="35" t="s">
        <v>4176</v>
      </c>
      <c r="D903" s="35" t="s">
        <v>122</v>
      </c>
      <c r="E903" s="35" t="s">
        <v>2483</v>
      </c>
      <c r="F903" s="40">
        <v>45919.0</v>
      </c>
      <c r="G903" s="33"/>
      <c r="H903" s="33"/>
      <c r="I903" s="33"/>
      <c r="J903" s="33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</row>
    <row r="904">
      <c r="A904" s="30">
        <v>45926.0</v>
      </c>
      <c r="B904" s="35" t="s">
        <v>737</v>
      </c>
      <c r="C904" s="35" t="s">
        <v>738</v>
      </c>
      <c r="D904" s="35" t="s">
        <v>128</v>
      </c>
      <c r="E904" s="35" t="s">
        <v>3687</v>
      </c>
      <c r="F904" s="40">
        <v>45931.0</v>
      </c>
      <c r="G904" s="33"/>
      <c r="H904" s="33"/>
      <c r="I904" s="73" t="s">
        <v>4177</v>
      </c>
      <c r="J904" s="33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</row>
    <row r="905">
      <c r="A905" s="30">
        <v>45929.0</v>
      </c>
      <c r="B905" s="35" t="s">
        <v>4178</v>
      </c>
      <c r="C905" s="35" t="s">
        <v>4179</v>
      </c>
      <c r="D905" s="35" t="s">
        <v>173</v>
      </c>
      <c r="E905" s="35" t="s">
        <v>4180</v>
      </c>
      <c r="F905" s="40">
        <v>45946.0</v>
      </c>
      <c r="G905" s="33"/>
      <c r="H905" s="73" t="s">
        <v>4181</v>
      </c>
      <c r="I905" s="33"/>
      <c r="J905" s="33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</row>
    <row r="906">
      <c r="A906" s="30">
        <v>45929.0</v>
      </c>
      <c r="B906" s="35" t="s">
        <v>4182</v>
      </c>
      <c r="C906" s="35" t="s">
        <v>4183</v>
      </c>
      <c r="D906" s="35" t="s">
        <v>128</v>
      </c>
      <c r="E906" s="35" t="s">
        <v>2499</v>
      </c>
      <c r="F906" s="40">
        <v>45931.0</v>
      </c>
      <c r="G906" s="33"/>
      <c r="H906" s="33"/>
      <c r="I906" s="73" t="s">
        <v>4184</v>
      </c>
      <c r="J906" s="33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</row>
    <row r="907">
      <c r="A907" s="30">
        <v>45931.0</v>
      </c>
      <c r="B907" s="35" t="s">
        <v>4185</v>
      </c>
      <c r="C907" s="35" t="s">
        <v>4186</v>
      </c>
      <c r="D907" s="35" t="s">
        <v>1305</v>
      </c>
      <c r="E907" s="35" t="s">
        <v>1109</v>
      </c>
      <c r="F907" s="40">
        <v>45962.0</v>
      </c>
      <c r="G907" s="33"/>
      <c r="H907" s="73" t="s">
        <v>4187</v>
      </c>
      <c r="I907" s="33"/>
      <c r="J907" s="33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</row>
    <row r="908">
      <c r="A908" s="30">
        <v>45931.0</v>
      </c>
      <c r="B908" s="35" t="s">
        <v>4188</v>
      </c>
      <c r="C908" s="35" t="s">
        <v>4189</v>
      </c>
      <c r="D908" s="35" t="s">
        <v>59</v>
      </c>
      <c r="E908" s="35" t="s">
        <v>4190</v>
      </c>
      <c r="F908" s="40">
        <v>45962.0</v>
      </c>
      <c r="G908" s="33"/>
      <c r="H908" s="73" t="s">
        <v>4191</v>
      </c>
      <c r="I908" s="33"/>
      <c r="J908" s="33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</row>
    <row r="909">
      <c r="A909" s="30">
        <v>45932.0</v>
      </c>
      <c r="B909" s="35" t="s">
        <v>4192</v>
      </c>
      <c r="C909" s="35" t="s">
        <v>4193</v>
      </c>
      <c r="D909" s="35" t="s">
        <v>122</v>
      </c>
      <c r="E909" s="35" t="s">
        <v>2380</v>
      </c>
      <c r="F909" s="40">
        <v>45962.0</v>
      </c>
      <c r="G909" s="33"/>
      <c r="H909" s="33"/>
      <c r="I909" s="73" t="s">
        <v>4194</v>
      </c>
      <c r="J909" s="33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</row>
    <row r="910">
      <c r="A910" s="30">
        <v>45932.0</v>
      </c>
      <c r="B910" s="35" t="s">
        <v>4195</v>
      </c>
      <c r="C910" s="35" t="s">
        <v>4196</v>
      </c>
      <c r="D910" s="35" t="s">
        <v>128</v>
      </c>
      <c r="E910" s="35" t="s">
        <v>2380</v>
      </c>
      <c r="F910" s="40">
        <v>45960.0</v>
      </c>
      <c r="G910" s="33"/>
      <c r="H910" s="33"/>
      <c r="I910" s="73" t="s">
        <v>4197</v>
      </c>
      <c r="J910" s="33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</row>
    <row r="911">
      <c r="A911" s="30">
        <v>45933.0</v>
      </c>
      <c r="B911" s="35" t="s">
        <v>26</v>
      </c>
      <c r="C911" s="35" t="s">
        <v>27</v>
      </c>
      <c r="D911" s="35" t="s">
        <v>28</v>
      </c>
      <c r="E911" s="35" t="s">
        <v>29</v>
      </c>
      <c r="F911" s="40">
        <v>45962.0</v>
      </c>
      <c r="G911" s="33"/>
      <c r="H911" s="73" t="s">
        <v>4198</v>
      </c>
      <c r="I911" s="33"/>
      <c r="J911" s="33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</row>
    <row r="912">
      <c r="A912" s="30">
        <v>45936.0</v>
      </c>
      <c r="B912" s="35" t="s">
        <v>4199</v>
      </c>
      <c r="C912" s="35" t="s">
        <v>4200</v>
      </c>
      <c r="D912" s="35" t="s">
        <v>122</v>
      </c>
      <c r="E912" s="35" t="s">
        <v>249</v>
      </c>
      <c r="F912" s="40">
        <v>45931.0</v>
      </c>
      <c r="G912" s="33"/>
      <c r="H912" s="33"/>
      <c r="I912" s="73" t="s">
        <v>4201</v>
      </c>
      <c r="J912" s="33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</row>
    <row r="913">
      <c r="A913" s="30">
        <v>45936.0</v>
      </c>
      <c r="B913" s="35" t="s">
        <v>3269</v>
      </c>
      <c r="C913" s="35" t="s">
        <v>4202</v>
      </c>
      <c r="D913" s="35" t="s">
        <v>2305</v>
      </c>
      <c r="E913" s="35" t="s">
        <v>4203</v>
      </c>
      <c r="F913" s="40">
        <v>45941.0</v>
      </c>
      <c r="G913" s="33"/>
      <c r="H913" s="73" t="s">
        <v>4204</v>
      </c>
      <c r="I913" s="33"/>
      <c r="J913" s="33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</row>
    <row r="914">
      <c r="A914" s="30">
        <v>45936.0</v>
      </c>
      <c r="B914" s="35" t="s">
        <v>4205</v>
      </c>
      <c r="C914" s="35" t="s">
        <v>4206</v>
      </c>
      <c r="D914" s="35" t="s">
        <v>1852</v>
      </c>
      <c r="E914" s="35" t="s">
        <v>79</v>
      </c>
      <c r="F914" s="40">
        <v>45962.0</v>
      </c>
      <c r="G914" s="33"/>
      <c r="H914" s="73" t="s">
        <v>4207</v>
      </c>
      <c r="I914" s="33"/>
      <c r="J914" s="33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</row>
    <row r="915">
      <c r="A915" s="30">
        <v>45937.0</v>
      </c>
      <c r="B915" s="35" t="s">
        <v>4208</v>
      </c>
      <c r="C915" s="35" t="s">
        <v>4209</v>
      </c>
      <c r="D915" s="35" t="s">
        <v>682</v>
      </c>
      <c r="E915" s="35" t="s">
        <v>4203</v>
      </c>
      <c r="F915" s="40">
        <v>45962.0</v>
      </c>
      <c r="G915" s="33"/>
      <c r="H915" s="33"/>
      <c r="I915" s="73" t="s">
        <v>4210</v>
      </c>
      <c r="J915" s="33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</row>
    <row r="916">
      <c r="A916" s="30">
        <v>45937.0</v>
      </c>
      <c r="B916" s="35" t="s">
        <v>4211</v>
      </c>
      <c r="C916" s="35" t="s">
        <v>4212</v>
      </c>
      <c r="D916" s="35" t="s">
        <v>701</v>
      </c>
      <c r="E916" s="35" t="s">
        <v>2362</v>
      </c>
      <c r="F916" s="40">
        <v>45962.0</v>
      </c>
      <c r="G916" s="33"/>
      <c r="H916" s="73" t="s">
        <v>4213</v>
      </c>
      <c r="I916" s="33"/>
      <c r="J916" s="33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</row>
    <row r="917">
      <c r="A917" s="30">
        <v>45938.0</v>
      </c>
      <c r="B917" s="35" t="s">
        <v>4214</v>
      </c>
      <c r="C917" s="35" t="s">
        <v>4215</v>
      </c>
      <c r="D917" s="35" t="s">
        <v>110</v>
      </c>
      <c r="E917" s="35" t="s">
        <v>129</v>
      </c>
      <c r="F917" s="40">
        <v>45934.0</v>
      </c>
      <c r="G917" s="33"/>
      <c r="H917" s="33"/>
      <c r="I917" s="33"/>
      <c r="J917" s="33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</row>
    <row r="918">
      <c r="A918" s="30">
        <v>45938.0</v>
      </c>
      <c r="B918" s="35" t="s">
        <v>4216</v>
      </c>
      <c r="C918" s="35" t="s">
        <v>4217</v>
      </c>
      <c r="D918" s="35" t="s">
        <v>110</v>
      </c>
      <c r="E918" s="35" t="s">
        <v>4218</v>
      </c>
      <c r="F918" s="40">
        <v>45962.0</v>
      </c>
      <c r="G918" s="33"/>
      <c r="H918" s="33"/>
      <c r="I918" s="73" t="s">
        <v>4219</v>
      </c>
      <c r="J918" s="33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</row>
    <row r="919">
      <c r="A919" s="30">
        <v>45939.0</v>
      </c>
      <c r="B919" s="35" t="s">
        <v>4220</v>
      </c>
      <c r="C919" s="35" t="s">
        <v>4221</v>
      </c>
      <c r="D919" s="35" t="s">
        <v>4222</v>
      </c>
      <c r="E919" s="35" t="s">
        <v>347</v>
      </c>
      <c r="F919" s="40">
        <v>45962.0</v>
      </c>
      <c r="G919" s="33"/>
      <c r="H919" s="73" t="s">
        <v>4223</v>
      </c>
      <c r="I919" s="33"/>
      <c r="J919" s="33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</row>
    <row r="920">
      <c r="A920" s="30">
        <v>45939.0</v>
      </c>
      <c r="B920" s="35" t="s">
        <v>4224</v>
      </c>
      <c r="C920" s="35" t="s">
        <v>4225</v>
      </c>
      <c r="D920" s="35" t="s">
        <v>65</v>
      </c>
      <c r="E920" s="35" t="s">
        <v>4226</v>
      </c>
      <c r="F920" s="40">
        <v>45962.0</v>
      </c>
      <c r="G920" s="33"/>
      <c r="H920" s="73" t="s">
        <v>4227</v>
      </c>
      <c r="I920" s="33"/>
      <c r="J920" s="33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</row>
    <row r="921">
      <c r="A921" s="30">
        <v>45939.0</v>
      </c>
      <c r="B921" s="35" t="s">
        <v>4228</v>
      </c>
      <c r="C921" s="35" t="s">
        <v>4229</v>
      </c>
      <c r="D921" s="35" t="s">
        <v>173</v>
      </c>
      <c r="E921" s="35" t="s">
        <v>449</v>
      </c>
      <c r="F921" s="40">
        <v>45965.0</v>
      </c>
      <c r="G921" s="33"/>
      <c r="H921" s="73" t="s">
        <v>4230</v>
      </c>
      <c r="I921" s="33"/>
      <c r="J921" s="33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</row>
    <row r="922">
      <c r="A922" s="30">
        <v>45939.0</v>
      </c>
      <c r="B922" s="35" t="s">
        <v>4231</v>
      </c>
      <c r="C922" s="35" t="s">
        <v>4232</v>
      </c>
      <c r="D922" s="35" t="s">
        <v>481</v>
      </c>
      <c r="E922" s="35" t="s">
        <v>449</v>
      </c>
      <c r="F922" s="40">
        <v>45965.0</v>
      </c>
      <c r="G922" s="33"/>
      <c r="H922" s="73" t="s">
        <v>4233</v>
      </c>
      <c r="I922" s="33"/>
      <c r="J922" s="33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</row>
    <row r="923">
      <c r="A923" s="30">
        <v>45939.0</v>
      </c>
      <c r="B923" s="35" t="s">
        <v>4234</v>
      </c>
      <c r="C923" s="35" t="s">
        <v>4235</v>
      </c>
      <c r="D923" s="35" t="s">
        <v>342</v>
      </c>
      <c r="E923" s="35" t="s">
        <v>4226</v>
      </c>
      <c r="F923" s="40">
        <v>45962.0</v>
      </c>
      <c r="G923" s="33"/>
      <c r="H923" s="73" t="s">
        <v>4236</v>
      </c>
      <c r="I923" s="33"/>
      <c r="J923" s="33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</row>
    <row r="924">
      <c r="A924" s="30">
        <v>45940.0</v>
      </c>
      <c r="B924" s="35" t="s">
        <v>4237</v>
      </c>
      <c r="C924" s="35" t="s">
        <v>4238</v>
      </c>
      <c r="D924" s="35" t="s">
        <v>173</v>
      </c>
      <c r="E924" s="35" t="s">
        <v>4226</v>
      </c>
      <c r="F924" s="40">
        <v>45968.0</v>
      </c>
      <c r="G924" s="33"/>
      <c r="H924" s="73" t="s">
        <v>4239</v>
      </c>
      <c r="I924" s="33"/>
      <c r="J924" s="33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</row>
    <row r="925">
      <c r="A925" s="30">
        <v>45940.0</v>
      </c>
      <c r="B925" s="35" t="s">
        <v>4240</v>
      </c>
      <c r="C925" s="35" t="s">
        <v>4241</v>
      </c>
      <c r="D925" s="35" t="s">
        <v>2507</v>
      </c>
      <c r="E925" s="35" t="s">
        <v>962</v>
      </c>
      <c r="F925" s="40">
        <v>45992.0</v>
      </c>
      <c r="G925" s="33"/>
      <c r="H925" s="73" t="s">
        <v>4242</v>
      </c>
      <c r="I925" s="33"/>
      <c r="J925" s="33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</row>
    <row r="926">
      <c r="A926" s="30">
        <v>45944.0</v>
      </c>
      <c r="B926" s="35" t="s">
        <v>4243</v>
      </c>
      <c r="C926" s="35" t="s">
        <v>4244</v>
      </c>
      <c r="D926" s="35" t="s">
        <v>1104</v>
      </c>
      <c r="E926" s="35" t="s">
        <v>4245</v>
      </c>
      <c r="F926" s="40">
        <v>45944.0</v>
      </c>
      <c r="G926" s="33"/>
      <c r="H926" s="73" t="s">
        <v>4246</v>
      </c>
      <c r="I926" s="33"/>
      <c r="J926" s="33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</row>
    <row r="927">
      <c r="A927" s="30">
        <v>45944.0</v>
      </c>
      <c r="B927" s="35" t="s">
        <v>4247</v>
      </c>
      <c r="C927" s="35" t="s">
        <v>4248</v>
      </c>
      <c r="D927" s="35" t="s">
        <v>3458</v>
      </c>
      <c r="E927" s="35" t="s">
        <v>3459</v>
      </c>
      <c r="F927" s="40">
        <v>45938.0</v>
      </c>
      <c r="G927" s="33"/>
      <c r="H927" s="33"/>
      <c r="I927" s="33"/>
      <c r="J927" s="33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</row>
    <row r="928">
      <c r="A928" s="30">
        <v>45944.0</v>
      </c>
      <c r="B928" s="35" t="s">
        <v>4249</v>
      </c>
      <c r="C928" s="35" t="s">
        <v>4250</v>
      </c>
      <c r="D928" s="35" t="s">
        <v>122</v>
      </c>
      <c r="E928" s="35" t="s">
        <v>2588</v>
      </c>
      <c r="F928" s="40">
        <v>45940.0</v>
      </c>
      <c r="G928" s="33"/>
      <c r="H928" s="33"/>
      <c r="I928" s="33"/>
      <c r="J928" s="33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</row>
    <row r="929">
      <c r="A929" s="30"/>
      <c r="B929" s="35" t="s">
        <v>4251</v>
      </c>
      <c r="C929" s="35" t="s">
        <v>4252</v>
      </c>
      <c r="D929" s="35" t="s">
        <v>122</v>
      </c>
      <c r="E929" s="35" t="s">
        <v>2958</v>
      </c>
      <c r="F929" s="40">
        <v>45931.0</v>
      </c>
      <c r="G929" s="33"/>
      <c r="H929" s="33"/>
      <c r="I929" s="33"/>
      <c r="J929" s="33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</row>
    <row r="930">
      <c r="A930" s="30">
        <v>45944.0</v>
      </c>
      <c r="B930" s="35" t="s">
        <v>4253</v>
      </c>
      <c r="C930" s="35" t="s">
        <v>4254</v>
      </c>
      <c r="D930" s="35" t="s">
        <v>59</v>
      </c>
      <c r="E930" s="35" t="s">
        <v>2483</v>
      </c>
      <c r="F930" s="40">
        <v>45967.0</v>
      </c>
      <c r="G930" s="33"/>
      <c r="H930" s="33"/>
      <c r="I930" s="73" t="s">
        <v>4255</v>
      </c>
      <c r="J930" s="33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</row>
    <row r="931">
      <c r="A931" s="30">
        <v>45945.0</v>
      </c>
      <c r="B931" s="35" t="s">
        <v>4256</v>
      </c>
      <c r="C931" s="35" t="s">
        <v>4257</v>
      </c>
      <c r="D931" s="35" t="s">
        <v>414</v>
      </c>
      <c r="E931" s="35" t="s">
        <v>352</v>
      </c>
      <c r="F931" s="40">
        <v>45958.0</v>
      </c>
      <c r="G931" s="33"/>
      <c r="H931" s="33"/>
      <c r="I931" s="33"/>
      <c r="J931" s="73" t="s">
        <v>4258</v>
      </c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</row>
    <row r="932">
      <c r="A932" s="30">
        <v>45945.0</v>
      </c>
      <c r="B932" s="35" t="s">
        <v>4259</v>
      </c>
      <c r="C932" s="35" t="s">
        <v>4260</v>
      </c>
      <c r="D932" s="35" t="s">
        <v>465</v>
      </c>
      <c r="E932" s="35" t="s">
        <v>2437</v>
      </c>
      <c r="F932" s="40">
        <v>45962.0</v>
      </c>
      <c r="G932" s="33"/>
      <c r="H932" s="33"/>
      <c r="I932" s="73" t="s">
        <v>4261</v>
      </c>
      <c r="J932" s="33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</row>
    <row r="933">
      <c r="A933" s="30">
        <v>45945.0</v>
      </c>
      <c r="B933" s="35" t="s">
        <v>4262</v>
      </c>
      <c r="C933" s="35" t="s">
        <v>4263</v>
      </c>
      <c r="D933" s="35" t="s">
        <v>4264</v>
      </c>
      <c r="E933" s="35" t="s">
        <v>4265</v>
      </c>
      <c r="F933" s="40">
        <v>45976.0</v>
      </c>
      <c r="G933" s="33"/>
      <c r="H933" s="73" t="s">
        <v>4266</v>
      </c>
      <c r="I933" s="33"/>
      <c r="J933" s="33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</row>
    <row r="934">
      <c r="A934" s="30">
        <v>45945.0</v>
      </c>
      <c r="B934" s="35" t="s">
        <v>4267</v>
      </c>
      <c r="C934" s="35" t="s">
        <v>4268</v>
      </c>
      <c r="D934" s="35" t="s">
        <v>59</v>
      </c>
      <c r="E934" s="35" t="s">
        <v>211</v>
      </c>
      <c r="F934" s="40">
        <v>45962.0</v>
      </c>
      <c r="G934" s="33"/>
      <c r="H934" s="73" t="s">
        <v>4269</v>
      </c>
      <c r="I934" s="33"/>
      <c r="J934" s="33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</row>
    <row r="935">
      <c r="A935" s="30"/>
      <c r="B935" s="35" t="s">
        <v>4270</v>
      </c>
      <c r="C935" s="35" t="s">
        <v>4271</v>
      </c>
      <c r="D935" s="35" t="s">
        <v>65</v>
      </c>
      <c r="E935" s="35" t="s">
        <v>1800</v>
      </c>
      <c r="F935" s="40">
        <v>45977.0</v>
      </c>
      <c r="G935" s="33"/>
      <c r="H935" s="73" t="s">
        <v>4272</v>
      </c>
      <c r="I935" s="33"/>
      <c r="J935" s="33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</row>
    <row r="936">
      <c r="A936" s="30">
        <v>45946.0</v>
      </c>
      <c r="B936" s="35" t="s">
        <v>4273</v>
      </c>
      <c r="C936" s="35" t="s">
        <v>4274</v>
      </c>
      <c r="D936" s="35" t="s">
        <v>128</v>
      </c>
      <c r="E936" s="35" t="s">
        <v>129</v>
      </c>
      <c r="F936" s="40">
        <v>45938.0</v>
      </c>
      <c r="G936" s="33"/>
      <c r="H936" s="33"/>
      <c r="I936" s="33"/>
      <c r="J936" s="33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</row>
    <row r="937">
      <c r="A937" s="30">
        <v>45946.0</v>
      </c>
      <c r="B937" s="35" t="s">
        <v>4275</v>
      </c>
      <c r="C937" s="35" t="s">
        <v>4276</v>
      </c>
      <c r="D937" s="35" t="s">
        <v>122</v>
      </c>
      <c r="E937" s="35" t="s">
        <v>2581</v>
      </c>
      <c r="F937" s="40">
        <v>45962.0</v>
      </c>
      <c r="G937" s="33"/>
      <c r="H937" s="33"/>
      <c r="I937" s="73" t="s">
        <v>4277</v>
      </c>
      <c r="J937" s="33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</row>
    <row r="938">
      <c r="A938" s="30">
        <v>45951.0</v>
      </c>
      <c r="B938" s="35" t="s">
        <v>4278</v>
      </c>
      <c r="C938" s="35" t="s">
        <v>4279</v>
      </c>
      <c r="D938" s="35" t="s">
        <v>128</v>
      </c>
      <c r="E938" s="35" t="s">
        <v>129</v>
      </c>
      <c r="F938" s="40">
        <v>45945.0</v>
      </c>
      <c r="G938" s="33"/>
      <c r="H938" s="33"/>
      <c r="I938" s="33"/>
      <c r="J938" s="33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</row>
    <row r="939">
      <c r="A939" s="30">
        <v>45951.0</v>
      </c>
      <c r="B939" s="35" t="s">
        <v>4280</v>
      </c>
      <c r="C939" s="35" t="s">
        <v>4281</v>
      </c>
      <c r="D939" s="35" t="s">
        <v>394</v>
      </c>
      <c r="E939" s="35" t="s">
        <v>4282</v>
      </c>
      <c r="F939" s="40">
        <v>45962.0</v>
      </c>
      <c r="G939" s="33"/>
      <c r="H939" s="33"/>
      <c r="I939" s="73" t="s">
        <v>4283</v>
      </c>
      <c r="J939" s="33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</row>
    <row r="940">
      <c r="A940" s="30">
        <v>45952.0</v>
      </c>
      <c r="B940" s="35" t="s">
        <v>234</v>
      </c>
      <c r="C940" s="35" t="s">
        <v>235</v>
      </c>
      <c r="D940" s="35" t="s">
        <v>173</v>
      </c>
      <c r="E940" s="35" t="s">
        <v>2220</v>
      </c>
      <c r="F940" s="40">
        <v>45992.0</v>
      </c>
      <c r="G940" s="33"/>
      <c r="H940" s="73" t="s">
        <v>4284</v>
      </c>
      <c r="I940" s="33"/>
      <c r="J940" s="33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</row>
    <row r="941">
      <c r="A941" s="30">
        <v>45953.0</v>
      </c>
      <c r="B941" s="35" t="s">
        <v>4285</v>
      </c>
      <c r="C941" s="35" t="s">
        <v>4286</v>
      </c>
      <c r="D941" s="35" t="s">
        <v>4287</v>
      </c>
      <c r="E941" s="35" t="s">
        <v>4288</v>
      </c>
      <c r="F941" s="40">
        <v>45962.0</v>
      </c>
      <c r="G941" s="33"/>
      <c r="H941" s="33"/>
      <c r="I941" s="33"/>
      <c r="J941" s="73" t="s">
        <v>4289</v>
      </c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</row>
    <row r="942">
      <c r="A942" s="30"/>
      <c r="B942" s="35" t="s">
        <v>4290</v>
      </c>
      <c r="C942" s="35" t="s">
        <v>4291</v>
      </c>
      <c r="D942" s="35" t="s">
        <v>173</v>
      </c>
      <c r="E942" s="35" t="s">
        <v>4292</v>
      </c>
      <c r="F942" s="40">
        <v>45992.0</v>
      </c>
      <c r="G942" s="33"/>
      <c r="H942" s="73" t="s">
        <v>4293</v>
      </c>
      <c r="I942" s="33"/>
      <c r="J942" s="33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</row>
    <row r="943">
      <c r="A943" s="30">
        <v>45958.0</v>
      </c>
      <c r="B943" s="35" t="s">
        <v>4294</v>
      </c>
      <c r="C943" s="35" t="s">
        <v>4295</v>
      </c>
      <c r="D943" s="35" t="s">
        <v>2135</v>
      </c>
      <c r="E943" s="35" t="s">
        <v>999</v>
      </c>
      <c r="F943" s="40">
        <v>45992.0</v>
      </c>
      <c r="G943" s="33"/>
      <c r="H943" s="33"/>
      <c r="I943" s="33"/>
      <c r="J943" s="33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</row>
    <row r="944">
      <c r="A944" s="30"/>
      <c r="B944" s="35" t="s">
        <v>32</v>
      </c>
      <c r="C944" s="35" t="s">
        <v>33</v>
      </c>
      <c r="D944" s="35" t="s">
        <v>34</v>
      </c>
      <c r="E944" s="35" t="s">
        <v>35</v>
      </c>
      <c r="F944" s="40">
        <v>46023.0</v>
      </c>
      <c r="G944" s="33"/>
      <c r="H944" s="73" t="s">
        <v>4296</v>
      </c>
      <c r="I944" s="33"/>
      <c r="J944" s="33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</row>
    <row r="945">
      <c r="A945" s="30">
        <v>45958.0</v>
      </c>
      <c r="B945" s="35" t="s">
        <v>3855</v>
      </c>
      <c r="C945" s="35" t="s">
        <v>3856</v>
      </c>
      <c r="D945" s="35" t="s">
        <v>231</v>
      </c>
      <c r="E945" s="35" t="s">
        <v>4297</v>
      </c>
      <c r="F945" s="40">
        <v>45992.0</v>
      </c>
      <c r="G945" s="33"/>
      <c r="H945" s="33"/>
      <c r="I945" s="73" t="s">
        <v>4298</v>
      </c>
      <c r="J945" s="33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</row>
    <row r="946">
      <c r="A946" s="30">
        <v>45958.0</v>
      </c>
      <c r="B946" s="35" t="s">
        <v>4299</v>
      </c>
      <c r="C946" s="35" t="s">
        <v>4300</v>
      </c>
      <c r="D946" s="35" t="s">
        <v>116</v>
      </c>
      <c r="E946" s="35" t="s">
        <v>4301</v>
      </c>
      <c r="F946" s="40">
        <v>45982.0</v>
      </c>
      <c r="G946" s="33"/>
      <c r="H946" s="33"/>
      <c r="I946" s="73" t="s">
        <v>4302</v>
      </c>
      <c r="J946" s="33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</row>
    <row r="947">
      <c r="A947" s="30"/>
      <c r="B947" s="35" t="s">
        <v>39</v>
      </c>
      <c r="C947" s="35"/>
      <c r="D947" s="35"/>
      <c r="E947" s="35"/>
      <c r="F947" s="40"/>
      <c r="G947" s="33"/>
      <c r="H947" s="33"/>
      <c r="I947" s="33"/>
      <c r="J947" s="73" t="s">
        <v>4303</v>
      </c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</row>
    <row r="948">
      <c r="A948" s="30">
        <v>45959.0</v>
      </c>
      <c r="B948" s="35" t="s">
        <v>4304</v>
      </c>
      <c r="C948" s="35" t="s">
        <v>4305</v>
      </c>
      <c r="D948" s="35" t="s">
        <v>122</v>
      </c>
      <c r="E948" s="35" t="s">
        <v>4306</v>
      </c>
      <c r="F948" s="40">
        <v>45962.0</v>
      </c>
      <c r="G948" s="33"/>
      <c r="H948" s="33"/>
      <c r="I948" s="73" t="s">
        <v>4307</v>
      </c>
      <c r="J948" s="33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</row>
    <row r="949">
      <c r="A949" s="30">
        <v>45959.0</v>
      </c>
      <c r="B949" s="35" t="s">
        <v>4308</v>
      </c>
      <c r="C949" s="35" t="s">
        <v>4309</v>
      </c>
      <c r="D949" s="35" t="s">
        <v>444</v>
      </c>
      <c r="E949" s="35" t="s">
        <v>3601</v>
      </c>
      <c r="F949" s="40">
        <v>45962.0</v>
      </c>
      <c r="G949" s="33"/>
      <c r="H949" s="33"/>
      <c r="I949" s="73" t="s">
        <v>4310</v>
      </c>
      <c r="J949" s="33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</row>
    <row r="950">
      <c r="A950" s="30">
        <v>45960.0</v>
      </c>
      <c r="B950" s="35" t="s">
        <v>4311</v>
      </c>
      <c r="C950" s="35" t="s">
        <v>4312</v>
      </c>
      <c r="D950" s="35" t="s">
        <v>328</v>
      </c>
      <c r="E950" s="35" t="s">
        <v>4087</v>
      </c>
      <c r="F950" s="40">
        <v>45962.0</v>
      </c>
      <c r="G950" s="33"/>
      <c r="H950" s="33"/>
      <c r="I950" s="73" t="s">
        <v>4313</v>
      </c>
      <c r="J950" s="33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</row>
    <row r="951">
      <c r="A951" s="30">
        <v>45960.0</v>
      </c>
      <c r="B951" s="35" t="s">
        <v>4314</v>
      </c>
      <c r="C951" s="35" t="s">
        <v>4315</v>
      </c>
      <c r="D951" s="35" t="s">
        <v>122</v>
      </c>
      <c r="E951" s="35" t="s">
        <v>2392</v>
      </c>
      <c r="F951" s="40">
        <v>45962.0</v>
      </c>
      <c r="G951" s="33"/>
      <c r="H951" s="33"/>
      <c r="I951" s="73" t="s">
        <v>4316</v>
      </c>
      <c r="J951" s="33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</row>
    <row r="952">
      <c r="A952" s="30">
        <v>45960.0</v>
      </c>
      <c r="B952" s="35" t="s">
        <v>4317</v>
      </c>
      <c r="C952" s="35" t="s">
        <v>4318</v>
      </c>
      <c r="D952" s="35" t="s">
        <v>636</v>
      </c>
      <c r="E952" s="35" t="s">
        <v>4319</v>
      </c>
      <c r="F952" s="40">
        <v>45991.0</v>
      </c>
      <c r="G952" s="33"/>
      <c r="H952" s="33"/>
      <c r="I952" s="33"/>
      <c r="J952" s="73" t="s">
        <v>4320</v>
      </c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</row>
    <row r="953">
      <c r="A953" s="30">
        <v>45964.0</v>
      </c>
      <c r="B953" s="35" t="s">
        <v>4321</v>
      </c>
      <c r="C953" s="35" t="s">
        <v>4322</v>
      </c>
      <c r="D953" s="35" t="s">
        <v>116</v>
      </c>
      <c r="E953" s="35" t="s">
        <v>4323</v>
      </c>
      <c r="F953" s="40">
        <v>45996.0</v>
      </c>
      <c r="G953" s="33"/>
      <c r="H953" s="73" t="s">
        <v>4324</v>
      </c>
      <c r="I953" s="33"/>
      <c r="J953" s="33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</row>
    <row r="954">
      <c r="A954" s="30">
        <v>45964.0</v>
      </c>
      <c r="B954" s="35" t="s">
        <v>4325</v>
      </c>
      <c r="C954" s="35" t="s">
        <v>4326</v>
      </c>
      <c r="D954" s="35" t="s">
        <v>122</v>
      </c>
      <c r="E954" s="35" t="s">
        <v>2380</v>
      </c>
      <c r="F954" s="40">
        <v>45963.0</v>
      </c>
      <c r="G954" s="33"/>
      <c r="H954" s="33"/>
      <c r="I954" s="33"/>
      <c r="J954" s="33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</row>
    <row r="955">
      <c r="A955" s="30">
        <v>45964.0</v>
      </c>
      <c r="B955" s="35" t="s">
        <v>4327</v>
      </c>
      <c r="C955" s="35" t="s">
        <v>4328</v>
      </c>
      <c r="D955" s="35" t="s">
        <v>682</v>
      </c>
      <c r="E955" s="35" t="s">
        <v>500</v>
      </c>
      <c r="F955" s="40">
        <v>45965.0</v>
      </c>
      <c r="G955" s="33"/>
      <c r="H955" s="33"/>
      <c r="I955" s="33"/>
      <c r="J955" s="33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</row>
    <row r="956">
      <c r="A956" s="30">
        <v>45965.0</v>
      </c>
      <c r="B956" s="35" t="s">
        <v>4329</v>
      </c>
      <c r="C956" s="35" t="s">
        <v>4330</v>
      </c>
      <c r="D956" s="35" t="s">
        <v>110</v>
      </c>
      <c r="E956" s="35" t="s">
        <v>129</v>
      </c>
      <c r="F956" s="40">
        <v>45962.0</v>
      </c>
      <c r="G956" s="33"/>
      <c r="H956" s="33"/>
      <c r="I956" s="33"/>
      <c r="J956" s="33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</row>
    <row r="957">
      <c r="A957" s="30">
        <v>45965.0</v>
      </c>
      <c r="B957" s="35" t="s">
        <v>40</v>
      </c>
      <c r="C957" s="35" t="s">
        <v>41</v>
      </c>
      <c r="D957" s="35" t="s">
        <v>42</v>
      </c>
      <c r="E957" s="35" t="s">
        <v>43</v>
      </c>
      <c r="F957" s="40">
        <v>45992.0</v>
      </c>
      <c r="G957" s="33"/>
      <c r="H957" s="33"/>
      <c r="I957" s="73" t="s">
        <v>4331</v>
      </c>
      <c r="J957" s="33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</row>
    <row r="958">
      <c r="A958" s="30">
        <v>45965.0</v>
      </c>
      <c r="B958" s="35" t="s">
        <v>4332</v>
      </c>
      <c r="C958" s="35" t="s">
        <v>4333</v>
      </c>
      <c r="D958" s="35" t="s">
        <v>110</v>
      </c>
      <c r="E958" s="35" t="s">
        <v>3493</v>
      </c>
      <c r="F958" s="40">
        <v>46007.0</v>
      </c>
      <c r="G958" s="33"/>
      <c r="H958" s="33"/>
      <c r="I958" s="73" t="s">
        <v>4334</v>
      </c>
      <c r="J958" s="33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</row>
    <row r="959">
      <c r="A959" s="30">
        <v>45967.0</v>
      </c>
      <c r="B959" s="35" t="s">
        <v>4335</v>
      </c>
      <c r="C959" s="35" t="s">
        <v>4336</v>
      </c>
      <c r="D959" s="35" t="s">
        <v>122</v>
      </c>
      <c r="E959" s="35" t="s">
        <v>3665</v>
      </c>
      <c r="F959" s="40">
        <v>45992.0</v>
      </c>
      <c r="G959" s="33"/>
      <c r="H959" s="33"/>
      <c r="I959" s="73" t="s">
        <v>4337</v>
      </c>
      <c r="J959" s="33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</row>
    <row r="960">
      <c r="A960" s="30">
        <v>45967.0</v>
      </c>
      <c r="B960" s="35" t="s">
        <v>4338</v>
      </c>
      <c r="C960" s="35" t="s">
        <v>4339</v>
      </c>
      <c r="D960" s="35" t="s">
        <v>122</v>
      </c>
      <c r="E960" s="35" t="s">
        <v>4071</v>
      </c>
      <c r="F960" s="40">
        <v>45992.0</v>
      </c>
      <c r="G960" s="33"/>
      <c r="H960" s="33"/>
      <c r="I960" s="73" t="s">
        <v>4340</v>
      </c>
      <c r="J960" s="33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</row>
    <row r="961">
      <c r="A961" s="30">
        <v>45968.0</v>
      </c>
      <c r="B961" s="35" t="s">
        <v>4341</v>
      </c>
      <c r="C961" s="35" t="s">
        <v>4342</v>
      </c>
      <c r="D961" s="35" t="s">
        <v>128</v>
      </c>
      <c r="E961" s="35" t="s">
        <v>4343</v>
      </c>
      <c r="F961" s="40">
        <v>45962.0</v>
      </c>
      <c r="G961" s="33"/>
      <c r="H961" s="33"/>
      <c r="I961" s="33"/>
      <c r="J961" s="33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</row>
    <row r="962">
      <c r="A962" s="30">
        <v>45937.0</v>
      </c>
      <c r="B962" s="35" t="s">
        <v>4344</v>
      </c>
      <c r="C962" s="35" t="s">
        <v>4345</v>
      </c>
      <c r="D962" s="35" t="s">
        <v>655</v>
      </c>
      <c r="E962" s="35" t="s">
        <v>656</v>
      </c>
      <c r="F962" s="40">
        <v>45972.0</v>
      </c>
      <c r="G962" s="33"/>
      <c r="H962" s="73" t="s">
        <v>4346</v>
      </c>
      <c r="I962" s="33"/>
      <c r="J962" s="33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</row>
    <row r="963">
      <c r="A963" s="30">
        <v>45971.0</v>
      </c>
      <c r="B963" s="35" t="s">
        <v>4347</v>
      </c>
      <c r="C963" s="35" t="s">
        <v>4348</v>
      </c>
      <c r="D963" s="35" t="s">
        <v>173</v>
      </c>
      <c r="E963" s="35" t="s">
        <v>1962</v>
      </c>
      <c r="F963" s="40">
        <v>45992.0</v>
      </c>
      <c r="G963" s="33"/>
      <c r="H963" s="33"/>
      <c r="I963" s="73" t="s">
        <v>4349</v>
      </c>
      <c r="J963" s="33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</row>
    <row r="964">
      <c r="A964" s="30">
        <v>45971.0</v>
      </c>
      <c r="B964" s="35" t="s">
        <v>4350</v>
      </c>
      <c r="C964" s="35" t="s">
        <v>4351</v>
      </c>
      <c r="D964" s="35" t="s">
        <v>128</v>
      </c>
      <c r="E964" s="35" t="s">
        <v>3136</v>
      </c>
      <c r="F964" s="40">
        <v>45962.0</v>
      </c>
      <c r="G964" s="33"/>
      <c r="H964" s="33"/>
      <c r="I964" s="33"/>
      <c r="J964" s="33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</row>
    <row r="965">
      <c r="A965" s="30">
        <v>45971.0</v>
      </c>
      <c r="B965" s="35" t="s">
        <v>4352</v>
      </c>
      <c r="C965" s="35" t="s">
        <v>4353</v>
      </c>
      <c r="D965" s="35" t="s">
        <v>1197</v>
      </c>
      <c r="E965" s="35" t="s">
        <v>4354</v>
      </c>
      <c r="F965" s="40">
        <v>45992.0</v>
      </c>
      <c r="G965" s="33"/>
      <c r="H965" s="33"/>
      <c r="I965" s="73" t="s">
        <v>4355</v>
      </c>
      <c r="J965" s="33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</row>
    <row r="966">
      <c r="A966" s="30">
        <v>45973.0</v>
      </c>
      <c r="B966" s="35" t="s">
        <v>45</v>
      </c>
      <c r="C966" s="35" t="s">
        <v>46</v>
      </c>
      <c r="D966" s="35" t="s">
        <v>47</v>
      </c>
      <c r="E966" s="35" t="s">
        <v>48</v>
      </c>
      <c r="F966" s="40">
        <v>46023.0</v>
      </c>
      <c r="G966" s="33"/>
      <c r="H966" s="73" t="s">
        <v>4356</v>
      </c>
      <c r="I966" s="33"/>
      <c r="J966" s="33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</row>
    <row r="967">
      <c r="A967" s="30">
        <v>45973.0</v>
      </c>
      <c r="B967" s="35" t="s">
        <v>4357</v>
      </c>
      <c r="C967" s="35" t="s">
        <v>4358</v>
      </c>
      <c r="D967" s="35" t="s">
        <v>122</v>
      </c>
      <c r="E967" s="35" t="s">
        <v>2483</v>
      </c>
      <c r="F967" s="40">
        <v>45962.0</v>
      </c>
      <c r="G967" s="33"/>
      <c r="H967" s="33"/>
      <c r="I967" s="33"/>
      <c r="J967" s="33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</row>
    <row r="968">
      <c r="A968" s="30">
        <v>45974.0</v>
      </c>
      <c r="B968" s="35" t="s">
        <v>4359</v>
      </c>
      <c r="C968" s="35" t="s">
        <v>4360</v>
      </c>
      <c r="D968" s="35" t="s">
        <v>110</v>
      </c>
      <c r="E968" s="35" t="s">
        <v>4343</v>
      </c>
      <c r="F968" s="40">
        <v>46004.0</v>
      </c>
      <c r="G968" s="33"/>
      <c r="H968" s="33"/>
      <c r="I968" s="73" t="s">
        <v>4361</v>
      </c>
      <c r="J968" s="33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</row>
    <row r="969">
      <c r="A969" s="30">
        <v>45975.0</v>
      </c>
      <c r="B969" s="35" t="s">
        <v>4362</v>
      </c>
      <c r="C969" s="35" t="s">
        <v>4363</v>
      </c>
      <c r="D969" s="35" t="s">
        <v>122</v>
      </c>
      <c r="E969" s="35" t="s">
        <v>1971</v>
      </c>
      <c r="F969" s="40">
        <v>45992.0</v>
      </c>
      <c r="G969" s="33"/>
      <c r="H969" s="33"/>
      <c r="I969" s="73" t="s">
        <v>4364</v>
      </c>
      <c r="J969" s="33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</row>
    <row r="970">
      <c r="A970" s="30">
        <v>45975.0</v>
      </c>
      <c r="B970" s="35" t="s">
        <v>4365</v>
      </c>
      <c r="C970" s="35" t="s">
        <v>4366</v>
      </c>
      <c r="D970" s="35" t="s">
        <v>122</v>
      </c>
      <c r="E970" s="35" t="s">
        <v>1971</v>
      </c>
      <c r="F970" s="40">
        <v>45992.0</v>
      </c>
      <c r="G970" s="33"/>
      <c r="H970" s="33"/>
      <c r="I970" s="73" t="s">
        <v>4367</v>
      </c>
      <c r="J970" s="33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</row>
    <row r="971">
      <c r="A971" s="30">
        <v>45975.0</v>
      </c>
      <c r="B971" s="35" t="s">
        <v>4368</v>
      </c>
      <c r="C971" s="35" t="s">
        <v>4369</v>
      </c>
      <c r="D971" s="35" t="s">
        <v>701</v>
      </c>
      <c r="E971" s="35" t="s">
        <v>4370</v>
      </c>
      <c r="F971" s="40">
        <v>45992.0</v>
      </c>
      <c r="G971" s="33"/>
      <c r="H971" s="33"/>
      <c r="I971" s="73" t="s">
        <v>4371</v>
      </c>
      <c r="J971" s="33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</row>
    <row r="972">
      <c r="A972" s="30">
        <v>45975.0</v>
      </c>
      <c r="B972" s="35" t="s">
        <v>4372</v>
      </c>
      <c r="C972" s="35" t="s">
        <v>4373</v>
      </c>
      <c r="D972" s="35" t="s">
        <v>42</v>
      </c>
      <c r="E972" s="35" t="s">
        <v>148</v>
      </c>
      <c r="F972" s="40">
        <v>45992.0</v>
      </c>
      <c r="G972" s="33"/>
      <c r="H972" s="33"/>
      <c r="I972" s="73" t="s">
        <v>4374</v>
      </c>
      <c r="J972" s="33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</row>
    <row r="973">
      <c r="A973" s="30">
        <v>45975.0</v>
      </c>
      <c r="B973" s="35" t="s">
        <v>4375</v>
      </c>
      <c r="C973" s="35" t="s">
        <v>4376</v>
      </c>
      <c r="D973" s="35" t="s">
        <v>646</v>
      </c>
      <c r="E973" s="35" t="s">
        <v>4377</v>
      </c>
      <c r="F973" s="40">
        <v>45992.0</v>
      </c>
      <c r="G973" s="33"/>
      <c r="H973" s="73" t="s">
        <v>4378</v>
      </c>
      <c r="I973" s="33"/>
      <c r="J973" s="33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</row>
    <row r="974">
      <c r="A974" s="30">
        <v>45978.0</v>
      </c>
      <c r="B974" s="35" t="s">
        <v>4379</v>
      </c>
      <c r="C974" s="35" t="s">
        <v>4380</v>
      </c>
      <c r="D974" s="35" t="s">
        <v>276</v>
      </c>
      <c r="E974" s="35" t="s">
        <v>4381</v>
      </c>
      <c r="F974" s="40">
        <v>46008.0</v>
      </c>
      <c r="G974" s="33"/>
      <c r="H974" s="73" t="s">
        <v>4382</v>
      </c>
      <c r="I974" s="33"/>
      <c r="J974" s="33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</row>
    <row r="975">
      <c r="A975" s="30">
        <v>45979.0</v>
      </c>
      <c r="B975" s="35" t="s">
        <v>4383</v>
      </c>
      <c r="C975" s="35" t="s">
        <v>4384</v>
      </c>
      <c r="D975" s="35" t="s">
        <v>42</v>
      </c>
      <c r="E975" s="35" t="s">
        <v>4385</v>
      </c>
      <c r="F975" s="40">
        <v>45962.0</v>
      </c>
      <c r="G975" s="33"/>
      <c r="H975" s="33"/>
      <c r="I975" s="33"/>
      <c r="J975" s="33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</row>
    <row r="976">
      <c r="A976" s="30">
        <v>45979.0</v>
      </c>
      <c r="B976" s="35" t="s">
        <v>4386</v>
      </c>
      <c r="C976" s="35" t="s">
        <v>4387</v>
      </c>
      <c r="D976" s="35" t="s">
        <v>71</v>
      </c>
      <c r="E976" s="35" t="s">
        <v>617</v>
      </c>
      <c r="F976" s="40">
        <v>45969.0</v>
      </c>
      <c r="G976" s="33"/>
      <c r="H976" s="33"/>
      <c r="I976" s="33"/>
      <c r="J976" s="33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</row>
    <row r="977">
      <c r="A977" s="30">
        <v>45979.0</v>
      </c>
      <c r="B977" s="35" t="s">
        <v>4388</v>
      </c>
      <c r="C977" s="35" t="s">
        <v>4389</v>
      </c>
      <c r="D977" s="35" t="s">
        <v>94</v>
      </c>
      <c r="E977" s="35" t="s">
        <v>1022</v>
      </c>
      <c r="F977" s="40">
        <v>45968.0</v>
      </c>
      <c r="G977" s="33"/>
      <c r="H977" s="33"/>
      <c r="I977" s="33"/>
      <c r="J977" s="33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</row>
    <row r="978">
      <c r="A978" s="30">
        <v>45979.0</v>
      </c>
      <c r="B978" s="35" t="s">
        <v>4390</v>
      </c>
      <c r="C978" s="35" t="s">
        <v>4391</v>
      </c>
      <c r="D978" s="35" t="s">
        <v>122</v>
      </c>
      <c r="E978" s="35" t="s">
        <v>111</v>
      </c>
      <c r="F978" s="40"/>
      <c r="G978" s="33"/>
      <c r="H978" s="33"/>
      <c r="I978" s="73" t="s">
        <v>4392</v>
      </c>
      <c r="J978" s="33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</row>
    <row r="979">
      <c r="A979" s="30">
        <v>45979.0</v>
      </c>
      <c r="B979" s="35" t="s">
        <v>4393</v>
      </c>
      <c r="C979" s="35" t="s">
        <v>4394</v>
      </c>
      <c r="D979" s="35" t="s">
        <v>394</v>
      </c>
      <c r="E979" s="35" t="s">
        <v>1987</v>
      </c>
      <c r="F979" s="40">
        <v>45992.0</v>
      </c>
      <c r="G979" s="33"/>
      <c r="H979" s="33"/>
      <c r="I979" s="73" t="s">
        <v>4395</v>
      </c>
      <c r="J979" s="33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</row>
    <row r="980">
      <c r="A980" s="30">
        <v>45979.0</v>
      </c>
      <c r="B980" s="35" t="s">
        <v>4396</v>
      </c>
      <c r="C980" s="35" t="s">
        <v>4397</v>
      </c>
      <c r="D980" s="35" t="s">
        <v>59</v>
      </c>
      <c r="E980" s="35" t="s">
        <v>764</v>
      </c>
      <c r="F980" s="40">
        <v>46007.0</v>
      </c>
      <c r="G980" s="33"/>
      <c r="H980" s="33"/>
      <c r="I980" s="73" t="s">
        <v>4398</v>
      </c>
      <c r="J980" s="33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</row>
    <row r="981">
      <c r="A981" s="30">
        <v>45979.0</v>
      </c>
      <c r="B981" s="35" t="s">
        <v>4399</v>
      </c>
      <c r="C981" s="35" t="s">
        <v>4400</v>
      </c>
      <c r="D981" s="35" t="s">
        <v>122</v>
      </c>
      <c r="E981" s="35" t="s">
        <v>294</v>
      </c>
      <c r="F981" s="40">
        <v>45992.0</v>
      </c>
      <c r="G981" s="33"/>
      <c r="H981" s="33"/>
      <c r="I981" s="73" t="s">
        <v>4401</v>
      </c>
      <c r="J981" s="33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</row>
    <row r="982">
      <c r="A982" s="30">
        <v>45979.0</v>
      </c>
      <c r="B982" s="35" t="s">
        <v>4402</v>
      </c>
      <c r="C982" s="35" t="s">
        <v>4403</v>
      </c>
      <c r="D982" s="35" t="s">
        <v>71</v>
      </c>
      <c r="E982" s="35" t="s">
        <v>72</v>
      </c>
      <c r="F982" s="40">
        <v>46023.0</v>
      </c>
      <c r="G982" s="33"/>
      <c r="H982" s="33"/>
      <c r="I982" s="73" t="s">
        <v>4404</v>
      </c>
      <c r="J982" s="33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</row>
    <row r="983">
      <c r="A983" s="30"/>
      <c r="B983" s="35" t="s">
        <v>4405</v>
      </c>
      <c r="C983" s="35" t="s">
        <v>4406</v>
      </c>
      <c r="D983" s="35" t="s">
        <v>1651</v>
      </c>
      <c r="E983" s="35" t="s">
        <v>4288</v>
      </c>
      <c r="F983" s="40">
        <v>45992.0</v>
      </c>
      <c r="G983" s="33"/>
      <c r="H983" s="33"/>
      <c r="I983" s="33"/>
      <c r="J983" s="73" t="s">
        <v>4407</v>
      </c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</row>
    <row r="984">
      <c r="A984" s="30"/>
      <c r="B984" s="35" t="s">
        <v>4408</v>
      </c>
      <c r="C984" s="35" t="s">
        <v>4409</v>
      </c>
      <c r="D984" s="35" t="s">
        <v>362</v>
      </c>
      <c r="E984" s="35" t="s">
        <v>3914</v>
      </c>
      <c r="F984" s="40"/>
      <c r="G984" s="33"/>
      <c r="H984" s="73" t="s">
        <v>4410</v>
      </c>
      <c r="I984" s="33"/>
      <c r="J984" s="33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</row>
    <row r="985">
      <c r="A985" s="30"/>
      <c r="B985" s="35" t="s">
        <v>4411</v>
      </c>
      <c r="C985" s="35" t="s">
        <v>4412</v>
      </c>
      <c r="D985" s="35" t="s">
        <v>173</v>
      </c>
      <c r="E985" s="35" t="s">
        <v>4292</v>
      </c>
      <c r="F985" s="40">
        <v>45980.0</v>
      </c>
      <c r="G985" s="33"/>
      <c r="H985" s="73" t="s">
        <v>4413</v>
      </c>
      <c r="I985" s="33"/>
      <c r="J985" s="33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</row>
    <row r="986">
      <c r="A986" s="30">
        <v>45980.0</v>
      </c>
      <c r="B986" s="35" t="s">
        <v>4414</v>
      </c>
      <c r="C986" s="35" t="s">
        <v>4415</v>
      </c>
      <c r="D986" s="35" t="s">
        <v>122</v>
      </c>
      <c r="E986" s="35" t="s">
        <v>4343</v>
      </c>
      <c r="F986" s="40">
        <v>46009.0</v>
      </c>
      <c r="G986" s="33"/>
      <c r="H986" s="33"/>
      <c r="I986" s="73" t="s">
        <v>4416</v>
      </c>
      <c r="J986" s="33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</row>
    <row r="987">
      <c r="A987" s="30">
        <v>45981.0</v>
      </c>
      <c r="B987" s="35" t="s">
        <v>3682</v>
      </c>
      <c r="C987" s="35" t="s">
        <v>4417</v>
      </c>
      <c r="D987" s="35" t="s">
        <v>827</v>
      </c>
      <c r="E987" s="35" t="s">
        <v>828</v>
      </c>
      <c r="F987" s="40">
        <v>45980.0</v>
      </c>
      <c r="G987" s="33"/>
      <c r="H987" s="33"/>
      <c r="I987" s="33"/>
      <c r="J987" s="33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</row>
    <row r="988">
      <c r="A988" s="30">
        <v>45982.0</v>
      </c>
      <c r="B988" s="35" t="s">
        <v>4418</v>
      </c>
      <c r="C988" s="35" t="s">
        <v>4419</v>
      </c>
      <c r="D988" s="35" t="s">
        <v>2015</v>
      </c>
      <c r="E988" s="35" t="s">
        <v>4420</v>
      </c>
      <c r="F988" s="40">
        <v>45992.0</v>
      </c>
      <c r="G988" s="33"/>
      <c r="H988" s="73" t="s">
        <v>4421</v>
      </c>
      <c r="I988" s="33"/>
      <c r="J988" s="33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</row>
    <row r="989">
      <c r="A989" s="30">
        <v>45982.0</v>
      </c>
      <c r="B989" s="35" t="s">
        <v>4422</v>
      </c>
      <c r="C989" s="35" t="s">
        <v>4423</v>
      </c>
      <c r="D989" s="35" t="s">
        <v>122</v>
      </c>
      <c r="E989" s="35" t="s">
        <v>2011</v>
      </c>
      <c r="F989" s="40">
        <v>45962.0</v>
      </c>
      <c r="G989" s="33"/>
      <c r="H989" s="33"/>
      <c r="I989" s="33"/>
      <c r="J989" s="33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</row>
    <row r="990">
      <c r="A990" s="30">
        <v>45985.0</v>
      </c>
      <c r="B990" s="35" t="s">
        <v>4424</v>
      </c>
      <c r="C990" s="35" t="s">
        <v>4425</v>
      </c>
      <c r="D990" s="35" t="s">
        <v>476</v>
      </c>
      <c r="E990" s="35" t="s">
        <v>134</v>
      </c>
      <c r="F990" s="40">
        <v>45980.0</v>
      </c>
      <c r="G990" s="33"/>
      <c r="H990" s="33"/>
      <c r="I990" s="33"/>
      <c r="J990" s="33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</row>
    <row r="991">
      <c r="A991" s="30">
        <v>45985.0</v>
      </c>
      <c r="B991" s="35" t="s">
        <v>4426</v>
      </c>
      <c r="C991" s="35" t="s">
        <v>4427</v>
      </c>
      <c r="D991" s="35" t="s">
        <v>110</v>
      </c>
      <c r="E991" s="35" t="s">
        <v>139</v>
      </c>
      <c r="F991" s="40">
        <v>46007.0</v>
      </c>
      <c r="G991" s="33"/>
      <c r="H991" s="33"/>
      <c r="I991" s="73" t="s">
        <v>4428</v>
      </c>
      <c r="J991" s="33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</row>
    <row r="992">
      <c r="A992" s="30">
        <v>45985.0</v>
      </c>
      <c r="B992" s="35" t="s">
        <v>4429</v>
      </c>
      <c r="C992" s="35" t="s">
        <v>4430</v>
      </c>
      <c r="D992" s="35" t="s">
        <v>1039</v>
      </c>
      <c r="E992" s="35" t="s">
        <v>139</v>
      </c>
      <c r="F992" s="40">
        <v>45997.0</v>
      </c>
      <c r="G992" s="33"/>
      <c r="H992" s="33"/>
      <c r="I992" s="73" t="s">
        <v>4431</v>
      </c>
      <c r="J992" s="33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</row>
    <row r="993">
      <c r="A993" s="30">
        <v>45986.0</v>
      </c>
      <c r="B993" s="35" t="s">
        <v>4432</v>
      </c>
      <c r="C993" s="35" t="s">
        <v>4433</v>
      </c>
      <c r="D993" s="35" t="s">
        <v>367</v>
      </c>
      <c r="E993" s="35" t="s">
        <v>368</v>
      </c>
      <c r="F993" s="40">
        <v>45991.0</v>
      </c>
      <c r="G993" s="33"/>
      <c r="H993" s="33"/>
      <c r="I993" s="33"/>
      <c r="J993" s="73" t="s">
        <v>4434</v>
      </c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</row>
    <row r="994">
      <c r="A994" s="30">
        <v>45986.0</v>
      </c>
      <c r="B994" s="35" t="s">
        <v>4435</v>
      </c>
      <c r="C994" s="35" t="s">
        <v>4436</v>
      </c>
      <c r="D994" s="35" t="s">
        <v>94</v>
      </c>
      <c r="E994" s="35" t="s">
        <v>163</v>
      </c>
      <c r="F994" s="40">
        <v>45992.0</v>
      </c>
      <c r="G994" s="33"/>
      <c r="H994" s="33"/>
      <c r="I994" s="73" t="s">
        <v>4437</v>
      </c>
      <c r="J994" s="33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</row>
    <row r="995">
      <c r="A995" s="30">
        <v>45986.0</v>
      </c>
      <c r="B995" s="35" t="s">
        <v>51</v>
      </c>
      <c r="C995" s="35" t="s">
        <v>52</v>
      </c>
      <c r="D995" s="35" t="s">
        <v>53</v>
      </c>
      <c r="E995" s="35" t="s">
        <v>54</v>
      </c>
      <c r="F995" s="40">
        <v>46023.0</v>
      </c>
      <c r="G995" s="33"/>
      <c r="H995" s="33"/>
      <c r="I995" s="73" t="s">
        <v>4438</v>
      </c>
      <c r="J995" s="33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</row>
    <row r="996">
      <c r="A996" s="30">
        <v>45987.0</v>
      </c>
      <c r="B996" s="35" t="s">
        <v>57</v>
      </c>
      <c r="C996" s="35" t="s">
        <v>58</v>
      </c>
      <c r="D996" s="35" t="s">
        <v>59</v>
      </c>
      <c r="E996" s="35" t="s">
        <v>60</v>
      </c>
      <c r="F996" s="40">
        <v>46022.0</v>
      </c>
      <c r="G996" s="33"/>
      <c r="H996" s="73" t="s">
        <v>4439</v>
      </c>
      <c r="I996" s="33"/>
      <c r="J996" s="33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</row>
    <row r="997">
      <c r="A997" s="30">
        <v>45987.0</v>
      </c>
      <c r="B997" s="35" t="s">
        <v>4440</v>
      </c>
      <c r="C997" s="35" t="s">
        <v>4441</v>
      </c>
      <c r="D997" s="35" t="s">
        <v>476</v>
      </c>
      <c r="E997" s="35" t="s">
        <v>72</v>
      </c>
      <c r="F997" s="40">
        <v>46007.0</v>
      </c>
      <c r="G997" s="33"/>
      <c r="H997" s="33"/>
      <c r="I997" s="73" t="s">
        <v>4442</v>
      </c>
      <c r="J997" s="33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</row>
    <row r="998">
      <c r="A998" s="30">
        <v>45987.0</v>
      </c>
      <c r="B998" s="35" t="s">
        <v>4443</v>
      </c>
      <c r="C998" s="35" t="s">
        <v>4444</v>
      </c>
      <c r="D998" s="35" t="s">
        <v>128</v>
      </c>
      <c r="E998" s="35" t="s">
        <v>72</v>
      </c>
      <c r="F998" s="40">
        <v>46007.0</v>
      </c>
      <c r="G998" s="33"/>
      <c r="H998" s="33"/>
      <c r="I998" s="73" t="s">
        <v>4445</v>
      </c>
      <c r="J998" s="33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</row>
    <row r="999">
      <c r="A999" s="30">
        <v>45987.0</v>
      </c>
      <c r="B999" s="35" t="s">
        <v>4446</v>
      </c>
      <c r="C999" s="35" t="s">
        <v>4447</v>
      </c>
      <c r="D999" s="35" t="s">
        <v>59</v>
      </c>
      <c r="E999" s="35" t="s">
        <v>72</v>
      </c>
      <c r="F999" s="40">
        <v>46007.0</v>
      </c>
      <c r="G999" s="33"/>
      <c r="H999" s="33"/>
      <c r="I999" s="73" t="s">
        <v>4448</v>
      </c>
      <c r="J999" s="33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</row>
    <row r="1000">
      <c r="A1000" s="30">
        <v>45987.0</v>
      </c>
      <c r="B1000" s="35" t="s">
        <v>4449</v>
      </c>
      <c r="C1000" s="35" t="s">
        <v>4450</v>
      </c>
      <c r="D1000" s="35" t="s">
        <v>59</v>
      </c>
      <c r="E1000" s="35" t="s">
        <v>72</v>
      </c>
      <c r="F1000" s="40">
        <v>46007.0</v>
      </c>
      <c r="G1000" s="33"/>
      <c r="H1000" s="33"/>
      <c r="I1000" s="73" t="s">
        <v>4451</v>
      </c>
      <c r="J1000" s="33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</row>
    <row r="1001">
      <c r="A1001" s="30">
        <v>45987.0</v>
      </c>
      <c r="B1001" s="35" t="s">
        <v>4452</v>
      </c>
      <c r="C1001" s="35" t="s">
        <v>4453</v>
      </c>
      <c r="D1001" s="35" t="s">
        <v>59</v>
      </c>
      <c r="E1001" s="35" t="s">
        <v>72</v>
      </c>
      <c r="F1001" s="40">
        <v>46007.0</v>
      </c>
      <c r="G1001" s="33"/>
      <c r="H1001" s="33"/>
      <c r="I1001" s="73" t="s">
        <v>4454</v>
      </c>
      <c r="J1001" s="33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5"/>
      <c r="AD1001" s="35"/>
      <c r="AE1001" s="35"/>
    </row>
    <row r="1002">
      <c r="A1002" s="30">
        <v>45987.0</v>
      </c>
      <c r="B1002" s="35" t="s">
        <v>4455</v>
      </c>
      <c r="C1002" s="35" t="s">
        <v>4456</v>
      </c>
      <c r="D1002" s="35" t="s">
        <v>59</v>
      </c>
      <c r="E1002" s="35" t="s">
        <v>72</v>
      </c>
      <c r="F1002" s="40">
        <v>46007.0</v>
      </c>
      <c r="G1002" s="33"/>
      <c r="H1002" s="33"/>
      <c r="I1002" s="73" t="s">
        <v>4457</v>
      </c>
      <c r="J1002" s="33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  <c r="AD1002" s="35"/>
      <c r="AE1002" s="35"/>
    </row>
    <row r="1003">
      <c r="A1003" s="30">
        <v>45987.0</v>
      </c>
      <c r="B1003" s="35" t="s">
        <v>4458</v>
      </c>
      <c r="C1003" s="35" t="s">
        <v>4459</v>
      </c>
      <c r="D1003" s="35" t="s">
        <v>110</v>
      </c>
      <c r="E1003" s="35" t="s">
        <v>72</v>
      </c>
      <c r="F1003" s="40">
        <v>46007.0</v>
      </c>
      <c r="G1003" s="33"/>
      <c r="H1003" s="33"/>
      <c r="I1003" s="73" t="s">
        <v>4460</v>
      </c>
      <c r="J1003" s="33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  <c r="AB1003" s="35"/>
      <c r="AC1003" s="35"/>
      <c r="AD1003" s="35"/>
      <c r="AE1003" s="35"/>
    </row>
    <row r="1004">
      <c r="A1004" s="30">
        <v>45987.0</v>
      </c>
      <c r="B1004" s="35" t="s">
        <v>4461</v>
      </c>
      <c r="C1004" s="35" t="s">
        <v>4462</v>
      </c>
      <c r="D1004" s="35" t="s">
        <v>110</v>
      </c>
      <c r="E1004" s="35" t="s">
        <v>72</v>
      </c>
      <c r="F1004" s="40">
        <v>46007.0</v>
      </c>
      <c r="G1004" s="33"/>
      <c r="H1004" s="33"/>
      <c r="I1004" s="73" t="s">
        <v>4463</v>
      </c>
      <c r="J1004" s="33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  <c r="AB1004" s="35"/>
      <c r="AC1004" s="35"/>
      <c r="AD1004" s="35"/>
      <c r="AE1004" s="35"/>
    </row>
    <row r="1005">
      <c r="A1005" s="30">
        <v>45987.0</v>
      </c>
      <c r="B1005" s="35" t="s">
        <v>4464</v>
      </c>
      <c r="C1005" s="35" t="s">
        <v>4465</v>
      </c>
      <c r="D1005" s="35" t="s">
        <v>122</v>
      </c>
      <c r="E1005" s="35" t="s">
        <v>72</v>
      </c>
      <c r="F1005" s="40">
        <v>46007.0</v>
      </c>
      <c r="G1005" s="33"/>
      <c r="H1005" s="33"/>
      <c r="I1005" s="73" t="s">
        <v>4466</v>
      </c>
      <c r="J1005" s="33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  <c r="AB1005" s="35"/>
      <c r="AC1005" s="35"/>
      <c r="AD1005" s="35"/>
      <c r="AE1005" s="35"/>
    </row>
    <row r="1006">
      <c r="A1006" s="30">
        <v>45987.0</v>
      </c>
      <c r="B1006" s="35" t="s">
        <v>4467</v>
      </c>
      <c r="C1006" s="35" t="s">
        <v>4468</v>
      </c>
      <c r="D1006" s="35" t="s">
        <v>414</v>
      </c>
      <c r="E1006" s="35" t="s">
        <v>72</v>
      </c>
      <c r="F1006" s="40">
        <v>46007.0</v>
      </c>
      <c r="G1006" s="33"/>
      <c r="H1006" s="33"/>
      <c r="I1006" s="73" t="s">
        <v>4469</v>
      </c>
      <c r="J1006" s="33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  <c r="AB1006" s="35"/>
      <c r="AC1006" s="35"/>
      <c r="AD1006" s="35"/>
      <c r="AE1006" s="35"/>
    </row>
    <row r="1007">
      <c r="A1007" s="30">
        <v>45988.0</v>
      </c>
      <c r="B1007" s="35" t="s">
        <v>63</v>
      </c>
      <c r="C1007" s="35" t="s">
        <v>64</v>
      </c>
      <c r="D1007" s="35" t="s">
        <v>65</v>
      </c>
      <c r="E1007" s="35" t="s">
        <v>66</v>
      </c>
      <c r="F1007" s="40">
        <v>46023.0</v>
      </c>
      <c r="G1007" s="33"/>
      <c r="H1007" s="73" t="s">
        <v>4470</v>
      </c>
      <c r="I1007" s="33"/>
      <c r="J1007" s="33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  <c r="AA1007" s="35"/>
      <c r="AB1007" s="35"/>
      <c r="AC1007" s="35"/>
      <c r="AD1007" s="35"/>
      <c r="AE1007" s="35"/>
    </row>
    <row r="1008">
      <c r="A1008" s="30">
        <v>45988.0</v>
      </c>
      <c r="B1008" s="35" t="s">
        <v>69</v>
      </c>
      <c r="C1008" s="35" t="s">
        <v>70</v>
      </c>
      <c r="D1008" s="35" t="s">
        <v>71</v>
      </c>
      <c r="E1008" s="35" t="s">
        <v>72</v>
      </c>
      <c r="F1008" s="40">
        <v>46023.0</v>
      </c>
      <c r="G1008" s="33"/>
      <c r="H1008" s="33"/>
      <c r="I1008" s="73" t="s">
        <v>4471</v>
      </c>
      <c r="J1008" s="33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  <c r="AA1008" s="35"/>
      <c r="AB1008" s="35"/>
      <c r="AC1008" s="35"/>
      <c r="AD1008" s="35"/>
      <c r="AE1008" s="35"/>
    </row>
    <row r="1009">
      <c r="A1009" s="30">
        <v>45989.0</v>
      </c>
      <c r="B1009" s="35" t="s">
        <v>76</v>
      </c>
      <c r="C1009" s="35" t="s">
        <v>77</v>
      </c>
      <c r="D1009" s="35" t="s">
        <v>78</v>
      </c>
      <c r="E1009" s="35" t="s">
        <v>79</v>
      </c>
      <c r="F1009" s="40">
        <v>46023.0</v>
      </c>
      <c r="G1009" s="33"/>
      <c r="H1009" s="73" t="s">
        <v>4472</v>
      </c>
      <c r="I1009" s="33"/>
      <c r="J1009" s="33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  <c r="AA1009" s="35"/>
      <c r="AB1009" s="35"/>
      <c r="AC1009" s="35"/>
      <c r="AD1009" s="35"/>
      <c r="AE1009" s="35"/>
    </row>
    <row r="1010">
      <c r="A1010" s="30">
        <v>45992.0</v>
      </c>
      <c r="B1010" s="35" t="s">
        <v>82</v>
      </c>
      <c r="C1010" s="35" t="s">
        <v>83</v>
      </c>
      <c r="D1010" s="35" t="s">
        <v>59</v>
      </c>
      <c r="E1010" s="35" t="s">
        <v>84</v>
      </c>
      <c r="F1010" s="40">
        <v>46023.0</v>
      </c>
      <c r="G1010" s="33"/>
      <c r="H1010" s="73" t="s">
        <v>4473</v>
      </c>
      <c r="I1010" s="33"/>
      <c r="J1010" s="33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  <c r="AB1010" s="35"/>
      <c r="AC1010" s="35"/>
      <c r="AD1010" s="35"/>
      <c r="AE1010" s="35"/>
    </row>
    <row r="1011">
      <c r="A1011" s="30">
        <v>45992.0</v>
      </c>
      <c r="B1011" s="35" t="s">
        <v>4474</v>
      </c>
      <c r="C1011" s="35" t="s">
        <v>4475</v>
      </c>
      <c r="D1011" s="35" t="s">
        <v>173</v>
      </c>
      <c r="E1011" s="35" t="s">
        <v>2224</v>
      </c>
      <c r="F1011" s="40">
        <v>46007.0</v>
      </c>
      <c r="G1011" s="33"/>
      <c r="H1011" s="73" t="s">
        <v>4476</v>
      </c>
      <c r="I1011" s="33"/>
      <c r="J1011" s="33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  <c r="AA1011" s="35"/>
      <c r="AB1011" s="35"/>
      <c r="AC1011" s="35"/>
      <c r="AD1011" s="35"/>
      <c r="AE1011" s="35"/>
    </row>
    <row r="1012">
      <c r="A1012" s="30">
        <v>45992.0</v>
      </c>
      <c r="B1012" s="35" t="s">
        <v>4477</v>
      </c>
      <c r="C1012" s="35" t="s">
        <v>4478</v>
      </c>
      <c r="D1012" s="35" t="s">
        <v>65</v>
      </c>
      <c r="E1012" s="35" t="s">
        <v>334</v>
      </c>
      <c r="F1012" s="40">
        <v>45992.0</v>
      </c>
      <c r="G1012" s="33"/>
      <c r="H1012" s="33"/>
      <c r="I1012" s="33"/>
      <c r="J1012" s="33"/>
      <c r="K1012" s="35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  <c r="AA1012" s="35"/>
      <c r="AB1012" s="35"/>
      <c r="AC1012" s="35"/>
      <c r="AD1012" s="35"/>
      <c r="AE1012" s="35"/>
    </row>
    <row r="1013">
      <c r="A1013" s="30">
        <v>45992.0</v>
      </c>
      <c r="B1013" s="35" t="s">
        <v>87</v>
      </c>
      <c r="C1013" s="35" t="s">
        <v>88</v>
      </c>
      <c r="D1013" s="35" t="s">
        <v>89</v>
      </c>
      <c r="E1013" s="35" t="s">
        <v>90</v>
      </c>
      <c r="F1013" s="40">
        <v>46128.0</v>
      </c>
      <c r="G1013" s="33"/>
      <c r="H1013" s="73" t="s">
        <v>4479</v>
      </c>
      <c r="I1013" s="33"/>
      <c r="J1013" s="33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  <c r="AA1013" s="35"/>
      <c r="AB1013" s="35"/>
      <c r="AC1013" s="35"/>
      <c r="AD1013" s="35"/>
      <c r="AE1013" s="35"/>
    </row>
    <row r="1014">
      <c r="A1014" s="30">
        <v>45993.0</v>
      </c>
      <c r="B1014" s="35" t="s">
        <v>4480</v>
      </c>
      <c r="C1014" s="35" t="s">
        <v>4481</v>
      </c>
      <c r="D1014" s="35" t="s">
        <v>4482</v>
      </c>
      <c r="E1014" s="35" t="s">
        <v>4483</v>
      </c>
      <c r="F1014" s="40">
        <v>46023.0</v>
      </c>
      <c r="G1014" s="33"/>
      <c r="H1014" s="33"/>
      <c r="I1014" s="73" t="s">
        <v>4484</v>
      </c>
      <c r="J1014" s="33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  <c r="AA1014" s="35"/>
      <c r="AB1014" s="35"/>
      <c r="AC1014" s="35"/>
      <c r="AD1014" s="35"/>
      <c r="AE1014" s="35"/>
    </row>
    <row r="1015">
      <c r="A1015" s="30">
        <v>45993.0</v>
      </c>
      <c r="B1015" s="35" t="s">
        <v>4485</v>
      </c>
      <c r="C1015" s="35" t="s">
        <v>4486</v>
      </c>
      <c r="D1015" s="35" t="s">
        <v>94</v>
      </c>
      <c r="E1015" s="35" t="s">
        <v>1022</v>
      </c>
      <c r="F1015" s="40"/>
      <c r="G1015" s="33"/>
      <c r="H1015" s="33"/>
      <c r="I1015" s="73" t="s">
        <v>4487</v>
      </c>
      <c r="J1015" s="33"/>
      <c r="K1015" s="35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  <c r="AA1015" s="35"/>
      <c r="AB1015" s="35"/>
      <c r="AC1015" s="35"/>
      <c r="AD1015" s="35"/>
      <c r="AE1015" s="35"/>
    </row>
    <row r="1016">
      <c r="A1016" s="30">
        <v>45993.0</v>
      </c>
      <c r="B1016" s="35" t="s">
        <v>92</v>
      </c>
      <c r="C1016" s="35" t="s">
        <v>93</v>
      </c>
      <c r="D1016" s="35" t="s">
        <v>94</v>
      </c>
      <c r="E1016" s="35" t="s">
        <v>95</v>
      </c>
      <c r="F1016" s="40"/>
      <c r="G1016" s="33"/>
      <c r="H1016" s="33"/>
      <c r="I1016" s="73" t="s">
        <v>4488</v>
      </c>
      <c r="J1016" s="33"/>
      <c r="K1016" s="35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  <c r="W1016" s="35"/>
      <c r="X1016" s="35"/>
      <c r="Y1016" s="35"/>
      <c r="Z1016" s="35"/>
      <c r="AA1016" s="35"/>
      <c r="AB1016" s="35"/>
      <c r="AC1016" s="35"/>
      <c r="AD1016" s="35"/>
      <c r="AE1016" s="35"/>
    </row>
    <row r="1017">
      <c r="A1017" s="30">
        <v>45993.0</v>
      </c>
      <c r="B1017" s="35" t="s">
        <v>4489</v>
      </c>
      <c r="C1017" s="35" t="s">
        <v>4490</v>
      </c>
      <c r="D1017" s="35" t="s">
        <v>1305</v>
      </c>
      <c r="E1017" s="35" t="s">
        <v>1109</v>
      </c>
      <c r="F1017" s="40">
        <v>46007.0</v>
      </c>
      <c r="G1017" s="33"/>
      <c r="H1017" s="73" t="s">
        <v>4491</v>
      </c>
      <c r="I1017" s="33"/>
      <c r="J1017" s="33"/>
      <c r="K1017" s="35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  <c r="W1017" s="35"/>
      <c r="X1017" s="35"/>
      <c r="Y1017" s="35"/>
      <c r="Z1017" s="35"/>
      <c r="AA1017" s="35"/>
      <c r="AB1017" s="35"/>
      <c r="AC1017" s="35"/>
      <c r="AD1017" s="35"/>
      <c r="AE1017" s="35"/>
    </row>
    <row r="1018">
      <c r="A1018" s="30">
        <v>45993.0</v>
      </c>
      <c r="B1018" s="35" t="s">
        <v>99</v>
      </c>
      <c r="C1018" s="35" t="s">
        <v>100</v>
      </c>
      <c r="D1018" s="35" t="s">
        <v>101</v>
      </c>
      <c r="E1018" s="35" t="s">
        <v>102</v>
      </c>
      <c r="F1018" s="40">
        <v>46023.0</v>
      </c>
      <c r="G1018" s="33"/>
      <c r="H1018" s="33"/>
      <c r="I1018" s="73" t="s">
        <v>4492</v>
      </c>
      <c r="J1018" s="33"/>
      <c r="K1018" s="35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  <c r="W1018" s="35"/>
      <c r="X1018" s="35"/>
      <c r="Y1018" s="35"/>
      <c r="Z1018" s="35"/>
      <c r="AA1018" s="35"/>
      <c r="AB1018" s="35"/>
      <c r="AC1018" s="35"/>
      <c r="AD1018" s="35"/>
      <c r="AE1018" s="35"/>
    </row>
    <row r="1019">
      <c r="A1019" s="30">
        <v>45993.0</v>
      </c>
      <c r="B1019" s="35" t="s">
        <v>105</v>
      </c>
      <c r="C1019" s="35" t="s">
        <v>106</v>
      </c>
      <c r="D1019" s="35" t="s">
        <v>71</v>
      </c>
      <c r="E1019" s="35" t="s">
        <v>72</v>
      </c>
      <c r="F1019" s="40">
        <v>46023.0</v>
      </c>
      <c r="G1019" s="33"/>
      <c r="H1019" s="33"/>
      <c r="I1019" s="73" t="s">
        <v>4493</v>
      </c>
      <c r="J1019" s="33"/>
      <c r="K1019" s="35"/>
      <c r="L1019" s="35"/>
      <c r="M1019" s="35"/>
      <c r="N1019" s="35"/>
      <c r="O1019" s="35"/>
      <c r="P1019" s="35"/>
      <c r="Q1019" s="35"/>
      <c r="R1019" s="35"/>
      <c r="S1019" s="35"/>
      <c r="T1019" s="35"/>
      <c r="U1019" s="35"/>
      <c r="V1019" s="35"/>
      <c r="W1019" s="35"/>
      <c r="X1019" s="35"/>
      <c r="Y1019" s="35"/>
      <c r="Z1019" s="35"/>
      <c r="AA1019" s="35"/>
      <c r="AB1019" s="35"/>
      <c r="AC1019" s="35"/>
      <c r="AD1019" s="35"/>
      <c r="AE1019" s="35"/>
    </row>
    <row r="1020">
      <c r="A1020" s="30">
        <v>45993.0</v>
      </c>
      <c r="B1020" s="35" t="s">
        <v>4494</v>
      </c>
      <c r="C1020" s="35" t="s">
        <v>4495</v>
      </c>
      <c r="D1020" s="35" t="s">
        <v>71</v>
      </c>
      <c r="E1020" s="35" t="s">
        <v>72</v>
      </c>
      <c r="F1020" s="40">
        <v>46007.0</v>
      </c>
      <c r="G1020" s="33"/>
      <c r="H1020" s="33"/>
      <c r="I1020" s="73" t="s">
        <v>4496</v>
      </c>
      <c r="J1020" s="33"/>
      <c r="K1020" s="35"/>
      <c r="L1020" s="35"/>
      <c r="M1020" s="35"/>
      <c r="N1020" s="35"/>
      <c r="O1020" s="35"/>
      <c r="P1020" s="35"/>
      <c r="Q1020" s="35"/>
      <c r="R1020" s="35"/>
      <c r="S1020" s="35"/>
      <c r="T1020" s="35"/>
      <c r="U1020" s="35"/>
      <c r="V1020" s="35"/>
      <c r="W1020" s="35"/>
      <c r="X1020" s="35"/>
      <c r="Y1020" s="35"/>
      <c r="Z1020" s="35"/>
      <c r="AA1020" s="35"/>
      <c r="AB1020" s="35"/>
      <c r="AC1020" s="35"/>
      <c r="AD1020" s="35"/>
      <c r="AE1020" s="35"/>
    </row>
    <row r="1021">
      <c r="A1021" s="30">
        <v>45994.0</v>
      </c>
      <c r="B1021" s="35" t="s">
        <v>4497</v>
      </c>
      <c r="C1021" s="35" t="s">
        <v>4498</v>
      </c>
      <c r="D1021" s="35" t="s">
        <v>122</v>
      </c>
      <c r="E1021" s="35" t="s">
        <v>4343</v>
      </c>
      <c r="F1021" s="40">
        <v>45992.0</v>
      </c>
      <c r="G1021" s="33"/>
      <c r="H1021" s="33"/>
      <c r="I1021" s="33"/>
      <c r="J1021" s="33"/>
      <c r="K1021" s="35"/>
      <c r="L1021" s="35"/>
      <c r="M1021" s="35"/>
      <c r="N1021" s="35"/>
      <c r="O1021" s="35"/>
      <c r="P1021" s="35"/>
      <c r="Q1021" s="35"/>
      <c r="R1021" s="35"/>
      <c r="S1021" s="35"/>
      <c r="T1021" s="35"/>
      <c r="U1021" s="35"/>
      <c r="V1021" s="35"/>
      <c r="W1021" s="35"/>
      <c r="X1021" s="35"/>
      <c r="Y1021" s="35"/>
      <c r="Z1021" s="35"/>
      <c r="AA1021" s="35"/>
      <c r="AB1021" s="35"/>
      <c r="AC1021" s="35"/>
      <c r="AD1021" s="35"/>
      <c r="AE1021" s="35"/>
    </row>
    <row r="1022">
      <c r="A1022" s="30">
        <v>45994.0</v>
      </c>
      <c r="B1022" s="35" t="s">
        <v>4499</v>
      </c>
      <c r="C1022" s="35" t="s">
        <v>4500</v>
      </c>
      <c r="D1022" s="35" t="s">
        <v>122</v>
      </c>
      <c r="E1022" s="35" t="s">
        <v>43</v>
      </c>
      <c r="F1022" s="40">
        <v>45992.0</v>
      </c>
      <c r="G1022" s="33"/>
      <c r="H1022" s="33"/>
      <c r="I1022" s="33"/>
      <c r="J1022" s="33"/>
      <c r="K1022" s="35"/>
      <c r="L1022" s="35"/>
      <c r="M1022" s="35"/>
      <c r="N1022" s="35"/>
      <c r="O1022" s="35"/>
      <c r="P1022" s="35"/>
      <c r="Q1022" s="35"/>
      <c r="R1022" s="35"/>
      <c r="S1022" s="35"/>
      <c r="T1022" s="35"/>
      <c r="U1022" s="35"/>
      <c r="V1022" s="35"/>
      <c r="W1022" s="35"/>
      <c r="X1022" s="35"/>
      <c r="Y1022" s="35"/>
      <c r="Z1022" s="35"/>
      <c r="AA1022" s="35"/>
      <c r="AB1022" s="35"/>
      <c r="AC1022" s="35"/>
      <c r="AD1022" s="35"/>
      <c r="AE1022" s="35"/>
    </row>
    <row r="1023">
      <c r="A1023" s="30">
        <v>45994.0</v>
      </c>
      <c r="B1023" s="35" t="s">
        <v>4501</v>
      </c>
      <c r="C1023" s="35" t="s">
        <v>4502</v>
      </c>
      <c r="D1023" s="35" t="s">
        <v>42</v>
      </c>
      <c r="E1023" s="35" t="s">
        <v>158</v>
      </c>
      <c r="F1023" s="40">
        <v>46000.0</v>
      </c>
      <c r="G1023" s="33"/>
      <c r="H1023" s="33"/>
      <c r="I1023" s="73" t="s">
        <v>4503</v>
      </c>
      <c r="J1023" s="33"/>
      <c r="K1023" s="35"/>
      <c r="L1023" s="35"/>
      <c r="M1023" s="35"/>
      <c r="N1023" s="35"/>
      <c r="O1023" s="35"/>
      <c r="P1023" s="35"/>
      <c r="Q1023" s="35"/>
      <c r="R1023" s="35"/>
      <c r="S1023" s="35"/>
      <c r="T1023" s="35"/>
      <c r="U1023" s="35"/>
      <c r="V1023" s="35"/>
      <c r="W1023" s="35"/>
      <c r="X1023" s="35"/>
      <c r="Y1023" s="35"/>
      <c r="Z1023" s="35"/>
      <c r="AA1023" s="35"/>
      <c r="AB1023" s="35"/>
      <c r="AC1023" s="35"/>
      <c r="AD1023" s="35"/>
      <c r="AE1023" s="35"/>
    </row>
    <row r="1024">
      <c r="A1024" s="30">
        <v>45994.0</v>
      </c>
      <c r="B1024" s="35" t="s">
        <v>108</v>
      </c>
      <c r="C1024" s="35" t="s">
        <v>109</v>
      </c>
      <c r="D1024" s="35" t="s">
        <v>110</v>
      </c>
      <c r="E1024" s="35" t="s">
        <v>111</v>
      </c>
      <c r="F1024" s="40">
        <v>46023.0</v>
      </c>
      <c r="G1024" s="33"/>
      <c r="H1024" s="33"/>
      <c r="I1024" s="73" t="s">
        <v>4504</v>
      </c>
      <c r="J1024" s="33"/>
      <c r="K1024" s="35"/>
      <c r="L1024" s="35"/>
      <c r="M1024" s="35"/>
      <c r="N1024" s="35"/>
      <c r="O1024" s="35"/>
      <c r="P1024" s="35"/>
      <c r="Q1024" s="35"/>
      <c r="R1024" s="35"/>
      <c r="S1024" s="35"/>
      <c r="T1024" s="35"/>
      <c r="U1024" s="35"/>
      <c r="V1024" s="35"/>
      <c r="W1024" s="35"/>
      <c r="X1024" s="35"/>
      <c r="Y1024" s="35"/>
      <c r="Z1024" s="35"/>
      <c r="AA1024" s="35"/>
      <c r="AB1024" s="35"/>
      <c r="AC1024" s="35"/>
      <c r="AD1024" s="35"/>
      <c r="AE1024" s="35"/>
    </row>
    <row r="1025">
      <c r="A1025" s="30"/>
      <c r="B1025" s="35" t="s">
        <v>114</v>
      </c>
      <c r="C1025" s="35" t="s">
        <v>115</v>
      </c>
      <c r="D1025" s="35" t="s">
        <v>116</v>
      </c>
      <c r="E1025" s="35" t="s">
        <v>117</v>
      </c>
      <c r="F1025" s="40">
        <v>46296.0</v>
      </c>
      <c r="G1025" s="33"/>
      <c r="H1025" s="73" t="s">
        <v>4505</v>
      </c>
      <c r="I1025" s="33"/>
      <c r="J1025" s="33"/>
      <c r="K1025" s="35"/>
      <c r="L1025" s="35"/>
      <c r="M1025" s="35"/>
      <c r="N1025" s="35"/>
      <c r="O1025" s="35"/>
      <c r="P1025" s="35"/>
      <c r="Q1025" s="35"/>
      <c r="R1025" s="35"/>
      <c r="S1025" s="35"/>
      <c r="T1025" s="35"/>
      <c r="U1025" s="35"/>
      <c r="V1025" s="35"/>
      <c r="W1025" s="35"/>
      <c r="X1025" s="35"/>
      <c r="Y1025" s="35"/>
      <c r="Z1025" s="35"/>
      <c r="AA1025" s="35"/>
      <c r="AB1025" s="35"/>
      <c r="AC1025" s="35"/>
      <c r="AD1025" s="35"/>
      <c r="AE1025" s="35"/>
    </row>
    <row r="1026">
      <c r="A1026" s="30">
        <v>46000.0</v>
      </c>
      <c r="B1026" s="35" t="s">
        <v>4506</v>
      </c>
      <c r="C1026" s="35" t="s">
        <v>4507</v>
      </c>
      <c r="D1026" s="35" t="s">
        <v>4508</v>
      </c>
      <c r="E1026" s="35" t="s">
        <v>4509</v>
      </c>
      <c r="F1026" s="40">
        <v>46000.0</v>
      </c>
      <c r="G1026" s="33"/>
      <c r="H1026" s="33"/>
      <c r="I1026" s="73" t="s">
        <v>4510</v>
      </c>
      <c r="J1026" s="33"/>
      <c r="K1026" s="35"/>
      <c r="L1026" s="35"/>
      <c r="M1026" s="35"/>
      <c r="N1026" s="35"/>
      <c r="O1026" s="35"/>
      <c r="P1026" s="35"/>
      <c r="Q1026" s="35"/>
      <c r="R1026" s="35"/>
      <c r="S1026" s="35"/>
      <c r="T1026" s="35"/>
      <c r="U1026" s="35"/>
      <c r="V1026" s="35"/>
      <c r="W1026" s="35"/>
      <c r="X1026" s="35"/>
      <c r="Y1026" s="35"/>
      <c r="Z1026" s="35"/>
      <c r="AA1026" s="35"/>
      <c r="AB1026" s="35"/>
      <c r="AC1026" s="35"/>
      <c r="AD1026" s="35"/>
      <c r="AE1026" s="35"/>
    </row>
    <row r="1027">
      <c r="A1027" s="30">
        <v>46000.0</v>
      </c>
      <c r="B1027" s="35" t="s">
        <v>120</v>
      </c>
      <c r="C1027" s="35" t="s">
        <v>121</v>
      </c>
      <c r="D1027" s="35" t="s">
        <v>122</v>
      </c>
      <c r="E1027" s="35" t="s">
        <v>123</v>
      </c>
      <c r="F1027" s="40">
        <v>46023.0</v>
      </c>
      <c r="G1027" s="33"/>
      <c r="H1027" s="33"/>
      <c r="I1027" s="73" t="s">
        <v>4511</v>
      </c>
      <c r="J1027" s="33"/>
      <c r="K1027" s="35"/>
      <c r="L1027" s="35"/>
      <c r="M1027" s="35"/>
      <c r="N1027" s="35"/>
      <c r="O1027" s="35"/>
      <c r="P1027" s="35"/>
      <c r="Q1027" s="35"/>
      <c r="R1027" s="35"/>
      <c r="S1027" s="35"/>
      <c r="T1027" s="35"/>
      <c r="U1027" s="35"/>
      <c r="V1027" s="35"/>
      <c r="W1027" s="35"/>
      <c r="X1027" s="35"/>
      <c r="Y1027" s="35"/>
      <c r="Z1027" s="35"/>
      <c r="AA1027" s="35"/>
      <c r="AB1027" s="35"/>
      <c r="AC1027" s="35"/>
      <c r="AD1027" s="35"/>
      <c r="AE1027" s="35"/>
    </row>
    <row r="1028">
      <c r="A1028" s="30">
        <v>46000.0</v>
      </c>
      <c r="B1028" s="35" t="s">
        <v>4512</v>
      </c>
      <c r="C1028" s="35" t="s">
        <v>4513</v>
      </c>
      <c r="D1028" s="35" t="s">
        <v>110</v>
      </c>
      <c r="E1028" s="35" t="s">
        <v>764</v>
      </c>
      <c r="F1028" s="40">
        <v>46011.0</v>
      </c>
      <c r="G1028" s="33"/>
      <c r="H1028" s="33"/>
      <c r="I1028" s="73" t="s">
        <v>4514</v>
      </c>
      <c r="J1028" s="33"/>
      <c r="K1028" s="35"/>
      <c r="L1028" s="35"/>
      <c r="M1028" s="35"/>
      <c r="N1028" s="35"/>
      <c r="O1028" s="35"/>
      <c r="P1028" s="35"/>
      <c r="Q1028" s="35"/>
      <c r="R1028" s="35"/>
      <c r="S1028" s="35"/>
      <c r="T1028" s="35"/>
      <c r="U1028" s="35"/>
      <c r="V1028" s="35"/>
      <c r="W1028" s="35"/>
      <c r="X1028" s="35"/>
      <c r="Y1028" s="35"/>
      <c r="Z1028" s="35"/>
      <c r="AA1028" s="35"/>
      <c r="AB1028" s="35"/>
      <c r="AC1028" s="35"/>
      <c r="AD1028" s="35"/>
      <c r="AE1028" s="35"/>
    </row>
    <row r="1029">
      <c r="A1029" s="30">
        <v>46000.0</v>
      </c>
      <c r="B1029" s="35" t="s">
        <v>4515</v>
      </c>
      <c r="C1029" s="35" t="s">
        <v>4516</v>
      </c>
      <c r="D1029" s="35" t="s">
        <v>59</v>
      </c>
      <c r="E1029" s="35" t="s">
        <v>168</v>
      </c>
      <c r="F1029" s="40">
        <v>46007.0</v>
      </c>
      <c r="G1029" s="33"/>
      <c r="H1029" s="33"/>
      <c r="I1029" s="73" t="s">
        <v>4517</v>
      </c>
      <c r="J1029" s="33"/>
      <c r="K1029" s="35"/>
      <c r="L1029" s="35"/>
      <c r="M1029" s="35"/>
      <c r="N1029" s="35"/>
      <c r="O1029" s="35"/>
      <c r="P1029" s="35"/>
      <c r="Q1029" s="35"/>
      <c r="R1029" s="35"/>
      <c r="S1029" s="35"/>
      <c r="T1029" s="35"/>
      <c r="U1029" s="35"/>
      <c r="V1029" s="35"/>
      <c r="W1029" s="35"/>
      <c r="X1029" s="35"/>
      <c r="Y1029" s="35"/>
      <c r="Z1029" s="35"/>
      <c r="AA1029" s="35"/>
      <c r="AB1029" s="35"/>
      <c r="AC1029" s="35"/>
      <c r="AD1029" s="35"/>
      <c r="AE1029" s="35"/>
    </row>
    <row r="1030">
      <c r="A1030" s="30">
        <v>46000.0</v>
      </c>
      <c r="B1030" s="35" t="s">
        <v>126</v>
      </c>
      <c r="C1030" s="35" t="s">
        <v>127</v>
      </c>
      <c r="D1030" s="35" t="s">
        <v>128</v>
      </c>
      <c r="E1030" s="35" t="s">
        <v>129</v>
      </c>
      <c r="F1030" s="40">
        <v>46023.0</v>
      </c>
      <c r="G1030" s="33"/>
      <c r="H1030" s="33"/>
      <c r="I1030" s="73" t="s">
        <v>4518</v>
      </c>
      <c r="J1030" s="33"/>
      <c r="K1030" s="35"/>
      <c r="L1030" s="35"/>
      <c r="M1030" s="35"/>
      <c r="N1030" s="35"/>
      <c r="O1030" s="35"/>
      <c r="P1030" s="35"/>
      <c r="Q1030" s="35"/>
      <c r="R1030" s="35"/>
      <c r="S1030" s="35"/>
      <c r="T1030" s="35"/>
      <c r="U1030" s="35"/>
      <c r="V1030" s="35"/>
      <c r="W1030" s="35"/>
      <c r="X1030" s="35"/>
      <c r="Y1030" s="35"/>
      <c r="Z1030" s="35"/>
      <c r="AA1030" s="35"/>
      <c r="AB1030" s="35"/>
      <c r="AC1030" s="35"/>
      <c r="AD1030" s="35"/>
      <c r="AE1030" s="35"/>
    </row>
    <row r="1031">
      <c r="A1031" s="30">
        <v>46000.0</v>
      </c>
      <c r="B1031" s="35" t="s">
        <v>132</v>
      </c>
      <c r="C1031" s="35" t="s">
        <v>133</v>
      </c>
      <c r="D1031" s="35" t="s">
        <v>122</v>
      </c>
      <c r="E1031" s="35" t="s">
        <v>134</v>
      </c>
      <c r="F1031" s="40">
        <v>46023.0</v>
      </c>
      <c r="G1031" s="33"/>
      <c r="H1031" s="33"/>
      <c r="I1031" s="73" t="s">
        <v>4519</v>
      </c>
      <c r="J1031" s="33"/>
      <c r="K1031" s="35"/>
      <c r="L1031" s="35"/>
      <c r="M1031" s="35"/>
      <c r="N1031" s="35"/>
      <c r="O1031" s="35"/>
      <c r="P1031" s="35"/>
      <c r="Q1031" s="35"/>
      <c r="R1031" s="35"/>
      <c r="S1031" s="35"/>
      <c r="T1031" s="35"/>
      <c r="U1031" s="35"/>
      <c r="V1031" s="35"/>
      <c r="W1031" s="35"/>
      <c r="X1031" s="35"/>
      <c r="Y1031" s="35"/>
      <c r="Z1031" s="35"/>
      <c r="AA1031" s="35"/>
      <c r="AB1031" s="35"/>
      <c r="AC1031" s="35"/>
      <c r="AD1031" s="35"/>
      <c r="AE1031" s="35"/>
    </row>
    <row r="1032">
      <c r="A1032" s="30">
        <v>46000.0</v>
      </c>
      <c r="B1032" s="35" t="s">
        <v>4520</v>
      </c>
      <c r="C1032" s="35" t="s">
        <v>4521</v>
      </c>
      <c r="D1032" s="35" t="s">
        <v>128</v>
      </c>
      <c r="E1032" s="35" t="s">
        <v>72</v>
      </c>
      <c r="F1032" s="40">
        <v>46007.0</v>
      </c>
      <c r="G1032" s="33"/>
      <c r="H1032" s="33"/>
      <c r="I1032" s="73" t="s">
        <v>4522</v>
      </c>
      <c r="J1032" s="33"/>
      <c r="K1032" s="35"/>
      <c r="L1032" s="35"/>
      <c r="M1032" s="35"/>
      <c r="N1032" s="35"/>
      <c r="O1032" s="35"/>
      <c r="P1032" s="35"/>
      <c r="Q1032" s="35"/>
      <c r="R1032" s="35"/>
      <c r="S1032" s="35"/>
      <c r="T1032" s="35"/>
      <c r="U1032" s="35"/>
      <c r="V1032" s="35"/>
      <c r="W1032" s="35"/>
      <c r="X1032" s="35"/>
      <c r="Y1032" s="35"/>
      <c r="Z1032" s="35"/>
      <c r="AA1032" s="35"/>
      <c r="AB1032" s="35"/>
      <c r="AC1032" s="35"/>
      <c r="AD1032" s="35"/>
      <c r="AE1032" s="35"/>
    </row>
    <row r="1033">
      <c r="A1033" s="30">
        <v>46002.0</v>
      </c>
      <c r="B1033" s="35" t="s">
        <v>137</v>
      </c>
      <c r="C1033" s="35" t="s">
        <v>138</v>
      </c>
      <c r="D1033" s="35" t="s">
        <v>122</v>
      </c>
      <c r="E1033" s="35" t="s">
        <v>139</v>
      </c>
      <c r="F1033" s="40">
        <v>46023.0</v>
      </c>
      <c r="G1033" s="33"/>
      <c r="H1033" s="33"/>
      <c r="I1033" s="73" t="s">
        <v>4523</v>
      </c>
      <c r="J1033" s="33"/>
      <c r="K1033" s="35"/>
      <c r="L1033" s="35"/>
      <c r="M1033" s="35"/>
      <c r="N1033" s="35"/>
      <c r="O1033" s="35"/>
      <c r="P1033" s="35"/>
      <c r="Q1033" s="35"/>
      <c r="R1033" s="35"/>
      <c r="S1033" s="35"/>
      <c r="T1033" s="35"/>
      <c r="U1033" s="35"/>
      <c r="V1033" s="35"/>
      <c r="W1033" s="35"/>
      <c r="X1033" s="35"/>
      <c r="Y1033" s="35"/>
      <c r="Z1033" s="35"/>
      <c r="AA1033" s="35"/>
      <c r="AB1033" s="35"/>
      <c r="AC1033" s="35"/>
      <c r="AD1033" s="35"/>
      <c r="AE1033" s="35"/>
    </row>
    <row r="1034">
      <c r="A1034" s="30">
        <v>46003.0</v>
      </c>
      <c r="B1034" s="35" t="s">
        <v>4524</v>
      </c>
      <c r="C1034" s="35" t="s">
        <v>4525</v>
      </c>
      <c r="D1034" s="35" t="s">
        <v>380</v>
      </c>
      <c r="E1034" s="35" t="s">
        <v>381</v>
      </c>
      <c r="F1034" s="40">
        <v>46001.0</v>
      </c>
      <c r="G1034" s="33"/>
      <c r="H1034" s="33"/>
      <c r="I1034" s="33"/>
      <c r="J1034" s="73" t="s">
        <v>4526</v>
      </c>
      <c r="K1034" s="35"/>
      <c r="L1034" s="35"/>
      <c r="M1034" s="35"/>
      <c r="N1034" s="35"/>
      <c r="O1034" s="35"/>
      <c r="P1034" s="35"/>
      <c r="Q1034" s="35"/>
      <c r="R1034" s="35"/>
      <c r="S1034" s="35"/>
      <c r="T1034" s="35"/>
      <c r="U1034" s="35"/>
      <c r="V1034" s="35"/>
      <c r="W1034" s="35"/>
      <c r="X1034" s="35"/>
      <c r="Y1034" s="35"/>
      <c r="Z1034" s="35"/>
      <c r="AA1034" s="35"/>
      <c r="AB1034" s="35"/>
      <c r="AC1034" s="35"/>
      <c r="AD1034" s="35"/>
      <c r="AE1034" s="35"/>
    </row>
    <row r="1035">
      <c r="A1035" s="30"/>
      <c r="B1035" s="35" t="s">
        <v>4527</v>
      </c>
      <c r="C1035" s="35" t="s">
        <v>4528</v>
      </c>
      <c r="D1035" s="35" t="s">
        <v>122</v>
      </c>
      <c r="E1035" s="35" t="s">
        <v>807</v>
      </c>
      <c r="F1035" s="40">
        <v>46003.0</v>
      </c>
      <c r="G1035" s="33"/>
      <c r="H1035" s="33"/>
      <c r="I1035" s="73" t="s">
        <v>4529</v>
      </c>
      <c r="J1035" s="33"/>
      <c r="K1035" s="35"/>
      <c r="L1035" s="35"/>
      <c r="M1035" s="35"/>
      <c r="N1035" s="35"/>
      <c r="O1035" s="35"/>
      <c r="P1035" s="35"/>
      <c r="Q1035" s="35"/>
      <c r="R1035" s="35"/>
      <c r="S1035" s="35"/>
      <c r="T1035" s="35"/>
      <c r="U1035" s="35"/>
      <c r="V1035" s="35"/>
      <c r="W1035" s="35"/>
      <c r="X1035" s="35"/>
      <c r="Y1035" s="35"/>
      <c r="Z1035" s="35"/>
      <c r="AA1035" s="35"/>
      <c r="AB1035" s="35"/>
      <c r="AC1035" s="35"/>
      <c r="AD1035" s="35"/>
      <c r="AE1035" s="35"/>
    </row>
    <row r="1036">
      <c r="A1036" s="30"/>
      <c r="B1036" s="35" t="s">
        <v>4530</v>
      </c>
      <c r="C1036" s="35" t="s">
        <v>4531</v>
      </c>
      <c r="D1036" s="35" t="s">
        <v>122</v>
      </c>
      <c r="E1036" s="35" t="s">
        <v>807</v>
      </c>
      <c r="F1036" s="40">
        <v>46000.0</v>
      </c>
      <c r="G1036" s="33"/>
      <c r="H1036" s="33"/>
      <c r="I1036" s="73" t="s">
        <v>4532</v>
      </c>
      <c r="J1036" s="33"/>
      <c r="K1036" s="35"/>
      <c r="L1036" s="35"/>
      <c r="M1036" s="35"/>
      <c r="N1036" s="35"/>
      <c r="O1036" s="35"/>
      <c r="P1036" s="35"/>
      <c r="Q1036" s="35"/>
      <c r="R1036" s="35"/>
      <c r="S1036" s="35"/>
      <c r="T1036" s="35"/>
      <c r="U1036" s="35"/>
      <c r="V1036" s="35"/>
      <c r="W1036" s="35"/>
      <c r="X1036" s="35"/>
      <c r="Y1036" s="35"/>
      <c r="Z1036" s="35"/>
      <c r="AA1036" s="35"/>
      <c r="AB1036" s="35"/>
      <c r="AC1036" s="35"/>
      <c r="AD1036" s="35"/>
      <c r="AE1036" s="35"/>
    </row>
    <row r="1037">
      <c r="A1037" s="30">
        <v>46007.0</v>
      </c>
      <c r="B1037" s="35" t="s">
        <v>141</v>
      </c>
      <c r="C1037" s="35" t="s">
        <v>142</v>
      </c>
      <c r="D1037" s="35" t="s">
        <v>122</v>
      </c>
      <c r="E1037" s="35" t="s">
        <v>143</v>
      </c>
      <c r="F1037" s="40">
        <v>46023.0</v>
      </c>
      <c r="G1037" s="33"/>
      <c r="H1037" s="33"/>
      <c r="I1037" s="73" t="s">
        <v>4533</v>
      </c>
      <c r="J1037" s="33"/>
      <c r="K1037" s="35"/>
      <c r="L1037" s="35"/>
      <c r="M1037" s="35"/>
      <c r="N1037" s="35"/>
      <c r="O1037" s="35"/>
      <c r="P1037" s="35"/>
      <c r="Q1037" s="35"/>
      <c r="R1037" s="35"/>
      <c r="S1037" s="35"/>
      <c r="T1037" s="35"/>
      <c r="U1037" s="35"/>
      <c r="V1037" s="35"/>
      <c r="W1037" s="35"/>
      <c r="X1037" s="35"/>
      <c r="Y1037" s="35"/>
      <c r="Z1037" s="35"/>
      <c r="AA1037" s="35"/>
      <c r="AB1037" s="35"/>
      <c r="AC1037" s="35"/>
      <c r="AD1037" s="35"/>
      <c r="AE1037" s="35"/>
    </row>
    <row r="1038">
      <c r="A1038" s="30">
        <v>46007.0</v>
      </c>
      <c r="B1038" s="35" t="s">
        <v>146</v>
      </c>
      <c r="C1038" s="35" t="s">
        <v>147</v>
      </c>
      <c r="D1038" s="35" t="s">
        <v>122</v>
      </c>
      <c r="E1038" s="35" t="s">
        <v>148</v>
      </c>
      <c r="F1038" s="40">
        <v>46031.0</v>
      </c>
      <c r="G1038" s="33"/>
      <c r="H1038" s="33"/>
      <c r="I1038" s="73" t="s">
        <v>4534</v>
      </c>
      <c r="J1038" s="33"/>
      <c r="K1038" s="35"/>
      <c r="L1038" s="35"/>
      <c r="M1038" s="35"/>
      <c r="N1038" s="35"/>
      <c r="O1038" s="35"/>
      <c r="P1038" s="35"/>
      <c r="Q1038" s="35"/>
      <c r="R1038" s="35"/>
      <c r="S1038" s="35"/>
      <c r="T1038" s="35"/>
      <c r="U1038" s="35"/>
      <c r="V1038" s="35"/>
      <c r="W1038" s="35"/>
      <c r="X1038" s="35"/>
      <c r="Y1038" s="35"/>
      <c r="Z1038" s="35"/>
      <c r="AA1038" s="35"/>
      <c r="AB1038" s="35"/>
      <c r="AC1038" s="35"/>
      <c r="AD1038" s="35"/>
      <c r="AE1038" s="35"/>
    </row>
    <row r="1039">
      <c r="A1039" s="30">
        <v>46008.0</v>
      </c>
      <c r="B1039" s="35" t="s">
        <v>4535</v>
      </c>
      <c r="C1039" s="35" t="s">
        <v>4536</v>
      </c>
      <c r="D1039" s="35" t="s">
        <v>122</v>
      </c>
      <c r="E1039" s="35" t="s">
        <v>294</v>
      </c>
      <c r="F1039" s="40">
        <v>45992.0</v>
      </c>
      <c r="G1039" s="33"/>
      <c r="H1039" s="33"/>
      <c r="I1039" s="33"/>
      <c r="J1039" s="33"/>
      <c r="K1039" s="35"/>
      <c r="L1039" s="35"/>
      <c r="M1039" s="35"/>
      <c r="N1039" s="35"/>
      <c r="O1039" s="35"/>
      <c r="P1039" s="35"/>
      <c r="Q1039" s="35"/>
      <c r="R1039" s="35"/>
      <c r="S1039" s="35"/>
      <c r="T1039" s="35"/>
      <c r="U1039" s="35"/>
      <c r="V1039" s="35"/>
      <c r="W1039" s="35"/>
      <c r="X1039" s="35"/>
      <c r="Y1039" s="35"/>
      <c r="Z1039" s="35"/>
      <c r="AA1039" s="35"/>
      <c r="AB1039" s="35"/>
      <c r="AC1039" s="35"/>
      <c r="AD1039" s="35"/>
      <c r="AE1039" s="35"/>
    </row>
    <row r="1040">
      <c r="A1040" s="30">
        <v>46009.0</v>
      </c>
      <c r="B1040" s="35" t="s">
        <v>4537</v>
      </c>
      <c r="C1040" s="35" t="s">
        <v>4538</v>
      </c>
      <c r="D1040" s="35" t="s">
        <v>110</v>
      </c>
      <c r="E1040" s="35" t="s">
        <v>2011</v>
      </c>
      <c r="F1040" s="40">
        <v>45993.0</v>
      </c>
      <c r="G1040" s="33"/>
      <c r="H1040" s="33"/>
      <c r="I1040" s="33"/>
      <c r="J1040" s="33"/>
      <c r="K1040" s="35"/>
      <c r="L1040" s="35"/>
      <c r="M1040" s="35"/>
      <c r="N1040" s="35"/>
      <c r="O1040" s="35"/>
      <c r="P1040" s="35"/>
      <c r="Q1040" s="35"/>
      <c r="R1040" s="35"/>
      <c r="S1040" s="35"/>
      <c r="T1040" s="35"/>
      <c r="U1040" s="35"/>
      <c r="V1040" s="35"/>
      <c r="W1040" s="35"/>
      <c r="X1040" s="35"/>
      <c r="Y1040" s="35"/>
      <c r="Z1040" s="35"/>
      <c r="AA1040" s="35"/>
      <c r="AB1040" s="35"/>
      <c r="AC1040" s="35"/>
      <c r="AD1040" s="35"/>
      <c r="AE1040" s="35"/>
    </row>
    <row r="1041">
      <c r="A1041" s="30">
        <v>46009.0</v>
      </c>
      <c r="B1041" s="35" t="s">
        <v>4539</v>
      </c>
      <c r="C1041" s="35" t="s">
        <v>4540</v>
      </c>
      <c r="D1041" s="35" t="s">
        <v>122</v>
      </c>
      <c r="E1041" s="35" t="s">
        <v>148</v>
      </c>
      <c r="F1041" s="40">
        <v>45992.0</v>
      </c>
      <c r="G1041" s="33"/>
      <c r="H1041" s="33"/>
      <c r="I1041" s="33"/>
      <c r="J1041" s="33"/>
      <c r="K1041" s="35"/>
      <c r="L1041" s="35"/>
      <c r="M1041" s="35"/>
      <c r="N1041" s="35"/>
      <c r="O1041" s="35"/>
      <c r="P1041" s="35"/>
      <c r="Q1041" s="35"/>
      <c r="R1041" s="35"/>
      <c r="S1041" s="35"/>
      <c r="T1041" s="35"/>
      <c r="U1041" s="35"/>
      <c r="V1041" s="35"/>
      <c r="W1041" s="35"/>
      <c r="X1041" s="35"/>
      <c r="Y1041" s="35"/>
      <c r="Z1041" s="35"/>
      <c r="AA1041" s="35"/>
      <c r="AB1041" s="35"/>
      <c r="AC1041" s="35"/>
      <c r="AD1041" s="35"/>
      <c r="AE1041" s="35"/>
    </row>
    <row r="1042">
      <c r="A1042" s="30">
        <v>46009.0</v>
      </c>
      <c r="B1042" s="35" t="s">
        <v>4541</v>
      </c>
      <c r="C1042" s="35" t="s">
        <v>4542</v>
      </c>
      <c r="D1042" s="35" t="s">
        <v>128</v>
      </c>
      <c r="E1042" s="35" t="s">
        <v>419</v>
      </c>
      <c r="F1042" s="40">
        <v>45992.0</v>
      </c>
      <c r="G1042" s="33"/>
      <c r="H1042" s="33"/>
      <c r="I1042" s="33"/>
      <c r="J1042" s="33"/>
      <c r="K1042" s="35"/>
      <c r="L1042" s="35"/>
      <c r="M1042" s="35"/>
      <c r="N1042" s="35"/>
      <c r="O1042" s="35"/>
      <c r="P1042" s="35"/>
      <c r="Q1042" s="35"/>
      <c r="R1042" s="35"/>
      <c r="S1042" s="35"/>
      <c r="T1042" s="35"/>
      <c r="U1042" s="35"/>
      <c r="V1042" s="35"/>
      <c r="W1042" s="35"/>
      <c r="X1042" s="35"/>
      <c r="Y1042" s="35"/>
      <c r="Z1042" s="35"/>
      <c r="AA1042" s="35"/>
      <c r="AB1042" s="35"/>
      <c r="AC1042" s="35"/>
      <c r="AD1042" s="35"/>
      <c r="AE1042" s="35"/>
    </row>
    <row r="1043">
      <c r="A1043" s="30">
        <v>46009.0</v>
      </c>
      <c r="B1043" s="35" t="s">
        <v>151</v>
      </c>
      <c r="C1043" s="35" t="s">
        <v>152</v>
      </c>
      <c r="D1043" s="35" t="s">
        <v>153</v>
      </c>
      <c r="E1043" s="35" t="s">
        <v>154</v>
      </c>
      <c r="F1043" s="40">
        <v>46054.0</v>
      </c>
      <c r="G1043" s="33"/>
      <c r="H1043" s="73" t="s">
        <v>4543</v>
      </c>
      <c r="I1043" s="33"/>
      <c r="J1043" s="33"/>
      <c r="K1043" s="35"/>
      <c r="L1043" s="35"/>
      <c r="M1043" s="35"/>
      <c r="N1043" s="35"/>
      <c r="O1043" s="35"/>
      <c r="P1043" s="35"/>
      <c r="Q1043" s="35"/>
      <c r="R1043" s="35"/>
      <c r="S1043" s="35"/>
      <c r="T1043" s="35"/>
      <c r="U1043" s="35"/>
      <c r="V1043" s="35"/>
      <c r="W1043" s="35"/>
      <c r="X1043" s="35"/>
      <c r="Y1043" s="35"/>
      <c r="Z1043" s="35"/>
      <c r="AA1043" s="35"/>
      <c r="AB1043" s="35"/>
      <c r="AC1043" s="35"/>
      <c r="AD1043" s="35"/>
      <c r="AE1043" s="35"/>
    </row>
    <row r="1044">
      <c r="A1044" s="30">
        <v>46010.0</v>
      </c>
      <c r="B1044" s="35" t="s">
        <v>156</v>
      </c>
      <c r="C1044" s="35" t="s">
        <v>157</v>
      </c>
      <c r="D1044" s="35" t="s">
        <v>122</v>
      </c>
      <c r="E1044" s="35" t="s">
        <v>158</v>
      </c>
      <c r="F1044" s="40">
        <v>46038.0</v>
      </c>
      <c r="G1044" s="33"/>
      <c r="H1044" s="33"/>
      <c r="I1044" s="73" t="s">
        <v>4544</v>
      </c>
      <c r="J1044" s="33"/>
      <c r="K1044" s="35"/>
      <c r="L1044" s="35"/>
      <c r="M1044" s="35"/>
      <c r="N1044" s="35"/>
      <c r="O1044" s="35"/>
      <c r="P1044" s="35"/>
      <c r="Q1044" s="35"/>
      <c r="R1044" s="35"/>
      <c r="S1044" s="35"/>
      <c r="T1044" s="35"/>
      <c r="U1044" s="35"/>
      <c r="V1044" s="35"/>
      <c r="W1044" s="35"/>
      <c r="X1044" s="35"/>
      <c r="Y1044" s="35"/>
      <c r="Z1044" s="35"/>
      <c r="AA1044" s="35"/>
      <c r="AB1044" s="35"/>
      <c r="AC1044" s="35"/>
      <c r="AD1044" s="35"/>
      <c r="AE1044" s="35"/>
    </row>
    <row r="1045">
      <c r="A1045" s="30">
        <v>46010.0</v>
      </c>
      <c r="B1045" s="35" t="s">
        <v>161</v>
      </c>
      <c r="C1045" s="35" t="s">
        <v>162</v>
      </c>
      <c r="D1045" s="35" t="s">
        <v>94</v>
      </c>
      <c r="E1045" s="35" t="s">
        <v>163</v>
      </c>
      <c r="F1045" s="40">
        <v>46038.0</v>
      </c>
      <c r="G1045" s="33"/>
      <c r="H1045" s="33"/>
      <c r="I1045" s="73" t="s">
        <v>4545</v>
      </c>
      <c r="J1045" s="33"/>
      <c r="K1045" s="35"/>
      <c r="L1045" s="35"/>
      <c r="M1045" s="35"/>
      <c r="N1045" s="35"/>
      <c r="O1045" s="35"/>
      <c r="P1045" s="35"/>
      <c r="Q1045" s="35"/>
      <c r="R1045" s="35"/>
      <c r="S1045" s="35"/>
      <c r="T1045" s="35"/>
      <c r="U1045" s="35"/>
      <c r="V1045" s="35"/>
      <c r="W1045" s="35"/>
      <c r="X1045" s="35"/>
      <c r="Y1045" s="35"/>
      <c r="Z1045" s="35"/>
      <c r="AA1045" s="35"/>
      <c r="AB1045" s="35"/>
      <c r="AC1045" s="35"/>
      <c r="AD1045" s="35"/>
      <c r="AE1045" s="35"/>
    </row>
    <row r="1046">
      <c r="A1046" s="30">
        <v>46010.0</v>
      </c>
      <c r="B1046" s="35" t="s">
        <v>166</v>
      </c>
      <c r="C1046" s="35" t="s">
        <v>167</v>
      </c>
      <c r="D1046" s="35" t="s">
        <v>59</v>
      </c>
      <c r="E1046" s="35" t="s">
        <v>168</v>
      </c>
      <c r="F1046" s="40">
        <v>46046.0</v>
      </c>
      <c r="G1046" s="33"/>
      <c r="H1046" s="33"/>
      <c r="I1046" s="73" t="s">
        <v>4546</v>
      </c>
      <c r="J1046" s="33"/>
      <c r="K1046" s="35"/>
      <c r="L1046" s="35"/>
      <c r="M1046" s="35"/>
      <c r="N1046" s="35"/>
      <c r="O1046" s="35"/>
      <c r="P1046" s="35"/>
      <c r="Q1046" s="35"/>
      <c r="R1046" s="35"/>
      <c r="S1046" s="35"/>
      <c r="T1046" s="35"/>
      <c r="U1046" s="35"/>
      <c r="V1046" s="35"/>
      <c r="W1046" s="35"/>
      <c r="X1046" s="35"/>
      <c r="Y1046" s="35"/>
      <c r="Z1046" s="35"/>
      <c r="AA1046" s="35"/>
      <c r="AB1046" s="35"/>
      <c r="AC1046" s="35"/>
      <c r="AD1046" s="35"/>
      <c r="AE1046" s="35"/>
    </row>
    <row r="1047">
      <c r="A1047" s="30">
        <v>46015.0</v>
      </c>
      <c r="B1047" s="35" t="s">
        <v>4547</v>
      </c>
      <c r="C1047" s="35" t="s">
        <v>4548</v>
      </c>
      <c r="D1047" s="35" t="s">
        <v>116</v>
      </c>
      <c r="E1047" s="35" t="s">
        <v>4549</v>
      </c>
      <c r="F1047" s="40">
        <v>46015.0</v>
      </c>
      <c r="G1047" s="33"/>
      <c r="H1047" s="33"/>
      <c r="I1047" s="33"/>
      <c r="J1047" s="33"/>
      <c r="K1047" s="35"/>
      <c r="L1047" s="35"/>
      <c r="M1047" s="35"/>
      <c r="N1047" s="35"/>
      <c r="O1047" s="35"/>
      <c r="P1047" s="35"/>
      <c r="Q1047" s="35"/>
      <c r="R1047" s="35"/>
      <c r="S1047" s="35"/>
      <c r="T1047" s="35"/>
      <c r="U1047" s="35"/>
      <c r="V1047" s="35"/>
      <c r="W1047" s="35"/>
      <c r="X1047" s="35"/>
      <c r="Y1047" s="35"/>
      <c r="Z1047" s="35"/>
      <c r="AA1047" s="35"/>
      <c r="AB1047" s="35"/>
      <c r="AC1047" s="35"/>
      <c r="AD1047" s="35"/>
      <c r="AE1047" s="35"/>
    </row>
    <row r="1048">
      <c r="A1048" s="30">
        <v>46015.0</v>
      </c>
      <c r="B1048" s="35" t="s">
        <v>171</v>
      </c>
      <c r="C1048" s="35" t="s">
        <v>172</v>
      </c>
      <c r="D1048" s="35" t="s">
        <v>173</v>
      </c>
      <c r="E1048" s="35" t="s">
        <v>174</v>
      </c>
      <c r="F1048" s="40">
        <v>46041.0</v>
      </c>
      <c r="G1048" s="33"/>
      <c r="H1048" s="73" t="s">
        <v>4550</v>
      </c>
      <c r="I1048" s="33"/>
      <c r="J1048" s="33"/>
      <c r="K1048" s="35"/>
      <c r="L1048" s="35"/>
      <c r="M1048" s="35"/>
      <c r="N1048" s="35"/>
      <c r="O1048" s="35"/>
      <c r="P1048" s="35"/>
      <c r="Q1048" s="35"/>
      <c r="R1048" s="35"/>
      <c r="S1048" s="35"/>
      <c r="T1048" s="35"/>
      <c r="U1048" s="35"/>
      <c r="V1048" s="35"/>
      <c r="W1048" s="35"/>
      <c r="X1048" s="35"/>
      <c r="Y1048" s="35"/>
      <c r="Z1048" s="35"/>
      <c r="AA1048" s="35"/>
      <c r="AB1048" s="35"/>
      <c r="AC1048" s="35"/>
      <c r="AD1048" s="35"/>
      <c r="AE1048" s="35"/>
    </row>
    <row r="1049">
      <c r="A1049" s="30">
        <v>46017.0</v>
      </c>
      <c r="B1049" s="35" t="s">
        <v>4551</v>
      </c>
      <c r="C1049" s="35" t="s">
        <v>4552</v>
      </c>
      <c r="D1049" s="35" t="s">
        <v>1651</v>
      </c>
      <c r="E1049" s="35" t="s">
        <v>4288</v>
      </c>
      <c r="F1049" s="40">
        <v>46015.0</v>
      </c>
      <c r="G1049" s="33"/>
      <c r="H1049" s="33"/>
      <c r="I1049" s="33"/>
      <c r="J1049" s="33"/>
      <c r="K1049" s="35"/>
      <c r="L1049" s="35"/>
      <c r="M1049" s="35"/>
      <c r="N1049" s="35"/>
      <c r="O1049" s="35"/>
      <c r="P1049" s="35"/>
      <c r="Q1049" s="35"/>
      <c r="R1049" s="35"/>
      <c r="S1049" s="35"/>
      <c r="T1049" s="35"/>
      <c r="U1049" s="35"/>
      <c r="V1049" s="35"/>
      <c r="W1049" s="35"/>
      <c r="X1049" s="35"/>
      <c r="Y1049" s="35"/>
      <c r="Z1049" s="35"/>
      <c r="AA1049" s="35"/>
      <c r="AB1049" s="35"/>
      <c r="AC1049" s="35"/>
      <c r="AD1049" s="35"/>
      <c r="AE1049" s="35"/>
    </row>
    <row r="1050">
      <c r="A1050" s="30">
        <v>46017.0</v>
      </c>
      <c r="B1050" s="35" t="s">
        <v>176</v>
      </c>
      <c r="C1050" s="35" t="s">
        <v>177</v>
      </c>
      <c r="D1050" s="35" t="s">
        <v>42</v>
      </c>
      <c r="E1050" s="35" t="s">
        <v>178</v>
      </c>
      <c r="F1050" s="40">
        <v>46024.0</v>
      </c>
      <c r="G1050" s="33"/>
      <c r="H1050" s="33"/>
      <c r="I1050" s="73" t="s">
        <v>4553</v>
      </c>
      <c r="J1050" s="33"/>
      <c r="K1050" s="35"/>
      <c r="L1050" s="35"/>
      <c r="M1050" s="35"/>
      <c r="N1050" s="35"/>
      <c r="O1050" s="35"/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5"/>
      <c r="AA1050" s="35"/>
      <c r="AB1050" s="35"/>
      <c r="AC1050" s="35"/>
      <c r="AD1050" s="35"/>
      <c r="AE1050" s="35"/>
    </row>
    <row r="1051">
      <c r="A1051" s="30">
        <v>46017.0</v>
      </c>
      <c r="B1051" s="35" t="s">
        <v>180</v>
      </c>
      <c r="C1051" s="35" t="s">
        <v>181</v>
      </c>
      <c r="D1051" s="35" t="s">
        <v>122</v>
      </c>
      <c r="E1051" s="35" t="s">
        <v>143</v>
      </c>
      <c r="F1051" s="40">
        <v>46038.0</v>
      </c>
      <c r="G1051" s="33"/>
      <c r="H1051" s="33"/>
      <c r="I1051" s="73" t="s">
        <v>4554</v>
      </c>
      <c r="J1051" s="33"/>
      <c r="K1051" s="35"/>
      <c r="L1051" s="35"/>
      <c r="M1051" s="35"/>
      <c r="N1051" s="35"/>
      <c r="O1051" s="35"/>
      <c r="P1051" s="35"/>
      <c r="Q1051" s="35"/>
      <c r="R1051" s="35"/>
      <c r="S1051" s="35"/>
      <c r="T1051" s="35"/>
      <c r="U1051" s="35"/>
      <c r="V1051" s="35"/>
      <c r="W1051" s="35"/>
      <c r="X1051" s="35"/>
      <c r="Y1051" s="35"/>
      <c r="Z1051" s="35"/>
      <c r="AA1051" s="35"/>
      <c r="AB1051" s="35"/>
      <c r="AC1051" s="35"/>
      <c r="AD1051" s="35"/>
      <c r="AE1051" s="35"/>
    </row>
    <row r="1052">
      <c r="A1052" s="30">
        <v>46017.0</v>
      </c>
      <c r="B1052" s="35" t="s">
        <v>184</v>
      </c>
      <c r="C1052" s="35" t="s">
        <v>185</v>
      </c>
      <c r="D1052" s="35" t="s">
        <v>122</v>
      </c>
      <c r="E1052" s="35" t="s">
        <v>143</v>
      </c>
      <c r="F1052" s="40">
        <v>46050.0</v>
      </c>
      <c r="G1052" s="33"/>
      <c r="H1052" s="33"/>
      <c r="I1052" s="73" t="s">
        <v>4555</v>
      </c>
      <c r="J1052" s="33"/>
      <c r="K1052" s="35"/>
      <c r="L1052" s="35"/>
      <c r="M1052" s="35"/>
      <c r="N1052" s="35"/>
      <c r="O1052" s="35"/>
      <c r="P1052" s="35"/>
      <c r="Q1052" s="35"/>
      <c r="R1052" s="35"/>
      <c r="S1052" s="35"/>
      <c r="T1052" s="35"/>
      <c r="U1052" s="35"/>
      <c r="V1052" s="35"/>
      <c r="W1052" s="35"/>
      <c r="X1052" s="35"/>
      <c r="Y1052" s="35"/>
      <c r="Z1052" s="35"/>
      <c r="AA1052" s="35"/>
      <c r="AB1052" s="35"/>
      <c r="AC1052" s="35"/>
      <c r="AD1052" s="35"/>
      <c r="AE1052" s="35"/>
    </row>
    <row r="1053">
      <c r="A1053" s="30">
        <v>46017.0</v>
      </c>
      <c r="B1053" s="35" t="s">
        <v>187</v>
      </c>
      <c r="C1053" s="35" t="s">
        <v>188</v>
      </c>
      <c r="D1053" s="35" t="s">
        <v>128</v>
      </c>
      <c r="E1053" s="35" t="s">
        <v>189</v>
      </c>
      <c r="F1053" s="40">
        <v>46031.0</v>
      </c>
      <c r="G1053" s="33"/>
      <c r="H1053" s="33"/>
      <c r="I1053" s="73" t="s">
        <v>4556</v>
      </c>
      <c r="J1053" s="33"/>
      <c r="K1053" s="35"/>
      <c r="L1053" s="35"/>
      <c r="M1053" s="35"/>
      <c r="N1053" s="35"/>
      <c r="O1053" s="35"/>
      <c r="P1053" s="35"/>
      <c r="Q1053" s="35"/>
      <c r="R1053" s="35"/>
      <c r="S1053" s="35"/>
      <c r="T1053" s="35"/>
      <c r="U1053" s="35"/>
      <c r="V1053" s="35"/>
      <c r="W1053" s="35"/>
      <c r="X1053" s="35"/>
      <c r="Y1053" s="35"/>
      <c r="Z1053" s="35"/>
      <c r="AA1053" s="35"/>
      <c r="AB1053" s="35"/>
      <c r="AC1053" s="35"/>
      <c r="AD1053" s="35"/>
      <c r="AE1053" s="35"/>
    </row>
    <row r="1054">
      <c r="A1054" s="30">
        <v>46017.0</v>
      </c>
      <c r="B1054" s="35" t="s">
        <v>192</v>
      </c>
      <c r="C1054" s="35" t="s">
        <v>193</v>
      </c>
      <c r="D1054" s="35" t="s">
        <v>122</v>
      </c>
      <c r="E1054" s="35" t="s">
        <v>148</v>
      </c>
      <c r="F1054" s="40">
        <v>46028.0</v>
      </c>
      <c r="G1054" s="33"/>
      <c r="H1054" s="33"/>
      <c r="I1054" s="73" t="s">
        <v>4557</v>
      </c>
      <c r="J1054" s="33"/>
      <c r="K1054" s="35"/>
      <c r="L1054" s="35"/>
      <c r="M1054" s="35"/>
      <c r="N1054" s="35"/>
      <c r="O1054" s="35"/>
      <c r="P1054" s="35"/>
      <c r="Q1054" s="35"/>
      <c r="R1054" s="35"/>
      <c r="S1054" s="35"/>
      <c r="T1054" s="35"/>
      <c r="U1054" s="35"/>
      <c r="V1054" s="35"/>
      <c r="W1054" s="35"/>
      <c r="X1054" s="35"/>
      <c r="Y1054" s="35"/>
      <c r="Z1054" s="35"/>
      <c r="AA1054" s="35"/>
      <c r="AB1054" s="35"/>
      <c r="AC1054" s="35"/>
      <c r="AD1054" s="35"/>
      <c r="AE1054" s="35"/>
    </row>
    <row r="1055">
      <c r="A1055" s="30">
        <v>46017.0</v>
      </c>
      <c r="B1055" s="35" t="s">
        <v>196</v>
      </c>
      <c r="C1055" s="35" t="s">
        <v>197</v>
      </c>
      <c r="D1055" s="35" t="s">
        <v>198</v>
      </c>
      <c r="E1055" s="35" t="s">
        <v>199</v>
      </c>
      <c r="F1055" s="40">
        <v>46023.0</v>
      </c>
      <c r="G1055" s="33"/>
      <c r="H1055" s="33"/>
      <c r="I1055" s="85" t="s">
        <v>4558</v>
      </c>
      <c r="J1055" s="33"/>
      <c r="K1055" s="35"/>
      <c r="L1055" s="35"/>
      <c r="M1055" s="35"/>
      <c r="N1055" s="35"/>
      <c r="O1055" s="35"/>
      <c r="P1055" s="35"/>
      <c r="Q1055" s="35"/>
      <c r="R1055" s="35"/>
      <c r="S1055" s="35"/>
      <c r="T1055" s="35"/>
      <c r="U1055" s="35"/>
      <c r="V1055" s="35"/>
      <c r="W1055" s="35"/>
      <c r="X1055" s="35"/>
      <c r="Y1055" s="35"/>
      <c r="Z1055" s="35"/>
      <c r="AA1055" s="35"/>
      <c r="AB1055" s="35"/>
      <c r="AC1055" s="35"/>
      <c r="AD1055" s="35"/>
      <c r="AE1055" s="35"/>
    </row>
    <row r="1056">
      <c r="A1056" s="30">
        <v>46028.0</v>
      </c>
      <c r="B1056" s="35" t="s">
        <v>201</v>
      </c>
      <c r="C1056" s="35" t="s">
        <v>202</v>
      </c>
      <c r="D1056" s="35" t="s">
        <v>59</v>
      </c>
      <c r="E1056" s="35" t="s">
        <v>203</v>
      </c>
      <c r="F1056" s="40">
        <v>46054.0</v>
      </c>
      <c r="G1056" s="33"/>
      <c r="H1056" s="73" t="s">
        <v>4559</v>
      </c>
      <c r="I1056" s="33"/>
      <c r="J1056" s="33"/>
      <c r="K1056" s="35"/>
      <c r="L1056" s="35"/>
      <c r="M1056" s="35"/>
      <c r="N1056" s="35"/>
      <c r="O1056" s="35"/>
      <c r="P1056" s="35"/>
      <c r="Q1056" s="35"/>
      <c r="R1056" s="35"/>
      <c r="S1056" s="35"/>
      <c r="T1056" s="35"/>
      <c r="U1056" s="35"/>
      <c r="V1056" s="35"/>
      <c r="W1056" s="35"/>
      <c r="X1056" s="35"/>
      <c r="Y1056" s="35"/>
      <c r="Z1056" s="35"/>
      <c r="AA1056" s="35"/>
      <c r="AB1056" s="35"/>
      <c r="AC1056" s="35"/>
      <c r="AD1056" s="35"/>
      <c r="AE1056" s="35"/>
    </row>
    <row r="1057">
      <c r="A1057" s="30">
        <v>46028.0</v>
      </c>
      <c r="B1057" s="35" t="s">
        <v>205</v>
      </c>
      <c r="C1057" s="35" t="s">
        <v>206</v>
      </c>
      <c r="D1057" s="35" t="s">
        <v>207</v>
      </c>
      <c r="E1057" s="35" t="s">
        <v>48</v>
      </c>
      <c r="F1057" s="40">
        <v>46054.0</v>
      </c>
      <c r="G1057" s="33"/>
      <c r="H1057" s="73" t="s">
        <v>4560</v>
      </c>
      <c r="I1057" s="33"/>
      <c r="J1057" s="33"/>
      <c r="K1057" s="35"/>
      <c r="L1057" s="35"/>
      <c r="M1057" s="35"/>
      <c r="N1057" s="35"/>
      <c r="O1057" s="35"/>
      <c r="P1057" s="35"/>
      <c r="Q1057" s="35"/>
      <c r="R1057" s="35"/>
      <c r="S1057" s="35"/>
      <c r="T1057" s="35"/>
      <c r="U1057" s="35"/>
      <c r="V1057" s="35"/>
      <c r="W1057" s="35"/>
      <c r="X1057" s="35"/>
      <c r="Y1057" s="35"/>
      <c r="Z1057" s="35"/>
      <c r="AA1057" s="35"/>
      <c r="AB1057" s="35"/>
      <c r="AC1057" s="35"/>
      <c r="AD1057" s="35"/>
      <c r="AE1057" s="35"/>
    </row>
    <row r="1058">
      <c r="A1058" s="30">
        <v>46028.0</v>
      </c>
      <c r="B1058" s="35" t="s">
        <v>209</v>
      </c>
      <c r="C1058" s="35" t="s">
        <v>210</v>
      </c>
      <c r="D1058" s="35" t="s">
        <v>65</v>
      </c>
      <c r="E1058" s="35" t="s">
        <v>211</v>
      </c>
      <c r="F1058" s="40">
        <v>46023.0</v>
      </c>
      <c r="G1058" s="33"/>
      <c r="H1058" s="33"/>
      <c r="I1058" s="33"/>
      <c r="J1058" s="33"/>
      <c r="K1058" s="35"/>
      <c r="L1058" s="35"/>
      <c r="M1058" s="35"/>
      <c r="N1058" s="35"/>
      <c r="O1058" s="35"/>
      <c r="P1058" s="35"/>
      <c r="Q1058" s="35"/>
      <c r="R1058" s="35"/>
      <c r="S1058" s="35"/>
      <c r="T1058" s="35"/>
      <c r="U1058" s="35"/>
      <c r="V1058" s="35"/>
      <c r="W1058" s="35"/>
      <c r="X1058" s="35"/>
      <c r="Y1058" s="35"/>
      <c r="Z1058" s="35"/>
      <c r="AA1058" s="35"/>
      <c r="AB1058" s="35"/>
      <c r="AC1058" s="35"/>
      <c r="AD1058" s="35"/>
      <c r="AE1058" s="35"/>
    </row>
    <row r="1059">
      <c r="A1059" s="30">
        <v>46029.0</v>
      </c>
      <c r="B1059" s="35" t="s">
        <v>214</v>
      </c>
      <c r="C1059" s="35" t="s">
        <v>215</v>
      </c>
      <c r="D1059" s="35" t="s">
        <v>216</v>
      </c>
      <c r="E1059" s="35" t="s">
        <v>217</v>
      </c>
      <c r="F1059" s="40">
        <v>46054.0</v>
      </c>
      <c r="G1059" s="33"/>
      <c r="H1059" s="33"/>
      <c r="I1059" s="87" t="s">
        <v>4561</v>
      </c>
      <c r="J1059" s="33"/>
      <c r="K1059" s="35"/>
      <c r="L1059" s="35"/>
      <c r="M1059" s="35"/>
      <c r="N1059" s="35"/>
      <c r="O1059" s="35"/>
      <c r="P1059" s="35"/>
      <c r="Q1059" s="35"/>
      <c r="R1059" s="35"/>
      <c r="S1059" s="35"/>
      <c r="T1059" s="35"/>
      <c r="U1059" s="35"/>
      <c r="V1059" s="35"/>
      <c r="W1059" s="35"/>
      <c r="X1059" s="35"/>
      <c r="Y1059" s="35"/>
      <c r="Z1059" s="35"/>
      <c r="AA1059" s="35"/>
      <c r="AB1059" s="35"/>
      <c r="AC1059" s="35"/>
      <c r="AD1059" s="35"/>
      <c r="AE1059" s="35"/>
    </row>
    <row r="1060">
      <c r="A1060" s="30">
        <v>46029.0</v>
      </c>
      <c r="B1060" s="35" t="s">
        <v>220</v>
      </c>
      <c r="C1060" s="35" t="s">
        <v>221</v>
      </c>
      <c r="D1060" s="35" t="s">
        <v>42</v>
      </c>
      <c r="E1060" s="35" t="s">
        <v>222</v>
      </c>
      <c r="F1060" s="40">
        <v>46054.0</v>
      </c>
      <c r="G1060" s="33"/>
      <c r="H1060" s="33"/>
      <c r="I1060" s="73" t="s">
        <v>4562</v>
      </c>
      <c r="J1060" s="33"/>
      <c r="K1060" s="35"/>
      <c r="L1060" s="35"/>
      <c r="M1060" s="35"/>
      <c r="N1060" s="35"/>
      <c r="O1060" s="35"/>
      <c r="P1060" s="35"/>
      <c r="Q1060" s="35"/>
      <c r="R1060" s="35"/>
      <c r="S1060" s="35"/>
      <c r="T1060" s="35"/>
      <c r="U1060" s="35"/>
      <c r="V1060" s="35"/>
      <c r="W1060" s="35"/>
      <c r="X1060" s="35"/>
      <c r="Y1060" s="35"/>
      <c r="Z1060" s="35"/>
      <c r="AA1060" s="35"/>
      <c r="AB1060" s="35"/>
      <c r="AC1060" s="35"/>
      <c r="AD1060" s="35"/>
      <c r="AE1060" s="35"/>
    </row>
    <row r="1061">
      <c r="A1061" s="30">
        <v>46029.0</v>
      </c>
      <c r="B1061" s="35" t="s">
        <v>224</v>
      </c>
      <c r="C1061" s="35" t="s">
        <v>225</v>
      </c>
      <c r="D1061" s="35" t="s">
        <v>42</v>
      </c>
      <c r="E1061" s="35" t="s">
        <v>226</v>
      </c>
      <c r="F1061" s="40">
        <v>46038.0</v>
      </c>
      <c r="G1061" s="33"/>
      <c r="H1061" s="33"/>
      <c r="I1061" s="73" t="s">
        <v>4563</v>
      </c>
      <c r="J1061" s="33"/>
      <c r="K1061" s="35"/>
      <c r="L1061" s="35"/>
      <c r="M1061" s="35"/>
      <c r="N1061" s="35"/>
      <c r="O1061" s="35"/>
      <c r="P1061" s="35"/>
      <c r="Q1061" s="35"/>
      <c r="R1061" s="35"/>
      <c r="S1061" s="35"/>
      <c r="T1061" s="35"/>
      <c r="U1061" s="35"/>
      <c r="V1061" s="35"/>
      <c r="W1061" s="35"/>
      <c r="X1061" s="35"/>
      <c r="Y1061" s="35"/>
      <c r="Z1061" s="35"/>
      <c r="AA1061" s="35"/>
      <c r="AB1061" s="35"/>
      <c r="AC1061" s="35"/>
      <c r="AD1061" s="35"/>
      <c r="AE1061" s="35"/>
    </row>
    <row r="1062">
      <c r="A1062" s="30">
        <v>46031.0</v>
      </c>
      <c r="B1062" s="35" t="s">
        <v>229</v>
      </c>
      <c r="C1062" s="35" t="s">
        <v>230</v>
      </c>
      <c r="D1062" s="35" t="s">
        <v>231</v>
      </c>
      <c r="E1062" s="35" t="s">
        <v>232</v>
      </c>
      <c r="F1062" s="40">
        <v>46054.0</v>
      </c>
      <c r="G1062" s="33"/>
      <c r="H1062" s="73" t="s">
        <v>4564</v>
      </c>
      <c r="I1062" s="33"/>
      <c r="J1062" s="33"/>
      <c r="K1062" s="35"/>
      <c r="L1062" s="35"/>
      <c r="M1062" s="35"/>
      <c r="N1062" s="35"/>
      <c r="O1062" s="35"/>
      <c r="P1062" s="35"/>
      <c r="Q1062" s="35"/>
      <c r="R1062" s="35"/>
      <c r="S1062" s="35"/>
      <c r="T1062" s="35"/>
      <c r="U1062" s="35"/>
      <c r="V1062" s="35"/>
      <c r="W1062" s="35"/>
      <c r="X1062" s="35"/>
      <c r="Y1062" s="35"/>
      <c r="Z1062" s="35"/>
      <c r="AA1062" s="35"/>
      <c r="AB1062" s="35"/>
      <c r="AC1062" s="35"/>
      <c r="AD1062" s="35"/>
      <c r="AE1062" s="35"/>
    </row>
    <row r="1063">
      <c r="A1063" s="30">
        <v>46031.0</v>
      </c>
      <c r="B1063" s="35" t="s">
        <v>234</v>
      </c>
      <c r="C1063" s="35" t="s">
        <v>235</v>
      </c>
      <c r="D1063" s="35" t="s">
        <v>173</v>
      </c>
      <c r="E1063" s="35" t="s">
        <v>236</v>
      </c>
      <c r="F1063" s="40">
        <v>46054.0</v>
      </c>
      <c r="G1063" s="33"/>
      <c r="H1063" s="73" t="s">
        <v>4565</v>
      </c>
      <c r="I1063" s="33"/>
      <c r="J1063" s="33"/>
      <c r="K1063" s="35"/>
      <c r="L1063" s="35"/>
      <c r="M1063" s="35"/>
      <c r="N1063" s="35"/>
      <c r="O1063" s="35"/>
      <c r="P1063" s="35"/>
      <c r="Q1063" s="35"/>
      <c r="R1063" s="35"/>
      <c r="S1063" s="35"/>
      <c r="T1063" s="35"/>
      <c r="U1063" s="35"/>
      <c r="V1063" s="35"/>
      <c r="W1063" s="35"/>
      <c r="X1063" s="35"/>
      <c r="Y1063" s="35"/>
      <c r="Z1063" s="35"/>
      <c r="AA1063" s="35"/>
      <c r="AB1063" s="35"/>
      <c r="AC1063" s="35"/>
      <c r="AD1063" s="35"/>
      <c r="AE1063" s="35"/>
    </row>
    <row r="1064">
      <c r="A1064" s="30">
        <v>46031.0</v>
      </c>
      <c r="B1064" s="35" t="s">
        <v>238</v>
      </c>
      <c r="C1064" s="35" t="s">
        <v>239</v>
      </c>
      <c r="D1064" s="35" t="s">
        <v>240</v>
      </c>
      <c r="E1064" s="35" t="s">
        <v>241</v>
      </c>
      <c r="F1064" s="40">
        <v>46054.0</v>
      </c>
      <c r="G1064" s="33"/>
      <c r="H1064" s="73" t="s">
        <v>4566</v>
      </c>
      <c r="I1064" s="33"/>
      <c r="J1064" s="33"/>
      <c r="K1064" s="35"/>
      <c r="L1064" s="35"/>
      <c r="M1064" s="35"/>
      <c r="N1064" s="35"/>
      <c r="O1064" s="35"/>
      <c r="P1064" s="35"/>
      <c r="Q1064" s="35"/>
      <c r="R1064" s="35"/>
      <c r="S1064" s="35"/>
      <c r="T1064" s="35"/>
      <c r="U1064" s="35"/>
      <c r="V1064" s="35"/>
      <c r="W1064" s="35"/>
      <c r="X1064" s="35"/>
      <c r="Y1064" s="35"/>
      <c r="Z1064" s="35"/>
      <c r="AA1064" s="35"/>
      <c r="AB1064" s="35"/>
      <c r="AC1064" s="35"/>
      <c r="AD1064" s="35"/>
      <c r="AE1064" s="35"/>
    </row>
    <row r="1065">
      <c r="A1065" s="30">
        <v>46035.0</v>
      </c>
      <c r="B1065" s="35" t="s">
        <v>243</v>
      </c>
      <c r="C1065" s="35" t="s">
        <v>244</v>
      </c>
      <c r="D1065" s="35" t="s">
        <v>122</v>
      </c>
      <c r="E1065" s="35" t="s">
        <v>245</v>
      </c>
      <c r="F1065" s="40">
        <v>46051.0</v>
      </c>
      <c r="G1065" s="33"/>
      <c r="H1065" s="33"/>
      <c r="I1065" s="73" t="s">
        <v>4567</v>
      </c>
      <c r="J1065" s="33"/>
      <c r="K1065" s="35"/>
      <c r="L1065" s="35"/>
      <c r="M1065" s="35"/>
      <c r="N1065" s="35"/>
      <c r="O1065" s="35"/>
      <c r="P1065" s="35"/>
      <c r="Q1065" s="35"/>
      <c r="R1065" s="35"/>
      <c r="S1065" s="35"/>
      <c r="T1065" s="35"/>
      <c r="U1065" s="35"/>
      <c r="V1065" s="35"/>
      <c r="W1065" s="35"/>
      <c r="X1065" s="35"/>
      <c r="Y1065" s="35"/>
      <c r="Z1065" s="35"/>
      <c r="AA1065" s="35"/>
      <c r="AB1065" s="35"/>
      <c r="AC1065" s="35"/>
      <c r="AD1065" s="35"/>
      <c r="AE1065" s="35"/>
    </row>
    <row r="1066" ht="18.75" customHeight="1">
      <c r="A1066" s="30">
        <v>46035.0</v>
      </c>
      <c r="B1066" s="35" t="s">
        <v>247</v>
      </c>
      <c r="C1066" s="35" t="s">
        <v>248</v>
      </c>
      <c r="D1066" s="35" t="s">
        <v>128</v>
      </c>
      <c r="E1066" s="35" t="s">
        <v>249</v>
      </c>
      <c r="F1066" s="40">
        <v>46023.0</v>
      </c>
      <c r="G1066" s="33"/>
      <c r="H1066" s="33"/>
      <c r="I1066" s="33"/>
      <c r="J1066" s="33"/>
      <c r="K1066" s="35"/>
      <c r="L1066" s="35"/>
      <c r="M1066" s="35"/>
      <c r="N1066" s="35"/>
      <c r="O1066" s="35"/>
      <c r="P1066" s="35"/>
      <c r="Q1066" s="35"/>
      <c r="R1066" s="35"/>
      <c r="S1066" s="35"/>
      <c r="T1066" s="35"/>
      <c r="U1066" s="35"/>
      <c r="V1066" s="35"/>
      <c r="W1066" s="35"/>
      <c r="X1066" s="35"/>
      <c r="Y1066" s="35"/>
      <c r="Z1066" s="35"/>
      <c r="AA1066" s="35"/>
      <c r="AB1066" s="35"/>
      <c r="AC1066" s="35"/>
      <c r="AD1066" s="35"/>
      <c r="AE1066" s="35"/>
    </row>
    <row r="1067">
      <c r="A1067" s="30">
        <v>46037.0</v>
      </c>
      <c r="B1067" s="35" t="s">
        <v>252</v>
      </c>
      <c r="C1067" s="35" t="s">
        <v>253</v>
      </c>
      <c r="D1067" s="35" t="s">
        <v>254</v>
      </c>
      <c r="E1067" s="35" t="s">
        <v>255</v>
      </c>
      <c r="F1067" s="40">
        <v>46067.0</v>
      </c>
      <c r="G1067" s="33"/>
      <c r="H1067" s="73" t="s">
        <v>4568</v>
      </c>
      <c r="I1067" s="33"/>
      <c r="J1067" s="33"/>
      <c r="K1067" s="35"/>
      <c r="L1067" s="35"/>
      <c r="M1067" s="35"/>
      <c r="N1067" s="35"/>
      <c r="O1067" s="35"/>
      <c r="P1067" s="35"/>
      <c r="Q1067" s="35"/>
      <c r="R1067" s="35"/>
      <c r="S1067" s="35"/>
      <c r="T1067" s="35"/>
      <c r="U1067" s="35"/>
      <c r="V1067" s="35"/>
      <c r="W1067" s="35"/>
      <c r="X1067" s="35"/>
      <c r="Y1067" s="35"/>
      <c r="Z1067" s="35"/>
      <c r="AA1067" s="35"/>
      <c r="AB1067" s="35"/>
      <c r="AC1067" s="35"/>
      <c r="AD1067" s="35"/>
      <c r="AE1067" s="35"/>
    </row>
    <row r="1068">
      <c r="A1068" s="30">
        <v>46037.0</v>
      </c>
      <c r="B1068" s="35" t="s">
        <v>257</v>
      </c>
      <c r="C1068" s="35" t="s">
        <v>258</v>
      </c>
      <c r="D1068" s="35" t="s">
        <v>128</v>
      </c>
      <c r="E1068" s="35" t="s">
        <v>259</v>
      </c>
      <c r="F1068" s="40">
        <v>46034.0</v>
      </c>
      <c r="G1068" s="33"/>
      <c r="H1068" s="33"/>
      <c r="I1068" s="33"/>
      <c r="J1068" s="33"/>
      <c r="K1068" s="35"/>
      <c r="L1068" s="35"/>
      <c r="M1068" s="35"/>
      <c r="N1068" s="35"/>
      <c r="O1068" s="35"/>
      <c r="P1068" s="35"/>
      <c r="Q1068" s="35"/>
      <c r="R1068" s="35"/>
      <c r="S1068" s="35"/>
      <c r="T1068" s="35"/>
      <c r="U1068" s="35"/>
      <c r="V1068" s="35"/>
      <c r="W1068" s="35"/>
      <c r="X1068" s="35"/>
      <c r="Y1068" s="35"/>
      <c r="Z1068" s="35"/>
      <c r="AA1068" s="35"/>
      <c r="AB1068" s="35"/>
      <c r="AC1068" s="35"/>
      <c r="AD1068" s="35"/>
      <c r="AE1068" s="35"/>
    </row>
    <row r="1069">
      <c r="A1069" s="30">
        <v>46037.0</v>
      </c>
      <c r="B1069" s="35" t="s">
        <v>261</v>
      </c>
      <c r="C1069" s="35" t="s">
        <v>262</v>
      </c>
      <c r="D1069" s="35" t="s">
        <v>110</v>
      </c>
      <c r="E1069" s="35" t="s">
        <v>111</v>
      </c>
      <c r="F1069" s="40">
        <v>46054.0</v>
      </c>
      <c r="G1069" s="33"/>
      <c r="H1069" s="33"/>
      <c r="I1069" s="73" t="s">
        <v>4569</v>
      </c>
      <c r="J1069" s="33"/>
      <c r="K1069" s="35"/>
      <c r="L1069" s="35"/>
      <c r="M1069" s="35"/>
      <c r="N1069" s="35"/>
      <c r="O1069" s="35"/>
      <c r="P1069" s="35"/>
      <c r="Q1069" s="35"/>
      <c r="R1069" s="35"/>
      <c r="S1069" s="35"/>
      <c r="T1069" s="35"/>
      <c r="U1069" s="35"/>
      <c r="V1069" s="35"/>
      <c r="W1069" s="35"/>
      <c r="X1069" s="35"/>
      <c r="Y1069" s="35"/>
      <c r="Z1069" s="35"/>
      <c r="AA1069" s="35"/>
      <c r="AB1069" s="35"/>
      <c r="AC1069" s="35"/>
      <c r="AD1069" s="35"/>
      <c r="AE1069" s="35"/>
    </row>
    <row r="1070">
      <c r="A1070" s="30">
        <v>46037.0</v>
      </c>
      <c r="B1070" s="35" t="s">
        <v>265</v>
      </c>
      <c r="C1070" s="35" t="s">
        <v>266</v>
      </c>
      <c r="D1070" s="35" t="s">
        <v>110</v>
      </c>
      <c r="E1070" s="35"/>
      <c r="F1070" s="40">
        <v>46029.0</v>
      </c>
      <c r="G1070" s="33"/>
      <c r="H1070" s="33"/>
      <c r="I1070" s="33"/>
      <c r="J1070" s="33"/>
      <c r="K1070" s="35"/>
      <c r="L1070" s="35"/>
      <c r="M1070" s="35"/>
      <c r="N1070" s="35"/>
      <c r="O1070" s="35"/>
      <c r="P1070" s="35"/>
      <c r="Q1070" s="35"/>
      <c r="R1070" s="35"/>
      <c r="S1070" s="35"/>
      <c r="T1070" s="35"/>
      <c r="U1070" s="35"/>
      <c r="V1070" s="35"/>
      <c r="W1070" s="35"/>
      <c r="X1070" s="35"/>
      <c r="Y1070" s="35"/>
      <c r="Z1070" s="35"/>
      <c r="AA1070" s="35"/>
      <c r="AB1070" s="35"/>
      <c r="AC1070" s="35"/>
      <c r="AD1070" s="35"/>
      <c r="AE1070" s="35"/>
    </row>
    <row r="1071">
      <c r="A1071" s="30">
        <v>46038.0</v>
      </c>
      <c r="B1071" s="35" t="s">
        <v>269</v>
      </c>
      <c r="C1071" s="35" t="s">
        <v>270</v>
      </c>
      <c r="D1071" s="35" t="s">
        <v>271</v>
      </c>
      <c r="E1071" s="35" t="s">
        <v>272</v>
      </c>
      <c r="F1071" s="40">
        <v>46067.0</v>
      </c>
      <c r="G1071" s="33"/>
      <c r="H1071" s="73" t="s">
        <v>4570</v>
      </c>
      <c r="I1071" s="33"/>
      <c r="J1071" s="33"/>
      <c r="K1071" s="35"/>
      <c r="L1071" s="35"/>
      <c r="M1071" s="35"/>
      <c r="N1071" s="35"/>
      <c r="O1071" s="35"/>
      <c r="P1071" s="35"/>
      <c r="Q1071" s="35"/>
      <c r="R1071" s="35"/>
      <c r="S1071" s="35"/>
      <c r="T1071" s="35"/>
      <c r="U1071" s="35"/>
      <c r="V1071" s="35"/>
      <c r="W1071" s="35"/>
      <c r="X1071" s="35"/>
      <c r="Y1071" s="35"/>
      <c r="Z1071" s="35"/>
      <c r="AA1071" s="35"/>
      <c r="AB1071" s="35"/>
      <c r="AC1071" s="35"/>
      <c r="AD1071" s="35"/>
      <c r="AE1071" s="35"/>
    </row>
    <row r="1072">
      <c r="A1072" s="30">
        <v>46038.0</v>
      </c>
      <c r="B1072" s="35" t="s">
        <v>274</v>
      </c>
      <c r="C1072" s="35" t="s">
        <v>275</v>
      </c>
      <c r="D1072" s="35" t="s">
        <v>276</v>
      </c>
      <c r="E1072" s="35" t="s">
        <v>277</v>
      </c>
      <c r="F1072" s="40">
        <v>46077.0</v>
      </c>
      <c r="G1072" s="33"/>
      <c r="H1072" s="73" t="s">
        <v>4571</v>
      </c>
      <c r="I1072" s="33"/>
      <c r="J1072" s="33"/>
      <c r="K1072" s="35"/>
      <c r="L1072" s="35"/>
      <c r="M1072" s="35"/>
      <c r="N1072" s="35"/>
      <c r="O1072" s="35"/>
      <c r="P1072" s="35"/>
      <c r="Q1072" s="35"/>
      <c r="R1072" s="35"/>
      <c r="S1072" s="35"/>
      <c r="T1072" s="35"/>
      <c r="U1072" s="35"/>
      <c r="V1072" s="35"/>
      <c r="W1072" s="35"/>
      <c r="X1072" s="35"/>
      <c r="Y1072" s="35"/>
      <c r="Z1072" s="35"/>
      <c r="AA1072" s="35"/>
      <c r="AB1072" s="35"/>
      <c r="AC1072" s="35"/>
      <c r="AD1072" s="35"/>
      <c r="AE1072" s="35"/>
    </row>
    <row r="1073">
      <c r="A1073" s="30"/>
      <c r="B1073" s="35" t="s">
        <v>279</v>
      </c>
      <c r="C1073" s="35" t="s">
        <v>280</v>
      </c>
      <c r="D1073" s="35" t="s">
        <v>122</v>
      </c>
      <c r="E1073" s="35" t="s">
        <v>134</v>
      </c>
      <c r="F1073" s="40">
        <v>46053.0</v>
      </c>
      <c r="G1073" s="33"/>
      <c r="H1073" s="33"/>
      <c r="I1073" s="73" t="s">
        <v>4572</v>
      </c>
      <c r="J1073" s="33"/>
      <c r="K1073" s="35"/>
      <c r="L1073" s="35"/>
      <c r="M1073" s="35"/>
      <c r="N1073" s="35"/>
      <c r="O1073" s="35"/>
      <c r="P1073" s="35"/>
      <c r="Q1073" s="35"/>
      <c r="R1073" s="35"/>
      <c r="S1073" s="35"/>
      <c r="T1073" s="35"/>
      <c r="U1073" s="35"/>
      <c r="V1073" s="35"/>
      <c r="W1073" s="35"/>
      <c r="X1073" s="35"/>
      <c r="Y1073" s="35"/>
      <c r="Z1073" s="35"/>
      <c r="AA1073" s="35"/>
      <c r="AB1073" s="35"/>
      <c r="AC1073" s="35"/>
      <c r="AD1073" s="35"/>
      <c r="AE1073" s="35"/>
    </row>
    <row r="1074">
      <c r="A1074" s="30">
        <v>46041.0</v>
      </c>
      <c r="B1074" s="35" t="s">
        <v>283</v>
      </c>
      <c r="C1074" s="35" t="s">
        <v>284</v>
      </c>
      <c r="D1074" s="35" t="s">
        <v>198</v>
      </c>
      <c r="E1074" s="35" t="s">
        <v>198</v>
      </c>
      <c r="F1074" s="40">
        <v>46054.0</v>
      </c>
      <c r="G1074" s="33"/>
      <c r="H1074" s="33"/>
      <c r="I1074" s="73" t="s">
        <v>4573</v>
      </c>
      <c r="J1074" s="33"/>
      <c r="K1074" s="35"/>
      <c r="L1074" s="35"/>
      <c r="M1074" s="35"/>
      <c r="N1074" s="35"/>
      <c r="O1074" s="35"/>
      <c r="P1074" s="35"/>
      <c r="Q1074" s="35"/>
      <c r="R1074" s="35"/>
      <c r="S1074" s="35"/>
      <c r="T1074" s="35"/>
      <c r="U1074" s="35"/>
      <c r="V1074" s="35"/>
      <c r="W1074" s="35"/>
      <c r="X1074" s="35"/>
      <c r="Y1074" s="35"/>
      <c r="Z1074" s="35"/>
      <c r="AA1074" s="35"/>
      <c r="AB1074" s="35"/>
      <c r="AC1074" s="35"/>
      <c r="AD1074" s="35"/>
      <c r="AE1074" s="35"/>
    </row>
    <row r="1075">
      <c r="A1075" s="30"/>
      <c r="B1075" s="35" t="s">
        <v>287</v>
      </c>
      <c r="C1075" s="35" t="s">
        <v>288</v>
      </c>
      <c r="D1075" s="35" t="s">
        <v>289</v>
      </c>
      <c r="E1075" s="35" t="s">
        <v>290</v>
      </c>
      <c r="F1075" s="40">
        <v>46054.0</v>
      </c>
      <c r="G1075" s="33"/>
      <c r="H1075" s="73"/>
      <c r="I1075" s="33"/>
      <c r="J1075" s="73" t="s">
        <v>4574</v>
      </c>
      <c r="K1075" s="35"/>
      <c r="L1075" s="35"/>
      <c r="M1075" s="35"/>
      <c r="N1075" s="35"/>
      <c r="O1075" s="35"/>
      <c r="P1075" s="35"/>
      <c r="Q1075" s="35"/>
      <c r="R1075" s="35"/>
      <c r="S1075" s="35"/>
      <c r="T1075" s="35"/>
      <c r="U1075" s="35"/>
      <c r="V1075" s="35"/>
      <c r="W1075" s="35"/>
      <c r="X1075" s="35"/>
      <c r="Y1075" s="35"/>
      <c r="Z1075" s="35"/>
      <c r="AA1075" s="35"/>
      <c r="AB1075" s="35"/>
      <c r="AC1075" s="35"/>
      <c r="AD1075" s="35"/>
      <c r="AE1075" s="35"/>
    </row>
    <row r="1076">
      <c r="A1076" s="30"/>
      <c r="B1076" s="35" t="s">
        <v>292</v>
      </c>
      <c r="C1076" s="35" t="s">
        <v>293</v>
      </c>
      <c r="D1076" s="35" t="s">
        <v>122</v>
      </c>
      <c r="E1076" s="35" t="s">
        <v>294</v>
      </c>
      <c r="F1076" s="40">
        <v>46069.0</v>
      </c>
      <c r="G1076" s="33"/>
      <c r="H1076" s="33"/>
      <c r="I1076" s="73" t="s">
        <v>4575</v>
      </c>
      <c r="J1076" s="33"/>
      <c r="K1076" s="35"/>
      <c r="L1076" s="35"/>
      <c r="M1076" s="35"/>
      <c r="N1076" s="35"/>
      <c r="O1076" s="35"/>
      <c r="P1076" s="35"/>
      <c r="Q1076" s="35"/>
      <c r="R1076" s="35"/>
      <c r="S1076" s="35"/>
      <c r="T1076" s="35"/>
      <c r="U1076" s="35"/>
      <c r="V1076" s="35"/>
      <c r="W1076" s="35"/>
      <c r="X1076" s="35"/>
      <c r="Y1076" s="35"/>
      <c r="Z1076" s="35"/>
      <c r="AA1076" s="35"/>
      <c r="AB1076" s="35"/>
      <c r="AC1076" s="35"/>
      <c r="AD1076" s="35"/>
      <c r="AE1076" s="35"/>
    </row>
    <row r="1077">
      <c r="A1077" s="30"/>
      <c r="B1077" s="35" t="s">
        <v>297</v>
      </c>
      <c r="C1077" s="35" t="s">
        <v>298</v>
      </c>
      <c r="D1077" s="35" t="s">
        <v>128</v>
      </c>
      <c r="E1077" s="35" t="s">
        <v>168</v>
      </c>
      <c r="F1077" s="40">
        <v>46044.0</v>
      </c>
      <c r="G1077" s="33"/>
      <c r="H1077" s="33"/>
      <c r="I1077" s="73" t="s">
        <v>4576</v>
      </c>
      <c r="J1077" s="33"/>
      <c r="K1077" s="35"/>
      <c r="L1077" s="35"/>
      <c r="M1077" s="35"/>
      <c r="N1077" s="35"/>
      <c r="O1077" s="35"/>
      <c r="P1077" s="35"/>
      <c r="Q1077" s="35"/>
      <c r="R1077" s="35"/>
      <c r="S1077" s="35"/>
      <c r="T1077" s="35"/>
      <c r="U1077" s="35"/>
      <c r="V1077" s="35"/>
      <c r="W1077" s="35"/>
      <c r="X1077" s="35"/>
      <c r="Y1077" s="35"/>
      <c r="Z1077" s="35"/>
      <c r="AA1077" s="35"/>
      <c r="AB1077" s="35"/>
      <c r="AC1077" s="35"/>
      <c r="AD1077" s="35"/>
      <c r="AE1077" s="35"/>
    </row>
    <row r="1078">
      <c r="A1078" s="30"/>
      <c r="B1078" s="35" t="s">
        <v>301</v>
      </c>
      <c r="C1078" s="35" t="s">
        <v>302</v>
      </c>
      <c r="D1078" s="35" t="s">
        <v>303</v>
      </c>
      <c r="E1078" s="35" t="s">
        <v>304</v>
      </c>
      <c r="F1078" s="40">
        <v>46053.0</v>
      </c>
      <c r="G1078" s="33"/>
      <c r="H1078" s="33"/>
      <c r="I1078" s="73" t="s">
        <v>4577</v>
      </c>
      <c r="J1078" s="33"/>
      <c r="K1078" s="35"/>
      <c r="L1078" s="35"/>
      <c r="M1078" s="35"/>
      <c r="N1078" s="35"/>
      <c r="O1078" s="35"/>
      <c r="P1078" s="35"/>
      <c r="Q1078" s="35"/>
      <c r="R1078" s="35"/>
      <c r="S1078" s="35"/>
      <c r="T1078" s="35"/>
      <c r="U1078" s="35"/>
      <c r="V1078" s="35"/>
      <c r="W1078" s="35"/>
      <c r="X1078" s="35"/>
      <c r="Y1078" s="35"/>
      <c r="Z1078" s="35"/>
      <c r="AA1078" s="35"/>
      <c r="AB1078" s="35"/>
      <c r="AC1078" s="35"/>
      <c r="AD1078" s="35"/>
      <c r="AE1078" s="35"/>
    </row>
    <row r="1079">
      <c r="A1079" s="30">
        <v>46044.0</v>
      </c>
      <c r="B1079" s="35" t="s">
        <v>307</v>
      </c>
      <c r="C1079" s="35" t="s">
        <v>308</v>
      </c>
      <c r="D1079" s="35" t="s">
        <v>94</v>
      </c>
      <c r="E1079" s="35" t="s">
        <v>163</v>
      </c>
      <c r="F1079" s="40">
        <v>46054.0</v>
      </c>
      <c r="G1079" s="33"/>
      <c r="H1079" s="33"/>
      <c r="I1079" s="73" t="s">
        <v>4578</v>
      </c>
      <c r="J1079" s="33"/>
      <c r="K1079" s="35"/>
      <c r="L1079" s="35"/>
      <c r="M1079" s="35"/>
      <c r="N1079" s="35"/>
      <c r="O1079" s="35"/>
      <c r="P1079" s="35"/>
      <c r="Q1079" s="35"/>
      <c r="R1079" s="35"/>
      <c r="S1079" s="35"/>
      <c r="T1079" s="35"/>
      <c r="U1079" s="35"/>
      <c r="V1079" s="35"/>
      <c r="W1079" s="35"/>
      <c r="X1079" s="35"/>
      <c r="Y1079" s="35"/>
      <c r="Z1079" s="35"/>
      <c r="AA1079" s="35"/>
      <c r="AB1079" s="35"/>
      <c r="AC1079" s="35"/>
      <c r="AD1079" s="35"/>
      <c r="AE1079" s="35"/>
    </row>
    <row r="1080">
      <c r="A1080" s="30">
        <v>46044.0</v>
      </c>
      <c r="B1080" s="35" t="s">
        <v>311</v>
      </c>
      <c r="C1080" s="35" t="s">
        <v>312</v>
      </c>
      <c r="D1080" s="35" t="s">
        <v>313</v>
      </c>
      <c r="E1080" s="35" t="s">
        <v>314</v>
      </c>
      <c r="F1080" s="40">
        <v>46054.0</v>
      </c>
      <c r="G1080" s="33"/>
      <c r="H1080" s="33"/>
      <c r="I1080" s="85" t="s">
        <v>4579</v>
      </c>
      <c r="J1080" s="33"/>
      <c r="K1080" s="35"/>
      <c r="L1080" s="35"/>
      <c r="M1080" s="35"/>
      <c r="N1080" s="35"/>
      <c r="O1080" s="35"/>
      <c r="P1080" s="35"/>
      <c r="Q1080" s="35"/>
      <c r="R1080" s="35"/>
      <c r="S1080" s="35"/>
      <c r="T1080" s="35"/>
      <c r="U1080" s="35"/>
      <c r="V1080" s="35"/>
      <c r="W1080" s="35"/>
      <c r="X1080" s="35"/>
      <c r="Y1080" s="35"/>
      <c r="Z1080" s="35"/>
      <c r="AA1080" s="35"/>
      <c r="AB1080" s="35"/>
      <c r="AC1080" s="35"/>
      <c r="AD1080" s="35"/>
      <c r="AE1080" s="35"/>
    </row>
    <row r="1081">
      <c r="A1081" s="30">
        <v>46044.0</v>
      </c>
      <c r="B1081" s="35" t="s">
        <v>317</v>
      </c>
      <c r="C1081" s="35" t="s">
        <v>318</v>
      </c>
      <c r="D1081" s="35" t="s">
        <v>122</v>
      </c>
      <c r="E1081" s="35" t="s">
        <v>319</v>
      </c>
      <c r="F1081" s="40">
        <v>46077.0</v>
      </c>
      <c r="G1081" s="33"/>
      <c r="H1081" s="33"/>
      <c r="I1081" s="73" t="s">
        <v>4580</v>
      </c>
      <c r="J1081" s="33"/>
      <c r="K1081" s="35"/>
      <c r="L1081" s="35"/>
      <c r="M1081" s="35"/>
      <c r="N1081" s="35"/>
      <c r="O1081" s="35"/>
      <c r="P1081" s="35"/>
      <c r="Q1081" s="35"/>
      <c r="R1081" s="35"/>
      <c r="S1081" s="35"/>
      <c r="T1081" s="35"/>
      <c r="U1081" s="35"/>
      <c r="V1081" s="35"/>
      <c r="W1081" s="35"/>
      <c r="X1081" s="35"/>
      <c r="Y1081" s="35"/>
      <c r="Z1081" s="35"/>
      <c r="AA1081" s="35"/>
      <c r="AB1081" s="35"/>
      <c r="AC1081" s="35"/>
      <c r="AD1081" s="35"/>
      <c r="AE1081" s="35"/>
    </row>
    <row r="1082">
      <c r="A1082" s="30">
        <v>46045.0</v>
      </c>
      <c r="B1082" s="35" t="s">
        <v>322</v>
      </c>
      <c r="C1082" s="35" t="s">
        <v>323</v>
      </c>
      <c r="D1082" s="35" t="s">
        <v>122</v>
      </c>
      <c r="E1082" s="35" t="s">
        <v>189</v>
      </c>
      <c r="F1082" s="40">
        <v>46043.0</v>
      </c>
      <c r="G1082" s="33"/>
      <c r="H1082" s="33"/>
      <c r="I1082" s="33"/>
      <c r="J1082" s="33"/>
      <c r="K1082" s="35"/>
      <c r="L1082" s="35"/>
      <c r="M1082" s="35"/>
      <c r="N1082" s="35"/>
      <c r="O1082" s="35"/>
      <c r="P1082" s="35"/>
      <c r="Q1082" s="35"/>
      <c r="R1082" s="35"/>
      <c r="S1082" s="35"/>
      <c r="T1082" s="35"/>
      <c r="U1082" s="35"/>
      <c r="V1082" s="35"/>
      <c r="W1082" s="35"/>
      <c r="X1082" s="35"/>
      <c r="Y1082" s="35"/>
      <c r="Z1082" s="35"/>
      <c r="AA1082" s="35"/>
      <c r="AB1082" s="35"/>
      <c r="AC1082" s="35"/>
      <c r="AD1082" s="35"/>
      <c r="AE1082" s="35"/>
    </row>
    <row r="1083">
      <c r="A1083" s="30">
        <v>46048.0</v>
      </c>
      <c r="B1083" s="35" t="s">
        <v>326</v>
      </c>
      <c r="C1083" s="35" t="s">
        <v>327</v>
      </c>
      <c r="D1083" s="35" t="s">
        <v>328</v>
      </c>
      <c r="E1083" s="35" t="s">
        <v>329</v>
      </c>
      <c r="F1083" s="40">
        <f>'รายชื่อพนักงานลาออกพ้นสภาพ'!H65</f>
        <v>46113</v>
      </c>
      <c r="G1083" s="33"/>
      <c r="H1083" s="73" t="s">
        <v>4581</v>
      </c>
      <c r="I1083" s="33"/>
      <c r="J1083" s="33"/>
      <c r="K1083" s="35"/>
      <c r="L1083" s="35"/>
      <c r="M1083" s="35"/>
      <c r="N1083" s="35"/>
      <c r="O1083" s="35"/>
      <c r="P1083" s="35"/>
      <c r="Q1083" s="35"/>
      <c r="R1083" s="35"/>
      <c r="S1083" s="35"/>
      <c r="T1083" s="35"/>
      <c r="U1083" s="35"/>
      <c r="V1083" s="35"/>
      <c r="W1083" s="35"/>
      <c r="X1083" s="35"/>
      <c r="Y1083" s="35"/>
      <c r="Z1083" s="35"/>
      <c r="AA1083" s="35"/>
      <c r="AB1083" s="35"/>
      <c r="AC1083" s="35"/>
      <c r="AD1083" s="35"/>
      <c r="AE1083" s="35"/>
    </row>
    <row r="1084">
      <c r="A1084" s="30">
        <v>46048.0</v>
      </c>
      <c r="B1084" s="35" t="s">
        <v>331</v>
      </c>
      <c r="C1084" s="35" t="s">
        <v>332</v>
      </c>
      <c r="D1084" s="35" t="s">
        <v>333</v>
      </c>
      <c r="E1084" s="35" t="s">
        <v>334</v>
      </c>
      <c r="F1084" s="40">
        <v>46077.0</v>
      </c>
      <c r="G1084" s="33"/>
      <c r="H1084" s="73" t="s">
        <v>4582</v>
      </c>
      <c r="I1084" s="33"/>
      <c r="J1084" s="33"/>
      <c r="K1084" s="35"/>
      <c r="L1084" s="35"/>
      <c r="M1084" s="35"/>
      <c r="N1084" s="35"/>
      <c r="O1084" s="35"/>
      <c r="P1084" s="35"/>
      <c r="Q1084" s="35"/>
      <c r="R1084" s="35"/>
      <c r="S1084" s="35"/>
      <c r="T1084" s="35"/>
      <c r="U1084" s="35"/>
      <c r="V1084" s="35"/>
      <c r="W1084" s="35"/>
      <c r="X1084" s="35"/>
      <c r="Y1084" s="35"/>
      <c r="Z1084" s="35"/>
      <c r="AA1084" s="35"/>
      <c r="AB1084" s="35"/>
      <c r="AC1084" s="35"/>
      <c r="AD1084" s="35"/>
      <c r="AE1084" s="35"/>
    </row>
    <row r="1085">
      <c r="A1085" s="30">
        <v>46049.0</v>
      </c>
      <c r="B1085" s="35" t="s">
        <v>336</v>
      </c>
      <c r="C1085" s="35" t="s">
        <v>337</v>
      </c>
      <c r="D1085" s="35" t="s">
        <v>42</v>
      </c>
      <c r="E1085" s="35" t="s">
        <v>338</v>
      </c>
      <c r="F1085" s="40">
        <v>46038.0</v>
      </c>
      <c r="G1085" s="33"/>
      <c r="H1085" s="33"/>
      <c r="I1085" s="33"/>
      <c r="J1085" s="33"/>
      <c r="K1085" s="35"/>
      <c r="L1085" s="35"/>
      <c r="M1085" s="35"/>
      <c r="N1085" s="35"/>
      <c r="O1085" s="35"/>
      <c r="P1085" s="35"/>
      <c r="Q1085" s="35"/>
      <c r="R1085" s="35"/>
      <c r="S1085" s="35"/>
      <c r="T1085" s="35"/>
      <c r="U1085" s="35"/>
      <c r="V1085" s="35"/>
      <c r="W1085" s="35"/>
      <c r="X1085" s="35"/>
      <c r="Y1085" s="35"/>
      <c r="Z1085" s="35"/>
      <c r="AA1085" s="35"/>
      <c r="AB1085" s="35"/>
      <c r="AC1085" s="35"/>
      <c r="AD1085" s="35"/>
      <c r="AE1085" s="35"/>
    </row>
    <row r="1086">
      <c r="A1086" s="30">
        <v>46049.0</v>
      </c>
      <c r="B1086" s="35" t="s">
        <v>340</v>
      </c>
      <c r="C1086" s="35" t="s">
        <v>341</v>
      </c>
      <c r="D1086" s="35" t="s">
        <v>342</v>
      </c>
      <c r="E1086" s="35" t="s">
        <v>154</v>
      </c>
      <c r="F1086" s="40">
        <v>46082.0</v>
      </c>
      <c r="G1086" s="33"/>
      <c r="H1086" s="73" t="s">
        <v>4583</v>
      </c>
      <c r="I1086" s="33"/>
      <c r="J1086" s="33"/>
      <c r="K1086" s="35"/>
      <c r="L1086" s="35"/>
      <c r="M1086" s="35"/>
      <c r="N1086" s="35"/>
      <c r="O1086" s="35"/>
      <c r="P1086" s="35"/>
      <c r="Q1086" s="35"/>
      <c r="R1086" s="35"/>
      <c r="S1086" s="35"/>
      <c r="T1086" s="35"/>
      <c r="U1086" s="35"/>
      <c r="V1086" s="35"/>
      <c r="W1086" s="35"/>
      <c r="X1086" s="35"/>
      <c r="Y1086" s="35"/>
      <c r="Z1086" s="35"/>
      <c r="AA1086" s="35"/>
      <c r="AB1086" s="35"/>
      <c r="AC1086" s="35"/>
      <c r="AD1086" s="35"/>
      <c r="AE1086" s="35"/>
    </row>
    <row r="1087">
      <c r="A1087" s="30">
        <v>46049.0</v>
      </c>
      <c r="B1087" s="35" t="s">
        <v>344</v>
      </c>
      <c r="C1087" s="35" t="s">
        <v>345</v>
      </c>
      <c r="D1087" s="35" t="s">
        <v>346</v>
      </c>
      <c r="E1087" s="35" t="s">
        <v>347</v>
      </c>
      <c r="F1087" s="40">
        <v>46054.0</v>
      </c>
      <c r="G1087" s="33"/>
      <c r="H1087" s="73" t="s">
        <v>4584</v>
      </c>
      <c r="I1087" s="33"/>
      <c r="J1087" s="33"/>
      <c r="K1087" s="35"/>
      <c r="L1087" s="35"/>
      <c r="M1087" s="35"/>
      <c r="N1087" s="35"/>
      <c r="O1087" s="35"/>
      <c r="P1087" s="35"/>
      <c r="Q1087" s="35"/>
      <c r="R1087" s="35"/>
      <c r="S1087" s="35"/>
      <c r="T1087" s="35"/>
      <c r="U1087" s="35"/>
      <c r="V1087" s="35"/>
      <c r="W1087" s="35"/>
      <c r="X1087" s="35"/>
      <c r="Y1087" s="35"/>
      <c r="Z1087" s="35"/>
      <c r="AA1087" s="35"/>
      <c r="AB1087" s="35"/>
      <c r="AC1087" s="35"/>
      <c r="AD1087" s="35"/>
      <c r="AE1087" s="35"/>
    </row>
    <row r="1088">
      <c r="A1088" s="30">
        <v>46050.0</v>
      </c>
      <c r="B1088" s="35" t="s">
        <v>349</v>
      </c>
      <c r="C1088" s="35" t="s">
        <v>350</v>
      </c>
      <c r="D1088" s="35" t="s">
        <v>351</v>
      </c>
      <c r="E1088" s="35" t="s">
        <v>352</v>
      </c>
      <c r="F1088" s="40">
        <v>46082.0</v>
      </c>
      <c r="G1088" s="33"/>
      <c r="H1088" s="33"/>
      <c r="I1088" s="33"/>
      <c r="J1088" s="73" t="s">
        <v>4585</v>
      </c>
      <c r="K1088" s="35"/>
      <c r="L1088" s="35"/>
      <c r="M1088" s="35"/>
      <c r="N1088" s="35"/>
      <c r="O1088" s="35"/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5"/>
      <c r="AA1088" s="35"/>
      <c r="AB1088" s="35"/>
      <c r="AC1088" s="35"/>
      <c r="AD1088" s="35"/>
      <c r="AE1088" s="35"/>
    </row>
    <row r="1089">
      <c r="A1089" s="30">
        <v>46050.0</v>
      </c>
      <c r="B1089" s="35" t="s">
        <v>354</v>
      </c>
      <c r="C1089" s="35" t="s">
        <v>355</v>
      </c>
      <c r="D1089" s="35" t="s">
        <v>356</v>
      </c>
      <c r="E1089" s="35" t="s">
        <v>357</v>
      </c>
      <c r="F1089" s="40">
        <v>46054.0</v>
      </c>
      <c r="G1089" s="33"/>
      <c r="H1089" s="33"/>
      <c r="I1089" s="85" t="s">
        <v>4586</v>
      </c>
      <c r="J1089" s="33"/>
      <c r="K1089" s="35"/>
      <c r="L1089" s="35"/>
      <c r="M1089" s="35"/>
      <c r="N1089" s="35"/>
      <c r="O1089" s="35"/>
      <c r="P1089" s="35"/>
      <c r="Q1089" s="35"/>
      <c r="R1089" s="35"/>
      <c r="S1089" s="35"/>
      <c r="T1089" s="35"/>
      <c r="U1089" s="35"/>
      <c r="V1089" s="35"/>
      <c r="W1089" s="35"/>
      <c r="X1089" s="35"/>
      <c r="Y1089" s="35"/>
      <c r="Z1089" s="35"/>
      <c r="AA1089" s="35"/>
      <c r="AB1089" s="35"/>
      <c r="AC1089" s="35"/>
      <c r="AD1089" s="35"/>
      <c r="AE1089" s="35"/>
    </row>
    <row r="1090">
      <c r="A1090" s="30">
        <v>46051.0</v>
      </c>
      <c r="B1090" s="35" t="s">
        <v>360</v>
      </c>
      <c r="C1090" s="35" t="s">
        <v>361</v>
      </c>
      <c r="D1090" s="35" t="s">
        <v>362</v>
      </c>
      <c r="E1090" s="35" t="s">
        <v>363</v>
      </c>
      <c r="F1090" s="40">
        <v>46082.0</v>
      </c>
      <c r="G1090" s="33"/>
      <c r="H1090" s="73" t="s">
        <v>4587</v>
      </c>
      <c r="I1090" s="33"/>
      <c r="J1090" s="33"/>
      <c r="K1090" s="35"/>
      <c r="L1090" s="35"/>
      <c r="M1090" s="35"/>
      <c r="N1090" s="35"/>
      <c r="O1090" s="35"/>
      <c r="P1090" s="35"/>
      <c r="Q1090" s="35"/>
      <c r="R1090" s="35"/>
      <c r="S1090" s="35"/>
      <c r="T1090" s="35"/>
      <c r="U1090" s="35"/>
      <c r="V1090" s="35"/>
      <c r="W1090" s="35"/>
      <c r="X1090" s="35"/>
      <c r="Y1090" s="35"/>
      <c r="Z1090" s="35"/>
      <c r="AA1090" s="35"/>
      <c r="AB1090" s="35"/>
      <c r="AC1090" s="35"/>
      <c r="AD1090" s="35"/>
      <c r="AE1090" s="35"/>
    </row>
    <row r="1091">
      <c r="A1091" s="30">
        <v>46051.0</v>
      </c>
      <c r="B1091" s="35" t="s">
        <v>365</v>
      </c>
      <c r="C1091" s="35" t="s">
        <v>366</v>
      </c>
      <c r="D1091" s="35" t="s">
        <v>367</v>
      </c>
      <c r="E1091" s="35" t="s">
        <v>368</v>
      </c>
      <c r="F1091" s="40">
        <v>46054.0</v>
      </c>
      <c r="G1091" s="33"/>
      <c r="H1091" s="33"/>
      <c r="I1091" s="33"/>
      <c r="J1091" s="73" t="s">
        <v>4588</v>
      </c>
      <c r="K1091" s="35"/>
      <c r="L1091" s="35"/>
      <c r="M1091" s="35"/>
      <c r="N1091" s="35"/>
      <c r="O1091" s="35"/>
      <c r="P1091" s="35"/>
      <c r="Q1091" s="35"/>
      <c r="R1091" s="35"/>
      <c r="S1091" s="35"/>
      <c r="T1091" s="35"/>
      <c r="U1091" s="35"/>
      <c r="V1091" s="35"/>
      <c r="W1091" s="35"/>
      <c r="X1091" s="35"/>
      <c r="Y1091" s="35"/>
      <c r="Z1091" s="35"/>
      <c r="AA1091" s="35"/>
      <c r="AB1091" s="35"/>
      <c r="AC1091" s="35"/>
      <c r="AD1091" s="35"/>
      <c r="AE1091" s="35"/>
    </row>
    <row r="1092">
      <c r="A1092" s="30">
        <v>46055.0</v>
      </c>
      <c r="B1092" s="35" t="s">
        <v>370</v>
      </c>
      <c r="C1092" s="35" t="s">
        <v>371</v>
      </c>
      <c r="D1092" s="35" t="s">
        <v>372</v>
      </c>
      <c r="E1092" s="35" t="s">
        <v>373</v>
      </c>
      <c r="F1092" s="40">
        <v>46082.0</v>
      </c>
      <c r="G1092" s="33"/>
      <c r="H1092" s="73" t="s">
        <v>4589</v>
      </c>
      <c r="I1092" s="33"/>
      <c r="J1092" s="33"/>
      <c r="K1092" s="35"/>
      <c r="L1092" s="35"/>
      <c r="M1092" s="35"/>
      <c r="N1092" s="35"/>
      <c r="O1092" s="35"/>
      <c r="P1092" s="35"/>
      <c r="Q1092" s="35"/>
      <c r="R1092" s="35"/>
      <c r="S1092" s="35"/>
      <c r="T1092" s="35"/>
      <c r="U1092" s="35"/>
      <c r="V1092" s="35"/>
      <c r="W1092" s="35"/>
      <c r="X1092" s="35"/>
      <c r="Y1092" s="35"/>
      <c r="Z1092" s="35"/>
      <c r="AA1092" s="35"/>
      <c r="AB1092" s="35"/>
      <c r="AC1092" s="35"/>
      <c r="AD1092" s="35"/>
      <c r="AE1092" s="35"/>
    </row>
    <row r="1093">
      <c r="B1093" s="35" t="s">
        <v>375</v>
      </c>
      <c r="C1093" s="35" t="s">
        <v>376</v>
      </c>
      <c r="D1093" s="35" t="s">
        <v>122</v>
      </c>
      <c r="E1093" s="35" t="s">
        <v>123</v>
      </c>
      <c r="F1093" s="40">
        <v>46054.0</v>
      </c>
      <c r="G1093" s="33"/>
      <c r="H1093" s="33"/>
      <c r="I1093" s="33"/>
      <c r="J1093" s="33"/>
      <c r="K1093" s="35"/>
      <c r="L1093" s="35"/>
      <c r="M1093" s="35"/>
      <c r="N1093" s="35"/>
      <c r="O1093" s="35"/>
      <c r="P1093" s="35"/>
      <c r="Q1093" s="35"/>
      <c r="R1093" s="35"/>
      <c r="S1093" s="35"/>
      <c r="T1093" s="35"/>
      <c r="U1093" s="35"/>
      <c r="V1093" s="35"/>
      <c r="W1093" s="35"/>
      <c r="X1093" s="35"/>
      <c r="Y1093" s="35"/>
      <c r="Z1093" s="35"/>
      <c r="AA1093" s="35"/>
      <c r="AB1093" s="35"/>
      <c r="AC1093" s="35"/>
      <c r="AD1093" s="35"/>
      <c r="AE1093" s="35"/>
    </row>
    <row r="1094">
      <c r="A1094" s="30">
        <v>46056.0</v>
      </c>
      <c r="B1094" s="35" t="s">
        <v>378</v>
      </c>
      <c r="C1094" s="35" t="s">
        <v>379</v>
      </c>
      <c r="D1094" s="35" t="s">
        <v>380</v>
      </c>
      <c r="E1094" s="35" t="s">
        <v>381</v>
      </c>
      <c r="F1094" s="40">
        <v>46082.0</v>
      </c>
      <c r="G1094" s="33"/>
      <c r="H1094" s="33"/>
      <c r="I1094" s="33"/>
      <c r="J1094" s="73" t="s">
        <v>4590</v>
      </c>
      <c r="K1094" s="35"/>
      <c r="L1094" s="35"/>
      <c r="M1094" s="35"/>
      <c r="N1094" s="35"/>
      <c r="O1094" s="35"/>
      <c r="P1094" s="35"/>
      <c r="Q1094" s="35"/>
      <c r="R1094" s="35"/>
      <c r="S1094" s="35"/>
      <c r="T1094" s="35"/>
      <c r="U1094" s="35"/>
      <c r="V1094" s="35"/>
      <c r="W1094" s="35"/>
      <c r="X1094" s="35"/>
      <c r="Y1094" s="35"/>
      <c r="Z1094" s="35"/>
      <c r="AA1094" s="35"/>
      <c r="AB1094" s="35"/>
      <c r="AC1094" s="35"/>
      <c r="AD1094" s="35"/>
      <c r="AE1094" s="35"/>
    </row>
    <row r="1095">
      <c r="A1095" s="30"/>
      <c r="B1095" s="35" t="s">
        <v>383</v>
      </c>
      <c r="C1095" s="35" t="s">
        <v>384</v>
      </c>
      <c r="D1095" s="35" t="s">
        <v>122</v>
      </c>
      <c r="E1095" s="35" t="s">
        <v>385</v>
      </c>
      <c r="F1095" s="40">
        <v>46054.0</v>
      </c>
      <c r="G1095" s="33"/>
      <c r="H1095" s="33"/>
      <c r="I1095" s="33"/>
      <c r="J1095" s="33"/>
      <c r="K1095" s="35"/>
      <c r="L1095" s="35"/>
      <c r="M1095" s="35"/>
      <c r="N1095" s="35"/>
      <c r="O1095" s="35"/>
      <c r="P1095" s="35"/>
      <c r="Q1095" s="35"/>
      <c r="R1095" s="35"/>
      <c r="S1095" s="35"/>
      <c r="T1095" s="35"/>
      <c r="U1095" s="35"/>
      <c r="V1095" s="35"/>
      <c r="W1095" s="35"/>
      <c r="X1095" s="35"/>
      <c r="Y1095" s="35"/>
      <c r="Z1095" s="35"/>
      <c r="AA1095" s="35"/>
      <c r="AB1095" s="35"/>
      <c r="AC1095" s="35"/>
      <c r="AD1095" s="35"/>
      <c r="AE1095" s="35"/>
    </row>
    <row r="1096">
      <c r="A1096" s="30">
        <v>46058.0</v>
      </c>
      <c r="B1096" s="35" t="s">
        <v>387</v>
      </c>
      <c r="C1096" s="35" t="s">
        <v>388</v>
      </c>
      <c r="D1096" s="35" t="s">
        <v>342</v>
      </c>
      <c r="E1096" s="35" t="s">
        <v>389</v>
      </c>
      <c r="F1096" s="40">
        <v>46067.0</v>
      </c>
      <c r="G1096" s="33"/>
      <c r="H1096" s="33"/>
      <c r="I1096" s="85" t="s">
        <v>4591</v>
      </c>
      <c r="J1096" s="33"/>
      <c r="K1096" s="35"/>
      <c r="L1096" s="35"/>
      <c r="M1096" s="35"/>
      <c r="N1096" s="35"/>
      <c r="O1096" s="35"/>
      <c r="P1096" s="35"/>
      <c r="Q1096" s="35"/>
      <c r="R1096" s="35"/>
      <c r="S1096" s="35"/>
      <c r="T1096" s="35"/>
      <c r="U1096" s="35"/>
      <c r="V1096" s="35"/>
      <c r="W1096" s="35"/>
      <c r="X1096" s="35"/>
      <c r="Y1096" s="35"/>
      <c r="Z1096" s="35"/>
      <c r="AA1096" s="35"/>
      <c r="AB1096" s="35"/>
      <c r="AC1096" s="35"/>
      <c r="AD1096" s="35"/>
      <c r="AE1096" s="35"/>
    </row>
    <row r="1097">
      <c r="A1097" s="30">
        <v>46058.0</v>
      </c>
      <c r="B1097" s="35" t="s">
        <v>392</v>
      </c>
      <c r="C1097" s="35" t="s">
        <v>393</v>
      </c>
      <c r="D1097" s="35" t="s">
        <v>394</v>
      </c>
      <c r="E1097" s="35" t="s">
        <v>395</v>
      </c>
      <c r="F1097" s="40">
        <v>46069.0</v>
      </c>
      <c r="G1097" s="33"/>
      <c r="H1097" s="33"/>
      <c r="I1097" s="73" t="s">
        <v>4592</v>
      </c>
      <c r="J1097" s="33"/>
      <c r="K1097" s="35"/>
      <c r="L1097" s="35"/>
      <c r="M1097" s="35"/>
      <c r="N1097" s="35"/>
      <c r="O1097" s="35"/>
      <c r="P1097" s="35"/>
      <c r="Q1097" s="35"/>
      <c r="R1097" s="35"/>
      <c r="S1097" s="35"/>
      <c r="T1097" s="35"/>
      <c r="U1097" s="35"/>
      <c r="V1097" s="35"/>
      <c r="W1097" s="35"/>
      <c r="X1097" s="35"/>
      <c r="Y1097" s="35"/>
      <c r="Z1097" s="35"/>
      <c r="AA1097" s="35"/>
      <c r="AB1097" s="35"/>
      <c r="AC1097" s="35"/>
      <c r="AD1097" s="35"/>
      <c r="AE1097" s="35"/>
    </row>
    <row r="1098">
      <c r="A1098" s="30">
        <v>46058.0</v>
      </c>
      <c r="B1098" s="35" t="s">
        <v>398</v>
      </c>
      <c r="C1098" s="35" t="s">
        <v>399</v>
      </c>
      <c r="D1098" s="35" t="s">
        <v>128</v>
      </c>
      <c r="E1098" s="35" t="s">
        <v>245</v>
      </c>
      <c r="F1098" s="40">
        <v>46085.0</v>
      </c>
      <c r="G1098" s="33"/>
      <c r="H1098" s="33"/>
      <c r="I1098" s="73" t="s">
        <v>4593</v>
      </c>
      <c r="J1098" s="33"/>
      <c r="K1098" s="35"/>
      <c r="L1098" s="35"/>
      <c r="M1098" s="35"/>
      <c r="N1098" s="35"/>
      <c r="O1098" s="35"/>
      <c r="P1098" s="35"/>
      <c r="Q1098" s="35"/>
      <c r="R1098" s="35"/>
      <c r="S1098" s="35"/>
      <c r="T1098" s="35"/>
      <c r="U1098" s="35"/>
      <c r="V1098" s="35"/>
      <c r="W1098" s="35"/>
      <c r="X1098" s="35"/>
      <c r="Y1098" s="35"/>
      <c r="Z1098" s="35"/>
      <c r="AA1098" s="35"/>
      <c r="AB1098" s="35"/>
      <c r="AC1098" s="35"/>
      <c r="AD1098" s="35"/>
      <c r="AE1098" s="35"/>
    </row>
    <row r="1099">
      <c r="A1099" s="30"/>
      <c r="B1099" s="35" t="s">
        <v>402</v>
      </c>
      <c r="C1099" s="35" t="s">
        <v>403</v>
      </c>
      <c r="D1099" s="35" t="s">
        <v>122</v>
      </c>
      <c r="E1099" s="35" t="s">
        <v>404</v>
      </c>
      <c r="F1099" s="40">
        <v>46054.0</v>
      </c>
      <c r="G1099" s="33"/>
      <c r="H1099" s="33"/>
      <c r="I1099" s="33"/>
      <c r="J1099" s="33"/>
      <c r="K1099" s="35"/>
      <c r="L1099" s="35"/>
      <c r="M1099" s="35"/>
      <c r="N1099" s="35"/>
      <c r="O1099" s="35"/>
      <c r="P1099" s="35"/>
      <c r="Q1099" s="35"/>
      <c r="R1099" s="35"/>
      <c r="S1099" s="35"/>
      <c r="T1099" s="35"/>
      <c r="U1099" s="35"/>
      <c r="V1099" s="35"/>
      <c r="W1099" s="35"/>
      <c r="X1099" s="35"/>
      <c r="Y1099" s="35"/>
      <c r="Z1099" s="35"/>
      <c r="AA1099" s="35"/>
      <c r="AB1099" s="35"/>
      <c r="AC1099" s="35"/>
      <c r="AD1099" s="35"/>
      <c r="AE1099" s="35"/>
    </row>
    <row r="1100">
      <c r="A1100" s="30">
        <v>46062.0</v>
      </c>
      <c r="B1100" s="35" t="s">
        <v>407</v>
      </c>
      <c r="C1100" s="35" t="s">
        <v>408</v>
      </c>
      <c r="D1100" s="35" t="s">
        <v>409</v>
      </c>
      <c r="E1100" s="35" t="s">
        <v>410</v>
      </c>
      <c r="F1100" s="40">
        <v>46082.0</v>
      </c>
      <c r="G1100" s="33"/>
      <c r="H1100" s="73" t="s">
        <v>4594</v>
      </c>
      <c r="I1100" s="33"/>
      <c r="J1100" s="33"/>
      <c r="K1100" s="35"/>
      <c r="L1100" s="35"/>
      <c r="M1100" s="35"/>
      <c r="N1100" s="35"/>
      <c r="O1100" s="35"/>
      <c r="P1100" s="35"/>
      <c r="Q1100" s="35"/>
      <c r="R1100" s="35"/>
      <c r="S1100" s="35"/>
      <c r="T1100" s="35"/>
      <c r="U1100" s="35"/>
      <c r="V1100" s="35"/>
      <c r="W1100" s="35"/>
      <c r="X1100" s="35"/>
      <c r="Y1100" s="35"/>
      <c r="Z1100" s="35"/>
      <c r="AA1100" s="35"/>
      <c r="AB1100" s="35"/>
      <c r="AC1100" s="35"/>
      <c r="AD1100" s="35"/>
      <c r="AE1100" s="35"/>
    </row>
    <row r="1101">
      <c r="A1101" s="30"/>
      <c r="B1101" s="35" t="s">
        <v>412</v>
      </c>
      <c r="C1101" s="35" t="s">
        <v>413</v>
      </c>
      <c r="D1101" s="35" t="s">
        <v>414</v>
      </c>
      <c r="E1101" s="35" t="s">
        <v>415</v>
      </c>
      <c r="F1101" s="40">
        <v>46054.0</v>
      </c>
      <c r="G1101" s="33"/>
      <c r="H1101" s="33"/>
      <c r="I1101" s="33"/>
      <c r="J1101" s="33"/>
      <c r="K1101" s="35"/>
      <c r="L1101" s="35"/>
      <c r="M1101" s="35"/>
      <c r="N1101" s="35"/>
      <c r="O1101" s="35"/>
      <c r="P1101" s="35"/>
      <c r="Q1101" s="35"/>
      <c r="R1101" s="35"/>
      <c r="S1101" s="35"/>
      <c r="T1101" s="35"/>
      <c r="U1101" s="35"/>
      <c r="V1101" s="35"/>
      <c r="W1101" s="35"/>
      <c r="X1101" s="35"/>
      <c r="Y1101" s="35"/>
      <c r="Z1101" s="35"/>
      <c r="AA1101" s="35"/>
      <c r="AB1101" s="35"/>
      <c r="AC1101" s="35"/>
      <c r="AD1101" s="35"/>
      <c r="AE1101" s="35"/>
    </row>
    <row r="1102">
      <c r="A1102" s="30"/>
      <c r="B1102" s="35" t="s">
        <v>417</v>
      </c>
      <c r="C1102" s="35" t="s">
        <v>418</v>
      </c>
      <c r="D1102" s="35" t="s">
        <v>110</v>
      </c>
      <c r="E1102" s="35" t="s">
        <v>419</v>
      </c>
      <c r="F1102" s="40">
        <v>46059.0</v>
      </c>
      <c r="G1102" s="33"/>
      <c r="H1102" s="33"/>
      <c r="I1102" s="33"/>
      <c r="J1102" s="33"/>
      <c r="K1102" s="35"/>
      <c r="L1102" s="35"/>
      <c r="M1102" s="35"/>
      <c r="N1102" s="35"/>
      <c r="O1102" s="35"/>
      <c r="P1102" s="35"/>
      <c r="Q1102" s="35"/>
      <c r="R1102" s="35"/>
      <c r="S1102" s="35"/>
      <c r="T1102" s="35"/>
      <c r="U1102" s="35"/>
      <c r="V1102" s="35"/>
      <c r="W1102" s="35"/>
      <c r="X1102" s="35"/>
      <c r="Y1102" s="35"/>
      <c r="Z1102" s="35"/>
      <c r="AA1102" s="35"/>
      <c r="AB1102" s="35"/>
      <c r="AC1102" s="35"/>
      <c r="AD1102" s="35"/>
      <c r="AE1102" s="35"/>
    </row>
    <row r="1103">
      <c r="A1103" s="30">
        <v>46063.0</v>
      </c>
      <c r="B1103" s="35" t="s">
        <v>422</v>
      </c>
      <c r="C1103" s="35" t="s">
        <v>423</v>
      </c>
      <c r="D1103" s="35" t="s">
        <v>122</v>
      </c>
      <c r="E1103" s="35" t="s">
        <v>424</v>
      </c>
      <c r="F1103" s="40">
        <v>46069.0</v>
      </c>
      <c r="G1103" s="33"/>
      <c r="H1103" s="33"/>
      <c r="I1103" s="73" t="s">
        <v>4595</v>
      </c>
      <c r="J1103" s="33"/>
      <c r="K1103" s="35"/>
      <c r="L1103" s="35"/>
      <c r="M1103" s="35"/>
      <c r="N1103" s="35"/>
      <c r="O1103" s="35"/>
      <c r="P1103" s="35"/>
      <c r="Q1103" s="35"/>
      <c r="R1103" s="35"/>
      <c r="S1103" s="35"/>
      <c r="T1103" s="35"/>
      <c r="U1103" s="35"/>
      <c r="V1103" s="35"/>
      <c r="W1103" s="35"/>
      <c r="X1103" s="35"/>
      <c r="Y1103" s="35"/>
      <c r="Z1103" s="35"/>
      <c r="AA1103" s="35"/>
      <c r="AB1103" s="35"/>
      <c r="AC1103" s="35"/>
      <c r="AD1103" s="35"/>
      <c r="AE1103" s="35"/>
    </row>
    <row r="1104">
      <c r="A1104" s="30"/>
      <c r="B1104" s="35" t="s">
        <v>427</v>
      </c>
      <c r="C1104" s="35" t="s">
        <v>428</v>
      </c>
      <c r="D1104" s="35" t="s">
        <v>429</v>
      </c>
      <c r="E1104" s="35" t="s">
        <v>430</v>
      </c>
      <c r="F1104" s="40">
        <v>46056.0</v>
      </c>
      <c r="G1104" s="33"/>
      <c r="H1104" s="33"/>
      <c r="I1104" s="33"/>
      <c r="J1104" s="33"/>
      <c r="K1104" s="35"/>
      <c r="L1104" s="35"/>
      <c r="M1104" s="35"/>
      <c r="N1104" s="35"/>
      <c r="O1104" s="35"/>
      <c r="P1104" s="35"/>
      <c r="Q1104" s="35"/>
      <c r="R1104" s="35"/>
      <c r="S1104" s="35"/>
      <c r="T1104" s="35"/>
      <c r="U1104" s="35"/>
      <c r="V1104" s="35"/>
      <c r="W1104" s="35"/>
      <c r="X1104" s="35"/>
      <c r="Y1104" s="35"/>
      <c r="Z1104" s="35"/>
      <c r="AA1104" s="35"/>
      <c r="AB1104" s="35"/>
      <c r="AC1104" s="35"/>
      <c r="AD1104" s="35"/>
      <c r="AE1104" s="35"/>
    </row>
    <row r="1105">
      <c r="A1105" s="30"/>
      <c r="B1105" s="35" t="s">
        <v>432</v>
      </c>
      <c r="C1105" s="35" t="s">
        <v>433</v>
      </c>
      <c r="D1105" s="35" t="s">
        <v>122</v>
      </c>
      <c r="E1105" s="35" t="s">
        <v>143</v>
      </c>
      <c r="F1105" s="40">
        <v>46057.0</v>
      </c>
      <c r="G1105" s="33"/>
      <c r="H1105" s="33"/>
      <c r="I1105" s="33"/>
      <c r="J1105" s="33"/>
      <c r="K1105" s="35"/>
      <c r="L1105" s="35"/>
      <c r="M1105" s="35"/>
      <c r="N1105" s="35"/>
      <c r="O1105" s="35"/>
      <c r="P1105" s="35"/>
      <c r="Q1105" s="35"/>
      <c r="R1105" s="35"/>
      <c r="S1105" s="35"/>
      <c r="T1105" s="35"/>
      <c r="U1105" s="35"/>
      <c r="V1105" s="35"/>
      <c r="W1105" s="35"/>
      <c r="X1105" s="35"/>
      <c r="Y1105" s="35"/>
      <c r="Z1105" s="35"/>
      <c r="AA1105" s="35"/>
      <c r="AB1105" s="35"/>
      <c r="AC1105" s="35"/>
      <c r="AD1105" s="35"/>
      <c r="AE1105" s="35"/>
    </row>
    <row r="1106">
      <c r="A1106" s="30"/>
      <c r="B1106" s="35" t="s">
        <v>435</v>
      </c>
      <c r="C1106" s="35" t="s">
        <v>436</v>
      </c>
      <c r="D1106" s="35" t="s">
        <v>122</v>
      </c>
      <c r="E1106" s="35" t="s">
        <v>437</v>
      </c>
      <c r="F1106" s="40">
        <v>46064.0</v>
      </c>
      <c r="G1106" s="33"/>
      <c r="H1106" s="33"/>
      <c r="I1106" s="33"/>
      <c r="J1106" s="33"/>
      <c r="K1106" s="35"/>
      <c r="L1106" s="35"/>
      <c r="M1106" s="35"/>
      <c r="N1106" s="35"/>
      <c r="O1106" s="35"/>
      <c r="P1106" s="35"/>
      <c r="Q1106" s="35"/>
      <c r="R1106" s="35"/>
      <c r="S1106" s="35"/>
      <c r="T1106" s="35"/>
      <c r="U1106" s="35"/>
      <c r="V1106" s="35"/>
      <c r="W1106" s="35"/>
      <c r="X1106" s="35"/>
      <c r="Y1106" s="35"/>
      <c r="Z1106" s="35"/>
      <c r="AA1106" s="35"/>
      <c r="AB1106" s="35"/>
      <c r="AC1106" s="35"/>
      <c r="AD1106" s="35"/>
      <c r="AE1106" s="35"/>
    </row>
    <row r="1107">
      <c r="A1107" s="30"/>
      <c r="B1107" s="35" t="s">
        <v>439</v>
      </c>
      <c r="C1107" s="35" t="s">
        <v>440</v>
      </c>
      <c r="D1107" s="35" t="s">
        <v>42</v>
      </c>
      <c r="E1107" s="35" t="s">
        <v>249</v>
      </c>
      <c r="F1107" s="40">
        <v>46056.0</v>
      </c>
      <c r="G1107" s="33"/>
      <c r="H1107" s="33"/>
      <c r="I1107" s="33"/>
      <c r="J1107" s="33"/>
      <c r="K1107" s="35"/>
      <c r="L1107" s="35"/>
      <c r="M1107" s="35"/>
      <c r="N1107" s="35"/>
      <c r="O1107" s="35"/>
      <c r="P1107" s="35"/>
      <c r="Q1107" s="35"/>
      <c r="R1107" s="35"/>
      <c r="S1107" s="35"/>
      <c r="T1107" s="35"/>
      <c r="U1107" s="35"/>
      <c r="V1107" s="35"/>
      <c r="W1107" s="35"/>
      <c r="X1107" s="35"/>
      <c r="Y1107" s="35"/>
      <c r="Z1107" s="35"/>
      <c r="AA1107" s="35"/>
      <c r="AB1107" s="35"/>
      <c r="AC1107" s="35"/>
      <c r="AD1107" s="35"/>
      <c r="AE1107" s="35"/>
    </row>
    <row r="1108">
      <c r="A1108" s="30"/>
      <c r="B1108" s="35" t="s">
        <v>442</v>
      </c>
      <c r="C1108" s="35" t="s">
        <v>443</v>
      </c>
      <c r="D1108" s="35" t="s">
        <v>444</v>
      </c>
      <c r="E1108" s="35" t="s">
        <v>445</v>
      </c>
      <c r="F1108" s="40">
        <v>46064.0</v>
      </c>
      <c r="G1108" s="33"/>
      <c r="H1108" s="33"/>
      <c r="I1108" s="33"/>
      <c r="J1108" s="33"/>
      <c r="K1108" s="35"/>
      <c r="L1108" s="35"/>
      <c r="M1108" s="35"/>
      <c r="N1108" s="35"/>
      <c r="O1108" s="35"/>
      <c r="P1108" s="35"/>
      <c r="Q1108" s="35"/>
      <c r="R1108" s="35"/>
      <c r="S1108" s="35"/>
      <c r="T1108" s="35"/>
      <c r="U1108" s="35"/>
      <c r="V1108" s="35"/>
      <c r="W1108" s="35"/>
      <c r="X1108" s="35"/>
      <c r="Y1108" s="35"/>
      <c r="Z1108" s="35"/>
      <c r="AA1108" s="35"/>
      <c r="AB1108" s="35"/>
      <c r="AC1108" s="35"/>
      <c r="AD1108" s="35"/>
      <c r="AE1108" s="35"/>
    </row>
    <row r="1109">
      <c r="A1109" s="30">
        <v>46071.0</v>
      </c>
      <c r="B1109" s="35" t="s">
        <v>447</v>
      </c>
      <c r="C1109" s="35" t="s">
        <v>448</v>
      </c>
      <c r="D1109" s="35" t="s">
        <v>65</v>
      </c>
      <c r="E1109" s="35" t="s">
        <v>449</v>
      </c>
      <c r="F1109" s="40">
        <v>46082.0</v>
      </c>
      <c r="G1109" s="33"/>
      <c r="H1109" s="73" t="s">
        <v>4596</v>
      </c>
      <c r="I1109" s="33"/>
      <c r="J1109" s="33"/>
      <c r="K1109" s="35"/>
      <c r="L1109" s="35"/>
      <c r="M1109" s="35"/>
      <c r="N1109" s="35"/>
      <c r="O1109" s="35"/>
      <c r="P1109" s="35"/>
      <c r="Q1109" s="35"/>
      <c r="R1109" s="35"/>
      <c r="S1109" s="35"/>
      <c r="T1109" s="35"/>
      <c r="U1109" s="35"/>
      <c r="V1109" s="35"/>
      <c r="W1109" s="35"/>
      <c r="X1109" s="35"/>
      <c r="Y1109" s="35"/>
      <c r="Z1109" s="35"/>
      <c r="AA1109" s="35"/>
      <c r="AB1109" s="35"/>
      <c r="AC1109" s="35"/>
      <c r="AD1109" s="35"/>
      <c r="AE1109" s="35"/>
    </row>
    <row r="1110">
      <c r="A1110" s="30">
        <v>46071.0</v>
      </c>
      <c r="B1110" s="35" t="s">
        <v>451</v>
      </c>
      <c r="C1110" s="35" t="s">
        <v>452</v>
      </c>
      <c r="D1110" s="35" t="s">
        <v>59</v>
      </c>
      <c r="E1110" s="35" t="s">
        <v>211</v>
      </c>
      <c r="F1110" s="40">
        <v>46069.0</v>
      </c>
      <c r="G1110" s="33"/>
      <c r="H1110" s="73" t="s">
        <v>4597</v>
      </c>
      <c r="I1110" s="33"/>
      <c r="J1110" s="33"/>
      <c r="K1110" s="35"/>
      <c r="L1110" s="35"/>
      <c r="M1110" s="35"/>
      <c r="N1110" s="35"/>
      <c r="O1110" s="35"/>
      <c r="P1110" s="35"/>
      <c r="Q1110" s="35"/>
      <c r="R1110" s="35"/>
      <c r="S1110" s="35"/>
      <c r="T1110" s="35"/>
      <c r="U1110" s="35"/>
      <c r="V1110" s="35"/>
      <c r="W1110" s="35"/>
      <c r="X1110" s="35"/>
      <c r="Y1110" s="35"/>
      <c r="Z1110" s="35"/>
      <c r="AA1110" s="35"/>
      <c r="AB1110" s="35"/>
      <c r="AC1110" s="35"/>
      <c r="AD1110" s="35"/>
      <c r="AE1110" s="35"/>
    </row>
    <row r="1111">
      <c r="A1111" s="30">
        <v>46071.0</v>
      </c>
      <c r="B1111" s="35" t="s">
        <v>454</v>
      </c>
      <c r="C1111" s="35" t="s">
        <v>455</v>
      </c>
      <c r="D1111" s="35" t="s">
        <v>328</v>
      </c>
      <c r="E1111" s="35" t="s">
        <v>456</v>
      </c>
      <c r="F1111" s="40">
        <v>46100.0</v>
      </c>
      <c r="G1111" s="33"/>
      <c r="H1111" s="73" t="s">
        <v>4598</v>
      </c>
      <c r="I1111" s="33"/>
      <c r="J1111" s="33"/>
      <c r="K1111" s="35"/>
      <c r="L1111" s="35"/>
      <c r="M1111" s="35"/>
      <c r="N1111" s="35"/>
      <c r="O1111" s="35"/>
      <c r="P1111" s="35"/>
      <c r="Q1111" s="35"/>
      <c r="R1111" s="35"/>
      <c r="S1111" s="35"/>
      <c r="T1111" s="35"/>
      <c r="U1111" s="35"/>
      <c r="V1111" s="35"/>
      <c r="W1111" s="35"/>
      <c r="X1111" s="35"/>
      <c r="Y1111" s="35"/>
      <c r="Z1111" s="35"/>
      <c r="AA1111" s="35"/>
      <c r="AB1111" s="35"/>
      <c r="AC1111" s="35"/>
      <c r="AD1111" s="35"/>
      <c r="AE1111" s="35"/>
    </row>
    <row r="1112">
      <c r="A1112" s="30">
        <v>46072.0</v>
      </c>
      <c r="B1112" s="35" t="s">
        <v>458</v>
      </c>
      <c r="C1112" s="35" t="s">
        <v>459</v>
      </c>
      <c r="D1112" s="35" t="s">
        <v>394</v>
      </c>
      <c r="E1112" s="35" t="s">
        <v>460</v>
      </c>
      <c r="F1112" s="40">
        <v>46094.0</v>
      </c>
      <c r="G1112" s="33"/>
      <c r="H1112" s="33"/>
      <c r="I1112" s="73" t="s">
        <v>4599</v>
      </c>
      <c r="J1112" s="33"/>
      <c r="K1112" s="35"/>
      <c r="L1112" s="35"/>
      <c r="M1112" s="35"/>
      <c r="N1112" s="35"/>
      <c r="O1112" s="35"/>
      <c r="P1112" s="35"/>
      <c r="Q1112" s="35"/>
      <c r="R1112" s="35"/>
      <c r="S1112" s="35"/>
      <c r="T1112" s="35"/>
      <c r="U1112" s="35"/>
      <c r="V1112" s="35"/>
      <c r="W1112" s="35"/>
      <c r="X1112" s="35"/>
      <c r="Y1112" s="35"/>
      <c r="Z1112" s="35"/>
      <c r="AA1112" s="35"/>
      <c r="AB1112" s="35"/>
      <c r="AC1112" s="35"/>
      <c r="AD1112" s="35"/>
      <c r="AE1112" s="35"/>
    </row>
    <row r="1113">
      <c r="A1113" s="30">
        <v>46072.0</v>
      </c>
      <c r="B1113" s="35" t="s">
        <v>463</v>
      </c>
      <c r="C1113" s="35" t="s">
        <v>464</v>
      </c>
      <c r="D1113" s="35" t="s">
        <v>465</v>
      </c>
      <c r="E1113" s="35" t="s">
        <v>319</v>
      </c>
      <c r="F1113" s="40">
        <v>46099.0</v>
      </c>
      <c r="G1113" s="33"/>
      <c r="H1113" s="33"/>
      <c r="I1113" s="73" t="s">
        <v>4600</v>
      </c>
      <c r="J1113" s="33"/>
      <c r="K1113" s="35"/>
      <c r="L1113" s="35"/>
      <c r="M1113" s="35"/>
      <c r="N1113" s="35"/>
      <c r="O1113" s="35"/>
      <c r="P1113" s="35"/>
      <c r="Q1113" s="35"/>
      <c r="R1113" s="35"/>
      <c r="S1113" s="35"/>
      <c r="T1113" s="35"/>
      <c r="U1113" s="35"/>
      <c r="V1113" s="35"/>
      <c r="W1113" s="35"/>
      <c r="X1113" s="35"/>
      <c r="Y1113" s="35"/>
      <c r="Z1113" s="35"/>
      <c r="AA1113" s="35"/>
      <c r="AB1113" s="35"/>
      <c r="AC1113" s="35"/>
      <c r="AD1113" s="35"/>
      <c r="AE1113" s="35"/>
    </row>
    <row r="1114">
      <c r="A1114" s="30">
        <v>46072.0</v>
      </c>
      <c r="B1114" s="35" t="s">
        <v>40</v>
      </c>
      <c r="C1114" s="35" t="s">
        <v>41</v>
      </c>
      <c r="D1114" s="35" t="s">
        <v>42</v>
      </c>
      <c r="E1114" s="35" t="s">
        <v>468</v>
      </c>
      <c r="F1114" s="40">
        <v>46097.0</v>
      </c>
      <c r="G1114" s="33"/>
      <c r="H1114" s="33"/>
      <c r="I1114" s="73" t="s">
        <v>4601</v>
      </c>
      <c r="J1114" s="33"/>
      <c r="K1114" s="35"/>
      <c r="L1114" s="35"/>
      <c r="M1114" s="35"/>
      <c r="N1114" s="35"/>
      <c r="O1114" s="35"/>
      <c r="P1114" s="35"/>
      <c r="Q1114" s="35"/>
      <c r="R1114" s="35"/>
      <c r="S1114" s="35"/>
      <c r="T1114" s="35"/>
      <c r="U1114" s="35"/>
      <c r="V1114" s="35"/>
      <c r="W1114" s="35"/>
      <c r="X1114" s="35"/>
      <c r="Y1114" s="35"/>
      <c r="Z1114" s="35"/>
      <c r="AA1114" s="35"/>
      <c r="AB1114" s="35"/>
      <c r="AC1114" s="35"/>
      <c r="AD1114" s="35"/>
      <c r="AE1114" s="35"/>
    </row>
    <row r="1115">
      <c r="A1115" s="30">
        <v>46072.0</v>
      </c>
      <c r="B1115" s="35" t="s">
        <v>470</v>
      </c>
      <c r="C1115" s="35" t="s">
        <v>471</v>
      </c>
      <c r="D1115" s="35" t="s">
        <v>128</v>
      </c>
      <c r="E1115" s="35" t="s">
        <v>267</v>
      </c>
      <c r="F1115" s="40">
        <v>46082.0</v>
      </c>
      <c r="G1115" s="33"/>
      <c r="H1115" s="33"/>
      <c r="I1115" s="73" t="s">
        <v>4602</v>
      </c>
      <c r="J1115" s="33"/>
      <c r="K1115" s="35"/>
      <c r="L1115" s="35"/>
      <c r="M1115" s="35"/>
      <c r="N1115" s="35"/>
      <c r="O1115" s="35"/>
      <c r="P1115" s="35"/>
      <c r="Q1115" s="35"/>
      <c r="R1115" s="35"/>
      <c r="S1115" s="35"/>
      <c r="T1115" s="35"/>
      <c r="U1115" s="35"/>
      <c r="V1115" s="35"/>
      <c r="W1115" s="35"/>
      <c r="X1115" s="35"/>
      <c r="Y1115" s="35"/>
      <c r="Z1115" s="35"/>
      <c r="AA1115" s="35"/>
      <c r="AB1115" s="35"/>
      <c r="AC1115" s="35"/>
      <c r="AD1115" s="35"/>
      <c r="AE1115" s="35"/>
    </row>
    <row r="1116">
      <c r="A1116" s="30">
        <v>46072.0</v>
      </c>
      <c r="B1116" s="35" t="s">
        <v>474</v>
      </c>
      <c r="C1116" s="35" t="s">
        <v>475</v>
      </c>
      <c r="D1116" s="35" t="s">
        <v>476</v>
      </c>
      <c r="E1116" s="35" t="s">
        <v>129</v>
      </c>
      <c r="F1116" s="40">
        <v>46082.0</v>
      </c>
      <c r="G1116" s="33"/>
      <c r="H1116" s="33"/>
      <c r="I1116" s="73" t="s">
        <v>4603</v>
      </c>
      <c r="J1116" s="33"/>
      <c r="K1116" s="35"/>
      <c r="L1116" s="35"/>
      <c r="M1116" s="35"/>
      <c r="N1116" s="35"/>
      <c r="O1116" s="35"/>
      <c r="P1116" s="35"/>
      <c r="Q1116" s="35"/>
      <c r="R1116" s="35"/>
      <c r="S1116" s="35"/>
      <c r="T1116" s="35"/>
      <c r="U1116" s="35"/>
      <c r="V1116" s="35"/>
      <c r="W1116" s="35"/>
      <c r="X1116" s="35"/>
      <c r="Y1116" s="35"/>
      <c r="Z1116" s="35"/>
      <c r="AA1116" s="35"/>
      <c r="AB1116" s="35"/>
      <c r="AC1116" s="35"/>
      <c r="AD1116" s="35"/>
      <c r="AE1116" s="35"/>
    </row>
    <row r="1117">
      <c r="A1117" s="30">
        <v>46072.0</v>
      </c>
      <c r="B1117" s="35" t="s">
        <v>479</v>
      </c>
      <c r="C1117" s="35" t="s">
        <v>480</v>
      </c>
      <c r="D1117" s="35" t="s">
        <v>481</v>
      </c>
      <c r="E1117" s="35" t="s">
        <v>482</v>
      </c>
      <c r="F1117" s="40">
        <v>46082.0</v>
      </c>
      <c r="G1117" s="33"/>
      <c r="H1117" s="73" t="s">
        <v>4604</v>
      </c>
      <c r="I1117" s="33"/>
      <c r="J1117" s="33"/>
      <c r="K1117" s="35"/>
      <c r="L1117" s="35"/>
      <c r="M1117" s="35"/>
      <c r="N1117" s="35"/>
      <c r="O1117" s="35"/>
      <c r="P1117" s="35"/>
      <c r="Q1117" s="35"/>
      <c r="R1117" s="35"/>
      <c r="S1117" s="35"/>
      <c r="T1117" s="35"/>
      <c r="U1117" s="35"/>
      <c r="V1117" s="35"/>
      <c r="W1117" s="35"/>
      <c r="X1117" s="35"/>
      <c r="Y1117" s="35"/>
      <c r="Z1117" s="35"/>
      <c r="AA1117" s="35"/>
      <c r="AB1117" s="35"/>
      <c r="AC1117" s="35"/>
      <c r="AD1117" s="35"/>
      <c r="AE1117" s="35"/>
    </row>
    <row r="1118">
      <c r="A1118" s="30">
        <v>46072.0</v>
      </c>
      <c r="B1118" s="35" t="s">
        <v>484</v>
      </c>
      <c r="C1118" s="35" t="s">
        <v>485</v>
      </c>
      <c r="D1118" s="35" t="s">
        <v>486</v>
      </c>
      <c r="E1118" s="35" t="s">
        <v>487</v>
      </c>
      <c r="F1118" s="40">
        <v>46082.0</v>
      </c>
      <c r="G1118" s="33"/>
      <c r="H1118" s="73" t="s">
        <v>4605</v>
      </c>
      <c r="I1118" s="33"/>
      <c r="J1118" s="33"/>
      <c r="K1118" s="35"/>
      <c r="L1118" s="35"/>
      <c r="M1118" s="35"/>
      <c r="N1118" s="35"/>
      <c r="O1118" s="35"/>
      <c r="P1118" s="35"/>
      <c r="Q1118" s="35"/>
      <c r="R1118" s="35"/>
      <c r="S1118" s="35"/>
      <c r="T1118" s="35"/>
      <c r="U1118" s="35"/>
      <c r="V1118" s="35"/>
      <c r="W1118" s="35"/>
      <c r="X1118" s="35"/>
      <c r="Y1118" s="35"/>
      <c r="Z1118" s="35"/>
      <c r="AA1118" s="35"/>
      <c r="AB1118" s="35"/>
      <c r="AC1118" s="35"/>
      <c r="AD1118" s="35"/>
      <c r="AE1118" s="35"/>
    </row>
    <row r="1119">
      <c r="A1119" s="30">
        <v>46073.0</v>
      </c>
      <c r="B1119" s="35" t="s">
        <v>489</v>
      </c>
      <c r="C1119" s="35" t="s">
        <v>490</v>
      </c>
      <c r="D1119" s="35" t="s">
        <v>491</v>
      </c>
      <c r="E1119" s="35" t="s">
        <v>492</v>
      </c>
      <c r="F1119" s="40">
        <v>46066.0</v>
      </c>
      <c r="G1119" s="33"/>
      <c r="H1119" s="33"/>
      <c r="I1119" s="33"/>
      <c r="J1119" s="33"/>
      <c r="K1119" s="35"/>
      <c r="L1119" s="35"/>
      <c r="M1119" s="35"/>
      <c r="N1119" s="35"/>
      <c r="O1119" s="35"/>
      <c r="P1119" s="35"/>
      <c r="Q1119" s="35"/>
      <c r="R1119" s="35"/>
      <c r="S1119" s="35"/>
      <c r="T1119" s="35"/>
      <c r="U1119" s="35"/>
      <c r="V1119" s="35"/>
      <c r="W1119" s="35"/>
      <c r="X1119" s="35"/>
      <c r="Y1119" s="35"/>
      <c r="Z1119" s="35"/>
      <c r="AA1119" s="35"/>
      <c r="AB1119" s="35"/>
      <c r="AC1119" s="35"/>
      <c r="AD1119" s="35"/>
      <c r="AE1119" s="35"/>
    </row>
    <row r="1120">
      <c r="A1120" s="30">
        <v>46076.0</v>
      </c>
      <c r="B1120" s="35" t="s">
        <v>494</v>
      </c>
      <c r="C1120" s="35" t="s">
        <v>495</v>
      </c>
      <c r="D1120" s="35" t="s">
        <v>414</v>
      </c>
      <c r="E1120" s="35" t="s">
        <v>496</v>
      </c>
      <c r="F1120" s="40">
        <v>46102.0</v>
      </c>
      <c r="G1120" s="33"/>
      <c r="H1120" s="33"/>
      <c r="I1120" s="33"/>
      <c r="J1120" s="73" t="s">
        <v>4606</v>
      </c>
      <c r="K1120" s="35"/>
      <c r="L1120" s="35"/>
      <c r="M1120" s="35"/>
      <c r="N1120" s="35"/>
      <c r="O1120" s="35"/>
      <c r="P1120" s="35"/>
      <c r="Q1120" s="35"/>
      <c r="R1120" s="35"/>
      <c r="S1120" s="35"/>
      <c r="T1120" s="35"/>
      <c r="U1120" s="35"/>
      <c r="V1120" s="35"/>
      <c r="W1120" s="35"/>
      <c r="X1120" s="35"/>
      <c r="Y1120" s="35"/>
      <c r="Z1120" s="35"/>
      <c r="AA1120" s="35"/>
      <c r="AB1120" s="35"/>
      <c r="AC1120" s="35"/>
      <c r="AD1120" s="35"/>
      <c r="AE1120" s="35"/>
    </row>
    <row r="1121">
      <c r="A1121" s="30">
        <v>46076.0</v>
      </c>
      <c r="B1121" s="35" t="s">
        <v>498</v>
      </c>
      <c r="C1121" s="35" t="s">
        <v>499</v>
      </c>
      <c r="D1121" s="35" t="s">
        <v>362</v>
      </c>
      <c r="E1121" s="35" t="s">
        <v>500</v>
      </c>
      <c r="F1121" s="40">
        <v>46080.0</v>
      </c>
      <c r="G1121" s="33"/>
      <c r="H1121" s="73" t="s">
        <v>4607</v>
      </c>
      <c r="I1121" s="33"/>
      <c r="J1121" s="33"/>
      <c r="K1121" s="35"/>
      <c r="L1121" s="35"/>
      <c r="M1121" s="35"/>
      <c r="N1121" s="35"/>
      <c r="O1121" s="35"/>
      <c r="P1121" s="35"/>
      <c r="Q1121" s="35"/>
      <c r="R1121" s="35"/>
      <c r="S1121" s="35"/>
      <c r="T1121" s="35"/>
      <c r="U1121" s="35"/>
      <c r="V1121" s="35"/>
      <c r="W1121" s="35"/>
      <c r="X1121" s="35"/>
      <c r="Y1121" s="35"/>
      <c r="Z1121" s="35"/>
      <c r="AA1121" s="35"/>
      <c r="AB1121" s="35"/>
      <c r="AC1121" s="35"/>
      <c r="AD1121" s="35"/>
      <c r="AE1121" s="35"/>
    </row>
    <row r="1122">
      <c r="A1122" s="30"/>
      <c r="B1122" s="35" t="s">
        <v>502</v>
      </c>
      <c r="C1122" s="35" t="s">
        <v>503</v>
      </c>
      <c r="D1122" s="35" t="s">
        <v>504</v>
      </c>
      <c r="E1122" s="35" t="s">
        <v>319</v>
      </c>
      <c r="F1122" s="40">
        <v>46076.0</v>
      </c>
      <c r="G1122" s="33"/>
      <c r="H1122" s="33"/>
      <c r="I1122" s="33"/>
      <c r="J1122" s="33"/>
      <c r="K1122" s="35"/>
      <c r="L1122" s="35"/>
      <c r="M1122" s="35"/>
      <c r="N1122" s="35"/>
      <c r="O1122" s="35"/>
      <c r="P1122" s="35"/>
      <c r="Q1122" s="35"/>
      <c r="R1122" s="35"/>
      <c r="S1122" s="35"/>
      <c r="T1122" s="35"/>
      <c r="U1122" s="35"/>
      <c r="V1122" s="35"/>
      <c r="W1122" s="35"/>
      <c r="X1122" s="35"/>
      <c r="Y1122" s="35"/>
      <c r="Z1122" s="35"/>
      <c r="AA1122" s="35"/>
      <c r="AB1122" s="35"/>
      <c r="AC1122" s="35"/>
      <c r="AD1122" s="35"/>
      <c r="AE1122" s="35"/>
    </row>
    <row r="1123">
      <c r="A1123" s="30">
        <v>46079.0</v>
      </c>
      <c r="B1123" s="35" t="s">
        <v>506</v>
      </c>
      <c r="C1123" s="35" t="s">
        <v>507</v>
      </c>
      <c r="D1123" s="35" t="s">
        <v>128</v>
      </c>
      <c r="E1123" s="35" t="s">
        <v>508</v>
      </c>
      <c r="F1123" s="40">
        <v>46101.0</v>
      </c>
      <c r="G1123" s="33"/>
      <c r="H1123" s="33"/>
      <c r="I1123" s="73" t="s">
        <v>4608</v>
      </c>
      <c r="J1123" s="33"/>
      <c r="K1123" s="35"/>
      <c r="L1123" s="35"/>
      <c r="M1123" s="35"/>
      <c r="N1123" s="35"/>
      <c r="O1123" s="35"/>
      <c r="P1123" s="35"/>
      <c r="Q1123" s="35"/>
      <c r="R1123" s="35"/>
      <c r="S1123" s="35"/>
      <c r="T1123" s="35"/>
      <c r="U1123" s="35"/>
      <c r="V1123" s="35"/>
      <c r="W1123" s="35"/>
      <c r="X1123" s="35"/>
      <c r="Y1123" s="35"/>
      <c r="Z1123" s="35"/>
      <c r="AA1123" s="35"/>
      <c r="AB1123" s="35"/>
      <c r="AC1123" s="35"/>
      <c r="AD1123" s="35"/>
      <c r="AE1123" s="35"/>
    </row>
    <row r="1124">
      <c r="A1124" s="30">
        <v>46079.0</v>
      </c>
      <c r="B1124" s="35" t="s">
        <v>511</v>
      </c>
      <c r="C1124" s="35" t="s">
        <v>512</v>
      </c>
      <c r="D1124" s="35" t="s">
        <v>42</v>
      </c>
      <c r="E1124" s="35" t="s">
        <v>267</v>
      </c>
      <c r="F1124" s="40">
        <v>46086.0</v>
      </c>
      <c r="G1124" s="33"/>
      <c r="H1124" s="33"/>
      <c r="I1124" s="73" t="s">
        <v>4609</v>
      </c>
      <c r="J1124" s="33"/>
      <c r="K1124" s="35"/>
      <c r="L1124" s="35"/>
      <c r="M1124" s="35"/>
      <c r="N1124" s="35"/>
      <c r="O1124" s="35"/>
      <c r="P1124" s="35"/>
      <c r="Q1124" s="35"/>
      <c r="R1124" s="35"/>
      <c r="S1124" s="35"/>
      <c r="T1124" s="35"/>
      <c r="U1124" s="35"/>
      <c r="V1124" s="35"/>
      <c r="W1124" s="35"/>
      <c r="X1124" s="35"/>
      <c r="Y1124" s="35"/>
      <c r="Z1124" s="35"/>
      <c r="AA1124" s="35"/>
      <c r="AB1124" s="35"/>
      <c r="AC1124" s="35"/>
      <c r="AD1124" s="35"/>
      <c r="AE1124" s="35"/>
    </row>
    <row r="1125">
      <c r="A1125" s="30">
        <v>46080.0</v>
      </c>
      <c r="B1125" s="35" t="s">
        <v>515</v>
      </c>
      <c r="C1125" s="35" t="s">
        <v>516</v>
      </c>
      <c r="D1125" s="35" t="s">
        <v>198</v>
      </c>
      <c r="E1125" s="35" t="s">
        <v>517</v>
      </c>
      <c r="F1125" s="40">
        <v>46113.0</v>
      </c>
      <c r="G1125" s="33"/>
      <c r="H1125" s="33"/>
      <c r="I1125" s="73" t="s">
        <v>4610</v>
      </c>
      <c r="J1125" s="33"/>
      <c r="K1125" s="35"/>
      <c r="L1125" s="35"/>
      <c r="M1125" s="35"/>
      <c r="N1125" s="35"/>
      <c r="O1125" s="35"/>
      <c r="P1125" s="35"/>
      <c r="Q1125" s="35"/>
      <c r="R1125" s="35"/>
      <c r="S1125" s="35"/>
      <c r="T1125" s="35"/>
      <c r="U1125" s="35"/>
      <c r="V1125" s="35"/>
      <c r="W1125" s="35"/>
      <c r="X1125" s="35"/>
      <c r="Y1125" s="35"/>
      <c r="Z1125" s="35"/>
      <c r="AA1125" s="35"/>
      <c r="AB1125" s="35"/>
      <c r="AC1125" s="35"/>
      <c r="AD1125" s="35"/>
      <c r="AE1125" s="35"/>
    </row>
    <row r="1126">
      <c r="A1126" s="30">
        <v>46083.0</v>
      </c>
      <c r="B1126" s="35" t="s">
        <v>520</v>
      </c>
      <c r="C1126" s="35" t="s">
        <v>521</v>
      </c>
      <c r="D1126" s="35" t="s">
        <v>65</v>
      </c>
      <c r="E1126" s="35" t="s">
        <v>522</v>
      </c>
      <c r="F1126" s="40">
        <v>46097.0</v>
      </c>
      <c r="G1126" s="33"/>
      <c r="H1126" s="73" t="s">
        <v>4611</v>
      </c>
      <c r="I1126" s="33"/>
      <c r="J1126" s="33"/>
      <c r="K1126" s="35"/>
      <c r="L1126" s="35"/>
      <c r="M1126" s="35"/>
      <c r="N1126" s="35"/>
      <c r="O1126" s="35"/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5"/>
      <c r="AA1126" s="35"/>
      <c r="AB1126" s="35"/>
      <c r="AC1126" s="35"/>
      <c r="AD1126" s="35"/>
      <c r="AE1126" s="35"/>
    </row>
    <row r="1127">
      <c r="A1127" s="30">
        <v>46085.0</v>
      </c>
      <c r="B1127" s="35" t="s">
        <v>524</v>
      </c>
      <c r="C1127" s="35" t="s">
        <v>525</v>
      </c>
      <c r="D1127" s="35" t="s">
        <v>122</v>
      </c>
      <c r="E1127" s="35" t="s">
        <v>143</v>
      </c>
      <c r="F1127" s="40">
        <v>46082.0</v>
      </c>
      <c r="G1127" s="33"/>
      <c r="H1127" s="33"/>
      <c r="I1127" s="33"/>
      <c r="J1127" s="33"/>
      <c r="K1127" s="35"/>
      <c r="L1127" s="35"/>
      <c r="M1127" s="35"/>
      <c r="N1127" s="35"/>
      <c r="O1127" s="35"/>
      <c r="P1127" s="35"/>
      <c r="Q1127" s="35"/>
      <c r="R1127" s="35"/>
      <c r="S1127" s="35"/>
      <c r="T1127" s="35"/>
      <c r="U1127" s="35"/>
      <c r="V1127" s="35"/>
      <c r="W1127" s="35"/>
      <c r="X1127" s="35"/>
      <c r="Y1127" s="35"/>
      <c r="Z1127" s="35"/>
      <c r="AA1127" s="35"/>
      <c r="AB1127" s="35"/>
      <c r="AC1127" s="35"/>
      <c r="AD1127" s="35"/>
      <c r="AE1127" s="35"/>
    </row>
    <row r="1128">
      <c r="A1128" s="30">
        <v>46085.0</v>
      </c>
      <c r="B1128" s="35" t="s">
        <v>527</v>
      </c>
      <c r="C1128" s="35" t="s">
        <v>528</v>
      </c>
      <c r="D1128" s="35" t="s">
        <v>71</v>
      </c>
      <c r="E1128" s="35" t="s">
        <v>529</v>
      </c>
      <c r="F1128" s="40">
        <v>46082.0</v>
      </c>
      <c r="G1128" s="33"/>
      <c r="H1128" s="33"/>
      <c r="I1128" s="33"/>
      <c r="J1128" s="33"/>
      <c r="K1128" s="35"/>
      <c r="L1128" s="35"/>
      <c r="M1128" s="35"/>
      <c r="N1128" s="35"/>
      <c r="O1128" s="35"/>
      <c r="P1128" s="35"/>
      <c r="Q1128" s="35"/>
      <c r="R1128" s="35"/>
      <c r="S1128" s="35"/>
      <c r="T1128" s="35"/>
      <c r="U1128" s="35"/>
      <c r="V1128" s="35"/>
      <c r="W1128" s="35"/>
      <c r="X1128" s="35"/>
      <c r="Y1128" s="35"/>
      <c r="Z1128" s="35"/>
      <c r="AA1128" s="35"/>
      <c r="AB1128" s="35"/>
      <c r="AC1128" s="35"/>
      <c r="AD1128" s="35"/>
      <c r="AE1128" s="35"/>
    </row>
    <row r="1129">
      <c r="A1129" s="30">
        <v>46085.0</v>
      </c>
      <c r="B1129" s="35" t="s">
        <v>532</v>
      </c>
      <c r="C1129" s="35" t="s">
        <v>533</v>
      </c>
      <c r="D1129" s="35" t="s">
        <v>110</v>
      </c>
      <c r="E1129" s="35" t="s">
        <v>534</v>
      </c>
      <c r="F1129" s="40">
        <v>46082.0</v>
      </c>
      <c r="G1129" s="33"/>
      <c r="H1129" s="33"/>
      <c r="I1129" s="33"/>
      <c r="J1129" s="33"/>
      <c r="K1129" s="35"/>
      <c r="L1129" s="35"/>
      <c r="M1129" s="35"/>
      <c r="N1129" s="35"/>
      <c r="O1129" s="35"/>
      <c r="P1129" s="35"/>
      <c r="Q1129" s="35"/>
      <c r="R1129" s="35"/>
      <c r="S1129" s="35"/>
      <c r="T1129" s="35"/>
      <c r="U1129" s="35"/>
      <c r="V1129" s="35"/>
      <c r="W1129" s="35"/>
      <c r="X1129" s="35"/>
      <c r="Y1129" s="35"/>
      <c r="Z1129" s="35"/>
      <c r="AA1129" s="35"/>
      <c r="AB1129" s="35"/>
      <c r="AC1129" s="35"/>
      <c r="AD1129" s="35"/>
      <c r="AE1129" s="35"/>
    </row>
    <row r="1130">
      <c r="A1130" s="30">
        <v>46085.0</v>
      </c>
      <c r="B1130" s="35" t="s">
        <v>536</v>
      </c>
      <c r="C1130" s="35" t="s">
        <v>537</v>
      </c>
      <c r="D1130" s="35" t="s">
        <v>128</v>
      </c>
      <c r="E1130" s="35" t="s">
        <v>538</v>
      </c>
      <c r="F1130" s="40">
        <v>46082.0</v>
      </c>
      <c r="G1130" s="33"/>
      <c r="H1130" s="33"/>
      <c r="I1130" s="33"/>
      <c r="J1130" s="33"/>
      <c r="K1130" s="35"/>
      <c r="L1130" s="35"/>
      <c r="M1130" s="35"/>
      <c r="N1130" s="35"/>
      <c r="O1130" s="35"/>
      <c r="P1130" s="35"/>
      <c r="Q1130" s="35"/>
      <c r="R1130" s="35"/>
      <c r="S1130" s="35"/>
      <c r="T1130" s="35"/>
      <c r="U1130" s="35"/>
      <c r="V1130" s="35"/>
      <c r="W1130" s="35"/>
      <c r="X1130" s="35"/>
      <c r="Y1130" s="35"/>
      <c r="Z1130" s="35"/>
      <c r="AA1130" s="35"/>
      <c r="AB1130" s="35"/>
      <c r="AC1130" s="35"/>
      <c r="AD1130" s="35"/>
      <c r="AE1130" s="35"/>
    </row>
    <row r="1131">
      <c r="A1131" s="30">
        <v>46085.0</v>
      </c>
      <c r="B1131" s="35" t="s">
        <v>540</v>
      </c>
      <c r="C1131" s="35" t="s">
        <v>541</v>
      </c>
      <c r="D1131" s="35" t="s">
        <v>476</v>
      </c>
      <c r="E1131" s="35" t="s">
        <v>139</v>
      </c>
      <c r="F1131" s="40">
        <v>46113.0</v>
      </c>
      <c r="G1131" s="33"/>
      <c r="H1131" s="33"/>
      <c r="I1131" s="73" t="s">
        <v>4612</v>
      </c>
      <c r="J1131" s="33"/>
      <c r="K1131" s="35"/>
      <c r="L1131" s="35"/>
      <c r="M1131" s="35"/>
      <c r="N1131" s="35"/>
      <c r="O1131" s="35"/>
      <c r="P1131" s="35"/>
      <c r="Q1131" s="35"/>
      <c r="R1131" s="35"/>
      <c r="S1131" s="35"/>
      <c r="T1131" s="35"/>
      <c r="U1131" s="35"/>
      <c r="V1131" s="35"/>
      <c r="W1131" s="35"/>
      <c r="X1131" s="35"/>
      <c r="Y1131" s="35"/>
      <c r="Z1131" s="35"/>
      <c r="AA1131" s="35"/>
      <c r="AB1131" s="35"/>
      <c r="AC1131" s="35"/>
      <c r="AD1131" s="35"/>
      <c r="AE1131" s="35"/>
    </row>
    <row r="1132">
      <c r="A1132" s="30">
        <v>46086.0</v>
      </c>
      <c r="B1132" s="35" t="s">
        <v>544</v>
      </c>
      <c r="C1132" s="35" t="s">
        <v>545</v>
      </c>
      <c r="D1132" s="35" t="s">
        <v>122</v>
      </c>
      <c r="E1132" s="35" t="s">
        <v>319</v>
      </c>
      <c r="F1132" s="40">
        <v>46113.0</v>
      </c>
      <c r="G1132" s="33"/>
      <c r="H1132" s="33"/>
      <c r="I1132" s="73" t="s">
        <v>4613</v>
      </c>
      <c r="J1132" s="33"/>
      <c r="K1132" s="35"/>
      <c r="L1132" s="35"/>
      <c r="M1132" s="35"/>
      <c r="N1132" s="35"/>
      <c r="O1132" s="35"/>
      <c r="P1132" s="35"/>
      <c r="Q1132" s="35"/>
      <c r="R1132" s="35"/>
      <c r="S1132" s="35"/>
      <c r="T1132" s="35"/>
      <c r="U1132" s="35"/>
      <c r="V1132" s="35"/>
      <c r="W1132" s="35"/>
      <c r="X1132" s="35"/>
      <c r="Y1132" s="35"/>
      <c r="Z1132" s="35"/>
      <c r="AA1132" s="35"/>
      <c r="AB1132" s="35"/>
      <c r="AC1132" s="35"/>
      <c r="AD1132" s="35"/>
      <c r="AE1132" s="35"/>
    </row>
    <row r="1133">
      <c r="A1133" s="30">
        <v>46086.0</v>
      </c>
      <c r="B1133" s="35" t="s">
        <v>548</v>
      </c>
      <c r="C1133" s="35" t="s">
        <v>549</v>
      </c>
      <c r="D1133" s="35" t="s">
        <v>65</v>
      </c>
      <c r="E1133" s="35" t="s">
        <v>550</v>
      </c>
      <c r="F1133" s="40">
        <v>46113.0</v>
      </c>
      <c r="G1133" s="33"/>
      <c r="H1133" s="73" t="s">
        <v>4614</v>
      </c>
      <c r="I1133" s="33"/>
      <c r="J1133" s="33"/>
      <c r="K1133" s="35"/>
      <c r="L1133" s="35"/>
      <c r="M1133" s="35"/>
      <c r="N1133" s="35"/>
      <c r="O1133" s="35"/>
      <c r="P1133" s="35"/>
      <c r="Q1133" s="35"/>
      <c r="R1133" s="35"/>
      <c r="S1133" s="35"/>
      <c r="T1133" s="35"/>
      <c r="U1133" s="35"/>
      <c r="V1133" s="35"/>
      <c r="W1133" s="35"/>
      <c r="X1133" s="35"/>
      <c r="Y1133" s="35"/>
      <c r="Z1133" s="35"/>
      <c r="AA1133" s="35"/>
      <c r="AB1133" s="35"/>
      <c r="AC1133" s="35"/>
      <c r="AD1133" s="35"/>
      <c r="AE1133" s="35"/>
    </row>
    <row r="1134">
      <c r="A1134" s="30">
        <v>46087.0</v>
      </c>
      <c r="B1134" s="35" t="s">
        <v>552</v>
      </c>
      <c r="C1134" s="35" t="s">
        <v>553</v>
      </c>
      <c r="D1134" s="35" t="s">
        <v>444</v>
      </c>
      <c r="E1134" s="35" t="s">
        <v>445</v>
      </c>
      <c r="F1134" s="40">
        <v>46087.0</v>
      </c>
      <c r="G1134" s="33"/>
      <c r="H1134" s="33"/>
      <c r="I1134" s="33"/>
      <c r="J1134" s="33"/>
      <c r="K1134" s="35"/>
      <c r="L1134" s="35"/>
      <c r="M1134" s="35"/>
      <c r="N1134" s="35"/>
      <c r="O1134" s="35"/>
      <c r="P1134" s="35"/>
      <c r="Q1134" s="35"/>
      <c r="R1134" s="35"/>
      <c r="S1134" s="35"/>
      <c r="T1134" s="35"/>
      <c r="U1134" s="35"/>
      <c r="V1134" s="35"/>
      <c r="W1134" s="35"/>
      <c r="X1134" s="35"/>
      <c r="Y1134" s="35"/>
      <c r="Z1134" s="35"/>
      <c r="AA1134" s="35"/>
      <c r="AB1134" s="35"/>
      <c r="AC1134" s="35"/>
      <c r="AD1134" s="35"/>
      <c r="AE1134" s="35"/>
    </row>
    <row r="1135">
      <c r="A1135" s="30">
        <v>46087.0</v>
      </c>
      <c r="B1135" s="35" t="s">
        <v>556</v>
      </c>
      <c r="C1135" s="35" t="s">
        <v>557</v>
      </c>
      <c r="D1135" s="35" t="s">
        <v>128</v>
      </c>
      <c r="E1135" s="35" t="s">
        <v>558</v>
      </c>
      <c r="F1135" s="40">
        <v>46097.0</v>
      </c>
      <c r="G1135" s="33"/>
      <c r="H1135" s="33"/>
      <c r="I1135" s="73" t="s">
        <v>4615</v>
      </c>
      <c r="J1135" s="33"/>
      <c r="K1135" s="35"/>
      <c r="L1135" s="35"/>
      <c r="M1135" s="35"/>
      <c r="N1135" s="35"/>
      <c r="O1135" s="35"/>
      <c r="P1135" s="35"/>
      <c r="Q1135" s="35"/>
      <c r="R1135" s="35"/>
      <c r="S1135" s="35"/>
      <c r="T1135" s="35"/>
      <c r="U1135" s="35"/>
      <c r="V1135" s="35"/>
      <c r="W1135" s="35"/>
      <c r="X1135" s="35"/>
      <c r="Y1135" s="35"/>
      <c r="Z1135" s="35"/>
      <c r="AA1135" s="35"/>
      <c r="AB1135" s="35"/>
      <c r="AC1135" s="35"/>
      <c r="AD1135" s="35"/>
      <c r="AE1135" s="35"/>
    </row>
    <row r="1136">
      <c r="A1136" s="30">
        <v>46090.0</v>
      </c>
      <c r="B1136" s="35" t="s">
        <v>560</v>
      </c>
      <c r="C1136" s="35" t="s">
        <v>561</v>
      </c>
      <c r="D1136" s="35" t="s">
        <v>394</v>
      </c>
      <c r="E1136" s="35" t="s">
        <v>562</v>
      </c>
      <c r="F1136" s="40">
        <v>46082.0</v>
      </c>
      <c r="G1136" s="33"/>
      <c r="H1136" s="33"/>
      <c r="I1136" s="33"/>
      <c r="J1136" s="33"/>
      <c r="K1136" s="35"/>
      <c r="L1136" s="35"/>
      <c r="M1136" s="35"/>
      <c r="N1136" s="35"/>
      <c r="O1136" s="35"/>
      <c r="P1136" s="35"/>
      <c r="Q1136" s="35"/>
      <c r="R1136" s="35"/>
      <c r="S1136" s="35"/>
      <c r="T1136" s="35"/>
      <c r="U1136" s="35"/>
      <c r="V1136" s="35"/>
      <c r="W1136" s="35"/>
      <c r="X1136" s="35"/>
      <c r="Y1136" s="35"/>
      <c r="Z1136" s="35"/>
      <c r="AA1136" s="35"/>
      <c r="AB1136" s="35"/>
      <c r="AC1136" s="35"/>
      <c r="AD1136" s="35"/>
      <c r="AE1136" s="35"/>
    </row>
    <row r="1137">
      <c r="A1137" s="30">
        <v>46091.0</v>
      </c>
      <c r="B1137" s="35" t="s">
        <v>564</v>
      </c>
      <c r="C1137" s="35" t="s">
        <v>565</v>
      </c>
      <c r="D1137" s="35" t="s">
        <v>444</v>
      </c>
      <c r="E1137" s="35" t="s">
        <v>566</v>
      </c>
      <c r="F1137" s="40">
        <v>46082.0</v>
      </c>
      <c r="G1137" s="33"/>
      <c r="H1137" s="33"/>
      <c r="I1137" s="33"/>
      <c r="J1137" s="33"/>
      <c r="K1137" s="35"/>
      <c r="L1137" s="35"/>
      <c r="M1137" s="35"/>
      <c r="N1137" s="35"/>
      <c r="O1137" s="35"/>
      <c r="P1137" s="35"/>
      <c r="Q1137" s="35"/>
      <c r="R1137" s="35"/>
      <c r="S1137" s="35"/>
      <c r="T1137" s="35"/>
      <c r="U1137" s="35"/>
      <c r="V1137" s="35"/>
      <c r="W1137" s="35"/>
      <c r="X1137" s="35"/>
      <c r="Y1137" s="35"/>
      <c r="Z1137" s="35"/>
      <c r="AA1137" s="35"/>
      <c r="AB1137" s="35"/>
      <c r="AC1137" s="35"/>
      <c r="AD1137" s="35"/>
      <c r="AE1137" s="35"/>
    </row>
    <row r="1138">
      <c r="A1138" s="30">
        <v>46092.0</v>
      </c>
      <c r="B1138" s="35" t="s">
        <v>568</v>
      </c>
      <c r="C1138" s="35" t="s">
        <v>569</v>
      </c>
      <c r="D1138" s="35" t="s">
        <v>122</v>
      </c>
      <c r="E1138" s="35" t="s">
        <v>139</v>
      </c>
      <c r="F1138" s="40">
        <v>46093.0</v>
      </c>
      <c r="G1138" s="33"/>
      <c r="H1138" s="33"/>
      <c r="I1138" s="73" t="s">
        <v>4616</v>
      </c>
      <c r="J1138" s="33"/>
      <c r="K1138" s="35"/>
      <c r="L1138" s="35"/>
      <c r="M1138" s="35"/>
      <c r="N1138" s="35"/>
      <c r="O1138" s="35"/>
      <c r="P1138" s="35"/>
      <c r="Q1138" s="35"/>
      <c r="R1138" s="35"/>
      <c r="S1138" s="35"/>
      <c r="T1138" s="35"/>
      <c r="U1138" s="35"/>
      <c r="V1138" s="35"/>
      <c r="W1138" s="35"/>
      <c r="X1138" s="35"/>
      <c r="Y1138" s="35"/>
      <c r="Z1138" s="35"/>
      <c r="AA1138" s="35"/>
      <c r="AB1138" s="35"/>
      <c r="AC1138" s="35"/>
      <c r="AD1138" s="35"/>
      <c r="AE1138" s="35"/>
    </row>
    <row r="1139">
      <c r="A1139" s="30"/>
      <c r="B1139" s="35" t="s">
        <v>572</v>
      </c>
      <c r="C1139" s="35" t="s">
        <v>573</v>
      </c>
      <c r="D1139" s="35" t="s">
        <v>122</v>
      </c>
      <c r="E1139" s="35" t="s">
        <v>139</v>
      </c>
      <c r="F1139" s="40">
        <v>46113.0</v>
      </c>
      <c r="G1139" s="33"/>
      <c r="H1139" s="33"/>
      <c r="I1139" s="73" t="s">
        <v>4617</v>
      </c>
      <c r="J1139" s="33"/>
      <c r="K1139" s="35"/>
      <c r="L1139" s="35"/>
      <c r="M1139" s="35"/>
      <c r="N1139" s="35"/>
      <c r="O1139" s="35"/>
      <c r="P1139" s="35"/>
      <c r="Q1139" s="35"/>
      <c r="R1139" s="35"/>
      <c r="S1139" s="35"/>
      <c r="T1139" s="35"/>
      <c r="U1139" s="35"/>
      <c r="V1139" s="35"/>
      <c r="W1139" s="35"/>
      <c r="X1139" s="35"/>
      <c r="Y1139" s="35"/>
      <c r="Z1139" s="35"/>
      <c r="AA1139" s="35"/>
      <c r="AB1139" s="35"/>
      <c r="AC1139" s="35"/>
      <c r="AD1139" s="35"/>
      <c r="AE1139" s="35"/>
    </row>
    <row r="1140">
      <c r="A1140" s="30">
        <v>46097.0</v>
      </c>
      <c r="B1140" s="35" t="s">
        <v>576</v>
      </c>
      <c r="C1140" s="35" t="s">
        <v>577</v>
      </c>
      <c r="D1140" s="35" t="s">
        <v>328</v>
      </c>
      <c r="E1140" s="35" t="s">
        <v>578</v>
      </c>
      <c r="F1140" s="40">
        <v>46158.0</v>
      </c>
      <c r="G1140" s="33"/>
      <c r="H1140" s="33"/>
      <c r="I1140" s="33"/>
      <c r="J1140" s="73" t="s">
        <v>4618</v>
      </c>
      <c r="K1140" s="35"/>
      <c r="L1140" s="35"/>
      <c r="M1140" s="35"/>
      <c r="N1140" s="35"/>
      <c r="O1140" s="35"/>
      <c r="P1140" s="35"/>
      <c r="Q1140" s="35"/>
      <c r="R1140" s="35"/>
      <c r="S1140" s="35"/>
      <c r="T1140" s="35"/>
      <c r="U1140" s="35"/>
      <c r="V1140" s="35"/>
      <c r="W1140" s="35"/>
      <c r="X1140" s="35"/>
      <c r="Y1140" s="35"/>
      <c r="Z1140" s="35"/>
      <c r="AA1140" s="35"/>
      <c r="AB1140" s="35"/>
      <c r="AC1140" s="35"/>
      <c r="AD1140" s="35"/>
      <c r="AE1140" s="35"/>
    </row>
    <row r="1141">
      <c r="A1141" s="30">
        <v>46097.0</v>
      </c>
      <c r="B1141" s="35" t="s">
        <v>580</v>
      </c>
      <c r="C1141" s="35" t="s">
        <v>581</v>
      </c>
      <c r="D1141" s="35" t="s">
        <v>122</v>
      </c>
      <c r="E1141" s="35" t="s">
        <v>582</v>
      </c>
      <c r="F1141" s="40">
        <v>46113.0</v>
      </c>
      <c r="G1141" s="33"/>
      <c r="H1141" s="33"/>
      <c r="I1141" s="73" t="s">
        <v>4619</v>
      </c>
      <c r="J1141" s="33"/>
      <c r="K1141" s="35"/>
      <c r="L1141" s="35"/>
      <c r="M1141" s="35"/>
      <c r="N1141" s="35"/>
      <c r="O1141" s="35"/>
      <c r="P1141" s="35"/>
      <c r="Q1141" s="35"/>
      <c r="R1141" s="35"/>
      <c r="S1141" s="35"/>
      <c r="T1141" s="35"/>
      <c r="U1141" s="35"/>
      <c r="V1141" s="35"/>
      <c r="W1141" s="35"/>
      <c r="X1141" s="35"/>
      <c r="Y1141" s="35"/>
      <c r="Z1141" s="35"/>
      <c r="AA1141" s="35"/>
      <c r="AB1141" s="35"/>
      <c r="AC1141" s="35"/>
      <c r="AD1141" s="35"/>
      <c r="AE1141" s="35"/>
    </row>
    <row r="1142">
      <c r="A1142" s="30">
        <v>46097.0</v>
      </c>
      <c r="B1142" s="35" t="s">
        <v>584</v>
      </c>
      <c r="C1142" s="35" t="s">
        <v>585</v>
      </c>
      <c r="D1142" s="35" t="s">
        <v>122</v>
      </c>
      <c r="E1142" s="35" t="s">
        <v>139</v>
      </c>
      <c r="F1142" s="40">
        <v>46129.0</v>
      </c>
      <c r="G1142" s="33"/>
      <c r="H1142" s="33"/>
      <c r="I1142" s="73" t="s">
        <v>4620</v>
      </c>
      <c r="J1142" s="33"/>
      <c r="K1142" s="35"/>
      <c r="L1142" s="35"/>
      <c r="M1142" s="35"/>
      <c r="N1142" s="35"/>
      <c r="O1142" s="35"/>
      <c r="P1142" s="35"/>
      <c r="Q1142" s="35"/>
      <c r="R1142" s="35"/>
      <c r="S1142" s="35"/>
      <c r="T1142" s="35"/>
      <c r="U1142" s="35"/>
      <c r="V1142" s="35"/>
      <c r="W1142" s="35"/>
      <c r="X1142" s="35"/>
      <c r="Y1142" s="35"/>
      <c r="Z1142" s="35"/>
      <c r="AA1142" s="35"/>
      <c r="AB1142" s="35"/>
      <c r="AC1142" s="35"/>
      <c r="AD1142" s="35"/>
      <c r="AE1142" s="35"/>
    </row>
    <row r="1143">
      <c r="A1143" s="30">
        <v>46097.0</v>
      </c>
      <c r="B1143" s="35" t="s">
        <v>587</v>
      </c>
      <c r="C1143" s="35" t="s">
        <v>588</v>
      </c>
      <c r="D1143" s="35" t="s">
        <v>414</v>
      </c>
      <c r="E1143" s="35" t="s">
        <v>139</v>
      </c>
      <c r="F1143" s="40">
        <v>46129.0</v>
      </c>
      <c r="G1143" s="33"/>
      <c r="H1143" s="33"/>
      <c r="I1143" s="73" t="s">
        <v>4621</v>
      </c>
      <c r="J1143" s="33"/>
      <c r="K1143" s="35"/>
      <c r="L1143" s="35"/>
      <c r="M1143" s="35"/>
      <c r="N1143" s="35"/>
      <c r="O1143" s="35"/>
      <c r="P1143" s="35"/>
      <c r="Q1143" s="35"/>
      <c r="R1143" s="35"/>
      <c r="S1143" s="35"/>
      <c r="T1143" s="35"/>
      <c r="U1143" s="35"/>
      <c r="V1143" s="35"/>
      <c r="W1143" s="35"/>
      <c r="X1143" s="35"/>
      <c r="Y1143" s="35"/>
      <c r="Z1143" s="35"/>
      <c r="AA1143" s="35"/>
      <c r="AB1143" s="35"/>
      <c r="AC1143" s="35"/>
      <c r="AD1143" s="35"/>
      <c r="AE1143" s="35"/>
    </row>
    <row r="1144">
      <c r="A1144" s="30">
        <v>46097.0</v>
      </c>
      <c r="B1144" s="35" t="s">
        <v>590</v>
      </c>
      <c r="C1144" s="35" t="s">
        <v>591</v>
      </c>
      <c r="D1144" s="35" t="s">
        <v>122</v>
      </c>
      <c r="E1144" s="35" t="s">
        <v>139</v>
      </c>
      <c r="F1144" s="40">
        <v>46129.0</v>
      </c>
      <c r="G1144" s="33"/>
      <c r="H1144" s="33"/>
      <c r="I1144" s="73" t="s">
        <v>4622</v>
      </c>
      <c r="J1144" s="33"/>
      <c r="K1144" s="35"/>
      <c r="L1144" s="35"/>
      <c r="M1144" s="35"/>
      <c r="N1144" s="35"/>
      <c r="O1144" s="35"/>
      <c r="P1144" s="35"/>
      <c r="Q1144" s="35"/>
      <c r="R1144" s="35"/>
      <c r="S1144" s="35"/>
      <c r="T1144" s="35"/>
      <c r="U1144" s="35"/>
      <c r="V1144" s="35"/>
      <c r="W1144" s="35"/>
      <c r="X1144" s="35"/>
      <c r="Y1144" s="35"/>
      <c r="Z1144" s="35"/>
      <c r="AA1144" s="35"/>
      <c r="AB1144" s="35"/>
      <c r="AC1144" s="35"/>
      <c r="AD1144" s="35"/>
      <c r="AE1144" s="35"/>
    </row>
    <row r="1145">
      <c r="A1145" s="30">
        <v>46097.0</v>
      </c>
      <c r="B1145" s="35" t="s">
        <v>593</v>
      </c>
      <c r="C1145" s="35" t="s">
        <v>594</v>
      </c>
      <c r="D1145" s="35" t="s">
        <v>128</v>
      </c>
      <c r="E1145" s="35" t="s">
        <v>595</v>
      </c>
      <c r="F1145" s="40">
        <v>46123.0</v>
      </c>
      <c r="G1145" s="33"/>
      <c r="H1145" s="33"/>
      <c r="I1145" s="73" t="s">
        <v>4623</v>
      </c>
      <c r="J1145" s="33"/>
      <c r="K1145" s="35"/>
      <c r="L1145" s="35"/>
      <c r="M1145" s="35"/>
      <c r="N1145" s="35"/>
      <c r="O1145" s="35"/>
      <c r="P1145" s="35"/>
      <c r="Q1145" s="35"/>
      <c r="R1145" s="35"/>
      <c r="S1145" s="35"/>
      <c r="T1145" s="35"/>
      <c r="U1145" s="35"/>
      <c r="V1145" s="35"/>
      <c r="W1145" s="35"/>
      <c r="X1145" s="35"/>
      <c r="Y1145" s="35"/>
      <c r="Z1145" s="35"/>
      <c r="AA1145" s="35"/>
      <c r="AB1145" s="35"/>
      <c r="AC1145" s="35"/>
      <c r="AD1145" s="35"/>
      <c r="AE1145" s="35"/>
    </row>
    <row r="1146">
      <c r="A1146" s="30">
        <v>46097.0</v>
      </c>
      <c r="B1146" s="35" t="s">
        <v>598</v>
      </c>
      <c r="C1146" s="35" t="s">
        <v>599</v>
      </c>
      <c r="D1146" s="35" t="s">
        <v>394</v>
      </c>
      <c r="E1146" s="35" t="s">
        <v>600</v>
      </c>
      <c r="F1146" s="40">
        <v>46122.0</v>
      </c>
      <c r="G1146" s="33"/>
      <c r="H1146" s="33"/>
      <c r="I1146" s="73" t="s">
        <v>4624</v>
      </c>
      <c r="J1146" s="33"/>
      <c r="K1146" s="35"/>
      <c r="L1146" s="35"/>
      <c r="M1146" s="35"/>
      <c r="N1146" s="35"/>
      <c r="O1146" s="35"/>
      <c r="P1146" s="35"/>
      <c r="Q1146" s="35"/>
      <c r="R1146" s="35"/>
      <c r="S1146" s="35"/>
      <c r="T1146" s="35"/>
      <c r="U1146" s="35"/>
      <c r="V1146" s="35"/>
      <c r="W1146" s="35"/>
      <c r="X1146" s="35"/>
      <c r="Y1146" s="35"/>
      <c r="Z1146" s="35"/>
      <c r="AA1146" s="35"/>
      <c r="AB1146" s="35"/>
      <c r="AC1146" s="35"/>
      <c r="AD1146" s="35"/>
      <c r="AE1146" s="35"/>
    </row>
    <row r="1147">
      <c r="A1147" s="30">
        <v>46099.0</v>
      </c>
      <c r="B1147" s="35" t="s">
        <v>603</v>
      </c>
      <c r="C1147" s="35" t="s">
        <v>604</v>
      </c>
      <c r="D1147" s="35" t="s">
        <v>128</v>
      </c>
      <c r="E1147" s="35" t="s">
        <v>245</v>
      </c>
      <c r="F1147" s="40">
        <v>46131.0</v>
      </c>
      <c r="G1147" s="33"/>
      <c r="H1147" s="33"/>
      <c r="I1147" s="73" t="s">
        <v>4625</v>
      </c>
      <c r="J1147" s="33"/>
      <c r="K1147" s="35"/>
      <c r="L1147" s="35"/>
      <c r="M1147" s="35"/>
      <c r="N1147" s="35"/>
      <c r="O1147" s="35"/>
      <c r="P1147" s="35"/>
      <c r="Q1147" s="35"/>
      <c r="R1147" s="35"/>
      <c r="S1147" s="35"/>
      <c r="T1147" s="35"/>
      <c r="U1147" s="35"/>
      <c r="V1147" s="35"/>
      <c r="W1147" s="35"/>
      <c r="X1147" s="35"/>
      <c r="Y1147" s="35"/>
      <c r="Z1147" s="35"/>
      <c r="AA1147" s="35"/>
      <c r="AB1147" s="35"/>
      <c r="AC1147" s="35"/>
      <c r="AD1147" s="35"/>
      <c r="AE1147" s="35"/>
    </row>
    <row r="1148">
      <c r="A1148" s="30">
        <v>46100.0</v>
      </c>
      <c r="B1148" s="35" t="s">
        <v>606</v>
      </c>
      <c r="C1148" s="35" t="s">
        <v>607</v>
      </c>
      <c r="D1148" s="35" t="s">
        <v>608</v>
      </c>
      <c r="E1148" s="35" t="s">
        <v>609</v>
      </c>
      <c r="F1148" s="40">
        <v>46143.0</v>
      </c>
      <c r="G1148" s="33"/>
      <c r="H1148" s="73" t="s">
        <v>4626</v>
      </c>
      <c r="I1148" s="33"/>
      <c r="J1148" s="33"/>
      <c r="K1148" s="35"/>
      <c r="L1148" s="35"/>
      <c r="M1148" s="35"/>
      <c r="N1148" s="35"/>
      <c r="O1148" s="35"/>
      <c r="P1148" s="35"/>
      <c r="Q1148" s="35"/>
      <c r="R1148" s="35"/>
      <c r="S1148" s="35"/>
      <c r="T1148" s="35"/>
      <c r="U1148" s="35"/>
      <c r="V1148" s="35"/>
      <c r="W1148" s="35"/>
      <c r="X1148" s="35"/>
      <c r="Y1148" s="35"/>
      <c r="Z1148" s="35"/>
      <c r="AA1148" s="35"/>
      <c r="AB1148" s="35"/>
      <c r="AC1148" s="35"/>
      <c r="AD1148" s="35"/>
      <c r="AE1148" s="35"/>
    </row>
    <row r="1149">
      <c r="A1149" s="30">
        <v>46104.0</v>
      </c>
      <c r="B1149" s="35" t="s">
        <v>611</v>
      </c>
      <c r="C1149" s="35" t="s">
        <v>612</v>
      </c>
      <c r="D1149" s="35" t="s">
        <v>128</v>
      </c>
      <c r="E1149" s="35" t="s">
        <v>613</v>
      </c>
      <c r="F1149" s="40">
        <v>46134.0</v>
      </c>
      <c r="G1149" s="33"/>
      <c r="H1149" s="33"/>
      <c r="I1149" s="73" t="s">
        <v>4627</v>
      </c>
      <c r="J1149" s="33"/>
      <c r="K1149" s="35"/>
      <c r="L1149" s="35"/>
      <c r="M1149" s="35"/>
      <c r="N1149" s="35"/>
      <c r="O1149" s="35"/>
      <c r="P1149" s="35"/>
      <c r="Q1149" s="35"/>
      <c r="R1149" s="35"/>
      <c r="S1149" s="35"/>
      <c r="T1149" s="35"/>
      <c r="U1149" s="35"/>
      <c r="V1149" s="35"/>
      <c r="W1149" s="35"/>
      <c r="X1149" s="35"/>
      <c r="Y1149" s="35"/>
      <c r="Z1149" s="35"/>
      <c r="AA1149" s="35"/>
      <c r="AB1149" s="35"/>
      <c r="AC1149" s="35"/>
      <c r="AD1149" s="35"/>
      <c r="AE1149" s="35"/>
    </row>
    <row r="1150">
      <c r="A1150" s="30">
        <v>46104.0</v>
      </c>
      <c r="B1150" s="35" t="s">
        <v>615</v>
      </c>
      <c r="C1150" s="35" t="s">
        <v>616</v>
      </c>
      <c r="D1150" s="35" t="s">
        <v>122</v>
      </c>
      <c r="E1150" s="35" t="s">
        <v>617</v>
      </c>
      <c r="F1150" s="40">
        <v>46113.0</v>
      </c>
      <c r="G1150" s="33"/>
      <c r="H1150" s="33"/>
      <c r="I1150" s="73" t="s">
        <v>4628</v>
      </c>
      <c r="J1150" s="33"/>
      <c r="K1150" s="35"/>
      <c r="L1150" s="35"/>
      <c r="M1150" s="35"/>
      <c r="N1150" s="35"/>
      <c r="O1150" s="35"/>
      <c r="P1150" s="35"/>
      <c r="Q1150" s="35"/>
      <c r="R1150" s="35"/>
      <c r="S1150" s="35"/>
      <c r="T1150" s="35"/>
      <c r="U1150" s="35"/>
      <c r="V1150" s="35"/>
      <c r="W1150" s="35"/>
      <c r="X1150" s="35"/>
      <c r="Y1150" s="35"/>
      <c r="Z1150" s="35"/>
      <c r="AA1150" s="35"/>
      <c r="AB1150" s="35"/>
      <c r="AC1150" s="35"/>
      <c r="AD1150" s="35"/>
      <c r="AE1150" s="35"/>
    </row>
    <row r="1151">
      <c r="A1151" s="30">
        <v>46104.0</v>
      </c>
      <c r="B1151" s="35" t="s">
        <v>619</v>
      </c>
      <c r="C1151" s="35" t="s">
        <v>620</v>
      </c>
      <c r="D1151" s="35" t="s">
        <v>110</v>
      </c>
      <c r="E1151" s="35" t="s">
        <v>424</v>
      </c>
      <c r="F1151" s="40">
        <v>46113.0</v>
      </c>
      <c r="G1151" s="33"/>
      <c r="H1151" s="33"/>
      <c r="I1151" s="73" t="s">
        <v>4629</v>
      </c>
      <c r="J1151" s="33"/>
      <c r="K1151" s="35"/>
      <c r="L1151" s="35"/>
      <c r="M1151" s="35"/>
      <c r="N1151" s="35"/>
      <c r="O1151" s="35"/>
      <c r="P1151" s="35"/>
      <c r="Q1151" s="35"/>
      <c r="R1151" s="35"/>
      <c r="S1151" s="35"/>
      <c r="T1151" s="35"/>
      <c r="U1151" s="35"/>
      <c r="V1151" s="35"/>
      <c r="W1151" s="35"/>
      <c r="X1151" s="35"/>
      <c r="Y1151" s="35"/>
      <c r="Z1151" s="35"/>
      <c r="AA1151" s="35"/>
      <c r="AB1151" s="35"/>
      <c r="AC1151" s="35"/>
      <c r="AD1151" s="35"/>
      <c r="AE1151" s="35"/>
    </row>
    <row r="1152">
      <c r="A1152" s="30">
        <v>46104.0</v>
      </c>
      <c r="B1152" s="35" t="s">
        <v>524</v>
      </c>
      <c r="C1152" s="35" t="s">
        <v>525</v>
      </c>
      <c r="D1152" s="35" t="s">
        <v>122</v>
      </c>
      <c r="E1152" s="35" t="s">
        <v>143</v>
      </c>
      <c r="F1152" s="40">
        <v>46090.0</v>
      </c>
      <c r="G1152" s="33"/>
      <c r="H1152" s="33"/>
      <c r="I1152" s="33"/>
      <c r="J1152" s="33"/>
      <c r="K1152" s="35"/>
      <c r="L1152" s="35"/>
      <c r="M1152" s="35"/>
      <c r="N1152" s="35"/>
      <c r="O1152" s="35"/>
      <c r="P1152" s="35"/>
      <c r="Q1152" s="35"/>
      <c r="R1152" s="35"/>
      <c r="S1152" s="35"/>
      <c r="T1152" s="35"/>
      <c r="U1152" s="35"/>
      <c r="V1152" s="35"/>
      <c r="W1152" s="35"/>
      <c r="X1152" s="35"/>
      <c r="Y1152" s="35"/>
      <c r="Z1152" s="35"/>
      <c r="AA1152" s="35"/>
      <c r="AB1152" s="35"/>
      <c r="AC1152" s="35"/>
      <c r="AD1152" s="35"/>
      <c r="AE1152" s="35"/>
    </row>
    <row r="1153">
      <c r="A1153" s="30">
        <v>46105.0</v>
      </c>
      <c r="B1153" s="35" t="s">
        <v>622</v>
      </c>
      <c r="C1153" s="35" t="s">
        <v>623</v>
      </c>
      <c r="D1153" s="35" t="s">
        <v>198</v>
      </c>
      <c r="E1153" s="35" t="s">
        <v>624</v>
      </c>
      <c r="F1153" s="40">
        <v>46129.0</v>
      </c>
      <c r="G1153" s="33"/>
      <c r="H1153" s="73" t="s">
        <v>4630</v>
      </c>
      <c r="I1153" s="33"/>
      <c r="J1153" s="33"/>
      <c r="K1153" s="35"/>
      <c r="L1153" s="35"/>
      <c r="M1153" s="35"/>
      <c r="N1153" s="35"/>
      <c r="O1153" s="35"/>
      <c r="P1153" s="35"/>
      <c r="Q1153" s="35"/>
      <c r="R1153" s="35"/>
      <c r="S1153" s="35"/>
      <c r="T1153" s="35"/>
      <c r="U1153" s="35"/>
      <c r="V1153" s="35"/>
      <c r="W1153" s="35"/>
      <c r="X1153" s="35"/>
      <c r="Y1153" s="35"/>
      <c r="Z1153" s="35"/>
      <c r="AA1153" s="35"/>
      <c r="AB1153" s="35"/>
      <c r="AC1153" s="35"/>
      <c r="AD1153" s="35"/>
      <c r="AE1153" s="35"/>
    </row>
    <row r="1154">
      <c r="A1154" s="30">
        <v>46105.0</v>
      </c>
      <c r="B1154" s="35" t="s">
        <v>220</v>
      </c>
      <c r="C1154" s="35" t="s">
        <v>221</v>
      </c>
      <c r="D1154" s="35" t="s">
        <v>42</v>
      </c>
      <c r="E1154" s="35" t="s">
        <v>178</v>
      </c>
      <c r="F1154" s="40">
        <v>46113.0</v>
      </c>
      <c r="G1154" s="33"/>
      <c r="H1154" s="33"/>
      <c r="I1154" s="73" t="s">
        <v>4631</v>
      </c>
      <c r="J1154" s="33"/>
      <c r="K1154" s="35"/>
      <c r="L1154" s="35"/>
      <c r="M1154" s="35"/>
      <c r="N1154" s="35"/>
      <c r="O1154" s="35"/>
      <c r="P1154" s="35"/>
      <c r="Q1154" s="35"/>
      <c r="R1154" s="35"/>
      <c r="S1154" s="35"/>
      <c r="T1154" s="35"/>
      <c r="U1154" s="35"/>
      <c r="V1154" s="35"/>
      <c r="W1154" s="35"/>
      <c r="X1154" s="35"/>
      <c r="Y1154" s="35"/>
      <c r="Z1154" s="35"/>
      <c r="AA1154" s="35"/>
      <c r="AB1154" s="35"/>
      <c r="AC1154" s="35"/>
      <c r="AD1154" s="35"/>
      <c r="AE1154" s="35"/>
    </row>
    <row r="1155">
      <c r="A1155" s="30">
        <v>46105.0</v>
      </c>
      <c r="B1155" s="35" t="s">
        <v>627</v>
      </c>
      <c r="C1155" s="35" t="s">
        <v>628</v>
      </c>
      <c r="D1155" s="35" t="s">
        <v>128</v>
      </c>
      <c r="E1155" s="35" t="s">
        <v>168</v>
      </c>
      <c r="F1155" s="40">
        <v>46113.0</v>
      </c>
      <c r="G1155" s="33"/>
      <c r="H1155" s="33"/>
      <c r="I1155" s="73" t="s">
        <v>4632</v>
      </c>
      <c r="J1155" s="33"/>
      <c r="K1155" s="35"/>
      <c r="L1155" s="35"/>
      <c r="M1155" s="35"/>
      <c r="N1155" s="35"/>
      <c r="O1155" s="35"/>
      <c r="P1155" s="35"/>
      <c r="Q1155" s="35"/>
      <c r="R1155" s="35"/>
      <c r="S1155" s="35"/>
      <c r="T1155" s="35"/>
      <c r="U1155" s="35"/>
      <c r="V1155" s="35"/>
      <c r="W1155" s="35"/>
      <c r="X1155" s="35"/>
      <c r="Y1155" s="35"/>
      <c r="Z1155" s="35"/>
      <c r="AA1155" s="35"/>
      <c r="AB1155" s="35"/>
      <c r="AC1155" s="35"/>
      <c r="AD1155" s="35"/>
      <c r="AE1155" s="35"/>
    </row>
    <row r="1156">
      <c r="A1156" s="30"/>
      <c r="B1156" s="35" t="s">
        <v>631</v>
      </c>
      <c r="C1156" s="35" t="s">
        <v>632</v>
      </c>
      <c r="D1156" s="35" t="s">
        <v>633</v>
      </c>
      <c r="E1156" s="35" t="s">
        <v>319</v>
      </c>
      <c r="F1156" s="40">
        <v>46085.0</v>
      </c>
      <c r="G1156" s="33"/>
      <c r="H1156" s="33"/>
      <c r="I1156" s="33"/>
      <c r="J1156" s="33"/>
      <c r="K1156" s="35"/>
      <c r="L1156" s="35"/>
      <c r="M1156" s="35"/>
      <c r="N1156" s="35"/>
      <c r="O1156" s="35"/>
      <c r="P1156" s="35"/>
      <c r="Q1156" s="35"/>
      <c r="R1156" s="35"/>
      <c r="S1156" s="35"/>
      <c r="T1156" s="35"/>
      <c r="U1156" s="35"/>
      <c r="V1156" s="35"/>
      <c r="W1156" s="35"/>
      <c r="X1156" s="35"/>
      <c r="Y1156" s="35"/>
      <c r="Z1156" s="35"/>
      <c r="AA1156" s="35"/>
      <c r="AB1156" s="35"/>
      <c r="AC1156" s="35"/>
      <c r="AD1156" s="35"/>
      <c r="AE1156" s="35"/>
    </row>
    <row r="1157">
      <c r="A1157" s="30"/>
      <c r="B1157" s="35" t="s">
        <v>634</v>
      </c>
      <c r="C1157" s="35" t="s">
        <v>635</v>
      </c>
      <c r="D1157" s="35" t="s">
        <v>636</v>
      </c>
      <c r="E1157" s="35" t="s">
        <v>319</v>
      </c>
      <c r="F1157" s="40">
        <v>46084.0</v>
      </c>
      <c r="G1157" s="33"/>
      <c r="H1157" s="33"/>
      <c r="I1157" s="33"/>
      <c r="J1157" s="33"/>
      <c r="K1157" s="35"/>
      <c r="L1157" s="35"/>
      <c r="M1157" s="35"/>
      <c r="N1157" s="35"/>
      <c r="O1157" s="35"/>
      <c r="P1157" s="35"/>
      <c r="Q1157" s="35"/>
      <c r="R1157" s="35"/>
      <c r="S1157" s="35"/>
      <c r="T1157" s="35"/>
      <c r="U1157" s="35"/>
      <c r="V1157" s="35"/>
      <c r="W1157" s="35"/>
      <c r="X1157" s="35"/>
      <c r="Y1157" s="35"/>
      <c r="Z1157" s="35"/>
      <c r="AA1157" s="35"/>
      <c r="AB1157" s="35"/>
      <c r="AC1157" s="35"/>
      <c r="AD1157" s="35"/>
      <c r="AE1157" s="35"/>
    </row>
    <row r="1158">
      <c r="A1158" s="30"/>
      <c r="B1158" s="35" t="s">
        <v>637</v>
      </c>
      <c r="C1158" s="35" t="s">
        <v>638</v>
      </c>
      <c r="D1158" s="35" t="s">
        <v>110</v>
      </c>
      <c r="E1158" s="35" t="s">
        <v>419</v>
      </c>
      <c r="F1158" s="40">
        <v>46102.0</v>
      </c>
      <c r="G1158" s="33"/>
      <c r="H1158" s="33"/>
      <c r="I1158" s="33"/>
      <c r="J1158" s="33"/>
      <c r="K1158" s="35"/>
      <c r="L1158" s="35"/>
      <c r="M1158" s="35"/>
      <c r="N1158" s="35"/>
      <c r="O1158" s="35"/>
      <c r="P1158" s="35"/>
      <c r="Q1158" s="35"/>
      <c r="R1158" s="35"/>
      <c r="S1158" s="35"/>
      <c r="T1158" s="35"/>
      <c r="U1158" s="35"/>
      <c r="V1158" s="35"/>
      <c r="W1158" s="35"/>
      <c r="X1158" s="35"/>
      <c r="Y1158" s="35"/>
      <c r="Z1158" s="35"/>
      <c r="AA1158" s="35"/>
      <c r="AB1158" s="35"/>
      <c r="AC1158" s="35"/>
      <c r="AD1158" s="35"/>
      <c r="AE1158" s="35"/>
    </row>
    <row r="1159">
      <c r="A1159" s="30">
        <v>46106.0</v>
      </c>
      <c r="B1159" s="35" t="s">
        <v>641</v>
      </c>
      <c r="C1159" s="35" t="s">
        <v>642</v>
      </c>
      <c r="D1159" s="35" t="s">
        <v>128</v>
      </c>
      <c r="E1159" s="35" t="s">
        <v>404</v>
      </c>
      <c r="F1159" s="40">
        <v>46113.0</v>
      </c>
      <c r="G1159" s="33"/>
      <c r="H1159" s="33"/>
      <c r="I1159" s="73" t="s">
        <v>4633</v>
      </c>
      <c r="J1159" s="33"/>
      <c r="K1159" s="35"/>
      <c r="L1159" s="35"/>
      <c r="M1159" s="35"/>
      <c r="N1159" s="35"/>
      <c r="O1159" s="35"/>
      <c r="P1159" s="35"/>
      <c r="Q1159" s="35"/>
      <c r="R1159" s="35"/>
      <c r="S1159" s="35"/>
      <c r="T1159" s="35"/>
      <c r="U1159" s="35"/>
      <c r="V1159" s="35"/>
      <c r="W1159" s="35"/>
      <c r="X1159" s="35"/>
      <c r="Y1159" s="35"/>
      <c r="Z1159" s="35"/>
      <c r="AA1159" s="35"/>
      <c r="AB1159" s="35"/>
      <c r="AC1159" s="35"/>
      <c r="AD1159" s="35"/>
      <c r="AE1159" s="35"/>
    </row>
    <row r="1160">
      <c r="A1160" s="30">
        <v>46106.0</v>
      </c>
      <c r="B1160" s="35" t="s">
        <v>644</v>
      </c>
      <c r="C1160" s="35" t="s">
        <v>645</v>
      </c>
      <c r="D1160" s="35" t="s">
        <v>646</v>
      </c>
      <c r="E1160" s="35" t="s">
        <v>647</v>
      </c>
      <c r="F1160" s="40">
        <v>46138.0</v>
      </c>
      <c r="G1160" s="33"/>
      <c r="H1160" s="33"/>
      <c r="I1160" s="85" t="s">
        <v>4634</v>
      </c>
      <c r="J1160" s="33"/>
      <c r="K1160" s="35"/>
      <c r="L1160" s="35"/>
      <c r="M1160" s="35"/>
      <c r="N1160" s="35"/>
      <c r="O1160" s="35"/>
      <c r="P1160" s="35"/>
      <c r="Q1160" s="35"/>
      <c r="R1160" s="35"/>
      <c r="S1160" s="35"/>
      <c r="T1160" s="35"/>
      <c r="U1160" s="35"/>
      <c r="V1160" s="35"/>
      <c r="W1160" s="35"/>
      <c r="X1160" s="35"/>
      <c r="Y1160" s="35"/>
      <c r="Z1160" s="35"/>
      <c r="AA1160" s="35"/>
      <c r="AB1160" s="35"/>
      <c r="AC1160" s="35"/>
      <c r="AD1160" s="35"/>
      <c r="AE1160" s="35"/>
    </row>
    <row r="1161">
      <c r="A1161" s="30">
        <v>46107.0</v>
      </c>
      <c r="B1161" s="35" t="s">
        <v>650</v>
      </c>
      <c r="C1161" s="35" t="s">
        <v>651</v>
      </c>
      <c r="D1161" s="35" t="s">
        <v>122</v>
      </c>
      <c r="E1161" s="35" t="s">
        <v>259</v>
      </c>
      <c r="F1161" s="40">
        <v>46113.0</v>
      </c>
      <c r="G1161" s="33"/>
      <c r="H1161" s="33"/>
      <c r="I1161" s="73" t="s">
        <v>4635</v>
      </c>
      <c r="J1161" s="33"/>
      <c r="K1161" s="35"/>
      <c r="L1161" s="35"/>
      <c r="M1161" s="35"/>
      <c r="N1161" s="35"/>
      <c r="O1161" s="35"/>
      <c r="P1161" s="35"/>
      <c r="Q1161" s="35"/>
      <c r="R1161" s="35"/>
      <c r="S1161" s="35"/>
      <c r="T1161" s="35"/>
      <c r="U1161" s="35"/>
      <c r="V1161" s="35"/>
      <c r="W1161" s="35"/>
      <c r="X1161" s="35"/>
      <c r="Y1161" s="35"/>
      <c r="Z1161" s="35"/>
      <c r="AA1161" s="35"/>
      <c r="AB1161" s="35"/>
      <c r="AC1161" s="35"/>
      <c r="AD1161" s="35"/>
      <c r="AE1161" s="35"/>
    </row>
    <row r="1162">
      <c r="A1162" s="30">
        <v>46112.0</v>
      </c>
      <c r="B1162" s="35" t="s">
        <v>653</v>
      </c>
      <c r="C1162" s="35" t="s">
        <v>654</v>
      </c>
      <c r="D1162" s="35" t="s">
        <v>655</v>
      </c>
      <c r="E1162" s="35" t="s">
        <v>656</v>
      </c>
      <c r="F1162" s="40">
        <v>46113.0</v>
      </c>
      <c r="G1162" s="33"/>
      <c r="H1162" s="88" t="s">
        <v>4636</v>
      </c>
      <c r="I1162" s="33"/>
      <c r="J1162" s="33"/>
      <c r="K1162" s="35"/>
      <c r="L1162" s="35"/>
      <c r="M1162" s="35"/>
      <c r="N1162" s="35"/>
      <c r="O1162" s="35"/>
      <c r="P1162" s="35"/>
      <c r="Q1162" s="35"/>
      <c r="R1162" s="35"/>
      <c r="S1162" s="35"/>
      <c r="T1162" s="35"/>
      <c r="U1162" s="35"/>
      <c r="V1162" s="35"/>
      <c r="W1162" s="35"/>
      <c r="X1162" s="35"/>
      <c r="Y1162" s="35"/>
      <c r="Z1162" s="35"/>
      <c r="AA1162" s="35"/>
      <c r="AB1162" s="35"/>
      <c r="AC1162" s="35"/>
      <c r="AD1162" s="35"/>
      <c r="AE1162" s="35"/>
    </row>
    <row r="1163">
      <c r="A1163" s="30">
        <v>46112.0</v>
      </c>
      <c r="B1163" s="35" t="s">
        <v>658</v>
      </c>
      <c r="C1163" s="35" t="s">
        <v>659</v>
      </c>
      <c r="D1163" s="35" t="s">
        <v>660</v>
      </c>
      <c r="E1163" s="35" t="s">
        <v>357</v>
      </c>
      <c r="F1163" s="40">
        <v>46137.0</v>
      </c>
      <c r="G1163" s="33"/>
      <c r="H1163" s="73" t="s">
        <v>4637</v>
      </c>
      <c r="I1163" s="33"/>
      <c r="J1163" s="33"/>
      <c r="K1163" s="35"/>
      <c r="L1163" s="35"/>
      <c r="M1163" s="35"/>
      <c r="N1163" s="35"/>
      <c r="O1163" s="35"/>
      <c r="P1163" s="35"/>
      <c r="Q1163" s="35"/>
      <c r="R1163" s="35"/>
      <c r="S1163" s="35"/>
      <c r="T1163" s="35"/>
      <c r="U1163" s="35"/>
      <c r="V1163" s="35"/>
      <c r="W1163" s="35"/>
      <c r="X1163" s="35"/>
      <c r="Y1163" s="35"/>
      <c r="Z1163" s="35"/>
      <c r="AA1163" s="35"/>
      <c r="AB1163" s="35"/>
      <c r="AC1163" s="35"/>
      <c r="AD1163" s="35"/>
      <c r="AE1163" s="35"/>
    </row>
    <row r="1164">
      <c r="A1164" s="30">
        <v>46112.0</v>
      </c>
      <c r="B1164" s="35" t="s">
        <v>662</v>
      </c>
      <c r="C1164" s="35" t="s">
        <v>663</v>
      </c>
      <c r="D1164" s="35" t="s">
        <v>664</v>
      </c>
      <c r="E1164" s="35" t="s">
        <v>410</v>
      </c>
      <c r="F1164" s="40">
        <v>46123.0</v>
      </c>
      <c r="G1164" s="33"/>
      <c r="H1164" s="73" t="s">
        <v>4638</v>
      </c>
      <c r="I1164" s="33"/>
      <c r="J1164" s="33"/>
      <c r="K1164" s="35"/>
      <c r="L1164" s="35"/>
      <c r="M1164" s="35"/>
      <c r="N1164" s="35"/>
      <c r="O1164" s="35"/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5"/>
      <c r="AA1164" s="35"/>
      <c r="AB1164" s="35"/>
      <c r="AC1164" s="35"/>
      <c r="AD1164" s="35"/>
      <c r="AE1164" s="35"/>
    </row>
    <row r="1165">
      <c r="A1165" s="30">
        <v>46112.0</v>
      </c>
      <c r="B1165" s="35" t="s">
        <v>666</v>
      </c>
      <c r="C1165" s="35" t="s">
        <v>667</v>
      </c>
      <c r="D1165" s="35" t="s">
        <v>122</v>
      </c>
      <c r="E1165" s="35" t="s">
        <v>668</v>
      </c>
      <c r="F1165" s="40">
        <v>46113.0</v>
      </c>
      <c r="G1165" s="33"/>
      <c r="H1165" s="33"/>
      <c r="I1165" s="33"/>
      <c r="J1165" s="33"/>
      <c r="K1165" s="35"/>
      <c r="L1165" s="35"/>
      <c r="M1165" s="35"/>
      <c r="N1165" s="35"/>
      <c r="O1165" s="35"/>
      <c r="P1165" s="35"/>
      <c r="Q1165" s="35"/>
      <c r="R1165" s="35"/>
      <c r="S1165" s="35"/>
      <c r="T1165" s="35"/>
      <c r="U1165" s="35"/>
      <c r="V1165" s="35"/>
      <c r="W1165" s="35"/>
      <c r="X1165" s="35"/>
      <c r="Y1165" s="35"/>
      <c r="Z1165" s="35"/>
      <c r="AA1165" s="35"/>
      <c r="AB1165" s="35"/>
      <c r="AC1165" s="35"/>
      <c r="AD1165" s="35"/>
      <c r="AE1165" s="35"/>
    </row>
    <row r="1166">
      <c r="A1166" s="30">
        <v>46112.0</v>
      </c>
      <c r="B1166" s="35" t="s">
        <v>670</v>
      </c>
      <c r="C1166" s="35" t="s">
        <v>671</v>
      </c>
      <c r="D1166" s="35" t="s">
        <v>672</v>
      </c>
      <c r="E1166" s="35" t="s">
        <v>673</v>
      </c>
      <c r="F1166" s="40">
        <v>46143.0</v>
      </c>
      <c r="G1166" s="33"/>
      <c r="H1166" s="73" t="s">
        <v>4639</v>
      </c>
      <c r="I1166" s="33"/>
      <c r="J1166" s="33"/>
      <c r="K1166" s="35"/>
      <c r="L1166" s="35"/>
      <c r="M1166" s="35"/>
      <c r="N1166" s="35"/>
      <c r="O1166" s="35"/>
      <c r="P1166" s="35"/>
      <c r="Q1166" s="35"/>
      <c r="R1166" s="35"/>
      <c r="S1166" s="35"/>
      <c r="T1166" s="35"/>
      <c r="U1166" s="35"/>
      <c r="V1166" s="35"/>
      <c r="W1166" s="35"/>
      <c r="X1166" s="35"/>
      <c r="Y1166" s="35"/>
      <c r="Z1166" s="35"/>
      <c r="AA1166" s="35"/>
      <c r="AB1166" s="35"/>
      <c r="AC1166" s="35"/>
      <c r="AD1166" s="35"/>
      <c r="AE1166" s="35"/>
    </row>
    <row r="1167">
      <c r="A1167" s="30">
        <v>46112.0</v>
      </c>
      <c r="B1167" s="35" t="s">
        <v>675</v>
      </c>
      <c r="C1167" s="35" t="s">
        <v>676</v>
      </c>
      <c r="D1167" s="35" t="s">
        <v>677</v>
      </c>
      <c r="E1167" s="35" t="s">
        <v>678</v>
      </c>
      <c r="F1167" s="40">
        <v>46143.0</v>
      </c>
      <c r="G1167" s="33"/>
      <c r="H1167" s="73" t="s">
        <v>4640</v>
      </c>
      <c r="I1167" s="33"/>
      <c r="J1167" s="33"/>
      <c r="K1167" s="35"/>
      <c r="L1167" s="35"/>
      <c r="M1167" s="35"/>
      <c r="N1167" s="35"/>
      <c r="O1167" s="35"/>
      <c r="P1167" s="35"/>
      <c r="Q1167" s="35"/>
      <c r="R1167" s="35"/>
      <c r="S1167" s="35"/>
      <c r="T1167" s="35"/>
      <c r="U1167" s="35"/>
      <c r="V1167" s="35"/>
      <c r="W1167" s="35"/>
      <c r="X1167" s="35"/>
      <c r="Y1167" s="35"/>
      <c r="Z1167" s="35"/>
      <c r="AA1167" s="35"/>
      <c r="AB1167" s="35"/>
      <c r="AC1167" s="35"/>
      <c r="AD1167" s="35"/>
      <c r="AE1167" s="35"/>
    </row>
    <row r="1168">
      <c r="A1168" s="30">
        <v>46112.0</v>
      </c>
      <c r="B1168" s="35" t="s">
        <v>680</v>
      </c>
      <c r="C1168" s="35" t="s">
        <v>681</v>
      </c>
      <c r="D1168" s="35" t="s">
        <v>682</v>
      </c>
      <c r="E1168" s="35" t="s">
        <v>381</v>
      </c>
      <c r="F1168" s="40">
        <v>46143.0</v>
      </c>
      <c r="G1168" s="33"/>
      <c r="H1168" s="88" t="s">
        <v>4641</v>
      </c>
      <c r="I1168" s="33"/>
      <c r="J1168" s="33"/>
      <c r="K1168" s="35"/>
      <c r="L1168" s="35"/>
      <c r="M1168" s="35"/>
      <c r="N1168" s="35"/>
      <c r="O1168" s="35"/>
      <c r="P1168" s="35"/>
      <c r="Q1168" s="35"/>
      <c r="R1168" s="35"/>
      <c r="S1168" s="35"/>
      <c r="T1168" s="35"/>
      <c r="U1168" s="35"/>
      <c r="V1168" s="35"/>
      <c r="W1168" s="35"/>
      <c r="X1168" s="35"/>
      <c r="Y1168" s="35"/>
      <c r="Z1168" s="35"/>
      <c r="AA1168" s="35"/>
      <c r="AB1168" s="35"/>
      <c r="AC1168" s="35"/>
      <c r="AD1168" s="35"/>
      <c r="AE1168" s="35"/>
    </row>
    <row r="1169">
      <c r="A1169" s="30">
        <v>46113.0</v>
      </c>
      <c r="B1169" s="35" t="str">
        <f>'รายชื่อพนักงานลาออกพ้นสภาพ'!B151</f>
        <v>BK670059</v>
      </c>
      <c r="C1169" s="35" t="str">
        <f>'รายชื่อพนักงานลาออกพ้นสภาพ'!C151</f>
        <v>น.ส.ลัทธิษา กระต่ายน้อย </v>
      </c>
      <c r="D1169" s="35" t="str">
        <f>'รายชื่อพนักงานลาออกพ้นสภาพ'!D151</f>
        <v>5101 ผู้ช่วยหัวหน้าแผนก</v>
      </c>
      <c r="E1169" s="35" t="str">
        <f>'รายชื่อพนักงานลาออกพ้นสภาพ'!E151</f>
        <v>แผนกบัญชีจ่ายผู้รับเหมาร้านค้า</v>
      </c>
      <c r="F1169" s="40">
        <f>'รายชื่อพนักงานลาออกพ้นสภาพ'!H151</f>
        <v>46143</v>
      </c>
      <c r="G1169" s="33"/>
      <c r="H1169" s="88" t="s">
        <v>4642</v>
      </c>
      <c r="I1169" s="33"/>
      <c r="J1169" s="33"/>
      <c r="K1169" s="35"/>
      <c r="L1169" s="35"/>
      <c r="M1169" s="35"/>
      <c r="N1169" s="35"/>
      <c r="O1169" s="35"/>
      <c r="P1169" s="35"/>
      <c r="Q1169" s="35"/>
      <c r="R1169" s="35"/>
      <c r="S1169" s="35"/>
      <c r="T1169" s="35"/>
      <c r="U1169" s="35"/>
      <c r="V1169" s="35"/>
      <c r="W1169" s="35"/>
      <c r="X1169" s="35"/>
      <c r="Y1169" s="35"/>
      <c r="Z1169" s="35"/>
      <c r="AA1169" s="35"/>
      <c r="AB1169" s="35"/>
      <c r="AC1169" s="35"/>
      <c r="AD1169" s="35"/>
      <c r="AE1169" s="35"/>
    </row>
    <row r="1170">
      <c r="A1170" s="30">
        <v>46113.0</v>
      </c>
      <c r="B1170" s="35" t="str">
        <f>'รายชื่อพนักงานลาออกพ้นสภาพ'!B152</f>
        <v>BK650161</v>
      </c>
      <c r="C1170" s="35" t="str">
        <f>'รายชื่อพนักงานลาออกพ้นสภาพ'!C152</f>
        <v>น.ส.กนกวรรณ คล้ายทิม </v>
      </c>
      <c r="D1170" s="35" t="str">
        <f>'รายชื่อพนักงานลาออกพ้นสภาพ'!D152</f>
        <v>5101 ผู้ช่วยหัวหน้าแผนก</v>
      </c>
      <c r="E1170" s="35" t="str">
        <f>'รายชื่อพนักงานลาออกพ้นสภาพ'!E152</f>
        <v>แผนกพัฒนาโครงการแนวสูง</v>
      </c>
      <c r="F1170" s="40">
        <f>'รายชื่อพนักงานลาออกพ้นสภาพ'!H152</f>
        <v>46123</v>
      </c>
      <c r="G1170" s="33"/>
      <c r="H1170" s="88" t="s">
        <v>4643</v>
      </c>
      <c r="I1170" s="33"/>
      <c r="J1170" s="33"/>
      <c r="K1170" s="35"/>
      <c r="L1170" s="35"/>
      <c r="M1170" s="35"/>
      <c r="N1170" s="35"/>
      <c r="O1170" s="35"/>
      <c r="P1170" s="35"/>
      <c r="Q1170" s="35"/>
      <c r="R1170" s="35"/>
      <c r="S1170" s="35"/>
      <c r="T1170" s="35"/>
      <c r="U1170" s="35"/>
      <c r="V1170" s="35"/>
      <c r="W1170" s="35"/>
      <c r="X1170" s="35"/>
      <c r="Y1170" s="35"/>
      <c r="Z1170" s="35"/>
      <c r="AA1170" s="35"/>
      <c r="AB1170" s="35"/>
      <c r="AC1170" s="35"/>
      <c r="AD1170" s="35"/>
      <c r="AE1170" s="35"/>
    </row>
    <row r="1171">
      <c r="A1171" s="30">
        <v>46113.0</v>
      </c>
      <c r="B1171" s="35" t="str">
        <f>'รายชื่อพนักงานลาออกพ้นสภาพ'!B153</f>
        <v>BK680341</v>
      </c>
      <c r="C1171" s="35" t="str">
        <f>'รายชื่อพนักงานลาออกพ้นสภาพ'!C153</f>
        <v>นายจิรโรจน์ ศุภลักษณ์</v>
      </c>
      <c r="D1171" s="35" t="str">
        <f>'รายชื่อพนักงานลาออกพ้นสภาพ'!D153</f>
        <v>7501 โฟร์แมนควบคุมงาน</v>
      </c>
      <c r="E1171" s="35" t="str">
        <f>'รายชื่อพนักงานลาออกพ้นสภาพ'!E153</f>
        <v>เฟล็กซี่ รัตนาธิเบศร์</v>
      </c>
      <c r="F1171" s="40">
        <f>'รายชื่อพนักงานลาออกพ้นสภาพ'!H153</f>
        <v>46143</v>
      </c>
      <c r="G1171" s="33"/>
      <c r="H1171" s="88" t="s">
        <v>4644</v>
      </c>
      <c r="I1171" s="33"/>
      <c r="J1171" s="33"/>
      <c r="K1171" s="35"/>
      <c r="L1171" s="35"/>
      <c r="M1171" s="35"/>
      <c r="N1171" s="35"/>
      <c r="O1171" s="35"/>
      <c r="P1171" s="35"/>
      <c r="Q1171" s="35"/>
      <c r="R1171" s="35"/>
      <c r="S1171" s="35"/>
      <c r="T1171" s="35"/>
      <c r="U1171" s="35"/>
      <c r="V1171" s="35"/>
      <c r="W1171" s="35"/>
      <c r="X1171" s="35"/>
      <c r="Y1171" s="35"/>
      <c r="Z1171" s="35"/>
      <c r="AA1171" s="35"/>
      <c r="AB1171" s="35"/>
      <c r="AC1171" s="35"/>
      <c r="AD1171" s="35"/>
      <c r="AE1171" s="35"/>
    </row>
    <row r="1172">
      <c r="A1172" s="30">
        <v>46113.0</v>
      </c>
      <c r="B1172" s="35" t="str">
        <f>'รายชื่อพนักงานลาออกพ้นสภาพ'!B154</f>
        <v>BK680576</v>
      </c>
      <c r="C1172" s="35" t="str">
        <f>'รายชื่อพนักงานลาออกพ้นสภาพ'!C154</f>
        <v>น.ส.อภิรดี พิศแลงาม </v>
      </c>
      <c r="D1172" s="35" t="str">
        <f>'รายชื่อพนักงานลาออกพ้นสภาพ'!D154</f>
        <v>25 ผู้ช่วยผู้อำนวยการ</v>
      </c>
      <c r="E1172" s="35" t="str">
        <f>'รายชื่อพนักงานลาออกพ้นสภาพ'!E154</f>
        <v>สายงานบริหารการขาย และการตลาดคอนโด 1</v>
      </c>
      <c r="F1172" s="40">
        <f>'รายชื่อพนักงานลาออกพ้นสภาพ'!H154</f>
        <v>46143</v>
      </c>
      <c r="G1172" s="33"/>
      <c r="H1172" s="88" t="s">
        <v>4645</v>
      </c>
      <c r="I1172" s="33"/>
      <c r="J1172" s="33"/>
      <c r="K1172" s="35"/>
      <c r="L1172" s="35"/>
      <c r="M1172" s="35"/>
      <c r="N1172" s="35"/>
      <c r="O1172" s="35"/>
      <c r="P1172" s="35"/>
      <c r="Q1172" s="35"/>
      <c r="R1172" s="35"/>
      <c r="S1172" s="35"/>
      <c r="T1172" s="35"/>
      <c r="U1172" s="35"/>
      <c r="V1172" s="35"/>
      <c r="W1172" s="35"/>
      <c r="X1172" s="35"/>
      <c r="Y1172" s="35"/>
      <c r="Z1172" s="35"/>
      <c r="AA1172" s="35"/>
      <c r="AB1172" s="35"/>
      <c r="AC1172" s="35"/>
      <c r="AD1172" s="35"/>
      <c r="AE1172" s="35"/>
    </row>
    <row r="1173">
      <c r="A1173" s="30">
        <v>46113.0</v>
      </c>
      <c r="B1173" s="35" t="str">
        <f>'รายชื่อพนักงานลาออกพ้นสภาพ'!B155</f>
        <v>BK680310</v>
      </c>
      <c r="C1173" s="35" t="str">
        <f>'รายชื่อพนักงานลาออกพ้นสภาพ'!C155</f>
        <v>น.ส.พัฒน์สุตา ช่วงนิษฐ์ใสธร </v>
      </c>
      <c r="D1173" s="35" t="str">
        <f>'รายชื่อพนักงานลาออกพ้นสภาพ'!D155</f>
        <v>4501 วิศวกรโครงการ</v>
      </c>
      <c r="E1173" s="35" t="str">
        <f>'รายชื่อพนักงานลาออกพ้นสภาพ'!E155</f>
        <v>นิช โมโน รามคำแหง</v>
      </c>
      <c r="F1173" s="40">
        <f>'รายชื่อพนักงานลาออกพ้นสภาพ'!H155</f>
        <v>46143</v>
      </c>
      <c r="G1173" s="33"/>
      <c r="H1173" s="88" t="s">
        <v>4646</v>
      </c>
      <c r="I1173" s="33"/>
      <c r="J1173" s="33"/>
      <c r="K1173" s="35"/>
      <c r="L1173" s="35"/>
      <c r="M1173" s="35"/>
      <c r="N1173" s="35"/>
      <c r="O1173" s="35"/>
      <c r="P1173" s="35"/>
      <c r="Q1173" s="35"/>
      <c r="R1173" s="35"/>
      <c r="S1173" s="35"/>
      <c r="T1173" s="35"/>
      <c r="U1173" s="35"/>
      <c r="V1173" s="35"/>
      <c r="W1173" s="35"/>
      <c r="X1173" s="35"/>
      <c r="Y1173" s="35"/>
      <c r="Z1173" s="35"/>
      <c r="AA1173" s="35"/>
      <c r="AB1173" s="35"/>
      <c r="AC1173" s="35"/>
      <c r="AD1173" s="35"/>
      <c r="AE1173" s="35"/>
    </row>
    <row r="1174">
      <c r="A1174" s="30">
        <v>46113.0</v>
      </c>
      <c r="B1174" s="35" t="str">
        <f>'รายชื่อพนักงานลาออกพ้นสภาพ'!B156</f>
        <v>VMS680079</v>
      </c>
      <c r="C1174" s="35" t="str">
        <f>'รายชื่อพนักงานลาออกพ้นสภาพ'!C156</f>
        <v>นางสาวอิสปรียา  ดุลยเวสาสุข</v>
      </c>
      <c r="D1174" s="35" t="str">
        <f>'รายชื่อพนักงานลาออกพ้นสภาพ'!D156</f>
        <v>7756 เจ้าหน้าที่บัญชีทั่วไป</v>
      </c>
      <c r="E1174" s="35" t="str">
        <f>'รายชื่อพนักงานลาออกพ้นสภาพ'!E156</f>
        <v>แผนกบัญชีและการเงิน</v>
      </c>
      <c r="F1174" s="40">
        <f>'รายชื่อพนักงานลาออกพ้นสภาพ'!H156</f>
        <v>46156</v>
      </c>
      <c r="G1174" s="33"/>
      <c r="H1174" s="33"/>
      <c r="I1174" s="73" t="s">
        <v>4647</v>
      </c>
      <c r="J1174" s="33"/>
      <c r="K1174" s="35"/>
      <c r="L1174" s="35"/>
      <c r="M1174" s="35"/>
      <c r="N1174" s="35"/>
      <c r="O1174" s="35"/>
      <c r="P1174" s="35"/>
      <c r="Q1174" s="35"/>
      <c r="R1174" s="35"/>
      <c r="S1174" s="35"/>
      <c r="T1174" s="35"/>
      <c r="U1174" s="35"/>
      <c r="V1174" s="35"/>
      <c r="W1174" s="35"/>
      <c r="X1174" s="35"/>
      <c r="Y1174" s="35"/>
      <c r="Z1174" s="35"/>
      <c r="AA1174" s="35"/>
      <c r="AB1174" s="35"/>
      <c r="AC1174" s="35"/>
      <c r="AD1174" s="35"/>
      <c r="AE1174" s="35"/>
    </row>
    <row r="1175">
      <c r="A1175" s="30">
        <v>46114.0</v>
      </c>
      <c r="B1175" s="35" t="str">
        <f>'รายชื่อพนักงานลาออกพ้นสภาพ'!B157</f>
        <v>BK680463</v>
      </c>
      <c r="C1175" s="35" t="str">
        <f>'รายชื่อพนักงานลาออกพ้นสภาพ'!C157</f>
        <v>นายชญกฤศ อาจะสมิต</v>
      </c>
      <c r="D1175" s="35" t="str">
        <f>'รายชื่อพนักงานลาออกพ้นสภาพ'!D157</f>
        <v>32 ผู้จัดการโครงการอาวุโส</v>
      </c>
      <c r="E1175" s="35" t="str">
        <f>'รายชื่อพนักงานลาออกพ้นสภาพ'!E157</f>
        <v>ฝ่ายบริหารโครงการคอนโด 12F</v>
      </c>
      <c r="F1175" s="40">
        <f>'รายชื่อพนักงานลาออกพ้นสภาพ'!H157</f>
        <v>46158</v>
      </c>
      <c r="G1175" s="33"/>
      <c r="H1175" s="88" t="s">
        <v>4648</v>
      </c>
      <c r="I1175" s="33"/>
      <c r="J1175" s="33"/>
      <c r="K1175" s="35"/>
      <c r="L1175" s="35"/>
      <c r="M1175" s="35"/>
      <c r="N1175" s="35"/>
      <c r="O1175" s="35"/>
      <c r="P1175" s="35"/>
      <c r="Q1175" s="35"/>
      <c r="R1175" s="35"/>
      <c r="S1175" s="35"/>
      <c r="T1175" s="35"/>
      <c r="U1175" s="35"/>
      <c r="V1175" s="35"/>
      <c r="W1175" s="35"/>
      <c r="X1175" s="35"/>
      <c r="Y1175" s="35"/>
      <c r="Z1175" s="35"/>
      <c r="AA1175" s="35"/>
      <c r="AB1175" s="35"/>
      <c r="AC1175" s="35"/>
      <c r="AD1175" s="35"/>
      <c r="AE1175" s="35"/>
    </row>
    <row r="1176">
      <c r="A1176" s="30"/>
      <c r="B1176" s="35" t="str">
        <f>'รายชื่อพนักงานลาออกพ้นสภาพ'!B158</f>
        <v>VMS690068</v>
      </c>
      <c r="C1176" s="35" t="str">
        <f>'รายชื่อพนักงานลาออกพ้นสภาพ'!C158</f>
        <v>นายซัรฮาน   ปิเต๊ะ</v>
      </c>
      <c r="D1176" s="35" t="str">
        <f>'รายชื่อพนักงานลาออกพ้นสภาพ'!D158</f>
        <v>8855 ช่างประจำอาคาร</v>
      </c>
      <c r="E1176" s="35" t="str">
        <f>'รายชื่อพนักงานลาออกพ้นสภาพ'!E158</f>
        <v>แผนกอาคารชุด โชคชัยร่วมมิตร คอนโด</v>
      </c>
      <c r="F1176" s="40">
        <f>'รายชื่อพนักงานลาออกพ้นสภาพ'!H158</f>
        <v>46113</v>
      </c>
      <c r="G1176" s="33"/>
      <c r="H1176" s="33"/>
      <c r="I1176" s="33"/>
      <c r="J1176" s="33"/>
      <c r="K1176" s="35"/>
      <c r="L1176" s="35"/>
      <c r="M1176" s="35"/>
      <c r="N1176" s="35"/>
      <c r="O1176" s="35"/>
      <c r="P1176" s="35"/>
      <c r="Q1176" s="35"/>
      <c r="R1176" s="35"/>
      <c r="S1176" s="35"/>
      <c r="T1176" s="35"/>
      <c r="U1176" s="35"/>
      <c r="V1176" s="35"/>
      <c r="W1176" s="35"/>
      <c r="X1176" s="35"/>
      <c r="Y1176" s="35"/>
      <c r="Z1176" s="35"/>
      <c r="AA1176" s="35"/>
      <c r="AB1176" s="35"/>
      <c r="AC1176" s="35"/>
      <c r="AD1176" s="35"/>
      <c r="AE1176" s="35"/>
    </row>
    <row r="1177">
      <c r="A1177" s="30"/>
      <c r="B1177" s="35" t="str">
        <f>'รายชื่อพนักงานลาออกพ้นสภาพ'!B159</f>
        <v>VMS690032</v>
      </c>
      <c r="C1177" s="35" t="str">
        <f>'รายชื่อพนักงานลาออกพ้นสภาพ'!C159</f>
        <v>นายธนัญชัย  อินโองการ</v>
      </c>
      <c r="D1177" s="35" t="str">
        <f>'รายชื่อพนักงานลาออกพ้นสภาพ'!D159</f>
        <v>5859 ผู้จัดการอาคาร</v>
      </c>
      <c r="E1177" s="35" t="str">
        <f>'รายชื่อพนักงานลาออกพ้นสภาพ'!E159</f>
        <v>แผนกอาคารชุด ศุภาลัย มอนเต้ 2</v>
      </c>
      <c r="F1177" s="40">
        <f>'รายชื่อพนักงานลาออกพ้นสภาพ'!H159</f>
        <v>46113</v>
      </c>
      <c r="G1177" s="33"/>
      <c r="H1177" s="33"/>
      <c r="I1177" s="33"/>
      <c r="J1177" s="33"/>
      <c r="K1177" s="35"/>
      <c r="L1177" s="35"/>
      <c r="M1177" s="35"/>
      <c r="N1177" s="35"/>
      <c r="O1177" s="35"/>
      <c r="P1177" s="35"/>
      <c r="Q1177" s="35"/>
      <c r="R1177" s="35"/>
      <c r="S1177" s="35"/>
      <c r="T1177" s="35"/>
      <c r="U1177" s="35"/>
      <c r="V1177" s="35"/>
      <c r="W1177" s="35"/>
      <c r="X1177" s="35"/>
      <c r="Y1177" s="35"/>
      <c r="Z1177" s="35"/>
      <c r="AA1177" s="35"/>
      <c r="AB1177" s="35"/>
      <c r="AC1177" s="35"/>
      <c r="AD1177" s="35"/>
      <c r="AE1177" s="35"/>
    </row>
    <row r="1178">
      <c r="A1178" s="30">
        <v>46114.0</v>
      </c>
      <c r="B1178" s="35" t="str">
        <f>'รายชื่อพนักงานลาออกพ้นสภาพ'!B160</f>
        <v>VMS670391</v>
      </c>
      <c r="C1178" s="35" t="str">
        <f>'รายชื่อพนักงานลาออกพ้นสภาพ'!C160</f>
        <v>นางสาวมณลิชา  สามวัง</v>
      </c>
      <c r="D1178" s="35" t="str">
        <f>'รายชื่อพนักงานลาออกพ้นสภาพ'!D160</f>
        <v>5859 ผู้จัดการอาคาร</v>
      </c>
      <c r="E1178" s="35" t="str">
        <f>'รายชื่อพนักงานลาออกพ้นสภาพ'!E160</f>
        <v>แผนกอาคารชุด นิช โมโน อิสรภาพ</v>
      </c>
      <c r="F1178" s="40">
        <f>'รายชื่อพนักงานลาออกพ้นสภาพ'!H160</f>
        <v>46143</v>
      </c>
      <c r="G1178" s="33"/>
      <c r="H1178" s="33"/>
      <c r="I1178" s="73" t="s">
        <v>4649</v>
      </c>
      <c r="J1178" s="33"/>
      <c r="K1178" s="35"/>
      <c r="L1178" s="35"/>
      <c r="M1178" s="35"/>
      <c r="N1178" s="35"/>
      <c r="O1178" s="35"/>
      <c r="P1178" s="35"/>
      <c r="Q1178" s="35"/>
      <c r="R1178" s="35"/>
      <c r="S1178" s="35"/>
      <c r="T1178" s="35"/>
      <c r="U1178" s="35"/>
      <c r="V1178" s="35"/>
      <c r="W1178" s="35"/>
      <c r="X1178" s="35"/>
      <c r="Y1178" s="35"/>
      <c r="Z1178" s="35"/>
      <c r="AA1178" s="35"/>
      <c r="AB1178" s="35"/>
      <c r="AC1178" s="35"/>
      <c r="AD1178" s="35"/>
      <c r="AE1178" s="35"/>
    </row>
    <row r="1179">
      <c r="A1179" s="30">
        <v>46114.0</v>
      </c>
      <c r="B1179" s="35" t="str">
        <f>'รายชื่อพนักงานลาออกพ้นสภาพ'!B161</f>
        <v>VMS670335</v>
      </c>
      <c r="C1179" s="35" t="str">
        <f>'รายชื่อพนักงานลาออกพ้นสภาพ'!C161</f>
        <v>นายพิษณุ  นิลมณี</v>
      </c>
      <c r="D1179" s="35" t="str">
        <f>'รายชื่อพนักงานลาออกพ้นสภาพ'!D161</f>
        <v>5859 ผู้จัดการอาคาร</v>
      </c>
      <c r="E1179" s="35" t="str">
        <f>'รายชื่อพนักงานลาออกพ้นสภาพ'!E161</f>
        <v>แผนกอาคารชุด ดิ เอช เอกมัย</v>
      </c>
      <c r="F1179" s="40">
        <f>'รายชื่อพนักงานลาออกพ้นสภาพ'!H161</f>
        <v>46135</v>
      </c>
      <c r="G1179" s="33"/>
      <c r="H1179" s="33"/>
      <c r="I1179" s="73" t="s">
        <v>4650</v>
      </c>
      <c r="J1179" s="33"/>
      <c r="K1179" s="35"/>
      <c r="L1179" s="35"/>
      <c r="M1179" s="35"/>
      <c r="N1179" s="35"/>
      <c r="O1179" s="35"/>
      <c r="P1179" s="35"/>
      <c r="Q1179" s="35"/>
      <c r="R1179" s="35"/>
      <c r="S1179" s="35"/>
      <c r="T1179" s="35"/>
      <c r="U1179" s="35"/>
      <c r="V1179" s="35"/>
      <c r="W1179" s="35"/>
      <c r="X1179" s="35"/>
      <c r="Y1179" s="35"/>
      <c r="Z1179" s="35"/>
      <c r="AA1179" s="35"/>
      <c r="AB1179" s="35"/>
      <c r="AC1179" s="35"/>
      <c r="AD1179" s="35"/>
      <c r="AE1179" s="35"/>
    </row>
    <row r="1180">
      <c r="A1180" s="30">
        <v>46114.0</v>
      </c>
      <c r="B1180" s="35" t="str">
        <f>'รายชื่อพนักงานลาออกพ้นสภาพ'!B162</f>
        <v>VMS670109</v>
      </c>
      <c r="C1180" s="35" t="str">
        <f>'รายชื่อพนักงานลาออกพ้นสภาพ'!C162</f>
        <v>นางสาววรรณวรางค์  สว่างเนตร</v>
      </c>
      <c r="D1180" s="35" t="str">
        <f>'รายชื่อพนักงานลาออกพ้นสภาพ'!D162</f>
        <v>7657 เจ้าหน้าที่ธุรการ</v>
      </c>
      <c r="E1180" s="35" t="str">
        <f>'รายชื่อพนักงานลาออกพ้นสภาพ'!E162</f>
        <v>แผนกอาคารชุด เลทีเซีย</v>
      </c>
      <c r="F1180" s="40">
        <f>'รายชื่อพนักงานลาออกพ้นสภาพ'!H162</f>
        <v>46147</v>
      </c>
      <c r="G1180" s="33"/>
      <c r="H1180" s="33"/>
      <c r="I1180" s="73" t="s">
        <v>4651</v>
      </c>
      <c r="J1180" s="33"/>
      <c r="K1180" s="35"/>
      <c r="L1180" s="35"/>
      <c r="M1180" s="35"/>
      <c r="N1180" s="35"/>
      <c r="O1180" s="35"/>
      <c r="P1180" s="35"/>
      <c r="Q1180" s="35"/>
      <c r="R1180" s="35"/>
      <c r="S1180" s="35"/>
      <c r="T1180" s="35"/>
      <c r="U1180" s="35"/>
      <c r="V1180" s="35"/>
      <c r="W1180" s="35"/>
      <c r="X1180" s="35"/>
      <c r="Y1180" s="35"/>
      <c r="Z1180" s="35"/>
      <c r="AA1180" s="35"/>
      <c r="AB1180" s="35"/>
      <c r="AC1180" s="35"/>
      <c r="AD1180" s="35"/>
      <c r="AE1180" s="35"/>
    </row>
    <row r="1181">
      <c r="A1181" s="30">
        <v>46114.0</v>
      </c>
      <c r="B1181" s="35" t="str">
        <f>'รายชื่อพนักงานลาออกพ้นสภาพ'!B163</f>
        <v>VMS680244</v>
      </c>
      <c r="C1181" s="35" t="str">
        <f>'รายชื่อพนักงานลาออกพ้นสภาพ'!C163</f>
        <v>นางสาวชลิดา  ปัญจมาศิริ</v>
      </c>
      <c r="D1181" s="35" t="str">
        <f>'รายชื่อพนักงานลาออกพ้นสภาพ'!D163</f>
        <v>7854 เจ้าหน้าที่นิติบุคคล</v>
      </c>
      <c r="E1181" s="35" t="str">
        <f>'รายชื่อพนักงานลาออกพ้นสภาพ'!E163</f>
        <v>แผนกอาคารชุด นิช โมโน อิสรภาพ</v>
      </c>
      <c r="F1181" s="40">
        <f>'รายชื่อพนักงานลาออกพ้นสภาพ'!H163</f>
        <v>46133</v>
      </c>
      <c r="G1181" s="33"/>
      <c r="H1181" s="33"/>
      <c r="I1181" s="73" t="s">
        <v>4652</v>
      </c>
      <c r="J1181" s="33"/>
      <c r="K1181" s="35"/>
      <c r="L1181" s="35"/>
      <c r="M1181" s="35"/>
      <c r="N1181" s="35"/>
      <c r="O1181" s="35"/>
      <c r="P1181" s="35"/>
      <c r="Q1181" s="35"/>
      <c r="R1181" s="35"/>
      <c r="S1181" s="35"/>
      <c r="T1181" s="35"/>
      <c r="U1181" s="35"/>
      <c r="V1181" s="35"/>
      <c r="W1181" s="35"/>
      <c r="X1181" s="35"/>
      <c r="Y1181" s="35"/>
      <c r="Z1181" s="35"/>
      <c r="AA1181" s="35"/>
      <c r="AB1181" s="35"/>
      <c r="AC1181" s="35"/>
      <c r="AD1181" s="35"/>
      <c r="AE1181" s="35"/>
    </row>
    <row r="1182">
      <c r="A1182" s="30">
        <v>46114.0</v>
      </c>
      <c r="B1182" s="35" t="str">
        <f>'รายชื่อพนักงานลาออกพ้นสภาพ'!B164</f>
        <v>VMS650041</v>
      </c>
      <c r="C1182" s="35" t="str">
        <f>'รายชื่อพนักงานลาออกพ้นสภาพ'!C164</f>
        <v>นางสาวดวงใจ  วิจิตรชื่น</v>
      </c>
      <c r="D1182" s="35" t="str">
        <f>'รายชื่อพนักงานลาออกพ้นสภาพ'!D164</f>
        <v>7854 เจ้าหน้าที่นิติบุคคล</v>
      </c>
      <c r="E1182" s="35" t="str">
        <f>'รายชื่อพนักงานลาออกพ้นสภาพ'!E164</f>
        <v>แผนกอาคารชุด เสนาคิทท์ รัตนาธิเบศร์ - บางบัวทอง</v>
      </c>
      <c r="F1182" s="40">
        <f>'รายชื่อพนักงานลาออกพ้นสภาพ'!H164</f>
        <v>46143</v>
      </c>
      <c r="G1182" s="33"/>
      <c r="H1182" s="33"/>
      <c r="I1182" s="73" t="s">
        <v>4653</v>
      </c>
      <c r="J1182" s="33"/>
      <c r="K1182" s="35"/>
      <c r="L1182" s="35"/>
      <c r="M1182" s="35"/>
      <c r="N1182" s="35"/>
      <c r="O1182" s="35"/>
      <c r="P1182" s="35"/>
      <c r="Q1182" s="35"/>
      <c r="R1182" s="35"/>
      <c r="S1182" s="35"/>
      <c r="T1182" s="35"/>
      <c r="U1182" s="35"/>
      <c r="V1182" s="35"/>
      <c r="W1182" s="35"/>
      <c r="X1182" s="35"/>
      <c r="Y1182" s="35"/>
      <c r="Z1182" s="35"/>
      <c r="AA1182" s="35"/>
      <c r="AB1182" s="35"/>
      <c r="AC1182" s="35"/>
      <c r="AD1182" s="35"/>
      <c r="AE1182" s="35"/>
    </row>
    <row r="1183">
      <c r="A1183" s="30">
        <v>46114.0</v>
      </c>
      <c r="B1183" s="35" t="str">
        <f>'รายชื่อพนักงานลาออกพ้นสภาพ'!B165</f>
        <v>VMS680068</v>
      </c>
      <c r="C1183" s="35" t="str">
        <f>'รายชื่อพนักงานลาออกพ้นสภาพ'!C165</f>
        <v>นางสาวจันทร์พิมพ์  สวนสังข์</v>
      </c>
      <c r="D1183" s="35" t="str">
        <f>'รายชื่อพนักงานลาออกพ้นสภาพ'!D165</f>
        <v>7854 เจ้าหน้าที่นิติบุคคล</v>
      </c>
      <c r="E1183" s="35" t="str">
        <f>'รายชื่อพนักงานลาออกพ้นสภาพ'!E165</f>
        <v>แผนกอาคารชุด เสนาคิทท์ ฉลองกรุง - ลาดกระบัง</v>
      </c>
      <c r="F1183" s="40">
        <f>'รายชื่อพนักงานลาออกพ้นสภาพ'!H165</f>
        <v>46143</v>
      </c>
      <c r="G1183" s="33"/>
      <c r="H1183" s="33"/>
      <c r="I1183" s="73" t="s">
        <v>4654</v>
      </c>
      <c r="J1183" s="33"/>
      <c r="K1183" s="35"/>
      <c r="L1183" s="35"/>
      <c r="M1183" s="35"/>
      <c r="N1183" s="35"/>
      <c r="O1183" s="35"/>
      <c r="P1183" s="35"/>
      <c r="Q1183" s="35"/>
      <c r="R1183" s="35"/>
      <c r="S1183" s="35"/>
      <c r="T1183" s="35"/>
      <c r="U1183" s="35"/>
      <c r="V1183" s="35"/>
      <c r="W1183" s="35"/>
      <c r="X1183" s="35"/>
      <c r="Y1183" s="35"/>
      <c r="Z1183" s="35"/>
      <c r="AA1183" s="35"/>
      <c r="AB1183" s="35"/>
      <c r="AC1183" s="35"/>
      <c r="AD1183" s="35"/>
      <c r="AE1183" s="35"/>
    </row>
    <row r="1184">
      <c r="A1184" s="30">
        <v>46114.0</v>
      </c>
      <c r="B1184" s="35" t="str">
        <f>'รายชื่อพนักงานลาออกพ้นสภาพ'!B166</f>
        <v>VMS680190</v>
      </c>
      <c r="C1184" s="35" t="str">
        <f>'รายชื่อพนักงานลาออกพ้นสภาพ'!C166</f>
        <v>นางสาวกัลญา  คำแสนราช</v>
      </c>
      <c r="D1184" s="35" t="str">
        <f>'รายชื่อพนักงานลาออกพ้นสภาพ'!D166</f>
        <v>7854 เจ้าหน้าที่นิติบุคคล</v>
      </c>
      <c r="E1184" s="35" t="str">
        <f>'รายชื่อพนักงานลาออกพ้นสภาพ'!E166</f>
        <v>แผนกอาคารชุด เสนาคิทท์ เอ็มอาร์ที บางแค</v>
      </c>
      <c r="F1184" s="40">
        <f>'รายชื่อพนักงานลาออกพ้นสภาพ'!H166</f>
        <v>46145</v>
      </c>
      <c r="G1184" s="33"/>
      <c r="H1184" s="33"/>
      <c r="I1184" s="73" t="s">
        <v>4655</v>
      </c>
      <c r="J1184" s="33"/>
      <c r="K1184" s="35"/>
      <c r="L1184" s="35"/>
      <c r="M1184" s="35"/>
      <c r="N1184" s="35"/>
      <c r="O1184" s="35"/>
      <c r="P1184" s="35"/>
      <c r="Q1184" s="35"/>
      <c r="R1184" s="35"/>
      <c r="S1184" s="35"/>
      <c r="T1184" s="35"/>
      <c r="U1184" s="35"/>
      <c r="V1184" s="35"/>
      <c r="W1184" s="35"/>
      <c r="X1184" s="35"/>
      <c r="Y1184" s="35"/>
      <c r="Z1184" s="35"/>
      <c r="AA1184" s="35"/>
      <c r="AB1184" s="35"/>
      <c r="AC1184" s="35"/>
      <c r="AD1184" s="35"/>
      <c r="AE1184" s="35"/>
    </row>
    <row r="1185">
      <c r="A1185" s="30">
        <v>46114.0</v>
      </c>
      <c r="B1185" s="35" t="str">
        <f>'รายชื่อพนักงานลาออกพ้นสภาพ'!B167</f>
        <v>VMS680147</v>
      </c>
      <c r="C1185" s="35" t="str">
        <f>'รายชื่อพนักงานลาออกพ้นสภาพ'!C167</f>
        <v>นางสาวจิวรา  ปานจันทร์</v>
      </c>
      <c r="D1185" s="35" t="str">
        <f>'รายชื่อพนักงานลาออกพ้นสภาพ'!D167</f>
        <v>7854 เจ้าหน้าที่นิติบุคคล</v>
      </c>
      <c r="E1185" s="35" t="str">
        <f>'รายชื่อพนักงานลาออกพ้นสภาพ'!E167</f>
        <v>แผนกอาคารชุด เสนาคิทท์ บีทีเอส สะพานใหม่</v>
      </c>
      <c r="F1185" s="40">
        <f>'รายชื่อพนักงานลาออกพ้นสภาพ'!H167</f>
        <v>46174</v>
      </c>
      <c r="G1185" s="33"/>
      <c r="H1185" s="33"/>
      <c r="I1185" s="73" t="s">
        <v>4656</v>
      </c>
      <c r="J1185" s="33"/>
      <c r="K1185" s="35"/>
      <c r="L1185" s="35"/>
      <c r="M1185" s="35"/>
      <c r="N1185" s="35"/>
      <c r="O1185" s="35"/>
      <c r="P1185" s="35"/>
      <c r="Q1185" s="35"/>
      <c r="R1185" s="35"/>
      <c r="S1185" s="35"/>
      <c r="T1185" s="35"/>
      <c r="U1185" s="35"/>
      <c r="V1185" s="35"/>
      <c r="W1185" s="35"/>
      <c r="X1185" s="35"/>
      <c r="Y1185" s="35"/>
      <c r="Z1185" s="35"/>
      <c r="AA1185" s="35"/>
      <c r="AB1185" s="35"/>
      <c r="AC1185" s="35"/>
      <c r="AD1185" s="35"/>
      <c r="AE1185" s="35"/>
    </row>
    <row r="1186">
      <c r="A1186" s="30">
        <v>46114.0</v>
      </c>
      <c r="B1186" s="35" t="str">
        <f>'รายชื่อพนักงานลาออกพ้นสภาพ'!B168</f>
        <v>VMS690073</v>
      </c>
      <c r="C1186" s="35" t="str">
        <f>'รายชื่อพนักงานลาออกพ้นสภาพ'!C168</f>
        <v>นายนิวัฒน์  ศรีนิล</v>
      </c>
      <c r="D1186" s="35" t="str">
        <f>'รายชื่อพนักงานลาออกพ้นสภาพ'!D168</f>
        <v>8855 ช่างประจำอาคาร</v>
      </c>
      <c r="E1186" s="35" t="str">
        <f>'รายชื่อพนักงานลาออกพ้นสภาพ'!E168</f>
        <v>แผนกอาคารชุด เสนาคิทท์ รังสิต - ติวานนท์</v>
      </c>
      <c r="F1186" s="40">
        <f>'รายชื่อพนักงานลาออกพ้นสภาพ'!H168</f>
        <v>46121</v>
      </c>
      <c r="G1186" s="33"/>
      <c r="H1186" s="33"/>
      <c r="I1186" s="73" t="s">
        <v>4657</v>
      </c>
      <c r="J1186" s="33"/>
      <c r="K1186" s="35"/>
      <c r="L1186" s="35"/>
      <c r="M1186" s="35"/>
      <c r="N1186" s="35"/>
      <c r="O1186" s="35"/>
      <c r="P1186" s="35"/>
      <c r="Q1186" s="35"/>
      <c r="R1186" s="35"/>
      <c r="S1186" s="35"/>
      <c r="T1186" s="35"/>
      <c r="U1186" s="35"/>
      <c r="V1186" s="35"/>
      <c r="W1186" s="35"/>
      <c r="X1186" s="35"/>
      <c r="Y1186" s="35"/>
      <c r="Z1186" s="35"/>
      <c r="AA1186" s="35"/>
      <c r="AB1186" s="35"/>
      <c r="AC1186" s="35"/>
      <c r="AD1186" s="35"/>
      <c r="AE1186" s="35"/>
    </row>
    <row r="1187">
      <c r="A1187" s="30">
        <v>46114.0</v>
      </c>
      <c r="B1187" s="35" t="str">
        <f>'รายชื่อพนักงานลาออกพ้นสภาพ'!B169</f>
        <v>VMS670241</v>
      </c>
      <c r="C1187" s="35" t="str">
        <f>'รายชื่อพนักงานลาออกพ้นสภาพ'!C169</f>
        <v>นางสาวณัชธญา  นิลพานิชย์</v>
      </c>
      <c r="D1187" s="35" t="str">
        <f>'รายชื่อพนักงานลาออกพ้นสภาพ'!D169</f>
        <v>7504 เจ้าหน้าที่ธุรการโครงการ</v>
      </c>
      <c r="E1187" s="35" t="str">
        <f>'รายชื่อพนักงานลาออกพ้นสภาพ'!E169</f>
        <v>แผนกอาคารชุด มิว</v>
      </c>
      <c r="F1187" s="40">
        <f>'รายชื่อพนักงานลาออกพ้นสภาพ'!H169</f>
        <v>46133</v>
      </c>
      <c r="G1187" s="33"/>
      <c r="H1187" s="33"/>
      <c r="I1187" s="73" t="s">
        <v>4658</v>
      </c>
      <c r="J1187" s="33"/>
      <c r="K1187" s="35"/>
      <c r="L1187" s="35"/>
      <c r="M1187" s="35"/>
      <c r="N1187" s="35"/>
      <c r="O1187" s="35"/>
      <c r="P1187" s="35"/>
      <c r="Q1187" s="35"/>
      <c r="R1187" s="35"/>
      <c r="S1187" s="35"/>
      <c r="T1187" s="35"/>
      <c r="U1187" s="35"/>
      <c r="V1187" s="35"/>
      <c r="W1187" s="35"/>
      <c r="X1187" s="35"/>
      <c r="Y1187" s="35"/>
      <c r="Z1187" s="35"/>
      <c r="AA1187" s="35"/>
      <c r="AB1187" s="35"/>
      <c r="AC1187" s="35"/>
      <c r="AD1187" s="35"/>
      <c r="AE1187" s="35"/>
    </row>
    <row r="1188">
      <c r="A1188" s="30">
        <v>46114.0</v>
      </c>
      <c r="B1188" s="35" t="str">
        <f>'รายชื่อพนักงานลาออกพ้นสภาพ'!B170</f>
        <v>VMS670246</v>
      </c>
      <c r="C1188" s="35" t="str">
        <f>'รายชื่อพนักงานลาออกพ้นสภาพ'!C170</f>
        <v>นายสกนธ์  รื่นภาคเวท</v>
      </c>
      <c r="D1188" s="35" t="str">
        <f>'รายชื่อพนักงานลาออกพ้นสภาพ'!D170</f>
        <v>8857 ช่างเทคนิค</v>
      </c>
      <c r="E1188" s="35" t="str">
        <f>'รายชื่อพนักงานลาออกพ้นสภาพ'!E170</f>
        <v>แผนกอาคารชุด แมเนอร์ สนามบินน้ำ</v>
      </c>
      <c r="F1188" s="40">
        <f>'รายชื่อพนักงานลาออกพ้นสภาพ'!H170</f>
        <v>46143</v>
      </c>
      <c r="G1188" s="33"/>
      <c r="H1188" s="33"/>
      <c r="I1188" s="73" t="s">
        <v>4659</v>
      </c>
      <c r="J1188" s="33"/>
      <c r="K1188" s="35"/>
      <c r="L1188" s="35"/>
      <c r="M1188" s="35"/>
      <c r="N1188" s="35"/>
      <c r="O1188" s="35"/>
      <c r="P1188" s="35"/>
      <c r="Q1188" s="35"/>
      <c r="R1188" s="35"/>
      <c r="S1188" s="35"/>
      <c r="T1188" s="35"/>
      <c r="U1188" s="35"/>
      <c r="V1188" s="35"/>
      <c r="W1188" s="35"/>
      <c r="X1188" s="35"/>
      <c r="Y1188" s="35"/>
      <c r="Z1188" s="35"/>
      <c r="AA1188" s="35"/>
      <c r="AB1188" s="35"/>
      <c r="AC1188" s="35"/>
      <c r="AD1188" s="35"/>
      <c r="AE1188" s="35"/>
    </row>
    <row r="1189">
      <c r="A1189" s="30">
        <v>46114.0</v>
      </c>
      <c r="B1189" s="35" t="str">
        <f>'รายชื่อพนักงานลาออกพ้นสภาพ'!B171</f>
        <v>VMS680075</v>
      </c>
      <c r="C1189" s="35" t="str">
        <f>'รายชื่อพนักงานลาออกพ้นสภาพ'!C171</f>
        <v>นายชนาธิป  สุขธิติพัฒน์</v>
      </c>
      <c r="D1189" s="35" t="str">
        <f>'รายชื่อพนักงานลาออกพ้นสภาพ'!D171</f>
        <v>8855 ช่างประจำอาคาร</v>
      </c>
      <c r="E1189" s="35" t="str">
        <f>'รายชื่อพนักงานลาออกพ้นสภาพ'!E171</f>
        <v>แผนกอาคารชุด แมเนอร์ สนามบินน้ำ</v>
      </c>
      <c r="F1189" s="40">
        <f>'รายชื่อพนักงานลาออกพ้นสภาพ'!H171</f>
        <v>46143</v>
      </c>
      <c r="G1189" s="33"/>
      <c r="H1189" s="33"/>
      <c r="I1189" s="73" t="s">
        <v>4660</v>
      </c>
      <c r="J1189" s="33"/>
      <c r="K1189" s="35"/>
      <c r="L1189" s="35"/>
      <c r="M1189" s="35"/>
      <c r="N1189" s="35"/>
      <c r="O1189" s="35"/>
      <c r="P1189" s="35"/>
      <c r="Q1189" s="35"/>
      <c r="R1189" s="35"/>
      <c r="S1189" s="35"/>
      <c r="T1189" s="35"/>
      <c r="U1189" s="35"/>
      <c r="V1189" s="35"/>
      <c r="W1189" s="35"/>
      <c r="X1189" s="35"/>
      <c r="Y1189" s="35"/>
      <c r="Z1189" s="35"/>
      <c r="AA1189" s="35"/>
      <c r="AB1189" s="35"/>
      <c r="AC1189" s="35"/>
      <c r="AD1189" s="35"/>
      <c r="AE1189" s="35"/>
    </row>
    <row r="1190">
      <c r="A1190" s="30">
        <v>46114.0</v>
      </c>
      <c r="B1190" s="35" t="str">
        <f>'รายชื่อพนักงานลาออกพ้นสภาพ'!B172</f>
        <v>VMS670250</v>
      </c>
      <c r="C1190" s="35" t="str">
        <f>'รายชื่อพนักงานลาออกพ้นสภาพ'!C172</f>
        <v>นายวันชัย  สิงห์ปรีชา</v>
      </c>
      <c r="D1190" s="35" t="str">
        <f>'รายชื่อพนักงานลาออกพ้นสภาพ'!D172</f>
        <v>8857 ช่างเทคนิค</v>
      </c>
      <c r="E1190" s="35" t="str">
        <f>'รายชื่อพนักงานลาออกพ้นสภาพ'!E172</f>
        <v>แผนกอาคารชุด แมเนอร์ สนามบินน้ำ</v>
      </c>
      <c r="F1190" s="40">
        <f>'รายชื่อพนักงานลาออกพ้นสภาพ'!H172</f>
        <v>46143</v>
      </c>
      <c r="G1190" s="33"/>
      <c r="H1190" s="33"/>
      <c r="I1190" s="73" t="s">
        <v>4661</v>
      </c>
      <c r="J1190" s="33"/>
      <c r="K1190" s="35"/>
      <c r="L1190" s="35"/>
      <c r="M1190" s="35"/>
      <c r="N1190" s="35"/>
      <c r="O1190" s="35"/>
      <c r="P1190" s="35"/>
      <c r="Q1190" s="35"/>
      <c r="R1190" s="35"/>
      <c r="S1190" s="35"/>
      <c r="T1190" s="35"/>
      <c r="U1190" s="35"/>
      <c r="V1190" s="35"/>
      <c r="W1190" s="35"/>
      <c r="X1190" s="35"/>
      <c r="Y1190" s="35"/>
      <c r="Z1190" s="35"/>
      <c r="AA1190" s="35"/>
      <c r="AB1190" s="35"/>
      <c r="AC1190" s="35"/>
      <c r="AD1190" s="35"/>
      <c r="AE1190" s="35"/>
    </row>
    <row r="1191">
      <c r="A1191" s="30">
        <v>46115.0</v>
      </c>
      <c r="B1191" s="35" t="str">
        <f>'รายชื่อพนักงานลาออกพ้นสภาพ'!B173</f>
        <v>BK680198</v>
      </c>
      <c r="C1191" s="35" t="str">
        <f>'รายชื่อพนักงานลาออกพ้นสภาพ'!C173</f>
        <v>น.ส.อโณทัย เทียรเจริญ </v>
      </c>
      <c r="D1191" s="35" t="str">
        <f>'รายชื่อพนักงานลาออกพ้นสภาพ'!D173</f>
        <v>6402 เจ้าหน้าที่การตลาดอาวุโส</v>
      </c>
      <c r="E1191" s="35" t="str">
        <f>'รายชื่อพนักงานลาออกพ้นสภาพ'!E173</f>
        <v>แผนกการตลาดคอนโด 3A</v>
      </c>
      <c r="F1191" s="40">
        <f>'รายชื่อพนักงานลาออกพ้นสภาพ'!H173</f>
        <v>46143</v>
      </c>
      <c r="G1191" s="33"/>
      <c r="H1191" s="88" t="s">
        <v>4662</v>
      </c>
      <c r="I1191" s="33"/>
      <c r="J1191" s="33"/>
      <c r="K1191" s="35"/>
      <c r="L1191" s="35"/>
      <c r="M1191" s="35"/>
      <c r="N1191" s="35"/>
      <c r="O1191" s="35"/>
      <c r="P1191" s="35"/>
      <c r="Q1191" s="35"/>
      <c r="R1191" s="35"/>
      <c r="S1191" s="35"/>
      <c r="T1191" s="35"/>
      <c r="U1191" s="35"/>
      <c r="V1191" s="35"/>
      <c r="W1191" s="35"/>
      <c r="X1191" s="35"/>
      <c r="Y1191" s="35"/>
      <c r="Z1191" s="35"/>
      <c r="AA1191" s="35"/>
      <c r="AB1191" s="35"/>
      <c r="AC1191" s="35"/>
      <c r="AD1191" s="35"/>
      <c r="AE1191" s="35"/>
    </row>
    <row r="1192">
      <c r="A1192" s="30">
        <v>46115.0</v>
      </c>
      <c r="B1192" s="35" t="str">
        <f>'รายชื่อพนักงานลาออกพ้นสภาพ'!B174</f>
        <v>BK670032</v>
      </c>
      <c r="C1192" s="35" t="str">
        <f>'รายชื่อพนักงานลาออกพ้นสภาพ'!C174</f>
        <v>น.ส.ศิริลักษณ์ ปุญญคุณากรณ์ </v>
      </c>
      <c r="D1192" s="35" t="str">
        <f>'รายชื่อพนักงานลาออกพ้นสภาพ'!D174</f>
        <v>7659 เจ้าหน้าที่ประสานงานทั่วไป</v>
      </c>
      <c r="E1192" s="35" t="str">
        <f>'รายชื่อพนักงานลาออกพ้นสภาพ'!E174</f>
        <v>แผนก Wecare Support</v>
      </c>
      <c r="F1192" s="40">
        <f>'รายชื่อพนักงานลาออกพ้นสภาพ'!H174</f>
        <v>46113</v>
      </c>
      <c r="G1192" s="33"/>
      <c r="H1192" s="88" t="s">
        <v>4663</v>
      </c>
      <c r="I1192" s="33"/>
      <c r="J1192" s="33"/>
      <c r="K1192" s="35"/>
      <c r="L1192" s="35"/>
      <c r="M1192" s="35"/>
      <c r="N1192" s="35"/>
      <c r="O1192" s="35"/>
      <c r="P1192" s="35"/>
      <c r="Q1192" s="35"/>
      <c r="R1192" s="35"/>
      <c r="S1192" s="35"/>
      <c r="T1192" s="35"/>
      <c r="U1192" s="35"/>
      <c r="V1192" s="35"/>
      <c r="W1192" s="35"/>
      <c r="X1192" s="35"/>
      <c r="Y1192" s="35"/>
      <c r="Z1192" s="35"/>
      <c r="AA1192" s="35"/>
      <c r="AB1192" s="35"/>
      <c r="AC1192" s="35"/>
      <c r="AD1192" s="35"/>
      <c r="AE1192" s="35"/>
    </row>
    <row r="1193">
      <c r="A1193" s="30">
        <v>46115.0</v>
      </c>
      <c r="B1193" s="35" t="str">
        <f>'รายชื่อพนักงานลาออกพ้นสภาพ'!B175</f>
        <v>TK680004</v>
      </c>
      <c r="C1193" s="35" t="str">
        <f>'รายชื่อพนักงานลาออกพ้นสภาพ'!C175</f>
        <v>นายภานุวัฒน์ เพชรรุ่งศักดิ์</v>
      </c>
      <c r="D1193" s="35" t="str">
        <f>'รายชื่อพนักงานลาออกพ้นสภาพ'!D175</f>
        <v>7804 โฟร์แมนบริการหลังการขาย</v>
      </c>
      <c r="E1193" s="35" t="str">
        <f>'รายชื่อพนักงานลาออกพ้นสภาพ'!E175</f>
        <v>แผนกปฏิบัติการก่อสร้าง</v>
      </c>
      <c r="F1193" s="40">
        <f>'รายชื่อพนักงานลาออกพ้นสภาพ'!H175</f>
        <v>46143</v>
      </c>
      <c r="G1193" s="33"/>
      <c r="H1193" s="88" t="s">
        <v>4664</v>
      </c>
      <c r="I1193" s="33"/>
      <c r="J1193" s="33"/>
      <c r="K1193" s="35"/>
      <c r="L1193" s="35"/>
      <c r="M1193" s="35"/>
      <c r="N1193" s="35"/>
      <c r="O1193" s="35"/>
      <c r="P1193" s="35"/>
      <c r="Q1193" s="35"/>
      <c r="R1193" s="35"/>
      <c r="S1193" s="35"/>
      <c r="T1193" s="35"/>
      <c r="U1193" s="35"/>
      <c r="V1193" s="35"/>
      <c r="W1193" s="35"/>
      <c r="X1193" s="35"/>
      <c r="Y1193" s="35"/>
      <c r="Z1193" s="35"/>
      <c r="AA1193" s="35"/>
      <c r="AB1193" s="35"/>
      <c r="AC1193" s="35"/>
      <c r="AD1193" s="35"/>
      <c r="AE1193" s="35"/>
    </row>
    <row r="1194">
      <c r="A1194" s="30">
        <v>46115.0</v>
      </c>
      <c r="B1194" s="35" t="str">
        <f>'รายชื่อพนักงานลาออกพ้นสภาพ'!B176</f>
        <v>BK680177</v>
      </c>
      <c r="C1194" s="35" t="str">
        <f>'รายชื่อพนักงานลาออกพ้นสภาพ'!C176</f>
        <v>น.ส.วาริศศริน เวศย์วรุตม์</v>
      </c>
      <c r="D1194" s="35" t="str">
        <f>'รายชื่อพนักงานลาออกพ้นสภาพ'!D176</f>
        <v>31.1 ผู้จัดการอาวุโส</v>
      </c>
      <c r="E1194" s="35" t="str">
        <f>'รายชื่อพนักงานลาออกพ้นสภาพ'!E176</f>
        <v>ฝ่ายบริหารการขายคอนโด 2B</v>
      </c>
      <c r="F1194" s="40">
        <f>'รายชื่อพนักงานลาออกพ้นสภาพ'!H176</f>
        <v>46148</v>
      </c>
      <c r="G1194" s="33"/>
      <c r="H1194" s="88" t="s">
        <v>4665</v>
      </c>
      <c r="I1194" s="33"/>
      <c r="J1194" s="33"/>
      <c r="K1194" s="35"/>
      <c r="L1194" s="35"/>
      <c r="M1194" s="35"/>
      <c r="N1194" s="35"/>
      <c r="O1194" s="35"/>
      <c r="P1194" s="35"/>
      <c r="Q1194" s="35"/>
      <c r="R1194" s="35"/>
      <c r="S1194" s="35"/>
      <c r="T1194" s="35"/>
      <c r="U1194" s="35"/>
      <c r="V1194" s="35"/>
      <c r="W1194" s="35"/>
      <c r="X1194" s="35"/>
      <c r="Y1194" s="35"/>
      <c r="Z1194" s="35"/>
      <c r="AA1194" s="35"/>
      <c r="AB1194" s="35"/>
      <c r="AC1194" s="35"/>
      <c r="AD1194" s="35"/>
      <c r="AE1194" s="35"/>
    </row>
    <row r="1195">
      <c r="A1195" s="30">
        <v>46115.0</v>
      </c>
      <c r="B1195" s="35" t="str">
        <f>'รายชื่อพนักงานลาออกพ้นสภาพ'!B177</f>
        <v>VMS690050</v>
      </c>
      <c r="C1195" s="35" t="str">
        <f>'รายชื่อพนักงานลาออกพ้นสภาพ'!C177</f>
        <v>นางสาววรรณกานต์   พัฒบุผา</v>
      </c>
      <c r="D1195" s="35" t="str">
        <f>'รายชื่อพนักงานลาออกพ้นสภาพ'!D177</f>
        <v>7853 เจ้าหน้าที่บัญชีนิติบุคคล</v>
      </c>
      <c r="E1195" s="35" t="str">
        <f>'รายชื่อพนักงานลาออกพ้นสภาพ'!E177</f>
        <v>แผนกการเงินจ่าย</v>
      </c>
      <c r="F1195" s="40">
        <f>'รายชื่อพนักงานลาออกพ้นสภาพ'!H177</f>
        <v>46143</v>
      </c>
      <c r="G1195" s="33"/>
      <c r="H1195" s="33"/>
      <c r="I1195" s="73" t="s">
        <v>4666</v>
      </c>
      <c r="J1195" s="33"/>
      <c r="K1195" s="35"/>
      <c r="L1195" s="35"/>
      <c r="M1195" s="35"/>
      <c r="N1195" s="35"/>
      <c r="O1195" s="35"/>
      <c r="P1195" s="35"/>
      <c r="Q1195" s="35"/>
      <c r="R1195" s="35"/>
      <c r="S1195" s="35"/>
      <c r="T1195" s="35"/>
      <c r="U1195" s="35"/>
      <c r="V1195" s="35"/>
      <c r="W1195" s="35"/>
      <c r="X1195" s="35"/>
      <c r="Y1195" s="35"/>
      <c r="Z1195" s="35"/>
      <c r="AA1195" s="35"/>
      <c r="AB1195" s="35"/>
      <c r="AC1195" s="35"/>
      <c r="AD1195" s="35"/>
      <c r="AE1195" s="35"/>
    </row>
    <row r="1196">
      <c r="A1196" s="30">
        <v>46115.0</v>
      </c>
      <c r="B1196" s="35" t="str">
        <f>'รายชื่อพนักงานลาออกพ้นสภาพ'!B178</f>
        <v>VMS680146</v>
      </c>
      <c r="C1196" s="35" t="str">
        <f>'รายชื่อพนักงานลาออกพ้นสภาพ'!C178</f>
        <v>นายวิรพนธ์  อินทร์ศวร</v>
      </c>
      <c r="D1196" s="35" t="str">
        <f>'รายชื่อพนักงานลาออกพ้นสภาพ'!D178</f>
        <v>8855 ช่างประจำอาคาร</v>
      </c>
      <c r="E1196" s="35" t="str">
        <f>'รายชื่อพนักงานลาออกพ้นสภาพ'!E178</f>
        <v>แผนกบริหารอาคารสำนักงานใหญ่</v>
      </c>
      <c r="F1196" s="40">
        <f>'รายชื่อพนักงานลาออกพ้นสภาพ'!H178</f>
        <v>46143</v>
      </c>
      <c r="G1196" s="33"/>
      <c r="H1196" s="33"/>
      <c r="I1196" s="73" t="s">
        <v>4667</v>
      </c>
      <c r="J1196" s="33"/>
      <c r="K1196" s="35"/>
      <c r="L1196" s="35"/>
      <c r="M1196" s="35"/>
      <c r="N1196" s="35"/>
      <c r="O1196" s="35"/>
      <c r="P1196" s="35"/>
      <c r="Q1196" s="35"/>
      <c r="R1196" s="35"/>
      <c r="S1196" s="35"/>
      <c r="T1196" s="35"/>
      <c r="U1196" s="35"/>
      <c r="V1196" s="35"/>
      <c r="W1196" s="35"/>
      <c r="X1196" s="35"/>
      <c r="Y1196" s="35"/>
      <c r="Z1196" s="35"/>
      <c r="AA1196" s="35"/>
      <c r="AB1196" s="35"/>
      <c r="AC1196" s="35"/>
      <c r="AD1196" s="35"/>
      <c r="AE1196" s="35"/>
    </row>
    <row r="1197">
      <c r="A1197" s="30">
        <v>46115.0</v>
      </c>
      <c r="B1197" s="35" t="str">
        <f>'รายชื่อพนักงานลาออกพ้นสภาพ'!B179</f>
        <v>VMS670400</v>
      </c>
      <c r="C1197" s="35" t="str">
        <f>'รายชื่อพนักงานลาออกพ้นสภาพ'!C179</f>
        <v>นายธีรินทร์  ประทุมโต</v>
      </c>
      <c r="D1197" s="35" t="str">
        <f>'รายชื่อพนักงานลาออกพ้นสภาพ'!D179</f>
        <v>8855 ช่างประจำอาคาร</v>
      </c>
      <c r="E1197" s="35" t="str">
        <f>'รายชื่อพนักงานลาออกพ้นสภาพ'!E179</f>
        <v>แผนกอาคารชุด เฟล็กซี่ เตาปูน อินเตอร์เชนจ์</v>
      </c>
      <c r="F1197" s="40">
        <f>'รายชื่อพนักงานลาออกพ้นสภาพ'!H179</f>
        <v>46145</v>
      </c>
      <c r="G1197" s="33"/>
      <c r="H1197" s="33"/>
      <c r="I1197" s="73" t="s">
        <v>4668</v>
      </c>
      <c r="J1197" s="33"/>
      <c r="K1197" s="35"/>
      <c r="L1197" s="35"/>
      <c r="M1197" s="35"/>
      <c r="N1197" s="35"/>
      <c r="O1197" s="35"/>
      <c r="P1197" s="35"/>
      <c r="Q1197" s="35"/>
      <c r="R1197" s="35"/>
      <c r="S1197" s="35"/>
      <c r="T1197" s="35"/>
      <c r="U1197" s="35"/>
      <c r="V1197" s="35"/>
      <c r="W1197" s="35"/>
      <c r="X1197" s="35"/>
      <c r="Y1197" s="35"/>
      <c r="Z1197" s="35"/>
      <c r="AA1197" s="35"/>
      <c r="AB1197" s="35"/>
      <c r="AC1197" s="35"/>
      <c r="AD1197" s="35"/>
      <c r="AE1197" s="35"/>
    </row>
    <row r="1198">
      <c r="A1198" s="30">
        <v>46115.0</v>
      </c>
      <c r="B1198" s="35" t="str">
        <f>'รายชื่อพนักงานลาออกพ้นสภาพ'!B180</f>
        <v>BK680026</v>
      </c>
      <c r="C1198" s="35" t="str">
        <f>'รายชื่อพนักงานลาออกพ้นสภาพ'!C180</f>
        <v>นายปัญญากร บุณยะกุล</v>
      </c>
      <c r="D1198" s="35" t="str">
        <f>'รายชื่อพนักงานลาออกพ้นสภาพ'!D180</f>
        <v>6155 เจ้าหน้าที่กราฟฟิคอาวุโส</v>
      </c>
      <c r="E1198" s="35" t="str">
        <f>'รายชื่อพนักงานลาออกพ้นสภาพ'!E180</f>
        <v>แผนก Creative และ Design Management</v>
      </c>
      <c r="F1198" s="40">
        <f>'รายชื่อพนักงานลาออกพ้นสภาพ'!H180</f>
        <v>46143</v>
      </c>
      <c r="G1198" s="33"/>
      <c r="H1198" s="88" t="s">
        <v>4669</v>
      </c>
      <c r="I1198" s="33"/>
      <c r="J1198" s="33"/>
      <c r="K1198" s="35"/>
      <c r="L1198" s="35"/>
      <c r="M1198" s="35"/>
      <c r="N1198" s="35"/>
      <c r="O1198" s="35"/>
      <c r="P1198" s="35"/>
      <c r="Q1198" s="35"/>
      <c r="R1198" s="35"/>
      <c r="S1198" s="35"/>
      <c r="T1198" s="35"/>
      <c r="U1198" s="35"/>
      <c r="V1198" s="35"/>
      <c r="W1198" s="35"/>
      <c r="X1198" s="35"/>
      <c r="Y1198" s="35"/>
      <c r="Z1198" s="35"/>
      <c r="AA1198" s="35"/>
      <c r="AB1198" s="35"/>
      <c r="AC1198" s="35"/>
      <c r="AD1198" s="35"/>
      <c r="AE1198" s="35"/>
    </row>
    <row r="1199">
      <c r="A1199" s="30">
        <v>46115.0</v>
      </c>
      <c r="B1199" s="35" t="str">
        <f>'รายชื่อพนักงานลาออกพ้นสภาพ'!B181</f>
        <v>BK650053</v>
      </c>
      <c r="C1199" s="35" t="str">
        <f>'รายชื่อพนักงานลาออกพ้นสภาพ'!C181</f>
        <v>นายชนะชัย อุปตอ </v>
      </c>
      <c r="D1199" s="35" t="str">
        <f>'รายชื่อพนักงานลาออกพ้นสภาพ'!D181</f>
        <v>8659 พนักงานขับรถส่วนกลาง</v>
      </c>
      <c r="E1199" s="35" t="str">
        <f>'รายชื่อพนักงานลาออกพ้นสภาพ'!E181</f>
        <v>แผนกยานพาหนะ</v>
      </c>
      <c r="F1199" s="40">
        <f>'รายชื่อพนักงานลาออกพ้นสภาพ'!H181</f>
        <v>46143</v>
      </c>
      <c r="G1199" s="33"/>
      <c r="H1199" s="88" t="s">
        <v>4670</v>
      </c>
      <c r="I1199" s="33"/>
      <c r="J1199" s="33"/>
      <c r="K1199" s="35"/>
      <c r="L1199" s="35"/>
      <c r="M1199" s="35"/>
      <c r="N1199" s="35"/>
      <c r="O1199" s="35"/>
      <c r="P1199" s="35"/>
      <c r="Q1199" s="35"/>
      <c r="R1199" s="35"/>
      <c r="S1199" s="35"/>
      <c r="T1199" s="35"/>
      <c r="U1199" s="35"/>
      <c r="V1199" s="35"/>
      <c r="W1199" s="35"/>
      <c r="X1199" s="35"/>
      <c r="Y1199" s="35"/>
      <c r="Z1199" s="35"/>
      <c r="AA1199" s="35"/>
      <c r="AB1199" s="35"/>
      <c r="AC1199" s="35"/>
      <c r="AD1199" s="35"/>
      <c r="AE1199" s="35"/>
    </row>
    <row r="1200">
      <c r="A1200" s="30">
        <v>46115.0</v>
      </c>
      <c r="B1200" s="35" t="str">
        <f>'รายชื่อพนักงานลาออกพ้นสภาพ'!B182</f>
        <v>BK680554</v>
      </c>
      <c r="C1200" s="35" t="str">
        <f>'รายชื่อพนักงานลาออกพ้นสภาพ'!C182</f>
        <v>น.ส.สุพิชญา แสงสว่าง </v>
      </c>
      <c r="D1200" s="35" t="str">
        <f>'รายชื่อพนักงานลาออกพ้นสภาพ'!D182</f>
        <v>7504 เจ้าหน้าที่ธุรการโครงการ</v>
      </c>
      <c r="E1200" s="35" t="str">
        <f>'รายชื่อพนักงานลาออกพ้นสภาพ'!E182</f>
        <v>เสนา วิลล์ ลำลูกกา - คลอง 6</v>
      </c>
      <c r="F1200" s="40">
        <f>'รายชื่อพนักงานลาออกพ้นสภาพ'!H182</f>
        <v>46143</v>
      </c>
      <c r="G1200" s="33"/>
      <c r="H1200" s="88" t="s">
        <v>4671</v>
      </c>
      <c r="I1200" s="33"/>
      <c r="J1200" s="33"/>
      <c r="K1200" s="35"/>
      <c r="L1200" s="35"/>
      <c r="M1200" s="35"/>
      <c r="N1200" s="35"/>
      <c r="O1200" s="35"/>
      <c r="P1200" s="35"/>
      <c r="Q1200" s="35"/>
      <c r="R1200" s="35"/>
      <c r="S1200" s="35"/>
      <c r="T1200" s="35"/>
      <c r="U1200" s="35"/>
      <c r="V1200" s="35"/>
      <c r="W1200" s="35"/>
      <c r="X1200" s="35"/>
      <c r="Y1200" s="35"/>
      <c r="Z1200" s="35"/>
      <c r="AA1200" s="35"/>
      <c r="AB1200" s="35"/>
      <c r="AC1200" s="35"/>
      <c r="AD1200" s="35"/>
      <c r="AE1200" s="35"/>
    </row>
    <row r="1201">
      <c r="A1201" s="30">
        <v>46115.0</v>
      </c>
      <c r="B1201" s="35" t="str">
        <f>'รายชื่อพนักงานลาออกพ้นสภาพ'!B183</f>
        <v>BK680274</v>
      </c>
      <c r="C1201" s="35" t="str">
        <f>'รายชื่อพนักงานลาออกพ้นสภาพ'!C183</f>
        <v>นายพีรณัฐ คงฤทธิ์ </v>
      </c>
      <c r="D1201" s="35" t="str">
        <f>'รายชื่อพนักงานลาออกพ้นสภาพ'!D183</f>
        <v>7405 เจ้าหน้าที่การตลาด</v>
      </c>
      <c r="E1201" s="35" t="str">
        <f>'รายชื่อพนักงานลาออกพ้นสภาพ'!E183</f>
        <v>แผนกการตลาดบ้าน 1A</v>
      </c>
      <c r="F1201" s="40">
        <f>'รายชื่อพนักงานลาออกพ้นสภาพ'!H183</f>
        <v>46143</v>
      </c>
      <c r="G1201" s="33"/>
      <c r="H1201" s="88" t="s">
        <v>4672</v>
      </c>
      <c r="I1201" s="33"/>
      <c r="J1201" s="33"/>
      <c r="K1201" s="35"/>
      <c r="L1201" s="35"/>
      <c r="M1201" s="35"/>
      <c r="N1201" s="35"/>
      <c r="O1201" s="35"/>
      <c r="P1201" s="35"/>
      <c r="Q1201" s="35"/>
      <c r="R1201" s="35"/>
      <c r="S1201" s="35"/>
      <c r="T1201" s="35"/>
      <c r="U1201" s="35"/>
      <c r="V1201" s="35"/>
      <c r="W1201" s="35"/>
      <c r="X1201" s="35"/>
      <c r="Y1201" s="35"/>
      <c r="Z1201" s="35"/>
      <c r="AA1201" s="35"/>
      <c r="AB1201" s="35"/>
      <c r="AC1201" s="35"/>
      <c r="AD1201" s="35"/>
      <c r="AE1201" s="35"/>
    </row>
    <row r="1202">
      <c r="A1202" s="30">
        <v>46119.0</v>
      </c>
      <c r="B1202" s="35" t="str">
        <f>'รายชื่อพนักงานลาออกพ้นสภาพ'!B184</f>
        <v>SSG690001</v>
      </c>
      <c r="C1202" s="35" t="str">
        <f>'รายชื่อพนักงานลาออกพ้นสภาพ'!C184</f>
        <v>นายนนทวัชร์ เทพทอง</v>
      </c>
      <c r="D1202" s="35" t="str">
        <f>'รายชื่อพนักงานลาออกพ้นสภาพ'!D184</f>
        <v>7656 เลขานุการและธุรการ</v>
      </c>
      <c r="E1202" s="35" t="str">
        <f>'รายชื่อพนักงานลาออกพ้นสภาพ'!E184</f>
        <v>แผนกบริการลูกค้า</v>
      </c>
      <c r="F1202" s="40">
        <f>'รายชื่อพนักงานลาออกพ้นสภาพ'!H184</f>
        <v>46151</v>
      </c>
      <c r="G1202" s="33"/>
      <c r="H1202" s="33"/>
      <c r="I1202" s="33"/>
      <c r="J1202" s="73" t="s">
        <v>4673</v>
      </c>
      <c r="K1202" s="35"/>
      <c r="L1202" s="35"/>
      <c r="M1202" s="35"/>
      <c r="N1202" s="35"/>
      <c r="O1202" s="35"/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5"/>
      <c r="AA1202" s="35"/>
      <c r="AB1202" s="35"/>
      <c r="AC1202" s="35"/>
      <c r="AD1202" s="35"/>
      <c r="AE1202" s="35"/>
    </row>
    <row r="1203">
      <c r="A1203" s="30">
        <v>46119.0</v>
      </c>
      <c r="B1203" s="35" t="str">
        <f>'รายชื่อพนักงานลาออกพ้นสภาพ'!B185</f>
        <v>VMS670001</v>
      </c>
      <c r="C1203" s="35" t="str">
        <f>'รายชื่อพนักงานลาออกพ้นสภาพ'!C185</f>
        <v>นางสาวนวศรณ์  สุดสม</v>
      </c>
      <c r="D1203" s="35" t="str">
        <f>'รายชื่อพนักงานลาออกพ้นสภาพ'!D185</f>
        <v>36 ผู้ช่วยผู้จัดการ</v>
      </c>
      <c r="E1203" s="35" t="str">
        <f>'รายชื่อพนักงานลาออกพ้นสภาพ'!E185</f>
        <v>ฝ่ายบริหารนิติบุคคลอาคารชุด (SENA)</v>
      </c>
      <c r="F1203" s="40">
        <f>'รายชื่อพนักงานลาออกพ้นสภาพ'!H185</f>
        <v>46143</v>
      </c>
      <c r="G1203" s="33"/>
      <c r="H1203" s="33"/>
      <c r="I1203" s="73" t="s">
        <v>4674</v>
      </c>
      <c r="J1203" s="33"/>
      <c r="K1203" s="35"/>
      <c r="L1203" s="35"/>
      <c r="M1203" s="35"/>
      <c r="N1203" s="35"/>
      <c r="O1203" s="35"/>
      <c r="P1203" s="35"/>
      <c r="Q1203" s="35"/>
      <c r="R1203" s="35"/>
      <c r="S1203" s="35"/>
      <c r="T1203" s="35"/>
      <c r="U1203" s="35"/>
      <c r="V1203" s="35"/>
      <c r="W1203" s="35"/>
      <c r="X1203" s="35"/>
      <c r="Y1203" s="35"/>
      <c r="Z1203" s="35"/>
      <c r="AA1203" s="35"/>
      <c r="AB1203" s="35"/>
      <c r="AC1203" s="35"/>
      <c r="AD1203" s="35"/>
      <c r="AE1203" s="35"/>
    </row>
    <row r="1204">
      <c r="A1204" s="30">
        <v>46119.0</v>
      </c>
      <c r="B1204" s="35" t="str">
        <f>'รายชื่อพนักงานลาออกพ้นสภาพ'!B186</f>
        <v>VMS620064</v>
      </c>
      <c r="C1204" s="35" t="str">
        <f>'รายชื่อพนักงานลาออกพ้นสภาพ'!C186</f>
        <v>นางสาวสุปาริณี  ปริเวทัง</v>
      </c>
      <c r="D1204" s="35" t="str">
        <f>'รายชื่อพนักงานลาออกพ้นสภาพ'!D186</f>
        <v>36 ผู้ช่วยผู้จัดการ</v>
      </c>
      <c r="E1204" s="35" t="str">
        <f>'รายชื่อพนักงานลาออกพ้นสภาพ'!E186</f>
        <v>ฝ่ายบริหารนิติบุคคลอาคารชุด (SENA)</v>
      </c>
      <c r="F1204" s="40">
        <f>'รายชื่อพนักงานลาออกพ้นสภาพ'!H186</f>
        <v>46143</v>
      </c>
      <c r="G1204" s="33"/>
      <c r="H1204" s="33"/>
      <c r="I1204" s="73" t="s">
        <v>4675</v>
      </c>
      <c r="J1204" s="33"/>
      <c r="K1204" s="35"/>
      <c r="L1204" s="35"/>
      <c r="M1204" s="35"/>
      <c r="N1204" s="35"/>
      <c r="O1204" s="35"/>
      <c r="P1204" s="35"/>
      <c r="Q1204" s="35"/>
      <c r="R1204" s="35"/>
      <c r="S1204" s="35"/>
      <c r="T1204" s="35"/>
      <c r="U1204" s="35"/>
      <c r="V1204" s="35"/>
      <c r="W1204" s="35"/>
      <c r="X1204" s="35"/>
      <c r="Y1204" s="35"/>
      <c r="Z1204" s="35"/>
      <c r="AA1204" s="35"/>
      <c r="AB1204" s="35"/>
      <c r="AC1204" s="35"/>
      <c r="AD1204" s="35"/>
      <c r="AE1204" s="35"/>
    </row>
    <row r="1205">
      <c r="A1205" s="30">
        <v>46119.0</v>
      </c>
      <c r="B1205" s="35" t="str">
        <f>'รายชื่อพนักงานลาออกพ้นสภาพ'!B187</f>
        <v>VMS670239</v>
      </c>
      <c r="C1205" s="35" t="str">
        <f>'รายชื่อพนักงานลาออกพ้นสภาพ'!C187</f>
        <v>นายชยุต  อรัญญิก</v>
      </c>
      <c r="D1205" s="35" t="str">
        <f>'รายชื่อพนักงานลาออกพ้นสภาพ'!D187</f>
        <v>7854 เจ้าหน้าที่นิติบุคคล</v>
      </c>
      <c r="E1205" s="35" t="str">
        <f>'รายชื่อพนักงานลาออกพ้นสภาพ'!E187</f>
        <v>แผนกอาคารชุด แมเนอร์ สนามบินน้ำ</v>
      </c>
      <c r="F1205" s="40">
        <f>'รายชื่อพนักงานลาออกพ้นสภาพ'!H187</f>
        <v>46158</v>
      </c>
      <c r="G1205" s="33"/>
      <c r="H1205" s="33"/>
      <c r="I1205" s="73" t="s">
        <v>4676</v>
      </c>
      <c r="J1205" s="33"/>
      <c r="K1205" s="35"/>
      <c r="L1205" s="35"/>
      <c r="M1205" s="35"/>
      <c r="N1205" s="35"/>
      <c r="O1205" s="35"/>
      <c r="P1205" s="35"/>
      <c r="Q1205" s="35"/>
      <c r="R1205" s="35"/>
      <c r="S1205" s="35"/>
      <c r="T1205" s="35"/>
      <c r="U1205" s="35"/>
      <c r="V1205" s="35"/>
      <c r="W1205" s="35"/>
      <c r="X1205" s="35"/>
      <c r="Y1205" s="35"/>
      <c r="Z1205" s="35"/>
      <c r="AA1205" s="35"/>
      <c r="AB1205" s="35"/>
      <c r="AC1205" s="35"/>
      <c r="AD1205" s="35"/>
      <c r="AE1205" s="35"/>
    </row>
    <row r="1206">
      <c r="A1206" s="30">
        <v>46119.0</v>
      </c>
      <c r="B1206" s="35" t="str">
        <f>'รายชื่อพนักงานลาออกพ้นสภาพ'!B188</f>
        <v>VMS680236</v>
      </c>
      <c r="C1206" s="35" t="str">
        <f>'รายชื่อพนักงานลาออกพ้นสภาพ'!C188</f>
        <v>นายสุทธิชา  พรหมศร</v>
      </c>
      <c r="D1206" s="35" t="str">
        <f>'รายชื่อพนักงานลาออกพ้นสภาพ'!D188</f>
        <v>8855 ช่างประจำอาคาร</v>
      </c>
      <c r="E1206" s="35" t="str">
        <f>'รายชื่อพนักงานลาออกพ้นสภาพ'!E188</f>
        <v>แผนกอาคารชุด แมเนอร์ สนามบินน้ำ</v>
      </c>
      <c r="F1206" s="40">
        <f>'รายชื่อพนักงานลาออกพ้นสภาพ'!H188</f>
        <v>46158</v>
      </c>
      <c r="G1206" s="33"/>
      <c r="H1206" s="33"/>
      <c r="I1206" s="73" t="s">
        <v>4677</v>
      </c>
      <c r="J1206" s="33"/>
      <c r="K1206" s="35"/>
      <c r="L1206" s="35"/>
      <c r="M1206" s="35"/>
      <c r="N1206" s="35"/>
      <c r="O1206" s="35"/>
      <c r="P1206" s="35"/>
      <c r="Q1206" s="35"/>
      <c r="R1206" s="35"/>
      <c r="S1206" s="35"/>
      <c r="T1206" s="35"/>
      <c r="U1206" s="35"/>
      <c r="V1206" s="35"/>
      <c r="W1206" s="35"/>
      <c r="X1206" s="35"/>
      <c r="Y1206" s="35"/>
      <c r="Z1206" s="35"/>
      <c r="AA1206" s="35"/>
      <c r="AB1206" s="35"/>
      <c r="AC1206" s="35"/>
      <c r="AD1206" s="35"/>
      <c r="AE1206" s="35"/>
    </row>
    <row r="1207">
      <c r="A1207" s="30">
        <v>46119.0</v>
      </c>
      <c r="B1207" s="35" t="str">
        <f>'รายชื่อพนักงานลาออกพ้นสภาพ'!B189</f>
        <v>VMS670402</v>
      </c>
      <c r="C1207" s="35" t="str">
        <f>'รายชื่อพนักงานลาออกพ้นสภาพ'!C189</f>
        <v>นางสาวนพมาศ  พิณทมร</v>
      </c>
      <c r="D1207" s="35" t="str">
        <f>'รายชื่อพนักงานลาออกพ้นสภาพ'!D189</f>
        <v>7854 เจ้าหน้าที่นิติบุคคล</v>
      </c>
      <c r="E1207" s="35" t="str">
        <f>'รายชื่อพนักงานลาออกพ้นสภาพ'!E189</f>
        <v>แผนกอาคารชุด เสนาคิทท์ ฉลองกรุง - ลาดกระบัง</v>
      </c>
      <c r="F1207" s="40">
        <f>'รายชื่อพนักงานลาออกพ้นสภาพ'!H189</f>
        <v>46158</v>
      </c>
      <c r="G1207" s="33"/>
      <c r="H1207" s="33"/>
      <c r="I1207" s="73" t="s">
        <v>4678</v>
      </c>
      <c r="J1207" s="33"/>
      <c r="K1207" s="35"/>
      <c r="L1207" s="35"/>
      <c r="M1207" s="35"/>
      <c r="N1207" s="35"/>
      <c r="O1207" s="35"/>
      <c r="P1207" s="35"/>
      <c r="Q1207" s="35"/>
      <c r="R1207" s="35"/>
      <c r="S1207" s="35"/>
      <c r="T1207" s="35"/>
      <c r="U1207" s="35"/>
      <c r="V1207" s="35"/>
      <c r="W1207" s="35"/>
      <c r="X1207" s="35"/>
      <c r="Y1207" s="35"/>
      <c r="Z1207" s="35"/>
      <c r="AA1207" s="35"/>
      <c r="AB1207" s="35"/>
      <c r="AC1207" s="35"/>
      <c r="AD1207" s="35"/>
      <c r="AE1207" s="35"/>
    </row>
    <row r="1208">
      <c r="A1208" s="30">
        <v>46119.0</v>
      </c>
      <c r="B1208" s="35" t="str">
        <f>'รายชื่อพนักงานลาออกพ้นสภาพ'!B190</f>
        <v>VMS660143</v>
      </c>
      <c r="C1208" s="35" t="str">
        <f>'รายชื่อพนักงานลาออกพ้นสภาพ'!C190</f>
        <v>นายเจษฎา  เกตุสละ</v>
      </c>
      <c r="D1208" s="35" t="str">
        <f>'รายชื่อพนักงานลาออกพ้นสภาพ'!D190</f>
        <v>5859 ผู้จัดการอาคาร</v>
      </c>
      <c r="E1208" s="35" t="str">
        <f>'รายชื่อพนักงานลาออกพ้นสภาพ'!E190</f>
        <v>แผนกอาคารชุด เสนาคิทท์ รัตนาธิเบศร์ - บางบัวทอง</v>
      </c>
      <c r="F1208" s="40">
        <f>'รายชื่อพนักงานลาออกพ้นสภาพ'!H190</f>
        <v>46143</v>
      </c>
      <c r="G1208" s="33"/>
      <c r="H1208" s="33"/>
      <c r="I1208" s="73" t="s">
        <v>4679</v>
      </c>
      <c r="J1208" s="33"/>
      <c r="K1208" s="35"/>
      <c r="L1208" s="35"/>
      <c r="M1208" s="35"/>
      <c r="N1208" s="35"/>
      <c r="O1208" s="35"/>
      <c r="P1208" s="35"/>
      <c r="Q1208" s="35"/>
      <c r="R1208" s="35"/>
      <c r="S1208" s="35"/>
      <c r="T1208" s="35"/>
      <c r="U1208" s="35"/>
      <c r="V1208" s="35"/>
      <c r="W1208" s="35"/>
      <c r="X1208" s="35"/>
      <c r="Y1208" s="35"/>
      <c r="Z1208" s="35"/>
      <c r="AA1208" s="35"/>
      <c r="AB1208" s="35"/>
      <c r="AC1208" s="35"/>
      <c r="AD1208" s="35"/>
      <c r="AE1208" s="35"/>
    </row>
    <row r="1209">
      <c r="A1209" s="30">
        <v>46119.0</v>
      </c>
      <c r="B1209" s="35" t="str">
        <f>'รายชื่อพนักงานลาออกพ้นสภาพ'!B191</f>
        <v>VMS670221</v>
      </c>
      <c r="C1209" s="35" t="str">
        <f>'รายชื่อพนักงานลาออกพ้นสภาพ'!C191</f>
        <v>นายณัฐพล  ทีฆาวงค์</v>
      </c>
      <c r="D1209" s="35" t="str">
        <f>'รายชื่อพนักงานลาออกพ้นสภาพ'!D191</f>
        <v>8857 ช่างเทคนิค</v>
      </c>
      <c r="E1209" s="35" t="str">
        <f>'รายชื่อพนักงานลาออกพ้นสภาพ'!E191</f>
        <v>แผนกอาคารชุด ศุภาลัย มอนเต้ 2</v>
      </c>
      <c r="F1209" s="40">
        <f>'รายชื่อพนักงานลาออกพ้นสภาพ'!H191</f>
        <v>46159</v>
      </c>
      <c r="G1209" s="33"/>
      <c r="H1209" s="33"/>
      <c r="I1209" s="73" t="s">
        <v>4680</v>
      </c>
      <c r="J1209" s="33"/>
      <c r="K1209" s="35"/>
      <c r="L1209" s="35"/>
      <c r="M1209" s="35"/>
      <c r="N1209" s="35"/>
      <c r="O1209" s="35"/>
      <c r="P1209" s="35"/>
      <c r="Q1209" s="35"/>
      <c r="R1209" s="35"/>
      <c r="S1209" s="35"/>
      <c r="T1209" s="35"/>
      <c r="U1209" s="35"/>
      <c r="V1209" s="35"/>
      <c r="W1209" s="35"/>
      <c r="X1209" s="35"/>
      <c r="Y1209" s="35"/>
      <c r="Z1209" s="35"/>
      <c r="AA1209" s="35"/>
      <c r="AB1209" s="35"/>
      <c r="AC1209" s="35"/>
      <c r="AD1209" s="35"/>
      <c r="AE1209" s="35"/>
    </row>
    <row r="1210">
      <c r="A1210" s="30">
        <v>46119.0</v>
      </c>
      <c r="B1210" s="35" t="str">
        <f>'รายชื่อพนักงานลาออกพ้นสภาพ'!B192</f>
        <v>VMS690023</v>
      </c>
      <c r="C1210" s="35" t="str">
        <f>'รายชื่อพนักงานลาออกพ้นสภาพ'!C192</f>
        <v>นายอุทิศ  มีรินทร์</v>
      </c>
      <c r="D1210" s="35" t="str">
        <f>'รายชื่อพนักงานลาออกพ้นสภาพ'!D192</f>
        <v>8855 ช่างประจำอาคาร</v>
      </c>
      <c r="E1210" s="35" t="str">
        <f>'รายชื่อพนักงานลาออกพ้นสภาพ'!E192</f>
        <v>แผนกอาคารชุด เฟล็กซี่ สาทร - เจริญนคร เฟส 1</v>
      </c>
      <c r="F1210" s="40">
        <f>'รายชื่อพนักงานลาออกพ้นสภาพ'!H192</f>
        <v>46121</v>
      </c>
      <c r="G1210" s="33"/>
      <c r="H1210" s="33"/>
      <c r="I1210" s="73" t="s">
        <v>4681</v>
      </c>
      <c r="J1210" s="33"/>
      <c r="K1210" s="35"/>
      <c r="L1210" s="35"/>
      <c r="M1210" s="35"/>
      <c r="N1210" s="35"/>
      <c r="O1210" s="35"/>
      <c r="P1210" s="35"/>
      <c r="Q1210" s="35"/>
      <c r="R1210" s="35"/>
      <c r="S1210" s="35"/>
      <c r="T1210" s="35"/>
      <c r="U1210" s="35"/>
      <c r="V1210" s="35"/>
      <c r="W1210" s="35"/>
      <c r="X1210" s="35"/>
      <c r="Y1210" s="35"/>
      <c r="Z1210" s="35"/>
      <c r="AA1210" s="35"/>
      <c r="AB1210" s="35"/>
      <c r="AC1210" s="35"/>
      <c r="AD1210" s="35"/>
      <c r="AE1210" s="35"/>
    </row>
    <row r="1211">
      <c r="A1211" s="30">
        <v>46119.0</v>
      </c>
      <c r="B1211" s="35" t="str">
        <f>'รายชื่อพนักงานลาออกพ้นสภาพ'!B193</f>
        <v>VMS680173</v>
      </c>
      <c r="C1211" s="35" t="str">
        <f>'รายชื่อพนักงานลาออกพ้นสภาพ'!C193</f>
        <v>นายธีรวุฒิ  ยืนยาว</v>
      </c>
      <c r="D1211" s="35" t="str">
        <f>'รายชื่อพนักงานลาออกพ้นสภาพ'!D193</f>
        <v>8855 ช่างประจำอาคาร</v>
      </c>
      <c r="E1211" s="35" t="str">
        <f>'รายชื่อพนักงานลาออกพ้นสภาพ'!E193</f>
        <v>แผนกอาคารชุด เฟล็กซี่ เตาปูน อินเตอร์เชนจ์</v>
      </c>
      <c r="F1211" s="40">
        <f>'รายชื่อพนักงานลาออกพ้นสภาพ'!H193</f>
        <v>46145</v>
      </c>
      <c r="G1211" s="33"/>
      <c r="H1211" s="33"/>
      <c r="I1211" s="73" t="s">
        <v>4682</v>
      </c>
      <c r="J1211" s="33"/>
      <c r="K1211" s="35"/>
      <c r="L1211" s="35"/>
      <c r="M1211" s="35"/>
      <c r="N1211" s="35"/>
      <c r="O1211" s="35"/>
      <c r="P1211" s="35"/>
      <c r="Q1211" s="35"/>
      <c r="R1211" s="35"/>
      <c r="S1211" s="35"/>
      <c r="T1211" s="35"/>
      <c r="U1211" s="35"/>
      <c r="V1211" s="35"/>
      <c r="W1211" s="35"/>
      <c r="X1211" s="35"/>
      <c r="Y1211" s="35"/>
      <c r="Z1211" s="35"/>
      <c r="AA1211" s="35"/>
      <c r="AB1211" s="35"/>
      <c r="AC1211" s="35"/>
      <c r="AD1211" s="35"/>
      <c r="AE1211" s="35"/>
    </row>
    <row r="1212">
      <c r="A1212" s="30">
        <v>46119.0</v>
      </c>
      <c r="B1212" s="35" t="str">
        <f>'รายชื่อพนักงานลาออกพ้นสภาพ'!B194</f>
        <v>BK680632</v>
      </c>
      <c r="C1212" s="35" t="str">
        <f>'รายชื่อพนักงานลาออกพ้นสภาพ'!C194</f>
        <v>นายณัฐรัชต์ เดชอุทัย </v>
      </c>
      <c r="D1212" s="35" t="str">
        <f>'รายชื่อพนักงานลาออกพ้นสภาพ'!D194</f>
        <v>6401 เจ้าหน้าที่ขายและสินเชื่ออาวุโส</v>
      </c>
      <c r="E1212" s="35" t="str">
        <f>'รายชื่อพนักงานลาออกพ้นสภาพ'!E194</f>
        <v>เสนา วีว่า เพชรเกษม – พุทธมณฑล สาย 7</v>
      </c>
      <c r="F1212" s="40">
        <f>'รายชื่อพนักงานลาออกพ้นสภาพ'!H194</f>
        <v>46136</v>
      </c>
      <c r="G1212" s="33"/>
      <c r="H1212" s="88" t="s">
        <v>4683</v>
      </c>
      <c r="I1212" s="33"/>
      <c r="J1212" s="33"/>
      <c r="K1212" s="35"/>
      <c r="L1212" s="35"/>
      <c r="M1212" s="35"/>
      <c r="N1212" s="35"/>
      <c r="O1212" s="35"/>
      <c r="P1212" s="35"/>
      <c r="Q1212" s="35"/>
      <c r="R1212" s="35"/>
      <c r="S1212" s="35"/>
      <c r="T1212" s="35"/>
      <c r="U1212" s="35"/>
      <c r="V1212" s="35"/>
      <c r="W1212" s="35"/>
      <c r="X1212" s="35"/>
      <c r="Y1212" s="35"/>
      <c r="Z1212" s="35"/>
      <c r="AA1212" s="35"/>
      <c r="AB1212" s="35"/>
      <c r="AC1212" s="35"/>
      <c r="AD1212" s="35"/>
      <c r="AE1212" s="35"/>
    </row>
    <row r="1213">
      <c r="A1213" s="30">
        <v>46119.0</v>
      </c>
      <c r="B1213" s="35" t="str">
        <f>'รายชื่อพนักงานลาออกพ้นสภาพ'!B195</f>
        <v>SX660036</v>
      </c>
      <c r="C1213" s="35" t="str">
        <f>'รายชื่อพนักงานลาออกพ้นสภาพ'!C195</f>
        <v>นางสาวรจนา  เหล่หมุด</v>
      </c>
      <c r="D1213" s="35" t="str">
        <f>'รายชื่อพนักงานลาออกพ้นสภาพ'!D195</f>
        <v>7753 เจ้าหน้าที่บัญชีเจ้าหนี้</v>
      </c>
      <c r="E1213" s="35" t="str">
        <f>'รายชื่อพนักงานลาออกพ้นสภาพ'!E195</f>
        <v>แผนกบัญชีเจ้าหนี้ (AP) </v>
      </c>
      <c r="F1213" s="40">
        <f>'รายชื่อพนักงานลาออกพ้นสภาพ'!H195</f>
        <v>46149</v>
      </c>
      <c r="G1213" s="33"/>
      <c r="H1213" s="33"/>
      <c r="I1213" s="85" t="s">
        <v>4684</v>
      </c>
      <c r="J1213" s="33"/>
      <c r="K1213" s="35"/>
      <c r="L1213" s="35"/>
      <c r="M1213" s="35"/>
      <c r="N1213" s="35"/>
      <c r="O1213" s="35"/>
      <c r="P1213" s="35"/>
      <c r="Q1213" s="35"/>
      <c r="R1213" s="35"/>
      <c r="S1213" s="35"/>
      <c r="T1213" s="35"/>
      <c r="U1213" s="35"/>
      <c r="V1213" s="35"/>
      <c r="W1213" s="35"/>
      <c r="X1213" s="35"/>
      <c r="Y1213" s="35"/>
      <c r="Z1213" s="35"/>
      <c r="AA1213" s="35"/>
      <c r="AB1213" s="35"/>
      <c r="AC1213" s="35"/>
      <c r="AD1213" s="35"/>
      <c r="AE1213" s="35"/>
    </row>
    <row r="1214">
      <c r="A1214" s="30">
        <v>46120.0</v>
      </c>
      <c r="B1214" s="35" t="str">
        <f>'รายชื่อพนักงานลาออกพ้นสภาพ'!B196</f>
        <v>VMS690101</v>
      </c>
      <c r="C1214" s="35" t="str">
        <f>'รายชื่อพนักงานลาออกพ้นสภาพ'!C196</f>
        <v>นางสาวพัชชากร  บวรไพศาลกุล</v>
      </c>
      <c r="D1214" s="35" t="str">
        <f>'รายชื่อพนักงานลาออกพ้นสภาพ'!D196</f>
        <v>7854 เจ้าหน้าที่นิติบุคคล</v>
      </c>
      <c r="E1214" s="35" t="str">
        <f>'รายชื่อพนักงานลาออกพ้นสภาพ'!E196</f>
        <v>แผนกอาคารชุด เดอะนิช ไพรด์ ทองหล่อ - เพชรบุรี</v>
      </c>
      <c r="F1214" s="40">
        <f>'รายชื่อพนักงานลาออกพ้นสภาพ'!H196</f>
        <v>46116</v>
      </c>
      <c r="G1214" s="33"/>
      <c r="H1214" s="33"/>
      <c r="I1214" s="33"/>
      <c r="J1214" s="33"/>
      <c r="K1214" s="35"/>
      <c r="L1214" s="35"/>
      <c r="M1214" s="35"/>
      <c r="N1214" s="35"/>
      <c r="O1214" s="35"/>
      <c r="P1214" s="35"/>
      <c r="Q1214" s="35"/>
      <c r="R1214" s="35"/>
      <c r="S1214" s="35"/>
      <c r="T1214" s="35"/>
      <c r="U1214" s="35"/>
      <c r="V1214" s="35"/>
      <c r="W1214" s="35"/>
      <c r="X1214" s="35"/>
      <c r="Y1214" s="35"/>
      <c r="Z1214" s="35"/>
      <c r="AA1214" s="35"/>
      <c r="AB1214" s="35"/>
      <c r="AC1214" s="35"/>
      <c r="AD1214" s="35"/>
      <c r="AE1214" s="35"/>
    </row>
    <row r="1215">
      <c r="A1215" s="30">
        <v>46120.0</v>
      </c>
      <c r="B1215" s="35" t="str">
        <f>'รายชื่อพนักงานลาออกพ้นสภาพ'!B197</f>
        <v>VMS690036</v>
      </c>
      <c r="C1215" s="35" t="str">
        <f>'รายชื่อพนักงานลาออกพ้นสภาพ'!C197</f>
        <v>นายสมพร   มามี</v>
      </c>
      <c r="D1215" s="35" t="str">
        <f>'รายชื่อพนักงานลาออกพ้นสภาพ'!D197</f>
        <v>8855 ช่างประจำอาคาร</v>
      </c>
      <c r="E1215" s="35" t="str">
        <f>'รายชื่อพนักงานลาออกพ้นสภาพ'!E197</f>
        <v>แผนกอาคารชุด ไอ-เฮาส์ ลากูน่า การ์เด้น</v>
      </c>
      <c r="F1215" s="40">
        <f>'รายชื่อพนักงานลาออกพ้นสภาพ'!H197</f>
        <v>46113</v>
      </c>
      <c r="G1215" s="33"/>
      <c r="H1215" s="33"/>
      <c r="I1215" s="33"/>
      <c r="J1215" s="33"/>
      <c r="K1215" s="35"/>
      <c r="L1215" s="35"/>
      <c r="M1215" s="35"/>
      <c r="N1215" s="35"/>
      <c r="O1215" s="35"/>
      <c r="P1215" s="35"/>
      <c r="Q1215" s="35"/>
      <c r="R1215" s="35"/>
      <c r="S1215" s="35"/>
      <c r="T1215" s="35"/>
      <c r="U1215" s="35"/>
      <c r="V1215" s="35"/>
      <c r="W1215" s="35"/>
      <c r="X1215" s="35"/>
      <c r="Y1215" s="35"/>
      <c r="Z1215" s="35"/>
      <c r="AA1215" s="35"/>
      <c r="AB1215" s="35"/>
      <c r="AC1215" s="35"/>
      <c r="AD1215" s="35"/>
      <c r="AE1215" s="35"/>
    </row>
    <row r="1216">
      <c r="A1216" s="30">
        <v>46120.0</v>
      </c>
      <c r="B1216" s="35" t="str">
        <f>'รายชื่อพนักงานลาออกพ้นสภาพ'!B198</f>
        <v>VMS680239</v>
      </c>
      <c r="C1216" s="35" t="str">
        <f>'รายชื่อพนักงานลาออกพ้นสภาพ'!C198</f>
        <v>นายณัฐพัชร์  พันแน่น</v>
      </c>
      <c r="D1216" s="35" t="str">
        <f>'รายชื่อพนักงานลาออกพ้นสภาพ'!D198</f>
        <v>7855 หัวหน้าช่างประจำอาคาร</v>
      </c>
      <c r="E1216" s="35" t="str">
        <f>'รายชื่อพนักงานลาออกพ้นสภาพ'!E198</f>
        <v>แผนกอาคารชุด ศุภาลัย ซิตี้ รีสอร์ท ระยอง</v>
      </c>
      <c r="F1216" s="40">
        <f>'รายชื่อพนักงานลาออกพ้นสภาพ'!H198</f>
        <v>46125</v>
      </c>
      <c r="G1216" s="33"/>
      <c r="H1216" s="33"/>
      <c r="I1216" s="73" t="s">
        <v>4685</v>
      </c>
      <c r="J1216" s="33"/>
      <c r="K1216" s="35"/>
      <c r="L1216" s="35"/>
      <c r="M1216" s="35"/>
      <c r="N1216" s="35"/>
      <c r="O1216" s="35"/>
      <c r="P1216" s="35"/>
      <c r="Q1216" s="35"/>
      <c r="R1216" s="35"/>
      <c r="S1216" s="35"/>
      <c r="T1216" s="35"/>
      <c r="U1216" s="35"/>
      <c r="V1216" s="35"/>
      <c r="W1216" s="35"/>
      <c r="X1216" s="35"/>
      <c r="Y1216" s="35"/>
      <c r="Z1216" s="35"/>
      <c r="AA1216" s="35"/>
      <c r="AB1216" s="35"/>
      <c r="AC1216" s="35"/>
      <c r="AD1216" s="35"/>
      <c r="AE1216" s="35"/>
    </row>
    <row r="1217">
      <c r="A1217" s="30">
        <v>46120.0</v>
      </c>
      <c r="B1217" s="35" t="str">
        <f>'รายชื่อพนักงานลาออกพ้นสภาพ'!B199</f>
        <v>VMS680122</v>
      </c>
      <c r="C1217" s="35" t="str">
        <f>'รายชื่อพนักงานลาออกพ้นสภาพ'!C199</f>
        <v>นายอพินดี  มหิเละ</v>
      </c>
      <c r="D1217" s="35" t="str">
        <f>'รายชื่อพนักงานลาออกพ้นสภาพ'!D199</f>
        <v>8855 ช่างประจำอาคาร</v>
      </c>
      <c r="E1217" s="35" t="str">
        <f>'รายชื่อพนักงานลาออกพ้นสภาพ'!E199</f>
        <v>แผนกอาคารชุด นิช โมโน รามคำแหง</v>
      </c>
      <c r="F1217" s="40">
        <f>'รายชื่อพนักงานลาออกพ้นสภาพ'!H199</f>
        <v>46163</v>
      </c>
      <c r="G1217" s="33"/>
      <c r="H1217" s="33"/>
      <c r="I1217" s="73" t="s">
        <v>4686</v>
      </c>
      <c r="J1217" s="33"/>
      <c r="K1217" s="35"/>
      <c r="L1217" s="35"/>
      <c r="M1217" s="35"/>
      <c r="N1217" s="35"/>
      <c r="O1217" s="35"/>
      <c r="P1217" s="35"/>
      <c r="Q1217" s="35"/>
      <c r="R1217" s="35"/>
      <c r="S1217" s="35"/>
      <c r="T1217" s="35"/>
      <c r="U1217" s="35"/>
      <c r="V1217" s="35"/>
      <c r="W1217" s="35"/>
      <c r="X1217" s="35"/>
      <c r="Y1217" s="35"/>
      <c r="Z1217" s="35"/>
      <c r="AA1217" s="35"/>
      <c r="AB1217" s="35"/>
      <c r="AC1217" s="35"/>
      <c r="AD1217" s="35"/>
      <c r="AE1217" s="35"/>
    </row>
    <row r="1218">
      <c r="A1218" s="30">
        <v>46120.0</v>
      </c>
      <c r="B1218" s="35" t="str">
        <f>'รายชื่อพนักงานลาออกพ้นสภาพ'!B200</f>
        <v>VMS670435</v>
      </c>
      <c r="C1218" s="35" t="str">
        <f>'รายชื่อพนักงานลาออกพ้นสภาพ'!C200</f>
        <v>นางสาววาสนา  กิมขุนทด</v>
      </c>
      <c r="D1218" s="35" t="str">
        <f>'รายชื่อพนักงานลาออกพ้นสภาพ'!D200</f>
        <v>5859 ผู้จัดการอาคาร</v>
      </c>
      <c r="E1218" s="35" t="str">
        <f>'รายชื่อพนักงานลาออกพ้นสภาพ'!E200</f>
        <v>แผนกอาคารชุด เสนาคิทท์ ฉลองกรุง - ลาดกระบัง</v>
      </c>
      <c r="F1218" s="40">
        <f>'รายชื่อพนักงานลาออกพ้นสภาพ'!H200</f>
        <v>46143</v>
      </c>
      <c r="G1218" s="33"/>
      <c r="H1218" s="33"/>
      <c r="I1218" s="73" t="s">
        <v>4687</v>
      </c>
      <c r="J1218" s="33"/>
      <c r="K1218" s="35"/>
      <c r="L1218" s="35"/>
      <c r="M1218" s="35"/>
      <c r="N1218" s="35"/>
      <c r="O1218" s="35"/>
      <c r="P1218" s="35"/>
      <c r="Q1218" s="35"/>
      <c r="R1218" s="35"/>
      <c r="S1218" s="35"/>
      <c r="T1218" s="35"/>
      <c r="U1218" s="35"/>
      <c r="V1218" s="35"/>
      <c r="W1218" s="35"/>
      <c r="X1218" s="35"/>
      <c r="Y1218" s="35"/>
      <c r="Z1218" s="35"/>
      <c r="AA1218" s="35"/>
      <c r="AB1218" s="35"/>
      <c r="AC1218" s="35"/>
      <c r="AD1218" s="35"/>
      <c r="AE1218" s="35"/>
    </row>
    <row r="1219">
      <c r="A1219" s="30">
        <v>46120.0</v>
      </c>
      <c r="B1219" s="35" t="str">
        <f>'รายชื่อพนักงานลาออกพ้นสภาพ'!B201</f>
        <v>VMS680129</v>
      </c>
      <c r="C1219" s="35" t="str">
        <f>'รายชื่อพนักงานลาออกพ้นสภาพ'!C201</f>
        <v>นางสาวรุ่งอรุณ  บุญป้อง</v>
      </c>
      <c r="D1219" s="35" t="str">
        <f>'รายชื่อพนักงานลาออกพ้นสภาพ'!D201</f>
        <v>7905 เจ้าหน้าที่อาคาร</v>
      </c>
      <c r="E1219" s="35" t="str">
        <f>'รายชื่อพนักงานลาออกพ้นสภาพ'!E201</f>
        <v>แผนกอาคารชุด แมเนอร์ สนามบินน้ำ</v>
      </c>
      <c r="F1219" s="40">
        <f>'รายชื่อพนักงานลาออกพ้นสภาพ'!H201</f>
        <v>46158</v>
      </c>
      <c r="G1219" s="33"/>
      <c r="H1219" s="33"/>
      <c r="I1219" s="73" t="s">
        <v>4688</v>
      </c>
      <c r="J1219" s="33"/>
      <c r="K1219" s="35"/>
      <c r="L1219" s="35"/>
      <c r="M1219" s="35"/>
      <c r="N1219" s="35"/>
      <c r="O1219" s="35"/>
      <c r="P1219" s="35"/>
      <c r="Q1219" s="35"/>
      <c r="R1219" s="35"/>
      <c r="S1219" s="35"/>
      <c r="T1219" s="35"/>
      <c r="U1219" s="35"/>
      <c r="V1219" s="35"/>
      <c r="W1219" s="35"/>
      <c r="X1219" s="35"/>
      <c r="Y1219" s="35"/>
      <c r="Z1219" s="35"/>
      <c r="AA1219" s="35"/>
      <c r="AB1219" s="35"/>
      <c r="AC1219" s="35"/>
      <c r="AD1219" s="35"/>
      <c r="AE1219" s="35"/>
    </row>
    <row r="1220">
      <c r="A1220" s="30">
        <v>46120.0</v>
      </c>
      <c r="B1220" s="35" t="str">
        <f>'รายชื่อพนักงานลาออกพ้นสภาพ'!B202</f>
        <v>VMS680248</v>
      </c>
      <c r="C1220" s="35" t="str">
        <f>'รายชื่อพนักงานลาออกพ้นสภาพ'!C202</f>
        <v>นางสาวรุ่งนภา  ชุมสมภาร</v>
      </c>
      <c r="D1220" s="35" t="str">
        <f>'รายชื่อพนักงานลาออกพ้นสภาพ'!D202</f>
        <v>7854 เจ้าหน้าที่นิติบุคคล</v>
      </c>
      <c r="E1220" s="35" t="str">
        <f>'รายชื่อพนักงานลาออกพ้นสภาพ'!E202</f>
        <v>แผนกอาคารชุด แมเนอร์ สนามบินน้ำ</v>
      </c>
      <c r="F1220" s="40">
        <f>'รายชื่อพนักงานลาออกพ้นสภาพ'!H202</f>
        <v>46128</v>
      </c>
      <c r="G1220" s="33"/>
      <c r="H1220" s="33"/>
      <c r="I1220" s="73" t="s">
        <v>4689</v>
      </c>
      <c r="J1220" s="33"/>
      <c r="K1220" s="35"/>
      <c r="L1220" s="35"/>
      <c r="M1220" s="35"/>
      <c r="N1220" s="35"/>
      <c r="O1220" s="35"/>
      <c r="P1220" s="35"/>
      <c r="Q1220" s="35"/>
      <c r="R1220" s="35"/>
      <c r="S1220" s="35"/>
      <c r="T1220" s="35"/>
      <c r="U1220" s="35"/>
      <c r="V1220" s="35"/>
      <c r="W1220" s="35"/>
      <c r="X1220" s="35"/>
      <c r="Y1220" s="35"/>
      <c r="Z1220" s="35"/>
      <c r="AA1220" s="35"/>
      <c r="AB1220" s="35"/>
      <c r="AC1220" s="35"/>
      <c r="AD1220" s="35"/>
      <c r="AE1220" s="35"/>
    </row>
    <row r="1221">
      <c r="A1221" s="30">
        <v>46120.0</v>
      </c>
      <c r="B1221" s="35" t="str">
        <f>'รายชื่อพนักงานลาออกพ้นสภาพ'!B203</f>
        <v>SSG610020</v>
      </c>
      <c r="C1221" s="35" t="str">
        <f>'รายชื่อพนักงานลาออกพ้นสภาพ'!C203</f>
        <v>นายรุ่งศักดิ์ นิธิลาภพูล </v>
      </c>
      <c r="D1221" s="35" t="str">
        <f>'รายชื่อพนักงานลาออกพ้นสภาพ'!D203</f>
        <v>4707 หัวหน้าประสานงานราชการ</v>
      </c>
      <c r="E1221" s="35" t="str">
        <f>'รายชื่อพนักงานลาออกพ้นสภาพ'!E203</f>
        <v>แผนกประสานงานราชการ</v>
      </c>
      <c r="F1221" s="40">
        <f>'รายชื่อพนักงานลาออกพ้นสภาพ'!H203</f>
        <v>46158</v>
      </c>
      <c r="G1221" s="33"/>
      <c r="H1221" s="33"/>
      <c r="I1221" s="33"/>
      <c r="J1221" s="73" t="s">
        <v>4690</v>
      </c>
      <c r="K1221" s="35"/>
      <c r="L1221" s="35"/>
      <c r="M1221" s="35"/>
      <c r="N1221" s="35"/>
      <c r="O1221" s="35"/>
      <c r="P1221" s="35"/>
      <c r="Q1221" s="35"/>
      <c r="R1221" s="35"/>
      <c r="S1221" s="35"/>
      <c r="T1221" s="35"/>
      <c r="U1221" s="35"/>
      <c r="V1221" s="35"/>
      <c r="W1221" s="35"/>
      <c r="X1221" s="35"/>
      <c r="Y1221" s="35"/>
      <c r="Z1221" s="35"/>
      <c r="AA1221" s="35"/>
      <c r="AB1221" s="35"/>
      <c r="AC1221" s="35"/>
      <c r="AD1221" s="35"/>
      <c r="AE1221" s="35"/>
    </row>
    <row r="1222">
      <c r="A1222" s="30">
        <v>46121.0</v>
      </c>
      <c r="B1222" s="35" t="str">
        <f>'รายชื่อพนักงานลาออกพ้นสภาพ'!B204</f>
        <v>VMS680219</v>
      </c>
      <c r="C1222" s="35" t="str">
        <f>'รายชื่อพนักงานลาออกพ้นสภาพ'!C204</f>
        <v>นายวิเศษศักดิ์  พิลารักษ์</v>
      </c>
      <c r="D1222" s="35" t="str">
        <f>'รายชื่อพนักงานลาออกพ้นสภาพ'!D204</f>
        <v>8855 ช่างประจำอาคาร</v>
      </c>
      <c r="E1222" s="35" t="str">
        <f>'รายชื่อพนักงานลาออกพ้นสภาพ'!E204</f>
        <v>แผนกอาคารชุด นิช โมโน รามคำแหง</v>
      </c>
      <c r="F1222" s="40">
        <f>'รายชื่อพนักงานลาออกพ้นสภาพ'!H204</f>
        <v>46143</v>
      </c>
      <c r="G1222" s="33"/>
      <c r="H1222" s="33"/>
      <c r="I1222" s="73" t="s">
        <v>4691</v>
      </c>
      <c r="J1222" s="33"/>
      <c r="K1222" s="35"/>
      <c r="L1222" s="35"/>
      <c r="M1222" s="35"/>
      <c r="N1222" s="35"/>
      <c r="O1222" s="35"/>
      <c r="P1222" s="35"/>
      <c r="Q1222" s="35"/>
      <c r="R1222" s="35"/>
      <c r="S1222" s="35"/>
      <c r="T1222" s="35"/>
      <c r="U1222" s="35"/>
      <c r="V1222" s="35"/>
      <c r="W1222" s="35"/>
      <c r="X1222" s="35"/>
      <c r="Y1222" s="35"/>
      <c r="Z1222" s="35"/>
      <c r="AA1222" s="35"/>
      <c r="AB1222" s="35"/>
      <c r="AC1222" s="35"/>
      <c r="AD1222" s="35"/>
      <c r="AE1222" s="35"/>
    </row>
    <row r="1223">
      <c r="A1223" s="30">
        <v>46121.0</v>
      </c>
      <c r="B1223" s="35" t="str">
        <f>'รายชื่อพนักงานลาออกพ้นสภาพ'!B205</f>
        <v>VMS690093</v>
      </c>
      <c r="C1223" s="35" t="str">
        <f>'รายชื่อพนักงานลาออกพ้นสภาพ'!C205</f>
        <v>นางสาวณัฐญา  แผ่วฉิมพลี</v>
      </c>
      <c r="D1223" s="35" t="str">
        <f>'รายชื่อพนักงานลาออกพ้นสภาพ'!D205</f>
        <v>7854 เจ้าหน้าที่นิติบุคคล</v>
      </c>
      <c r="E1223" s="35" t="str">
        <f>'รายชื่อพนักงานลาออกพ้นสภาพ'!E205</f>
        <v>แผนกหมู่บ้านจัดสรร บ้านกลางกรุง แกรนด์เวียนนา พระราม 3</v>
      </c>
      <c r="F1223" s="40">
        <f>'รายชื่อพนักงานลาออกพ้นสภาพ'!H205</f>
        <v>46117</v>
      </c>
      <c r="G1223" s="33"/>
      <c r="H1223" s="33"/>
      <c r="I1223" s="33"/>
      <c r="J1223" s="33"/>
      <c r="K1223" s="35"/>
      <c r="L1223" s="35"/>
      <c r="M1223" s="35"/>
      <c r="N1223" s="35"/>
      <c r="O1223" s="35"/>
      <c r="P1223" s="35"/>
      <c r="Q1223" s="35"/>
      <c r="R1223" s="35"/>
      <c r="S1223" s="35"/>
      <c r="T1223" s="35"/>
      <c r="U1223" s="35"/>
      <c r="V1223" s="35"/>
      <c r="W1223" s="35"/>
      <c r="X1223" s="35"/>
      <c r="Y1223" s="35"/>
      <c r="Z1223" s="35"/>
      <c r="AA1223" s="35"/>
      <c r="AB1223" s="35"/>
      <c r="AC1223" s="35"/>
      <c r="AD1223" s="35"/>
      <c r="AE1223" s="35"/>
    </row>
    <row r="1224">
      <c r="A1224" s="30">
        <v>46122.0</v>
      </c>
      <c r="B1224" s="35" t="str">
        <f>'รายชื่อพนักงานลาออกพ้นสภาพ'!B206</f>
        <v>BK650028</v>
      </c>
      <c r="C1224" s="35" t="str">
        <f>'รายชื่อพนักงานลาออกพ้นสภาพ'!C206</f>
        <v>น.ส.พัชรีญา คงสิม</v>
      </c>
      <c r="D1224" s="35" t="str">
        <f>'รายชื่อพนักงานลาออกพ้นสภาพ'!D206</f>
        <v>6354 เจ้าหน้าที่ธุรกิจต่างประเทศอาวุโส</v>
      </c>
      <c r="E1224" s="35" t="str">
        <f>'รายชื่อพนักงานลาออกพ้นสภาพ'!E206</f>
        <v>แผนกกลยุทธ์การลงทุน</v>
      </c>
      <c r="F1224" s="40">
        <f>'รายชื่อพนักงานลาออกพ้นสภาพ'!H206</f>
        <v>46143</v>
      </c>
      <c r="G1224" s="33"/>
      <c r="H1224" s="88" t="s">
        <v>4692</v>
      </c>
      <c r="I1224" s="33"/>
      <c r="J1224" s="33"/>
      <c r="K1224" s="35"/>
      <c r="L1224" s="35"/>
      <c r="M1224" s="35"/>
      <c r="N1224" s="35"/>
      <c r="O1224" s="35"/>
      <c r="P1224" s="35"/>
      <c r="Q1224" s="35"/>
      <c r="R1224" s="35"/>
      <c r="S1224" s="35"/>
      <c r="T1224" s="35"/>
      <c r="U1224" s="35"/>
      <c r="V1224" s="35"/>
      <c r="W1224" s="35"/>
      <c r="X1224" s="35"/>
      <c r="Y1224" s="35"/>
      <c r="Z1224" s="35"/>
      <c r="AA1224" s="35"/>
      <c r="AB1224" s="35"/>
      <c r="AC1224" s="35"/>
      <c r="AD1224" s="35"/>
      <c r="AE1224" s="35"/>
    </row>
    <row r="1225">
      <c r="A1225" s="30">
        <v>46122.0</v>
      </c>
      <c r="B1225" s="35" t="str">
        <f>'รายชื่อพนักงานลาออกพ้นสภาพ'!B207</f>
        <v>VMS690108</v>
      </c>
      <c r="C1225" s="35" t="str">
        <f>'รายชื่อพนักงานลาออกพ้นสภาพ'!C207</f>
        <v>นางสาววราภรณ์  ฝอยทอง</v>
      </c>
      <c r="D1225" s="35" t="str">
        <f>'รายชื่อพนักงานลาออกพ้นสภาพ'!D207</f>
        <v>5860 ผู้จัดการหมู่บ้าน</v>
      </c>
      <c r="E1225" s="35" t="str">
        <f>'รายชื่อพนักงานลาออกพ้นสภาพ'!E207</f>
        <v>แผนกหมู่บ้านจัดสรร บ้านกลางกรุง แกรนด์เวียนนา พระราม 3</v>
      </c>
      <c r="F1225" s="40">
        <f>'รายชื่อพนักงานลาออกพ้นสภาพ'!H207</f>
        <v>46115</v>
      </c>
      <c r="G1225" s="33"/>
      <c r="H1225" s="33"/>
      <c r="I1225" s="33"/>
      <c r="J1225" s="33"/>
      <c r="K1225" s="35"/>
      <c r="L1225" s="35"/>
      <c r="M1225" s="35"/>
      <c r="N1225" s="35"/>
      <c r="O1225" s="35"/>
      <c r="P1225" s="35"/>
      <c r="Q1225" s="35"/>
      <c r="R1225" s="35"/>
      <c r="S1225" s="35"/>
      <c r="T1225" s="35"/>
      <c r="U1225" s="35"/>
      <c r="V1225" s="35"/>
      <c r="W1225" s="35"/>
      <c r="X1225" s="35"/>
      <c r="Y1225" s="35"/>
      <c r="Z1225" s="35"/>
      <c r="AA1225" s="35"/>
      <c r="AB1225" s="35"/>
      <c r="AC1225" s="35"/>
      <c r="AD1225" s="35"/>
      <c r="AE1225" s="35"/>
    </row>
    <row r="1226">
      <c r="A1226" s="30">
        <v>46129.0</v>
      </c>
      <c r="B1226" s="35" t="str">
        <f>'รายชื่อพนักงานลาออกพ้นสภาพ'!B208</f>
        <v>VMS690084</v>
      </c>
      <c r="C1226" s="35" t="str">
        <f>'รายชื่อพนักงานลาออกพ้นสภาพ'!C208</f>
        <v>นายวงศกร  เดชะ</v>
      </c>
      <c r="D1226" s="35" t="str">
        <f>'รายชื่อพนักงานลาออกพ้นสภาพ'!D208</f>
        <v>8855 ช่างประจำอาคาร</v>
      </c>
      <c r="E1226" s="35" t="str">
        <f>'รายชื่อพนักงานลาออกพ้นสภาพ'!E208</f>
        <v>แผนกอาคารชุด ปีติ สุขุมวิท 101</v>
      </c>
      <c r="F1226" s="40">
        <f>'รายชื่อพนักงานลาออกพ้นสภาพ'!H208</f>
        <v>46116</v>
      </c>
      <c r="G1226" s="33"/>
      <c r="H1226" s="33"/>
      <c r="I1226" s="33"/>
      <c r="J1226" s="33"/>
      <c r="K1226" s="35"/>
      <c r="L1226" s="35"/>
      <c r="M1226" s="35"/>
      <c r="N1226" s="35"/>
      <c r="O1226" s="35"/>
      <c r="P1226" s="35"/>
      <c r="Q1226" s="35"/>
      <c r="R1226" s="35"/>
      <c r="S1226" s="35"/>
      <c r="T1226" s="35"/>
      <c r="U1226" s="35"/>
      <c r="V1226" s="35"/>
      <c r="W1226" s="35"/>
      <c r="X1226" s="35"/>
      <c r="Y1226" s="35"/>
      <c r="Z1226" s="35"/>
      <c r="AA1226" s="35"/>
      <c r="AB1226" s="35"/>
      <c r="AC1226" s="35"/>
      <c r="AD1226" s="35"/>
      <c r="AE1226" s="35"/>
    </row>
    <row r="1227">
      <c r="A1227" s="30">
        <v>46129.0</v>
      </c>
      <c r="B1227" s="35" t="str">
        <f>'รายชื่อพนักงานลาออกพ้นสภาพ'!B209</f>
        <v>VMS680136</v>
      </c>
      <c r="C1227" s="35" t="str">
        <f>'รายชื่อพนักงานลาออกพ้นสภาพ'!C209</f>
        <v>นายภูวสิษฏ์  ดอกจันทร์</v>
      </c>
      <c r="D1227" s="35" t="str">
        <f>'รายชื่อพนักงานลาออกพ้นสภาพ'!D209</f>
        <v>25 ผู้ช่วยผู้อำนวยการ</v>
      </c>
      <c r="E1227" s="35" t="str">
        <f>'รายชื่อพนักงานลาออกพ้นสภาพ'!E209</f>
        <v>สายงานวิศวกรรม</v>
      </c>
      <c r="F1227" s="40">
        <f>'รายชื่อพนักงานลาออกพ้นสภาพ'!H209</f>
        <v>46154</v>
      </c>
      <c r="G1227" s="33"/>
      <c r="H1227" s="33"/>
      <c r="I1227" s="73" t="s">
        <v>4693</v>
      </c>
      <c r="J1227" s="33"/>
      <c r="K1227" s="35"/>
      <c r="L1227" s="35"/>
      <c r="M1227" s="35"/>
      <c r="N1227" s="35"/>
      <c r="O1227" s="35"/>
      <c r="P1227" s="35"/>
      <c r="Q1227" s="35"/>
      <c r="R1227" s="35"/>
      <c r="S1227" s="35"/>
      <c r="T1227" s="35"/>
      <c r="U1227" s="35"/>
      <c r="V1227" s="35"/>
      <c r="W1227" s="35"/>
      <c r="X1227" s="35"/>
      <c r="Y1227" s="35"/>
      <c r="Z1227" s="35"/>
      <c r="AA1227" s="35"/>
      <c r="AB1227" s="35"/>
      <c r="AC1227" s="35"/>
      <c r="AD1227" s="35"/>
      <c r="AE1227" s="35"/>
    </row>
    <row r="1228">
      <c r="A1228" s="30">
        <v>46129.0</v>
      </c>
      <c r="B1228" s="35" t="str">
        <f>'รายชื่อพนักงานลาออกพ้นสภาพ'!B210</f>
        <v>VMS680028</v>
      </c>
      <c r="C1228" s="35" t="str">
        <f>'รายชื่อพนักงานลาออกพ้นสภาพ'!C210</f>
        <v>นายสิทธิศักดิ์   ด้วยสาร</v>
      </c>
      <c r="D1228" s="35" t="str">
        <f>'รายชื่อพนักงานลาออกพ้นสภาพ'!D210</f>
        <v>5101 ผู้ช่วยหัวหน้าแผนก</v>
      </c>
      <c r="E1228" s="35" t="str">
        <f>'รายชื่อพนักงานลาออกพ้นสภาพ'!E210</f>
        <v>แผนกวิศวกรรมงานระบบ</v>
      </c>
      <c r="F1228" s="40">
        <f>'รายชื่อพนักงานลาออกพ้นสภาพ'!H210</f>
        <v>46153</v>
      </c>
      <c r="G1228" s="33"/>
      <c r="H1228" s="33"/>
      <c r="I1228" s="73" t="s">
        <v>4694</v>
      </c>
      <c r="J1228" s="33"/>
      <c r="K1228" s="35"/>
      <c r="L1228" s="35"/>
      <c r="M1228" s="35"/>
      <c r="N1228" s="35"/>
      <c r="O1228" s="35"/>
      <c r="P1228" s="35"/>
      <c r="Q1228" s="35"/>
      <c r="R1228" s="35"/>
      <c r="S1228" s="35"/>
      <c r="T1228" s="35"/>
      <c r="U1228" s="35"/>
      <c r="V1228" s="35"/>
      <c r="W1228" s="35"/>
      <c r="X1228" s="35"/>
      <c r="Y1228" s="35"/>
      <c r="Z1228" s="35"/>
      <c r="AA1228" s="35"/>
      <c r="AB1228" s="35"/>
      <c r="AC1228" s="35"/>
      <c r="AD1228" s="35"/>
      <c r="AE1228" s="35"/>
    </row>
    <row r="1229">
      <c r="A1229" s="30">
        <v>46121.0</v>
      </c>
      <c r="B1229" s="35" t="str">
        <f>'รายชื่อพนักงานลาออกพ้นสภาพ'!B211</f>
        <v>VMS680199</v>
      </c>
      <c r="C1229" s="35" t="str">
        <f>'รายชื่อพนักงานลาออกพ้นสภาพ'!C211</f>
        <v>นางสาวตวงทอง  ศิวายพราหมณ์</v>
      </c>
      <c r="D1229" s="35" t="str">
        <f>'รายชื่อพนักงานลาออกพ้นสภาพ'!D211</f>
        <v>7853 เจ้าหน้าที่บัญชีนิติบุคคล</v>
      </c>
      <c r="E1229" s="35" t="str">
        <f>'รายชื่อพนักงานลาออกพ้นสภาพ'!E211</f>
        <v>แผนกการเงินจ่าย</v>
      </c>
      <c r="F1229" s="40">
        <f>'รายชื่อพนักงานลาออกพ้นสภาพ'!H211</f>
        <v>46143</v>
      </c>
      <c r="G1229" s="33"/>
      <c r="H1229" s="33"/>
      <c r="I1229" s="73" t="s">
        <v>4695</v>
      </c>
      <c r="J1229" s="33"/>
      <c r="K1229" s="35"/>
      <c r="L1229" s="35"/>
      <c r="M1229" s="35"/>
      <c r="N1229" s="35"/>
      <c r="O1229" s="35"/>
      <c r="P1229" s="35"/>
      <c r="Q1229" s="35"/>
      <c r="R1229" s="35"/>
      <c r="S1229" s="35"/>
      <c r="T1229" s="35"/>
      <c r="U1229" s="35"/>
      <c r="V1229" s="35"/>
      <c r="W1229" s="35"/>
      <c r="X1229" s="35"/>
      <c r="Y1229" s="35"/>
      <c r="Z1229" s="35"/>
      <c r="AA1229" s="35"/>
      <c r="AB1229" s="35"/>
      <c r="AC1229" s="35"/>
      <c r="AD1229" s="35"/>
      <c r="AE1229" s="35"/>
    </row>
    <row r="1230">
      <c r="A1230" s="30">
        <v>46132.0</v>
      </c>
      <c r="B1230" s="35" t="str">
        <f>'รายชื่อพนักงานลาออกพ้นสภาพ'!B212</f>
        <v>BK680253</v>
      </c>
      <c r="C1230" s="35" t="str">
        <f>'รายชื่อพนักงานลาออกพ้นสภาพ'!C212</f>
        <v>น.ส.มิณญา ญาณุจจัย </v>
      </c>
      <c r="D1230" s="35" t="str">
        <f>'รายชื่อพนักงานลาออกพ้นสภาพ'!D212</f>
        <v>33 ผู้จัดการ</v>
      </c>
      <c r="E1230" s="35" t="str">
        <f>'รายชื่อพนักงานลาออกพ้นสภาพ'!E212</f>
        <v>ฝ่ายบริหารการขายบ้าน 1C</v>
      </c>
      <c r="F1230" s="40">
        <f>'รายชื่อพนักงานลาออกพ้นสภาพ'!H212</f>
        <v>46174</v>
      </c>
      <c r="G1230" s="33"/>
      <c r="H1230" s="73" t="s">
        <v>4696</v>
      </c>
      <c r="I1230" s="33"/>
      <c r="J1230" s="33"/>
      <c r="K1230" s="35"/>
      <c r="L1230" s="35"/>
      <c r="M1230" s="35"/>
      <c r="N1230" s="35"/>
      <c r="O1230" s="35"/>
      <c r="P1230" s="35"/>
      <c r="Q1230" s="35"/>
      <c r="R1230" s="35"/>
      <c r="S1230" s="35"/>
      <c r="T1230" s="35"/>
      <c r="U1230" s="35"/>
      <c r="V1230" s="35"/>
      <c r="W1230" s="35"/>
      <c r="X1230" s="35"/>
      <c r="Y1230" s="35"/>
      <c r="Z1230" s="35"/>
      <c r="AA1230" s="35"/>
      <c r="AB1230" s="35"/>
      <c r="AC1230" s="35"/>
      <c r="AD1230" s="35"/>
      <c r="AE1230" s="35"/>
    </row>
    <row r="1231">
      <c r="A1231" s="30">
        <v>46132.0</v>
      </c>
      <c r="B1231" s="35" t="str">
        <f>'รายชื่อพนักงานลาออกพ้นสภาพ'!B213</f>
        <v>BK620171</v>
      </c>
      <c r="C1231" s="35" t="str">
        <f>'รายชื่อพนักงานลาออกพ้นสภาพ'!C213</f>
        <v>น.ส.วรรณา รัตนะดี</v>
      </c>
      <c r="D1231" s="35" t="str">
        <f>'รายชื่อพนักงานลาออกพ้นสภาพ'!D213</f>
        <v>6751 เจ้าหน้าที่บัญชีจ่ายอาวุโส</v>
      </c>
      <c r="E1231" s="35" t="str">
        <f>'รายชื่อพนักงานลาออกพ้นสภาพ'!E213</f>
        <v>แผนกบัญชีจ่ายทั่วไป</v>
      </c>
      <c r="F1231" s="40">
        <f>'รายชื่อพนักงานลาออกพ้นสภาพ'!H213</f>
        <v>46163</v>
      </c>
      <c r="G1231" s="33"/>
      <c r="H1231" s="73" t="s">
        <v>4697</v>
      </c>
      <c r="I1231" s="33"/>
      <c r="J1231" s="33"/>
      <c r="K1231" s="35"/>
      <c r="L1231" s="35"/>
      <c r="M1231" s="35"/>
      <c r="N1231" s="35"/>
      <c r="O1231" s="35"/>
      <c r="P1231" s="35"/>
      <c r="Q1231" s="35"/>
      <c r="R1231" s="35"/>
      <c r="S1231" s="35"/>
      <c r="T1231" s="35"/>
      <c r="U1231" s="35"/>
      <c r="V1231" s="35"/>
      <c r="W1231" s="35"/>
      <c r="X1231" s="35"/>
      <c r="Y1231" s="35"/>
      <c r="Z1231" s="35"/>
      <c r="AA1231" s="35"/>
      <c r="AB1231" s="35"/>
      <c r="AC1231" s="35"/>
      <c r="AD1231" s="35"/>
      <c r="AE1231" s="35"/>
    </row>
    <row r="1232">
      <c r="A1232" s="30">
        <v>46133.0</v>
      </c>
      <c r="B1232" s="35" t="str">
        <f>'รายชื่อพนักงานลาออกพ้นสภาพ'!B214</f>
        <v>SGE670035</v>
      </c>
      <c r="C1232" s="35" t="str">
        <f>'รายชื่อพนักงานลาออกพ้นสภาพ'!C214</f>
        <v>นายกันตพงศ์ บรรจงเพียร </v>
      </c>
      <c r="D1232" s="35" t="str">
        <f>'รายชื่อพนักงานลาออกพ้นสภาพ'!D214</f>
        <v>6991 เจ้าหน้าที่ Finance Business Partner อาวุโส</v>
      </c>
      <c r="E1232" s="35" t="str">
        <f>'รายชื่อพนักงานลาออกพ้นสภาพ'!E214</f>
        <v>สายงาน Finance  Business Partner</v>
      </c>
      <c r="F1232" s="40">
        <f>'รายชื่อพนักงานลาออกพ้นสภาพ'!H214</f>
        <v>46158</v>
      </c>
      <c r="G1232" s="33"/>
      <c r="H1232" s="33"/>
      <c r="I1232" s="33"/>
      <c r="J1232" s="73" t="s">
        <v>4698</v>
      </c>
      <c r="K1232" s="35"/>
      <c r="L1232" s="35"/>
      <c r="M1232" s="35"/>
      <c r="N1232" s="35"/>
      <c r="O1232" s="35"/>
      <c r="P1232" s="35"/>
      <c r="Q1232" s="35"/>
      <c r="R1232" s="35"/>
      <c r="S1232" s="35"/>
      <c r="T1232" s="35"/>
      <c r="U1232" s="35"/>
      <c r="V1232" s="35"/>
      <c r="W1232" s="35"/>
      <c r="X1232" s="35"/>
      <c r="Y1232" s="35"/>
      <c r="Z1232" s="35"/>
      <c r="AA1232" s="35"/>
      <c r="AB1232" s="35"/>
      <c r="AC1232" s="35"/>
      <c r="AD1232" s="35"/>
      <c r="AE1232" s="35"/>
    </row>
    <row r="1233">
      <c r="A1233" s="30">
        <v>46133.0</v>
      </c>
      <c r="B1233" s="35" t="str">
        <f>'รายชื่อพนักงานลาออกพ้นสภาพ'!B215</f>
        <v>BK680142</v>
      </c>
      <c r="C1233" s="35" t="str">
        <f>'รายชื่อพนักงานลาออกพ้นสภาพ'!C215</f>
        <v>น.ส.ชิณณปะภา ปิ่นประภากุล </v>
      </c>
      <c r="D1233" s="35" t="str">
        <f>'รายชื่อพนักงานลาออกพ้นสภาพ'!D215</f>
        <v>4401 หัวหน้างานขายและสินเชื่อ</v>
      </c>
      <c r="E1233" s="35" t="str">
        <f>'รายชื่อพนักงานลาออกพ้นสภาพ'!E215</f>
        <v>เสนาคิทท์ เวสต์เกต - บางบัวทอง</v>
      </c>
      <c r="F1233" s="40">
        <f>'รายชื่อพนักงานลาออกพ้นสภาพ'!H215</f>
        <v>46143</v>
      </c>
      <c r="G1233" s="33"/>
      <c r="H1233" s="73" t="s">
        <v>4699</v>
      </c>
      <c r="I1233" s="33"/>
      <c r="J1233" s="33"/>
      <c r="K1233" s="35"/>
      <c r="L1233" s="35"/>
      <c r="M1233" s="35"/>
      <c r="N1233" s="35"/>
      <c r="O1233" s="35"/>
      <c r="P1233" s="35"/>
      <c r="Q1233" s="35"/>
      <c r="R1233" s="35"/>
      <c r="S1233" s="35"/>
      <c r="T1233" s="35"/>
      <c r="U1233" s="35"/>
      <c r="V1233" s="35"/>
      <c r="W1233" s="35"/>
      <c r="X1233" s="35"/>
      <c r="Y1233" s="35"/>
      <c r="Z1233" s="35"/>
      <c r="AA1233" s="35"/>
      <c r="AB1233" s="35"/>
      <c r="AC1233" s="35"/>
      <c r="AD1233" s="35"/>
      <c r="AE1233" s="35"/>
    </row>
    <row r="1234">
      <c r="A1234" s="30">
        <v>46134.0</v>
      </c>
      <c r="B1234" s="35" t="str">
        <f>'รายชื่อพนักงานลาออกพ้นสภาพ'!B216</f>
        <v>BK620172</v>
      </c>
      <c r="C1234" s="35" t="str">
        <f>'รายชื่อพนักงานลาออกพ้นสภาพ'!C216</f>
        <v>นายอดิทัต เด่นโกวงษ์ </v>
      </c>
      <c r="D1234" s="35" t="str">
        <f>'รายชื่อพนักงานลาออกพ้นสภาพ'!D216</f>
        <v>8659 พนักงานขับรถส่วนกลาง</v>
      </c>
      <c r="E1234" s="35" t="str">
        <f>'รายชื่อพนักงานลาออกพ้นสภาพ'!E216</f>
        <v>แผนกยานพาหนะ</v>
      </c>
      <c r="F1234" s="40">
        <f>'รายชื่อพนักงานลาออกพ้นสภาพ'!H216</f>
        <v>46174</v>
      </c>
      <c r="G1234" s="33"/>
      <c r="H1234" s="73" t="s">
        <v>4700</v>
      </c>
      <c r="I1234" s="33"/>
      <c r="J1234" s="33"/>
      <c r="K1234" s="35"/>
      <c r="L1234" s="35"/>
      <c r="M1234" s="35"/>
      <c r="N1234" s="35"/>
      <c r="O1234" s="35"/>
      <c r="P1234" s="35"/>
      <c r="Q1234" s="35"/>
      <c r="R1234" s="35"/>
      <c r="S1234" s="35"/>
      <c r="T1234" s="35"/>
      <c r="U1234" s="35"/>
      <c r="V1234" s="35"/>
      <c r="W1234" s="35"/>
      <c r="X1234" s="35"/>
      <c r="Y1234" s="35"/>
      <c r="Z1234" s="35"/>
      <c r="AA1234" s="35"/>
      <c r="AB1234" s="35"/>
      <c r="AC1234" s="35"/>
      <c r="AD1234" s="35"/>
      <c r="AE1234" s="35"/>
    </row>
    <row r="1235">
      <c r="A1235" s="30">
        <v>46134.0</v>
      </c>
      <c r="B1235" s="35" t="str">
        <f>'รายชื่อพนักงานลาออกพ้นสภาพ'!B217</f>
        <v>BK650042</v>
      </c>
      <c r="C1235" s="35" t="str">
        <f>'รายชื่อพนักงานลาออกพ้นสภาพ'!C217</f>
        <v>น.ส.อัษฎางค์ ทองรอง </v>
      </c>
      <c r="D1235" s="35" t="str">
        <f>'รายชื่อพนักงานลาออกพ้นสภาพ'!D217</f>
        <v>7657 เจ้าหน้าที่ธุรการ</v>
      </c>
      <c r="E1235" s="35" t="str">
        <f>'รายชื่อพนักงานลาออกพ้นสภาพ'!E217</f>
        <v>แผนกกฎหมาย</v>
      </c>
      <c r="F1235" s="40">
        <f>'รายชื่อพนักงานลาออกพ้นสภาพ'!H217</f>
        <v>46174</v>
      </c>
      <c r="G1235" s="33"/>
      <c r="H1235" s="73" t="s">
        <v>4701</v>
      </c>
      <c r="I1235" s="33"/>
      <c r="J1235" s="33"/>
      <c r="K1235" s="35"/>
      <c r="L1235" s="35"/>
      <c r="M1235" s="35"/>
      <c r="N1235" s="35"/>
      <c r="O1235" s="35"/>
      <c r="P1235" s="35"/>
      <c r="Q1235" s="35"/>
      <c r="R1235" s="35"/>
      <c r="S1235" s="35"/>
      <c r="T1235" s="35"/>
      <c r="U1235" s="35"/>
      <c r="V1235" s="35"/>
      <c r="W1235" s="35"/>
      <c r="X1235" s="35"/>
      <c r="Y1235" s="35"/>
      <c r="Z1235" s="35"/>
      <c r="AA1235" s="35"/>
      <c r="AB1235" s="35"/>
      <c r="AC1235" s="35"/>
      <c r="AD1235" s="35"/>
      <c r="AE1235" s="35"/>
    </row>
    <row r="1236">
      <c r="A1236" s="30">
        <v>46134.0</v>
      </c>
      <c r="B1236" s="35" t="str">
        <f>'รายชื่อพนักงานลาออกพ้นสภาพ'!B218</f>
        <v>VMS690021</v>
      </c>
      <c r="C1236" s="35" t="str">
        <f>'รายชื่อพนักงานลาออกพ้นสภาพ'!C218</f>
        <v>นายกรอบโชค  โมนิพัน</v>
      </c>
      <c r="D1236" s="35" t="str">
        <f>'รายชื่อพนักงานลาออกพ้นสภาพ'!D218</f>
        <v>8855 ช่างประจำอาคาร</v>
      </c>
      <c r="E1236" s="35" t="str">
        <f>'รายชื่อพนักงานลาออกพ้นสภาพ'!E218</f>
        <v>แผนกอาคารชุด นิช โมโน พระราม 9</v>
      </c>
      <c r="F1236" s="40">
        <f>'รายชื่อพนักงานลาออกพ้นสภาพ'!H218</f>
        <v>46134</v>
      </c>
      <c r="G1236" s="33"/>
      <c r="H1236" s="33"/>
      <c r="I1236" s="33"/>
      <c r="J1236" s="33"/>
      <c r="K1236" s="35"/>
      <c r="L1236" s="35"/>
      <c r="M1236" s="35"/>
      <c r="N1236" s="35"/>
      <c r="O1236" s="35"/>
      <c r="P1236" s="35"/>
      <c r="Q1236" s="35"/>
      <c r="R1236" s="35"/>
      <c r="S1236" s="35"/>
      <c r="T1236" s="35"/>
      <c r="U1236" s="35"/>
      <c r="V1236" s="35"/>
      <c r="W1236" s="35"/>
      <c r="X1236" s="35"/>
      <c r="Y1236" s="35"/>
      <c r="Z1236" s="35"/>
      <c r="AA1236" s="35"/>
      <c r="AB1236" s="35"/>
      <c r="AC1236" s="35"/>
      <c r="AD1236" s="35"/>
      <c r="AE1236" s="35"/>
    </row>
    <row r="1237">
      <c r="A1237" s="30">
        <v>46129.0</v>
      </c>
      <c r="B1237" s="35" t="str">
        <f>'รายชื่อพนักงานลาออกพ้นสภาพ'!B219</f>
        <v>VMS660084</v>
      </c>
      <c r="C1237" s="35" t="str">
        <f>'รายชื่อพนักงานลาออกพ้นสภาพ'!C219</f>
        <v>นายชินวุฒิ  วงษ์หอม</v>
      </c>
      <c r="D1237" s="35" t="str">
        <f>'รายชื่อพนักงานลาออกพ้นสภาพ'!D219</f>
        <v>8855 ช่างประจำอาคาร</v>
      </c>
      <c r="E1237" s="35" t="str">
        <f>'รายชื่อพนักงานลาออกพ้นสภาพ'!E219</f>
        <v>แผนกอาคารชุด เฟล็กซี่ เตาปูน อินเตอร์เชนจ์</v>
      </c>
      <c r="F1237" s="40">
        <f>'รายชื่อพนักงานลาออกพ้นสภาพ'!H219</f>
        <v>46143</v>
      </c>
      <c r="G1237" s="33"/>
      <c r="H1237" s="33"/>
      <c r="I1237" s="73" t="s">
        <v>4702</v>
      </c>
      <c r="J1237" s="33"/>
      <c r="K1237" s="35"/>
      <c r="L1237" s="35"/>
      <c r="M1237" s="35"/>
      <c r="N1237" s="35"/>
      <c r="O1237" s="35"/>
      <c r="P1237" s="35"/>
      <c r="Q1237" s="35"/>
      <c r="R1237" s="35"/>
      <c r="S1237" s="35"/>
      <c r="T1237" s="35"/>
      <c r="U1237" s="35"/>
      <c r="V1237" s="35"/>
      <c r="W1237" s="35"/>
      <c r="X1237" s="35"/>
      <c r="Y1237" s="35"/>
      <c r="Z1237" s="35"/>
      <c r="AA1237" s="35"/>
      <c r="AB1237" s="35"/>
      <c r="AC1237" s="35"/>
      <c r="AD1237" s="35"/>
      <c r="AE1237" s="35"/>
    </row>
    <row r="1238">
      <c r="A1238" s="30">
        <v>46129.0</v>
      </c>
      <c r="B1238" s="35" t="str">
        <f>'รายชื่อพนักงานลาออกพ้นสภาพ'!B220</f>
        <v>VMS690078</v>
      </c>
      <c r="C1238" s="35" t="str">
        <f>'รายชื่อพนักงานลาออกพ้นสภาพ'!C220</f>
        <v>นายณัฐวุฒิ  พันทา</v>
      </c>
      <c r="D1238" s="35" t="str">
        <f>'รายชื่อพนักงานลาออกพ้นสภาพ'!D220</f>
        <v>8855 ช่างประจำอาคาร</v>
      </c>
      <c r="E1238" s="35" t="str">
        <f>'รายชื่อพนักงานลาออกพ้นสภาพ'!E220</f>
        <v>แผนกอาคารชุด เฟล็กซี่ เตาปูน อินเตอร์เชนจ์</v>
      </c>
      <c r="F1238" s="40">
        <f>'รายชื่อพนักงานลาออกพ้นสภาพ'!H220</f>
        <v>46143</v>
      </c>
      <c r="G1238" s="33"/>
      <c r="H1238" s="33"/>
      <c r="I1238" s="73" t="s">
        <v>4703</v>
      </c>
      <c r="J1238" s="33"/>
      <c r="K1238" s="35"/>
      <c r="L1238" s="35"/>
      <c r="M1238" s="35"/>
      <c r="N1238" s="35"/>
      <c r="O1238" s="35"/>
      <c r="P1238" s="35"/>
      <c r="Q1238" s="35"/>
      <c r="R1238" s="35"/>
      <c r="S1238" s="35"/>
      <c r="T1238" s="35"/>
      <c r="U1238" s="35"/>
      <c r="V1238" s="35"/>
      <c r="W1238" s="35"/>
      <c r="X1238" s="35"/>
      <c r="Y1238" s="35"/>
      <c r="Z1238" s="35"/>
      <c r="AA1238" s="35"/>
      <c r="AB1238" s="35"/>
      <c r="AC1238" s="35"/>
      <c r="AD1238" s="35"/>
      <c r="AE1238" s="35"/>
    </row>
    <row r="1239">
      <c r="A1239" s="30">
        <v>46134.0</v>
      </c>
      <c r="B1239" s="35" t="str">
        <f>'รายชื่อพนักงานลาออกพ้นสภาพ'!B221</f>
        <v>VMS680338</v>
      </c>
      <c r="C1239" s="35" t="str">
        <f>'รายชื่อพนักงานลาออกพ้นสภาพ'!C221</f>
        <v>นายคุณธนโชติ  สว่างวงษ์</v>
      </c>
      <c r="D1239" s="35" t="str">
        <f>'รายชื่อพนักงานลาออกพ้นสภาพ'!D221</f>
        <v>8855 ช่างประจำอาคาร</v>
      </c>
      <c r="E1239" s="35" t="str">
        <f>'รายชื่อพนักงานลาออกพ้นสภาพ'!E221</f>
        <v>แผนกอาคารชุด มิว</v>
      </c>
      <c r="F1239" s="40">
        <f>'รายชื่อพนักงานลาออกพ้นสภาพ'!H221</f>
        <v>46153</v>
      </c>
      <c r="G1239" s="33"/>
      <c r="H1239" s="33"/>
      <c r="I1239" s="73" t="s">
        <v>4704</v>
      </c>
      <c r="J1239" s="33"/>
      <c r="K1239" s="35"/>
      <c r="L1239" s="35"/>
      <c r="M1239" s="35"/>
      <c r="N1239" s="35"/>
      <c r="O1239" s="35"/>
      <c r="P1239" s="35"/>
      <c r="Q1239" s="35"/>
      <c r="R1239" s="35"/>
      <c r="S1239" s="35"/>
      <c r="T1239" s="35"/>
      <c r="U1239" s="35"/>
      <c r="V1239" s="35"/>
      <c r="W1239" s="35"/>
      <c r="X1239" s="35"/>
      <c r="Y1239" s="35"/>
      <c r="Z1239" s="35"/>
      <c r="AA1239" s="35"/>
      <c r="AB1239" s="35"/>
      <c r="AC1239" s="35"/>
      <c r="AD1239" s="35"/>
      <c r="AE1239" s="35"/>
    </row>
    <row r="1240">
      <c r="A1240" s="30">
        <v>46134.0</v>
      </c>
      <c r="B1240" s="35" t="str">
        <f>'รายชื่อพนักงานลาออกพ้นสภาพ'!B222</f>
        <v>VMS680339</v>
      </c>
      <c r="C1240" s="35" t="str">
        <f>'รายชื่อพนักงานลาออกพ้นสภาพ'!C222</f>
        <v>นายณัฐกานต์  สุระเสียง</v>
      </c>
      <c r="D1240" s="35" t="str">
        <f>'รายชื่อพนักงานลาออกพ้นสภาพ'!D222</f>
        <v>8855 ช่างประจำอาคาร</v>
      </c>
      <c r="E1240" s="35" t="str">
        <f>'รายชื่อพนักงานลาออกพ้นสภาพ'!E222</f>
        <v>แผนกอาคารชุด มิว</v>
      </c>
      <c r="F1240" s="40">
        <f>'รายชื่อพนักงานลาออกพ้นสภาพ'!H222</f>
        <v>46153</v>
      </c>
      <c r="G1240" s="33"/>
      <c r="H1240" s="33"/>
      <c r="I1240" s="73" t="s">
        <v>4705</v>
      </c>
      <c r="J1240" s="33"/>
      <c r="K1240" s="35"/>
      <c r="L1240" s="35"/>
      <c r="M1240" s="35"/>
      <c r="N1240" s="35"/>
      <c r="O1240" s="35"/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5"/>
      <c r="AA1240" s="35"/>
      <c r="AB1240" s="35"/>
      <c r="AC1240" s="35"/>
      <c r="AD1240" s="35"/>
      <c r="AE1240" s="35"/>
    </row>
    <row r="1241">
      <c r="A1241" s="30">
        <v>46134.0</v>
      </c>
      <c r="B1241" s="35" t="str">
        <f>'รายชื่อพนักงานลาออกพ้นสภาพ'!B223</f>
        <v>VMS670327</v>
      </c>
      <c r="C1241" s="35" t="str">
        <f>'รายชื่อพนักงานลาออกพ้นสภาพ'!C223</f>
        <v>นายอิรฟาณร์  ตีโด</v>
      </c>
      <c r="D1241" s="35" t="str">
        <f>'รายชื่อพนักงานลาออกพ้นสภาพ'!D223</f>
        <v>8855 ช่างประจำอาคาร</v>
      </c>
      <c r="E1241" s="35" t="str">
        <f>'รายชื่อพนักงานลาออกพ้นสภาพ'!E223</f>
        <v>แผนกอาคารชุด เลทีเซีย</v>
      </c>
      <c r="F1241" s="40">
        <f>'รายชื่อพนักงานลาออกพ้นสภาพ'!H223</f>
        <v>46163</v>
      </c>
      <c r="G1241" s="33"/>
      <c r="H1241" s="33"/>
      <c r="I1241" s="73" t="s">
        <v>4706</v>
      </c>
      <c r="J1241" s="33"/>
      <c r="K1241" s="35"/>
      <c r="L1241" s="35"/>
      <c r="M1241" s="35"/>
      <c r="N1241" s="35"/>
      <c r="O1241" s="35"/>
      <c r="P1241" s="35"/>
      <c r="Q1241" s="35"/>
      <c r="R1241" s="35"/>
      <c r="S1241" s="35"/>
      <c r="T1241" s="35"/>
      <c r="U1241" s="35"/>
      <c r="V1241" s="35"/>
      <c r="W1241" s="35"/>
      <c r="X1241" s="35"/>
      <c r="Y1241" s="35"/>
      <c r="Z1241" s="35"/>
      <c r="AA1241" s="35"/>
      <c r="AB1241" s="35"/>
      <c r="AC1241" s="35"/>
      <c r="AD1241" s="35"/>
      <c r="AE1241" s="35"/>
    </row>
    <row r="1242">
      <c r="A1242" s="30">
        <v>46134.0</v>
      </c>
      <c r="B1242" s="35" t="str">
        <f>'รายชื่อพนักงานลาออกพ้นสภาพ'!B224</f>
        <v>VMS690024</v>
      </c>
      <c r="C1242" s="35" t="str">
        <f>'รายชื่อพนักงานลาออกพ้นสภาพ'!C224</f>
        <v>นายวุฒิพงษ์  อินจู</v>
      </c>
      <c r="D1242" s="35" t="str">
        <f>'รายชื่อพนักงานลาออกพ้นสภาพ'!D224</f>
        <v>8855 ช่างประจำอาคาร</v>
      </c>
      <c r="E1242" s="35" t="str">
        <f>'รายชื่อพนักงานลาออกพ้นสภาพ'!E224</f>
        <v>แผนกอาคารชุด เฟรช คอนโดมิเนียม</v>
      </c>
      <c r="F1242" s="40">
        <f>'รายชื่อพนักงานลาออกพ้นสภาพ'!H224</f>
        <v>46138</v>
      </c>
      <c r="G1242" s="33"/>
      <c r="H1242" s="33"/>
      <c r="I1242" s="73" t="s">
        <v>4707</v>
      </c>
      <c r="J1242" s="33"/>
      <c r="K1242" s="35"/>
      <c r="L1242" s="35"/>
      <c r="M1242" s="35"/>
      <c r="N1242" s="35"/>
      <c r="O1242" s="35"/>
      <c r="P1242" s="35"/>
      <c r="Q1242" s="35"/>
      <c r="R1242" s="35"/>
      <c r="S1242" s="35"/>
      <c r="T1242" s="35"/>
      <c r="U1242" s="35"/>
      <c r="V1242" s="35"/>
      <c r="W1242" s="35"/>
      <c r="X1242" s="35"/>
      <c r="Y1242" s="35"/>
      <c r="Z1242" s="35"/>
      <c r="AA1242" s="35"/>
      <c r="AB1242" s="35"/>
      <c r="AC1242" s="35"/>
      <c r="AD1242" s="35"/>
      <c r="AE1242" s="35"/>
    </row>
    <row r="1243">
      <c r="A1243" s="30">
        <v>46135.0</v>
      </c>
      <c r="B1243" s="35" t="str">
        <f>'รายชื่อพนักงานลาออกพ้นสภาพ'!B225</f>
        <v>VMS690098</v>
      </c>
      <c r="C1243" s="35" t="str">
        <f>'รายชื่อพนักงานลาออกพ้นสภาพ'!C225</f>
        <v>นายจิรวัฒน์  วงษ์ขวัญ</v>
      </c>
      <c r="D1243" s="35" t="str">
        <f>'รายชื่อพนักงานลาออกพ้นสภาพ'!D225</f>
        <v>8855 ช่างประจำอาคาร</v>
      </c>
      <c r="E1243" s="35" t="str">
        <f>'รายชื่อพนักงานลาออกพ้นสภาพ'!E225</f>
        <v>แผนกอาคารชุด เสนาคิทท์ เทพารักษ์ - บางบ่อ 1</v>
      </c>
      <c r="F1243" s="40">
        <f>'รายชื่อพนักงานลาออกพ้นสภาพ'!H225</f>
        <v>46124</v>
      </c>
      <c r="G1243" s="33"/>
      <c r="H1243" s="33"/>
      <c r="I1243" s="33"/>
      <c r="J1243" s="33"/>
      <c r="K1243" s="35"/>
      <c r="L1243" s="35"/>
      <c r="M1243" s="35"/>
      <c r="N1243" s="35"/>
      <c r="O1243" s="35"/>
      <c r="P1243" s="35"/>
      <c r="Q1243" s="35"/>
      <c r="R1243" s="35"/>
      <c r="S1243" s="35"/>
      <c r="T1243" s="35"/>
      <c r="U1243" s="35"/>
      <c r="V1243" s="35"/>
      <c r="W1243" s="35"/>
      <c r="X1243" s="35"/>
      <c r="Y1243" s="35"/>
      <c r="Z1243" s="35"/>
      <c r="AA1243" s="35"/>
      <c r="AB1243" s="35"/>
      <c r="AC1243" s="35"/>
      <c r="AD1243" s="35"/>
      <c r="AE1243" s="35"/>
    </row>
    <row r="1244">
      <c r="A1244" s="30">
        <v>46135.0</v>
      </c>
      <c r="B1244" s="35" t="str">
        <f>'รายชื่อพนักงานลาออกพ้นสภาพ'!B226</f>
        <v>VMS690094</v>
      </c>
      <c r="C1244" s="35" t="str">
        <f>'รายชื่อพนักงานลาออกพ้นสภาพ'!C226</f>
        <v>นางสาวชลกนก  ลิ้มภรัณยู</v>
      </c>
      <c r="D1244" s="35" t="str">
        <f>'รายชื่อพนักงานลาออกพ้นสภาพ'!D226</f>
        <v>5860 ผู้จัดการหมู่บ้าน</v>
      </c>
      <c r="E1244" s="35" t="str">
        <f>'รายชื่อพนักงานลาออกพ้นสภาพ'!E226</f>
        <v>แผนกหมู่บ้านจัดสรร เสนา พาร์คแกรนด์ 2 รามอินทรา กม.9</v>
      </c>
      <c r="F1244" s="40">
        <f>'รายชื่อพนักงานลาออกพ้นสภาพ'!H226</f>
        <v>46148</v>
      </c>
      <c r="G1244" s="33"/>
      <c r="H1244" s="33"/>
      <c r="I1244" s="73" t="s">
        <v>4708</v>
      </c>
      <c r="J1244" s="33"/>
      <c r="K1244" s="35"/>
      <c r="L1244" s="35"/>
      <c r="M1244" s="35"/>
      <c r="N1244" s="35"/>
      <c r="O1244" s="35"/>
      <c r="P1244" s="35"/>
      <c r="Q1244" s="35"/>
      <c r="R1244" s="35"/>
      <c r="S1244" s="35"/>
      <c r="T1244" s="35"/>
      <c r="U1244" s="35"/>
      <c r="V1244" s="35"/>
      <c r="W1244" s="35"/>
      <c r="X1244" s="35"/>
      <c r="Y1244" s="35"/>
      <c r="Z1244" s="35"/>
      <c r="AA1244" s="35"/>
      <c r="AB1244" s="35"/>
      <c r="AC1244" s="35"/>
      <c r="AD1244" s="35"/>
      <c r="AE1244" s="35"/>
    </row>
    <row r="1245">
      <c r="A1245" s="30"/>
      <c r="B1245" s="35" t="str">
        <f>'รายชื่อพนักงานลาออกพ้นสภาพ'!B227</f>
        <v>SPS690011</v>
      </c>
      <c r="C1245" s="35" t="str">
        <f>'รายชื่อพนักงานลาออกพ้นสภาพ'!C227</f>
        <v>นางสาวภัสร์ชวิน  วัฒนะธนากรพงศ์</v>
      </c>
      <c r="D1245" s="35" t="str">
        <f>'รายชื่อพนักงานลาออกพ้นสภาพ'!D227</f>
        <v>25 ผู้ช่วยผู้อำนวยการ</v>
      </c>
      <c r="E1245" s="35"/>
      <c r="F1245" s="40">
        <f>'รายชื่อพนักงานลาออกพ้นสภาพ'!H227</f>
        <v>46174</v>
      </c>
      <c r="G1245" s="33"/>
      <c r="H1245" s="33"/>
      <c r="I1245" s="33"/>
      <c r="J1245" s="33"/>
      <c r="K1245" s="35"/>
      <c r="L1245" s="35"/>
      <c r="M1245" s="35"/>
      <c r="N1245" s="35"/>
      <c r="O1245" s="35"/>
      <c r="P1245" s="35"/>
      <c r="Q1245" s="35"/>
      <c r="R1245" s="35"/>
      <c r="S1245" s="35"/>
      <c r="T1245" s="35"/>
      <c r="U1245" s="35"/>
      <c r="V1245" s="35"/>
      <c r="W1245" s="35"/>
      <c r="X1245" s="35"/>
      <c r="Y1245" s="35"/>
      <c r="Z1245" s="35"/>
      <c r="AA1245" s="35"/>
      <c r="AB1245" s="35"/>
      <c r="AC1245" s="35"/>
      <c r="AD1245" s="35"/>
      <c r="AE1245" s="35"/>
    </row>
    <row r="1246">
      <c r="A1246" s="30"/>
      <c r="B1246" s="35" t="str">
        <f>'รายชื่อพนักงานลาออกพ้นสภาพ'!B228</f>
        <v>HP6680012</v>
      </c>
      <c r="C1246" s="35" t="str">
        <f>'รายชื่อพนักงานลาออกพ้นสภาพ'!C228</f>
        <v>นายสุริยา กุลมร</v>
      </c>
      <c r="D1246" s="35" t="str">
        <f>'รายชื่อพนักงานลาออกพ้นสภาพ'!D228</f>
        <v>4555 หัวหน้าแผนกวิศวกรรมงานระบบ</v>
      </c>
      <c r="E1246" s="35" t="str">
        <f>'รายชื่อพนักงานลาออกพ้นสภาพ'!E227</f>
        <v>สายงาน Inter Sales - Resales</v>
      </c>
      <c r="F1246" s="40">
        <f>'รายชื่อพนักงานลาออกพ้นสภาพ'!H228</f>
        <v>46119</v>
      </c>
      <c r="G1246" s="33"/>
      <c r="H1246" s="33"/>
      <c r="I1246" s="33"/>
      <c r="J1246" s="33"/>
      <c r="K1246" s="35"/>
      <c r="L1246" s="35"/>
      <c r="M1246" s="35"/>
      <c r="N1246" s="35"/>
      <c r="O1246" s="35"/>
      <c r="P1246" s="35"/>
      <c r="Q1246" s="35"/>
      <c r="R1246" s="35"/>
      <c r="S1246" s="35"/>
      <c r="T1246" s="35"/>
      <c r="U1246" s="35"/>
      <c r="V1246" s="35"/>
      <c r="W1246" s="35"/>
      <c r="X1246" s="35"/>
      <c r="Y1246" s="35"/>
      <c r="Z1246" s="35"/>
      <c r="AA1246" s="35"/>
      <c r="AB1246" s="35"/>
      <c r="AC1246" s="35"/>
      <c r="AD1246" s="35"/>
      <c r="AE1246" s="35"/>
    </row>
    <row r="1247">
      <c r="A1247" s="30"/>
      <c r="B1247" s="35" t="str">
        <f>'รายชื่อพนักงานลาออกพ้นสภาพ'!B229</f>
        <v>HP6690001</v>
      </c>
      <c r="C1247" s="35" t="str">
        <f>'รายชื่อพนักงานลาออกพ้นสภาพ'!C229</f>
        <v>นางสาวสิริภัทร สุภาปัญญา</v>
      </c>
      <c r="D1247" s="35" t="str">
        <f>'รายชื่อพนักงานลาออกพ้นสภาพ'!D229</f>
        <v>33 ผู้จัดการ</v>
      </c>
      <c r="E1247" s="35" t="str">
        <f>'รายชื่อพนักงานลาออกพ้นสภาพ'!E229</f>
        <v>แผนกอาคารชุด ปีติ สุขุมวิท 101</v>
      </c>
      <c r="F1247" s="40">
        <f>'รายชื่อพนักงานลาออกพ้นสภาพ'!H229</f>
        <v>46121</v>
      </c>
      <c r="G1247" s="33"/>
      <c r="H1247" s="33"/>
      <c r="I1247" s="33"/>
      <c r="J1247" s="33"/>
      <c r="K1247" s="35"/>
      <c r="L1247" s="35"/>
      <c r="M1247" s="35"/>
      <c r="N1247" s="35"/>
      <c r="O1247" s="35"/>
      <c r="P1247" s="35"/>
      <c r="Q1247" s="35"/>
      <c r="R1247" s="35"/>
      <c r="S1247" s="35"/>
      <c r="T1247" s="35"/>
      <c r="U1247" s="35"/>
      <c r="V1247" s="35"/>
      <c r="W1247" s="35"/>
      <c r="X1247" s="35"/>
      <c r="Y1247" s="35"/>
      <c r="Z1247" s="35"/>
      <c r="AA1247" s="35"/>
      <c r="AB1247" s="35"/>
      <c r="AC1247" s="35"/>
      <c r="AD1247" s="35"/>
      <c r="AE1247" s="35"/>
    </row>
    <row r="1248">
      <c r="A1248" s="30"/>
      <c r="B1248" s="35" t="str">
        <f>'รายชื่อพนักงานลาออกพ้นสภาพ'!B230</f>
        <v>HP6680002</v>
      </c>
      <c r="C1248" s="35" t="str">
        <f>'รายชื่อพนักงานลาออกพ้นสภาพ'!C230</f>
        <v>นางสาวนาตยา ผิวผาง</v>
      </c>
      <c r="D1248" s="35" t="str">
        <f>'รายชื่อพนักงานลาออกพ้นสภาพ'!D230</f>
        <v>33 ผู้จัดการ</v>
      </c>
      <c r="E1248" s="35" t="str">
        <f>'รายชื่อพนักงานลาออกพ้นสภาพ'!E230</f>
        <v>แผนกอาคารชุด ปีติ สุขุมวิท 101</v>
      </c>
      <c r="F1248" s="40">
        <f>'รายชื่อพนักงานลาออกพ้นสภาพ'!H230</f>
        <v>46135</v>
      </c>
      <c r="G1248" s="33"/>
      <c r="H1248" s="33"/>
      <c r="I1248" s="33"/>
      <c r="J1248" s="33"/>
      <c r="K1248" s="35"/>
      <c r="L1248" s="35"/>
      <c r="M1248" s="35"/>
      <c r="N1248" s="35"/>
      <c r="O1248" s="35"/>
      <c r="P1248" s="35"/>
      <c r="Q1248" s="35"/>
      <c r="R1248" s="35"/>
      <c r="S1248" s="35"/>
      <c r="T1248" s="35"/>
      <c r="U1248" s="35"/>
      <c r="V1248" s="35"/>
      <c r="W1248" s="35"/>
      <c r="X1248" s="35"/>
      <c r="Y1248" s="35"/>
      <c r="Z1248" s="35"/>
      <c r="AA1248" s="35"/>
      <c r="AB1248" s="35"/>
      <c r="AC1248" s="35"/>
      <c r="AD1248" s="35"/>
      <c r="AE1248" s="35"/>
    </row>
    <row r="1249">
      <c r="A1249" s="30"/>
      <c r="B1249" s="35" t="str">
        <f>'รายชื่อพนักงานลาออกพ้นสภาพ'!B231</f>
        <v>HP6680010</v>
      </c>
      <c r="C1249" s="35" t="str">
        <f>'รายชื่อพนักงานลาออกพ้นสภาพ'!C231</f>
        <v>นางสาวรุจยา วรรณแสงแก้ว</v>
      </c>
      <c r="D1249" s="35" t="str">
        <f>'รายชื่อพนักงานลาออกพ้นสภาพ'!D231</f>
        <v>33 ผู้จัดการ</v>
      </c>
      <c r="E1249" s="35" t="str">
        <f>'รายชื่อพนักงานลาออกพ้นสภาพ'!E231</f>
        <v>แผนกอาคารชุด ปีติ สุขุมวิท 101</v>
      </c>
      <c r="F1249" s="40">
        <f>'รายชื่อพนักงานลาออกพ้นสภาพ'!H231</f>
        <v>46143</v>
      </c>
      <c r="G1249" s="33"/>
      <c r="H1249" s="33"/>
      <c r="I1249" s="33"/>
      <c r="J1249" s="33"/>
      <c r="K1249" s="35"/>
      <c r="L1249" s="35"/>
      <c r="M1249" s="35"/>
      <c r="N1249" s="35"/>
      <c r="O1249" s="35"/>
      <c r="P1249" s="35"/>
      <c r="Q1249" s="35"/>
      <c r="R1249" s="35"/>
      <c r="S1249" s="35"/>
      <c r="T1249" s="35"/>
      <c r="U1249" s="35"/>
      <c r="V1249" s="35"/>
      <c r="W1249" s="35"/>
      <c r="X1249" s="35"/>
      <c r="Y1249" s="35"/>
      <c r="Z1249" s="35"/>
      <c r="AA1249" s="35"/>
      <c r="AB1249" s="35"/>
      <c r="AC1249" s="35"/>
      <c r="AD1249" s="35"/>
      <c r="AE1249" s="35"/>
    </row>
    <row r="1250">
      <c r="A1250" s="30">
        <v>46139.0</v>
      </c>
      <c r="B1250" s="35" t="str">
        <f>'รายชื่อพนักงานลาออกพ้นสภาพ'!B232</f>
        <v>VMSJ651001</v>
      </c>
      <c r="C1250" s="35" t="str">
        <f>'รายชื่อพนักงานลาออกพ้นสภาพ'!C232</f>
        <v>นางปัตมา  วงษ์วรแสง</v>
      </c>
      <c r="D1250" s="35" t="str">
        <f>'รายชื่อพนักงานลาออกพ้นสภาพ'!D232</f>
        <v>6657 เจ้าหน้าที่ธุรการอาวุโส</v>
      </c>
      <c r="E1250" s="35" t="str">
        <f>'รายชื่อพนักงานลาออกพ้นสภาพ'!E232</f>
        <v>แผนกการเงินรับ</v>
      </c>
      <c r="F1250" s="40">
        <f>'รายชื่อพนักงานลาออกพ้นสภาพ'!H232</f>
        <v>46143</v>
      </c>
      <c r="G1250" s="33"/>
      <c r="H1250" s="33"/>
      <c r="I1250" s="73" t="s">
        <v>4709</v>
      </c>
      <c r="J1250" s="33"/>
      <c r="K1250" s="35"/>
      <c r="L1250" s="35"/>
      <c r="M1250" s="35"/>
      <c r="N1250" s="35"/>
      <c r="O1250" s="35"/>
      <c r="P1250" s="35"/>
      <c r="Q1250" s="35"/>
      <c r="R1250" s="35"/>
      <c r="S1250" s="35"/>
      <c r="T1250" s="35"/>
      <c r="U1250" s="35"/>
      <c r="V1250" s="35"/>
      <c r="W1250" s="35"/>
      <c r="X1250" s="35"/>
      <c r="Y1250" s="35"/>
      <c r="Z1250" s="35"/>
      <c r="AA1250" s="35"/>
      <c r="AB1250" s="35"/>
      <c r="AC1250" s="35"/>
      <c r="AD1250" s="35"/>
      <c r="AE1250" s="35"/>
    </row>
    <row r="1251">
      <c r="A1251" s="30">
        <v>46139.0</v>
      </c>
      <c r="B1251" s="35" t="str">
        <f>'รายชื่อพนักงานลาออกพ้นสภาพ'!B233</f>
        <v>VMS660088</v>
      </c>
      <c r="C1251" s="35" t="str">
        <f>'รายชื่อพนักงานลาออกพ้นสภาพ'!C233</f>
        <v>นายวรวิทย์  กุ้ยบำรุง</v>
      </c>
      <c r="D1251" s="35" t="str">
        <f>'รายชื่อพนักงานลาออกพ้นสภาพ'!D233</f>
        <v>5859 ผู้จัดการอาคาร</v>
      </c>
      <c r="E1251" s="35" t="str">
        <f>'รายชื่อพนักงานลาออกพ้นสภาพ'!E233</f>
        <v>แผนกอาคารชุด เอ สเปซ มี บางนา</v>
      </c>
      <c r="F1251" s="40">
        <f>'รายชื่อพนักงานลาออกพ้นสภาพ'!H233</f>
        <v>46149</v>
      </c>
      <c r="G1251" s="33"/>
      <c r="H1251" s="33"/>
      <c r="I1251" s="73" t="s">
        <v>4710</v>
      </c>
      <c r="J1251" s="33"/>
      <c r="K1251" s="35"/>
      <c r="L1251" s="35"/>
      <c r="M1251" s="35"/>
      <c r="N1251" s="35"/>
      <c r="O1251" s="35"/>
      <c r="P1251" s="35"/>
      <c r="Q1251" s="35"/>
      <c r="R1251" s="35"/>
      <c r="S1251" s="35"/>
      <c r="T1251" s="35"/>
      <c r="U1251" s="35"/>
      <c r="V1251" s="35"/>
      <c r="W1251" s="35"/>
      <c r="X1251" s="35"/>
      <c r="Y1251" s="35"/>
      <c r="Z1251" s="35"/>
      <c r="AA1251" s="35"/>
      <c r="AB1251" s="35"/>
      <c r="AC1251" s="35"/>
      <c r="AD1251" s="35"/>
      <c r="AE1251" s="35"/>
    </row>
    <row r="1252">
      <c r="A1252" s="30">
        <v>46139.0</v>
      </c>
      <c r="B1252" s="35" t="str">
        <f>'รายชื่อพนักงานลาออกพ้นสภาพ'!B234</f>
        <v>VMS680221</v>
      </c>
      <c r="C1252" s="35" t="str">
        <f>'รายชื่อพนักงานลาออกพ้นสภาพ'!C234</f>
        <v>นางสาวศิรภัสสร  หอมสุวรรณ</v>
      </c>
      <c r="D1252" s="35" t="str">
        <f>'รายชื่อพนักงานลาออกพ้นสภาพ'!D234</f>
        <v>7853 เจ้าหน้าที่บัญชีนิติบุคคล</v>
      </c>
      <c r="E1252" s="35" t="str">
        <f>'รายชื่อพนักงานลาออกพ้นสภาพ'!E234</f>
        <v>แผนกบัญชีแนวสูง</v>
      </c>
      <c r="F1252" s="40">
        <f>'รายชื่อพนักงานลาออกพ้นสภาพ'!H234</f>
        <v>46143</v>
      </c>
      <c r="G1252" s="33"/>
      <c r="H1252" s="33"/>
      <c r="I1252" s="73" t="s">
        <v>4711</v>
      </c>
      <c r="J1252" s="33"/>
      <c r="K1252" s="35"/>
      <c r="L1252" s="35"/>
      <c r="M1252" s="35"/>
      <c r="N1252" s="35"/>
      <c r="O1252" s="35"/>
      <c r="P1252" s="35"/>
      <c r="Q1252" s="35"/>
      <c r="R1252" s="35"/>
      <c r="S1252" s="35"/>
      <c r="T1252" s="35"/>
      <c r="U1252" s="35"/>
      <c r="V1252" s="35"/>
      <c r="W1252" s="35"/>
      <c r="X1252" s="35"/>
      <c r="Y1252" s="35"/>
      <c r="Z1252" s="35"/>
      <c r="AA1252" s="35"/>
      <c r="AB1252" s="35"/>
      <c r="AC1252" s="35"/>
      <c r="AD1252" s="35"/>
      <c r="AE1252" s="35"/>
    </row>
    <row r="1253">
      <c r="A1253" s="30">
        <v>46141.0</v>
      </c>
      <c r="B1253" s="35" t="str">
        <f>'รายชื่อพนักงานลาออกพ้นสภาพ'!B235</f>
        <v>BK690042</v>
      </c>
      <c r="C1253" s="35" t="str">
        <f>'รายชื่อพนักงานลาออกพ้นสภาพ'!C235</f>
        <v>น.ส.เกษรา ปั้นแจ้งอรุณ</v>
      </c>
      <c r="D1253" s="35" t="str">
        <f>'รายชื่อพนักงานลาออกพ้นสภาพ'!D235</f>
        <v>33 ผู้จัดการ</v>
      </c>
      <c r="E1253" s="35" t="str">
        <f>'รายชื่อพนักงานลาออกพ้นสภาพ'!E235</f>
        <v>ฝ่ายบริหารการขายคอนโด 1D</v>
      </c>
      <c r="F1253" s="40">
        <f>'รายชื่อพนักงานลาออกพ้นสภาพ'!H235</f>
        <v>46150</v>
      </c>
      <c r="G1253" s="33"/>
      <c r="H1253" s="73" t="s">
        <v>4712</v>
      </c>
      <c r="I1253" s="33"/>
      <c r="J1253" s="33"/>
      <c r="K1253" s="35"/>
      <c r="L1253" s="35"/>
      <c r="M1253" s="35"/>
      <c r="N1253" s="35"/>
      <c r="O1253" s="35"/>
      <c r="P1253" s="35"/>
      <c r="Q1253" s="35"/>
      <c r="R1253" s="35"/>
      <c r="S1253" s="35"/>
      <c r="T1253" s="35"/>
      <c r="U1253" s="35"/>
      <c r="V1253" s="35"/>
      <c r="W1253" s="35"/>
      <c r="X1253" s="35"/>
      <c r="Y1253" s="35"/>
      <c r="Z1253" s="35"/>
      <c r="AA1253" s="35"/>
      <c r="AB1253" s="35"/>
      <c r="AC1253" s="35"/>
      <c r="AD1253" s="35"/>
      <c r="AE1253" s="35"/>
    </row>
    <row r="1254">
      <c r="A1254" s="30">
        <v>46142.0</v>
      </c>
      <c r="B1254" s="35" t="str">
        <f>'รายชื่อพนักงานลาออกพ้นสภาพ'!B236</f>
        <v>BK690030</v>
      </c>
      <c r="C1254" s="35" t="str">
        <f>'รายชื่อพนักงานลาออกพ้นสภาพ'!C236</f>
        <v>นายชุติณธร อุ่นอาวรณ์</v>
      </c>
      <c r="D1254" s="35" t="str">
        <f>'รายชื่อพนักงานลาออกพ้นสภาพ'!D236</f>
        <v>6353 เจ้าหน้าที่ประสานงานขายและการตลาดอาวุโส</v>
      </c>
      <c r="E1254" s="35" t="str">
        <f>'รายชื่อพนักงานลาออกพ้นสภาพ'!E236</f>
        <v>ฝ่ายบริหารการขาย และการตลาด Premium</v>
      </c>
      <c r="F1254" s="40">
        <f>'รายชื่อพนักงานลาออกพ้นสภาพ'!H236</f>
        <v>46158</v>
      </c>
      <c r="G1254" s="33"/>
      <c r="H1254" s="73" t="s">
        <v>4713</v>
      </c>
      <c r="I1254" s="33"/>
      <c r="J1254" s="33"/>
      <c r="K1254" s="35"/>
      <c r="L1254" s="35"/>
      <c r="M1254" s="35"/>
      <c r="N1254" s="35"/>
      <c r="O1254" s="35"/>
      <c r="P1254" s="35"/>
      <c r="Q1254" s="35"/>
      <c r="R1254" s="35"/>
      <c r="S1254" s="35"/>
      <c r="T1254" s="35"/>
      <c r="U1254" s="35"/>
      <c r="V1254" s="35"/>
      <c r="W1254" s="35"/>
      <c r="X1254" s="35"/>
      <c r="Y1254" s="35"/>
      <c r="Z1254" s="35"/>
      <c r="AA1254" s="35"/>
      <c r="AB1254" s="35"/>
      <c r="AC1254" s="35"/>
      <c r="AD1254" s="35"/>
      <c r="AE1254" s="35"/>
    </row>
    <row r="1255">
      <c r="A1255" s="30">
        <v>46142.0</v>
      </c>
      <c r="B1255" s="35" t="str">
        <f>'รายชื่อพนักงานลาออกพ้นสภาพ'!B237</f>
        <v>SPS690014</v>
      </c>
      <c r="C1255" s="35" t="str">
        <f>'รายชื่อพนักงานลาออกพ้นสภาพ'!C237</f>
        <v>นางสาวลักษิกา  เอมอ่อน</v>
      </c>
      <c r="D1255" s="35" t="str">
        <f>'รายชื่อพนักงานลาออกพ้นสภาพ'!D237</f>
        <v>7657 เจ้าหน้าที่ธุรการ</v>
      </c>
      <c r="E1255" s="35" t="str">
        <f>'รายชื่อพนักงานลาออกพ้นสภาพ'!E237</f>
        <v>แผนก RentNex</v>
      </c>
      <c r="F1255" s="40">
        <f>'รายชื่อพนักงานลาออกพ้นสภาพ'!H237</f>
        <v>46143</v>
      </c>
      <c r="G1255" s="33"/>
      <c r="H1255" s="33"/>
      <c r="I1255" s="85" t="s">
        <v>4714</v>
      </c>
      <c r="J1255" s="33"/>
      <c r="K1255" s="35"/>
      <c r="L1255" s="35"/>
      <c r="M1255" s="35"/>
      <c r="N1255" s="35"/>
      <c r="O1255" s="35"/>
      <c r="P1255" s="35"/>
      <c r="Q1255" s="35"/>
      <c r="R1255" s="35"/>
      <c r="S1255" s="35"/>
      <c r="T1255" s="35"/>
      <c r="U1255" s="35"/>
      <c r="V1255" s="35"/>
      <c r="W1255" s="35"/>
      <c r="X1255" s="35"/>
      <c r="Y1255" s="35"/>
      <c r="Z1255" s="35"/>
      <c r="AA1255" s="35"/>
      <c r="AB1255" s="35"/>
      <c r="AC1255" s="35"/>
      <c r="AD1255" s="35"/>
      <c r="AE1255" s="35"/>
    </row>
    <row r="1256">
      <c r="A1256" s="30">
        <v>46142.0</v>
      </c>
      <c r="B1256" s="35" t="str">
        <f>'รายชื่อพนักงานลาออกพ้นสภาพ'!B238</f>
        <v>VMS670117</v>
      </c>
      <c r="C1256" s="35" t="str">
        <f>'รายชื่อพนักงานลาออกพ้นสภาพ'!C238</f>
        <v>นายณรงค์ศักดิ์  เชยขุนทด</v>
      </c>
      <c r="D1256" s="35" t="str">
        <f>'รายชื่อพนักงานลาออกพ้นสภาพ'!D238</f>
        <v>7857 ผู้ช่วยหัวหน้าช่างประจำอาคาร</v>
      </c>
      <c r="E1256" s="35" t="str">
        <f>'รายชื่อพนักงานลาออกพ้นสภาพ'!E238</f>
        <v>แผนกอาคารชุด แมเนอร์ สนามบินน้ำ</v>
      </c>
      <c r="F1256" s="40">
        <f>'รายชื่อพนักงานลาออกพ้นสภาพ'!H238</f>
        <v>46148</v>
      </c>
      <c r="G1256" s="33"/>
      <c r="H1256" s="33"/>
      <c r="I1256" s="73" t="s">
        <v>4715</v>
      </c>
      <c r="J1256" s="33"/>
      <c r="K1256" s="35"/>
      <c r="L1256" s="35"/>
      <c r="M1256" s="35"/>
      <c r="N1256" s="35"/>
      <c r="O1256" s="35"/>
      <c r="P1256" s="35"/>
      <c r="Q1256" s="35"/>
      <c r="R1256" s="35"/>
      <c r="S1256" s="35"/>
      <c r="T1256" s="35"/>
      <c r="U1256" s="35"/>
      <c r="V1256" s="35"/>
      <c r="W1256" s="35"/>
      <c r="X1256" s="35"/>
      <c r="Y1256" s="35"/>
      <c r="Z1256" s="35"/>
      <c r="AA1256" s="35"/>
      <c r="AB1256" s="35"/>
      <c r="AC1256" s="35"/>
      <c r="AD1256" s="35"/>
      <c r="AE1256" s="35"/>
    </row>
    <row r="1257">
      <c r="A1257" s="30">
        <v>46142.0</v>
      </c>
      <c r="B1257" s="35" t="str">
        <f>'รายชื่อพนักงานลาออกพ้นสภาพ'!B239</f>
        <v>VMS670161</v>
      </c>
      <c r="C1257" s="35" t="str">
        <f>'รายชื่อพนักงานลาออกพ้นสภาพ'!C239</f>
        <v>นางสาวปภาวรินท์  โภคาพิพัฒน์</v>
      </c>
      <c r="D1257" s="35" t="str">
        <f>'รายชื่อพนักงานลาออกพ้นสภาพ'!D239</f>
        <v>5859 ผู้จัดการอาคาร</v>
      </c>
      <c r="E1257" s="35" t="str">
        <f>'รายชื่อพนักงานลาออกพ้นสภาพ'!E239</f>
        <v>แผนกอาคารชุด เดอะ เชดด์ สาทร 1</v>
      </c>
      <c r="F1257" s="40">
        <f>'รายชื่อพนักงานลาออกพ้นสภาพ'!H239</f>
        <v>46174</v>
      </c>
      <c r="G1257" s="33"/>
      <c r="H1257" s="33"/>
      <c r="I1257" s="73" t="s">
        <v>4716</v>
      </c>
      <c r="J1257" s="33"/>
      <c r="K1257" s="35"/>
      <c r="L1257" s="35"/>
      <c r="M1257" s="35"/>
      <c r="N1257" s="35"/>
      <c r="O1257" s="35"/>
      <c r="P1257" s="35"/>
      <c r="Q1257" s="35"/>
      <c r="R1257" s="35"/>
      <c r="S1257" s="35"/>
      <c r="T1257" s="35"/>
      <c r="U1257" s="35"/>
      <c r="V1257" s="35"/>
      <c r="W1257" s="35"/>
      <c r="X1257" s="35"/>
      <c r="Y1257" s="35"/>
      <c r="Z1257" s="35"/>
      <c r="AA1257" s="35"/>
      <c r="AB1257" s="35"/>
      <c r="AC1257" s="35"/>
      <c r="AD1257" s="35"/>
      <c r="AE1257" s="35"/>
    </row>
    <row r="1258">
      <c r="A1258" s="30">
        <v>46142.0</v>
      </c>
      <c r="B1258" s="35" t="str">
        <f>'รายชื่อพนักงานลาออกพ้นสภาพ'!B240</f>
        <v>VMS680165</v>
      </c>
      <c r="C1258" s="35" t="str">
        <f>'รายชื่อพนักงานลาออกพ้นสภาพ'!C240</f>
        <v>นางสาววรรณรัตน์  สุวรรณ</v>
      </c>
      <c r="D1258" s="35" t="str">
        <f>'รายชื่อพนักงานลาออกพ้นสภาพ'!D240</f>
        <v>7854 เจ้าหน้าที่นิติบุคคล</v>
      </c>
      <c r="E1258" s="35" t="str">
        <f>'รายชื่อพนักงานลาออกพ้นสภาพ'!E240</f>
        <v>แผนกอาคารชุด เฟล็กซี่ สาทร - เจริญนคร เฟส 1</v>
      </c>
      <c r="F1258" s="40">
        <f>'รายชื่อพนักงานลาออกพ้นสภาพ'!H240</f>
        <v>46174</v>
      </c>
      <c r="G1258" s="33"/>
      <c r="H1258" s="33"/>
      <c r="I1258" s="73" t="s">
        <v>4717</v>
      </c>
      <c r="J1258" s="33"/>
      <c r="K1258" s="35"/>
      <c r="L1258" s="35"/>
      <c r="M1258" s="35"/>
      <c r="N1258" s="35"/>
      <c r="O1258" s="35"/>
      <c r="P1258" s="35"/>
      <c r="Q1258" s="35"/>
      <c r="R1258" s="35"/>
      <c r="S1258" s="35"/>
      <c r="T1258" s="35"/>
      <c r="U1258" s="35"/>
      <c r="V1258" s="35"/>
      <c r="W1258" s="35"/>
      <c r="X1258" s="35"/>
      <c r="Y1258" s="35"/>
      <c r="Z1258" s="35"/>
      <c r="AA1258" s="35"/>
      <c r="AB1258" s="35"/>
      <c r="AC1258" s="35"/>
      <c r="AD1258" s="35"/>
      <c r="AE1258" s="35"/>
    </row>
    <row r="1259">
      <c r="A1259" s="30">
        <v>46142.0</v>
      </c>
      <c r="B1259" s="35" t="str">
        <f>'รายชื่อพนักงานลาออกพ้นสภาพ'!B241</f>
        <v>VMS670165</v>
      </c>
      <c r="C1259" s="35" t="str">
        <f>'รายชื่อพนักงานลาออกพ้นสภาพ'!C241</f>
        <v>นายพลศิษฎ์  รัตนเกื้อกูลชัย</v>
      </c>
      <c r="D1259" s="35" t="str">
        <f>'รายชื่อพนักงานลาออกพ้นสภาพ'!D241</f>
        <v>8857 ช่างเทคนิค</v>
      </c>
      <c r="E1259" s="35" t="str">
        <f>'รายชื่อพนักงานลาออกพ้นสภาพ'!E241</f>
        <v>แผนกอาคารชุด เดอะ เชดด์ สาทร 1</v>
      </c>
      <c r="F1259" s="40">
        <f>'รายชื่อพนักงานลาออกพ้นสภาพ'!H241</f>
        <v>46174</v>
      </c>
      <c r="G1259" s="33"/>
      <c r="H1259" s="33"/>
      <c r="I1259" s="73" t="s">
        <v>4718</v>
      </c>
      <c r="J1259" s="33"/>
      <c r="K1259" s="35"/>
      <c r="L1259" s="35"/>
      <c r="M1259" s="35"/>
      <c r="N1259" s="35"/>
      <c r="O1259" s="35"/>
      <c r="P1259" s="35"/>
      <c r="Q1259" s="35"/>
      <c r="R1259" s="35"/>
      <c r="S1259" s="35"/>
      <c r="T1259" s="35"/>
      <c r="U1259" s="35"/>
      <c r="V1259" s="35"/>
      <c r="W1259" s="35"/>
      <c r="X1259" s="35"/>
      <c r="Y1259" s="35"/>
      <c r="Z1259" s="35"/>
      <c r="AA1259" s="35"/>
      <c r="AB1259" s="35"/>
      <c r="AC1259" s="35"/>
      <c r="AD1259" s="35"/>
      <c r="AE1259" s="35"/>
    </row>
    <row r="1260">
      <c r="A1260" s="30">
        <v>46142.0</v>
      </c>
      <c r="B1260" s="35" t="str">
        <f>'รายชื่อพนักงานลาออกพ้นสภาพ'!B242</f>
        <v>VMS670166</v>
      </c>
      <c r="C1260" s="35" t="str">
        <f>'รายชื่อพนักงานลาออกพ้นสภาพ'!C242</f>
        <v>นายไตยภพ  นาคลี</v>
      </c>
      <c r="D1260" s="35" t="str">
        <f>'รายชื่อพนักงานลาออกพ้นสภาพ'!D242</f>
        <v>8857 ช่างเทคนิค</v>
      </c>
      <c r="E1260" s="35" t="str">
        <f>'รายชื่อพนักงานลาออกพ้นสภาพ'!E242</f>
        <v>แผนกอาคารชุด เดอะ เชดด์ สาทร 1</v>
      </c>
      <c r="F1260" s="40">
        <f>'รายชื่อพนักงานลาออกพ้นสภาพ'!H242</f>
        <v>46174</v>
      </c>
      <c r="G1260" s="33"/>
      <c r="H1260" s="33"/>
      <c r="I1260" s="73" t="s">
        <v>4719</v>
      </c>
      <c r="J1260" s="33"/>
      <c r="K1260" s="35"/>
      <c r="L1260" s="35"/>
      <c r="M1260" s="35"/>
      <c r="N1260" s="35"/>
      <c r="O1260" s="35"/>
      <c r="P1260" s="35"/>
      <c r="Q1260" s="35"/>
      <c r="R1260" s="35"/>
      <c r="S1260" s="35"/>
      <c r="T1260" s="35"/>
      <c r="U1260" s="35"/>
      <c r="V1260" s="35"/>
      <c r="W1260" s="35"/>
      <c r="X1260" s="35"/>
      <c r="Y1260" s="35"/>
      <c r="Z1260" s="35"/>
      <c r="AA1260" s="35"/>
      <c r="AB1260" s="35"/>
      <c r="AC1260" s="35"/>
      <c r="AD1260" s="35"/>
      <c r="AE1260" s="35"/>
    </row>
    <row r="1261">
      <c r="A1261" s="30">
        <v>46142.0</v>
      </c>
      <c r="B1261" s="35" t="str">
        <f>'รายชื่อพนักงานลาออกพ้นสภาพ'!B243</f>
        <v>VMS690035</v>
      </c>
      <c r="C1261" s="35" t="str">
        <f>'รายชื่อพนักงานลาออกพ้นสภาพ'!C243</f>
        <v>นายธงไชย  ดูระภักดิ์</v>
      </c>
      <c r="D1261" s="35" t="str">
        <f>'รายชื่อพนักงานลาออกพ้นสภาพ'!D243</f>
        <v>8855 ช่างประจำอาคาร</v>
      </c>
      <c r="E1261" s="35" t="str">
        <f>'รายชื่อพนักงานลาออกพ้นสภาพ'!E243</f>
        <v>แผนกอาคารชุด เดอะ เชดด์ สาทร 1</v>
      </c>
      <c r="F1261" s="40">
        <f>'รายชื่อพนักงานลาออกพ้นสภาพ'!H243</f>
        <v>46174</v>
      </c>
      <c r="G1261" s="33"/>
      <c r="H1261" s="33"/>
      <c r="I1261" s="73" t="s">
        <v>4720</v>
      </c>
      <c r="J1261" s="33"/>
      <c r="K1261" s="35"/>
      <c r="L1261" s="35"/>
      <c r="M1261" s="35"/>
      <c r="N1261" s="35"/>
      <c r="O1261" s="35"/>
      <c r="P1261" s="35"/>
      <c r="Q1261" s="35"/>
      <c r="R1261" s="35"/>
      <c r="S1261" s="35"/>
      <c r="T1261" s="35"/>
      <c r="U1261" s="35"/>
      <c r="V1261" s="35"/>
      <c r="W1261" s="35"/>
      <c r="X1261" s="35"/>
      <c r="Y1261" s="35"/>
      <c r="Z1261" s="35"/>
      <c r="AA1261" s="35"/>
      <c r="AB1261" s="35"/>
      <c r="AC1261" s="35"/>
      <c r="AD1261" s="35"/>
      <c r="AE1261" s="35"/>
    </row>
    <row r="1262">
      <c r="A1262" s="30">
        <v>46142.0</v>
      </c>
      <c r="B1262" s="35" t="str">
        <f>'รายชื่อพนักงานลาออกพ้นสภาพ'!B244</f>
        <v>VMS680154</v>
      </c>
      <c r="C1262" s="35" t="str">
        <f>'รายชื่อพนักงานลาออกพ้นสภาพ'!C244</f>
        <v>นายเกรียงไกร  ศรีครั่ง</v>
      </c>
      <c r="D1262" s="35" t="str">
        <f>'รายชื่อพนักงานลาออกพ้นสภาพ'!D244</f>
        <v>8855 ช่างประจำอาคาร</v>
      </c>
      <c r="E1262" s="35" t="str">
        <f>'รายชื่อพนักงานลาออกพ้นสภาพ'!E244</f>
        <v>แผนกอาคารชุด เดอะ เชดด์ สาทร 1</v>
      </c>
      <c r="F1262" s="40">
        <f>'รายชื่อพนักงานลาออกพ้นสภาพ'!H244</f>
        <v>46174</v>
      </c>
      <c r="G1262" s="33"/>
      <c r="H1262" s="33"/>
      <c r="I1262" s="73" t="s">
        <v>4721</v>
      </c>
      <c r="J1262" s="33"/>
      <c r="K1262" s="35"/>
      <c r="L1262" s="35"/>
      <c r="M1262" s="35"/>
      <c r="N1262" s="35"/>
      <c r="O1262" s="35"/>
      <c r="P1262" s="35"/>
      <c r="Q1262" s="35"/>
      <c r="R1262" s="35"/>
      <c r="S1262" s="35"/>
      <c r="T1262" s="35"/>
      <c r="U1262" s="35"/>
      <c r="V1262" s="35"/>
      <c r="W1262" s="35"/>
      <c r="X1262" s="35"/>
      <c r="Y1262" s="35"/>
      <c r="Z1262" s="35"/>
      <c r="AA1262" s="35"/>
      <c r="AB1262" s="35"/>
      <c r="AC1262" s="35"/>
      <c r="AD1262" s="35"/>
      <c r="AE1262" s="35"/>
    </row>
    <row r="1263">
      <c r="A1263" s="30">
        <v>46147.0</v>
      </c>
      <c r="B1263" s="35" t="str">
        <f>'รายชื่อพนักงานลาออกพ้นสภาพ'!B245</f>
        <v>VMS680331</v>
      </c>
      <c r="C1263" s="35" t="str">
        <f>'รายชื่อพนักงานลาออกพ้นสภาพ'!C245</f>
        <v>นายณภัทร  ยอดแก้ว</v>
      </c>
      <c r="D1263" s="35" t="str">
        <f>'รายชื่อพนักงานลาออกพ้นสภาพ'!D245</f>
        <v>8855 ช่างประจำอาคาร</v>
      </c>
      <c r="E1263" s="35" t="str">
        <f>'รายชื่อพนักงานลาออกพ้นสภาพ'!E245</f>
        <v>แผนกอาคารชุด ติร ติรา</v>
      </c>
      <c r="F1263" s="40">
        <f>'รายชื่อพนักงานลาออกพ้นสภาพ'!H245</f>
        <v>46145</v>
      </c>
      <c r="G1263" s="33"/>
      <c r="H1263" s="33"/>
      <c r="I1263" s="33"/>
      <c r="J1263" s="33"/>
      <c r="K1263" s="35"/>
      <c r="L1263" s="35"/>
      <c r="M1263" s="35"/>
      <c r="N1263" s="35"/>
      <c r="O1263" s="35"/>
      <c r="P1263" s="35"/>
      <c r="Q1263" s="35"/>
      <c r="R1263" s="35"/>
      <c r="S1263" s="35"/>
      <c r="T1263" s="35"/>
      <c r="U1263" s="35"/>
      <c r="V1263" s="35"/>
      <c r="W1263" s="35"/>
      <c r="X1263" s="35"/>
      <c r="Y1263" s="35"/>
      <c r="Z1263" s="35"/>
      <c r="AA1263" s="35"/>
      <c r="AB1263" s="35"/>
      <c r="AC1263" s="35"/>
      <c r="AD1263" s="35"/>
      <c r="AE1263" s="35"/>
    </row>
    <row r="1264">
      <c r="A1264" s="30">
        <v>46147.0</v>
      </c>
      <c r="B1264" s="35" t="str">
        <f>'รายชื่อพนักงานลาออกพ้นสภาพ'!B246</f>
        <v>VMS690122</v>
      </c>
      <c r="C1264" s="35" t="str">
        <f>'รายชื่อพนักงานลาออกพ้นสภาพ'!C246</f>
        <v>นายพีรวัฒน์  ปัญญาเสน</v>
      </c>
      <c r="D1264" s="35" t="str">
        <f>'รายชื่อพนักงานลาออกพ้นสภาพ'!D246</f>
        <v>8855 ช่างประจำอาคาร</v>
      </c>
      <c r="E1264" s="35" t="str">
        <f>'รายชื่อพนักงานลาออกพ้นสภาพ'!E246</f>
        <v>แผนกอาคารชุด นิช โมโน รามคำแหง</v>
      </c>
      <c r="F1264" s="40">
        <f>'รายชื่อพนักงานลาออกพ้นสภาพ'!H246</f>
        <v>46143</v>
      </c>
      <c r="G1264" s="33"/>
      <c r="H1264" s="33"/>
      <c r="I1264" s="33"/>
      <c r="J1264" s="33"/>
      <c r="K1264" s="35"/>
      <c r="L1264" s="35"/>
      <c r="M1264" s="35"/>
      <c r="N1264" s="35"/>
      <c r="O1264" s="35"/>
      <c r="P1264" s="35"/>
      <c r="Q1264" s="35"/>
      <c r="R1264" s="35"/>
      <c r="S1264" s="35"/>
      <c r="T1264" s="35"/>
      <c r="U1264" s="35"/>
      <c r="V1264" s="35"/>
      <c r="W1264" s="35"/>
      <c r="X1264" s="35"/>
      <c r="Y1264" s="35"/>
      <c r="Z1264" s="35"/>
      <c r="AA1264" s="35"/>
      <c r="AB1264" s="35"/>
      <c r="AC1264" s="35"/>
      <c r="AD1264" s="35"/>
      <c r="AE1264" s="35"/>
    </row>
    <row r="1265">
      <c r="A1265" s="30"/>
      <c r="B1265" s="35" t="str">
        <f>'รายชื่อพนักงานลาออกพ้นสภาพ'!B247</f>
        <v/>
      </c>
      <c r="C1265" s="35" t="str">
        <f>'รายชื่อพนักงานลาออกพ้นสภาพ'!C247</f>
        <v/>
      </c>
      <c r="D1265" s="35" t="str">
        <f>'รายชื่อพนักงานลาออกพ้นสภาพ'!D247</f>
        <v/>
      </c>
      <c r="E1265" s="35" t="str">
        <f>'รายชื่อพนักงานลาออกพ้นสภาพ'!E247</f>
        <v/>
      </c>
      <c r="F1265" s="40" t="str">
        <f>'รายชื่อพนักงานลาออกพ้นสภาพ'!H247</f>
        <v/>
      </c>
      <c r="G1265" s="33"/>
      <c r="H1265" s="33"/>
      <c r="I1265" s="33"/>
      <c r="J1265" s="33"/>
      <c r="K1265" s="35"/>
      <c r="L1265" s="35"/>
      <c r="M1265" s="35"/>
      <c r="N1265" s="35"/>
      <c r="O1265" s="35"/>
      <c r="P1265" s="35"/>
      <c r="Q1265" s="35"/>
      <c r="R1265" s="35"/>
      <c r="S1265" s="35"/>
      <c r="T1265" s="35"/>
      <c r="U1265" s="35"/>
      <c r="V1265" s="35"/>
      <c r="W1265" s="35"/>
      <c r="X1265" s="35"/>
      <c r="Y1265" s="35"/>
      <c r="Z1265" s="35"/>
      <c r="AA1265" s="35"/>
      <c r="AB1265" s="35"/>
      <c r="AC1265" s="35"/>
      <c r="AD1265" s="35"/>
      <c r="AE1265" s="35"/>
    </row>
    <row r="1266">
      <c r="A1266" s="30"/>
      <c r="B1266" s="35" t="str">
        <f>'รายชื่อพนักงานลาออกพ้นสภาพ'!B248</f>
        <v/>
      </c>
      <c r="C1266" s="35" t="str">
        <f>'รายชื่อพนักงานลาออกพ้นสภาพ'!C248</f>
        <v/>
      </c>
      <c r="D1266" s="35" t="str">
        <f>'รายชื่อพนักงานลาออกพ้นสภาพ'!D248</f>
        <v/>
      </c>
      <c r="E1266" s="35" t="str">
        <f>'รายชื่อพนักงานลาออกพ้นสภาพ'!E248</f>
        <v/>
      </c>
      <c r="F1266" s="40" t="str">
        <f>'รายชื่อพนักงานลาออกพ้นสภาพ'!H248</f>
        <v/>
      </c>
      <c r="G1266" s="33"/>
      <c r="H1266" s="33"/>
      <c r="I1266" s="33"/>
      <c r="J1266" s="33"/>
      <c r="K1266" s="35"/>
      <c r="L1266" s="35"/>
      <c r="M1266" s="35"/>
      <c r="N1266" s="35"/>
      <c r="O1266" s="35"/>
      <c r="P1266" s="35"/>
      <c r="Q1266" s="35"/>
      <c r="R1266" s="35"/>
      <c r="S1266" s="35"/>
      <c r="T1266" s="35"/>
      <c r="U1266" s="35"/>
      <c r="V1266" s="35"/>
      <c r="W1266" s="35"/>
      <c r="X1266" s="35"/>
      <c r="Y1266" s="35"/>
      <c r="Z1266" s="35"/>
      <c r="AA1266" s="35"/>
      <c r="AB1266" s="35"/>
      <c r="AC1266" s="35"/>
      <c r="AD1266" s="35"/>
      <c r="AE1266" s="35"/>
    </row>
    <row r="1267">
      <c r="A1267" s="30"/>
      <c r="B1267" s="35" t="str">
        <f>'รายชื่อพนักงานลาออกพ้นสภาพ'!B249</f>
        <v/>
      </c>
      <c r="C1267" s="35" t="str">
        <f>'รายชื่อพนักงานลาออกพ้นสภาพ'!C249</f>
        <v/>
      </c>
      <c r="D1267" s="35" t="str">
        <f>'รายชื่อพนักงานลาออกพ้นสภาพ'!D249</f>
        <v/>
      </c>
      <c r="E1267" s="35" t="str">
        <f>'รายชื่อพนักงานลาออกพ้นสภาพ'!E249</f>
        <v/>
      </c>
      <c r="F1267" s="40" t="str">
        <f>'รายชื่อพนักงานลาออกพ้นสภาพ'!H249</f>
        <v/>
      </c>
      <c r="G1267" s="33"/>
      <c r="H1267" s="33"/>
      <c r="I1267" s="33"/>
      <c r="J1267" s="33"/>
      <c r="K1267" s="35"/>
      <c r="L1267" s="35"/>
      <c r="M1267" s="35"/>
      <c r="N1267" s="35"/>
      <c r="O1267" s="35"/>
      <c r="P1267" s="35"/>
      <c r="Q1267" s="35"/>
      <c r="R1267" s="35"/>
      <c r="S1267" s="35"/>
      <c r="T1267" s="35"/>
      <c r="U1267" s="35"/>
      <c r="V1267" s="35"/>
      <c r="W1267" s="35"/>
      <c r="X1267" s="35"/>
      <c r="Y1267" s="35"/>
      <c r="Z1267" s="35"/>
      <c r="AA1267" s="35"/>
      <c r="AB1267" s="35"/>
      <c r="AC1267" s="35"/>
      <c r="AD1267" s="35"/>
      <c r="AE1267" s="35"/>
    </row>
    <row r="1268">
      <c r="A1268" s="30"/>
      <c r="B1268" s="35" t="str">
        <f>'รายชื่อพนักงานลาออกพ้นสภาพ'!B250</f>
        <v/>
      </c>
      <c r="C1268" s="35" t="str">
        <f>'รายชื่อพนักงานลาออกพ้นสภาพ'!C250</f>
        <v/>
      </c>
      <c r="D1268" s="35" t="str">
        <f>'รายชื่อพนักงานลาออกพ้นสภาพ'!D250</f>
        <v/>
      </c>
      <c r="E1268" s="35" t="str">
        <f>'รายชื่อพนักงานลาออกพ้นสภาพ'!E250</f>
        <v/>
      </c>
      <c r="F1268" s="40" t="str">
        <f>'รายชื่อพนักงานลาออกพ้นสภาพ'!H250</f>
        <v/>
      </c>
      <c r="G1268" s="33"/>
      <c r="H1268" s="33"/>
      <c r="I1268" s="33"/>
      <c r="J1268" s="33"/>
      <c r="K1268" s="35"/>
      <c r="L1268" s="35"/>
      <c r="M1268" s="35"/>
      <c r="N1268" s="35"/>
      <c r="O1268" s="35"/>
      <c r="P1268" s="35"/>
      <c r="Q1268" s="35"/>
      <c r="R1268" s="35"/>
      <c r="S1268" s="35"/>
      <c r="T1268" s="35"/>
      <c r="U1268" s="35"/>
      <c r="V1268" s="35"/>
      <c r="W1268" s="35"/>
      <c r="X1268" s="35"/>
      <c r="Y1268" s="35"/>
      <c r="Z1268" s="35"/>
      <c r="AA1268" s="35"/>
      <c r="AB1268" s="35"/>
      <c r="AC1268" s="35"/>
      <c r="AD1268" s="35"/>
      <c r="AE1268" s="35"/>
    </row>
    <row r="1269">
      <c r="A1269" s="30"/>
      <c r="B1269" s="35" t="str">
        <f>'รายชื่อพนักงานลาออกพ้นสภาพ'!B251</f>
        <v/>
      </c>
      <c r="C1269" s="35" t="str">
        <f>'รายชื่อพนักงานลาออกพ้นสภาพ'!C251</f>
        <v/>
      </c>
      <c r="D1269" s="35" t="str">
        <f>'รายชื่อพนักงานลาออกพ้นสภาพ'!D251</f>
        <v/>
      </c>
      <c r="E1269" s="35" t="str">
        <f>'รายชื่อพนักงานลาออกพ้นสภาพ'!E251</f>
        <v/>
      </c>
      <c r="F1269" s="40" t="str">
        <f>'รายชื่อพนักงานลาออกพ้นสภาพ'!H251</f>
        <v/>
      </c>
      <c r="G1269" s="33"/>
      <c r="H1269" s="33"/>
      <c r="I1269" s="33"/>
      <c r="J1269" s="33"/>
      <c r="K1269" s="35"/>
      <c r="L1269" s="35"/>
      <c r="M1269" s="35"/>
      <c r="N1269" s="35"/>
      <c r="O1269" s="35"/>
      <c r="P1269" s="35"/>
      <c r="Q1269" s="35"/>
      <c r="R1269" s="35"/>
      <c r="S1269" s="35"/>
      <c r="T1269" s="35"/>
      <c r="U1269" s="35"/>
      <c r="V1269" s="35"/>
      <c r="W1269" s="35"/>
      <c r="X1269" s="35"/>
      <c r="Y1269" s="35"/>
      <c r="Z1269" s="35"/>
      <c r="AA1269" s="35"/>
      <c r="AB1269" s="35"/>
      <c r="AC1269" s="35"/>
      <c r="AD1269" s="35"/>
      <c r="AE1269" s="35"/>
    </row>
    <row r="1270">
      <c r="A1270" s="30"/>
      <c r="B1270" s="35" t="str">
        <f>'รายชื่อพนักงานลาออกพ้นสภาพ'!B252</f>
        <v/>
      </c>
      <c r="C1270" s="35" t="str">
        <f>'รายชื่อพนักงานลาออกพ้นสภาพ'!C252</f>
        <v/>
      </c>
      <c r="D1270" s="35" t="str">
        <f>'รายชื่อพนักงานลาออกพ้นสภาพ'!D252</f>
        <v/>
      </c>
      <c r="E1270" s="35" t="str">
        <f>'รายชื่อพนักงานลาออกพ้นสภาพ'!E252</f>
        <v/>
      </c>
      <c r="F1270" s="40" t="str">
        <f>'รายชื่อพนักงานลาออกพ้นสภาพ'!H252</f>
        <v/>
      </c>
      <c r="G1270" s="33"/>
      <c r="H1270" s="33"/>
      <c r="I1270" s="33"/>
      <c r="J1270" s="33"/>
      <c r="K1270" s="35"/>
      <c r="L1270" s="35"/>
      <c r="M1270" s="35"/>
      <c r="N1270" s="35"/>
      <c r="O1270" s="35"/>
      <c r="P1270" s="35"/>
      <c r="Q1270" s="35"/>
      <c r="R1270" s="35"/>
      <c r="S1270" s="35"/>
      <c r="T1270" s="35"/>
      <c r="U1270" s="35"/>
      <c r="V1270" s="35"/>
      <c r="W1270" s="35"/>
      <c r="X1270" s="35"/>
      <c r="Y1270" s="35"/>
      <c r="Z1270" s="35"/>
      <c r="AA1270" s="35"/>
      <c r="AB1270" s="35"/>
      <c r="AC1270" s="35"/>
      <c r="AD1270" s="35"/>
      <c r="AE1270" s="35"/>
    </row>
    <row r="1271">
      <c r="A1271" s="30"/>
      <c r="B1271" s="35" t="str">
        <f>'รายชื่อพนักงานลาออกพ้นสภาพ'!B253</f>
        <v/>
      </c>
      <c r="C1271" s="35" t="str">
        <f>'รายชื่อพนักงานลาออกพ้นสภาพ'!C253</f>
        <v/>
      </c>
      <c r="D1271" s="35" t="str">
        <f>'รายชื่อพนักงานลาออกพ้นสภาพ'!D253</f>
        <v/>
      </c>
      <c r="E1271" s="35" t="str">
        <f>'รายชื่อพนักงานลาออกพ้นสภาพ'!E253</f>
        <v/>
      </c>
      <c r="F1271" s="40" t="str">
        <f>'รายชื่อพนักงานลาออกพ้นสภาพ'!H253</f>
        <v/>
      </c>
      <c r="G1271" s="33"/>
      <c r="H1271" s="33"/>
      <c r="I1271" s="33"/>
      <c r="J1271" s="33"/>
      <c r="K1271" s="35"/>
      <c r="L1271" s="35"/>
      <c r="M1271" s="35"/>
      <c r="N1271" s="35"/>
      <c r="O1271" s="35"/>
      <c r="P1271" s="35"/>
      <c r="Q1271" s="35"/>
      <c r="R1271" s="35"/>
      <c r="S1271" s="35"/>
      <c r="T1271" s="35"/>
      <c r="U1271" s="35"/>
      <c r="V1271" s="35"/>
      <c r="W1271" s="35"/>
      <c r="X1271" s="35"/>
      <c r="Y1271" s="35"/>
      <c r="Z1271" s="35"/>
      <c r="AA1271" s="35"/>
      <c r="AB1271" s="35"/>
      <c r="AC1271" s="35"/>
      <c r="AD1271" s="35"/>
      <c r="AE1271" s="35"/>
    </row>
    <row r="1272">
      <c r="A1272" s="30"/>
      <c r="B1272" s="35" t="str">
        <f>'รายชื่อพนักงานลาออกพ้นสภาพ'!B254</f>
        <v/>
      </c>
      <c r="C1272" s="35" t="str">
        <f>'รายชื่อพนักงานลาออกพ้นสภาพ'!C254</f>
        <v/>
      </c>
      <c r="D1272" s="35" t="str">
        <f>'รายชื่อพนักงานลาออกพ้นสภาพ'!D254</f>
        <v/>
      </c>
      <c r="E1272" s="35" t="str">
        <f>'รายชื่อพนักงานลาออกพ้นสภาพ'!E254</f>
        <v/>
      </c>
      <c r="F1272" s="40" t="str">
        <f>'รายชื่อพนักงานลาออกพ้นสภาพ'!H254</f>
        <v/>
      </c>
      <c r="G1272" s="33"/>
      <c r="H1272" s="33"/>
      <c r="I1272" s="33"/>
      <c r="J1272" s="33"/>
      <c r="K1272" s="35"/>
      <c r="L1272" s="35"/>
      <c r="M1272" s="35"/>
      <c r="N1272" s="35"/>
      <c r="O1272" s="35"/>
      <c r="P1272" s="35"/>
      <c r="Q1272" s="35"/>
      <c r="R1272" s="35"/>
      <c r="S1272" s="35"/>
      <c r="T1272" s="35"/>
      <c r="U1272" s="35"/>
      <c r="V1272" s="35"/>
      <c r="W1272" s="35"/>
      <c r="X1272" s="35"/>
      <c r="Y1272" s="35"/>
      <c r="Z1272" s="35"/>
      <c r="AA1272" s="35"/>
      <c r="AB1272" s="35"/>
      <c r="AC1272" s="35"/>
      <c r="AD1272" s="35"/>
      <c r="AE1272" s="35"/>
    </row>
    <row r="1273">
      <c r="A1273" s="30"/>
      <c r="B1273" s="35" t="str">
        <f>'รายชื่อพนักงานลาออกพ้นสภาพ'!B255</f>
        <v/>
      </c>
      <c r="C1273" s="35" t="str">
        <f>'รายชื่อพนักงานลาออกพ้นสภาพ'!C255</f>
        <v/>
      </c>
      <c r="D1273" s="35" t="str">
        <f>'รายชื่อพนักงานลาออกพ้นสภาพ'!D255</f>
        <v/>
      </c>
      <c r="E1273" s="35" t="str">
        <f>'รายชื่อพนักงานลาออกพ้นสภาพ'!E255</f>
        <v/>
      </c>
      <c r="F1273" s="40" t="str">
        <f>'รายชื่อพนักงานลาออกพ้นสภาพ'!H255</f>
        <v/>
      </c>
      <c r="G1273" s="33"/>
      <c r="H1273" s="33"/>
      <c r="I1273" s="33"/>
      <c r="J1273" s="33"/>
      <c r="K1273" s="35"/>
      <c r="L1273" s="35"/>
      <c r="M1273" s="35"/>
      <c r="N1273" s="35"/>
      <c r="O1273" s="35"/>
      <c r="P1273" s="35"/>
      <c r="Q1273" s="35"/>
      <c r="R1273" s="35"/>
      <c r="S1273" s="35"/>
      <c r="T1273" s="35"/>
      <c r="U1273" s="35"/>
      <c r="V1273" s="35"/>
      <c r="W1273" s="35"/>
      <c r="X1273" s="35"/>
      <c r="Y1273" s="35"/>
      <c r="Z1273" s="35"/>
      <c r="AA1273" s="35"/>
      <c r="AB1273" s="35"/>
      <c r="AC1273" s="35"/>
      <c r="AD1273" s="35"/>
      <c r="AE1273" s="35"/>
    </row>
    <row r="1274">
      <c r="A1274" s="30"/>
      <c r="B1274" s="35" t="str">
        <f>'รายชื่อพนักงานลาออกพ้นสภาพ'!B256</f>
        <v/>
      </c>
      <c r="C1274" s="35" t="str">
        <f>'รายชื่อพนักงานลาออกพ้นสภาพ'!C256</f>
        <v/>
      </c>
      <c r="D1274" s="35" t="str">
        <f>'รายชื่อพนักงานลาออกพ้นสภาพ'!D256</f>
        <v/>
      </c>
      <c r="E1274" s="35" t="str">
        <f>'รายชื่อพนักงานลาออกพ้นสภาพ'!E256</f>
        <v/>
      </c>
      <c r="F1274" s="40" t="str">
        <f>'รายชื่อพนักงานลาออกพ้นสภาพ'!H256</f>
        <v/>
      </c>
      <c r="G1274" s="33"/>
      <c r="H1274" s="33"/>
      <c r="I1274" s="33"/>
      <c r="J1274" s="33"/>
      <c r="K1274" s="35"/>
      <c r="L1274" s="35"/>
      <c r="M1274" s="35"/>
      <c r="N1274" s="35"/>
      <c r="O1274" s="35"/>
      <c r="P1274" s="35"/>
      <c r="Q1274" s="35"/>
      <c r="R1274" s="35"/>
      <c r="S1274" s="35"/>
      <c r="T1274" s="35"/>
      <c r="U1274" s="35"/>
      <c r="V1274" s="35"/>
      <c r="W1274" s="35"/>
      <c r="X1274" s="35"/>
      <c r="Y1274" s="35"/>
      <c r="Z1274" s="35"/>
      <c r="AA1274" s="35"/>
      <c r="AB1274" s="35"/>
      <c r="AC1274" s="35"/>
      <c r="AD1274" s="35"/>
      <c r="AE1274" s="35"/>
    </row>
    <row r="1275">
      <c r="A1275" s="30"/>
      <c r="B1275" s="35" t="str">
        <f>'รายชื่อพนักงานลาออกพ้นสภาพ'!B257</f>
        <v/>
      </c>
      <c r="C1275" s="35" t="str">
        <f>'รายชื่อพนักงานลาออกพ้นสภาพ'!C257</f>
        <v/>
      </c>
      <c r="D1275" s="35" t="str">
        <f>'รายชื่อพนักงานลาออกพ้นสภาพ'!D257</f>
        <v/>
      </c>
      <c r="E1275" s="35" t="str">
        <f>'รายชื่อพนักงานลาออกพ้นสภาพ'!E257</f>
        <v/>
      </c>
      <c r="F1275" s="40" t="str">
        <f>'รายชื่อพนักงานลาออกพ้นสภาพ'!H257</f>
        <v/>
      </c>
      <c r="G1275" s="33"/>
      <c r="H1275" s="33"/>
      <c r="I1275" s="33"/>
      <c r="J1275" s="33"/>
      <c r="K1275" s="35"/>
      <c r="L1275" s="35"/>
      <c r="M1275" s="35"/>
      <c r="N1275" s="35"/>
      <c r="O1275" s="35"/>
      <c r="P1275" s="35"/>
      <c r="Q1275" s="35"/>
      <c r="R1275" s="35"/>
      <c r="S1275" s="35"/>
      <c r="T1275" s="35"/>
      <c r="U1275" s="35"/>
      <c r="V1275" s="35"/>
      <c r="W1275" s="35"/>
      <c r="X1275" s="35"/>
      <c r="Y1275" s="35"/>
      <c r="Z1275" s="35"/>
      <c r="AA1275" s="35"/>
      <c r="AB1275" s="35"/>
      <c r="AC1275" s="35"/>
      <c r="AD1275" s="35"/>
      <c r="AE1275" s="35"/>
    </row>
    <row r="1276">
      <c r="A1276" s="30"/>
      <c r="B1276" s="35" t="str">
        <f>'รายชื่อพนักงานลาออกพ้นสภาพ'!B258</f>
        <v/>
      </c>
      <c r="C1276" s="35" t="str">
        <f>'รายชื่อพนักงานลาออกพ้นสภาพ'!C258</f>
        <v/>
      </c>
      <c r="D1276" s="35" t="str">
        <f>'รายชื่อพนักงานลาออกพ้นสภาพ'!D258</f>
        <v/>
      </c>
      <c r="E1276" s="35" t="str">
        <f>'รายชื่อพนักงานลาออกพ้นสภาพ'!E258</f>
        <v/>
      </c>
      <c r="F1276" s="40" t="str">
        <f>'รายชื่อพนักงานลาออกพ้นสภาพ'!H258</f>
        <v/>
      </c>
      <c r="G1276" s="33"/>
      <c r="H1276" s="33"/>
      <c r="I1276" s="33"/>
      <c r="J1276" s="33"/>
      <c r="K1276" s="35"/>
      <c r="L1276" s="35"/>
      <c r="M1276" s="35"/>
      <c r="N1276" s="35"/>
      <c r="O1276" s="35"/>
      <c r="P1276" s="35"/>
      <c r="Q1276" s="35"/>
      <c r="R1276" s="35"/>
      <c r="S1276" s="35"/>
      <c r="T1276" s="35"/>
      <c r="U1276" s="35"/>
      <c r="V1276" s="35"/>
      <c r="W1276" s="35"/>
      <c r="X1276" s="35"/>
      <c r="Y1276" s="35"/>
      <c r="Z1276" s="35"/>
      <c r="AA1276" s="35"/>
      <c r="AB1276" s="35"/>
      <c r="AC1276" s="35"/>
      <c r="AD1276" s="35"/>
      <c r="AE1276" s="35"/>
    </row>
    <row r="1277">
      <c r="A1277" s="30"/>
      <c r="B1277" s="35" t="str">
        <f>'รายชื่อพนักงานลาออกพ้นสภาพ'!B259</f>
        <v/>
      </c>
      <c r="C1277" s="35" t="str">
        <f>'รายชื่อพนักงานลาออกพ้นสภาพ'!C259</f>
        <v/>
      </c>
      <c r="D1277" s="35" t="str">
        <f>'รายชื่อพนักงานลาออกพ้นสภาพ'!D259</f>
        <v/>
      </c>
      <c r="E1277" s="35" t="str">
        <f>'รายชื่อพนักงานลาออกพ้นสภาพ'!E259</f>
        <v/>
      </c>
      <c r="F1277" s="40" t="str">
        <f>'รายชื่อพนักงานลาออกพ้นสภาพ'!H259</f>
        <v/>
      </c>
      <c r="G1277" s="33"/>
      <c r="H1277" s="33"/>
      <c r="I1277" s="33"/>
      <c r="J1277" s="33"/>
      <c r="K1277" s="35"/>
      <c r="L1277" s="35"/>
      <c r="M1277" s="35"/>
      <c r="N1277" s="35"/>
      <c r="O1277" s="35"/>
      <c r="P1277" s="35"/>
      <c r="Q1277" s="35"/>
      <c r="R1277" s="35"/>
      <c r="S1277" s="35"/>
      <c r="T1277" s="35"/>
      <c r="U1277" s="35"/>
      <c r="V1277" s="35"/>
      <c r="W1277" s="35"/>
      <c r="X1277" s="35"/>
      <c r="Y1277" s="35"/>
      <c r="Z1277" s="35"/>
      <c r="AA1277" s="35"/>
      <c r="AB1277" s="35"/>
      <c r="AC1277" s="35"/>
      <c r="AD1277" s="35"/>
      <c r="AE1277" s="35"/>
    </row>
    <row r="1278">
      <c r="A1278" s="30"/>
      <c r="B1278" s="35" t="str">
        <f>'รายชื่อพนักงานลาออกพ้นสภาพ'!B260</f>
        <v/>
      </c>
      <c r="C1278" s="35" t="str">
        <f>'รายชื่อพนักงานลาออกพ้นสภาพ'!C260</f>
        <v/>
      </c>
      <c r="D1278" s="35" t="str">
        <f>'รายชื่อพนักงานลาออกพ้นสภาพ'!D260</f>
        <v/>
      </c>
      <c r="E1278" s="35" t="str">
        <f>'รายชื่อพนักงานลาออกพ้นสภาพ'!E260</f>
        <v/>
      </c>
      <c r="F1278" s="40" t="str">
        <f>'รายชื่อพนักงานลาออกพ้นสภาพ'!H260</f>
        <v/>
      </c>
      <c r="G1278" s="33"/>
      <c r="H1278" s="33"/>
      <c r="I1278" s="33"/>
      <c r="J1278" s="33"/>
      <c r="K1278" s="35"/>
      <c r="L1278" s="35"/>
      <c r="M1278" s="35"/>
      <c r="N1278" s="35"/>
      <c r="O1278" s="35"/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5"/>
      <c r="AA1278" s="35"/>
      <c r="AB1278" s="35"/>
      <c r="AC1278" s="35"/>
      <c r="AD1278" s="35"/>
      <c r="AE1278" s="35"/>
    </row>
    <row r="1279">
      <c r="A1279" s="30"/>
      <c r="B1279" s="35" t="str">
        <f>'รายชื่อพนักงานลาออกพ้นสภาพ'!B261</f>
        <v/>
      </c>
      <c r="C1279" s="35" t="str">
        <f>'รายชื่อพนักงานลาออกพ้นสภาพ'!C261</f>
        <v/>
      </c>
      <c r="D1279" s="35" t="str">
        <f>'รายชื่อพนักงานลาออกพ้นสภาพ'!D261</f>
        <v/>
      </c>
      <c r="E1279" s="35" t="str">
        <f>'รายชื่อพนักงานลาออกพ้นสภาพ'!E261</f>
        <v/>
      </c>
      <c r="F1279" s="40" t="str">
        <f>'รายชื่อพนักงานลาออกพ้นสภาพ'!H261</f>
        <v/>
      </c>
      <c r="G1279" s="33"/>
      <c r="H1279" s="33"/>
      <c r="I1279" s="33"/>
      <c r="J1279" s="33"/>
      <c r="K1279" s="35"/>
      <c r="L1279" s="35"/>
      <c r="M1279" s="35"/>
      <c r="N1279" s="35"/>
      <c r="O1279" s="35"/>
      <c r="P1279" s="35"/>
      <c r="Q1279" s="35"/>
      <c r="R1279" s="35"/>
      <c r="S1279" s="35"/>
      <c r="T1279" s="35"/>
      <c r="U1279" s="35"/>
      <c r="V1279" s="35"/>
      <c r="W1279" s="35"/>
      <c r="X1279" s="35"/>
      <c r="Y1279" s="35"/>
      <c r="Z1279" s="35"/>
      <c r="AA1279" s="35"/>
      <c r="AB1279" s="35"/>
      <c r="AC1279" s="35"/>
      <c r="AD1279" s="35"/>
      <c r="AE1279" s="35"/>
    </row>
    <row r="1280">
      <c r="A1280" s="30"/>
      <c r="B1280" s="35" t="str">
        <f>'รายชื่อพนักงานลาออกพ้นสภาพ'!B262</f>
        <v/>
      </c>
      <c r="C1280" s="35" t="str">
        <f>'รายชื่อพนักงานลาออกพ้นสภาพ'!C262</f>
        <v/>
      </c>
      <c r="D1280" s="35" t="str">
        <f>'รายชื่อพนักงานลาออกพ้นสภาพ'!D262</f>
        <v/>
      </c>
      <c r="E1280" s="35" t="str">
        <f>'รายชื่อพนักงานลาออกพ้นสภาพ'!E262</f>
        <v/>
      </c>
      <c r="F1280" s="40" t="str">
        <f>'รายชื่อพนักงานลาออกพ้นสภาพ'!H262</f>
        <v/>
      </c>
      <c r="G1280" s="33"/>
      <c r="H1280" s="33"/>
      <c r="I1280" s="33"/>
      <c r="J1280" s="33"/>
      <c r="K1280" s="35"/>
      <c r="L1280" s="35"/>
      <c r="M1280" s="35"/>
      <c r="N1280" s="35"/>
      <c r="O1280" s="35"/>
      <c r="P1280" s="35"/>
      <c r="Q1280" s="35"/>
      <c r="R1280" s="35"/>
      <c r="S1280" s="35"/>
      <c r="T1280" s="35"/>
      <c r="U1280" s="35"/>
      <c r="V1280" s="35"/>
      <c r="W1280" s="35"/>
      <c r="X1280" s="35"/>
      <c r="Y1280" s="35"/>
      <c r="Z1280" s="35"/>
      <c r="AA1280" s="35"/>
      <c r="AB1280" s="35"/>
      <c r="AC1280" s="35"/>
      <c r="AD1280" s="35"/>
      <c r="AE1280" s="35"/>
    </row>
    <row r="1281">
      <c r="A1281" s="30"/>
      <c r="B1281" s="35" t="str">
        <f>'รายชื่อพนักงานลาออกพ้นสภาพ'!B263</f>
        <v/>
      </c>
      <c r="C1281" s="35" t="str">
        <f>'รายชื่อพนักงานลาออกพ้นสภาพ'!C263</f>
        <v/>
      </c>
      <c r="D1281" s="35" t="str">
        <f>'รายชื่อพนักงานลาออกพ้นสภาพ'!D263</f>
        <v/>
      </c>
      <c r="E1281" s="35" t="str">
        <f>'รายชื่อพนักงานลาออกพ้นสภาพ'!E263</f>
        <v/>
      </c>
      <c r="F1281" s="40" t="str">
        <f>'รายชื่อพนักงานลาออกพ้นสภาพ'!H263</f>
        <v/>
      </c>
      <c r="G1281" s="33"/>
      <c r="H1281" s="33"/>
      <c r="I1281" s="33"/>
      <c r="J1281" s="33"/>
      <c r="K1281" s="35"/>
      <c r="L1281" s="35"/>
      <c r="M1281" s="35"/>
      <c r="N1281" s="35"/>
      <c r="O1281" s="35"/>
      <c r="P1281" s="35"/>
      <c r="Q1281" s="35"/>
      <c r="R1281" s="35"/>
      <c r="S1281" s="35"/>
      <c r="T1281" s="35"/>
      <c r="U1281" s="35"/>
      <c r="V1281" s="35"/>
      <c r="W1281" s="35"/>
      <c r="X1281" s="35"/>
      <c r="Y1281" s="35"/>
      <c r="Z1281" s="35"/>
      <c r="AA1281" s="35"/>
      <c r="AB1281" s="35"/>
      <c r="AC1281" s="35"/>
      <c r="AD1281" s="35"/>
      <c r="AE1281" s="35"/>
    </row>
    <row r="1282">
      <c r="A1282" s="30"/>
      <c r="B1282" s="35" t="str">
        <f>'รายชื่อพนักงานลาออกพ้นสภาพ'!B264</f>
        <v/>
      </c>
      <c r="C1282" s="35" t="str">
        <f>'รายชื่อพนักงานลาออกพ้นสภาพ'!C264</f>
        <v/>
      </c>
      <c r="D1282" s="35" t="str">
        <f>'รายชื่อพนักงานลาออกพ้นสภาพ'!D264</f>
        <v/>
      </c>
      <c r="E1282" s="35" t="str">
        <f>'รายชื่อพนักงานลาออกพ้นสภาพ'!E264</f>
        <v/>
      </c>
      <c r="F1282" s="40" t="str">
        <f>'รายชื่อพนักงานลาออกพ้นสภาพ'!H264</f>
        <v/>
      </c>
      <c r="G1282" s="33"/>
      <c r="H1282" s="33"/>
      <c r="I1282" s="33"/>
      <c r="J1282" s="33"/>
      <c r="K1282" s="35"/>
      <c r="L1282" s="35"/>
      <c r="M1282" s="35"/>
      <c r="N1282" s="35"/>
      <c r="O1282" s="35"/>
      <c r="P1282" s="35"/>
      <c r="Q1282" s="35"/>
      <c r="R1282" s="35"/>
      <c r="S1282" s="35"/>
      <c r="T1282" s="35"/>
      <c r="U1282" s="35"/>
      <c r="V1282" s="35"/>
      <c r="W1282" s="35"/>
      <c r="X1282" s="35"/>
      <c r="Y1282" s="35"/>
      <c r="Z1282" s="35"/>
      <c r="AA1282" s="35"/>
      <c r="AB1282" s="35"/>
      <c r="AC1282" s="35"/>
      <c r="AD1282" s="35"/>
      <c r="AE1282" s="35"/>
    </row>
    <row r="1283">
      <c r="A1283" s="30"/>
      <c r="B1283" s="35" t="str">
        <f>'รายชื่อพนักงานลาออกพ้นสภาพ'!B265</f>
        <v/>
      </c>
      <c r="C1283" s="35" t="str">
        <f>'รายชื่อพนักงานลาออกพ้นสภาพ'!C265</f>
        <v/>
      </c>
      <c r="D1283" s="35" t="str">
        <f>'รายชื่อพนักงานลาออกพ้นสภาพ'!D265</f>
        <v/>
      </c>
      <c r="E1283" s="35" t="str">
        <f>'รายชื่อพนักงานลาออกพ้นสภาพ'!E265</f>
        <v/>
      </c>
      <c r="F1283" s="40" t="str">
        <f>'รายชื่อพนักงานลาออกพ้นสภาพ'!H265</f>
        <v/>
      </c>
      <c r="G1283" s="33"/>
      <c r="H1283" s="33"/>
      <c r="I1283" s="33"/>
      <c r="J1283" s="33"/>
      <c r="K1283" s="35"/>
      <c r="L1283" s="35"/>
      <c r="M1283" s="35"/>
      <c r="N1283" s="35"/>
      <c r="O1283" s="35"/>
      <c r="P1283" s="35"/>
      <c r="Q1283" s="35"/>
      <c r="R1283" s="35"/>
      <c r="S1283" s="35"/>
      <c r="T1283" s="35"/>
      <c r="U1283" s="35"/>
      <c r="V1283" s="35"/>
      <c r="W1283" s="35"/>
      <c r="X1283" s="35"/>
      <c r="Y1283" s="35"/>
      <c r="Z1283" s="35"/>
      <c r="AA1283" s="35"/>
      <c r="AB1283" s="35"/>
      <c r="AC1283" s="35"/>
      <c r="AD1283" s="35"/>
      <c r="AE1283" s="35"/>
    </row>
    <row r="1284">
      <c r="A1284" s="30"/>
      <c r="B1284" s="35" t="str">
        <f>'รายชื่อพนักงานลาออกพ้นสภาพ'!B266</f>
        <v/>
      </c>
      <c r="C1284" s="35" t="str">
        <f>'รายชื่อพนักงานลาออกพ้นสภาพ'!C266</f>
        <v/>
      </c>
      <c r="D1284" s="35" t="str">
        <f>'รายชื่อพนักงานลาออกพ้นสภาพ'!D266</f>
        <v/>
      </c>
      <c r="E1284" s="35" t="str">
        <f>'รายชื่อพนักงานลาออกพ้นสภาพ'!E266</f>
        <v/>
      </c>
      <c r="F1284" s="40" t="str">
        <f>'รายชื่อพนักงานลาออกพ้นสภาพ'!H266</f>
        <v/>
      </c>
      <c r="G1284" s="33"/>
      <c r="H1284" s="33"/>
      <c r="I1284" s="33"/>
      <c r="J1284" s="33"/>
      <c r="K1284" s="35"/>
      <c r="L1284" s="35"/>
      <c r="M1284" s="35"/>
      <c r="N1284" s="35"/>
      <c r="O1284" s="35"/>
      <c r="P1284" s="35"/>
      <c r="Q1284" s="35"/>
      <c r="R1284" s="35"/>
      <c r="S1284" s="35"/>
      <c r="T1284" s="35"/>
      <c r="U1284" s="35"/>
      <c r="V1284" s="35"/>
      <c r="W1284" s="35"/>
      <c r="X1284" s="35"/>
      <c r="Y1284" s="35"/>
      <c r="Z1284" s="35"/>
      <c r="AA1284" s="35"/>
      <c r="AB1284" s="35"/>
      <c r="AC1284" s="35"/>
      <c r="AD1284" s="35"/>
      <c r="AE1284" s="35"/>
    </row>
    <row r="1285">
      <c r="A1285" s="30"/>
      <c r="B1285" s="35" t="str">
        <f>'รายชื่อพนักงานลาออกพ้นสภาพ'!B267</f>
        <v/>
      </c>
      <c r="C1285" s="35" t="str">
        <f>'รายชื่อพนักงานลาออกพ้นสภาพ'!C267</f>
        <v/>
      </c>
      <c r="D1285" s="35" t="str">
        <f>'รายชื่อพนักงานลาออกพ้นสภาพ'!D267</f>
        <v/>
      </c>
      <c r="E1285" s="35" t="str">
        <f>'รายชื่อพนักงานลาออกพ้นสภาพ'!E267</f>
        <v/>
      </c>
      <c r="F1285" s="40" t="str">
        <f>'รายชื่อพนักงานลาออกพ้นสภาพ'!H267</f>
        <v/>
      </c>
      <c r="G1285" s="33"/>
      <c r="H1285" s="33"/>
      <c r="I1285" s="33"/>
      <c r="J1285" s="33"/>
      <c r="K1285" s="35"/>
      <c r="L1285" s="35"/>
      <c r="M1285" s="35"/>
      <c r="N1285" s="35"/>
      <c r="O1285" s="35"/>
      <c r="P1285" s="35"/>
      <c r="Q1285" s="35"/>
      <c r="R1285" s="35"/>
      <c r="S1285" s="35"/>
      <c r="T1285" s="35"/>
      <c r="U1285" s="35"/>
      <c r="V1285" s="35"/>
      <c r="W1285" s="35"/>
      <c r="X1285" s="35"/>
      <c r="Y1285" s="35"/>
      <c r="Z1285" s="35"/>
      <c r="AA1285" s="35"/>
      <c r="AB1285" s="35"/>
      <c r="AC1285" s="35"/>
      <c r="AD1285" s="35"/>
      <c r="AE1285" s="35"/>
    </row>
    <row r="1286">
      <c r="A1286" s="30"/>
      <c r="B1286" s="35" t="str">
        <f>'รายชื่อพนักงานลาออกพ้นสภาพ'!B268</f>
        <v/>
      </c>
      <c r="C1286" s="35" t="str">
        <f>'รายชื่อพนักงานลาออกพ้นสภาพ'!C268</f>
        <v/>
      </c>
      <c r="D1286" s="35" t="str">
        <f>'รายชื่อพนักงานลาออกพ้นสภาพ'!D268</f>
        <v/>
      </c>
      <c r="E1286" s="35" t="str">
        <f>'รายชื่อพนักงานลาออกพ้นสภาพ'!E268</f>
        <v/>
      </c>
      <c r="F1286" s="40" t="str">
        <f>'รายชื่อพนักงานลาออกพ้นสภาพ'!H268</f>
        <v/>
      </c>
      <c r="G1286" s="33"/>
      <c r="H1286" s="33"/>
      <c r="I1286" s="33"/>
      <c r="J1286" s="33"/>
      <c r="K1286" s="35"/>
      <c r="L1286" s="35"/>
      <c r="M1286" s="35"/>
      <c r="N1286" s="35"/>
      <c r="O1286" s="35"/>
      <c r="P1286" s="35"/>
      <c r="Q1286" s="35"/>
      <c r="R1286" s="35"/>
      <c r="S1286" s="35"/>
      <c r="T1286" s="35"/>
      <c r="U1286" s="35"/>
      <c r="V1286" s="35"/>
      <c r="W1286" s="35"/>
      <c r="X1286" s="35"/>
      <c r="Y1286" s="35"/>
      <c r="Z1286" s="35"/>
      <c r="AA1286" s="35"/>
      <c r="AB1286" s="35"/>
      <c r="AC1286" s="35"/>
      <c r="AD1286" s="35"/>
      <c r="AE1286" s="35"/>
    </row>
    <row r="1287">
      <c r="A1287" s="30"/>
      <c r="B1287" s="35" t="str">
        <f>'รายชื่อพนักงานลาออกพ้นสภาพ'!B269</f>
        <v/>
      </c>
      <c r="C1287" s="35" t="str">
        <f>'รายชื่อพนักงานลาออกพ้นสภาพ'!C269</f>
        <v/>
      </c>
      <c r="D1287" s="35" t="str">
        <f>'รายชื่อพนักงานลาออกพ้นสภาพ'!D269</f>
        <v/>
      </c>
      <c r="E1287" s="35" t="str">
        <f>'รายชื่อพนักงานลาออกพ้นสภาพ'!E269</f>
        <v/>
      </c>
      <c r="F1287" s="40" t="str">
        <f>'รายชื่อพนักงานลาออกพ้นสภาพ'!H269</f>
        <v/>
      </c>
      <c r="G1287" s="33"/>
      <c r="H1287" s="33"/>
      <c r="I1287" s="33"/>
      <c r="J1287" s="33"/>
      <c r="K1287" s="35"/>
      <c r="L1287" s="35"/>
      <c r="M1287" s="35"/>
      <c r="N1287" s="35"/>
      <c r="O1287" s="35"/>
      <c r="P1287" s="35"/>
      <c r="Q1287" s="35"/>
      <c r="R1287" s="35"/>
      <c r="S1287" s="35"/>
      <c r="T1287" s="35"/>
      <c r="U1287" s="35"/>
      <c r="V1287" s="35"/>
      <c r="W1287" s="35"/>
      <c r="X1287" s="35"/>
      <c r="Y1287" s="35"/>
      <c r="Z1287" s="35"/>
      <c r="AA1287" s="35"/>
      <c r="AB1287" s="35"/>
      <c r="AC1287" s="35"/>
      <c r="AD1287" s="35"/>
      <c r="AE1287" s="35"/>
    </row>
    <row r="1288">
      <c r="A1288" s="30"/>
      <c r="B1288" s="35" t="str">
        <f>'รายชื่อพนักงานลาออกพ้นสภาพ'!B270</f>
        <v/>
      </c>
      <c r="C1288" s="35" t="str">
        <f>'รายชื่อพนักงานลาออกพ้นสภาพ'!C270</f>
        <v/>
      </c>
      <c r="D1288" s="35" t="str">
        <f>'รายชื่อพนักงานลาออกพ้นสภาพ'!D270</f>
        <v/>
      </c>
      <c r="E1288" s="35" t="str">
        <f>'รายชื่อพนักงานลาออกพ้นสภาพ'!E270</f>
        <v/>
      </c>
      <c r="F1288" s="40" t="str">
        <f>'รายชื่อพนักงานลาออกพ้นสภาพ'!H270</f>
        <v/>
      </c>
      <c r="G1288" s="33"/>
      <c r="H1288" s="33"/>
      <c r="I1288" s="33"/>
      <c r="J1288" s="33"/>
      <c r="K1288" s="35"/>
      <c r="L1288" s="35"/>
      <c r="M1288" s="35"/>
      <c r="N1288" s="35"/>
      <c r="O1288" s="35"/>
      <c r="P1288" s="35"/>
      <c r="Q1288" s="35"/>
      <c r="R1288" s="35"/>
      <c r="S1288" s="35"/>
      <c r="T1288" s="35"/>
      <c r="U1288" s="35"/>
      <c r="V1288" s="35"/>
      <c r="W1288" s="35"/>
      <c r="X1288" s="35"/>
      <c r="Y1288" s="35"/>
      <c r="Z1288" s="35"/>
      <c r="AA1288" s="35"/>
      <c r="AB1288" s="35"/>
      <c r="AC1288" s="35"/>
      <c r="AD1288" s="35"/>
      <c r="AE1288" s="35"/>
    </row>
    <row r="1289">
      <c r="A1289" s="30"/>
      <c r="B1289" s="35" t="str">
        <f>'รายชื่อพนักงานลาออกพ้นสภาพ'!B271</f>
        <v/>
      </c>
      <c r="C1289" s="35" t="str">
        <f>'รายชื่อพนักงานลาออกพ้นสภาพ'!C271</f>
        <v/>
      </c>
      <c r="D1289" s="35" t="str">
        <f>'รายชื่อพนักงานลาออกพ้นสภาพ'!D271</f>
        <v/>
      </c>
      <c r="E1289" s="35" t="str">
        <f>'รายชื่อพนักงานลาออกพ้นสภาพ'!E271</f>
        <v/>
      </c>
      <c r="F1289" s="40" t="str">
        <f>'รายชื่อพนักงานลาออกพ้นสภาพ'!H271</f>
        <v/>
      </c>
      <c r="G1289" s="33"/>
      <c r="H1289" s="33"/>
      <c r="I1289" s="33"/>
      <c r="J1289" s="33"/>
      <c r="K1289" s="35"/>
      <c r="L1289" s="35"/>
      <c r="M1289" s="35"/>
      <c r="N1289" s="35"/>
      <c r="O1289" s="35"/>
      <c r="P1289" s="35"/>
      <c r="Q1289" s="35"/>
      <c r="R1289" s="35"/>
      <c r="S1289" s="35"/>
      <c r="T1289" s="35"/>
      <c r="U1289" s="35"/>
      <c r="V1289" s="35"/>
      <c r="W1289" s="35"/>
      <c r="X1289" s="35"/>
      <c r="Y1289" s="35"/>
      <c r="Z1289" s="35"/>
      <c r="AA1289" s="35"/>
      <c r="AB1289" s="35"/>
      <c r="AC1289" s="35"/>
      <c r="AD1289" s="35"/>
      <c r="AE1289" s="35"/>
    </row>
    <row r="1290">
      <c r="A1290" s="30"/>
      <c r="B1290" s="35" t="str">
        <f>'รายชื่อพนักงานลาออกพ้นสภาพ'!B272</f>
        <v/>
      </c>
      <c r="C1290" s="35" t="str">
        <f>'รายชื่อพนักงานลาออกพ้นสภาพ'!C272</f>
        <v/>
      </c>
      <c r="D1290" s="35" t="str">
        <f>'รายชื่อพนักงานลาออกพ้นสภาพ'!D272</f>
        <v/>
      </c>
      <c r="E1290" s="35" t="str">
        <f>'รายชื่อพนักงานลาออกพ้นสภาพ'!E272</f>
        <v/>
      </c>
      <c r="F1290" s="40" t="str">
        <f>'รายชื่อพนักงานลาออกพ้นสภาพ'!H272</f>
        <v/>
      </c>
      <c r="G1290" s="33"/>
      <c r="H1290" s="33"/>
      <c r="I1290" s="33"/>
      <c r="J1290" s="33"/>
      <c r="K1290" s="35"/>
      <c r="L1290" s="35"/>
      <c r="M1290" s="35"/>
      <c r="N1290" s="35"/>
      <c r="O1290" s="35"/>
      <c r="P1290" s="35"/>
      <c r="Q1290" s="35"/>
      <c r="R1290" s="35"/>
      <c r="S1290" s="35"/>
      <c r="T1290" s="35"/>
      <c r="U1290" s="35"/>
      <c r="V1290" s="35"/>
      <c r="W1290" s="35"/>
      <c r="X1290" s="35"/>
      <c r="Y1290" s="35"/>
      <c r="Z1290" s="35"/>
      <c r="AA1290" s="35"/>
      <c r="AB1290" s="35"/>
      <c r="AC1290" s="35"/>
      <c r="AD1290" s="35"/>
      <c r="AE1290" s="35"/>
    </row>
    <row r="1291">
      <c r="A1291" s="30"/>
      <c r="B1291" s="35" t="str">
        <f>'รายชื่อพนักงานลาออกพ้นสภาพ'!B273</f>
        <v/>
      </c>
      <c r="C1291" s="35" t="str">
        <f>'รายชื่อพนักงานลาออกพ้นสภาพ'!C273</f>
        <v/>
      </c>
      <c r="D1291" s="35" t="str">
        <f>'รายชื่อพนักงานลาออกพ้นสภาพ'!D273</f>
        <v/>
      </c>
      <c r="E1291" s="35" t="str">
        <f>'รายชื่อพนักงานลาออกพ้นสภาพ'!E273</f>
        <v/>
      </c>
      <c r="F1291" s="40" t="str">
        <f>'รายชื่อพนักงานลาออกพ้นสภาพ'!H273</f>
        <v/>
      </c>
      <c r="G1291" s="33"/>
      <c r="H1291" s="33"/>
      <c r="I1291" s="33"/>
      <c r="J1291" s="33"/>
      <c r="K1291" s="35"/>
      <c r="L1291" s="35"/>
      <c r="M1291" s="35"/>
      <c r="N1291" s="35"/>
      <c r="O1291" s="35"/>
      <c r="P1291" s="35"/>
      <c r="Q1291" s="35"/>
      <c r="R1291" s="35"/>
      <c r="S1291" s="35"/>
      <c r="T1291" s="35"/>
      <c r="U1291" s="35"/>
      <c r="V1291" s="35"/>
      <c r="W1291" s="35"/>
      <c r="X1291" s="35"/>
      <c r="Y1291" s="35"/>
      <c r="Z1291" s="35"/>
      <c r="AA1291" s="35"/>
      <c r="AB1291" s="35"/>
      <c r="AC1291" s="35"/>
      <c r="AD1291" s="35"/>
      <c r="AE1291" s="35"/>
    </row>
    <row r="1292">
      <c r="A1292" s="30"/>
      <c r="B1292" s="35" t="str">
        <f>'รายชื่อพนักงานลาออกพ้นสภาพ'!B274</f>
        <v/>
      </c>
      <c r="C1292" s="35" t="str">
        <f>'รายชื่อพนักงานลาออกพ้นสภาพ'!C274</f>
        <v/>
      </c>
      <c r="D1292" s="35" t="str">
        <f>'รายชื่อพนักงานลาออกพ้นสภาพ'!D274</f>
        <v/>
      </c>
      <c r="E1292" s="35" t="str">
        <f>'รายชื่อพนักงานลาออกพ้นสภาพ'!E274</f>
        <v/>
      </c>
      <c r="F1292" s="40" t="str">
        <f>'รายชื่อพนักงานลาออกพ้นสภาพ'!H274</f>
        <v/>
      </c>
      <c r="G1292" s="33"/>
      <c r="H1292" s="33"/>
      <c r="I1292" s="33"/>
      <c r="J1292" s="33"/>
      <c r="K1292" s="35"/>
      <c r="L1292" s="35"/>
      <c r="M1292" s="35"/>
      <c r="N1292" s="35"/>
      <c r="O1292" s="35"/>
      <c r="P1292" s="35"/>
      <c r="Q1292" s="35"/>
      <c r="R1292" s="35"/>
      <c r="S1292" s="35"/>
      <c r="T1292" s="35"/>
      <c r="U1292" s="35"/>
      <c r="V1292" s="35"/>
      <c r="W1292" s="35"/>
      <c r="X1292" s="35"/>
      <c r="Y1292" s="35"/>
      <c r="Z1292" s="35"/>
      <c r="AA1292" s="35"/>
      <c r="AB1292" s="35"/>
      <c r="AC1292" s="35"/>
      <c r="AD1292" s="35"/>
      <c r="AE1292" s="35"/>
    </row>
    <row r="1293">
      <c r="A1293" s="30"/>
      <c r="B1293" s="35" t="str">
        <f>'รายชื่อพนักงานลาออกพ้นสภาพ'!B275</f>
        <v/>
      </c>
      <c r="C1293" s="35" t="str">
        <f>'รายชื่อพนักงานลาออกพ้นสภาพ'!C275</f>
        <v/>
      </c>
      <c r="D1293" s="35" t="str">
        <f>'รายชื่อพนักงานลาออกพ้นสภาพ'!D275</f>
        <v/>
      </c>
      <c r="E1293" s="35" t="str">
        <f>'รายชื่อพนักงานลาออกพ้นสภาพ'!E275</f>
        <v/>
      </c>
      <c r="F1293" s="40" t="str">
        <f>'รายชื่อพนักงานลาออกพ้นสภาพ'!H275</f>
        <v/>
      </c>
      <c r="G1293" s="33"/>
      <c r="H1293" s="33"/>
      <c r="I1293" s="33"/>
      <c r="J1293" s="33"/>
      <c r="K1293" s="35"/>
      <c r="L1293" s="35"/>
      <c r="M1293" s="35"/>
      <c r="N1293" s="35"/>
      <c r="O1293" s="35"/>
      <c r="P1293" s="35"/>
      <c r="Q1293" s="35"/>
      <c r="R1293" s="35"/>
      <c r="S1293" s="35"/>
      <c r="T1293" s="35"/>
      <c r="U1293" s="35"/>
      <c r="V1293" s="35"/>
      <c r="W1293" s="35"/>
      <c r="X1293" s="35"/>
      <c r="Y1293" s="35"/>
      <c r="Z1293" s="35"/>
      <c r="AA1293" s="35"/>
      <c r="AB1293" s="35"/>
      <c r="AC1293" s="35"/>
      <c r="AD1293" s="35"/>
      <c r="AE1293" s="35"/>
    </row>
    <row r="1294">
      <c r="A1294" s="30"/>
      <c r="B1294" s="35" t="str">
        <f>'รายชื่อพนักงานลาออกพ้นสภาพ'!B276</f>
        <v/>
      </c>
      <c r="C1294" s="35" t="str">
        <f>'รายชื่อพนักงานลาออกพ้นสภาพ'!C276</f>
        <v/>
      </c>
      <c r="D1294" s="35" t="str">
        <f>'รายชื่อพนักงานลาออกพ้นสภาพ'!D276</f>
        <v/>
      </c>
      <c r="E1294" s="35" t="str">
        <f>'รายชื่อพนักงานลาออกพ้นสภาพ'!E276</f>
        <v/>
      </c>
      <c r="F1294" s="40" t="str">
        <f>'รายชื่อพนักงานลาออกพ้นสภาพ'!H276</f>
        <v/>
      </c>
      <c r="G1294" s="33"/>
      <c r="H1294" s="33"/>
      <c r="I1294" s="33"/>
      <c r="J1294" s="33"/>
      <c r="K1294" s="35"/>
      <c r="L1294" s="35"/>
      <c r="M1294" s="35"/>
      <c r="N1294" s="35"/>
      <c r="O1294" s="35"/>
      <c r="P1294" s="35"/>
      <c r="Q1294" s="35"/>
      <c r="R1294" s="35"/>
      <c r="S1294" s="35"/>
      <c r="T1294" s="35"/>
      <c r="U1294" s="35"/>
      <c r="V1294" s="35"/>
      <c r="W1294" s="35"/>
      <c r="X1294" s="35"/>
      <c r="Y1294" s="35"/>
      <c r="Z1294" s="35"/>
      <c r="AA1294" s="35"/>
      <c r="AB1294" s="35"/>
      <c r="AC1294" s="35"/>
      <c r="AD1294" s="35"/>
      <c r="AE1294" s="35"/>
    </row>
    <row r="1295">
      <c r="A1295" s="30"/>
      <c r="B1295" s="35" t="str">
        <f>'รายชื่อพนักงานลาออกพ้นสภาพ'!B277</f>
        <v/>
      </c>
      <c r="C1295" s="35" t="str">
        <f>'รายชื่อพนักงานลาออกพ้นสภาพ'!C277</f>
        <v/>
      </c>
      <c r="D1295" s="35" t="str">
        <f>'รายชื่อพนักงานลาออกพ้นสภาพ'!D277</f>
        <v/>
      </c>
      <c r="E1295" s="35" t="str">
        <f>'รายชื่อพนักงานลาออกพ้นสภาพ'!E277</f>
        <v/>
      </c>
      <c r="F1295" s="40" t="str">
        <f>'รายชื่อพนักงานลาออกพ้นสภาพ'!H277</f>
        <v/>
      </c>
      <c r="G1295" s="33"/>
      <c r="H1295" s="33"/>
      <c r="I1295" s="33"/>
      <c r="J1295" s="33"/>
      <c r="K1295" s="35"/>
      <c r="L1295" s="35"/>
      <c r="M1295" s="35"/>
      <c r="N1295" s="35"/>
      <c r="O1295" s="35"/>
      <c r="P1295" s="35"/>
      <c r="Q1295" s="35"/>
      <c r="R1295" s="35"/>
      <c r="S1295" s="35"/>
      <c r="T1295" s="35"/>
      <c r="U1295" s="35"/>
      <c r="V1295" s="35"/>
      <c r="W1295" s="35"/>
      <c r="X1295" s="35"/>
      <c r="Y1295" s="35"/>
      <c r="Z1295" s="35"/>
      <c r="AA1295" s="35"/>
      <c r="AB1295" s="35"/>
      <c r="AC1295" s="35"/>
      <c r="AD1295" s="35"/>
      <c r="AE1295" s="35"/>
    </row>
    <row r="1296">
      <c r="A1296" s="30"/>
      <c r="B1296" s="35" t="str">
        <f>'รายชื่อพนักงานลาออกพ้นสภาพ'!B278</f>
        <v/>
      </c>
      <c r="C1296" s="35" t="str">
        <f>'รายชื่อพนักงานลาออกพ้นสภาพ'!C278</f>
        <v/>
      </c>
      <c r="D1296" s="35" t="str">
        <f>'รายชื่อพนักงานลาออกพ้นสภาพ'!D278</f>
        <v/>
      </c>
      <c r="E1296" s="35" t="str">
        <f>'รายชื่อพนักงานลาออกพ้นสภาพ'!E278</f>
        <v/>
      </c>
      <c r="F1296" s="40" t="str">
        <f>'รายชื่อพนักงานลาออกพ้นสภาพ'!H278</f>
        <v/>
      </c>
      <c r="G1296" s="33"/>
      <c r="H1296" s="33"/>
      <c r="I1296" s="33"/>
      <c r="J1296" s="33"/>
      <c r="K1296" s="35"/>
      <c r="L1296" s="35"/>
      <c r="M1296" s="35"/>
      <c r="N1296" s="35"/>
      <c r="O1296" s="35"/>
      <c r="P1296" s="35"/>
      <c r="Q1296" s="35"/>
      <c r="R1296" s="35"/>
      <c r="S1296" s="35"/>
      <c r="T1296" s="35"/>
      <c r="U1296" s="35"/>
      <c r="V1296" s="35"/>
      <c r="W1296" s="35"/>
      <c r="X1296" s="35"/>
      <c r="Y1296" s="35"/>
      <c r="Z1296" s="35"/>
      <c r="AA1296" s="35"/>
      <c r="AB1296" s="35"/>
      <c r="AC1296" s="35"/>
      <c r="AD1296" s="35"/>
      <c r="AE1296" s="35"/>
    </row>
    <row r="1297">
      <c r="A1297" s="30"/>
      <c r="B1297" s="35" t="str">
        <f>'รายชื่อพนักงานลาออกพ้นสภาพ'!B279</f>
        <v/>
      </c>
      <c r="C1297" s="35" t="str">
        <f>'รายชื่อพนักงานลาออกพ้นสภาพ'!C279</f>
        <v/>
      </c>
      <c r="D1297" s="35" t="str">
        <f>'รายชื่อพนักงานลาออกพ้นสภาพ'!D279</f>
        <v/>
      </c>
      <c r="E1297" s="35" t="str">
        <f>'รายชื่อพนักงานลาออกพ้นสภาพ'!E279</f>
        <v/>
      </c>
      <c r="F1297" s="40" t="str">
        <f>'รายชื่อพนักงานลาออกพ้นสภาพ'!H279</f>
        <v/>
      </c>
      <c r="G1297" s="33"/>
      <c r="H1297" s="33"/>
      <c r="I1297" s="33"/>
      <c r="J1297" s="33"/>
      <c r="K1297" s="35"/>
      <c r="L1297" s="35"/>
      <c r="M1297" s="35"/>
      <c r="N1297" s="35"/>
      <c r="O1297" s="35"/>
      <c r="P1297" s="35"/>
      <c r="Q1297" s="35"/>
      <c r="R1297" s="35"/>
      <c r="S1297" s="35"/>
      <c r="T1297" s="35"/>
      <c r="U1297" s="35"/>
      <c r="V1297" s="35"/>
      <c r="W1297" s="35"/>
      <c r="X1297" s="35"/>
      <c r="Y1297" s="35"/>
      <c r="Z1297" s="35"/>
      <c r="AA1297" s="35"/>
      <c r="AB1297" s="35"/>
      <c r="AC1297" s="35"/>
      <c r="AD1297" s="35"/>
      <c r="AE1297" s="35"/>
    </row>
    <row r="1298">
      <c r="A1298" s="30"/>
      <c r="B1298" s="35" t="str">
        <f>'รายชื่อพนักงานลาออกพ้นสภาพ'!B280</f>
        <v/>
      </c>
      <c r="C1298" s="35" t="str">
        <f>'รายชื่อพนักงานลาออกพ้นสภาพ'!C280</f>
        <v/>
      </c>
      <c r="D1298" s="35" t="str">
        <f>'รายชื่อพนักงานลาออกพ้นสภาพ'!D280</f>
        <v/>
      </c>
      <c r="E1298" s="35" t="str">
        <f>'รายชื่อพนักงานลาออกพ้นสภาพ'!E280</f>
        <v/>
      </c>
      <c r="F1298" s="40" t="str">
        <f>'รายชื่อพนักงานลาออกพ้นสภาพ'!H280</f>
        <v/>
      </c>
      <c r="G1298" s="33"/>
      <c r="H1298" s="33"/>
      <c r="I1298" s="33"/>
      <c r="J1298" s="33"/>
      <c r="K1298" s="35"/>
      <c r="L1298" s="35"/>
      <c r="M1298" s="35"/>
      <c r="N1298" s="35"/>
      <c r="O1298" s="35"/>
      <c r="P1298" s="35"/>
      <c r="Q1298" s="35"/>
      <c r="R1298" s="35"/>
      <c r="S1298" s="35"/>
      <c r="T1298" s="35"/>
      <c r="U1298" s="35"/>
      <c r="V1298" s="35"/>
      <c r="W1298" s="35"/>
      <c r="X1298" s="35"/>
      <c r="Y1298" s="35"/>
      <c r="Z1298" s="35"/>
      <c r="AA1298" s="35"/>
      <c r="AB1298" s="35"/>
      <c r="AC1298" s="35"/>
      <c r="AD1298" s="35"/>
      <c r="AE1298" s="35"/>
    </row>
    <row r="1299">
      <c r="A1299" s="30"/>
      <c r="B1299" s="35" t="str">
        <f>'รายชื่อพนักงานลาออกพ้นสภาพ'!B281</f>
        <v/>
      </c>
      <c r="C1299" s="35" t="str">
        <f>'รายชื่อพนักงานลาออกพ้นสภาพ'!C281</f>
        <v/>
      </c>
      <c r="D1299" s="35" t="str">
        <f>'รายชื่อพนักงานลาออกพ้นสภาพ'!D281</f>
        <v/>
      </c>
      <c r="E1299" s="35" t="str">
        <f>'รายชื่อพนักงานลาออกพ้นสภาพ'!E281</f>
        <v/>
      </c>
      <c r="F1299" s="40" t="str">
        <f>'รายชื่อพนักงานลาออกพ้นสภาพ'!H281</f>
        <v/>
      </c>
      <c r="G1299" s="33"/>
      <c r="H1299" s="33"/>
      <c r="I1299" s="33"/>
      <c r="J1299" s="33"/>
      <c r="K1299" s="35"/>
      <c r="L1299" s="35"/>
      <c r="M1299" s="35"/>
      <c r="N1299" s="35"/>
      <c r="O1299" s="35"/>
      <c r="P1299" s="35"/>
      <c r="Q1299" s="35"/>
      <c r="R1299" s="35"/>
      <c r="S1299" s="35"/>
      <c r="T1299" s="35"/>
      <c r="U1299" s="35"/>
      <c r="V1299" s="35"/>
      <c r="W1299" s="35"/>
      <c r="X1299" s="35"/>
      <c r="Y1299" s="35"/>
      <c r="Z1299" s="35"/>
      <c r="AA1299" s="35"/>
      <c r="AB1299" s="35"/>
      <c r="AC1299" s="35"/>
      <c r="AD1299" s="35"/>
      <c r="AE1299" s="35"/>
    </row>
    <row r="1300">
      <c r="A1300" s="30"/>
      <c r="B1300" s="35" t="str">
        <f>'รายชื่อพนักงานลาออกพ้นสภาพ'!B282</f>
        <v/>
      </c>
      <c r="C1300" s="35" t="str">
        <f>'รายชื่อพนักงานลาออกพ้นสภาพ'!C282</f>
        <v/>
      </c>
      <c r="D1300" s="35" t="str">
        <f>'รายชื่อพนักงานลาออกพ้นสภาพ'!D282</f>
        <v/>
      </c>
      <c r="E1300" s="35" t="str">
        <f>'รายชื่อพนักงานลาออกพ้นสภาพ'!E282</f>
        <v/>
      </c>
      <c r="F1300" s="40" t="str">
        <f>'รายชื่อพนักงานลาออกพ้นสภาพ'!H282</f>
        <v/>
      </c>
      <c r="G1300" s="33"/>
      <c r="H1300" s="33"/>
      <c r="I1300" s="33"/>
      <c r="J1300" s="33"/>
      <c r="K1300" s="35"/>
      <c r="L1300" s="35"/>
      <c r="M1300" s="35"/>
      <c r="N1300" s="35"/>
      <c r="O1300" s="35"/>
      <c r="P1300" s="35"/>
      <c r="Q1300" s="35"/>
      <c r="R1300" s="35"/>
      <c r="S1300" s="35"/>
      <c r="T1300" s="35"/>
      <c r="U1300" s="35"/>
      <c r="V1300" s="35"/>
      <c r="W1300" s="35"/>
      <c r="X1300" s="35"/>
      <c r="Y1300" s="35"/>
      <c r="Z1300" s="35"/>
      <c r="AA1300" s="35"/>
      <c r="AB1300" s="35"/>
      <c r="AC1300" s="35"/>
      <c r="AD1300" s="35"/>
      <c r="AE1300" s="35"/>
    </row>
    <row r="1301">
      <c r="A1301" s="30"/>
      <c r="B1301" s="35" t="str">
        <f>'รายชื่อพนักงานลาออกพ้นสภาพ'!B283</f>
        <v/>
      </c>
      <c r="C1301" s="35" t="str">
        <f>'รายชื่อพนักงานลาออกพ้นสภาพ'!C283</f>
        <v/>
      </c>
      <c r="D1301" s="35" t="str">
        <f>'รายชื่อพนักงานลาออกพ้นสภาพ'!D283</f>
        <v/>
      </c>
      <c r="E1301" s="35" t="str">
        <f>'รายชื่อพนักงานลาออกพ้นสภาพ'!E283</f>
        <v/>
      </c>
      <c r="F1301" s="40" t="str">
        <f>'รายชื่อพนักงานลาออกพ้นสภาพ'!H283</f>
        <v/>
      </c>
      <c r="G1301" s="33"/>
      <c r="H1301" s="33"/>
      <c r="I1301" s="33"/>
      <c r="J1301" s="33"/>
      <c r="K1301" s="35"/>
      <c r="L1301" s="35"/>
      <c r="M1301" s="35"/>
      <c r="N1301" s="35"/>
      <c r="O1301" s="35"/>
      <c r="P1301" s="35"/>
      <c r="Q1301" s="35"/>
      <c r="R1301" s="35"/>
      <c r="S1301" s="35"/>
      <c r="T1301" s="35"/>
      <c r="U1301" s="35"/>
      <c r="V1301" s="35"/>
      <c r="W1301" s="35"/>
      <c r="X1301" s="35"/>
      <c r="Y1301" s="35"/>
      <c r="Z1301" s="35"/>
      <c r="AA1301" s="35"/>
      <c r="AB1301" s="35"/>
      <c r="AC1301" s="35"/>
      <c r="AD1301" s="35"/>
      <c r="AE1301" s="35"/>
    </row>
    <row r="1302">
      <c r="A1302" s="30"/>
      <c r="B1302" s="35" t="str">
        <f>'รายชื่อพนักงานลาออกพ้นสภาพ'!B284</f>
        <v/>
      </c>
      <c r="C1302" s="35" t="str">
        <f>'รายชื่อพนักงานลาออกพ้นสภาพ'!C284</f>
        <v/>
      </c>
      <c r="D1302" s="35" t="str">
        <f>'รายชื่อพนักงานลาออกพ้นสภาพ'!D284</f>
        <v/>
      </c>
      <c r="E1302" s="35" t="str">
        <f>'รายชื่อพนักงานลาออกพ้นสภาพ'!E284</f>
        <v/>
      </c>
      <c r="F1302" s="40" t="str">
        <f>'รายชื่อพนักงานลาออกพ้นสภาพ'!H284</f>
        <v/>
      </c>
      <c r="G1302" s="33"/>
      <c r="H1302" s="33"/>
      <c r="I1302" s="33"/>
      <c r="J1302" s="33"/>
      <c r="K1302" s="35"/>
      <c r="L1302" s="35"/>
      <c r="M1302" s="35"/>
      <c r="N1302" s="35"/>
      <c r="O1302" s="35"/>
      <c r="P1302" s="35"/>
      <c r="Q1302" s="35"/>
      <c r="R1302" s="35"/>
      <c r="S1302" s="35"/>
      <c r="T1302" s="35"/>
      <c r="U1302" s="35"/>
      <c r="V1302" s="35"/>
      <c r="W1302" s="35"/>
      <c r="X1302" s="35"/>
      <c r="Y1302" s="35"/>
      <c r="Z1302" s="35"/>
      <c r="AA1302" s="35"/>
      <c r="AB1302" s="35"/>
      <c r="AC1302" s="35"/>
      <c r="AD1302" s="35"/>
      <c r="AE1302" s="35"/>
    </row>
    <row r="1303">
      <c r="A1303" s="30"/>
      <c r="B1303" s="35" t="str">
        <f>'รายชื่อพนักงานลาออกพ้นสภาพ'!B285</f>
        <v/>
      </c>
      <c r="C1303" s="35" t="str">
        <f>'รายชื่อพนักงานลาออกพ้นสภาพ'!C285</f>
        <v/>
      </c>
      <c r="D1303" s="35" t="str">
        <f>'รายชื่อพนักงานลาออกพ้นสภาพ'!D285</f>
        <v/>
      </c>
      <c r="E1303" s="35" t="str">
        <f>'รายชื่อพนักงานลาออกพ้นสภาพ'!E285</f>
        <v/>
      </c>
      <c r="F1303" s="40" t="str">
        <f>'รายชื่อพนักงานลาออกพ้นสภาพ'!H285</f>
        <v/>
      </c>
      <c r="G1303" s="33"/>
      <c r="H1303" s="33"/>
      <c r="I1303" s="33"/>
      <c r="J1303" s="33"/>
      <c r="K1303" s="35"/>
      <c r="L1303" s="35"/>
      <c r="M1303" s="35"/>
      <c r="N1303" s="35"/>
      <c r="O1303" s="35"/>
      <c r="P1303" s="35"/>
      <c r="Q1303" s="35"/>
      <c r="R1303" s="35"/>
      <c r="S1303" s="35"/>
      <c r="T1303" s="35"/>
      <c r="U1303" s="35"/>
      <c r="V1303" s="35"/>
      <c r="W1303" s="35"/>
      <c r="X1303" s="35"/>
      <c r="Y1303" s="35"/>
      <c r="Z1303" s="35"/>
      <c r="AA1303" s="35"/>
      <c r="AB1303" s="35"/>
      <c r="AC1303" s="35"/>
      <c r="AD1303" s="35"/>
      <c r="AE1303" s="35"/>
    </row>
    <row r="1304">
      <c r="A1304" s="30"/>
      <c r="B1304" s="35" t="str">
        <f>'รายชื่อพนักงานลาออกพ้นสภาพ'!B286</f>
        <v/>
      </c>
      <c r="C1304" s="35" t="str">
        <f>'รายชื่อพนักงานลาออกพ้นสภาพ'!C286</f>
        <v/>
      </c>
      <c r="D1304" s="35" t="str">
        <f>'รายชื่อพนักงานลาออกพ้นสภาพ'!D286</f>
        <v/>
      </c>
      <c r="E1304" s="35" t="str">
        <f>'รายชื่อพนักงานลาออกพ้นสภาพ'!E286</f>
        <v/>
      </c>
      <c r="F1304" s="40" t="str">
        <f>'รายชื่อพนักงานลาออกพ้นสภาพ'!H286</f>
        <v/>
      </c>
      <c r="G1304" s="33"/>
      <c r="H1304" s="33"/>
      <c r="I1304" s="33"/>
      <c r="J1304" s="33"/>
      <c r="K1304" s="35"/>
      <c r="L1304" s="35"/>
      <c r="M1304" s="35"/>
      <c r="N1304" s="35"/>
      <c r="O1304" s="35"/>
      <c r="P1304" s="35"/>
      <c r="Q1304" s="35"/>
      <c r="R1304" s="35"/>
      <c r="S1304" s="35"/>
      <c r="T1304" s="35"/>
      <c r="U1304" s="35"/>
      <c r="V1304" s="35"/>
      <c r="W1304" s="35"/>
      <c r="X1304" s="35"/>
      <c r="Y1304" s="35"/>
      <c r="Z1304" s="35"/>
      <c r="AA1304" s="35"/>
      <c r="AB1304" s="35"/>
      <c r="AC1304" s="35"/>
      <c r="AD1304" s="35"/>
      <c r="AE1304" s="35"/>
    </row>
    <row r="1305">
      <c r="A1305" s="30"/>
      <c r="B1305" s="35" t="str">
        <f>'รายชื่อพนักงานลาออกพ้นสภาพ'!B287</f>
        <v/>
      </c>
      <c r="C1305" s="35" t="str">
        <f>'รายชื่อพนักงานลาออกพ้นสภาพ'!C287</f>
        <v/>
      </c>
      <c r="D1305" s="35" t="str">
        <f>'รายชื่อพนักงานลาออกพ้นสภาพ'!D287</f>
        <v/>
      </c>
      <c r="E1305" s="35" t="str">
        <f>'รายชื่อพนักงานลาออกพ้นสภาพ'!E287</f>
        <v/>
      </c>
      <c r="F1305" s="40" t="str">
        <f>'รายชื่อพนักงานลาออกพ้นสภาพ'!H287</f>
        <v/>
      </c>
      <c r="G1305" s="33"/>
      <c r="H1305" s="33"/>
      <c r="I1305" s="33"/>
      <c r="J1305" s="33"/>
      <c r="K1305" s="35"/>
      <c r="L1305" s="35"/>
      <c r="M1305" s="35"/>
      <c r="N1305" s="35"/>
      <c r="O1305" s="35"/>
      <c r="P1305" s="35"/>
      <c r="Q1305" s="35"/>
      <c r="R1305" s="35"/>
      <c r="S1305" s="35"/>
      <c r="T1305" s="35"/>
      <c r="U1305" s="35"/>
      <c r="V1305" s="35"/>
      <c r="W1305" s="35"/>
      <c r="X1305" s="35"/>
      <c r="Y1305" s="35"/>
      <c r="Z1305" s="35"/>
      <c r="AA1305" s="35"/>
      <c r="AB1305" s="35"/>
      <c r="AC1305" s="35"/>
      <c r="AD1305" s="35"/>
      <c r="AE1305" s="35"/>
    </row>
    <row r="1306">
      <c r="A1306" s="30"/>
      <c r="B1306" s="35" t="str">
        <f>'รายชื่อพนักงานลาออกพ้นสภาพ'!B288</f>
        <v/>
      </c>
      <c r="C1306" s="35" t="str">
        <f>'รายชื่อพนักงานลาออกพ้นสภาพ'!C288</f>
        <v/>
      </c>
      <c r="D1306" s="35" t="str">
        <f>'รายชื่อพนักงานลาออกพ้นสภาพ'!D288</f>
        <v/>
      </c>
      <c r="E1306" s="35" t="str">
        <f>'รายชื่อพนักงานลาออกพ้นสภาพ'!E288</f>
        <v/>
      </c>
      <c r="F1306" s="40" t="str">
        <f>'รายชื่อพนักงานลาออกพ้นสภาพ'!H288</f>
        <v/>
      </c>
      <c r="G1306" s="33"/>
      <c r="H1306" s="33"/>
      <c r="I1306" s="33"/>
      <c r="J1306" s="33"/>
      <c r="K1306" s="35"/>
      <c r="L1306" s="35"/>
      <c r="M1306" s="35"/>
      <c r="N1306" s="35"/>
      <c r="O1306" s="35"/>
      <c r="P1306" s="35"/>
      <c r="Q1306" s="35"/>
      <c r="R1306" s="35"/>
      <c r="S1306" s="35"/>
      <c r="T1306" s="35"/>
      <c r="U1306" s="35"/>
      <c r="V1306" s="35"/>
      <c r="W1306" s="35"/>
      <c r="X1306" s="35"/>
      <c r="Y1306" s="35"/>
      <c r="Z1306" s="35"/>
      <c r="AA1306" s="35"/>
      <c r="AB1306" s="35"/>
      <c r="AC1306" s="35"/>
      <c r="AD1306" s="35"/>
      <c r="AE1306" s="35"/>
    </row>
    <row r="1307">
      <c r="A1307" s="30"/>
      <c r="B1307" s="35" t="str">
        <f>'รายชื่อพนักงานลาออกพ้นสภาพ'!B289</f>
        <v/>
      </c>
      <c r="C1307" s="35" t="str">
        <f>'รายชื่อพนักงานลาออกพ้นสภาพ'!C289</f>
        <v/>
      </c>
      <c r="D1307" s="35" t="str">
        <f>'รายชื่อพนักงานลาออกพ้นสภาพ'!D289</f>
        <v/>
      </c>
      <c r="E1307" s="35" t="str">
        <f>'รายชื่อพนักงานลาออกพ้นสภาพ'!E289</f>
        <v/>
      </c>
      <c r="F1307" s="40" t="str">
        <f>'รายชื่อพนักงานลาออกพ้นสภาพ'!H289</f>
        <v/>
      </c>
      <c r="G1307" s="33"/>
      <c r="H1307" s="33"/>
      <c r="I1307" s="33"/>
      <c r="J1307" s="33"/>
      <c r="K1307" s="35"/>
      <c r="L1307" s="35"/>
      <c r="M1307" s="35"/>
      <c r="N1307" s="35"/>
      <c r="O1307" s="35"/>
      <c r="P1307" s="35"/>
      <c r="Q1307" s="35"/>
      <c r="R1307" s="35"/>
      <c r="S1307" s="35"/>
      <c r="T1307" s="35"/>
      <c r="U1307" s="35"/>
      <c r="V1307" s="35"/>
      <c r="W1307" s="35"/>
      <c r="X1307" s="35"/>
      <c r="Y1307" s="35"/>
      <c r="Z1307" s="35"/>
      <c r="AA1307" s="35"/>
      <c r="AB1307" s="35"/>
      <c r="AC1307" s="35"/>
      <c r="AD1307" s="35"/>
      <c r="AE1307" s="35"/>
    </row>
    <row r="1308">
      <c r="A1308" s="30"/>
      <c r="B1308" s="35" t="str">
        <f>'รายชื่อพนักงานลาออกพ้นสภาพ'!B290</f>
        <v/>
      </c>
      <c r="C1308" s="35" t="str">
        <f>'รายชื่อพนักงานลาออกพ้นสภาพ'!C290</f>
        <v/>
      </c>
      <c r="D1308" s="35" t="str">
        <f>'รายชื่อพนักงานลาออกพ้นสภาพ'!D290</f>
        <v/>
      </c>
      <c r="E1308" s="35" t="str">
        <f>'รายชื่อพนักงานลาออกพ้นสภาพ'!E290</f>
        <v/>
      </c>
      <c r="F1308" s="40" t="str">
        <f>'รายชื่อพนักงานลาออกพ้นสภาพ'!H290</f>
        <v/>
      </c>
      <c r="G1308" s="33"/>
      <c r="H1308" s="33"/>
      <c r="I1308" s="33"/>
      <c r="J1308" s="33"/>
      <c r="K1308" s="35"/>
      <c r="L1308" s="35"/>
      <c r="M1308" s="35"/>
      <c r="N1308" s="35"/>
      <c r="O1308" s="35"/>
      <c r="P1308" s="35"/>
      <c r="Q1308" s="35"/>
      <c r="R1308" s="35"/>
      <c r="S1308" s="35"/>
      <c r="T1308" s="35"/>
      <c r="U1308" s="35"/>
      <c r="V1308" s="35"/>
      <c r="W1308" s="35"/>
      <c r="X1308" s="35"/>
      <c r="Y1308" s="35"/>
      <c r="Z1308" s="35"/>
      <c r="AA1308" s="35"/>
      <c r="AB1308" s="35"/>
      <c r="AC1308" s="35"/>
      <c r="AD1308" s="35"/>
      <c r="AE1308" s="35"/>
    </row>
    <row r="1309">
      <c r="A1309" s="30"/>
      <c r="B1309" s="35" t="str">
        <f>'รายชื่อพนักงานลาออกพ้นสภาพ'!B291</f>
        <v/>
      </c>
      <c r="C1309" s="35" t="str">
        <f>'รายชื่อพนักงานลาออกพ้นสภาพ'!C291</f>
        <v/>
      </c>
      <c r="D1309" s="35" t="str">
        <f>'รายชื่อพนักงานลาออกพ้นสภาพ'!D291</f>
        <v/>
      </c>
      <c r="E1309" s="35" t="str">
        <f>'รายชื่อพนักงานลาออกพ้นสภาพ'!E291</f>
        <v/>
      </c>
      <c r="F1309" s="40" t="str">
        <f>'รายชื่อพนักงานลาออกพ้นสภาพ'!H291</f>
        <v/>
      </c>
      <c r="G1309" s="33"/>
      <c r="H1309" s="33"/>
      <c r="I1309" s="33"/>
      <c r="J1309" s="33"/>
      <c r="K1309" s="35"/>
      <c r="L1309" s="35"/>
      <c r="M1309" s="35"/>
      <c r="N1309" s="35"/>
      <c r="O1309" s="35"/>
      <c r="P1309" s="35"/>
      <c r="Q1309" s="35"/>
      <c r="R1309" s="35"/>
      <c r="S1309" s="35"/>
      <c r="T1309" s="35"/>
      <c r="U1309" s="35"/>
      <c r="V1309" s="35"/>
      <c r="W1309" s="35"/>
      <c r="X1309" s="35"/>
      <c r="Y1309" s="35"/>
      <c r="Z1309" s="35"/>
      <c r="AA1309" s="35"/>
      <c r="AB1309" s="35"/>
      <c r="AC1309" s="35"/>
      <c r="AD1309" s="35"/>
      <c r="AE1309" s="35"/>
    </row>
    <row r="1310">
      <c r="A1310" s="30"/>
      <c r="B1310" s="35" t="str">
        <f>'รายชื่อพนักงานลาออกพ้นสภาพ'!B292</f>
        <v/>
      </c>
      <c r="C1310" s="35" t="str">
        <f>'รายชื่อพนักงานลาออกพ้นสภาพ'!C292</f>
        <v/>
      </c>
      <c r="D1310" s="35" t="str">
        <f>'รายชื่อพนักงานลาออกพ้นสภาพ'!D292</f>
        <v/>
      </c>
      <c r="E1310" s="35" t="str">
        <f>'รายชื่อพนักงานลาออกพ้นสภาพ'!E292</f>
        <v/>
      </c>
      <c r="F1310" s="40" t="str">
        <f>'รายชื่อพนักงานลาออกพ้นสภาพ'!H292</f>
        <v/>
      </c>
      <c r="G1310" s="33"/>
      <c r="H1310" s="33"/>
      <c r="I1310" s="33"/>
      <c r="J1310" s="33"/>
      <c r="K1310" s="35"/>
      <c r="L1310" s="35"/>
      <c r="M1310" s="35"/>
      <c r="N1310" s="35"/>
      <c r="O1310" s="35"/>
      <c r="P1310" s="35"/>
      <c r="Q1310" s="35"/>
      <c r="R1310" s="35"/>
      <c r="S1310" s="35"/>
      <c r="T1310" s="35"/>
      <c r="U1310" s="35"/>
      <c r="V1310" s="35"/>
      <c r="W1310" s="35"/>
      <c r="X1310" s="35"/>
      <c r="Y1310" s="35"/>
      <c r="Z1310" s="35"/>
      <c r="AA1310" s="35"/>
      <c r="AB1310" s="35"/>
      <c r="AC1310" s="35"/>
      <c r="AD1310" s="35"/>
      <c r="AE1310" s="35"/>
    </row>
    <row r="1311">
      <c r="A1311" s="30"/>
      <c r="B1311" s="35" t="str">
        <f>'รายชื่อพนักงานลาออกพ้นสภาพ'!B293</f>
        <v/>
      </c>
      <c r="C1311" s="35" t="str">
        <f>'รายชื่อพนักงานลาออกพ้นสภาพ'!C293</f>
        <v/>
      </c>
      <c r="D1311" s="35" t="str">
        <f>'รายชื่อพนักงานลาออกพ้นสภาพ'!D293</f>
        <v/>
      </c>
      <c r="E1311" s="35" t="str">
        <f>'รายชื่อพนักงานลาออกพ้นสภาพ'!E293</f>
        <v/>
      </c>
      <c r="F1311" s="40" t="str">
        <f>'รายชื่อพนักงานลาออกพ้นสภาพ'!H293</f>
        <v/>
      </c>
      <c r="G1311" s="33"/>
      <c r="H1311" s="33"/>
      <c r="I1311" s="33"/>
      <c r="J1311" s="33"/>
      <c r="K1311" s="35"/>
      <c r="L1311" s="35"/>
      <c r="M1311" s="35"/>
      <c r="N1311" s="35"/>
      <c r="O1311" s="35"/>
      <c r="P1311" s="35"/>
      <c r="Q1311" s="35"/>
      <c r="R1311" s="35"/>
      <c r="S1311" s="35"/>
      <c r="T1311" s="35"/>
      <c r="U1311" s="35"/>
      <c r="V1311" s="35"/>
      <c r="W1311" s="35"/>
      <c r="X1311" s="35"/>
      <c r="Y1311" s="35"/>
      <c r="Z1311" s="35"/>
      <c r="AA1311" s="35"/>
      <c r="AB1311" s="35"/>
      <c r="AC1311" s="35"/>
      <c r="AD1311" s="35"/>
      <c r="AE1311" s="35"/>
    </row>
    <row r="1312">
      <c r="A1312" s="30"/>
      <c r="B1312" s="35" t="str">
        <f>'รายชื่อพนักงานลาออกพ้นสภาพ'!B294</f>
        <v/>
      </c>
      <c r="C1312" s="35" t="str">
        <f>'รายชื่อพนักงานลาออกพ้นสภาพ'!C294</f>
        <v/>
      </c>
      <c r="D1312" s="35" t="str">
        <f>'รายชื่อพนักงานลาออกพ้นสภาพ'!D294</f>
        <v/>
      </c>
      <c r="E1312" s="35" t="str">
        <f>'รายชื่อพนักงานลาออกพ้นสภาพ'!E294</f>
        <v/>
      </c>
      <c r="F1312" s="40" t="str">
        <f>'รายชื่อพนักงานลาออกพ้นสภาพ'!H294</f>
        <v/>
      </c>
      <c r="G1312" s="33"/>
      <c r="H1312" s="33"/>
      <c r="I1312" s="33"/>
      <c r="J1312" s="33"/>
      <c r="K1312" s="35"/>
      <c r="L1312" s="35"/>
      <c r="M1312" s="35"/>
      <c r="N1312" s="35"/>
      <c r="O1312" s="35"/>
      <c r="P1312" s="35"/>
      <c r="Q1312" s="35"/>
      <c r="R1312" s="35"/>
      <c r="S1312" s="35"/>
      <c r="T1312" s="35"/>
      <c r="U1312" s="35"/>
      <c r="V1312" s="35"/>
      <c r="W1312" s="35"/>
      <c r="X1312" s="35"/>
      <c r="Y1312" s="35"/>
      <c r="Z1312" s="35"/>
      <c r="AA1312" s="35"/>
      <c r="AB1312" s="35"/>
      <c r="AC1312" s="35"/>
      <c r="AD1312" s="35"/>
      <c r="AE1312" s="35"/>
    </row>
    <row r="1313">
      <c r="A1313" s="30"/>
      <c r="B1313" s="35" t="str">
        <f>'รายชื่อพนักงานลาออกพ้นสภาพ'!B295</f>
        <v/>
      </c>
      <c r="C1313" s="35" t="str">
        <f>'รายชื่อพนักงานลาออกพ้นสภาพ'!C295</f>
        <v/>
      </c>
      <c r="D1313" s="35" t="str">
        <f>'รายชื่อพนักงานลาออกพ้นสภาพ'!D295</f>
        <v/>
      </c>
      <c r="E1313" s="35" t="str">
        <f>'รายชื่อพนักงานลาออกพ้นสภาพ'!E295</f>
        <v/>
      </c>
      <c r="F1313" s="40" t="str">
        <f>'รายชื่อพนักงานลาออกพ้นสภาพ'!H295</f>
        <v/>
      </c>
      <c r="G1313" s="33"/>
      <c r="H1313" s="33"/>
      <c r="I1313" s="33"/>
      <c r="J1313" s="33"/>
      <c r="K1313" s="35"/>
      <c r="L1313" s="35"/>
      <c r="M1313" s="35"/>
      <c r="N1313" s="35"/>
      <c r="O1313" s="35"/>
      <c r="P1313" s="35"/>
      <c r="Q1313" s="35"/>
      <c r="R1313" s="35"/>
      <c r="S1313" s="35"/>
      <c r="T1313" s="35"/>
      <c r="U1313" s="35"/>
      <c r="V1313" s="35"/>
      <c r="W1313" s="35"/>
      <c r="X1313" s="35"/>
      <c r="Y1313" s="35"/>
      <c r="Z1313" s="35"/>
      <c r="AA1313" s="35"/>
      <c r="AB1313" s="35"/>
      <c r="AC1313" s="35"/>
      <c r="AD1313" s="35"/>
      <c r="AE1313" s="35"/>
    </row>
    <row r="1314">
      <c r="A1314" s="30"/>
      <c r="B1314" s="35" t="str">
        <f>'รายชื่อพนักงานลาออกพ้นสภาพ'!B296</f>
        <v/>
      </c>
      <c r="C1314" s="35" t="str">
        <f>'รายชื่อพนักงานลาออกพ้นสภาพ'!C296</f>
        <v/>
      </c>
      <c r="D1314" s="35" t="str">
        <f>'รายชื่อพนักงานลาออกพ้นสภาพ'!D296</f>
        <v/>
      </c>
      <c r="E1314" s="35" t="str">
        <f>'รายชื่อพนักงานลาออกพ้นสภาพ'!E296</f>
        <v/>
      </c>
      <c r="F1314" s="40" t="str">
        <f>'รายชื่อพนักงานลาออกพ้นสภาพ'!H296</f>
        <v/>
      </c>
      <c r="G1314" s="33"/>
      <c r="H1314" s="33"/>
      <c r="I1314" s="33"/>
      <c r="J1314" s="33"/>
      <c r="K1314" s="35"/>
      <c r="L1314" s="35"/>
      <c r="M1314" s="35"/>
      <c r="N1314" s="35"/>
      <c r="O1314" s="35"/>
      <c r="P1314" s="35"/>
      <c r="Q1314" s="35"/>
      <c r="R1314" s="35"/>
      <c r="S1314" s="35"/>
      <c r="T1314" s="35"/>
      <c r="U1314" s="35"/>
      <c r="V1314" s="35"/>
      <c r="W1314" s="35"/>
      <c r="X1314" s="35"/>
      <c r="Y1314" s="35"/>
      <c r="Z1314" s="35"/>
      <c r="AA1314" s="35"/>
      <c r="AB1314" s="35"/>
      <c r="AC1314" s="35"/>
      <c r="AD1314" s="35"/>
      <c r="AE1314" s="35"/>
    </row>
    <row r="1315">
      <c r="A1315" s="30"/>
      <c r="B1315" s="35" t="str">
        <f>'รายชื่อพนักงานลาออกพ้นสภาพ'!B297</f>
        <v/>
      </c>
      <c r="C1315" s="35" t="str">
        <f>'รายชื่อพนักงานลาออกพ้นสภาพ'!C297</f>
        <v/>
      </c>
      <c r="D1315" s="35" t="str">
        <f>'รายชื่อพนักงานลาออกพ้นสภาพ'!D297</f>
        <v/>
      </c>
      <c r="E1315" s="35" t="str">
        <f>'รายชื่อพนักงานลาออกพ้นสภาพ'!E297</f>
        <v/>
      </c>
      <c r="F1315" s="40" t="str">
        <f>'รายชื่อพนักงานลาออกพ้นสภาพ'!H297</f>
        <v/>
      </c>
      <c r="G1315" s="33"/>
      <c r="H1315" s="33"/>
      <c r="I1315" s="33"/>
      <c r="J1315" s="33"/>
      <c r="K1315" s="35"/>
      <c r="L1315" s="35"/>
      <c r="M1315" s="35"/>
      <c r="N1315" s="35"/>
      <c r="O1315" s="35"/>
      <c r="P1315" s="35"/>
      <c r="Q1315" s="35"/>
      <c r="R1315" s="35"/>
      <c r="S1315" s="35"/>
      <c r="T1315" s="35"/>
      <c r="U1315" s="35"/>
      <c r="V1315" s="35"/>
      <c r="W1315" s="35"/>
      <c r="X1315" s="35"/>
      <c r="Y1315" s="35"/>
      <c r="Z1315" s="35"/>
      <c r="AA1315" s="35"/>
      <c r="AB1315" s="35"/>
      <c r="AC1315" s="35"/>
      <c r="AD1315" s="35"/>
      <c r="AE1315" s="35"/>
    </row>
    <row r="1316">
      <c r="A1316" s="30"/>
      <c r="B1316" s="35" t="str">
        <f>'รายชื่อพนักงานลาออกพ้นสภาพ'!B298</f>
        <v/>
      </c>
      <c r="C1316" s="35" t="str">
        <f>'รายชื่อพนักงานลาออกพ้นสภาพ'!C298</f>
        <v/>
      </c>
      <c r="D1316" s="35" t="str">
        <f>'รายชื่อพนักงานลาออกพ้นสภาพ'!D298</f>
        <v/>
      </c>
      <c r="E1316" s="35" t="str">
        <f>'รายชื่อพนักงานลาออกพ้นสภาพ'!E298</f>
        <v/>
      </c>
      <c r="F1316" s="40" t="str">
        <f>'รายชื่อพนักงานลาออกพ้นสภาพ'!H298</f>
        <v/>
      </c>
      <c r="G1316" s="33"/>
      <c r="H1316" s="33"/>
      <c r="I1316" s="33"/>
      <c r="J1316" s="33"/>
      <c r="K1316" s="35"/>
      <c r="L1316" s="35"/>
      <c r="M1316" s="35"/>
      <c r="N1316" s="35"/>
      <c r="O1316" s="35"/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5"/>
      <c r="AA1316" s="35"/>
      <c r="AB1316" s="35"/>
      <c r="AC1316" s="35"/>
      <c r="AD1316" s="35"/>
      <c r="AE1316" s="35"/>
    </row>
    <row r="1317">
      <c r="A1317" s="30"/>
      <c r="B1317" s="35" t="str">
        <f>'รายชื่อพนักงานลาออกพ้นสภาพ'!B299</f>
        <v/>
      </c>
      <c r="C1317" s="35" t="str">
        <f>'รายชื่อพนักงานลาออกพ้นสภาพ'!C299</f>
        <v/>
      </c>
      <c r="D1317" s="35" t="str">
        <f>'รายชื่อพนักงานลาออกพ้นสภาพ'!D299</f>
        <v/>
      </c>
      <c r="E1317" s="35" t="str">
        <f>'รายชื่อพนักงานลาออกพ้นสภาพ'!E299</f>
        <v/>
      </c>
      <c r="F1317" s="40" t="str">
        <f>'รายชื่อพนักงานลาออกพ้นสภาพ'!H299</f>
        <v/>
      </c>
      <c r="G1317" s="33"/>
      <c r="H1317" s="33"/>
      <c r="I1317" s="33"/>
      <c r="J1317" s="33"/>
      <c r="K1317" s="35"/>
      <c r="L1317" s="35"/>
      <c r="M1317" s="35"/>
      <c r="N1317" s="35"/>
      <c r="O1317" s="35"/>
      <c r="P1317" s="35"/>
      <c r="Q1317" s="35"/>
      <c r="R1317" s="35"/>
      <c r="S1317" s="35"/>
      <c r="T1317" s="35"/>
      <c r="U1317" s="35"/>
      <c r="V1317" s="35"/>
      <c r="W1317" s="35"/>
      <c r="X1317" s="35"/>
      <c r="Y1317" s="35"/>
      <c r="Z1317" s="35"/>
      <c r="AA1317" s="35"/>
      <c r="AB1317" s="35"/>
      <c r="AC1317" s="35"/>
      <c r="AD1317" s="35"/>
      <c r="AE1317" s="35"/>
    </row>
    <row r="1318">
      <c r="A1318" s="30"/>
      <c r="B1318" s="35" t="str">
        <f>'รายชื่อพนักงานลาออกพ้นสภาพ'!B300</f>
        <v/>
      </c>
      <c r="C1318" s="35" t="str">
        <f>'รายชื่อพนักงานลาออกพ้นสภาพ'!C300</f>
        <v/>
      </c>
      <c r="D1318" s="35" t="str">
        <f>'รายชื่อพนักงานลาออกพ้นสภาพ'!D300</f>
        <v/>
      </c>
      <c r="E1318" s="35" t="str">
        <f>'รายชื่อพนักงานลาออกพ้นสภาพ'!E300</f>
        <v/>
      </c>
      <c r="F1318" s="40" t="str">
        <f>'รายชื่อพนักงานลาออกพ้นสภาพ'!H300</f>
        <v/>
      </c>
      <c r="G1318" s="33"/>
      <c r="H1318" s="33"/>
      <c r="I1318" s="33"/>
      <c r="J1318" s="33"/>
      <c r="K1318" s="35"/>
      <c r="L1318" s="35"/>
      <c r="M1318" s="35"/>
      <c r="N1318" s="35"/>
      <c r="O1318" s="35"/>
      <c r="P1318" s="35"/>
      <c r="Q1318" s="35"/>
      <c r="R1318" s="35"/>
      <c r="S1318" s="35"/>
      <c r="T1318" s="35"/>
      <c r="U1318" s="35"/>
      <c r="V1318" s="35"/>
      <c r="W1318" s="35"/>
      <c r="X1318" s="35"/>
      <c r="Y1318" s="35"/>
      <c r="Z1318" s="35"/>
      <c r="AA1318" s="35"/>
      <c r="AB1318" s="35"/>
      <c r="AC1318" s="35"/>
      <c r="AD1318" s="35"/>
      <c r="AE1318" s="35"/>
    </row>
    <row r="1319">
      <c r="A1319" s="30"/>
      <c r="B1319" s="35" t="str">
        <f>'รายชื่อพนักงานลาออกพ้นสภาพ'!B301</f>
        <v/>
      </c>
      <c r="C1319" s="35" t="str">
        <f>'รายชื่อพนักงานลาออกพ้นสภาพ'!C301</f>
        <v/>
      </c>
      <c r="D1319" s="35" t="str">
        <f>'รายชื่อพนักงานลาออกพ้นสภาพ'!D301</f>
        <v/>
      </c>
      <c r="E1319" s="35" t="str">
        <f>'รายชื่อพนักงานลาออกพ้นสภาพ'!E301</f>
        <v/>
      </c>
      <c r="F1319" s="40" t="str">
        <f>'รายชื่อพนักงานลาออกพ้นสภาพ'!H301</f>
        <v/>
      </c>
      <c r="G1319" s="33"/>
      <c r="H1319" s="33"/>
      <c r="I1319" s="33"/>
      <c r="J1319" s="33"/>
      <c r="K1319" s="35"/>
      <c r="L1319" s="35"/>
      <c r="M1319" s="35"/>
      <c r="N1319" s="35"/>
      <c r="O1319" s="35"/>
      <c r="P1319" s="35"/>
      <c r="Q1319" s="35"/>
      <c r="R1319" s="35"/>
      <c r="S1319" s="35"/>
      <c r="T1319" s="35"/>
      <c r="U1319" s="35"/>
      <c r="V1319" s="35"/>
      <c r="W1319" s="35"/>
      <c r="X1319" s="35"/>
      <c r="Y1319" s="35"/>
      <c r="Z1319" s="35"/>
      <c r="AA1319" s="35"/>
      <c r="AB1319" s="35"/>
      <c r="AC1319" s="35"/>
      <c r="AD1319" s="35"/>
      <c r="AE1319" s="35"/>
    </row>
    <row r="1320">
      <c r="A1320" s="30"/>
      <c r="B1320" s="35" t="str">
        <f>'รายชื่อพนักงานลาออกพ้นสภาพ'!B302</f>
        <v/>
      </c>
      <c r="C1320" s="35" t="str">
        <f>'รายชื่อพนักงานลาออกพ้นสภาพ'!C302</f>
        <v/>
      </c>
      <c r="D1320" s="35" t="str">
        <f>'รายชื่อพนักงานลาออกพ้นสภาพ'!D302</f>
        <v/>
      </c>
      <c r="E1320" s="35" t="str">
        <f>'รายชื่อพนักงานลาออกพ้นสภาพ'!E302</f>
        <v/>
      </c>
      <c r="F1320" s="40" t="str">
        <f>'รายชื่อพนักงานลาออกพ้นสภาพ'!H302</f>
        <v/>
      </c>
      <c r="G1320" s="33"/>
      <c r="H1320" s="33"/>
      <c r="I1320" s="33"/>
      <c r="J1320" s="33"/>
      <c r="K1320" s="35"/>
      <c r="L1320" s="35"/>
      <c r="M1320" s="35"/>
      <c r="N1320" s="35"/>
      <c r="O1320" s="35"/>
      <c r="P1320" s="35"/>
      <c r="Q1320" s="35"/>
      <c r="R1320" s="35"/>
      <c r="S1320" s="35"/>
      <c r="T1320" s="35"/>
      <c r="U1320" s="35"/>
      <c r="V1320" s="35"/>
      <c r="W1320" s="35"/>
      <c r="X1320" s="35"/>
      <c r="Y1320" s="35"/>
      <c r="Z1320" s="35"/>
      <c r="AA1320" s="35"/>
      <c r="AB1320" s="35"/>
      <c r="AC1320" s="35"/>
      <c r="AD1320" s="35"/>
      <c r="AE1320" s="35"/>
    </row>
    <row r="1321">
      <c r="A1321" s="30"/>
      <c r="B1321" s="35" t="str">
        <f>'รายชื่อพนักงานลาออกพ้นสภาพ'!B303</f>
        <v/>
      </c>
      <c r="C1321" s="35" t="str">
        <f>'รายชื่อพนักงานลาออกพ้นสภาพ'!C303</f>
        <v/>
      </c>
      <c r="D1321" s="35" t="str">
        <f>'รายชื่อพนักงานลาออกพ้นสภาพ'!D303</f>
        <v/>
      </c>
      <c r="E1321" s="35" t="str">
        <f>'รายชื่อพนักงานลาออกพ้นสภาพ'!E303</f>
        <v/>
      </c>
      <c r="F1321" s="40" t="str">
        <f>'รายชื่อพนักงานลาออกพ้นสภาพ'!H303</f>
        <v/>
      </c>
      <c r="G1321" s="33"/>
      <c r="H1321" s="33"/>
      <c r="I1321" s="33"/>
      <c r="J1321" s="33"/>
      <c r="K1321" s="35"/>
      <c r="L1321" s="35"/>
      <c r="M1321" s="35"/>
      <c r="N1321" s="35"/>
      <c r="O1321" s="35"/>
      <c r="P1321" s="35"/>
      <c r="Q1321" s="35"/>
      <c r="R1321" s="35"/>
      <c r="S1321" s="35"/>
      <c r="T1321" s="35"/>
      <c r="U1321" s="35"/>
      <c r="V1321" s="35"/>
      <c r="W1321" s="35"/>
      <c r="X1321" s="35"/>
      <c r="Y1321" s="35"/>
      <c r="Z1321" s="35"/>
      <c r="AA1321" s="35"/>
      <c r="AB1321" s="35"/>
      <c r="AC1321" s="35"/>
      <c r="AD1321" s="35"/>
      <c r="AE1321" s="35"/>
    </row>
    <row r="1322">
      <c r="A1322" s="30"/>
      <c r="B1322" s="35" t="str">
        <f>'รายชื่อพนักงานลาออกพ้นสภาพ'!B304</f>
        <v/>
      </c>
      <c r="C1322" s="35" t="str">
        <f>'รายชื่อพนักงานลาออกพ้นสภาพ'!C304</f>
        <v/>
      </c>
      <c r="D1322" s="35" t="str">
        <f>'รายชื่อพนักงานลาออกพ้นสภาพ'!D304</f>
        <v/>
      </c>
      <c r="E1322" s="35" t="str">
        <f>'รายชื่อพนักงานลาออกพ้นสภาพ'!E304</f>
        <v/>
      </c>
      <c r="F1322" s="40" t="str">
        <f>'รายชื่อพนักงานลาออกพ้นสภาพ'!H304</f>
        <v/>
      </c>
      <c r="G1322" s="33"/>
      <c r="H1322" s="33"/>
      <c r="I1322" s="33"/>
      <c r="J1322" s="33"/>
      <c r="K1322" s="35"/>
      <c r="L1322" s="35"/>
      <c r="M1322" s="35"/>
      <c r="N1322" s="35"/>
      <c r="O1322" s="35"/>
      <c r="P1322" s="35"/>
      <c r="Q1322" s="35"/>
      <c r="R1322" s="35"/>
      <c r="S1322" s="35"/>
      <c r="T1322" s="35"/>
      <c r="U1322" s="35"/>
      <c r="V1322" s="35"/>
      <c r="W1322" s="35"/>
      <c r="X1322" s="35"/>
      <c r="Y1322" s="35"/>
      <c r="Z1322" s="35"/>
      <c r="AA1322" s="35"/>
      <c r="AB1322" s="35"/>
      <c r="AC1322" s="35"/>
      <c r="AD1322" s="35"/>
      <c r="AE1322" s="35"/>
    </row>
    <row r="1323">
      <c r="A1323" s="30"/>
      <c r="B1323" s="35" t="str">
        <f>'รายชื่อพนักงานลาออกพ้นสภาพ'!B305</f>
        <v/>
      </c>
      <c r="C1323" s="35" t="str">
        <f>'รายชื่อพนักงานลาออกพ้นสภาพ'!C305</f>
        <v/>
      </c>
      <c r="D1323" s="35" t="str">
        <f>'รายชื่อพนักงานลาออกพ้นสภาพ'!D305</f>
        <v/>
      </c>
      <c r="E1323" s="35" t="str">
        <f>'รายชื่อพนักงานลาออกพ้นสภาพ'!E305</f>
        <v/>
      </c>
      <c r="F1323" s="40" t="str">
        <f>'รายชื่อพนักงานลาออกพ้นสภาพ'!H305</f>
        <v/>
      </c>
      <c r="G1323" s="33"/>
      <c r="H1323" s="33"/>
      <c r="I1323" s="33"/>
      <c r="J1323" s="33"/>
      <c r="K1323" s="35"/>
      <c r="L1323" s="35"/>
      <c r="M1323" s="35"/>
      <c r="N1323" s="35"/>
      <c r="O1323" s="35"/>
      <c r="P1323" s="35"/>
      <c r="Q1323" s="35"/>
      <c r="R1323" s="35"/>
      <c r="S1323" s="35"/>
      <c r="T1323" s="35"/>
      <c r="U1323" s="35"/>
      <c r="V1323" s="35"/>
      <c r="W1323" s="35"/>
      <c r="X1323" s="35"/>
      <c r="Y1323" s="35"/>
      <c r="Z1323" s="35"/>
      <c r="AA1323" s="35"/>
      <c r="AB1323" s="35"/>
      <c r="AC1323" s="35"/>
      <c r="AD1323" s="35"/>
      <c r="AE1323" s="35"/>
    </row>
    <row r="1324">
      <c r="A1324" s="30"/>
      <c r="B1324" s="35" t="str">
        <f>'รายชื่อพนักงานลาออกพ้นสภาพ'!B306</f>
        <v/>
      </c>
      <c r="C1324" s="35" t="str">
        <f>'รายชื่อพนักงานลาออกพ้นสภาพ'!C306</f>
        <v/>
      </c>
      <c r="D1324" s="35" t="str">
        <f>'รายชื่อพนักงานลาออกพ้นสภาพ'!D306</f>
        <v/>
      </c>
      <c r="E1324" s="35" t="str">
        <f>'รายชื่อพนักงานลาออกพ้นสภาพ'!E306</f>
        <v/>
      </c>
      <c r="F1324" s="40" t="str">
        <f>'รายชื่อพนักงานลาออกพ้นสภาพ'!H306</f>
        <v/>
      </c>
      <c r="G1324" s="33"/>
      <c r="H1324" s="33"/>
      <c r="I1324" s="33"/>
      <c r="J1324" s="33"/>
      <c r="K1324" s="35"/>
      <c r="L1324" s="35"/>
      <c r="M1324" s="35"/>
      <c r="N1324" s="35"/>
      <c r="O1324" s="35"/>
      <c r="P1324" s="35"/>
      <c r="Q1324" s="35"/>
      <c r="R1324" s="35"/>
      <c r="S1324" s="35"/>
      <c r="T1324" s="35"/>
      <c r="U1324" s="35"/>
      <c r="V1324" s="35"/>
      <c r="W1324" s="35"/>
      <c r="X1324" s="35"/>
      <c r="Y1324" s="35"/>
      <c r="Z1324" s="35"/>
      <c r="AA1324" s="35"/>
      <c r="AB1324" s="35"/>
      <c r="AC1324" s="35"/>
      <c r="AD1324" s="35"/>
      <c r="AE1324" s="35"/>
    </row>
    <row r="1325">
      <c r="A1325" s="30"/>
      <c r="B1325" s="35" t="str">
        <f>'รายชื่อพนักงานลาออกพ้นสภาพ'!B307</f>
        <v/>
      </c>
      <c r="C1325" s="35" t="str">
        <f>'รายชื่อพนักงานลาออกพ้นสภาพ'!C307</f>
        <v/>
      </c>
      <c r="D1325" s="35" t="str">
        <f>'รายชื่อพนักงานลาออกพ้นสภาพ'!D307</f>
        <v/>
      </c>
      <c r="E1325" s="35" t="str">
        <f>'รายชื่อพนักงานลาออกพ้นสภาพ'!E307</f>
        <v/>
      </c>
      <c r="F1325" s="40" t="str">
        <f>'รายชื่อพนักงานลาออกพ้นสภาพ'!H307</f>
        <v/>
      </c>
      <c r="G1325" s="33"/>
      <c r="H1325" s="33"/>
      <c r="I1325" s="33"/>
      <c r="J1325" s="33"/>
      <c r="K1325" s="35"/>
      <c r="L1325" s="35"/>
      <c r="M1325" s="35"/>
      <c r="N1325" s="35"/>
      <c r="O1325" s="35"/>
      <c r="P1325" s="35"/>
      <c r="Q1325" s="35"/>
      <c r="R1325" s="35"/>
      <c r="S1325" s="35"/>
      <c r="T1325" s="35"/>
      <c r="U1325" s="35"/>
      <c r="V1325" s="35"/>
      <c r="W1325" s="35"/>
      <c r="X1325" s="35"/>
      <c r="Y1325" s="35"/>
      <c r="Z1325" s="35"/>
      <c r="AA1325" s="35"/>
      <c r="AB1325" s="35"/>
      <c r="AC1325" s="35"/>
      <c r="AD1325" s="35"/>
      <c r="AE1325" s="35"/>
    </row>
    <row r="1326">
      <c r="A1326" s="30"/>
      <c r="B1326" s="35" t="str">
        <f>'รายชื่อพนักงานลาออกพ้นสภาพ'!B308</f>
        <v/>
      </c>
      <c r="C1326" s="35" t="str">
        <f>'รายชื่อพนักงานลาออกพ้นสภาพ'!C308</f>
        <v/>
      </c>
      <c r="D1326" s="35" t="str">
        <f>'รายชื่อพนักงานลาออกพ้นสภาพ'!D308</f>
        <v/>
      </c>
      <c r="E1326" s="35" t="str">
        <f>'รายชื่อพนักงานลาออกพ้นสภาพ'!E308</f>
        <v/>
      </c>
      <c r="F1326" s="40" t="str">
        <f>'รายชื่อพนักงานลาออกพ้นสภาพ'!H308</f>
        <v/>
      </c>
      <c r="G1326" s="33"/>
      <c r="H1326" s="33"/>
      <c r="I1326" s="33"/>
      <c r="J1326" s="33"/>
      <c r="K1326" s="35"/>
      <c r="L1326" s="35"/>
      <c r="M1326" s="35"/>
      <c r="N1326" s="35"/>
      <c r="O1326" s="35"/>
      <c r="P1326" s="35"/>
      <c r="Q1326" s="35"/>
      <c r="R1326" s="35"/>
      <c r="S1326" s="35"/>
      <c r="T1326" s="35"/>
      <c r="U1326" s="35"/>
      <c r="V1326" s="35"/>
      <c r="W1326" s="35"/>
      <c r="X1326" s="35"/>
      <c r="Y1326" s="35"/>
      <c r="Z1326" s="35"/>
      <c r="AA1326" s="35"/>
      <c r="AB1326" s="35"/>
      <c r="AC1326" s="35"/>
      <c r="AD1326" s="35"/>
      <c r="AE1326" s="35"/>
    </row>
    <row r="1327">
      <c r="A1327" s="30"/>
      <c r="B1327" s="35" t="str">
        <f>'รายชื่อพนักงานลาออกพ้นสภาพ'!B309</f>
        <v/>
      </c>
      <c r="C1327" s="35" t="str">
        <f>'รายชื่อพนักงานลาออกพ้นสภาพ'!C309</f>
        <v/>
      </c>
      <c r="D1327" s="35" t="str">
        <f>'รายชื่อพนักงานลาออกพ้นสภาพ'!D309</f>
        <v/>
      </c>
      <c r="E1327" s="35" t="str">
        <f>'รายชื่อพนักงานลาออกพ้นสภาพ'!E309</f>
        <v/>
      </c>
      <c r="F1327" s="40" t="str">
        <f>'รายชื่อพนักงานลาออกพ้นสภาพ'!H309</f>
        <v/>
      </c>
      <c r="G1327" s="33"/>
      <c r="H1327" s="33"/>
      <c r="I1327" s="33"/>
      <c r="J1327" s="33"/>
      <c r="K1327" s="35"/>
      <c r="L1327" s="35"/>
      <c r="M1327" s="35"/>
      <c r="N1327" s="35"/>
      <c r="O1327" s="35"/>
      <c r="P1327" s="35"/>
      <c r="Q1327" s="35"/>
      <c r="R1327" s="35"/>
      <c r="S1327" s="35"/>
      <c r="T1327" s="35"/>
      <c r="U1327" s="35"/>
      <c r="V1327" s="35"/>
      <c r="W1327" s="35"/>
      <c r="X1327" s="35"/>
      <c r="Y1327" s="35"/>
      <c r="Z1327" s="35"/>
      <c r="AA1327" s="35"/>
      <c r="AB1327" s="35"/>
      <c r="AC1327" s="35"/>
      <c r="AD1327" s="35"/>
      <c r="AE1327" s="35"/>
    </row>
    <row r="1328">
      <c r="A1328" s="30"/>
      <c r="B1328" s="35" t="str">
        <f>'รายชื่อพนักงานลาออกพ้นสภาพ'!B310</f>
        <v/>
      </c>
      <c r="C1328" s="35" t="str">
        <f>'รายชื่อพนักงานลาออกพ้นสภาพ'!C310</f>
        <v/>
      </c>
      <c r="D1328" s="35" t="str">
        <f>'รายชื่อพนักงานลาออกพ้นสภาพ'!D310</f>
        <v/>
      </c>
      <c r="E1328" s="35" t="str">
        <f>'รายชื่อพนักงานลาออกพ้นสภาพ'!E310</f>
        <v/>
      </c>
      <c r="F1328" s="40" t="str">
        <f>'รายชื่อพนักงานลาออกพ้นสภาพ'!H310</f>
        <v/>
      </c>
      <c r="G1328" s="33"/>
      <c r="H1328" s="33"/>
      <c r="I1328" s="33"/>
      <c r="J1328" s="33"/>
      <c r="K1328" s="35"/>
      <c r="L1328" s="35"/>
      <c r="M1328" s="35"/>
      <c r="N1328" s="35"/>
      <c r="O1328" s="35"/>
      <c r="P1328" s="35"/>
      <c r="Q1328" s="35"/>
      <c r="R1328" s="35"/>
      <c r="S1328" s="35"/>
      <c r="T1328" s="35"/>
      <c r="U1328" s="35"/>
      <c r="V1328" s="35"/>
      <c r="W1328" s="35"/>
      <c r="X1328" s="35"/>
      <c r="Y1328" s="35"/>
      <c r="Z1328" s="35"/>
      <c r="AA1328" s="35"/>
      <c r="AB1328" s="35"/>
      <c r="AC1328" s="35"/>
      <c r="AD1328" s="35"/>
      <c r="AE1328" s="35"/>
    </row>
    <row r="1329">
      <c r="A1329" s="30"/>
      <c r="B1329" s="35" t="str">
        <f>'รายชื่อพนักงานลาออกพ้นสภาพ'!B311</f>
        <v/>
      </c>
      <c r="C1329" s="35" t="str">
        <f>'รายชื่อพนักงานลาออกพ้นสภาพ'!C311</f>
        <v/>
      </c>
      <c r="D1329" s="35" t="str">
        <f>'รายชื่อพนักงานลาออกพ้นสภาพ'!D311</f>
        <v/>
      </c>
      <c r="E1329" s="35" t="str">
        <f>'รายชื่อพนักงานลาออกพ้นสภาพ'!E311</f>
        <v/>
      </c>
      <c r="F1329" s="40" t="str">
        <f>'รายชื่อพนักงานลาออกพ้นสภาพ'!H311</f>
        <v/>
      </c>
      <c r="G1329" s="33"/>
      <c r="H1329" s="33"/>
      <c r="I1329" s="33"/>
      <c r="J1329" s="33"/>
      <c r="K1329" s="35"/>
      <c r="L1329" s="35"/>
      <c r="M1329" s="35"/>
      <c r="N1329" s="35"/>
      <c r="O1329" s="35"/>
      <c r="P1329" s="35"/>
      <c r="Q1329" s="35"/>
      <c r="R1329" s="35"/>
      <c r="S1329" s="35"/>
      <c r="T1329" s="35"/>
      <c r="U1329" s="35"/>
      <c r="V1329" s="35"/>
      <c r="W1329" s="35"/>
      <c r="X1329" s="35"/>
      <c r="Y1329" s="35"/>
      <c r="Z1329" s="35"/>
      <c r="AA1329" s="35"/>
      <c r="AB1329" s="35"/>
      <c r="AC1329" s="35"/>
      <c r="AD1329" s="35"/>
      <c r="AE1329" s="35"/>
    </row>
    <row r="1330">
      <c r="A1330" s="30"/>
      <c r="B1330" s="35" t="str">
        <f>'รายชื่อพนักงานลาออกพ้นสภาพ'!B312</f>
        <v/>
      </c>
      <c r="C1330" s="35" t="str">
        <f>'รายชื่อพนักงานลาออกพ้นสภาพ'!C312</f>
        <v/>
      </c>
      <c r="D1330" s="35" t="str">
        <f>'รายชื่อพนักงานลาออกพ้นสภาพ'!D312</f>
        <v/>
      </c>
      <c r="E1330" s="35" t="str">
        <f>'รายชื่อพนักงานลาออกพ้นสภาพ'!E312</f>
        <v/>
      </c>
      <c r="F1330" s="40" t="str">
        <f>'รายชื่อพนักงานลาออกพ้นสภาพ'!H312</f>
        <v/>
      </c>
      <c r="G1330" s="33"/>
      <c r="H1330" s="33"/>
      <c r="I1330" s="33"/>
      <c r="J1330" s="33"/>
      <c r="K1330" s="35"/>
      <c r="L1330" s="35"/>
      <c r="M1330" s="35"/>
      <c r="N1330" s="35"/>
      <c r="O1330" s="35"/>
      <c r="P1330" s="35"/>
      <c r="Q1330" s="35"/>
      <c r="R1330" s="35"/>
      <c r="S1330" s="35"/>
      <c r="T1330" s="35"/>
      <c r="U1330" s="35"/>
      <c r="V1330" s="35"/>
      <c r="W1330" s="35"/>
      <c r="X1330" s="35"/>
      <c r="Y1330" s="35"/>
      <c r="Z1330" s="35"/>
      <c r="AA1330" s="35"/>
      <c r="AB1330" s="35"/>
      <c r="AC1330" s="35"/>
      <c r="AD1330" s="35"/>
      <c r="AE1330" s="35"/>
    </row>
    <row r="1331">
      <c r="A1331" s="30"/>
      <c r="B1331" s="35" t="str">
        <f>'รายชื่อพนักงานลาออกพ้นสภาพ'!B313</f>
        <v/>
      </c>
      <c r="C1331" s="35" t="str">
        <f>'รายชื่อพนักงานลาออกพ้นสภาพ'!C313</f>
        <v/>
      </c>
      <c r="D1331" s="35" t="str">
        <f>'รายชื่อพนักงานลาออกพ้นสภาพ'!D313</f>
        <v/>
      </c>
      <c r="E1331" s="35" t="str">
        <f>'รายชื่อพนักงานลาออกพ้นสภาพ'!E313</f>
        <v/>
      </c>
      <c r="F1331" s="40" t="str">
        <f>'รายชื่อพนักงานลาออกพ้นสภาพ'!H313</f>
        <v/>
      </c>
      <c r="G1331" s="33"/>
      <c r="H1331" s="33"/>
      <c r="I1331" s="33"/>
      <c r="J1331" s="33"/>
      <c r="K1331" s="35"/>
      <c r="L1331" s="35"/>
      <c r="M1331" s="35"/>
      <c r="N1331" s="35"/>
      <c r="O1331" s="35"/>
      <c r="P1331" s="35"/>
      <c r="Q1331" s="35"/>
      <c r="R1331" s="35"/>
      <c r="S1331" s="35"/>
      <c r="T1331" s="35"/>
      <c r="U1331" s="35"/>
      <c r="V1331" s="35"/>
      <c r="W1331" s="35"/>
      <c r="X1331" s="35"/>
      <c r="Y1331" s="35"/>
      <c r="Z1331" s="35"/>
      <c r="AA1331" s="35"/>
      <c r="AB1331" s="35"/>
      <c r="AC1331" s="35"/>
      <c r="AD1331" s="35"/>
      <c r="AE1331" s="35"/>
    </row>
    <row r="1332">
      <c r="A1332" s="30"/>
      <c r="B1332" s="35" t="str">
        <f>'รายชื่อพนักงานลาออกพ้นสภาพ'!B314</f>
        <v/>
      </c>
      <c r="C1332" s="35" t="str">
        <f>'รายชื่อพนักงานลาออกพ้นสภาพ'!C314</f>
        <v/>
      </c>
      <c r="D1332" s="35" t="str">
        <f>'รายชื่อพนักงานลาออกพ้นสภาพ'!D314</f>
        <v/>
      </c>
      <c r="E1332" s="35" t="str">
        <f>'รายชื่อพนักงานลาออกพ้นสภาพ'!E314</f>
        <v/>
      </c>
      <c r="F1332" s="40" t="str">
        <f>'รายชื่อพนักงานลาออกพ้นสภาพ'!H314</f>
        <v/>
      </c>
      <c r="G1332" s="33"/>
      <c r="H1332" s="33"/>
      <c r="I1332" s="33"/>
      <c r="J1332" s="33"/>
      <c r="K1332" s="35"/>
      <c r="L1332" s="35"/>
      <c r="M1332" s="35"/>
      <c r="N1332" s="35"/>
      <c r="O1332" s="35"/>
      <c r="P1332" s="35"/>
      <c r="Q1332" s="35"/>
      <c r="R1332" s="35"/>
      <c r="S1332" s="35"/>
      <c r="T1332" s="35"/>
      <c r="U1332" s="35"/>
      <c r="V1332" s="35"/>
      <c r="W1332" s="35"/>
      <c r="X1332" s="35"/>
      <c r="Y1332" s="35"/>
      <c r="Z1332" s="35"/>
      <c r="AA1332" s="35"/>
      <c r="AB1332" s="35"/>
      <c r="AC1332" s="35"/>
      <c r="AD1332" s="35"/>
      <c r="AE1332" s="35"/>
    </row>
    <row r="1333">
      <c r="A1333" s="30"/>
      <c r="B1333" s="35" t="str">
        <f>'รายชื่อพนักงานลาออกพ้นสภาพ'!B315</f>
        <v/>
      </c>
      <c r="C1333" s="35" t="str">
        <f>'รายชื่อพนักงานลาออกพ้นสภาพ'!C315</f>
        <v/>
      </c>
      <c r="D1333" s="35" t="str">
        <f>'รายชื่อพนักงานลาออกพ้นสภาพ'!D315</f>
        <v/>
      </c>
      <c r="E1333" s="35" t="str">
        <f>'รายชื่อพนักงานลาออกพ้นสภาพ'!E315</f>
        <v/>
      </c>
      <c r="F1333" s="40" t="str">
        <f>'รายชื่อพนักงานลาออกพ้นสภาพ'!H315</f>
        <v/>
      </c>
      <c r="G1333" s="33"/>
      <c r="H1333" s="33"/>
      <c r="I1333" s="33"/>
      <c r="J1333" s="33"/>
      <c r="K1333" s="35"/>
      <c r="L1333" s="35"/>
      <c r="M1333" s="35"/>
      <c r="N1333" s="35"/>
      <c r="O1333" s="35"/>
      <c r="P1333" s="35"/>
      <c r="Q1333" s="35"/>
      <c r="R1333" s="35"/>
      <c r="S1333" s="35"/>
      <c r="T1333" s="35"/>
      <c r="U1333" s="35"/>
      <c r="V1333" s="35"/>
      <c r="W1333" s="35"/>
      <c r="X1333" s="35"/>
      <c r="Y1333" s="35"/>
      <c r="Z1333" s="35"/>
      <c r="AA1333" s="35"/>
      <c r="AB1333" s="35"/>
      <c r="AC1333" s="35"/>
      <c r="AD1333" s="35"/>
      <c r="AE1333" s="35"/>
    </row>
    <row r="1334">
      <c r="A1334" s="30"/>
      <c r="B1334" s="35" t="str">
        <f>'รายชื่อพนักงานลาออกพ้นสภาพ'!B316</f>
        <v/>
      </c>
      <c r="C1334" s="35" t="str">
        <f>'รายชื่อพนักงานลาออกพ้นสภาพ'!C316</f>
        <v/>
      </c>
      <c r="D1334" s="35" t="str">
        <f>'รายชื่อพนักงานลาออกพ้นสภาพ'!D316</f>
        <v/>
      </c>
      <c r="E1334" s="35" t="str">
        <f>'รายชื่อพนักงานลาออกพ้นสภาพ'!E316</f>
        <v/>
      </c>
      <c r="F1334" s="40" t="str">
        <f>'รายชื่อพนักงานลาออกพ้นสภาพ'!H316</f>
        <v/>
      </c>
      <c r="G1334" s="33"/>
      <c r="H1334" s="33"/>
      <c r="I1334" s="33"/>
      <c r="J1334" s="33"/>
      <c r="K1334" s="35"/>
      <c r="L1334" s="35"/>
      <c r="M1334" s="35"/>
      <c r="N1334" s="35"/>
      <c r="O1334" s="35"/>
      <c r="P1334" s="35"/>
      <c r="Q1334" s="35"/>
      <c r="R1334" s="35"/>
      <c r="S1334" s="35"/>
      <c r="T1334" s="35"/>
      <c r="U1334" s="35"/>
      <c r="V1334" s="35"/>
      <c r="W1334" s="35"/>
      <c r="X1334" s="35"/>
      <c r="Y1334" s="35"/>
      <c r="Z1334" s="35"/>
      <c r="AA1334" s="35"/>
      <c r="AB1334" s="35"/>
      <c r="AC1334" s="35"/>
      <c r="AD1334" s="35"/>
      <c r="AE1334" s="35"/>
    </row>
    <row r="1335">
      <c r="A1335" s="30"/>
      <c r="B1335" s="35" t="str">
        <f>'รายชื่อพนักงานลาออกพ้นสภาพ'!B317</f>
        <v/>
      </c>
      <c r="C1335" s="35" t="str">
        <f>'รายชื่อพนักงานลาออกพ้นสภาพ'!C317</f>
        <v/>
      </c>
      <c r="D1335" s="35" t="str">
        <f>'รายชื่อพนักงานลาออกพ้นสภาพ'!D317</f>
        <v/>
      </c>
      <c r="E1335" s="35" t="str">
        <f>'รายชื่อพนักงานลาออกพ้นสภาพ'!E317</f>
        <v/>
      </c>
      <c r="F1335" s="40" t="str">
        <f>'รายชื่อพนักงานลาออกพ้นสภาพ'!H317</f>
        <v/>
      </c>
      <c r="G1335" s="33"/>
      <c r="H1335" s="33"/>
      <c r="I1335" s="33"/>
      <c r="J1335" s="33"/>
      <c r="K1335" s="35"/>
      <c r="L1335" s="35"/>
      <c r="M1335" s="35"/>
      <c r="N1335" s="35"/>
      <c r="O1335" s="35"/>
      <c r="P1335" s="35"/>
      <c r="Q1335" s="35"/>
      <c r="R1335" s="35"/>
      <c r="S1335" s="35"/>
      <c r="T1335" s="35"/>
      <c r="U1335" s="35"/>
      <c r="V1335" s="35"/>
      <c r="W1335" s="35"/>
      <c r="X1335" s="35"/>
      <c r="Y1335" s="35"/>
      <c r="Z1335" s="35"/>
      <c r="AA1335" s="35"/>
      <c r="AB1335" s="35"/>
      <c r="AC1335" s="35"/>
      <c r="AD1335" s="35"/>
      <c r="AE1335" s="35"/>
    </row>
    <row r="1336">
      <c r="A1336" s="30"/>
      <c r="B1336" s="35" t="str">
        <f>'รายชื่อพนักงานลาออกพ้นสภาพ'!B318</f>
        <v/>
      </c>
      <c r="C1336" s="35" t="str">
        <f>'รายชื่อพนักงานลาออกพ้นสภาพ'!C318</f>
        <v/>
      </c>
      <c r="D1336" s="35" t="str">
        <f>'รายชื่อพนักงานลาออกพ้นสภาพ'!D318</f>
        <v/>
      </c>
      <c r="E1336" s="35" t="str">
        <f>'รายชื่อพนักงานลาออกพ้นสภาพ'!E318</f>
        <v/>
      </c>
      <c r="F1336" s="40" t="str">
        <f>'รายชื่อพนักงานลาออกพ้นสภาพ'!H318</f>
        <v/>
      </c>
      <c r="G1336" s="33"/>
      <c r="H1336" s="33"/>
      <c r="I1336" s="33"/>
      <c r="J1336" s="33"/>
      <c r="K1336" s="35"/>
      <c r="L1336" s="35"/>
      <c r="M1336" s="35"/>
      <c r="N1336" s="35"/>
      <c r="O1336" s="35"/>
      <c r="P1336" s="35"/>
      <c r="Q1336" s="35"/>
      <c r="R1336" s="35"/>
      <c r="S1336" s="35"/>
      <c r="T1336" s="35"/>
      <c r="U1336" s="35"/>
      <c r="V1336" s="35"/>
      <c r="W1336" s="35"/>
      <c r="X1336" s="35"/>
      <c r="Y1336" s="35"/>
      <c r="Z1336" s="35"/>
      <c r="AA1336" s="35"/>
      <c r="AB1336" s="35"/>
      <c r="AC1336" s="35"/>
      <c r="AD1336" s="35"/>
      <c r="AE1336" s="35"/>
    </row>
    <row r="1337">
      <c r="A1337" s="30"/>
      <c r="B1337" s="35" t="str">
        <f>'รายชื่อพนักงานลาออกพ้นสภาพ'!B319</f>
        <v/>
      </c>
      <c r="C1337" s="35" t="str">
        <f>'รายชื่อพนักงานลาออกพ้นสภาพ'!C319</f>
        <v/>
      </c>
      <c r="D1337" s="35" t="str">
        <f>'รายชื่อพนักงานลาออกพ้นสภาพ'!D319</f>
        <v/>
      </c>
      <c r="E1337" s="35" t="str">
        <f>'รายชื่อพนักงานลาออกพ้นสภาพ'!E319</f>
        <v/>
      </c>
      <c r="F1337" s="40" t="str">
        <f>'รายชื่อพนักงานลาออกพ้นสภาพ'!H319</f>
        <v/>
      </c>
      <c r="G1337" s="33"/>
      <c r="H1337" s="33"/>
      <c r="I1337" s="33"/>
      <c r="J1337" s="33"/>
      <c r="K1337" s="35"/>
      <c r="L1337" s="35"/>
      <c r="M1337" s="35"/>
      <c r="N1337" s="35"/>
      <c r="O1337" s="35"/>
      <c r="P1337" s="35"/>
      <c r="Q1337" s="35"/>
      <c r="R1337" s="35"/>
      <c r="S1337" s="35"/>
      <c r="T1337" s="35"/>
      <c r="U1337" s="35"/>
      <c r="V1337" s="35"/>
      <c r="W1337" s="35"/>
      <c r="X1337" s="35"/>
      <c r="Y1337" s="35"/>
      <c r="Z1337" s="35"/>
      <c r="AA1337" s="35"/>
      <c r="AB1337" s="35"/>
      <c r="AC1337" s="35"/>
      <c r="AD1337" s="35"/>
      <c r="AE1337" s="35"/>
    </row>
    <row r="1338">
      <c r="A1338" s="30"/>
      <c r="B1338" s="35" t="str">
        <f>'รายชื่อพนักงานลาออกพ้นสภาพ'!B320</f>
        <v/>
      </c>
      <c r="C1338" s="35" t="str">
        <f>'รายชื่อพนักงานลาออกพ้นสภาพ'!C320</f>
        <v/>
      </c>
      <c r="D1338" s="35" t="str">
        <f>'รายชื่อพนักงานลาออกพ้นสภาพ'!D320</f>
        <v/>
      </c>
      <c r="E1338" s="35" t="str">
        <f>'รายชื่อพนักงานลาออกพ้นสภาพ'!E320</f>
        <v/>
      </c>
      <c r="F1338" s="40" t="str">
        <f>'รายชื่อพนักงานลาออกพ้นสภาพ'!H320</f>
        <v/>
      </c>
      <c r="G1338" s="33"/>
      <c r="H1338" s="33"/>
      <c r="I1338" s="33"/>
      <c r="J1338" s="33"/>
      <c r="K1338" s="35"/>
      <c r="L1338" s="35"/>
      <c r="M1338" s="35"/>
      <c r="N1338" s="35"/>
      <c r="O1338" s="35"/>
      <c r="P1338" s="35"/>
      <c r="Q1338" s="35"/>
      <c r="R1338" s="35"/>
      <c r="S1338" s="35"/>
      <c r="T1338" s="35"/>
      <c r="U1338" s="35"/>
      <c r="V1338" s="35"/>
      <c r="W1338" s="35"/>
      <c r="X1338" s="35"/>
      <c r="Y1338" s="35"/>
      <c r="Z1338" s="35"/>
      <c r="AA1338" s="35"/>
      <c r="AB1338" s="35"/>
      <c r="AC1338" s="35"/>
      <c r="AD1338" s="35"/>
      <c r="AE1338" s="35"/>
    </row>
    <row r="1339">
      <c r="A1339" s="30"/>
      <c r="B1339" s="35" t="str">
        <f>'รายชื่อพนักงานลาออกพ้นสภาพ'!B321</f>
        <v/>
      </c>
      <c r="C1339" s="35" t="str">
        <f>'รายชื่อพนักงานลาออกพ้นสภาพ'!C321</f>
        <v/>
      </c>
      <c r="D1339" s="35" t="str">
        <f>'รายชื่อพนักงานลาออกพ้นสภาพ'!D321</f>
        <v/>
      </c>
      <c r="E1339" s="35" t="str">
        <f>'รายชื่อพนักงานลาออกพ้นสภาพ'!E321</f>
        <v/>
      </c>
      <c r="F1339" s="40" t="str">
        <f>'รายชื่อพนักงานลาออกพ้นสภาพ'!H321</f>
        <v/>
      </c>
      <c r="G1339" s="33"/>
      <c r="H1339" s="33"/>
      <c r="I1339" s="33"/>
      <c r="J1339" s="33"/>
      <c r="K1339" s="35"/>
      <c r="L1339" s="35"/>
      <c r="M1339" s="35"/>
      <c r="N1339" s="35"/>
      <c r="O1339" s="35"/>
      <c r="P1339" s="35"/>
      <c r="Q1339" s="35"/>
      <c r="R1339" s="35"/>
      <c r="S1339" s="35"/>
      <c r="T1339" s="35"/>
      <c r="U1339" s="35"/>
      <c r="V1339" s="35"/>
      <c r="W1339" s="35"/>
      <c r="X1339" s="35"/>
      <c r="Y1339" s="35"/>
      <c r="Z1339" s="35"/>
      <c r="AA1339" s="35"/>
      <c r="AB1339" s="35"/>
      <c r="AC1339" s="35"/>
      <c r="AD1339" s="35"/>
      <c r="AE1339" s="35"/>
    </row>
    <row r="1340">
      <c r="A1340" s="30"/>
      <c r="B1340" s="35" t="str">
        <f>'รายชื่อพนักงานลาออกพ้นสภาพ'!B322</f>
        <v/>
      </c>
      <c r="C1340" s="35" t="str">
        <f>'รายชื่อพนักงานลาออกพ้นสภาพ'!C322</f>
        <v/>
      </c>
      <c r="D1340" s="35" t="str">
        <f>'รายชื่อพนักงานลาออกพ้นสภาพ'!D322</f>
        <v/>
      </c>
      <c r="E1340" s="35" t="str">
        <f>'รายชื่อพนักงานลาออกพ้นสภาพ'!E322</f>
        <v/>
      </c>
      <c r="F1340" s="40" t="str">
        <f>'รายชื่อพนักงานลาออกพ้นสภาพ'!H322</f>
        <v/>
      </c>
      <c r="G1340" s="33"/>
      <c r="H1340" s="33"/>
      <c r="I1340" s="33"/>
      <c r="J1340" s="33"/>
      <c r="K1340" s="35"/>
      <c r="L1340" s="35"/>
      <c r="M1340" s="35"/>
      <c r="N1340" s="35"/>
      <c r="O1340" s="35"/>
      <c r="P1340" s="35"/>
      <c r="Q1340" s="35"/>
      <c r="R1340" s="35"/>
      <c r="S1340" s="35"/>
      <c r="T1340" s="35"/>
      <c r="U1340" s="35"/>
      <c r="V1340" s="35"/>
      <c r="W1340" s="35"/>
      <c r="X1340" s="35"/>
      <c r="Y1340" s="35"/>
      <c r="Z1340" s="35"/>
      <c r="AA1340" s="35"/>
      <c r="AB1340" s="35"/>
      <c r="AC1340" s="35"/>
      <c r="AD1340" s="35"/>
      <c r="AE1340" s="35"/>
    </row>
    <row r="1341">
      <c r="A1341" s="30"/>
      <c r="B1341" s="35" t="str">
        <f>'รายชื่อพนักงานลาออกพ้นสภาพ'!B323</f>
        <v/>
      </c>
      <c r="C1341" s="35" t="str">
        <f>'รายชื่อพนักงานลาออกพ้นสภาพ'!C323</f>
        <v/>
      </c>
      <c r="D1341" s="35" t="str">
        <f>'รายชื่อพนักงานลาออกพ้นสภาพ'!D323</f>
        <v/>
      </c>
      <c r="E1341" s="35" t="str">
        <f>'รายชื่อพนักงานลาออกพ้นสภาพ'!E323</f>
        <v/>
      </c>
      <c r="F1341" s="40" t="str">
        <f>'รายชื่อพนักงานลาออกพ้นสภาพ'!H323</f>
        <v/>
      </c>
      <c r="G1341" s="33"/>
      <c r="H1341" s="33"/>
      <c r="I1341" s="33"/>
      <c r="J1341" s="33"/>
      <c r="K1341" s="35"/>
      <c r="L1341" s="35"/>
      <c r="M1341" s="35"/>
      <c r="N1341" s="35"/>
      <c r="O1341" s="35"/>
      <c r="P1341" s="35"/>
      <c r="Q1341" s="35"/>
      <c r="R1341" s="35"/>
      <c r="S1341" s="35"/>
      <c r="T1341" s="35"/>
      <c r="U1341" s="35"/>
      <c r="V1341" s="35"/>
      <c r="W1341" s="35"/>
      <c r="X1341" s="35"/>
      <c r="Y1341" s="35"/>
      <c r="Z1341" s="35"/>
      <c r="AA1341" s="35"/>
      <c r="AB1341" s="35"/>
      <c r="AC1341" s="35"/>
      <c r="AD1341" s="35"/>
      <c r="AE1341" s="35"/>
    </row>
    <row r="1342">
      <c r="A1342" s="30"/>
      <c r="B1342" s="35" t="str">
        <f>'รายชื่อพนักงานลาออกพ้นสภาพ'!B324</f>
        <v/>
      </c>
      <c r="C1342" s="35" t="str">
        <f>'รายชื่อพนักงานลาออกพ้นสภาพ'!C324</f>
        <v/>
      </c>
      <c r="D1342" s="35" t="str">
        <f>'รายชื่อพนักงานลาออกพ้นสภาพ'!D324</f>
        <v/>
      </c>
      <c r="E1342" s="35" t="str">
        <f>'รายชื่อพนักงานลาออกพ้นสภาพ'!E324</f>
        <v/>
      </c>
      <c r="F1342" s="40" t="str">
        <f>'รายชื่อพนักงานลาออกพ้นสภาพ'!H324</f>
        <v/>
      </c>
      <c r="G1342" s="33"/>
      <c r="H1342" s="33"/>
      <c r="I1342" s="33"/>
      <c r="J1342" s="33"/>
      <c r="K1342" s="35"/>
      <c r="L1342" s="35"/>
      <c r="M1342" s="35"/>
      <c r="N1342" s="35"/>
      <c r="O1342" s="35"/>
      <c r="P1342" s="35"/>
      <c r="Q1342" s="35"/>
      <c r="R1342" s="35"/>
      <c r="S1342" s="35"/>
      <c r="T1342" s="35"/>
      <c r="U1342" s="35"/>
      <c r="V1342" s="35"/>
      <c r="W1342" s="35"/>
      <c r="X1342" s="35"/>
      <c r="Y1342" s="35"/>
      <c r="Z1342" s="35"/>
      <c r="AA1342" s="35"/>
      <c r="AB1342" s="35"/>
      <c r="AC1342" s="35"/>
      <c r="AD1342" s="35"/>
      <c r="AE1342" s="35"/>
    </row>
    <row r="1343">
      <c r="A1343" s="30"/>
      <c r="B1343" s="35" t="str">
        <f>'รายชื่อพนักงานลาออกพ้นสภาพ'!B325</f>
        <v/>
      </c>
      <c r="C1343" s="35" t="str">
        <f>'รายชื่อพนักงานลาออกพ้นสภาพ'!C325</f>
        <v/>
      </c>
      <c r="D1343" s="35" t="str">
        <f>'รายชื่อพนักงานลาออกพ้นสภาพ'!D325</f>
        <v/>
      </c>
      <c r="E1343" s="35" t="str">
        <f>'รายชื่อพนักงานลาออกพ้นสภาพ'!E325</f>
        <v/>
      </c>
      <c r="F1343" s="40" t="str">
        <f>'รายชื่อพนักงานลาออกพ้นสภาพ'!H325</f>
        <v/>
      </c>
      <c r="G1343" s="33"/>
      <c r="H1343" s="33"/>
      <c r="I1343" s="33"/>
      <c r="J1343" s="33"/>
      <c r="K1343" s="35"/>
      <c r="L1343" s="35"/>
      <c r="M1343" s="35"/>
      <c r="N1343" s="35"/>
      <c r="O1343" s="35"/>
      <c r="P1343" s="35"/>
      <c r="Q1343" s="35"/>
      <c r="R1343" s="35"/>
      <c r="S1343" s="35"/>
      <c r="T1343" s="35"/>
      <c r="U1343" s="35"/>
      <c r="V1343" s="35"/>
      <c r="W1343" s="35"/>
      <c r="X1343" s="35"/>
      <c r="Y1343" s="35"/>
      <c r="Z1343" s="35"/>
      <c r="AA1343" s="35"/>
      <c r="AB1343" s="35"/>
      <c r="AC1343" s="35"/>
      <c r="AD1343" s="35"/>
      <c r="AE1343" s="35"/>
    </row>
    <row r="1344">
      <c r="A1344" s="30"/>
      <c r="B1344" s="35" t="str">
        <f>'รายชื่อพนักงานลาออกพ้นสภาพ'!B326</f>
        <v/>
      </c>
      <c r="C1344" s="35" t="str">
        <f>'รายชื่อพนักงานลาออกพ้นสภาพ'!C326</f>
        <v/>
      </c>
      <c r="D1344" s="35" t="str">
        <f>'รายชื่อพนักงานลาออกพ้นสภาพ'!D326</f>
        <v/>
      </c>
      <c r="E1344" s="35" t="str">
        <f>'รายชื่อพนักงานลาออกพ้นสภาพ'!E326</f>
        <v/>
      </c>
      <c r="F1344" s="40" t="str">
        <f>'รายชื่อพนักงานลาออกพ้นสภาพ'!H326</f>
        <v/>
      </c>
      <c r="G1344" s="33"/>
      <c r="H1344" s="33"/>
      <c r="I1344" s="33"/>
      <c r="J1344" s="33"/>
      <c r="K1344" s="35"/>
      <c r="L1344" s="35"/>
      <c r="M1344" s="35"/>
      <c r="N1344" s="35"/>
      <c r="O1344" s="35"/>
      <c r="P1344" s="35"/>
      <c r="Q1344" s="35"/>
      <c r="R1344" s="35"/>
      <c r="S1344" s="35"/>
      <c r="T1344" s="35"/>
      <c r="U1344" s="35"/>
      <c r="V1344" s="35"/>
      <c r="W1344" s="35"/>
      <c r="X1344" s="35"/>
      <c r="Y1344" s="35"/>
      <c r="Z1344" s="35"/>
      <c r="AA1344" s="35"/>
      <c r="AB1344" s="35"/>
      <c r="AC1344" s="35"/>
      <c r="AD1344" s="35"/>
      <c r="AE1344" s="35"/>
    </row>
    <row r="1345">
      <c r="A1345" s="30"/>
      <c r="B1345" s="35" t="str">
        <f>'รายชื่อพนักงานลาออกพ้นสภาพ'!B327</f>
        <v/>
      </c>
      <c r="C1345" s="35" t="str">
        <f>'รายชื่อพนักงานลาออกพ้นสภาพ'!C327</f>
        <v/>
      </c>
      <c r="D1345" s="35" t="str">
        <f>'รายชื่อพนักงานลาออกพ้นสภาพ'!D327</f>
        <v/>
      </c>
      <c r="E1345" s="35" t="str">
        <f>'รายชื่อพนักงานลาออกพ้นสภาพ'!E327</f>
        <v/>
      </c>
      <c r="F1345" s="40" t="str">
        <f>'รายชื่อพนักงานลาออกพ้นสภาพ'!H327</f>
        <v/>
      </c>
      <c r="G1345" s="33"/>
      <c r="H1345" s="33"/>
      <c r="I1345" s="33"/>
      <c r="J1345" s="33"/>
      <c r="K1345" s="35"/>
      <c r="L1345" s="35"/>
      <c r="M1345" s="35"/>
      <c r="N1345" s="35"/>
      <c r="O1345" s="35"/>
      <c r="P1345" s="35"/>
      <c r="Q1345" s="35"/>
      <c r="R1345" s="35"/>
      <c r="S1345" s="35"/>
      <c r="T1345" s="35"/>
      <c r="U1345" s="35"/>
      <c r="V1345" s="35"/>
      <c r="W1345" s="35"/>
      <c r="X1345" s="35"/>
      <c r="Y1345" s="35"/>
      <c r="Z1345" s="35"/>
      <c r="AA1345" s="35"/>
      <c r="AB1345" s="35"/>
      <c r="AC1345" s="35"/>
      <c r="AD1345" s="35"/>
      <c r="AE1345" s="35"/>
    </row>
    <row r="1346">
      <c r="A1346" s="30"/>
      <c r="B1346" s="35" t="str">
        <f>'รายชื่อพนักงานลาออกพ้นสภาพ'!B328</f>
        <v/>
      </c>
      <c r="C1346" s="35" t="str">
        <f>'รายชื่อพนักงานลาออกพ้นสภาพ'!C328</f>
        <v/>
      </c>
      <c r="D1346" s="35" t="str">
        <f>'รายชื่อพนักงานลาออกพ้นสภาพ'!D328</f>
        <v/>
      </c>
      <c r="E1346" s="35" t="str">
        <f>'รายชื่อพนักงานลาออกพ้นสภาพ'!E328</f>
        <v/>
      </c>
      <c r="F1346" s="40" t="str">
        <f>'รายชื่อพนักงานลาออกพ้นสภาพ'!H328</f>
        <v/>
      </c>
      <c r="G1346" s="33"/>
      <c r="H1346" s="33"/>
      <c r="I1346" s="33"/>
      <c r="J1346" s="33"/>
      <c r="K1346" s="35"/>
      <c r="L1346" s="35"/>
      <c r="M1346" s="35"/>
      <c r="N1346" s="35"/>
      <c r="O1346" s="35"/>
      <c r="P1346" s="35"/>
      <c r="Q1346" s="35"/>
      <c r="R1346" s="35"/>
      <c r="S1346" s="35"/>
      <c r="T1346" s="35"/>
      <c r="U1346" s="35"/>
      <c r="V1346" s="35"/>
      <c r="W1346" s="35"/>
      <c r="X1346" s="35"/>
      <c r="Y1346" s="35"/>
      <c r="Z1346" s="35"/>
      <c r="AA1346" s="35"/>
      <c r="AB1346" s="35"/>
      <c r="AC1346" s="35"/>
      <c r="AD1346" s="35"/>
      <c r="AE1346" s="35"/>
    </row>
    <row r="1347">
      <c r="A1347" s="30"/>
      <c r="B1347" s="35" t="str">
        <f>'รายชื่อพนักงานลาออกพ้นสภาพ'!B329</f>
        <v/>
      </c>
      <c r="C1347" s="35" t="str">
        <f>'รายชื่อพนักงานลาออกพ้นสภาพ'!C329</f>
        <v/>
      </c>
      <c r="D1347" s="35" t="str">
        <f>'รายชื่อพนักงานลาออกพ้นสภาพ'!D329</f>
        <v/>
      </c>
      <c r="E1347" s="35" t="str">
        <f>'รายชื่อพนักงานลาออกพ้นสภาพ'!E329</f>
        <v/>
      </c>
      <c r="F1347" s="40" t="str">
        <f>'รายชื่อพนักงานลาออกพ้นสภาพ'!H329</f>
        <v/>
      </c>
      <c r="G1347" s="33"/>
      <c r="H1347" s="33"/>
      <c r="I1347" s="33"/>
      <c r="J1347" s="33"/>
      <c r="K1347" s="35"/>
      <c r="L1347" s="35"/>
      <c r="M1347" s="35"/>
      <c r="N1347" s="35"/>
      <c r="O1347" s="35"/>
      <c r="P1347" s="35"/>
      <c r="Q1347" s="35"/>
      <c r="R1347" s="35"/>
      <c r="S1347" s="35"/>
      <c r="T1347" s="35"/>
      <c r="U1347" s="35"/>
      <c r="V1347" s="35"/>
      <c r="W1347" s="35"/>
      <c r="X1347" s="35"/>
      <c r="Y1347" s="35"/>
      <c r="Z1347" s="35"/>
      <c r="AA1347" s="35"/>
      <c r="AB1347" s="35"/>
      <c r="AC1347" s="35"/>
      <c r="AD1347" s="35"/>
      <c r="AE1347" s="35"/>
    </row>
    <row r="1348">
      <c r="A1348" s="30"/>
      <c r="B1348" s="35" t="str">
        <f>'รายชื่อพนักงานลาออกพ้นสภาพ'!B330</f>
        <v/>
      </c>
      <c r="C1348" s="35" t="str">
        <f>'รายชื่อพนักงานลาออกพ้นสภาพ'!C330</f>
        <v/>
      </c>
      <c r="D1348" s="35" t="str">
        <f>'รายชื่อพนักงานลาออกพ้นสภาพ'!D330</f>
        <v/>
      </c>
      <c r="E1348" s="35" t="str">
        <f>'รายชื่อพนักงานลาออกพ้นสภาพ'!E330</f>
        <v/>
      </c>
      <c r="F1348" s="40" t="str">
        <f>'รายชื่อพนักงานลาออกพ้นสภาพ'!H330</f>
        <v/>
      </c>
      <c r="G1348" s="33"/>
      <c r="H1348" s="33"/>
      <c r="I1348" s="33"/>
      <c r="J1348" s="33"/>
      <c r="K1348" s="35"/>
      <c r="L1348" s="35"/>
      <c r="M1348" s="35"/>
      <c r="N1348" s="35"/>
      <c r="O1348" s="35"/>
      <c r="P1348" s="35"/>
      <c r="Q1348" s="35"/>
      <c r="R1348" s="35"/>
      <c r="S1348" s="35"/>
      <c r="T1348" s="35"/>
      <c r="U1348" s="35"/>
      <c r="V1348" s="35"/>
      <c r="W1348" s="35"/>
      <c r="X1348" s="35"/>
      <c r="Y1348" s="35"/>
      <c r="Z1348" s="35"/>
      <c r="AA1348" s="35"/>
      <c r="AB1348" s="35"/>
      <c r="AC1348" s="35"/>
      <c r="AD1348" s="35"/>
      <c r="AE1348" s="35"/>
    </row>
    <row r="1349">
      <c r="A1349" s="30"/>
      <c r="B1349" s="35" t="str">
        <f>'รายชื่อพนักงานลาออกพ้นสภาพ'!B331</f>
        <v/>
      </c>
      <c r="C1349" s="35" t="str">
        <f>'รายชื่อพนักงานลาออกพ้นสภาพ'!C331</f>
        <v/>
      </c>
      <c r="D1349" s="35" t="str">
        <f>'รายชื่อพนักงานลาออกพ้นสภาพ'!D331</f>
        <v/>
      </c>
      <c r="E1349" s="35" t="str">
        <f>'รายชื่อพนักงานลาออกพ้นสภาพ'!E331</f>
        <v/>
      </c>
      <c r="F1349" s="40" t="str">
        <f>'รายชื่อพนักงานลาออกพ้นสภาพ'!H331</f>
        <v/>
      </c>
      <c r="G1349" s="33"/>
      <c r="H1349" s="33"/>
      <c r="I1349" s="33"/>
      <c r="J1349" s="33"/>
      <c r="K1349" s="35"/>
      <c r="L1349" s="35"/>
      <c r="M1349" s="35"/>
      <c r="N1349" s="35"/>
      <c r="O1349" s="35"/>
      <c r="P1349" s="35"/>
      <c r="Q1349" s="35"/>
      <c r="R1349" s="35"/>
      <c r="S1349" s="35"/>
      <c r="T1349" s="35"/>
      <c r="U1349" s="35"/>
      <c r="V1349" s="35"/>
      <c r="W1349" s="35"/>
      <c r="X1349" s="35"/>
      <c r="Y1349" s="35"/>
      <c r="Z1349" s="35"/>
      <c r="AA1349" s="35"/>
      <c r="AB1349" s="35"/>
      <c r="AC1349" s="35"/>
      <c r="AD1349" s="35"/>
      <c r="AE1349" s="35"/>
    </row>
    <row r="1350">
      <c r="A1350" s="30"/>
      <c r="B1350" s="35" t="str">
        <f>'รายชื่อพนักงานลาออกพ้นสภาพ'!B332</f>
        <v/>
      </c>
      <c r="C1350" s="35" t="str">
        <f>'รายชื่อพนักงานลาออกพ้นสภาพ'!C332</f>
        <v/>
      </c>
      <c r="D1350" s="35" t="str">
        <f>'รายชื่อพนักงานลาออกพ้นสภาพ'!D332</f>
        <v/>
      </c>
      <c r="E1350" s="35" t="str">
        <f>'รายชื่อพนักงานลาออกพ้นสภาพ'!E332</f>
        <v/>
      </c>
      <c r="F1350" s="40" t="str">
        <f>'รายชื่อพนักงานลาออกพ้นสภาพ'!H332</f>
        <v/>
      </c>
      <c r="G1350" s="33"/>
      <c r="H1350" s="33"/>
      <c r="I1350" s="33"/>
      <c r="J1350" s="33"/>
      <c r="K1350" s="35"/>
      <c r="L1350" s="35"/>
      <c r="M1350" s="35"/>
      <c r="N1350" s="35"/>
      <c r="O1350" s="35"/>
      <c r="P1350" s="35"/>
      <c r="Q1350" s="35"/>
      <c r="R1350" s="35"/>
      <c r="S1350" s="35"/>
      <c r="T1350" s="35"/>
      <c r="U1350" s="35"/>
      <c r="V1350" s="35"/>
      <c r="W1350" s="35"/>
      <c r="X1350" s="35"/>
      <c r="Y1350" s="35"/>
      <c r="Z1350" s="35"/>
      <c r="AA1350" s="35"/>
      <c r="AB1350" s="35"/>
      <c r="AC1350" s="35"/>
      <c r="AD1350" s="35"/>
      <c r="AE1350" s="35"/>
    </row>
    <row r="1351">
      <c r="A1351" s="30"/>
      <c r="B1351" s="35" t="str">
        <f>'รายชื่อพนักงานลาออกพ้นสภาพ'!B333</f>
        <v/>
      </c>
      <c r="C1351" s="35" t="str">
        <f>'รายชื่อพนักงานลาออกพ้นสภาพ'!C333</f>
        <v/>
      </c>
      <c r="D1351" s="35" t="str">
        <f>'รายชื่อพนักงานลาออกพ้นสภาพ'!D333</f>
        <v/>
      </c>
      <c r="E1351" s="35" t="str">
        <f>'รายชื่อพนักงานลาออกพ้นสภาพ'!E333</f>
        <v/>
      </c>
      <c r="F1351" s="40" t="str">
        <f>'รายชื่อพนักงานลาออกพ้นสภาพ'!H333</f>
        <v/>
      </c>
      <c r="G1351" s="33"/>
      <c r="H1351" s="33"/>
      <c r="I1351" s="33"/>
      <c r="J1351" s="33"/>
      <c r="K1351" s="35"/>
      <c r="L1351" s="35"/>
      <c r="M1351" s="35"/>
      <c r="N1351" s="35"/>
      <c r="O1351" s="35"/>
      <c r="P1351" s="35"/>
      <c r="Q1351" s="35"/>
      <c r="R1351" s="35"/>
      <c r="S1351" s="35"/>
      <c r="T1351" s="35"/>
      <c r="U1351" s="35"/>
      <c r="V1351" s="35"/>
      <c r="W1351" s="35"/>
      <c r="X1351" s="35"/>
      <c r="Y1351" s="35"/>
      <c r="Z1351" s="35"/>
      <c r="AA1351" s="35"/>
      <c r="AB1351" s="35"/>
      <c r="AC1351" s="35"/>
      <c r="AD1351" s="35"/>
      <c r="AE1351" s="35"/>
    </row>
    <row r="1352">
      <c r="A1352" s="30"/>
      <c r="B1352" s="35" t="str">
        <f>'รายชื่อพนักงานลาออกพ้นสภาพ'!B334</f>
        <v/>
      </c>
      <c r="C1352" s="35" t="str">
        <f>'รายชื่อพนักงานลาออกพ้นสภาพ'!C334</f>
        <v/>
      </c>
      <c r="D1352" s="35" t="str">
        <f>'รายชื่อพนักงานลาออกพ้นสภาพ'!D334</f>
        <v/>
      </c>
      <c r="E1352" s="35" t="str">
        <f>'รายชื่อพนักงานลาออกพ้นสภาพ'!E334</f>
        <v/>
      </c>
      <c r="F1352" s="40" t="str">
        <f>'รายชื่อพนักงานลาออกพ้นสภาพ'!H334</f>
        <v/>
      </c>
      <c r="G1352" s="33"/>
      <c r="H1352" s="33"/>
      <c r="I1352" s="33"/>
      <c r="J1352" s="33"/>
      <c r="K1352" s="35"/>
      <c r="L1352" s="35"/>
      <c r="M1352" s="35"/>
      <c r="N1352" s="35"/>
      <c r="O1352" s="35"/>
      <c r="P1352" s="35"/>
      <c r="Q1352" s="35"/>
      <c r="R1352" s="35"/>
      <c r="S1352" s="35"/>
      <c r="T1352" s="35"/>
      <c r="U1352" s="35"/>
      <c r="V1352" s="35"/>
      <c r="W1352" s="35"/>
      <c r="X1352" s="35"/>
      <c r="Y1352" s="35"/>
      <c r="Z1352" s="35"/>
      <c r="AA1352" s="35"/>
      <c r="AB1352" s="35"/>
      <c r="AC1352" s="35"/>
      <c r="AD1352" s="35"/>
      <c r="AE1352" s="35"/>
    </row>
    <row r="1353">
      <c r="A1353" s="30"/>
      <c r="B1353" s="35" t="str">
        <f>'รายชื่อพนักงานลาออกพ้นสภาพ'!B335</f>
        <v/>
      </c>
      <c r="C1353" s="35" t="str">
        <f>'รายชื่อพนักงานลาออกพ้นสภาพ'!C335</f>
        <v/>
      </c>
      <c r="D1353" s="35" t="str">
        <f>'รายชื่อพนักงานลาออกพ้นสภาพ'!D335</f>
        <v/>
      </c>
      <c r="E1353" s="35" t="str">
        <f>'รายชื่อพนักงานลาออกพ้นสภาพ'!E335</f>
        <v/>
      </c>
      <c r="F1353" s="40" t="str">
        <f>'รายชื่อพนักงานลาออกพ้นสภาพ'!H335</f>
        <v/>
      </c>
      <c r="G1353" s="33"/>
      <c r="H1353" s="33"/>
      <c r="I1353" s="33"/>
      <c r="J1353" s="33"/>
      <c r="K1353" s="35"/>
      <c r="L1353" s="35"/>
      <c r="M1353" s="35"/>
      <c r="N1353" s="35"/>
      <c r="O1353" s="35"/>
      <c r="P1353" s="35"/>
      <c r="Q1353" s="35"/>
      <c r="R1353" s="35"/>
      <c r="S1353" s="35"/>
      <c r="T1353" s="35"/>
      <c r="U1353" s="35"/>
      <c r="V1353" s="35"/>
      <c r="W1353" s="35"/>
      <c r="X1353" s="35"/>
      <c r="Y1353" s="35"/>
      <c r="Z1353" s="35"/>
      <c r="AA1353" s="35"/>
      <c r="AB1353" s="35"/>
      <c r="AC1353" s="35"/>
      <c r="AD1353" s="35"/>
      <c r="AE1353" s="35"/>
    </row>
    <row r="1354">
      <c r="A1354" s="30"/>
      <c r="B1354" s="35" t="str">
        <f>'รายชื่อพนักงานลาออกพ้นสภาพ'!B336</f>
        <v/>
      </c>
      <c r="C1354" s="35" t="str">
        <f>'รายชื่อพนักงานลาออกพ้นสภาพ'!C336</f>
        <v/>
      </c>
      <c r="D1354" s="35" t="str">
        <f>'รายชื่อพนักงานลาออกพ้นสภาพ'!D336</f>
        <v/>
      </c>
      <c r="E1354" s="35" t="str">
        <f>'รายชื่อพนักงานลาออกพ้นสภาพ'!E336</f>
        <v/>
      </c>
      <c r="F1354" s="40" t="str">
        <f>'รายชื่อพนักงานลาออกพ้นสภาพ'!H336</f>
        <v/>
      </c>
      <c r="G1354" s="33"/>
      <c r="H1354" s="33"/>
      <c r="I1354" s="33"/>
      <c r="J1354" s="33"/>
      <c r="K1354" s="35"/>
      <c r="L1354" s="35"/>
      <c r="M1354" s="35"/>
      <c r="N1354" s="35"/>
      <c r="O1354" s="35"/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5"/>
      <c r="AA1354" s="35"/>
      <c r="AB1354" s="35"/>
      <c r="AC1354" s="35"/>
      <c r="AD1354" s="35"/>
      <c r="AE1354" s="35"/>
    </row>
    <row r="1355">
      <c r="A1355" s="30"/>
      <c r="B1355" s="35" t="str">
        <f>'รายชื่อพนักงานลาออกพ้นสภาพ'!B337</f>
        <v/>
      </c>
      <c r="C1355" s="35" t="str">
        <f>'รายชื่อพนักงานลาออกพ้นสภาพ'!C337</f>
        <v/>
      </c>
      <c r="D1355" s="35" t="str">
        <f>'รายชื่อพนักงานลาออกพ้นสภาพ'!D337</f>
        <v/>
      </c>
      <c r="E1355" s="35" t="str">
        <f>'รายชื่อพนักงานลาออกพ้นสภาพ'!E337</f>
        <v/>
      </c>
      <c r="F1355" s="40" t="str">
        <f>'รายชื่อพนักงานลาออกพ้นสภาพ'!H337</f>
        <v/>
      </c>
      <c r="G1355" s="33"/>
      <c r="H1355" s="33"/>
      <c r="I1355" s="33"/>
      <c r="J1355" s="33"/>
      <c r="K1355" s="35"/>
      <c r="L1355" s="35"/>
      <c r="M1355" s="35"/>
      <c r="N1355" s="35"/>
      <c r="O1355" s="35"/>
      <c r="P1355" s="35"/>
      <c r="Q1355" s="35"/>
      <c r="R1355" s="35"/>
      <c r="S1355" s="35"/>
      <c r="T1355" s="35"/>
      <c r="U1355" s="35"/>
      <c r="V1355" s="35"/>
      <c r="W1355" s="35"/>
      <c r="X1355" s="35"/>
      <c r="Y1355" s="35"/>
      <c r="Z1355" s="35"/>
      <c r="AA1355" s="35"/>
      <c r="AB1355" s="35"/>
      <c r="AC1355" s="35"/>
      <c r="AD1355" s="35"/>
      <c r="AE1355" s="35"/>
    </row>
    <row r="1356">
      <c r="A1356" s="30"/>
      <c r="B1356" s="35" t="str">
        <f>'รายชื่อพนักงานลาออกพ้นสภาพ'!B338</f>
        <v/>
      </c>
      <c r="C1356" s="35" t="str">
        <f>'รายชื่อพนักงานลาออกพ้นสภาพ'!C338</f>
        <v/>
      </c>
      <c r="D1356" s="35" t="str">
        <f>'รายชื่อพนักงานลาออกพ้นสภาพ'!D338</f>
        <v/>
      </c>
      <c r="E1356" s="35" t="str">
        <f>'รายชื่อพนักงานลาออกพ้นสภาพ'!E338</f>
        <v/>
      </c>
      <c r="F1356" s="40" t="str">
        <f>'รายชื่อพนักงานลาออกพ้นสภาพ'!H338</f>
        <v/>
      </c>
      <c r="G1356" s="33"/>
      <c r="H1356" s="33"/>
      <c r="I1356" s="33"/>
      <c r="J1356" s="33"/>
      <c r="K1356" s="35"/>
      <c r="L1356" s="35"/>
      <c r="M1356" s="35"/>
      <c r="N1356" s="35"/>
      <c r="O1356" s="35"/>
      <c r="P1356" s="35"/>
      <c r="Q1356" s="35"/>
      <c r="R1356" s="35"/>
      <c r="S1356" s="35"/>
      <c r="T1356" s="35"/>
      <c r="U1356" s="35"/>
      <c r="V1356" s="35"/>
      <c r="W1356" s="35"/>
      <c r="X1356" s="35"/>
      <c r="Y1356" s="35"/>
      <c r="Z1356" s="35"/>
      <c r="AA1356" s="35"/>
      <c r="AB1356" s="35"/>
      <c r="AC1356" s="35"/>
      <c r="AD1356" s="35"/>
      <c r="AE1356" s="35"/>
    </row>
    <row r="1357">
      <c r="A1357" s="30"/>
      <c r="B1357" s="35" t="str">
        <f>'รายชื่อพนักงานลาออกพ้นสภาพ'!B339</f>
        <v/>
      </c>
      <c r="C1357" s="35" t="str">
        <f>'รายชื่อพนักงานลาออกพ้นสภาพ'!C339</f>
        <v/>
      </c>
      <c r="D1357" s="35" t="str">
        <f>'รายชื่อพนักงานลาออกพ้นสภาพ'!D339</f>
        <v/>
      </c>
      <c r="E1357" s="35" t="str">
        <f>'รายชื่อพนักงานลาออกพ้นสภาพ'!E339</f>
        <v/>
      </c>
      <c r="F1357" s="40" t="str">
        <f>'รายชื่อพนักงานลาออกพ้นสภาพ'!H339</f>
        <v/>
      </c>
      <c r="G1357" s="33"/>
      <c r="H1357" s="33"/>
      <c r="I1357" s="33"/>
      <c r="J1357" s="33"/>
      <c r="K1357" s="35"/>
      <c r="L1357" s="35"/>
      <c r="M1357" s="35"/>
      <c r="N1357" s="35"/>
      <c r="O1357" s="35"/>
      <c r="P1357" s="35"/>
      <c r="Q1357" s="35"/>
      <c r="R1357" s="35"/>
      <c r="S1357" s="35"/>
      <c r="T1357" s="35"/>
      <c r="U1357" s="35"/>
      <c r="V1357" s="35"/>
      <c r="W1357" s="35"/>
      <c r="X1357" s="35"/>
      <c r="Y1357" s="35"/>
      <c r="Z1357" s="35"/>
      <c r="AA1357" s="35"/>
      <c r="AB1357" s="35"/>
      <c r="AC1357" s="35"/>
      <c r="AD1357" s="35"/>
      <c r="AE1357" s="35"/>
    </row>
    <row r="1358">
      <c r="A1358" s="30"/>
      <c r="B1358" s="35" t="str">
        <f>'รายชื่อพนักงานลาออกพ้นสภาพ'!B340</f>
        <v/>
      </c>
      <c r="C1358" s="35" t="str">
        <f>'รายชื่อพนักงานลาออกพ้นสภาพ'!C340</f>
        <v/>
      </c>
      <c r="D1358" s="35" t="str">
        <f>'รายชื่อพนักงานลาออกพ้นสภาพ'!D340</f>
        <v/>
      </c>
      <c r="E1358" s="35" t="str">
        <f>'รายชื่อพนักงานลาออกพ้นสภาพ'!E340</f>
        <v/>
      </c>
      <c r="F1358" s="40" t="str">
        <f>'รายชื่อพนักงานลาออกพ้นสภาพ'!H340</f>
        <v/>
      </c>
      <c r="G1358" s="33"/>
      <c r="H1358" s="33"/>
      <c r="I1358" s="33"/>
      <c r="J1358" s="33"/>
      <c r="K1358" s="35"/>
      <c r="L1358" s="35"/>
      <c r="M1358" s="35"/>
      <c r="N1358" s="35"/>
      <c r="O1358" s="35"/>
      <c r="P1358" s="35"/>
      <c r="Q1358" s="35"/>
      <c r="R1358" s="35"/>
      <c r="S1358" s="35"/>
      <c r="T1358" s="35"/>
      <c r="U1358" s="35"/>
      <c r="V1358" s="35"/>
      <c r="W1358" s="35"/>
      <c r="X1358" s="35"/>
      <c r="Y1358" s="35"/>
      <c r="Z1358" s="35"/>
      <c r="AA1358" s="35"/>
      <c r="AB1358" s="35"/>
      <c r="AC1358" s="35"/>
      <c r="AD1358" s="35"/>
      <c r="AE1358" s="35"/>
    </row>
    <row r="1359">
      <c r="A1359" s="30"/>
      <c r="B1359" s="35" t="str">
        <f>'รายชื่อพนักงานลาออกพ้นสภาพ'!B341</f>
        <v/>
      </c>
      <c r="C1359" s="35" t="str">
        <f>'รายชื่อพนักงานลาออกพ้นสภาพ'!C341</f>
        <v/>
      </c>
      <c r="D1359" s="35" t="str">
        <f>'รายชื่อพนักงานลาออกพ้นสภาพ'!D341</f>
        <v/>
      </c>
      <c r="E1359" s="35" t="str">
        <f>'รายชื่อพนักงานลาออกพ้นสภาพ'!E341</f>
        <v/>
      </c>
      <c r="F1359" s="40" t="str">
        <f>'รายชื่อพนักงานลาออกพ้นสภาพ'!H341</f>
        <v/>
      </c>
      <c r="G1359" s="33"/>
      <c r="H1359" s="33"/>
      <c r="I1359" s="33"/>
      <c r="J1359" s="33"/>
      <c r="K1359" s="35"/>
      <c r="L1359" s="35"/>
      <c r="M1359" s="35"/>
      <c r="N1359" s="35"/>
      <c r="O1359" s="35"/>
      <c r="P1359" s="35"/>
      <c r="Q1359" s="35"/>
      <c r="R1359" s="35"/>
      <c r="S1359" s="35"/>
      <c r="T1359" s="35"/>
      <c r="U1359" s="35"/>
      <c r="V1359" s="35"/>
      <c r="W1359" s="35"/>
      <c r="X1359" s="35"/>
      <c r="Y1359" s="35"/>
      <c r="Z1359" s="35"/>
      <c r="AA1359" s="35"/>
      <c r="AB1359" s="35"/>
      <c r="AC1359" s="35"/>
      <c r="AD1359" s="35"/>
      <c r="AE1359" s="35"/>
    </row>
    <row r="1360">
      <c r="A1360" s="30"/>
      <c r="B1360" s="35" t="str">
        <f>'รายชื่อพนักงานลาออกพ้นสภาพ'!B342</f>
        <v/>
      </c>
      <c r="C1360" s="35" t="str">
        <f>'รายชื่อพนักงานลาออกพ้นสภาพ'!C342</f>
        <v/>
      </c>
      <c r="D1360" s="35" t="str">
        <f>'รายชื่อพนักงานลาออกพ้นสภาพ'!D342</f>
        <v/>
      </c>
      <c r="E1360" s="35" t="str">
        <f>'รายชื่อพนักงานลาออกพ้นสภาพ'!E342</f>
        <v/>
      </c>
      <c r="F1360" s="40" t="str">
        <f>'รายชื่อพนักงานลาออกพ้นสภาพ'!H342</f>
        <v/>
      </c>
      <c r="G1360" s="33"/>
      <c r="H1360" s="33"/>
      <c r="I1360" s="33"/>
      <c r="J1360" s="33"/>
      <c r="K1360" s="35"/>
      <c r="L1360" s="35"/>
      <c r="M1360" s="35"/>
      <c r="N1360" s="35"/>
      <c r="O1360" s="35"/>
      <c r="P1360" s="35"/>
      <c r="Q1360" s="35"/>
      <c r="R1360" s="35"/>
      <c r="S1360" s="35"/>
      <c r="T1360" s="35"/>
      <c r="U1360" s="35"/>
      <c r="V1360" s="35"/>
      <c r="W1360" s="35"/>
      <c r="X1360" s="35"/>
      <c r="Y1360" s="35"/>
      <c r="Z1360" s="35"/>
      <c r="AA1360" s="35"/>
      <c r="AB1360" s="35"/>
      <c r="AC1360" s="35"/>
      <c r="AD1360" s="35"/>
      <c r="AE1360" s="35"/>
    </row>
    <row r="1361">
      <c r="A1361" s="30"/>
      <c r="B1361" s="35" t="str">
        <f>'รายชื่อพนักงานลาออกพ้นสภาพ'!B343</f>
        <v/>
      </c>
      <c r="C1361" s="35" t="str">
        <f>'รายชื่อพนักงานลาออกพ้นสภาพ'!C343</f>
        <v/>
      </c>
      <c r="D1361" s="35" t="str">
        <f>'รายชื่อพนักงานลาออกพ้นสภาพ'!D343</f>
        <v/>
      </c>
      <c r="E1361" s="35" t="str">
        <f>'รายชื่อพนักงานลาออกพ้นสภาพ'!E343</f>
        <v/>
      </c>
      <c r="F1361" s="40" t="str">
        <f>'รายชื่อพนักงานลาออกพ้นสภาพ'!H343</f>
        <v/>
      </c>
      <c r="G1361" s="33"/>
      <c r="H1361" s="33"/>
      <c r="I1361" s="33"/>
      <c r="J1361" s="33"/>
      <c r="K1361" s="35"/>
      <c r="L1361" s="35"/>
      <c r="M1361" s="35"/>
      <c r="N1361" s="35"/>
      <c r="O1361" s="35"/>
      <c r="P1361" s="35"/>
      <c r="Q1361" s="35"/>
      <c r="R1361" s="35"/>
      <c r="S1361" s="35"/>
      <c r="T1361" s="35"/>
      <c r="U1361" s="35"/>
      <c r="V1361" s="35"/>
      <c r="W1361" s="35"/>
      <c r="X1361" s="35"/>
      <c r="Y1361" s="35"/>
      <c r="Z1361" s="35"/>
      <c r="AA1361" s="35"/>
      <c r="AB1361" s="35"/>
      <c r="AC1361" s="35"/>
      <c r="AD1361" s="35"/>
      <c r="AE1361" s="35"/>
    </row>
    <row r="1362">
      <c r="A1362" s="30"/>
      <c r="B1362" s="35" t="str">
        <f>'รายชื่อพนักงานลาออกพ้นสภาพ'!B344</f>
        <v/>
      </c>
      <c r="C1362" s="35" t="str">
        <f>'รายชื่อพนักงานลาออกพ้นสภาพ'!C344</f>
        <v/>
      </c>
      <c r="D1362" s="35" t="str">
        <f>'รายชื่อพนักงานลาออกพ้นสภาพ'!D344</f>
        <v/>
      </c>
      <c r="E1362" s="35" t="str">
        <f>'รายชื่อพนักงานลาออกพ้นสภาพ'!E344</f>
        <v/>
      </c>
      <c r="F1362" s="40" t="str">
        <f>'รายชื่อพนักงานลาออกพ้นสภาพ'!H344</f>
        <v/>
      </c>
      <c r="G1362" s="33"/>
      <c r="H1362" s="33"/>
      <c r="I1362" s="33"/>
      <c r="J1362" s="33"/>
      <c r="K1362" s="35"/>
      <c r="L1362" s="35"/>
      <c r="M1362" s="35"/>
      <c r="N1362" s="35"/>
      <c r="O1362" s="35"/>
      <c r="P1362" s="35"/>
      <c r="Q1362" s="35"/>
      <c r="R1362" s="35"/>
      <c r="S1362" s="35"/>
      <c r="T1362" s="35"/>
      <c r="U1362" s="35"/>
      <c r="V1362" s="35"/>
      <c r="W1362" s="35"/>
      <c r="X1362" s="35"/>
      <c r="Y1362" s="35"/>
      <c r="Z1362" s="35"/>
      <c r="AA1362" s="35"/>
      <c r="AB1362" s="35"/>
      <c r="AC1362" s="35"/>
      <c r="AD1362" s="35"/>
      <c r="AE1362" s="35"/>
    </row>
    <row r="1363">
      <c r="A1363" s="30"/>
      <c r="B1363" s="35" t="str">
        <f>'รายชื่อพนักงานลาออกพ้นสภาพ'!B345</f>
        <v/>
      </c>
      <c r="C1363" s="35" t="str">
        <f>'รายชื่อพนักงานลาออกพ้นสภาพ'!C345</f>
        <v/>
      </c>
      <c r="D1363" s="35" t="str">
        <f>'รายชื่อพนักงานลาออกพ้นสภาพ'!D345</f>
        <v/>
      </c>
      <c r="E1363" s="35" t="str">
        <f>'รายชื่อพนักงานลาออกพ้นสภาพ'!E345</f>
        <v/>
      </c>
      <c r="F1363" s="40" t="str">
        <f>'รายชื่อพนักงานลาออกพ้นสภาพ'!H345</f>
        <v/>
      </c>
      <c r="G1363" s="33"/>
      <c r="H1363" s="33"/>
      <c r="I1363" s="33"/>
      <c r="J1363" s="33"/>
      <c r="K1363" s="35"/>
      <c r="L1363" s="35"/>
      <c r="M1363" s="35"/>
      <c r="N1363" s="35"/>
      <c r="O1363" s="35"/>
      <c r="P1363" s="35"/>
      <c r="Q1363" s="35"/>
      <c r="R1363" s="35"/>
      <c r="S1363" s="35"/>
      <c r="T1363" s="35"/>
      <c r="U1363" s="35"/>
      <c r="V1363" s="35"/>
      <c r="W1363" s="35"/>
      <c r="X1363" s="35"/>
      <c r="Y1363" s="35"/>
      <c r="Z1363" s="35"/>
      <c r="AA1363" s="35"/>
      <c r="AB1363" s="35"/>
      <c r="AC1363" s="35"/>
      <c r="AD1363" s="35"/>
      <c r="AE1363" s="35"/>
    </row>
    <row r="1364">
      <c r="A1364" s="30"/>
      <c r="B1364" s="35" t="str">
        <f>'รายชื่อพนักงานลาออกพ้นสภาพ'!B346</f>
        <v/>
      </c>
      <c r="C1364" s="35" t="str">
        <f>'รายชื่อพนักงานลาออกพ้นสภาพ'!C346</f>
        <v/>
      </c>
      <c r="D1364" s="35" t="str">
        <f>'รายชื่อพนักงานลาออกพ้นสภาพ'!D346</f>
        <v/>
      </c>
      <c r="E1364" s="35" t="str">
        <f>'รายชื่อพนักงานลาออกพ้นสภาพ'!E346</f>
        <v/>
      </c>
      <c r="F1364" s="40" t="str">
        <f>'รายชื่อพนักงานลาออกพ้นสภาพ'!H346</f>
        <v/>
      </c>
      <c r="G1364" s="33"/>
      <c r="H1364" s="33"/>
      <c r="I1364" s="33"/>
      <c r="J1364" s="33"/>
      <c r="K1364" s="35"/>
      <c r="L1364" s="35"/>
      <c r="M1364" s="35"/>
      <c r="N1364" s="35"/>
      <c r="O1364" s="35"/>
      <c r="P1364" s="35"/>
      <c r="Q1364" s="35"/>
      <c r="R1364" s="35"/>
      <c r="S1364" s="35"/>
      <c r="T1364" s="35"/>
      <c r="U1364" s="35"/>
      <c r="V1364" s="35"/>
      <c r="W1364" s="35"/>
      <c r="X1364" s="35"/>
      <c r="Y1364" s="35"/>
      <c r="Z1364" s="35"/>
      <c r="AA1364" s="35"/>
      <c r="AB1364" s="35"/>
      <c r="AC1364" s="35"/>
      <c r="AD1364" s="35"/>
      <c r="AE1364" s="35"/>
    </row>
    <row r="1365">
      <c r="A1365" s="30"/>
      <c r="B1365" s="35" t="str">
        <f>'รายชื่อพนักงานลาออกพ้นสภาพ'!B347</f>
        <v/>
      </c>
      <c r="C1365" s="35" t="str">
        <f>'รายชื่อพนักงานลาออกพ้นสภาพ'!C347</f>
        <v/>
      </c>
      <c r="D1365" s="35" t="str">
        <f>'รายชื่อพนักงานลาออกพ้นสภาพ'!D347</f>
        <v/>
      </c>
      <c r="E1365" s="35" t="str">
        <f>'รายชื่อพนักงานลาออกพ้นสภาพ'!E347</f>
        <v/>
      </c>
      <c r="F1365" s="40" t="str">
        <f>'รายชื่อพนักงานลาออกพ้นสภาพ'!H347</f>
        <v/>
      </c>
      <c r="G1365" s="33"/>
      <c r="H1365" s="33"/>
      <c r="I1365" s="33"/>
      <c r="J1365" s="33"/>
      <c r="K1365" s="35"/>
      <c r="L1365" s="35"/>
      <c r="M1365" s="35"/>
      <c r="N1365" s="35"/>
      <c r="O1365" s="35"/>
      <c r="P1365" s="35"/>
      <c r="Q1365" s="35"/>
      <c r="R1365" s="35"/>
      <c r="S1365" s="35"/>
      <c r="T1365" s="35"/>
      <c r="U1365" s="35"/>
      <c r="V1365" s="35"/>
      <c r="W1365" s="35"/>
      <c r="X1365" s="35"/>
      <c r="Y1365" s="35"/>
      <c r="Z1365" s="35"/>
      <c r="AA1365" s="35"/>
      <c r="AB1365" s="35"/>
      <c r="AC1365" s="35"/>
      <c r="AD1365" s="35"/>
      <c r="AE1365" s="35"/>
    </row>
    <row r="1366">
      <c r="A1366" s="30"/>
      <c r="B1366" s="35" t="str">
        <f>'รายชื่อพนักงานลาออกพ้นสภาพ'!B348</f>
        <v/>
      </c>
      <c r="C1366" s="35" t="str">
        <f>'รายชื่อพนักงานลาออกพ้นสภาพ'!C348</f>
        <v/>
      </c>
      <c r="D1366" s="35" t="str">
        <f>'รายชื่อพนักงานลาออกพ้นสภาพ'!D348</f>
        <v/>
      </c>
      <c r="E1366" s="35" t="str">
        <f>'รายชื่อพนักงานลาออกพ้นสภาพ'!E348</f>
        <v/>
      </c>
      <c r="F1366" s="40" t="str">
        <f>'รายชื่อพนักงานลาออกพ้นสภาพ'!H348</f>
        <v/>
      </c>
      <c r="G1366" s="33"/>
      <c r="H1366" s="33"/>
      <c r="I1366" s="33"/>
      <c r="J1366" s="33"/>
      <c r="K1366" s="35"/>
      <c r="L1366" s="35"/>
      <c r="M1366" s="35"/>
      <c r="N1366" s="35"/>
      <c r="O1366" s="35"/>
      <c r="P1366" s="35"/>
      <c r="Q1366" s="35"/>
      <c r="R1366" s="35"/>
      <c r="S1366" s="35"/>
      <c r="T1366" s="35"/>
      <c r="U1366" s="35"/>
      <c r="V1366" s="35"/>
      <c r="W1366" s="35"/>
      <c r="X1366" s="35"/>
      <c r="Y1366" s="35"/>
      <c r="Z1366" s="35"/>
      <c r="AA1366" s="35"/>
      <c r="AB1366" s="35"/>
      <c r="AC1366" s="35"/>
      <c r="AD1366" s="35"/>
      <c r="AE1366" s="35"/>
    </row>
    <row r="1367">
      <c r="A1367" s="30"/>
      <c r="B1367" s="35" t="str">
        <f>'รายชื่อพนักงานลาออกพ้นสภาพ'!B349</f>
        <v/>
      </c>
      <c r="C1367" s="35" t="str">
        <f>'รายชื่อพนักงานลาออกพ้นสภาพ'!C349</f>
        <v/>
      </c>
      <c r="D1367" s="35" t="str">
        <f>'รายชื่อพนักงานลาออกพ้นสภาพ'!D349</f>
        <v/>
      </c>
      <c r="E1367" s="35" t="str">
        <f>'รายชื่อพนักงานลาออกพ้นสภาพ'!E349</f>
        <v/>
      </c>
      <c r="F1367" s="40" t="str">
        <f>'รายชื่อพนักงานลาออกพ้นสภาพ'!H349</f>
        <v/>
      </c>
      <c r="G1367" s="33"/>
      <c r="H1367" s="33"/>
      <c r="I1367" s="33"/>
      <c r="J1367" s="33"/>
      <c r="K1367" s="35"/>
      <c r="L1367" s="35"/>
      <c r="M1367" s="35"/>
      <c r="N1367" s="35"/>
      <c r="O1367" s="35"/>
      <c r="P1367" s="35"/>
      <c r="Q1367" s="35"/>
      <c r="R1367" s="35"/>
      <c r="S1367" s="35"/>
      <c r="T1367" s="35"/>
      <c r="U1367" s="35"/>
      <c r="V1367" s="35"/>
      <c r="W1367" s="35"/>
      <c r="X1367" s="35"/>
      <c r="Y1367" s="35"/>
      <c r="Z1367" s="35"/>
      <c r="AA1367" s="35"/>
      <c r="AB1367" s="35"/>
      <c r="AC1367" s="35"/>
      <c r="AD1367" s="35"/>
      <c r="AE1367" s="35"/>
    </row>
    <row r="1368">
      <c r="A1368" s="30"/>
      <c r="B1368" s="35" t="str">
        <f>'รายชื่อพนักงานลาออกพ้นสภาพ'!B350</f>
        <v/>
      </c>
      <c r="C1368" s="35" t="str">
        <f>'รายชื่อพนักงานลาออกพ้นสภาพ'!C350</f>
        <v/>
      </c>
      <c r="D1368" s="35" t="str">
        <f>'รายชื่อพนักงานลาออกพ้นสภาพ'!D350</f>
        <v/>
      </c>
      <c r="E1368" s="35" t="str">
        <f>'รายชื่อพนักงานลาออกพ้นสภาพ'!E350</f>
        <v/>
      </c>
      <c r="F1368" s="40" t="str">
        <f>'รายชื่อพนักงานลาออกพ้นสภาพ'!H350</f>
        <v/>
      </c>
      <c r="G1368" s="33"/>
      <c r="H1368" s="33"/>
      <c r="I1368" s="33"/>
      <c r="J1368" s="33"/>
      <c r="K1368" s="35"/>
      <c r="L1368" s="35"/>
      <c r="M1368" s="35"/>
      <c r="N1368" s="35"/>
      <c r="O1368" s="35"/>
      <c r="P1368" s="35"/>
      <c r="Q1368" s="35"/>
      <c r="R1368" s="35"/>
      <c r="S1368" s="35"/>
      <c r="T1368" s="35"/>
      <c r="U1368" s="35"/>
      <c r="V1368" s="35"/>
      <c r="W1368" s="35"/>
      <c r="X1368" s="35"/>
      <c r="Y1368" s="35"/>
      <c r="Z1368" s="35"/>
      <c r="AA1368" s="35"/>
      <c r="AB1368" s="35"/>
      <c r="AC1368" s="35"/>
      <c r="AD1368" s="35"/>
      <c r="AE1368" s="35"/>
    </row>
    <row r="1369">
      <c r="A1369" s="30"/>
      <c r="B1369" s="35" t="str">
        <f>'รายชื่อพนักงานลาออกพ้นสภาพ'!B351</f>
        <v/>
      </c>
      <c r="C1369" s="35" t="str">
        <f>'รายชื่อพนักงานลาออกพ้นสภาพ'!C351</f>
        <v/>
      </c>
      <c r="D1369" s="35" t="str">
        <f>'รายชื่อพนักงานลาออกพ้นสภาพ'!D351</f>
        <v/>
      </c>
      <c r="E1369" s="35" t="str">
        <f>'รายชื่อพนักงานลาออกพ้นสภาพ'!E351</f>
        <v/>
      </c>
      <c r="F1369" s="40" t="str">
        <f>'รายชื่อพนักงานลาออกพ้นสภาพ'!H351</f>
        <v/>
      </c>
      <c r="G1369" s="33"/>
      <c r="H1369" s="33"/>
      <c r="I1369" s="33"/>
      <c r="J1369" s="33"/>
      <c r="K1369" s="35"/>
      <c r="L1369" s="35"/>
      <c r="M1369" s="35"/>
      <c r="N1369" s="35"/>
      <c r="O1369" s="35"/>
      <c r="P1369" s="35"/>
      <c r="Q1369" s="35"/>
      <c r="R1369" s="35"/>
      <c r="S1369" s="35"/>
      <c r="T1369" s="35"/>
      <c r="U1369" s="35"/>
      <c r="V1369" s="35"/>
      <c r="W1369" s="35"/>
      <c r="X1369" s="35"/>
      <c r="Y1369" s="35"/>
      <c r="Z1369" s="35"/>
      <c r="AA1369" s="35"/>
      <c r="AB1369" s="35"/>
      <c r="AC1369" s="35"/>
      <c r="AD1369" s="35"/>
      <c r="AE1369" s="35"/>
    </row>
    <row r="1370">
      <c r="A1370" s="30"/>
      <c r="B1370" s="35" t="str">
        <f>'รายชื่อพนักงานลาออกพ้นสภาพ'!B352</f>
        <v/>
      </c>
      <c r="C1370" s="35" t="str">
        <f>'รายชื่อพนักงานลาออกพ้นสภาพ'!C352</f>
        <v/>
      </c>
      <c r="D1370" s="35" t="str">
        <f>'รายชื่อพนักงานลาออกพ้นสภาพ'!D352</f>
        <v/>
      </c>
      <c r="E1370" s="35" t="str">
        <f>'รายชื่อพนักงานลาออกพ้นสภาพ'!E352</f>
        <v/>
      </c>
      <c r="F1370" s="40" t="str">
        <f>'รายชื่อพนักงานลาออกพ้นสภาพ'!H352</f>
        <v/>
      </c>
      <c r="G1370" s="33"/>
      <c r="H1370" s="33"/>
      <c r="I1370" s="33"/>
      <c r="J1370" s="33"/>
      <c r="K1370" s="35"/>
      <c r="L1370" s="35"/>
      <c r="M1370" s="35"/>
      <c r="N1370" s="35"/>
      <c r="O1370" s="35"/>
      <c r="P1370" s="35"/>
      <c r="Q1370" s="35"/>
      <c r="R1370" s="35"/>
      <c r="S1370" s="35"/>
      <c r="T1370" s="35"/>
      <c r="U1370" s="35"/>
      <c r="V1370" s="35"/>
      <c r="W1370" s="35"/>
      <c r="X1370" s="35"/>
      <c r="Y1370" s="35"/>
      <c r="Z1370" s="35"/>
      <c r="AA1370" s="35"/>
      <c r="AB1370" s="35"/>
      <c r="AC1370" s="35"/>
      <c r="AD1370" s="35"/>
      <c r="AE1370" s="35"/>
    </row>
    <row r="1371">
      <c r="A1371" s="30"/>
      <c r="B1371" s="35" t="str">
        <f>'รายชื่อพนักงานลาออกพ้นสภาพ'!B353</f>
        <v/>
      </c>
      <c r="C1371" s="35" t="str">
        <f>'รายชื่อพนักงานลาออกพ้นสภาพ'!C353</f>
        <v/>
      </c>
      <c r="D1371" s="35" t="str">
        <f>'รายชื่อพนักงานลาออกพ้นสภาพ'!D353</f>
        <v/>
      </c>
      <c r="E1371" s="35" t="str">
        <f>'รายชื่อพนักงานลาออกพ้นสภาพ'!E353</f>
        <v/>
      </c>
      <c r="F1371" s="40" t="str">
        <f>'รายชื่อพนักงานลาออกพ้นสภาพ'!H353</f>
        <v/>
      </c>
      <c r="G1371" s="33"/>
      <c r="H1371" s="33"/>
      <c r="I1371" s="33"/>
      <c r="J1371" s="33"/>
      <c r="K1371" s="35"/>
      <c r="L1371" s="35"/>
      <c r="M1371" s="35"/>
      <c r="N1371" s="35"/>
      <c r="O1371" s="35"/>
      <c r="P1371" s="35"/>
      <c r="Q1371" s="35"/>
      <c r="R1371" s="35"/>
      <c r="S1371" s="35"/>
      <c r="T1371" s="35"/>
      <c r="U1371" s="35"/>
      <c r="V1371" s="35"/>
      <c r="W1371" s="35"/>
      <c r="X1371" s="35"/>
      <c r="Y1371" s="35"/>
      <c r="Z1371" s="35"/>
      <c r="AA1371" s="35"/>
      <c r="AB1371" s="35"/>
      <c r="AC1371" s="35"/>
      <c r="AD1371" s="35"/>
      <c r="AE1371" s="35"/>
    </row>
    <row r="1372">
      <c r="A1372" s="30"/>
      <c r="B1372" s="35" t="str">
        <f>'รายชื่อพนักงานลาออกพ้นสภาพ'!B354</f>
        <v/>
      </c>
      <c r="C1372" s="35" t="str">
        <f>'รายชื่อพนักงานลาออกพ้นสภาพ'!C354</f>
        <v/>
      </c>
      <c r="D1372" s="35" t="str">
        <f>'รายชื่อพนักงานลาออกพ้นสภาพ'!D354</f>
        <v/>
      </c>
      <c r="E1372" s="35" t="str">
        <f>'รายชื่อพนักงานลาออกพ้นสภาพ'!E354</f>
        <v/>
      </c>
      <c r="F1372" s="40" t="str">
        <f>'รายชื่อพนักงานลาออกพ้นสภาพ'!H354</f>
        <v/>
      </c>
      <c r="G1372" s="33"/>
      <c r="H1372" s="33"/>
      <c r="I1372" s="33"/>
      <c r="J1372" s="33"/>
      <c r="K1372" s="35"/>
      <c r="L1372" s="35"/>
      <c r="M1372" s="35"/>
      <c r="N1372" s="35"/>
      <c r="O1372" s="35"/>
      <c r="P1372" s="35"/>
      <c r="Q1372" s="35"/>
      <c r="R1372" s="35"/>
      <c r="S1372" s="35"/>
      <c r="T1372" s="35"/>
      <c r="U1372" s="35"/>
      <c r="V1372" s="35"/>
      <c r="W1372" s="35"/>
      <c r="X1372" s="35"/>
      <c r="Y1372" s="35"/>
      <c r="Z1372" s="35"/>
      <c r="AA1372" s="35"/>
      <c r="AB1372" s="35"/>
      <c r="AC1372" s="35"/>
      <c r="AD1372" s="35"/>
      <c r="AE1372" s="35"/>
    </row>
    <row r="1373">
      <c r="A1373" s="30"/>
      <c r="B1373" s="35" t="str">
        <f>'รายชื่อพนักงานลาออกพ้นสภาพ'!B355</f>
        <v/>
      </c>
      <c r="C1373" s="35" t="str">
        <f>'รายชื่อพนักงานลาออกพ้นสภาพ'!C355</f>
        <v/>
      </c>
      <c r="D1373" s="35" t="str">
        <f>'รายชื่อพนักงานลาออกพ้นสภาพ'!D355</f>
        <v/>
      </c>
      <c r="E1373" s="35" t="str">
        <f>'รายชื่อพนักงานลาออกพ้นสภาพ'!E355</f>
        <v/>
      </c>
      <c r="F1373" s="40" t="str">
        <f>'รายชื่อพนักงานลาออกพ้นสภาพ'!H355</f>
        <v/>
      </c>
      <c r="G1373" s="33"/>
      <c r="H1373" s="33"/>
      <c r="I1373" s="33"/>
      <c r="J1373" s="33"/>
      <c r="K1373" s="35"/>
      <c r="L1373" s="35"/>
      <c r="M1373" s="35"/>
      <c r="N1373" s="35"/>
      <c r="O1373" s="35"/>
      <c r="P1373" s="35"/>
      <c r="Q1373" s="35"/>
      <c r="R1373" s="35"/>
      <c r="S1373" s="35"/>
      <c r="T1373" s="35"/>
      <c r="U1373" s="35"/>
      <c r="V1373" s="35"/>
      <c r="W1373" s="35"/>
      <c r="X1373" s="35"/>
      <c r="Y1373" s="35"/>
      <c r="Z1373" s="35"/>
      <c r="AA1373" s="35"/>
      <c r="AB1373" s="35"/>
      <c r="AC1373" s="35"/>
      <c r="AD1373" s="35"/>
      <c r="AE1373" s="35"/>
    </row>
    <row r="1374">
      <c r="A1374" s="30"/>
      <c r="B1374" s="35" t="str">
        <f>'รายชื่อพนักงานลาออกพ้นสภาพ'!B356</f>
        <v/>
      </c>
      <c r="C1374" s="35" t="str">
        <f>'รายชื่อพนักงานลาออกพ้นสภาพ'!C356</f>
        <v/>
      </c>
      <c r="D1374" s="35" t="str">
        <f>'รายชื่อพนักงานลาออกพ้นสภาพ'!D356</f>
        <v/>
      </c>
      <c r="E1374" s="35" t="str">
        <f>'รายชื่อพนักงานลาออกพ้นสภาพ'!E356</f>
        <v/>
      </c>
      <c r="F1374" s="40" t="str">
        <f>'รายชื่อพนักงานลาออกพ้นสภาพ'!H356</f>
        <v/>
      </c>
      <c r="G1374" s="33"/>
      <c r="H1374" s="33"/>
      <c r="I1374" s="33"/>
      <c r="J1374" s="33"/>
      <c r="K1374" s="35"/>
      <c r="L1374" s="35"/>
      <c r="M1374" s="35"/>
      <c r="N1374" s="35"/>
      <c r="O1374" s="35"/>
      <c r="P1374" s="35"/>
      <c r="Q1374" s="35"/>
      <c r="R1374" s="35"/>
      <c r="S1374" s="35"/>
      <c r="T1374" s="35"/>
      <c r="U1374" s="35"/>
      <c r="V1374" s="35"/>
      <c r="W1374" s="35"/>
      <c r="X1374" s="35"/>
      <c r="Y1374" s="35"/>
      <c r="Z1374" s="35"/>
      <c r="AA1374" s="35"/>
      <c r="AB1374" s="35"/>
      <c r="AC1374" s="35"/>
      <c r="AD1374" s="35"/>
      <c r="AE1374" s="35"/>
    </row>
    <row r="1375">
      <c r="A1375" s="30"/>
      <c r="B1375" s="35" t="str">
        <f>'รายชื่อพนักงานลาออกพ้นสภาพ'!B357</f>
        <v/>
      </c>
      <c r="C1375" s="35" t="str">
        <f>'รายชื่อพนักงานลาออกพ้นสภาพ'!C357</f>
        <v/>
      </c>
      <c r="D1375" s="35" t="str">
        <f>'รายชื่อพนักงานลาออกพ้นสภาพ'!D357</f>
        <v/>
      </c>
      <c r="E1375" s="35" t="str">
        <f>'รายชื่อพนักงานลาออกพ้นสภาพ'!E357</f>
        <v/>
      </c>
      <c r="F1375" s="40" t="str">
        <f>'รายชื่อพนักงานลาออกพ้นสภาพ'!H357</f>
        <v/>
      </c>
      <c r="G1375" s="33"/>
      <c r="H1375" s="33"/>
      <c r="I1375" s="33"/>
      <c r="J1375" s="33"/>
      <c r="K1375" s="35"/>
      <c r="L1375" s="35"/>
      <c r="M1375" s="35"/>
      <c r="N1375" s="35"/>
      <c r="O1375" s="35"/>
      <c r="P1375" s="35"/>
      <c r="Q1375" s="35"/>
      <c r="R1375" s="35"/>
      <c r="S1375" s="35"/>
      <c r="T1375" s="35"/>
      <c r="U1375" s="35"/>
      <c r="V1375" s="35"/>
      <c r="W1375" s="35"/>
      <c r="X1375" s="35"/>
      <c r="Y1375" s="35"/>
      <c r="Z1375" s="35"/>
      <c r="AA1375" s="35"/>
      <c r="AB1375" s="35"/>
      <c r="AC1375" s="35"/>
      <c r="AD1375" s="35"/>
      <c r="AE1375" s="35"/>
    </row>
    <row r="1376">
      <c r="A1376" s="30"/>
      <c r="B1376" s="35" t="str">
        <f>'รายชื่อพนักงานลาออกพ้นสภาพ'!B358</f>
        <v/>
      </c>
      <c r="C1376" s="35" t="str">
        <f>'รายชื่อพนักงานลาออกพ้นสภาพ'!C358</f>
        <v/>
      </c>
      <c r="D1376" s="35" t="str">
        <f>'รายชื่อพนักงานลาออกพ้นสภาพ'!D358</f>
        <v/>
      </c>
      <c r="E1376" s="35" t="str">
        <f>'รายชื่อพนักงานลาออกพ้นสภาพ'!E358</f>
        <v/>
      </c>
      <c r="F1376" s="40" t="str">
        <f>'รายชื่อพนักงานลาออกพ้นสภาพ'!H358</f>
        <v/>
      </c>
      <c r="G1376" s="33"/>
      <c r="H1376" s="33"/>
      <c r="I1376" s="33"/>
      <c r="J1376" s="33"/>
      <c r="K1376" s="35"/>
      <c r="L1376" s="35"/>
      <c r="M1376" s="35"/>
      <c r="N1376" s="35"/>
      <c r="O1376" s="35"/>
      <c r="P1376" s="35"/>
      <c r="Q1376" s="35"/>
      <c r="R1376" s="35"/>
      <c r="S1376" s="35"/>
      <c r="T1376" s="35"/>
      <c r="U1376" s="35"/>
      <c r="V1376" s="35"/>
      <c r="W1376" s="35"/>
      <c r="X1376" s="35"/>
      <c r="Y1376" s="35"/>
      <c r="Z1376" s="35"/>
      <c r="AA1376" s="35"/>
      <c r="AB1376" s="35"/>
      <c r="AC1376" s="35"/>
      <c r="AD1376" s="35"/>
      <c r="AE1376" s="35"/>
    </row>
    <row r="1377">
      <c r="A1377" s="30"/>
      <c r="B1377" s="35" t="str">
        <f>'รายชื่อพนักงานลาออกพ้นสภาพ'!B359</f>
        <v/>
      </c>
      <c r="C1377" s="35" t="str">
        <f>'รายชื่อพนักงานลาออกพ้นสภาพ'!C359</f>
        <v/>
      </c>
      <c r="D1377" s="35" t="str">
        <f>'รายชื่อพนักงานลาออกพ้นสภาพ'!D359</f>
        <v/>
      </c>
      <c r="E1377" s="35" t="str">
        <f>'รายชื่อพนักงานลาออกพ้นสภาพ'!E359</f>
        <v/>
      </c>
      <c r="F1377" s="40" t="str">
        <f>'รายชื่อพนักงานลาออกพ้นสภาพ'!H359</f>
        <v/>
      </c>
      <c r="G1377" s="33"/>
      <c r="H1377" s="33"/>
      <c r="I1377" s="33"/>
      <c r="J1377" s="33"/>
      <c r="K1377" s="35"/>
      <c r="L1377" s="35"/>
      <c r="M1377" s="35"/>
      <c r="N1377" s="35"/>
      <c r="O1377" s="35"/>
      <c r="P1377" s="35"/>
      <c r="Q1377" s="35"/>
      <c r="R1377" s="35"/>
      <c r="S1377" s="35"/>
      <c r="T1377" s="35"/>
      <c r="U1377" s="35"/>
      <c r="V1377" s="35"/>
      <c r="W1377" s="35"/>
      <c r="X1377" s="35"/>
      <c r="Y1377" s="35"/>
      <c r="Z1377" s="35"/>
      <c r="AA1377" s="35"/>
      <c r="AB1377" s="35"/>
      <c r="AC1377" s="35"/>
      <c r="AD1377" s="35"/>
      <c r="AE1377" s="35"/>
    </row>
    <row r="1378">
      <c r="A1378" s="30"/>
      <c r="B1378" s="35" t="str">
        <f>'รายชื่อพนักงานลาออกพ้นสภาพ'!B360</f>
        <v/>
      </c>
      <c r="C1378" s="35" t="str">
        <f>'รายชื่อพนักงานลาออกพ้นสภาพ'!C360</f>
        <v/>
      </c>
      <c r="D1378" s="35" t="str">
        <f>'รายชื่อพนักงานลาออกพ้นสภาพ'!D360</f>
        <v/>
      </c>
      <c r="E1378" s="35" t="str">
        <f>'รายชื่อพนักงานลาออกพ้นสภาพ'!E360</f>
        <v/>
      </c>
      <c r="F1378" s="40" t="str">
        <f>'รายชื่อพนักงานลาออกพ้นสภาพ'!H360</f>
        <v/>
      </c>
      <c r="G1378" s="33"/>
      <c r="H1378" s="33"/>
      <c r="I1378" s="33"/>
      <c r="J1378" s="33"/>
      <c r="K1378" s="35"/>
      <c r="L1378" s="35"/>
      <c r="M1378" s="35"/>
      <c r="N1378" s="35"/>
      <c r="O1378" s="35"/>
      <c r="P1378" s="35"/>
      <c r="Q1378" s="35"/>
      <c r="R1378" s="35"/>
      <c r="S1378" s="35"/>
      <c r="T1378" s="35"/>
      <c r="U1378" s="35"/>
      <c r="V1378" s="35"/>
      <c r="W1378" s="35"/>
      <c r="X1378" s="35"/>
      <c r="Y1378" s="35"/>
      <c r="Z1378" s="35"/>
      <c r="AA1378" s="35"/>
      <c r="AB1378" s="35"/>
      <c r="AC1378" s="35"/>
      <c r="AD1378" s="35"/>
      <c r="AE1378" s="35"/>
    </row>
    <row r="1379">
      <c r="A1379" s="30"/>
      <c r="B1379" s="35" t="str">
        <f>'รายชื่อพนักงานลาออกพ้นสภาพ'!B361</f>
        <v/>
      </c>
      <c r="C1379" s="35" t="str">
        <f>'รายชื่อพนักงานลาออกพ้นสภาพ'!C361</f>
        <v/>
      </c>
      <c r="D1379" s="35" t="str">
        <f>'รายชื่อพนักงานลาออกพ้นสภาพ'!D361</f>
        <v/>
      </c>
      <c r="E1379" s="35" t="str">
        <f>'รายชื่อพนักงานลาออกพ้นสภาพ'!E361</f>
        <v/>
      </c>
      <c r="F1379" s="40" t="str">
        <f>'รายชื่อพนักงานลาออกพ้นสภาพ'!H361</f>
        <v/>
      </c>
      <c r="G1379" s="33"/>
      <c r="H1379" s="33"/>
      <c r="I1379" s="33"/>
      <c r="J1379" s="33"/>
      <c r="K1379" s="35"/>
      <c r="L1379" s="35"/>
      <c r="M1379" s="35"/>
      <c r="N1379" s="35"/>
      <c r="O1379" s="35"/>
      <c r="P1379" s="35"/>
      <c r="Q1379" s="35"/>
      <c r="R1379" s="35"/>
      <c r="S1379" s="35"/>
      <c r="T1379" s="35"/>
      <c r="U1379" s="35"/>
      <c r="V1379" s="35"/>
      <c r="W1379" s="35"/>
      <c r="X1379" s="35"/>
      <c r="Y1379" s="35"/>
      <c r="Z1379" s="35"/>
      <c r="AA1379" s="35"/>
      <c r="AB1379" s="35"/>
      <c r="AC1379" s="35"/>
      <c r="AD1379" s="35"/>
      <c r="AE1379" s="35"/>
    </row>
    <row r="1380">
      <c r="A1380" s="30"/>
      <c r="B1380" s="35" t="str">
        <f>'รายชื่อพนักงานลาออกพ้นสภาพ'!B362</f>
        <v/>
      </c>
      <c r="C1380" s="35" t="str">
        <f>'รายชื่อพนักงานลาออกพ้นสภาพ'!C362</f>
        <v/>
      </c>
      <c r="D1380" s="35" t="str">
        <f>'รายชื่อพนักงานลาออกพ้นสภาพ'!D362</f>
        <v/>
      </c>
      <c r="E1380" s="35" t="str">
        <f>'รายชื่อพนักงานลาออกพ้นสภาพ'!E362</f>
        <v/>
      </c>
      <c r="F1380" s="40" t="str">
        <f>'รายชื่อพนักงานลาออกพ้นสภาพ'!H362</f>
        <v/>
      </c>
      <c r="G1380" s="33"/>
      <c r="H1380" s="33"/>
      <c r="I1380" s="33"/>
      <c r="J1380" s="33"/>
      <c r="K1380" s="35"/>
      <c r="L1380" s="35"/>
      <c r="M1380" s="35"/>
      <c r="N1380" s="35"/>
      <c r="O1380" s="35"/>
      <c r="P1380" s="35"/>
      <c r="Q1380" s="35"/>
      <c r="R1380" s="35"/>
      <c r="S1380" s="35"/>
      <c r="T1380" s="35"/>
      <c r="U1380" s="35"/>
      <c r="V1380" s="35"/>
      <c r="W1380" s="35"/>
      <c r="X1380" s="35"/>
      <c r="Y1380" s="35"/>
      <c r="Z1380" s="35"/>
      <c r="AA1380" s="35"/>
      <c r="AB1380" s="35"/>
      <c r="AC1380" s="35"/>
      <c r="AD1380" s="35"/>
      <c r="AE1380" s="35"/>
    </row>
    <row r="1381">
      <c r="A1381" s="30"/>
      <c r="B1381" s="35" t="str">
        <f>'รายชื่อพนักงานลาออกพ้นสภาพ'!B363</f>
        <v/>
      </c>
      <c r="C1381" s="35" t="str">
        <f>'รายชื่อพนักงานลาออกพ้นสภาพ'!C363</f>
        <v/>
      </c>
      <c r="D1381" s="35" t="str">
        <f>'รายชื่อพนักงานลาออกพ้นสภาพ'!D363</f>
        <v/>
      </c>
      <c r="E1381" s="35" t="str">
        <f>'รายชื่อพนักงานลาออกพ้นสภาพ'!E363</f>
        <v/>
      </c>
      <c r="F1381" s="40" t="str">
        <f>'รายชื่อพนักงานลาออกพ้นสภาพ'!H363</f>
        <v/>
      </c>
      <c r="G1381" s="33"/>
      <c r="H1381" s="33"/>
      <c r="I1381" s="33"/>
      <c r="J1381" s="33"/>
      <c r="K1381" s="35"/>
      <c r="L1381" s="35"/>
      <c r="M1381" s="35"/>
      <c r="N1381" s="35"/>
      <c r="O1381" s="35"/>
      <c r="P1381" s="35"/>
      <c r="Q1381" s="35"/>
      <c r="R1381" s="35"/>
      <c r="S1381" s="35"/>
      <c r="T1381" s="35"/>
      <c r="U1381" s="35"/>
      <c r="V1381" s="35"/>
      <c r="W1381" s="35"/>
      <c r="X1381" s="35"/>
      <c r="Y1381" s="35"/>
      <c r="Z1381" s="35"/>
      <c r="AA1381" s="35"/>
      <c r="AB1381" s="35"/>
      <c r="AC1381" s="35"/>
      <c r="AD1381" s="35"/>
      <c r="AE1381" s="35"/>
    </row>
    <row r="1382">
      <c r="A1382" s="30"/>
      <c r="B1382" s="35" t="str">
        <f>'รายชื่อพนักงานลาออกพ้นสภาพ'!B364</f>
        <v/>
      </c>
      <c r="C1382" s="35" t="str">
        <f>'รายชื่อพนักงานลาออกพ้นสภาพ'!C364</f>
        <v/>
      </c>
      <c r="D1382" s="35" t="str">
        <f>'รายชื่อพนักงานลาออกพ้นสภาพ'!D364</f>
        <v/>
      </c>
      <c r="E1382" s="35" t="str">
        <f>'รายชื่อพนักงานลาออกพ้นสภาพ'!E364</f>
        <v/>
      </c>
      <c r="F1382" s="40" t="str">
        <f>'รายชื่อพนักงานลาออกพ้นสภาพ'!H364</f>
        <v/>
      </c>
      <c r="G1382" s="33"/>
      <c r="H1382" s="33"/>
      <c r="I1382" s="33"/>
      <c r="J1382" s="33"/>
      <c r="K1382" s="35"/>
      <c r="L1382" s="35"/>
      <c r="M1382" s="35"/>
      <c r="N1382" s="35"/>
      <c r="O1382" s="35"/>
      <c r="P1382" s="35"/>
      <c r="Q1382" s="35"/>
      <c r="R1382" s="35"/>
      <c r="S1382" s="35"/>
      <c r="T1382" s="35"/>
      <c r="U1382" s="35"/>
      <c r="V1382" s="35"/>
      <c r="W1382" s="35"/>
      <c r="X1382" s="35"/>
      <c r="Y1382" s="35"/>
      <c r="Z1382" s="35"/>
      <c r="AA1382" s="35"/>
      <c r="AB1382" s="35"/>
      <c r="AC1382" s="35"/>
      <c r="AD1382" s="35"/>
      <c r="AE1382" s="35"/>
    </row>
    <row r="1383">
      <c r="A1383" s="30"/>
      <c r="B1383" s="35" t="str">
        <f>'รายชื่อพนักงานลาออกพ้นสภาพ'!B365</f>
        <v/>
      </c>
      <c r="C1383" s="35" t="str">
        <f>'รายชื่อพนักงานลาออกพ้นสภาพ'!C365</f>
        <v/>
      </c>
      <c r="D1383" s="35" t="str">
        <f>'รายชื่อพนักงานลาออกพ้นสภาพ'!D365</f>
        <v/>
      </c>
      <c r="E1383" s="35" t="str">
        <f>'รายชื่อพนักงานลาออกพ้นสภาพ'!E365</f>
        <v/>
      </c>
      <c r="F1383" s="40" t="str">
        <f>'รายชื่อพนักงานลาออกพ้นสภาพ'!H365</f>
        <v/>
      </c>
      <c r="G1383" s="33"/>
      <c r="H1383" s="33"/>
      <c r="I1383" s="33"/>
      <c r="J1383" s="33"/>
      <c r="K1383" s="35"/>
      <c r="L1383" s="35"/>
      <c r="M1383" s="35"/>
      <c r="N1383" s="35"/>
      <c r="O1383" s="35"/>
      <c r="P1383" s="35"/>
      <c r="Q1383" s="35"/>
      <c r="R1383" s="35"/>
      <c r="S1383" s="35"/>
      <c r="T1383" s="35"/>
      <c r="U1383" s="35"/>
      <c r="V1383" s="35"/>
      <c r="W1383" s="35"/>
      <c r="X1383" s="35"/>
      <c r="Y1383" s="35"/>
      <c r="Z1383" s="35"/>
      <c r="AA1383" s="35"/>
      <c r="AB1383" s="35"/>
      <c r="AC1383" s="35"/>
      <c r="AD1383" s="35"/>
      <c r="AE1383" s="35"/>
    </row>
    <row r="1384">
      <c r="A1384" s="30"/>
      <c r="B1384" s="35" t="str">
        <f>'รายชื่อพนักงานลาออกพ้นสภาพ'!B366</f>
        <v/>
      </c>
      <c r="C1384" s="35" t="str">
        <f>'รายชื่อพนักงานลาออกพ้นสภาพ'!C366</f>
        <v/>
      </c>
      <c r="D1384" s="35" t="str">
        <f>'รายชื่อพนักงานลาออกพ้นสภาพ'!D366</f>
        <v/>
      </c>
      <c r="E1384" s="35" t="str">
        <f>'รายชื่อพนักงานลาออกพ้นสภาพ'!E366</f>
        <v/>
      </c>
      <c r="F1384" s="40" t="str">
        <f>'รายชื่อพนักงานลาออกพ้นสภาพ'!H366</f>
        <v/>
      </c>
      <c r="G1384" s="33"/>
      <c r="H1384" s="33"/>
      <c r="I1384" s="33"/>
      <c r="J1384" s="33"/>
      <c r="K1384" s="35"/>
      <c r="L1384" s="35"/>
      <c r="M1384" s="35"/>
      <c r="N1384" s="35"/>
      <c r="O1384" s="35"/>
      <c r="P1384" s="35"/>
      <c r="Q1384" s="35"/>
      <c r="R1384" s="35"/>
      <c r="S1384" s="35"/>
      <c r="T1384" s="35"/>
      <c r="U1384" s="35"/>
      <c r="V1384" s="35"/>
      <c r="W1384" s="35"/>
      <c r="X1384" s="35"/>
      <c r="Y1384" s="35"/>
      <c r="Z1384" s="35"/>
      <c r="AA1384" s="35"/>
      <c r="AB1384" s="35"/>
      <c r="AC1384" s="35"/>
      <c r="AD1384" s="35"/>
      <c r="AE1384" s="35"/>
    </row>
    <row r="1385">
      <c r="A1385" s="30"/>
      <c r="B1385" s="35" t="str">
        <f>'รายชื่อพนักงานลาออกพ้นสภาพ'!B367</f>
        <v/>
      </c>
      <c r="C1385" s="35" t="str">
        <f>'รายชื่อพนักงานลาออกพ้นสภาพ'!C367</f>
        <v/>
      </c>
      <c r="D1385" s="35" t="str">
        <f>'รายชื่อพนักงานลาออกพ้นสภาพ'!D367</f>
        <v/>
      </c>
      <c r="E1385" s="35" t="str">
        <f>'รายชื่อพนักงานลาออกพ้นสภาพ'!E367</f>
        <v/>
      </c>
      <c r="F1385" s="40" t="str">
        <f>'รายชื่อพนักงานลาออกพ้นสภาพ'!H367</f>
        <v/>
      </c>
      <c r="G1385" s="33"/>
      <c r="H1385" s="33"/>
      <c r="I1385" s="33"/>
      <c r="J1385" s="33"/>
      <c r="K1385" s="35"/>
      <c r="L1385" s="35"/>
      <c r="M1385" s="35"/>
      <c r="N1385" s="35"/>
      <c r="O1385" s="35"/>
      <c r="P1385" s="35"/>
      <c r="Q1385" s="35"/>
      <c r="R1385" s="35"/>
      <c r="S1385" s="35"/>
      <c r="T1385" s="35"/>
      <c r="U1385" s="35"/>
      <c r="V1385" s="35"/>
      <c r="W1385" s="35"/>
      <c r="X1385" s="35"/>
      <c r="Y1385" s="35"/>
      <c r="Z1385" s="35"/>
      <c r="AA1385" s="35"/>
      <c r="AB1385" s="35"/>
      <c r="AC1385" s="35"/>
      <c r="AD1385" s="35"/>
      <c r="AE1385" s="35"/>
    </row>
    <row r="1386">
      <c r="A1386" s="30"/>
      <c r="B1386" s="35" t="str">
        <f>'รายชื่อพนักงานลาออกพ้นสภาพ'!B368</f>
        <v/>
      </c>
      <c r="C1386" s="35" t="str">
        <f>'รายชื่อพนักงานลาออกพ้นสภาพ'!C368</f>
        <v/>
      </c>
      <c r="D1386" s="35" t="str">
        <f>'รายชื่อพนักงานลาออกพ้นสภาพ'!D368</f>
        <v/>
      </c>
      <c r="E1386" s="35" t="str">
        <f>'รายชื่อพนักงานลาออกพ้นสภาพ'!E368</f>
        <v/>
      </c>
      <c r="F1386" s="40" t="str">
        <f>'รายชื่อพนักงานลาออกพ้นสภาพ'!H368</f>
        <v/>
      </c>
      <c r="G1386" s="33"/>
      <c r="H1386" s="33"/>
      <c r="I1386" s="33"/>
      <c r="J1386" s="33"/>
      <c r="K1386" s="35"/>
      <c r="L1386" s="35"/>
      <c r="M1386" s="35"/>
      <c r="N1386" s="35"/>
      <c r="O1386" s="35"/>
      <c r="P1386" s="35"/>
      <c r="Q1386" s="35"/>
      <c r="R1386" s="35"/>
      <c r="S1386" s="35"/>
      <c r="T1386" s="35"/>
      <c r="U1386" s="35"/>
      <c r="V1386" s="35"/>
      <c r="W1386" s="35"/>
      <c r="X1386" s="35"/>
      <c r="Y1386" s="35"/>
      <c r="Z1386" s="35"/>
      <c r="AA1386" s="35"/>
      <c r="AB1386" s="35"/>
      <c r="AC1386" s="35"/>
      <c r="AD1386" s="35"/>
      <c r="AE1386" s="35"/>
    </row>
    <row r="1387">
      <c r="A1387" s="30"/>
      <c r="B1387" s="35" t="str">
        <f>'รายชื่อพนักงานลาออกพ้นสภาพ'!B369</f>
        <v/>
      </c>
      <c r="C1387" s="35" t="str">
        <f>'รายชื่อพนักงานลาออกพ้นสภาพ'!C369</f>
        <v/>
      </c>
      <c r="D1387" s="35" t="str">
        <f>'รายชื่อพนักงานลาออกพ้นสภาพ'!D369</f>
        <v/>
      </c>
      <c r="E1387" s="35" t="str">
        <f>'รายชื่อพนักงานลาออกพ้นสภาพ'!E369</f>
        <v/>
      </c>
      <c r="F1387" s="40" t="str">
        <f>'รายชื่อพนักงานลาออกพ้นสภาพ'!H369</f>
        <v/>
      </c>
      <c r="G1387" s="33"/>
      <c r="H1387" s="33"/>
      <c r="I1387" s="33"/>
      <c r="J1387" s="33"/>
      <c r="K1387" s="35"/>
      <c r="L1387" s="35"/>
      <c r="M1387" s="35"/>
      <c r="N1387" s="35"/>
      <c r="O1387" s="35"/>
      <c r="P1387" s="35"/>
      <c r="Q1387" s="35"/>
      <c r="R1387" s="35"/>
      <c r="S1387" s="35"/>
      <c r="T1387" s="35"/>
      <c r="U1387" s="35"/>
      <c r="V1387" s="35"/>
      <c r="W1387" s="35"/>
      <c r="X1387" s="35"/>
      <c r="Y1387" s="35"/>
      <c r="Z1387" s="35"/>
      <c r="AA1387" s="35"/>
      <c r="AB1387" s="35"/>
      <c r="AC1387" s="35"/>
      <c r="AD1387" s="35"/>
      <c r="AE1387" s="35"/>
    </row>
    <row r="1388">
      <c r="A1388" s="30"/>
      <c r="B1388" s="35" t="str">
        <f>'รายชื่อพนักงานลาออกพ้นสภาพ'!B370</f>
        <v/>
      </c>
      <c r="C1388" s="35" t="str">
        <f>'รายชื่อพนักงานลาออกพ้นสภาพ'!C370</f>
        <v/>
      </c>
      <c r="D1388" s="35" t="str">
        <f>'รายชื่อพนักงานลาออกพ้นสภาพ'!D370</f>
        <v/>
      </c>
      <c r="E1388" s="35" t="str">
        <f>'รายชื่อพนักงานลาออกพ้นสภาพ'!E370</f>
        <v/>
      </c>
      <c r="F1388" s="40" t="str">
        <f>'รายชื่อพนักงานลาออกพ้นสภาพ'!H370</f>
        <v/>
      </c>
      <c r="G1388" s="33"/>
      <c r="H1388" s="33"/>
      <c r="I1388" s="33"/>
      <c r="J1388" s="33"/>
      <c r="K1388" s="35"/>
      <c r="L1388" s="35"/>
      <c r="M1388" s="35"/>
      <c r="N1388" s="35"/>
      <c r="O1388" s="35"/>
      <c r="P1388" s="35"/>
      <c r="Q1388" s="35"/>
      <c r="R1388" s="35"/>
      <c r="S1388" s="35"/>
      <c r="T1388" s="35"/>
      <c r="U1388" s="35"/>
      <c r="V1388" s="35"/>
      <c r="W1388" s="35"/>
      <c r="X1388" s="35"/>
      <c r="Y1388" s="35"/>
      <c r="Z1388" s="35"/>
      <c r="AA1388" s="35"/>
      <c r="AB1388" s="35"/>
      <c r="AC1388" s="35"/>
      <c r="AD1388" s="35"/>
      <c r="AE1388" s="35"/>
    </row>
    <row r="1389">
      <c r="A1389" s="30"/>
      <c r="B1389" s="35" t="str">
        <f>'รายชื่อพนักงานลาออกพ้นสภาพ'!B371</f>
        <v/>
      </c>
      <c r="C1389" s="35" t="str">
        <f>'รายชื่อพนักงานลาออกพ้นสภาพ'!C371</f>
        <v/>
      </c>
      <c r="D1389" s="35" t="str">
        <f>'รายชื่อพนักงานลาออกพ้นสภาพ'!D371</f>
        <v/>
      </c>
      <c r="E1389" s="35" t="str">
        <f>'รายชื่อพนักงานลาออกพ้นสภาพ'!E371</f>
        <v/>
      </c>
      <c r="F1389" s="40" t="str">
        <f>'รายชื่อพนักงานลาออกพ้นสภาพ'!H371</f>
        <v/>
      </c>
      <c r="G1389" s="33"/>
      <c r="H1389" s="33"/>
      <c r="I1389" s="33"/>
      <c r="J1389" s="33"/>
      <c r="K1389" s="35"/>
      <c r="L1389" s="35"/>
      <c r="M1389" s="35"/>
      <c r="N1389" s="35"/>
      <c r="O1389" s="35"/>
      <c r="P1389" s="35"/>
      <c r="Q1389" s="35"/>
      <c r="R1389" s="35"/>
      <c r="S1389" s="35"/>
      <c r="T1389" s="35"/>
      <c r="U1389" s="35"/>
      <c r="V1389" s="35"/>
      <c r="W1389" s="35"/>
      <c r="X1389" s="35"/>
      <c r="Y1389" s="35"/>
      <c r="Z1389" s="35"/>
      <c r="AA1389" s="35"/>
      <c r="AB1389" s="35"/>
      <c r="AC1389" s="35"/>
      <c r="AD1389" s="35"/>
      <c r="AE1389" s="35"/>
    </row>
    <row r="1390">
      <c r="A1390" s="30"/>
      <c r="B1390" s="35" t="str">
        <f>'รายชื่อพนักงานลาออกพ้นสภาพ'!B372</f>
        <v/>
      </c>
      <c r="C1390" s="35" t="str">
        <f>'รายชื่อพนักงานลาออกพ้นสภาพ'!C372</f>
        <v/>
      </c>
      <c r="D1390" s="35" t="str">
        <f>'รายชื่อพนักงานลาออกพ้นสภาพ'!D372</f>
        <v/>
      </c>
      <c r="E1390" s="35" t="str">
        <f>'รายชื่อพนักงานลาออกพ้นสภาพ'!E372</f>
        <v/>
      </c>
      <c r="F1390" s="40" t="str">
        <f>'รายชื่อพนักงานลาออกพ้นสภาพ'!H372</f>
        <v/>
      </c>
      <c r="G1390" s="33"/>
      <c r="H1390" s="33"/>
      <c r="I1390" s="33"/>
      <c r="J1390" s="33"/>
      <c r="K1390" s="35"/>
      <c r="L1390" s="35"/>
      <c r="M1390" s="35"/>
      <c r="N1390" s="35"/>
      <c r="O1390" s="35"/>
      <c r="P1390" s="35"/>
      <c r="Q1390" s="35"/>
      <c r="R1390" s="35"/>
      <c r="S1390" s="35"/>
      <c r="T1390" s="35"/>
      <c r="U1390" s="35"/>
      <c r="V1390" s="35"/>
      <c r="W1390" s="35"/>
      <c r="X1390" s="35"/>
      <c r="Y1390" s="35"/>
      <c r="Z1390" s="35"/>
      <c r="AA1390" s="35"/>
      <c r="AB1390" s="35"/>
      <c r="AC1390" s="35"/>
      <c r="AD1390" s="35"/>
      <c r="AE1390" s="35"/>
    </row>
    <row r="1391">
      <c r="A1391" s="30"/>
      <c r="B1391" s="35" t="str">
        <f>'รายชื่อพนักงานลาออกพ้นสภาพ'!B373</f>
        <v/>
      </c>
      <c r="C1391" s="35" t="str">
        <f>'รายชื่อพนักงานลาออกพ้นสภาพ'!C373</f>
        <v/>
      </c>
      <c r="D1391" s="35" t="str">
        <f>'รายชื่อพนักงานลาออกพ้นสภาพ'!D373</f>
        <v/>
      </c>
      <c r="E1391" s="35" t="str">
        <f>'รายชื่อพนักงานลาออกพ้นสภาพ'!E373</f>
        <v/>
      </c>
      <c r="F1391" s="40" t="str">
        <f>'รายชื่อพนักงานลาออกพ้นสภาพ'!H373</f>
        <v/>
      </c>
      <c r="G1391" s="33"/>
      <c r="H1391" s="33"/>
      <c r="I1391" s="33"/>
      <c r="J1391" s="33"/>
      <c r="K1391" s="35"/>
      <c r="L1391" s="35"/>
      <c r="M1391" s="35"/>
      <c r="N1391" s="35"/>
      <c r="O1391" s="35"/>
      <c r="P1391" s="35"/>
      <c r="Q1391" s="35"/>
      <c r="R1391" s="35"/>
      <c r="S1391" s="35"/>
      <c r="T1391" s="35"/>
      <c r="U1391" s="35"/>
      <c r="V1391" s="35"/>
      <c r="W1391" s="35"/>
      <c r="X1391" s="35"/>
      <c r="Y1391" s="35"/>
      <c r="Z1391" s="35"/>
      <c r="AA1391" s="35"/>
      <c r="AB1391" s="35"/>
      <c r="AC1391" s="35"/>
      <c r="AD1391" s="35"/>
      <c r="AE1391" s="35"/>
    </row>
    <row r="1392">
      <c r="A1392" s="30"/>
      <c r="B1392" s="35" t="str">
        <f>'รายชื่อพนักงานลาออกพ้นสภาพ'!B374</f>
        <v/>
      </c>
      <c r="C1392" s="35" t="str">
        <f>'รายชื่อพนักงานลาออกพ้นสภาพ'!C374</f>
        <v/>
      </c>
      <c r="D1392" s="35" t="str">
        <f>'รายชื่อพนักงานลาออกพ้นสภาพ'!D374</f>
        <v/>
      </c>
      <c r="E1392" s="35" t="str">
        <f>'รายชื่อพนักงานลาออกพ้นสภาพ'!E374</f>
        <v/>
      </c>
      <c r="F1392" s="40" t="str">
        <f>'รายชื่อพนักงานลาออกพ้นสภาพ'!H374</f>
        <v/>
      </c>
      <c r="G1392" s="33"/>
      <c r="H1392" s="33"/>
      <c r="I1392" s="33"/>
      <c r="J1392" s="33"/>
      <c r="K1392" s="35"/>
      <c r="L1392" s="35"/>
      <c r="M1392" s="35"/>
      <c r="N1392" s="35"/>
      <c r="O1392" s="35"/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5"/>
      <c r="AA1392" s="35"/>
      <c r="AB1392" s="35"/>
      <c r="AC1392" s="35"/>
      <c r="AD1392" s="35"/>
      <c r="AE1392" s="35"/>
    </row>
    <row r="1393">
      <c r="A1393" s="30"/>
      <c r="B1393" s="35" t="str">
        <f>'รายชื่อพนักงานลาออกพ้นสภาพ'!B375</f>
        <v/>
      </c>
      <c r="C1393" s="35" t="str">
        <f>'รายชื่อพนักงานลาออกพ้นสภาพ'!C375</f>
        <v/>
      </c>
      <c r="D1393" s="35" t="str">
        <f>'รายชื่อพนักงานลาออกพ้นสภาพ'!D375</f>
        <v/>
      </c>
      <c r="E1393" s="35" t="str">
        <f>'รายชื่อพนักงานลาออกพ้นสภาพ'!E375</f>
        <v/>
      </c>
      <c r="F1393" s="40" t="str">
        <f>'รายชื่อพนักงานลาออกพ้นสภาพ'!H375</f>
        <v/>
      </c>
      <c r="G1393" s="33"/>
      <c r="H1393" s="33"/>
      <c r="I1393" s="33"/>
      <c r="J1393" s="33"/>
      <c r="K1393" s="35"/>
      <c r="L1393" s="35"/>
      <c r="M1393" s="35"/>
      <c r="N1393" s="35"/>
      <c r="O1393" s="35"/>
      <c r="P1393" s="35"/>
      <c r="Q1393" s="35"/>
      <c r="R1393" s="35"/>
      <c r="S1393" s="35"/>
      <c r="T1393" s="35"/>
      <c r="U1393" s="35"/>
      <c r="V1393" s="35"/>
      <c r="W1393" s="35"/>
      <c r="X1393" s="35"/>
      <c r="Y1393" s="35"/>
      <c r="Z1393" s="35"/>
      <c r="AA1393" s="35"/>
      <c r="AB1393" s="35"/>
      <c r="AC1393" s="35"/>
      <c r="AD1393" s="35"/>
      <c r="AE1393" s="35"/>
    </row>
    <row r="1394">
      <c r="A1394" s="30"/>
      <c r="B1394" s="35" t="str">
        <f>'รายชื่อพนักงานลาออกพ้นสภาพ'!B376</f>
        <v/>
      </c>
      <c r="C1394" s="35" t="str">
        <f>'รายชื่อพนักงานลาออกพ้นสภาพ'!C376</f>
        <v/>
      </c>
      <c r="D1394" s="35" t="str">
        <f>'รายชื่อพนักงานลาออกพ้นสภาพ'!D376</f>
        <v/>
      </c>
      <c r="E1394" s="35" t="str">
        <f>'รายชื่อพนักงานลาออกพ้นสภาพ'!E376</f>
        <v/>
      </c>
      <c r="F1394" s="40" t="str">
        <f>'รายชื่อพนักงานลาออกพ้นสภาพ'!H376</f>
        <v/>
      </c>
      <c r="G1394" s="33"/>
      <c r="H1394" s="33"/>
      <c r="I1394" s="33"/>
      <c r="J1394" s="33"/>
      <c r="K1394" s="35"/>
      <c r="L1394" s="35"/>
      <c r="M1394" s="35"/>
      <c r="N1394" s="35"/>
      <c r="O1394" s="35"/>
      <c r="P1394" s="35"/>
      <c r="Q1394" s="35"/>
      <c r="R1394" s="35"/>
      <c r="S1394" s="35"/>
      <c r="T1394" s="35"/>
      <c r="U1394" s="35"/>
      <c r="V1394" s="35"/>
      <c r="W1394" s="35"/>
      <c r="X1394" s="35"/>
      <c r="Y1394" s="35"/>
      <c r="Z1394" s="35"/>
      <c r="AA1394" s="35"/>
      <c r="AB1394" s="35"/>
      <c r="AC1394" s="35"/>
      <c r="AD1394" s="35"/>
      <c r="AE1394" s="35"/>
    </row>
    <row r="1395">
      <c r="A1395" s="30"/>
      <c r="B1395" s="35" t="str">
        <f>'รายชื่อพนักงานลาออกพ้นสภาพ'!B377</f>
        <v/>
      </c>
      <c r="C1395" s="35" t="str">
        <f>'รายชื่อพนักงานลาออกพ้นสภาพ'!C377</f>
        <v/>
      </c>
      <c r="D1395" s="35" t="str">
        <f>'รายชื่อพนักงานลาออกพ้นสภาพ'!D377</f>
        <v/>
      </c>
      <c r="E1395" s="35" t="str">
        <f>'รายชื่อพนักงานลาออกพ้นสภาพ'!E377</f>
        <v/>
      </c>
      <c r="F1395" s="40" t="str">
        <f>'รายชื่อพนักงานลาออกพ้นสภาพ'!H377</f>
        <v/>
      </c>
      <c r="G1395" s="33"/>
      <c r="H1395" s="33"/>
      <c r="I1395" s="33"/>
      <c r="J1395" s="33"/>
      <c r="K1395" s="35"/>
      <c r="L1395" s="35"/>
      <c r="M1395" s="35"/>
      <c r="N1395" s="35"/>
      <c r="O1395" s="35"/>
      <c r="P1395" s="35"/>
      <c r="Q1395" s="35"/>
      <c r="R1395" s="35"/>
      <c r="S1395" s="35"/>
      <c r="T1395" s="35"/>
      <c r="U1395" s="35"/>
      <c r="V1395" s="35"/>
      <c r="W1395" s="35"/>
      <c r="X1395" s="35"/>
      <c r="Y1395" s="35"/>
      <c r="Z1395" s="35"/>
      <c r="AA1395" s="35"/>
      <c r="AB1395" s="35"/>
      <c r="AC1395" s="35"/>
      <c r="AD1395" s="35"/>
      <c r="AE1395" s="35"/>
    </row>
    <row r="1396">
      <c r="A1396" s="30"/>
      <c r="B1396" s="35" t="str">
        <f>'รายชื่อพนักงานลาออกพ้นสภาพ'!B378</f>
        <v/>
      </c>
      <c r="C1396" s="35" t="str">
        <f>'รายชื่อพนักงานลาออกพ้นสภาพ'!C378</f>
        <v/>
      </c>
      <c r="D1396" s="35" t="str">
        <f>'รายชื่อพนักงานลาออกพ้นสภาพ'!D378</f>
        <v/>
      </c>
      <c r="E1396" s="35" t="str">
        <f>'รายชื่อพนักงานลาออกพ้นสภาพ'!E378</f>
        <v/>
      </c>
      <c r="F1396" s="40" t="str">
        <f>'รายชื่อพนักงานลาออกพ้นสภาพ'!H378</f>
        <v/>
      </c>
      <c r="G1396" s="33"/>
      <c r="H1396" s="33"/>
      <c r="I1396" s="33"/>
      <c r="J1396" s="33"/>
      <c r="K1396" s="35"/>
      <c r="L1396" s="35"/>
      <c r="M1396" s="35"/>
      <c r="N1396" s="35"/>
      <c r="O1396" s="35"/>
      <c r="P1396" s="35"/>
      <c r="Q1396" s="35"/>
      <c r="R1396" s="35"/>
      <c r="S1396" s="35"/>
      <c r="T1396" s="35"/>
      <c r="U1396" s="35"/>
      <c r="V1396" s="35"/>
      <c r="W1396" s="35"/>
      <c r="X1396" s="35"/>
      <c r="Y1396" s="35"/>
      <c r="Z1396" s="35"/>
      <c r="AA1396" s="35"/>
      <c r="AB1396" s="35"/>
      <c r="AC1396" s="35"/>
      <c r="AD1396" s="35"/>
      <c r="AE1396" s="35"/>
    </row>
    <row r="1397">
      <c r="A1397" s="30"/>
      <c r="B1397" s="35" t="str">
        <f>'รายชื่อพนักงานลาออกพ้นสภาพ'!B379</f>
        <v/>
      </c>
      <c r="C1397" s="35" t="str">
        <f>'รายชื่อพนักงานลาออกพ้นสภาพ'!C379</f>
        <v/>
      </c>
      <c r="D1397" s="35" t="str">
        <f>'รายชื่อพนักงานลาออกพ้นสภาพ'!D379</f>
        <v/>
      </c>
      <c r="E1397" s="35" t="str">
        <f>'รายชื่อพนักงานลาออกพ้นสภาพ'!E379</f>
        <v/>
      </c>
      <c r="F1397" s="40" t="str">
        <f>'รายชื่อพนักงานลาออกพ้นสภาพ'!H379</f>
        <v/>
      </c>
      <c r="G1397" s="33"/>
      <c r="H1397" s="33"/>
      <c r="I1397" s="33"/>
      <c r="J1397" s="33"/>
      <c r="K1397" s="35"/>
      <c r="L1397" s="35"/>
      <c r="M1397" s="35"/>
      <c r="N1397" s="35"/>
      <c r="O1397" s="35"/>
      <c r="P1397" s="35"/>
      <c r="Q1397" s="35"/>
      <c r="R1397" s="35"/>
      <c r="S1397" s="35"/>
      <c r="T1397" s="35"/>
      <c r="U1397" s="35"/>
      <c r="V1397" s="35"/>
      <c r="W1397" s="35"/>
      <c r="X1397" s="35"/>
      <c r="Y1397" s="35"/>
      <c r="Z1397" s="35"/>
      <c r="AA1397" s="35"/>
      <c r="AB1397" s="35"/>
      <c r="AC1397" s="35"/>
      <c r="AD1397" s="35"/>
      <c r="AE1397" s="35"/>
    </row>
    <row r="1398">
      <c r="A1398" s="30"/>
      <c r="B1398" s="35" t="str">
        <f>'รายชื่อพนักงานลาออกพ้นสภาพ'!B380</f>
        <v/>
      </c>
      <c r="C1398" s="35" t="str">
        <f>'รายชื่อพนักงานลาออกพ้นสภาพ'!C380</f>
        <v/>
      </c>
      <c r="D1398" s="35" t="str">
        <f>'รายชื่อพนักงานลาออกพ้นสภาพ'!D380</f>
        <v/>
      </c>
      <c r="E1398" s="35" t="str">
        <f>'รายชื่อพนักงานลาออกพ้นสภาพ'!E380</f>
        <v/>
      </c>
      <c r="F1398" s="40" t="str">
        <f>'รายชื่อพนักงานลาออกพ้นสภาพ'!H380</f>
        <v/>
      </c>
      <c r="G1398" s="33"/>
      <c r="H1398" s="33"/>
      <c r="I1398" s="33"/>
      <c r="J1398" s="33"/>
      <c r="K1398" s="35"/>
      <c r="L1398" s="35"/>
      <c r="M1398" s="35"/>
      <c r="N1398" s="35"/>
      <c r="O1398" s="35"/>
      <c r="P1398" s="35"/>
      <c r="Q1398" s="35"/>
      <c r="R1398" s="35"/>
      <c r="S1398" s="35"/>
      <c r="T1398" s="35"/>
      <c r="U1398" s="35"/>
      <c r="V1398" s="35"/>
      <c r="W1398" s="35"/>
      <c r="X1398" s="35"/>
      <c r="Y1398" s="35"/>
      <c r="Z1398" s="35"/>
      <c r="AA1398" s="35"/>
      <c r="AB1398" s="35"/>
      <c r="AC1398" s="35"/>
      <c r="AD1398" s="35"/>
      <c r="AE1398" s="35"/>
    </row>
    <row r="1399">
      <c r="A1399" s="30"/>
      <c r="B1399" s="35" t="str">
        <f>'รายชื่อพนักงานลาออกพ้นสภาพ'!B381</f>
        <v/>
      </c>
      <c r="C1399" s="35" t="str">
        <f>'รายชื่อพนักงานลาออกพ้นสภาพ'!C381</f>
        <v/>
      </c>
      <c r="D1399" s="35" t="str">
        <f>'รายชื่อพนักงานลาออกพ้นสภาพ'!D381</f>
        <v/>
      </c>
      <c r="E1399" s="35" t="str">
        <f>'รายชื่อพนักงานลาออกพ้นสภาพ'!E381</f>
        <v/>
      </c>
      <c r="F1399" s="40" t="str">
        <f>'รายชื่อพนักงานลาออกพ้นสภาพ'!H381</f>
        <v/>
      </c>
      <c r="G1399" s="33"/>
      <c r="H1399" s="33"/>
      <c r="I1399" s="33"/>
      <c r="J1399" s="33"/>
      <c r="K1399" s="35"/>
      <c r="L1399" s="35"/>
      <c r="M1399" s="35"/>
      <c r="N1399" s="35"/>
      <c r="O1399" s="35"/>
      <c r="P1399" s="35"/>
      <c r="Q1399" s="35"/>
      <c r="R1399" s="35"/>
      <c r="S1399" s="35"/>
      <c r="T1399" s="35"/>
      <c r="U1399" s="35"/>
      <c r="V1399" s="35"/>
      <c r="W1399" s="35"/>
      <c r="X1399" s="35"/>
      <c r="Y1399" s="35"/>
      <c r="Z1399" s="35"/>
      <c r="AA1399" s="35"/>
      <c r="AB1399" s="35"/>
      <c r="AC1399" s="35"/>
      <c r="AD1399" s="35"/>
      <c r="AE1399" s="35"/>
    </row>
    <row r="1400">
      <c r="A1400" s="30"/>
      <c r="B1400" s="35" t="str">
        <f>'รายชื่อพนักงานลาออกพ้นสภาพ'!B382</f>
        <v/>
      </c>
      <c r="C1400" s="35" t="str">
        <f>'รายชื่อพนักงานลาออกพ้นสภาพ'!C382</f>
        <v/>
      </c>
      <c r="D1400" s="35" t="str">
        <f>'รายชื่อพนักงานลาออกพ้นสภาพ'!D382</f>
        <v/>
      </c>
      <c r="E1400" s="35" t="str">
        <f>'รายชื่อพนักงานลาออกพ้นสภาพ'!E382</f>
        <v/>
      </c>
      <c r="F1400" s="40" t="str">
        <f>'รายชื่อพนักงานลาออกพ้นสภาพ'!H382</f>
        <v/>
      </c>
      <c r="G1400" s="33"/>
      <c r="H1400" s="33"/>
      <c r="I1400" s="33"/>
      <c r="J1400" s="33"/>
      <c r="K1400" s="35"/>
      <c r="L1400" s="35"/>
      <c r="M1400" s="35"/>
      <c r="N1400" s="35"/>
      <c r="O1400" s="35"/>
      <c r="P1400" s="35"/>
      <c r="Q1400" s="35"/>
      <c r="R1400" s="35"/>
      <c r="S1400" s="35"/>
      <c r="T1400" s="35"/>
      <c r="U1400" s="35"/>
      <c r="V1400" s="35"/>
      <c r="W1400" s="35"/>
      <c r="X1400" s="35"/>
      <c r="Y1400" s="35"/>
      <c r="Z1400" s="35"/>
      <c r="AA1400" s="35"/>
      <c r="AB1400" s="35"/>
      <c r="AC1400" s="35"/>
      <c r="AD1400" s="35"/>
      <c r="AE1400" s="35"/>
    </row>
    <row r="1401">
      <c r="A1401" s="30"/>
      <c r="B1401" s="35" t="str">
        <f>'รายชื่อพนักงานลาออกพ้นสภาพ'!B383</f>
        <v/>
      </c>
      <c r="C1401" s="35" t="str">
        <f>'รายชื่อพนักงานลาออกพ้นสภาพ'!C383</f>
        <v/>
      </c>
      <c r="D1401" s="35" t="str">
        <f>'รายชื่อพนักงานลาออกพ้นสภาพ'!D383</f>
        <v/>
      </c>
      <c r="E1401" s="35" t="str">
        <f>'รายชื่อพนักงานลาออกพ้นสภาพ'!E383</f>
        <v/>
      </c>
      <c r="F1401" s="40" t="str">
        <f>'รายชื่อพนักงานลาออกพ้นสภาพ'!H383</f>
        <v/>
      </c>
      <c r="G1401" s="33"/>
      <c r="H1401" s="33"/>
      <c r="I1401" s="33"/>
      <c r="J1401" s="33"/>
      <c r="K1401" s="35"/>
      <c r="L1401" s="35"/>
      <c r="M1401" s="35"/>
      <c r="N1401" s="35"/>
      <c r="O1401" s="35"/>
      <c r="P1401" s="35"/>
      <c r="Q1401" s="35"/>
      <c r="R1401" s="35"/>
      <c r="S1401" s="35"/>
      <c r="T1401" s="35"/>
      <c r="U1401" s="35"/>
      <c r="V1401" s="35"/>
      <c r="W1401" s="35"/>
      <c r="X1401" s="35"/>
      <c r="Y1401" s="35"/>
      <c r="Z1401" s="35"/>
      <c r="AA1401" s="35"/>
      <c r="AB1401" s="35"/>
      <c r="AC1401" s="35"/>
      <c r="AD1401" s="35"/>
      <c r="AE1401" s="35"/>
    </row>
    <row r="1402">
      <c r="A1402" s="30"/>
      <c r="B1402" s="35" t="str">
        <f>'รายชื่อพนักงานลาออกพ้นสภาพ'!B384</f>
        <v/>
      </c>
      <c r="C1402" s="35" t="str">
        <f>'รายชื่อพนักงานลาออกพ้นสภาพ'!C384</f>
        <v/>
      </c>
      <c r="D1402" s="35" t="str">
        <f>'รายชื่อพนักงานลาออกพ้นสภาพ'!D384</f>
        <v/>
      </c>
      <c r="E1402" s="35" t="str">
        <f>'รายชื่อพนักงานลาออกพ้นสภาพ'!E384</f>
        <v/>
      </c>
      <c r="F1402" s="40" t="str">
        <f>'รายชื่อพนักงานลาออกพ้นสภาพ'!H384</f>
        <v/>
      </c>
      <c r="G1402" s="33"/>
      <c r="H1402" s="33"/>
      <c r="I1402" s="33"/>
      <c r="J1402" s="33"/>
      <c r="K1402" s="35"/>
      <c r="L1402" s="35"/>
      <c r="M1402" s="35"/>
      <c r="N1402" s="35"/>
      <c r="O1402" s="35"/>
      <c r="P1402" s="35"/>
      <c r="Q1402" s="35"/>
      <c r="R1402" s="35"/>
      <c r="S1402" s="35"/>
      <c r="T1402" s="35"/>
      <c r="U1402" s="35"/>
      <c r="V1402" s="35"/>
      <c r="W1402" s="35"/>
      <c r="X1402" s="35"/>
      <c r="Y1402" s="35"/>
      <c r="Z1402" s="35"/>
      <c r="AA1402" s="35"/>
      <c r="AB1402" s="35"/>
      <c r="AC1402" s="35"/>
      <c r="AD1402" s="35"/>
      <c r="AE1402" s="35"/>
    </row>
    <row r="1403">
      <c r="A1403" s="30"/>
      <c r="B1403" s="35" t="str">
        <f>'รายชื่อพนักงานลาออกพ้นสภาพ'!B385</f>
        <v/>
      </c>
      <c r="C1403" s="35" t="str">
        <f>'รายชื่อพนักงานลาออกพ้นสภาพ'!C385</f>
        <v/>
      </c>
      <c r="D1403" s="35" t="str">
        <f>'รายชื่อพนักงานลาออกพ้นสภาพ'!D385</f>
        <v/>
      </c>
      <c r="E1403" s="35" t="str">
        <f>'รายชื่อพนักงานลาออกพ้นสภาพ'!E385</f>
        <v/>
      </c>
      <c r="F1403" s="40" t="str">
        <f>'รายชื่อพนักงานลาออกพ้นสภาพ'!H385</f>
        <v/>
      </c>
      <c r="G1403" s="33"/>
      <c r="H1403" s="33"/>
      <c r="I1403" s="33"/>
      <c r="J1403" s="33"/>
      <c r="K1403" s="35"/>
      <c r="L1403" s="35"/>
      <c r="M1403" s="35"/>
      <c r="N1403" s="35"/>
      <c r="O1403" s="35"/>
      <c r="P1403" s="35"/>
      <c r="Q1403" s="35"/>
      <c r="R1403" s="35"/>
      <c r="S1403" s="35"/>
      <c r="T1403" s="35"/>
      <c r="U1403" s="35"/>
      <c r="V1403" s="35"/>
      <c r="W1403" s="35"/>
      <c r="X1403" s="35"/>
      <c r="Y1403" s="35"/>
      <c r="Z1403" s="35"/>
      <c r="AA1403" s="35"/>
      <c r="AB1403" s="35"/>
      <c r="AC1403" s="35"/>
      <c r="AD1403" s="35"/>
      <c r="AE1403" s="35"/>
    </row>
    <row r="1404">
      <c r="A1404" s="30"/>
      <c r="B1404" s="35" t="str">
        <f>'รายชื่อพนักงานลาออกพ้นสภาพ'!B386</f>
        <v/>
      </c>
      <c r="C1404" s="35" t="str">
        <f>'รายชื่อพนักงานลาออกพ้นสภาพ'!C386</f>
        <v/>
      </c>
      <c r="D1404" s="35" t="str">
        <f>'รายชื่อพนักงานลาออกพ้นสภาพ'!D386</f>
        <v/>
      </c>
      <c r="E1404" s="35" t="str">
        <f>'รายชื่อพนักงานลาออกพ้นสภาพ'!E386</f>
        <v/>
      </c>
      <c r="F1404" s="40" t="str">
        <f>'รายชื่อพนักงานลาออกพ้นสภาพ'!H386</f>
        <v/>
      </c>
      <c r="G1404" s="33"/>
      <c r="H1404" s="33"/>
      <c r="I1404" s="33"/>
      <c r="J1404" s="33"/>
      <c r="K1404" s="35"/>
      <c r="L1404" s="35"/>
      <c r="M1404" s="35"/>
      <c r="N1404" s="35"/>
      <c r="O1404" s="35"/>
      <c r="P1404" s="35"/>
      <c r="Q1404" s="35"/>
      <c r="R1404" s="35"/>
      <c r="S1404" s="35"/>
      <c r="T1404" s="35"/>
      <c r="U1404" s="35"/>
      <c r="V1404" s="35"/>
      <c r="W1404" s="35"/>
      <c r="X1404" s="35"/>
      <c r="Y1404" s="35"/>
      <c r="Z1404" s="35"/>
      <c r="AA1404" s="35"/>
      <c r="AB1404" s="35"/>
      <c r="AC1404" s="35"/>
      <c r="AD1404" s="35"/>
      <c r="AE1404" s="35"/>
    </row>
    <row r="1405">
      <c r="A1405" s="30"/>
      <c r="B1405" s="35" t="str">
        <f>'รายชื่อพนักงานลาออกพ้นสภาพ'!B387</f>
        <v/>
      </c>
      <c r="C1405" s="35" t="str">
        <f>'รายชื่อพนักงานลาออกพ้นสภาพ'!C387</f>
        <v/>
      </c>
      <c r="D1405" s="35" t="str">
        <f>'รายชื่อพนักงานลาออกพ้นสภาพ'!D387</f>
        <v/>
      </c>
      <c r="E1405" s="35" t="str">
        <f>'รายชื่อพนักงานลาออกพ้นสภาพ'!E387</f>
        <v/>
      </c>
      <c r="F1405" s="40" t="str">
        <f>'รายชื่อพนักงานลาออกพ้นสภาพ'!H387</f>
        <v/>
      </c>
      <c r="G1405" s="33"/>
      <c r="H1405" s="33"/>
      <c r="I1405" s="33"/>
      <c r="J1405" s="33"/>
      <c r="K1405" s="35"/>
      <c r="L1405" s="35"/>
      <c r="M1405" s="35"/>
      <c r="N1405" s="35"/>
      <c r="O1405" s="35"/>
      <c r="P1405" s="35"/>
      <c r="Q1405" s="35"/>
      <c r="R1405" s="35"/>
      <c r="S1405" s="35"/>
      <c r="T1405" s="35"/>
      <c r="U1405" s="35"/>
      <c r="V1405" s="35"/>
      <c r="W1405" s="35"/>
      <c r="X1405" s="35"/>
      <c r="Y1405" s="35"/>
      <c r="Z1405" s="35"/>
      <c r="AA1405" s="35"/>
      <c r="AB1405" s="35"/>
      <c r="AC1405" s="35"/>
      <c r="AD1405" s="35"/>
      <c r="AE1405" s="35"/>
    </row>
    <row r="1406">
      <c r="A1406" s="30"/>
      <c r="B1406" s="35" t="str">
        <f>'รายชื่อพนักงานลาออกพ้นสภาพ'!B388</f>
        <v/>
      </c>
      <c r="C1406" s="35" t="str">
        <f>'รายชื่อพนักงานลาออกพ้นสภาพ'!C388</f>
        <v/>
      </c>
      <c r="D1406" s="35" t="str">
        <f>'รายชื่อพนักงานลาออกพ้นสภาพ'!D388</f>
        <v/>
      </c>
      <c r="E1406" s="35" t="str">
        <f>'รายชื่อพนักงานลาออกพ้นสภาพ'!E388</f>
        <v/>
      </c>
      <c r="F1406" s="40" t="str">
        <f>'รายชื่อพนักงานลาออกพ้นสภาพ'!H388</f>
        <v/>
      </c>
      <c r="G1406" s="33"/>
      <c r="H1406" s="33"/>
      <c r="I1406" s="33"/>
      <c r="J1406" s="33"/>
      <c r="K1406" s="35"/>
      <c r="L1406" s="35"/>
      <c r="M1406" s="35"/>
      <c r="N1406" s="35"/>
      <c r="O1406" s="35"/>
      <c r="P1406" s="35"/>
      <c r="Q1406" s="35"/>
      <c r="R1406" s="35"/>
      <c r="S1406" s="35"/>
      <c r="T1406" s="35"/>
      <c r="U1406" s="35"/>
      <c r="V1406" s="35"/>
      <c r="W1406" s="35"/>
      <c r="X1406" s="35"/>
      <c r="Y1406" s="35"/>
      <c r="Z1406" s="35"/>
      <c r="AA1406" s="35"/>
      <c r="AB1406" s="35"/>
      <c r="AC1406" s="35"/>
      <c r="AD1406" s="35"/>
      <c r="AE1406" s="35"/>
    </row>
    <row r="1407">
      <c r="A1407" s="30"/>
      <c r="B1407" s="35" t="str">
        <f>'รายชื่อพนักงานลาออกพ้นสภาพ'!B389</f>
        <v/>
      </c>
      <c r="C1407" s="35" t="str">
        <f>'รายชื่อพนักงานลาออกพ้นสภาพ'!C389</f>
        <v/>
      </c>
      <c r="D1407" s="35" t="str">
        <f>'รายชื่อพนักงานลาออกพ้นสภาพ'!D389</f>
        <v/>
      </c>
      <c r="E1407" s="35" t="str">
        <f>'รายชื่อพนักงานลาออกพ้นสภาพ'!E389</f>
        <v/>
      </c>
      <c r="F1407" s="40" t="str">
        <f>'รายชื่อพนักงานลาออกพ้นสภาพ'!H389</f>
        <v/>
      </c>
      <c r="G1407" s="33"/>
      <c r="H1407" s="33"/>
      <c r="I1407" s="33"/>
      <c r="J1407" s="33"/>
      <c r="K1407" s="35"/>
      <c r="L1407" s="35"/>
      <c r="M1407" s="35"/>
      <c r="N1407" s="35"/>
      <c r="O1407" s="35"/>
      <c r="P1407" s="35"/>
      <c r="Q1407" s="35"/>
      <c r="R1407" s="35"/>
      <c r="S1407" s="35"/>
      <c r="T1407" s="35"/>
      <c r="U1407" s="35"/>
      <c r="V1407" s="35"/>
      <c r="W1407" s="35"/>
      <c r="X1407" s="35"/>
      <c r="Y1407" s="35"/>
      <c r="Z1407" s="35"/>
      <c r="AA1407" s="35"/>
      <c r="AB1407" s="35"/>
      <c r="AC1407" s="35"/>
      <c r="AD1407" s="35"/>
      <c r="AE1407" s="35"/>
    </row>
    <row r="1408">
      <c r="A1408" s="30"/>
      <c r="B1408" s="35" t="str">
        <f>'รายชื่อพนักงานลาออกพ้นสภาพ'!B390</f>
        <v/>
      </c>
      <c r="C1408" s="35" t="str">
        <f>'รายชื่อพนักงานลาออกพ้นสภาพ'!C390</f>
        <v/>
      </c>
      <c r="D1408" s="35" t="str">
        <f>'รายชื่อพนักงานลาออกพ้นสภาพ'!D390</f>
        <v/>
      </c>
      <c r="E1408" s="35" t="str">
        <f>'รายชื่อพนักงานลาออกพ้นสภาพ'!E390</f>
        <v/>
      </c>
      <c r="F1408" s="40" t="str">
        <f>'รายชื่อพนักงานลาออกพ้นสภาพ'!H390</f>
        <v/>
      </c>
      <c r="G1408" s="33"/>
      <c r="H1408" s="33"/>
      <c r="I1408" s="33"/>
      <c r="J1408" s="33"/>
      <c r="K1408" s="35"/>
      <c r="L1408" s="35"/>
      <c r="M1408" s="35"/>
      <c r="N1408" s="35"/>
      <c r="O1408" s="35"/>
      <c r="P1408" s="35"/>
      <c r="Q1408" s="35"/>
      <c r="R1408" s="35"/>
      <c r="S1408" s="35"/>
      <c r="T1408" s="35"/>
      <c r="U1408" s="35"/>
      <c r="V1408" s="35"/>
      <c r="W1408" s="35"/>
      <c r="X1408" s="35"/>
      <c r="Y1408" s="35"/>
      <c r="Z1408" s="35"/>
      <c r="AA1408" s="35"/>
      <c r="AB1408" s="35"/>
      <c r="AC1408" s="35"/>
      <c r="AD1408" s="35"/>
      <c r="AE1408" s="35"/>
    </row>
    <row r="1409">
      <c r="A1409" s="30"/>
      <c r="B1409" s="35" t="str">
        <f>'รายชื่อพนักงานลาออกพ้นสภาพ'!B391</f>
        <v/>
      </c>
      <c r="C1409" s="35" t="str">
        <f>'รายชื่อพนักงานลาออกพ้นสภาพ'!C391</f>
        <v/>
      </c>
      <c r="D1409" s="35" t="str">
        <f>'รายชื่อพนักงานลาออกพ้นสภาพ'!D391</f>
        <v/>
      </c>
      <c r="E1409" s="35" t="str">
        <f>'รายชื่อพนักงานลาออกพ้นสภาพ'!E391</f>
        <v/>
      </c>
      <c r="F1409" s="40" t="str">
        <f>'รายชื่อพนักงานลาออกพ้นสภาพ'!H391</f>
        <v/>
      </c>
      <c r="G1409" s="33"/>
      <c r="H1409" s="33"/>
      <c r="I1409" s="33"/>
      <c r="J1409" s="33"/>
      <c r="K1409" s="35"/>
      <c r="L1409" s="35"/>
      <c r="M1409" s="35"/>
      <c r="N1409" s="35"/>
      <c r="O1409" s="35"/>
      <c r="P1409" s="35"/>
      <c r="Q1409" s="35"/>
      <c r="R1409" s="35"/>
      <c r="S1409" s="35"/>
      <c r="T1409" s="35"/>
      <c r="U1409" s="35"/>
      <c r="V1409" s="35"/>
      <c r="W1409" s="35"/>
      <c r="X1409" s="35"/>
      <c r="Y1409" s="35"/>
      <c r="Z1409" s="35"/>
      <c r="AA1409" s="35"/>
      <c r="AB1409" s="35"/>
      <c r="AC1409" s="35"/>
      <c r="AD1409" s="35"/>
      <c r="AE1409" s="35"/>
    </row>
    <row r="1410">
      <c r="A1410" s="30"/>
      <c r="B1410" s="35" t="str">
        <f>'รายชื่อพนักงานลาออกพ้นสภาพ'!B392</f>
        <v/>
      </c>
      <c r="C1410" s="35" t="str">
        <f>'รายชื่อพนักงานลาออกพ้นสภาพ'!C392</f>
        <v/>
      </c>
      <c r="D1410" s="35" t="str">
        <f>'รายชื่อพนักงานลาออกพ้นสภาพ'!D392</f>
        <v/>
      </c>
      <c r="E1410" s="35" t="str">
        <f>'รายชื่อพนักงานลาออกพ้นสภาพ'!E392</f>
        <v/>
      </c>
      <c r="F1410" s="40" t="str">
        <f>'รายชื่อพนักงานลาออกพ้นสภาพ'!H392</f>
        <v/>
      </c>
      <c r="G1410" s="33"/>
      <c r="H1410" s="33"/>
      <c r="I1410" s="33"/>
      <c r="J1410" s="33"/>
      <c r="K1410" s="35"/>
      <c r="L1410" s="35"/>
      <c r="M1410" s="35"/>
      <c r="N1410" s="35"/>
      <c r="O1410" s="35"/>
      <c r="P1410" s="35"/>
      <c r="Q1410" s="35"/>
      <c r="R1410" s="35"/>
      <c r="S1410" s="35"/>
      <c r="T1410" s="35"/>
      <c r="U1410" s="35"/>
      <c r="V1410" s="35"/>
      <c r="W1410" s="35"/>
      <c r="X1410" s="35"/>
      <c r="Y1410" s="35"/>
      <c r="Z1410" s="35"/>
      <c r="AA1410" s="35"/>
      <c r="AB1410" s="35"/>
      <c r="AC1410" s="35"/>
      <c r="AD1410" s="35"/>
      <c r="AE1410" s="35"/>
    </row>
    <row r="1411">
      <c r="A1411" s="30"/>
      <c r="B1411" s="35" t="str">
        <f>'รายชื่อพนักงานลาออกพ้นสภาพ'!B393</f>
        <v/>
      </c>
      <c r="C1411" s="35" t="str">
        <f>'รายชื่อพนักงานลาออกพ้นสภาพ'!C393</f>
        <v/>
      </c>
      <c r="D1411" s="35" t="str">
        <f>'รายชื่อพนักงานลาออกพ้นสภาพ'!D393</f>
        <v/>
      </c>
      <c r="E1411" s="35" t="str">
        <f>'รายชื่อพนักงานลาออกพ้นสภาพ'!E393</f>
        <v/>
      </c>
      <c r="F1411" s="40" t="str">
        <f>'รายชื่อพนักงานลาออกพ้นสภาพ'!H393</f>
        <v/>
      </c>
      <c r="G1411" s="33"/>
      <c r="H1411" s="33"/>
      <c r="I1411" s="33"/>
      <c r="J1411" s="33"/>
      <c r="K1411" s="35"/>
      <c r="L1411" s="35"/>
      <c r="M1411" s="35"/>
      <c r="N1411" s="35"/>
      <c r="O1411" s="35"/>
      <c r="P1411" s="35"/>
      <c r="Q1411" s="35"/>
      <c r="R1411" s="35"/>
      <c r="S1411" s="35"/>
      <c r="T1411" s="35"/>
      <c r="U1411" s="35"/>
      <c r="V1411" s="35"/>
      <c r="W1411" s="35"/>
      <c r="X1411" s="35"/>
      <c r="Y1411" s="35"/>
      <c r="Z1411" s="35"/>
      <c r="AA1411" s="35"/>
      <c r="AB1411" s="35"/>
      <c r="AC1411" s="35"/>
      <c r="AD1411" s="35"/>
      <c r="AE1411" s="35"/>
    </row>
    <row r="1412">
      <c r="A1412" s="30"/>
      <c r="B1412" s="35" t="str">
        <f>'รายชื่อพนักงานลาออกพ้นสภาพ'!B394</f>
        <v/>
      </c>
      <c r="C1412" s="35" t="str">
        <f>'รายชื่อพนักงานลาออกพ้นสภาพ'!C394</f>
        <v/>
      </c>
      <c r="D1412" s="35" t="str">
        <f>'รายชื่อพนักงานลาออกพ้นสภาพ'!D394</f>
        <v/>
      </c>
      <c r="E1412" s="35" t="str">
        <f>'รายชื่อพนักงานลาออกพ้นสภาพ'!E394</f>
        <v/>
      </c>
      <c r="F1412" s="40" t="str">
        <f>'รายชื่อพนักงานลาออกพ้นสภาพ'!H394</f>
        <v/>
      </c>
      <c r="G1412" s="33"/>
      <c r="H1412" s="33"/>
      <c r="I1412" s="33"/>
      <c r="J1412" s="33"/>
      <c r="K1412" s="35"/>
      <c r="L1412" s="35"/>
      <c r="M1412" s="35"/>
      <c r="N1412" s="35"/>
      <c r="O1412" s="35"/>
      <c r="P1412" s="35"/>
      <c r="Q1412" s="35"/>
      <c r="R1412" s="35"/>
      <c r="S1412" s="35"/>
      <c r="T1412" s="35"/>
      <c r="U1412" s="35"/>
      <c r="V1412" s="35"/>
      <c r="W1412" s="35"/>
      <c r="X1412" s="35"/>
      <c r="Y1412" s="35"/>
      <c r="Z1412" s="35"/>
      <c r="AA1412" s="35"/>
      <c r="AB1412" s="35"/>
      <c r="AC1412" s="35"/>
      <c r="AD1412" s="35"/>
      <c r="AE1412" s="35"/>
    </row>
    <row r="1413">
      <c r="A1413" s="30"/>
      <c r="B1413" s="35" t="str">
        <f>'รายชื่อพนักงานลาออกพ้นสภาพ'!B395</f>
        <v/>
      </c>
      <c r="C1413" s="35" t="str">
        <f>'รายชื่อพนักงานลาออกพ้นสภาพ'!C395</f>
        <v/>
      </c>
      <c r="D1413" s="35" t="str">
        <f>'รายชื่อพนักงานลาออกพ้นสภาพ'!D395</f>
        <v/>
      </c>
      <c r="E1413" s="35" t="str">
        <f>'รายชื่อพนักงานลาออกพ้นสภาพ'!E395</f>
        <v/>
      </c>
      <c r="F1413" s="40" t="str">
        <f>'รายชื่อพนักงานลาออกพ้นสภาพ'!H395</f>
        <v/>
      </c>
      <c r="G1413" s="33"/>
      <c r="H1413" s="33"/>
      <c r="I1413" s="33"/>
      <c r="J1413" s="33"/>
      <c r="K1413" s="35"/>
      <c r="L1413" s="35"/>
      <c r="M1413" s="35"/>
      <c r="N1413" s="35"/>
      <c r="O1413" s="35"/>
      <c r="P1413" s="35"/>
      <c r="Q1413" s="35"/>
      <c r="R1413" s="35"/>
      <c r="S1413" s="35"/>
      <c r="T1413" s="35"/>
      <c r="U1413" s="35"/>
      <c r="V1413" s="35"/>
      <c r="W1413" s="35"/>
      <c r="X1413" s="35"/>
      <c r="Y1413" s="35"/>
      <c r="Z1413" s="35"/>
      <c r="AA1413" s="35"/>
      <c r="AB1413" s="35"/>
      <c r="AC1413" s="35"/>
      <c r="AD1413" s="35"/>
      <c r="AE1413" s="35"/>
    </row>
    <row r="1414">
      <c r="A1414" s="30"/>
      <c r="B1414" s="35" t="str">
        <f>'รายชื่อพนักงานลาออกพ้นสภาพ'!B396</f>
        <v/>
      </c>
      <c r="C1414" s="35" t="str">
        <f>'รายชื่อพนักงานลาออกพ้นสภาพ'!C396</f>
        <v/>
      </c>
      <c r="D1414" s="35" t="str">
        <f>'รายชื่อพนักงานลาออกพ้นสภาพ'!D396</f>
        <v/>
      </c>
      <c r="E1414" s="35" t="str">
        <f>'รายชื่อพนักงานลาออกพ้นสภาพ'!E396</f>
        <v/>
      </c>
      <c r="F1414" s="40" t="str">
        <f>'รายชื่อพนักงานลาออกพ้นสภาพ'!H396</f>
        <v/>
      </c>
      <c r="G1414" s="33"/>
      <c r="H1414" s="33"/>
      <c r="I1414" s="33"/>
      <c r="J1414" s="33"/>
      <c r="K1414" s="35"/>
      <c r="L1414" s="35"/>
      <c r="M1414" s="35"/>
      <c r="N1414" s="35"/>
      <c r="O1414" s="35"/>
      <c r="P1414" s="35"/>
      <c r="Q1414" s="35"/>
      <c r="R1414" s="35"/>
      <c r="S1414" s="35"/>
      <c r="T1414" s="35"/>
      <c r="U1414" s="35"/>
      <c r="V1414" s="35"/>
      <c r="W1414" s="35"/>
      <c r="X1414" s="35"/>
      <c r="Y1414" s="35"/>
      <c r="Z1414" s="35"/>
      <c r="AA1414" s="35"/>
      <c r="AB1414" s="35"/>
      <c r="AC1414" s="35"/>
      <c r="AD1414" s="35"/>
      <c r="AE1414" s="35"/>
    </row>
    <row r="1415">
      <c r="A1415" s="30"/>
      <c r="B1415" s="35" t="str">
        <f>'รายชื่อพนักงานลาออกพ้นสภาพ'!B397</f>
        <v/>
      </c>
      <c r="C1415" s="35" t="str">
        <f>'รายชื่อพนักงานลาออกพ้นสภาพ'!C397</f>
        <v/>
      </c>
      <c r="D1415" s="35" t="str">
        <f>'รายชื่อพนักงานลาออกพ้นสภาพ'!D397</f>
        <v/>
      </c>
      <c r="E1415" s="35" t="str">
        <f>'รายชื่อพนักงานลาออกพ้นสภาพ'!E397</f>
        <v/>
      </c>
      <c r="F1415" s="40" t="str">
        <f>'รายชื่อพนักงานลาออกพ้นสภาพ'!H397</f>
        <v/>
      </c>
      <c r="G1415" s="33"/>
      <c r="H1415" s="33"/>
      <c r="I1415" s="33"/>
      <c r="J1415" s="33"/>
      <c r="K1415" s="35"/>
      <c r="L1415" s="35"/>
      <c r="M1415" s="35"/>
      <c r="N1415" s="35"/>
      <c r="O1415" s="35"/>
      <c r="P1415" s="35"/>
      <c r="Q1415" s="35"/>
      <c r="R1415" s="35"/>
      <c r="S1415" s="35"/>
      <c r="T1415" s="35"/>
      <c r="U1415" s="35"/>
      <c r="V1415" s="35"/>
      <c r="W1415" s="35"/>
      <c r="X1415" s="35"/>
      <c r="Y1415" s="35"/>
      <c r="Z1415" s="35"/>
      <c r="AA1415" s="35"/>
      <c r="AB1415" s="35"/>
      <c r="AC1415" s="35"/>
      <c r="AD1415" s="35"/>
      <c r="AE1415" s="35"/>
    </row>
    <row r="1416">
      <c r="A1416" s="30"/>
      <c r="B1416" s="35" t="str">
        <f>'รายชื่อพนักงานลาออกพ้นสภาพ'!B398</f>
        <v/>
      </c>
      <c r="C1416" s="35" t="str">
        <f>'รายชื่อพนักงานลาออกพ้นสภาพ'!C398</f>
        <v/>
      </c>
      <c r="D1416" s="35" t="str">
        <f>'รายชื่อพนักงานลาออกพ้นสภาพ'!D398</f>
        <v/>
      </c>
      <c r="E1416" s="35" t="str">
        <f>'รายชื่อพนักงานลาออกพ้นสภาพ'!E398</f>
        <v/>
      </c>
      <c r="F1416" s="40" t="str">
        <f>'รายชื่อพนักงานลาออกพ้นสภาพ'!H398</f>
        <v/>
      </c>
      <c r="G1416" s="33"/>
      <c r="H1416" s="33"/>
      <c r="I1416" s="33"/>
      <c r="J1416" s="33"/>
      <c r="K1416" s="35"/>
      <c r="L1416" s="35"/>
      <c r="M1416" s="35"/>
      <c r="N1416" s="35"/>
      <c r="O1416" s="35"/>
      <c r="P1416" s="35"/>
      <c r="Q1416" s="35"/>
      <c r="R1416" s="35"/>
      <c r="S1416" s="35"/>
      <c r="T1416" s="35"/>
      <c r="U1416" s="35"/>
      <c r="V1416" s="35"/>
      <c r="W1416" s="35"/>
      <c r="X1416" s="35"/>
      <c r="Y1416" s="35"/>
      <c r="Z1416" s="35"/>
      <c r="AA1416" s="35"/>
      <c r="AB1416" s="35"/>
      <c r="AC1416" s="35"/>
      <c r="AD1416" s="35"/>
      <c r="AE1416" s="35"/>
    </row>
    <row r="1417">
      <c r="A1417" s="30"/>
      <c r="B1417" s="35" t="str">
        <f>'รายชื่อพนักงานลาออกพ้นสภาพ'!B399</f>
        <v/>
      </c>
      <c r="C1417" s="35" t="str">
        <f>'รายชื่อพนักงานลาออกพ้นสภาพ'!C399</f>
        <v/>
      </c>
      <c r="D1417" s="35" t="str">
        <f>'รายชื่อพนักงานลาออกพ้นสภาพ'!D399</f>
        <v/>
      </c>
      <c r="E1417" s="35" t="str">
        <f>'รายชื่อพนักงานลาออกพ้นสภาพ'!E399</f>
        <v/>
      </c>
      <c r="F1417" s="40" t="str">
        <f>'รายชื่อพนักงานลาออกพ้นสภาพ'!H399</f>
        <v/>
      </c>
      <c r="G1417" s="33"/>
      <c r="H1417" s="33"/>
      <c r="I1417" s="33"/>
      <c r="J1417" s="33"/>
      <c r="K1417" s="35"/>
      <c r="L1417" s="35"/>
      <c r="M1417" s="35"/>
      <c r="N1417" s="35"/>
      <c r="O1417" s="35"/>
      <c r="P1417" s="35"/>
      <c r="Q1417" s="35"/>
      <c r="R1417" s="35"/>
      <c r="S1417" s="35"/>
      <c r="T1417" s="35"/>
      <c r="U1417" s="35"/>
      <c r="V1417" s="35"/>
      <c r="W1417" s="35"/>
      <c r="X1417" s="35"/>
      <c r="Y1417" s="35"/>
      <c r="Z1417" s="35"/>
      <c r="AA1417" s="35"/>
      <c r="AB1417" s="35"/>
      <c r="AC1417" s="35"/>
      <c r="AD1417" s="35"/>
      <c r="AE1417" s="35"/>
    </row>
    <row r="1418">
      <c r="A1418" s="30"/>
      <c r="B1418" s="35" t="str">
        <f>'รายชื่อพนักงานลาออกพ้นสภาพ'!B400</f>
        <v/>
      </c>
      <c r="C1418" s="35" t="str">
        <f>'รายชื่อพนักงานลาออกพ้นสภาพ'!C400</f>
        <v/>
      </c>
      <c r="D1418" s="35" t="str">
        <f>'รายชื่อพนักงานลาออกพ้นสภาพ'!D400</f>
        <v/>
      </c>
      <c r="E1418" s="35" t="str">
        <f>'รายชื่อพนักงานลาออกพ้นสภาพ'!E400</f>
        <v/>
      </c>
      <c r="F1418" s="40" t="str">
        <f>'รายชื่อพนักงานลาออกพ้นสภาพ'!H400</f>
        <v/>
      </c>
      <c r="G1418" s="33"/>
      <c r="H1418" s="33"/>
      <c r="I1418" s="33"/>
      <c r="J1418" s="33"/>
      <c r="K1418" s="35"/>
      <c r="L1418" s="35"/>
      <c r="M1418" s="35"/>
      <c r="N1418" s="35"/>
      <c r="O1418" s="35"/>
      <c r="P1418" s="35"/>
      <c r="Q1418" s="35"/>
      <c r="R1418" s="35"/>
      <c r="S1418" s="35"/>
      <c r="T1418" s="35"/>
      <c r="U1418" s="35"/>
      <c r="V1418" s="35"/>
      <c r="W1418" s="35"/>
      <c r="X1418" s="35"/>
      <c r="Y1418" s="35"/>
      <c r="Z1418" s="35"/>
      <c r="AA1418" s="35"/>
      <c r="AB1418" s="35"/>
      <c r="AC1418" s="35"/>
      <c r="AD1418" s="35"/>
      <c r="AE1418" s="35"/>
    </row>
    <row r="1419">
      <c r="A1419" s="30"/>
      <c r="B1419" s="35" t="str">
        <f>'รายชื่อพนักงานลาออกพ้นสภาพ'!B401</f>
        <v/>
      </c>
      <c r="C1419" s="35" t="str">
        <f>'รายชื่อพนักงานลาออกพ้นสภาพ'!C401</f>
        <v/>
      </c>
      <c r="D1419" s="35" t="str">
        <f>'รายชื่อพนักงานลาออกพ้นสภาพ'!D401</f>
        <v/>
      </c>
      <c r="E1419" s="35" t="str">
        <f>'รายชื่อพนักงานลาออกพ้นสภาพ'!E401</f>
        <v/>
      </c>
      <c r="F1419" s="40" t="str">
        <f>'รายชื่อพนักงานลาออกพ้นสภาพ'!H401</f>
        <v/>
      </c>
      <c r="G1419" s="33"/>
      <c r="H1419" s="33"/>
      <c r="I1419" s="33"/>
      <c r="J1419" s="33"/>
      <c r="K1419" s="35"/>
      <c r="L1419" s="35"/>
      <c r="M1419" s="35"/>
      <c r="N1419" s="35"/>
      <c r="O1419" s="35"/>
      <c r="P1419" s="35"/>
      <c r="Q1419" s="35"/>
      <c r="R1419" s="35"/>
      <c r="S1419" s="35"/>
      <c r="T1419" s="35"/>
      <c r="U1419" s="35"/>
      <c r="V1419" s="35"/>
      <c r="W1419" s="35"/>
      <c r="X1419" s="35"/>
      <c r="Y1419" s="35"/>
      <c r="Z1419" s="35"/>
      <c r="AA1419" s="35"/>
      <c r="AB1419" s="35"/>
      <c r="AC1419" s="35"/>
      <c r="AD1419" s="35"/>
      <c r="AE1419" s="35"/>
    </row>
    <row r="1420">
      <c r="A1420" s="30"/>
      <c r="B1420" s="35" t="str">
        <f>'รายชื่อพนักงานลาออกพ้นสภาพ'!B402</f>
        <v/>
      </c>
      <c r="C1420" s="35" t="str">
        <f>'รายชื่อพนักงานลาออกพ้นสภาพ'!C402</f>
        <v/>
      </c>
      <c r="D1420" s="35" t="str">
        <f>'รายชื่อพนักงานลาออกพ้นสภาพ'!D402</f>
        <v/>
      </c>
      <c r="E1420" s="35" t="str">
        <f>'รายชื่อพนักงานลาออกพ้นสภาพ'!E402</f>
        <v/>
      </c>
      <c r="F1420" s="40" t="str">
        <f>'รายชื่อพนักงานลาออกพ้นสภาพ'!H402</f>
        <v/>
      </c>
      <c r="G1420" s="33"/>
      <c r="H1420" s="33"/>
      <c r="I1420" s="33"/>
      <c r="J1420" s="33"/>
      <c r="K1420" s="35"/>
      <c r="L1420" s="35"/>
      <c r="M1420" s="35"/>
      <c r="N1420" s="35"/>
      <c r="O1420" s="35"/>
      <c r="P1420" s="35"/>
      <c r="Q1420" s="35"/>
      <c r="R1420" s="35"/>
      <c r="S1420" s="35"/>
      <c r="T1420" s="35"/>
      <c r="U1420" s="35"/>
      <c r="V1420" s="35"/>
      <c r="W1420" s="35"/>
      <c r="X1420" s="35"/>
      <c r="Y1420" s="35"/>
      <c r="Z1420" s="35"/>
      <c r="AA1420" s="35"/>
      <c r="AB1420" s="35"/>
      <c r="AC1420" s="35"/>
      <c r="AD1420" s="35"/>
      <c r="AE1420" s="35"/>
    </row>
    <row r="1421">
      <c r="A1421" s="30"/>
      <c r="B1421" s="35" t="str">
        <f>'รายชื่อพนักงานลาออกพ้นสภาพ'!B403</f>
        <v/>
      </c>
      <c r="C1421" s="35" t="str">
        <f>'รายชื่อพนักงานลาออกพ้นสภาพ'!C403</f>
        <v/>
      </c>
      <c r="D1421" s="35" t="str">
        <f>'รายชื่อพนักงานลาออกพ้นสภาพ'!D403</f>
        <v/>
      </c>
      <c r="E1421" s="35" t="str">
        <f>'รายชื่อพนักงานลาออกพ้นสภาพ'!E403</f>
        <v/>
      </c>
      <c r="F1421" s="40" t="str">
        <f>'รายชื่อพนักงานลาออกพ้นสภาพ'!H403</f>
        <v/>
      </c>
      <c r="G1421" s="33"/>
      <c r="H1421" s="33"/>
      <c r="I1421" s="33"/>
      <c r="J1421" s="33"/>
      <c r="K1421" s="35"/>
      <c r="L1421" s="35"/>
      <c r="M1421" s="35"/>
      <c r="N1421" s="35"/>
      <c r="O1421" s="35"/>
      <c r="P1421" s="35"/>
      <c r="Q1421" s="35"/>
      <c r="R1421" s="35"/>
      <c r="S1421" s="35"/>
      <c r="T1421" s="35"/>
      <c r="U1421" s="35"/>
      <c r="V1421" s="35"/>
      <c r="W1421" s="35"/>
      <c r="X1421" s="35"/>
      <c r="Y1421" s="35"/>
      <c r="Z1421" s="35"/>
      <c r="AA1421" s="35"/>
      <c r="AB1421" s="35"/>
      <c r="AC1421" s="35"/>
      <c r="AD1421" s="35"/>
      <c r="AE1421" s="35"/>
    </row>
    <row r="1422">
      <c r="A1422" s="30"/>
      <c r="B1422" s="35" t="str">
        <f>'รายชื่อพนักงานลาออกพ้นสภาพ'!B404</f>
        <v/>
      </c>
      <c r="C1422" s="35" t="str">
        <f>'รายชื่อพนักงานลาออกพ้นสภาพ'!C404</f>
        <v/>
      </c>
      <c r="D1422" s="35" t="str">
        <f>'รายชื่อพนักงานลาออกพ้นสภาพ'!D404</f>
        <v/>
      </c>
      <c r="E1422" s="35" t="str">
        <f>'รายชื่อพนักงานลาออกพ้นสภาพ'!E404</f>
        <v/>
      </c>
      <c r="F1422" s="40" t="str">
        <f>'รายชื่อพนักงานลาออกพ้นสภาพ'!H404</f>
        <v/>
      </c>
      <c r="G1422" s="33"/>
      <c r="H1422" s="33"/>
      <c r="I1422" s="33"/>
      <c r="J1422" s="33"/>
      <c r="K1422" s="35"/>
      <c r="L1422" s="35"/>
      <c r="M1422" s="35"/>
      <c r="N1422" s="35"/>
      <c r="O1422" s="35"/>
      <c r="P1422" s="35"/>
      <c r="Q1422" s="35"/>
      <c r="R1422" s="35"/>
      <c r="S1422" s="35"/>
      <c r="T1422" s="35"/>
      <c r="U1422" s="35"/>
      <c r="V1422" s="35"/>
      <c r="W1422" s="35"/>
      <c r="X1422" s="35"/>
      <c r="Y1422" s="35"/>
      <c r="Z1422" s="35"/>
      <c r="AA1422" s="35"/>
      <c r="AB1422" s="35"/>
      <c r="AC1422" s="35"/>
      <c r="AD1422" s="35"/>
      <c r="AE1422" s="35"/>
    </row>
    <row r="1423">
      <c r="A1423" s="30"/>
      <c r="B1423" s="35" t="str">
        <f>'รายชื่อพนักงานลาออกพ้นสภาพ'!B405</f>
        <v/>
      </c>
      <c r="C1423" s="35" t="str">
        <f>'รายชื่อพนักงานลาออกพ้นสภาพ'!C405</f>
        <v/>
      </c>
      <c r="D1423" s="35" t="str">
        <f>'รายชื่อพนักงานลาออกพ้นสภาพ'!D405</f>
        <v/>
      </c>
      <c r="E1423" s="35" t="str">
        <f>'รายชื่อพนักงานลาออกพ้นสภาพ'!E405</f>
        <v/>
      </c>
      <c r="F1423" s="40" t="str">
        <f>'รายชื่อพนักงานลาออกพ้นสภาพ'!H405</f>
        <v/>
      </c>
      <c r="G1423" s="33"/>
      <c r="H1423" s="33"/>
      <c r="I1423" s="33"/>
      <c r="J1423" s="33"/>
      <c r="K1423" s="35"/>
      <c r="L1423" s="35"/>
      <c r="M1423" s="35"/>
      <c r="N1423" s="35"/>
      <c r="O1423" s="35"/>
      <c r="P1423" s="35"/>
      <c r="Q1423" s="35"/>
      <c r="R1423" s="35"/>
      <c r="S1423" s="35"/>
      <c r="T1423" s="35"/>
      <c r="U1423" s="35"/>
      <c r="V1423" s="35"/>
      <c r="W1423" s="35"/>
      <c r="X1423" s="35"/>
      <c r="Y1423" s="35"/>
      <c r="Z1423" s="35"/>
      <c r="AA1423" s="35"/>
      <c r="AB1423" s="35"/>
      <c r="AC1423" s="35"/>
      <c r="AD1423" s="35"/>
      <c r="AE1423" s="35"/>
    </row>
    <row r="1424">
      <c r="A1424" s="30"/>
      <c r="B1424" s="35" t="str">
        <f>'รายชื่อพนักงานลาออกพ้นสภาพ'!B406</f>
        <v/>
      </c>
      <c r="C1424" s="35" t="str">
        <f>'รายชื่อพนักงานลาออกพ้นสภาพ'!C406</f>
        <v/>
      </c>
      <c r="D1424" s="35" t="str">
        <f>'รายชื่อพนักงานลาออกพ้นสภาพ'!D406</f>
        <v/>
      </c>
      <c r="E1424" s="35" t="str">
        <f>'รายชื่อพนักงานลาออกพ้นสภาพ'!E406</f>
        <v/>
      </c>
      <c r="F1424" s="40" t="str">
        <f>'รายชื่อพนักงานลาออกพ้นสภาพ'!H406</f>
        <v/>
      </c>
      <c r="G1424" s="33"/>
      <c r="H1424" s="33"/>
      <c r="I1424" s="33"/>
      <c r="J1424" s="33"/>
      <c r="K1424" s="35"/>
      <c r="L1424" s="35"/>
      <c r="M1424" s="35"/>
      <c r="N1424" s="35"/>
      <c r="O1424" s="35"/>
      <c r="P1424" s="35"/>
      <c r="Q1424" s="35"/>
      <c r="R1424" s="35"/>
      <c r="S1424" s="35"/>
      <c r="T1424" s="35"/>
      <c r="U1424" s="35"/>
      <c r="V1424" s="35"/>
      <c r="W1424" s="35"/>
      <c r="X1424" s="35"/>
      <c r="Y1424" s="35"/>
      <c r="Z1424" s="35"/>
      <c r="AA1424" s="35"/>
      <c r="AB1424" s="35"/>
      <c r="AC1424" s="35"/>
      <c r="AD1424" s="35"/>
      <c r="AE1424" s="35"/>
    </row>
    <row r="1425">
      <c r="A1425" s="30"/>
      <c r="B1425" s="35" t="str">
        <f>'รายชื่อพนักงานลาออกพ้นสภาพ'!B407</f>
        <v/>
      </c>
      <c r="C1425" s="35" t="str">
        <f>'รายชื่อพนักงานลาออกพ้นสภาพ'!C407</f>
        <v/>
      </c>
      <c r="D1425" s="35" t="str">
        <f>'รายชื่อพนักงานลาออกพ้นสภาพ'!D407</f>
        <v/>
      </c>
      <c r="E1425" s="35" t="str">
        <f>'รายชื่อพนักงานลาออกพ้นสภาพ'!E407</f>
        <v/>
      </c>
      <c r="F1425" s="40" t="str">
        <f>'รายชื่อพนักงานลาออกพ้นสภาพ'!H407</f>
        <v/>
      </c>
      <c r="G1425" s="33"/>
      <c r="H1425" s="33"/>
      <c r="I1425" s="33"/>
      <c r="J1425" s="33"/>
      <c r="K1425" s="35"/>
      <c r="L1425" s="35"/>
      <c r="M1425" s="35"/>
      <c r="N1425" s="35"/>
      <c r="O1425" s="35"/>
      <c r="P1425" s="35"/>
      <c r="Q1425" s="35"/>
      <c r="R1425" s="35"/>
      <c r="S1425" s="35"/>
      <c r="T1425" s="35"/>
      <c r="U1425" s="35"/>
      <c r="V1425" s="35"/>
      <c r="W1425" s="35"/>
      <c r="X1425" s="35"/>
      <c r="Y1425" s="35"/>
      <c r="Z1425" s="35"/>
      <c r="AA1425" s="35"/>
      <c r="AB1425" s="35"/>
      <c r="AC1425" s="35"/>
      <c r="AD1425" s="35"/>
      <c r="AE1425" s="35"/>
    </row>
    <row r="1426">
      <c r="A1426" s="30"/>
      <c r="B1426" s="35" t="str">
        <f>'รายชื่อพนักงานลาออกพ้นสภาพ'!B408</f>
        <v/>
      </c>
      <c r="C1426" s="35" t="str">
        <f>'รายชื่อพนักงานลาออกพ้นสภาพ'!C408</f>
        <v/>
      </c>
      <c r="D1426" s="35" t="str">
        <f>'รายชื่อพนักงานลาออกพ้นสภาพ'!D408</f>
        <v/>
      </c>
      <c r="E1426" s="35" t="str">
        <f>'รายชื่อพนักงานลาออกพ้นสภาพ'!E408</f>
        <v/>
      </c>
      <c r="F1426" s="40" t="str">
        <f>'รายชื่อพนักงานลาออกพ้นสภาพ'!H408</f>
        <v/>
      </c>
      <c r="G1426" s="33"/>
      <c r="H1426" s="33"/>
      <c r="I1426" s="33"/>
      <c r="J1426" s="33"/>
      <c r="K1426" s="35"/>
      <c r="L1426" s="35"/>
      <c r="M1426" s="35"/>
      <c r="N1426" s="35"/>
      <c r="O1426" s="35"/>
      <c r="P1426" s="35"/>
      <c r="Q1426" s="35"/>
      <c r="R1426" s="35"/>
      <c r="S1426" s="35"/>
      <c r="T1426" s="35"/>
      <c r="U1426" s="35"/>
      <c r="V1426" s="35"/>
      <c r="W1426" s="35"/>
      <c r="X1426" s="35"/>
      <c r="Y1426" s="35"/>
      <c r="Z1426" s="35"/>
      <c r="AA1426" s="35"/>
      <c r="AB1426" s="35"/>
      <c r="AC1426" s="35"/>
      <c r="AD1426" s="35"/>
      <c r="AE1426" s="35"/>
    </row>
    <row r="1427">
      <c r="A1427" s="30"/>
      <c r="B1427" s="35" t="str">
        <f>'รายชื่อพนักงานลาออกพ้นสภาพ'!B409</f>
        <v/>
      </c>
      <c r="C1427" s="35" t="str">
        <f>'รายชื่อพนักงานลาออกพ้นสภาพ'!C409</f>
        <v/>
      </c>
      <c r="D1427" s="35" t="str">
        <f>'รายชื่อพนักงานลาออกพ้นสภาพ'!D409</f>
        <v/>
      </c>
      <c r="E1427" s="35" t="str">
        <f>'รายชื่อพนักงานลาออกพ้นสภาพ'!E409</f>
        <v/>
      </c>
      <c r="F1427" s="40" t="str">
        <f>'รายชื่อพนักงานลาออกพ้นสภาพ'!H409</f>
        <v/>
      </c>
      <c r="G1427" s="33"/>
      <c r="H1427" s="33"/>
      <c r="I1427" s="33"/>
      <c r="J1427" s="33"/>
      <c r="K1427" s="35"/>
      <c r="L1427" s="35"/>
      <c r="M1427" s="35"/>
      <c r="N1427" s="35"/>
      <c r="O1427" s="35"/>
      <c r="P1427" s="35"/>
      <c r="Q1427" s="35"/>
      <c r="R1427" s="35"/>
      <c r="S1427" s="35"/>
      <c r="T1427" s="35"/>
      <c r="U1427" s="35"/>
      <c r="V1427" s="35"/>
      <c r="W1427" s="35"/>
      <c r="X1427" s="35"/>
      <c r="Y1427" s="35"/>
      <c r="Z1427" s="35"/>
      <c r="AA1427" s="35"/>
      <c r="AB1427" s="35"/>
      <c r="AC1427" s="35"/>
      <c r="AD1427" s="35"/>
      <c r="AE1427" s="35"/>
    </row>
    <row r="1428">
      <c r="A1428" s="30"/>
      <c r="B1428" s="35" t="str">
        <f>'รายชื่อพนักงานลาออกพ้นสภาพ'!B410</f>
        <v/>
      </c>
      <c r="C1428" s="35" t="str">
        <f>'รายชื่อพนักงานลาออกพ้นสภาพ'!C410</f>
        <v/>
      </c>
      <c r="D1428" s="35" t="str">
        <f>'รายชื่อพนักงานลาออกพ้นสภาพ'!D410</f>
        <v/>
      </c>
      <c r="E1428" s="35" t="str">
        <f>'รายชื่อพนักงานลาออกพ้นสภาพ'!E410</f>
        <v/>
      </c>
      <c r="F1428" s="40" t="str">
        <f>'รายชื่อพนักงานลาออกพ้นสภาพ'!H410</f>
        <v/>
      </c>
      <c r="G1428" s="33"/>
      <c r="H1428" s="33"/>
      <c r="I1428" s="33"/>
      <c r="J1428" s="33"/>
      <c r="K1428" s="35"/>
      <c r="L1428" s="35"/>
      <c r="M1428" s="35"/>
      <c r="N1428" s="35"/>
      <c r="O1428" s="35"/>
      <c r="P1428" s="35"/>
      <c r="Q1428" s="35"/>
      <c r="R1428" s="35"/>
      <c r="S1428" s="35"/>
      <c r="T1428" s="35"/>
      <c r="U1428" s="35"/>
      <c r="V1428" s="35"/>
      <c r="W1428" s="35"/>
      <c r="X1428" s="35"/>
      <c r="Y1428" s="35"/>
      <c r="Z1428" s="35"/>
      <c r="AA1428" s="35"/>
      <c r="AB1428" s="35"/>
      <c r="AC1428" s="35"/>
      <c r="AD1428" s="35"/>
      <c r="AE1428" s="35"/>
    </row>
    <row r="1429">
      <c r="A1429" s="30"/>
      <c r="B1429" s="35" t="str">
        <f>'รายชื่อพนักงานลาออกพ้นสภาพ'!B411</f>
        <v/>
      </c>
      <c r="C1429" s="35" t="str">
        <f>'รายชื่อพนักงานลาออกพ้นสภาพ'!C411</f>
        <v/>
      </c>
      <c r="D1429" s="35" t="str">
        <f>'รายชื่อพนักงานลาออกพ้นสภาพ'!D411</f>
        <v/>
      </c>
      <c r="E1429" s="35" t="str">
        <f>'รายชื่อพนักงานลาออกพ้นสภาพ'!E411</f>
        <v/>
      </c>
      <c r="F1429" s="40" t="str">
        <f>'รายชื่อพนักงานลาออกพ้นสภาพ'!H411</f>
        <v/>
      </c>
      <c r="G1429" s="33"/>
      <c r="H1429" s="33"/>
      <c r="I1429" s="33"/>
      <c r="J1429" s="33"/>
      <c r="K1429" s="35"/>
      <c r="L1429" s="35"/>
      <c r="M1429" s="35"/>
      <c r="N1429" s="35"/>
      <c r="O1429" s="35"/>
      <c r="P1429" s="35"/>
      <c r="Q1429" s="35"/>
      <c r="R1429" s="35"/>
      <c r="S1429" s="35"/>
      <c r="T1429" s="35"/>
      <c r="U1429" s="35"/>
      <c r="V1429" s="35"/>
      <c r="W1429" s="35"/>
      <c r="X1429" s="35"/>
      <c r="Y1429" s="35"/>
      <c r="Z1429" s="35"/>
      <c r="AA1429" s="35"/>
      <c r="AB1429" s="35"/>
      <c r="AC1429" s="35"/>
      <c r="AD1429" s="35"/>
      <c r="AE1429" s="35"/>
    </row>
    <row r="1430">
      <c r="A1430" s="30"/>
      <c r="B1430" s="35" t="str">
        <f>'รายชื่อพนักงานลาออกพ้นสภาพ'!B412</f>
        <v/>
      </c>
      <c r="C1430" s="35" t="str">
        <f>'รายชื่อพนักงานลาออกพ้นสภาพ'!C412</f>
        <v/>
      </c>
      <c r="D1430" s="35" t="str">
        <f>'รายชื่อพนักงานลาออกพ้นสภาพ'!D412</f>
        <v/>
      </c>
      <c r="E1430" s="35" t="str">
        <f>'รายชื่อพนักงานลาออกพ้นสภาพ'!E412</f>
        <v/>
      </c>
      <c r="F1430" s="40" t="str">
        <f>'รายชื่อพนักงานลาออกพ้นสภาพ'!H412</f>
        <v/>
      </c>
      <c r="G1430" s="33"/>
      <c r="H1430" s="33"/>
      <c r="I1430" s="33"/>
      <c r="J1430" s="33"/>
      <c r="K1430" s="35"/>
      <c r="L1430" s="35"/>
      <c r="M1430" s="35"/>
      <c r="N1430" s="35"/>
      <c r="O1430" s="35"/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5"/>
      <c r="AA1430" s="35"/>
      <c r="AB1430" s="35"/>
      <c r="AC1430" s="35"/>
      <c r="AD1430" s="35"/>
      <c r="AE1430" s="35"/>
    </row>
    <row r="1431">
      <c r="A1431" s="30"/>
      <c r="B1431" s="35" t="str">
        <f>'รายชื่อพนักงานลาออกพ้นสภาพ'!B413</f>
        <v/>
      </c>
      <c r="C1431" s="35" t="str">
        <f>'รายชื่อพนักงานลาออกพ้นสภาพ'!C413</f>
        <v/>
      </c>
      <c r="D1431" s="35" t="str">
        <f>'รายชื่อพนักงานลาออกพ้นสภาพ'!D413</f>
        <v/>
      </c>
      <c r="E1431" s="35" t="str">
        <f>'รายชื่อพนักงานลาออกพ้นสภาพ'!E413</f>
        <v/>
      </c>
      <c r="F1431" s="40" t="str">
        <f>'รายชื่อพนักงานลาออกพ้นสภาพ'!H413</f>
        <v/>
      </c>
      <c r="G1431" s="33"/>
      <c r="H1431" s="33"/>
      <c r="I1431" s="33"/>
      <c r="J1431" s="33"/>
      <c r="K1431" s="35"/>
      <c r="L1431" s="35"/>
      <c r="M1431" s="35"/>
      <c r="N1431" s="35"/>
      <c r="O1431" s="35"/>
      <c r="P1431" s="35"/>
      <c r="Q1431" s="35"/>
      <c r="R1431" s="35"/>
      <c r="S1431" s="35"/>
      <c r="T1431" s="35"/>
      <c r="U1431" s="35"/>
      <c r="V1431" s="35"/>
      <c r="W1431" s="35"/>
      <c r="X1431" s="35"/>
      <c r="Y1431" s="35"/>
      <c r="Z1431" s="35"/>
      <c r="AA1431" s="35"/>
      <c r="AB1431" s="35"/>
      <c r="AC1431" s="35"/>
      <c r="AD1431" s="35"/>
      <c r="AE1431" s="35"/>
    </row>
    <row r="1432">
      <c r="A1432" s="30"/>
      <c r="B1432" s="35" t="str">
        <f>'รายชื่อพนักงานลาออกพ้นสภาพ'!B414</f>
        <v/>
      </c>
      <c r="C1432" s="35" t="str">
        <f>'รายชื่อพนักงานลาออกพ้นสภาพ'!C414</f>
        <v/>
      </c>
      <c r="D1432" s="35" t="str">
        <f>'รายชื่อพนักงานลาออกพ้นสภาพ'!D414</f>
        <v/>
      </c>
      <c r="E1432" s="35" t="str">
        <f>'รายชื่อพนักงานลาออกพ้นสภาพ'!E414</f>
        <v/>
      </c>
      <c r="F1432" s="40" t="str">
        <f>'รายชื่อพนักงานลาออกพ้นสภาพ'!H414</f>
        <v/>
      </c>
      <c r="G1432" s="33"/>
      <c r="H1432" s="33"/>
      <c r="I1432" s="33"/>
      <c r="J1432" s="33"/>
      <c r="K1432" s="35"/>
      <c r="L1432" s="35"/>
      <c r="M1432" s="35"/>
      <c r="N1432" s="35"/>
      <c r="O1432" s="35"/>
      <c r="P1432" s="35"/>
      <c r="Q1432" s="35"/>
      <c r="R1432" s="35"/>
      <c r="S1432" s="35"/>
      <c r="T1432" s="35"/>
      <c r="U1432" s="35"/>
      <c r="V1432" s="35"/>
      <c r="W1432" s="35"/>
      <c r="X1432" s="35"/>
      <c r="Y1432" s="35"/>
      <c r="Z1432" s="35"/>
      <c r="AA1432" s="35"/>
      <c r="AB1432" s="35"/>
      <c r="AC1432" s="35"/>
      <c r="AD1432" s="35"/>
      <c r="AE1432" s="35"/>
    </row>
    <row r="1433">
      <c r="A1433" s="30"/>
      <c r="B1433" s="35" t="str">
        <f>'รายชื่อพนักงานลาออกพ้นสภาพ'!B415</f>
        <v/>
      </c>
      <c r="C1433" s="35" t="str">
        <f>'รายชื่อพนักงานลาออกพ้นสภาพ'!C415</f>
        <v/>
      </c>
      <c r="D1433" s="35" t="str">
        <f>'รายชื่อพนักงานลาออกพ้นสภาพ'!D415</f>
        <v/>
      </c>
      <c r="E1433" s="35" t="str">
        <f>'รายชื่อพนักงานลาออกพ้นสภาพ'!E415</f>
        <v/>
      </c>
      <c r="F1433" s="40" t="str">
        <f>'รายชื่อพนักงานลาออกพ้นสภาพ'!H415</f>
        <v/>
      </c>
      <c r="G1433" s="33"/>
      <c r="H1433" s="33"/>
      <c r="I1433" s="33"/>
      <c r="J1433" s="33"/>
      <c r="K1433" s="35"/>
      <c r="L1433" s="35"/>
      <c r="M1433" s="35"/>
      <c r="N1433" s="35"/>
      <c r="O1433" s="35"/>
      <c r="P1433" s="35"/>
      <c r="Q1433" s="35"/>
      <c r="R1433" s="35"/>
      <c r="S1433" s="35"/>
      <c r="T1433" s="35"/>
      <c r="U1433" s="35"/>
      <c r="V1433" s="35"/>
      <c r="W1433" s="35"/>
      <c r="X1433" s="35"/>
      <c r="Y1433" s="35"/>
      <c r="Z1433" s="35"/>
      <c r="AA1433" s="35"/>
      <c r="AB1433" s="35"/>
      <c r="AC1433" s="35"/>
      <c r="AD1433" s="35"/>
      <c r="AE1433" s="35"/>
    </row>
    <row r="1434">
      <c r="A1434" s="30"/>
      <c r="B1434" s="35" t="str">
        <f>'รายชื่อพนักงานลาออกพ้นสภาพ'!B416</f>
        <v/>
      </c>
      <c r="C1434" s="35" t="str">
        <f>'รายชื่อพนักงานลาออกพ้นสภาพ'!C416</f>
        <v/>
      </c>
      <c r="D1434" s="35" t="str">
        <f>'รายชื่อพนักงานลาออกพ้นสภาพ'!D416</f>
        <v/>
      </c>
      <c r="E1434" s="35" t="str">
        <f>'รายชื่อพนักงานลาออกพ้นสภาพ'!E416</f>
        <v/>
      </c>
      <c r="F1434" s="40" t="str">
        <f>'รายชื่อพนักงานลาออกพ้นสภาพ'!H416</f>
        <v/>
      </c>
      <c r="G1434" s="33"/>
      <c r="H1434" s="33"/>
      <c r="I1434" s="33"/>
      <c r="J1434" s="33"/>
      <c r="K1434" s="35"/>
      <c r="L1434" s="35"/>
      <c r="M1434" s="35"/>
      <c r="N1434" s="35"/>
      <c r="O1434" s="35"/>
      <c r="P1434" s="35"/>
      <c r="Q1434" s="35"/>
      <c r="R1434" s="35"/>
      <c r="S1434" s="35"/>
      <c r="T1434" s="35"/>
      <c r="U1434" s="35"/>
      <c r="V1434" s="35"/>
      <c r="W1434" s="35"/>
      <c r="X1434" s="35"/>
      <c r="Y1434" s="35"/>
      <c r="Z1434" s="35"/>
      <c r="AA1434" s="35"/>
      <c r="AB1434" s="35"/>
      <c r="AC1434" s="35"/>
      <c r="AD1434" s="35"/>
      <c r="AE1434" s="35"/>
    </row>
    <row r="1435">
      <c r="A1435" s="30"/>
      <c r="B1435" s="35" t="str">
        <f>'รายชื่อพนักงานลาออกพ้นสภาพ'!B417</f>
        <v/>
      </c>
      <c r="C1435" s="35" t="str">
        <f>'รายชื่อพนักงานลาออกพ้นสภาพ'!C417</f>
        <v/>
      </c>
      <c r="D1435" s="35" t="str">
        <f>'รายชื่อพนักงานลาออกพ้นสภาพ'!D417</f>
        <v/>
      </c>
      <c r="E1435" s="35" t="str">
        <f>'รายชื่อพนักงานลาออกพ้นสภาพ'!E417</f>
        <v/>
      </c>
      <c r="F1435" s="40" t="str">
        <f>'รายชื่อพนักงานลาออกพ้นสภาพ'!H417</f>
        <v/>
      </c>
      <c r="G1435" s="33"/>
      <c r="H1435" s="33"/>
      <c r="I1435" s="33"/>
      <c r="J1435" s="33"/>
      <c r="K1435" s="35"/>
      <c r="L1435" s="35"/>
      <c r="M1435" s="35"/>
      <c r="N1435" s="35"/>
      <c r="O1435" s="35"/>
      <c r="P1435" s="35"/>
      <c r="Q1435" s="35"/>
      <c r="R1435" s="35"/>
      <c r="S1435" s="35"/>
      <c r="T1435" s="35"/>
      <c r="U1435" s="35"/>
      <c r="V1435" s="35"/>
      <c r="W1435" s="35"/>
      <c r="X1435" s="35"/>
      <c r="Y1435" s="35"/>
      <c r="Z1435" s="35"/>
      <c r="AA1435" s="35"/>
      <c r="AB1435" s="35"/>
      <c r="AC1435" s="35"/>
      <c r="AD1435" s="35"/>
      <c r="AE1435" s="35"/>
    </row>
    <row r="1436">
      <c r="A1436" s="30"/>
      <c r="B1436" s="35" t="str">
        <f>'รายชื่อพนักงานลาออกพ้นสภาพ'!B418</f>
        <v/>
      </c>
      <c r="C1436" s="35" t="str">
        <f>'รายชื่อพนักงานลาออกพ้นสภาพ'!C418</f>
        <v/>
      </c>
      <c r="D1436" s="35" t="str">
        <f>'รายชื่อพนักงานลาออกพ้นสภาพ'!D418</f>
        <v/>
      </c>
      <c r="E1436" s="35" t="str">
        <f>'รายชื่อพนักงานลาออกพ้นสภาพ'!E418</f>
        <v/>
      </c>
      <c r="F1436" s="40" t="str">
        <f>'รายชื่อพนักงานลาออกพ้นสภาพ'!H418</f>
        <v/>
      </c>
      <c r="G1436" s="33"/>
      <c r="H1436" s="33"/>
      <c r="I1436" s="33"/>
      <c r="J1436" s="33"/>
      <c r="K1436" s="35"/>
      <c r="L1436" s="35"/>
      <c r="M1436" s="35"/>
      <c r="N1436" s="35"/>
      <c r="O1436" s="35"/>
      <c r="P1436" s="35"/>
      <c r="Q1436" s="35"/>
      <c r="R1436" s="35"/>
      <c r="S1436" s="35"/>
      <c r="T1436" s="35"/>
      <c r="U1436" s="35"/>
      <c r="V1436" s="35"/>
      <c r="W1436" s="35"/>
      <c r="X1436" s="35"/>
      <c r="Y1436" s="35"/>
      <c r="Z1436" s="35"/>
      <c r="AA1436" s="35"/>
      <c r="AB1436" s="35"/>
      <c r="AC1436" s="35"/>
      <c r="AD1436" s="35"/>
      <c r="AE1436" s="35"/>
    </row>
    <row r="1437">
      <c r="A1437" s="30"/>
      <c r="B1437" s="35" t="str">
        <f>'รายชื่อพนักงานลาออกพ้นสภาพ'!B419</f>
        <v/>
      </c>
      <c r="C1437" s="35" t="str">
        <f>'รายชื่อพนักงานลาออกพ้นสภาพ'!C419</f>
        <v/>
      </c>
      <c r="D1437" s="35" t="str">
        <f>'รายชื่อพนักงานลาออกพ้นสภาพ'!D419</f>
        <v/>
      </c>
      <c r="E1437" s="35" t="str">
        <f>'รายชื่อพนักงานลาออกพ้นสภาพ'!E419</f>
        <v/>
      </c>
      <c r="F1437" s="40" t="str">
        <f>'รายชื่อพนักงานลาออกพ้นสภาพ'!H419</f>
        <v/>
      </c>
      <c r="G1437" s="33"/>
      <c r="H1437" s="33"/>
      <c r="I1437" s="33"/>
      <c r="J1437" s="33"/>
      <c r="K1437" s="35"/>
      <c r="L1437" s="35"/>
      <c r="M1437" s="35"/>
      <c r="N1437" s="35"/>
      <c r="O1437" s="35"/>
      <c r="P1437" s="35"/>
      <c r="Q1437" s="35"/>
      <c r="R1437" s="35"/>
      <c r="S1437" s="35"/>
      <c r="T1437" s="35"/>
      <c r="U1437" s="35"/>
      <c r="V1437" s="35"/>
      <c r="W1437" s="35"/>
      <c r="X1437" s="35"/>
      <c r="Y1437" s="35"/>
      <c r="Z1437" s="35"/>
      <c r="AA1437" s="35"/>
      <c r="AB1437" s="35"/>
      <c r="AC1437" s="35"/>
      <c r="AD1437" s="35"/>
      <c r="AE1437" s="35"/>
    </row>
    <row r="1438">
      <c r="A1438" s="30"/>
      <c r="B1438" s="35" t="str">
        <f>'รายชื่อพนักงานลาออกพ้นสภาพ'!B420</f>
        <v/>
      </c>
      <c r="C1438" s="35" t="str">
        <f>'รายชื่อพนักงานลาออกพ้นสภาพ'!C420</f>
        <v/>
      </c>
      <c r="D1438" s="35" t="str">
        <f>'รายชื่อพนักงานลาออกพ้นสภาพ'!D420</f>
        <v/>
      </c>
      <c r="E1438" s="35" t="str">
        <f>'รายชื่อพนักงานลาออกพ้นสภาพ'!E420</f>
        <v/>
      </c>
      <c r="F1438" s="40" t="str">
        <f>'รายชื่อพนักงานลาออกพ้นสภาพ'!H420</f>
        <v/>
      </c>
      <c r="G1438" s="33"/>
      <c r="H1438" s="33"/>
      <c r="I1438" s="33"/>
      <c r="J1438" s="33"/>
      <c r="K1438" s="35"/>
      <c r="L1438" s="35"/>
      <c r="M1438" s="35"/>
      <c r="N1438" s="35"/>
      <c r="O1438" s="35"/>
      <c r="P1438" s="35"/>
      <c r="Q1438" s="35"/>
      <c r="R1438" s="35"/>
      <c r="S1438" s="35"/>
      <c r="T1438" s="35"/>
      <c r="U1438" s="35"/>
      <c r="V1438" s="35"/>
      <c r="W1438" s="35"/>
      <c r="X1438" s="35"/>
      <c r="Y1438" s="35"/>
      <c r="Z1438" s="35"/>
      <c r="AA1438" s="35"/>
      <c r="AB1438" s="35"/>
      <c r="AC1438" s="35"/>
      <c r="AD1438" s="35"/>
      <c r="AE1438" s="35"/>
    </row>
    <row r="1439">
      <c r="A1439" s="30"/>
      <c r="B1439" s="35" t="str">
        <f>'รายชื่อพนักงานลาออกพ้นสภาพ'!B421</f>
        <v/>
      </c>
      <c r="C1439" s="35" t="str">
        <f>'รายชื่อพนักงานลาออกพ้นสภาพ'!C421</f>
        <v/>
      </c>
      <c r="D1439" s="35" t="str">
        <f>'รายชื่อพนักงานลาออกพ้นสภาพ'!D421</f>
        <v/>
      </c>
      <c r="E1439" s="35" t="str">
        <f>'รายชื่อพนักงานลาออกพ้นสภาพ'!E421</f>
        <v/>
      </c>
      <c r="F1439" s="40" t="str">
        <f>'รายชื่อพนักงานลาออกพ้นสภาพ'!H421</f>
        <v/>
      </c>
      <c r="G1439" s="33"/>
      <c r="H1439" s="33"/>
      <c r="I1439" s="33"/>
      <c r="J1439" s="33"/>
      <c r="K1439" s="35"/>
      <c r="L1439" s="35"/>
      <c r="M1439" s="35"/>
      <c r="N1439" s="35"/>
      <c r="O1439" s="35"/>
      <c r="P1439" s="35"/>
      <c r="Q1439" s="35"/>
      <c r="R1439" s="35"/>
      <c r="S1439" s="35"/>
      <c r="T1439" s="35"/>
      <c r="U1439" s="35"/>
      <c r="V1439" s="35"/>
      <c r="W1439" s="35"/>
      <c r="X1439" s="35"/>
      <c r="Y1439" s="35"/>
      <c r="Z1439" s="35"/>
      <c r="AA1439" s="35"/>
      <c r="AB1439" s="35"/>
      <c r="AC1439" s="35"/>
      <c r="AD1439" s="35"/>
      <c r="AE1439" s="35"/>
    </row>
    <row r="1440">
      <c r="A1440" s="30"/>
      <c r="B1440" s="35" t="str">
        <f>'รายชื่อพนักงานลาออกพ้นสภาพ'!B422</f>
        <v/>
      </c>
      <c r="C1440" s="35" t="str">
        <f>'รายชื่อพนักงานลาออกพ้นสภาพ'!C422</f>
        <v/>
      </c>
      <c r="D1440" s="35" t="str">
        <f>'รายชื่อพนักงานลาออกพ้นสภาพ'!D422</f>
        <v/>
      </c>
      <c r="E1440" s="35" t="str">
        <f>'รายชื่อพนักงานลาออกพ้นสภาพ'!E422</f>
        <v/>
      </c>
      <c r="F1440" s="40" t="str">
        <f>'รายชื่อพนักงานลาออกพ้นสภาพ'!H422</f>
        <v/>
      </c>
      <c r="G1440" s="33"/>
      <c r="H1440" s="33"/>
      <c r="I1440" s="33"/>
      <c r="J1440" s="33"/>
      <c r="K1440" s="35"/>
      <c r="L1440" s="35"/>
      <c r="M1440" s="35"/>
      <c r="N1440" s="35"/>
      <c r="O1440" s="35"/>
      <c r="P1440" s="35"/>
      <c r="Q1440" s="35"/>
      <c r="R1440" s="35"/>
      <c r="S1440" s="35"/>
      <c r="T1440" s="35"/>
      <c r="U1440" s="35"/>
      <c r="V1440" s="35"/>
      <c r="W1440" s="35"/>
      <c r="X1440" s="35"/>
      <c r="Y1440" s="35"/>
      <c r="Z1440" s="35"/>
      <c r="AA1440" s="35"/>
      <c r="AB1440" s="35"/>
      <c r="AC1440" s="35"/>
      <c r="AD1440" s="35"/>
      <c r="AE1440" s="35"/>
    </row>
    <row r="1441">
      <c r="A1441" s="30"/>
      <c r="B1441" s="35" t="str">
        <f>'รายชื่อพนักงานลาออกพ้นสภาพ'!B423</f>
        <v/>
      </c>
      <c r="C1441" s="35" t="str">
        <f>'รายชื่อพนักงานลาออกพ้นสภาพ'!C423</f>
        <v/>
      </c>
      <c r="D1441" s="35" t="str">
        <f>'รายชื่อพนักงานลาออกพ้นสภาพ'!D423</f>
        <v/>
      </c>
      <c r="E1441" s="35" t="str">
        <f>'รายชื่อพนักงานลาออกพ้นสภาพ'!E423</f>
        <v/>
      </c>
      <c r="F1441" s="40" t="str">
        <f>'รายชื่อพนักงานลาออกพ้นสภาพ'!H423</f>
        <v/>
      </c>
      <c r="G1441" s="33"/>
      <c r="H1441" s="33"/>
      <c r="I1441" s="33"/>
      <c r="J1441" s="33"/>
      <c r="K1441" s="35"/>
      <c r="L1441" s="35"/>
      <c r="M1441" s="35"/>
      <c r="N1441" s="35"/>
      <c r="O1441" s="35"/>
      <c r="P1441" s="35"/>
      <c r="Q1441" s="35"/>
      <c r="R1441" s="35"/>
      <c r="S1441" s="35"/>
      <c r="T1441" s="35"/>
      <c r="U1441" s="35"/>
      <c r="V1441" s="35"/>
      <c r="W1441" s="35"/>
      <c r="X1441" s="35"/>
      <c r="Y1441" s="35"/>
      <c r="Z1441" s="35"/>
      <c r="AA1441" s="35"/>
      <c r="AB1441" s="35"/>
      <c r="AC1441" s="35"/>
      <c r="AD1441" s="35"/>
      <c r="AE1441" s="35"/>
    </row>
    <row r="1442">
      <c r="A1442" s="30"/>
      <c r="B1442" s="35" t="str">
        <f>'รายชื่อพนักงานลาออกพ้นสภาพ'!B424</f>
        <v/>
      </c>
      <c r="C1442" s="35" t="str">
        <f>'รายชื่อพนักงานลาออกพ้นสภาพ'!C424</f>
        <v/>
      </c>
      <c r="D1442" s="35" t="str">
        <f>'รายชื่อพนักงานลาออกพ้นสภาพ'!D424</f>
        <v/>
      </c>
      <c r="E1442" s="35" t="str">
        <f>'รายชื่อพนักงานลาออกพ้นสภาพ'!E424</f>
        <v/>
      </c>
      <c r="F1442" s="40" t="str">
        <f>'รายชื่อพนักงานลาออกพ้นสภาพ'!H424</f>
        <v/>
      </c>
      <c r="G1442" s="33"/>
      <c r="H1442" s="33"/>
      <c r="I1442" s="33"/>
      <c r="J1442" s="33"/>
      <c r="K1442" s="35"/>
      <c r="L1442" s="35"/>
      <c r="M1442" s="35"/>
      <c r="N1442" s="35"/>
      <c r="O1442" s="35"/>
      <c r="P1442" s="35"/>
      <c r="Q1442" s="35"/>
      <c r="R1442" s="35"/>
      <c r="S1442" s="35"/>
      <c r="T1442" s="35"/>
      <c r="U1442" s="35"/>
      <c r="V1442" s="35"/>
      <c r="W1442" s="35"/>
      <c r="X1442" s="35"/>
      <c r="Y1442" s="35"/>
      <c r="Z1442" s="35"/>
      <c r="AA1442" s="35"/>
      <c r="AB1442" s="35"/>
      <c r="AC1442" s="35"/>
      <c r="AD1442" s="35"/>
      <c r="AE1442" s="35"/>
    </row>
    <row r="1443">
      <c r="A1443" s="30"/>
      <c r="B1443" s="35" t="str">
        <f>'รายชื่อพนักงานลาออกพ้นสภาพ'!B425</f>
        <v/>
      </c>
      <c r="C1443" s="35" t="str">
        <f>'รายชื่อพนักงานลาออกพ้นสภาพ'!C425</f>
        <v/>
      </c>
      <c r="D1443" s="35" t="str">
        <f>'รายชื่อพนักงานลาออกพ้นสภาพ'!D425</f>
        <v/>
      </c>
      <c r="E1443" s="35" t="str">
        <f>'รายชื่อพนักงานลาออกพ้นสภาพ'!E425</f>
        <v/>
      </c>
      <c r="F1443" s="40" t="str">
        <f>'รายชื่อพนักงานลาออกพ้นสภาพ'!H425</f>
        <v/>
      </c>
      <c r="G1443" s="33"/>
      <c r="H1443" s="33"/>
      <c r="I1443" s="33"/>
      <c r="J1443" s="33"/>
      <c r="K1443" s="35"/>
      <c r="L1443" s="35"/>
      <c r="M1443" s="35"/>
      <c r="N1443" s="35"/>
      <c r="O1443" s="35"/>
      <c r="P1443" s="35"/>
      <c r="Q1443" s="35"/>
      <c r="R1443" s="35"/>
      <c r="S1443" s="35"/>
      <c r="T1443" s="35"/>
      <c r="U1443" s="35"/>
      <c r="V1443" s="35"/>
      <c r="W1443" s="35"/>
      <c r="X1443" s="35"/>
      <c r="Y1443" s="35"/>
      <c r="Z1443" s="35"/>
      <c r="AA1443" s="35"/>
      <c r="AB1443" s="35"/>
      <c r="AC1443" s="35"/>
      <c r="AD1443" s="35"/>
      <c r="AE1443" s="35"/>
    </row>
    <row r="1444">
      <c r="A1444" s="30"/>
      <c r="B1444" s="35" t="str">
        <f>'รายชื่อพนักงานลาออกพ้นสภาพ'!B426</f>
        <v/>
      </c>
      <c r="C1444" s="35" t="str">
        <f>'รายชื่อพนักงานลาออกพ้นสภาพ'!C426</f>
        <v/>
      </c>
      <c r="D1444" s="35" t="str">
        <f>'รายชื่อพนักงานลาออกพ้นสภาพ'!D426</f>
        <v/>
      </c>
      <c r="E1444" s="35" t="str">
        <f>'รายชื่อพนักงานลาออกพ้นสภาพ'!E426</f>
        <v/>
      </c>
      <c r="F1444" s="40" t="str">
        <f>'รายชื่อพนักงานลาออกพ้นสภาพ'!H426</f>
        <v/>
      </c>
      <c r="G1444" s="33"/>
      <c r="H1444" s="33"/>
      <c r="I1444" s="33"/>
      <c r="J1444" s="33"/>
      <c r="K1444" s="35"/>
      <c r="L1444" s="35"/>
      <c r="M1444" s="35"/>
      <c r="N1444" s="35"/>
      <c r="O1444" s="35"/>
      <c r="P1444" s="35"/>
      <c r="Q1444" s="35"/>
      <c r="R1444" s="35"/>
      <c r="S1444" s="35"/>
      <c r="T1444" s="35"/>
      <c r="U1444" s="35"/>
      <c r="V1444" s="35"/>
      <c r="W1444" s="35"/>
      <c r="X1444" s="35"/>
      <c r="Y1444" s="35"/>
      <c r="Z1444" s="35"/>
      <c r="AA1444" s="35"/>
      <c r="AB1444" s="35"/>
      <c r="AC1444" s="35"/>
      <c r="AD1444" s="35"/>
      <c r="AE1444" s="35"/>
    </row>
    <row r="1445">
      <c r="A1445" s="30"/>
      <c r="B1445" s="35" t="str">
        <f>'รายชื่อพนักงานลาออกพ้นสภาพ'!B427</f>
        <v/>
      </c>
      <c r="C1445" s="35" t="str">
        <f>'รายชื่อพนักงานลาออกพ้นสภาพ'!C427</f>
        <v/>
      </c>
      <c r="D1445" s="35" t="str">
        <f>'รายชื่อพนักงานลาออกพ้นสภาพ'!D427</f>
        <v/>
      </c>
      <c r="E1445" s="35" t="str">
        <f>'รายชื่อพนักงานลาออกพ้นสภาพ'!E427</f>
        <v/>
      </c>
      <c r="F1445" s="40" t="str">
        <f>'รายชื่อพนักงานลาออกพ้นสภาพ'!H427</f>
        <v/>
      </c>
      <c r="G1445" s="33"/>
      <c r="H1445" s="33"/>
      <c r="I1445" s="33"/>
      <c r="J1445" s="33"/>
      <c r="K1445" s="35"/>
      <c r="L1445" s="35"/>
      <c r="M1445" s="35"/>
      <c r="N1445" s="35"/>
      <c r="O1445" s="35"/>
      <c r="P1445" s="35"/>
      <c r="Q1445" s="35"/>
      <c r="R1445" s="35"/>
      <c r="S1445" s="35"/>
      <c r="T1445" s="35"/>
      <c r="U1445" s="35"/>
      <c r="V1445" s="35"/>
      <c r="W1445" s="35"/>
      <c r="X1445" s="35"/>
      <c r="Y1445" s="35"/>
      <c r="Z1445" s="35"/>
      <c r="AA1445" s="35"/>
      <c r="AB1445" s="35"/>
      <c r="AC1445" s="35"/>
      <c r="AD1445" s="35"/>
      <c r="AE1445" s="35"/>
    </row>
    <row r="1446">
      <c r="A1446" s="30"/>
      <c r="B1446" s="35" t="str">
        <f>'รายชื่อพนักงานลาออกพ้นสภาพ'!B428</f>
        <v/>
      </c>
      <c r="C1446" s="35" t="str">
        <f>'รายชื่อพนักงานลาออกพ้นสภาพ'!C428</f>
        <v/>
      </c>
      <c r="D1446" s="35" t="str">
        <f>'รายชื่อพนักงานลาออกพ้นสภาพ'!D428</f>
        <v/>
      </c>
      <c r="E1446" s="35" t="str">
        <f>'รายชื่อพนักงานลาออกพ้นสภาพ'!E428</f>
        <v/>
      </c>
      <c r="F1446" s="40" t="str">
        <f>'รายชื่อพนักงานลาออกพ้นสภาพ'!H428</f>
        <v/>
      </c>
      <c r="G1446" s="33"/>
      <c r="H1446" s="33"/>
      <c r="I1446" s="33"/>
      <c r="J1446" s="33"/>
      <c r="K1446" s="35"/>
      <c r="L1446" s="35"/>
      <c r="M1446" s="35"/>
      <c r="N1446" s="35"/>
      <c r="O1446" s="35"/>
      <c r="P1446" s="35"/>
      <c r="Q1446" s="35"/>
      <c r="R1446" s="35"/>
      <c r="S1446" s="35"/>
      <c r="T1446" s="35"/>
      <c r="U1446" s="35"/>
      <c r="V1446" s="35"/>
      <c r="W1446" s="35"/>
      <c r="X1446" s="35"/>
      <c r="Y1446" s="35"/>
      <c r="Z1446" s="35"/>
      <c r="AA1446" s="35"/>
      <c r="AB1446" s="35"/>
      <c r="AC1446" s="35"/>
      <c r="AD1446" s="35"/>
      <c r="AE1446" s="35"/>
    </row>
    <row r="1447">
      <c r="A1447" s="30"/>
      <c r="B1447" s="35" t="str">
        <f>'รายชื่อพนักงานลาออกพ้นสภาพ'!B429</f>
        <v/>
      </c>
      <c r="C1447" s="35" t="str">
        <f>'รายชื่อพนักงานลาออกพ้นสภาพ'!C429</f>
        <v/>
      </c>
      <c r="D1447" s="35" t="str">
        <f>'รายชื่อพนักงานลาออกพ้นสภาพ'!D429</f>
        <v/>
      </c>
      <c r="E1447" s="35" t="str">
        <f>'รายชื่อพนักงานลาออกพ้นสภาพ'!E429</f>
        <v/>
      </c>
      <c r="F1447" s="40" t="str">
        <f>'รายชื่อพนักงานลาออกพ้นสภาพ'!H429</f>
        <v/>
      </c>
      <c r="G1447" s="33"/>
      <c r="H1447" s="33"/>
      <c r="I1447" s="33"/>
      <c r="J1447" s="33"/>
      <c r="K1447" s="35"/>
      <c r="L1447" s="35"/>
      <c r="M1447" s="35"/>
      <c r="N1447" s="35"/>
      <c r="O1447" s="35"/>
      <c r="P1447" s="35"/>
      <c r="Q1447" s="35"/>
      <c r="R1447" s="35"/>
      <c r="S1447" s="35"/>
      <c r="T1447" s="35"/>
      <c r="U1447" s="35"/>
      <c r="V1447" s="35"/>
      <c r="W1447" s="35"/>
      <c r="X1447" s="35"/>
      <c r="Y1447" s="35"/>
      <c r="Z1447" s="35"/>
      <c r="AA1447" s="35"/>
      <c r="AB1447" s="35"/>
      <c r="AC1447" s="35"/>
      <c r="AD1447" s="35"/>
      <c r="AE1447" s="35"/>
    </row>
    <row r="1448">
      <c r="A1448" s="30"/>
      <c r="B1448" s="35" t="str">
        <f>'รายชื่อพนักงานลาออกพ้นสภาพ'!B430</f>
        <v/>
      </c>
      <c r="C1448" s="35" t="str">
        <f>'รายชื่อพนักงานลาออกพ้นสภาพ'!C430</f>
        <v/>
      </c>
      <c r="D1448" s="35" t="str">
        <f>'รายชื่อพนักงานลาออกพ้นสภาพ'!D430</f>
        <v/>
      </c>
      <c r="E1448" s="35" t="str">
        <f>'รายชื่อพนักงานลาออกพ้นสภาพ'!E430</f>
        <v/>
      </c>
      <c r="F1448" s="40" t="str">
        <f>'รายชื่อพนักงานลาออกพ้นสภาพ'!H430</f>
        <v/>
      </c>
      <c r="G1448" s="33"/>
      <c r="H1448" s="33"/>
      <c r="I1448" s="33"/>
      <c r="J1448" s="33"/>
      <c r="K1448" s="35"/>
      <c r="L1448" s="35"/>
      <c r="M1448" s="35"/>
      <c r="N1448" s="35"/>
      <c r="O1448" s="35"/>
      <c r="P1448" s="35"/>
      <c r="Q1448" s="35"/>
      <c r="R1448" s="35"/>
      <c r="S1448" s="35"/>
      <c r="T1448" s="35"/>
      <c r="U1448" s="35"/>
      <c r="V1448" s="35"/>
      <c r="W1448" s="35"/>
      <c r="X1448" s="35"/>
      <c r="Y1448" s="35"/>
      <c r="Z1448" s="35"/>
      <c r="AA1448" s="35"/>
      <c r="AB1448" s="35"/>
      <c r="AC1448" s="35"/>
      <c r="AD1448" s="35"/>
      <c r="AE1448" s="35"/>
    </row>
    <row r="1449">
      <c r="A1449" s="30"/>
      <c r="B1449" s="35" t="str">
        <f>'รายชื่อพนักงานลาออกพ้นสภาพ'!B431</f>
        <v/>
      </c>
      <c r="C1449" s="35" t="str">
        <f>'รายชื่อพนักงานลาออกพ้นสภาพ'!C431</f>
        <v/>
      </c>
      <c r="D1449" s="35" t="str">
        <f>'รายชื่อพนักงานลาออกพ้นสภาพ'!D431</f>
        <v/>
      </c>
      <c r="E1449" s="35" t="str">
        <f>'รายชื่อพนักงานลาออกพ้นสภาพ'!E431</f>
        <v/>
      </c>
      <c r="F1449" s="40" t="str">
        <f>'รายชื่อพนักงานลาออกพ้นสภาพ'!H431</f>
        <v/>
      </c>
      <c r="G1449" s="33"/>
      <c r="H1449" s="33"/>
      <c r="I1449" s="33"/>
      <c r="J1449" s="33"/>
      <c r="K1449" s="35"/>
      <c r="L1449" s="35"/>
      <c r="M1449" s="35"/>
      <c r="N1449" s="35"/>
      <c r="O1449" s="35"/>
      <c r="P1449" s="35"/>
      <c r="Q1449" s="35"/>
      <c r="R1449" s="35"/>
      <c r="S1449" s="35"/>
      <c r="T1449" s="35"/>
      <c r="U1449" s="35"/>
      <c r="V1449" s="35"/>
      <c r="W1449" s="35"/>
      <c r="X1449" s="35"/>
      <c r="Y1449" s="35"/>
      <c r="Z1449" s="35"/>
      <c r="AA1449" s="35"/>
      <c r="AB1449" s="35"/>
      <c r="AC1449" s="35"/>
      <c r="AD1449" s="35"/>
      <c r="AE1449" s="35"/>
    </row>
    <row r="1450">
      <c r="A1450" s="30"/>
      <c r="B1450" s="35" t="str">
        <f>'รายชื่อพนักงานลาออกพ้นสภาพ'!B432</f>
        <v/>
      </c>
      <c r="C1450" s="35" t="str">
        <f>'รายชื่อพนักงานลาออกพ้นสภาพ'!C432</f>
        <v/>
      </c>
      <c r="D1450" s="35" t="str">
        <f>'รายชื่อพนักงานลาออกพ้นสภาพ'!D432</f>
        <v/>
      </c>
      <c r="E1450" s="35" t="str">
        <f>'รายชื่อพนักงานลาออกพ้นสภาพ'!E432</f>
        <v/>
      </c>
      <c r="F1450" s="40" t="str">
        <f>'รายชื่อพนักงานลาออกพ้นสภาพ'!H432</f>
        <v/>
      </c>
      <c r="G1450" s="33"/>
      <c r="H1450" s="33"/>
      <c r="I1450" s="33"/>
      <c r="J1450" s="33"/>
      <c r="K1450" s="35"/>
      <c r="L1450" s="35"/>
      <c r="M1450" s="35"/>
      <c r="N1450" s="35"/>
      <c r="O1450" s="35"/>
      <c r="P1450" s="35"/>
      <c r="Q1450" s="35"/>
      <c r="R1450" s="35"/>
      <c r="S1450" s="35"/>
      <c r="T1450" s="35"/>
      <c r="U1450" s="35"/>
      <c r="V1450" s="35"/>
      <c r="W1450" s="35"/>
      <c r="X1450" s="35"/>
      <c r="Y1450" s="35"/>
      <c r="Z1450" s="35"/>
      <c r="AA1450" s="35"/>
      <c r="AB1450" s="35"/>
      <c r="AC1450" s="35"/>
      <c r="AD1450" s="35"/>
      <c r="AE1450" s="35"/>
    </row>
    <row r="1451">
      <c r="A1451" s="30"/>
      <c r="B1451" s="35" t="str">
        <f>'รายชื่อพนักงานลาออกพ้นสภาพ'!B433</f>
        <v/>
      </c>
      <c r="C1451" s="35" t="str">
        <f>'รายชื่อพนักงานลาออกพ้นสภาพ'!C433</f>
        <v/>
      </c>
      <c r="D1451" s="35" t="str">
        <f>'รายชื่อพนักงานลาออกพ้นสภาพ'!D433</f>
        <v/>
      </c>
      <c r="E1451" s="35" t="str">
        <f>'รายชื่อพนักงานลาออกพ้นสภาพ'!E433</f>
        <v/>
      </c>
      <c r="F1451" s="40" t="str">
        <f>'รายชื่อพนักงานลาออกพ้นสภาพ'!H433</f>
        <v/>
      </c>
      <c r="G1451" s="33"/>
      <c r="H1451" s="33"/>
      <c r="I1451" s="33"/>
      <c r="J1451" s="33"/>
      <c r="K1451" s="35"/>
      <c r="L1451" s="35"/>
      <c r="M1451" s="35"/>
      <c r="N1451" s="35"/>
      <c r="O1451" s="35"/>
      <c r="P1451" s="35"/>
      <c r="Q1451" s="35"/>
      <c r="R1451" s="35"/>
      <c r="S1451" s="35"/>
      <c r="T1451" s="35"/>
      <c r="U1451" s="35"/>
      <c r="V1451" s="35"/>
      <c r="W1451" s="35"/>
      <c r="X1451" s="35"/>
      <c r="Y1451" s="35"/>
      <c r="Z1451" s="35"/>
      <c r="AA1451" s="35"/>
      <c r="AB1451" s="35"/>
      <c r="AC1451" s="35"/>
      <c r="AD1451" s="35"/>
      <c r="AE1451" s="35"/>
    </row>
    <row r="1452">
      <c r="A1452" s="30"/>
      <c r="B1452" s="35" t="str">
        <f>'รายชื่อพนักงานลาออกพ้นสภาพ'!B434</f>
        <v/>
      </c>
      <c r="C1452" s="35" t="str">
        <f>'รายชื่อพนักงานลาออกพ้นสภาพ'!C434</f>
        <v/>
      </c>
      <c r="D1452" s="35" t="str">
        <f>'รายชื่อพนักงานลาออกพ้นสภาพ'!D434</f>
        <v/>
      </c>
      <c r="E1452" s="35" t="str">
        <f>'รายชื่อพนักงานลาออกพ้นสภาพ'!E434</f>
        <v/>
      </c>
      <c r="F1452" s="40" t="str">
        <f>'รายชื่อพนักงานลาออกพ้นสภาพ'!H434</f>
        <v/>
      </c>
      <c r="G1452" s="33"/>
      <c r="H1452" s="33"/>
      <c r="I1452" s="33"/>
      <c r="J1452" s="33"/>
      <c r="K1452" s="35"/>
      <c r="L1452" s="35"/>
      <c r="M1452" s="35"/>
      <c r="N1452" s="35"/>
      <c r="O1452" s="35"/>
      <c r="P1452" s="35"/>
      <c r="Q1452" s="35"/>
      <c r="R1452" s="35"/>
      <c r="S1452" s="35"/>
      <c r="T1452" s="35"/>
      <c r="U1452" s="35"/>
      <c r="V1452" s="35"/>
      <c r="W1452" s="35"/>
      <c r="X1452" s="35"/>
      <c r="Y1452" s="35"/>
      <c r="Z1452" s="35"/>
      <c r="AA1452" s="35"/>
      <c r="AB1452" s="35"/>
      <c r="AC1452" s="35"/>
      <c r="AD1452" s="35"/>
      <c r="AE1452" s="35"/>
    </row>
    <row r="1453">
      <c r="A1453" s="30"/>
      <c r="B1453" s="35" t="str">
        <f>'รายชื่อพนักงานลาออกพ้นสภาพ'!B435</f>
        <v/>
      </c>
      <c r="C1453" s="35" t="str">
        <f>'รายชื่อพนักงานลาออกพ้นสภาพ'!C435</f>
        <v/>
      </c>
      <c r="D1453" s="35" t="str">
        <f>'รายชื่อพนักงานลาออกพ้นสภาพ'!D435</f>
        <v/>
      </c>
      <c r="E1453" s="35" t="str">
        <f>'รายชื่อพนักงานลาออกพ้นสภาพ'!E435</f>
        <v/>
      </c>
      <c r="F1453" s="40" t="str">
        <f>'รายชื่อพนักงานลาออกพ้นสภาพ'!H435</f>
        <v/>
      </c>
      <c r="G1453" s="33"/>
      <c r="H1453" s="33"/>
      <c r="I1453" s="33"/>
      <c r="J1453" s="33"/>
      <c r="K1453" s="35"/>
      <c r="L1453" s="35"/>
      <c r="M1453" s="35"/>
      <c r="N1453" s="35"/>
      <c r="O1453" s="35"/>
      <c r="P1453" s="35"/>
      <c r="Q1453" s="35"/>
      <c r="R1453" s="35"/>
      <c r="S1453" s="35"/>
      <c r="T1453" s="35"/>
      <c r="U1453" s="35"/>
      <c r="V1453" s="35"/>
      <c r="W1453" s="35"/>
      <c r="X1453" s="35"/>
      <c r="Y1453" s="35"/>
      <c r="Z1453" s="35"/>
      <c r="AA1453" s="35"/>
      <c r="AB1453" s="35"/>
      <c r="AC1453" s="35"/>
      <c r="AD1453" s="35"/>
      <c r="AE1453" s="35"/>
    </row>
    <row r="1454">
      <c r="A1454" s="30"/>
      <c r="B1454" s="35" t="str">
        <f>'รายชื่อพนักงานลาออกพ้นสภาพ'!B436</f>
        <v/>
      </c>
      <c r="C1454" s="35" t="str">
        <f>'รายชื่อพนักงานลาออกพ้นสภาพ'!C436</f>
        <v/>
      </c>
      <c r="D1454" s="35" t="str">
        <f>'รายชื่อพนักงานลาออกพ้นสภาพ'!D436</f>
        <v/>
      </c>
      <c r="E1454" s="35" t="str">
        <f>'รายชื่อพนักงานลาออกพ้นสภาพ'!E436</f>
        <v/>
      </c>
      <c r="F1454" s="40" t="str">
        <f>'รายชื่อพนักงานลาออกพ้นสภาพ'!H436</f>
        <v/>
      </c>
      <c r="G1454" s="33"/>
      <c r="H1454" s="33"/>
      <c r="I1454" s="33"/>
      <c r="J1454" s="33"/>
      <c r="K1454" s="35"/>
      <c r="L1454" s="35"/>
      <c r="M1454" s="35"/>
      <c r="N1454" s="35"/>
      <c r="O1454" s="35"/>
      <c r="P1454" s="35"/>
      <c r="Q1454" s="35"/>
      <c r="R1454" s="35"/>
      <c r="S1454" s="35"/>
      <c r="T1454" s="35"/>
      <c r="U1454" s="35"/>
      <c r="V1454" s="35"/>
      <c r="W1454" s="35"/>
      <c r="X1454" s="35"/>
      <c r="Y1454" s="35"/>
      <c r="Z1454" s="35"/>
      <c r="AA1454" s="35"/>
      <c r="AB1454" s="35"/>
      <c r="AC1454" s="35"/>
      <c r="AD1454" s="35"/>
      <c r="AE1454" s="35"/>
    </row>
    <row r="1455">
      <c r="A1455" s="30"/>
      <c r="B1455" s="35" t="str">
        <f>'รายชื่อพนักงานลาออกพ้นสภาพ'!B437</f>
        <v/>
      </c>
      <c r="C1455" s="35" t="str">
        <f>'รายชื่อพนักงานลาออกพ้นสภาพ'!C437</f>
        <v/>
      </c>
      <c r="D1455" s="35" t="str">
        <f>'รายชื่อพนักงานลาออกพ้นสภาพ'!D437</f>
        <v/>
      </c>
      <c r="E1455" s="35" t="str">
        <f>'รายชื่อพนักงานลาออกพ้นสภาพ'!E437</f>
        <v/>
      </c>
      <c r="F1455" s="40" t="str">
        <f>'รายชื่อพนักงานลาออกพ้นสภาพ'!H437</f>
        <v/>
      </c>
      <c r="G1455" s="33"/>
      <c r="H1455" s="33"/>
      <c r="I1455" s="33"/>
      <c r="J1455" s="33"/>
      <c r="K1455" s="35"/>
      <c r="L1455" s="35"/>
      <c r="M1455" s="35"/>
      <c r="N1455" s="35"/>
      <c r="O1455" s="35"/>
      <c r="P1455" s="35"/>
      <c r="Q1455" s="35"/>
      <c r="R1455" s="35"/>
      <c r="S1455" s="35"/>
      <c r="T1455" s="35"/>
      <c r="U1455" s="35"/>
      <c r="V1455" s="35"/>
      <c r="W1455" s="35"/>
      <c r="X1455" s="35"/>
      <c r="Y1455" s="35"/>
      <c r="Z1455" s="35"/>
      <c r="AA1455" s="35"/>
      <c r="AB1455" s="35"/>
      <c r="AC1455" s="35"/>
      <c r="AD1455" s="35"/>
      <c r="AE1455" s="35"/>
    </row>
    <row r="1456">
      <c r="A1456" s="30"/>
      <c r="B1456" s="35" t="str">
        <f>'รายชื่อพนักงานลาออกพ้นสภาพ'!B438</f>
        <v/>
      </c>
      <c r="C1456" s="35" t="str">
        <f>'รายชื่อพนักงานลาออกพ้นสภาพ'!C438</f>
        <v/>
      </c>
      <c r="D1456" s="35" t="str">
        <f>'รายชื่อพนักงานลาออกพ้นสภาพ'!D438</f>
        <v/>
      </c>
      <c r="E1456" s="35" t="str">
        <f>'รายชื่อพนักงานลาออกพ้นสภาพ'!E438</f>
        <v/>
      </c>
      <c r="F1456" s="40" t="str">
        <f>'รายชื่อพนักงานลาออกพ้นสภาพ'!H438</f>
        <v/>
      </c>
      <c r="G1456" s="33"/>
      <c r="H1456" s="33"/>
      <c r="I1456" s="33"/>
      <c r="J1456" s="33"/>
      <c r="K1456" s="35"/>
      <c r="L1456" s="35"/>
      <c r="M1456" s="35"/>
      <c r="N1456" s="35"/>
      <c r="O1456" s="35"/>
      <c r="P1456" s="35"/>
      <c r="Q1456" s="35"/>
      <c r="R1456" s="35"/>
      <c r="S1456" s="35"/>
      <c r="T1456" s="35"/>
      <c r="U1456" s="35"/>
      <c r="V1456" s="35"/>
      <c r="W1456" s="35"/>
      <c r="X1456" s="35"/>
      <c r="Y1456" s="35"/>
      <c r="Z1456" s="35"/>
      <c r="AA1456" s="35"/>
      <c r="AB1456" s="35"/>
      <c r="AC1456" s="35"/>
      <c r="AD1456" s="35"/>
      <c r="AE1456" s="35"/>
    </row>
    <row r="1457">
      <c r="A1457" s="30"/>
      <c r="B1457" s="35" t="str">
        <f>'รายชื่อพนักงานลาออกพ้นสภาพ'!B439</f>
        <v/>
      </c>
      <c r="C1457" s="35" t="str">
        <f>'รายชื่อพนักงานลาออกพ้นสภาพ'!C439</f>
        <v/>
      </c>
      <c r="D1457" s="35" t="str">
        <f>'รายชื่อพนักงานลาออกพ้นสภาพ'!D439</f>
        <v/>
      </c>
      <c r="E1457" s="35" t="str">
        <f>'รายชื่อพนักงานลาออกพ้นสภาพ'!E439</f>
        <v/>
      </c>
      <c r="F1457" s="40" t="str">
        <f>'รายชื่อพนักงานลาออกพ้นสภาพ'!H439</f>
        <v/>
      </c>
      <c r="G1457" s="33"/>
      <c r="H1457" s="33"/>
      <c r="I1457" s="33"/>
      <c r="J1457" s="33"/>
      <c r="K1457" s="35"/>
      <c r="L1457" s="35"/>
      <c r="M1457" s="35"/>
      <c r="N1457" s="35"/>
      <c r="O1457" s="35"/>
      <c r="P1457" s="35"/>
      <c r="Q1457" s="35"/>
      <c r="R1457" s="35"/>
      <c r="S1457" s="35"/>
      <c r="T1457" s="35"/>
      <c r="U1457" s="35"/>
      <c r="V1457" s="35"/>
      <c r="W1457" s="35"/>
      <c r="X1457" s="35"/>
      <c r="Y1457" s="35"/>
      <c r="Z1457" s="35"/>
      <c r="AA1457" s="35"/>
      <c r="AB1457" s="35"/>
      <c r="AC1457" s="35"/>
      <c r="AD1457" s="35"/>
      <c r="AE1457" s="35"/>
    </row>
    <row r="1458">
      <c r="A1458" s="30"/>
      <c r="B1458" s="35" t="str">
        <f>'รายชื่อพนักงานลาออกพ้นสภาพ'!B440</f>
        <v/>
      </c>
      <c r="C1458" s="35" t="str">
        <f>'รายชื่อพนักงานลาออกพ้นสภาพ'!C440</f>
        <v/>
      </c>
      <c r="D1458" s="35" t="str">
        <f>'รายชื่อพนักงานลาออกพ้นสภาพ'!D440</f>
        <v/>
      </c>
      <c r="E1458" s="35" t="str">
        <f>'รายชื่อพนักงานลาออกพ้นสภาพ'!E440</f>
        <v/>
      </c>
      <c r="F1458" s="40" t="str">
        <f>'รายชื่อพนักงานลาออกพ้นสภาพ'!H440</f>
        <v/>
      </c>
      <c r="G1458" s="33"/>
      <c r="H1458" s="33"/>
      <c r="I1458" s="33"/>
      <c r="J1458" s="33"/>
      <c r="K1458" s="35"/>
      <c r="L1458" s="35"/>
      <c r="M1458" s="35"/>
      <c r="N1458" s="35"/>
      <c r="O1458" s="35"/>
      <c r="P1458" s="35"/>
      <c r="Q1458" s="35"/>
      <c r="R1458" s="35"/>
      <c r="S1458" s="35"/>
      <c r="T1458" s="35"/>
      <c r="U1458" s="35"/>
      <c r="V1458" s="35"/>
      <c r="W1458" s="35"/>
      <c r="X1458" s="35"/>
      <c r="Y1458" s="35"/>
      <c r="Z1458" s="35"/>
      <c r="AA1458" s="35"/>
      <c r="AB1458" s="35"/>
      <c r="AC1458" s="35"/>
      <c r="AD1458" s="35"/>
      <c r="AE1458" s="35"/>
    </row>
    <row r="1459">
      <c r="A1459" s="30"/>
      <c r="B1459" s="35" t="str">
        <f>'รายชื่อพนักงานลาออกพ้นสภาพ'!B441</f>
        <v/>
      </c>
      <c r="C1459" s="35" t="str">
        <f>'รายชื่อพนักงานลาออกพ้นสภาพ'!C441</f>
        <v/>
      </c>
      <c r="D1459" s="35" t="str">
        <f>'รายชื่อพนักงานลาออกพ้นสภาพ'!D441</f>
        <v/>
      </c>
      <c r="E1459" s="35" t="str">
        <f>'รายชื่อพนักงานลาออกพ้นสภาพ'!E441</f>
        <v/>
      </c>
      <c r="F1459" s="40" t="str">
        <f>'รายชื่อพนักงานลาออกพ้นสภาพ'!H441</f>
        <v/>
      </c>
      <c r="G1459" s="33"/>
      <c r="H1459" s="33"/>
      <c r="I1459" s="33"/>
      <c r="J1459" s="33"/>
      <c r="K1459" s="35"/>
      <c r="L1459" s="35"/>
      <c r="M1459" s="35"/>
      <c r="N1459" s="35"/>
      <c r="O1459" s="35"/>
      <c r="P1459" s="35"/>
      <c r="Q1459" s="35"/>
      <c r="R1459" s="35"/>
      <c r="S1459" s="35"/>
      <c r="T1459" s="35"/>
      <c r="U1459" s="35"/>
      <c r="V1459" s="35"/>
      <c r="W1459" s="35"/>
      <c r="X1459" s="35"/>
      <c r="Y1459" s="35"/>
      <c r="Z1459" s="35"/>
      <c r="AA1459" s="35"/>
      <c r="AB1459" s="35"/>
      <c r="AC1459" s="35"/>
      <c r="AD1459" s="35"/>
      <c r="AE1459" s="35"/>
    </row>
    <row r="1460">
      <c r="A1460" s="30"/>
      <c r="B1460" s="35" t="str">
        <f>'รายชื่อพนักงานลาออกพ้นสภาพ'!B442</f>
        <v/>
      </c>
      <c r="C1460" s="35" t="str">
        <f>'รายชื่อพนักงานลาออกพ้นสภาพ'!C442</f>
        <v/>
      </c>
      <c r="D1460" s="35" t="str">
        <f>'รายชื่อพนักงานลาออกพ้นสภาพ'!D442</f>
        <v/>
      </c>
      <c r="E1460" s="35" t="str">
        <f>'รายชื่อพนักงานลาออกพ้นสภาพ'!E442</f>
        <v/>
      </c>
      <c r="F1460" s="40" t="str">
        <f>'รายชื่อพนักงานลาออกพ้นสภาพ'!H442</f>
        <v/>
      </c>
      <c r="G1460" s="33"/>
      <c r="H1460" s="33"/>
      <c r="I1460" s="33"/>
      <c r="J1460" s="33"/>
      <c r="K1460" s="35"/>
      <c r="L1460" s="35"/>
      <c r="M1460" s="35"/>
      <c r="N1460" s="35"/>
      <c r="O1460" s="35"/>
      <c r="P1460" s="35"/>
      <c r="Q1460" s="35"/>
      <c r="R1460" s="35"/>
      <c r="S1460" s="35"/>
      <c r="T1460" s="35"/>
      <c r="U1460" s="35"/>
      <c r="V1460" s="35"/>
      <c r="W1460" s="35"/>
      <c r="X1460" s="35"/>
      <c r="Y1460" s="35"/>
      <c r="Z1460" s="35"/>
      <c r="AA1460" s="35"/>
      <c r="AB1460" s="35"/>
      <c r="AC1460" s="35"/>
      <c r="AD1460" s="35"/>
      <c r="AE1460" s="35"/>
    </row>
    <row r="1461">
      <c r="A1461" s="30"/>
      <c r="B1461" s="35" t="str">
        <f>'รายชื่อพนักงานลาออกพ้นสภาพ'!B443</f>
        <v/>
      </c>
      <c r="C1461" s="35" t="str">
        <f>'รายชื่อพนักงานลาออกพ้นสภาพ'!C443</f>
        <v/>
      </c>
      <c r="D1461" s="35" t="str">
        <f>'รายชื่อพนักงานลาออกพ้นสภาพ'!D443</f>
        <v/>
      </c>
      <c r="E1461" s="35" t="str">
        <f>'รายชื่อพนักงานลาออกพ้นสภาพ'!E443</f>
        <v/>
      </c>
      <c r="F1461" s="40" t="str">
        <f>'รายชื่อพนักงานลาออกพ้นสภาพ'!H443</f>
        <v/>
      </c>
      <c r="G1461" s="33"/>
      <c r="H1461" s="33"/>
      <c r="I1461" s="33"/>
      <c r="J1461" s="33"/>
      <c r="K1461" s="35"/>
      <c r="L1461" s="35"/>
      <c r="M1461" s="35"/>
      <c r="N1461" s="35"/>
      <c r="O1461" s="35"/>
      <c r="P1461" s="35"/>
      <c r="Q1461" s="35"/>
      <c r="R1461" s="35"/>
      <c r="S1461" s="35"/>
      <c r="T1461" s="35"/>
      <c r="U1461" s="35"/>
      <c r="V1461" s="35"/>
      <c r="W1461" s="35"/>
      <c r="X1461" s="35"/>
      <c r="Y1461" s="35"/>
      <c r="Z1461" s="35"/>
      <c r="AA1461" s="35"/>
      <c r="AB1461" s="35"/>
      <c r="AC1461" s="35"/>
      <c r="AD1461" s="35"/>
      <c r="AE1461" s="35"/>
    </row>
    <row r="1462">
      <c r="A1462" s="30"/>
      <c r="B1462" s="35" t="str">
        <f>'รายชื่อพนักงานลาออกพ้นสภาพ'!B444</f>
        <v/>
      </c>
      <c r="C1462" s="35" t="str">
        <f>'รายชื่อพนักงานลาออกพ้นสภาพ'!C444</f>
        <v/>
      </c>
      <c r="D1462" s="35" t="str">
        <f>'รายชื่อพนักงานลาออกพ้นสภาพ'!D444</f>
        <v/>
      </c>
      <c r="E1462" s="35" t="str">
        <f>'รายชื่อพนักงานลาออกพ้นสภาพ'!E444</f>
        <v/>
      </c>
      <c r="F1462" s="40" t="str">
        <f>'รายชื่อพนักงานลาออกพ้นสภาพ'!H444</f>
        <v/>
      </c>
      <c r="G1462" s="33"/>
      <c r="H1462" s="33"/>
      <c r="I1462" s="33"/>
      <c r="J1462" s="33"/>
      <c r="K1462" s="35"/>
      <c r="L1462" s="35"/>
      <c r="M1462" s="35"/>
      <c r="N1462" s="35"/>
      <c r="O1462" s="35"/>
      <c r="P1462" s="35"/>
      <c r="Q1462" s="35"/>
      <c r="R1462" s="35"/>
      <c r="S1462" s="35"/>
      <c r="T1462" s="35"/>
      <c r="U1462" s="35"/>
      <c r="V1462" s="35"/>
      <c r="W1462" s="35"/>
      <c r="X1462" s="35"/>
      <c r="Y1462" s="35"/>
      <c r="Z1462" s="35"/>
      <c r="AA1462" s="35"/>
      <c r="AB1462" s="35"/>
      <c r="AC1462" s="35"/>
      <c r="AD1462" s="35"/>
      <c r="AE1462" s="35"/>
    </row>
    <row r="1463">
      <c r="A1463" s="30"/>
      <c r="B1463" s="35" t="str">
        <f>'รายชื่อพนักงานลาออกพ้นสภาพ'!B445</f>
        <v/>
      </c>
      <c r="C1463" s="35" t="str">
        <f>'รายชื่อพนักงานลาออกพ้นสภาพ'!C445</f>
        <v/>
      </c>
      <c r="D1463" s="35" t="str">
        <f>'รายชื่อพนักงานลาออกพ้นสภาพ'!D445</f>
        <v/>
      </c>
      <c r="E1463" s="35" t="str">
        <f>'รายชื่อพนักงานลาออกพ้นสภาพ'!E445</f>
        <v/>
      </c>
      <c r="F1463" s="40" t="str">
        <f>'รายชื่อพนักงานลาออกพ้นสภาพ'!H445</f>
        <v/>
      </c>
      <c r="G1463" s="33"/>
      <c r="H1463" s="33"/>
      <c r="I1463" s="33"/>
      <c r="J1463" s="33"/>
      <c r="K1463" s="35"/>
      <c r="L1463" s="35"/>
      <c r="M1463" s="35"/>
      <c r="N1463" s="35"/>
      <c r="O1463" s="35"/>
      <c r="P1463" s="35"/>
      <c r="Q1463" s="35"/>
      <c r="R1463" s="35"/>
      <c r="S1463" s="35"/>
      <c r="T1463" s="35"/>
      <c r="U1463" s="35"/>
      <c r="V1463" s="35"/>
      <c r="W1463" s="35"/>
      <c r="X1463" s="35"/>
      <c r="Y1463" s="35"/>
      <c r="Z1463" s="35"/>
      <c r="AA1463" s="35"/>
      <c r="AB1463" s="35"/>
      <c r="AC1463" s="35"/>
      <c r="AD1463" s="35"/>
      <c r="AE1463" s="35"/>
    </row>
    <row r="1464">
      <c r="A1464" s="30"/>
      <c r="B1464" s="35" t="str">
        <f>'รายชื่อพนักงานลาออกพ้นสภาพ'!B446</f>
        <v/>
      </c>
      <c r="C1464" s="35" t="str">
        <f>'รายชื่อพนักงานลาออกพ้นสภาพ'!C446</f>
        <v/>
      </c>
      <c r="D1464" s="35" t="str">
        <f>'รายชื่อพนักงานลาออกพ้นสภาพ'!D446</f>
        <v/>
      </c>
      <c r="E1464" s="35" t="str">
        <f>'รายชื่อพนักงานลาออกพ้นสภาพ'!E446</f>
        <v/>
      </c>
      <c r="F1464" s="40" t="str">
        <f>'รายชื่อพนักงานลาออกพ้นสภาพ'!H446</f>
        <v/>
      </c>
      <c r="G1464" s="33"/>
      <c r="H1464" s="33"/>
      <c r="I1464" s="33"/>
      <c r="J1464" s="33"/>
      <c r="K1464" s="35"/>
      <c r="L1464" s="35"/>
      <c r="M1464" s="35"/>
      <c r="N1464" s="35"/>
      <c r="O1464" s="35"/>
      <c r="P1464" s="35"/>
      <c r="Q1464" s="35"/>
      <c r="R1464" s="35"/>
      <c r="S1464" s="35"/>
      <c r="T1464" s="35"/>
      <c r="U1464" s="35"/>
      <c r="V1464" s="35"/>
      <c r="W1464" s="35"/>
      <c r="X1464" s="35"/>
      <c r="Y1464" s="35"/>
      <c r="Z1464" s="35"/>
      <c r="AA1464" s="35"/>
      <c r="AB1464" s="35"/>
      <c r="AC1464" s="35"/>
      <c r="AD1464" s="35"/>
      <c r="AE1464" s="35"/>
    </row>
    <row r="1465">
      <c r="A1465" s="30"/>
      <c r="B1465" s="35" t="str">
        <f>'รายชื่อพนักงานลาออกพ้นสภาพ'!B447</f>
        <v/>
      </c>
      <c r="C1465" s="35" t="str">
        <f>'รายชื่อพนักงานลาออกพ้นสภาพ'!C447</f>
        <v/>
      </c>
      <c r="D1465" s="35" t="str">
        <f>'รายชื่อพนักงานลาออกพ้นสภาพ'!D447</f>
        <v/>
      </c>
      <c r="E1465" s="35" t="str">
        <f>'รายชื่อพนักงานลาออกพ้นสภาพ'!E447</f>
        <v/>
      </c>
      <c r="F1465" s="40" t="str">
        <f>'รายชื่อพนักงานลาออกพ้นสภาพ'!H447</f>
        <v/>
      </c>
      <c r="G1465" s="33"/>
      <c r="H1465" s="33"/>
      <c r="I1465" s="33"/>
      <c r="J1465" s="33"/>
      <c r="K1465" s="35"/>
      <c r="L1465" s="35"/>
      <c r="M1465" s="35"/>
      <c r="N1465" s="35"/>
      <c r="O1465" s="35"/>
      <c r="P1465" s="35"/>
      <c r="Q1465" s="35"/>
      <c r="R1465" s="35"/>
      <c r="S1465" s="35"/>
      <c r="T1465" s="35"/>
      <c r="U1465" s="35"/>
      <c r="V1465" s="35"/>
      <c r="W1465" s="35"/>
      <c r="X1465" s="35"/>
      <c r="Y1465" s="35"/>
      <c r="Z1465" s="35"/>
      <c r="AA1465" s="35"/>
      <c r="AB1465" s="35"/>
      <c r="AC1465" s="35"/>
      <c r="AD1465" s="35"/>
      <c r="AE1465" s="35"/>
    </row>
    <row r="1466">
      <c r="A1466" s="30"/>
      <c r="B1466" s="35" t="str">
        <f>'รายชื่อพนักงานลาออกพ้นสภาพ'!B448</f>
        <v/>
      </c>
      <c r="C1466" s="35" t="str">
        <f>'รายชื่อพนักงานลาออกพ้นสภาพ'!C448</f>
        <v/>
      </c>
      <c r="D1466" s="35" t="str">
        <f>'รายชื่อพนักงานลาออกพ้นสภาพ'!D448</f>
        <v/>
      </c>
      <c r="E1466" s="35" t="str">
        <f>'รายชื่อพนักงานลาออกพ้นสภาพ'!E448</f>
        <v/>
      </c>
      <c r="F1466" s="40" t="str">
        <f>'รายชื่อพนักงานลาออกพ้นสภาพ'!H448</f>
        <v/>
      </c>
      <c r="G1466" s="33"/>
      <c r="H1466" s="33"/>
      <c r="I1466" s="33"/>
      <c r="J1466" s="33"/>
      <c r="K1466" s="35"/>
      <c r="L1466" s="35"/>
      <c r="M1466" s="35"/>
      <c r="N1466" s="35"/>
      <c r="O1466" s="35"/>
      <c r="P1466" s="35"/>
      <c r="Q1466" s="35"/>
      <c r="R1466" s="35"/>
      <c r="S1466" s="35"/>
      <c r="T1466" s="35"/>
      <c r="U1466" s="35"/>
      <c r="V1466" s="35"/>
      <c r="W1466" s="35"/>
      <c r="X1466" s="35"/>
      <c r="Y1466" s="35"/>
      <c r="Z1466" s="35"/>
      <c r="AA1466" s="35"/>
      <c r="AB1466" s="35"/>
      <c r="AC1466" s="35"/>
      <c r="AD1466" s="35"/>
      <c r="AE1466" s="35"/>
    </row>
    <row r="1467">
      <c r="A1467" s="30"/>
      <c r="B1467" s="35" t="str">
        <f>'รายชื่อพนักงานลาออกพ้นสภาพ'!B449</f>
        <v/>
      </c>
      <c r="C1467" s="35" t="str">
        <f>'รายชื่อพนักงานลาออกพ้นสภาพ'!C449</f>
        <v/>
      </c>
      <c r="D1467" s="35" t="str">
        <f>'รายชื่อพนักงานลาออกพ้นสภาพ'!D449</f>
        <v/>
      </c>
      <c r="E1467" s="35" t="str">
        <f>'รายชื่อพนักงานลาออกพ้นสภาพ'!E449</f>
        <v/>
      </c>
      <c r="F1467" s="40" t="str">
        <f>'รายชื่อพนักงานลาออกพ้นสภาพ'!H449</f>
        <v/>
      </c>
      <c r="G1467" s="33"/>
      <c r="H1467" s="33"/>
      <c r="I1467" s="33"/>
      <c r="J1467" s="33"/>
      <c r="K1467" s="35"/>
      <c r="L1467" s="35"/>
      <c r="M1467" s="35"/>
      <c r="N1467" s="35"/>
      <c r="O1467" s="35"/>
      <c r="P1467" s="35"/>
      <c r="Q1467" s="35"/>
      <c r="R1467" s="35"/>
      <c r="S1467" s="35"/>
      <c r="T1467" s="35"/>
      <c r="U1467" s="35"/>
      <c r="V1467" s="35"/>
      <c r="W1467" s="35"/>
      <c r="X1467" s="35"/>
      <c r="Y1467" s="35"/>
      <c r="Z1467" s="35"/>
      <c r="AA1467" s="35"/>
      <c r="AB1467" s="35"/>
      <c r="AC1467" s="35"/>
      <c r="AD1467" s="35"/>
      <c r="AE1467" s="35"/>
    </row>
    <row r="1468">
      <c r="A1468" s="30"/>
      <c r="B1468" s="35" t="str">
        <f>'รายชื่อพนักงานลาออกพ้นสภาพ'!B450</f>
        <v/>
      </c>
      <c r="C1468" s="35" t="str">
        <f>'รายชื่อพนักงานลาออกพ้นสภาพ'!C450</f>
        <v/>
      </c>
      <c r="D1468" s="35" t="str">
        <f>'รายชื่อพนักงานลาออกพ้นสภาพ'!D450</f>
        <v/>
      </c>
      <c r="E1468" s="35" t="str">
        <f>'รายชื่อพนักงานลาออกพ้นสภาพ'!E450</f>
        <v/>
      </c>
      <c r="F1468" s="40" t="str">
        <f>'รายชื่อพนักงานลาออกพ้นสภาพ'!H450</f>
        <v/>
      </c>
      <c r="G1468" s="33"/>
      <c r="H1468" s="33"/>
      <c r="I1468" s="33"/>
      <c r="J1468" s="33"/>
      <c r="K1468" s="35"/>
      <c r="L1468" s="35"/>
      <c r="M1468" s="35"/>
      <c r="N1468" s="35"/>
      <c r="O1468" s="35"/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5"/>
      <c r="AA1468" s="35"/>
      <c r="AB1468" s="35"/>
      <c r="AC1468" s="35"/>
      <c r="AD1468" s="35"/>
      <c r="AE1468" s="35"/>
    </row>
    <row r="1469">
      <c r="A1469" s="30"/>
      <c r="B1469" s="35" t="str">
        <f>'รายชื่อพนักงานลาออกพ้นสภาพ'!B451</f>
        <v/>
      </c>
      <c r="C1469" s="35" t="str">
        <f>'รายชื่อพนักงานลาออกพ้นสภาพ'!C451</f>
        <v/>
      </c>
      <c r="D1469" s="35" t="str">
        <f>'รายชื่อพนักงานลาออกพ้นสภาพ'!D451</f>
        <v/>
      </c>
      <c r="E1469" s="35" t="str">
        <f>'รายชื่อพนักงานลาออกพ้นสภาพ'!E451</f>
        <v/>
      </c>
      <c r="F1469" s="40" t="str">
        <f>'รายชื่อพนักงานลาออกพ้นสภาพ'!H451</f>
        <v/>
      </c>
      <c r="G1469" s="33"/>
      <c r="H1469" s="33"/>
      <c r="I1469" s="33"/>
      <c r="J1469" s="33"/>
      <c r="K1469" s="35"/>
      <c r="L1469" s="35"/>
      <c r="M1469" s="35"/>
      <c r="N1469" s="35"/>
      <c r="O1469" s="35"/>
      <c r="P1469" s="35"/>
      <c r="Q1469" s="35"/>
      <c r="R1469" s="35"/>
      <c r="S1469" s="35"/>
      <c r="T1469" s="35"/>
      <c r="U1469" s="35"/>
      <c r="V1469" s="35"/>
      <c r="W1469" s="35"/>
      <c r="X1469" s="35"/>
      <c r="Y1469" s="35"/>
      <c r="Z1469" s="35"/>
      <c r="AA1469" s="35"/>
      <c r="AB1469" s="35"/>
      <c r="AC1469" s="35"/>
      <c r="AD1469" s="35"/>
      <c r="AE1469" s="35"/>
    </row>
    <row r="1470">
      <c r="A1470" s="30"/>
      <c r="B1470" s="35" t="str">
        <f>'รายชื่อพนักงานลาออกพ้นสภาพ'!B452</f>
        <v/>
      </c>
      <c r="C1470" s="35" t="str">
        <f>'รายชื่อพนักงานลาออกพ้นสภาพ'!C452</f>
        <v/>
      </c>
      <c r="D1470" s="35" t="str">
        <f>'รายชื่อพนักงานลาออกพ้นสภาพ'!D452</f>
        <v/>
      </c>
      <c r="E1470" s="35" t="str">
        <f>'รายชื่อพนักงานลาออกพ้นสภาพ'!E452</f>
        <v/>
      </c>
      <c r="F1470" s="40" t="str">
        <f>'รายชื่อพนักงานลาออกพ้นสภาพ'!H452</f>
        <v/>
      </c>
      <c r="G1470" s="33"/>
      <c r="H1470" s="33"/>
      <c r="I1470" s="33"/>
      <c r="J1470" s="33"/>
      <c r="K1470" s="35"/>
      <c r="L1470" s="35"/>
      <c r="M1470" s="35"/>
      <c r="N1470" s="35"/>
      <c r="O1470" s="35"/>
      <c r="P1470" s="35"/>
      <c r="Q1470" s="35"/>
      <c r="R1470" s="35"/>
      <c r="S1470" s="35"/>
      <c r="T1470" s="35"/>
      <c r="U1470" s="35"/>
      <c r="V1470" s="35"/>
      <c r="W1470" s="35"/>
      <c r="X1470" s="35"/>
      <c r="Y1470" s="35"/>
      <c r="Z1470" s="35"/>
      <c r="AA1470" s="35"/>
      <c r="AB1470" s="35"/>
      <c r="AC1470" s="35"/>
      <c r="AD1470" s="35"/>
      <c r="AE1470" s="35"/>
    </row>
    <row r="1471">
      <c r="A1471" s="30"/>
      <c r="B1471" s="35" t="str">
        <f>'รายชื่อพนักงานลาออกพ้นสภาพ'!B453</f>
        <v/>
      </c>
      <c r="C1471" s="35" t="str">
        <f>'รายชื่อพนักงานลาออกพ้นสภาพ'!C453</f>
        <v/>
      </c>
      <c r="D1471" s="35" t="str">
        <f>'รายชื่อพนักงานลาออกพ้นสภาพ'!D453</f>
        <v/>
      </c>
      <c r="E1471" s="35" t="str">
        <f>'รายชื่อพนักงานลาออกพ้นสภาพ'!E453</f>
        <v/>
      </c>
      <c r="F1471" s="40" t="str">
        <f>'รายชื่อพนักงานลาออกพ้นสภาพ'!H453</f>
        <v/>
      </c>
      <c r="G1471" s="33"/>
      <c r="H1471" s="33"/>
      <c r="I1471" s="33"/>
      <c r="J1471" s="33"/>
      <c r="K1471" s="35"/>
      <c r="L1471" s="35"/>
      <c r="M1471" s="35"/>
      <c r="N1471" s="35"/>
      <c r="O1471" s="35"/>
      <c r="P1471" s="35"/>
      <c r="Q1471" s="35"/>
      <c r="R1471" s="35"/>
      <c r="S1471" s="35"/>
      <c r="T1471" s="35"/>
      <c r="U1471" s="35"/>
      <c r="V1471" s="35"/>
      <c r="W1471" s="35"/>
      <c r="X1471" s="35"/>
      <c r="Y1471" s="35"/>
      <c r="Z1471" s="35"/>
      <c r="AA1471" s="35"/>
      <c r="AB1471" s="35"/>
      <c r="AC1471" s="35"/>
      <c r="AD1471" s="35"/>
      <c r="AE1471" s="35"/>
    </row>
    <row r="1472">
      <c r="A1472" s="30"/>
      <c r="B1472" s="35" t="str">
        <f>'รายชื่อพนักงานลาออกพ้นสภาพ'!B454</f>
        <v/>
      </c>
      <c r="C1472" s="35" t="str">
        <f>'รายชื่อพนักงานลาออกพ้นสภาพ'!C454</f>
        <v/>
      </c>
      <c r="D1472" s="35" t="str">
        <f>'รายชื่อพนักงานลาออกพ้นสภาพ'!D454</f>
        <v/>
      </c>
      <c r="E1472" s="35" t="str">
        <f>'รายชื่อพนักงานลาออกพ้นสภาพ'!E454</f>
        <v/>
      </c>
      <c r="F1472" s="40" t="str">
        <f>'รายชื่อพนักงานลาออกพ้นสภาพ'!H454</f>
        <v/>
      </c>
      <c r="G1472" s="33"/>
      <c r="H1472" s="33"/>
      <c r="I1472" s="33"/>
      <c r="J1472" s="33"/>
      <c r="K1472" s="35"/>
      <c r="L1472" s="35"/>
      <c r="M1472" s="35"/>
      <c r="N1472" s="35"/>
      <c r="O1472" s="35"/>
      <c r="P1472" s="35"/>
      <c r="Q1472" s="35"/>
      <c r="R1472" s="35"/>
      <c r="S1472" s="35"/>
      <c r="T1472" s="35"/>
      <c r="U1472" s="35"/>
      <c r="V1472" s="35"/>
      <c r="W1472" s="35"/>
      <c r="X1472" s="35"/>
      <c r="Y1472" s="35"/>
      <c r="Z1472" s="35"/>
      <c r="AA1472" s="35"/>
      <c r="AB1472" s="35"/>
      <c r="AC1472" s="35"/>
      <c r="AD1472" s="35"/>
      <c r="AE1472" s="35"/>
    </row>
    <row r="1473">
      <c r="A1473" s="30"/>
      <c r="B1473" s="35" t="str">
        <f>'รายชื่อพนักงานลาออกพ้นสภาพ'!B455</f>
        <v/>
      </c>
      <c r="C1473" s="35" t="str">
        <f>'รายชื่อพนักงานลาออกพ้นสภาพ'!C455</f>
        <v/>
      </c>
      <c r="D1473" s="35" t="str">
        <f>'รายชื่อพนักงานลาออกพ้นสภาพ'!D455</f>
        <v/>
      </c>
      <c r="E1473" s="35" t="str">
        <f>'รายชื่อพนักงานลาออกพ้นสภาพ'!E455</f>
        <v/>
      </c>
      <c r="F1473" s="40" t="str">
        <f>'รายชื่อพนักงานลาออกพ้นสภาพ'!H455</f>
        <v/>
      </c>
      <c r="G1473" s="33"/>
      <c r="H1473" s="33"/>
      <c r="I1473" s="33"/>
      <c r="J1473" s="33"/>
      <c r="K1473" s="35"/>
      <c r="L1473" s="35"/>
      <c r="M1473" s="35"/>
      <c r="N1473" s="35"/>
      <c r="O1473" s="35"/>
      <c r="P1473" s="35"/>
      <c r="Q1473" s="35"/>
      <c r="R1473" s="35"/>
      <c r="S1473" s="35"/>
      <c r="T1473" s="35"/>
      <c r="U1473" s="35"/>
      <c r="V1473" s="35"/>
      <c r="W1473" s="35"/>
      <c r="X1473" s="35"/>
      <c r="Y1473" s="35"/>
      <c r="Z1473" s="35"/>
      <c r="AA1473" s="35"/>
      <c r="AB1473" s="35"/>
      <c r="AC1473" s="35"/>
      <c r="AD1473" s="35"/>
      <c r="AE1473" s="35"/>
    </row>
    <row r="1474">
      <c r="A1474" s="30"/>
      <c r="B1474" s="35" t="str">
        <f>'รายชื่อพนักงานลาออกพ้นสภาพ'!B456</f>
        <v/>
      </c>
      <c r="C1474" s="35" t="str">
        <f>'รายชื่อพนักงานลาออกพ้นสภาพ'!C456</f>
        <v/>
      </c>
      <c r="D1474" s="35" t="str">
        <f>'รายชื่อพนักงานลาออกพ้นสภาพ'!D456</f>
        <v/>
      </c>
      <c r="E1474" s="35" t="str">
        <f>'รายชื่อพนักงานลาออกพ้นสภาพ'!E456</f>
        <v/>
      </c>
      <c r="F1474" s="40" t="str">
        <f>'รายชื่อพนักงานลาออกพ้นสภาพ'!H456</f>
        <v/>
      </c>
      <c r="G1474" s="33"/>
      <c r="H1474" s="33"/>
      <c r="I1474" s="33"/>
      <c r="J1474" s="33"/>
      <c r="K1474" s="35"/>
      <c r="L1474" s="35"/>
      <c r="M1474" s="35"/>
      <c r="N1474" s="35"/>
      <c r="O1474" s="35"/>
      <c r="P1474" s="35"/>
      <c r="Q1474" s="35"/>
      <c r="R1474" s="35"/>
      <c r="S1474" s="35"/>
      <c r="T1474" s="35"/>
      <c r="U1474" s="35"/>
      <c r="V1474" s="35"/>
      <c r="W1474" s="35"/>
      <c r="X1474" s="35"/>
      <c r="Y1474" s="35"/>
      <c r="Z1474" s="35"/>
      <c r="AA1474" s="35"/>
      <c r="AB1474" s="35"/>
      <c r="AC1474" s="35"/>
      <c r="AD1474" s="35"/>
      <c r="AE1474" s="35"/>
    </row>
    <row r="1475">
      <c r="A1475" s="30"/>
      <c r="B1475" s="35" t="str">
        <f>'รายชื่อพนักงานลาออกพ้นสภาพ'!B457</f>
        <v/>
      </c>
      <c r="C1475" s="35" t="str">
        <f>'รายชื่อพนักงานลาออกพ้นสภาพ'!C457</f>
        <v/>
      </c>
      <c r="D1475" s="35" t="str">
        <f>'รายชื่อพนักงานลาออกพ้นสภาพ'!D457</f>
        <v/>
      </c>
      <c r="E1475" s="35" t="str">
        <f>'รายชื่อพนักงานลาออกพ้นสภาพ'!E457</f>
        <v/>
      </c>
      <c r="F1475" s="40" t="str">
        <f>'รายชื่อพนักงานลาออกพ้นสภาพ'!H457</f>
        <v/>
      </c>
      <c r="G1475" s="33"/>
      <c r="H1475" s="33"/>
      <c r="I1475" s="33"/>
      <c r="J1475" s="33"/>
      <c r="K1475" s="35"/>
      <c r="L1475" s="35"/>
      <c r="M1475" s="35"/>
      <c r="N1475" s="35"/>
      <c r="O1475" s="35"/>
      <c r="P1475" s="35"/>
      <c r="Q1475" s="35"/>
      <c r="R1475" s="35"/>
      <c r="S1475" s="35"/>
      <c r="T1475" s="35"/>
      <c r="U1475" s="35"/>
      <c r="V1475" s="35"/>
      <c r="W1475" s="35"/>
      <c r="X1475" s="35"/>
      <c r="Y1475" s="35"/>
      <c r="Z1475" s="35"/>
      <c r="AA1475" s="35"/>
      <c r="AB1475" s="35"/>
      <c r="AC1475" s="35"/>
      <c r="AD1475" s="35"/>
      <c r="AE1475" s="35"/>
    </row>
    <row r="1476">
      <c r="A1476" s="30"/>
      <c r="B1476" s="35" t="str">
        <f>'รายชื่อพนักงานลาออกพ้นสภาพ'!B458</f>
        <v/>
      </c>
      <c r="C1476" s="35" t="str">
        <f>'รายชื่อพนักงานลาออกพ้นสภาพ'!C458</f>
        <v/>
      </c>
      <c r="D1476" s="35" t="str">
        <f>'รายชื่อพนักงานลาออกพ้นสภาพ'!D458</f>
        <v/>
      </c>
      <c r="E1476" s="35" t="str">
        <f>'รายชื่อพนักงานลาออกพ้นสภาพ'!E458</f>
        <v/>
      </c>
      <c r="F1476" s="40" t="str">
        <f>'รายชื่อพนักงานลาออกพ้นสภาพ'!H458</f>
        <v/>
      </c>
      <c r="G1476" s="33"/>
      <c r="H1476" s="33"/>
      <c r="I1476" s="33"/>
      <c r="J1476" s="33"/>
      <c r="K1476" s="35"/>
      <c r="L1476" s="35"/>
      <c r="M1476" s="35"/>
      <c r="N1476" s="35"/>
      <c r="O1476" s="35"/>
      <c r="P1476" s="35"/>
      <c r="Q1476" s="35"/>
      <c r="R1476" s="35"/>
      <c r="S1476" s="35"/>
      <c r="T1476" s="35"/>
      <c r="U1476" s="35"/>
      <c r="V1476" s="35"/>
      <c r="W1476" s="35"/>
      <c r="X1476" s="35"/>
      <c r="Y1476" s="35"/>
      <c r="Z1476" s="35"/>
      <c r="AA1476" s="35"/>
      <c r="AB1476" s="35"/>
      <c r="AC1476" s="35"/>
      <c r="AD1476" s="35"/>
      <c r="AE1476" s="35"/>
    </row>
    <row r="1477">
      <c r="A1477" s="30"/>
      <c r="B1477" s="35" t="str">
        <f>'รายชื่อพนักงานลาออกพ้นสภาพ'!B459</f>
        <v/>
      </c>
      <c r="C1477" s="35" t="str">
        <f>'รายชื่อพนักงานลาออกพ้นสภาพ'!C459</f>
        <v/>
      </c>
      <c r="D1477" s="35" t="str">
        <f>'รายชื่อพนักงานลาออกพ้นสภาพ'!D459</f>
        <v/>
      </c>
      <c r="E1477" s="35" t="str">
        <f>'รายชื่อพนักงานลาออกพ้นสภาพ'!E459</f>
        <v/>
      </c>
      <c r="F1477" s="40" t="str">
        <f>'รายชื่อพนักงานลาออกพ้นสภาพ'!H459</f>
        <v/>
      </c>
      <c r="G1477" s="33"/>
      <c r="H1477" s="33"/>
      <c r="I1477" s="33"/>
      <c r="J1477" s="33"/>
      <c r="K1477" s="35"/>
      <c r="L1477" s="35"/>
      <c r="M1477" s="35"/>
      <c r="N1477" s="35"/>
      <c r="O1477" s="35"/>
      <c r="P1477" s="35"/>
      <c r="Q1477" s="35"/>
      <c r="R1477" s="35"/>
      <c r="S1477" s="35"/>
      <c r="T1477" s="35"/>
      <c r="U1477" s="35"/>
      <c r="V1477" s="35"/>
      <c r="W1477" s="35"/>
      <c r="X1477" s="35"/>
      <c r="Y1477" s="35"/>
      <c r="Z1477" s="35"/>
      <c r="AA1477" s="35"/>
      <c r="AB1477" s="35"/>
      <c r="AC1477" s="35"/>
      <c r="AD1477" s="35"/>
      <c r="AE1477" s="35"/>
    </row>
    <row r="1478">
      <c r="A1478" s="30"/>
      <c r="B1478" s="35" t="str">
        <f>'รายชื่อพนักงานลาออกพ้นสภาพ'!B460</f>
        <v/>
      </c>
      <c r="C1478" s="35" t="str">
        <f>'รายชื่อพนักงานลาออกพ้นสภาพ'!C460</f>
        <v/>
      </c>
      <c r="D1478" s="35" t="str">
        <f>'รายชื่อพนักงานลาออกพ้นสภาพ'!D460</f>
        <v/>
      </c>
      <c r="E1478" s="35" t="str">
        <f>'รายชื่อพนักงานลาออกพ้นสภาพ'!E460</f>
        <v/>
      </c>
      <c r="F1478" s="40" t="str">
        <f>'รายชื่อพนักงานลาออกพ้นสภาพ'!H460</f>
        <v/>
      </c>
      <c r="G1478" s="33"/>
      <c r="H1478" s="33"/>
      <c r="I1478" s="33"/>
      <c r="J1478" s="33"/>
      <c r="K1478" s="35"/>
      <c r="L1478" s="35"/>
      <c r="M1478" s="35"/>
      <c r="N1478" s="35"/>
      <c r="O1478" s="35"/>
      <c r="P1478" s="35"/>
      <c r="Q1478" s="35"/>
      <c r="R1478" s="35"/>
      <c r="S1478" s="35"/>
      <c r="T1478" s="35"/>
      <c r="U1478" s="35"/>
      <c r="V1478" s="35"/>
      <c r="W1478" s="35"/>
      <c r="X1478" s="35"/>
      <c r="Y1478" s="35"/>
      <c r="Z1478" s="35"/>
      <c r="AA1478" s="35"/>
      <c r="AB1478" s="35"/>
      <c r="AC1478" s="35"/>
      <c r="AD1478" s="35"/>
      <c r="AE1478" s="35"/>
    </row>
    <row r="1479">
      <c r="A1479" s="30"/>
      <c r="B1479" s="35" t="str">
        <f>'รายชื่อพนักงานลาออกพ้นสภาพ'!B461</f>
        <v/>
      </c>
      <c r="C1479" s="35" t="str">
        <f>'รายชื่อพนักงานลาออกพ้นสภาพ'!C461</f>
        <v/>
      </c>
      <c r="D1479" s="35" t="str">
        <f>'รายชื่อพนักงานลาออกพ้นสภาพ'!D461</f>
        <v/>
      </c>
      <c r="E1479" s="35" t="str">
        <f>'รายชื่อพนักงานลาออกพ้นสภาพ'!E461</f>
        <v/>
      </c>
      <c r="F1479" s="40" t="str">
        <f>'รายชื่อพนักงานลาออกพ้นสภาพ'!H461</f>
        <v/>
      </c>
      <c r="G1479" s="33"/>
      <c r="H1479" s="33"/>
      <c r="I1479" s="33"/>
      <c r="J1479" s="33"/>
      <c r="K1479" s="35"/>
      <c r="L1479" s="35"/>
      <c r="M1479" s="35"/>
      <c r="N1479" s="35"/>
      <c r="O1479" s="35"/>
      <c r="P1479" s="35"/>
      <c r="Q1479" s="35"/>
      <c r="R1479" s="35"/>
      <c r="S1479" s="35"/>
      <c r="T1479" s="35"/>
      <c r="U1479" s="35"/>
      <c r="V1479" s="35"/>
      <c r="W1479" s="35"/>
      <c r="X1479" s="35"/>
      <c r="Y1479" s="35"/>
      <c r="Z1479" s="35"/>
      <c r="AA1479" s="35"/>
      <c r="AB1479" s="35"/>
      <c r="AC1479" s="35"/>
      <c r="AD1479" s="35"/>
      <c r="AE1479" s="35"/>
    </row>
    <row r="1480">
      <c r="A1480" s="30"/>
      <c r="B1480" s="35" t="str">
        <f>'รายชื่อพนักงานลาออกพ้นสภาพ'!B462</f>
        <v/>
      </c>
      <c r="C1480" s="35" t="str">
        <f>'รายชื่อพนักงานลาออกพ้นสภาพ'!C462</f>
        <v/>
      </c>
      <c r="D1480" s="35" t="str">
        <f>'รายชื่อพนักงานลาออกพ้นสภาพ'!D462</f>
        <v/>
      </c>
      <c r="E1480" s="35" t="str">
        <f>'รายชื่อพนักงานลาออกพ้นสภาพ'!E462</f>
        <v/>
      </c>
      <c r="F1480" s="40" t="str">
        <f>'รายชื่อพนักงานลาออกพ้นสภาพ'!H462</f>
        <v/>
      </c>
      <c r="G1480" s="33"/>
      <c r="H1480" s="33"/>
      <c r="I1480" s="33"/>
      <c r="J1480" s="33"/>
      <c r="K1480" s="35"/>
      <c r="L1480" s="35"/>
      <c r="M1480" s="35"/>
      <c r="N1480" s="35"/>
      <c r="O1480" s="35"/>
      <c r="P1480" s="35"/>
      <c r="Q1480" s="35"/>
      <c r="R1480" s="35"/>
      <c r="S1480" s="35"/>
      <c r="T1480" s="35"/>
      <c r="U1480" s="35"/>
      <c r="V1480" s="35"/>
      <c r="W1480" s="35"/>
      <c r="X1480" s="35"/>
      <c r="Y1480" s="35"/>
      <c r="Z1480" s="35"/>
      <c r="AA1480" s="35"/>
      <c r="AB1480" s="35"/>
      <c r="AC1480" s="35"/>
      <c r="AD1480" s="35"/>
      <c r="AE1480" s="35"/>
    </row>
    <row r="1481">
      <c r="A1481" s="30"/>
      <c r="B1481" s="35" t="str">
        <f>'รายชื่อพนักงานลาออกพ้นสภาพ'!B463</f>
        <v/>
      </c>
      <c r="C1481" s="35" t="str">
        <f>'รายชื่อพนักงานลาออกพ้นสภาพ'!C463</f>
        <v/>
      </c>
      <c r="D1481" s="35" t="str">
        <f>'รายชื่อพนักงานลาออกพ้นสภาพ'!D463</f>
        <v/>
      </c>
      <c r="E1481" s="35" t="str">
        <f>'รายชื่อพนักงานลาออกพ้นสภาพ'!E463</f>
        <v/>
      </c>
      <c r="F1481" s="40" t="str">
        <f>'รายชื่อพนักงานลาออกพ้นสภาพ'!H463</f>
        <v/>
      </c>
      <c r="G1481" s="33"/>
      <c r="H1481" s="33"/>
      <c r="I1481" s="33"/>
      <c r="J1481" s="33"/>
      <c r="K1481" s="35"/>
      <c r="L1481" s="35"/>
      <c r="M1481" s="35"/>
      <c r="N1481" s="35"/>
      <c r="O1481" s="35"/>
      <c r="P1481" s="35"/>
      <c r="Q1481" s="35"/>
      <c r="R1481" s="35"/>
      <c r="S1481" s="35"/>
      <c r="T1481" s="35"/>
      <c r="U1481" s="35"/>
      <c r="V1481" s="35"/>
      <c r="W1481" s="35"/>
      <c r="X1481" s="35"/>
      <c r="Y1481" s="35"/>
      <c r="Z1481" s="35"/>
      <c r="AA1481" s="35"/>
      <c r="AB1481" s="35"/>
      <c r="AC1481" s="35"/>
      <c r="AD1481" s="35"/>
      <c r="AE1481" s="35"/>
    </row>
    <row r="1482">
      <c r="A1482" s="30"/>
      <c r="B1482" s="35" t="str">
        <f>'รายชื่อพนักงานลาออกพ้นสภาพ'!B464</f>
        <v/>
      </c>
      <c r="C1482" s="35" t="str">
        <f>'รายชื่อพนักงานลาออกพ้นสภาพ'!C464</f>
        <v/>
      </c>
      <c r="D1482" s="35" t="str">
        <f>'รายชื่อพนักงานลาออกพ้นสภาพ'!D464</f>
        <v/>
      </c>
      <c r="E1482" s="35" t="str">
        <f>'รายชื่อพนักงานลาออกพ้นสภาพ'!E464</f>
        <v/>
      </c>
      <c r="F1482" s="40" t="str">
        <f>'รายชื่อพนักงานลาออกพ้นสภาพ'!H464</f>
        <v/>
      </c>
      <c r="G1482" s="33"/>
      <c r="H1482" s="33"/>
      <c r="I1482" s="33"/>
      <c r="J1482" s="33"/>
      <c r="K1482" s="35"/>
      <c r="L1482" s="35"/>
      <c r="M1482" s="35"/>
      <c r="N1482" s="35"/>
      <c r="O1482" s="35"/>
      <c r="P1482" s="35"/>
      <c r="Q1482" s="35"/>
      <c r="R1482" s="35"/>
      <c r="S1482" s="35"/>
      <c r="T1482" s="35"/>
      <c r="U1482" s="35"/>
      <c r="V1482" s="35"/>
      <c r="W1482" s="35"/>
      <c r="X1482" s="35"/>
      <c r="Y1482" s="35"/>
      <c r="Z1482" s="35"/>
      <c r="AA1482" s="35"/>
      <c r="AB1482" s="35"/>
      <c r="AC1482" s="35"/>
      <c r="AD1482" s="35"/>
      <c r="AE1482" s="35"/>
    </row>
    <row r="1483">
      <c r="A1483" s="30"/>
      <c r="B1483" s="35" t="str">
        <f>'รายชื่อพนักงานลาออกพ้นสภาพ'!B465</f>
        <v/>
      </c>
      <c r="C1483" s="35" t="str">
        <f>'รายชื่อพนักงานลาออกพ้นสภาพ'!C465</f>
        <v/>
      </c>
      <c r="D1483" s="35" t="str">
        <f>'รายชื่อพนักงานลาออกพ้นสภาพ'!D465</f>
        <v/>
      </c>
      <c r="E1483" s="35" t="str">
        <f>'รายชื่อพนักงานลาออกพ้นสภาพ'!E465</f>
        <v/>
      </c>
      <c r="F1483" s="40" t="str">
        <f>'รายชื่อพนักงานลาออกพ้นสภาพ'!H465</f>
        <v/>
      </c>
      <c r="G1483" s="33"/>
      <c r="H1483" s="33"/>
      <c r="I1483" s="33"/>
      <c r="J1483" s="33"/>
      <c r="K1483" s="35"/>
      <c r="L1483" s="35"/>
      <c r="M1483" s="35"/>
      <c r="N1483" s="35"/>
      <c r="O1483" s="35"/>
      <c r="P1483" s="35"/>
      <c r="Q1483" s="35"/>
      <c r="R1483" s="35"/>
      <c r="S1483" s="35"/>
      <c r="T1483" s="35"/>
      <c r="U1483" s="35"/>
      <c r="V1483" s="35"/>
      <c r="W1483" s="35"/>
      <c r="X1483" s="35"/>
      <c r="Y1483" s="35"/>
      <c r="Z1483" s="35"/>
      <c r="AA1483" s="35"/>
      <c r="AB1483" s="35"/>
      <c r="AC1483" s="35"/>
      <c r="AD1483" s="35"/>
      <c r="AE1483" s="35"/>
    </row>
    <row r="1484">
      <c r="A1484" s="30"/>
      <c r="B1484" s="35" t="str">
        <f>'รายชื่อพนักงานลาออกพ้นสภาพ'!B466</f>
        <v/>
      </c>
      <c r="C1484" s="35" t="str">
        <f>'รายชื่อพนักงานลาออกพ้นสภาพ'!C466</f>
        <v/>
      </c>
      <c r="D1484" s="35" t="str">
        <f>'รายชื่อพนักงานลาออกพ้นสภาพ'!D466</f>
        <v/>
      </c>
      <c r="E1484" s="35" t="str">
        <f>'รายชื่อพนักงานลาออกพ้นสภาพ'!E466</f>
        <v/>
      </c>
      <c r="F1484" s="40" t="str">
        <f>'รายชื่อพนักงานลาออกพ้นสภาพ'!H466</f>
        <v/>
      </c>
      <c r="G1484" s="33"/>
      <c r="H1484" s="33"/>
      <c r="I1484" s="33"/>
      <c r="J1484" s="33"/>
      <c r="K1484" s="35"/>
      <c r="L1484" s="35"/>
      <c r="M1484" s="35"/>
      <c r="N1484" s="35"/>
      <c r="O1484" s="35"/>
      <c r="P1484" s="35"/>
      <c r="Q1484" s="35"/>
      <c r="R1484" s="35"/>
      <c r="S1484" s="35"/>
      <c r="T1484" s="35"/>
      <c r="U1484" s="35"/>
      <c r="V1484" s="35"/>
      <c r="W1484" s="35"/>
      <c r="X1484" s="35"/>
      <c r="Y1484" s="35"/>
      <c r="Z1484" s="35"/>
      <c r="AA1484" s="35"/>
      <c r="AB1484" s="35"/>
      <c r="AC1484" s="35"/>
      <c r="AD1484" s="35"/>
      <c r="AE1484" s="35"/>
    </row>
    <row r="1485">
      <c r="A1485" s="30"/>
      <c r="B1485" s="35" t="str">
        <f>'รายชื่อพนักงานลาออกพ้นสภาพ'!B467</f>
        <v/>
      </c>
      <c r="C1485" s="35" t="str">
        <f>'รายชื่อพนักงานลาออกพ้นสภาพ'!C467</f>
        <v/>
      </c>
      <c r="D1485" s="35" t="str">
        <f>'รายชื่อพนักงานลาออกพ้นสภาพ'!D467</f>
        <v/>
      </c>
      <c r="E1485" s="35" t="str">
        <f>'รายชื่อพนักงานลาออกพ้นสภาพ'!E467</f>
        <v/>
      </c>
      <c r="F1485" s="40" t="str">
        <f>'รายชื่อพนักงานลาออกพ้นสภาพ'!H467</f>
        <v/>
      </c>
      <c r="G1485" s="33"/>
      <c r="H1485" s="33"/>
      <c r="I1485" s="33"/>
      <c r="J1485" s="33"/>
      <c r="K1485" s="35"/>
      <c r="L1485" s="35"/>
      <c r="M1485" s="35"/>
      <c r="N1485" s="35"/>
      <c r="O1485" s="35"/>
      <c r="P1485" s="35"/>
      <c r="Q1485" s="35"/>
      <c r="R1485" s="35"/>
      <c r="S1485" s="35"/>
      <c r="T1485" s="35"/>
      <c r="U1485" s="35"/>
      <c r="V1485" s="35"/>
      <c r="W1485" s="35"/>
      <c r="X1485" s="35"/>
      <c r="Y1485" s="35"/>
      <c r="Z1485" s="35"/>
      <c r="AA1485" s="35"/>
      <c r="AB1485" s="35"/>
      <c r="AC1485" s="35"/>
      <c r="AD1485" s="35"/>
      <c r="AE1485" s="35"/>
    </row>
    <row r="1486">
      <c r="A1486" s="30"/>
      <c r="B1486" s="35" t="str">
        <f>'รายชื่อพนักงานลาออกพ้นสภาพ'!B468</f>
        <v/>
      </c>
      <c r="C1486" s="35" t="str">
        <f>'รายชื่อพนักงานลาออกพ้นสภาพ'!C468</f>
        <v/>
      </c>
      <c r="D1486" s="35" t="str">
        <f>'รายชื่อพนักงานลาออกพ้นสภาพ'!D468</f>
        <v/>
      </c>
      <c r="E1486" s="35" t="str">
        <f>'รายชื่อพนักงานลาออกพ้นสภาพ'!E468</f>
        <v/>
      </c>
      <c r="F1486" s="40" t="str">
        <f>'รายชื่อพนักงานลาออกพ้นสภาพ'!H468</f>
        <v/>
      </c>
      <c r="G1486" s="33"/>
      <c r="H1486" s="33"/>
      <c r="I1486" s="33"/>
      <c r="J1486" s="33"/>
      <c r="K1486" s="35"/>
      <c r="L1486" s="35"/>
      <c r="M1486" s="35"/>
      <c r="N1486" s="35"/>
      <c r="O1486" s="35"/>
      <c r="P1486" s="35"/>
      <c r="Q1486" s="35"/>
      <c r="R1486" s="35"/>
      <c r="S1486" s="35"/>
      <c r="T1486" s="35"/>
      <c r="U1486" s="35"/>
      <c r="V1486" s="35"/>
      <c r="W1486" s="35"/>
      <c r="X1486" s="35"/>
      <c r="Y1486" s="35"/>
      <c r="Z1486" s="35"/>
      <c r="AA1486" s="35"/>
      <c r="AB1486" s="35"/>
      <c r="AC1486" s="35"/>
      <c r="AD1486" s="35"/>
      <c r="AE1486" s="35"/>
    </row>
    <row r="1487">
      <c r="A1487" s="30"/>
      <c r="B1487" s="35" t="str">
        <f>'รายชื่อพนักงานลาออกพ้นสภาพ'!B469</f>
        <v/>
      </c>
      <c r="C1487" s="35" t="str">
        <f>'รายชื่อพนักงานลาออกพ้นสภาพ'!C469</f>
        <v/>
      </c>
      <c r="D1487" s="35" t="str">
        <f>'รายชื่อพนักงานลาออกพ้นสภาพ'!D469</f>
        <v/>
      </c>
      <c r="E1487" s="35" t="str">
        <f>'รายชื่อพนักงานลาออกพ้นสภาพ'!E469</f>
        <v/>
      </c>
      <c r="F1487" s="40" t="str">
        <f>'รายชื่อพนักงานลาออกพ้นสภาพ'!H469</f>
        <v/>
      </c>
      <c r="G1487" s="33"/>
      <c r="H1487" s="33"/>
      <c r="I1487" s="33"/>
      <c r="J1487" s="33"/>
      <c r="K1487" s="35"/>
      <c r="L1487" s="35"/>
      <c r="M1487" s="35"/>
      <c r="N1487" s="35"/>
      <c r="O1487" s="35"/>
      <c r="P1487" s="35"/>
      <c r="Q1487" s="35"/>
      <c r="R1487" s="35"/>
      <c r="S1487" s="35"/>
      <c r="T1487" s="35"/>
      <c r="U1487" s="35"/>
      <c r="V1487" s="35"/>
      <c r="W1487" s="35"/>
      <c r="X1487" s="35"/>
      <c r="Y1487" s="35"/>
      <c r="Z1487" s="35"/>
      <c r="AA1487" s="35"/>
      <c r="AB1487" s="35"/>
      <c r="AC1487" s="35"/>
      <c r="AD1487" s="35"/>
      <c r="AE1487" s="35"/>
    </row>
    <row r="1488">
      <c r="A1488" s="30"/>
      <c r="B1488" s="35" t="str">
        <f>'รายชื่อพนักงานลาออกพ้นสภาพ'!B470</f>
        <v/>
      </c>
      <c r="C1488" s="35" t="str">
        <f>'รายชื่อพนักงานลาออกพ้นสภาพ'!C470</f>
        <v/>
      </c>
      <c r="D1488" s="35" t="str">
        <f>'รายชื่อพนักงานลาออกพ้นสภาพ'!D470</f>
        <v/>
      </c>
      <c r="E1488" s="35" t="str">
        <f>'รายชื่อพนักงานลาออกพ้นสภาพ'!E470</f>
        <v/>
      </c>
      <c r="F1488" s="40" t="str">
        <f>'รายชื่อพนักงานลาออกพ้นสภาพ'!H470</f>
        <v/>
      </c>
      <c r="G1488" s="33"/>
      <c r="H1488" s="33"/>
      <c r="I1488" s="33"/>
      <c r="J1488" s="33"/>
      <c r="K1488" s="35"/>
      <c r="L1488" s="35"/>
      <c r="M1488" s="35"/>
      <c r="N1488" s="35"/>
      <c r="O1488" s="35"/>
      <c r="P1488" s="35"/>
      <c r="Q1488" s="35"/>
      <c r="R1488" s="35"/>
      <c r="S1488" s="35"/>
      <c r="T1488" s="35"/>
      <c r="U1488" s="35"/>
      <c r="V1488" s="35"/>
      <c r="W1488" s="35"/>
      <c r="X1488" s="35"/>
      <c r="Y1488" s="35"/>
      <c r="Z1488" s="35"/>
      <c r="AA1488" s="35"/>
      <c r="AB1488" s="35"/>
      <c r="AC1488" s="35"/>
      <c r="AD1488" s="35"/>
      <c r="AE1488" s="35"/>
    </row>
    <row r="1489">
      <c r="A1489" s="30"/>
      <c r="B1489" s="35" t="str">
        <f>'รายชื่อพนักงานลาออกพ้นสภาพ'!B471</f>
        <v/>
      </c>
      <c r="C1489" s="35" t="str">
        <f>'รายชื่อพนักงานลาออกพ้นสภาพ'!C471</f>
        <v/>
      </c>
      <c r="D1489" s="35" t="str">
        <f>'รายชื่อพนักงานลาออกพ้นสภาพ'!D471</f>
        <v/>
      </c>
      <c r="E1489" s="35" t="str">
        <f>'รายชื่อพนักงานลาออกพ้นสภาพ'!E471</f>
        <v/>
      </c>
      <c r="F1489" s="40" t="str">
        <f>'รายชื่อพนักงานลาออกพ้นสภาพ'!H471</f>
        <v/>
      </c>
      <c r="G1489" s="33"/>
      <c r="H1489" s="33"/>
      <c r="I1489" s="33"/>
      <c r="J1489" s="33"/>
      <c r="K1489" s="35"/>
      <c r="L1489" s="35"/>
      <c r="M1489" s="35"/>
      <c r="N1489" s="35"/>
      <c r="O1489" s="35"/>
      <c r="P1489" s="35"/>
      <c r="Q1489" s="35"/>
      <c r="R1489" s="35"/>
      <c r="S1489" s="35"/>
      <c r="T1489" s="35"/>
      <c r="U1489" s="35"/>
      <c r="V1489" s="35"/>
      <c r="W1489" s="35"/>
      <c r="X1489" s="35"/>
      <c r="Y1489" s="35"/>
      <c r="Z1489" s="35"/>
      <c r="AA1489" s="35"/>
      <c r="AB1489" s="35"/>
      <c r="AC1489" s="35"/>
      <c r="AD1489" s="35"/>
      <c r="AE1489" s="35"/>
    </row>
    <row r="1490">
      <c r="A1490" s="30"/>
      <c r="B1490" s="35" t="str">
        <f>'รายชื่อพนักงานลาออกพ้นสภาพ'!B472</f>
        <v/>
      </c>
      <c r="C1490" s="35" t="str">
        <f>'รายชื่อพนักงานลาออกพ้นสภาพ'!C472</f>
        <v/>
      </c>
      <c r="D1490" s="35" t="str">
        <f>'รายชื่อพนักงานลาออกพ้นสภาพ'!D472</f>
        <v/>
      </c>
      <c r="E1490" s="35" t="str">
        <f>'รายชื่อพนักงานลาออกพ้นสภาพ'!E472</f>
        <v/>
      </c>
      <c r="F1490" s="40" t="str">
        <f>'รายชื่อพนักงานลาออกพ้นสภาพ'!H472</f>
        <v/>
      </c>
      <c r="G1490" s="33"/>
      <c r="H1490" s="33"/>
      <c r="I1490" s="33"/>
      <c r="J1490" s="33"/>
      <c r="K1490" s="35"/>
      <c r="L1490" s="35"/>
      <c r="M1490" s="35"/>
      <c r="N1490" s="35"/>
      <c r="O1490" s="35"/>
      <c r="P1490" s="35"/>
      <c r="Q1490" s="35"/>
      <c r="R1490" s="35"/>
      <c r="S1490" s="35"/>
      <c r="T1490" s="35"/>
      <c r="U1490" s="35"/>
      <c r="V1490" s="35"/>
      <c r="W1490" s="35"/>
      <c r="X1490" s="35"/>
      <c r="Y1490" s="35"/>
      <c r="Z1490" s="35"/>
      <c r="AA1490" s="35"/>
      <c r="AB1490" s="35"/>
      <c r="AC1490" s="35"/>
      <c r="AD1490" s="35"/>
      <c r="AE1490" s="35"/>
    </row>
    <row r="1491">
      <c r="A1491" s="30"/>
      <c r="B1491" s="35" t="str">
        <f>'รายชื่อพนักงานลาออกพ้นสภาพ'!B473</f>
        <v/>
      </c>
      <c r="C1491" s="35" t="str">
        <f>'รายชื่อพนักงานลาออกพ้นสภาพ'!C473</f>
        <v/>
      </c>
      <c r="D1491" s="35" t="str">
        <f>'รายชื่อพนักงานลาออกพ้นสภาพ'!D473</f>
        <v/>
      </c>
      <c r="E1491" s="35" t="str">
        <f>'รายชื่อพนักงานลาออกพ้นสภาพ'!E473</f>
        <v/>
      </c>
      <c r="F1491" s="40" t="str">
        <f>'รายชื่อพนักงานลาออกพ้นสภาพ'!H473</f>
        <v/>
      </c>
      <c r="G1491" s="33"/>
      <c r="H1491" s="33"/>
      <c r="I1491" s="33"/>
      <c r="J1491" s="33"/>
      <c r="K1491" s="35"/>
      <c r="L1491" s="35"/>
      <c r="M1491" s="35"/>
      <c r="N1491" s="35"/>
      <c r="O1491" s="35"/>
      <c r="P1491" s="35"/>
      <c r="Q1491" s="35"/>
      <c r="R1491" s="35"/>
      <c r="S1491" s="35"/>
      <c r="T1491" s="35"/>
      <c r="U1491" s="35"/>
      <c r="V1491" s="35"/>
      <c r="W1491" s="35"/>
      <c r="X1491" s="35"/>
      <c r="Y1491" s="35"/>
      <c r="Z1491" s="35"/>
      <c r="AA1491" s="35"/>
      <c r="AB1491" s="35"/>
      <c r="AC1491" s="35"/>
      <c r="AD1491" s="35"/>
      <c r="AE1491" s="35"/>
    </row>
    <row r="1492">
      <c r="A1492" s="30"/>
      <c r="B1492" s="35" t="str">
        <f>'รายชื่อพนักงานลาออกพ้นสภาพ'!B474</f>
        <v/>
      </c>
      <c r="C1492" s="35" t="str">
        <f>'รายชื่อพนักงานลาออกพ้นสภาพ'!C474</f>
        <v/>
      </c>
      <c r="D1492" s="35" t="str">
        <f>'รายชื่อพนักงานลาออกพ้นสภาพ'!D474</f>
        <v/>
      </c>
      <c r="E1492" s="35" t="str">
        <f>'รายชื่อพนักงานลาออกพ้นสภาพ'!E474</f>
        <v/>
      </c>
      <c r="F1492" s="40" t="str">
        <f>'รายชื่อพนักงานลาออกพ้นสภาพ'!H474</f>
        <v/>
      </c>
      <c r="G1492" s="33"/>
      <c r="H1492" s="33"/>
      <c r="I1492" s="33"/>
      <c r="J1492" s="33"/>
      <c r="K1492" s="35"/>
      <c r="L1492" s="35"/>
      <c r="M1492" s="35"/>
      <c r="N1492" s="35"/>
      <c r="O1492" s="35"/>
      <c r="P1492" s="35"/>
      <c r="Q1492" s="35"/>
      <c r="R1492" s="35"/>
      <c r="S1492" s="35"/>
      <c r="T1492" s="35"/>
      <c r="U1492" s="35"/>
      <c r="V1492" s="35"/>
      <c r="W1492" s="35"/>
      <c r="X1492" s="35"/>
      <c r="Y1492" s="35"/>
      <c r="Z1492" s="35"/>
      <c r="AA1492" s="35"/>
      <c r="AB1492" s="35"/>
      <c r="AC1492" s="35"/>
      <c r="AD1492" s="35"/>
      <c r="AE1492" s="35"/>
    </row>
    <row r="1493">
      <c r="A1493" s="30"/>
      <c r="B1493" s="35" t="str">
        <f>'รายชื่อพนักงานลาออกพ้นสภาพ'!B475</f>
        <v/>
      </c>
      <c r="C1493" s="35" t="str">
        <f>'รายชื่อพนักงานลาออกพ้นสภาพ'!C475</f>
        <v/>
      </c>
      <c r="D1493" s="35" t="str">
        <f>'รายชื่อพนักงานลาออกพ้นสภาพ'!D475</f>
        <v/>
      </c>
      <c r="E1493" s="35" t="str">
        <f>'รายชื่อพนักงานลาออกพ้นสภาพ'!E475</f>
        <v/>
      </c>
      <c r="F1493" s="40" t="str">
        <f>'รายชื่อพนักงานลาออกพ้นสภาพ'!H475</f>
        <v/>
      </c>
      <c r="G1493" s="33"/>
      <c r="H1493" s="33"/>
      <c r="I1493" s="33"/>
      <c r="J1493" s="33"/>
      <c r="K1493" s="35"/>
      <c r="L1493" s="35"/>
      <c r="M1493" s="35"/>
      <c r="N1493" s="35"/>
      <c r="O1493" s="35"/>
      <c r="P1493" s="35"/>
      <c r="Q1493" s="35"/>
      <c r="R1493" s="35"/>
      <c r="S1493" s="35"/>
      <c r="T1493" s="35"/>
      <c r="U1493" s="35"/>
      <c r="V1493" s="35"/>
      <c r="W1493" s="35"/>
      <c r="X1493" s="35"/>
      <c r="Y1493" s="35"/>
      <c r="Z1493" s="35"/>
      <c r="AA1493" s="35"/>
      <c r="AB1493" s="35"/>
      <c r="AC1493" s="35"/>
      <c r="AD1493" s="35"/>
      <c r="AE1493" s="35"/>
    </row>
    <row r="1494">
      <c r="A1494" s="30"/>
      <c r="B1494" s="35" t="str">
        <f>'รายชื่อพนักงานลาออกพ้นสภาพ'!B476</f>
        <v/>
      </c>
      <c r="C1494" s="35" t="str">
        <f>'รายชื่อพนักงานลาออกพ้นสภาพ'!C476</f>
        <v/>
      </c>
      <c r="D1494" s="35" t="str">
        <f>'รายชื่อพนักงานลาออกพ้นสภาพ'!D476</f>
        <v/>
      </c>
      <c r="E1494" s="35" t="str">
        <f>'รายชื่อพนักงานลาออกพ้นสภาพ'!E476</f>
        <v/>
      </c>
      <c r="F1494" s="40" t="str">
        <f>'รายชื่อพนักงานลาออกพ้นสภาพ'!H476</f>
        <v/>
      </c>
      <c r="G1494" s="33"/>
      <c r="H1494" s="33"/>
      <c r="I1494" s="33"/>
      <c r="J1494" s="33"/>
      <c r="K1494" s="35"/>
      <c r="L1494" s="35"/>
      <c r="M1494" s="35"/>
      <c r="N1494" s="35"/>
      <c r="O1494" s="35"/>
      <c r="P1494" s="35"/>
      <c r="Q1494" s="35"/>
      <c r="R1494" s="35"/>
      <c r="S1494" s="35"/>
      <c r="T1494" s="35"/>
      <c r="U1494" s="35"/>
      <c r="V1494" s="35"/>
      <c r="W1494" s="35"/>
      <c r="X1494" s="35"/>
      <c r="Y1494" s="35"/>
      <c r="Z1494" s="35"/>
      <c r="AA1494" s="35"/>
      <c r="AB1494" s="35"/>
      <c r="AC1494" s="35"/>
      <c r="AD1494" s="35"/>
      <c r="AE1494" s="35"/>
    </row>
    <row r="1495">
      <c r="A1495" s="30"/>
      <c r="B1495" s="35" t="str">
        <f>'รายชื่อพนักงานลาออกพ้นสภาพ'!B477</f>
        <v/>
      </c>
      <c r="C1495" s="35" t="str">
        <f>'รายชื่อพนักงานลาออกพ้นสภาพ'!C477</f>
        <v/>
      </c>
      <c r="D1495" s="35" t="str">
        <f>'รายชื่อพนักงานลาออกพ้นสภาพ'!D477</f>
        <v/>
      </c>
      <c r="E1495" s="35" t="str">
        <f>'รายชื่อพนักงานลาออกพ้นสภาพ'!E477</f>
        <v/>
      </c>
      <c r="F1495" s="40" t="str">
        <f>'รายชื่อพนักงานลาออกพ้นสภาพ'!H477</f>
        <v/>
      </c>
      <c r="G1495" s="33"/>
      <c r="H1495" s="33"/>
      <c r="I1495" s="33"/>
      <c r="J1495" s="33"/>
      <c r="K1495" s="35"/>
      <c r="L1495" s="35"/>
      <c r="M1495" s="35"/>
      <c r="N1495" s="35"/>
      <c r="O1495" s="35"/>
      <c r="P1495" s="35"/>
      <c r="Q1495" s="35"/>
      <c r="R1495" s="35"/>
      <c r="S1495" s="35"/>
      <c r="T1495" s="35"/>
      <c r="U1495" s="35"/>
      <c r="V1495" s="35"/>
      <c r="W1495" s="35"/>
      <c r="X1495" s="35"/>
      <c r="Y1495" s="35"/>
      <c r="Z1495" s="35"/>
      <c r="AA1495" s="35"/>
      <c r="AB1495" s="35"/>
      <c r="AC1495" s="35"/>
      <c r="AD1495" s="35"/>
      <c r="AE1495" s="35"/>
    </row>
    <row r="1496">
      <c r="A1496" s="30"/>
      <c r="B1496" s="35" t="str">
        <f>'รายชื่อพนักงานลาออกพ้นสภาพ'!B478</f>
        <v/>
      </c>
      <c r="C1496" s="35" t="str">
        <f>'รายชื่อพนักงานลาออกพ้นสภาพ'!C478</f>
        <v/>
      </c>
      <c r="D1496" s="35" t="str">
        <f>'รายชื่อพนักงานลาออกพ้นสภาพ'!D478</f>
        <v/>
      </c>
      <c r="E1496" s="35" t="str">
        <f>'รายชื่อพนักงานลาออกพ้นสภาพ'!E478</f>
        <v/>
      </c>
      <c r="F1496" s="40" t="str">
        <f>'รายชื่อพนักงานลาออกพ้นสภาพ'!H478</f>
        <v/>
      </c>
      <c r="G1496" s="33"/>
      <c r="H1496" s="33"/>
      <c r="I1496" s="33"/>
      <c r="J1496" s="33"/>
      <c r="K1496" s="35"/>
      <c r="L1496" s="35"/>
      <c r="M1496" s="35"/>
      <c r="N1496" s="35"/>
      <c r="O1496" s="35"/>
      <c r="P1496" s="35"/>
      <c r="Q1496" s="35"/>
      <c r="R1496" s="35"/>
      <c r="S1496" s="35"/>
      <c r="T1496" s="35"/>
      <c r="U1496" s="35"/>
      <c r="V1496" s="35"/>
      <c r="W1496" s="35"/>
      <c r="X1496" s="35"/>
      <c r="Y1496" s="35"/>
      <c r="Z1496" s="35"/>
      <c r="AA1496" s="35"/>
      <c r="AB1496" s="35"/>
      <c r="AC1496" s="35"/>
      <c r="AD1496" s="35"/>
      <c r="AE1496" s="35"/>
    </row>
    <row r="1497">
      <c r="A1497" s="30"/>
      <c r="B1497" s="35" t="str">
        <f>'รายชื่อพนักงานลาออกพ้นสภาพ'!B479</f>
        <v/>
      </c>
      <c r="C1497" s="35" t="str">
        <f>'รายชื่อพนักงานลาออกพ้นสภาพ'!C479</f>
        <v/>
      </c>
      <c r="D1497" s="35" t="str">
        <f>'รายชื่อพนักงานลาออกพ้นสภาพ'!D479</f>
        <v/>
      </c>
      <c r="E1497" s="35" t="str">
        <f>'รายชื่อพนักงานลาออกพ้นสภาพ'!E479</f>
        <v/>
      </c>
      <c r="F1497" s="40" t="str">
        <f>'รายชื่อพนักงานลาออกพ้นสภาพ'!H479</f>
        <v/>
      </c>
      <c r="G1497" s="33"/>
      <c r="H1497" s="33"/>
      <c r="I1497" s="33"/>
      <c r="J1497" s="33"/>
      <c r="K1497" s="35"/>
      <c r="L1497" s="35"/>
      <c r="M1497" s="35"/>
      <c r="N1497" s="35"/>
      <c r="O1497" s="35"/>
      <c r="P1497" s="35"/>
      <c r="Q1497" s="35"/>
      <c r="R1497" s="35"/>
      <c r="S1497" s="35"/>
      <c r="T1497" s="35"/>
      <c r="U1497" s="35"/>
      <c r="V1497" s="35"/>
      <c r="W1497" s="35"/>
      <c r="X1497" s="35"/>
      <c r="Y1497" s="35"/>
      <c r="Z1497" s="35"/>
      <c r="AA1497" s="35"/>
      <c r="AB1497" s="35"/>
      <c r="AC1497" s="35"/>
      <c r="AD1497" s="35"/>
      <c r="AE1497" s="35"/>
    </row>
    <row r="1498">
      <c r="A1498" s="30"/>
      <c r="B1498" s="35" t="str">
        <f>'รายชื่อพนักงานลาออกพ้นสภาพ'!B480</f>
        <v/>
      </c>
      <c r="C1498" s="35" t="str">
        <f>'รายชื่อพนักงานลาออกพ้นสภาพ'!C480</f>
        <v/>
      </c>
      <c r="D1498" s="35" t="str">
        <f>'รายชื่อพนักงานลาออกพ้นสภาพ'!D480</f>
        <v/>
      </c>
      <c r="E1498" s="35" t="str">
        <f>'รายชื่อพนักงานลาออกพ้นสภาพ'!E480</f>
        <v/>
      </c>
      <c r="F1498" s="40" t="str">
        <f>'รายชื่อพนักงานลาออกพ้นสภาพ'!H480</f>
        <v/>
      </c>
      <c r="G1498" s="33"/>
      <c r="H1498" s="33"/>
      <c r="I1498" s="33"/>
      <c r="J1498" s="33"/>
      <c r="K1498" s="35"/>
      <c r="L1498" s="35"/>
      <c r="M1498" s="35"/>
      <c r="N1498" s="35"/>
      <c r="O1498" s="35"/>
      <c r="P1498" s="35"/>
      <c r="Q1498" s="35"/>
      <c r="R1498" s="35"/>
      <c r="S1498" s="35"/>
      <c r="T1498" s="35"/>
      <c r="U1498" s="35"/>
      <c r="V1498" s="35"/>
      <c r="W1498" s="35"/>
      <c r="X1498" s="35"/>
      <c r="Y1498" s="35"/>
      <c r="Z1498" s="35"/>
      <c r="AA1498" s="35"/>
      <c r="AB1498" s="35"/>
      <c r="AC1498" s="35"/>
      <c r="AD1498" s="35"/>
      <c r="AE1498" s="35"/>
    </row>
    <row r="1499">
      <c r="A1499" s="30"/>
      <c r="B1499" s="35" t="str">
        <f>'รายชื่อพนักงานลาออกพ้นสภาพ'!B481</f>
        <v/>
      </c>
      <c r="C1499" s="35" t="str">
        <f>'รายชื่อพนักงานลาออกพ้นสภาพ'!C481</f>
        <v/>
      </c>
      <c r="D1499" s="35" t="str">
        <f>'รายชื่อพนักงานลาออกพ้นสภาพ'!D481</f>
        <v/>
      </c>
      <c r="E1499" s="35" t="str">
        <f>'รายชื่อพนักงานลาออกพ้นสภาพ'!E481</f>
        <v/>
      </c>
      <c r="F1499" s="40" t="str">
        <f>'รายชื่อพนักงานลาออกพ้นสภาพ'!H481</f>
        <v/>
      </c>
      <c r="G1499" s="33"/>
      <c r="H1499" s="33"/>
      <c r="I1499" s="33"/>
      <c r="J1499" s="33"/>
      <c r="K1499" s="35"/>
      <c r="L1499" s="35"/>
      <c r="M1499" s="35"/>
      <c r="N1499" s="35"/>
      <c r="O1499" s="35"/>
      <c r="P1499" s="35"/>
      <c r="Q1499" s="35"/>
      <c r="R1499" s="35"/>
      <c r="S1499" s="35"/>
      <c r="T1499" s="35"/>
      <c r="U1499" s="35"/>
      <c r="V1499" s="35"/>
      <c r="W1499" s="35"/>
      <c r="X1499" s="35"/>
      <c r="Y1499" s="35"/>
      <c r="Z1499" s="35"/>
      <c r="AA1499" s="35"/>
      <c r="AB1499" s="35"/>
      <c r="AC1499" s="35"/>
      <c r="AD1499" s="35"/>
      <c r="AE1499" s="35"/>
    </row>
    <row r="1500">
      <c r="A1500" s="30"/>
      <c r="B1500" s="35" t="str">
        <f>'รายชื่อพนักงานลาออกพ้นสภาพ'!B482</f>
        <v/>
      </c>
      <c r="C1500" s="35" t="str">
        <f>'รายชื่อพนักงานลาออกพ้นสภาพ'!C482</f>
        <v/>
      </c>
      <c r="D1500" s="35" t="str">
        <f>'รายชื่อพนักงานลาออกพ้นสภาพ'!D482</f>
        <v/>
      </c>
      <c r="E1500" s="35" t="str">
        <f>'รายชื่อพนักงานลาออกพ้นสภาพ'!E482</f>
        <v/>
      </c>
      <c r="F1500" s="40" t="str">
        <f>'รายชื่อพนักงานลาออกพ้นสภาพ'!H482</f>
        <v/>
      </c>
      <c r="G1500" s="33"/>
      <c r="H1500" s="33"/>
      <c r="I1500" s="33"/>
      <c r="J1500" s="33"/>
      <c r="K1500" s="35"/>
      <c r="L1500" s="35"/>
      <c r="M1500" s="35"/>
      <c r="N1500" s="35"/>
      <c r="O1500" s="35"/>
      <c r="P1500" s="35"/>
      <c r="Q1500" s="35"/>
      <c r="R1500" s="35"/>
      <c r="S1500" s="35"/>
      <c r="T1500" s="35"/>
      <c r="U1500" s="35"/>
      <c r="V1500" s="35"/>
      <c r="W1500" s="35"/>
      <c r="X1500" s="35"/>
      <c r="Y1500" s="35"/>
      <c r="Z1500" s="35"/>
      <c r="AA1500" s="35"/>
      <c r="AB1500" s="35"/>
      <c r="AC1500" s="35"/>
      <c r="AD1500" s="35"/>
      <c r="AE1500" s="35"/>
    </row>
    <row r="1501">
      <c r="A1501" s="30"/>
      <c r="B1501" s="35"/>
      <c r="C1501" s="35"/>
      <c r="D1501" s="35"/>
      <c r="E1501" s="35"/>
      <c r="F1501" s="33"/>
      <c r="G1501" s="33"/>
      <c r="H1501" s="33"/>
      <c r="I1501" s="33"/>
      <c r="J1501" s="33"/>
      <c r="K1501" s="35"/>
      <c r="L1501" s="35"/>
      <c r="M1501" s="35"/>
      <c r="N1501" s="35"/>
      <c r="O1501" s="35"/>
      <c r="P1501" s="35"/>
      <c r="Q1501" s="35"/>
      <c r="R1501" s="35"/>
      <c r="S1501" s="35"/>
      <c r="T1501" s="35"/>
      <c r="U1501" s="35"/>
      <c r="V1501" s="35"/>
      <c r="W1501" s="35"/>
      <c r="X1501" s="35"/>
      <c r="Y1501" s="35"/>
      <c r="Z1501" s="35"/>
      <c r="AA1501" s="35"/>
      <c r="AB1501" s="35"/>
      <c r="AC1501" s="35"/>
      <c r="AD1501" s="35"/>
      <c r="AE1501" s="35"/>
    </row>
    <row r="1502">
      <c r="A1502" s="30"/>
      <c r="B1502" s="35"/>
      <c r="C1502" s="35"/>
      <c r="D1502" s="35"/>
      <c r="E1502" s="35"/>
      <c r="F1502" s="33"/>
      <c r="G1502" s="33"/>
      <c r="H1502" s="33"/>
      <c r="I1502" s="33"/>
      <c r="J1502" s="33"/>
      <c r="K1502" s="35"/>
      <c r="L1502" s="35"/>
      <c r="M1502" s="35"/>
      <c r="N1502" s="35"/>
      <c r="O1502" s="35"/>
      <c r="P1502" s="35"/>
      <c r="Q1502" s="35"/>
      <c r="R1502" s="35"/>
      <c r="S1502" s="35"/>
      <c r="T1502" s="35"/>
      <c r="U1502" s="35"/>
      <c r="V1502" s="35"/>
      <c r="W1502" s="35"/>
      <c r="X1502" s="35"/>
      <c r="Y1502" s="35"/>
      <c r="Z1502" s="35"/>
      <c r="AA1502" s="35"/>
      <c r="AB1502" s="35"/>
      <c r="AC1502" s="35"/>
      <c r="AD1502" s="35"/>
      <c r="AE1502" s="35"/>
    </row>
    <row r="1503">
      <c r="A1503" s="30"/>
      <c r="B1503" s="35"/>
      <c r="C1503" s="35"/>
      <c r="D1503" s="35"/>
      <c r="E1503" s="35"/>
      <c r="F1503" s="33"/>
      <c r="G1503" s="33"/>
      <c r="H1503" s="33"/>
      <c r="I1503" s="33"/>
      <c r="J1503" s="33"/>
      <c r="K1503" s="35"/>
      <c r="L1503" s="35"/>
      <c r="M1503" s="35"/>
      <c r="N1503" s="35"/>
      <c r="O1503" s="35"/>
      <c r="P1503" s="35"/>
      <c r="Q1503" s="35"/>
      <c r="R1503" s="35"/>
      <c r="S1503" s="35"/>
      <c r="T1503" s="35"/>
      <c r="U1503" s="35"/>
      <c r="V1503" s="35"/>
      <c r="W1503" s="35"/>
      <c r="X1503" s="35"/>
      <c r="Y1503" s="35"/>
      <c r="Z1503" s="35"/>
      <c r="AA1503" s="35"/>
      <c r="AB1503" s="35"/>
      <c r="AC1503" s="35"/>
      <c r="AD1503" s="35"/>
      <c r="AE1503" s="35"/>
    </row>
    <row r="1504">
      <c r="A1504" s="30"/>
      <c r="B1504" s="35"/>
      <c r="C1504" s="35"/>
      <c r="D1504" s="35"/>
      <c r="E1504" s="35"/>
      <c r="F1504" s="33"/>
      <c r="G1504" s="33"/>
      <c r="H1504" s="33"/>
      <c r="I1504" s="33"/>
      <c r="J1504" s="33"/>
      <c r="K1504" s="35"/>
      <c r="L1504" s="35"/>
      <c r="M1504" s="35"/>
      <c r="N1504" s="35"/>
      <c r="O1504" s="35"/>
      <c r="P1504" s="35"/>
      <c r="Q1504" s="35"/>
      <c r="R1504" s="35"/>
      <c r="S1504" s="35"/>
      <c r="T1504" s="35"/>
      <c r="U1504" s="35"/>
      <c r="V1504" s="35"/>
      <c r="W1504" s="35"/>
      <c r="X1504" s="35"/>
      <c r="Y1504" s="35"/>
      <c r="Z1504" s="35"/>
      <c r="AA1504" s="35"/>
      <c r="AB1504" s="35"/>
      <c r="AC1504" s="35"/>
      <c r="AD1504" s="35"/>
      <c r="AE1504" s="35"/>
    </row>
    <row r="1505">
      <c r="A1505" s="30"/>
      <c r="B1505" s="35"/>
      <c r="C1505" s="35"/>
      <c r="D1505" s="35"/>
      <c r="E1505" s="35"/>
      <c r="F1505" s="33"/>
      <c r="G1505" s="33"/>
      <c r="H1505" s="33"/>
      <c r="I1505" s="33"/>
      <c r="J1505" s="33"/>
      <c r="K1505" s="35"/>
      <c r="L1505" s="35"/>
      <c r="M1505" s="35"/>
      <c r="N1505" s="35"/>
      <c r="O1505" s="35"/>
      <c r="P1505" s="35"/>
      <c r="Q1505" s="35"/>
      <c r="R1505" s="35"/>
      <c r="S1505" s="35"/>
      <c r="T1505" s="35"/>
      <c r="U1505" s="35"/>
      <c r="V1505" s="35"/>
      <c r="W1505" s="35"/>
      <c r="X1505" s="35"/>
      <c r="Y1505" s="35"/>
      <c r="Z1505" s="35"/>
      <c r="AA1505" s="35"/>
      <c r="AB1505" s="35"/>
      <c r="AC1505" s="35"/>
      <c r="AD1505" s="35"/>
      <c r="AE1505" s="35"/>
    </row>
    <row r="1506">
      <c r="A1506" s="30"/>
      <c r="B1506" s="35"/>
      <c r="C1506" s="35"/>
      <c r="D1506" s="35"/>
      <c r="E1506" s="35"/>
      <c r="F1506" s="33"/>
      <c r="G1506" s="33"/>
      <c r="H1506" s="33"/>
      <c r="I1506" s="33"/>
      <c r="J1506" s="33"/>
      <c r="K1506" s="35"/>
      <c r="L1506" s="35"/>
      <c r="M1506" s="35"/>
      <c r="N1506" s="35"/>
      <c r="O1506" s="35"/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5"/>
      <c r="AA1506" s="35"/>
      <c r="AB1506" s="35"/>
      <c r="AC1506" s="35"/>
      <c r="AD1506" s="35"/>
      <c r="AE1506" s="35"/>
    </row>
    <row r="1507">
      <c r="A1507" s="30"/>
      <c r="B1507" s="35"/>
      <c r="C1507" s="35"/>
      <c r="D1507" s="35"/>
      <c r="E1507" s="35"/>
      <c r="F1507" s="33"/>
      <c r="G1507" s="33"/>
      <c r="H1507" s="33"/>
      <c r="I1507" s="33"/>
      <c r="J1507" s="33"/>
      <c r="K1507" s="35"/>
      <c r="L1507" s="35"/>
      <c r="M1507" s="35"/>
      <c r="N1507" s="35"/>
      <c r="O1507" s="35"/>
      <c r="P1507" s="35"/>
      <c r="Q1507" s="35"/>
      <c r="R1507" s="35"/>
      <c r="S1507" s="35"/>
      <c r="T1507" s="35"/>
      <c r="U1507" s="35"/>
      <c r="V1507" s="35"/>
      <c r="W1507" s="35"/>
      <c r="X1507" s="35"/>
      <c r="Y1507" s="35"/>
      <c r="Z1507" s="35"/>
      <c r="AA1507" s="35"/>
      <c r="AB1507" s="35"/>
      <c r="AC1507" s="35"/>
      <c r="AD1507" s="35"/>
      <c r="AE1507" s="35"/>
    </row>
    <row r="1508">
      <c r="A1508" s="30"/>
      <c r="B1508" s="35"/>
      <c r="C1508" s="35"/>
      <c r="D1508" s="35"/>
      <c r="E1508" s="35"/>
      <c r="F1508" s="33"/>
      <c r="G1508" s="33"/>
      <c r="H1508" s="33"/>
      <c r="I1508" s="33"/>
      <c r="J1508" s="33"/>
      <c r="K1508" s="35"/>
      <c r="L1508" s="35"/>
      <c r="M1508" s="35"/>
      <c r="N1508" s="35"/>
      <c r="O1508" s="35"/>
      <c r="P1508" s="35"/>
      <c r="Q1508" s="35"/>
      <c r="R1508" s="35"/>
      <c r="S1508" s="35"/>
      <c r="T1508" s="35"/>
      <c r="U1508" s="35"/>
      <c r="V1508" s="35"/>
      <c r="W1508" s="35"/>
      <c r="X1508" s="35"/>
      <c r="Y1508" s="35"/>
      <c r="Z1508" s="35"/>
      <c r="AA1508" s="35"/>
      <c r="AB1508" s="35"/>
      <c r="AC1508" s="35"/>
      <c r="AD1508" s="35"/>
      <c r="AE1508" s="35"/>
    </row>
    <row r="1509">
      <c r="A1509" s="30"/>
      <c r="B1509" s="35"/>
      <c r="C1509" s="35"/>
      <c r="D1509" s="35"/>
      <c r="E1509" s="35"/>
      <c r="F1509" s="33"/>
      <c r="G1509" s="33"/>
      <c r="H1509" s="33"/>
      <c r="I1509" s="33"/>
      <c r="J1509" s="33"/>
      <c r="K1509" s="35"/>
      <c r="L1509" s="35"/>
      <c r="M1509" s="35"/>
      <c r="N1509" s="35"/>
      <c r="O1509" s="35"/>
      <c r="P1509" s="35"/>
      <c r="Q1509" s="35"/>
      <c r="R1509" s="35"/>
      <c r="S1509" s="35"/>
      <c r="T1509" s="35"/>
      <c r="U1509" s="35"/>
      <c r="V1509" s="35"/>
      <c r="W1509" s="35"/>
      <c r="X1509" s="35"/>
      <c r="Y1509" s="35"/>
      <c r="Z1509" s="35"/>
      <c r="AA1509" s="35"/>
      <c r="AB1509" s="35"/>
      <c r="AC1509" s="35"/>
      <c r="AD1509" s="35"/>
      <c r="AE1509" s="35"/>
    </row>
    <row r="1510">
      <c r="A1510" s="30"/>
      <c r="B1510" s="35"/>
      <c r="C1510" s="35"/>
      <c r="D1510" s="35"/>
      <c r="E1510" s="35"/>
      <c r="F1510" s="33"/>
      <c r="G1510" s="33"/>
      <c r="H1510" s="33"/>
      <c r="I1510" s="33"/>
      <c r="J1510" s="33"/>
      <c r="K1510" s="35"/>
      <c r="L1510" s="35"/>
      <c r="M1510" s="35"/>
      <c r="N1510" s="35"/>
      <c r="O1510" s="35"/>
      <c r="P1510" s="35"/>
      <c r="Q1510" s="35"/>
      <c r="R1510" s="35"/>
      <c r="S1510" s="35"/>
      <c r="T1510" s="35"/>
      <c r="U1510" s="35"/>
      <c r="V1510" s="35"/>
      <c r="W1510" s="35"/>
      <c r="X1510" s="35"/>
      <c r="Y1510" s="35"/>
      <c r="Z1510" s="35"/>
      <c r="AA1510" s="35"/>
      <c r="AB1510" s="35"/>
      <c r="AC1510" s="35"/>
      <c r="AD1510" s="35"/>
      <c r="AE1510" s="35"/>
    </row>
    <row r="1511">
      <c r="A1511" s="30"/>
      <c r="B1511" s="35"/>
      <c r="C1511" s="35"/>
      <c r="D1511" s="35"/>
      <c r="E1511" s="35"/>
      <c r="F1511" s="33"/>
      <c r="G1511" s="33"/>
      <c r="H1511" s="33"/>
      <c r="I1511" s="33"/>
      <c r="J1511" s="33"/>
      <c r="K1511" s="35"/>
      <c r="L1511" s="35"/>
      <c r="M1511" s="35"/>
      <c r="N1511" s="35"/>
      <c r="O1511" s="35"/>
      <c r="P1511" s="35"/>
      <c r="Q1511" s="35"/>
      <c r="R1511" s="35"/>
      <c r="S1511" s="35"/>
      <c r="T1511" s="35"/>
      <c r="U1511" s="35"/>
      <c r="V1511" s="35"/>
      <c r="W1511" s="35"/>
      <c r="X1511" s="35"/>
      <c r="Y1511" s="35"/>
      <c r="Z1511" s="35"/>
      <c r="AA1511" s="35"/>
      <c r="AB1511" s="35"/>
      <c r="AC1511" s="35"/>
      <c r="AD1511" s="35"/>
      <c r="AE1511" s="35"/>
    </row>
    <row r="1512">
      <c r="A1512" s="30"/>
      <c r="B1512" s="35"/>
      <c r="C1512" s="35"/>
      <c r="D1512" s="35"/>
      <c r="E1512" s="35"/>
      <c r="F1512" s="33"/>
      <c r="G1512" s="33"/>
      <c r="H1512" s="33"/>
      <c r="I1512" s="33"/>
      <c r="J1512" s="33"/>
      <c r="K1512" s="35"/>
      <c r="L1512" s="35"/>
      <c r="M1512" s="35"/>
      <c r="N1512" s="35"/>
      <c r="O1512" s="35"/>
      <c r="P1512" s="35"/>
      <c r="Q1512" s="35"/>
      <c r="R1512" s="35"/>
      <c r="S1512" s="35"/>
      <c r="T1512" s="35"/>
      <c r="U1512" s="35"/>
      <c r="V1512" s="35"/>
      <c r="W1512" s="35"/>
      <c r="X1512" s="35"/>
      <c r="Y1512" s="35"/>
      <c r="Z1512" s="35"/>
      <c r="AA1512" s="35"/>
      <c r="AB1512" s="35"/>
      <c r="AC1512" s="35"/>
      <c r="AD1512" s="35"/>
      <c r="AE1512" s="35"/>
    </row>
    <row r="1513">
      <c r="A1513" s="30"/>
      <c r="B1513" s="35"/>
      <c r="C1513" s="35"/>
      <c r="D1513" s="35"/>
      <c r="E1513" s="35"/>
      <c r="F1513" s="33"/>
      <c r="G1513" s="33"/>
      <c r="H1513" s="33"/>
      <c r="I1513" s="33"/>
      <c r="J1513" s="33"/>
      <c r="K1513" s="35"/>
      <c r="L1513" s="35"/>
      <c r="M1513" s="35"/>
      <c r="N1513" s="35"/>
      <c r="O1513" s="35"/>
      <c r="P1513" s="35"/>
      <c r="Q1513" s="35"/>
      <c r="R1513" s="35"/>
      <c r="S1513" s="35"/>
      <c r="T1513" s="35"/>
      <c r="U1513" s="35"/>
      <c r="V1513" s="35"/>
      <c r="W1513" s="35"/>
      <c r="X1513" s="35"/>
      <c r="Y1513" s="35"/>
      <c r="Z1513" s="35"/>
      <c r="AA1513" s="35"/>
      <c r="AB1513" s="35"/>
      <c r="AC1513" s="35"/>
      <c r="AD1513" s="35"/>
      <c r="AE1513" s="35"/>
    </row>
    <row r="1514">
      <c r="A1514" s="30"/>
      <c r="B1514" s="35"/>
      <c r="C1514" s="35"/>
      <c r="D1514" s="35"/>
      <c r="E1514" s="35"/>
      <c r="F1514" s="33"/>
      <c r="G1514" s="33"/>
      <c r="H1514" s="33"/>
      <c r="I1514" s="33"/>
      <c r="J1514" s="33"/>
      <c r="K1514" s="35"/>
      <c r="L1514" s="35"/>
      <c r="M1514" s="35"/>
      <c r="N1514" s="35"/>
      <c r="O1514" s="35"/>
      <c r="P1514" s="35"/>
      <c r="Q1514" s="35"/>
      <c r="R1514" s="35"/>
      <c r="S1514" s="35"/>
      <c r="T1514" s="35"/>
      <c r="U1514" s="35"/>
      <c r="V1514" s="35"/>
      <c r="W1514" s="35"/>
      <c r="X1514" s="35"/>
      <c r="Y1514" s="35"/>
      <c r="Z1514" s="35"/>
      <c r="AA1514" s="35"/>
      <c r="AB1514" s="35"/>
      <c r="AC1514" s="35"/>
      <c r="AD1514" s="35"/>
      <c r="AE1514" s="35"/>
    </row>
    <row r="1515">
      <c r="A1515" s="30"/>
      <c r="B1515" s="35"/>
      <c r="C1515" s="35"/>
      <c r="D1515" s="35"/>
      <c r="E1515" s="35"/>
      <c r="F1515" s="33"/>
      <c r="G1515" s="33"/>
      <c r="H1515" s="33"/>
      <c r="I1515" s="33"/>
      <c r="J1515" s="33"/>
      <c r="K1515" s="35"/>
      <c r="L1515" s="35"/>
      <c r="M1515" s="35"/>
      <c r="N1515" s="35"/>
      <c r="O1515" s="35"/>
      <c r="P1515" s="35"/>
      <c r="Q1515" s="35"/>
      <c r="R1515" s="35"/>
      <c r="S1515" s="35"/>
      <c r="T1515" s="35"/>
      <c r="U1515" s="35"/>
      <c r="V1515" s="35"/>
      <c r="W1515" s="35"/>
      <c r="X1515" s="35"/>
      <c r="Y1515" s="35"/>
      <c r="Z1515" s="35"/>
      <c r="AA1515" s="35"/>
      <c r="AB1515" s="35"/>
      <c r="AC1515" s="35"/>
      <c r="AD1515" s="35"/>
      <c r="AE1515" s="35"/>
    </row>
    <row r="1516">
      <c r="A1516" s="30"/>
      <c r="B1516" s="35"/>
      <c r="C1516" s="35"/>
      <c r="D1516" s="35"/>
      <c r="E1516" s="35"/>
      <c r="F1516" s="33"/>
      <c r="G1516" s="33"/>
      <c r="H1516" s="33"/>
      <c r="I1516" s="33"/>
      <c r="J1516" s="33"/>
      <c r="K1516" s="35"/>
      <c r="L1516" s="35"/>
      <c r="M1516" s="35"/>
      <c r="N1516" s="35"/>
      <c r="O1516" s="35"/>
      <c r="P1516" s="35"/>
      <c r="Q1516" s="35"/>
      <c r="R1516" s="35"/>
      <c r="S1516" s="35"/>
      <c r="T1516" s="35"/>
      <c r="U1516" s="35"/>
      <c r="V1516" s="35"/>
      <c r="W1516" s="35"/>
      <c r="X1516" s="35"/>
      <c r="Y1516" s="35"/>
      <c r="Z1516" s="35"/>
      <c r="AA1516" s="35"/>
      <c r="AB1516" s="35"/>
      <c r="AC1516" s="35"/>
      <c r="AD1516" s="35"/>
      <c r="AE1516" s="35"/>
    </row>
    <row r="1517">
      <c r="A1517" s="30"/>
      <c r="B1517" s="35"/>
      <c r="C1517" s="35"/>
      <c r="D1517" s="35"/>
      <c r="E1517" s="35"/>
      <c r="F1517" s="33"/>
      <c r="G1517" s="33"/>
      <c r="H1517" s="33"/>
      <c r="I1517" s="33"/>
      <c r="J1517" s="33"/>
      <c r="K1517" s="35"/>
      <c r="L1517" s="35"/>
      <c r="M1517" s="35"/>
      <c r="N1517" s="35"/>
      <c r="O1517" s="35"/>
      <c r="P1517" s="35"/>
      <c r="Q1517" s="35"/>
      <c r="R1517" s="35"/>
      <c r="S1517" s="35"/>
      <c r="T1517" s="35"/>
      <c r="U1517" s="35"/>
      <c r="V1517" s="35"/>
      <c r="W1517" s="35"/>
      <c r="X1517" s="35"/>
      <c r="Y1517" s="35"/>
      <c r="Z1517" s="35"/>
      <c r="AA1517" s="35"/>
      <c r="AB1517" s="35"/>
      <c r="AC1517" s="35"/>
      <c r="AD1517" s="35"/>
      <c r="AE1517" s="35"/>
    </row>
    <row r="1518">
      <c r="A1518" s="30"/>
      <c r="B1518" s="35"/>
      <c r="C1518" s="35"/>
      <c r="D1518" s="35"/>
      <c r="E1518" s="35"/>
      <c r="F1518" s="33"/>
      <c r="G1518" s="33"/>
      <c r="H1518" s="33"/>
      <c r="I1518" s="33"/>
      <c r="J1518" s="33"/>
      <c r="K1518" s="35"/>
      <c r="L1518" s="35"/>
      <c r="M1518" s="35"/>
      <c r="N1518" s="35"/>
      <c r="O1518" s="35"/>
      <c r="P1518" s="35"/>
      <c r="Q1518" s="35"/>
      <c r="R1518" s="35"/>
      <c r="S1518" s="35"/>
      <c r="T1518" s="35"/>
      <c r="U1518" s="35"/>
      <c r="V1518" s="35"/>
      <c r="W1518" s="35"/>
      <c r="X1518" s="35"/>
      <c r="Y1518" s="35"/>
      <c r="Z1518" s="35"/>
      <c r="AA1518" s="35"/>
      <c r="AB1518" s="35"/>
      <c r="AC1518" s="35"/>
      <c r="AD1518" s="35"/>
      <c r="AE1518" s="35"/>
    </row>
    <row r="1519">
      <c r="A1519" s="30"/>
      <c r="B1519" s="35"/>
      <c r="C1519" s="35"/>
      <c r="D1519" s="35"/>
      <c r="E1519" s="35"/>
      <c r="F1519" s="33"/>
      <c r="G1519" s="33"/>
      <c r="H1519" s="33"/>
      <c r="I1519" s="33"/>
      <c r="J1519" s="33"/>
      <c r="K1519" s="35"/>
      <c r="L1519" s="35"/>
      <c r="M1519" s="35"/>
      <c r="N1519" s="35"/>
      <c r="O1519" s="35"/>
      <c r="P1519" s="35"/>
      <c r="Q1519" s="35"/>
      <c r="R1519" s="35"/>
      <c r="S1519" s="35"/>
      <c r="T1519" s="35"/>
      <c r="U1519" s="35"/>
      <c r="V1519" s="35"/>
      <c r="W1519" s="35"/>
      <c r="X1519" s="35"/>
      <c r="Y1519" s="35"/>
      <c r="Z1519" s="35"/>
      <c r="AA1519" s="35"/>
      <c r="AB1519" s="35"/>
      <c r="AC1519" s="35"/>
      <c r="AD1519" s="35"/>
      <c r="AE1519" s="35"/>
    </row>
    <row r="1520">
      <c r="A1520" s="30"/>
      <c r="B1520" s="35"/>
      <c r="C1520" s="35"/>
      <c r="D1520" s="35"/>
      <c r="E1520" s="35"/>
      <c r="F1520" s="33"/>
      <c r="G1520" s="33"/>
      <c r="H1520" s="33"/>
      <c r="I1520" s="33"/>
      <c r="J1520" s="33"/>
      <c r="K1520" s="35"/>
      <c r="L1520" s="35"/>
      <c r="M1520" s="35"/>
      <c r="N1520" s="35"/>
      <c r="O1520" s="35"/>
      <c r="P1520" s="35"/>
      <c r="Q1520" s="35"/>
      <c r="R1520" s="35"/>
      <c r="S1520" s="35"/>
      <c r="T1520" s="35"/>
      <c r="U1520" s="35"/>
      <c r="V1520" s="35"/>
      <c r="W1520" s="35"/>
      <c r="X1520" s="35"/>
      <c r="Y1520" s="35"/>
      <c r="Z1520" s="35"/>
      <c r="AA1520" s="35"/>
      <c r="AB1520" s="35"/>
      <c r="AC1520" s="35"/>
      <c r="AD1520" s="35"/>
      <c r="AE1520" s="35"/>
    </row>
    <row r="1521">
      <c r="A1521" s="30"/>
      <c r="B1521" s="35"/>
      <c r="C1521" s="35"/>
      <c r="D1521" s="35"/>
      <c r="E1521" s="35"/>
      <c r="F1521" s="33"/>
      <c r="G1521" s="33"/>
      <c r="H1521" s="33"/>
      <c r="I1521" s="33"/>
      <c r="J1521" s="33"/>
      <c r="K1521" s="35"/>
      <c r="L1521" s="35"/>
      <c r="M1521" s="35"/>
      <c r="N1521" s="35"/>
      <c r="O1521" s="35"/>
      <c r="P1521" s="35"/>
      <c r="Q1521" s="35"/>
      <c r="R1521" s="35"/>
      <c r="S1521" s="35"/>
      <c r="T1521" s="35"/>
      <c r="U1521" s="35"/>
      <c r="V1521" s="35"/>
      <c r="W1521" s="35"/>
      <c r="X1521" s="35"/>
      <c r="Y1521" s="35"/>
      <c r="Z1521" s="35"/>
      <c r="AA1521" s="35"/>
      <c r="AB1521" s="35"/>
      <c r="AC1521" s="35"/>
      <c r="AD1521" s="35"/>
      <c r="AE1521" s="35"/>
    </row>
    <row r="1522">
      <c r="A1522" s="30"/>
      <c r="B1522" s="35"/>
      <c r="C1522" s="35"/>
      <c r="D1522" s="35"/>
      <c r="E1522" s="35"/>
      <c r="F1522" s="33"/>
      <c r="G1522" s="33"/>
      <c r="H1522" s="33"/>
      <c r="I1522" s="33"/>
      <c r="J1522" s="33"/>
      <c r="K1522" s="35"/>
      <c r="L1522" s="35"/>
      <c r="M1522" s="35"/>
      <c r="N1522" s="35"/>
      <c r="O1522" s="35"/>
      <c r="P1522" s="35"/>
      <c r="Q1522" s="35"/>
      <c r="R1522" s="35"/>
      <c r="S1522" s="35"/>
      <c r="T1522" s="35"/>
      <c r="U1522" s="35"/>
      <c r="V1522" s="35"/>
      <c r="W1522" s="35"/>
      <c r="X1522" s="35"/>
      <c r="Y1522" s="35"/>
      <c r="Z1522" s="35"/>
      <c r="AA1522" s="35"/>
      <c r="AB1522" s="35"/>
      <c r="AC1522" s="35"/>
      <c r="AD1522" s="35"/>
      <c r="AE1522" s="35"/>
    </row>
    <row r="1523">
      <c r="A1523" s="30"/>
      <c r="B1523" s="35"/>
      <c r="C1523" s="35"/>
      <c r="D1523" s="35"/>
      <c r="E1523" s="35"/>
      <c r="F1523" s="33"/>
      <c r="G1523" s="33"/>
      <c r="H1523" s="33"/>
      <c r="I1523" s="33"/>
      <c r="J1523" s="33"/>
      <c r="K1523" s="35"/>
      <c r="L1523" s="35"/>
      <c r="M1523" s="35"/>
      <c r="N1523" s="35"/>
      <c r="O1523" s="35"/>
      <c r="P1523" s="35"/>
      <c r="Q1523" s="35"/>
      <c r="R1523" s="35"/>
      <c r="S1523" s="35"/>
      <c r="T1523" s="35"/>
      <c r="U1523" s="35"/>
      <c r="V1523" s="35"/>
      <c r="W1523" s="35"/>
      <c r="X1523" s="35"/>
      <c r="Y1523" s="35"/>
      <c r="Z1523" s="35"/>
      <c r="AA1523" s="35"/>
      <c r="AB1523" s="35"/>
      <c r="AC1523" s="35"/>
      <c r="AD1523" s="35"/>
      <c r="AE1523" s="35"/>
    </row>
    <row r="1524">
      <c r="A1524" s="30"/>
      <c r="B1524" s="35"/>
      <c r="C1524" s="35"/>
      <c r="D1524" s="35"/>
      <c r="E1524" s="35"/>
      <c r="F1524" s="33"/>
      <c r="G1524" s="33"/>
      <c r="H1524" s="33"/>
      <c r="I1524" s="33"/>
      <c r="J1524" s="33"/>
      <c r="K1524" s="35"/>
      <c r="L1524" s="35"/>
      <c r="M1524" s="35"/>
      <c r="N1524" s="35"/>
      <c r="O1524" s="35"/>
      <c r="P1524" s="35"/>
      <c r="Q1524" s="35"/>
      <c r="R1524" s="35"/>
      <c r="S1524" s="35"/>
      <c r="T1524" s="35"/>
      <c r="U1524" s="35"/>
      <c r="V1524" s="35"/>
      <c r="W1524" s="35"/>
      <c r="X1524" s="35"/>
      <c r="Y1524" s="35"/>
      <c r="Z1524" s="35"/>
      <c r="AA1524" s="35"/>
      <c r="AB1524" s="35"/>
      <c r="AC1524" s="35"/>
      <c r="AD1524" s="35"/>
      <c r="AE1524" s="35"/>
    </row>
    <row r="1525">
      <c r="A1525" s="30"/>
      <c r="B1525" s="35"/>
      <c r="C1525" s="35"/>
      <c r="D1525" s="35"/>
      <c r="E1525" s="35"/>
      <c r="F1525" s="33"/>
      <c r="G1525" s="33"/>
      <c r="H1525" s="33"/>
      <c r="I1525" s="33"/>
      <c r="J1525" s="33"/>
      <c r="K1525" s="35"/>
      <c r="L1525" s="35"/>
      <c r="M1525" s="35"/>
      <c r="N1525" s="35"/>
      <c r="O1525" s="35"/>
      <c r="P1525" s="35"/>
      <c r="Q1525" s="35"/>
      <c r="R1525" s="35"/>
      <c r="S1525" s="35"/>
      <c r="T1525" s="35"/>
      <c r="U1525" s="35"/>
      <c r="V1525" s="35"/>
      <c r="W1525" s="35"/>
      <c r="X1525" s="35"/>
      <c r="Y1525" s="35"/>
      <c r="Z1525" s="35"/>
      <c r="AA1525" s="35"/>
      <c r="AB1525" s="35"/>
      <c r="AC1525" s="35"/>
      <c r="AD1525" s="35"/>
      <c r="AE1525" s="35"/>
    </row>
    <row r="1526">
      <c r="A1526" s="30"/>
      <c r="B1526" s="35"/>
      <c r="C1526" s="35"/>
      <c r="D1526" s="35"/>
      <c r="E1526" s="35"/>
      <c r="F1526" s="33"/>
      <c r="G1526" s="33"/>
      <c r="H1526" s="33"/>
      <c r="I1526" s="33"/>
      <c r="J1526" s="33"/>
      <c r="K1526" s="35"/>
      <c r="L1526" s="35"/>
      <c r="M1526" s="35"/>
      <c r="N1526" s="35"/>
      <c r="O1526" s="35"/>
      <c r="P1526" s="35"/>
      <c r="Q1526" s="35"/>
      <c r="R1526" s="35"/>
      <c r="S1526" s="35"/>
      <c r="T1526" s="35"/>
      <c r="U1526" s="35"/>
      <c r="V1526" s="35"/>
      <c r="W1526" s="35"/>
      <c r="X1526" s="35"/>
      <c r="Y1526" s="35"/>
      <c r="Z1526" s="35"/>
      <c r="AA1526" s="35"/>
      <c r="AB1526" s="35"/>
      <c r="AC1526" s="35"/>
      <c r="AD1526" s="35"/>
      <c r="AE1526" s="35"/>
    </row>
    <row r="1527">
      <c r="A1527" s="30"/>
      <c r="B1527" s="35"/>
      <c r="C1527" s="35"/>
      <c r="D1527" s="35"/>
      <c r="E1527" s="35"/>
      <c r="F1527" s="33"/>
      <c r="G1527" s="33"/>
      <c r="H1527" s="33"/>
      <c r="I1527" s="33"/>
      <c r="J1527" s="33"/>
      <c r="K1527" s="35"/>
      <c r="L1527" s="35"/>
      <c r="M1527" s="35"/>
      <c r="N1527" s="35"/>
      <c r="O1527" s="35"/>
      <c r="P1527" s="35"/>
      <c r="Q1527" s="35"/>
      <c r="R1527" s="35"/>
      <c r="S1527" s="35"/>
      <c r="T1527" s="35"/>
      <c r="U1527" s="35"/>
      <c r="V1527" s="35"/>
      <c r="W1527" s="35"/>
      <c r="X1527" s="35"/>
      <c r="Y1527" s="35"/>
      <c r="Z1527" s="35"/>
      <c r="AA1527" s="35"/>
      <c r="AB1527" s="35"/>
      <c r="AC1527" s="35"/>
      <c r="AD1527" s="35"/>
      <c r="AE1527" s="35"/>
    </row>
    <row r="1528">
      <c r="A1528" s="30"/>
      <c r="B1528" s="35"/>
      <c r="C1528" s="35"/>
      <c r="D1528" s="35"/>
      <c r="E1528" s="35"/>
      <c r="F1528" s="33"/>
      <c r="G1528" s="33"/>
      <c r="H1528" s="33"/>
      <c r="I1528" s="33"/>
      <c r="J1528" s="33"/>
      <c r="K1528" s="35"/>
      <c r="L1528" s="35"/>
      <c r="M1528" s="35"/>
      <c r="N1528" s="35"/>
      <c r="O1528" s="35"/>
      <c r="P1528" s="35"/>
      <c r="Q1528" s="35"/>
      <c r="R1528" s="35"/>
      <c r="S1528" s="35"/>
      <c r="T1528" s="35"/>
      <c r="U1528" s="35"/>
      <c r="V1528" s="35"/>
      <c r="W1528" s="35"/>
      <c r="X1528" s="35"/>
      <c r="Y1528" s="35"/>
      <c r="Z1528" s="35"/>
      <c r="AA1528" s="35"/>
      <c r="AB1528" s="35"/>
      <c r="AC1528" s="35"/>
      <c r="AD1528" s="35"/>
      <c r="AE1528" s="35"/>
    </row>
    <row r="1529">
      <c r="A1529" s="30"/>
      <c r="B1529" s="35"/>
      <c r="C1529" s="35"/>
      <c r="D1529" s="35"/>
      <c r="E1529" s="35"/>
      <c r="F1529" s="33"/>
      <c r="G1529" s="33"/>
      <c r="H1529" s="33"/>
      <c r="I1529" s="33"/>
      <c r="J1529" s="33"/>
      <c r="K1529" s="35"/>
      <c r="L1529" s="35"/>
      <c r="M1529" s="35"/>
      <c r="N1529" s="35"/>
      <c r="O1529" s="35"/>
      <c r="P1529" s="35"/>
      <c r="Q1529" s="35"/>
      <c r="R1529" s="35"/>
      <c r="S1529" s="35"/>
      <c r="T1529" s="35"/>
      <c r="U1529" s="35"/>
      <c r="V1529" s="35"/>
      <c r="W1529" s="35"/>
      <c r="X1529" s="35"/>
      <c r="Y1529" s="35"/>
      <c r="Z1529" s="35"/>
      <c r="AA1529" s="35"/>
      <c r="AB1529" s="35"/>
      <c r="AC1529" s="35"/>
      <c r="AD1529" s="35"/>
      <c r="AE1529" s="35"/>
    </row>
    <row r="1530">
      <c r="A1530" s="30"/>
      <c r="B1530" s="35"/>
      <c r="C1530" s="35"/>
      <c r="D1530" s="35"/>
      <c r="E1530" s="35"/>
      <c r="F1530" s="33"/>
      <c r="G1530" s="33"/>
      <c r="H1530" s="33"/>
      <c r="I1530" s="33"/>
      <c r="J1530" s="33"/>
      <c r="K1530" s="35"/>
      <c r="L1530" s="35"/>
      <c r="M1530" s="35"/>
      <c r="N1530" s="35"/>
      <c r="O1530" s="35"/>
      <c r="P1530" s="35"/>
      <c r="Q1530" s="35"/>
      <c r="R1530" s="35"/>
      <c r="S1530" s="35"/>
      <c r="T1530" s="35"/>
      <c r="U1530" s="35"/>
      <c r="V1530" s="35"/>
      <c r="W1530" s="35"/>
      <c r="X1530" s="35"/>
      <c r="Y1530" s="35"/>
      <c r="Z1530" s="35"/>
      <c r="AA1530" s="35"/>
      <c r="AB1530" s="35"/>
      <c r="AC1530" s="35"/>
      <c r="AD1530" s="35"/>
      <c r="AE1530" s="35"/>
    </row>
    <row r="1531">
      <c r="A1531" s="30"/>
      <c r="B1531" s="35"/>
      <c r="C1531" s="35"/>
      <c r="D1531" s="35"/>
      <c r="E1531" s="35"/>
      <c r="F1531" s="33"/>
      <c r="G1531" s="33"/>
      <c r="H1531" s="33"/>
      <c r="I1531" s="33"/>
      <c r="J1531" s="33"/>
      <c r="K1531" s="35"/>
      <c r="L1531" s="35"/>
      <c r="M1531" s="35"/>
      <c r="N1531" s="35"/>
      <c r="O1531" s="35"/>
      <c r="P1531" s="35"/>
      <c r="Q1531" s="35"/>
      <c r="R1531" s="35"/>
      <c r="S1531" s="35"/>
      <c r="T1531" s="35"/>
      <c r="U1531" s="35"/>
      <c r="V1531" s="35"/>
      <c r="W1531" s="35"/>
      <c r="X1531" s="35"/>
      <c r="Y1531" s="35"/>
      <c r="Z1531" s="35"/>
      <c r="AA1531" s="35"/>
      <c r="AB1531" s="35"/>
      <c r="AC1531" s="35"/>
      <c r="AD1531" s="35"/>
      <c r="AE1531" s="35"/>
    </row>
    <row r="1532">
      <c r="A1532" s="30"/>
      <c r="B1532" s="35"/>
      <c r="C1532" s="35"/>
      <c r="D1532" s="35"/>
      <c r="E1532" s="35"/>
      <c r="F1532" s="33"/>
      <c r="G1532" s="33"/>
      <c r="H1532" s="33"/>
      <c r="I1532" s="33"/>
      <c r="J1532" s="33"/>
      <c r="K1532" s="35"/>
      <c r="L1532" s="35"/>
      <c r="M1532" s="35"/>
      <c r="N1532" s="35"/>
      <c r="O1532" s="35"/>
      <c r="P1532" s="35"/>
      <c r="Q1532" s="35"/>
      <c r="R1532" s="35"/>
      <c r="S1532" s="35"/>
      <c r="T1532" s="35"/>
      <c r="U1532" s="35"/>
      <c r="V1532" s="35"/>
      <c r="W1532" s="35"/>
      <c r="X1532" s="35"/>
      <c r="Y1532" s="35"/>
      <c r="Z1532" s="35"/>
      <c r="AA1532" s="35"/>
      <c r="AB1532" s="35"/>
      <c r="AC1532" s="35"/>
      <c r="AD1532" s="35"/>
      <c r="AE1532" s="35"/>
    </row>
    <row r="1533">
      <c r="A1533" s="30"/>
      <c r="B1533" s="35"/>
      <c r="C1533" s="35"/>
      <c r="D1533" s="35"/>
      <c r="E1533" s="35"/>
      <c r="F1533" s="33"/>
      <c r="G1533" s="33"/>
      <c r="H1533" s="33"/>
      <c r="I1533" s="33"/>
      <c r="J1533" s="33"/>
      <c r="K1533" s="35"/>
      <c r="L1533" s="35"/>
      <c r="M1533" s="35"/>
      <c r="N1533" s="35"/>
      <c r="O1533" s="35"/>
      <c r="P1533" s="35"/>
      <c r="Q1533" s="35"/>
      <c r="R1533" s="35"/>
      <c r="S1533" s="35"/>
      <c r="T1533" s="35"/>
      <c r="U1533" s="35"/>
      <c r="V1533" s="35"/>
      <c r="W1533" s="35"/>
      <c r="X1533" s="35"/>
      <c r="Y1533" s="35"/>
      <c r="Z1533" s="35"/>
      <c r="AA1533" s="35"/>
      <c r="AB1533" s="35"/>
      <c r="AC1533" s="35"/>
      <c r="AD1533" s="35"/>
      <c r="AE1533" s="35"/>
    </row>
    <row r="1534">
      <c r="A1534" s="30"/>
      <c r="B1534" s="35"/>
      <c r="C1534" s="35"/>
      <c r="D1534" s="35"/>
      <c r="E1534" s="35"/>
      <c r="F1534" s="33"/>
      <c r="G1534" s="33"/>
      <c r="H1534" s="33"/>
      <c r="I1534" s="33"/>
      <c r="J1534" s="33"/>
      <c r="K1534" s="35"/>
      <c r="L1534" s="35"/>
      <c r="M1534" s="35"/>
      <c r="N1534" s="35"/>
      <c r="O1534" s="35"/>
      <c r="P1534" s="35"/>
      <c r="Q1534" s="35"/>
      <c r="R1534" s="35"/>
      <c r="S1534" s="35"/>
      <c r="T1534" s="35"/>
      <c r="U1534" s="35"/>
      <c r="V1534" s="35"/>
      <c r="W1534" s="35"/>
      <c r="X1534" s="35"/>
      <c r="Y1534" s="35"/>
      <c r="Z1534" s="35"/>
      <c r="AA1534" s="35"/>
      <c r="AB1534" s="35"/>
      <c r="AC1534" s="35"/>
      <c r="AD1534" s="35"/>
      <c r="AE1534" s="35"/>
    </row>
    <row r="1535">
      <c r="A1535" s="30"/>
      <c r="B1535" s="35"/>
      <c r="C1535" s="35"/>
      <c r="D1535" s="35"/>
      <c r="E1535" s="35"/>
      <c r="F1535" s="33"/>
      <c r="G1535" s="33"/>
      <c r="H1535" s="33"/>
      <c r="I1535" s="33"/>
      <c r="J1535" s="33"/>
      <c r="K1535" s="35"/>
      <c r="L1535" s="35"/>
      <c r="M1535" s="35"/>
      <c r="N1535" s="35"/>
      <c r="O1535" s="35"/>
      <c r="P1535" s="35"/>
      <c r="Q1535" s="35"/>
      <c r="R1535" s="35"/>
      <c r="S1535" s="35"/>
      <c r="T1535" s="35"/>
      <c r="U1535" s="35"/>
      <c r="V1535" s="35"/>
      <c r="W1535" s="35"/>
      <c r="X1535" s="35"/>
      <c r="Y1535" s="35"/>
      <c r="Z1535" s="35"/>
      <c r="AA1535" s="35"/>
      <c r="AB1535" s="35"/>
      <c r="AC1535" s="35"/>
      <c r="AD1535" s="35"/>
      <c r="AE1535" s="35"/>
    </row>
    <row r="1536">
      <c r="A1536" s="30"/>
      <c r="B1536" s="35"/>
      <c r="C1536" s="35"/>
      <c r="D1536" s="35"/>
      <c r="E1536" s="35"/>
      <c r="F1536" s="33"/>
      <c r="G1536" s="33"/>
      <c r="H1536" s="33"/>
      <c r="I1536" s="33"/>
      <c r="J1536" s="33"/>
      <c r="K1536" s="35"/>
      <c r="L1536" s="35"/>
      <c r="M1536" s="35"/>
      <c r="N1536" s="35"/>
      <c r="O1536" s="35"/>
      <c r="P1536" s="35"/>
      <c r="Q1536" s="35"/>
      <c r="R1536" s="35"/>
      <c r="S1536" s="35"/>
      <c r="T1536" s="35"/>
      <c r="U1536" s="35"/>
      <c r="V1536" s="35"/>
      <c r="W1536" s="35"/>
      <c r="X1536" s="35"/>
      <c r="Y1536" s="35"/>
      <c r="Z1536" s="35"/>
      <c r="AA1536" s="35"/>
      <c r="AB1536" s="35"/>
      <c r="AC1536" s="35"/>
      <c r="AD1536" s="35"/>
      <c r="AE1536" s="35"/>
    </row>
    <row r="1537">
      <c r="A1537" s="30"/>
      <c r="B1537" s="35"/>
      <c r="C1537" s="35"/>
      <c r="D1537" s="35"/>
      <c r="E1537" s="35"/>
      <c r="F1537" s="33"/>
      <c r="G1537" s="33"/>
      <c r="H1537" s="33"/>
      <c r="I1537" s="33"/>
      <c r="J1537" s="33"/>
      <c r="K1537" s="35"/>
      <c r="L1537" s="35"/>
      <c r="M1537" s="35"/>
      <c r="N1537" s="35"/>
      <c r="O1537" s="35"/>
      <c r="P1537" s="35"/>
      <c r="Q1537" s="35"/>
      <c r="R1537" s="35"/>
      <c r="S1537" s="35"/>
      <c r="T1537" s="35"/>
      <c r="U1537" s="35"/>
      <c r="V1537" s="35"/>
      <c r="W1537" s="35"/>
      <c r="X1537" s="35"/>
      <c r="Y1537" s="35"/>
      <c r="Z1537" s="35"/>
      <c r="AA1537" s="35"/>
      <c r="AB1537" s="35"/>
      <c r="AC1537" s="35"/>
      <c r="AD1537" s="35"/>
      <c r="AE1537" s="35"/>
    </row>
    <row r="1538">
      <c r="A1538" s="30"/>
      <c r="B1538" s="35"/>
      <c r="C1538" s="35"/>
      <c r="D1538" s="35"/>
      <c r="E1538" s="35"/>
      <c r="F1538" s="33"/>
      <c r="G1538" s="33"/>
      <c r="H1538" s="33"/>
      <c r="I1538" s="33"/>
      <c r="J1538" s="33"/>
      <c r="K1538" s="35"/>
      <c r="L1538" s="35"/>
      <c r="M1538" s="35"/>
      <c r="N1538" s="35"/>
      <c r="O1538" s="35"/>
      <c r="P1538" s="35"/>
      <c r="Q1538" s="35"/>
      <c r="R1538" s="35"/>
      <c r="S1538" s="35"/>
      <c r="T1538" s="35"/>
      <c r="U1538" s="35"/>
      <c r="V1538" s="35"/>
      <c r="W1538" s="35"/>
      <c r="X1538" s="35"/>
      <c r="Y1538" s="35"/>
      <c r="Z1538" s="35"/>
      <c r="AA1538" s="35"/>
      <c r="AB1538" s="35"/>
      <c r="AC1538" s="35"/>
      <c r="AD1538" s="35"/>
      <c r="AE1538" s="35"/>
    </row>
    <row r="1539">
      <c r="A1539" s="30"/>
      <c r="B1539" s="35"/>
      <c r="C1539" s="35"/>
      <c r="D1539" s="35"/>
      <c r="E1539" s="35"/>
      <c r="F1539" s="33"/>
      <c r="G1539" s="33"/>
      <c r="H1539" s="33"/>
      <c r="I1539" s="33"/>
      <c r="J1539" s="33"/>
      <c r="K1539" s="35"/>
      <c r="L1539" s="35"/>
      <c r="M1539" s="35"/>
      <c r="N1539" s="35"/>
      <c r="O1539" s="35"/>
      <c r="P1539" s="35"/>
      <c r="Q1539" s="35"/>
      <c r="R1539" s="35"/>
      <c r="S1539" s="35"/>
      <c r="T1539" s="35"/>
      <c r="U1539" s="35"/>
      <c r="V1539" s="35"/>
      <c r="W1539" s="35"/>
      <c r="X1539" s="35"/>
      <c r="Y1539" s="35"/>
      <c r="Z1539" s="35"/>
      <c r="AA1539" s="35"/>
      <c r="AB1539" s="35"/>
      <c r="AC1539" s="35"/>
      <c r="AD1539" s="35"/>
      <c r="AE1539" s="35"/>
    </row>
    <row r="1540">
      <c r="A1540" s="30"/>
      <c r="B1540" s="35"/>
      <c r="C1540" s="35"/>
      <c r="D1540" s="35"/>
      <c r="E1540" s="35"/>
      <c r="F1540" s="33"/>
      <c r="G1540" s="33"/>
      <c r="H1540" s="33"/>
      <c r="I1540" s="33"/>
      <c r="J1540" s="33"/>
      <c r="K1540" s="35"/>
      <c r="L1540" s="35"/>
      <c r="M1540" s="35"/>
      <c r="N1540" s="35"/>
      <c r="O1540" s="35"/>
      <c r="P1540" s="35"/>
      <c r="Q1540" s="35"/>
      <c r="R1540" s="35"/>
      <c r="S1540" s="35"/>
      <c r="T1540" s="35"/>
      <c r="U1540" s="35"/>
      <c r="V1540" s="35"/>
      <c r="W1540" s="35"/>
      <c r="X1540" s="35"/>
      <c r="Y1540" s="35"/>
      <c r="Z1540" s="35"/>
      <c r="AA1540" s="35"/>
      <c r="AB1540" s="35"/>
      <c r="AC1540" s="35"/>
      <c r="AD1540" s="35"/>
      <c r="AE1540" s="35"/>
    </row>
    <row r="1541">
      <c r="A1541" s="30"/>
      <c r="B1541" s="35"/>
      <c r="C1541" s="35"/>
      <c r="D1541" s="35"/>
      <c r="E1541" s="35"/>
      <c r="F1541" s="33"/>
      <c r="G1541" s="33"/>
      <c r="H1541" s="33"/>
      <c r="I1541" s="33"/>
      <c r="J1541" s="33"/>
      <c r="K1541" s="35"/>
      <c r="L1541" s="35"/>
      <c r="M1541" s="35"/>
      <c r="N1541" s="35"/>
      <c r="O1541" s="35"/>
      <c r="P1541" s="35"/>
      <c r="Q1541" s="35"/>
      <c r="R1541" s="35"/>
      <c r="S1541" s="35"/>
      <c r="T1541" s="35"/>
      <c r="U1541" s="35"/>
      <c r="V1541" s="35"/>
      <c r="W1541" s="35"/>
      <c r="X1541" s="35"/>
      <c r="Y1541" s="35"/>
      <c r="Z1541" s="35"/>
      <c r="AA1541" s="35"/>
      <c r="AB1541" s="35"/>
      <c r="AC1541" s="35"/>
      <c r="AD1541" s="35"/>
      <c r="AE1541" s="35"/>
    </row>
    <row r="1542">
      <c r="A1542" s="30"/>
      <c r="B1542" s="35"/>
      <c r="C1542" s="35"/>
      <c r="D1542" s="35"/>
      <c r="E1542" s="35"/>
      <c r="F1542" s="33"/>
      <c r="G1542" s="33"/>
      <c r="H1542" s="33"/>
      <c r="I1542" s="33"/>
      <c r="J1542" s="33"/>
      <c r="K1542" s="35"/>
      <c r="L1542" s="35"/>
      <c r="M1542" s="35"/>
      <c r="N1542" s="35"/>
      <c r="O1542" s="35"/>
      <c r="P1542" s="35"/>
      <c r="Q1542" s="35"/>
      <c r="R1542" s="35"/>
      <c r="S1542" s="35"/>
      <c r="T1542" s="35"/>
      <c r="U1542" s="35"/>
      <c r="V1542" s="35"/>
      <c r="W1542" s="35"/>
      <c r="X1542" s="35"/>
      <c r="Y1542" s="35"/>
      <c r="Z1542" s="35"/>
      <c r="AA1542" s="35"/>
      <c r="AB1542" s="35"/>
      <c r="AC1542" s="35"/>
      <c r="AD1542" s="35"/>
      <c r="AE1542" s="35"/>
    </row>
    <row r="1543">
      <c r="A1543" s="30"/>
      <c r="B1543" s="35"/>
      <c r="C1543" s="35"/>
      <c r="D1543" s="35"/>
      <c r="E1543" s="35"/>
      <c r="F1543" s="33"/>
      <c r="G1543" s="33"/>
      <c r="H1543" s="33"/>
      <c r="I1543" s="33"/>
      <c r="J1543" s="33"/>
      <c r="K1543" s="35"/>
      <c r="L1543" s="35"/>
      <c r="M1543" s="35"/>
      <c r="N1543" s="35"/>
      <c r="O1543" s="35"/>
      <c r="P1543" s="35"/>
      <c r="Q1543" s="35"/>
      <c r="R1543" s="35"/>
      <c r="S1543" s="35"/>
      <c r="T1543" s="35"/>
      <c r="U1543" s="35"/>
      <c r="V1543" s="35"/>
      <c r="W1543" s="35"/>
      <c r="X1543" s="35"/>
      <c r="Y1543" s="35"/>
      <c r="Z1543" s="35"/>
      <c r="AA1543" s="35"/>
      <c r="AB1543" s="35"/>
      <c r="AC1543" s="35"/>
      <c r="AD1543" s="35"/>
      <c r="AE1543" s="35"/>
    </row>
    <row r="1544">
      <c r="A1544" s="30"/>
      <c r="B1544" s="35"/>
      <c r="C1544" s="35"/>
      <c r="D1544" s="35"/>
      <c r="E1544" s="35"/>
      <c r="F1544" s="33"/>
      <c r="G1544" s="33"/>
      <c r="H1544" s="33"/>
      <c r="I1544" s="33"/>
      <c r="J1544" s="33"/>
      <c r="K1544" s="35"/>
      <c r="L1544" s="35"/>
      <c r="M1544" s="35"/>
      <c r="N1544" s="35"/>
      <c r="O1544" s="35"/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5"/>
      <c r="AA1544" s="35"/>
      <c r="AB1544" s="35"/>
      <c r="AC1544" s="35"/>
      <c r="AD1544" s="35"/>
      <c r="AE1544" s="35"/>
    </row>
    <row r="1545">
      <c r="A1545" s="30"/>
      <c r="B1545" s="35"/>
      <c r="C1545" s="35"/>
      <c r="D1545" s="35"/>
      <c r="E1545" s="35"/>
      <c r="F1545" s="33"/>
      <c r="G1545" s="33"/>
      <c r="H1545" s="33"/>
      <c r="I1545" s="33"/>
      <c r="J1545" s="33"/>
      <c r="K1545" s="35"/>
      <c r="L1545" s="35"/>
      <c r="M1545" s="35"/>
      <c r="N1545" s="35"/>
      <c r="O1545" s="35"/>
      <c r="P1545" s="35"/>
      <c r="Q1545" s="35"/>
      <c r="R1545" s="35"/>
      <c r="S1545" s="35"/>
      <c r="T1545" s="35"/>
      <c r="U1545" s="35"/>
      <c r="V1545" s="35"/>
      <c r="W1545" s="35"/>
      <c r="X1545" s="35"/>
      <c r="Y1545" s="35"/>
      <c r="Z1545" s="35"/>
      <c r="AA1545" s="35"/>
      <c r="AB1545" s="35"/>
      <c r="AC1545" s="35"/>
      <c r="AD1545" s="35"/>
      <c r="AE1545" s="35"/>
    </row>
    <row r="1546">
      <c r="A1546" s="30"/>
      <c r="B1546" s="35"/>
      <c r="C1546" s="35"/>
      <c r="D1546" s="35"/>
      <c r="E1546" s="35"/>
      <c r="F1546" s="33"/>
      <c r="G1546" s="33"/>
      <c r="H1546" s="33"/>
      <c r="I1546" s="33"/>
      <c r="J1546" s="33"/>
      <c r="K1546" s="35"/>
      <c r="L1546" s="35"/>
      <c r="M1546" s="35"/>
      <c r="N1546" s="35"/>
      <c r="O1546" s="35"/>
      <c r="P1546" s="35"/>
      <c r="Q1546" s="35"/>
      <c r="R1546" s="35"/>
      <c r="S1546" s="35"/>
      <c r="T1546" s="35"/>
      <c r="U1546" s="35"/>
      <c r="V1546" s="35"/>
      <c r="W1546" s="35"/>
      <c r="X1546" s="35"/>
      <c r="Y1546" s="35"/>
      <c r="Z1546" s="35"/>
      <c r="AA1546" s="35"/>
      <c r="AB1546" s="35"/>
      <c r="AC1546" s="35"/>
      <c r="AD1546" s="35"/>
      <c r="AE1546" s="35"/>
    </row>
    <row r="1547">
      <c r="A1547" s="30"/>
      <c r="B1547" s="35"/>
      <c r="C1547" s="35"/>
      <c r="D1547" s="35"/>
      <c r="E1547" s="35"/>
      <c r="F1547" s="33"/>
      <c r="G1547" s="33"/>
      <c r="H1547" s="33"/>
      <c r="I1547" s="33"/>
      <c r="J1547" s="33"/>
      <c r="K1547" s="35"/>
      <c r="L1547" s="35"/>
      <c r="M1547" s="35"/>
      <c r="N1547" s="35"/>
      <c r="O1547" s="35"/>
      <c r="P1547" s="35"/>
      <c r="Q1547" s="35"/>
      <c r="R1547" s="35"/>
      <c r="S1547" s="35"/>
      <c r="T1547" s="35"/>
      <c r="U1547" s="35"/>
      <c r="V1547" s="35"/>
      <c r="W1547" s="35"/>
      <c r="X1547" s="35"/>
      <c r="Y1547" s="35"/>
      <c r="Z1547" s="35"/>
      <c r="AA1547" s="35"/>
      <c r="AB1547" s="35"/>
      <c r="AC1547" s="35"/>
      <c r="AD1547" s="35"/>
      <c r="AE1547" s="35"/>
    </row>
    <row r="1548">
      <c r="A1548" s="30"/>
      <c r="B1548" s="35"/>
      <c r="C1548" s="35"/>
      <c r="D1548" s="35"/>
      <c r="E1548" s="35"/>
      <c r="F1548" s="33"/>
      <c r="G1548" s="33"/>
      <c r="H1548" s="33"/>
      <c r="I1548" s="33"/>
      <c r="J1548" s="33"/>
      <c r="K1548" s="35"/>
      <c r="L1548" s="35"/>
      <c r="M1548" s="35"/>
      <c r="N1548" s="35"/>
      <c r="O1548" s="35"/>
      <c r="P1548" s="35"/>
      <c r="Q1548" s="35"/>
      <c r="R1548" s="35"/>
      <c r="S1548" s="35"/>
      <c r="T1548" s="35"/>
      <c r="U1548" s="35"/>
      <c r="V1548" s="35"/>
      <c r="W1548" s="35"/>
      <c r="X1548" s="35"/>
      <c r="Y1548" s="35"/>
      <c r="Z1548" s="35"/>
      <c r="AA1548" s="35"/>
      <c r="AB1548" s="35"/>
      <c r="AC1548" s="35"/>
      <c r="AD1548" s="35"/>
      <c r="AE1548" s="35"/>
    </row>
    <row r="1549">
      <c r="A1549" s="30"/>
      <c r="B1549" s="35"/>
      <c r="C1549" s="35"/>
      <c r="D1549" s="35"/>
      <c r="E1549" s="35"/>
      <c r="F1549" s="33"/>
      <c r="G1549" s="33"/>
      <c r="H1549" s="33"/>
      <c r="I1549" s="33"/>
      <c r="J1549" s="33"/>
      <c r="K1549" s="35"/>
      <c r="L1549" s="35"/>
      <c r="M1549" s="35"/>
      <c r="N1549" s="35"/>
      <c r="O1549" s="35"/>
      <c r="P1549" s="35"/>
      <c r="Q1549" s="35"/>
      <c r="R1549" s="35"/>
      <c r="S1549" s="35"/>
      <c r="T1549" s="35"/>
      <c r="U1549" s="35"/>
      <c r="V1549" s="35"/>
      <c r="W1549" s="35"/>
      <c r="X1549" s="35"/>
      <c r="Y1549" s="35"/>
      <c r="Z1549" s="35"/>
      <c r="AA1549" s="35"/>
      <c r="AB1549" s="35"/>
      <c r="AC1549" s="35"/>
      <c r="AD1549" s="35"/>
      <c r="AE1549" s="35"/>
    </row>
    <row r="1550">
      <c r="A1550" s="30"/>
      <c r="B1550" s="35"/>
      <c r="C1550" s="35"/>
      <c r="D1550" s="35"/>
      <c r="E1550" s="35"/>
      <c r="F1550" s="33"/>
      <c r="G1550" s="33"/>
      <c r="H1550" s="33"/>
      <c r="I1550" s="33"/>
      <c r="J1550" s="33"/>
      <c r="K1550" s="35"/>
      <c r="L1550" s="35"/>
      <c r="M1550" s="35"/>
      <c r="N1550" s="35"/>
      <c r="O1550" s="35"/>
      <c r="P1550" s="35"/>
      <c r="Q1550" s="35"/>
      <c r="R1550" s="35"/>
      <c r="S1550" s="35"/>
      <c r="T1550" s="35"/>
      <c r="U1550" s="35"/>
      <c r="V1550" s="35"/>
      <c r="W1550" s="35"/>
      <c r="X1550" s="35"/>
      <c r="Y1550" s="35"/>
      <c r="Z1550" s="35"/>
      <c r="AA1550" s="35"/>
      <c r="AB1550" s="35"/>
      <c r="AC1550" s="35"/>
      <c r="AD1550" s="35"/>
      <c r="AE1550" s="35"/>
    </row>
    <row r="1551">
      <c r="A1551" s="30"/>
      <c r="B1551" s="35"/>
      <c r="C1551" s="35"/>
      <c r="D1551" s="35"/>
      <c r="E1551" s="35"/>
      <c r="F1551" s="33"/>
      <c r="G1551" s="33"/>
      <c r="H1551" s="33"/>
      <c r="I1551" s="33"/>
      <c r="J1551" s="33"/>
      <c r="K1551" s="35"/>
      <c r="L1551" s="35"/>
      <c r="M1551" s="35"/>
      <c r="N1551" s="35"/>
      <c r="O1551" s="35"/>
      <c r="P1551" s="35"/>
      <c r="Q1551" s="35"/>
      <c r="R1551" s="35"/>
      <c r="S1551" s="35"/>
      <c r="T1551" s="35"/>
      <c r="U1551" s="35"/>
      <c r="V1551" s="35"/>
      <c r="W1551" s="35"/>
      <c r="X1551" s="35"/>
      <c r="Y1551" s="35"/>
      <c r="Z1551" s="35"/>
      <c r="AA1551" s="35"/>
      <c r="AB1551" s="35"/>
      <c r="AC1551" s="35"/>
      <c r="AD1551" s="35"/>
      <c r="AE1551" s="35"/>
    </row>
    <row r="1552">
      <c r="A1552" s="30"/>
      <c r="B1552" s="35"/>
      <c r="C1552" s="35"/>
      <c r="D1552" s="35"/>
      <c r="E1552" s="35"/>
      <c r="F1552" s="33"/>
      <c r="G1552" s="33"/>
      <c r="H1552" s="33"/>
      <c r="I1552" s="33"/>
      <c r="J1552" s="33"/>
      <c r="K1552" s="35"/>
      <c r="L1552" s="35"/>
      <c r="M1552" s="35"/>
      <c r="N1552" s="35"/>
      <c r="O1552" s="35"/>
      <c r="P1552" s="35"/>
      <c r="Q1552" s="35"/>
      <c r="R1552" s="35"/>
      <c r="S1552" s="35"/>
      <c r="T1552" s="35"/>
      <c r="U1552" s="35"/>
      <c r="V1552" s="35"/>
      <c r="W1552" s="35"/>
      <c r="X1552" s="35"/>
      <c r="Y1552" s="35"/>
      <c r="Z1552" s="35"/>
      <c r="AA1552" s="35"/>
      <c r="AB1552" s="35"/>
      <c r="AC1552" s="35"/>
      <c r="AD1552" s="35"/>
      <c r="AE1552" s="35"/>
    </row>
    <row r="1553">
      <c r="A1553" s="30"/>
      <c r="B1553" s="35"/>
      <c r="C1553" s="35"/>
      <c r="D1553" s="35"/>
      <c r="E1553" s="35"/>
      <c r="F1553" s="33"/>
      <c r="G1553" s="33"/>
      <c r="H1553" s="33"/>
      <c r="I1553" s="33"/>
      <c r="J1553" s="33"/>
      <c r="K1553" s="35"/>
      <c r="L1553" s="35"/>
      <c r="M1553" s="35"/>
      <c r="N1553" s="35"/>
      <c r="O1553" s="35"/>
      <c r="P1553" s="35"/>
      <c r="Q1553" s="35"/>
      <c r="R1553" s="35"/>
      <c r="S1553" s="35"/>
      <c r="T1553" s="35"/>
      <c r="U1553" s="35"/>
      <c r="V1553" s="35"/>
      <c r="W1553" s="35"/>
      <c r="X1553" s="35"/>
      <c r="Y1553" s="35"/>
      <c r="Z1553" s="35"/>
      <c r="AA1553" s="35"/>
      <c r="AB1553" s="35"/>
      <c r="AC1553" s="35"/>
      <c r="AD1553" s="35"/>
      <c r="AE1553" s="35"/>
    </row>
    <row r="1554">
      <c r="A1554" s="30"/>
      <c r="B1554" s="35"/>
      <c r="C1554" s="35"/>
      <c r="D1554" s="35"/>
      <c r="E1554" s="35"/>
      <c r="F1554" s="33"/>
      <c r="G1554" s="33"/>
      <c r="H1554" s="33"/>
      <c r="I1554" s="33"/>
      <c r="J1554" s="33"/>
      <c r="K1554" s="35"/>
      <c r="L1554" s="35"/>
      <c r="M1554" s="35"/>
      <c r="N1554" s="35"/>
      <c r="O1554" s="35"/>
      <c r="P1554" s="35"/>
      <c r="Q1554" s="35"/>
      <c r="R1554" s="35"/>
      <c r="S1554" s="35"/>
      <c r="T1554" s="35"/>
      <c r="U1554" s="35"/>
      <c r="V1554" s="35"/>
      <c r="W1554" s="35"/>
      <c r="X1554" s="35"/>
      <c r="Y1554" s="35"/>
      <c r="Z1554" s="35"/>
      <c r="AA1554" s="35"/>
      <c r="AB1554" s="35"/>
      <c r="AC1554" s="35"/>
      <c r="AD1554" s="35"/>
      <c r="AE1554" s="35"/>
    </row>
    <row r="1555">
      <c r="A1555" s="30"/>
      <c r="B1555" s="35"/>
      <c r="C1555" s="35"/>
      <c r="D1555" s="35"/>
      <c r="E1555" s="35"/>
      <c r="F1555" s="33"/>
      <c r="G1555" s="33"/>
      <c r="H1555" s="33"/>
      <c r="I1555" s="33"/>
      <c r="J1555" s="33"/>
      <c r="K1555" s="35"/>
      <c r="L1555" s="35"/>
      <c r="M1555" s="35"/>
      <c r="N1555" s="35"/>
      <c r="O1555" s="35"/>
      <c r="P1555" s="35"/>
      <c r="Q1555" s="35"/>
      <c r="R1555" s="35"/>
      <c r="S1555" s="35"/>
      <c r="T1555" s="35"/>
      <c r="U1555" s="35"/>
      <c r="V1555" s="35"/>
      <c r="W1555" s="35"/>
      <c r="X1555" s="35"/>
      <c r="Y1555" s="35"/>
      <c r="Z1555" s="35"/>
      <c r="AA1555" s="35"/>
      <c r="AB1555" s="35"/>
      <c r="AC1555" s="35"/>
      <c r="AD1555" s="35"/>
      <c r="AE1555" s="35"/>
    </row>
    <row r="1556">
      <c r="A1556" s="30"/>
      <c r="B1556" s="35"/>
      <c r="C1556" s="35"/>
      <c r="D1556" s="35"/>
      <c r="E1556" s="35"/>
      <c r="F1556" s="33"/>
      <c r="G1556" s="33"/>
      <c r="H1556" s="33"/>
      <c r="I1556" s="33"/>
      <c r="J1556" s="33"/>
      <c r="K1556" s="35"/>
      <c r="L1556" s="35"/>
      <c r="M1556" s="35"/>
      <c r="N1556" s="35"/>
      <c r="O1556" s="35"/>
      <c r="P1556" s="35"/>
      <c r="Q1556" s="35"/>
      <c r="R1556" s="35"/>
      <c r="S1556" s="35"/>
      <c r="T1556" s="35"/>
      <c r="U1556" s="35"/>
      <c r="V1556" s="35"/>
      <c r="W1556" s="35"/>
      <c r="X1556" s="35"/>
      <c r="Y1556" s="35"/>
      <c r="Z1556" s="35"/>
      <c r="AA1556" s="35"/>
      <c r="AB1556" s="35"/>
      <c r="AC1556" s="35"/>
      <c r="AD1556" s="35"/>
      <c r="AE1556" s="35"/>
    </row>
    <row r="1557">
      <c r="A1557" s="30"/>
      <c r="B1557" s="35"/>
      <c r="C1557" s="35"/>
      <c r="D1557" s="35"/>
      <c r="E1557" s="35"/>
      <c r="F1557" s="33"/>
      <c r="G1557" s="33"/>
      <c r="H1557" s="33"/>
      <c r="I1557" s="33"/>
      <c r="J1557" s="33"/>
      <c r="K1557" s="35"/>
      <c r="L1557" s="35"/>
      <c r="M1557" s="35"/>
      <c r="N1557" s="35"/>
      <c r="O1557" s="35"/>
      <c r="P1557" s="35"/>
      <c r="Q1557" s="35"/>
      <c r="R1557" s="35"/>
      <c r="S1557" s="35"/>
      <c r="T1557" s="35"/>
      <c r="U1557" s="35"/>
      <c r="V1557" s="35"/>
      <c r="W1557" s="35"/>
      <c r="X1557" s="35"/>
      <c r="Y1557" s="35"/>
      <c r="Z1557" s="35"/>
      <c r="AA1557" s="35"/>
      <c r="AB1557" s="35"/>
      <c r="AC1557" s="35"/>
      <c r="AD1557" s="35"/>
      <c r="AE1557" s="35"/>
    </row>
    <row r="1558">
      <c r="A1558" s="30"/>
      <c r="B1558" s="35"/>
      <c r="C1558" s="35"/>
      <c r="D1558" s="35"/>
      <c r="E1558" s="35"/>
      <c r="F1558" s="33"/>
      <c r="G1558" s="33"/>
      <c r="H1558" s="33"/>
      <c r="I1558" s="33"/>
      <c r="J1558" s="33"/>
      <c r="K1558" s="35"/>
      <c r="L1558" s="35"/>
      <c r="M1558" s="35"/>
      <c r="N1558" s="35"/>
      <c r="O1558" s="35"/>
      <c r="P1558" s="35"/>
      <c r="Q1558" s="35"/>
      <c r="R1558" s="35"/>
      <c r="S1558" s="35"/>
      <c r="T1558" s="35"/>
      <c r="U1558" s="35"/>
      <c r="V1558" s="35"/>
      <c r="W1558" s="35"/>
      <c r="X1558" s="35"/>
      <c r="Y1558" s="35"/>
      <c r="Z1558" s="35"/>
      <c r="AA1558" s="35"/>
      <c r="AB1558" s="35"/>
      <c r="AC1558" s="35"/>
      <c r="AD1558" s="35"/>
      <c r="AE1558" s="35"/>
    </row>
    <row r="1559">
      <c r="A1559" s="30"/>
      <c r="B1559" s="35"/>
      <c r="C1559" s="35"/>
      <c r="D1559" s="35"/>
      <c r="E1559" s="35"/>
      <c r="F1559" s="33"/>
      <c r="G1559" s="33"/>
      <c r="H1559" s="33"/>
      <c r="I1559" s="33"/>
      <c r="J1559" s="33"/>
      <c r="K1559" s="35"/>
      <c r="L1559" s="35"/>
      <c r="M1559" s="35"/>
      <c r="N1559" s="35"/>
      <c r="O1559" s="35"/>
      <c r="P1559" s="35"/>
      <c r="Q1559" s="35"/>
      <c r="R1559" s="35"/>
      <c r="S1559" s="35"/>
      <c r="T1559" s="35"/>
      <c r="U1559" s="35"/>
      <c r="V1559" s="35"/>
      <c r="W1559" s="35"/>
      <c r="X1559" s="35"/>
      <c r="Y1559" s="35"/>
      <c r="Z1559" s="35"/>
      <c r="AA1559" s="35"/>
      <c r="AB1559" s="35"/>
      <c r="AC1559" s="35"/>
      <c r="AD1559" s="35"/>
      <c r="AE1559" s="35"/>
    </row>
    <row r="1560">
      <c r="A1560" s="30"/>
      <c r="B1560" s="35"/>
      <c r="C1560" s="35"/>
      <c r="D1560" s="35"/>
      <c r="E1560" s="35"/>
      <c r="F1560" s="33"/>
      <c r="G1560" s="33"/>
      <c r="H1560" s="33"/>
      <c r="I1560" s="33"/>
      <c r="J1560" s="33"/>
      <c r="K1560" s="35"/>
      <c r="L1560" s="35"/>
      <c r="M1560" s="35"/>
      <c r="N1560" s="35"/>
      <c r="O1560" s="35"/>
      <c r="P1560" s="35"/>
      <c r="Q1560" s="35"/>
      <c r="R1560" s="35"/>
      <c r="S1560" s="35"/>
      <c r="T1560" s="35"/>
      <c r="U1560" s="35"/>
      <c r="V1560" s="35"/>
      <c r="W1560" s="35"/>
      <c r="X1560" s="35"/>
      <c r="Y1560" s="35"/>
      <c r="Z1560" s="35"/>
      <c r="AA1560" s="35"/>
      <c r="AB1560" s="35"/>
      <c r="AC1560" s="35"/>
      <c r="AD1560" s="35"/>
      <c r="AE1560" s="35"/>
    </row>
    <row r="1561">
      <c r="A1561" s="30"/>
      <c r="B1561" s="35"/>
      <c r="C1561" s="35"/>
      <c r="D1561" s="35"/>
      <c r="E1561" s="35"/>
      <c r="F1561" s="33"/>
      <c r="G1561" s="33"/>
      <c r="H1561" s="33"/>
      <c r="I1561" s="33"/>
      <c r="J1561" s="33"/>
      <c r="K1561" s="35"/>
      <c r="L1561" s="35"/>
      <c r="M1561" s="35"/>
      <c r="N1561" s="35"/>
      <c r="O1561" s="35"/>
      <c r="P1561" s="35"/>
      <c r="Q1561" s="35"/>
      <c r="R1561" s="35"/>
      <c r="S1561" s="35"/>
      <c r="T1561" s="35"/>
      <c r="U1561" s="35"/>
      <c r="V1561" s="35"/>
      <c r="W1561" s="35"/>
      <c r="X1561" s="35"/>
      <c r="Y1561" s="35"/>
      <c r="Z1561" s="35"/>
      <c r="AA1561" s="35"/>
      <c r="AB1561" s="35"/>
      <c r="AC1561" s="35"/>
      <c r="AD1561" s="35"/>
      <c r="AE1561" s="35"/>
    </row>
    <row r="1562">
      <c r="A1562" s="30"/>
      <c r="B1562" s="35"/>
      <c r="C1562" s="35"/>
      <c r="D1562" s="35"/>
      <c r="E1562" s="35"/>
      <c r="F1562" s="33"/>
      <c r="G1562" s="33"/>
      <c r="H1562" s="33"/>
      <c r="I1562" s="33"/>
      <c r="J1562" s="33"/>
      <c r="K1562" s="35"/>
      <c r="L1562" s="35"/>
      <c r="M1562" s="35"/>
      <c r="N1562" s="35"/>
      <c r="O1562" s="35"/>
      <c r="P1562" s="35"/>
      <c r="Q1562" s="35"/>
      <c r="R1562" s="35"/>
      <c r="S1562" s="35"/>
      <c r="T1562" s="35"/>
      <c r="U1562" s="35"/>
      <c r="V1562" s="35"/>
      <c r="W1562" s="35"/>
      <c r="X1562" s="35"/>
      <c r="Y1562" s="35"/>
      <c r="Z1562" s="35"/>
      <c r="AA1562" s="35"/>
      <c r="AB1562" s="35"/>
      <c r="AC1562" s="35"/>
      <c r="AD1562" s="35"/>
      <c r="AE1562" s="35"/>
    </row>
    <row r="1563">
      <c r="A1563" s="30"/>
      <c r="B1563" s="35"/>
      <c r="C1563" s="35"/>
      <c r="D1563" s="35"/>
      <c r="E1563" s="35"/>
      <c r="F1563" s="33"/>
      <c r="G1563" s="33"/>
      <c r="H1563" s="33"/>
      <c r="I1563" s="33"/>
      <c r="J1563" s="33"/>
      <c r="K1563" s="35"/>
      <c r="L1563" s="35"/>
      <c r="M1563" s="35"/>
      <c r="N1563" s="35"/>
      <c r="O1563" s="35"/>
      <c r="P1563" s="35"/>
      <c r="Q1563" s="35"/>
      <c r="R1563" s="35"/>
      <c r="S1563" s="35"/>
      <c r="T1563" s="35"/>
      <c r="U1563" s="35"/>
      <c r="V1563" s="35"/>
      <c r="W1563" s="35"/>
      <c r="X1563" s="35"/>
      <c r="Y1563" s="35"/>
      <c r="Z1563" s="35"/>
      <c r="AA1563" s="35"/>
      <c r="AB1563" s="35"/>
      <c r="AC1563" s="35"/>
      <c r="AD1563" s="35"/>
      <c r="AE1563" s="35"/>
    </row>
    <row r="1564">
      <c r="A1564" s="30"/>
      <c r="B1564" s="35"/>
      <c r="C1564" s="35"/>
      <c r="D1564" s="35"/>
      <c r="E1564" s="35"/>
      <c r="F1564" s="33"/>
      <c r="G1564" s="33"/>
      <c r="H1564" s="33"/>
      <c r="I1564" s="33"/>
      <c r="J1564" s="33"/>
      <c r="K1564" s="35"/>
      <c r="L1564" s="35"/>
      <c r="M1564" s="35"/>
      <c r="N1564" s="35"/>
      <c r="O1564" s="35"/>
      <c r="P1564" s="35"/>
      <c r="Q1564" s="35"/>
      <c r="R1564" s="35"/>
      <c r="S1564" s="35"/>
      <c r="T1564" s="35"/>
      <c r="U1564" s="35"/>
      <c r="V1564" s="35"/>
      <c r="W1564" s="35"/>
      <c r="X1564" s="35"/>
      <c r="Y1564" s="35"/>
      <c r="Z1564" s="35"/>
      <c r="AA1564" s="35"/>
      <c r="AB1564" s="35"/>
      <c r="AC1564" s="35"/>
      <c r="AD1564" s="35"/>
      <c r="AE1564" s="35"/>
    </row>
    <row r="1565">
      <c r="A1565" s="30"/>
      <c r="B1565" s="35"/>
      <c r="C1565" s="35"/>
      <c r="D1565" s="35"/>
      <c r="E1565" s="35"/>
      <c r="F1565" s="33"/>
      <c r="G1565" s="33"/>
      <c r="H1565" s="33"/>
      <c r="I1565" s="33"/>
      <c r="J1565" s="33"/>
      <c r="K1565" s="35"/>
      <c r="L1565" s="35"/>
      <c r="M1565" s="35"/>
      <c r="N1565" s="35"/>
      <c r="O1565" s="35"/>
      <c r="P1565" s="35"/>
      <c r="Q1565" s="35"/>
      <c r="R1565" s="35"/>
      <c r="S1565" s="35"/>
      <c r="T1565" s="35"/>
      <c r="U1565" s="35"/>
      <c r="V1565" s="35"/>
      <c r="W1565" s="35"/>
      <c r="X1565" s="35"/>
      <c r="Y1565" s="35"/>
      <c r="Z1565" s="35"/>
      <c r="AA1565" s="35"/>
      <c r="AB1565" s="35"/>
      <c r="AC1565" s="35"/>
      <c r="AD1565" s="35"/>
      <c r="AE1565" s="35"/>
    </row>
    <row r="1566">
      <c r="A1566" s="30"/>
      <c r="B1566" s="35"/>
      <c r="C1566" s="35"/>
      <c r="D1566" s="35"/>
      <c r="E1566" s="35"/>
      <c r="F1566" s="33"/>
      <c r="G1566" s="33"/>
      <c r="H1566" s="33"/>
      <c r="I1566" s="33"/>
      <c r="J1566" s="33"/>
      <c r="K1566" s="35"/>
      <c r="L1566" s="35"/>
      <c r="M1566" s="35"/>
      <c r="N1566" s="35"/>
      <c r="O1566" s="35"/>
      <c r="P1566" s="35"/>
      <c r="Q1566" s="35"/>
      <c r="R1566" s="35"/>
      <c r="S1566" s="35"/>
      <c r="T1566" s="35"/>
      <c r="U1566" s="35"/>
      <c r="V1566" s="35"/>
      <c r="W1566" s="35"/>
      <c r="X1566" s="35"/>
      <c r="Y1566" s="35"/>
      <c r="Z1566" s="35"/>
      <c r="AA1566" s="35"/>
      <c r="AB1566" s="35"/>
      <c r="AC1566" s="35"/>
      <c r="AD1566" s="35"/>
      <c r="AE1566" s="35"/>
    </row>
    <row r="1567">
      <c r="A1567" s="30"/>
      <c r="B1567" s="35"/>
      <c r="C1567" s="35"/>
      <c r="D1567" s="35"/>
      <c r="E1567" s="35"/>
      <c r="F1567" s="33"/>
      <c r="G1567" s="33"/>
      <c r="H1567" s="33"/>
      <c r="I1567" s="33"/>
      <c r="J1567" s="33"/>
      <c r="K1567" s="35"/>
      <c r="L1567" s="35"/>
      <c r="M1567" s="35"/>
      <c r="N1567" s="35"/>
      <c r="O1567" s="35"/>
      <c r="P1567" s="35"/>
      <c r="Q1567" s="35"/>
      <c r="R1567" s="35"/>
      <c r="S1567" s="35"/>
      <c r="T1567" s="35"/>
      <c r="U1567" s="35"/>
      <c r="V1567" s="35"/>
      <c r="W1567" s="35"/>
      <c r="X1567" s="35"/>
      <c r="Y1567" s="35"/>
      <c r="Z1567" s="35"/>
      <c r="AA1567" s="35"/>
      <c r="AB1567" s="35"/>
      <c r="AC1567" s="35"/>
      <c r="AD1567" s="35"/>
      <c r="AE1567" s="35"/>
    </row>
    <row r="1568">
      <c r="A1568" s="30"/>
      <c r="B1568" s="35"/>
      <c r="C1568" s="35"/>
      <c r="D1568" s="35"/>
      <c r="E1568" s="35"/>
      <c r="F1568" s="33"/>
      <c r="G1568" s="33"/>
      <c r="H1568" s="33"/>
      <c r="I1568" s="33"/>
      <c r="J1568" s="33"/>
      <c r="K1568" s="35"/>
      <c r="L1568" s="35"/>
      <c r="M1568" s="35"/>
      <c r="N1568" s="35"/>
      <c r="O1568" s="35"/>
      <c r="P1568" s="35"/>
      <c r="Q1568" s="35"/>
      <c r="R1568" s="35"/>
      <c r="S1568" s="35"/>
      <c r="T1568" s="35"/>
      <c r="U1568" s="35"/>
      <c r="V1568" s="35"/>
      <c r="W1568" s="35"/>
      <c r="X1568" s="35"/>
      <c r="Y1568" s="35"/>
      <c r="Z1568" s="35"/>
      <c r="AA1568" s="35"/>
      <c r="AB1568" s="35"/>
      <c r="AC1568" s="35"/>
      <c r="AD1568" s="35"/>
      <c r="AE1568" s="35"/>
    </row>
    <row r="1569">
      <c r="A1569" s="30"/>
      <c r="B1569" s="35"/>
      <c r="C1569" s="35"/>
      <c r="D1569" s="35"/>
      <c r="E1569" s="35"/>
      <c r="F1569" s="33"/>
      <c r="G1569" s="33"/>
      <c r="H1569" s="33"/>
      <c r="I1569" s="33"/>
      <c r="J1569" s="33"/>
      <c r="K1569" s="35"/>
      <c r="L1569" s="35"/>
      <c r="M1569" s="35"/>
      <c r="N1569" s="35"/>
      <c r="O1569" s="35"/>
      <c r="P1569" s="35"/>
      <c r="Q1569" s="35"/>
      <c r="R1569" s="35"/>
      <c r="S1569" s="35"/>
      <c r="T1569" s="35"/>
      <c r="U1569" s="35"/>
      <c r="V1569" s="35"/>
      <c r="W1569" s="35"/>
      <c r="X1569" s="35"/>
      <c r="Y1569" s="35"/>
      <c r="Z1569" s="35"/>
      <c r="AA1569" s="35"/>
      <c r="AB1569" s="35"/>
      <c r="AC1569" s="35"/>
      <c r="AD1569" s="35"/>
      <c r="AE1569" s="35"/>
    </row>
    <row r="1570">
      <c r="A1570" s="30"/>
      <c r="B1570" s="35"/>
      <c r="C1570" s="35"/>
      <c r="D1570" s="35"/>
      <c r="E1570" s="35"/>
      <c r="F1570" s="33"/>
      <c r="G1570" s="33"/>
      <c r="H1570" s="33"/>
      <c r="I1570" s="33"/>
      <c r="J1570" s="33"/>
      <c r="K1570" s="35"/>
      <c r="L1570" s="35"/>
      <c r="M1570" s="35"/>
      <c r="N1570" s="35"/>
      <c r="O1570" s="35"/>
      <c r="P1570" s="35"/>
      <c r="Q1570" s="35"/>
      <c r="R1570" s="35"/>
      <c r="S1570" s="35"/>
      <c r="T1570" s="35"/>
      <c r="U1570" s="35"/>
      <c r="V1570" s="35"/>
      <c r="W1570" s="35"/>
      <c r="X1570" s="35"/>
      <c r="Y1570" s="35"/>
      <c r="Z1570" s="35"/>
      <c r="AA1570" s="35"/>
      <c r="AB1570" s="35"/>
      <c r="AC1570" s="35"/>
      <c r="AD1570" s="35"/>
      <c r="AE1570" s="35"/>
    </row>
    <row r="1571">
      <c r="A1571" s="30"/>
      <c r="B1571" s="35"/>
      <c r="C1571" s="35"/>
      <c r="D1571" s="35"/>
      <c r="E1571" s="35"/>
      <c r="F1571" s="33"/>
      <c r="G1571" s="33"/>
      <c r="H1571" s="33"/>
      <c r="I1571" s="33"/>
      <c r="J1571" s="33"/>
      <c r="K1571" s="35"/>
      <c r="L1571" s="35"/>
      <c r="M1571" s="35"/>
      <c r="N1571" s="35"/>
      <c r="O1571" s="35"/>
      <c r="P1571" s="35"/>
      <c r="Q1571" s="35"/>
      <c r="R1571" s="35"/>
      <c r="S1571" s="35"/>
      <c r="T1571" s="35"/>
      <c r="U1571" s="35"/>
      <c r="V1571" s="35"/>
      <c r="W1571" s="35"/>
      <c r="X1571" s="35"/>
      <c r="Y1571" s="35"/>
      <c r="Z1571" s="35"/>
      <c r="AA1571" s="35"/>
      <c r="AB1571" s="35"/>
      <c r="AC1571" s="35"/>
      <c r="AD1571" s="35"/>
      <c r="AE1571" s="35"/>
    </row>
    <row r="1572">
      <c r="A1572" s="30"/>
      <c r="B1572" s="35"/>
      <c r="C1572" s="35"/>
      <c r="D1572" s="35"/>
      <c r="E1572" s="35"/>
      <c r="F1572" s="33"/>
      <c r="G1572" s="33"/>
      <c r="H1572" s="33"/>
      <c r="I1572" s="33"/>
      <c r="J1572" s="33"/>
      <c r="K1572" s="35"/>
      <c r="L1572" s="35"/>
      <c r="M1572" s="35"/>
      <c r="N1572" s="35"/>
      <c r="O1572" s="35"/>
      <c r="P1572" s="35"/>
      <c r="Q1572" s="35"/>
      <c r="R1572" s="35"/>
      <c r="S1572" s="35"/>
      <c r="T1572" s="35"/>
      <c r="U1572" s="35"/>
      <c r="V1572" s="35"/>
      <c r="W1572" s="35"/>
      <c r="X1572" s="35"/>
      <c r="Y1572" s="35"/>
      <c r="Z1572" s="35"/>
      <c r="AA1572" s="35"/>
      <c r="AB1572" s="35"/>
      <c r="AC1572" s="35"/>
      <c r="AD1572" s="35"/>
      <c r="AE1572" s="35"/>
    </row>
    <row r="1573">
      <c r="A1573" s="30"/>
      <c r="B1573" s="35"/>
      <c r="C1573" s="35"/>
      <c r="D1573" s="35"/>
      <c r="E1573" s="35"/>
      <c r="F1573" s="33"/>
      <c r="G1573" s="33"/>
      <c r="H1573" s="33"/>
      <c r="I1573" s="33"/>
      <c r="J1573" s="33"/>
      <c r="K1573" s="35"/>
      <c r="L1573" s="35"/>
      <c r="M1573" s="35"/>
      <c r="N1573" s="35"/>
      <c r="O1573" s="35"/>
      <c r="P1573" s="35"/>
      <c r="Q1573" s="35"/>
      <c r="R1573" s="35"/>
      <c r="S1573" s="35"/>
      <c r="T1573" s="35"/>
      <c r="U1573" s="35"/>
      <c r="V1573" s="35"/>
      <c r="W1573" s="35"/>
      <c r="X1573" s="35"/>
      <c r="Y1573" s="35"/>
      <c r="Z1573" s="35"/>
      <c r="AA1573" s="35"/>
      <c r="AB1573" s="35"/>
      <c r="AC1573" s="35"/>
      <c r="AD1573" s="35"/>
      <c r="AE1573" s="35"/>
    </row>
    <row r="1574">
      <c r="A1574" s="30"/>
      <c r="B1574" s="35"/>
      <c r="C1574" s="35"/>
      <c r="D1574" s="35"/>
      <c r="E1574" s="35"/>
      <c r="F1574" s="33"/>
      <c r="G1574" s="33"/>
      <c r="H1574" s="33"/>
      <c r="I1574" s="33"/>
      <c r="J1574" s="33"/>
      <c r="K1574" s="35"/>
      <c r="L1574" s="35"/>
      <c r="M1574" s="35"/>
      <c r="N1574" s="35"/>
      <c r="O1574" s="35"/>
      <c r="P1574" s="35"/>
      <c r="Q1574" s="35"/>
      <c r="R1574" s="35"/>
      <c r="S1574" s="35"/>
      <c r="T1574" s="35"/>
      <c r="U1574" s="35"/>
      <c r="V1574" s="35"/>
      <c r="W1574" s="35"/>
      <c r="X1574" s="35"/>
      <c r="Y1574" s="35"/>
      <c r="Z1574" s="35"/>
      <c r="AA1574" s="35"/>
      <c r="AB1574" s="35"/>
      <c r="AC1574" s="35"/>
      <c r="AD1574" s="35"/>
      <c r="AE1574" s="35"/>
    </row>
    <row r="1575">
      <c r="A1575" s="30"/>
      <c r="B1575" s="35"/>
      <c r="C1575" s="35"/>
      <c r="D1575" s="35"/>
      <c r="E1575" s="35"/>
      <c r="F1575" s="33"/>
      <c r="G1575" s="33"/>
      <c r="H1575" s="33"/>
      <c r="I1575" s="33"/>
      <c r="J1575" s="33"/>
      <c r="K1575" s="35"/>
      <c r="L1575" s="35"/>
      <c r="M1575" s="35"/>
      <c r="N1575" s="35"/>
      <c r="O1575" s="35"/>
      <c r="P1575" s="35"/>
      <c r="Q1575" s="35"/>
      <c r="R1575" s="35"/>
      <c r="S1575" s="35"/>
      <c r="T1575" s="35"/>
      <c r="U1575" s="35"/>
      <c r="V1575" s="35"/>
      <c r="W1575" s="35"/>
      <c r="X1575" s="35"/>
      <c r="Y1575" s="35"/>
      <c r="Z1575" s="35"/>
      <c r="AA1575" s="35"/>
      <c r="AB1575" s="35"/>
      <c r="AC1575" s="35"/>
      <c r="AD1575" s="35"/>
      <c r="AE1575" s="35"/>
    </row>
    <row r="1576">
      <c r="A1576" s="30"/>
      <c r="B1576" s="35"/>
      <c r="C1576" s="35"/>
      <c r="D1576" s="35"/>
      <c r="E1576" s="35"/>
      <c r="F1576" s="33"/>
      <c r="G1576" s="33"/>
      <c r="H1576" s="33"/>
      <c r="I1576" s="33"/>
      <c r="J1576" s="33"/>
      <c r="K1576" s="35"/>
      <c r="L1576" s="35"/>
      <c r="M1576" s="35"/>
      <c r="N1576" s="35"/>
      <c r="O1576" s="35"/>
      <c r="P1576" s="35"/>
      <c r="Q1576" s="35"/>
      <c r="R1576" s="35"/>
      <c r="S1576" s="35"/>
      <c r="T1576" s="35"/>
      <c r="U1576" s="35"/>
      <c r="V1576" s="35"/>
      <c r="W1576" s="35"/>
      <c r="X1576" s="35"/>
      <c r="Y1576" s="35"/>
      <c r="Z1576" s="35"/>
      <c r="AA1576" s="35"/>
      <c r="AB1576" s="35"/>
      <c r="AC1576" s="35"/>
      <c r="AD1576" s="35"/>
      <c r="AE1576" s="35"/>
    </row>
    <row r="1577">
      <c r="A1577" s="30"/>
      <c r="B1577" s="35"/>
      <c r="C1577" s="35"/>
      <c r="D1577" s="35"/>
      <c r="E1577" s="35"/>
      <c r="F1577" s="33"/>
      <c r="G1577" s="33"/>
      <c r="H1577" s="33"/>
      <c r="I1577" s="33"/>
      <c r="J1577" s="33"/>
      <c r="K1577" s="35"/>
      <c r="L1577" s="35"/>
      <c r="M1577" s="35"/>
      <c r="N1577" s="35"/>
      <c r="O1577" s="35"/>
      <c r="P1577" s="35"/>
      <c r="Q1577" s="35"/>
      <c r="R1577" s="35"/>
      <c r="S1577" s="35"/>
      <c r="T1577" s="35"/>
      <c r="U1577" s="35"/>
      <c r="V1577" s="35"/>
      <c r="W1577" s="35"/>
      <c r="X1577" s="35"/>
      <c r="Y1577" s="35"/>
      <c r="Z1577" s="35"/>
      <c r="AA1577" s="35"/>
      <c r="AB1577" s="35"/>
      <c r="AC1577" s="35"/>
      <c r="AD1577" s="35"/>
      <c r="AE1577" s="35"/>
    </row>
    <row r="1578">
      <c r="A1578" s="30"/>
      <c r="B1578" s="35"/>
      <c r="C1578" s="35"/>
      <c r="D1578" s="35"/>
      <c r="E1578" s="35"/>
      <c r="F1578" s="33"/>
      <c r="G1578" s="33"/>
      <c r="H1578" s="33"/>
      <c r="I1578" s="33"/>
      <c r="J1578" s="33"/>
      <c r="K1578" s="35"/>
      <c r="L1578" s="35"/>
      <c r="M1578" s="35"/>
      <c r="N1578" s="35"/>
      <c r="O1578" s="35"/>
      <c r="P1578" s="35"/>
      <c r="Q1578" s="35"/>
      <c r="R1578" s="35"/>
      <c r="S1578" s="35"/>
      <c r="T1578" s="35"/>
      <c r="U1578" s="35"/>
      <c r="V1578" s="35"/>
      <c r="W1578" s="35"/>
      <c r="X1578" s="35"/>
      <c r="Y1578" s="35"/>
      <c r="Z1578" s="35"/>
      <c r="AA1578" s="35"/>
      <c r="AB1578" s="35"/>
      <c r="AC1578" s="35"/>
      <c r="AD1578" s="35"/>
      <c r="AE1578" s="35"/>
    </row>
    <row r="1579">
      <c r="A1579" s="30"/>
      <c r="B1579" s="35"/>
      <c r="C1579" s="35"/>
      <c r="D1579" s="35"/>
      <c r="E1579" s="35"/>
      <c r="F1579" s="33"/>
      <c r="G1579" s="33"/>
      <c r="H1579" s="33"/>
      <c r="I1579" s="33"/>
      <c r="J1579" s="33"/>
      <c r="K1579" s="35"/>
      <c r="L1579" s="35"/>
      <c r="M1579" s="35"/>
      <c r="N1579" s="35"/>
      <c r="O1579" s="35"/>
      <c r="P1579" s="35"/>
      <c r="Q1579" s="35"/>
      <c r="R1579" s="35"/>
      <c r="S1579" s="35"/>
      <c r="T1579" s="35"/>
      <c r="U1579" s="35"/>
      <c r="V1579" s="35"/>
      <c r="W1579" s="35"/>
      <c r="X1579" s="35"/>
      <c r="Y1579" s="35"/>
      <c r="Z1579" s="35"/>
      <c r="AA1579" s="35"/>
      <c r="AB1579" s="35"/>
      <c r="AC1579" s="35"/>
      <c r="AD1579" s="35"/>
      <c r="AE1579" s="35"/>
    </row>
    <row r="1580">
      <c r="A1580" s="30"/>
      <c r="B1580" s="35"/>
      <c r="C1580" s="35"/>
      <c r="D1580" s="35"/>
      <c r="E1580" s="35"/>
      <c r="F1580" s="33"/>
      <c r="G1580" s="33"/>
      <c r="H1580" s="33"/>
      <c r="I1580" s="33"/>
      <c r="J1580" s="33"/>
      <c r="K1580" s="35"/>
      <c r="L1580" s="35"/>
      <c r="M1580" s="35"/>
      <c r="N1580" s="35"/>
      <c r="O1580" s="35"/>
      <c r="P1580" s="35"/>
      <c r="Q1580" s="35"/>
      <c r="R1580" s="35"/>
      <c r="S1580" s="35"/>
      <c r="T1580" s="35"/>
      <c r="U1580" s="35"/>
      <c r="V1580" s="35"/>
      <c r="W1580" s="35"/>
      <c r="X1580" s="35"/>
      <c r="Y1580" s="35"/>
      <c r="Z1580" s="35"/>
      <c r="AA1580" s="35"/>
      <c r="AB1580" s="35"/>
      <c r="AC1580" s="35"/>
      <c r="AD1580" s="35"/>
      <c r="AE1580" s="35"/>
    </row>
    <row r="1581">
      <c r="A1581" s="30"/>
      <c r="B1581" s="35"/>
      <c r="C1581" s="35"/>
      <c r="D1581" s="35"/>
      <c r="E1581" s="35"/>
      <c r="F1581" s="33"/>
      <c r="G1581" s="33"/>
      <c r="H1581" s="33"/>
      <c r="I1581" s="33"/>
      <c r="J1581" s="33"/>
      <c r="K1581" s="35"/>
      <c r="L1581" s="35"/>
      <c r="M1581" s="35"/>
      <c r="N1581" s="35"/>
      <c r="O1581" s="35"/>
      <c r="P1581" s="35"/>
      <c r="Q1581" s="35"/>
      <c r="R1581" s="35"/>
      <c r="S1581" s="35"/>
      <c r="T1581" s="35"/>
      <c r="U1581" s="35"/>
      <c r="V1581" s="35"/>
      <c r="W1581" s="35"/>
      <c r="X1581" s="35"/>
      <c r="Y1581" s="35"/>
      <c r="Z1581" s="35"/>
      <c r="AA1581" s="35"/>
      <c r="AB1581" s="35"/>
      <c r="AC1581" s="35"/>
      <c r="AD1581" s="35"/>
      <c r="AE1581" s="35"/>
    </row>
    <row r="1582">
      <c r="A1582" s="30"/>
      <c r="B1582" s="35"/>
      <c r="C1582" s="35"/>
      <c r="D1582" s="35"/>
      <c r="E1582" s="35"/>
      <c r="F1582" s="33"/>
      <c r="G1582" s="33"/>
      <c r="H1582" s="33"/>
      <c r="I1582" s="33"/>
      <c r="J1582" s="33"/>
      <c r="K1582" s="35"/>
      <c r="L1582" s="35"/>
      <c r="M1582" s="35"/>
      <c r="N1582" s="35"/>
      <c r="O1582" s="35"/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5"/>
      <c r="AA1582" s="35"/>
      <c r="AB1582" s="35"/>
      <c r="AC1582" s="35"/>
      <c r="AD1582" s="35"/>
      <c r="AE1582" s="35"/>
    </row>
    <row r="1583">
      <c r="A1583" s="30"/>
      <c r="B1583" s="35"/>
      <c r="C1583" s="35"/>
      <c r="D1583" s="35"/>
      <c r="E1583" s="35"/>
      <c r="F1583" s="33"/>
      <c r="G1583" s="33"/>
      <c r="H1583" s="33"/>
      <c r="I1583" s="33"/>
      <c r="J1583" s="33"/>
      <c r="K1583" s="35"/>
      <c r="L1583" s="35"/>
      <c r="M1583" s="35"/>
      <c r="N1583" s="35"/>
      <c r="O1583" s="35"/>
      <c r="P1583" s="35"/>
      <c r="Q1583" s="35"/>
      <c r="R1583" s="35"/>
      <c r="S1583" s="35"/>
      <c r="T1583" s="35"/>
      <c r="U1583" s="35"/>
      <c r="V1583" s="35"/>
      <c r="W1583" s="35"/>
      <c r="X1583" s="35"/>
      <c r="Y1583" s="35"/>
      <c r="Z1583" s="35"/>
      <c r="AA1583" s="35"/>
      <c r="AB1583" s="35"/>
      <c r="AC1583" s="35"/>
      <c r="AD1583" s="35"/>
      <c r="AE1583" s="35"/>
    </row>
    <row r="1584">
      <c r="A1584" s="30"/>
      <c r="B1584" s="35"/>
      <c r="C1584" s="35"/>
      <c r="D1584" s="35"/>
      <c r="E1584" s="35"/>
      <c r="F1584" s="33"/>
      <c r="G1584" s="33"/>
      <c r="H1584" s="33"/>
      <c r="I1584" s="33"/>
      <c r="J1584" s="33"/>
      <c r="K1584" s="35"/>
      <c r="L1584" s="35"/>
      <c r="M1584" s="35"/>
      <c r="N1584" s="35"/>
      <c r="O1584" s="35"/>
      <c r="P1584" s="35"/>
      <c r="Q1584" s="35"/>
      <c r="R1584" s="35"/>
      <c r="S1584" s="35"/>
      <c r="T1584" s="35"/>
      <c r="U1584" s="35"/>
      <c r="V1584" s="35"/>
      <c r="W1584" s="35"/>
      <c r="X1584" s="35"/>
      <c r="Y1584" s="35"/>
      <c r="Z1584" s="35"/>
      <c r="AA1584" s="35"/>
      <c r="AB1584" s="35"/>
      <c r="AC1584" s="35"/>
      <c r="AD1584" s="35"/>
      <c r="AE1584" s="35"/>
    </row>
    <row r="1585">
      <c r="A1585" s="30"/>
      <c r="B1585" s="35"/>
      <c r="C1585" s="35"/>
      <c r="D1585" s="35"/>
      <c r="E1585" s="35"/>
      <c r="F1585" s="33"/>
      <c r="G1585" s="33"/>
      <c r="H1585" s="33"/>
      <c r="I1585" s="33"/>
      <c r="J1585" s="33"/>
      <c r="K1585" s="35"/>
      <c r="L1585" s="35"/>
      <c r="M1585" s="35"/>
      <c r="N1585" s="35"/>
      <c r="O1585" s="35"/>
      <c r="P1585" s="35"/>
      <c r="Q1585" s="35"/>
      <c r="R1585" s="35"/>
      <c r="S1585" s="35"/>
      <c r="T1585" s="35"/>
      <c r="U1585" s="35"/>
      <c r="V1585" s="35"/>
      <c r="W1585" s="35"/>
      <c r="X1585" s="35"/>
      <c r="Y1585" s="35"/>
      <c r="Z1585" s="35"/>
      <c r="AA1585" s="35"/>
      <c r="AB1585" s="35"/>
      <c r="AC1585" s="35"/>
      <c r="AD1585" s="35"/>
      <c r="AE1585" s="35"/>
    </row>
    <row r="1586">
      <c r="A1586" s="30"/>
      <c r="B1586" s="35"/>
      <c r="C1586" s="35"/>
      <c r="D1586" s="35"/>
      <c r="E1586" s="35"/>
      <c r="F1586" s="33"/>
      <c r="G1586" s="33"/>
      <c r="H1586" s="33"/>
      <c r="I1586" s="33"/>
      <c r="J1586" s="33"/>
      <c r="K1586" s="35"/>
      <c r="L1586" s="35"/>
      <c r="M1586" s="35"/>
      <c r="N1586" s="35"/>
      <c r="O1586" s="35"/>
      <c r="P1586" s="35"/>
      <c r="Q1586" s="35"/>
      <c r="R1586" s="35"/>
      <c r="S1586" s="35"/>
      <c r="T1586" s="35"/>
      <c r="U1586" s="35"/>
      <c r="V1586" s="35"/>
      <c r="W1586" s="35"/>
      <c r="X1586" s="35"/>
      <c r="Y1586" s="35"/>
      <c r="Z1586" s="35"/>
      <c r="AA1586" s="35"/>
      <c r="AB1586" s="35"/>
      <c r="AC1586" s="35"/>
      <c r="AD1586" s="35"/>
      <c r="AE1586" s="35"/>
    </row>
    <row r="1587">
      <c r="A1587" s="30"/>
      <c r="B1587" s="35"/>
      <c r="C1587" s="35"/>
      <c r="D1587" s="35"/>
      <c r="E1587" s="35"/>
      <c r="F1587" s="33"/>
      <c r="G1587" s="33"/>
      <c r="H1587" s="33"/>
      <c r="I1587" s="33"/>
      <c r="J1587" s="33"/>
      <c r="K1587" s="35"/>
      <c r="L1587" s="35"/>
      <c r="M1587" s="35"/>
      <c r="N1587" s="35"/>
      <c r="O1587" s="35"/>
      <c r="P1587" s="35"/>
      <c r="Q1587" s="35"/>
      <c r="R1587" s="35"/>
      <c r="S1587" s="35"/>
      <c r="T1587" s="35"/>
      <c r="U1587" s="35"/>
      <c r="V1587" s="35"/>
      <c r="W1587" s="35"/>
      <c r="X1587" s="35"/>
      <c r="Y1587" s="35"/>
      <c r="Z1587" s="35"/>
      <c r="AA1587" s="35"/>
      <c r="AB1587" s="35"/>
      <c r="AC1587" s="35"/>
      <c r="AD1587" s="35"/>
      <c r="AE1587" s="35"/>
    </row>
    <row r="1588">
      <c r="A1588" s="30"/>
      <c r="B1588" s="35"/>
      <c r="C1588" s="35"/>
      <c r="D1588" s="35"/>
      <c r="E1588" s="35"/>
      <c r="F1588" s="33"/>
      <c r="G1588" s="33"/>
      <c r="H1588" s="33"/>
      <c r="I1588" s="33"/>
      <c r="J1588" s="33"/>
      <c r="K1588" s="35"/>
      <c r="L1588" s="35"/>
      <c r="M1588" s="35"/>
      <c r="N1588" s="35"/>
      <c r="O1588" s="35"/>
      <c r="P1588" s="35"/>
      <c r="Q1588" s="35"/>
      <c r="R1588" s="35"/>
      <c r="S1588" s="35"/>
      <c r="T1588" s="35"/>
      <c r="U1588" s="35"/>
      <c r="V1588" s="35"/>
      <c r="W1588" s="35"/>
      <c r="X1588" s="35"/>
      <c r="Y1588" s="35"/>
      <c r="Z1588" s="35"/>
      <c r="AA1588" s="35"/>
      <c r="AB1588" s="35"/>
      <c r="AC1588" s="35"/>
      <c r="AD1588" s="35"/>
      <c r="AE1588" s="35"/>
    </row>
    <row r="1589">
      <c r="A1589" s="30"/>
      <c r="B1589" s="35"/>
      <c r="C1589" s="35"/>
      <c r="D1589" s="35"/>
      <c r="E1589" s="35"/>
      <c r="F1589" s="33"/>
      <c r="G1589" s="33"/>
      <c r="H1589" s="33"/>
      <c r="I1589" s="33"/>
      <c r="J1589" s="33"/>
      <c r="K1589" s="35"/>
      <c r="L1589" s="35"/>
      <c r="M1589" s="35"/>
      <c r="N1589" s="35"/>
      <c r="O1589" s="35"/>
      <c r="P1589" s="35"/>
      <c r="Q1589" s="35"/>
      <c r="R1589" s="35"/>
      <c r="S1589" s="35"/>
      <c r="T1589" s="35"/>
      <c r="U1589" s="35"/>
      <c r="V1589" s="35"/>
      <c r="W1589" s="35"/>
      <c r="X1589" s="35"/>
      <c r="Y1589" s="35"/>
      <c r="Z1589" s="35"/>
      <c r="AA1589" s="35"/>
      <c r="AB1589" s="35"/>
      <c r="AC1589" s="35"/>
      <c r="AD1589" s="35"/>
      <c r="AE1589" s="35"/>
    </row>
    <row r="1590">
      <c r="A1590" s="30"/>
      <c r="B1590" s="35"/>
      <c r="C1590" s="35"/>
      <c r="D1590" s="35"/>
      <c r="E1590" s="35"/>
      <c r="F1590" s="33"/>
      <c r="G1590" s="33"/>
      <c r="H1590" s="33"/>
      <c r="I1590" s="33"/>
      <c r="J1590" s="33"/>
      <c r="K1590" s="35"/>
      <c r="L1590" s="35"/>
      <c r="M1590" s="35"/>
      <c r="N1590" s="35"/>
      <c r="O1590" s="35"/>
      <c r="P1590" s="35"/>
      <c r="Q1590" s="35"/>
      <c r="R1590" s="35"/>
      <c r="S1590" s="35"/>
      <c r="T1590" s="35"/>
      <c r="U1590" s="35"/>
      <c r="V1590" s="35"/>
      <c r="W1590" s="35"/>
      <c r="X1590" s="35"/>
      <c r="Y1590" s="35"/>
      <c r="Z1590" s="35"/>
      <c r="AA1590" s="35"/>
      <c r="AB1590" s="35"/>
      <c r="AC1590" s="35"/>
      <c r="AD1590" s="35"/>
      <c r="AE1590" s="35"/>
    </row>
    <row r="1591">
      <c r="A1591" s="30"/>
      <c r="B1591" s="35"/>
      <c r="C1591" s="35"/>
      <c r="D1591" s="35"/>
      <c r="E1591" s="35"/>
      <c r="F1591" s="33"/>
      <c r="G1591" s="33"/>
      <c r="H1591" s="33"/>
      <c r="I1591" s="33"/>
      <c r="J1591" s="33"/>
      <c r="K1591" s="35"/>
      <c r="L1591" s="35"/>
      <c r="M1591" s="35"/>
      <c r="N1591" s="35"/>
      <c r="O1591" s="35"/>
      <c r="P1591" s="35"/>
      <c r="Q1591" s="35"/>
      <c r="R1591" s="35"/>
      <c r="S1591" s="35"/>
      <c r="T1591" s="35"/>
      <c r="U1591" s="35"/>
      <c r="V1591" s="35"/>
      <c r="W1591" s="35"/>
      <c r="X1591" s="35"/>
      <c r="Y1591" s="35"/>
      <c r="Z1591" s="35"/>
      <c r="AA1591" s="35"/>
      <c r="AB1591" s="35"/>
      <c r="AC1591" s="35"/>
      <c r="AD1591" s="35"/>
      <c r="AE1591" s="35"/>
    </row>
    <row r="1592">
      <c r="A1592" s="30"/>
      <c r="B1592" s="35"/>
      <c r="C1592" s="35"/>
      <c r="D1592" s="35"/>
      <c r="E1592" s="35"/>
      <c r="F1592" s="33"/>
      <c r="G1592" s="33"/>
      <c r="H1592" s="33"/>
      <c r="I1592" s="33"/>
      <c r="J1592" s="33"/>
      <c r="K1592" s="35"/>
      <c r="L1592" s="35"/>
      <c r="M1592" s="35"/>
      <c r="N1592" s="35"/>
      <c r="O1592" s="35"/>
      <c r="P1592" s="35"/>
      <c r="Q1592" s="35"/>
      <c r="R1592" s="35"/>
      <c r="S1592" s="35"/>
      <c r="T1592" s="35"/>
      <c r="U1592" s="35"/>
      <c r="V1592" s="35"/>
      <c r="W1592" s="35"/>
      <c r="X1592" s="35"/>
      <c r="Y1592" s="35"/>
      <c r="Z1592" s="35"/>
      <c r="AA1592" s="35"/>
      <c r="AB1592" s="35"/>
      <c r="AC1592" s="35"/>
      <c r="AD1592" s="35"/>
      <c r="AE1592" s="35"/>
    </row>
    <row r="1593">
      <c r="A1593" s="30"/>
      <c r="B1593" s="35"/>
      <c r="C1593" s="35"/>
      <c r="D1593" s="35"/>
      <c r="E1593" s="35"/>
      <c r="F1593" s="33"/>
      <c r="G1593" s="33"/>
      <c r="H1593" s="33"/>
      <c r="I1593" s="33"/>
      <c r="J1593" s="33"/>
      <c r="K1593" s="35"/>
      <c r="L1593" s="35"/>
      <c r="M1593" s="35"/>
      <c r="N1593" s="35"/>
      <c r="O1593" s="35"/>
      <c r="P1593" s="35"/>
      <c r="Q1593" s="35"/>
      <c r="R1593" s="35"/>
      <c r="S1593" s="35"/>
      <c r="T1593" s="35"/>
      <c r="U1593" s="35"/>
      <c r="V1593" s="35"/>
      <c r="W1593" s="35"/>
      <c r="X1593" s="35"/>
      <c r="Y1593" s="35"/>
      <c r="Z1593" s="35"/>
      <c r="AA1593" s="35"/>
      <c r="AB1593" s="35"/>
      <c r="AC1593" s="35"/>
      <c r="AD1593" s="35"/>
      <c r="AE1593" s="35"/>
    </row>
    <row r="1594">
      <c r="A1594" s="30"/>
      <c r="B1594" s="35"/>
      <c r="C1594" s="35"/>
      <c r="D1594" s="35"/>
      <c r="E1594" s="35"/>
      <c r="F1594" s="33"/>
      <c r="G1594" s="33"/>
      <c r="H1594" s="33"/>
      <c r="I1594" s="33"/>
      <c r="J1594" s="33"/>
      <c r="K1594" s="35"/>
      <c r="L1594" s="35"/>
      <c r="M1594" s="35"/>
      <c r="N1594" s="35"/>
      <c r="O1594" s="35"/>
      <c r="P1594" s="35"/>
      <c r="Q1594" s="35"/>
      <c r="R1594" s="35"/>
      <c r="S1594" s="35"/>
      <c r="T1594" s="35"/>
      <c r="U1594" s="35"/>
      <c r="V1594" s="35"/>
      <c r="W1594" s="35"/>
      <c r="X1594" s="35"/>
      <c r="Y1594" s="35"/>
      <c r="Z1594" s="35"/>
      <c r="AA1594" s="35"/>
      <c r="AB1594" s="35"/>
      <c r="AC1594" s="35"/>
      <c r="AD1594" s="35"/>
      <c r="AE1594" s="35"/>
    </row>
    <row r="1595">
      <c r="A1595" s="30"/>
      <c r="B1595" s="35"/>
      <c r="C1595" s="35"/>
      <c r="D1595" s="35"/>
      <c r="E1595" s="35"/>
      <c r="F1595" s="33"/>
      <c r="G1595" s="33"/>
      <c r="H1595" s="33"/>
      <c r="I1595" s="33"/>
      <c r="J1595" s="33"/>
      <c r="K1595" s="35"/>
      <c r="L1595" s="35"/>
      <c r="M1595" s="35"/>
      <c r="N1595" s="35"/>
      <c r="O1595" s="35"/>
      <c r="P1595" s="35"/>
      <c r="Q1595" s="35"/>
      <c r="R1595" s="35"/>
      <c r="S1595" s="35"/>
      <c r="T1595" s="35"/>
      <c r="U1595" s="35"/>
      <c r="V1595" s="35"/>
      <c r="W1595" s="35"/>
      <c r="X1595" s="35"/>
      <c r="Y1595" s="35"/>
      <c r="Z1595" s="35"/>
      <c r="AA1595" s="35"/>
      <c r="AB1595" s="35"/>
      <c r="AC1595" s="35"/>
      <c r="AD1595" s="35"/>
      <c r="AE1595" s="35"/>
    </row>
    <row r="1596">
      <c r="A1596" s="30"/>
      <c r="B1596" s="35"/>
      <c r="C1596" s="35"/>
      <c r="D1596" s="35"/>
      <c r="E1596" s="35"/>
      <c r="F1596" s="33"/>
      <c r="G1596" s="33"/>
      <c r="H1596" s="33"/>
      <c r="I1596" s="33"/>
      <c r="J1596" s="33"/>
      <c r="K1596" s="35"/>
      <c r="L1596" s="35"/>
      <c r="M1596" s="35"/>
      <c r="N1596" s="35"/>
      <c r="O1596" s="35"/>
      <c r="P1596" s="35"/>
      <c r="Q1596" s="35"/>
      <c r="R1596" s="35"/>
      <c r="S1596" s="35"/>
      <c r="T1596" s="35"/>
      <c r="U1596" s="35"/>
      <c r="V1596" s="35"/>
      <c r="W1596" s="35"/>
      <c r="X1596" s="35"/>
      <c r="Y1596" s="35"/>
      <c r="Z1596" s="35"/>
      <c r="AA1596" s="35"/>
      <c r="AB1596" s="35"/>
      <c r="AC1596" s="35"/>
      <c r="AD1596" s="35"/>
      <c r="AE1596" s="35"/>
    </row>
    <row r="1597">
      <c r="A1597" s="30"/>
      <c r="B1597" s="35"/>
      <c r="C1597" s="35"/>
      <c r="D1597" s="35"/>
      <c r="E1597" s="35"/>
      <c r="F1597" s="33"/>
      <c r="G1597" s="33"/>
      <c r="H1597" s="33"/>
      <c r="I1597" s="33"/>
      <c r="J1597" s="33"/>
      <c r="K1597" s="35"/>
      <c r="L1597" s="35"/>
      <c r="M1597" s="35"/>
      <c r="N1597" s="35"/>
      <c r="O1597" s="35"/>
      <c r="P1597" s="35"/>
      <c r="Q1597" s="35"/>
      <c r="R1597" s="35"/>
      <c r="S1597" s="35"/>
      <c r="T1597" s="35"/>
      <c r="U1597" s="35"/>
      <c r="V1597" s="35"/>
      <c r="W1597" s="35"/>
      <c r="X1597" s="35"/>
      <c r="Y1597" s="35"/>
      <c r="Z1597" s="35"/>
      <c r="AA1597" s="35"/>
      <c r="AB1597" s="35"/>
      <c r="AC1597" s="35"/>
      <c r="AD1597" s="35"/>
      <c r="AE1597" s="35"/>
    </row>
    <row r="1598">
      <c r="A1598" s="30"/>
      <c r="B1598" s="35"/>
      <c r="C1598" s="35"/>
      <c r="D1598" s="35"/>
      <c r="E1598" s="35"/>
      <c r="F1598" s="33"/>
      <c r="G1598" s="33"/>
      <c r="H1598" s="33"/>
      <c r="I1598" s="33"/>
      <c r="J1598" s="33"/>
      <c r="K1598" s="35"/>
      <c r="L1598" s="35"/>
      <c r="M1598" s="35"/>
      <c r="N1598" s="35"/>
      <c r="O1598" s="35"/>
      <c r="P1598" s="35"/>
      <c r="Q1598" s="35"/>
      <c r="R1598" s="35"/>
      <c r="S1598" s="35"/>
      <c r="T1598" s="35"/>
      <c r="U1598" s="35"/>
      <c r="V1598" s="35"/>
      <c r="W1598" s="35"/>
      <c r="X1598" s="35"/>
      <c r="Y1598" s="35"/>
      <c r="Z1598" s="35"/>
      <c r="AA1598" s="35"/>
      <c r="AB1598" s="35"/>
      <c r="AC1598" s="35"/>
      <c r="AD1598" s="35"/>
      <c r="AE1598" s="35"/>
    </row>
    <row r="1599">
      <c r="A1599" s="30"/>
      <c r="B1599" s="35"/>
      <c r="C1599" s="35"/>
      <c r="D1599" s="35"/>
      <c r="E1599" s="35"/>
      <c r="F1599" s="33"/>
      <c r="G1599" s="33"/>
      <c r="H1599" s="33"/>
      <c r="I1599" s="33"/>
      <c r="J1599" s="33"/>
      <c r="K1599" s="35"/>
      <c r="L1599" s="35"/>
      <c r="M1599" s="35"/>
      <c r="N1599" s="35"/>
      <c r="O1599" s="35"/>
      <c r="P1599" s="35"/>
      <c r="Q1599" s="35"/>
      <c r="R1599" s="35"/>
      <c r="S1599" s="35"/>
      <c r="T1599" s="35"/>
      <c r="U1599" s="35"/>
      <c r="V1599" s="35"/>
      <c r="W1599" s="35"/>
      <c r="X1599" s="35"/>
      <c r="Y1599" s="35"/>
      <c r="Z1599" s="35"/>
      <c r="AA1599" s="35"/>
      <c r="AB1599" s="35"/>
      <c r="AC1599" s="35"/>
      <c r="AD1599" s="35"/>
      <c r="AE1599" s="35"/>
    </row>
    <row r="1600">
      <c r="A1600" s="30"/>
      <c r="B1600" s="35"/>
      <c r="C1600" s="35"/>
      <c r="D1600" s="35"/>
      <c r="E1600" s="35"/>
      <c r="F1600" s="33"/>
      <c r="G1600" s="33"/>
      <c r="H1600" s="33"/>
      <c r="I1600" s="33"/>
      <c r="J1600" s="33"/>
      <c r="K1600" s="35"/>
      <c r="L1600" s="35"/>
      <c r="M1600" s="35"/>
      <c r="N1600" s="35"/>
      <c r="O1600" s="35"/>
      <c r="P1600" s="35"/>
      <c r="Q1600" s="35"/>
      <c r="R1600" s="35"/>
      <c r="S1600" s="35"/>
      <c r="T1600" s="35"/>
      <c r="U1600" s="35"/>
      <c r="V1600" s="35"/>
      <c r="W1600" s="35"/>
      <c r="X1600" s="35"/>
      <c r="Y1600" s="35"/>
      <c r="Z1600" s="35"/>
      <c r="AA1600" s="35"/>
      <c r="AB1600" s="35"/>
      <c r="AC1600" s="35"/>
      <c r="AD1600" s="35"/>
      <c r="AE1600" s="35"/>
    </row>
    <row r="1601">
      <c r="A1601" s="30"/>
      <c r="B1601" s="35"/>
      <c r="C1601" s="35"/>
      <c r="D1601" s="35"/>
      <c r="E1601" s="35"/>
      <c r="F1601" s="33"/>
      <c r="G1601" s="33"/>
      <c r="H1601" s="33"/>
      <c r="I1601" s="33"/>
      <c r="J1601" s="33"/>
      <c r="K1601" s="35"/>
      <c r="L1601" s="35"/>
      <c r="M1601" s="35"/>
      <c r="N1601" s="35"/>
      <c r="O1601" s="35"/>
      <c r="P1601" s="35"/>
      <c r="Q1601" s="35"/>
      <c r="R1601" s="35"/>
      <c r="S1601" s="35"/>
      <c r="T1601" s="35"/>
      <c r="U1601" s="35"/>
      <c r="V1601" s="35"/>
      <c r="W1601" s="35"/>
      <c r="X1601" s="35"/>
      <c r="Y1601" s="35"/>
      <c r="Z1601" s="35"/>
      <c r="AA1601" s="35"/>
      <c r="AB1601" s="35"/>
      <c r="AC1601" s="35"/>
      <c r="AD1601" s="35"/>
      <c r="AE1601" s="35"/>
    </row>
    <row r="1602">
      <c r="A1602" s="30"/>
      <c r="B1602" s="35"/>
      <c r="C1602" s="35"/>
      <c r="D1602" s="35"/>
      <c r="E1602" s="35"/>
      <c r="F1602" s="33"/>
      <c r="G1602" s="33"/>
      <c r="H1602" s="33"/>
      <c r="I1602" s="33"/>
      <c r="J1602" s="33"/>
      <c r="K1602" s="35"/>
      <c r="L1602" s="35"/>
      <c r="M1602" s="35"/>
      <c r="N1602" s="35"/>
      <c r="O1602" s="35"/>
      <c r="P1602" s="35"/>
      <c r="Q1602" s="35"/>
      <c r="R1602" s="35"/>
      <c r="S1602" s="35"/>
      <c r="T1602" s="35"/>
      <c r="U1602" s="35"/>
      <c r="V1602" s="35"/>
      <c r="W1602" s="35"/>
      <c r="X1602" s="35"/>
      <c r="Y1602" s="35"/>
      <c r="Z1602" s="35"/>
      <c r="AA1602" s="35"/>
      <c r="AB1602" s="35"/>
      <c r="AC1602" s="35"/>
      <c r="AD1602" s="35"/>
      <c r="AE1602" s="35"/>
    </row>
    <row r="1603">
      <c r="A1603" s="30"/>
      <c r="B1603" s="35"/>
      <c r="C1603" s="35"/>
      <c r="D1603" s="35"/>
      <c r="E1603" s="35"/>
      <c r="F1603" s="33"/>
      <c r="G1603" s="33"/>
      <c r="H1603" s="33"/>
      <c r="I1603" s="33"/>
      <c r="J1603" s="33"/>
      <c r="K1603" s="35"/>
      <c r="L1603" s="35"/>
      <c r="M1603" s="35"/>
      <c r="N1603" s="35"/>
      <c r="O1603" s="35"/>
      <c r="P1603" s="35"/>
      <c r="Q1603" s="35"/>
      <c r="R1603" s="35"/>
      <c r="S1603" s="35"/>
      <c r="T1603" s="35"/>
      <c r="U1603" s="35"/>
      <c r="V1603" s="35"/>
      <c r="W1603" s="35"/>
      <c r="X1603" s="35"/>
      <c r="Y1603" s="35"/>
      <c r="Z1603" s="35"/>
      <c r="AA1603" s="35"/>
      <c r="AB1603" s="35"/>
      <c r="AC1603" s="35"/>
      <c r="AD1603" s="35"/>
      <c r="AE1603" s="35"/>
    </row>
    <row r="1604">
      <c r="A1604" s="30"/>
      <c r="B1604" s="35"/>
      <c r="C1604" s="35"/>
      <c r="D1604" s="35"/>
      <c r="E1604" s="35"/>
      <c r="F1604" s="33"/>
      <c r="G1604" s="33"/>
      <c r="H1604" s="33"/>
      <c r="I1604" s="33"/>
      <c r="J1604" s="33"/>
      <c r="K1604" s="35"/>
      <c r="L1604" s="35"/>
      <c r="M1604" s="35"/>
      <c r="N1604" s="35"/>
      <c r="O1604" s="35"/>
      <c r="P1604" s="35"/>
      <c r="Q1604" s="35"/>
      <c r="R1604" s="35"/>
      <c r="S1604" s="35"/>
      <c r="T1604" s="35"/>
      <c r="U1604" s="35"/>
      <c r="V1604" s="35"/>
      <c r="W1604" s="35"/>
      <c r="X1604" s="35"/>
      <c r="Y1604" s="35"/>
      <c r="Z1604" s="35"/>
      <c r="AA1604" s="35"/>
      <c r="AB1604" s="35"/>
      <c r="AC1604" s="35"/>
      <c r="AD1604" s="35"/>
      <c r="AE1604" s="35"/>
    </row>
    <row r="1605">
      <c r="A1605" s="30"/>
      <c r="B1605" s="35"/>
      <c r="C1605" s="35"/>
      <c r="D1605" s="35"/>
      <c r="E1605" s="35"/>
      <c r="F1605" s="33"/>
      <c r="G1605" s="33"/>
      <c r="H1605" s="33"/>
      <c r="I1605" s="33"/>
      <c r="J1605" s="33"/>
      <c r="K1605" s="35"/>
      <c r="L1605" s="35"/>
      <c r="M1605" s="35"/>
      <c r="N1605" s="35"/>
      <c r="O1605" s="35"/>
      <c r="P1605" s="35"/>
      <c r="Q1605" s="35"/>
      <c r="R1605" s="35"/>
      <c r="S1605" s="35"/>
      <c r="T1605" s="35"/>
      <c r="U1605" s="35"/>
      <c r="V1605" s="35"/>
      <c r="W1605" s="35"/>
      <c r="X1605" s="35"/>
      <c r="Y1605" s="35"/>
      <c r="Z1605" s="35"/>
      <c r="AA1605" s="35"/>
      <c r="AB1605" s="35"/>
      <c r="AC1605" s="35"/>
      <c r="AD1605" s="35"/>
      <c r="AE1605" s="35"/>
    </row>
    <row r="1606">
      <c r="A1606" s="30"/>
      <c r="B1606" s="35"/>
      <c r="C1606" s="35"/>
      <c r="D1606" s="35"/>
      <c r="E1606" s="35"/>
      <c r="F1606" s="33"/>
      <c r="G1606" s="33"/>
      <c r="H1606" s="33"/>
      <c r="I1606" s="33"/>
      <c r="J1606" s="33"/>
      <c r="K1606" s="35"/>
      <c r="L1606" s="35"/>
      <c r="M1606" s="35"/>
      <c r="N1606" s="35"/>
      <c r="O1606" s="35"/>
      <c r="P1606" s="35"/>
      <c r="Q1606" s="35"/>
      <c r="R1606" s="35"/>
      <c r="S1606" s="35"/>
      <c r="T1606" s="35"/>
      <c r="U1606" s="35"/>
      <c r="V1606" s="35"/>
      <c r="W1606" s="35"/>
      <c r="X1606" s="35"/>
      <c r="Y1606" s="35"/>
      <c r="Z1606" s="35"/>
      <c r="AA1606" s="35"/>
      <c r="AB1606" s="35"/>
      <c r="AC1606" s="35"/>
      <c r="AD1606" s="35"/>
      <c r="AE1606" s="35"/>
    </row>
    <row r="1607">
      <c r="A1607" s="30"/>
      <c r="B1607" s="35"/>
      <c r="C1607" s="35"/>
      <c r="D1607" s="35"/>
      <c r="E1607" s="35"/>
      <c r="F1607" s="33"/>
      <c r="G1607" s="33"/>
      <c r="H1607" s="33"/>
      <c r="I1607" s="33"/>
      <c r="J1607" s="33"/>
      <c r="K1607" s="35"/>
      <c r="L1607" s="35"/>
      <c r="M1607" s="35"/>
      <c r="N1607" s="35"/>
      <c r="O1607" s="35"/>
      <c r="P1607" s="35"/>
      <c r="Q1607" s="35"/>
      <c r="R1607" s="35"/>
      <c r="S1607" s="35"/>
      <c r="T1607" s="35"/>
      <c r="U1607" s="35"/>
      <c r="V1607" s="35"/>
      <c r="W1607" s="35"/>
      <c r="X1607" s="35"/>
      <c r="Y1607" s="35"/>
      <c r="Z1607" s="35"/>
      <c r="AA1607" s="35"/>
      <c r="AB1607" s="35"/>
      <c r="AC1607" s="35"/>
      <c r="AD1607" s="35"/>
      <c r="AE1607" s="35"/>
    </row>
    <row r="1608">
      <c r="A1608" s="30"/>
      <c r="B1608" s="35"/>
      <c r="C1608" s="35"/>
      <c r="D1608" s="35"/>
      <c r="E1608" s="35"/>
      <c r="F1608" s="33"/>
      <c r="G1608" s="33"/>
      <c r="H1608" s="33"/>
      <c r="I1608" s="33"/>
      <c r="J1608" s="33"/>
      <c r="K1608" s="35"/>
      <c r="L1608" s="35"/>
      <c r="M1608" s="35"/>
      <c r="N1608" s="35"/>
      <c r="O1608" s="35"/>
      <c r="P1608" s="35"/>
      <c r="Q1608" s="35"/>
      <c r="R1608" s="35"/>
      <c r="S1608" s="35"/>
      <c r="T1608" s="35"/>
      <c r="U1608" s="35"/>
      <c r="V1608" s="35"/>
      <c r="W1608" s="35"/>
      <c r="X1608" s="35"/>
      <c r="Y1608" s="35"/>
      <c r="Z1608" s="35"/>
      <c r="AA1608" s="35"/>
      <c r="AB1608" s="35"/>
      <c r="AC1608" s="35"/>
      <c r="AD1608" s="35"/>
      <c r="AE1608" s="35"/>
    </row>
    <row r="1609">
      <c r="A1609" s="30"/>
      <c r="B1609" s="35"/>
      <c r="C1609" s="35"/>
      <c r="D1609" s="35"/>
      <c r="E1609" s="35"/>
      <c r="F1609" s="33"/>
      <c r="G1609" s="33"/>
      <c r="H1609" s="33"/>
      <c r="I1609" s="33"/>
      <c r="J1609" s="33"/>
      <c r="K1609" s="35"/>
      <c r="L1609" s="35"/>
      <c r="M1609" s="35"/>
      <c r="N1609" s="35"/>
      <c r="O1609" s="35"/>
      <c r="P1609" s="35"/>
      <c r="Q1609" s="35"/>
      <c r="R1609" s="35"/>
      <c r="S1609" s="35"/>
      <c r="T1609" s="35"/>
      <c r="U1609" s="35"/>
      <c r="V1609" s="35"/>
      <c r="W1609" s="35"/>
      <c r="X1609" s="35"/>
      <c r="Y1609" s="35"/>
      <c r="Z1609" s="35"/>
      <c r="AA1609" s="35"/>
      <c r="AB1609" s="35"/>
      <c r="AC1609" s="35"/>
      <c r="AD1609" s="35"/>
      <c r="AE1609" s="35"/>
    </row>
    <row r="1610">
      <c r="A1610" s="30"/>
      <c r="B1610" s="35"/>
      <c r="C1610" s="35"/>
      <c r="D1610" s="35"/>
      <c r="E1610" s="35"/>
      <c r="F1610" s="33"/>
      <c r="G1610" s="33"/>
      <c r="H1610" s="33"/>
      <c r="I1610" s="33"/>
      <c r="J1610" s="33"/>
      <c r="K1610" s="35"/>
      <c r="L1610" s="35"/>
      <c r="M1610" s="35"/>
      <c r="N1610" s="35"/>
      <c r="O1610" s="35"/>
      <c r="P1610" s="35"/>
      <c r="Q1610" s="35"/>
      <c r="R1610" s="35"/>
      <c r="S1610" s="35"/>
      <c r="T1610" s="35"/>
      <c r="U1610" s="35"/>
      <c r="V1610" s="35"/>
      <c r="W1610" s="35"/>
      <c r="X1610" s="35"/>
      <c r="Y1610" s="35"/>
      <c r="Z1610" s="35"/>
      <c r="AA1610" s="35"/>
      <c r="AB1610" s="35"/>
      <c r="AC1610" s="35"/>
      <c r="AD1610" s="35"/>
      <c r="AE1610" s="35"/>
    </row>
    <row r="1611">
      <c r="A1611" s="30"/>
      <c r="B1611" s="35"/>
      <c r="C1611" s="35"/>
      <c r="D1611" s="35"/>
      <c r="E1611" s="35"/>
      <c r="F1611" s="33"/>
      <c r="G1611" s="33"/>
      <c r="H1611" s="33"/>
      <c r="I1611" s="33"/>
      <c r="J1611" s="33"/>
      <c r="K1611" s="35"/>
      <c r="L1611" s="35"/>
      <c r="M1611" s="35"/>
      <c r="N1611" s="35"/>
      <c r="O1611" s="35"/>
      <c r="P1611" s="35"/>
      <c r="Q1611" s="35"/>
      <c r="R1611" s="35"/>
      <c r="S1611" s="35"/>
      <c r="T1611" s="35"/>
      <c r="U1611" s="35"/>
      <c r="V1611" s="35"/>
      <c r="W1611" s="35"/>
      <c r="X1611" s="35"/>
      <c r="Y1611" s="35"/>
      <c r="Z1611" s="35"/>
      <c r="AA1611" s="35"/>
      <c r="AB1611" s="35"/>
      <c r="AC1611" s="35"/>
      <c r="AD1611" s="35"/>
      <c r="AE1611" s="35"/>
    </row>
    <row r="1612">
      <c r="A1612" s="30"/>
      <c r="B1612" s="35"/>
      <c r="C1612" s="35"/>
      <c r="D1612" s="35"/>
      <c r="E1612" s="35"/>
      <c r="F1612" s="33"/>
      <c r="G1612" s="33"/>
      <c r="H1612" s="33"/>
      <c r="I1612" s="33"/>
      <c r="J1612" s="33"/>
      <c r="K1612" s="35"/>
      <c r="L1612" s="35"/>
      <c r="M1612" s="35"/>
      <c r="N1612" s="35"/>
      <c r="O1612" s="35"/>
      <c r="P1612" s="35"/>
      <c r="Q1612" s="35"/>
      <c r="R1612" s="35"/>
      <c r="S1612" s="35"/>
      <c r="T1612" s="35"/>
      <c r="U1612" s="35"/>
      <c r="V1612" s="35"/>
      <c r="W1612" s="35"/>
      <c r="X1612" s="35"/>
      <c r="Y1612" s="35"/>
      <c r="Z1612" s="35"/>
      <c r="AA1612" s="35"/>
      <c r="AB1612" s="35"/>
      <c r="AC1612" s="35"/>
      <c r="AD1612" s="35"/>
      <c r="AE1612" s="35"/>
    </row>
    <row r="1613">
      <c r="A1613" s="30"/>
      <c r="B1613" s="35"/>
      <c r="C1613" s="35"/>
      <c r="D1613" s="35"/>
      <c r="E1613" s="35"/>
      <c r="F1613" s="33"/>
      <c r="G1613" s="33"/>
      <c r="H1613" s="33"/>
      <c r="I1613" s="33"/>
      <c r="J1613" s="33"/>
      <c r="K1613" s="35"/>
      <c r="L1613" s="35"/>
      <c r="M1613" s="35"/>
      <c r="N1613" s="35"/>
      <c r="O1613" s="35"/>
      <c r="P1613" s="35"/>
      <c r="Q1613" s="35"/>
      <c r="R1613" s="35"/>
      <c r="S1613" s="35"/>
      <c r="T1613" s="35"/>
      <c r="U1613" s="35"/>
      <c r="V1613" s="35"/>
      <c r="W1613" s="35"/>
      <c r="X1613" s="35"/>
      <c r="Y1613" s="35"/>
      <c r="Z1613" s="35"/>
      <c r="AA1613" s="35"/>
      <c r="AB1613" s="35"/>
      <c r="AC1613" s="35"/>
      <c r="AD1613" s="35"/>
      <c r="AE1613" s="35"/>
    </row>
    <row r="1614">
      <c r="A1614" s="30"/>
      <c r="B1614" s="35"/>
      <c r="C1614" s="35"/>
      <c r="D1614" s="35"/>
      <c r="E1614" s="35"/>
      <c r="F1614" s="33"/>
      <c r="G1614" s="33"/>
      <c r="H1614" s="33"/>
      <c r="I1614" s="33"/>
      <c r="J1614" s="33"/>
      <c r="K1614" s="35"/>
      <c r="L1614" s="35"/>
      <c r="M1614" s="35"/>
      <c r="N1614" s="35"/>
      <c r="O1614" s="35"/>
      <c r="P1614" s="35"/>
      <c r="Q1614" s="35"/>
      <c r="R1614" s="35"/>
      <c r="S1614" s="35"/>
      <c r="T1614" s="35"/>
      <c r="U1614" s="35"/>
      <c r="V1614" s="35"/>
      <c r="W1614" s="35"/>
      <c r="X1614" s="35"/>
      <c r="Y1614" s="35"/>
      <c r="Z1614" s="35"/>
      <c r="AA1614" s="35"/>
      <c r="AB1614" s="35"/>
      <c r="AC1614" s="35"/>
      <c r="AD1614" s="35"/>
      <c r="AE1614" s="35"/>
    </row>
    <row r="1615">
      <c r="A1615" s="30"/>
      <c r="B1615" s="35"/>
      <c r="C1615" s="35"/>
      <c r="D1615" s="35"/>
      <c r="E1615" s="35"/>
      <c r="F1615" s="33"/>
      <c r="G1615" s="33"/>
      <c r="H1615" s="33"/>
      <c r="I1615" s="33"/>
      <c r="J1615" s="33"/>
      <c r="K1615" s="35"/>
      <c r="L1615" s="35"/>
      <c r="M1615" s="35"/>
      <c r="N1615" s="35"/>
      <c r="O1615" s="35"/>
      <c r="P1615" s="35"/>
      <c r="Q1615" s="35"/>
      <c r="R1615" s="35"/>
      <c r="S1615" s="35"/>
      <c r="T1615" s="35"/>
      <c r="U1615" s="35"/>
      <c r="V1615" s="35"/>
      <c r="W1615" s="35"/>
      <c r="X1615" s="35"/>
      <c r="Y1615" s="35"/>
      <c r="Z1615" s="35"/>
      <c r="AA1615" s="35"/>
      <c r="AB1615" s="35"/>
      <c r="AC1615" s="35"/>
      <c r="AD1615" s="35"/>
      <c r="AE1615" s="35"/>
    </row>
    <row r="1616">
      <c r="A1616" s="30"/>
      <c r="B1616" s="35"/>
      <c r="C1616" s="35"/>
      <c r="D1616" s="35"/>
      <c r="E1616" s="35"/>
      <c r="F1616" s="33"/>
      <c r="G1616" s="33"/>
      <c r="H1616" s="33"/>
      <c r="I1616" s="33"/>
      <c r="J1616" s="33"/>
      <c r="K1616" s="35"/>
      <c r="L1616" s="35"/>
      <c r="M1616" s="35"/>
      <c r="N1616" s="35"/>
      <c r="O1616" s="35"/>
      <c r="P1616" s="35"/>
      <c r="Q1616" s="35"/>
      <c r="R1616" s="35"/>
      <c r="S1616" s="35"/>
      <c r="T1616" s="35"/>
      <c r="U1616" s="35"/>
      <c r="V1616" s="35"/>
      <c r="W1616" s="35"/>
      <c r="X1616" s="35"/>
      <c r="Y1616" s="35"/>
      <c r="Z1616" s="35"/>
      <c r="AA1616" s="35"/>
      <c r="AB1616" s="35"/>
      <c r="AC1616" s="35"/>
      <c r="AD1616" s="35"/>
      <c r="AE1616" s="35"/>
    </row>
    <row r="1617">
      <c r="A1617" s="30"/>
      <c r="B1617" s="35"/>
      <c r="C1617" s="35"/>
      <c r="D1617" s="35"/>
      <c r="E1617" s="35"/>
      <c r="F1617" s="33"/>
      <c r="G1617" s="33"/>
      <c r="H1617" s="33"/>
      <c r="I1617" s="33"/>
      <c r="J1617" s="33"/>
      <c r="K1617" s="35"/>
      <c r="L1617" s="35"/>
      <c r="M1617" s="35"/>
      <c r="N1617" s="35"/>
      <c r="O1617" s="35"/>
      <c r="P1617" s="35"/>
      <c r="Q1617" s="35"/>
      <c r="R1617" s="35"/>
      <c r="S1617" s="35"/>
      <c r="T1617" s="35"/>
      <c r="U1617" s="35"/>
      <c r="V1617" s="35"/>
      <c r="W1617" s="35"/>
      <c r="X1617" s="35"/>
      <c r="Y1617" s="35"/>
      <c r="Z1617" s="35"/>
      <c r="AA1617" s="35"/>
      <c r="AB1617" s="35"/>
      <c r="AC1617" s="35"/>
      <c r="AD1617" s="35"/>
      <c r="AE1617" s="35"/>
    </row>
    <row r="1618">
      <c r="A1618" s="30"/>
      <c r="B1618" s="35"/>
      <c r="C1618" s="35"/>
      <c r="D1618" s="35"/>
      <c r="E1618" s="35"/>
      <c r="F1618" s="33"/>
      <c r="G1618" s="33"/>
      <c r="H1618" s="33"/>
      <c r="I1618" s="33"/>
      <c r="J1618" s="33"/>
      <c r="K1618" s="35"/>
      <c r="L1618" s="35"/>
      <c r="M1618" s="35"/>
      <c r="N1618" s="35"/>
      <c r="O1618" s="35"/>
      <c r="P1618" s="35"/>
      <c r="Q1618" s="35"/>
      <c r="R1618" s="35"/>
      <c r="S1618" s="35"/>
      <c r="T1618" s="35"/>
      <c r="U1618" s="35"/>
      <c r="V1618" s="35"/>
      <c r="W1618" s="35"/>
      <c r="X1618" s="35"/>
      <c r="Y1618" s="35"/>
      <c r="Z1618" s="35"/>
      <c r="AA1618" s="35"/>
      <c r="AB1618" s="35"/>
      <c r="AC1618" s="35"/>
      <c r="AD1618" s="35"/>
      <c r="AE1618" s="35"/>
    </row>
    <row r="1619">
      <c r="A1619" s="30"/>
      <c r="B1619" s="35"/>
      <c r="C1619" s="35"/>
      <c r="D1619" s="35"/>
      <c r="E1619" s="35"/>
      <c r="F1619" s="33"/>
      <c r="G1619" s="33"/>
      <c r="H1619" s="33"/>
      <c r="I1619" s="33"/>
      <c r="J1619" s="33"/>
      <c r="K1619" s="35"/>
      <c r="L1619" s="35"/>
      <c r="M1619" s="35"/>
      <c r="N1619" s="35"/>
      <c r="O1619" s="35"/>
      <c r="P1619" s="35"/>
      <c r="Q1619" s="35"/>
      <c r="R1619" s="35"/>
      <c r="S1619" s="35"/>
      <c r="T1619" s="35"/>
      <c r="U1619" s="35"/>
      <c r="V1619" s="35"/>
      <c r="W1619" s="35"/>
      <c r="X1619" s="35"/>
      <c r="Y1619" s="35"/>
      <c r="Z1619" s="35"/>
      <c r="AA1619" s="35"/>
      <c r="AB1619" s="35"/>
      <c r="AC1619" s="35"/>
      <c r="AD1619" s="35"/>
      <c r="AE1619" s="35"/>
    </row>
    <row r="1620">
      <c r="A1620" s="30"/>
      <c r="B1620" s="35"/>
      <c r="C1620" s="35"/>
      <c r="D1620" s="35"/>
      <c r="E1620" s="35"/>
      <c r="F1620" s="33"/>
      <c r="G1620" s="33"/>
      <c r="H1620" s="33"/>
      <c r="I1620" s="33"/>
      <c r="J1620" s="33"/>
      <c r="K1620" s="35"/>
      <c r="L1620" s="35"/>
      <c r="M1620" s="35"/>
      <c r="N1620" s="35"/>
      <c r="O1620" s="35"/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5"/>
      <c r="AA1620" s="35"/>
      <c r="AB1620" s="35"/>
      <c r="AC1620" s="35"/>
      <c r="AD1620" s="35"/>
      <c r="AE1620" s="35"/>
    </row>
    <row r="1621">
      <c r="A1621" s="30"/>
      <c r="B1621" s="35"/>
      <c r="C1621" s="35"/>
      <c r="D1621" s="35"/>
      <c r="E1621" s="35"/>
      <c r="F1621" s="33"/>
      <c r="G1621" s="33"/>
      <c r="H1621" s="33"/>
      <c r="I1621" s="33"/>
      <c r="J1621" s="33"/>
      <c r="K1621" s="35"/>
      <c r="L1621" s="35"/>
      <c r="M1621" s="35"/>
      <c r="N1621" s="35"/>
      <c r="O1621" s="35"/>
      <c r="P1621" s="35"/>
      <c r="Q1621" s="35"/>
      <c r="R1621" s="35"/>
      <c r="S1621" s="35"/>
      <c r="T1621" s="35"/>
      <c r="U1621" s="35"/>
      <c r="V1621" s="35"/>
      <c r="W1621" s="35"/>
      <c r="X1621" s="35"/>
      <c r="Y1621" s="35"/>
      <c r="Z1621" s="35"/>
      <c r="AA1621" s="35"/>
      <c r="AB1621" s="35"/>
      <c r="AC1621" s="35"/>
      <c r="AD1621" s="35"/>
      <c r="AE1621" s="35"/>
    </row>
    <row r="1622">
      <c r="A1622" s="30"/>
      <c r="B1622" s="35"/>
      <c r="C1622" s="35"/>
      <c r="D1622" s="35"/>
      <c r="E1622" s="35"/>
      <c r="F1622" s="33"/>
      <c r="G1622" s="33"/>
      <c r="H1622" s="33"/>
      <c r="I1622" s="33"/>
      <c r="J1622" s="33"/>
      <c r="K1622" s="35"/>
      <c r="L1622" s="35"/>
      <c r="M1622" s="35"/>
      <c r="N1622" s="35"/>
      <c r="O1622" s="35"/>
      <c r="P1622" s="35"/>
      <c r="Q1622" s="35"/>
      <c r="R1622" s="35"/>
      <c r="S1622" s="35"/>
      <c r="T1622" s="35"/>
      <c r="U1622" s="35"/>
      <c r="V1622" s="35"/>
      <c r="W1622" s="35"/>
      <c r="X1622" s="35"/>
      <c r="Y1622" s="35"/>
      <c r="Z1622" s="35"/>
      <c r="AA1622" s="35"/>
      <c r="AB1622" s="35"/>
      <c r="AC1622" s="35"/>
      <c r="AD1622" s="35"/>
      <c r="AE1622" s="35"/>
    </row>
    <row r="1623">
      <c r="A1623" s="30"/>
      <c r="B1623" s="35"/>
      <c r="C1623" s="35"/>
      <c r="D1623" s="35"/>
      <c r="E1623" s="35"/>
      <c r="F1623" s="33"/>
      <c r="G1623" s="33"/>
      <c r="H1623" s="33"/>
      <c r="I1623" s="33"/>
      <c r="J1623" s="33"/>
      <c r="K1623" s="35"/>
      <c r="L1623" s="35"/>
      <c r="M1623" s="35"/>
      <c r="N1623" s="35"/>
      <c r="O1623" s="35"/>
      <c r="P1623" s="35"/>
      <c r="Q1623" s="35"/>
      <c r="R1623" s="35"/>
      <c r="S1623" s="35"/>
      <c r="T1623" s="35"/>
      <c r="U1623" s="35"/>
      <c r="V1623" s="35"/>
      <c r="W1623" s="35"/>
      <c r="X1623" s="35"/>
      <c r="Y1623" s="35"/>
      <c r="Z1623" s="35"/>
      <c r="AA1623" s="35"/>
      <c r="AB1623" s="35"/>
      <c r="AC1623" s="35"/>
      <c r="AD1623" s="35"/>
      <c r="AE1623" s="35"/>
    </row>
    <row r="1624">
      <c r="A1624" s="30"/>
      <c r="B1624" s="35"/>
      <c r="C1624" s="35"/>
      <c r="D1624" s="35"/>
      <c r="E1624" s="35"/>
      <c r="F1624" s="33"/>
      <c r="G1624" s="33"/>
      <c r="H1624" s="33"/>
      <c r="I1624" s="33"/>
      <c r="J1624" s="33"/>
      <c r="K1624" s="35"/>
      <c r="L1624" s="35"/>
      <c r="M1624" s="35"/>
      <c r="N1624" s="35"/>
      <c r="O1624" s="35"/>
      <c r="P1624" s="35"/>
      <c r="Q1624" s="35"/>
      <c r="R1624" s="35"/>
      <c r="S1624" s="35"/>
      <c r="T1624" s="35"/>
      <c r="U1624" s="35"/>
      <c r="V1624" s="35"/>
      <c r="W1624" s="35"/>
      <c r="X1624" s="35"/>
      <c r="Y1624" s="35"/>
      <c r="Z1624" s="35"/>
      <c r="AA1624" s="35"/>
      <c r="AB1624" s="35"/>
      <c r="AC1624" s="35"/>
      <c r="AD1624" s="35"/>
      <c r="AE1624" s="35"/>
    </row>
    <row r="1625">
      <c r="A1625" s="30"/>
      <c r="B1625" s="35"/>
      <c r="C1625" s="35"/>
      <c r="D1625" s="35"/>
      <c r="E1625" s="35"/>
      <c r="F1625" s="33"/>
      <c r="G1625" s="33"/>
      <c r="H1625" s="33"/>
      <c r="I1625" s="33"/>
      <c r="J1625" s="33"/>
      <c r="K1625" s="35"/>
      <c r="L1625" s="35"/>
      <c r="M1625" s="35"/>
      <c r="N1625" s="35"/>
      <c r="O1625" s="35"/>
      <c r="P1625" s="35"/>
      <c r="Q1625" s="35"/>
      <c r="R1625" s="35"/>
      <c r="S1625" s="35"/>
      <c r="T1625" s="35"/>
      <c r="U1625" s="35"/>
      <c r="V1625" s="35"/>
      <c r="W1625" s="35"/>
      <c r="X1625" s="35"/>
      <c r="Y1625" s="35"/>
      <c r="Z1625" s="35"/>
      <c r="AA1625" s="35"/>
      <c r="AB1625" s="35"/>
      <c r="AC1625" s="35"/>
      <c r="AD1625" s="35"/>
      <c r="AE1625" s="35"/>
    </row>
    <row r="1626">
      <c r="A1626" s="30"/>
      <c r="B1626" s="35"/>
      <c r="C1626" s="35"/>
      <c r="D1626" s="35"/>
      <c r="E1626" s="35"/>
      <c r="F1626" s="33"/>
      <c r="G1626" s="33"/>
      <c r="H1626" s="33"/>
      <c r="I1626" s="33"/>
      <c r="J1626" s="33"/>
      <c r="K1626" s="35"/>
      <c r="L1626" s="35"/>
      <c r="M1626" s="35"/>
      <c r="N1626" s="35"/>
      <c r="O1626" s="35"/>
      <c r="P1626" s="35"/>
      <c r="Q1626" s="35"/>
      <c r="R1626" s="35"/>
      <c r="S1626" s="35"/>
      <c r="T1626" s="35"/>
      <c r="U1626" s="35"/>
      <c r="V1626" s="35"/>
      <c r="W1626" s="35"/>
      <c r="X1626" s="35"/>
      <c r="Y1626" s="35"/>
      <c r="Z1626" s="35"/>
      <c r="AA1626" s="35"/>
      <c r="AB1626" s="35"/>
      <c r="AC1626" s="35"/>
      <c r="AD1626" s="35"/>
      <c r="AE1626" s="35"/>
    </row>
    <row r="1627">
      <c r="A1627" s="30"/>
      <c r="B1627" s="35"/>
      <c r="C1627" s="35"/>
      <c r="D1627" s="35"/>
      <c r="E1627" s="35"/>
      <c r="F1627" s="33"/>
      <c r="G1627" s="33"/>
      <c r="H1627" s="33"/>
      <c r="I1627" s="33"/>
      <c r="J1627" s="33"/>
      <c r="K1627" s="35"/>
      <c r="L1627" s="35"/>
      <c r="M1627" s="35"/>
      <c r="N1627" s="35"/>
      <c r="O1627" s="35"/>
      <c r="P1627" s="35"/>
      <c r="Q1627" s="35"/>
      <c r="R1627" s="35"/>
      <c r="S1627" s="35"/>
      <c r="T1627" s="35"/>
      <c r="U1627" s="35"/>
      <c r="V1627" s="35"/>
      <c r="W1627" s="35"/>
      <c r="X1627" s="35"/>
      <c r="Y1627" s="35"/>
      <c r="Z1627" s="35"/>
      <c r="AA1627" s="35"/>
      <c r="AB1627" s="35"/>
      <c r="AC1627" s="35"/>
      <c r="AD1627" s="35"/>
      <c r="AE1627" s="35"/>
    </row>
    <row r="1628">
      <c r="A1628" s="30"/>
      <c r="B1628" s="35"/>
      <c r="C1628" s="35"/>
      <c r="D1628" s="35"/>
      <c r="E1628" s="35"/>
      <c r="F1628" s="33"/>
      <c r="G1628" s="33"/>
      <c r="H1628" s="33"/>
      <c r="I1628" s="33"/>
      <c r="J1628" s="33"/>
      <c r="K1628" s="35"/>
      <c r="L1628" s="35"/>
      <c r="M1628" s="35"/>
      <c r="N1628" s="35"/>
      <c r="O1628" s="35"/>
      <c r="P1628" s="35"/>
      <c r="Q1628" s="35"/>
      <c r="R1628" s="35"/>
      <c r="S1628" s="35"/>
      <c r="T1628" s="35"/>
      <c r="U1628" s="35"/>
      <c r="V1628" s="35"/>
      <c r="W1628" s="35"/>
      <c r="X1628" s="35"/>
      <c r="Y1628" s="35"/>
      <c r="Z1628" s="35"/>
      <c r="AA1628" s="35"/>
      <c r="AB1628" s="35"/>
      <c r="AC1628" s="35"/>
      <c r="AD1628" s="35"/>
      <c r="AE1628" s="35"/>
    </row>
    <row r="1629">
      <c r="A1629" s="30"/>
      <c r="B1629" s="35"/>
      <c r="C1629" s="35"/>
      <c r="D1629" s="35"/>
      <c r="E1629" s="35"/>
      <c r="F1629" s="33"/>
      <c r="G1629" s="33"/>
      <c r="H1629" s="33"/>
      <c r="I1629" s="33"/>
      <c r="J1629" s="33"/>
      <c r="K1629" s="35"/>
      <c r="L1629" s="35"/>
      <c r="M1629" s="35"/>
      <c r="N1629" s="35"/>
      <c r="O1629" s="35"/>
      <c r="P1629" s="35"/>
      <c r="Q1629" s="35"/>
      <c r="R1629" s="35"/>
      <c r="S1629" s="35"/>
      <c r="T1629" s="35"/>
      <c r="U1629" s="35"/>
      <c r="V1629" s="35"/>
      <c r="W1629" s="35"/>
      <c r="X1629" s="35"/>
      <c r="Y1629" s="35"/>
      <c r="Z1629" s="35"/>
      <c r="AA1629" s="35"/>
      <c r="AB1629" s="35"/>
      <c r="AC1629" s="35"/>
      <c r="AD1629" s="35"/>
      <c r="AE1629" s="35"/>
    </row>
    <row r="1630">
      <c r="A1630" s="30"/>
      <c r="B1630" s="35"/>
      <c r="C1630" s="35"/>
      <c r="D1630" s="35"/>
      <c r="E1630" s="35"/>
      <c r="F1630" s="33"/>
      <c r="G1630" s="33"/>
      <c r="H1630" s="33"/>
      <c r="I1630" s="33"/>
      <c r="J1630" s="33"/>
      <c r="K1630" s="35"/>
      <c r="L1630" s="35"/>
      <c r="M1630" s="35"/>
      <c r="N1630" s="35"/>
      <c r="O1630" s="35"/>
      <c r="P1630" s="35"/>
      <c r="Q1630" s="35"/>
      <c r="R1630" s="35"/>
      <c r="S1630" s="35"/>
      <c r="T1630" s="35"/>
      <c r="U1630" s="35"/>
      <c r="V1630" s="35"/>
      <c r="W1630" s="35"/>
      <c r="X1630" s="35"/>
      <c r="Y1630" s="35"/>
      <c r="Z1630" s="35"/>
      <c r="AA1630" s="35"/>
      <c r="AB1630" s="35"/>
      <c r="AC1630" s="35"/>
      <c r="AD1630" s="35"/>
      <c r="AE1630" s="35"/>
    </row>
    <row r="1631">
      <c r="A1631" s="30"/>
      <c r="B1631" s="35"/>
      <c r="C1631" s="35"/>
      <c r="D1631" s="35"/>
      <c r="E1631" s="35"/>
      <c r="F1631" s="33"/>
      <c r="G1631" s="33"/>
      <c r="H1631" s="33"/>
      <c r="I1631" s="33"/>
      <c r="J1631" s="33"/>
      <c r="K1631" s="35"/>
      <c r="L1631" s="35"/>
      <c r="M1631" s="35"/>
      <c r="N1631" s="35"/>
      <c r="O1631" s="35"/>
      <c r="P1631" s="35"/>
      <c r="Q1631" s="35"/>
      <c r="R1631" s="35"/>
      <c r="S1631" s="35"/>
      <c r="T1631" s="35"/>
      <c r="U1631" s="35"/>
      <c r="V1631" s="35"/>
      <c r="W1631" s="35"/>
      <c r="X1631" s="35"/>
      <c r="Y1631" s="35"/>
      <c r="Z1631" s="35"/>
      <c r="AA1631" s="35"/>
      <c r="AB1631" s="35"/>
      <c r="AC1631" s="35"/>
      <c r="AD1631" s="35"/>
      <c r="AE1631" s="35"/>
    </row>
    <row r="1632">
      <c r="A1632" s="30"/>
      <c r="B1632" s="35"/>
      <c r="C1632" s="35"/>
      <c r="D1632" s="35"/>
      <c r="E1632" s="35"/>
      <c r="F1632" s="33"/>
      <c r="G1632" s="33"/>
      <c r="H1632" s="33"/>
      <c r="I1632" s="33"/>
      <c r="J1632" s="33"/>
      <c r="K1632" s="35"/>
      <c r="L1632" s="35"/>
      <c r="M1632" s="35"/>
      <c r="N1632" s="35"/>
      <c r="O1632" s="35"/>
      <c r="P1632" s="35"/>
      <c r="Q1632" s="35"/>
      <c r="R1632" s="35"/>
      <c r="S1632" s="35"/>
      <c r="T1632" s="35"/>
      <c r="U1632" s="35"/>
      <c r="V1632" s="35"/>
      <c r="W1632" s="35"/>
      <c r="X1632" s="35"/>
      <c r="Y1632" s="35"/>
      <c r="Z1632" s="35"/>
      <c r="AA1632" s="35"/>
      <c r="AB1632" s="35"/>
      <c r="AC1632" s="35"/>
      <c r="AD1632" s="35"/>
      <c r="AE1632" s="35"/>
    </row>
    <row r="1633">
      <c r="A1633" s="30"/>
      <c r="B1633" s="35"/>
      <c r="C1633" s="35"/>
      <c r="D1633" s="35"/>
      <c r="E1633" s="35"/>
      <c r="F1633" s="33"/>
      <c r="G1633" s="33"/>
      <c r="H1633" s="33"/>
      <c r="I1633" s="33"/>
      <c r="J1633" s="33"/>
      <c r="K1633" s="35"/>
      <c r="L1633" s="35"/>
      <c r="M1633" s="35"/>
      <c r="N1633" s="35"/>
      <c r="O1633" s="35"/>
      <c r="P1633" s="35"/>
      <c r="Q1633" s="35"/>
      <c r="R1633" s="35"/>
      <c r="S1633" s="35"/>
      <c r="T1633" s="35"/>
      <c r="U1633" s="35"/>
      <c r="V1633" s="35"/>
      <c r="W1633" s="35"/>
      <c r="X1633" s="35"/>
      <c r="Y1633" s="35"/>
      <c r="Z1633" s="35"/>
      <c r="AA1633" s="35"/>
      <c r="AB1633" s="35"/>
      <c r="AC1633" s="35"/>
      <c r="AD1633" s="35"/>
      <c r="AE1633" s="35"/>
    </row>
    <row r="1634">
      <c r="A1634" s="30"/>
      <c r="B1634" s="35"/>
      <c r="C1634" s="35"/>
      <c r="D1634" s="35"/>
      <c r="E1634" s="35"/>
      <c r="F1634" s="33"/>
      <c r="G1634" s="33"/>
      <c r="H1634" s="33"/>
      <c r="I1634" s="33"/>
      <c r="J1634" s="33"/>
      <c r="K1634" s="35"/>
      <c r="L1634" s="35"/>
      <c r="M1634" s="35"/>
      <c r="N1634" s="35"/>
      <c r="O1634" s="35"/>
      <c r="P1634" s="35"/>
      <c r="Q1634" s="35"/>
      <c r="R1634" s="35"/>
      <c r="S1634" s="35"/>
      <c r="T1634" s="35"/>
      <c r="U1634" s="35"/>
      <c r="V1634" s="35"/>
      <c r="W1634" s="35"/>
      <c r="X1634" s="35"/>
      <c r="Y1634" s="35"/>
      <c r="Z1634" s="35"/>
      <c r="AA1634" s="35"/>
      <c r="AB1634" s="35"/>
      <c r="AC1634" s="35"/>
      <c r="AD1634" s="35"/>
      <c r="AE1634" s="35"/>
    </row>
    <row r="1635">
      <c r="A1635" s="30"/>
      <c r="B1635" s="35"/>
      <c r="C1635" s="35"/>
      <c r="D1635" s="35"/>
      <c r="E1635" s="35"/>
      <c r="F1635" s="33"/>
      <c r="G1635" s="33"/>
      <c r="H1635" s="33"/>
      <c r="I1635" s="33"/>
      <c r="J1635" s="33"/>
      <c r="K1635" s="35"/>
      <c r="L1635" s="35"/>
      <c r="M1635" s="35"/>
      <c r="N1635" s="35"/>
      <c r="O1635" s="35"/>
      <c r="P1635" s="35"/>
      <c r="Q1635" s="35"/>
      <c r="R1635" s="35"/>
      <c r="S1635" s="35"/>
      <c r="T1635" s="35"/>
      <c r="U1635" s="35"/>
      <c r="V1635" s="35"/>
      <c r="W1635" s="35"/>
      <c r="X1635" s="35"/>
      <c r="Y1635" s="35"/>
      <c r="Z1635" s="35"/>
      <c r="AA1635" s="35"/>
      <c r="AB1635" s="35"/>
      <c r="AC1635" s="35"/>
      <c r="AD1635" s="35"/>
      <c r="AE1635" s="35"/>
    </row>
    <row r="1636">
      <c r="A1636" s="30"/>
      <c r="B1636" s="35"/>
      <c r="C1636" s="35"/>
      <c r="D1636" s="35"/>
      <c r="E1636" s="35"/>
      <c r="F1636" s="33"/>
      <c r="G1636" s="33"/>
      <c r="H1636" s="33"/>
      <c r="I1636" s="33"/>
      <c r="J1636" s="33"/>
      <c r="K1636" s="35"/>
      <c r="L1636" s="35"/>
      <c r="M1636" s="35"/>
      <c r="N1636" s="35"/>
      <c r="O1636" s="35"/>
      <c r="P1636" s="35"/>
      <c r="Q1636" s="35"/>
      <c r="R1636" s="35"/>
      <c r="S1636" s="35"/>
      <c r="T1636" s="35"/>
      <c r="U1636" s="35"/>
      <c r="V1636" s="35"/>
      <c r="W1636" s="35"/>
      <c r="X1636" s="35"/>
      <c r="Y1636" s="35"/>
      <c r="Z1636" s="35"/>
      <c r="AA1636" s="35"/>
      <c r="AB1636" s="35"/>
      <c r="AC1636" s="35"/>
      <c r="AD1636" s="35"/>
      <c r="AE1636" s="35"/>
    </row>
    <row r="1637">
      <c r="A1637" s="30"/>
      <c r="B1637" s="35"/>
      <c r="C1637" s="35"/>
      <c r="D1637" s="35"/>
      <c r="E1637" s="35"/>
      <c r="F1637" s="33"/>
      <c r="G1637" s="33"/>
      <c r="H1637" s="33"/>
      <c r="I1637" s="33"/>
      <c r="J1637" s="33"/>
      <c r="K1637" s="35"/>
      <c r="L1637" s="35"/>
      <c r="M1637" s="35"/>
      <c r="N1637" s="35"/>
      <c r="O1637" s="35"/>
      <c r="P1637" s="35"/>
      <c r="Q1637" s="35"/>
      <c r="R1637" s="35"/>
      <c r="S1637" s="35"/>
      <c r="T1637" s="35"/>
      <c r="U1637" s="35"/>
      <c r="V1637" s="35"/>
      <c r="W1637" s="35"/>
      <c r="X1637" s="35"/>
      <c r="Y1637" s="35"/>
      <c r="Z1637" s="35"/>
      <c r="AA1637" s="35"/>
      <c r="AB1637" s="35"/>
      <c r="AC1637" s="35"/>
      <c r="AD1637" s="35"/>
      <c r="AE1637" s="35"/>
    </row>
    <row r="1638">
      <c r="A1638" s="30"/>
      <c r="B1638" s="35"/>
      <c r="C1638" s="35"/>
      <c r="D1638" s="35"/>
      <c r="E1638" s="35"/>
      <c r="F1638" s="33"/>
      <c r="G1638" s="33"/>
      <c r="H1638" s="33"/>
      <c r="I1638" s="33"/>
      <c r="J1638" s="33"/>
      <c r="K1638" s="35"/>
      <c r="L1638" s="35"/>
      <c r="M1638" s="35"/>
      <c r="N1638" s="35"/>
      <c r="O1638" s="35"/>
      <c r="P1638" s="35"/>
      <c r="Q1638" s="35"/>
      <c r="R1638" s="35"/>
      <c r="S1638" s="35"/>
      <c r="T1638" s="35"/>
      <c r="U1638" s="35"/>
      <c r="V1638" s="35"/>
      <c r="W1638" s="35"/>
      <c r="X1638" s="35"/>
      <c r="Y1638" s="35"/>
      <c r="Z1638" s="35"/>
      <c r="AA1638" s="35"/>
      <c r="AB1638" s="35"/>
      <c r="AC1638" s="35"/>
      <c r="AD1638" s="35"/>
      <c r="AE1638" s="35"/>
    </row>
    <row r="1639">
      <c r="A1639" s="30"/>
      <c r="B1639" s="35"/>
      <c r="C1639" s="35"/>
      <c r="D1639" s="35"/>
      <c r="E1639" s="35"/>
      <c r="F1639" s="33"/>
      <c r="G1639" s="33"/>
      <c r="H1639" s="33"/>
      <c r="I1639" s="33"/>
      <c r="J1639" s="33"/>
      <c r="K1639" s="35"/>
      <c r="L1639" s="35"/>
      <c r="M1639" s="35"/>
      <c r="N1639" s="35"/>
      <c r="O1639" s="35"/>
      <c r="P1639" s="35"/>
      <c r="Q1639" s="35"/>
      <c r="R1639" s="35"/>
      <c r="S1639" s="35"/>
      <c r="T1639" s="35"/>
      <c r="U1639" s="35"/>
      <c r="V1639" s="35"/>
      <c r="W1639" s="35"/>
      <c r="X1639" s="35"/>
      <c r="Y1639" s="35"/>
      <c r="Z1639" s="35"/>
      <c r="AA1639" s="35"/>
      <c r="AB1639" s="35"/>
      <c r="AC1639" s="35"/>
      <c r="AD1639" s="35"/>
      <c r="AE1639" s="35"/>
    </row>
    <row r="1640">
      <c r="A1640" s="30"/>
      <c r="B1640" s="35"/>
      <c r="C1640" s="35"/>
      <c r="D1640" s="35"/>
      <c r="E1640" s="35"/>
      <c r="F1640" s="33"/>
      <c r="G1640" s="33"/>
      <c r="H1640" s="33"/>
      <c r="I1640" s="33"/>
      <c r="J1640" s="33"/>
      <c r="K1640" s="35"/>
      <c r="L1640" s="35"/>
      <c r="M1640" s="35"/>
      <c r="N1640" s="35"/>
      <c r="O1640" s="35"/>
      <c r="P1640" s="35"/>
      <c r="Q1640" s="35"/>
      <c r="R1640" s="35"/>
      <c r="S1640" s="35"/>
      <c r="T1640" s="35"/>
      <c r="U1640" s="35"/>
      <c r="V1640" s="35"/>
      <c r="W1640" s="35"/>
      <c r="X1640" s="35"/>
      <c r="Y1640" s="35"/>
      <c r="Z1640" s="35"/>
      <c r="AA1640" s="35"/>
      <c r="AB1640" s="35"/>
      <c r="AC1640" s="35"/>
      <c r="AD1640" s="35"/>
      <c r="AE1640" s="35"/>
    </row>
    <row r="1641">
      <c r="A1641" s="30"/>
      <c r="B1641" s="35"/>
      <c r="C1641" s="35"/>
      <c r="D1641" s="35"/>
      <c r="E1641" s="35"/>
      <c r="F1641" s="33"/>
      <c r="G1641" s="33"/>
      <c r="H1641" s="33"/>
      <c r="I1641" s="33"/>
      <c r="J1641" s="33"/>
      <c r="K1641" s="35"/>
      <c r="L1641" s="35"/>
      <c r="M1641" s="35"/>
      <c r="N1641" s="35"/>
      <c r="O1641" s="35"/>
      <c r="P1641" s="35"/>
      <c r="Q1641" s="35"/>
      <c r="R1641" s="35"/>
      <c r="S1641" s="35"/>
      <c r="T1641" s="35"/>
      <c r="U1641" s="35"/>
      <c r="V1641" s="35"/>
      <c r="W1641" s="35"/>
      <c r="X1641" s="35"/>
      <c r="Y1641" s="35"/>
      <c r="Z1641" s="35"/>
      <c r="AA1641" s="35"/>
      <c r="AB1641" s="35"/>
      <c r="AC1641" s="35"/>
      <c r="AD1641" s="35"/>
      <c r="AE1641" s="35"/>
    </row>
    <row r="1642">
      <c r="A1642" s="30"/>
      <c r="B1642" s="35"/>
      <c r="C1642" s="35"/>
      <c r="D1642" s="35"/>
      <c r="E1642" s="35"/>
      <c r="F1642" s="33"/>
      <c r="G1642" s="33"/>
      <c r="H1642" s="33"/>
      <c r="I1642" s="33"/>
      <c r="J1642" s="33"/>
      <c r="K1642" s="35"/>
      <c r="L1642" s="35"/>
      <c r="M1642" s="35"/>
      <c r="N1642" s="35"/>
      <c r="O1642" s="35"/>
      <c r="P1642" s="35"/>
      <c r="Q1642" s="35"/>
      <c r="R1642" s="35"/>
      <c r="S1642" s="35"/>
      <c r="T1642" s="35"/>
      <c r="U1642" s="35"/>
      <c r="V1642" s="35"/>
      <c r="W1642" s="35"/>
      <c r="X1642" s="35"/>
      <c r="Y1642" s="35"/>
      <c r="Z1642" s="35"/>
      <c r="AA1642" s="35"/>
      <c r="AB1642" s="35"/>
      <c r="AC1642" s="35"/>
      <c r="AD1642" s="35"/>
      <c r="AE1642" s="35"/>
    </row>
    <row r="1643">
      <c r="A1643" s="30"/>
      <c r="B1643" s="35"/>
      <c r="C1643" s="35"/>
      <c r="D1643" s="35"/>
      <c r="E1643" s="35"/>
      <c r="F1643" s="33"/>
      <c r="G1643" s="33"/>
      <c r="H1643" s="33"/>
      <c r="I1643" s="33"/>
      <c r="J1643" s="33"/>
      <c r="K1643" s="35"/>
      <c r="L1643" s="35"/>
      <c r="M1643" s="35"/>
      <c r="N1643" s="35"/>
      <c r="O1643" s="35"/>
      <c r="P1643" s="35"/>
      <c r="Q1643" s="35"/>
      <c r="R1643" s="35"/>
      <c r="S1643" s="35"/>
      <c r="T1643" s="35"/>
      <c r="U1643" s="35"/>
      <c r="V1643" s="35"/>
      <c r="W1643" s="35"/>
      <c r="X1643" s="35"/>
      <c r="Y1643" s="35"/>
      <c r="Z1643" s="35"/>
      <c r="AA1643" s="35"/>
      <c r="AB1643" s="35"/>
      <c r="AC1643" s="35"/>
      <c r="AD1643" s="35"/>
      <c r="AE1643" s="35"/>
    </row>
    <row r="1644">
      <c r="A1644" s="30"/>
      <c r="B1644" s="35"/>
      <c r="C1644" s="35"/>
      <c r="D1644" s="35"/>
      <c r="E1644" s="35"/>
      <c r="F1644" s="33"/>
      <c r="G1644" s="33"/>
      <c r="H1644" s="33"/>
      <c r="I1644" s="33"/>
      <c r="J1644" s="33"/>
      <c r="K1644" s="35"/>
      <c r="L1644" s="35"/>
      <c r="M1644" s="35"/>
      <c r="N1644" s="35"/>
      <c r="O1644" s="35"/>
      <c r="P1644" s="35"/>
      <c r="Q1644" s="35"/>
      <c r="R1644" s="35"/>
      <c r="S1644" s="35"/>
      <c r="T1644" s="35"/>
      <c r="U1644" s="35"/>
      <c r="V1644" s="35"/>
      <c r="W1644" s="35"/>
      <c r="X1644" s="35"/>
      <c r="Y1644" s="35"/>
      <c r="Z1644" s="35"/>
      <c r="AA1644" s="35"/>
      <c r="AB1644" s="35"/>
      <c r="AC1644" s="35"/>
      <c r="AD1644" s="35"/>
      <c r="AE1644" s="35"/>
    </row>
    <row r="1645">
      <c r="A1645" s="30"/>
      <c r="B1645" s="35"/>
      <c r="C1645" s="35"/>
      <c r="D1645" s="35"/>
      <c r="E1645" s="35"/>
      <c r="F1645" s="33"/>
      <c r="G1645" s="33"/>
      <c r="H1645" s="33"/>
      <c r="I1645" s="33"/>
      <c r="J1645" s="33"/>
      <c r="K1645" s="35"/>
      <c r="L1645" s="35"/>
      <c r="M1645" s="35"/>
      <c r="N1645" s="35"/>
      <c r="O1645" s="35"/>
      <c r="P1645" s="35"/>
      <c r="Q1645" s="35"/>
      <c r="R1645" s="35"/>
      <c r="S1645" s="35"/>
      <c r="T1645" s="35"/>
      <c r="U1645" s="35"/>
      <c r="V1645" s="35"/>
      <c r="W1645" s="35"/>
      <c r="X1645" s="35"/>
      <c r="Y1645" s="35"/>
      <c r="Z1645" s="35"/>
      <c r="AA1645" s="35"/>
      <c r="AB1645" s="35"/>
      <c r="AC1645" s="35"/>
      <c r="AD1645" s="35"/>
      <c r="AE1645" s="35"/>
    </row>
    <row r="1646">
      <c r="A1646" s="30"/>
      <c r="B1646" s="35"/>
      <c r="C1646" s="35"/>
      <c r="D1646" s="35"/>
      <c r="E1646" s="35"/>
      <c r="F1646" s="33"/>
      <c r="G1646" s="33"/>
      <c r="H1646" s="33"/>
      <c r="I1646" s="33"/>
      <c r="J1646" s="33"/>
      <c r="K1646" s="35"/>
      <c r="L1646" s="35"/>
      <c r="M1646" s="35"/>
      <c r="N1646" s="35"/>
      <c r="O1646" s="35"/>
      <c r="P1646" s="35"/>
      <c r="Q1646" s="35"/>
      <c r="R1646" s="35"/>
      <c r="S1646" s="35"/>
      <c r="T1646" s="35"/>
      <c r="U1646" s="35"/>
      <c r="V1646" s="35"/>
      <c r="W1646" s="35"/>
      <c r="X1646" s="35"/>
      <c r="Y1646" s="35"/>
      <c r="Z1646" s="35"/>
      <c r="AA1646" s="35"/>
      <c r="AB1646" s="35"/>
      <c r="AC1646" s="35"/>
      <c r="AD1646" s="35"/>
      <c r="AE1646" s="35"/>
    </row>
    <row r="1647">
      <c r="A1647" s="30"/>
      <c r="B1647" s="35"/>
      <c r="C1647" s="35"/>
      <c r="D1647" s="35"/>
      <c r="E1647" s="35"/>
      <c r="F1647" s="33"/>
      <c r="G1647" s="33"/>
      <c r="H1647" s="33"/>
      <c r="I1647" s="33"/>
      <c r="J1647" s="33"/>
      <c r="K1647" s="35"/>
      <c r="L1647" s="35"/>
      <c r="M1647" s="35"/>
      <c r="N1647" s="35"/>
      <c r="O1647" s="35"/>
      <c r="P1647" s="35"/>
      <c r="Q1647" s="35"/>
      <c r="R1647" s="35"/>
      <c r="S1647" s="35"/>
      <c r="T1647" s="35"/>
      <c r="U1647" s="35"/>
      <c r="V1647" s="35"/>
      <c r="W1647" s="35"/>
      <c r="X1647" s="35"/>
      <c r="Y1647" s="35"/>
      <c r="Z1647" s="35"/>
      <c r="AA1647" s="35"/>
      <c r="AB1647" s="35"/>
      <c r="AC1647" s="35"/>
      <c r="AD1647" s="35"/>
      <c r="AE1647" s="35"/>
    </row>
    <row r="1648">
      <c r="A1648" s="30"/>
      <c r="B1648" s="35"/>
      <c r="C1648" s="35"/>
      <c r="D1648" s="35"/>
      <c r="E1648" s="35"/>
      <c r="F1648" s="33"/>
      <c r="G1648" s="33"/>
      <c r="H1648" s="33"/>
      <c r="I1648" s="33"/>
      <c r="J1648" s="33"/>
      <c r="K1648" s="35"/>
      <c r="L1648" s="35"/>
      <c r="M1648" s="35"/>
      <c r="N1648" s="35"/>
      <c r="O1648" s="35"/>
      <c r="P1648" s="35"/>
      <c r="Q1648" s="35"/>
      <c r="R1648" s="35"/>
      <c r="S1648" s="35"/>
      <c r="T1648" s="35"/>
      <c r="U1648" s="35"/>
      <c r="V1648" s="35"/>
      <c r="W1648" s="35"/>
      <c r="X1648" s="35"/>
      <c r="Y1648" s="35"/>
      <c r="Z1648" s="35"/>
      <c r="AA1648" s="35"/>
      <c r="AB1648" s="35"/>
      <c r="AC1648" s="35"/>
      <c r="AD1648" s="35"/>
      <c r="AE1648" s="35"/>
    </row>
    <row r="1649">
      <c r="A1649" s="30"/>
      <c r="B1649" s="35"/>
      <c r="C1649" s="35"/>
      <c r="D1649" s="35"/>
      <c r="E1649" s="35"/>
      <c r="F1649" s="33"/>
      <c r="G1649" s="33"/>
      <c r="H1649" s="33"/>
      <c r="I1649" s="33"/>
      <c r="J1649" s="33"/>
      <c r="K1649" s="35"/>
      <c r="L1649" s="35"/>
      <c r="M1649" s="35"/>
      <c r="N1649" s="35"/>
      <c r="O1649" s="35"/>
      <c r="P1649" s="35"/>
      <c r="Q1649" s="35"/>
      <c r="R1649" s="35"/>
      <c r="S1649" s="35"/>
      <c r="T1649" s="35"/>
      <c r="U1649" s="35"/>
      <c r="V1649" s="35"/>
      <c r="W1649" s="35"/>
      <c r="X1649" s="35"/>
      <c r="Y1649" s="35"/>
      <c r="Z1649" s="35"/>
      <c r="AA1649" s="35"/>
      <c r="AB1649" s="35"/>
      <c r="AC1649" s="35"/>
      <c r="AD1649" s="35"/>
      <c r="AE1649" s="35"/>
    </row>
    <row r="1650">
      <c r="A1650" s="30"/>
      <c r="B1650" s="35"/>
      <c r="C1650" s="35"/>
      <c r="D1650" s="35"/>
      <c r="E1650" s="35"/>
      <c r="F1650" s="33"/>
      <c r="G1650" s="33"/>
      <c r="H1650" s="33"/>
      <c r="I1650" s="33"/>
      <c r="J1650" s="33"/>
      <c r="K1650" s="35"/>
      <c r="L1650" s="35"/>
      <c r="M1650" s="35"/>
      <c r="N1650" s="35"/>
      <c r="O1650" s="35"/>
      <c r="P1650" s="35"/>
      <c r="Q1650" s="35"/>
      <c r="R1650" s="35"/>
      <c r="S1650" s="35"/>
      <c r="T1650" s="35"/>
      <c r="U1650" s="35"/>
      <c r="V1650" s="35"/>
      <c r="W1650" s="35"/>
      <c r="X1650" s="35"/>
      <c r="Y1650" s="35"/>
      <c r="Z1650" s="35"/>
      <c r="AA1650" s="35"/>
      <c r="AB1650" s="35"/>
      <c r="AC1650" s="35"/>
      <c r="AD1650" s="35"/>
      <c r="AE1650" s="35"/>
    </row>
    <row r="1651">
      <c r="A1651" s="30"/>
      <c r="B1651" s="35"/>
      <c r="C1651" s="35"/>
      <c r="D1651" s="35"/>
      <c r="E1651" s="35"/>
      <c r="F1651" s="33"/>
      <c r="G1651" s="33"/>
      <c r="H1651" s="33"/>
      <c r="I1651" s="33"/>
      <c r="J1651" s="33"/>
      <c r="K1651" s="35"/>
      <c r="L1651" s="35"/>
      <c r="M1651" s="35"/>
      <c r="N1651" s="35"/>
      <c r="O1651" s="35"/>
      <c r="P1651" s="35"/>
      <c r="Q1651" s="35"/>
      <c r="R1651" s="35"/>
      <c r="S1651" s="35"/>
      <c r="T1651" s="35"/>
      <c r="U1651" s="35"/>
      <c r="V1651" s="35"/>
      <c r="W1651" s="35"/>
      <c r="X1651" s="35"/>
      <c r="Y1651" s="35"/>
      <c r="Z1651" s="35"/>
      <c r="AA1651" s="35"/>
      <c r="AB1651" s="35"/>
      <c r="AC1651" s="35"/>
      <c r="AD1651" s="35"/>
      <c r="AE1651" s="35"/>
    </row>
    <row r="1652">
      <c r="A1652" s="30"/>
      <c r="B1652" s="35"/>
      <c r="C1652" s="35"/>
      <c r="D1652" s="35"/>
      <c r="E1652" s="35"/>
      <c r="F1652" s="33"/>
      <c r="G1652" s="33"/>
      <c r="H1652" s="33"/>
      <c r="I1652" s="33"/>
      <c r="J1652" s="33"/>
      <c r="K1652" s="35"/>
      <c r="L1652" s="35"/>
      <c r="M1652" s="35"/>
      <c r="N1652" s="35"/>
      <c r="O1652" s="35"/>
      <c r="P1652" s="35"/>
      <c r="Q1652" s="35"/>
      <c r="R1652" s="35"/>
      <c r="S1652" s="35"/>
      <c r="T1652" s="35"/>
      <c r="U1652" s="35"/>
      <c r="V1652" s="35"/>
      <c r="W1652" s="35"/>
      <c r="X1652" s="35"/>
      <c r="Y1652" s="35"/>
      <c r="Z1652" s="35"/>
      <c r="AA1652" s="35"/>
      <c r="AB1652" s="35"/>
      <c r="AC1652" s="35"/>
      <c r="AD1652" s="35"/>
      <c r="AE1652" s="35"/>
    </row>
    <row r="1653">
      <c r="A1653" s="30"/>
      <c r="B1653" s="35"/>
      <c r="C1653" s="35"/>
      <c r="D1653" s="35"/>
      <c r="E1653" s="35"/>
      <c r="F1653" s="33"/>
      <c r="G1653" s="33"/>
      <c r="H1653" s="33"/>
      <c r="I1653" s="33"/>
      <c r="J1653" s="33"/>
      <c r="K1653" s="35"/>
      <c r="L1653" s="35"/>
      <c r="M1653" s="35"/>
      <c r="N1653" s="35"/>
      <c r="O1653" s="35"/>
      <c r="P1653" s="35"/>
      <c r="Q1653" s="35"/>
      <c r="R1653" s="35"/>
      <c r="S1653" s="35"/>
      <c r="T1653" s="35"/>
      <c r="U1653" s="35"/>
      <c r="V1653" s="35"/>
      <c r="W1653" s="35"/>
      <c r="X1653" s="35"/>
      <c r="Y1653" s="35"/>
      <c r="Z1653" s="35"/>
      <c r="AA1653" s="35"/>
      <c r="AB1653" s="35"/>
      <c r="AC1653" s="35"/>
      <c r="AD1653" s="35"/>
      <c r="AE1653" s="35"/>
    </row>
    <row r="1654">
      <c r="A1654" s="30"/>
      <c r="B1654" s="35"/>
      <c r="C1654" s="35"/>
      <c r="D1654" s="35"/>
      <c r="E1654" s="35"/>
      <c r="F1654" s="33"/>
      <c r="G1654" s="33"/>
      <c r="H1654" s="33"/>
      <c r="I1654" s="33"/>
      <c r="J1654" s="33"/>
      <c r="K1654" s="35"/>
      <c r="L1654" s="35"/>
      <c r="M1654" s="35"/>
      <c r="N1654" s="35"/>
      <c r="O1654" s="35"/>
      <c r="P1654" s="35"/>
      <c r="Q1654" s="35"/>
      <c r="R1654" s="35"/>
      <c r="S1654" s="35"/>
      <c r="T1654" s="35"/>
      <c r="U1654" s="35"/>
      <c r="V1654" s="35"/>
      <c r="W1654" s="35"/>
      <c r="X1654" s="35"/>
      <c r="Y1654" s="35"/>
      <c r="Z1654" s="35"/>
      <c r="AA1654" s="35"/>
      <c r="AB1654" s="35"/>
      <c r="AC1654" s="35"/>
      <c r="AD1654" s="35"/>
      <c r="AE1654" s="35"/>
    </row>
    <row r="1655">
      <c r="A1655" s="30"/>
      <c r="B1655" s="35"/>
      <c r="C1655" s="35"/>
      <c r="D1655" s="35"/>
      <c r="E1655" s="35"/>
      <c r="F1655" s="33"/>
      <c r="G1655" s="33"/>
      <c r="H1655" s="33"/>
      <c r="I1655" s="33"/>
      <c r="J1655" s="33"/>
      <c r="K1655" s="35"/>
      <c r="L1655" s="35"/>
      <c r="M1655" s="35"/>
      <c r="N1655" s="35"/>
      <c r="O1655" s="35"/>
      <c r="P1655" s="35"/>
      <c r="Q1655" s="35"/>
      <c r="R1655" s="35"/>
      <c r="S1655" s="35"/>
      <c r="T1655" s="35"/>
      <c r="U1655" s="35"/>
      <c r="V1655" s="35"/>
      <c r="W1655" s="35"/>
      <c r="X1655" s="35"/>
      <c r="Y1655" s="35"/>
      <c r="Z1655" s="35"/>
      <c r="AA1655" s="35"/>
      <c r="AB1655" s="35"/>
      <c r="AC1655" s="35"/>
      <c r="AD1655" s="35"/>
      <c r="AE1655" s="35"/>
    </row>
    <row r="1656">
      <c r="A1656" s="30"/>
      <c r="B1656" s="35"/>
      <c r="C1656" s="35"/>
      <c r="D1656" s="35"/>
      <c r="E1656" s="35"/>
      <c r="F1656" s="33"/>
      <c r="G1656" s="33"/>
      <c r="H1656" s="33"/>
      <c r="I1656" s="33"/>
      <c r="J1656" s="33"/>
      <c r="K1656" s="35"/>
      <c r="L1656" s="35"/>
      <c r="M1656" s="35"/>
      <c r="N1656" s="35"/>
      <c r="O1656" s="35"/>
      <c r="P1656" s="35"/>
      <c r="Q1656" s="35"/>
      <c r="R1656" s="35"/>
      <c r="S1656" s="35"/>
      <c r="T1656" s="35"/>
      <c r="U1656" s="35"/>
      <c r="V1656" s="35"/>
      <c r="W1656" s="35"/>
      <c r="X1656" s="35"/>
      <c r="Y1656" s="35"/>
      <c r="Z1656" s="35"/>
      <c r="AA1656" s="35"/>
      <c r="AB1656" s="35"/>
      <c r="AC1656" s="35"/>
      <c r="AD1656" s="35"/>
      <c r="AE1656" s="35"/>
    </row>
    <row r="1657">
      <c r="A1657" s="30"/>
      <c r="B1657" s="35"/>
      <c r="C1657" s="35"/>
      <c r="D1657" s="35"/>
      <c r="E1657" s="35"/>
      <c r="F1657" s="33"/>
      <c r="G1657" s="33"/>
      <c r="H1657" s="33"/>
      <c r="I1657" s="33"/>
      <c r="J1657" s="33"/>
      <c r="K1657" s="35"/>
      <c r="L1657" s="35"/>
      <c r="M1657" s="35"/>
      <c r="N1657" s="35"/>
      <c r="O1657" s="35"/>
      <c r="P1657" s="35"/>
      <c r="Q1657" s="35"/>
      <c r="R1657" s="35"/>
      <c r="S1657" s="35"/>
      <c r="T1657" s="35"/>
      <c r="U1657" s="35"/>
      <c r="V1657" s="35"/>
      <c r="W1657" s="35"/>
      <c r="X1657" s="35"/>
      <c r="Y1657" s="35"/>
      <c r="Z1657" s="35"/>
      <c r="AA1657" s="35"/>
      <c r="AB1657" s="35"/>
      <c r="AC1657" s="35"/>
      <c r="AD1657" s="35"/>
      <c r="AE1657" s="35"/>
    </row>
    <row r="1658">
      <c r="A1658" s="30"/>
      <c r="B1658" s="35"/>
      <c r="C1658" s="35"/>
      <c r="D1658" s="35"/>
      <c r="E1658" s="35"/>
      <c r="F1658" s="33"/>
      <c r="G1658" s="33"/>
      <c r="H1658" s="33"/>
      <c r="I1658" s="33"/>
      <c r="J1658" s="33"/>
      <c r="K1658" s="35"/>
      <c r="L1658" s="35"/>
      <c r="M1658" s="35"/>
      <c r="N1658" s="35"/>
      <c r="O1658" s="35"/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5"/>
      <c r="AA1658" s="35"/>
      <c r="AB1658" s="35"/>
      <c r="AC1658" s="35"/>
      <c r="AD1658" s="35"/>
      <c r="AE1658" s="35"/>
    </row>
    <row r="1659">
      <c r="A1659" s="30"/>
      <c r="B1659" s="35"/>
      <c r="C1659" s="35"/>
      <c r="D1659" s="35"/>
      <c r="E1659" s="35"/>
      <c r="F1659" s="33"/>
      <c r="G1659" s="33"/>
      <c r="H1659" s="33"/>
      <c r="I1659" s="33"/>
      <c r="J1659" s="33"/>
      <c r="K1659" s="35"/>
      <c r="L1659" s="35"/>
      <c r="M1659" s="35"/>
      <c r="N1659" s="35"/>
      <c r="O1659" s="35"/>
      <c r="P1659" s="35"/>
      <c r="Q1659" s="35"/>
      <c r="R1659" s="35"/>
      <c r="S1659" s="35"/>
      <c r="T1659" s="35"/>
      <c r="U1659" s="35"/>
      <c r="V1659" s="35"/>
      <c r="W1659" s="35"/>
      <c r="X1659" s="35"/>
      <c r="Y1659" s="35"/>
      <c r="Z1659" s="35"/>
      <c r="AA1659" s="35"/>
      <c r="AB1659" s="35"/>
      <c r="AC1659" s="35"/>
      <c r="AD1659" s="35"/>
      <c r="AE1659" s="35"/>
    </row>
    <row r="1660">
      <c r="A1660" s="30"/>
      <c r="B1660" s="35"/>
      <c r="C1660" s="35"/>
      <c r="D1660" s="35"/>
      <c r="E1660" s="35"/>
      <c r="F1660" s="33"/>
      <c r="G1660" s="33"/>
      <c r="H1660" s="33"/>
      <c r="I1660" s="33"/>
      <c r="J1660" s="33"/>
      <c r="K1660" s="35"/>
      <c r="L1660" s="35"/>
      <c r="M1660" s="35"/>
      <c r="N1660" s="35"/>
      <c r="O1660" s="35"/>
      <c r="P1660" s="35"/>
      <c r="Q1660" s="35"/>
      <c r="R1660" s="35"/>
      <c r="S1660" s="35"/>
      <c r="T1660" s="35"/>
      <c r="U1660" s="35"/>
      <c r="V1660" s="35"/>
      <c r="W1660" s="35"/>
      <c r="X1660" s="35"/>
      <c r="Y1660" s="35"/>
      <c r="Z1660" s="35"/>
      <c r="AA1660" s="35"/>
      <c r="AB1660" s="35"/>
      <c r="AC1660" s="35"/>
      <c r="AD1660" s="35"/>
      <c r="AE1660" s="35"/>
    </row>
    <row r="1661">
      <c r="A1661" s="30"/>
      <c r="B1661" s="35"/>
      <c r="C1661" s="35"/>
      <c r="D1661" s="35"/>
      <c r="E1661" s="35"/>
      <c r="F1661" s="33"/>
      <c r="G1661" s="33"/>
      <c r="H1661" s="33"/>
      <c r="I1661" s="33"/>
      <c r="J1661" s="33"/>
      <c r="K1661" s="35"/>
      <c r="L1661" s="35"/>
      <c r="M1661" s="35"/>
      <c r="N1661" s="35"/>
      <c r="O1661" s="35"/>
      <c r="P1661" s="35"/>
      <c r="Q1661" s="35"/>
      <c r="R1661" s="35"/>
      <c r="S1661" s="35"/>
      <c r="T1661" s="35"/>
      <c r="U1661" s="35"/>
      <c r="V1661" s="35"/>
      <c r="W1661" s="35"/>
      <c r="X1661" s="35"/>
      <c r="Y1661" s="35"/>
      <c r="Z1661" s="35"/>
      <c r="AA1661" s="35"/>
      <c r="AB1661" s="35"/>
      <c r="AC1661" s="35"/>
      <c r="AD1661" s="35"/>
      <c r="AE1661" s="35"/>
    </row>
    <row r="1662">
      <c r="A1662" s="30"/>
      <c r="B1662" s="35"/>
      <c r="C1662" s="35"/>
      <c r="D1662" s="35"/>
      <c r="E1662" s="35"/>
      <c r="F1662" s="33"/>
      <c r="G1662" s="33"/>
      <c r="H1662" s="33"/>
      <c r="I1662" s="33"/>
      <c r="J1662" s="33"/>
      <c r="K1662" s="35"/>
      <c r="L1662" s="35"/>
      <c r="M1662" s="35"/>
      <c r="N1662" s="35"/>
      <c r="O1662" s="35"/>
      <c r="P1662" s="35"/>
      <c r="Q1662" s="35"/>
      <c r="R1662" s="35"/>
      <c r="S1662" s="35"/>
      <c r="T1662" s="35"/>
      <c r="U1662" s="35"/>
      <c r="V1662" s="35"/>
      <c r="W1662" s="35"/>
      <c r="X1662" s="35"/>
      <c r="Y1662" s="35"/>
      <c r="Z1662" s="35"/>
      <c r="AA1662" s="35"/>
      <c r="AB1662" s="35"/>
      <c r="AC1662" s="35"/>
      <c r="AD1662" s="35"/>
      <c r="AE1662" s="35"/>
    </row>
    <row r="1663">
      <c r="A1663" s="30"/>
      <c r="B1663" s="35"/>
      <c r="C1663" s="35"/>
      <c r="D1663" s="35"/>
      <c r="E1663" s="35"/>
      <c r="F1663" s="33"/>
      <c r="G1663" s="33"/>
      <c r="H1663" s="33"/>
      <c r="I1663" s="33"/>
      <c r="J1663" s="33"/>
      <c r="K1663" s="35"/>
      <c r="L1663" s="35"/>
      <c r="M1663" s="35"/>
      <c r="N1663" s="35"/>
      <c r="O1663" s="35"/>
      <c r="P1663" s="35"/>
      <c r="Q1663" s="35"/>
      <c r="R1663" s="35"/>
      <c r="S1663" s="35"/>
      <c r="T1663" s="35"/>
      <c r="U1663" s="35"/>
      <c r="V1663" s="35"/>
      <c r="W1663" s="35"/>
      <c r="X1663" s="35"/>
      <c r="Y1663" s="35"/>
      <c r="Z1663" s="35"/>
      <c r="AA1663" s="35"/>
      <c r="AB1663" s="35"/>
      <c r="AC1663" s="35"/>
      <c r="AD1663" s="35"/>
      <c r="AE1663" s="35"/>
    </row>
    <row r="1664">
      <c r="A1664" s="30"/>
      <c r="B1664" s="35"/>
      <c r="C1664" s="35"/>
      <c r="D1664" s="35"/>
      <c r="E1664" s="35"/>
      <c r="F1664" s="33"/>
      <c r="G1664" s="33"/>
      <c r="H1664" s="33"/>
      <c r="I1664" s="33"/>
      <c r="J1664" s="33"/>
      <c r="K1664" s="35"/>
      <c r="L1664" s="35"/>
      <c r="M1664" s="35"/>
      <c r="N1664" s="35"/>
      <c r="O1664" s="35"/>
      <c r="P1664" s="35"/>
      <c r="Q1664" s="35"/>
      <c r="R1664" s="35"/>
      <c r="S1664" s="35"/>
      <c r="T1664" s="35"/>
      <c r="U1664" s="35"/>
      <c r="V1664" s="35"/>
      <c r="W1664" s="35"/>
      <c r="X1664" s="35"/>
      <c r="Y1664" s="35"/>
      <c r="Z1664" s="35"/>
      <c r="AA1664" s="35"/>
      <c r="AB1664" s="35"/>
      <c r="AC1664" s="35"/>
      <c r="AD1664" s="35"/>
      <c r="AE1664" s="35"/>
    </row>
    <row r="1665">
      <c r="A1665" s="30"/>
      <c r="B1665" s="35"/>
      <c r="C1665" s="35"/>
      <c r="D1665" s="35"/>
      <c r="E1665" s="35"/>
      <c r="F1665" s="33"/>
      <c r="G1665" s="33"/>
      <c r="H1665" s="33"/>
      <c r="I1665" s="33"/>
      <c r="J1665" s="33"/>
      <c r="K1665" s="35"/>
      <c r="L1665" s="35"/>
      <c r="M1665" s="35"/>
      <c r="N1665" s="35"/>
      <c r="O1665" s="35"/>
      <c r="P1665" s="35"/>
      <c r="Q1665" s="35"/>
      <c r="R1665" s="35"/>
      <c r="S1665" s="35"/>
      <c r="T1665" s="35"/>
      <c r="U1665" s="35"/>
      <c r="V1665" s="35"/>
      <c r="W1665" s="35"/>
      <c r="X1665" s="35"/>
      <c r="Y1665" s="35"/>
      <c r="Z1665" s="35"/>
      <c r="AA1665" s="35"/>
      <c r="AB1665" s="35"/>
      <c r="AC1665" s="35"/>
      <c r="AD1665" s="35"/>
      <c r="AE1665" s="35"/>
    </row>
    <row r="1666">
      <c r="A1666" s="30"/>
      <c r="B1666" s="35"/>
      <c r="C1666" s="35"/>
      <c r="D1666" s="35"/>
      <c r="E1666" s="35"/>
      <c r="F1666" s="33"/>
      <c r="G1666" s="33"/>
      <c r="H1666" s="33"/>
      <c r="I1666" s="33"/>
      <c r="J1666" s="33"/>
      <c r="K1666" s="35"/>
      <c r="L1666" s="35"/>
      <c r="M1666" s="35"/>
      <c r="N1666" s="35"/>
      <c r="O1666" s="35"/>
      <c r="P1666" s="35"/>
      <c r="Q1666" s="35"/>
      <c r="R1666" s="35"/>
      <c r="S1666" s="35"/>
      <c r="T1666" s="35"/>
      <c r="U1666" s="35"/>
      <c r="V1666" s="35"/>
      <c r="W1666" s="35"/>
      <c r="X1666" s="35"/>
      <c r="Y1666" s="35"/>
      <c r="Z1666" s="35"/>
      <c r="AA1666" s="35"/>
      <c r="AB1666" s="35"/>
      <c r="AC1666" s="35"/>
      <c r="AD1666" s="35"/>
      <c r="AE1666" s="35"/>
    </row>
    <row r="1667">
      <c r="A1667" s="30"/>
      <c r="B1667" s="35"/>
      <c r="C1667" s="35"/>
      <c r="D1667" s="35"/>
      <c r="E1667" s="35"/>
      <c r="F1667" s="33"/>
      <c r="G1667" s="33"/>
      <c r="H1667" s="33"/>
      <c r="I1667" s="33"/>
      <c r="J1667" s="33"/>
      <c r="K1667" s="35"/>
      <c r="L1667" s="35"/>
      <c r="M1667" s="35"/>
      <c r="N1667" s="35"/>
      <c r="O1667" s="35"/>
      <c r="P1667" s="35"/>
      <c r="Q1667" s="35"/>
      <c r="R1667" s="35"/>
      <c r="S1667" s="35"/>
      <c r="T1667" s="35"/>
      <c r="U1667" s="35"/>
      <c r="V1667" s="35"/>
      <c r="W1667" s="35"/>
      <c r="X1667" s="35"/>
      <c r="Y1667" s="35"/>
      <c r="Z1667" s="35"/>
      <c r="AA1667" s="35"/>
      <c r="AB1667" s="35"/>
      <c r="AC1667" s="35"/>
      <c r="AD1667" s="35"/>
      <c r="AE1667" s="35"/>
    </row>
    <row r="1668">
      <c r="A1668" s="30"/>
      <c r="B1668" s="35"/>
      <c r="C1668" s="35"/>
      <c r="D1668" s="35"/>
      <c r="E1668" s="35"/>
      <c r="F1668" s="33"/>
      <c r="G1668" s="33"/>
      <c r="H1668" s="33"/>
      <c r="I1668" s="33"/>
      <c r="J1668" s="33"/>
      <c r="K1668" s="35"/>
      <c r="L1668" s="35"/>
      <c r="M1668" s="35"/>
      <c r="N1668" s="35"/>
      <c r="O1668" s="35"/>
      <c r="P1668" s="35"/>
      <c r="Q1668" s="35"/>
      <c r="R1668" s="35"/>
      <c r="S1668" s="35"/>
      <c r="T1668" s="35"/>
      <c r="U1668" s="35"/>
      <c r="V1668" s="35"/>
      <c r="W1668" s="35"/>
      <c r="X1668" s="35"/>
      <c r="Y1668" s="35"/>
      <c r="Z1668" s="35"/>
      <c r="AA1668" s="35"/>
      <c r="AB1668" s="35"/>
      <c r="AC1668" s="35"/>
      <c r="AD1668" s="35"/>
      <c r="AE1668" s="35"/>
    </row>
    <row r="1669">
      <c r="A1669" s="30"/>
      <c r="B1669" s="35"/>
      <c r="C1669" s="35"/>
      <c r="D1669" s="35"/>
      <c r="E1669" s="35"/>
      <c r="F1669" s="33"/>
      <c r="G1669" s="33"/>
      <c r="H1669" s="33"/>
      <c r="I1669" s="33"/>
      <c r="J1669" s="33"/>
      <c r="K1669" s="35"/>
      <c r="L1669" s="35"/>
      <c r="M1669" s="35"/>
      <c r="N1669" s="35"/>
      <c r="O1669" s="35"/>
      <c r="P1669" s="35"/>
      <c r="Q1669" s="35"/>
      <c r="R1669" s="35"/>
      <c r="S1669" s="35"/>
      <c r="T1669" s="35"/>
      <c r="U1669" s="35"/>
      <c r="V1669" s="35"/>
      <c r="W1669" s="35"/>
      <c r="X1669" s="35"/>
      <c r="Y1669" s="35"/>
      <c r="Z1669" s="35"/>
      <c r="AA1669" s="35"/>
      <c r="AB1669" s="35"/>
      <c r="AC1669" s="35"/>
      <c r="AD1669" s="35"/>
      <c r="AE1669" s="35"/>
    </row>
    <row r="1670">
      <c r="A1670" s="30"/>
      <c r="B1670" s="35"/>
      <c r="C1670" s="35"/>
      <c r="D1670" s="35"/>
      <c r="E1670" s="35"/>
      <c r="F1670" s="33"/>
      <c r="G1670" s="33"/>
      <c r="H1670" s="33"/>
      <c r="I1670" s="33"/>
      <c r="J1670" s="33"/>
      <c r="K1670" s="35"/>
      <c r="L1670" s="35"/>
      <c r="M1670" s="35"/>
      <c r="N1670" s="35"/>
      <c r="O1670" s="35"/>
      <c r="P1670" s="35"/>
      <c r="Q1670" s="35"/>
      <c r="R1670" s="35"/>
      <c r="S1670" s="35"/>
      <c r="T1670" s="35"/>
      <c r="U1670" s="35"/>
      <c r="V1670" s="35"/>
      <c r="W1670" s="35"/>
      <c r="X1670" s="35"/>
      <c r="Y1670" s="35"/>
      <c r="Z1670" s="35"/>
      <c r="AA1670" s="35"/>
      <c r="AB1670" s="35"/>
      <c r="AC1670" s="35"/>
      <c r="AD1670" s="35"/>
      <c r="AE1670" s="35"/>
    </row>
    <row r="1671">
      <c r="A1671" s="30"/>
      <c r="B1671" s="35"/>
      <c r="C1671" s="35"/>
      <c r="D1671" s="35"/>
      <c r="E1671" s="35"/>
      <c r="F1671" s="33"/>
      <c r="G1671" s="33"/>
      <c r="H1671" s="33"/>
      <c r="I1671" s="33"/>
      <c r="J1671" s="33"/>
      <c r="K1671" s="35"/>
      <c r="L1671" s="35"/>
      <c r="M1671" s="35"/>
      <c r="N1671" s="35"/>
      <c r="O1671" s="35"/>
      <c r="P1671" s="35"/>
      <c r="Q1671" s="35"/>
      <c r="R1671" s="35"/>
      <c r="S1671" s="35"/>
      <c r="T1671" s="35"/>
      <c r="U1671" s="35"/>
      <c r="V1671" s="35"/>
      <c r="W1671" s="35"/>
      <c r="X1671" s="35"/>
      <c r="Y1671" s="35"/>
      <c r="Z1671" s="35"/>
      <c r="AA1671" s="35"/>
      <c r="AB1671" s="35"/>
      <c r="AC1671" s="35"/>
      <c r="AD1671" s="35"/>
      <c r="AE1671" s="35"/>
    </row>
    <row r="1672">
      <c r="A1672" s="30"/>
      <c r="B1672" s="35"/>
      <c r="C1672" s="35"/>
      <c r="D1672" s="35"/>
      <c r="E1672" s="35"/>
      <c r="F1672" s="33"/>
      <c r="G1672" s="33"/>
      <c r="H1672" s="33"/>
      <c r="I1672" s="33"/>
      <c r="J1672" s="33"/>
      <c r="K1672" s="35"/>
      <c r="L1672" s="35"/>
      <c r="M1672" s="35"/>
      <c r="N1672" s="35"/>
      <c r="O1672" s="35"/>
      <c r="P1672" s="35"/>
      <c r="Q1672" s="35"/>
      <c r="R1672" s="35"/>
      <c r="S1672" s="35"/>
      <c r="T1672" s="35"/>
      <c r="U1672" s="35"/>
      <c r="V1672" s="35"/>
      <c r="W1672" s="35"/>
      <c r="X1672" s="35"/>
      <c r="Y1672" s="35"/>
      <c r="Z1672" s="35"/>
      <c r="AA1672" s="35"/>
      <c r="AB1672" s="35"/>
      <c r="AC1672" s="35"/>
      <c r="AD1672" s="35"/>
      <c r="AE1672" s="35"/>
    </row>
    <row r="1673">
      <c r="A1673" s="30"/>
      <c r="B1673" s="35"/>
      <c r="C1673" s="35"/>
      <c r="D1673" s="35"/>
      <c r="E1673" s="35"/>
      <c r="F1673" s="33"/>
      <c r="G1673" s="33"/>
      <c r="H1673" s="33"/>
      <c r="I1673" s="33"/>
      <c r="J1673" s="33"/>
      <c r="K1673" s="35"/>
      <c r="L1673" s="35"/>
      <c r="M1673" s="35"/>
      <c r="N1673" s="35"/>
      <c r="O1673" s="35"/>
      <c r="P1673" s="35"/>
      <c r="Q1673" s="35"/>
      <c r="R1673" s="35"/>
      <c r="S1673" s="35"/>
      <c r="T1673" s="35"/>
      <c r="U1673" s="35"/>
      <c r="V1673" s="35"/>
      <c r="W1673" s="35"/>
      <c r="X1673" s="35"/>
      <c r="Y1673" s="35"/>
      <c r="Z1673" s="35"/>
      <c r="AA1673" s="35"/>
      <c r="AB1673" s="35"/>
      <c r="AC1673" s="35"/>
      <c r="AD1673" s="35"/>
      <c r="AE1673" s="35"/>
    </row>
    <row r="1674">
      <c r="A1674" s="30"/>
      <c r="B1674" s="35"/>
      <c r="C1674" s="35"/>
      <c r="D1674" s="35"/>
      <c r="E1674" s="35"/>
      <c r="F1674" s="33"/>
      <c r="G1674" s="33"/>
      <c r="H1674" s="33"/>
      <c r="I1674" s="33"/>
      <c r="J1674" s="33"/>
      <c r="K1674" s="35"/>
      <c r="L1674" s="35"/>
      <c r="M1674" s="35"/>
      <c r="N1674" s="35"/>
      <c r="O1674" s="35"/>
      <c r="P1674" s="35"/>
      <c r="Q1674" s="35"/>
      <c r="R1674" s="35"/>
      <c r="S1674" s="35"/>
      <c r="T1674" s="35"/>
      <c r="U1674" s="35"/>
      <c r="V1674" s="35"/>
      <c r="W1674" s="35"/>
      <c r="X1674" s="35"/>
      <c r="Y1674" s="35"/>
      <c r="Z1674" s="35"/>
      <c r="AA1674" s="35"/>
      <c r="AB1674" s="35"/>
      <c r="AC1674" s="35"/>
      <c r="AD1674" s="35"/>
      <c r="AE1674" s="35"/>
    </row>
    <row r="1675">
      <c r="A1675" s="30"/>
      <c r="B1675" s="35"/>
      <c r="C1675" s="35"/>
      <c r="D1675" s="35"/>
      <c r="E1675" s="35"/>
      <c r="F1675" s="33"/>
      <c r="G1675" s="33"/>
      <c r="H1675" s="33"/>
      <c r="I1675" s="33"/>
      <c r="J1675" s="33"/>
      <c r="K1675" s="35"/>
      <c r="L1675" s="35"/>
      <c r="M1675" s="35"/>
      <c r="N1675" s="35"/>
      <c r="O1675" s="35"/>
      <c r="P1675" s="35"/>
      <c r="Q1675" s="35"/>
      <c r="R1675" s="35"/>
      <c r="S1675" s="35"/>
      <c r="T1675" s="35"/>
      <c r="U1675" s="35"/>
      <c r="V1675" s="35"/>
      <c r="W1675" s="35"/>
      <c r="X1675" s="35"/>
      <c r="Y1675" s="35"/>
      <c r="Z1675" s="35"/>
      <c r="AA1675" s="35"/>
      <c r="AB1675" s="35"/>
      <c r="AC1675" s="35"/>
      <c r="AD1675" s="35"/>
      <c r="AE1675" s="35"/>
    </row>
    <row r="1676">
      <c r="A1676" s="30"/>
      <c r="B1676" s="35"/>
      <c r="C1676" s="35"/>
      <c r="D1676" s="35"/>
      <c r="E1676" s="35"/>
      <c r="F1676" s="33"/>
      <c r="G1676" s="33"/>
      <c r="H1676" s="33"/>
      <c r="I1676" s="33"/>
      <c r="J1676" s="33"/>
      <c r="K1676" s="35"/>
      <c r="L1676" s="35"/>
      <c r="M1676" s="35"/>
      <c r="N1676" s="35"/>
      <c r="O1676" s="35"/>
      <c r="P1676" s="35"/>
      <c r="Q1676" s="35"/>
      <c r="R1676" s="35"/>
      <c r="S1676" s="35"/>
      <c r="T1676" s="35"/>
      <c r="U1676" s="35"/>
      <c r="V1676" s="35"/>
      <c r="W1676" s="35"/>
      <c r="X1676" s="35"/>
      <c r="Y1676" s="35"/>
      <c r="Z1676" s="35"/>
      <c r="AA1676" s="35"/>
      <c r="AB1676" s="35"/>
      <c r="AC1676" s="35"/>
      <c r="AD1676" s="35"/>
      <c r="AE1676" s="35"/>
    </row>
    <row r="1677">
      <c r="A1677" s="30"/>
      <c r="B1677" s="35"/>
      <c r="C1677" s="35"/>
      <c r="D1677" s="35"/>
      <c r="E1677" s="35"/>
      <c r="F1677" s="33"/>
      <c r="G1677" s="33"/>
      <c r="H1677" s="33"/>
      <c r="I1677" s="33"/>
      <c r="J1677" s="33"/>
      <c r="K1677" s="35"/>
      <c r="L1677" s="35"/>
      <c r="M1677" s="35"/>
      <c r="N1677" s="35"/>
      <c r="O1677" s="35"/>
      <c r="P1677" s="35"/>
      <c r="Q1677" s="35"/>
      <c r="R1677" s="35"/>
      <c r="S1677" s="35"/>
      <c r="T1677" s="35"/>
      <c r="U1677" s="35"/>
      <c r="V1677" s="35"/>
      <c r="W1677" s="35"/>
      <c r="X1677" s="35"/>
      <c r="Y1677" s="35"/>
      <c r="Z1677" s="35"/>
      <c r="AA1677" s="35"/>
      <c r="AB1677" s="35"/>
      <c r="AC1677" s="35"/>
      <c r="AD1677" s="35"/>
      <c r="AE1677" s="35"/>
    </row>
    <row r="1678">
      <c r="A1678" s="30"/>
      <c r="B1678" s="35"/>
      <c r="C1678" s="35"/>
      <c r="D1678" s="35"/>
      <c r="E1678" s="35"/>
      <c r="F1678" s="33"/>
      <c r="G1678" s="33"/>
      <c r="H1678" s="33"/>
      <c r="I1678" s="33"/>
      <c r="J1678" s="33"/>
      <c r="K1678" s="35"/>
      <c r="L1678" s="35"/>
      <c r="M1678" s="35"/>
      <c r="N1678" s="35"/>
      <c r="O1678" s="35"/>
      <c r="P1678" s="35"/>
      <c r="Q1678" s="35"/>
      <c r="R1678" s="35"/>
      <c r="S1678" s="35"/>
      <c r="T1678" s="35"/>
      <c r="U1678" s="35"/>
      <c r="V1678" s="35"/>
      <c r="W1678" s="35"/>
      <c r="X1678" s="35"/>
      <c r="Y1678" s="35"/>
      <c r="Z1678" s="35"/>
      <c r="AA1678" s="35"/>
      <c r="AB1678" s="35"/>
      <c r="AC1678" s="35"/>
      <c r="AD1678" s="35"/>
      <c r="AE1678" s="35"/>
    </row>
    <row r="1679">
      <c r="A1679" s="30"/>
      <c r="B1679" s="35"/>
      <c r="C1679" s="35"/>
      <c r="D1679" s="35"/>
      <c r="E1679" s="35"/>
      <c r="F1679" s="33"/>
      <c r="G1679" s="33"/>
      <c r="H1679" s="33"/>
      <c r="I1679" s="33"/>
      <c r="J1679" s="33"/>
      <c r="K1679" s="35"/>
      <c r="L1679" s="35"/>
      <c r="M1679" s="35"/>
      <c r="N1679" s="35"/>
      <c r="O1679" s="35"/>
      <c r="P1679" s="35"/>
      <c r="Q1679" s="35"/>
      <c r="R1679" s="35"/>
      <c r="S1679" s="35"/>
      <c r="T1679" s="35"/>
      <c r="U1679" s="35"/>
      <c r="V1679" s="35"/>
      <c r="W1679" s="35"/>
      <c r="X1679" s="35"/>
      <c r="Y1679" s="35"/>
      <c r="Z1679" s="35"/>
      <c r="AA1679" s="35"/>
      <c r="AB1679" s="35"/>
      <c r="AC1679" s="35"/>
      <c r="AD1679" s="35"/>
      <c r="AE1679" s="35"/>
    </row>
    <row r="1680">
      <c r="A1680" s="30"/>
      <c r="B1680" s="35"/>
      <c r="C1680" s="35"/>
      <c r="D1680" s="35"/>
      <c r="E1680" s="35"/>
      <c r="F1680" s="33"/>
      <c r="G1680" s="33"/>
      <c r="H1680" s="33"/>
      <c r="I1680" s="33"/>
      <c r="J1680" s="33"/>
      <c r="K1680" s="35"/>
      <c r="L1680" s="35"/>
      <c r="M1680" s="35"/>
      <c r="N1680" s="35"/>
      <c r="O1680" s="35"/>
      <c r="P1680" s="35"/>
      <c r="Q1680" s="35"/>
      <c r="R1680" s="35"/>
      <c r="S1680" s="35"/>
      <c r="T1680" s="35"/>
      <c r="U1680" s="35"/>
      <c r="V1680" s="35"/>
      <c r="W1680" s="35"/>
      <c r="X1680" s="35"/>
      <c r="Y1680" s="35"/>
      <c r="Z1680" s="35"/>
      <c r="AA1680" s="35"/>
      <c r="AB1680" s="35"/>
      <c r="AC1680" s="35"/>
      <c r="AD1680" s="35"/>
      <c r="AE1680" s="35"/>
    </row>
    <row r="1681">
      <c r="A1681" s="30"/>
      <c r="B1681" s="35"/>
      <c r="C1681" s="35"/>
      <c r="D1681" s="35"/>
      <c r="E1681" s="35"/>
      <c r="F1681" s="33"/>
      <c r="G1681" s="33"/>
      <c r="H1681" s="33"/>
      <c r="I1681" s="33"/>
      <c r="J1681" s="33"/>
      <c r="K1681" s="35"/>
      <c r="L1681" s="35"/>
      <c r="M1681" s="35"/>
      <c r="N1681" s="35"/>
      <c r="O1681" s="35"/>
      <c r="P1681" s="35"/>
      <c r="Q1681" s="35"/>
      <c r="R1681" s="35"/>
      <c r="S1681" s="35"/>
      <c r="T1681" s="35"/>
      <c r="U1681" s="35"/>
      <c r="V1681" s="35"/>
      <c r="W1681" s="35"/>
      <c r="X1681" s="35"/>
      <c r="Y1681" s="35"/>
      <c r="Z1681" s="35"/>
      <c r="AA1681" s="35"/>
      <c r="AB1681" s="35"/>
      <c r="AC1681" s="35"/>
      <c r="AD1681" s="35"/>
      <c r="AE1681" s="35"/>
    </row>
    <row r="1682">
      <c r="A1682" s="30"/>
      <c r="B1682" s="35"/>
      <c r="C1682" s="35"/>
      <c r="D1682" s="35"/>
      <c r="E1682" s="35"/>
      <c r="F1682" s="33"/>
      <c r="G1682" s="33"/>
      <c r="H1682" s="33"/>
      <c r="I1682" s="33"/>
      <c r="J1682" s="33"/>
      <c r="K1682" s="35"/>
      <c r="L1682" s="35"/>
      <c r="M1682" s="35"/>
      <c r="N1682" s="35"/>
      <c r="O1682" s="35"/>
      <c r="P1682" s="35"/>
      <c r="Q1682" s="35"/>
      <c r="R1682" s="35"/>
      <c r="S1682" s="35"/>
      <c r="T1682" s="35"/>
      <c r="U1682" s="35"/>
      <c r="V1682" s="35"/>
      <c r="W1682" s="35"/>
      <c r="X1682" s="35"/>
      <c r="Y1682" s="35"/>
      <c r="Z1682" s="35"/>
      <c r="AA1682" s="35"/>
      <c r="AB1682" s="35"/>
      <c r="AC1682" s="35"/>
      <c r="AD1682" s="35"/>
      <c r="AE1682" s="35"/>
    </row>
    <row r="1683">
      <c r="A1683" s="30"/>
      <c r="B1683" s="35"/>
      <c r="C1683" s="35"/>
      <c r="D1683" s="35"/>
      <c r="E1683" s="35"/>
      <c r="F1683" s="33"/>
      <c r="G1683" s="33"/>
      <c r="H1683" s="33"/>
      <c r="I1683" s="33"/>
      <c r="J1683" s="33"/>
      <c r="K1683" s="35"/>
      <c r="L1683" s="35"/>
      <c r="M1683" s="35"/>
      <c r="N1683" s="35"/>
      <c r="O1683" s="35"/>
      <c r="P1683" s="35"/>
      <c r="Q1683" s="35"/>
      <c r="R1683" s="35"/>
      <c r="S1683" s="35"/>
      <c r="T1683" s="35"/>
      <c r="U1683" s="35"/>
      <c r="V1683" s="35"/>
      <c r="W1683" s="35"/>
      <c r="X1683" s="35"/>
      <c r="Y1683" s="35"/>
      <c r="Z1683" s="35"/>
      <c r="AA1683" s="35"/>
      <c r="AB1683" s="35"/>
      <c r="AC1683" s="35"/>
      <c r="AD1683" s="35"/>
      <c r="AE1683" s="35"/>
    </row>
    <row r="1684">
      <c r="A1684" s="30"/>
      <c r="B1684" s="35"/>
      <c r="C1684" s="35"/>
      <c r="D1684" s="35"/>
      <c r="E1684" s="35"/>
      <c r="F1684" s="33"/>
      <c r="G1684" s="33"/>
      <c r="H1684" s="33"/>
      <c r="I1684" s="33"/>
      <c r="J1684" s="33"/>
      <c r="K1684" s="35"/>
      <c r="L1684" s="35"/>
      <c r="M1684" s="35"/>
      <c r="N1684" s="35"/>
      <c r="O1684" s="35"/>
      <c r="P1684" s="35"/>
      <c r="Q1684" s="35"/>
      <c r="R1684" s="35"/>
      <c r="S1684" s="35"/>
      <c r="T1684" s="35"/>
      <c r="U1684" s="35"/>
      <c r="V1684" s="35"/>
      <c r="W1684" s="35"/>
      <c r="X1684" s="35"/>
      <c r="Y1684" s="35"/>
      <c r="Z1684" s="35"/>
      <c r="AA1684" s="35"/>
      <c r="AB1684" s="35"/>
      <c r="AC1684" s="35"/>
      <c r="AD1684" s="35"/>
      <c r="AE1684" s="35"/>
    </row>
    <row r="1685">
      <c r="A1685" s="30"/>
      <c r="B1685" s="35"/>
      <c r="C1685" s="35"/>
      <c r="D1685" s="35"/>
      <c r="E1685" s="35"/>
      <c r="F1685" s="33"/>
      <c r="G1685" s="33"/>
      <c r="H1685" s="33"/>
      <c r="I1685" s="33"/>
      <c r="J1685" s="33"/>
      <c r="K1685" s="35"/>
      <c r="L1685" s="35"/>
      <c r="M1685" s="35"/>
      <c r="N1685" s="35"/>
      <c r="O1685" s="35"/>
      <c r="P1685" s="35"/>
      <c r="Q1685" s="35"/>
      <c r="R1685" s="35"/>
      <c r="S1685" s="35"/>
      <c r="T1685" s="35"/>
      <c r="U1685" s="35"/>
      <c r="V1685" s="35"/>
      <c r="W1685" s="35"/>
      <c r="X1685" s="35"/>
      <c r="Y1685" s="35"/>
      <c r="Z1685" s="35"/>
      <c r="AA1685" s="35"/>
      <c r="AB1685" s="35"/>
      <c r="AC1685" s="35"/>
      <c r="AD1685" s="35"/>
      <c r="AE1685" s="35"/>
    </row>
    <row r="1686">
      <c r="A1686" s="30"/>
      <c r="B1686" s="35"/>
      <c r="C1686" s="35"/>
      <c r="D1686" s="35"/>
      <c r="E1686" s="35"/>
      <c r="F1686" s="33"/>
      <c r="G1686" s="33"/>
      <c r="H1686" s="33"/>
      <c r="I1686" s="33"/>
      <c r="J1686" s="33"/>
      <c r="K1686" s="35"/>
      <c r="L1686" s="35"/>
      <c r="M1686" s="35"/>
      <c r="N1686" s="35"/>
      <c r="O1686" s="35"/>
      <c r="P1686" s="35"/>
      <c r="Q1686" s="35"/>
      <c r="R1686" s="35"/>
      <c r="S1686" s="35"/>
      <c r="T1686" s="35"/>
      <c r="U1686" s="35"/>
      <c r="V1686" s="35"/>
      <c r="W1686" s="35"/>
      <c r="X1686" s="35"/>
      <c r="Y1686" s="35"/>
      <c r="Z1686" s="35"/>
      <c r="AA1686" s="35"/>
      <c r="AB1686" s="35"/>
      <c r="AC1686" s="35"/>
      <c r="AD1686" s="35"/>
      <c r="AE1686" s="35"/>
    </row>
    <row r="1687">
      <c r="A1687" s="30"/>
      <c r="B1687" s="35"/>
      <c r="C1687" s="35"/>
      <c r="D1687" s="35"/>
      <c r="E1687" s="35"/>
      <c r="F1687" s="33"/>
      <c r="G1687" s="33"/>
      <c r="H1687" s="33"/>
      <c r="I1687" s="33"/>
      <c r="J1687" s="33"/>
      <c r="K1687" s="35"/>
      <c r="L1687" s="35"/>
      <c r="M1687" s="35"/>
      <c r="N1687" s="35"/>
      <c r="O1687" s="35"/>
      <c r="P1687" s="35"/>
      <c r="Q1687" s="35"/>
      <c r="R1687" s="35"/>
      <c r="S1687" s="35"/>
      <c r="T1687" s="35"/>
      <c r="U1687" s="35"/>
      <c r="V1687" s="35"/>
      <c r="W1687" s="35"/>
      <c r="X1687" s="35"/>
      <c r="Y1687" s="35"/>
      <c r="Z1687" s="35"/>
      <c r="AA1687" s="35"/>
      <c r="AB1687" s="35"/>
      <c r="AC1687" s="35"/>
      <c r="AD1687" s="35"/>
      <c r="AE1687" s="35"/>
    </row>
    <row r="1688">
      <c r="A1688" s="30"/>
      <c r="B1688" s="35"/>
      <c r="C1688" s="35"/>
      <c r="D1688" s="35"/>
      <c r="E1688" s="35"/>
      <c r="F1688" s="33"/>
      <c r="G1688" s="33"/>
      <c r="H1688" s="33"/>
      <c r="I1688" s="33"/>
      <c r="J1688" s="33"/>
      <c r="K1688" s="35"/>
      <c r="L1688" s="35"/>
      <c r="M1688" s="35"/>
      <c r="N1688" s="35"/>
      <c r="O1688" s="35"/>
      <c r="P1688" s="35"/>
      <c r="Q1688" s="35"/>
      <c r="R1688" s="35"/>
      <c r="S1688" s="35"/>
      <c r="T1688" s="35"/>
      <c r="U1688" s="35"/>
      <c r="V1688" s="35"/>
      <c r="W1688" s="35"/>
      <c r="X1688" s="35"/>
      <c r="Y1688" s="35"/>
      <c r="Z1688" s="35"/>
      <c r="AA1688" s="35"/>
      <c r="AB1688" s="35"/>
      <c r="AC1688" s="35"/>
      <c r="AD1688" s="35"/>
      <c r="AE1688" s="35"/>
    </row>
    <row r="1689">
      <c r="A1689" s="30"/>
      <c r="B1689" s="35"/>
      <c r="C1689" s="35"/>
      <c r="D1689" s="35"/>
      <c r="E1689" s="35"/>
      <c r="F1689" s="33"/>
      <c r="G1689" s="33"/>
      <c r="H1689" s="33"/>
      <c r="I1689" s="33"/>
      <c r="J1689" s="33"/>
      <c r="K1689" s="35"/>
      <c r="L1689" s="35"/>
      <c r="M1689" s="35"/>
      <c r="N1689" s="35"/>
      <c r="O1689" s="35"/>
      <c r="P1689" s="35"/>
      <c r="Q1689" s="35"/>
      <c r="R1689" s="35"/>
      <c r="S1689" s="35"/>
      <c r="T1689" s="35"/>
      <c r="U1689" s="35"/>
      <c r="V1689" s="35"/>
      <c r="W1689" s="35"/>
      <c r="X1689" s="35"/>
      <c r="Y1689" s="35"/>
      <c r="Z1689" s="35"/>
      <c r="AA1689" s="35"/>
      <c r="AB1689" s="35"/>
      <c r="AC1689" s="35"/>
      <c r="AD1689" s="35"/>
      <c r="AE1689" s="35"/>
    </row>
    <row r="1690">
      <c r="A1690" s="30"/>
      <c r="B1690" s="35"/>
      <c r="C1690" s="35"/>
      <c r="D1690" s="35"/>
      <c r="E1690" s="35"/>
      <c r="F1690" s="33"/>
      <c r="G1690" s="33"/>
      <c r="H1690" s="33"/>
      <c r="I1690" s="33"/>
      <c r="J1690" s="33"/>
      <c r="K1690" s="35"/>
      <c r="L1690" s="35"/>
      <c r="M1690" s="35"/>
      <c r="N1690" s="35"/>
      <c r="O1690" s="35"/>
      <c r="P1690" s="35"/>
      <c r="Q1690" s="35"/>
      <c r="R1690" s="35"/>
      <c r="S1690" s="35"/>
      <c r="T1690" s="35"/>
      <c r="U1690" s="35"/>
      <c r="V1690" s="35"/>
      <c r="W1690" s="35"/>
      <c r="X1690" s="35"/>
      <c r="Y1690" s="35"/>
      <c r="Z1690" s="35"/>
      <c r="AA1690" s="35"/>
      <c r="AB1690" s="35"/>
      <c r="AC1690" s="35"/>
      <c r="AD1690" s="35"/>
      <c r="AE1690" s="35"/>
    </row>
    <row r="1691">
      <c r="A1691" s="30"/>
      <c r="B1691" s="35"/>
      <c r="C1691" s="35"/>
      <c r="D1691" s="35"/>
      <c r="E1691" s="35"/>
      <c r="F1691" s="33"/>
      <c r="G1691" s="33"/>
      <c r="H1691" s="33"/>
      <c r="I1691" s="33"/>
      <c r="J1691" s="33"/>
      <c r="K1691" s="35"/>
      <c r="L1691" s="35"/>
      <c r="M1691" s="35"/>
      <c r="N1691" s="35"/>
      <c r="O1691" s="35"/>
      <c r="P1691" s="35"/>
      <c r="Q1691" s="35"/>
      <c r="R1691" s="35"/>
      <c r="S1691" s="35"/>
      <c r="T1691" s="35"/>
      <c r="U1691" s="35"/>
      <c r="V1691" s="35"/>
      <c r="W1691" s="35"/>
      <c r="X1691" s="35"/>
      <c r="Y1691" s="35"/>
      <c r="Z1691" s="35"/>
      <c r="AA1691" s="35"/>
      <c r="AB1691" s="35"/>
      <c r="AC1691" s="35"/>
      <c r="AD1691" s="35"/>
      <c r="AE1691" s="35"/>
    </row>
    <row r="1692">
      <c r="A1692" s="30"/>
      <c r="B1692" s="35"/>
      <c r="C1692" s="35"/>
      <c r="D1692" s="35"/>
      <c r="E1692" s="35"/>
      <c r="F1692" s="33"/>
      <c r="G1692" s="33"/>
      <c r="H1692" s="33"/>
      <c r="I1692" s="33"/>
      <c r="J1692" s="33"/>
      <c r="K1692" s="35"/>
      <c r="L1692" s="35"/>
      <c r="M1692" s="35"/>
      <c r="N1692" s="35"/>
      <c r="O1692" s="35"/>
      <c r="P1692" s="35"/>
      <c r="Q1692" s="35"/>
      <c r="R1692" s="35"/>
      <c r="S1692" s="35"/>
      <c r="T1692" s="35"/>
      <c r="U1692" s="35"/>
      <c r="V1692" s="35"/>
      <c r="W1692" s="35"/>
      <c r="X1692" s="35"/>
      <c r="Y1692" s="35"/>
      <c r="Z1692" s="35"/>
      <c r="AA1692" s="35"/>
      <c r="AB1692" s="35"/>
      <c r="AC1692" s="35"/>
      <c r="AD1692" s="35"/>
      <c r="AE1692" s="35"/>
    </row>
    <row r="1693">
      <c r="A1693" s="30"/>
      <c r="B1693" s="35"/>
      <c r="C1693" s="35"/>
      <c r="D1693" s="35"/>
      <c r="E1693" s="35"/>
      <c r="F1693" s="33"/>
      <c r="G1693" s="33"/>
      <c r="H1693" s="33"/>
      <c r="I1693" s="33"/>
      <c r="J1693" s="33"/>
      <c r="K1693" s="35"/>
      <c r="L1693" s="35"/>
      <c r="M1693" s="35"/>
      <c r="N1693" s="35"/>
      <c r="O1693" s="35"/>
      <c r="P1693" s="35"/>
      <c r="Q1693" s="35"/>
      <c r="R1693" s="35"/>
      <c r="S1693" s="35"/>
      <c r="T1693" s="35"/>
      <c r="U1693" s="35"/>
      <c r="V1693" s="35"/>
      <c r="W1693" s="35"/>
      <c r="X1693" s="35"/>
      <c r="Y1693" s="35"/>
      <c r="Z1693" s="35"/>
      <c r="AA1693" s="35"/>
      <c r="AB1693" s="35"/>
      <c r="AC1693" s="35"/>
      <c r="AD1693" s="35"/>
      <c r="AE1693" s="35"/>
    </row>
    <row r="1694">
      <c r="A1694" s="30"/>
      <c r="B1694" s="35"/>
      <c r="C1694" s="35"/>
      <c r="D1694" s="35"/>
      <c r="E1694" s="35"/>
      <c r="F1694" s="33"/>
      <c r="G1694" s="33"/>
      <c r="H1694" s="33"/>
      <c r="I1694" s="33"/>
      <c r="J1694" s="33"/>
      <c r="K1694" s="35"/>
      <c r="L1694" s="35"/>
      <c r="M1694" s="35"/>
      <c r="N1694" s="35"/>
      <c r="O1694" s="35"/>
      <c r="P1694" s="35"/>
      <c r="Q1694" s="35"/>
      <c r="R1694" s="35"/>
      <c r="S1694" s="35"/>
      <c r="T1694" s="35"/>
      <c r="U1694" s="35"/>
      <c r="V1694" s="35"/>
      <c r="W1694" s="35"/>
      <c r="X1694" s="35"/>
      <c r="Y1694" s="35"/>
      <c r="Z1694" s="35"/>
      <c r="AA1694" s="35"/>
      <c r="AB1694" s="35"/>
      <c r="AC1694" s="35"/>
      <c r="AD1694" s="35"/>
      <c r="AE1694" s="35"/>
    </row>
    <row r="1695">
      <c r="A1695" s="30"/>
      <c r="B1695" s="35"/>
      <c r="C1695" s="35"/>
      <c r="D1695" s="35"/>
      <c r="E1695" s="35"/>
      <c r="F1695" s="33"/>
      <c r="G1695" s="33"/>
      <c r="H1695" s="33"/>
      <c r="I1695" s="33"/>
      <c r="J1695" s="33"/>
      <c r="K1695" s="35"/>
      <c r="L1695" s="35"/>
      <c r="M1695" s="35"/>
      <c r="N1695" s="35"/>
      <c r="O1695" s="35"/>
      <c r="P1695" s="35"/>
      <c r="Q1695" s="35"/>
      <c r="R1695" s="35"/>
      <c r="S1695" s="35"/>
      <c r="T1695" s="35"/>
      <c r="U1695" s="35"/>
      <c r="V1695" s="35"/>
      <c r="W1695" s="35"/>
      <c r="X1695" s="35"/>
      <c r="Y1695" s="35"/>
      <c r="Z1695" s="35"/>
      <c r="AA1695" s="35"/>
      <c r="AB1695" s="35"/>
      <c r="AC1695" s="35"/>
      <c r="AD1695" s="35"/>
      <c r="AE1695" s="35"/>
    </row>
    <row r="1696">
      <c r="A1696" s="30"/>
      <c r="B1696" s="35"/>
      <c r="C1696" s="35"/>
      <c r="D1696" s="35"/>
      <c r="E1696" s="35"/>
      <c r="F1696" s="33"/>
      <c r="G1696" s="33"/>
      <c r="H1696" s="33"/>
      <c r="I1696" s="33"/>
      <c r="J1696" s="33"/>
      <c r="K1696" s="35"/>
      <c r="L1696" s="35"/>
      <c r="M1696" s="35"/>
      <c r="N1696" s="35"/>
      <c r="O1696" s="35"/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5"/>
      <c r="AA1696" s="35"/>
      <c r="AB1696" s="35"/>
      <c r="AC1696" s="35"/>
      <c r="AD1696" s="35"/>
      <c r="AE1696" s="35"/>
    </row>
    <row r="1697">
      <c r="A1697" s="30"/>
      <c r="B1697" s="35"/>
      <c r="C1697" s="35"/>
      <c r="D1697" s="35"/>
      <c r="E1697" s="35"/>
      <c r="F1697" s="33"/>
      <c r="G1697" s="33"/>
      <c r="H1697" s="33"/>
      <c r="I1697" s="33"/>
      <c r="J1697" s="33"/>
      <c r="K1697" s="35"/>
      <c r="L1697" s="35"/>
      <c r="M1697" s="35"/>
      <c r="N1697" s="35"/>
      <c r="O1697" s="35"/>
      <c r="P1697" s="35"/>
      <c r="Q1697" s="35"/>
      <c r="R1697" s="35"/>
      <c r="S1697" s="35"/>
      <c r="T1697" s="35"/>
      <c r="U1697" s="35"/>
      <c r="V1697" s="35"/>
      <c r="W1697" s="35"/>
      <c r="X1697" s="35"/>
      <c r="Y1697" s="35"/>
      <c r="Z1697" s="35"/>
      <c r="AA1697" s="35"/>
      <c r="AB1697" s="35"/>
      <c r="AC1697" s="35"/>
      <c r="AD1697" s="35"/>
      <c r="AE1697" s="35"/>
    </row>
    <row r="1698">
      <c r="A1698" s="30"/>
      <c r="B1698" s="35"/>
      <c r="C1698" s="35"/>
      <c r="D1698" s="35"/>
      <c r="E1698" s="35"/>
      <c r="F1698" s="33"/>
      <c r="G1698" s="33"/>
      <c r="H1698" s="33"/>
      <c r="I1698" s="33"/>
      <c r="J1698" s="33"/>
      <c r="K1698" s="35"/>
      <c r="L1698" s="35"/>
      <c r="M1698" s="35"/>
      <c r="N1698" s="35"/>
      <c r="O1698" s="35"/>
      <c r="P1698" s="35"/>
      <c r="Q1698" s="35"/>
      <c r="R1698" s="35"/>
      <c r="S1698" s="35"/>
      <c r="T1698" s="35"/>
      <c r="U1698" s="35"/>
      <c r="V1698" s="35"/>
      <c r="W1698" s="35"/>
      <c r="X1698" s="35"/>
      <c r="Y1698" s="35"/>
      <c r="Z1698" s="35"/>
      <c r="AA1698" s="35"/>
      <c r="AB1698" s="35"/>
      <c r="AC1698" s="35"/>
      <c r="AD1698" s="35"/>
      <c r="AE1698" s="35"/>
    </row>
    <row r="1699">
      <c r="A1699" s="30"/>
      <c r="B1699" s="35"/>
      <c r="C1699" s="35"/>
      <c r="D1699" s="35"/>
      <c r="E1699" s="35"/>
      <c r="F1699" s="33"/>
      <c r="G1699" s="33"/>
      <c r="H1699" s="33"/>
      <c r="I1699" s="33"/>
      <c r="J1699" s="33"/>
      <c r="K1699" s="35"/>
      <c r="L1699" s="35"/>
      <c r="M1699" s="35"/>
      <c r="N1699" s="35"/>
      <c r="O1699" s="35"/>
      <c r="P1699" s="35"/>
      <c r="Q1699" s="35"/>
      <c r="R1699" s="35"/>
      <c r="S1699" s="35"/>
      <c r="T1699" s="35"/>
      <c r="U1699" s="35"/>
      <c r="V1699" s="35"/>
      <c r="W1699" s="35"/>
      <c r="X1699" s="35"/>
      <c r="Y1699" s="35"/>
      <c r="Z1699" s="35"/>
      <c r="AA1699" s="35"/>
      <c r="AB1699" s="35"/>
      <c r="AC1699" s="35"/>
      <c r="AD1699" s="35"/>
      <c r="AE1699" s="35"/>
    </row>
    <row r="1700">
      <c r="A1700" s="30"/>
      <c r="B1700" s="35"/>
      <c r="C1700" s="35"/>
      <c r="D1700" s="35"/>
      <c r="E1700" s="35"/>
      <c r="F1700" s="33"/>
      <c r="G1700" s="33"/>
      <c r="H1700" s="33"/>
      <c r="I1700" s="33"/>
      <c r="J1700" s="33"/>
      <c r="K1700" s="35"/>
      <c r="L1700" s="35"/>
      <c r="M1700" s="35"/>
      <c r="N1700" s="35"/>
      <c r="O1700" s="35"/>
      <c r="P1700" s="35"/>
      <c r="Q1700" s="35"/>
      <c r="R1700" s="35"/>
      <c r="S1700" s="35"/>
      <c r="T1700" s="35"/>
      <c r="U1700" s="35"/>
      <c r="V1700" s="35"/>
      <c r="W1700" s="35"/>
      <c r="X1700" s="35"/>
      <c r="Y1700" s="35"/>
      <c r="Z1700" s="35"/>
      <c r="AA1700" s="35"/>
      <c r="AB1700" s="35"/>
      <c r="AC1700" s="35"/>
      <c r="AD1700" s="35"/>
      <c r="AE1700" s="35"/>
    </row>
    <row r="1701">
      <c r="A1701" s="30"/>
      <c r="B1701" s="35"/>
      <c r="C1701" s="35"/>
      <c r="D1701" s="35"/>
      <c r="E1701" s="35"/>
      <c r="F1701" s="33"/>
      <c r="G1701" s="33"/>
      <c r="H1701" s="33"/>
      <c r="I1701" s="33"/>
      <c r="J1701" s="33"/>
      <c r="K1701" s="35"/>
      <c r="L1701" s="35"/>
      <c r="M1701" s="35"/>
      <c r="N1701" s="35"/>
      <c r="O1701" s="35"/>
      <c r="P1701" s="35"/>
      <c r="Q1701" s="35"/>
      <c r="R1701" s="35"/>
      <c r="S1701" s="35"/>
      <c r="T1701" s="35"/>
      <c r="U1701" s="35"/>
      <c r="V1701" s="35"/>
      <c r="W1701" s="35"/>
      <c r="X1701" s="35"/>
      <c r="Y1701" s="35"/>
      <c r="Z1701" s="35"/>
      <c r="AA1701" s="35"/>
      <c r="AB1701" s="35"/>
      <c r="AC1701" s="35"/>
      <c r="AD1701" s="35"/>
      <c r="AE1701" s="35"/>
    </row>
    <row r="1702">
      <c r="A1702" s="30"/>
      <c r="B1702" s="35"/>
      <c r="C1702" s="35"/>
      <c r="D1702" s="35"/>
      <c r="E1702" s="35"/>
      <c r="F1702" s="33"/>
      <c r="G1702" s="33"/>
      <c r="H1702" s="33"/>
      <c r="I1702" s="33"/>
      <c r="J1702" s="33"/>
      <c r="K1702" s="35"/>
      <c r="L1702" s="35"/>
      <c r="M1702" s="35"/>
      <c r="N1702" s="35"/>
      <c r="O1702" s="35"/>
      <c r="P1702" s="35"/>
      <c r="Q1702" s="35"/>
      <c r="R1702" s="35"/>
      <c r="S1702" s="35"/>
      <c r="T1702" s="35"/>
      <c r="U1702" s="35"/>
      <c r="V1702" s="35"/>
      <c r="W1702" s="35"/>
      <c r="X1702" s="35"/>
      <c r="Y1702" s="35"/>
      <c r="Z1702" s="35"/>
      <c r="AA1702" s="35"/>
      <c r="AB1702" s="35"/>
      <c r="AC1702" s="35"/>
      <c r="AD1702" s="35"/>
      <c r="AE1702" s="35"/>
    </row>
    <row r="1703">
      <c r="A1703" s="30"/>
      <c r="B1703" s="35"/>
      <c r="C1703" s="35"/>
      <c r="D1703" s="35"/>
      <c r="E1703" s="35"/>
      <c r="F1703" s="33"/>
      <c r="G1703" s="33"/>
      <c r="H1703" s="33"/>
      <c r="I1703" s="33"/>
      <c r="J1703" s="33"/>
      <c r="K1703" s="35"/>
      <c r="L1703" s="35"/>
      <c r="M1703" s="35"/>
      <c r="N1703" s="35"/>
      <c r="O1703" s="35"/>
      <c r="P1703" s="35"/>
      <c r="Q1703" s="35"/>
      <c r="R1703" s="35"/>
      <c r="S1703" s="35"/>
      <c r="T1703" s="35"/>
      <c r="U1703" s="35"/>
      <c r="V1703" s="35"/>
      <c r="W1703" s="35"/>
      <c r="X1703" s="35"/>
      <c r="Y1703" s="35"/>
      <c r="Z1703" s="35"/>
      <c r="AA1703" s="35"/>
      <c r="AB1703" s="35"/>
      <c r="AC1703" s="35"/>
      <c r="AD1703" s="35"/>
      <c r="AE1703" s="35"/>
    </row>
    <row r="1704">
      <c r="A1704" s="30"/>
      <c r="B1704" s="35"/>
      <c r="C1704" s="35"/>
      <c r="D1704" s="35"/>
      <c r="E1704" s="35"/>
      <c r="F1704" s="33"/>
      <c r="G1704" s="33"/>
      <c r="H1704" s="33"/>
      <c r="I1704" s="33"/>
      <c r="J1704" s="33"/>
      <c r="K1704" s="35"/>
      <c r="L1704" s="35"/>
      <c r="M1704" s="35"/>
      <c r="N1704" s="35"/>
      <c r="O1704" s="35"/>
      <c r="P1704" s="35"/>
      <c r="Q1704" s="35"/>
      <c r="R1704" s="35"/>
      <c r="S1704" s="35"/>
      <c r="T1704" s="35"/>
      <c r="U1704" s="35"/>
      <c r="V1704" s="35"/>
      <c r="W1704" s="35"/>
      <c r="X1704" s="35"/>
      <c r="Y1704" s="35"/>
      <c r="Z1704" s="35"/>
      <c r="AA1704" s="35"/>
      <c r="AB1704" s="35"/>
      <c r="AC1704" s="35"/>
      <c r="AD1704" s="35"/>
      <c r="AE1704" s="35"/>
    </row>
    <row r="1705">
      <c r="A1705" s="30"/>
      <c r="B1705" s="35"/>
      <c r="C1705" s="35"/>
      <c r="D1705" s="35"/>
      <c r="E1705" s="35"/>
      <c r="F1705" s="33"/>
      <c r="G1705" s="33"/>
      <c r="H1705" s="33"/>
      <c r="I1705" s="33"/>
      <c r="J1705" s="33"/>
      <c r="K1705" s="35"/>
      <c r="L1705" s="35"/>
      <c r="M1705" s="35"/>
      <c r="N1705" s="35"/>
      <c r="O1705" s="35"/>
      <c r="P1705" s="35"/>
      <c r="Q1705" s="35"/>
      <c r="R1705" s="35"/>
      <c r="S1705" s="35"/>
      <c r="T1705" s="35"/>
      <c r="U1705" s="35"/>
      <c r="V1705" s="35"/>
      <c r="W1705" s="35"/>
      <c r="X1705" s="35"/>
      <c r="Y1705" s="35"/>
      <c r="Z1705" s="35"/>
      <c r="AA1705" s="35"/>
      <c r="AB1705" s="35"/>
      <c r="AC1705" s="35"/>
      <c r="AD1705" s="35"/>
      <c r="AE1705" s="35"/>
    </row>
    <row r="1706">
      <c r="A1706" s="30"/>
      <c r="B1706" s="35"/>
      <c r="C1706" s="35"/>
      <c r="D1706" s="35"/>
      <c r="E1706" s="35"/>
      <c r="F1706" s="33"/>
      <c r="G1706" s="33"/>
      <c r="H1706" s="33"/>
      <c r="I1706" s="33"/>
      <c r="J1706" s="33"/>
      <c r="K1706" s="35"/>
      <c r="L1706" s="35"/>
      <c r="M1706" s="35"/>
      <c r="N1706" s="35"/>
      <c r="O1706" s="35"/>
      <c r="P1706" s="35"/>
      <c r="Q1706" s="35"/>
      <c r="R1706" s="35"/>
      <c r="S1706" s="35"/>
      <c r="T1706" s="35"/>
      <c r="U1706" s="35"/>
      <c r="V1706" s="35"/>
      <c r="W1706" s="35"/>
      <c r="X1706" s="35"/>
      <c r="Y1706" s="35"/>
      <c r="Z1706" s="35"/>
      <c r="AA1706" s="35"/>
      <c r="AB1706" s="35"/>
      <c r="AC1706" s="35"/>
      <c r="AD1706" s="35"/>
      <c r="AE1706" s="35"/>
    </row>
    <row r="1707">
      <c r="A1707" s="30"/>
      <c r="B1707" s="35"/>
      <c r="C1707" s="35"/>
      <c r="D1707" s="35"/>
      <c r="E1707" s="35"/>
      <c r="F1707" s="33"/>
      <c r="G1707" s="33"/>
      <c r="H1707" s="33"/>
      <c r="I1707" s="33"/>
      <c r="J1707" s="33"/>
      <c r="K1707" s="35"/>
      <c r="L1707" s="35"/>
      <c r="M1707" s="35"/>
      <c r="N1707" s="35"/>
      <c r="O1707" s="35"/>
      <c r="P1707" s="35"/>
      <c r="Q1707" s="35"/>
      <c r="R1707" s="35"/>
      <c r="S1707" s="35"/>
      <c r="T1707" s="35"/>
      <c r="U1707" s="35"/>
      <c r="V1707" s="35"/>
      <c r="W1707" s="35"/>
      <c r="X1707" s="35"/>
      <c r="Y1707" s="35"/>
      <c r="Z1707" s="35"/>
      <c r="AA1707" s="35"/>
      <c r="AB1707" s="35"/>
      <c r="AC1707" s="35"/>
      <c r="AD1707" s="35"/>
      <c r="AE1707" s="35"/>
    </row>
    <row r="1708">
      <c r="A1708" s="30"/>
      <c r="B1708" s="35"/>
      <c r="C1708" s="35"/>
      <c r="D1708" s="35"/>
      <c r="E1708" s="35"/>
      <c r="F1708" s="33"/>
      <c r="G1708" s="33"/>
      <c r="H1708" s="33"/>
      <c r="I1708" s="33"/>
      <c r="J1708" s="33"/>
      <c r="K1708" s="35"/>
      <c r="L1708" s="35"/>
      <c r="M1708" s="35"/>
      <c r="N1708" s="35"/>
      <c r="O1708" s="35"/>
      <c r="P1708" s="35"/>
      <c r="Q1708" s="35"/>
      <c r="R1708" s="35"/>
      <c r="S1708" s="35"/>
      <c r="T1708" s="35"/>
      <c r="U1708" s="35"/>
      <c r="V1708" s="35"/>
      <c r="W1708" s="35"/>
      <c r="X1708" s="35"/>
      <c r="Y1708" s="35"/>
      <c r="Z1708" s="35"/>
      <c r="AA1708" s="35"/>
      <c r="AB1708" s="35"/>
      <c r="AC1708" s="35"/>
      <c r="AD1708" s="35"/>
      <c r="AE1708" s="35"/>
    </row>
    <row r="1709">
      <c r="A1709" s="30"/>
      <c r="B1709" s="35"/>
      <c r="C1709" s="35"/>
      <c r="D1709" s="35"/>
      <c r="E1709" s="35"/>
      <c r="F1709" s="33"/>
      <c r="G1709" s="33"/>
      <c r="H1709" s="33"/>
      <c r="I1709" s="33"/>
      <c r="J1709" s="33"/>
      <c r="K1709" s="35"/>
      <c r="L1709" s="35"/>
      <c r="M1709" s="35"/>
      <c r="N1709" s="35"/>
      <c r="O1709" s="35"/>
      <c r="P1709" s="35"/>
      <c r="Q1709" s="35"/>
      <c r="R1709" s="35"/>
      <c r="S1709" s="35"/>
      <c r="T1709" s="35"/>
      <c r="U1709" s="35"/>
      <c r="V1709" s="35"/>
      <c r="W1709" s="35"/>
      <c r="X1709" s="35"/>
      <c r="Y1709" s="35"/>
      <c r="Z1709" s="35"/>
      <c r="AA1709" s="35"/>
      <c r="AB1709" s="35"/>
      <c r="AC1709" s="35"/>
      <c r="AD1709" s="35"/>
      <c r="AE1709" s="35"/>
    </row>
    <row r="1710">
      <c r="A1710" s="30"/>
      <c r="B1710" s="35"/>
      <c r="C1710" s="35"/>
      <c r="D1710" s="35"/>
      <c r="E1710" s="35"/>
      <c r="F1710" s="33"/>
      <c r="G1710" s="33"/>
      <c r="H1710" s="33"/>
      <c r="I1710" s="33"/>
      <c r="J1710" s="33"/>
      <c r="K1710" s="35"/>
      <c r="L1710" s="35"/>
      <c r="M1710" s="35"/>
      <c r="N1710" s="35"/>
      <c r="O1710" s="35"/>
      <c r="P1710" s="35"/>
      <c r="Q1710" s="35"/>
      <c r="R1710" s="35"/>
      <c r="S1710" s="35"/>
      <c r="T1710" s="35"/>
      <c r="U1710" s="35"/>
      <c r="V1710" s="35"/>
      <c r="W1710" s="35"/>
      <c r="X1710" s="35"/>
      <c r="Y1710" s="35"/>
      <c r="Z1710" s="35"/>
      <c r="AA1710" s="35"/>
      <c r="AB1710" s="35"/>
      <c r="AC1710" s="35"/>
      <c r="AD1710" s="35"/>
      <c r="AE1710" s="35"/>
    </row>
    <row r="1711">
      <c r="A1711" s="30"/>
      <c r="B1711" s="35"/>
      <c r="C1711" s="35"/>
      <c r="D1711" s="35"/>
      <c r="E1711" s="35"/>
      <c r="F1711" s="33"/>
      <c r="G1711" s="33"/>
      <c r="H1711" s="33"/>
      <c r="I1711" s="33"/>
      <c r="J1711" s="33"/>
      <c r="K1711" s="35"/>
      <c r="L1711" s="35"/>
      <c r="M1711" s="35"/>
      <c r="N1711" s="35"/>
      <c r="O1711" s="35"/>
      <c r="P1711" s="35"/>
      <c r="Q1711" s="35"/>
      <c r="R1711" s="35"/>
      <c r="S1711" s="35"/>
      <c r="T1711" s="35"/>
      <c r="U1711" s="35"/>
      <c r="V1711" s="35"/>
      <c r="W1711" s="35"/>
      <c r="X1711" s="35"/>
      <c r="Y1711" s="35"/>
      <c r="Z1711" s="35"/>
      <c r="AA1711" s="35"/>
      <c r="AB1711" s="35"/>
      <c r="AC1711" s="35"/>
      <c r="AD1711" s="35"/>
      <c r="AE1711" s="35"/>
    </row>
    <row r="1712">
      <c r="A1712" s="30"/>
      <c r="B1712" s="35"/>
      <c r="C1712" s="35"/>
      <c r="D1712" s="35"/>
      <c r="E1712" s="35"/>
      <c r="F1712" s="33"/>
      <c r="G1712" s="33"/>
      <c r="H1712" s="33"/>
      <c r="I1712" s="33"/>
      <c r="J1712" s="33"/>
      <c r="K1712" s="35"/>
      <c r="L1712" s="35"/>
      <c r="M1712" s="35"/>
      <c r="N1712" s="35"/>
      <c r="O1712" s="35"/>
      <c r="P1712" s="35"/>
      <c r="Q1712" s="35"/>
      <c r="R1712" s="35"/>
      <c r="S1712" s="35"/>
      <c r="T1712" s="35"/>
      <c r="U1712" s="35"/>
      <c r="V1712" s="35"/>
      <c r="W1712" s="35"/>
      <c r="X1712" s="35"/>
      <c r="Y1712" s="35"/>
      <c r="Z1712" s="35"/>
      <c r="AA1712" s="35"/>
      <c r="AB1712" s="35"/>
      <c r="AC1712" s="35"/>
      <c r="AD1712" s="35"/>
      <c r="AE1712" s="35"/>
    </row>
    <row r="1713">
      <c r="A1713" s="30"/>
      <c r="B1713" s="35"/>
      <c r="C1713" s="35"/>
      <c r="D1713" s="35"/>
      <c r="E1713" s="35"/>
      <c r="F1713" s="33"/>
      <c r="G1713" s="33"/>
      <c r="H1713" s="33"/>
      <c r="I1713" s="33"/>
      <c r="J1713" s="33"/>
      <c r="K1713" s="35"/>
      <c r="L1713" s="35"/>
      <c r="M1713" s="35"/>
      <c r="N1713" s="35"/>
      <c r="O1713" s="35"/>
      <c r="P1713" s="35"/>
      <c r="Q1713" s="35"/>
      <c r="R1713" s="35"/>
      <c r="S1713" s="35"/>
      <c r="T1713" s="35"/>
      <c r="U1713" s="35"/>
      <c r="V1713" s="35"/>
      <c r="W1713" s="35"/>
      <c r="X1713" s="35"/>
      <c r="Y1713" s="35"/>
      <c r="Z1713" s="35"/>
      <c r="AA1713" s="35"/>
      <c r="AB1713" s="35"/>
      <c r="AC1713" s="35"/>
      <c r="AD1713" s="35"/>
      <c r="AE1713" s="35"/>
    </row>
    <row r="1714">
      <c r="A1714" s="30"/>
      <c r="B1714" s="35"/>
      <c r="C1714" s="35"/>
      <c r="D1714" s="35"/>
      <c r="E1714" s="35"/>
      <c r="F1714" s="33"/>
      <c r="G1714" s="33"/>
      <c r="H1714" s="33"/>
      <c r="I1714" s="33"/>
      <c r="J1714" s="33"/>
      <c r="K1714" s="35"/>
      <c r="L1714" s="35"/>
      <c r="M1714" s="35"/>
      <c r="N1714" s="35"/>
      <c r="O1714" s="35"/>
      <c r="P1714" s="35"/>
      <c r="Q1714" s="35"/>
      <c r="R1714" s="35"/>
      <c r="S1714" s="35"/>
      <c r="T1714" s="35"/>
      <c r="U1714" s="35"/>
      <c r="V1714" s="35"/>
      <c r="W1714" s="35"/>
      <c r="X1714" s="35"/>
      <c r="Y1714" s="35"/>
      <c r="Z1714" s="35"/>
      <c r="AA1714" s="35"/>
      <c r="AB1714" s="35"/>
      <c r="AC1714" s="35"/>
      <c r="AD1714" s="35"/>
      <c r="AE1714" s="35"/>
    </row>
    <row r="1715">
      <c r="A1715" s="30"/>
      <c r="B1715" s="35"/>
      <c r="C1715" s="35"/>
      <c r="D1715" s="35"/>
      <c r="E1715" s="35"/>
      <c r="F1715" s="33"/>
      <c r="G1715" s="33"/>
      <c r="H1715" s="33"/>
      <c r="I1715" s="33"/>
      <c r="J1715" s="33"/>
      <c r="K1715" s="35"/>
      <c r="L1715" s="35"/>
      <c r="M1715" s="35"/>
      <c r="N1715" s="35"/>
      <c r="O1715" s="35"/>
      <c r="P1715" s="35"/>
      <c r="Q1715" s="35"/>
      <c r="R1715" s="35"/>
      <c r="S1715" s="35"/>
      <c r="T1715" s="35"/>
      <c r="U1715" s="35"/>
      <c r="V1715" s="35"/>
      <c r="W1715" s="35"/>
      <c r="X1715" s="35"/>
      <c r="Y1715" s="35"/>
      <c r="Z1715" s="35"/>
      <c r="AA1715" s="35"/>
      <c r="AB1715" s="35"/>
      <c r="AC1715" s="35"/>
      <c r="AD1715" s="35"/>
      <c r="AE1715" s="35"/>
    </row>
    <row r="1716">
      <c r="A1716" s="30"/>
      <c r="B1716" s="35"/>
      <c r="C1716" s="35"/>
      <c r="D1716" s="35"/>
      <c r="E1716" s="35"/>
      <c r="F1716" s="33"/>
      <c r="G1716" s="33"/>
      <c r="H1716" s="33"/>
      <c r="I1716" s="33"/>
      <c r="J1716" s="33"/>
      <c r="K1716" s="35"/>
      <c r="L1716" s="35"/>
      <c r="M1716" s="35"/>
      <c r="N1716" s="35"/>
      <c r="O1716" s="35"/>
      <c r="P1716" s="35"/>
      <c r="Q1716" s="35"/>
      <c r="R1716" s="35"/>
      <c r="S1716" s="35"/>
      <c r="T1716" s="35"/>
      <c r="U1716" s="35"/>
      <c r="V1716" s="35"/>
      <c r="W1716" s="35"/>
      <c r="X1716" s="35"/>
      <c r="Y1716" s="35"/>
      <c r="Z1716" s="35"/>
      <c r="AA1716" s="35"/>
      <c r="AB1716" s="35"/>
      <c r="AC1716" s="35"/>
      <c r="AD1716" s="35"/>
      <c r="AE1716" s="35"/>
    </row>
    <row r="1717">
      <c r="A1717" s="30"/>
      <c r="B1717" s="35"/>
      <c r="C1717" s="35"/>
      <c r="D1717" s="35"/>
      <c r="E1717" s="35"/>
      <c r="F1717" s="33"/>
      <c r="G1717" s="33"/>
      <c r="H1717" s="33"/>
      <c r="I1717" s="33"/>
      <c r="J1717" s="33"/>
      <c r="K1717" s="35"/>
      <c r="L1717" s="35"/>
      <c r="M1717" s="35"/>
      <c r="N1717" s="35"/>
      <c r="O1717" s="35"/>
      <c r="P1717" s="35"/>
      <c r="Q1717" s="35"/>
      <c r="R1717" s="35"/>
      <c r="S1717" s="35"/>
      <c r="T1717" s="35"/>
      <c r="U1717" s="35"/>
      <c r="V1717" s="35"/>
      <c r="W1717" s="35"/>
      <c r="X1717" s="35"/>
      <c r="Y1717" s="35"/>
      <c r="Z1717" s="35"/>
      <c r="AA1717" s="35"/>
      <c r="AB1717" s="35"/>
      <c r="AC1717" s="35"/>
      <c r="AD1717" s="35"/>
      <c r="AE1717" s="35"/>
    </row>
    <row r="1718">
      <c r="A1718" s="30"/>
      <c r="B1718" s="35"/>
      <c r="C1718" s="35"/>
      <c r="D1718" s="35"/>
      <c r="E1718" s="35"/>
      <c r="F1718" s="33"/>
      <c r="G1718" s="33"/>
      <c r="H1718" s="33"/>
      <c r="I1718" s="33"/>
      <c r="J1718" s="33"/>
      <c r="K1718" s="35"/>
      <c r="L1718" s="35"/>
      <c r="M1718" s="35"/>
      <c r="N1718" s="35"/>
      <c r="O1718" s="35"/>
      <c r="P1718" s="35"/>
      <c r="Q1718" s="35"/>
      <c r="R1718" s="35"/>
      <c r="S1718" s="35"/>
      <c r="T1718" s="35"/>
      <c r="U1718" s="35"/>
      <c r="V1718" s="35"/>
      <c r="W1718" s="35"/>
      <c r="X1718" s="35"/>
      <c r="Y1718" s="35"/>
      <c r="Z1718" s="35"/>
      <c r="AA1718" s="35"/>
      <c r="AB1718" s="35"/>
      <c r="AC1718" s="35"/>
      <c r="AD1718" s="35"/>
      <c r="AE1718" s="35"/>
    </row>
    <row r="1719">
      <c r="A1719" s="30"/>
      <c r="B1719" s="35"/>
      <c r="C1719" s="35"/>
      <c r="D1719" s="35"/>
      <c r="E1719" s="35"/>
      <c r="F1719" s="33"/>
      <c r="G1719" s="33"/>
      <c r="H1719" s="33"/>
      <c r="I1719" s="33"/>
      <c r="J1719" s="33"/>
      <c r="K1719" s="35"/>
      <c r="L1719" s="35"/>
      <c r="M1719" s="35"/>
      <c r="N1719" s="35"/>
      <c r="O1719" s="35"/>
      <c r="P1719" s="35"/>
      <c r="Q1719" s="35"/>
      <c r="R1719" s="35"/>
      <c r="S1719" s="35"/>
      <c r="T1719" s="35"/>
      <c r="U1719" s="35"/>
      <c r="V1719" s="35"/>
      <c r="W1719" s="35"/>
      <c r="X1719" s="35"/>
      <c r="Y1719" s="35"/>
      <c r="Z1719" s="35"/>
      <c r="AA1719" s="35"/>
      <c r="AB1719" s="35"/>
      <c r="AC1719" s="35"/>
      <c r="AD1719" s="35"/>
      <c r="AE1719" s="35"/>
    </row>
    <row r="1720">
      <c r="A1720" s="30"/>
      <c r="B1720" s="35"/>
      <c r="C1720" s="35"/>
      <c r="D1720" s="35"/>
      <c r="E1720" s="35"/>
      <c r="F1720" s="33"/>
      <c r="G1720" s="33"/>
      <c r="H1720" s="33"/>
      <c r="I1720" s="33"/>
      <c r="J1720" s="33"/>
      <c r="K1720" s="35"/>
      <c r="L1720" s="35"/>
      <c r="M1720" s="35"/>
      <c r="N1720" s="35"/>
      <c r="O1720" s="35"/>
      <c r="P1720" s="35"/>
      <c r="Q1720" s="35"/>
      <c r="R1720" s="35"/>
      <c r="S1720" s="35"/>
      <c r="T1720" s="35"/>
      <c r="U1720" s="35"/>
      <c r="V1720" s="35"/>
      <c r="W1720" s="35"/>
      <c r="X1720" s="35"/>
      <c r="Y1720" s="35"/>
      <c r="Z1720" s="35"/>
      <c r="AA1720" s="35"/>
      <c r="AB1720" s="35"/>
      <c r="AC1720" s="35"/>
      <c r="AD1720" s="35"/>
      <c r="AE1720" s="35"/>
    </row>
    <row r="1721">
      <c r="A1721" s="30"/>
      <c r="B1721" s="35"/>
      <c r="C1721" s="35"/>
      <c r="D1721" s="35"/>
      <c r="E1721" s="35"/>
      <c r="F1721" s="33"/>
      <c r="G1721" s="33"/>
      <c r="H1721" s="33"/>
      <c r="I1721" s="33"/>
      <c r="J1721" s="33"/>
      <c r="K1721" s="35"/>
      <c r="L1721" s="35"/>
      <c r="M1721" s="35"/>
      <c r="N1721" s="35"/>
      <c r="O1721" s="35"/>
      <c r="P1721" s="35"/>
      <c r="Q1721" s="35"/>
      <c r="R1721" s="35"/>
      <c r="S1721" s="35"/>
      <c r="T1721" s="35"/>
      <c r="U1721" s="35"/>
      <c r="V1721" s="35"/>
      <c r="W1721" s="35"/>
      <c r="X1721" s="35"/>
      <c r="Y1721" s="35"/>
      <c r="Z1721" s="35"/>
      <c r="AA1721" s="35"/>
      <c r="AB1721" s="35"/>
      <c r="AC1721" s="35"/>
      <c r="AD1721" s="35"/>
      <c r="AE1721" s="35"/>
    </row>
    <row r="1722">
      <c r="A1722" s="30"/>
      <c r="B1722" s="35"/>
      <c r="C1722" s="35"/>
      <c r="D1722" s="35"/>
      <c r="E1722" s="35"/>
      <c r="F1722" s="33"/>
      <c r="G1722" s="33"/>
      <c r="H1722" s="33"/>
      <c r="I1722" s="33"/>
      <c r="J1722" s="33"/>
      <c r="K1722" s="35"/>
      <c r="L1722" s="35"/>
      <c r="M1722" s="35"/>
      <c r="N1722" s="35"/>
      <c r="O1722" s="35"/>
      <c r="P1722" s="35"/>
      <c r="Q1722" s="35"/>
      <c r="R1722" s="35"/>
      <c r="S1722" s="35"/>
      <c r="T1722" s="35"/>
      <c r="U1722" s="35"/>
      <c r="V1722" s="35"/>
      <c r="W1722" s="35"/>
      <c r="X1722" s="35"/>
      <c r="Y1722" s="35"/>
      <c r="Z1722" s="35"/>
      <c r="AA1722" s="35"/>
      <c r="AB1722" s="35"/>
      <c r="AC1722" s="35"/>
      <c r="AD1722" s="35"/>
      <c r="AE1722" s="35"/>
    </row>
    <row r="1723">
      <c r="A1723" s="30"/>
      <c r="B1723" s="35"/>
      <c r="C1723" s="35"/>
      <c r="D1723" s="35"/>
      <c r="E1723" s="35"/>
      <c r="F1723" s="33"/>
      <c r="G1723" s="33"/>
      <c r="H1723" s="33"/>
      <c r="I1723" s="33"/>
      <c r="J1723" s="33"/>
      <c r="K1723" s="35"/>
      <c r="L1723" s="35"/>
      <c r="M1723" s="35"/>
      <c r="N1723" s="35"/>
      <c r="O1723" s="35"/>
      <c r="P1723" s="35"/>
      <c r="Q1723" s="35"/>
      <c r="R1723" s="35"/>
      <c r="S1723" s="35"/>
      <c r="T1723" s="35"/>
      <c r="U1723" s="35"/>
      <c r="V1723" s="35"/>
      <c r="W1723" s="35"/>
      <c r="X1723" s="35"/>
      <c r="Y1723" s="35"/>
      <c r="Z1723" s="35"/>
      <c r="AA1723" s="35"/>
      <c r="AB1723" s="35"/>
      <c r="AC1723" s="35"/>
      <c r="AD1723" s="35"/>
      <c r="AE1723" s="35"/>
    </row>
    <row r="1724">
      <c r="A1724" s="30"/>
      <c r="B1724" s="35"/>
      <c r="C1724" s="35"/>
      <c r="D1724" s="35"/>
      <c r="E1724" s="35"/>
      <c r="F1724" s="33"/>
      <c r="G1724" s="33"/>
      <c r="H1724" s="33"/>
      <c r="I1724" s="33"/>
      <c r="J1724" s="33"/>
      <c r="K1724" s="35"/>
      <c r="L1724" s="35"/>
      <c r="M1724" s="35"/>
      <c r="N1724" s="35"/>
      <c r="O1724" s="35"/>
      <c r="P1724" s="35"/>
      <c r="Q1724" s="35"/>
      <c r="R1724" s="35"/>
      <c r="S1724" s="35"/>
      <c r="T1724" s="35"/>
      <c r="U1724" s="35"/>
      <c r="V1724" s="35"/>
      <c r="W1724" s="35"/>
      <c r="X1724" s="35"/>
      <c r="Y1724" s="35"/>
      <c r="Z1724" s="35"/>
      <c r="AA1724" s="35"/>
      <c r="AB1724" s="35"/>
      <c r="AC1724" s="35"/>
      <c r="AD1724" s="35"/>
      <c r="AE1724" s="35"/>
    </row>
    <row r="1725">
      <c r="A1725" s="30"/>
      <c r="B1725" s="35"/>
      <c r="C1725" s="35"/>
      <c r="D1725" s="35"/>
      <c r="E1725" s="35"/>
      <c r="F1725" s="33"/>
      <c r="G1725" s="33"/>
      <c r="H1725" s="33"/>
      <c r="I1725" s="33"/>
      <c r="J1725" s="33"/>
      <c r="K1725" s="35"/>
      <c r="L1725" s="35"/>
      <c r="M1725" s="35"/>
      <c r="N1725" s="35"/>
      <c r="O1725" s="35"/>
      <c r="P1725" s="35"/>
      <c r="Q1725" s="35"/>
      <c r="R1725" s="35"/>
      <c r="S1725" s="35"/>
      <c r="T1725" s="35"/>
      <c r="U1725" s="35"/>
      <c r="V1725" s="35"/>
      <c r="W1725" s="35"/>
      <c r="X1725" s="35"/>
      <c r="Y1725" s="35"/>
      <c r="Z1725" s="35"/>
      <c r="AA1725" s="35"/>
      <c r="AB1725" s="35"/>
      <c r="AC1725" s="35"/>
      <c r="AD1725" s="35"/>
      <c r="AE1725" s="35"/>
    </row>
    <row r="1726">
      <c r="A1726" s="30"/>
      <c r="B1726" s="35"/>
      <c r="C1726" s="35"/>
      <c r="D1726" s="35"/>
      <c r="E1726" s="35"/>
      <c r="F1726" s="33"/>
      <c r="G1726" s="33"/>
      <c r="H1726" s="33"/>
      <c r="I1726" s="33"/>
      <c r="J1726" s="33"/>
      <c r="K1726" s="35"/>
      <c r="L1726" s="35"/>
      <c r="M1726" s="35"/>
      <c r="N1726" s="35"/>
      <c r="O1726" s="35"/>
      <c r="P1726" s="35"/>
      <c r="Q1726" s="35"/>
      <c r="R1726" s="35"/>
      <c r="S1726" s="35"/>
      <c r="T1726" s="35"/>
      <c r="U1726" s="35"/>
      <c r="V1726" s="35"/>
      <c r="W1726" s="35"/>
      <c r="X1726" s="35"/>
      <c r="Y1726" s="35"/>
      <c r="Z1726" s="35"/>
      <c r="AA1726" s="35"/>
      <c r="AB1726" s="35"/>
      <c r="AC1726" s="35"/>
      <c r="AD1726" s="35"/>
      <c r="AE1726" s="35"/>
    </row>
    <row r="1727">
      <c r="A1727" s="30"/>
      <c r="B1727" s="35"/>
      <c r="C1727" s="35"/>
      <c r="D1727" s="35"/>
      <c r="E1727" s="35"/>
      <c r="F1727" s="33"/>
      <c r="G1727" s="33"/>
      <c r="H1727" s="33"/>
      <c r="I1727" s="33"/>
      <c r="J1727" s="33"/>
      <c r="K1727" s="35"/>
      <c r="L1727" s="35"/>
      <c r="M1727" s="35"/>
      <c r="N1727" s="35"/>
      <c r="O1727" s="35"/>
      <c r="P1727" s="35"/>
      <c r="Q1727" s="35"/>
      <c r="R1727" s="35"/>
      <c r="S1727" s="35"/>
      <c r="T1727" s="35"/>
      <c r="U1727" s="35"/>
      <c r="V1727" s="35"/>
      <c r="W1727" s="35"/>
      <c r="X1727" s="35"/>
      <c r="Y1727" s="35"/>
      <c r="Z1727" s="35"/>
      <c r="AA1727" s="35"/>
      <c r="AB1727" s="35"/>
      <c r="AC1727" s="35"/>
      <c r="AD1727" s="35"/>
      <c r="AE1727" s="35"/>
    </row>
    <row r="1728">
      <c r="A1728" s="30"/>
      <c r="B1728" s="35"/>
      <c r="C1728" s="35"/>
      <c r="D1728" s="35"/>
      <c r="E1728" s="35"/>
      <c r="F1728" s="33"/>
      <c r="G1728" s="33"/>
      <c r="H1728" s="33"/>
      <c r="I1728" s="33"/>
      <c r="J1728" s="33"/>
      <c r="K1728" s="35"/>
      <c r="L1728" s="35"/>
      <c r="M1728" s="35"/>
      <c r="N1728" s="35"/>
      <c r="O1728" s="35"/>
      <c r="P1728" s="35"/>
      <c r="Q1728" s="35"/>
      <c r="R1728" s="35"/>
      <c r="S1728" s="35"/>
      <c r="T1728" s="35"/>
      <c r="U1728" s="35"/>
      <c r="V1728" s="35"/>
      <c r="W1728" s="35"/>
      <c r="X1728" s="35"/>
      <c r="Y1728" s="35"/>
      <c r="Z1728" s="35"/>
      <c r="AA1728" s="35"/>
      <c r="AB1728" s="35"/>
      <c r="AC1728" s="35"/>
      <c r="AD1728" s="35"/>
      <c r="AE1728" s="35"/>
    </row>
    <row r="1729">
      <c r="A1729" s="30"/>
      <c r="B1729" s="35"/>
      <c r="C1729" s="35"/>
      <c r="D1729" s="35"/>
      <c r="E1729" s="35"/>
      <c r="F1729" s="33"/>
      <c r="G1729" s="33"/>
      <c r="H1729" s="33"/>
      <c r="I1729" s="33"/>
      <c r="J1729" s="33"/>
      <c r="K1729" s="35"/>
      <c r="L1729" s="35"/>
      <c r="M1729" s="35"/>
      <c r="N1729" s="35"/>
      <c r="O1729" s="35"/>
      <c r="P1729" s="35"/>
      <c r="Q1729" s="35"/>
      <c r="R1729" s="35"/>
      <c r="S1729" s="35"/>
      <c r="T1729" s="35"/>
      <c r="U1729" s="35"/>
      <c r="V1729" s="35"/>
      <c r="W1729" s="35"/>
      <c r="X1729" s="35"/>
      <c r="Y1729" s="35"/>
      <c r="Z1729" s="35"/>
      <c r="AA1729" s="35"/>
      <c r="AB1729" s="35"/>
      <c r="AC1729" s="35"/>
      <c r="AD1729" s="35"/>
      <c r="AE1729" s="35"/>
    </row>
    <row r="1730">
      <c r="A1730" s="30"/>
      <c r="B1730" s="35"/>
      <c r="C1730" s="35"/>
      <c r="D1730" s="35"/>
      <c r="E1730" s="35"/>
      <c r="F1730" s="33"/>
      <c r="G1730" s="33"/>
      <c r="H1730" s="33"/>
      <c r="I1730" s="33"/>
      <c r="J1730" s="33"/>
      <c r="K1730" s="35"/>
      <c r="L1730" s="35"/>
      <c r="M1730" s="35"/>
      <c r="N1730" s="35"/>
      <c r="O1730" s="35"/>
      <c r="P1730" s="35"/>
      <c r="Q1730" s="35"/>
      <c r="R1730" s="35"/>
      <c r="S1730" s="35"/>
      <c r="T1730" s="35"/>
      <c r="U1730" s="35"/>
      <c r="V1730" s="35"/>
      <c r="W1730" s="35"/>
      <c r="X1730" s="35"/>
      <c r="Y1730" s="35"/>
      <c r="Z1730" s="35"/>
      <c r="AA1730" s="35"/>
      <c r="AB1730" s="35"/>
      <c r="AC1730" s="35"/>
      <c r="AD1730" s="35"/>
      <c r="AE1730" s="35"/>
    </row>
    <row r="1731">
      <c r="A1731" s="30"/>
      <c r="B1731" s="35"/>
      <c r="C1731" s="35"/>
      <c r="D1731" s="35"/>
      <c r="E1731" s="35"/>
      <c r="F1731" s="33"/>
      <c r="G1731" s="33"/>
      <c r="H1731" s="33"/>
      <c r="I1731" s="33"/>
      <c r="J1731" s="33"/>
      <c r="K1731" s="35"/>
      <c r="L1731" s="35"/>
      <c r="M1731" s="35"/>
      <c r="N1731" s="35"/>
      <c r="O1731" s="35"/>
      <c r="P1731" s="35"/>
      <c r="Q1731" s="35"/>
      <c r="R1731" s="35"/>
      <c r="S1731" s="35"/>
      <c r="T1731" s="35"/>
      <c r="U1731" s="35"/>
      <c r="V1731" s="35"/>
      <c r="W1731" s="35"/>
      <c r="X1731" s="35"/>
      <c r="Y1731" s="35"/>
      <c r="Z1731" s="35"/>
      <c r="AA1731" s="35"/>
      <c r="AB1731" s="35"/>
      <c r="AC1731" s="35"/>
      <c r="AD1731" s="35"/>
      <c r="AE1731" s="35"/>
    </row>
    <row r="1732">
      <c r="A1732" s="30"/>
      <c r="B1732" s="35"/>
      <c r="C1732" s="35"/>
      <c r="D1732" s="35"/>
      <c r="E1732" s="35"/>
      <c r="F1732" s="33"/>
      <c r="G1732" s="33"/>
      <c r="H1732" s="33"/>
      <c r="I1732" s="33"/>
      <c r="J1732" s="33"/>
      <c r="K1732" s="35"/>
      <c r="L1732" s="35"/>
      <c r="M1732" s="35"/>
      <c r="N1732" s="35"/>
      <c r="O1732" s="35"/>
      <c r="P1732" s="35"/>
      <c r="Q1732" s="35"/>
      <c r="R1732" s="35"/>
      <c r="S1732" s="35"/>
      <c r="T1732" s="35"/>
      <c r="U1732" s="35"/>
      <c r="V1732" s="35"/>
      <c r="W1732" s="35"/>
      <c r="X1732" s="35"/>
      <c r="Y1732" s="35"/>
      <c r="Z1732" s="35"/>
      <c r="AA1732" s="35"/>
      <c r="AB1732" s="35"/>
      <c r="AC1732" s="35"/>
      <c r="AD1732" s="35"/>
      <c r="AE1732" s="35"/>
    </row>
    <row r="1733">
      <c r="A1733" s="30"/>
      <c r="B1733" s="35"/>
      <c r="C1733" s="35"/>
      <c r="D1733" s="35"/>
      <c r="E1733" s="35"/>
      <c r="F1733" s="33"/>
      <c r="G1733" s="33"/>
      <c r="H1733" s="33"/>
      <c r="I1733" s="33"/>
      <c r="J1733" s="33"/>
      <c r="K1733" s="35"/>
      <c r="L1733" s="35"/>
      <c r="M1733" s="35"/>
      <c r="N1733" s="35"/>
      <c r="O1733" s="35"/>
      <c r="P1733" s="35"/>
      <c r="Q1733" s="35"/>
      <c r="R1733" s="35"/>
      <c r="S1733" s="35"/>
      <c r="T1733" s="35"/>
      <c r="U1733" s="35"/>
      <c r="V1733" s="35"/>
      <c r="W1733" s="35"/>
      <c r="X1733" s="35"/>
      <c r="Y1733" s="35"/>
      <c r="Z1733" s="35"/>
      <c r="AA1733" s="35"/>
      <c r="AB1733" s="35"/>
      <c r="AC1733" s="35"/>
      <c r="AD1733" s="35"/>
      <c r="AE1733" s="35"/>
    </row>
    <row r="1734">
      <c r="A1734" s="30"/>
      <c r="B1734" s="35"/>
      <c r="C1734" s="35"/>
      <c r="D1734" s="35"/>
      <c r="E1734" s="35"/>
      <c r="F1734" s="33"/>
      <c r="G1734" s="33"/>
      <c r="H1734" s="33"/>
      <c r="I1734" s="33"/>
      <c r="J1734" s="33"/>
      <c r="K1734" s="35"/>
      <c r="L1734" s="35"/>
      <c r="M1734" s="35"/>
      <c r="N1734" s="35"/>
      <c r="O1734" s="35"/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5"/>
      <c r="AA1734" s="35"/>
      <c r="AB1734" s="35"/>
      <c r="AC1734" s="35"/>
      <c r="AD1734" s="35"/>
      <c r="AE1734" s="35"/>
    </row>
    <row r="1735">
      <c r="A1735" s="30"/>
      <c r="B1735" s="35"/>
      <c r="C1735" s="35"/>
      <c r="D1735" s="35"/>
      <c r="E1735" s="35"/>
      <c r="F1735" s="33"/>
      <c r="G1735" s="33"/>
      <c r="H1735" s="33"/>
      <c r="I1735" s="33"/>
      <c r="J1735" s="33"/>
      <c r="K1735" s="35"/>
      <c r="L1735" s="35"/>
      <c r="M1735" s="35"/>
      <c r="N1735" s="35"/>
      <c r="O1735" s="35"/>
      <c r="P1735" s="35"/>
      <c r="Q1735" s="35"/>
      <c r="R1735" s="35"/>
      <c r="S1735" s="35"/>
      <c r="T1735" s="35"/>
      <c r="U1735" s="35"/>
      <c r="V1735" s="35"/>
      <c r="W1735" s="35"/>
      <c r="X1735" s="35"/>
      <c r="Y1735" s="35"/>
      <c r="Z1735" s="35"/>
      <c r="AA1735" s="35"/>
      <c r="AB1735" s="35"/>
      <c r="AC1735" s="35"/>
      <c r="AD1735" s="35"/>
      <c r="AE1735" s="35"/>
    </row>
    <row r="1736">
      <c r="A1736" s="30"/>
      <c r="B1736" s="35"/>
      <c r="C1736" s="35"/>
      <c r="D1736" s="35"/>
      <c r="E1736" s="35"/>
      <c r="F1736" s="33"/>
      <c r="G1736" s="33"/>
      <c r="H1736" s="33"/>
      <c r="I1736" s="33"/>
      <c r="J1736" s="33"/>
      <c r="K1736" s="35"/>
      <c r="L1736" s="35"/>
      <c r="M1736" s="35"/>
      <c r="N1736" s="35"/>
      <c r="O1736" s="35"/>
      <c r="P1736" s="35"/>
      <c r="Q1736" s="35"/>
      <c r="R1736" s="35"/>
      <c r="S1736" s="35"/>
      <c r="T1736" s="35"/>
      <c r="U1736" s="35"/>
      <c r="V1736" s="35"/>
      <c r="W1736" s="35"/>
      <c r="X1736" s="35"/>
      <c r="Y1736" s="35"/>
      <c r="Z1736" s="35"/>
      <c r="AA1736" s="35"/>
      <c r="AB1736" s="35"/>
      <c r="AC1736" s="35"/>
      <c r="AD1736" s="35"/>
      <c r="AE1736" s="35"/>
    </row>
    <row r="1737">
      <c r="A1737" s="30"/>
      <c r="B1737" s="35"/>
      <c r="C1737" s="35"/>
      <c r="D1737" s="35"/>
      <c r="E1737" s="35"/>
      <c r="F1737" s="33"/>
      <c r="G1737" s="33"/>
      <c r="H1737" s="33"/>
      <c r="I1737" s="33"/>
      <c r="J1737" s="33"/>
      <c r="K1737" s="35"/>
      <c r="L1737" s="35"/>
      <c r="M1737" s="35"/>
      <c r="N1737" s="35"/>
      <c r="O1737" s="35"/>
      <c r="P1737" s="35"/>
      <c r="Q1737" s="35"/>
      <c r="R1737" s="35"/>
      <c r="S1737" s="35"/>
      <c r="T1737" s="35"/>
      <c r="U1737" s="35"/>
      <c r="V1737" s="35"/>
      <c r="W1737" s="35"/>
      <c r="X1737" s="35"/>
      <c r="Y1737" s="35"/>
      <c r="Z1737" s="35"/>
      <c r="AA1737" s="35"/>
      <c r="AB1737" s="35"/>
      <c r="AC1737" s="35"/>
      <c r="AD1737" s="35"/>
      <c r="AE1737" s="35"/>
    </row>
    <row r="1738">
      <c r="A1738" s="30"/>
      <c r="B1738" s="35"/>
      <c r="C1738" s="35"/>
      <c r="D1738" s="35"/>
      <c r="E1738" s="35"/>
      <c r="F1738" s="33"/>
      <c r="G1738" s="33"/>
      <c r="H1738" s="33"/>
      <c r="I1738" s="33"/>
      <c r="J1738" s="33"/>
      <c r="K1738" s="35"/>
      <c r="L1738" s="35"/>
      <c r="M1738" s="35"/>
      <c r="N1738" s="35"/>
      <c r="O1738" s="35"/>
      <c r="P1738" s="35"/>
      <c r="Q1738" s="35"/>
      <c r="R1738" s="35"/>
      <c r="S1738" s="35"/>
      <c r="T1738" s="35"/>
      <c r="U1738" s="35"/>
      <c r="V1738" s="35"/>
      <c r="W1738" s="35"/>
      <c r="X1738" s="35"/>
      <c r="Y1738" s="35"/>
      <c r="Z1738" s="35"/>
      <c r="AA1738" s="35"/>
      <c r="AB1738" s="35"/>
      <c r="AC1738" s="35"/>
      <c r="AD1738" s="35"/>
      <c r="AE1738" s="35"/>
    </row>
    <row r="1739">
      <c r="A1739" s="30"/>
      <c r="B1739" s="35"/>
      <c r="C1739" s="35"/>
      <c r="D1739" s="35"/>
      <c r="E1739" s="35"/>
      <c r="F1739" s="33"/>
      <c r="G1739" s="33"/>
      <c r="H1739" s="33"/>
      <c r="I1739" s="33"/>
      <c r="J1739" s="33"/>
      <c r="K1739" s="35"/>
      <c r="L1739" s="35"/>
      <c r="M1739" s="35"/>
      <c r="N1739" s="35"/>
      <c r="O1739" s="35"/>
      <c r="P1739" s="35"/>
      <c r="Q1739" s="35"/>
      <c r="R1739" s="35"/>
      <c r="S1739" s="35"/>
      <c r="T1739" s="35"/>
      <c r="U1739" s="35"/>
      <c r="V1739" s="35"/>
      <c r="W1739" s="35"/>
      <c r="X1739" s="35"/>
      <c r="Y1739" s="35"/>
      <c r="Z1739" s="35"/>
      <c r="AA1739" s="35"/>
      <c r="AB1739" s="35"/>
      <c r="AC1739" s="35"/>
      <c r="AD1739" s="35"/>
      <c r="AE1739" s="35"/>
    </row>
    <row r="1740">
      <c r="A1740" s="30"/>
      <c r="B1740" s="35"/>
      <c r="C1740" s="35"/>
      <c r="D1740" s="35"/>
      <c r="E1740" s="35"/>
      <c r="F1740" s="33"/>
      <c r="G1740" s="33"/>
      <c r="H1740" s="33"/>
      <c r="I1740" s="33"/>
      <c r="J1740" s="33"/>
      <c r="K1740" s="35"/>
      <c r="L1740" s="35"/>
      <c r="M1740" s="35"/>
      <c r="N1740" s="35"/>
      <c r="O1740" s="35"/>
      <c r="P1740" s="35"/>
      <c r="Q1740" s="35"/>
      <c r="R1740" s="35"/>
      <c r="S1740" s="35"/>
      <c r="T1740" s="35"/>
      <c r="U1740" s="35"/>
      <c r="V1740" s="35"/>
      <c r="W1740" s="35"/>
      <c r="X1740" s="35"/>
      <c r="Y1740" s="35"/>
      <c r="Z1740" s="35"/>
      <c r="AA1740" s="35"/>
      <c r="AB1740" s="35"/>
      <c r="AC1740" s="35"/>
      <c r="AD1740" s="35"/>
      <c r="AE1740" s="35"/>
    </row>
    <row r="1741">
      <c r="A1741" s="30"/>
      <c r="B1741" s="35"/>
      <c r="C1741" s="35"/>
      <c r="D1741" s="35"/>
      <c r="E1741" s="35"/>
      <c r="F1741" s="33"/>
      <c r="G1741" s="33"/>
      <c r="H1741" s="33"/>
      <c r="I1741" s="33"/>
      <c r="J1741" s="33"/>
      <c r="K1741" s="35"/>
      <c r="L1741" s="35"/>
      <c r="M1741" s="35"/>
      <c r="N1741" s="35"/>
      <c r="O1741" s="35"/>
      <c r="P1741" s="35"/>
      <c r="Q1741" s="35"/>
      <c r="R1741" s="35"/>
      <c r="S1741" s="35"/>
      <c r="T1741" s="35"/>
      <c r="U1741" s="35"/>
      <c r="V1741" s="35"/>
      <c r="W1741" s="35"/>
      <c r="X1741" s="35"/>
      <c r="Y1741" s="35"/>
      <c r="Z1741" s="35"/>
      <c r="AA1741" s="35"/>
      <c r="AB1741" s="35"/>
      <c r="AC1741" s="35"/>
      <c r="AD1741" s="35"/>
      <c r="AE1741" s="35"/>
    </row>
    <row r="1742">
      <c r="A1742" s="30"/>
      <c r="B1742" s="35"/>
      <c r="C1742" s="35"/>
      <c r="D1742" s="35"/>
      <c r="E1742" s="35"/>
      <c r="F1742" s="33"/>
      <c r="G1742" s="33"/>
      <c r="H1742" s="33"/>
      <c r="I1742" s="33"/>
      <c r="J1742" s="33"/>
      <c r="K1742" s="35"/>
      <c r="L1742" s="35"/>
      <c r="M1742" s="35"/>
      <c r="N1742" s="35"/>
      <c r="O1742" s="35"/>
      <c r="P1742" s="35"/>
      <c r="Q1742" s="35"/>
      <c r="R1742" s="35"/>
      <c r="S1742" s="35"/>
      <c r="T1742" s="35"/>
      <c r="U1742" s="35"/>
      <c r="V1742" s="35"/>
      <c r="W1742" s="35"/>
      <c r="X1742" s="35"/>
      <c r="Y1742" s="35"/>
      <c r="Z1742" s="35"/>
      <c r="AA1742" s="35"/>
      <c r="AB1742" s="35"/>
      <c r="AC1742" s="35"/>
      <c r="AD1742" s="35"/>
      <c r="AE1742" s="35"/>
    </row>
    <row r="1743">
      <c r="A1743" s="30"/>
      <c r="B1743" s="35"/>
      <c r="C1743" s="35"/>
      <c r="D1743" s="35"/>
      <c r="E1743" s="35"/>
      <c r="F1743" s="33"/>
      <c r="G1743" s="33"/>
      <c r="H1743" s="33"/>
      <c r="I1743" s="33"/>
      <c r="J1743" s="33"/>
      <c r="K1743" s="35"/>
      <c r="L1743" s="35"/>
      <c r="M1743" s="35"/>
      <c r="N1743" s="35"/>
      <c r="O1743" s="35"/>
      <c r="P1743" s="35"/>
      <c r="Q1743" s="35"/>
      <c r="R1743" s="35"/>
      <c r="S1743" s="35"/>
      <c r="T1743" s="35"/>
      <c r="U1743" s="35"/>
      <c r="V1743" s="35"/>
      <c r="W1743" s="35"/>
      <c r="X1743" s="35"/>
      <c r="Y1743" s="35"/>
      <c r="Z1743" s="35"/>
      <c r="AA1743" s="35"/>
      <c r="AB1743" s="35"/>
      <c r="AC1743" s="35"/>
      <c r="AD1743" s="35"/>
      <c r="AE1743" s="35"/>
    </row>
    <row r="1744">
      <c r="A1744" s="30"/>
      <c r="B1744" s="35"/>
      <c r="C1744" s="35"/>
      <c r="D1744" s="35"/>
      <c r="E1744" s="35"/>
      <c r="F1744" s="33"/>
      <c r="G1744" s="33"/>
      <c r="H1744" s="33"/>
      <c r="I1744" s="33"/>
      <c r="J1744" s="33"/>
      <c r="K1744" s="35"/>
      <c r="L1744" s="35"/>
      <c r="M1744" s="35"/>
      <c r="N1744" s="35"/>
      <c r="O1744" s="35"/>
      <c r="P1744" s="35"/>
      <c r="Q1744" s="35"/>
      <c r="R1744" s="35"/>
      <c r="S1744" s="35"/>
      <c r="T1744" s="35"/>
      <c r="U1744" s="35"/>
      <c r="V1744" s="35"/>
      <c r="W1744" s="35"/>
      <c r="X1744" s="35"/>
      <c r="Y1744" s="35"/>
      <c r="Z1744" s="35"/>
      <c r="AA1744" s="35"/>
      <c r="AB1744" s="35"/>
      <c r="AC1744" s="35"/>
      <c r="AD1744" s="35"/>
      <c r="AE1744" s="35"/>
    </row>
    <row r="1745">
      <c r="A1745" s="30"/>
      <c r="B1745" s="35"/>
      <c r="C1745" s="35"/>
      <c r="D1745" s="35"/>
      <c r="E1745" s="35"/>
      <c r="F1745" s="33"/>
      <c r="G1745" s="33"/>
      <c r="H1745" s="33"/>
      <c r="I1745" s="33"/>
      <c r="J1745" s="33"/>
      <c r="K1745" s="35"/>
      <c r="L1745" s="35"/>
      <c r="M1745" s="35"/>
      <c r="N1745" s="35"/>
      <c r="O1745" s="35"/>
      <c r="P1745" s="35"/>
      <c r="Q1745" s="35"/>
      <c r="R1745" s="35"/>
      <c r="S1745" s="35"/>
      <c r="T1745" s="35"/>
      <c r="U1745" s="35"/>
      <c r="V1745" s="35"/>
      <c r="W1745" s="35"/>
      <c r="X1745" s="35"/>
      <c r="Y1745" s="35"/>
      <c r="Z1745" s="35"/>
      <c r="AA1745" s="35"/>
      <c r="AB1745" s="35"/>
      <c r="AC1745" s="35"/>
      <c r="AD1745" s="35"/>
      <c r="AE1745" s="35"/>
    </row>
    <row r="1746">
      <c r="A1746" s="30"/>
      <c r="B1746" s="35"/>
      <c r="C1746" s="35"/>
      <c r="D1746" s="35"/>
      <c r="E1746" s="35"/>
      <c r="F1746" s="33"/>
      <c r="G1746" s="33"/>
      <c r="H1746" s="33"/>
      <c r="I1746" s="33"/>
      <c r="J1746" s="33"/>
      <c r="K1746" s="35"/>
      <c r="L1746" s="35"/>
      <c r="M1746" s="35"/>
      <c r="N1746" s="35"/>
      <c r="O1746" s="35"/>
      <c r="P1746" s="35"/>
      <c r="Q1746" s="35"/>
      <c r="R1746" s="35"/>
      <c r="S1746" s="35"/>
      <c r="T1746" s="35"/>
      <c r="U1746" s="35"/>
      <c r="V1746" s="35"/>
      <c r="W1746" s="35"/>
      <c r="X1746" s="35"/>
      <c r="Y1746" s="35"/>
      <c r="Z1746" s="35"/>
      <c r="AA1746" s="35"/>
      <c r="AB1746" s="35"/>
      <c r="AC1746" s="35"/>
      <c r="AD1746" s="35"/>
      <c r="AE1746" s="35"/>
    </row>
    <row r="1747">
      <c r="A1747" s="30"/>
      <c r="B1747" s="35"/>
      <c r="C1747" s="35"/>
      <c r="D1747" s="35"/>
      <c r="E1747" s="35"/>
      <c r="F1747" s="33"/>
      <c r="G1747" s="33"/>
      <c r="H1747" s="33"/>
      <c r="I1747" s="33"/>
      <c r="J1747" s="33"/>
      <c r="K1747" s="35"/>
      <c r="L1747" s="35"/>
      <c r="M1747" s="35"/>
      <c r="N1747" s="35"/>
      <c r="O1747" s="35"/>
      <c r="P1747" s="35"/>
      <c r="Q1747" s="35"/>
      <c r="R1747" s="35"/>
      <c r="S1747" s="35"/>
      <c r="T1747" s="35"/>
      <c r="U1747" s="35"/>
      <c r="V1747" s="35"/>
      <c r="W1747" s="35"/>
      <c r="X1747" s="35"/>
      <c r="Y1747" s="35"/>
      <c r="Z1747" s="35"/>
      <c r="AA1747" s="35"/>
      <c r="AB1747" s="35"/>
      <c r="AC1747" s="35"/>
      <c r="AD1747" s="35"/>
      <c r="AE1747" s="35"/>
    </row>
    <row r="1748">
      <c r="A1748" s="30"/>
      <c r="B1748" s="35"/>
      <c r="C1748" s="35"/>
      <c r="D1748" s="35"/>
      <c r="E1748" s="35"/>
      <c r="F1748" s="33"/>
      <c r="G1748" s="33"/>
      <c r="H1748" s="33"/>
      <c r="I1748" s="33"/>
      <c r="J1748" s="33"/>
      <c r="K1748" s="35"/>
      <c r="L1748" s="35"/>
      <c r="M1748" s="35"/>
      <c r="N1748" s="35"/>
      <c r="O1748" s="35"/>
      <c r="P1748" s="35"/>
      <c r="Q1748" s="35"/>
      <c r="R1748" s="35"/>
      <c r="S1748" s="35"/>
      <c r="T1748" s="35"/>
      <c r="U1748" s="35"/>
      <c r="V1748" s="35"/>
      <c r="W1748" s="35"/>
      <c r="X1748" s="35"/>
      <c r="Y1748" s="35"/>
      <c r="Z1748" s="35"/>
      <c r="AA1748" s="35"/>
      <c r="AB1748" s="35"/>
      <c r="AC1748" s="35"/>
      <c r="AD1748" s="35"/>
      <c r="AE1748" s="35"/>
    </row>
    <row r="1749">
      <c r="A1749" s="30"/>
      <c r="B1749" s="35"/>
      <c r="C1749" s="35"/>
      <c r="D1749" s="35"/>
      <c r="E1749" s="35"/>
      <c r="F1749" s="33"/>
      <c r="G1749" s="33"/>
      <c r="H1749" s="33"/>
      <c r="I1749" s="33"/>
      <c r="J1749" s="33"/>
      <c r="K1749" s="35"/>
      <c r="L1749" s="35"/>
      <c r="M1749" s="35"/>
      <c r="N1749" s="35"/>
      <c r="O1749" s="35"/>
      <c r="P1749" s="35"/>
      <c r="Q1749" s="35"/>
      <c r="R1749" s="35"/>
      <c r="S1749" s="35"/>
      <c r="T1749" s="35"/>
      <c r="U1749" s="35"/>
      <c r="V1749" s="35"/>
      <c r="W1749" s="35"/>
      <c r="X1749" s="35"/>
      <c r="Y1749" s="35"/>
      <c r="Z1749" s="35"/>
      <c r="AA1749" s="35"/>
      <c r="AB1749" s="35"/>
      <c r="AC1749" s="35"/>
      <c r="AD1749" s="35"/>
      <c r="AE1749" s="35"/>
    </row>
    <row r="1750">
      <c r="A1750" s="30"/>
      <c r="B1750" s="35"/>
      <c r="C1750" s="35"/>
      <c r="D1750" s="35"/>
      <c r="E1750" s="35"/>
      <c r="F1750" s="33"/>
      <c r="G1750" s="33"/>
      <c r="H1750" s="33"/>
      <c r="I1750" s="33"/>
      <c r="J1750" s="33"/>
      <c r="K1750" s="35"/>
      <c r="L1750" s="35"/>
      <c r="M1750" s="35"/>
      <c r="N1750" s="35"/>
      <c r="O1750" s="35"/>
      <c r="P1750" s="35"/>
      <c r="Q1750" s="35"/>
      <c r="R1750" s="35"/>
      <c r="S1750" s="35"/>
      <c r="T1750" s="35"/>
      <c r="U1750" s="35"/>
      <c r="V1750" s="35"/>
      <c r="W1750" s="35"/>
      <c r="X1750" s="35"/>
      <c r="Y1750" s="35"/>
      <c r="Z1750" s="35"/>
      <c r="AA1750" s="35"/>
      <c r="AB1750" s="35"/>
      <c r="AC1750" s="35"/>
      <c r="AD1750" s="35"/>
      <c r="AE1750" s="35"/>
    </row>
    <row r="1751">
      <c r="A1751" s="30"/>
      <c r="B1751" s="35"/>
      <c r="C1751" s="35"/>
      <c r="D1751" s="35"/>
      <c r="E1751" s="35"/>
      <c r="F1751" s="33"/>
      <c r="G1751" s="33"/>
      <c r="H1751" s="33"/>
      <c r="I1751" s="33"/>
      <c r="J1751" s="33"/>
      <c r="K1751" s="35"/>
      <c r="L1751" s="35"/>
      <c r="M1751" s="35"/>
      <c r="N1751" s="35"/>
      <c r="O1751" s="35"/>
      <c r="P1751" s="35"/>
      <c r="Q1751" s="35"/>
      <c r="R1751" s="35"/>
      <c r="S1751" s="35"/>
      <c r="T1751" s="35"/>
      <c r="U1751" s="35"/>
      <c r="V1751" s="35"/>
      <c r="W1751" s="35"/>
      <c r="X1751" s="35"/>
      <c r="Y1751" s="35"/>
      <c r="Z1751" s="35"/>
      <c r="AA1751" s="35"/>
      <c r="AB1751" s="35"/>
      <c r="AC1751" s="35"/>
      <c r="AD1751" s="35"/>
      <c r="AE1751" s="35"/>
    </row>
    <row r="1752">
      <c r="A1752" s="30"/>
      <c r="B1752" s="35"/>
      <c r="C1752" s="35"/>
      <c r="D1752" s="35"/>
      <c r="E1752" s="35"/>
      <c r="F1752" s="33"/>
      <c r="G1752" s="33"/>
      <c r="H1752" s="33"/>
      <c r="I1752" s="33"/>
      <c r="J1752" s="33"/>
      <c r="K1752" s="35"/>
      <c r="L1752" s="35"/>
      <c r="M1752" s="35"/>
      <c r="N1752" s="35"/>
      <c r="O1752" s="35"/>
      <c r="P1752" s="35"/>
      <c r="Q1752" s="35"/>
      <c r="R1752" s="35"/>
      <c r="S1752" s="35"/>
      <c r="T1752" s="35"/>
      <c r="U1752" s="35"/>
      <c r="V1752" s="35"/>
      <c r="W1752" s="35"/>
      <c r="X1752" s="35"/>
      <c r="Y1752" s="35"/>
      <c r="Z1752" s="35"/>
      <c r="AA1752" s="35"/>
      <c r="AB1752" s="35"/>
      <c r="AC1752" s="35"/>
      <c r="AD1752" s="35"/>
      <c r="AE1752" s="35"/>
    </row>
    <row r="1753">
      <c r="A1753" s="30"/>
      <c r="B1753" s="35"/>
      <c r="C1753" s="35"/>
      <c r="D1753" s="35"/>
      <c r="E1753" s="35"/>
      <c r="F1753" s="33"/>
      <c r="G1753" s="33"/>
      <c r="H1753" s="33"/>
      <c r="I1753" s="33"/>
      <c r="J1753" s="33"/>
      <c r="K1753" s="35"/>
      <c r="L1753" s="35"/>
      <c r="M1753" s="35"/>
      <c r="N1753" s="35"/>
      <c r="O1753" s="35"/>
      <c r="P1753" s="35"/>
      <c r="Q1753" s="35"/>
      <c r="R1753" s="35"/>
      <c r="S1753" s="35"/>
      <c r="T1753" s="35"/>
      <c r="U1753" s="35"/>
      <c r="V1753" s="35"/>
      <c r="W1753" s="35"/>
      <c r="X1753" s="35"/>
      <c r="Y1753" s="35"/>
      <c r="Z1753" s="35"/>
      <c r="AA1753" s="35"/>
      <c r="AB1753" s="35"/>
      <c r="AC1753" s="35"/>
      <c r="AD1753" s="35"/>
      <c r="AE1753" s="35"/>
    </row>
    <row r="1754">
      <c r="A1754" s="30"/>
      <c r="B1754" s="35"/>
      <c r="C1754" s="35"/>
      <c r="D1754" s="35"/>
      <c r="E1754" s="35"/>
      <c r="F1754" s="33"/>
      <c r="G1754" s="33"/>
      <c r="H1754" s="33"/>
      <c r="I1754" s="33"/>
      <c r="J1754" s="33"/>
      <c r="K1754" s="35"/>
      <c r="L1754" s="35"/>
      <c r="M1754" s="35"/>
      <c r="N1754" s="35"/>
      <c r="O1754" s="35"/>
      <c r="P1754" s="35"/>
      <c r="Q1754" s="35"/>
      <c r="R1754" s="35"/>
      <c r="S1754" s="35"/>
      <c r="T1754" s="35"/>
      <c r="U1754" s="35"/>
      <c r="V1754" s="35"/>
      <c r="W1754" s="35"/>
      <c r="X1754" s="35"/>
      <c r="Y1754" s="35"/>
      <c r="Z1754" s="35"/>
      <c r="AA1754" s="35"/>
      <c r="AB1754" s="35"/>
      <c r="AC1754" s="35"/>
      <c r="AD1754" s="35"/>
      <c r="AE1754" s="35"/>
    </row>
    <row r="1755">
      <c r="A1755" s="30"/>
      <c r="B1755" s="35"/>
      <c r="C1755" s="35"/>
      <c r="D1755" s="35"/>
      <c r="E1755" s="35"/>
      <c r="F1755" s="33"/>
      <c r="G1755" s="33"/>
      <c r="H1755" s="33"/>
      <c r="I1755" s="33"/>
      <c r="J1755" s="33"/>
      <c r="K1755" s="35"/>
      <c r="L1755" s="35"/>
      <c r="M1755" s="35"/>
      <c r="N1755" s="35"/>
      <c r="O1755" s="35"/>
      <c r="P1755" s="35"/>
      <c r="Q1755" s="35"/>
      <c r="R1755" s="35"/>
      <c r="S1755" s="35"/>
      <c r="T1755" s="35"/>
      <c r="U1755" s="35"/>
      <c r="V1755" s="35"/>
      <c r="W1755" s="35"/>
      <c r="X1755" s="35"/>
      <c r="Y1755" s="35"/>
      <c r="Z1755" s="35"/>
      <c r="AA1755" s="35"/>
      <c r="AB1755" s="35"/>
      <c r="AC1755" s="35"/>
      <c r="AD1755" s="35"/>
      <c r="AE1755" s="35"/>
    </row>
    <row r="1756">
      <c r="A1756" s="30"/>
      <c r="B1756" s="35"/>
      <c r="C1756" s="35"/>
      <c r="D1756" s="35"/>
      <c r="E1756" s="35"/>
      <c r="F1756" s="33"/>
      <c r="G1756" s="33"/>
      <c r="H1756" s="33"/>
      <c r="I1756" s="33"/>
      <c r="J1756" s="33"/>
      <c r="K1756" s="35"/>
      <c r="L1756" s="35"/>
      <c r="M1756" s="35"/>
      <c r="N1756" s="35"/>
      <c r="O1756" s="35"/>
      <c r="P1756" s="35"/>
      <c r="Q1756" s="35"/>
      <c r="R1756" s="35"/>
      <c r="S1756" s="35"/>
      <c r="T1756" s="35"/>
      <c r="U1756" s="35"/>
      <c r="V1756" s="35"/>
      <c r="W1756" s="35"/>
      <c r="X1756" s="35"/>
      <c r="Y1756" s="35"/>
      <c r="Z1756" s="35"/>
      <c r="AA1756" s="35"/>
      <c r="AB1756" s="35"/>
      <c r="AC1756" s="35"/>
      <c r="AD1756" s="35"/>
      <c r="AE1756" s="35"/>
    </row>
    <row r="1757">
      <c r="A1757" s="30"/>
      <c r="B1757" s="35"/>
      <c r="C1757" s="35"/>
      <c r="D1757" s="35"/>
      <c r="E1757" s="35"/>
      <c r="F1757" s="33"/>
      <c r="G1757" s="33"/>
      <c r="H1757" s="33"/>
      <c r="I1757" s="33"/>
      <c r="J1757" s="33"/>
      <c r="K1757" s="35"/>
      <c r="L1757" s="35"/>
      <c r="M1757" s="35"/>
      <c r="N1757" s="35"/>
      <c r="O1757" s="35"/>
      <c r="P1757" s="35"/>
      <c r="Q1757" s="35"/>
      <c r="R1757" s="35"/>
      <c r="S1757" s="35"/>
      <c r="T1757" s="35"/>
      <c r="U1757" s="35"/>
      <c r="V1757" s="35"/>
      <c r="W1757" s="35"/>
      <c r="X1757" s="35"/>
      <c r="Y1757" s="35"/>
      <c r="Z1757" s="35"/>
      <c r="AA1757" s="35"/>
      <c r="AB1757" s="35"/>
      <c r="AC1757" s="35"/>
      <c r="AD1757" s="35"/>
      <c r="AE1757" s="35"/>
    </row>
    <row r="1758">
      <c r="A1758" s="30"/>
      <c r="B1758" s="35"/>
      <c r="C1758" s="35"/>
      <c r="D1758" s="35"/>
      <c r="E1758" s="35"/>
      <c r="F1758" s="33"/>
      <c r="G1758" s="33"/>
      <c r="H1758" s="33"/>
      <c r="I1758" s="33"/>
      <c r="J1758" s="33"/>
      <c r="K1758" s="35"/>
      <c r="L1758" s="35"/>
      <c r="M1758" s="35"/>
      <c r="N1758" s="35"/>
      <c r="O1758" s="35"/>
      <c r="P1758" s="35"/>
      <c r="Q1758" s="35"/>
      <c r="R1758" s="35"/>
      <c r="S1758" s="35"/>
      <c r="T1758" s="35"/>
      <c r="U1758" s="35"/>
      <c r="V1758" s="35"/>
      <c r="W1758" s="35"/>
      <c r="X1758" s="35"/>
      <c r="Y1758" s="35"/>
      <c r="Z1758" s="35"/>
      <c r="AA1758" s="35"/>
      <c r="AB1758" s="35"/>
      <c r="AC1758" s="35"/>
      <c r="AD1758" s="35"/>
      <c r="AE1758" s="35"/>
    </row>
    <row r="1759">
      <c r="A1759" s="30"/>
      <c r="B1759" s="35"/>
      <c r="C1759" s="35"/>
      <c r="D1759" s="35"/>
      <c r="E1759" s="35"/>
      <c r="F1759" s="33"/>
      <c r="G1759" s="33"/>
      <c r="H1759" s="33"/>
      <c r="I1759" s="33"/>
      <c r="J1759" s="33"/>
      <c r="K1759" s="35"/>
      <c r="L1759" s="35"/>
      <c r="M1759" s="35"/>
      <c r="N1759" s="35"/>
      <c r="O1759" s="35"/>
      <c r="P1759" s="35"/>
      <c r="Q1759" s="35"/>
      <c r="R1759" s="35"/>
      <c r="S1759" s="35"/>
      <c r="T1759" s="35"/>
      <c r="U1759" s="35"/>
      <c r="V1759" s="35"/>
      <c r="W1759" s="35"/>
      <c r="X1759" s="35"/>
      <c r="Y1759" s="35"/>
      <c r="Z1759" s="35"/>
      <c r="AA1759" s="35"/>
      <c r="AB1759" s="35"/>
      <c r="AC1759" s="35"/>
      <c r="AD1759" s="35"/>
      <c r="AE1759" s="35"/>
    </row>
    <row r="1760">
      <c r="A1760" s="30"/>
      <c r="B1760" s="35"/>
      <c r="C1760" s="35"/>
      <c r="D1760" s="35"/>
      <c r="E1760" s="35"/>
      <c r="F1760" s="33"/>
      <c r="G1760" s="33"/>
      <c r="H1760" s="33"/>
      <c r="I1760" s="33"/>
      <c r="J1760" s="33"/>
      <c r="K1760" s="35"/>
      <c r="L1760" s="35"/>
      <c r="M1760" s="35"/>
      <c r="N1760" s="35"/>
      <c r="O1760" s="35"/>
      <c r="P1760" s="35"/>
      <c r="Q1760" s="35"/>
      <c r="R1760" s="35"/>
      <c r="S1760" s="35"/>
      <c r="T1760" s="35"/>
      <c r="U1760" s="35"/>
      <c r="V1760" s="35"/>
      <c r="W1760" s="35"/>
      <c r="X1760" s="35"/>
      <c r="Y1760" s="35"/>
      <c r="Z1760" s="35"/>
      <c r="AA1760" s="35"/>
      <c r="AB1760" s="35"/>
      <c r="AC1760" s="35"/>
      <c r="AD1760" s="35"/>
      <c r="AE1760" s="35"/>
    </row>
    <row r="1761">
      <c r="A1761" s="30"/>
      <c r="B1761" s="35"/>
      <c r="C1761" s="35"/>
      <c r="D1761" s="35"/>
      <c r="E1761" s="35"/>
      <c r="F1761" s="33"/>
      <c r="G1761" s="33"/>
      <c r="H1761" s="33"/>
      <c r="I1761" s="33"/>
      <c r="J1761" s="33"/>
      <c r="K1761" s="35"/>
      <c r="L1761" s="35"/>
      <c r="M1761" s="35"/>
      <c r="N1761" s="35"/>
      <c r="O1761" s="35"/>
      <c r="P1761" s="35"/>
      <c r="Q1761" s="35"/>
      <c r="R1761" s="35"/>
      <c r="S1761" s="35"/>
      <c r="T1761" s="35"/>
      <c r="U1761" s="35"/>
      <c r="V1761" s="35"/>
      <c r="W1761" s="35"/>
      <c r="X1761" s="35"/>
      <c r="Y1761" s="35"/>
      <c r="Z1761" s="35"/>
      <c r="AA1761" s="35"/>
      <c r="AB1761" s="35"/>
      <c r="AC1761" s="35"/>
      <c r="AD1761" s="35"/>
      <c r="AE1761" s="35"/>
    </row>
    <row r="1762">
      <c r="A1762" s="30"/>
      <c r="B1762" s="35"/>
      <c r="C1762" s="35"/>
      <c r="D1762" s="35"/>
      <c r="E1762" s="35"/>
      <c r="F1762" s="33"/>
      <c r="G1762" s="33"/>
      <c r="H1762" s="33"/>
      <c r="I1762" s="33"/>
      <c r="J1762" s="33"/>
      <c r="K1762" s="35"/>
      <c r="L1762" s="35"/>
      <c r="M1762" s="35"/>
      <c r="N1762" s="35"/>
      <c r="O1762" s="35"/>
      <c r="P1762" s="35"/>
      <c r="Q1762" s="35"/>
      <c r="R1762" s="35"/>
      <c r="S1762" s="35"/>
      <c r="T1762" s="35"/>
      <c r="U1762" s="35"/>
      <c r="V1762" s="35"/>
      <c r="W1762" s="35"/>
      <c r="X1762" s="35"/>
      <c r="Y1762" s="35"/>
      <c r="Z1762" s="35"/>
      <c r="AA1762" s="35"/>
      <c r="AB1762" s="35"/>
      <c r="AC1762" s="35"/>
      <c r="AD1762" s="35"/>
      <c r="AE1762" s="35"/>
    </row>
    <row r="1763">
      <c r="A1763" s="30"/>
      <c r="B1763" s="35"/>
      <c r="C1763" s="35"/>
      <c r="D1763" s="35"/>
      <c r="E1763" s="35"/>
      <c r="F1763" s="33"/>
      <c r="G1763" s="33"/>
      <c r="H1763" s="33"/>
      <c r="I1763" s="33"/>
      <c r="J1763" s="33"/>
      <c r="K1763" s="35"/>
      <c r="L1763" s="35"/>
      <c r="M1763" s="35"/>
      <c r="N1763" s="35"/>
      <c r="O1763" s="35"/>
      <c r="P1763" s="35"/>
      <c r="Q1763" s="35"/>
      <c r="R1763" s="35"/>
      <c r="S1763" s="35"/>
      <c r="T1763" s="35"/>
      <c r="U1763" s="35"/>
      <c r="V1763" s="35"/>
      <c r="W1763" s="35"/>
      <c r="X1763" s="35"/>
      <c r="Y1763" s="35"/>
      <c r="Z1763" s="35"/>
      <c r="AA1763" s="35"/>
      <c r="AB1763" s="35"/>
      <c r="AC1763" s="35"/>
      <c r="AD1763" s="35"/>
      <c r="AE1763" s="35"/>
    </row>
    <row r="1764">
      <c r="A1764" s="30"/>
      <c r="B1764" s="35"/>
      <c r="C1764" s="35"/>
      <c r="D1764" s="35"/>
      <c r="E1764" s="35"/>
      <c r="F1764" s="33"/>
      <c r="G1764" s="33"/>
      <c r="H1764" s="33"/>
      <c r="I1764" s="33"/>
      <c r="J1764" s="33"/>
      <c r="K1764" s="35"/>
      <c r="L1764" s="35"/>
      <c r="M1764" s="35"/>
      <c r="N1764" s="35"/>
      <c r="O1764" s="35"/>
      <c r="P1764" s="35"/>
      <c r="Q1764" s="35"/>
      <c r="R1764" s="35"/>
      <c r="S1764" s="35"/>
      <c r="T1764" s="35"/>
      <c r="U1764" s="35"/>
      <c r="V1764" s="35"/>
      <c r="W1764" s="35"/>
      <c r="X1764" s="35"/>
      <c r="Y1764" s="35"/>
      <c r="Z1764" s="35"/>
      <c r="AA1764" s="35"/>
      <c r="AB1764" s="35"/>
      <c r="AC1764" s="35"/>
      <c r="AD1764" s="35"/>
      <c r="AE1764" s="35"/>
    </row>
    <row r="1765">
      <c r="A1765" s="30"/>
      <c r="B1765" s="35"/>
      <c r="C1765" s="35"/>
      <c r="D1765" s="35"/>
      <c r="E1765" s="35"/>
      <c r="F1765" s="33"/>
      <c r="G1765" s="33"/>
      <c r="H1765" s="33"/>
      <c r="I1765" s="33"/>
      <c r="J1765" s="33"/>
      <c r="K1765" s="35"/>
      <c r="L1765" s="35"/>
      <c r="M1765" s="35"/>
      <c r="N1765" s="35"/>
      <c r="O1765" s="35"/>
      <c r="P1765" s="35"/>
      <c r="Q1765" s="35"/>
      <c r="R1765" s="35"/>
      <c r="S1765" s="35"/>
      <c r="T1765" s="35"/>
      <c r="U1765" s="35"/>
      <c r="V1765" s="35"/>
      <c r="W1765" s="35"/>
      <c r="X1765" s="35"/>
      <c r="Y1765" s="35"/>
      <c r="Z1765" s="35"/>
      <c r="AA1765" s="35"/>
      <c r="AB1765" s="35"/>
      <c r="AC1765" s="35"/>
      <c r="AD1765" s="35"/>
      <c r="AE1765" s="35"/>
    </row>
    <row r="1766">
      <c r="A1766" s="30"/>
      <c r="B1766" s="35"/>
      <c r="C1766" s="35"/>
      <c r="D1766" s="35"/>
      <c r="E1766" s="35"/>
      <c r="F1766" s="33"/>
      <c r="G1766" s="33"/>
      <c r="H1766" s="33"/>
      <c r="I1766" s="33"/>
      <c r="J1766" s="33"/>
      <c r="K1766" s="35"/>
      <c r="L1766" s="35"/>
      <c r="M1766" s="35"/>
      <c r="N1766" s="35"/>
      <c r="O1766" s="35"/>
      <c r="P1766" s="35"/>
      <c r="Q1766" s="35"/>
      <c r="R1766" s="35"/>
      <c r="S1766" s="35"/>
      <c r="T1766" s="35"/>
      <c r="U1766" s="35"/>
      <c r="V1766" s="35"/>
      <c r="W1766" s="35"/>
      <c r="X1766" s="35"/>
      <c r="Y1766" s="35"/>
      <c r="Z1766" s="35"/>
      <c r="AA1766" s="35"/>
      <c r="AB1766" s="35"/>
      <c r="AC1766" s="35"/>
      <c r="AD1766" s="35"/>
      <c r="AE1766" s="35"/>
    </row>
    <row r="1767">
      <c r="A1767" s="30"/>
      <c r="B1767" s="35"/>
      <c r="C1767" s="35"/>
      <c r="D1767" s="35"/>
      <c r="E1767" s="35"/>
      <c r="F1767" s="33"/>
      <c r="G1767" s="33"/>
      <c r="H1767" s="33"/>
      <c r="I1767" s="33"/>
      <c r="J1767" s="33"/>
      <c r="K1767" s="35"/>
      <c r="L1767" s="35"/>
      <c r="M1767" s="35"/>
      <c r="N1767" s="35"/>
      <c r="O1767" s="35"/>
      <c r="P1767" s="35"/>
      <c r="Q1767" s="35"/>
      <c r="R1767" s="35"/>
      <c r="S1767" s="35"/>
      <c r="T1767" s="35"/>
      <c r="U1767" s="35"/>
      <c r="V1767" s="35"/>
      <c r="W1767" s="35"/>
      <c r="X1767" s="35"/>
      <c r="Y1767" s="35"/>
      <c r="Z1767" s="35"/>
      <c r="AA1767" s="35"/>
      <c r="AB1767" s="35"/>
      <c r="AC1767" s="35"/>
      <c r="AD1767" s="35"/>
      <c r="AE1767" s="35"/>
    </row>
    <row r="1768">
      <c r="A1768" s="30"/>
      <c r="B1768" s="35"/>
      <c r="C1768" s="35"/>
      <c r="D1768" s="35"/>
      <c r="E1768" s="35"/>
      <c r="F1768" s="33"/>
      <c r="G1768" s="33"/>
      <c r="H1768" s="33"/>
      <c r="I1768" s="33"/>
      <c r="J1768" s="33"/>
      <c r="K1768" s="35"/>
      <c r="L1768" s="35"/>
      <c r="M1768" s="35"/>
      <c r="N1768" s="35"/>
      <c r="O1768" s="35"/>
      <c r="P1768" s="35"/>
      <c r="Q1768" s="35"/>
      <c r="R1768" s="35"/>
      <c r="S1768" s="35"/>
      <c r="T1768" s="35"/>
      <c r="U1768" s="35"/>
      <c r="V1768" s="35"/>
      <c r="W1768" s="35"/>
      <c r="X1768" s="35"/>
      <c r="Y1768" s="35"/>
      <c r="Z1768" s="35"/>
      <c r="AA1768" s="35"/>
      <c r="AB1768" s="35"/>
      <c r="AC1768" s="35"/>
      <c r="AD1768" s="35"/>
      <c r="AE1768" s="35"/>
    </row>
    <row r="1769">
      <c r="A1769" s="30"/>
      <c r="B1769" s="35"/>
      <c r="C1769" s="35"/>
      <c r="D1769" s="35"/>
      <c r="E1769" s="35"/>
      <c r="F1769" s="33"/>
      <c r="G1769" s="33"/>
      <c r="H1769" s="33"/>
      <c r="I1769" s="33"/>
      <c r="J1769" s="33"/>
      <c r="K1769" s="35"/>
      <c r="L1769" s="35"/>
      <c r="M1769" s="35"/>
      <c r="N1769" s="35"/>
      <c r="O1769" s="35"/>
      <c r="P1769" s="35"/>
      <c r="Q1769" s="35"/>
      <c r="R1769" s="35"/>
      <c r="S1769" s="35"/>
      <c r="T1769" s="35"/>
      <c r="U1769" s="35"/>
      <c r="V1769" s="35"/>
      <c r="W1769" s="35"/>
      <c r="X1769" s="35"/>
      <c r="Y1769" s="35"/>
      <c r="Z1769" s="35"/>
      <c r="AA1769" s="35"/>
      <c r="AB1769" s="35"/>
      <c r="AC1769" s="35"/>
      <c r="AD1769" s="35"/>
      <c r="AE1769" s="35"/>
    </row>
    <row r="1770">
      <c r="A1770" s="30"/>
      <c r="B1770" s="35"/>
      <c r="C1770" s="35"/>
      <c r="D1770" s="35"/>
      <c r="E1770" s="35"/>
      <c r="F1770" s="33"/>
      <c r="G1770" s="33"/>
      <c r="H1770" s="33"/>
      <c r="I1770" s="33"/>
      <c r="J1770" s="33"/>
      <c r="K1770" s="35"/>
      <c r="L1770" s="35"/>
      <c r="M1770" s="35"/>
      <c r="N1770" s="35"/>
      <c r="O1770" s="35"/>
      <c r="P1770" s="35"/>
      <c r="Q1770" s="35"/>
      <c r="R1770" s="35"/>
      <c r="S1770" s="35"/>
      <c r="T1770" s="35"/>
      <c r="U1770" s="35"/>
      <c r="V1770" s="35"/>
      <c r="W1770" s="35"/>
      <c r="X1770" s="35"/>
      <c r="Y1770" s="35"/>
      <c r="Z1770" s="35"/>
      <c r="AA1770" s="35"/>
      <c r="AB1770" s="35"/>
      <c r="AC1770" s="35"/>
      <c r="AD1770" s="35"/>
      <c r="AE1770" s="35"/>
    </row>
    <row r="1771">
      <c r="A1771" s="30"/>
      <c r="B1771" s="35"/>
      <c r="C1771" s="35"/>
      <c r="D1771" s="35"/>
      <c r="E1771" s="35"/>
      <c r="F1771" s="33"/>
      <c r="G1771" s="33"/>
      <c r="H1771" s="33"/>
      <c r="I1771" s="33"/>
      <c r="J1771" s="33"/>
      <c r="K1771" s="35"/>
      <c r="L1771" s="35"/>
      <c r="M1771" s="35"/>
      <c r="N1771" s="35"/>
      <c r="O1771" s="35"/>
      <c r="P1771" s="35"/>
      <c r="Q1771" s="35"/>
      <c r="R1771" s="35"/>
      <c r="S1771" s="35"/>
      <c r="T1771" s="35"/>
      <c r="U1771" s="35"/>
      <c r="V1771" s="35"/>
      <c r="W1771" s="35"/>
      <c r="X1771" s="35"/>
      <c r="Y1771" s="35"/>
      <c r="Z1771" s="35"/>
      <c r="AA1771" s="35"/>
      <c r="AB1771" s="35"/>
      <c r="AC1771" s="35"/>
      <c r="AD1771" s="35"/>
      <c r="AE1771" s="35"/>
    </row>
    <row r="1772">
      <c r="A1772" s="30"/>
      <c r="B1772" s="35"/>
      <c r="C1772" s="35"/>
      <c r="D1772" s="35"/>
      <c r="E1772" s="35"/>
      <c r="F1772" s="33"/>
      <c r="G1772" s="33"/>
      <c r="H1772" s="33"/>
      <c r="I1772" s="33"/>
      <c r="J1772" s="33"/>
      <c r="K1772" s="35"/>
      <c r="L1772" s="35"/>
      <c r="M1772" s="35"/>
      <c r="N1772" s="35"/>
      <c r="O1772" s="35"/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5"/>
      <c r="AA1772" s="35"/>
      <c r="AB1772" s="35"/>
      <c r="AC1772" s="35"/>
      <c r="AD1772" s="35"/>
      <c r="AE1772" s="35"/>
    </row>
    <row r="1773">
      <c r="A1773" s="30"/>
      <c r="B1773" s="35"/>
      <c r="C1773" s="35"/>
      <c r="D1773" s="35"/>
      <c r="E1773" s="35"/>
      <c r="F1773" s="33"/>
      <c r="G1773" s="33"/>
      <c r="H1773" s="33"/>
      <c r="I1773" s="33"/>
      <c r="J1773" s="33"/>
      <c r="K1773" s="35"/>
      <c r="L1773" s="35"/>
      <c r="M1773" s="35"/>
      <c r="N1773" s="35"/>
      <c r="O1773" s="35"/>
      <c r="P1773" s="35"/>
      <c r="Q1773" s="35"/>
      <c r="R1773" s="35"/>
      <c r="S1773" s="35"/>
      <c r="T1773" s="35"/>
      <c r="U1773" s="35"/>
      <c r="V1773" s="35"/>
      <c r="W1773" s="35"/>
      <c r="X1773" s="35"/>
      <c r="Y1773" s="35"/>
      <c r="Z1773" s="35"/>
      <c r="AA1773" s="35"/>
      <c r="AB1773" s="35"/>
      <c r="AC1773" s="35"/>
      <c r="AD1773" s="35"/>
      <c r="AE1773" s="35"/>
    </row>
    <row r="1774">
      <c r="A1774" s="30"/>
      <c r="B1774" s="35"/>
      <c r="C1774" s="35"/>
      <c r="D1774" s="35"/>
      <c r="E1774" s="35"/>
      <c r="F1774" s="33"/>
      <c r="G1774" s="33"/>
      <c r="H1774" s="33"/>
      <c r="I1774" s="33"/>
      <c r="J1774" s="33"/>
      <c r="K1774" s="35"/>
      <c r="L1774" s="35"/>
      <c r="M1774" s="35"/>
      <c r="N1774" s="35"/>
      <c r="O1774" s="35"/>
      <c r="P1774" s="35"/>
      <c r="Q1774" s="35"/>
      <c r="R1774" s="35"/>
      <c r="S1774" s="35"/>
      <c r="T1774" s="35"/>
      <c r="U1774" s="35"/>
      <c r="V1774" s="35"/>
      <c r="W1774" s="35"/>
      <c r="X1774" s="35"/>
      <c r="Y1774" s="35"/>
      <c r="Z1774" s="35"/>
      <c r="AA1774" s="35"/>
      <c r="AB1774" s="35"/>
      <c r="AC1774" s="35"/>
      <c r="AD1774" s="35"/>
      <c r="AE1774" s="35"/>
    </row>
    <row r="1775">
      <c r="A1775" s="30"/>
      <c r="B1775" s="35"/>
      <c r="C1775" s="35"/>
      <c r="D1775" s="35"/>
      <c r="E1775" s="35"/>
      <c r="F1775" s="33"/>
      <c r="G1775" s="33"/>
      <c r="H1775" s="33"/>
      <c r="I1775" s="33"/>
      <c r="J1775" s="33"/>
      <c r="K1775" s="35"/>
      <c r="L1775" s="35"/>
      <c r="M1775" s="35"/>
      <c r="N1775" s="35"/>
      <c r="O1775" s="35"/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5"/>
      <c r="AA1775" s="35"/>
      <c r="AB1775" s="35"/>
      <c r="AC1775" s="35"/>
      <c r="AD1775" s="35"/>
      <c r="AE1775" s="35"/>
    </row>
    <row r="1776">
      <c r="A1776" s="30"/>
      <c r="B1776" s="35"/>
      <c r="C1776" s="35"/>
      <c r="D1776" s="35"/>
      <c r="E1776" s="35"/>
      <c r="F1776" s="33"/>
      <c r="G1776" s="33"/>
      <c r="H1776" s="33"/>
      <c r="I1776" s="33"/>
      <c r="J1776" s="33"/>
      <c r="K1776" s="35"/>
      <c r="L1776" s="35"/>
      <c r="M1776" s="35"/>
      <c r="N1776" s="35"/>
      <c r="O1776" s="35"/>
      <c r="P1776" s="35"/>
      <c r="Q1776" s="35"/>
      <c r="R1776" s="35"/>
      <c r="S1776" s="35"/>
      <c r="T1776" s="35"/>
      <c r="U1776" s="35"/>
      <c r="V1776" s="35"/>
      <c r="W1776" s="35"/>
      <c r="X1776" s="35"/>
      <c r="Y1776" s="35"/>
      <c r="Z1776" s="35"/>
      <c r="AA1776" s="35"/>
      <c r="AB1776" s="35"/>
      <c r="AC1776" s="35"/>
      <c r="AD1776" s="35"/>
      <c r="AE1776" s="35"/>
    </row>
    <row r="1777">
      <c r="A1777" s="30"/>
      <c r="B1777" s="35"/>
      <c r="C1777" s="35"/>
      <c r="D1777" s="35"/>
      <c r="E1777" s="35"/>
      <c r="F1777" s="33"/>
      <c r="G1777" s="33"/>
      <c r="H1777" s="33"/>
      <c r="I1777" s="33"/>
      <c r="J1777" s="33"/>
      <c r="K1777" s="35"/>
      <c r="L1777" s="35"/>
      <c r="M1777" s="35"/>
      <c r="N1777" s="35"/>
      <c r="O1777" s="35"/>
      <c r="P1777" s="35"/>
      <c r="Q1777" s="35"/>
      <c r="R1777" s="35"/>
      <c r="S1777" s="35"/>
      <c r="T1777" s="35"/>
      <c r="U1777" s="35"/>
      <c r="V1777" s="35"/>
      <c r="W1777" s="35"/>
      <c r="X1777" s="35"/>
      <c r="Y1777" s="35"/>
      <c r="Z1777" s="35"/>
      <c r="AA1777" s="35"/>
      <c r="AB1777" s="35"/>
      <c r="AC1777" s="35"/>
      <c r="AD1777" s="35"/>
      <c r="AE1777" s="35"/>
    </row>
    <row r="1778">
      <c r="A1778" s="30"/>
      <c r="B1778" s="35"/>
      <c r="C1778" s="35"/>
      <c r="D1778" s="35"/>
      <c r="E1778" s="35"/>
      <c r="F1778" s="33"/>
      <c r="G1778" s="33"/>
      <c r="H1778" s="33"/>
      <c r="I1778" s="33"/>
      <c r="J1778" s="33"/>
      <c r="K1778" s="35"/>
      <c r="L1778" s="35"/>
      <c r="M1778" s="35"/>
      <c r="N1778" s="35"/>
      <c r="O1778" s="35"/>
      <c r="P1778" s="35"/>
      <c r="Q1778" s="35"/>
      <c r="R1778" s="35"/>
      <c r="S1778" s="35"/>
      <c r="T1778" s="35"/>
      <c r="U1778" s="35"/>
      <c r="V1778" s="35"/>
      <c r="W1778" s="35"/>
      <c r="X1778" s="35"/>
      <c r="Y1778" s="35"/>
      <c r="Z1778" s="35"/>
      <c r="AA1778" s="35"/>
      <c r="AB1778" s="35"/>
      <c r="AC1778" s="35"/>
      <c r="AD1778" s="35"/>
      <c r="AE1778" s="35"/>
    </row>
    <row r="1779">
      <c r="A1779" s="30"/>
      <c r="B1779" s="35"/>
      <c r="C1779" s="35"/>
      <c r="D1779" s="35"/>
      <c r="E1779" s="35"/>
      <c r="F1779" s="33"/>
      <c r="G1779" s="33"/>
      <c r="H1779" s="33"/>
      <c r="I1779" s="33"/>
      <c r="J1779" s="33"/>
      <c r="K1779" s="35"/>
      <c r="L1779" s="35"/>
      <c r="M1779" s="35"/>
      <c r="N1779" s="35"/>
      <c r="O1779" s="35"/>
      <c r="P1779" s="35"/>
      <c r="Q1779" s="35"/>
      <c r="R1779" s="35"/>
      <c r="S1779" s="35"/>
      <c r="T1779" s="35"/>
      <c r="U1779" s="35"/>
      <c r="V1779" s="35"/>
      <c r="W1779" s="35"/>
      <c r="X1779" s="35"/>
      <c r="Y1779" s="35"/>
      <c r="Z1779" s="35"/>
      <c r="AA1779" s="35"/>
      <c r="AB1779" s="35"/>
      <c r="AC1779" s="35"/>
      <c r="AD1779" s="35"/>
      <c r="AE1779" s="35"/>
    </row>
    <row r="1780">
      <c r="A1780" s="30"/>
      <c r="B1780" s="35"/>
      <c r="C1780" s="35"/>
      <c r="D1780" s="35"/>
      <c r="E1780" s="35"/>
      <c r="F1780" s="33"/>
      <c r="G1780" s="33"/>
      <c r="H1780" s="33"/>
      <c r="I1780" s="33"/>
      <c r="J1780" s="33"/>
      <c r="K1780" s="35"/>
      <c r="L1780" s="35"/>
      <c r="M1780" s="35"/>
      <c r="N1780" s="35"/>
      <c r="O1780" s="35"/>
      <c r="P1780" s="35"/>
      <c r="Q1780" s="35"/>
      <c r="R1780" s="35"/>
      <c r="S1780" s="35"/>
      <c r="T1780" s="35"/>
      <c r="U1780" s="35"/>
      <c r="V1780" s="35"/>
      <c r="W1780" s="35"/>
      <c r="X1780" s="35"/>
      <c r="Y1780" s="35"/>
      <c r="Z1780" s="35"/>
      <c r="AA1780" s="35"/>
      <c r="AB1780" s="35"/>
      <c r="AC1780" s="35"/>
      <c r="AD1780" s="35"/>
      <c r="AE1780" s="35"/>
    </row>
    <row r="1781">
      <c r="A1781" s="30"/>
      <c r="B1781" s="35"/>
      <c r="C1781" s="35"/>
      <c r="D1781" s="35"/>
      <c r="E1781" s="35"/>
      <c r="F1781" s="33"/>
      <c r="G1781" s="33"/>
      <c r="H1781" s="33"/>
      <c r="I1781" s="33"/>
      <c r="J1781" s="33"/>
      <c r="K1781" s="35"/>
      <c r="L1781" s="35"/>
      <c r="M1781" s="35"/>
      <c r="N1781" s="35"/>
      <c r="O1781" s="35"/>
      <c r="P1781" s="35"/>
      <c r="Q1781" s="35"/>
      <c r="R1781" s="35"/>
      <c r="S1781" s="35"/>
      <c r="T1781" s="35"/>
      <c r="U1781" s="35"/>
      <c r="V1781" s="35"/>
      <c r="W1781" s="35"/>
      <c r="X1781" s="35"/>
      <c r="Y1781" s="35"/>
      <c r="Z1781" s="35"/>
      <c r="AA1781" s="35"/>
      <c r="AB1781" s="35"/>
      <c r="AC1781" s="35"/>
      <c r="AD1781" s="35"/>
      <c r="AE1781" s="35"/>
    </row>
    <row r="1782">
      <c r="A1782" s="30"/>
      <c r="B1782" s="35"/>
      <c r="C1782" s="35"/>
      <c r="D1782" s="35"/>
      <c r="E1782" s="35"/>
      <c r="F1782" s="33"/>
      <c r="G1782" s="33"/>
      <c r="H1782" s="33"/>
      <c r="I1782" s="33"/>
      <c r="J1782" s="33"/>
      <c r="K1782" s="35"/>
      <c r="L1782" s="35"/>
      <c r="M1782" s="35"/>
      <c r="N1782" s="35"/>
      <c r="O1782" s="35"/>
      <c r="P1782" s="35"/>
      <c r="Q1782" s="35"/>
      <c r="R1782" s="35"/>
      <c r="S1782" s="35"/>
      <c r="T1782" s="35"/>
      <c r="U1782" s="35"/>
      <c r="V1782" s="35"/>
      <c r="W1782" s="35"/>
      <c r="X1782" s="35"/>
      <c r="Y1782" s="35"/>
      <c r="Z1782" s="35"/>
      <c r="AA1782" s="35"/>
      <c r="AB1782" s="35"/>
      <c r="AC1782" s="35"/>
      <c r="AD1782" s="35"/>
      <c r="AE1782" s="35"/>
    </row>
    <row r="1783">
      <c r="A1783" s="30"/>
      <c r="B1783" s="35"/>
      <c r="C1783" s="35"/>
      <c r="D1783" s="35"/>
      <c r="E1783" s="35"/>
      <c r="F1783" s="33"/>
      <c r="G1783" s="33"/>
      <c r="H1783" s="33"/>
      <c r="I1783" s="33"/>
      <c r="J1783" s="33"/>
      <c r="K1783" s="35"/>
      <c r="L1783" s="35"/>
      <c r="M1783" s="35"/>
      <c r="N1783" s="35"/>
      <c r="O1783" s="35"/>
      <c r="P1783" s="35"/>
      <c r="Q1783" s="35"/>
      <c r="R1783" s="35"/>
      <c r="S1783" s="35"/>
      <c r="T1783" s="35"/>
      <c r="U1783" s="35"/>
      <c r="V1783" s="35"/>
      <c r="W1783" s="35"/>
      <c r="X1783" s="35"/>
      <c r="Y1783" s="35"/>
      <c r="Z1783" s="35"/>
      <c r="AA1783" s="35"/>
      <c r="AB1783" s="35"/>
      <c r="AC1783" s="35"/>
      <c r="AD1783" s="35"/>
      <c r="AE1783" s="35"/>
    </row>
    <row r="1784">
      <c r="A1784" s="30"/>
      <c r="B1784" s="35"/>
      <c r="C1784" s="35"/>
      <c r="D1784" s="35"/>
      <c r="E1784" s="35"/>
      <c r="F1784" s="33"/>
      <c r="G1784" s="33"/>
      <c r="H1784" s="33"/>
      <c r="I1784" s="33"/>
      <c r="J1784" s="33"/>
      <c r="K1784" s="35"/>
      <c r="L1784" s="35"/>
      <c r="M1784" s="35"/>
      <c r="N1784" s="35"/>
      <c r="O1784" s="35"/>
      <c r="P1784" s="35"/>
      <c r="Q1784" s="35"/>
      <c r="R1784" s="35"/>
      <c r="S1784" s="35"/>
      <c r="T1784" s="35"/>
      <c r="U1784" s="35"/>
      <c r="V1784" s="35"/>
      <c r="W1784" s="35"/>
      <c r="X1784" s="35"/>
      <c r="Y1784" s="35"/>
      <c r="Z1784" s="35"/>
      <c r="AA1784" s="35"/>
      <c r="AB1784" s="35"/>
      <c r="AC1784" s="35"/>
      <c r="AD1784" s="35"/>
      <c r="AE1784" s="35"/>
    </row>
    <row r="1785">
      <c r="A1785" s="30"/>
      <c r="B1785" s="35"/>
      <c r="C1785" s="35"/>
      <c r="D1785" s="35"/>
      <c r="E1785" s="35"/>
      <c r="F1785" s="33"/>
      <c r="G1785" s="33"/>
      <c r="H1785" s="33"/>
      <c r="I1785" s="33"/>
      <c r="J1785" s="33"/>
      <c r="K1785" s="35"/>
      <c r="L1785" s="35"/>
      <c r="M1785" s="35"/>
      <c r="N1785" s="35"/>
      <c r="O1785" s="35"/>
      <c r="P1785" s="35"/>
      <c r="Q1785" s="35"/>
      <c r="R1785" s="35"/>
      <c r="S1785" s="35"/>
      <c r="T1785" s="35"/>
      <c r="U1785" s="35"/>
      <c r="V1785" s="35"/>
      <c r="W1785" s="35"/>
      <c r="X1785" s="35"/>
      <c r="Y1785" s="35"/>
      <c r="Z1785" s="35"/>
      <c r="AA1785" s="35"/>
      <c r="AB1785" s="35"/>
      <c r="AC1785" s="35"/>
      <c r="AD1785" s="35"/>
      <c r="AE1785" s="35"/>
    </row>
    <row r="1786">
      <c r="A1786" s="30"/>
      <c r="B1786" s="35"/>
      <c r="C1786" s="35"/>
      <c r="D1786" s="35"/>
      <c r="E1786" s="35"/>
      <c r="F1786" s="33"/>
      <c r="G1786" s="33"/>
      <c r="H1786" s="33"/>
      <c r="I1786" s="33"/>
      <c r="J1786" s="33"/>
      <c r="K1786" s="35"/>
      <c r="L1786" s="35"/>
      <c r="M1786" s="35"/>
      <c r="N1786" s="35"/>
      <c r="O1786" s="35"/>
      <c r="P1786" s="35"/>
      <c r="Q1786" s="35"/>
      <c r="R1786" s="35"/>
      <c r="S1786" s="35"/>
      <c r="T1786" s="35"/>
      <c r="U1786" s="35"/>
      <c r="V1786" s="35"/>
      <c r="W1786" s="35"/>
      <c r="X1786" s="35"/>
      <c r="Y1786" s="35"/>
      <c r="Z1786" s="35"/>
      <c r="AA1786" s="35"/>
      <c r="AB1786" s="35"/>
      <c r="AC1786" s="35"/>
      <c r="AD1786" s="35"/>
      <c r="AE1786" s="35"/>
    </row>
    <row r="1787">
      <c r="A1787" s="30"/>
      <c r="B1787" s="35"/>
      <c r="C1787" s="35"/>
      <c r="D1787" s="35"/>
      <c r="E1787" s="35"/>
      <c r="F1787" s="33"/>
      <c r="G1787" s="33"/>
      <c r="H1787" s="33"/>
      <c r="I1787" s="33"/>
      <c r="J1787" s="33"/>
      <c r="K1787" s="35"/>
      <c r="L1787" s="35"/>
      <c r="M1787" s="35"/>
      <c r="N1787" s="35"/>
      <c r="O1787" s="35"/>
      <c r="P1787" s="35"/>
      <c r="Q1787" s="35"/>
      <c r="R1787" s="35"/>
      <c r="S1787" s="35"/>
      <c r="T1787" s="35"/>
      <c r="U1787" s="35"/>
      <c r="V1787" s="35"/>
      <c r="W1787" s="35"/>
      <c r="X1787" s="35"/>
      <c r="Y1787" s="35"/>
      <c r="Z1787" s="35"/>
      <c r="AA1787" s="35"/>
      <c r="AB1787" s="35"/>
      <c r="AC1787" s="35"/>
      <c r="AD1787" s="35"/>
      <c r="AE1787" s="35"/>
    </row>
    <row r="1788">
      <c r="A1788" s="30"/>
      <c r="B1788" s="35"/>
      <c r="C1788" s="35"/>
      <c r="D1788" s="35"/>
      <c r="E1788" s="35"/>
      <c r="F1788" s="33"/>
      <c r="G1788" s="33"/>
      <c r="H1788" s="33"/>
      <c r="I1788" s="33"/>
      <c r="J1788" s="33"/>
      <c r="K1788" s="35"/>
      <c r="L1788" s="35"/>
      <c r="M1788" s="35"/>
      <c r="N1788" s="35"/>
      <c r="O1788" s="35"/>
      <c r="P1788" s="35"/>
      <c r="Q1788" s="35"/>
      <c r="R1788" s="35"/>
      <c r="S1788" s="35"/>
      <c r="T1788" s="35"/>
      <c r="U1788" s="35"/>
      <c r="V1788" s="35"/>
      <c r="W1788" s="35"/>
      <c r="X1788" s="35"/>
      <c r="Y1788" s="35"/>
      <c r="Z1788" s="35"/>
      <c r="AA1788" s="35"/>
      <c r="AB1788" s="35"/>
      <c r="AC1788" s="35"/>
      <c r="AD1788" s="35"/>
      <c r="AE1788" s="35"/>
    </row>
    <row r="1789">
      <c r="A1789" s="30"/>
      <c r="B1789" s="35"/>
      <c r="C1789" s="35"/>
      <c r="D1789" s="35"/>
      <c r="E1789" s="35"/>
      <c r="F1789" s="33"/>
      <c r="G1789" s="33"/>
      <c r="H1789" s="33"/>
      <c r="I1789" s="33"/>
      <c r="J1789" s="33"/>
      <c r="K1789" s="35"/>
      <c r="L1789" s="35"/>
      <c r="M1789" s="35"/>
      <c r="N1789" s="35"/>
      <c r="O1789" s="35"/>
      <c r="P1789" s="35"/>
      <c r="Q1789" s="35"/>
      <c r="R1789" s="35"/>
      <c r="S1789" s="35"/>
      <c r="T1789" s="35"/>
      <c r="U1789" s="35"/>
      <c r="V1789" s="35"/>
      <c r="W1789" s="35"/>
      <c r="X1789" s="35"/>
      <c r="Y1789" s="35"/>
      <c r="Z1789" s="35"/>
      <c r="AA1789" s="35"/>
      <c r="AB1789" s="35"/>
      <c r="AC1789" s="35"/>
      <c r="AD1789" s="35"/>
      <c r="AE1789" s="35"/>
    </row>
    <row r="1790">
      <c r="A1790" s="30"/>
      <c r="B1790" s="35"/>
      <c r="C1790" s="35"/>
      <c r="D1790" s="35"/>
      <c r="E1790" s="35"/>
      <c r="F1790" s="33"/>
      <c r="G1790" s="33"/>
      <c r="H1790" s="33"/>
      <c r="I1790" s="33"/>
      <c r="J1790" s="33"/>
      <c r="K1790" s="35"/>
      <c r="L1790" s="35"/>
      <c r="M1790" s="35"/>
      <c r="N1790" s="35"/>
      <c r="O1790" s="35"/>
      <c r="P1790" s="35"/>
      <c r="Q1790" s="35"/>
      <c r="R1790" s="35"/>
      <c r="S1790" s="35"/>
      <c r="T1790" s="35"/>
      <c r="U1790" s="35"/>
      <c r="V1790" s="35"/>
      <c r="W1790" s="35"/>
      <c r="X1790" s="35"/>
      <c r="Y1790" s="35"/>
      <c r="Z1790" s="35"/>
      <c r="AA1790" s="35"/>
      <c r="AB1790" s="35"/>
      <c r="AC1790" s="35"/>
      <c r="AD1790" s="35"/>
      <c r="AE1790" s="35"/>
    </row>
    <row r="1791">
      <c r="A1791" s="30"/>
      <c r="B1791" s="35"/>
      <c r="C1791" s="35"/>
      <c r="D1791" s="35"/>
      <c r="E1791" s="35"/>
      <c r="F1791" s="33"/>
      <c r="G1791" s="33"/>
      <c r="H1791" s="33"/>
      <c r="I1791" s="33"/>
      <c r="J1791" s="33"/>
      <c r="K1791" s="35"/>
      <c r="L1791" s="35"/>
      <c r="M1791" s="35"/>
      <c r="N1791" s="35"/>
      <c r="O1791" s="35"/>
      <c r="P1791" s="35"/>
      <c r="Q1791" s="35"/>
      <c r="R1791" s="35"/>
      <c r="S1791" s="35"/>
      <c r="T1791" s="35"/>
      <c r="U1791" s="35"/>
      <c r="V1791" s="35"/>
      <c r="W1791" s="35"/>
      <c r="X1791" s="35"/>
      <c r="Y1791" s="35"/>
      <c r="Z1791" s="35"/>
      <c r="AA1791" s="35"/>
      <c r="AB1791" s="35"/>
      <c r="AC1791" s="35"/>
      <c r="AD1791" s="35"/>
      <c r="AE1791" s="35"/>
    </row>
    <row r="1792">
      <c r="A1792" s="30"/>
      <c r="B1792" s="35"/>
      <c r="C1792" s="35"/>
      <c r="D1792" s="35"/>
      <c r="E1792" s="35"/>
      <c r="F1792" s="33"/>
      <c r="G1792" s="33"/>
      <c r="H1792" s="33"/>
      <c r="I1792" s="33"/>
      <c r="J1792" s="33"/>
      <c r="K1792" s="35"/>
      <c r="L1792" s="35"/>
      <c r="M1792" s="35"/>
      <c r="N1792" s="35"/>
      <c r="O1792" s="35"/>
      <c r="P1792" s="35"/>
      <c r="Q1792" s="35"/>
      <c r="R1792" s="35"/>
      <c r="S1792" s="35"/>
      <c r="T1792" s="35"/>
      <c r="U1792" s="35"/>
      <c r="V1792" s="35"/>
      <c r="W1792" s="35"/>
      <c r="X1792" s="35"/>
      <c r="Y1792" s="35"/>
      <c r="Z1792" s="35"/>
      <c r="AA1792" s="35"/>
      <c r="AB1792" s="35"/>
      <c r="AC1792" s="35"/>
      <c r="AD1792" s="35"/>
      <c r="AE1792" s="35"/>
    </row>
    <row r="1793">
      <c r="A1793" s="30"/>
      <c r="B1793" s="35"/>
      <c r="C1793" s="35"/>
      <c r="D1793" s="35"/>
      <c r="E1793" s="35"/>
      <c r="F1793" s="33"/>
      <c r="G1793" s="33"/>
      <c r="H1793" s="33"/>
      <c r="I1793" s="33"/>
      <c r="J1793" s="33"/>
      <c r="K1793" s="35"/>
      <c r="L1793" s="35"/>
      <c r="M1793" s="35"/>
      <c r="N1793" s="35"/>
      <c r="O1793" s="35"/>
      <c r="P1793" s="35"/>
      <c r="Q1793" s="35"/>
      <c r="R1793" s="35"/>
      <c r="S1793" s="35"/>
      <c r="T1793" s="35"/>
      <c r="U1793" s="35"/>
      <c r="V1793" s="35"/>
      <c r="W1793" s="35"/>
      <c r="X1793" s="35"/>
      <c r="Y1793" s="35"/>
      <c r="Z1793" s="35"/>
      <c r="AA1793" s="35"/>
      <c r="AB1793" s="35"/>
      <c r="AC1793" s="35"/>
      <c r="AD1793" s="35"/>
      <c r="AE1793" s="35"/>
    </row>
    <row r="1794">
      <c r="A1794" s="30"/>
      <c r="B1794" s="35"/>
      <c r="C1794" s="35"/>
      <c r="D1794" s="35"/>
      <c r="E1794" s="35"/>
      <c r="F1794" s="33"/>
      <c r="G1794" s="33"/>
      <c r="H1794" s="33"/>
      <c r="I1794" s="33"/>
      <c r="J1794" s="33"/>
      <c r="K1794" s="35"/>
      <c r="L1794" s="35"/>
      <c r="M1794" s="35"/>
      <c r="N1794" s="35"/>
      <c r="O1794" s="35"/>
      <c r="P1794" s="35"/>
      <c r="Q1794" s="35"/>
      <c r="R1794" s="35"/>
      <c r="S1794" s="35"/>
      <c r="T1794" s="35"/>
      <c r="U1794" s="35"/>
      <c r="V1794" s="35"/>
      <c r="W1794" s="35"/>
      <c r="X1794" s="35"/>
      <c r="Y1794" s="35"/>
      <c r="Z1794" s="35"/>
      <c r="AA1794" s="35"/>
      <c r="AB1794" s="35"/>
      <c r="AC1794" s="35"/>
      <c r="AD1794" s="35"/>
      <c r="AE1794" s="35"/>
    </row>
    <row r="1795">
      <c r="A1795" s="30"/>
      <c r="B1795" s="35"/>
      <c r="C1795" s="35"/>
      <c r="D1795" s="35"/>
      <c r="E1795" s="35"/>
      <c r="F1795" s="33"/>
      <c r="G1795" s="33"/>
      <c r="H1795" s="33"/>
      <c r="I1795" s="33"/>
      <c r="J1795" s="33"/>
      <c r="K1795" s="35"/>
      <c r="L1795" s="35"/>
      <c r="M1795" s="35"/>
      <c r="N1795" s="35"/>
      <c r="O1795" s="35"/>
      <c r="P1795" s="35"/>
      <c r="Q1795" s="35"/>
      <c r="R1795" s="35"/>
      <c r="S1795" s="35"/>
      <c r="T1795" s="35"/>
      <c r="U1795" s="35"/>
      <c r="V1795" s="35"/>
      <c r="W1795" s="35"/>
      <c r="X1795" s="35"/>
      <c r="Y1795" s="35"/>
      <c r="Z1795" s="35"/>
      <c r="AA1795" s="35"/>
      <c r="AB1795" s="35"/>
      <c r="AC1795" s="35"/>
      <c r="AD1795" s="35"/>
      <c r="AE1795" s="35"/>
    </row>
    <row r="1796">
      <c r="A1796" s="30"/>
      <c r="B1796" s="35"/>
      <c r="C1796" s="35"/>
      <c r="D1796" s="35"/>
      <c r="E1796" s="35"/>
      <c r="F1796" s="33"/>
      <c r="G1796" s="33"/>
      <c r="H1796" s="33"/>
      <c r="I1796" s="33"/>
      <c r="J1796" s="33"/>
      <c r="K1796" s="35"/>
      <c r="L1796" s="35"/>
      <c r="M1796" s="35"/>
      <c r="N1796" s="35"/>
      <c r="O1796" s="35"/>
      <c r="P1796" s="35"/>
      <c r="Q1796" s="35"/>
      <c r="R1796" s="35"/>
      <c r="S1796" s="35"/>
      <c r="T1796" s="35"/>
      <c r="U1796" s="35"/>
      <c r="V1796" s="35"/>
      <c r="W1796" s="35"/>
      <c r="X1796" s="35"/>
      <c r="Y1796" s="35"/>
      <c r="Z1796" s="35"/>
      <c r="AA1796" s="35"/>
      <c r="AB1796" s="35"/>
      <c r="AC1796" s="35"/>
      <c r="AD1796" s="35"/>
      <c r="AE1796" s="35"/>
    </row>
    <row r="1797">
      <c r="A1797" s="30"/>
      <c r="B1797" s="35"/>
      <c r="C1797" s="35"/>
      <c r="D1797" s="35"/>
      <c r="E1797" s="35"/>
      <c r="F1797" s="33"/>
      <c r="G1797" s="33"/>
      <c r="H1797" s="33"/>
      <c r="I1797" s="33"/>
      <c r="J1797" s="33"/>
      <c r="K1797" s="35"/>
      <c r="L1797" s="35"/>
      <c r="M1797" s="35"/>
      <c r="N1797" s="35"/>
      <c r="O1797" s="35"/>
      <c r="P1797" s="35"/>
      <c r="Q1797" s="35"/>
      <c r="R1797" s="35"/>
      <c r="S1797" s="35"/>
      <c r="T1797" s="35"/>
      <c r="U1797" s="35"/>
      <c r="V1797" s="35"/>
      <c r="W1797" s="35"/>
      <c r="X1797" s="35"/>
      <c r="Y1797" s="35"/>
      <c r="Z1797" s="35"/>
      <c r="AA1797" s="35"/>
      <c r="AB1797" s="35"/>
      <c r="AC1797" s="35"/>
      <c r="AD1797" s="35"/>
      <c r="AE1797" s="35"/>
    </row>
    <row r="1798">
      <c r="A1798" s="30"/>
      <c r="B1798" s="35"/>
      <c r="C1798" s="35"/>
      <c r="D1798" s="35"/>
      <c r="E1798" s="35"/>
      <c r="F1798" s="33"/>
      <c r="G1798" s="33"/>
      <c r="H1798" s="33"/>
      <c r="I1798" s="33"/>
      <c r="J1798" s="33"/>
      <c r="K1798" s="35"/>
      <c r="L1798" s="35"/>
      <c r="M1798" s="35"/>
      <c r="N1798" s="35"/>
      <c r="O1798" s="35"/>
      <c r="P1798" s="35"/>
      <c r="Q1798" s="35"/>
      <c r="R1798" s="35"/>
      <c r="S1798" s="35"/>
      <c r="T1798" s="35"/>
      <c r="U1798" s="35"/>
      <c r="V1798" s="35"/>
      <c r="W1798" s="35"/>
      <c r="X1798" s="35"/>
      <c r="Y1798" s="35"/>
      <c r="Z1798" s="35"/>
      <c r="AA1798" s="35"/>
      <c r="AB1798" s="35"/>
      <c r="AC1798" s="35"/>
      <c r="AD1798" s="35"/>
      <c r="AE1798" s="35"/>
    </row>
    <row r="1799">
      <c r="A1799" s="30"/>
      <c r="B1799" s="35"/>
      <c r="C1799" s="35"/>
      <c r="D1799" s="35"/>
      <c r="E1799" s="35"/>
      <c r="F1799" s="33"/>
      <c r="G1799" s="33"/>
      <c r="H1799" s="33"/>
      <c r="I1799" s="33"/>
      <c r="J1799" s="33"/>
      <c r="K1799" s="35"/>
      <c r="L1799" s="35"/>
      <c r="M1799" s="35"/>
      <c r="N1799" s="35"/>
      <c r="O1799" s="35"/>
      <c r="P1799" s="35"/>
      <c r="Q1799" s="35"/>
      <c r="R1799" s="35"/>
      <c r="S1799" s="35"/>
      <c r="T1799" s="35"/>
      <c r="U1799" s="35"/>
      <c r="V1799" s="35"/>
      <c r="W1799" s="35"/>
      <c r="X1799" s="35"/>
      <c r="Y1799" s="35"/>
      <c r="Z1799" s="35"/>
      <c r="AA1799" s="35"/>
      <c r="AB1799" s="35"/>
      <c r="AC1799" s="35"/>
      <c r="AD1799" s="35"/>
      <c r="AE1799" s="35"/>
    </row>
    <row r="1800">
      <c r="A1800" s="30"/>
      <c r="B1800" s="35"/>
      <c r="C1800" s="35"/>
      <c r="D1800" s="35"/>
      <c r="E1800" s="35"/>
      <c r="F1800" s="33"/>
      <c r="G1800" s="33"/>
      <c r="H1800" s="33"/>
      <c r="I1800" s="33"/>
      <c r="J1800" s="33"/>
      <c r="K1800" s="35"/>
      <c r="L1800" s="35"/>
      <c r="M1800" s="35"/>
      <c r="N1800" s="35"/>
      <c r="O1800" s="35"/>
      <c r="P1800" s="35"/>
      <c r="Q1800" s="35"/>
      <c r="R1800" s="35"/>
      <c r="S1800" s="35"/>
      <c r="T1800" s="35"/>
      <c r="U1800" s="35"/>
      <c r="V1800" s="35"/>
      <c r="W1800" s="35"/>
      <c r="X1800" s="35"/>
      <c r="Y1800" s="35"/>
      <c r="Z1800" s="35"/>
      <c r="AA1800" s="35"/>
      <c r="AB1800" s="35"/>
      <c r="AC1800" s="35"/>
      <c r="AD1800" s="35"/>
      <c r="AE1800" s="35"/>
    </row>
    <row r="1801">
      <c r="A1801" s="30"/>
      <c r="B1801" s="35"/>
      <c r="C1801" s="35"/>
      <c r="D1801" s="35"/>
      <c r="E1801" s="35"/>
      <c r="F1801" s="33"/>
      <c r="G1801" s="33"/>
      <c r="H1801" s="33"/>
      <c r="I1801" s="33"/>
      <c r="J1801" s="33"/>
      <c r="K1801" s="35"/>
      <c r="L1801" s="35"/>
      <c r="M1801" s="35"/>
      <c r="N1801" s="35"/>
      <c r="O1801" s="35"/>
      <c r="P1801" s="35"/>
      <c r="Q1801" s="35"/>
      <c r="R1801" s="35"/>
      <c r="S1801" s="35"/>
      <c r="T1801" s="35"/>
      <c r="U1801" s="35"/>
      <c r="V1801" s="35"/>
      <c r="W1801" s="35"/>
      <c r="X1801" s="35"/>
      <c r="Y1801" s="35"/>
      <c r="Z1801" s="35"/>
      <c r="AA1801" s="35"/>
      <c r="AB1801" s="35"/>
      <c r="AC1801" s="35"/>
      <c r="AD1801" s="35"/>
      <c r="AE1801" s="35"/>
    </row>
    <row r="1802">
      <c r="A1802" s="30"/>
      <c r="B1802" s="35"/>
      <c r="C1802" s="35"/>
      <c r="D1802" s="35"/>
      <c r="E1802" s="35"/>
      <c r="F1802" s="33"/>
      <c r="G1802" s="33"/>
      <c r="H1802" s="33"/>
      <c r="I1802" s="33"/>
      <c r="J1802" s="33"/>
      <c r="K1802" s="35"/>
      <c r="L1802" s="35"/>
      <c r="M1802" s="35"/>
      <c r="N1802" s="35"/>
      <c r="O1802" s="35"/>
      <c r="P1802" s="35"/>
      <c r="Q1802" s="35"/>
      <c r="R1802" s="35"/>
      <c r="S1802" s="35"/>
      <c r="T1802" s="35"/>
      <c r="U1802" s="35"/>
      <c r="V1802" s="35"/>
      <c r="W1802" s="35"/>
      <c r="X1802" s="35"/>
      <c r="Y1802" s="35"/>
      <c r="Z1802" s="35"/>
      <c r="AA1802" s="35"/>
      <c r="AB1802" s="35"/>
      <c r="AC1802" s="35"/>
      <c r="AD1802" s="35"/>
      <c r="AE1802" s="35"/>
    </row>
    <row r="1803">
      <c r="A1803" s="30"/>
      <c r="B1803" s="35"/>
      <c r="C1803" s="35"/>
      <c r="D1803" s="35"/>
      <c r="E1803" s="35"/>
      <c r="F1803" s="33"/>
      <c r="G1803" s="33"/>
      <c r="H1803" s="33"/>
      <c r="I1803" s="33"/>
      <c r="J1803" s="33"/>
      <c r="K1803" s="35"/>
      <c r="L1803" s="35"/>
      <c r="M1803" s="35"/>
      <c r="N1803" s="35"/>
      <c r="O1803" s="35"/>
      <c r="P1803" s="35"/>
      <c r="Q1803" s="35"/>
      <c r="R1803" s="35"/>
      <c r="S1803" s="35"/>
      <c r="T1803" s="35"/>
      <c r="U1803" s="35"/>
      <c r="V1803" s="35"/>
      <c r="W1803" s="35"/>
      <c r="X1803" s="35"/>
      <c r="Y1803" s="35"/>
      <c r="Z1803" s="35"/>
      <c r="AA1803" s="35"/>
      <c r="AB1803" s="35"/>
      <c r="AC1803" s="35"/>
      <c r="AD1803" s="35"/>
      <c r="AE1803" s="35"/>
    </row>
    <row r="1804">
      <c r="A1804" s="30"/>
      <c r="B1804" s="35"/>
      <c r="C1804" s="35"/>
      <c r="D1804" s="35"/>
      <c r="E1804" s="35"/>
      <c r="F1804" s="33"/>
      <c r="G1804" s="33"/>
      <c r="H1804" s="33"/>
      <c r="I1804" s="33"/>
      <c r="J1804" s="33"/>
      <c r="K1804" s="35"/>
      <c r="L1804" s="35"/>
      <c r="M1804" s="35"/>
      <c r="N1804" s="35"/>
      <c r="O1804" s="35"/>
      <c r="P1804" s="35"/>
      <c r="Q1804" s="35"/>
      <c r="R1804" s="35"/>
      <c r="S1804" s="35"/>
      <c r="T1804" s="35"/>
      <c r="U1804" s="35"/>
      <c r="V1804" s="35"/>
      <c r="W1804" s="35"/>
      <c r="X1804" s="35"/>
      <c r="Y1804" s="35"/>
      <c r="Z1804" s="35"/>
      <c r="AA1804" s="35"/>
      <c r="AB1804" s="35"/>
      <c r="AC1804" s="35"/>
      <c r="AD1804" s="35"/>
      <c r="AE1804" s="35"/>
    </row>
    <row r="1805">
      <c r="A1805" s="30"/>
      <c r="B1805" s="35"/>
      <c r="C1805" s="35"/>
      <c r="D1805" s="35"/>
      <c r="E1805" s="35"/>
      <c r="F1805" s="33"/>
      <c r="G1805" s="33"/>
      <c r="H1805" s="33"/>
      <c r="I1805" s="33"/>
      <c r="J1805" s="33"/>
      <c r="K1805" s="35"/>
      <c r="L1805" s="35"/>
      <c r="M1805" s="35"/>
      <c r="N1805" s="35"/>
      <c r="O1805" s="35"/>
      <c r="P1805" s="35"/>
      <c r="Q1805" s="35"/>
      <c r="R1805" s="35"/>
      <c r="S1805" s="35"/>
      <c r="T1805" s="35"/>
      <c r="U1805" s="35"/>
      <c r="V1805" s="35"/>
      <c r="W1805" s="35"/>
      <c r="X1805" s="35"/>
      <c r="Y1805" s="35"/>
      <c r="Z1805" s="35"/>
      <c r="AA1805" s="35"/>
      <c r="AB1805" s="35"/>
      <c r="AC1805" s="35"/>
      <c r="AD1805" s="35"/>
      <c r="AE1805" s="35"/>
    </row>
    <row r="1806">
      <c r="A1806" s="30"/>
      <c r="B1806" s="35"/>
      <c r="C1806" s="35"/>
      <c r="D1806" s="35"/>
      <c r="E1806" s="35"/>
      <c r="F1806" s="33"/>
      <c r="G1806" s="33"/>
      <c r="H1806" s="33"/>
      <c r="I1806" s="33"/>
      <c r="J1806" s="33"/>
      <c r="K1806" s="35"/>
      <c r="L1806" s="35"/>
      <c r="M1806" s="35"/>
      <c r="N1806" s="35"/>
      <c r="O1806" s="35"/>
      <c r="P1806" s="35"/>
      <c r="Q1806" s="35"/>
      <c r="R1806" s="35"/>
      <c r="S1806" s="35"/>
      <c r="T1806" s="35"/>
      <c r="U1806" s="35"/>
      <c r="V1806" s="35"/>
      <c r="W1806" s="35"/>
      <c r="X1806" s="35"/>
      <c r="Y1806" s="35"/>
      <c r="Z1806" s="35"/>
      <c r="AA1806" s="35"/>
      <c r="AB1806" s="35"/>
      <c r="AC1806" s="35"/>
      <c r="AD1806" s="35"/>
      <c r="AE1806" s="35"/>
    </row>
    <row r="1807">
      <c r="A1807" s="30"/>
      <c r="B1807" s="35"/>
      <c r="C1807" s="35"/>
      <c r="D1807" s="35"/>
      <c r="E1807" s="35"/>
      <c r="F1807" s="33"/>
      <c r="G1807" s="33"/>
      <c r="H1807" s="33"/>
      <c r="I1807" s="33"/>
      <c r="J1807" s="33"/>
      <c r="K1807" s="35"/>
      <c r="L1807" s="35"/>
      <c r="M1807" s="35"/>
      <c r="N1807" s="35"/>
      <c r="O1807" s="35"/>
      <c r="P1807" s="35"/>
      <c r="Q1807" s="35"/>
      <c r="R1807" s="35"/>
      <c r="S1807" s="35"/>
      <c r="T1807" s="35"/>
      <c r="U1807" s="35"/>
      <c r="V1807" s="35"/>
      <c r="W1807" s="35"/>
      <c r="X1807" s="35"/>
      <c r="Y1807" s="35"/>
      <c r="Z1807" s="35"/>
      <c r="AA1807" s="35"/>
      <c r="AB1807" s="35"/>
      <c r="AC1807" s="35"/>
      <c r="AD1807" s="35"/>
      <c r="AE1807" s="35"/>
    </row>
    <row r="1808">
      <c r="A1808" s="30"/>
      <c r="B1808" s="35"/>
      <c r="C1808" s="35"/>
      <c r="D1808" s="35"/>
      <c r="E1808" s="35"/>
      <c r="F1808" s="33"/>
      <c r="G1808" s="33"/>
      <c r="H1808" s="33"/>
      <c r="I1808" s="33"/>
      <c r="J1808" s="33"/>
      <c r="K1808" s="35"/>
      <c r="L1808" s="35"/>
      <c r="M1808" s="35"/>
      <c r="N1808" s="35"/>
      <c r="O1808" s="35"/>
      <c r="P1808" s="35"/>
      <c r="Q1808" s="35"/>
      <c r="R1808" s="35"/>
      <c r="S1808" s="35"/>
      <c r="T1808" s="35"/>
      <c r="U1808" s="35"/>
      <c r="V1808" s="35"/>
      <c r="W1808" s="35"/>
      <c r="X1808" s="35"/>
      <c r="Y1808" s="35"/>
      <c r="Z1808" s="35"/>
      <c r="AA1808" s="35"/>
      <c r="AB1808" s="35"/>
      <c r="AC1808" s="35"/>
      <c r="AD1808" s="35"/>
      <c r="AE1808" s="35"/>
    </row>
    <row r="1809">
      <c r="A1809" s="30"/>
      <c r="B1809" s="35"/>
      <c r="C1809" s="35"/>
      <c r="D1809" s="35"/>
      <c r="E1809" s="35"/>
      <c r="F1809" s="33"/>
      <c r="G1809" s="33"/>
      <c r="H1809" s="33"/>
      <c r="I1809" s="33"/>
      <c r="J1809" s="33"/>
      <c r="K1809" s="35"/>
      <c r="L1809" s="35"/>
      <c r="M1809" s="35"/>
      <c r="N1809" s="35"/>
      <c r="O1809" s="35"/>
      <c r="P1809" s="35"/>
      <c r="Q1809" s="35"/>
      <c r="R1809" s="35"/>
      <c r="S1809" s="35"/>
      <c r="T1809" s="35"/>
      <c r="U1809" s="35"/>
      <c r="V1809" s="35"/>
      <c r="W1809" s="35"/>
      <c r="X1809" s="35"/>
      <c r="Y1809" s="35"/>
      <c r="Z1809" s="35"/>
      <c r="AA1809" s="35"/>
      <c r="AB1809" s="35"/>
      <c r="AC1809" s="35"/>
      <c r="AD1809" s="35"/>
      <c r="AE1809" s="35"/>
    </row>
    <row r="1810">
      <c r="A1810" s="30"/>
      <c r="B1810" s="35"/>
      <c r="C1810" s="35"/>
      <c r="D1810" s="35"/>
      <c r="E1810" s="35"/>
      <c r="F1810" s="33"/>
      <c r="G1810" s="33"/>
      <c r="H1810" s="33"/>
      <c r="I1810" s="33"/>
      <c r="J1810" s="33"/>
      <c r="K1810" s="35"/>
      <c r="L1810" s="35"/>
      <c r="M1810" s="35"/>
      <c r="N1810" s="35"/>
      <c r="O1810" s="35"/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5"/>
      <c r="AA1810" s="35"/>
      <c r="AB1810" s="35"/>
      <c r="AC1810" s="35"/>
      <c r="AD1810" s="35"/>
      <c r="AE1810" s="35"/>
    </row>
    <row r="1811">
      <c r="A1811" s="30"/>
      <c r="B1811" s="35"/>
      <c r="C1811" s="35"/>
      <c r="D1811" s="35"/>
      <c r="E1811" s="35"/>
      <c r="F1811" s="33"/>
      <c r="G1811" s="33"/>
      <c r="H1811" s="33"/>
      <c r="I1811" s="33"/>
      <c r="J1811" s="33"/>
      <c r="K1811" s="35"/>
      <c r="L1811" s="35"/>
      <c r="M1811" s="35"/>
      <c r="N1811" s="35"/>
      <c r="O1811" s="35"/>
      <c r="P1811" s="35"/>
      <c r="Q1811" s="35"/>
      <c r="R1811" s="35"/>
      <c r="S1811" s="35"/>
      <c r="T1811" s="35"/>
      <c r="U1811" s="35"/>
      <c r="V1811" s="35"/>
      <c r="W1811" s="35"/>
      <c r="X1811" s="35"/>
      <c r="Y1811" s="35"/>
      <c r="Z1811" s="35"/>
      <c r="AA1811" s="35"/>
      <c r="AB1811" s="35"/>
      <c r="AC1811" s="35"/>
      <c r="AD1811" s="35"/>
      <c r="AE1811" s="35"/>
    </row>
    <row r="1812">
      <c r="A1812" s="30"/>
      <c r="B1812" s="35"/>
      <c r="C1812" s="35"/>
      <c r="D1812" s="35"/>
      <c r="E1812" s="35"/>
      <c r="F1812" s="33"/>
      <c r="G1812" s="33"/>
      <c r="H1812" s="33"/>
      <c r="I1812" s="33"/>
      <c r="J1812" s="33"/>
      <c r="K1812" s="35"/>
      <c r="L1812" s="35"/>
      <c r="M1812" s="35"/>
      <c r="N1812" s="35"/>
      <c r="O1812" s="35"/>
      <c r="P1812" s="35"/>
      <c r="Q1812" s="35"/>
      <c r="R1812" s="35"/>
      <c r="S1812" s="35"/>
      <c r="T1812" s="35"/>
      <c r="U1812" s="35"/>
      <c r="V1812" s="35"/>
      <c r="W1812" s="35"/>
      <c r="X1812" s="35"/>
      <c r="Y1812" s="35"/>
      <c r="Z1812" s="35"/>
      <c r="AA1812" s="35"/>
      <c r="AB1812" s="35"/>
      <c r="AC1812" s="35"/>
      <c r="AD1812" s="35"/>
      <c r="AE1812" s="35"/>
    </row>
    <row r="1813">
      <c r="A1813" s="30"/>
      <c r="B1813" s="35"/>
      <c r="C1813" s="35"/>
      <c r="D1813" s="35"/>
      <c r="E1813" s="35"/>
      <c r="F1813" s="33"/>
      <c r="G1813" s="33"/>
      <c r="H1813" s="33"/>
      <c r="I1813" s="33"/>
      <c r="J1813" s="33"/>
      <c r="K1813" s="35"/>
      <c r="L1813" s="35"/>
      <c r="M1813" s="35"/>
      <c r="N1813" s="35"/>
      <c r="O1813" s="35"/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5"/>
      <c r="AA1813" s="35"/>
      <c r="AB1813" s="35"/>
      <c r="AC1813" s="35"/>
      <c r="AD1813" s="35"/>
      <c r="AE1813" s="35"/>
    </row>
    <row r="1814">
      <c r="A1814" s="30"/>
      <c r="B1814" s="35"/>
      <c r="C1814" s="35"/>
      <c r="D1814" s="35"/>
      <c r="E1814" s="35"/>
      <c r="F1814" s="33"/>
      <c r="G1814" s="33"/>
      <c r="H1814" s="33"/>
      <c r="I1814" s="33"/>
      <c r="J1814" s="33"/>
      <c r="K1814" s="35"/>
      <c r="L1814" s="35"/>
      <c r="M1814" s="35"/>
      <c r="N1814" s="35"/>
      <c r="O1814" s="35"/>
      <c r="P1814" s="35"/>
      <c r="Q1814" s="35"/>
      <c r="R1814" s="35"/>
      <c r="S1814" s="35"/>
      <c r="T1814" s="35"/>
      <c r="U1814" s="35"/>
      <c r="V1814" s="35"/>
      <c r="W1814" s="35"/>
      <c r="X1814" s="35"/>
      <c r="Y1814" s="35"/>
      <c r="Z1814" s="35"/>
      <c r="AA1814" s="35"/>
      <c r="AB1814" s="35"/>
      <c r="AC1814" s="35"/>
      <c r="AD1814" s="35"/>
      <c r="AE1814" s="35"/>
    </row>
    <row r="1815">
      <c r="A1815" s="30"/>
      <c r="B1815" s="35"/>
      <c r="C1815" s="35"/>
      <c r="D1815" s="35"/>
      <c r="E1815" s="35"/>
      <c r="F1815" s="33"/>
      <c r="G1815" s="33"/>
      <c r="H1815" s="33"/>
      <c r="I1815" s="33"/>
      <c r="J1815" s="33"/>
      <c r="K1815" s="35"/>
      <c r="L1815" s="35"/>
      <c r="M1815" s="35"/>
      <c r="N1815" s="35"/>
      <c r="O1815" s="35"/>
      <c r="P1815" s="35"/>
      <c r="Q1815" s="35"/>
      <c r="R1815" s="35"/>
      <c r="S1815" s="35"/>
      <c r="T1815" s="35"/>
      <c r="U1815" s="35"/>
      <c r="V1815" s="35"/>
      <c r="W1815" s="35"/>
      <c r="X1815" s="35"/>
      <c r="Y1815" s="35"/>
      <c r="Z1815" s="35"/>
      <c r="AA1815" s="35"/>
      <c r="AB1815" s="35"/>
      <c r="AC1815" s="35"/>
      <c r="AD1815" s="35"/>
      <c r="AE1815" s="35"/>
    </row>
    <row r="1816">
      <c r="A1816" s="30"/>
      <c r="B1816" s="35"/>
      <c r="C1816" s="35"/>
      <c r="D1816" s="35"/>
      <c r="E1816" s="35"/>
      <c r="F1816" s="33"/>
      <c r="G1816" s="33"/>
      <c r="H1816" s="33"/>
      <c r="I1816" s="33"/>
      <c r="J1816" s="33"/>
      <c r="K1816" s="35"/>
      <c r="L1816" s="35"/>
      <c r="M1816" s="35"/>
      <c r="N1816" s="35"/>
      <c r="O1816" s="35"/>
      <c r="P1816" s="35"/>
      <c r="Q1816" s="35"/>
      <c r="R1816" s="35"/>
      <c r="S1816" s="35"/>
      <c r="T1816" s="35"/>
      <c r="U1816" s="35"/>
      <c r="V1816" s="35"/>
      <c r="W1816" s="35"/>
      <c r="X1816" s="35"/>
      <c r="Y1816" s="35"/>
      <c r="Z1816" s="35"/>
      <c r="AA1816" s="35"/>
      <c r="AB1816" s="35"/>
      <c r="AC1816" s="35"/>
      <c r="AD1816" s="35"/>
      <c r="AE1816" s="35"/>
    </row>
    <row r="1817">
      <c r="A1817" s="30"/>
      <c r="B1817" s="35"/>
      <c r="C1817" s="35"/>
      <c r="D1817" s="35"/>
      <c r="E1817" s="35"/>
      <c r="F1817" s="33"/>
      <c r="G1817" s="33"/>
      <c r="H1817" s="33"/>
      <c r="I1817" s="33"/>
      <c r="J1817" s="33"/>
      <c r="K1817" s="35"/>
      <c r="L1817" s="35"/>
      <c r="M1817" s="35"/>
      <c r="N1817" s="35"/>
      <c r="O1817" s="35"/>
      <c r="P1817" s="35"/>
      <c r="Q1817" s="35"/>
      <c r="R1817" s="35"/>
      <c r="S1817" s="35"/>
      <c r="T1817" s="35"/>
      <c r="U1817" s="35"/>
      <c r="V1817" s="35"/>
      <c r="W1817" s="35"/>
      <c r="X1817" s="35"/>
      <c r="Y1817" s="35"/>
      <c r="Z1817" s="35"/>
      <c r="AA1817" s="35"/>
      <c r="AB1817" s="35"/>
      <c r="AC1817" s="35"/>
      <c r="AD1817" s="35"/>
      <c r="AE1817" s="35"/>
    </row>
    <row r="1818">
      <c r="A1818" s="30"/>
      <c r="B1818" s="35"/>
      <c r="C1818" s="35"/>
      <c r="D1818" s="35"/>
      <c r="E1818" s="35"/>
      <c r="F1818" s="33"/>
      <c r="G1818" s="33"/>
      <c r="H1818" s="33"/>
      <c r="I1818" s="33"/>
      <c r="J1818" s="33"/>
      <c r="K1818" s="35"/>
      <c r="L1818" s="35"/>
      <c r="M1818" s="35"/>
      <c r="N1818" s="35"/>
      <c r="O1818" s="35"/>
      <c r="P1818" s="35"/>
      <c r="Q1818" s="35"/>
      <c r="R1818" s="35"/>
      <c r="S1818" s="35"/>
      <c r="T1818" s="35"/>
      <c r="U1818" s="35"/>
      <c r="V1818" s="35"/>
      <c r="W1818" s="35"/>
      <c r="X1818" s="35"/>
      <c r="Y1818" s="35"/>
      <c r="Z1818" s="35"/>
      <c r="AA1818" s="35"/>
      <c r="AB1818" s="35"/>
      <c r="AC1818" s="35"/>
      <c r="AD1818" s="35"/>
      <c r="AE1818" s="35"/>
    </row>
    <row r="1819">
      <c r="A1819" s="30"/>
      <c r="B1819" s="35"/>
      <c r="C1819" s="35"/>
      <c r="D1819" s="35"/>
      <c r="E1819" s="35"/>
      <c r="F1819" s="33"/>
      <c r="G1819" s="33"/>
      <c r="H1819" s="33"/>
      <c r="I1819" s="33"/>
      <c r="J1819" s="33"/>
      <c r="K1819" s="35"/>
      <c r="L1819" s="35"/>
      <c r="M1819" s="35"/>
      <c r="N1819" s="35"/>
      <c r="O1819" s="35"/>
      <c r="P1819" s="35"/>
      <c r="Q1819" s="35"/>
      <c r="R1819" s="35"/>
      <c r="S1819" s="35"/>
      <c r="T1819" s="35"/>
      <c r="U1819" s="35"/>
      <c r="V1819" s="35"/>
      <c r="W1819" s="35"/>
      <c r="X1819" s="35"/>
      <c r="Y1819" s="35"/>
      <c r="Z1819" s="35"/>
      <c r="AA1819" s="35"/>
      <c r="AB1819" s="35"/>
      <c r="AC1819" s="35"/>
      <c r="AD1819" s="35"/>
      <c r="AE1819" s="35"/>
    </row>
    <row r="1820">
      <c r="A1820" s="30"/>
      <c r="B1820" s="35"/>
      <c r="C1820" s="35"/>
      <c r="D1820" s="35"/>
      <c r="E1820" s="35"/>
      <c r="F1820" s="33"/>
      <c r="G1820" s="33"/>
      <c r="H1820" s="33"/>
      <c r="I1820" s="33"/>
      <c r="J1820" s="33"/>
      <c r="K1820" s="35"/>
      <c r="L1820" s="35"/>
      <c r="M1820" s="35"/>
      <c r="N1820" s="35"/>
      <c r="O1820" s="35"/>
      <c r="P1820" s="35"/>
      <c r="Q1820" s="35"/>
      <c r="R1820" s="35"/>
      <c r="S1820" s="35"/>
      <c r="T1820" s="35"/>
      <c r="U1820" s="35"/>
      <c r="V1820" s="35"/>
      <c r="W1820" s="35"/>
      <c r="X1820" s="35"/>
      <c r="Y1820" s="35"/>
      <c r="Z1820" s="35"/>
      <c r="AA1820" s="35"/>
      <c r="AB1820" s="35"/>
      <c r="AC1820" s="35"/>
      <c r="AD1820" s="35"/>
      <c r="AE1820" s="35"/>
    </row>
    <row r="1821">
      <c r="A1821" s="30"/>
      <c r="B1821" s="35"/>
      <c r="C1821" s="35"/>
      <c r="D1821" s="35"/>
      <c r="E1821" s="35"/>
      <c r="F1821" s="33"/>
      <c r="G1821" s="33"/>
      <c r="H1821" s="33"/>
      <c r="I1821" s="33"/>
      <c r="J1821" s="33"/>
      <c r="K1821" s="35"/>
      <c r="L1821" s="35"/>
      <c r="M1821" s="35"/>
      <c r="N1821" s="35"/>
      <c r="O1821" s="35"/>
      <c r="P1821" s="35"/>
      <c r="Q1821" s="35"/>
      <c r="R1821" s="35"/>
      <c r="S1821" s="35"/>
      <c r="T1821" s="35"/>
      <c r="U1821" s="35"/>
      <c r="V1821" s="35"/>
      <c r="W1821" s="35"/>
      <c r="X1821" s="35"/>
      <c r="Y1821" s="35"/>
      <c r="Z1821" s="35"/>
      <c r="AA1821" s="35"/>
      <c r="AB1821" s="35"/>
      <c r="AC1821" s="35"/>
      <c r="AD1821" s="35"/>
      <c r="AE1821" s="35"/>
    </row>
    <row r="1822">
      <c r="A1822" s="30"/>
      <c r="B1822" s="35"/>
      <c r="C1822" s="35"/>
      <c r="D1822" s="35"/>
      <c r="E1822" s="35"/>
      <c r="F1822" s="33"/>
      <c r="G1822" s="33"/>
      <c r="H1822" s="33"/>
      <c r="I1822" s="33"/>
      <c r="J1822" s="33"/>
      <c r="K1822" s="35"/>
      <c r="L1822" s="35"/>
      <c r="M1822" s="35"/>
      <c r="N1822" s="35"/>
      <c r="O1822" s="35"/>
      <c r="P1822" s="35"/>
      <c r="Q1822" s="35"/>
      <c r="R1822" s="35"/>
      <c r="S1822" s="35"/>
      <c r="T1822" s="35"/>
      <c r="U1822" s="35"/>
      <c r="V1822" s="35"/>
      <c r="W1822" s="35"/>
      <c r="X1822" s="35"/>
      <c r="Y1822" s="35"/>
      <c r="Z1822" s="35"/>
      <c r="AA1822" s="35"/>
      <c r="AB1822" s="35"/>
      <c r="AC1822" s="35"/>
      <c r="AD1822" s="35"/>
      <c r="AE1822" s="35"/>
    </row>
    <row r="1823">
      <c r="A1823" s="30"/>
      <c r="B1823" s="35"/>
      <c r="C1823" s="35"/>
      <c r="D1823" s="35"/>
      <c r="E1823" s="35"/>
      <c r="F1823" s="33"/>
      <c r="G1823" s="33"/>
      <c r="H1823" s="33"/>
      <c r="I1823" s="33"/>
      <c r="J1823" s="33"/>
      <c r="K1823" s="35"/>
      <c r="L1823" s="35"/>
      <c r="M1823" s="35"/>
      <c r="N1823" s="35"/>
      <c r="O1823" s="35"/>
      <c r="P1823" s="35"/>
      <c r="Q1823" s="35"/>
      <c r="R1823" s="35"/>
      <c r="S1823" s="35"/>
      <c r="T1823" s="35"/>
      <c r="U1823" s="35"/>
      <c r="V1823" s="35"/>
      <c r="W1823" s="35"/>
      <c r="X1823" s="35"/>
      <c r="Y1823" s="35"/>
      <c r="Z1823" s="35"/>
      <c r="AA1823" s="35"/>
      <c r="AB1823" s="35"/>
      <c r="AC1823" s="35"/>
      <c r="AD1823" s="35"/>
      <c r="AE1823" s="35"/>
    </row>
    <row r="1824">
      <c r="A1824" s="30"/>
      <c r="B1824" s="35"/>
      <c r="C1824" s="35"/>
      <c r="D1824" s="35"/>
      <c r="E1824" s="35"/>
      <c r="F1824" s="33"/>
      <c r="G1824" s="33"/>
      <c r="H1824" s="33"/>
      <c r="I1824" s="33"/>
      <c r="J1824" s="33"/>
      <c r="K1824" s="35"/>
      <c r="L1824" s="35"/>
      <c r="M1824" s="35"/>
      <c r="N1824" s="35"/>
      <c r="O1824" s="35"/>
      <c r="P1824" s="35"/>
      <c r="Q1824" s="35"/>
      <c r="R1824" s="35"/>
      <c r="S1824" s="35"/>
      <c r="T1824" s="35"/>
      <c r="U1824" s="35"/>
      <c r="V1824" s="35"/>
      <c r="W1824" s="35"/>
      <c r="X1824" s="35"/>
      <c r="Y1824" s="35"/>
      <c r="Z1824" s="35"/>
      <c r="AA1824" s="35"/>
      <c r="AB1824" s="35"/>
      <c r="AC1824" s="35"/>
      <c r="AD1824" s="35"/>
      <c r="AE1824" s="35"/>
    </row>
    <row r="1825">
      <c r="A1825" s="30"/>
      <c r="B1825" s="35"/>
      <c r="C1825" s="35"/>
      <c r="D1825" s="35"/>
      <c r="E1825" s="35"/>
      <c r="F1825" s="33"/>
      <c r="G1825" s="33"/>
      <c r="H1825" s="33"/>
      <c r="I1825" s="33"/>
      <c r="J1825" s="33"/>
      <c r="K1825" s="35"/>
      <c r="L1825" s="35"/>
      <c r="M1825" s="35"/>
      <c r="N1825" s="35"/>
      <c r="O1825" s="35"/>
      <c r="P1825" s="35"/>
      <c r="Q1825" s="35"/>
      <c r="R1825" s="35"/>
      <c r="S1825" s="35"/>
      <c r="T1825" s="35"/>
      <c r="U1825" s="35"/>
      <c r="V1825" s="35"/>
      <c r="W1825" s="35"/>
      <c r="X1825" s="35"/>
      <c r="Y1825" s="35"/>
      <c r="Z1825" s="35"/>
      <c r="AA1825" s="35"/>
      <c r="AB1825" s="35"/>
      <c r="AC1825" s="35"/>
      <c r="AD1825" s="35"/>
      <c r="AE1825" s="35"/>
    </row>
    <row r="1826">
      <c r="A1826" s="30"/>
      <c r="B1826" s="35"/>
      <c r="C1826" s="35"/>
      <c r="D1826" s="35"/>
      <c r="E1826" s="35"/>
      <c r="F1826" s="33"/>
      <c r="G1826" s="33"/>
      <c r="H1826" s="33"/>
      <c r="I1826" s="33"/>
      <c r="J1826" s="33"/>
      <c r="K1826" s="35"/>
      <c r="L1826" s="35"/>
      <c r="M1826" s="35"/>
      <c r="N1826" s="35"/>
      <c r="O1826" s="35"/>
      <c r="P1826" s="35"/>
      <c r="Q1826" s="35"/>
      <c r="R1826" s="35"/>
      <c r="S1826" s="35"/>
      <c r="T1826" s="35"/>
      <c r="U1826" s="35"/>
      <c r="V1826" s="35"/>
      <c r="W1826" s="35"/>
      <c r="X1826" s="35"/>
      <c r="Y1826" s="35"/>
      <c r="Z1826" s="35"/>
      <c r="AA1826" s="35"/>
      <c r="AB1826" s="35"/>
      <c r="AC1826" s="35"/>
      <c r="AD1826" s="35"/>
      <c r="AE1826" s="35"/>
    </row>
    <row r="1827">
      <c r="A1827" s="30"/>
      <c r="B1827" s="35"/>
      <c r="C1827" s="35"/>
      <c r="D1827" s="35"/>
      <c r="E1827" s="35"/>
      <c r="F1827" s="33"/>
      <c r="G1827" s="33"/>
      <c r="H1827" s="33"/>
      <c r="I1827" s="33"/>
      <c r="J1827" s="33"/>
      <c r="K1827" s="35"/>
      <c r="L1827" s="35"/>
      <c r="M1827" s="35"/>
      <c r="N1827" s="35"/>
      <c r="O1827" s="35"/>
      <c r="P1827" s="35"/>
      <c r="Q1827" s="35"/>
      <c r="R1827" s="35"/>
      <c r="S1827" s="35"/>
      <c r="T1827" s="35"/>
      <c r="U1827" s="35"/>
      <c r="V1827" s="35"/>
      <c r="W1827" s="35"/>
      <c r="X1827" s="35"/>
      <c r="Y1827" s="35"/>
      <c r="Z1827" s="35"/>
      <c r="AA1827" s="35"/>
      <c r="AB1827" s="35"/>
      <c r="AC1827" s="35"/>
      <c r="AD1827" s="35"/>
      <c r="AE1827" s="35"/>
    </row>
    <row r="1828">
      <c r="A1828" s="30"/>
      <c r="B1828" s="35"/>
      <c r="C1828" s="35"/>
      <c r="D1828" s="35"/>
      <c r="E1828" s="35"/>
      <c r="F1828" s="33"/>
      <c r="G1828" s="33"/>
      <c r="H1828" s="33"/>
      <c r="I1828" s="33"/>
      <c r="J1828" s="33"/>
      <c r="K1828" s="35"/>
      <c r="L1828" s="35"/>
      <c r="M1828" s="35"/>
      <c r="N1828" s="35"/>
      <c r="O1828" s="35"/>
      <c r="P1828" s="35"/>
      <c r="Q1828" s="35"/>
      <c r="R1828" s="35"/>
      <c r="S1828" s="35"/>
      <c r="T1828" s="35"/>
      <c r="U1828" s="35"/>
      <c r="V1828" s="35"/>
      <c r="W1828" s="35"/>
      <c r="X1828" s="35"/>
      <c r="Y1828" s="35"/>
      <c r="Z1828" s="35"/>
      <c r="AA1828" s="35"/>
      <c r="AB1828" s="35"/>
      <c r="AC1828" s="35"/>
      <c r="AD1828" s="35"/>
      <c r="AE1828" s="35"/>
    </row>
    <row r="1829">
      <c r="A1829" s="30"/>
      <c r="B1829" s="35"/>
      <c r="C1829" s="35"/>
      <c r="D1829" s="35"/>
      <c r="E1829" s="35"/>
      <c r="F1829" s="33"/>
      <c r="G1829" s="33"/>
      <c r="H1829" s="33"/>
      <c r="I1829" s="33"/>
      <c r="J1829" s="33"/>
      <c r="K1829" s="35"/>
      <c r="L1829" s="35"/>
      <c r="M1829" s="35"/>
      <c r="N1829" s="35"/>
      <c r="O1829" s="35"/>
      <c r="P1829" s="35"/>
      <c r="Q1829" s="35"/>
      <c r="R1829" s="35"/>
      <c r="S1829" s="35"/>
      <c r="T1829" s="35"/>
      <c r="U1829" s="35"/>
      <c r="V1829" s="35"/>
      <c r="W1829" s="35"/>
      <c r="X1829" s="35"/>
      <c r="Y1829" s="35"/>
      <c r="Z1829" s="35"/>
      <c r="AA1829" s="35"/>
      <c r="AB1829" s="35"/>
      <c r="AC1829" s="35"/>
      <c r="AD1829" s="35"/>
      <c r="AE1829" s="35"/>
    </row>
    <row r="1830">
      <c r="A1830" s="30"/>
      <c r="B1830" s="35"/>
      <c r="C1830" s="35"/>
      <c r="D1830" s="35"/>
      <c r="E1830" s="35"/>
      <c r="F1830" s="33"/>
      <c r="G1830" s="33"/>
      <c r="H1830" s="33"/>
      <c r="I1830" s="33"/>
      <c r="J1830" s="33"/>
      <c r="K1830" s="35"/>
      <c r="L1830" s="35"/>
      <c r="M1830" s="35"/>
      <c r="N1830" s="35"/>
      <c r="O1830" s="35"/>
      <c r="P1830" s="35"/>
      <c r="Q1830" s="35"/>
      <c r="R1830" s="35"/>
      <c r="S1830" s="35"/>
      <c r="T1830" s="35"/>
      <c r="U1830" s="35"/>
      <c r="V1830" s="35"/>
      <c r="W1830" s="35"/>
      <c r="X1830" s="35"/>
      <c r="Y1830" s="35"/>
      <c r="Z1830" s="35"/>
      <c r="AA1830" s="35"/>
      <c r="AB1830" s="35"/>
      <c r="AC1830" s="35"/>
      <c r="AD1830" s="35"/>
      <c r="AE1830" s="35"/>
    </row>
    <row r="1831">
      <c r="A1831" s="30"/>
      <c r="B1831" s="35"/>
      <c r="C1831" s="35"/>
      <c r="D1831" s="35"/>
      <c r="E1831" s="35"/>
      <c r="F1831" s="33"/>
      <c r="G1831" s="33"/>
      <c r="H1831" s="33"/>
      <c r="I1831" s="33"/>
      <c r="J1831" s="33"/>
      <c r="K1831" s="35"/>
      <c r="L1831" s="35"/>
      <c r="M1831" s="35"/>
      <c r="N1831" s="35"/>
      <c r="O1831" s="35"/>
      <c r="P1831" s="35"/>
      <c r="Q1831" s="35"/>
      <c r="R1831" s="35"/>
      <c r="S1831" s="35"/>
      <c r="T1831" s="35"/>
      <c r="U1831" s="35"/>
      <c r="V1831" s="35"/>
      <c r="W1831" s="35"/>
      <c r="X1831" s="35"/>
      <c r="Y1831" s="35"/>
      <c r="Z1831" s="35"/>
      <c r="AA1831" s="35"/>
      <c r="AB1831" s="35"/>
      <c r="AC1831" s="35"/>
      <c r="AD1831" s="35"/>
      <c r="AE1831" s="35"/>
    </row>
    <row r="1832">
      <c r="A1832" s="30"/>
      <c r="B1832" s="35"/>
      <c r="C1832" s="35"/>
      <c r="D1832" s="35"/>
      <c r="E1832" s="35"/>
      <c r="F1832" s="33"/>
      <c r="G1832" s="33"/>
      <c r="H1832" s="33"/>
      <c r="I1832" s="33"/>
      <c r="J1832" s="33"/>
      <c r="K1832" s="35"/>
      <c r="L1832" s="35"/>
      <c r="M1832" s="35"/>
      <c r="N1832" s="35"/>
      <c r="O1832" s="35"/>
      <c r="P1832" s="35"/>
      <c r="Q1832" s="35"/>
      <c r="R1832" s="35"/>
      <c r="S1832" s="35"/>
      <c r="T1832" s="35"/>
      <c r="U1832" s="35"/>
      <c r="V1832" s="35"/>
      <c r="W1832" s="35"/>
      <c r="X1832" s="35"/>
      <c r="Y1832" s="35"/>
      <c r="Z1832" s="35"/>
      <c r="AA1832" s="35"/>
      <c r="AB1832" s="35"/>
      <c r="AC1832" s="35"/>
      <c r="AD1832" s="35"/>
      <c r="AE1832" s="35"/>
    </row>
    <row r="1833">
      <c r="A1833" s="30"/>
      <c r="B1833" s="35"/>
      <c r="C1833" s="35"/>
      <c r="D1833" s="35"/>
      <c r="E1833" s="35"/>
      <c r="F1833" s="33"/>
      <c r="G1833" s="33"/>
      <c r="H1833" s="33"/>
      <c r="I1833" s="33"/>
      <c r="J1833" s="33"/>
      <c r="K1833" s="35"/>
      <c r="L1833" s="35"/>
      <c r="M1833" s="35"/>
      <c r="N1833" s="35"/>
      <c r="O1833" s="35"/>
      <c r="P1833" s="35"/>
      <c r="Q1833" s="35"/>
      <c r="R1833" s="35"/>
      <c r="S1833" s="35"/>
      <c r="T1833" s="35"/>
      <c r="U1833" s="35"/>
      <c r="V1833" s="35"/>
      <c r="W1833" s="35"/>
      <c r="X1833" s="35"/>
      <c r="Y1833" s="35"/>
      <c r="Z1833" s="35"/>
      <c r="AA1833" s="35"/>
      <c r="AB1833" s="35"/>
      <c r="AC1833" s="35"/>
      <c r="AD1833" s="35"/>
      <c r="AE1833" s="35"/>
    </row>
    <row r="1834">
      <c r="A1834" s="30"/>
      <c r="B1834" s="35"/>
      <c r="C1834" s="35"/>
      <c r="D1834" s="35"/>
      <c r="E1834" s="35"/>
      <c r="F1834" s="33"/>
      <c r="G1834" s="33"/>
      <c r="H1834" s="33"/>
      <c r="I1834" s="33"/>
      <c r="J1834" s="33"/>
      <c r="K1834" s="35"/>
      <c r="L1834" s="35"/>
      <c r="M1834" s="35"/>
      <c r="N1834" s="35"/>
      <c r="O1834" s="35"/>
      <c r="P1834" s="35"/>
      <c r="Q1834" s="35"/>
      <c r="R1834" s="35"/>
      <c r="S1834" s="35"/>
      <c r="T1834" s="35"/>
      <c r="U1834" s="35"/>
      <c r="V1834" s="35"/>
      <c r="W1834" s="35"/>
      <c r="X1834" s="35"/>
      <c r="Y1834" s="35"/>
      <c r="Z1834" s="35"/>
      <c r="AA1834" s="35"/>
      <c r="AB1834" s="35"/>
      <c r="AC1834" s="35"/>
      <c r="AD1834" s="35"/>
      <c r="AE1834" s="35"/>
    </row>
    <row r="1835">
      <c r="A1835" s="30"/>
      <c r="B1835" s="35"/>
      <c r="C1835" s="35"/>
      <c r="D1835" s="35"/>
      <c r="E1835" s="35"/>
      <c r="F1835" s="33"/>
      <c r="G1835" s="33"/>
      <c r="H1835" s="33"/>
      <c r="I1835" s="33"/>
      <c r="J1835" s="33"/>
      <c r="K1835" s="35"/>
      <c r="L1835" s="35"/>
      <c r="M1835" s="35"/>
      <c r="N1835" s="35"/>
      <c r="O1835" s="35"/>
      <c r="P1835" s="35"/>
      <c r="Q1835" s="35"/>
      <c r="R1835" s="35"/>
      <c r="S1835" s="35"/>
      <c r="T1835" s="35"/>
      <c r="U1835" s="35"/>
      <c r="V1835" s="35"/>
      <c r="W1835" s="35"/>
      <c r="X1835" s="35"/>
      <c r="Y1835" s="35"/>
      <c r="Z1835" s="35"/>
      <c r="AA1835" s="35"/>
      <c r="AB1835" s="35"/>
      <c r="AC1835" s="35"/>
      <c r="AD1835" s="35"/>
      <c r="AE1835" s="35"/>
    </row>
    <row r="1836">
      <c r="A1836" s="30"/>
      <c r="B1836" s="35"/>
      <c r="C1836" s="35"/>
      <c r="D1836" s="35"/>
      <c r="E1836" s="35"/>
      <c r="F1836" s="33"/>
      <c r="G1836" s="33"/>
      <c r="H1836" s="33"/>
      <c r="I1836" s="33"/>
      <c r="J1836" s="33"/>
      <c r="K1836" s="35"/>
      <c r="L1836" s="35"/>
      <c r="M1836" s="35"/>
      <c r="N1836" s="35"/>
      <c r="O1836" s="35"/>
      <c r="P1836" s="35"/>
      <c r="Q1836" s="35"/>
      <c r="R1836" s="35"/>
      <c r="S1836" s="35"/>
      <c r="T1836" s="35"/>
      <c r="U1836" s="35"/>
      <c r="V1836" s="35"/>
      <c r="W1836" s="35"/>
      <c r="X1836" s="35"/>
      <c r="Y1836" s="35"/>
      <c r="Z1836" s="35"/>
      <c r="AA1836" s="35"/>
      <c r="AB1836" s="35"/>
      <c r="AC1836" s="35"/>
      <c r="AD1836" s="35"/>
      <c r="AE1836" s="35"/>
    </row>
    <row r="1837">
      <c r="A1837" s="30"/>
      <c r="B1837" s="35"/>
      <c r="C1837" s="35"/>
      <c r="D1837" s="35"/>
      <c r="E1837" s="35"/>
      <c r="F1837" s="33"/>
      <c r="G1837" s="33"/>
      <c r="H1837" s="33"/>
      <c r="I1837" s="33"/>
      <c r="J1837" s="33"/>
      <c r="K1837" s="35"/>
      <c r="L1837" s="35"/>
      <c r="M1837" s="35"/>
      <c r="N1837" s="35"/>
      <c r="O1837" s="35"/>
      <c r="P1837" s="35"/>
      <c r="Q1837" s="35"/>
      <c r="R1837" s="35"/>
      <c r="S1837" s="35"/>
      <c r="T1837" s="35"/>
      <c r="U1837" s="35"/>
      <c r="V1837" s="35"/>
      <c r="W1837" s="35"/>
      <c r="X1837" s="35"/>
      <c r="Y1837" s="35"/>
      <c r="Z1837" s="35"/>
      <c r="AA1837" s="35"/>
      <c r="AB1837" s="35"/>
      <c r="AC1837" s="35"/>
      <c r="AD1837" s="35"/>
      <c r="AE1837" s="35"/>
    </row>
    <row r="1838">
      <c r="A1838" s="30"/>
      <c r="B1838" s="35"/>
      <c r="C1838" s="35"/>
      <c r="D1838" s="35"/>
      <c r="E1838" s="35"/>
      <c r="F1838" s="33"/>
      <c r="G1838" s="33"/>
      <c r="H1838" s="33"/>
      <c r="I1838" s="33"/>
      <c r="J1838" s="33"/>
      <c r="K1838" s="35"/>
      <c r="L1838" s="35"/>
      <c r="M1838" s="35"/>
      <c r="N1838" s="35"/>
      <c r="O1838" s="35"/>
      <c r="P1838" s="35"/>
      <c r="Q1838" s="35"/>
      <c r="R1838" s="35"/>
      <c r="S1838" s="35"/>
      <c r="T1838" s="35"/>
      <c r="U1838" s="35"/>
      <c r="V1838" s="35"/>
      <c r="W1838" s="35"/>
      <c r="X1838" s="35"/>
      <c r="Y1838" s="35"/>
      <c r="Z1838" s="35"/>
      <c r="AA1838" s="35"/>
      <c r="AB1838" s="35"/>
      <c r="AC1838" s="35"/>
      <c r="AD1838" s="35"/>
      <c r="AE1838" s="35"/>
    </row>
    <row r="1839">
      <c r="A1839" s="30"/>
      <c r="B1839" s="35"/>
      <c r="C1839" s="35"/>
      <c r="D1839" s="35"/>
      <c r="E1839" s="35"/>
      <c r="F1839" s="33"/>
      <c r="G1839" s="33"/>
      <c r="H1839" s="33"/>
      <c r="I1839" s="33"/>
      <c r="J1839" s="33"/>
      <c r="K1839" s="35"/>
      <c r="L1839" s="35"/>
      <c r="M1839" s="35"/>
      <c r="N1839" s="35"/>
      <c r="O1839" s="35"/>
      <c r="P1839" s="35"/>
      <c r="Q1839" s="35"/>
      <c r="R1839" s="35"/>
      <c r="S1839" s="35"/>
      <c r="T1839" s="35"/>
      <c r="U1839" s="35"/>
      <c r="V1839" s="35"/>
      <c r="W1839" s="35"/>
      <c r="X1839" s="35"/>
      <c r="Y1839" s="35"/>
      <c r="Z1839" s="35"/>
      <c r="AA1839" s="35"/>
      <c r="AB1839" s="35"/>
      <c r="AC1839" s="35"/>
      <c r="AD1839" s="35"/>
      <c r="AE1839" s="35"/>
    </row>
    <row r="1840">
      <c r="A1840" s="30"/>
      <c r="B1840" s="35"/>
      <c r="C1840" s="35"/>
      <c r="D1840" s="35"/>
      <c r="E1840" s="35"/>
      <c r="F1840" s="33"/>
      <c r="G1840" s="33"/>
      <c r="H1840" s="33"/>
      <c r="I1840" s="33"/>
      <c r="J1840" s="33"/>
      <c r="K1840" s="35"/>
      <c r="L1840" s="35"/>
      <c r="M1840" s="35"/>
      <c r="N1840" s="35"/>
      <c r="O1840" s="35"/>
      <c r="P1840" s="35"/>
      <c r="Q1840" s="35"/>
      <c r="R1840" s="35"/>
      <c r="S1840" s="35"/>
      <c r="T1840" s="35"/>
      <c r="U1840" s="35"/>
      <c r="V1840" s="35"/>
      <c r="W1840" s="35"/>
      <c r="X1840" s="35"/>
      <c r="Y1840" s="35"/>
      <c r="Z1840" s="35"/>
      <c r="AA1840" s="35"/>
      <c r="AB1840" s="35"/>
      <c r="AC1840" s="35"/>
      <c r="AD1840" s="35"/>
      <c r="AE1840" s="35"/>
    </row>
    <row r="1841">
      <c r="A1841" s="30"/>
      <c r="B1841" s="35"/>
      <c r="C1841" s="35"/>
      <c r="D1841" s="35"/>
      <c r="E1841" s="35"/>
      <c r="F1841" s="33"/>
      <c r="G1841" s="33"/>
      <c r="H1841" s="33"/>
      <c r="I1841" s="33"/>
      <c r="J1841" s="33"/>
      <c r="K1841" s="35"/>
      <c r="L1841" s="35"/>
      <c r="M1841" s="35"/>
      <c r="N1841" s="35"/>
      <c r="O1841" s="35"/>
      <c r="P1841" s="35"/>
      <c r="Q1841" s="35"/>
      <c r="R1841" s="35"/>
      <c r="S1841" s="35"/>
      <c r="T1841" s="35"/>
      <c r="U1841" s="35"/>
      <c r="V1841" s="35"/>
      <c r="W1841" s="35"/>
      <c r="X1841" s="35"/>
      <c r="Y1841" s="35"/>
      <c r="Z1841" s="35"/>
      <c r="AA1841" s="35"/>
      <c r="AB1841" s="35"/>
      <c r="AC1841" s="35"/>
      <c r="AD1841" s="35"/>
      <c r="AE1841" s="35"/>
    </row>
    <row r="1842">
      <c r="A1842" s="30"/>
      <c r="B1842" s="35"/>
      <c r="C1842" s="35"/>
      <c r="D1842" s="35"/>
      <c r="E1842" s="35"/>
      <c r="F1842" s="33"/>
      <c r="G1842" s="33"/>
      <c r="H1842" s="33"/>
      <c r="I1842" s="33"/>
      <c r="J1842" s="33"/>
      <c r="K1842" s="35"/>
      <c r="L1842" s="35"/>
      <c r="M1842" s="35"/>
      <c r="N1842" s="35"/>
      <c r="O1842" s="35"/>
      <c r="P1842" s="35"/>
      <c r="Q1842" s="35"/>
      <c r="R1842" s="35"/>
      <c r="S1842" s="35"/>
      <c r="T1842" s="35"/>
      <c r="U1842" s="35"/>
      <c r="V1842" s="35"/>
      <c r="W1842" s="35"/>
      <c r="X1842" s="35"/>
      <c r="Y1842" s="35"/>
      <c r="Z1842" s="35"/>
      <c r="AA1842" s="35"/>
      <c r="AB1842" s="35"/>
      <c r="AC1842" s="35"/>
      <c r="AD1842" s="35"/>
      <c r="AE1842" s="35"/>
    </row>
    <row r="1843">
      <c r="A1843" s="30"/>
      <c r="B1843" s="35"/>
      <c r="C1843" s="35"/>
      <c r="D1843" s="35"/>
      <c r="E1843" s="35"/>
      <c r="F1843" s="33"/>
      <c r="G1843" s="33"/>
      <c r="H1843" s="33"/>
      <c r="I1843" s="33"/>
      <c r="J1843" s="33"/>
      <c r="K1843" s="35"/>
      <c r="L1843" s="35"/>
      <c r="M1843" s="35"/>
      <c r="N1843" s="35"/>
      <c r="O1843" s="35"/>
      <c r="P1843" s="35"/>
      <c r="Q1843" s="35"/>
      <c r="R1843" s="35"/>
      <c r="S1843" s="35"/>
      <c r="T1843" s="35"/>
      <c r="U1843" s="35"/>
      <c r="V1843" s="35"/>
      <c r="W1843" s="35"/>
      <c r="X1843" s="35"/>
      <c r="Y1843" s="35"/>
      <c r="Z1843" s="35"/>
      <c r="AA1843" s="35"/>
      <c r="AB1843" s="35"/>
      <c r="AC1843" s="35"/>
      <c r="AD1843" s="35"/>
      <c r="AE1843" s="35"/>
    </row>
    <row r="1844">
      <c r="A1844" s="30"/>
      <c r="B1844" s="35"/>
      <c r="C1844" s="35"/>
      <c r="D1844" s="35"/>
      <c r="E1844" s="35"/>
      <c r="F1844" s="33"/>
      <c r="G1844" s="33"/>
      <c r="H1844" s="33"/>
      <c r="I1844" s="33"/>
      <c r="J1844" s="33"/>
      <c r="K1844" s="35"/>
      <c r="L1844" s="35"/>
      <c r="M1844" s="35"/>
      <c r="N1844" s="35"/>
      <c r="O1844" s="35"/>
      <c r="P1844" s="35"/>
      <c r="Q1844" s="35"/>
      <c r="R1844" s="35"/>
      <c r="S1844" s="35"/>
      <c r="T1844" s="35"/>
      <c r="U1844" s="35"/>
      <c r="V1844" s="35"/>
      <c r="W1844" s="35"/>
      <c r="X1844" s="35"/>
      <c r="Y1844" s="35"/>
      <c r="Z1844" s="35"/>
      <c r="AA1844" s="35"/>
      <c r="AB1844" s="35"/>
      <c r="AC1844" s="35"/>
      <c r="AD1844" s="35"/>
      <c r="AE1844" s="35"/>
    </row>
    <row r="1845">
      <c r="A1845" s="30"/>
      <c r="B1845" s="35"/>
      <c r="C1845" s="35"/>
      <c r="D1845" s="35"/>
      <c r="E1845" s="35"/>
      <c r="F1845" s="33"/>
      <c r="G1845" s="33"/>
      <c r="H1845" s="33"/>
      <c r="I1845" s="33"/>
      <c r="J1845" s="33"/>
      <c r="K1845" s="35"/>
      <c r="L1845" s="35"/>
      <c r="M1845" s="35"/>
      <c r="N1845" s="35"/>
      <c r="O1845" s="35"/>
      <c r="P1845" s="35"/>
      <c r="Q1845" s="35"/>
      <c r="R1845" s="35"/>
      <c r="S1845" s="35"/>
      <c r="T1845" s="35"/>
      <c r="U1845" s="35"/>
      <c r="V1845" s="35"/>
      <c r="W1845" s="35"/>
      <c r="X1845" s="35"/>
      <c r="Y1845" s="35"/>
      <c r="Z1845" s="35"/>
      <c r="AA1845" s="35"/>
      <c r="AB1845" s="35"/>
      <c r="AC1845" s="35"/>
      <c r="AD1845" s="35"/>
      <c r="AE1845" s="35"/>
    </row>
    <row r="1846">
      <c r="A1846" s="30"/>
      <c r="B1846" s="35"/>
      <c r="C1846" s="35"/>
      <c r="D1846" s="35"/>
      <c r="E1846" s="35"/>
      <c r="F1846" s="33"/>
      <c r="G1846" s="33"/>
      <c r="H1846" s="33"/>
      <c r="I1846" s="33"/>
      <c r="J1846" s="33"/>
      <c r="K1846" s="35"/>
      <c r="L1846" s="35"/>
      <c r="M1846" s="35"/>
      <c r="N1846" s="35"/>
      <c r="O1846" s="35"/>
      <c r="P1846" s="35"/>
      <c r="Q1846" s="35"/>
      <c r="R1846" s="35"/>
      <c r="S1846" s="35"/>
      <c r="T1846" s="35"/>
      <c r="U1846" s="35"/>
      <c r="V1846" s="35"/>
      <c r="W1846" s="35"/>
      <c r="X1846" s="35"/>
      <c r="Y1846" s="35"/>
      <c r="Z1846" s="35"/>
      <c r="AA1846" s="35"/>
      <c r="AB1846" s="35"/>
      <c r="AC1846" s="35"/>
      <c r="AD1846" s="35"/>
      <c r="AE1846" s="35"/>
    </row>
    <row r="1847">
      <c r="A1847" s="30"/>
      <c r="B1847" s="35"/>
      <c r="C1847" s="35"/>
      <c r="D1847" s="35"/>
      <c r="E1847" s="35"/>
      <c r="F1847" s="33"/>
      <c r="G1847" s="33"/>
      <c r="H1847" s="33"/>
      <c r="I1847" s="33"/>
      <c r="J1847" s="33"/>
      <c r="K1847" s="35"/>
      <c r="L1847" s="35"/>
      <c r="M1847" s="35"/>
      <c r="N1847" s="35"/>
      <c r="O1847" s="35"/>
      <c r="P1847" s="35"/>
      <c r="Q1847" s="35"/>
      <c r="R1847" s="35"/>
      <c r="S1847" s="35"/>
      <c r="T1847" s="35"/>
      <c r="U1847" s="35"/>
      <c r="V1847" s="35"/>
      <c r="W1847" s="35"/>
      <c r="X1847" s="35"/>
      <c r="Y1847" s="35"/>
      <c r="Z1847" s="35"/>
      <c r="AA1847" s="35"/>
      <c r="AB1847" s="35"/>
      <c r="AC1847" s="35"/>
      <c r="AD1847" s="35"/>
      <c r="AE1847" s="35"/>
    </row>
    <row r="1848">
      <c r="A1848" s="30"/>
      <c r="B1848" s="35"/>
      <c r="C1848" s="35"/>
      <c r="D1848" s="35"/>
      <c r="E1848" s="35"/>
      <c r="F1848" s="33"/>
      <c r="G1848" s="33"/>
      <c r="H1848" s="33"/>
      <c r="I1848" s="33"/>
      <c r="J1848" s="33"/>
      <c r="K1848" s="35"/>
      <c r="L1848" s="35"/>
      <c r="M1848" s="35"/>
      <c r="N1848" s="35"/>
      <c r="O1848" s="35"/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5"/>
      <c r="AA1848" s="35"/>
      <c r="AB1848" s="35"/>
      <c r="AC1848" s="35"/>
      <c r="AD1848" s="35"/>
      <c r="AE1848" s="35"/>
    </row>
    <row r="1849">
      <c r="A1849" s="30"/>
      <c r="B1849" s="35"/>
      <c r="C1849" s="35"/>
      <c r="D1849" s="35"/>
      <c r="E1849" s="35"/>
      <c r="F1849" s="33"/>
      <c r="G1849" s="33"/>
      <c r="H1849" s="33"/>
      <c r="I1849" s="33"/>
      <c r="J1849" s="33"/>
      <c r="K1849" s="35"/>
      <c r="L1849" s="35"/>
      <c r="M1849" s="35"/>
      <c r="N1849" s="35"/>
      <c r="O1849" s="35"/>
      <c r="P1849" s="35"/>
      <c r="Q1849" s="35"/>
      <c r="R1849" s="35"/>
      <c r="S1849" s="35"/>
      <c r="T1849" s="35"/>
      <c r="U1849" s="35"/>
      <c r="V1849" s="35"/>
      <c r="W1849" s="35"/>
      <c r="X1849" s="35"/>
      <c r="Y1849" s="35"/>
      <c r="Z1849" s="35"/>
      <c r="AA1849" s="35"/>
      <c r="AB1849" s="35"/>
      <c r="AC1849" s="35"/>
      <c r="AD1849" s="35"/>
      <c r="AE1849" s="35"/>
    </row>
    <row r="1850">
      <c r="A1850" s="30"/>
      <c r="B1850" s="35"/>
      <c r="C1850" s="35"/>
      <c r="D1850" s="35"/>
      <c r="E1850" s="35"/>
      <c r="F1850" s="33"/>
      <c r="G1850" s="33"/>
      <c r="H1850" s="33"/>
      <c r="I1850" s="33"/>
      <c r="J1850" s="33"/>
      <c r="K1850" s="35"/>
      <c r="L1850" s="35"/>
      <c r="M1850" s="35"/>
      <c r="N1850" s="35"/>
      <c r="O1850" s="35"/>
      <c r="P1850" s="35"/>
      <c r="Q1850" s="35"/>
      <c r="R1850" s="35"/>
      <c r="S1850" s="35"/>
      <c r="T1850" s="35"/>
      <c r="U1850" s="35"/>
      <c r="V1850" s="35"/>
      <c r="W1850" s="35"/>
      <c r="X1850" s="35"/>
      <c r="Y1850" s="35"/>
      <c r="Z1850" s="35"/>
      <c r="AA1850" s="35"/>
      <c r="AB1850" s="35"/>
      <c r="AC1850" s="35"/>
      <c r="AD1850" s="35"/>
      <c r="AE1850" s="35"/>
    </row>
    <row r="1851">
      <c r="A1851" s="30"/>
      <c r="B1851" s="35"/>
      <c r="C1851" s="35"/>
      <c r="D1851" s="35"/>
      <c r="E1851" s="35"/>
      <c r="F1851" s="33"/>
      <c r="G1851" s="33"/>
      <c r="H1851" s="33"/>
      <c r="I1851" s="33"/>
      <c r="J1851" s="33"/>
      <c r="K1851" s="35"/>
      <c r="L1851" s="35"/>
      <c r="M1851" s="35"/>
      <c r="N1851" s="35"/>
      <c r="O1851" s="35"/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5"/>
      <c r="AA1851" s="35"/>
      <c r="AB1851" s="35"/>
      <c r="AC1851" s="35"/>
      <c r="AD1851" s="35"/>
      <c r="AE1851" s="35"/>
    </row>
    <row r="1852">
      <c r="A1852" s="30"/>
      <c r="B1852" s="35"/>
      <c r="C1852" s="35"/>
      <c r="D1852" s="35"/>
      <c r="E1852" s="35"/>
      <c r="F1852" s="33"/>
      <c r="G1852" s="33"/>
      <c r="H1852" s="33"/>
      <c r="I1852" s="33"/>
      <c r="J1852" s="33"/>
      <c r="K1852" s="35"/>
      <c r="L1852" s="35"/>
      <c r="M1852" s="35"/>
      <c r="N1852" s="35"/>
      <c r="O1852" s="35"/>
      <c r="P1852" s="35"/>
      <c r="Q1852" s="35"/>
      <c r="R1852" s="35"/>
      <c r="S1852" s="35"/>
      <c r="T1852" s="35"/>
      <c r="U1852" s="35"/>
      <c r="V1852" s="35"/>
      <c r="W1852" s="35"/>
      <c r="X1852" s="35"/>
      <c r="Y1852" s="35"/>
      <c r="Z1852" s="35"/>
      <c r="AA1852" s="35"/>
      <c r="AB1852" s="35"/>
      <c r="AC1852" s="35"/>
      <c r="AD1852" s="35"/>
      <c r="AE1852" s="35"/>
    </row>
    <row r="1853">
      <c r="A1853" s="30"/>
      <c r="B1853" s="35"/>
      <c r="C1853" s="35"/>
      <c r="D1853" s="35"/>
      <c r="E1853" s="35"/>
      <c r="F1853" s="33"/>
      <c r="G1853" s="33"/>
      <c r="H1853" s="33"/>
      <c r="I1853" s="33"/>
      <c r="J1853" s="33"/>
      <c r="K1853" s="35"/>
      <c r="L1853" s="35"/>
      <c r="M1853" s="35"/>
      <c r="N1853" s="35"/>
      <c r="O1853" s="35"/>
      <c r="P1853" s="35"/>
      <c r="Q1853" s="35"/>
      <c r="R1853" s="35"/>
      <c r="S1853" s="35"/>
      <c r="T1853" s="35"/>
      <c r="U1853" s="35"/>
      <c r="V1853" s="35"/>
      <c r="W1853" s="35"/>
      <c r="X1853" s="35"/>
      <c r="Y1853" s="35"/>
      <c r="Z1853" s="35"/>
      <c r="AA1853" s="35"/>
      <c r="AB1853" s="35"/>
      <c r="AC1853" s="35"/>
      <c r="AD1853" s="35"/>
      <c r="AE1853" s="35"/>
    </row>
    <row r="1854">
      <c r="A1854" s="30"/>
      <c r="B1854" s="35"/>
      <c r="C1854" s="35"/>
      <c r="D1854" s="35"/>
      <c r="E1854" s="35"/>
      <c r="F1854" s="33"/>
      <c r="G1854" s="33"/>
      <c r="H1854" s="33"/>
      <c r="I1854" s="33"/>
      <c r="J1854" s="33"/>
      <c r="K1854" s="35"/>
      <c r="L1854" s="35"/>
      <c r="M1854" s="35"/>
      <c r="N1854" s="35"/>
      <c r="O1854" s="35"/>
      <c r="P1854" s="35"/>
      <c r="Q1854" s="35"/>
      <c r="R1854" s="35"/>
      <c r="S1854" s="35"/>
      <c r="T1854" s="35"/>
      <c r="U1854" s="35"/>
      <c r="V1854" s="35"/>
      <c r="W1854" s="35"/>
      <c r="X1854" s="35"/>
      <c r="Y1854" s="35"/>
      <c r="Z1854" s="35"/>
      <c r="AA1854" s="35"/>
      <c r="AB1854" s="35"/>
      <c r="AC1854" s="35"/>
      <c r="AD1854" s="35"/>
      <c r="AE1854" s="35"/>
    </row>
    <row r="1855">
      <c r="A1855" s="30"/>
      <c r="B1855" s="35"/>
      <c r="C1855" s="35"/>
      <c r="D1855" s="35"/>
      <c r="E1855" s="35"/>
      <c r="F1855" s="33"/>
      <c r="G1855" s="33"/>
      <c r="H1855" s="33"/>
      <c r="I1855" s="33"/>
      <c r="J1855" s="33"/>
      <c r="K1855" s="35"/>
      <c r="L1855" s="35"/>
      <c r="M1855" s="35"/>
      <c r="N1855" s="35"/>
      <c r="O1855" s="35"/>
      <c r="P1855" s="35"/>
      <c r="Q1855" s="35"/>
      <c r="R1855" s="35"/>
      <c r="S1855" s="35"/>
      <c r="T1855" s="35"/>
      <c r="U1855" s="35"/>
      <c r="V1855" s="35"/>
      <c r="W1855" s="35"/>
      <c r="X1855" s="35"/>
      <c r="Y1855" s="35"/>
      <c r="Z1855" s="35"/>
      <c r="AA1855" s="35"/>
      <c r="AB1855" s="35"/>
      <c r="AC1855" s="35"/>
      <c r="AD1855" s="35"/>
      <c r="AE1855" s="35"/>
    </row>
    <row r="1856">
      <c r="A1856" s="30"/>
      <c r="B1856" s="35"/>
      <c r="C1856" s="35"/>
      <c r="D1856" s="35"/>
      <c r="E1856" s="35"/>
      <c r="F1856" s="33"/>
      <c r="G1856" s="33"/>
      <c r="H1856" s="33"/>
      <c r="I1856" s="33"/>
      <c r="J1856" s="33"/>
      <c r="K1856" s="35"/>
      <c r="L1856" s="35"/>
      <c r="M1856" s="35"/>
      <c r="N1856" s="35"/>
      <c r="O1856" s="35"/>
      <c r="P1856" s="35"/>
      <c r="Q1856" s="35"/>
      <c r="R1856" s="35"/>
      <c r="S1856" s="35"/>
      <c r="T1856" s="35"/>
      <c r="U1856" s="35"/>
      <c r="V1856" s="35"/>
      <c r="W1856" s="35"/>
      <c r="X1856" s="35"/>
      <c r="Y1856" s="35"/>
      <c r="Z1856" s="35"/>
      <c r="AA1856" s="35"/>
      <c r="AB1856" s="35"/>
      <c r="AC1856" s="35"/>
      <c r="AD1856" s="35"/>
      <c r="AE1856" s="35"/>
    </row>
    <row r="1857">
      <c r="A1857" s="30"/>
      <c r="B1857" s="35"/>
      <c r="C1857" s="35"/>
      <c r="D1857" s="35"/>
      <c r="E1857" s="35"/>
      <c r="F1857" s="33"/>
      <c r="G1857" s="33"/>
      <c r="H1857" s="33"/>
      <c r="I1857" s="33"/>
      <c r="J1857" s="33"/>
      <c r="K1857" s="35"/>
      <c r="L1857" s="35"/>
      <c r="M1857" s="35"/>
      <c r="N1857" s="35"/>
      <c r="O1857" s="35"/>
      <c r="P1857" s="35"/>
      <c r="Q1857" s="35"/>
      <c r="R1857" s="35"/>
      <c r="S1857" s="35"/>
      <c r="T1857" s="35"/>
      <c r="U1857" s="35"/>
      <c r="V1857" s="35"/>
      <c r="W1857" s="35"/>
      <c r="X1857" s="35"/>
      <c r="Y1857" s="35"/>
      <c r="Z1857" s="35"/>
      <c r="AA1857" s="35"/>
      <c r="AB1857" s="35"/>
      <c r="AC1857" s="35"/>
      <c r="AD1857" s="35"/>
      <c r="AE1857" s="35"/>
    </row>
    <row r="1858">
      <c r="A1858" s="30"/>
      <c r="B1858" s="35"/>
      <c r="C1858" s="35"/>
      <c r="D1858" s="35"/>
      <c r="E1858" s="35"/>
      <c r="F1858" s="33"/>
      <c r="G1858" s="33"/>
      <c r="H1858" s="33"/>
      <c r="I1858" s="33"/>
      <c r="J1858" s="33"/>
      <c r="K1858" s="35"/>
      <c r="L1858" s="35"/>
      <c r="M1858" s="35"/>
      <c r="N1858" s="35"/>
      <c r="O1858" s="35"/>
      <c r="P1858" s="35"/>
      <c r="Q1858" s="35"/>
      <c r="R1858" s="35"/>
      <c r="S1858" s="35"/>
      <c r="T1858" s="35"/>
      <c r="U1858" s="35"/>
      <c r="V1858" s="35"/>
      <c r="W1858" s="35"/>
      <c r="X1858" s="35"/>
      <c r="Y1858" s="35"/>
      <c r="Z1858" s="35"/>
      <c r="AA1858" s="35"/>
      <c r="AB1858" s="35"/>
      <c r="AC1858" s="35"/>
      <c r="AD1858" s="35"/>
      <c r="AE1858" s="35"/>
    </row>
    <row r="1859">
      <c r="A1859" s="30"/>
      <c r="B1859" s="35"/>
      <c r="C1859" s="35"/>
      <c r="D1859" s="35"/>
      <c r="E1859" s="35"/>
      <c r="F1859" s="33"/>
      <c r="G1859" s="33"/>
      <c r="H1859" s="33"/>
      <c r="I1859" s="33"/>
      <c r="J1859" s="33"/>
      <c r="K1859" s="35"/>
      <c r="L1859" s="35"/>
      <c r="M1859" s="35"/>
      <c r="N1859" s="35"/>
      <c r="O1859" s="35"/>
      <c r="P1859" s="35"/>
      <c r="Q1859" s="35"/>
      <c r="R1859" s="35"/>
      <c r="S1859" s="35"/>
      <c r="T1859" s="35"/>
      <c r="U1859" s="35"/>
      <c r="V1859" s="35"/>
      <c r="W1859" s="35"/>
      <c r="X1859" s="35"/>
      <c r="Y1859" s="35"/>
      <c r="Z1859" s="35"/>
      <c r="AA1859" s="35"/>
      <c r="AB1859" s="35"/>
      <c r="AC1859" s="35"/>
      <c r="AD1859" s="35"/>
      <c r="AE1859" s="35"/>
    </row>
    <row r="1860">
      <c r="A1860" s="30"/>
      <c r="B1860" s="35"/>
      <c r="C1860" s="35"/>
      <c r="D1860" s="35"/>
      <c r="E1860" s="35"/>
      <c r="F1860" s="33"/>
      <c r="G1860" s="33"/>
      <c r="H1860" s="33"/>
      <c r="I1860" s="33"/>
      <c r="J1860" s="33"/>
      <c r="K1860" s="35"/>
      <c r="L1860" s="35"/>
      <c r="M1860" s="35"/>
      <c r="N1860" s="35"/>
      <c r="O1860" s="35"/>
      <c r="P1860" s="35"/>
      <c r="Q1860" s="35"/>
      <c r="R1860" s="35"/>
      <c r="S1860" s="35"/>
      <c r="T1860" s="35"/>
      <c r="U1860" s="35"/>
      <c r="V1860" s="35"/>
      <c r="W1860" s="35"/>
      <c r="X1860" s="35"/>
      <c r="Y1860" s="35"/>
      <c r="Z1860" s="35"/>
      <c r="AA1860" s="35"/>
      <c r="AB1860" s="35"/>
      <c r="AC1860" s="35"/>
      <c r="AD1860" s="35"/>
      <c r="AE1860" s="35"/>
    </row>
    <row r="1861">
      <c r="A1861" s="30"/>
      <c r="B1861" s="35"/>
      <c r="C1861" s="35"/>
      <c r="D1861" s="35"/>
      <c r="E1861" s="35"/>
      <c r="F1861" s="33"/>
      <c r="G1861" s="33"/>
      <c r="H1861" s="33"/>
      <c r="I1861" s="33"/>
      <c r="J1861" s="33"/>
      <c r="K1861" s="35"/>
      <c r="L1861" s="35"/>
      <c r="M1861" s="35"/>
      <c r="N1861" s="35"/>
      <c r="O1861" s="35"/>
      <c r="P1861" s="35"/>
      <c r="Q1861" s="35"/>
      <c r="R1861" s="35"/>
      <c r="S1861" s="35"/>
      <c r="T1861" s="35"/>
      <c r="U1861" s="35"/>
      <c r="V1861" s="35"/>
      <c r="W1861" s="35"/>
      <c r="X1861" s="35"/>
      <c r="Y1861" s="35"/>
      <c r="Z1861" s="35"/>
      <c r="AA1861" s="35"/>
      <c r="AB1861" s="35"/>
      <c r="AC1861" s="35"/>
      <c r="AD1861" s="35"/>
      <c r="AE1861" s="35"/>
    </row>
    <row r="1862">
      <c r="A1862" s="30"/>
      <c r="B1862" s="35"/>
      <c r="C1862" s="35"/>
      <c r="D1862" s="35"/>
      <c r="E1862" s="35"/>
      <c r="F1862" s="33"/>
      <c r="G1862" s="33"/>
      <c r="H1862" s="33"/>
      <c r="I1862" s="33"/>
      <c r="J1862" s="33"/>
      <c r="K1862" s="35"/>
      <c r="L1862" s="35"/>
      <c r="M1862" s="35"/>
      <c r="N1862" s="35"/>
      <c r="O1862" s="35"/>
      <c r="P1862" s="35"/>
      <c r="Q1862" s="35"/>
      <c r="R1862" s="35"/>
      <c r="S1862" s="35"/>
      <c r="T1862" s="35"/>
      <c r="U1862" s="35"/>
      <c r="V1862" s="35"/>
      <c r="W1862" s="35"/>
      <c r="X1862" s="35"/>
      <c r="Y1862" s="35"/>
      <c r="Z1862" s="35"/>
      <c r="AA1862" s="35"/>
      <c r="AB1862" s="35"/>
      <c r="AC1862" s="35"/>
      <c r="AD1862" s="35"/>
      <c r="AE1862" s="35"/>
    </row>
    <row r="1863">
      <c r="A1863" s="30"/>
      <c r="B1863" s="35"/>
      <c r="C1863" s="35"/>
      <c r="D1863" s="35"/>
      <c r="E1863" s="35"/>
      <c r="F1863" s="33"/>
      <c r="G1863" s="33"/>
      <c r="H1863" s="33"/>
      <c r="I1863" s="33"/>
      <c r="J1863" s="33"/>
      <c r="K1863" s="35"/>
      <c r="L1863" s="35"/>
      <c r="M1863" s="35"/>
      <c r="N1863" s="35"/>
      <c r="O1863" s="35"/>
      <c r="P1863" s="35"/>
      <c r="Q1863" s="35"/>
      <c r="R1863" s="35"/>
      <c r="S1863" s="35"/>
      <c r="T1863" s="35"/>
      <c r="U1863" s="35"/>
      <c r="V1863" s="35"/>
      <c r="W1863" s="35"/>
      <c r="X1863" s="35"/>
      <c r="Y1863" s="35"/>
      <c r="Z1863" s="35"/>
      <c r="AA1863" s="35"/>
      <c r="AB1863" s="35"/>
      <c r="AC1863" s="35"/>
      <c r="AD1863" s="35"/>
      <c r="AE1863" s="35"/>
    </row>
    <row r="1864">
      <c r="A1864" s="30"/>
      <c r="B1864" s="35"/>
      <c r="C1864" s="35"/>
      <c r="D1864" s="35"/>
      <c r="E1864" s="35"/>
      <c r="F1864" s="33"/>
      <c r="G1864" s="33"/>
      <c r="H1864" s="33"/>
      <c r="I1864" s="33"/>
      <c r="J1864" s="33"/>
      <c r="K1864" s="35"/>
      <c r="L1864" s="35"/>
      <c r="M1864" s="35"/>
      <c r="N1864" s="35"/>
      <c r="O1864" s="35"/>
      <c r="P1864" s="35"/>
      <c r="Q1864" s="35"/>
      <c r="R1864" s="35"/>
      <c r="S1864" s="35"/>
      <c r="T1864" s="35"/>
      <c r="U1864" s="35"/>
      <c r="V1864" s="35"/>
      <c r="W1864" s="35"/>
      <c r="X1864" s="35"/>
      <c r="Y1864" s="35"/>
      <c r="Z1864" s="35"/>
      <c r="AA1864" s="35"/>
      <c r="AB1864" s="35"/>
      <c r="AC1864" s="35"/>
      <c r="AD1864" s="35"/>
      <c r="AE1864" s="35"/>
    </row>
    <row r="1865">
      <c r="A1865" s="30"/>
      <c r="B1865" s="35"/>
      <c r="C1865" s="35"/>
      <c r="D1865" s="35"/>
      <c r="E1865" s="35"/>
      <c r="F1865" s="33"/>
      <c r="G1865" s="33"/>
      <c r="H1865" s="33"/>
      <c r="I1865" s="33"/>
      <c r="J1865" s="33"/>
      <c r="K1865" s="35"/>
      <c r="L1865" s="35"/>
      <c r="M1865" s="35"/>
      <c r="N1865" s="35"/>
      <c r="O1865" s="35"/>
      <c r="P1865" s="35"/>
      <c r="Q1865" s="35"/>
      <c r="R1865" s="35"/>
      <c r="S1865" s="35"/>
      <c r="T1865" s="35"/>
      <c r="U1865" s="35"/>
      <c r="V1865" s="35"/>
      <c r="W1865" s="35"/>
      <c r="X1865" s="35"/>
      <c r="Y1865" s="35"/>
      <c r="Z1865" s="35"/>
      <c r="AA1865" s="35"/>
      <c r="AB1865" s="35"/>
      <c r="AC1865" s="35"/>
      <c r="AD1865" s="35"/>
      <c r="AE1865" s="35"/>
    </row>
    <row r="1866">
      <c r="A1866" s="30"/>
      <c r="B1866" s="35"/>
      <c r="C1866" s="35"/>
      <c r="D1866" s="35"/>
      <c r="E1866" s="35"/>
      <c r="F1866" s="33"/>
      <c r="G1866" s="33"/>
      <c r="H1866" s="33"/>
      <c r="I1866" s="33"/>
      <c r="J1866" s="33"/>
      <c r="K1866" s="35"/>
      <c r="L1866" s="35"/>
      <c r="M1866" s="35"/>
      <c r="N1866" s="35"/>
      <c r="O1866" s="35"/>
      <c r="P1866" s="35"/>
      <c r="Q1866" s="35"/>
      <c r="R1866" s="35"/>
      <c r="S1866" s="35"/>
      <c r="T1866" s="35"/>
      <c r="U1866" s="35"/>
      <c r="V1866" s="35"/>
      <c r="W1866" s="35"/>
      <c r="X1866" s="35"/>
      <c r="Y1866" s="35"/>
      <c r="Z1866" s="35"/>
      <c r="AA1866" s="35"/>
      <c r="AB1866" s="35"/>
      <c r="AC1866" s="35"/>
      <c r="AD1866" s="35"/>
      <c r="AE1866" s="35"/>
    </row>
    <row r="1867">
      <c r="A1867" s="30"/>
      <c r="B1867" s="35"/>
      <c r="C1867" s="35"/>
      <c r="D1867" s="35"/>
      <c r="E1867" s="35"/>
      <c r="F1867" s="33"/>
      <c r="G1867" s="33"/>
      <c r="H1867" s="33"/>
      <c r="I1867" s="33"/>
      <c r="J1867" s="33"/>
      <c r="K1867" s="35"/>
      <c r="L1867" s="35"/>
      <c r="M1867" s="35"/>
      <c r="N1867" s="35"/>
      <c r="O1867" s="35"/>
      <c r="P1867" s="35"/>
      <c r="Q1867" s="35"/>
      <c r="R1867" s="35"/>
      <c r="S1867" s="35"/>
      <c r="T1867" s="35"/>
      <c r="U1867" s="35"/>
      <c r="V1867" s="35"/>
      <c r="W1867" s="35"/>
      <c r="X1867" s="35"/>
      <c r="Y1867" s="35"/>
      <c r="Z1867" s="35"/>
      <c r="AA1867" s="35"/>
      <c r="AB1867" s="35"/>
      <c r="AC1867" s="35"/>
      <c r="AD1867" s="35"/>
      <c r="AE1867" s="35"/>
    </row>
    <row r="1868">
      <c r="A1868" s="30"/>
      <c r="B1868" s="35"/>
      <c r="C1868" s="35"/>
      <c r="D1868" s="35"/>
      <c r="E1868" s="35"/>
      <c r="F1868" s="33"/>
      <c r="G1868" s="33"/>
      <c r="H1868" s="33"/>
      <c r="I1868" s="33"/>
      <c r="J1868" s="33"/>
      <c r="K1868" s="35"/>
      <c r="L1868" s="35"/>
      <c r="M1868" s="35"/>
      <c r="N1868" s="35"/>
      <c r="O1868" s="35"/>
      <c r="P1868" s="35"/>
      <c r="Q1868" s="35"/>
      <c r="R1868" s="35"/>
      <c r="S1868" s="35"/>
      <c r="T1868" s="35"/>
      <c r="U1868" s="35"/>
      <c r="V1868" s="35"/>
      <c r="W1868" s="35"/>
      <c r="X1868" s="35"/>
      <c r="Y1868" s="35"/>
      <c r="Z1868" s="35"/>
      <c r="AA1868" s="35"/>
      <c r="AB1868" s="35"/>
      <c r="AC1868" s="35"/>
      <c r="AD1868" s="35"/>
      <c r="AE1868" s="35"/>
    </row>
    <row r="1869">
      <c r="A1869" s="30"/>
      <c r="B1869" s="35"/>
      <c r="C1869" s="35"/>
      <c r="D1869" s="35"/>
      <c r="E1869" s="35"/>
      <c r="F1869" s="33"/>
      <c r="G1869" s="33"/>
      <c r="H1869" s="33"/>
      <c r="I1869" s="33"/>
      <c r="J1869" s="33"/>
      <c r="K1869" s="35"/>
      <c r="L1869" s="35"/>
      <c r="M1869" s="35"/>
      <c r="N1869" s="35"/>
      <c r="O1869" s="35"/>
      <c r="P1869" s="35"/>
      <c r="Q1869" s="35"/>
      <c r="R1869" s="35"/>
      <c r="S1869" s="35"/>
      <c r="T1869" s="35"/>
      <c r="U1869" s="35"/>
      <c r="V1869" s="35"/>
      <c r="W1869" s="35"/>
      <c r="X1869" s="35"/>
      <c r="Y1869" s="35"/>
      <c r="Z1869" s="35"/>
      <c r="AA1869" s="35"/>
      <c r="AB1869" s="35"/>
      <c r="AC1869" s="35"/>
      <c r="AD1869" s="35"/>
      <c r="AE1869" s="35"/>
    </row>
    <row r="1870">
      <c r="A1870" s="30"/>
      <c r="B1870" s="35"/>
      <c r="C1870" s="35"/>
      <c r="D1870" s="35"/>
      <c r="E1870" s="35"/>
      <c r="F1870" s="33"/>
      <c r="G1870" s="33"/>
      <c r="H1870" s="33"/>
      <c r="I1870" s="33"/>
      <c r="J1870" s="33"/>
      <c r="K1870" s="35"/>
      <c r="L1870" s="35"/>
      <c r="M1870" s="35"/>
      <c r="N1870" s="35"/>
      <c r="O1870" s="35"/>
      <c r="P1870" s="35"/>
      <c r="Q1870" s="35"/>
      <c r="R1870" s="35"/>
      <c r="S1870" s="35"/>
      <c r="T1870" s="35"/>
      <c r="U1870" s="35"/>
      <c r="V1870" s="35"/>
      <c r="W1870" s="35"/>
      <c r="X1870" s="35"/>
      <c r="Y1870" s="35"/>
      <c r="Z1870" s="35"/>
      <c r="AA1870" s="35"/>
      <c r="AB1870" s="35"/>
      <c r="AC1870" s="35"/>
      <c r="AD1870" s="35"/>
      <c r="AE1870" s="35"/>
    </row>
    <row r="1871">
      <c r="A1871" s="30"/>
      <c r="B1871" s="35"/>
      <c r="C1871" s="35"/>
      <c r="D1871" s="35"/>
      <c r="E1871" s="35"/>
      <c r="F1871" s="33"/>
      <c r="G1871" s="33"/>
      <c r="H1871" s="33"/>
      <c r="I1871" s="33"/>
      <c r="J1871" s="33"/>
      <c r="K1871" s="35"/>
      <c r="L1871" s="35"/>
      <c r="M1871" s="35"/>
      <c r="N1871" s="35"/>
      <c r="O1871" s="35"/>
      <c r="P1871" s="35"/>
      <c r="Q1871" s="35"/>
      <c r="R1871" s="35"/>
      <c r="S1871" s="35"/>
      <c r="T1871" s="35"/>
      <c r="U1871" s="35"/>
      <c r="V1871" s="35"/>
      <c r="W1871" s="35"/>
      <c r="X1871" s="35"/>
      <c r="Y1871" s="35"/>
      <c r="Z1871" s="35"/>
      <c r="AA1871" s="35"/>
      <c r="AB1871" s="35"/>
      <c r="AC1871" s="35"/>
      <c r="AD1871" s="35"/>
      <c r="AE1871" s="35"/>
    </row>
    <row r="1872">
      <c r="A1872" s="30"/>
      <c r="B1872" s="35"/>
      <c r="C1872" s="35"/>
      <c r="D1872" s="35"/>
      <c r="E1872" s="35"/>
      <c r="F1872" s="33"/>
      <c r="G1872" s="33"/>
      <c r="H1872" s="33"/>
      <c r="I1872" s="33"/>
      <c r="J1872" s="33"/>
      <c r="K1872" s="35"/>
      <c r="L1872" s="35"/>
      <c r="M1872" s="35"/>
      <c r="N1872" s="35"/>
      <c r="O1872" s="35"/>
      <c r="P1872" s="35"/>
      <c r="Q1872" s="35"/>
      <c r="R1872" s="35"/>
      <c r="S1872" s="35"/>
      <c r="T1872" s="35"/>
      <c r="U1872" s="35"/>
      <c r="V1872" s="35"/>
      <c r="W1872" s="35"/>
      <c r="X1872" s="35"/>
      <c r="Y1872" s="35"/>
      <c r="Z1872" s="35"/>
      <c r="AA1872" s="35"/>
      <c r="AB1872" s="35"/>
      <c r="AC1872" s="35"/>
      <c r="AD1872" s="35"/>
      <c r="AE1872" s="35"/>
    </row>
    <row r="1873">
      <c r="A1873" s="30"/>
      <c r="B1873" s="35"/>
      <c r="C1873" s="35"/>
      <c r="D1873" s="35"/>
      <c r="E1873" s="35"/>
      <c r="F1873" s="33"/>
      <c r="G1873" s="33"/>
      <c r="H1873" s="33"/>
      <c r="I1873" s="33"/>
      <c r="J1873" s="33"/>
      <c r="K1873" s="35"/>
      <c r="L1873" s="35"/>
      <c r="M1873" s="35"/>
      <c r="N1873" s="35"/>
      <c r="O1873" s="35"/>
      <c r="P1873" s="35"/>
      <c r="Q1873" s="35"/>
      <c r="R1873" s="35"/>
      <c r="S1873" s="35"/>
      <c r="T1873" s="35"/>
      <c r="U1873" s="35"/>
      <c r="V1873" s="35"/>
      <c r="W1873" s="35"/>
      <c r="X1873" s="35"/>
      <c r="Y1873" s="35"/>
      <c r="Z1873" s="35"/>
      <c r="AA1873" s="35"/>
      <c r="AB1873" s="35"/>
      <c r="AC1873" s="35"/>
      <c r="AD1873" s="35"/>
      <c r="AE1873" s="35"/>
    </row>
    <row r="1874">
      <c r="A1874" s="30"/>
      <c r="B1874" s="35"/>
      <c r="C1874" s="35"/>
      <c r="D1874" s="35"/>
      <c r="E1874" s="35"/>
      <c r="F1874" s="33"/>
      <c r="G1874" s="33"/>
      <c r="H1874" s="33"/>
      <c r="I1874" s="33"/>
      <c r="J1874" s="33"/>
      <c r="K1874" s="35"/>
      <c r="L1874" s="35"/>
      <c r="M1874" s="35"/>
      <c r="N1874" s="35"/>
      <c r="O1874" s="35"/>
      <c r="P1874" s="35"/>
      <c r="Q1874" s="35"/>
      <c r="R1874" s="35"/>
      <c r="S1874" s="35"/>
      <c r="T1874" s="35"/>
      <c r="U1874" s="35"/>
      <c r="V1874" s="35"/>
      <c r="W1874" s="35"/>
      <c r="X1874" s="35"/>
      <c r="Y1874" s="35"/>
      <c r="Z1874" s="35"/>
      <c r="AA1874" s="35"/>
      <c r="AB1874" s="35"/>
      <c r="AC1874" s="35"/>
      <c r="AD1874" s="35"/>
      <c r="AE1874" s="35"/>
    </row>
    <row r="1875">
      <c r="A1875" s="30"/>
      <c r="B1875" s="35"/>
      <c r="C1875" s="35"/>
      <c r="D1875" s="35"/>
      <c r="E1875" s="35"/>
      <c r="F1875" s="33"/>
      <c r="G1875" s="33"/>
      <c r="H1875" s="33"/>
      <c r="I1875" s="33"/>
      <c r="J1875" s="33"/>
      <c r="K1875" s="35"/>
      <c r="L1875" s="35"/>
      <c r="M1875" s="35"/>
      <c r="N1875" s="35"/>
      <c r="O1875" s="35"/>
      <c r="P1875" s="35"/>
      <c r="Q1875" s="35"/>
      <c r="R1875" s="35"/>
      <c r="S1875" s="35"/>
      <c r="T1875" s="35"/>
      <c r="U1875" s="35"/>
      <c r="V1875" s="35"/>
      <c r="W1875" s="35"/>
      <c r="X1875" s="35"/>
      <c r="Y1875" s="35"/>
      <c r="Z1875" s="35"/>
      <c r="AA1875" s="35"/>
      <c r="AB1875" s="35"/>
      <c r="AC1875" s="35"/>
      <c r="AD1875" s="35"/>
      <c r="AE1875" s="35"/>
    </row>
    <row r="1876">
      <c r="A1876" s="30"/>
      <c r="B1876" s="35"/>
      <c r="C1876" s="35"/>
      <c r="D1876" s="35"/>
      <c r="E1876" s="35"/>
      <c r="F1876" s="33"/>
      <c r="G1876" s="33"/>
      <c r="H1876" s="33"/>
      <c r="I1876" s="33"/>
      <c r="J1876" s="33"/>
      <c r="K1876" s="35"/>
      <c r="L1876" s="35"/>
      <c r="M1876" s="35"/>
      <c r="N1876" s="35"/>
      <c r="O1876" s="35"/>
      <c r="P1876" s="35"/>
      <c r="Q1876" s="35"/>
      <c r="R1876" s="35"/>
      <c r="S1876" s="35"/>
      <c r="T1876" s="35"/>
      <c r="U1876" s="35"/>
      <c r="V1876" s="35"/>
      <c r="W1876" s="35"/>
      <c r="X1876" s="35"/>
      <c r="Y1876" s="35"/>
      <c r="Z1876" s="35"/>
      <c r="AA1876" s="35"/>
      <c r="AB1876" s="35"/>
      <c r="AC1876" s="35"/>
      <c r="AD1876" s="35"/>
      <c r="AE1876" s="35"/>
    </row>
    <row r="1877">
      <c r="A1877" s="30"/>
      <c r="B1877" s="35"/>
      <c r="C1877" s="35"/>
      <c r="D1877" s="35"/>
      <c r="E1877" s="35"/>
      <c r="F1877" s="33"/>
      <c r="G1877" s="33"/>
      <c r="H1877" s="33"/>
      <c r="I1877" s="33"/>
      <c r="J1877" s="33"/>
      <c r="K1877" s="35"/>
      <c r="L1877" s="35"/>
      <c r="M1877" s="35"/>
      <c r="N1877" s="35"/>
      <c r="O1877" s="35"/>
      <c r="P1877" s="35"/>
      <c r="Q1877" s="35"/>
      <c r="R1877" s="35"/>
      <c r="S1877" s="35"/>
      <c r="T1877" s="35"/>
      <c r="U1877" s="35"/>
      <c r="V1877" s="35"/>
      <c r="W1877" s="35"/>
      <c r="X1877" s="35"/>
      <c r="Y1877" s="35"/>
      <c r="Z1877" s="35"/>
      <c r="AA1877" s="35"/>
      <c r="AB1877" s="35"/>
      <c r="AC1877" s="35"/>
      <c r="AD1877" s="35"/>
      <c r="AE1877" s="35"/>
    </row>
    <row r="1878">
      <c r="A1878" s="30"/>
      <c r="B1878" s="35"/>
      <c r="C1878" s="35"/>
      <c r="D1878" s="35"/>
      <c r="E1878" s="35"/>
      <c r="F1878" s="33"/>
      <c r="G1878" s="33"/>
      <c r="H1878" s="33"/>
      <c r="I1878" s="33"/>
      <c r="J1878" s="33"/>
      <c r="K1878" s="35"/>
      <c r="L1878" s="35"/>
      <c r="M1878" s="35"/>
      <c r="N1878" s="35"/>
      <c r="O1878" s="35"/>
      <c r="P1878" s="35"/>
      <c r="Q1878" s="35"/>
      <c r="R1878" s="35"/>
      <c r="S1878" s="35"/>
      <c r="T1878" s="35"/>
      <c r="U1878" s="35"/>
      <c r="V1878" s="35"/>
      <c r="W1878" s="35"/>
      <c r="X1878" s="35"/>
      <c r="Y1878" s="35"/>
      <c r="Z1878" s="35"/>
      <c r="AA1878" s="35"/>
      <c r="AB1878" s="35"/>
      <c r="AC1878" s="35"/>
      <c r="AD1878" s="35"/>
      <c r="AE1878" s="35"/>
    </row>
    <row r="1879">
      <c r="A1879" s="30"/>
      <c r="B1879" s="35"/>
      <c r="C1879" s="35"/>
      <c r="D1879" s="35"/>
      <c r="E1879" s="35"/>
      <c r="F1879" s="33"/>
      <c r="G1879" s="33"/>
      <c r="H1879" s="33"/>
      <c r="I1879" s="33"/>
      <c r="J1879" s="33"/>
      <c r="K1879" s="35"/>
      <c r="L1879" s="35"/>
      <c r="M1879" s="35"/>
      <c r="N1879" s="35"/>
      <c r="O1879" s="35"/>
      <c r="P1879" s="35"/>
      <c r="Q1879" s="35"/>
      <c r="R1879" s="35"/>
      <c r="S1879" s="35"/>
      <c r="T1879" s="35"/>
      <c r="U1879" s="35"/>
      <c r="V1879" s="35"/>
      <c r="W1879" s="35"/>
      <c r="X1879" s="35"/>
      <c r="Y1879" s="35"/>
      <c r="Z1879" s="35"/>
      <c r="AA1879" s="35"/>
      <c r="AB1879" s="35"/>
      <c r="AC1879" s="35"/>
      <c r="AD1879" s="35"/>
      <c r="AE1879" s="35"/>
    </row>
    <row r="1880">
      <c r="A1880" s="30"/>
      <c r="B1880" s="35"/>
      <c r="C1880" s="35"/>
      <c r="D1880" s="35"/>
      <c r="E1880" s="35"/>
      <c r="F1880" s="33"/>
      <c r="G1880" s="33"/>
      <c r="H1880" s="33"/>
      <c r="I1880" s="33"/>
      <c r="J1880" s="33"/>
      <c r="K1880" s="35"/>
      <c r="L1880" s="35"/>
      <c r="M1880" s="35"/>
      <c r="N1880" s="35"/>
      <c r="O1880" s="35"/>
      <c r="P1880" s="35"/>
      <c r="Q1880" s="35"/>
      <c r="R1880" s="35"/>
      <c r="S1880" s="35"/>
      <c r="T1880" s="35"/>
      <c r="U1880" s="35"/>
      <c r="V1880" s="35"/>
      <c r="W1880" s="35"/>
      <c r="X1880" s="35"/>
      <c r="Y1880" s="35"/>
      <c r="Z1880" s="35"/>
      <c r="AA1880" s="35"/>
      <c r="AB1880" s="35"/>
      <c r="AC1880" s="35"/>
      <c r="AD1880" s="35"/>
      <c r="AE1880" s="35"/>
    </row>
    <row r="1881">
      <c r="A1881" s="30"/>
      <c r="B1881" s="35"/>
      <c r="C1881" s="35"/>
      <c r="D1881" s="35"/>
      <c r="E1881" s="35"/>
      <c r="F1881" s="33"/>
      <c r="G1881" s="33"/>
      <c r="H1881" s="33"/>
      <c r="I1881" s="33"/>
      <c r="J1881" s="33"/>
      <c r="K1881" s="35"/>
      <c r="L1881" s="35"/>
      <c r="M1881" s="35"/>
      <c r="N1881" s="35"/>
      <c r="O1881" s="35"/>
      <c r="P1881" s="35"/>
      <c r="Q1881" s="35"/>
      <c r="R1881" s="35"/>
      <c r="S1881" s="35"/>
      <c r="T1881" s="35"/>
      <c r="U1881" s="35"/>
      <c r="V1881" s="35"/>
      <c r="W1881" s="35"/>
      <c r="X1881" s="35"/>
      <c r="Y1881" s="35"/>
      <c r="Z1881" s="35"/>
      <c r="AA1881" s="35"/>
      <c r="AB1881" s="35"/>
      <c r="AC1881" s="35"/>
      <c r="AD1881" s="35"/>
      <c r="AE1881" s="35"/>
    </row>
    <row r="1882">
      <c r="A1882" s="30"/>
      <c r="B1882" s="35"/>
      <c r="C1882" s="35"/>
      <c r="D1882" s="35"/>
      <c r="E1882" s="35"/>
      <c r="F1882" s="33"/>
      <c r="G1882" s="33"/>
      <c r="H1882" s="33"/>
      <c r="I1882" s="33"/>
      <c r="J1882" s="33"/>
      <c r="K1882" s="35"/>
      <c r="L1882" s="35"/>
      <c r="M1882" s="35"/>
      <c r="N1882" s="35"/>
      <c r="O1882" s="35"/>
      <c r="P1882" s="35"/>
      <c r="Q1882" s="35"/>
      <c r="R1882" s="35"/>
      <c r="S1882" s="35"/>
      <c r="T1882" s="35"/>
      <c r="U1882" s="35"/>
      <c r="V1882" s="35"/>
      <c r="W1882" s="35"/>
      <c r="X1882" s="35"/>
      <c r="Y1882" s="35"/>
      <c r="Z1882" s="35"/>
      <c r="AA1882" s="35"/>
      <c r="AB1882" s="35"/>
      <c r="AC1882" s="35"/>
      <c r="AD1882" s="35"/>
      <c r="AE1882" s="35"/>
    </row>
    <row r="1883">
      <c r="A1883" s="30"/>
      <c r="B1883" s="35"/>
      <c r="C1883" s="35"/>
      <c r="D1883" s="35"/>
      <c r="E1883" s="35"/>
      <c r="F1883" s="33"/>
      <c r="G1883" s="33"/>
      <c r="H1883" s="33"/>
      <c r="I1883" s="33"/>
      <c r="J1883" s="33"/>
      <c r="K1883" s="35"/>
      <c r="L1883" s="35"/>
      <c r="M1883" s="35"/>
      <c r="N1883" s="35"/>
      <c r="O1883" s="35"/>
      <c r="P1883" s="35"/>
      <c r="Q1883" s="35"/>
      <c r="R1883" s="35"/>
      <c r="S1883" s="35"/>
      <c r="T1883" s="35"/>
      <c r="U1883" s="35"/>
      <c r="V1883" s="35"/>
      <c r="W1883" s="35"/>
      <c r="X1883" s="35"/>
      <c r="Y1883" s="35"/>
      <c r="Z1883" s="35"/>
      <c r="AA1883" s="35"/>
      <c r="AB1883" s="35"/>
      <c r="AC1883" s="35"/>
      <c r="AD1883" s="35"/>
      <c r="AE1883" s="35"/>
    </row>
    <row r="1884">
      <c r="A1884" s="30"/>
      <c r="B1884" s="35"/>
      <c r="C1884" s="35"/>
      <c r="D1884" s="35"/>
      <c r="E1884" s="35"/>
      <c r="F1884" s="33"/>
      <c r="G1884" s="33"/>
      <c r="H1884" s="33"/>
      <c r="I1884" s="33"/>
      <c r="J1884" s="33"/>
      <c r="K1884" s="35"/>
      <c r="L1884" s="35"/>
      <c r="M1884" s="35"/>
      <c r="N1884" s="35"/>
      <c r="O1884" s="35"/>
      <c r="P1884" s="35"/>
      <c r="Q1884" s="35"/>
      <c r="R1884" s="35"/>
      <c r="S1884" s="35"/>
      <c r="T1884" s="35"/>
      <c r="U1884" s="35"/>
      <c r="V1884" s="35"/>
      <c r="W1884" s="35"/>
      <c r="X1884" s="35"/>
      <c r="Y1884" s="35"/>
      <c r="Z1884" s="35"/>
      <c r="AA1884" s="35"/>
      <c r="AB1884" s="35"/>
      <c r="AC1884" s="35"/>
      <c r="AD1884" s="35"/>
      <c r="AE1884" s="35"/>
    </row>
    <row r="1885">
      <c r="A1885" s="30"/>
      <c r="B1885" s="35"/>
      <c r="C1885" s="35"/>
      <c r="D1885" s="35"/>
      <c r="E1885" s="35"/>
      <c r="F1885" s="33"/>
      <c r="G1885" s="33"/>
      <c r="H1885" s="33"/>
      <c r="I1885" s="33"/>
      <c r="J1885" s="33"/>
      <c r="K1885" s="35"/>
      <c r="L1885" s="35"/>
      <c r="M1885" s="35"/>
      <c r="N1885" s="35"/>
      <c r="O1885" s="35"/>
      <c r="P1885" s="35"/>
      <c r="Q1885" s="35"/>
      <c r="R1885" s="35"/>
      <c r="S1885" s="35"/>
      <c r="T1885" s="35"/>
      <c r="U1885" s="35"/>
      <c r="V1885" s="35"/>
      <c r="W1885" s="35"/>
      <c r="X1885" s="35"/>
      <c r="Y1885" s="35"/>
      <c r="Z1885" s="35"/>
      <c r="AA1885" s="35"/>
      <c r="AB1885" s="35"/>
      <c r="AC1885" s="35"/>
      <c r="AD1885" s="35"/>
      <c r="AE1885" s="35"/>
    </row>
    <row r="1886">
      <c r="A1886" s="30"/>
      <c r="B1886" s="35"/>
      <c r="C1886" s="35"/>
      <c r="D1886" s="35"/>
      <c r="E1886" s="35"/>
      <c r="F1886" s="33"/>
      <c r="G1886" s="33"/>
      <c r="H1886" s="33"/>
      <c r="I1886" s="33"/>
      <c r="J1886" s="33"/>
      <c r="K1886" s="35"/>
      <c r="L1886" s="35"/>
      <c r="M1886" s="35"/>
      <c r="N1886" s="35"/>
      <c r="O1886" s="35"/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5"/>
      <c r="AA1886" s="35"/>
      <c r="AB1886" s="35"/>
      <c r="AC1886" s="35"/>
      <c r="AD1886" s="35"/>
      <c r="AE1886" s="35"/>
    </row>
    <row r="1887">
      <c r="A1887" s="30"/>
      <c r="B1887" s="35"/>
      <c r="C1887" s="35"/>
      <c r="D1887" s="35"/>
      <c r="E1887" s="35"/>
      <c r="F1887" s="33"/>
      <c r="G1887" s="33"/>
      <c r="H1887" s="33"/>
      <c r="I1887" s="33"/>
      <c r="J1887" s="33"/>
      <c r="K1887" s="35"/>
      <c r="L1887" s="35"/>
      <c r="M1887" s="35"/>
      <c r="N1887" s="35"/>
      <c r="O1887" s="35"/>
      <c r="P1887" s="35"/>
      <c r="Q1887" s="35"/>
      <c r="R1887" s="35"/>
      <c r="S1887" s="35"/>
      <c r="T1887" s="35"/>
      <c r="U1887" s="35"/>
      <c r="V1887" s="35"/>
      <c r="W1887" s="35"/>
      <c r="X1887" s="35"/>
      <c r="Y1887" s="35"/>
      <c r="Z1887" s="35"/>
      <c r="AA1887" s="35"/>
      <c r="AB1887" s="35"/>
      <c r="AC1887" s="35"/>
      <c r="AD1887" s="35"/>
      <c r="AE1887" s="35"/>
    </row>
    <row r="1888">
      <c r="A1888" s="30"/>
      <c r="B1888" s="35"/>
      <c r="C1888" s="35"/>
      <c r="D1888" s="35"/>
      <c r="E1888" s="35"/>
      <c r="F1888" s="33"/>
      <c r="G1888" s="33"/>
      <c r="H1888" s="33"/>
      <c r="I1888" s="33"/>
      <c r="J1888" s="33"/>
      <c r="K1888" s="35"/>
      <c r="L1888" s="35"/>
      <c r="M1888" s="35"/>
      <c r="N1888" s="35"/>
      <c r="O1888" s="35"/>
      <c r="P1888" s="35"/>
      <c r="Q1888" s="35"/>
      <c r="R1888" s="35"/>
      <c r="S1888" s="35"/>
      <c r="T1888" s="35"/>
      <c r="U1888" s="35"/>
      <c r="V1888" s="35"/>
      <c r="W1888" s="35"/>
      <c r="X1888" s="35"/>
      <c r="Y1888" s="35"/>
      <c r="Z1888" s="35"/>
      <c r="AA1888" s="35"/>
      <c r="AB1888" s="35"/>
      <c r="AC1888" s="35"/>
      <c r="AD1888" s="35"/>
      <c r="AE1888" s="35"/>
    </row>
    <row r="1889">
      <c r="A1889" s="30"/>
      <c r="B1889" s="35"/>
      <c r="C1889" s="35"/>
      <c r="D1889" s="35"/>
      <c r="E1889" s="35"/>
      <c r="F1889" s="33"/>
      <c r="G1889" s="33"/>
      <c r="H1889" s="33"/>
      <c r="I1889" s="33"/>
      <c r="J1889" s="33"/>
      <c r="K1889" s="35"/>
      <c r="L1889" s="35"/>
      <c r="M1889" s="35"/>
      <c r="N1889" s="35"/>
      <c r="O1889" s="35"/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5"/>
      <c r="AA1889" s="35"/>
      <c r="AB1889" s="35"/>
      <c r="AC1889" s="35"/>
      <c r="AD1889" s="35"/>
      <c r="AE1889" s="35"/>
    </row>
    <row r="1890">
      <c r="A1890" s="30"/>
      <c r="B1890" s="35"/>
      <c r="C1890" s="35"/>
      <c r="D1890" s="35"/>
      <c r="E1890" s="35"/>
      <c r="F1890" s="33"/>
      <c r="G1890" s="33"/>
      <c r="H1890" s="33"/>
      <c r="I1890" s="33"/>
      <c r="J1890" s="33"/>
      <c r="K1890" s="35"/>
      <c r="L1890" s="35"/>
      <c r="M1890" s="35"/>
      <c r="N1890" s="35"/>
      <c r="O1890" s="35"/>
      <c r="P1890" s="35"/>
      <c r="Q1890" s="35"/>
      <c r="R1890" s="35"/>
      <c r="S1890" s="35"/>
      <c r="T1890" s="35"/>
      <c r="U1890" s="35"/>
      <c r="V1890" s="35"/>
      <c r="W1890" s="35"/>
      <c r="X1890" s="35"/>
      <c r="Y1890" s="35"/>
      <c r="Z1890" s="35"/>
      <c r="AA1890" s="35"/>
      <c r="AB1890" s="35"/>
      <c r="AC1890" s="35"/>
      <c r="AD1890" s="35"/>
      <c r="AE1890" s="35"/>
    </row>
    <row r="1891">
      <c r="A1891" s="30"/>
      <c r="B1891" s="35"/>
      <c r="C1891" s="35"/>
      <c r="D1891" s="35"/>
      <c r="E1891" s="35"/>
      <c r="F1891" s="33"/>
      <c r="G1891" s="33"/>
      <c r="H1891" s="33"/>
      <c r="I1891" s="33"/>
      <c r="J1891" s="33"/>
      <c r="K1891" s="35"/>
      <c r="L1891" s="35"/>
      <c r="M1891" s="35"/>
      <c r="N1891" s="35"/>
      <c r="O1891" s="35"/>
      <c r="P1891" s="35"/>
      <c r="Q1891" s="35"/>
      <c r="R1891" s="35"/>
      <c r="S1891" s="35"/>
      <c r="T1891" s="35"/>
      <c r="U1891" s="35"/>
      <c r="V1891" s="35"/>
      <c r="W1891" s="35"/>
      <c r="X1891" s="35"/>
      <c r="Y1891" s="35"/>
      <c r="Z1891" s="35"/>
      <c r="AA1891" s="35"/>
      <c r="AB1891" s="35"/>
      <c r="AC1891" s="35"/>
      <c r="AD1891" s="35"/>
      <c r="AE1891" s="35"/>
    </row>
    <row r="1892">
      <c r="A1892" s="30"/>
      <c r="B1892" s="35"/>
      <c r="C1892" s="35"/>
      <c r="D1892" s="35"/>
      <c r="E1892" s="35"/>
      <c r="F1892" s="33"/>
      <c r="G1892" s="33"/>
      <c r="H1892" s="33"/>
      <c r="I1892" s="33"/>
      <c r="J1892" s="33"/>
      <c r="K1892" s="35"/>
      <c r="L1892" s="35"/>
      <c r="M1892" s="35"/>
      <c r="N1892" s="35"/>
      <c r="O1892" s="35"/>
      <c r="P1892" s="35"/>
      <c r="Q1892" s="35"/>
      <c r="R1892" s="35"/>
      <c r="S1892" s="35"/>
      <c r="T1892" s="35"/>
      <c r="U1892" s="35"/>
      <c r="V1892" s="35"/>
      <c r="W1892" s="35"/>
      <c r="X1892" s="35"/>
      <c r="Y1892" s="35"/>
      <c r="Z1892" s="35"/>
      <c r="AA1892" s="35"/>
      <c r="AB1892" s="35"/>
      <c r="AC1892" s="35"/>
      <c r="AD1892" s="35"/>
      <c r="AE1892" s="35"/>
    </row>
    <row r="1893">
      <c r="A1893" s="30"/>
      <c r="B1893" s="35"/>
      <c r="C1893" s="35"/>
      <c r="D1893" s="35"/>
      <c r="E1893" s="35"/>
      <c r="F1893" s="33"/>
      <c r="G1893" s="33"/>
      <c r="H1893" s="33"/>
      <c r="I1893" s="33"/>
      <c r="J1893" s="33"/>
      <c r="K1893" s="35"/>
      <c r="L1893" s="35"/>
      <c r="M1893" s="35"/>
      <c r="N1893" s="35"/>
      <c r="O1893" s="35"/>
      <c r="P1893" s="35"/>
      <c r="Q1893" s="35"/>
      <c r="R1893" s="35"/>
      <c r="S1893" s="35"/>
      <c r="T1893" s="35"/>
      <c r="U1893" s="35"/>
      <c r="V1893" s="35"/>
      <c r="W1893" s="35"/>
      <c r="X1893" s="35"/>
      <c r="Y1893" s="35"/>
      <c r="Z1893" s="35"/>
      <c r="AA1893" s="35"/>
      <c r="AB1893" s="35"/>
      <c r="AC1893" s="35"/>
      <c r="AD1893" s="35"/>
      <c r="AE1893" s="35"/>
    </row>
    <row r="1894">
      <c r="A1894" s="30"/>
      <c r="B1894" s="35"/>
      <c r="C1894" s="35"/>
      <c r="D1894" s="35"/>
      <c r="E1894" s="35"/>
      <c r="F1894" s="33"/>
      <c r="G1894" s="33"/>
      <c r="H1894" s="33"/>
      <c r="I1894" s="33"/>
      <c r="J1894" s="33"/>
      <c r="K1894" s="35"/>
      <c r="L1894" s="35"/>
      <c r="M1894" s="35"/>
      <c r="N1894" s="35"/>
      <c r="O1894" s="35"/>
      <c r="P1894" s="35"/>
      <c r="Q1894" s="35"/>
      <c r="R1894" s="35"/>
      <c r="S1894" s="35"/>
      <c r="T1894" s="35"/>
      <c r="U1894" s="35"/>
      <c r="V1894" s="35"/>
      <c r="W1894" s="35"/>
      <c r="X1894" s="35"/>
      <c r="Y1894" s="35"/>
      <c r="Z1894" s="35"/>
      <c r="AA1894" s="35"/>
      <c r="AB1894" s="35"/>
      <c r="AC1894" s="35"/>
      <c r="AD1894" s="35"/>
      <c r="AE1894" s="35"/>
    </row>
    <row r="1895">
      <c r="A1895" s="30"/>
      <c r="B1895" s="35"/>
      <c r="C1895" s="35"/>
      <c r="D1895" s="35"/>
      <c r="E1895" s="35"/>
      <c r="F1895" s="33"/>
      <c r="G1895" s="33"/>
      <c r="H1895" s="33"/>
      <c r="I1895" s="33"/>
      <c r="J1895" s="33"/>
      <c r="K1895" s="35"/>
      <c r="L1895" s="35"/>
      <c r="M1895" s="35"/>
      <c r="N1895" s="35"/>
      <c r="O1895" s="35"/>
      <c r="P1895" s="35"/>
      <c r="Q1895" s="35"/>
      <c r="R1895" s="35"/>
      <c r="S1895" s="35"/>
      <c r="T1895" s="35"/>
      <c r="U1895" s="35"/>
      <c r="V1895" s="35"/>
      <c r="W1895" s="35"/>
      <c r="X1895" s="35"/>
      <c r="Y1895" s="35"/>
      <c r="Z1895" s="35"/>
      <c r="AA1895" s="35"/>
      <c r="AB1895" s="35"/>
      <c r="AC1895" s="35"/>
      <c r="AD1895" s="35"/>
      <c r="AE1895" s="35"/>
    </row>
    <row r="1896">
      <c r="A1896" s="30"/>
      <c r="B1896" s="35"/>
      <c r="C1896" s="35"/>
      <c r="D1896" s="35"/>
      <c r="E1896" s="35"/>
      <c r="F1896" s="33"/>
      <c r="G1896" s="33"/>
      <c r="H1896" s="33"/>
      <c r="I1896" s="33"/>
      <c r="J1896" s="33"/>
      <c r="K1896" s="35"/>
      <c r="L1896" s="35"/>
      <c r="M1896" s="35"/>
      <c r="N1896" s="35"/>
      <c r="O1896" s="35"/>
      <c r="P1896" s="35"/>
      <c r="Q1896" s="35"/>
      <c r="R1896" s="35"/>
      <c r="S1896" s="35"/>
      <c r="T1896" s="35"/>
      <c r="U1896" s="35"/>
      <c r="V1896" s="35"/>
      <c r="W1896" s="35"/>
      <c r="X1896" s="35"/>
      <c r="Y1896" s="35"/>
      <c r="Z1896" s="35"/>
      <c r="AA1896" s="35"/>
      <c r="AB1896" s="35"/>
      <c r="AC1896" s="35"/>
      <c r="AD1896" s="35"/>
      <c r="AE1896" s="35"/>
    </row>
    <row r="1897">
      <c r="A1897" s="30"/>
      <c r="B1897" s="35"/>
      <c r="C1897" s="35"/>
      <c r="D1897" s="35"/>
      <c r="E1897" s="35"/>
      <c r="F1897" s="33"/>
      <c r="G1897" s="33"/>
      <c r="H1897" s="33"/>
      <c r="I1897" s="33"/>
      <c r="J1897" s="33"/>
      <c r="K1897" s="35"/>
      <c r="L1897" s="35"/>
      <c r="M1897" s="35"/>
      <c r="N1897" s="35"/>
      <c r="O1897" s="35"/>
      <c r="P1897" s="35"/>
      <c r="Q1897" s="35"/>
      <c r="R1897" s="35"/>
      <c r="S1897" s="35"/>
      <c r="T1897" s="35"/>
      <c r="U1897" s="35"/>
      <c r="V1897" s="35"/>
      <c r="W1897" s="35"/>
      <c r="X1897" s="35"/>
      <c r="Y1897" s="35"/>
      <c r="Z1897" s="35"/>
      <c r="AA1897" s="35"/>
      <c r="AB1897" s="35"/>
      <c r="AC1897" s="35"/>
      <c r="AD1897" s="35"/>
      <c r="AE1897" s="35"/>
    </row>
    <row r="1898">
      <c r="A1898" s="30"/>
      <c r="B1898" s="35"/>
      <c r="C1898" s="35"/>
      <c r="D1898" s="35"/>
      <c r="E1898" s="35"/>
      <c r="F1898" s="33"/>
      <c r="G1898" s="33"/>
      <c r="H1898" s="33"/>
      <c r="I1898" s="33"/>
      <c r="J1898" s="33"/>
      <c r="K1898" s="35"/>
      <c r="L1898" s="35"/>
      <c r="M1898" s="35"/>
      <c r="N1898" s="35"/>
      <c r="O1898" s="35"/>
      <c r="P1898" s="35"/>
      <c r="Q1898" s="35"/>
      <c r="R1898" s="35"/>
      <c r="S1898" s="35"/>
      <c r="T1898" s="35"/>
      <c r="U1898" s="35"/>
      <c r="V1898" s="35"/>
      <c r="W1898" s="35"/>
      <c r="X1898" s="35"/>
      <c r="Y1898" s="35"/>
      <c r="Z1898" s="35"/>
      <c r="AA1898" s="35"/>
      <c r="AB1898" s="35"/>
      <c r="AC1898" s="35"/>
      <c r="AD1898" s="35"/>
      <c r="AE1898" s="35"/>
    </row>
    <row r="1899">
      <c r="A1899" s="30"/>
      <c r="B1899" s="35"/>
      <c r="C1899" s="35"/>
      <c r="D1899" s="35"/>
      <c r="E1899" s="35"/>
      <c r="F1899" s="33"/>
      <c r="G1899" s="33"/>
      <c r="H1899" s="33"/>
      <c r="I1899" s="33"/>
      <c r="J1899" s="33"/>
      <c r="K1899" s="35"/>
      <c r="L1899" s="35"/>
      <c r="M1899" s="35"/>
      <c r="N1899" s="35"/>
      <c r="O1899" s="35"/>
      <c r="P1899" s="35"/>
      <c r="Q1899" s="35"/>
      <c r="R1899" s="35"/>
      <c r="S1899" s="35"/>
      <c r="T1899" s="35"/>
      <c r="U1899" s="35"/>
      <c r="V1899" s="35"/>
      <c r="W1899" s="35"/>
      <c r="X1899" s="35"/>
      <c r="Y1899" s="35"/>
      <c r="Z1899" s="35"/>
      <c r="AA1899" s="35"/>
      <c r="AB1899" s="35"/>
      <c r="AC1899" s="35"/>
      <c r="AD1899" s="35"/>
      <c r="AE1899" s="35"/>
    </row>
    <row r="1900">
      <c r="A1900" s="30"/>
      <c r="B1900" s="35"/>
      <c r="C1900" s="35"/>
      <c r="D1900" s="35"/>
      <c r="E1900" s="35"/>
      <c r="F1900" s="33"/>
      <c r="G1900" s="33"/>
      <c r="H1900" s="33"/>
      <c r="I1900" s="33"/>
      <c r="J1900" s="33"/>
      <c r="K1900" s="35"/>
      <c r="L1900" s="35"/>
      <c r="M1900" s="35"/>
      <c r="N1900" s="35"/>
      <c r="O1900" s="35"/>
      <c r="P1900" s="35"/>
      <c r="Q1900" s="35"/>
      <c r="R1900" s="35"/>
      <c r="S1900" s="35"/>
      <c r="T1900" s="35"/>
      <c r="U1900" s="35"/>
      <c r="V1900" s="35"/>
      <c r="W1900" s="35"/>
      <c r="X1900" s="35"/>
      <c r="Y1900" s="35"/>
      <c r="Z1900" s="35"/>
      <c r="AA1900" s="35"/>
      <c r="AB1900" s="35"/>
      <c r="AC1900" s="35"/>
      <c r="AD1900" s="35"/>
      <c r="AE1900" s="35"/>
    </row>
    <row r="1901">
      <c r="A1901" s="30"/>
      <c r="B1901" s="35"/>
      <c r="C1901" s="35"/>
      <c r="D1901" s="35"/>
      <c r="E1901" s="35"/>
      <c r="F1901" s="33"/>
      <c r="G1901" s="33"/>
      <c r="H1901" s="33"/>
      <c r="I1901" s="33"/>
      <c r="J1901" s="33"/>
      <c r="K1901" s="35"/>
      <c r="L1901" s="35"/>
      <c r="M1901" s="35"/>
      <c r="N1901" s="35"/>
      <c r="O1901" s="35"/>
      <c r="P1901" s="35"/>
      <c r="Q1901" s="35"/>
      <c r="R1901" s="35"/>
      <c r="S1901" s="35"/>
      <c r="T1901" s="35"/>
      <c r="U1901" s="35"/>
      <c r="V1901" s="35"/>
      <c r="W1901" s="35"/>
      <c r="X1901" s="35"/>
      <c r="Y1901" s="35"/>
      <c r="Z1901" s="35"/>
      <c r="AA1901" s="35"/>
      <c r="AB1901" s="35"/>
      <c r="AC1901" s="35"/>
      <c r="AD1901" s="35"/>
      <c r="AE1901" s="35"/>
    </row>
    <row r="1902">
      <c r="A1902" s="30"/>
      <c r="B1902" s="35"/>
      <c r="C1902" s="35"/>
      <c r="D1902" s="35"/>
      <c r="E1902" s="35"/>
      <c r="F1902" s="33"/>
      <c r="G1902" s="33"/>
      <c r="H1902" s="33"/>
      <c r="I1902" s="33"/>
      <c r="J1902" s="33"/>
      <c r="K1902" s="35"/>
      <c r="L1902" s="35"/>
      <c r="M1902" s="35"/>
      <c r="N1902" s="35"/>
      <c r="O1902" s="35"/>
      <c r="P1902" s="35"/>
      <c r="Q1902" s="35"/>
      <c r="R1902" s="35"/>
      <c r="S1902" s="35"/>
      <c r="T1902" s="35"/>
      <c r="U1902" s="35"/>
      <c r="V1902" s="35"/>
      <c r="W1902" s="35"/>
      <c r="X1902" s="35"/>
      <c r="Y1902" s="35"/>
      <c r="Z1902" s="35"/>
      <c r="AA1902" s="35"/>
      <c r="AB1902" s="35"/>
      <c r="AC1902" s="35"/>
      <c r="AD1902" s="35"/>
      <c r="AE1902" s="35"/>
    </row>
    <row r="1903">
      <c r="A1903" s="30"/>
      <c r="B1903" s="35"/>
      <c r="C1903" s="35"/>
      <c r="D1903" s="35"/>
      <c r="E1903" s="35"/>
      <c r="F1903" s="33"/>
      <c r="G1903" s="33"/>
      <c r="H1903" s="33"/>
      <c r="I1903" s="33"/>
      <c r="J1903" s="33"/>
      <c r="K1903" s="35"/>
      <c r="L1903" s="35"/>
      <c r="M1903" s="35"/>
      <c r="N1903" s="35"/>
      <c r="O1903" s="35"/>
      <c r="P1903" s="35"/>
      <c r="Q1903" s="35"/>
      <c r="R1903" s="35"/>
      <c r="S1903" s="35"/>
      <c r="T1903" s="35"/>
      <c r="U1903" s="35"/>
      <c r="V1903" s="35"/>
      <c r="W1903" s="35"/>
      <c r="X1903" s="35"/>
      <c r="Y1903" s="35"/>
      <c r="Z1903" s="35"/>
      <c r="AA1903" s="35"/>
      <c r="AB1903" s="35"/>
      <c r="AC1903" s="35"/>
      <c r="AD1903" s="35"/>
      <c r="AE1903" s="35"/>
    </row>
    <row r="1904">
      <c r="A1904" s="30"/>
      <c r="B1904" s="35"/>
      <c r="C1904" s="35"/>
      <c r="D1904" s="35"/>
      <c r="E1904" s="35"/>
      <c r="F1904" s="33"/>
      <c r="G1904" s="33"/>
      <c r="H1904" s="33"/>
      <c r="I1904" s="33"/>
      <c r="J1904" s="33"/>
      <c r="K1904" s="35"/>
      <c r="L1904" s="35"/>
      <c r="M1904" s="35"/>
      <c r="N1904" s="35"/>
      <c r="O1904" s="35"/>
      <c r="P1904" s="35"/>
      <c r="Q1904" s="35"/>
      <c r="R1904" s="35"/>
      <c r="S1904" s="35"/>
      <c r="T1904" s="35"/>
      <c r="U1904" s="35"/>
      <c r="V1904" s="35"/>
      <c r="W1904" s="35"/>
      <c r="X1904" s="35"/>
      <c r="Y1904" s="35"/>
      <c r="Z1904" s="35"/>
      <c r="AA1904" s="35"/>
      <c r="AB1904" s="35"/>
      <c r="AC1904" s="35"/>
      <c r="AD1904" s="35"/>
      <c r="AE1904" s="35"/>
    </row>
    <row r="1905">
      <c r="A1905" s="30"/>
      <c r="B1905" s="35"/>
      <c r="C1905" s="35"/>
      <c r="D1905" s="35"/>
      <c r="E1905" s="35"/>
      <c r="F1905" s="33"/>
      <c r="G1905" s="33"/>
      <c r="H1905" s="33"/>
      <c r="I1905" s="33"/>
      <c r="J1905" s="33"/>
      <c r="K1905" s="35"/>
      <c r="L1905" s="35"/>
      <c r="M1905" s="35"/>
      <c r="N1905" s="35"/>
      <c r="O1905" s="35"/>
      <c r="P1905" s="35"/>
      <c r="Q1905" s="35"/>
      <c r="R1905" s="35"/>
      <c r="S1905" s="35"/>
      <c r="T1905" s="35"/>
      <c r="U1905" s="35"/>
      <c r="V1905" s="35"/>
      <c r="W1905" s="35"/>
      <c r="X1905" s="35"/>
      <c r="Y1905" s="35"/>
      <c r="Z1905" s="35"/>
      <c r="AA1905" s="35"/>
      <c r="AB1905" s="35"/>
      <c r="AC1905" s="35"/>
      <c r="AD1905" s="35"/>
      <c r="AE1905" s="35"/>
    </row>
    <row r="1906">
      <c r="A1906" s="30"/>
      <c r="B1906" s="35"/>
      <c r="C1906" s="35"/>
      <c r="D1906" s="35"/>
      <c r="E1906" s="35"/>
      <c r="F1906" s="33"/>
      <c r="G1906" s="33"/>
      <c r="H1906" s="33"/>
      <c r="I1906" s="33"/>
      <c r="J1906" s="33"/>
      <c r="K1906" s="35"/>
      <c r="L1906" s="35"/>
      <c r="M1906" s="35"/>
      <c r="N1906" s="35"/>
      <c r="O1906" s="35"/>
      <c r="P1906" s="35"/>
      <c r="Q1906" s="35"/>
      <c r="R1906" s="35"/>
      <c r="S1906" s="35"/>
      <c r="T1906" s="35"/>
      <c r="U1906" s="35"/>
      <c r="V1906" s="35"/>
      <c r="W1906" s="35"/>
      <c r="X1906" s="35"/>
      <c r="Y1906" s="35"/>
      <c r="Z1906" s="35"/>
      <c r="AA1906" s="35"/>
      <c r="AB1906" s="35"/>
      <c r="AC1906" s="35"/>
      <c r="AD1906" s="35"/>
      <c r="AE1906" s="35"/>
    </row>
    <row r="1907">
      <c r="A1907" s="30"/>
      <c r="B1907" s="35"/>
      <c r="C1907" s="35"/>
      <c r="D1907" s="35"/>
      <c r="E1907" s="35"/>
      <c r="F1907" s="33"/>
      <c r="G1907" s="33"/>
      <c r="H1907" s="33"/>
      <c r="I1907" s="33"/>
      <c r="J1907" s="33"/>
      <c r="K1907" s="35"/>
      <c r="L1907" s="35"/>
      <c r="M1907" s="35"/>
      <c r="N1907" s="35"/>
      <c r="O1907" s="35"/>
      <c r="P1907" s="35"/>
      <c r="Q1907" s="35"/>
      <c r="R1907" s="35"/>
      <c r="S1907" s="35"/>
      <c r="T1907" s="35"/>
      <c r="U1907" s="35"/>
      <c r="V1907" s="35"/>
      <c r="W1907" s="35"/>
      <c r="X1907" s="35"/>
      <c r="Y1907" s="35"/>
      <c r="Z1907" s="35"/>
      <c r="AA1907" s="35"/>
      <c r="AB1907" s="35"/>
      <c r="AC1907" s="35"/>
      <c r="AD1907" s="35"/>
      <c r="AE1907" s="35"/>
    </row>
    <row r="1908">
      <c r="A1908" s="30"/>
      <c r="B1908" s="35"/>
      <c r="C1908" s="35"/>
      <c r="D1908" s="35"/>
      <c r="E1908" s="35"/>
      <c r="F1908" s="33"/>
      <c r="G1908" s="33"/>
      <c r="H1908" s="33"/>
      <c r="I1908" s="33"/>
      <c r="J1908" s="33"/>
      <c r="K1908" s="35"/>
      <c r="L1908" s="35"/>
      <c r="M1908" s="35"/>
      <c r="N1908" s="35"/>
      <c r="O1908" s="35"/>
      <c r="P1908" s="35"/>
      <c r="Q1908" s="35"/>
      <c r="R1908" s="35"/>
      <c r="S1908" s="35"/>
      <c r="T1908" s="35"/>
      <c r="U1908" s="35"/>
      <c r="V1908" s="35"/>
      <c r="W1908" s="35"/>
      <c r="X1908" s="35"/>
      <c r="Y1908" s="35"/>
      <c r="Z1908" s="35"/>
      <c r="AA1908" s="35"/>
      <c r="AB1908" s="35"/>
      <c r="AC1908" s="35"/>
      <c r="AD1908" s="35"/>
      <c r="AE1908" s="35"/>
    </row>
    <row r="1909">
      <c r="A1909" s="30"/>
      <c r="B1909" s="35"/>
      <c r="C1909" s="35"/>
      <c r="D1909" s="35"/>
      <c r="E1909" s="35"/>
      <c r="F1909" s="33"/>
      <c r="G1909" s="33"/>
      <c r="H1909" s="33"/>
      <c r="I1909" s="33"/>
      <c r="J1909" s="33"/>
      <c r="K1909" s="35"/>
      <c r="L1909" s="35"/>
      <c r="M1909" s="35"/>
      <c r="N1909" s="35"/>
      <c r="O1909" s="35"/>
      <c r="P1909" s="35"/>
      <c r="Q1909" s="35"/>
      <c r="R1909" s="35"/>
      <c r="S1909" s="35"/>
      <c r="T1909" s="35"/>
      <c r="U1909" s="35"/>
      <c r="V1909" s="35"/>
      <c r="W1909" s="35"/>
      <c r="X1909" s="35"/>
      <c r="Y1909" s="35"/>
      <c r="Z1909" s="35"/>
      <c r="AA1909" s="35"/>
      <c r="AB1909" s="35"/>
      <c r="AC1909" s="35"/>
      <c r="AD1909" s="35"/>
      <c r="AE1909" s="35"/>
    </row>
    <row r="1910">
      <c r="A1910" s="30"/>
      <c r="B1910" s="35"/>
      <c r="C1910" s="35"/>
      <c r="D1910" s="35"/>
      <c r="E1910" s="35"/>
      <c r="F1910" s="33"/>
      <c r="G1910" s="33"/>
      <c r="H1910" s="33"/>
      <c r="I1910" s="33"/>
      <c r="J1910" s="33"/>
      <c r="K1910" s="35"/>
      <c r="L1910" s="35"/>
      <c r="M1910" s="35"/>
      <c r="N1910" s="35"/>
      <c r="O1910" s="35"/>
      <c r="P1910" s="35"/>
      <c r="Q1910" s="35"/>
      <c r="R1910" s="35"/>
      <c r="S1910" s="35"/>
      <c r="T1910" s="35"/>
      <c r="U1910" s="35"/>
      <c r="V1910" s="35"/>
      <c r="W1910" s="35"/>
      <c r="X1910" s="35"/>
      <c r="Y1910" s="35"/>
      <c r="Z1910" s="35"/>
      <c r="AA1910" s="35"/>
      <c r="AB1910" s="35"/>
      <c r="AC1910" s="35"/>
      <c r="AD1910" s="35"/>
      <c r="AE1910" s="35"/>
    </row>
    <row r="1911">
      <c r="A1911" s="30"/>
      <c r="B1911" s="35"/>
      <c r="C1911" s="35"/>
      <c r="D1911" s="35"/>
      <c r="E1911" s="35"/>
      <c r="F1911" s="33"/>
      <c r="G1911" s="33"/>
      <c r="H1911" s="33"/>
      <c r="I1911" s="33"/>
      <c r="J1911" s="33"/>
      <c r="K1911" s="35"/>
      <c r="L1911" s="35"/>
      <c r="M1911" s="35"/>
      <c r="N1911" s="35"/>
      <c r="O1911" s="35"/>
      <c r="P1911" s="35"/>
      <c r="Q1911" s="35"/>
      <c r="R1911" s="35"/>
      <c r="S1911" s="35"/>
      <c r="T1911" s="35"/>
      <c r="U1911" s="35"/>
      <c r="V1911" s="35"/>
      <c r="W1911" s="35"/>
      <c r="X1911" s="35"/>
      <c r="Y1911" s="35"/>
      <c r="Z1911" s="35"/>
      <c r="AA1911" s="35"/>
      <c r="AB1911" s="35"/>
      <c r="AC1911" s="35"/>
      <c r="AD1911" s="35"/>
      <c r="AE1911" s="35"/>
    </row>
    <row r="1912">
      <c r="A1912" s="30"/>
      <c r="B1912" s="35"/>
      <c r="C1912" s="35"/>
      <c r="D1912" s="35"/>
      <c r="E1912" s="35"/>
      <c r="F1912" s="33"/>
      <c r="G1912" s="33"/>
      <c r="H1912" s="33"/>
      <c r="I1912" s="33"/>
      <c r="J1912" s="33"/>
      <c r="K1912" s="35"/>
      <c r="L1912" s="35"/>
      <c r="M1912" s="35"/>
      <c r="N1912" s="35"/>
      <c r="O1912" s="35"/>
      <c r="P1912" s="35"/>
      <c r="Q1912" s="35"/>
      <c r="R1912" s="35"/>
      <c r="S1912" s="35"/>
      <c r="T1912" s="35"/>
      <c r="U1912" s="35"/>
      <c r="V1912" s="35"/>
      <c r="W1912" s="35"/>
      <c r="X1912" s="35"/>
      <c r="Y1912" s="35"/>
      <c r="Z1912" s="35"/>
      <c r="AA1912" s="35"/>
      <c r="AB1912" s="35"/>
      <c r="AC1912" s="35"/>
      <c r="AD1912" s="35"/>
      <c r="AE1912" s="35"/>
    </row>
    <row r="1913">
      <c r="A1913" s="30"/>
      <c r="B1913" s="35"/>
      <c r="C1913" s="35"/>
      <c r="D1913" s="35"/>
      <c r="E1913" s="35"/>
      <c r="F1913" s="33"/>
      <c r="G1913" s="33"/>
      <c r="H1913" s="33"/>
      <c r="I1913" s="33"/>
      <c r="J1913" s="33"/>
      <c r="K1913" s="35"/>
      <c r="L1913" s="35"/>
      <c r="M1913" s="35"/>
      <c r="N1913" s="35"/>
      <c r="O1913" s="35"/>
      <c r="P1913" s="35"/>
      <c r="Q1913" s="35"/>
      <c r="R1913" s="35"/>
      <c r="S1913" s="35"/>
      <c r="T1913" s="35"/>
      <c r="U1913" s="35"/>
      <c r="V1913" s="35"/>
      <c r="W1913" s="35"/>
      <c r="X1913" s="35"/>
      <c r="Y1913" s="35"/>
      <c r="Z1913" s="35"/>
      <c r="AA1913" s="35"/>
      <c r="AB1913" s="35"/>
      <c r="AC1913" s="35"/>
      <c r="AD1913" s="35"/>
      <c r="AE1913" s="35"/>
    </row>
    <row r="1914">
      <c r="A1914" s="30"/>
      <c r="B1914" s="35"/>
      <c r="C1914" s="35"/>
      <c r="D1914" s="35"/>
      <c r="E1914" s="35"/>
      <c r="F1914" s="33"/>
      <c r="G1914" s="33"/>
      <c r="H1914" s="33"/>
      <c r="I1914" s="33"/>
      <c r="J1914" s="33"/>
      <c r="K1914" s="35"/>
      <c r="L1914" s="35"/>
      <c r="M1914" s="35"/>
      <c r="N1914" s="35"/>
      <c r="O1914" s="35"/>
      <c r="P1914" s="35"/>
      <c r="Q1914" s="35"/>
      <c r="R1914" s="35"/>
      <c r="S1914" s="35"/>
      <c r="T1914" s="35"/>
      <c r="U1914" s="35"/>
      <c r="V1914" s="35"/>
      <c r="W1914" s="35"/>
      <c r="X1914" s="35"/>
      <c r="Y1914" s="35"/>
      <c r="Z1914" s="35"/>
      <c r="AA1914" s="35"/>
      <c r="AB1914" s="35"/>
      <c r="AC1914" s="35"/>
      <c r="AD1914" s="35"/>
      <c r="AE1914" s="35"/>
    </row>
    <row r="1915">
      <c r="A1915" s="30"/>
      <c r="B1915" s="35"/>
      <c r="C1915" s="35"/>
      <c r="D1915" s="35"/>
      <c r="E1915" s="35"/>
      <c r="F1915" s="33"/>
      <c r="G1915" s="33"/>
      <c r="H1915" s="33"/>
      <c r="I1915" s="33"/>
      <c r="J1915" s="33"/>
      <c r="K1915" s="35"/>
      <c r="L1915" s="35"/>
      <c r="M1915" s="35"/>
      <c r="N1915" s="35"/>
      <c r="O1915" s="35"/>
      <c r="P1915" s="35"/>
      <c r="Q1915" s="35"/>
      <c r="R1915" s="35"/>
      <c r="S1915" s="35"/>
      <c r="T1915" s="35"/>
      <c r="U1915" s="35"/>
      <c r="V1915" s="35"/>
      <c r="W1915" s="35"/>
      <c r="X1915" s="35"/>
      <c r="Y1915" s="35"/>
      <c r="Z1915" s="35"/>
      <c r="AA1915" s="35"/>
      <c r="AB1915" s="35"/>
      <c r="AC1915" s="35"/>
      <c r="AD1915" s="35"/>
      <c r="AE1915" s="35"/>
    </row>
    <row r="1916">
      <c r="A1916" s="30"/>
      <c r="B1916" s="35"/>
      <c r="C1916" s="35"/>
      <c r="D1916" s="35"/>
      <c r="E1916" s="35"/>
      <c r="F1916" s="33"/>
      <c r="G1916" s="33"/>
      <c r="H1916" s="33"/>
      <c r="I1916" s="33"/>
      <c r="J1916" s="33"/>
      <c r="K1916" s="35"/>
      <c r="L1916" s="35"/>
      <c r="M1916" s="35"/>
      <c r="N1916" s="35"/>
      <c r="O1916" s="35"/>
      <c r="P1916" s="35"/>
      <c r="Q1916" s="35"/>
      <c r="R1916" s="35"/>
      <c r="S1916" s="35"/>
      <c r="T1916" s="35"/>
      <c r="U1916" s="35"/>
      <c r="V1916" s="35"/>
      <c r="W1916" s="35"/>
      <c r="X1916" s="35"/>
      <c r="Y1916" s="35"/>
      <c r="Z1916" s="35"/>
      <c r="AA1916" s="35"/>
      <c r="AB1916" s="35"/>
      <c r="AC1916" s="35"/>
      <c r="AD1916" s="35"/>
      <c r="AE1916" s="35"/>
    </row>
    <row r="1917">
      <c r="A1917" s="30"/>
      <c r="B1917" s="35"/>
      <c r="C1917" s="35"/>
      <c r="D1917" s="35"/>
      <c r="E1917" s="35"/>
      <c r="F1917" s="33"/>
      <c r="G1917" s="33"/>
      <c r="H1917" s="33"/>
      <c r="I1917" s="33"/>
      <c r="J1917" s="33"/>
      <c r="K1917" s="35"/>
      <c r="L1917" s="35"/>
      <c r="M1917" s="35"/>
      <c r="N1917" s="35"/>
      <c r="O1917" s="35"/>
      <c r="P1917" s="35"/>
      <c r="Q1917" s="35"/>
      <c r="R1917" s="35"/>
      <c r="S1917" s="35"/>
      <c r="T1917" s="35"/>
      <c r="U1917" s="35"/>
      <c r="V1917" s="35"/>
      <c r="W1917" s="35"/>
      <c r="X1917" s="35"/>
      <c r="Y1917" s="35"/>
      <c r="Z1917" s="35"/>
      <c r="AA1917" s="35"/>
      <c r="AB1917" s="35"/>
      <c r="AC1917" s="35"/>
      <c r="AD1917" s="35"/>
      <c r="AE1917" s="35"/>
    </row>
    <row r="1918">
      <c r="A1918" s="30"/>
      <c r="B1918" s="35"/>
      <c r="C1918" s="35"/>
      <c r="D1918" s="35"/>
      <c r="E1918" s="35"/>
      <c r="F1918" s="33"/>
      <c r="G1918" s="33"/>
      <c r="H1918" s="33"/>
      <c r="I1918" s="33"/>
      <c r="J1918" s="33"/>
      <c r="K1918" s="35"/>
      <c r="L1918" s="35"/>
      <c r="M1918" s="35"/>
      <c r="N1918" s="35"/>
      <c r="O1918" s="35"/>
      <c r="P1918" s="35"/>
      <c r="Q1918" s="35"/>
      <c r="R1918" s="35"/>
      <c r="S1918" s="35"/>
      <c r="T1918" s="35"/>
      <c r="U1918" s="35"/>
      <c r="V1918" s="35"/>
      <c r="W1918" s="35"/>
      <c r="X1918" s="35"/>
      <c r="Y1918" s="35"/>
      <c r="Z1918" s="35"/>
      <c r="AA1918" s="35"/>
      <c r="AB1918" s="35"/>
      <c r="AC1918" s="35"/>
      <c r="AD1918" s="35"/>
      <c r="AE1918" s="35"/>
    </row>
    <row r="1919">
      <c r="A1919" s="30"/>
      <c r="B1919" s="35"/>
      <c r="C1919" s="35"/>
      <c r="D1919" s="35"/>
      <c r="E1919" s="35"/>
      <c r="F1919" s="33"/>
      <c r="G1919" s="33"/>
      <c r="H1919" s="33"/>
      <c r="I1919" s="33"/>
      <c r="J1919" s="33"/>
      <c r="K1919" s="35"/>
      <c r="L1919" s="35"/>
      <c r="M1919" s="35"/>
      <c r="N1919" s="35"/>
      <c r="O1919" s="35"/>
      <c r="P1919" s="35"/>
      <c r="Q1919" s="35"/>
      <c r="R1919" s="35"/>
      <c r="S1919" s="35"/>
      <c r="T1919" s="35"/>
      <c r="U1919" s="35"/>
      <c r="V1919" s="35"/>
      <c r="W1919" s="35"/>
      <c r="X1919" s="35"/>
      <c r="Y1919" s="35"/>
      <c r="Z1919" s="35"/>
      <c r="AA1919" s="35"/>
      <c r="AB1919" s="35"/>
      <c r="AC1919" s="35"/>
      <c r="AD1919" s="35"/>
      <c r="AE1919" s="35"/>
    </row>
    <row r="1920">
      <c r="A1920" s="30"/>
      <c r="B1920" s="35"/>
      <c r="C1920" s="35"/>
      <c r="D1920" s="35"/>
      <c r="E1920" s="35"/>
      <c r="F1920" s="33"/>
      <c r="G1920" s="33"/>
      <c r="H1920" s="33"/>
      <c r="I1920" s="33"/>
      <c r="J1920" s="33"/>
      <c r="K1920" s="35"/>
      <c r="L1920" s="35"/>
      <c r="M1920" s="35"/>
      <c r="N1920" s="35"/>
      <c r="O1920" s="35"/>
      <c r="P1920" s="35"/>
      <c r="Q1920" s="35"/>
      <c r="R1920" s="35"/>
      <c r="S1920" s="35"/>
      <c r="T1920" s="35"/>
      <c r="U1920" s="35"/>
      <c r="V1920" s="35"/>
      <c r="W1920" s="35"/>
      <c r="X1920" s="35"/>
      <c r="Y1920" s="35"/>
      <c r="Z1920" s="35"/>
      <c r="AA1920" s="35"/>
      <c r="AB1920" s="35"/>
      <c r="AC1920" s="35"/>
      <c r="AD1920" s="35"/>
      <c r="AE1920" s="35"/>
    </row>
    <row r="1921">
      <c r="A1921" s="30"/>
      <c r="B1921" s="35"/>
      <c r="C1921" s="35"/>
      <c r="D1921" s="35"/>
      <c r="E1921" s="35"/>
      <c r="F1921" s="33"/>
      <c r="G1921" s="33"/>
      <c r="H1921" s="33"/>
      <c r="I1921" s="33"/>
      <c r="J1921" s="33"/>
      <c r="K1921" s="35"/>
      <c r="L1921" s="35"/>
      <c r="M1921" s="35"/>
      <c r="N1921" s="35"/>
      <c r="O1921" s="35"/>
      <c r="P1921" s="35"/>
      <c r="Q1921" s="35"/>
      <c r="R1921" s="35"/>
      <c r="S1921" s="35"/>
      <c r="T1921" s="35"/>
      <c r="U1921" s="35"/>
      <c r="V1921" s="35"/>
      <c r="W1921" s="35"/>
      <c r="X1921" s="35"/>
      <c r="Y1921" s="35"/>
      <c r="Z1921" s="35"/>
      <c r="AA1921" s="35"/>
      <c r="AB1921" s="35"/>
      <c r="AC1921" s="35"/>
      <c r="AD1921" s="35"/>
      <c r="AE1921" s="35"/>
    </row>
    <row r="1922">
      <c r="A1922" s="30"/>
      <c r="B1922" s="35"/>
      <c r="C1922" s="35"/>
      <c r="D1922" s="35"/>
      <c r="E1922" s="35"/>
      <c r="F1922" s="33"/>
      <c r="G1922" s="33"/>
      <c r="H1922" s="33"/>
      <c r="I1922" s="33"/>
      <c r="J1922" s="33"/>
      <c r="K1922" s="35"/>
      <c r="L1922" s="35"/>
      <c r="M1922" s="35"/>
      <c r="N1922" s="35"/>
      <c r="O1922" s="35"/>
      <c r="P1922" s="35"/>
      <c r="Q1922" s="35"/>
      <c r="R1922" s="35"/>
      <c r="S1922" s="35"/>
      <c r="T1922" s="35"/>
      <c r="U1922" s="35"/>
      <c r="V1922" s="35"/>
      <c r="W1922" s="35"/>
      <c r="X1922" s="35"/>
      <c r="Y1922" s="35"/>
      <c r="Z1922" s="35"/>
      <c r="AA1922" s="35"/>
      <c r="AB1922" s="35"/>
      <c r="AC1922" s="35"/>
      <c r="AD1922" s="35"/>
      <c r="AE1922" s="35"/>
    </row>
    <row r="1923">
      <c r="A1923" s="30"/>
      <c r="B1923" s="35"/>
      <c r="C1923" s="35"/>
      <c r="D1923" s="35"/>
      <c r="E1923" s="35"/>
      <c r="F1923" s="33"/>
      <c r="G1923" s="33"/>
      <c r="H1923" s="33"/>
      <c r="I1923" s="33"/>
      <c r="J1923" s="33"/>
      <c r="K1923" s="35"/>
      <c r="L1923" s="35"/>
      <c r="M1923" s="35"/>
      <c r="N1923" s="35"/>
      <c r="O1923" s="35"/>
      <c r="P1923" s="35"/>
      <c r="Q1923" s="35"/>
      <c r="R1923" s="35"/>
      <c r="S1923" s="35"/>
      <c r="T1923" s="35"/>
      <c r="U1923" s="35"/>
      <c r="V1923" s="35"/>
      <c r="W1923" s="35"/>
      <c r="X1923" s="35"/>
      <c r="Y1923" s="35"/>
      <c r="Z1923" s="35"/>
      <c r="AA1923" s="35"/>
      <c r="AB1923" s="35"/>
      <c r="AC1923" s="35"/>
      <c r="AD1923" s="35"/>
      <c r="AE1923" s="35"/>
    </row>
    <row r="1924">
      <c r="A1924" s="30"/>
      <c r="B1924" s="35"/>
      <c r="C1924" s="35"/>
      <c r="D1924" s="35"/>
      <c r="E1924" s="35"/>
      <c r="F1924" s="33"/>
      <c r="G1924" s="33"/>
      <c r="H1924" s="33"/>
      <c r="I1924" s="33"/>
      <c r="J1924" s="33"/>
      <c r="K1924" s="35"/>
      <c r="L1924" s="35"/>
      <c r="M1924" s="35"/>
      <c r="N1924" s="35"/>
      <c r="O1924" s="35"/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5"/>
      <c r="AA1924" s="35"/>
      <c r="AB1924" s="35"/>
      <c r="AC1924" s="35"/>
      <c r="AD1924" s="35"/>
      <c r="AE1924" s="35"/>
    </row>
    <row r="1925">
      <c r="A1925" s="30"/>
      <c r="B1925" s="35"/>
      <c r="C1925" s="35"/>
      <c r="D1925" s="35"/>
      <c r="E1925" s="35"/>
      <c r="F1925" s="33"/>
      <c r="G1925" s="33"/>
      <c r="H1925" s="33"/>
      <c r="I1925" s="33"/>
      <c r="J1925" s="33"/>
      <c r="K1925" s="35"/>
      <c r="L1925" s="35"/>
      <c r="M1925" s="35"/>
      <c r="N1925" s="35"/>
      <c r="O1925" s="35"/>
      <c r="P1925" s="35"/>
      <c r="Q1925" s="35"/>
      <c r="R1925" s="35"/>
      <c r="S1925" s="35"/>
      <c r="T1925" s="35"/>
      <c r="U1925" s="35"/>
      <c r="V1925" s="35"/>
      <c r="W1925" s="35"/>
      <c r="X1925" s="35"/>
      <c r="Y1925" s="35"/>
      <c r="Z1925" s="35"/>
      <c r="AA1925" s="35"/>
      <c r="AB1925" s="35"/>
      <c r="AC1925" s="35"/>
      <c r="AD1925" s="35"/>
      <c r="AE1925" s="35"/>
    </row>
    <row r="1926">
      <c r="A1926" s="30"/>
      <c r="B1926" s="35"/>
      <c r="C1926" s="35"/>
      <c r="D1926" s="35"/>
      <c r="E1926" s="35"/>
      <c r="F1926" s="33"/>
      <c r="G1926" s="33"/>
      <c r="H1926" s="33"/>
      <c r="I1926" s="33"/>
      <c r="J1926" s="33"/>
      <c r="K1926" s="35"/>
      <c r="L1926" s="35"/>
      <c r="M1926" s="35"/>
      <c r="N1926" s="35"/>
      <c r="O1926" s="35"/>
      <c r="P1926" s="35"/>
      <c r="Q1926" s="35"/>
      <c r="R1926" s="35"/>
      <c r="S1926" s="35"/>
      <c r="T1926" s="35"/>
      <c r="U1926" s="35"/>
      <c r="V1926" s="35"/>
      <c r="W1926" s="35"/>
      <c r="X1926" s="35"/>
      <c r="Y1926" s="35"/>
      <c r="Z1926" s="35"/>
      <c r="AA1926" s="35"/>
      <c r="AB1926" s="35"/>
      <c r="AC1926" s="35"/>
      <c r="AD1926" s="35"/>
      <c r="AE1926" s="35"/>
    </row>
    <row r="1927">
      <c r="A1927" s="30"/>
      <c r="B1927" s="35"/>
      <c r="C1927" s="35"/>
      <c r="D1927" s="35"/>
      <c r="E1927" s="35"/>
      <c r="F1927" s="33"/>
      <c r="G1927" s="33"/>
      <c r="H1927" s="33"/>
      <c r="I1927" s="33"/>
      <c r="J1927" s="33"/>
      <c r="K1927" s="35"/>
      <c r="L1927" s="35"/>
      <c r="M1927" s="35"/>
      <c r="N1927" s="35"/>
      <c r="O1927" s="35"/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5"/>
      <c r="AA1927" s="35"/>
      <c r="AB1927" s="35"/>
      <c r="AC1927" s="35"/>
      <c r="AD1927" s="35"/>
      <c r="AE1927" s="35"/>
    </row>
    <row r="1928">
      <c r="A1928" s="30"/>
      <c r="B1928" s="35"/>
      <c r="C1928" s="35"/>
      <c r="D1928" s="35"/>
      <c r="E1928" s="35"/>
      <c r="F1928" s="33"/>
      <c r="G1928" s="33"/>
      <c r="H1928" s="33"/>
      <c r="I1928" s="33"/>
      <c r="J1928" s="33"/>
      <c r="K1928" s="35"/>
      <c r="L1928" s="35"/>
      <c r="M1928" s="35"/>
      <c r="N1928" s="35"/>
      <c r="O1928" s="35"/>
      <c r="P1928" s="35"/>
      <c r="Q1928" s="35"/>
      <c r="R1928" s="35"/>
      <c r="S1928" s="35"/>
      <c r="T1928" s="35"/>
      <c r="U1928" s="35"/>
      <c r="V1928" s="35"/>
      <c r="W1928" s="35"/>
      <c r="X1928" s="35"/>
      <c r="Y1928" s="35"/>
      <c r="Z1928" s="35"/>
      <c r="AA1928" s="35"/>
      <c r="AB1928" s="35"/>
      <c r="AC1928" s="35"/>
      <c r="AD1928" s="35"/>
      <c r="AE1928" s="35"/>
    </row>
    <row r="1929">
      <c r="A1929" s="30"/>
      <c r="B1929" s="35"/>
      <c r="C1929" s="35"/>
      <c r="D1929" s="35"/>
      <c r="E1929" s="35"/>
      <c r="F1929" s="33"/>
      <c r="G1929" s="33"/>
      <c r="H1929" s="33"/>
      <c r="I1929" s="33"/>
      <c r="J1929" s="33"/>
      <c r="K1929" s="35"/>
      <c r="L1929" s="35"/>
      <c r="M1929" s="35"/>
      <c r="N1929" s="35"/>
      <c r="O1929" s="35"/>
      <c r="P1929" s="35"/>
      <c r="Q1929" s="35"/>
      <c r="R1929" s="35"/>
      <c r="S1929" s="35"/>
      <c r="T1929" s="35"/>
      <c r="U1929" s="35"/>
      <c r="V1929" s="35"/>
      <c r="W1929" s="35"/>
      <c r="X1929" s="35"/>
      <c r="Y1929" s="35"/>
      <c r="Z1929" s="35"/>
      <c r="AA1929" s="35"/>
      <c r="AB1929" s="35"/>
      <c r="AC1929" s="35"/>
      <c r="AD1929" s="35"/>
      <c r="AE1929" s="35"/>
    </row>
    <row r="1930">
      <c r="A1930" s="30"/>
      <c r="B1930" s="35"/>
      <c r="C1930" s="35"/>
      <c r="D1930" s="35"/>
      <c r="E1930" s="35"/>
      <c r="F1930" s="33"/>
      <c r="G1930" s="33"/>
      <c r="H1930" s="33"/>
      <c r="I1930" s="33"/>
      <c r="J1930" s="33"/>
      <c r="K1930" s="35"/>
      <c r="L1930" s="35"/>
      <c r="M1930" s="35"/>
      <c r="N1930" s="35"/>
      <c r="O1930" s="35"/>
      <c r="P1930" s="35"/>
      <c r="Q1930" s="35"/>
      <c r="R1930" s="35"/>
      <c r="S1930" s="35"/>
      <c r="T1930" s="35"/>
      <c r="U1930" s="35"/>
      <c r="V1930" s="35"/>
      <c r="W1930" s="35"/>
      <c r="X1930" s="35"/>
      <c r="Y1930" s="35"/>
      <c r="Z1930" s="35"/>
      <c r="AA1930" s="35"/>
      <c r="AB1930" s="35"/>
      <c r="AC1930" s="35"/>
      <c r="AD1930" s="35"/>
      <c r="AE1930" s="35"/>
    </row>
    <row r="1931">
      <c r="A1931" s="30"/>
      <c r="B1931" s="35"/>
      <c r="C1931" s="35"/>
      <c r="D1931" s="35"/>
      <c r="E1931" s="35"/>
      <c r="F1931" s="33"/>
      <c r="G1931" s="33"/>
      <c r="H1931" s="33"/>
      <c r="I1931" s="33"/>
      <c r="J1931" s="33"/>
      <c r="K1931" s="35"/>
      <c r="L1931" s="35"/>
      <c r="M1931" s="35"/>
      <c r="N1931" s="35"/>
      <c r="O1931" s="35"/>
      <c r="P1931" s="35"/>
      <c r="Q1931" s="35"/>
      <c r="R1931" s="35"/>
      <c r="S1931" s="35"/>
      <c r="T1931" s="35"/>
      <c r="U1931" s="35"/>
      <c r="V1931" s="35"/>
      <c r="W1931" s="35"/>
      <c r="X1931" s="35"/>
      <c r="Y1931" s="35"/>
      <c r="Z1931" s="35"/>
      <c r="AA1931" s="35"/>
      <c r="AB1931" s="35"/>
      <c r="AC1931" s="35"/>
      <c r="AD1931" s="35"/>
      <c r="AE1931" s="35"/>
    </row>
    <row r="1932">
      <c r="A1932" s="30"/>
      <c r="B1932" s="35"/>
      <c r="C1932" s="35"/>
      <c r="D1932" s="35"/>
      <c r="E1932" s="35"/>
      <c r="F1932" s="33"/>
      <c r="G1932" s="33"/>
      <c r="H1932" s="33"/>
      <c r="I1932" s="33"/>
      <c r="J1932" s="33"/>
      <c r="K1932" s="35"/>
      <c r="L1932" s="35"/>
      <c r="M1932" s="35"/>
      <c r="N1932" s="35"/>
      <c r="O1932" s="35"/>
      <c r="P1932" s="35"/>
      <c r="Q1932" s="35"/>
      <c r="R1932" s="35"/>
      <c r="S1932" s="35"/>
      <c r="T1932" s="35"/>
      <c r="U1932" s="35"/>
      <c r="V1932" s="35"/>
      <c r="W1932" s="35"/>
      <c r="X1932" s="35"/>
      <c r="Y1932" s="35"/>
      <c r="Z1932" s="35"/>
      <c r="AA1932" s="35"/>
      <c r="AB1932" s="35"/>
      <c r="AC1932" s="35"/>
      <c r="AD1932" s="35"/>
      <c r="AE1932" s="35"/>
    </row>
    <row r="1933">
      <c r="A1933" s="30"/>
      <c r="B1933" s="35"/>
      <c r="C1933" s="35"/>
      <c r="D1933" s="35"/>
      <c r="E1933" s="35"/>
      <c r="F1933" s="33"/>
      <c r="G1933" s="33"/>
      <c r="H1933" s="33"/>
      <c r="I1933" s="33"/>
      <c r="J1933" s="33"/>
      <c r="K1933" s="35"/>
      <c r="L1933" s="35"/>
      <c r="M1933" s="35"/>
      <c r="N1933" s="35"/>
      <c r="O1933" s="35"/>
      <c r="P1933" s="35"/>
      <c r="Q1933" s="35"/>
      <c r="R1933" s="35"/>
      <c r="S1933" s="35"/>
      <c r="T1933" s="35"/>
      <c r="U1933" s="35"/>
      <c r="V1933" s="35"/>
      <c r="W1933" s="35"/>
      <c r="X1933" s="35"/>
      <c r="Y1933" s="35"/>
      <c r="Z1933" s="35"/>
      <c r="AA1933" s="35"/>
      <c r="AB1933" s="35"/>
      <c r="AC1933" s="35"/>
      <c r="AD1933" s="35"/>
      <c r="AE1933" s="35"/>
    </row>
    <row r="1934">
      <c r="A1934" s="30"/>
      <c r="B1934" s="35"/>
      <c r="C1934" s="35"/>
      <c r="D1934" s="35"/>
      <c r="E1934" s="35"/>
      <c r="F1934" s="33"/>
      <c r="G1934" s="33"/>
      <c r="H1934" s="33"/>
      <c r="I1934" s="33"/>
      <c r="J1934" s="33"/>
      <c r="K1934" s="35"/>
      <c r="L1934" s="35"/>
      <c r="M1934" s="35"/>
      <c r="N1934" s="35"/>
      <c r="O1934" s="35"/>
      <c r="P1934" s="35"/>
      <c r="Q1934" s="35"/>
      <c r="R1934" s="35"/>
      <c r="S1934" s="35"/>
      <c r="T1934" s="35"/>
      <c r="U1934" s="35"/>
      <c r="V1934" s="35"/>
      <c r="W1934" s="35"/>
      <c r="X1934" s="35"/>
      <c r="Y1934" s="35"/>
      <c r="Z1934" s="35"/>
      <c r="AA1934" s="35"/>
      <c r="AB1934" s="35"/>
      <c r="AC1934" s="35"/>
      <c r="AD1934" s="35"/>
      <c r="AE1934" s="35"/>
    </row>
    <row r="1935">
      <c r="A1935" s="30"/>
      <c r="B1935" s="35"/>
      <c r="C1935" s="35"/>
      <c r="D1935" s="35"/>
      <c r="E1935" s="35"/>
      <c r="F1935" s="33"/>
      <c r="G1935" s="33"/>
      <c r="H1935" s="33"/>
      <c r="I1935" s="33"/>
      <c r="J1935" s="33"/>
      <c r="K1935" s="35"/>
      <c r="L1935" s="35"/>
      <c r="M1935" s="35"/>
      <c r="N1935" s="35"/>
      <c r="O1935" s="35"/>
      <c r="P1935" s="35"/>
      <c r="Q1935" s="35"/>
      <c r="R1935" s="35"/>
      <c r="S1935" s="35"/>
      <c r="T1935" s="35"/>
      <c r="U1935" s="35"/>
      <c r="V1935" s="35"/>
      <c r="W1935" s="35"/>
      <c r="X1935" s="35"/>
      <c r="Y1935" s="35"/>
      <c r="Z1935" s="35"/>
      <c r="AA1935" s="35"/>
      <c r="AB1935" s="35"/>
      <c r="AC1935" s="35"/>
      <c r="AD1935" s="35"/>
      <c r="AE1935" s="35"/>
    </row>
    <row r="1936">
      <c r="A1936" s="30"/>
      <c r="B1936" s="35"/>
      <c r="C1936" s="35"/>
      <c r="D1936" s="35"/>
      <c r="E1936" s="35"/>
      <c r="F1936" s="33"/>
      <c r="G1936" s="33"/>
      <c r="H1936" s="33"/>
      <c r="I1936" s="33"/>
      <c r="J1936" s="33"/>
      <c r="K1936" s="35"/>
      <c r="L1936" s="35"/>
      <c r="M1936" s="35"/>
      <c r="N1936" s="35"/>
      <c r="O1936" s="35"/>
      <c r="P1936" s="35"/>
      <c r="Q1936" s="35"/>
      <c r="R1936" s="35"/>
      <c r="S1936" s="35"/>
      <c r="T1936" s="35"/>
      <c r="U1936" s="35"/>
      <c r="V1936" s="35"/>
      <c r="W1936" s="35"/>
      <c r="X1936" s="35"/>
      <c r="Y1936" s="35"/>
      <c r="Z1936" s="35"/>
      <c r="AA1936" s="35"/>
      <c r="AB1936" s="35"/>
      <c r="AC1936" s="35"/>
      <c r="AD1936" s="35"/>
      <c r="AE1936" s="35"/>
    </row>
    <row r="1937">
      <c r="A1937" s="30"/>
      <c r="B1937" s="35"/>
      <c r="C1937" s="35"/>
      <c r="D1937" s="35"/>
      <c r="E1937" s="35"/>
      <c r="F1937" s="33"/>
      <c r="G1937" s="33"/>
      <c r="H1937" s="33"/>
      <c r="I1937" s="33"/>
      <c r="J1937" s="33"/>
      <c r="K1937" s="35"/>
      <c r="L1937" s="35"/>
      <c r="M1937" s="35"/>
      <c r="N1937" s="35"/>
      <c r="O1937" s="35"/>
      <c r="P1937" s="35"/>
      <c r="Q1937" s="35"/>
      <c r="R1937" s="35"/>
      <c r="S1937" s="35"/>
      <c r="T1937" s="35"/>
      <c r="U1937" s="35"/>
      <c r="V1937" s="35"/>
      <c r="W1937" s="35"/>
      <c r="X1937" s="35"/>
      <c r="Y1937" s="35"/>
      <c r="Z1937" s="35"/>
      <c r="AA1937" s="35"/>
      <c r="AB1937" s="35"/>
      <c r="AC1937" s="35"/>
      <c r="AD1937" s="35"/>
      <c r="AE1937" s="35"/>
    </row>
    <row r="1938">
      <c r="A1938" s="30"/>
      <c r="B1938" s="35"/>
      <c r="C1938" s="35"/>
      <c r="D1938" s="35"/>
      <c r="E1938" s="35"/>
      <c r="F1938" s="33"/>
      <c r="G1938" s="33"/>
      <c r="H1938" s="33"/>
      <c r="I1938" s="33"/>
      <c r="J1938" s="33"/>
      <c r="K1938" s="35"/>
      <c r="L1938" s="35"/>
      <c r="M1938" s="35"/>
      <c r="N1938" s="35"/>
      <c r="O1938" s="35"/>
      <c r="P1938" s="35"/>
      <c r="Q1938" s="35"/>
      <c r="R1938" s="35"/>
      <c r="S1938" s="35"/>
      <c r="T1938" s="35"/>
      <c r="U1938" s="35"/>
      <c r="V1938" s="35"/>
      <c r="W1938" s="35"/>
      <c r="X1938" s="35"/>
      <c r="Y1938" s="35"/>
      <c r="Z1938" s="35"/>
      <c r="AA1938" s="35"/>
      <c r="AB1938" s="35"/>
      <c r="AC1938" s="35"/>
      <c r="AD1938" s="35"/>
      <c r="AE1938" s="35"/>
    </row>
    <row r="1939">
      <c r="A1939" s="30"/>
      <c r="B1939" s="35"/>
      <c r="C1939" s="35"/>
      <c r="D1939" s="35"/>
      <c r="E1939" s="35"/>
      <c r="F1939" s="33"/>
      <c r="G1939" s="33"/>
      <c r="H1939" s="33"/>
      <c r="I1939" s="33"/>
      <c r="J1939" s="33"/>
      <c r="K1939" s="35"/>
      <c r="L1939" s="35"/>
      <c r="M1939" s="35"/>
      <c r="N1939" s="35"/>
      <c r="O1939" s="35"/>
      <c r="P1939" s="35"/>
      <c r="Q1939" s="35"/>
      <c r="R1939" s="35"/>
      <c r="S1939" s="35"/>
      <c r="T1939" s="35"/>
      <c r="U1939" s="35"/>
      <c r="V1939" s="35"/>
      <c r="W1939" s="35"/>
      <c r="X1939" s="35"/>
      <c r="Y1939" s="35"/>
      <c r="Z1939" s="35"/>
      <c r="AA1939" s="35"/>
      <c r="AB1939" s="35"/>
      <c r="AC1939" s="35"/>
      <c r="AD1939" s="35"/>
      <c r="AE1939" s="35"/>
    </row>
    <row r="1940">
      <c r="A1940" s="30"/>
      <c r="B1940" s="35"/>
      <c r="C1940" s="35"/>
      <c r="D1940" s="35"/>
      <c r="E1940" s="35"/>
      <c r="F1940" s="33"/>
      <c r="G1940" s="33"/>
      <c r="H1940" s="33"/>
      <c r="I1940" s="33"/>
      <c r="J1940" s="33"/>
      <c r="K1940" s="35"/>
      <c r="L1940" s="35"/>
      <c r="M1940" s="35"/>
      <c r="N1940" s="35"/>
      <c r="O1940" s="35"/>
      <c r="P1940" s="35"/>
      <c r="Q1940" s="35"/>
      <c r="R1940" s="35"/>
      <c r="S1940" s="35"/>
      <c r="T1940" s="35"/>
      <c r="U1940" s="35"/>
      <c r="V1940" s="35"/>
      <c r="W1940" s="35"/>
      <c r="X1940" s="35"/>
      <c r="Y1940" s="35"/>
      <c r="Z1940" s="35"/>
      <c r="AA1940" s="35"/>
      <c r="AB1940" s="35"/>
      <c r="AC1940" s="35"/>
      <c r="AD1940" s="35"/>
      <c r="AE1940" s="35"/>
    </row>
    <row r="1941">
      <c r="A1941" s="30"/>
      <c r="B1941" s="35"/>
      <c r="C1941" s="35"/>
      <c r="D1941" s="35"/>
      <c r="E1941" s="35"/>
      <c r="F1941" s="33"/>
      <c r="G1941" s="33"/>
      <c r="H1941" s="33"/>
      <c r="I1941" s="33"/>
      <c r="J1941" s="33"/>
      <c r="K1941" s="35"/>
      <c r="L1941" s="35"/>
      <c r="M1941" s="35"/>
      <c r="N1941" s="35"/>
      <c r="O1941" s="35"/>
      <c r="P1941" s="35"/>
      <c r="Q1941" s="35"/>
      <c r="R1941" s="35"/>
      <c r="S1941" s="35"/>
      <c r="T1941" s="35"/>
      <c r="U1941" s="35"/>
      <c r="V1941" s="35"/>
      <c r="W1941" s="35"/>
      <c r="X1941" s="35"/>
      <c r="Y1941" s="35"/>
      <c r="Z1941" s="35"/>
      <c r="AA1941" s="35"/>
      <c r="AB1941" s="35"/>
      <c r="AC1941" s="35"/>
      <c r="AD1941" s="35"/>
      <c r="AE1941" s="35"/>
    </row>
    <row r="1942">
      <c r="A1942" s="30"/>
      <c r="B1942" s="35"/>
      <c r="C1942" s="35"/>
      <c r="D1942" s="35"/>
      <c r="E1942" s="35"/>
      <c r="F1942" s="33"/>
      <c r="G1942" s="33"/>
      <c r="H1942" s="33"/>
      <c r="I1942" s="33"/>
      <c r="J1942" s="33"/>
      <c r="K1942" s="35"/>
      <c r="L1942" s="35"/>
      <c r="M1942" s="35"/>
      <c r="N1942" s="35"/>
      <c r="O1942" s="35"/>
      <c r="P1942" s="35"/>
      <c r="Q1942" s="35"/>
      <c r="R1942" s="35"/>
      <c r="S1942" s="35"/>
      <c r="T1942" s="35"/>
      <c r="U1942" s="35"/>
      <c r="V1942" s="35"/>
      <c r="W1942" s="35"/>
      <c r="X1942" s="35"/>
      <c r="Y1942" s="35"/>
      <c r="Z1942" s="35"/>
      <c r="AA1942" s="35"/>
      <c r="AB1942" s="35"/>
      <c r="AC1942" s="35"/>
      <c r="AD1942" s="35"/>
      <c r="AE1942" s="35"/>
    </row>
    <row r="1943">
      <c r="A1943" s="30"/>
      <c r="B1943" s="35"/>
      <c r="C1943" s="35"/>
      <c r="D1943" s="35"/>
      <c r="E1943" s="35"/>
      <c r="F1943" s="33"/>
      <c r="G1943" s="33"/>
      <c r="H1943" s="33"/>
      <c r="I1943" s="33"/>
      <c r="J1943" s="33"/>
      <c r="K1943" s="35"/>
      <c r="L1943" s="35"/>
      <c r="M1943" s="35"/>
      <c r="N1943" s="35"/>
      <c r="O1943" s="35"/>
      <c r="P1943" s="35"/>
      <c r="Q1943" s="35"/>
      <c r="R1943" s="35"/>
      <c r="S1943" s="35"/>
      <c r="T1943" s="35"/>
      <c r="U1943" s="35"/>
      <c r="V1943" s="35"/>
      <c r="W1943" s="35"/>
      <c r="X1943" s="35"/>
      <c r="Y1943" s="35"/>
      <c r="Z1943" s="35"/>
      <c r="AA1943" s="35"/>
      <c r="AB1943" s="35"/>
      <c r="AC1943" s="35"/>
      <c r="AD1943" s="35"/>
      <c r="AE1943" s="35"/>
    </row>
    <row r="1944">
      <c r="A1944" s="30"/>
      <c r="B1944" s="35"/>
      <c r="C1944" s="35"/>
      <c r="D1944" s="35"/>
      <c r="E1944" s="35"/>
      <c r="F1944" s="33"/>
      <c r="G1944" s="33"/>
      <c r="H1944" s="33"/>
      <c r="I1944" s="33"/>
      <c r="J1944" s="33"/>
      <c r="K1944" s="35"/>
      <c r="L1944" s="35"/>
      <c r="M1944" s="35"/>
      <c r="N1944" s="35"/>
      <c r="O1944" s="35"/>
      <c r="P1944" s="35"/>
      <c r="Q1944" s="35"/>
      <c r="R1944" s="35"/>
      <c r="S1944" s="35"/>
      <c r="T1944" s="35"/>
      <c r="U1944" s="35"/>
      <c r="V1944" s="35"/>
      <c r="W1944" s="35"/>
      <c r="X1944" s="35"/>
      <c r="Y1944" s="35"/>
      <c r="Z1944" s="35"/>
      <c r="AA1944" s="35"/>
      <c r="AB1944" s="35"/>
      <c r="AC1944" s="35"/>
      <c r="AD1944" s="35"/>
      <c r="AE1944" s="35"/>
    </row>
    <row r="1945">
      <c r="A1945" s="30"/>
      <c r="B1945" s="35"/>
      <c r="C1945" s="35"/>
      <c r="D1945" s="35"/>
      <c r="E1945" s="35"/>
      <c r="F1945" s="33"/>
      <c r="G1945" s="33"/>
      <c r="H1945" s="33"/>
      <c r="I1945" s="33"/>
      <c r="J1945" s="33"/>
      <c r="K1945" s="35"/>
      <c r="L1945" s="35"/>
      <c r="M1945" s="35"/>
      <c r="N1945" s="35"/>
      <c r="O1945" s="35"/>
      <c r="P1945" s="35"/>
      <c r="Q1945" s="35"/>
      <c r="R1945" s="35"/>
      <c r="S1945" s="35"/>
      <c r="T1945" s="35"/>
      <c r="U1945" s="35"/>
      <c r="V1945" s="35"/>
      <c r="W1945" s="35"/>
      <c r="X1945" s="35"/>
      <c r="Y1945" s="35"/>
      <c r="Z1945" s="35"/>
      <c r="AA1945" s="35"/>
      <c r="AB1945" s="35"/>
      <c r="AC1945" s="35"/>
      <c r="AD1945" s="35"/>
      <c r="AE1945" s="35"/>
    </row>
    <row r="1946">
      <c r="A1946" s="30"/>
      <c r="B1946" s="35"/>
      <c r="C1946" s="35"/>
      <c r="D1946" s="35"/>
      <c r="E1946" s="35"/>
      <c r="F1946" s="33"/>
      <c r="G1946" s="33"/>
      <c r="H1946" s="33"/>
      <c r="I1946" s="33"/>
      <c r="J1946" s="33"/>
      <c r="K1946" s="35"/>
      <c r="L1946" s="35"/>
      <c r="M1946" s="35"/>
      <c r="N1946" s="35"/>
      <c r="O1946" s="35"/>
      <c r="P1946" s="35"/>
      <c r="Q1946" s="35"/>
      <c r="R1946" s="35"/>
      <c r="S1946" s="35"/>
      <c r="T1946" s="35"/>
      <c r="U1946" s="35"/>
      <c r="V1946" s="35"/>
      <c r="W1946" s="35"/>
      <c r="X1946" s="35"/>
      <c r="Y1946" s="35"/>
      <c r="Z1946" s="35"/>
      <c r="AA1946" s="35"/>
      <c r="AB1946" s="35"/>
      <c r="AC1946" s="35"/>
      <c r="AD1946" s="35"/>
      <c r="AE1946" s="35"/>
    </row>
    <row r="1947">
      <c r="A1947" s="30"/>
      <c r="B1947" s="35"/>
      <c r="C1947" s="35"/>
      <c r="D1947" s="35"/>
      <c r="E1947" s="35"/>
      <c r="F1947" s="33"/>
      <c r="G1947" s="33"/>
      <c r="H1947" s="33"/>
      <c r="I1947" s="33"/>
      <c r="J1947" s="33"/>
      <c r="K1947" s="35"/>
      <c r="L1947" s="35"/>
      <c r="M1947" s="35"/>
      <c r="N1947" s="35"/>
      <c r="O1947" s="35"/>
      <c r="P1947" s="35"/>
      <c r="Q1947" s="35"/>
      <c r="R1947" s="35"/>
      <c r="S1947" s="35"/>
      <c r="T1947" s="35"/>
      <c r="U1947" s="35"/>
      <c r="V1947" s="35"/>
      <c r="W1947" s="35"/>
      <c r="X1947" s="35"/>
      <c r="Y1947" s="35"/>
      <c r="Z1947" s="35"/>
      <c r="AA1947" s="35"/>
      <c r="AB1947" s="35"/>
      <c r="AC1947" s="35"/>
      <c r="AD1947" s="35"/>
      <c r="AE1947" s="35"/>
    </row>
    <row r="1948">
      <c r="A1948" s="30"/>
      <c r="B1948" s="35"/>
      <c r="C1948" s="35"/>
      <c r="D1948" s="35"/>
      <c r="E1948" s="35"/>
      <c r="F1948" s="33"/>
      <c r="G1948" s="33"/>
      <c r="H1948" s="33"/>
      <c r="I1948" s="33"/>
      <c r="J1948" s="33"/>
      <c r="K1948" s="35"/>
      <c r="L1948" s="35"/>
      <c r="M1948" s="35"/>
      <c r="N1948" s="35"/>
      <c r="O1948" s="35"/>
      <c r="P1948" s="35"/>
      <c r="Q1948" s="35"/>
      <c r="R1948" s="35"/>
      <c r="S1948" s="35"/>
      <c r="T1948" s="35"/>
      <c r="U1948" s="35"/>
      <c r="V1948" s="35"/>
      <c r="W1948" s="35"/>
      <c r="X1948" s="35"/>
      <c r="Y1948" s="35"/>
      <c r="Z1948" s="35"/>
      <c r="AA1948" s="35"/>
      <c r="AB1948" s="35"/>
      <c r="AC1948" s="35"/>
      <c r="AD1948" s="35"/>
      <c r="AE1948" s="35"/>
    </row>
    <row r="1949">
      <c r="A1949" s="30"/>
      <c r="B1949" s="35"/>
      <c r="C1949" s="35"/>
      <c r="D1949" s="35"/>
      <c r="E1949" s="35"/>
      <c r="F1949" s="33"/>
      <c r="G1949" s="33"/>
      <c r="H1949" s="33"/>
      <c r="I1949" s="33"/>
      <c r="J1949" s="33"/>
      <c r="K1949" s="35"/>
      <c r="L1949" s="35"/>
      <c r="M1949" s="35"/>
      <c r="N1949" s="35"/>
      <c r="O1949" s="35"/>
      <c r="P1949" s="35"/>
      <c r="Q1949" s="35"/>
      <c r="R1949" s="35"/>
      <c r="S1949" s="35"/>
      <c r="T1949" s="35"/>
      <c r="U1949" s="35"/>
      <c r="V1949" s="35"/>
      <c r="W1949" s="35"/>
      <c r="X1949" s="35"/>
      <c r="Y1949" s="35"/>
      <c r="Z1949" s="35"/>
      <c r="AA1949" s="35"/>
      <c r="AB1949" s="35"/>
      <c r="AC1949" s="35"/>
      <c r="AD1949" s="35"/>
      <c r="AE1949" s="35"/>
    </row>
    <row r="1950">
      <c r="A1950" s="30"/>
      <c r="B1950" s="35"/>
      <c r="C1950" s="35"/>
      <c r="D1950" s="35"/>
      <c r="E1950" s="35"/>
      <c r="F1950" s="33"/>
      <c r="G1950" s="33"/>
      <c r="H1950" s="33"/>
      <c r="I1950" s="33"/>
      <c r="J1950" s="33"/>
      <c r="K1950" s="35"/>
      <c r="L1950" s="35"/>
      <c r="M1950" s="35"/>
      <c r="N1950" s="35"/>
      <c r="O1950" s="35"/>
      <c r="P1950" s="35"/>
      <c r="Q1950" s="35"/>
      <c r="R1950" s="35"/>
      <c r="S1950" s="35"/>
      <c r="T1950" s="35"/>
      <c r="U1950" s="35"/>
      <c r="V1950" s="35"/>
      <c r="W1950" s="35"/>
      <c r="X1950" s="35"/>
      <c r="Y1950" s="35"/>
      <c r="Z1950" s="35"/>
      <c r="AA1950" s="35"/>
      <c r="AB1950" s="35"/>
      <c r="AC1950" s="35"/>
      <c r="AD1950" s="35"/>
      <c r="AE1950" s="35"/>
    </row>
    <row r="1951">
      <c r="A1951" s="30"/>
      <c r="B1951" s="35"/>
      <c r="C1951" s="35"/>
      <c r="D1951" s="35"/>
      <c r="E1951" s="35"/>
      <c r="F1951" s="33"/>
      <c r="G1951" s="33"/>
      <c r="H1951" s="33"/>
      <c r="I1951" s="33"/>
      <c r="J1951" s="33"/>
      <c r="K1951" s="35"/>
      <c r="L1951" s="35"/>
      <c r="M1951" s="35"/>
      <c r="N1951" s="35"/>
      <c r="O1951" s="35"/>
      <c r="P1951" s="35"/>
      <c r="Q1951" s="35"/>
      <c r="R1951" s="35"/>
      <c r="S1951" s="35"/>
      <c r="T1951" s="35"/>
      <c r="U1951" s="35"/>
      <c r="V1951" s="35"/>
      <c r="W1951" s="35"/>
      <c r="X1951" s="35"/>
      <c r="Y1951" s="35"/>
      <c r="Z1951" s="35"/>
      <c r="AA1951" s="35"/>
      <c r="AB1951" s="35"/>
      <c r="AC1951" s="35"/>
      <c r="AD1951" s="35"/>
      <c r="AE1951" s="35"/>
    </row>
    <row r="1952">
      <c r="A1952" s="30"/>
      <c r="B1952" s="35"/>
      <c r="C1952" s="35"/>
      <c r="D1952" s="35"/>
      <c r="E1952" s="35"/>
      <c r="F1952" s="33"/>
      <c r="G1952" s="33"/>
      <c r="H1952" s="33"/>
      <c r="I1952" s="33"/>
      <c r="J1952" s="33"/>
      <c r="K1952" s="35"/>
      <c r="L1952" s="35"/>
      <c r="M1952" s="35"/>
      <c r="N1952" s="35"/>
      <c r="O1952" s="35"/>
      <c r="P1952" s="35"/>
      <c r="Q1952" s="35"/>
      <c r="R1952" s="35"/>
      <c r="S1952" s="35"/>
      <c r="T1952" s="35"/>
      <c r="U1952" s="35"/>
      <c r="V1952" s="35"/>
      <c r="W1952" s="35"/>
      <c r="X1952" s="35"/>
      <c r="Y1952" s="35"/>
      <c r="Z1952" s="35"/>
      <c r="AA1952" s="35"/>
      <c r="AB1952" s="35"/>
      <c r="AC1952" s="35"/>
      <c r="AD1952" s="35"/>
      <c r="AE1952" s="35"/>
    </row>
    <row r="1953">
      <c r="A1953" s="30"/>
      <c r="B1953" s="35"/>
      <c r="C1953" s="35"/>
      <c r="D1953" s="35"/>
      <c r="E1953" s="35"/>
      <c r="F1953" s="33"/>
      <c r="G1953" s="33"/>
      <c r="H1953" s="33"/>
      <c r="I1953" s="33"/>
      <c r="J1953" s="33"/>
      <c r="K1953" s="35"/>
      <c r="L1953" s="35"/>
      <c r="M1953" s="35"/>
      <c r="N1953" s="35"/>
      <c r="O1953" s="35"/>
      <c r="P1953" s="35"/>
      <c r="Q1953" s="35"/>
      <c r="R1953" s="35"/>
      <c r="S1953" s="35"/>
      <c r="T1953" s="35"/>
      <c r="U1953" s="35"/>
      <c r="V1953" s="35"/>
      <c r="W1953" s="35"/>
      <c r="X1953" s="35"/>
      <c r="Y1953" s="35"/>
      <c r="Z1953" s="35"/>
      <c r="AA1953" s="35"/>
      <c r="AB1953" s="35"/>
      <c r="AC1953" s="35"/>
      <c r="AD1953" s="35"/>
      <c r="AE1953" s="35"/>
    </row>
    <row r="1954">
      <c r="A1954" s="30"/>
      <c r="B1954" s="35"/>
      <c r="C1954" s="35"/>
      <c r="D1954" s="35"/>
      <c r="E1954" s="35"/>
      <c r="F1954" s="33"/>
      <c r="G1954" s="33"/>
      <c r="H1954" s="33"/>
      <c r="I1954" s="33"/>
      <c r="J1954" s="33"/>
      <c r="K1954" s="35"/>
      <c r="L1954" s="35"/>
      <c r="M1954" s="35"/>
      <c r="N1954" s="35"/>
      <c r="O1954" s="35"/>
      <c r="P1954" s="35"/>
      <c r="Q1954" s="35"/>
      <c r="R1954" s="35"/>
      <c r="S1954" s="35"/>
      <c r="T1954" s="35"/>
      <c r="U1954" s="35"/>
      <c r="V1954" s="35"/>
      <c r="W1954" s="35"/>
      <c r="X1954" s="35"/>
      <c r="Y1954" s="35"/>
      <c r="Z1954" s="35"/>
      <c r="AA1954" s="35"/>
      <c r="AB1954" s="35"/>
      <c r="AC1954" s="35"/>
      <c r="AD1954" s="35"/>
      <c r="AE1954" s="35"/>
    </row>
    <row r="1955">
      <c r="A1955" s="30"/>
      <c r="B1955" s="35"/>
      <c r="C1955" s="35"/>
      <c r="D1955" s="35"/>
      <c r="E1955" s="35"/>
      <c r="F1955" s="33"/>
      <c r="G1955" s="33"/>
      <c r="H1955" s="33"/>
      <c r="I1955" s="33"/>
      <c r="J1955" s="33"/>
      <c r="K1955" s="35"/>
      <c r="L1955" s="35"/>
      <c r="M1955" s="35"/>
      <c r="N1955" s="35"/>
      <c r="O1955" s="35"/>
      <c r="P1955" s="35"/>
      <c r="Q1955" s="35"/>
      <c r="R1955" s="35"/>
      <c r="S1955" s="35"/>
      <c r="T1955" s="35"/>
      <c r="U1955" s="35"/>
      <c r="V1955" s="35"/>
      <c r="W1955" s="35"/>
      <c r="X1955" s="35"/>
      <c r="Y1955" s="35"/>
      <c r="Z1955" s="35"/>
      <c r="AA1955" s="35"/>
      <c r="AB1955" s="35"/>
      <c r="AC1955" s="35"/>
      <c r="AD1955" s="35"/>
      <c r="AE1955" s="35"/>
    </row>
    <row r="1956">
      <c r="A1956" s="30"/>
      <c r="B1956" s="35"/>
      <c r="C1956" s="35"/>
      <c r="D1956" s="35"/>
      <c r="E1956" s="35"/>
      <c r="F1956" s="33"/>
      <c r="G1956" s="33"/>
      <c r="H1956" s="33"/>
      <c r="I1956" s="33"/>
      <c r="J1956" s="33"/>
      <c r="K1956" s="35"/>
      <c r="L1956" s="35"/>
      <c r="M1956" s="35"/>
      <c r="N1956" s="35"/>
      <c r="O1956" s="35"/>
      <c r="P1956" s="35"/>
      <c r="Q1956" s="35"/>
      <c r="R1956" s="35"/>
      <c r="S1956" s="35"/>
      <c r="T1956" s="35"/>
      <c r="U1956" s="35"/>
      <c r="V1956" s="35"/>
      <c r="W1956" s="35"/>
      <c r="X1956" s="35"/>
      <c r="Y1956" s="35"/>
      <c r="Z1956" s="35"/>
      <c r="AA1956" s="35"/>
      <c r="AB1956" s="35"/>
      <c r="AC1956" s="35"/>
      <c r="AD1956" s="35"/>
      <c r="AE1956" s="35"/>
    </row>
    <row r="1957">
      <c r="A1957" s="30"/>
      <c r="B1957" s="35"/>
      <c r="C1957" s="35"/>
      <c r="D1957" s="35"/>
      <c r="E1957" s="35"/>
      <c r="F1957" s="33"/>
      <c r="G1957" s="33"/>
      <c r="H1957" s="33"/>
      <c r="I1957" s="33"/>
      <c r="J1957" s="33"/>
      <c r="K1957" s="35"/>
      <c r="L1957" s="35"/>
      <c r="M1957" s="35"/>
      <c r="N1957" s="35"/>
      <c r="O1957" s="35"/>
      <c r="P1957" s="35"/>
      <c r="Q1957" s="35"/>
      <c r="R1957" s="35"/>
      <c r="S1957" s="35"/>
      <c r="T1957" s="35"/>
      <c r="U1957" s="35"/>
      <c r="V1957" s="35"/>
      <c r="W1957" s="35"/>
      <c r="X1957" s="35"/>
      <c r="Y1957" s="35"/>
      <c r="Z1957" s="35"/>
      <c r="AA1957" s="35"/>
      <c r="AB1957" s="35"/>
      <c r="AC1957" s="35"/>
      <c r="AD1957" s="35"/>
      <c r="AE1957" s="35"/>
    </row>
    <row r="1958">
      <c r="A1958" s="30"/>
      <c r="B1958" s="35"/>
      <c r="C1958" s="35"/>
      <c r="D1958" s="35"/>
      <c r="E1958" s="35"/>
      <c r="F1958" s="33"/>
      <c r="G1958" s="33"/>
      <c r="H1958" s="33"/>
      <c r="I1958" s="33"/>
      <c r="J1958" s="33"/>
      <c r="K1958" s="35"/>
      <c r="L1958" s="35"/>
      <c r="M1958" s="35"/>
      <c r="N1958" s="35"/>
      <c r="O1958" s="35"/>
      <c r="P1958" s="35"/>
      <c r="Q1958" s="35"/>
      <c r="R1958" s="35"/>
      <c r="S1958" s="35"/>
      <c r="T1958" s="35"/>
      <c r="U1958" s="35"/>
      <c r="V1958" s="35"/>
      <c r="W1958" s="35"/>
      <c r="X1958" s="35"/>
      <c r="Y1958" s="35"/>
      <c r="Z1958" s="35"/>
      <c r="AA1958" s="35"/>
      <c r="AB1958" s="35"/>
      <c r="AC1958" s="35"/>
      <c r="AD1958" s="35"/>
      <c r="AE1958" s="35"/>
    </row>
    <row r="1959">
      <c r="A1959" s="30"/>
      <c r="B1959" s="35"/>
      <c r="C1959" s="35"/>
      <c r="D1959" s="35"/>
      <c r="E1959" s="35"/>
      <c r="F1959" s="33"/>
      <c r="G1959" s="33"/>
      <c r="H1959" s="33"/>
      <c r="I1959" s="33"/>
      <c r="J1959" s="33"/>
      <c r="K1959" s="35"/>
      <c r="L1959" s="35"/>
      <c r="M1959" s="35"/>
      <c r="N1959" s="35"/>
      <c r="O1959" s="35"/>
      <c r="P1959" s="35"/>
      <c r="Q1959" s="35"/>
      <c r="R1959" s="35"/>
      <c r="S1959" s="35"/>
      <c r="T1959" s="35"/>
      <c r="U1959" s="35"/>
      <c r="V1959" s="35"/>
      <c r="W1959" s="35"/>
      <c r="X1959" s="35"/>
      <c r="Y1959" s="35"/>
      <c r="Z1959" s="35"/>
      <c r="AA1959" s="35"/>
      <c r="AB1959" s="35"/>
      <c r="AC1959" s="35"/>
      <c r="AD1959" s="35"/>
      <c r="AE1959" s="35"/>
    </row>
    <row r="1960">
      <c r="A1960" s="30"/>
      <c r="B1960" s="35"/>
      <c r="C1960" s="35"/>
      <c r="D1960" s="35"/>
      <c r="E1960" s="35"/>
      <c r="F1960" s="33"/>
      <c r="G1960" s="33"/>
      <c r="H1960" s="33"/>
      <c r="I1960" s="33"/>
      <c r="J1960" s="33"/>
      <c r="K1960" s="35"/>
      <c r="L1960" s="35"/>
      <c r="M1960" s="35"/>
      <c r="N1960" s="35"/>
      <c r="O1960" s="35"/>
      <c r="P1960" s="35"/>
      <c r="Q1960" s="35"/>
      <c r="R1960" s="35"/>
      <c r="S1960" s="35"/>
      <c r="T1960" s="35"/>
      <c r="U1960" s="35"/>
      <c r="V1960" s="35"/>
      <c r="W1960" s="35"/>
      <c r="X1960" s="35"/>
      <c r="Y1960" s="35"/>
      <c r="Z1960" s="35"/>
      <c r="AA1960" s="35"/>
      <c r="AB1960" s="35"/>
      <c r="AC1960" s="35"/>
      <c r="AD1960" s="35"/>
      <c r="AE1960" s="35"/>
    </row>
    <row r="1961">
      <c r="A1961" s="30"/>
      <c r="B1961" s="35"/>
      <c r="C1961" s="35"/>
      <c r="D1961" s="35"/>
      <c r="E1961" s="35"/>
      <c r="F1961" s="33"/>
      <c r="G1961" s="33"/>
      <c r="H1961" s="33"/>
      <c r="I1961" s="33"/>
      <c r="J1961" s="33"/>
      <c r="K1961" s="35"/>
      <c r="L1961" s="35"/>
      <c r="M1961" s="35"/>
      <c r="N1961" s="35"/>
      <c r="O1961" s="35"/>
      <c r="P1961" s="35"/>
      <c r="Q1961" s="35"/>
      <c r="R1961" s="35"/>
      <c r="S1961" s="35"/>
      <c r="T1961" s="35"/>
      <c r="U1961" s="35"/>
      <c r="V1961" s="35"/>
      <c r="W1961" s="35"/>
      <c r="X1961" s="35"/>
      <c r="Y1961" s="35"/>
      <c r="Z1961" s="35"/>
      <c r="AA1961" s="35"/>
      <c r="AB1961" s="35"/>
      <c r="AC1961" s="35"/>
      <c r="AD1961" s="35"/>
      <c r="AE1961" s="35"/>
    </row>
    <row r="1962">
      <c r="A1962" s="30"/>
      <c r="B1962" s="35"/>
      <c r="C1962" s="35"/>
      <c r="D1962" s="35"/>
      <c r="E1962" s="35"/>
      <c r="F1962" s="33"/>
      <c r="G1962" s="33"/>
      <c r="H1962" s="33"/>
      <c r="I1962" s="33"/>
      <c r="J1962" s="33"/>
      <c r="K1962" s="35"/>
      <c r="L1962" s="35"/>
      <c r="M1962" s="35"/>
      <c r="N1962" s="35"/>
      <c r="O1962" s="35"/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5"/>
      <c r="AA1962" s="35"/>
      <c r="AB1962" s="35"/>
      <c r="AC1962" s="35"/>
      <c r="AD1962" s="35"/>
      <c r="AE1962" s="35"/>
    </row>
    <row r="1963">
      <c r="A1963" s="30"/>
      <c r="B1963" s="35"/>
      <c r="C1963" s="35"/>
      <c r="D1963" s="35"/>
      <c r="E1963" s="35"/>
      <c r="F1963" s="33"/>
      <c r="G1963" s="33"/>
      <c r="H1963" s="33"/>
      <c r="I1963" s="33"/>
      <c r="J1963" s="33"/>
      <c r="K1963" s="35"/>
      <c r="L1963" s="35"/>
      <c r="M1963" s="35"/>
      <c r="N1963" s="35"/>
      <c r="O1963" s="35"/>
      <c r="P1963" s="35"/>
      <c r="Q1963" s="35"/>
      <c r="R1963" s="35"/>
      <c r="S1963" s="35"/>
      <c r="T1963" s="35"/>
      <c r="U1963" s="35"/>
      <c r="V1963" s="35"/>
      <c r="W1963" s="35"/>
      <c r="X1963" s="35"/>
      <c r="Y1963" s="35"/>
      <c r="Z1963" s="35"/>
      <c r="AA1963" s="35"/>
      <c r="AB1963" s="35"/>
      <c r="AC1963" s="35"/>
      <c r="AD1963" s="35"/>
      <c r="AE1963" s="35"/>
    </row>
    <row r="1964">
      <c r="A1964" s="30"/>
      <c r="B1964" s="35"/>
      <c r="C1964" s="35"/>
      <c r="D1964" s="35"/>
      <c r="E1964" s="35"/>
      <c r="F1964" s="33"/>
      <c r="G1964" s="33"/>
      <c r="H1964" s="33"/>
      <c r="I1964" s="33"/>
      <c r="J1964" s="33"/>
      <c r="K1964" s="35"/>
      <c r="L1964" s="35"/>
      <c r="M1964" s="35"/>
      <c r="N1964" s="35"/>
      <c r="O1964" s="35"/>
      <c r="P1964" s="35"/>
      <c r="Q1964" s="35"/>
      <c r="R1964" s="35"/>
      <c r="S1964" s="35"/>
      <c r="T1964" s="35"/>
      <c r="U1964" s="35"/>
      <c r="V1964" s="35"/>
      <c r="W1964" s="35"/>
      <c r="X1964" s="35"/>
      <c r="Y1964" s="35"/>
      <c r="Z1964" s="35"/>
      <c r="AA1964" s="35"/>
      <c r="AB1964" s="35"/>
      <c r="AC1964" s="35"/>
      <c r="AD1964" s="35"/>
      <c r="AE1964" s="35"/>
    </row>
    <row r="1965">
      <c r="A1965" s="30"/>
      <c r="B1965" s="35"/>
      <c r="C1965" s="35"/>
      <c r="D1965" s="35"/>
      <c r="E1965" s="35"/>
      <c r="F1965" s="33"/>
      <c r="G1965" s="33"/>
      <c r="H1965" s="33"/>
      <c r="I1965" s="33"/>
      <c r="J1965" s="33"/>
      <c r="K1965" s="35"/>
      <c r="L1965" s="35"/>
      <c r="M1965" s="35"/>
      <c r="N1965" s="35"/>
      <c r="O1965" s="35"/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5"/>
      <c r="AA1965" s="35"/>
      <c r="AB1965" s="35"/>
      <c r="AC1965" s="35"/>
      <c r="AD1965" s="35"/>
      <c r="AE1965" s="35"/>
    </row>
    <row r="1966">
      <c r="A1966" s="30"/>
      <c r="B1966" s="35"/>
      <c r="C1966" s="35"/>
      <c r="D1966" s="35"/>
      <c r="E1966" s="35"/>
      <c r="F1966" s="33"/>
      <c r="G1966" s="33"/>
      <c r="H1966" s="33"/>
      <c r="I1966" s="33"/>
      <c r="J1966" s="33"/>
      <c r="K1966" s="35"/>
      <c r="L1966" s="35"/>
      <c r="M1966" s="35"/>
      <c r="N1966" s="35"/>
      <c r="O1966" s="35"/>
      <c r="P1966" s="35"/>
      <c r="Q1966" s="35"/>
      <c r="R1966" s="35"/>
      <c r="S1966" s="35"/>
      <c r="T1966" s="35"/>
      <c r="U1966" s="35"/>
      <c r="V1966" s="35"/>
      <c r="W1966" s="35"/>
      <c r="X1966" s="35"/>
      <c r="Y1966" s="35"/>
      <c r="Z1966" s="35"/>
      <c r="AA1966" s="35"/>
      <c r="AB1966" s="35"/>
      <c r="AC1966" s="35"/>
      <c r="AD1966" s="35"/>
      <c r="AE1966" s="35"/>
    </row>
    <row r="1967">
      <c r="A1967" s="30"/>
      <c r="B1967" s="35"/>
      <c r="C1967" s="35"/>
      <c r="D1967" s="35"/>
      <c r="E1967" s="35"/>
      <c r="F1967" s="33"/>
      <c r="G1967" s="33"/>
      <c r="H1967" s="33"/>
      <c r="I1967" s="33"/>
      <c r="J1967" s="33"/>
      <c r="K1967" s="35"/>
      <c r="L1967" s="35"/>
      <c r="M1967" s="35"/>
      <c r="N1967" s="35"/>
      <c r="O1967" s="35"/>
      <c r="P1967" s="35"/>
      <c r="Q1967" s="35"/>
      <c r="R1967" s="35"/>
      <c r="S1967" s="35"/>
      <c r="T1967" s="35"/>
      <c r="U1967" s="35"/>
      <c r="V1967" s="35"/>
      <c r="W1967" s="35"/>
      <c r="X1967" s="35"/>
      <c r="Y1967" s="35"/>
      <c r="Z1967" s="35"/>
      <c r="AA1967" s="35"/>
      <c r="AB1967" s="35"/>
      <c r="AC1967" s="35"/>
      <c r="AD1967" s="35"/>
      <c r="AE1967" s="35"/>
    </row>
    <row r="1968">
      <c r="A1968" s="30"/>
      <c r="B1968" s="35"/>
      <c r="C1968" s="35"/>
      <c r="D1968" s="35"/>
      <c r="E1968" s="35"/>
      <c r="F1968" s="33"/>
      <c r="G1968" s="33"/>
      <c r="H1968" s="33"/>
      <c r="I1968" s="33"/>
      <c r="J1968" s="33"/>
      <c r="K1968" s="35"/>
      <c r="L1968" s="35"/>
      <c r="M1968" s="35"/>
      <c r="N1968" s="35"/>
      <c r="O1968" s="35"/>
      <c r="P1968" s="35"/>
      <c r="Q1968" s="35"/>
      <c r="R1968" s="35"/>
      <c r="S1968" s="35"/>
      <c r="T1968" s="35"/>
      <c r="U1968" s="35"/>
      <c r="V1968" s="35"/>
      <c r="W1968" s="35"/>
      <c r="X1968" s="35"/>
      <c r="Y1968" s="35"/>
      <c r="Z1968" s="35"/>
      <c r="AA1968" s="35"/>
      <c r="AB1968" s="35"/>
      <c r="AC1968" s="35"/>
      <c r="AD1968" s="35"/>
      <c r="AE1968" s="35"/>
    </row>
    <row r="1969">
      <c r="A1969" s="30"/>
      <c r="B1969" s="35"/>
      <c r="C1969" s="35"/>
      <c r="D1969" s="35"/>
      <c r="E1969" s="35"/>
      <c r="F1969" s="33"/>
      <c r="G1969" s="33"/>
      <c r="H1969" s="33"/>
      <c r="I1969" s="33"/>
      <c r="J1969" s="33"/>
      <c r="K1969" s="35"/>
      <c r="L1969" s="35"/>
      <c r="M1969" s="35"/>
      <c r="N1969" s="35"/>
      <c r="O1969" s="35"/>
      <c r="P1969" s="35"/>
      <c r="Q1969" s="35"/>
      <c r="R1969" s="35"/>
      <c r="S1969" s="35"/>
      <c r="T1969" s="35"/>
      <c r="U1969" s="35"/>
      <c r="V1969" s="35"/>
      <c r="W1969" s="35"/>
      <c r="X1969" s="35"/>
      <c r="Y1969" s="35"/>
      <c r="Z1969" s="35"/>
      <c r="AA1969" s="35"/>
      <c r="AB1969" s="35"/>
      <c r="AC1969" s="35"/>
      <c r="AD1969" s="35"/>
      <c r="AE1969" s="35"/>
    </row>
    <row r="1970">
      <c r="A1970" s="30"/>
      <c r="B1970" s="35"/>
      <c r="C1970" s="35"/>
      <c r="D1970" s="35"/>
      <c r="E1970" s="35"/>
      <c r="F1970" s="33"/>
      <c r="G1970" s="33"/>
      <c r="H1970" s="33"/>
      <c r="I1970" s="33"/>
      <c r="J1970" s="33"/>
      <c r="K1970" s="35"/>
      <c r="L1970" s="35"/>
      <c r="M1970" s="35"/>
      <c r="N1970" s="35"/>
      <c r="O1970" s="35"/>
      <c r="P1970" s="35"/>
      <c r="Q1970" s="35"/>
      <c r="R1970" s="35"/>
      <c r="S1970" s="35"/>
      <c r="T1970" s="35"/>
      <c r="U1970" s="35"/>
      <c r="V1970" s="35"/>
      <c r="W1970" s="35"/>
      <c r="X1970" s="35"/>
      <c r="Y1970" s="35"/>
      <c r="Z1970" s="35"/>
      <c r="AA1970" s="35"/>
      <c r="AB1970" s="35"/>
      <c r="AC1970" s="35"/>
      <c r="AD1970" s="35"/>
      <c r="AE1970" s="35"/>
    </row>
    <row r="1971">
      <c r="A1971" s="30"/>
      <c r="B1971" s="35"/>
      <c r="C1971" s="35"/>
      <c r="D1971" s="35"/>
      <c r="E1971" s="35"/>
      <c r="F1971" s="33"/>
      <c r="G1971" s="33"/>
      <c r="H1971" s="33"/>
      <c r="I1971" s="33"/>
      <c r="J1971" s="33"/>
      <c r="K1971" s="35"/>
      <c r="L1971" s="35"/>
      <c r="M1971" s="35"/>
      <c r="N1971" s="35"/>
      <c r="O1971" s="35"/>
      <c r="P1971" s="35"/>
      <c r="Q1971" s="35"/>
      <c r="R1971" s="35"/>
      <c r="S1971" s="35"/>
      <c r="T1971" s="35"/>
      <c r="U1971" s="35"/>
      <c r="V1971" s="35"/>
      <c r="W1971" s="35"/>
      <c r="X1971" s="35"/>
      <c r="Y1971" s="35"/>
      <c r="Z1971" s="35"/>
      <c r="AA1971" s="35"/>
      <c r="AB1971" s="35"/>
      <c r="AC1971" s="35"/>
      <c r="AD1971" s="35"/>
      <c r="AE1971" s="35"/>
    </row>
    <row r="1972">
      <c r="A1972" s="30"/>
      <c r="B1972" s="35"/>
      <c r="C1972" s="35"/>
      <c r="D1972" s="35"/>
      <c r="E1972" s="35"/>
      <c r="F1972" s="33"/>
      <c r="G1972" s="33"/>
      <c r="H1972" s="33"/>
      <c r="I1972" s="33"/>
      <c r="J1972" s="33"/>
      <c r="K1972" s="35"/>
      <c r="L1972" s="35"/>
      <c r="M1972" s="35"/>
      <c r="N1972" s="35"/>
      <c r="O1972" s="35"/>
      <c r="P1972" s="35"/>
      <c r="Q1972" s="35"/>
      <c r="R1972" s="35"/>
      <c r="S1972" s="35"/>
      <c r="T1972" s="35"/>
      <c r="U1972" s="35"/>
      <c r="V1972" s="35"/>
      <c r="W1972" s="35"/>
      <c r="X1972" s="35"/>
      <c r="Y1972" s="35"/>
      <c r="Z1972" s="35"/>
      <c r="AA1972" s="35"/>
      <c r="AB1972" s="35"/>
      <c r="AC1972" s="35"/>
      <c r="AD1972" s="35"/>
      <c r="AE1972" s="35"/>
    </row>
    <row r="1973">
      <c r="A1973" s="30"/>
      <c r="B1973" s="35"/>
      <c r="C1973" s="35"/>
      <c r="D1973" s="35"/>
      <c r="E1973" s="35"/>
      <c r="F1973" s="33"/>
      <c r="G1973" s="33"/>
      <c r="H1973" s="33"/>
      <c r="I1973" s="33"/>
      <c r="J1973" s="33"/>
      <c r="K1973" s="35"/>
      <c r="L1973" s="35"/>
      <c r="M1973" s="35"/>
      <c r="N1973" s="35"/>
      <c r="O1973" s="35"/>
      <c r="P1973" s="35"/>
      <c r="Q1973" s="35"/>
      <c r="R1973" s="35"/>
      <c r="S1973" s="35"/>
      <c r="T1973" s="35"/>
      <c r="U1973" s="35"/>
      <c r="V1973" s="35"/>
      <c r="W1973" s="35"/>
      <c r="X1973" s="35"/>
      <c r="Y1973" s="35"/>
      <c r="Z1973" s="35"/>
      <c r="AA1973" s="35"/>
      <c r="AB1973" s="35"/>
      <c r="AC1973" s="35"/>
      <c r="AD1973" s="35"/>
      <c r="AE1973" s="35"/>
    </row>
    <row r="1974">
      <c r="A1974" s="30"/>
      <c r="B1974" s="35"/>
      <c r="C1974" s="35"/>
      <c r="D1974" s="35"/>
      <c r="E1974" s="35"/>
      <c r="F1974" s="33"/>
      <c r="G1974" s="33"/>
      <c r="H1974" s="33"/>
      <c r="I1974" s="33"/>
      <c r="J1974" s="33"/>
      <c r="K1974" s="35"/>
      <c r="L1974" s="35"/>
      <c r="M1974" s="35"/>
      <c r="N1974" s="35"/>
      <c r="O1974" s="35"/>
      <c r="P1974" s="35"/>
      <c r="Q1974" s="35"/>
      <c r="R1974" s="35"/>
      <c r="S1974" s="35"/>
      <c r="T1974" s="35"/>
      <c r="U1974" s="35"/>
      <c r="V1974" s="35"/>
      <c r="W1974" s="35"/>
      <c r="X1974" s="35"/>
      <c r="Y1974" s="35"/>
      <c r="Z1974" s="35"/>
      <c r="AA1974" s="35"/>
      <c r="AB1974" s="35"/>
      <c r="AC1974" s="35"/>
      <c r="AD1974" s="35"/>
      <c r="AE1974" s="35"/>
    </row>
    <row r="1975">
      <c r="A1975" s="30"/>
      <c r="B1975" s="35"/>
      <c r="C1975" s="35"/>
      <c r="D1975" s="35"/>
      <c r="E1975" s="35"/>
      <c r="F1975" s="33"/>
      <c r="G1975" s="33"/>
      <c r="H1975" s="33"/>
      <c r="I1975" s="33"/>
      <c r="J1975" s="33"/>
      <c r="K1975" s="35"/>
      <c r="L1975" s="35"/>
      <c r="M1975" s="35"/>
      <c r="N1975" s="35"/>
      <c r="O1975" s="35"/>
      <c r="P1975" s="35"/>
      <c r="Q1975" s="35"/>
      <c r="R1975" s="35"/>
      <c r="S1975" s="35"/>
      <c r="T1975" s="35"/>
      <c r="U1975" s="35"/>
      <c r="V1975" s="35"/>
      <c r="W1975" s="35"/>
      <c r="X1975" s="35"/>
      <c r="Y1975" s="35"/>
      <c r="Z1975" s="35"/>
      <c r="AA1975" s="35"/>
      <c r="AB1975" s="35"/>
      <c r="AC1975" s="35"/>
      <c r="AD1975" s="35"/>
      <c r="AE1975" s="35"/>
    </row>
    <row r="1976">
      <c r="A1976" s="30"/>
      <c r="B1976" s="35"/>
      <c r="C1976" s="35"/>
      <c r="D1976" s="35"/>
      <c r="E1976" s="35"/>
      <c r="F1976" s="33"/>
      <c r="G1976" s="33"/>
      <c r="H1976" s="33"/>
      <c r="I1976" s="33"/>
      <c r="J1976" s="33"/>
      <c r="K1976" s="35"/>
      <c r="L1976" s="35"/>
      <c r="M1976" s="35"/>
      <c r="N1976" s="35"/>
      <c r="O1976" s="35"/>
      <c r="P1976" s="35"/>
      <c r="Q1976" s="35"/>
      <c r="R1976" s="35"/>
      <c r="S1976" s="35"/>
      <c r="T1976" s="35"/>
      <c r="U1976" s="35"/>
      <c r="V1976" s="35"/>
      <c r="W1976" s="35"/>
      <c r="X1976" s="35"/>
      <c r="Y1976" s="35"/>
      <c r="Z1976" s="35"/>
      <c r="AA1976" s="35"/>
      <c r="AB1976" s="35"/>
      <c r="AC1976" s="35"/>
      <c r="AD1976" s="35"/>
      <c r="AE1976" s="35"/>
    </row>
    <row r="1977">
      <c r="A1977" s="30"/>
      <c r="B1977" s="35"/>
      <c r="C1977" s="35"/>
      <c r="D1977" s="35"/>
      <c r="E1977" s="35"/>
      <c r="F1977" s="33"/>
      <c r="G1977" s="33"/>
      <c r="H1977" s="33"/>
      <c r="I1977" s="33"/>
      <c r="J1977" s="33"/>
      <c r="K1977" s="35"/>
      <c r="L1977" s="35"/>
      <c r="M1977" s="35"/>
      <c r="N1977" s="35"/>
      <c r="O1977" s="35"/>
      <c r="P1977" s="35"/>
      <c r="Q1977" s="35"/>
      <c r="R1977" s="35"/>
      <c r="S1977" s="35"/>
      <c r="T1977" s="35"/>
      <c r="U1977" s="35"/>
      <c r="V1977" s="35"/>
      <c r="W1977" s="35"/>
      <c r="X1977" s="35"/>
      <c r="Y1977" s="35"/>
      <c r="Z1977" s="35"/>
      <c r="AA1977" s="35"/>
      <c r="AB1977" s="35"/>
      <c r="AC1977" s="35"/>
      <c r="AD1977" s="35"/>
      <c r="AE1977" s="35"/>
    </row>
    <row r="1978">
      <c r="A1978" s="30"/>
      <c r="B1978" s="35"/>
      <c r="C1978" s="35"/>
      <c r="D1978" s="35"/>
      <c r="E1978" s="35"/>
      <c r="F1978" s="33"/>
      <c r="G1978" s="33"/>
      <c r="H1978" s="33"/>
      <c r="I1978" s="33"/>
      <c r="J1978" s="33"/>
      <c r="K1978" s="35"/>
      <c r="L1978" s="35"/>
      <c r="M1978" s="35"/>
      <c r="N1978" s="35"/>
      <c r="O1978" s="35"/>
      <c r="P1978" s="35"/>
      <c r="Q1978" s="35"/>
      <c r="R1978" s="35"/>
      <c r="S1978" s="35"/>
      <c r="T1978" s="35"/>
      <c r="U1978" s="35"/>
      <c r="V1978" s="35"/>
      <c r="W1978" s="35"/>
      <c r="X1978" s="35"/>
      <c r="Y1978" s="35"/>
      <c r="Z1978" s="35"/>
      <c r="AA1978" s="35"/>
      <c r="AB1978" s="35"/>
      <c r="AC1978" s="35"/>
      <c r="AD1978" s="35"/>
      <c r="AE1978" s="35"/>
    </row>
    <row r="1979">
      <c r="A1979" s="30"/>
      <c r="B1979" s="35"/>
      <c r="C1979" s="35"/>
      <c r="D1979" s="35"/>
      <c r="E1979" s="35"/>
      <c r="F1979" s="33"/>
      <c r="G1979" s="33"/>
      <c r="H1979" s="33"/>
      <c r="I1979" s="33"/>
      <c r="J1979" s="33"/>
      <c r="K1979" s="35"/>
      <c r="L1979" s="35"/>
      <c r="M1979" s="35"/>
      <c r="N1979" s="35"/>
      <c r="O1979" s="35"/>
      <c r="P1979" s="35"/>
      <c r="Q1979" s="35"/>
      <c r="R1979" s="35"/>
      <c r="S1979" s="35"/>
      <c r="T1979" s="35"/>
      <c r="U1979" s="35"/>
      <c r="V1979" s="35"/>
      <c r="W1979" s="35"/>
      <c r="X1979" s="35"/>
      <c r="Y1979" s="35"/>
      <c r="Z1979" s="35"/>
      <c r="AA1979" s="35"/>
      <c r="AB1979" s="35"/>
      <c r="AC1979" s="35"/>
      <c r="AD1979" s="35"/>
      <c r="AE1979" s="35"/>
    </row>
    <row r="1980">
      <c r="A1980" s="30"/>
      <c r="B1980" s="35"/>
      <c r="C1980" s="35"/>
      <c r="D1980" s="35"/>
      <c r="E1980" s="35"/>
      <c r="F1980" s="33"/>
      <c r="G1980" s="33"/>
      <c r="H1980" s="33"/>
      <c r="I1980" s="33"/>
      <c r="J1980" s="33"/>
      <c r="K1980" s="35"/>
      <c r="L1980" s="35"/>
      <c r="M1980" s="35"/>
      <c r="N1980" s="35"/>
      <c r="O1980" s="35"/>
      <c r="P1980" s="35"/>
      <c r="Q1980" s="35"/>
      <c r="R1980" s="35"/>
      <c r="S1980" s="35"/>
      <c r="T1980" s="35"/>
      <c r="U1980" s="35"/>
      <c r="V1980" s="35"/>
      <c r="W1980" s="35"/>
      <c r="X1980" s="35"/>
      <c r="Y1980" s="35"/>
      <c r="Z1980" s="35"/>
      <c r="AA1980" s="35"/>
      <c r="AB1980" s="35"/>
      <c r="AC1980" s="35"/>
      <c r="AD1980" s="35"/>
      <c r="AE1980" s="35"/>
    </row>
    <row r="1981">
      <c r="A1981" s="30"/>
      <c r="B1981" s="35"/>
      <c r="C1981" s="35"/>
      <c r="D1981" s="35"/>
      <c r="E1981" s="35"/>
      <c r="F1981" s="33"/>
      <c r="G1981" s="33"/>
      <c r="H1981" s="33"/>
      <c r="I1981" s="33"/>
      <c r="J1981" s="33"/>
      <c r="K1981" s="35"/>
      <c r="L1981" s="35"/>
      <c r="M1981" s="35"/>
      <c r="N1981" s="35"/>
      <c r="O1981" s="35"/>
      <c r="P1981" s="35"/>
      <c r="Q1981" s="35"/>
      <c r="R1981" s="35"/>
      <c r="S1981" s="35"/>
      <c r="T1981" s="35"/>
      <c r="U1981" s="35"/>
      <c r="V1981" s="35"/>
      <c r="W1981" s="35"/>
      <c r="X1981" s="35"/>
      <c r="Y1981" s="35"/>
      <c r="Z1981" s="35"/>
      <c r="AA1981" s="35"/>
      <c r="AB1981" s="35"/>
      <c r="AC1981" s="35"/>
      <c r="AD1981" s="35"/>
      <c r="AE1981" s="35"/>
    </row>
    <row r="1982">
      <c r="A1982" s="30"/>
      <c r="B1982" s="35"/>
      <c r="C1982" s="35"/>
      <c r="D1982" s="35"/>
      <c r="E1982" s="35"/>
      <c r="F1982" s="33"/>
      <c r="G1982" s="33"/>
      <c r="H1982" s="33"/>
      <c r="I1982" s="33"/>
      <c r="J1982" s="33"/>
      <c r="K1982" s="35"/>
      <c r="L1982" s="35"/>
      <c r="M1982" s="35"/>
      <c r="N1982" s="35"/>
      <c r="O1982" s="35"/>
      <c r="P1982" s="35"/>
      <c r="Q1982" s="35"/>
      <c r="R1982" s="35"/>
      <c r="S1982" s="35"/>
      <c r="T1982" s="35"/>
      <c r="U1982" s="35"/>
      <c r="V1982" s="35"/>
      <c r="W1982" s="35"/>
      <c r="X1982" s="35"/>
      <c r="Y1982" s="35"/>
      <c r="Z1982" s="35"/>
      <c r="AA1982" s="35"/>
      <c r="AB1982" s="35"/>
      <c r="AC1982" s="35"/>
      <c r="AD1982" s="35"/>
      <c r="AE1982" s="35"/>
    </row>
    <row r="1983">
      <c r="A1983" s="30"/>
      <c r="B1983" s="35"/>
      <c r="C1983" s="35"/>
      <c r="D1983" s="35"/>
      <c r="E1983" s="35"/>
      <c r="F1983" s="33"/>
      <c r="G1983" s="33"/>
      <c r="H1983" s="33"/>
      <c r="I1983" s="33"/>
      <c r="J1983" s="33"/>
      <c r="K1983" s="35"/>
      <c r="L1983" s="35"/>
      <c r="M1983" s="35"/>
      <c r="N1983" s="35"/>
      <c r="O1983" s="35"/>
      <c r="P1983" s="35"/>
      <c r="Q1983" s="35"/>
      <c r="R1983" s="35"/>
      <c r="S1983" s="35"/>
      <c r="T1983" s="35"/>
      <c r="U1983" s="35"/>
      <c r="V1983" s="35"/>
      <c r="W1983" s="35"/>
      <c r="X1983" s="35"/>
      <c r="Y1983" s="35"/>
      <c r="Z1983" s="35"/>
      <c r="AA1983" s="35"/>
      <c r="AB1983" s="35"/>
      <c r="AC1983" s="35"/>
      <c r="AD1983" s="35"/>
      <c r="AE1983" s="35"/>
    </row>
    <row r="1984">
      <c r="A1984" s="30"/>
      <c r="B1984" s="35"/>
      <c r="C1984" s="35"/>
      <c r="D1984" s="35"/>
      <c r="E1984" s="35"/>
      <c r="F1984" s="33"/>
      <c r="G1984" s="33"/>
      <c r="H1984" s="33"/>
      <c r="I1984" s="33"/>
      <c r="J1984" s="33"/>
      <c r="K1984" s="35"/>
      <c r="L1984" s="35"/>
      <c r="M1984" s="35"/>
      <c r="N1984" s="35"/>
      <c r="O1984" s="35"/>
      <c r="P1984" s="35"/>
      <c r="Q1984" s="35"/>
      <c r="R1984" s="35"/>
      <c r="S1984" s="35"/>
      <c r="T1984" s="35"/>
      <c r="U1984" s="35"/>
      <c r="V1984" s="35"/>
      <c r="W1984" s="35"/>
      <c r="X1984" s="35"/>
      <c r="Y1984" s="35"/>
      <c r="Z1984" s="35"/>
      <c r="AA1984" s="35"/>
      <c r="AB1984" s="35"/>
      <c r="AC1984" s="35"/>
      <c r="AD1984" s="35"/>
      <c r="AE1984" s="35"/>
    </row>
    <row r="1985">
      <c r="A1985" s="30"/>
      <c r="B1985" s="35"/>
      <c r="C1985" s="35"/>
      <c r="D1985" s="35"/>
      <c r="E1985" s="35"/>
      <c r="F1985" s="33"/>
      <c r="G1985" s="33"/>
      <c r="H1985" s="33"/>
      <c r="I1985" s="33"/>
      <c r="J1985" s="33"/>
      <c r="K1985" s="35"/>
      <c r="L1985" s="35"/>
      <c r="M1985" s="35"/>
      <c r="N1985" s="35"/>
      <c r="O1985" s="35"/>
      <c r="P1985" s="35"/>
      <c r="Q1985" s="35"/>
      <c r="R1985" s="35"/>
      <c r="S1985" s="35"/>
      <c r="T1985" s="35"/>
      <c r="U1985" s="35"/>
      <c r="V1985" s="35"/>
      <c r="W1985" s="35"/>
      <c r="X1985" s="35"/>
      <c r="Y1985" s="35"/>
      <c r="Z1985" s="35"/>
      <c r="AA1985" s="35"/>
      <c r="AB1985" s="35"/>
      <c r="AC1985" s="35"/>
      <c r="AD1985" s="35"/>
      <c r="AE1985" s="35"/>
    </row>
    <row r="1986">
      <c r="A1986" s="30"/>
      <c r="B1986" s="35"/>
      <c r="C1986" s="35"/>
      <c r="D1986" s="35"/>
      <c r="E1986" s="35"/>
      <c r="F1986" s="33"/>
      <c r="G1986" s="33"/>
      <c r="H1986" s="33"/>
      <c r="I1986" s="33"/>
      <c r="J1986" s="33"/>
      <c r="K1986" s="35"/>
      <c r="L1986" s="35"/>
      <c r="M1986" s="35"/>
      <c r="N1986" s="35"/>
      <c r="O1986" s="35"/>
      <c r="P1986" s="35"/>
      <c r="Q1986" s="35"/>
      <c r="R1986" s="35"/>
      <c r="S1986" s="35"/>
      <c r="T1986" s="35"/>
      <c r="U1986" s="35"/>
      <c r="V1986" s="35"/>
      <c r="W1986" s="35"/>
      <c r="X1986" s="35"/>
      <c r="Y1986" s="35"/>
      <c r="Z1986" s="35"/>
      <c r="AA1986" s="35"/>
      <c r="AB1986" s="35"/>
      <c r="AC1986" s="35"/>
      <c r="AD1986" s="35"/>
      <c r="AE1986" s="35"/>
    </row>
    <row r="1987">
      <c r="A1987" s="30"/>
      <c r="B1987" s="35"/>
      <c r="C1987" s="35"/>
      <c r="D1987" s="35"/>
      <c r="E1987" s="35"/>
      <c r="F1987" s="33"/>
      <c r="G1987" s="33"/>
      <c r="H1987" s="33"/>
      <c r="I1987" s="33"/>
      <c r="J1987" s="33"/>
      <c r="K1987" s="35"/>
      <c r="L1987" s="35"/>
      <c r="M1987" s="35"/>
      <c r="N1987" s="35"/>
      <c r="O1987" s="35"/>
      <c r="P1987" s="35"/>
      <c r="Q1987" s="35"/>
      <c r="R1987" s="35"/>
      <c r="S1987" s="35"/>
      <c r="T1987" s="35"/>
      <c r="U1987" s="35"/>
      <c r="V1987" s="35"/>
      <c r="W1987" s="35"/>
      <c r="X1987" s="35"/>
      <c r="Y1987" s="35"/>
      <c r="Z1987" s="35"/>
      <c r="AA1987" s="35"/>
      <c r="AB1987" s="35"/>
      <c r="AC1987" s="35"/>
      <c r="AD1987" s="35"/>
      <c r="AE1987" s="35"/>
    </row>
    <row r="1988">
      <c r="A1988" s="30"/>
      <c r="B1988" s="35"/>
      <c r="C1988" s="35"/>
      <c r="D1988" s="35"/>
      <c r="E1988" s="35"/>
      <c r="F1988" s="33"/>
      <c r="G1988" s="33"/>
      <c r="H1988" s="33"/>
      <c r="I1988" s="33"/>
      <c r="J1988" s="33"/>
      <c r="K1988" s="35"/>
      <c r="L1988" s="35"/>
      <c r="M1988" s="35"/>
      <c r="N1988" s="35"/>
      <c r="O1988" s="35"/>
      <c r="P1988" s="35"/>
      <c r="Q1988" s="35"/>
      <c r="R1988" s="35"/>
      <c r="S1988" s="35"/>
      <c r="T1988" s="35"/>
      <c r="U1988" s="35"/>
      <c r="V1988" s="35"/>
      <c r="W1988" s="35"/>
      <c r="X1988" s="35"/>
      <c r="Y1988" s="35"/>
      <c r="Z1988" s="35"/>
      <c r="AA1988" s="35"/>
      <c r="AB1988" s="35"/>
      <c r="AC1988" s="35"/>
      <c r="AD1988" s="35"/>
      <c r="AE1988" s="35"/>
    </row>
    <row r="1989">
      <c r="A1989" s="30"/>
      <c r="B1989" s="35"/>
      <c r="C1989" s="35"/>
      <c r="D1989" s="35"/>
      <c r="E1989" s="35"/>
      <c r="F1989" s="33"/>
      <c r="G1989" s="33"/>
      <c r="H1989" s="33"/>
      <c r="I1989" s="33"/>
      <c r="J1989" s="33"/>
      <c r="K1989" s="35"/>
      <c r="L1989" s="35"/>
      <c r="M1989" s="35"/>
      <c r="N1989" s="35"/>
      <c r="O1989" s="35"/>
      <c r="P1989" s="35"/>
      <c r="Q1989" s="35"/>
      <c r="R1989" s="35"/>
      <c r="S1989" s="35"/>
      <c r="T1989" s="35"/>
      <c r="U1989" s="35"/>
      <c r="V1989" s="35"/>
      <c r="W1989" s="35"/>
      <c r="X1989" s="35"/>
      <c r="Y1989" s="35"/>
      <c r="Z1989" s="35"/>
      <c r="AA1989" s="35"/>
      <c r="AB1989" s="35"/>
      <c r="AC1989" s="35"/>
      <c r="AD1989" s="35"/>
      <c r="AE1989" s="35"/>
    </row>
    <row r="1990">
      <c r="A1990" s="30"/>
      <c r="B1990" s="35"/>
      <c r="C1990" s="35"/>
      <c r="D1990" s="35"/>
      <c r="E1990" s="35"/>
      <c r="F1990" s="33"/>
      <c r="G1990" s="33"/>
      <c r="H1990" s="33"/>
      <c r="I1990" s="33"/>
      <c r="J1990" s="33"/>
      <c r="K1990" s="35"/>
      <c r="L1990" s="35"/>
      <c r="M1990" s="35"/>
      <c r="N1990" s="35"/>
      <c r="O1990" s="35"/>
      <c r="P1990" s="35"/>
      <c r="Q1990" s="35"/>
      <c r="R1990" s="35"/>
      <c r="S1990" s="35"/>
      <c r="T1990" s="35"/>
      <c r="U1990" s="35"/>
      <c r="V1990" s="35"/>
      <c r="W1990" s="35"/>
      <c r="X1990" s="35"/>
      <c r="Y1990" s="35"/>
      <c r="Z1990" s="35"/>
      <c r="AA1990" s="35"/>
      <c r="AB1990" s="35"/>
      <c r="AC1990" s="35"/>
      <c r="AD1990" s="35"/>
      <c r="AE1990" s="35"/>
    </row>
    <row r="1991">
      <c r="A1991" s="30"/>
      <c r="B1991" s="35"/>
      <c r="C1991" s="35"/>
      <c r="D1991" s="35"/>
      <c r="E1991" s="35"/>
      <c r="F1991" s="33"/>
      <c r="G1991" s="33"/>
      <c r="H1991" s="33"/>
      <c r="I1991" s="33"/>
      <c r="J1991" s="33"/>
      <c r="K1991" s="35"/>
      <c r="L1991" s="35"/>
      <c r="M1991" s="35"/>
      <c r="N1991" s="35"/>
      <c r="O1991" s="35"/>
      <c r="P1991" s="35"/>
      <c r="Q1991" s="35"/>
      <c r="R1991" s="35"/>
      <c r="S1991" s="35"/>
      <c r="T1991" s="35"/>
      <c r="U1991" s="35"/>
      <c r="V1991" s="35"/>
      <c r="W1991" s="35"/>
      <c r="X1991" s="35"/>
      <c r="Y1991" s="35"/>
      <c r="Z1991" s="35"/>
      <c r="AA1991" s="35"/>
      <c r="AB1991" s="35"/>
      <c r="AC1991" s="35"/>
      <c r="AD1991" s="35"/>
      <c r="AE1991" s="35"/>
    </row>
    <row r="1992">
      <c r="A1992" s="30"/>
      <c r="B1992" s="35"/>
      <c r="C1992" s="35"/>
      <c r="D1992" s="35"/>
      <c r="E1992" s="35"/>
      <c r="F1992" s="33"/>
      <c r="G1992" s="33"/>
      <c r="H1992" s="33"/>
      <c r="I1992" s="33"/>
      <c r="J1992" s="33"/>
      <c r="K1992" s="35"/>
      <c r="L1992" s="35"/>
      <c r="M1992" s="35"/>
      <c r="N1992" s="35"/>
      <c r="O1992" s="35"/>
      <c r="P1992" s="35"/>
      <c r="Q1992" s="35"/>
      <c r="R1992" s="35"/>
      <c r="S1992" s="35"/>
      <c r="T1992" s="35"/>
      <c r="U1992" s="35"/>
      <c r="V1992" s="35"/>
      <c r="W1992" s="35"/>
      <c r="X1992" s="35"/>
      <c r="Y1992" s="35"/>
      <c r="Z1992" s="35"/>
      <c r="AA1992" s="35"/>
      <c r="AB1992" s="35"/>
      <c r="AC1992" s="35"/>
      <c r="AD1992" s="35"/>
      <c r="AE1992" s="35"/>
    </row>
    <row r="1993">
      <c r="A1993" s="30"/>
      <c r="B1993" s="35"/>
      <c r="C1993" s="35"/>
      <c r="D1993" s="35"/>
      <c r="E1993" s="35"/>
      <c r="F1993" s="33"/>
      <c r="G1993" s="33"/>
      <c r="H1993" s="33"/>
      <c r="I1993" s="33"/>
      <c r="J1993" s="33"/>
      <c r="K1993" s="35"/>
      <c r="L1993" s="35"/>
      <c r="M1993" s="35"/>
      <c r="N1993" s="35"/>
      <c r="O1993" s="35"/>
      <c r="P1993" s="35"/>
      <c r="Q1993" s="35"/>
      <c r="R1993" s="35"/>
      <c r="S1993" s="35"/>
      <c r="T1993" s="35"/>
      <c r="U1993" s="35"/>
      <c r="V1993" s="35"/>
      <c r="W1993" s="35"/>
      <c r="X1993" s="35"/>
      <c r="Y1993" s="35"/>
      <c r="Z1993" s="35"/>
      <c r="AA1993" s="35"/>
      <c r="AB1993" s="35"/>
      <c r="AC1993" s="35"/>
      <c r="AD1993" s="35"/>
      <c r="AE1993" s="35"/>
    </row>
    <row r="1994">
      <c r="A1994" s="30"/>
      <c r="B1994" s="35"/>
      <c r="C1994" s="35"/>
      <c r="D1994" s="35"/>
      <c r="E1994" s="35"/>
      <c r="F1994" s="33"/>
      <c r="G1994" s="33"/>
      <c r="H1994" s="33"/>
      <c r="I1994" s="33"/>
      <c r="J1994" s="33"/>
      <c r="K1994" s="35"/>
      <c r="L1994" s="35"/>
      <c r="M1994" s="35"/>
      <c r="N1994" s="35"/>
      <c r="O1994" s="35"/>
      <c r="P1994" s="35"/>
      <c r="Q1994" s="35"/>
      <c r="R1994" s="35"/>
      <c r="S1994" s="35"/>
      <c r="T1994" s="35"/>
      <c r="U1994" s="35"/>
      <c r="V1994" s="35"/>
      <c r="W1994" s="35"/>
      <c r="X1994" s="35"/>
      <c r="Y1994" s="35"/>
      <c r="Z1994" s="35"/>
      <c r="AA1994" s="35"/>
      <c r="AB1994" s="35"/>
      <c r="AC1994" s="35"/>
      <c r="AD1994" s="35"/>
      <c r="AE1994" s="35"/>
    </row>
    <row r="1995">
      <c r="A1995" s="30"/>
      <c r="B1995" s="35"/>
      <c r="C1995" s="35"/>
      <c r="D1995" s="35"/>
      <c r="E1995" s="35"/>
      <c r="F1995" s="33"/>
      <c r="G1995" s="33"/>
      <c r="H1995" s="33"/>
      <c r="I1995" s="33"/>
      <c r="J1995" s="33"/>
      <c r="K1995" s="35"/>
      <c r="L1995" s="35"/>
      <c r="M1995" s="35"/>
      <c r="N1995" s="35"/>
      <c r="O1995" s="35"/>
      <c r="P1995" s="35"/>
      <c r="Q1995" s="35"/>
      <c r="R1995" s="35"/>
      <c r="S1995" s="35"/>
      <c r="T1995" s="35"/>
      <c r="U1995" s="35"/>
      <c r="V1995" s="35"/>
      <c r="W1995" s="35"/>
      <c r="X1995" s="35"/>
      <c r="Y1995" s="35"/>
      <c r="Z1995" s="35"/>
      <c r="AA1995" s="35"/>
      <c r="AB1995" s="35"/>
      <c r="AC1995" s="35"/>
      <c r="AD1995" s="35"/>
      <c r="AE1995" s="35"/>
    </row>
    <row r="1996">
      <c r="A1996" s="30"/>
      <c r="B1996" s="35"/>
      <c r="C1996" s="35"/>
      <c r="D1996" s="35"/>
      <c r="E1996" s="35"/>
      <c r="F1996" s="33"/>
      <c r="G1996" s="33"/>
      <c r="H1996" s="33"/>
      <c r="I1996" s="33"/>
      <c r="J1996" s="33"/>
      <c r="K1996" s="35"/>
      <c r="L1996" s="35"/>
      <c r="M1996" s="35"/>
      <c r="N1996" s="35"/>
      <c r="O1996" s="35"/>
      <c r="P1996" s="35"/>
      <c r="Q1996" s="35"/>
      <c r="R1996" s="35"/>
      <c r="S1996" s="35"/>
      <c r="T1996" s="35"/>
      <c r="U1996" s="35"/>
      <c r="V1996" s="35"/>
      <c r="W1996" s="35"/>
      <c r="X1996" s="35"/>
      <c r="Y1996" s="35"/>
      <c r="Z1996" s="35"/>
      <c r="AA1996" s="35"/>
      <c r="AB1996" s="35"/>
      <c r="AC1996" s="35"/>
      <c r="AD1996" s="35"/>
      <c r="AE1996" s="35"/>
    </row>
    <row r="1997">
      <c r="A1997" s="30"/>
      <c r="B1997" s="35"/>
      <c r="C1997" s="35"/>
      <c r="D1997" s="35"/>
      <c r="E1997" s="35"/>
      <c r="F1997" s="33"/>
      <c r="G1997" s="33"/>
      <c r="H1997" s="33"/>
      <c r="I1997" s="33"/>
      <c r="J1997" s="33"/>
      <c r="K1997" s="35"/>
      <c r="L1997" s="35"/>
      <c r="M1997" s="35"/>
      <c r="N1997" s="35"/>
      <c r="O1997" s="35"/>
      <c r="P1997" s="35"/>
      <c r="Q1997" s="35"/>
      <c r="R1997" s="35"/>
      <c r="S1997" s="35"/>
      <c r="T1997" s="35"/>
      <c r="U1997" s="35"/>
      <c r="V1997" s="35"/>
      <c r="W1997" s="35"/>
      <c r="X1997" s="35"/>
      <c r="Y1997" s="35"/>
      <c r="Z1997" s="35"/>
      <c r="AA1997" s="35"/>
      <c r="AB1997" s="35"/>
      <c r="AC1997" s="35"/>
      <c r="AD1997" s="35"/>
      <c r="AE1997" s="35"/>
    </row>
    <row r="1998">
      <c r="A1998" s="30"/>
      <c r="B1998" s="35"/>
      <c r="C1998" s="35"/>
      <c r="D1998" s="35"/>
      <c r="E1998" s="35"/>
      <c r="F1998" s="33"/>
      <c r="G1998" s="33"/>
      <c r="H1998" s="33"/>
      <c r="I1998" s="33"/>
      <c r="J1998" s="33"/>
      <c r="K1998" s="35"/>
      <c r="L1998" s="35"/>
      <c r="M1998" s="35"/>
      <c r="N1998" s="35"/>
      <c r="O1998" s="35"/>
      <c r="P1998" s="35"/>
      <c r="Q1998" s="35"/>
      <c r="R1998" s="35"/>
      <c r="S1998" s="35"/>
      <c r="T1998" s="35"/>
      <c r="U1998" s="35"/>
      <c r="V1998" s="35"/>
      <c r="W1998" s="35"/>
      <c r="X1998" s="35"/>
      <c r="Y1998" s="35"/>
      <c r="Z1998" s="35"/>
      <c r="AA1998" s="35"/>
      <c r="AB1998" s="35"/>
      <c r="AC1998" s="35"/>
      <c r="AD1998" s="35"/>
      <c r="AE1998" s="35"/>
    </row>
    <row r="1999">
      <c r="A1999" s="30"/>
      <c r="B1999" s="35"/>
      <c r="C1999" s="35"/>
      <c r="D1999" s="35"/>
      <c r="E1999" s="35"/>
      <c r="F1999" s="33"/>
      <c r="G1999" s="33"/>
      <c r="H1999" s="33"/>
      <c r="I1999" s="33"/>
      <c r="J1999" s="33"/>
      <c r="K1999" s="35"/>
      <c r="L1999" s="35"/>
      <c r="M1999" s="35"/>
      <c r="N1999" s="35"/>
      <c r="O1999" s="35"/>
      <c r="P1999" s="35"/>
      <c r="Q1999" s="35"/>
      <c r="R1999" s="35"/>
      <c r="S1999" s="35"/>
      <c r="T1999" s="35"/>
      <c r="U1999" s="35"/>
      <c r="V1999" s="35"/>
      <c r="W1999" s="35"/>
      <c r="X1999" s="35"/>
      <c r="Y1999" s="35"/>
      <c r="Z1999" s="35"/>
      <c r="AA1999" s="35"/>
      <c r="AB1999" s="35"/>
      <c r="AC1999" s="35"/>
      <c r="AD1999" s="35"/>
      <c r="AE1999" s="35"/>
    </row>
    <row r="2000">
      <c r="A2000" s="30"/>
      <c r="B2000" s="35"/>
      <c r="C2000" s="35"/>
      <c r="D2000" s="35"/>
      <c r="E2000" s="35"/>
      <c r="F2000" s="33"/>
      <c r="G2000" s="33"/>
      <c r="H2000" s="33"/>
      <c r="I2000" s="33"/>
      <c r="J2000" s="33"/>
      <c r="K2000" s="35"/>
      <c r="L2000" s="35"/>
      <c r="M2000" s="35"/>
      <c r="N2000" s="35"/>
      <c r="O2000" s="35"/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5"/>
      <c r="AA2000" s="35"/>
      <c r="AB2000" s="35"/>
      <c r="AC2000" s="35"/>
      <c r="AD2000" s="35"/>
      <c r="AE2000" s="35"/>
    </row>
  </sheetData>
  <conditionalFormatting sqref="F528:F529 F533:F534 F541:F543">
    <cfRule type="notContainsBlanks" dxfId="1" priority="1">
      <formula>LEN(TRIM(F528))&gt;0</formula>
    </cfRule>
  </conditionalFormatting>
  <dataValidations>
    <dataValidation type="custom" allowBlank="1" showDropDown="1" showErrorMessage="1" sqref="F2:F433 F440:F441 F443:F444 F448 F450 F454 F456:F527 F530:F532 F535:F540 F544:F809 A2:A1092 A1094:A2000">
      <formula1>OR(NOT(ISERROR(DATEVALUE(A2))), AND(ISNUMBER(A2), LEFT(CELL("format", A2))="D"))</formula1>
    </dataValidation>
    <dataValidation type="custom" allowBlank="1" showDropDown="1" showInputMessage="1" showErrorMessage="1" prompt="ป้อนวันที่ที่ถูกต้อง" sqref="F434:F439 F442 F445:F447 F449 F451:F453 F455 F528:F529 F533:F534 F541:F543">
      <formula1>OR(NOT(ISERROR(DATEVALUE(F434))), AND(ISNUMBER(F434), LEFT(CELL("format", F434))="D"))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2" width="21.75"/>
    <col customWidth="1" min="3" max="3" width="23.25"/>
    <col customWidth="1" min="4" max="4" width="28.25"/>
    <col customWidth="1" min="5" max="5" width="20.13"/>
    <col customWidth="1" min="6" max="6" width="25.88"/>
    <col customWidth="1" min="7" max="7" width="2.63"/>
    <col customWidth="1" min="8" max="8" width="9.88"/>
    <col customWidth="1" min="9" max="9" width="22.13"/>
    <col customWidth="1" min="10" max="10" width="29.5"/>
    <col customWidth="1" min="11" max="11" width="21.25"/>
    <col customWidth="1" min="12" max="12" width="25.75"/>
    <col customWidth="1" min="13" max="13" width="9.5"/>
  </cols>
  <sheetData>
    <row r="1" ht="40.5" customHeight="1">
      <c r="A1" s="89"/>
      <c r="B1" s="90"/>
      <c r="C1" s="90"/>
      <c r="D1" s="90"/>
      <c r="E1" s="90" t="s">
        <v>4722</v>
      </c>
      <c r="F1" s="91"/>
      <c r="G1" s="92" t="s">
        <v>4723</v>
      </c>
      <c r="H1" s="93"/>
      <c r="I1" s="94"/>
      <c r="J1" s="94"/>
      <c r="K1" s="93" t="s">
        <v>4724</v>
      </c>
      <c r="L1" s="94"/>
      <c r="M1" s="95"/>
    </row>
    <row r="2" ht="33.0" customHeight="1">
      <c r="A2" s="96" t="s">
        <v>1</v>
      </c>
      <c r="B2" s="97" t="s">
        <v>2</v>
      </c>
      <c r="C2" s="97" t="s">
        <v>3</v>
      </c>
      <c r="D2" s="97" t="s">
        <v>4</v>
      </c>
      <c r="E2" s="96" t="s">
        <v>4725</v>
      </c>
      <c r="F2" s="97" t="s">
        <v>5</v>
      </c>
      <c r="H2" s="96" t="s">
        <v>1</v>
      </c>
      <c r="I2" s="97" t="s">
        <v>3</v>
      </c>
      <c r="J2" s="97" t="s">
        <v>4</v>
      </c>
      <c r="K2" s="96" t="s">
        <v>4725</v>
      </c>
      <c r="L2" s="97" t="s">
        <v>5</v>
      </c>
      <c r="M2" s="98" t="s">
        <v>4726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ht="17.25" customHeight="1">
      <c r="A3" s="100" t="s">
        <v>4727</v>
      </c>
      <c r="B3" s="100" t="s">
        <v>4728</v>
      </c>
      <c r="C3" s="100" t="s">
        <v>1392</v>
      </c>
      <c r="D3" s="100" t="s">
        <v>4729</v>
      </c>
      <c r="E3" s="101" t="s">
        <v>4730</v>
      </c>
      <c r="F3" s="102" t="s">
        <v>4731</v>
      </c>
      <c r="G3" s="103"/>
      <c r="H3" s="100" t="s">
        <v>4732</v>
      </c>
      <c r="I3" s="100" t="s">
        <v>1392</v>
      </c>
      <c r="J3" s="100" t="s">
        <v>4729</v>
      </c>
      <c r="K3" s="101" t="s">
        <v>4733</v>
      </c>
      <c r="L3" s="101" t="s">
        <v>4734</v>
      </c>
      <c r="M3" s="104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ht="17.25" customHeight="1">
      <c r="A4" s="100" t="s">
        <v>4735</v>
      </c>
      <c r="B4" s="100" t="s">
        <v>4736</v>
      </c>
      <c r="C4" s="100" t="s">
        <v>4737</v>
      </c>
      <c r="D4" s="100" t="s">
        <v>4729</v>
      </c>
      <c r="E4" s="101" t="s">
        <v>4730</v>
      </c>
      <c r="F4" s="102" t="s">
        <v>4738</v>
      </c>
      <c r="G4" s="103"/>
      <c r="H4" s="100" t="s">
        <v>4739</v>
      </c>
      <c r="I4" s="100" t="s">
        <v>4737</v>
      </c>
      <c r="J4" s="100" t="s">
        <v>4729</v>
      </c>
      <c r="K4" s="101" t="s">
        <v>4733</v>
      </c>
      <c r="L4" s="101" t="s">
        <v>4740</v>
      </c>
      <c r="M4" s="104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ht="17.25" customHeight="1">
      <c r="A5" s="105" t="s">
        <v>4741</v>
      </c>
      <c r="B5" s="105" t="s">
        <v>4742</v>
      </c>
      <c r="C5" s="105" t="s">
        <v>1392</v>
      </c>
      <c r="D5" s="105" t="s">
        <v>4743</v>
      </c>
      <c r="E5" s="106" t="s">
        <v>4730</v>
      </c>
      <c r="F5" s="107" t="s">
        <v>4744</v>
      </c>
      <c r="G5" s="108"/>
      <c r="H5" s="105" t="s">
        <v>4745</v>
      </c>
      <c r="I5" s="105" t="s">
        <v>1392</v>
      </c>
      <c r="J5" s="105" t="s">
        <v>4743</v>
      </c>
      <c r="K5" s="106" t="s">
        <v>4733</v>
      </c>
      <c r="L5" s="106" t="s">
        <v>4746</v>
      </c>
      <c r="M5" s="104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ht="17.25" customHeight="1">
      <c r="A6" s="100" t="s">
        <v>4747</v>
      </c>
      <c r="B6" s="100" t="s">
        <v>4748</v>
      </c>
      <c r="C6" s="100" t="s">
        <v>4749</v>
      </c>
      <c r="D6" s="100" t="s">
        <v>4750</v>
      </c>
      <c r="E6" s="101" t="s">
        <v>4730</v>
      </c>
      <c r="F6" s="102" t="s">
        <v>4751</v>
      </c>
      <c r="G6" s="108"/>
      <c r="H6" s="100" t="s">
        <v>4752</v>
      </c>
      <c r="I6" s="100" t="s">
        <v>4749</v>
      </c>
      <c r="J6" s="100" t="s">
        <v>4750</v>
      </c>
      <c r="K6" s="101" t="s">
        <v>4733</v>
      </c>
      <c r="L6" s="101" t="s">
        <v>4753</v>
      </c>
      <c r="M6" s="104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ht="17.25" customHeight="1">
      <c r="A7" s="100" t="s">
        <v>4754</v>
      </c>
      <c r="B7" s="100" t="s">
        <v>4755</v>
      </c>
      <c r="C7" s="100" t="s">
        <v>4756</v>
      </c>
      <c r="D7" s="100" t="s">
        <v>656</v>
      </c>
      <c r="E7" s="101" t="s">
        <v>4730</v>
      </c>
      <c r="F7" s="102" t="s">
        <v>4757</v>
      </c>
      <c r="G7" s="108"/>
      <c r="H7" s="100" t="s">
        <v>4758</v>
      </c>
      <c r="I7" s="100" t="s">
        <v>4756</v>
      </c>
      <c r="J7" s="100" t="s">
        <v>656</v>
      </c>
      <c r="K7" s="101" t="s">
        <v>4733</v>
      </c>
      <c r="L7" s="101" t="s">
        <v>4759</v>
      </c>
      <c r="M7" s="104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ht="17.25" customHeight="1">
      <c r="A8" s="100" t="s">
        <v>4760</v>
      </c>
      <c r="B8" s="100" t="s">
        <v>4761</v>
      </c>
      <c r="C8" s="100" t="s">
        <v>4756</v>
      </c>
      <c r="D8" s="100" t="s">
        <v>4762</v>
      </c>
      <c r="E8" s="101" t="s">
        <v>4730</v>
      </c>
      <c r="F8" s="102" t="s">
        <v>4763</v>
      </c>
      <c r="G8" s="108"/>
      <c r="H8" s="100" t="s">
        <v>4764</v>
      </c>
      <c r="I8" s="100" t="s">
        <v>4756</v>
      </c>
      <c r="J8" s="100" t="s">
        <v>4762</v>
      </c>
      <c r="K8" s="101" t="s">
        <v>4733</v>
      </c>
      <c r="L8" s="101" t="s">
        <v>4765</v>
      </c>
      <c r="M8" s="104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17.25" customHeight="1">
      <c r="A9" s="100" t="s">
        <v>4766</v>
      </c>
      <c r="B9" s="100" t="s">
        <v>4767</v>
      </c>
      <c r="C9" s="100" t="s">
        <v>4756</v>
      </c>
      <c r="D9" s="100" t="s">
        <v>4768</v>
      </c>
      <c r="E9" s="101" t="s">
        <v>4730</v>
      </c>
      <c r="F9" s="102" t="s">
        <v>4769</v>
      </c>
      <c r="G9" s="108"/>
      <c r="H9" s="100" t="s">
        <v>4770</v>
      </c>
      <c r="I9" s="100" t="s">
        <v>4756</v>
      </c>
      <c r="J9" s="100" t="s">
        <v>4768</v>
      </c>
      <c r="K9" s="101" t="s">
        <v>4733</v>
      </c>
      <c r="L9" s="101" t="s">
        <v>4771</v>
      </c>
      <c r="M9" s="104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ht="17.25" customHeight="1">
      <c r="A10" s="100" t="s">
        <v>4772</v>
      </c>
      <c r="B10" s="100" t="s">
        <v>4773</v>
      </c>
      <c r="C10" s="100" t="s">
        <v>4774</v>
      </c>
      <c r="D10" s="100" t="s">
        <v>4768</v>
      </c>
      <c r="E10" s="101" t="s">
        <v>4730</v>
      </c>
      <c r="F10" s="102" t="s">
        <v>4775</v>
      </c>
      <c r="G10" s="108"/>
      <c r="H10" s="100" t="s">
        <v>4776</v>
      </c>
      <c r="I10" s="100" t="s">
        <v>4774</v>
      </c>
      <c r="J10" s="100" t="s">
        <v>4768</v>
      </c>
      <c r="K10" s="101" t="s">
        <v>4733</v>
      </c>
      <c r="L10" s="101" t="s">
        <v>4777</v>
      </c>
      <c r="M10" s="104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ht="17.25" customHeight="1">
      <c r="A11" s="100" t="s">
        <v>4778</v>
      </c>
      <c r="B11" s="100" t="s">
        <v>4779</v>
      </c>
      <c r="C11" s="100" t="s">
        <v>4780</v>
      </c>
      <c r="D11" s="100" t="s">
        <v>656</v>
      </c>
      <c r="E11" s="101" t="s">
        <v>4730</v>
      </c>
      <c r="F11" s="102" t="s">
        <v>4781</v>
      </c>
      <c r="G11" s="108"/>
      <c r="H11" s="100" t="s">
        <v>4782</v>
      </c>
      <c r="I11" s="100" t="s">
        <v>4780</v>
      </c>
      <c r="J11" s="100" t="s">
        <v>656</v>
      </c>
      <c r="K11" s="101" t="s">
        <v>4733</v>
      </c>
      <c r="L11" s="101" t="s">
        <v>4783</v>
      </c>
      <c r="M11" s="104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ht="17.25" customHeight="1">
      <c r="A12" s="100" t="s">
        <v>4784</v>
      </c>
      <c r="B12" s="100" t="s">
        <v>4785</v>
      </c>
      <c r="C12" s="100" t="s">
        <v>4780</v>
      </c>
      <c r="D12" s="100" t="s">
        <v>656</v>
      </c>
      <c r="E12" s="101" t="s">
        <v>4730</v>
      </c>
      <c r="F12" s="102" t="s">
        <v>4786</v>
      </c>
      <c r="G12" s="108"/>
      <c r="H12" s="100" t="s">
        <v>4106</v>
      </c>
      <c r="I12" s="100" t="s">
        <v>4780</v>
      </c>
      <c r="J12" s="100" t="s">
        <v>656</v>
      </c>
      <c r="K12" s="101" t="s">
        <v>4733</v>
      </c>
      <c r="L12" s="101" t="s">
        <v>4787</v>
      </c>
      <c r="M12" s="104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ht="17.25" customHeight="1">
      <c r="A13" s="100" t="s">
        <v>4788</v>
      </c>
      <c r="B13" s="100" t="s">
        <v>4789</v>
      </c>
      <c r="C13" s="100" t="s">
        <v>4780</v>
      </c>
      <c r="D13" s="100" t="s">
        <v>656</v>
      </c>
      <c r="E13" s="101" t="s">
        <v>4730</v>
      </c>
      <c r="F13" s="102" t="s">
        <v>4790</v>
      </c>
      <c r="G13" s="108"/>
      <c r="H13" s="100" t="s">
        <v>4102</v>
      </c>
      <c r="I13" s="100" t="s">
        <v>4780</v>
      </c>
      <c r="J13" s="100" t="s">
        <v>656</v>
      </c>
      <c r="K13" s="101" t="s">
        <v>4733</v>
      </c>
      <c r="L13" s="101" t="s">
        <v>4791</v>
      </c>
      <c r="M13" s="104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ht="17.25" customHeight="1">
      <c r="A14" s="100" t="s">
        <v>4792</v>
      </c>
      <c r="B14" s="100" t="s">
        <v>4793</v>
      </c>
      <c r="C14" s="100" t="s">
        <v>4794</v>
      </c>
      <c r="D14" s="100" t="s">
        <v>4762</v>
      </c>
      <c r="E14" s="101" t="s">
        <v>4730</v>
      </c>
      <c r="F14" s="102" t="s">
        <v>4795</v>
      </c>
      <c r="G14" s="108"/>
      <c r="H14" s="100" t="s">
        <v>3319</v>
      </c>
      <c r="I14" s="100" t="s">
        <v>4794</v>
      </c>
      <c r="J14" s="100" t="s">
        <v>4762</v>
      </c>
      <c r="K14" s="101" t="s">
        <v>4733</v>
      </c>
      <c r="L14" s="101" t="s">
        <v>4796</v>
      </c>
      <c r="M14" s="104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ht="17.25" customHeight="1">
      <c r="A15" s="100" t="s">
        <v>4797</v>
      </c>
      <c r="B15" s="100" t="s">
        <v>4798</v>
      </c>
      <c r="C15" s="100" t="s">
        <v>4799</v>
      </c>
      <c r="D15" s="100" t="s">
        <v>4768</v>
      </c>
      <c r="E15" s="101" t="s">
        <v>4730</v>
      </c>
      <c r="F15" s="102" t="s">
        <v>4800</v>
      </c>
      <c r="G15" s="108"/>
      <c r="H15" s="100" t="s">
        <v>4801</v>
      </c>
      <c r="I15" s="100" t="s">
        <v>4799</v>
      </c>
      <c r="J15" s="100" t="s">
        <v>4768</v>
      </c>
      <c r="K15" s="101" t="s">
        <v>4733</v>
      </c>
      <c r="L15" s="101" t="s">
        <v>4802</v>
      </c>
      <c r="M15" s="104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ht="17.25" customHeight="1">
      <c r="A16" s="105" t="s">
        <v>4803</v>
      </c>
      <c r="B16" s="105" t="s">
        <v>4804</v>
      </c>
      <c r="C16" s="105" t="s">
        <v>4805</v>
      </c>
      <c r="D16" s="105" t="s">
        <v>4806</v>
      </c>
      <c r="E16" s="106" t="s">
        <v>4730</v>
      </c>
      <c r="F16" s="107" t="s">
        <v>4807</v>
      </c>
      <c r="G16" s="108"/>
      <c r="H16" s="105" t="s">
        <v>4808</v>
      </c>
      <c r="I16" s="105" t="s">
        <v>4805</v>
      </c>
      <c r="J16" s="105" t="s">
        <v>4806</v>
      </c>
      <c r="K16" s="106" t="s">
        <v>4733</v>
      </c>
      <c r="L16" s="106" t="s">
        <v>4809</v>
      </c>
      <c r="M16" s="104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ht="17.25" customHeight="1">
      <c r="A17" s="105" t="s">
        <v>4810</v>
      </c>
      <c r="B17" s="105" t="s">
        <v>4811</v>
      </c>
      <c r="C17" s="105" t="s">
        <v>2062</v>
      </c>
      <c r="D17" s="105" t="s">
        <v>4812</v>
      </c>
      <c r="E17" s="106" t="s">
        <v>4730</v>
      </c>
      <c r="F17" s="107" t="s">
        <v>4813</v>
      </c>
      <c r="G17" s="108"/>
      <c r="H17" s="105" t="s">
        <v>4814</v>
      </c>
      <c r="I17" s="105" t="s">
        <v>2062</v>
      </c>
      <c r="J17" s="105" t="s">
        <v>4812</v>
      </c>
      <c r="K17" s="106" t="s">
        <v>4733</v>
      </c>
      <c r="L17" s="106" t="s">
        <v>4815</v>
      </c>
      <c r="M17" s="104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ht="17.25" customHeight="1">
      <c r="A18" s="100" t="s">
        <v>4816</v>
      </c>
      <c r="B18" s="100" t="s">
        <v>4817</v>
      </c>
      <c r="C18" s="100" t="s">
        <v>4818</v>
      </c>
      <c r="D18" s="100" t="s">
        <v>4819</v>
      </c>
      <c r="E18" s="101" t="s">
        <v>4730</v>
      </c>
      <c r="F18" s="102" t="s">
        <v>4820</v>
      </c>
      <c r="G18" s="108"/>
      <c r="H18" s="100" t="s">
        <v>4821</v>
      </c>
      <c r="I18" s="100" t="s">
        <v>4818</v>
      </c>
      <c r="J18" s="100" t="s">
        <v>4819</v>
      </c>
      <c r="K18" s="101" t="s">
        <v>4733</v>
      </c>
      <c r="L18" s="101" t="s">
        <v>4822</v>
      </c>
      <c r="M18" s="104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ht="17.25" customHeight="1">
      <c r="A19" s="100" t="s">
        <v>4823</v>
      </c>
      <c r="B19" s="100" t="s">
        <v>4824</v>
      </c>
      <c r="C19" s="100" t="s">
        <v>4818</v>
      </c>
      <c r="D19" s="100" t="s">
        <v>4118</v>
      </c>
      <c r="E19" s="101" t="s">
        <v>4730</v>
      </c>
      <c r="F19" s="102" t="s">
        <v>4825</v>
      </c>
      <c r="G19" s="103"/>
      <c r="H19" s="100" t="s">
        <v>4116</v>
      </c>
      <c r="I19" s="100" t="s">
        <v>4818</v>
      </c>
      <c r="J19" s="100" t="s">
        <v>4118</v>
      </c>
      <c r="K19" s="101" t="s">
        <v>4733</v>
      </c>
      <c r="L19" s="101" t="s">
        <v>4826</v>
      </c>
      <c r="M19" s="104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ht="17.25" customHeight="1">
      <c r="A20" s="100" t="s">
        <v>4827</v>
      </c>
      <c r="B20" s="100" t="s">
        <v>4828</v>
      </c>
      <c r="C20" s="100" t="s">
        <v>4749</v>
      </c>
      <c r="D20" s="100" t="s">
        <v>4829</v>
      </c>
      <c r="E20" s="101" t="s">
        <v>4730</v>
      </c>
      <c r="F20" s="102" t="s">
        <v>4830</v>
      </c>
      <c r="G20" s="103"/>
      <c r="H20" s="100" t="s">
        <v>4831</v>
      </c>
      <c r="I20" s="100" t="s">
        <v>4749</v>
      </c>
      <c r="J20" s="100" t="s">
        <v>4829</v>
      </c>
      <c r="K20" s="101" t="s">
        <v>4733</v>
      </c>
      <c r="L20" s="101" t="s">
        <v>4832</v>
      </c>
      <c r="M20" s="104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ht="17.25" customHeight="1">
      <c r="A21" s="100" t="s">
        <v>4833</v>
      </c>
      <c r="B21" s="100" t="s">
        <v>4834</v>
      </c>
      <c r="C21" s="100" t="s">
        <v>4835</v>
      </c>
      <c r="D21" s="100" t="s">
        <v>4836</v>
      </c>
      <c r="E21" s="101" t="s">
        <v>4730</v>
      </c>
      <c r="F21" s="102" t="s">
        <v>4837</v>
      </c>
      <c r="G21" s="103"/>
      <c r="H21" s="100" t="s">
        <v>4838</v>
      </c>
      <c r="I21" s="100" t="s">
        <v>4835</v>
      </c>
      <c r="J21" s="100" t="s">
        <v>4836</v>
      </c>
      <c r="K21" s="101" t="s">
        <v>4733</v>
      </c>
      <c r="L21" s="101" t="s">
        <v>4839</v>
      </c>
      <c r="M21" s="104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ht="17.25" customHeight="1">
      <c r="A22" s="100" t="s">
        <v>4840</v>
      </c>
      <c r="B22" s="100" t="s">
        <v>4841</v>
      </c>
      <c r="C22" s="100" t="s">
        <v>4835</v>
      </c>
      <c r="D22" s="100" t="s">
        <v>4842</v>
      </c>
      <c r="E22" s="101" t="s">
        <v>4730</v>
      </c>
      <c r="F22" s="102" t="s">
        <v>4843</v>
      </c>
      <c r="G22" s="103"/>
      <c r="H22" s="100" t="s">
        <v>4844</v>
      </c>
      <c r="I22" s="100" t="s">
        <v>4835</v>
      </c>
      <c r="J22" s="100" t="s">
        <v>4842</v>
      </c>
      <c r="K22" s="101" t="s">
        <v>4733</v>
      </c>
      <c r="L22" s="101" t="s">
        <v>4845</v>
      </c>
      <c r="M22" s="104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ht="17.25" customHeight="1">
      <c r="A23" s="100" t="s">
        <v>4846</v>
      </c>
      <c r="B23" s="100" t="s">
        <v>4847</v>
      </c>
      <c r="C23" s="100" t="s">
        <v>4756</v>
      </c>
      <c r="D23" s="100" t="s">
        <v>813</v>
      </c>
      <c r="E23" s="101" t="s">
        <v>4730</v>
      </c>
      <c r="F23" s="102" t="s">
        <v>4848</v>
      </c>
      <c r="G23" s="103"/>
      <c r="H23" s="100" t="s">
        <v>4849</v>
      </c>
      <c r="I23" s="100" t="s">
        <v>4756</v>
      </c>
      <c r="J23" s="100" t="s">
        <v>813</v>
      </c>
      <c r="K23" s="101" t="s">
        <v>4733</v>
      </c>
      <c r="L23" s="101" t="s">
        <v>4850</v>
      </c>
      <c r="M23" s="104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ht="17.25" customHeight="1">
      <c r="A24" s="100" t="s">
        <v>4851</v>
      </c>
      <c r="B24" s="100" t="s">
        <v>4852</v>
      </c>
      <c r="C24" s="100" t="s">
        <v>4853</v>
      </c>
      <c r="D24" s="100" t="s">
        <v>813</v>
      </c>
      <c r="E24" s="101" t="s">
        <v>4730</v>
      </c>
      <c r="F24" s="102" t="s">
        <v>4854</v>
      </c>
      <c r="G24" s="103"/>
      <c r="H24" s="100" t="s">
        <v>4855</v>
      </c>
      <c r="I24" s="100" t="s">
        <v>4853</v>
      </c>
      <c r="J24" s="100" t="s">
        <v>813</v>
      </c>
      <c r="K24" s="101" t="s">
        <v>4733</v>
      </c>
      <c r="L24" s="101" t="s">
        <v>4856</v>
      </c>
      <c r="M24" s="104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ht="17.25" customHeight="1">
      <c r="A25" s="100" t="s">
        <v>4857</v>
      </c>
      <c r="B25" s="100" t="s">
        <v>811</v>
      </c>
      <c r="C25" s="100" t="s">
        <v>4853</v>
      </c>
      <c r="D25" s="100" t="s">
        <v>813</v>
      </c>
      <c r="E25" s="101" t="s">
        <v>4730</v>
      </c>
      <c r="F25" s="102" t="s">
        <v>4858</v>
      </c>
      <c r="G25" s="103"/>
      <c r="H25" s="100" t="s">
        <v>810</v>
      </c>
      <c r="I25" s="100" t="s">
        <v>4853</v>
      </c>
      <c r="J25" s="100" t="s">
        <v>813</v>
      </c>
      <c r="K25" s="101" t="s">
        <v>4733</v>
      </c>
      <c r="L25" s="101" t="s">
        <v>814</v>
      </c>
      <c r="M25" s="104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ht="17.25" customHeight="1">
      <c r="A26" s="100" t="s">
        <v>4859</v>
      </c>
      <c r="B26" s="100" t="s">
        <v>4860</v>
      </c>
      <c r="C26" s="100" t="s">
        <v>4853</v>
      </c>
      <c r="D26" s="100" t="s">
        <v>813</v>
      </c>
      <c r="E26" s="101" t="s">
        <v>4730</v>
      </c>
      <c r="F26" s="102" t="s">
        <v>4861</v>
      </c>
      <c r="G26" s="103"/>
      <c r="H26" s="100" t="s">
        <v>4862</v>
      </c>
      <c r="I26" s="100" t="s">
        <v>4853</v>
      </c>
      <c r="J26" s="100" t="s">
        <v>813</v>
      </c>
      <c r="K26" s="101" t="s">
        <v>4733</v>
      </c>
      <c r="L26" s="101" t="s">
        <v>4863</v>
      </c>
      <c r="M26" s="104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17.25" customHeight="1">
      <c r="A27" s="100" t="s">
        <v>4864</v>
      </c>
      <c r="B27" s="100" t="s">
        <v>4865</v>
      </c>
      <c r="C27" s="100" t="s">
        <v>4853</v>
      </c>
      <c r="D27" s="100" t="s">
        <v>813</v>
      </c>
      <c r="E27" s="101" t="s">
        <v>4730</v>
      </c>
      <c r="F27" s="102" t="s">
        <v>4866</v>
      </c>
      <c r="G27" s="103"/>
      <c r="H27" s="100" t="s">
        <v>4867</v>
      </c>
      <c r="I27" s="100" t="s">
        <v>4853</v>
      </c>
      <c r="J27" s="100" t="s">
        <v>813</v>
      </c>
      <c r="K27" s="101" t="s">
        <v>4733</v>
      </c>
      <c r="L27" s="101" t="s">
        <v>4868</v>
      </c>
      <c r="M27" s="104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ht="17.25" customHeight="1">
      <c r="A28" s="100" t="s">
        <v>4869</v>
      </c>
      <c r="B28" s="100" t="s">
        <v>4870</v>
      </c>
      <c r="C28" s="100" t="s">
        <v>4853</v>
      </c>
      <c r="D28" s="100" t="s">
        <v>813</v>
      </c>
      <c r="E28" s="101" t="s">
        <v>4730</v>
      </c>
      <c r="F28" s="102" t="s">
        <v>4871</v>
      </c>
      <c r="G28" s="103"/>
      <c r="H28" s="100" t="s">
        <v>4872</v>
      </c>
      <c r="I28" s="100" t="s">
        <v>4853</v>
      </c>
      <c r="J28" s="100" t="s">
        <v>813</v>
      </c>
      <c r="K28" s="101" t="s">
        <v>4733</v>
      </c>
      <c r="L28" s="101" t="s">
        <v>4873</v>
      </c>
      <c r="M28" s="104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17.25" customHeight="1">
      <c r="A29" s="100" t="s">
        <v>4874</v>
      </c>
      <c r="B29" s="100" t="s">
        <v>4875</v>
      </c>
      <c r="C29" s="100" t="s">
        <v>4876</v>
      </c>
      <c r="D29" s="100" t="s">
        <v>4877</v>
      </c>
      <c r="E29" s="101" t="s">
        <v>4730</v>
      </c>
      <c r="F29" s="102" t="s">
        <v>4878</v>
      </c>
      <c r="G29" s="103"/>
      <c r="H29" s="100" t="s">
        <v>4879</v>
      </c>
      <c r="I29" s="100" t="s">
        <v>4876</v>
      </c>
      <c r="J29" s="100" t="s">
        <v>4877</v>
      </c>
      <c r="K29" s="101" t="s">
        <v>4733</v>
      </c>
      <c r="L29" s="101" t="s">
        <v>4880</v>
      </c>
      <c r="M29" s="104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17.25" customHeight="1">
      <c r="A30" s="100" t="s">
        <v>4881</v>
      </c>
      <c r="B30" s="100" t="s">
        <v>4882</v>
      </c>
      <c r="C30" s="100" t="s">
        <v>4876</v>
      </c>
      <c r="D30" s="100" t="s">
        <v>4877</v>
      </c>
      <c r="E30" s="101" t="s">
        <v>4730</v>
      </c>
      <c r="F30" s="102" t="s">
        <v>4883</v>
      </c>
      <c r="G30" s="103"/>
      <c r="H30" s="100" t="s">
        <v>4884</v>
      </c>
      <c r="I30" s="100" t="s">
        <v>4876</v>
      </c>
      <c r="J30" s="100" t="s">
        <v>4877</v>
      </c>
      <c r="K30" s="101" t="s">
        <v>4733</v>
      </c>
      <c r="L30" s="101" t="s">
        <v>4885</v>
      </c>
      <c r="M30" s="104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17.25" customHeight="1">
      <c r="A31" s="100" t="s">
        <v>4886</v>
      </c>
      <c r="B31" s="100" t="s">
        <v>4887</v>
      </c>
      <c r="C31" s="100" t="s">
        <v>4876</v>
      </c>
      <c r="D31" s="100" t="s">
        <v>4877</v>
      </c>
      <c r="E31" s="101" t="s">
        <v>4730</v>
      </c>
      <c r="F31" s="102" t="s">
        <v>4888</v>
      </c>
      <c r="G31" s="103"/>
      <c r="H31" s="100" t="s">
        <v>4889</v>
      </c>
      <c r="I31" s="100" t="s">
        <v>4876</v>
      </c>
      <c r="J31" s="100" t="s">
        <v>4877</v>
      </c>
      <c r="K31" s="101" t="s">
        <v>4733</v>
      </c>
      <c r="L31" s="101" t="s">
        <v>4890</v>
      </c>
      <c r="M31" s="104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17.25" customHeight="1">
      <c r="A32" s="100" t="s">
        <v>4891</v>
      </c>
      <c r="B32" s="100" t="s">
        <v>4892</v>
      </c>
      <c r="C32" s="100" t="s">
        <v>4876</v>
      </c>
      <c r="D32" s="100" t="s">
        <v>4877</v>
      </c>
      <c r="E32" s="101" t="s">
        <v>4730</v>
      </c>
      <c r="F32" s="102" t="s">
        <v>4893</v>
      </c>
      <c r="G32" s="103"/>
      <c r="H32" s="100" t="s">
        <v>4894</v>
      </c>
      <c r="I32" s="100" t="s">
        <v>4876</v>
      </c>
      <c r="J32" s="100" t="s">
        <v>4877</v>
      </c>
      <c r="K32" s="101" t="s">
        <v>4733</v>
      </c>
      <c r="L32" s="101" t="s">
        <v>4895</v>
      </c>
      <c r="M32" s="104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17.25" customHeight="1">
      <c r="A33" s="100" t="s">
        <v>4896</v>
      </c>
      <c r="B33" s="100" t="s">
        <v>4897</v>
      </c>
      <c r="C33" s="100" t="s">
        <v>4898</v>
      </c>
      <c r="D33" s="100" t="s">
        <v>813</v>
      </c>
      <c r="E33" s="101" t="s">
        <v>4730</v>
      </c>
      <c r="F33" s="102" t="s">
        <v>4899</v>
      </c>
      <c r="G33" s="103"/>
      <c r="H33" s="100" t="s">
        <v>4900</v>
      </c>
      <c r="I33" s="100" t="s">
        <v>4898</v>
      </c>
      <c r="J33" s="100" t="s">
        <v>813</v>
      </c>
      <c r="K33" s="101" t="s">
        <v>4733</v>
      </c>
      <c r="L33" s="101" t="s">
        <v>4901</v>
      </c>
      <c r="M33" s="104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17.25" customHeight="1">
      <c r="A34" s="100" t="s">
        <v>4902</v>
      </c>
      <c r="B34" s="100" t="s">
        <v>4903</v>
      </c>
      <c r="C34" s="100" t="s">
        <v>4898</v>
      </c>
      <c r="D34" s="100" t="s">
        <v>813</v>
      </c>
      <c r="E34" s="101" t="s">
        <v>4730</v>
      </c>
      <c r="F34" s="102" t="s">
        <v>4904</v>
      </c>
      <c r="G34" s="103"/>
      <c r="H34" s="100" t="s">
        <v>4905</v>
      </c>
      <c r="I34" s="100" t="s">
        <v>4898</v>
      </c>
      <c r="J34" s="100" t="s">
        <v>813</v>
      </c>
      <c r="K34" s="101" t="s">
        <v>4733</v>
      </c>
      <c r="L34" s="101" t="s">
        <v>4906</v>
      </c>
      <c r="M34" s="104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17.25" customHeight="1">
      <c r="A35" s="100" t="s">
        <v>4907</v>
      </c>
      <c r="B35" s="100" t="s">
        <v>4908</v>
      </c>
      <c r="C35" s="100" t="s">
        <v>4898</v>
      </c>
      <c r="D35" s="100" t="s">
        <v>813</v>
      </c>
      <c r="E35" s="101" t="s">
        <v>4730</v>
      </c>
      <c r="F35" s="102" t="s">
        <v>4909</v>
      </c>
      <c r="G35" s="103"/>
      <c r="H35" s="100" t="s">
        <v>4910</v>
      </c>
      <c r="I35" s="100" t="s">
        <v>4898</v>
      </c>
      <c r="J35" s="100" t="s">
        <v>813</v>
      </c>
      <c r="K35" s="101" t="s">
        <v>4733</v>
      </c>
      <c r="L35" s="101" t="s">
        <v>4909</v>
      </c>
      <c r="M35" s="104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17.25" customHeight="1">
      <c r="A36" s="105" t="s">
        <v>4911</v>
      </c>
      <c r="B36" s="105" t="s">
        <v>4912</v>
      </c>
      <c r="C36" s="105" t="s">
        <v>1934</v>
      </c>
      <c r="D36" s="105" t="s">
        <v>4913</v>
      </c>
      <c r="E36" s="106" t="s">
        <v>4733</v>
      </c>
      <c r="F36" s="107" t="s">
        <v>4914</v>
      </c>
      <c r="G36" s="109"/>
      <c r="H36" s="105" t="s">
        <v>4915</v>
      </c>
      <c r="I36" s="105" t="s">
        <v>1934</v>
      </c>
      <c r="J36" s="105" t="s">
        <v>2915</v>
      </c>
      <c r="K36" s="106" t="s">
        <v>4916</v>
      </c>
      <c r="L36" s="106" t="s">
        <v>4917</v>
      </c>
      <c r="M36" s="104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17.25" customHeight="1">
      <c r="A37" s="100" t="s">
        <v>4918</v>
      </c>
      <c r="B37" s="100" t="s">
        <v>4919</v>
      </c>
      <c r="C37" s="100" t="s">
        <v>697</v>
      </c>
      <c r="D37" s="100" t="s">
        <v>4920</v>
      </c>
      <c r="E37" s="101" t="s">
        <v>4921</v>
      </c>
      <c r="F37" s="102" t="s">
        <v>928</v>
      </c>
      <c r="G37" s="103"/>
      <c r="H37" s="100" t="s">
        <v>4922</v>
      </c>
      <c r="I37" s="100" t="s">
        <v>697</v>
      </c>
      <c r="J37" s="100" t="s">
        <v>4923</v>
      </c>
      <c r="K37" s="101" t="s">
        <v>4916</v>
      </c>
      <c r="L37" s="101" t="s">
        <v>4924</v>
      </c>
      <c r="M37" s="104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17.25" customHeight="1">
      <c r="A38" s="110" t="s">
        <v>4925</v>
      </c>
      <c r="B38" s="110" t="s">
        <v>4241</v>
      </c>
      <c r="C38" s="110" t="s">
        <v>4926</v>
      </c>
      <c r="D38" s="110" t="s">
        <v>4927</v>
      </c>
      <c r="E38" s="111" t="s">
        <v>4921</v>
      </c>
      <c r="F38" s="111" t="s">
        <v>4928</v>
      </c>
      <c r="G38" s="99"/>
      <c r="H38" s="112" t="s">
        <v>4240</v>
      </c>
      <c r="I38" s="112" t="s">
        <v>4926</v>
      </c>
      <c r="J38" s="112" t="s">
        <v>4927</v>
      </c>
      <c r="K38" s="111" t="s">
        <v>4733</v>
      </c>
      <c r="L38" s="111" t="s">
        <v>4929</v>
      </c>
      <c r="M38" s="104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17.25" customHeight="1">
      <c r="A39" s="110" t="s">
        <v>4930</v>
      </c>
      <c r="B39" s="110" t="s">
        <v>4931</v>
      </c>
      <c r="C39" s="110" t="s">
        <v>2663</v>
      </c>
      <c r="D39" s="110" t="s">
        <v>410</v>
      </c>
      <c r="E39" s="111" t="s">
        <v>4921</v>
      </c>
      <c r="F39" s="111" t="s">
        <v>4932</v>
      </c>
      <c r="G39" s="99"/>
      <c r="H39" s="112" t="s">
        <v>4933</v>
      </c>
      <c r="I39" s="112" t="s">
        <v>2663</v>
      </c>
      <c r="J39" s="112" t="s">
        <v>4934</v>
      </c>
      <c r="K39" s="111" t="s">
        <v>4733</v>
      </c>
      <c r="L39" s="111" t="s">
        <v>4935</v>
      </c>
      <c r="M39" s="104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17.25" customHeight="1">
      <c r="A40" s="110" t="s">
        <v>4936</v>
      </c>
      <c r="B40" s="110" t="s">
        <v>4937</v>
      </c>
      <c r="C40" s="110" t="s">
        <v>4938</v>
      </c>
      <c r="D40" s="110" t="s">
        <v>410</v>
      </c>
      <c r="E40" s="111" t="s">
        <v>4921</v>
      </c>
      <c r="F40" s="111" t="s">
        <v>4939</v>
      </c>
      <c r="G40" s="99"/>
      <c r="H40" s="112" t="s">
        <v>4940</v>
      </c>
      <c r="I40" s="112" t="s">
        <v>4938</v>
      </c>
      <c r="J40" s="112" t="s">
        <v>4934</v>
      </c>
      <c r="K40" s="111" t="s">
        <v>4733</v>
      </c>
      <c r="L40" s="111" t="s">
        <v>4941</v>
      </c>
      <c r="M40" s="104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17.25" customHeight="1">
      <c r="A41" s="110" t="s">
        <v>4942</v>
      </c>
      <c r="B41" s="110" t="s">
        <v>4943</v>
      </c>
      <c r="C41" s="110" t="s">
        <v>65</v>
      </c>
      <c r="D41" s="110" t="s">
        <v>4226</v>
      </c>
      <c r="E41" s="111" t="s">
        <v>4921</v>
      </c>
      <c r="F41" s="111" t="s">
        <v>4944</v>
      </c>
      <c r="G41" s="99"/>
      <c r="H41" s="112" t="s">
        <v>4224</v>
      </c>
      <c r="I41" s="112" t="s">
        <v>65</v>
      </c>
      <c r="J41" s="112" t="s">
        <v>4226</v>
      </c>
      <c r="K41" s="111" t="s">
        <v>4733</v>
      </c>
      <c r="L41" s="111" t="s">
        <v>4945</v>
      </c>
      <c r="M41" s="104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17.25" customHeight="1">
      <c r="A42" s="110" t="s">
        <v>4946</v>
      </c>
      <c r="B42" s="110" t="s">
        <v>4947</v>
      </c>
      <c r="C42" s="110" t="s">
        <v>706</v>
      </c>
      <c r="D42" s="110" t="s">
        <v>4948</v>
      </c>
      <c r="E42" s="111" t="s">
        <v>4916</v>
      </c>
      <c r="F42" s="111" t="s">
        <v>4949</v>
      </c>
      <c r="G42" s="99"/>
      <c r="H42" s="112" t="s">
        <v>3461</v>
      </c>
      <c r="I42" s="112" t="s">
        <v>1397</v>
      </c>
      <c r="J42" s="112" t="s">
        <v>2269</v>
      </c>
      <c r="K42" s="111" t="s">
        <v>4733</v>
      </c>
      <c r="L42" s="111" t="s">
        <v>4949</v>
      </c>
      <c r="M42" s="104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17.25" customHeight="1">
      <c r="A43" s="113" t="s">
        <v>4950</v>
      </c>
      <c r="B43" s="113" t="s">
        <v>4353</v>
      </c>
      <c r="C43" s="113" t="s">
        <v>1197</v>
      </c>
      <c r="D43" s="113" t="s">
        <v>154</v>
      </c>
      <c r="E43" s="114" t="s">
        <v>4733</v>
      </c>
      <c r="F43" s="114" t="s">
        <v>4951</v>
      </c>
      <c r="G43" s="115"/>
      <c r="H43" s="116" t="s">
        <v>4952</v>
      </c>
      <c r="I43" s="116" t="s">
        <v>1197</v>
      </c>
      <c r="J43" s="116" t="s">
        <v>4354</v>
      </c>
      <c r="K43" s="114" t="s">
        <v>4921</v>
      </c>
      <c r="L43" s="111" t="s">
        <v>4951</v>
      </c>
      <c r="M43" s="104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17.25" customHeight="1">
      <c r="A44" s="113" t="s">
        <v>3038</v>
      </c>
      <c r="B44" s="113" t="s">
        <v>3039</v>
      </c>
      <c r="C44" s="113" t="s">
        <v>3040</v>
      </c>
      <c r="D44" s="113" t="s">
        <v>1301</v>
      </c>
      <c r="E44" s="114" t="s">
        <v>4733</v>
      </c>
      <c r="F44" s="114" t="s">
        <v>4953</v>
      </c>
      <c r="G44" s="115"/>
      <c r="H44" s="116" t="s">
        <v>4952</v>
      </c>
      <c r="I44" s="116" t="s">
        <v>2200</v>
      </c>
      <c r="J44" s="116" t="s">
        <v>2085</v>
      </c>
      <c r="K44" s="114" t="s">
        <v>4921</v>
      </c>
      <c r="L44" s="111" t="s">
        <v>4954</v>
      </c>
      <c r="M44" s="104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ht="17.25" customHeight="1">
      <c r="A45" s="117" t="s">
        <v>4955</v>
      </c>
      <c r="B45" s="117" t="s">
        <v>4956</v>
      </c>
      <c r="C45" s="117" t="s">
        <v>59</v>
      </c>
      <c r="D45" s="117" t="s">
        <v>3025</v>
      </c>
      <c r="E45" s="118" t="s">
        <v>4921</v>
      </c>
      <c r="F45" s="118" t="s">
        <v>4957</v>
      </c>
      <c r="G45" s="108"/>
      <c r="H45" s="119" t="s">
        <v>57</v>
      </c>
      <c r="I45" s="117" t="s">
        <v>59</v>
      </c>
      <c r="J45" s="119" t="s">
        <v>1800</v>
      </c>
      <c r="K45" s="118" t="s">
        <v>4733</v>
      </c>
      <c r="L45" s="118" t="s">
        <v>61</v>
      </c>
      <c r="M45" s="104">
        <v>45717.0</v>
      </c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ht="17.25" customHeight="1">
      <c r="A46" s="117" t="s">
        <v>4958</v>
      </c>
      <c r="B46" s="117" t="s">
        <v>4959</v>
      </c>
      <c r="C46" s="117" t="s">
        <v>207</v>
      </c>
      <c r="D46" s="117" t="s">
        <v>4081</v>
      </c>
      <c r="E46" s="118" t="s">
        <v>4921</v>
      </c>
      <c r="F46" s="118" t="s">
        <v>4960</v>
      </c>
      <c r="G46" s="108"/>
      <c r="H46" s="119" t="s">
        <v>4205</v>
      </c>
      <c r="I46" s="120" t="s">
        <v>4961</v>
      </c>
      <c r="J46" s="119" t="s">
        <v>2730</v>
      </c>
      <c r="K46" s="118" t="s">
        <v>4733</v>
      </c>
      <c r="L46" s="118" t="s">
        <v>4962</v>
      </c>
      <c r="M46" s="104">
        <v>45748.0</v>
      </c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ht="17.25" customHeight="1">
      <c r="A47" s="121" t="s">
        <v>4963</v>
      </c>
      <c r="B47" s="121" t="s">
        <v>4964</v>
      </c>
      <c r="C47" s="121" t="s">
        <v>697</v>
      </c>
      <c r="D47" s="121" t="s">
        <v>1349</v>
      </c>
      <c r="E47" s="118" t="s">
        <v>4916</v>
      </c>
      <c r="F47" s="118" t="s">
        <v>4965</v>
      </c>
      <c r="G47" s="108"/>
      <c r="H47" s="122" t="s">
        <v>4966</v>
      </c>
      <c r="I47" s="121" t="s">
        <v>697</v>
      </c>
      <c r="J47" s="122" t="s">
        <v>1349</v>
      </c>
      <c r="K47" s="118" t="s">
        <v>4733</v>
      </c>
      <c r="L47" s="118" t="s">
        <v>4967</v>
      </c>
      <c r="M47" s="104">
        <v>45748.0</v>
      </c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ht="17.25" customHeight="1">
      <c r="A48" s="121" t="s">
        <v>4968</v>
      </c>
      <c r="B48" s="121" t="s">
        <v>4969</v>
      </c>
      <c r="C48" s="121" t="s">
        <v>231</v>
      </c>
      <c r="D48" s="118" t="s">
        <v>1837</v>
      </c>
      <c r="E48" s="118" t="s">
        <v>4733</v>
      </c>
      <c r="F48" s="118" t="s">
        <v>4970</v>
      </c>
      <c r="G48" s="108"/>
      <c r="H48" s="123" t="s">
        <v>4971</v>
      </c>
      <c r="I48" s="118" t="s">
        <v>116</v>
      </c>
      <c r="J48" s="118" t="s">
        <v>4972</v>
      </c>
      <c r="K48" s="118" t="s">
        <v>4921</v>
      </c>
      <c r="L48" s="118" t="s">
        <v>4973</v>
      </c>
      <c r="M48" s="104">
        <v>45662.0</v>
      </c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ht="17.25" customHeight="1">
      <c r="A49" s="118" t="s">
        <v>4922</v>
      </c>
      <c r="B49" s="118" t="s">
        <v>4919</v>
      </c>
      <c r="C49" s="118" t="s">
        <v>697</v>
      </c>
      <c r="D49" s="118" t="s">
        <v>4974</v>
      </c>
      <c r="E49" s="118" t="s">
        <v>4916</v>
      </c>
      <c r="F49" s="118" t="s">
        <v>4924</v>
      </c>
      <c r="G49" s="108"/>
      <c r="H49" s="123" t="s">
        <v>925</v>
      </c>
      <c r="I49" s="118" t="s">
        <v>697</v>
      </c>
      <c r="J49" s="118" t="s">
        <v>4975</v>
      </c>
      <c r="K49" s="118" t="s">
        <v>4921</v>
      </c>
      <c r="L49" s="118" t="s">
        <v>928</v>
      </c>
      <c r="M49" s="124">
        <v>45662.0</v>
      </c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ht="17.25" customHeight="1">
      <c r="A50" s="117" t="s">
        <v>4976</v>
      </c>
      <c r="B50" s="117" t="s">
        <v>4977</v>
      </c>
      <c r="C50" s="117" t="s">
        <v>328</v>
      </c>
      <c r="D50" s="117" t="s">
        <v>4978</v>
      </c>
      <c r="E50" s="118" t="s">
        <v>4921</v>
      </c>
      <c r="F50" s="118" t="s">
        <v>4979</v>
      </c>
      <c r="G50" s="108"/>
      <c r="H50" s="119" t="s">
        <v>4112</v>
      </c>
      <c r="I50" s="120" t="s">
        <v>328</v>
      </c>
      <c r="J50" s="119" t="s">
        <v>4978</v>
      </c>
      <c r="K50" s="118" t="s">
        <v>4733</v>
      </c>
      <c r="L50" s="118" t="s">
        <v>4980</v>
      </c>
      <c r="M50" s="104">
        <v>45658.0</v>
      </c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ht="17.25" customHeight="1">
      <c r="A51" s="117" t="s">
        <v>4981</v>
      </c>
      <c r="B51" s="117" t="s">
        <v>4982</v>
      </c>
      <c r="C51" s="117" t="s">
        <v>481</v>
      </c>
      <c r="D51" s="117" t="s">
        <v>4226</v>
      </c>
      <c r="E51" s="118" t="s">
        <v>4921</v>
      </c>
      <c r="F51" s="118" t="s">
        <v>4983</v>
      </c>
      <c r="G51" s="108"/>
      <c r="H51" s="119" t="s">
        <v>4231</v>
      </c>
      <c r="I51" s="120" t="s">
        <v>481</v>
      </c>
      <c r="J51" s="119" t="s">
        <v>4226</v>
      </c>
      <c r="K51" s="118" t="s">
        <v>4733</v>
      </c>
      <c r="L51" s="118" t="s">
        <v>4984</v>
      </c>
      <c r="M51" s="104">
        <v>45658.0</v>
      </c>
      <c r="N51" s="125" t="s">
        <v>4985</v>
      </c>
      <c r="O51" s="126"/>
      <c r="P51" s="126"/>
      <c r="Q51" s="126"/>
      <c r="R51" s="99"/>
      <c r="S51" s="99"/>
      <c r="T51" s="99"/>
      <c r="U51" s="99"/>
      <c r="V51" s="99"/>
      <c r="W51" s="99"/>
      <c r="X51" s="99"/>
      <c r="Y51" s="99"/>
      <c r="Z51" s="99"/>
    </row>
    <row r="52" ht="17.25" customHeight="1">
      <c r="A52" s="117" t="s">
        <v>4986</v>
      </c>
      <c r="B52" s="117" t="s">
        <v>4987</v>
      </c>
      <c r="C52" s="117" t="s">
        <v>342</v>
      </c>
      <c r="D52" s="117" t="s">
        <v>4226</v>
      </c>
      <c r="E52" s="118" t="s">
        <v>4921</v>
      </c>
      <c r="F52" s="118" t="s">
        <v>4988</v>
      </c>
      <c r="G52" s="108"/>
      <c r="H52" s="119" t="s">
        <v>4234</v>
      </c>
      <c r="I52" s="120" t="s">
        <v>342</v>
      </c>
      <c r="J52" s="119" t="s">
        <v>4226</v>
      </c>
      <c r="K52" s="118" t="s">
        <v>4733</v>
      </c>
      <c r="L52" s="118" t="s">
        <v>4989</v>
      </c>
      <c r="M52" s="104">
        <v>45658.0</v>
      </c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ht="17.25" customHeight="1">
      <c r="A53" s="117" t="s">
        <v>4990</v>
      </c>
      <c r="B53" s="117" t="s">
        <v>4991</v>
      </c>
      <c r="C53" s="117" t="s">
        <v>173</v>
      </c>
      <c r="D53" s="117" t="s">
        <v>4226</v>
      </c>
      <c r="E53" s="118" t="s">
        <v>4921</v>
      </c>
      <c r="F53" s="118" t="s">
        <v>4992</v>
      </c>
      <c r="G53" s="108"/>
      <c r="H53" s="119" t="s">
        <v>4237</v>
      </c>
      <c r="I53" s="120" t="s">
        <v>173</v>
      </c>
      <c r="J53" s="119" t="s">
        <v>4226</v>
      </c>
      <c r="K53" s="118" t="s">
        <v>4733</v>
      </c>
      <c r="L53" s="118" t="s">
        <v>4993</v>
      </c>
      <c r="M53" s="104">
        <v>45658.0</v>
      </c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ht="17.25" customHeight="1">
      <c r="A54" s="127" t="s">
        <v>4994</v>
      </c>
      <c r="B54" s="127" t="s">
        <v>4043</v>
      </c>
      <c r="C54" s="118" t="s">
        <v>328</v>
      </c>
      <c r="D54" s="118" t="s">
        <v>4995</v>
      </c>
      <c r="E54" s="118" t="s">
        <v>4996</v>
      </c>
      <c r="F54" s="118" t="s">
        <v>4997</v>
      </c>
      <c r="G54" s="108"/>
      <c r="H54" s="127" t="s">
        <v>4042</v>
      </c>
      <c r="I54" s="127" t="s">
        <v>328</v>
      </c>
      <c r="J54" s="118" t="s">
        <v>4998</v>
      </c>
      <c r="K54" s="118" t="s">
        <v>4921</v>
      </c>
      <c r="L54" s="118" t="s">
        <v>4999</v>
      </c>
      <c r="M54" s="104">
        <v>45298.0</v>
      </c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ht="17.25" customHeight="1">
      <c r="A55" s="127" t="s">
        <v>5000</v>
      </c>
      <c r="B55" s="127" t="s">
        <v>5001</v>
      </c>
      <c r="C55" s="118" t="s">
        <v>4756</v>
      </c>
      <c r="D55" s="118" t="s">
        <v>2131</v>
      </c>
      <c r="E55" s="118" t="s">
        <v>4733</v>
      </c>
      <c r="F55" s="118" t="s">
        <v>5002</v>
      </c>
      <c r="G55" s="108"/>
      <c r="H55" s="127" t="s">
        <v>5003</v>
      </c>
      <c r="I55" s="127" t="s">
        <v>4756</v>
      </c>
      <c r="J55" s="118" t="s">
        <v>5004</v>
      </c>
      <c r="K55" s="118" t="s">
        <v>4921</v>
      </c>
      <c r="L55" s="118" t="s">
        <v>5005</v>
      </c>
      <c r="M55" s="104">
        <v>45809.0</v>
      </c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ht="17.25" customHeight="1">
      <c r="A56" s="120" t="s">
        <v>5006</v>
      </c>
      <c r="B56" s="120" t="s">
        <v>5007</v>
      </c>
      <c r="C56" s="120" t="s">
        <v>1807</v>
      </c>
      <c r="D56" s="120" t="s">
        <v>2362</v>
      </c>
      <c r="E56" s="118" t="s">
        <v>4733</v>
      </c>
      <c r="F56" s="118" t="s">
        <v>5008</v>
      </c>
      <c r="G56" s="108"/>
      <c r="H56" s="118" t="s">
        <v>4036</v>
      </c>
      <c r="I56" s="118" t="s">
        <v>2015</v>
      </c>
      <c r="J56" s="118" t="s">
        <v>5004</v>
      </c>
      <c r="K56" s="118" t="s">
        <v>4916</v>
      </c>
      <c r="L56" s="118" t="s">
        <v>5009</v>
      </c>
      <c r="M56" s="104">
        <v>45809.0</v>
      </c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ht="17.25" customHeight="1">
      <c r="A57" s="128" t="s">
        <v>5010</v>
      </c>
      <c r="B57" s="128" t="s">
        <v>789</v>
      </c>
      <c r="C57" s="128" t="s">
        <v>790</v>
      </c>
      <c r="D57" s="128" t="s">
        <v>5011</v>
      </c>
      <c r="E57" s="129" t="s">
        <v>4733</v>
      </c>
      <c r="F57" s="129" t="s">
        <v>792</v>
      </c>
      <c r="G57" s="130"/>
      <c r="H57" s="129" t="s">
        <v>788</v>
      </c>
      <c r="I57" s="128" t="s">
        <v>790</v>
      </c>
      <c r="J57" s="129" t="s">
        <v>5012</v>
      </c>
      <c r="K57" s="114" t="s">
        <v>5013</v>
      </c>
      <c r="L57" s="114" t="s">
        <v>792</v>
      </c>
      <c r="M57" s="131">
        <v>45824.0</v>
      </c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t="17.25" customHeight="1">
      <c r="A58" s="129" t="s">
        <v>5014</v>
      </c>
      <c r="B58" s="129" t="s">
        <v>5015</v>
      </c>
      <c r="C58" s="129" t="s">
        <v>5016</v>
      </c>
      <c r="D58" s="129" t="s">
        <v>1644</v>
      </c>
      <c r="E58" s="129" t="s">
        <v>4733</v>
      </c>
      <c r="F58" s="129" t="s">
        <v>5017</v>
      </c>
      <c r="G58" s="130"/>
      <c r="H58" s="129" t="s">
        <v>5018</v>
      </c>
      <c r="I58" s="129" t="s">
        <v>5016</v>
      </c>
      <c r="J58" s="129" t="s">
        <v>5012</v>
      </c>
      <c r="K58" s="114" t="s">
        <v>5013</v>
      </c>
      <c r="L58" s="114" t="s">
        <v>5017</v>
      </c>
      <c r="M58" s="131">
        <v>45824.0</v>
      </c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t="17.25" customHeight="1">
      <c r="A59" s="132" t="s">
        <v>5019</v>
      </c>
      <c r="B59" s="132" t="s">
        <v>5020</v>
      </c>
      <c r="C59" s="132" t="s">
        <v>28</v>
      </c>
      <c r="D59" s="133" t="s">
        <v>211</v>
      </c>
      <c r="E59" s="114" t="s">
        <v>4733</v>
      </c>
      <c r="F59" s="114" t="s">
        <v>5021</v>
      </c>
      <c r="G59" s="115"/>
      <c r="H59" s="134" t="s">
        <v>146</v>
      </c>
      <c r="I59" s="114" t="s">
        <v>122</v>
      </c>
      <c r="J59" s="114" t="s">
        <v>2388</v>
      </c>
      <c r="K59" s="114" t="s">
        <v>4921</v>
      </c>
      <c r="L59" s="114" t="s">
        <v>149</v>
      </c>
      <c r="M59" s="135">
        <v>45824.0</v>
      </c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 ht="18.0" customHeight="1">
      <c r="A60" s="132" t="s">
        <v>5022</v>
      </c>
      <c r="B60" s="132" t="s">
        <v>5023</v>
      </c>
      <c r="C60" s="136" t="s">
        <v>28</v>
      </c>
      <c r="D60" s="136" t="s">
        <v>211</v>
      </c>
      <c r="E60" s="114" t="s">
        <v>4733</v>
      </c>
      <c r="F60" s="114" t="s">
        <v>5024</v>
      </c>
      <c r="G60" s="115"/>
      <c r="H60" s="137" t="s">
        <v>132</v>
      </c>
      <c r="I60" s="114" t="s">
        <v>122</v>
      </c>
      <c r="J60" s="114" t="s">
        <v>2499</v>
      </c>
      <c r="K60" s="114" t="s">
        <v>4921</v>
      </c>
      <c r="L60" s="114" t="s">
        <v>135</v>
      </c>
      <c r="M60" s="135">
        <v>45824.0</v>
      </c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 ht="17.25" customHeight="1">
      <c r="A61" s="111" t="s">
        <v>5025</v>
      </c>
      <c r="B61" s="111" t="s">
        <v>5026</v>
      </c>
      <c r="C61" s="111" t="s">
        <v>28</v>
      </c>
      <c r="D61" s="111" t="s">
        <v>60</v>
      </c>
      <c r="E61" s="111" t="s">
        <v>4733</v>
      </c>
      <c r="F61" s="111" t="s">
        <v>5027</v>
      </c>
      <c r="G61" s="99"/>
      <c r="H61" s="111" t="s">
        <v>5028</v>
      </c>
      <c r="I61" s="111" t="s">
        <v>122</v>
      </c>
      <c r="J61" s="111" t="s">
        <v>2031</v>
      </c>
      <c r="K61" s="111" t="s">
        <v>4921</v>
      </c>
      <c r="L61" s="111" t="s">
        <v>5029</v>
      </c>
      <c r="M61" s="98">
        <v>45664.0</v>
      </c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ht="17.25" customHeight="1">
      <c r="A62" s="111" t="s">
        <v>5030</v>
      </c>
      <c r="B62" s="111" t="s">
        <v>5031</v>
      </c>
      <c r="C62" s="111" t="s">
        <v>28</v>
      </c>
      <c r="D62" s="111" t="s">
        <v>2362</v>
      </c>
      <c r="E62" s="111" t="s">
        <v>4733</v>
      </c>
      <c r="F62" s="111" t="s">
        <v>5032</v>
      </c>
      <c r="G62" s="99"/>
      <c r="H62" s="111" t="s">
        <v>5033</v>
      </c>
      <c r="I62" s="111" t="s">
        <v>122</v>
      </c>
      <c r="J62" s="111" t="s">
        <v>2031</v>
      </c>
      <c r="K62" s="111" t="s">
        <v>4921</v>
      </c>
      <c r="L62" s="111" t="s">
        <v>5034</v>
      </c>
      <c r="M62" s="98">
        <v>45664.0</v>
      </c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ht="17.25" customHeight="1">
      <c r="A63" s="111" t="s">
        <v>5035</v>
      </c>
      <c r="B63" s="111" t="s">
        <v>5036</v>
      </c>
      <c r="C63" s="111" t="s">
        <v>28</v>
      </c>
      <c r="D63" s="111" t="s">
        <v>5037</v>
      </c>
      <c r="E63" s="111" t="s">
        <v>4733</v>
      </c>
      <c r="F63" s="111" t="s">
        <v>5038</v>
      </c>
      <c r="G63" s="99"/>
      <c r="H63" s="111" t="s">
        <v>906</v>
      </c>
      <c r="I63" s="111" t="s">
        <v>122</v>
      </c>
      <c r="J63" s="111" t="s">
        <v>2499</v>
      </c>
      <c r="K63" s="111" t="s">
        <v>4921</v>
      </c>
      <c r="L63" s="111" t="s">
        <v>908</v>
      </c>
      <c r="M63" s="98">
        <v>45870.0</v>
      </c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ht="17.25" customHeight="1">
      <c r="A64" s="111" t="s">
        <v>5039</v>
      </c>
      <c r="B64" s="111" t="s">
        <v>5040</v>
      </c>
      <c r="C64" s="111" t="s">
        <v>28</v>
      </c>
      <c r="D64" s="111" t="s">
        <v>3257</v>
      </c>
      <c r="E64" s="111" t="s">
        <v>4733</v>
      </c>
      <c r="F64" s="111" t="s">
        <v>5041</v>
      </c>
      <c r="G64" s="99"/>
      <c r="H64" s="111" t="s">
        <v>5042</v>
      </c>
      <c r="I64" s="111" t="s">
        <v>122</v>
      </c>
      <c r="J64" s="111" t="s">
        <v>2475</v>
      </c>
      <c r="K64" s="111" t="s">
        <v>4921</v>
      </c>
      <c r="L64" s="111" t="s">
        <v>5043</v>
      </c>
      <c r="M64" s="98">
        <v>45870.0</v>
      </c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ht="17.25" customHeight="1">
      <c r="A65" s="111" t="s">
        <v>5044</v>
      </c>
      <c r="B65" s="111" t="s">
        <v>5045</v>
      </c>
      <c r="C65" s="111" t="s">
        <v>47</v>
      </c>
      <c r="D65" s="111" t="s">
        <v>3727</v>
      </c>
      <c r="E65" s="111" t="s">
        <v>4733</v>
      </c>
      <c r="F65" s="111" t="s">
        <v>5046</v>
      </c>
      <c r="G65" s="99"/>
      <c r="H65" s="111" t="s">
        <v>5047</v>
      </c>
      <c r="I65" s="111" t="s">
        <v>110</v>
      </c>
      <c r="J65" s="111" t="s">
        <v>2499</v>
      </c>
      <c r="K65" s="111" t="s">
        <v>4921</v>
      </c>
      <c r="L65" s="111" t="s">
        <v>5048</v>
      </c>
      <c r="M65" s="98">
        <v>45901.0</v>
      </c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17.25" customHeight="1">
      <c r="A66" s="138" t="s">
        <v>4130</v>
      </c>
      <c r="B66" s="138" t="s">
        <v>4131</v>
      </c>
      <c r="C66" s="138" t="s">
        <v>122</v>
      </c>
      <c r="D66" s="138" t="s">
        <v>2757</v>
      </c>
      <c r="E66" s="111" t="s">
        <v>4733</v>
      </c>
      <c r="F66" s="111" t="s">
        <v>5049</v>
      </c>
      <c r="G66" s="99"/>
      <c r="H66" s="139" t="s">
        <v>5050</v>
      </c>
      <c r="I66" s="140" t="s">
        <v>122</v>
      </c>
      <c r="J66" s="140" t="s">
        <v>5051</v>
      </c>
      <c r="K66" s="111" t="s">
        <v>4921</v>
      </c>
      <c r="L66" s="111" t="s">
        <v>5052</v>
      </c>
      <c r="M66" s="98">
        <v>45931.0</v>
      </c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ht="17.25" customHeight="1">
      <c r="A67" s="114" t="s">
        <v>5053</v>
      </c>
      <c r="B67" s="114" t="s">
        <v>5054</v>
      </c>
      <c r="C67" s="114" t="s">
        <v>785</v>
      </c>
      <c r="D67" s="114" t="s">
        <v>5055</v>
      </c>
      <c r="E67" s="114" t="s">
        <v>4916</v>
      </c>
      <c r="F67" s="114" t="s">
        <v>5056</v>
      </c>
      <c r="G67" s="115"/>
      <c r="H67" s="114" t="s">
        <v>5057</v>
      </c>
      <c r="I67" s="114" t="s">
        <v>5058</v>
      </c>
      <c r="J67" s="141"/>
      <c r="K67" s="114" t="s">
        <v>4733</v>
      </c>
      <c r="L67" s="114" t="s">
        <v>5059</v>
      </c>
      <c r="M67" s="135">
        <v>45962.0</v>
      </c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 ht="17.25" customHeight="1">
      <c r="A68" s="114" t="s">
        <v>4418</v>
      </c>
      <c r="B68" s="114" t="s">
        <v>5060</v>
      </c>
      <c r="C68" s="114" t="s">
        <v>1197</v>
      </c>
      <c r="D68" s="114" t="s">
        <v>4354</v>
      </c>
      <c r="E68" s="114" t="s">
        <v>4733</v>
      </c>
      <c r="F68" s="114" t="s">
        <v>5061</v>
      </c>
      <c r="G68" s="115"/>
      <c r="H68" s="114" t="s">
        <v>5062</v>
      </c>
      <c r="I68" s="114" t="s">
        <v>1197</v>
      </c>
      <c r="J68" s="114" t="s">
        <v>4354</v>
      </c>
      <c r="K68" s="114" t="s">
        <v>4921</v>
      </c>
      <c r="L68" s="114" t="s">
        <v>5063</v>
      </c>
      <c r="M68" s="135">
        <v>45992.0</v>
      </c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 ht="17.25" customHeight="1">
      <c r="A69" s="114" t="s">
        <v>5050</v>
      </c>
      <c r="B69" s="114" t="s">
        <v>4131</v>
      </c>
      <c r="C69" s="114" t="s">
        <v>122</v>
      </c>
      <c r="D69" s="114" t="s">
        <v>5051</v>
      </c>
      <c r="E69" s="114" t="s">
        <v>4921</v>
      </c>
      <c r="F69" s="114" t="s">
        <v>5052</v>
      </c>
      <c r="G69" s="115"/>
      <c r="H69" s="114" t="s">
        <v>5064</v>
      </c>
      <c r="I69" s="114" t="s">
        <v>2341</v>
      </c>
      <c r="J69" s="141"/>
      <c r="K69" s="114" t="s">
        <v>4733</v>
      </c>
      <c r="L69" s="114" t="s">
        <v>5065</v>
      </c>
      <c r="M69" s="135">
        <v>46023.0</v>
      </c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 ht="17.25" customHeight="1">
      <c r="A70" s="114" t="s">
        <v>5047</v>
      </c>
      <c r="B70" s="114" t="s">
        <v>5045</v>
      </c>
      <c r="C70" s="114" t="s">
        <v>110</v>
      </c>
      <c r="D70" s="114" t="s">
        <v>134</v>
      </c>
      <c r="E70" s="114" t="s">
        <v>4921</v>
      </c>
      <c r="F70" s="114" t="s">
        <v>5048</v>
      </c>
      <c r="G70" s="115"/>
      <c r="H70" s="114" t="s">
        <v>5066</v>
      </c>
      <c r="I70" s="114" t="s">
        <v>47</v>
      </c>
      <c r="J70" s="114" t="s">
        <v>3727</v>
      </c>
      <c r="K70" s="114" t="s">
        <v>4733</v>
      </c>
      <c r="L70" s="114" t="s">
        <v>5046</v>
      </c>
      <c r="M70" s="135">
        <v>46023.0</v>
      </c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 ht="17.25" customHeight="1">
      <c r="A71" s="142" t="s">
        <v>5067</v>
      </c>
      <c r="B71" s="142" t="s">
        <v>5068</v>
      </c>
      <c r="C71" s="142" t="s">
        <v>328</v>
      </c>
      <c r="D71" s="142" t="s">
        <v>5069</v>
      </c>
      <c r="E71" s="143" t="s">
        <v>5070</v>
      </c>
      <c r="F71" s="143" t="s">
        <v>5071</v>
      </c>
      <c r="G71" s="115"/>
      <c r="H71" s="144" t="s">
        <v>5072</v>
      </c>
      <c r="I71" s="142" t="s">
        <v>328</v>
      </c>
      <c r="J71" s="142" t="s">
        <v>5069</v>
      </c>
      <c r="K71" s="143" t="s">
        <v>4921</v>
      </c>
      <c r="L71" s="143" t="s">
        <v>5073</v>
      </c>
      <c r="M71" s="135">
        <v>46054.0</v>
      </c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 ht="17.25" customHeight="1">
      <c r="A72" s="145" t="s">
        <v>5074</v>
      </c>
      <c r="B72" s="145" t="s">
        <v>5075</v>
      </c>
      <c r="C72" s="145" t="s">
        <v>5076</v>
      </c>
      <c r="D72" s="145" t="s">
        <v>5077</v>
      </c>
      <c r="E72" s="146" t="s">
        <v>5070</v>
      </c>
      <c r="F72" s="146" t="s">
        <v>5078</v>
      </c>
      <c r="G72" s="147"/>
      <c r="H72" s="148" t="s">
        <v>5079</v>
      </c>
      <c r="I72" s="145" t="s">
        <v>5076</v>
      </c>
      <c r="J72" s="145" t="s">
        <v>5077</v>
      </c>
      <c r="K72" s="146" t="s">
        <v>4921</v>
      </c>
      <c r="L72" s="146" t="s">
        <v>5080</v>
      </c>
      <c r="M72" s="149">
        <v>46054.0</v>
      </c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 ht="17.25" customHeight="1">
      <c r="A73" s="142" t="s">
        <v>5081</v>
      </c>
      <c r="B73" s="142" t="s">
        <v>5082</v>
      </c>
      <c r="C73" s="142" t="s">
        <v>1161</v>
      </c>
      <c r="D73" s="142" t="s">
        <v>5083</v>
      </c>
      <c r="E73" s="143" t="s">
        <v>5070</v>
      </c>
      <c r="F73" s="143" t="s">
        <v>5084</v>
      </c>
      <c r="G73" s="115"/>
      <c r="H73" s="144" t="s">
        <v>5085</v>
      </c>
      <c r="I73" s="142" t="s">
        <v>1161</v>
      </c>
      <c r="J73" s="142" t="s">
        <v>5083</v>
      </c>
      <c r="K73" s="143" t="s">
        <v>4921</v>
      </c>
      <c r="L73" s="143" t="s">
        <v>5086</v>
      </c>
      <c r="M73" s="135">
        <v>46054.0</v>
      </c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 ht="17.25" customHeight="1">
      <c r="A74" s="142" t="s">
        <v>5087</v>
      </c>
      <c r="B74" s="142" t="s">
        <v>5088</v>
      </c>
      <c r="C74" s="142" t="s">
        <v>1161</v>
      </c>
      <c r="D74" s="142" t="s">
        <v>5083</v>
      </c>
      <c r="E74" s="143" t="s">
        <v>5070</v>
      </c>
      <c r="F74" s="143" t="s">
        <v>5089</v>
      </c>
      <c r="G74" s="115"/>
      <c r="H74" s="144" t="s">
        <v>5090</v>
      </c>
      <c r="I74" s="142" t="s">
        <v>1161</v>
      </c>
      <c r="J74" s="142" t="s">
        <v>5083</v>
      </c>
      <c r="K74" s="143" t="s">
        <v>4921</v>
      </c>
      <c r="L74" s="143" t="s">
        <v>5091</v>
      </c>
      <c r="M74" s="135">
        <v>46054.0</v>
      </c>
      <c r="N74" s="115"/>
      <c r="O74" s="150" t="s">
        <v>5092</v>
      </c>
      <c r="P74" s="147"/>
      <c r="Q74" s="147"/>
      <c r="R74" s="147"/>
      <c r="S74" s="147"/>
      <c r="T74" s="115"/>
      <c r="U74" s="115"/>
      <c r="V74" s="115"/>
      <c r="W74" s="115"/>
      <c r="X74" s="115"/>
      <c r="Y74" s="115"/>
      <c r="Z74" s="115"/>
    </row>
    <row r="75" ht="17.25" customHeight="1">
      <c r="A75" s="145" t="s">
        <v>5093</v>
      </c>
      <c r="B75" s="145" t="s">
        <v>5094</v>
      </c>
      <c r="C75" s="145" t="s">
        <v>1161</v>
      </c>
      <c r="D75" s="145" t="s">
        <v>5077</v>
      </c>
      <c r="E75" s="146" t="s">
        <v>5070</v>
      </c>
      <c r="F75" s="146" t="s">
        <v>5095</v>
      </c>
      <c r="G75" s="147"/>
      <c r="H75" s="148" t="s">
        <v>5096</v>
      </c>
      <c r="I75" s="145" t="s">
        <v>1161</v>
      </c>
      <c r="J75" s="145" t="s">
        <v>5077</v>
      </c>
      <c r="K75" s="146" t="s">
        <v>4921</v>
      </c>
      <c r="L75" s="146" t="s">
        <v>5097</v>
      </c>
      <c r="M75" s="149">
        <v>46054.0</v>
      </c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 ht="17.25" customHeight="1">
      <c r="A76" s="142" t="s">
        <v>5098</v>
      </c>
      <c r="B76" s="142" t="s">
        <v>5099</v>
      </c>
      <c r="C76" s="142" t="s">
        <v>1643</v>
      </c>
      <c r="D76" s="142" t="s">
        <v>5083</v>
      </c>
      <c r="E76" s="143" t="s">
        <v>5070</v>
      </c>
      <c r="F76" s="143" t="s">
        <v>5100</v>
      </c>
      <c r="G76" s="115"/>
      <c r="H76" s="144" t="s">
        <v>5101</v>
      </c>
      <c r="I76" s="142" t="s">
        <v>1643</v>
      </c>
      <c r="J76" s="142" t="s">
        <v>5083</v>
      </c>
      <c r="K76" s="143" t="s">
        <v>4921</v>
      </c>
      <c r="L76" s="143" t="s">
        <v>5102</v>
      </c>
      <c r="M76" s="135">
        <v>46054.0</v>
      </c>
      <c r="N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 ht="17.25" customHeight="1">
      <c r="A77" s="142" t="s">
        <v>5103</v>
      </c>
      <c r="B77" s="142" t="s">
        <v>5104</v>
      </c>
      <c r="C77" s="142" t="s">
        <v>1191</v>
      </c>
      <c r="D77" s="142" t="s">
        <v>5083</v>
      </c>
      <c r="E77" s="143" t="s">
        <v>5070</v>
      </c>
      <c r="F77" s="143" t="s">
        <v>5105</v>
      </c>
      <c r="G77" s="115"/>
      <c r="H77" s="144" t="s">
        <v>5106</v>
      </c>
      <c r="I77" s="142" t="s">
        <v>1191</v>
      </c>
      <c r="J77" s="142" t="s">
        <v>5083</v>
      </c>
      <c r="K77" s="143" t="s">
        <v>4921</v>
      </c>
      <c r="L77" s="143" t="s">
        <v>5107</v>
      </c>
      <c r="M77" s="135">
        <v>46054.0</v>
      </c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 ht="17.25" customHeight="1">
      <c r="A78" s="151" t="s">
        <v>5003</v>
      </c>
      <c r="B78" s="151" t="s">
        <v>5108</v>
      </c>
      <c r="C78" s="151" t="s">
        <v>682</v>
      </c>
      <c r="D78" s="151" t="s">
        <v>932</v>
      </c>
      <c r="E78" s="151" t="s">
        <v>4921</v>
      </c>
      <c r="F78" s="151" t="s">
        <v>5005</v>
      </c>
      <c r="G78" s="103"/>
      <c r="H78" s="152" t="s">
        <v>5109</v>
      </c>
      <c r="I78" s="151" t="s">
        <v>47</v>
      </c>
      <c r="J78" s="151" t="s">
        <v>5110</v>
      </c>
      <c r="K78" s="151" t="s">
        <v>4733</v>
      </c>
      <c r="L78" s="151" t="s">
        <v>5002</v>
      </c>
      <c r="M78" s="153">
        <v>46054.0</v>
      </c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</row>
    <row r="79" ht="17.25" customHeight="1">
      <c r="A79" s="154" t="s">
        <v>5111</v>
      </c>
      <c r="B79" s="154" t="s">
        <v>5112</v>
      </c>
      <c r="C79" s="154" t="s">
        <v>664</v>
      </c>
      <c r="D79" s="154" t="s">
        <v>410</v>
      </c>
      <c r="E79" s="154" t="s">
        <v>4733</v>
      </c>
      <c r="F79" s="154" t="s">
        <v>5113</v>
      </c>
      <c r="G79" s="155"/>
      <c r="H79" s="154" t="s">
        <v>5114</v>
      </c>
      <c r="I79" s="154" t="s">
        <v>664</v>
      </c>
      <c r="J79" s="154" t="s">
        <v>828</v>
      </c>
      <c r="K79" s="154" t="s">
        <v>4916</v>
      </c>
      <c r="L79" s="154" t="s">
        <v>5115</v>
      </c>
      <c r="M79" s="156">
        <v>46143.0</v>
      </c>
      <c r="N79" s="155"/>
      <c r="O79" s="155"/>
      <c r="P79" s="155"/>
      <c r="Q79" s="155"/>
      <c r="R79" s="155"/>
      <c r="S79" s="155"/>
      <c r="T79" s="155"/>
      <c r="U79" s="155"/>
      <c r="V79" s="155"/>
      <c r="W79" s="155"/>
      <c r="X79" s="155"/>
      <c r="Y79" s="155"/>
      <c r="Z79" s="155"/>
    </row>
    <row r="80" ht="17.25" customHeight="1">
      <c r="A80" s="154" t="s">
        <v>5116</v>
      </c>
      <c r="B80" s="154" t="s">
        <v>5117</v>
      </c>
      <c r="C80" s="154" t="s">
        <v>47</v>
      </c>
      <c r="D80" s="154" t="s">
        <v>1408</v>
      </c>
      <c r="E80" s="154" t="s">
        <v>4733</v>
      </c>
      <c r="F80" s="154" t="s">
        <v>5118</v>
      </c>
      <c r="G80" s="155"/>
      <c r="H80" s="157" t="s">
        <v>5119</v>
      </c>
      <c r="I80" s="154" t="s">
        <v>47</v>
      </c>
      <c r="J80" s="154" t="s">
        <v>496</v>
      </c>
      <c r="K80" s="154" t="s">
        <v>4916</v>
      </c>
      <c r="L80" s="154" t="s">
        <v>5120</v>
      </c>
      <c r="M80" s="156">
        <v>46143.0</v>
      </c>
      <c r="N80" s="155"/>
      <c r="O80" s="155"/>
      <c r="P80" s="155"/>
      <c r="Q80" s="155"/>
      <c r="R80" s="155"/>
      <c r="S80" s="155"/>
      <c r="T80" s="155"/>
      <c r="U80" s="155"/>
      <c r="V80" s="155"/>
      <c r="W80" s="155"/>
      <c r="X80" s="155"/>
      <c r="Y80" s="155"/>
      <c r="Z80" s="155"/>
    </row>
    <row r="81" ht="17.25" customHeight="1">
      <c r="A81" s="154" t="s">
        <v>5121</v>
      </c>
      <c r="B81" s="154" t="s">
        <v>5122</v>
      </c>
      <c r="C81" s="154" t="s">
        <v>116</v>
      </c>
      <c r="D81" s="154" t="s">
        <v>5123</v>
      </c>
      <c r="E81" s="154" t="s">
        <v>4921</v>
      </c>
      <c r="F81" s="154" t="s">
        <v>5124</v>
      </c>
      <c r="G81" s="155"/>
      <c r="H81" s="157" t="s">
        <v>5125</v>
      </c>
      <c r="I81" s="154" t="s">
        <v>116</v>
      </c>
      <c r="J81" s="154" t="s">
        <v>5126</v>
      </c>
      <c r="K81" s="154" t="s">
        <v>4733</v>
      </c>
      <c r="L81" s="154" t="s">
        <v>5127</v>
      </c>
      <c r="M81" s="156">
        <v>46143.0</v>
      </c>
      <c r="N81" s="155"/>
      <c r="O81" s="155"/>
      <c r="P81" s="155"/>
      <c r="Q81" s="155"/>
      <c r="R81" s="155"/>
      <c r="S81" s="155"/>
      <c r="T81" s="155"/>
      <c r="U81" s="155"/>
      <c r="V81" s="155"/>
      <c r="W81" s="155"/>
      <c r="X81" s="155"/>
      <c r="Y81" s="155"/>
      <c r="Z81" s="155"/>
    </row>
    <row r="82" ht="17.25" customHeight="1">
      <c r="A82" s="158"/>
      <c r="B82" s="158"/>
      <c r="C82" s="158"/>
      <c r="D82" s="158"/>
      <c r="E82" s="158"/>
      <c r="F82" s="158"/>
      <c r="G82" s="99"/>
      <c r="H82" s="158"/>
      <c r="I82" s="158"/>
      <c r="J82" s="158"/>
      <c r="K82" s="158"/>
      <c r="L82" s="158"/>
      <c r="M82" s="104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ht="17.25" customHeight="1">
      <c r="A83" s="158"/>
      <c r="B83" s="158"/>
      <c r="C83" s="158"/>
      <c r="D83" s="158"/>
      <c r="E83" s="158"/>
      <c r="F83" s="158"/>
      <c r="G83" s="99"/>
      <c r="H83" s="158"/>
      <c r="I83" s="158"/>
      <c r="J83" s="158"/>
      <c r="K83" s="158"/>
      <c r="L83" s="158"/>
      <c r="M83" s="104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ht="17.25" customHeight="1">
      <c r="A84" s="158"/>
      <c r="B84" s="158"/>
      <c r="C84" s="158"/>
      <c r="D84" s="158"/>
      <c r="E84" s="158"/>
      <c r="F84" s="158"/>
      <c r="G84" s="99"/>
      <c r="H84" s="158"/>
      <c r="I84" s="158"/>
      <c r="J84" s="158"/>
      <c r="K84" s="158"/>
      <c r="L84" s="158"/>
      <c r="M84" s="104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ht="17.25" customHeight="1">
      <c r="A85" s="158"/>
      <c r="B85" s="158"/>
      <c r="C85" s="158"/>
      <c r="D85" s="158"/>
      <c r="E85" s="158"/>
      <c r="F85" s="158"/>
      <c r="G85" s="99"/>
      <c r="H85" s="158"/>
      <c r="I85" s="158"/>
      <c r="J85" s="158"/>
      <c r="K85" s="158"/>
      <c r="L85" s="158"/>
      <c r="M85" s="104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ht="17.25" customHeight="1">
      <c r="A86" s="158"/>
      <c r="B86" s="158"/>
      <c r="C86" s="158"/>
      <c r="D86" s="158"/>
      <c r="E86" s="158"/>
      <c r="F86" s="158"/>
      <c r="G86" s="99"/>
      <c r="H86" s="158"/>
      <c r="I86" s="158"/>
      <c r="J86" s="158"/>
      <c r="K86" s="158"/>
      <c r="L86" s="158"/>
      <c r="M86" s="104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ht="17.25" customHeight="1">
      <c r="A87" s="158"/>
      <c r="B87" s="158"/>
      <c r="C87" s="158"/>
      <c r="D87" s="158"/>
      <c r="E87" s="158"/>
      <c r="F87" s="158"/>
      <c r="G87" s="99"/>
      <c r="H87" s="158"/>
      <c r="I87" s="158"/>
      <c r="J87" s="158"/>
      <c r="K87" s="158"/>
      <c r="L87" s="158"/>
      <c r="M87" s="104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ht="17.25" customHeight="1">
      <c r="A88" s="158"/>
      <c r="B88" s="158"/>
      <c r="C88" s="158"/>
      <c r="D88" s="158"/>
      <c r="E88" s="158"/>
      <c r="F88" s="158"/>
      <c r="G88" s="99"/>
      <c r="H88" s="158"/>
      <c r="I88" s="158"/>
      <c r="J88" s="158"/>
      <c r="K88" s="158"/>
      <c r="L88" s="158"/>
      <c r="M88" s="104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ht="17.25" customHeight="1">
      <c r="A89" s="158"/>
      <c r="B89" s="158"/>
      <c r="C89" s="158"/>
      <c r="D89" s="158"/>
      <c r="E89" s="158"/>
      <c r="F89" s="158"/>
      <c r="G89" s="99"/>
      <c r="H89" s="158"/>
      <c r="I89" s="158"/>
      <c r="J89" s="158"/>
      <c r="K89" s="158"/>
      <c r="L89" s="158"/>
      <c r="M89" s="104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ht="17.25" customHeight="1">
      <c r="A90" s="158"/>
      <c r="B90" s="158"/>
      <c r="C90" s="158"/>
      <c r="D90" s="158"/>
      <c r="E90" s="158"/>
      <c r="F90" s="158"/>
      <c r="G90" s="99"/>
      <c r="H90" s="158"/>
      <c r="I90" s="158"/>
      <c r="J90" s="158"/>
      <c r="K90" s="158"/>
      <c r="L90" s="158"/>
      <c r="M90" s="104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ht="17.25" customHeight="1">
      <c r="A91" s="158"/>
      <c r="B91" s="158"/>
      <c r="C91" s="158"/>
      <c r="D91" s="158"/>
      <c r="E91" s="158"/>
      <c r="F91" s="158"/>
      <c r="G91" s="99"/>
      <c r="H91" s="158"/>
      <c r="I91" s="158"/>
      <c r="J91" s="158"/>
      <c r="K91" s="158"/>
      <c r="L91" s="158"/>
      <c r="M91" s="104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ht="17.25" customHeight="1">
      <c r="A92" s="158"/>
      <c r="B92" s="158"/>
      <c r="C92" s="158"/>
      <c r="D92" s="158"/>
      <c r="E92" s="158"/>
      <c r="F92" s="158"/>
      <c r="G92" s="99"/>
      <c r="H92" s="158"/>
      <c r="I92" s="158"/>
      <c r="J92" s="158"/>
      <c r="K92" s="158"/>
      <c r="L92" s="158"/>
      <c r="M92" s="104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ht="17.25" customHeight="1">
      <c r="A93" s="158"/>
      <c r="B93" s="158"/>
      <c r="C93" s="158"/>
      <c r="D93" s="158"/>
      <c r="E93" s="158"/>
      <c r="F93" s="158"/>
      <c r="G93" s="99"/>
      <c r="H93" s="158"/>
      <c r="I93" s="158"/>
      <c r="J93" s="158"/>
      <c r="K93" s="158"/>
      <c r="L93" s="158"/>
      <c r="M93" s="104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ht="17.25" customHeight="1">
      <c r="A94" s="158"/>
      <c r="B94" s="158"/>
      <c r="C94" s="158"/>
      <c r="D94" s="158"/>
      <c r="E94" s="158"/>
      <c r="F94" s="158"/>
      <c r="G94" s="99"/>
      <c r="H94" s="158"/>
      <c r="I94" s="158"/>
      <c r="J94" s="158"/>
      <c r="K94" s="158"/>
      <c r="L94" s="158"/>
      <c r="M94" s="104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ht="17.25" customHeight="1">
      <c r="A95" s="158"/>
      <c r="B95" s="158"/>
      <c r="C95" s="158"/>
      <c r="D95" s="158"/>
      <c r="E95" s="158"/>
      <c r="F95" s="158"/>
      <c r="G95" s="99"/>
      <c r="H95" s="158"/>
      <c r="I95" s="158"/>
      <c r="J95" s="158"/>
      <c r="K95" s="158"/>
      <c r="L95" s="158"/>
      <c r="M95" s="104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ht="17.25" customHeight="1">
      <c r="A96" s="158"/>
      <c r="B96" s="158"/>
      <c r="C96" s="158"/>
      <c r="D96" s="158"/>
      <c r="E96" s="158"/>
      <c r="F96" s="158"/>
      <c r="G96" s="99"/>
      <c r="H96" s="158"/>
      <c r="I96" s="158"/>
      <c r="J96" s="158"/>
      <c r="K96" s="158"/>
      <c r="L96" s="158"/>
      <c r="M96" s="104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ht="17.25" customHeight="1">
      <c r="A97" s="158"/>
      <c r="B97" s="158"/>
      <c r="C97" s="158"/>
      <c r="D97" s="158"/>
      <c r="E97" s="158"/>
      <c r="F97" s="158"/>
      <c r="G97" s="99"/>
      <c r="H97" s="158"/>
      <c r="I97" s="158"/>
      <c r="J97" s="158"/>
      <c r="K97" s="158"/>
      <c r="L97" s="158"/>
      <c r="M97" s="104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ht="17.25" customHeight="1">
      <c r="A98" s="158"/>
      <c r="B98" s="158"/>
      <c r="C98" s="158"/>
      <c r="D98" s="158"/>
      <c r="E98" s="158"/>
      <c r="F98" s="158"/>
      <c r="G98" s="99"/>
      <c r="H98" s="158"/>
      <c r="I98" s="158"/>
      <c r="J98" s="158"/>
      <c r="K98" s="158"/>
      <c r="L98" s="158"/>
      <c r="M98" s="104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ht="17.25" customHeight="1">
      <c r="A99" s="158"/>
      <c r="B99" s="158"/>
      <c r="C99" s="158"/>
      <c r="D99" s="158"/>
      <c r="E99" s="158"/>
      <c r="F99" s="158"/>
      <c r="G99" s="99"/>
      <c r="H99" s="158"/>
      <c r="I99" s="158"/>
      <c r="J99" s="158"/>
      <c r="K99" s="158"/>
      <c r="L99" s="158"/>
      <c r="M99" s="104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ht="17.25" customHeight="1">
      <c r="A100" s="158"/>
      <c r="B100" s="158"/>
      <c r="C100" s="158"/>
      <c r="D100" s="158"/>
      <c r="E100" s="158"/>
      <c r="F100" s="158"/>
      <c r="G100" s="99"/>
      <c r="H100" s="158"/>
      <c r="I100" s="158"/>
      <c r="J100" s="158"/>
      <c r="K100" s="158"/>
      <c r="L100" s="158"/>
      <c r="M100" s="104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17.25" customHeight="1">
      <c r="A101" s="158"/>
      <c r="B101" s="158"/>
      <c r="C101" s="158"/>
      <c r="D101" s="158"/>
      <c r="E101" s="158"/>
      <c r="F101" s="158"/>
      <c r="G101" s="99"/>
      <c r="H101" s="158"/>
      <c r="I101" s="158"/>
      <c r="J101" s="158"/>
      <c r="K101" s="158"/>
      <c r="L101" s="158"/>
      <c r="M101" s="104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17.25" customHeight="1">
      <c r="A102" s="158"/>
      <c r="B102" s="158"/>
      <c r="C102" s="158"/>
      <c r="D102" s="158"/>
      <c r="E102" s="158"/>
      <c r="F102" s="158"/>
      <c r="G102" s="99"/>
      <c r="H102" s="158"/>
      <c r="I102" s="158"/>
      <c r="J102" s="158"/>
      <c r="K102" s="158"/>
      <c r="L102" s="158"/>
      <c r="M102" s="104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17.25" customHeight="1">
      <c r="A103" s="158"/>
      <c r="B103" s="158"/>
      <c r="C103" s="158"/>
      <c r="D103" s="158"/>
      <c r="E103" s="158"/>
      <c r="F103" s="158"/>
      <c r="G103" s="99"/>
      <c r="H103" s="158"/>
      <c r="I103" s="158"/>
      <c r="J103" s="158"/>
      <c r="K103" s="158"/>
      <c r="L103" s="158"/>
      <c r="M103" s="104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17.25" customHeight="1">
      <c r="A104" s="158"/>
      <c r="B104" s="158"/>
      <c r="C104" s="158"/>
      <c r="D104" s="158"/>
      <c r="E104" s="158"/>
      <c r="F104" s="158"/>
      <c r="G104" s="99"/>
      <c r="H104" s="158"/>
      <c r="I104" s="158"/>
      <c r="J104" s="158"/>
      <c r="K104" s="158"/>
      <c r="L104" s="158"/>
      <c r="M104" s="104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17.25" customHeight="1">
      <c r="A105" s="158"/>
      <c r="B105" s="158"/>
      <c r="C105" s="158"/>
      <c r="D105" s="158"/>
      <c r="E105" s="158"/>
      <c r="F105" s="158"/>
      <c r="G105" s="99"/>
      <c r="H105" s="158"/>
      <c r="I105" s="158"/>
      <c r="J105" s="158"/>
      <c r="K105" s="158"/>
      <c r="L105" s="158"/>
      <c r="M105" s="104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17.25" customHeight="1">
      <c r="A106" s="158"/>
      <c r="B106" s="158"/>
      <c r="C106" s="158"/>
      <c r="D106" s="158"/>
      <c r="E106" s="158"/>
      <c r="F106" s="158"/>
      <c r="G106" s="99"/>
      <c r="H106" s="158"/>
      <c r="I106" s="158"/>
      <c r="J106" s="158"/>
      <c r="K106" s="158"/>
      <c r="L106" s="158"/>
      <c r="M106" s="104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17.25" customHeight="1">
      <c r="A107" s="158"/>
      <c r="B107" s="158"/>
      <c r="C107" s="158"/>
      <c r="D107" s="158"/>
      <c r="E107" s="158"/>
      <c r="F107" s="158"/>
      <c r="G107" s="99"/>
      <c r="H107" s="158"/>
      <c r="I107" s="158"/>
      <c r="J107" s="158"/>
      <c r="K107" s="158"/>
      <c r="L107" s="158"/>
      <c r="M107" s="104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17.25" customHeight="1">
      <c r="A108" s="158"/>
      <c r="B108" s="158"/>
      <c r="C108" s="158"/>
      <c r="D108" s="158"/>
      <c r="E108" s="158"/>
      <c r="F108" s="158"/>
      <c r="G108" s="99"/>
      <c r="H108" s="158"/>
      <c r="I108" s="158"/>
      <c r="J108" s="158"/>
      <c r="K108" s="158"/>
      <c r="L108" s="158"/>
      <c r="M108" s="104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17.25" customHeight="1">
      <c r="A109" s="158"/>
      <c r="B109" s="158"/>
      <c r="C109" s="158"/>
      <c r="D109" s="158"/>
      <c r="E109" s="158"/>
      <c r="F109" s="158"/>
      <c r="G109" s="99"/>
      <c r="H109" s="158"/>
      <c r="I109" s="158"/>
      <c r="J109" s="158"/>
      <c r="K109" s="158"/>
      <c r="L109" s="158"/>
      <c r="M109" s="104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17.25" customHeight="1">
      <c r="A110" s="158"/>
      <c r="B110" s="158"/>
      <c r="C110" s="158"/>
      <c r="D110" s="158"/>
      <c r="E110" s="158"/>
      <c r="F110" s="158"/>
      <c r="G110" s="99"/>
      <c r="H110" s="158"/>
      <c r="I110" s="158"/>
      <c r="J110" s="158"/>
      <c r="K110" s="158"/>
      <c r="L110" s="158"/>
      <c r="M110" s="104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17.25" customHeight="1">
      <c r="A111" s="158"/>
      <c r="B111" s="158"/>
      <c r="C111" s="158"/>
      <c r="D111" s="158"/>
      <c r="E111" s="158"/>
      <c r="F111" s="158"/>
      <c r="G111" s="99"/>
      <c r="H111" s="158"/>
      <c r="I111" s="158"/>
      <c r="J111" s="158"/>
      <c r="K111" s="158"/>
      <c r="L111" s="158"/>
      <c r="M111" s="104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17.25" customHeight="1">
      <c r="A112" s="158"/>
      <c r="B112" s="158"/>
      <c r="C112" s="158"/>
      <c r="D112" s="158"/>
      <c r="E112" s="158"/>
      <c r="F112" s="158"/>
      <c r="G112" s="99"/>
      <c r="H112" s="158"/>
      <c r="I112" s="158"/>
      <c r="J112" s="158"/>
      <c r="K112" s="158"/>
      <c r="L112" s="158"/>
      <c r="M112" s="104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17.25" customHeight="1">
      <c r="A113" s="158"/>
      <c r="B113" s="158"/>
      <c r="C113" s="158"/>
      <c r="D113" s="158"/>
      <c r="E113" s="158"/>
      <c r="F113" s="158"/>
      <c r="G113" s="99"/>
      <c r="H113" s="158"/>
      <c r="I113" s="158"/>
      <c r="J113" s="158"/>
      <c r="K113" s="158"/>
      <c r="L113" s="158"/>
      <c r="M113" s="104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17.25" customHeight="1">
      <c r="A114" s="158"/>
      <c r="B114" s="158"/>
      <c r="C114" s="158"/>
      <c r="D114" s="158"/>
      <c r="E114" s="158"/>
      <c r="F114" s="158"/>
      <c r="G114" s="99"/>
      <c r="H114" s="158"/>
      <c r="I114" s="158"/>
      <c r="J114" s="158"/>
      <c r="K114" s="158"/>
      <c r="L114" s="158"/>
      <c r="M114" s="104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17.25" customHeight="1">
      <c r="A115" s="158"/>
      <c r="B115" s="158"/>
      <c r="C115" s="158"/>
      <c r="D115" s="158"/>
      <c r="E115" s="158"/>
      <c r="F115" s="158"/>
      <c r="G115" s="99"/>
      <c r="H115" s="158"/>
      <c r="I115" s="158"/>
      <c r="J115" s="158"/>
      <c r="K115" s="158"/>
      <c r="L115" s="158"/>
      <c r="M115" s="104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17.25" customHeight="1">
      <c r="A116" s="158"/>
      <c r="B116" s="158"/>
      <c r="C116" s="158"/>
      <c r="D116" s="158"/>
      <c r="E116" s="158"/>
      <c r="F116" s="158"/>
      <c r="G116" s="99"/>
      <c r="H116" s="158"/>
      <c r="I116" s="158"/>
      <c r="J116" s="158"/>
      <c r="K116" s="158"/>
      <c r="L116" s="158"/>
      <c r="M116" s="104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17.25" customHeight="1">
      <c r="A117" s="158"/>
      <c r="B117" s="158"/>
      <c r="C117" s="158"/>
      <c r="D117" s="158"/>
      <c r="E117" s="158"/>
      <c r="F117" s="158"/>
      <c r="G117" s="99"/>
      <c r="H117" s="158"/>
      <c r="I117" s="158"/>
      <c r="J117" s="158"/>
      <c r="K117" s="158"/>
      <c r="L117" s="158"/>
      <c r="M117" s="104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17.25" customHeight="1">
      <c r="A118" s="158"/>
      <c r="B118" s="158"/>
      <c r="C118" s="158"/>
      <c r="D118" s="158"/>
      <c r="E118" s="158"/>
      <c r="F118" s="158"/>
      <c r="G118" s="99"/>
      <c r="H118" s="158"/>
      <c r="I118" s="158"/>
      <c r="J118" s="158"/>
      <c r="K118" s="158"/>
      <c r="L118" s="158"/>
      <c r="M118" s="104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17.25" customHeight="1">
      <c r="A119" s="158"/>
      <c r="B119" s="158"/>
      <c r="C119" s="158"/>
      <c r="D119" s="158"/>
      <c r="E119" s="158"/>
      <c r="F119" s="158"/>
      <c r="G119" s="99"/>
      <c r="H119" s="158"/>
      <c r="I119" s="158"/>
      <c r="J119" s="158"/>
      <c r="K119" s="158"/>
      <c r="L119" s="158"/>
      <c r="M119" s="104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17.25" customHeight="1">
      <c r="A120" s="158"/>
      <c r="B120" s="158"/>
      <c r="C120" s="158"/>
      <c r="D120" s="158"/>
      <c r="E120" s="158"/>
      <c r="F120" s="158"/>
      <c r="G120" s="99"/>
      <c r="H120" s="158"/>
      <c r="I120" s="158"/>
      <c r="J120" s="158"/>
      <c r="K120" s="158"/>
      <c r="L120" s="158"/>
      <c r="M120" s="104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17.25" customHeight="1">
      <c r="A121" s="158"/>
      <c r="B121" s="158"/>
      <c r="C121" s="158"/>
      <c r="D121" s="158"/>
      <c r="E121" s="158"/>
      <c r="F121" s="158"/>
      <c r="G121" s="99"/>
      <c r="H121" s="158"/>
      <c r="I121" s="158"/>
      <c r="J121" s="158"/>
      <c r="K121" s="158"/>
      <c r="L121" s="158"/>
      <c r="M121" s="104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17.25" customHeight="1">
      <c r="A122" s="158"/>
      <c r="B122" s="158"/>
      <c r="C122" s="158"/>
      <c r="D122" s="158"/>
      <c r="E122" s="158"/>
      <c r="F122" s="158"/>
      <c r="G122" s="99"/>
      <c r="H122" s="158"/>
      <c r="I122" s="158"/>
      <c r="J122" s="158"/>
      <c r="K122" s="158"/>
      <c r="L122" s="158"/>
      <c r="M122" s="104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17.25" customHeight="1">
      <c r="A123" s="158"/>
      <c r="B123" s="158"/>
      <c r="C123" s="158"/>
      <c r="D123" s="158"/>
      <c r="E123" s="158"/>
      <c r="F123" s="158"/>
      <c r="G123" s="99"/>
      <c r="H123" s="158"/>
      <c r="I123" s="158"/>
      <c r="J123" s="158"/>
      <c r="K123" s="158"/>
      <c r="L123" s="158"/>
      <c r="M123" s="104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17.25" customHeight="1">
      <c r="A124" s="158"/>
      <c r="B124" s="158"/>
      <c r="C124" s="158"/>
      <c r="D124" s="158"/>
      <c r="E124" s="158"/>
      <c r="F124" s="158"/>
      <c r="G124" s="99"/>
      <c r="H124" s="158"/>
      <c r="I124" s="158"/>
      <c r="J124" s="158"/>
      <c r="K124" s="158"/>
      <c r="L124" s="158"/>
      <c r="M124" s="104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17.25" customHeight="1">
      <c r="A125" s="158"/>
      <c r="B125" s="158"/>
      <c r="C125" s="158"/>
      <c r="D125" s="158"/>
      <c r="E125" s="158"/>
      <c r="F125" s="158"/>
      <c r="G125" s="99"/>
      <c r="H125" s="158"/>
      <c r="I125" s="158"/>
      <c r="J125" s="158"/>
      <c r="K125" s="158"/>
      <c r="L125" s="158"/>
      <c r="M125" s="104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17.25" customHeight="1">
      <c r="A126" s="158"/>
      <c r="B126" s="158"/>
      <c r="C126" s="158"/>
      <c r="D126" s="158"/>
      <c r="E126" s="158"/>
      <c r="F126" s="158"/>
      <c r="G126" s="99"/>
      <c r="H126" s="158"/>
      <c r="I126" s="158"/>
      <c r="J126" s="158"/>
      <c r="K126" s="158"/>
      <c r="L126" s="158"/>
      <c r="M126" s="104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17.25" customHeight="1">
      <c r="A127" s="158"/>
      <c r="B127" s="158"/>
      <c r="C127" s="158"/>
      <c r="D127" s="158"/>
      <c r="E127" s="158"/>
      <c r="F127" s="158"/>
      <c r="G127" s="99"/>
      <c r="H127" s="158"/>
      <c r="I127" s="158"/>
      <c r="J127" s="158"/>
      <c r="K127" s="158"/>
      <c r="L127" s="158"/>
      <c r="M127" s="104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17.25" customHeight="1">
      <c r="A128" s="158"/>
      <c r="B128" s="158"/>
      <c r="C128" s="158"/>
      <c r="D128" s="158"/>
      <c r="E128" s="158"/>
      <c r="F128" s="158"/>
      <c r="G128" s="99"/>
      <c r="H128" s="158"/>
      <c r="I128" s="158"/>
      <c r="J128" s="158"/>
      <c r="K128" s="158"/>
      <c r="L128" s="158"/>
      <c r="M128" s="104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17.25" customHeight="1">
      <c r="A129" s="158"/>
      <c r="B129" s="158"/>
      <c r="C129" s="158"/>
      <c r="D129" s="158"/>
      <c r="E129" s="158"/>
      <c r="F129" s="158"/>
      <c r="G129" s="99"/>
      <c r="H129" s="158"/>
      <c r="I129" s="158"/>
      <c r="J129" s="158"/>
      <c r="K129" s="158"/>
      <c r="L129" s="158"/>
      <c r="M129" s="104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17.25" customHeight="1">
      <c r="A130" s="158"/>
      <c r="B130" s="158"/>
      <c r="C130" s="158"/>
      <c r="D130" s="158"/>
      <c r="E130" s="158"/>
      <c r="F130" s="158"/>
      <c r="G130" s="99"/>
      <c r="H130" s="158"/>
      <c r="I130" s="158"/>
      <c r="J130" s="158"/>
      <c r="K130" s="158"/>
      <c r="L130" s="158"/>
      <c r="M130" s="104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17.25" customHeight="1">
      <c r="A131" s="158"/>
      <c r="B131" s="158"/>
      <c r="C131" s="158"/>
      <c r="D131" s="158"/>
      <c r="E131" s="158"/>
      <c r="F131" s="158"/>
      <c r="G131" s="99"/>
      <c r="H131" s="158"/>
      <c r="I131" s="158"/>
      <c r="J131" s="158"/>
      <c r="K131" s="158"/>
      <c r="L131" s="158"/>
      <c r="M131" s="104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17.25" customHeight="1">
      <c r="A132" s="158"/>
      <c r="B132" s="158"/>
      <c r="C132" s="158"/>
      <c r="D132" s="158"/>
      <c r="E132" s="158"/>
      <c r="F132" s="158"/>
      <c r="G132" s="99"/>
      <c r="H132" s="158"/>
      <c r="I132" s="158"/>
      <c r="J132" s="158"/>
      <c r="K132" s="158"/>
      <c r="L132" s="158"/>
      <c r="M132" s="104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17.25" customHeight="1">
      <c r="A133" s="158"/>
      <c r="B133" s="158"/>
      <c r="C133" s="158"/>
      <c r="D133" s="158"/>
      <c r="E133" s="158"/>
      <c r="F133" s="158"/>
      <c r="G133" s="99"/>
      <c r="H133" s="158"/>
      <c r="I133" s="158"/>
      <c r="J133" s="158"/>
      <c r="K133" s="158"/>
      <c r="L133" s="158"/>
      <c r="M133" s="104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17.25" customHeight="1">
      <c r="A134" s="158"/>
      <c r="B134" s="158"/>
      <c r="C134" s="158"/>
      <c r="D134" s="158"/>
      <c r="E134" s="158"/>
      <c r="F134" s="158"/>
      <c r="G134" s="99"/>
      <c r="H134" s="158"/>
      <c r="I134" s="158"/>
      <c r="J134" s="158"/>
      <c r="K134" s="158"/>
      <c r="L134" s="158"/>
      <c r="M134" s="104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17.25" customHeight="1">
      <c r="A135" s="158"/>
      <c r="B135" s="158"/>
      <c r="C135" s="158"/>
      <c r="D135" s="158"/>
      <c r="E135" s="158"/>
      <c r="F135" s="158"/>
      <c r="G135" s="99"/>
      <c r="H135" s="158"/>
      <c r="I135" s="158"/>
      <c r="J135" s="158"/>
      <c r="K135" s="158"/>
      <c r="L135" s="158"/>
      <c r="M135" s="104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17.25" customHeight="1">
      <c r="A136" s="158"/>
      <c r="B136" s="158"/>
      <c r="C136" s="158"/>
      <c r="D136" s="158"/>
      <c r="E136" s="158"/>
      <c r="F136" s="158"/>
      <c r="G136" s="99"/>
      <c r="H136" s="158"/>
      <c r="I136" s="158"/>
      <c r="J136" s="158"/>
      <c r="K136" s="158"/>
      <c r="L136" s="158"/>
      <c r="M136" s="104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17.25" customHeight="1">
      <c r="A137" s="158"/>
      <c r="B137" s="158"/>
      <c r="C137" s="158"/>
      <c r="D137" s="158"/>
      <c r="E137" s="158"/>
      <c r="F137" s="158"/>
      <c r="G137" s="99"/>
      <c r="H137" s="158"/>
      <c r="I137" s="158"/>
      <c r="J137" s="158"/>
      <c r="K137" s="158"/>
      <c r="L137" s="158"/>
      <c r="M137" s="104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17.25" customHeight="1">
      <c r="A138" s="158"/>
      <c r="B138" s="158"/>
      <c r="C138" s="158"/>
      <c r="D138" s="158"/>
      <c r="E138" s="158"/>
      <c r="F138" s="158"/>
      <c r="G138" s="99"/>
      <c r="H138" s="158"/>
      <c r="I138" s="158"/>
      <c r="J138" s="158"/>
      <c r="K138" s="158"/>
      <c r="L138" s="158"/>
      <c r="M138" s="104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17.25" customHeight="1">
      <c r="A139" s="158"/>
      <c r="B139" s="158"/>
      <c r="C139" s="158"/>
      <c r="D139" s="158"/>
      <c r="E139" s="158"/>
      <c r="F139" s="158"/>
      <c r="G139" s="99"/>
      <c r="H139" s="158"/>
      <c r="I139" s="158"/>
      <c r="J139" s="158"/>
      <c r="K139" s="158"/>
      <c r="L139" s="158"/>
      <c r="M139" s="104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17.25" customHeight="1">
      <c r="A140" s="158"/>
      <c r="B140" s="158"/>
      <c r="C140" s="158"/>
      <c r="D140" s="158"/>
      <c r="E140" s="158"/>
      <c r="F140" s="158"/>
      <c r="G140" s="99"/>
      <c r="H140" s="158"/>
      <c r="I140" s="158"/>
      <c r="J140" s="158"/>
      <c r="K140" s="158"/>
      <c r="L140" s="158"/>
      <c r="M140" s="104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17.25" customHeight="1">
      <c r="A141" s="158"/>
      <c r="B141" s="158"/>
      <c r="C141" s="158"/>
      <c r="D141" s="158"/>
      <c r="E141" s="158"/>
      <c r="F141" s="158"/>
      <c r="G141" s="99"/>
      <c r="H141" s="158"/>
      <c r="I141" s="158"/>
      <c r="J141" s="158"/>
      <c r="K141" s="158"/>
      <c r="L141" s="158"/>
      <c r="M141" s="104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17.25" customHeight="1">
      <c r="A142" s="158"/>
      <c r="B142" s="158"/>
      <c r="C142" s="158"/>
      <c r="D142" s="158"/>
      <c r="E142" s="158"/>
      <c r="F142" s="158"/>
      <c r="G142" s="99"/>
      <c r="H142" s="158"/>
      <c r="I142" s="158"/>
      <c r="J142" s="158"/>
      <c r="K142" s="158"/>
      <c r="L142" s="158"/>
      <c r="M142" s="104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17.25" customHeight="1">
      <c r="A143" s="158"/>
      <c r="B143" s="158"/>
      <c r="C143" s="158"/>
      <c r="D143" s="158"/>
      <c r="E143" s="158"/>
      <c r="F143" s="158"/>
      <c r="G143" s="99"/>
      <c r="H143" s="158"/>
      <c r="I143" s="158"/>
      <c r="J143" s="158"/>
      <c r="K143" s="158"/>
      <c r="L143" s="158"/>
      <c r="M143" s="104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17.25" customHeight="1">
      <c r="A144" s="158"/>
      <c r="B144" s="158"/>
      <c r="C144" s="158"/>
      <c r="D144" s="158"/>
      <c r="E144" s="158"/>
      <c r="F144" s="158"/>
      <c r="G144" s="99"/>
      <c r="H144" s="158"/>
      <c r="I144" s="158"/>
      <c r="J144" s="158"/>
      <c r="K144" s="158"/>
      <c r="L144" s="158"/>
      <c r="M144" s="104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17.25" customHeight="1">
      <c r="A145" s="158"/>
      <c r="B145" s="158"/>
      <c r="C145" s="158"/>
      <c r="D145" s="158"/>
      <c r="E145" s="158"/>
      <c r="F145" s="158"/>
      <c r="G145" s="99"/>
      <c r="H145" s="158"/>
      <c r="I145" s="158"/>
      <c r="J145" s="158"/>
      <c r="K145" s="158"/>
      <c r="L145" s="158"/>
      <c r="M145" s="104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17.25" customHeight="1">
      <c r="A146" s="158"/>
      <c r="B146" s="158"/>
      <c r="C146" s="158"/>
      <c r="D146" s="158"/>
      <c r="E146" s="158"/>
      <c r="F146" s="158"/>
      <c r="G146" s="99"/>
      <c r="H146" s="158"/>
      <c r="I146" s="158"/>
      <c r="J146" s="158"/>
      <c r="K146" s="158"/>
      <c r="L146" s="158"/>
      <c r="M146" s="104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17.25" customHeight="1">
      <c r="A147" s="158"/>
      <c r="B147" s="158"/>
      <c r="C147" s="158"/>
      <c r="D147" s="158"/>
      <c r="E147" s="158"/>
      <c r="F147" s="158"/>
      <c r="G147" s="99"/>
      <c r="H147" s="158"/>
      <c r="I147" s="158"/>
      <c r="J147" s="158"/>
      <c r="K147" s="158"/>
      <c r="L147" s="158"/>
      <c r="M147" s="104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17.25" customHeight="1">
      <c r="A148" s="158"/>
      <c r="B148" s="158"/>
      <c r="C148" s="158"/>
      <c r="D148" s="158"/>
      <c r="E148" s="158"/>
      <c r="F148" s="158"/>
      <c r="G148" s="99"/>
      <c r="H148" s="158"/>
      <c r="I148" s="158"/>
      <c r="J148" s="158"/>
      <c r="K148" s="158"/>
      <c r="L148" s="158"/>
      <c r="M148" s="104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ht="17.25" customHeight="1">
      <c r="A149" s="158"/>
      <c r="B149" s="158"/>
      <c r="C149" s="158"/>
      <c r="D149" s="158"/>
      <c r="E149" s="158"/>
      <c r="F149" s="158"/>
      <c r="G149" s="99"/>
      <c r="H149" s="158"/>
      <c r="I149" s="158"/>
      <c r="J149" s="158"/>
      <c r="K149" s="158"/>
      <c r="L149" s="158"/>
      <c r="M149" s="104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ht="17.25" customHeight="1">
      <c r="A150" s="158"/>
      <c r="B150" s="158"/>
      <c r="C150" s="158"/>
      <c r="D150" s="158"/>
      <c r="E150" s="158"/>
      <c r="F150" s="158"/>
      <c r="G150" s="99"/>
      <c r="H150" s="158"/>
      <c r="I150" s="158"/>
      <c r="J150" s="158"/>
      <c r="K150" s="158"/>
      <c r="L150" s="158"/>
      <c r="M150" s="104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ht="17.25" customHeight="1">
      <c r="A151" s="158"/>
      <c r="B151" s="158"/>
      <c r="C151" s="158"/>
      <c r="D151" s="158"/>
      <c r="E151" s="158"/>
      <c r="F151" s="158"/>
      <c r="G151" s="99"/>
      <c r="H151" s="158"/>
      <c r="I151" s="158"/>
      <c r="J151" s="158"/>
      <c r="K151" s="158"/>
      <c r="L151" s="158"/>
      <c r="M151" s="104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ht="17.25" customHeight="1">
      <c r="A152" s="158"/>
      <c r="B152" s="158"/>
      <c r="C152" s="158"/>
      <c r="D152" s="158"/>
      <c r="E152" s="158"/>
      <c r="F152" s="158"/>
      <c r="G152" s="99"/>
      <c r="H152" s="158"/>
      <c r="I152" s="158"/>
      <c r="J152" s="158"/>
      <c r="K152" s="158"/>
      <c r="L152" s="158"/>
      <c r="M152" s="104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17.25" customHeight="1">
      <c r="A153" s="158"/>
      <c r="B153" s="158"/>
      <c r="C153" s="158"/>
      <c r="D153" s="158"/>
      <c r="E153" s="158"/>
      <c r="F153" s="158"/>
      <c r="G153" s="99"/>
      <c r="H153" s="158"/>
      <c r="I153" s="158"/>
      <c r="J153" s="158"/>
      <c r="K153" s="158"/>
      <c r="L153" s="158"/>
      <c r="M153" s="104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17.25" customHeight="1">
      <c r="A154" s="158"/>
      <c r="B154" s="158"/>
      <c r="C154" s="158"/>
      <c r="D154" s="158"/>
      <c r="E154" s="158"/>
      <c r="F154" s="158"/>
      <c r="G154" s="99"/>
      <c r="H154" s="158"/>
      <c r="I154" s="158"/>
      <c r="J154" s="158"/>
      <c r="K154" s="158"/>
      <c r="L154" s="158"/>
      <c r="M154" s="104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17.25" customHeight="1">
      <c r="A155" s="158"/>
      <c r="B155" s="158"/>
      <c r="C155" s="158"/>
      <c r="D155" s="158"/>
      <c r="E155" s="158"/>
      <c r="F155" s="158"/>
      <c r="G155" s="99"/>
      <c r="H155" s="158"/>
      <c r="I155" s="158"/>
      <c r="J155" s="158"/>
      <c r="K155" s="158"/>
      <c r="L155" s="158"/>
      <c r="M155" s="104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17.25" customHeight="1">
      <c r="A156" s="158"/>
      <c r="B156" s="158"/>
      <c r="C156" s="158"/>
      <c r="D156" s="158"/>
      <c r="E156" s="158"/>
      <c r="F156" s="158"/>
      <c r="G156" s="99"/>
      <c r="H156" s="158"/>
      <c r="I156" s="158"/>
      <c r="J156" s="158"/>
      <c r="K156" s="158"/>
      <c r="L156" s="158"/>
      <c r="M156" s="104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17.25" customHeight="1">
      <c r="A157" s="158"/>
      <c r="B157" s="158"/>
      <c r="C157" s="158"/>
      <c r="D157" s="158"/>
      <c r="E157" s="158"/>
      <c r="F157" s="158"/>
      <c r="G157" s="99"/>
      <c r="H157" s="158"/>
      <c r="I157" s="158"/>
      <c r="J157" s="158"/>
      <c r="K157" s="158"/>
      <c r="L157" s="158"/>
      <c r="M157" s="104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17.25" customHeight="1">
      <c r="A158" s="158"/>
      <c r="B158" s="158"/>
      <c r="C158" s="158"/>
      <c r="D158" s="158"/>
      <c r="E158" s="158"/>
      <c r="F158" s="158"/>
      <c r="G158" s="99"/>
      <c r="H158" s="158"/>
      <c r="I158" s="158"/>
      <c r="J158" s="158"/>
      <c r="K158" s="158"/>
      <c r="L158" s="158"/>
      <c r="M158" s="104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17.25" customHeight="1">
      <c r="A159" s="158"/>
      <c r="B159" s="158"/>
      <c r="C159" s="158"/>
      <c r="D159" s="158"/>
      <c r="E159" s="158"/>
      <c r="F159" s="158"/>
      <c r="G159" s="99"/>
      <c r="H159" s="158"/>
      <c r="I159" s="158"/>
      <c r="J159" s="158"/>
      <c r="K159" s="158"/>
      <c r="L159" s="158"/>
      <c r="M159" s="104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ht="17.25" customHeight="1">
      <c r="A160" s="158"/>
      <c r="B160" s="158"/>
      <c r="C160" s="158"/>
      <c r="D160" s="158"/>
      <c r="E160" s="158"/>
      <c r="F160" s="158"/>
      <c r="G160" s="99"/>
      <c r="H160" s="158"/>
      <c r="I160" s="158"/>
      <c r="J160" s="158"/>
      <c r="K160" s="158"/>
      <c r="L160" s="158"/>
      <c r="M160" s="104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ht="17.25" customHeight="1">
      <c r="A161" s="158"/>
      <c r="B161" s="158"/>
      <c r="C161" s="158"/>
      <c r="D161" s="158"/>
      <c r="E161" s="158"/>
      <c r="F161" s="158"/>
      <c r="G161" s="99"/>
      <c r="H161" s="158"/>
      <c r="I161" s="158"/>
      <c r="J161" s="158"/>
      <c r="K161" s="158"/>
      <c r="L161" s="158"/>
      <c r="M161" s="104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ht="17.25" customHeight="1">
      <c r="A162" s="158"/>
      <c r="B162" s="158"/>
      <c r="C162" s="158"/>
      <c r="D162" s="158"/>
      <c r="E162" s="158"/>
      <c r="F162" s="158"/>
      <c r="G162" s="99"/>
      <c r="H162" s="158"/>
      <c r="I162" s="158"/>
      <c r="J162" s="158"/>
      <c r="K162" s="158"/>
      <c r="L162" s="158"/>
      <c r="M162" s="104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ht="17.25" customHeight="1">
      <c r="A163" s="158"/>
      <c r="B163" s="158"/>
      <c r="C163" s="158"/>
      <c r="D163" s="158"/>
      <c r="E163" s="158"/>
      <c r="F163" s="158"/>
      <c r="G163" s="99"/>
      <c r="H163" s="158"/>
      <c r="I163" s="158"/>
      <c r="J163" s="158"/>
      <c r="K163" s="158"/>
      <c r="L163" s="158"/>
      <c r="M163" s="104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ht="17.25" customHeight="1">
      <c r="A164" s="158"/>
      <c r="B164" s="158"/>
      <c r="C164" s="158"/>
      <c r="D164" s="158"/>
      <c r="E164" s="158"/>
      <c r="F164" s="158"/>
      <c r="G164" s="99"/>
      <c r="H164" s="158"/>
      <c r="I164" s="158"/>
      <c r="J164" s="158"/>
      <c r="K164" s="158"/>
      <c r="L164" s="158"/>
      <c r="M164" s="104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ht="17.25" customHeight="1">
      <c r="A165" s="158"/>
      <c r="B165" s="158"/>
      <c r="C165" s="158"/>
      <c r="D165" s="158"/>
      <c r="E165" s="158"/>
      <c r="F165" s="158"/>
      <c r="G165" s="99"/>
      <c r="H165" s="158"/>
      <c r="I165" s="158"/>
      <c r="J165" s="158"/>
      <c r="K165" s="158"/>
      <c r="L165" s="158"/>
      <c r="M165" s="104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ht="17.25" customHeight="1">
      <c r="A166" s="158"/>
      <c r="B166" s="158"/>
      <c r="C166" s="158"/>
      <c r="D166" s="158"/>
      <c r="E166" s="158"/>
      <c r="F166" s="158"/>
      <c r="G166" s="99"/>
      <c r="H166" s="158"/>
      <c r="I166" s="158"/>
      <c r="J166" s="158"/>
      <c r="K166" s="158"/>
      <c r="L166" s="158"/>
      <c r="M166" s="104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ht="17.25" customHeight="1">
      <c r="A167" s="158"/>
      <c r="B167" s="158"/>
      <c r="C167" s="158"/>
      <c r="D167" s="158"/>
      <c r="E167" s="158"/>
      <c r="F167" s="158"/>
      <c r="G167" s="99"/>
      <c r="H167" s="158"/>
      <c r="I167" s="158"/>
      <c r="J167" s="158"/>
      <c r="K167" s="158"/>
      <c r="L167" s="158"/>
      <c r="M167" s="104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17.25" customHeight="1">
      <c r="A168" s="158"/>
      <c r="B168" s="158"/>
      <c r="C168" s="158"/>
      <c r="D168" s="158"/>
      <c r="E168" s="158"/>
      <c r="F168" s="158"/>
      <c r="G168" s="99"/>
      <c r="H168" s="158"/>
      <c r="I168" s="158"/>
      <c r="J168" s="158"/>
      <c r="K168" s="158"/>
      <c r="L168" s="158"/>
      <c r="M168" s="104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17.25" customHeight="1">
      <c r="A169" s="158"/>
      <c r="B169" s="158"/>
      <c r="C169" s="158"/>
      <c r="D169" s="158"/>
      <c r="E169" s="158"/>
      <c r="F169" s="158"/>
      <c r="G169" s="99"/>
      <c r="H169" s="158"/>
      <c r="I169" s="158"/>
      <c r="J169" s="158"/>
      <c r="K169" s="158"/>
      <c r="L169" s="158"/>
      <c r="M169" s="104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17.25" customHeight="1">
      <c r="A170" s="158"/>
      <c r="B170" s="158"/>
      <c r="C170" s="158"/>
      <c r="D170" s="158"/>
      <c r="E170" s="158"/>
      <c r="F170" s="158"/>
      <c r="G170" s="99"/>
      <c r="H170" s="158"/>
      <c r="I170" s="158"/>
      <c r="J170" s="158"/>
      <c r="K170" s="158"/>
      <c r="L170" s="158"/>
      <c r="M170" s="104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ht="17.25" customHeight="1">
      <c r="A171" s="158"/>
      <c r="B171" s="158"/>
      <c r="C171" s="158"/>
      <c r="D171" s="158"/>
      <c r="E171" s="158"/>
      <c r="F171" s="158"/>
      <c r="G171" s="99"/>
      <c r="H171" s="158"/>
      <c r="I171" s="158"/>
      <c r="J171" s="158"/>
      <c r="K171" s="158"/>
      <c r="L171" s="158"/>
      <c r="M171" s="104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ht="17.25" customHeight="1">
      <c r="A172" s="158"/>
      <c r="B172" s="158"/>
      <c r="C172" s="158"/>
      <c r="D172" s="158"/>
      <c r="E172" s="158"/>
      <c r="F172" s="158"/>
      <c r="G172" s="99"/>
      <c r="H172" s="158"/>
      <c r="I172" s="158"/>
      <c r="J172" s="158"/>
      <c r="K172" s="158"/>
      <c r="L172" s="158"/>
      <c r="M172" s="104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17.25" customHeight="1">
      <c r="A173" s="158"/>
      <c r="B173" s="158"/>
      <c r="C173" s="158"/>
      <c r="D173" s="158"/>
      <c r="E173" s="158"/>
      <c r="F173" s="158"/>
      <c r="G173" s="99"/>
      <c r="H173" s="158"/>
      <c r="I173" s="158"/>
      <c r="J173" s="158"/>
      <c r="K173" s="158"/>
      <c r="L173" s="158"/>
      <c r="M173" s="104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17.25" customHeight="1">
      <c r="A174" s="158"/>
      <c r="B174" s="158"/>
      <c r="C174" s="158"/>
      <c r="D174" s="158"/>
      <c r="E174" s="158"/>
      <c r="F174" s="158"/>
      <c r="G174" s="99"/>
      <c r="H174" s="158"/>
      <c r="I174" s="158"/>
      <c r="J174" s="158"/>
      <c r="K174" s="158"/>
      <c r="L174" s="158"/>
      <c r="M174" s="104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17.25" customHeight="1">
      <c r="A175" s="158"/>
      <c r="B175" s="158"/>
      <c r="C175" s="158"/>
      <c r="D175" s="158"/>
      <c r="E175" s="158"/>
      <c r="F175" s="158"/>
      <c r="G175" s="99"/>
      <c r="H175" s="158"/>
      <c r="I175" s="158"/>
      <c r="J175" s="158"/>
      <c r="K175" s="158"/>
      <c r="L175" s="158"/>
      <c r="M175" s="104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17.25" customHeight="1">
      <c r="A176" s="158"/>
      <c r="B176" s="158"/>
      <c r="C176" s="158"/>
      <c r="D176" s="158"/>
      <c r="E176" s="158"/>
      <c r="F176" s="158"/>
      <c r="G176" s="99"/>
      <c r="H176" s="158"/>
      <c r="I176" s="158"/>
      <c r="J176" s="158"/>
      <c r="K176" s="158"/>
      <c r="L176" s="158"/>
      <c r="M176" s="104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17.25" customHeight="1">
      <c r="A177" s="158"/>
      <c r="B177" s="158"/>
      <c r="C177" s="158"/>
      <c r="D177" s="158"/>
      <c r="E177" s="158"/>
      <c r="F177" s="158"/>
      <c r="G177" s="99"/>
      <c r="H177" s="158"/>
      <c r="I177" s="158"/>
      <c r="J177" s="158"/>
      <c r="K177" s="158"/>
      <c r="L177" s="158"/>
      <c r="M177" s="104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17.25" customHeight="1">
      <c r="A178" s="158"/>
      <c r="B178" s="158"/>
      <c r="C178" s="158"/>
      <c r="D178" s="158"/>
      <c r="E178" s="158"/>
      <c r="F178" s="158"/>
      <c r="G178" s="99"/>
      <c r="H178" s="158"/>
      <c r="I178" s="158"/>
      <c r="J178" s="158"/>
      <c r="K178" s="158"/>
      <c r="L178" s="158"/>
      <c r="M178" s="104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17.25" customHeight="1">
      <c r="A179" s="158"/>
      <c r="B179" s="158"/>
      <c r="C179" s="158"/>
      <c r="D179" s="158"/>
      <c r="E179" s="158"/>
      <c r="F179" s="158"/>
      <c r="G179" s="99"/>
      <c r="H179" s="158"/>
      <c r="I179" s="158"/>
      <c r="J179" s="158"/>
      <c r="K179" s="158"/>
      <c r="L179" s="158"/>
      <c r="M179" s="104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17.25" customHeight="1">
      <c r="A180" s="158"/>
      <c r="B180" s="158"/>
      <c r="C180" s="158"/>
      <c r="D180" s="158"/>
      <c r="E180" s="158"/>
      <c r="F180" s="158"/>
      <c r="G180" s="99"/>
      <c r="H180" s="158"/>
      <c r="I180" s="158"/>
      <c r="J180" s="158"/>
      <c r="K180" s="158"/>
      <c r="L180" s="158"/>
      <c r="M180" s="104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ht="17.25" customHeight="1">
      <c r="A181" s="158"/>
      <c r="B181" s="158"/>
      <c r="C181" s="158"/>
      <c r="D181" s="158"/>
      <c r="E181" s="158"/>
      <c r="F181" s="158"/>
      <c r="G181" s="99"/>
      <c r="H181" s="158"/>
      <c r="I181" s="158"/>
      <c r="J181" s="158"/>
      <c r="K181" s="158"/>
      <c r="L181" s="158"/>
      <c r="M181" s="104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ht="17.25" customHeight="1">
      <c r="A182" s="158"/>
      <c r="B182" s="158"/>
      <c r="C182" s="158"/>
      <c r="D182" s="158"/>
      <c r="E182" s="158"/>
      <c r="F182" s="158"/>
      <c r="G182" s="99"/>
      <c r="H182" s="158"/>
      <c r="I182" s="158"/>
      <c r="J182" s="158"/>
      <c r="K182" s="158"/>
      <c r="L182" s="158"/>
      <c r="M182" s="104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ht="17.25" customHeight="1">
      <c r="A183" s="158"/>
      <c r="B183" s="158"/>
      <c r="C183" s="158"/>
      <c r="D183" s="158"/>
      <c r="E183" s="158"/>
      <c r="F183" s="158"/>
      <c r="G183" s="99"/>
      <c r="H183" s="158"/>
      <c r="I183" s="158"/>
      <c r="J183" s="158"/>
      <c r="K183" s="158"/>
      <c r="L183" s="158"/>
      <c r="M183" s="104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ht="17.25" customHeight="1">
      <c r="A184" s="158"/>
      <c r="B184" s="158"/>
      <c r="C184" s="158"/>
      <c r="D184" s="158"/>
      <c r="E184" s="158"/>
      <c r="F184" s="158"/>
      <c r="G184" s="99"/>
      <c r="H184" s="158"/>
      <c r="I184" s="158"/>
      <c r="J184" s="158"/>
      <c r="K184" s="158"/>
      <c r="L184" s="158"/>
      <c r="M184" s="104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ht="17.25" customHeight="1">
      <c r="A185" s="158"/>
      <c r="B185" s="158"/>
      <c r="C185" s="158"/>
      <c r="D185" s="158"/>
      <c r="E185" s="158"/>
      <c r="F185" s="158"/>
      <c r="G185" s="99"/>
      <c r="H185" s="158"/>
      <c r="I185" s="158"/>
      <c r="J185" s="158"/>
      <c r="K185" s="158"/>
      <c r="L185" s="158"/>
      <c r="M185" s="104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ht="17.25" customHeight="1">
      <c r="A186" s="158"/>
      <c r="B186" s="158"/>
      <c r="C186" s="158"/>
      <c r="D186" s="158"/>
      <c r="E186" s="158"/>
      <c r="F186" s="158"/>
      <c r="G186" s="99"/>
      <c r="H186" s="158"/>
      <c r="I186" s="158"/>
      <c r="J186" s="158"/>
      <c r="K186" s="158"/>
      <c r="L186" s="158"/>
      <c r="M186" s="104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ht="17.25" customHeight="1">
      <c r="A187" s="158"/>
      <c r="B187" s="158"/>
      <c r="C187" s="158"/>
      <c r="D187" s="158"/>
      <c r="E187" s="158"/>
      <c r="F187" s="158"/>
      <c r="G187" s="99"/>
      <c r="H187" s="158"/>
      <c r="I187" s="158"/>
      <c r="J187" s="158"/>
      <c r="K187" s="158"/>
      <c r="L187" s="158"/>
      <c r="M187" s="104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ht="17.25" customHeight="1">
      <c r="A188" s="158"/>
      <c r="B188" s="158"/>
      <c r="C188" s="158"/>
      <c r="D188" s="158"/>
      <c r="E188" s="158"/>
      <c r="F188" s="158"/>
      <c r="G188" s="99"/>
      <c r="H188" s="158"/>
      <c r="I188" s="158"/>
      <c r="J188" s="158"/>
      <c r="K188" s="158"/>
      <c r="L188" s="158"/>
      <c r="M188" s="104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ht="17.25" customHeight="1">
      <c r="A189" s="158"/>
      <c r="B189" s="158"/>
      <c r="C189" s="158"/>
      <c r="D189" s="158"/>
      <c r="E189" s="158"/>
      <c r="F189" s="158"/>
      <c r="G189" s="99"/>
      <c r="H189" s="158"/>
      <c r="I189" s="158"/>
      <c r="J189" s="158"/>
      <c r="K189" s="158"/>
      <c r="L189" s="158"/>
      <c r="M189" s="104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ht="17.25" customHeight="1">
      <c r="A190" s="158"/>
      <c r="B190" s="158"/>
      <c r="C190" s="158"/>
      <c r="D190" s="158"/>
      <c r="E190" s="158"/>
      <c r="F190" s="158"/>
      <c r="G190" s="99"/>
      <c r="H190" s="158"/>
      <c r="I190" s="158"/>
      <c r="J190" s="158"/>
      <c r="K190" s="158"/>
      <c r="L190" s="158"/>
      <c r="M190" s="104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ht="17.25" customHeight="1">
      <c r="A191" s="158"/>
      <c r="B191" s="158"/>
      <c r="C191" s="158"/>
      <c r="D191" s="158"/>
      <c r="E191" s="158"/>
      <c r="F191" s="158"/>
      <c r="G191" s="99"/>
      <c r="H191" s="158"/>
      <c r="I191" s="158"/>
      <c r="J191" s="158"/>
      <c r="K191" s="158"/>
      <c r="L191" s="158"/>
      <c r="M191" s="104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ht="17.25" customHeight="1">
      <c r="A192" s="158"/>
      <c r="B192" s="158"/>
      <c r="C192" s="158"/>
      <c r="D192" s="158"/>
      <c r="E192" s="158"/>
      <c r="F192" s="158"/>
      <c r="G192" s="99"/>
      <c r="H192" s="158"/>
      <c r="I192" s="158"/>
      <c r="J192" s="158"/>
      <c r="K192" s="158"/>
      <c r="L192" s="158"/>
      <c r="M192" s="104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ht="17.25" customHeight="1">
      <c r="A193" s="158"/>
      <c r="B193" s="158"/>
      <c r="C193" s="158"/>
      <c r="D193" s="158"/>
      <c r="E193" s="158"/>
      <c r="F193" s="158"/>
      <c r="G193" s="99"/>
      <c r="H193" s="158"/>
      <c r="I193" s="158"/>
      <c r="J193" s="158"/>
      <c r="K193" s="158"/>
      <c r="L193" s="158"/>
      <c r="M193" s="104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ht="17.25" customHeight="1">
      <c r="A194" s="158"/>
      <c r="B194" s="158"/>
      <c r="C194" s="158"/>
      <c r="D194" s="158"/>
      <c r="E194" s="158"/>
      <c r="F194" s="158"/>
      <c r="G194" s="99"/>
      <c r="H194" s="158"/>
      <c r="I194" s="158"/>
      <c r="J194" s="158"/>
      <c r="K194" s="158"/>
      <c r="L194" s="158"/>
      <c r="M194" s="104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ht="17.25" customHeight="1">
      <c r="A195" s="158"/>
      <c r="B195" s="158"/>
      <c r="C195" s="158"/>
      <c r="D195" s="158"/>
      <c r="E195" s="158"/>
      <c r="F195" s="158"/>
      <c r="G195" s="99"/>
      <c r="H195" s="158"/>
      <c r="I195" s="158"/>
      <c r="J195" s="158"/>
      <c r="K195" s="158"/>
      <c r="L195" s="158"/>
      <c r="M195" s="104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ht="17.25" customHeight="1">
      <c r="A196" s="158"/>
      <c r="B196" s="158"/>
      <c r="C196" s="158"/>
      <c r="D196" s="158"/>
      <c r="E196" s="158"/>
      <c r="F196" s="158"/>
      <c r="G196" s="99"/>
      <c r="H196" s="158"/>
      <c r="I196" s="158"/>
      <c r="J196" s="158"/>
      <c r="K196" s="158"/>
      <c r="L196" s="158"/>
      <c r="M196" s="104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ht="17.25" customHeight="1">
      <c r="A197" s="158"/>
      <c r="B197" s="158"/>
      <c r="C197" s="158"/>
      <c r="D197" s="158"/>
      <c r="E197" s="158"/>
      <c r="F197" s="158"/>
      <c r="G197" s="99"/>
      <c r="H197" s="158"/>
      <c r="I197" s="158"/>
      <c r="J197" s="158"/>
      <c r="K197" s="158"/>
      <c r="L197" s="158"/>
      <c r="M197" s="104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ht="17.25" customHeight="1">
      <c r="A198" s="158"/>
      <c r="B198" s="158"/>
      <c r="C198" s="158"/>
      <c r="D198" s="158"/>
      <c r="E198" s="158"/>
      <c r="F198" s="158"/>
      <c r="G198" s="99"/>
      <c r="H198" s="158"/>
      <c r="I198" s="158"/>
      <c r="J198" s="158"/>
      <c r="K198" s="158"/>
      <c r="L198" s="158"/>
      <c r="M198" s="104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ht="17.25" customHeight="1">
      <c r="A199" s="158"/>
      <c r="B199" s="158"/>
      <c r="C199" s="158"/>
      <c r="D199" s="158"/>
      <c r="E199" s="158"/>
      <c r="F199" s="158"/>
      <c r="G199" s="99"/>
      <c r="H199" s="158"/>
      <c r="I199" s="158"/>
      <c r="J199" s="158"/>
      <c r="K199" s="158"/>
      <c r="L199" s="158"/>
      <c r="M199" s="104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17.25" customHeight="1">
      <c r="A200" s="158"/>
      <c r="B200" s="158"/>
      <c r="C200" s="158"/>
      <c r="D200" s="158"/>
      <c r="E200" s="158"/>
      <c r="F200" s="158"/>
      <c r="G200" s="99"/>
      <c r="H200" s="158"/>
      <c r="I200" s="158"/>
      <c r="J200" s="158"/>
      <c r="K200" s="158"/>
      <c r="L200" s="158"/>
      <c r="M200" s="104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ht="17.25" customHeight="1">
      <c r="A201" s="158"/>
      <c r="B201" s="158"/>
      <c r="C201" s="158"/>
      <c r="D201" s="158"/>
      <c r="E201" s="158"/>
      <c r="F201" s="158"/>
      <c r="G201" s="99"/>
      <c r="H201" s="158"/>
      <c r="I201" s="158"/>
      <c r="J201" s="158"/>
      <c r="K201" s="158"/>
      <c r="L201" s="158"/>
      <c r="M201" s="104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ht="17.25" customHeight="1">
      <c r="A202" s="158"/>
      <c r="B202" s="158"/>
      <c r="C202" s="158"/>
      <c r="D202" s="158"/>
      <c r="E202" s="158"/>
      <c r="F202" s="158"/>
      <c r="G202" s="99"/>
      <c r="H202" s="158"/>
      <c r="I202" s="158"/>
      <c r="J202" s="158"/>
      <c r="K202" s="158"/>
      <c r="L202" s="158"/>
      <c r="M202" s="104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ht="17.25" customHeight="1">
      <c r="A203" s="158"/>
      <c r="B203" s="158"/>
      <c r="C203" s="158"/>
      <c r="D203" s="158"/>
      <c r="E203" s="158"/>
      <c r="F203" s="158"/>
      <c r="G203" s="99"/>
      <c r="H203" s="158"/>
      <c r="I203" s="158"/>
      <c r="J203" s="158"/>
      <c r="K203" s="158"/>
      <c r="L203" s="158"/>
      <c r="M203" s="104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ht="17.25" customHeight="1">
      <c r="A204" s="158"/>
      <c r="B204" s="158"/>
      <c r="C204" s="158"/>
      <c r="D204" s="158"/>
      <c r="E204" s="158"/>
      <c r="F204" s="158"/>
      <c r="G204" s="99"/>
      <c r="H204" s="158"/>
      <c r="I204" s="158"/>
      <c r="J204" s="158"/>
      <c r="K204" s="158"/>
      <c r="L204" s="158"/>
      <c r="M204" s="104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ht="17.25" customHeight="1">
      <c r="A205" s="158"/>
      <c r="B205" s="158"/>
      <c r="C205" s="158"/>
      <c r="D205" s="158"/>
      <c r="E205" s="158"/>
      <c r="F205" s="158"/>
      <c r="G205" s="99"/>
      <c r="H205" s="158"/>
      <c r="I205" s="158"/>
      <c r="J205" s="158"/>
      <c r="K205" s="158"/>
      <c r="L205" s="158"/>
      <c r="M205" s="104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ht="17.25" customHeight="1">
      <c r="A206" s="158"/>
      <c r="B206" s="158"/>
      <c r="C206" s="158"/>
      <c r="D206" s="158"/>
      <c r="E206" s="158"/>
      <c r="F206" s="158"/>
      <c r="G206" s="99"/>
      <c r="H206" s="158"/>
      <c r="I206" s="158"/>
      <c r="J206" s="158"/>
      <c r="K206" s="158"/>
      <c r="L206" s="158"/>
      <c r="M206" s="104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ht="17.25" customHeight="1">
      <c r="A207" s="158"/>
      <c r="B207" s="158"/>
      <c r="C207" s="158"/>
      <c r="D207" s="158"/>
      <c r="E207" s="158"/>
      <c r="F207" s="158"/>
      <c r="G207" s="99"/>
      <c r="H207" s="158"/>
      <c r="I207" s="158"/>
      <c r="J207" s="158"/>
      <c r="K207" s="158"/>
      <c r="L207" s="158"/>
      <c r="M207" s="104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ht="17.25" customHeight="1">
      <c r="A208" s="158"/>
      <c r="B208" s="158"/>
      <c r="C208" s="158"/>
      <c r="D208" s="158"/>
      <c r="E208" s="158"/>
      <c r="F208" s="158"/>
      <c r="G208" s="99"/>
      <c r="H208" s="158"/>
      <c r="I208" s="158"/>
      <c r="J208" s="158"/>
      <c r="K208" s="158"/>
      <c r="L208" s="158"/>
      <c r="M208" s="104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ht="17.25" customHeight="1">
      <c r="A209" s="158"/>
      <c r="B209" s="158"/>
      <c r="C209" s="158"/>
      <c r="D209" s="158"/>
      <c r="E209" s="158"/>
      <c r="F209" s="158"/>
      <c r="G209" s="99"/>
      <c r="H209" s="158"/>
      <c r="I209" s="158"/>
      <c r="J209" s="158"/>
      <c r="K209" s="158"/>
      <c r="L209" s="158"/>
      <c r="M209" s="104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ht="17.25" customHeight="1">
      <c r="A210" s="158"/>
      <c r="B210" s="158"/>
      <c r="C210" s="158"/>
      <c r="D210" s="158"/>
      <c r="E210" s="158"/>
      <c r="F210" s="158"/>
      <c r="G210" s="99"/>
      <c r="H210" s="158"/>
      <c r="I210" s="158"/>
      <c r="J210" s="158"/>
      <c r="K210" s="158"/>
      <c r="L210" s="158"/>
      <c r="M210" s="104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17.25" customHeight="1">
      <c r="A211" s="158"/>
      <c r="B211" s="158"/>
      <c r="C211" s="158"/>
      <c r="D211" s="158"/>
      <c r="E211" s="158"/>
      <c r="F211" s="158"/>
      <c r="G211" s="99"/>
      <c r="H211" s="158"/>
      <c r="I211" s="158"/>
      <c r="J211" s="158"/>
      <c r="K211" s="158"/>
      <c r="L211" s="158"/>
      <c r="M211" s="104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17.25" customHeight="1">
      <c r="A212" s="158"/>
      <c r="B212" s="158"/>
      <c r="C212" s="158"/>
      <c r="D212" s="158"/>
      <c r="E212" s="158"/>
      <c r="F212" s="158"/>
      <c r="G212" s="99"/>
      <c r="H212" s="158"/>
      <c r="I212" s="158"/>
      <c r="J212" s="158"/>
      <c r="K212" s="158"/>
      <c r="L212" s="158"/>
      <c r="M212" s="104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ht="17.25" customHeight="1">
      <c r="A213" s="158"/>
      <c r="B213" s="158"/>
      <c r="C213" s="158"/>
      <c r="D213" s="158"/>
      <c r="E213" s="158"/>
      <c r="F213" s="158"/>
      <c r="G213" s="99"/>
      <c r="H213" s="158"/>
      <c r="I213" s="158"/>
      <c r="J213" s="158"/>
      <c r="K213" s="158"/>
      <c r="L213" s="158"/>
      <c r="M213" s="104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ht="17.25" customHeight="1">
      <c r="A214" s="158"/>
      <c r="B214" s="158"/>
      <c r="C214" s="158"/>
      <c r="D214" s="158"/>
      <c r="E214" s="158"/>
      <c r="F214" s="158"/>
      <c r="G214" s="99"/>
      <c r="H214" s="158"/>
      <c r="I214" s="158"/>
      <c r="J214" s="158"/>
      <c r="K214" s="158"/>
      <c r="L214" s="158"/>
      <c r="M214" s="104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ht="17.25" customHeight="1">
      <c r="A215" s="158"/>
      <c r="B215" s="158"/>
      <c r="C215" s="158"/>
      <c r="D215" s="158"/>
      <c r="E215" s="158"/>
      <c r="F215" s="158"/>
      <c r="G215" s="99"/>
      <c r="H215" s="158"/>
      <c r="I215" s="158"/>
      <c r="J215" s="158"/>
      <c r="K215" s="158"/>
      <c r="L215" s="158"/>
      <c r="M215" s="104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ht="17.25" customHeight="1">
      <c r="A216" s="158"/>
      <c r="B216" s="158"/>
      <c r="C216" s="158"/>
      <c r="D216" s="158"/>
      <c r="E216" s="158"/>
      <c r="F216" s="158"/>
      <c r="G216" s="99"/>
      <c r="H216" s="158"/>
      <c r="I216" s="158"/>
      <c r="J216" s="158"/>
      <c r="K216" s="158"/>
      <c r="L216" s="158"/>
      <c r="M216" s="104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ht="17.25" customHeight="1">
      <c r="A217" s="158"/>
      <c r="B217" s="158"/>
      <c r="C217" s="158"/>
      <c r="D217" s="158"/>
      <c r="E217" s="158"/>
      <c r="F217" s="158"/>
      <c r="G217" s="99"/>
      <c r="H217" s="158"/>
      <c r="I217" s="158"/>
      <c r="J217" s="158"/>
      <c r="K217" s="158"/>
      <c r="L217" s="158"/>
      <c r="M217" s="104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ht="17.25" customHeight="1">
      <c r="A218" s="158"/>
      <c r="B218" s="158"/>
      <c r="C218" s="158"/>
      <c r="D218" s="158"/>
      <c r="E218" s="158"/>
      <c r="F218" s="158"/>
      <c r="G218" s="99"/>
      <c r="H218" s="158"/>
      <c r="I218" s="158"/>
      <c r="J218" s="158"/>
      <c r="K218" s="158"/>
      <c r="L218" s="158"/>
      <c r="M218" s="104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ht="17.25" customHeight="1">
      <c r="A219" s="158"/>
      <c r="B219" s="158"/>
      <c r="C219" s="158"/>
      <c r="D219" s="158"/>
      <c r="E219" s="158"/>
      <c r="F219" s="158"/>
      <c r="G219" s="99"/>
      <c r="H219" s="158"/>
      <c r="I219" s="158"/>
      <c r="J219" s="158"/>
      <c r="K219" s="158"/>
      <c r="L219" s="158"/>
      <c r="M219" s="104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ht="17.25" customHeight="1">
      <c r="A220" s="158"/>
      <c r="B220" s="158"/>
      <c r="C220" s="158"/>
      <c r="D220" s="158"/>
      <c r="E220" s="158"/>
      <c r="F220" s="158"/>
      <c r="G220" s="99"/>
      <c r="H220" s="158"/>
      <c r="I220" s="158"/>
      <c r="J220" s="158"/>
      <c r="K220" s="158"/>
      <c r="L220" s="158"/>
      <c r="M220" s="104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17.25" customHeight="1">
      <c r="A221" s="158"/>
      <c r="B221" s="158"/>
      <c r="C221" s="158"/>
      <c r="D221" s="158"/>
      <c r="E221" s="158"/>
      <c r="F221" s="158"/>
      <c r="G221" s="99"/>
      <c r="H221" s="158"/>
      <c r="I221" s="158"/>
      <c r="J221" s="158"/>
      <c r="K221" s="158"/>
      <c r="L221" s="158"/>
      <c r="M221" s="104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ht="17.25" customHeight="1">
      <c r="A222" s="158"/>
      <c r="B222" s="158"/>
      <c r="C222" s="158"/>
      <c r="D222" s="158"/>
      <c r="E222" s="158"/>
      <c r="F222" s="158"/>
      <c r="G222" s="99"/>
      <c r="H222" s="158"/>
      <c r="I222" s="158"/>
      <c r="J222" s="158"/>
      <c r="K222" s="158"/>
      <c r="L222" s="158"/>
      <c r="M222" s="104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ht="17.25" customHeight="1">
      <c r="A223" s="158"/>
      <c r="B223" s="158"/>
      <c r="C223" s="158"/>
      <c r="D223" s="158"/>
      <c r="E223" s="158"/>
      <c r="F223" s="158"/>
      <c r="G223" s="99"/>
      <c r="H223" s="158"/>
      <c r="I223" s="158"/>
      <c r="J223" s="158"/>
      <c r="K223" s="158"/>
      <c r="L223" s="158"/>
      <c r="M223" s="104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ht="17.25" customHeight="1">
      <c r="A224" s="158"/>
      <c r="B224" s="158"/>
      <c r="C224" s="158"/>
      <c r="D224" s="158"/>
      <c r="E224" s="158"/>
      <c r="F224" s="158"/>
      <c r="G224" s="99"/>
      <c r="H224" s="158"/>
      <c r="I224" s="158"/>
      <c r="J224" s="158"/>
      <c r="K224" s="158"/>
      <c r="L224" s="158"/>
      <c r="M224" s="104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ht="17.25" customHeight="1">
      <c r="A225" s="158"/>
      <c r="B225" s="158"/>
      <c r="C225" s="158"/>
      <c r="D225" s="158"/>
      <c r="E225" s="158"/>
      <c r="F225" s="158"/>
      <c r="G225" s="99"/>
      <c r="H225" s="158"/>
      <c r="I225" s="158"/>
      <c r="J225" s="158"/>
      <c r="K225" s="158"/>
      <c r="L225" s="158"/>
      <c r="M225" s="104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ht="17.25" customHeight="1">
      <c r="A226" s="158"/>
      <c r="B226" s="158"/>
      <c r="C226" s="158"/>
      <c r="D226" s="158"/>
      <c r="E226" s="158"/>
      <c r="F226" s="158"/>
      <c r="G226" s="99"/>
      <c r="H226" s="158"/>
      <c r="I226" s="158"/>
      <c r="J226" s="158"/>
      <c r="K226" s="158"/>
      <c r="L226" s="158"/>
      <c r="M226" s="104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ht="17.25" customHeight="1">
      <c r="A227" s="158"/>
      <c r="B227" s="158"/>
      <c r="C227" s="158"/>
      <c r="D227" s="158"/>
      <c r="E227" s="158"/>
      <c r="F227" s="158"/>
      <c r="G227" s="99"/>
      <c r="H227" s="158"/>
      <c r="I227" s="158"/>
      <c r="J227" s="158"/>
      <c r="K227" s="158"/>
      <c r="L227" s="158"/>
      <c r="M227" s="104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ht="17.25" customHeight="1">
      <c r="A228" s="158"/>
      <c r="B228" s="158"/>
      <c r="C228" s="158"/>
      <c r="D228" s="158"/>
      <c r="E228" s="158"/>
      <c r="F228" s="158"/>
      <c r="G228" s="99"/>
      <c r="H228" s="158"/>
      <c r="I228" s="158"/>
      <c r="J228" s="158"/>
      <c r="K228" s="158"/>
      <c r="L228" s="158"/>
      <c r="M228" s="104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ht="17.25" customHeight="1">
      <c r="A229" s="158"/>
      <c r="B229" s="158"/>
      <c r="C229" s="158"/>
      <c r="D229" s="158"/>
      <c r="E229" s="158"/>
      <c r="F229" s="158"/>
      <c r="G229" s="99"/>
      <c r="H229" s="158"/>
      <c r="I229" s="158"/>
      <c r="J229" s="158"/>
      <c r="K229" s="158"/>
      <c r="L229" s="158"/>
      <c r="M229" s="104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ht="17.25" customHeight="1">
      <c r="A230" s="158"/>
      <c r="B230" s="158"/>
      <c r="C230" s="158"/>
      <c r="D230" s="158"/>
      <c r="E230" s="158"/>
      <c r="F230" s="158"/>
      <c r="G230" s="99"/>
      <c r="H230" s="158"/>
      <c r="I230" s="158"/>
      <c r="J230" s="158"/>
      <c r="K230" s="158"/>
      <c r="L230" s="158"/>
      <c r="M230" s="104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ht="17.25" customHeight="1">
      <c r="A231" s="158"/>
      <c r="B231" s="158"/>
      <c r="C231" s="158"/>
      <c r="D231" s="158"/>
      <c r="E231" s="158"/>
      <c r="F231" s="158"/>
      <c r="G231" s="99"/>
      <c r="H231" s="158"/>
      <c r="I231" s="158"/>
      <c r="J231" s="158"/>
      <c r="K231" s="158"/>
      <c r="L231" s="158"/>
      <c r="M231" s="104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ht="17.25" customHeight="1">
      <c r="A232" s="158"/>
      <c r="B232" s="158"/>
      <c r="C232" s="158"/>
      <c r="D232" s="158"/>
      <c r="E232" s="158"/>
      <c r="F232" s="158"/>
      <c r="G232" s="99"/>
      <c r="H232" s="158"/>
      <c r="I232" s="158"/>
      <c r="J232" s="158"/>
      <c r="K232" s="158"/>
      <c r="L232" s="158"/>
      <c r="M232" s="104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ht="17.25" customHeight="1">
      <c r="A233" s="158"/>
      <c r="B233" s="158"/>
      <c r="C233" s="158"/>
      <c r="D233" s="158"/>
      <c r="E233" s="158"/>
      <c r="F233" s="158"/>
      <c r="G233" s="99"/>
      <c r="H233" s="158"/>
      <c r="I233" s="158"/>
      <c r="J233" s="158"/>
      <c r="K233" s="158"/>
      <c r="L233" s="158"/>
      <c r="M233" s="104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ht="17.25" customHeight="1">
      <c r="A234" s="158"/>
      <c r="B234" s="158"/>
      <c r="C234" s="158"/>
      <c r="D234" s="158"/>
      <c r="E234" s="158"/>
      <c r="F234" s="158"/>
      <c r="G234" s="99"/>
      <c r="H234" s="158"/>
      <c r="I234" s="158"/>
      <c r="J234" s="158"/>
      <c r="K234" s="158"/>
      <c r="L234" s="158"/>
      <c r="M234" s="104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ht="17.25" customHeight="1">
      <c r="A235" s="158"/>
      <c r="B235" s="158"/>
      <c r="C235" s="158"/>
      <c r="D235" s="158"/>
      <c r="E235" s="158"/>
      <c r="F235" s="158"/>
      <c r="G235" s="99"/>
      <c r="H235" s="158"/>
      <c r="I235" s="158"/>
      <c r="J235" s="158"/>
      <c r="K235" s="158"/>
      <c r="L235" s="158"/>
      <c r="M235" s="104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ht="17.25" customHeight="1">
      <c r="A236" s="158"/>
      <c r="B236" s="158"/>
      <c r="C236" s="158"/>
      <c r="D236" s="158"/>
      <c r="E236" s="158"/>
      <c r="F236" s="158"/>
      <c r="G236" s="99"/>
      <c r="H236" s="158"/>
      <c r="I236" s="158"/>
      <c r="J236" s="158"/>
      <c r="K236" s="158"/>
      <c r="L236" s="158"/>
      <c r="M236" s="104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ht="17.25" customHeight="1">
      <c r="A237" s="158"/>
      <c r="B237" s="158"/>
      <c r="C237" s="158"/>
      <c r="D237" s="158"/>
      <c r="E237" s="158"/>
      <c r="F237" s="158"/>
      <c r="G237" s="99"/>
      <c r="H237" s="158"/>
      <c r="I237" s="158"/>
      <c r="J237" s="158"/>
      <c r="K237" s="158"/>
      <c r="L237" s="158"/>
      <c r="M237" s="104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ht="17.25" customHeight="1">
      <c r="A238" s="158"/>
      <c r="B238" s="158"/>
      <c r="C238" s="158"/>
      <c r="D238" s="158"/>
      <c r="E238" s="158"/>
      <c r="F238" s="158"/>
      <c r="G238" s="99"/>
      <c r="H238" s="158"/>
      <c r="I238" s="158"/>
      <c r="J238" s="158"/>
      <c r="K238" s="158"/>
      <c r="L238" s="158"/>
      <c r="M238" s="104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ht="17.25" customHeight="1">
      <c r="A239" s="158"/>
      <c r="B239" s="158"/>
      <c r="C239" s="158"/>
      <c r="D239" s="158"/>
      <c r="E239" s="158"/>
      <c r="F239" s="158"/>
      <c r="G239" s="99"/>
      <c r="H239" s="158"/>
      <c r="I239" s="158"/>
      <c r="J239" s="158"/>
      <c r="K239" s="158"/>
      <c r="L239" s="158"/>
      <c r="M239" s="104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ht="17.25" customHeight="1">
      <c r="A240" s="158"/>
      <c r="B240" s="158"/>
      <c r="C240" s="158"/>
      <c r="D240" s="158"/>
      <c r="E240" s="158"/>
      <c r="F240" s="158"/>
      <c r="G240" s="99"/>
      <c r="H240" s="158"/>
      <c r="I240" s="158"/>
      <c r="J240" s="158"/>
      <c r="K240" s="158"/>
      <c r="L240" s="158"/>
      <c r="M240" s="104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ht="17.25" customHeight="1">
      <c r="A241" s="158"/>
      <c r="B241" s="158"/>
      <c r="C241" s="158"/>
      <c r="D241" s="158"/>
      <c r="E241" s="158"/>
      <c r="F241" s="158"/>
      <c r="G241" s="99"/>
      <c r="H241" s="158"/>
      <c r="I241" s="158"/>
      <c r="J241" s="158"/>
      <c r="K241" s="158"/>
      <c r="L241" s="158"/>
      <c r="M241" s="104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ht="17.25" customHeight="1">
      <c r="A242" s="158"/>
      <c r="B242" s="158"/>
      <c r="C242" s="158"/>
      <c r="D242" s="158"/>
      <c r="E242" s="158"/>
      <c r="F242" s="158"/>
      <c r="G242" s="99"/>
      <c r="H242" s="158"/>
      <c r="I242" s="158"/>
      <c r="J242" s="158"/>
      <c r="K242" s="158"/>
      <c r="L242" s="158"/>
      <c r="M242" s="104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ht="17.25" customHeight="1">
      <c r="A243" s="158"/>
      <c r="B243" s="158"/>
      <c r="C243" s="158"/>
      <c r="D243" s="158"/>
      <c r="E243" s="158"/>
      <c r="F243" s="158"/>
      <c r="G243" s="99"/>
      <c r="H243" s="158"/>
      <c r="I243" s="158"/>
      <c r="J243" s="158"/>
      <c r="K243" s="158"/>
      <c r="L243" s="158"/>
      <c r="M243" s="104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ht="17.25" customHeight="1">
      <c r="A244" s="158"/>
      <c r="B244" s="158"/>
      <c r="C244" s="158"/>
      <c r="D244" s="158"/>
      <c r="E244" s="158"/>
      <c r="F244" s="158"/>
      <c r="G244" s="99"/>
      <c r="H244" s="158"/>
      <c r="I244" s="158"/>
      <c r="J244" s="158"/>
      <c r="K244" s="158"/>
      <c r="L244" s="158"/>
      <c r="M244" s="104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ht="17.25" customHeight="1">
      <c r="A245" s="158"/>
      <c r="B245" s="158"/>
      <c r="C245" s="158"/>
      <c r="D245" s="158"/>
      <c r="E245" s="158"/>
      <c r="F245" s="158"/>
      <c r="G245" s="99"/>
      <c r="H245" s="158"/>
      <c r="I245" s="158"/>
      <c r="J245" s="158"/>
      <c r="K245" s="158"/>
      <c r="L245" s="158"/>
      <c r="M245" s="104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ht="17.25" customHeight="1">
      <c r="A246" s="158"/>
      <c r="B246" s="158"/>
      <c r="C246" s="158"/>
      <c r="D246" s="158"/>
      <c r="E246" s="158"/>
      <c r="F246" s="158"/>
      <c r="G246" s="99"/>
      <c r="H246" s="158"/>
      <c r="I246" s="158"/>
      <c r="J246" s="158"/>
      <c r="K246" s="158"/>
      <c r="L246" s="158"/>
      <c r="M246" s="104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ht="17.25" customHeight="1">
      <c r="A247" s="158"/>
      <c r="B247" s="158"/>
      <c r="C247" s="158"/>
      <c r="D247" s="158"/>
      <c r="E247" s="158"/>
      <c r="F247" s="158"/>
      <c r="G247" s="99"/>
      <c r="H247" s="158"/>
      <c r="I247" s="158"/>
      <c r="J247" s="158"/>
      <c r="K247" s="158"/>
      <c r="L247" s="158"/>
      <c r="M247" s="104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ht="17.25" customHeight="1">
      <c r="A248" s="158"/>
      <c r="B248" s="158"/>
      <c r="C248" s="158"/>
      <c r="D248" s="158"/>
      <c r="E248" s="158"/>
      <c r="F248" s="158"/>
      <c r="G248" s="99"/>
      <c r="H248" s="158"/>
      <c r="I248" s="158"/>
      <c r="J248" s="158"/>
      <c r="K248" s="158"/>
      <c r="L248" s="158"/>
      <c r="M248" s="104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ht="17.25" customHeight="1">
      <c r="A249" s="158"/>
      <c r="B249" s="158"/>
      <c r="C249" s="158"/>
      <c r="D249" s="158"/>
      <c r="E249" s="158"/>
      <c r="F249" s="158"/>
      <c r="G249" s="99"/>
      <c r="H249" s="158"/>
      <c r="I249" s="158"/>
      <c r="J249" s="158"/>
      <c r="K249" s="158"/>
      <c r="L249" s="158"/>
      <c r="M249" s="104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ht="17.25" customHeight="1">
      <c r="A250" s="158"/>
      <c r="B250" s="158"/>
      <c r="C250" s="158"/>
      <c r="D250" s="158"/>
      <c r="E250" s="158"/>
      <c r="F250" s="158"/>
      <c r="G250" s="99"/>
      <c r="H250" s="158"/>
      <c r="I250" s="158"/>
      <c r="J250" s="158"/>
      <c r="K250" s="158"/>
      <c r="L250" s="158"/>
      <c r="M250" s="104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ht="17.25" customHeight="1">
      <c r="A251" s="158"/>
      <c r="B251" s="158"/>
      <c r="C251" s="158"/>
      <c r="D251" s="158"/>
      <c r="E251" s="158"/>
      <c r="F251" s="158"/>
      <c r="G251" s="99"/>
      <c r="H251" s="158"/>
      <c r="I251" s="158"/>
      <c r="J251" s="158"/>
      <c r="K251" s="158"/>
      <c r="L251" s="158"/>
      <c r="M251" s="104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ht="17.25" customHeight="1">
      <c r="A252" s="158"/>
      <c r="B252" s="158"/>
      <c r="C252" s="158"/>
      <c r="D252" s="158"/>
      <c r="E252" s="158"/>
      <c r="F252" s="158"/>
      <c r="G252" s="99"/>
      <c r="H252" s="158"/>
      <c r="I252" s="158"/>
      <c r="J252" s="158"/>
      <c r="K252" s="158"/>
      <c r="L252" s="158"/>
      <c r="M252" s="104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ht="17.25" customHeight="1">
      <c r="A253" s="158"/>
      <c r="B253" s="158"/>
      <c r="C253" s="158"/>
      <c r="D253" s="158"/>
      <c r="E253" s="158"/>
      <c r="F253" s="158"/>
      <c r="G253" s="99"/>
      <c r="H253" s="158"/>
      <c r="I253" s="158"/>
      <c r="J253" s="158"/>
      <c r="K253" s="158"/>
      <c r="L253" s="158"/>
      <c r="M253" s="104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ht="17.25" customHeight="1">
      <c r="A254" s="158"/>
      <c r="B254" s="158"/>
      <c r="C254" s="158"/>
      <c r="D254" s="158"/>
      <c r="E254" s="158"/>
      <c r="F254" s="158"/>
      <c r="G254" s="99"/>
      <c r="H254" s="158"/>
      <c r="I254" s="158"/>
      <c r="J254" s="158"/>
      <c r="K254" s="158"/>
      <c r="L254" s="158"/>
      <c r="M254" s="104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ht="17.25" customHeight="1">
      <c r="A255" s="158"/>
      <c r="B255" s="158"/>
      <c r="C255" s="158"/>
      <c r="D255" s="158"/>
      <c r="E255" s="158"/>
      <c r="F255" s="158"/>
      <c r="G255" s="99"/>
      <c r="H255" s="158"/>
      <c r="I255" s="158"/>
      <c r="J255" s="158"/>
      <c r="K255" s="158"/>
      <c r="L255" s="158"/>
      <c r="M255" s="104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ht="17.25" customHeight="1">
      <c r="A256" s="158"/>
      <c r="B256" s="158"/>
      <c r="C256" s="158"/>
      <c r="D256" s="158"/>
      <c r="E256" s="158"/>
      <c r="F256" s="158"/>
      <c r="G256" s="99"/>
      <c r="H256" s="158"/>
      <c r="I256" s="158"/>
      <c r="J256" s="158"/>
      <c r="K256" s="158"/>
      <c r="L256" s="158"/>
      <c r="M256" s="104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ht="17.25" customHeight="1">
      <c r="A257" s="158"/>
      <c r="B257" s="158"/>
      <c r="C257" s="158"/>
      <c r="D257" s="158"/>
      <c r="E257" s="158"/>
      <c r="F257" s="158"/>
      <c r="G257" s="99"/>
      <c r="H257" s="158"/>
      <c r="I257" s="158"/>
      <c r="J257" s="158"/>
      <c r="K257" s="158"/>
      <c r="L257" s="158"/>
      <c r="M257" s="104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ht="17.25" customHeight="1">
      <c r="A258" s="158"/>
      <c r="B258" s="158"/>
      <c r="C258" s="158"/>
      <c r="D258" s="158"/>
      <c r="E258" s="158"/>
      <c r="F258" s="158"/>
      <c r="G258" s="99"/>
      <c r="H258" s="158"/>
      <c r="I258" s="158"/>
      <c r="J258" s="158"/>
      <c r="K258" s="158"/>
      <c r="L258" s="158"/>
      <c r="M258" s="104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ht="17.25" customHeight="1">
      <c r="A259" s="158"/>
      <c r="B259" s="158"/>
      <c r="C259" s="158"/>
      <c r="D259" s="158"/>
      <c r="E259" s="158"/>
      <c r="F259" s="158"/>
      <c r="G259" s="99"/>
      <c r="H259" s="158"/>
      <c r="I259" s="158"/>
      <c r="J259" s="158"/>
      <c r="K259" s="158"/>
      <c r="L259" s="158"/>
      <c r="M259" s="104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ht="17.25" customHeight="1">
      <c r="A260" s="158"/>
      <c r="B260" s="158"/>
      <c r="C260" s="158"/>
      <c r="D260" s="158"/>
      <c r="E260" s="158"/>
      <c r="F260" s="158"/>
      <c r="G260" s="99"/>
      <c r="H260" s="158"/>
      <c r="I260" s="158"/>
      <c r="J260" s="158"/>
      <c r="K260" s="158"/>
      <c r="L260" s="158"/>
      <c r="M260" s="104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ht="17.25" customHeight="1">
      <c r="A261" s="158"/>
      <c r="B261" s="158"/>
      <c r="C261" s="158"/>
      <c r="D261" s="158"/>
      <c r="E261" s="158"/>
      <c r="F261" s="158"/>
      <c r="G261" s="99"/>
      <c r="H261" s="158"/>
      <c r="I261" s="158"/>
      <c r="J261" s="158"/>
      <c r="K261" s="158"/>
      <c r="L261" s="158"/>
      <c r="M261" s="104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ht="17.25" customHeight="1">
      <c r="A262" s="158"/>
      <c r="B262" s="158"/>
      <c r="C262" s="158"/>
      <c r="D262" s="158"/>
      <c r="E262" s="158"/>
      <c r="F262" s="158"/>
      <c r="G262" s="99"/>
      <c r="H262" s="158"/>
      <c r="I262" s="158"/>
      <c r="J262" s="158"/>
      <c r="K262" s="158"/>
      <c r="L262" s="158"/>
      <c r="M262" s="104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ht="17.25" customHeight="1">
      <c r="A263" s="158"/>
      <c r="B263" s="158"/>
      <c r="C263" s="158"/>
      <c r="D263" s="158"/>
      <c r="E263" s="158"/>
      <c r="F263" s="158"/>
      <c r="G263" s="99"/>
      <c r="H263" s="158"/>
      <c r="I263" s="158"/>
      <c r="J263" s="158"/>
      <c r="K263" s="158"/>
      <c r="L263" s="158"/>
      <c r="M263" s="104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ht="17.25" customHeight="1">
      <c r="A264" s="158"/>
      <c r="B264" s="158"/>
      <c r="C264" s="158"/>
      <c r="D264" s="158"/>
      <c r="E264" s="158"/>
      <c r="F264" s="158"/>
      <c r="G264" s="99"/>
      <c r="H264" s="158"/>
      <c r="I264" s="158"/>
      <c r="J264" s="158"/>
      <c r="K264" s="158"/>
      <c r="L264" s="158"/>
      <c r="M264" s="104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ht="17.25" customHeight="1">
      <c r="A265" s="158"/>
      <c r="B265" s="158"/>
      <c r="C265" s="158"/>
      <c r="D265" s="158"/>
      <c r="E265" s="158"/>
      <c r="F265" s="158"/>
      <c r="G265" s="99"/>
      <c r="H265" s="158"/>
      <c r="I265" s="158"/>
      <c r="J265" s="158"/>
      <c r="K265" s="158"/>
      <c r="L265" s="158"/>
      <c r="M265" s="104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ht="17.25" customHeight="1">
      <c r="A266" s="158"/>
      <c r="B266" s="158"/>
      <c r="C266" s="158"/>
      <c r="D266" s="158"/>
      <c r="E266" s="158"/>
      <c r="F266" s="158"/>
      <c r="G266" s="99"/>
      <c r="H266" s="158"/>
      <c r="I266" s="158"/>
      <c r="J266" s="158"/>
      <c r="K266" s="158"/>
      <c r="L266" s="158"/>
      <c r="M266" s="104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ht="17.25" customHeight="1">
      <c r="A267" s="158"/>
      <c r="B267" s="158"/>
      <c r="C267" s="158"/>
      <c r="D267" s="158"/>
      <c r="E267" s="158"/>
      <c r="F267" s="158"/>
      <c r="G267" s="99"/>
      <c r="H267" s="158"/>
      <c r="I267" s="158"/>
      <c r="J267" s="158"/>
      <c r="K267" s="158"/>
      <c r="L267" s="158"/>
      <c r="M267" s="104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ht="17.25" customHeight="1">
      <c r="A268" s="158"/>
      <c r="B268" s="158"/>
      <c r="C268" s="158"/>
      <c r="D268" s="158"/>
      <c r="E268" s="158"/>
      <c r="F268" s="158"/>
      <c r="G268" s="99"/>
      <c r="H268" s="158"/>
      <c r="I268" s="158"/>
      <c r="J268" s="158"/>
      <c r="K268" s="158"/>
      <c r="L268" s="158"/>
      <c r="M268" s="104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ht="17.25" customHeight="1">
      <c r="A269" s="158"/>
      <c r="B269" s="158"/>
      <c r="C269" s="158"/>
      <c r="D269" s="158"/>
      <c r="E269" s="158"/>
      <c r="F269" s="158"/>
      <c r="G269" s="99"/>
      <c r="H269" s="158"/>
      <c r="I269" s="158"/>
      <c r="J269" s="158"/>
      <c r="K269" s="158"/>
      <c r="L269" s="158"/>
      <c r="M269" s="104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ht="17.25" customHeight="1">
      <c r="A270" s="158"/>
      <c r="B270" s="158"/>
      <c r="C270" s="158"/>
      <c r="D270" s="158"/>
      <c r="E270" s="158"/>
      <c r="F270" s="158"/>
      <c r="G270" s="99"/>
      <c r="H270" s="158"/>
      <c r="I270" s="158"/>
      <c r="J270" s="158"/>
      <c r="K270" s="158"/>
      <c r="L270" s="158"/>
      <c r="M270" s="104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ht="17.25" customHeight="1">
      <c r="A271" s="158"/>
      <c r="B271" s="158"/>
      <c r="C271" s="158"/>
      <c r="D271" s="158"/>
      <c r="E271" s="158"/>
      <c r="F271" s="158"/>
      <c r="G271" s="99"/>
      <c r="H271" s="158"/>
      <c r="I271" s="158"/>
      <c r="J271" s="158"/>
      <c r="K271" s="158"/>
      <c r="L271" s="158"/>
      <c r="M271" s="104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ht="17.25" customHeight="1">
      <c r="A272" s="158"/>
      <c r="B272" s="158"/>
      <c r="C272" s="158"/>
      <c r="D272" s="158"/>
      <c r="E272" s="158"/>
      <c r="F272" s="158"/>
      <c r="G272" s="99"/>
      <c r="H272" s="158"/>
      <c r="I272" s="158"/>
      <c r="J272" s="158"/>
      <c r="K272" s="158"/>
      <c r="L272" s="158"/>
      <c r="M272" s="104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ht="17.25" customHeight="1">
      <c r="A273" s="158"/>
      <c r="B273" s="158"/>
      <c r="C273" s="158"/>
      <c r="D273" s="158"/>
      <c r="E273" s="158"/>
      <c r="F273" s="158"/>
      <c r="G273" s="99"/>
      <c r="H273" s="158"/>
      <c r="I273" s="158"/>
      <c r="J273" s="158"/>
      <c r="K273" s="158"/>
      <c r="L273" s="158"/>
      <c r="M273" s="104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ht="17.25" customHeight="1">
      <c r="A274" s="158"/>
      <c r="B274" s="158"/>
      <c r="C274" s="158"/>
      <c r="D274" s="158"/>
      <c r="E274" s="158"/>
      <c r="F274" s="158"/>
      <c r="G274" s="99"/>
      <c r="H274" s="158"/>
      <c r="I274" s="158"/>
      <c r="J274" s="158"/>
      <c r="K274" s="158"/>
      <c r="L274" s="158"/>
      <c r="M274" s="104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ht="17.25" customHeight="1">
      <c r="A275" s="158"/>
      <c r="B275" s="158"/>
      <c r="C275" s="158"/>
      <c r="D275" s="158"/>
      <c r="E275" s="158"/>
      <c r="F275" s="158"/>
      <c r="G275" s="99"/>
      <c r="H275" s="158"/>
      <c r="I275" s="158"/>
      <c r="J275" s="158"/>
      <c r="K275" s="158"/>
      <c r="L275" s="158"/>
      <c r="M275" s="104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ht="17.25" customHeight="1">
      <c r="A276" s="158"/>
      <c r="B276" s="158"/>
      <c r="C276" s="158"/>
      <c r="D276" s="158"/>
      <c r="E276" s="158"/>
      <c r="F276" s="158"/>
      <c r="G276" s="99"/>
      <c r="H276" s="158"/>
      <c r="I276" s="158"/>
      <c r="J276" s="158"/>
      <c r="K276" s="158"/>
      <c r="L276" s="158"/>
      <c r="M276" s="104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ht="17.25" customHeight="1">
      <c r="A277" s="158"/>
      <c r="B277" s="158"/>
      <c r="C277" s="158"/>
      <c r="D277" s="158"/>
      <c r="E277" s="158"/>
      <c r="F277" s="158"/>
      <c r="G277" s="99"/>
      <c r="H277" s="158"/>
      <c r="I277" s="158"/>
      <c r="J277" s="158"/>
      <c r="K277" s="158"/>
      <c r="L277" s="158"/>
      <c r="M277" s="104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ht="17.25" customHeight="1">
      <c r="A278" s="158"/>
      <c r="B278" s="158"/>
      <c r="C278" s="158"/>
      <c r="D278" s="158"/>
      <c r="E278" s="158"/>
      <c r="F278" s="158"/>
      <c r="G278" s="99"/>
      <c r="H278" s="158"/>
      <c r="I278" s="158"/>
      <c r="J278" s="158"/>
      <c r="K278" s="158"/>
      <c r="L278" s="158"/>
      <c r="M278" s="104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ht="17.25" customHeight="1">
      <c r="A279" s="158"/>
      <c r="B279" s="158"/>
      <c r="C279" s="158"/>
      <c r="D279" s="158"/>
      <c r="E279" s="158"/>
      <c r="F279" s="158"/>
      <c r="G279" s="99"/>
      <c r="H279" s="158"/>
      <c r="I279" s="158"/>
      <c r="J279" s="158"/>
      <c r="K279" s="158"/>
      <c r="L279" s="158"/>
      <c r="M279" s="104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ht="17.25" customHeight="1">
      <c r="A280" s="158"/>
      <c r="B280" s="158"/>
      <c r="C280" s="158"/>
      <c r="D280" s="158"/>
      <c r="E280" s="158"/>
      <c r="F280" s="158"/>
      <c r="G280" s="99"/>
      <c r="H280" s="158"/>
      <c r="I280" s="158"/>
      <c r="J280" s="158"/>
      <c r="K280" s="158"/>
      <c r="L280" s="158"/>
      <c r="M280" s="104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ht="17.25" customHeight="1">
      <c r="A281" s="158"/>
      <c r="B281" s="158"/>
      <c r="C281" s="158"/>
      <c r="D281" s="158"/>
      <c r="E281" s="158"/>
      <c r="F281" s="158"/>
      <c r="G281" s="99"/>
      <c r="H281" s="158"/>
      <c r="I281" s="158"/>
      <c r="J281" s="158"/>
      <c r="K281" s="158"/>
      <c r="L281" s="158"/>
      <c r="M281" s="104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ht="17.25" customHeight="1">
      <c r="A282" s="158"/>
      <c r="B282" s="158"/>
      <c r="C282" s="158"/>
      <c r="D282" s="158"/>
      <c r="E282" s="158"/>
      <c r="F282" s="158"/>
      <c r="G282" s="99"/>
      <c r="H282" s="158"/>
      <c r="I282" s="158"/>
      <c r="J282" s="158"/>
      <c r="K282" s="158"/>
      <c r="L282" s="158"/>
      <c r="M282" s="104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ht="17.25" customHeight="1">
      <c r="A283" s="158"/>
      <c r="B283" s="158"/>
      <c r="C283" s="158"/>
      <c r="D283" s="158"/>
      <c r="E283" s="158"/>
      <c r="F283" s="158"/>
      <c r="G283" s="99"/>
      <c r="H283" s="158"/>
      <c r="I283" s="158"/>
      <c r="J283" s="158"/>
      <c r="K283" s="158"/>
      <c r="L283" s="158"/>
      <c r="M283" s="104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ht="17.25" customHeight="1">
      <c r="A284" s="158"/>
      <c r="B284" s="158"/>
      <c r="C284" s="158"/>
      <c r="D284" s="158"/>
      <c r="E284" s="158"/>
      <c r="F284" s="158"/>
      <c r="G284" s="99"/>
      <c r="H284" s="158"/>
      <c r="I284" s="158"/>
      <c r="J284" s="158"/>
      <c r="K284" s="158"/>
      <c r="L284" s="158"/>
      <c r="M284" s="104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ht="17.25" customHeight="1">
      <c r="A285" s="158"/>
      <c r="B285" s="158"/>
      <c r="C285" s="158"/>
      <c r="D285" s="158"/>
      <c r="E285" s="158"/>
      <c r="F285" s="158"/>
      <c r="G285" s="99"/>
      <c r="H285" s="158"/>
      <c r="I285" s="158"/>
      <c r="J285" s="158"/>
      <c r="K285" s="158"/>
      <c r="L285" s="158"/>
      <c r="M285" s="104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ht="17.25" customHeight="1">
      <c r="A286" s="158"/>
      <c r="B286" s="158"/>
      <c r="C286" s="158"/>
      <c r="D286" s="158"/>
      <c r="E286" s="158"/>
      <c r="F286" s="158"/>
      <c r="G286" s="99"/>
      <c r="H286" s="158"/>
      <c r="I286" s="158"/>
      <c r="J286" s="158"/>
      <c r="K286" s="158"/>
      <c r="L286" s="158"/>
      <c r="M286" s="104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ht="17.25" customHeight="1">
      <c r="A287" s="158"/>
      <c r="B287" s="158"/>
      <c r="C287" s="158"/>
      <c r="D287" s="158"/>
      <c r="E287" s="158"/>
      <c r="F287" s="158"/>
      <c r="G287" s="99"/>
      <c r="H287" s="158"/>
      <c r="I287" s="158"/>
      <c r="J287" s="158"/>
      <c r="K287" s="158"/>
      <c r="L287" s="158"/>
      <c r="M287" s="104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ht="17.25" customHeight="1">
      <c r="A288" s="158"/>
      <c r="B288" s="158"/>
      <c r="C288" s="158"/>
      <c r="D288" s="158"/>
      <c r="E288" s="158"/>
      <c r="F288" s="158"/>
      <c r="G288" s="99"/>
      <c r="H288" s="158"/>
      <c r="I288" s="158"/>
      <c r="J288" s="158"/>
      <c r="K288" s="158"/>
      <c r="L288" s="158"/>
      <c r="M288" s="104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ht="17.25" customHeight="1">
      <c r="A289" s="158"/>
      <c r="B289" s="158"/>
      <c r="C289" s="158"/>
      <c r="D289" s="158"/>
      <c r="E289" s="158"/>
      <c r="F289" s="158"/>
      <c r="G289" s="99"/>
      <c r="H289" s="158"/>
      <c r="I289" s="158"/>
      <c r="J289" s="158"/>
      <c r="K289" s="158"/>
      <c r="L289" s="158"/>
      <c r="M289" s="104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ht="17.25" customHeight="1">
      <c r="A290" s="158"/>
      <c r="B290" s="158"/>
      <c r="C290" s="158"/>
      <c r="D290" s="158"/>
      <c r="E290" s="158"/>
      <c r="F290" s="158"/>
      <c r="G290" s="99"/>
      <c r="H290" s="158"/>
      <c r="I290" s="158"/>
      <c r="J290" s="158"/>
      <c r="K290" s="158"/>
      <c r="L290" s="158"/>
      <c r="M290" s="104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ht="17.25" customHeight="1">
      <c r="A291" s="158"/>
      <c r="B291" s="158"/>
      <c r="C291" s="158"/>
      <c r="D291" s="158"/>
      <c r="E291" s="158"/>
      <c r="F291" s="158"/>
      <c r="G291" s="99"/>
      <c r="H291" s="158"/>
      <c r="I291" s="158"/>
      <c r="J291" s="158"/>
      <c r="K291" s="158"/>
      <c r="L291" s="158"/>
      <c r="M291" s="104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ht="17.25" customHeight="1">
      <c r="A292" s="158"/>
      <c r="B292" s="158"/>
      <c r="C292" s="158"/>
      <c r="D292" s="158"/>
      <c r="E292" s="158"/>
      <c r="F292" s="158"/>
      <c r="G292" s="99"/>
      <c r="H292" s="158"/>
      <c r="I292" s="158"/>
      <c r="J292" s="158"/>
      <c r="K292" s="158"/>
      <c r="L292" s="158"/>
      <c r="M292" s="104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ht="17.25" customHeight="1">
      <c r="A293" s="158"/>
      <c r="B293" s="158"/>
      <c r="C293" s="158"/>
      <c r="D293" s="158"/>
      <c r="E293" s="158"/>
      <c r="F293" s="158"/>
      <c r="G293" s="99"/>
      <c r="H293" s="158"/>
      <c r="I293" s="158"/>
      <c r="J293" s="158"/>
      <c r="K293" s="158"/>
      <c r="L293" s="158"/>
      <c r="M293" s="104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ht="17.25" customHeight="1">
      <c r="A294" s="158"/>
      <c r="B294" s="158"/>
      <c r="C294" s="158"/>
      <c r="D294" s="158"/>
      <c r="E294" s="158"/>
      <c r="F294" s="158"/>
      <c r="G294" s="99"/>
      <c r="H294" s="158"/>
      <c r="I294" s="158"/>
      <c r="J294" s="158"/>
      <c r="K294" s="158"/>
      <c r="L294" s="158"/>
      <c r="M294" s="104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ht="17.25" customHeight="1">
      <c r="A295" s="158"/>
      <c r="B295" s="158"/>
      <c r="C295" s="158"/>
      <c r="D295" s="158"/>
      <c r="E295" s="158"/>
      <c r="F295" s="158"/>
      <c r="G295" s="99"/>
      <c r="H295" s="158"/>
      <c r="I295" s="158"/>
      <c r="J295" s="158"/>
      <c r="K295" s="158"/>
      <c r="L295" s="158"/>
      <c r="M295" s="104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ht="17.25" customHeight="1">
      <c r="A296" s="158"/>
      <c r="B296" s="158"/>
      <c r="C296" s="158"/>
      <c r="D296" s="158"/>
      <c r="E296" s="158"/>
      <c r="F296" s="158"/>
      <c r="G296" s="99"/>
      <c r="H296" s="158"/>
      <c r="I296" s="158"/>
      <c r="J296" s="158"/>
      <c r="K296" s="158"/>
      <c r="L296" s="158"/>
      <c r="M296" s="104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ht="17.25" customHeight="1">
      <c r="A297" s="158"/>
      <c r="B297" s="158"/>
      <c r="C297" s="158"/>
      <c r="D297" s="158"/>
      <c r="E297" s="158"/>
      <c r="F297" s="158"/>
      <c r="G297" s="99"/>
      <c r="H297" s="158"/>
      <c r="I297" s="158"/>
      <c r="J297" s="158"/>
      <c r="K297" s="158"/>
      <c r="L297" s="158"/>
      <c r="M297" s="104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ht="17.25" customHeight="1">
      <c r="A298" s="158"/>
      <c r="B298" s="158"/>
      <c r="C298" s="158"/>
      <c r="D298" s="158"/>
      <c r="E298" s="158"/>
      <c r="F298" s="158"/>
      <c r="G298" s="99"/>
      <c r="H298" s="158"/>
      <c r="I298" s="158"/>
      <c r="J298" s="158"/>
      <c r="K298" s="158"/>
      <c r="L298" s="158"/>
      <c r="M298" s="104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ht="17.25" customHeight="1">
      <c r="A299" s="158"/>
      <c r="B299" s="158"/>
      <c r="C299" s="158"/>
      <c r="D299" s="158"/>
      <c r="E299" s="158"/>
      <c r="F299" s="158"/>
      <c r="G299" s="99"/>
      <c r="H299" s="158"/>
      <c r="I299" s="158"/>
      <c r="J299" s="158"/>
      <c r="K299" s="158"/>
      <c r="L299" s="158"/>
      <c r="M299" s="104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ht="17.25" customHeight="1">
      <c r="A300" s="158"/>
      <c r="B300" s="158"/>
      <c r="C300" s="158"/>
      <c r="D300" s="158"/>
      <c r="E300" s="158"/>
      <c r="F300" s="158"/>
      <c r="G300" s="99"/>
      <c r="H300" s="158"/>
      <c r="I300" s="158"/>
      <c r="J300" s="158"/>
      <c r="K300" s="158"/>
      <c r="L300" s="158"/>
      <c r="M300" s="104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ht="17.25" customHeight="1">
      <c r="A301" s="158"/>
      <c r="B301" s="158"/>
      <c r="C301" s="158"/>
      <c r="D301" s="158"/>
      <c r="E301" s="158"/>
      <c r="F301" s="158"/>
      <c r="G301" s="99"/>
      <c r="H301" s="158"/>
      <c r="I301" s="158"/>
      <c r="J301" s="158"/>
      <c r="K301" s="158"/>
      <c r="L301" s="158"/>
      <c r="M301" s="104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ht="17.25" customHeight="1">
      <c r="A302" s="158"/>
      <c r="B302" s="158"/>
      <c r="C302" s="158"/>
      <c r="D302" s="158"/>
      <c r="E302" s="158"/>
      <c r="F302" s="158"/>
      <c r="G302" s="99"/>
      <c r="H302" s="158"/>
      <c r="I302" s="158"/>
      <c r="J302" s="158"/>
      <c r="K302" s="158"/>
      <c r="L302" s="158"/>
      <c r="M302" s="104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ht="17.25" customHeight="1">
      <c r="A303" s="158"/>
      <c r="B303" s="158"/>
      <c r="C303" s="158"/>
      <c r="D303" s="158"/>
      <c r="E303" s="158"/>
      <c r="F303" s="158"/>
      <c r="G303" s="99"/>
      <c r="H303" s="158"/>
      <c r="I303" s="158"/>
      <c r="J303" s="158"/>
      <c r="K303" s="158"/>
      <c r="L303" s="158"/>
      <c r="M303" s="104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ht="17.25" customHeight="1">
      <c r="A304" s="158"/>
      <c r="B304" s="158"/>
      <c r="C304" s="158"/>
      <c r="D304" s="158"/>
      <c r="E304" s="158"/>
      <c r="F304" s="158"/>
      <c r="G304" s="99"/>
      <c r="H304" s="158"/>
      <c r="I304" s="158"/>
      <c r="J304" s="158"/>
      <c r="K304" s="158"/>
      <c r="L304" s="158"/>
      <c r="M304" s="104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ht="17.25" customHeight="1">
      <c r="A305" s="158"/>
      <c r="B305" s="158"/>
      <c r="C305" s="158"/>
      <c r="D305" s="158"/>
      <c r="E305" s="158"/>
      <c r="F305" s="158"/>
      <c r="G305" s="99"/>
      <c r="H305" s="158"/>
      <c r="I305" s="158"/>
      <c r="J305" s="158"/>
      <c r="K305" s="158"/>
      <c r="L305" s="158"/>
      <c r="M305" s="104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ht="17.25" customHeight="1">
      <c r="A306" s="158"/>
      <c r="B306" s="158"/>
      <c r="C306" s="158"/>
      <c r="D306" s="158"/>
      <c r="E306" s="158"/>
      <c r="F306" s="158"/>
      <c r="G306" s="99"/>
      <c r="H306" s="158"/>
      <c r="I306" s="158"/>
      <c r="J306" s="158"/>
      <c r="K306" s="158"/>
      <c r="L306" s="158"/>
      <c r="M306" s="104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ht="17.25" customHeight="1">
      <c r="A307" s="158"/>
      <c r="B307" s="158"/>
      <c r="C307" s="158"/>
      <c r="D307" s="158"/>
      <c r="E307" s="158"/>
      <c r="F307" s="158"/>
      <c r="G307" s="99"/>
      <c r="H307" s="158"/>
      <c r="I307" s="158"/>
      <c r="J307" s="158"/>
      <c r="K307" s="158"/>
      <c r="L307" s="158"/>
      <c r="M307" s="104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ht="17.25" customHeight="1">
      <c r="A308" s="158"/>
      <c r="B308" s="158"/>
      <c r="C308" s="158"/>
      <c r="D308" s="158"/>
      <c r="E308" s="158"/>
      <c r="F308" s="158"/>
      <c r="G308" s="99"/>
      <c r="H308" s="158"/>
      <c r="I308" s="158"/>
      <c r="J308" s="158"/>
      <c r="K308" s="158"/>
      <c r="L308" s="158"/>
      <c r="M308" s="104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ht="17.25" customHeight="1">
      <c r="A309" s="158"/>
      <c r="B309" s="158"/>
      <c r="C309" s="158"/>
      <c r="D309" s="158"/>
      <c r="E309" s="158"/>
      <c r="F309" s="158"/>
      <c r="G309" s="99"/>
      <c r="H309" s="158"/>
      <c r="I309" s="158"/>
      <c r="J309" s="158"/>
      <c r="K309" s="158"/>
      <c r="L309" s="158"/>
      <c r="M309" s="104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ht="17.25" customHeight="1">
      <c r="A310" s="158"/>
      <c r="B310" s="158"/>
      <c r="C310" s="158"/>
      <c r="D310" s="158"/>
      <c r="E310" s="158"/>
      <c r="F310" s="158"/>
      <c r="G310" s="99"/>
      <c r="H310" s="158"/>
      <c r="I310" s="158"/>
      <c r="J310" s="158"/>
      <c r="K310" s="158"/>
      <c r="L310" s="158"/>
      <c r="M310" s="104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ht="17.25" customHeight="1">
      <c r="A311" s="158"/>
      <c r="B311" s="158"/>
      <c r="C311" s="158"/>
      <c r="D311" s="158"/>
      <c r="E311" s="158"/>
      <c r="F311" s="158"/>
      <c r="G311" s="99"/>
      <c r="H311" s="158"/>
      <c r="I311" s="158"/>
      <c r="J311" s="158"/>
      <c r="K311" s="158"/>
      <c r="L311" s="158"/>
      <c r="M311" s="104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ht="17.25" customHeight="1">
      <c r="A312" s="158"/>
      <c r="B312" s="158"/>
      <c r="C312" s="158"/>
      <c r="D312" s="158"/>
      <c r="E312" s="158"/>
      <c r="F312" s="158"/>
      <c r="G312" s="99"/>
      <c r="H312" s="158"/>
      <c r="I312" s="158"/>
      <c r="J312" s="158"/>
      <c r="K312" s="158"/>
      <c r="L312" s="158"/>
      <c r="M312" s="104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ht="17.25" customHeight="1">
      <c r="A313" s="158"/>
      <c r="B313" s="158"/>
      <c r="C313" s="158"/>
      <c r="D313" s="158"/>
      <c r="E313" s="158"/>
      <c r="F313" s="158"/>
      <c r="G313" s="99"/>
      <c r="H313" s="158"/>
      <c r="I313" s="158"/>
      <c r="J313" s="158"/>
      <c r="K313" s="158"/>
      <c r="L313" s="158"/>
      <c r="M313" s="104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ht="17.25" customHeight="1">
      <c r="A314" s="158"/>
      <c r="B314" s="158"/>
      <c r="C314" s="158"/>
      <c r="D314" s="158"/>
      <c r="E314" s="158"/>
      <c r="F314" s="158"/>
      <c r="G314" s="99"/>
      <c r="H314" s="158"/>
      <c r="I314" s="158"/>
      <c r="J314" s="158"/>
      <c r="K314" s="158"/>
      <c r="L314" s="158"/>
      <c r="M314" s="104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ht="17.25" customHeight="1">
      <c r="A315" s="158"/>
      <c r="B315" s="158"/>
      <c r="C315" s="158"/>
      <c r="D315" s="158"/>
      <c r="E315" s="158"/>
      <c r="F315" s="158"/>
      <c r="G315" s="99"/>
      <c r="H315" s="158"/>
      <c r="I315" s="158"/>
      <c r="J315" s="158"/>
      <c r="K315" s="158"/>
      <c r="L315" s="158"/>
      <c r="M315" s="104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ht="17.25" customHeight="1">
      <c r="A316" s="158"/>
      <c r="B316" s="158"/>
      <c r="C316" s="158"/>
      <c r="D316" s="158"/>
      <c r="E316" s="158"/>
      <c r="F316" s="158"/>
      <c r="G316" s="99"/>
      <c r="H316" s="158"/>
      <c r="I316" s="158"/>
      <c r="J316" s="158"/>
      <c r="K316" s="158"/>
      <c r="L316" s="158"/>
      <c r="M316" s="104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ht="17.25" customHeight="1">
      <c r="A317" s="158"/>
      <c r="B317" s="158"/>
      <c r="C317" s="158"/>
      <c r="D317" s="158"/>
      <c r="E317" s="158"/>
      <c r="F317" s="158"/>
      <c r="G317" s="99"/>
      <c r="H317" s="158"/>
      <c r="I317" s="158"/>
      <c r="J317" s="158"/>
      <c r="K317" s="158"/>
      <c r="L317" s="158"/>
      <c r="M317" s="104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ht="17.25" customHeight="1">
      <c r="A318" s="158"/>
      <c r="B318" s="158"/>
      <c r="C318" s="158"/>
      <c r="D318" s="158"/>
      <c r="E318" s="158"/>
      <c r="F318" s="158"/>
      <c r="G318" s="99"/>
      <c r="H318" s="158"/>
      <c r="I318" s="158"/>
      <c r="J318" s="158"/>
      <c r="K318" s="158"/>
      <c r="L318" s="158"/>
      <c r="M318" s="104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ht="17.25" customHeight="1">
      <c r="A319" s="158"/>
      <c r="B319" s="158"/>
      <c r="C319" s="158"/>
      <c r="D319" s="158"/>
      <c r="E319" s="158"/>
      <c r="F319" s="158"/>
      <c r="G319" s="99"/>
      <c r="H319" s="158"/>
      <c r="I319" s="158"/>
      <c r="J319" s="158"/>
      <c r="K319" s="158"/>
      <c r="L319" s="158"/>
      <c r="M319" s="104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ht="17.25" customHeight="1">
      <c r="A320" s="158"/>
      <c r="B320" s="158"/>
      <c r="C320" s="158"/>
      <c r="D320" s="158"/>
      <c r="E320" s="158"/>
      <c r="F320" s="158"/>
      <c r="G320" s="99"/>
      <c r="H320" s="158"/>
      <c r="I320" s="158"/>
      <c r="J320" s="158"/>
      <c r="K320" s="158"/>
      <c r="L320" s="158"/>
      <c r="M320" s="104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ht="17.25" customHeight="1">
      <c r="A321" s="158"/>
      <c r="B321" s="158"/>
      <c r="C321" s="158"/>
      <c r="D321" s="158"/>
      <c r="E321" s="158"/>
      <c r="F321" s="158"/>
      <c r="G321" s="99"/>
      <c r="H321" s="158"/>
      <c r="I321" s="158"/>
      <c r="J321" s="158"/>
      <c r="K321" s="158"/>
      <c r="L321" s="158"/>
      <c r="M321" s="104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ht="17.25" customHeight="1">
      <c r="A322" s="158"/>
      <c r="B322" s="158"/>
      <c r="C322" s="158"/>
      <c r="D322" s="158"/>
      <c r="E322" s="158"/>
      <c r="F322" s="158"/>
      <c r="G322" s="99"/>
      <c r="H322" s="158"/>
      <c r="I322" s="158"/>
      <c r="J322" s="158"/>
      <c r="K322" s="158"/>
      <c r="L322" s="158"/>
      <c r="M322" s="104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ht="17.25" customHeight="1">
      <c r="A323" s="158"/>
      <c r="B323" s="158"/>
      <c r="C323" s="158"/>
      <c r="D323" s="158"/>
      <c r="E323" s="158"/>
      <c r="F323" s="158"/>
      <c r="G323" s="99"/>
      <c r="H323" s="158"/>
      <c r="I323" s="158"/>
      <c r="J323" s="158"/>
      <c r="K323" s="158"/>
      <c r="L323" s="158"/>
      <c r="M323" s="104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ht="17.25" customHeight="1">
      <c r="A324" s="158"/>
      <c r="B324" s="158"/>
      <c r="C324" s="158"/>
      <c r="D324" s="158"/>
      <c r="E324" s="158"/>
      <c r="F324" s="158"/>
      <c r="G324" s="99"/>
      <c r="H324" s="158"/>
      <c r="I324" s="158"/>
      <c r="J324" s="158"/>
      <c r="K324" s="158"/>
      <c r="L324" s="158"/>
      <c r="M324" s="104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ht="17.25" customHeight="1">
      <c r="A325" s="158"/>
      <c r="B325" s="158"/>
      <c r="C325" s="158"/>
      <c r="D325" s="158"/>
      <c r="E325" s="158"/>
      <c r="F325" s="158"/>
      <c r="G325" s="99"/>
      <c r="H325" s="158"/>
      <c r="I325" s="158"/>
      <c r="J325" s="158"/>
      <c r="K325" s="158"/>
      <c r="L325" s="158"/>
      <c r="M325" s="104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ht="17.25" customHeight="1">
      <c r="A326" s="158"/>
      <c r="B326" s="158"/>
      <c r="C326" s="158"/>
      <c r="D326" s="158"/>
      <c r="E326" s="158"/>
      <c r="F326" s="158"/>
      <c r="G326" s="99"/>
      <c r="H326" s="158"/>
      <c r="I326" s="158"/>
      <c r="J326" s="158"/>
      <c r="K326" s="158"/>
      <c r="L326" s="158"/>
      <c r="M326" s="104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ht="17.25" customHeight="1">
      <c r="A327" s="158"/>
      <c r="B327" s="158"/>
      <c r="C327" s="158"/>
      <c r="D327" s="158"/>
      <c r="E327" s="158"/>
      <c r="F327" s="158"/>
      <c r="G327" s="99"/>
      <c r="H327" s="158"/>
      <c r="I327" s="158"/>
      <c r="J327" s="158"/>
      <c r="K327" s="158"/>
      <c r="L327" s="158"/>
      <c r="M327" s="104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ht="17.25" customHeight="1">
      <c r="A328" s="158"/>
      <c r="B328" s="158"/>
      <c r="C328" s="158"/>
      <c r="D328" s="158"/>
      <c r="E328" s="158"/>
      <c r="F328" s="158"/>
      <c r="G328" s="99"/>
      <c r="H328" s="158"/>
      <c r="I328" s="158"/>
      <c r="J328" s="158"/>
      <c r="K328" s="158"/>
      <c r="L328" s="158"/>
      <c r="M328" s="104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ht="17.25" customHeight="1">
      <c r="A329" s="158"/>
      <c r="B329" s="158"/>
      <c r="C329" s="158"/>
      <c r="D329" s="158"/>
      <c r="E329" s="158"/>
      <c r="F329" s="158"/>
      <c r="G329" s="99"/>
      <c r="H329" s="158"/>
      <c r="I329" s="158"/>
      <c r="J329" s="158"/>
      <c r="K329" s="158"/>
      <c r="L329" s="158"/>
      <c r="M329" s="104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ht="17.25" customHeight="1">
      <c r="A330" s="158"/>
      <c r="B330" s="158"/>
      <c r="C330" s="158"/>
      <c r="D330" s="158"/>
      <c r="E330" s="158"/>
      <c r="F330" s="158"/>
      <c r="G330" s="99"/>
      <c r="H330" s="158"/>
      <c r="I330" s="158"/>
      <c r="J330" s="158"/>
      <c r="K330" s="158"/>
      <c r="L330" s="158"/>
      <c r="M330" s="104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ht="17.25" customHeight="1">
      <c r="A331" s="158"/>
      <c r="B331" s="158"/>
      <c r="C331" s="158"/>
      <c r="D331" s="158"/>
      <c r="E331" s="158"/>
      <c r="F331" s="158"/>
      <c r="G331" s="99"/>
      <c r="H331" s="158"/>
      <c r="I331" s="158"/>
      <c r="J331" s="158"/>
      <c r="K331" s="158"/>
      <c r="L331" s="158"/>
      <c r="M331" s="104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ht="17.25" customHeight="1">
      <c r="A332" s="158"/>
      <c r="B332" s="158"/>
      <c r="C332" s="158"/>
      <c r="D332" s="158"/>
      <c r="E332" s="158"/>
      <c r="F332" s="158"/>
      <c r="G332" s="99"/>
      <c r="H332" s="158"/>
      <c r="I332" s="158"/>
      <c r="J332" s="158"/>
      <c r="K332" s="158"/>
      <c r="L332" s="158"/>
      <c r="M332" s="104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ht="17.25" customHeight="1">
      <c r="A333" s="158"/>
      <c r="B333" s="158"/>
      <c r="C333" s="158"/>
      <c r="D333" s="158"/>
      <c r="E333" s="158"/>
      <c r="F333" s="158"/>
      <c r="G333" s="99"/>
      <c r="H333" s="158"/>
      <c r="I333" s="158"/>
      <c r="J333" s="158"/>
      <c r="K333" s="158"/>
      <c r="L333" s="158"/>
      <c r="M333" s="104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ht="17.25" customHeight="1">
      <c r="A334" s="158"/>
      <c r="B334" s="158"/>
      <c r="C334" s="158"/>
      <c r="D334" s="158"/>
      <c r="E334" s="158"/>
      <c r="F334" s="158"/>
      <c r="G334" s="99"/>
      <c r="H334" s="158"/>
      <c r="I334" s="158"/>
      <c r="J334" s="158"/>
      <c r="K334" s="158"/>
      <c r="L334" s="158"/>
      <c r="M334" s="104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ht="17.25" customHeight="1">
      <c r="A335" s="158"/>
      <c r="B335" s="158"/>
      <c r="C335" s="158"/>
      <c r="D335" s="158"/>
      <c r="E335" s="158"/>
      <c r="F335" s="158"/>
      <c r="G335" s="99"/>
      <c r="H335" s="158"/>
      <c r="I335" s="158"/>
      <c r="J335" s="158"/>
      <c r="K335" s="158"/>
      <c r="L335" s="158"/>
      <c r="M335" s="104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ht="17.25" customHeight="1">
      <c r="A336" s="158"/>
      <c r="B336" s="158"/>
      <c r="C336" s="158"/>
      <c r="D336" s="158"/>
      <c r="E336" s="158"/>
      <c r="F336" s="158"/>
      <c r="G336" s="99"/>
      <c r="H336" s="158"/>
      <c r="I336" s="158"/>
      <c r="J336" s="158"/>
      <c r="K336" s="158"/>
      <c r="L336" s="158"/>
      <c r="M336" s="104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ht="17.25" customHeight="1">
      <c r="A337" s="158"/>
      <c r="B337" s="158"/>
      <c r="C337" s="158"/>
      <c r="D337" s="158"/>
      <c r="E337" s="158"/>
      <c r="F337" s="158"/>
      <c r="G337" s="99"/>
      <c r="H337" s="158"/>
      <c r="I337" s="158"/>
      <c r="J337" s="158"/>
      <c r="K337" s="158"/>
      <c r="L337" s="158"/>
      <c r="M337" s="104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ht="17.25" customHeight="1">
      <c r="A338" s="158"/>
      <c r="B338" s="158"/>
      <c r="C338" s="158"/>
      <c r="D338" s="158"/>
      <c r="E338" s="158"/>
      <c r="F338" s="158"/>
      <c r="G338" s="99"/>
      <c r="H338" s="158"/>
      <c r="I338" s="158"/>
      <c r="J338" s="158"/>
      <c r="K338" s="158"/>
      <c r="L338" s="158"/>
      <c r="M338" s="104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ht="17.25" customHeight="1">
      <c r="A339" s="158"/>
      <c r="B339" s="158"/>
      <c r="C339" s="158"/>
      <c r="D339" s="158"/>
      <c r="E339" s="158"/>
      <c r="F339" s="158"/>
      <c r="G339" s="99"/>
      <c r="H339" s="158"/>
      <c r="I339" s="158"/>
      <c r="J339" s="158"/>
      <c r="K339" s="158"/>
      <c r="L339" s="158"/>
      <c r="M339" s="104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ht="17.25" customHeight="1">
      <c r="A340" s="158"/>
      <c r="B340" s="158"/>
      <c r="C340" s="158"/>
      <c r="D340" s="158"/>
      <c r="E340" s="158"/>
      <c r="F340" s="158"/>
      <c r="G340" s="99"/>
      <c r="H340" s="158"/>
      <c r="I340" s="158"/>
      <c r="J340" s="158"/>
      <c r="K340" s="158"/>
      <c r="L340" s="158"/>
      <c r="M340" s="104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ht="17.25" customHeight="1">
      <c r="A341" s="158"/>
      <c r="B341" s="158"/>
      <c r="C341" s="158"/>
      <c r="D341" s="158"/>
      <c r="E341" s="158"/>
      <c r="F341" s="158"/>
      <c r="G341" s="99"/>
      <c r="H341" s="158"/>
      <c r="I341" s="158"/>
      <c r="J341" s="158"/>
      <c r="K341" s="158"/>
      <c r="L341" s="158"/>
      <c r="M341" s="104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ht="17.25" customHeight="1">
      <c r="A342" s="158"/>
      <c r="B342" s="158"/>
      <c r="C342" s="158"/>
      <c r="D342" s="158"/>
      <c r="E342" s="158"/>
      <c r="F342" s="158"/>
      <c r="G342" s="99"/>
      <c r="H342" s="158"/>
      <c r="I342" s="158"/>
      <c r="J342" s="158"/>
      <c r="K342" s="158"/>
      <c r="L342" s="158"/>
      <c r="M342" s="104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ht="17.25" customHeight="1">
      <c r="A343" s="158"/>
      <c r="B343" s="158"/>
      <c r="C343" s="158"/>
      <c r="D343" s="158"/>
      <c r="E343" s="158"/>
      <c r="F343" s="158"/>
      <c r="G343" s="99"/>
      <c r="H343" s="158"/>
      <c r="I343" s="158"/>
      <c r="J343" s="158"/>
      <c r="K343" s="158"/>
      <c r="L343" s="158"/>
      <c r="M343" s="104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ht="17.25" customHeight="1">
      <c r="A344" s="158"/>
      <c r="B344" s="158"/>
      <c r="C344" s="158"/>
      <c r="D344" s="158"/>
      <c r="E344" s="158"/>
      <c r="F344" s="158"/>
      <c r="G344" s="99"/>
      <c r="H344" s="158"/>
      <c r="I344" s="158"/>
      <c r="J344" s="158"/>
      <c r="K344" s="158"/>
      <c r="L344" s="158"/>
      <c r="M344" s="104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ht="17.25" customHeight="1">
      <c r="A345" s="158"/>
      <c r="B345" s="158"/>
      <c r="C345" s="158"/>
      <c r="D345" s="158"/>
      <c r="E345" s="158"/>
      <c r="F345" s="158"/>
      <c r="G345" s="99"/>
      <c r="H345" s="158"/>
      <c r="I345" s="158"/>
      <c r="J345" s="158"/>
      <c r="K345" s="158"/>
      <c r="L345" s="158"/>
      <c r="M345" s="104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ht="17.25" customHeight="1">
      <c r="A346" s="158"/>
      <c r="B346" s="158"/>
      <c r="C346" s="158"/>
      <c r="D346" s="158"/>
      <c r="E346" s="158"/>
      <c r="F346" s="158"/>
      <c r="G346" s="99"/>
      <c r="H346" s="158"/>
      <c r="I346" s="158"/>
      <c r="J346" s="158"/>
      <c r="K346" s="158"/>
      <c r="L346" s="158"/>
      <c r="M346" s="104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ht="17.25" customHeight="1">
      <c r="A347" s="158"/>
      <c r="B347" s="158"/>
      <c r="C347" s="158"/>
      <c r="D347" s="158"/>
      <c r="E347" s="158"/>
      <c r="F347" s="158"/>
      <c r="G347" s="99"/>
      <c r="H347" s="158"/>
      <c r="I347" s="158"/>
      <c r="J347" s="158"/>
      <c r="K347" s="158"/>
      <c r="L347" s="158"/>
      <c r="M347" s="104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ht="17.25" customHeight="1">
      <c r="A348" s="158"/>
      <c r="B348" s="158"/>
      <c r="C348" s="158"/>
      <c r="D348" s="158"/>
      <c r="E348" s="158"/>
      <c r="F348" s="158"/>
      <c r="G348" s="99"/>
      <c r="H348" s="158"/>
      <c r="I348" s="158"/>
      <c r="J348" s="158"/>
      <c r="K348" s="158"/>
      <c r="L348" s="158"/>
      <c r="M348" s="104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ht="17.25" customHeight="1">
      <c r="A349" s="158"/>
      <c r="B349" s="158"/>
      <c r="C349" s="158"/>
      <c r="D349" s="158"/>
      <c r="E349" s="158"/>
      <c r="F349" s="158"/>
      <c r="G349" s="99"/>
      <c r="H349" s="158"/>
      <c r="I349" s="158"/>
      <c r="J349" s="158"/>
      <c r="K349" s="158"/>
      <c r="L349" s="158"/>
      <c r="M349" s="104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ht="17.25" customHeight="1">
      <c r="A350" s="158"/>
      <c r="B350" s="158"/>
      <c r="C350" s="158"/>
      <c r="D350" s="158"/>
      <c r="E350" s="158"/>
      <c r="F350" s="158"/>
      <c r="G350" s="99"/>
      <c r="H350" s="158"/>
      <c r="I350" s="158"/>
      <c r="J350" s="158"/>
      <c r="K350" s="158"/>
      <c r="L350" s="158"/>
      <c r="M350" s="104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ht="17.25" customHeight="1">
      <c r="A351" s="158"/>
      <c r="B351" s="158"/>
      <c r="C351" s="158"/>
      <c r="D351" s="158"/>
      <c r="E351" s="158"/>
      <c r="F351" s="158"/>
      <c r="G351" s="99"/>
      <c r="H351" s="158"/>
      <c r="I351" s="158"/>
      <c r="J351" s="158"/>
      <c r="K351" s="158"/>
      <c r="L351" s="158"/>
      <c r="M351" s="104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ht="17.25" customHeight="1">
      <c r="A352" s="158"/>
      <c r="B352" s="158"/>
      <c r="C352" s="158"/>
      <c r="D352" s="158"/>
      <c r="E352" s="158"/>
      <c r="F352" s="158"/>
      <c r="G352" s="99"/>
      <c r="H352" s="158"/>
      <c r="I352" s="158"/>
      <c r="J352" s="158"/>
      <c r="K352" s="158"/>
      <c r="L352" s="158"/>
      <c r="M352" s="104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ht="17.25" customHeight="1">
      <c r="A353" s="158"/>
      <c r="B353" s="158"/>
      <c r="C353" s="158"/>
      <c r="D353" s="158"/>
      <c r="E353" s="158"/>
      <c r="F353" s="158"/>
      <c r="G353" s="99"/>
      <c r="H353" s="158"/>
      <c r="I353" s="158"/>
      <c r="J353" s="158"/>
      <c r="K353" s="158"/>
      <c r="L353" s="158"/>
      <c r="M353" s="104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ht="17.25" customHeight="1">
      <c r="A354" s="158"/>
      <c r="B354" s="158"/>
      <c r="C354" s="158"/>
      <c r="D354" s="158"/>
      <c r="E354" s="158"/>
      <c r="F354" s="158"/>
      <c r="G354" s="99"/>
      <c r="H354" s="158"/>
      <c r="I354" s="158"/>
      <c r="J354" s="158"/>
      <c r="K354" s="158"/>
      <c r="L354" s="158"/>
      <c r="M354" s="104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ht="17.25" customHeight="1">
      <c r="A355" s="158"/>
      <c r="B355" s="158"/>
      <c r="C355" s="158"/>
      <c r="D355" s="158"/>
      <c r="E355" s="158"/>
      <c r="F355" s="158"/>
      <c r="G355" s="99"/>
      <c r="H355" s="158"/>
      <c r="I355" s="158"/>
      <c r="J355" s="158"/>
      <c r="K355" s="158"/>
      <c r="L355" s="158"/>
      <c r="M355" s="104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ht="17.25" customHeight="1">
      <c r="A356" s="158"/>
      <c r="B356" s="158"/>
      <c r="C356" s="158"/>
      <c r="D356" s="158"/>
      <c r="E356" s="158"/>
      <c r="F356" s="158"/>
      <c r="G356" s="99"/>
      <c r="H356" s="158"/>
      <c r="I356" s="158"/>
      <c r="J356" s="158"/>
      <c r="K356" s="158"/>
      <c r="L356" s="158"/>
      <c r="M356" s="104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ht="17.25" customHeight="1">
      <c r="A357" s="158"/>
      <c r="B357" s="158"/>
      <c r="C357" s="158"/>
      <c r="D357" s="158"/>
      <c r="E357" s="158"/>
      <c r="F357" s="158"/>
      <c r="G357" s="99"/>
      <c r="H357" s="158"/>
      <c r="I357" s="158"/>
      <c r="J357" s="158"/>
      <c r="K357" s="158"/>
      <c r="L357" s="158"/>
      <c r="M357" s="104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ht="17.25" customHeight="1">
      <c r="A358" s="158"/>
      <c r="B358" s="158"/>
      <c r="C358" s="158"/>
      <c r="D358" s="158"/>
      <c r="E358" s="158"/>
      <c r="F358" s="158"/>
      <c r="G358" s="99"/>
      <c r="H358" s="158"/>
      <c r="I358" s="158"/>
      <c r="J358" s="158"/>
      <c r="K358" s="158"/>
      <c r="L358" s="158"/>
      <c r="M358" s="104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ht="17.25" customHeight="1">
      <c r="A359" s="158"/>
      <c r="B359" s="158"/>
      <c r="C359" s="158"/>
      <c r="D359" s="158"/>
      <c r="E359" s="158"/>
      <c r="F359" s="158"/>
      <c r="G359" s="99"/>
      <c r="H359" s="158"/>
      <c r="I359" s="158"/>
      <c r="J359" s="158"/>
      <c r="K359" s="158"/>
      <c r="L359" s="158"/>
      <c r="M359" s="104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ht="17.25" customHeight="1">
      <c r="A360" s="158"/>
      <c r="B360" s="158"/>
      <c r="C360" s="158"/>
      <c r="D360" s="158"/>
      <c r="E360" s="158"/>
      <c r="F360" s="158"/>
      <c r="G360" s="99"/>
      <c r="H360" s="158"/>
      <c r="I360" s="158"/>
      <c r="J360" s="158"/>
      <c r="K360" s="158"/>
      <c r="L360" s="158"/>
      <c r="M360" s="104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ht="17.25" customHeight="1">
      <c r="A361" s="158"/>
      <c r="B361" s="158"/>
      <c r="C361" s="158"/>
      <c r="D361" s="158"/>
      <c r="E361" s="158"/>
      <c r="F361" s="158"/>
      <c r="G361" s="99"/>
      <c r="H361" s="158"/>
      <c r="I361" s="158"/>
      <c r="J361" s="158"/>
      <c r="K361" s="158"/>
      <c r="L361" s="158"/>
      <c r="M361" s="104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ht="17.25" customHeight="1">
      <c r="A362" s="158"/>
      <c r="B362" s="158"/>
      <c r="C362" s="158"/>
      <c r="D362" s="158"/>
      <c r="E362" s="158"/>
      <c r="F362" s="158"/>
      <c r="G362" s="99"/>
      <c r="H362" s="158"/>
      <c r="I362" s="158"/>
      <c r="J362" s="158"/>
      <c r="K362" s="158"/>
      <c r="L362" s="158"/>
      <c r="M362" s="104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ht="17.25" customHeight="1">
      <c r="A363" s="158"/>
      <c r="B363" s="158"/>
      <c r="C363" s="158"/>
      <c r="D363" s="158"/>
      <c r="E363" s="158"/>
      <c r="F363" s="158"/>
      <c r="G363" s="99"/>
      <c r="H363" s="158"/>
      <c r="I363" s="158"/>
      <c r="J363" s="158"/>
      <c r="K363" s="158"/>
      <c r="L363" s="158"/>
      <c r="M363" s="104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ht="17.25" customHeight="1">
      <c r="A364" s="158"/>
      <c r="B364" s="158"/>
      <c r="C364" s="158"/>
      <c r="D364" s="158"/>
      <c r="E364" s="158"/>
      <c r="F364" s="158"/>
      <c r="G364" s="99"/>
      <c r="H364" s="158"/>
      <c r="I364" s="158"/>
      <c r="J364" s="158"/>
      <c r="K364" s="158"/>
      <c r="L364" s="158"/>
      <c r="M364" s="104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ht="17.25" customHeight="1">
      <c r="A365" s="158"/>
      <c r="B365" s="158"/>
      <c r="C365" s="158"/>
      <c r="D365" s="158"/>
      <c r="E365" s="158"/>
      <c r="F365" s="158"/>
      <c r="G365" s="99"/>
      <c r="H365" s="158"/>
      <c r="I365" s="158"/>
      <c r="J365" s="158"/>
      <c r="K365" s="158"/>
      <c r="L365" s="158"/>
      <c r="M365" s="104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ht="17.25" customHeight="1">
      <c r="A366" s="158"/>
      <c r="B366" s="158"/>
      <c r="C366" s="158"/>
      <c r="D366" s="158"/>
      <c r="E366" s="158"/>
      <c r="F366" s="158"/>
      <c r="G366" s="99"/>
      <c r="H366" s="158"/>
      <c r="I366" s="158"/>
      <c r="J366" s="158"/>
      <c r="K366" s="158"/>
      <c r="L366" s="158"/>
      <c r="M366" s="104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ht="17.25" customHeight="1">
      <c r="A367" s="158"/>
      <c r="B367" s="158"/>
      <c r="C367" s="158"/>
      <c r="D367" s="158"/>
      <c r="E367" s="158"/>
      <c r="F367" s="158"/>
      <c r="G367" s="99"/>
      <c r="H367" s="158"/>
      <c r="I367" s="158"/>
      <c r="J367" s="158"/>
      <c r="K367" s="158"/>
      <c r="L367" s="158"/>
      <c r="M367" s="104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ht="17.25" customHeight="1">
      <c r="A368" s="158"/>
      <c r="B368" s="158"/>
      <c r="C368" s="158"/>
      <c r="D368" s="158"/>
      <c r="E368" s="158"/>
      <c r="F368" s="158"/>
      <c r="G368" s="99"/>
      <c r="H368" s="158"/>
      <c r="I368" s="158"/>
      <c r="J368" s="158"/>
      <c r="K368" s="158"/>
      <c r="L368" s="158"/>
      <c r="M368" s="104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ht="17.25" customHeight="1">
      <c r="A369" s="158"/>
      <c r="B369" s="158"/>
      <c r="C369" s="158"/>
      <c r="D369" s="158"/>
      <c r="E369" s="158"/>
      <c r="F369" s="158"/>
      <c r="G369" s="99"/>
      <c r="H369" s="158"/>
      <c r="I369" s="158"/>
      <c r="J369" s="158"/>
      <c r="K369" s="158"/>
      <c r="L369" s="158"/>
      <c r="M369" s="104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ht="17.25" customHeight="1">
      <c r="A370" s="158"/>
      <c r="B370" s="158"/>
      <c r="C370" s="158"/>
      <c r="D370" s="158"/>
      <c r="E370" s="158"/>
      <c r="F370" s="158"/>
      <c r="G370" s="99"/>
      <c r="H370" s="158"/>
      <c r="I370" s="158"/>
      <c r="J370" s="158"/>
      <c r="K370" s="158"/>
      <c r="L370" s="158"/>
      <c r="M370" s="104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ht="17.25" customHeight="1">
      <c r="A371" s="158"/>
      <c r="B371" s="158"/>
      <c r="C371" s="158"/>
      <c r="D371" s="158"/>
      <c r="E371" s="158"/>
      <c r="F371" s="158"/>
      <c r="G371" s="99"/>
      <c r="H371" s="158"/>
      <c r="I371" s="158"/>
      <c r="J371" s="158"/>
      <c r="K371" s="158"/>
      <c r="L371" s="158"/>
      <c r="M371" s="104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ht="17.25" customHeight="1">
      <c r="A372" s="158"/>
      <c r="B372" s="158"/>
      <c r="C372" s="158"/>
      <c r="D372" s="158"/>
      <c r="E372" s="158"/>
      <c r="F372" s="158"/>
      <c r="G372" s="99"/>
      <c r="H372" s="158"/>
      <c r="I372" s="158"/>
      <c r="J372" s="158"/>
      <c r="K372" s="158"/>
      <c r="L372" s="158"/>
      <c r="M372" s="104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ht="17.25" customHeight="1">
      <c r="A373" s="158"/>
      <c r="B373" s="158"/>
      <c r="C373" s="158"/>
      <c r="D373" s="158"/>
      <c r="E373" s="158"/>
      <c r="F373" s="158"/>
      <c r="G373" s="99"/>
      <c r="H373" s="158"/>
      <c r="I373" s="158"/>
      <c r="J373" s="158"/>
      <c r="K373" s="158"/>
      <c r="L373" s="158"/>
      <c r="M373" s="104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ht="17.25" customHeight="1">
      <c r="A374" s="158"/>
      <c r="B374" s="158"/>
      <c r="C374" s="158"/>
      <c r="D374" s="158"/>
      <c r="E374" s="158"/>
      <c r="F374" s="158"/>
      <c r="G374" s="99"/>
      <c r="H374" s="158"/>
      <c r="I374" s="158"/>
      <c r="J374" s="158"/>
      <c r="K374" s="158"/>
      <c r="L374" s="158"/>
      <c r="M374" s="104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ht="17.25" customHeight="1">
      <c r="A375" s="158"/>
      <c r="B375" s="158"/>
      <c r="C375" s="158"/>
      <c r="D375" s="158"/>
      <c r="E375" s="158"/>
      <c r="F375" s="158"/>
      <c r="G375" s="99"/>
      <c r="H375" s="158"/>
      <c r="I375" s="158"/>
      <c r="J375" s="158"/>
      <c r="K375" s="158"/>
      <c r="L375" s="158"/>
      <c r="M375" s="104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ht="17.25" customHeight="1">
      <c r="A376" s="158"/>
      <c r="B376" s="158"/>
      <c r="C376" s="158"/>
      <c r="D376" s="158"/>
      <c r="E376" s="158"/>
      <c r="F376" s="158"/>
      <c r="G376" s="99"/>
      <c r="H376" s="158"/>
      <c r="I376" s="158"/>
      <c r="J376" s="158"/>
      <c r="K376" s="158"/>
      <c r="L376" s="158"/>
      <c r="M376" s="104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ht="17.25" customHeight="1">
      <c r="A377" s="158"/>
      <c r="B377" s="158"/>
      <c r="C377" s="158"/>
      <c r="D377" s="158"/>
      <c r="E377" s="158"/>
      <c r="F377" s="158"/>
      <c r="G377" s="99"/>
      <c r="H377" s="158"/>
      <c r="I377" s="158"/>
      <c r="J377" s="158"/>
      <c r="K377" s="158"/>
      <c r="L377" s="158"/>
      <c r="M377" s="104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ht="17.25" customHeight="1">
      <c r="A378" s="158"/>
      <c r="B378" s="158"/>
      <c r="C378" s="158"/>
      <c r="D378" s="158"/>
      <c r="E378" s="158"/>
      <c r="F378" s="158"/>
      <c r="G378" s="99"/>
      <c r="H378" s="158"/>
      <c r="I378" s="158"/>
      <c r="J378" s="158"/>
      <c r="K378" s="158"/>
      <c r="L378" s="158"/>
      <c r="M378" s="104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ht="17.25" customHeight="1">
      <c r="A379" s="158"/>
      <c r="B379" s="158"/>
      <c r="C379" s="158"/>
      <c r="D379" s="158"/>
      <c r="E379" s="158"/>
      <c r="F379" s="158"/>
      <c r="G379" s="99"/>
      <c r="H379" s="158"/>
      <c r="I379" s="158"/>
      <c r="J379" s="158"/>
      <c r="K379" s="158"/>
      <c r="L379" s="158"/>
      <c r="M379" s="104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ht="17.25" customHeight="1">
      <c r="A380" s="158"/>
      <c r="B380" s="158"/>
      <c r="C380" s="158"/>
      <c r="D380" s="158"/>
      <c r="E380" s="158"/>
      <c r="F380" s="158"/>
      <c r="G380" s="99"/>
      <c r="H380" s="158"/>
      <c r="I380" s="158"/>
      <c r="J380" s="158"/>
      <c r="K380" s="158"/>
      <c r="L380" s="158"/>
      <c r="M380" s="104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ht="17.25" customHeight="1">
      <c r="A381" s="158"/>
      <c r="B381" s="158"/>
      <c r="C381" s="158"/>
      <c r="D381" s="158"/>
      <c r="E381" s="158"/>
      <c r="F381" s="158"/>
      <c r="G381" s="99"/>
      <c r="H381" s="158"/>
      <c r="I381" s="158"/>
      <c r="J381" s="158"/>
      <c r="K381" s="158"/>
      <c r="L381" s="158"/>
      <c r="M381" s="104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ht="17.25" customHeight="1">
      <c r="A382" s="158"/>
      <c r="B382" s="158"/>
      <c r="C382" s="158"/>
      <c r="D382" s="158"/>
      <c r="E382" s="158"/>
      <c r="F382" s="158"/>
      <c r="G382" s="99"/>
      <c r="H382" s="158"/>
      <c r="I382" s="158"/>
      <c r="J382" s="158"/>
      <c r="K382" s="158"/>
      <c r="L382" s="158"/>
      <c r="M382" s="104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ht="17.25" customHeight="1">
      <c r="A383" s="158"/>
      <c r="B383" s="158"/>
      <c r="C383" s="158"/>
      <c r="D383" s="158"/>
      <c r="E383" s="158"/>
      <c r="F383" s="158"/>
      <c r="G383" s="99"/>
      <c r="H383" s="158"/>
      <c r="I383" s="158"/>
      <c r="J383" s="158"/>
      <c r="K383" s="158"/>
      <c r="L383" s="158"/>
      <c r="M383" s="104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ht="17.25" customHeight="1">
      <c r="A384" s="158"/>
      <c r="B384" s="158"/>
      <c r="C384" s="158"/>
      <c r="D384" s="158"/>
      <c r="E384" s="158"/>
      <c r="F384" s="158"/>
      <c r="G384" s="99"/>
      <c r="H384" s="158"/>
      <c r="I384" s="158"/>
      <c r="J384" s="158"/>
      <c r="K384" s="158"/>
      <c r="L384" s="158"/>
      <c r="M384" s="104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ht="17.25" customHeight="1">
      <c r="A385" s="158"/>
      <c r="B385" s="158"/>
      <c r="C385" s="158"/>
      <c r="D385" s="158"/>
      <c r="E385" s="158"/>
      <c r="F385" s="158"/>
      <c r="G385" s="99"/>
      <c r="H385" s="158"/>
      <c r="I385" s="158"/>
      <c r="J385" s="158"/>
      <c r="K385" s="158"/>
      <c r="L385" s="158"/>
      <c r="M385" s="104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ht="17.25" customHeight="1">
      <c r="A386" s="158"/>
      <c r="B386" s="158"/>
      <c r="C386" s="158"/>
      <c r="D386" s="158"/>
      <c r="E386" s="158"/>
      <c r="F386" s="158"/>
      <c r="G386" s="99"/>
      <c r="H386" s="158"/>
      <c r="I386" s="158"/>
      <c r="J386" s="158"/>
      <c r="K386" s="158"/>
      <c r="L386" s="158"/>
      <c r="M386" s="104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ht="17.25" customHeight="1">
      <c r="A387" s="158"/>
      <c r="B387" s="158"/>
      <c r="C387" s="158"/>
      <c r="D387" s="158"/>
      <c r="E387" s="158"/>
      <c r="F387" s="158"/>
      <c r="G387" s="99"/>
      <c r="H387" s="158"/>
      <c r="I387" s="158"/>
      <c r="J387" s="158"/>
      <c r="K387" s="158"/>
      <c r="L387" s="158"/>
      <c r="M387" s="104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ht="17.25" customHeight="1">
      <c r="A388" s="158"/>
      <c r="B388" s="158"/>
      <c r="C388" s="158"/>
      <c r="D388" s="158"/>
      <c r="E388" s="158"/>
      <c r="F388" s="158"/>
      <c r="G388" s="99"/>
      <c r="H388" s="158"/>
      <c r="I388" s="158"/>
      <c r="J388" s="158"/>
      <c r="K388" s="158"/>
      <c r="L388" s="158"/>
      <c r="M388" s="104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ht="17.25" customHeight="1">
      <c r="A389" s="158"/>
      <c r="B389" s="158"/>
      <c r="C389" s="158"/>
      <c r="D389" s="158"/>
      <c r="E389" s="158"/>
      <c r="F389" s="158"/>
      <c r="G389" s="99"/>
      <c r="H389" s="158"/>
      <c r="I389" s="158"/>
      <c r="J389" s="158"/>
      <c r="K389" s="158"/>
      <c r="L389" s="158"/>
      <c r="M389" s="104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ht="17.25" customHeight="1">
      <c r="A390" s="158"/>
      <c r="B390" s="158"/>
      <c r="C390" s="158"/>
      <c r="D390" s="158"/>
      <c r="E390" s="158"/>
      <c r="F390" s="158"/>
      <c r="G390" s="99"/>
      <c r="H390" s="158"/>
      <c r="I390" s="158"/>
      <c r="J390" s="158"/>
      <c r="K390" s="158"/>
      <c r="L390" s="158"/>
      <c r="M390" s="104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ht="17.25" customHeight="1">
      <c r="A391" s="158"/>
      <c r="B391" s="158"/>
      <c r="C391" s="158"/>
      <c r="D391" s="158"/>
      <c r="E391" s="158"/>
      <c r="F391" s="158"/>
      <c r="G391" s="99"/>
      <c r="H391" s="158"/>
      <c r="I391" s="158"/>
      <c r="J391" s="158"/>
      <c r="K391" s="158"/>
      <c r="L391" s="158"/>
      <c r="M391" s="104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ht="17.25" customHeight="1">
      <c r="A392" s="158"/>
      <c r="B392" s="158"/>
      <c r="C392" s="158"/>
      <c r="D392" s="158"/>
      <c r="E392" s="158"/>
      <c r="F392" s="158"/>
      <c r="G392" s="99"/>
      <c r="H392" s="158"/>
      <c r="I392" s="158"/>
      <c r="J392" s="158"/>
      <c r="K392" s="158"/>
      <c r="L392" s="158"/>
      <c r="M392" s="104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ht="17.25" customHeight="1">
      <c r="A393" s="158"/>
      <c r="B393" s="158"/>
      <c r="C393" s="158"/>
      <c r="D393" s="158"/>
      <c r="E393" s="158"/>
      <c r="F393" s="158"/>
      <c r="G393" s="99"/>
      <c r="H393" s="158"/>
      <c r="I393" s="158"/>
      <c r="J393" s="158"/>
      <c r="K393" s="158"/>
      <c r="L393" s="158"/>
      <c r="M393" s="104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ht="17.25" customHeight="1">
      <c r="A394" s="158"/>
      <c r="B394" s="158"/>
      <c r="C394" s="158"/>
      <c r="D394" s="158"/>
      <c r="E394" s="158"/>
      <c r="F394" s="158"/>
      <c r="G394" s="99"/>
      <c r="H394" s="158"/>
      <c r="I394" s="158"/>
      <c r="J394" s="158"/>
      <c r="K394" s="158"/>
      <c r="L394" s="158"/>
      <c r="M394" s="104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ht="17.25" customHeight="1">
      <c r="A395" s="158"/>
      <c r="B395" s="158"/>
      <c r="C395" s="158"/>
      <c r="D395" s="158"/>
      <c r="E395" s="158"/>
      <c r="F395" s="158"/>
      <c r="G395" s="99"/>
      <c r="H395" s="158"/>
      <c r="I395" s="158"/>
      <c r="J395" s="158"/>
      <c r="K395" s="158"/>
      <c r="L395" s="158"/>
      <c r="M395" s="104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ht="17.25" customHeight="1">
      <c r="A396" s="158"/>
      <c r="B396" s="158"/>
      <c r="C396" s="158"/>
      <c r="D396" s="158"/>
      <c r="E396" s="158"/>
      <c r="F396" s="158"/>
      <c r="G396" s="99"/>
      <c r="H396" s="158"/>
      <c r="I396" s="158"/>
      <c r="J396" s="158"/>
      <c r="K396" s="158"/>
      <c r="L396" s="158"/>
      <c r="M396" s="104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ht="17.25" customHeight="1">
      <c r="A397" s="158"/>
      <c r="B397" s="158"/>
      <c r="C397" s="158"/>
      <c r="D397" s="158"/>
      <c r="E397" s="158"/>
      <c r="F397" s="158"/>
      <c r="G397" s="99"/>
      <c r="H397" s="158"/>
      <c r="I397" s="158"/>
      <c r="J397" s="158"/>
      <c r="K397" s="158"/>
      <c r="L397" s="158"/>
      <c r="M397" s="104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ht="17.25" customHeight="1">
      <c r="A398" s="158"/>
      <c r="B398" s="158"/>
      <c r="C398" s="158"/>
      <c r="D398" s="158"/>
      <c r="E398" s="158"/>
      <c r="F398" s="158"/>
      <c r="G398" s="99"/>
      <c r="H398" s="158"/>
      <c r="I398" s="158"/>
      <c r="J398" s="158"/>
      <c r="K398" s="158"/>
      <c r="L398" s="158"/>
      <c r="M398" s="104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ht="17.25" customHeight="1">
      <c r="A399" s="158"/>
      <c r="B399" s="158"/>
      <c r="C399" s="158"/>
      <c r="D399" s="158"/>
      <c r="E399" s="158"/>
      <c r="F399" s="158"/>
      <c r="G399" s="99"/>
      <c r="H399" s="158"/>
      <c r="I399" s="158"/>
      <c r="J399" s="158"/>
      <c r="K399" s="158"/>
      <c r="L399" s="158"/>
      <c r="M399" s="104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ht="17.25" customHeight="1">
      <c r="A400" s="158"/>
      <c r="B400" s="158"/>
      <c r="C400" s="158"/>
      <c r="D400" s="158"/>
      <c r="E400" s="158"/>
      <c r="F400" s="158"/>
      <c r="G400" s="99"/>
      <c r="H400" s="158"/>
      <c r="I400" s="158"/>
      <c r="J400" s="158"/>
      <c r="K400" s="158"/>
      <c r="L400" s="158"/>
      <c r="M400" s="104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ht="17.25" customHeight="1">
      <c r="A401" s="158"/>
      <c r="B401" s="158"/>
      <c r="C401" s="158"/>
      <c r="D401" s="158"/>
      <c r="E401" s="158"/>
      <c r="F401" s="158"/>
      <c r="G401" s="99"/>
      <c r="H401" s="158"/>
      <c r="I401" s="158"/>
      <c r="J401" s="158"/>
      <c r="K401" s="158"/>
      <c r="L401" s="158"/>
      <c r="M401" s="104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 ht="17.25" customHeight="1">
      <c r="A402" s="158"/>
      <c r="B402" s="158"/>
      <c r="C402" s="158"/>
      <c r="D402" s="158"/>
      <c r="E402" s="158"/>
      <c r="F402" s="158"/>
      <c r="G402" s="99"/>
      <c r="H402" s="158"/>
      <c r="I402" s="158"/>
      <c r="J402" s="158"/>
      <c r="K402" s="158"/>
      <c r="L402" s="158"/>
      <c r="M402" s="104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 ht="17.25" customHeight="1">
      <c r="A403" s="158"/>
      <c r="B403" s="158"/>
      <c r="C403" s="158"/>
      <c r="D403" s="158"/>
      <c r="E403" s="158"/>
      <c r="F403" s="158"/>
      <c r="G403" s="99"/>
      <c r="H403" s="158"/>
      <c r="I403" s="158"/>
      <c r="J403" s="158"/>
      <c r="K403" s="158"/>
      <c r="L403" s="158"/>
      <c r="M403" s="104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 ht="17.25" customHeight="1">
      <c r="A404" s="158"/>
      <c r="B404" s="158"/>
      <c r="C404" s="158"/>
      <c r="D404" s="158"/>
      <c r="E404" s="158"/>
      <c r="F404" s="158"/>
      <c r="G404" s="99"/>
      <c r="H404" s="158"/>
      <c r="I404" s="158"/>
      <c r="J404" s="158"/>
      <c r="K404" s="158"/>
      <c r="L404" s="158"/>
      <c r="M404" s="104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 ht="17.25" customHeight="1">
      <c r="A405" s="158"/>
      <c r="B405" s="158"/>
      <c r="C405" s="158"/>
      <c r="D405" s="158"/>
      <c r="E405" s="158"/>
      <c r="F405" s="158"/>
      <c r="G405" s="99"/>
      <c r="H405" s="158"/>
      <c r="I405" s="158"/>
      <c r="J405" s="158"/>
      <c r="K405" s="158"/>
      <c r="L405" s="158"/>
      <c r="M405" s="104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 ht="17.25" customHeight="1">
      <c r="A406" s="158"/>
      <c r="B406" s="158"/>
      <c r="C406" s="158"/>
      <c r="D406" s="158"/>
      <c r="E406" s="158"/>
      <c r="F406" s="158"/>
      <c r="G406" s="99"/>
      <c r="H406" s="158"/>
      <c r="I406" s="158"/>
      <c r="J406" s="158"/>
      <c r="K406" s="158"/>
      <c r="L406" s="158"/>
      <c r="M406" s="104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 ht="17.25" customHeight="1">
      <c r="A407" s="158"/>
      <c r="B407" s="158"/>
      <c r="C407" s="158"/>
      <c r="D407" s="158"/>
      <c r="E407" s="158"/>
      <c r="F407" s="158"/>
      <c r="G407" s="99"/>
      <c r="H407" s="158"/>
      <c r="I407" s="158"/>
      <c r="J407" s="158"/>
      <c r="K407" s="158"/>
      <c r="L407" s="158"/>
      <c r="M407" s="104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 ht="17.25" customHeight="1">
      <c r="A408" s="158"/>
      <c r="B408" s="158"/>
      <c r="C408" s="158"/>
      <c r="D408" s="158"/>
      <c r="E408" s="158"/>
      <c r="F408" s="158"/>
      <c r="G408" s="99"/>
      <c r="H408" s="158"/>
      <c r="I408" s="158"/>
      <c r="J408" s="158"/>
      <c r="K408" s="158"/>
      <c r="L408" s="158"/>
      <c r="M408" s="104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 ht="17.25" customHeight="1">
      <c r="A409" s="158"/>
      <c r="B409" s="158"/>
      <c r="C409" s="158"/>
      <c r="D409" s="158"/>
      <c r="E409" s="158"/>
      <c r="F409" s="158"/>
      <c r="G409" s="99"/>
      <c r="H409" s="158"/>
      <c r="I409" s="158"/>
      <c r="J409" s="158"/>
      <c r="K409" s="158"/>
      <c r="L409" s="158"/>
      <c r="M409" s="104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 ht="17.25" customHeight="1">
      <c r="A410" s="158"/>
      <c r="B410" s="158"/>
      <c r="C410" s="158"/>
      <c r="D410" s="158"/>
      <c r="E410" s="158"/>
      <c r="F410" s="158"/>
      <c r="G410" s="99"/>
      <c r="H410" s="158"/>
      <c r="I410" s="158"/>
      <c r="J410" s="158"/>
      <c r="K410" s="158"/>
      <c r="L410" s="158"/>
      <c r="M410" s="104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 ht="17.25" customHeight="1">
      <c r="A411" s="158"/>
      <c r="B411" s="158"/>
      <c r="C411" s="158"/>
      <c r="D411" s="158"/>
      <c r="E411" s="158"/>
      <c r="F411" s="158"/>
      <c r="G411" s="99"/>
      <c r="H411" s="158"/>
      <c r="I411" s="158"/>
      <c r="J411" s="158"/>
      <c r="K411" s="158"/>
      <c r="L411" s="158"/>
      <c r="M411" s="104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 ht="17.25" customHeight="1">
      <c r="A412" s="158"/>
      <c r="B412" s="158"/>
      <c r="C412" s="158"/>
      <c r="D412" s="158"/>
      <c r="E412" s="158"/>
      <c r="F412" s="158"/>
      <c r="G412" s="99"/>
      <c r="H412" s="158"/>
      <c r="I412" s="158"/>
      <c r="J412" s="158"/>
      <c r="K412" s="158"/>
      <c r="L412" s="158"/>
      <c r="M412" s="104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 ht="17.25" customHeight="1">
      <c r="A413" s="158"/>
      <c r="B413" s="158"/>
      <c r="C413" s="158"/>
      <c r="D413" s="158"/>
      <c r="E413" s="158"/>
      <c r="F413" s="158"/>
      <c r="G413" s="99"/>
      <c r="H413" s="158"/>
      <c r="I413" s="158"/>
      <c r="J413" s="158"/>
      <c r="K413" s="158"/>
      <c r="L413" s="158"/>
      <c r="M413" s="104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 ht="17.25" customHeight="1">
      <c r="A414" s="158"/>
      <c r="B414" s="158"/>
      <c r="C414" s="158"/>
      <c r="D414" s="158"/>
      <c r="E414" s="158"/>
      <c r="F414" s="158"/>
      <c r="G414" s="99"/>
      <c r="H414" s="158"/>
      <c r="I414" s="158"/>
      <c r="J414" s="158"/>
      <c r="K414" s="158"/>
      <c r="L414" s="158"/>
      <c r="M414" s="104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 ht="17.25" customHeight="1">
      <c r="A415" s="158"/>
      <c r="B415" s="158"/>
      <c r="C415" s="158"/>
      <c r="D415" s="158"/>
      <c r="E415" s="158"/>
      <c r="F415" s="158"/>
      <c r="G415" s="99"/>
      <c r="H415" s="158"/>
      <c r="I415" s="158"/>
      <c r="J415" s="158"/>
      <c r="K415" s="158"/>
      <c r="L415" s="158"/>
      <c r="M415" s="104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 ht="17.25" customHeight="1">
      <c r="A416" s="158"/>
      <c r="B416" s="158"/>
      <c r="C416" s="158"/>
      <c r="D416" s="158"/>
      <c r="E416" s="158"/>
      <c r="F416" s="158"/>
      <c r="G416" s="99"/>
      <c r="H416" s="158"/>
      <c r="I416" s="158"/>
      <c r="J416" s="158"/>
      <c r="K416" s="158"/>
      <c r="L416" s="158"/>
      <c r="M416" s="104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 ht="17.25" customHeight="1">
      <c r="A417" s="158"/>
      <c r="B417" s="158"/>
      <c r="C417" s="158"/>
      <c r="D417" s="158"/>
      <c r="E417" s="158"/>
      <c r="F417" s="158"/>
      <c r="G417" s="99"/>
      <c r="H417" s="158"/>
      <c r="I417" s="158"/>
      <c r="J417" s="158"/>
      <c r="K417" s="158"/>
      <c r="L417" s="158"/>
      <c r="M417" s="104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 ht="17.25" customHeight="1">
      <c r="A418" s="158"/>
      <c r="B418" s="158"/>
      <c r="C418" s="158"/>
      <c r="D418" s="158"/>
      <c r="E418" s="158"/>
      <c r="F418" s="158"/>
      <c r="G418" s="99"/>
      <c r="H418" s="158"/>
      <c r="I418" s="158"/>
      <c r="J418" s="158"/>
      <c r="K418" s="158"/>
      <c r="L418" s="158"/>
      <c r="M418" s="104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 ht="17.25" customHeight="1">
      <c r="A419" s="158"/>
      <c r="B419" s="158"/>
      <c r="C419" s="158"/>
      <c r="D419" s="158"/>
      <c r="E419" s="158"/>
      <c r="F419" s="158"/>
      <c r="G419" s="99"/>
      <c r="H419" s="158"/>
      <c r="I419" s="158"/>
      <c r="J419" s="158"/>
      <c r="K419" s="158"/>
      <c r="L419" s="158"/>
      <c r="M419" s="104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 ht="17.25" customHeight="1">
      <c r="A420" s="158"/>
      <c r="B420" s="158"/>
      <c r="C420" s="158"/>
      <c r="D420" s="158"/>
      <c r="E420" s="158"/>
      <c r="F420" s="158"/>
      <c r="G420" s="99"/>
      <c r="H420" s="158"/>
      <c r="I420" s="158"/>
      <c r="J420" s="158"/>
      <c r="K420" s="158"/>
      <c r="L420" s="158"/>
      <c r="M420" s="104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 ht="17.25" customHeight="1">
      <c r="A421" s="158"/>
      <c r="B421" s="158"/>
      <c r="C421" s="158"/>
      <c r="D421" s="158"/>
      <c r="E421" s="158"/>
      <c r="F421" s="158"/>
      <c r="G421" s="99"/>
      <c r="H421" s="158"/>
      <c r="I421" s="158"/>
      <c r="J421" s="158"/>
      <c r="K421" s="158"/>
      <c r="L421" s="158"/>
      <c r="M421" s="104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 ht="17.25" customHeight="1">
      <c r="A422" s="158"/>
      <c r="B422" s="158"/>
      <c r="C422" s="158"/>
      <c r="D422" s="158"/>
      <c r="E422" s="158"/>
      <c r="F422" s="158"/>
      <c r="G422" s="99"/>
      <c r="H422" s="158"/>
      <c r="I422" s="158"/>
      <c r="J422" s="158"/>
      <c r="K422" s="158"/>
      <c r="L422" s="158"/>
      <c r="M422" s="104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 ht="17.25" customHeight="1">
      <c r="A423" s="158"/>
      <c r="B423" s="158"/>
      <c r="C423" s="158"/>
      <c r="D423" s="158"/>
      <c r="E423" s="158"/>
      <c r="F423" s="158"/>
      <c r="G423" s="99"/>
      <c r="H423" s="158"/>
      <c r="I423" s="158"/>
      <c r="J423" s="158"/>
      <c r="K423" s="158"/>
      <c r="L423" s="158"/>
      <c r="M423" s="104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 ht="17.25" customHeight="1">
      <c r="A424" s="158"/>
      <c r="B424" s="158"/>
      <c r="C424" s="158"/>
      <c r="D424" s="158"/>
      <c r="E424" s="158"/>
      <c r="F424" s="158"/>
      <c r="G424" s="99"/>
      <c r="H424" s="158"/>
      <c r="I424" s="158"/>
      <c r="J424" s="158"/>
      <c r="K424" s="158"/>
      <c r="L424" s="158"/>
      <c r="M424" s="104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 ht="17.25" customHeight="1">
      <c r="A425" s="158"/>
      <c r="B425" s="158"/>
      <c r="C425" s="158"/>
      <c r="D425" s="158"/>
      <c r="E425" s="158"/>
      <c r="F425" s="158"/>
      <c r="G425" s="99"/>
      <c r="H425" s="158"/>
      <c r="I425" s="158"/>
      <c r="J425" s="158"/>
      <c r="K425" s="158"/>
      <c r="L425" s="158"/>
      <c r="M425" s="104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 ht="17.25" customHeight="1">
      <c r="A426" s="158"/>
      <c r="B426" s="158"/>
      <c r="C426" s="158"/>
      <c r="D426" s="158"/>
      <c r="E426" s="158"/>
      <c r="F426" s="158"/>
      <c r="G426" s="99"/>
      <c r="H426" s="158"/>
      <c r="I426" s="158"/>
      <c r="J426" s="158"/>
      <c r="K426" s="158"/>
      <c r="L426" s="158"/>
      <c r="M426" s="104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 ht="17.25" customHeight="1">
      <c r="A427" s="158"/>
      <c r="B427" s="158"/>
      <c r="C427" s="158"/>
      <c r="D427" s="158"/>
      <c r="E427" s="158"/>
      <c r="F427" s="158"/>
      <c r="G427" s="99"/>
      <c r="H427" s="158"/>
      <c r="I427" s="158"/>
      <c r="J427" s="158"/>
      <c r="K427" s="158"/>
      <c r="L427" s="158"/>
      <c r="M427" s="104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 ht="17.25" customHeight="1">
      <c r="A428" s="158"/>
      <c r="B428" s="158"/>
      <c r="C428" s="158"/>
      <c r="D428" s="158"/>
      <c r="E428" s="158"/>
      <c r="F428" s="158"/>
      <c r="G428" s="99"/>
      <c r="H428" s="158"/>
      <c r="I428" s="158"/>
      <c r="J428" s="158"/>
      <c r="K428" s="158"/>
      <c r="L428" s="158"/>
      <c r="M428" s="104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 ht="17.25" customHeight="1">
      <c r="A429" s="158"/>
      <c r="B429" s="158"/>
      <c r="C429" s="158"/>
      <c r="D429" s="158"/>
      <c r="E429" s="158"/>
      <c r="F429" s="158"/>
      <c r="G429" s="99"/>
      <c r="H429" s="158"/>
      <c r="I429" s="158"/>
      <c r="J429" s="158"/>
      <c r="K429" s="158"/>
      <c r="L429" s="158"/>
      <c r="M429" s="104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 ht="17.25" customHeight="1">
      <c r="A430" s="158"/>
      <c r="B430" s="158"/>
      <c r="C430" s="158"/>
      <c r="D430" s="158"/>
      <c r="E430" s="158"/>
      <c r="F430" s="158"/>
      <c r="G430" s="99"/>
      <c r="H430" s="158"/>
      <c r="I430" s="158"/>
      <c r="J430" s="158"/>
      <c r="K430" s="158"/>
      <c r="L430" s="158"/>
      <c r="M430" s="104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 ht="17.25" customHeight="1">
      <c r="A431" s="158"/>
      <c r="B431" s="158"/>
      <c r="C431" s="158"/>
      <c r="D431" s="158"/>
      <c r="E431" s="158"/>
      <c r="F431" s="158"/>
      <c r="G431" s="99"/>
      <c r="H431" s="158"/>
      <c r="I431" s="158"/>
      <c r="J431" s="158"/>
      <c r="K431" s="158"/>
      <c r="L431" s="158"/>
      <c r="M431" s="104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 ht="17.25" customHeight="1">
      <c r="A432" s="158"/>
      <c r="B432" s="158"/>
      <c r="C432" s="158"/>
      <c r="D432" s="158"/>
      <c r="E432" s="158"/>
      <c r="F432" s="158"/>
      <c r="G432" s="99"/>
      <c r="H432" s="158"/>
      <c r="I432" s="158"/>
      <c r="J432" s="158"/>
      <c r="K432" s="158"/>
      <c r="L432" s="158"/>
      <c r="M432" s="104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 ht="17.25" customHeight="1">
      <c r="A433" s="158"/>
      <c r="B433" s="158"/>
      <c r="C433" s="158"/>
      <c r="D433" s="158"/>
      <c r="E433" s="158"/>
      <c r="F433" s="158"/>
      <c r="G433" s="99"/>
      <c r="H433" s="158"/>
      <c r="I433" s="158"/>
      <c r="J433" s="158"/>
      <c r="K433" s="158"/>
      <c r="L433" s="158"/>
      <c r="M433" s="104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 ht="17.25" customHeight="1">
      <c r="A434" s="158"/>
      <c r="B434" s="158"/>
      <c r="C434" s="158"/>
      <c r="D434" s="158"/>
      <c r="E434" s="158"/>
      <c r="F434" s="158"/>
      <c r="G434" s="99"/>
      <c r="H434" s="158"/>
      <c r="I434" s="158"/>
      <c r="J434" s="158"/>
      <c r="K434" s="158"/>
      <c r="L434" s="158"/>
      <c r="M434" s="104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 ht="17.25" customHeight="1">
      <c r="A435" s="158"/>
      <c r="B435" s="158"/>
      <c r="C435" s="158"/>
      <c r="D435" s="158"/>
      <c r="E435" s="158"/>
      <c r="F435" s="158"/>
      <c r="G435" s="99"/>
      <c r="H435" s="158"/>
      <c r="I435" s="158"/>
      <c r="J435" s="158"/>
      <c r="K435" s="158"/>
      <c r="L435" s="158"/>
      <c r="M435" s="104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 ht="17.25" customHeight="1">
      <c r="A436" s="158"/>
      <c r="B436" s="158"/>
      <c r="C436" s="158"/>
      <c r="D436" s="158"/>
      <c r="E436" s="158"/>
      <c r="F436" s="158"/>
      <c r="G436" s="99"/>
      <c r="H436" s="158"/>
      <c r="I436" s="158"/>
      <c r="J436" s="158"/>
      <c r="K436" s="158"/>
      <c r="L436" s="158"/>
      <c r="M436" s="104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 ht="17.25" customHeight="1">
      <c r="A437" s="158"/>
      <c r="B437" s="158"/>
      <c r="C437" s="158"/>
      <c r="D437" s="158"/>
      <c r="E437" s="158"/>
      <c r="F437" s="158"/>
      <c r="G437" s="99"/>
      <c r="H437" s="158"/>
      <c r="I437" s="158"/>
      <c r="J437" s="158"/>
      <c r="K437" s="158"/>
      <c r="L437" s="158"/>
      <c r="M437" s="104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 ht="17.25" customHeight="1">
      <c r="A438" s="158"/>
      <c r="B438" s="158"/>
      <c r="C438" s="158"/>
      <c r="D438" s="158"/>
      <c r="E438" s="158"/>
      <c r="F438" s="158"/>
      <c r="G438" s="99"/>
      <c r="H438" s="158"/>
      <c r="I438" s="158"/>
      <c r="J438" s="158"/>
      <c r="K438" s="158"/>
      <c r="L438" s="158"/>
      <c r="M438" s="104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 ht="17.25" customHeight="1">
      <c r="A439" s="158"/>
      <c r="B439" s="158"/>
      <c r="C439" s="158"/>
      <c r="D439" s="158"/>
      <c r="E439" s="158"/>
      <c r="F439" s="158"/>
      <c r="G439" s="99"/>
      <c r="H439" s="158"/>
      <c r="I439" s="158"/>
      <c r="J439" s="158"/>
      <c r="K439" s="158"/>
      <c r="L439" s="158"/>
      <c r="M439" s="104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 ht="17.25" customHeight="1">
      <c r="A440" s="158"/>
      <c r="B440" s="158"/>
      <c r="C440" s="158"/>
      <c r="D440" s="158"/>
      <c r="E440" s="158"/>
      <c r="F440" s="158"/>
      <c r="G440" s="99"/>
      <c r="H440" s="158"/>
      <c r="I440" s="158"/>
      <c r="J440" s="158"/>
      <c r="K440" s="158"/>
      <c r="L440" s="158"/>
      <c r="M440" s="104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 ht="17.25" customHeight="1">
      <c r="A441" s="158"/>
      <c r="B441" s="158"/>
      <c r="C441" s="158"/>
      <c r="D441" s="158"/>
      <c r="E441" s="158"/>
      <c r="F441" s="158"/>
      <c r="G441" s="99"/>
      <c r="H441" s="158"/>
      <c r="I441" s="158"/>
      <c r="J441" s="158"/>
      <c r="K441" s="158"/>
      <c r="L441" s="158"/>
      <c r="M441" s="104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 ht="17.25" customHeight="1">
      <c r="A442" s="158"/>
      <c r="B442" s="158"/>
      <c r="C442" s="158"/>
      <c r="D442" s="158"/>
      <c r="E442" s="158"/>
      <c r="F442" s="158"/>
      <c r="G442" s="99"/>
      <c r="H442" s="158"/>
      <c r="I442" s="158"/>
      <c r="J442" s="158"/>
      <c r="K442" s="158"/>
      <c r="L442" s="158"/>
      <c r="M442" s="104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 ht="17.25" customHeight="1">
      <c r="A443" s="158"/>
      <c r="B443" s="158"/>
      <c r="C443" s="158"/>
      <c r="D443" s="158"/>
      <c r="E443" s="158"/>
      <c r="F443" s="158"/>
      <c r="G443" s="99"/>
      <c r="H443" s="158"/>
      <c r="I443" s="158"/>
      <c r="J443" s="158"/>
      <c r="K443" s="158"/>
      <c r="L443" s="158"/>
      <c r="M443" s="104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 ht="17.25" customHeight="1">
      <c r="A444" s="158"/>
      <c r="B444" s="158"/>
      <c r="C444" s="158"/>
      <c r="D444" s="158"/>
      <c r="E444" s="158"/>
      <c r="F444" s="158"/>
      <c r="G444" s="99"/>
      <c r="H444" s="158"/>
      <c r="I444" s="158"/>
      <c r="J444" s="158"/>
      <c r="K444" s="158"/>
      <c r="L444" s="158"/>
      <c r="M444" s="104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 ht="17.25" customHeight="1">
      <c r="A445" s="158"/>
      <c r="B445" s="158"/>
      <c r="C445" s="158"/>
      <c r="D445" s="158"/>
      <c r="E445" s="158"/>
      <c r="F445" s="158"/>
      <c r="G445" s="99"/>
      <c r="H445" s="158"/>
      <c r="I445" s="158"/>
      <c r="J445" s="158"/>
      <c r="K445" s="158"/>
      <c r="L445" s="158"/>
      <c r="M445" s="104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 ht="17.25" customHeight="1">
      <c r="A446" s="158"/>
      <c r="B446" s="158"/>
      <c r="C446" s="158"/>
      <c r="D446" s="158"/>
      <c r="E446" s="158"/>
      <c r="F446" s="158"/>
      <c r="G446" s="99"/>
      <c r="H446" s="158"/>
      <c r="I446" s="158"/>
      <c r="J446" s="158"/>
      <c r="K446" s="158"/>
      <c r="L446" s="158"/>
      <c r="M446" s="104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 ht="17.25" customHeight="1">
      <c r="A447" s="158"/>
      <c r="B447" s="158"/>
      <c r="C447" s="158"/>
      <c r="D447" s="158"/>
      <c r="E447" s="158"/>
      <c r="F447" s="158"/>
      <c r="G447" s="99"/>
      <c r="H447" s="158"/>
      <c r="I447" s="158"/>
      <c r="J447" s="158"/>
      <c r="K447" s="158"/>
      <c r="L447" s="158"/>
      <c r="M447" s="104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 ht="17.25" customHeight="1">
      <c r="A448" s="158"/>
      <c r="B448" s="158"/>
      <c r="C448" s="158"/>
      <c r="D448" s="158"/>
      <c r="E448" s="158"/>
      <c r="F448" s="158"/>
      <c r="G448" s="99"/>
      <c r="H448" s="158"/>
      <c r="I448" s="158"/>
      <c r="J448" s="158"/>
      <c r="K448" s="158"/>
      <c r="L448" s="158"/>
      <c r="M448" s="104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 ht="17.25" customHeight="1">
      <c r="A449" s="158"/>
      <c r="B449" s="158"/>
      <c r="C449" s="158"/>
      <c r="D449" s="158"/>
      <c r="E449" s="158"/>
      <c r="F449" s="158"/>
      <c r="G449" s="99"/>
      <c r="H449" s="158"/>
      <c r="I449" s="158"/>
      <c r="J449" s="158"/>
      <c r="K449" s="158"/>
      <c r="L449" s="158"/>
      <c r="M449" s="104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 ht="17.25" customHeight="1">
      <c r="A450" s="158"/>
      <c r="B450" s="158"/>
      <c r="C450" s="158"/>
      <c r="D450" s="158"/>
      <c r="E450" s="158"/>
      <c r="F450" s="158"/>
      <c r="G450" s="99"/>
      <c r="H450" s="158"/>
      <c r="I450" s="158"/>
      <c r="J450" s="158"/>
      <c r="K450" s="158"/>
      <c r="L450" s="158"/>
      <c r="M450" s="104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 ht="17.25" customHeight="1">
      <c r="A451" s="158"/>
      <c r="B451" s="158"/>
      <c r="C451" s="158"/>
      <c r="D451" s="158"/>
      <c r="E451" s="158"/>
      <c r="F451" s="158"/>
      <c r="G451" s="99"/>
      <c r="H451" s="158"/>
      <c r="I451" s="158"/>
      <c r="J451" s="158"/>
      <c r="K451" s="158"/>
      <c r="L451" s="158"/>
      <c r="M451" s="104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ht="17.25" customHeight="1">
      <c r="A452" s="158"/>
      <c r="B452" s="158"/>
      <c r="C452" s="158"/>
      <c r="D452" s="158"/>
      <c r="E452" s="158"/>
      <c r="F452" s="158"/>
      <c r="G452" s="99"/>
      <c r="H452" s="158"/>
      <c r="I452" s="158"/>
      <c r="J452" s="158"/>
      <c r="K452" s="158"/>
      <c r="L452" s="158"/>
      <c r="M452" s="104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 ht="17.25" customHeight="1">
      <c r="A453" s="158"/>
      <c r="B453" s="158"/>
      <c r="C453" s="158"/>
      <c r="D453" s="158"/>
      <c r="E453" s="158"/>
      <c r="F453" s="158"/>
      <c r="G453" s="99"/>
      <c r="H453" s="158"/>
      <c r="I453" s="158"/>
      <c r="J453" s="158"/>
      <c r="K453" s="158"/>
      <c r="L453" s="158"/>
      <c r="M453" s="104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 ht="17.25" customHeight="1">
      <c r="A454" s="158"/>
      <c r="B454" s="158"/>
      <c r="C454" s="158"/>
      <c r="D454" s="158"/>
      <c r="E454" s="158"/>
      <c r="F454" s="158"/>
      <c r="G454" s="99"/>
      <c r="H454" s="158"/>
      <c r="I454" s="158"/>
      <c r="J454" s="158"/>
      <c r="K454" s="158"/>
      <c r="L454" s="158"/>
      <c r="M454" s="104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 ht="17.25" customHeight="1">
      <c r="A455" s="158"/>
      <c r="B455" s="158"/>
      <c r="C455" s="158"/>
      <c r="D455" s="158"/>
      <c r="E455" s="158"/>
      <c r="F455" s="158"/>
      <c r="G455" s="99"/>
      <c r="H455" s="158"/>
      <c r="I455" s="158"/>
      <c r="J455" s="158"/>
      <c r="K455" s="158"/>
      <c r="L455" s="158"/>
      <c r="M455" s="104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ht="17.25" customHeight="1">
      <c r="A456" s="158"/>
      <c r="B456" s="158"/>
      <c r="C456" s="158"/>
      <c r="D456" s="158"/>
      <c r="E456" s="158"/>
      <c r="F456" s="158"/>
      <c r="G456" s="99"/>
      <c r="H456" s="158"/>
      <c r="I456" s="158"/>
      <c r="J456" s="158"/>
      <c r="K456" s="158"/>
      <c r="L456" s="158"/>
      <c r="M456" s="104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ht="17.25" customHeight="1">
      <c r="A457" s="158"/>
      <c r="B457" s="158"/>
      <c r="C457" s="158"/>
      <c r="D457" s="158"/>
      <c r="E457" s="158"/>
      <c r="F457" s="158"/>
      <c r="G457" s="99"/>
      <c r="H457" s="158"/>
      <c r="I457" s="158"/>
      <c r="J457" s="158"/>
      <c r="K457" s="158"/>
      <c r="L457" s="158"/>
      <c r="M457" s="104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ht="17.25" customHeight="1">
      <c r="A458" s="158"/>
      <c r="B458" s="158"/>
      <c r="C458" s="158"/>
      <c r="D458" s="158"/>
      <c r="E458" s="158"/>
      <c r="F458" s="158"/>
      <c r="G458" s="99"/>
      <c r="H458" s="158"/>
      <c r="I458" s="158"/>
      <c r="J458" s="158"/>
      <c r="K458" s="158"/>
      <c r="L458" s="158"/>
      <c r="M458" s="104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 ht="17.25" customHeight="1">
      <c r="A459" s="158"/>
      <c r="B459" s="158"/>
      <c r="C459" s="158"/>
      <c r="D459" s="158"/>
      <c r="E459" s="158"/>
      <c r="F459" s="158"/>
      <c r="G459" s="99"/>
      <c r="H459" s="158"/>
      <c r="I459" s="158"/>
      <c r="J459" s="158"/>
      <c r="K459" s="158"/>
      <c r="L459" s="158"/>
      <c r="M459" s="104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ht="17.25" customHeight="1">
      <c r="A460" s="158"/>
      <c r="B460" s="158"/>
      <c r="C460" s="158"/>
      <c r="D460" s="158"/>
      <c r="E460" s="158"/>
      <c r="F460" s="158"/>
      <c r="G460" s="99"/>
      <c r="H460" s="158"/>
      <c r="I460" s="158"/>
      <c r="J460" s="158"/>
      <c r="K460" s="158"/>
      <c r="L460" s="158"/>
      <c r="M460" s="104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ht="17.25" customHeight="1">
      <c r="A461" s="158"/>
      <c r="B461" s="158"/>
      <c r="C461" s="158"/>
      <c r="D461" s="158"/>
      <c r="E461" s="158"/>
      <c r="F461" s="158"/>
      <c r="G461" s="99"/>
      <c r="H461" s="158"/>
      <c r="I461" s="158"/>
      <c r="J461" s="158"/>
      <c r="K461" s="158"/>
      <c r="L461" s="158"/>
      <c r="M461" s="104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ht="17.25" customHeight="1">
      <c r="A462" s="158"/>
      <c r="B462" s="158"/>
      <c r="C462" s="158"/>
      <c r="D462" s="158"/>
      <c r="E462" s="158"/>
      <c r="F462" s="158"/>
      <c r="G462" s="99"/>
      <c r="H462" s="158"/>
      <c r="I462" s="158"/>
      <c r="J462" s="158"/>
      <c r="K462" s="158"/>
      <c r="L462" s="158"/>
      <c r="M462" s="104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ht="17.25" customHeight="1">
      <c r="A463" s="158"/>
      <c r="B463" s="158"/>
      <c r="C463" s="158"/>
      <c r="D463" s="158"/>
      <c r="E463" s="158"/>
      <c r="F463" s="158"/>
      <c r="G463" s="99"/>
      <c r="H463" s="158"/>
      <c r="I463" s="158"/>
      <c r="J463" s="158"/>
      <c r="K463" s="158"/>
      <c r="L463" s="158"/>
      <c r="M463" s="104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ht="17.25" customHeight="1">
      <c r="A464" s="158"/>
      <c r="B464" s="158"/>
      <c r="C464" s="158"/>
      <c r="D464" s="158"/>
      <c r="E464" s="158"/>
      <c r="F464" s="158"/>
      <c r="G464" s="99"/>
      <c r="H464" s="158"/>
      <c r="I464" s="158"/>
      <c r="J464" s="158"/>
      <c r="K464" s="158"/>
      <c r="L464" s="158"/>
      <c r="M464" s="104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ht="17.25" customHeight="1">
      <c r="A465" s="158"/>
      <c r="B465" s="158"/>
      <c r="C465" s="158"/>
      <c r="D465" s="158"/>
      <c r="E465" s="158"/>
      <c r="F465" s="158"/>
      <c r="G465" s="99"/>
      <c r="H465" s="158"/>
      <c r="I465" s="158"/>
      <c r="J465" s="158"/>
      <c r="K465" s="158"/>
      <c r="L465" s="158"/>
      <c r="M465" s="104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ht="17.25" customHeight="1">
      <c r="A466" s="158"/>
      <c r="B466" s="158"/>
      <c r="C466" s="158"/>
      <c r="D466" s="158"/>
      <c r="E466" s="158"/>
      <c r="F466" s="158"/>
      <c r="G466" s="99"/>
      <c r="H466" s="158"/>
      <c r="I466" s="158"/>
      <c r="J466" s="158"/>
      <c r="K466" s="158"/>
      <c r="L466" s="158"/>
      <c r="M466" s="104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 ht="17.25" customHeight="1">
      <c r="A467" s="158"/>
      <c r="B467" s="158"/>
      <c r="C467" s="158"/>
      <c r="D467" s="158"/>
      <c r="E467" s="158"/>
      <c r="F467" s="158"/>
      <c r="G467" s="99"/>
      <c r="H467" s="158"/>
      <c r="I467" s="158"/>
      <c r="J467" s="158"/>
      <c r="K467" s="158"/>
      <c r="L467" s="158"/>
      <c r="M467" s="104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ht="17.25" customHeight="1">
      <c r="A468" s="158"/>
      <c r="B468" s="158"/>
      <c r="C468" s="158"/>
      <c r="D468" s="158"/>
      <c r="E468" s="158"/>
      <c r="F468" s="158"/>
      <c r="G468" s="99"/>
      <c r="H468" s="158"/>
      <c r="I468" s="158"/>
      <c r="J468" s="158"/>
      <c r="K468" s="158"/>
      <c r="L468" s="158"/>
      <c r="M468" s="104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 ht="17.25" customHeight="1">
      <c r="A469" s="158"/>
      <c r="B469" s="158"/>
      <c r="C469" s="158"/>
      <c r="D469" s="158"/>
      <c r="E469" s="158"/>
      <c r="F469" s="158"/>
      <c r="G469" s="99"/>
      <c r="H469" s="158"/>
      <c r="I469" s="158"/>
      <c r="J469" s="158"/>
      <c r="K469" s="158"/>
      <c r="L469" s="158"/>
      <c r="M469" s="104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 ht="17.25" customHeight="1">
      <c r="A470" s="158"/>
      <c r="B470" s="158"/>
      <c r="C470" s="158"/>
      <c r="D470" s="158"/>
      <c r="E470" s="158"/>
      <c r="F470" s="158"/>
      <c r="G470" s="99"/>
      <c r="H470" s="158"/>
      <c r="I470" s="158"/>
      <c r="J470" s="158"/>
      <c r="K470" s="158"/>
      <c r="L470" s="158"/>
      <c r="M470" s="104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 ht="17.25" customHeight="1">
      <c r="A471" s="158"/>
      <c r="B471" s="158"/>
      <c r="C471" s="158"/>
      <c r="D471" s="158"/>
      <c r="E471" s="158"/>
      <c r="F471" s="158"/>
      <c r="G471" s="99"/>
      <c r="H471" s="158"/>
      <c r="I471" s="158"/>
      <c r="J471" s="158"/>
      <c r="K471" s="158"/>
      <c r="L471" s="158"/>
      <c r="M471" s="104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ht="17.25" customHeight="1">
      <c r="A472" s="158"/>
      <c r="B472" s="158"/>
      <c r="C472" s="158"/>
      <c r="D472" s="158"/>
      <c r="E472" s="158"/>
      <c r="F472" s="158"/>
      <c r="G472" s="99"/>
      <c r="H472" s="158"/>
      <c r="I472" s="158"/>
      <c r="J472" s="158"/>
      <c r="K472" s="158"/>
      <c r="L472" s="158"/>
      <c r="M472" s="104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ht="17.25" customHeight="1">
      <c r="A473" s="158"/>
      <c r="B473" s="158"/>
      <c r="C473" s="158"/>
      <c r="D473" s="158"/>
      <c r="E473" s="158"/>
      <c r="F473" s="158"/>
      <c r="G473" s="99"/>
      <c r="H473" s="158"/>
      <c r="I473" s="158"/>
      <c r="J473" s="158"/>
      <c r="K473" s="158"/>
      <c r="L473" s="158"/>
      <c r="M473" s="104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ht="17.25" customHeight="1">
      <c r="A474" s="158"/>
      <c r="B474" s="158"/>
      <c r="C474" s="158"/>
      <c r="D474" s="158"/>
      <c r="E474" s="158"/>
      <c r="F474" s="158"/>
      <c r="G474" s="99"/>
      <c r="H474" s="158"/>
      <c r="I474" s="158"/>
      <c r="J474" s="158"/>
      <c r="K474" s="158"/>
      <c r="L474" s="158"/>
      <c r="M474" s="104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ht="17.25" customHeight="1">
      <c r="A475" s="158"/>
      <c r="B475" s="158"/>
      <c r="C475" s="158"/>
      <c r="D475" s="158"/>
      <c r="E475" s="158"/>
      <c r="F475" s="158"/>
      <c r="G475" s="99"/>
      <c r="H475" s="158"/>
      <c r="I475" s="158"/>
      <c r="J475" s="158"/>
      <c r="K475" s="158"/>
      <c r="L475" s="158"/>
      <c r="M475" s="104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ht="17.25" customHeight="1">
      <c r="A476" s="158"/>
      <c r="B476" s="158"/>
      <c r="C476" s="158"/>
      <c r="D476" s="158"/>
      <c r="E476" s="158"/>
      <c r="F476" s="158"/>
      <c r="G476" s="99"/>
      <c r="H476" s="158"/>
      <c r="I476" s="158"/>
      <c r="J476" s="158"/>
      <c r="K476" s="158"/>
      <c r="L476" s="158"/>
      <c r="M476" s="104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ht="17.25" customHeight="1">
      <c r="A477" s="158"/>
      <c r="B477" s="158"/>
      <c r="C477" s="158"/>
      <c r="D477" s="158"/>
      <c r="E477" s="158"/>
      <c r="F477" s="158"/>
      <c r="G477" s="99"/>
      <c r="H477" s="158"/>
      <c r="I477" s="158"/>
      <c r="J477" s="158"/>
      <c r="K477" s="158"/>
      <c r="L477" s="158"/>
      <c r="M477" s="104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 ht="17.25" customHeight="1">
      <c r="A478" s="158"/>
      <c r="B478" s="158"/>
      <c r="C478" s="158"/>
      <c r="D478" s="158"/>
      <c r="E478" s="158"/>
      <c r="F478" s="158"/>
      <c r="G478" s="99"/>
      <c r="H478" s="158"/>
      <c r="I478" s="158"/>
      <c r="J478" s="158"/>
      <c r="K478" s="158"/>
      <c r="L478" s="158"/>
      <c r="M478" s="104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 ht="17.25" customHeight="1">
      <c r="A479" s="158"/>
      <c r="B479" s="158"/>
      <c r="C479" s="158"/>
      <c r="D479" s="158"/>
      <c r="E479" s="158"/>
      <c r="F479" s="158"/>
      <c r="G479" s="99"/>
      <c r="H479" s="158"/>
      <c r="I479" s="158"/>
      <c r="J479" s="158"/>
      <c r="K479" s="158"/>
      <c r="L479" s="158"/>
      <c r="M479" s="104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 ht="17.25" customHeight="1">
      <c r="A480" s="158"/>
      <c r="B480" s="158"/>
      <c r="C480" s="158"/>
      <c r="D480" s="158"/>
      <c r="E480" s="158"/>
      <c r="F480" s="158"/>
      <c r="G480" s="99"/>
      <c r="H480" s="158"/>
      <c r="I480" s="158"/>
      <c r="J480" s="158"/>
      <c r="K480" s="158"/>
      <c r="L480" s="158"/>
      <c r="M480" s="104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ht="17.25" customHeight="1">
      <c r="A481" s="158"/>
      <c r="B481" s="158"/>
      <c r="C481" s="158"/>
      <c r="D481" s="158"/>
      <c r="E481" s="158"/>
      <c r="F481" s="158"/>
      <c r="G481" s="99"/>
      <c r="H481" s="158"/>
      <c r="I481" s="158"/>
      <c r="J481" s="158"/>
      <c r="K481" s="158"/>
      <c r="L481" s="158"/>
      <c r="M481" s="104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ht="17.25" customHeight="1">
      <c r="A482" s="158"/>
      <c r="B482" s="158"/>
      <c r="C482" s="158"/>
      <c r="D482" s="158"/>
      <c r="E482" s="158"/>
      <c r="F482" s="158"/>
      <c r="G482" s="99"/>
      <c r="H482" s="158"/>
      <c r="I482" s="158"/>
      <c r="J482" s="158"/>
      <c r="K482" s="158"/>
      <c r="L482" s="158"/>
      <c r="M482" s="104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ht="17.25" customHeight="1">
      <c r="A483" s="158"/>
      <c r="B483" s="158"/>
      <c r="C483" s="158"/>
      <c r="D483" s="158"/>
      <c r="E483" s="158"/>
      <c r="F483" s="158"/>
      <c r="G483" s="99"/>
      <c r="H483" s="158"/>
      <c r="I483" s="158"/>
      <c r="J483" s="158"/>
      <c r="K483" s="158"/>
      <c r="L483" s="158"/>
      <c r="M483" s="104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 ht="17.25" customHeight="1">
      <c r="A484" s="158"/>
      <c r="B484" s="158"/>
      <c r="C484" s="158"/>
      <c r="D484" s="158"/>
      <c r="E484" s="158"/>
      <c r="F484" s="158"/>
      <c r="G484" s="99"/>
      <c r="H484" s="158"/>
      <c r="I484" s="158"/>
      <c r="J484" s="158"/>
      <c r="K484" s="158"/>
      <c r="L484" s="158"/>
      <c r="M484" s="104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ht="17.25" customHeight="1">
      <c r="A485" s="158"/>
      <c r="B485" s="158"/>
      <c r="C485" s="158"/>
      <c r="D485" s="158"/>
      <c r="E485" s="158"/>
      <c r="F485" s="158"/>
      <c r="G485" s="99"/>
      <c r="H485" s="158"/>
      <c r="I485" s="158"/>
      <c r="J485" s="158"/>
      <c r="K485" s="158"/>
      <c r="L485" s="158"/>
      <c r="M485" s="104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 ht="17.25" customHeight="1">
      <c r="A486" s="158"/>
      <c r="B486" s="158"/>
      <c r="C486" s="158"/>
      <c r="D486" s="158"/>
      <c r="E486" s="158"/>
      <c r="F486" s="158"/>
      <c r="G486" s="99"/>
      <c r="H486" s="158"/>
      <c r="I486" s="158"/>
      <c r="J486" s="158"/>
      <c r="K486" s="158"/>
      <c r="L486" s="158"/>
      <c r="M486" s="104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 ht="17.25" customHeight="1">
      <c r="A487" s="158"/>
      <c r="B487" s="158"/>
      <c r="C487" s="158"/>
      <c r="D487" s="158"/>
      <c r="E487" s="158"/>
      <c r="F487" s="158"/>
      <c r="G487" s="99"/>
      <c r="H487" s="158"/>
      <c r="I487" s="158"/>
      <c r="J487" s="158"/>
      <c r="K487" s="158"/>
      <c r="L487" s="158"/>
      <c r="M487" s="104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 ht="17.25" customHeight="1">
      <c r="A488" s="158"/>
      <c r="B488" s="158"/>
      <c r="C488" s="158"/>
      <c r="D488" s="158"/>
      <c r="E488" s="158"/>
      <c r="F488" s="158"/>
      <c r="G488" s="99"/>
      <c r="H488" s="158"/>
      <c r="I488" s="158"/>
      <c r="J488" s="158"/>
      <c r="K488" s="158"/>
      <c r="L488" s="158"/>
      <c r="M488" s="104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 ht="17.25" customHeight="1">
      <c r="A489" s="158"/>
      <c r="B489" s="158"/>
      <c r="C489" s="158"/>
      <c r="D489" s="158"/>
      <c r="E489" s="158"/>
      <c r="F489" s="158"/>
      <c r="G489" s="99"/>
      <c r="H489" s="158"/>
      <c r="I489" s="158"/>
      <c r="J489" s="158"/>
      <c r="K489" s="158"/>
      <c r="L489" s="158"/>
      <c r="M489" s="104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 ht="17.25" customHeight="1">
      <c r="A490" s="158"/>
      <c r="B490" s="158"/>
      <c r="C490" s="158"/>
      <c r="D490" s="158"/>
      <c r="E490" s="158"/>
      <c r="F490" s="158"/>
      <c r="G490" s="99"/>
      <c r="H490" s="158"/>
      <c r="I490" s="158"/>
      <c r="J490" s="158"/>
      <c r="K490" s="158"/>
      <c r="L490" s="158"/>
      <c r="M490" s="104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 ht="17.25" customHeight="1">
      <c r="A491" s="158"/>
      <c r="B491" s="158"/>
      <c r="C491" s="158"/>
      <c r="D491" s="158"/>
      <c r="E491" s="158"/>
      <c r="F491" s="158"/>
      <c r="G491" s="99"/>
      <c r="H491" s="158"/>
      <c r="I491" s="158"/>
      <c r="J491" s="158"/>
      <c r="K491" s="158"/>
      <c r="L491" s="158"/>
      <c r="M491" s="104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 ht="17.25" customHeight="1">
      <c r="A492" s="158"/>
      <c r="B492" s="158"/>
      <c r="C492" s="158"/>
      <c r="D492" s="158"/>
      <c r="E492" s="158"/>
      <c r="F492" s="158"/>
      <c r="G492" s="99"/>
      <c r="H492" s="158"/>
      <c r="I492" s="158"/>
      <c r="J492" s="158"/>
      <c r="K492" s="158"/>
      <c r="L492" s="158"/>
      <c r="M492" s="104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 ht="17.25" customHeight="1">
      <c r="A493" s="158"/>
      <c r="B493" s="158"/>
      <c r="C493" s="158"/>
      <c r="D493" s="158"/>
      <c r="E493" s="158"/>
      <c r="F493" s="158"/>
      <c r="G493" s="99"/>
      <c r="H493" s="158"/>
      <c r="I493" s="158"/>
      <c r="J493" s="158"/>
      <c r="K493" s="158"/>
      <c r="L493" s="158"/>
      <c r="M493" s="104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 ht="17.25" customHeight="1">
      <c r="A494" s="158"/>
      <c r="B494" s="158"/>
      <c r="C494" s="158"/>
      <c r="D494" s="158"/>
      <c r="E494" s="158"/>
      <c r="F494" s="158"/>
      <c r="G494" s="99"/>
      <c r="H494" s="158"/>
      <c r="I494" s="158"/>
      <c r="J494" s="158"/>
      <c r="K494" s="158"/>
      <c r="L494" s="158"/>
      <c r="M494" s="104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 ht="17.25" customHeight="1">
      <c r="A495" s="158"/>
      <c r="B495" s="158"/>
      <c r="C495" s="158"/>
      <c r="D495" s="158"/>
      <c r="E495" s="158"/>
      <c r="F495" s="158"/>
      <c r="G495" s="99"/>
      <c r="H495" s="158"/>
      <c r="I495" s="158"/>
      <c r="J495" s="158"/>
      <c r="K495" s="158"/>
      <c r="L495" s="158"/>
      <c r="M495" s="104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 ht="17.25" customHeight="1">
      <c r="A496" s="158"/>
      <c r="B496" s="158"/>
      <c r="C496" s="158"/>
      <c r="D496" s="158"/>
      <c r="E496" s="158"/>
      <c r="F496" s="158"/>
      <c r="G496" s="99"/>
      <c r="H496" s="158"/>
      <c r="I496" s="158"/>
      <c r="J496" s="158"/>
      <c r="K496" s="158"/>
      <c r="L496" s="158"/>
      <c r="M496" s="104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 ht="17.25" customHeight="1">
      <c r="A497" s="158"/>
      <c r="B497" s="158"/>
      <c r="C497" s="158"/>
      <c r="D497" s="158"/>
      <c r="E497" s="158"/>
      <c r="F497" s="158"/>
      <c r="G497" s="99"/>
      <c r="H497" s="158"/>
      <c r="I497" s="158"/>
      <c r="J497" s="158"/>
      <c r="K497" s="158"/>
      <c r="L497" s="158"/>
      <c r="M497" s="104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 ht="17.25" customHeight="1">
      <c r="A498" s="158"/>
      <c r="B498" s="158"/>
      <c r="C498" s="158"/>
      <c r="D498" s="158"/>
      <c r="E498" s="158"/>
      <c r="F498" s="158"/>
      <c r="G498" s="99"/>
      <c r="H498" s="158"/>
      <c r="I498" s="158"/>
      <c r="J498" s="158"/>
      <c r="K498" s="158"/>
      <c r="L498" s="158"/>
      <c r="M498" s="104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 ht="17.25" customHeight="1">
      <c r="A499" s="158"/>
      <c r="B499" s="158"/>
      <c r="C499" s="158"/>
      <c r="D499" s="158"/>
      <c r="E499" s="158"/>
      <c r="F499" s="158"/>
      <c r="G499" s="99"/>
      <c r="H499" s="158"/>
      <c r="I499" s="158"/>
      <c r="J499" s="158"/>
      <c r="K499" s="158"/>
      <c r="L499" s="158"/>
      <c r="M499" s="104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 ht="17.25" customHeight="1">
      <c r="A500" s="158"/>
      <c r="B500" s="158"/>
      <c r="C500" s="158"/>
      <c r="D500" s="158"/>
      <c r="E500" s="158"/>
      <c r="F500" s="158"/>
      <c r="G500" s="99"/>
      <c r="H500" s="158"/>
      <c r="I500" s="158"/>
      <c r="J500" s="158"/>
      <c r="K500" s="158"/>
      <c r="L500" s="158"/>
      <c r="M500" s="104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 ht="17.25" customHeight="1">
      <c r="A501" s="158"/>
      <c r="B501" s="158"/>
      <c r="C501" s="158"/>
      <c r="D501" s="158"/>
      <c r="E501" s="158"/>
      <c r="F501" s="158"/>
      <c r="G501" s="99"/>
      <c r="H501" s="158"/>
      <c r="I501" s="158"/>
      <c r="J501" s="158"/>
      <c r="K501" s="158"/>
      <c r="L501" s="158"/>
      <c r="M501" s="104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 ht="17.25" customHeight="1">
      <c r="A502" s="158"/>
      <c r="B502" s="158"/>
      <c r="C502" s="158"/>
      <c r="D502" s="158"/>
      <c r="E502" s="158"/>
      <c r="F502" s="158"/>
      <c r="G502" s="99"/>
      <c r="H502" s="158"/>
      <c r="I502" s="158"/>
      <c r="J502" s="158"/>
      <c r="K502" s="158"/>
      <c r="L502" s="158"/>
      <c r="M502" s="104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 ht="17.25" customHeight="1">
      <c r="A503" s="158"/>
      <c r="B503" s="158"/>
      <c r="C503" s="158"/>
      <c r="D503" s="158"/>
      <c r="E503" s="158"/>
      <c r="F503" s="158"/>
      <c r="G503" s="99"/>
      <c r="H503" s="158"/>
      <c r="I503" s="158"/>
      <c r="J503" s="158"/>
      <c r="K503" s="158"/>
      <c r="L503" s="158"/>
      <c r="M503" s="104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 ht="17.25" customHeight="1">
      <c r="A504" s="158"/>
      <c r="B504" s="158"/>
      <c r="C504" s="158"/>
      <c r="D504" s="158"/>
      <c r="E504" s="158"/>
      <c r="F504" s="158"/>
      <c r="G504" s="99"/>
      <c r="H504" s="158"/>
      <c r="I504" s="158"/>
      <c r="J504" s="158"/>
      <c r="K504" s="158"/>
      <c r="L504" s="158"/>
      <c r="M504" s="104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 ht="17.25" customHeight="1">
      <c r="A505" s="158"/>
      <c r="B505" s="158"/>
      <c r="C505" s="158"/>
      <c r="D505" s="158"/>
      <c r="E505" s="158"/>
      <c r="F505" s="158"/>
      <c r="G505" s="99"/>
      <c r="H505" s="158"/>
      <c r="I505" s="158"/>
      <c r="J505" s="158"/>
      <c r="K505" s="158"/>
      <c r="L505" s="158"/>
      <c r="M505" s="104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 ht="17.25" customHeight="1">
      <c r="A506" s="158"/>
      <c r="B506" s="158"/>
      <c r="C506" s="158"/>
      <c r="D506" s="158"/>
      <c r="E506" s="158"/>
      <c r="F506" s="158"/>
      <c r="G506" s="99"/>
      <c r="H506" s="158"/>
      <c r="I506" s="158"/>
      <c r="J506" s="158"/>
      <c r="K506" s="158"/>
      <c r="L506" s="158"/>
      <c r="M506" s="104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 ht="17.25" customHeight="1">
      <c r="A507" s="158"/>
      <c r="B507" s="158"/>
      <c r="C507" s="158"/>
      <c r="D507" s="158"/>
      <c r="E507" s="158"/>
      <c r="F507" s="158"/>
      <c r="G507" s="99"/>
      <c r="H507" s="158"/>
      <c r="I507" s="158"/>
      <c r="J507" s="158"/>
      <c r="K507" s="158"/>
      <c r="L507" s="158"/>
      <c r="M507" s="104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 ht="17.25" customHeight="1">
      <c r="A508" s="158"/>
      <c r="B508" s="158"/>
      <c r="C508" s="158"/>
      <c r="D508" s="158"/>
      <c r="E508" s="158"/>
      <c r="F508" s="158"/>
      <c r="G508" s="99"/>
      <c r="H508" s="158"/>
      <c r="I508" s="158"/>
      <c r="J508" s="158"/>
      <c r="K508" s="158"/>
      <c r="L508" s="158"/>
      <c r="M508" s="104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 ht="17.25" customHeight="1">
      <c r="A509" s="158"/>
      <c r="B509" s="158"/>
      <c r="C509" s="158"/>
      <c r="D509" s="158"/>
      <c r="E509" s="158"/>
      <c r="F509" s="158"/>
      <c r="G509" s="99"/>
      <c r="H509" s="158"/>
      <c r="I509" s="158"/>
      <c r="J509" s="158"/>
      <c r="K509" s="158"/>
      <c r="L509" s="158"/>
      <c r="M509" s="104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 ht="17.25" customHeight="1">
      <c r="A510" s="158"/>
      <c r="B510" s="158"/>
      <c r="C510" s="158"/>
      <c r="D510" s="158"/>
      <c r="E510" s="158"/>
      <c r="F510" s="158"/>
      <c r="G510" s="99"/>
      <c r="H510" s="158"/>
      <c r="I510" s="158"/>
      <c r="J510" s="158"/>
      <c r="K510" s="158"/>
      <c r="L510" s="158"/>
      <c r="M510" s="104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 ht="17.25" customHeight="1">
      <c r="A511" s="158"/>
      <c r="B511" s="158"/>
      <c r="C511" s="158"/>
      <c r="D511" s="158"/>
      <c r="E511" s="158"/>
      <c r="F511" s="158"/>
      <c r="G511" s="99"/>
      <c r="H511" s="158"/>
      <c r="I511" s="158"/>
      <c r="J511" s="158"/>
      <c r="K511" s="158"/>
      <c r="L511" s="158"/>
      <c r="M511" s="104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 ht="17.25" customHeight="1">
      <c r="A512" s="158"/>
      <c r="B512" s="158"/>
      <c r="C512" s="158"/>
      <c r="D512" s="158"/>
      <c r="E512" s="158"/>
      <c r="F512" s="158"/>
      <c r="G512" s="99"/>
      <c r="H512" s="158"/>
      <c r="I512" s="158"/>
      <c r="J512" s="158"/>
      <c r="K512" s="158"/>
      <c r="L512" s="158"/>
      <c r="M512" s="104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 ht="17.25" customHeight="1">
      <c r="A513" s="158"/>
      <c r="B513" s="158"/>
      <c r="C513" s="158"/>
      <c r="D513" s="158"/>
      <c r="E513" s="158"/>
      <c r="F513" s="158"/>
      <c r="G513" s="99"/>
      <c r="H513" s="158"/>
      <c r="I513" s="158"/>
      <c r="J513" s="158"/>
      <c r="K513" s="158"/>
      <c r="L513" s="158"/>
      <c r="M513" s="104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 ht="17.25" customHeight="1">
      <c r="A514" s="158"/>
      <c r="B514" s="158"/>
      <c r="C514" s="158"/>
      <c r="D514" s="158"/>
      <c r="E514" s="158"/>
      <c r="F514" s="158"/>
      <c r="G514" s="99"/>
      <c r="H514" s="158"/>
      <c r="I514" s="158"/>
      <c r="J514" s="158"/>
      <c r="K514" s="158"/>
      <c r="L514" s="158"/>
      <c r="M514" s="104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 ht="17.25" customHeight="1">
      <c r="A515" s="158"/>
      <c r="B515" s="158"/>
      <c r="C515" s="158"/>
      <c r="D515" s="158"/>
      <c r="E515" s="158"/>
      <c r="F515" s="158"/>
      <c r="G515" s="99"/>
      <c r="H515" s="158"/>
      <c r="I515" s="158"/>
      <c r="J515" s="158"/>
      <c r="K515" s="158"/>
      <c r="L515" s="158"/>
      <c r="M515" s="104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 ht="17.25" customHeight="1">
      <c r="A516" s="158"/>
      <c r="B516" s="158"/>
      <c r="C516" s="158"/>
      <c r="D516" s="158"/>
      <c r="E516" s="158"/>
      <c r="F516" s="158"/>
      <c r="G516" s="99"/>
      <c r="H516" s="158"/>
      <c r="I516" s="158"/>
      <c r="J516" s="158"/>
      <c r="K516" s="158"/>
      <c r="L516" s="158"/>
      <c r="M516" s="104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 ht="17.25" customHeight="1">
      <c r="A517" s="158"/>
      <c r="B517" s="158"/>
      <c r="C517" s="158"/>
      <c r="D517" s="158"/>
      <c r="E517" s="158"/>
      <c r="F517" s="158"/>
      <c r="G517" s="99"/>
      <c r="H517" s="158"/>
      <c r="I517" s="158"/>
      <c r="J517" s="158"/>
      <c r="K517" s="158"/>
      <c r="L517" s="158"/>
      <c r="M517" s="104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 ht="17.25" customHeight="1">
      <c r="A518" s="158"/>
      <c r="B518" s="158"/>
      <c r="C518" s="158"/>
      <c r="D518" s="158"/>
      <c r="E518" s="158"/>
      <c r="F518" s="158"/>
      <c r="G518" s="99"/>
      <c r="H518" s="158"/>
      <c r="I518" s="158"/>
      <c r="J518" s="158"/>
      <c r="K518" s="158"/>
      <c r="L518" s="158"/>
      <c r="M518" s="104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 ht="17.25" customHeight="1">
      <c r="A519" s="158"/>
      <c r="B519" s="158"/>
      <c r="C519" s="158"/>
      <c r="D519" s="158"/>
      <c r="E519" s="158"/>
      <c r="F519" s="158"/>
      <c r="G519" s="99"/>
      <c r="H519" s="158"/>
      <c r="I519" s="158"/>
      <c r="J519" s="158"/>
      <c r="K519" s="158"/>
      <c r="L519" s="158"/>
      <c r="M519" s="104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 ht="17.25" customHeight="1">
      <c r="A520" s="158"/>
      <c r="B520" s="158"/>
      <c r="C520" s="158"/>
      <c r="D520" s="158"/>
      <c r="E520" s="158"/>
      <c r="F520" s="158"/>
      <c r="G520" s="99"/>
      <c r="H520" s="158"/>
      <c r="I520" s="158"/>
      <c r="J520" s="158"/>
      <c r="K520" s="158"/>
      <c r="L520" s="158"/>
      <c r="M520" s="104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 ht="17.25" customHeight="1">
      <c r="A521" s="158"/>
      <c r="B521" s="158"/>
      <c r="C521" s="158"/>
      <c r="D521" s="158"/>
      <c r="E521" s="158"/>
      <c r="F521" s="158"/>
      <c r="G521" s="99"/>
      <c r="H521" s="158"/>
      <c r="I521" s="158"/>
      <c r="J521" s="158"/>
      <c r="K521" s="158"/>
      <c r="L521" s="158"/>
      <c r="M521" s="104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 ht="17.25" customHeight="1">
      <c r="A522" s="158"/>
      <c r="B522" s="158"/>
      <c r="C522" s="158"/>
      <c r="D522" s="158"/>
      <c r="E522" s="158"/>
      <c r="F522" s="158"/>
      <c r="G522" s="99"/>
      <c r="H522" s="158"/>
      <c r="I522" s="158"/>
      <c r="J522" s="158"/>
      <c r="K522" s="158"/>
      <c r="L522" s="158"/>
      <c r="M522" s="104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 ht="17.25" customHeight="1">
      <c r="A523" s="158"/>
      <c r="B523" s="158"/>
      <c r="C523" s="158"/>
      <c r="D523" s="158"/>
      <c r="E523" s="158"/>
      <c r="F523" s="158"/>
      <c r="G523" s="99"/>
      <c r="H523" s="158"/>
      <c r="I523" s="158"/>
      <c r="J523" s="158"/>
      <c r="K523" s="158"/>
      <c r="L523" s="158"/>
      <c r="M523" s="104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 ht="17.25" customHeight="1">
      <c r="A524" s="158"/>
      <c r="B524" s="158"/>
      <c r="C524" s="158"/>
      <c r="D524" s="158"/>
      <c r="E524" s="158"/>
      <c r="F524" s="158"/>
      <c r="G524" s="99"/>
      <c r="H524" s="158"/>
      <c r="I524" s="158"/>
      <c r="J524" s="158"/>
      <c r="K524" s="158"/>
      <c r="L524" s="158"/>
      <c r="M524" s="104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 ht="17.25" customHeight="1">
      <c r="A525" s="158"/>
      <c r="B525" s="158"/>
      <c r="C525" s="158"/>
      <c r="D525" s="158"/>
      <c r="E525" s="158"/>
      <c r="F525" s="158"/>
      <c r="G525" s="99"/>
      <c r="H525" s="158"/>
      <c r="I525" s="158"/>
      <c r="J525" s="158"/>
      <c r="K525" s="158"/>
      <c r="L525" s="158"/>
      <c r="M525" s="104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 ht="17.25" customHeight="1">
      <c r="A526" s="158"/>
      <c r="B526" s="158"/>
      <c r="C526" s="158"/>
      <c r="D526" s="158"/>
      <c r="E526" s="158"/>
      <c r="F526" s="158"/>
      <c r="G526" s="99"/>
      <c r="H526" s="158"/>
      <c r="I526" s="158"/>
      <c r="J526" s="158"/>
      <c r="K526" s="158"/>
      <c r="L526" s="158"/>
      <c r="M526" s="104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 ht="17.25" customHeight="1">
      <c r="A527" s="158"/>
      <c r="B527" s="158"/>
      <c r="C527" s="158"/>
      <c r="D527" s="158"/>
      <c r="E527" s="158"/>
      <c r="F527" s="158"/>
      <c r="G527" s="99"/>
      <c r="H527" s="158"/>
      <c r="I527" s="158"/>
      <c r="J527" s="158"/>
      <c r="K527" s="158"/>
      <c r="L527" s="158"/>
      <c r="M527" s="104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 ht="17.25" customHeight="1">
      <c r="A528" s="158"/>
      <c r="B528" s="158"/>
      <c r="C528" s="158"/>
      <c r="D528" s="158"/>
      <c r="E528" s="158"/>
      <c r="F528" s="158"/>
      <c r="G528" s="99"/>
      <c r="H528" s="158"/>
      <c r="I528" s="158"/>
      <c r="J528" s="158"/>
      <c r="K528" s="158"/>
      <c r="L528" s="158"/>
      <c r="M528" s="104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 ht="17.25" customHeight="1">
      <c r="A529" s="158"/>
      <c r="B529" s="158"/>
      <c r="C529" s="158"/>
      <c r="D529" s="158"/>
      <c r="E529" s="158"/>
      <c r="F529" s="158"/>
      <c r="G529" s="99"/>
      <c r="H529" s="158"/>
      <c r="I529" s="158"/>
      <c r="J529" s="158"/>
      <c r="K529" s="158"/>
      <c r="L529" s="158"/>
      <c r="M529" s="104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 ht="17.25" customHeight="1">
      <c r="A530" s="158"/>
      <c r="B530" s="158"/>
      <c r="C530" s="158"/>
      <c r="D530" s="158"/>
      <c r="E530" s="158"/>
      <c r="F530" s="158"/>
      <c r="G530" s="99"/>
      <c r="H530" s="158"/>
      <c r="I530" s="158"/>
      <c r="J530" s="158"/>
      <c r="K530" s="158"/>
      <c r="L530" s="158"/>
      <c r="M530" s="104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 ht="17.25" customHeight="1">
      <c r="A531" s="158"/>
      <c r="B531" s="158"/>
      <c r="C531" s="158"/>
      <c r="D531" s="158"/>
      <c r="E531" s="158"/>
      <c r="F531" s="158"/>
      <c r="G531" s="99"/>
      <c r="H531" s="158"/>
      <c r="I531" s="158"/>
      <c r="J531" s="158"/>
      <c r="K531" s="158"/>
      <c r="L531" s="158"/>
      <c r="M531" s="104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 ht="17.25" customHeight="1">
      <c r="A532" s="158"/>
      <c r="B532" s="158"/>
      <c r="C532" s="158"/>
      <c r="D532" s="158"/>
      <c r="E532" s="158"/>
      <c r="F532" s="158"/>
      <c r="G532" s="99"/>
      <c r="H532" s="158"/>
      <c r="I532" s="158"/>
      <c r="J532" s="158"/>
      <c r="K532" s="158"/>
      <c r="L532" s="158"/>
      <c r="M532" s="104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 ht="17.25" customHeight="1">
      <c r="A533" s="158"/>
      <c r="B533" s="158"/>
      <c r="C533" s="158"/>
      <c r="D533" s="158"/>
      <c r="E533" s="158"/>
      <c r="F533" s="158"/>
      <c r="G533" s="99"/>
      <c r="H533" s="158"/>
      <c r="I533" s="158"/>
      <c r="J533" s="158"/>
      <c r="K533" s="158"/>
      <c r="L533" s="158"/>
      <c r="M533" s="104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 ht="17.25" customHeight="1">
      <c r="A534" s="158"/>
      <c r="B534" s="158"/>
      <c r="C534" s="158"/>
      <c r="D534" s="158"/>
      <c r="E534" s="158"/>
      <c r="F534" s="158"/>
      <c r="G534" s="99"/>
      <c r="H534" s="158"/>
      <c r="I534" s="158"/>
      <c r="J534" s="158"/>
      <c r="K534" s="158"/>
      <c r="L534" s="158"/>
      <c r="M534" s="104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 ht="17.25" customHeight="1">
      <c r="A535" s="158"/>
      <c r="B535" s="158"/>
      <c r="C535" s="158"/>
      <c r="D535" s="158"/>
      <c r="E535" s="158"/>
      <c r="F535" s="158"/>
      <c r="G535" s="99"/>
      <c r="H535" s="158"/>
      <c r="I535" s="158"/>
      <c r="J535" s="158"/>
      <c r="K535" s="158"/>
      <c r="L535" s="158"/>
      <c r="M535" s="104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 ht="17.25" customHeight="1">
      <c r="A536" s="158"/>
      <c r="B536" s="158"/>
      <c r="C536" s="158"/>
      <c r="D536" s="158"/>
      <c r="E536" s="158"/>
      <c r="F536" s="158"/>
      <c r="G536" s="99"/>
      <c r="H536" s="158"/>
      <c r="I536" s="158"/>
      <c r="J536" s="158"/>
      <c r="K536" s="158"/>
      <c r="L536" s="158"/>
      <c r="M536" s="104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 ht="17.25" customHeight="1">
      <c r="A537" s="158"/>
      <c r="B537" s="158"/>
      <c r="C537" s="158"/>
      <c r="D537" s="158"/>
      <c r="E537" s="158"/>
      <c r="F537" s="158"/>
      <c r="G537" s="99"/>
      <c r="H537" s="158"/>
      <c r="I537" s="158"/>
      <c r="J537" s="158"/>
      <c r="K537" s="158"/>
      <c r="L537" s="158"/>
      <c r="M537" s="104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 ht="17.25" customHeight="1">
      <c r="A538" s="158"/>
      <c r="B538" s="158"/>
      <c r="C538" s="158"/>
      <c r="D538" s="158"/>
      <c r="E538" s="158"/>
      <c r="F538" s="158"/>
      <c r="G538" s="99"/>
      <c r="H538" s="158"/>
      <c r="I538" s="158"/>
      <c r="J538" s="158"/>
      <c r="K538" s="158"/>
      <c r="L538" s="158"/>
      <c r="M538" s="104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 ht="17.25" customHeight="1">
      <c r="A539" s="158"/>
      <c r="B539" s="158"/>
      <c r="C539" s="158"/>
      <c r="D539" s="158"/>
      <c r="E539" s="158"/>
      <c r="F539" s="158"/>
      <c r="G539" s="99"/>
      <c r="H539" s="158"/>
      <c r="I539" s="158"/>
      <c r="J539" s="158"/>
      <c r="K539" s="158"/>
      <c r="L539" s="158"/>
      <c r="M539" s="104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 ht="17.25" customHeight="1">
      <c r="A540" s="158"/>
      <c r="B540" s="158"/>
      <c r="C540" s="158"/>
      <c r="D540" s="158"/>
      <c r="E540" s="158"/>
      <c r="F540" s="158"/>
      <c r="G540" s="99"/>
      <c r="H540" s="158"/>
      <c r="I540" s="158"/>
      <c r="J540" s="158"/>
      <c r="K540" s="158"/>
      <c r="L540" s="158"/>
      <c r="M540" s="104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 ht="17.25" customHeight="1">
      <c r="A541" s="158"/>
      <c r="B541" s="158"/>
      <c r="C541" s="158"/>
      <c r="D541" s="158"/>
      <c r="E541" s="158"/>
      <c r="F541" s="158"/>
      <c r="G541" s="99"/>
      <c r="H541" s="158"/>
      <c r="I541" s="158"/>
      <c r="J541" s="158"/>
      <c r="K541" s="158"/>
      <c r="L541" s="158"/>
      <c r="M541" s="104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 ht="17.25" customHeight="1">
      <c r="A542" s="158"/>
      <c r="B542" s="158"/>
      <c r="C542" s="158"/>
      <c r="D542" s="158"/>
      <c r="E542" s="158"/>
      <c r="F542" s="158"/>
      <c r="G542" s="99"/>
      <c r="H542" s="158"/>
      <c r="I542" s="158"/>
      <c r="J542" s="158"/>
      <c r="K542" s="158"/>
      <c r="L542" s="158"/>
      <c r="M542" s="104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 ht="17.25" customHeight="1">
      <c r="A543" s="158"/>
      <c r="B543" s="158"/>
      <c r="C543" s="158"/>
      <c r="D543" s="158"/>
      <c r="E543" s="158"/>
      <c r="F543" s="158"/>
      <c r="G543" s="99"/>
      <c r="H543" s="158"/>
      <c r="I543" s="158"/>
      <c r="J543" s="158"/>
      <c r="K543" s="158"/>
      <c r="L543" s="158"/>
      <c r="M543" s="104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 ht="17.25" customHeight="1">
      <c r="A544" s="158"/>
      <c r="B544" s="158"/>
      <c r="C544" s="158"/>
      <c r="D544" s="158"/>
      <c r="E544" s="158"/>
      <c r="F544" s="158"/>
      <c r="G544" s="99"/>
      <c r="H544" s="158"/>
      <c r="I544" s="158"/>
      <c r="J544" s="158"/>
      <c r="K544" s="158"/>
      <c r="L544" s="158"/>
      <c r="M544" s="104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 ht="17.25" customHeight="1">
      <c r="A545" s="158"/>
      <c r="B545" s="158"/>
      <c r="C545" s="158"/>
      <c r="D545" s="158"/>
      <c r="E545" s="158"/>
      <c r="F545" s="158"/>
      <c r="G545" s="99"/>
      <c r="H545" s="158"/>
      <c r="I545" s="158"/>
      <c r="J545" s="158"/>
      <c r="K545" s="158"/>
      <c r="L545" s="158"/>
      <c r="M545" s="104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 ht="17.25" customHeight="1">
      <c r="A546" s="158"/>
      <c r="B546" s="158"/>
      <c r="C546" s="158"/>
      <c r="D546" s="158"/>
      <c r="E546" s="158"/>
      <c r="F546" s="158"/>
      <c r="G546" s="99"/>
      <c r="H546" s="158"/>
      <c r="I546" s="158"/>
      <c r="J546" s="158"/>
      <c r="K546" s="158"/>
      <c r="L546" s="158"/>
      <c r="M546" s="104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 ht="17.25" customHeight="1">
      <c r="A547" s="158"/>
      <c r="B547" s="158"/>
      <c r="C547" s="158"/>
      <c r="D547" s="158"/>
      <c r="E547" s="158"/>
      <c r="F547" s="158"/>
      <c r="G547" s="99"/>
      <c r="H547" s="158"/>
      <c r="I547" s="158"/>
      <c r="J547" s="158"/>
      <c r="K547" s="158"/>
      <c r="L547" s="158"/>
      <c r="M547" s="104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 ht="17.25" customHeight="1">
      <c r="A548" s="158"/>
      <c r="B548" s="158"/>
      <c r="C548" s="158"/>
      <c r="D548" s="158"/>
      <c r="E548" s="158"/>
      <c r="F548" s="158"/>
      <c r="G548" s="99"/>
      <c r="H548" s="158"/>
      <c r="I548" s="158"/>
      <c r="J548" s="158"/>
      <c r="K548" s="158"/>
      <c r="L548" s="158"/>
      <c r="M548" s="104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 ht="17.25" customHeight="1">
      <c r="A549" s="158"/>
      <c r="B549" s="158"/>
      <c r="C549" s="158"/>
      <c r="D549" s="158"/>
      <c r="E549" s="158"/>
      <c r="F549" s="158"/>
      <c r="G549" s="99"/>
      <c r="H549" s="158"/>
      <c r="I549" s="158"/>
      <c r="J549" s="158"/>
      <c r="K549" s="158"/>
      <c r="L549" s="158"/>
      <c r="M549" s="104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 ht="17.25" customHeight="1">
      <c r="A550" s="158"/>
      <c r="B550" s="158"/>
      <c r="C550" s="158"/>
      <c r="D550" s="158"/>
      <c r="E550" s="158"/>
      <c r="F550" s="158"/>
      <c r="G550" s="99"/>
      <c r="H550" s="158"/>
      <c r="I550" s="158"/>
      <c r="J550" s="158"/>
      <c r="K550" s="158"/>
      <c r="L550" s="158"/>
      <c r="M550" s="104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 ht="17.25" customHeight="1">
      <c r="A551" s="158"/>
      <c r="B551" s="158"/>
      <c r="C551" s="158"/>
      <c r="D551" s="158"/>
      <c r="E551" s="158"/>
      <c r="F551" s="158"/>
      <c r="G551" s="99"/>
      <c r="H551" s="158"/>
      <c r="I551" s="158"/>
      <c r="J551" s="158"/>
      <c r="K551" s="158"/>
      <c r="L551" s="158"/>
      <c r="M551" s="104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 ht="17.25" customHeight="1">
      <c r="A552" s="158"/>
      <c r="B552" s="158"/>
      <c r="C552" s="158"/>
      <c r="D552" s="158"/>
      <c r="E552" s="158"/>
      <c r="F552" s="158"/>
      <c r="G552" s="99"/>
      <c r="H552" s="158"/>
      <c r="I552" s="158"/>
      <c r="J552" s="158"/>
      <c r="K552" s="158"/>
      <c r="L552" s="158"/>
      <c r="M552" s="104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 ht="17.25" customHeight="1">
      <c r="A553" s="158"/>
      <c r="B553" s="158"/>
      <c r="C553" s="158"/>
      <c r="D553" s="158"/>
      <c r="E553" s="158"/>
      <c r="F553" s="158"/>
      <c r="G553" s="99"/>
      <c r="H553" s="158"/>
      <c r="I553" s="158"/>
      <c r="J553" s="158"/>
      <c r="K553" s="158"/>
      <c r="L553" s="158"/>
      <c r="M553" s="104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 ht="17.25" customHeight="1">
      <c r="A554" s="158"/>
      <c r="B554" s="158"/>
      <c r="C554" s="158"/>
      <c r="D554" s="158"/>
      <c r="E554" s="158"/>
      <c r="F554" s="158"/>
      <c r="G554" s="99"/>
      <c r="H554" s="158"/>
      <c r="I554" s="158"/>
      <c r="J554" s="158"/>
      <c r="K554" s="158"/>
      <c r="L554" s="158"/>
      <c r="M554" s="104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 ht="17.25" customHeight="1">
      <c r="A555" s="158"/>
      <c r="B555" s="158"/>
      <c r="C555" s="158"/>
      <c r="D555" s="158"/>
      <c r="E555" s="158"/>
      <c r="F555" s="158"/>
      <c r="G555" s="99"/>
      <c r="H555" s="158"/>
      <c r="I555" s="158"/>
      <c r="J555" s="158"/>
      <c r="K555" s="158"/>
      <c r="L555" s="158"/>
      <c r="M555" s="104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 ht="17.25" customHeight="1">
      <c r="A556" s="158"/>
      <c r="B556" s="158"/>
      <c r="C556" s="158"/>
      <c r="D556" s="158"/>
      <c r="E556" s="158"/>
      <c r="F556" s="158"/>
      <c r="G556" s="99"/>
      <c r="H556" s="158"/>
      <c r="I556" s="158"/>
      <c r="J556" s="158"/>
      <c r="K556" s="158"/>
      <c r="L556" s="158"/>
      <c r="M556" s="104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 ht="17.25" customHeight="1">
      <c r="A557" s="158"/>
      <c r="B557" s="158"/>
      <c r="C557" s="158"/>
      <c r="D557" s="158"/>
      <c r="E557" s="158"/>
      <c r="F557" s="158"/>
      <c r="G557" s="99"/>
      <c r="H557" s="158"/>
      <c r="I557" s="158"/>
      <c r="J557" s="158"/>
      <c r="K557" s="158"/>
      <c r="L557" s="158"/>
      <c r="M557" s="104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 ht="17.25" customHeight="1">
      <c r="A558" s="158"/>
      <c r="B558" s="158"/>
      <c r="C558" s="158"/>
      <c r="D558" s="158"/>
      <c r="E558" s="158"/>
      <c r="F558" s="158"/>
      <c r="G558" s="99"/>
      <c r="H558" s="158"/>
      <c r="I558" s="158"/>
      <c r="J558" s="158"/>
      <c r="K558" s="158"/>
      <c r="L558" s="158"/>
      <c r="M558" s="104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 ht="17.25" customHeight="1">
      <c r="A559" s="158"/>
      <c r="B559" s="158"/>
      <c r="C559" s="158"/>
      <c r="D559" s="158"/>
      <c r="E559" s="158"/>
      <c r="F559" s="158"/>
      <c r="G559" s="99"/>
      <c r="H559" s="158"/>
      <c r="I559" s="158"/>
      <c r="J559" s="158"/>
      <c r="K559" s="158"/>
      <c r="L559" s="158"/>
      <c r="M559" s="104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 ht="17.25" customHeight="1">
      <c r="A560" s="158"/>
      <c r="B560" s="158"/>
      <c r="C560" s="158"/>
      <c r="D560" s="158"/>
      <c r="E560" s="158"/>
      <c r="F560" s="158"/>
      <c r="G560" s="99"/>
      <c r="H560" s="158"/>
      <c r="I560" s="158"/>
      <c r="J560" s="158"/>
      <c r="K560" s="158"/>
      <c r="L560" s="158"/>
      <c r="M560" s="104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 ht="17.25" customHeight="1">
      <c r="A561" s="158"/>
      <c r="B561" s="158"/>
      <c r="C561" s="158"/>
      <c r="D561" s="158"/>
      <c r="E561" s="158"/>
      <c r="F561" s="158"/>
      <c r="G561" s="99"/>
      <c r="H561" s="158"/>
      <c r="I561" s="158"/>
      <c r="J561" s="158"/>
      <c r="K561" s="158"/>
      <c r="L561" s="158"/>
      <c r="M561" s="104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 ht="17.25" customHeight="1">
      <c r="A562" s="158"/>
      <c r="B562" s="158"/>
      <c r="C562" s="158"/>
      <c r="D562" s="158"/>
      <c r="E562" s="158"/>
      <c r="F562" s="158"/>
      <c r="G562" s="99"/>
      <c r="H562" s="158"/>
      <c r="I562" s="158"/>
      <c r="J562" s="158"/>
      <c r="K562" s="158"/>
      <c r="L562" s="158"/>
      <c r="M562" s="104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 ht="17.25" customHeight="1">
      <c r="A563" s="158"/>
      <c r="B563" s="158"/>
      <c r="C563" s="158"/>
      <c r="D563" s="158"/>
      <c r="E563" s="158"/>
      <c r="F563" s="158"/>
      <c r="G563" s="99"/>
      <c r="H563" s="158"/>
      <c r="I563" s="158"/>
      <c r="J563" s="158"/>
      <c r="K563" s="158"/>
      <c r="L563" s="158"/>
      <c r="M563" s="104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 ht="17.25" customHeight="1">
      <c r="A564" s="158"/>
      <c r="B564" s="158"/>
      <c r="C564" s="158"/>
      <c r="D564" s="158"/>
      <c r="E564" s="158"/>
      <c r="F564" s="158"/>
      <c r="G564" s="99"/>
      <c r="H564" s="158"/>
      <c r="I564" s="158"/>
      <c r="J564" s="158"/>
      <c r="K564" s="158"/>
      <c r="L564" s="158"/>
      <c r="M564" s="104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 ht="17.25" customHeight="1">
      <c r="A565" s="158"/>
      <c r="B565" s="158"/>
      <c r="C565" s="158"/>
      <c r="D565" s="158"/>
      <c r="E565" s="158"/>
      <c r="F565" s="158"/>
      <c r="G565" s="99"/>
      <c r="H565" s="158"/>
      <c r="I565" s="158"/>
      <c r="J565" s="158"/>
      <c r="K565" s="158"/>
      <c r="L565" s="158"/>
      <c r="M565" s="104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 ht="17.25" customHeight="1">
      <c r="A566" s="158"/>
      <c r="B566" s="158"/>
      <c r="C566" s="158"/>
      <c r="D566" s="158"/>
      <c r="E566" s="158"/>
      <c r="F566" s="158"/>
      <c r="G566" s="99"/>
      <c r="H566" s="158"/>
      <c r="I566" s="158"/>
      <c r="J566" s="158"/>
      <c r="K566" s="158"/>
      <c r="L566" s="158"/>
      <c r="M566" s="104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 ht="17.25" customHeight="1">
      <c r="A567" s="158"/>
      <c r="B567" s="158"/>
      <c r="C567" s="158"/>
      <c r="D567" s="158"/>
      <c r="E567" s="158"/>
      <c r="F567" s="158"/>
      <c r="G567" s="99"/>
      <c r="H567" s="158"/>
      <c r="I567" s="158"/>
      <c r="J567" s="158"/>
      <c r="K567" s="158"/>
      <c r="L567" s="158"/>
      <c r="M567" s="104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 ht="17.25" customHeight="1">
      <c r="A568" s="158"/>
      <c r="B568" s="158"/>
      <c r="C568" s="158"/>
      <c r="D568" s="158"/>
      <c r="E568" s="158"/>
      <c r="F568" s="158"/>
      <c r="G568" s="99"/>
      <c r="H568" s="158"/>
      <c r="I568" s="158"/>
      <c r="J568" s="158"/>
      <c r="K568" s="158"/>
      <c r="L568" s="158"/>
      <c r="M568" s="104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 ht="17.25" customHeight="1">
      <c r="A569" s="158"/>
      <c r="B569" s="158"/>
      <c r="C569" s="158"/>
      <c r="D569" s="158"/>
      <c r="E569" s="158"/>
      <c r="F569" s="158"/>
      <c r="G569" s="99"/>
      <c r="H569" s="158"/>
      <c r="I569" s="158"/>
      <c r="J569" s="158"/>
      <c r="K569" s="158"/>
      <c r="L569" s="158"/>
      <c r="M569" s="104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 ht="17.25" customHeight="1">
      <c r="A570" s="158"/>
      <c r="B570" s="158"/>
      <c r="C570" s="158"/>
      <c r="D570" s="158"/>
      <c r="E570" s="158"/>
      <c r="F570" s="158"/>
      <c r="G570" s="99"/>
      <c r="H570" s="158"/>
      <c r="I570" s="158"/>
      <c r="J570" s="158"/>
      <c r="K570" s="158"/>
      <c r="L570" s="158"/>
      <c r="M570" s="104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 ht="17.25" customHeight="1">
      <c r="A571" s="158"/>
      <c r="B571" s="158"/>
      <c r="C571" s="158"/>
      <c r="D571" s="158"/>
      <c r="E571" s="158"/>
      <c r="F571" s="158"/>
      <c r="G571" s="99"/>
      <c r="H571" s="158"/>
      <c r="I571" s="158"/>
      <c r="J571" s="158"/>
      <c r="K571" s="158"/>
      <c r="L571" s="158"/>
      <c r="M571" s="104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 ht="17.25" customHeight="1">
      <c r="A572" s="158"/>
      <c r="B572" s="158"/>
      <c r="C572" s="158"/>
      <c r="D572" s="158"/>
      <c r="E572" s="158"/>
      <c r="F572" s="158"/>
      <c r="G572" s="99"/>
      <c r="H572" s="158"/>
      <c r="I572" s="158"/>
      <c r="J572" s="158"/>
      <c r="K572" s="158"/>
      <c r="L572" s="158"/>
      <c r="M572" s="104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 ht="17.25" customHeight="1">
      <c r="A573" s="158"/>
      <c r="B573" s="158"/>
      <c r="C573" s="158"/>
      <c r="D573" s="158"/>
      <c r="E573" s="158"/>
      <c r="F573" s="158"/>
      <c r="G573" s="99"/>
      <c r="H573" s="158"/>
      <c r="I573" s="158"/>
      <c r="J573" s="158"/>
      <c r="K573" s="158"/>
      <c r="L573" s="158"/>
      <c r="M573" s="104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 ht="17.25" customHeight="1">
      <c r="A574" s="158"/>
      <c r="B574" s="158"/>
      <c r="C574" s="158"/>
      <c r="D574" s="158"/>
      <c r="E574" s="158"/>
      <c r="F574" s="158"/>
      <c r="G574" s="99"/>
      <c r="H574" s="158"/>
      <c r="I574" s="158"/>
      <c r="J574" s="158"/>
      <c r="K574" s="158"/>
      <c r="L574" s="158"/>
      <c r="M574" s="104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 ht="17.25" customHeight="1">
      <c r="A575" s="158"/>
      <c r="B575" s="158"/>
      <c r="C575" s="158"/>
      <c r="D575" s="158"/>
      <c r="E575" s="158"/>
      <c r="F575" s="158"/>
      <c r="G575" s="99"/>
      <c r="H575" s="158"/>
      <c r="I575" s="158"/>
      <c r="J575" s="158"/>
      <c r="K575" s="158"/>
      <c r="L575" s="158"/>
      <c r="M575" s="104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 ht="17.25" customHeight="1">
      <c r="A576" s="158"/>
      <c r="B576" s="158"/>
      <c r="C576" s="158"/>
      <c r="D576" s="158"/>
      <c r="E576" s="158"/>
      <c r="F576" s="158"/>
      <c r="G576" s="99"/>
      <c r="H576" s="158"/>
      <c r="I576" s="158"/>
      <c r="J576" s="158"/>
      <c r="K576" s="158"/>
      <c r="L576" s="158"/>
      <c r="M576" s="104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 ht="17.25" customHeight="1">
      <c r="A577" s="158"/>
      <c r="B577" s="158"/>
      <c r="C577" s="158"/>
      <c r="D577" s="158"/>
      <c r="E577" s="158"/>
      <c r="F577" s="158"/>
      <c r="G577" s="99"/>
      <c r="H577" s="158"/>
      <c r="I577" s="158"/>
      <c r="J577" s="158"/>
      <c r="K577" s="158"/>
      <c r="L577" s="158"/>
      <c r="M577" s="104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 ht="17.25" customHeight="1">
      <c r="A578" s="158"/>
      <c r="B578" s="158"/>
      <c r="C578" s="158"/>
      <c r="D578" s="158"/>
      <c r="E578" s="158"/>
      <c r="F578" s="158"/>
      <c r="G578" s="99"/>
      <c r="H578" s="158"/>
      <c r="I578" s="158"/>
      <c r="J578" s="158"/>
      <c r="K578" s="158"/>
      <c r="L578" s="158"/>
      <c r="M578" s="104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 ht="17.25" customHeight="1">
      <c r="A579" s="158"/>
      <c r="B579" s="158"/>
      <c r="C579" s="158"/>
      <c r="D579" s="158"/>
      <c r="E579" s="158"/>
      <c r="F579" s="158"/>
      <c r="G579" s="99"/>
      <c r="H579" s="158"/>
      <c r="I579" s="158"/>
      <c r="J579" s="158"/>
      <c r="K579" s="158"/>
      <c r="L579" s="158"/>
      <c r="M579" s="104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 ht="17.25" customHeight="1">
      <c r="A580" s="158"/>
      <c r="B580" s="158"/>
      <c r="C580" s="158"/>
      <c r="D580" s="158"/>
      <c r="E580" s="158"/>
      <c r="F580" s="158"/>
      <c r="G580" s="99"/>
      <c r="H580" s="158"/>
      <c r="I580" s="158"/>
      <c r="J580" s="158"/>
      <c r="K580" s="158"/>
      <c r="L580" s="158"/>
      <c r="M580" s="104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 ht="17.25" customHeight="1">
      <c r="A581" s="158"/>
      <c r="B581" s="158"/>
      <c r="C581" s="158"/>
      <c r="D581" s="158"/>
      <c r="E581" s="158"/>
      <c r="F581" s="158"/>
      <c r="G581" s="99"/>
      <c r="H581" s="158"/>
      <c r="I581" s="158"/>
      <c r="J581" s="158"/>
      <c r="K581" s="158"/>
      <c r="L581" s="158"/>
      <c r="M581" s="104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 ht="17.25" customHeight="1">
      <c r="A582" s="158"/>
      <c r="B582" s="158"/>
      <c r="C582" s="158"/>
      <c r="D582" s="158"/>
      <c r="E582" s="158"/>
      <c r="F582" s="158"/>
      <c r="G582" s="99"/>
      <c r="H582" s="158"/>
      <c r="I582" s="158"/>
      <c r="J582" s="158"/>
      <c r="K582" s="158"/>
      <c r="L582" s="158"/>
      <c r="M582" s="104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 ht="17.25" customHeight="1">
      <c r="A583" s="158"/>
      <c r="B583" s="158"/>
      <c r="C583" s="158"/>
      <c r="D583" s="158"/>
      <c r="E583" s="158"/>
      <c r="F583" s="158"/>
      <c r="G583" s="99"/>
      <c r="H583" s="158"/>
      <c r="I583" s="158"/>
      <c r="J583" s="158"/>
      <c r="K583" s="158"/>
      <c r="L583" s="158"/>
      <c r="M583" s="104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 ht="17.25" customHeight="1">
      <c r="A584" s="158"/>
      <c r="B584" s="158"/>
      <c r="C584" s="158"/>
      <c r="D584" s="158"/>
      <c r="E584" s="158"/>
      <c r="F584" s="158"/>
      <c r="G584" s="99"/>
      <c r="H584" s="158"/>
      <c r="I584" s="158"/>
      <c r="J584" s="158"/>
      <c r="K584" s="158"/>
      <c r="L584" s="158"/>
      <c r="M584" s="104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 ht="17.25" customHeight="1">
      <c r="A585" s="158"/>
      <c r="B585" s="158"/>
      <c r="C585" s="158"/>
      <c r="D585" s="158"/>
      <c r="E585" s="158"/>
      <c r="F585" s="158"/>
      <c r="G585" s="99"/>
      <c r="H585" s="158"/>
      <c r="I585" s="158"/>
      <c r="J585" s="158"/>
      <c r="K585" s="158"/>
      <c r="L585" s="158"/>
      <c r="M585" s="104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 ht="17.25" customHeight="1">
      <c r="A586" s="158"/>
      <c r="B586" s="158"/>
      <c r="C586" s="158"/>
      <c r="D586" s="158"/>
      <c r="E586" s="158"/>
      <c r="F586" s="158"/>
      <c r="G586" s="99"/>
      <c r="H586" s="158"/>
      <c r="I586" s="158"/>
      <c r="J586" s="158"/>
      <c r="K586" s="158"/>
      <c r="L586" s="158"/>
      <c r="M586" s="104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 ht="17.25" customHeight="1">
      <c r="A587" s="158"/>
      <c r="B587" s="158"/>
      <c r="C587" s="158"/>
      <c r="D587" s="158"/>
      <c r="E587" s="158"/>
      <c r="F587" s="158"/>
      <c r="G587" s="99"/>
      <c r="H587" s="158"/>
      <c r="I587" s="158"/>
      <c r="J587" s="158"/>
      <c r="K587" s="158"/>
      <c r="L587" s="158"/>
      <c r="M587" s="104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 ht="17.25" customHeight="1">
      <c r="A588" s="158"/>
      <c r="B588" s="158"/>
      <c r="C588" s="158"/>
      <c r="D588" s="158"/>
      <c r="E588" s="158"/>
      <c r="F588" s="158"/>
      <c r="G588" s="99"/>
      <c r="H588" s="158"/>
      <c r="I588" s="158"/>
      <c r="J588" s="158"/>
      <c r="K588" s="158"/>
      <c r="L588" s="158"/>
      <c r="M588" s="104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 ht="17.25" customHeight="1">
      <c r="A589" s="158"/>
      <c r="B589" s="158"/>
      <c r="C589" s="158"/>
      <c r="D589" s="158"/>
      <c r="E589" s="158"/>
      <c r="F589" s="158"/>
      <c r="G589" s="99"/>
      <c r="H589" s="158"/>
      <c r="I589" s="158"/>
      <c r="J589" s="158"/>
      <c r="K589" s="158"/>
      <c r="L589" s="158"/>
      <c r="M589" s="104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 ht="17.25" customHeight="1">
      <c r="A590" s="158"/>
      <c r="B590" s="158"/>
      <c r="C590" s="158"/>
      <c r="D590" s="158"/>
      <c r="E590" s="158"/>
      <c r="F590" s="158"/>
      <c r="G590" s="99"/>
      <c r="H590" s="158"/>
      <c r="I590" s="158"/>
      <c r="J590" s="158"/>
      <c r="K590" s="158"/>
      <c r="L590" s="158"/>
      <c r="M590" s="104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 ht="17.25" customHeight="1">
      <c r="A591" s="158"/>
      <c r="B591" s="158"/>
      <c r="C591" s="158"/>
      <c r="D591" s="158"/>
      <c r="E591" s="158"/>
      <c r="F591" s="158"/>
      <c r="G591" s="99"/>
      <c r="H591" s="158"/>
      <c r="I591" s="158"/>
      <c r="J591" s="158"/>
      <c r="K591" s="158"/>
      <c r="L591" s="158"/>
      <c r="M591" s="104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 ht="17.25" customHeight="1">
      <c r="A592" s="158"/>
      <c r="B592" s="158"/>
      <c r="C592" s="158"/>
      <c r="D592" s="158"/>
      <c r="E592" s="158"/>
      <c r="F592" s="158"/>
      <c r="G592" s="99"/>
      <c r="H592" s="158"/>
      <c r="I592" s="158"/>
      <c r="J592" s="158"/>
      <c r="K592" s="158"/>
      <c r="L592" s="158"/>
      <c r="M592" s="104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 ht="17.25" customHeight="1">
      <c r="A593" s="158"/>
      <c r="B593" s="158"/>
      <c r="C593" s="158"/>
      <c r="D593" s="158"/>
      <c r="E593" s="158"/>
      <c r="F593" s="158"/>
      <c r="G593" s="99"/>
      <c r="H593" s="158"/>
      <c r="I593" s="158"/>
      <c r="J593" s="158"/>
      <c r="K593" s="158"/>
      <c r="L593" s="158"/>
      <c r="M593" s="104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 ht="17.25" customHeight="1">
      <c r="A594" s="158"/>
      <c r="B594" s="158"/>
      <c r="C594" s="158"/>
      <c r="D594" s="158"/>
      <c r="E594" s="158"/>
      <c r="F594" s="158"/>
      <c r="G594" s="99"/>
      <c r="H594" s="158"/>
      <c r="I594" s="158"/>
      <c r="J594" s="158"/>
      <c r="K594" s="158"/>
      <c r="L594" s="158"/>
      <c r="M594" s="104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 ht="17.25" customHeight="1">
      <c r="A595" s="158"/>
      <c r="B595" s="158"/>
      <c r="C595" s="158"/>
      <c r="D595" s="158"/>
      <c r="E595" s="158"/>
      <c r="F595" s="158"/>
      <c r="G595" s="99"/>
      <c r="H595" s="158"/>
      <c r="I595" s="158"/>
      <c r="J595" s="158"/>
      <c r="K595" s="158"/>
      <c r="L595" s="158"/>
      <c r="M595" s="104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 ht="17.25" customHeight="1">
      <c r="A596" s="158"/>
      <c r="B596" s="158"/>
      <c r="C596" s="158"/>
      <c r="D596" s="158"/>
      <c r="E596" s="158"/>
      <c r="F596" s="158"/>
      <c r="G596" s="99"/>
      <c r="H596" s="158"/>
      <c r="I596" s="158"/>
      <c r="J596" s="158"/>
      <c r="K596" s="158"/>
      <c r="L596" s="158"/>
      <c r="M596" s="104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 ht="17.25" customHeight="1">
      <c r="A597" s="158"/>
      <c r="B597" s="158"/>
      <c r="C597" s="158"/>
      <c r="D597" s="158"/>
      <c r="E597" s="158"/>
      <c r="F597" s="158"/>
      <c r="G597" s="99"/>
      <c r="H597" s="158"/>
      <c r="I597" s="158"/>
      <c r="J597" s="158"/>
      <c r="K597" s="158"/>
      <c r="L597" s="158"/>
      <c r="M597" s="104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 ht="17.25" customHeight="1">
      <c r="A598" s="158"/>
      <c r="B598" s="158"/>
      <c r="C598" s="158"/>
      <c r="D598" s="158"/>
      <c r="E598" s="158"/>
      <c r="F598" s="158"/>
      <c r="G598" s="99"/>
      <c r="H598" s="158"/>
      <c r="I598" s="158"/>
      <c r="J598" s="158"/>
      <c r="K598" s="158"/>
      <c r="L598" s="158"/>
      <c r="M598" s="104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 ht="17.25" customHeight="1">
      <c r="A599" s="158"/>
      <c r="B599" s="158"/>
      <c r="C599" s="158"/>
      <c r="D599" s="158"/>
      <c r="E599" s="158"/>
      <c r="F599" s="158"/>
      <c r="G599" s="99"/>
      <c r="H599" s="158"/>
      <c r="I599" s="158"/>
      <c r="J599" s="158"/>
      <c r="K599" s="158"/>
      <c r="L599" s="158"/>
      <c r="M599" s="104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 ht="17.25" customHeight="1">
      <c r="A600" s="158"/>
      <c r="B600" s="158"/>
      <c r="C600" s="158"/>
      <c r="D600" s="158"/>
      <c r="E600" s="158"/>
      <c r="F600" s="158"/>
      <c r="G600" s="99"/>
      <c r="H600" s="158"/>
      <c r="I600" s="158"/>
      <c r="J600" s="158"/>
      <c r="K600" s="158"/>
      <c r="L600" s="158"/>
      <c r="M600" s="104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 ht="17.25" customHeight="1">
      <c r="A601" s="158"/>
      <c r="B601" s="158"/>
      <c r="C601" s="158"/>
      <c r="D601" s="158"/>
      <c r="E601" s="158"/>
      <c r="F601" s="158"/>
      <c r="G601" s="99"/>
      <c r="H601" s="158"/>
      <c r="I601" s="158"/>
      <c r="J601" s="158"/>
      <c r="K601" s="158"/>
      <c r="L601" s="158"/>
      <c r="M601" s="104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 ht="17.25" customHeight="1">
      <c r="A602" s="158"/>
      <c r="B602" s="158"/>
      <c r="C602" s="158"/>
      <c r="D602" s="158"/>
      <c r="E602" s="158"/>
      <c r="F602" s="158"/>
      <c r="G602" s="99"/>
      <c r="H602" s="158"/>
      <c r="I602" s="158"/>
      <c r="J602" s="158"/>
      <c r="K602" s="158"/>
      <c r="L602" s="158"/>
      <c r="M602" s="104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 ht="17.25" customHeight="1">
      <c r="A603" s="158"/>
      <c r="B603" s="158"/>
      <c r="C603" s="158"/>
      <c r="D603" s="158"/>
      <c r="E603" s="158"/>
      <c r="F603" s="158"/>
      <c r="G603" s="99"/>
      <c r="H603" s="158"/>
      <c r="I603" s="158"/>
      <c r="J603" s="158"/>
      <c r="K603" s="158"/>
      <c r="L603" s="158"/>
      <c r="M603" s="104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 ht="17.25" customHeight="1">
      <c r="A604" s="158"/>
      <c r="B604" s="158"/>
      <c r="C604" s="158"/>
      <c r="D604" s="158"/>
      <c r="E604" s="158"/>
      <c r="F604" s="158"/>
      <c r="G604" s="99"/>
      <c r="H604" s="158"/>
      <c r="I604" s="158"/>
      <c r="J604" s="158"/>
      <c r="K604" s="158"/>
      <c r="L604" s="158"/>
      <c r="M604" s="104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 ht="17.25" customHeight="1">
      <c r="A605" s="158"/>
      <c r="B605" s="158"/>
      <c r="C605" s="158"/>
      <c r="D605" s="158"/>
      <c r="E605" s="158"/>
      <c r="F605" s="158"/>
      <c r="G605" s="99"/>
      <c r="H605" s="158"/>
      <c r="I605" s="158"/>
      <c r="J605" s="158"/>
      <c r="K605" s="158"/>
      <c r="L605" s="158"/>
      <c r="M605" s="104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 ht="17.25" customHeight="1">
      <c r="A606" s="158"/>
      <c r="B606" s="158"/>
      <c r="C606" s="158"/>
      <c r="D606" s="158"/>
      <c r="E606" s="158"/>
      <c r="F606" s="158"/>
      <c r="G606" s="99"/>
      <c r="H606" s="158"/>
      <c r="I606" s="158"/>
      <c r="J606" s="158"/>
      <c r="K606" s="158"/>
      <c r="L606" s="158"/>
      <c r="M606" s="104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 ht="17.25" customHeight="1">
      <c r="A607" s="158"/>
      <c r="B607" s="158"/>
      <c r="C607" s="158"/>
      <c r="D607" s="158"/>
      <c r="E607" s="158"/>
      <c r="F607" s="158"/>
      <c r="G607" s="99"/>
      <c r="H607" s="158"/>
      <c r="I607" s="158"/>
      <c r="J607" s="158"/>
      <c r="K607" s="158"/>
      <c r="L607" s="158"/>
      <c r="M607" s="104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 ht="17.25" customHeight="1">
      <c r="A608" s="158"/>
      <c r="B608" s="158"/>
      <c r="C608" s="158"/>
      <c r="D608" s="158"/>
      <c r="E608" s="158"/>
      <c r="F608" s="158"/>
      <c r="G608" s="99"/>
      <c r="H608" s="158"/>
      <c r="I608" s="158"/>
      <c r="J608" s="158"/>
      <c r="K608" s="158"/>
      <c r="L608" s="158"/>
      <c r="M608" s="104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 ht="17.25" customHeight="1">
      <c r="A609" s="158"/>
      <c r="B609" s="158"/>
      <c r="C609" s="158"/>
      <c r="D609" s="158"/>
      <c r="E609" s="158"/>
      <c r="F609" s="158"/>
      <c r="G609" s="99"/>
      <c r="H609" s="158"/>
      <c r="I609" s="158"/>
      <c r="J609" s="158"/>
      <c r="K609" s="158"/>
      <c r="L609" s="158"/>
      <c r="M609" s="104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 ht="17.25" customHeight="1">
      <c r="A610" s="158"/>
      <c r="B610" s="158"/>
      <c r="C610" s="158"/>
      <c r="D610" s="158"/>
      <c r="E610" s="158"/>
      <c r="F610" s="158"/>
      <c r="G610" s="99"/>
      <c r="H610" s="158"/>
      <c r="I610" s="158"/>
      <c r="J610" s="158"/>
      <c r="K610" s="158"/>
      <c r="L610" s="158"/>
      <c r="M610" s="104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 ht="17.25" customHeight="1">
      <c r="A611" s="158"/>
      <c r="B611" s="158"/>
      <c r="C611" s="158"/>
      <c r="D611" s="158"/>
      <c r="E611" s="158"/>
      <c r="F611" s="158"/>
      <c r="G611" s="99"/>
      <c r="H611" s="158"/>
      <c r="I611" s="158"/>
      <c r="J611" s="158"/>
      <c r="K611" s="158"/>
      <c r="L611" s="158"/>
      <c r="M611" s="104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 ht="17.25" customHeight="1">
      <c r="A612" s="158"/>
      <c r="B612" s="158"/>
      <c r="C612" s="158"/>
      <c r="D612" s="158"/>
      <c r="E612" s="158"/>
      <c r="F612" s="158"/>
      <c r="G612" s="99"/>
      <c r="H612" s="158"/>
      <c r="I612" s="158"/>
      <c r="J612" s="158"/>
      <c r="K612" s="158"/>
      <c r="L612" s="158"/>
      <c r="M612" s="104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 ht="17.25" customHeight="1">
      <c r="A613" s="158"/>
      <c r="B613" s="158"/>
      <c r="C613" s="158"/>
      <c r="D613" s="158"/>
      <c r="E613" s="158"/>
      <c r="F613" s="158"/>
      <c r="G613" s="99"/>
      <c r="H613" s="158"/>
      <c r="I613" s="158"/>
      <c r="J613" s="158"/>
      <c r="K613" s="158"/>
      <c r="L613" s="158"/>
      <c r="M613" s="104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 ht="17.25" customHeight="1">
      <c r="A614" s="158"/>
      <c r="B614" s="158"/>
      <c r="C614" s="158"/>
      <c r="D614" s="158"/>
      <c r="E614" s="158"/>
      <c r="F614" s="158"/>
      <c r="G614" s="99"/>
      <c r="H614" s="158"/>
      <c r="I614" s="158"/>
      <c r="J614" s="158"/>
      <c r="K614" s="158"/>
      <c r="L614" s="158"/>
      <c r="M614" s="104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 ht="17.25" customHeight="1">
      <c r="A615" s="158"/>
      <c r="B615" s="158"/>
      <c r="C615" s="158"/>
      <c r="D615" s="158"/>
      <c r="E615" s="158"/>
      <c r="F615" s="158"/>
      <c r="G615" s="99"/>
      <c r="H615" s="158"/>
      <c r="I615" s="158"/>
      <c r="J615" s="158"/>
      <c r="K615" s="158"/>
      <c r="L615" s="158"/>
      <c r="M615" s="104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 ht="17.25" customHeight="1">
      <c r="A616" s="158"/>
      <c r="B616" s="158"/>
      <c r="C616" s="158"/>
      <c r="D616" s="158"/>
      <c r="E616" s="158"/>
      <c r="F616" s="158"/>
      <c r="G616" s="99"/>
      <c r="H616" s="158"/>
      <c r="I616" s="158"/>
      <c r="J616" s="158"/>
      <c r="K616" s="158"/>
      <c r="L616" s="158"/>
      <c r="M616" s="104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 ht="17.25" customHeight="1">
      <c r="A617" s="158"/>
      <c r="B617" s="158"/>
      <c r="C617" s="158"/>
      <c r="D617" s="158"/>
      <c r="E617" s="158"/>
      <c r="F617" s="158"/>
      <c r="G617" s="99"/>
      <c r="H617" s="158"/>
      <c r="I617" s="158"/>
      <c r="J617" s="158"/>
      <c r="K617" s="158"/>
      <c r="L617" s="158"/>
      <c r="M617" s="104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 ht="17.25" customHeight="1">
      <c r="A618" s="158"/>
      <c r="B618" s="158"/>
      <c r="C618" s="158"/>
      <c r="D618" s="158"/>
      <c r="E618" s="158"/>
      <c r="F618" s="158"/>
      <c r="G618" s="99"/>
      <c r="H618" s="158"/>
      <c r="I618" s="158"/>
      <c r="J618" s="158"/>
      <c r="K618" s="158"/>
      <c r="L618" s="158"/>
      <c r="M618" s="104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 ht="17.25" customHeight="1">
      <c r="A619" s="158"/>
      <c r="B619" s="158"/>
      <c r="C619" s="158"/>
      <c r="D619" s="158"/>
      <c r="E619" s="158"/>
      <c r="F619" s="158"/>
      <c r="G619" s="99"/>
      <c r="H619" s="158"/>
      <c r="I619" s="158"/>
      <c r="J619" s="158"/>
      <c r="K619" s="158"/>
      <c r="L619" s="158"/>
      <c r="M619" s="104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 ht="17.25" customHeight="1">
      <c r="A620" s="158"/>
      <c r="B620" s="158"/>
      <c r="C620" s="158"/>
      <c r="D620" s="158"/>
      <c r="E620" s="158"/>
      <c r="F620" s="158"/>
      <c r="G620" s="99"/>
      <c r="H620" s="158"/>
      <c r="I620" s="158"/>
      <c r="J620" s="158"/>
      <c r="K620" s="158"/>
      <c r="L620" s="158"/>
      <c r="M620" s="104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 ht="17.25" customHeight="1">
      <c r="A621" s="158"/>
      <c r="B621" s="158"/>
      <c r="C621" s="158"/>
      <c r="D621" s="158"/>
      <c r="E621" s="158"/>
      <c r="F621" s="158"/>
      <c r="G621" s="99"/>
      <c r="H621" s="158"/>
      <c r="I621" s="158"/>
      <c r="J621" s="158"/>
      <c r="K621" s="158"/>
      <c r="L621" s="158"/>
      <c r="M621" s="104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 ht="17.25" customHeight="1">
      <c r="A622" s="158"/>
      <c r="B622" s="158"/>
      <c r="C622" s="158"/>
      <c r="D622" s="158"/>
      <c r="E622" s="158"/>
      <c r="F622" s="158"/>
      <c r="G622" s="99"/>
      <c r="H622" s="158"/>
      <c r="I622" s="158"/>
      <c r="J622" s="158"/>
      <c r="K622" s="158"/>
      <c r="L622" s="158"/>
      <c r="M622" s="104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 ht="17.25" customHeight="1">
      <c r="A623" s="158"/>
      <c r="B623" s="158"/>
      <c r="C623" s="158"/>
      <c r="D623" s="158"/>
      <c r="E623" s="158"/>
      <c r="F623" s="158"/>
      <c r="G623" s="99"/>
      <c r="H623" s="158"/>
      <c r="I623" s="158"/>
      <c r="J623" s="158"/>
      <c r="K623" s="158"/>
      <c r="L623" s="158"/>
      <c r="M623" s="104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 ht="17.25" customHeight="1">
      <c r="A624" s="158"/>
      <c r="B624" s="158"/>
      <c r="C624" s="158"/>
      <c r="D624" s="158"/>
      <c r="E624" s="158"/>
      <c r="F624" s="158"/>
      <c r="G624" s="99"/>
      <c r="H624" s="158"/>
      <c r="I624" s="158"/>
      <c r="J624" s="158"/>
      <c r="K624" s="158"/>
      <c r="L624" s="158"/>
      <c r="M624" s="104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 ht="17.25" customHeight="1">
      <c r="A625" s="158"/>
      <c r="B625" s="158"/>
      <c r="C625" s="158"/>
      <c r="D625" s="158"/>
      <c r="E625" s="158"/>
      <c r="F625" s="158"/>
      <c r="G625" s="99"/>
      <c r="H625" s="158"/>
      <c r="I625" s="158"/>
      <c r="J625" s="158"/>
      <c r="K625" s="158"/>
      <c r="L625" s="158"/>
      <c r="M625" s="104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 ht="17.25" customHeight="1">
      <c r="A626" s="158"/>
      <c r="B626" s="158"/>
      <c r="C626" s="158"/>
      <c r="D626" s="158"/>
      <c r="E626" s="158"/>
      <c r="F626" s="158"/>
      <c r="G626" s="99"/>
      <c r="H626" s="158"/>
      <c r="I626" s="158"/>
      <c r="J626" s="158"/>
      <c r="K626" s="158"/>
      <c r="L626" s="158"/>
      <c r="M626" s="104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 ht="17.25" customHeight="1">
      <c r="A627" s="158"/>
      <c r="B627" s="158"/>
      <c r="C627" s="158"/>
      <c r="D627" s="158"/>
      <c r="E627" s="158"/>
      <c r="F627" s="158"/>
      <c r="G627" s="99"/>
      <c r="H627" s="158"/>
      <c r="I627" s="158"/>
      <c r="J627" s="158"/>
      <c r="K627" s="158"/>
      <c r="L627" s="158"/>
      <c r="M627" s="104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 ht="17.25" customHeight="1">
      <c r="A628" s="158"/>
      <c r="B628" s="158"/>
      <c r="C628" s="158"/>
      <c r="D628" s="158"/>
      <c r="E628" s="158"/>
      <c r="F628" s="158"/>
      <c r="G628" s="99"/>
      <c r="H628" s="158"/>
      <c r="I628" s="158"/>
      <c r="J628" s="158"/>
      <c r="K628" s="158"/>
      <c r="L628" s="158"/>
      <c r="M628" s="104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 ht="17.25" customHeight="1">
      <c r="A629" s="158"/>
      <c r="B629" s="158"/>
      <c r="C629" s="158"/>
      <c r="D629" s="158"/>
      <c r="E629" s="158"/>
      <c r="F629" s="158"/>
      <c r="G629" s="99"/>
      <c r="H629" s="158"/>
      <c r="I629" s="158"/>
      <c r="J629" s="158"/>
      <c r="K629" s="158"/>
      <c r="L629" s="158"/>
      <c r="M629" s="104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 ht="17.25" customHeight="1">
      <c r="A630" s="158"/>
      <c r="B630" s="158"/>
      <c r="C630" s="158"/>
      <c r="D630" s="158"/>
      <c r="E630" s="158"/>
      <c r="F630" s="158"/>
      <c r="G630" s="99"/>
      <c r="H630" s="158"/>
      <c r="I630" s="158"/>
      <c r="J630" s="158"/>
      <c r="K630" s="158"/>
      <c r="L630" s="158"/>
      <c r="M630" s="104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 ht="17.25" customHeight="1">
      <c r="A631" s="158"/>
      <c r="B631" s="158"/>
      <c r="C631" s="158"/>
      <c r="D631" s="158"/>
      <c r="E631" s="158"/>
      <c r="F631" s="158"/>
      <c r="G631" s="99"/>
      <c r="H631" s="158"/>
      <c r="I631" s="158"/>
      <c r="J631" s="158"/>
      <c r="K631" s="158"/>
      <c r="L631" s="158"/>
      <c r="M631" s="104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 ht="17.25" customHeight="1">
      <c r="A632" s="158"/>
      <c r="B632" s="158"/>
      <c r="C632" s="158"/>
      <c r="D632" s="158"/>
      <c r="E632" s="158"/>
      <c r="F632" s="158"/>
      <c r="G632" s="99"/>
      <c r="H632" s="158"/>
      <c r="I632" s="158"/>
      <c r="J632" s="158"/>
      <c r="K632" s="158"/>
      <c r="L632" s="158"/>
      <c r="M632" s="104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 ht="17.25" customHeight="1">
      <c r="A633" s="158"/>
      <c r="B633" s="158"/>
      <c r="C633" s="158"/>
      <c r="D633" s="158"/>
      <c r="E633" s="158"/>
      <c r="F633" s="158"/>
      <c r="G633" s="99"/>
      <c r="H633" s="158"/>
      <c r="I633" s="158"/>
      <c r="J633" s="158"/>
      <c r="K633" s="158"/>
      <c r="L633" s="158"/>
      <c r="M633" s="104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 ht="17.25" customHeight="1">
      <c r="A634" s="158"/>
      <c r="B634" s="158"/>
      <c r="C634" s="158"/>
      <c r="D634" s="158"/>
      <c r="E634" s="158"/>
      <c r="F634" s="158"/>
      <c r="G634" s="99"/>
      <c r="H634" s="158"/>
      <c r="I634" s="158"/>
      <c r="J634" s="158"/>
      <c r="K634" s="158"/>
      <c r="L634" s="158"/>
      <c r="M634" s="104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 ht="17.25" customHeight="1">
      <c r="A635" s="158"/>
      <c r="B635" s="158"/>
      <c r="C635" s="158"/>
      <c r="D635" s="158"/>
      <c r="E635" s="158"/>
      <c r="F635" s="158"/>
      <c r="G635" s="99"/>
      <c r="H635" s="158"/>
      <c r="I635" s="158"/>
      <c r="J635" s="158"/>
      <c r="K635" s="158"/>
      <c r="L635" s="158"/>
      <c r="M635" s="104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 ht="17.25" customHeight="1">
      <c r="A636" s="158"/>
      <c r="B636" s="158"/>
      <c r="C636" s="158"/>
      <c r="D636" s="158"/>
      <c r="E636" s="158"/>
      <c r="F636" s="158"/>
      <c r="G636" s="99"/>
      <c r="H636" s="158"/>
      <c r="I636" s="158"/>
      <c r="J636" s="158"/>
      <c r="K636" s="158"/>
      <c r="L636" s="158"/>
      <c r="M636" s="104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 ht="17.25" customHeight="1">
      <c r="A637" s="158"/>
      <c r="B637" s="158"/>
      <c r="C637" s="158"/>
      <c r="D637" s="158"/>
      <c r="E637" s="158"/>
      <c r="F637" s="158"/>
      <c r="G637" s="99"/>
      <c r="H637" s="158"/>
      <c r="I637" s="158"/>
      <c r="J637" s="158"/>
      <c r="K637" s="158"/>
      <c r="L637" s="158"/>
      <c r="M637" s="104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 ht="17.25" customHeight="1">
      <c r="A638" s="158"/>
      <c r="B638" s="158"/>
      <c r="C638" s="158"/>
      <c r="D638" s="158"/>
      <c r="E638" s="158"/>
      <c r="F638" s="158"/>
      <c r="G638" s="99"/>
      <c r="H638" s="158"/>
      <c r="I638" s="158"/>
      <c r="J638" s="158"/>
      <c r="K638" s="158"/>
      <c r="L638" s="158"/>
      <c r="M638" s="104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 ht="17.25" customHeight="1">
      <c r="A639" s="158"/>
      <c r="B639" s="158"/>
      <c r="C639" s="158"/>
      <c r="D639" s="158"/>
      <c r="E639" s="158"/>
      <c r="F639" s="158"/>
      <c r="G639" s="99"/>
      <c r="H639" s="158"/>
      <c r="I639" s="158"/>
      <c r="J639" s="158"/>
      <c r="K639" s="158"/>
      <c r="L639" s="158"/>
      <c r="M639" s="104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 ht="17.25" customHeight="1">
      <c r="A640" s="158"/>
      <c r="B640" s="158"/>
      <c r="C640" s="158"/>
      <c r="D640" s="158"/>
      <c r="E640" s="158"/>
      <c r="F640" s="158"/>
      <c r="G640" s="99"/>
      <c r="H640" s="158"/>
      <c r="I640" s="158"/>
      <c r="J640" s="158"/>
      <c r="K640" s="158"/>
      <c r="L640" s="158"/>
      <c r="M640" s="104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 ht="17.25" customHeight="1">
      <c r="A641" s="158"/>
      <c r="B641" s="158"/>
      <c r="C641" s="158"/>
      <c r="D641" s="158"/>
      <c r="E641" s="158"/>
      <c r="F641" s="158"/>
      <c r="G641" s="99"/>
      <c r="H641" s="158"/>
      <c r="I641" s="158"/>
      <c r="J641" s="158"/>
      <c r="K641" s="158"/>
      <c r="L641" s="158"/>
      <c r="M641" s="104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 ht="17.25" customHeight="1">
      <c r="A642" s="158"/>
      <c r="B642" s="158"/>
      <c r="C642" s="158"/>
      <c r="D642" s="158"/>
      <c r="E642" s="158"/>
      <c r="F642" s="158"/>
      <c r="G642" s="99"/>
      <c r="H642" s="158"/>
      <c r="I642" s="158"/>
      <c r="J642" s="158"/>
      <c r="K642" s="158"/>
      <c r="L642" s="158"/>
      <c r="M642" s="104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 ht="17.25" customHeight="1">
      <c r="A643" s="158"/>
      <c r="B643" s="158"/>
      <c r="C643" s="158"/>
      <c r="D643" s="158"/>
      <c r="E643" s="158"/>
      <c r="F643" s="158"/>
      <c r="G643" s="99"/>
      <c r="H643" s="158"/>
      <c r="I643" s="158"/>
      <c r="J643" s="158"/>
      <c r="K643" s="158"/>
      <c r="L643" s="158"/>
      <c r="M643" s="104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 ht="17.25" customHeight="1">
      <c r="A644" s="158"/>
      <c r="B644" s="158"/>
      <c r="C644" s="158"/>
      <c r="D644" s="158"/>
      <c r="E644" s="158"/>
      <c r="F644" s="158"/>
      <c r="G644" s="99"/>
      <c r="H644" s="158"/>
      <c r="I644" s="158"/>
      <c r="J644" s="158"/>
      <c r="K644" s="158"/>
      <c r="L644" s="158"/>
      <c r="M644" s="104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 ht="17.25" customHeight="1">
      <c r="A645" s="158"/>
      <c r="B645" s="158"/>
      <c r="C645" s="158"/>
      <c r="D645" s="158"/>
      <c r="E645" s="158"/>
      <c r="F645" s="158"/>
      <c r="G645" s="99"/>
      <c r="H645" s="158"/>
      <c r="I645" s="158"/>
      <c r="J645" s="158"/>
      <c r="K645" s="158"/>
      <c r="L645" s="158"/>
      <c r="M645" s="104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 ht="17.25" customHeight="1">
      <c r="A646" s="158"/>
      <c r="B646" s="158"/>
      <c r="C646" s="158"/>
      <c r="D646" s="158"/>
      <c r="E646" s="158"/>
      <c r="F646" s="158"/>
      <c r="G646" s="99"/>
      <c r="H646" s="158"/>
      <c r="I646" s="158"/>
      <c r="J646" s="158"/>
      <c r="K646" s="158"/>
      <c r="L646" s="158"/>
      <c r="M646" s="104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 ht="17.25" customHeight="1">
      <c r="A647" s="158"/>
      <c r="B647" s="158"/>
      <c r="C647" s="158"/>
      <c r="D647" s="158"/>
      <c r="E647" s="158"/>
      <c r="F647" s="158"/>
      <c r="G647" s="99"/>
      <c r="H647" s="158"/>
      <c r="I647" s="158"/>
      <c r="J647" s="158"/>
      <c r="K647" s="158"/>
      <c r="L647" s="158"/>
      <c r="M647" s="104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 ht="17.25" customHeight="1">
      <c r="A648" s="158"/>
      <c r="B648" s="158"/>
      <c r="C648" s="158"/>
      <c r="D648" s="158"/>
      <c r="E648" s="158"/>
      <c r="F648" s="158"/>
      <c r="G648" s="99"/>
      <c r="H648" s="158"/>
      <c r="I648" s="158"/>
      <c r="J648" s="158"/>
      <c r="K648" s="158"/>
      <c r="L648" s="158"/>
      <c r="M648" s="104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 ht="17.25" customHeight="1">
      <c r="A649" s="158"/>
      <c r="B649" s="158"/>
      <c r="C649" s="158"/>
      <c r="D649" s="158"/>
      <c r="E649" s="158"/>
      <c r="F649" s="158"/>
      <c r="G649" s="99"/>
      <c r="H649" s="158"/>
      <c r="I649" s="158"/>
      <c r="J649" s="158"/>
      <c r="K649" s="158"/>
      <c r="L649" s="158"/>
      <c r="M649" s="104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 ht="17.25" customHeight="1">
      <c r="A650" s="158"/>
      <c r="B650" s="158"/>
      <c r="C650" s="158"/>
      <c r="D650" s="158"/>
      <c r="E650" s="158"/>
      <c r="F650" s="158"/>
      <c r="G650" s="99"/>
      <c r="H650" s="158"/>
      <c r="I650" s="158"/>
      <c r="J650" s="158"/>
      <c r="K650" s="158"/>
      <c r="L650" s="158"/>
      <c r="M650" s="104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 ht="17.25" customHeight="1">
      <c r="A651" s="158"/>
      <c r="B651" s="158"/>
      <c r="C651" s="158"/>
      <c r="D651" s="158"/>
      <c r="E651" s="158"/>
      <c r="F651" s="158"/>
      <c r="G651" s="99"/>
      <c r="H651" s="158"/>
      <c r="I651" s="158"/>
      <c r="J651" s="158"/>
      <c r="K651" s="158"/>
      <c r="L651" s="158"/>
      <c r="M651" s="104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 ht="17.25" customHeight="1">
      <c r="A652" s="158"/>
      <c r="B652" s="158"/>
      <c r="C652" s="158"/>
      <c r="D652" s="158"/>
      <c r="E652" s="158"/>
      <c r="F652" s="158"/>
      <c r="G652" s="99"/>
      <c r="H652" s="158"/>
      <c r="I652" s="158"/>
      <c r="J652" s="158"/>
      <c r="K652" s="158"/>
      <c r="L652" s="158"/>
      <c r="M652" s="104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 ht="17.25" customHeight="1">
      <c r="A653" s="158"/>
      <c r="B653" s="158"/>
      <c r="C653" s="158"/>
      <c r="D653" s="158"/>
      <c r="E653" s="158"/>
      <c r="F653" s="158"/>
      <c r="G653" s="99"/>
      <c r="H653" s="158"/>
      <c r="I653" s="158"/>
      <c r="J653" s="158"/>
      <c r="K653" s="158"/>
      <c r="L653" s="158"/>
      <c r="M653" s="104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 ht="17.25" customHeight="1">
      <c r="A654" s="158"/>
      <c r="B654" s="158"/>
      <c r="C654" s="158"/>
      <c r="D654" s="158"/>
      <c r="E654" s="158"/>
      <c r="F654" s="158"/>
      <c r="G654" s="99"/>
      <c r="H654" s="158"/>
      <c r="I654" s="158"/>
      <c r="J654" s="158"/>
      <c r="K654" s="158"/>
      <c r="L654" s="158"/>
      <c r="M654" s="104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 ht="17.25" customHeight="1">
      <c r="A655" s="158"/>
      <c r="B655" s="158"/>
      <c r="C655" s="158"/>
      <c r="D655" s="158"/>
      <c r="E655" s="158"/>
      <c r="F655" s="158"/>
      <c r="G655" s="99"/>
      <c r="H655" s="158"/>
      <c r="I655" s="158"/>
      <c r="J655" s="158"/>
      <c r="K655" s="158"/>
      <c r="L655" s="158"/>
      <c r="M655" s="104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 ht="17.25" customHeight="1">
      <c r="A656" s="158"/>
      <c r="B656" s="158"/>
      <c r="C656" s="158"/>
      <c r="D656" s="158"/>
      <c r="E656" s="158"/>
      <c r="F656" s="158"/>
      <c r="G656" s="99"/>
      <c r="H656" s="158"/>
      <c r="I656" s="158"/>
      <c r="J656" s="158"/>
      <c r="K656" s="158"/>
      <c r="L656" s="158"/>
      <c r="M656" s="104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 ht="17.25" customHeight="1">
      <c r="A657" s="158"/>
      <c r="B657" s="158"/>
      <c r="C657" s="158"/>
      <c r="D657" s="158"/>
      <c r="E657" s="158"/>
      <c r="F657" s="158"/>
      <c r="G657" s="99"/>
      <c r="H657" s="158"/>
      <c r="I657" s="158"/>
      <c r="J657" s="158"/>
      <c r="K657" s="158"/>
      <c r="L657" s="158"/>
      <c r="M657" s="104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 ht="17.25" customHeight="1">
      <c r="A658" s="158"/>
      <c r="B658" s="158"/>
      <c r="C658" s="158"/>
      <c r="D658" s="158"/>
      <c r="E658" s="158"/>
      <c r="F658" s="158"/>
      <c r="G658" s="99"/>
      <c r="H658" s="158"/>
      <c r="I658" s="158"/>
      <c r="J658" s="158"/>
      <c r="K658" s="158"/>
      <c r="L658" s="158"/>
      <c r="M658" s="104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 ht="17.25" customHeight="1">
      <c r="A659" s="158"/>
      <c r="B659" s="158"/>
      <c r="C659" s="158"/>
      <c r="D659" s="158"/>
      <c r="E659" s="158"/>
      <c r="F659" s="158"/>
      <c r="G659" s="99"/>
      <c r="H659" s="158"/>
      <c r="I659" s="158"/>
      <c r="J659" s="158"/>
      <c r="K659" s="158"/>
      <c r="L659" s="158"/>
      <c r="M659" s="104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 ht="17.25" customHeight="1">
      <c r="A660" s="158"/>
      <c r="B660" s="158"/>
      <c r="C660" s="158"/>
      <c r="D660" s="158"/>
      <c r="E660" s="158"/>
      <c r="F660" s="158"/>
      <c r="G660" s="99"/>
      <c r="H660" s="158"/>
      <c r="I660" s="158"/>
      <c r="J660" s="158"/>
      <c r="K660" s="158"/>
      <c r="L660" s="158"/>
      <c r="M660" s="104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 ht="17.25" customHeight="1">
      <c r="A661" s="158"/>
      <c r="B661" s="158"/>
      <c r="C661" s="158"/>
      <c r="D661" s="158"/>
      <c r="E661" s="158"/>
      <c r="F661" s="158"/>
      <c r="G661" s="99"/>
      <c r="H661" s="158"/>
      <c r="I661" s="158"/>
      <c r="J661" s="158"/>
      <c r="K661" s="158"/>
      <c r="L661" s="158"/>
      <c r="M661" s="104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 ht="17.25" customHeight="1">
      <c r="A662" s="158"/>
      <c r="B662" s="158"/>
      <c r="C662" s="158"/>
      <c r="D662" s="158"/>
      <c r="E662" s="158"/>
      <c r="F662" s="158"/>
      <c r="G662" s="99"/>
      <c r="H662" s="158"/>
      <c r="I662" s="158"/>
      <c r="J662" s="158"/>
      <c r="K662" s="158"/>
      <c r="L662" s="158"/>
      <c r="M662" s="104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 ht="17.25" customHeight="1">
      <c r="A663" s="158"/>
      <c r="B663" s="158"/>
      <c r="C663" s="158"/>
      <c r="D663" s="158"/>
      <c r="E663" s="158"/>
      <c r="F663" s="158"/>
      <c r="G663" s="99"/>
      <c r="H663" s="158"/>
      <c r="I663" s="158"/>
      <c r="J663" s="158"/>
      <c r="K663" s="158"/>
      <c r="L663" s="158"/>
      <c r="M663" s="104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 ht="17.25" customHeight="1">
      <c r="A664" s="158"/>
      <c r="B664" s="158"/>
      <c r="C664" s="158"/>
      <c r="D664" s="158"/>
      <c r="E664" s="158"/>
      <c r="F664" s="158"/>
      <c r="G664" s="99"/>
      <c r="H664" s="158"/>
      <c r="I664" s="158"/>
      <c r="J664" s="158"/>
      <c r="K664" s="158"/>
      <c r="L664" s="158"/>
      <c r="M664" s="104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 ht="17.25" customHeight="1">
      <c r="A665" s="158"/>
      <c r="B665" s="158"/>
      <c r="C665" s="158"/>
      <c r="D665" s="158"/>
      <c r="E665" s="158"/>
      <c r="F665" s="158"/>
      <c r="G665" s="99"/>
      <c r="H665" s="158"/>
      <c r="I665" s="158"/>
      <c r="J665" s="158"/>
      <c r="K665" s="158"/>
      <c r="L665" s="158"/>
      <c r="M665" s="104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 ht="17.25" customHeight="1">
      <c r="A666" s="158"/>
      <c r="B666" s="158"/>
      <c r="C666" s="158"/>
      <c r="D666" s="158"/>
      <c r="E666" s="158"/>
      <c r="F666" s="158"/>
      <c r="G666" s="99"/>
      <c r="H666" s="158"/>
      <c r="I666" s="158"/>
      <c r="J666" s="158"/>
      <c r="K666" s="158"/>
      <c r="L666" s="158"/>
      <c r="M666" s="104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 ht="17.25" customHeight="1">
      <c r="A667" s="158"/>
      <c r="B667" s="158"/>
      <c r="C667" s="158"/>
      <c r="D667" s="158"/>
      <c r="E667" s="158"/>
      <c r="F667" s="158"/>
      <c r="G667" s="99"/>
      <c r="H667" s="158"/>
      <c r="I667" s="158"/>
      <c r="J667" s="158"/>
      <c r="K667" s="158"/>
      <c r="L667" s="158"/>
      <c r="M667" s="104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 ht="17.25" customHeight="1">
      <c r="A668" s="158"/>
      <c r="B668" s="158"/>
      <c r="C668" s="158"/>
      <c r="D668" s="158"/>
      <c r="E668" s="158"/>
      <c r="F668" s="158"/>
      <c r="G668" s="99"/>
      <c r="H668" s="158"/>
      <c r="I668" s="158"/>
      <c r="J668" s="158"/>
      <c r="K668" s="158"/>
      <c r="L668" s="158"/>
      <c r="M668" s="104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 ht="17.25" customHeight="1">
      <c r="A669" s="158"/>
      <c r="B669" s="158"/>
      <c r="C669" s="158"/>
      <c r="D669" s="158"/>
      <c r="E669" s="158"/>
      <c r="F669" s="158"/>
      <c r="G669" s="99"/>
      <c r="H669" s="158"/>
      <c r="I669" s="158"/>
      <c r="J669" s="158"/>
      <c r="K669" s="158"/>
      <c r="L669" s="158"/>
      <c r="M669" s="104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 ht="17.25" customHeight="1">
      <c r="A670" s="158"/>
      <c r="B670" s="158"/>
      <c r="C670" s="158"/>
      <c r="D670" s="158"/>
      <c r="E670" s="158"/>
      <c r="F670" s="158"/>
      <c r="G670" s="99"/>
      <c r="H670" s="158"/>
      <c r="I670" s="158"/>
      <c r="J670" s="158"/>
      <c r="K670" s="158"/>
      <c r="L670" s="158"/>
      <c r="M670" s="104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 ht="17.25" customHeight="1">
      <c r="A671" s="158"/>
      <c r="B671" s="158"/>
      <c r="C671" s="158"/>
      <c r="D671" s="158"/>
      <c r="E671" s="158"/>
      <c r="F671" s="158"/>
      <c r="G671" s="99"/>
      <c r="H671" s="158"/>
      <c r="I671" s="158"/>
      <c r="J671" s="158"/>
      <c r="K671" s="158"/>
      <c r="L671" s="158"/>
      <c r="M671" s="104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 ht="17.25" customHeight="1">
      <c r="A672" s="158"/>
      <c r="B672" s="158"/>
      <c r="C672" s="158"/>
      <c r="D672" s="158"/>
      <c r="E672" s="158"/>
      <c r="F672" s="158"/>
      <c r="G672" s="99"/>
      <c r="H672" s="158"/>
      <c r="I672" s="158"/>
      <c r="J672" s="158"/>
      <c r="K672" s="158"/>
      <c r="L672" s="158"/>
      <c r="M672" s="104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 ht="17.25" customHeight="1">
      <c r="A673" s="158"/>
      <c r="B673" s="158"/>
      <c r="C673" s="158"/>
      <c r="D673" s="158"/>
      <c r="E673" s="158"/>
      <c r="F673" s="158"/>
      <c r="G673" s="99"/>
      <c r="H673" s="158"/>
      <c r="I673" s="158"/>
      <c r="J673" s="158"/>
      <c r="K673" s="158"/>
      <c r="L673" s="158"/>
      <c r="M673" s="104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 ht="17.25" customHeight="1">
      <c r="A674" s="158"/>
      <c r="B674" s="158"/>
      <c r="C674" s="158"/>
      <c r="D674" s="158"/>
      <c r="E674" s="158"/>
      <c r="F674" s="158"/>
      <c r="G674" s="99"/>
      <c r="H674" s="158"/>
      <c r="I674" s="158"/>
      <c r="J674" s="158"/>
      <c r="K674" s="158"/>
      <c r="L674" s="158"/>
      <c r="M674" s="104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 ht="17.25" customHeight="1">
      <c r="A675" s="158"/>
      <c r="B675" s="158"/>
      <c r="C675" s="158"/>
      <c r="D675" s="158"/>
      <c r="E675" s="158"/>
      <c r="F675" s="158"/>
      <c r="G675" s="99"/>
      <c r="H675" s="158"/>
      <c r="I675" s="158"/>
      <c r="J675" s="158"/>
      <c r="K675" s="158"/>
      <c r="L675" s="158"/>
      <c r="M675" s="104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 ht="17.25" customHeight="1">
      <c r="A676" s="158"/>
      <c r="B676" s="158"/>
      <c r="C676" s="158"/>
      <c r="D676" s="158"/>
      <c r="E676" s="158"/>
      <c r="F676" s="158"/>
      <c r="G676" s="99"/>
      <c r="H676" s="158"/>
      <c r="I676" s="158"/>
      <c r="J676" s="158"/>
      <c r="K676" s="158"/>
      <c r="L676" s="158"/>
      <c r="M676" s="104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 ht="17.25" customHeight="1">
      <c r="A677" s="158"/>
      <c r="B677" s="158"/>
      <c r="C677" s="158"/>
      <c r="D677" s="158"/>
      <c r="E677" s="158"/>
      <c r="F677" s="158"/>
      <c r="G677" s="99"/>
      <c r="H677" s="158"/>
      <c r="I677" s="158"/>
      <c r="J677" s="158"/>
      <c r="K677" s="158"/>
      <c r="L677" s="158"/>
      <c r="M677" s="104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 ht="17.25" customHeight="1">
      <c r="A678" s="158"/>
      <c r="B678" s="158"/>
      <c r="C678" s="158"/>
      <c r="D678" s="158"/>
      <c r="E678" s="158"/>
      <c r="F678" s="158"/>
      <c r="G678" s="99"/>
      <c r="H678" s="158"/>
      <c r="I678" s="158"/>
      <c r="J678" s="158"/>
      <c r="K678" s="158"/>
      <c r="L678" s="158"/>
      <c r="M678" s="104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 ht="17.25" customHeight="1">
      <c r="A679" s="158"/>
      <c r="B679" s="158"/>
      <c r="C679" s="158"/>
      <c r="D679" s="158"/>
      <c r="E679" s="158"/>
      <c r="F679" s="158"/>
      <c r="G679" s="99"/>
      <c r="H679" s="158"/>
      <c r="I679" s="158"/>
      <c r="J679" s="158"/>
      <c r="K679" s="158"/>
      <c r="L679" s="158"/>
      <c r="M679" s="104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 ht="17.25" customHeight="1">
      <c r="A680" s="158"/>
      <c r="B680" s="158"/>
      <c r="C680" s="158"/>
      <c r="D680" s="158"/>
      <c r="E680" s="158"/>
      <c r="F680" s="158"/>
      <c r="G680" s="99"/>
      <c r="H680" s="158"/>
      <c r="I680" s="158"/>
      <c r="J680" s="158"/>
      <c r="K680" s="158"/>
      <c r="L680" s="158"/>
      <c r="M680" s="104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 ht="17.25" customHeight="1">
      <c r="A681" s="158"/>
      <c r="B681" s="158"/>
      <c r="C681" s="158"/>
      <c r="D681" s="158"/>
      <c r="E681" s="158"/>
      <c r="F681" s="158"/>
      <c r="G681" s="99"/>
      <c r="H681" s="158"/>
      <c r="I681" s="158"/>
      <c r="J681" s="158"/>
      <c r="K681" s="158"/>
      <c r="L681" s="158"/>
      <c r="M681" s="104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 ht="17.25" customHeight="1">
      <c r="A682" s="158"/>
      <c r="B682" s="158"/>
      <c r="C682" s="158"/>
      <c r="D682" s="158"/>
      <c r="E682" s="158"/>
      <c r="F682" s="158"/>
      <c r="G682" s="99"/>
      <c r="H682" s="158"/>
      <c r="I682" s="158"/>
      <c r="J682" s="158"/>
      <c r="K682" s="158"/>
      <c r="L682" s="158"/>
      <c r="M682" s="104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 ht="17.25" customHeight="1">
      <c r="A683" s="158"/>
      <c r="B683" s="158"/>
      <c r="C683" s="158"/>
      <c r="D683" s="158"/>
      <c r="E683" s="158"/>
      <c r="F683" s="158"/>
      <c r="G683" s="99"/>
      <c r="H683" s="158"/>
      <c r="I683" s="158"/>
      <c r="J683" s="158"/>
      <c r="K683" s="158"/>
      <c r="L683" s="158"/>
      <c r="M683" s="104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 ht="17.25" customHeight="1">
      <c r="A684" s="158"/>
      <c r="B684" s="158"/>
      <c r="C684" s="158"/>
      <c r="D684" s="158"/>
      <c r="E684" s="158"/>
      <c r="F684" s="158"/>
      <c r="G684" s="99"/>
      <c r="H684" s="158"/>
      <c r="I684" s="158"/>
      <c r="J684" s="158"/>
      <c r="K684" s="158"/>
      <c r="L684" s="158"/>
      <c r="M684" s="104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 ht="17.25" customHeight="1">
      <c r="A685" s="158"/>
      <c r="B685" s="158"/>
      <c r="C685" s="158"/>
      <c r="D685" s="158"/>
      <c r="E685" s="158"/>
      <c r="F685" s="158"/>
      <c r="G685" s="99"/>
      <c r="H685" s="158"/>
      <c r="I685" s="158"/>
      <c r="J685" s="158"/>
      <c r="K685" s="158"/>
      <c r="L685" s="158"/>
      <c r="M685" s="104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 ht="17.25" customHeight="1">
      <c r="A686" s="158"/>
      <c r="B686" s="158"/>
      <c r="C686" s="158"/>
      <c r="D686" s="158"/>
      <c r="E686" s="158"/>
      <c r="F686" s="158"/>
      <c r="G686" s="99"/>
      <c r="H686" s="158"/>
      <c r="I686" s="158"/>
      <c r="J686" s="158"/>
      <c r="K686" s="158"/>
      <c r="L686" s="158"/>
      <c r="M686" s="104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 ht="17.25" customHeight="1">
      <c r="A687" s="158"/>
      <c r="B687" s="158"/>
      <c r="C687" s="158"/>
      <c r="D687" s="158"/>
      <c r="E687" s="158"/>
      <c r="F687" s="158"/>
      <c r="G687" s="99"/>
      <c r="H687" s="158"/>
      <c r="I687" s="158"/>
      <c r="J687" s="158"/>
      <c r="K687" s="158"/>
      <c r="L687" s="158"/>
      <c r="M687" s="104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 ht="17.25" customHeight="1">
      <c r="A688" s="158"/>
      <c r="B688" s="158"/>
      <c r="C688" s="158"/>
      <c r="D688" s="158"/>
      <c r="E688" s="158"/>
      <c r="F688" s="158"/>
      <c r="G688" s="99"/>
      <c r="H688" s="158"/>
      <c r="I688" s="158"/>
      <c r="J688" s="158"/>
      <c r="K688" s="158"/>
      <c r="L688" s="158"/>
      <c r="M688" s="104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 ht="17.25" customHeight="1">
      <c r="A689" s="158"/>
      <c r="B689" s="158"/>
      <c r="C689" s="158"/>
      <c r="D689" s="158"/>
      <c r="E689" s="158"/>
      <c r="F689" s="158"/>
      <c r="G689" s="99"/>
      <c r="H689" s="158"/>
      <c r="I689" s="158"/>
      <c r="J689" s="158"/>
      <c r="K689" s="158"/>
      <c r="L689" s="158"/>
      <c r="M689" s="104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 ht="17.25" customHeight="1">
      <c r="A690" s="158"/>
      <c r="B690" s="158"/>
      <c r="C690" s="158"/>
      <c r="D690" s="158"/>
      <c r="E690" s="158"/>
      <c r="F690" s="158"/>
      <c r="G690" s="99"/>
      <c r="H690" s="158"/>
      <c r="I690" s="158"/>
      <c r="J690" s="158"/>
      <c r="K690" s="158"/>
      <c r="L690" s="158"/>
      <c r="M690" s="104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 ht="17.25" customHeight="1">
      <c r="A691" s="158"/>
      <c r="B691" s="158"/>
      <c r="C691" s="158"/>
      <c r="D691" s="158"/>
      <c r="E691" s="158"/>
      <c r="F691" s="158"/>
      <c r="G691" s="99"/>
      <c r="H691" s="158"/>
      <c r="I691" s="158"/>
      <c r="J691" s="158"/>
      <c r="K691" s="158"/>
      <c r="L691" s="158"/>
      <c r="M691" s="104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 ht="17.25" customHeight="1">
      <c r="A692" s="158"/>
      <c r="B692" s="158"/>
      <c r="C692" s="158"/>
      <c r="D692" s="158"/>
      <c r="E692" s="158"/>
      <c r="F692" s="158"/>
      <c r="G692" s="99"/>
      <c r="H692" s="158"/>
      <c r="I692" s="158"/>
      <c r="J692" s="158"/>
      <c r="K692" s="158"/>
      <c r="L692" s="158"/>
      <c r="M692" s="104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 ht="17.25" customHeight="1">
      <c r="A693" s="158"/>
      <c r="B693" s="158"/>
      <c r="C693" s="158"/>
      <c r="D693" s="158"/>
      <c r="E693" s="158"/>
      <c r="F693" s="158"/>
      <c r="G693" s="99"/>
      <c r="H693" s="158"/>
      <c r="I693" s="158"/>
      <c r="J693" s="158"/>
      <c r="K693" s="158"/>
      <c r="L693" s="158"/>
      <c r="M693" s="104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 ht="17.25" customHeight="1">
      <c r="A694" s="158"/>
      <c r="B694" s="158"/>
      <c r="C694" s="158"/>
      <c r="D694" s="158"/>
      <c r="E694" s="158"/>
      <c r="F694" s="158"/>
      <c r="G694" s="99"/>
      <c r="H694" s="158"/>
      <c r="I694" s="158"/>
      <c r="J694" s="158"/>
      <c r="K694" s="158"/>
      <c r="L694" s="158"/>
      <c r="M694" s="104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 ht="17.25" customHeight="1">
      <c r="A695" s="158"/>
      <c r="B695" s="158"/>
      <c r="C695" s="158"/>
      <c r="D695" s="158"/>
      <c r="E695" s="158"/>
      <c r="F695" s="158"/>
      <c r="G695" s="99"/>
      <c r="H695" s="158"/>
      <c r="I695" s="158"/>
      <c r="J695" s="158"/>
      <c r="K695" s="158"/>
      <c r="L695" s="158"/>
      <c r="M695" s="104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 ht="17.25" customHeight="1">
      <c r="A696" s="158"/>
      <c r="B696" s="158"/>
      <c r="C696" s="158"/>
      <c r="D696" s="158"/>
      <c r="E696" s="158"/>
      <c r="F696" s="158"/>
      <c r="G696" s="99"/>
      <c r="H696" s="158"/>
      <c r="I696" s="158"/>
      <c r="J696" s="158"/>
      <c r="K696" s="158"/>
      <c r="L696" s="158"/>
      <c r="M696" s="104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 ht="17.25" customHeight="1">
      <c r="A697" s="158"/>
      <c r="B697" s="158"/>
      <c r="C697" s="158"/>
      <c r="D697" s="158"/>
      <c r="E697" s="158"/>
      <c r="F697" s="158"/>
      <c r="G697" s="99"/>
      <c r="H697" s="158"/>
      <c r="I697" s="158"/>
      <c r="J697" s="158"/>
      <c r="K697" s="158"/>
      <c r="L697" s="158"/>
      <c r="M697" s="104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 ht="17.25" customHeight="1">
      <c r="A698" s="158"/>
      <c r="B698" s="158"/>
      <c r="C698" s="158"/>
      <c r="D698" s="158"/>
      <c r="E698" s="158"/>
      <c r="F698" s="158"/>
      <c r="G698" s="99"/>
      <c r="H698" s="158"/>
      <c r="I698" s="158"/>
      <c r="J698" s="158"/>
      <c r="K698" s="158"/>
      <c r="L698" s="158"/>
      <c r="M698" s="104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 ht="17.25" customHeight="1">
      <c r="A699" s="158"/>
      <c r="B699" s="158"/>
      <c r="C699" s="158"/>
      <c r="D699" s="158"/>
      <c r="E699" s="158"/>
      <c r="F699" s="158"/>
      <c r="G699" s="99"/>
      <c r="H699" s="158"/>
      <c r="I699" s="158"/>
      <c r="J699" s="158"/>
      <c r="K699" s="158"/>
      <c r="L699" s="158"/>
      <c r="M699" s="104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 ht="17.25" customHeight="1">
      <c r="A700" s="158"/>
      <c r="B700" s="158"/>
      <c r="C700" s="158"/>
      <c r="D700" s="158"/>
      <c r="E700" s="158"/>
      <c r="F700" s="158"/>
      <c r="G700" s="99"/>
      <c r="H700" s="158"/>
      <c r="I700" s="158"/>
      <c r="J700" s="158"/>
      <c r="K700" s="158"/>
      <c r="L700" s="158"/>
      <c r="M700" s="104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 ht="17.25" customHeight="1">
      <c r="A701" s="158"/>
      <c r="B701" s="158"/>
      <c r="C701" s="158"/>
      <c r="D701" s="158"/>
      <c r="E701" s="158"/>
      <c r="F701" s="158"/>
      <c r="G701" s="99"/>
      <c r="H701" s="158"/>
      <c r="I701" s="158"/>
      <c r="J701" s="158"/>
      <c r="K701" s="158"/>
      <c r="L701" s="158"/>
      <c r="M701" s="104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 ht="17.25" customHeight="1">
      <c r="A702" s="158"/>
      <c r="B702" s="158"/>
      <c r="C702" s="158"/>
      <c r="D702" s="158"/>
      <c r="E702" s="158"/>
      <c r="F702" s="158"/>
      <c r="G702" s="99"/>
      <c r="H702" s="158"/>
      <c r="I702" s="158"/>
      <c r="J702" s="158"/>
      <c r="K702" s="158"/>
      <c r="L702" s="158"/>
      <c r="M702" s="104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 ht="17.25" customHeight="1">
      <c r="A703" s="158"/>
      <c r="B703" s="158"/>
      <c r="C703" s="158"/>
      <c r="D703" s="158"/>
      <c r="E703" s="158"/>
      <c r="F703" s="158"/>
      <c r="G703" s="99"/>
      <c r="H703" s="158"/>
      <c r="I703" s="158"/>
      <c r="J703" s="158"/>
      <c r="K703" s="158"/>
      <c r="L703" s="158"/>
      <c r="M703" s="104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 ht="17.25" customHeight="1">
      <c r="A704" s="158"/>
      <c r="B704" s="158"/>
      <c r="C704" s="158"/>
      <c r="D704" s="158"/>
      <c r="E704" s="158"/>
      <c r="F704" s="158"/>
      <c r="G704" s="99"/>
      <c r="H704" s="158"/>
      <c r="I704" s="158"/>
      <c r="J704" s="158"/>
      <c r="K704" s="158"/>
      <c r="L704" s="158"/>
      <c r="M704" s="104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 ht="17.25" customHeight="1">
      <c r="A705" s="158"/>
      <c r="B705" s="158"/>
      <c r="C705" s="158"/>
      <c r="D705" s="158"/>
      <c r="E705" s="158"/>
      <c r="F705" s="158"/>
      <c r="G705" s="99"/>
      <c r="H705" s="158"/>
      <c r="I705" s="158"/>
      <c r="J705" s="158"/>
      <c r="K705" s="158"/>
      <c r="L705" s="158"/>
      <c r="M705" s="104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 ht="17.25" customHeight="1">
      <c r="A706" s="158"/>
      <c r="B706" s="158"/>
      <c r="C706" s="158"/>
      <c r="D706" s="158"/>
      <c r="E706" s="158"/>
      <c r="F706" s="158"/>
      <c r="G706" s="99"/>
      <c r="H706" s="158"/>
      <c r="I706" s="158"/>
      <c r="J706" s="158"/>
      <c r="K706" s="158"/>
      <c r="L706" s="158"/>
      <c r="M706" s="104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 ht="17.25" customHeight="1">
      <c r="A707" s="158"/>
      <c r="B707" s="158"/>
      <c r="C707" s="158"/>
      <c r="D707" s="158"/>
      <c r="E707" s="158"/>
      <c r="F707" s="158"/>
      <c r="G707" s="99"/>
      <c r="H707" s="158"/>
      <c r="I707" s="158"/>
      <c r="J707" s="158"/>
      <c r="K707" s="158"/>
      <c r="L707" s="158"/>
      <c r="M707" s="104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 ht="17.25" customHeight="1">
      <c r="A708" s="158"/>
      <c r="B708" s="158"/>
      <c r="C708" s="158"/>
      <c r="D708" s="158"/>
      <c r="E708" s="158"/>
      <c r="F708" s="158"/>
      <c r="G708" s="99"/>
      <c r="H708" s="158"/>
      <c r="I708" s="158"/>
      <c r="J708" s="158"/>
      <c r="K708" s="158"/>
      <c r="L708" s="158"/>
      <c r="M708" s="104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 ht="17.25" customHeight="1">
      <c r="A709" s="158"/>
      <c r="B709" s="158"/>
      <c r="C709" s="158"/>
      <c r="D709" s="158"/>
      <c r="E709" s="158"/>
      <c r="F709" s="158"/>
      <c r="G709" s="99"/>
      <c r="H709" s="158"/>
      <c r="I709" s="158"/>
      <c r="J709" s="158"/>
      <c r="K709" s="158"/>
      <c r="L709" s="158"/>
      <c r="M709" s="104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 ht="17.25" customHeight="1">
      <c r="A710" s="158"/>
      <c r="B710" s="158"/>
      <c r="C710" s="158"/>
      <c r="D710" s="158"/>
      <c r="E710" s="158"/>
      <c r="F710" s="158"/>
      <c r="G710" s="99"/>
      <c r="H710" s="158"/>
      <c r="I710" s="158"/>
      <c r="J710" s="158"/>
      <c r="K710" s="158"/>
      <c r="L710" s="158"/>
      <c r="M710" s="104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 ht="17.25" customHeight="1">
      <c r="A711" s="158"/>
      <c r="B711" s="158"/>
      <c r="C711" s="158"/>
      <c r="D711" s="158"/>
      <c r="E711" s="158"/>
      <c r="F711" s="158"/>
      <c r="G711" s="99"/>
      <c r="H711" s="158"/>
      <c r="I711" s="158"/>
      <c r="J711" s="158"/>
      <c r="K711" s="158"/>
      <c r="L711" s="158"/>
      <c r="M711" s="104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 ht="17.25" customHeight="1">
      <c r="A712" s="158"/>
      <c r="B712" s="158"/>
      <c r="C712" s="158"/>
      <c r="D712" s="158"/>
      <c r="E712" s="158"/>
      <c r="F712" s="158"/>
      <c r="G712" s="99"/>
      <c r="H712" s="158"/>
      <c r="I712" s="158"/>
      <c r="J712" s="158"/>
      <c r="K712" s="158"/>
      <c r="L712" s="158"/>
      <c r="M712" s="104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 ht="17.25" customHeight="1">
      <c r="A713" s="158"/>
      <c r="B713" s="158"/>
      <c r="C713" s="158"/>
      <c r="D713" s="158"/>
      <c r="E713" s="158"/>
      <c r="F713" s="158"/>
      <c r="G713" s="99"/>
      <c r="H713" s="158"/>
      <c r="I713" s="158"/>
      <c r="J713" s="158"/>
      <c r="K713" s="158"/>
      <c r="L713" s="158"/>
      <c r="M713" s="104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 ht="17.25" customHeight="1">
      <c r="A714" s="158"/>
      <c r="B714" s="158"/>
      <c r="C714" s="158"/>
      <c r="D714" s="158"/>
      <c r="E714" s="158"/>
      <c r="F714" s="158"/>
      <c r="G714" s="99"/>
      <c r="H714" s="158"/>
      <c r="I714" s="158"/>
      <c r="J714" s="158"/>
      <c r="K714" s="158"/>
      <c r="L714" s="158"/>
      <c r="M714" s="104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 ht="17.25" customHeight="1">
      <c r="A715" s="158"/>
      <c r="B715" s="158"/>
      <c r="C715" s="158"/>
      <c r="D715" s="158"/>
      <c r="E715" s="158"/>
      <c r="F715" s="158"/>
      <c r="G715" s="99"/>
      <c r="H715" s="158"/>
      <c r="I715" s="158"/>
      <c r="J715" s="158"/>
      <c r="K715" s="158"/>
      <c r="L715" s="158"/>
      <c r="M715" s="104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 ht="17.25" customHeight="1">
      <c r="A716" s="158"/>
      <c r="B716" s="158"/>
      <c r="C716" s="158"/>
      <c r="D716" s="158"/>
      <c r="E716" s="158"/>
      <c r="F716" s="158"/>
      <c r="G716" s="99"/>
      <c r="H716" s="158"/>
      <c r="I716" s="158"/>
      <c r="J716" s="158"/>
      <c r="K716" s="158"/>
      <c r="L716" s="158"/>
      <c r="M716" s="104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 ht="17.25" customHeight="1">
      <c r="A717" s="158"/>
      <c r="B717" s="158"/>
      <c r="C717" s="158"/>
      <c r="D717" s="158"/>
      <c r="E717" s="158"/>
      <c r="F717" s="158"/>
      <c r="G717" s="99"/>
      <c r="H717" s="158"/>
      <c r="I717" s="158"/>
      <c r="J717" s="158"/>
      <c r="K717" s="158"/>
      <c r="L717" s="158"/>
      <c r="M717" s="104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 ht="17.25" customHeight="1">
      <c r="A718" s="158"/>
      <c r="B718" s="158"/>
      <c r="C718" s="158"/>
      <c r="D718" s="158"/>
      <c r="E718" s="158"/>
      <c r="F718" s="158"/>
      <c r="G718" s="99"/>
      <c r="H718" s="158"/>
      <c r="I718" s="158"/>
      <c r="J718" s="158"/>
      <c r="K718" s="158"/>
      <c r="L718" s="158"/>
      <c r="M718" s="104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 ht="17.25" customHeight="1">
      <c r="A719" s="158"/>
      <c r="B719" s="158"/>
      <c r="C719" s="158"/>
      <c r="D719" s="158"/>
      <c r="E719" s="158"/>
      <c r="F719" s="158"/>
      <c r="G719" s="99"/>
      <c r="H719" s="158"/>
      <c r="I719" s="158"/>
      <c r="J719" s="158"/>
      <c r="K719" s="158"/>
      <c r="L719" s="158"/>
      <c r="M719" s="104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 ht="17.25" customHeight="1">
      <c r="A720" s="158"/>
      <c r="B720" s="158"/>
      <c r="C720" s="158"/>
      <c r="D720" s="158"/>
      <c r="E720" s="158"/>
      <c r="F720" s="158"/>
      <c r="G720" s="99"/>
      <c r="H720" s="158"/>
      <c r="I720" s="158"/>
      <c r="J720" s="158"/>
      <c r="K720" s="158"/>
      <c r="L720" s="158"/>
      <c r="M720" s="104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 ht="17.25" customHeight="1">
      <c r="A721" s="158"/>
      <c r="B721" s="158"/>
      <c r="C721" s="158"/>
      <c r="D721" s="158"/>
      <c r="E721" s="158"/>
      <c r="F721" s="158"/>
      <c r="G721" s="99"/>
      <c r="H721" s="158"/>
      <c r="I721" s="158"/>
      <c r="J721" s="158"/>
      <c r="K721" s="158"/>
      <c r="L721" s="158"/>
      <c r="M721" s="104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 ht="17.25" customHeight="1">
      <c r="A722" s="158"/>
      <c r="B722" s="158"/>
      <c r="C722" s="158"/>
      <c r="D722" s="158"/>
      <c r="E722" s="158"/>
      <c r="F722" s="158"/>
      <c r="G722" s="99"/>
      <c r="H722" s="158"/>
      <c r="I722" s="158"/>
      <c r="J722" s="158"/>
      <c r="K722" s="158"/>
      <c r="L722" s="158"/>
      <c r="M722" s="104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 ht="17.25" customHeight="1">
      <c r="A723" s="158"/>
      <c r="B723" s="158"/>
      <c r="C723" s="158"/>
      <c r="D723" s="158"/>
      <c r="E723" s="158"/>
      <c r="F723" s="158"/>
      <c r="G723" s="99"/>
      <c r="H723" s="158"/>
      <c r="I723" s="158"/>
      <c r="J723" s="158"/>
      <c r="K723" s="158"/>
      <c r="L723" s="158"/>
      <c r="M723" s="104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 ht="17.25" customHeight="1">
      <c r="A724" s="158"/>
      <c r="B724" s="158"/>
      <c r="C724" s="158"/>
      <c r="D724" s="158"/>
      <c r="E724" s="158"/>
      <c r="F724" s="158"/>
      <c r="G724" s="99"/>
      <c r="H724" s="158"/>
      <c r="I724" s="158"/>
      <c r="J724" s="158"/>
      <c r="K724" s="158"/>
      <c r="L724" s="158"/>
      <c r="M724" s="104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 ht="17.25" customHeight="1">
      <c r="A725" s="158"/>
      <c r="B725" s="158"/>
      <c r="C725" s="158"/>
      <c r="D725" s="158"/>
      <c r="E725" s="158"/>
      <c r="F725" s="158"/>
      <c r="G725" s="99"/>
      <c r="H725" s="158"/>
      <c r="I725" s="158"/>
      <c r="J725" s="158"/>
      <c r="K725" s="158"/>
      <c r="L725" s="158"/>
      <c r="M725" s="104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 ht="17.25" customHeight="1">
      <c r="A726" s="158"/>
      <c r="B726" s="158"/>
      <c r="C726" s="158"/>
      <c r="D726" s="158"/>
      <c r="E726" s="158"/>
      <c r="F726" s="158"/>
      <c r="G726" s="99"/>
      <c r="H726" s="158"/>
      <c r="I726" s="158"/>
      <c r="J726" s="158"/>
      <c r="K726" s="158"/>
      <c r="L726" s="158"/>
      <c r="M726" s="104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 ht="17.25" customHeight="1">
      <c r="A727" s="158"/>
      <c r="B727" s="158"/>
      <c r="C727" s="158"/>
      <c r="D727" s="158"/>
      <c r="E727" s="158"/>
      <c r="F727" s="158"/>
      <c r="G727" s="99"/>
      <c r="H727" s="158"/>
      <c r="I727" s="158"/>
      <c r="J727" s="158"/>
      <c r="K727" s="158"/>
      <c r="L727" s="158"/>
      <c r="M727" s="104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 ht="17.25" customHeight="1">
      <c r="A728" s="158"/>
      <c r="B728" s="158"/>
      <c r="C728" s="158"/>
      <c r="D728" s="158"/>
      <c r="E728" s="158"/>
      <c r="F728" s="158"/>
      <c r="G728" s="99"/>
      <c r="H728" s="158"/>
      <c r="I728" s="158"/>
      <c r="J728" s="158"/>
      <c r="K728" s="158"/>
      <c r="L728" s="158"/>
      <c r="M728" s="104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 ht="17.25" customHeight="1">
      <c r="A729" s="158"/>
      <c r="B729" s="158"/>
      <c r="C729" s="158"/>
      <c r="D729" s="158"/>
      <c r="E729" s="158"/>
      <c r="F729" s="158"/>
      <c r="G729" s="99"/>
      <c r="H729" s="158"/>
      <c r="I729" s="158"/>
      <c r="J729" s="158"/>
      <c r="K729" s="158"/>
      <c r="L729" s="158"/>
      <c r="M729" s="104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 ht="17.25" customHeight="1">
      <c r="A730" s="158"/>
      <c r="B730" s="158"/>
      <c r="C730" s="158"/>
      <c r="D730" s="158"/>
      <c r="E730" s="158"/>
      <c r="F730" s="158"/>
      <c r="G730" s="99"/>
      <c r="H730" s="158"/>
      <c r="I730" s="158"/>
      <c r="J730" s="158"/>
      <c r="K730" s="158"/>
      <c r="L730" s="158"/>
      <c r="M730" s="104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 ht="17.25" customHeight="1">
      <c r="A731" s="158"/>
      <c r="B731" s="158"/>
      <c r="C731" s="158"/>
      <c r="D731" s="158"/>
      <c r="E731" s="158"/>
      <c r="F731" s="158"/>
      <c r="G731" s="99"/>
      <c r="H731" s="158"/>
      <c r="I731" s="158"/>
      <c r="J731" s="158"/>
      <c r="K731" s="158"/>
      <c r="L731" s="158"/>
      <c r="M731" s="104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 ht="17.25" customHeight="1">
      <c r="A732" s="158"/>
      <c r="B732" s="158"/>
      <c r="C732" s="158"/>
      <c r="D732" s="158"/>
      <c r="E732" s="158"/>
      <c r="F732" s="158"/>
      <c r="G732" s="99"/>
      <c r="H732" s="158"/>
      <c r="I732" s="158"/>
      <c r="J732" s="158"/>
      <c r="K732" s="158"/>
      <c r="L732" s="158"/>
      <c r="M732" s="104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 ht="17.25" customHeight="1">
      <c r="A733" s="158"/>
      <c r="B733" s="158"/>
      <c r="C733" s="158"/>
      <c r="D733" s="158"/>
      <c r="E733" s="158"/>
      <c r="F733" s="158"/>
      <c r="G733" s="99"/>
      <c r="H733" s="158"/>
      <c r="I733" s="158"/>
      <c r="J733" s="158"/>
      <c r="K733" s="158"/>
      <c r="L733" s="158"/>
      <c r="M733" s="104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 ht="17.25" customHeight="1">
      <c r="A734" s="158"/>
      <c r="B734" s="158"/>
      <c r="C734" s="158"/>
      <c r="D734" s="158"/>
      <c r="E734" s="158"/>
      <c r="F734" s="158"/>
      <c r="G734" s="99"/>
      <c r="H734" s="158"/>
      <c r="I734" s="158"/>
      <c r="J734" s="158"/>
      <c r="K734" s="158"/>
      <c r="L734" s="158"/>
      <c r="M734" s="104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 ht="17.25" customHeight="1">
      <c r="A735" s="158"/>
      <c r="B735" s="158"/>
      <c r="C735" s="158"/>
      <c r="D735" s="158"/>
      <c r="E735" s="158"/>
      <c r="F735" s="158"/>
      <c r="G735" s="99"/>
      <c r="H735" s="158"/>
      <c r="I735" s="158"/>
      <c r="J735" s="158"/>
      <c r="K735" s="158"/>
      <c r="L735" s="158"/>
      <c r="M735" s="104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 ht="17.25" customHeight="1">
      <c r="A736" s="158"/>
      <c r="B736" s="158"/>
      <c r="C736" s="158"/>
      <c r="D736" s="158"/>
      <c r="E736" s="158"/>
      <c r="F736" s="158"/>
      <c r="G736" s="99"/>
      <c r="H736" s="158"/>
      <c r="I736" s="158"/>
      <c r="J736" s="158"/>
      <c r="K736" s="158"/>
      <c r="L736" s="158"/>
      <c r="M736" s="104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 ht="17.25" customHeight="1">
      <c r="A737" s="158"/>
      <c r="B737" s="158"/>
      <c r="C737" s="158"/>
      <c r="D737" s="158"/>
      <c r="E737" s="158"/>
      <c r="F737" s="158"/>
      <c r="G737" s="99"/>
      <c r="H737" s="158"/>
      <c r="I737" s="158"/>
      <c r="J737" s="158"/>
      <c r="K737" s="158"/>
      <c r="L737" s="158"/>
      <c r="M737" s="104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 ht="17.25" customHeight="1">
      <c r="A738" s="158"/>
      <c r="B738" s="158"/>
      <c r="C738" s="158"/>
      <c r="D738" s="158"/>
      <c r="E738" s="158"/>
      <c r="F738" s="158"/>
      <c r="G738" s="99"/>
      <c r="H738" s="158"/>
      <c r="I738" s="158"/>
      <c r="J738" s="158"/>
      <c r="K738" s="158"/>
      <c r="L738" s="158"/>
      <c r="M738" s="104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 ht="17.25" customHeight="1">
      <c r="A739" s="158"/>
      <c r="B739" s="158"/>
      <c r="C739" s="158"/>
      <c r="D739" s="158"/>
      <c r="E739" s="158"/>
      <c r="F739" s="158"/>
      <c r="G739" s="99"/>
      <c r="H739" s="158"/>
      <c r="I739" s="158"/>
      <c r="J739" s="158"/>
      <c r="K739" s="158"/>
      <c r="L739" s="158"/>
      <c r="M739" s="104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 ht="17.25" customHeight="1">
      <c r="A740" s="158"/>
      <c r="B740" s="158"/>
      <c r="C740" s="158"/>
      <c r="D740" s="158"/>
      <c r="E740" s="158"/>
      <c r="F740" s="158"/>
      <c r="G740" s="99"/>
      <c r="H740" s="158"/>
      <c r="I740" s="158"/>
      <c r="J740" s="158"/>
      <c r="K740" s="158"/>
      <c r="L740" s="158"/>
      <c r="M740" s="104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 ht="17.25" customHeight="1">
      <c r="A741" s="158"/>
      <c r="B741" s="158"/>
      <c r="C741" s="158"/>
      <c r="D741" s="158"/>
      <c r="E741" s="158"/>
      <c r="F741" s="158"/>
      <c r="G741" s="99"/>
      <c r="H741" s="158"/>
      <c r="I741" s="158"/>
      <c r="J741" s="158"/>
      <c r="K741" s="158"/>
      <c r="L741" s="158"/>
      <c r="M741" s="104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 ht="17.25" customHeight="1">
      <c r="A742" s="158"/>
      <c r="B742" s="158"/>
      <c r="C742" s="158"/>
      <c r="D742" s="158"/>
      <c r="E742" s="158"/>
      <c r="F742" s="158"/>
      <c r="G742" s="99"/>
      <c r="H742" s="158"/>
      <c r="I742" s="158"/>
      <c r="J742" s="158"/>
      <c r="K742" s="158"/>
      <c r="L742" s="158"/>
      <c r="M742" s="104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 ht="17.25" customHeight="1">
      <c r="A743" s="158"/>
      <c r="B743" s="158"/>
      <c r="C743" s="158"/>
      <c r="D743" s="158"/>
      <c r="E743" s="158"/>
      <c r="F743" s="158"/>
      <c r="G743" s="99"/>
      <c r="H743" s="158"/>
      <c r="I743" s="158"/>
      <c r="J743" s="158"/>
      <c r="K743" s="158"/>
      <c r="L743" s="158"/>
      <c r="M743" s="104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 ht="17.25" customHeight="1">
      <c r="A744" s="158"/>
      <c r="B744" s="158"/>
      <c r="C744" s="158"/>
      <c r="D744" s="158"/>
      <c r="E744" s="158"/>
      <c r="F744" s="158"/>
      <c r="G744" s="99"/>
      <c r="H744" s="158"/>
      <c r="I744" s="158"/>
      <c r="J744" s="158"/>
      <c r="K744" s="158"/>
      <c r="L744" s="158"/>
      <c r="M744" s="104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 ht="17.25" customHeight="1">
      <c r="A745" s="158"/>
      <c r="B745" s="158"/>
      <c r="C745" s="158"/>
      <c r="D745" s="158"/>
      <c r="E745" s="158"/>
      <c r="F745" s="158"/>
      <c r="G745" s="99"/>
      <c r="H745" s="158"/>
      <c r="I745" s="158"/>
      <c r="J745" s="158"/>
      <c r="K745" s="158"/>
      <c r="L745" s="158"/>
      <c r="M745" s="104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 ht="17.25" customHeight="1">
      <c r="A746" s="158"/>
      <c r="B746" s="158"/>
      <c r="C746" s="158"/>
      <c r="D746" s="158"/>
      <c r="E746" s="158"/>
      <c r="F746" s="158"/>
      <c r="G746" s="99"/>
      <c r="H746" s="158"/>
      <c r="I746" s="158"/>
      <c r="J746" s="158"/>
      <c r="K746" s="158"/>
      <c r="L746" s="158"/>
      <c r="M746" s="104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 ht="17.25" customHeight="1">
      <c r="A747" s="158"/>
      <c r="B747" s="158"/>
      <c r="C747" s="158"/>
      <c r="D747" s="158"/>
      <c r="E747" s="158"/>
      <c r="F747" s="158"/>
      <c r="G747" s="99"/>
      <c r="H747" s="158"/>
      <c r="I747" s="158"/>
      <c r="J747" s="158"/>
      <c r="K747" s="158"/>
      <c r="L747" s="158"/>
      <c r="M747" s="104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 ht="17.25" customHeight="1">
      <c r="A748" s="158"/>
      <c r="B748" s="158"/>
      <c r="C748" s="158"/>
      <c r="D748" s="158"/>
      <c r="E748" s="158"/>
      <c r="F748" s="158"/>
      <c r="G748" s="99"/>
      <c r="H748" s="158"/>
      <c r="I748" s="158"/>
      <c r="J748" s="158"/>
      <c r="K748" s="158"/>
      <c r="L748" s="158"/>
      <c r="M748" s="104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 ht="17.25" customHeight="1">
      <c r="A749" s="158"/>
      <c r="B749" s="158"/>
      <c r="C749" s="158"/>
      <c r="D749" s="158"/>
      <c r="E749" s="158"/>
      <c r="F749" s="158"/>
      <c r="G749" s="99"/>
      <c r="H749" s="158"/>
      <c r="I749" s="158"/>
      <c r="J749" s="158"/>
      <c r="K749" s="158"/>
      <c r="L749" s="158"/>
      <c r="M749" s="104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 ht="17.25" customHeight="1">
      <c r="A750" s="158"/>
      <c r="B750" s="158"/>
      <c r="C750" s="158"/>
      <c r="D750" s="158"/>
      <c r="E750" s="158"/>
      <c r="F750" s="158"/>
      <c r="G750" s="99"/>
      <c r="H750" s="158"/>
      <c r="I750" s="158"/>
      <c r="J750" s="158"/>
      <c r="K750" s="158"/>
      <c r="L750" s="158"/>
      <c r="M750" s="104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 ht="17.25" customHeight="1">
      <c r="A751" s="158"/>
      <c r="B751" s="158"/>
      <c r="C751" s="158"/>
      <c r="D751" s="158"/>
      <c r="E751" s="158"/>
      <c r="F751" s="158"/>
      <c r="G751" s="99"/>
      <c r="H751" s="158"/>
      <c r="I751" s="158"/>
      <c r="J751" s="158"/>
      <c r="K751" s="158"/>
      <c r="L751" s="158"/>
      <c r="M751" s="104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 ht="17.25" customHeight="1">
      <c r="A752" s="158"/>
      <c r="B752" s="158"/>
      <c r="C752" s="158"/>
      <c r="D752" s="158"/>
      <c r="E752" s="158"/>
      <c r="F752" s="158"/>
      <c r="G752" s="99"/>
      <c r="H752" s="158"/>
      <c r="I752" s="158"/>
      <c r="J752" s="158"/>
      <c r="K752" s="158"/>
      <c r="L752" s="158"/>
      <c r="M752" s="104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 ht="17.25" customHeight="1">
      <c r="A753" s="158"/>
      <c r="B753" s="158"/>
      <c r="C753" s="158"/>
      <c r="D753" s="158"/>
      <c r="E753" s="158"/>
      <c r="F753" s="158"/>
      <c r="G753" s="99"/>
      <c r="H753" s="158"/>
      <c r="I753" s="158"/>
      <c r="J753" s="158"/>
      <c r="K753" s="158"/>
      <c r="L753" s="158"/>
      <c r="M753" s="104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 ht="17.25" customHeight="1">
      <c r="A754" s="158"/>
      <c r="B754" s="158"/>
      <c r="C754" s="158"/>
      <c r="D754" s="158"/>
      <c r="E754" s="158"/>
      <c r="F754" s="158"/>
      <c r="G754" s="99"/>
      <c r="H754" s="158"/>
      <c r="I754" s="158"/>
      <c r="J754" s="158"/>
      <c r="K754" s="158"/>
      <c r="L754" s="158"/>
      <c r="M754" s="104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 ht="17.25" customHeight="1">
      <c r="A755" s="158"/>
      <c r="B755" s="158"/>
      <c r="C755" s="158"/>
      <c r="D755" s="158"/>
      <c r="E755" s="158"/>
      <c r="F755" s="158"/>
      <c r="G755" s="99"/>
      <c r="H755" s="158"/>
      <c r="I755" s="158"/>
      <c r="J755" s="158"/>
      <c r="K755" s="158"/>
      <c r="L755" s="158"/>
      <c r="M755" s="104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 ht="17.25" customHeight="1">
      <c r="A756" s="158"/>
      <c r="B756" s="158"/>
      <c r="C756" s="158"/>
      <c r="D756" s="158"/>
      <c r="E756" s="158"/>
      <c r="F756" s="158"/>
      <c r="G756" s="99"/>
      <c r="H756" s="158"/>
      <c r="I756" s="158"/>
      <c r="J756" s="158"/>
      <c r="K756" s="158"/>
      <c r="L756" s="158"/>
      <c r="M756" s="104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 ht="17.25" customHeight="1">
      <c r="A757" s="158"/>
      <c r="B757" s="158"/>
      <c r="C757" s="158"/>
      <c r="D757" s="158"/>
      <c r="E757" s="158"/>
      <c r="F757" s="158"/>
      <c r="G757" s="99"/>
      <c r="H757" s="158"/>
      <c r="I757" s="158"/>
      <c r="J757" s="158"/>
      <c r="K757" s="158"/>
      <c r="L757" s="158"/>
      <c r="M757" s="104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 ht="17.25" customHeight="1">
      <c r="A758" s="158"/>
      <c r="B758" s="158"/>
      <c r="C758" s="158"/>
      <c r="D758" s="158"/>
      <c r="E758" s="158"/>
      <c r="F758" s="158"/>
      <c r="G758" s="99"/>
      <c r="H758" s="158"/>
      <c r="I758" s="158"/>
      <c r="J758" s="158"/>
      <c r="K758" s="158"/>
      <c r="L758" s="158"/>
      <c r="M758" s="104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 ht="17.25" customHeight="1">
      <c r="A759" s="158"/>
      <c r="B759" s="158"/>
      <c r="C759" s="158"/>
      <c r="D759" s="158"/>
      <c r="E759" s="158"/>
      <c r="F759" s="158"/>
      <c r="G759" s="99"/>
      <c r="H759" s="158"/>
      <c r="I759" s="158"/>
      <c r="J759" s="158"/>
      <c r="K759" s="158"/>
      <c r="L759" s="158"/>
      <c r="M759" s="104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 ht="17.25" customHeight="1">
      <c r="A760" s="158"/>
      <c r="B760" s="158"/>
      <c r="C760" s="158"/>
      <c r="D760" s="158"/>
      <c r="E760" s="158"/>
      <c r="F760" s="158"/>
      <c r="G760" s="99"/>
      <c r="H760" s="158"/>
      <c r="I760" s="158"/>
      <c r="J760" s="158"/>
      <c r="K760" s="158"/>
      <c r="L760" s="158"/>
      <c r="M760" s="104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 ht="17.25" customHeight="1">
      <c r="A761" s="158"/>
      <c r="B761" s="158"/>
      <c r="C761" s="158"/>
      <c r="D761" s="158"/>
      <c r="E761" s="158"/>
      <c r="F761" s="158"/>
      <c r="G761" s="99"/>
      <c r="H761" s="158"/>
      <c r="I761" s="158"/>
      <c r="J761" s="158"/>
      <c r="K761" s="158"/>
      <c r="L761" s="158"/>
      <c r="M761" s="104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 ht="17.25" customHeight="1">
      <c r="A762" s="158"/>
      <c r="B762" s="158"/>
      <c r="C762" s="158"/>
      <c r="D762" s="158"/>
      <c r="E762" s="158"/>
      <c r="F762" s="158"/>
      <c r="G762" s="99"/>
      <c r="H762" s="158"/>
      <c r="I762" s="158"/>
      <c r="J762" s="158"/>
      <c r="K762" s="158"/>
      <c r="L762" s="158"/>
      <c r="M762" s="104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 ht="17.25" customHeight="1">
      <c r="A763" s="158"/>
      <c r="B763" s="158"/>
      <c r="C763" s="158"/>
      <c r="D763" s="158"/>
      <c r="E763" s="158"/>
      <c r="F763" s="158"/>
      <c r="G763" s="99"/>
      <c r="H763" s="158"/>
      <c r="I763" s="158"/>
      <c r="J763" s="158"/>
      <c r="K763" s="158"/>
      <c r="L763" s="158"/>
      <c r="M763" s="104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 ht="17.25" customHeight="1">
      <c r="A764" s="158"/>
      <c r="B764" s="158"/>
      <c r="C764" s="158"/>
      <c r="D764" s="158"/>
      <c r="E764" s="158"/>
      <c r="F764" s="158"/>
      <c r="G764" s="99"/>
      <c r="H764" s="158"/>
      <c r="I764" s="158"/>
      <c r="J764" s="158"/>
      <c r="K764" s="158"/>
      <c r="L764" s="158"/>
      <c r="M764" s="104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 ht="17.25" customHeight="1">
      <c r="A765" s="158"/>
      <c r="B765" s="158"/>
      <c r="C765" s="158"/>
      <c r="D765" s="158"/>
      <c r="E765" s="158"/>
      <c r="F765" s="158"/>
      <c r="G765" s="99"/>
      <c r="H765" s="158"/>
      <c r="I765" s="158"/>
      <c r="J765" s="158"/>
      <c r="K765" s="158"/>
      <c r="L765" s="158"/>
      <c r="M765" s="104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 ht="17.25" customHeight="1">
      <c r="A766" s="158"/>
      <c r="B766" s="158"/>
      <c r="C766" s="158"/>
      <c r="D766" s="158"/>
      <c r="E766" s="158"/>
      <c r="F766" s="158"/>
      <c r="G766" s="99"/>
      <c r="H766" s="158"/>
      <c r="I766" s="158"/>
      <c r="J766" s="158"/>
      <c r="K766" s="158"/>
      <c r="L766" s="158"/>
      <c r="M766" s="104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 ht="17.25" customHeight="1">
      <c r="A767" s="158"/>
      <c r="B767" s="158"/>
      <c r="C767" s="158"/>
      <c r="D767" s="158"/>
      <c r="E767" s="158"/>
      <c r="F767" s="158"/>
      <c r="G767" s="99"/>
      <c r="H767" s="158"/>
      <c r="I767" s="158"/>
      <c r="J767" s="158"/>
      <c r="K767" s="158"/>
      <c r="L767" s="158"/>
      <c r="M767" s="104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 ht="17.25" customHeight="1">
      <c r="A768" s="158"/>
      <c r="B768" s="158"/>
      <c r="C768" s="158"/>
      <c r="D768" s="158"/>
      <c r="E768" s="158"/>
      <c r="F768" s="158"/>
      <c r="G768" s="99"/>
      <c r="H768" s="158"/>
      <c r="I768" s="158"/>
      <c r="J768" s="158"/>
      <c r="K768" s="158"/>
      <c r="L768" s="158"/>
      <c r="M768" s="104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 ht="17.25" customHeight="1">
      <c r="A769" s="158"/>
      <c r="B769" s="158"/>
      <c r="C769" s="158"/>
      <c r="D769" s="158"/>
      <c r="E769" s="158"/>
      <c r="F769" s="158"/>
      <c r="G769" s="99"/>
      <c r="H769" s="158"/>
      <c r="I769" s="158"/>
      <c r="J769" s="158"/>
      <c r="K769" s="158"/>
      <c r="L769" s="158"/>
      <c r="M769" s="104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 ht="17.25" customHeight="1">
      <c r="A770" s="158"/>
      <c r="B770" s="158"/>
      <c r="C770" s="158"/>
      <c r="D770" s="158"/>
      <c r="E770" s="158"/>
      <c r="F770" s="158"/>
      <c r="G770" s="99"/>
      <c r="H770" s="158"/>
      <c r="I770" s="158"/>
      <c r="J770" s="158"/>
      <c r="K770" s="158"/>
      <c r="L770" s="158"/>
      <c r="M770" s="104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 ht="17.25" customHeight="1">
      <c r="A771" s="158"/>
      <c r="B771" s="158"/>
      <c r="C771" s="158"/>
      <c r="D771" s="158"/>
      <c r="E771" s="158"/>
      <c r="F771" s="158"/>
      <c r="G771" s="99"/>
      <c r="H771" s="158"/>
      <c r="I771" s="158"/>
      <c r="J771" s="158"/>
      <c r="K771" s="158"/>
      <c r="L771" s="158"/>
      <c r="M771" s="104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 ht="17.25" customHeight="1">
      <c r="A772" s="158"/>
      <c r="B772" s="158"/>
      <c r="C772" s="158"/>
      <c r="D772" s="158"/>
      <c r="E772" s="158"/>
      <c r="F772" s="158"/>
      <c r="G772" s="99"/>
      <c r="H772" s="158"/>
      <c r="I772" s="158"/>
      <c r="J772" s="158"/>
      <c r="K772" s="158"/>
      <c r="L772" s="158"/>
      <c r="M772" s="104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 ht="17.25" customHeight="1">
      <c r="A773" s="158"/>
      <c r="B773" s="158"/>
      <c r="C773" s="158"/>
      <c r="D773" s="158"/>
      <c r="E773" s="158"/>
      <c r="F773" s="158"/>
      <c r="G773" s="99"/>
      <c r="H773" s="158"/>
      <c r="I773" s="158"/>
      <c r="J773" s="158"/>
      <c r="K773" s="158"/>
      <c r="L773" s="158"/>
      <c r="M773" s="104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 ht="17.25" customHeight="1">
      <c r="A774" s="158"/>
      <c r="B774" s="158"/>
      <c r="C774" s="158"/>
      <c r="D774" s="158"/>
      <c r="E774" s="158"/>
      <c r="F774" s="158"/>
      <c r="G774" s="99"/>
      <c r="H774" s="158"/>
      <c r="I774" s="158"/>
      <c r="J774" s="158"/>
      <c r="K774" s="158"/>
      <c r="L774" s="158"/>
      <c r="M774" s="104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 ht="17.25" customHeight="1">
      <c r="A775" s="158"/>
      <c r="B775" s="158"/>
      <c r="C775" s="158"/>
      <c r="D775" s="158"/>
      <c r="E775" s="158"/>
      <c r="F775" s="158"/>
      <c r="G775" s="99"/>
      <c r="H775" s="158"/>
      <c r="I775" s="158"/>
      <c r="J775" s="158"/>
      <c r="K775" s="158"/>
      <c r="L775" s="158"/>
      <c r="M775" s="104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 ht="17.25" customHeight="1">
      <c r="A776" s="158"/>
      <c r="B776" s="158"/>
      <c r="C776" s="158"/>
      <c r="D776" s="158"/>
      <c r="E776" s="158"/>
      <c r="F776" s="158"/>
      <c r="G776" s="99"/>
      <c r="H776" s="158"/>
      <c r="I776" s="158"/>
      <c r="J776" s="158"/>
      <c r="K776" s="158"/>
      <c r="L776" s="158"/>
      <c r="M776" s="104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 ht="17.25" customHeight="1">
      <c r="A777" s="158"/>
      <c r="B777" s="158"/>
      <c r="C777" s="158"/>
      <c r="D777" s="158"/>
      <c r="E777" s="158"/>
      <c r="F777" s="158"/>
      <c r="G777" s="99"/>
      <c r="H777" s="158"/>
      <c r="I777" s="158"/>
      <c r="J777" s="158"/>
      <c r="K777" s="158"/>
      <c r="L777" s="158"/>
      <c r="M777" s="104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 ht="17.25" customHeight="1">
      <c r="A778" s="158"/>
      <c r="B778" s="158"/>
      <c r="C778" s="158"/>
      <c r="D778" s="158"/>
      <c r="E778" s="158"/>
      <c r="F778" s="158"/>
      <c r="G778" s="99"/>
      <c r="H778" s="158"/>
      <c r="I778" s="158"/>
      <c r="J778" s="158"/>
      <c r="K778" s="158"/>
      <c r="L778" s="158"/>
      <c r="M778" s="104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 ht="17.25" customHeight="1">
      <c r="A779" s="158"/>
      <c r="B779" s="158"/>
      <c r="C779" s="158"/>
      <c r="D779" s="158"/>
      <c r="E779" s="158"/>
      <c r="F779" s="158"/>
      <c r="G779" s="99"/>
      <c r="H779" s="158"/>
      <c r="I779" s="158"/>
      <c r="J779" s="158"/>
      <c r="K779" s="158"/>
      <c r="L779" s="158"/>
      <c r="M779" s="104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 ht="17.25" customHeight="1">
      <c r="A780" s="158"/>
      <c r="B780" s="158"/>
      <c r="C780" s="158"/>
      <c r="D780" s="158"/>
      <c r="E780" s="158"/>
      <c r="F780" s="158"/>
      <c r="G780" s="99"/>
      <c r="H780" s="158"/>
      <c r="I780" s="158"/>
      <c r="J780" s="158"/>
      <c r="K780" s="158"/>
      <c r="L780" s="158"/>
      <c r="M780" s="104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 ht="17.25" customHeight="1">
      <c r="A781" s="158"/>
      <c r="B781" s="158"/>
      <c r="C781" s="158"/>
      <c r="D781" s="158"/>
      <c r="E781" s="158"/>
      <c r="F781" s="158"/>
      <c r="G781" s="99"/>
      <c r="H781" s="158"/>
      <c r="I781" s="158"/>
      <c r="J781" s="158"/>
      <c r="K781" s="158"/>
      <c r="L781" s="158"/>
      <c r="M781" s="104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 ht="17.25" customHeight="1">
      <c r="A782" s="158"/>
      <c r="B782" s="158"/>
      <c r="C782" s="158"/>
      <c r="D782" s="158"/>
      <c r="E782" s="158"/>
      <c r="F782" s="158"/>
      <c r="G782" s="99"/>
      <c r="H782" s="158"/>
      <c r="I782" s="158"/>
      <c r="J782" s="158"/>
      <c r="K782" s="158"/>
      <c r="L782" s="158"/>
      <c r="M782" s="104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 ht="17.25" customHeight="1">
      <c r="A783" s="158"/>
      <c r="B783" s="158"/>
      <c r="C783" s="158"/>
      <c r="D783" s="158"/>
      <c r="E783" s="158"/>
      <c r="F783" s="158"/>
      <c r="G783" s="99"/>
      <c r="H783" s="158"/>
      <c r="I783" s="158"/>
      <c r="J783" s="158"/>
      <c r="K783" s="158"/>
      <c r="L783" s="158"/>
      <c r="M783" s="104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 ht="17.25" customHeight="1">
      <c r="A784" s="158"/>
      <c r="B784" s="158"/>
      <c r="C784" s="158"/>
      <c r="D784" s="158"/>
      <c r="E784" s="158"/>
      <c r="F784" s="158"/>
      <c r="G784" s="99"/>
      <c r="H784" s="158"/>
      <c r="I784" s="158"/>
      <c r="J784" s="158"/>
      <c r="K784" s="158"/>
      <c r="L784" s="158"/>
      <c r="M784" s="104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 ht="17.25" customHeight="1">
      <c r="A785" s="158"/>
      <c r="B785" s="158"/>
      <c r="C785" s="158"/>
      <c r="D785" s="158"/>
      <c r="E785" s="158"/>
      <c r="F785" s="158"/>
      <c r="G785" s="99"/>
      <c r="H785" s="158"/>
      <c r="I785" s="158"/>
      <c r="J785" s="158"/>
      <c r="K785" s="158"/>
      <c r="L785" s="158"/>
      <c r="M785" s="104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 ht="17.25" customHeight="1">
      <c r="A786" s="158"/>
      <c r="B786" s="158"/>
      <c r="C786" s="158"/>
      <c r="D786" s="158"/>
      <c r="E786" s="158"/>
      <c r="F786" s="158"/>
      <c r="G786" s="99"/>
      <c r="H786" s="158"/>
      <c r="I786" s="158"/>
      <c r="J786" s="158"/>
      <c r="K786" s="158"/>
      <c r="L786" s="158"/>
      <c r="M786" s="104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 ht="17.25" customHeight="1">
      <c r="A787" s="158"/>
      <c r="B787" s="158"/>
      <c r="C787" s="158"/>
      <c r="D787" s="158"/>
      <c r="E787" s="158"/>
      <c r="F787" s="158"/>
      <c r="G787" s="99"/>
      <c r="H787" s="158"/>
      <c r="I787" s="158"/>
      <c r="J787" s="158"/>
      <c r="K787" s="158"/>
      <c r="L787" s="158"/>
      <c r="M787" s="104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 ht="17.25" customHeight="1">
      <c r="A788" s="158"/>
      <c r="B788" s="158"/>
      <c r="C788" s="158"/>
      <c r="D788" s="158"/>
      <c r="E788" s="158"/>
      <c r="F788" s="158"/>
      <c r="G788" s="99"/>
      <c r="H788" s="158"/>
      <c r="I788" s="158"/>
      <c r="J788" s="158"/>
      <c r="K788" s="158"/>
      <c r="L788" s="158"/>
      <c r="M788" s="104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 ht="17.25" customHeight="1">
      <c r="A789" s="158"/>
      <c r="B789" s="158"/>
      <c r="C789" s="158"/>
      <c r="D789" s="158"/>
      <c r="E789" s="158"/>
      <c r="F789" s="158"/>
      <c r="G789" s="99"/>
      <c r="H789" s="158"/>
      <c r="I789" s="158"/>
      <c r="J789" s="158"/>
      <c r="K789" s="158"/>
      <c r="L789" s="158"/>
      <c r="M789" s="104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 ht="17.25" customHeight="1">
      <c r="A790" s="158"/>
      <c r="B790" s="158"/>
      <c r="C790" s="158"/>
      <c r="D790" s="158"/>
      <c r="E790" s="158"/>
      <c r="F790" s="158"/>
      <c r="G790" s="99"/>
      <c r="H790" s="158"/>
      <c r="I790" s="158"/>
      <c r="J790" s="158"/>
      <c r="K790" s="158"/>
      <c r="L790" s="158"/>
      <c r="M790" s="104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 ht="17.25" customHeight="1">
      <c r="A791" s="158"/>
      <c r="B791" s="158"/>
      <c r="C791" s="158"/>
      <c r="D791" s="158"/>
      <c r="E791" s="158"/>
      <c r="F791" s="158"/>
      <c r="G791" s="99"/>
      <c r="H791" s="158"/>
      <c r="I791" s="158"/>
      <c r="J791" s="158"/>
      <c r="K791" s="158"/>
      <c r="L791" s="158"/>
      <c r="M791" s="104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 ht="17.25" customHeight="1">
      <c r="A792" s="158"/>
      <c r="B792" s="158"/>
      <c r="C792" s="158"/>
      <c r="D792" s="158"/>
      <c r="E792" s="158"/>
      <c r="F792" s="158"/>
      <c r="G792" s="99"/>
      <c r="H792" s="158"/>
      <c r="I792" s="158"/>
      <c r="J792" s="158"/>
      <c r="K792" s="158"/>
      <c r="L792" s="158"/>
      <c r="M792" s="104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 ht="17.25" customHeight="1">
      <c r="A793" s="158"/>
      <c r="B793" s="158"/>
      <c r="C793" s="158"/>
      <c r="D793" s="158"/>
      <c r="E793" s="158"/>
      <c r="F793" s="158"/>
      <c r="G793" s="99"/>
      <c r="H793" s="158"/>
      <c r="I793" s="158"/>
      <c r="J793" s="158"/>
      <c r="K793" s="158"/>
      <c r="L793" s="158"/>
      <c r="M793" s="104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 ht="17.25" customHeight="1">
      <c r="A794" s="158"/>
      <c r="B794" s="158"/>
      <c r="C794" s="158"/>
      <c r="D794" s="158"/>
      <c r="E794" s="158"/>
      <c r="F794" s="158"/>
      <c r="G794" s="99"/>
      <c r="H794" s="158"/>
      <c r="I794" s="158"/>
      <c r="J794" s="158"/>
      <c r="K794" s="158"/>
      <c r="L794" s="158"/>
      <c r="M794" s="104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 ht="17.25" customHeight="1">
      <c r="A795" s="158"/>
      <c r="B795" s="158"/>
      <c r="C795" s="158"/>
      <c r="D795" s="158"/>
      <c r="E795" s="158"/>
      <c r="F795" s="158"/>
      <c r="G795" s="99"/>
      <c r="H795" s="158"/>
      <c r="I795" s="158"/>
      <c r="J795" s="158"/>
      <c r="K795" s="158"/>
      <c r="L795" s="158"/>
      <c r="M795" s="104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 ht="17.25" customHeight="1">
      <c r="A796" s="158"/>
      <c r="B796" s="158"/>
      <c r="C796" s="158"/>
      <c r="D796" s="158"/>
      <c r="E796" s="158"/>
      <c r="F796" s="158"/>
      <c r="G796" s="99"/>
      <c r="H796" s="158"/>
      <c r="I796" s="158"/>
      <c r="J796" s="158"/>
      <c r="K796" s="158"/>
      <c r="L796" s="158"/>
      <c r="M796" s="104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 ht="17.25" customHeight="1">
      <c r="A797" s="158"/>
      <c r="B797" s="158"/>
      <c r="C797" s="158"/>
      <c r="D797" s="158"/>
      <c r="E797" s="158"/>
      <c r="F797" s="158"/>
      <c r="G797" s="99"/>
      <c r="H797" s="158"/>
      <c r="I797" s="158"/>
      <c r="J797" s="158"/>
      <c r="K797" s="158"/>
      <c r="L797" s="158"/>
      <c r="M797" s="104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 ht="17.25" customHeight="1">
      <c r="A798" s="158"/>
      <c r="B798" s="158"/>
      <c r="C798" s="158"/>
      <c r="D798" s="158"/>
      <c r="E798" s="158"/>
      <c r="F798" s="158"/>
      <c r="G798" s="99"/>
      <c r="H798" s="158"/>
      <c r="I798" s="158"/>
      <c r="J798" s="158"/>
      <c r="K798" s="158"/>
      <c r="L798" s="158"/>
      <c r="M798" s="104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 ht="17.25" customHeight="1">
      <c r="A799" s="158"/>
      <c r="B799" s="158"/>
      <c r="C799" s="158"/>
      <c r="D799" s="158"/>
      <c r="E799" s="158"/>
      <c r="F799" s="158"/>
      <c r="G799" s="99"/>
      <c r="H799" s="158"/>
      <c r="I799" s="158"/>
      <c r="J799" s="158"/>
      <c r="K799" s="158"/>
      <c r="L799" s="158"/>
      <c r="M799" s="104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 ht="17.25" customHeight="1">
      <c r="A800" s="158"/>
      <c r="B800" s="158"/>
      <c r="C800" s="158"/>
      <c r="D800" s="158"/>
      <c r="E800" s="158"/>
      <c r="F800" s="158"/>
      <c r="G800" s="99"/>
      <c r="H800" s="158"/>
      <c r="I800" s="158"/>
      <c r="J800" s="158"/>
      <c r="K800" s="158"/>
      <c r="L800" s="158"/>
      <c r="M800" s="104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 ht="17.25" customHeight="1">
      <c r="A801" s="158"/>
      <c r="B801" s="158"/>
      <c r="C801" s="158"/>
      <c r="D801" s="158"/>
      <c r="E801" s="158"/>
      <c r="F801" s="158"/>
      <c r="G801" s="99"/>
      <c r="H801" s="158"/>
      <c r="I801" s="158"/>
      <c r="J801" s="158"/>
      <c r="K801" s="158"/>
      <c r="L801" s="158"/>
      <c r="M801" s="104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 ht="17.25" customHeight="1">
      <c r="A802" s="158"/>
      <c r="B802" s="158"/>
      <c r="C802" s="158"/>
      <c r="D802" s="158"/>
      <c r="E802" s="158"/>
      <c r="F802" s="158"/>
      <c r="G802" s="99"/>
      <c r="H802" s="158"/>
      <c r="I802" s="158"/>
      <c r="J802" s="158"/>
      <c r="K802" s="158"/>
      <c r="L802" s="158"/>
      <c r="M802" s="104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 ht="17.25" customHeight="1">
      <c r="A803" s="158"/>
      <c r="B803" s="158"/>
      <c r="C803" s="158"/>
      <c r="D803" s="158"/>
      <c r="E803" s="158"/>
      <c r="F803" s="158"/>
      <c r="G803" s="99"/>
      <c r="H803" s="158"/>
      <c r="I803" s="158"/>
      <c r="J803" s="158"/>
      <c r="K803" s="158"/>
      <c r="L803" s="158"/>
      <c r="M803" s="104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 ht="17.25" customHeight="1">
      <c r="A804" s="158"/>
      <c r="B804" s="158"/>
      <c r="C804" s="158"/>
      <c r="D804" s="158"/>
      <c r="E804" s="158"/>
      <c r="F804" s="158"/>
      <c r="G804" s="99"/>
      <c r="H804" s="158"/>
      <c r="I804" s="158"/>
      <c r="J804" s="158"/>
      <c r="K804" s="158"/>
      <c r="L804" s="158"/>
      <c r="M804" s="104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 ht="17.25" customHeight="1">
      <c r="A805" s="158"/>
      <c r="B805" s="158"/>
      <c r="C805" s="158"/>
      <c r="D805" s="158"/>
      <c r="E805" s="158"/>
      <c r="F805" s="158"/>
      <c r="G805" s="99"/>
      <c r="H805" s="158"/>
      <c r="I805" s="158"/>
      <c r="J805" s="158"/>
      <c r="K805" s="158"/>
      <c r="L805" s="158"/>
      <c r="M805" s="104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 ht="17.25" customHeight="1">
      <c r="A806" s="158"/>
      <c r="B806" s="158"/>
      <c r="C806" s="158"/>
      <c r="D806" s="158"/>
      <c r="E806" s="158"/>
      <c r="F806" s="158"/>
      <c r="G806" s="99"/>
      <c r="H806" s="158"/>
      <c r="I806" s="158"/>
      <c r="J806" s="158"/>
      <c r="K806" s="158"/>
      <c r="L806" s="158"/>
      <c r="M806" s="104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 ht="17.25" customHeight="1">
      <c r="A807" s="158"/>
      <c r="B807" s="158"/>
      <c r="C807" s="158"/>
      <c r="D807" s="158"/>
      <c r="E807" s="158"/>
      <c r="F807" s="158"/>
      <c r="G807" s="99"/>
      <c r="H807" s="158"/>
      <c r="I807" s="158"/>
      <c r="J807" s="158"/>
      <c r="K807" s="158"/>
      <c r="L807" s="158"/>
      <c r="M807" s="104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 ht="17.25" customHeight="1">
      <c r="A808" s="158"/>
      <c r="B808" s="158"/>
      <c r="C808" s="158"/>
      <c r="D808" s="158"/>
      <c r="E808" s="158"/>
      <c r="F808" s="158"/>
      <c r="G808" s="99"/>
      <c r="H808" s="158"/>
      <c r="I808" s="158"/>
      <c r="J808" s="158"/>
      <c r="K808" s="158"/>
      <c r="L808" s="158"/>
      <c r="M808" s="104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 ht="17.25" customHeight="1">
      <c r="A809" s="158"/>
      <c r="B809" s="158"/>
      <c r="C809" s="158"/>
      <c r="D809" s="158"/>
      <c r="E809" s="158"/>
      <c r="F809" s="158"/>
      <c r="G809" s="99"/>
      <c r="H809" s="158"/>
      <c r="I809" s="158"/>
      <c r="J809" s="158"/>
      <c r="K809" s="158"/>
      <c r="L809" s="158"/>
      <c r="M809" s="104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 ht="17.25" customHeight="1">
      <c r="A810" s="158"/>
      <c r="B810" s="158"/>
      <c r="C810" s="158"/>
      <c r="D810" s="158"/>
      <c r="E810" s="158"/>
      <c r="F810" s="158"/>
      <c r="G810" s="99"/>
      <c r="H810" s="158"/>
      <c r="I810" s="158"/>
      <c r="J810" s="158"/>
      <c r="K810" s="158"/>
      <c r="L810" s="158"/>
      <c r="M810" s="104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 ht="17.25" customHeight="1">
      <c r="A811" s="158"/>
      <c r="B811" s="158"/>
      <c r="C811" s="158"/>
      <c r="D811" s="158"/>
      <c r="E811" s="158"/>
      <c r="F811" s="158"/>
      <c r="G811" s="99"/>
      <c r="H811" s="158"/>
      <c r="I811" s="158"/>
      <c r="J811" s="158"/>
      <c r="K811" s="158"/>
      <c r="L811" s="158"/>
      <c r="M811" s="104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 ht="17.25" customHeight="1">
      <c r="A812" s="158"/>
      <c r="B812" s="158"/>
      <c r="C812" s="158"/>
      <c r="D812" s="158"/>
      <c r="E812" s="158"/>
      <c r="F812" s="158"/>
      <c r="G812" s="99"/>
      <c r="H812" s="158"/>
      <c r="I812" s="158"/>
      <c r="J812" s="158"/>
      <c r="K812" s="158"/>
      <c r="L812" s="158"/>
      <c r="M812" s="104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 ht="17.25" customHeight="1">
      <c r="A813" s="158"/>
      <c r="B813" s="158"/>
      <c r="C813" s="158"/>
      <c r="D813" s="158"/>
      <c r="E813" s="158"/>
      <c r="F813" s="158"/>
      <c r="G813" s="99"/>
      <c r="H813" s="158"/>
      <c r="I813" s="158"/>
      <c r="J813" s="158"/>
      <c r="K813" s="158"/>
      <c r="L813" s="158"/>
      <c r="M813" s="104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 ht="17.25" customHeight="1">
      <c r="A814" s="158"/>
      <c r="B814" s="158"/>
      <c r="C814" s="158"/>
      <c r="D814" s="158"/>
      <c r="E814" s="158"/>
      <c r="F814" s="158"/>
      <c r="G814" s="99"/>
      <c r="H814" s="158"/>
      <c r="I814" s="158"/>
      <c r="J814" s="158"/>
      <c r="K814" s="158"/>
      <c r="L814" s="158"/>
      <c r="M814" s="104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 ht="17.25" customHeight="1">
      <c r="A815" s="158"/>
      <c r="B815" s="158"/>
      <c r="C815" s="158"/>
      <c r="D815" s="158"/>
      <c r="E815" s="158"/>
      <c r="F815" s="158"/>
      <c r="G815" s="99"/>
      <c r="H815" s="158"/>
      <c r="I815" s="158"/>
      <c r="J815" s="158"/>
      <c r="K815" s="158"/>
      <c r="L815" s="158"/>
      <c r="M815" s="104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 ht="17.25" customHeight="1">
      <c r="A816" s="158"/>
      <c r="B816" s="158"/>
      <c r="C816" s="158"/>
      <c r="D816" s="158"/>
      <c r="E816" s="158"/>
      <c r="F816" s="158"/>
      <c r="G816" s="99"/>
      <c r="H816" s="158"/>
      <c r="I816" s="158"/>
      <c r="J816" s="158"/>
      <c r="K816" s="158"/>
      <c r="L816" s="158"/>
      <c r="M816" s="104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 ht="17.25" customHeight="1">
      <c r="A817" s="158"/>
      <c r="B817" s="158"/>
      <c r="C817" s="158"/>
      <c r="D817" s="158"/>
      <c r="E817" s="158"/>
      <c r="F817" s="158"/>
      <c r="G817" s="99"/>
      <c r="H817" s="158"/>
      <c r="I817" s="158"/>
      <c r="J817" s="158"/>
      <c r="K817" s="158"/>
      <c r="L817" s="158"/>
      <c r="M817" s="104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 ht="17.25" customHeight="1">
      <c r="A818" s="158"/>
      <c r="B818" s="158"/>
      <c r="C818" s="158"/>
      <c r="D818" s="158"/>
      <c r="E818" s="158"/>
      <c r="F818" s="158"/>
      <c r="G818" s="99"/>
      <c r="H818" s="158"/>
      <c r="I818" s="158"/>
      <c r="J818" s="158"/>
      <c r="K818" s="158"/>
      <c r="L818" s="158"/>
      <c r="M818" s="104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 ht="17.25" customHeight="1">
      <c r="A819" s="158"/>
      <c r="B819" s="158"/>
      <c r="C819" s="158"/>
      <c r="D819" s="158"/>
      <c r="E819" s="158"/>
      <c r="F819" s="158"/>
      <c r="G819" s="99"/>
      <c r="H819" s="158"/>
      <c r="I819" s="158"/>
      <c r="J819" s="158"/>
      <c r="K819" s="158"/>
      <c r="L819" s="158"/>
      <c r="M819" s="104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 ht="17.25" customHeight="1">
      <c r="A820" s="158"/>
      <c r="B820" s="158"/>
      <c r="C820" s="158"/>
      <c r="D820" s="158"/>
      <c r="E820" s="158"/>
      <c r="F820" s="158"/>
      <c r="G820" s="99"/>
      <c r="H820" s="158"/>
      <c r="I820" s="158"/>
      <c r="J820" s="158"/>
      <c r="K820" s="158"/>
      <c r="L820" s="158"/>
      <c r="M820" s="104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</row>
    <row r="821" ht="17.25" customHeight="1">
      <c r="A821" s="158"/>
      <c r="B821" s="158"/>
      <c r="C821" s="158"/>
      <c r="D821" s="158"/>
      <c r="E821" s="158"/>
      <c r="F821" s="158"/>
      <c r="G821" s="99"/>
      <c r="H821" s="158"/>
      <c r="I821" s="158"/>
      <c r="J821" s="158"/>
      <c r="K821" s="158"/>
      <c r="L821" s="158"/>
      <c r="M821" s="104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</row>
    <row r="822" ht="17.25" customHeight="1">
      <c r="A822" s="158"/>
      <c r="B822" s="158"/>
      <c r="C822" s="158"/>
      <c r="D822" s="158"/>
      <c r="E822" s="158"/>
      <c r="F822" s="158"/>
      <c r="G822" s="99"/>
      <c r="H822" s="158"/>
      <c r="I822" s="158"/>
      <c r="J822" s="158"/>
      <c r="K822" s="158"/>
      <c r="L822" s="158"/>
      <c r="M822" s="104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 ht="17.25" customHeight="1">
      <c r="A823" s="158"/>
      <c r="B823" s="158"/>
      <c r="C823" s="158"/>
      <c r="D823" s="158"/>
      <c r="E823" s="158"/>
      <c r="F823" s="158"/>
      <c r="G823" s="99"/>
      <c r="H823" s="158"/>
      <c r="I823" s="158"/>
      <c r="J823" s="158"/>
      <c r="K823" s="158"/>
      <c r="L823" s="158"/>
      <c r="M823" s="104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</row>
    <row r="824" ht="17.25" customHeight="1">
      <c r="A824" s="158"/>
      <c r="B824" s="158"/>
      <c r="C824" s="158"/>
      <c r="D824" s="158"/>
      <c r="E824" s="158"/>
      <c r="F824" s="158"/>
      <c r="G824" s="99"/>
      <c r="H824" s="158"/>
      <c r="I824" s="158"/>
      <c r="J824" s="158"/>
      <c r="K824" s="158"/>
      <c r="L824" s="158"/>
      <c r="M824" s="104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 ht="17.25" customHeight="1">
      <c r="A825" s="158"/>
      <c r="B825" s="158"/>
      <c r="C825" s="158"/>
      <c r="D825" s="158"/>
      <c r="E825" s="158"/>
      <c r="F825" s="158"/>
      <c r="G825" s="99"/>
      <c r="H825" s="158"/>
      <c r="I825" s="158"/>
      <c r="J825" s="158"/>
      <c r="K825" s="158"/>
      <c r="L825" s="158"/>
      <c r="M825" s="104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</row>
    <row r="826" ht="17.25" customHeight="1">
      <c r="A826" s="158"/>
      <c r="B826" s="158"/>
      <c r="C826" s="158"/>
      <c r="D826" s="158"/>
      <c r="E826" s="158"/>
      <c r="F826" s="158"/>
      <c r="G826" s="99"/>
      <c r="H826" s="158"/>
      <c r="I826" s="158"/>
      <c r="J826" s="158"/>
      <c r="K826" s="158"/>
      <c r="L826" s="158"/>
      <c r="M826" s="104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 ht="17.25" customHeight="1">
      <c r="A827" s="158"/>
      <c r="B827" s="158"/>
      <c r="C827" s="158"/>
      <c r="D827" s="158"/>
      <c r="E827" s="158"/>
      <c r="F827" s="158"/>
      <c r="G827" s="99"/>
      <c r="H827" s="158"/>
      <c r="I827" s="158"/>
      <c r="J827" s="158"/>
      <c r="K827" s="158"/>
      <c r="L827" s="158"/>
      <c r="M827" s="104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 ht="17.25" customHeight="1">
      <c r="A828" s="158"/>
      <c r="B828" s="158"/>
      <c r="C828" s="158"/>
      <c r="D828" s="158"/>
      <c r="E828" s="158"/>
      <c r="F828" s="158"/>
      <c r="G828" s="99"/>
      <c r="H828" s="158"/>
      <c r="I828" s="158"/>
      <c r="J828" s="158"/>
      <c r="K828" s="158"/>
      <c r="L828" s="158"/>
      <c r="M828" s="104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 ht="17.25" customHeight="1">
      <c r="A829" s="158"/>
      <c r="B829" s="158"/>
      <c r="C829" s="158"/>
      <c r="D829" s="158"/>
      <c r="E829" s="158"/>
      <c r="F829" s="158"/>
      <c r="G829" s="99"/>
      <c r="H829" s="158"/>
      <c r="I829" s="158"/>
      <c r="J829" s="158"/>
      <c r="K829" s="158"/>
      <c r="L829" s="158"/>
      <c r="M829" s="104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</row>
    <row r="830" ht="17.25" customHeight="1">
      <c r="A830" s="158"/>
      <c r="B830" s="158"/>
      <c r="C830" s="158"/>
      <c r="D830" s="158"/>
      <c r="E830" s="158"/>
      <c r="F830" s="158"/>
      <c r="G830" s="99"/>
      <c r="H830" s="158"/>
      <c r="I830" s="158"/>
      <c r="J830" s="158"/>
      <c r="K830" s="158"/>
      <c r="L830" s="158"/>
      <c r="M830" s="104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 ht="17.25" customHeight="1">
      <c r="A831" s="158"/>
      <c r="B831" s="158"/>
      <c r="C831" s="158"/>
      <c r="D831" s="158"/>
      <c r="E831" s="158"/>
      <c r="F831" s="158"/>
      <c r="G831" s="99"/>
      <c r="H831" s="158"/>
      <c r="I831" s="158"/>
      <c r="J831" s="158"/>
      <c r="K831" s="158"/>
      <c r="L831" s="158"/>
      <c r="M831" s="104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 ht="17.25" customHeight="1">
      <c r="A832" s="158"/>
      <c r="B832" s="158"/>
      <c r="C832" s="158"/>
      <c r="D832" s="158"/>
      <c r="E832" s="158"/>
      <c r="F832" s="158"/>
      <c r="G832" s="99"/>
      <c r="H832" s="158"/>
      <c r="I832" s="158"/>
      <c r="J832" s="158"/>
      <c r="K832" s="158"/>
      <c r="L832" s="158"/>
      <c r="M832" s="104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</row>
    <row r="833" ht="17.25" customHeight="1">
      <c r="A833" s="158"/>
      <c r="B833" s="158"/>
      <c r="C833" s="158"/>
      <c r="D833" s="158"/>
      <c r="E833" s="158"/>
      <c r="F833" s="158"/>
      <c r="G833" s="99"/>
      <c r="H833" s="158"/>
      <c r="I833" s="158"/>
      <c r="J833" s="158"/>
      <c r="K833" s="158"/>
      <c r="L833" s="158"/>
      <c r="M833" s="104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 ht="17.25" customHeight="1">
      <c r="A834" s="158"/>
      <c r="B834" s="158"/>
      <c r="C834" s="158"/>
      <c r="D834" s="158"/>
      <c r="E834" s="158"/>
      <c r="F834" s="158"/>
      <c r="G834" s="99"/>
      <c r="H834" s="158"/>
      <c r="I834" s="158"/>
      <c r="J834" s="158"/>
      <c r="K834" s="158"/>
      <c r="L834" s="158"/>
      <c r="M834" s="104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</row>
    <row r="835" ht="17.25" customHeight="1">
      <c r="A835" s="158"/>
      <c r="B835" s="158"/>
      <c r="C835" s="158"/>
      <c r="D835" s="158"/>
      <c r="E835" s="158"/>
      <c r="F835" s="158"/>
      <c r="G835" s="99"/>
      <c r="H835" s="158"/>
      <c r="I835" s="158"/>
      <c r="J835" s="158"/>
      <c r="K835" s="158"/>
      <c r="L835" s="158"/>
      <c r="M835" s="104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</row>
    <row r="836" ht="17.25" customHeight="1">
      <c r="A836" s="158"/>
      <c r="B836" s="158"/>
      <c r="C836" s="158"/>
      <c r="D836" s="158"/>
      <c r="E836" s="158"/>
      <c r="F836" s="158"/>
      <c r="G836" s="99"/>
      <c r="H836" s="158"/>
      <c r="I836" s="158"/>
      <c r="J836" s="158"/>
      <c r="K836" s="158"/>
      <c r="L836" s="158"/>
      <c r="M836" s="104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 ht="17.25" customHeight="1">
      <c r="A837" s="158"/>
      <c r="B837" s="158"/>
      <c r="C837" s="158"/>
      <c r="D837" s="158"/>
      <c r="E837" s="158"/>
      <c r="F837" s="158"/>
      <c r="G837" s="99"/>
      <c r="H837" s="158"/>
      <c r="I837" s="158"/>
      <c r="J837" s="158"/>
      <c r="K837" s="158"/>
      <c r="L837" s="158"/>
      <c r="M837" s="104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</row>
    <row r="838" ht="17.25" customHeight="1">
      <c r="A838" s="158"/>
      <c r="B838" s="158"/>
      <c r="C838" s="158"/>
      <c r="D838" s="158"/>
      <c r="E838" s="158"/>
      <c r="F838" s="158"/>
      <c r="G838" s="99"/>
      <c r="H838" s="158"/>
      <c r="I838" s="158"/>
      <c r="J838" s="158"/>
      <c r="K838" s="158"/>
      <c r="L838" s="158"/>
      <c r="M838" s="104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</row>
    <row r="839" ht="17.25" customHeight="1">
      <c r="A839" s="158"/>
      <c r="B839" s="158"/>
      <c r="C839" s="158"/>
      <c r="D839" s="158"/>
      <c r="E839" s="158"/>
      <c r="F839" s="158"/>
      <c r="G839" s="99"/>
      <c r="H839" s="158"/>
      <c r="I839" s="158"/>
      <c r="J839" s="158"/>
      <c r="K839" s="158"/>
      <c r="L839" s="158"/>
      <c r="M839" s="104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</row>
    <row r="840" ht="17.25" customHeight="1">
      <c r="A840" s="158"/>
      <c r="B840" s="158"/>
      <c r="C840" s="158"/>
      <c r="D840" s="158"/>
      <c r="E840" s="158"/>
      <c r="F840" s="158"/>
      <c r="G840" s="99"/>
      <c r="H840" s="158"/>
      <c r="I840" s="158"/>
      <c r="J840" s="158"/>
      <c r="K840" s="158"/>
      <c r="L840" s="158"/>
      <c r="M840" s="104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</row>
    <row r="841" ht="17.25" customHeight="1">
      <c r="A841" s="158"/>
      <c r="B841" s="158"/>
      <c r="C841" s="158"/>
      <c r="D841" s="158"/>
      <c r="E841" s="158"/>
      <c r="F841" s="158"/>
      <c r="G841" s="99"/>
      <c r="H841" s="158"/>
      <c r="I841" s="158"/>
      <c r="J841" s="158"/>
      <c r="K841" s="158"/>
      <c r="L841" s="158"/>
      <c r="M841" s="104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</row>
    <row r="842" ht="17.25" customHeight="1">
      <c r="A842" s="158"/>
      <c r="B842" s="158"/>
      <c r="C842" s="158"/>
      <c r="D842" s="158"/>
      <c r="E842" s="158"/>
      <c r="F842" s="158"/>
      <c r="G842" s="99"/>
      <c r="H842" s="158"/>
      <c r="I842" s="158"/>
      <c r="J842" s="158"/>
      <c r="K842" s="158"/>
      <c r="L842" s="158"/>
      <c r="M842" s="104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</row>
    <row r="843" ht="17.25" customHeight="1">
      <c r="A843" s="158"/>
      <c r="B843" s="158"/>
      <c r="C843" s="158"/>
      <c r="D843" s="158"/>
      <c r="E843" s="158"/>
      <c r="F843" s="158"/>
      <c r="G843" s="99"/>
      <c r="H843" s="158"/>
      <c r="I843" s="158"/>
      <c r="J843" s="158"/>
      <c r="K843" s="158"/>
      <c r="L843" s="158"/>
      <c r="M843" s="104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 ht="17.25" customHeight="1">
      <c r="A844" s="158"/>
      <c r="B844" s="158"/>
      <c r="C844" s="158"/>
      <c r="D844" s="158"/>
      <c r="E844" s="158"/>
      <c r="F844" s="158"/>
      <c r="G844" s="99"/>
      <c r="H844" s="158"/>
      <c r="I844" s="158"/>
      <c r="J844" s="158"/>
      <c r="K844" s="158"/>
      <c r="L844" s="158"/>
      <c r="M844" s="104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</row>
    <row r="845" ht="17.25" customHeight="1">
      <c r="A845" s="158"/>
      <c r="B845" s="158"/>
      <c r="C845" s="158"/>
      <c r="D845" s="158"/>
      <c r="E845" s="158"/>
      <c r="F845" s="158"/>
      <c r="G845" s="99"/>
      <c r="H845" s="158"/>
      <c r="I845" s="158"/>
      <c r="J845" s="158"/>
      <c r="K845" s="158"/>
      <c r="L845" s="158"/>
      <c r="M845" s="104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 ht="17.25" customHeight="1">
      <c r="A846" s="158"/>
      <c r="B846" s="158"/>
      <c r="C846" s="158"/>
      <c r="D846" s="158"/>
      <c r="E846" s="158"/>
      <c r="F846" s="158"/>
      <c r="G846" s="99"/>
      <c r="H846" s="158"/>
      <c r="I846" s="158"/>
      <c r="J846" s="158"/>
      <c r="K846" s="158"/>
      <c r="L846" s="158"/>
      <c r="M846" s="104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</row>
    <row r="847" ht="17.25" customHeight="1">
      <c r="A847" s="158"/>
      <c r="B847" s="158"/>
      <c r="C847" s="158"/>
      <c r="D847" s="158"/>
      <c r="E847" s="158"/>
      <c r="F847" s="158"/>
      <c r="G847" s="99"/>
      <c r="H847" s="158"/>
      <c r="I847" s="158"/>
      <c r="J847" s="158"/>
      <c r="K847" s="158"/>
      <c r="L847" s="158"/>
      <c r="M847" s="104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</row>
    <row r="848" ht="17.25" customHeight="1">
      <c r="A848" s="158"/>
      <c r="B848" s="158"/>
      <c r="C848" s="158"/>
      <c r="D848" s="158"/>
      <c r="E848" s="158"/>
      <c r="F848" s="158"/>
      <c r="G848" s="99"/>
      <c r="H848" s="158"/>
      <c r="I848" s="158"/>
      <c r="J848" s="158"/>
      <c r="K848" s="158"/>
      <c r="L848" s="158"/>
      <c r="M848" s="104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</row>
    <row r="849" ht="17.25" customHeight="1">
      <c r="A849" s="158"/>
      <c r="B849" s="158"/>
      <c r="C849" s="158"/>
      <c r="D849" s="158"/>
      <c r="E849" s="158"/>
      <c r="F849" s="158"/>
      <c r="G849" s="99"/>
      <c r="H849" s="158"/>
      <c r="I849" s="158"/>
      <c r="J849" s="158"/>
      <c r="K849" s="158"/>
      <c r="L849" s="158"/>
      <c r="M849" s="104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 ht="17.25" customHeight="1">
      <c r="A850" s="158"/>
      <c r="B850" s="158"/>
      <c r="C850" s="158"/>
      <c r="D850" s="158"/>
      <c r="E850" s="158"/>
      <c r="F850" s="158"/>
      <c r="G850" s="99"/>
      <c r="H850" s="158"/>
      <c r="I850" s="158"/>
      <c r="J850" s="158"/>
      <c r="K850" s="158"/>
      <c r="L850" s="158"/>
      <c r="M850" s="104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</row>
    <row r="851" ht="17.25" customHeight="1">
      <c r="A851" s="158"/>
      <c r="B851" s="158"/>
      <c r="C851" s="158"/>
      <c r="D851" s="158"/>
      <c r="E851" s="158"/>
      <c r="F851" s="158"/>
      <c r="G851" s="99"/>
      <c r="H851" s="158"/>
      <c r="I851" s="158"/>
      <c r="J851" s="158"/>
      <c r="K851" s="158"/>
      <c r="L851" s="158"/>
      <c r="M851" s="104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</row>
    <row r="852" ht="17.25" customHeight="1">
      <c r="A852" s="158"/>
      <c r="B852" s="158"/>
      <c r="C852" s="158"/>
      <c r="D852" s="158"/>
      <c r="E852" s="158"/>
      <c r="F852" s="158"/>
      <c r="G852" s="99"/>
      <c r="H852" s="158"/>
      <c r="I852" s="158"/>
      <c r="J852" s="158"/>
      <c r="K852" s="158"/>
      <c r="L852" s="158"/>
      <c r="M852" s="104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</row>
    <row r="853" ht="17.25" customHeight="1">
      <c r="A853" s="158"/>
      <c r="B853" s="158"/>
      <c r="C853" s="158"/>
      <c r="D853" s="158"/>
      <c r="E853" s="158"/>
      <c r="F853" s="158"/>
      <c r="G853" s="99"/>
      <c r="H853" s="158"/>
      <c r="I853" s="158"/>
      <c r="J853" s="158"/>
      <c r="K853" s="158"/>
      <c r="L853" s="158"/>
      <c r="M853" s="104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</row>
    <row r="854" ht="17.25" customHeight="1">
      <c r="A854" s="158"/>
      <c r="B854" s="158"/>
      <c r="C854" s="158"/>
      <c r="D854" s="158"/>
      <c r="E854" s="158"/>
      <c r="F854" s="158"/>
      <c r="G854" s="99"/>
      <c r="H854" s="158"/>
      <c r="I854" s="158"/>
      <c r="J854" s="158"/>
      <c r="K854" s="158"/>
      <c r="L854" s="158"/>
      <c r="M854" s="104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</row>
    <row r="855" ht="17.25" customHeight="1">
      <c r="A855" s="158"/>
      <c r="B855" s="158"/>
      <c r="C855" s="158"/>
      <c r="D855" s="158"/>
      <c r="E855" s="158"/>
      <c r="F855" s="158"/>
      <c r="G855" s="99"/>
      <c r="H855" s="158"/>
      <c r="I855" s="158"/>
      <c r="J855" s="158"/>
      <c r="K855" s="158"/>
      <c r="L855" s="158"/>
      <c r="M855" s="104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</row>
    <row r="856" ht="17.25" customHeight="1">
      <c r="A856" s="158"/>
      <c r="B856" s="158"/>
      <c r="C856" s="158"/>
      <c r="D856" s="158"/>
      <c r="E856" s="158"/>
      <c r="F856" s="158"/>
      <c r="G856" s="99"/>
      <c r="H856" s="158"/>
      <c r="I856" s="158"/>
      <c r="J856" s="158"/>
      <c r="K856" s="158"/>
      <c r="L856" s="158"/>
      <c r="M856" s="104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 ht="17.25" customHeight="1">
      <c r="A857" s="158"/>
      <c r="B857" s="158"/>
      <c r="C857" s="158"/>
      <c r="D857" s="158"/>
      <c r="E857" s="158"/>
      <c r="F857" s="158"/>
      <c r="G857" s="99"/>
      <c r="H857" s="158"/>
      <c r="I857" s="158"/>
      <c r="J857" s="158"/>
      <c r="K857" s="158"/>
      <c r="L857" s="158"/>
      <c r="M857" s="104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 ht="17.25" customHeight="1">
      <c r="A858" s="158"/>
      <c r="B858" s="158"/>
      <c r="C858" s="158"/>
      <c r="D858" s="158"/>
      <c r="E858" s="158"/>
      <c r="F858" s="158"/>
      <c r="G858" s="99"/>
      <c r="H858" s="158"/>
      <c r="I858" s="158"/>
      <c r="J858" s="158"/>
      <c r="K858" s="158"/>
      <c r="L858" s="158"/>
      <c r="M858" s="104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 ht="17.25" customHeight="1">
      <c r="A859" s="158"/>
      <c r="B859" s="158"/>
      <c r="C859" s="158"/>
      <c r="D859" s="158"/>
      <c r="E859" s="158"/>
      <c r="F859" s="158"/>
      <c r="G859" s="99"/>
      <c r="H859" s="158"/>
      <c r="I859" s="158"/>
      <c r="J859" s="158"/>
      <c r="K859" s="158"/>
      <c r="L859" s="158"/>
      <c r="M859" s="104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</row>
    <row r="860" ht="17.25" customHeight="1">
      <c r="A860" s="158"/>
      <c r="B860" s="158"/>
      <c r="C860" s="158"/>
      <c r="D860" s="158"/>
      <c r="E860" s="158"/>
      <c r="F860" s="158"/>
      <c r="G860" s="99"/>
      <c r="H860" s="158"/>
      <c r="I860" s="158"/>
      <c r="J860" s="158"/>
      <c r="K860" s="158"/>
      <c r="L860" s="158"/>
      <c r="M860" s="104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</row>
    <row r="861" ht="17.25" customHeight="1">
      <c r="A861" s="158"/>
      <c r="B861" s="158"/>
      <c r="C861" s="158"/>
      <c r="D861" s="158"/>
      <c r="E861" s="158"/>
      <c r="F861" s="158"/>
      <c r="G861" s="99"/>
      <c r="H861" s="158"/>
      <c r="I861" s="158"/>
      <c r="J861" s="158"/>
      <c r="K861" s="158"/>
      <c r="L861" s="158"/>
      <c r="M861" s="104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</row>
    <row r="862" ht="17.25" customHeight="1">
      <c r="A862" s="158"/>
      <c r="B862" s="158"/>
      <c r="C862" s="158"/>
      <c r="D862" s="158"/>
      <c r="E862" s="158"/>
      <c r="F862" s="158"/>
      <c r="G862" s="99"/>
      <c r="H862" s="158"/>
      <c r="I862" s="158"/>
      <c r="J862" s="158"/>
      <c r="K862" s="158"/>
      <c r="L862" s="158"/>
      <c r="M862" s="104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</row>
    <row r="863" ht="17.25" customHeight="1">
      <c r="A863" s="158"/>
      <c r="B863" s="158"/>
      <c r="C863" s="158"/>
      <c r="D863" s="158"/>
      <c r="E863" s="158"/>
      <c r="F863" s="158"/>
      <c r="G863" s="99"/>
      <c r="H863" s="158"/>
      <c r="I863" s="158"/>
      <c r="J863" s="158"/>
      <c r="K863" s="158"/>
      <c r="L863" s="158"/>
      <c r="M863" s="104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 ht="17.25" customHeight="1">
      <c r="A864" s="158"/>
      <c r="B864" s="158"/>
      <c r="C864" s="158"/>
      <c r="D864" s="158"/>
      <c r="E864" s="158"/>
      <c r="F864" s="158"/>
      <c r="G864" s="99"/>
      <c r="H864" s="158"/>
      <c r="I864" s="158"/>
      <c r="J864" s="158"/>
      <c r="K864" s="158"/>
      <c r="L864" s="158"/>
      <c r="M864" s="104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</row>
    <row r="865" ht="17.25" customHeight="1">
      <c r="A865" s="158"/>
      <c r="B865" s="158"/>
      <c r="C865" s="158"/>
      <c r="D865" s="158"/>
      <c r="E865" s="158"/>
      <c r="F865" s="158"/>
      <c r="G865" s="99"/>
      <c r="H865" s="158"/>
      <c r="I865" s="158"/>
      <c r="J865" s="158"/>
      <c r="K865" s="158"/>
      <c r="L865" s="158"/>
      <c r="M865" s="104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</row>
    <row r="866" ht="17.25" customHeight="1">
      <c r="A866" s="158"/>
      <c r="B866" s="158"/>
      <c r="C866" s="158"/>
      <c r="D866" s="158"/>
      <c r="E866" s="158"/>
      <c r="F866" s="158"/>
      <c r="G866" s="99"/>
      <c r="H866" s="158"/>
      <c r="I866" s="158"/>
      <c r="J866" s="158"/>
      <c r="K866" s="158"/>
      <c r="L866" s="158"/>
      <c r="M866" s="104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 ht="17.25" customHeight="1">
      <c r="A867" s="158"/>
      <c r="B867" s="158"/>
      <c r="C867" s="158"/>
      <c r="D867" s="158"/>
      <c r="E867" s="158"/>
      <c r="F867" s="158"/>
      <c r="G867" s="99"/>
      <c r="H867" s="158"/>
      <c r="I867" s="158"/>
      <c r="J867" s="158"/>
      <c r="K867" s="158"/>
      <c r="L867" s="158"/>
      <c r="M867" s="104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 ht="17.25" customHeight="1">
      <c r="A868" s="158"/>
      <c r="B868" s="158"/>
      <c r="C868" s="158"/>
      <c r="D868" s="158"/>
      <c r="E868" s="158"/>
      <c r="F868" s="158"/>
      <c r="G868" s="99"/>
      <c r="H868" s="158"/>
      <c r="I868" s="158"/>
      <c r="J868" s="158"/>
      <c r="K868" s="158"/>
      <c r="L868" s="158"/>
      <c r="M868" s="104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 ht="17.25" customHeight="1">
      <c r="A869" s="158"/>
      <c r="B869" s="158"/>
      <c r="C869" s="158"/>
      <c r="D869" s="158"/>
      <c r="E869" s="158"/>
      <c r="F869" s="158"/>
      <c r="G869" s="99"/>
      <c r="H869" s="158"/>
      <c r="I869" s="158"/>
      <c r="J869" s="158"/>
      <c r="K869" s="158"/>
      <c r="L869" s="158"/>
      <c r="M869" s="104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 ht="17.25" customHeight="1">
      <c r="A870" s="158"/>
      <c r="B870" s="158"/>
      <c r="C870" s="158"/>
      <c r="D870" s="158"/>
      <c r="E870" s="158"/>
      <c r="F870" s="158"/>
      <c r="G870" s="99"/>
      <c r="H870" s="158"/>
      <c r="I870" s="158"/>
      <c r="J870" s="158"/>
      <c r="K870" s="158"/>
      <c r="L870" s="158"/>
      <c r="M870" s="104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 ht="17.25" customHeight="1">
      <c r="A871" s="158"/>
      <c r="B871" s="158"/>
      <c r="C871" s="158"/>
      <c r="D871" s="158"/>
      <c r="E871" s="158"/>
      <c r="F871" s="158"/>
      <c r="G871" s="99"/>
      <c r="H871" s="158"/>
      <c r="I871" s="158"/>
      <c r="J871" s="158"/>
      <c r="K871" s="158"/>
      <c r="L871" s="158"/>
      <c r="M871" s="104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</row>
    <row r="872" ht="17.25" customHeight="1">
      <c r="A872" s="158"/>
      <c r="B872" s="158"/>
      <c r="C872" s="158"/>
      <c r="D872" s="158"/>
      <c r="E872" s="158"/>
      <c r="F872" s="158"/>
      <c r="G872" s="99"/>
      <c r="H872" s="158"/>
      <c r="I872" s="158"/>
      <c r="J872" s="158"/>
      <c r="K872" s="158"/>
      <c r="L872" s="158"/>
      <c r="M872" s="104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 ht="17.25" customHeight="1">
      <c r="A873" s="158"/>
      <c r="B873" s="158"/>
      <c r="C873" s="158"/>
      <c r="D873" s="158"/>
      <c r="E873" s="158"/>
      <c r="F873" s="158"/>
      <c r="G873" s="99"/>
      <c r="H873" s="158"/>
      <c r="I873" s="158"/>
      <c r="J873" s="158"/>
      <c r="K873" s="158"/>
      <c r="L873" s="158"/>
      <c r="M873" s="104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 ht="17.25" customHeight="1">
      <c r="A874" s="158"/>
      <c r="B874" s="158"/>
      <c r="C874" s="158"/>
      <c r="D874" s="158"/>
      <c r="E874" s="158"/>
      <c r="F874" s="158"/>
      <c r="G874" s="99"/>
      <c r="H874" s="158"/>
      <c r="I874" s="158"/>
      <c r="J874" s="158"/>
      <c r="K874" s="158"/>
      <c r="L874" s="158"/>
      <c r="M874" s="104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 ht="17.25" customHeight="1">
      <c r="A875" s="158"/>
      <c r="B875" s="158"/>
      <c r="C875" s="158"/>
      <c r="D875" s="158"/>
      <c r="E875" s="158"/>
      <c r="F875" s="158"/>
      <c r="G875" s="99"/>
      <c r="H875" s="158"/>
      <c r="I875" s="158"/>
      <c r="J875" s="158"/>
      <c r="K875" s="158"/>
      <c r="L875" s="158"/>
      <c r="M875" s="104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</row>
    <row r="876" ht="17.25" customHeight="1">
      <c r="A876" s="158"/>
      <c r="B876" s="158"/>
      <c r="C876" s="158"/>
      <c r="D876" s="158"/>
      <c r="E876" s="158"/>
      <c r="F876" s="158"/>
      <c r="G876" s="99"/>
      <c r="H876" s="158"/>
      <c r="I876" s="158"/>
      <c r="J876" s="158"/>
      <c r="K876" s="158"/>
      <c r="L876" s="158"/>
      <c r="M876" s="104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 ht="17.25" customHeight="1">
      <c r="A877" s="158"/>
      <c r="B877" s="158"/>
      <c r="C877" s="158"/>
      <c r="D877" s="158"/>
      <c r="E877" s="158"/>
      <c r="F877" s="158"/>
      <c r="G877" s="99"/>
      <c r="H877" s="158"/>
      <c r="I877" s="158"/>
      <c r="J877" s="158"/>
      <c r="K877" s="158"/>
      <c r="L877" s="158"/>
      <c r="M877" s="104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 ht="17.25" customHeight="1">
      <c r="A878" s="158"/>
      <c r="B878" s="158"/>
      <c r="C878" s="158"/>
      <c r="D878" s="158"/>
      <c r="E878" s="158"/>
      <c r="F878" s="158"/>
      <c r="G878" s="99"/>
      <c r="H878" s="158"/>
      <c r="I878" s="158"/>
      <c r="J878" s="158"/>
      <c r="K878" s="158"/>
      <c r="L878" s="158"/>
      <c r="M878" s="104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 ht="17.25" customHeight="1">
      <c r="A879" s="158"/>
      <c r="B879" s="158"/>
      <c r="C879" s="158"/>
      <c r="D879" s="158"/>
      <c r="E879" s="158"/>
      <c r="F879" s="158"/>
      <c r="G879" s="99"/>
      <c r="H879" s="158"/>
      <c r="I879" s="158"/>
      <c r="J879" s="158"/>
      <c r="K879" s="158"/>
      <c r="L879" s="158"/>
      <c r="M879" s="104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 ht="17.25" customHeight="1">
      <c r="A880" s="158"/>
      <c r="B880" s="158"/>
      <c r="C880" s="158"/>
      <c r="D880" s="158"/>
      <c r="E880" s="158"/>
      <c r="F880" s="158"/>
      <c r="G880" s="99"/>
      <c r="H880" s="158"/>
      <c r="I880" s="158"/>
      <c r="J880" s="158"/>
      <c r="K880" s="158"/>
      <c r="L880" s="158"/>
      <c r="M880" s="104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 ht="17.25" customHeight="1">
      <c r="A881" s="158"/>
      <c r="B881" s="158"/>
      <c r="C881" s="158"/>
      <c r="D881" s="158"/>
      <c r="E881" s="158"/>
      <c r="F881" s="158"/>
      <c r="G881" s="99"/>
      <c r="H881" s="158"/>
      <c r="I881" s="158"/>
      <c r="J881" s="158"/>
      <c r="K881" s="158"/>
      <c r="L881" s="158"/>
      <c r="M881" s="104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</row>
    <row r="882" ht="17.25" customHeight="1">
      <c r="A882" s="158"/>
      <c r="B882" s="158"/>
      <c r="C882" s="158"/>
      <c r="D882" s="158"/>
      <c r="E882" s="158"/>
      <c r="F882" s="158"/>
      <c r="G882" s="99"/>
      <c r="H882" s="158"/>
      <c r="I882" s="158"/>
      <c r="J882" s="158"/>
      <c r="K882" s="158"/>
      <c r="L882" s="158"/>
      <c r="M882" s="104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 ht="17.25" customHeight="1">
      <c r="A883" s="158"/>
      <c r="B883" s="158"/>
      <c r="C883" s="158"/>
      <c r="D883" s="158"/>
      <c r="E883" s="158"/>
      <c r="F883" s="158"/>
      <c r="G883" s="99"/>
      <c r="H883" s="158"/>
      <c r="I883" s="158"/>
      <c r="J883" s="158"/>
      <c r="K883" s="158"/>
      <c r="L883" s="158"/>
      <c r="M883" s="104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 ht="17.25" customHeight="1">
      <c r="A884" s="158"/>
      <c r="B884" s="158"/>
      <c r="C884" s="158"/>
      <c r="D884" s="158"/>
      <c r="E884" s="158"/>
      <c r="F884" s="158"/>
      <c r="G884" s="99"/>
      <c r="H884" s="158"/>
      <c r="I884" s="158"/>
      <c r="J884" s="158"/>
      <c r="K884" s="158"/>
      <c r="L884" s="158"/>
      <c r="M884" s="104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</row>
    <row r="885" ht="17.25" customHeight="1">
      <c r="A885" s="158"/>
      <c r="B885" s="158"/>
      <c r="C885" s="158"/>
      <c r="D885" s="158"/>
      <c r="E885" s="158"/>
      <c r="F885" s="158"/>
      <c r="G885" s="99"/>
      <c r="H885" s="158"/>
      <c r="I885" s="158"/>
      <c r="J885" s="158"/>
      <c r="K885" s="158"/>
      <c r="L885" s="158"/>
      <c r="M885" s="104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</row>
    <row r="886" ht="17.25" customHeight="1">
      <c r="A886" s="158"/>
      <c r="B886" s="158"/>
      <c r="C886" s="158"/>
      <c r="D886" s="158"/>
      <c r="E886" s="158"/>
      <c r="F886" s="158"/>
      <c r="G886" s="99"/>
      <c r="H886" s="158"/>
      <c r="I886" s="158"/>
      <c r="J886" s="158"/>
      <c r="K886" s="158"/>
      <c r="L886" s="158"/>
      <c r="M886" s="104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</row>
    <row r="887" ht="17.25" customHeight="1">
      <c r="A887" s="158"/>
      <c r="B887" s="158"/>
      <c r="C887" s="158"/>
      <c r="D887" s="158"/>
      <c r="E887" s="158"/>
      <c r="F887" s="158"/>
      <c r="G887" s="99"/>
      <c r="H887" s="158"/>
      <c r="I887" s="158"/>
      <c r="J887" s="158"/>
      <c r="K887" s="158"/>
      <c r="L887" s="158"/>
      <c r="M887" s="104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</row>
    <row r="888" ht="17.25" customHeight="1">
      <c r="A888" s="158"/>
      <c r="B888" s="158"/>
      <c r="C888" s="158"/>
      <c r="D888" s="158"/>
      <c r="E888" s="158"/>
      <c r="F888" s="158"/>
      <c r="G888" s="99"/>
      <c r="H888" s="158"/>
      <c r="I888" s="158"/>
      <c r="J888" s="158"/>
      <c r="K888" s="158"/>
      <c r="L888" s="158"/>
      <c r="M888" s="104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</row>
    <row r="889" ht="17.25" customHeight="1">
      <c r="A889" s="158"/>
      <c r="B889" s="158"/>
      <c r="C889" s="158"/>
      <c r="D889" s="158"/>
      <c r="E889" s="158"/>
      <c r="F889" s="158"/>
      <c r="G889" s="99"/>
      <c r="H889" s="158"/>
      <c r="I889" s="158"/>
      <c r="J889" s="158"/>
      <c r="K889" s="158"/>
      <c r="L889" s="158"/>
      <c r="M889" s="104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 ht="17.25" customHeight="1">
      <c r="A890" s="158"/>
      <c r="B890" s="158"/>
      <c r="C890" s="158"/>
      <c r="D890" s="158"/>
      <c r="E890" s="158"/>
      <c r="F890" s="158"/>
      <c r="G890" s="99"/>
      <c r="H890" s="158"/>
      <c r="I890" s="158"/>
      <c r="J890" s="158"/>
      <c r="K890" s="158"/>
      <c r="L890" s="158"/>
      <c r="M890" s="104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</row>
    <row r="891" ht="17.25" customHeight="1">
      <c r="A891" s="158"/>
      <c r="B891" s="158"/>
      <c r="C891" s="158"/>
      <c r="D891" s="158"/>
      <c r="E891" s="158"/>
      <c r="F891" s="158"/>
      <c r="G891" s="99"/>
      <c r="H891" s="158"/>
      <c r="I891" s="158"/>
      <c r="J891" s="158"/>
      <c r="K891" s="158"/>
      <c r="L891" s="158"/>
      <c r="M891" s="104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</row>
    <row r="892" ht="17.25" customHeight="1">
      <c r="A892" s="158"/>
      <c r="B892" s="158"/>
      <c r="C892" s="158"/>
      <c r="D892" s="158"/>
      <c r="E892" s="158"/>
      <c r="F892" s="158"/>
      <c r="G892" s="99"/>
      <c r="H892" s="158"/>
      <c r="I892" s="158"/>
      <c r="J892" s="158"/>
      <c r="K892" s="158"/>
      <c r="L892" s="158"/>
      <c r="M892" s="104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 ht="17.25" customHeight="1">
      <c r="A893" s="158"/>
      <c r="B893" s="158"/>
      <c r="C893" s="158"/>
      <c r="D893" s="158"/>
      <c r="E893" s="158"/>
      <c r="F893" s="158"/>
      <c r="G893" s="99"/>
      <c r="H893" s="158"/>
      <c r="I893" s="158"/>
      <c r="J893" s="158"/>
      <c r="K893" s="158"/>
      <c r="L893" s="158"/>
      <c r="M893" s="104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 ht="17.25" customHeight="1">
      <c r="A894" s="158"/>
      <c r="B894" s="158"/>
      <c r="C894" s="158"/>
      <c r="D894" s="158"/>
      <c r="E894" s="158"/>
      <c r="F894" s="158"/>
      <c r="G894" s="99"/>
      <c r="H894" s="158"/>
      <c r="I894" s="158"/>
      <c r="J894" s="158"/>
      <c r="K894" s="158"/>
      <c r="L894" s="158"/>
      <c r="M894" s="104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 ht="17.25" customHeight="1">
      <c r="A895" s="158"/>
      <c r="B895" s="158"/>
      <c r="C895" s="158"/>
      <c r="D895" s="158"/>
      <c r="E895" s="158"/>
      <c r="F895" s="158"/>
      <c r="G895" s="99"/>
      <c r="H895" s="158"/>
      <c r="I895" s="158"/>
      <c r="J895" s="158"/>
      <c r="K895" s="158"/>
      <c r="L895" s="158"/>
      <c r="M895" s="104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 ht="17.25" customHeight="1">
      <c r="A896" s="158"/>
      <c r="B896" s="158"/>
      <c r="C896" s="158"/>
      <c r="D896" s="158"/>
      <c r="E896" s="158"/>
      <c r="F896" s="158"/>
      <c r="G896" s="99"/>
      <c r="H896" s="158"/>
      <c r="I896" s="158"/>
      <c r="J896" s="158"/>
      <c r="K896" s="158"/>
      <c r="L896" s="158"/>
      <c r="M896" s="104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</row>
    <row r="897" ht="17.25" customHeight="1">
      <c r="A897" s="158"/>
      <c r="B897" s="158"/>
      <c r="C897" s="158"/>
      <c r="D897" s="158"/>
      <c r="E897" s="158"/>
      <c r="F897" s="158"/>
      <c r="G897" s="99"/>
      <c r="H897" s="158"/>
      <c r="I897" s="158"/>
      <c r="J897" s="158"/>
      <c r="K897" s="158"/>
      <c r="L897" s="158"/>
      <c r="M897" s="104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</row>
    <row r="898" ht="17.25" customHeight="1">
      <c r="A898" s="158"/>
      <c r="B898" s="158"/>
      <c r="C898" s="158"/>
      <c r="D898" s="158"/>
      <c r="E898" s="158"/>
      <c r="F898" s="158"/>
      <c r="G898" s="99"/>
      <c r="H898" s="158"/>
      <c r="I898" s="158"/>
      <c r="J898" s="158"/>
      <c r="K898" s="158"/>
      <c r="L898" s="158"/>
      <c r="M898" s="104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</row>
    <row r="899" ht="17.25" customHeight="1">
      <c r="A899" s="158"/>
      <c r="B899" s="158"/>
      <c r="C899" s="158"/>
      <c r="D899" s="158"/>
      <c r="E899" s="158"/>
      <c r="F899" s="158"/>
      <c r="G899" s="99"/>
      <c r="H899" s="158"/>
      <c r="I899" s="158"/>
      <c r="J899" s="158"/>
      <c r="K899" s="158"/>
      <c r="L899" s="158"/>
      <c r="M899" s="104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 ht="17.25" customHeight="1">
      <c r="A900" s="158"/>
      <c r="B900" s="158"/>
      <c r="C900" s="158"/>
      <c r="D900" s="158"/>
      <c r="E900" s="158"/>
      <c r="F900" s="158"/>
      <c r="G900" s="99"/>
      <c r="H900" s="158"/>
      <c r="I900" s="158"/>
      <c r="J900" s="158"/>
      <c r="K900" s="158"/>
      <c r="L900" s="158"/>
      <c r="M900" s="104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 ht="17.25" customHeight="1">
      <c r="A901" s="158"/>
      <c r="B901" s="158"/>
      <c r="C901" s="158"/>
      <c r="D901" s="158"/>
      <c r="E901" s="158"/>
      <c r="F901" s="158"/>
      <c r="G901" s="99"/>
      <c r="H901" s="158"/>
      <c r="I901" s="158"/>
      <c r="J901" s="158"/>
      <c r="K901" s="158"/>
      <c r="L901" s="158"/>
      <c r="M901" s="104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 ht="17.25" customHeight="1">
      <c r="A902" s="158"/>
      <c r="B902" s="158"/>
      <c r="C902" s="158"/>
      <c r="D902" s="158"/>
      <c r="E902" s="158"/>
      <c r="F902" s="158"/>
      <c r="G902" s="99"/>
      <c r="H902" s="158"/>
      <c r="I902" s="158"/>
      <c r="J902" s="158"/>
      <c r="K902" s="158"/>
      <c r="L902" s="158"/>
      <c r="M902" s="104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 ht="17.25" customHeight="1">
      <c r="A903" s="158"/>
      <c r="B903" s="158"/>
      <c r="C903" s="158"/>
      <c r="D903" s="158"/>
      <c r="E903" s="158"/>
      <c r="F903" s="158"/>
      <c r="G903" s="99"/>
      <c r="H903" s="158"/>
      <c r="I903" s="158"/>
      <c r="J903" s="158"/>
      <c r="K903" s="158"/>
      <c r="L903" s="158"/>
      <c r="M903" s="104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 ht="17.25" customHeight="1">
      <c r="A904" s="158"/>
      <c r="B904" s="158"/>
      <c r="C904" s="158"/>
      <c r="D904" s="158"/>
      <c r="E904" s="158"/>
      <c r="F904" s="158"/>
      <c r="G904" s="99"/>
      <c r="H904" s="158"/>
      <c r="I904" s="158"/>
      <c r="J904" s="158"/>
      <c r="K904" s="158"/>
      <c r="L904" s="158"/>
      <c r="M904" s="104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</row>
    <row r="905" ht="17.25" customHeight="1">
      <c r="A905" s="158"/>
      <c r="B905" s="158"/>
      <c r="C905" s="158"/>
      <c r="D905" s="158"/>
      <c r="E905" s="158"/>
      <c r="F905" s="158"/>
      <c r="G905" s="99"/>
      <c r="H905" s="158"/>
      <c r="I905" s="158"/>
      <c r="J905" s="158"/>
      <c r="K905" s="158"/>
      <c r="L905" s="158"/>
      <c r="M905" s="104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 ht="17.25" customHeight="1">
      <c r="A906" s="158"/>
      <c r="B906" s="158"/>
      <c r="C906" s="158"/>
      <c r="D906" s="158"/>
      <c r="E906" s="158"/>
      <c r="F906" s="158"/>
      <c r="G906" s="99"/>
      <c r="H906" s="158"/>
      <c r="I906" s="158"/>
      <c r="J906" s="158"/>
      <c r="K906" s="158"/>
      <c r="L906" s="158"/>
      <c r="M906" s="104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</row>
    <row r="907" ht="17.25" customHeight="1">
      <c r="A907" s="158"/>
      <c r="B907" s="158"/>
      <c r="C907" s="158"/>
      <c r="D907" s="158"/>
      <c r="E907" s="158"/>
      <c r="F907" s="158"/>
      <c r="G907" s="99"/>
      <c r="H907" s="158"/>
      <c r="I907" s="158"/>
      <c r="J907" s="158"/>
      <c r="K907" s="158"/>
      <c r="L907" s="158"/>
      <c r="M907" s="104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</row>
    <row r="908" ht="17.25" customHeight="1">
      <c r="A908" s="158"/>
      <c r="B908" s="158"/>
      <c r="C908" s="158"/>
      <c r="D908" s="158"/>
      <c r="E908" s="158"/>
      <c r="F908" s="158"/>
      <c r="G908" s="99"/>
      <c r="H908" s="158"/>
      <c r="I908" s="158"/>
      <c r="J908" s="158"/>
      <c r="K908" s="158"/>
      <c r="L908" s="158"/>
      <c r="M908" s="104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</row>
    <row r="909" ht="17.25" customHeight="1">
      <c r="A909" s="158"/>
      <c r="B909" s="158"/>
      <c r="C909" s="158"/>
      <c r="D909" s="158"/>
      <c r="E909" s="158"/>
      <c r="F909" s="158"/>
      <c r="G909" s="99"/>
      <c r="H909" s="158"/>
      <c r="I909" s="158"/>
      <c r="J909" s="158"/>
      <c r="K909" s="158"/>
      <c r="L909" s="158"/>
      <c r="M909" s="104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</row>
    <row r="910" ht="17.25" customHeight="1">
      <c r="A910" s="158"/>
      <c r="B910" s="158"/>
      <c r="C910" s="158"/>
      <c r="D910" s="158"/>
      <c r="E910" s="158"/>
      <c r="F910" s="158"/>
      <c r="G910" s="99"/>
      <c r="H910" s="158"/>
      <c r="I910" s="158"/>
      <c r="J910" s="158"/>
      <c r="K910" s="158"/>
      <c r="L910" s="158"/>
      <c r="M910" s="104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 ht="17.25" customHeight="1">
      <c r="A911" s="158"/>
      <c r="B911" s="158"/>
      <c r="C911" s="158"/>
      <c r="D911" s="158"/>
      <c r="E911" s="158"/>
      <c r="F911" s="158"/>
      <c r="G911" s="99"/>
      <c r="H911" s="158"/>
      <c r="I911" s="158"/>
      <c r="J911" s="158"/>
      <c r="K911" s="158"/>
      <c r="L911" s="158"/>
      <c r="M911" s="104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</row>
    <row r="912" ht="17.25" customHeight="1">
      <c r="A912" s="158"/>
      <c r="B912" s="158"/>
      <c r="C912" s="158"/>
      <c r="D912" s="158"/>
      <c r="E912" s="158"/>
      <c r="F912" s="158"/>
      <c r="G912" s="99"/>
      <c r="H912" s="158"/>
      <c r="I912" s="158"/>
      <c r="J912" s="158"/>
      <c r="K912" s="158"/>
      <c r="L912" s="158"/>
      <c r="M912" s="104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</row>
    <row r="913" ht="17.25" customHeight="1">
      <c r="A913" s="158"/>
      <c r="B913" s="158"/>
      <c r="C913" s="158"/>
      <c r="D913" s="158"/>
      <c r="E913" s="158"/>
      <c r="F913" s="158"/>
      <c r="G913" s="99"/>
      <c r="H913" s="158"/>
      <c r="I913" s="158"/>
      <c r="J913" s="158"/>
      <c r="K913" s="158"/>
      <c r="L913" s="158"/>
      <c r="M913" s="104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 ht="17.25" customHeight="1">
      <c r="A914" s="158"/>
      <c r="B914" s="158"/>
      <c r="C914" s="158"/>
      <c r="D914" s="158"/>
      <c r="E914" s="158"/>
      <c r="F914" s="158"/>
      <c r="G914" s="99"/>
      <c r="H914" s="158"/>
      <c r="I914" s="158"/>
      <c r="J914" s="158"/>
      <c r="K914" s="158"/>
      <c r="L914" s="158"/>
      <c r="M914" s="104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 ht="17.25" customHeight="1">
      <c r="A915" s="158"/>
      <c r="B915" s="158"/>
      <c r="C915" s="158"/>
      <c r="D915" s="158"/>
      <c r="E915" s="158"/>
      <c r="F915" s="158"/>
      <c r="G915" s="99"/>
      <c r="H915" s="158"/>
      <c r="I915" s="158"/>
      <c r="J915" s="158"/>
      <c r="K915" s="158"/>
      <c r="L915" s="158"/>
      <c r="M915" s="104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</row>
    <row r="916" ht="17.25" customHeight="1">
      <c r="A916" s="158"/>
      <c r="B916" s="158"/>
      <c r="C916" s="158"/>
      <c r="D916" s="158"/>
      <c r="E916" s="158"/>
      <c r="F916" s="158"/>
      <c r="G916" s="99"/>
      <c r="H916" s="158"/>
      <c r="I916" s="158"/>
      <c r="J916" s="158"/>
      <c r="K916" s="158"/>
      <c r="L916" s="158"/>
      <c r="M916" s="104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</row>
    <row r="917" ht="17.25" customHeight="1">
      <c r="A917" s="158"/>
      <c r="B917" s="158"/>
      <c r="C917" s="158"/>
      <c r="D917" s="158"/>
      <c r="E917" s="158"/>
      <c r="F917" s="158"/>
      <c r="G917" s="99"/>
      <c r="H917" s="158"/>
      <c r="I917" s="158"/>
      <c r="J917" s="158"/>
      <c r="K917" s="158"/>
      <c r="L917" s="158"/>
      <c r="M917" s="104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</row>
    <row r="918" ht="17.25" customHeight="1">
      <c r="A918" s="158"/>
      <c r="B918" s="158"/>
      <c r="C918" s="158"/>
      <c r="D918" s="158"/>
      <c r="E918" s="158"/>
      <c r="F918" s="158"/>
      <c r="G918" s="99"/>
      <c r="H918" s="158"/>
      <c r="I918" s="158"/>
      <c r="J918" s="158"/>
      <c r="K918" s="158"/>
      <c r="L918" s="158"/>
      <c r="M918" s="104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 ht="17.25" customHeight="1">
      <c r="A919" s="158"/>
      <c r="B919" s="158"/>
      <c r="C919" s="158"/>
      <c r="D919" s="158"/>
      <c r="E919" s="158"/>
      <c r="F919" s="158"/>
      <c r="G919" s="99"/>
      <c r="H919" s="158"/>
      <c r="I919" s="158"/>
      <c r="J919" s="158"/>
      <c r="K919" s="158"/>
      <c r="L919" s="158"/>
      <c r="M919" s="104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 ht="17.25" customHeight="1">
      <c r="A920" s="158"/>
      <c r="B920" s="158"/>
      <c r="C920" s="158"/>
      <c r="D920" s="158"/>
      <c r="E920" s="158"/>
      <c r="F920" s="158"/>
      <c r="G920" s="99"/>
      <c r="H920" s="158"/>
      <c r="I920" s="158"/>
      <c r="J920" s="158"/>
      <c r="K920" s="158"/>
      <c r="L920" s="158"/>
      <c r="M920" s="104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</row>
    <row r="921" ht="17.25" customHeight="1">
      <c r="A921" s="158"/>
      <c r="B921" s="158"/>
      <c r="C921" s="158"/>
      <c r="D921" s="158"/>
      <c r="E921" s="158"/>
      <c r="F921" s="158"/>
      <c r="G921" s="99"/>
      <c r="H921" s="158"/>
      <c r="I921" s="158"/>
      <c r="J921" s="158"/>
      <c r="K921" s="158"/>
      <c r="L921" s="158"/>
      <c r="M921" s="104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 ht="17.25" customHeight="1">
      <c r="A922" s="158"/>
      <c r="B922" s="158"/>
      <c r="C922" s="158"/>
      <c r="D922" s="158"/>
      <c r="E922" s="158"/>
      <c r="F922" s="158"/>
      <c r="G922" s="99"/>
      <c r="H922" s="158"/>
      <c r="I922" s="158"/>
      <c r="J922" s="158"/>
      <c r="K922" s="158"/>
      <c r="L922" s="158"/>
      <c r="M922" s="104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</row>
    <row r="923" ht="17.25" customHeight="1">
      <c r="A923" s="158"/>
      <c r="B923" s="158"/>
      <c r="C923" s="158"/>
      <c r="D923" s="158"/>
      <c r="E923" s="158"/>
      <c r="F923" s="158"/>
      <c r="G923" s="99"/>
      <c r="H923" s="158"/>
      <c r="I923" s="158"/>
      <c r="J923" s="158"/>
      <c r="K923" s="158"/>
      <c r="L923" s="158"/>
      <c r="M923" s="104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 ht="17.25" customHeight="1">
      <c r="A924" s="158"/>
      <c r="B924" s="158"/>
      <c r="C924" s="158"/>
      <c r="D924" s="158"/>
      <c r="E924" s="158"/>
      <c r="F924" s="158"/>
      <c r="G924" s="99"/>
      <c r="H924" s="158"/>
      <c r="I924" s="158"/>
      <c r="J924" s="158"/>
      <c r="K924" s="158"/>
      <c r="L924" s="158"/>
      <c r="M924" s="104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 ht="17.25" customHeight="1">
      <c r="A925" s="158"/>
      <c r="B925" s="158"/>
      <c r="C925" s="158"/>
      <c r="D925" s="158"/>
      <c r="E925" s="158"/>
      <c r="F925" s="158"/>
      <c r="G925" s="99"/>
      <c r="H925" s="158"/>
      <c r="I925" s="158"/>
      <c r="J925" s="158"/>
      <c r="K925" s="158"/>
      <c r="L925" s="158"/>
      <c r="M925" s="104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  <row r="926" ht="17.25" customHeight="1">
      <c r="A926" s="158"/>
      <c r="B926" s="158"/>
      <c r="C926" s="158"/>
      <c r="D926" s="158"/>
      <c r="E926" s="158"/>
      <c r="F926" s="158"/>
      <c r="G926" s="99"/>
      <c r="H926" s="158"/>
      <c r="I926" s="158"/>
      <c r="J926" s="158"/>
      <c r="K926" s="158"/>
      <c r="L926" s="158"/>
      <c r="M926" s="104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</row>
    <row r="927" ht="17.25" customHeight="1">
      <c r="A927" s="158"/>
      <c r="B927" s="158"/>
      <c r="C927" s="158"/>
      <c r="D927" s="158"/>
      <c r="E927" s="158"/>
      <c r="F927" s="158"/>
      <c r="G927" s="99"/>
      <c r="H927" s="158"/>
      <c r="I927" s="158"/>
      <c r="J927" s="158"/>
      <c r="K927" s="158"/>
      <c r="L927" s="158"/>
      <c r="M927" s="104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</row>
    <row r="928" ht="17.25" customHeight="1">
      <c r="A928" s="158"/>
      <c r="B928" s="158"/>
      <c r="C928" s="158"/>
      <c r="D928" s="158"/>
      <c r="E928" s="158"/>
      <c r="F928" s="158"/>
      <c r="G928" s="99"/>
      <c r="H928" s="158"/>
      <c r="I928" s="158"/>
      <c r="J928" s="158"/>
      <c r="K928" s="158"/>
      <c r="L928" s="158"/>
      <c r="M928" s="104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</row>
    <row r="929" ht="17.25" customHeight="1">
      <c r="A929" s="158"/>
      <c r="B929" s="158"/>
      <c r="C929" s="158"/>
      <c r="D929" s="158"/>
      <c r="E929" s="158"/>
      <c r="F929" s="158"/>
      <c r="G929" s="99"/>
      <c r="H929" s="158"/>
      <c r="I929" s="158"/>
      <c r="J929" s="158"/>
      <c r="K929" s="158"/>
      <c r="L929" s="158"/>
      <c r="M929" s="104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</row>
    <row r="930" ht="17.25" customHeight="1">
      <c r="A930" s="158"/>
      <c r="B930" s="158"/>
      <c r="C930" s="158"/>
      <c r="D930" s="158"/>
      <c r="E930" s="158"/>
      <c r="F930" s="158"/>
      <c r="G930" s="99"/>
      <c r="H930" s="158"/>
      <c r="I930" s="158"/>
      <c r="J930" s="158"/>
      <c r="K930" s="158"/>
      <c r="L930" s="158"/>
      <c r="M930" s="104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</row>
    <row r="931" ht="17.25" customHeight="1">
      <c r="A931" s="158"/>
      <c r="B931" s="158"/>
      <c r="C931" s="158"/>
      <c r="D931" s="158"/>
      <c r="E931" s="158"/>
      <c r="F931" s="158"/>
      <c r="G931" s="99"/>
      <c r="H931" s="158"/>
      <c r="I931" s="158"/>
      <c r="J931" s="158"/>
      <c r="K931" s="158"/>
      <c r="L931" s="158"/>
      <c r="M931" s="104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</row>
    <row r="932" ht="17.25" customHeight="1">
      <c r="A932" s="158"/>
      <c r="B932" s="158"/>
      <c r="C932" s="158"/>
      <c r="D932" s="158"/>
      <c r="E932" s="158"/>
      <c r="F932" s="158"/>
      <c r="G932" s="99"/>
      <c r="H932" s="158"/>
      <c r="I932" s="158"/>
      <c r="J932" s="158"/>
      <c r="K932" s="158"/>
      <c r="L932" s="158"/>
      <c r="M932" s="104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</row>
    <row r="933" ht="17.25" customHeight="1">
      <c r="A933" s="158"/>
      <c r="B933" s="158"/>
      <c r="C933" s="158"/>
      <c r="D933" s="158"/>
      <c r="E933" s="158"/>
      <c r="F933" s="158"/>
      <c r="G933" s="99"/>
      <c r="H933" s="158"/>
      <c r="I933" s="158"/>
      <c r="J933" s="158"/>
      <c r="K933" s="158"/>
      <c r="L933" s="158"/>
      <c r="M933" s="104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</row>
    <row r="934" ht="17.25" customHeight="1">
      <c r="A934" s="158"/>
      <c r="B934" s="158"/>
      <c r="C934" s="158"/>
      <c r="D934" s="158"/>
      <c r="E934" s="158"/>
      <c r="F934" s="158"/>
      <c r="G934" s="99"/>
      <c r="H934" s="158"/>
      <c r="I934" s="158"/>
      <c r="J934" s="158"/>
      <c r="K934" s="158"/>
      <c r="L934" s="158"/>
      <c r="M934" s="104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</row>
    <row r="935" ht="17.25" customHeight="1">
      <c r="A935" s="158"/>
      <c r="B935" s="158"/>
      <c r="C935" s="158"/>
      <c r="D935" s="158"/>
      <c r="E935" s="158"/>
      <c r="F935" s="158"/>
      <c r="G935" s="99"/>
      <c r="H935" s="158"/>
      <c r="I935" s="158"/>
      <c r="J935" s="158"/>
      <c r="K935" s="158"/>
      <c r="L935" s="158"/>
      <c r="M935" s="104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</row>
    <row r="936" ht="17.25" customHeight="1">
      <c r="A936" s="158"/>
      <c r="B936" s="158"/>
      <c r="C936" s="158"/>
      <c r="D936" s="158"/>
      <c r="E936" s="158"/>
      <c r="F936" s="158"/>
      <c r="G936" s="99"/>
      <c r="H936" s="158"/>
      <c r="I936" s="158"/>
      <c r="J936" s="158"/>
      <c r="K936" s="158"/>
      <c r="L936" s="158"/>
      <c r="M936" s="104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</row>
    <row r="937" ht="17.25" customHeight="1">
      <c r="A937" s="158"/>
      <c r="B937" s="158"/>
      <c r="C937" s="158"/>
      <c r="D937" s="158"/>
      <c r="E937" s="158"/>
      <c r="F937" s="158"/>
      <c r="G937" s="99"/>
      <c r="H937" s="158"/>
      <c r="I937" s="158"/>
      <c r="J937" s="158"/>
      <c r="K937" s="158"/>
      <c r="L937" s="158"/>
      <c r="M937" s="104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</row>
    <row r="938" ht="17.25" customHeight="1">
      <c r="A938" s="158"/>
      <c r="B938" s="158"/>
      <c r="C938" s="158"/>
      <c r="D938" s="158"/>
      <c r="E938" s="158"/>
      <c r="F938" s="158"/>
      <c r="G938" s="99"/>
      <c r="H938" s="158"/>
      <c r="I938" s="158"/>
      <c r="J938" s="158"/>
      <c r="K938" s="158"/>
      <c r="L938" s="158"/>
      <c r="M938" s="104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</row>
    <row r="939" ht="17.25" customHeight="1">
      <c r="A939" s="158"/>
      <c r="B939" s="158"/>
      <c r="C939" s="158"/>
      <c r="D939" s="158"/>
      <c r="E939" s="158"/>
      <c r="F939" s="158"/>
      <c r="G939" s="99"/>
      <c r="H939" s="158"/>
      <c r="I939" s="158"/>
      <c r="J939" s="158"/>
      <c r="K939" s="158"/>
      <c r="L939" s="158"/>
      <c r="M939" s="104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</row>
    <row r="940" ht="17.25" customHeight="1">
      <c r="A940" s="158"/>
      <c r="B940" s="158"/>
      <c r="C940" s="158"/>
      <c r="D940" s="158"/>
      <c r="E940" s="158"/>
      <c r="F940" s="158"/>
      <c r="G940" s="99"/>
      <c r="H940" s="158"/>
      <c r="I940" s="158"/>
      <c r="J940" s="158"/>
      <c r="K940" s="158"/>
      <c r="L940" s="158"/>
      <c r="M940" s="104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</row>
    <row r="941" ht="17.25" customHeight="1">
      <c r="A941" s="158"/>
      <c r="B941" s="158"/>
      <c r="C941" s="158"/>
      <c r="D941" s="158"/>
      <c r="E941" s="158"/>
      <c r="F941" s="158"/>
      <c r="G941" s="99"/>
      <c r="H941" s="158"/>
      <c r="I941" s="158"/>
      <c r="J941" s="158"/>
      <c r="K941" s="158"/>
      <c r="L941" s="158"/>
      <c r="M941" s="104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</row>
    <row r="942" ht="17.25" customHeight="1">
      <c r="A942" s="158"/>
      <c r="B942" s="158"/>
      <c r="C942" s="158"/>
      <c r="D942" s="158"/>
      <c r="E942" s="158"/>
      <c r="F942" s="158"/>
      <c r="G942" s="99"/>
      <c r="H942" s="158"/>
      <c r="I942" s="158"/>
      <c r="J942" s="158"/>
      <c r="K942" s="158"/>
      <c r="L942" s="158"/>
      <c r="M942" s="104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</row>
    <row r="943" ht="17.25" customHeight="1">
      <c r="A943" s="158"/>
      <c r="B943" s="158"/>
      <c r="C943" s="158"/>
      <c r="D943" s="158"/>
      <c r="E943" s="158"/>
      <c r="F943" s="158"/>
      <c r="G943" s="99"/>
      <c r="H943" s="158"/>
      <c r="I943" s="158"/>
      <c r="J943" s="158"/>
      <c r="K943" s="158"/>
      <c r="L943" s="158"/>
      <c r="M943" s="104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</row>
    <row r="944" ht="17.25" customHeight="1">
      <c r="A944" s="158"/>
      <c r="B944" s="158"/>
      <c r="C944" s="158"/>
      <c r="D944" s="158"/>
      <c r="E944" s="158"/>
      <c r="F944" s="158"/>
      <c r="G944" s="99"/>
      <c r="H944" s="158"/>
      <c r="I944" s="158"/>
      <c r="J944" s="158"/>
      <c r="K944" s="158"/>
      <c r="L944" s="158"/>
      <c r="M944" s="104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</row>
    <row r="945" ht="17.25" customHeight="1">
      <c r="A945" s="158"/>
      <c r="B945" s="158"/>
      <c r="C945" s="158"/>
      <c r="D945" s="158"/>
      <c r="E945" s="158"/>
      <c r="F945" s="158"/>
      <c r="G945" s="99"/>
      <c r="H945" s="158"/>
      <c r="I945" s="158"/>
      <c r="J945" s="158"/>
      <c r="K945" s="158"/>
      <c r="L945" s="158"/>
      <c r="M945" s="104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</row>
    <row r="946" ht="17.25" customHeight="1">
      <c r="A946" s="158"/>
      <c r="B946" s="158"/>
      <c r="C946" s="158"/>
      <c r="D946" s="158"/>
      <c r="E946" s="158"/>
      <c r="F946" s="158"/>
      <c r="G946" s="99"/>
      <c r="H946" s="158"/>
      <c r="I946" s="158"/>
      <c r="J946" s="158"/>
      <c r="K946" s="158"/>
      <c r="L946" s="158"/>
      <c r="M946" s="104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</row>
    <row r="947" ht="17.25" customHeight="1">
      <c r="A947" s="158"/>
      <c r="B947" s="158"/>
      <c r="C947" s="158"/>
      <c r="D947" s="158"/>
      <c r="E947" s="158"/>
      <c r="F947" s="158"/>
      <c r="G947" s="99"/>
      <c r="H947" s="158"/>
      <c r="I947" s="158"/>
      <c r="J947" s="158"/>
      <c r="K947" s="158"/>
      <c r="L947" s="158"/>
      <c r="M947" s="104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</row>
    <row r="948" ht="17.25" customHeight="1">
      <c r="A948" s="158"/>
      <c r="B948" s="158"/>
      <c r="C948" s="158"/>
      <c r="D948" s="158"/>
      <c r="E948" s="158"/>
      <c r="F948" s="158"/>
      <c r="G948" s="99"/>
      <c r="H948" s="158"/>
      <c r="I948" s="158"/>
      <c r="J948" s="158"/>
      <c r="K948" s="158"/>
      <c r="L948" s="158"/>
      <c r="M948" s="104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</row>
    <row r="949" ht="17.25" customHeight="1">
      <c r="A949" s="158"/>
      <c r="B949" s="158"/>
      <c r="C949" s="158"/>
      <c r="D949" s="158"/>
      <c r="E949" s="158"/>
      <c r="F949" s="158"/>
      <c r="G949" s="99"/>
      <c r="H949" s="158"/>
      <c r="I949" s="158"/>
      <c r="J949" s="158"/>
      <c r="K949" s="158"/>
      <c r="L949" s="158"/>
      <c r="M949" s="104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</row>
    <row r="950" ht="17.25" customHeight="1">
      <c r="A950" s="158"/>
      <c r="B950" s="158"/>
      <c r="C950" s="158"/>
      <c r="D950" s="158"/>
      <c r="E950" s="158"/>
      <c r="F950" s="158"/>
      <c r="G950" s="99"/>
      <c r="H950" s="158"/>
      <c r="I950" s="158"/>
      <c r="J950" s="158"/>
      <c r="K950" s="158"/>
      <c r="L950" s="158"/>
      <c r="M950" s="104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</row>
    <row r="951" ht="17.25" customHeight="1">
      <c r="A951" s="158"/>
      <c r="B951" s="158"/>
      <c r="C951" s="158"/>
      <c r="D951" s="158"/>
      <c r="E951" s="158"/>
      <c r="F951" s="158"/>
      <c r="G951" s="99"/>
      <c r="H951" s="158"/>
      <c r="I951" s="158"/>
      <c r="J951" s="158"/>
      <c r="K951" s="158"/>
      <c r="L951" s="158"/>
      <c r="M951" s="104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</row>
    <row r="952" ht="17.25" customHeight="1">
      <c r="A952" s="158"/>
      <c r="B952" s="158"/>
      <c r="C952" s="158"/>
      <c r="D952" s="158"/>
      <c r="E952" s="158"/>
      <c r="F952" s="158"/>
      <c r="G952" s="99"/>
      <c r="H952" s="158"/>
      <c r="I952" s="158"/>
      <c r="J952" s="158"/>
      <c r="K952" s="158"/>
      <c r="L952" s="158"/>
      <c r="M952" s="104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</row>
    <row r="953" ht="17.25" customHeight="1">
      <c r="A953" s="158"/>
      <c r="B953" s="158"/>
      <c r="C953" s="158"/>
      <c r="D953" s="158"/>
      <c r="E953" s="158"/>
      <c r="F953" s="158"/>
      <c r="G953" s="99"/>
      <c r="H953" s="158"/>
      <c r="I953" s="158"/>
      <c r="J953" s="158"/>
      <c r="K953" s="158"/>
      <c r="L953" s="158"/>
      <c r="M953" s="104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</row>
    <row r="954" ht="17.25" customHeight="1">
      <c r="A954" s="158"/>
      <c r="B954" s="158"/>
      <c r="C954" s="158"/>
      <c r="D954" s="158"/>
      <c r="E954" s="158"/>
      <c r="F954" s="158"/>
      <c r="G954" s="99"/>
      <c r="H954" s="158"/>
      <c r="I954" s="158"/>
      <c r="J954" s="158"/>
      <c r="K954" s="158"/>
      <c r="L954" s="158"/>
      <c r="M954" s="104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</row>
    <row r="955" ht="17.25" customHeight="1">
      <c r="A955" s="158"/>
      <c r="B955" s="158"/>
      <c r="C955" s="158"/>
      <c r="D955" s="158"/>
      <c r="E955" s="158"/>
      <c r="F955" s="158"/>
      <c r="G955" s="99"/>
      <c r="H955" s="158"/>
      <c r="I955" s="158"/>
      <c r="J955" s="158"/>
      <c r="K955" s="158"/>
      <c r="L955" s="158"/>
      <c r="M955" s="104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</row>
    <row r="956" ht="17.25" customHeight="1">
      <c r="A956" s="158"/>
      <c r="B956" s="158"/>
      <c r="C956" s="158"/>
      <c r="D956" s="158"/>
      <c r="E956" s="158"/>
      <c r="F956" s="158"/>
      <c r="G956" s="99"/>
      <c r="H956" s="158"/>
      <c r="I956" s="158"/>
      <c r="J956" s="158"/>
      <c r="K956" s="158"/>
      <c r="L956" s="158"/>
      <c r="M956" s="104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</row>
    <row r="957" ht="17.25" customHeight="1">
      <c r="A957" s="158"/>
      <c r="B957" s="158"/>
      <c r="C957" s="158"/>
      <c r="D957" s="158"/>
      <c r="E957" s="158"/>
      <c r="F957" s="158"/>
      <c r="G957" s="99"/>
      <c r="H957" s="158"/>
      <c r="I957" s="158"/>
      <c r="J957" s="158"/>
      <c r="K957" s="158"/>
      <c r="L957" s="158"/>
      <c r="M957" s="104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</row>
    <row r="958" ht="17.25" customHeight="1">
      <c r="A958" s="158"/>
      <c r="B958" s="158"/>
      <c r="C958" s="158"/>
      <c r="D958" s="158"/>
      <c r="E958" s="158"/>
      <c r="F958" s="158"/>
      <c r="G958" s="99"/>
      <c r="H958" s="158"/>
      <c r="I958" s="158"/>
      <c r="J958" s="158"/>
      <c r="K958" s="158"/>
      <c r="L958" s="158"/>
      <c r="M958" s="104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</row>
    <row r="959" ht="17.25" customHeight="1">
      <c r="A959" s="158"/>
      <c r="B959" s="158"/>
      <c r="C959" s="158"/>
      <c r="D959" s="158"/>
      <c r="E959" s="158"/>
      <c r="F959" s="158"/>
      <c r="G959" s="99"/>
      <c r="H959" s="158"/>
      <c r="I959" s="158"/>
      <c r="J959" s="158"/>
      <c r="K959" s="158"/>
      <c r="L959" s="158"/>
      <c r="M959" s="104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</row>
    <row r="960" ht="17.25" customHeight="1">
      <c r="A960" s="158"/>
      <c r="B960" s="158"/>
      <c r="C960" s="158"/>
      <c r="D960" s="158"/>
      <c r="E960" s="158"/>
      <c r="F960" s="158"/>
      <c r="G960" s="99"/>
      <c r="H960" s="158"/>
      <c r="I960" s="158"/>
      <c r="J960" s="158"/>
      <c r="K960" s="158"/>
      <c r="L960" s="158"/>
      <c r="M960" s="104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</row>
    <row r="961" ht="17.25" customHeight="1">
      <c r="A961" s="158"/>
      <c r="B961" s="158"/>
      <c r="C961" s="158"/>
      <c r="D961" s="158"/>
      <c r="E961" s="158"/>
      <c r="F961" s="158"/>
      <c r="G961" s="99"/>
      <c r="H961" s="158"/>
      <c r="I961" s="158"/>
      <c r="J961" s="158"/>
      <c r="K961" s="158"/>
      <c r="L961" s="158"/>
      <c r="M961" s="104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</row>
    <row r="962" ht="17.25" customHeight="1">
      <c r="A962" s="158"/>
      <c r="B962" s="158"/>
      <c r="C962" s="158"/>
      <c r="D962" s="158"/>
      <c r="E962" s="158"/>
      <c r="F962" s="158"/>
      <c r="G962" s="99"/>
      <c r="H962" s="158"/>
      <c r="I962" s="158"/>
      <c r="J962" s="158"/>
      <c r="K962" s="158"/>
      <c r="L962" s="158"/>
      <c r="M962" s="104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</row>
    <row r="963" ht="17.25" customHeight="1">
      <c r="A963" s="158"/>
      <c r="B963" s="158"/>
      <c r="C963" s="158"/>
      <c r="D963" s="158"/>
      <c r="E963" s="158"/>
      <c r="F963" s="158"/>
      <c r="G963" s="99"/>
      <c r="H963" s="158"/>
      <c r="I963" s="158"/>
      <c r="J963" s="158"/>
      <c r="K963" s="158"/>
      <c r="L963" s="158"/>
      <c r="M963" s="104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</row>
    <row r="964" ht="17.25" customHeight="1">
      <c r="A964" s="158"/>
      <c r="B964" s="158"/>
      <c r="C964" s="158"/>
      <c r="D964" s="158"/>
      <c r="E964" s="158"/>
      <c r="F964" s="158"/>
      <c r="G964" s="99"/>
      <c r="H964" s="158"/>
      <c r="I964" s="158"/>
      <c r="J964" s="158"/>
      <c r="K964" s="158"/>
      <c r="L964" s="158"/>
      <c r="M964" s="104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</row>
    <row r="965" ht="17.25" customHeight="1">
      <c r="A965" s="158"/>
      <c r="B965" s="158"/>
      <c r="C965" s="158"/>
      <c r="D965" s="158"/>
      <c r="E965" s="158"/>
      <c r="F965" s="158"/>
      <c r="G965" s="99"/>
      <c r="H965" s="158"/>
      <c r="I965" s="158"/>
      <c r="J965" s="158"/>
      <c r="K965" s="158"/>
      <c r="L965" s="158"/>
      <c r="M965" s="104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</row>
    <row r="966" ht="17.25" customHeight="1">
      <c r="A966" s="158"/>
      <c r="B966" s="158"/>
      <c r="C966" s="158"/>
      <c r="D966" s="158"/>
      <c r="E966" s="158"/>
      <c r="F966" s="158"/>
      <c r="G966" s="99"/>
      <c r="H966" s="158"/>
      <c r="I966" s="158"/>
      <c r="J966" s="158"/>
      <c r="K966" s="158"/>
      <c r="L966" s="158"/>
      <c r="M966" s="104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</row>
    <row r="967" ht="17.25" customHeight="1">
      <c r="A967" s="158"/>
      <c r="B967" s="158"/>
      <c r="C967" s="158"/>
      <c r="D967" s="158"/>
      <c r="E967" s="158"/>
      <c r="F967" s="158"/>
      <c r="G967" s="99"/>
      <c r="H967" s="158"/>
      <c r="I967" s="158"/>
      <c r="J967" s="158"/>
      <c r="K967" s="158"/>
      <c r="L967" s="158"/>
      <c r="M967" s="104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</row>
    <row r="968" ht="17.25" customHeight="1">
      <c r="A968" s="158"/>
      <c r="B968" s="158"/>
      <c r="C968" s="158"/>
      <c r="D968" s="158"/>
      <c r="E968" s="158"/>
      <c r="F968" s="158"/>
      <c r="G968" s="99"/>
      <c r="H968" s="158"/>
      <c r="I968" s="158"/>
      <c r="J968" s="158"/>
      <c r="K968" s="158"/>
      <c r="L968" s="158"/>
      <c r="M968" s="104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</row>
    <row r="969" ht="17.25" customHeight="1">
      <c r="A969" s="158"/>
      <c r="B969" s="158"/>
      <c r="C969" s="158"/>
      <c r="D969" s="158"/>
      <c r="E969" s="158"/>
      <c r="F969" s="158"/>
      <c r="G969" s="99"/>
      <c r="H969" s="158"/>
      <c r="I969" s="158"/>
      <c r="J969" s="158"/>
      <c r="K969" s="158"/>
      <c r="L969" s="158"/>
      <c r="M969" s="104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</row>
    <row r="970" ht="17.25" customHeight="1">
      <c r="A970" s="158"/>
      <c r="B970" s="158"/>
      <c r="C970" s="158"/>
      <c r="D970" s="158"/>
      <c r="E970" s="158"/>
      <c r="F970" s="158"/>
      <c r="G970" s="99"/>
      <c r="H970" s="158"/>
      <c r="I970" s="158"/>
      <c r="J970" s="158"/>
      <c r="K970" s="158"/>
      <c r="L970" s="158"/>
      <c r="M970" s="104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</row>
    <row r="971" ht="17.25" customHeight="1">
      <c r="A971" s="158"/>
      <c r="B971" s="158"/>
      <c r="C971" s="158"/>
      <c r="D971" s="158"/>
      <c r="E971" s="158"/>
      <c r="F971" s="158"/>
      <c r="G971" s="99"/>
      <c r="H971" s="158"/>
      <c r="I971" s="158"/>
      <c r="J971" s="158"/>
      <c r="K971" s="158"/>
      <c r="L971" s="158"/>
      <c r="M971" s="104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</row>
    <row r="972" ht="17.25" customHeight="1">
      <c r="A972" s="158"/>
      <c r="B972" s="158"/>
      <c r="C972" s="158"/>
      <c r="D972" s="158"/>
      <c r="E972" s="158"/>
      <c r="F972" s="158"/>
      <c r="G972" s="99"/>
      <c r="H972" s="158"/>
      <c r="I972" s="158"/>
      <c r="J972" s="158"/>
      <c r="K972" s="158"/>
      <c r="L972" s="158"/>
      <c r="M972" s="104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</row>
    <row r="973" ht="17.25" customHeight="1">
      <c r="A973" s="158"/>
      <c r="B973" s="158"/>
      <c r="C973" s="158"/>
      <c r="D973" s="158"/>
      <c r="E973" s="158"/>
      <c r="F973" s="158"/>
      <c r="G973" s="99"/>
      <c r="H973" s="158"/>
      <c r="I973" s="158"/>
      <c r="J973" s="158"/>
      <c r="K973" s="158"/>
      <c r="L973" s="158"/>
      <c r="M973" s="104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</row>
    <row r="974" ht="17.25" customHeight="1">
      <c r="A974" s="158"/>
      <c r="B974" s="158"/>
      <c r="C974" s="158"/>
      <c r="D974" s="158"/>
      <c r="E974" s="158"/>
      <c r="F974" s="158"/>
      <c r="G974" s="99"/>
      <c r="H974" s="158"/>
      <c r="I974" s="158"/>
      <c r="J974" s="158"/>
      <c r="K974" s="158"/>
      <c r="L974" s="158"/>
      <c r="M974" s="104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</row>
    <row r="975" ht="17.25" customHeight="1">
      <c r="A975" s="158"/>
      <c r="B975" s="158"/>
      <c r="C975" s="158"/>
      <c r="D975" s="158"/>
      <c r="E975" s="158"/>
      <c r="F975" s="158"/>
      <c r="G975" s="99"/>
      <c r="H975" s="158"/>
      <c r="I975" s="158"/>
      <c r="J975" s="158"/>
      <c r="K975" s="158"/>
      <c r="L975" s="158"/>
      <c r="M975" s="104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</row>
    <row r="976" ht="17.25" customHeight="1">
      <c r="A976" s="158"/>
      <c r="B976" s="158"/>
      <c r="C976" s="158"/>
      <c r="D976" s="158"/>
      <c r="E976" s="158"/>
      <c r="F976" s="158"/>
      <c r="G976" s="99"/>
      <c r="H976" s="158"/>
      <c r="I976" s="158"/>
      <c r="J976" s="158"/>
      <c r="K976" s="158"/>
      <c r="L976" s="158"/>
      <c r="M976" s="104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</row>
    <row r="977" ht="17.25" customHeight="1">
      <c r="A977" s="158"/>
      <c r="B977" s="158"/>
      <c r="C977" s="158"/>
      <c r="D977" s="158"/>
      <c r="E977" s="158"/>
      <c r="F977" s="158"/>
      <c r="G977" s="99"/>
      <c r="H977" s="158"/>
      <c r="I977" s="158"/>
      <c r="J977" s="158"/>
      <c r="K977" s="158"/>
      <c r="L977" s="158"/>
      <c r="M977" s="104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</row>
    <row r="978" ht="17.25" customHeight="1">
      <c r="A978" s="158"/>
      <c r="B978" s="158"/>
      <c r="C978" s="158"/>
      <c r="D978" s="158"/>
      <c r="E978" s="158"/>
      <c r="F978" s="158"/>
      <c r="G978" s="99"/>
      <c r="H978" s="158"/>
      <c r="I978" s="158"/>
      <c r="J978" s="158"/>
      <c r="K978" s="158"/>
      <c r="L978" s="158"/>
      <c r="M978" s="104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</row>
    <row r="979" ht="17.25" customHeight="1">
      <c r="A979" s="158"/>
      <c r="B979" s="158"/>
      <c r="C979" s="158"/>
      <c r="D979" s="158"/>
      <c r="E979" s="158"/>
      <c r="F979" s="158"/>
      <c r="G979" s="99"/>
      <c r="H979" s="158"/>
      <c r="I979" s="158"/>
      <c r="J979" s="158"/>
      <c r="K979" s="158"/>
      <c r="L979" s="158"/>
      <c r="M979" s="104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</row>
    <row r="980" ht="17.25" customHeight="1">
      <c r="A980" s="158"/>
      <c r="B980" s="158"/>
      <c r="C980" s="158"/>
      <c r="D980" s="158"/>
      <c r="E980" s="158"/>
      <c r="F980" s="158"/>
      <c r="G980" s="99"/>
      <c r="H980" s="158"/>
      <c r="I980" s="158"/>
      <c r="J980" s="158"/>
      <c r="K980" s="158"/>
      <c r="L980" s="158"/>
      <c r="M980" s="104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</row>
    <row r="981" ht="17.25" customHeight="1">
      <c r="A981" s="158"/>
      <c r="B981" s="158"/>
      <c r="C981" s="158"/>
      <c r="D981" s="158"/>
      <c r="E981" s="158"/>
      <c r="F981" s="158"/>
      <c r="G981" s="99"/>
      <c r="H981" s="158"/>
      <c r="I981" s="158"/>
      <c r="J981" s="158"/>
      <c r="K981" s="158"/>
      <c r="L981" s="158"/>
      <c r="M981" s="104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</row>
    <row r="982" ht="17.25" customHeight="1">
      <c r="A982" s="158"/>
      <c r="B982" s="158"/>
      <c r="C982" s="158"/>
      <c r="D982" s="158"/>
      <c r="E982" s="158"/>
      <c r="F982" s="158"/>
      <c r="G982" s="99"/>
      <c r="H982" s="158"/>
      <c r="I982" s="158"/>
      <c r="J982" s="158"/>
      <c r="K982" s="158"/>
      <c r="L982" s="158"/>
      <c r="M982" s="104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</row>
    <row r="983" ht="17.25" customHeight="1">
      <c r="A983" s="158"/>
      <c r="B983" s="158"/>
      <c r="C983" s="158"/>
      <c r="D983" s="158"/>
      <c r="E983" s="158"/>
      <c r="F983" s="158"/>
      <c r="G983" s="99"/>
      <c r="H983" s="158"/>
      <c r="I983" s="158"/>
      <c r="J983" s="158"/>
      <c r="K983" s="158"/>
      <c r="L983" s="158"/>
      <c r="M983" s="104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</row>
  </sheetData>
  <mergeCells count="1">
    <mergeCell ref="G1:G2"/>
  </mergeCells>
  <conditionalFormatting sqref="M3:M983">
    <cfRule type="notContainsBlanks" dxfId="0" priority="1">
      <formula>LEN(TRIM(M3))&gt;0</formula>
    </cfRule>
  </conditionalFormatting>
  <conditionalFormatting sqref="M3:M983">
    <cfRule type="notContainsBlanks" dxfId="0" priority="2">
      <formula>LEN(TRIM(M3))&gt;0</formula>
    </cfRule>
  </conditionalFormatting>
  <conditionalFormatting sqref="E3:E983 K3:K983">
    <cfRule type="notContainsBlanks" dxfId="2" priority="3">
      <formula>LEN(TRIM(E3))&gt;0</formula>
    </cfRule>
  </conditionalFormatting>
  <conditionalFormatting sqref="M3:M983">
    <cfRule type="notContainsBlanks" dxfId="2" priority="4">
      <formula>LEN(TRIM(M3))&gt;0</formula>
    </cfRule>
  </conditionalFormatting>
  <conditionalFormatting sqref="N71:Q77">
    <cfRule type="notContainsBlanks" dxfId="2" priority="5">
      <formula>LEN(TRIM(N71))&gt;0</formula>
    </cfRule>
  </conditionalFormatting>
  <dataValidations>
    <dataValidation type="custom" allowBlank="1" showDropDown="1" showInputMessage="1" showErrorMessage="1" prompt="ป้อนวันที่ที่ถูกต้อง" sqref="M3:M983">
      <formula1>OR(NOT(ISERROR(DATEVALUE(M3))), AND(ISNUMBER(M3), LEFT(CELL("format", M3))="D"))</formula1>
    </dataValidation>
    <dataValidation type="list" allowBlank="1" showErrorMessage="1" sqref="E3:E983 K3:K983">
      <formula1>"Sena Development,Sen-X,Solarenergy,Sena Idea,Sena MMS,ทีเค นวกิจ จำกัด,เสนา เอชเอชพี,เสนา ฮันคิว,เดอะ เซอร์วิส เรสซิเดนซ์ จำกัด"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1F1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10.13"/>
    <col customWidth="1" min="3" max="3" width="22.38"/>
    <col customWidth="1" min="4" max="4" width="27.13"/>
    <col customWidth="1" min="5" max="5" width="46.63"/>
    <col customWidth="1" min="6" max="6" width="26.75"/>
    <col customWidth="1" min="14" max="14" width="20.75"/>
    <col customWidth="1" min="15" max="15" width="21.88"/>
    <col customWidth="1" min="16" max="16" width="19.63"/>
  </cols>
  <sheetData>
    <row r="1" ht="38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59" t="s">
        <v>5128</v>
      </c>
      <c r="H1" s="160" t="s">
        <v>5129</v>
      </c>
      <c r="I1" s="4" t="s">
        <v>8</v>
      </c>
      <c r="J1" s="3" t="s">
        <v>9</v>
      </c>
      <c r="K1" s="2" t="s">
        <v>10</v>
      </c>
      <c r="L1" s="5" t="s">
        <v>11</v>
      </c>
      <c r="M1" s="3" t="s">
        <v>12</v>
      </c>
      <c r="N1" s="6" t="s">
        <v>13</v>
      </c>
      <c r="O1" s="7" t="s">
        <v>14</v>
      </c>
      <c r="P1" s="7" t="s">
        <v>15</v>
      </c>
      <c r="Q1" s="8"/>
      <c r="R1" s="8"/>
      <c r="S1" s="8"/>
      <c r="T1" s="8"/>
      <c r="U1" s="8"/>
      <c r="V1" s="8"/>
      <c r="W1" s="8"/>
      <c r="X1" s="8"/>
      <c r="Y1" s="8"/>
    </row>
    <row r="2" ht="18.75" customHeight="1">
      <c r="A2" s="9">
        <v>1.0</v>
      </c>
      <c r="B2" s="161" t="s">
        <v>5130</v>
      </c>
      <c r="C2" s="161" t="s">
        <v>5131</v>
      </c>
      <c r="D2" s="161" t="s">
        <v>701</v>
      </c>
      <c r="E2" s="161" t="s">
        <v>5132</v>
      </c>
      <c r="F2" s="161" t="s">
        <v>5133</v>
      </c>
      <c r="G2" s="162">
        <v>45291.0</v>
      </c>
      <c r="H2" s="13">
        <v>45292.0</v>
      </c>
      <c r="I2" s="163" t="s">
        <v>119</v>
      </c>
      <c r="J2" s="163" t="s">
        <v>5134</v>
      </c>
      <c r="K2" s="163" t="s">
        <v>31</v>
      </c>
      <c r="L2" s="164" t="s">
        <v>97</v>
      </c>
      <c r="M2" s="161"/>
      <c r="N2" s="16" t="s">
        <v>5135</v>
      </c>
      <c r="O2" s="16"/>
      <c r="P2" s="16"/>
      <c r="Q2" s="17"/>
      <c r="R2" s="17"/>
      <c r="S2" s="17"/>
      <c r="T2" s="17"/>
      <c r="U2" s="17"/>
      <c r="V2" s="17"/>
      <c r="W2" s="17"/>
      <c r="X2" s="17"/>
      <c r="Y2" s="17"/>
    </row>
    <row r="3" ht="18.75" customHeight="1">
      <c r="A3" s="9">
        <v>2.0</v>
      </c>
      <c r="B3" s="161" t="s">
        <v>5136</v>
      </c>
      <c r="C3" s="161" t="s">
        <v>5137</v>
      </c>
      <c r="D3" s="161" t="s">
        <v>65</v>
      </c>
      <c r="E3" s="161" t="s">
        <v>29</v>
      </c>
      <c r="F3" s="161" t="s">
        <v>5138</v>
      </c>
      <c r="G3" s="162">
        <v>45291.0</v>
      </c>
      <c r="H3" s="13">
        <v>45292.0</v>
      </c>
      <c r="I3" s="163" t="s">
        <v>25</v>
      </c>
      <c r="J3" s="163" t="s">
        <v>5134</v>
      </c>
      <c r="K3" s="163" t="s">
        <v>31</v>
      </c>
      <c r="L3" s="165"/>
      <c r="M3" s="161"/>
      <c r="N3" s="16" t="s">
        <v>5135</v>
      </c>
      <c r="O3" s="16"/>
      <c r="P3" s="16"/>
      <c r="Q3" s="17"/>
      <c r="R3" s="17"/>
      <c r="S3" s="17"/>
      <c r="T3" s="17"/>
      <c r="U3" s="17"/>
      <c r="V3" s="17"/>
      <c r="W3" s="17"/>
      <c r="X3" s="17"/>
      <c r="Y3" s="17"/>
    </row>
    <row r="4" ht="18.75" customHeight="1">
      <c r="A4" s="9">
        <v>3.0</v>
      </c>
      <c r="B4" s="161" t="s">
        <v>5139</v>
      </c>
      <c r="C4" s="161" t="s">
        <v>5140</v>
      </c>
      <c r="D4" s="161" t="s">
        <v>53</v>
      </c>
      <c r="E4" s="161" t="s">
        <v>5141</v>
      </c>
      <c r="F4" s="161" t="s">
        <v>5142</v>
      </c>
      <c r="G4" s="162">
        <v>45291.0</v>
      </c>
      <c r="H4" s="13">
        <v>45292.0</v>
      </c>
      <c r="I4" s="163" t="s">
        <v>25</v>
      </c>
      <c r="J4" s="163" t="s">
        <v>5134</v>
      </c>
      <c r="K4" s="163" t="s">
        <v>31</v>
      </c>
      <c r="L4" s="165"/>
      <c r="M4" s="161"/>
      <c r="N4" s="16" t="s">
        <v>5135</v>
      </c>
      <c r="O4" s="16"/>
      <c r="P4" s="16"/>
      <c r="Q4" s="17"/>
      <c r="R4" s="17"/>
      <c r="S4" s="17"/>
      <c r="T4" s="17"/>
      <c r="U4" s="17"/>
      <c r="V4" s="17"/>
      <c r="W4" s="17"/>
      <c r="X4" s="17"/>
      <c r="Y4" s="17"/>
    </row>
    <row r="5" ht="18.75" customHeight="1">
      <c r="A5" s="9">
        <v>4.0</v>
      </c>
      <c r="B5" s="166" t="s">
        <v>5143</v>
      </c>
      <c r="C5" s="166" t="s">
        <v>5144</v>
      </c>
      <c r="D5" s="166" t="s">
        <v>636</v>
      </c>
      <c r="E5" s="166" t="s">
        <v>5145</v>
      </c>
      <c r="F5" s="166" t="s">
        <v>5146</v>
      </c>
      <c r="G5" s="162">
        <v>45291.0</v>
      </c>
      <c r="H5" s="13">
        <v>45292.0</v>
      </c>
      <c r="I5" s="163" t="s">
        <v>21</v>
      </c>
      <c r="J5" s="163" t="s">
        <v>5147</v>
      </c>
      <c r="K5" s="163" t="s">
        <v>531</v>
      </c>
      <c r="L5" s="165"/>
      <c r="M5" s="161"/>
      <c r="N5" s="16"/>
      <c r="O5" s="16"/>
      <c r="P5" s="16"/>
      <c r="Q5" s="17"/>
      <c r="R5" s="17"/>
      <c r="S5" s="17"/>
      <c r="T5" s="17"/>
      <c r="U5" s="17"/>
      <c r="V5" s="17"/>
      <c r="W5" s="17"/>
      <c r="X5" s="17"/>
      <c r="Y5" s="17"/>
    </row>
    <row r="6" ht="18.75" customHeight="1">
      <c r="A6" s="9">
        <v>5.0</v>
      </c>
      <c r="B6" s="161" t="s">
        <v>5148</v>
      </c>
      <c r="C6" s="161" t="s">
        <v>5149</v>
      </c>
      <c r="D6" s="161" t="s">
        <v>42</v>
      </c>
      <c r="E6" s="161" t="s">
        <v>5150</v>
      </c>
      <c r="F6" s="161" t="s">
        <v>5151</v>
      </c>
      <c r="G6" s="162">
        <v>45291.0</v>
      </c>
      <c r="H6" s="13">
        <v>45292.0</v>
      </c>
      <c r="I6" s="163" t="s">
        <v>25</v>
      </c>
      <c r="J6" s="163" t="s">
        <v>5134</v>
      </c>
      <c r="K6" s="163" t="s">
        <v>31</v>
      </c>
      <c r="L6" s="165"/>
      <c r="M6" s="161"/>
      <c r="N6" s="16" t="s">
        <v>5135</v>
      </c>
      <c r="O6" s="16"/>
      <c r="P6" s="16"/>
      <c r="Q6" s="17"/>
      <c r="R6" s="17"/>
      <c r="S6" s="17"/>
      <c r="T6" s="17"/>
      <c r="U6" s="17"/>
      <c r="V6" s="17"/>
      <c r="W6" s="17"/>
      <c r="X6" s="17"/>
      <c r="Y6" s="17"/>
    </row>
    <row r="7" ht="18.75" customHeight="1">
      <c r="A7" s="9">
        <v>6.0</v>
      </c>
      <c r="B7" s="161" t="s">
        <v>5152</v>
      </c>
      <c r="C7" s="161" t="s">
        <v>5153</v>
      </c>
      <c r="D7" s="161" t="s">
        <v>646</v>
      </c>
      <c r="E7" s="161" t="s">
        <v>5154</v>
      </c>
      <c r="F7" s="161" t="s">
        <v>5155</v>
      </c>
      <c r="G7" s="162">
        <v>45291.0</v>
      </c>
      <c r="H7" s="12">
        <v>45292.0</v>
      </c>
      <c r="I7" s="163" t="s">
        <v>25</v>
      </c>
      <c r="J7" s="163" t="s">
        <v>5134</v>
      </c>
      <c r="K7" s="163" t="s">
        <v>31</v>
      </c>
      <c r="L7" s="165"/>
      <c r="M7" s="161"/>
      <c r="N7" s="16" t="s">
        <v>5135</v>
      </c>
      <c r="O7" s="16"/>
      <c r="P7" s="16"/>
      <c r="Q7" s="17"/>
      <c r="R7" s="17"/>
      <c r="S7" s="17"/>
      <c r="T7" s="17"/>
      <c r="U7" s="17"/>
      <c r="V7" s="17"/>
      <c r="W7" s="17"/>
      <c r="X7" s="17"/>
      <c r="Y7" s="17"/>
    </row>
    <row r="8" ht="18.75" customHeight="1">
      <c r="A8" s="9">
        <v>7.0</v>
      </c>
      <c r="B8" s="161" t="s">
        <v>5156</v>
      </c>
      <c r="C8" s="161" t="s">
        <v>5157</v>
      </c>
      <c r="D8" s="161" t="s">
        <v>646</v>
      </c>
      <c r="E8" s="161" t="s">
        <v>5158</v>
      </c>
      <c r="F8" s="161" t="s">
        <v>5159</v>
      </c>
      <c r="G8" s="162">
        <v>45291.0</v>
      </c>
      <c r="H8" s="12">
        <v>45292.0</v>
      </c>
      <c r="I8" s="163" t="s">
        <v>25</v>
      </c>
      <c r="J8" s="163" t="s">
        <v>5134</v>
      </c>
      <c r="K8" s="163" t="s">
        <v>31</v>
      </c>
      <c r="L8" s="165"/>
      <c r="M8" s="161"/>
      <c r="N8" s="16" t="s">
        <v>5135</v>
      </c>
      <c r="O8" s="16"/>
      <c r="P8" s="16"/>
      <c r="Q8" s="17"/>
      <c r="R8" s="17"/>
      <c r="S8" s="17"/>
      <c r="T8" s="17"/>
      <c r="U8" s="17"/>
      <c r="V8" s="17"/>
      <c r="W8" s="17"/>
      <c r="X8" s="17"/>
      <c r="Y8" s="17"/>
    </row>
    <row r="9" ht="18.75" customHeight="1">
      <c r="A9" s="9">
        <v>8.0</v>
      </c>
      <c r="B9" s="161" t="s">
        <v>5160</v>
      </c>
      <c r="C9" s="161" t="s">
        <v>5161</v>
      </c>
      <c r="D9" s="161" t="s">
        <v>128</v>
      </c>
      <c r="E9" s="161" t="s">
        <v>5162</v>
      </c>
      <c r="F9" s="161" t="s">
        <v>5163</v>
      </c>
      <c r="G9" s="162">
        <v>45291.0</v>
      </c>
      <c r="H9" s="13">
        <v>45292.0</v>
      </c>
      <c r="I9" s="163" t="s">
        <v>25</v>
      </c>
      <c r="J9" s="163" t="s">
        <v>5134</v>
      </c>
      <c r="K9" s="163" t="s">
        <v>31</v>
      </c>
      <c r="L9" s="165"/>
      <c r="M9" s="161"/>
      <c r="N9" s="16" t="s">
        <v>5135</v>
      </c>
      <c r="O9" s="16"/>
      <c r="P9" s="16"/>
      <c r="Q9" s="17"/>
      <c r="R9" s="17"/>
      <c r="S9" s="17"/>
      <c r="T9" s="17"/>
      <c r="U9" s="17"/>
      <c r="V9" s="17"/>
      <c r="W9" s="17"/>
      <c r="X9" s="17"/>
      <c r="Y9" s="17"/>
    </row>
    <row r="10" ht="18.75" customHeight="1">
      <c r="A10" s="9">
        <v>9.0</v>
      </c>
      <c r="B10" s="161" t="s">
        <v>5164</v>
      </c>
      <c r="C10" s="161" t="s">
        <v>5165</v>
      </c>
      <c r="D10" s="161" t="s">
        <v>1286</v>
      </c>
      <c r="E10" s="161" t="s">
        <v>1344</v>
      </c>
      <c r="F10" s="161" t="s">
        <v>5166</v>
      </c>
      <c r="G10" s="162">
        <v>45291.0</v>
      </c>
      <c r="H10" s="13">
        <v>45292.0</v>
      </c>
      <c r="I10" s="163" t="s">
        <v>119</v>
      </c>
      <c r="J10" s="163" t="s">
        <v>213</v>
      </c>
      <c r="K10" s="163" t="s">
        <v>31</v>
      </c>
      <c r="L10" s="165"/>
      <c r="M10" s="161"/>
      <c r="N10" s="16" t="s">
        <v>5135</v>
      </c>
      <c r="O10" s="16"/>
      <c r="P10" s="16"/>
      <c r="Q10" s="17"/>
      <c r="R10" s="17"/>
      <c r="S10" s="17"/>
      <c r="T10" s="17"/>
      <c r="U10" s="17"/>
      <c r="V10" s="17"/>
      <c r="W10" s="17"/>
      <c r="X10" s="17"/>
      <c r="Y10" s="17"/>
    </row>
    <row r="11" ht="18.75" customHeight="1">
      <c r="A11" s="9">
        <v>10.0</v>
      </c>
      <c r="B11" s="161" t="s">
        <v>5167</v>
      </c>
      <c r="C11" s="161" t="s">
        <v>5168</v>
      </c>
      <c r="D11" s="161" t="s">
        <v>5169</v>
      </c>
      <c r="E11" s="161" t="s">
        <v>5170</v>
      </c>
      <c r="F11" s="161" t="s">
        <v>5171</v>
      </c>
      <c r="G11" s="162">
        <v>45291.0</v>
      </c>
      <c r="H11" s="13">
        <v>45292.0</v>
      </c>
      <c r="I11" s="163" t="s">
        <v>5172</v>
      </c>
      <c r="J11" s="163" t="s">
        <v>5173</v>
      </c>
      <c r="K11" s="163" t="s">
        <v>31</v>
      </c>
      <c r="L11" s="165"/>
      <c r="M11" s="161"/>
      <c r="N11" s="16" t="s">
        <v>5135</v>
      </c>
      <c r="O11" s="16"/>
      <c r="P11" s="16"/>
      <c r="Q11" s="17"/>
      <c r="R11" s="17"/>
      <c r="S11" s="17"/>
      <c r="T11" s="17"/>
      <c r="U11" s="17"/>
      <c r="V11" s="17"/>
      <c r="W11" s="17"/>
      <c r="X11" s="17"/>
      <c r="Y11" s="17"/>
    </row>
    <row r="12" ht="18.75" customHeight="1">
      <c r="A12" s="9">
        <v>11.0</v>
      </c>
      <c r="B12" s="161" t="s">
        <v>5174</v>
      </c>
      <c r="C12" s="161" t="s">
        <v>5175</v>
      </c>
      <c r="D12" s="161" t="s">
        <v>2135</v>
      </c>
      <c r="E12" s="161" t="s">
        <v>5176</v>
      </c>
      <c r="F12" s="161" t="s">
        <v>5177</v>
      </c>
      <c r="G12" s="162">
        <v>45291.0</v>
      </c>
      <c r="H12" s="12">
        <v>45292.0</v>
      </c>
      <c r="I12" s="163" t="s">
        <v>25</v>
      </c>
      <c r="J12" s="163" t="s">
        <v>5173</v>
      </c>
      <c r="K12" s="163" t="s">
        <v>31</v>
      </c>
      <c r="L12" s="165"/>
      <c r="M12" s="161"/>
      <c r="N12" s="16" t="s">
        <v>5135</v>
      </c>
      <c r="O12" s="16"/>
      <c r="P12" s="16"/>
      <c r="Q12" s="17"/>
      <c r="R12" s="17"/>
      <c r="S12" s="17"/>
      <c r="T12" s="17"/>
      <c r="U12" s="17"/>
      <c r="V12" s="17"/>
      <c r="W12" s="17"/>
      <c r="X12" s="17"/>
      <c r="Y12" s="17"/>
    </row>
    <row r="13" ht="18.75" customHeight="1">
      <c r="A13" s="9">
        <v>12.0</v>
      </c>
      <c r="B13" s="161" t="s">
        <v>5178</v>
      </c>
      <c r="C13" s="161" t="s">
        <v>5179</v>
      </c>
      <c r="D13" s="161" t="s">
        <v>697</v>
      </c>
      <c r="E13" s="161" t="s">
        <v>5180</v>
      </c>
      <c r="F13" s="161" t="s">
        <v>5181</v>
      </c>
      <c r="G13" s="162">
        <v>45291.0</v>
      </c>
      <c r="H13" s="13">
        <v>45292.0</v>
      </c>
      <c r="I13" s="163" t="s">
        <v>25</v>
      </c>
      <c r="J13" s="163" t="s">
        <v>5134</v>
      </c>
      <c r="K13" s="163" t="s">
        <v>31</v>
      </c>
      <c r="L13" s="165"/>
      <c r="M13" s="161"/>
      <c r="N13" s="16" t="s">
        <v>5135</v>
      </c>
      <c r="O13" s="16"/>
      <c r="P13" s="16"/>
      <c r="Q13" s="17"/>
      <c r="R13" s="17"/>
      <c r="S13" s="17"/>
      <c r="T13" s="17"/>
      <c r="U13" s="17"/>
      <c r="V13" s="17"/>
      <c r="W13" s="17"/>
      <c r="X13" s="17"/>
      <c r="Y13" s="17"/>
    </row>
    <row r="14" ht="18.75" customHeight="1">
      <c r="A14" s="9">
        <v>13.0</v>
      </c>
      <c r="B14" s="161" t="s">
        <v>5182</v>
      </c>
      <c r="C14" s="161" t="s">
        <v>5183</v>
      </c>
      <c r="D14" s="161" t="s">
        <v>790</v>
      </c>
      <c r="E14" s="161" t="s">
        <v>5184</v>
      </c>
      <c r="F14" s="161" t="s">
        <v>5185</v>
      </c>
      <c r="G14" s="162">
        <v>45291.0</v>
      </c>
      <c r="H14" s="13">
        <v>45292.0</v>
      </c>
      <c r="I14" s="163" t="s">
        <v>251</v>
      </c>
      <c r="J14" s="163" t="s">
        <v>5173</v>
      </c>
      <c r="K14" s="163" t="s">
        <v>31</v>
      </c>
      <c r="L14" s="165"/>
      <c r="M14" s="161"/>
      <c r="N14" s="16" t="s">
        <v>5135</v>
      </c>
      <c r="O14" s="16"/>
      <c r="P14" s="16"/>
      <c r="Q14" s="17"/>
      <c r="R14" s="17"/>
      <c r="S14" s="17"/>
      <c r="T14" s="17"/>
      <c r="U14" s="17"/>
      <c r="V14" s="17"/>
      <c r="W14" s="17"/>
      <c r="X14" s="17"/>
      <c r="Y14" s="17"/>
    </row>
    <row r="15" ht="18.75" customHeight="1">
      <c r="A15" s="9">
        <v>14.0</v>
      </c>
      <c r="B15" s="161" t="s">
        <v>5186</v>
      </c>
      <c r="C15" s="161" t="s">
        <v>5187</v>
      </c>
      <c r="D15" s="161" t="s">
        <v>677</v>
      </c>
      <c r="E15" s="161" t="s">
        <v>5188</v>
      </c>
      <c r="F15" s="161" t="s">
        <v>5189</v>
      </c>
      <c r="G15" s="162">
        <v>45296.0</v>
      </c>
      <c r="H15" s="13">
        <v>45297.0</v>
      </c>
      <c r="I15" s="163" t="s">
        <v>25</v>
      </c>
      <c r="J15" s="163" t="s">
        <v>5190</v>
      </c>
      <c r="K15" s="163" t="s">
        <v>31</v>
      </c>
      <c r="L15" s="165"/>
      <c r="M15" s="161"/>
      <c r="N15" s="16" t="s">
        <v>5135</v>
      </c>
      <c r="O15" s="16"/>
      <c r="P15" s="16"/>
      <c r="Q15" s="17"/>
      <c r="R15" s="17"/>
      <c r="S15" s="17"/>
      <c r="T15" s="17"/>
      <c r="U15" s="17"/>
      <c r="V15" s="17"/>
      <c r="W15" s="17"/>
      <c r="X15" s="17"/>
      <c r="Y15" s="17"/>
    </row>
    <row r="16" ht="18.75" customHeight="1">
      <c r="A16" s="9">
        <v>15.0</v>
      </c>
      <c r="B16" s="161" t="s">
        <v>5191</v>
      </c>
      <c r="C16" s="161" t="s">
        <v>5192</v>
      </c>
      <c r="D16" s="161" t="s">
        <v>1104</v>
      </c>
      <c r="E16" s="161" t="s">
        <v>5193</v>
      </c>
      <c r="F16" s="161" t="s">
        <v>5194</v>
      </c>
      <c r="G16" s="162">
        <v>45298.0</v>
      </c>
      <c r="H16" s="167">
        <v>45299.0</v>
      </c>
      <c r="I16" s="163" t="s">
        <v>25</v>
      </c>
      <c r="J16" s="163" t="s">
        <v>5134</v>
      </c>
      <c r="K16" s="163" t="s">
        <v>31</v>
      </c>
      <c r="L16" s="165"/>
      <c r="M16" s="161"/>
      <c r="N16" s="16" t="s">
        <v>5135</v>
      </c>
      <c r="O16" s="16"/>
      <c r="P16" s="16"/>
      <c r="Q16" s="17"/>
      <c r="R16" s="17"/>
      <c r="S16" s="17"/>
      <c r="T16" s="17"/>
      <c r="U16" s="17"/>
      <c r="V16" s="17"/>
      <c r="W16" s="17"/>
      <c r="X16" s="17"/>
      <c r="Y16" s="17"/>
    </row>
    <row r="17" ht="18.75" customHeight="1">
      <c r="A17" s="9">
        <v>16.0</v>
      </c>
      <c r="B17" s="161" t="s">
        <v>5195</v>
      </c>
      <c r="C17" s="161" t="s">
        <v>5196</v>
      </c>
      <c r="D17" s="161" t="s">
        <v>65</v>
      </c>
      <c r="E17" s="161" t="s">
        <v>2077</v>
      </c>
      <c r="F17" s="161" t="s">
        <v>1404</v>
      </c>
      <c r="G17" s="162">
        <v>45299.0</v>
      </c>
      <c r="H17" s="167">
        <v>45300.0</v>
      </c>
      <c r="I17" s="163" t="s">
        <v>251</v>
      </c>
      <c r="J17" s="163" t="s">
        <v>5173</v>
      </c>
      <c r="K17" s="163" t="s">
        <v>31</v>
      </c>
      <c r="L17" s="165"/>
      <c r="M17" s="161"/>
      <c r="N17" s="16" t="s">
        <v>5135</v>
      </c>
      <c r="O17" s="16"/>
      <c r="P17" s="16"/>
      <c r="Q17" s="17"/>
      <c r="R17" s="17"/>
      <c r="S17" s="17"/>
      <c r="T17" s="17"/>
      <c r="U17" s="17"/>
      <c r="V17" s="17"/>
      <c r="W17" s="17"/>
      <c r="X17" s="17"/>
      <c r="Y17" s="17"/>
    </row>
    <row r="18" ht="18.75" customHeight="1">
      <c r="A18" s="9">
        <v>17.0</v>
      </c>
      <c r="B18" s="161" t="s">
        <v>5197</v>
      </c>
      <c r="C18" s="161" t="s">
        <v>5198</v>
      </c>
      <c r="D18" s="161" t="s">
        <v>5199</v>
      </c>
      <c r="E18" s="161" t="s">
        <v>3727</v>
      </c>
      <c r="F18" s="161" t="s">
        <v>5200</v>
      </c>
      <c r="G18" s="162">
        <v>45301.0</v>
      </c>
      <c r="H18" s="13">
        <v>45302.0</v>
      </c>
      <c r="I18" s="163" t="s">
        <v>119</v>
      </c>
      <c r="J18" s="163" t="s">
        <v>213</v>
      </c>
      <c r="K18" s="163" t="s">
        <v>31</v>
      </c>
      <c r="L18" s="165"/>
      <c r="M18" s="161"/>
      <c r="N18" s="16" t="s">
        <v>5135</v>
      </c>
      <c r="O18" s="16"/>
      <c r="P18" s="16"/>
      <c r="Q18" s="17"/>
      <c r="R18" s="17"/>
      <c r="S18" s="17"/>
      <c r="T18" s="17"/>
      <c r="U18" s="17"/>
      <c r="V18" s="17"/>
      <c r="W18" s="17"/>
      <c r="X18" s="17"/>
      <c r="Y18" s="17"/>
    </row>
    <row r="19" ht="18.75" customHeight="1">
      <c r="A19" s="9">
        <v>18.0</v>
      </c>
      <c r="B19" s="161" t="s">
        <v>5201</v>
      </c>
      <c r="C19" s="161" t="s">
        <v>5202</v>
      </c>
      <c r="D19" s="161" t="s">
        <v>362</v>
      </c>
      <c r="E19" s="161" t="s">
        <v>2039</v>
      </c>
      <c r="F19" s="161" t="s">
        <v>5203</v>
      </c>
      <c r="G19" s="162">
        <v>45302.0</v>
      </c>
      <c r="H19" s="13">
        <v>45303.0</v>
      </c>
      <c r="I19" s="163" t="s">
        <v>25</v>
      </c>
      <c r="J19" s="163" t="s">
        <v>5134</v>
      </c>
      <c r="K19" s="163" t="s">
        <v>31</v>
      </c>
      <c r="L19" s="165"/>
      <c r="M19" s="161"/>
      <c r="N19" s="16" t="s">
        <v>5135</v>
      </c>
      <c r="O19" s="16"/>
      <c r="P19" s="16"/>
      <c r="Q19" s="17"/>
      <c r="R19" s="17"/>
      <c r="S19" s="17"/>
      <c r="T19" s="17"/>
      <c r="U19" s="17"/>
      <c r="V19" s="17"/>
      <c r="W19" s="17"/>
      <c r="X19" s="17"/>
      <c r="Y19" s="17"/>
    </row>
    <row r="20" ht="18.75" customHeight="1">
      <c r="A20" s="9">
        <v>19.0</v>
      </c>
      <c r="B20" s="161" t="s">
        <v>1076</v>
      </c>
      <c r="C20" s="161" t="s">
        <v>1077</v>
      </c>
      <c r="D20" s="161" t="s">
        <v>1078</v>
      </c>
      <c r="E20" s="161" t="s">
        <v>1079</v>
      </c>
      <c r="F20" s="161" t="s">
        <v>5204</v>
      </c>
      <c r="G20" s="162">
        <v>45303.0</v>
      </c>
      <c r="H20" s="13">
        <v>45304.0</v>
      </c>
      <c r="I20" s="163" t="s">
        <v>119</v>
      </c>
      <c r="J20" s="163" t="s">
        <v>37</v>
      </c>
      <c r="K20" s="163" t="s">
        <v>31</v>
      </c>
      <c r="L20" s="165"/>
      <c r="M20" s="161"/>
      <c r="N20" s="16" t="s">
        <v>5135</v>
      </c>
      <c r="O20" s="16"/>
      <c r="P20" s="16"/>
      <c r="Q20" s="17"/>
      <c r="R20" s="17"/>
      <c r="S20" s="17"/>
      <c r="T20" s="17"/>
      <c r="U20" s="17"/>
      <c r="V20" s="17"/>
      <c r="W20" s="17"/>
      <c r="X20" s="17"/>
      <c r="Y20" s="17"/>
    </row>
    <row r="21" ht="18.75" customHeight="1">
      <c r="A21" s="9">
        <v>20.0</v>
      </c>
      <c r="B21" s="161" t="s">
        <v>5205</v>
      </c>
      <c r="C21" s="161" t="s">
        <v>5206</v>
      </c>
      <c r="D21" s="161" t="s">
        <v>110</v>
      </c>
      <c r="E21" s="161" t="s">
        <v>5207</v>
      </c>
      <c r="F21" s="161" t="s">
        <v>5208</v>
      </c>
      <c r="G21" s="162">
        <v>45303.0</v>
      </c>
      <c r="H21" s="13">
        <v>45304.0</v>
      </c>
      <c r="I21" s="163" t="s">
        <v>119</v>
      </c>
      <c r="J21" s="163" t="s">
        <v>5134</v>
      </c>
      <c r="K21" s="163" t="s">
        <v>31</v>
      </c>
      <c r="L21" s="165"/>
      <c r="M21" s="161"/>
      <c r="N21" s="16" t="s">
        <v>5135</v>
      </c>
      <c r="O21" s="16"/>
      <c r="P21" s="16"/>
      <c r="Q21" s="17"/>
      <c r="R21" s="17"/>
      <c r="S21" s="17"/>
      <c r="T21" s="17"/>
      <c r="U21" s="17"/>
      <c r="V21" s="17"/>
      <c r="W21" s="17"/>
      <c r="X21" s="17"/>
      <c r="Y21" s="17"/>
    </row>
    <row r="22" ht="18.75" customHeight="1">
      <c r="A22" s="9">
        <v>21.0</v>
      </c>
      <c r="B22" s="161" t="s">
        <v>5209</v>
      </c>
      <c r="C22" s="161" t="s">
        <v>5210</v>
      </c>
      <c r="D22" s="161" t="s">
        <v>1791</v>
      </c>
      <c r="E22" s="161" t="s">
        <v>1744</v>
      </c>
      <c r="F22" s="161" t="s">
        <v>5211</v>
      </c>
      <c r="G22" s="162">
        <v>45306.0</v>
      </c>
      <c r="H22" s="13">
        <v>45307.0</v>
      </c>
      <c r="I22" s="163" t="s">
        <v>25</v>
      </c>
      <c r="J22" s="163" t="s">
        <v>5134</v>
      </c>
      <c r="K22" s="163" t="s">
        <v>31</v>
      </c>
      <c r="L22" s="165"/>
      <c r="M22" s="161"/>
      <c r="N22" s="16" t="s">
        <v>5135</v>
      </c>
      <c r="O22" s="16"/>
      <c r="P22" s="16"/>
      <c r="Q22" s="17"/>
      <c r="R22" s="17"/>
      <c r="S22" s="17"/>
      <c r="T22" s="17"/>
      <c r="U22" s="17"/>
      <c r="V22" s="17"/>
      <c r="W22" s="17"/>
      <c r="X22" s="17"/>
      <c r="Y22" s="17"/>
    </row>
    <row r="23" ht="18.75" customHeight="1">
      <c r="A23" s="9">
        <v>22.0</v>
      </c>
      <c r="B23" s="161" t="s">
        <v>5212</v>
      </c>
      <c r="C23" s="161" t="s">
        <v>5213</v>
      </c>
      <c r="D23" s="161" t="s">
        <v>122</v>
      </c>
      <c r="E23" s="161" t="s">
        <v>5214</v>
      </c>
      <c r="F23" s="161" t="s">
        <v>5215</v>
      </c>
      <c r="G23" s="162">
        <v>45306.0</v>
      </c>
      <c r="H23" s="13">
        <v>45307.0</v>
      </c>
      <c r="I23" s="163" t="s">
        <v>119</v>
      </c>
      <c r="J23" s="163" t="s">
        <v>5134</v>
      </c>
      <c r="K23" s="163" t="s">
        <v>31</v>
      </c>
      <c r="L23" s="165"/>
      <c r="M23" s="161"/>
      <c r="N23" s="16" t="s">
        <v>5135</v>
      </c>
      <c r="O23" s="16"/>
      <c r="P23" s="16"/>
      <c r="Q23" s="17"/>
      <c r="R23" s="17"/>
      <c r="S23" s="17"/>
      <c r="T23" s="17"/>
      <c r="U23" s="17"/>
      <c r="V23" s="17"/>
      <c r="W23" s="17"/>
      <c r="X23" s="17"/>
      <c r="Y23" s="17"/>
    </row>
    <row r="24" ht="18.75" customHeight="1">
      <c r="A24" s="9">
        <v>23.0</v>
      </c>
      <c r="B24" s="161" t="s">
        <v>5216</v>
      </c>
      <c r="C24" s="161" t="s">
        <v>5217</v>
      </c>
      <c r="D24" s="161" t="s">
        <v>894</v>
      </c>
      <c r="E24" s="161" t="s">
        <v>5218</v>
      </c>
      <c r="F24" s="161" t="s">
        <v>5219</v>
      </c>
      <c r="G24" s="162">
        <v>45316.0</v>
      </c>
      <c r="H24" s="13">
        <v>45317.0</v>
      </c>
      <c r="I24" s="163" t="s">
        <v>25</v>
      </c>
      <c r="J24" s="163" t="s">
        <v>5134</v>
      </c>
      <c r="K24" s="163" t="s">
        <v>31</v>
      </c>
      <c r="L24" s="165"/>
      <c r="M24" s="161"/>
      <c r="N24" s="16" t="s">
        <v>5135</v>
      </c>
      <c r="O24" s="16"/>
      <c r="P24" s="16"/>
      <c r="Q24" s="17"/>
      <c r="R24" s="17"/>
      <c r="S24" s="17"/>
      <c r="T24" s="17"/>
      <c r="U24" s="17"/>
      <c r="V24" s="17"/>
      <c r="W24" s="17"/>
      <c r="X24" s="17"/>
      <c r="Y24" s="17"/>
    </row>
    <row r="25" ht="18.75" customHeight="1">
      <c r="A25" s="9">
        <v>24.0</v>
      </c>
      <c r="B25" s="161" t="s">
        <v>1410</v>
      </c>
      <c r="C25" s="161" t="s">
        <v>1411</v>
      </c>
      <c r="D25" s="161" t="s">
        <v>1412</v>
      </c>
      <c r="E25" s="161" t="s">
        <v>1413</v>
      </c>
      <c r="F25" s="161" t="s">
        <v>5220</v>
      </c>
      <c r="G25" s="162">
        <v>45291.0</v>
      </c>
      <c r="H25" s="13">
        <v>45292.0</v>
      </c>
      <c r="I25" s="163" t="s">
        <v>25</v>
      </c>
      <c r="J25" s="163" t="s">
        <v>37</v>
      </c>
      <c r="K25" s="163" t="s">
        <v>31</v>
      </c>
      <c r="L25" s="165"/>
      <c r="M25" s="161"/>
      <c r="N25" s="16" t="s">
        <v>5135</v>
      </c>
      <c r="O25" s="16"/>
      <c r="P25" s="16"/>
      <c r="Q25" s="17"/>
      <c r="R25" s="17"/>
      <c r="S25" s="17"/>
      <c r="T25" s="17"/>
      <c r="U25" s="17"/>
      <c r="V25" s="17"/>
      <c r="W25" s="17"/>
      <c r="X25" s="17"/>
      <c r="Y25" s="17"/>
    </row>
    <row r="26" ht="18.75" customHeight="1">
      <c r="A26" s="9">
        <v>25.0</v>
      </c>
      <c r="B26" s="161" t="s">
        <v>5221</v>
      </c>
      <c r="C26" s="161" t="s">
        <v>5222</v>
      </c>
      <c r="D26" s="161" t="s">
        <v>5223</v>
      </c>
      <c r="E26" s="161" t="s">
        <v>5224</v>
      </c>
      <c r="F26" s="161" t="s">
        <v>5225</v>
      </c>
      <c r="G26" s="162">
        <v>45291.0</v>
      </c>
      <c r="H26" s="13">
        <v>45292.0</v>
      </c>
      <c r="I26" s="163" t="s">
        <v>25</v>
      </c>
      <c r="J26" s="163" t="s">
        <v>37</v>
      </c>
      <c r="K26" s="163" t="s">
        <v>31</v>
      </c>
      <c r="L26" s="165"/>
      <c r="M26" s="161"/>
      <c r="N26" s="16" t="s">
        <v>5135</v>
      </c>
      <c r="O26" s="16"/>
      <c r="P26" s="16"/>
      <c r="Q26" s="17"/>
      <c r="R26" s="17"/>
      <c r="S26" s="17"/>
      <c r="T26" s="17"/>
      <c r="U26" s="17"/>
      <c r="V26" s="17"/>
      <c r="W26" s="17"/>
      <c r="X26" s="17"/>
      <c r="Y26" s="17"/>
    </row>
    <row r="27" ht="18.75" customHeight="1">
      <c r="A27" s="9">
        <v>26.0</v>
      </c>
      <c r="B27" s="161" t="s">
        <v>5226</v>
      </c>
      <c r="C27" s="161" t="s">
        <v>5227</v>
      </c>
      <c r="D27" s="161" t="s">
        <v>5228</v>
      </c>
      <c r="E27" s="161" t="s">
        <v>5224</v>
      </c>
      <c r="F27" s="161" t="s">
        <v>5229</v>
      </c>
      <c r="G27" s="162">
        <v>45291.0</v>
      </c>
      <c r="H27" s="13">
        <v>45292.0</v>
      </c>
      <c r="I27" s="163" t="s">
        <v>25</v>
      </c>
      <c r="J27" s="163" t="s">
        <v>37</v>
      </c>
      <c r="K27" s="163" t="s">
        <v>31</v>
      </c>
      <c r="L27" s="165"/>
      <c r="M27" s="161"/>
      <c r="N27" s="16" t="s">
        <v>5135</v>
      </c>
      <c r="O27" s="16"/>
      <c r="P27" s="16"/>
      <c r="Q27" s="17"/>
      <c r="R27" s="17"/>
      <c r="S27" s="17"/>
      <c r="T27" s="17"/>
      <c r="U27" s="17"/>
      <c r="V27" s="17"/>
      <c r="W27" s="17"/>
      <c r="X27" s="17"/>
      <c r="Y27" s="17"/>
    </row>
    <row r="28" ht="18.75" customHeight="1">
      <c r="A28" s="9">
        <v>27.0</v>
      </c>
      <c r="B28" s="161" t="s">
        <v>5230</v>
      </c>
      <c r="C28" s="161" t="s">
        <v>5231</v>
      </c>
      <c r="D28" s="161" t="s">
        <v>5232</v>
      </c>
      <c r="E28" s="161" t="s">
        <v>5224</v>
      </c>
      <c r="F28" s="161" t="s">
        <v>5233</v>
      </c>
      <c r="G28" s="162">
        <v>45291.0</v>
      </c>
      <c r="H28" s="168">
        <v>45292.0</v>
      </c>
      <c r="I28" s="163" t="s">
        <v>25</v>
      </c>
      <c r="J28" s="163" t="s">
        <v>37</v>
      </c>
      <c r="K28" s="163" t="s">
        <v>31</v>
      </c>
      <c r="L28" s="165"/>
      <c r="M28" s="161"/>
      <c r="N28" s="16" t="s">
        <v>5135</v>
      </c>
      <c r="O28" s="16"/>
      <c r="P28" s="16"/>
      <c r="Q28" s="17"/>
      <c r="R28" s="17"/>
      <c r="S28" s="17"/>
      <c r="T28" s="17"/>
      <c r="U28" s="17"/>
      <c r="V28" s="17"/>
      <c r="W28" s="17"/>
      <c r="X28" s="17"/>
      <c r="Y28" s="17"/>
    </row>
    <row r="29" ht="18.75" customHeight="1">
      <c r="A29" s="9">
        <v>28.0</v>
      </c>
      <c r="B29" s="161" t="s">
        <v>1415</v>
      </c>
      <c r="C29" s="161" t="s">
        <v>1416</v>
      </c>
      <c r="D29" s="161" t="s">
        <v>1417</v>
      </c>
      <c r="E29" s="161" t="s">
        <v>1413</v>
      </c>
      <c r="F29" s="161" t="s">
        <v>5234</v>
      </c>
      <c r="G29" s="162">
        <v>45294.0</v>
      </c>
      <c r="H29" s="168">
        <v>45295.0</v>
      </c>
      <c r="I29" s="163" t="s">
        <v>25</v>
      </c>
      <c r="J29" s="163" t="s">
        <v>37</v>
      </c>
      <c r="K29" s="163" t="s">
        <v>31</v>
      </c>
      <c r="L29" s="165"/>
      <c r="M29" s="161"/>
      <c r="N29" s="16" t="s">
        <v>5135</v>
      </c>
      <c r="O29" s="16"/>
      <c r="P29" s="16"/>
      <c r="Q29" s="17"/>
      <c r="R29" s="17"/>
      <c r="S29" s="17"/>
      <c r="T29" s="17"/>
      <c r="U29" s="17"/>
      <c r="V29" s="17"/>
      <c r="W29" s="17"/>
      <c r="X29" s="17"/>
      <c r="Y29" s="17"/>
    </row>
    <row r="30" ht="18.75" customHeight="1">
      <c r="A30" s="9">
        <v>29.0</v>
      </c>
      <c r="B30" s="161" t="s">
        <v>1419</v>
      </c>
      <c r="C30" s="161" t="s">
        <v>1420</v>
      </c>
      <c r="D30" s="161" t="s">
        <v>1412</v>
      </c>
      <c r="E30" s="161" t="s">
        <v>1421</v>
      </c>
      <c r="F30" s="161" t="s">
        <v>5235</v>
      </c>
      <c r="G30" s="162">
        <v>45301.0</v>
      </c>
      <c r="H30" s="168">
        <v>45302.0</v>
      </c>
      <c r="I30" s="163" t="s">
        <v>25</v>
      </c>
      <c r="J30" s="163" t="s">
        <v>37</v>
      </c>
      <c r="K30" s="163" t="s">
        <v>31</v>
      </c>
      <c r="L30" s="165"/>
      <c r="M30" s="161"/>
      <c r="N30" s="16" t="s">
        <v>5135</v>
      </c>
      <c r="O30" s="16"/>
      <c r="P30" s="16"/>
      <c r="Q30" s="17"/>
      <c r="R30" s="17"/>
      <c r="S30" s="17"/>
      <c r="T30" s="17"/>
      <c r="U30" s="17"/>
      <c r="V30" s="17"/>
      <c r="W30" s="17"/>
      <c r="X30" s="17"/>
      <c r="Y30" s="17"/>
    </row>
    <row r="31" ht="18.75" customHeight="1">
      <c r="A31" s="9">
        <v>30.0</v>
      </c>
      <c r="B31" s="161" t="s">
        <v>1423</v>
      </c>
      <c r="C31" s="161" t="s">
        <v>1424</v>
      </c>
      <c r="D31" s="161" t="s">
        <v>1412</v>
      </c>
      <c r="E31" s="161" t="s">
        <v>1421</v>
      </c>
      <c r="F31" s="161" t="s">
        <v>5236</v>
      </c>
      <c r="G31" s="162">
        <v>45311.0</v>
      </c>
      <c r="H31" s="168">
        <v>45312.0</v>
      </c>
      <c r="I31" s="163" t="s">
        <v>25</v>
      </c>
      <c r="J31" s="163" t="s">
        <v>37</v>
      </c>
      <c r="K31" s="163" t="s">
        <v>31</v>
      </c>
      <c r="L31" s="165"/>
      <c r="M31" s="161"/>
      <c r="N31" s="16" t="s">
        <v>5135</v>
      </c>
      <c r="O31" s="16"/>
      <c r="P31" s="16"/>
      <c r="Q31" s="17"/>
      <c r="R31" s="17"/>
      <c r="S31" s="17"/>
      <c r="T31" s="17"/>
      <c r="U31" s="17"/>
      <c r="V31" s="17"/>
      <c r="W31" s="17"/>
      <c r="X31" s="17"/>
      <c r="Y31" s="17"/>
    </row>
    <row r="32" ht="18.75" customHeight="1">
      <c r="A32" s="9">
        <v>31.0</v>
      </c>
      <c r="B32" s="161" t="s">
        <v>1426</v>
      </c>
      <c r="C32" s="161" t="s">
        <v>1427</v>
      </c>
      <c r="D32" s="161" t="s">
        <v>1412</v>
      </c>
      <c r="E32" s="161" t="s">
        <v>1428</v>
      </c>
      <c r="F32" s="161" t="s">
        <v>5237</v>
      </c>
      <c r="G32" s="162">
        <v>45311.0</v>
      </c>
      <c r="H32" s="12">
        <v>45312.0</v>
      </c>
      <c r="I32" s="163" t="s">
        <v>119</v>
      </c>
      <c r="J32" s="163" t="s">
        <v>37</v>
      </c>
      <c r="K32" s="163" t="s">
        <v>31</v>
      </c>
      <c r="L32" s="165"/>
      <c r="M32" s="161"/>
      <c r="N32" s="16" t="s">
        <v>5135</v>
      </c>
      <c r="O32" s="16"/>
      <c r="P32" s="16"/>
      <c r="Q32" s="17"/>
      <c r="R32" s="17"/>
      <c r="S32" s="17"/>
      <c r="T32" s="17"/>
      <c r="U32" s="17"/>
      <c r="V32" s="17"/>
      <c r="W32" s="17"/>
      <c r="X32" s="17"/>
      <c r="Y32" s="17"/>
    </row>
    <row r="33" ht="18.75" customHeight="1">
      <c r="A33" s="9">
        <v>32.0</v>
      </c>
      <c r="B33" s="161" t="s">
        <v>1430</v>
      </c>
      <c r="C33" s="161" t="s">
        <v>1431</v>
      </c>
      <c r="D33" s="161" t="s">
        <v>1412</v>
      </c>
      <c r="E33" s="161" t="s">
        <v>1421</v>
      </c>
      <c r="F33" s="161" t="s">
        <v>5238</v>
      </c>
      <c r="G33" s="162">
        <v>45309.0</v>
      </c>
      <c r="H33" s="12">
        <v>45310.0</v>
      </c>
      <c r="I33" s="163" t="s">
        <v>119</v>
      </c>
      <c r="J33" s="163" t="s">
        <v>37</v>
      </c>
      <c r="K33" s="163" t="s">
        <v>31</v>
      </c>
      <c r="L33" s="165"/>
      <c r="M33" s="161"/>
      <c r="N33" s="16" t="s">
        <v>5135</v>
      </c>
      <c r="O33" s="16"/>
      <c r="P33" s="16"/>
      <c r="Q33" s="17"/>
      <c r="R33" s="17"/>
      <c r="S33" s="17"/>
      <c r="T33" s="17"/>
      <c r="U33" s="17"/>
      <c r="V33" s="17"/>
      <c r="W33" s="17"/>
      <c r="X33" s="17"/>
      <c r="Y33" s="17"/>
    </row>
    <row r="34" ht="18.75" customHeight="1">
      <c r="A34" s="9">
        <v>33.0</v>
      </c>
      <c r="B34" s="161" t="s">
        <v>1433</v>
      </c>
      <c r="C34" s="161" t="s">
        <v>1434</v>
      </c>
      <c r="D34" s="161" t="s">
        <v>1412</v>
      </c>
      <c r="E34" s="161" t="s">
        <v>1413</v>
      </c>
      <c r="F34" s="161" t="s">
        <v>5239</v>
      </c>
      <c r="G34" s="162">
        <v>45315.0</v>
      </c>
      <c r="H34" s="12">
        <v>45316.0</v>
      </c>
      <c r="I34" s="163" t="s">
        <v>119</v>
      </c>
      <c r="J34" s="163" t="s">
        <v>5173</v>
      </c>
      <c r="K34" s="163" t="s">
        <v>31</v>
      </c>
      <c r="L34" s="165"/>
      <c r="M34" s="161"/>
      <c r="N34" s="16" t="s">
        <v>5135</v>
      </c>
      <c r="O34" s="16"/>
      <c r="P34" s="16"/>
      <c r="Q34" s="17"/>
      <c r="R34" s="17"/>
      <c r="S34" s="17"/>
      <c r="T34" s="17"/>
      <c r="U34" s="17"/>
      <c r="V34" s="17"/>
      <c r="W34" s="17"/>
      <c r="X34" s="17"/>
      <c r="Y34" s="17"/>
    </row>
    <row r="35" ht="18.75" customHeight="1">
      <c r="A35" s="9">
        <v>34.0</v>
      </c>
      <c r="B35" s="161" t="s">
        <v>1542</v>
      </c>
      <c r="C35" s="161" t="s">
        <v>1543</v>
      </c>
      <c r="D35" s="161" t="s">
        <v>1544</v>
      </c>
      <c r="E35" s="161" t="s">
        <v>1545</v>
      </c>
      <c r="F35" s="161"/>
      <c r="G35" s="162">
        <v>45296.0</v>
      </c>
      <c r="H35" s="12">
        <v>45297.0</v>
      </c>
      <c r="I35" s="163" t="s">
        <v>25</v>
      </c>
      <c r="J35" s="163" t="s">
        <v>37</v>
      </c>
      <c r="K35" s="163" t="s">
        <v>31</v>
      </c>
      <c r="L35" s="165"/>
      <c r="M35" s="161"/>
      <c r="N35" s="16" t="s">
        <v>5135</v>
      </c>
      <c r="O35" s="16"/>
      <c r="P35" s="16"/>
      <c r="Q35" s="17"/>
      <c r="R35" s="17"/>
      <c r="S35" s="17"/>
      <c r="T35" s="17"/>
      <c r="U35" s="17"/>
      <c r="V35" s="17"/>
      <c r="W35" s="17"/>
      <c r="X35" s="17"/>
      <c r="Y35" s="17"/>
    </row>
    <row r="36" ht="18.75" customHeight="1">
      <c r="A36" s="9">
        <v>35.0</v>
      </c>
      <c r="B36" s="161" t="s">
        <v>1547</v>
      </c>
      <c r="C36" s="161" t="s">
        <v>1548</v>
      </c>
      <c r="D36" s="161" t="s">
        <v>1544</v>
      </c>
      <c r="E36" s="161" t="s">
        <v>1549</v>
      </c>
      <c r="F36" s="161" t="s">
        <v>5240</v>
      </c>
      <c r="G36" s="162">
        <v>45316.0</v>
      </c>
      <c r="H36" s="12">
        <v>45317.0</v>
      </c>
      <c r="I36" s="163" t="s">
        <v>25</v>
      </c>
      <c r="J36" s="163" t="s">
        <v>37</v>
      </c>
      <c r="K36" s="163" t="s">
        <v>31</v>
      </c>
      <c r="L36" s="165"/>
      <c r="M36" s="161"/>
      <c r="N36" s="16" t="s">
        <v>5135</v>
      </c>
      <c r="O36" s="16"/>
      <c r="P36" s="16"/>
      <c r="Q36" s="17"/>
      <c r="R36" s="17"/>
      <c r="S36" s="17"/>
      <c r="T36" s="17"/>
      <c r="U36" s="17"/>
      <c r="V36" s="17"/>
      <c r="W36" s="17"/>
      <c r="X36" s="17"/>
      <c r="Y36" s="17"/>
    </row>
    <row r="37" ht="18.75" customHeight="1">
      <c r="A37" s="9">
        <v>36.0</v>
      </c>
      <c r="B37" s="161" t="s">
        <v>5241</v>
      </c>
      <c r="C37" s="169" t="s">
        <v>5242</v>
      </c>
      <c r="D37" s="169" t="s">
        <v>1166</v>
      </c>
      <c r="E37" s="169" t="s">
        <v>5243</v>
      </c>
      <c r="F37" s="169" t="s">
        <v>5244</v>
      </c>
      <c r="G37" s="162">
        <v>45322.0</v>
      </c>
      <c r="H37" s="12">
        <v>45323.0</v>
      </c>
      <c r="I37" s="163" t="s">
        <v>25</v>
      </c>
      <c r="J37" s="163" t="s">
        <v>5134</v>
      </c>
      <c r="K37" s="163" t="s">
        <v>31</v>
      </c>
      <c r="L37" s="165"/>
      <c r="M37" s="161"/>
      <c r="N37" s="16" t="s">
        <v>5135</v>
      </c>
      <c r="O37" s="16"/>
      <c r="P37" s="16"/>
      <c r="Q37" s="17"/>
      <c r="R37" s="17"/>
      <c r="S37" s="17"/>
      <c r="T37" s="17"/>
      <c r="U37" s="17"/>
      <c r="V37" s="17"/>
      <c r="W37" s="17"/>
      <c r="X37" s="17"/>
      <c r="Y37" s="17"/>
    </row>
    <row r="38" ht="18.75" customHeight="1">
      <c r="A38" s="9">
        <v>37.0</v>
      </c>
      <c r="B38" s="166" t="s">
        <v>5245</v>
      </c>
      <c r="C38" s="170" t="s">
        <v>5246</v>
      </c>
      <c r="D38" s="170" t="s">
        <v>65</v>
      </c>
      <c r="E38" s="170" t="s">
        <v>5247</v>
      </c>
      <c r="F38" s="170" t="s">
        <v>5248</v>
      </c>
      <c r="G38" s="162">
        <v>45322.0</v>
      </c>
      <c r="H38" s="12">
        <v>45323.0</v>
      </c>
      <c r="I38" s="163" t="s">
        <v>21</v>
      </c>
      <c r="J38" s="163" t="s">
        <v>5147</v>
      </c>
      <c r="K38" s="163" t="s">
        <v>531</v>
      </c>
      <c r="L38" s="165"/>
      <c r="M38" s="161"/>
      <c r="N38" s="16"/>
      <c r="O38" s="16"/>
      <c r="P38" s="16"/>
      <c r="Q38" s="17"/>
      <c r="R38" s="17"/>
      <c r="S38" s="17"/>
      <c r="T38" s="17"/>
      <c r="U38" s="17"/>
      <c r="V38" s="17"/>
      <c r="W38" s="17"/>
      <c r="X38" s="17"/>
      <c r="Y38" s="17"/>
    </row>
    <row r="39" ht="18.75" customHeight="1">
      <c r="A39" s="9">
        <v>38.0</v>
      </c>
      <c r="B39" s="161" t="s">
        <v>1081</v>
      </c>
      <c r="C39" s="169" t="s">
        <v>1082</v>
      </c>
      <c r="D39" s="169" t="s">
        <v>231</v>
      </c>
      <c r="E39" s="169" t="s">
        <v>1083</v>
      </c>
      <c r="F39" s="169" t="s">
        <v>5249</v>
      </c>
      <c r="G39" s="162">
        <v>45322.0</v>
      </c>
      <c r="H39" s="12">
        <v>45323.0</v>
      </c>
      <c r="I39" s="163" t="s">
        <v>25</v>
      </c>
      <c r="J39" s="163" t="s">
        <v>37</v>
      </c>
      <c r="K39" s="163" t="s">
        <v>31</v>
      </c>
      <c r="L39" s="165"/>
      <c r="M39" s="161"/>
      <c r="N39" s="16" t="s">
        <v>5135</v>
      </c>
      <c r="O39" s="16"/>
      <c r="P39" s="16"/>
      <c r="Q39" s="17"/>
      <c r="R39" s="17"/>
      <c r="S39" s="17"/>
      <c r="T39" s="17"/>
      <c r="U39" s="17"/>
      <c r="V39" s="17"/>
      <c r="W39" s="17"/>
      <c r="X39" s="17"/>
      <c r="Y39" s="17"/>
    </row>
    <row r="40" ht="18.75" customHeight="1">
      <c r="A40" s="9">
        <v>39.0</v>
      </c>
      <c r="B40" s="161" t="s">
        <v>5250</v>
      </c>
      <c r="C40" s="169" t="s">
        <v>5251</v>
      </c>
      <c r="D40" s="169" t="s">
        <v>5252</v>
      </c>
      <c r="E40" s="169" t="s">
        <v>5247</v>
      </c>
      <c r="F40" s="169" t="s">
        <v>5253</v>
      </c>
      <c r="G40" s="162">
        <v>45322.0</v>
      </c>
      <c r="H40" s="12">
        <v>45323.0</v>
      </c>
      <c r="I40" s="163" t="s">
        <v>25</v>
      </c>
      <c r="J40" s="163" t="s">
        <v>5134</v>
      </c>
      <c r="K40" s="163" t="s">
        <v>31</v>
      </c>
      <c r="L40" s="165"/>
      <c r="M40" s="161"/>
      <c r="N40" s="16" t="s">
        <v>5135</v>
      </c>
      <c r="O40" s="16"/>
      <c r="P40" s="16"/>
      <c r="Q40" s="17"/>
      <c r="R40" s="17"/>
      <c r="S40" s="17"/>
      <c r="T40" s="17"/>
      <c r="U40" s="17"/>
      <c r="V40" s="17"/>
      <c r="W40" s="17"/>
      <c r="X40" s="17"/>
      <c r="Y40" s="17"/>
    </row>
    <row r="41" ht="18.75" customHeight="1">
      <c r="A41" s="9">
        <v>40.0</v>
      </c>
      <c r="B41" s="161" t="s">
        <v>5254</v>
      </c>
      <c r="C41" s="169" t="s">
        <v>5255</v>
      </c>
      <c r="D41" s="169" t="s">
        <v>65</v>
      </c>
      <c r="E41" s="169" t="s">
        <v>2077</v>
      </c>
      <c r="F41" s="169" t="s">
        <v>5256</v>
      </c>
      <c r="G41" s="162">
        <v>45322.0</v>
      </c>
      <c r="H41" s="12">
        <v>45323.0</v>
      </c>
      <c r="I41" s="163" t="s">
        <v>25</v>
      </c>
      <c r="J41" s="163" t="s">
        <v>5134</v>
      </c>
      <c r="K41" s="163" t="s">
        <v>31</v>
      </c>
      <c r="L41" s="165"/>
      <c r="M41" s="161"/>
      <c r="N41" s="16" t="s">
        <v>5135</v>
      </c>
      <c r="O41" s="16"/>
      <c r="P41" s="16"/>
      <c r="Q41" s="17"/>
      <c r="R41" s="17"/>
      <c r="S41" s="17"/>
      <c r="T41" s="17"/>
      <c r="U41" s="17"/>
      <c r="V41" s="17"/>
      <c r="W41" s="17"/>
      <c r="X41" s="17"/>
      <c r="Y41" s="17"/>
    </row>
    <row r="42" ht="18.75" customHeight="1">
      <c r="A42" s="9">
        <v>41.0</v>
      </c>
      <c r="B42" s="161" t="s">
        <v>5257</v>
      </c>
      <c r="C42" s="169" t="s">
        <v>5258</v>
      </c>
      <c r="D42" s="169" t="s">
        <v>110</v>
      </c>
      <c r="E42" s="169" t="s">
        <v>5259</v>
      </c>
      <c r="F42" s="169" t="s">
        <v>5260</v>
      </c>
      <c r="G42" s="162">
        <v>45322.0</v>
      </c>
      <c r="H42" s="12">
        <v>45323.0</v>
      </c>
      <c r="I42" s="163" t="s">
        <v>25</v>
      </c>
      <c r="J42" s="163" t="s">
        <v>5134</v>
      </c>
      <c r="K42" s="163" t="s">
        <v>31</v>
      </c>
      <c r="L42" s="165"/>
      <c r="M42" s="161"/>
      <c r="N42" s="16" t="s">
        <v>5135</v>
      </c>
      <c r="O42" s="16"/>
      <c r="P42" s="16"/>
      <c r="Q42" s="17"/>
      <c r="R42" s="17"/>
      <c r="S42" s="17"/>
      <c r="T42" s="17"/>
      <c r="U42" s="17"/>
      <c r="V42" s="17"/>
      <c r="W42" s="17"/>
      <c r="X42" s="17"/>
      <c r="Y42" s="17"/>
    </row>
    <row r="43" ht="18.75" customHeight="1">
      <c r="A43" s="9">
        <v>42.0</v>
      </c>
      <c r="B43" s="161" t="s">
        <v>5261</v>
      </c>
      <c r="C43" s="169" t="s">
        <v>5262</v>
      </c>
      <c r="D43" s="169" t="s">
        <v>110</v>
      </c>
      <c r="E43" s="169" t="s">
        <v>5263</v>
      </c>
      <c r="F43" s="169" t="s">
        <v>5264</v>
      </c>
      <c r="G43" s="162">
        <v>45322.0</v>
      </c>
      <c r="H43" s="12">
        <v>45323.0</v>
      </c>
      <c r="I43" s="163" t="s">
        <v>25</v>
      </c>
      <c r="J43" s="163" t="s">
        <v>5134</v>
      </c>
      <c r="K43" s="163" t="s">
        <v>31</v>
      </c>
      <c r="L43" s="165"/>
      <c r="M43" s="161"/>
      <c r="N43" s="16" t="s">
        <v>5135</v>
      </c>
      <c r="O43" s="16"/>
      <c r="P43" s="16"/>
      <c r="Q43" s="17"/>
      <c r="R43" s="17"/>
      <c r="S43" s="17"/>
      <c r="T43" s="17"/>
      <c r="U43" s="17"/>
      <c r="V43" s="17"/>
      <c r="W43" s="17"/>
      <c r="X43" s="17"/>
      <c r="Y43" s="17"/>
    </row>
    <row r="44" ht="18.75" customHeight="1">
      <c r="A44" s="9">
        <v>43.0</v>
      </c>
      <c r="B44" s="161" t="s">
        <v>5265</v>
      </c>
      <c r="C44" s="169" t="s">
        <v>5266</v>
      </c>
      <c r="D44" s="169" t="s">
        <v>110</v>
      </c>
      <c r="E44" s="169" t="s">
        <v>5267</v>
      </c>
      <c r="F44" s="169" t="s">
        <v>5268</v>
      </c>
      <c r="G44" s="162">
        <v>45322.0</v>
      </c>
      <c r="H44" s="12">
        <v>45323.0</v>
      </c>
      <c r="I44" s="163" t="s">
        <v>25</v>
      </c>
      <c r="J44" s="163" t="s">
        <v>5134</v>
      </c>
      <c r="K44" s="163" t="s">
        <v>31</v>
      </c>
      <c r="L44" s="165"/>
      <c r="M44" s="161"/>
      <c r="N44" s="16" t="s">
        <v>5135</v>
      </c>
      <c r="O44" s="16"/>
      <c r="P44" s="16"/>
      <c r="Q44" s="17"/>
      <c r="R44" s="17"/>
      <c r="S44" s="17"/>
      <c r="T44" s="17"/>
      <c r="U44" s="17"/>
      <c r="V44" s="17"/>
      <c r="W44" s="17"/>
      <c r="X44" s="17"/>
      <c r="Y44" s="17"/>
    </row>
    <row r="45" ht="18.75" customHeight="1">
      <c r="A45" s="9">
        <v>44.0</v>
      </c>
      <c r="B45" s="161" t="s">
        <v>5269</v>
      </c>
      <c r="C45" s="169" t="s">
        <v>5270</v>
      </c>
      <c r="D45" s="169" t="s">
        <v>697</v>
      </c>
      <c r="E45" s="169" t="s">
        <v>5271</v>
      </c>
      <c r="F45" s="169" t="s">
        <v>5272</v>
      </c>
      <c r="G45" s="162">
        <v>45322.0</v>
      </c>
      <c r="H45" s="12">
        <v>45323.0</v>
      </c>
      <c r="I45" s="163" t="s">
        <v>119</v>
      </c>
      <c r="J45" s="163" t="s">
        <v>37</v>
      </c>
      <c r="K45" s="163" t="s">
        <v>31</v>
      </c>
      <c r="L45" s="165"/>
      <c r="M45" s="161"/>
      <c r="N45" s="16" t="s">
        <v>5135</v>
      </c>
      <c r="O45" s="16"/>
      <c r="P45" s="16"/>
      <c r="Q45" s="17"/>
      <c r="R45" s="17"/>
      <c r="S45" s="17"/>
      <c r="T45" s="17"/>
      <c r="U45" s="17"/>
      <c r="V45" s="17"/>
      <c r="W45" s="17"/>
      <c r="X45" s="17"/>
      <c r="Y45" s="17"/>
    </row>
    <row r="46" ht="18.75" customHeight="1">
      <c r="A46" s="9">
        <v>45.0</v>
      </c>
      <c r="B46" s="161" t="s">
        <v>5273</v>
      </c>
      <c r="C46" s="169" t="s">
        <v>5274</v>
      </c>
      <c r="D46" s="169" t="s">
        <v>328</v>
      </c>
      <c r="E46" s="169" t="s">
        <v>5275</v>
      </c>
      <c r="F46" s="169" t="s">
        <v>5276</v>
      </c>
      <c r="G46" s="162">
        <v>45322.0</v>
      </c>
      <c r="H46" s="12">
        <v>45323.0</v>
      </c>
      <c r="I46" s="163" t="s">
        <v>25</v>
      </c>
      <c r="J46" s="163" t="s">
        <v>37</v>
      </c>
      <c r="K46" s="163" t="s">
        <v>31</v>
      </c>
      <c r="L46" s="165"/>
      <c r="M46" s="161"/>
      <c r="N46" s="16" t="s">
        <v>5135</v>
      </c>
      <c r="O46" s="16"/>
      <c r="P46" s="16"/>
      <c r="Q46" s="17"/>
      <c r="R46" s="17"/>
      <c r="S46" s="17"/>
      <c r="T46" s="17"/>
      <c r="U46" s="17"/>
      <c r="V46" s="17"/>
      <c r="W46" s="17"/>
      <c r="X46" s="17"/>
      <c r="Y46" s="17"/>
    </row>
    <row r="47" ht="18.75" customHeight="1">
      <c r="A47" s="9">
        <v>46.0</v>
      </c>
      <c r="B47" s="161" t="s">
        <v>5277</v>
      </c>
      <c r="C47" s="169" t="s">
        <v>5278</v>
      </c>
      <c r="D47" s="169" t="s">
        <v>116</v>
      </c>
      <c r="E47" s="169" t="s">
        <v>1652</v>
      </c>
      <c r="F47" s="169" t="s">
        <v>5279</v>
      </c>
      <c r="G47" s="162">
        <v>45322.0</v>
      </c>
      <c r="H47" s="12">
        <v>45323.0</v>
      </c>
      <c r="I47" s="163" t="s">
        <v>25</v>
      </c>
      <c r="J47" s="163" t="s">
        <v>37</v>
      </c>
      <c r="K47" s="163" t="s">
        <v>31</v>
      </c>
      <c r="L47" s="165"/>
      <c r="M47" s="161"/>
      <c r="N47" s="16" t="s">
        <v>5135</v>
      </c>
      <c r="O47" s="16"/>
      <c r="P47" s="16"/>
      <c r="Q47" s="17"/>
      <c r="R47" s="17"/>
      <c r="S47" s="17"/>
      <c r="T47" s="17"/>
      <c r="U47" s="17"/>
      <c r="V47" s="17"/>
      <c r="W47" s="17"/>
      <c r="X47" s="17"/>
      <c r="Y47" s="17"/>
    </row>
    <row r="48" ht="18.75" customHeight="1">
      <c r="A48" s="9">
        <v>47.0</v>
      </c>
      <c r="B48" s="161" t="s">
        <v>5280</v>
      </c>
      <c r="C48" s="169" t="s">
        <v>2110</v>
      </c>
      <c r="D48" s="169" t="s">
        <v>59</v>
      </c>
      <c r="E48" s="169" t="s">
        <v>5281</v>
      </c>
      <c r="F48" s="169" t="s">
        <v>5282</v>
      </c>
      <c r="G48" s="162">
        <v>45322.0</v>
      </c>
      <c r="H48" s="12">
        <v>45323.0</v>
      </c>
      <c r="I48" s="163" t="s">
        <v>119</v>
      </c>
      <c r="J48" s="163" t="s">
        <v>5134</v>
      </c>
      <c r="K48" s="163" t="s">
        <v>31</v>
      </c>
      <c r="L48" s="165"/>
      <c r="M48" s="161"/>
      <c r="N48" s="16" t="s">
        <v>5135</v>
      </c>
      <c r="O48" s="16"/>
      <c r="P48" s="16"/>
      <c r="Q48" s="17"/>
      <c r="R48" s="17"/>
      <c r="S48" s="17"/>
      <c r="T48" s="17"/>
      <c r="U48" s="17"/>
      <c r="V48" s="17"/>
      <c r="W48" s="17"/>
      <c r="X48" s="17"/>
      <c r="Y48" s="17"/>
    </row>
    <row r="49" ht="18.75" customHeight="1">
      <c r="A49" s="9">
        <v>48.0</v>
      </c>
      <c r="B49" s="161" t="s">
        <v>5283</v>
      </c>
      <c r="C49" s="169" t="s">
        <v>5284</v>
      </c>
      <c r="D49" s="169" t="s">
        <v>116</v>
      </c>
      <c r="E49" s="169" t="s">
        <v>5285</v>
      </c>
      <c r="F49" s="169" t="s">
        <v>5286</v>
      </c>
      <c r="G49" s="162">
        <v>45322.0</v>
      </c>
      <c r="H49" s="12">
        <v>45323.0</v>
      </c>
      <c r="I49" s="163" t="s">
        <v>119</v>
      </c>
      <c r="J49" s="163" t="s">
        <v>5134</v>
      </c>
      <c r="K49" s="163" t="s">
        <v>31</v>
      </c>
      <c r="L49" s="165"/>
      <c r="M49" s="161"/>
      <c r="N49" s="16" t="s">
        <v>5135</v>
      </c>
      <c r="O49" s="16"/>
      <c r="P49" s="16"/>
      <c r="Q49" s="17"/>
      <c r="R49" s="17"/>
      <c r="S49" s="17"/>
      <c r="T49" s="17"/>
      <c r="U49" s="17"/>
      <c r="V49" s="17"/>
      <c r="W49" s="17"/>
      <c r="X49" s="17"/>
      <c r="Y49" s="17"/>
    </row>
    <row r="50" ht="18.75" customHeight="1">
      <c r="A50" s="9">
        <v>49.0</v>
      </c>
      <c r="B50" s="161" t="s">
        <v>5287</v>
      </c>
      <c r="C50" s="169" t="s">
        <v>5288</v>
      </c>
      <c r="D50" s="169" t="s">
        <v>173</v>
      </c>
      <c r="E50" s="169" t="s">
        <v>5289</v>
      </c>
      <c r="F50" s="169" t="s">
        <v>5290</v>
      </c>
      <c r="G50" s="162">
        <v>45322.0</v>
      </c>
      <c r="H50" s="12">
        <v>45323.0</v>
      </c>
      <c r="I50" s="163" t="s">
        <v>119</v>
      </c>
      <c r="J50" s="163" t="s">
        <v>5134</v>
      </c>
      <c r="K50" s="163" t="s">
        <v>31</v>
      </c>
      <c r="L50" s="165"/>
      <c r="M50" s="161"/>
      <c r="N50" s="16" t="s">
        <v>5135</v>
      </c>
      <c r="O50" s="16"/>
      <c r="P50" s="16"/>
      <c r="Q50" s="17"/>
      <c r="R50" s="17"/>
      <c r="S50" s="17"/>
      <c r="T50" s="17"/>
      <c r="U50" s="17"/>
      <c r="V50" s="17"/>
      <c r="W50" s="17"/>
      <c r="X50" s="17"/>
      <c r="Y50" s="17"/>
    </row>
    <row r="51" ht="18.75" customHeight="1">
      <c r="A51" s="9">
        <v>50.0</v>
      </c>
      <c r="B51" s="161" t="s">
        <v>5291</v>
      </c>
      <c r="C51" s="169" t="s">
        <v>5292</v>
      </c>
      <c r="D51" s="169" t="s">
        <v>1749</v>
      </c>
      <c r="E51" s="169" t="s">
        <v>1652</v>
      </c>
      <c r="F51" s="169"/>
      <c r="G51" s="162">
        <v>45322.0</v>
      </c>
      <c r="H51" s="12">
        <v>45323.0</v>
      </c>
      <c r="I51" s="163" t="s">
        <v>25</v>
      </c>
      <c r="J51" s="163" t="s">
        <v>37</v>
      </c>
      <c r="K51" s="163" t="s">
        <v>31</v>
      </c>
      <c r="L51" s="165"/>
      <c r="M51" s="161"/>
      <c r="N51" s="16" t="s">
        <v>5135</v>
      </c>
      <c r="O51" s="16"/>
      <c r="P51" s="16"/>
      <c r="Q51" s="17"/>
      <c r="R51" s="17"/>
      <c r="S51" s="17"/>
      <c r="T51" s="17"/>
      <c r="U51" s="17"/>
      <c r="V51" s="17"/>
      <c r="W51" s="17"/>
      <c r="X51" s="17"/>
      <c r="Y51" s="17"/>
    </row>
    <row r="52" ht="18.75" customHeight="1">
      <c r="A52" s="9">
        <v>51.0</v>
      </c>
      <c r="B52" s="161" t="s">
        <v>5293</v>
      </c>
      <c r="C52" s="169" t="s">
        <v>5294</v>
      </c>
      <c r="D52" s="169" t="s">
        <v>65</v>
      </c>
      <c r="E52" s="169" t="s">
        <v>5289</v>
      </c>
      <c r="F52" s="169" t="s">
        <v>5295</v>
      </c>
      <c r="G52" s="162">
        <v>45326.0</v>
      </c>
      <c r="H52" s="12">
        <v>45327.0</v>
      </c>
      <c r="I52" s="163" t="s">
        <v>119</v>
      </c>
      <c r="J52" s="163" t="s">
        <v>5134</v>
      </c>
      <c r="K52" s="163" t="s">
        <v>31</v>
      </c>
      <c r="L52" s="165"/>
      <c r="M52" s="161"/>
      <c r="N52" s="16" t="s">
        <v>5135</v>
      </c>
      <c r="O52" s="16"/>
      <c r="P52" s="16"/>
      <c r="Q52" s="17"/>
      <c r="R52" s="17"/>
      <c r="S52" s="17"/>
      <c r="T52" s="17"/>
      <c r="U52" s="17"/>
      <c r="V52" s="17"/>
      <c r="W52" s="17"/>
      <c r="X52" s="17"/>
      <c r="Y52" s="17"/>
    </row>
    <row r="53" ht="18.75" customHeight="1">
      <c r="A53" s="9">
        <v>52.0</v>
      </c>
      <c r="B53" s="161" t="s">
        <v>5296</v>
      </c>
      <c r="C53" s="169" t="s">
        <v>5297</v>
      </c>
      <c r="D53" s="169" t="s">
        <v>122</v>
      </c>
      <c r="E53" s="169" t="s">
        <v>5259</v>
      </c>
      <c r="F53" s="169" t="s">
        <v>5298</v>
      </c>
      <c r="G53" s="162">
        <v>45327.0</v>
      </c>
      <c r="H53" s="12">
        <v>45328.0</v>
      </c>
      <c r="I53" s="163" t="s">
        <v>119</v>
      </c>
      <c r="J53" s="163" t="s">
        <v>5134</v>
      </c>
      <c r="K53" s="163" t="s">
        <v>31</v>
      </c>
      <c r="L53" s="165"/>
      <c r="M53" s="161"/>
      <c r="N53" s="16" t="s">
        <v>5135</v>
      </c>
      <c r="O53" s="16"/>
      <c r="P53" s="16"/>
      <c r="Q53" s="17"/>
      <c r="R53" s="17"/>
      <c r="S53" s="17"/>
      <c r="T53" s="17"/>
      <c r="U53" s="17"/>
      <c r="V53" s="17"/>
      <c r="W53" s="17"/>
      <c r="X53" s="17"/>
      <c r="Y53" s="17"/>
    </row>
    <row r="54" ht="18.75" customHeight="1">
      <c r="A54" s="9">
        <v>53.0</v>
      </c>
      <c r="B54" s="161" t="s">
        <v>5299</v>
      </c>
      <c r="C54" s="169" t="s">
        <v>5300</v>
      </c>
      <c r="D54" s="169" t="s">
        <v>173</v>
      </c>
      <c r="E54" s="169" t="s">
        <v>5301</v>
      </c>
      <c r="F54" s="169" t="s">
        <v>5302</v>
      </c>
      <c r="G54" s="162">
        <v>45330.0</v>
      </c>
      <c r="H54" s="12">
        <v>45331.0</v>
      </c>
      <c r="I54" s="163" t="s">
        <v>119</v>
      </c>
      <c r="J54" s="163" t="s">
        <v>5134</v>
      </c>
      <c r="K54" s="163" t="s">
        <v>31</v>
      </c>
      <c r="L54" s="165"/>
      <c r="M54" s="161"/>
      <c r="N54" s="16" t="s">
        <v>5135</v>
      </c>
      <c r="O54" s="16"/>
      <c r="P54" s="16"/>
      <c r="Q54" s="17"/>
      <c r="R54" s="17"/>
      <c r="S54" s="17"/>
      <c r="T54" s="17"/>
      <c r="U54" s="17"/>
      <c r="V54" s="17"/>
      <c r="W54" s="17"/>
      <c r="X54" s="17"/>
      <c r="Y54" s="17"/>
    </row>
    <row r="55" ht="18.75" customHeight="1">
      <c r="A55" s="9">
        <v>54.0</v>
      </c>
      <c r="B55" s="161" t="s">
        <v>5303</v>
      </c>
      <c r="C55" s="169" t="s">
        <v>5304</v>
      </c>
      <c r="D55" s="169" t="s">
        <v>1286</v>
      </c>
      <c r="E55" s="169" t="s">
        <v>5305</v>
      </c>
      <c r="F55" s="169"/>
      <c r="G55" s="162">
        <v>45330.0</v>
      </c>
      <c r="H55" s="12">
        <v>45331.0</v>
      </c>
      <c r="I55" s="163" t="s">
        <v>251</v>
      </c>
      <c r="J55" s="163" t="s">
        <v>5173</v>
      </c>
      <c r="K55" s="163" t="s">
        <v>31</v>
      </c>
      <c r="L55" s="165"/>
      <c r="M55" s="161"/>
      <c r="N55" s="16" t="s">
        <v>5135</v>
      </c>
      <c r="O55" s="16"/>
      <c r="P55" s="16"/>
      <c r="Q55" s="17"/>
      <c r="R55" s="17"/>
      <c r="S55" s="17"/>
      <c r="T55" s="17"/>
      <c r="U55" s="17"/>
      <c r="V55" s="17"/>
      <c r="W55" s="17"/>
      <c r="X55" s="17"/>
      <c r="Y55" s="17"/>
    </row>
    <row r="56" ht="18.75" customHeight="1">
      <c r="A56" s="9">
        <v>55.0</v>
      </c>
      <c r="B56" s="161" t="s">
        <v>5306</v>
      </c>
      <c r="C56" s="169" t="s">
        <v>5307</v>
      </c>
      <c r="D56" s="169" t="s">
        <v>1149</v>
      </c>
      <c r="E56" s="169" t="s">
        <v>5308</v>
      </c>
      <c r="F56" s="169" t="s">
        <v>5309</v>
      </c>
      <c r="G56" s="162">
        <v>45333.0</v>
      </c>
      <c r="H56" s="12">
        <v>45334.0</v>
      </c>
      <c r="I56" s="163" t="s">
        <v>25</v>
      </c>
      <c r="J56" s="163" t="s">
        <v>5134</v>
      </c>
      <c r="K56" s="163" t="s">
        <v>31</v>
      </c>
      <c r="L56" s="165"/>
      <c r="M56" s="161"/>
      <c r="N56" s="16" t="s">
        <v>5135</v>
      </c>
      <c r="O56" s="16"/>
      <c r="P56" s="16"/>
      <c r="Q56" s="17"/>
      <c r="R56" s="17"/>
      <c r="S56" s="17"/>
      <c r="T56" s="17"/>
      <c r="U56" s="17"/>
      <c r="V56" s="17"/>
      <c r="W56" s="17"/>
      <c r="X56" s="17"/>
      <c r="Y56" s="17"/>
    </row>
    <row r="57" ht="18.75" customHeight="1">
      <c r="A57" s="9">
        <v>56.0</v>
      </c>
      <c r="B57" s="161" t="s">
        <v>5310</v>
      </c>
      <c r="C57" s="169" t="s">
        <v>5311</v>
      </c>
      <c r="D57" s="169" t="s">
        <v>664</v>
      </c>
      <c r="E57" s="169" t="s">
        <v>1344</v>
      </c>
      <c r="F57" s="169" t="s">
        <v>5312</v>
      </c>
      <c r="G57" s="162">
        <v>45333.0</v>
      </c>
      <c r="H57" s="12">
        <v>45334.0</v>
      </c>
      <c r="I57" s="163" t="s">
        <v>119</v>
      </c>
      <c r="J57" s="163" t="s">
        <v>5134</v>
      </c>
      <c r="K57" s="163" t="s">
        <v>31</v>
      </c>
      <c r="L57" s="165"/>
      <c r="M57" s="161"/>
      <c r="N57" s="16" t="s">
        <v>5135</v>
      </c>
      <c r="O57" s="16"/>
      <c r="P57" s="16"/>
      <c r="Q57" s="17"/>
      <c r="R57" s="17"/>
      <c r="S57" s="17"/>
      <c r="T57" s="17"/>
      <c r="U57" s="17"/>
      <c r="V57" s="17"/>
      <c r="W57" s="17"/>
      <c r="X57" s="17"/>
      <c r="Y57" s="17"/>
    </row>
    <row r="58" ht="18.75" customHeight="1">
      <c r="A58" s="9">
        <v>57.0</v>
      </c>
      <c r="B58" s="166" t="s">
        <v>5313</v>
      </c>
      <c r="C58" s="170" t="s">
        <v>5314</v>
      </c>
      <c r="D58" s="170" t="s">
        <v>646</v>
      </c>
      <c r="E58" s="170" t="s">
        <v>5315</v>
      </c>
      <c r="F58" s="170"/>
      <c r="G58" s="162">
        <v>45334.0</v>
      </c>
      <c r="H58" s="12">
        <v>45335.0</v>
      </c>
      <c r="I58" s="163" t="s">
        <v>21</v>
      </c>
      <c r="J58" s="163" t="s">
        <v>5147</v>
      </c>
      <c r="K58" s="163" t="s">
        <v>531</v>
      </c>
      <c r="L58" s="165"/>
      <c r="M58" s="161"/>
      <c r="N58" s="16"/>
      <c r="O58" s="16"/>
      <c r="P58" s="16"/>
      <c r="Q58" s="17"/>
      <c r="R58" s="17"/>
      <c r="S58" s="17"/>
      <c r="T58" s="17"/>
      <c r="U58" s="17"/>
      <c r="V58" s="17"/>
      <c r="W58" s="17"/>
      <c r="X58" s="17"/>
      <c r="Y58" s="17"/>
    </row>
    <row r="59" ht="18.75" customHeight="1">
      <c r="A59" s="9">
        <v>58.0</v>
      </c>
      <c r="B59" s="161" t="s">
        <v>5316</v>
      </c>
      <c r="C59" s="169" t="s">
        <v>5317</v>
      </c>
      <c r="D59" s="169" t="s">
        <v>122</v>
      </c>
      <c r="E59" s="169" t="s">
        <v>5318</v>
      </c>
      <c r="F59" s="169" t="s">
        <v>5319</v>
      </c>
      <c r="G59" s="162">
        <v>45334.0</v>
      </c>
      <c r="H59" s="12">
        <v>45335.0</v>
      </c>
      <c r="I59" s="163" t="s">
        <v>119</v>
      </c>
      <c r="J59" s="163" t="s">
        <v>5134</v>
      </c>
      <c r="K59" s="163" t="s">
        <v>31</v>
      </c>
      <c r="L59" s="165"/>
      <c r="M59" s="161"/>
      <c r="N59" s="16" t="s">
        <v>5135</v>
      </c>
      <c r="O59" s="16"/>
      <c r="P59" s="16"/>
      <c r="Q59" s="17"/>
      <c r="R59" s="17"/>
      <c r="S59" s="17"/>
      <c r="T59" s="17"/>
      <c r="U59" s="17"/>
      <c r="V59" s="17"/>
      <c r="W59" s="17"/>
      <c r="X59" s="17"/>
      <c r="Y59" s="17"/>
    </row>
    <row r="60" ht="18.75" customHeight="1">
      <c r="A60" s="9">
        <v>59.0</v>
      </c>
      <c r="B60" s="161" t="s">
        <v>5320</v>
      </c>
      <c r="C60" s="169" t="s">
        <v>5321</v>
      </c>
      <c r="D60" s="169" t="s">
        <v>173</v>
      </c>
      <c r="E60" s="169" t="s">
        <v>5322</v>
      </c>
      <c r="F60" s="169" t="s">
        <v>5323</v>
      </c>
      <c r="G60" s="162">
        <v>45334.0</v>
      </c>
      <c r="H60" s="12">
        <v>45335.0</v>
      </c>
      <c r="I60" s="163" t="s">
        <v>119</v>
      </c>
      <c r="J60" s="163" t="s">
        <v>5173</v>
      </c>
      <c r="K60" s="163" t="s">
        <v>31</v>
      </c>
      <c r="L60" s="165"/>
      <c r="M60" s="161"/>
      <c r="N60" s="16" t="s">
        <v>5135</v>
      </c>
      <c r="O60" s="16"/>
      <c r="P60" s="16"/>
      <c r="Q60" s="17"/>
      <c r="R60" s="17"/>
      <c r="S60" s="17"/>
      <c r="T60" s="17"/>
      <c r="U60" s="17"/>
      <c r="V60" s="17"/>
      <c r="W60" s="17"/>
      <c r="X60" s="17"/>
      <c r="Y60" s="17"/>
    </row>
    <row r="61" ht="18.75" customHeight="1">
      <c r="A61" s="9">
        <v>60.0</v>
      </c>
      <c r="B61" s="161" t="s">
        <v>5324</v>
      </c>
      <c r="C61" s="169" t="s">
        <v>5325</v>
      </c>
      <c r="D61" s="169" t="s">
        <v>207</v>
      </c>
      <c r="E61" s="169" t="s">
        <v>5326</v>
      </c>
      <c r="F61" s="169" t="s">
        <v>5327</v>
      </c>
      <c r="G61" s="162">
        <v>45337.0</v>
      </c>
      <c r="H61" s="12">
        <v>45338.0</v>
      </c>
      <c r="I61" s="163" t="s">
        <v>25</v>
      </c>
      <c r="J61" s="163" t="s">
        <v>5134</v>
      </c>
      <c r="K61" s="163" t="s">
        <v>31</v>
      </c>
      <c r="L61" s="165"/>
      <c r="M61" s="161"/>
      <c r="N61" s="16" t="s">
        <v>5135</v>
      </c>
      <c r="O61" s="16"/>
      <c r="P61" s="16"/>
      <c r="Q61" s="17"/>
      <c r="R61" s="17"/>
      <c r="S61" s="17"/>
      <c r="T61" s="17"/>
      <c r="U61" s="17"/>
      <c r="V61" s="17"/>
      <c r="W61" s="17"/>
      <c r="X61" s="17"/>
      <c r="Y61" s="17"/>
    </row>
    <row r="62" ht="18.75" customHeight="1">
      <c r="A62" s="9">
        <v>61.0</v>
      </c>
      <c r="B62" s="161" t="s">
        <v>5328</v>
      </c>
      <c r="C62" s="169" t="s">
        <v>5329</v>
      </c>
      <c r="D62" s="169" t="s">
        <v>173</v>
      </c>
      <c r="E62" s="169" t="s">
        <v>5330</v>
      </c>
      <c r="F62" s="169" t="s">
        <v>5331</v>
      </c>
      <c r="G62" s="162">
        <v>45337.0</v>
      </c>
      <c r="H62" s="12">
        <v>45338.0</v>
      </c>
      <c r="I62" s="163" t="s">
        <v>119</v>
      </c>
      <c r="J62" s="163" t="s">
        <v>5134</v>
      </c>
      <c r="K62" s="163" t="s">
        <v>31</v>
      </c>
      <c r="L62" s="165"/>
      <c r="M62" s="161"/>
      <c r="N62" s="16" t="s">
        <v>5135</v>
      </c>
      <c r="O62" s="16"/>
      <c r="P62" s="16"/>
      <c r="Q62" s="17"/>
      <c r="R62" s="17"/>
      <c r="S62" s="17"/>
      <c r="T62" s="17"/>
      <c r="U62" s="17"/>
      <c r="V62" s="17"/>
      <c r="W62" s="17"/>
      <c r="X62" s="17"/>
      <c r="Y62" s="17"/>
    </row>
    <row r="63" ht="18.75" customHeight="1">
      <c r="A63" s="9">
        <v>62.0</v>
      </c>
      <c r="B63" s="161" t="s">
        <v>5332</v>
      </c>
      <c r="C63" s="169" t="s">
        <v>5333</v>
      </c>
      <c r="D63" s="169" t="s">
        <v>122</v>
      </c>
      <c r="E63" s="169" t="s">
        <v>5334</v>
      </c>
      <c r="F63" s="169" t="s">
        <v>5335</v>
      </c>
      <c r="G63" s="162">
        <v>45341.0</v>
      </c>
      <c r="H63" s="12">
        <v>45342.0</v>
      </c>
      <c r="I63" s="163" t="s">
        <v>25</v>
      </c>
      <c r="J63" s="163" t="s">
        <v>5134</v>
      </c>
      <c r="K63" s="163" t="s">
        <v>31</v>
      </c>
      <c r="L63" s="165"/>
      <c r="M63" s="161"/>
      <c r="N63" s="16" t="s">
        <v>5135</v>
      </c>
      <c r="O63" s="16"/>
      <c r="P63" s="16"/>
      <c r="Q63" s="17"/>
      <c r="R63" s="17"/>
      <c r="S63" s="17"/>
      <c r="T63" s="17"/>
      <c r="U63" s="17"/>
      <c r="V63" s="17"/>
      <c r="W63" s="17"/>
      <c r="X63" s="17"/>
      <c r="Y63" s="17"/>
    </row>
    <row r="64" ht="18.75" customHeight="1">
      <c r="A64" s="9">
        <v>63.0</v>
      </c>
      <c r="B64" s="161" t="s">
        <v>1436</v>
      </c>
      <c r="C64" s="169" t="s">
        <v>1437</v>
      </c>
      <c r="D64" s="169" t="s">
        <v>1412</v>
      </c>
      <c r="E64" s="169" t="s">
        <v>1438</v>
      </c>
      <c r="F64" s="169" t="s">
        <v>5336</v>
      </c>
      <c r="G64" s="162">
        <v>45322.0</v>
      </c>
      <c r="H64" s="12">
        <v>45323.0</v>
      </c>
      <c r="I64" s="163" t="s">
        <v>25</v>
      </c>
      <c r="J64" s="163" t="s">
        <v>37</v>
      </c>
      <c r="K64" s="163" t="s">
        <v>31</v>
      </c>
      <c r="L64" s="165"/>
      <c r="M64" s="161"/>
      <c r="N64" s="16" t="s">
        <v>5135</v>
      </c>
      <c r="O64" s="16"/>
      <c r="P64" s="16"/>
      <c r="Q64" s="17"/>
      <c r="R64" s="17"/>
      <c r="S64" s="17"/>
      <c r="T64" s="17"/>
      <c r="U64" s="17"/>
      <c r="V64" s="17"/>
      <c r="W64" s="17"/>
      <c r="X64" s="17"/>
      <c r="Y64" s="17"/>
    </row>
    <row r="65" ht="18.75" customHeight="1">
      <c r="A65" s="9">
        <v>64.0</v>
      </c>
      <c r="B65" s="161" t="s">
        <v>1440</v>
      </c>
      <c r="C65" s="169" t="s">
        <v>1441</v>
      </c>
      <c r="D65" s="169" t="s">
        <v>1412</v>
      </c>
      <c r="E65" s="169" t="s">
        <v>1438</v>
      </c>
      <c r="F65" s="169" t="s">
        <v>5337</v>
      </c>
      <c r="G65" s="162">
        <v>45322.0</v>
      </c>
      <c r="H65" s="12">
        <v>45323.0</v>
      </c>
      <c r="I65" s="163" t="s">
        <v>25</v>
      </c>
      <c r="J65" s="163" t="s">
        <v>37</v>
      </c>
      <c r="K65" s="163" t="s">
        <v>31</v>
      </c>
      <c r="L65" s="165"/>
      <c r="M65" s="161"/>
      <c r="N65" s="16" t="s">
        <v>5135</v>
      </c>
      <c r="O65" s="16"/>
      <c r="P65" s="16"/>
      <c r="Q65" s="17"/>
      <c r="R65" s="17"/>
      <c r="S65" s="17"/>
      <c r="T65" s="17"/>
      <c r="U65" s="17"/>
      <c r="V65" s="17"/>
      <c r="W65" s="17"/>
      <c r="X65" s="17"/>
      <c r="Y65" s="17"/>
    </row>
    <row r="66" ht="18.75" customHeight="1">
      <c r="A66" s="9">
        <v>65.0</v>
      </c>
      <c r="B66" s="161" t="s">
        <v>1443</v>
      </c>
      <c r="C66" s="169" t="s">
        <v>1444</v>
      </c>
      <c r="D66" s="169" t="s">
        <v>1412</v>
      </c>
      <c r="E66" s="169" t="s">
        <v>1438</v>
      </c>
      <c r="F66" s="169" t="s">
        <v>5338</v>
      </c>
      <c r="G66" s="162">
        <v>45322.0</v>
      </c>
      <c r="H66" s="12">
        <v>45323.0</v>
      </c>
      <c r="I66" s="163" t="s">
        <v>25</v>
      </c>
      <c r="J66" s="163" t="s">
        <v>37</v>
      </c>
      <c r="K66" s="163" t="s">
        <v>31</v>
      </c>
      <c r="L66" s="165"/>
      <c r="M66" s="161"/>
      <c r="N66" s="16" t="s">
        <v>5135</v>
      </c>
      <c r="O66" s="16"/>
      <c r="P66" s="16"/>
      <c r="Q66" s="17"/>
      <c r="R66" s="17"/>
      <c r="S66" s="17"/>
      <c r="T66" s="17"/>
      <c r="U66" s="17"/>
      <c r="V66" s="17"/>
      <c r="W66" s="17"/>
      <c r="X66" s="17"/>
      <c r="Y66" s="17"/>
    </row>
    <row r="67" ht="18.75" customHeight="1">
      <c r="A67" s="9">
        <v>66.0</v>
      </c>
      <c r="B67" s="161" t="s">
        <v>5339</v>
      </c>
      <c r="C67" s="169" t="s">
        <v>5340</v>
      </c>
      <c r="D67" s="169" t="s">
        <v>5341</v>
      </c>
      <c r="E67" s="169" t="s">
        <v>5342</v>
      </c>
      <c r="F67" s="169" t="s">
        <v>5343</v>
      </c>
      <c r="G67" s="162">
        <v>45322.0</v>
      </c>
      <c r="H67" s="12">
        <v>45323.0</v>
      </c>
      <c r="I67" s="163" t="s">
        <v>25</v>
      </c>
      <c r="J67" s="171"/>
      <c r="K67" s="163" t="s">
        <v>31</v>
      </c>
      <c r="L67" s="165"/>
      <c r="M67" s="161"/>
      <c r="N67" s="16" t="s">
        <v>5135</v>
      </c>
      <c r="O67" s="16"/>
      <c r="P67" s="16"/>
      <c r="Q67" s="17"/>
      <c r="R67" s="17"/>
      <c r="S67" s="17"/>
      <c r="T67" s="17"/>
      <c r="U67" s="17"/>
      <c r="V67" s="17"/>
      <c r="W67" s="17"/>
      <c r="X67" s="17"/>
      <c r="Y67" s="17"/>
    </row>
    <row r="68" ht="18.75" customHeight="1">
      <c r="A68" s="9">
        <v>67.0</v>
      </c>
      <c r="B68" s="161" t="s">
        <v>1446</v>
      </c>
      <c r="C68" s="169" t="s">
        <v>1447</v>
      </c>
      <c r="D68" s="169" t="s">
        <v>1448</v>
      </c>
      <c r="E68" s="169" t="s">
        <v>1421</v>
      </c>
      <c r="F68" s="169" t="s">
        <v>5344</v>
      </c>
      <c r="G68" s="162">
        <v>45329.0</v>
      </c>
      <c r="H68" s="12">
        <v>45330.0</v>
      </c>
      <c r="I68" s="163" t="s">
        <v>119</v>
      </c>
      <c r="J68" s="163" t="s">
        <v>37</v>
      </c>
      <c r="K68" s="163" t="s">
        <v>31</v>
      </c>
      <c r="L68" s="165"/>
      <c r="M68" s="161"/>
      <c r="N68" s="16" t="s">
        <v>5135</v>
      </c>
      <c r="O68" s="16"/>
      <c r="P68" s="16"/>
      <c r="Q68" s="17"/>
      <c r="R68" s="17"/>
      <c r="S68" s="17"/>
      <c r="T68" s="17"/>
      <c r="U68" s="17"/>
      <c r="V68" s="17"/>
      <c r="W68" s="17"/>
      <c r="X68" s="17"/>
      <c r="Y68" s="17"/>
    </row>
    <row r="69" ht="18.75" customHeight="1">
      <c r="A69" s="9">
        <v>68.0</v>
      </c>
      <c r="B69" s="161" t="s">
        <v>1450</v>
      </c>
      <c r="C69" s="169" t="s">
        <v>1451</v>
      </c>
      <c r="D69" s="169" t="s">
        <v>1412</v>
      </c>
      <c r="E69" s="169" t="s">
        <v>1452</v>
      </c>
      <c r="F69" s="169" t="s">
        <v>5345</v>
      </c>
      <c r="G69" s="162">
        <v>45328.0</v>
      </c>
      <c r="H69" s="172">
        <v>45329.0</v>
      </c>
      <c r="I69" s="163" t="s">
        <v>25</v>
      </c>
      <c r="J69" s="163" t="s">
        <v>37</v>
      </c>
      <c r="K69" s="163" t="s">
        <v>31</v>
      </c>
      <c r="L69" s="165"/>
      <c r="M69" s="161"/>
      <c r="N69" s="16" t="s">
        <v>5135</v>
      </c>
      <c r="O69" s="16"/>
      <c r="P69" s="16"/>
      <c r="Q69" s="17"/>
      <c r="R69" s="17"/>
      <c r="S69" s="17"/>
      <c r="T69" s="17"/>
      <c r="U69" s="17"/>
      <c r="V69" s="17"/>
      <c r="W69" s="17"/>
      <c r="X69" s="17"/>
      <c r="Y69" s="17"/>
    </row>
    <row r="70" ht="18.75" customHeight="1">
      <c r="A70" s="9">
        <v>69.0</v>
      </c>
      <c r="B70" s="161" t="s">
        <v>1454</v>
      </c>
      <c r="C70" s="169" t="s">
        <v>1455</v>
      </c>
      <c r="D70" s="169" t="s">
        <v>1456</v>
      </c>
      <c r="E70" s="169" t="s">
        <v>1457</v>
      </c>
      <c r="F70" s="169" t="s">
        <v>5346</v>
      </c>
      <c r="G70" s="162">
        <v>45332.0</v>
      </c>
      <c r="H70" s="12">
        <v>45333.0</v>
      </c>
      <c r="I70" s="163" t="s">
        <v>25</v>
      </c>
      <c r="J70" s="163" t="s">
        <v>37</v>
      </c>
      <c r="K70" s="163" t="s">
        <v>31</v>
      </c>
      <c r="L70" s="165"/>
      <c r="M70" s="161"/>
      <c r="N70" s="16" t="s">
        <v>5135</v>
      </c>
      <c r="O70" s="16"/>
      <c r="P70" s="16"/>
      <c r="Q70" s="17"/>
      <c r="R70" s="17"/>
      <c r="S70" s="17"/>
      <c r="T70" s="17"/>
      <c r="U70" s="17"/>
      <c r="V70" s="17"/>
      <c r="W70" s="17"/>
      <c r="X70" s="17"/>
      <c r="Y70" s="17"/>
    </row>
    <row r="71" ht="18.75" customHeight="1">
      <c r="A71" s="9">
        <v>70.0</v>
      </c>
      <c r="B71" s="161" t="s">
        <v>1459</v>
      </c>
      <c r="C71" s="169" t="s">
        <v>1460</v>
      </c>
      <c r="D71" s="169" t="s">
        <v>1412</v>
      </c>
      <c r="E71" s="169" t="s">
        <v>1438</v>
      </c>
      <c r="F71" s="169" t="s">
        <v>5347</v>
      </c>
      <c r="G71" s="162">
        <v>45333.0</v>
      </c>
      <c r="H71" s="12">
        <v>45334.0</v>
      </c>
      <c r="I71" s="163" t="s">
        <v>25</v>
      </c>
      <c r="J71" s="163" t="s">
        <v>37</v>
      </c>
      <c r="K71" s="163" t="s">
        <v>31</v>
      </c>
      <c r="L71" s="165"/>
      <c r="M71" s="161"/>
      <c r="N71" s="16" t="s">
        <v>5135</v>
      </c>
      <c r="O71" s="16"/>
      <c r="P71" s="16"/>
      <c r="Q71" s="17"/>
      <c r="R71" s="17"/>
      <c r="S71" s="17"/>
      <c r="T71" s="17"/>
      <c r="U71" s="17"/>
      <c r="V71" s="17"/>
      <c r="W71" s="17"/>
      <c r="X71" s="17"/>
      <c r="Y71" s="17"/>
    </row>
    <row r="72" ht="18.75" customHeight="1">
      <c r="A72" s="9">
        <v>71.0</v>
      </c>
      <c r="B72" s="161" t="s">
        <v>1462</v>
      </c>
      <c r="C72" s="169" t="s">
        <v>1463</v>
      </c>
      <c r="D72" s="169" t="s">
        <v>1417</v>
      </c>
      <c r="E72" s="169" t="s">
        <v>1464</v>
      </c>
      <c r="F72" s="169" t="s">
        <v>5348</v>
      </c>
      <c r="G72" s="162">
        <v>45337.0</v>
      </c>
      <c r="H72" s="12">
        <v>45338.0</v>
      </c>
      <c r="I72" s="163" t="s">
        <v>25</v>
      </c>
      <c r="J72" s="163" t="s">
        <v>37</v>
      </c>
      <c r="K72" s="163" t="s">
        <v>31</v>
      </c>
      <c r="L72" s="165"/>
      <c r="M72" s="161"/>
      <c r="N72" s="16" t="s">
        <v>5135</v>
      </c>
      <c r="O72" s="16"/>
      <c r="P72" s="16"/>
      <c r="Q72" s="17"/>
      <c r="R72" s="17"/>
      <c r="S72" s="17"/>
      <c r="T72" s="17"/>
      <c r="U72" s="17"/>
      <c r="V72" s="17"/>
      <c r="W72" s="17"/>
      <c r="X72" s="17"/>
      <c r="Y72" s="17"/>
    </row>
    <row r="73" ht="18.75" customHeight="1">
      <c r="A73" s="9">
        <v>72.0</v>
      </c>
      <c r="B73" s="161" t="s">
        <v>1466</v>
      </c>
      <c r="C73" s="169" t="s">
        <v>1467</v>
      </c>
      <c r="D73" s="169" t="s">
        <v>1468</v>
      </c>
      <c r="E73" s="169" t="s">
        <v>1464</v>
      </c>
      <c r="F73" s="169" t="s">
        <v>5349</v>
      </c>
      <c r="G73" s="162">
        <v>45337.0</v>
      </c>
      <c r="H73" s="12">
        <v>45338.0</v>
      </c>
      <c r="I73" s="163" t="s">
        <v>25</v>
      </c>
      <c r="J73" s="163" t="s">
        <v>37</v>
      </c>
      <c r="K73" s="163" t="s">
        <v>31</v>
      </c>
      <c r="L73" s="165"/>
      <c r="M73" s="161"/>
      <c r="N73" s="16" t="s">
        <v>5135</v>
      </c>
      <c r="O73" s="16"/>
      <c r="P73" s="16"/>
      <c r="Q73" s="17"/>
      <c r="R73" s="17"/>
      <c r="S73" s="17"/>
      <c r="T73" s="17"/>
      <c r="U73" s="17"/>
      <c r="V73" s="17"/>
      <c r="W73" s="17"/>
      <c r="X73" s="17"/>
      <c r="Y73" s="17"/>
    </row>
    <row r="74" ht="18.75" customHeight="1">
      <c r="A74" s="9">
        <v>73.0</v>
      </c>
      <c r="B74" s="161" t="s">
        <v>1470</v>
      </c>
      <c r="C74" s="169" t="s">
        <v>1471</v>
      </c>
      <c r="D74" s="169" t="s">
        <v>1412</v>
      </c>
      <c r="E74" s="169" t="s">
        <v>1472</v>
      </c>
      <c r="F74" s="169" t="s">
        <v>5350</v>
      </c>
      <c r="G74" s="162">
        <v>45338.0</v>
      </c>
      <c r="H74" s="12">
        <v>45339.0</v>
      </c>
      <c r="I74" s="163" t="s">
        <v>25</v>
      </c>
      <c r="J74" s="163" t="s">
        <v>37</v>
      </c>
      <c r="K74" s="163" t="s">
        <v>31</v>
      </c>
      <c r="L74" s="165"/>
      <c r="M74" s="161"/>
      <c r="N74" s="16" t="s">
        <v>5135</v>
      </c>
      <c r="O74" s="16"/>
      <c r="P74" s="16"/>
      <c r="Q74" s="17"/>
      <c r="R74" s="17"/>
      <c r="S74" s="17"/>
      <c r="T74" s="17"/>
      <c r="U74" s="17"/>
      <c r="V74" s="17"/>
      <c r="W74" s="17"/>
      <c r="X74" s="17"/>
      <c r="Y74" s="17"/>
    </row>
    <row r="75" ht="18.75" customHeight="1">
      <c r="A75" s="9">
        <v>74.0</v>
      </c>
      <c r="B75" s="161" t="s">
        <v>1474</v>
      </c>
      <c r="C75" s="169" t="s">
        <v>1475</v>
      </c>
      <c r="D75" s="169" t="s">
        <v>1412</v>
      </c>
      <c r="E75" s="169" t="s">
        <v>1476</v>
      </c>
      <c r="F75" s="169" t="s">
        <v>5351</v>
      </c>
      <c r="G75" s="162">
        <v>45338.0</v>
      </c>
      <c r="H75" s="12">
        <v>45339.0</v>
      </c>
      <c r="I75" s="163" t="s">
        <v>119</v>
      </c>
      <c r="J75" s="163" t="s">
        <v>37</v>
      </c>
      <c r="K75" s="163" t="s">
        <v>31</v>
      </c>
      <c r="L75" s="165"/>
      <c r="M75" s="161"/>
      <c r="N75" s="16" t="s">
        <v>5135</v>
      </c>
      <c r="O75" s="16"/>
      <c r="P75" s="16"/>
      <c r="Q75" s="17"/>
      <c r="R75" s="17"/>
      <c r="S75" s="17"/>
      <c r="T75" s="17"/>
      <c r="U75" s="17"/>
      <c r="V75" s="17"/>
      <c r="W75" s="17"/>
      <c r="X75" s="17"/>
      <c r="Y75" s="17"/>
    </row>
    <row r="76" ht="18.75" customHeight="1">
      <c r="A76" s="9">
        <v>75.0</v>
      </c>
      <c r="B76" s="161" t="s">
        <v>1551</v>
      </c>
      <c r="C76" s="169" t="s">
        <v>1552</v>
      </c>
      <c r="D76" s="169" t="s">
        <v>1544</v>
      </c>
      <c r="E76" s="169" t="s">
        <v>1549</v>
      </c>
      <c r="F76" s="169" t="s">
        <v>5352</v>
      </c>
      <c r="G76" s="162">
        <v>45322.0</v>
      </c>
      <c r="H76" s="12">
        <v>45323.0</v>
      </c>
      <c r="I76" s="163" t="s">
        <v>25</v>
      </c>
      <c r="J76" s="163" t="s">
        <v>37</v>
      </c>
      <c r="K76" s="163" t="s">
        <v>31</v>
      </c>
      <c r="L76" s="165"/>
      <c r="M76" s="161"/>
      <c r="N76" s="16" t="s">
        <v>5135</v>
      </c>
      <c r="O76" s="16"/>
      <c r="P76" s="16"/>
      <c r="Q76" s="17"/>
      <c r="R76" s="17"/>
      <c r="S76" s="17"/>
      <c r="T76" s="17"/>
      <c r="U76" s="17"/>
      <c r="V76" s="17"/>
      <c r="W76" s="17"/>
      <c r="X76" s="17"/>
      <c r="Y76" s="17"/>
    </row>
    <row r="77" ht="18.75" customHeight="1">
      <c r="A77" s="9">
        <v>76.0</v>
      </c>
      <c r="B77" s="161" t="s">
        <v>1554</v>
      </c>
      <c r="C77" s="169" t="s">
        <v>1555</v>
      </c>
      <c r="D77" s="169" t="s">
        <v>1544</v>
      </c>
      <c r="E77" s="169" t="s">
        <v>1549</v>
      </c>
      <c r="F77" s="169" t="s">
        <v>5353</v>
      </c>
      <c r="G77" s="162">
        <v>45334.0</v>
      </c>
      <c r="H77" s="12">
        <v>45335.0</v>
      </c>
      <c r="I77" s="163" t="s">
        <v>25</v>
      </c>
      <c r="J77" s="163" t="s">
        <v>37</v>
      </c>
      <c r="K77" s="163" t="s">
        <v>31</v>
      </c>
      <c r="L77" s="165"/>
      <c r="M77" s="161"/>
      <c r="N77" s="16" t="s">
        <v>5135</v>
      </c>
      <c r="O77" s="16"/>
      <c r="P77" s="16"/>
      <c r="Q77" s="17"/>
      <c r="R77" s="17"/>
      <c r="S77" s="17"/>
      <c r="T77" s="17"/>
      <c r="U77" s="17"/>
      <c r="V77" s="17"/>
      <c r="W77" s="17"/>
      <c r="X77" s="17"/>
      <c r="Y77" s="17"/>
    </row>
    <row r="78" ht="18.75" customHeight="1">
      <c r="A78" s="9">
        <v>77.0</v>
      </c>
      <c r="B78" s="161" t="s">
        <v>1557</v>
      </c>
      <c r="C78" s="169" t="s">
        <v>1558</v>
      </c>
      <c r="D78" s="169" t="s">
        <v>1544</v>
      </c>
      <c r="E78" s="169" t="s">
        <v>1545</v>
      </c>
      <c r="F78" s="169"/>
      <c r="G78" s="162">
        <v>45337.0</v>
      </c>
      <c r="H78" s="12">
        <v>45338.0</v>
      </c>
      <c r="I78" s="163" t="s">
        <v>25</v>
      </c>
      <c r="J78" s="163" t="s">
        <v>37</v>
      </c>
      <c r="K78" s="163" t="s">
        <v>31</v>
      </c>
      <c r="L78" s="165"/>
      <c r="M78" s="161"/>
      <c r="N78" s="16" t="s">
        <v>5135</v>
      </c>
      <c r="O78" s="16"/>
      <c r="P78" s="16"/>
      <c r="Q78" s="17"/>
      <c r="R78" s="17"/>
      <c r="S78" s="17"/>
      <c r="T78" s="17"/>
      <c r="U78" s="17"/>
      <c r="V78" s="17"/>
      <c r="W78" s="17"/>
      <c r="X78" s="17"/>
      <c r="Y78" s="17"/>
    </row>
    <row r="79" ht="18.75" customHeight="1">
      <c r="A79" s="9">
        <v>78.0</v>
      </c>
      <c r="B79" s="161" t="s">
        <v>5354</v>
      </c>
      <c r="C79" s="169" t="s">
        <v>5355</v>
      </c>
      <c r="D79" s="169" t="s">
        <v>328</v>
      </c>
      <c r="E79" s="169" t="s">
        <v>5356</v>
      </c>
      <c r="F79" s="169" t="s">
        <v>5357</v>
      </c>
      <c r="G79" s="162">
        <v>45351.0</v>
      </c>
      <c r="H79" s="162">
        <v>45352.0</v>
      </c>
      <c r="I79" s="163" t="s">
        <v>119</v>
      </c>
      <c r="J79" s="163" t="s">
        <v>5134</v>
      </c>
      <c r="K79" s="163" t="s">
        <v>31</v>
      </c>
      <c r="L79" s="165"/>
      <c r="M79" s="161"/>
      <c r="N79" s="16" t="s">
        <v>5135</v>
      </c>
      <c r="O79" s="16"/>
      <c r="P79" s="16"/>
      <c r="Q79" s="17"/>
      <c r="R79" s="17"/>
      <c r="S79" s="17"/>
      <c r="T79" s="17"/>
      <c r="U79" s="17"/>
      <c r="V79" s="17"/>
      <c r="W79" s="17"/>
      <c r="X79" s="17"/>
      <c r="Y79" s="17"/>
    </row>
    <row r="80" ht="18.75" customHeight="1">
      <c r="A80" s="9">
        <v>79.0</v>
      </c>
      <c r="B80" s="161" t="s">
        <v>5358</v>
      </c>
      <c r="C80" s="169" t="s">
        <v>5359</v>
      </c>
      <c r="D80" s="169" t="s">
        <v>173</v>
      </c>
      <c r="E80" s="169" t="s">
        <v>5360</v>
      </c>
      <c r="F80" s="169" t="s">
        <v>5361</v>
      </c>
      <c r="G80" s="162">
        <v>45351.0</v>
      </c>
      <c r="H80" s="162">
        <v>45352.0</v>
      </c>
      <c r="I80" s="163" t="s">
        <v>25</v>
      </c>
      <c r="J80" s="163" t="s">
        <v>5134</v>
      </c>
      <c r="K80" s="163" t="s">
        <v>31</v>
      </c>
      <c r="L80" s="165"/>
      <c r="M80" s="161"/>
      <c r="N80" s="16" t="s">
        <v>5135</v>
      </c>
      <c r="O80" s="16"/>
      <c r="P80" s="16"/>
      <c r="Q80" s="17"/>
      <c r="R80" s="17"/>
      <c r="S80" s="17"/>
      <c r="T80" s="17"/>
      <c r="U80" s="17"/>
      <c r="V80" s="17"/>
      <c r="W80" s="17"/>
      <c r="X80" s="17"/>
      <c r="Y80" s="17"/>
    </row>
    <row r="81" ht="18.75" customHeight="1">
      <c r="A81" s="9">
        <v>80.0</v>
      </c>
      <c r="B81" s="161" t="s">
        <v>5362</v>
      </c>
      <c r="C81" s="169" t="s">
        <v>5363</v>
      </c>
      <c r="D81" s="169" t="s">
        <v>328</v>
      </c>
      <c r="E81" s="169" t="s">
        <v>5364</v>
      </c>
      <c r="F81" s="169" t="s">
        <v>5365</v>
      </c>
      <c r="G81" s="162">
        <v>45351.0</v>
      </c>
      <c r="H81" s="162">
        <v>45352.0</v>
      </c>
      <c r="I81" s="163" t="s">
        <v>25</v>
      </c>
      <c r="J81" s="163" t="s">
        <v>5173</v>
      </c>
      <c r="K81" s="163" t="s">
        <v>31</v>
      </c>
      <c r="L81" s="165"/>
      <c r="M81" s="161"/>
      <c r="N81" s="16" t="s">
        <v>5135</v>
      </c>
      <c r="O81" s="16"/>
      <c r="P81" s="16"/>
      <c r="Q81" s="17"/>
      <c r="R81" s="17"/>
      <c r="S81" s="17"/>
      <c r="T81" s="17"/>
      <c r="U81" s="17"/>
      <c r="V81" s="17"/>
      <c r="W81" s="17"/>
      <c r="X81" s="17"/>
      <c r="Y81" s="17"/>
    </row>
    <row r="82" ht="18.75" customHeight="1">
      <c r="A82" s="9">
        <v>81.0</v>
      </c>
      <c r="B82" s="161" t="s">
        <v>5366</v>
      </c>
      <c r="C82" s="169" t="s">
        <v>5367</v>
      </c>
      <c r="D82" s="169" t="s">
        <v>128</v>
      </c>
      <c r="E82" s="169" t="s">
        <v>1241</v>
      </c>
      <c r="F82" s="169" t="s">
        <v>5368</v>
      </c>
      <c r="G82" s="162">
        <v>45351.0</v>
      </c>
      <c r="H82" s="162">
        <v>45352.0</v>
      </c>
      <c r="I82" s="163" t="s">
        <v>25</v>
      </c>
      <c r="J82" s="163" t="s">
        <v>5134</v>
      </c>
      <c r="K82" s="163" t="s">
        <v>31</v>
      </c>
      <c r="L82" s="165"/>
      <c r="M82" s="161"/>
      <c r="N82" s="16" t="s">
        <v>5135</v>
      </c>
      <c r="O82" s="16"/>
      <c r="P82" s="16"/>
      <c r="Q82" s="17"/>
      <c r="R82" s="17"/>
      <c r="S82" s="17"/>
      <c r="T82" s="17"/>
      <c r="U82" s="17"/>
      <c r="V82" s="17"/>
      <c r="W82" s="17"/>
      <c r="X82" s="17"/>
      <c r="Y82" s="17"/>
    </row>
    <row r="83" ht="18.75" customHeight="1">
      <c r="A83" s="9">
        <v>82.0</v>
      </c>
      <c r="B83" s="161" t="s">
        <v>5369</v>
      </c>
      <c r="C83" s="169" t="s">
        <v>5370</v>
      </c>
      <c r="D83" s="169" t="s">
        <v>173</v>
      </c>
      <c r="E83" s="169" t="s">
        <v>5322</v>
      </c>
      <c r="F83" s="169" t="s">
        <v>5371</v>
      </c>
      <c r="G83" s="162">
        <v>45351.0</v>
      </c>
      <c r="H83" s="162">
        <v>45352.0</v>
      </c>
      <c r="I83" s="163" t="s">
        <v>25</v>
      </c>
      <c r="J83" s="163" t="s">
        <v>5134</v>
      </c>
      <c r="K83" s="163" t="s">
        <v>31</v>
      </c>
      <c r="L83" s="165"/>
      <c r="M83" s="161"/>
      <c r="N83" s="16" t="s">
        <v>5135</v>
      </c>
      <c r="O83" s="16"/>
      <c r="P83" s="16"/>
      <c r="Q83" s="17"/>
      <c r="R83" s="17"/>
      <c r="S83" s="17"/>
      <c r="T83" s="17"/>
      <c r="U83" s="17"/>
      <c r="V83" s="17"/>
      <c r="W83" s="17"/>
      <c r="X83" s="17"/>
      <c r="Y83" s="17"/>
    </row>
    <row r="84" ht="18.75" customHeight="1">
      <c r="A84" s="9">
        <v>83.0</v>
      </c>
      <c r="B84" s="161" t="s">
        <v>5372</v>
      </c>
      <c r="C84" s="169" t="s">
        <v>5373</v>
      </c>
      <c r="D84" s="169" t="s">
        <v>1104</v>
      </c>
      <c r="E84" s="169" t="s">
        <v>1203</v>
      </c>
      <c r="F84" s="169" t="s">
        <v>5374</v>
      </c>
      <c r="G84" s="162">
        <v>45351.0</v>
      </c>
      <c r="H84" s="162">
        <v>45352.0</v>
      </c>
      <c r="I84" s="163" t="s">
        <v>25</v>
      </c>
      <c r="J84" s="163" t="s">
        <v>5134</v>
      </c>
      <c r="K84" s="163" t="s">
        <v>31</v>
      </c>
      <c r="L84" s="165"/>
      <c r="M84" s="161"/>
      <c r="N84" s="16" t="s">
        <v>5135</v>
      </c>
      <c r="O84" s="16"/>
      <c r="P84" s="16"/>
      <c r="Q84" s="17"/>
      <c r="R84" s="17"/>
      <c r="S84" s="17"/>
      <c r="T84" s="17"/>
      <c r="U84" s="17"/>
      <c r="V84" s="17"/>
      <c r="W84" s="17"/>
      <c r="X84" s="17"/>
      <c r="Y84" s="17"/>
    </row>
    <row r="85" ht="18.75" customHeight="1">
      <c r="A85" s="9">
        <v>84.0</v>
      </c>
      <c r="B85" s="166" t="s">
        <v>2644</v>
      </c>
      <c r="C85" s="170" t="s">
        <v>5375</v>
      </c>
      <c r="D85" s="170" t="s">
        <v>122</v>
      </c>
      <c r="E85" s="170" t="s">
        <v>1116</v>
      </c>
      <c r="F85" s="170" t="s">
        <v>5376</v>
      </c>
      <c r="G85" s="162">
        <v>45351.0</v>
      </c>
      <c r="H85" s="162">
        <v>45352.0</v>
      </c>
      <c r="I85" s="163" t="s">
        <v>21</v>
      </c>
      <c r="J85" s="163" t="s">
        <v>5147</v>
      </c>
      <c r="K85" s="163" t="s">
        <v>531</v>
      </c>
      <c r="L85" s="165"/>
      <c r="M85" s="161"/>
      <c r="N85" s="16"/>
      <c r="O85" s="16"/>
      <c r="P85" s="16"/>
      <c r="Q85" s="17"/>
      <c r="R85" s="17"/>
      <c r="S85" s="17"/>
      <c r="T85" s="17"/>
      <c r="U85" s="17"/>
      <c r="V85" s="17"/>
      <c r="W85" s="17"/>
      <c r="X85" s="17"/>
      <c r="Y85" s="17"/>
    </row>
    <row r="86" ht="18.75" customHeight="1">
      <c r="A86" s="9">
        <v>85.0</v>
      </c>
      <c r="B86" s="161" t="s">
        <v>5377</v>
      </c>
      <c r="C86" s="169" t="s">
        <v>5378</v>
      </c>
      <c r="D86" s="169" t="s">
        <v>1791</v>
      </c>
      <c r="E86" s="169" t="s">
        <v>5379</v>
      </c>
      <c r="F86" s="169" t="s">
        <v>5380</v>
      </c>
      <c r="G86" s="162">
        <v>45351.0</v>
      </c>
      <c r="H86" s="162">
        <v>45352.0</v>
      </c>
      <c r="I86" s="163" t="s">
        <v>119</v>
      </c>
      <c r="J86" s="163" t="s">
        <v>5134</v>
      </c>
      <c r="K86" s="163" t="s">
        <v>31</v>
      </c>
      <c r="L86" s="165"/>
      <c r="M86" s="161"/>
      <c r="N86" s="16" t="s">
        <v>5135</v>
      </c>
      <c r="O86" s="16"/>
      <c r="P86" s="16"/>
      <c r="Q86" s="17"/>
      <c r="R86" s="17"/>
      <c r="S86" s="17"/>
      <c r="T86" s="17"/>
      <c r="U86" s="17"/>
      <c r="V86" s="17"/>
      <c r="W86" s="17"/>
      <c r="X86" s="17"/>
      <c r="Y86" s="17"/>
    </row>
    <row r="87" ht="18.75" customHeight="1">
      <c r="A87" s="9">
        <v>86.0</v>
      </c>
      <c r="B87" s="161" t="s">
        <v>5381</v>
      </c>
      <c r="C87" s="169" t="s">
        <v>5382</v>
      </c>
      <c r="D87" s="169" t="s">
        <v>372</v>
      </c>
      <c r="E87" s="169" t="s">
        <v>1652</v>
      </c>
      <c r="F87" s="169" t="s">
        <v>5383</v>
      </c>
      <c r="G87" s="162">
        <v>45351.0</v>
      </c>
      <c r="H87" s="12">
        <v>45352.0</v>
      </c>
      <c r="I87" s="163" t="s">
        <v>119</v>
      </c>
      <c r="J87" s="163" t="s">
        <v>5134</v>
      </c>
      <c r="K87" s="163" t="s">
        <v>31</v>
      </c>
      <c r="L87" s="165"/>
      <c r="M87" s="161"/>
      <c r="N87" s="16" t="s">
        <v>5135</v>
      </c>
      <c r="O87" s="16"/>
      <c r="P87" s="16"/>
      <c r="Q87" s="17"/>
      <c r="R87" s="17"/>
      <c r="S87" s="17"/>
      <c r="T87" s="17"/>
      <c r="U87" s="17"/>
      <c r="V87" s="17"/>
      <c r="W87" s="17"/>
      <c r="X87" s="17"/>
      <c r="Y87" s="17"/>
    </row>
    <row r="88" ht="18.75" customHeight="1">
      <c r="A88" s="9">
        <v>87.0</v>
      </c>
      <c r="B88" s="161" t="s">
        <v>5384</v>
      </c>
      <c r="C88" s="169" t="s">
        <v>5385</v>
      </c>
      <c r="D88" s="169" t="s">
        <v>173</v>
      </c>
      <c r="E88" s="169" t="s">
        <v>1874</v>
      </c>
      <c r="F88" s="169" t="s">
        <v>5386</v>
      </c>
      <c r="G88" s="162">
        <v>45351.0</v>
      </c>
      <c r="H88" s="12">
        <v>45352.0</v>
      </c>
      <c r="I88" s="163" t="s">
        <v>119</v>
      </c>
      <c r="J88" s="163" t="s">
        <v>5134</v>
      </c>
      <c r="K88" s="163" t="s">
        <v>31</v>
      </c>
      <c r="L88" s="165"/>
      <c r="M88" s="161"/>
      <c r="N88" s="16" t="s">
        <v>5135</v>
      </c>
      <c r="O88" s="16"/>
      <c r="P88" s="16"/>
      <c r="Q88" s="17"/>
      <c r="R88" s="17"/>
      <c r="S88" s="17"/>
      <c r="T88" s="17"/>
      <c r="U88" s="17"/>
      <c r="V88" s="17"/>
      <c r="W88" s="17"/>
      <c r="X88" s="17"/>
      <c r="Y88" s="17"/>
    </row>
    <row r="89" ht="18.75" customHeight="1">
      <c r="A89" s="9">
        <v>88.0</v>
      </c>
      <c r="B89" s="161" t="s">
        <v>5387</v>
      </c>
      <c r="C89" s="169" t="s">
        <v>5388</v>
      </c>
      <c r="D89" s="169" t="s">
        <v>65</v>
      </c>
      <c r="E89" s="169" t="s">
        <v>1644</v>
      </c>
      <c r="F89" s="169" t="s">
        <v>5389</v>
      </c>
      <c r="G89" s="162">
        <v>45351.0</v>
      </c>
      <c r="H89" s="12">
        <v>45352.0</v>
      </c>
      <c r="I89" s="163" t="s">
        <v>119</v>
      </c>
      <c r="J89" s="163" t="s">
        <v>5134</v>
      </c>
      <c r="K89" s="163" t="s">
        <v>31</v>
      </c>
      <c r="L89" s="165"/>
      <c r="M89" s="161"/>
      <c r="N89" s="16" t="s">
        <v>5135</v>
      </c>
      <c r="O89" s="16"/>
      <c r="P89" s="16"/>
      <c r="Q89" s="17"/>
      <c r="R89" s="17"/>
      <c r="S89" s="17"/>
      <c r="T89" s="17"/>
      <c r="U89" s="17"/>
      <c r="V89" s="17"/>
      <c r="W89" s="17"/>
      <c r="X89" s="17"/>
      <c r="Y89" s="17"/>
    </row>
    <row r="90" ht="18.75" customHeight="1">
      <c r="A90" s="9">
        <v>89.0</v>
      </c>
      <c r="B90" s="161" t="s">
        <v>5390</v>
      </c>
      <c r="C90" s="169" t="s">
        <v>5391</v>
      </c>
      <c r="D90" s="169" t="s">
        <v>1651</v>
      </c>
      <c r="E90" s="169" t="s">
        <v>1652</v>
      </c>
      <c r="F90" s="169" t="s">
        <v>5392</v>
      </c>
      <c r="G90" s="162">
        <v>45351.0</v>
      </c>
      <c r="H90" s="12">
        <v>45352.0</v>
      </c>
      <c r="I90" s="163" t="s">
        <v>119</v>
      </c>
      <c r="J90" s="163" t="s">
        <v>5134</v>
      </c>
      <c r="K90" s="163" t="s">
        <v>31</v>
      </c>
      <c r="L90" s="165"/>
      <c r="M90" s="161"/>
      <c r="N90" s="16" t="s">
        <v>5135</v>
      </c>
      <c r="O90" s="16"/>
      <c r="P90" s="16"/>
      <c r="Q90" s="17"/>
      <c r="R90" s="17"/>
      <c r="S90" s="17"/>
      <c r="T90" s="17"/>
      <c r="U90" s="17"/>
      <c r="V90" s="17"/>
      <c r="W90" s="17"/>
      <c r="X90" s="17"/>
      <c r="Y90" s="17"/>
    </row>
    <row r="91" ht="18.75" customHeight="1">
      <c r="A91" s="9">
        <v>90.0</v>
      </c>
      <c r="B91" s="161" t="s">
        <v>1086</v>
      </c>
      <c r="C91" s="169" t="s">
        <v>1087</v>
      </c>
      <c r="D91" s="169" t="s">
        <v>153</v>
      </c>
      <c r="E91" s="169" t="s">
        <v>154</v>
      </c>
      <c r="F91" s="169" t="s">
        <v>5393</v>
      </c>
      <c r="G91" s="162">
        <v>45351.0</v>
      </c>
      <c r="H91" s="12">
        <v>45352.0</v>
      </c>
      <c r="I91" s="163" t="s">
        <v>119</v>
      </c>
      <c r="J91" s="163" t="s">
        <v>37</v>
      </c>
      <c r="K91" s="163" t="s">
        <v>31</v>
      </c>
      <c r="L91" s="165"/>
      <c r="M91" s="161"/>
      <c r="N91" s="16" t="s">
        <v>5135</v>
      </c>
      <c r="O91" s="16"/>
      <c r="P91" s="16"/>
      <c r="Q91" s="17"/>
      <c r="R91" s="17"/>
      <c r="S91" s="17"/>
      <c r="T91" s="17"/>
      <c r="U91" s="17"/>
      <c r="V91" s="17"/>
      <c r="W91" s="17"/>
      <c r="X91" s="17"/>
      <c r="Y91" s="17"/>
    </row>
    <row r="92" ht="18.75" customHeight="1">
      <c r="A92" s="9">
        <v>91.0</v>
      </c>
      <c r="B92" s="161" t="s">
        <v>5394</v>
      </c>
      <c r="C92" s="169" t="s">
        <v>5395</v>
      </c>
      <c r="D92" s="169" t="s">
        <v>1749</v>
      </c>
      <c r="E92" s="169" t="s">
        <v>1652</v>
      </c>
      <c r="F92" s="169" t="s">
        <v>5396</v>
      </c>
      <c r="G92" s="162">
        <v>45351.0</v>
      </c>
      <c r="H92" s="12">
        <v>45352.0</v>
      </c>
      <c r="I92" s="163" t="s">
        <v>119</v>
      </c>
      <c r="J92" s="163" t="s">
        <v>37</v>
      </c>
      <c r="K92" s="163" t="s">
        <v>31</v>
      </c>
      <c r="L92" s="165"/>
      <c r="M92" s="161"/>
      <c r="N92" s="16" t="s">
        <v>5135</v>
      </c>
      <c r="O92" s="16"/>
      <c r="P92" s="16"/>
      <c r="Q92" s="17"/>
      <c r="R92" s="17"/>
      <c r="S92" s="17"/>
      <c r="T92" s="17"/>
      <c r="U92" s="17"/>
      <c r="V92" s="17"/>
      <c r="W92" s="17"/>
      <c r="X92" s="17"/>
      <c r="Y92" s="17"/>
    </row>
    <row r="93" ht="18.75" customHeight="1">
      <c r="A93" s="9">
        <v>92.0</v>
      </c>
      <c r="B93" s="161" t="s">
        <v>5397</v>
      </c>
      <c r="C93" s="169" t="s">
        <v>5398</v>
      </c>
      <c r="D93" s="169" t="s">
        <v>3471</v>
      </c>
      <c r="E93" s="169" t="s">
        <v>19</v>
      </c>
      <c r="F93" s="169" t="s">
        <v>5399</v>
      </c>
      <c r="G93" s="162">
        <v>45351.0</v>
      </c>
      <c r="H93" s="12">
        <v>45352.0</v>
      </c>
      <c r="I93" s="163" t="s">
        <v>251</v>
      </c>
      <c r="J93" s="163" t="s">
        <v>5173</v>
      </c>
      <c r="K93" s="163" t="s">
        <v>31</v>
      </c>
      <c r="L93" s="165"/>
      <c r="M93" s="161"/>
      <c r="N93" s="16" t="s">
        <v>5135</v>
      </c>
      <c r="O93" s="16"/>
      <c r="P93" s="16"/>
      <c r="Q93" s="17"/>
      <c r="R93" s="17"/>
      <c r="S93" s="17"/>
      <c r="T93" s="17"/>
      <c r="U93" s="17"/>
      <c r="V93" s="17"/>
      <c r="W93" s="17"/>
      <c r="X93" s="17"/>
      <c r="Y93" s="17"/>
    </row>
    <row r="94" ht="18.75" customHeight="1">
      <c r="A94" s="9">
        <v>93.0</v>
      </c>
      <c r="B94" s="161" t="s">
        <v>5400</v>
      </c>
      <c r="C94" s="169" t="s">
        <v>5401</v>
      </c>
      <c r="D94" s="169" t="s">
        <v>65</v>
      </c>
      <c r="E94" s="169" t="s">
        <v>5402</v>
      </c>
      <c r="F94" s="169" t="s">
        <v>5403</v>
      </c>
      <c r="G94" s="162">
        <v>45351.0</v>
      </c>
      <c r="H94" s="12">
        <v>45352.0</v>
      </c>
      <c r="I94" s="163" t="s">
        <v>119</v>
      </c>
      <c r="J94" s="163" t="s">
        <v>5173</v>
      </c>
      <c r="K94" s="163" t="s">
        <v>31</v>
      </c>
      <c r="L94" s="165"/>
      <c r="M94" s="161"/>
      <c r="N94" s="16" t="s">
        <v>5135</v>
      </c>
      <c r="O94" s="16"/>
      <c r="P94" s="16"/>
      <c r="Q94" s="17"/>
      <c r="R94" s="17"/>
      <c r="S94" s="17"/>
      <c r="T94" s="17"/>
      <c r="U94" s="17"/>
      <c r="V94" s="17"/>
      <c r="W94" s="17"/>
      <c r="X94" s="17"/>
      <c r="Y94" s="17"/>
    </row>
    <row r="95" ht="18.75" customHeight="1">
      <c r="A95" s="9">
        <v>94.0</v>
      </c>
      <c r="B95" s="161" t="s">
        <v>5404</v>
      </c>
      <c r="C95" s="169" t="s">
        <v>5405</v>
      </c>
      <c r="D95" s="169" t="s">
        <v>128</v>
      </c>
      <c r="E95" s="169" t="s">
        <v>1900</v>
      </c>
      <c r="F95" s="169" t="s">
        <v>5406</v>
      </c>
      <c r="G95" s="162">
        <v>45351.0</v>
      </c>
      <c r="H95" s="12">
        <v>45352.0</v>
      </c>
      <c r="I95" s="163" t="s">
        <v>119</v>
      </c>
      <c r="J95" s="163" t="s">
        <v>5173</v>
      </c>
      <c r="K95" s="163" t="s">
        <v>31</v>
      </c>
      <c r="L95" s="165"/>
      <c r="M95" s="161"/>
      <c r="N95" s="16" t="s">
        <v>5135</v>
      </c>
      <c r="O95" s="16"/>
      <c r="P95" s="16"/>
      <c r="Q95" s="17"/>
      <c r="R95" s="17"/>
      <c r="S95" s="17"/>
      <c r="T95" s="17"/>
      <c r="U95" s="17"/>
      <c r="V95" s="17"/>
      <c r="W95" s="17"/>
      <c r="X95" s="17"/>
      <c r="Y95" s="17"/>
    </row>
    <row r="96" ht="18.75" customHeight="1">
      <c r="A96" s="9">
        <v>95.0</v>
      </c>
      <c r="B96" s="161" t="s">
        <v>5407</v>
      </c>
      <c r="C96" s="169" t="s">
        <v>5408</v>
      </c>
      <c r="D96" s="169" t="s">
        <v>110</v>
      </c>
      <c r="E96" s="169" t="s">
        <v>319</v>
      </c>
      <c r="F96" s="169" t="s">
        <v>5409</v>
      </c>
      <c r="G96" s="162">
        <v>45351.0</v>
      </c>
      <c r="H96" s="12">
        <v>45352.0</v>
      </c>
      <c r="I96" s="163" t="s">
        <v>119</v>
      </c>
      <c r="J96" s="163" t="s">
        <v>37</v>
      </c>
      <c r="K96" s="163" t="s">
        <v>31</v>
      </c>
      <c r="L96" s="165"/>
      <c r="M96" s="161"/>
      <c r="N96" s="16" t="s">
        <v>5135</v>
      </c>
      <c r="O96" s="16"/>
      <c r="P96" s="16"/>
      <c r="Q96" s="17"/>
      <c r="R96" s="17"/>
      <c r="S96" s="17"/>
      <c r="T96" s="17"/>
      <c r="U96" s="17"/>
      <c r="V96" s="17"/>
      <c r="W96" s="17"/>
      <c r="X96" s="17"/>
      <c r="Y96" s="17"/>
    </row>
    <row r="97" ht="18.75" customHeight="1">
      <c r="A97" s="9">
        <v>96.0</v>
      </c>
      <c r="B97" s="161" t="s">
        <v>1102</v>
      </c>
      <c r="C97" s="169" t="s">
        <v>1103</v>
      </c>
      <c r="D97" s="169" t="s">
        <v>1104</v>
      </c>
      <c r="E97" s="169" t="s">
        <v>5410</v>
      </c>
      <c r="F97" s="169" t="s">
        <v>5411</v>
      </c>
      <c r="G97" s="162">
        <v>45351.0</v>
      </c>
      <c r="H97" s="12">
        <v>45352.0</v>
      </c>
      <c r="I97" s="163" t="s">
        <v>119</v>
      </c>
      <c r="J97" s="163" t="s">
        <v>37</v>
      </c>
      <c r="K97" s="163" t="s">
        <v>31</v>
      </c>
      <c r="L97" s="165"/>
      <c r="M97" s="161"/>
      <c r="N97" s="16" t="s">
        <v>5135</v>
      </c>
      <c r="O97" s="16"/>
      <c r="P97" s="16"/>
      <c r="Q97" s="17"/>
      <c r="R97" s="17"/>
      <c r="S97" s="17"/>
      <c r="T97" s="17"/>
      <c r="U97" s="17"/>
      <c r="V97" s="17"/>
      <c r="W97" s="17"/>
      <c r="X97" s="17"/>
      <c r="Y97" s="17"/>
    </row>
    <row r="98" ht="18.75" customHeight="1">
      <c r="A98" s="9">
        <v>97.0</v>
      </c>
      <c r="B98" s="161" t="s">
        <v>1106</v>
      </c>
      <c r="C98" s="169" t="s">
        <v>1107</v>
      </c>
      <c r="D98" s="169" t="s">
        <v>1108</v>
      </c>
      <c r="E98" s="169" t="s">
        <v>1109</v>
      </c>
      <c r="F98" s="169" t="s">
        <v>5412</v>
      </c>
      <c r="G98" s="162">
        <v>45351.0</v>
      </c>
      <c r="H98" s="12">
        <v>45352.0</v>
      </c>
      <c r="I98" s="163" t="s">
        <v>119</v>
      </c>
      <c r="J98" s="163" t="s">
        <v>37</v>
      </c>
      <c r="K98" s="163" t="s">
        <v>31</v>
      </c>
      <c r="L98" s="165"/>
      <c r="M98" s="161"/>
      <c r="N98" s="16" t="s">
        <v>5135</v>
      </c>
      <c r="O98" s="16"/>
      <c r="P98" s="16"/>
      <c r="Q98" s="17"/>
      <c r="R98" s="17"/>
      <c r="S98" s="17"/>
      <c r="T98" s="17"/>
      <c r="U98" s="17"/>
      <c r="V98" s="17"/>
      <c r="W98" s="17"/>
      <c r="X98" s="17"/>
      <c r="Y98" s="17"/>
    </row>
    <row r="99" ht="18.75" customHeight="1">
      <c r="A99" s="9">
        <v>98.0</v>
      </c>
      <c r="B99" s="161" t="s">
        <v>5413</v>
      </c>
      <c r="C99" s="169" t="s">
        <v>5414</v>
      </c>
      <c r="D99" s="169" t="s">
        <v>207</v>
      </c>
      <c r="E99" s="169" t="s">
        <v>5415</v>
      </c>
      <c r="F99" s="169" t="s">
        <v>5416</v>
      </c>
      <c r="G99" s="162">
        <v>45351.0</v>
      </c>
      <c r="H99" s="12">
        <v>45352.0</v>
      </c>
      <c r="I99" s="163" t="s">
        <v>251</v>
      </c>
      <c r="J99" s="163" t="s">
        <v>5173</v>
      </c>
      <c r="K99" s="163" t="s">
        <v>31</v>
      </c>
      <c r="L99" s="165"/>
      <c r="M99" s="161"/>
      <c r="N99" s="16" t="s">
        <v>5135</v>
      </c>
      <c r="O99" s="16"/>
      <c r="P99" s="16"/>
      <c r="Q99" s="17"/>
      <c r="R99" s="17"/>
      <c r="S99" s="17"/>
      <c r="T99" s="17"/>
      <c r="U99" s="17"/>
      <c r="V99" s="17"/>
      <c r="W99" s="17"/>
      <c r="X99" s="17"/>
      <c r="Y99" s="17"/>
    </row>
    <row r="100" ht="18.75" customHeight="1">
      <c r="A100" s="9">
        <v>99.0</v>
      </c>
      <c r="B100" s="161" t="s">
        <v>5417</v>
      </c>
      <c r="C100" s="169" t="s">
        <v>5418</v>
      </c>
      <c r="D100" s="169" t="s">
        <v>1749</v>
      </c>
      <c r="E100" s="169" t="s">
        <v>1652</v>
      </c>
      <c r="F100" s="169" t="s">
        <v>5419</v>
      </c>
      <c r="G100" s="162">
        <v>45351.0</v>
      </c>
      <c r="H100" s="12">
        <v>45352.0</v>
      </c>
      <c r="I100" s="163" t="s">
        <v>25</v>
      </c>
      <c r="J100" s="163" t="s">
        <v>5420</v>
      </c>
      <c r="K100" s="163" t="s">
        <v>31</v>
      </c>
      <c r="L100" s="165"/>
      <c r="M100" s="161"/>
      <c r="N100" s="16" t="s">
        <v>5135</v>
      </c>
      <c r="O100" s="16"/>
      <c r="P100" s="16"/>
      <c r="Q100" s="17"/>
      <c r="R100" s="17"/>
      <c r="S100" s="17"/>
      <c r="T100" s="17"/>
      <c r="U100" s="17"/>
      <c r="V100" s="17"/>
      <c r="W100" s="17"/>
      <c r="X100" s="17"/>
      <c r="Y100" s="17"/>
    </row>
    <row r="101" ht="18.75" customHeight="1">
      <c r="A101" s="9">
        <v>100.0</v>
      </c>
      <c r="B101" s="161" t="s">
        <v>5421</v>
      </c>
      <c r="C101" s="169" t="s">
        <v>5422</v>
      </c>
      <c r="D101" s="169" t="s">
        <v>1749</v>
      </c>
      <c r="E101" s="169" t="s">
        <v>1652</v>
      </c>
      <c r="F101" s="169" t="s">
        <v>5423</v>
      </c>
      <c r="G101" s="162">
        <v>45351.0</v>
      </c>
      <c r="H101" s="12">
        <v>45352.0</v>
      </c>
      <c r="I101" s="163" t="s">
        <v>25</v>
      </c>
      <c r="J101" s="163" t="s">
        <v>5420</v>
      </c>
      <c r="K101" s="163" t="s">
        <v>31</v>
      </c>
      <c r="L101" s="165"/>
      <c r="M101" s="161"/>
      <c r="N101" s="16" t="s">
        <v>5135</v>
      </c>
      <c r="O101" s="16"/>
      <c r="P101" s="16"/>
      <c r="Q101" s="17"/>
      <c r="R101" s="17"/>
      <c r="S101" s="17"/>
      <c r="T101" s="17"/>
      <c r="U101" s="17"/>
      <c r="V101" s="17"/>
      <c r="W101" s="17"/>
      <c r="X101" s="17"/>
      <c r="Y101" s="17"/>
    </row>
    <row r="102" ht="18.75" customHeight="1">
      <c r="A102" s="9">
        <v>101.0</v>
      </c>
      <c r="B102" s="161" t="s">
        <v>5424</v>
      </c>
      <c r="C102" s="169" t="s">
        <v>5425</v>
      </c>
      <c r="D102" s="169" t="s">
        <v>110</v>
      </c>
      <c r="E102" s="169" t="s">
        <v>5426</v>
      </c>
      <c r="F102" s="169" t="s">
        <v>5427</v>
      </c>
      <c r="G102" s="162">
        <v>45351.0</v>
      </c>
      <c r="H102" s="12">
        <v>45352.0</v>
      </c>
      <c r="I102" s="163" t="s">
        <v>119</v>
      </c>
      <c r="J102" s="163" t="s">
        <v>5420</v>
      </c>
      <c r="K102" s="163" t="s">
        <v>31</v>
      </c>
      <c r="L102" s="165"/>
      <c r="M102" s="161"/>
      <c r="N102" s="16" t="s">
        <v>5135</v>
      </c>
      <c r="O102" s="16"/>
      <c r="P102" s="16"/>
      <c r="Q102" s="17"/>
      <c r="R102" s="17"/>
      <c r="S102" s="17"/>
      <c r="T102" s="17"/>
      <c r="U102" s="17"/>
      <c r="V102" s="17"/>
      <c r="W102" s="17"/>
      <c r="X102" s="17"/>
      <c r="Y102" s="17"/>
    </row>
    <row r="103" ht="18.75" customHeight="1">
      <c r="A103" s="9">
        <v>102.0</v>
      </c>
      <c r="B103" s="161" t="s">
        <v>5428</v>
      </c>
      <c r="C103" s="169" t="s">
        <v>5429</v>
      </c>
      <c r="D103" s="169" t="s">
        <v>313</v>
      </c>
      <c r="E103" s="169" t="s">
        <v>5430</v>
      </c>
      <c r="F103" s="169" t="s">
        <v>5431</v>
      </c>
      <c r="G103" s="162">
        <v>45353.0</v>
      </c>
      <c r="H103" s="12">
        <v>45354.0</v>
      </c>
      <c r="I103" s="163" t="s">
        <v>25</v>
      </c>
      <c r="J103" s="163" t="s">
        <v>5134</v>
      </c>
      <c r="K103" s="163" t="s">
        <v>31</v>
      </c>
      <c r="L103" s="165"/>
      <c r="M103" s="161"/>
      <c r="N103" s="16" t="s">
        <v>5135</v>
      </c>
      <c r="O103" s="16"/>
      <c r="P103" s="16"/>
      <c r="Q103" s="17"/>
      <c r="R103" s="17"/>
      <c r="S103" s="17"/>
      <c r="T103" s="17"/>
      <c r="U103" s="17"/>
      <c r="V103" s="17"/>
      <c r="W103" s="17"/>
      <c r="X103" s="17"/>
      <c r="Y103" s="17"/>
    </row>
    <row r="104" ht="18.75" customHeight="1">
      <c r="A104" s="9">
        <v>103.0</v>
      </c>
      <c r="B104" s="161" t="s">
        <v>5432</v>
      </c>
      <c r="C104" s="169" t="s">
        <v>5433</v>
      </c>
      <c r="D104" s="169" t="s">
        <v>271</v>
      </c>
      <c r="E104" s="169" t="s">
        <v>1744</v>
      </c>
      <c r="F104" s="169" t="s">
        <v>5434</v>
      </c>
      <c r="G104" s="162">
        <v>45355.0</v>
      </c>
      <c r="H104" s="12">
        <v>45356.0</v>
      </c>
      <c r="I104" s="163" t="s">
        <v>119</v>
      </c>
      <c r="J104" s="163" t="s">
        <v>5173</v>
      </c>
      <c r="K104" s="163" t="s">
        <v>31</v>
      </c>
      <c r="L104" s="165"/>
      <c r="M104" s="161"/>
      <c r="N104" s="16" t="s">
        <v>5135</v>
      </c>
      <c r="O104" s="16"/>
      <c r="P104" s="16"/>
      <c r="Q104" s="17"/>
      <c r="R104" s="17"/>
      <c r="S104" s="17"/>
      <c r="T104" s="17"/>
      <c r="U104" s="17"/>
      <c r="V104" s="17"/>
      <c r="W104" s="17"/>
      <c r="X104" s="17"/>
      <c r="Y104" s="17"/>
    </row>
    <row r="105" ht="18.75" customHeight="1">
      <c r="A105" s="9">
        <v>104.0</v>
      </c>
      <c r="B105" s="161" t="s">
        <v>5435</v>
      </c>
      <c r="C105" s="169" t="s">
        <v>5436</v>
      </c>
      <c r="D105" s="169" t="s">
        <v>1296</v>
      </c>
      <c r="E105" s="169" t="s">
        <v>1297</v>
      </c>
      <c r="F105" s="169" t="s">
        <v>5437</v>
      </c>
      <c r="G105" s="162">
        <v>45359.0</v>
      </c>
      <c r="H105" s="12">
        <v>45360.0</v>
      </c>
      <c r="I105" s="163" t="s">
        <v>119</v>
      </c>
      <c r="J105" s="163" t="s">
        <v>5134</v>
      </c>
      <c r="K105" s="163" t="s">
        <v>31</v>
      </c>
      <c r="L105" s="165"/>
      <c r="M105" s="161"/>
      <c r="N105" s="16" t="s">
        <v>5135</v>
      </c>
      <c r="O105" s="16"/>
      <c r="P105" s="16"/>
      <c r="Q105" s="17"/>
      <c r="R105" s="17"/>
      <c r="S105" s="17"/>
      <c r="T105" s="17"/>
      <c r="U105" s="17"/>
      <c r="V105" s="17"/>
      <c r="W105" s="17"/>
      <c r="X105" s="17"/>
      <c r="Y105" s="17"/>
    </row>
    <row r="106" ht="18.75" customHeight="1">
      <c r="A106" s="9">
        <v>105.0</v>
      </c>
      <c r="B106" s="161" t="s">
        <v>5438</v>
      </c>
      <c r="C106" s="169" t="s">
        <v>5439</v>
      </c>
      <c r="D106" s="169" t="s">
        <v>476</v>
      </c>
      <c r="E106" s="169" t="s">
        <v>5440</v>
      </c>
      <c r="F106" s="169" t="s">
        <v>5441</v>
      </c>
      <c r="G106" s="162">
        <v>45359.0</v>
      </c>
      <c r="H106" s="12">
        <v>45360.0</v>
      </c>
      <c r="I106" s="163" t="s">
        <v>119</v>
      </c>
      <c r="J106" s="163" t="s">
        <v>5134</v>
      </c>
      <c r="K106" s="163" t="s">
        <v>31</v>
      </c>
      <c r="L106" s="165"/>
      <c r="M106" s="161"/>
      <c r="N106" s="16" t="s">
        <v>5135</v>
      </c>
      <c r="O106" s="16"/>
      <c r="P106" s="16"/>
      <c r="Q106" s="17"/>
      <c r="R106" s="17"/>
      <c r="S106" s="17"/>
      <c r="T106" s="17"/>
      <c r="U106" s="17"/>
      <c r="V106" s="17"/>
      <c r="W106" s="17"/>
      <c r="X106" s="17"/>
      <c r="Y106" s="17"/>
    </row>
    <row r="107" ht="18.75" customHeight="1">
      <c r="A107" s="9">
        <v>106.0</v>
      </c>
      <c r="B107" s="161" t="s">
        <v>5442</v>
      </c>
      <c r="C107" s="169" t="s">
        <v>5443</v>
      </c>
      <c r="D107" s="169" t="s">
        <v>2305</v>
      </c>
      <c r="E107" s="169" t="s">
        <v>5444</v>
      </c>
      <c r="F107" s="169" t="s">
        <v>5445</v>
      </c>
      <c r="G107" s="162">
        <v>45361.0</v>
      </c>
      <c r="H107" s="12">
        <v>45362.0</v>
      </c>
      <c r="I107" s="163" t="s">
        <v>251</v>
      </c>
      <c r="J107" s="163" t="s">
        <v>5173</v>
      </c>
      <c r="K107" s="163" t="s">
        <v>31</v>
      </c>
      <c r="L107" s="165"/>
      <c r="M107" s="161"/>
      <c r="N107" s="16" t="s">
        <v>5135</v>
      </c>
      <c r="O107" s="16"/>
      <c r="P107" s="16"/>
      <c r="Q107" s="17"/>
      <c r="R107" s="17"/>
      <c r="S107" s="17"/>
      <c r="T107" s="17"/>
      <c r="U107" s="17"/>
      <c r="V107" s="17"/>
      <c r="W107" s="17"/>
      <c r="X107" s="17"/>
      <c r="Y107" s="17"/>
    </row>
    <row r="108" ht="18.75" customHeight="1">
      <c r="A108" s="9">
        <v>107.0</v>
      </c>
      <c r="B108" s="161" t="s">
        <v>5446</v>
      </c>
      <c r="C108" s="169" t="s">
        <v>5447</v>
      </c>
      <c r="D108" s="169" t="s">
        <v>1852</v>
      </c>
      <c r="E108" s="169" t="s">
        <v>5448</v>
      </c>
      <c r="F108" s="169" t="s">
        <v>5449</v>
      </c>
      <c r="G108" s="162">
        <v>45361.0</v>
      </c>
      <c r="H108" s="12">
        <v>45362.0</v>
      </c>
      <c r="I108" s="163" t="s">
        <v>25</v>
      </c>
      <c r="J108" s="163" t="s">
        <v>5134</v>
      </c>
      <c r="K108" s="163" t="s">
        <v>31</v>
      </c>
      <c r="L108" s="165"/>
      <c r="M108" s="161"/>
      <c r="N108" s="16" t="s">
        <v>5135</v>
      </c>
      <c r="O108" s="16"/>
      <c r="P108" s="16"/>
      <c r="Q108" s="17"/>
      <c r="R108" s="17"/>
      <c r="S108" s="17"/>
      <c r="T108" s="17"/>
      <c r="U108" s="17"/>
      <c r="V108" s="17"/>
      <c r="W108" s="17"/>
      <c r="X108" s="17"/>
      <c r="Y108" s="17"/>
    </row>
    <row r="109" ht="18.75" customHeight="1">
      <c r="A109" s="9">
        <v>108.0</v>
      </c>
      <c r="B109" s="161" t="s">
        <v>5450</v>
      </c>
      <c r="C109" s="169" t="s">
        <v>5451</v>
      </c>
      <c r="D109" s="169" t="s">
        <v>240</v>
      </c>
      <c r="E109" s="169" t="s">
        <v>5247</v>
      </c>
      <c r="F109" s="169" t="s">
        <v>5452</v>
      </c>
      <c r="G109" s="162">
        <v>45361.0</v>
      </c>
      <c r="H109" s="12">
        <v>45362.0</v>
      </c>
      <c r="I109" s="163" t="s">
        <v>119</v>
      </c>
      <c r="J109" s="163" t="s">
        <v>5173</v>
      </c>
      <c r="K109" s="163" t="s">
        <v>31</v>
      </c>
      <c r="L109" s="165"/>
      <c r="M109" s="161"/>
      <c r="N109" s="16" t="s">
        <v>5135</v>
      </c>
      <c r="O109" s="16"/>
      <c r="P109" s="16"/>
      <c r="Q109" s="17"/>
      <c r="R109" s="17"/>
      <c r="S109" s="17"/>
      <c r="T109" s="17"/>
      <c r="U109" s="17"/>
      <c r="V109" s="17"/>
      <c r="W109" s="17"/>
      <c r="X109" s="17"/>
      <c r="Y109" s="17"/>
    </row>
    <row r="110" ht="18.75" customHeight="1">
      <c r="A110" s="9">
        <v>109.0</v>
      </c>
      <c r="B110" s="161" t="s">
        <v>5453</v>
      </c>
      <c r="C110" s="169" t="s">
        <v>5454</v>
      </c>
      <c r="D110" s="169" t="s">
        <v>3818</v>
      </c>
      <c r="E110" s="169" t="s">
        <v>3810</v>
      </c>
      <c r="F110" s="169" t="s">
        <v>5455</v>
      </c>
      <c r="G110" s="162">
        <v>45362.0</v>
      </c>
      <c r="H110" s="12">
        <v>45363.0</v>
      </c>
      <c r="I110" s="163" t="s">
        <v>25</v>
      </c>
      <c r="J110" s="163" t="s">
        <v>37</v>
      </c>
      <c r="K110" s="163" t="s">
        <v>31</v>
      </c>
      <c r="L110" s="165"/>
      <c r="M110" s="161"/>
      <c r="N110" s="16" t="s">
        <v>5135</v>
      </c>
      <c r="O110" s="16"/>
      <c r="P110" s="16"/>
      <c r="Q110" s="17"/>
      <c r="R110" s="17"/>
      <c r="S110" s="17"/>
      <c r="T110" s="17"/>
      <c r="U110" s="17"/>
      <c r="V110" s="17"/>
      <c r="W110" s="17"/>
      <c r="X110" s="17"/>
      <c r="Y110" s="17"/>
    </row>
    <row r="111" ht="18.75" customHeight="1">
      <c r="A111" s="9">
        <v>110.0</v>
      </c>
      <c r="B111" s="161" t="s">
        <v>5456</v>
      </c>
      <c r="C111" s="169" t="s">
        <v>5457</v>
      </c>
      <c r="D111" s="169" t="s">
        <v>116</v>
      </c>
      <c r="E111" s="169" t="s">
        <v>1167</v>
      </c>
      <c r="F111" s="169" t="s">
        <v>5458</v>
      </c>
      <c r="G111" s="162">
        <v>45362.0</v>
      </c>
      <c r="H111" s="12">
        <v>45363.0</v>
      </c>
      <c r="I111" s="163" t="s">
        <v>25</v>
      </c>
      <c r="J111" s="163" t="s">
        <v>5173</v>
      </c>
      <c r="K111" s="163" t="s">
        <v>31</v>
      </c>
      <c r="L111" s="165"/>
      <c r="M111" s="161"/>
      <c r="N111" s="16" t="s">
        <v>5135</v>
      </c>
      <c r="O111" s="16"/>
      <c r="P111" s="16"/>
      <c r="Q111" s="17"/>
      <c r="R111" s="17"/>
      <c r="S111" s="17"/>
      <c r="T111" s="17"/>
      <c r="U111" s="17"/>
      <c r="V111" s="17"/>
      <c r="W111" s="17"/>
      <c r="X111" s="17"/>
      <c r="Y111" s="17"/>
    </row>
    <row r="112" ht="18.75" customHeight="1">
      <c r="A112" s="9">
        <v>111.0</v>
      </c>
      <c r="B112" s="161" t="s">
        <v>1089</v>
      </c>
      <c r="C112" s="169" t="s">
        <v>4903</v>
      </c>
      <c r="D112" s="169" t="s">
        <v>1091</v>
      </c>
      <c r="E112" s="169" t="s">
        <v>1092</v>
      </c>
      <c r="F112" s="169" t="s">
        <v>4904</v>
      </c>
      <c r="G112" s="162">
        <v>45366.0</v>
      </c>
      <c r="H112" s="12">
        <v>45367.0</v>
      </c>
      <c r="I112" s="163" t="s">
        <v>25</v>
      </c>
      <c r="J112" s="163" t="s">
        <v>5134</v>
      </c>
      <c r="K112" s="163" t="s">
        <v>31</v>
      </c>
      <c r="L112" s="165"/>
      <c r="M112" s="161"/>
      <c r="N112" s="16" t="s">
        <v>5135</v>
      </c>
      <c r="O112" s="16"/>
      <c r="P112" s="16"/>
      <c r="Q112" s="17"/>
      <c r="R112" s="17"/>
      <c r="S112" s="17"/>
      <c r="T112" s="17"/>
      <c r="U112" s="17"/>
      <c r="V112" s="17"/>
      <c r="W112" s="17"/>
      <c r="X112" s="17"/>
      <c r="Y112" s="17"/>
    </row>
    <row r="113" ht="18.75" customHeight="1">
      <c r="A113" s="9">
        <v>112.0</v>
      </c>
      <c r="B113" s="161" t="s">
        <v>5459</v>
      </c>
      <c r="C113" s="169" t="s">
        <v>5460</v>
      </c>
      <c r="D113" s="169" t="s">
        <v>1749</v>
      </c>
      <c r="E113" s="169" t="s">
        <v>1652</v>
      </c>
      <c r="F113" s="169" t="s">
        <v>5461</v>
      </c>
      <c r="G113" s="162">
        <v>45366.0</v>
      </c>
      <c r="H113" s="12">
        <v>45367.0</v>
      </c>
      <c r="I113" s="163" t="s">
        <v>25</v>
      </c>
      <c r="J113" s="163" t="s">
        <v>5134</v>
      </c>
      <c r="K113" s="163" t="s">
        <v>31</v>
      </c>
      <c r="L113" s="165"/>
      <c r="M113" s="161"/>
      <c r="N113" s="16" t="s">
        <v>5135</v>
      </c>
      <c r="O113" s="16"/>
      <c r="P113" s="16"/>
      <c r="Q113" s="17"/>
      <c r="R113" s="17"/>
      <c r="S113" s="17"/>
      <c r="T113" s="17"/>
      <c r="U113" s="17"/>
      <c r="V113" s="17"/>
      <c r="W113" s="17"/>
      <c r="X113" s="17"/>
      <c r="Y113" s="17"/>
    </row>
    <row r="114" ht="18.75" customHeight="1">
      <c r="A114" s="9">
        <v>113.0</v>
      </c>
      <c r="B114" s="161" t="s">
        <v>1169</v>
      </c>
      <c r="C114" s="169" t="s">
        <v>5462</v>
      </c>
      <c r="D114" s="169" t="s">
        <v>198</v>
      </c>
      <c r="E114" s="169" t="s">
        <v>1171</v>
      </c>
      <c r="F114" s="169" t="s">
        <v>5463</v>
      </c>
      <c r="G114" s="162">
        <v>45366.0</v>
      </c>
      <c r="H114" s="12">
        <v>45367.0</v>
      </c>
      <c r="I114" s="163" t="s">
        <v>25</v>
      </c>
      <c r="J114" s="163" t="s">
        <v>37</v>
      </c>
      <c r="K114" s="163" t="s">
        <v>31</v>
      </c>
      <c r="L114" s="165"/>
      <c r="M114" s="161"/>
      <c r="N114" s="16" t="s">
        <v>5135</v>
      </c>
      <c r="O114" s="16"/>
      <c r="P114" s="16"/>
      <c r="Q114" s="17"/>
      <c r="R114" s="17"/>
      <c r="S114" s="17"/>
      <c r="T114" s="17"/>
      <c r="U114" s="17"/>
      <c r="V114" s="17"/>
      <c r="W114" s="17"/>
      <c r="X114" s="17"/>
      <c r="Y114" s="17"/>
    </row>
    <row r="115" ht="18.75" customHeight="1">
      <c r="A115" s="9">
        <v>114.0</v>
      </c>
      <c r="B115" s="161" t="s">
        <v>5464</v>
      </c>
      <c r="C115" s="169" t="s">
        <v>5465</v>
      </c>
      <c r="D115" s="169" t="s">
        <v>2135</v>
      </c>
      <c r="E115" s="169" t="s">
        <v>1349</v>
      </c>
      <c r="F115" s="169" t="s">
        <v>5466</v>
      </c>
      <c r="G115" s="162">
        <v>45366.0</v>
      </c>
      <c r="H115" s="12">
        <v>45367.0</v>
      </c>
      <c r="I115" s="163" t="s">
        <v>25</v>
      </c>
      <c r="J115" s="163" t="s">
        <v>37</v>
      </c>
      <c r="K115" s="163" t="s">
        <v>31</v>
      </c>
      <c r="L115" s="165"/>
      <c r="M115" s="161"/>
      <c r="N115" s="16" t="s">
        <v>5135</v>
      </c>
      <c r="O115" s="16"/>
      <c r="P115" s="16"/>
      <c r="Q115" s="17"/>
      <c r="R115" s="17"/>
      <c r="S115" s="17"/>
      <c r="T115" s="17"/>
      <c r="U115" s="17"/>
      <c r="V115" s="17"/>
      <c r="W115" s="17"/>
      <c r="X115" s="17"/>
      <c r="Y115" s="17"/>
    </row>
    <row r="116" ht="18.75" customHeight="1">
      <c r="A116" s="9">
        <v>115.0</v>
      </c>
      <c r="B116" s="161" t="s">
        <v>1181</v>
      </c>
      <c r="C116" s="169" t="s">
        <v>5467</v>
      </c>
      <c r="D116" s="169" t="s">
        <v>122</v>
      </c>
      <c r="E116" s="169" t="s">
        <v>1183</v>
      </c>
      <c r="F116" s="169" t="s">
        <v>5468</v>
      </c>
      <c r="G116" s="162">
        <v>45370.0</v>
      </c>
      <c r="H116" s="162">
        <v>45371.0</v>
      </c>
      <c r="I116" s="163" t="s">
        <v>119</v>
      </c>
      <c r="J116" s="163" t="s">
        <v>37</v>
      </c>
      <c r="K116" s="163" t="s">
        <v>31</v>
      </c>
      <c r="L116" s="165"/>
      <c r="M116" s="161"/>
      <c r="N116" s="16" t="s">
        <v>5135</v>
      </c>
      <c r="O116" s="16"/>
      <c r="P116" s="16"/>
      <c r="Q116" s="17"/>
      <c r="R116" s="17"/>
      <c r="S116" s="17"/>
      <c r="T116" s="17"/>
      <c r="U116" s="17"/>
      <c r="V116" s="17"/>
      <c r="W116" s="17"/>
      <c r="X116" s="17"/>
      <c r="Y116" s="17"/>
    </row>
    <row r="117" ht="18.75" customHeight="1">
      <c r="A117" s="9">
        <v>116.0</v>
      </c>
      <c r="B117" s="161" t="s">
        <v>1119</v>
      </c>
      <c r="C117" s="169" t="s">
        <v>1120</v>
      </c>
      <c r="D117" s="169" t="s">
        <v>122</v>
      </c>
      <c r="E117" s="169" t="s">
        <v>5469</v>
      </c>
      <c r="F117" s="169" t="s">
        <v>5470</v>
      </c>
      <c r="G117" s="162">
        <v>45379.0</v>
      </c>
      <c r="H117" s="162">
        <v>45380.0</v>
      </c>
      <c r="I117" s="163" t="s">
        <v>25</v>
      </c>
      <c r="J117" s="163" t="s">
        <v>37</v>
      </c>
      <c r="K117" s="163" t="s">
        <v>31</v>
      </c>
      <c r="L117" s="165"/>
      <c r="M117" s="161"/>
      <c r="N117" s="16" t="s">
        <v>5135</v>
      </c>
      <c r="O117" s="16"/>
      <c r="P117" s="16"/>
      <c r="Q117" s="17"/>
      <c r="R117" s="17"/>
      <c r="S117" s="17"/>
      <c r="T117" s="17"/>
      <c r="U117" s="17"/>
      <c r="V117" s="17"/>
      <c r="W117" s="17"/>
      <c r="X117" s="17"/>
      <c r="Y117" s="17"/>
    </row>
    <row r="118" ht="18.75" customHeight="1">
      <c r="A118" s="9">
        <v>117.0</v>
      </c>
      <c r="B118" s="161" t="s">
        <v>1478</v>
      </c>
      <c r="C118" s="169" t="s">
        <v>1479</v>
      </c>
      <c r="D118" s="169" t="s">
        <v>1412</v>
      </c>
      <c r="E118" s="169" t="s">
        <v>1480</v>
      </c>
      <c r="F118" s="169"/>
      <c r="G118" s="162">
        <v>45380.0</v>
      </c>
      <c r="H118" s="162">
        <v>45352.0</v>
      </c>
      <c r="I118" s="163" t="s">
        <v>25</v>
      </c>
      <c r="J118" s="163" t="s">
        <v>37</v>
      </c>
      <c r="K118" s="163" t="s">
        <v>31</v>
      </c>
      <c r="L118" s="165"/>
      <c r="M118" s="161"/>
      <c r="N118" s="16" t="s">
        <v>5135</v>
      </c>
      <c r="O118" s="16"/>
      <c r="P118" s="16"/>
      <c r="Q118" s="17"/>
      <c r="R118" s="17"/>
      <c r="S118" s="17"/>
      <c r="T118" s="17"/>
      <c r="U118" s="17"/>
      <c r="V118" s="17"/>
      <c r="W118" s="17"/>
      <c r="X118" s="17"/>
      <c r="Y118" s="17"/>
    </row>
    <row r="119" ht="18.75" customHeight="1">
      <c r="A119" s="9">
        <v>118.0</v>
      </c>
      <c r="B119" s="161" t="s">
        <v>1482</v>
      </c>
      <c r="C119" s="169" t="s">
        <v>1483</v>
      </c>
      <c r="D119" s="169" t="s">
        <v>1484</v>
      </c>
      <c r="E119" s="169" t="s">
        <v>1421</v>
      </c>
      <c r="F119" s="169" t="s">
        <v>5471</v>
      </c>
      <c r="G119" s="162">
        <v>45380.0</v>
      </c>
      <c r="H119" s="12">
        <v>45352.0</v>
      </c>
      <c r="I119" s="163" t="s">
        <v>25</v>
      </c>
      <c r="J119" s="163" t="s">
        <v>37</v>
      </c>
      <c r="K119" s="163" t="s">
        <v>31</v>
      </c>
      <c r="L119" s="165"/>
      <c r="M119" s="161"/>
      <c r="N119" s="16" t="s">
        <v>5135</v>
      </c>
      <c r="O119" s="16"/>
      <c r="P119" s="16"/>
      <c r="Q119" s="17"/>
      <c r="R119" s="17"/>
      <c r="S119" s="17"/>
      <c r="T119" s="17"/>
      <c r="U119" s="17"/>
      <c r="V119" s="17"/>
      <c r="W119" s="17"/>
      <c r="X119" s="17"/>
      <c r="Y119" s="17"/>
    </row>
    <row r="120" ht="18.75" customHeight="1">
      <c r="A120" s="9">
        <v>119.0</v>
      </c>
      <c r="B120" s="161" t="s">
        <v>1486</v>
      </c>
      <c r="C120" s="169" t="s">
        <v>1487</v>
      </c>
      <c r="D120" s="169" t="s">
        <v>1412</v>
      </c>
      <c r="E120" s="169" t="s">
        <v>1488</v>
      </c>
      <c r="F120" s="169" t="s">
        <v>5472</v>
      </c>
      <c r="G120" s="162">
        <v>45380.0</v>
      </c>
      <c r="H120" s="162">
        <v>45352.0</v>
      </c>
      <c r="I120" s="163" t="s">
        <v>119</v>
      </c>
      <c r="J120" s="163" t="s">
        <v>37</v>
      </c>
      <c r="K120" s="163" t="s">
        <v>31</v>
      </c>
      <c r="L120" s="165"/>
      <c r="M120" s="161"/>
      <c r="N120" s="16" t="s">
        <v>5135</v>
      </c>
      <c r="O120" s="16"/>
      <c r="P120" s="16"/>
      <c r="Q120" s="17"/>
      <c r="R120" s="17"/>
      <c r="S120" s="17"/>
      <c r="T120" s="17"/>
      <c r="U120" s="17"/>
      <c r="V120" s="17"/>
      <c r="W120" s="17"/>
      <c r="X120" s="17"/>
      <c r="Y120" s="17"/>
    </row>
    <row r="121" ht="18.75" customHeight="1">
      <c r="A121" s="9">
        <v>120.0</v>
      </c>
      <c r="B121" s="161" t="s">
        <v>1490</v>
      </c>
      <c r="C121" s="169" t="s">
        <v>1491</v>
      </c>
      <c r="D121" s="169" t="s">
        <v>1492</v>
      </c>
      <c r="E121" s="169" t="s">
        <v>5473</v>
      </c>
      <c r="F121" s="169" t="s">
        <v>5474</v>
      </c>
      <c r="G121" s="162">
        <v>45380.0</v>
      </c>
      <c r="H121" s="12">
        <v>45352.0</v>
      </c>
      <c r="I121" s="163" t="s">
        <v>119</v>
      </c>
      <c r="J121" s="163" t="s">
        <v>37</v>
      </c>
      <c r="K121" s="163" t="s">
        <v>31</v>
      </c>
      <c r="L121" s="165"/>
      <c r="M121" s="161"/>
      <c r="N121" s="16" t="s">
        <v>5135</v>
      </c>
      <c r="O121" s="16"/>
      <c r="P121" s="16"/>
      <c r="Q121" s="17"/>
      <c r="R121" s="17"/>
      <c r="S121" s="17"/>
      <c r="T121" s="17"/>
      <c r="U121" s="17"/>
      <c r="V121" s="17"/>
      <c r="W121" s="17"/>
      <c r="X121" s="17"/>
      <c r="Y121" s="17"/>
    </row>
    <row r="122" ht="18.75" customHeight="1">
      <c r="A122" s="9">
        <v>121.0</v>
      </c>
      <c r="B122" s="161" t="s">
        <v>1495</v>
      </c>
      <c r="C122" s="169" t="s">
        <v>1496</v>
      </c>
      <c r="D122" s="169" t="s">
        <v>1412</v>
      </c>
      <c r="E122" s="169" t="s">
        <v>1457</v>
      </c>
      <c r="F122" s="169" t="s">
        <v>5475</v>
      </c>
      <c r="G122" s="162">
        <v>45352.0</v>
      </c>
      <c r="H122" s="12">
        <v>45353.0</v>
      </c>
      <c r="I122" s="163" t="s">
        <v>119</v>
      </c>
      <c r="J122" s="163" t="s">
        <v>37</v>
      </c>
      <c r="K122" s="163" t="s">
        <v>31</v>
      </c>
      <c r="L122" s="165"/>
      <c r="M122" s="161"/>
      <c r="N122" s="16" t="s">
        <v>5135</v>
      </c>
      <c r="O122" s="16"/>
      <c r="P122" s="16"/>
      <c r="Q122" s="17"/>
      <c r="R122" s="17"/>
      <c r="S122" s="17"/>
      <c r="T122" s="17"/>
      <c r="U122" s="17"/>
      <c r="V122" s="17"/>
      <c r="W122" s="17"/>
      <c r="X122" s="17"/>
      <c r="Y122" s="17"/>
    </row>
    <row r="123" ht="18.75" customHeight="1">
      <c r="A123" s="9">
        <v>122.0</v>
      </c>
      <c r="B123" s="161" t="s">
        <v>1498</v>
      </c>
      <c r="C123" s="169" t="s">
        <v>1499</v>
      </c>
      <c r="D123" s="169" t="s">
        <v>1412</v>
      </c>
      <c r="E123" s="169" t="s">
        <v>1421</v>
      </c>
      <c r="F123" s="169" t="s">
        <v>5476</v>
      </c>
      <c r="G123" s="162">
        <v>45354.0</v>
      </c>
      <c r="H123" s="12">
        <v>45355.0</v>
      </c>
      <c r="I123" s="163" t="s">
        <v>119</v>
      </c>
      <c r="J123" s="163" t="s">
        <v>5173</v>
      </c>
      <c r="K123" s="163" t="s">
        <v>31</v>
      </c>
      <c r="L123" s="165"/>
      <c r="M123" s="161"/>
      <c r="N123" s="16" t="s">
        <v>5135</v>
      </c>
      <c r="O123" s="16"/>
      <c r="P123" s="16"/>
      <c r="Q123" s="17"/>
      <c r="R123" s="17"/>
      <c r="S123" s="17"/>
      <c r="T123" s="17"/>
      <c r="U123" s="17"/>
      <c r="V123" s="17"/>
      <c r="W123" s="17"/>
      <c r="X123" s="17"/>
      <c r="Y123" s="17"/>
    </row>
    <row r="124" ht="18.75" customHeight="1">
      <c r="A124" s="9">
        <v>123.0</v>
      </c>
      <c r="B124" s="161" t="s">
        <v>1501</v>
      </c>
      <c r="C124" s="169" t="s">
        <v>1502</v>
      </c>
      <c r="D124" s="169" t="s">
        <v>1456</v>
      </c>
      <c r="E124" s="169" t="s">
        <v>1472</v>
      </c>
      <c r="F124" s="169" t="s">
        <v>5477</v>
      </c>
      <c r="G124" s="162">
        <v>45355.0</v>
      </c>
      <c r="H124" s="12">
        <v>45356.0</v>
      </c>
      <c r="I124" s="163" t="s">
        <v>119</v>
      </c>
      <c r="J124" s="163" t="s">
        <v>37</v>
      </c>
      <c r="K124" s="163" t="s">
        <v>31</v>
      </c>
      <c r="L124" s="165"/>
      <c r="M124" s="161"/>
      <c r="N124" s="16" t="s">
        <v>5135</v>
      </c>
      <c r="O124" s="16"/>
      <c r="P124" s="16"/>
      <c r="Q124" s="17"/>
      <c r="R124" s="17"/>
      <c r="S124" s="17"/>
      <c r="T124" s="17"/>
      <c r="U124" s="17"/>
      <c r="V124" s="17"/>
      <c r="W124" s="17"/>
      <c r="X124" s="17"/>
      <c r="Y124" s="17"/>
    </row>
    <row r="125" ht="18.75" customHeight="1">
      <c r="A125" s="9">
        <v>124.0</v>
      </c>
      <c r="B125" s="161" t="s">
        <v>1504</v>
      </c>
      <c r="C125" s="169" t="s">
        <v>1505</v>
      </c>
      <c r="D125" s="169" t="s">
        <v>1412</v>
      </c>
      <c r="E125" s="169" t="s">
        <v>1506</v>
      </c>
      <c r="F125" s="169" t="s">
        <v>5478</v>
      </c>
      <c r="G125" s="162">
        <v>45365.0</v>
      </c>
      <c r="H125" s="12">
        <v>45366.0</v>
      </c>
      <c r="I125" s="163" t="s">
        <v>119</v>
      </c>
      <c r="J125" s="163" t="s">
        <v>37</v>
      </c>
      <c r="K125" s="163" t="s">
        <v>31</v>
      </c>
      <c r="L125" s="165"/>
      <c r="M125" s="161"/>
      <c r="N125" s="16" t="s">
        <v>5135</v>
      </c>
      <c r="O125" s="16"/>
      <c r="P125" s="16"/>
      <c r="Q125" s="17"/>
      <c r="R125" s="17"/>
      <c r="S125" s="17"/>
      <c r="T125" s="17"/>
      <c r="U125" s="17"/>
      <c r="V125" s="17"/>
      <c r="W125" s="17"/>
      <c r="X125" s="17"/>
      <c r="Y125" s="17"/>
    </row>
    <row r="126" ht="18.75" customHeight="1">
      <c r="A126" s="9">
        <v>125.0</v>
      </c>
      <c r="B126" s="161" t="s">
        <v>1508</v>
      </c>
      <c r="C126" s="169" t="s">
        <v>1509</v>
      </c>
      <c r="D126" s="169" t="s">
        <v>1510</v>
      </c>
      <c r="E126" s="169" t="s">
        <v>1421</v>
      </c>
      <c r="F126" s="169" t="s">
        <v>5479</v>
      </c>
      <c r="G126" s="162">
        <v>45366.0</v>
      </c>
      <c r="H126" s="162">
        <v>45367.0</v>
      </c>
      <c r="I126" s="163" t="s">
        <v>25</v>
      </c>
      <c r="J126" s="163" t="s">
        <v>37</v>
      </c>
      <c r="K126" s="163" t="s">
        <v>31</v>
      </c>
      <c r="L126" s="165"/>
      <c r="M126" s="161"/>
      <c r="N126" s="16" t="s">
        <v>5135</v>
      </c>
      <c r="O126" s="16"/>
      <c r="P126" s="16"/>
      <c r="Q126" s="17"/>
      <c r="R126" s="17"/>
      <c r="S126" s="17"/>
      <c r="T126" s="17"/>
      <c r="U126" s="17"/>
      <c r="V126" s="17"/>
      <c r="W126" s="17"/>
      <c r="X126" s="17"/>
      <c r="Y126" s="17"/>
    </row>
    <row r="127" ht="18.75" customHeight="1">
      <c r="A127" s="9">
        <v>126.0</v>
      </c>
      <c r="B127" s="161" t="s">
        <v>1512</v>
      </c>
      <c r="C127" s="169" t="s">
        <v>1513</v>
      </c>
      <c r="D127" s="169" t="s">
        <v>1412</v>
      </c>
      <c r="E127" s="169" t="s">
        <v>1457</v>
      </c>
      <c r="F127" s="169" t="s">
        <v>5480</v>
      </c>
      <c r="G127" s="162">
        <v>45371.0</v>
      </c>
      <c r="H127" s="162">
        <v>45372.0</v>
      </c>
      <c r="I127" s="163" t="s">
        <v>25</v>
      </c>
      <c r="J127" s="163" t="s">
        <v>37</v>
      </c>
      <c r="K127" s="163" t="s">
        <v>31</v>
      </c>
      <c r="L127" s="165"/>
      <c r="M127" s="161"/>
      <c r="N127" s="16" t="s">
        <v>5135</v>
      </c>
      <c r="O127" s="16"/>
      <c r="P127" s="16"/>
      <c r="Q127" s="17"/>
      <c r="R127" s="17"/>
      <c r="S127" s="17"/>
      <c r="T127" s="17"/>
      <c r="U127" s="17"/>
      <c r="V127" s="17"/>
      <c r="W127" s="17"/>
      <c r="X127" s="17"/>
      <c r="Y127" s="17"/>
    </row>
    <row r="128" ht="18.75" customHeight="1">
      <c r="A128" s="9">
        <v>127.0</v>
      </c>
      <c r="B128" s="161" t="s">
        <v>1515</v>
      </c>
      <c r="C128" s="169" t="s">
        <v>1516</v>
      </c>
      <c r="D128" s="169" t="s">
        <v>1412</v>
      </c>
      <c r="E128" s="169" t="s">
        <v>1517</v>
      </c>
      <c r="F128" s="169" t="s">
        <v>5481</v>
      </c>
      <c r="G128" s="162">
        <v>45379.0</v>
      </c>
      <c r="H128" s="12">
        <v>45380.0</v>
      </c>
      <c r="I128" s="163" t="s">
        <v>119</v>
      </c>
      <c r="J128" s="163" t="s">
        <v>5173</v>
      </c>
      <c r="K128" s="163" t="s">
        <v>31</v>
      </c>
      <c r="L128" s="165"/>
      <c r="M128" s="161"/>
      <c r="N128" s="16" t="s">
        <v>5135</v>
      </c>
      <c r="O128" s="16"/>
      <c r="P128" s="16"/>
      <c r="Q128" s="17"/>
      <c r="R128" s="17"/>
      <c r="S128" s="17"/>
      <c r="T128" s="17"/>
      <c r="U128" s="17"/>
      <c r="V128" s="17"/>
      <c r="W128" s="17"/>
      <c r="X128" s="17"/>
      <c r="Y128" s="17"/>
    </row>
    <row r="129" ht="18.75" customHeight="1">
      <c r="A129" s="9">
        <v>128.0</v>
      </c>
      <c r="B129" s="161" t="s">
        <v>1111</v>
      </c>
      <c r="C129" s="169" t="s">
        <v>1112</v>
      </c>
      <c r="D129" s="169" t="s">
        <v>153</v>
      </c>
      <c r="E129" s="169" t="s">
        <v>154</v>
      </c>
      <c r="F129" s="169" t="s">
        <v>5482</v>
      </c>
      <c r="G129" s="162">
        <v>45382.0</v>
      </c>
      <c r="H129" s="162">
        <v>45383.0</v>
      </c>
      <c r="I129" s="163" t="s">
        <v>25</v>
      </c>
      <c r="J129" s="163" t="s">
        <v>37</v>
      </c>
      <c r="K129" s="163" t="s">
        <v>31</v>
      </c>
      <c r="L129" s="165"/>
      <c r="M129" s="161"/>
      <c r="N129" s="16" t="s">
        <v>5135</v>
      </c>
      <c r="O129" s="16"/>
      <c r="P129" s="16"/>
      <c r="Q129" s="17"/>
      <c r="R129" s="17"/>
      <c r="S129" s="17"/>
      <c r="T129" s="17"/>
      <c r="U129" s="17"/>
      <c r="V129" s="17"/>
      <c r="W129" s="17"/>
      <c r="X129" s="17"/>
      <c r="Y129" s="17"/>
    </row>
    <row r="130" ht="18.75" customHeight="1">
      <c r="A130" s="9">
        <v>129.0</v>
      </c>
      <c r="B130" s="161" t="s">
        <v>1114</v>
      </c>
      <c r="C130" s="169" t="s">
        <v>1115</v>
      </c>
      <c r="D130" s="169" t="s">
        <v>122</v>
      </c>
      <c r="E130" s="169" t="s">
        <v>5469</v>
      </c>
      <c r="F130" s="169" t="s">
        <v>5483</v>
      </c>
      <c r="G130" s="162">
        <v>45382.0</v>
      </c>
      <c r="H130" s="173">
        <v>45383.0</v>
      </c>
      <c r="I130" s="163" t="s">
        <v>25</v>
      </c>
      <c r="J130" s="163" t="s">
        <v>37</v>
      </c>
      <c r="K130" s="163" t="s">
        <v>31</v>
      </c>
      <c r="L130" s="165"/>
      <c r="M130" s="161"/>
      <c r="N130" s="16" t="s">
        <v>5135</v>
      </c>
      <c r="O130" s="16"/>
      <c r="P130" s="16"/>
      <c r="Q130" s="17"/>
      <c r="R130" s="17"/>
      <c r="S130" s="17"/>
      <c r="T130" s="17"/>
      <c r="U130" s="17"/>
      <c r="V130" s="17"/>
      <c r="W130" s="17"/>
      <c r="X130" s="17"/>
      <c r="Y130" s="17"/>
    </row>
    <row r="131" ht="18.75" customHeight="1">
      <c r="A131" s="9">
        <v>130.0</v>
      </c>
      <c r="B131" s="161" t="s">
        <v>1132</v>
      </c>
      <c r="C131" s="169" t="s">
        <v>1133</v>
      </c>
      <c r="D131" s="169" t="s">
        <v>110</v>
      </c>
      <c r="E131" s="169" t="s">
        <v>807</v>
      </c>
      <c r="F131" s="169" t="s">
        <v>5484</v>
      </c>
      <c r="G131" s="162">
        <v>45382.0</v>
      </c>
      <c r="H131" s="162">
        <v>45383.0</v>
      </c>
      <c r="I131" s="163" t="s">
        <v>25</v>
      </c>
      <c r="J131" s="163" t="s">
        <v>22</v>
      </c>
      <c r="K131" s="163" t="s">
        <v>31</v>
      </c>
      <c r="L131" s="165"/>
      <c r="M131" s="174"/>
      <c r="N131" s="16" t="s">
        <v>5135</v>
      </c>
      <c r="O131" s="16"/>
      <c r="P131" s="16"/>
      <c r="Q131" s="17"/>
      <c r="R131" s="17"/>
      <c r="S131" s="17"/>
      <c r="T131" s="17"/>
      <c r="U131" s="17"/>
      <c r="V131" s="17"/>
      <c r="W131" s="17"/>
      <c r="X131" s="17"/>
      <c r="Y131" s="17"/>
    </row>
    <row r="132" ht="18.75" customHeight="1">
      <c r="A132" s="9">
        <v>131.0</v>
      </c>
      <c r="B132" s="161" t="s">
        <v>1136</v>
      </c>
      <c r="C132" s="169" t="s">
        <v>1137</v>
      </c>
      <c r="D132" s="169" t="s">
        <v>128</v>
      </c>
      <c r="E132" s="169" t="s">
        <v>226</v>
      </c>
      <c r="F132" s="169" t="s">
        <v>5485</v>
      </c>
      <c r="G132" s="162">
        <v>45382.0</v>
      </c>
      <c r="H132" s="162">
        <v>45383.0</v>
      </c>
      <c r="I132" s="163" t="s">
        <v>25</v>
      </c>
      <c r="J132" s="163" t="s">
        <v>37</v>
      </c>
      <c r="K132" s="163" t="s">
        <v>31</v>
      </c>
      <c r="L132" s="165"/>
      <c r="M132" s="161"/>
      <c r="N132" s="16" t="s">
        <v>5135</v>
      </c>
      <c r="O132" s="16"/>
      <c r="P132" s="16"/>
      <c r="Q132" s="17"/>
      <c r="R132" s="17"/>
      <c r="S132" s="17"/>
      <c r="T132" s="17"/>
      <c r="U132" s="17"/>
      <c r="V132" s="17"/>
      <c r="W132" s="17"/>
      <c r="X132" s="17"/>
      <c r="Y132" s="17"/>
    </row>
    <row r="133" ht="18.75" customHeight="1">
      <c r="A133" s="9">
        <v>132.0</v>
      </c>
      <c r="B133" s="161" t="s">
        <v>1147</v>
      </c>
      <c r="C133" s="169" t="s">
        <v>1148</v>
      </c>
      <c r="D133" s="169" t="s">
        <v>1149</v>
      </c>
      <c r="E133" s="169" t="s">
        <v>1150</v>
      </c>
      <c r="F133" s="169" t="s">
        <v>5486</v>
      </c>
      <c r="G133" s="162">
        <v>45382.0</v>
      </c>
      <c r="H133" s="162">
        <v>45383.0</v>
      </c>
      <c r="I133" s="163" t="s">
        <v>119</v>
      </c>
      <c r="J133" s="163" t="s">
        <v>22</v>
      </c>
      <c r="K133" s="163" t="s">
        <v>31</v>
      </c>
      <c r="L133" s="165"/>
      <c r="M133" s="161"/>
      <c r="N133" s="16" t="s">
        <v>5135</v>
      </c>
      <c r="O133" s="16"/>
      <c r="P133" s="16"/>
      <c r="Q133" s="17"/>
      <c r="R133" s="17"/>
      <c r="S133" s="17"/>
      <c r="T133" s="17"/>
      <c r="U133" s="17"/>
      <c r="V133" s="17"/>
      <c r="W133" s="17"/>
      <c r="X133" s="17"/>
      <c r="Y133" s="17"/>
    </row>
    <row r="134" ht="18.75" customHeight="1">
      <c r="A134" s="9">
        <v>133.0</v>
      </c>
      <c r="B134" s="161" t="s">
        <v>1153</v>
      </c>
      <c r="C134" s="169" t="s">
        <v>1154</v>
      </c>
      <c r="D134" s="169" t="s">
        <v>271</v>
      </c>
      <c r="E134" s="169" t="s">
        <v>1155</v>
      </c>
      <c r="F134" s="169" t="s">
        <v>5487</v>
      </c>
      <c r="G134" s="162">
        <v>45382.0</v>
      </c>
      <c r="H134" s="162">
        <v>45383.0</v>
      </c>
      <c r="I134" s="163" t="s">
        <v>119</v>
      </c>
      <c r="J134" s="163" t="s">
        <v>22</v>
      </c>
      <c r="K134" s="163" t="s">
        <v>31</v>
      </c>
      <c r="L134" s="165"/>
      <c r="M134" s="161"/>
      <c r="N134" s="16" t="s">
        <v>5135</v>
      </c>
      <c r="O134" s="16"/>
      <c r="P134" s="16"/>
      <c r="Q134" s="17"/>
      <c r="R134" s="17"/>
      <c r="S134" s="17"/>
      <c r="T134" s="17"/>
      <c r="U134" s="17"/>
      <c r="V134" s="17"/>
      <c r="W134" s="17"/>
      <c r="X134" s="17"/>
      <c r="Y134" s="17"/>
    </row>
    <row r="135" ht="18.75" customHeight="1">
      <c r="A135" s="9">
        <v>134.0</v>
      </c>
      <c r="B135" s="161" t="s">
        <v>1159</v>
      </c>
      <c r="C135" s="169" t="s">
        <v>1160</v>
      </c>
      <c r="D135" s="169" t="s">
        <v>1161</v>
      </c>
      <c r="E135" s="169" t="s">
        <v>319</v>
      </c>
      <c r="F135" s="169" t="s">
        <v>5488</v>
      </c>
      <c r="G135" s="162">
        <v>45382.0</v>
      </c>
      <c r="H135" s="162">
        <v>45383.0</v>
      </c>
      <c r="I135" s="163" t="s">
        <v>119</v>
      </c>
      <c r="J135" s="163" t="s">
        <v>22</v>
      </c>
      <c r="K135" s="163" t="s">
        <v>31</v>
      </c>
      <c r="L135" s="165"/>
      <c r="M135" s="174"/>
      <c r="N135" s="16" t="s">
        <v>5135</v>
      </c>
      <c r="O135" s="16"/>
      <c r="P135" s="16"/>
      <c r="Q135" s="17"/>
      <c r="R135" s="17"/>
      <c r="S135" s="17"/>
      <c r="T135" s="17"/>
      <c r="U135" s="17"/>
      <c r="V135" s="17"/>
      <c r="W135" s="17"/>
      <c r="X135" s="17"/>
      <c r="Y135" s="17"/>
    </row>
    <row r="136" ht="18.75" customHeight="1">
      <c r="A136" s="9">
        <v>135.0</v>
      </c>
      <c r="B136" s="161" t="s">
        <v>5489</v>
      </c>
      <c r="C136" s="169" t="s">
        <v>5490</v>
      </c>
      <c r="D136" s="169" t="s">
        <v>116</v>
      </c>
      <c r="E136" s="169" t="s">
        <v>5491</v>
      </c>
      <c r="F136" s="169" t="s">
        <v>5492</v>
      </c>
      <c r="G136" s="162">
        <v>45382.0</v>
      </c>
      <c r="H136" s="162">
        <v>45383.0</v>
      </c>
      <c r="I136" s="163" t="s">
        <v>119</v>
      </c>
      <c r="J136" s="163" t="s">
        <v>37</v>
      </c>
      <c r="K136" s="163" t="s">
        <v>31</v>
      </c>
      <c r="L136" s="165"/>
      <c r="M136" s="161"/>
      <c r="N136" s="16" t="s">
        <v>5135</v>
      </c>
      <c r="O136" s="16"/>
      <c r="P136" s="16"/>
      <c r="Q136" s="17"/>
      <c r="R136" s="17"/>
      <c r="S136" s="17"/>
      <c r="T136" s="17"/>
      <c r="U136" s="17"/>
      <c r="V136" s="17"/>
      <c r="W136" s="17"/>
      <c r="X136" s="17"/>
      <c r="Y136" s="17"/>
    </row>
    <row r="137" ht="18.75" customHeight="1">
      <c r="A137" s="9">
        <v>136.0</v>
      </c>
      <c r="B137" s="161" t="s">
        <v>5493</v>
      </c>
      <c r="C137" s="169" t="s">
        <v>5494</v>
      </c>
      <c r="D137" s="169" t="s">
        <v>328</v>
      </c>
      <c r="E137" s="169" t="s">
        <v>5495</v>
      </c>
      <c r="F137" s="169" t="s">
        <v>5496</v>
      </c>
      <c r="G137" s="162">
        <v>45382.0</v>
      </c>
      <c r="H137" s="162">
        <v>45383.0</v>
      </c>
      <c r="I137" s="163" t="s">
        <v>119</v>
      </c>
      <c r="J137" s="163" t="s">
        <v>37</v>
      </c>
      <c r="K137" s="163" t="s">
        <v>31</v>
      </c>
      <c r="L137" s="165"/>
      <c r="M137" s="161"/>
      <c r="N137" s="16" t="s">
        <v>5135</v>
      </c>
      <c r="O137" s="16"/>
      <c r="P137" s="16"/>
      <c r="Q137" s="17"/>
      <c r="R137" s="17"/>
      <c r="S137" s="17"/>
      <c r="T137" s="17"/>
      <c r="U137" s="17"/>
      <c r="V137" s="17"/>
      <c r="W137" s="17"/>
      <c r="X137" s="17"/>
      <c r="Y137" s="17"/>
    </row>
    <row r="138" ht="18.75" customHeight="1">
      <c r="A138" s="9">
        <v>137.0</v>
      </c>
      <c r="B138" s="161" t="s">
        <v>1123</v>
      </c>
      <c r="C138" s="169" t="s">
        <v>5497</v>
      </c>
      <c r="D138" s="169" t="s">
        <v>65</v>
      </c>
      <c r="E138" s="169" t="s">
        <v>5498</v>
      </c>
      <c r="F138" s="169" t="s">
        <v>5499</v>
      </c>
      <c r="G138" s="162">
        <v>45382.0</v>
      </c>
      <c r="H138" s="162">
        <v>45383.0</v>
      </c>
      <c r="I138" s="163" t="s">
        <v>119</v>
      </c>
      <c r="J138" s="163" t="s">
        <v>37</v>
      </c>
      <c r="K138" s="163" t="s">
        <v>31</v>
      </c>
      <c r="L138" s="165"/>
      <c r="M138" s="161"/>
      <c r="N138" s="16" t="s">
        <v>5135</v>
      </c>
      <c r="O138" s="16"/>
      <c r="P138" s="16"/>
      <c r="Q138" s="17"/>
      <c r="R138" s="17"/>
      <c r="S138" s="17"/>
      <c r="T138" s="17"/>
      <c r="U138" s="17"/>
      <c r="V138" s="17"/>
      <c r="W138" s="17"/>
      <c r="X138" s="17"/>
      <c r="Y138" s="17"/>
    </row>
    <row r="139" ht="18.75" customHeight="1">
      <c r="A139" s="9">
        <v>138.0</v>
      </c>
      <c r="B139" s="161" t="s">
        <v>1143</v>
      </c>
      <c r="C139" s="169" t="s">
        <v>5500</v>
      </c>
      <c r="D139" s="169" t="s">
        <v>362</v>
      </c>
      <c r="E139" s="169" t="s">
        <v>1145</v>
      </c>
      <c r="F139" s="169" t="s">
        <v>5501</v>
      </c>
      <c r="G139" s="162">
        <v>45382.0</v>
      </c>
      <c r="H139" s="12">
        <v>45383.0</v>
      </c>
      <c r="I139" s="163" t="s">
        <v>119</v>
      </c>
      <c r="J139" s="163" t="s">
        <v>37</v>
      </c>
      <c r="K139" s="163" t="s">
        <v>31</v>
      </c>
      <c r="L139" s="165"/>
      <c r="M139" s="161"/>
      <c r="N139" s="16" t="s">
        <v>5135</v>
      </c>
      <c r="O139" s="16"/>
      <c r="P139" s="16"/>
      <c r="Q139" s="17"/>
      <c r="R139" s="17"/>
      <c r="S139" s="17"/>
      <c r="T139" s="17"/>
      <c r="U139" s="17"/>
      <c r="V139" s="17"/>
      <c r="W139" s="17"/>
      <c r="X139" s="17"/>
      <c r="Y139" s="17"/>
    </row>
    <row r="140" ht="18.75" customHeight="1">
      <c r="A140" s="9">
        <v>139.0</v>
      </c>
      <c r="B140" s="161" t="s">
        <v>1140</v>
      </c>
      <c r="C140" s="169" t="s">
        <v>5502</v>
      </c>
      <c r="D140" s="169" t="s">
        <v>1129</v>
      </c>
      <c r="E140" s="169" t="s">
        <v>1130</v>
      </c>
      <c r="F140" s="169" t="s">
        <v>5503</v>
      </c>
      <c r="G140" s="162">
        <v>45382.0</v>
      </c>
      <c r="H140" s="12">
        <v>45383.0</v>
      </c>
      <c r="I140" s="163" t="s">
        <v>119</v>
      </c>
      <c r="J140" s="163" t="s">
        <v>37</v>
      </c>
      <c r="K140" s="163" t="s">
        <v>31</v>
      </c>
      <c r="L140" s="165"/>
      <c r="M140" s="161"/>
      <c r="N140" s="16" t="s">
        <v>5135</v>
      </c>
      <c r="O140" s="16"/>
      <c r="P140" s="16"/>
      <c r="Q140" s="17"/>
      <c r="R140" s="17"/>
      <c r="S140" s="17"/>
      <c r="T140" s="17"/>
      <c r="U140" s="17"/>
      <c r="V140" s="17"/>
      <c r="W140" s="17"/>
      <c r="X140" s="17"/>
      <c r="Y140" s="17"/>
    </row>
    <row r="141" ht="18.75" customHeight="1">
      <c r="A141" s="9">
        <v>140.0</v>
      </c>
      <c r="B141" s="161" t="s">
        <v>1094</v>
      </c>
      <c r="C141" s="169" t="s">
        <v>1095</v>
      </c>
      <c r="D141" s="169" t="s">
        <v>672</v>
      </c>
      <c r="E141" s="169" t="s">
        <v>1096</v>
      </c>
      <c r="F141" s="169" t="s">
        <v>5504</v>
      </c>
      <c r="G141" s="162">
        <v>45382.0</v>
      </c>
      <c r="H141" s="12">
        <v>45383.0</v>
      </c>
      <c r="I141" s="163" t="s">
        <v>25</v>
      </c>
      <c r="J141" s="163" t="s">
        <v>37</v>
      </c>
      <c r="K141" s="163" t="s">
        <v>31</v>
      </c>
      <c r="L141" s="165"/>
      <c r="M141" s="161"/>
      <c r="N141" s="16" t="s">
        <v>5135</v>
      </c>
      <c r="O141" s="16"/>
      <c r="P141" s="16"/>
      <c r="Q141" s="17"/>
      <c r="R141" s="17"/>
      <c r="S141" s="17"/>
      <c r="T141" s="17"/>
      <c r="U141" s="17"/>
      <c r="V141" s="17"/>
      <c r="W141" s="17"/>
      <c r="X141" s="17"/>
      <c r="Y141" s="17"/>
    </row>
    <row r="142" ht="18.75" customHeight="1">
      <c r="A142" s="9">
        <v>141.0</v>
      </c>
      <c r="B142" s="161" t="s">
        <v>5505</v>
      </c>
      <c r="C142" s="169" t="s">
        <v>5506</v>
      </c>
      <c r="D142" s="169" t="s">
        <v>1166</v>
      </c>
      <c r="E142" s="169" t="s">
        <v>5507</v>
      </c>
      <c r="F142" s="169" t="s">
        <v>5508</v>
      </c>
      <c r="G142" s="162">
        <v>45382.0</v>
      </c>
      <c r="H142" s="12">
        <v>45383.0</v>
      </c>
      <c r="I142" s="163" t="s">
        <v>25</v>
      </c>
      <c r="J142" s="163" t="s">
        <v>37</v>
      </c>
      <c r="K142" s="163" t="s">
        <v>31</v>
      </c>
      <c r="L142" s="165"/>
      <c r="M142" s="161"/>
      <c r="N142" s="16" t="s">
        <v>5135</v>
      </c>
      <c r="O142" s="16"/>
      <c r="P142" s="16"/>
      <c r="Q142" s="17"/>
      <c r="R142" s="17"/>
      <c r="S142" s="17"/>
      <c r="T142" s="17"/>
      <c r="U142" s="17"/>
      <c r="V142" s="17"/>
      <c r="W142" s="17"/>
      <c r="X142" s="17"/>
      <c r="Y142" s="17"/>
    </row>
    <row r="143" ht="18.75" customHeight="1">
      <c r="A143" s="9">
        <v>142.0</v>
      </c>
      <c r="B143" s="161" t="s">
        <v>1098</v>
      </c>
      <c r="C143" s="169" t="s">
        <v>1099</v>
      </c>
      <c r="D143" s="169" t="s">
        <v>116</v>
      </c>
      <c r="E143" s="169" t="s">
        <v>1100</v>
      </c>
      <c r="F143" s="169" t="s">
        <v>5509</v>
      </c>
      <c r="G143" s="162">
        <v>45382.0</v>
      </c>
      <c r="H143" s="12">
        <v>45383.0</v>
      </c>
      <c r="I143" s="163" t="s">
        <v>25</v>
      </c>
      <c r="J143" s="163" t="s">
        <v>37</v>
      </c>
      <c r="K143" s="163" t="s">
        <v>31</v>
      </c>
      <c r="L143" s="165"/>
      <c r="M143" s="161"/>
      <c r="N143" s="16" t="s">
        <v>5135</v>
      </c>
      <c r="O143" s="16"/>
      <c r="P143" s="16"/>
      <c r="Q143" s="17"/>
      <c r="R143" s="17"/>
      <c r="S143" s="17"/>
      <c r="T143" s="17"/>
      <c r="U143" s="17"/>
      <c r="V143" s="17"/>
      <c r="W143" s="17"/>
      <c r="X143" s="17"/>
      <c r="Y143" s="17"/>
    </row>
    <row r="144" ht="18.75" customHeight="1">
      <c r="A144" s="9">
        <v>143.0</v>
      </c>
      <c r="B144" s="161" t="s">
        <v>5510</v>
      </c>
      <c r="C144" s="169" t="s">
        <v>5511</v>
      </c>
      <c r="D144" s="169" t="s">
        <v>1749</v>
      </c>
      <c r="E144" s="169" t="s">
        <v>1652</v>
      </c>
      <c r="F144" s="169" t="s">
        <v>5512</v>
      </c>
      <c r="G144" s="162">
        <v>45382.0</v>
      </c>
      <c r="H144" s="12">
        <v>45383.0</v>
      </c>
      <c r="I144" s="163" t="s">
        <v>25</v>
      </c>
      <c r="J144" s="163" t="s">
        <v>5420</v>
      </c>
      <c r="K144" s="163" t="s">
        <v>31</v>
      </c>
      <c r="L144" s="165"/>
      <c r="M144" s="161"/>
      <c r="N144" s="16" t="s">
        <v>5135</v>
      </c>
      <c r="O144" s="16"/>
      <c r="P144" s="16"/>
      <c r="Q144" s="17"/>
      <c r="R144" s="17"/>
      <c r="S144" s="17"/>
      <c r="T144" s="17"/>
      <c r="U144" s="17"/>
      <c r="V144" s="17"/>
      <c r="W144" s="17"/>
      <c r="X144" s="17"/>
      <c r="Y144" s="17"/>
    </row>
    <row r="145" ht="18.75" customHeight="1">
      <c r="A145" s="9">
        <v>144.0</v>
      </c>
      <c r="B145" s="161" t="s">
        <v>1177</v>
      </c>
      <c r="C145" s="169" t="s">
        <v>1178</v>
      </c>
      <c r="D145" s="169" t="s">
        <v>65</v>
      </c>
      <c r="E145" s="169" t="s">
        <v>5513</v>
      </c>
      <c r="F145" s="169" t="s">
        <v>5514</v>
      </c>
      <c r="G145" s="162">
        <v>45382.0</v>
      </c>
      <c r="H145" s="12">
        <v>45383.0</v>
      </c>
      <c r="I145" s="163" t="s">
        <v>119</v>
      </c>
      <c r="J145" s="163" t="s">
        <v>37</v>
      </c>
      <c r="K145" s="163" t="s">
        <v>31</v>
      </c>
      <c r="L145" s="165"/>
      <c r="M145" s="161"/>
      <c r="N145" s="16" t="s">
        <v>5135</v>
      </c>
      <c r="O145" s="16"/>
      <c r="P145" s="16"/>
      <c r="Q145" s="17"/>
      <c r="R145" s="17"/>
      <c r="S145" s="17"/>
      <c r="T145" s="17"/>
      <c r="U145" s="17"/>
      <c r="V145" s="17"/>
      <c r="W145" s="17"/>
      <c r="X145" s="17"/>
      <c r="Y145" s="17"/>
    </row>
    <row r="146" ht="18.75" customHeight="1">
      <c r="A146" s="9">
        <v>145.0</v>
      </c>
      <c r="B146" s="161" t="s">
        <v>5515</v>
      </c>
      <c r="C146" s="169" t="s">
        <v>5516</v>
      </c>
      <c r="D146" s="169" t="s">
        <v>3458</v>
      </c>
      <c r="E146" s="169" t="s">
        <v>1301</v>
      </c>
      <c r="F146" s="169" t="s">
        <v>5517</v>
      </c>
      <c r="G146" s="162">
        <v>45382.0</v>
      </c>
      <c r="H146" s="12">
        <v>45383.0</v>
      </c>
      <c r="I146" s="163" t="s">
        <v>25</v>
      </c>
      <c r="J146" s="163" t="s">
        <v>5173</v>
      </c>
      <c r="K146" s="163" t="s">
        <v>31</v>
      </c>
      <c r="L146" s="165"/>
      <c r="M146" s="161"/>
      <c r="N146" s="16" t="s">
        <v>5135</v>
      </c>
      <c r="O146" s="16"/>
      <c r="P146" s="16"/>
      <c r="Q146" s="17"/>
      <c r="R146" s="17"/>
      <c r="S146" s="17"/>
      <c r="T146" s="17"/>
      <c r="U146" s="17"/>
      <c r="V146" s="17"/>
      <c r="W146" s="17"/>
      <c r="X146" s="17"/>
      <c r="Y146" s="17"/>
    </row>
    <row r="147" ht="18.75" customHeight="1">
      <c r="A147" s="9">
        <v>146.0</v>
      </c>
      <c r="B147" s="161" t="s">
        <v>5518</v>
      </c>
      <c r="C147" s="169" t="s">
        <v>5519</v>
      </c>
      <c r="D147" s="169" t="s">
        <v>1749</v>
      </c>
      <c r="E147" s="169" t="s">
        <v>1652</v>
      </c>
      <c r="F147" s="169" t="s">
        <v>5520</v>
      </c>
      <c r="G147" s="162">
        <v>45382.0</v>
      </c>
      <c r="H147" s="162">
        <v>45383.0</v>
      </c>
      <c r="I147" s="163" t="s">
        <v>119</v>
      </c>
      <c r="J147" s="163" t="s">
        <v>5420</v>
      </c>
      <c r="K147" s="163" t="s">
        <v>31</v>
      </c>
      <c r="L147" s="165"/>
      <c r="M147" s="161"/>
      <c r="N147" s="16" t="s">
        <v>5135</v>
      </c>
      <c r="O147" s="16"/>
      <c r="P147" s="16"/>
      <c r="Q147" s="17"/>
      <c r="R147" s="17"/>
      <c r="S147" s="17"/>
      <c r="T147" s="17"/>
      <c r="U147" s="17"/>
      <c r="V147" s="17"/>
      <c r="W147" s="17"/>
      <c r="X147" s="17"/>
      <c r="Y147" s="17"/>
    </row>
    <row r="148" ht="18.75" customHeight="1">
      <c r="A148" s="9">
        <v>147.0</v>
      </c>
      <c r="B148" s="161" t="s">
        <v>1200</v>
      </c>
      <c r="C148" s="169" t="s">
        <v>1201</v>
      </c>
      <c r="D148" s="169" t="s">
        <v>1202</v>
      </c>
      <c r="E148" s="169" t="s">
        <v>1203</v>
      </c>
      <c r="F148" s="169" t="s">
        <v>5521</v>
      </c>
      <c r="G148" s="162">
        <v>45382.0</v>
      </c>
      <c r="H148" s="12">
        <v>45383.0</v>
      </c>
      <c r="I148" s="163" t="s">
        <v>119</v>
      </c>
      <c r="J148" s="163" t="s">
        <v>37</v>
      </c>
      <c r="K148" s="163" t="s">
        <v>31</v>
      </c>
      <c r="L148" s="165"/>
      <c r="M148" s="161"/>
      <c r="N148" s="16" t="s">
        <v>5135</v>
      </c>
      <c r="O148" s="16"/>
      <c r="P148" s="16"/>
      <c r="Q148" s="17"/>
      <c r="R148" s="17"/>
      <c r="S148" s="17"/>
      <c r="T148" s="17"/>
      <c r="U148" s="17"/>
      <c r="V148" s="17"/>
      <c r="W148" s="17"/>
      <c r="X148" s="17"/>
      <c r="Y148" s="17"/>
    </row>
    <row r="149" ht="18.75" customHeight="1">
      <c r="A149" s="9">
        <v>148.0</v>
      </c>
      <c r="B149" s="161" t="s">
        <v>5522</v>
      </c>
      <c r="C149" s="169" t="s">
        <v>5523</v>
      </c>
      <c r="D149" s="169" t="s">
        <v>122</v>
      </c>
      <c r="E149" s="169" t="s">
        <v>5524</v>
      </c>
      <c r="F149" s="169" t="s">
        <v>5525</v>
      </c>
      <c r="G149" s="162">
        <v>45382.0</v>
      </c>
      <c r="H149" s="162">
        <v>45383.0</v>
      </c>
      <c r="I149" s="163" t="s">
        <v>119</v>
      </c>
      <c r="J149" s="163" t="s">
        <v>5173</v>
      </c>
      <c r="K149" s="163" t="s">
        <v>31</v>
      </c>
      <c r="L149" s="165"/>
      <c r="M149" s="161"/>
      <c r="N149" s="16" t="s">
        <v>5135</v>
      </c>
      <c r="O149" s="16"/>
      <c r="P149" s="16"/>
      <c r="Q149" s="17"/>
      <c r="R149" s="17"/>
      <c r="S149" s="17"/>
      <c r="T149" s="17"/>
      <c r="U149" s="17"/>
      <c r="V149" s="17"/>
      <c r="W149" s="17"/>
      <c r="X149" s="17"/>
      <c r="Y149" s="17"/>
    </row>
    <row r="150" ht="18.75" customHeight="1">
      <c r="A150" s="9">
        <v>149.0</v>
      </c>
      <c r="B150" s="161" t="s">
        <v>5526</v>
      </c>
      <c r="C150" s="169" t="s">
        <v>5527</v>
      </c>
      <c r="D150" s="169" t="s">
        <v>122</v>
      </c>
      <c r="E150" s="169" t="s">
        <v>1116</v>
      </c>
      <c r="F150" s="169" t="s">
        <v>5528</v>
      </c>
      <c r="G150" s="162">
        <v>45382.0</v>
      </c>
      <c r="H150" s="175">
        <v>45383.0</v>
      </c>
      <c r="I150" s="163" t="s">
        <v>119</v>
      </c>
      <c r="J150" s="163" t="s">
        <v>5173</v>
      </c>
      <c r="K150" s="163" t="s">
        <v>31</v>
      </c>
      <c r="L150" s="165"/>
      <c r="M150" s="161"/>
      <c r="N150" s="16" t="s">
        <v>5135</v>
      </c>
      <c r="O150" s="16"/>
      <c r="P150" s="16"/>
      <c r="Q150" s="17"/>
      <c r="R150" s="17"/>
      <c r="S150" s="17"/>
      <c r="T150" s="17"/>
      <c r="U150" s="17"/>
      <c r="V150" s="17"/>
      <c r="W150" s="17"/>
      <c r="X150" s="17"/>
      <c r="Y150" s="17"/>
    </row>
    <row r="151" ht="18.75" customHeight="1">
      <c r="A151" s="9">
        <v>150.0</v>
      </c>
      <c r="B151" s="161" t="s">
        <v>5529</v>
      </c>
      <c r="C151" s="169" t="s">
        <v>5530</v>
      </c>
      <c r="D151" s="169" t="s">
        <v>65</v>
      </c>
      <c r="E151" s="169" t="s">
        <v>5531</v>
      </c>
      <c r="F151" s="169" t="s">
        <v>5532</v>
      </c>
      <c r="G151" s="162">
        <v>45382.0</v>
      </c>
      <c r="H151" s="162">
        <v>45383.0</v>
      </c>
      <c r="I151" s="163" t="s">
        <v>119</v>
      </c>
      <c r="J151" s="163" t="s">
        <v>5173</v>
      </c>
      <c r="K151" s="163" t="s">
        <v>31</v>
      </c>
      <c r="L151" s="165"/>
      <c r="M151" s="161"/>
      <c r="N151" s="16" t="s">
        <v>5135</v>
      </c>
      <c r="O151" s="16"/>
      <c r="P151" s="16"/>
      <c r="Q151" s="17"/>
      <c r="R151" s="17"/>
      <c r="S151" s="17"/>
      <c r="T151" s="17"/>
      <c r="U151" s="17"/>
      <c r="V151" s="17"/>
      <c r="W151" s="17"/>
      <c r="X151" s="17"/>
      <c r="Y151" s="17"/>
    </row>
    <row r="152" ht="18.75" customHeight="1">
      <c r="A152" s="9">
        <v>151.0</v>
      </c>
      <c r="B152" s="161" t="s">
        <v>5533</v>
      </c>
      <c r="C152" s="169" t="s">
        <v>5534</v>
      </c>
      <c r="D152" s="169" t="s">
        <v>313</v>
      </c>
      <c r="E152" s="169" t="s">
        <v>5415</v>
      </c>
      <c r="F152" s="169" t="s">
        <v>5535</v>
      </c>
      <c r="G152" s="162">
        <v>45382.0</v>
      </c>
      <c r="H152" s="162">
        <v>45383.0</v>
      </c>
      <c r="I152" s="163" t="s">
        <v>119</v>
      </c>
      <c r="J152" s="163" t="s">
        <v>5173</v>
      </c>
      <c r="K152" s="163" t="s">
        <v>31</v>
      </c>
      <c r="L152" s="165"/>
      <c r="M152" s="161"/>
      <c r="N152" s="16" t="s">
        <v>5135</v>
      </c>
      <c r="O152" s="16"/>
      <c r="P152" s="16"/>
      <c r="Q152" s="17"/>
      <c r="R152" s="17"/>
      <c r="S152" s="17"/>
      <c r="T152" s="17"/>
      <c r="U152" s="17"/>
      <c r="V152" s="17"/>
      <c r="W152" s="17"/>
      <c r="X152" s="17"/>
      <c r="Y152" s="17"/>
    </row>
    <row r="153" ht="18.75" customHeight="1">
      <c r="A153" s="9">
        <v>152.0</v>
      </c>
      <c r="B153" s="161" t="s">
        <v>1361</v>
      </c>
      <c r="C153" s="169" t="s">
        <v>1362</v>
      </c>
      <c r="D153" s="169" t="s">
        <v>47</v>
      </c>
      <c r="E153" s="169" t="s">
        <v>1644</v>
      </c>
      <c r="F153" s="169" t="s">
        <v>5536</v>
      </c>
      <c r="G153" s="162">
        <v>45382.0</v>
      </c>
      <c r="H153" s="162">
        <v>45383.0</v>
      </c>
      <c r="I153" s="163" t="s">
        <v>119</v>
      </c>
      <c r="J153" s="163" t="s">
        <v>37</v>
      </c>
      <c r="K153" s="163" t="s">
        <v>31</v>
      </c>
      <c r="L153" s="165"/>
      <c r="M153" s="161"/>
      <c r="N153" s="16" t="s">
        <v>5135</v>
      </c>
      <c r="O153" s="16"/>
      <c r="P153" s="16"/>
      <c r="Q153" s="17"/>
      <c r="R153" s="17"/>
      <c r="S153" s="17"/>
      <c r="T153" s="17"/>
      <c r="U153" s="17"/>
      <c r="V153" s="17"/>
      <c r="W153" s="17"/>
      <c r="X153" s="17"/>
      <c r="Y153" s="17"/>
    </row>
    <row r="154" ht="18.75" customHeight="1">
      <c r="A154" s="9">
        <v>153.0</v>
      </c>
      <c r="B154" s="161" t="s">
        <v>5537</v>
      </c>
      <c r="C154" s="169" t="s">
        <v>5538</v>
      </c>
      <c r="D154" s="169" t="s">
        <v>207</v>
      </c>
      <c r="E154" s="169" t="s">
        <v>5539</v>
      </c>
      <c r="F154" s="169" t="s">
        <v>5540</v>
      </c>
      <c r="G154" s="162">
        <v>45385.0</v>
      </c>
      <c r="H154" s="162">
        <v>45386.0</v>
      </c>
      <c r="I154" s="163" t="s">
        <v>119</v>
      </c>
      <c r="J154" s="163" t="s">
        <v>5173</v>
      </c>
      <c r="K154" s="163" t="s">
        <v>31</v>
      </c>
      <c r="L154" s="165"/>
      <c r="M154" s="161"/>
      <c r="N154" s="16" t="s">
        <v>5135</v>
      </c>
      <c r="O154" s="16"/>
      <c r="P154" s="16"/>
      <c r="Q154" s="17"/>
      <c r="R154" s="17"/>
      <c r="S154" s="17"/>
      <c r="T154" s="17"/>
      <c r="U154" s="17"/>
      <c r="V154" s="17"/>
      <c r="W154" s="17"/>
      <c r="X154" s="17"/>
      <c r="Y154" s="17"/>
    </row>
    <row r="155" ht="18.75" customHeight="1">
      <c r="A155" s="9">
        <v>154.0</v>
      </c>
      <c r="B155" s="161" t="s">
        <v>1284</v>
      </c>
      <c r="C155" s="169" t="s">
        <v>1285</v>
      </c>
      <c r="D155" s="169" t="s">
        <v>1286</v>
      </c>
      <c r="E155" s="169" t="s">
        <v>1287</v>
      </c>
      <c r="F155" s="169" t="s">
        <v>5541</v>
      </c>
      <c r="G155" s="162">
        <v>45386.0</v>
      </c>
      <c r="H155" s="162">
        <v>45387.0</v>
      </c>
      <c r="I155" s="163" t="s">
        <v>119</v>
      </c>
      <c r="J155" s="163" t="s">
        <v>37</v>
      </c>
      <c r="K155" s="163" t="s">
        <v>31</v>
      </c>
      <c r="L155" s="165"/>
      <c r="M155" s="161"/>
      <c r="N155" s="16" t="s">
        <v>5135</v>
      </c>
      <c r="O155" s="16"/>
      <c r="P155" s="16"/>
      <c r="Q155" s="17"/>
      <c r="R155" s="17"/>
      <c r="S155" s="17"/>
      <c r="T155" s="17"/>
      <c r="U155" s="17"/>
      <c r="V155" s="17"/>
      <c r="W155" s="17"/>
      <c r="X155" s="17"/>
      <c r="Y155" s="17"/>
    </row>
    <row r="156" ht="18.75" customHeight="1">
      <c r="A156" s="9">
        <v>155.0</v>
      </c>
      <c r="B156" s="161" t="s">
        <v>5542</v>
      </c>
      <c r="C156" s="169" t="s">
        <v>5543</v>
      </c>
      <c r="D156" s="169" t="s">
        <v>790</v>
      </c>
      <c r="E156" s="169" t="s">
        <v>5184</v>
      </c>
      <c r="F156" s="169" t="s">
        <v>5544</v>
      </c>
      <c r="G156" s="162">
        <v>45387.0</v>
      </c>
      <c r="H156" s="162">
        <v>45388.0</v>
      </c>
      <c r="I156" s="163" t="s">
        <v>119</v>
      </c>
      <c r="J156" s="163" t="s">
        <v>5173</v>
      </c>
      <c r="K156" s="163" t="s">
        <v>31</v>
      </c>
      <c r="L156" s="165"/>
      <c r="M156" s="161"/>
      <c r="N156" s="16" t="s">
        <v>5135</v>
      </c>
      <c r="O156" s="16"/>
      <c r="P156" s="16"/>
      <c r="Q156" s="17"/>
      <c r="R156" s="17"/>
      <c r="S156" s="17"/>
      <c r="T156" s="17"/>
      <c r="U156" s="17"/>
      <c r="V156" s="17"/>
      <c r="W156" s="17"/>
      <c r="X156" s="17"/>
      <c r="Y156" s="17"/>
    </row>
    <row r="157" ht="18.75" customHeight="1">
      <c r="A157" s="9">
        <v>156.0</v>
      </c>
      <c r="B157" s="161" t="s">
        <v>5545</v>
      </c>
      <c r="C157" s="169" t="s">
        <v>5546</v>
      </c>
      <c r="D157" s="169" t="s">
        <v>1749</v>
      </c>
      <c r="E157" s="169" t="s">
        <v>1652</v>
      </c>
      <c r="F157" s="169" t="s">
        <v>5547</v>
      </c>
      <c r="G157" s="162">
        <v>45390.0</v>
      </c>
      <c r="H157" s="162">
        <v>45391.0</v>
      </c>
      <c r="I157" s="163" t="s">
        <v>119</v>
      </c>
      <c r="J157" s="163" t="s">
        <v>5420</v>
      </c>
      <c r="K157" s="163" t="s">
        <v>31</v>
      </c>
      <c r="L157" s="165"/>
      <c r="M157" s="161"/>
      <c r="N157" s="16" t="s">
        <v>5135</v>
      </c>
      <c r="O157" s="16"/>
      <c r="P157" s="16"/>
      <c r="Q157" s="17"/>
      <c r="R157" s="17"/>
      <c r="S157" s="17"/>
      <c r="T157" s="17"/>
      <c r="U157" s="17"/>
      <c r="V157" s="17"/>
      <c r="W157" s="17"/>
      <c r="X157" s="17"/>
      <c r="Y157" s="17"/>
    </row>
    <row r="158" ht="18.75" customHeight="1">
      <c r="A158" s="9">
        <v>157.0</v>
      </c>
      <c r="B158" s="161" t="s">
        <v>1127</v>
      </c>
      <c r="C158" s="169" t="s">
        <v>5548</v>
      </c>
      <c r="D158" s="169" t="s">
        <v>1129</v>
      </c>
      <c r="E158" s="169" t="s">
        <v>1130</v>
      </c>
      <c r="F158" s="169" t="s">
        <v>5549</v>
      </c>
      <c r="G158" s="162">
        <v>45397.0</v>
      </c>
      <c r="H158" s="162">
        <v>45398.0</v>
      </c>
      <c r="I158" s="163" t="s">
        <v>25</v>
      </c>
      <c r="J158" s="163" t="s">
        <v>37</v>
      </c>
      <c r="K158" s="163" t="s">
        <v>31</v>
      </c>
      <c r="L158" s="165"/>
      <c r="M158" s="161"/>
      <c r="N158" s="16" t="s">
        <v>5135</v>
      </c>
      <c r="O158" s="16"/>
      <c r="P158" s="16"/>
      <c r="Q158" s="17"/>
      <c r="R158" s="17"/>
      <c r="S158" s="17"/>
      <c r="T158" s="17"/>
      <c r="U158" s="17"/>
      <c r="V158" s="17"/>
      <c r="W158" s="17"/>
      <c r="X158" s="17"/>
      <c r="Y158" s="17"/>
    </row>
    <row r="159" ht="18.75" customHeight="1">
      <c r="A159" s="9">
        <v>158.0</v>
      </c>
      <c r="B159" s="161" t="s">
        <v>1209</v>
      </c>
      <c r="C159" s="169" t="s">
        <v>1210</v>
      </c>
      <c r="D159" s="169" t="s">
        <v>677</v>
      </c>
      <c r="E159" s="169" t="s">
        <v>1211</v>
      </c>
      <c r="F159" s="169" t="s">
        <v>5550</v>
      </c>
      <c r="G159" s="162">
        <v>45397.0</v>
      </c>
      <c r="H159" s="162">
        <v>45398.0</v>
      </c>
      <c r="I159" s="163" t="s">
        <v>119</v>
      </c>
      <c r="J159" s="163" t="s">
        <v>37</v>
      </c>
      <c r="K159" s="163" t="s">
        <v>31</v>
      </c>
      <c r="L159" s="165"/>
      <c r="M159" s="161"/>
      <c r="N159" s="16" t="s">
        <v>5135</v>
      </c>
      <c r="O159" s="16"/>
      <c r="P159" s="16"/>
      <c r="Q159" s="17"/>
      <c r="R159" s="17"/>
      <c r="S159" s="17"/>
      <c r="T159" s="17"/>
      <c r="U159" s="17"/>
      <c r="V159" s="17"/>
      <c r="W159" s="17"/>
      <c r="X159" s="17"/>
      <c r="Y159" s="17"/>
    </row>
    <row r="160" ht="18.75" customHeight="1">
      <c r="A160" s="9">
        <v>159.0</v>
      </c>
      <c r="B160" s="166" t="s">
        <v>1173</v>
      </c>
      <c r="C160" s="170" t="s">
        <v>1174</v>
      </c>
      <c r="D160" s="170" t="s">
        <v>646</v>
      </c>
      <c r="E160" s="170" t="s">
        <v>5551</v>
      </c>
      <c r="F160" s="170" t="s">
        <v>5552</v>
      </c>
      <c r="G160" s="162">
        <v>45397.0</v>
      </c>
      <c r="H160" s="162">
        <v>45398.0</v>
      </c>
      <c r="I160" s="163" t="s">
        <v>21</v>
      </c>
      <c r="J160" s="163" t="s">
        <v>5147</v>
      </c>
      <c r="K160" s="163" t="s">
        <v>531</v>
      </c>
      <c r="L160" s="165"/>
      <c r="M160" s="161"/>
      <c r="N160" s="16"/>
      <c r="O160" s="16"/>
      <c r="P160" s="16"/>
      <c r="Q160" s="17"/>
      <c r="R160" s="17"/>
      <c r="S160" s="17"/>
      <c r="T160" s="17"/>
      <c r="U160" s="17"/>
      <c r="V160" s="17"/>
      <c r="W160" s="17"/>
      <c r="X160" s="17"/>
      <c r="Y160" s="17"/>
    </row>
    <row r="161" ht="18.75" customHeight="1">
      <c r="A161" s="9">
        <v>160.0</v>
      </c>
      <c r="B161" s="161" t="s">
        <v>1164</v>
      </c>
      <c r="C161" s="169" t="s">
        <v>1165</v>
      </c>
      <c r="D161" s="169" t="s">
        <v>1166</v>
      </c>
      <c r="E161" s="169" t="s">
        <v>1167</v>
      </c>
      <c r="F161" s="169" t="s">
        <v>5553</v>
      </c>
      <c r="G161" s="162">
        <v>45398.0</v>
      </c>
      <c r="H161" s="162">
        <v>45399.0</v>
      </c>
      <c r="I161" s="163" t="s">
        <v>25</v>
      </c>
      <c r="J161" s="163" t="s">
        <v>37</v>
      </c>
      <c r="K161" s="163" t="s">
        <v>31</v>
      </c>
      <c r="L161" s="165"/>
      <c r="M161" s="161"/>
      <c r="N161" s="16" t="s">
        <v>5135</v>
      </c>
      <c r="O161" s="16"/>
      <c r="P161" s="16"/>
      <c r="Q161" s="17"/>
      <c r="R161" s="17"/>
      <c r="S161" s="17"/>
      <c r="T161" s="17"/>
      <c r="U161" s="17"/>
      <c r="V161" s="17"/>
      <c r="W161" s="17"/>
      <c r="X161" s="17"/>
      <c r="Y161" s="17"/>
    </row>
    <row r="162" ht="18.75" customHeight="1">
      <c r="A162" s="9">
        <v>161.0</v>
      </c>
      <c r="B162" s="161" t="s">
        <v>1186</v>
      </c>
      <c r="C162" s="169" t="s">
        <v>1187</v>
      </c>
      <c r="D162" s="169" t="s">
        <v>65</v>
      </c>
      <c r="E162" s="169" t="s">
        <v>5551</v>
      </c>
      <c r="F162" s="169" t="s">
        <v>5554</v>
      </c>
      <c r="G162" s="162">
        <v>45399.0</v>
      </c>
      <c r="H162" s="162">
        <v>45400.0</v>
      </c>
      <c r="I162" s="163" t="s">
        <v>119</v>
      </c>
      <c r="J162" s="163" t="s">
        <v>37</v>
      </c>
      <c r="K162" s="163" t="s">
        <v>31</v>
      </c>
      <c r="L162" s="165"/>
      <c r="M162" s="161"/>
      <c r="N162" s="16" t="s">
        <v>5135</v>
      </c>
      <c r="O162" s="16"/>
      <c r="P162" s="16"/>
      <c r="Q162" s="17"/>
      <c r="R162" s="17"/>
      <c r="S162" s="17"/>
      <c r="T162" s="17"/>
      <c r="U162" s="17"/>
      <c r="V162" s="17"/>
      <c r="W162" s="17"/>
      <c r="X162" s="17"/>
      <c r="Y162" s="17"/>
    </row>
    <row r="163" ht="18.75" customHeight="1">
      <c r="A163" s="9">
        <v>162.0</v>
      </c>
      <c r="B163" s="161" t="s">
        <v>1347</v>
      </c>
      <c r="C163" s="169" t="s">
        <v>1348</v>
      </c>
      <c r="D163" s="169" t="s">
        <v>328</v>
      </c>
      <c r="E163" s="169" t="s">
        <v>1349</v>
      </c>
      <c r="F163" s="169" t="s">
        <v>5555</v>
      </c>
      <c r="G163" s="162">
        <v>45399.0</v>
      </c>
      <c r="H163" s="162">
        <v>45400.0</v>
      </c>
      <c r="I163" s="163" t="s">
        <v>25</v>
      </c>
      <c r="J163" s="163" t="s">
        <v>37</v>
      </c>
      <c r="K163" s="163" t="s">
        <v>31</v>
      </c>
      <c r="L163" s="165"/>
      <c r="M163" s="161"/>
      <c r="N163" s="16" t="s">
        <v>5135</v>
      </c>
      <c r="O163" s="16"/>
      <c r="P163" s="16"/>
      <c r="Q163" s="17"/>
      <c r="R163" s="17"/>
      <c r="S163" s="17"/>
      <c r="T163" s="17"/>
      <c r="U163" s="17"/>
      <c r="V163" s="17"/>
      <c r="W163" s="17"/>
      <c r="X163" s="17"/>
      <c r="Y163" s="17"/>
    </row>
    <row r="164" ht="18.75" customHeight="1">
      <c r="A164" s="9">
        <v>163.0</v>
      </c>
      <c r="B164" s="161" t="s">
        <v>1280</v>
      </c>
      <c r="C164" s="169" t="s">
        <v>1281</v>
      </c>
      <c r="D164" s="169" t="s">
        <v>173</v>
      </c>
      <c r="E164" s="169" t="s">
        <v>5556</v>
      </c>
      <c r="F164" s="169" t="s">
        <v>5557</v>
      </c>
      <c r="G164" s="162">
        <v>45403.0</v>
      </c>
      <c r="H164" s="162">
        <v>45404.0</v>
      </c>
      <c r="I164" s="163" t="s">
        <v>25</v>
      </c>
      <c r="J164" s="163" t="s">
        <v>37</v>
      </c>
      <c r="K164" s="163" t="s">
        <v>31</v>
      </c>
      <c r="L164" s="165"/>
      <c r="M164" s="161"/>
      <c r="N164" s="16" t="s">
        <v>5135</v>
      </c>
      <c r="O164" s="16"/>
      <c r="P164" s="16"/>
      <c r="Q164" s="17"/>
      <c r="R164" s="17"/>
      <c r="S164" s="17"/>
      <c r="T164" s="17"/>
      <c r="U164" s="17"/>
      <c r="V164" s="17"/>
      <c r="W164" s="17"/>
      <c r="X164" s="17"/>
      <c r="Y164" s="17"/>
    </row>
    <row r="165" ht="18.75" customHeight="1">
      <c r="A165" s="9">
        <v>164.0</v>
      </c>
      <c r="B165" s="161" t="s">
        <v>1519</v>
      </c>
      <c r="C165" s="169" t="s">
        <v>1520</v>
      </c>
      <c r="D165" s="169" t="s">
        <v>1468</v>
      </c>
      <c r="E165" s="169" t="s">
        <v>1521</v>
      </c>
      <c r="F165" s="169"/>
      <c r="G165" s="162">
        <v>45382.0</v>
      </c>
      <c r="H165" s="162">
        <v>45383.0</v>
      </c>
      <c r="I165" s="163" t="s">
        <v>25</v>
      </c>
      <c r="J165" s="163" t="s">
        <v>37</v>
      </c>
      <c r="K165" s="163" t="s">
        <v>31</v>
      </c>
      <c r="L165" s="165"/>
      <c r="M165" s="161"/>
      <c r="N165" s="16" t="s">
        <v>5135</v>
      </c>
      <c r="O165" s="16"/>
      <c r="P165" s="16"/>
      <c r="Q165" s="17"/>
      <c r="R165" s="17"/>
      <c r="S165" s="17"/>
      <c r="T165" s="17"/>
      <c r="U165" s="17"/>
      <c r="V165" s="17"/>
      <c r="W165" s="17"/>
      <c r="X165" s="17"/>
      <c r="Y165" s="17"/>
    </row>
    <row r="166" ht="18.75" customHeight="1">
      <c r="A166" s="9">
        <v>165.0</v>
      </c>
      <c r="B166" s="161" t="s">
        <v>5558</v>
      </c>
      <c r="C166" s="169" t="s">
        <v>5559</v>
      </c>
      <c r="D166" s="169" t="s">
        <v>5560</v>
      </c>
      <c r="E166" s="169" t="s">
        <v>5224</v>
      </c>
      <c r="F166" s="169" t="s">
        <v>5561</v>
      </c>
      <c r="G166" s="162">
        <v>45382.0</v>
      </c>
      <c r="H166" s="162">
        <v>45383.0</v>
      </c>
      <c r="I166" s="163" t="s">
        <v>25</v>
      </c>
      <c r="J166" s="163" t="s">
        <v>37</v>
      </c>
      <c r="K166" s="163" t="s">
        <v>31</v>
      </c>
      <c r="L166" s="165"/>
      <c r="M166" s="161"/>
      <c r="N166" s="16" t="s">
        <v>5135</v>
      </c>
      <c r="O166" s="16"/>
      <c r="P166" s="16"/>
      <c r="Q166" s="17"/>
      <c r="R166" s="17"/>
      <c r="S166" s="17"/>
      <c r="T166" s="17"/>
      <c r="U166" s="17"/>
      <c r="V166" s="17"/>
      <c r="W166" s="17"/>
      <c r="X166" s="17"/>
      <c r="Y166" s="17"/>
    </row>
    <row r="167" ht="18.75" customHeight="1">
      <c r="A167" s="9">
        <v>166.0</v>
      </c>
      <c r="B167" s="161" t="s">
        <v>5562</v>
      </c>
      <c r="C167" s="169" t="s">
        <v>5563</v>
      </c>
      <c r="D167" s="169" t="s">
        <v>5564</v>
      </c>
      <c r="E167" s="169" t="s">
        <v>5224</v>
      </c>
      <c r="F167" s="169" t="s">
        <v>5565</v>
      </c>
      <c r="G167" s="162">
        <v>45382.0</v>
      </c>
      <c r="H167" s="162">
        <v>45383.0</v>
      </c>
      <c r="I167" s="163" t="s">
        <v>25</v>
      </c>
      <c r="J167" s="163" t="s">
        <v>37</v>
      </c>
      <c r="K167" s="163" t="s">
        <v>31</v>
      </c>
      <c r="L167" s="165"/>
      <c r="M167" s="161"/>
      <c r="N167" s="16" t="s">
        <v>5135</v>
      </c>
      <c r="O167" s="16"/>
      <c r="P167" s="16"/>
      <c r="Q167" s="17"/>
      <c r="R167" s="17"/>
      <c r="S167" s="17"/>
      <c r="T167" s="17"/>
      <c r="U167" s="17"/>
      <c r="V167" s="17"/>
      <c r="W167" s="17"/>
      <c r="X167" s="17"/>
      <c r="Y167" s="17"/>
    </row>
    <row r="168" ht="18.75" customHeight="1">
      <c r="A168" s="9">
        <v>167.0</v>
      </c>
      <c r="B168" s="161" t="s">
        <v>5566</v>
      </c>
      <c r="C168" s="169" t="s">
        <v>5567</v>
      </c>
      <c r="D168" s="169" t="s">
        <v>5568</v>
      </c>
      <c r="E168" s="169" t="s">
        <v>5224</v>
      </c>
      <c r="F168" s="169" t="s">
        <v>5569</v>
      </c>
      <c r="G168" s="162">
        <v>45382.0</v>
      </c>
      <c r="H168" s="162">
        <v>45383.0</v>
      </c>
      <c r="I168" s="163" t="s">
        <v>25</v>
      </c>
      <c r="J168" s="163" t="s">
        <v>37</v>
      </c>
      <c r="K168" s="163" t="s">
        <v>31</v>
      </c>
      <c r="L168" s="165"/>
      <c r="M168" s="161"/>
      <c r="N168" s="16" t="s">
        <v>5135</v>
      </c>
      <c r="O168" s="16"/>
      <c r="P168" s="16"/>
      <c r="Q168" s="17"/>
      <c r="R168" s="17"/>
      <c r="S168" s="17"/>
      <c r="T168" s="17"/>
      <c r="U168" s="17"/>
      <c r="V168" s="17"/>
      <c r="W168" s="17"/>
      <c r="X168" s="17"/>
      <c r="Y168" s="17"/>
    </row>
    <row r="169" ht="18.75" customHeight="1">
      <c r="A169" s="9">
        <v>168.0</v>
      </c>
      <c r="B169" s="161" t="s">
        <v>1523</v>
      </c>
      <c r="C169" s="169" t="s">
        <v>1524</v>
      </c>
      <c r="D169" s="169" t="s">
        <v>1412</v>
      </c>
      <c r="E169" s="169" t="s">
        <v>5570</v>
      </c>
      <c r="F169" s="169" t="s">
        <v>5571</v>
      </c>
      <c r="G169" s="162">
        <v>45356.0</v>
      </c>
      <c r="H169" s="162">
        <v>45388.0</v>
      </c>
      <c r="I169" s="163" t="s">
        <v>119</v>
      </c>
      <c r="J169" s="163" t="s">
        <v>37</v>
      </c>
      <c r="K169" s="163" t="s">
        <v>31</v>
      </c>
      <c r="L169" s="165"/>
      <c r="M169" s="161"/>
      <c r="N169" s="16" t="s">
        <v>5135</v>
      </c>
      <c r="O169" s="16"/>
      <c r="P169" s="16"/>
      <c r="Q169" s="17"/>
      <c r="R169" s="17"/>
      <c r="S169" s="17"/>
      <c r="T169" s="17"/>
      <c r="U169" s="17"/>
      <c r="V169" s="17"/>
      <c r="W169" s="17"/>
      <c r="X169" s="17"/>
      <c r="Y169" s="17"/>
    </row>
    <row r="170" ht="18.75" customHeight="1">
      <c r="A170" s="9">
        <v>169.0</v>
      </c>
      <c r="B170" s="161" t="s">
        <v>1527</v>
      </c>
      <c r="C170" s="169" t="s">
        <v>1528</v>
      </c>
      <c r="D170" s="169" t="s">
        <v>1412</v>
      </c>
      <c r="E170" s="169" t="s">
        <v>1413</v>
      </c>
      <c r="F170" s="169" t="s">
        <v>5572</v>
      </c>
      <c r="G170" s="162">
        <v>45397.0</v>
      </c>
      <c r="H170" s="162">
        <v>45398.0</v>
      </c>
      <c r="I170" s="163" t="s">
        <v>25</v>
      </c>
      <c r="J170" s="163" t="s">
        <v>37</v>
      </c>
      <c r="K170" s="163" t="s">
        <v>31</v>
      </c>
      <c r="L170" s="165"/>
      <c r="M170" s="161"/>
      <c r="N170" s="16" t="s">
        <v>5135</v>
      </c>
      <c r="O170" s="16"/>
      <c r="P170" s="16"/>
      <c r="Q170" s="17"/>
      <c r="R170" s="17"/>
      <c r="S170" s="17"/>
      <c r="T170" s="17"/>
      <c r="U170" s="17"/>
      <c r="V170" s="17"/>
      <c r="W170" s="17"/>
      <c r="X170" s="17"/>
      <c r="Y170" s="17"/>
    </row>
    <row r="171" ht="18.75" customHeight="1">
      <c r="A171" s="9">
        <v>170.0</v>
      </c>
      <c r="B171" s="161" t="s">
        <v>1530</v>
      </c>
      <c r="C171" s="169" t="s">
        <v>1531</v>
      </c>
      <c r="D171" s="169" t="s">
        <v>1412</v>
      </c>
      <c r="E171" s="169" t="s">
        <v>1421</v>
      </c>
      <c r="F171" s="169" t="s">
        <v>5573</v>
      </c>
      <c r="G171" s="162">
        <v>45402.0</v>
      </c>
      <c r="H171" s="162">
        <v>45403.0</v>
      </c>
      <c r="I171" s="163" t="s">
        <v>25</v>
      </c>
      <c r="J171" s="163" t="s">
        <v>37</v>
      </c>
      <c r="K171" s="163" t="s">
        <v>31</v>
      </c>
      <c r="L171" s="165"/>
      <c r="M171" s="161"/>
      <c r="N171" s="16" t="s">
        <v>5135</v>
      </c>
      <c r="O171" s="16"/>
      <c r="P171" s="16"/>
      <c r="Q171" s="17"/>
      <c r="R171" s="17"/>
      <c r="S171" s="17"/>
      <c r="T171" s="17"/>
      <c r="U171" s="17"/>
      <c r="V171" s="17"/>
      <c r="W171" s="17"/>
      <c r="X171" s="17"/>
      <c r="Y171" s="17"/>
    </row>
    <row r="172" ht="18.75" customHeight="1">
      <c r="A172" s="9">
        <v>171.0</v>
      </c>
      <c r="B172" s="161" t="s">
        <v>1272</v>
      </c>
      <c r="C172" s="169" t="s">
        <v>1273</v>
      </c>
      <c r="D172" s="169" t="s">
        <v>71</v>
      </c>
      <c r="E172" s="169" t="s">
        <v>1183</v>
      </c>
      <c r="F172" s="169" t="s">
        <v>5574</v>
      </c>
      <c r="G172" s="162">
        <v>45403.0</v>
      </c>
      <c r="H172" s="162">
        <v>45404.0</v>
      </c>
      <c r="I172" s="163" t="s">
        <v>119</v>
      </c>
      <c r="J172" s="163" t="s">
        <v>37</v>
      </c>
      <c r="K172" s="163" t="s">
        <v>31</v>
      </c>
      <c r="L172" s="165"/>
      <c r="M172" s="174"/>
      <c r="N172" s="16" t="s">
        <v>5135</v>
      </c>
      <c r="O172" s="16"/>
      <c r="P172" s="16"/>
      <c r="Q172" s="17"/>
      <c r="R172" s="17"/>
      <c r="S172" s="17"/>
      <c r="T172" s="17"/>
      <c r="U172" s="17"/>
      <c r="V172" s="17"/>
      <c r="W172" s="17"/>
      <c r="X172" s="17"/>
      <c r="Y172" s="17"/>
    </row>
    <row r="173" ht="18.75" customHeight="1">
      <c r="A173" s="9">
        <v>172.0</v>
      </c>
      <c r="B173" s="161" t="s">
        <v>1533</v>
      </c>
      <c r="C173" s="169" t="s">
        <v>1534</v>
      </c>
      <c r="D173" s="169" t="s">
        <v>1456</v>
      </c>
      <c r="E173" s="169" t="s">
        <v>1438</v>
      </c>
      <c r="F173" s="169" t="s">
        <v>5575</v>
      </c>
      <c r="G173" s="162">
        <v>45406.0</v>
      </c>
      <c r="H173" s="162">
        <v>45407.0</v>
      </c>
      <c r="I173" s="163" t="s">
        <v>25</v>
      </c>
      <c r="J173" s="163" t="s">
        <v>37</v>
      </c>
      <c r="K173" s="163" t="s">
        <v>31</v>
      </c>
      <c r="L173" s="165"/>
      <c r="M173" s="161"/>
      <c r="N173" s="16" t="s">
        <v>5135</v>
      </c>
      <c r="O173" s="16"/>
      <c r="P173" s="16"/>
      <c r="Q173" s="17"/>
      <c r="R173" s="17"/>
      <c r="S173" s="17"/>
      <c r="T173" s="17"/>
      <c r="U173" s="17"/>
      <c r="V173" s="17"/>
      <c r="W173" s="17"/>
      <c r="X173" s="17"/>
      <c r="Y173" s="17"/>
    </row>
    <row r="174" ht="18.75" customHeight="1">
      <c r="A174" s="9">
        <v>173.0</v>
      </c>
      <c r="B174" s="161" t="s">
        <v>1563</v>
      </c>
      <c r="C174" s="169" t="s">
        <v>1564</v>
      </c>
      <c r="D174" s="169" t="s">
        <v>207</v>
      </c>
      <c r="E174" s="169" t="s">
        <v>1565</v>
      </c>
      <c r="F174" s="169" t="s">
        <v>5576</v>
      </c>
      <c r="G174" s="162">
        <v>45399.0</v>
      </c>
      <c r="H174" s="162">
        <v>45400.0</v>
      </c>
      <c r="I174" s="163" t="s">
        <v>119</v>
      </c>
      <c r="J174" s="163" t="s">
        <v>213</v>
      </c>
      <c r="K174" s="163" t="s">
        <v>31</v>
      </c>
      <c r="L174" s="165"/>
      <c r="M174" s="161"/>
      <c r="N174" s="16" t="s">
        <v>5135</v>
      </c>
      <c r="O174" s="16"/>
      <c r="P174" s="16"/>
      <c r="Q174" s="17"/>
      <c r="R174" s="17"/>
      <c r="S174" s="17"/>
      <c r="T174" s="17"/>
      <c r="U174" s="17"/>
      <c r="V174" s="17"/>
      <c r="W174" s="17"/>
      <c r="X174" s="17"/>
      <c r="Y174" s="17"/>
    </row>
    <row r="175" ht="18.75" customHeight="1">
      <c r="A175" s="9">
        <v>174.0</v>
      </c>
      <c r="B175" s="161" t="s">
        <v>1587</v>
      </c>
      <c r="C175" s="169" t="s">
        <v>1588</v>
      </c>
      <c r="D175" s="169" t="s">
        <v>1589</v>
      </c>
      <c r="E175" s="169" t="s">
        <v>5577</v>
      </c>
      <c r="F175" s="169" t="s">
        <v>5578</v>
      </c>
      <c r="G175" s="162">
        <v>45406.0</v>
      </c>
      <c r="H175" s="162">
        <v>45407.0</v>
      </c>
      <c r="I175" s="163" t="s">
        <v>119</v>
      </c>
      <c r="J175" s="163" t="s">
        <v>213</v>
      </c>
      <c r="K175" s="163" t="s">
        <v>31</v>
      </c>
      <c r="L175" s="165"/>
      <c r="M175" s="161"/>
      <c r="N175" s="16" t="s">
        <v>5135</v>
      </c>
      <c r="O175" s="16"/>
      <c r="P175" s="16"/>
      <c r="Q175" s="17"/>
      <c r="R175" s="17"/>
      <c r="S175" s="17"/>
      <c r="T175" s="17"/>
      <c r="U175" s="17"/>
      <c r="V175" s="17"/>
      <c r="W175" s="17"/>
      <c r="X175" s="17"/>
      <c r="Y175" s="17"/>
    </row>
    <row r="176" ht="18.75" customHeight="1">
      <c r="A176" s="9">
        <v>175.0</v>
      </c>
      <c r="B176" s="161" t="s">
        <v>1592</v>
      </c>
      <c r="C176" s="169" t="s">
        <v>1593</v>
      </c>
      <c r="D176" s="169" t="s">
        <v>1412</v>
      </c>
      <c r="E176" s="169" t="s">
        <v>5579</v>
      </c>
      <c r="F176" s="169" t="s">
        <v>5580</v>
      </c>
      <c r="G176" s="162">
        <v>45402.0</v>
      </c>
      <c r="H176" s="162">
        <v>45403.0</v>
      </c>
      <c r="I176" s="163" t="s">
        <v>119</v>
      </c>
      <c r="J176" s="163" t="s">
        <v>213</v>
      </c>
      <c r="K176" s="163" t="s">
        <v>31</v>
      </c>
      <c r="L176" s="165"/>
      <c r="M176" s="161"/>
      <c r="N176" s="16" t="s">
        <v>5135</v>
      </c>
      <c r="O176" s="16"/>
      <c r="P176" s="16"/>
      <c r="Q176" s="17"/>
      <c r="R176" s="17"/>
      <c r="S176" s="17"/>
      <c r="T176" s="17"/>
      <c r="U176" s="17"/>
      <c r="V176" s="17"/>
      <c r="W176" s="17"/>
      <c r="X176" s="17"/>
      <c r="Y176" s="17"/>
    </row>
    <row r="177" ht="18.75" customHeight="1">
      <c r="A177" s="9">
        <v>176.0</v>
      </c>
      <c r="B177" s="161" t="s">
        <v>1256</v>
      </c>
      <c r="C177" s="169" t="s">
        <v>1257</v>
      </c>
      <c r="D177" s="169" t="s">
        <v>342</v>
      </c>
      <c r="E177" s="169" t="s">
        <v>1258</v>
      </c>
      <c r="F177" s="169" t="s">
        <v>5581</v>
      </c>
      <c r="G177" s="162">
        <v>45411.0</v>
      </c>
      <c r="H177" s="162">
        <v>45412.0</v>
      </c>
      <c r="I177" s="163" t="s">
        <v>25</v>
      </c>
      <c r="J177" s="163" t="s">
        <v>37</v>
      </c>
      <c r="K177" s="163" t="s">
        <v>31</v>
      </c>
      <c r="L177" s="165"/>
      <c r="M177" s="161"/>
      <c r="N177" s="16" t="s">
        <v>5135</v>
      </c>
      <c r="O177" s="16"/>
      <c r="P177" s="16"/>
      <c r="Q177" s="17"/>
      <c r="R177" s="17"/>
      <c r="S177" s="17"/>
      <c r="T177" s="17"/>
      <c r="U177" s="17"/>
      <c r="V177" s="17"/>
      <c r="W177" s="17"/>
      <c r="X177" s="17"/>
      <c r="Y177" s="17"/>
    </row>
    <row r="178" ht="18.75" customHeight="1">
      <c r="A178" s="9">
        <v>177.0</v>
      </c>
      <c r="B178" s="161" t="s">
        <v>1217</v>
      </c>
      <c r="C178" s="169" t="s">
        <v>1218</v>
      </c>
      <c r="D178" s="169" t="s">
        <v>1219</v>
      </c>
      <c r="E178" s="169" t="s">
        <v>1220</v>
      </c>
      <c r="F178" s="169" t="s">
        <v>5582</v>
      </c>
      <c r="G178" s="162">
        <v>45412.0</v>
      </c>
      <c r="H178" s="162">
        <v>45413.0</v>
      </c>
      <c r="I178" s="163" t="s">
        <v>25</v>
      </c>
      <c r="J178" s="163" t="s">
        <v>37</v>
      </c>
      <c r="K178" s="163" t="s">
        <v>31</v>
      </c>
      <c r="L178" s="165"/>
      <c r="M178" s="161"/>
      <c r="N178" s="16" t="s">
        <v>5135</v>
      </c>
      <c r="O178" s="16"/>
      <c r="P178" s="16"/>
      <c r="Q178" s="17"/>
      <c r="R178" s="17"/>
      <c r="S178" s="17"/>
      <c r="T178" s="17"/>
      <c r="U178" s="17"/>
      <c r="V178" s="17"/>
      <c r="W178" s="17"/>
      <c r="X178" s="17"/>
      <c r="Y178" s="17"/>
    </row>
    <row r="179" ht="18.75" customHeight="1">
      <c r="A179" s="9">
        <v>178.0</v>
      </c>
      <c r="B179" s="161" t="s">
        <v>1303</v>
      </c>
      <c r="C179" s="169" t="s">
        <v>1304</v>
      </c>
      <c r="D179" s="169" t="s">
        <v>1305</v>
      </c>
      <c r="E179" s="169" t="s">
        <v>1306</v>
      </c>
      <c r="F179" s="169" t="s">
        <v>5583</v>
      </c>
      <c r="G179" s="162">
        <v>45412.0</v>
      </c>
      <c r="H179" s="162">
        <v>45413.0</v>
      </c>
      <c r="I179" s="163" t="s">
        <v>119</v>
      </c>
      <c r="J179" s="163" t="s">
        <v>37</v>
      </c>
      <c r="K179" s="163" t="s">
        <v>31</v>
      </c>
      <c r="L179" s="165"/>
      <c r="M179" s="161"/>
      <c r="N179" s="16" t="s">
        <v>5135</v>
      </c>
      <c r="O179" s="16"/>
      <c r="P179" s="16"/>
      <c r="Q179" s="17"/>
      <c r="R179" s="17"/>
      <c r="S179" s="17"/>
      <c r="T179" s="17"/>
      <c r="U179" s="17"/>
      <c r="V179" s="17"/>
      <c r="W179" s="17"/>
      <c r="X179" s="17"/>
      <c r="Y179" s="17"/>
    </row>
    <row r="180" ht="18.75" customHeight="1">
      <c r="A180" s="9">
        <v>179.0</v>
      </c>
      <c r="B180" s="161" t="s">
        <v>1308</v>
      </c>
      <c r="C180" s="169" t="s">
        <v>1309</v>
      </c>
      <c r="D180" s="169" t="s">
        <v>1310</v>
      </c>
      <c r="E180" s="169" t="s">
        <v>1311</v>
      </c>
      <c r="F180" s="169" t="s">
        <v>5584</v>
      </c>
      <c r="G180" s="162">
        <v>45412.0</v>
      </c>
      <c r="H180" s="162">
        <v>45413.0</v>
      </c>
      <c r="I180" s="163" t="s">
        <v>25</v>
      </c>
      <c r="J180" s="163" t="s">
        <v>37</v>
      </c>
      <c r="K180" s="163" t="s">
        <v>31</v>
      </c>
      <c r="L180" s="165"/>
      <c r="M180" s="161"/>
      <c r="N180" s="16" t="s">
        <v>5135</v>
      </c>
      <c r="O180" s="16"/>
      <c r="P180" s="16"/>
      <c r="Q180" s="17"/>
      <c r="R180" s="17"/>
      <c r="S180" s="17"/>
      <c r="T180" s="17"/>
      <c r="U180" s="17"/>
      <c r="V180" s="17"/>
      <c r="W180" s="17"/>
      <c r="X180" s="17"/>
      <c r="Y180" s="17"/>
    </row>
    <row r="181" ht="18.75" customHeight="1">
      <c r="A181" s="9">
        <v>180.0</v>
      </c>
      <c r="B181" s="161" t="s">
        <v>1299</v>
      </c>
      <c r="C181" s="169" t="s">
        <v>1300</v>
      </c>
      <c r="D181" s="169" t="s">
        <v>429</v>
      </c>
      <c r="E181" s="169" t="s">
        <v>1301</v>
      </c>
      <c r="F181" s="169" t="s">
        <v>5585</v>
      </c>
      <c r="G181" s="162">
        <v>45412.0</v>
      </c>
      <c r="H181" s="162">
        <v>45413.0</v>
      </c>
      <c r="I181" s="163" t="s">
        <v>119</v>
      </c>
      <c r="J181" s="163" t="s">
        <v>37</v>
      </c>
      <c r="K181" s="163" t="s">
        <v>31</v>
      </c>
      <c r="L181" s="165"/>
      <c r="M181" s="161"/>
      <c r="N181" s="16" t="s">
        <v>5135</v>
      </c>
      <c r="O181" s="16"/>
      <c r="P181" s="16"/>
      <c r="Q181" s="17"/>
      <c r="R181" s="17"/>
      <c r="S181" s="17"/>
      <c r="T181" s="17"/>
      <c r="U181" s="17"/>
      <c r="V181" s="17"/>
      <c r="W181" s="17"/>
      <c r="X181" s="17"/>
      <c r="Y181" s="17"/>
    </row>
    <row r="182" ht="18.75" customHeight="1">
      <c r="A182" s="9">
        <v>181.0</v>
      </c>
      <c r="B182" s="161" t="s">
        <v>1294</v>
      </c>
      <c r="C182" s="169" t="s">
        <v>1295</v>
      </c>
      <c r="D182" s="169" t="s">
        <v>1296</v>
      </c>
      <c r="E182" s="169" t="s">
        <v>1297</v>
      </c>
      <c r="F182" s="169" t="s">
        <v>5586</v>
      </c>
      <c r="G182" s="162">
        <v>45412.0</v>
      </c>
      <c r="H182" s="162">
        <v>45413.0</v>
      </c>
      <c r="I182" s="163" t="s">
        <v>119</v>
      </c>
      <c r="J182" s="163" t="s">
        <v>37</v>
      </c>
      <c r="K182" s="163" t="s">
        <v>31</v>
      </c>
      <c r="L182" s="165"/>
      <c r="M182" s="161"/>
      <c r="N182" s="16" t="s">
        <v>5135</v>
      </c>
      <c r="O182" s="16"/>
      <c r="P182" s="16"/>
      <c r="Q182" s="17"/>
      <c r="R182" s="17"/>
      <c r="S182" s="17"/>
      <c r="T182" s="17"/>
      <c r="U182" s="17"/>
      <c r="V182" s="17"/>
      <c r="W182" s="17"/>
      <c r="X182" s="17"/>
      <c r="Y182" s="17"/>
    </row>
    <row r="183" ht="18.75" customHeight="1">
      <c r="A183" s="9">
        <v>182.0</v>
      </c>
      <c r="B183" s="161" t="s">
        <v>1205</v>
      </c>
      <c r="C183" s="169" t="s">
        <v>1206</v>
      </c>
      <c r="D183" s="169" t="s">
        <v>153</v>
      </c>
      <c r="E183" s="169" t="s">
        <v>1207</v>
      </c>
      <c r="F183" s="169" t="s">
        <v>5587</v>
      </c>
      <c r="G183" s="162">
        <v>45412.0</v>
      </c>
      <c r="H183" s="162">
        <v>45413.0</v>
      </c>
      <c r="I183" s="163" t="s">
        <v>25</v>
      </c>
      <c r="J183" s="163" t="s">
        <v>37</v>
      </c>
      <c r="K183" s="163" t="s">
        <v>31</v>
      </c>
      <c r="L183" s="165"/>
      <c r="M183" s="161"/>
      <c r="N183" s="16" t="s">
        <v>5135</v>
      </c>
      <c r="O183" s="16"/>
      <c r="P183" s="16"/>
      <c r="Q183" s="17"/>
      <c r="R183" s="17"/>
      <c r="S183" s="17"/>
      <c r="T183" s="17"/>
      <c r="U183" s="17"/>
      <c r="V183" s="17"/>
      <c r="W183" s="17"/>
      <c r="X183" s="17"/>
      <c r="Y183" s="17"/>
    </row>
    <row r="184" ht="18.75" customHeight="1">
      <c r="A184" s="9">
        <v>183.0</v>
      </c>
      <c r="B184" s="161" t="s">
        <v>1213</v>
      </c>
      <c r="C184" s="169" t="s">
        <v>1214</v>
      </c>
      <c r="D184" s="169" t="s">
        <v>682</v>
      </c>
      <c r="E184" s="169" t="s">
        <v>1215</v>
      </c>
      <c r="F184" s="169" t="s">
        <v>5588</v>
      </c>
      <c r="G184" s="162">
        <v>45412.0</v>
      </c>
      <c r="H184" s="162">
        <v>45413.0</v>
      </c>
      <c r="I184" s="163" t="s">
        <v>25</v>
      </c>
      <c r="J184" s="163" t="s">
        <v>37</v>
      </c>
      <c r="K184" s="163" t="s">
        <v>31</v>
      </c>
      <c r="L184" s="165"/>
      <c r="M184" s="161"/>
      <c r="N184" s="16" t="s">
        <v>5135</v>
      </c>
      <c r="O184" s="16"/>
      <c r="P184" s="16"/>
      <c r="Q184" s="17"/>
      <c r="R184" s="17"/>
      <c r="S184" s="17"/>
      <c r="T184" s="17"/>
      <c r="U184" s="17"/>
      <c r="V184" s="17"/>
      <c r="W184" s="17"/>
      <c r="X184" s="17"/>
      <c r="Y184" s="17"/>
    </row>
    <row r="185" ht="18.75" customHeight="1">
      <c r="A185" s="9">
        <v>184.0</v>
      </c>
      <c r="B185" s="161" t="s">
        <v>1189</v>
      </c>
      <c r="C185" s="169" t="s">
        <v>1190</v>
      </c>
      <c r="D185" s="169" t="s">
        <v>1191</v>
      </c>
      <c r="E185" s="169" t="s">
        <v>1192</v>
      </c>
      <c r="F185" s="169" t="s">
        <v>5589</v>
      </c>
      <c r="G185" s="162">
        <v>45412.0</v>
      </c>
      <c r="H185" s="162">
        <v>45413.0</v>
      </c>
      <c r="I185" s="163" t="s">
        <v>119</v>
      </c>
      <c r="J185" s="163" t="s">
        <v>37</v>
      </c>
      <c r="K185" s="163" t="s">
        <v>31</v>
      </c>
      <c r="L185" s="165"/>
      <c r="M185" s="174"/>
      <c r="N185" s="16" t="s">
        <v>5135</v>
      </c>
      <c r="O185" s="16"/>
      <c r="P185" s="16"/>
      <c r="Q185" s="17"/>
      <c r="R185" s="17"/>
      <c r="S185" s="17"/>
      <c r="T185" s="17"/>
      <c r="U185" s="17"/>
      <c r="V185" s="17"/>
      <c r="W185" s="17"/>
      <c r="X185" s="17"/>
      <c r="Y185" s="17"/>
    </row>
    <row r="186" ht="18.75" customHeight="1">
      <c r="A186" s="9">
        <v>185.0</v>
      </c>
      <c r="B186" s="161" t="s">
        <v>1195</v>
      </c>
      <c r="C186" s="169" t="s">
        <v>1196</v>
      </c>
      <c r="D186" s="169" t="s">
        <v>1197</v>
      </c>
      <c r="E186" s="169" t="s">
        <v>154</v>
      </c>
      <c r="F186" s="169" t="s">
        <v>5590</v>
      </c>
      <c r="G186" s="162">
        <v>45412.0</v>
      </c>
      <c r="H186" s="162">
        <v>45413.0</v>
      </c>
      <c r="I186" s="163" t="s">
        <v>119</v>
      </c>
      <c r="J186" s="163" t="s">
        <v>37</v>
      </c>
      <c r="K186" s="163" t="s">
        <v>31</v>
      </c>
      <c r="L186" s="165"/>
      <c r="M186" s="161"/>
      <c r="N186" s="16" t="s">
        <v>5135</v>
      </c>
      <c r="O186" s="16"/>
      <c r="P186" s="16"/>
      <c r="Q186" s="17"/>
      <c r="R186" s="17"/>
      <c r="S186" s="17"/>
      <c r="T186" s="17"/>
      <c r="U186" s="17"/>
      <c r="V186" s="17"/>
      <c r="W186" s="17"/>
      <c r="X186" s="17"/>
      <c r="Y186" s="17"/>
    </row>
    <row r="187" ht="18.75" customHeight="1">
      <c r="A187" s="9">
        <v>186.0</v>
      </c>
      <c r="B187" s="161" t="s">
        <v>1226</v>
      </c>
      <c r="C187" s="169" t="s">
        <v>1227</v>
      </c>
      <c r="D187" s="169" t="s">
        <v>328</v>
      </c>
      <c r="E187" s="169" t="s">
        <v>1228</v>
      </c>
      <c r="F187" s="169" t="s">
        <v>5591</v>
      </c>
      <c r="G187" s="162">
        <v>45412.0</v>
      </c>
      <c r="H187" s="162">
        <v>45413.0</v>
      </c>
      <c r="I187" s="163" t="s">
        <v>25</v>
      </c>
      <c r="J187" s="163" t="s">
        <v>37</v>
      </c>
      <c r="K187" s="163" t="s">
        <v>31</v>
      </c>
      <c r="L187" s="165"/>
      <c r="M187" s="161"/>
      <c r="N187" s="16" t="s">
        <v>5135</v>
      </c>
      <c r="O187" s="16"/>
      <c r="P187" s="16"/>
      <c r="Q187" s="17"/>
      <c r="R187" s="17"/>
      <c r="S187" s="17"/>
      <c r="T187" s="17"/>
      <c r="U187" s="17"/>
      <c r="V187" s="17"/>
      <c r="W187" s="17"/>
      <c r="X187" s="17"/>
      <c r="Y187" s="17"/>
    </row>
    <row r="188" ht="18.75" customHeight="1">
      <c r="A188" s="9">
        <v>187.0</v>
      </c>
      <c r="B188" s="161" t="s">
        <v>1230</v>
      </c>
      <c r="C188" s="169" t="s">
        <v>1231</v>
      </c>
      <c r="D188" s="169" t="s">
        <v>42</v>
      </c>
      <c r="E188" s="169" t="s">
        <v>1232</v>
      </c>
      <c r="F188" s="169" t="s">
        <v>5592</v>
      </c>
      <c r="G188" s="162">
        <v>45412.0</v>
      </c>
      <c r="H188" s="162">
        <v>45413.0</v>
      </c>
      <c r="I188" s="163" t="s">
        <v>25</v>
      </c>
      <c r="J188" s="163" t="s">
        <v>37</v>
      </c>
      <c r="K188" s="163" t="s">
        <v>31</v>
      </c>
      <c r="L188" s="165"/>
      <c r="M188" s="161"/>
      <c r="N188" s="16" t="s">
        <v>5135</v>
      </c>
      <c r="O188" s="16"/>
      <c r="P188" s="16"/>
      <c r="Q188" s="17"/>
      <c r="R188" s="17"/>
      <c r="S188" s="17"/>
      <c r="T188" s="17"/>
      <c r="U188" s="17"/>
      <c r="V188" s="17"/>
      <c r="W188" s="17"/>
      <c r="X188" s="17"/>
      <c r="Y188" s="17"/>
    </row>
    <row r="189" ht="18.75" customHeight="1">
      <c r="A189" s="9">
        <v>188.0</v>
      </c>
      <c r="B189" s="161" t="s">
        <v>1235</v>
      </c>
      <c r="C189" s="169" t="s">
        <v>1236</v>
      </c>
      <c r="D189" s="169" t="s">
        <v>42</v>
      </c>
      <c r="E189" s="169" t="s">
        <v>1192</v>
      </c>
      <c r="F189" s="169" t="s">
        <v>5593</v>
      </c>
      <c r="G189" s="162">
        <v>45412.0</v>
      </c>
      <c r="H189" s="162">
        <v>45413.0</v>
      </c>
      <c r="I189" s="163" t="s">
        <v>25</v>
      </c>
      <c r="J189" s="163" t="s">
        <v>37</v>
      </c>
      <c r="K189" s="163" t="s">
        <v>31</v>
      </c>
      <c r="L189" s="165"/>
      <c r="M189" s="161"/>
      <c r="N189" s="16" t="s">
        <v>5135</v>
      </c>
      <c r="O189" s="16"/>
      <c r="P189" s="16"/>
      <c r="Q189" s="17"/>
      <c r="R189" s="17"/>
      <c r="S189" s="17"/>
      <c r="T189" s="17"/>
      <c r="U189" s="17"/>
      <c r="V189" s="17"/>
      <c r="W189" s="17"/>
      <c r="X189" s="17"/>
      <c r="Y189" s="17"/>
    </row>
    <row r="190" ht="18.75" customHeight="1">
      <c r="A190" s="9">
        <v>189.0</v>
      </c>
      <c r="B190" s="161" t="s">
        <v>1239</v>
      </c>
      <c r="C190" s="169" t="s">
        <v>1240</v>
      </c>
      <c r="D190" s="169" t="s">
        <v>128</v>
      </c>
      <c r="E190" s="169" t="s">
        <v>1241</v>
      </c>
      <c r="F190" s="169" t="s">
        <v>5594</v>
      </c>
      <c r="G190" s="162">
        <v>45412.0</v>
      </c>
      <c r="H190" s="162">
        <v>45413.0</v>
      </c>
      <c r="I190" s="163" t="s">
        <v>25</v>
      </c>
      <c r="J190" s="163" t="s">
        <v>37</v>
      </c>
      <c r="K190" s="163" t="s">
        <v>31</v>
      </c>
      <c r="L190" s="165"/>
      <c r="M190" s="161"/>
      <c r="N190" s="16" t="s">
        <v>5135</v>
      </c>
      <c r="O190" s="16"/>
      <c r="P190" s="16"/>
      <c r="Q190" s="17"/>
      <c r="R190" s="17"/>
      <c r="S190" s="17"/>
      <c r="T190" s="17"/>
      <c r="U190" s="17"/>
      <c r="V190" s="17"/>
      <c r="W190" s="17"/>
      <c r="X190" s="17"/>
      <c r="Y190" s="17"/>
    </row>
    <row r="191" ht="18.75" customHeight="1">
      <c r="A191" s="9">
        <v>190.0</v>
      </c>
      <c r="B191" s="161" t="s">
        <v>1244</v>
      </c>
      <c r="C191" s="169" t="s">
        <v>1245</v>
      </c>
      <c r="D191" s="169" t="s">
        <v>1246</v>
      </c>
      <c r="E191" s="169" t="s">
        <v>1247</v>
      </c>
      <c r="F191" s="169" t="s">
        <v>5595</v>
      </c>
      <c r="G191" s="162">
        <v>45412.0</v>
      </c>
      <c r="H191" s="162">
        <v>45413.0</v>
      </c>
      <c r="I191" s="163" t="s">
        <v>119</v>
      </c>
      <c r="J191" s="163" t="s">
        <v>37</v>
      </c>
      <c r="K191" s="163" t="s">
        <v>31</v>
      </c>
      <c r="L191" s="165"/>
      <c r="M191" s="161"/>
      <c r="N191" s="16" t="s">
        <v>5135</v>
      </c>
      <c r="O191" s="16"/>
      <c r="P191" s="16"/>
      <c r="Q191" s="17"/>
      <c r="R191" s="17"/>
      <c r="S191" s="17"/>
      <c r="T191" s="17"/>
      <c r="U191" s="17"/>
      <c r="V191" s="17"/>
      <c r="W191" s="17"/>
      <c r="X191" s="17"/>
      <c r="Y191" s="17"/>
    </row>
    <row r="192" ht="18.75" customHeight="1">
      <c r="A192" s="9">
        <v>191.0</v>
      </c>
      <c r="B192" s="161" t="s">
        <v>1249</v>
      </c>
      <c r="C192" s="169" t="s">
        <v>1250</v>
      </c>
      <c r="D192" s="169" t="s">
        <v>1197</v>
      </c>
      <c r="E192" s="169" t="s">
        <v>154</v>
      </c>
      <c r="F192" s="169" t="s">
        <v>5596</v>
      </c>
      <c r="G192" s="162">
        <v>45412.0</v>
      </c>
      <c r="H192" s="162">
        <v>45413.0</v>
      </c>
      <c r="I192" s="163" t="s">
        <v>119</v>
      </c>
      <c r="J192" s="163" t="s">
        <v>37</v>
      </c>
      <c r="K192" s="163" t="s">
        <v>31</v>
      </c>
      <c r="L192" s="165"/>
      <c r="M192" s="161"/>
      <c r="N192" s="16" t="s">
        <v>5135</v>
      </c>
      <c r="O192" s="16"/>
      <c r="P192" s="16"/>
      <c r="Q192" s="17"/>
      <c r="R192" s="17"/>
      <c r="S192" s="17"/>
      <c r="T192" s="17"/>
      <c r="U192" s="17"/>
      <c r="V192" s="17"/>
      <c r="W192" s="17"/>
      <c r="X192" s="17"/>
      <c r="Y192" s="17"/>
    </row>
    <row r="193" ht="18.75" customHeight="1">
      <c r="A193" s="9">
        <v>192.0</v>
      </c>
      <c r="B193" s="161" t="s">
        <v>1252</v>
      </c>
      <c r="C193" s="169" t="s">
        <v>1253</v>
      </c>
      <c r="D193" s="169" t="s">
        <v>122</v>
      </c>
      <c r="E193" s="169" t="s">
        <v>1116</v>
      </c>
      <c r="F193" s="169" t="s">
        <v>5597</v>
      </c>
      <c r="G193" s="162">
        <v>45412.0</v>
      </c>
      <c r="H193" s="162">
        <v>45413.0</v>
      </c>
      <c r="I193" s="163" t="s">
        <v>119</v>
      </c>
      <c r="J193" s="163" t="s">
        <v>37</v>
      </c>
      <c r="K193" s="163" t="s">
        <v>31</v>
      </c>
      <c r="L193" s="165"/>
      <c r="M193" s="161"/>
      <c r="N193" s="16" t="s">
        <v>5135</v>
      </c>
      <c r="O193" s="16"/>
      <c r="P193" s="16"/>
      <c r="Q193" s="17"/>
      <c r="R193" s="17"/>
      <c r="S193" s="17"/>
      <c r="T193" s="17"/>
      <c r="U193" s="17"/>
      <c r="V193" s="17"/>
      <c r="W193" s="17"/>
      <c r="X193" s="17"/>
      <c r="Y193" s="17"/>
    </row>
    <row r="194" ht="18.75" customHeight="1">
      <c r="A194" s="9">
        <v>193.0</v>
      </c>
      <c r="B194" s="161" t="s">
        <v>1261</v>
      </c>
      <c r="C194" s="169" t="s">
        <v>1262</v>
      </c>
      <c r="D194" s="169" t="s">
        <v>701</v>
      </c>
      <c r="E194" s="169" t="s">
        <v>5598</v>
      </c>
      <c r="F194" s="169" t="s">
        <v>5599</v>
      </c>
      <c r="G194" s="162">
        <v>45412.0</v>
      </c>
      <c r="H194" s="162">
        <v>45413.0</v>
      </c>
      <c r="I194" s="163" t="s">
        <v>119</v>
      </c>
      <c r="J194" s="163" t="s">
        <v>37</v>
      </c>
      <c r="K194" s="163" t="s">
        <v>31</v>
      </c>
      <c r="L194" s="165"/>
      <c r="M194" s="161"/>
      <c r="N194" s="16" t="s">
        <v>5135</v>
      </c>
      <c r="O194" s="16"/>
      <c r="P194" s="16"/>
      <c r="Q194" s="17"/>
      <c r="R194" s="17"/>
      <c r="S194" s="17"/>
      <c r="T194" s="17"/>
      <c r="U194" s="17"/>
      <c r="V194" s="17"/>
      <c r="W194" s="17"/>
      <c r="X194" s="17"/>
      <c r="Y194" s="17"/>
    </row>
    <row r="195" ht="18.75" customHeight="1">
      <c r="A195" s="9">
        <v>194.0</v>
      </c>
      <c r="B195" s="161" t="s">
        <v>1264</v>
      </c>
      <c r="C195" s="169" t="s">
        <v>1265</v>
      </c>
      <c r="D195" s="169" t="s">
        <v>128</v>
      </c>
      <c r="E195" s="169" t="s">
        <v>1241</v>
      </c>
      <c r="F195" s="169" t="s">
        <v>5600</v>
      </c>
      <c r="G195" s="162">
        <v>45412.0</v>
      </c>
      <c r="H195" s="162">
        <v>45413.0</v>
      </c>
      <c r="I195" s="163" t="s">
        <v>119</v>
      </c>
      <c r="J195" s="163" t="s">
        <v>37</v>
      </c>
      <c r="K195" s="163" t="s">
        <v>31</v>
      </c>
      <c r="L195" s="165"/>
      <c r="M195" s="174"/>
      <c r="N195" s="16" t="s">
        <v>5135</v>
      </c>
      <c r="O195" s="16"/>
      <c r="P195" s="16"/>
      <c r="Q195" s="17"/>
      <c r="R195" s="17"/>
      <c r="S195" s="17"/>
      <c r="T195" s="17"/>
      <c r="U195" s="17"/>
      <c r="V195" s="17"/>
      <c r="W195" s="17"/>
      <c r="X195" s="17"/>
      <c r="Y195" s="17"/>
    </row>
    <row r="196" ht="18.75" customHeight="1">
      <c r="A196" s="9">
        <v>195.0</v>
      </c>
      <c r="B196" s="161" t="s">
        <v>1268</v>
      </c>
      <c r="C196" s="169" t="s">
        <v>1269</v>
      </c>
      <c r="D196" s="169" t="s">
        <v>128</v>
      </c>
      <c r="E196" s="169" t="s">
        <v>1241</v>
      </c>
      <c r="F196" s="169" t="s">
        <v>5601</v>
      </c>
      <c r="G196" s="162">
        <v>45412.0</v>
      </c>
      <c r="H196" s="162">
        <v>45413.0</v>
      </c>
      <c r="I196" s="163" t="s">
        <v>119</v>
      </c>
      <c r="J196" s="163" t="s">
        <v>37</v>
      </c>
      <c r="K196" s="163" t="s">
        <v>31</v>
      </c>
      <c r="L196" s="165"/>
      <c r="M196" s="174"/>
      <c r="N196" s="16" t="s">
        <v>5135</v>
      </c>
      <c r="O196" s="16"/>
      <c r="P196" s="16"/>
      <c r="Q196" s="17"/>
      <c r="R196" s="17"/>
      <c r="S196" s="17"/>
      <c r="T196" s="17"/>
      <c r="U196" s="17"/>
      <c r="V196" s="17"/>
      <c r="W196" s="17"/>
      <c r="X196" s="17"/>
      <c r="Y196" s="17"/>
    </row>
    <row r="197" ht="18.75" customHeight="1">
      <c r="A197" s="9">
        <v>196.0</v>
      </c>
      <c r="B197" s="161" t="s">
        <v>1276</v>
      </c>
      <c r="C197" s="169" t="s">
        <v>1277</v>
      </c>
      <c r="D197" s="169" t="s">
        <v>1278</v>
      </c>
      <c r="E197" s="169" t="s">
        <v>487</v>
      </c>
      <c r="F197" s="169" t="s">
        <v>5602</v>
      </c>
      <c r="G197" s="162">
        <v>45412.0</v>
      </c>
      <c r="H197" s="162">
        <v>45413.0</v>
      </c>
      <c r="I197" s="163" t="s">
        <v>119</v>
      </c>
      <c r="J197" s="163" t="s">
        <v>37</v>
      </c>
      <c r="K197" s="163" t="s">
        <v>31</v>
      </c>
      <c r="L197" s="165"/>
      <c r="M197" s="161"/>
      <c r="N197" s="16" t="s">
        <v>5135</v>
      </c>
      <c r="O197" s="16"/>
      <c r="P197" s="16"/>
      <c r="Q197" s="17"/>
      <c r="R197" s="17"/>
      <c r="S197" s="17"/>
      <c r="T197" s="17"/>
      <c r="U197" s="17"/>
      <c r="V197" s="17"/>
      <c r="W197" s="17"/>
      <c r="X197" s="17"/>
      <c r="Y197" s="17"/>
    </row>
    <row r="198" ht="18.75" customHeight="1">
      <c r="A198" s="9">
        <v>197.0</v>
      </c>
      <c r="B198" s="161" t="s">
        <v>1316</v>
      </c>
      <c r="C198" s="169" t="s">
        <v>1317</v>
      </c>
      <c r="D198" s="169" t="s">
        <v>65</v>
      </c>
      <c r="E198" s="169" t="s">
        <v>5603</v>
      </c>
      <c r="F198" s="169" t="s">
        <v>5604</v>
      </c>
      <c r="G198" s="162">
        <v>45412.0</v>
      </c>
      <c r="H198" s="162">
        <v>45413.0</v>
      </c>
      <c r="I198" s="163" t="s">
        <v>119</v>
      </c>
      <c r="J198" s="163" t="s">
        <v>37</v>
      </c>
      <c r="K198" s="163" t="s">
        <v>31</v>
      </c>
      <c r="L198" s="165"/>
      <c r="M198" s="161"/>
      <c r="N198" s="16" t="s">
        <v>5135</v>
      </c>
      <c r="O198" s="16"/>
      <c r="P198" s="16"/>
      <c r="Q198" s="17"/>
      <c r="R198" s="17"/>
      <c r="S198" s="17"/>
      <c r="T198" s="17"/>
      <c r="U198" s="17"/>
      <c r="V198" s="17"/>
      <c r="W198" s="17"/>
      <c r="X198" s="17"/>
      <c r="Y198" s="17"/>
    </row>
    <row r="199" ht="18.75" customHeight="1">
      <c r="A199" s="9">
        <v>198.0</v>
      </c>
      <c r="B199" s="161" t="s">
        <v>1321</v>
      </c>
      <c r="C199" s="169" t="s">
        <v>1322</v>
      </c>
      <c r="D199" s="169" t="s">
        <v>122</v>
      </c>
      <c r="E199" s="169" t="s">
        <v>1232</v>
      </c>
      <c r="F199" s="169" t="s">
        <v>5605</v>
      </c>
      <c r="G199" s="162">
        <v>45412.0</v>
      </c>
      <c r="H199" s="162">
        <v>45413.0</v>
      </c>
      <c r="I199" s="163" t="s">
        <v>119</v>
      </c>
      <c r="J199" s="163" t="s">
        <v>37</v>
      </c>
      <c r="K199" s="163" t="s">
        <v>31</v>
      </c>
      <c r="L199" s="165"/>
      <c r="M199" s="174"/>
      <c r="N199" s="16" t="s">
        <v>5135</v>
      </c>
      <c r="O199" s="16"/>
      <c r="P199" s="16"/>
      <c r="Q199" s="17"/>
      <c r="R199" s="17"/>
      <c r="S199" s="17"/>
      <c r="T199" s="17"/>
      <c r="U199" s="17"/>
      <c r="V199" s="17"/>
      <c r="W199" s="17"/>
      <c r="X199" s="17"/>
      <c r="Y199" s="17"/>
    </row>
    <row r="200" ht="18.75" customHeight="1">
      <c r="A200" s="9">
        <v>199.0</v>
      </c>
      <c r="B200" s="161" t="s">
        <v>1329</v>
      </c>
      <c r="C200" s="169" t="s">
        <v>1330</v>
      </c>
      <c r="D200" s="169" t="s">
        <v>59</v>
      </c>
      <c r="E200" s="169" t="s">
        <v>5606</v>
      </c>
      <c r="F200" s="169" t="s">
        <v>5607</v>
      </c>
      <c r="G200" s="162">
        <v>45412.0</v>
      </c>
      <c r="H200" s="162">
        <v>45413.0</v>
      </c>
      <c r="I200" s="163" t="s">
        <v>119</v>
      </c>
      <c r="J200" s="163" t="s">
        <v>37</v>
      </c>
      <c r="K200" s="163" t="s">
        <v>31</v>
      </c>
      <c r="L200" s="165"/>
      <c r="M200" s="174"/>
      <c r="N200" s="16" t="s">
        <v>5135</v>
      </c>
      <c r="O200" s="16"/>
      <c r="P200" s="16"/>
      <c r="Q200" s="17"/>
      <c r="R200" s="17"/>
      <c r="S200" s="17"/>
      <c r="T200" s="17"/>
      <c r="U200" s="17"/>
      <c r="V200" s="17"/>
      <c r="W200" s="17"/>
      <c r="X200" s="17"/>
      <c r="Y200" s="17"/>
    </row>
    <row r="201" ht="18.75" customHeight="1">
      <c r="A201" s="9">
        <v>200.0</v>
      </c>
      <c r="B201" s="161" t="s">
        <v>1333</v>
      </c>
      <c r="C201" s="169" t="s">
        <v>1334</v>
      </c>
      <c r="D201" s="169" t="s">
        <v>173</v>
      </c>
      <c r="E201" s="169" t="s">
        <v>5608</v>
      </c>
      <c r="F201" s="169" t="s">
        <v>5609</v>
      </c>
      <c r="G201" s="162">
        <v>45412.0</v>
      </c>
      <c r="H201" s="162">
        <v>45413.0</v>
      </c>
      <c r="I201" s="163" t="s">
        <v>119</v>
      </c>
      <c r="J201" s="163" t="s">
        <v>37</v>
      </c>
      <c r="K201" s="163" t="s">
        <v>31</v>
      </c>
      <c r="L201" s="165"/>
      <c r="M201" s="161"/>
      <c r="N201" s="16" t="s">
        <v>5135</v>
      </c>
      <c r="O201" s="16"/>
      <c r="P201" s="16"/>
      <c r="Q201" s="17"/>
      <c r="R201" s="17"/>
      <c r="S201" s="17"/>
      <c r="T201" s="17"/>
      <c r="U201" s="17"/>
      <c r="V201" s="17"/>
      <c r="W201" s="17"/>
      <c r="X201" s="17"/>
      <c r="Y201" s="17"/>
    </row>
    <row r="202" ht="18.75" customHeight="1">
      <c r="A202" s="9">
        <v>201.0</v>
      </c>
      <c r="B202" s="161" t="s">
        <v>1338</v>
      </c>
      <c r="C202" s="169" t="s">
        <v>1339</v>
      </c>
      <c r="D202" s="169" t="s">
        <v>122</v>
      </c>
      <c r="E202" s="169" t="s">
        <v>1116</v>
      </c>
      <c r="F202" s="169" t="s">
        <v>5610</v>
      </c>
      <c r="G202" s="162">
        <v>45412.0</v>
      </c>
      <c r="H202" s="162">
        <v>45413.0</v>
      </c>
      <c r="I202" s="163" t="s">
        <v>119</v>
      </c>
      <c r="J202" s="163" t="s">
        <v>37</v>
      </c>
      <c r="K202" s="163" t="s">
        <v>31</v>
      </c>
      <c r="L202" s="165"/>
      <c r="M202" s="174"/>
      <c r="N202" s="16" t="s">
        <v>5135</v>
      </c>
      <c r="O202" s="16"/>
      <c r="P202" s="16"/>
      <c r="Q202" s="17"/>
      <c r="R202" s="17"/>
      <c r="S202" s="17"/>
      <c r="T202" s="17"/>
      <c r="U202" s="17"/>
      <c r="V202" s="17"/>
      <c r="W202" s="17"/>
      <c r="X202" s="17"/>
      <c r="Y202" s="17"/>
    </row>
    <row r="203" ht="18.75" customHeight="1">
      <c r="A203" s="9">
        <v>202.0</v>
      </c>
      <c r="B203" s="161" t="s">
        <v>1390</v>
      </c>
      <c r="C203" s="169" t="s">
        <v>1391</v>
      </c>
      <c r="D203" s="169" t="s">
        <v>1078</v>
      </c>
      <c r="E203" s="169" t="s">
        <v>1393</v>
      </c>
      <c r="F203" s="169" t="s">
        <v>5611</v>
      </c>
      <c r="G203" s="162">
        <v>45412.0</v>
      </c>
      <c r="H203" s="162">
        <v>45413.0</v>
      </c>
      <c r="I203" s="163" t="s">
        <v>25</v>
      </c>
      <c r="J203" s="163" t="s">
        <v>37</v>
      </c>
      <c r="K203" s="163" t="s">
        <v>31</v>
      </c>
      <c r="L203" s="165"/>
      <c r="M203" s="161"/>
      <c r="N203" s="16" t="s">
        <v>5135</v>
      </c>
      <c r="O203" s="16"/>
      <c r="P203" s="16"/>
      <c r="Q203" s="17"/>
      <c r="R203" s="17"/>
      <c r="S203" s="17"/>
      <c r="T203" s="17"/>
      <c r="U203" s="17"/>
      <c r="V203" s="17"/>
      <c r="W203" s="17"/>
      <c r="X203" s="17"/>
      <c r="Y203" s="17"/>
    </row>
    <row r="204" ht="18.75" customHeight="1">
      <c r="A204" s="9">
        <v>203.0</v>
      </c>
      <c r="B204" s="161" t="s">
        <v>1378</v>
      </c>
      <c r="C204" s="169" t="s">
        <v>1379</v>
      </c>
      <c r="D204" s="169" t="s">
        <v>465</v>
      </c>
      <c r="E204" s="169" t="s">
        <v>1381</v>
      </c>
      <c r="F204" s="169" t="s">
        <v>5612</v>
      </c>
      <c r="G204" s="162">
        <v>45412.0</v>
      </c>
      <c r="H204" s="162">
        <v>45413.0</v>
      </c>
      <c r="I204" s="163" t="s">
        <v>25</v>
      </c>
      <c r="J204" s="163" t="s">
        <v>5613</v>
      </c>
      <c r="K204" s="163" t="s">
        <v>31</v>
      </c>
      <c r="L204" s="165"/>
      <c r="M204" s="161"/>
      <c r="N204" s="16" t="s">
        <v>5135</v>
      </c>
      <c r="O204" s="16"/>
      <c r="P204" s="16"/>
      <c r="Q204" s="17"/>
      <c r="R204" s="17"/>
      <c r="S204" s="17"/>
      <c r="T204" s="17"/>
      <c r="U204" s="17"/>
      <c r="V204" s="17"/>
      <c r="W204" s="17"/>
      <c r="X204" s="17"/>
      <c r="Y204" s="17"/>
    </row>
    <row r="205" ht="18.75" customHeight="1">
      <c r="A205" s="9">
        <v>204.0</v>
      </c>
      <c r="B205" s="161" t="s">
        <v>1313</v>
      </c>
      <c r="C205" s="169" t="s">
        <v>1314</v>
      </c>
      <c r="D205" s="169" t="s">
        <v>1305</v>
      </c>
      <c r="E205" s="169" t="s">
        <v>5598</v>
      </c>
      <c r="F205" s="169" t="s">
        <v>5614</v>
      </c>
      <c r="G205" s="162">
        <v>45412.0</v>
      </c>
      <c r="H205" s="162">
        <v>45413.0</v>
      </c>
      <c r="I205" s="163" t="s">
        <v>119</v>
      </c>
      <c r="J205" s="163" t="s">
        <v>37</v>
      </c>
      <c r="K205" s="163" t="s">
        <v>31</v>
      </c>
      <c r="L205" s="165"/>
      <c r="M205" s="174"/>
      <c r="N205" s="16" t="s">
        <v>5135</v>
      </c>
      <c r="O205" s="16"/>
      <c r="P205" s="16"/>
      <c r="Q205" s="17"/>
      <c r="R205" s="17"/>
      <c r="S205" s="17"/>
      <c r="T205" s="17"/>
      <c r="U205" s="17"/>
      <c r="V205" s="17"/>
      <c r="W205" s="17"/>
      <c r="X205" s="17"/>
      <c r="Y205" s="17"/>
    </row>
    <row r="206" ht="18.75" customHeight="1">
      <c r="A206" s="9">
        <v>205.0</v>
      </c>
      <c r="B206" s="161" t="s">
        <v>1289</v>
      </c>
      <c r="C206" s="169" t="s">
        <v>1290</v>
      </c>
      <c r="D206" s="169" t="s">
        <v>706</v>
      </c>
      <c r="E206" s="169" t="s">
        <v>1291</v>
      </c>
      <c r="F206" s="169" t="s">
        <v>5615</v>
      </c>
      <c r="G206" s="162">
        <v>45412.0</v>
      </c>
      <c r="H206" s="162">
        <v>45413.0</v>
      </c>
      <c r="I206" s="163" t="s">
        <v>119</v>
      </c>
      <c r="J206" s="163" t="s">
        <v>37</v>
      </c>
      <c r="K206" s="163" t="s">
        <v>31</v>
      </c>
      <c r="L206" s="165"/>
      <c r="M206" s="174"/>
      <c r="N206" s="16" t="s">
        <v>5135</v>
      </c>
      <c r="O206" s="16"/>
      <c r="P206" s="16"/>
      <c r="Q206" s="17"/>
      <c r="R206" s="17"/>
      <c r="S206" s="17"/>
      <c r="T206" s="17"/>
      <c r="U206" s="17"/>
      <c r="V206" s="17"/>
      <c r="W206" s="17"/>
      <c r="X206" s="17"/>
      <c r="Y206" s="17"/>
    </row>
    <row r="207" ht="18.75" customHeight="1">
      <c r="A207" s="9">
        <v>206.0</v>
      </c>
      <c r="B207" s="161" t="s">
        <v>5616</v>
      </c>
      <c r="C207" s="169" t="s">
        <v>5617</v>
      </c>
      <c r="D207" s="169" t="s">
        <v>173</v>
      </c>
      <c r="E207" s="169" t="s">
        <v>5618</v>
      </c>
      <c r="F207" s="169" t="s">
        <v>5619</v>
      </c>
      <c r="G207" s="162">
        <v>45412.0</v>
      </c>
      <c r="H207" s="162">
        <v>45413.0</v>
      </c>
      <c r="I207" s="163" t="s">
        <v>119</v>
      </c>
      <c r="J207" s="163" t="s">
        <v>213</v>
      </c>
      <c r="K207" s="163" t="s">
        <v>31</v>
      </c>
      <c r="L207" s="165"/>
      <c r="M207" s="174"/>
      <c r="N207" s="16" t="s">
        <v>5135</v>
      </c>
      <c r="O207" s="16"/>
      <c r="P207" s="16"/>
      <c r="Q207" s="17"/>
      <c r="R207" s="17"/>
      <c r="S207" s="17"/>
      <c r="T207" s="17"/>
      <c r="U207" s="17"/>
      <c r="V207" s="17"/>
      <c r="W207" s="17"/>
      <c r="X207" s="17"/>
      <c r="Y207" s="17"/>
    </row>
    <row r="208" ht="18.75" customHeight="1">
      <c r="A208" s="9">
        <v>207.0</v>
      </c>
      <c r="B208" s="161" t="s">
        <v>1560</v>
      </c>
      <c r="C208" s="169" t="s">
        <v>1561</v>
      </c>
      <c r="D208" s="169" t="s">
        <v>173</v>
      </c>
      <c r="E208" s="169" t="s">
        <v>449</v>
      </c>
      <c r="F208" s="169" t="s">
        <v>5620</v>
      </c>
      <c r="G208" s="162">
        <v>45412.0</v>
      </c>
      <c r="H208" s="162">
        <v>45413.0</v>
      </c>
      <c r="I208" s="163" t="s">
        <v>25</v>
      </c>
      <c r="J208" s="171"/>
      <c r="K208" s="163" t="s">
        <v>31</v>
      </c>
      <c r="L208" s="165"/>
      <c r="M208" s="161"/>
      <c r="N208" s="16" t="s">
        <v>5135</v>
      </c>
      <c r="O208" s="16"/>
      <c r="P208" s="16"/>
      <c r="Q208" s="17"/>
      <c r="R208" s="17"/>
      <c r="S208" s="17"/>
      <c r="T208" s="17"/>
      <c r="U208" s="17"/>
      <c r="V208" s="17"/>
      <c r="W208" s="17"/>
      <c r="X208" s="17"/>
      <c r="Y208" s="17"/>
    </row>
    <row r="209" ht="18.75" customHeight="1">
      <c r="A209" s="9">
        <v>208.0</v>
      </c>
      <c r="B209" s="161" t="s">
        <v>1384</v>
      </c>
      <c r="C209" s="169" t="s">
        <v>1385</v>
      </c>
      <c r="D209" s="169" t="s">
        <v>871</v>
      </c>
      <c r="E209" s="169" t="s">
        <v>1387</v>
      </c>
      <c r="F209" s="169" t="s">
        <v>5621</v>
      </c>
      <c r="G209" s="162">
        <v>45429.0</v>
      </c>
      <c r="H209" s="162">
        <v>45430.0</v>
      </c>
      <c r="I209" s="163" t="s">
        <v>25</v>
      </c>
      <c r="J209" s="163" t="s">
        <v>37</v>
      </c>
      <c r="K209" s="163" t="s">
        <v>31</v>
      </c>
      <c r="L209" s="165"/>
      <c r="M209" s="174"/>
      <c r="N209" s="16" t="s">
        <v>5135</v>
      </c>
      <c r="O209" s="16"/>
      <c r="P209" s="16"/>
      <c r="Q209" s="17"/>
      <c r="R209" s="17"/>
      <c r="S209" s="17"/>
      <c r="T209" s="17"/>
      <c r="U209" s="17"/>
      <c r="V209" s="17"/>
      <c r="W209" s="17"/>
      <c r="X209" s="17"/>
      <c r="Y209" s="17"/>
    </row>
    <row r="210" ht="18.75" customHeight="1">
      <c r="A210" s="9">
        <v>209.0</v>
      </c>
      <c r="B210" s="161" t="s">
        <v>1395</v>
      </c>
      <c r="C210" s="169" t="s">
        <v>1396</v>
      </c>
      <c r="D210" s="169" t="s">
        <v>1397</v>
      </c>
      <c r="E210" s="169" t="s">
        <v>5622</v>
      </c>
      <c r="F210" s="169" t="s">
        <v>5623</v>
      </c>
      <c r="G210" s="162">
        <v>45412.0</v>
      </c>
      <c r="H210" s="162">
        <v>45413.0</v>
      </c>
      <c r="I210" s="163" t="s">
        <v>25</v>
      </c>
      <c r="J210" s="163" t="s">
        <v>37</v>
      </c>
      <c r="K210" s="163" t="s">
        <v>31</v>
      </c>
      <c r="L210" s="165"/>
      <c r="M210" s="161"/>
      <c r="N210" s="16" t="s">
        <v>5135</v>
      </c>
      <c r="O210" s="16"/>
      <c r="P210" s="16"/>
      <c r="Q210" s="17"/>
      <c r="R210" s="17"/>
      <c r="S210" s="17"/>
      <c r="T210" s="17"/>
      <c r="U210" s="17"/>
      <c r="V210" s="17"/>
      <c r="W210" s="17"/>
      <c r="X210" s="17"/>
      <c r="Y210" s="17"/>
    </row>
    <row r="211" ht="18.75" customHeight="1">
      <c r="A211" s="9">
        <v>210.0</v>
      </c>
      <c r="B211" s="161" t="s">
        <v>1370</v>
      </c>
      <c r="C211" s="169" t="s">
        <v>5624</v>
      </c>
      <c r="D211" s="169" t="s">
        <v>646</v>
      </c>
      <c r="E211" s="169" t="s">
        <v>5308</v>
      </c>
      <c r="F211" s="169" t="s">
        <v>5625</v>
      </c>
      <c r="G211" s="162">
        <v>45417.0</v>
      </c>
      <c r="H211" s="162">
        <v>45418.0</v>
      </c>
      <c r="I211" s="163" t="s">
        <v>251</v>
      </c>
      <c r="J211" s="163" t="s">
        <v>213</v>
      </c>
      <c r="K211" s="163" t="s">
        <v>31</v>
      </c>
      <c r="L211" s="165"/>
      <c r="M211" s="161"/>
      <c r="N211" s="16" t="s">
        <v>5135</v>
      </c>
      <c r="O211" s="16"/>
      <c r="P211" s="16"/>
      <c r="Q211" s="17"/>
      <c r="R211" s="17"/>
      <c r="S211" s="17"/>
      <c r="T211" s="17"/>
      <c r="U211" s="17"/>
      <c r="V211" s="17"/>
      <c r="W211" s="17"/>
      <c r="X211" s="17"/>
      <c r="Y211" s="17"/>
    </row>
    <row r="212" ht="18.75" customHeight="1">
      <c r="A212" s="9">
        <v>211.0</v>
      </c>
      <c r="B212" s="161" t="s">
        <v>1356</v>
      </c>
      <c r="C212" s="169" t="s">
        <v>1357</v>
      </c>
      <c r="D212" s="169" t="s">
        <v>636</v>
      </c>
      <c r="E212" s="169" t="s">
        <v>1358</v>
      </c>
      <c r="F212" s="169" t="s">
        <v>5626</v>
      </c>
      <c r="G212" s="162">
        <v>45412.0</v>
      </c>
      <c r="H212" s="162">
        <v>45413.0</v>
      </c>
      <c r="I212" s="163" t="s">
        <v>25</v>
      </c>
      <c r="J212" s="163" t="s">
        <v>5613</v>
      </c>
      <c r="K212" s="163" t="s">
        <v>31</v>
      </c>
      <c r="L212" s="165"/>
      <c r="M212" s="174"/>
      <c r="N212" s="16" t="s">
        <v>5135</v>
      </c>
      <c r="O212" s="16"/>
      <c r="P212" s="16"/>
      <c r="Q212" s="17"/>
      <c r="R212" s="17"/>
      <c r="S212" s="17"/>
      <c r="T212" s="17"/>
      <c r="U212" s="17"/>
      <c r="V212" s="17"/>
      <c r="W212" s="17"/>
      <c r="X212" s="17"/>
      <c r="Y212" s="17"/>
    </row>
    <row r="213" ht="18.75" customHeight="1">
      <c r="A213" s="9">
        <v>212.0</v>
      </c>
      <c r="B213" s="161" t="s">
        <v>1351</v>
      </c>
      <c r="C213" s="169" t="s">
        <v>1352</v>
      </c>
      <c r="D213" s="169" t="s">
        <v>1353</v>
      </c>
      <c r="E213" s="169" t="s">
        <v>1354</v>
      </c>
      <c r="F213" s="169" t="s">
        <v>5627</v>
      </c>
      <c r="G213" s="162">
        <v>45415.0</v>
      </c>
      <c r="H213" s="162">
        <v>45416.0</v>
      </c>
      <c r="I213" s="163" t="s">
        <v>25</v>
      </c>
      <c r="J213" s="163" t="s">
        <v>37</v>
      </c>
      <c r="K213" s="163" t="s">
        <v>31</v>
      </c>
      <c r="L213" s="165"/>
      <c r="M213" s="161"/>
      <c r="N213" s="16" t="s">
        <v>5135</v>
      </c>
      <c r="O213" s="16"/>
      <c r="P213" s="16"/>
      <c r="Q213" s="17"/>
      <c r="R213" s="17"/>
      <c r="S213" s="17"/>
      <c r="T213" s="17"/>
      <c r="U213" s="17"/>
      <c r="V213" s="17"/>
      <c r="W213" s="17"/>
      <c r="X213" s="17"/>
      <c r="Y213" s="17"/>
    </row>
    <row r="214" ht="18.75" customHeight="1">
      <c r="A214" s="9">
        <v>213.0</v>
      </c>
      <c r="B214" s="161" t="s">
        <v>1374</v>
      </c>
      <c r="C214" s="169" t="s">
        <v>5628</v>
      </c>
      <c r="D214" s="169" t="s">
        <v>28</v>
      </c>
      <c r="E214" s="169" t="s">
        <v>1376</v>
      </c>
      <c r="F214" s="169" t="s">
        <v>5629</v>
      </c>
      <c r="G214" s="162">
        <v>45427.0</v>
      </c>
      <c r="H214" s="162">
        <v>45428.0</v>
      </c>
      <c r="I214" s="163" t="s">
        <v>25</v>
      </c>
      <c r="J214" s="163" t="s">
        <v>5190</v>
      </c>
      <c r="K214" s="163" t="s">
        <v>31</v>
      </c>
      <c r="L214" s="165"/>
      <c r="M214" s="161"/>
      <c r="N214" s="16" t="s">
        <v>5135</v>
      </c>
      <c r="O214" s="16"/>
      <c r="P214" s="16"/>
      <c r="Q214" s="17"/>
      <c r="R214" s="17"/>
      <c r="S214" s="17"/>
      <c r="T214" s="17"/>
      <c r="U214" s="17"/>
      <c r="V214" s="17"/>
      <c r="W214" s="17"/>
      <c r="X214" s="17"/>
      <c r="Y214" s="17"/>
    </row>
    <row r="215" ht="18.75" customHeight="1">
      <c r="A215" s="9">
        <v>214.0</v>
      </c>
      <c r="B215" s="161" t="s">
        <v>1536</v>
      </c>
      <c r="C215" s="169" t="s">
        <v>1537</v>
      </c>
      <c r="D215" s="169" t="s">
        <v>1412</v>
      </c>
      <c r="E215" s="169" t="s">
        <v>5570</v>
      </c>
      <c r="F215" s="169" t="s">
        <v>5630</v>
      </c>
      <c r="G215" s="162">
        <v>45442.0</v>
      </c>
      <c r="H215" s="162">
        <v>45413.0</v>
      </c>
      <c r="I215" s="163" t="s">
        <v>25</v>
      </c>
      <c r="J215" s="163" t="s">
        <v>37</v>
      </c>
      <c r="K215" s="163" t="s">
        <v>31</v>
      </c>
      <c r="L215" s="165"/>
      <c r="M215" s="161"/>
      <c r="N215" s="16" t="s">
        <v>5135</v>
      </c>
      <c r="O215" s="16"/>
      <c r="P215" s="16"/>
      <c r="Q215" s="17"/>
      <c r="R215" s="17"/>
      <c r="S215" s="17"/>
      <c r="T215" s="17"/>
      <c r="U215" s="17"/>
      <c r="V215" s="17"/>
      <c r="W215" s="17"/>
      <c r="X215" s="17"/>
      <c r="Y215" s="17"/>
    </row>
    <row r="216" ht="18.75" customHeight="1">
      <c r="A216" s="9">
        <v>215.0</v>
      </c>
      <c r="B216" s="161" t="s">
        <v>1539</v>
      </c>
      <c r="C216" s="169" t="s">
        <v>1540</v>
      </c>
      <c r="D216" s="169" t="s">
        <v>1417</v>
      </c>
      <c r="E216" s="169" t="s">
        <v>1421</v>
      </c>
      <c r="F216" s="169" t="s">
        <v>5631</v>
      </c>
      <c r="G216" s="162">
        <v>45442.0</v>
      </c>
      <c r="H216" s="162">
        <v>45413.0</v>
      </c>
      <c r="I216" s="163" t="s">
        <v>25</v>
      </c>
      <c r="J216" s="163" t="s">
        <v>37</v>
      </c>
      <c r="K216" s="163" t="s">
        <v>31</v>
      </c>
      <c r="L216" s="165"/>
      <c r="M216" s="161"/>
      <c r="N216" s="16" t="s">
        <v>5135</v>
      </c>
      <c r="O216" s="16"/>
      <c r="P216" s="16"/>
      <c r="Q216" s="17"/>
      <c r="R216" s="17"/>
      <c r="S216" s="17"/>
      <c r="T216" s="17"/>
      <c r="U216" s="17"/>
      <c r="V216" s="17"/>
      <c r="W216" s="17"/>
      <c r="X216" s="17"/>
      <c r="Y216" s="17"/>
    </row>
    <row r="217" ht="18.75" customHeight="1">
      <c r="A217" s="9">
        <v>216.0</v>
      </c>
      <c r="B217" s="161" t="s">
        <v>1604</v>
      </c>
      <c r="C217" s="169" t="s">
        <v>1605</v>
      </c>
      <c r="D217" s="169" t="s">
        <v>1606</v>
      </c>
      <c r="E217" s="169" t="s">
        <v>5632</v>
      </c>
      <c r="F217" s="169" t="s">
        <v>5633</v>
      </c>
      <c r="G217" s="162">
        <v>45422.0</v>
      </c>
      <c r="H217" s="162">
        <v>45423.0</v>
      </c>
      <c r="I217" s="163" t="s">
        <v>119</v>
      </c>
      <c r="J217" s="163" t="s">
        <v>37</v>
      </c>
      <c r="K217" s="163" t="s">
        <v>31</v>
      </c>
      <c r="L217" s="165"/>
      <c r="M217" s="161"/>
      <c r="N217" s="16" t="s">
        <v>5135</v>
      </c>
      <c r="O217" s="16"/>
      <c r="P217" s="16"/>
      <c r="Q217" s="17"/>
      <c r="R217" s="17"/>
      <c r="S217" s="17"/>
      <c r="T217" s="17"/>
      <c r="U217" s="17"/>
      <c r="V217" s="17"/>
      <c r="W217" s="17"/>
      <c r="X217" s="17"/>
      <c r="Y217" s="17"/>
    </row>
    <row r="218" ht="18.75" customHeight="1">
      <c r="A218" s="9">
        <v>217.0</v>
      </c>
      <c r="B218" s="161" t="s">
        <v>1612</v>
      </c>
      <c r="C218" s="169" t="s">
        <v>5634</v>
      </c>
      <c r="D218" s="169" t="s">
        <v>1614</v>
      </c>
      <c r="E218" s="169" t="s">
        <v>1615</v>
      </c>
      <c r="F218" s="169" t="s">
        <v>5635</v>
      </c>
      <c r="G218" s="162">
        <v>45412.0</v>
      </c>
      <c r="H218" s="162">
        <v>45413.0</v>
      </c>
      <c r="I218" s="163" t="s">
        <v>119</v>
      </c>
      <c r="J218" s="163" t="s">
        <v>37</v>
      </c>
      <c r="K218" s="163" t="s">
        <v>31</v>
      </c>
      <c r="L218" s="165"/>
      <c r="M218" s="161"/>
      <c r="N218" s="16" t="s">
        <v>5135</v>
      </c>
      <c r="O218" s="16"/>
      <c r="P218" s="16"/>
      <c r="Q218" s="17"/>
      <c r="R218" s="17"/>
      <c r="S218" s="17"/>
      <c r="T218" s="17"/>
      <c r="U218" s="17"/>
      <c r="V218" s="17"/>
      <c r="W218" s="17"/>
      <c r="X218" s="17"/>
      <c r="Y218" s="17"/>
    </row>
    <row r="219" ht="18.75" customHeight="1">
      <c r="A219" s="9">
        <v>218.0</v>
      </c>
      <c r="B219" s="161" t="s">
        <v>1617</v>
      </c>
      <c r="C219" s="169" t="s">
        <v>1618</v>
      </c>
      <c r="D219" s="169" t="s">
        <v>47</v>
      </c>
      <c r="E219" s="169" t="s">
        <v>5636</v>
      </c>
      <c r="F219" s="169" t="s">
        <v>5637</v>
      </c>
      <c r="G219" s="162">
        <v>45412.0</v>
      </c>
      <c r="H219" s="162">
        <v>45413.0</v>
      </c>
      <c r="I219" s="163" t="s">
        <v>119</v>
      </c>
      <c r="J219" s="163" t="s">
        <v>5420</v>
      </c>
      <c r="K219" s="163" t="s">
        <v>31</v>
      </c>
      <c r="L219" s="165"/>
      <c r="M219" s="161"/>
      <c r="N219" s="16" t="s">
        <v>5135</v>
      </c>
      <c r="O219" s="16"/>
      <c r="P219" s="16"/>
      <c r="Q219" s="17"/>
      <c r="R219" s="17"/>
      <c r="S219" s="17"/>
      <c r="T219" s="17"/>
      <c r="U219" s="17"/>
      <c r="V219" s="17"/>
      <c r="W219" s="17"/>
      <c r="X219" s="17"/>
      <c r="Y219" s="17"/>
    </row>
    <row r="220" ht="18.75" customHeight="1">
      <c r="A220" s="9">
        <v>219.0</v>
      </c>
      <c r="B220" s="161" t="s">
        <v>1406</v>
      </c>
      <c r="C220" s="169" t="s">
        <v>1407</v>
      </c>
      <c r="D220" s="169" t="s">
        <v>28</v>
      </c>
      <c r="E220" s="169" t="s">
        <v>1408</v>
      </c>
      <c r="F220" s="176"/>
      <c r="G220" s="162">
        <v>45420.0</v>
      </c>
      <c r="H220" s="162">
        <v>45421.0</v>
      </c>
      <c r="I220" s="163" t="s">
        <v>251</v>
      </c>
      <c r="J220" s="163" t="s">
        <v>37</v>
      </c>
      <c r="K220" s="163" t="s">
        <v>31</v>
      </c>
      <c r="L220" s="165"/>
      <c r="M220" s="161"/>
      <c r="N220" s="16" t="s">
        <v>5135</v>
      </c>
      <c r="O220" s="16"/>
      <c r="P220" s="16"/>
      <c r="Q220" s="17"/>
      <c r="R220" s="17"/>
      <c r="S220" s="17"/>
      <c r="T220" s="17"/>
      <c r="U220" s="17"/>
      <c r="V220" s="17"/>
      <c r="W220" s="17"/>
      <c r="X220" s="17"/>
      <c r="Y220" s="17"/>
    </row>
    <row r="221" ht="18.75" customHeight="1">
      <c r="A221" s="9">
        <v>220.0</v>
      </c>
      <c r="B221" s="161" t="s">
        <v>1621</v>
      </c>
      <c r="C221" s="169" t="s">
        <v>1622</v>
      </c>
      <c r="D221" s="169" t="s">
        <v>5638</v>
      </c>
      <c r="E221" s="169" t="s">
        <v>5639</v>
      </c>
      <c r="F221" s="169" t="s">
        <v>5640</v>
      </c>
      <c r="G221" s="162">
        <v>45431.0</v>
      </c>
      <c r="H221" s="162">
        <v>45432.0</v>
      </c>
      <c r="I221" s="163" t="s">
        <v>119</v>
      </c>
      <c r="J221" s="171"/>
      <c r="K221" s="163" t="s">
        <v>31</v>
      </c>
      <c r="L221" s="165"/>
      <c r="M221" s="174"/>
      <c r="N221" s="16" t="s">
        <v>5135</v>
      </c>
      <c r="O221" s="16"/>
      <c r="P221" s="16"/>
      <c r="Q221" s="17"/>
      <c r="R221" s="17"/>
      <c r="S221" s="17"/>
      <c r="T221" s="17"/>
      <c r="U221" s="17"/>
      <c r="V221" s="17"/>
      <c r="W221" s="17"/>
      <c r="X221" s="17"/>
      <c r="Y221" s="17"/>
    </row>
    <row r="222" ht="18.75" customHeight="1">
      <c r="A222" s="9">
        <v>221.0</v>
      </c>
      <c r="B222" s="161" t="s">
        <v>1637</v>
      </c>
      <c r="C222" s="169" t="s">
        <v>1638</v>
      </c>
      <c r="D222" s="169" t="s">
        <v>173</v>
      </c>
      <c r="E222" s="169" t="s">
        <v>5402</v>
      </c>
      <c r="F222" s="169" t="s">
        <v>5641</v>
      </c>
      <c r="G222" s="162">
        <v>45427.0</v>
      </c>
      <c r="H222" s="162">
        <v>45428.0</v>
      </c>
      <c r="I222" s="163" t="s">
        <v>119</v>
      </c>
      <c r="J222" s="163" t="s">
        <v>37</v>
      </c>
      <c r="K222" s="163" t="s">
        <v>31</v>
      </c>
      <c r="L222" s="165"/>
      <c r="M222" s="161"/>
      <c r="N222" s="16" t="s">
        <v>5135</v>
      </c>
      <c r="O222" s="16"/>
      <c r="P222" s="16"/>
      <c r="Q222" s="17"/>
      <c r="R222" s="17"/>
      <c r="S222" s="17"/>
      <c r="T222" s="17"/>
      <c r="U222" s="17"/>
      <c r="V222" s="17"/>
      <c r="W222" s="17"/>
      <c r="X222" s="17"/>
      <c r="Y222" s="17"/>
    </row>
    <row r="223" ht="18.75" customHeight="1">
      <c r="A223" s="9">
        <v>222.0</v>
      </c>
      <c r="B223" s="161" t="s">
        <v>1673</v>
      </c>
      <c r="C223" s="169" t="s">
        <v>1674</v>
      </c>
      <c r="D223" s="169" t="s">
        <v>1675</v>
      </c>
      <c r="E223" s="169" t="s">
        <v>1408</v>
      </c>
      <c r="F223" s="169" t="s">
        <v>5642</v>
      </c>
      <c r="G223" s="162">
        <v>45437.0</v>
      </c>
      <c r="H223" s="162">
        <v>45438.0</v>
      </c>
      <c r="I223" s="163" t="s">
        <v>119</v>
      </c>
      <c r="J223" s="163" t="s">
        <v>22</v>
      </c>
      <c r="K223" s="163" t="s">
        <v>31</v>
      </c>
      <c r="L223" s="165"/>
      <c r="M223" s="174"/>
      <c r="N223" s="16" t="s">
        <v>5135</v>
      </c>
      <c r="O223" s="16"/>
      <c r="P223" s="16"/>
      <c r="Q223" s="17"/>
      <c r="R223" s="17"/>
      <c r="S223" s="17"/>
      <c r="T223" s="17"/>
      <c r="U223" s="17"/>
      <c r="V223" s="17"/>
      <c r="W223" s="17"/>
      <c r="X223" s="17"/>
      <c r="Y223" s="17"/>
    </row>
    <row r="224" ht="18.75" customHeight="1">
      <c r="A224" s="9">
        <v>223.0</v>
      </c>
      <c r="B224" s="161" t="s">
        <v>5643</v>
      </c>
      <c r="C224" s="169" t="s">
        <v>5644</v>
      </c>
      <c r="D224" s="169" t="s">
        <v>1091</v>
      </c>
      <c r="E224" s="169" t="s">
        <v>1652</v>
      </c>
      <c r="F224" s="169" t="s">
        <v>5645</v>
      </c>
      <c r="G224" s="162">
        <v>45418.0</v>
      </c>
      <c r="H224" s="162">
        <v>45419.0</v>
      </c>
      <c r="I224" s="163" t="s">
        <v>251</v>
      </c>
      <c r="J224" s="163" t="s">
        <v>213</v>
      </c>
      <c r="K224" s="163" t="s">
        <v>31</v>
      </c>
      <c r="L224" s="165"/>
      <c r="M224" s="161"/>
      <c r="N224" s="16" t="s">
        <v>5135</v>
      </c>
      <c r="O224" s="16"/>
      <c r="P224" s="16"/>
      <c r="Q224" s="17"/>
      <c r="R224" s="17"/>
      <c r="S224" s="17"/>
      <c r="T224" s="17"/>
      <c r="U224" s="17"/>
      <c r="V224" s="17"/>
      <c r="W224" s="17"/>
      <c r="X224" s="17"/>
      <c r="Y224" s="17"/>
    </row>
    <row r="225" ht="18.75" customHeight="1">
      <c r="A225" s="9">
        <v>224.0</v>
      </c>
      <c r="B225" s="161" t="s">
        <v>5646</v>
      </c>
      <c r="C225" s="169" t="s">
        <v>5647</v>
      </c>
      <c r="D225" s="169" t="s">
        <v>5648</v>
      </c>
      <c r="E225" s="169" t="s">
        <v>5649</v>
      </c>
      <c r="F225" s="169" t="s">
        <v>5650</v>
      </c>
      <c r="G225" s="162">
        <v>45421.0</v>
      </c>
      <c r="H225" s="162">
        <v>45422.0</v>
      </c>
      <c r="I225" s="163" t="s">
        <v>251</v>
      </c>
      <c r="J225" s="163" t="s">
        <v>213</v>
      </c>
      <c r="K225" s="163" t="s">
        <v>31</v>
      </c>
      <c r="L225" s="165"/>
      <c r="M225" s="161"/>
      <c r="N225" s="16" t="s">
        <v>5135</v>
      </c>
      <c r="O225" s="16"/>
      <c r="P225" s="16"/>
      <c r="Q225" s="17"/>
      <c r="R225" s="17"/>
      <c r="S225" s="17"/>
      <c r="T225" s="17"/>
      <c r="U225" s="17"/>
      <c r="V225" s="17"/>
      <c r="W225" s="17"/>
      <c r="X225" s="17"/>
      <c r="Y225" s="17"/>
    </row>
    <row r="226" ht="18.75" customHeight="1">
      <c r="A226" s="9">
        <v>225.0</v>
      </c>
      <c r="B226" s="161" t="s">
        <v>1583</v>
      </c>
      <c r="C226" s="169" t="s">
        <v>1584</v>
      </c>
      <c r="D226" s="169" t="s">
        <v>380</v>
      </c>
      <c r="E226" s="169" t="s">
        <v>1585</v>
      </c>
      <c r="F226" s="169" t="s">
        <v>5651</v>
      </c>
      <c r="G226" s="162">
        <v>45414.0</v>
      </c>
      <c r="H226" s="162">
        <v>45415.0</v>
      </c>
      <c r="I226" s="163" t="s">
        <v>25</v>
      </c>
      <c r="J226" s="163" t="s">
        <v>5613</v>
      </c>
      <c r="K226" s="163" t="s">
        <v>31</v>
      </c>
      <c r="L226" s="165"/>
      <c r="M226" s="174"/>
      <c r="N226" s="16" t="s">
        <v>5135</v>
      </c>
      <c r="O226" s="16"/>
      <c r="P226" s="16"/>
      <c r="Q226" s="17"/>
      <c r="R226" s="17"/>
      <c r="S226" s="17"/>
      <c r="T226" s="17"/>
      <c r="U226" s="17"/>
      <c r="V226" s="17"/>
      <c r="W226" s="17"/>
      <c r="X226" s="17"/>
      <c r="Y226" s="17"/>
    </row>
    <row r="227" ht="18.75" customHeight="1">
      <c r="A227" s="9">
        <v>226.0</v>
      </c>
      <c r="B227" s="161" t="s">
        <v>1571</v>
      </c>
      <c r="C227" s="169" t="s">
        <v>1572</v>
      </c>
      <c r="D227" s="169" t="s">
        <v>328</v>
      </c>
      <c r="E227" s="169" t="s">
        <v>1573</v>
      </c>
      <c r="F227" s="169" t="s">
        <v>5652</v>
      </c>
      <c r="G227" s="162">
        <v>45412.0</v>
      </c>
      <c r="H227" s="162">
        <v>45413.0</v>
      </c>
      <c r="I227" s="163" t="s">
        <v>25</v>
      </c>
      <c r="J227" s="163" t="s">
        <v>5173</v>
      </c>
      <c r="K227" s="163" t="s">
        <v>31</v>
      </c>
      <c r="L227" s="165"/>
      <c r="M227" s="174"/>
      <c r="N227" s="16" t="s">
        <v>5135</v>
      </c>
      <c r="O227" s="16"/>
      <c r="P227" s="16"/>
      <c r="Q227" s="17"/>
      <c r="R227" s="17"/>
      <c r="S227" s="17"/>
      <c r="T227" s="17"/>
      <c r="U227" s="17"/>
      <c r="V227" s="17"/>
      <c r="W227" s="17"/>
      <c r="X227" s="17"/>
      <c r="Y227" s="17"/>
    </row>
    <row r="228" ht="18.75" customHeight="1">
      <c r="A228" s="9">
        <v>227.0</v>
      </c>
      <c r="B228" s="161" t="s">
        <v>1567</v>
      </c>
      <c r="C228" s="169" t="s">
        <v>1568</v>
      </c>
      <c r="D228" s="169" t="s">
        <v>207</v>
      </c>
      <c r="E228" s="169" t="s">
        <v>5653</v>
      </c>
      <c r="F228" s="169" t="s">
        <v>5654</v>
      </c>
      <c r="G228" s="162">
        <v>45413.0</v>
      </c>
      <c r="H228" s="162">
        <v>45414.0</v>
      </c>
      <c r="I228" s="163" t="s">
        <v>25</v>
      </c>
      <c r="J228" s="163" t="s">
        <v>37</v>
      </c>
      <c r="K228" s="163" t="s">
        <v>31</v>
      </c>
      <c r="L228" s="165"/>
      <c r="M228" s="174"/>
      <c r="N228" s="16" t="s">
        <v>5135</v>
      </c>
      <c r="O228" s="16"/>
      <c r="P228" s="16"/>
      <c r="Q228" s="17"/>
      <c r="R228" s="17"/>
      <c r="S228" s="17"/>
      <c r="T228" s="17"/>
      <c r="U228" s="17"/>
      <c r="V228" s="17"/>
      <c r="W228" s="17"/>
      <c r="X228" s="17"/>
      <c r="Y228" s="17"/>
    </row>
    <row r="229" ht="18.75" customHeight="1">
      <c r="A229" s="9">
        <v>228.0</v>
      </c>
      <c r="B229" s="161" t="s">
        <v>1575</v>
      </c>
      <c r="C229" s="169" t="s">
        <v>1576</v>
      </c>
      <c r="D229" s="169" t="s">
        <v>173</v>
      </c>
      <c r="E229" s="169" t="s">
        <v>5655</v>
      </c>
      <c r="F229" s="169" t="s">
        <v>5656</v>
      </c>
      <c r="G229" s="162">
        <v>45413.0</v>
      </c>
      <c r="H229" s="162">
        <v>45414.0</v>
      </c>
      <c r="I229" s="163" t="s">
        <v>25</v>
      </c>
      <c r="J229" s="163" t="s">
        <v>213</v>
      </c>
      <c r="K229" s="163" t="s">
        <v>31</v>
      </c>
      <c r="L229" s="165"/>
      <c r="M229" s="174"/>
      <c r="N229" s="16" t="s">
        <v>5135</v>
      </c>
      <c r="O229" s="16"/>
      <c r="P229" s="16"/>
      <c r="Q229" s="17"/>
      <c r="R229" s="17"/>
      <c r="S229" s="17"/>
      <c r="T229" s="17"/>
      <c r="U229" s="17"/>
      <c r="V229" s="17"/>
      <c r="W229" s="17"/>
      <c r="X229" s="17"/>
      <c r="Y229" s="17"/>
    </row>
    <row r="230" ht="18.75" customHeight="1">
      <c r="A230" s="9">
        <v>229.0</v>
      </c>
      <c r="B230" s="161" t="s">
        <v>1579</v>
      </c>
      <c r="C230" s="169" t="s">
        <v>1580</v>
      </c>
      <c r="D230" s="169" t="s">
        <v>173</v>
      </c>
      <c r="E230" s="169" t="s">
        <v>5657</v>
      </c>
      <c r="F230" s="169" t="s">
        <v>5658</v>
      </c>
      <c r="G230" s="162">
        <v>45413.0</v>
      </c>
      <c r="H230" s="162">
        <v>45414.0</v>
      </c>
      <c r="I230" s="163" t="s">
        <v>25</v>
      </c>
      <c r="J230" s="163" t="s">
        <v>213</v>
      </c>
      <c r="K230" s="163" t="s">
        <v>31</v>
      </c>
      <c r="L230" s="165"/>
      <c r="M230" s="174"/>
      <c r="N230" s="16" t="s">
        <v>5135</v>
      </c>
      <c r="O230" s="16"/>
      <c r="P230" s="16"/>
      <c r="Q230" s="17"/>
      <c r="R230" s="17"/>
      <c r="S230" s="17"/>
      <c r="T230" s="17"/>
      <c r="U230" s="17"/>
      <c r="V230" s="17"/>
      <c r="W230" s="17"/>
      <c r="X230" s="17"/>
      <c r="Y230" s="17"/>
    </row>
    <row r="231" ht="18.75" customHeight="1">
      <c r="A231" s="9">
        <v>230.0</v>
      </c>
      <c r="B231" s="161" t="s">
        <v>1366</v>
      </c>
      <c r="C231" s="169" t="s">
        <v>5659</v>
      </c>
      <c r="D231" s="169" t="s">
        <v>42</v>
      </c>
      <c r="E231" s="169" t="s">
        <v>5660</v>
      </c>
      <c r="F231" s="169" t="s">
        <v>5661</v>
      </c>
      <c r="G231" s="162">
        <v>45425.0</v>
      </c>
      <c r="H231" s="162">
        <v>45426.0</v>
      </c>
      <c r="I231" s="163" t="s">
        <v>25</v>
      </c>
      <c r="J231" s="163" t="s">
        <v>37</v>
      </c>
      <c r="K231" s="163" t="s">
        <v>31</v>
      </c>
      <c r="L231" s="165"/>
      <c r="M231" s="161"/>
      <c r="N231" s="16" t="s">
        <v>5135</v>
      </c>
      <c r="O231" s="16"/>
      <c r="P231" s="16"/>
      <c r="Q231" s="17"/>
      <c r="R231" s="17"/>
      <c r="S231" s="17"/>
      <c r="T231" s="17"/>
      <c r="U231" s="17"/>
      <c r="V231" s="17"/>
      <c r="W231" s="17"/>
      <c r="X231" s="17"/>
      <c r="Y231" s="17"/>
    </row>
    <row r="232" ht="18.75" customHeight="1">
      <c r="A232" s="9">
        <v>231.0</v>
      </c>
      <c r="B232" s="161" t="s">
        <v>1626</v>
      </c>
      <c r="C232" s="169" t="s">
        <v>1627</v>
      </c>
      <c r="D232" s="169" t="s">
        <v>128</v>
      </c>
      <c r="E232" s="169" t="s">
        <v>134</v>
      </c>
      <c r="F232" s="169" t="s">
        <v>5662</v>
      </c>
      <c r="G232" s="162">
        <v>45432.0</v>
      </c>
      <c r="H232" s="162">
        <v>45433.0</v>
      </c>
      <c r="I232" s="163" t="s">
        <v>119</v>
      </c>
      <c r="J232" s="163" t="s">
        <v>213</v>
      </c>
      <c r="K232" s="163" t="s">
        <v>31</v>
      </c>
      <c r="L232" s="165"/>
      <c r="M232" s="174"/>
      <c r="N232" s="16" t="s">
        <v>5135</v>
      </c>
      <c r="O232" s="16"/>
      <c r="P232" s="16"/>
      <c r="Q232" s="17"/>
      <c r="R232" s="17"/>
      <c r="S232" s="17"/>
      <c r="T232" s="17"/>
      <c r="U232" s="17"/>
      <c r="V232" s="17"/>
      <c r="W232" s="17"/>
      <c r="X232" s="17"/>
      <c r="Y232" s="17"/>
    </row>
    <row r="233" ht="18.75" customHeight="1">
      <c r="A233" s="9">
        <v>232.0</v>
      </c>
      <c r="B233" s="161" t="s">
        <v>5663</v>
      </c>
      <c r="C233" s="169" t="s">
        <v>5664</v>
      </c>
      <c r="D233" s="169" t="s">
        <v>5665</v>
      </c>
      <c r="E233" s="169" t="s">
        <v>5666</v>
      </c>
      <c r="F233" s="169" t="s">
        <v>5667</v>
      </c>
      <c r="G233" s="162">
        <v>45443.0</v>
      </c>
      <c r="H233" s="162">
        <v>45444.0</v>
      </c>
      <c r="I233" s="163" t="s">
        <v>25</v>
      </c>
      <c r="J233" s="163" t="s">
        <v>5173</v>
      </c>
      <c r="K233" s="163" t="s">
        <v>31</v>
      </c>
      <c r="L233" s="165"/>
      <c r="M233" s="174"/>
      <c r="N233" s="16" t="s">
        <v>5135</v>
      </c>
      <c r="O233" s="16"/>
      <c r="P233" s="16"/>
      <c r="Q233" s="17"/>
      <c r="R233" s="17"/>
      <c r="S233" s="17"/>
      <c r="T233" s="17"/>
      <c r="U233" s="17"/>
      <c r="V233" s="17"/>
      <c r="W233" s="17"/>
      <c r="X233" s="17"/>
      <c r="Y233" s="17"/>
    </row>
    <row r="234" ht="18.75" customHeight="1">
      <c r="A234" s="9">
        <v>233.0</v>
      </c>
      <c r="B234" s="161" t="s">
        <v>1400</v>
      </c>
      <c r="C234" s="169" t="s">
        <v>1401</v>
      </c>
      <c r="D234" s="169" t="s">
        <v>5668</v>
      </c>
      <c r="E234" s="169" t="s">
        <v>5669</v>
      </c>
      <c r="F234" s="169" t="s">
        <v>5670</v>
      </c>
      <c r="G234" s="162">
        <v>45443.0</v>
      </c>
      <c r="H234" s="162">
        <v>45444.0</v>
      </c>
      <c r="I234" s="163" t="s">
        <v>21</v>
      </c>
      <c r="J234" s="163" t="s">
        <v>22</v>
      </c>
      <c r="K234" s="163" t="s">
        <v>31</v>
      </c>
      <c r="L234" s="165"/>
      <c r="M234" s="161"/>
      <c r="N234" s="16" t="s">
        <v>5135</v>
      </c>
      <c r="O234" s="16"/>
      <c r="P234" s="16"/>
      <c r="Q234" s="17"/>
      <c r="R234" s="17"/>
      <c r="S234" s="17"/>
      <c r="T234" s="17"/>
      <c r="U234" s="17"/>
      <c r="V234" s="17"/>
      <c r="W234" s="17"/>
      <c r="X234" s="17"/>
      <c r="Y234" s="17"/>
    </row>
    <row r="235" ht="18.75" customHeight="1">
      <c r="A235" s="9">
        <v>234.0</v>
      </c>
      <c r="B235" s="166" t="s">
        <v>1596</v>
      </c>
      <c r="C235" s="170" t="s">
        <v>1597</v>
      </c>
      <c r="D235" s="170" t="s">
        <v>53</v>
      </c>
      <c r="E235" s="170" t="s">
        <v>1598</v>
      </c>
      <c r="F235" s="170" t="s">
        <v>5671</v>
      </c>
      <c r="G235" s="162">
        <v>45443.0</v>
      </c>
      <c r="H235" s="162">
        <v>45444.0</v>
      </c>
      <c r="I235" s="163" t="s">
        <v>21</v>
      </c>
      <c r="J235" s="163" t="s">
        <v>22</v>
      </c>
      <c r="K235" s="163" t="s">
        <v>531</v>
      </c>
      <c r="L235" s="165"/>
      <c r="M235" s="161"/>
      <c r="N235" s="16"/>
      <c r="O235" s="16"/>
      <c r="P235" s="16"/>
      <c r="Q235" s="17"/>
      <c r="R235" s="17"/>
      <c r="S235" s="17"/>
      <c r="T235" s="17"/>
      <c r="U235" s="17"/>
      <c r="V235" s="17"/>
      <c r="W235" s="17"/>
      <c r="X235" s="17"/>
      <c r="Y235" s="17"/>
    </row>
    <row r="236" ht="18.75" customHeight="1">
      <c r="A236" s="9">
        <v>235.0</v>
      </c>
      <c r="B236" s="161" t="s">
        <v>1600</v>
      </c>
      <c r="C236" s="169" t="s">
        <v>1601</v>
      </c>
      <c r="D236" s="169" t="s">
        <v>1219</v>
      </c>
      <c r="E236" s="169" t="s">
        <v>1602</v>
      </c>
      <c r="F236" s="169" t="s">
        <v>5672</v>
      </c>
      <c r="G236" s="162">
        <v>45460.0</v>
      </c>
      <c r="H236" s="162">
        <v>45461.0</v>
      </c>
      <c r="I236" s="163" t="s">
        <v>25</v>
      </c>
      <c r="J236" s="163" t="s">
        <v>37</v>
      </c>
      <c r="K236" s="163" t="s">
        <v>31</v>
      </c>
      <c r="L236" s="165"/>
      <c r="M236" s="161"/>
      <c r="N236" s="16" t="s">
        <v>5135</v>
      </c>
      <c r="O236" s="16"/>
      <c r="P236" s="16"/>
      <c r="Q236" s="17"/>
      <c r="R236" s="17"/>
      <c r="S236" s="17"/>
      <c r="T236" s="17"/>
      <c r="U236" s="17"/>
      <c r="V236" s="17"/>
      <c r="W236" s="17"/>
      <c r="X236" s="17"/>
      <c r="Y236" s="17"/>
    </row>
    <row r="237" ht="18.75" customHeight="1">
      <c r="A237" s="9">
        <v>236.0</v>
      </c>
      <c r="B237" s="166" t="s">
        <v>5673</v>
      </c>
      <c r="C237" s="170" t="s">
        <v>1609</v>
      </c>
      <c r="D237" s="170" t="s">
        <v>271</v>
      </c>
      <c r="E237" s="170" t="s">
        <v>1610</v>
      </c>
      <c r="F237" s="170" t="s">
        <v>782</v>
      </c>
      <c r="G237" s="162">
        <v>45443.0</v>
      </c>
      <c r="H237" s="162">
        <v>45444.0</v>
      </c>
      <c r="I237" s="163" t="s">
        <v>21</v>
      </c>
      <c r="J237" s="163" t="s">
        <v>22</v>
      </c>
      <c r="K237" s="163" t="s">
        <v>531</v>
      </c>
      <c r="L237" s="165"/>
      <c r="M237" s="161"/>
      <c r="N237" s="16"/>
      <c r="O237" s="16"/>
      <c r="P237" s="16"/>
      <c r="Q237" s="17"/>
      <c r="R237" s="17"/>
      <c r="S237" s="17"/>
      <c r="T237" s="17"/>
      <c r="U237" s="17"/>
      <c r="V237" s="17"/>
      <c r="W237" s="17"/>
      <c r="X237" s="17"/>
      <c r="Y237" s="17"/>
    </row>
    <row r="238" ht="18.75" customHeight="1">
      <c r="A238" s="9">
        <v>237.0</v>
      </c>
      <c r="B238" s="161" t="s">
        <v>1629</v>
      </c>
      <c r="C238" s="169" t="s">
        <v>1630</v>
      </c>
      <c r="D238" s="169" t="s">
        <v>706</v>
      </c>
      <c r="E238" s="169" t="s">
        <v>1631</v>
      </c>
      <c r="F238" s="169" t="s">
        <v>5674</v>
      </c>
      <c r="G238" s="162">
        <v>45443.0</v>
      </c>
      <c r="H238" s="162">
        <v>45444.0</v>
      </c>
      <c r="I238" s="163" t="s">
        <v>25</v>
      </c>
      <c r="J238" s="163" t="s">
        <v>37</v>
      </c>
      <c r="K238" s="163" t="s">
        <v>31</v>
      </c>
      <c r="L238" s="165"/>
      <c r="M238" s="161"/>
      <c r="N238" s="16" t="s">
        <v>5135</v>
      </c>
      <c r="O238" s="16"/>
      <c r="P238" s="16"/>
      <c r="Q238" s="17"/>
      <c r="R238" s="17"/>
      <c r="S238" s="17"/>
      <c r="T238" s="17"/>
      <c r="U238" s="17"/>
      <c r="V238" s="17"/>
      <c r="W238" s="17"/>
      <c r="X238" s="17"/>
      <c r="Y238" s="17"/>
    </row>
    <row r="239" ht="18.75" customHeight="1">
      <c r="A239" s="9">
        <v>238.0</v>
      </c>
      <c r="B239" s="161" t="s">
        <v>5675</v>
      </c>
      <c r="C239" s="169" t="s">
        <v>1634</v>
      </c>
      <c r="D239" s="169" t="s">
        <v>697</v>
      </c>
      <c r="E239" s="169" t="s">
        <v>1635</v>
      </c>
      <c r="F239" s="169" t="s">
        <v>5676</v>
      </c>
      <c r="G239" s="162">
        <v>45443.0</v>
      </c>
      <c r="H239" s="162">
        <v>45444.0</v>
      </c>
      <c r="I239" s="163" t="s">
        <v>119</v>
      </c>
      <c r="J239" s="163" t="s">
        <v>5173</v>
      </c>
      <c r="K239" s="163" t="s">
        <v>31</v>
      </c>
      <c r="L239" s="165"/>
      <c r="M239" s="174"/>
      <c r="N239" s="16" t="s">
        <v>5135</v>
      </c>
      <c r="O239" s="16"/>
      <c r="P239" s="16"/>
      <c r="Q239" s="17"/>
      <c r="R239" s="17"/>
      <c r="S239" s="17"/>
      <c r="T239" s="17"/>
      <c r="U239" s="17"/>
      <c r="V239" s="17"/>
      <c r="W239" s="17"/>
      <c r="X239" s="17"/>
      <c r="Y239" s="17"/>
    </row>
    <row r="240" ht="18.75" customHeight="1">
      <c r="A240" s="9">
        <v>239.0</v>
      </c>
      <c r="B240" s="161" t="s">
        <v>1646</v>
      </c>
      <c r="C240" s="169" t="s">
        <v>1647</v>
      </c>
      <c r="D240" s="169" t="s">
        <v>1397</v>
      </c>
      <c r="E240" s="169" t="s">
        <v>5677</v>
      </c>
      <c r="F240" s="169" t="s">
        <v>5678</v>
      </c>
      <c r="G240" s="162">
        <v>45443.0</v>
      </c>
      <c r="H240" s="162">
        <v>45444.0</v>
      </c>
      <c r="I240" s="163" t="s">
        <v>25</v>
      </c>
      <c r="J240" s="163" t="s">
        <v>5420</v>
      </c>
      <c r="K240" s="163" t="s">
        <v>31</v>
      </c>
      <c r="L240" s="165"/>
      <c r="M240" s="161"/>
      <c r="N240" s="16" t="s">
        <v>5135</v>
      </c>
      <c r="O240" s="16"/>
      <c r="P240" s="16"/>
      <c r="Q240" s="17"/>
      <c r="R240" s="17"/>
      <c r="S240" s="17"/>
      <c r="T240" s="17"/>
      <c r="U240" s="17"/>
      <c r="V240" s="17"/>
      <c r="W240" s="17"/>
      <c r="X240" s="17"/>
      <c r="Y240" s="17"/>
    </row>
    <row r="241" ht="18.75" customHeight="1">
      <c r="A241" s="9">
        <v>240.0</v>
      </c>
      <c r="B241" s="161" t="s">
        <v>1649</v>
      </c>
      <c r="C241" s="169" t="s">
        <v>1650</v>
      </c>
      <c r="D241" s="169" t="s">
        <v>1651</v>
      </c>
      <c r="E241" s="169" t="s">
        <v>1652</v>
      </c>
      <c r="F241" s="169" t="s">
        <v>5679</v>
      </c>
      <c r="G241" s="162">
        <v>45443.0</v>
      </c>
      <c r="H241" s="162">
        <v>45444.0</v>
      </c>
      <c r="I241" s="163" t="s">
        <v>119</v>
      </c>
      <c r="J241" s="163" t="s">
        <v>5420</v>
      </c>
      <c r="K241" s="163" t="s">
        <v>31</v>
      </c>
      <c r="L241" s="165"/>
      <c r="M241" s="161"/>
      <c r="N241" s="16" t="s">
        <v>5135</v>
      </c>
      <c r="O241" s="16"/>
      <c r="P241" s="16"/>
      <c r="Q241" s="17"/>
      <c r="R241" s="17"/>
      <c r="S241" s="17"/>
      <c r="T241" s="17"/>
      <c r="U241" s="17"/>
      <c r="V241" s="17"/>
      <c r="W241" s="17"/>
      <c r="X241" s="17"/>
      <c r="Y241" s="17"/>
    </row>
    <row r="242" ht="18.75" customHeight="1">
      <c r="A242" s="9">
        <v>241.0</v>
      </c>
      <c r="B242" s="161" t="s">
        <v>1898</v>
      </c>
      <c r="C242" s="169" t="s">
        <v>1899</v>
      </c>
      <c r="D242" s="169" t="s">
        <v>128</v>
      </c>
      <c r="E242" s="169" t="s">
        <v>1900</v>
      </c>
      <c r="F242" s="169" t="s">
        <v>5680</v>
      </c>
      <c r="G242" s="162">
        <v>45443.0</v>
      </c>
      <c r="H242" s="162">
        <v>45444.0</v>
      </c>
      <c r="I242" s="163" t="s">
        <v>119</v>
      </c>
      <c r="J242" s="163" t="s">
        <v>213</v>
      </c>
      <c r="K242" s="163" t="s">
        <v>31</v>
      </c>
      <c r="L242" s="165"/>
      <c r="M242" s="174"/>
      <c r="N242" s="16" t="s">
        <v>5135</v>
      </c>
      <c r="O242" s="16"/>
      <c r="P242" s="16"/>
      <c r="Q242" s="17"/>
      <c r="R242" s="17"/>
      <c r="S242" s="17"/>
      <c r="T242" s="17"/>
      <c r="U242" s="17"/>
      <c r="V242" s="17"/>
      <c r="W242" s="17"/>
      <c r="X242" s="17"/>
      <c r="Y242" s="17"/>
    </row>
    <row r="243" ht="18.75" customHeight="1">
      <c r="A243" s="9">
        <v>242.0</v>
      </c>
      <c r="B243" s="161" t="s">
        <v>1747</v>
      </c>
      <c r="C243" s="169" t="s">
        <v>1748</v>
      </c>
      <c r="D243" s="169" t="s">
        <v>1749</v>
      </c>
      <c r="E243" s="169" t="s">
        <v>1652</v>
      </c>
      <c r="F243" s="169" t="s">
        <v>5681</v>
      </c>
      <c r="G243" s="162">
        <v>45458.0</v>
      </c>
      <c r="H243" s="162">
        <v>45459.0</v>
      </c>
      <c r="I243" s="163" t="s">
        <v>119</v>
      </c>
      <c r="J243" s="163" t="s">
        <v>5420</v>
      </c>
      <c r="K243" s="163" t="s">
        <v>31</v>
      </c>
      <c r="L243" s="165"/>
      <c r="M243" s="161"/>
      <c r="N243" s="16" t="s">
        <v>5135</v>
      </c>
      <c r="O243" s="16"/>
      <c r="P243" s="16"/>
      <c r="Q243" s="17"/>
      <c r="R243" s="17"/>
      <c r="S243" s="17"/>
      <c r="T243" s="17"/>
      <c r="U243" s="17"/>
      <c r="V243" s="17"/>
      <c r="W243" s="17"/>
      <c r="X243" s="17"/>
      <c r="Y243" s="17"/>
    </row>
    <row r="244" ht="18.75" customHeight="1">
      <c r="A244" s="9">
        <v>243.0</v>
      </c>
      <c r="B244" s="161" t="s">
        <v>1787</v>
      </c>
      <c r="C244" s="169" t="s">
        <v>1788</v>
      </c>
      <c r="D244" s="169" t="s">
        <v>1749</v>
      </c>
      <c r="E244" s="169" t="s">
        <v>1652</v>
      </c>
      <c r="F244" s="169" t="s">
        <v>5682</v>
      </c>
      <c r="G244" s="162">
        <v>45461.0</v>
      </c>
      <c r="H244" s="162">
        <v>45462.0</v>
      </c>
      <c r="I244" s="163" t="s">
        <v>119</v>
      </c>
      <c r="J244" s="163" t="s">
        <v>5420</v>
      </c>
      <c r="K244" s="163" t="s">
        <v>31</v>
      </c>
      <c r="L244" s="165"/>
      <c r="M244" s="161"/>
      <c r="N244" s="16" t="s">
        <v>5135</v>
      </c>
      <c r="O244" s="16"/>
      <c r="P244" s="16"/>
      <c r="Q244" s="17"/>
      <c r="R244" s="17"/>
      <c r="S244" s="17"/>
      <c r="T244" s="17"/>
      <c r="U244" s="17"/>
      <c r="V244" s="17"/>
      <c r="W244" s="17"/>
      <c r="X244" s="17"/>
      <c r="Y244" s="17"/>
    </row>
    <row r="245" ht="18.75" customHeight="1">
      <c r="A245" s="9">
        <v>244.0</v>
      </c>
      <c r="B245" s="161" t="s">
        <v>1342</v>
      </c>
      <c r="C245" s="169" t="s">
        <v>1343</v>
      </c>
      <c r="D245" s="169" t="s">
        <v>1296</v>
      </c>
      <c r="E245" s="169" t="s">
        <v>1344</v>
      </c>
      <c r="F245" s="169" t="s">
        <v>5683</v>
      </c>
      <c r="G245" s="162">
        <v>45443.0</v>
      </c>
      <c r="H245" s="162">
        <v>45444.0</v>
      </c>
      <c r="I245" s="163" t="s">
        <v>25</v>
      </c>
      <c r="J245" s="163" t="s">
        <v>37</v>
      </c>
      <c r="K245" s="163" t="s">
        <v>31</v>
      </c>
      <c r="L245" s="165"/>
      <c r="M245" s="161"/>
      <c r="N245" s="16" t="s">
        <v>5135</v>
      </c>
      <c r="O245" s="16"/>
      <c r="P245" s="16"/>
      <c r="Q245" s="17"/>
      <c r="R245" s="17"/>
      <c r="S245" s="17"/>
      <c r="T245" s="17"/>
      <c r="U245" s="17"/>
      <c r="V245" s="17"/>
      <c r="W245" s="17"/>
      <c r="X245" s="17"/>
      <c r="Y245" s="17"/>
    </row>
    <row r="246" ht="18.75" customHeight="1">
      <c r="A246" s="9">
        <v>245.0</v>
      </c>
      <c r="B246" s="161" t="s">
        <v>1653</v>
      </c>
      <c r="C246" s="169" t="s">
        <v>1654</v>
      </c>
      <c r="D246" s="169" t="s">
        <v>701</v>
      </c>
      <c r="E246" s="169" t="s">
        <v>1655</v>
      </c>
      <c r="F246" s="169" t="s">
        <v>5684</v>
      </c>
      <c r="G246" s="162">
        <v>45451.0</v>
      </c>
      <c r="H246" s="162">
        <v>45452.0</v>
      </c>
      <c r="I246" s="163" t="s">
        <v>25</v>
      </c>
      <c r="J246" s="163" t="s">
        <v>22</v>
      </c>
      <c r="K246" s="163" t="s">
        <v>31</v>
      </c>
      <c r="L246" s="165"/>
      <c r="M246" s="161"/>
      <c r="N246" s="16" t="s">
        <v>5135</v>
      </c>
      <c r="O246" s="16"/>
      <c r="P246" s="16"/>
      <c r="Q246" s="17"/>
      <c r="R246" s="17"/>
      <c r="S246" s="17"/>
      <c r="T246" s="17"/>
      <c r="U246" s="17"/>
      <c r="V246" s="17"/>
      <c r="W246" s="17"/>
      <c r="X246" s="17"/>
      <c r="Y246" s="17"/>
    </row>
    <row r="247" ht="18.75" customHeight="1">
      <c r="A247" s="9">
        <v>246.0</v>
      </c>
      <c r="B247" s="161" t="s">
        <v>5685</v>
      </c>
      <c r="C247" s="169" t="s">
        <v>5686</v>
      </c>
      <c r="D247" s="169" t="s">
        <v>701</v>
      </c>
      <c r="E247" s="169" t="s">
        <v>5606</v>
      </c>
      <c r="F247" s="169" t="s">
        <v>5687</v>
      </c>
      <c r="G247" s="162">
        <v>45458.0</v>
      </c>
      <c r="H247" s="162">
        <v>45459.0</v>
      </c>
      <c r="I247" s="163" t="s">
        <v>25</v>
      </c>
      <c r="J247" s="163" t="s">
        <v>22</v>
      </c>
      <c r="K247" s="163" t="s">
        <v>31</v>
      </c>
      <c r="L247" s="165"/>
      <c r="M247" s="161"/>
      <c r="N247" s="16" t="s">
        <v>5135</v>
      </c>
      <c r="O247" s="16"/>
      <c r="P247" s="16"/>
      <c r="Q247" s="17"/>
      <c r="R247" s="17"/>
      <c r="S247" s="17"/>
      <c r="T247" s="17"/>
      <c r="U247" s="17"/>
      <c r="V247" s="17"/>
      <c r="W247" s="17"/>
      <c r="X247" s="17"/>
      <c r="Y247" s="17"/>
    </row>
    <row r="248" ht="18.75" customHeight="1">
      <c r="A248" s="9">
        <v>247.0</v>
      </c>
      <c r="B248" s="161" t="s">
        <v>1665</v>
      </c>
      <c r="C248" s="169" t="s">
        <v>1666</v>
      </c>
      <c r="D248" s="169" t="s">
        <v>701</v>
      </c>
      <c r="E248" s="169" t="s">
        <v>1667</v>
      </c>
      <c r="F248" s="169" t="s">
        <v>5688</v>
      </c>
      <c r="G248" s="162">
        <v>45443.0</v>
      </c>
      <c r="H248" s="162">
        <v>45444.0</v>
      </c>
      <c r="I248" s="163" t="s">
        <v>119</v>
      </c>
      <c r="J248" s="163" t="s">
        <v>22</v>
      </c>
      <c r="K248" s="163" t="s">
        <v>31</v>
      </c>
      <c r="L248" s="165"/>
      <c r="M248" s="161"/>
      <c r="N248" s="16" t="s">
        <v>5135</v>
      </c>
      <c r="O248" s="16"/>
      <c r="P248" s="16"/>
      <c r="Q248" s="17"/>
      <c r="R248" s="17"/>
      <c r="S248" s="17"/>
      <c r="T248" s="17"/>
      <c r="U248" s="17"/>
      <c r="V248" s="17"/>
      <c r="W248" s="17"/>
      <c r="X248" s="17"/>
      <c r="Y248" s="17"/>
    </row>
    <row r="249" ht="18.75" customHeight="1">
      <c r="A249" s="9">
        <v>248.0</v>
      </c>
      <c r="B249" s="161" t="s">
        <v>1669</v>
      </c>
      <c r="C249" s="169" t="s">
        <v>1670</v>
      </c>
      <c r="D249" s="169" t="s">
        <v>231</v>
      </c>
      <c r="E249" s="169" t="s">
        <v>1671</v>
      </c>
      <c r="F249" s="169" t="s">
        <v>5689</v>
      </c>
      <c r="G249" s="162">
        <v>45458.0</v>
      </c>
      <c r="H249" s="162">
        <v>45459.0</v>
      </c>
      <c r="I249" s="163" t="s">
        <v>25</v>
      </c>
      <c r="J249" s="163" t="s">
        <v>37</v>
      </c>
      <c r="K249" s="163" t="s">
        <v>31</v>
      </c>
      <c r="L249" s="165"/>
      <c r="M249" s="161"/>
      <c r="N249" s="16" t="s">
        <v>5135</v>
      </c>
      <c r="O249" s="16"/>
      <c r="P249" s="16"/>
      <c r="Q249" s="17"/>
      <c r="R249" s="17"/>
      <c r="S249" s="17"/>
      <c r="T249" s="17"/>
      <c r="U249" s="17"/>
      <c r="V249" s="17"/>
      <c r="W249" s="17"/>
      <c r="X249" s="17"/>
      <c r="Y249" s="17"/>
    </row>
    <row r="250" ht="18.75" customHeight="1">
      <c r="A250" s="9">
        <v>249.0</v>
      </c>
      <c r="B250" s="161" t="s">
        <v>1681</v>
      </c>
      <c r="C250" s="169" t="s">
        <v>1682</v>
      </c>
      <c r="D250" s="169" t="s">
        <v>153</v>
      </c>
      <c r="E250" s="169" t="s">
        <v>154</v>
      </c>
      <c r="F250" s="169" t="s">
        <v>5690</v>
      </c>
      <c r="G250" s="162">
        <v>45443.0</v>
      </c>
      <c r="H250" s="162">
        <v>45444.0</v>
      </c>
      <c r="I250" s="163" t="s">
        <v>25</v>
      </c>
      <c r="J250" s="163" t="s">
        <v>22</v>
      </c>
      <c r="K250" s="163" t="s">
        <v>31</v>
      </c>
      <c r="L250" s="165"/>
      <c r="M250" s="161"/>
      <c r="N250" s="16" t="s">
        <v>5135</v>
      </c>
      <c r="O250" s="16"/>
      <c r="P250" s="16"/>
      <c r="Q250" s="17"/>
      <c r="R250" s="17"/>
      <c r="S250" s="17"/>
      <c r="T250" s="17"/>
      <c r="U250" s="17"/>
      <c r="V250" s="17"/>
      <c r="W250" s="17"/>
      <c r="X250" s="17"/>
      <c r="Y250" s="17"/>
    </row>
    <row r="251" ht="18.75" customHeight="1">
      <c r="A251" s="9">
        <v>250.0</v>
      </c>
      <c r="B251" s="161" t="s">
        <v>1677</v>
      </c>
      <c r="C251" s="169" t="s">
        <v>1678</v>
      </c>
      <c r="D251" s="169" t="s">
        <v>682</v>
      </c>
      <c r="E251" s="169" t="s">
        <v>1679</v>
      </c>
      <c r="F251" s="169" t="s">
        <v>5691</v>
      </c>
      <c r="G251" s="162">
        <v>45457.0</v>
      </c>
      <c r="H251" s="162">
        <v>45458.0</v>
      </c>
      <c r="I251" s="163" t="s">
        <v>25</v>
      </c>
      <c r="J251" s="163" t="s">
        <v>37</v>
      </c>
      <c r="K251" s="163" t="s">
        <v>31</v>
      </c>
      <c r="L251" s="165"/>
      <c r="M251" s="161"/>
      <c r="N251" s="16" t="s">
        <v>5135</v>
      </c>
      <c r="O251" s="16"/>
      <c r="P251" s="16"/>
      <c r="Q251" s="17"/>
      <c r="R251" s="17"/>
      <c r="S251" s="17"/>
      <c r="T251" s="17"/>
      <c r="U251" s="17"/>
      <c r="V251" s="17"/>
      <c r="W251" s="17"/>
      <c r="X251" s="17"/>
      <c r="Y251" s="17"/>
    </row>
    <row r="252" ht="18.75" customHeight="1">
      <c r="A252" s="9">
        <v>251.0</v>
      </c>
      <c r="B252" s="161" t="s">
        <v>1684</v>
      </c>
      <c r="C252" s="169" t="s">
        <v>1685</v>
      </c>
      <c r="D252" s="169" t="s">
        <v>362</v>
      </c>
      <c r="E252" s="169" t="s">
        <v>1686</v>
      </c>
      <c r="F252" s="169" t="s">
        <v>5692</v>
      </c>
      <c r="G252" s="162">
        <v>45443.0</v>
      </c>
      <c r="H252" s="162">
        <v>45444.0</v>
      </c>
      <c r="I252" s="163" t="s">
        <v>119</v>
      </c>
      <c r="J252" s="163" t="s">
        <v>37</v>
      </c>
      <c r="K252" s="163" t="s">
        <v>31</v>
      </c>
      <c r="L252" s="165"/>
      <c r="M252" s="161"/>
      <c r="N252" s="16" t="s">
        <v>5135</v>
      </c>
      <c r="O252" s="16"/>
      <c r="P252" s="16"/>
      <c r="Q252" s="17"/>
      <c r="R252" s="17"/>
      <c r="S252" s="17"/>
      <c r="T252" s="17"/>
      <c r="U252" s="17"/>
      <c r="V252" s="17"/>
      <c r="W252" s="17"/>
      <c r="X252" s="17"/>
      <c r="Y252" s="17"/>
    </row>
    <row r="253" ht="18.75" customHeight="1">
      <c r="A253" s="9">
        <v>252.0</v>
      </c>
      <c r="B253" s="166" t="s">
        <v>1692</v>
      </c>
      <c r="C253" s="170" t="s">
        <v>1693</v>
      </c>
      <c r="D253" s="170" t="s">
        <v>207</v>
      </c>
      <c r="E253" s="170" t="s">
        <v>236</v>
      </c>
      <c r="F253" s="170" t="s">
        <v>5693</v>
      </c>
      <c r="G253" s="162">
        <v>45460.0</v>
      </c>
      <c r="H253" s="162">
        <v>45461.0</v>
      </c>
      <c r="I253" s="163" t="s">
        <v>21</v>
      </c>
      <c r="J253" s="163" t="s">
        <v>22</v>
      </c>
      <c r="K253" s="163" t="s">
        <v>531</v>
      </c>
      <c r="L253" s="165"/>
      <c r="M253" s="161"/>
      <c r="N253" s="16"/>
      <c r="O253" s="16"/>
      <c r="P253" s="16"/>
      <c r="Q253" s="17"/>
      <c r="R253" s="17"/>
      <c r="S253" s="17"/>
      <c r="T253" s="17"/>
      <c r="U253" s="17"/>
      <c r="V253" s="17"/>
      <c r="W253" s="17"/>
      <c r="X253" s="17"/>
      <c r="Y253" s="17"/>
    </row>
    <row r="254" ht="18.75" customHeight="1">
      <c r="A254" s="9">
        <v>253.0</v>
      </c>
      <c r="B254" s="161" t="s">
        <v>1700</v>
      </c>
      <c r="C254" s="169" t="s">
        <v>1701</v>
      </c>
      <c r="D254" s="169" t="s">
        <v>116</v>
      </c>
      <c r="E254" s="169" t="s">
        <v>1702</v>
      </c>
      <c r="F254" s="169" t="s">
        <v>5694</v>
      </c>
      <c r="G254" s="162">
        <v>45471.0</v>
      </c>
      <c r="H254" s="162">
        <v>45472.0</v>
      </c>
      <c r="I254" s="163" t="s">
        <v>25</v>
      </c>
      <c r="J254" s="163" t="s">
        <v>37</v>
      </c>
      <c r="K254" s="163" t="s">
        <v>31</v>
      </c>
      <c r="L254" s="165"/>
      <c r="M254" s="161"/>
      <c r="N254" s="16" t="s">
        <v>5135</v>
      </c>
      <c r="O254" s="16"/>
      <c r="P254" s="16"/>
      <c r="Q254" s="17"/>
      <c r="R254" s="17"/>
      <c r="S254" s="17"/>
      <c r="T254" s="17"/>
      <c r="U254" s="17"/>
      <c r="V254" s="17"/>
      <c r="W254" s="17"/>
      <c r="X254" s="17"/>
      <c r="Y254" s="17"/>
    </row>
    <row r="255" ht="18.75" customHeight="1">
      <c r="A255" s="9">
        <v>254.0</v>
      </c>
      <c r="B255" s="161" t="s">
        <v>1712</v>
      </c>
      <c r="C255" s="169" t="s">
        <v>1713</v>
      </c>
      <c r="D255" s="169" t="s">
        <v>5695</v>
      </c>
      <c r="E255" s="169" t="s">
        <v>1663</v>
      </c>
      <c r="F255" s="169" t="s">
        <v>5696</v>
      </c>
      <c r="G255" s="162">
        <v>45443.0</v>
      </c>
      <c r="H255" s="162">
        <v>45444.0</v>
      </c>
      <c r="I255" s="163" t="s">
        <v>25</v>
      </c>
      <c r="J255" s="171"/>
      <c r="K255" s="163" t="s">
        <v>31</v>
      </c>
      <c r="L255" s="165"/>
      <c r="M255" s="161"/>
      <c r="N255" s="16" t="s">
        <v>5135</v>
      </c>
      <c r="O255" s="16"/>
      <c r="P255" s="16"/>
      <c r="Q255" s="17"/>
      <c r="R255" s="17"/>
      <c r="S255" s="17"/>
      <c r="T255" s="17"/>
      <c r="U255" s="17"/>
      <c r="V255" s="17"/>
      <c r="W255" s="17"/>
      <c r="X255" s="17"/>
      <c r="Y255" s="17"/>
    </row>
    <row r="256" ht="18.75" customHeight="1">
      <c r="A256" s="9">
        <v>255.0</v>
      </c>
      <c r="B256" s="161" t="s">
        <v>1688</v>
      </c>
      <c r="C256" s="169" t="s">
        <v>1689</v>
      </c>
      <c r="D256" s="169" t="s">
        <v>785</v>
      </c>
      <c r="E256" s="169" t="s">
        <v>1690</v>
      </c>
      <c r="F256" s="169" t="s">
        <v>5697</v>
      </c>
      <c r="G256" s="162">
        <v>45471.0</v>
      </c>
      <c r="H256" s="162">
        <v>45472.0</v>
      </c>
      <c r="I256" s="163" t="s">
        <v>25</v>
      </c>
      <c r="J256" s="163" t="s">
        <v>37</v>
      </c>
      <c r="K256" s="163" t="s">
        <v>31</v>
      </c>
      <c r="L256" s="165"/>
      <c r="M256" s="161"/>
      <c r="N256" s="16" t="s">
        <v>5135</v>
      </c>
      <c r="O256" s="16"/>
      <c r="P256" s="16"/>
      <c r="Q256" s="17"/>
      <c r="R256" s="17"/>
      <c r="S256" s="17"/>
      <c r="T256" s="17"/>
      <c r="U256" s="17"/>
      <c r="V256" s="17"/>
      <c r="W256" s="17"/>
      <c r="X256" s="17"/>
      <c r="Y256" s="17"/>
    </row>
    <row r="257" ht="18.75" customHeight="1">
      <c r="A257" s="9">
        <v>256.0</v>
      </c>
      <c r="B257" s="161" t="s">
        <v>1716</v>
      </c>
      <c r="C257" s="169" t="s">
        <v>1717</v>
      </c>
      <c r="D257" s="169" t="s">
        <v>1397</v>
      </c>
      <c r="E257" s="169" t="s">
        <v>5622</v>
      </c>
      <c r="F257" s="169" t="s">
        <v>5698</v>
      </c>
      <c r="G257" s="162">
        <v>45443.0</v>
      </c>
      <c r="H257" s="162">
        <v>45444.0</v>
      </c>
      <c r="I257" s="163" t="s">
        <v>119</v>
      </c>
      <c r="J257" s="171"/>
      <c r="K257" s="163" t="s">
        <v>31</v>
      </c>
      <c r="L257" s="165"/>
      <c r="M257" s="161"/>
      <c r="N257" s="16" t="s">
        <v>5135</v>
      </c>
      <c r="O257" s="16"/>
      <c r="P257" s="16"/>
      <c r="Q257" s="17"/>
      <c r="R257" s="17"/>
      <c r="S257" s="17"/>
      <c r="T257" s="17"/>
      <c r="U257" s="17"/>
      <c r="V257" s="17"/>
      <c r="W257" s="17"/>
      <c r="X257" s="17"/>
      <c r="Y257" s="17"/>
    </row>
    <row r="258" ht="18.75" customHeight="1">
      <c r="A258" s="9">
        <v>257.0</v>
      </c>
      <c r="B258" s="161" t="s">
        <v>1719</v>
      </c>
      <c r="C258" s="169" t="s">
        <v>1720</v>
      </c>
      <c r="D258" s="169" t="s">
        <v>1721</v>
      </c>
      <c r="E258" s="169" t="s">
        <v>1722</v>
      </c>
      <c r="F258" s="169" t="s">
        <v>5699</v>
      </c>
      <c r="G258" s="162">
        <v>45471.0</v>
      </c>
      <c r="H258" s="162">
        <v>45472.0</v>
      </c>
      <c r="I258" s="163" t="s">
        <v>25</v>
      </c>
      <c r="J258" s="163" t="s">
        <v>37</v>
      </c>
      <c r="K258" s="163" t="s">
        <v>31</v>
      </c>
      <c r="L258" s="165"/>
      <c r="M258" s="161"/>
      <c r="N258" s="16" t="s">
        <v>5135</v>
      </c>
      <c r="O258" s="16"/>
      <c r="P258" s="16"/>
      <c r="Q258" s="17"/>
      <c r="R258" s="17"/>
      <c r="S258" s="17"/>
      <c r="T258" s="17"/>
      <c r="U258" s="17"/>
      <c r="V258" s="17"/>
      <c r="W258" s="17"/>
      <c r="X258" s="17"/>
      <c r="Y258" s="17"/>
    </row>
    <row r="259" ht="18.75" customHeight="1">
      <c r="A259" s="9">
        <v>258.0</v>
      </c>
      <c r="B259" s="161" t="s">
        <v>1728</v>
      </c>
      <c r="C259" s="169" t="s">
        <v>5700</v>
      </c>
      <c r="D259" s="169" t="s">
        <v>701</v>
      </c>
      <c r="E259" s="169" t="s">
        <v>1408</v>
      </c>
      <c r="F259" s="169" t="s">
        <v>5701</v>
      </c>
      <c r="G259" s="162">
        <v>45452.0</v>
      </c>
      <c r="H259" s="12">
        <v>45453.0</v>
      </c>
      <c r="I259" s="163" t="s">
        <v>119</v>
      </c>
      <c r="J259" s="163" t="s">
        <v>37</v>
      </c>
      <c r="K259" s="163" t="s">
        <v>31</v>
      </c>
      <c r="L259" s="165"/>
      <c r="M259" s="161"/>
      <c r="N259" s="16" t="s">
        <v>5135</v>
      </c>
      <c r="O259" s="16"/>
      <c r="P259" s="16"/>
      <c r="Q259" s="17"/>
      <c r="R259" s="17"/>
      <c r="S259" s="17"/>
      <c r="T259" s="17"/>
      <c r="U259" s="17"/>
      <c r="V259" s="17"/>
      <c r="W259" s="17"/>
      <c r="X259" s="17"/>
      <c r="Y259" s="17"/>
    </row>
    <row r="260" ht="18.75" customHeight="1">
      <c r="A260" s="9">
        <v>259.0</v>
      </c>
      <c r="B260" s="161" t="s">
        <v>1757</v>
      </c>
      <c r="C260" s="169" t="s">
        <v>1758</v>
      </c>
      <c r="D260" s="169" t="s">
        <v>116</v>
      </c>
      <c r="E260" s="169" t="s">
        <v>5702</v>
      </c>
      <c r="F260" s="169" t="s">
        <v>5703</v>
      </c>
      <c r="G260" s="162">
        <v>45443.0</v>
      </c>
      <c r="H260" s="162">
        <v>45444.0</v>
      </c>
      <c r="I260" s="163" t="s">
        <v>25</v>
      </c>
      <c r="J260" s="163" t="s">
        <v>213</v>
      </c>
      <c r="K260" s="163" t="s">
        <v>31</v>
      </c>
      <c r="L260" s="165"/>
      <c r="M260" s="161"/>
      <c r="N260" s="16" t="s">
        <v>5135</v>
      </c>
      <c r="O260" s="16"/>
      <c r="P260" s="16"/>
      <c r="Q260" s="17"/>
      <c r="R260" s="17"/>
      <c r="S260" s="17"/>
      <c r="T260" s="17"/>
      <c r="U260" s="17"/>
      <c r="V260" s="17"/>
      <c r="W260" s="17"/>
      <c r="X260" s="17"/>
      <c r="Y260" s="17"/>
    </row>
    <row r="261" ht="18.75" customHeight="1">
      <c r="A261" s="9">
        <v>260.0</v>
      </c>
      <c r="B261" s="161" t="s">
        <v>1750</v>
      </c>
      <c r="C261" s="169" t="s">
        <v>1751</v>
      </c>
      <c r="D261" s="169" t="s">
        <v>1161</v>
      </c>
      <c r="E261" s="169" t="s">
        <v>1358</v>
      </c>
      <c r="F261" s="169" t="s">
        <v>5704</v>
      </c>
      <c r="G261" s="162">
        <v>45443.0</v>
      </c>
      <c r="H261" s="162">
        <v>45444.0</v>
      </c>
      <c r="I261" s="163" t="s">
        <v>25</v>
      </c>
      <c r="J261" s="163" t="s">
        <v>37</v>
      </c>
      <c r="K261" s="163" t="s">
        <v>31</v>
      </c>
      <c r="L261" s="165"/>
      <c r="M261" s="161"/>
      <c r="N261" s="16" t="s">
        <v>5135</v>
      </c>
      <c r="O261" s="16"/>
      <c r="P261" s="16"/>
      <c r="Q261" s="17"/>
      <c r="R261" s="17"/>
      <c r="S261" s="17"/>
      <c r="T261" s="17"/>
      <c r="U261" s="17"/>
      <c r="V261" s="17"/>
      <c r="W261" s="17"/>
      <c r="X261" s="17"/>
      <c r="Y261" s="17"/>
    </row>
    <row r="262" ht="18.75" customHeight="1">
      <c r="A262" s="9">
        <v>261.0</v>
      </c>
      <c r="B262" s="161" t="s">
        <v>1753</v>
      </c>
      <c r="C262" s="169" t="s">
        <v>1754</v>
      </c>
      <c r="D262" s="169" t="s">
        <v>1078</v>
      </c>
      <c r="E262" s="169" t="s">
        <v>1755</v>
      </c>
      <c r="F262" s="169" t="s">
        <v>5705</v>
      </c>
      <c r="G262" s="162">
        <v>45443.0</v>
      </c>
      <c r="H262" s="162">
        <v>45444.0</v>
      </c>
      <c r="I262" s="163" t="s">
        <v>25</v>
      </c>
      <c r="J262" s="163" t="s">
        <v>37</v>
      </c>
      <c r="K262" s="163" t="s">
        <v>31</v>
      </c>
      <c r="L262" s="165"/>
      <c r="M262" s="161"/>
      <c r="N262" s="16" t="s">
        <v>5135</v>
      </c>
      <c r="O262" s="16"/>
      <c r="P262" s="16"/>
      <c r="Q262" s="17"/>
      <c r="R262" s="17"/>
      <c r="S262" s="17"/>
      <c r="T262" s="17"/>
      <c r="U262" s="17"/>
      <c r="V262" s="17"/>
      <c r="W262" s="17"/>
      <c r="X262" s="17"/>
      <c r="Y262" s="17"/>
    </row>
    <row r="263" ht="18.75" customHeight="1">
      <c r="A263" s="9">
        <v>262.0</v>
      </c>
      <c r="B263" s="161" t="s">
        <v>1761</v>
      </c>
      <c r="C263" s="169" t="s">
        <v>1762</v>
      </c>
      <c r="D263" s="169" t="s">
        <v>122</v>
      </c>
      <c r="E263" s="169" t="s">
        <v>5706</v>
      </c>
      <c r="F263" s="169" t="s">
        <v>5707</v>
      </c>
      <c r="G263" s="162">
        <v>45443.0</v>
      </c>
      <c r="H263" s="162">
        <v>45444.0</v>
      </c>
      <c r="I263" s="163" t="s">
        <v>119</v>
      </c>
      <c r="J263" s="163" t="s">
        <v>213</v>
      </c>
      <c r="K263" s="163" t="s">
        <v>31</v>
      </c>
      <c r="L263" s="165"/>
      <c r="M263" s="161"/>
      <c r="N263" s="16" t="s">
        <v>5135</v>
      </c>
      <c r="O263" s="16"/>
      <c r="P263" s="16"/>
      <c r="Q263" s="17"/>
      <c r="R263" s="17"/>
      <c r="S263" s="17"/>
      <c r="T263" s="17"/>
      <c r="U263" s="17"/>
      <c r="V263" s="17"/>
      <c r="W263" s="17"/>
      <c r="X263" s="17"/>
      <c r="Y263" s="17"/>
    </row>
    <row r="264" ht="18.75" customHeight="1">
      <c r="A264" s="9">
        <v>263.0</v>
      </c>
      <c r="B264" s="161" t="s">
        <v>1901</v>
      </c>
      <c r="C264" s="169" t="s">
        <v>1902</v>
      </c>
      <c r="D264" s="169" t="s">
        <v>122</v>
      </c>
      <c r="E264" s="169" t="s">
        <v>1232</v>
      </c>
      <c r="F264" s="169" t="s">
        <v>5708</v>
      </c>
      <c r="G264" s="162">
        <v>45449.0</v>
      </c>
      <c r="H264" s="162">
        <v>45450.0</v>
      </c>
      <c r="I264" s="163" t="s">
        <v>119</v>
      </c>
      <c r="J264" s="163" t="s">
        <v>213</v>
      </c>
      <c r="K264" s="163" t="s">
        <v>31</v>
      </c>
      <c r="L264" s="165"/>
      <c r="M264" s="174"/>
      <c r="N264" s="16" t="s">
        <v>5135</v>
      </c>
      <c r="O264" s="16"/>
      <c r="P264" s="16"/>
      <c r="Q264" s="17"/>
      <c r="R264" s="17"/>
      <c r="S264" s="17"/>
      <c r="T264" s="17"/>
      <c r="U264" s="17"/>
      <c r="V264" s="17"/>
      <c r="W264" s="17"/>
      <c r="X264" s="17"/>
      <c r="Y264" s="17"/>
    </row>
    <row r="265" ht="18.75" customHeight="1">
      <c r="A265" s="9">
        <v>264.0</v>
      </c>
      <c r="B265" s="161" t="s">
        <v>1695</v>
      </c>
      <c r="C265" s="169" t="s">
        <v>1696</v>
      </c>
      <c r="D265" s="169" t="s">
        <v>1697</v>
      </c>
      <c r="E265" s="169" t="s">
        <v>1698</v>
      </c>
      <c r="F265" s="169" t="s">
        <v>5709</v>
      </c>
      <c r="G265" s="162">
        <v>45471.0</v>
      </c>
      <c r="H265" s="162">
        <v>45472.0</v>
      </c>
      <c r="I265" s="163" t="s">
        <v>25</v>
      </c>
      <c r="J265" s="163" t="s">
        <v>37</v>
      </c>
      <c r="K265" s="163" t="s">
        <v>31</v>
      </c>
      <c r="L265" s="165"/>
      <c r="M265" s="161"/>
      <c r="N265" s="16" t="s">
        <v>5135</v>
      </c>
      <c r="O265" s="16"/>
      <c r="P265" s="16"/>
      <c r="Q265" s="17"/>
      <c r="R265" s="17"/>
      <c r="S265" s="17"/>
      <c r="T265" s="17"/>
      <c r="U265" s="17"/>
      <c r="V265" s="17"/>
      <c r="W265" s="17"/>
      <c r="X265" s="17"/>
      <c r="Y265" s="17"/>
    </row>
    <row r="266" ht="18.75" customHeight="1">
      <c r="A266" s="9">
        <v>265.0</v>
      </c>
      <c r="B266" s="161" t="s">
        <v>1789</v>
      </c>
      <c r="C266" s="169" t="s">
        <v>1790</v>
      </c>
      <c r="D266" s="169" t="s">
        <v>1791</v>
      </c>
      <c r="E266" s="169" t="s">
        <v>1792</v>
      </c>
      <c r="F266" s="169" t="s">
        <v>5710</v>
      </c>
      <c r="G266" s="162">
        <v>45471.0</v>
      </c>
      <c r="H266" s="162">
        <v>45472.0</v>
      </c>
      <c r="I266" s="163" t="s">
        <v>25</v>
      </c>
      <c r="J266" s="163" t="s">
        <v>22</v>
      </c>
      <c r="K266" s="163" t="s">
        <v>31</v>
      </c>
      <c r="L266" s="165"/>
      <c r="M266" s="161"/>
      <c r="N266" s="16" t="s">
        <v>5135</v>
      </c>
      <c r="O266" s="16"/>
      <c r="P266" s="16"/>
      <c r="Q266" s="17"/>
      <c r="R266" s="17"/>
      <c r="S266" s="17"/>
      <c r="T266" s="17"/>
      <c r="U266" s="17"/>
      <c r="V266" s="17"/>
      <c r="W266" s="17"/>
      <c r="X266" s="17"/>
      <c r="Y266" s="17"/>
    </row>
    <row r="267" ht="18.75" customHeight="1">
      <c r="A267" s="9">
        <v>266.0</v>
      </c>
      <c r="B267" s="161" t="s">
        <v>1903</v>
      </c>
      <c r="C267" s="169" t="s">
        <v>1904</v>
      </c>
      <c r="D267" s="169" t="s">
        <v>122</v>
      </c>
      <c r="E267" s="169" t="s">
        <v>1585</v>
      </c>
      <c r="F267" s="169" t="s">
        <v>992</v>
      </c>
      <c r="G267" s="162">
        <v>45456.0</v>
      </c>
      <c r="H267" s="162">
        <v>45457.0</v>
      </c>
      <c r="I267" s="163" t="s">
        <v>119</v>
      </c>
      <c r="J267" s="163" t="s">
        <v>37</v>
      </c>
      <c r="K267" s="163" t="s">
        <v>31</v>
      </c>
      <c r="L267" s="165"/>
      <c r="M267" s="161"/>
      <c r="N267" s="16" t="s">
        <v>5135</v>
      </c>
      <c r="O267" s="16"/>
      <c r="P267" s="16"/>
      <c r="Q267" s="17"/>
      <c r="R267" s="17"/>
      <c r="S267" s="17"/>
      <c r="T267" s="17"/>
      <c r="U267" s="17"/>
      <c r="V267" s="17"/>
      <c r="W267" s="17"/>
      <c r="X267" s="17"/>
      <c r="Y267" s="17"/>
    </row>
    <row r="268" ht="18.75" customHeight="1">
      <c r="A268" s="9">
        <v>267.0</v>
      </c>
      <c r="B268" s="161" t="s">
        <v>1906</v>
      </c>
      <c r="C268" s="169" t="s">
        <v>1907</v>
      </c>
      <c r="D268" s="169" t="s">
        <v>122</v>
      </c>
      <c r="E268" s="169" t="s">
        <v>5711</v>
      </c>
      <c r="F268" s="169" t="s">
        <v>5712</v>
      </c>
      <c r="G268" s="162">
        <v>45458.0</v>
      </c>
      <c r="H268" s="162">
        <v>45459.0</v>
      </c>
      <c r="I268" s="163" t="s">
        <v>25</v>
      </c>
      <c r="J268" s="163" t="s">
        <v>37</v>
      </c>
      <c r="K268" s="163" t="s">
        <v>31</v>
      </c>
      <c r="L268" s="165"/>
      <c r="M268" s="161"/>
      <c r="N268" s="16" t="s">
        <v>5135</v>
      </c>
      <c r="O268" s="16"/>
      <c r="P268" s="16"/>
      <c r="Q268" s="17"/>
      <c r="R268" s="17"/>
      <c r="S268" s="17"/>
      <c r="T268" s="17"/>
      <c r="U268" s="17"/>
      <c r="V268" s="17"/>
      <c r="W268" s="17"/>
      <c r="X268" s="17"/>
      <c r="Y268" s="17"/>
    </row>
    <row r="269" ht="18.75" customHeight="1">
      <c r="A269" s="9">
        <v>268.0</v>
      </c>
      <c r="B269" s="161" t="s">
        <v>1910</v>
      </c>
      <c r="C269" s="169" t="s">
        <v>1911</v>
      </c>
      <c r="D269" s="169" t="s">
        <v>476</v>
      </c>
      <c r="E269" s="169" t="s">
        <v>1183</v>
      </c>
      <c r="F269" s="169" t="s">
        <v>5713</v>
      </c>
      <c r="G269" s="162">
        <v>45458.0</v>
      </c>
      <c r="H269" s="162">
        <v>45459.0</v>
      </c>
      <c r="I269" s="163" t="s">
        <v>119</v>
      </c>
      <c r="J269" s="163" t="s">
        <v>37</v>
      </c>
      <c r="K269" s="163" t="s">
        <v>31</v>
      </c>
      <c r="L269" s="165"/>
      <c r="M269" s="161"/>
      <c r="N269" s="16" t="s">
        <v>5135</v>
      </c>
      <c r="O269" s="16"/>
      <c r="P269" s="16"/>
      <c r="Q269" s="17"/>
      <c r="R269" s="17"/>
      <c r="S269" s="17"/>
      <c r="T269" s="17"/>
      <c r="U269" s="17"/>
      <c r="V269" s="17"/>
      <c r="W269" s="17"/>
      <c r="X269" s="17"/>
      <c r="Y269" s="17"/>
    </row>
    <row r="270" ht="18.75" customHeight="1">
      <c r="A270" s="9">
        <v>269.0</v>
      </c>
      <c r="B270" s="161" t="s">
        <v>1913</v>
      </c>
      <c r="C270" s="169" t="s">
        <v>1914</v>
      </c>
      <c r="D270" s="169" t="s">
        <v>153</v>
      </c>
      <c r="E270" s="169" t="s">
        <v>1291</v>
      </c>
      <c r="F270" s="169" t="s">
        <v>5714</v>
      </c>
      <c r="G270" s="162">
        <v>45460.0</v>
      </c>
      <c r="H270" s="162">
        <v>45461.0</v>
      </c>
      <c r="I270" s="163" t="s">
        <v>25</v>
      </c>
      <c r="J270" s="163" t="s">
        <v>37</v>
      </c>
      <c r="K270" s="163" t="s">
        <v>31</v>
      </c>
      <c r="L270" s="165"/>
      <c r="M270" s="161"/>
      <c r="N270" s="16" t="s">
        <v>5135</v>
      </c>
      <c r="O270" s="16"/>
      <c r="P270" s="16"/>
      <c r="Q270" s="17"/>
      <c r="R270" s="17"/>
      <c r="S270" s="17"/>
      <c r="T270" s="17"/>
      <c r="U270" s="17"/>
      <c r="V270" s="17"/>
      <c r="W270" s="17"/>
      <c r="X270" s="17"/>
      <c r="Y270" s="17"/>
    </row>
    <row r="271" ht="18.75" customHeight="1">
      <c r="A271" s="9">
        <v>270.0</v>
      </c>
      <c r="B271" s="161" t="s">
        <v>1916</v>
      </c>
      <c r="C271" s="169" t="s">
        <v>1917</v>
      </c>
      <c r="D271" s="169" t="s">
        <v>444</v>
      </c>
      <c r="E271" s="169" t="s">
        <v>1918</v>
      </c>
      <c r="F271" s="169" t="s">
        <v>5715</v>
      </c>
      <c r="G271" s="162">
        <v>45463.0</v>
      </c>
      <c r="H271" s="162">
        <v>45464.0</v>
      </c>
      <c r="I271" s="163" t="s">
        <v>119</v>
      </c>
      <c r="J271" s="163" t="s">
        <v>37</v>
      </c>
      <c r="K271" s="163" t="s">
        <v>31</v>
      </c>
      <c r="L271" s="165"/>
      <c r="M271" s="161"/>
      <c r="N271" s="16" t="s">
        <v>5135</v>
      </c>
      <c r="O271" s="16"/>
      <c r="P271" s="16"/>
      <c r="Q271" s="17"/>
      <c r="R271" s="17"/>
      <c r="S271" s="17"/>
      <c r="T271" s="17"/>
      <c r="U271" s="17"/>
      <c r="V271" s="17"/>
      <c r="W271" s="17"/>
      <c r="X271" s="17"/>
      <c r="Y271" s="17"/>
    </row>
    <row r="272" ht="18.75" customHeight="1">
      <c r="A272" s="9">
        <v>271.0</v>
      </c>
      <c r="B272" s="161" t="s">
        <v>1920</v>
      </c>
      <c r="C272" s="169" t="s">
        <v>1921</v>
      </c>
      <c r="D272" s="169" t="s">
        <v>122</v>
      </c>
      <c r="E272" s="169" t="s">
        <v>807</v>
      </c>
      <c r="F272" s="169" t="s">
        <v>5716</v>
      </c>
      <c r="G272" s="162">
        <v>45466.0</v>
      </c>
      <c r="H272" s="162">
        <v>45467.0</v>
      </c>
      <c r="I272" s="163" t="s">
        <v>25</v>
      </c>
      <c r="J272" s="163" t="s">
        <v>37</v>
      </c>
      <c r="K272" s="163" t="s">
        <v>31</v>
      </c>
      <c r="L272" s="165"/>
      <c r="M272" s="161"/>
      <c r="N272" s="16" t="s">
        <v>5135</v>
      </c>
      <c r="O272" s="16"/>
      <c r="P272" s="16"/>
      <c r="Q272" s="17"/>
      <c r="R272" s="17"/>
      <c r="S272" s="17"/>
      <c r="T272" s="17"/>
      <c r="U272" s="17"/>
      <c r="V272" s="17"/>
      <c r="W272" s="17"/>
      <c r="X272" s="17"/>
      <c r="Y272" s="17"/>
    </row>
    <row r="273" ht="18.75" customHeight="1">
      <c r="A273" s="9">
        <v>272.0</v>
      </c>
      <c r="B273" s="161" t="s">
        <v>1923</v>
      </c>
      <c r="C273" s="169" t="s">
        <v>1924</v>
      </c>
      <c r="D273" s="169" t="s">
        <v>122</v>
      </c>
      <c r="E273" s="169" t="s">
        <v>1585</v>
      </c>
      <c r="F273" s="169" t="s">
        <v>5717</v>
      </c>
      <c r="G273" s="162">
        <v>45467.0</v>
      </c>
      <c r="H273" s="162">
        <v>45468.0</v>
      </c>
      <c r="I273" s="163" t="s">
        <v>119</v>
      </c>
      <c r="J273" s="163" t="s">
        <v>37</v>
      </c>
      <c r="K273" s="163" t="s">
        <v>31</v>
      </c>
      <c r="L273" s="165"/>
      <c r="M273" s="161"/>
      <c r="N273" s="16" t="s">
        <v>5135</v>
      </c>
      <c r="O273" s="16"/>
      <c r="P273" s="16"/>
      <c r="Q273" s="17"/>
      <c r="R273" s="17"/>
      <c r="S273" s="17"/>
      <c r="T273" s="17"/>
      <c r="U273" s="17"/>
      <c r="V273" s="17"/>
      <c r="W273" s="17"/>
      <c r="X273" s="17"/>
      <c r="Y273" s="17"/>
    </row>
    <row r="274" ht="18.75" customHeight="1">
      <c r="A274" s="9">
        <v>273.0</v>
      </c>
      <c r="B274" s="161" t="s">
        <v>1960</v>
      </c>
      <c r="C274" s="169" t="s">
        <v>1961</v>
      </c>
      <c r="D274" s="169" t="s">
        <v>173</v>
      </c>
      <c r="E274" s="169" t="s">
        <v>5718</v>
      </c>
      <c r="F274" s="169" t="s">
        <v>5719</v>
      </c>
      <c r="G274" s="162">
        <v>45470.0</v>
      </c>
      <c r="H274" s="162">
        <v>45471.0</v>
      </c>
      <c r="I274" s="163" t="s">
        <v>119</v>
      </c>
      <c r="J274" s="163" t="s">
        <v>37</v>
      </c>
      <c r="K274" s="163" t="s">
        <v>31</v>
      </c>
      <c r="L274" s="165"/>
      <c r="M274" s="161"/>
      <c r="N274" s="16" t="s">
        <v>5135</v>
      </c>
      <c r="O274" s="16"/>
      <c r="P274" s="16"/>
      <c r="Q274" s="17"/>
      <c r="R274" s="17"/>
      <c r="S274" s="17"/>
      <c r="T274" s="17"/>
      <c r="U274" s="17"/>
      <c r="V274" s="17"/>
      <c r="W274" s="17"/>
      <c r="X274" s="17"/>
      <c r="Y274" s="17"/>
    </row>
    <row r="275" ht="18.75" customHeight="1">
      <c r="A275" s="9">
        <v>274.0</v>
      </c>
      <c r="B275" s="161" t="s">
        <v>1964</v>
      </c>
      <c r="C275" s="169" t="s">
        <v>1965</v>
      </c>
      <c r="D275" s="169" t="s">
        <v>122</v>
      </c>
      <c r="E275" s="169" t="s">
        <v>1232</v>
      </c>
      <c r="F275" s="169" t="s">
        <v>5720</v>
      </c>
      <c r="G275" s="162">
        <v>45470.0</v>
      </c>
      <c r="H275" s="162">
        <v>45471.0</v>
      </c>
      <c r="I275" s="163" t="s">
        <v>119</v>
      </c>
      <c r="J275" s="163" t="s">
        <v>5173</v>
      </c>
      <c r="K275" s="163" t="s">
        <v>31</v>
      </c>
      <c r="L275" s="165"/>
      <c r="M275" s="161"/>
      <c r="N275" s="16" t="s">
        <v>5135</v>
      </c>
      <c r="O275" s="16"/>
      <c r="P275" s="16"/>
      <c r="Q275" s="17"/>
      <c r="R275" s="17"/>
      <c r="S275" s="17"/>
      <c r="T275" s="17"/>
      <c r="U275" s="17"/>
      <c r="V275" s="17"/>
      <c r="W275" s="17"/>
      <c r="X275" s="17"/>
      <c r="Y275" s="17"/>
    </row>
    <row r="276" ht="18.75" customHeight="1">
      <c r="A276" s="9">
        <v>275.0</v>
      </c>
      <c r="B276" s="161" t="s">
        <v>1925</v>
      </c>
      <c r="C276" s="169" t="s">
        <v>1926</v>
      </c>
      <c r="D276" s="169" t="s">
        <v>42</v>
      </c>
      <c r="E276" s="169" t="s">
        <v>624</v>
      </c>
      <c r="F276" s="169" t="s">
        <v>5721</v>
      </c>
      <c r="G276" s="162">
        <v>45473.0</v>
      </c>
      <c r="H276" s="162">
        <v>45474.0</v>
      </c>
      <c r="I276" s="163" t="s">
        <v>25</v>
      </c>
      <c r="J276" s="163" t="s">
        <v>37</v>
      </c>
      <c r="K276" s="163" t="s">
        <v>31</v>
      </c>
      <c r="L276" s="165"/>
      <c r="M276" s="161"/>
      <c r="N276" s="16" t="s">
        <v>5135</v>
      </c>
      <c r="O276" s="16"/>
      <c r="P276" s="16"/>
      <c r="Q276" s="17"/>
      <c r="R276" s="17"/>
      <c r="S276" s="17"/>
      <c r="T276" s="17"/>
      <c r="U276" s="17"/>
      <c r="V276" s="17"/>
      <c r="W276" s="17"/>
      <c r="X276" s="17"/>
      <c r="Y276" s="17"/>
    </row>
    <row r="277" ht="18.75" customHeight="1">
      <c r="A277" s="9">
        <v>276.0</v>
      </c>
      <c r="B277" s="161" t="s">
        <v>1928</v>
      </c>
      <c r="C277" s="169" t="s">
        <v>1929</v>
      </c>
      <c r="D277" s="169" t="s">
        <v>173</v>
      </c>
      <c r="E277" s="169" t="s">
        <v>5722</v>
      </c>
      <c r="F277" s="169" t="s">
        <v>5723</v>
      </c>
      <c r="G277" s="162">
        <v>45473.0</v>
      </c>
      <c r="H277" s="162">
        <v>45474.0</v>
      </c>
      <c r="I277" s="163" t="s">
        <v>25</v>
      </c>
      <c r="J277" s="163" t="s">
        <v>37</v>
      </c>
      <c r="K277" s="163" t="s">
        <v>31</v>
      </c>
      <c r="L277" s="165"/>
      <c r="M277" s="161"/>
      <c r="N277" s="16" t="s">
        <v>5135</v>
      </c>
      <c r="O277" s="16"/>
      <c r="P277" s="16"/>
      <c r="Q277" s="17"/>
      <c r="R277" s="17"/>
      <c r="S277" s="17"/>
      <c r="T277" s="17"/>
      <c r="U277" s="17"/>
      <c r="V277" s="17"/>
      <c r="W277" s="17"/>
      <c r="X277" s="17"/>
      <c r="Y277" s="17"/>
    </row>
    <row r="278" ht="18.75" customHeight="1">
      <c r="A278" s="9">
        <v>277.0</v>
      </c>
      <c r="B278" s="161" t="s">
        <v>1932</v>
      </c>
      <c r="C278" s="169" t="s">
        <v>1933</v>
      </c>
      <c r="D278" s="169" t="s">
        <v>1934</v>
      </c>
      <c r="E278" s="169" t="s">
        <v>1935</v>
      </c>
      <c r="F278" s="169" t="s">
        <v>5724</v>
      </c>
      <c r="G278" s="162">
        <v>45473.0</v>
      </c>
      <c r="H278" s="162">
        <v>45474.0</v>
      </c>
      <c r="I278" s="163" t="s">
        <v>25</v>
      </c>
      <c r="J278" s="163" t="s">
        <v>37</v>
      </c>
      <c r="K278" s="163" t="s">
        <v>31</v>
      </c>
      <c r="L278" s="165"/>
      <c r="M278" s="161"/>
      <c r="N278" s="16" t="s">
        <v>5135</v>
      </c>
      <c r="O278" s="16"/>
      <c r="P278" s="16"/>
      <c r="Q278" s="17"/>
      <c r="R278" s="17"/>
      <c r="S278" s="17"/>
      <c r="T278" s="17"/>
      <c r="U278" s="17"/>
      <c r="V278" s="17"/>
      <c r="W278" s="17"/>
      <c r="X278" s="17"/>
      <c r="Y278" s="17"/>
    </row>
    <row r="279" ht="18.75" customHeight="1">
      <c r="A279" s="9">
        <v>278.0</v>
      </c>
      <c r="B279" s="161" t="s">
        <v>1937</v>
      </c>
      <c r="C279" s="169" t="s">
        <v>1938</v>
      </c>
      <c r="D279" s="169" t="s">
        <v>342</v>
      </c>
      <c r="E279" s="169" t="s">
        <v>1573</v>
      </c>
      <c r="F279" s="169" t="s">
        <v>5725</v>
      </c>
      <c r="G279" s="162">
        <v>45473.0</v>
      </c>
      <c r="H279" s="162">
        <v>45474.0</v>
      </c>
      <c r="I279" s="163" t="s">
        <v>25</v>
      </c>
      <c r="J279" s="163" t="s">
        <v>37</v>
      </c>
      <c r="K279" s="163" t="s">
        <v>31</v>
      </c>
      <c r="L279" s="165"/>
      <c r="M279" s="161"/>
      <c r="N279" s="16" t="s">
        <v>5135</v>
      </c>
      <c r="O279" s="16"/>
      <c r="P279" s="16"/>
      <c r="Q279" s="17"/>
      <c r="R279" s="17"/>
      <c r="S279" s="17"/>
      <c r="T279" s="17"/>
      <c r="U279" s="17"/>
      <c r="V279" s="17"/>
      <c r="W279" s="17"/>
      <c r="X279" s="17"/>
      <c r="Y279" s="17"/>
    </row>
    <row r="280" ht="18.75" customHeight="1">
      <c r="A280" s="9">
        <v>279.0</v>
      </c>
      <c r="B280" s="161" t="s">
        <v>1939</v>
      </c>
      <c r="C280" s="169" t="s">
        <v>1940</v>
      </c>
      <c r="D280" s="169" t="s">
        <v>173</v>
      </c>
      <c r="E280" s="169" t="s">
        <v>5655</v>
      </c>
      <c r="F280" s="169" t="s">
        <v>5726</v>
      </c>
      <c r="G280" s="162">
        <v>45473.0</v>
      </c>
      <c r="H280" s="162">
        <v>45474.0</v>
      </c>
      <c r="I280" s="163" t="s">
        <v>25</v>
      </c>
      <c r="J280" s="163" t="s">
        <v>37</v>
      </c>
      <c r="K280" s="163" t="s">
        <v>31</v>
      </c>
      <c r="L280" s="165"/>
      <c r="M280" s="161"/>
      <c r="N280" s="16" t="s">
        <v>5135</v>
      </c>
      <c r="O280" s="16"/>
      <c r="P280" s="16"/>
      <c r="Q280" s="17"/>
      <c r="R280" s="17"/>
      <c r="S280" s="17"/>
      <c r="T280" s="17"/>
      <c r="U280" s="17"/>
      <c r="V280" s="17"/>
      <c r="W280" s="17"/>
      <c r="X280" s="17"/>
      <c r="Y280" s="17"/>
    </row>
    <row r="281" ht="18.75" customHeight="1">
      <c r="A281" s="9">
        <v>280.0</v>
      </c>
      <c r="B281" s="161" t="s">
        <v>1942</v>
      </c>
      <c r="C281" s="169" t="s">
        <v>1943</v>
      </c>
      <c r="D281" s="169" t="s">
        <v>110</v>
      </c>
      <c r="E281" s="169" t="s">
        <v>1944</v>
      </c>
      <c r="F281" s="169" t="s">
        <v>5727</v>
      </c>
      <c r="G281" s="162">
        <v>45465.0</v>
      </c>
      <c r="H281" s="162">
        <v>45466.0</v>
      </c>
      <c r="I281" s="163" t="s">
        <v>25</v>
      </c>
      <c r="J281" s="163" t="s">
        <v>5173</v>
      </c>
      <c r="K281" s="163" t="s">
        <v>31</v>
      </c>
      <c r="L281" s="165"/>
      <c r="M281" s="161"/>
      <c r="N281" s="16" t="s">
        <v>5135</v>
      </c>
      <c r="O281" s="16"/>
      <c r="P281" s="16"/>
      <c r="Q281" s="17"/>
      <c r="R281" s="17"/>
      <c r="S281" s="17"/>
      <c r="T281" s="17"/>
      <c r="U281" s="17"/>
      <c r="V281" s="17"/>
      <c r="W281" s="17"/>
      <c r="X281" s="17"/>
      <c r="Y281" s="17"/>
    </row>
    <row r="282" ht="18.75" customHeight="1">
      <c r="A282" s="9">
        <v>281.0</v>
      </c>
      <c r="B282" s="161" t="s">
        <v>1946</v>
      </c>
      <c r="C282" s="169" t="s">
        <v>1947</v>
      </c>
      <c r="D282" s="169" t="s">
        <v>128</v>
      </c>
      <c r="E282" s="169" t="s">
        <v>5728</v>
      </c>
      <c r="F282" s="169" t="s">
        <v>5729</v>
      </c>
      <c r="G282" s="162">
        <v>45473.0</v>
      </c>
      <c r="H282" s="162">
        <v>45474.0</v>
      </c>
      <c r="I282" s="163" t="s">
        <v>25</v>
      </c>
      <c r="J282" s="163" t="s">
        <v>37</v>
      </c>
      <c r="K282" s="163" t="s">
        <v>31</v>
      </c>
      <c r="L282" s="165"/>
      <c r="M282" s="161"/>
      <c r="N282" s="16" t="s">
        <v>5135</v>
      </c>
      <c r="O282" s="16"/>
      <c r="P282" s="16"/>
      <c r="Q282" s="17"/>
      <c r="R282" s="17"/>
      <c r="S282" s="17"/>
      <c r="T282" s="17"/>
      <c r="U282" s="17"/>
      <c r="V282" s="17"/>
      <c r="W282" s="17"/>
      <c r="X282" s="17"/>
      <c r="Y282" s="17"/>
    </row>
    <row r="283" ht="18.75" customHeight="1">
      <c r="A283" s="9">
        <v>282.0</v>
      </c>
      <c r="B283" s="161" t="s">
        <v>1950</v>
      </c>
      <c r="C283" s="169" t="s">
        <v>1951</v>
      </c>
      <c r="D283" s="169" t="s">
        <v>414</v>
      </c>
      <c r="E283" s="169" t="s">
        <v>5730</v>
      </c>
      <c r="F283" s="169" t="s">
        <v>5731</v>
      </c>
      <c r="G283" s="162">
        <v>45473.0</v>
      </c>
      <c r="H283" s="162">
        <v>45474.0</v>
      </c>
      <c r="I283" s="163" t="s">
        <v>25</v>
      </c>
      <c r="J283" s="163" t="s">
        <v>37</v>
      </c>
      <c r="K283" s="163" t="s">
        <v>31</v>
      </c>
      <c r="L283" s="165"/>
      <c r="M283" s="161"/>
      <c r="N283" s="16" t="s">
        <v>5135</v>
      </c>
      <c r="O283" s="16"/>
      <c r="P283" s="16"/>
      <c r="Q283" s="17"/>
      <c r="R283" s="17"/>
      <c r="S283" s="17"/>
      <c r="T283" s="17"/>
      <c r="U283" s="17"/>
      <c r="V283" s="17"/>
      <c r="W283" s="17"/>
      <c r="X283" s="17"/>
      <c r="Y283" s="17"/>
    </row>
    <row r="284" ht="18.75" customHeight="1">
      <c r="A284" s="9">
        <v>283.0</v>
      </c>
      <c r="B284" s="161" t="s">
        <v>1954</v>
      </c>
      <c r="C284" s="169" t="s">
        <v>1955</v>
      </c>
      <c r="D284" s="169" t="s">
        <v>476</v>
      </c>
      <c r="E284" s="169" t="s">
        <v>1183</v>
      </c>
      <c r="F284" s="169" t="s">
        <v>5732</v>
      </c>
      <c r="G284" s="162">
        <v>45462.0</v>
      </c>
      <c r="H284" s="162">
        <v>45463.0</v>
      </c>
      <c r="I284" s="163" t="s">
        <v>119</v>
      </c>
      <c r="J284" s="163" t="s">
        <v>5173</v>
      </c>
      <c r="K284" s="163" t="s">
        <v>31</v>
      </c>
      <c r="L284" s="165"/>
      <c r="M284" s="161"/>
      <c r="N284" s="16" t="s">
        <v>5135</v>
      </c>
      <c r="O284" s="16"/>
      <c r="P284" s="16"/>
      <c r="Q284" s="17"/>
      <c r="R284" s="17"/>
      <c r="S284" s="17"/>
      <c r="T284" s="17"/>
      <c r="U284" s="17"/>
      <c r="V284" s="17"/>
      <c r="W284" s="17"/>
      <c r="X284" s="17"/>
      <c r="Y284" s="17"/>
    </row>
    <row r="285" ht="18.75" customHeight="1">
      <c r="A285" s="9">
        <v>284.0</v>
      </c>
      <c r="B285" s="161" t="s">
        <v>1956</v>
      </c>
      <c r="C285" s="169" t="s">
        <v>1957</v>
      </c>
      <c r="D285" s="169" t="s">
        <v>697</v>
      </c>
      <c r="E285" s="169" t="s">
        <v>1958</v>
      </c>
      <c r="F285" s="169" t="s">
        <v>5733</v>
      </c>
      <c r="G285" s="162">
        <v>45473.0</v>
      </c>
      <c r="H285" s="162">
        <v>45474.0</v>
      </c>
      <c r="I285" s="163" t="s">
        <v>25</v>
      </c>
      <c r="J285" s="163" t="s">
        <v>37</v>
      </c>
      <c r="K285" s="163" t="s">
        <v>31</v>
      </c>
      <c r="L285" s="165"/>
      <c r="M285" s="161"/>
      <c r="N285" s="16" t="s">
        <v>5135</v>
      </c>
      <c r="O285" s="16"/>
      <c r="P285" s="16"/>
      <c r="Q285" s="17"/>
      <c r="R285" s="17"/>
      <c r="S285" s="17"/>
      <c r="T285" s="17"/>
      <c r="U285" s="17"/>
      <c r="V285" s="17"/>
      <c r="W285" s="17"/>
      <c r="X285" s="17"/>
      <c r="Y285" s="17"/>
    </row>
    <row r="286" ht="18.75" customHeight="1">
      <c r="A286" s="9">
        <v>285.0</v>
      </c>
      <c r="B286" s="161" t="s">
        <v>1724</v>
      </c>
      <c r="C286" s="169" t="s">
        <v>1725</v>
      </c>
      <c r="D286" s="169" t="s">
        <v>173</v>
      </c>
      <c r="E286" s="169" t="s">
        <v>5734</v>
      </c>
      <c r="F286" s="169" t="s">
        <v>5735</v>
      </c>
      <c r="G286" s="162">
        <v>45473.0</v>
      </c>
      <c r="H286" s="162">
        <v>45474.0</v>
      </c>
      <c r="I286" s="163" t="s">
        <v>119</v>
      </c>
      <c r="J286" s="163" t="s">
        <v>37</v>
      </c>
      <c r="K286" s="163" t="s">
        <v>31</v>
      </c>
      <c r="L286" s="165"/>
      <c r="M286" s="161"/>
      <c r="N286" s="16" t="s">
        <v>5135</v>
      </c>
      <c r="O286" s="16"/>
      <c r="P286" s="16"/>
      <c r="Q286" s="17"/>
      <c r="R286" s="17"/>
      <c r="S286" s="17"/>
      <c r="T286" s="17"/>
      <c r="U286" s="17"/>
      <c r="V286" s="17"/>
      <c r="W286" s="17"/>
      <c r="X286" s="17"/>
      <c r="Y286" s="17"/>
    </row>
    <row r="287" ht="18.75" customHeight="1">
      <c r="A287" s="9">
        <v>286.0</v>
      </c>
      <c r="B287" s="161" t="s">
        <v>1660</v>
      </c>
      <c r="C287" s="169" t="s">
        <v>5736</v>
      </c>
      <c r="D287" s="169" t="s">
        <v>1662</v>
      </c>
      <c r="E287" s="169" t="s">
        <v>1663</v>
      </c>
      <c r="F287" s="169" t="s">
        <v>5737</v>
      </c>
      <c r="G287" s="162">
        <v>45473.0</v>
      </c>
      <c r="H287" s="162">
        <v>45474.0</v>
      </c>
      <c r="I287" s="163" t="s">
        <v>25</v>
      </c>
      <c r="J287" s="163" t="s">
        <v>37</v>
      </c>
      <c r="K287" s="163" t="s">
        <v>31</v>
      </c>
      <c r="L287" s="165"/>
      <c r="M287" s="161"/>
      <c r="N287" s="16" t="s">
        <v>5135</v>
      </c>
      <c r="O287" s="16"/>
      <c r="P287" s="16"/>
      <c r="Q287" s="17"/>
      <c r="R287" s="17"/>
      <c r="S287" s="17"/>
      <c r="T287" s="17"/>
      <c r="U287" s="17"/>
      <c r="V287" s="17"/>
      <c r="W287" s="17"/>
      <c r="X287" s="17"/>
      <c r="Y287" s="17"/>
    </row>
    <row r="288" ht="18.75" customHeight="1">
      <c r="A288" s="9">
        <v>287.0</v>
      </c>
      <c r="B288" s="161" t="s">
        <v>1708</v>
      </c>
      <c r="C288" s="169" t="s">
        <v>5738</v>
      </c>
      <c r="D288" s="169" t="s">
        <v>5739</v>
      </c>
      <c r="E288" s="169" t="s">
        <v>1663</v>
      </c>
      <c r="F288" s="169" t="s">
        <v>5740</v>
      </c>
      <c r="G288" s="162">
        <v>45473.0</v>
      </c>
      <c r="H288" s="162">
        <v>45474.0</v>
      </c>
      <c r="I288" s="163" t="s">
        <v>25</v>
      </c>
      <c r="J288" s="163" t="s">
        <v>37</v>
      </c>
      <c r="K288" s="163" t="s">
        <v>31</v>
      </c>
      <c r="L288" s="165"/>
      <c r="M288" s="161"/>
      <c r="N288" s="16" t="s">
        <v>5135</v>
      </c>
      <c r="O288" s="16"/>
      <c r="P288" s="16"/>
      <c r="Q288" s="17"/>
      <c r="R288" s="17"/>
      <c r="S288" s="17"/>
      <c r="T288" s="17"/>
      <c r="U288" s="17"/>
      <c r="V288" s="17"/>
      <c r="W288" s="17"/>
      <c r="X288" s="17"/>
      <c r="Y288" s="17"/>
    </row>
    <row r="289" ht="18.75" customHeight="1">
      <c r="A289" s="9">
        <v>288.0</v>
      </c>
      <c r="B289" s="161" t="s">
        <v>1641</v>
      </c>
      <c r="C289" s="169" t="s">
        <v>1642</v>
      </c>
      <c r="D289" s="169" t="s">
        <v>1643</v>
      </c>
      <c r="E289" s="169" t="s">
        <v>1644</v>
      </c>
      <c r="F289" s="169" t="s">
        <v>5741</v>
      </c>
      <c r="G289" s="162">
        <v>45473.0</v>
      </c>
      <c r="H289" s="162">
        <v>45474.0</v>
      </c>
      <c r="I289" s="163" t="s">
        <v>25</v>
      </c>
      <c r="J289" s="163" t="s">
        <v>37</v>
      </c>
      <c r="K289" s="163" t="s">
        <v>31</v>
      </c>
      <c r="L289" s="165"/>
      <c r="M289" s="161"/>
      <c r="N289" s="16" t="s">
        <v>5135</v>
      </c>
      <c r="O289" s="16"/>
      <c r="P289" s="16"/>
      <c r="Q289" s="17"/>
      <c r="R289" s="17"/>
      <c r="S289" s="17"/>
      <c r="T289" s="17"/>
      <c r="U289" s="17"/>
      <c r="V289" s="17"/>
      <c r="W289" s="17"/>
      <c r="X289" s="17"/>
      <c r="Y289" s="17"/>
    </row>
    <row r="290" ht="18.75" customHeight="1">
      <c r="A290" s="9">
        <v>289.0</v>
      </c>
      <c r="B290" s="161" t="s">
        <v>1734</v>
      </c>
      <c r="C290" s="169" t="s">
        <v>1735</v>
      </c>
      <c r="D290" s="169" t="s">
        <v>342</v>
      </c>
      <c r="E290" s="169" t="s">
        <v>1736</v>
      </c>
      <c r="F290" s="169" t="s">
        <v>5742</v>
      </c>
      <c r="G290" s="162">
        <v>45478.0</v>
      </c>
      <c r="H290" s="162">
        <v>45479.0</v>
      </c>
      <c r="I290" s="163" t="s">
        <v>25</v>
      </c>
      <c r="J290" s="163" t="s">
        <v>37</v>
      </c>
      <c r="K290" s="163" t="s">
        <v>31</v>
      </c>
      <c r="L290" s="165"/>
      <c r="M290" s="161"/>
      <c r="N290" s="16" t="s">
        <v>5135</v>
      </c>
      <c r="O290" s="16"/>
      <c r="P290" s="16"/>
      <c r="Q290" s="17"/>
      <c r="R290" s="17"/>
      <c r="S290" s="17"/>
      <c r="T290" s="17"/>
      <c r="U290" s="17"/>
      <c r="V290" s="17"/>
      <c r="W290" s="17"/>
      <c r="X290" s="17"/>
      <c r="Y290" s="17"/>
    </row>
    <row r="291" ht="18.75" customHeight="1">
      <c r="A291" s="9">
        <v>290.0</v>
      </c>
      <c r="B291" s="161" t="s">
        <v>1742</v>
      </c>
      <c r="C291" s="169" t="s">
        <v>1743</v>
      </c>
      <c r="D291" s="169" t="s">
        <v>362</v>
      </c>
      <c r="E291" s="169" t="s">
        <v>1744</v>
      </c>
      <c r="F291" s="169" t="s">
        <v>5743</v>
      </c>
      <c r="G291" s="162">
        <v>45473.0</v>
      </c>
      <c r="H291" s="162">
        <v>45474.0</v>
      </c>
      <c r="I291" s="163" t="s">
        <v>25</v>
      </c>
      <c r="J291" s="163" t="s">
        <v>37</v>
      </c>
      <c r="K291" s="163" t="s">
        <v>31</v>
      </c>
      <c r="L291" s="165"/>
      <c r="M291" s="161"/>
      <c r="N291" s="16" t="s">
        <v>5135</v>
      </c>
      <c r="O291" s="16"/>
      <c r="P291" s="16"/>
      <c r="Q291" s="17"/>
      <c r="R291" s="17"/>
      <c r="S291" s="17"/>
      <c r="T291" s="17"/>
      <c r="U291" s="17"/>
      <c r="V291" s="17"/>
      <c r="W291" s="17"/>
      <c r="X291" s="17"/>
      <c r="Y291" s="17"/>
    </row>
    <row r="292" ht="18.75" customHeight="1">
      <c r="A292" s="9">
        <v>291.0</v>
      </c>
      <c r="B292" s="161" t="s">
        <v>1745</v>
      </c>
      <c r="C292" s="169" t="s">
        <v>1746</v>
      </c>
      <c r="D292" s="169" t="s">
        <v>271</v>
      </c>
      <c r="E292" s="169" t="s">
        <v>1744</v>
      </c>
      <c r="F292" s="169" t="s">
        <v>5744</v>
      </c>
      <c r="G292" s="162">
        <v>45473.0</v>
      </c>
      <c r="H292" s="162">
        <v>45474.0</v>
      </c>
      <c r="I292" s="163" t="s">
        <v>25</v>
      </c>
      <c r="J292" s="163" t="s">
        <v>37</v>
      </c>
      <c r="K292" s="163" t="s">
        <v>31</v>
      </c>
      <c r="L292" s="165"/>
      <c r="M292" s="161"/>
      <c r="N292" s="16" t="s">
        <v>5135</v>
      </c>
      <c r="O292" s="16"/>
      <c r="P292" s="16"/>
      <c r="Q292" s="17"/>
      <c r="R292" s="17"/>
      <c r="S292" s="17"/>
      <c r="T292" s="17"/>
      <c r="U292" s="17"/>
      <c r="V292" s="17"/>
      <c r="W292" s="17"/>
      <c r="X292" s="17"/>
      <c r="Y292" s="17"/>
    </row>
    <row r="293" ht="18.75" customHeight="1">
      <c r="A293" s="9">
        <v>292.0</v>
      </c>
      <c r="B293" s="161" t="s">
        <v>1764</v>
      </c>
      <c r="C293" s="169" t="s">
        <v>1765</v>
      </c>
      <c r="D293" s="169" t="s">
        <v>28</v>
      </c>
      <c r="E293" s="169" t="s">
        <v>5745</v>
      </c>
      <c r="F293" s="169" t="s">
        <v>5746</v>
      </c>
      <c r="G293" s="162">
        <v>45473.0</v>
      </c>
      <c r="H293" s="162">
        <v>45474.0</v>
      </c>
      <c r="I293" s="163" t="s">
        <v>25</v>
      </c>
      <c r="J293" s="163" t="s">
        <v>37</v>
      </c>
      <c r="K293" s="163" t="s">
        <v>31</v>
      </c>
      <c r="L293" s="165"/>
      <c r="M293" s="161"/>
      <c r="N293" s="16" t="s">
        <v>5135</v>
      </c>
      <c r="O293" s="16"/>
      <c r="P293" s="16"/>
      <c r="Q293" s="17"/>
      <c r="R293" s="17"/>
      <c r="S293" s="17"/>
      <c r="T293" s="17"/>
      <c r="U293" s="17"/>
      <c r="V293" s="17"/>
      <c r="W293" s="17"/>
      <c r="X293" s="17"/>
      <c r="Y293" s="17"/>
    </row>
    <row r="294" ht="18.75" customHeight="1">
      <c r="A294" s="9">
        <v>293.0</v>
      </c>
      <c r="B294" s="161" t="s">
        <v>1767</v>
      </c>
      <c r="C294" s="169" t="s">
        <v>1768</v>
      </c>
      <c r="D294" s="169" t="s">
        <v>1769</v>
      </c>
      <c r="E294" s="169" t="s">
        <v>1770</v>
      </c>
      <c r="F294" s="169" t="s">
        <v>5747</v>
      </c>
      <c r="G294" s="162">
        <v>45485.0</v>
      </c>
      <c r="H294" s="162">
        <v>45486.0</v>
      </c>
      <c r="I294" s="163" t="s">
        <v>25</v>
      </c>
      <c r="J294" s="163" t="s">
        <v>37</v>
      </c>
      <c r="K294" s="163" t="s">
        <v>31</v>
      </c>
      <c r="L294" s="165"/>
      <c r="M294" s="161"/>
      <c r="N294" s="16" t="s">
        <v>5135</v>
      </c>
      <c r="O294" s="16"/>
      <c r="P294" s="16"/>
      <c r="Q294" s="17"/>
      <c r="R294" s="17"/>
      <c r="S294" s="17"/>
      <c r="T294" s="17"/>
      <c r="U294" s="17"/>
      <c r="V294" s="17"/>
      <c r="W294" s="17"/>
      <c r="X294" s="17"/>
      <c r="Y294" s="17"/>
    </row>
    <row r="295" ht="18.75" customHeight="1">
      <c r="A295" s="9">
        <v>294.0</v>
      </c>
      <c r="B295" s="161" t="s">
        <v>1775</v>
      </c>
      <c r="C295" s="169" t="s">
        <v>1776</v>
      </c>
      <c r="D295" s="169" t="s">
        <v>271</v>
      </c>
      <c r="E295" s="169" t="s">
        <v>1777</v>
      </c>
      <c r="F295" s="169" t="s">
        <v>5748</v>
      </c>
      <c r="G295" s="162">
        <v>45489.0</v>
      </c>
      <c r="H295" s="162">
        <v>45490.0</v>
      </c>
      <c r="I295" s="163" t="s">
        <v>25</v>
      </c>
      <c r="J295" s="163" t="s">
        <v>37</v>
      </c>
      <c r="K295" s="163" t="s">
        <v>31</v>
      </c>
      <c r="L295" s="165"/>
      <c r="M295" s="161"/>
      <c r="N295" s="16" t="s">
        <v>5135</v>
      </c>
      <c r="O295" s="16"/>
      <c r="P295" s="16"/>
      <c r="Q295" s="17"/>
      <c r="R295" s="17"/>
      <c r="S295" s="17"/>
      <c r="T295" s="17"/>
      <c r="U295" s="17"/>
      <c r="V295" s="17"/>
      <c r="W295" s="17"/>
      <c r="X295" s="17"/>
      <c r="Y295" s="17"/>
    </row>
    <row r="296" ht="18.75" customHeight="1">
      <c r="A296" s="9">
        <v>295.0</v>
      </c>
      <c r="B296" s="161" t="s">
        <v>1783</v>
      </c>
      <c r="C296" s="169" t="s">
        <v>1784</v>
      </c>
      <c r="D296" s="169" t="s">
        <v>697</v>
      </c>
      <c r="E296" s="169" t="s">
        <v>1785</v>
      </c>
      <c r="F296" s="169" t="s">
        <v>5749</v>
      </c>
      <c r="G296" s="162">
        <v>45473.0</v>
      </c>
      <c r="H296" s="162">
        <v>45474.0</v>
      </c>
      <c r="I296" s="163" t="s">
        <v>25</v>
      </c>
      <c r="J296" s="163" t="s">
        <v>37</v>
      </c>
      <c r="K296" s="163" t="s">
        <v>31</v>
      </c>
      <c r="L296" s="165"/>
      <c r="M296" s="161"/>
      <c r="N296" s="16" t="s">
        <v>5135</v>
      </c>
      <c r="O296" s="16"/>
      <c r="P296" s="16"/>
      <c r="Q296" s="17"/>
      <c r="R296" s="17"/>
      <c r="S296" s="17"/>
      <c r="T296" s="17"/>
      <c r="U296" s="17"/>
      <c r="V296" s="17"/>
      <c r="W296" s="17"/>
      <c r="X296" s="17"/>
      <c r="Y296" s="17"/>
    </row>
    <row r="297" ht="18.75" customHeight="1">
      <c r="A297" s="9">
        <v>296.0</v>
      </c>
      <c r="B297" s="161" t="s">
        <v>1794</v>
      </c>
      <c r="C297" s="169" t="s">
        <v>1795</v>
      </c>
      <c r="D297" s="169" t="s">
        <v>677</v>
      </c>
      <c r="E297" s="169" t="s">
        <v>1796</v>
      </c>
      <c r="F297" s="169" t="s">
        <v>5750</v>
      </c>
      <c r="G297" s="162">
        <v>45492.0</v>
      </c>
      <c r="H297" s="162">
        <v>45493.0</v>
      </c>
      <c r="I297" s="163" t="s">
        <v>25</v>
      </c>
      <c r="J297" s="163" t="s">
        <v>22</v>
      </c>
      <c r="K297" s="163" t="s">
        <v>31</v>
      </c>
      <c r="L297" s="165"/>
      <c r="M297" s="161"/>
      <c r="N297" s="16" t="s">
        <v>5135</v>
      </c>
      <c r="O297" s="16"/>
      <c r="P297" s="16"/>
      <c r="Q297" s="17"/>
      <c r="R297" s="17"/>
      <c r="S297" s="17"/>
      <c r="T297" s="17"/>
      <c r="U297" s="17"/>
      <c r="V297" s="17"/>
      <c r="W297" s="17"/>
      <c r="X297" s="17"/>
      <c r="Y297" s="17"/>
    </row>
    <row r="298" ht="18.75" customHeight="1">
      <c r="A298" s="9">
        <v>297.0</v>
      </c>
      <c r="B298" s="161" t="s">
        <v>1798</v>
      </c>
      <c r="C298" s="169" t="s">
        <v>5751</v>
      </c>
      <c r="D298" s="169" t="s">
        <v>173</v>
      </c>
      <c r="E298" s="169" t="s">
        <v>5556</v>
      </c>
      <c r="F298" s="169" t="s">
        <v>5752</v>
      </c>
      <c r="G298" s="162">
        <v>45473.0</v>
      </c>
      <c r="H298" s="162">
        <v>45474.0</v>
      </c>
      <c r="I298" s="163" t="s">
        <v>119</v>
      </c>
      <c r="J298" s="163" t="s">
        <v>37</v>
      </c>
      <c r="K298" s="163" t="s">
        <v>31</v>
      </c>
      <c r="L298" s="165"/>
      <c r="M298" s="161"/>
      <c r="N298" s="16" t="s">
        <v>5135</v>
      </c>
      <c r="O298" s="16"/>
      <c r="P298" s="16"/>
      <c r="Q298" s="17"/>
      <c r="R298" s="17"/>
      <c r="S298" s="17"/>
      <c r="T298" s="17"/>
      <c r="U298" s="17"/>
      <c r="V298" s="17"/>
      <c r="W298" s="17"/>
      <c r="X298" s="17"/>
      <c r="Y298" s="17"/>
    </row>
    <row r="299" ht="18.75" customHeight="1">
      <c r="A299" s="9">
        <v>298.0</v>
      </c>
      <c r="B299" s="161" t="s">
        <v>1802</v>
      </c>
      <c r="C299" s="169" t="s">
        <v>1803</v>
      </c>
      <c r="D299" s="169" t="s">
        <v>173</v>
      </c>
      <c r="E299" s="169" t="s">
        <v>236</v>
      </c>
      <c r="F299" s="169" t="s">
        <v>5753</v>
      </c>
      <c r="G299" s="162">
        <v>45473.0</v>
      </c>
      <c r="H299" s="162">
        <v>45474.0</v>
      </c>
      <c r="I299" s="163" t="s">
        <v>119</v>
      </c>
      <c r="J299" s="163" t="s">
        <v>37</v>
      </c>
      <c r="K299" s="163" t="s">
        <v>31</v>
      </c>
      <c r="L299" s="165"/>
      <c r="M299" s="161"/>
      <c r="N299" s="16" t="s">
        <v>5135</v>
      </c>
      <c r="O299" s="16"/>
      <c r="P299" s="16"/>
      <c r="Q299" s="17"/>
      <c r="R299" s="17"/>
      <c r="S299" s="17"/>
      <c r="T299" s="17"/>
      <c r="U299" s="17"/>
      <c r="V299" s="17"/>
      <c r="W299" s="17"/>
      <c r="X299" s="17"/>
      <c r="Y299" s="17"/>
    </row>
    <row r="300" ht="18.75" customHeight="1">
      <c r="A300" s="9">
        <v>299.0</v>
      </c>
      <c r="B300" s="161" t="s">
        <v>1805</v>
      </c>
      <c r="C300" s="169" t="s">
        <v>1806</v>
      </c>
      <c r="D300" s="169" t="s">
        <v>1807</v>
      </c>
      <c r="E300" s="169" t="s">
        <v>5636</v>
      </c>
      <c r="F300" s="169" t="s">
        <v>5754</v>
      </c>
      <c r="G300" s="162">
        <v>45500.0</v>
      </c>
      <c r="H300" s="162">
        <v>45501.0</v>
      </c>
      <c r="I300" s="163" t="s">
        <v>25</v>
      </c>
      <c r="J300" s="163" t="s">
        <v>22</v>
      </c>
      <c r="K300" s="163" t="s">
        <v>31</v>
      </c>
      <c r="L300" s="165"/>
      <c r="M300" s="161"/>
      <c r="N300" s="16" t="s">
        <v>5135</v>
      </c>
      <c r="O300" s="16"/>
      <c r="P300" s="16"/>
      <c r="Q300" s="17"/>
      <c r="R300" s="17"/>
      <c r="S300" s="17"/>
      <c r="T300" s="17"/>
      <c r="U300" s="17"/>
      <c r="V300" s="17"/>
      <c r="W300" s="17"/>
      <c r="X300" s="17"/>
      <c r="Y300" s="17"/>
    </row>
    <row r="301" ht="18.75" customHeight="1">
      <c r="A301" s="9">
        <v>300.0</v>
      </c>
      <c r="B301" s="161" t="s">
        <v>1811</v>
      </c>
      <c r="C301" s="169" t="s">
        <v>1812</v>
      </c>
      <c r="D301" s="169" t="s">
        <v>65</v>
      </c>
      <c r="E301" s="169" t="s">
        <v>1813</v>
      </c>
      <c r="F301" s="169" t="s">
        <v>5755</v>
      </c>
      <c r="G301" s="162">
        <v>45483.0</v>
      </c>
      <c r="H301" s="162">
        <v>45484.0</v>
      </c>
      <c r="I301" s="163" t="s">
        <v>119</v>
      </c>
      <c r="J301" s="163" t="s">
        <v>37</v>
      </c>
      <c r="K301" s="163" t="s">
        <v>31</v>
      </c>
      <c r="L301" s="165"/>
      <c r="M301" s="174"/>
      <c r="N301" s="16" t="s">
        <v>5135</v>
      </c>
      <c r="O301" s="16"/>
      <c r="P301" s="16"/>
      <c r="Q301" s="17"/>
      <c r="R301" s="17"/>
      <c r="S301" s="17"/>
      <c r="T301" s="17"/>
      <c r="U301" s="17"/>
      <c r="V301" s="17"/>
      <c r="W301" s="17"/>
      <c r="X301" s="17"/>
      <c r="Y301" s="17"/>
    </row>
    <row r="302" ht="18.75" customHeight="1">
      <c r="A302" s="9">
        <v>301.0</v>
      </c>
      <c r="B302" s="161" t="s">
        <v>1809</v>
      </c>
      <c r="C302" s="169" t="s">
        <v>1810</v>
      </c>
      <c r="D302" s="169" t="s">
        <v>1749</v>
      </c>
      <c r="E302" s="169" t="s">
        <v>1652</v>
      </c>
      <c r="F302" s="169" t="s">
        <v>5756</v>
      </c>
      <c r="G302" s="162">
        <v>45488.0</v>
      </c>
      <c r="H302" s="162">
        <v>45489.0</v>
      </c>
      <c r="I302" s="163" t="s">
        <v>119</v>
      </c>
      <c r="J302" s="163" t="s">
        <v>5420</v>
      </c>
      <c r="K302" s="163" t="s">
        <v>31</v>
      </c>
      <c r="L302" s="165"/>
      <c r="M302" s="161"/>
      <c r="N302" s="16" t="s">
        <v>5135</v>
      </c>
      <c r="O302" s="16"/>
      <c r="P302" s="16"/>
      <c r="Q302" s="17"/>
      <c r="R302" s="17"/>
      <c r="S302" s="17"/>
      <c r="T302" s="17"/>
      <c r="U302" s="17"/>
      <c r="V302" s="17"/>
      <c r="W302" s="17"/>
      <c r="X302" s="17"/>
      <c r="Y302" s="17"/>
    </row>
    <row r="303" ht="18.75" customHeight="1">
      <c r="A303" s="9">
        <v>302.0</v>
      </c>
      <c r="B303" s="161" t="s">
        <v>1779</v>
      </c>
      <c r="C303" s="169" t="s">
        <v>1780</v>
      </c>
      <c r="D303" s="169" t="s">
        <v>697</v>
      </c>
      <c r="E303" s="169" t="s">
        <v>1781</v>
      </c>
      <c r="F303" s="169" t="s">
        <v>5757</v>
      </c>
      <c r="G303" s="162">
        <v>45489.0</v>
      </c>
      <c r="H303" s="162">
        <v>45490.0</v>
      </c>
      <c r="I303" s="163" t="s">
        <v>25</v>
      </c>
      <c r="J303" s="163" t="s">
        <v>37</v>
      </c>
      <c r="K303" s="163" t="s">
        <v>31</v>
      </c>
      <c r="L303" s="165"/>
      <c r="M303" s="161"/>
      <c r="N303" s="16" t="s">
        <v>5135</v>
      </c>
      <c r="O303" s="16"/>
      <c r="P303" s="16"/>
      <c r="Q303" s="17"/>
      <c r="R303" s="17"/>
      <c r="S303" s="17"/>
      <c r="T303" s="17"/>
      <c r="U303" s="17"/>
      <c r="V303" s="17"/>
      <c r="W303" s="17"/>
      <c r="X303" s="17"/>
      <c r="Y303" s="17"/>
    </row>
    <row r="304" ht="18.75" customHeight="1">
      <c r="A304" s="9">
        <v>303.0</v>
      </c>
      <c r="B304" s="161" t="s">
        <v>5758</v>
      </c>
      <c r="C304" s="169" t="s">
        <v>5759</v>
      </c>
      <c r="D304" s="169" t="s">
        <v>5760</v>
      </c>
      <c r="E304" s="169" t="s">
        <v>1301</v>
      </c>
      <c r="F304" s="176"/>
      <c r="G304" s="162">
        <v>45473.0</v>
      </c>
      <c r="H304" s="162">
        <v>45474.0</v>
      </c>
      <c r="I304" s="163" t="s">
        <v>119</v>
      </c>
      <c r="J304" s="163" t="s">
        <v>5173</v>
      </c>
      <c r="K304" s="163" t="s">
        <v>31</v>
      </c>
      <c r="L304" s="165"/>
      <c r="M304" s="161"/>
      <c r="N304" s="16" t="s">
        <v>5135</v>
      </c>
      <c r="O304" s="16"/>
      <c r="P304" s="16"/>
      <c r="Q304" s="17"/>
      <c r="R304" s="17"/>
      <c r="S304" s="17"/>
      <c r="T304" s="17"/>
      <c r="U304" s="17"/>
      <c r="V304" s="17"/>
      <c r="W304" s="17"/>
      <c r="X304" s="17"/>
      <c r="Y304" s="17"/>
    </row>
    <row r="305" ht="18.75" customHeight="1">
      <c r="A305" s="9">
        <v>304.0</v>
      </c>
      <c r="B305" s="161" t="s">
        <v>1858</v>
      </c>
      <c r="C305" s="169" t="s">
        <v>1859</v>
      </c>
      <c r="D305" s="169" t="s">
        <v>646</v>
      </c>
      <c r="E305" s="169" t="s">
        <v>1860</v>
      </c>
      <c r="F305" s="169" t="s">
        <v>5761</v>
      </c>
      <c r="G305" s="162">
        <v>45484.0</v>
      </c>
      <c r="H305" s="162">
        <v>45485.0</v>
      </c>
      <c r="I305" s="163" t="s">
        <v>119</v>
      </c>
      <c r="J305" s="163" t="s">
        <v>37</v>
      </c>
      <c r="K305" s="163" t="s">
        <v>31</v>
      </c>
      <c r="L305" s="165"/>
      <c r="M305" s="161"/>
      <c r="N305" s="16" t="s">
        <v>5135</v>
      </c>
      <c r="O305" s="16"/>
      <c r="P305" s="16"/>
      <c r="Q305" s="17"/>
      <c r="R305" s="17"/>
      <c r="S305" s="17"/>
      <c r="T305" s="17"/>
      <c r="U305" s="17"/>
      <c r="V305" s="17"/>
      <c r="W305" s="17"/>
      <c r="X305" s="17"/>
      <c r="Y305" s="17"/>
    </row>
    <row r="306" ht="18.75" customHeight="1">
      <c r="A306" s="9">
        <v>305.0</v>
      </c>
      <c r="B306" s="161" t="s">
        <v>1738</v>
      </c>
      <c r="C306" s="169" t="s">
        <v>1739</v>
      </c>
      <c r="D306" s="169" t="s">
        <v>697</v>
      </c>
      <c r="E306" s="169" t="s">
        <v>1740</v>
      </c>
      <c r="F306" s="169" t="s">
        <v>5762</v>
      </c>
      <c r="G306" s="162">
        <v>45488.0</v>
      </c>
      <c r="H306" s="162">
        <v>45489.0</v>
      </c>
      <c r="I306" s="163" t="s">
        <v>25</v>
      </c>
      <c r="J306" s="163" t="s">
        <v>37</v>
      </c>
      <c r="K306" s="163" t="s">
        <v>31</v>
      </c>
      <c r="L306" s="165"/>
      <c r="M306" s="161"/>
      <c r="N306" s="16" t="s">
        <v>5135</v>
      </c>
      <c r="O306" s="16"/>
      <c r="P306" s="16"/>
      <c r="Q306" s="17"/>
      <c r="R306" s="17"/>
      <c r="S306" s="17"/>
      <c r="T306" s="17"/>
      <c r="U306" s="17"/>
      <c r="V306" s="17"/>
      <c r="W306" s="17"/>
      <c r="X306" s="17"/>
      <c r="Y306" s="17"/>
    </row>
    <row r="307" ht="18.75" customHeight="1">
      <c r="A307" s="9">
        <v>306.0</v>
      </c>
      <c r="B307" s="161" t="s">
        <v>5763</v>
      </c>
      <c r="C307" s="169" t="s">
        <v>5764</v>
      </c>
      <c r="D307" s="169" t="s">
        <v>65</v>
      </c>
      <c r="E307" s="169" t="s">
        <v>5765</v>
      </c>
      <c r="F307" s="169" t="s">
        <v>5766</v>
      </c>
      <c r="G307" s="162">
        <v>45478.0</v>
      </c>
      <c r="H307" s="162">
        <v>45479.0</v>
      </c>
      <c r="I307" s="163" t="s">
        <v>251</v>
      </c>
      <c r="J307" s="163" t="s">
        <v>213</v>
      </c>
      <c r="K307" s="163" t="s">
        <v>31</v>
      </c>
      <c r="L307" s="165"/>
      <c r="M307" s="161"/>
      <c r="N307" s="16" t="s">
        <v>5135</v>
      </c>
      <c r="O307" s="16"/>
      <c r="P307" s="16"/>
      <c r="Q307" s="17"/>
      <c r="R307" s="17"/>
      <c r="S307" s="17"/>
      <c r="T307" s="17"/>
      <c r="U307" s="17"/>
      <c r="V307" s="17"/>
      <c r="W307" s="17"/>
      <c r="X307" s="17"/>
      <c r="Y307" s="17"/>
    </row>
    <row r="308" ht="18.75" customHeight="1">
      <c r="A308" s="9">
        <v>307.0</v>
      </c>
      <c r="B308" s="161" t="s">
        <v>1967</v>
      </c>
      <c r="C308" s="169" t="s">
        <v>1968</v>
      </c>
      <c r="D308" s="169" t="s">
        <v>128</v>
      </c>
      <c r="E308" s="169" t="s">
        <v>5730</v>
      </c>
      <c r="F308" s="169" t="s">
        <v>5767</v>
      </c>
      <c r="G308" s="162">
        <v>45473.0</v>
      </c>
      <c r="H308" s="162">
        <v>45474.0</v>
      </c>
      <c r="I308" s="163" t="s">
        <v>119</v>
      </c>
      <c r="J308" s="163" t="s">
        <v>213</v>
      </c>
      <c r="K308" s="163" t="s">
        <v>31</v>
      </c>
      <c r="L308" s="165"/>
      <c r="M308" s="161"/>
      <c r="N308" s="16" t="s">
        <v>5135</v>
      </c>
      <c r="O308" s="16"/>
      <c r="P308" s="16"/>
      <c r="Q308" s="17"/>
      <c r="R308" s="17"/>
      <c r="S308" s="17"/>
      <c r="T308" s="17"/>
      <c r="U308" s="17"/>
      <c r="V308" s="17"/>
      <c r="W308" s="17"/>
      <c r="X308" s="17"/>
      <c r="Y308" s="17"/>
    </row>
    <row r="309" ht="18.75" customHeight="1">
      <c r="A309" s="9">
        <v>308.0</v>
      </c>
      <c r="B309" s="161" t="s">
        <v>1969</v>
      </c>
      <c r="C309" s="169" t="s">
        <v>5768</v>
      </c>
      <c r="D309" s="169" t="s">
        <v>42</v>
      </c>
      <c r="E309" s="169" t="s">
        <v>5469</v>
      </c>
      <c r="F309" s="169" t="s">
        <v>5769</v>
      </c>
      <c r="G309" s="162">
        <v>45473.0</v>
      </c>
      <c r="H309" s="162">
        <v>45474.0</v>
      </c>
      <c r="I309" s="163" t="s">
        <v>119</v>
      </c>
      <c r="J309" s="163" t="s">
        <v>213</v>
      </c>
      <c r="K309" s="163" t="s">
        <v>31</v>
      </c>
      <c r="L309" s="165"/>
      <c r="M309" s="161"/>
      <c r="N309" s="16" t="s">
        <v>5135</v>
      </c>
      <c r="O309" s="16"/>
      <c r="P309" s="16"/>
      <c r="Q309" s="17"/>
      <c r="R309" s="17"/>
      <c r="S309" s="17"/>
      <c r="T309" s="17"/>
      <c r="U309" s="17"/>
      <c r="V309" s="17"/>
      <c r="W309" s="17"/>
      <c r="X309" s="17"/>
      <c r="Y309" s="17"/>
    </row>
    <row r="310" ht="18.75" customHeight="1">
      <c r="A310" s="9">
        <v>309.0</v>
      </c>
      <c r="B310" s="161" t="s">
        <v>1972</v>
      </c>
      <c r="C310" s="169" t="s">
        <v>1973</v>
      </c>
      <c r="D310" s="169" t="s">
        <v>706</v>
      </c>
      <c r="E310" s="169" t="s">
        <v>517</v>
      </c>
      <c r="F310" s="169" t="s">
        <v>5770</v>
      </c>
      <c r="G310" s="162">
        <v>45475.0</v>
      </c>
      <c r="H310" s="162">
        <v>45476.0</v>
      </c>
      <c r="I310" s="163" t="s">
        <v>119</v>
      </c>
      <c r="J310" s="163" t="s">
        <v>5173</v>
      </c>
      <c r="K310" s="163" t="s">
        <v>31</v>
      </c>
      <c r="L310" s="165"/>
      <c r="M310" s="161"/>
      <c r="N310" s="16" t="s">
        <v>5135</v>
      </c>
      <c r="O310" s="16"/>
      <c r="P310" s="16"/>
      <c r="Q310" s="17"/>
      <c r="R310" s="17"/>
      <c r="S310" s="17"/>
      <c r="T310" s="17"/>
      <c r="U310" s="17"/>
      <c r="V310" s="17"/>
      <c r="W310" s="17"/>
      <c r="X310" s="17"/>
      <c r="Y310" s="17"/>
    </row>
    <row r="311" ht="18.75" customHeight="1">
      <c r="A311" s="9">
        <v>310.0</v>
      </c>
      <c r="B311" s="161" t="s">
        <v>1974</v>
      </c>
      <c r="C311" s="169" t="s">
        <v>1975</v>
      </c>
      <c r="D311" s="169" t="s">
        <v>1976</v>
      </c>
      <c r="E311" s="169" t="s">
        <v>5771</v>
      </c>
      <c r="F311" s="169" t="s">
        <v>5772</v>
      </c>
      <c r="G311" s="162">
        <v>45475.0</v>
      </c>
      <c r="H311" s="162">
        <v>45476.0</v>
      </c>
      <c r="I311" s="163" t="s">
        <v>119</v>
      </c>
      <c r="J311" s="163" t="s">
        <v>37</v>
      </c>
      <c r="K311" s="163" t="s">
        <v>31</v>
      </c>
      <c r="L311" s="165"/>
      <c r="M311" s="161"/>
      <c r="N311" s="16" t="s">
        <v>5135</v>
      </c>
      <c r="O311" s="16"/>
      <c r="P311" s="16"/>
      <c r="Q311" s="17"/>
      <c r="R311" s="17"/>
      <c r="S311" s="17"/>
      <c r="T311" s="17"/>
      <c r="U311" s="17"/>
      <c r="V311" s="17"/>
      <c r="W311" s="17"/>
      <c r="X311" s="17"/>
      <c r="Y311" s="17"/>
    </row>
    <row r="312" ht="18.75" customHeight="1">
      <c r="A312" s="9">
        <v>311.0</v>
      </c>
      <c r="B312" s="161" t="s">
        <v>1979</v>
      </c>
      <c r="C312" s="169" t="s">
        <v>1980</v>
      </c>
      <c r="D312" s="169" t="s">
        <v>1976</v>
      </c>
      <c r="E312" s="169" t="s">
        <v>1981</v>
      </c>
      <c r="F312" s="169" t="s">
        <v>5773</v>
      </c>
      <c r="G312" s="162">
        <v>45480.0</v>
      </c>
      <c r="H312" s="162">
        <v>45481.0</v>
      </c>
      <c r="I312" s="163" t="s">
        <v>119</v>
      </c>
      <c r="J312" s="163" t="s">
        <v>37</v>
      </c>
      <c r="K312" s="163" t="s">
        <v>31</v>
      </c>
      <c r="L312" s="165"/>
      <c r="M312" s="161"/>
      <c r="N312" s="16" t="s">
        <v>5135</v>
      </c>
      <c r="O312" s="16"/>
      <c r="P312" s="16"/>
      <c r="Q312" s="17"/>
      <c r="R312" s="17"/>
      <c r="S312" s="17"/>
      <c r="T312" s="17"/>
      <c r="U312" s="17"/>
      <c r="V312" s="17"/>
      <c r="W312" s="17"/>
      <c r="X312" s="17"/>
      <c r="Y312" s="17"/>
    </row>
    <row r="313" ht="18.75" customHeight="1">
      <c r="A313" s="9">
        <v>312.0</v>
      </c>
      <c r="B313" s="161" t="s">
        <v>1983</v>
      </c>
      <c r="C313" s="169" t="s">
        <v>5774</v>
      </c>
      <c r="D313" s="169" t="s">
        <v>128</v>
      </c>
      <c r="E313" s="169" t="s">
        <v>5775</v>
      </c>
      <c r="F313" s="169" t="s">
        <v>5776</v>
      </c>
      <c r="G313" s="162">
        <v>45482.0</v>
      </c>
      <c r="H313" s="162">
        <v>45483.0</v>
      </c>
      <c r="I313" s="163" t="s">
        <v>119</v>
      </c>
      <c r="J313" s="163" t="s">
        <v>213</v>
      </c>
      <c r="K313" s="163" t="s">
        <v>31</v>
      </c>
      <c r="L313" s="165"/>
      <c r="M313" s="161"/>
      <c r="N313" s="16" t="s">
        <v>5135</v>
      </c>
      <c r="O313" s="16"/>
      <c r="P313" s="16"/>
      <c r="Q313" s="17"/>
      <c r="R313" s="17"/>
      <c r="S313" s="17"/>
      <c r="T313" s="17"/>
      <c r="U313" s="17"/>
      <c r="V313" s="17"/>
      <c r="W313" s="17"/>
      <c r="X313" s="17"/>
      <c r="Y313" s="17"/>
    </row>
    <row r="314" ht="18.75" customHeight="1">
      <c r="A314" s="9">
        <v>313.0</v>
      </c>
      <c r="B314" s="161" t="s">
        <v>1985</v>
      </c>
      <c r="C314" s="169" t="s">
        <v>1986</v>
      </c>
      <c r="D314" s="169" t="s">
        <v>1976</v>
      </c>
      <c r="E314" s="169" t="s">
        <v>5777</v>
      </c>
      <c r="F314" s="169" t="s">
        <v>5778</v>
      </c>
      <c r="G314" s="162">
        <v>45484.0</v>
      </c>
      <c r="H314" s="162">
        <v>45485.0</v>
      </c>
      <c r="I314" s="163" t="s">
        <v>25</v>
      </c>
      <c r="J314" s="163" t="s">
        <v>37</v>
      </c>
      <c r="K314" s="163" t="s">
        <v>31</v>
      </c>
      <c r="L314" s="165"/>
      <c r="M314" s="161"/>
      <c r="N314" s="16" t="s">
        <v>5135</v>
      </c>
      <c r="O314" s="16"/>
      <c r="P314" s="16"/>
      <c r="Q314" s="17"/>
      <c r="R314" s="17"/>
      <c r="S314" s="17"/>
      <c r="T314" s="17"/>
      <c r="U314" s="17"/>
      <c r="V314" s="17"/>
      <c r="W314" s="17"/>
      <c r="X314" s="17"/>
      <c r="Y314" s="17"/>
    </row>
    <row r="315" ht="18.75" customHeight="1">
      <c r="A315" s="9">
        <v>314.0</v>
      </c>
      <c r="B315" s="161" t="s">
        <v>1989</v>
      </c>
      <c r="C315" s="169" t="s">
        <v>1990</v>
      </c>
      <c r="D315" s="169" t="s">
        <v>71</v>
      </c>
      <c r="E315" s="169" t="s">
        <v>72</v>
      </c>
      <c r="F315" s="169" t="s">
        <v>5779</v>
      </c>
      <c r="G315" s="162">
        <v>45484.0</v>
      </c>
      <c r="H315" s="162">
        <v>45485.0</v>
      </c>
      <c r="I315" s="163" t="s">
        <v>119</v>
      </c>
      <c r="J315" s="163" t="s">
        <v>37</v>
      </c>
      <c r="K315" s="163" t="s">
        <v>31</v>
      </c>
      <c r="L315" s="165"/>
      <c r="M315" s="161"/>
      <c r="N315" s="16" t="s">
        <v>5135</v>
      </c>
      <c r="O315" s="16"/>
      <c r="P315" s="16"/>
      <c r="Q315" s="17"/>
      <c r="R315" s="17"/>
      <c r="S315" s="17"/>
      <c r="T315" s="17"/>
      <c r="U315" s="17"/>
      <c r="V315" s="17"/>
      <c r="W315" s="17"/>
      <c r="X315" s="17"/>
      <c r="Y315" s="17"/>
    </row>
    <row r="316" ht="18.75" customHeight="1">
      <c r="A316" s="9">
        <v>315.0</v>
      </c>
      <c r="B316" s="161" t="s">
        <v>1992</v>
      </c>
      <c r="C316" s="169" t="s">
        <v>1993</v>
      </c>
      <c r="D316" s="169" t="s">
        <v>153</v>
      </c>
      <c r="E316" s="169" t="s">
        <v>1291</v>
      </c>
      <c r="F316" s="169" t="s">
        <v>5780</v>
      </c>
      <c r="G316" s="162">
        <v>45485.0</v>
      </c>
      <c r="H316" s="162">
        <v>45486.0</v>
      </c>
      <c r="I316" s="163" t="s">
        <v>25</v>
      </c>
      <c r="J316" s="163" t="s">
        <v>37</v>
      </c>
      <c r="K316" s="163" t="s">
        <v>31</v>
      </c>
      <c r="L316" s="164" t="s">
        <v>97</v>
      </c>
      <c r="M316" s="161"/>
      <c r="N316" s="16" t="s">
        <v>5135</v>
      </c>
      <c r="O316" s="16"/>
      <c r="P316" s="16"/>
      <c r="Q316" s="17"/>
      <c r="R316" s="17"/>
      <c r="S316" s="17"/>
      <c r="T316" s="17"/>
      <c r="U316" s="17"/>
      <c r="V316" s="17"/>
      <c r="W316" s="17"/>
      <c r="X316" s="17"/>
      <c r="Y316" s="17"/>
    </row>
    <row r="317" ht="18.75" customHeight="1">
      <c r="A317" s="9">
        <v>316.0</v>
      </c>
      <c r="B317" s="161" t="s">
        <v>1995</v>
      </c>
      <c r="C317" s="169" t="s">
        <v>1996</v>
      </c>
      <c r="D317" s="169" t="s">
        <v>71</v>
      </c>
      <c r="E317" s="169" t="s">
        <v>1997</v>
      </c>
      <c r="F317" s="169" t="s">
        <v>5781</v>
      </c>
      <c r="G317" s="162">
        <v>45487.0</v>
      </c>
      <c r="H317" s="162">
        <v>45488.0</v>
      </c>
      <c r="I317" s="163" t="s">
        <v>119</v>
      </c>
      <c r="J317" s="163" t="s">
        <v>213</v>
      </c>
      <c r="K317" s="163" t="s">
        <v>31</v>
      </c>
      <c r="L317" s="165"/>
      <c r="M317" s="161"/>
      <c r="N317" s="16" t="s">
        <v>5135</v>
      </c>
      <c r="O317" s="16"/>
      <c r="P317" s="16"/>
      <c r="Q317" s="17"/>
      <c r="R317" s="17"/>
      <c r="S317" s="17"/>
      <c r="T317" s="17"/>
      <c r="U317" s="17"/>
      <c r="V317" s="17"/>
      <c r="W317" s="17"/>
      <c r="X317" s="17"/>
      <c r="Y317" s="17"/>
    </row>
    <row r="318" ht="18.75" customHeight="1">
      <c r="A318" s="9">
        <v>317.0</v>
      </c>
      <c r="B318" s="161" t="s">
        <v>1998</v>
      </c>
      <c r="C318" s="169" t="s">
        <v>1999</v>
      </c>
      <c r="D318" s="169" t="s">
        <v>173</v>
      </c>
      <c r="E318" s="169" t="s">
        <v>5782</v>
      </c>
      <c r="F318" s="169" t="s">
        <v>5783</v>
      </c>
      <c r="G318" s="162">
        <v>45488.0</v>
      </c>
      <c r="H318" s="162">
        <v>45489.0</v>
      </c>
      <c r="I318" s="163" t="s">
        <v>119</v>
      </c>
      <c r="J318" s="163" t="s">
        <v>37</v>
      </c>
      <c r="K318" s="163" t="s">
        <v>31</v>
      </c>
      <c r="L318" s="165"/>
      <c r="M318" s="161"/>
      <c r="N318" s="16" t="s">
        <v>5135</v>
      </c>
      <c r="O318" s="16"/>
      <c r="P318" s="16"/>
      <c r="Q318" s="17"/>
      <c r="R318" s="17"/>
      <c r="S318" s="17"/>
      <c r="T318" s="17"/>
      <c r="U318" s="17"/>
      <c r="V318" s="17"/>
      <c r="W318" s="17"/>
      <c r="X318" s="17"/>
      <c r="Y318" s="17"/>
    </row>
    <row r="319" ht="18.75" customHeight="1">
      <c r="A319" s="9">
        <v>318.0</v>
      </c>
      <c r="B319" s="161" t="s">
        <v>2002</v>
      </c>
      <c r="C319" s="169" t="s">
        <v>2003</v>
      </c>
      <c r="D319" s="169" t="s">
        <v>128</v>
      </c>
      <c r="E319" s="169" t="s">
        <v>5784</v>
      </c>
      <c r="F319" s="169" t="s">
        <v>5785</v>
      </c>
      <c r="G319" s="162">
        <v>45489.0</v>
      </c>
      <c r="H319" s="162">
        <v>45490.0</v>
      </c>
      <c r="I319" s="163" t="s">
        <v>119</v>
      </c>
      <c r="J319" s="163" t="s">
        <v>37</v>
      </c>
      <c r="K319" s="163" t="s">
        <v>31</v>
      </c>
      <c r="L319" s="165"/>
      <c r="M319" s="161"/>
      <c r="N319" s="16" t="s">
        <v>5135</v>
      </c>
      <c r="O319" s="16"/>
      <c r="P319" s="16"/>
      <c r="Q319" s="17"/>
      <c r="R319" s="17"/>
      <c r="S319" s="17"/>
      <c r="T319" s="17"/>
      <c r="U319" s="17"/>
      <c r="V319" s="17"/>
      <c r="W319" s="17"/>
      <c r="X319" s="17"/>
      <c r="Y319" s="17"/>
    </row>
    <row r="320" ht="18.75" customHeight="1">
      <c r="A320" s="9">
        <v>319.0</v>
      </c>
      <c r="B320" s="161" t="s">
        <v>2006</v>
      </c>
      <c r="C320" s="169" t="s">
        <v>2007</v>
      </c>
      <c r="D320" s="169" t="s">
        <v>71</v>
      </c>
      <c r="E320" s="169" t="s">
        <v>5786</v>
      </c>
      <c r="F320" s="169" t="s">
        <v>5787</v>
      </c>
      <c r="G320" s="162">
        <v>45493.0</v>
      </c>
      <c r="H320" s="162">
        <v>45494.0</v>
      </c>
      <c r="I320" s="163" t="s">
        <v>25</v>
      </c>
      <c r="J320" s="163" t="s">
        <v>37</v>
      </c>
      <c r="K320" s="163" t="s">
        <v>31</v>
      </c>
      <c r="L320" s="165"/>
      <c r="M320" s="161"/>
      <c r="N320" s="16" t="s">
        <v>5135</v>
      </c>
      <c r="O320" s="16"/>
      <c r="P320" s="16"/>
      <c r="Q320" s="17"/>
      <c r="R320" s="17"/>
      <c r="S320" s="17"/>
      <c r="T320" s="17"/>
      <c r="U320" s="17"/>
      <c r="V320" s="17"/>
      <c r="W320" s="17"/>
      <c r="X320" s="17"/>
      <c r="Y320" s="17"/>
    </row>
    <row r="321" ht="18.75" customHeight="1">
      <c r="A321" s="9">
        <v>320.0</v>
      </c>
      <c r="B321" s="161" t="s">
        <v>2013</v>
      </c>
      <c r="C321" s="169" t="s">
        <v>2014</v>
      </c>
      <c r="D321" s="169" t="s">
        <v>2015</v>
      </c>
      <c r="E321" s="169" t="s">
        <v>529</v>
      </c>
      <c r="F321" s="169" t="s">
        <v>5788</v>
      </c>
      <c r="G321" s="162">
        <v>45499.0</v>
      </c>
      <c r="H321" s="162">
        <v>45500.0</v>
      </c>
      <c r="I321" s="163" t="s">
        <v>119</v>
      </c>
      <c r="J321" s="163" t="s">
        <v>37</v>
      </c>
      <c r="K321" s="163" t="s">
        <v>31</v>
      </c>
      <c r="L321" s="165"/>
      <c r="M321" s="161"/>
      <c r="N321" s="16" t="s">
        <v>5135</v>
      </c>
      <c r="O321" s="16"/>
      <c r="P321" s="16"/>
      <c r="Q321" s="17"/>
      <c r="R321" s="17"/>
      <c r="S321" s="17"/>
      <c r="T321" s="17"/>
      <c r="U321" s="17"/>
      <c r="V321" s="17"/>
      <c r="W321" s="17"/>
      <c r="X321" s="17"/>
      <c r="Y321" s="17"/>
    </row>
    <row r="322" ht="18.75" customHeight="1">
      <c r="A322" s="9">
        <v>321.0</v>
      </c>
      <c r="B322" s="161" t="s">
        <v>2009</v>
      </c>
      <c r="C322" s="169" t="s">
        <v>2010</v>
      </c>
      <c r="D322" s="169" t="s">
        <v>128</v>
      </c>
      <c r="E322" s="169" t="s">
        <v>2011</v>
      </c>
      <c r="F322" s="169" t="s">
        <v>5789</v>
      </c>
      <c r="G322" s="162">
        <v>45497.0</v>
      </c>
      <c r="H322" s="162">
        <v>45498.0</v>
      </c>
      <c r="I322" s="163" t="s">
        <v>119</v>
      </c>
      <c r="J322" s="163" t="s">
        <v>213</v>
      </c>
      <c r="K322" s="163" t="s">
        <v>31</v>
      </c>
      <c r="L322" s="165"/>
      <c r="M322" s="161"/>
      <c r="N322" s="16" t="s">
        <v>5135</v>
      </c>
      <c r="O322" s="16"/>
      <c r="P322" s="16"/>
      <c r="Q322" s="17"/>
      <c r="R322" s="17"/>
      <c r="S322" s="17"/>
      <c r="T322" s="17"/>
      <c r="U322" s="17"/>
      <c r="V322" s="17"/>
      <c r="W322" s="17"/>
      <c r="X322" s="17"/>
      <c r="Y322" s="17"/>
    </row>
    <row r="323" ht="18.75" customHeight="1">
      <c r="A323" s="9">
        <v>322.0</v>
      </c>
      <c r="B323" s="161" t="s">
        <v>5790</v>
      </c>
      <c r="C323" s="169" t="s">
        <v>5791</v>
      </c>
      <c r="D323" s="169" t="s">
        <v>240</v>
      </c>
      <c r="E323" s="169" t="s">
        <v>5792</v>
      </c>
      <c r="F323" s="169" t="s">
        <v>5793</v>
      </c>
      <c r="G323" s="162">
        <v>45498.0</v>
      </c>
      <c r="H323" s="162">
        <v>45499.0</v>
      </c>
      <c r="I323" s="163" t="s">
        <v>119</v>
      </c>
      <c r="J323" s="163" t="s">
        <v>5173</v>
      </c>
      <c r="K323" s="163" t="s">
        <v>31</v>
      </c>
      <c r="L323" s="165"/>
      <c r="M323" s="174"/>
      <c r="N323" s="16" t="s">
        <v>5135</v>
      </c>
      <c r="O323" s="16"/>
      <c r="P323" s="16"/>
      <c r="Q323" s="17"/>
      <c r="R323" s="17"/>
      <c r="S323" s="17"/>
      <c r="T323" s="17"/>
      <c r="U323" s="17"/>
      <c r="V323" s="17"/>
      <c r="W323" s="17"/>
      <c r="X323" s="17"/>
      <c r="Y323" s="17"/>
    </row>
    <row r="324" ht="18.75" customHeight="1">
      <c r="A324" s="9">
        <v>323.0</v>
      </c>
      <c r="B324" s="161" t="s">
        <v>1704</v>
      </c>
      <c r="C324" s="169" t="s">
        <v>1705</v>
      </c>
      <c r="D324" s="169" t="s">
        <v>116</v>
      </c>
      <c r="E324" s="169" t="s">
        <v>1706</v>
      </c>
      <c r="F324" s="169" t="s">
        <v>5794</v>
      </c>
      <c r="G324" s="162">
        <v>45504.0</v>
      </c>
      <c r="H324" s="162">
        <v>45505.0</v>
      </c>
      <c r="I324" s="163" t="s">
        <v>25</v>
      </c>
      <c r="J324" s="163" t="s">
        <v>37</v>
      </c>
      <c r="K324" s="163" t="s">
        <v>31</v>
      </c>
      <c r="L324" s="165"/>
      <c r="M324" s="161"/>
      <c r="N324" s="16" t="s">
        <v>5135</v>
      </c>
      <c r="O324" s="16"/>
      <c r="P324" s="16"/>
      <c r="Q324" s="17"/>
      <c r="R324" s="17"/>
      <c r="S324" s="17"/>
      <c r="T324" s="17"/>
      <c r="U324" s="17"/>
      <c r="V324" s="17"/>
      <c r="W324" s="17"/>
      <c r="X324" s="17"/>
      <c r="Y324" s="17"/>
    </row>
    <row r="325" ht="18.75" customHeight="1">
      <c r="A325" s="9">
        <v>324.0</v>
      </c>
      <c r="B325" s="161" t="s">
        <v>1815</v>
      </c>
      <c r="C325" s="169" t="s">
        <v>1816</v>
      </c>
      <c r="D325" s="169" t="s">
        <v>1817</v>
      </c>
      <c r="E325" s="169" t="s">
        <v>1818</v>
      </c>
      <c r="F325" s="169" t="s">
        <v>5795</v>
      </c>
      <c r="G325" s="162">
        <v>45504.0</v>
      </c>
      <c r="H325" s="162">
        <v>45505.0</v>
      </c>
      <c r="I325" s="163" t="s">
        <v>25</v>
      </c>
      <c r="J325" s="163" t="s">
        <v>37</v>
      </c>
      <c r="K325" s="163" t="s">
        <v>31</v>
      </c>
      <c r="L325" s="165"/>
      <c r="M325" s="161"/>
      <c r="N325" s="16" t="s">
        <v>5135</v>
      </c>
      <c r="O325" s="16"/>
      <c r="P325" s="16"/>
      <c r="Q325" s="17"/>
      <c r="R325" s="17"/>
      <c r="S325" s="17"/>
      <c r="T325" s="17"/>
      <c r="U325" s="17"/>
      <c r="V325" s="17"/>
      <c r="W325" s="17"/>
      <c r="X325" s="17"/>
      <c r="Y325" s="17"/>
    </row>
    <row r="326" ht="18.75" customHeight="1">
      <c r="A326" s="9">
        <v>325.0</v>
      </c>
      <c r="B326" s="161" t="s">
        <v>1830</v>
      </c>
      <c r="C326" s="169" t="s">
        <v>1831</v>
      </c>
      <c r="D326" s="169" t="s">
        <v>362</v>
      </c>
      <c r="E326" s="169" t="s">
        <v>1832</v>
      </c>
      <c r="F326" s="169" t="s">
        <v>5796</v>
      </c>
      <c r="G326" s="162">
        <v>45504.0</v>
      </c>
      <c r="H326" s="162">
        <v>45505.0</v>
      </c>
      <c r="I326" s="163" t="s">
        <v>25</v>
      </c>
      <c r="J326" s="163" t="s">
        <v>22</v>
      </c>
      <c r="K326" s="163" t="s">
        <v>31</v>
      </c>
      <c r="L326" s="165"/>
      <c r="M326" s="174"/>
      <c r="N326" s="16" t="s">
        <v>5135</v>
      </c>
      <c r="O326" s="16"/>
      <c r="P326" s="16"/>
      <c r="Q326" s="17"/>
      <c r="R326" s="17"/>
      <c r="S326" s="17"/>
      <c r="T326" s="17"/>
      <c r="U326" s="17"/>
      <c r="V326" s="17"/>
      <c r="W326" s="17"/>
      <c r="X326" s="17"/>
      <c r="Y326" s="17"/>
    </row>
    <row r="327" ht="18.75" customHeight="1">
      <c r="A327" s="9">
        <v>326.0</v>
      </c>
      <c r="B327" s="166" t="s">
        <v>1834</v>
      </c>
      <c r="C327" s="170" t="s">
        <v>1835</v>
      </c>
      <c r="D327" s="170" t="s">
        <v>1836</v>
      </c>
      <c r="E327" s="170" t="s">
        <v>1837</v>
      </c>
      <c r="F327" s="170" t="s">
        <v>5797</v>
      </c>
      <c r="G327" s="162">
        <v>45504.0</v>
      </c>
      <c r="H327" s="162">
        <v>45505.0</v>
      </c>
      <c r="I327" s="163" t="s">
        <v>21</v>
      </c>
      <c r="J327" s="163" t="s">
        <v>22</v>
      </c>
      <c r="K327" s="163" t="s">
        <v>531</v>
      </c>
      <c r="L327" s="165"/>
      <c r="M327" s="161"/>
      <c r="N327" s="16"/>
      <c r="O327" s="16"/>
      <c r="P327" s="16"/>
      <c r="Q327" s="17"/>
      <c r="R327" s="17"/>
      <c r="S327" s="17"/>
      <c r="T327" s="17"/>
      <c r="U327" s="17"/>
      <c r="V327" s="17"/>
      <c r="W327" s="17"/>
      <c r="X327" s="17"/>
      <c r="Y327" s="17"/>
    </row>
    <row r="328" ht="18.75" customHeight="1">
      <c r="A328" s="9">
        <v>327.0</v>
      </c>
      <c r="B328" s="161" t="s">
        <v>1839</v>
      </c>
      <c r="C328" s="169" t="s">
        <v>1840</v>
      </c>
      <c r="D328" s="169" t="s">
        <v>682</v>
      </c>
      <c r="E328" s="169" t="s">
        <v>5798</v>
      </c>
      <c r="F328" s="169" t="s">
        <v>5799</v>
      </c>
      <c r="G328" s="162">
        <v>45506.0</v>
      </c>
      <c r="H328" s="162">
        <v>45507.0</v>
      </c>
      <c r="I328" s="163" t="s">
        <v>25</v>
      </c>
      <c r="J328" s="163" t="s">
        <v>37</v>
      </c>
      <c r="K328" s="163" t="s">
        <v>31</v>
      </c>
      <c r="L328" s="165"/>
      <c r="M328" s="161"/>
      <c r="N328" s="16" t="s">
        <v>5135</v>
      </c>
      <c r="O328" s="16"/>
      <c r="P328" s="16"/>
      <c r="Q328" s="17"/>
      <c r="R328" s="17"/>
      <c r="S328" s="17"/>
      <c r="T328" s="17"/>
      <c r="U328" s="17"/>
      <c r="V328" s="17"/>
      <c r="W328" s="17"/>
      <c r="X328" s="17"/>
      <c r="Y328" s="17"/>
    </row>
    <row r="329" ht="18.75" customHeight="1">
      <c r="A329" s="9">
        <v>328.0</v>
      </c>
      <c r="B329" s="161" t="s">
        <v>1843</v>
      </c>
      <c r="C329" s="169" t="s">
        <v>1844</v>
      </c>
      <c r="D329" s="169" t="s">
        <v>356</v>
      </c>
      <c r="E329" s="169" t="s">
        <v>1602</v>
      </c>
      <c r="F329" s="169" t="s">
        <v>5800</v>
      </c>
      <c r="G329" s="162">
        <v>45504.0</v>
      </c>
      <c r="H329" s="162">
        <v>45505.0</v>
      </c>
      <c r="I329" s="163" t="s">
        <v>25</v>
      </c>
      <c r="J329" s="163" t="s">
        <v>37</v>
      </c>
      <c r="K329" s="163" t="s">
        <v>31</v>
      </c>
      <c r="L329" s="165"/>
      <c r="M329" s="161"/>
      <c r="N329" s="16" t="s">
        <v>5135</v>
      </c>
      <c r="O329" s="16"/>
      <c r="P329" s="16"/>
      <c r="Q329" s="17"/>
      <c r="R329" s="17"/>
      <c r="S329" s="17"/>
      <c r="T329" s="17"/>
      <c r="U329" s="17"/>
      <c r="V329" s="17"/>
      <c r="W329" s="17"/>
      <c r="X329" s="17"/>
      <c r="Y329" s="17"/>
    </row>
    <row r="330" ht="18.75" customHeight="1">
      <c r="A330" s="9">
        <v>329.0</v>
      </c>
      <c r="B330" s="161" t="s">
        <v>1846</v>
      </c>
      <c r="C330" s="169" t="s">
        <v>1847</v>
      </c>
      <c r="D330" s="169" t="s">
        <v>342</v>
      </c>
      <c r="E330" s="169" t="s">
        <v>1848</v>
      </c>
      <c r="F330" s="169" t="s">
        <v>5801</v>
      </c>
      <c r="G330" s="162">
        <v>45504.0</v>
      </c>
      <c r="H330" s="162">
        <v>45505.0</v>
      </c>
      <c r="I330" s="163" t="s">
        <v>25</v>
      </c>
      <c r="J330" s="163" t="s">
        <v>37</v>
      </c>
      <c r="K330" s="163" t="s">
        <v>31</v>
      </c>
      <c r="L330" s="165"/>
      <c r="M330" s="161"/>
      <c r="N330" s="16" t="s">
        <v>5135</v>
      </c>
      <c r="O330" s="16"/>
      <c r="P330" s="16"/>
      <c r="Q330" s="17"/>
      <c r="R330" s="17"/>
      <c r="S330" s="17"/>
      <c r="T330" s="17"/>
      <c r="U330" s="17"/>
      <c r="V330" s="17"/>
      <c r="W330" s="17"/>
      <c r="X330" s="17"/>
      <c r="Y330" s="17"/>
    </row>
    <row r="331" ht="18.75" customHeight="1">
      <c r="A331" s="9">
        <v>330.0</v>
      </c>
      <c r="B331" s="161" t="s">
        <v>1850</v>
      </c>
      <c r="C331" s="169" t="s">
        <v>1851</v>
      </c>
      <c r="D331" s="169" t="s">
        <v>1852</v>
      </c>
      <c r="E331" s="169" t="s">
        <v>1853</v>
      </c>
      <c r="F331" s="169" t="s">
        <v>5802</v>
      </c>
      <c r="G331" s="162">
        <v>45519.0</v>
      </c>
      <c r="H331" s="162">
        <v>45520.0</v>
      </c>
      <c r="I331" s="163" t="s">
        <v>25</v>
      </c>
      <c r="J331" s="163" t="s">
        <v>37</v>
      </c>
      <c r="K331" s="163" t="s">
        <v>31</v>
      </c>
      <c r="L331" s="165"/>
      <c r="M331" s="161"/>
      <c r="N331" s="16" t="s">
        <v>5135</v>
      </c>
      <c r="O331" s="16"/>
      <c r="P331" s="16"/>
      <c r="Q331" s="17"/>
      <c r="R331" s="17"/>
      <c r="S331" s="17"/>
      <c r="T331" s="17"/>
      <c r="U331" s="17"/>
      <c r="V331" s="17"/>
      <c r="W331" s="17"/>
      <c r="X331" s="17"/>
      <c r="Y331" s="17"/>
    </row>
    <row r="332" ht="18.75" customHeight="1">
      <c r="A332" s="9">
        <v>331.0</v>
      </c>
      <c r="B332" s="161" t="s">
        <v>1855</v>
      </c>
      <c r="C332" s="169" t="s">
        <v>1856</v>
      </c>
      <c r="D332" s="169" t="s">
        <v>1104</v>
      </c>
      <c r="E332" s="169" t="s">
        <v>1818</v>
      </c>
      <c r="F332" s="169" t="s">
        <v>5803</v>
      </c>
      <c r="G332" s="162">
        <v>45519.0</v>
      </c>
      <c r="H332" s="162">
        <v>45520.0</v>
      </c>
      <c r="I332" s="163" t="s">
        <v>25</v>
      </c>
      <c r="J332" s="163" t="s">
        <v>37</v>
      </c>
      <c r="K332" s="163" t="s">
        <v>31</v>
      </c>
      <c r="L332" s="165"/>
      <c r="M332" s="161"/>
      <c r="N332" s="16" t="s">
        <v>5135</v>
      </c>
      <c r="O332" s="16"/>
      <c r="P332" s="16"/>
      <c r="Q332" s="17"/>
      <c r="R332" s="17"/>
      <c r="S332" s="17"/>
      <c r="T332" s="17"/>
      <c r="U332" s="17"/>
      <c r="V332" s="17"/>
      <c r="W332" s="17"/>
      <c r="X332" s="17"/>
      <c r="Y332" s="17"/>
    </row>
    <row r="333" ht="18.75" customHeight="1">
      <c r="A333" s="9">
        <v>332.0</v>
      </c>
      <c r="B333" s="161" t="s">
        <v>1822</v>
      </c>
      <c r="C333" s="169" t="s">
        <v>1823</v>
      </c>
      <c r="D333" s="169" t="s">
        <v>207</v>
      </c>
      <c r="E333" s="169" t="s">
        <v>1655</v>
      </c>
      <c r="F333" s="169" t="s">
        <v>1821</v>
      </c>
      <c r="G333" s="162">
        <v>45504.0</v>
      </c>
      <c r="H333" s="162">
        <v>45505.0</v>
      </c>
      <c r="I333" s="163" t="s">
        <v>119</v>
      </c>
      <c r="J333" s="163" t="s">
        <v>5613</v>
      </c>
      <c r="K333" s="163" t="s">
        <v>31</v>
      </c>
      <c r="L333" s="165"/>
      <c r="M333" s="161"/>
      <c r="N333" s="16" t="s">
        <v>5135</v>
      </c>
      <c r="O333" s="16"/>
      <c r="P333" s="16"/>
      <c r="Q333" s="17"/>
      <c r="R333" s="17"/>
      <c r="S333" s="17"/>
      <c r="T333" s="17"/>
      <c r="U333" s="17"/>
      <c r="V333" s="17"/>
      <c r="W333" s="17"/>
      <c r="X333" s="17"/>
      <c r="Y333" s="17"/>
    </row>
    <row r="334" ht="18.75" customHeight="1">
      <c r="A334" s="9">
        <v>333.0</v>
      </c>
      <c r="B334" s="161" t="s">
        <v>1883</v>
      </c>
      <c r="C334" s="169" t="s">
        <v>1884</v>
      </c>
      <c r="D334" s="169" t="s">
        <v>65</v>
      </c>
      <c r="E334" s="169" t="s">
        <v>449</v>
      </c>
      <c r="F334" s="169" t="s">
        <v>5804</v>
      </c>
      <c r="G334" s="162">
        <v>45519.0</v>
      </c>
      <c r="H334" s="162">
        <v>45520.0</v>
      </c>
      <c r="I334" s="163" t="s">
        <v>25</v>
      </c>
      <c r="J334" s="163" t="s">
        <v>37</v>
      </c>
      <c r="K334" s="163" t="s">
        <v>31</v>
      </c>
      <c r="L334" s="165"/>
      <c r="M334" s="161"/>
      <c r="N334" s="16" t="s">
        <v>5135</v>
      </c>
      <c r="O334" s="16"/>
      <c r="P334" s="16"/>
      <c r="Q334" s="17"/>
      <c r="R334" s="17"/>
      <c r="S334" s="17"/>
      <c r="T334" s="17"/>
      <c r="U334" s="17"/>
      <c r="V334" s="17"/>
      <c r="W334" s="17"/>
      <c r="X334" s="17"/>
      <c r="Y334" s="17"/>
    </row>
    <row r="335" ht="18.75" customHeight="1">
      <c r="A335" s="9">
        <v>334.0</v>
      </c>
      <c r="B335" s="161" t="s">
        <v>1890</v>
      </c>
      <c r="C335" s="169" t="s">
        <v>1891</v>
      </c>
      <c r="D335" s="169" t="s">
        <v>682</v>
      </c>
      <c r="E335" s="169" t="s">
        <v>5805</v>
      </c>
      <c r="F335" s="169" t="s">
        <v>5806</v>
      </c>
      <c r="G335" s="162">
        <v>45527.0</v>
      </c>
      <c r="H335" s="162">
        <v>45528.0</v>
      </c>
      <c r="I335" s="163" t="s">
        <v>25</v>
      </c>
      <c r="J335" s="163" t="s">
        <v>37</v>
      </c>
      <c r="K335" s="163" t="s">
        <v>31</v>
      </c>
      <c r="L335" s="165"/>
      <c r="M335" s="161"/>
      <c r="N335" s="16" t="s">
        <v>5135</v>
      </c>
      <c r="O335" s="16"/>
      <c r="P335" s="16"/>
      <c r="Q335" s="17"/>
      <c r="R335" s="17"/>
      <c r="S335" s="17"/>
      <c r="T335" s="17"/>
      <c r="U335" s="17"/>
      <c r="V335" s="17"/>
      <c r="W335" s="17"/>
      <c r="X335" s="17"/>
      <c r="Y335" s="17"/>
    </row>
    <row r="336" ht="18.75" customHeight="1">
      <c r="A336" s="9">
        <v>335.0</v>
      </c>
      <c r="B336" s="161" t="s">
        <v>2060</v>
      </c>
      <c r="C336" s="169" t="s">
        <v>2061</v>
      </c>
      <c r="D336" s="169" t="s">
        <v>2062</v>
      </c>
      <c r="E336" s="169" t="s">
        <v>2047</v>
      </c>
      <c r="F336" s="169" t="s">
        <v>5807</v>
      </c>
      <c r="G336" s="162">
        <v>45504.0</v>
      </c>
      <c r="H336" s="162">
        <v>45505.0</v>
      </c>
      <c r="I336" s="163" t="s">
        <v>25</v>
      </c>
      <c r="J336" s="163" t="s">
        <v>37</v>
      </c>
      <c r="K336" s="163" t="s">
        <v>31</v>
      </c>
      <c r="L336" s="165"/>
      <c r="M336" s="161"/>
      <c r="N336" s="16" t="s">
        <v>5135</v>
      </c>
      <c r="O336" s="16"/>
      <c r="P336" s="16"/>
      <c r="Q336" s="17"/>
      <c r="R336" s="17"/>
      <c r="S336" s="17"/>
      <c r="T336" s="17"/>
      <c r="U336" s="17"/>
      <c r="V336" s="17"/>
      <c r="W336" s="17"/>
      <c r="X336" s="17"/>
      <c r="Y336" s="17"/>
    </row>
    <row r="337" ht="18.75" customHeight="1">
      <c r="A337" s="9">
        <v>336.0</v>
      </c>
      <c r="B337" s="161" t="s">
        <v>2057</v>
      </c>
      <c r="C337" s="169" t="s">
        <v>2058</v>
      </c>
      <c r="D337" s="169" t="s">
        <v>328</v>
      </c>
      <c r="E337" s="169" t="s">
        <v>2055</v>
      </c>
      <c r="F337" s="169" t="s">
        <v>5808</v>
      </c>
      <c r="G337" s="162">
        <v>45504.0</v>
      </c>
      <c r="H337" s="162">
        <v>45505.0</v>
      </c>
      <c r="I337" s="163" t="s">
        <v>25</v>
      </c>
      <c r="J337" s="163" t="s">
        <v>37</v>
      </c>
      <c r="K337" s="163" t="s">
        <v>31</v>
      </c>
      <c r="L337" s="165"/>
      <c r="M337" s="161"/>
      <c r="N337" s="16" t="s">
        <v>5135</v>
      </c>
      <c r="O337" s="16"/>
      <c r="P337" s="16"/>
      <c r="Q337" s="17"/>
      <c r="R337" s="17"/>
      <c r="S337" s="17"/>
      <c r="T337" s="17"/>
      <c r="U337" s="17"/>
      <c r="V337" s="17"/>
      <c r="W337" s="17"/>
      <c r="X337" s="17"/>
      <c r="Y337" s="17"/>
    </row>
    <row r="338" ht="18.75" customHeight="1">
      <c r="A338" s="9">
        <v>337.0</v>
      </c>
      <c r="B338" s="161" t="s">
        <v>2053</v>
      </c>
      <c r="C338" s="169" t="s">
        <v>2054</v>
      </c>
      <c r="D338" s="169" t="s">
        <v>1166</v>
      </c>
      <c r="E338" s="169" t="s">
        <v>2055</v>
      </c>
      <c r="F338" s="169" t="s">
        <v>5809</v>
      </c>
      <c r="G338" s="162">
        <v>45504.0</v>
      </c>
      <c r="H338" s="162">
        <v>45505.0</v>
      </c>
      <c r="I338" s="163" t="s">
        <v>25</v>
      </c>
      <c r="J338" s="163" t="s">
        <v>37</v>
      </c>
      <c r="K338" s="163" t="s">
        <v>31</v>
      </c>
      <c r="L338" s="165"/>
      <c r="M338" s="161"/>
      <c r="N338" s="16" t="s">
        <v>5135</v>
      </c>
      <c r="O338" s="16"/>
      <c r="P338" s="16"/>
      <c r="Q338" s="17"/>
      <c r="R338" s="17"/>
      <c r="S338" s="17"/>
      <c r="T338" s="17"/>
      <c r="U338" s="17"/>
      <c r="V338" s="17"/>
      <c r="W338" s="17"/>
      <c r="X338" s="17"/>
      <c r="Y338" s="17"/>
    </row>
    <row r="339" ht="18.75" customHeight="1">
      <c r="A339" s="9">
        <v>338.0</v>
      </c>
      <c r="B339" s="161" t="s">
        <v>2049</v>
      </c>
      <c r="C339" s="169" t="s">
        <v>2050</v>
      </c>
      <c r="D339" s="169" t="s">
        <v>342</v>
      </c>
      <c r="E339" s="169" t="s">
        <v>5810</v>
      </c>
      <c r="F339" s="169" t="s">
        <v>5811</v>
      </c>
      <c r="G339" s="162">
        <v>45504.0</v>
      </c>
      <c r="H339" s="162">
        <v>45505.0</v>
      </c>
      <c r="I339" s="163" t="s">
        <v>25</v>
      </c>
      <c r="J339" s="163" t="s">
        <v>37</v>
      </c>
      <c r="K339" s="163" t="s">
        <v>31</v>
      </c>
      <c r="L339" s="165"/>
      <c r="M339" s="161"/>
      <c r="N339" s="16" t="s">
        <v>5135</v>
      </c>
      <c r="O339" s="16"/>
      <c r="P339" s="16"/>
      <c r="Q339" s="17"/>
      <c r="R339" s="17"/>
      <c r="S339" s="17"/>
      <c r="T339" s="17"/>
      <c r="U339" s="17"/>
      <c r="V339" s="17"/>
      <c r="W339" s="17"/>
      <c r="X339" s="17"/>
      <c r="Y339" s="17"/>
    </row>
    <row r="340" ht="18.75" customHeight="1">
      <c r="A340" s="9">
        <v>339.0</v>
      </c>
      <c r="B340" s="161" t="s">
        <v>2045</v>
      </c>
      <c r="C340" s="169" t="s">
        <v>2046</v>
      </c>
      <c r="D340" s="169" t="s">
        <v>342</v>
      </c>
      <c r="E340" s="169" t="s">
        <v>2047</v>
      </c>
      <c r="F340" s="169" t="s">
        <v>5812</v>
      </c>
      <c r="G340" s="162">
        <v>45504.0</v>
      </c>
      <c r="H340" s="162">
        <v>45505.0</v>
      </c>
      <c r="I340" s="163" t="s">
        <v>25</v>
      </c>
      <c r="J340" s="163" t="s">
        <v>37</v>
      </c>
      <c r="K340" s="163" t="s">
        <v>31</v>
      </c>
      <c r="L340" s="165"/>
      <c r="M340" s="161"/>
      <c r="N340" s="16" t="s">
        <v>5135</v>
      </c>
      <c r="O340" s="16"/>
      <c r="P340" s="16"/>
      <c r="Q340" s="17"/>
      <c r="R340" s="17"/>
      <c r="S340" s="17"/>
      <c r="T340" s="17"/>
      <c r="U340" s="17"/>
      <c r="V340" s="17"/>
      <c r="W340" s="17"/>
      <c r="X340" s="17"/>
      <c r="Y340" s="17"/>
    </row>
    <row r="341" ht="18.75" customHeight="1">
      <c r="A341" s="9">
        <v>340.0</v>
      </c>
      <c r="B341" s="161" t="s">
        <v>2041</v>
      </c>
      <c r="C341" s="169" t="s">
        <v>2042</v>
      </c>
      <c r="D341" s="169" t="s">
        <v>328</v>
      </c>
      <c r="E341" s="169" t="s">
        <v>2043</v>
      </c>
      <c r="F341" s="169" t="s">
        <v>5813</v>
      </c>
      <c r="G341" s="162">
        <v>45504.0</v>
      </c>
      <c r="H341" s="162">
        <v>45505.0</v>
      </c>
      <c r="I341" s="163" t="s">
        <v>25</v>
      </c>
      <c r="J341" s="163" t="s">
        <v>37</v>
      </c>
      <c r="K341" s="163" t="s">
        <v>31</v>
      </c>
      <c r="L341" s="161" t="s">
        <v>5814</v>
      </c>
      <c r="M341" s="174"/>
      <c r="N341" s="16" t="s">
        <v>5135</v>
      </c>
      <c r="O341" s="16"/>
      <c r="P341" s="16"/>
      <c r="Q341" s="17"/>
      <c r="R341" s="17"/>
      <c r="S341" s="17"/>
      <c r="T341" s="17"/>
      <c r="U341" s="17"/>
      <c r="V341" s="17"/>
      <c r="W341" s="17"/>
      <c r="X341" s="17"/>
      <c r="Y341" s="17"/>
    </row>
    <row r="342" ht="18.75" customHeight="1">
      <c r="A342" s="9">
        <v>341.0</v>
      </c>
      <c r="B342" s="161" t="s">
        <v>2064</v>
      </c>
      <c r="C342" s="169" t="s">
        <v>2065</v>
      </c>
      <c r="D342" s="169" t="s">
        <v>173</v>
      </c>
      <c r="E342" s="169" t="s">
        <v>5655</v>
      </c>
      <c r="F342" s="169" t="s">
        <v>5815</v>
      </c>
      <c r="G342" s="162">
        <v>45504.0</v>
      </c>
      <c r="H342" s="162">
        <v>45505.0</v>
      </c>
      <c r="I342" s="163" t="s">
        <v>25</v>
      </c>
      <c r="J342" s="163" t="s">
        <v>37</v>
      </c>
      <c r="K342" s="163" t="s">
        <v>31</v>
      </c>
      <c r="L342" s="161" t="s">
        <v>62</v>
      </c>
      <c r="M342" s="174"/>
      <c r="N342" s="16" t="s">
        <v>5135</v>
      </c>
      <c r="O342" s="16"/>
      <c r="P342" s="16"/>
      <c r="Q342" s="17"/>
      <c r="R342" s="17"/>
      <c r="S342" s="17"/>
      <c r="T342" s="17"/>
      <c r="U342" s="17"/>
      <c r="V342" s="17"/>
      <c r="W342" s="17"/>
      <c r="X342" s="17"/>
      <c r="Y342" s="17"/>
    </row>
    <row r="343" ht="18.75" customHeight="1">
      <c r="A343" s="9">
        <v>342.0</v>
      </c>
      <c r="B343" s="161" t="s">
        <v>2067</v>
      </c>
      <c r="C343" s="169" t="s">
        <v>2068</v>
      </c>
      <c r="D343" s="169" t="s">
        <v>697</v>
      </c>
      <c r="E343" s="169" t="s">
        <v>2069</v>
      </c>
      <c r="F343" s="169" t="s">
        <v>5816</v>
      </c>
      <c r="G343" s="162">
        <v>45504.0</v>
      </c>
      <c r="H343" s="162">
        <v>45505.0</v>
      </c>
      <c r="I343" s="163" t="s">
        <v>25</v>
      </c>
      <c r="J343" s="163" t="s">
        <v>37</v>
      </c>
      <c r="K343" s="163" t="s">
        <v>31</v>
      </c>
      <c r="L343" s="161" t="s">
        <v>62</v>
      </c>
      <c r="M343" s="174"/>
      <c r="N343" s="16" t="s">
        <v>5135</v>
      </c>
      <c r="O343" s="16"/>
      <c r="P343" s="16"/>
      <c r="Q343" s="17"/>
      <c r="R343" s="17"/>
      <c r="S343" s="17"/>
      <c r="T343" s="17"/>
      <c r="U343" s="17"/>
      <c r="V343" s="17"/>
      <c r="W343" s="17"/>
      <c r="X343" s="17"/>
      <c r="Y343" s="17"/>
    </row>
    <row r="344" ht="18.75" customHeight="1">
      <c r="A344" s="9">
        <v>343.0</v>
      </c>
      <c r="B344" s="161" t="s">
        <v>2071</v>
      </c>
      <c r="C344" s="169" t="s">
        <v>5817</v>
      </c>
      <c r="D344" s="169" t="s">
        <v>116</v>
      </c>
      <c r="E344" s="169" t="s">
        <v>2073</v>
      </c>
      <c r="F344" s="169" t="s">
        <v>5818</v>
      </c>
      <c r="G344" s="162">
        <v>45504.0</v>
      </c>
      <c r="H344" s="162">
        <v>45505.0</v>
      </c>
      <c r="I344" s="163" t="s">
        <v>25</v>
      </c>
      <c r="J344" s="163" t="s">
        <v>37</v>
      </c>
      <c r="K344" s="163" t="s">
        <v>31</v>
      </c>
      <c r="L344" s="161" t="s">
        <v>62</v>
      </c>
      <c r="M344" s="174"/>
      <c r="N344" s="16" t="s">
        <v>5135</v>
      </c>
      <c r="O344" s="16"/>
      <c r="P344" s="16"/>
      <c r="Q344" s="17"/>
      <c r="R344" s="17"/>
      <c r="S344" s="17"/>
      <c r="T344" s="17"/>
      <c r="U344" s="17"/>
      <c r="V344" s="17"/>
      <c r="W344" s="17"/>
      <c r="X344" s="17"/>
      <c r="Y344" s="17"/>
    </row>
    <row r="345" ht="18.75" customHeight="1">
      <c r="A345" s="9">
        <v>344.0</v>
      </c>
      <c r="B345" s="161" t="s">
        <v>2075</v>
      </c>
      <c r="C345" s="169" t="s">
        <v>2076</v>
      </c>
      <c r="D345" s="169" t="s">
        <v>28</v>
      </c>
      <c r="E345" s="169" t="s">
        <v>2077</v>
      </c>
      <c r="F345" s="169" t="s">
        <v>5819</v>
      </c>
      <c r="G345" s="162">
        <v>45504.0</v>
      </c>
      <c r="H345" s="162">
        <v>45505.0</v>
      </c>
      <c r="I345" s="163" t="s">
        <v>25</v>
      </c>
      <c r="J345" s="163" t="s">
        <v>37</v>
      </c>
      <c r="K345" s="163" t="s">
        <v>31</v>
      </c>
      <c r="L345" s="161" t="s">
        <v>38</v>
      </c>
      <c r="M345" s="174"/>
      <c r="N345" s="16" t="s">
        <v>5135</v>
      </c>
      <c r="O345" s="16"/>
      <c r="P345" s="16"/>
      <c r="Q345" s="17"/>
      <c r="R345" s="17"/>
      <c r="S345" s="17"/>
      <c r="T345" s="17"/>
      <c r="U345" s="17"/>
      <c r="V345" s="17"/>
      <c r="W345" s="17"/>
      <c r="X345" s="17"/>
      <c r="Y345" s="17"/>
    </row>
    <row r="346" ht="18.75" customHeight="1">
      <c r="A346" s="9">
        <v>345.0</v>
      </c>
      <c r="B346" s="161" t="s">
        <v>2079</v>
      </c>
      <c r="C346" s="169" t="s">
        <v>5820</v>
      </c>
      <c r="D346" s="169" t="s">
        <v>677</v>
      </c>
      <c r="E346" s="169" t="s">
        <v>2081</v>
      </c>
      <c r="F346" s="169" t="s">
        <v>5821</v>
      </c>
      <c r="G346" s="162">
        <v>45534.0</v>
      </c>
      <c r="H346" s="162">
        <v>45535.0</v>
      </c>
      <c r="I346" s="163" t="s">
        <v>25</v>
      </c>
      <c r="J346" s="163" t="s">
        <v>37</v>
      </c>
      <c r="K346" s="163" t="s">
        <v>31</v>
      </c>
      <c r="L346" s="161" t="s">
        <v>38</v>
      </c>
      <c r="M346" s="174"/>
      <c r="N346" s="16" t="s">
        <v>5135</v>
      </c>
      <c r="O346" s="16"/>
      <c r="P346" s="16"/>
      <c r="Q346" s="17"/>
      <c r="R346" s="17"/>
      <c r="S346" s="17"/>
      <c r="T346" s="17"/>
      <c r="U346" s="17"/>
      <c r="V346" s="17"/>
      <c r="W346" s="17"/>
      <c r="X346" s="17"/>
      <c r="Y346" s="17"/>
    </row>
    <row r="347" ht="18.75" customHeight="1">
      <c r="A347" s="9">
        <v>346.0</v>
      </c>
      <c r="B347" s="161" t="s">
        <v>2109</v>
      </c>
      <c r="C347" s="169" t="s">
        <v>2110</v>
      </c>
      <c r="D347" s="169" t="s">
        <v>2111</v>
      </c>
      <c r="E347" s="169" t="s">
        <v>2112</v>
      </c>
      <c r="F347" s="169" t="s">
        <v>5822</v>
      </c>
      <c r="G347" s="162">
        <v>45519.0</v>
      </c>
      <c r="H347" s="162">
        <v>45520.0</v>
      </c>
      <c r="I347" s="163" t="s">
        <v>25</v>
      </c>
      <c r="J347" s="163" t="s">
        <v>22</v>
      </c>
      <c r="K347" s="163" t="s">
        <v>31</v>
      </c>
      <c r="L347" s="165"/>
      <c r="M347" s="174"/>
      <c r="N347" s="16" t="s">
        <v>5135</v>
      </c>
      <c r="O347" s="16"/>
      <c r="P347" s="16"/>
      <c r="Q347" s="17"/>
      <c r="R347" s="17"/>
      <c r="S347" s="17"/>
      <c r="T347" s="17"/>
      <c r="U347" s="17"/>
      <c r="V347" s="17"/>
      <c r="W347" s="17"/>
      <c r="X347" s="17"/>
      <c r="Y347" s="17"/>
    </row>
    <row r="348" ht="18.75" customHeight="1">
      <c r="A348" s="9">
        <v>347.0</v>
      </c>
      <c r="B348" s="161" t="s">
        <v>2083</v>
      </c>
      <c r="C348" s="169" t="s">
        <v>5823</v>
      </c>
      <c r="D348" s="169" t="s">
        <v>2015</v>
      </c>
      <c r="E348" s="169" t="s">
        <v>2301</v>
      </c>
      <c r="F348" s="169" t="s">
        <v>5824</v>
      </c>
      <c r="G348" s="162">
        <v>45527.0</v>
      </c>
      <c r="H348" s="162">
        <v>45528.0</v>
      </c>
      <c r="I348" s="163" t="s">
        <v>25</v>
      </c>
      <c r="J348" s="163" t="s">
        <v>37</v>
      </c>
      <c r="K348" s="163" t="s">
        <v>31</v>
      </c>
      <c r="L348" s="161" t="s">
        <v>97</v>
      </c>
      <c r="M348" s="174"/>
      <c r="N348" s="16" t="s">
        <v>5135</v>
      </c>
      <c r="O348" s="16"/>
      <c r="P348" s="16"/>
      <c r="Q348" s="17"/>
      <c r="R348" s="17"/>
      <c r="S348" s="17"/>
      <c r="T348" s="17"/>
      <c r="U348" s="17"/>
      <c r="V348" s="17"/>
      <c r="W348" s="17"/>
      <c r="X348" s="17"/>
      <c r="Y348" s="17"/>
    </row>
    <row r="349" ht="18.75" customHeight="1">
      <c r="A349" s="9">
        <v>348.0</v>
      </c>
      <c r="B349" s="161" t="s">
        <v>2033</v>
      </c>
      <c r="C349" s="169" t="s">
        <v>5825</v>
      </c>
      <c r="D349" s="169" t="s">
        <v>1031</v>
      </c>
      <c r="E349" s="169" t="s">
        <v>1573</v>
      </c>
      <c r="F349" s="169" t="s">
        <v>5826</v>
      </c>
      <c r="G349" s="162">
        <v>45505.0</v>
      </c>
      <c r="H349" s="162">
        <v>45505.0</v>
      </c>
      <c r="I349" s="163" t="s">
        <v>25</v>
      </c>
      <c r="J349" s="163" t="s">
        <v>37</v>
      </c>
      <c r="K349" s="163" t="s">
        <v>31</v>
      </c>
      <c r="L349" s="161" t="s">
        <v>62</v>
      </c>
      <c r="M349" s="174"/>
      <c r="N349" s="16" t="s">
        <v>5135</v>
      </c>
      <c r="O349" s="16"/>
      <c r="P349" s="16"/>
      <c r="Q349" s="17"/>
      <c r="R349" s="17"/>
      <c r="S349" s="17"/>
      <c r="T349" s="17"/>
      <c r="U349" s="17"/>
      <c r="V349" s="17"/>
      <c r="W349" s="17"/>
      <c r="X349" s="17"/>
      <c r="Y349" s="17"/>
    </row>
    <row r="350" ht="18.75" customHeight="1">
      <c r="A350" s="9">
        <v>349.0</v>
      </c>
      <c r="B350" s="161" t="s">
        <v>2037</v>
      </c>
      <c r="C350" s="169" t="s">
        <v>5827</v>
      </c>
      <c r="D350" s="169" t="s">
        <v>1246</v>
      </c>
      <c r="E350" s="169" t="s">
        <v>2039</v>
      </c>
      <c r="F350" s="169" t="s">
        <v>5828</v>
      </c>
      <c r="G350" s="162">
        <v>45506.0</v>
      </c>
      <c r="H350" s="162">
        <v>45507.0</v>
      </c>
      <c r="I350" s="163" t="s">
        <v>25</v>
      </c>
      <c r="J350" s="163" t="s">
        <v>37</v>
      </c>
      <c r="K350" s="163" t="s">
        <v>31</v>
      </c>
      <c r="L350" s="161" t="s">
        <v>38</v>
      </c>
      <c r="M350" s="174"/>
      <c r="N350" s="16" t="s">
        <v>5135</v>
      </c>
      <c r="O350" s="16"/>
      <c r="P350" s="16"/>
      <c r="Q350" s="17"/>
      <c r="R350" s="17"/>
      <c r="S350" s="17"/>
      <c r="T350" s="17"/>
      <c r="U350" s="17"/>
      <c r="V350" s="17"/>
      <c r="W350" s="17"/>
      <c r="X350" s="17"/>
      <c r="Y350" s="17"/>
    </row>
    <row r="351" ht="18.75" customHeight="1">
      <c r="A351" s="9">
        <v>350.0</v>
      </c>
      <c r="B351" s="161" t="s">
        <v>2029</v>
      </c>
      <c r="C351" s="169" t="s">
        <v>2030</v>
      </c>
      <c r="D351" s="169" t="s">
        <v>128</v>
      </c>
      <c r="E351" s="169" t="s">
        <v>5829</v>
      </c>
      <c r="F351" s="169" t="s">
        <v>5830</v>
      </c>
      <c r="G351" s="162">
        <v>45504.0</v>
      </c>
      <c r="H351" s="162">
        <v>45505.0</v>
      </c>
      <c r="I351" s="163" t="s">
        <v>25</v>
      </c>
      <c r="J351" s="163" t="s">
        <v>37</v>
      </c>
      <c r="K351" s="163" t="s">
        <v>31</v>
      </c>
      <c r="L351" s="161" t="s">
        <v>62</v>
      </c>
      <c r="M351" s="174"/>
      <c r="N351" s="16" t="s">
        <v>5135</v>
      </c>
      <c r="O351" s="16"/>
      <c r="P351" s="16"/>
      <c r="Q351" s="17"/>
      <c r="R351" s="17"/>
      <c r="S351" s="17"/>
      <c r="T351" s="17"/>
      <c r="U351" s="17"/>
      <c r="V351" s="17"/>
      <c r="W351" s="17"/>
      <c r="X351" s="17"/>
      <c r="Y351" s="17"/>
    </row>
    <row r="352" ht="18.75" customHeight="1">
      <c r="A352" s="9">
        <v>351.0</v>
      </c>
      <c r="B352" s="161" t="s">
        <v>2017</v>
      </c>
      <c r="C352" s="169" t="s">
        <v>2018</v>
      </c>
      <c r="D352" s="169" t="s">
        <v>128</v>
      </c>
      <c r="E352" s="169" t="s">
        <v>2019</v>
      </c>
      <c r="F352" s="169" t="s">
        <v>5831</v>
      </c>
      <c r="G352" s="162">
        <v>45504.0</v>
      </c>
      <c r="H352" s="162">
        <v>45505.0</v>
      </c>
      <c r="I352" s="163" t="s">
        <v>25</v>
      </c>
      <c r="J352" s="163" t="s">
        <v>37</v>
      </c>
      <c r="K352" s="163" t="s">
        <v>31</v>
      </c>
      <c r="L352" s="161" t="s">
        <v>62</v>
      </c>
      <c r="M352" s="174"/>
      <c r="N352" s="16" t="s">
        <v>5135</v>
      </c>
      <c r="O352" s="16"/>
      <c r="P352" s="16"/>
      <c r="Q352" s="17"/>
      <c r="R352" s="17"/>
      <c r="S352" s="17"/>
      <c r="T352" s="17"/>
      <c r="U352" s="17"/>
      <c r="V352" s="17"/>
      <c r="W352" s="17"/>
      <c r="X352" s="17"/>
      <c r="Y352" s="17"/>
    </row>
    <row r="353" ht="18.75" customHeight="1">
      <c r="A353" s="9">
        <v>352.0</v>
      </c>
      <c r="B353" s="161" t="s">
        <v>2021</v>
      </c>
      <c r="C353" s="169" t="s">
        <v>2022</v>
      </c>
      <c r="D353" s="169" t="s">
        <v>216</v>
      </c>
      <c r="E353" s="169" t="s">
        <v>2023</v>
      </c>
      <c r="F353" s="169" t="s">
        <v>5832</v>
      </c>
      <c r="G353" s="162">
        <v>45504.0</v>
      </c>
      <c r="H353" s="162">
        <v>45505.0</v>
      </c>
      <c r="I353" s="163" t="s">
        <v>25</v>
      </c>
      <c r="J353" s="163" t="s">
        <v>37</v>
      </c>
      <c r="K353" s="163" t="s">
        <v>31</v>
      </c>
      <c r="L353" s="161" t="s">
        <v>38</v>
      </c>
      <c r="M353" s="174"/>
      <c r="N353" s="16" t="s">
        <v>5135</v>
      </c>
      <c r="O353" s="16"/>
      <c r="P353" s="16"/>
      <c r="Q353" s="17"/>
      <c r="R353" s="17"/>
      <c r="S353" s="17"/>
      <c r="T353" s="17"/>
      <c r="U353" s="17"/>
      <c r="V353" s="17"/>
      <c r="W353" s="17"/>
      <c r="X353" s="17"/>
      <c r="Y353" s="17"/>
    </row>
    <row r="354" ht="18.75" customHeight="1">
      <c r="A354" s="9">
        <v>353.0</v>
      </c>
      <c r="B354" s="161" t="s">
        <v>2025</v>
      </c>
      <c r="C354" s="169" t="s">
        <v>5833</v>
      </c>
      <c r="D354" s="169" t="s">
        <v>1166</v>
      </c>
      <c r="E354" s="169" t="s">
        <v>5834</v>
      </c>
      <c r="F354" s="169" t="s">
        <v>5835</v>
      </c>
      <c r="G354" s="162">
        <v>45504.0</v>
      </c>
      <c r="H354" s="162">
        <v>45505.0</v>
      </c>
      <c r="I354" s="163" t="s">
        <v>25</v>
      </c>
      <c r="J354" s="163" t="s">
        <v>37</v>
      </c>
      <c r="K354" s="163" t="s">
        <v>31</v>
      </c>
      <c r="L354" s="161" t="s">
        <v>74</v>
      </c>
      <c r="M354" s="174"/>
      <c r="N354" s="16" t="s">
        <v>5135</v>
      </c>
      <c r="O354" s="16"/>
      <c r="P354" s="16"/>
      <c r="Q354" s="17"/>
      <c r="R354" s="17"/>
      <c r="S354" s="17"/>
      <c r="T354" s="17"/>
      <c r="U354" s="17"/>
      <c r="V354" s="17"/>
      <c r="W354" s="17"/>
      <c r="X354" s="17"/>
      <c r="Y354" s="17"/>
    </row>
    <row r="355" ht="18.75" customHeight="1">
      <c r="A355" s="9">
        <v>354.0</v>
      </c>
      <c r="B355" s="161" t="s">
        <v>5836</v>
      </c>
      <c r="C355" s="169" t="s">
        <v>2115</v>
      </c>
      <c r="D355" s="169" t="s">
        <v>2116</v>
      </c>
      <c r="E355" s="169" t="s">
        <v>2117</v>
      </c>
      <c r="F355" s="169" t="s">
        <v>5837</v>
      </c>
      <c r="G355" s="162">
        <v>45520.0</v>
      </c>
      <c r="H355" s="162">
        <v>45521.0</v>
      </c>
      <c r="I355" s="163" t="s">
        <v>25</v>
      </c>
      <c r="J355" s="163" t="s">
        <v>37</v>
      </c>
      <c r="K355" s="163" t="s">
        <v>31</v>
      </c>
      <c r="L355" s="165"/>
      <c r="M355" s="161"/>
      <c r="N355" s="16" t="s">
        <v>5135</v>
      </c>
      <c r="O355" s="16"/>
      <c r="P355" s="16"/>
      <c r="Q355" s="17"/>
      <c r="R355" s="17"/>
      <c r="S355" s="17"/>
      <c r="T355" s="17"/>
      <c r="U355" s="17"/>
      <c r="V355" s="17"/>
      <c r="W355" s="17"/>
      <c r="X355" s="17"/>
      <c r="Y355" s="17"/>
    </row>
    <row r="356" ht="18.75" customHeight="1">
      <c r="A356" s="9">
        <v>355.0</v>
      </c>
      <c r="B356" s="161" t="s">
        <v>2087</v>
      </c>
      <c r="C356" s="169" t="s">
        <v>5838</v>
      </c>
      <c r="D356" s="169" t="s">
        <v>2089</v>
      </c>
      <c r="E356" s="169" t="s">
        <v>5839</v>
      </c>
      <c r="F356" s="169" t="s">
        <v>5840</v>
      </c>
      <c r="G356" s="162">
        <v>45504.0</v>
      </c>
      <c r="H356" s="162">
        <v>45505.0</v>
      </c>
      <c r="I356" s="163" t="s">
        <v>25</v>
      </c>
      <c r="J356" s="163" t="s">
        <v>37</v>
      </c>
      <c r="K356" s="163" t="s">
        <v>531</v>
      </c>
      <c r="L356" s="161" t="s">
        <v>74</v>
      </c>
      <c r="M356" s="174"/>
      <c r="N356" s="16" t="s">
        <v>5135</v>
      </c>
      <c r="O356" s="16"/>
      <c r="P356" s="16"/>
      <c r="Q356" s="17"/>
      <c r="R356" s="17"/>
      <c r="S356" s="17"/>
      <c r="T356" s="17"/>
      <c r="U356" s="17"/>
      <c r="V356" s="17"/>
      <c r="W356" s="17"/>
      <c r="X356" s="17"/>
      <c r="Y356" s="17"/>
    </row>
    <row r="357" ht="18.75" customHeight="1">
      <c r="A357" s="9">
        <v>356.0</v>
      </c>
      <c r="B357" s="161" t="s">
        <v>2092</v>
      </c>
      <c r="C357" s="169" t="s">
        <v>2093</v>
      </c>
      <c r="D357" s="169" t="s">
        <v>2094</v>
      </c>
      <c r="E357" s="169" t="s">
        <v>5841</v>
      </c>
      <c r="F357" s="169" t="s">
        <v>5842</v>
      </c>
      <c r="G357" s="162">
        <v>45504.0</v>
      </c>
      <c r="H357" s="162">
        <v>45505.0</v>
      </c>
      <c r="I357" s="163" t="s">
        <v>25</v>
      </c>
      <c r="J357" s="163" t="s">
        <v>37</v>
      </c>
      <c r="K357" s="163" t="s">
        <v>531</v>
      </c>
      <c r="L357" s="161" t="s">
        <v>74</v>
      </c>
      <c r="M357" s="174"/>
      <c r="N357" s="16" t="s">
        <v>5135</v>
      </c>
      <c r="O357" s="16"/>
      <c r="P357" s="16"/>
      <c r="Q357" s="17"/>
      <c r="R357" s="17"/>
      <c r="S357" s="17"/>
      <c r="T357" s="17"/>
      <c r="U357" s="17"/>
      <c r="V357" s="17"/>
      <c r="W357" s="17"/>
      <c r="X357" s="17"/>
      <c r="Y357" s="17"/>
    </row>
    <row r="358" ht="18.75" customHeight="1">
      <c r="A358" s="9">
        <v>357.0</v>
      </c>
      <c r="B358" s="161" t="s">
        <v>2097</v>
      </c>
      <c r="C358" s="169" t="s">
        <v>2098</v>
      </c>
      <c r="D358" s="169" t="s">
        <v>1166</v>
      </c>
      <c r="E358" s="169" t="s">
        <v>5841</v>
      </c>
      <c r="F358" s="169" t="s">
        <v>5843</v>
      </c>
      <c r="G358" s="162">
        <v>45504.0</v>
      </c>
      <c r="H358" s="162">
        <v>45505.0</v>
      </c>
      <c r="I358" s="163" t="s">
        <v>25</v>
      </c>
      <c r="J358" s="163" t="s">
        <v>37</v>
      </c>
      <c r="K358" s="163" t="s">
        <v>531</v>
      </c>
      <c r="L358" s="161" t="s">
        <v>74</v>
      </c>
      <c r="M358" s="174"/>
      <c r="N358" s="16" t="s">
        <v>5135</v>
      </c>
      <c r="O358" s="16"/>
      <c r="P358" s="16"/>
      <c r="Q358" s="17"/>
      <c r="R358" s="17"/>
      <c r="S358" s="17"/>
      <c r="T358" s="17"/>
      <c r="U358" s="17"/>
      <c r="V358" s="17"/>
      <c r="W358" s="17"/>
      <c r="X358" s="17"/>
      <c r="Y358" s="17"/>
    </row>
    <row r="359" ht="18.75" customHeight="1">
      <c r="A359" s="9">
        <v>358.0</v>
      </c>
      <c r="B359" s="161" t="s">
        <v>2100</v>
      </c>
      <c r="C359" s="169" t="s">
        <v>2101</v>
      </c>
      <c r="D359" s="169" t="s">
        <v>444</v>
      </c>
      <c r="E359" s="169" t="s">
        <v>5841</v>
      </c>
      <c r="F359" s="169" t="s">
        <v>5844</v>
      </c>
      <c r="G359" s="162">
        <v>45504.0</v>
      </c>
      <c r="H359" s="162">
        <v>45505.0</v>
      </c>
      <c r="I359" s="163" t="s">
        <v>25</v>
      </c>
      <c r="J359" s="163" t="s">
        <v>37</v>
      </c>
      <c r="K359" s="163" t="s">
        <v>531</v>
      </c>
      <c r="L359" s="161" t="s">
        <v>74</v>
      </c>
      <c r="M359" s="174"/>
      <c r="N359" s="16" t="s">
        <v>5135</v>
      </c>
      <c r="O359" s="16"/>
      <c r="P359" s="16"/>
      <c r="Q359" s="17"/>
      <c r="R359" s="17"/>
      <c r="S359" s="17"/>
      <c r="T359" s="17"/>
      <c r="U359" s="17"/>
      <c r="V359" s="17"/>
      <c r="W359" s="17"/>
      <c r="X359" s="17"/>
      <c r="Y359" s="17"/>
    </row>
    <row r="360" ht="18.75" customHeight="1">
      <c r="A360" s="9">
        <v>359.0</v>
      </c>
      <c r="B360" s="161" t="s">
        <v>2103</v>
      </c>
      <c r="C360" s="169" t="s">
        <v>2104</v>
      </c>
      <c r="D360" s="169" t="s">
        <v>1544</v>
      </c>
      <c r="E360" s="169" t="s">
        <v>5841</v>
      </c>
      <c r="F360" s="169" t="s">
        <v>5845</v>
      </c>
      <c r="G360" s="162">
        <v>45504.0</v>
      </c>
      <c r="H360" s="162">
        <v>45505.0</v>
      </c>
      <c r="I360" s="163" t="s">
        <v>25</v>
      </c>
      <c r="J360" s="163" t="s">
        <v>37</v>
      </c>
      <c r="K360" s="163" t="s">
        <v>531</v>
      </c>
      <c r="L360" s="161" t="s">
        <v>74</v>
      </c>
      <c r="M360" s="174"/>
      <c r="N360" s="16" t="s">
        <v>5135</v>
      </c>
      <c r="O360" s="16"/>
      <c r="P360" s="16"/>
      <c r="Q360" s="17"/>
      <c r="R360" s="17"/>
      <c r="S360" s="17"/>
      <c r="T360" s="17"/>
      <c r="U360" s="17"/>
      <c r="V360" s="17"/>
      <c r="W360" s="17"/>
      <c r="X360" s="17"/>
      <c r="Y360" s="17"/>
    </row>
    <row r="361" ht="18.75" customHeight="1">
      <c r="A361" s="9">
        <v>360.0</v>
      </c>
      <c r="B361" s="161" t="s">
        <v>2106</v>
      </c>
      <c r="C361" s="169" t="s">
        <v>2107</v>
      </c>
      <c r="D361" s="169" t="s">
        <v>1544</v>
      </c>
      <c r="E361" s="169" t="s">
        <v>5841</v>
      </c>
      <c r="F361" s="169" t="s">
        <v>5846</v>
      </c>
      <c r="G361" s="162">
        <v>45504.0</v>
      </c>
      <c r="H361" s="162">
        <v>45505.0</v>
      </c>
      <c r="I361" s="163" t="s">
        <v>25</v>
      </c>
      <c r="J361" s="163" t="s">
        <v>37</v>
      </c>
      <c r="K361" s="163" t="s">
        <v>531</v>
      </c>
      <c r="L361" s="161" t="s">
        <v>74</v>
      </c>
      <c r="M361" s="174"/>
      <c r="N361" s="16" t="s">
        <v>5135</v>
      </c>
      <c r="O361" s="16"/>
      <c r="P361" s="16"/>
      <c r="Q361" s="17"/>
      <c r="R361" s="17"/>
      <c r="S361" s="17"/>
      <c r="T361" s="17"/>
      <c r="U361" s="17"/>
      <c r="V361" s="17"/>
      <c r="W361" s="17"/>
      <c r="X361" s="17"/>
      <c r="Y361" s="17"/>
    </row>
    <row r="362" ht="18.75" customHeight="1">
      <c r="A362" s="9">
        <v>361.0</v>
      </c>
      <c r="B362" s="161" t="s">
        <v>5847</v>
      </c>
      <c r="C362" s="169" t="s">
        <v>5848</v>
      </c>
      <c r="D362" s="169" t="s">
        <v>28</v>
      </c>
      <c r="E362" s="169" t="s">
        <v>2196</v>
      </c>
      <c r="F362" s="169" t="s">
        <v>5849</v>
      </c>
      <c r="G362" s="162">
        <v>45508.0</v>
      </c>
      <c r="H362" s="162">
        <v>45509.0</v>
      </c>
      <c r="I362" s="163" t="s">
        <v>119</v>
      </c>
      <c r="J362" s="163" t="s">
        <v>213</v>
      </c>
      <c r="K362" s="163" t="s">
        <v>31</v>
      </c>
      <c r="L362" s="165"/>
      <c r="M362" s="161"/>
      <c r="N362" s="16" t="s">
        <v>5135</v>
      </c>
      <c r="O362" s="16"/>
      <c r="P362" s="16"/>
      <c r="Q362" s="17"/>
      <c r="R362" s="17"/>
      <c r="S362" s="17"/>
      <c r="T362" s="17"/>
      <c r="U362" s="17"/>
      <c r="V362" s="17"/>
      <c r="W362" s="17"/>
      <c r="X362" s="17"/>
      <c r="Y362" s="17"/>
    </row>
    <row r="363" ht="18.75" customHeight="1">
      <c r="A363" s="9">
        <v>362.0</v>
      </c>
      <c r="B363" s="161" t="s">
        <v>5850</v>
      </c>
      <c r="C363" s="169" t="s">
        <v>5851</v>
      </c>
      <c r="D363" s="169" t="s">
        <v>47</v>
      </c>
      <c r="E363" s="169" t="s">
        <v>1827</v>
      </c>
      <c r="F363" s="169" t="s">
        <v>5852</v>
      </c>
      <c r="G363" s="162">
        <v>45504.0</v>
      </c>
      <c r="H363" s="162">
        <v>45505.0</v>
      </c>
      <c r="I363" s="163" t="s">
        <v>25</v>
      </c>
      <c r="J363" s="163" t="s">
        <v>5420</v>
      </c>
      <c r="K363" s="163" t="s">
        <v>31</v>
      </c>
      <c r="L363" s="165"/>
      <c r="M363" s="161"/>
      <c r="N363" s="16" t="s">
        <v>5135</v>
      </c>
      <c r="O363" s="16"/>
      <c r="P363" s="16"/>
      <c r="Q363" s="17"/>
      <c r="R363" s="17"/>
      <c r="S363" s="17"/>
      <c r="T363" s="17"/>
      <c r="U363" s="17"/>
      <c r="V363" s="17"/>
      <c r="W363" s="17"/>
      <c r="X363" s="17"/>
      <c r="Y363" s="17"/>
    </row>
    <row r="364" ht="18.75" customHeight="1">
      <c r="A364" s="9">
        <v>363.0</v>
      </c>
      <c r="B364" s="161" t="s">
        <v>5853</v>
      </c>
      <c r="C364" s="169" t="s">
        <v>5854</v>
      </c>
      <c r="D364" s="169" t="s">
        <v>2400</v>
      </c>
      <c r="E364" s="169" t="s">
        <v>1827</v>
      </c>
      <c r="F364" s="169" t="s">
        <v>5855</v>
      </c>
      <c r="G364" s="162">
        <v>45504.0</v>
      </c>
      <c r="H364" s="162">
        <v>45505.0</v>
      </c>
      <c r="I364" s="163" t="s">
        <v>25</v>
      </c>
      <c r="J364" s="163" t="s">
        <v>5420</v>
      </c>
      <c r="K364" s="163" t="s">
        <v>31</v>
      </c>
      <c r="L364" s="165"/>
      <c r="M364" s="161"/>
      <c r="N364" s="16" t="s">
        <v>5135</v>
      </c>
      <c r="O364" s="16"/>
      <c r="P364" s="16"/>
      <c r="Q364" s="17"/>
      <c r="R364" s="17"/>
      <c r="S364" s="17"/>
      <c r="T364" s="17"/>
      <c r="U364" s="17"/>
      <c r="V364" s="17"/>
      <c r="W364" s="17"/>
      <c r="X364" s="17"/>
      <c r="Y364" s="17"/>
    </row>
    <row r="365" ht="18.75" customHeight="1">
      <c r="A365" s="9">
        <v>364.0</v>
      </c>
      <c r="B365" s="161" t="s">
        <v>5856</v>
      </c>
      <c r="C365" s="169" t="s">
        <v>5857</v>
      </c>
      <c r="D365" s="169" t="s">
        <v>47</v>
      </c>
      <c r="E365" s="169" t="s">
        <v>5858</v>
      </c>
      <c r="F365" s="169" t="s">
        <v>5859</v>
      </c>
      <c r="G365" s="162">
        <v>45504.0</v>
      </c>
      <c r="H365" s="162">
        <v>45505.0</v>
      </c>
      <c r="I365" s="163" t="s">
        <v>25</v>
      </c>
      <c r="J365" s="163" t="s">
        <v>5420</v>
      </c>
      <c r="K365" s="163" t="s">
        <v>31</v>
      </c>
      <c r="L365" s="165"/>
      <c r="M365" s="161"/>
      <c r="N365" s="16" t="s">
        <v>5135</v>
      </c>
      <c r="O365" s="16"/>
      <c r="P365" s="16"/>
      <c r="Q365" s="17"/>
      <c r="R365" s="17"/>
      <c r="S365" s="17"/>
      <c r="T365" s="17"/>
      <c r="U365" s="17"/>
      <c r="V365" s="17"/>
      <c r="W365" s="17"/>
      <c r="X365" s="17"/>
      <c r="Y365" s="17"/>
    </row>
    <row r="366" ht="18.75" customHeight="1">
      <c r="A366" s="9">
        <v>365.0</v>
      </c>
      <c r="B366" s="161" t="s">
        <v>5860</v>
      </c>
      <c r="C366" s="169" t="s">
        <v>5861</v>
      </c>
      <c r="D366" s="169" t="s">
        <v>1219</v>
      </c>
      <c r="E366" s="169" t="s">
        <v>5862</v>
      </c>
      <c r="F366" s="169" t="s">
        <v>5863</v>
      </c>
      <c r="G366" s="162">
        <v>45504.0</v>
      </c>
      <c r="H366" s="162">
        <v>45505.0</v>
      </c>
      <c r="I366" s="163" t="s">
        <v>25</v>
      </c>
      <c r="J366" s="163" t="s">
        <v>5420</v>
      </c>
      <c r="K366" s="163" t="s">
        <v>31</v>
      </c>
      <c r="L366" s="165"/>
      <c r="M366" s="161"/>
      <c r="N366" s="16" t="s">
        <v>5135</v>
      </c>
      <c r="O366" s="16"/>
      <c r="P366" s="16"/>
      <c r="Q366" s="17"/>
      <c r="R366" s="17"/>
      <c r="S366" s="17"/>
      <c r="T366" s="17"/>
      <c r="U366" s="17"/>
      <c r="V366" s="17"/>
      <c r="W366" s="17"/>
      <c r="X366" s="17"/>
      <c r="Y366" s="17"/>
    </row>
    <row r="367" ht="18.75" customHeight="1">
      <c r="A367" s="9">
        <v>366.0</v>
      </c>
      <c r="B367" s="161" t="s">
        <v>5864</v>
      </c>
      <c r="C367" s="169" t="s">
        <v>5865</v>
      </c>
      <c r="D367" s="169" t="s">
        <v>1836</v>
      </c>
      <c r="E367" s="169" t="s">
        <v>290</v>
      </c>
      <c r="F367" s="169" t="s">
        <v>5866</v>
      </c>
      <c r="G367" s="162">
        <v>45504.0</v>
      </c>
      <c r="H367" s="162">
        <v>45505.0</v>
      </c>
      <c r="I367" s="163" t="s">
        <v>25</v>
      </c>
      <c r="J367" s="163" t="s">
        <v>5420</v>
      </c>
      <c r="K367" s="163" t="s">
        <v>31</v>
      </c>
      <c r="L367" s="165"/>
      <c r="M367" s="161"/>
      <c r="N367" s="16" t="s">
        <v>5135</v>
      </c>
      <c r="O367" s="16"/>
      <c r="P367" s="16"/>
      <c r="Q367" s="17"/>
      <c r="R367" s="17"/>
      <c r="S367" s="17"/>
      <c r="T367" s="17"/>
      <c r="U367" s="17"/>
      <c r="V367" s="17"/>
      <c r="W367" s="17"/>
      <c r="X367" s="17"/>
      <c r="Y367" s="17"/>
    </row>
    <row r="368" ht="18.75" customHeight="1">
      <c r="A368" s="9">
        <v>367.0</v>
      </c>
      <c r="B368" s="161" t="s">
        <v>5867</v>
      </c>
      <c r="C368" s="169" t="s">
        <v>5868</v>
      </c>
      <c r="D368" s="169" t="s">
        <v>372</v>
      </c>
      <c r="E368" s="169" t="s">
        <v>290</v>
      </c>
      <c r="F368" s="169" t="s">
        <v>5869</v>
      </c>
      <c r="G368" s="162">
        <v>45504.0</v>
      </c>
      <c r="H368" s="162">
        <v>45505.0</v>
      </c>
      <c r="I368" s="163" t="s">
        <v>25</v>
      </c>
      <c r="J368" s="163" t="s">
        <v>5420</v>
      </c>
      <c r="K368" s="163" t="s">
        <v>31</v>
      </c>
      <c r="L368" s="165"/>
      <c r="M368" s="161"/>
      <c r="N368" s="16" t="s">
        <v>5135</v>
      </c>
      <c r="O368" s="16"/>
      <c r="P368" s="16"/>
      <c r="Q368" s="17"/>
      <c r="R368" s="17"/>
      <c r="S368" s="17"/>
      <c r="T368" s="17"/>
      <c r="U368" s="17"/>
      <c r="V368" s="17"/>
      <c r="W368" s="17"/>
      <c r="X368" s="17"/>
      <c r="Y368" s="17"/>
    </row>
    <row r="369" ht="18.75" customHeight="1">
      <c r="A369" s="9">
        <v>368.0</v>
      </c>
      <c r="B369" s="161" t="s">
        <v>1828</v>
      </c>
      <c r="C369" s="169" t="s">
        <v>1829</v>
      </c>
      <c r="D369" s="169" t="s">
        <v>1749</v>
      </c>
      <c r="E369" s="169" t="s">
        <v>290</v>
      </c>
      <c r="F369" s="169" t="s">
        <v>5870</v>
      </c>
      <c r="G369" s="162">
        <v>45504.0</v>
      </c>
      <c r="H369" s="162">
        <v>45505.0</v>
      </c>
      <c r="I369" s="163" t="s">
        <v>119</v>
      </c>
      <c r="J369" s="163" t="s">
        <v>5420</v>
      </c>
      <c r="K369" s="163" t="s">
        <v>31</v>
      </c>
      <c r="L369" s="165"/>
      <c r="M369" s="161"/>
      <c r="N369" s="16" t="s">
        <v>5135</v>
      </c>
      <c r="O369" s="16"/>
      <c r="P369" s="16"/>
      <c r="Q369" s="17"/>
      <c r="R369" s="17"/>
      <c r="S369" s="17"/>
      <c r="T369" s="17"/>
      <c r="U369" s="17"/>
      <c r="V369" s="17"/>
      <c r="W369" s="17"/>
      <c r="X369" s="17"/>
      <c r="Y369" s="17"/>
    </row>
    <row r="370" ht="18.75" customHeight="1">
      <c r="A370" s="9">
        <v>369.0</v>
      </c>
      <c r="B370" s="161" t="s">
        <v>2133</v>
      </c>
      <c r="C370" s="169" t="s">
        <v>2134</v>
      </c>
      <c r="D370" s="169" t="s">
        <v>2135</v>
      </c>
      <c r="E370" s="169" t="s">
        <v>1344</v>
      </c>
      <c r="F370" s="169" t="s">
        <v>5871</v>
      </c>
      <c r="G370" s="162">
        <v>45504.0</v>
      </c>
      <c r="H370" s="162">
        <v>45505.0</v>
      </c>
      <c r="I370" s="163" t="s">
        <v>25</v>
      </c>
      <c r="J370" s="163" t="s">
        <v>37</v>
      </c>
      <c r="K370" s="163" t="s">
        <v>31</v>
      </c>
      <c r="L370" s="165"/>
      <c r="M370" s="161"/>
      <c r="N370" s="16" t="s">
        <v>5135</v>
      </c>
      <c r="O370" s="16"/>
      <c r="P370" s="16"/>
      <c r="Q370" s="17"/>
      <c r="R370" s="17"/>
      <c r="S370" s="17"/>
      <c r="T370" s="17"/>
      <c r="U370" s="17"/>
      <c r="V370" s="17"/>
      <c r="W370" s="17"/>
      <c r="X370" s="17"/>
      <c r="Y370" s="17"/>
    </row>
    <row r="371" ht="18.75" customHeight="1">
      <c r="A371" s="9">
        <v>370.0</v>
      </c>
      <c r="B371" s="161" t="s">
        <v>5872</v>
      </c>
      <c r="C371" s="169" t="s">
        <v>5873</v>
      </c>
      <c r="D371" s="169" t="s">
        <v>116</v>
      </c>
      <c r="E371" s="169" t="s">
        <v>2444</v>
      </c>
      <c r="F371" s="169" t="s">
        <v>5874</v>
      </c>
      <c r="G371" s="162">
        <v>45510.0</v>
      </c>
      <c r="H371" s="162">
        <v>45511.0</v>
      </c>
      <c r="I371" s="163" t="s">
        <v>251</v>
      </c>
      <c r="J371" s="163" t="s">
        <v>5420</v>
      </c>
      <c r="K371" s="163" t="s">
        <v>31</v>
      </c>
      <c r="L371" s="165"/>
      <c r="M371" s="161"/>
      <c r="N371" s="16" t="s">
        <v>5135</v>
      </c>
      <c r="O371" s="16"/>
      <c r="P371" s="16"/>
      <c r="Q371" s="17"/>
      <c r="R371" s="17"/>
      <c r="S371" s="17"/>
      <c r="T371" s="17"/>
      <c r="U371" s="17"/>
      <c r="V371" s="17"/>
      <c r="W371" s="17"/>
      <c r="X371" s="17"/>
      <c r="Y371" s="17"/>
    </row>
    <row r="372" ht="18.75" customHeight="1">
      <c r="A372" s="9">
        <v>371.0</v>
      </c>
      <c r="B372" s="161" t="s">
        <v>5875</v>
      </c>
      <c r="C372" s="169" t="s">
        <v>5876</v>
      </c>
      <c r="D372" s="169" t="s">
        <v>116</v>
      </c>
      <c r="E372" s="169" t="s">
        <v>2818</v>
      </c>
      <c r="F372" s="169" t="s">
        <v>5877</v>
      </c>
      <c r="G372" s="162">
        <v>45505.0</v>
      </c>
      <c r="H372" s="162">
        <v>45506.0</v>
      </c>
      <c r="I372" s="163" t="s">
        <v>251</v>
      </c>
      <c r="J372" s="163" t="s">
        <v>5420</v>
      </c>
      <c r="K372" s="163" t="s">
        <v>31</v>
      </c>
      <c r="L372" s="165"/>
      <c r="M372" s="161"/>
      <c r="N372" s="16" t="s">
        <v>5135</v>
      </c>
      <c r="O372" s="16"/>
      <c r="P372" s="16"/>
      <c r="Q372" s="17"/>
      <c r="R372" s="17"/>
      <c r="S372" s="17"/>
      <c r="T372" s="17"/>
      <c r="U372" s="17"/>
      <c r="V372" s="17"/>
      <c r="W372" s="17"/>
      <c r="X372" s="17"/>
      <c r="Y372" s="17"/>
    </row>
    <row r="373" ht="18.75" customHeight="1">
      <c r="A373" s="9">
        <v>372.0</v>
      </c>
      <c r="B373" s="161" t="s">
        <v>1825</v>
      </c>
      <c r="C373" s="169" t="s">
        <v>1826</v>
      </c>
      <c r="D373" s="169" t="s">
        <v>47</v>
      </c>
      <c r="E373" s="169" t="s">
        <v>1827</v>
      </c>
      <c r="F373" s="169" t="s">
        <v>5878</v>
      </c>
      <c r="G373" s="162">
        <v>45520.0</v>
      </c>
      <c r="H373" s="162">
        <v>45521.0</v>
      </c>
      <c r="I373" s="163" t="s">
        <v>119</v>
      </c>
      <c r="J373" s="163" t="s">
        <v>5420</v>
      </c>
      <c r="K373" s="163" t="s">
        <v>31</v>
      </c>
      <c r="L373" s="165"/>
      <c r="M373" s="161"/>
      <c r="N373" s="16" t="s">
        <v>5135</v>
      </c>
      <c r="O373" s="16"/>
      <c r="P373" s="16"/>
      <c r="Q373" s="17"/>
      <c r="R373" s="17"/>
      <c r="S373" s="17"/>
      <c r="T373" s="17"/>
      <c r="U373" s="17"/>
      <c r="V373" s="17"/>
      <c r="W373" s="17"/>
      <c r="X373" s="17"/>
      <c r="Y373" s="17"/>
    </row>
    <row r="374" ht="18.75" customHeight="1">
      <c r="A374" s="9">
        <v>373.0</v>
      </c>
      <c r="B374" s="161" t="s">
        <v>5879</v>
      </c>
      <c r="C374" s="169" t="s">
        <v>5880</v>
      </c>
      <c r="D374" s="169" t="s">
        <v>173</v>
      </c>
      <c r="E374" s="169" t="s">
        <v>5881</v>
      </c>
      <c r="F374" s="176"/>
      <c r="G374" s="162">
        <v>45524.0</v>
      </c>
      <c r="H374" s="162">
        <v>45525.0</v>
      </c>
      <c r="I374" s="163" t="s">
        <v>119</v>
      </c>
      <c r="J374" s="163" t="s">
        <v>213</v>
      </c>
      <c r="K374" s="163" t="s">
        <v>31</v>
      </c>
      <c r="L374" s="165"/>
      <c r="M374" s="161"/>
      <c r="N374" s="16" t="s">
        <v>5135</v>
      </c>
      <c r="O374" s="16"/>
      <c r="P374" s="16"/>
      <c r="Q374" s="17"/>
      <c r="R374" s="17"/>
      <c r="S374" s="17"/>
      <c r="T374" s="17"/>
      <c r="U374" s="17"/>
      <c r="V374" s="17"/>
      <c r="W374" s="17"/>
      <c r="X374" s="17"/>
      <c r="Y374" s="17"/>
    </row>
    <row r="375" ht="18.75" customHeight="1">
      <c r="A375" s="9">
        <v>374.0</v>
      </c>
      <c r="B375" s="161" t="s">
        <v>5882</v>
      </c>
      <c r="C375" s="169" t="s">
        <v>5883</v>
      </c>
      <c r="D375" s="169" t="s">
        <v>28</v>
      </c>
      <c r="E375" s="169" t="s">
        <v>5037</v>
      </c>
      <c r="F375" s="169" t="s">
        <v>5884</v>
      </c>
      <c r="G375" s="162">
        <v>45504.0</v>
      </c>
      <c r="H375" s="162">
        <v>45505.0</v>
      </c>
      <c r="I375" s="163" t="s">
        <v>251</v>
      </c>
      <c r="J375" s="163" t="s">
        <v>37</v>
      </c>
      <c r="K375" s="163" t="s">
        <v>31</v>
      </c>
      <c r="L375" s="165"/>
      <c r="M375" s="161"/>
      <c r="N375" s="16" t="s">
        <v>5135</v>
      </c>
      <c r="O375" s="16"/>
      <c r="P375" s="16"/>
      <c r="Q375" s="17"/>
      <c r="R375" s="17"/>
      <c r="S375" s="17"/>
      <c r="T375" s="17"/>
      <c r="U375" s="17"/>
      <c r="V375" s="17"/>
      <c r="W375" s="17"/>
      <c r="X375" s="17"/>
      <c r="Y375" s="17"/>
    </row>
    <row r="376" ht="18.75" customHeight="1">
      <c r="A376" s="9">
        <v>375.0</v>
      </c>
      <c r="B376" s="161" t="s">
        <v>1862</v>
      </c>
      <c r="C376" s="169" t="s">
        <v>5885</v>
      </c>
      <c r="D376" s="169" t="s">
        <v>1864</v>
      </c>
      <c r="E376" s="169" t="s">
        <v>1865</v>
      </c>
      <c r="F376" s="169" t="s">
        <v>5886</v>
      </c>
      <c r="G376" s="162">
        <v>45535.0</v>
      </c>
      <c r="H376" s="162">
        <v>45536.0</v>
      </c>
      <c r="I376" s="163" t="s">
        <v>25</v>
      </c>
      <c r="J376" s="163" t="s">
        <v>37</v>
      </c>
      <c r="K376" s="163" t="s">
        <v>31</v>
      </c>
      <c r="L376" s="165"/>
      <c r="M376" s="161"/>
      <c r="N376" s="16" t="s">
        <v>5135</v>
      </c>
      <c r="O376" s="16"/>
      <c r="P376" s="16"/>
      <c r="Q376" s="17"/>
      <c r="R376" s="17"/>
      <c r="S376" s="17"/>
      <c r="T376" s="17"/>
      <c r="U376" s="17"/>
      <c r="V376" s="17"/>
      <c r="W376" s="17"/>
      <c r="X376" s="17"/>
      <c r="Y376" s="17"/>
    </row>
    <row r="377" ht="18.75" customHeight="1">
      <c r="A377" s="9">
        <v>376.0</v>
      </c>
      <c r="B377" s="161" t="s">
        <v>1879</v>
      </c>
      <c r="C377" s="169" t="s">
        <v>1880</v>
      </c>
      <c r="D377" s="169" t="s">
        <v>116</v>
      </c>
      <c r="E377" s="169" t="s">
        <v>1881</v>
      </c>
      <c r="F377" s="169" t="s">
        <v>5887</v>
      </c>
      <c r="G377" s="162">
        <v>45535.0</v>
      </c>
      <c r="H377" s="162">
        <v>45536.0</v>
      </c>
      <c r="I377" s="163" t="s">
        <v>25</v>
      </c>
      <c r="J377" s="163" t="s">
        <v>37</v>
      </c>
      <c r="K377" s="163" t="s">
        <v>31</v>
      </c>
      <c r="L377" s="165"/>
      <c r="M377" s="161"/>
      <c r="N377" s="16" t="s">
        <v>5135</v>
      </c>
      <c r="O377" s="16"/>
      <c r="P377" s="16"/>
      <c r="Q377" s="17"/>
      <c r="R377" s="17"/>
      <c r="S377" s="17"/>
      <c r="T377" s="17"/>
      <c r="U377" s="17"/>
      <c r="V377" s="17"/>
      <c r="W377" s="17"/>
      <c r="X377" s="17"/>
      <c r="Y377" s="17"/>
    </row>
    <row r="378" ht="18.75" customHeight="1">
      <c r="A378" s="9">
        <v>377.0</v>
      </c>
      <c r="B378" s="161" t="s">
        <v>1886</v>
      </c>
      <c r="C378" s="169" t="s">
        <v>1887</v>
      </c>
      <c r="D378" s="169" t="s">
        <v>231</v>
      </c>
      <c r="E378" s="169" t="s">
        <v>1888</v>
      </c>
      <c r="F378" s="169" t="s">
        <v>5888</v>
      </c>
      <c r="G378" s="162">
        <v>45535.0</v>
      </c>
      <c r="H378" s="162">
        <v>45536.0</v>
      </c>
      <c r="I378" s="163" t="s">
        <v>25</v>
      </c>
      <c r="J378" s="163" t="s">
        <v>37</v>
      </c>
      <c r="K378" s="163" t="s">
        <v>31</v>
      </c>
      <c r="L378" s="165"/>
      <c r="M378" s="161"/>
      <c r="N378" s="16" t="s">
        <v>5135</v>
      </c>
      <c r="O378" s="16"/>
      <c r="P378" s="16"/>
      <c r="Q378" s="17"/>
      <c r="R378" s="17"/>
      <c r="S378" s="17"/>
      <c r="T378" s="17"/>
      <c r="U378" s="17"/>
      <c r="V378" s="17"/>
      <c r="W378" s="17"/>
      <c r="X378" s="17"/>
      <c r="Y378" s="17"/>
    </row>
    <row r="379" ht="18.75" customHeight="1">
      <c r="A379" s="9">
        <v>378.0</v>
      </c>
      <c r="B379" s="166" t="s">
        <v>1894</v>
      </c>
      <c r="C379" s="170" t="s">
        <v>1895</v>
      </c>
      <c r="D379" s="170" t="s">
        <v>636</v>
      </c>
      <c r="E379" s="170" t="s">
        <v>1896</v>
      </c>
      <c r="F379" s="170" t="s">
        <v>5889</v>
      </c>
      <c r="G379" s="162">
        <v>45535.0</v>
      </c>
      <c r="H379" s="162">
        <v>45536.0</v>
      </c>
      <c r="I379" s="163" t="s">
        <v>21</v>
      </c>
      <c r="J379" s="163" t="s">
        <v>22</v>
      </c>
      <c r="K379" s="163" t="s">
        <v>531</v>
      </c>
      <c r="L379" s="165"/>
      <c r="M379" s="161"/>
      <c r="N379" s="16"/>
      <c r="O379" s="16"/>
      <c r="P379" s="16"/>
      <c r="Q379" s="17"/>
      <c r="R379" s="17"/>
      <c r="S379" s="17"/>
      <c r="T379" s="17"/>
      <c r="U379" s="17"/>
      <c r="V379" s="17"/>
      <c r="W379" s="17"/>
      <c r="X379" s="17"/>
      <c r="Y379" s="17"/>
    </row>
    <row r="380" ht="18.75" customHeight="1">
      <c r="A380" s="9">
        <v>379.0</v>
      </c>
      <c r="B380" s="161" t="s">
        <v>2121</v>
      </c>
      <c r="C380" s="169" t="s">
        <v>2122</v>
      </c>
      <c r="D380" s="169" t="s">
        <v>1104</v>
      </c>
      <c r="E380" s="169" t="s">
        <v>5890</v>
      </c>
      <c r="F380" s="169" t="s">
        <v>5891</v>
      </c>
      <c r="G380" s="162">
        <v>45535.0</v>
      </c>
      <c r="H380" s="162">
        <v>45536.0</v>
      </c>
      <c r="I380" s="163" t="s">
        <v>25</v>
      </c>
      <c r="J380" s="163" t="s">
        <v>22</v>
      </c>
      <c r="K380" s="163" t="s">
        <v>31</v>
      </c>
      <c r="L380" s="165"/>
      <c r="M380" s="161"/>
      <c r="N380" s="16" t="s">
        <v>5135</v>
      </c>
      <c r="O380" s="16"/>
      <c r="P380" s="16"/>
      <c r="Q380" s="17"/>
      <c r="R380" s="17"/>
      <c r="S380" s="17"/>
      <c r="T380" s="17"/>
      <c r="U380" s="17"/>
      <c r="V380" s="17"/>
      <c r="W380" s="17"/>
      <c r="X380" s="17"/>
      <c r="Y380" s="17"/>
    </row>
    <row r="381" ht="18.75" customHeight="1">
      <c r="A381" s="9">
        <v>380.0</v>
      </c>
      <c r="B381" s="161" t="s">
        <v>5892</v>
      </c>
      <c r="C381" s="169" t="s">
        <v>1868</v>
      </c>
      <c r="D381" s="169" t="s">
        <v>271</v>
      </c>
      <c r="E381" s="169" t="s">
        <v>1869</v>
      </c>
      <c r="F381" s="169" t="s">
        <v>5893</v>
      </c>
      <c r="G381" s="162">
        <v>45535.0</v>
      </c>
      <c r="H381" s="162">
        <v>45536.0</v>
      </c>
      <c r="I381" s="163" t="s">
        <v>25</v>
      </c>
      <c r="J381" s="163" t="s">
        <v>37</v>
      </c>
      <c r="K381" s="163" t="s">
        <v>31</v>
      </c>
      <c r="L381" s="165"/>
      <c r="M381" s="161"/>
      <c r="N381" s="16" t="s">
        <v>5135</v>
      </c>
      <c r="O381" s="16"/>
      <c r="P381" s="16"/>
      <c r="Q381" s="17"/>
      <c r="R381" s="17"/>
      <c r="S381" s="17"/>
      <c r="T381" s="17"/>
      <c r="U381" s="17"/>
      <c r="V381" s="17"/>
      <c r="W381" s="17"/>
      <c r="X381" s="17"/>
      <c r="Y381" s="17"/>
    </row>
    <row r="382" ht="18.75" customHeight="1">
      <c r="A382" s="9">
        <v>381.0</v>
      </c>
      <c r="B382" s="161" t="s">
        <v>2125</v>
      </c>
      <c r="C382" s="169" t="s">
        <v>2126</v>
      </c>
      <c r="D382" s="169" t="s">
        <v>706</v>
      </c>
      <c r="E382" s="169" t="s">
        <v>2127</v>
      </c>
      <c r="F382" s="169" t="s">
        <v>5894</v>
      </c>
      <c r="G382" s="162">
        <v>45535.0</v>
      </c>
      <c r="H382" s="162">
        <v>45536.0</v>
      </c>
      <c r="I382" s="163" t="s">
        <v>25</v>
      </c>
      <c r="J382" s="163" t="s">
        <v>37</v>
      </c>
      <c r="K382" s="163" t="s">
        <v>31</v>
      </c>
      <c r="L382" s="165"/>
      <c r="M382" s="161"/>
      <c r="N382" s="16" t="s">
        <v>5135</v>
      </c>
      <c r="O382" s="16"/>
      <c r="P382" s="16"/>
      <c r="Q382" s="17"/>
      <c r="R382" s="17"/>
      <c r="S382" s="17"/>
      <c r="T382" s="17"/>
      <c r="U382" s="17"/>
      <c r="V382" s="17"/>
      <c r="W382" s="17"/>
      <c r="X382" s="17"/>
      <c r="Y382" s="17"/>
    </row>
    <row r="383" ht="18.75" customHeight="1">
      <c r="A383" s="9">
        <v>382.0</v>
      </c>
      <c r="B383" s="161" t="s">
        <v>2129</v>
      </c>
      <c r="C383" s="169" t="s">
        <v>5895</v>
      </c>
      <c r="D383" s="169" t="s">
        <v>173</v>
      </c>
      <c r="E383" s="169" t="s">
        <v>2131</v>
      </c>
      <c r="F383" s="169" t="s">
        <v>5896</v>
      </c>
      <c r="G383" s="162">
        <v>45535.0</v>
      </c>
      <c r="H383" s="162">
        <v>45536.0</v>
      </c>
      <c r="I383" s="163" t="s">
        <v>25</v>
      </c>
      <c r="J383" s="163" t="s">
        <v>22</v>
      </c>
      <c r="K383" s="163" t="s">
        <v>31</v>
      </c>
      <c r="L383" s="165"/>
      <c r="M383" s="161"/>
      <c r="N383" s="16" t="s">
        <v>5135</v>
      </c>
      <c r="O383" s="16"/>
      <c r="P383" s="16"/>
      <c r="Q383" s="17"/>
      <c r="R383" s="17"/>
      <c r="S383" s="17"/>
      <c r="T383" s="17"/>
      <c r="U383" s="17"/>
      <c r="V383" s="17"/>
      <c r="W383" s="17"/>
      <c r="X383" s="17"/>
      <c r="Y383" s="17"/>
    </row>
    <row r="384" ht="18.75" customHeight="1">
      <c r="A384" s="9">
        <v>383.0</v>
      </c>
      <c r="B384" s="161" t="s">
        <v>2136</v>
      </c>
      <c r="C384" s="169" t="s">
        <v>2137</v>
      </c>
      <c r="D384" s="169" t="s">
        <v>790</v>
      </c>
      <c r="E384" s="169" t="s">
        <v>2138</v>
      </c>
      <c r="F384" s="169" t="s">
        <v>5897</v>
      </c>
      <c r="G384" s="162">
        <v>45535.0</v>
      </c>
      <c r="H384" s="162">
        <v>45536.0</v>
      </c>
      <c r="I384" s="163" t="s">
        <v>25</v>
      </c>
      <c r="J384" s="163" t="s">
        <v>37</v>
      </c>
      <c r="K384" s="163" t="s">
        <v>31</v>
      </c>
      <c r="L384" s="165"/>
      <c r="M384" s="161"/>
      <c r="N384" s="16" t="s">
        <v>5135</v>
      </c>
      <c r="O384" s="16"/>
      <c r="P384" s="16"/>
      <c r="Q384" s="17"/>
      <c r="R384" s="17"/>
      <c r="S384" s="17"/>
      <c r="T384" s="17"/>
      <c r="U384" s="17"/>
      <c r="V384" s="17"/>
      <c r="W384" s="17"/>
      <c r="X384" s="17"/>
      <c r="Y384" s="17"/>
    </row>
    <row r="385" ht="18.75" customHeight="1">
      <c r="A385" s="9">
        <v>384.0</v>
      </c>
      <c r="B385" s="161" t="s">
        <v>2140</v>
      </c>
      <c r="C385" s="169" t="s">
        <v>2141</v>
      </c>
      <c r="D385" s="169" t="s">
        <v>380</v>
      </c>
      <c r="E385" s="169" t="s">
        <v>1585</v>
      </c>
      <c r="F385" s="169" t="s">
        <v>5898</v>
      </c>
      <c r="G385" s="162">
        <v>45535.0</v>
      </c>
      <c r="H385" s="162">
        <v>45536.0</v>
      </c>
      <c r="I385" s="163" t="s">
        <v>25</v>
      </c>
      <c r="J385" s="163" t="s">
        <v>37</v>
      </c>
      <c r="K385" s="163" t="s">
        <v>531</v>
      </c>
      <c r="L385" s="161" t="s">
        <v>38</v>
      </c>
      <c r="M385" s="174"/>
      <c r="N385" s="16" t="s">
        <v>5135</v>
      </c>
      <c r="O385" s="16"/>
      <c r="P385" s="16"/>
      <c r="Q385" s="17"/>
      <c r="R385" s="17"/>
      <c r="S385" s="17"/>
      <c r="T385" s="17"/>
      <c r="U385" s="17"/>
      <c r="V385" s="17"/>
      <c r="W385" s="17"/>
      <c r="X385" s="17"/>
      <c r="Y385" s="17"/>
    </row>
    <row r="386" ht="18.75" customHeight="1">
      <c r="A386" s="9">
        <v>385.0</v>
      </c>
      <c r="B386" s="161" t="s">
        <v>2143</v>
      </c>
      <c r="C386" s="169" t="s">
        <v>5899</v>
      </c>
      <c r="D386" s="169" t="s">
        <v>362</v>
      </c>
      <c r="E386" s="169" t="s">
        <v>2145</v>
      </c>
      <c r="F386" s="169" t="s">
        <v>5900</v>
      </c>
      <c r="G386" s="162">
        <v>45535.0</v>
      </c>
      <c r="H386" s="162">
        <v>45536.0</v>
      </c>
      <c r="I386" s="163" t="s">
        <v>25</v>
      </c>
      <c r="J386" s="163" t="s">
        <v>22</v>
      </c>
      <c r="K386" s="163" t="s">
        <v>31</v>
      </c>
      <c r="L386" s="165"/>
      <c r="M386" s="174"/>
      <c r="N386" s="16" t="s">
        <v>5135</v>
      </c>
      <c r="O386" s="16"/>
      <c r="P386" s="16"/>
      <c r="Q386" s="17"/>
      <c r="R386" s="17"/>
      <c r="S386" s="17"/>
      <c r="T386" s="17"/>
      <c r="U386" s="17"/>
      <c r="V386" s="17"/>
      <c r="W386" s="17"/>
      <c r="X386" s="17"/>
      <c r="Y386" s="17"/>
    </row>
    <row r="387" ht="18.75" customHeight="1">
      <c r="A387" s="9">
        <v>386.0</v>
      </c>
      <c r="B387" s="161" t="s">
        <v>2147</v>
      </c>
      <c r="C387" s="169" t="s">
        <v>5901</v>
      </c>
      <c r="D387" s="169" t="s">
        <v>116</v>
      </c>
      <c r="E387" s="169" t="s">
        <v>2149</v>
      </c>
      <c r="F387" s="169" t="s">
        <v>5902</v>
      </c>
      <c r="G387" s="162">
        <v>45535.0</v>
      </c>
      <c r="H387" s="162">
        <v>45536.0</v>
      </c>
      <c r="I387" s="163" t="s">
        <v>25</v>
      </c>
      <c r="J387" s="163" t="s">
        <v>37</v>
      </c>
      <c r="K387" s="163" t="s">
        <v>531</v>
      </c>
      <c r="L387" s="161" t="s">
        <v>97</v>
      </c>
      <c r="M387" s="174"/>
      <c r="N387" s="16" t="s">
        <v>5135</v>
      </c>
      <c r="O387" s="16"/>
      <c r="P387" s="16"/>
      <c r="Q387" s="17"/>
      <c r="R387" s="17"/>
      <c r="S387" s="17"/>
      <c r="T387" s="17"/>
      <c r="U387" s="17"/>
      <c r="V387" s="17"/>
      <c r="W387" s="17"/>
      <c r="X387" s="17"/>
      <c r="Y387" s="17"/>
    </row>
    <row r="388" ht="18.75" customHeight="1">
      <c r="A388" s="9">
        <v>387.0</v>
      </c>
      <c r="B388" s="161" t="s">
        <v>2119</v>
      </c>
      <c r="C388" s="169" t="s">
        <v>2120</v>
      </c>
      <c r="D388" s="169" t="s">
        <v>1749</v>
      </c>
      <c r="E388" s="169" t="s">
        <v>290</v>
      </c>
      <c r="F388" s="169" t="s">
        <v>5903</v>
      </c>
      <c r="G388" s="162">
        <v>45535.0</v>
      </c>
      <c r="H388" s="162">
        <v>45536.0</v>
      </c>
      <c r="I388" s="163" t="s">
        <v>25</v>
      </c>
      <c r="J388" s="163" t="s">
        <v>5420</v>
      </c>
      <c r="K388" s="163" t="s">
        <v>31</v>
      </c>
      <c r="L388" s="165"/>
      <c r="M388" s="161"/>
      <c r="N388" s="16" t="s">
        <v>5135</v>
      </c>
      <c r="O388" s="16"/>
      <c r="P388" s="16"/>
      <c r="Q388" s="17"/>
      <c r="R388" s="17"/>
      <c r="S388" s="17"/>
      <c r="T388" s="17"/>
      <c r="U388" s="17"/>
      <c r="V388" s="17"/>
      <c r="W388" s="17"/>
      <c r="X388" s="17"/>
      <c r="Y388" s="17"/>
    </row>
    <row r="389" ht="18.75" customHeight="1">
      <c r="A389" s="9">
        <v>388.0</v>
      </c>
      <c r="B389" s="161" t="s">
        <v>5904</v>
      </c>
      <c r="C389" s="169" t="s">
        <v>5905</v>
      </c>
      <c r="D389" s="169" t="s">
        <v>481</v>
      </c>
      <c r="E389" s="169" t="s">
        <v>5834</v>
      </c>
      <c r="F389" s="169" t="s">
        <v>5906</v>
      </c>
      <c r="G389" s="162">
        <v>45535.0</v>
      </c>
      <c r="H389" s="162">
        <v>45536.0</v>
      </c>
      <c r="I389" s="163" t="s">
        <v>25</v>
      </c>
      <c r="J389" s="163" t="s">
        <v>5420</v>
      </c>
      <c r="K389" s="163" t="s">
        <v>31</v>
      </c>
      <c r="L389" s="165"/>
      <c r="M389" s="161"/>
      <c r="N389" s="16" t="s">
        <v>5135</v>
      </c>
      <c r="O389" s="16"/>
      <c r="P389" s="16"/>
      <c r="Q389" s="17"/>
      <c r="R389" s="17"/>
      <c r="S389" s="17"/>
      <c r="T389" s="17"/>
      <c r="U389" s="17"/>
      <c r="V389" s="17"/>
      <c r="W389" s="17"/>
      <c r="X389" s="17"/>
      <c r="Y389" s="17"/>
    </row>
    <row r="390" ht="18.75" customHeight="1">
      <c r="A390" s="9">
        <v>389.0</v>
      </c>
      <c r="B390" s="161" t="s">
        <v>2151</v>
      </c>
      <c r="C390" s="169" t="s">
        <v>5907</v>
      </c>
      <c r="D390" s="169" t="s">
        <v>362</v>
      </c>
      <c r="E390" s="169" t="s">
        <v>2153</v>
      </c>
      <c r="F390" s="169" t="s">
        <v>5908</v>
      </c>
      <c r="G390" s="162">
        <v>45548.0</v>
      </c>
      <c r="H390" s="162">
        <v>45549.0</v>
      </c>
      <c r="I390" s="163" t="s">
        <v>25</v>
      </c>
      <c r="J390" s="163" t="s">
        <v>37</v>
      </c>
      <c r="K390" s="163" t="s">
        <v>531</v>
      </c>
      <c r="L390" s="161" t="s">
        <v>50</v>
      </c>
      <c r="M390" s="174"/>
      <c r="N390" s="16" t="s">
        <v>5135</v>
      </c>
      <c r="O390" s="16"/>
      <c r="P390" s="16"/>
      <c r="Q390" s="17"/>
      <c r="R390" s="17"/>
      <c r="S390" s="17"/>
      <c r="T390" s="17"/>
      <c r="U390" s="17"/>
      <c r="V390" s="17"/>
      <c r="W390" s="17"/>
      <c r="X390" s="17"/>
      <c r="Y390" s="17"/>
    </row>
    <row r="391" ht="18.75" customHeight="1">
      <c r="A391" s="9">
        <v>390.0</v>
      </c>
      <c r="B391" s="161" t="s">
        <v>2155</v>
      </c>
      <c r="C391" s="169" t="s">
        <v>5909</v>
      </c>
      <c r="D391" s="169" t="s">
        <v>94</v>
      </c>
      <c r="E391" s="169" t="s">
        <v>2157</v>
      </c>
      <c r="F391" s="169" t="s">
        <v>5910</v>
      </c>
      <c r="G391" s="162">
        <v>45541.0</v>
      </c>
      <c r="H391" s="162">
        <v>45542.0</v>
      </c>
      <c r="I391" s="163" t="s">
        <v>25</v>
      </c>
      <c r="J391" s="163" t="s">
        <v>37</v>
      </c>
      <c r="K391" s="163" t="s">
        <v>531</v>
      </c>
      <c r="L391" s="161" t="s">
        <v>74</v>
      </c>
      <c r="M391" s="174"/>
      <c r="N391" s="16" t="s">
        <v>5135</v>
      </c>
      <c r="O391" s="16"/>
      <c r="P391" s="16"/>
      <c r="Q391" s="17"/>
      <c r="R391" s="17"/>
      <c r="S391" s="17"/>
      <c r="T391" s="17"/>
      <c r="U391" s="17"/>
      <c r="V391" s="17"/>
      <c r="W391" s="17"/>
      <c r="X391" s="17"/>
      <c r="Y391" s="17"/>
    </row>
    <row r="392" ht="18.75" customHeight="1">
      <c r="A392" s="9">
        <v>391.0</v>
      </c>
      <c r="B392" s="161" t="s">
        <v>2159</v>
      </c>
      <c r="C392" s="169" t="s">
        <v>5911</v>
      </c>
      <c r="D392" s="169" t="s">
        <v>2161</v>
      </c>
      <c r="E392" s="169" t="s">
        <v>2157</v>
      </c>
      <c r="F392" s="169" t="s">
        <v>5910</v>
      </c>
      <c r="G392" s="162">
        <v>45535.0</v>
      </c>
      <c r="H392" s="162">
        <v>45536.0</v>
      </c>
      <c r="I392" s="163" t="s">
        <v>25</v>
      </c>
      <c r="J392" s="163" t="s">
        <v>37</v>
      </c>
      <c r="K392" s="163" t="s">
        <v>531</v>
      </c>
      <c r="L392" s="161" t="s">
        <v>62</v>
      </c>
      <c r="M392" s="174"/>
      <c r="N392" s="16" t="s">
        <v>5135</v>
      </c>
      <c r="O392" s="16"/>
      <c r="P392" s="16"/>
      <c r="Q392" s="17"/>
      <c r="R392" s="17"/>
      <c r="S392" s="17"/>
      <c r="T392" s="17"/>
      <c r="U392" s="17"/>
      <c r="V392" s="17"/>
      <c r="W392" s="17"/>
      <c r="X392" s="17"/>
      <c r="Y392" s="17"/>
    </row>
    <row r="393" ht="18.75" customHeight="1">
      <c r="A393" s="9">
        <v>392.0</v>
      </c>
      <c r="B393" s="161" t="s">
        <v>2167</v>
      </c>
      <c r="C393" s="169" t="s">
        <v>2168</v>
      </c>
      <c r="D393" s="169" t="s">
        <v>1104</v>
      </c>
      <c r="E393" s="169" t="s">
        <v>2169</v>
      </c>
      <c r="F393" s="169" t="s">
        <v>5912</v>
      </c>
      <c r="G393" s="162">
        <v>45539.0</v>
      </c>
      <c r="H393" s="162">
        <v>45540.0</v>
      </c>
      <c r="I393" s="163" t="s">
        <v>25</v>
      </c>
      <c r="J393" s="163" t="s">
        <v>37</v>
      </c>
      <c r="K393" s="163" t="s">
        <v>31</v>
      </c>
      <c r="L393" s="165"/>
      <c r="M393" s="161"/>
      <c r="N393" s="16" t="s">
        <v>5135</v>
      </c>
      <c r="O393" s="16"/>
      <c r="P393" s="16"/>
      <c r="Q393" s="17"/>
      <c r="R393" s="17"/>
      <c r="S393" s="17"/>
      <c r="T393" s="17"/>
      <c r="U393" s="17"/>
      <c r="V393" s="17"/>
      <c r="W393" s="17"/>
      <c r="X393" s="17"/>
      <c r="Y393" s="17"/>
    </row>
    <row r="394" ht="18.75" customHeight="1">
      <c r="A394" s="9">
        <v>393.0</v>
      </c>
      <c r="B394" s="166" t="s">
        <v>2171</v>
      </c>
      <c r="C394" s="170" t="s">
        <v>2172</v>
      </c>
      <c r="D394" s="170" t="s">
        <v>231</v>
      </c>
      <c r="E394" s="170" t="s">
        <v>2173</v>
      </c>
      <c r="F394" s="170" t="s">
        <v>5913</v>
      </c>
      <c r="G394" s="162">
        <v>45535.0</v>
      </c>
      <c r="H394" s="162">
        <v>45536.0</v>
      </c>
      <c r="I394" s="163" t="s">
        <v>21</v>
      </c>
      <c r="J394" s="163" t="s">
        <v>22</v>
      </c>
      <c r="K394" s="163" t="s">
        <v>531</v>
      </c>
      <c r="L394" s="165"/>
      <c r="M394" s="161"/>
      <c r="N394" s="16"/>
      <c r="O394" s="16"/>
      <c r="P394" s="16"/>
      <c r="Q394" s="17"/>
      <c r="R394" s="17"/>
      <c r="S394" s="17"/>
      <c r="T394" s="17"/>
      <c r="U394" s="17"/>
      <c r="V394" s="17"/>
      <c r="W394" s="17"/>
      <c r="X394" s="17"/>
      <c r="Y394" s="17"/>
    </row>
    <row r="395" ht="18.75" customHeight="1">
      <c r="A395" s="9">
        <v>394.0</v>
      </c>
      <c r="B395" s="161" t="s">
        <v>5914</v>
      </c>
      <c r="C395" s="169" t="s">
        <v>5915</v>
      </c>
      <c r="D395" s="169" t="s">
        <v>47</v>
      </c>
      <c r="E395" s="169" t="s">
        <v>3857</v>
      </c>
      <c r="F395" s="169" t="s">
        <v>5916</v>
      </c>
      <c r="G395" s="162">
        <v>45535.0</v>
      </c>
      <c r="H395" s="162">
        <v>45536.0</v>
      </c>
      <c r="I395" s="163" t="s">
        <v>251</v>
      </c>
      <c r="J395" s="163" t="s">
        <v>37</v>
      </c>
      <c r="K395" s="163" t="s">
        <v>31</v>
      </c>
      <c r="L395" s="165"/>
      <c r="M395" s="161"/>
      <c r="N395" s="16" t="s">
        <v>5135</v>
      </c>
      <c r="O395" s="16"/>
      <c r="P395" s="16"/>
      <c r="Q395" s="17"/>
      <c r="R395" s="17"/>
      <c r="S395" s="17"/>
      <c r="T395" s="17"/>
      <c r="U395" s="17"/>
      <c r="V395" s="17"/>
      <c r="W395" s="17"/>
      <c r="X395" s="17"/>
      <c r="Y395" s="17"/>
    </row>
    <row r="396" ht="18.75" customHeight="1">
      <c r="A396" s="9">
        <v>395.0</v>
      </c>
      <c r="B396" s="161" t="s">
        <v>2175</v>
      </c>
      <c r="C396" s="169" t="s">
        <v>2176</v>
      </c>
      <c r="D396" s="169" t="s">
        <v>697</v>
      </c>
      <c r="E396" s="169" t="s">
        <v>2177</v>
      </c>
      <c r="F396" s="169" t="s">
        <v>5917</v>
      </c>
      <c r="G396" s="162">
        <v>45535.0</v>
      </c>
      <c r="H396" s="162">
        <v>45536.0</v>
      </c>
      <c r="I396" s="163" t="s">
        <v>25</v>
      </c>
      <c r="J396" s="163" t="s">
        <v>37</v>
      </c>
      <c r="K396" s="163" t="s">
        <v>31</v>
      </c>
      <c r="L396" s="165"/>
      <c r="M396" s="161"/>
      <c r="N396" s="16" t="s">
        <v>5135</v>
      </c>
      <c r="O396" s="16"/>
      <c r="P396" s="16"/>
      <c r="Q396" s="17"/>
      <c r="R396" s="17"/>
      <c r="S396" s="17"/>
      <c r="T396" s="17"/>
      <c r="U396" s="17"/>
      <c r="V396" s="17"/>
      <c r="W396" s="17"/>
      <c r="X396" s="17"/>
      <c r="Y396" s="17"/>
    </row>
    <row r="397" ht="18.75" customHeight="1">
      <c r="A397" s="9">
        <v>396.0</v>
      </c>
      <c r="B397" s="161" t="s">
        <v>5918</v>
      </c>
      <c r="C397" s="169" t="s">
        <v>5919</v>
      </c>
      <c r="D397" s="169" t="s">
        <v>1749</v>
      </c>
      <c r="E397" s="169" t="s">
        <v>1652</v>
      </c>
      <c r="F397" s="169" t="s">
        <v>5920</v>
      </c>
      <c r="G397" s="162">
        <v>45535.0</v>
      </c>
      <c r="H397" s="162">
        <v>45536.0</v>
      </c>
      <c r="I397" s="163" t="s">
        <v>251</v>
      </c>
      <c r="J397" s="163" t="s">
        <v>5420</v>
      </c>
      <c r="K397" s="163" t="s">
        <v>31</v>
      </c>
      <c r="L397" s="165"/>
      <c r="M397" s="161"/>
      <c r="N397" s="16" t="s">
        <v>5135</v>
      </c>
      <c r="O397" s="16"/>
      <c r="P397" s="16"/>
      <c r="Q397" s="17"/>
      <c r="R397" s="17"/>
      <c r="S397" s="17"/>
      <c r="T397" s="17"/>
      <c r="U397" s="17"/>
      <c r="V397" s="17"/>
      <c r="W397" s="17"/>
      <c r="X397" s="17"/>
      <c r="Y397" s="17"/>
    </row>
    <row r="398" ht="18.75" customHeight="1">
      <c r="A398" s="9">
        <v>397.0</v>
      </c>
      <c r="B398" s="161" t="s">
        <v>2179</v>
      </c>
      <c r="C398" s="169" t="s">
        <v>2180</v>
      </c>
      <c r="D398" s="169" t="s">
        <v>2181</v>
      </c>
      <c r="E398" s="169" t="s">
        <v>1349</v>
      </c>
      <c r="F398" s="169" t="s">
        <v>5921</v>
      </c>
      <c r="G398" s="162">
        <v>45554.0</v>
      </c>
      <c r="H398" s="162">
        <v>45555.0</v>
      </c>
      <c r="I398" s="163" t="s">
        <v>25</v>
      </c>
      <c r="J398" s="163" t="s">
        <v>37</v>
      </c>
      <c r="K398" s="163" t="s">
        <v>31</v>
      </c>
      <c r="L398" s="165"/>
      <c r="M398" s="161"/>
      <c r="N398" s="16" t="s">
        <v>5135</v>
      </c>
      <c r="O398" s="16"/>
      <c r="P398" s="16"/>
      <c r="Q398" s="17"/>
      <c r="R398" s="17"/>
      <c r="S398" s="17"/>
      <c r="T398" s="17"/>
      <c r="U398" s="17"/>
      <c r="V398" s="17"/>
      <c r="W398" s="17"/>
      <c r="X398" s="17"/>
      <c r="Y398" s="17"/>
    </row>
    <row r="399" ht="18.75" customHeight="1">
      <c r="A399" s="9">
        <v>398.0</v>
      </c>
      <c r="B399" s="161" t="s">
        <v>2183</v>
      </c>
      <c r="C399" s="169" t="s">
        <v>2184</v>
      </c>
      <c r="D399" s="169" t="s">
        <v>1104</v>
      </c>
      <c r="E399" s="169" t="s">
        <v>5890</v>
      </c>
      <c r="F399" s="169" t="s">
        <v>5922</v>
      </c>
      <c r="G399" s="162">
        <v>45535.0</v>
      </c>
      <c r="H399" s="162">
        <v>45536.0</v>
      </c>
      <c r="I399" s="163" t="s">
        <v>25</v>
      </c>
      <c r="J399" s="163" t="s">
        <v>22</v>
      </c>
      <c r="K399" s="163" t="s">
        <v>31</v>
      </c>
      <c r="L399" s="165"/>
      <c r="M399" s="161"/>
      <c r="N399" s="16" t="s">
        <v>5135</v>
      </c>
      <c r="O399" s="16"/>
      <c r="P399" s="16"/>
      <c r="Q399" s="17"/>
      <c r="R399" s="17"/>
      <c r="S399" s="17"/>
      <c r="T399" s="17"/>
      <c r="U399" s="17"/>
      <c r="V399" s="17"/>
      <c r="W399" s="17"/>
      <c r="X399" s="17"/>
      <c r="Y399" s="17"/>
    </row>
    <row r="400" ht="18.75" customHeight="1">
      <c r="A400" s="9">
        <v>399.0</v>
      </c>
      <c r="B400" s="161" t="s">
        <v>1876</v>
      </c>
      <c r="C400" s="169" t="s">
        <v>1877</v>
      </c>
      <c r="D400" s="169" t="s">
        <v>1197</v>
      </c>
      <c r="E400" s="169" t="s">
        <v>1736</v>
      </c>
      <c r="F400" s="169" t="s">
        <v>5923</v>
      </c>
      <c r="G400" s="162">
        <v>45535.0</v>
      </c>
      <c r="H400" s="162">
        <v>45536.0</v>
      </c>
      <c r="I400" s="163" t="s">
        <v>25</v>
      </c>
      <c r="J400" s="163" t="s">
        <v>37</v>
      </c>
      <c r="K400" s="163" t="s">
        <v>31</v>
      </c>
      <c r="L400" s="165"/>
      <c r="M400" s="161"/>
      <c r="N400" s="16" t="s">
        <v>5135</v>
      </c>
      <c r="O400" s="16"/>
      <c r="P400" s="16"/>
      <c r="Q400" s="17"/>
      <c r="R400" s="17"/>
      <c r="S400" s="17"/>
      <c r="T400" s="17"/>
      <c r="U400" s="17"/>
      <c r="V400" s="17"/>
      <c r="W400" s="17"/>
      <c r="X400" s="17"/>
      <c r="Y400" s="17"/>
    </row>
    <row r="401" ht="18.75" customHeight="1">
      <c r="A401" s="9">
        <v>400.0</v>
      </c>
      <c r="B401" s="161" t="s">
        <v>2186</v>
      </c>
      <c r="C401" s="169" t="s">
        <v>2187</v>
      </c>
      <c r="D401" s="169" t="s">
        <v>116</v>
      </c>
      <c r="E401" s="169" t="s">
        <v>2188</v>
      </c>
      <c r="F401" s="169" t="s">
        <v>5924</v>
      </c>
      <c r="G401" s="162">
        <v>45535.0</v>
      </c>
      <c r="H401" s="162">
        <v>45536.0</v>
      </c>
      <c r="I401" s="163" t="s">
        <v>25</v>
      </c>
      <c r="J401" s="163" t="s">
        <v>22</v>
      </c>
      <c r="K401" s="163" t="s">
        <v>531</v>
      </c>
      <c r="L401" s="165"/>
      <c r="M401" s="174"/>
      <c r="N401" s="16" t="s">
        <v>5135</v>
      </c>
      <c r="O401" s="16"/>
      <c r="P401" s="16"/>
      <c r="Q401" s="17"/>
      <c r="R401" s="17"/>
      <c r="S401" s="17"/>
      <c r="T401" s="17"/>
      <c r="U401" s="17"/>
      <c r="V401" s="17"/>
      <c r="W401" s="17"/>
      <c r="X401" s="17"/>
      <c r="Y401" s="17"/>
    </row>
    <row r="402" ht="18.75" customHeight="1">
      <c r="A402" s="9">
        <v>401.0</v>
      </c>
      <c r="B402" s="161" t="s">
        <v>2190</v>
      </c>
      <c r="C402" s="169" t="s">
        <v>5925</v>
      </c>
      <c r="D402" s="169" t="s">
        <v>481</v>
      </c>
      <c r="E402" s="169" t="s">
        <v>5926</v>
      </c>
      <c r="F402" s="169" t="s">
        <v>5927</v>
      </c>
      <c r="G402" s="162">
        <v>45535.0</v>
      </c>
      <c r="H402" s="162">
        <v>45536.0</v>
      </c>
      <c r="I402" s="163" t="s">
        <v>25</v>
      </c>
      <c r="J402" s="163" t="s">
        <v>22</v>
      </c>
      <c r="K402" s="163" t="s">
        <v>531</v>
      </c>
      <c r="L402" s="165"/>
      <c r="M402" s="174"/>
      <c r="N402" s="16" t="s">
        <v>5135</v>
      </c>
      <c r="O402" s="16"/>
      <c r="P402" s="16"/>
      <c r="Q402" s="17"/>
      <c r="R402" s="17"/>
      <c r="S402" s="17"/>
      <c r="T402" s="17"/>
      <c r="U402" s="17"/>
      <c r="V402" s="17"/>
      <c r="W402" s="17"/>
      <c r="X402" s="17"/>
      <c r="Y402" s="17"/>
    </row>
    <row r="403" ht="18.75" customHeight="1">
      <c r="A403" s="9">
        <v>402.0</v>
      </c>
      <c r="B403" s="161" t="s">
        <v>1871</v>
      </c>
      <c r="C403" s="169" t="s">
        <v>1872</v>
      </c>
      <c r="D403" s="169" t="s">
        <v>5928</v>
      </c>
      <c r="E403" s="169" t="s">
        <v>1874</v>
      </c>
      <c r="F403" s="169" t="s">
        <v>5929</v>
      </c>
      <c r="G403" s="162">
        <v>45535.0</v>
      </c>
      <c r="H403" s="162">
        <v>45536.0</v>
      </c>
      <c r="I403" s="163" t="s">
        <v>25</v>
      </c>
      <c r="J403" s="163" t="s">
        <v>37</v>
      </c>
      <c r="K403" s="163" t="s">
        <v>31</v>
      </c>
      <c r="L403" s="165"/>
      <c r="M403" s="161"/>
      <c r="N403" s="16" t="s">
        <v>5135</v>
      </c>
      <c r="O403" s="16"/>
      <c r="P403" s="16"/>
      <c r="Q403" s="17"/>
      <c r="R403" s="17"/>
      <c r="S403" s="17"/>
      <c r="T403" s="17"/>
      <c r="U403" s="17"/>
      <c r="V403" s="17"/>
      <c r="W403" s="17"/>
      <c r="X403" s="17"/>
      <c r="Y403" s="17"/>
    </row>
    <row r="404" ht="18.75" customHeight="1">
      <c r="A404" s="9">
        <v>403.0</v>
      </c>
      <c r="B404" s="161" t="s">
        <v>5930</v>
      </c>
      <c r="C404" s="169" t="s">
        <v>5931</v>
      </c>
      <c r="D404" s="169" t="s">
        <v>28</v>
      </c>
      <c r="E404" s="169" t="s">
        <v>5932</v>
      </c>
      <c r="F404" s="169" t="s">
        <v>5933</v>
      </c>
      <c r="G404" s="162">
        <v>45549.0</v>
      </c>
      <c r="H404" s="162">
        <v>45550.0</v>
      </c>
      <c r="I404" s="163" t="s">
        <v>119</v>
      </c>
      <c r="J404" s="163" t="s">
        <v>37</v>
      </c>
      <c r="K404" s="163" t="s">
        <v>31</v>
      </c>
      <c r="L404" s="165"/>
      <c r="M404" s="174"/>
      <c r="N404" s="16" t="s">
        <v>5135</v>
      </c>
      <c r="O404" s="16"/>
      <c r="P404" s="16"/>
      <c r="Q404" s="17"/>
      <c r="R404" s="17"/>
      <c r="S404" s="17"/>
      <c r="T404" s="17"/>
      <c r="U404" s="17"/>
      <c r="V404" s="17"/>
      <c r="W404" s="17"/>
      <c r="X404" s="17"/>
      <c r="Y404" s="17"/>
    </row>
    <row r="405" ht="18.75" customHeight="1">
      <c r="A405" s="9">
        <v>404.0</v>
      </c>
      <c r="B405" s="161" t="s">
        <v>2238</v>
      </c>
      <c r="C405" s="169" t="s">
        <v>5934</v>
      </c>
      <c r="D405" s="169" t="s">
        <v>1246</v>
      </c>
      <c r="E405" s="169" t="s">
        <v>2039</v>
      </c>
      <c r="F405" s="169" t="s">
        <v>5935</v>
      </c>
      <c r="G405" s="162">
        <v>45555.0</v>
      </c>
      <c r="H405" s="162">
        <v>45556.0</v>
      </c>
      <c r="I405" s="163" t="s">
        <v>25</v>
      </c>
      <c r="J405" s="163" t="s">
        <v>37</v>
      </c>
      <c r="K405" s="163" t="s">
        <v>531</v>
      </c>
      <c r="L405" s="161" t="s">
        <v>62</v>
      </c>
      <c r="M405" s="174"/>
      <c r="N405" s="16" t="s">
        <v>5135</v>
      </c>
      <c r="O405" s="16"/>
      <c r="P405" s="16"/>
      <c r="Q405" s="17"/>
      <c r="R405" s="17"/>
      <c r="S405" s="17"/>
      <c r="T405" s="17"/>
      <c r="U405" s="17"/>
      <c r="V405" s="17"/>
      <c r="W405" s="17"/>
      <c r="X405" s="17"/>
      <c r="Y405" s="17"/>
    </row>
    <row r="406" ht="18.75" customHeight="1">
      <c r="A406" s="9">
        <v>405.0</v>
      </c>
      <c r="B406" s="161" t="s">
        <v>2222</v>
      </c>
      <c r="C406" s="169" t="s">
        <v>5936</v>
      </c>
      <c r="D406" s="169" t="s">
        <v>28</v>
      </c>
      <c r="E406" s="169" t="s">
        <v>5937</v>
      </c>
      <c r="F406" s="169" t="s">
        <v>5938</v>
      </c>
      <c r="G406" s="162">
        <v>45550.0</v>
      </c>
      <c r="H406" s="162">
        <v>45551.0</v>
      </c>
      <c r="I406" s="163" t="s">
        <v>25</v>
      </c>
      <c r="J406" s="163" t="s">
        <v>22</v>
      </c>
      <c r="K406" s="163" t="s">
        <v>531</v>
      </c>
      <c r="L406" s="165"/>
      <c r="M406" s="174"/>
      <c r="N406" s="16" t="s">
        <v>5135</v>
      </c>
      <c r="O406" s="16"/>
      <c r="P406" s="16"/>
      <c r="Q406" s="17"/>
      <c r="R406" s="17"/>
      <c r="S406" s="17"/>
      <c r="T406" s="17"/>
      <c r="U406" s="17"/>
      <c r="V406" s="17"/>
      <c r="W406" s="17"/>
      <c r="X406" s="17"/>
      <c r="Y406" s="17"/>
    </row>
    <row r="407" ht="18.75" customHeight="1">
      <c r="A407" s="9">
        <v>406.0</v>
      </c>
      <c r="B407" s="161" t="s">
        <v>5939</v>
      </c>
      <c r="C407" s="169" t="s">
        <v>5940</v>
      </c>
      <c r="D407" s="169" t="s">
        <v>1807</v>
      </c>
      <c r="E407" s="169" t="s">
        <v>3973</v>
      </c>
      <c r="F407" s="169" t="s">
        <v>5941</v>
      </c>
      <c r="G407" s="162">
        <v>45544.0</v>
      </c>
      <c r="H407" s="162">
        <v>45545.0</v>
      </c>
      <c r="I407" s="163" t="s">
        <v>251</v>
      </c>
      <c r="J407" s="163" t="s">
        <v>37</v>
      </c>
      <c r="K407" s="163" t="s">
        <v>31</v>
      </c>
      <c r="L407" s="165"/>
      <c r="M407" s="174"/>
      <c r="N407" s="16" t="s">
        <v>5135</v>
      </c>
      <c r="O407" s="16"/>
      <c r="P407" s="16"/>
      <c r="Q407" s="17"/>
      <c r="R407" s="17"/>
      <c r="S407" s="17"/>
      <c r="T407" s="17"/>
      <c r="U407" s="17"/>
      <c r="V407" s="17"/>
      <c r="W407" s="17"/>
      <c r="X407" s="17"/>
      <c r="Y407" s="17"/>
    </row>
    <row r="408" ht="18.75" customHeight="1">
      <c r="A408" s="9">
        <v>407.0</v>
      </c>
      <c r="B408" s="161" t="s">
        <v>2294</v>
      </c>
      <c r="C408" s="169" t="s">
        <v>2295</v>
      </c>
      <c r="D408" s="169" t="s">
        <v>116</v>
      </c>
      <c r="E408" s="169" t="s">
        <v>2296</v>
      </c>
      <c r="F408" s="169" t="s">
        <v>5942</v>
      </c>
      <c r="G408" s="162">
        <v>45558.0</v>
      </c>
      <c r="H408" s="162">
        <v>45559.0</v>
      </c>
      <c r="I408" s="163" t="s">
        <v>25</v>
      </c>
      <c r="J408" s="163" t="s">
        <v>37</v>
      </c>
      <c r="K408" s="163" t="s">
        <v>31</v>
      </c>
      <c r="L408" s="161" t="s">
        <v>62</v>
      </c>
      <c r="M408" s="174"/>
      <c r="N408" s="16" t="s">
        <v>5135</v>
      </c>
      <c r="O408" s="16"/>
      <c r="P408" s="16"/>
      <c r="Q408" s="17"/>
      <c r="R408" s="17"/>
      <c r="S408" s="17"/>
      <c r="T408" s="17"/>
      <c r="U408" s="17"/>
      <c r="V408" s="17"/>
      <c r="W408" s="17"/>
      <c r="X408" s="17"/>
      <c r="Y408" s="17"/>
    </row>
    <row r="409" ht="18.75" customHeight="1">
      <c r="A409" s="9">
        <v>408.0</v>
      </c>
      <c r="B409" s="161" t="s">
        <v>2298</v>
      </c>
      <c r="C409" s="169" t="s">
        <v>2299</v>
      </c>
      <c r="D409" s="169" t="s">
        <v>2300</v>
      </c>
      <c r="E409" s="169" t="s">
        <v>2301</v>
      </c>
      <c r="F409" s="169" t="s">
        <v>5943</v>
      </c>
      <c r="G409" s="162">
        <v>45561.0</v>
      </c>
      <c r="H409" s="162">
        <v>45562.0</v>
      </c>
      <c r="I409" s="163" t="s">
        <v>25</v>
      </c>
      <c r="J409" s="163" t="s">
        <v>22</v>
      </c>
      <c r="K409" s="163" t="s">
        <v>31</v>
      </c>
      <c r="L409" s="161" t="s">
        <v>62</v>
      </c>
      <c r="M409" s="174"/>
      <c r="N409" s="16" t="s">
        <v>5135</v>
      </c>
      <c r="O409" s="16"/>
      <c r="P409" s="16"/>
      <c r="Q409" s="17"/>
      <c r="R409" s="17"/>
      <c r="S409" s="17"/>
      <c r="T409" s="17"/>
      <c r="U409" s="17"/>
      <c r="V409" s="17"/>
      <c r="W409" s="17"/>
      <c r="X409" s="17"/>
      <c r="Y409" s="17"/>
    </row>
    <row r="410" ht="18.75" customHeight="1">
      <c r="A410" s="9">
        <v>409.0</v>
      </c>
      <c r="B410" s="161" t="s">
        <v>2234</v>
      </c>
      <c r="C410" s="169" t="s">
        <v>5944</v>
      </c>
      <c r="D410" s="169" t="s">
        <v>122</v>
      </c>
      <c r="E410" s="169" t="s">
        <v>5730</v>
      </c>
      <c r="F410" s="169" t="s">
        <v>5945</v>
      </c>
      <c r="G410" s="162">
        <v>45558.0</v>
      </c>
      <c r="H410" s="162">
        <v>45559.0</v>
      </c>
      <c r="I410" s="163" t="s">
        <v>25</v>
      </c>
      <c r="J410" s="163" t="s">
        <v>37</v>
      </c>
      <c r="K410" s="163" t="s">
        <v>31</v>
      </c>
      <c r="L410" s="161" t="s">
        <v>62</v>
      </c>
      <c r="M410" s="174"/>
      <c r="N410" s="16" t="s">
        <v>5135</v>
      </c>
      <c r="O410" s="16"/>
      <c r="P410" s="16"/>
      <c r="Q410" s="17"/>
      <c r="R410" s="17"/>
      <c r="S410" s="17"/>
      <c r="T410" s="17"/>
      <c r="U410" s="17"/>
      <c r="V410" s="17"/>
      <c r="W410" s="17"/>
      <c r="X410" s="17"/>
      <c r="Y410" s="17"/>
    </row>
    <row r="411" ht="18.75" customHeight="1">
      <c r="A411" s="9">
        <v>410.0</v>
      </c>
      <c r="B411" s="161" t="s">
        <v>5946</v>
      </c>
      <c r="C411" s="169" t="s">
        <v>5947</v>
      </c>
      <c r="D411" s="169" t="s">
        <v>42</v>
      </c>
      <c r="E411" s="169" t="s">
        <v>5948</v>
      </c>
      <c r="F411" s="169" t="s">
        <v>5949</v>
      </c>
      <c r="G411" s="162">
        <v>45552.0</v>
      </c>
      <c r="H411" s="162">
        <v>45553.0</v>
      </c>
      <c r="I411" s="163" t="s">
        <v>251</v>
      </c>
      <c r="J411" s="163" t="s">
        <v>213</v>
      </c>
      <c r="K411" s="163" t="s">
        <v>31</v>
      </c>
      <c r="L411" s="165"/>
      <c r="M411" s="161"/>
      <c r="N411" s="16" t="s">
        <v>5135</v>
      </c>
      <c r="O411" s="16"/>
      <c r="P411" s="16"/>
      <c r="Q411" s="17"/>
      <c r="R411" s="17"/>
      <c r="S411" s="17"/>
      <c r="T411" s="17"/>
      <c r="U411" s="17"/>
      <c r="V411" s="17"/>
      <c r="W411" s="17"/>
      <c r="X411" s="17"/>
      <c r="Y411" s="17"/>
    </row>
    <row r="412" ht="18.75" customHeight="1">
      <c r="A412" s="9">
        <v>411.0</v>
      </c>
      <c r="B412" s="161" t="s">
        <v>2576</v>
      </c>
      <c r="C412" s="169" t="s">
        <v>5950</v>
      </c>
      <c r="D412" s="169" t="s">
        <v>1976</v>
      </c>
      <c r="E412" s="169" t="s">
        <v>5777</v>
      </c>
      <c r="F412" s="169" t="s">
        <v>5951</v>
      </c>
      <c r="G412" s="162">
        <v>45555.0</v>
      </c>
      <c r="H412" s="162">
        <v>45556.0</v>
      </c>
      <c r="I412" s="163" t="s">
        <v>25</v>
      </c>
      <c r="J412" s="163" t="s">
        <v>37</v>
      </c>
      <c r="K412" s="163" t="s">
        <v>31</v>
      </c>
      <c r="L412" s="161" t="s">
        <v>74</v>
      </c>
      <c r="M412" s="174"/>
      <c r="N412" s="16" t="s">
        <v>5135</v>
      </c>
      <c r="O412" s="16"/>
      <c r="P412" s="16"/>
      <c r="Q412" s="17"/>
      <c r="R412" s="17"/>
      <c r="S412" s="17"/>
      <c r="T412" s="17"/>
      <c r="U412" s="17"/>
      <c r="V412" s="17"/>
      <c r="W412" s="17"/>
      <c r="X412" s="17"/>
      <c r="Y412" s="17"/>
    </row>
    <row r="413" ht="18.75" customHeight="1">
      <c r="A413" s="9">
        <v>412.0</v>
      </c>
      <c r="B413" s="161" t="s">
        <v>2579</v>
      </c>
      <c r="C413" s="169" t="s">
        <v>5952</v>
      </c>
      <c r="D413" s="169" t="s">
        <v>42</v>
      </c>
      <c r="E413" s="169" t="s">
        <v>538</v>
      </c>
      <c r="F413" s="169" t="s">
        <v>5953</v>
      </c>
      <c r="G413" s="162">
        <v>45540.0</v>
      </c>
      <c r="H413" s="162">
        <v>45541.0</v>
      </c>
      <c r="I413" s="163" t="s">
        <v>119</v>
      </c>
      <c r="J413" s="163" t="s">
        <v>213</v>
      </c>
      <c r="K413" s="163" t="s">
        <v>31</v>
      </c>
      <c r="L413" s="165"/>
      <c r="M413" s="174"/>
      <c r="N413" s="16" t="s">
        <v>5135</v>
      </c>
      <c r="O413" s="16"/>
      <c r="P413" s="16"/>
      <c r="Q413" s="17"/>
      <c r="R413" s="17"/>
      <c r="S413" s="17"/>
      <c r="T413" s="17"/>
      <c r="U413" s="17"/>
      <c r="V413" s="17"/>
      <c r="W413" s="17"/>
      <c r="X413" s="17"/>
      <c r="Y413" s="17"/>
    </row>
    <row r="414" ht="18.75" customHeight="1">
      <c r="A414" s="9">
        <v>413.0</v>
      </c>
      <c r="B414" s="161" t="s">
        <v>2586</v>
      </c>
      <c r="C414" s="169" t="s">
        <v>5954</v>
      </c>
      <c r="D414" s="169" t="s">
        <v>122</v>
      </c>
      <c r="E414" s="169" t="s">
        <v>5955</v>
      </c>
      <c r="F414" s="169" t="s">
        <v>5956</v>
      </c>
      <c r="G414" s="162">
        <v>45535.0</v>
      </c>
      <c r="H414" s="162">
        <v>45536.0</v>
      </c>
      <c r="I414" s="163" t="s">
        <v>119</v>
      </c>
      <c r="J414" s="163" t="s">
        <v>213</v>
      </c>
      <c r="K414" s="163" t="s">
        <v>31</v>
      </c>
      <c r="L414" s="165"/>
      <c r="M414" s="174"/>
      <c r="N414" s="16" t="s">
        <v>5135</v>
      </c>
      <c r="O414" s="16"/>
      <c r="P414" s="16"/>
      <c r="Q414" s="17"/>
      <c r="R414" s="17"/>
      <c r="S414" s="17"/>
      <c r="T414" s="17"/>
      <c r="U414" s="17"/>
      <c r="V414" s="17"/>
      <c r="W414" s="17"/>
      <c r="X414" s="17"/>
      <c r="Y414" s="17"/>
    </row>
    <row r="415" ht="18.75" customHeight="1">
      <c r="A415" s="9">
        <v>414.0</v>
      </c>
      <c r="B415" s="161" t="s">
        <v>2589</v>
      </c>
      <c r="C415" s="169" t="s">
        <v>5957</v>
      </c>
      <c r="D415" s="169" t="s">
        <v>128</v>
      </c>
      <c r="E415" s="169" t="s">
        <v>134</v>
      </c>
      <c r="F415" s="169" t="s">
        <v>5958</v>
      </c>
      <c r="G415" s="162">
        <v>45535.0</v>
      </c>
      <c r="H415" s="162">
        <v>45536.0</v>
      </c>
      <c r="I415" s="163" t="s">
        <v>119</v>
      </c>
      <c r="J415" s="163" t="s">
        <v>213</v>
      </c>
      <c r="K415" s="163" t="s">
        <v>31</v>
      </c>
      <c r="L415" s="165"/>
      <c r="M415" s="174"/>
      <c r="N415" s="16" t="s">
        <v>5135</v>
      </c>
      <c r="O415" s="16"/>
      <c r="P415" s="16"/>
      <c r="Q415" s="17"/>
      <c r="R415" s="17"/>
      <c r="S415" s="17"/>
      <c r="T415" s="17"/>
      <c r="U415" s="17"/>
      <c r="V415" s="17"/>
      <c r="W415" s="17"/>
      <c r="X415" s="17"/>
      <c r="Y415" s="17"/>
    </row>
    <row r="416" ht="18.75" customHeight="1">
      <c r="A416" s="9">
        <v>415.0</v>
      </c>
      <c r="B416" s="161" t="s">
        <v>2591</v>
      </c>
      <c r="C416" s="169" t="s">
        <v>5959</v>
      </c>
      <c r="D416" s="169" t="s">
        <v>128</v>
      </c>
      <c r="E416" s="169" t="s">
        <v>134</v>
      </c>
      <c r="F416" s="169" t="s">
        <v>5960</v>
      </c>
      <c r="G416" s="162">
        <v>45535.0</v>
      </c>
      <c r="H416" s="162">
        <v>45536.0</v>
      </c>
      <c r="I416" s="163" t="s">
        <v>119</v>
      </c>
      <c r="J416" s="163" t="s">
        <v>213</v>
      </c>
      <c r="K416" s="163" t="s">
        <v>31</v>
      </c>
      <c r="L416" s="165"/>
      <c r="M416" s="174"/>
      <c r="N416" s="16" t="s">
        <v>5135</v>
      </c>
      <c r="O416" s="16"/>
      <c r="P416" s="16"/>
      <c r="Q416" s="17"/>
      <c r="R416" s="17"/>
      <c r="S416" s="17"/>
      <c r="T416" s="17"/>
      <c r="U416" s="17"/>
      <c r="V416" s="17"/>
      <c r="W416" s="17"/>
      <c r="X416" s="17"/>
      <c r="Y416" s="17"/>
    </row>
    <row r="417" ht="18.75" customHeight="1">
      <c r="A417" s="9">
        <v>416.0</v>
      </c>
      <c r="B417" s="161" t="s">
        <v>2593</v>
      </c>
      <c r="C417" s="169" t="s">
        <v>5961</v>
      </c>
      <c r="D417" s="169" t="s">
        <v>128</v>
      </c>
      <c r="E417" s="169" t="s">
        <v>415</v>
      </c>
      <c r="F417" s="169" t="s">
        <v>5962</v>
      </c>
      <c r="G417" s="162">
        <v>45535.0</v>
      </c>
      <c r="H417" s="162">
        <v>45536.0</v>
      </c>
      <c r="I417" s="163" t="s">
        <v>119</v>
      </c>
      <c r="J417" s="163" t="s">
        <v>213</v>
      </c>
      <c r="K417" s="163" t="s">
        <v>31</v>
      </c>
      <c r="L417" s="165"/>
      <c r="M417" s="174"/>
      <c r="N417" s="16" t="s">
        <v>5135</v>
      </c>
      <c r="O417" s="16"/>
      <c r="P417" s="16"/>
      <c r="Q417" s="17"/>
      <c r="R417" s="17"/>
      <c r="S417" s="17"/>
      <c r="T417" s="17"/>
      <c r="U417" s="17"/>
      <c r="V417" s="17"/>
      <c r="W417" s="17"/>
      <c r="X417" s="17"/>
      <c r="Y417" s="17"/>
    </row>
    <row r="418" ht="18.75" customHeight="1">
      <c r="A418" s="9">
        <v>417.0</v>
      </c>
      <c r="B418" s="161" t="s">
        <v>2194</v>
      </c>
      <c r="C418" s="169" t="s">
        <v>2195</v>
      </c>
      <c r="D418" s="169" t="s">
        <v>231</v>
      </c>
      <c r="E418" s="169" t="s">
        <v>2196</v>
      </c>
      <c r="F418" s="169" t="s">
        <v>5963</v>
      </c>
      <c r="G418" s="162">
        <v>45565.0</v>
      </c>
      <c r="H418" s="162">
        <v>45566.0</v>
      </c>
      <c r="I418" s="163" t="s">
        <v>25</v>
      </c>
      <c r="J418" s="163" t="s">
        <v>37</v>
      </c>
      <c r="K418" s="163" t="s">
        <v>31</v>
      </c>
      <c r="L418" s="165"/>
      <c r="M418" s="161"/>
      <c r="N418" s="16" t="s">
        <v>5135</v>
      </c>
      <c r="O418" s="16"/>
      <c r="P418" s="16"/>
      <c r="Q418" s="17"/>
      <c r="R418" s="17"/>
      <c r="S418" s="17"/>
      <c r="T418" s="17"/>
      <c r="U418" s="17"/>
      <c r="V418" s="17"/>
      <c r="W418" s="17"/>
      <c r="X418" s="17"/>
      <c r="Y418" s="17"/>
    </row>
    <row r="419" ht="18.75" customHeight="1">
      <c r="A419" s="9">
        <v>418.0</v>
      </c>
      <c r="B419" s="161" t="s">
        <v>2202</v>
      </c>
      <c r="C419" s="169" t="s">
        <v>2203</v>
      </c>
      <c r="D419" s="169" t="s">
        <v>697</v>
      </c>
      <c r="E419" s="169" t="s">
        <v>2204</v>
      </c>
      <c r="F419" s="169" t="s">
        <v>5964</v>
      </c>
      <c r="G419" s="162">
        <v>45565.0</v>
      </c>
      <c r="H419" s="162">
        <v>45566.0</v>
      </c>
      <c r="I419" s="163" t="s">
        <v>25</v>
      </c>
      <c r="J419" s="163" t="s">
        <v>37</v>
      </c>
      <c r="K419" s="163" t="s">
        <v>31</v>
      </c>
      <c r="L419" s="165"/>
      <c r="M419" s="161"/>
      <c r="N419" s="16" t="s">
        <v>5135</v>
      </c>
      <c r="O419" s="16"/>
      <c r="P419" s="16"/>
      <c r="Q419" s="17"/>
      <c r="R419" s="17"/>
      <c r="S419" s="17"/>
      <c r="T419" s="17"/>
      <c r="U419" s="17"/>
      <c r="V419" s="17"/>
      <c r="W419" s="17"/>
      <c r="X419" s="17"/>
      <c r="Y419" s="17"/>
    </row>
    <row r="420" ht="18.75" customHeight="1">
      <c r="A420" s="9">
        <v>419.0</v>
      </c>
      <c r="B420" s="161" t="s">
        <v>2163</v>
      </c>
      <c r="C420" s="169" t="s">
        <v>5965</v>
      </c>
      <c r="D420" s="169" t="s">
        <v>328</v>
      </c>
      <c r="E420" s="169" t="s">
        <v>2165</v>
      </c>
      <c r="F420" s="169" t="s">
        <v>5966</v>
      </c>
      <c r="G420" s="162">
        <v>45565.0</v>
      </c>
      <c r="H420" s="162">
        <v>45566.0</v>
      </c>
      <c r="I420" s="163" t="s">
        <v>25</v>
      </c>
      <c r="J420" s="163" t="s">
        <v>37</v>
      </c>
      <c r="K420" s="163" t="s">
        <v>31</v>
      </c>
      <c r="L420" s="165"/>
      <c r="M420" s="161"/>
      <c r="N420" s="16" t="s">
        <v>5135</v>
      </c>
      <c r="O420" s="16"/>
      <c r="P420" s="16"/>
      <c r="Q420" s="17"/>
      <c r="R420" s="17"/>
      <c r="S420" s="17"/>
      <c r="T420" s="17"/>
      <c r="U420" s="17"/>
      <c r="V420" s="17"/>
      <c r="W420" s="17"/>
      <c r="X420" s="17"/>
      <c r="Y420" s="17"/>
    </row>
    <row r="421" ht="18.75" customHeight="1">
      <c r="A421" s="9">
        <v>420.0</v>
      </c>
      <c r="B421" s="161" t="s">
        <v>2206</v>
      </c>
      <c r="C421" s="169" t="s">
        <v>2207</v>
      </c>
      <c r="D421" s="169" t="s">
        <v>682</v>
      </c>
      <c r="E421" s="169" t="s">
        <v>2208</v>
      </c>
      <c r="F421" s="169" t="s">
        <v>5967</v>
      </c>
      <c r="G421" s="162">
        <v>45565.0</v>
      </c>
      <c r="H421" s="162">
        <v>45566.0</v>
      </c>
      <c r="I421" s="163" t="s">
        <v>25</v>
      </c>
      <c r="J421" s="163" t="s">
        <v>37</v>
      </c>
      <c r="K421" s="163" t="s">
        <v>31</v>
      </c>
      <c r="L421" s="165"/>
      <c r="M421" s="161"/>
      <c r="N421" s="16" t="s">
        <v>5135</v>
      </c>
      <c r="O421" s="16"/>
      <c r="P421" s="16"/>
      <c r="Q421" s="17"/>
      <c r="R421" s="17"/>
      <c r="S421" s="17"/>
      <c r="T421" s="17"/>
      <c r="U421" s="17"/>
      <c r="V421" s="17"/>
      <c r="W421" s="17"/>
      <c r="X421" s="17"/>
      <c r="Y421" s="17"/>
    </row>
    <row r="422" ht="18.75" customHeight="1">
      <c r="A422" s="9">
        <v>421.0</v>
      </c>
      <c r="B422" s="161" t="s">
        <v>2198</v>
      </c>
      <c r="C422" s="169" t="s">
        <v>2199</v>
      </c>
      <c r="D422" s="169" t="s">
        <v>2200</v>
      </c>
      <c r="E422" s="169" t="s">
        <v>5805</v>
      </c>
      <c r="F422" s="177" t="s">
        <v>5968</v>
      </c>
      <c r="G422" s="162">
        <v>45565.0</v>
      </c>
      <c r="H422" s="162">
        <v>45566.0</v>
      </c>
      <c r="I422" s="163" t="s">
        <v>25</v>
      </c>
      <c r="J422" s="163" t="s">
        <v>37</v>
      </c>
      <c r="K422" s="163" t="s">
        <v>31</v>
      </c>
      <c r="L422" s="165"/>
      <c r="M422" s="161"/>
      <c r="N422" s="16" t="s">
        <v>5135</v>
      </c>
      <c r="O422" s="16"/>
      <c r="P422" s="16"/>
      <c r="Q422" s="17"/>
      <c r="R422" s="17"/>
      <c r="S422" s="17"/>
      <c r="T422" s="17"/>
      <c r="U422" s="17"/>
      <c r="V422" s="17"/>
      <c r="W422" s="17"/>
      <c r="X422" s="17"/>
      <c r="Y422" s="17"/>
    </row>
    <row r="423" ht="18.75" customHeight="1">
      <c r="A423" s="9">
        <v>422.0</v>
      </c>
      <c r="B423" s="166" t="s">
        <v>2210</v>
      </c>
      <c r="C423" s="170" t="s">
        <v>5969</v>
      </c>
      <c r="D423" s="170" t="s">
        <v>711</v>
      </c>
      <c r="E423" s="170" t="s">
        <v>2212</v>
      </c>
      <c r="F423" s="170" t="s">
        <v>5970</v>
      </c>
      <c r="G423" s="162">
        <v>45565.0</v>
      </c>
      <c r="H423" s="162">
        <v>45566.0</v>
      </c>
      <c r="I423" s="163" t="s">
        <v>21</v>
      </c>
      <c r="J423" s="163" t="s">
        <v>37</v>
      </c>
      <c r="K423" s="163" t="s">
        <v>531</v>
      </c>
      <c r="L423" s="165"/>
      <c r="M423" s="174"/>
      <c r="N423" s="16"/>
      <c r="O423" s="16"/>
      <c r="P423" s="16"/>
      <c r="Q423" s="17"/>
      <c r="R423" s="17"/>
      <c r="S423" s="17"/>
      <c r="T423" s="17"/>
      <c r="U423" s="17"/>
      <c r="V423" s="17"/>
      <c r="W423" s="17"/>
      <c r="X423" s="17"/>
      <c r="Y423" s="17"/>
    </row>
    <row r="424" ht="18.75" customHeight="1">
      <c r="A424" s="9">
        <v>423.0</v>
      </c>
      <c r="B424" s="161" t="s">
        <v>5971</v>
      </c>
      <c r="C424" s="169" t="s">
        <v>2215</v>
      </c>
      <c r="D424" s="169" t="s">
        <v>1286</v>
      </c>
      <c r="E424" s="169" t="s">
        <v>2216</v>
      </c>
      <c r="F424" s="169" t="s">
        <v>5972</v>
      </c>
      <c r="G424" s="162">
        <v>45565.0</v>
      </c>
      <c r="H424" s="162">
        <v>45566.0</v>
      </c>
      <c r="I424" s="163" t="s">
        <v>25</v>
      </c>
      <c r="J424" s="163" t="s">
        <v>37</v>
      </c>
      <c r="K424" s="163" t="s">
        <v>31</v>
      </c>
      <c r="L424" s="165"/>
      <c r="M424" s="161"/>
      <c r="N424" s="16" t="s">
        <v>5135</v>
      </c>
      <c r="O424" s="16"/>
      <c r="P424" s="16"/>
      <c r="Q424" s="17"/>
      <c r="R424" s="17"/>
      <c r="S424" s="17"/>
      <c r="T424" s="17"/>
      <c r="U424" s="17"/>
      <c r="V424" s="17"/>
      <c r="W424" s="17"/>
      <c r="X424" s="17"/>
      <c r="Y424" s="17"/>
    </row>
    <row r="425" ht="18.75" customHeight="1">
      <c r="A425" s="9">
        <v>424.0</v>
      </c>
      <c r="B425" s="161" t="s">
        <v>2218</v>
      </c>
      <c r="C425" s="169" t="s">
        <v>2219</v>
      </c>
      <c r="D425" s="169" t="s">
        <v>65</v>
      </c>
      <c r="E425" s="169" t="s">
        <v>2220</v>
      </c>
      <c r="F425" s="169" t="s">
        <v>5973</v>
      </c>
      <c r="G425" s="162">
        <v>45571.0</v>
      </c>
      <c r="H425" s="162">
        <v>45572.0</v>
      </c>
      <c r="I425" s="163" t="s">
        <v>25</v>
      </c>
      <c r="J425" s="163" t="s">
        <v>37</v>
      </c>
      <c r="K425" s="163" t="s">
        <v>31</v>
      </c>
      <c r="L425" s="165"/>
      <c r="M425" s="161"/>
      <c r="N425" s="16" t="s">
        <v>5135</v>
      </c>
      <c r="O425" s="16"/>
      <c r="P425" s="16"/>
      <c r="Q425" s="17"/>
      <c r="R425" s="17"/>
      <c r="S425" s="17"/>
      <c r="T425" s="17"/>
      <c r="U425" s="17"/>
      <c r="V425" s="17"/>
      <c r="W425" s="17"/>
      <c r="X425" s="17"/>
      <c r="Y425" s="17"/>
    </row>
    <row r="426" ht="18.75" customHeight="1">
      <c r="A426" s="9">
        <v>425.0</v>
      </c>
      <c r="B426" s="161" t="s">
        <v>2226</v>
      </c>
      <c r="C426" s="169" t="s">
        <v>5974</v>
      </c>
      <c r="D426" s="169" t="s">
        <v>173</v>
      </c>
      <c r="E426" s="169" t="s">
        <v>5975</v>
      </c>
      <c r="F426" s="169" t="s">
        <v>5976</v>
      </c>
      <c r="G426" s="162">
        <v>45565.0</v>
      </c>
      <c r="H426" s="162">
        <v>45566.0</v>
      </c>
      <c r="I426" s="163" t="s">
        <v>25</v>
      </c>
      <c r="J426" s="163" t="s">
        <v>37</v>
      </c>
      <c r="K426" s="163" t="s">
        <v>31</v>
      </c>
      <c r="L426" s="161" t="s">
        <v>62</v>
      </c>
      <c r="M426" s="174"/>
      <c r="N426" s="16" t="s">
        <v>5135</v>
      </c>
      <c r="O426" s="16"/>
      <c r="P426" s="16"/>
      <c r="Q426" s="17"/>
      <c r="R426" s="17"/>
      <c r="S426" s="17"/>
      <c r="T426" s="17"/>
      <c r="U426" s="17"/>
      <c r="V426" s="17"/>
      <c r="W426" s="17"/>
      <c r="X426" s="17"/>
      <c r="Y426" s="17"/>
    </row>
    <row r="427" ht="18.75" customHeight="1">
      <c r="A427" s="9">
        <v>426.0</v>
      </c>
      <c r="B427" s="161" t="s">
        <v>2230</v>
      </c>
      <c r="C427" s="169" t="s">
        <v>5977</v>
      </c>
      <c r="D427" s="169" t="s">
        <v>328</v>
      </c>
      <c r="E427" s="169" t="s">
        <v>5978</v>
      </c>
      <c r="F427" s="169" t="s">
        <v>5979</v>
      </c>
      <c r="G427" s="162">
        <v>45565.0</v>
      </c>
      <c r="H427" s="162">
        <v>45566.0</v>
      </c>
      <c r="I427" s="163" t="s">
        <v>25</v>
      </c>
      <c r="J427" s="163" t="s">
        <v>37</v>
      </c>
      <c r="K427" s="163" t="s">
        <v>31</v>
      </c>
      <c r="L427" s="161" t="s">
        <v>62</v>
      </c>
      <c r="M427" s="174"/>
      <c r="N427" s="16" t="s">
        <v>5135</v>
      </c>
      <c r="O427" s="16"/>
      <c r="P427" s="16"/>
      <c r="Q427" s="17"/>
      <c r="R427" s="17"/>
      <c r="S427" s="17"/>
      <c r="T427" s="17"/>
      <c r="U427" s="17"/>
      <c r="V427" s="17"/>
      <c r="W427" s="17"/>
      <c r="X427" s="17"/>
      <c r="Y427" s="17"/>
    </row>
    <row r="428" ht="18.75" customHeight="1">
      <c r="A428" s="9">
        <v>427.0</v>
      </c>
      <c r="B428" s="161" t="s">
        <v>5980</v>
      </c>
      <c r="C428" s="169" t="s">
        <v>2242</v>
      </c>
      <c r="D428" s="169" t="s">
        <v>5981</v>
      </c>
      <c r="E428" s="169" t="s">
        <v>2244</v>
      </c>
      <c r="F428" s="169" t="s">
        <v>5982</v>
      </c>
      <c r="G428" s="162">
        <v>45565.0</v>
      </c>
      <c r="H428" s="162">
        <v>45566.0</v>
      </c>
      <c r="I428" s="163" t="s">
        <v>25</v>
      </c>
      <c r="J428" s="163" t="s">
        <v>37</v>
      </c>
      <c r="K428" s="163" t="s">
        <v>31</v>
      </c>
      <c r="L428" s="161" t="s">
        <v>62</v>
      </c>
      <c r="M428" s="174"/>
      <c r="N428" s="16" t="s">
        <v>5135</v>
      </c>
      <c r="O428" s="16"/>
      <c r="P428" s="16"/>
      <c r="Q428" s="17"/>
      <c r="R428" s="17"/>
      <c r="S428" s="17"/>
      <c r="T428" s="17"/>
      <c r="U428" s="17"/>
      <c r="V428" s="17"/>
      <c r="W428" s="17"/>
      <c r="X428" s="17"/>
      <c r="Y428" s="17"/>
    </row>
    <row r="429" ht="18.75" customHeight="1">
      <c r="A429" s="9">
        <v>428.0</v>
      </c>
      <c r="B429" s="161" t="s">
        <v>2249</v>
      </c>
      <c r="C429" s="169" t="s">
        <v>2250</v>
      </c>
      <c r="D429" s="169" t="s">
        <v>481</v>
      </c>
      <c r="E429" s="169" t="s">
        <v>2251</v>
      </c>
      <c r="F429" s="169" t="s">
        <v>5983</v>
      </c>
      <c r="G429" s="162">
        <v>45565.0</v>
      </c>
      <c r="H429" s="162">
        <v>45566.0</v>
      </c>
      <c r="I429" s="163" t="s">
        <v>25</v>
      </c>
      <c r="J429" s="163" t="s">
        <v>37</v>
      </c>
      <c r="K429" s="163" t="s">
        <v>31</v>
      </c>
      <c r="L429" s="165"/>
      <c r="M429" s="161"/>
      <c r="N429" s="16" t="s">
        <v>5135</v>
      </c>
      <c r="O429" s="16"/>
      <c r="P429" s="16"/>
      <c r="Q429" s="17"/>
      <c r="R429" s="17"/>
      <c r="S429" s="17"/>
      <c r="T429" s="17"/>
      <c r="U429" s="17"/>
      <c r="V429" s="17"/>
      <c r="W429" s="17"/>
      <c r="X429" s="17"/>
      <c r="Y429" s="17"/>
    </row>
    <row r="430" ht="18.75" customHeight="1">
      <c r="A430" s="9">
        <v>429.0</v>
      </c>
      <c r="B430" s="161" t="s">
        <v>2253</v>
      </c>
      <c r="C430" s="169" t="s">
        <v>2254</v>
      </c>
      <c r="D430" s="169" t="s">
        <v>173</v>
      </c>
      <c r="E430" s="169" t="s">
        <v>2220</v>
      </c>
      <c r="F430" s="169" t="s">
        <v>5984</v>
      </c>
      <c r="G430" s="162">
        <v>45570.0</v>
      </c>
      <c r="H430" s="162">
        <v>45571.0</v>
      </c>
      <c r="I430" s="163" t="s">
        <v>25</v>
      </c>
      <c r="J430" s="163" t="s">
        <v>37</v>
      </c>
      <c r="K430" s="163" t="s">
        <v>31</v>
      </c>
      <c r="L430" s="161" t="s">
        <v>62</v>
      </c>
      <c r="M430" s="174"/>
      <c r="N430" s="16" t="s">
        <v>5135</v>
      </c>
      <c r="O430" s="16"/>
      <c r="P430" s="16"/>
      <c r="Q430" s="17"/>
      <c r="R430" s="17"/>
      <c r="S430" s="17"/>
      <c r="T430" s="17"/>
      <c r="U430" s="17"/>
      <c r="V430" s="17"/>
      <c r="W430" s="17"/>
      <c r="X430" s="17"/>
      <c r="Y430" s="17"/>
    </row>
    <row r="431" ht="18.75" customHeight="1">
      <c r="A431" s="9">
        <v>430.0</v>
      </c>
      <c r="B431" s="161" t="s">
        <v>2256</v>
      </c>
      <c r="C431" s="169" t="s">
        <v>2257</v>
      </c>
      <c r="D431" s="169" t="s">
        <v>28</v>
      </c>
      <c r="E431" s="169" t="s">
        <v>2258</v>
      </c>
      <c r="F431" s="169" t="s">
        <v>5985</v>
      </c>
      <c r="G431" s="162">
        <v>45574.0</v>
      </c>
      <c r="H431" s="162">
        <v>45575.0</v>
      </c>
      <c r="I431" s="163" t="s">
        <v>25</v>
      </c>
      <c r="J431" s="163" t="s">
        <v>37</v>
      </c>
      <c r="K431" s="163" t="s">
        <v>31</v>
      </c>
      <c r="L431" s="161" t="s">
        <v>62</v>
      </c>
      <c r="M431" s="174"/>
      <c r="N431" s="16" t="s">
        <v>5135</v>
      </c>
      <c r="O431" s="16"/>
      <c r="P431" s="16"/>
      <c r="Q431" s="17"/>
      <c r="R431" s="17"/>
      <c r="S431" s="17"/>
      <c r="T431" s="17"/>
      <c r="U431" s="17"/>
      <c r="V431" s="17"/>
      <c r="W431" s="17"/>
      <c r="X431" s="17"/>
      <c r="Y431" s="17"/>
    </row>
    <row r="432" ht="18.75" customHeight="1">
      <c r="A432" s="9">
        <v>431.0</v>
      </c>
      <c r="B432" s="161" t="s">
        <v>2260</v>
      </c>
      <c r="C432" s="169" t="s">
        <v>2261</v>
      </c>
      <c r="D432" s="169" t="s">
        <v>173</v>
      </c>
      <c r="E432" s="169" t="s">
        <v>702</v>
      </c>
      <c r="F432" s="169" t="s">
        <v>5986</v>
      </c>
      <c r="G432" s="162">
        <v>45574.0</v>
      </c>
      <c r="H432" s="162">
        <v>45575.0</v>
      </c>
      <c r="I432" s="163" t="s">
        <v>25</v>
      </c>
      <c r="J432" s="163" t="s">
        <v>37</v>
      </c>
      <c r="K432" s="163" t="s">
        <v>31</v>
      </c>
      <c r="L432" s="161" t="s">
        <v>62</v>
      </c>
      <c r="M432" s="174"/>
      <c r="N432" s="16" t="s">
        <v>5135</v>
      </c>
      <c r="O432" s="16"/>
      <c r="P432" s="16"/>
      <c r="Q432" s="17"/>
      <c r="R432" s="17"/>
      <c r="S432" s="17"/>
      <c r="T432" s="17"/>
      <c r="U432" s="17"/>
      <c r="V432" s="17"/>
      <c r="W432" s="17"/>
      <c r="X432" s="17"/>
      <c r="Y432" s="17"/>
    </row>
    <row r="433" ht="18.75" customHeight="1">
      <c r="A433" s="9">
        <v>432.0</v>
      </c>
      <c r="B433" s="161" t="s">
        <v>2263</v>
      </c>
      <c r="C433" s="169" t="s">
        <v>5987</v>
      </c>
      <c r="D433" s="169" t="s">
        <v>116</v>
      </c>
      <c r="E433" s="169" t="s">
        <v>2265</v>
      </c>
      <c r="F433" s="169" t="s">
        <v>5988</v>
      </c>
      <c r="G433" s="162">
        <v>45565.0</v>
      </c>
      <c r="H433" s="162">
        <v>45566.0</v>
      </c>
      <c r="I433" s="163" t="s">
        <v>25</v>
      </c>
      <c r="J433" s="163" t="s">
        <v>37</v>
      </c>
      <c r="K433" s="163" t="s">
        <v>31</v>
      </c>
      <c r="L433" s="161" t="s">
        <v>62</v>
      </c>
      <c r="M433" s="174"/>
      <c r="N433" s="16" t="s">
        <v>5135</v>
      </c>
      <c r="O433" s="16"/>
      <c r="P433" s="16"/>
      <c r="Q433" s="17"/>
      <c r="R433" s="17"/>
      <c r="S433" s="17"/>
      <c r="T433" s="17"/>
      <c r="U433" s="17"/>
      <c r="V433" s="17"/>
      <c r="W433" s="17"/>
      <c r="X433" s="17"/>
      <c r="Y433" s="17"/>
    </row>
    <row r="434" ht="18.75" customHeight="1">
      <c r="A434" s="9">
        <v>433.0</v>
      </c>
      <c r="B434" s="161" t="s">
        <v>2246</v>
      </c>
      <c r="C434" s="169" t="s">
        <v>2247</v>
      </c>
      <c r="D434" s="169" t="s">
        <v>116</v>
      </c>
      <c r="E434" s="169" t="s">
        <v>2149</v>
      </c>
      <c r="F434" s="169" t="s">
        <v>5989</v>
      </c>
      <c r="G434" s="162">
        <v>45565.0</v>
      </c>
      <c r="H434" s="162">
        <v>45566.0</v>
      </c>
      <c r="I434" s="163" t="s">
        <v>25</v>
      </c>
      <c r="J434" s="163" t="s">
        <v>37</v>
      </c>
      <c r="K434" s="163" t="s">
        <v>31</v>
      </c>
      <c r="L434" s="165"/>
      <c r="M434" s="161"/>
      <c r="N434" s="16" t="s">
        <v>5135</v>
      </c>
      <c r="O434" s="16"/>
      <c r="P434" s="16"/>
      <c r="Q434" s="17"/>
      <c r="R434" s="17"/>
      <c r="S434" s="17"/>
      <c r="T434" s="17"/>
      <c r="U434" s="17"/>
      <c r="V434" s="17"/>
      <c r="W434" s="17"/>
      <c r="X434" s="17"/>
      <c r="Y434" s="17"/>
    </row>
    <row r="435" ht="18.75" customHeight="1">
      <c r="A435" s="9">
        <v>434.0</v>
      </c>
      <c r="B435" s="161" t="s">
        <v>2267</v>
      </c>
      <c r="C435" s="169" t="s">
        <v>2268</v>
      </c>
      <c r="D435" s="169" t="s">
        <v>682</v>
      </c>
      <c r="E435" s="169" t="s">
        <v>2269</v>
      </c>
      <c r="F435" s="169" t="s">
        <v>5990</v>
      </c>
      <c r="G435" s="162">
        <v>45588.0</v>
      </c>
      <c r="H435" s="162">
        <v>45589.0</v>
      </c>
      <c r="I435" s="163" t="s">
        <v>25</v>
      </c>
      <c r="J435" s="163" t="s">
        <v>37</v>
      </c>
      <c r="K435" s="163" t="s">
        <v>31</v>
      </c>
      <c r="L435" s="165"/>
      <c r="M435" s="161"/>
      <c r="N435" s="16" t="s">
        <v>5135</v>
      </c>
      <c r="O435" s="16"/>
      <c r="P435" s="16"/>
      <c r="Q435" s="17"/>
      <c r="R435" s="17"/>
      <c r="S435" s="17"/>
      <c r="T435" s="17"/>
      <c r="U435" s="17"/>
      <c r="V435" s="17"/>
      <c r="W435" s="17"/>
      <c r="X435" s="17"/>
      <c r="Y435" s="17"/>
    </row>
    <row r="436" ht="18.75" customHeight="1">
      <c r="A436" s="9">
        <v>435.0</v>
      </c>
      <c r="B436" s="161" t="s">
        <v>2271</v>
      </c>
      <c r="C436" s="169" t="s">
        <v>5991</v>
      </c>
      <c r="D436" s="169" t="s">
        <v>444</v>
      </c>
      <c r="E436" s="169" t="s">
        <v>5992</v>
      </c>
      <c r="F436" s="169" t="s">
        <v>5993</v>
      </c>
      <c r="G436" s="162">
        <v>45565.0</v>
      </c>
      <c r="H436" s="162">
        <v>45566.0</v>
      </c>
      <c r="I436" s="163" t="s">
        <v>25</v>
      </c>
      <c r="J436" s="163" t="s">
        <v>37</v>
      </c>
      <c r="K436" s="163" t="s">
        <v>31</v>
      </c>
      <c r="L436" s="161" t="s">
        <v>38</v>
      </c>
      <c r="M436" s="174"/>
      <c r="N436" s="16" t="s">
        <v>5135</v>
      </c>
      <c r="O436" s="16"/>
      <c r="P436" s="16"/>
      <c r="Q436" s="17"/>
      <c r="R436" s="17"/>
      <c r="S436" s="17"/>
      <c r="T436" s="17"/>
      <c r="U436" s="17"/>
      <c r="V436" s="17"/>
      <c r="W436" s="17"/>
      <c r="X436" s="17"/>
      <c r="Y436" s="17"/>
    </row>
    <row r="437" ht="18.75" customHeight="1">
      <c r="A437" s="9">
        <v>436.0</v>
      </c>
      <c r="B437" s="161" t="s">
        <v>2275</v>
      </c>
      <c r="C437" s="169" t="s">
        <v>2276</v>
      </c>
      <c r="D437" s="169" t="s">
        <v>47</v>
      </c>
      <c r="E437" s="169" t="s">
        <v>2277</v>
      </c>
      <c r="F437" s="169" t="s">
        <v>5994</v>
      </c>
      <c r="G437" s="162">
        <v>45565.0</v>
      </c>
      <c r="H437" s="162">
        <v>45566.0</v>
      </c>
      <c r="I437" s="163" t="s">
        <v>119</v>
      </c>
      <c r="J437" s="163" t="s">
        <v>37</v>
      </c>
      <c r="K437" s="163" t="s">
        <v>31</v>
      </c>
      <c r="L437" s="161" t="s">
        <v>62</v>
      </c>
      <c r="M437" s="174"/>
      <c r="N437" s="16" t="s">
        <v>5135</v>
      </c>
      <c r="O437" s="16"/>
      <c r="P437" s="16"/>
      <c r="Q437" s="17"/>
      <c r="R437" s="17"/>
      <c r="S437" s="17"/>
      <c r="T437" s="17"/>
      <c r="U437" s="17"/>
      <c r="V437" s="17"/>
      <c r="W437" s="17"/>
      <c r="X437" s="17"/>
      <c r="Y437" s="17"/>
    </row>
    <row r="438" ht="18.75" customHeight="1">
      <c r="A438" s="9">
        <v>437.0</v>
      </c>
      <c r="B438" s="161" t="s">
        <v>2282</v>
      </c>
      <c r="C438" s="169" t="s">
        <v>5995</v>
      </c>
      <c r="D438" s="169" t="s">
        <v>173</v>
      </c>
      <c r="E438" s="169" t="s">
        <v>5996</v>
      </c>
      <c r="F438" s="169" t="s">
        <v>5997</v>
      </c>
      <c r="G438" s="162">
        <v>45583.0</v>
      </c>
      <c r="H438" s="162">
        <v>45584.0</v>
      </c>
      <c r="I438" s="163" t="s">
        <v>25</v>
      </c>
      <c r="J438" s="163" t="s">
        <v>37</v>
      </c>
      <c r="K438" s="163" t="s">
        <v>31</v>
      </c>
      <c r="L438" s="161" t="s">
        <v>97</v>
      </c>
      <c r="M438" s="174"/>
      <c r="N438" s="16" t="s">
        <v>5135</v>
      </c>
      <c r="O438" s="16"/>
      <c r="P438" s="16"/>
      <c r="Q438" s="17"/>
      <c r="R438" s="17"/>
      <c r="S438" s="17"/>
      <c r="T438" s="17"/>
      <c r="U438" s="17"/>
      <c r="V438" s="17"/>
      <c r="W438" s="17"/>
      <c r="X438" s="17"/>
      <c r="Y438" s="17"/>
    </row>
    <row r="439" ht="18.75" customHeight="1">
      <c r="A439" s="9">
        <v>438.0</v>
      </c>
      <c r="B439" s="161" t="s">
        <v>2286</v>
      </c>
      <c r="C439" s="169" t="s">
        <v>5998</v>
      </c>
      <c r="D439" s="169" t="s">
        <v>481</v>
      </c>
      <c r="E439" s="169" t="s">
        <v>5999</v>
      </c>
      <c r="F439" s="169" t="s">
        <v>6000</v>
      </c>
      <c r="G439" s="162">
        <v>45587.0</v>
      </c>
      <c r="H439" s="162">
        <v>45588.0</v>
      </c>
      <c r="I439" s="163" t="s">
        <v>25</v>
      </c>
      <c r="J439" s="163" t="s">
        <v>37</v>
      </c>
      <c r="K439" s="163" t="s">
        <v>31</v>
      </c>
      <c r="L439" s="161" t="s">
        <v>74</v>
      </c>
      <c r="M439" s="174"/>
      <c r="N439" s="16" t="s">
        <v>5135</v>
      </c>
      <c r="O439" s="16"/>
      <c r="P439" s="16"/>
      <c r="Q439" s="17"/>
      <c r="R439" s="17"/>
      <c r="S439" s="17"/>
      <c r="T439" s="17"/>
      <c r="U439" s="17"/>
      <c r="V439" s="17"/>
      <c r="W439" s="17"/>
      <c r="X439" s="17"/>
      <c r="Y439" s="17"/>
    </row>
    <row r="440" ht="18.75" customHeight="1">
      <c r="A440" s="9">
        <v>439.0</v>
      </c>
      <c r="B440" s="161" t="s">
        <v>2290</v>
      </c>
      <c r="C440" s="169" t="s">
        <v>6001</v>
      </c>
      <c r="D440" s="169" t="s">
        <v>342</v>
      </c>
      <c r="E440" s="169" t="s">
        <v>2292</v>
      </c>
      <c r="F440" s="169" t="s">
        <v>6002</v>
      </c>
      <c r="G440" s="162">
        <v>45587.0</v>
      </c>
      <c r="H440" s="162">
        <v>45588.0</v>
      </c>
      <c r="I440" s="163" t="s">
        <v>25</v>
      </c>
      <c r="J440" s="163" t="s">
        <v>37</v>
      </c>
      <c r="K440" s="163" t="s">
        <v>31</v>
      </c>
      <c r="L440" s="161" t="s">
        <v>62</v>
      </c>
      <c r="M440" s="174"/>
      <c r="N440" s="16" t="s">
        <v>5135</v>
      </c>
      <c r="O440" s="16"/>
      <c r="P440" s="16"/>
      <c r="Q440" s="17"/>
      <c r="R440" s="17"/>
      <c r="S440" s="17"/>
      <c r="T440" s="17"/>
      <c r="U440" s="17"/>
      <c r="V440" s="17"/>
      <c r="W440" s="17"/>
      <c r="X440" s="17"/>
      <c r="Y440" s="17"/>
    </row>
    <row r="441" ht="18.75" customHeight="1">
      <c r="A441" s="9">
        <v>440.0</v>
      </c>
      <c r="B441" s="161" t="s">
        <v>2318</v>
      </c>
      <c r="C441" s="169" t="s">
        <v>2319</v>
      </c>
      <c r="D441" s="169" t="s">
        <v>65</v>
      </c>
      <c r="E441" s="169" t="s">
        <v>2320</v>
      </c>
      <c r="F441" s="169" t="s">
        <v>6003</v>
      </c>
      <c r="G441" s="162">
        <v>45577.0</v>
      </c>
      <c r="H441" s="162">
        <v>45578.0</v>
      </c>
      <c r="I441" s="163" t="s">
        <v>25</v>
      </c>
      <c r="J441" s="163" t="s">
        <v>37</v>
      </c>
      <c r="K441" s="163" t="s">
        <v>31</v>
      </c>
      <c r="L441" s="165"/>
      <c r="M441" s="161"/>
      <c r="N441" s="16" t="s">
        <v>5135</v>
      </c>
      <c r="O441" s="16"/>
      <c r="P441" s="16"/>
      <c r="Q441" s="17"/>
      <c r="R441" s="17"/>
      <c r="S441" s="17"/>
      <c r="T441" s="17"/>
      <c r="U441" s="17"/>
      <c r="V441" s="17"/>
      <c r="W441" s="17"/>
      <c r="X441" s="17"/>
      <c r="Y441" s="17"/>
    </row>
    <row r="442" ht="18.75" customHeight="1">
      <c r="A442" s="9">
        <v>441.0</v>
      </c>
      <c r="B442" s="161" t="s">
        <v>2322</v>
      </c>
      <c r="C442" s="169" t="s">
        <v>6004</v>
      </c>
      <c r="D442" s="169" t="s">
        <v>2305</v>
      </c>
      <c r="E442" s="169" t="s">
        <v>6005</v>
      </c>
      <c r="F442" s="169" t="s">
        <v>6006</v>
      </c>
      <c r="G442" s="162">
        <v>45580.0</v>
      </c>
      <c r="H442" s="162">
        <v>45581.0</v>
      </c>
      <c r="I442" s="163" t="s">
        <v>25</v>
      </c>
      <c r="J442" s="163" t="s">
        <v>37</v>
      </c>
      <c r="K442" s="163" t="s">
        <v>31</v>
      </c>
      <c r="L442" s="161" t="s">
        <v>62</v>
      </c>
      <c r="M442" s="174"/>
      <c r="N442" s="16" t="s">
        <v>5135</v>
      </c>
      <c r="O442" s="16"/>
      <c r="P442" s="16"/>
      <c r="Q442" s="17"/>
      <c r="R442" s="17"/>
      <c r="S442" s="17"/>
      <c r="T442" s="17"/>
      <c r="U442" s="17"/>
      <c r="V442" s="17"/>
      <c r="W442" s="17"/>
      <c r="X442" s="17"/>
      <c r="Y442" s="17"/>
    </row>
    <row r="443" ht="18.75" customHeight="1">
      <c r="A443" s="9">
        <v>442.0</v>
      </c>
      <c r="B443" s="161" t="s">
        <v>2303</v>
      </c>
      <c r="C443" s="169" t="s">
        <v>6007</v>
      </c>
      <c r="D443" s="169" t="s">
        <v>2305</v>
      </c>
      <c r="E443" s="169" t="s">
        <v>6005</v>
      </c>
      <c r="F443" s="169" t="s">
        <v>6008</v>
      </c>
      <c r="G443" s="162">
        <v>45565.0</v>
      </c>
      <c r="H443" s="162">
        <v>45566.0</v>
      </c>
      <c r="I443" s="163" t="s">
        <v>25</v>
      </c>
      <c r="J443" s="163" t="s">
        <v>37</v>
      </c>
      <c r="K443" s="163" t="s">
        <v>31</v>
      </c>
      <c r="L443" s="161" t="s">
        <v>62</v>
      </c>
      <c r="M443" s="174"/>
      <c r="N443" s="16" t="s">
        <v>5135</v>
      </c>
      <c r="O443" s="16"/>
      <c r="P443" s="16"/>
      <c r="Q443" s="17"/>
      <c r="R443" s="17"/>
      <c r="S443" s="17"/>
      <c r="T443" s="17"/>
      <c r="U443" s="17"/>
      <c r="V443" s="17"/>
      <c r="W443" s="17"/>
      <c r="X443" s="17"/>
      <c r="Y443" s="17"/>
    </row>
    <row r="444" ht="18.75" customHeight="1">
      <c r="A444" s="9">
        <v>443.0</v>
      </c>
      <c r="B444" s="161" t="s">
        <v>2308</v>
      </c>
      <c r="C444" s="169" t="s">
        <v>6009</v>
      </c>
      <c r="D444" s="169" t="s">
        <v>116</v>
      </c>
      <c r="E444" s="169" t="s">
        <v>6005</v>
      </c>
      <c r="F444" s="169" t="s">
        <v>6010</v>
      </c>
      <c r="G444" s="162">
        <v>45565.0</v>
      </c>
      <c r="H444" s="162">
        <v>45566.0</v>
      </c>
      <c r="I444" s="163" t="s">
        <v>25</v>
      </c>
      <c r="J444" s="163" t="s">
        <v>37</v>
      </c>
      <c r="K444" s="163" t="s">
        <v>31</v>
      </c>
      <c r="L444" s="161" t="s">
        <v>74</v>
      </c>
      <c r="M444" s="174"/>
      <c r="N444" s="16" t="s">
        <v>5135</v>
      </c>
      <c r="O444" s="16"/>
      <c r="P444" s="16"/>
      <c r="Q444" s="17"/>
      <c r="R444" s="17"/>
      <c r="S444" s="17"/>
      <c r="T444" s="17"/>
      <c r="U444" s="17"/>
      <c r="V444" s="17"/>
      <c r="W444" s="17"/>
      <c r="X444" s="17"/>
      <c r="Y444" s="17"/>
    </row>
    <row r="445" ht="18.75" customHeight="1">
      <c r="A445" s="9">
        <v>444.0</v>
      </c>
      <c r="B445" s="161" t="s">
        <v>2351</v>
      </c>
      <c r="C445" s="169" t="s">
        <v>6011</v>
      </c>
      <c r="D445" s="169" t="s">
        <v>380</v>
      </c>
      <c r="E445" s="169" t="s">
        <v>6012</v>
      </c>
      <c r="F445" s="169" t="s">
        <v>6013</v>
      </c>
      <c r="G445" s="162">
        <v>45568.0</v>
      </c>
      <c r="H445" s="162">
        <v>45569.0</v>
      </c>
      <c r="I445" s="163" t="s">
        <v>251</v>
      </c>
      <c r="J445" s="163" t="s">
        <v>213</v>
      </c>
      <c r="K445" s="163" t="s">
        <v>31</v>
      </c>
      <c r="L445" s="165"/>
      <c r="M445" s="161"/>
      <c r="N445" s="16" t="s">
        <v>5135</v>
      </c>
      <c r="O445" s="16"/>
      <c r="P445" s="16"/>
      <c r="Q445" s="17"/>
      <c r="R445" s="17"/>
      <c r="S445" s="17"/>
      <c r="T445" s="17"/>
      <c r="U445" s="17"/>
      <c r="V445" s="17"/>
      <c r="W445" s="17"/>
      <c r="X445" s="17"/>
      <c r="Y445" s="17"/>
    </row>
    <row r="446" ht="18.75" customHeight="1">
      <c r="A446" s="9">
        <v>445.0</v>
      </c>
      <c r="B446" s="161" t="s">
        <v>2348</v>
      </c>
      <c r="C446" s="169" t="s">
        <v>2349</v>
      </c>
      <c r="D446" s="169" t="s">
        <v>701</v>
      </c>
      <c r="E446" s="169" t="s">
        <v>6014</v>
      </c>
      <c r="F446" s="169" t="s">
        <v>6015</v>
      </c>
      <c r="G446" s="162">
        <v>45580.0</v>
      </c>
      <c r="H446" s="162">
        <v>45581.0</v>
      </c>
      <c r="I446" s="163" t="s">
        <v>119</v>
      </c>
      <c r="J446" s="163" t="s">
        <v>37</v>
      </c>
      <c r="K446" s="163" t="s">
        <v>31</v>
      </c>
      <c r="L446" s="165"/>
      <c r="M446" s="161"/>
      <c r="N446" s="16" t="s">
        <v>5135</v>
      </c>
      <c r="O446" s="16"/>
      <c r="P446" s="16"/>
      <c r="Q446" s="17"/>
      <c r="R446" s="17"/>
      <c r="S446" s="17"/>
      <c r="T446" s="17"/>
      <c r="U446" s="17"/>
      <c r="V446" s="17"/>
      <c r="W446" s="17"/>
      <c r="X446" s="17"/>
      <c r="Y446" s="17"/>
    </row>
    <row r="447" ht="18.75" customHeight="1">
      <c r="A447" s="9">
        <v>446.0</v>
      </c>
      <c r="B447" s="161" t="s">
        <v>2372</v>
      </c>
      <c r="C447" s="169" t="s">
        <v>6016</v>
      </c>
      <c r="D447" s="169" t="s">
        <v>476</v>
      </c>
      <c r="E447" s="169" t="s">
        <v>139</v>
      </c>
      <c r="F447" s="169" t="s">
        <v>6017</v>
      </c>
      <c r="G447" s="162">
        <v>45590.0</v>
      </c>
      <c r="H447" s="162">
        <v>45591.0</v>
      </c>
      <c r="I447" s="163" t="s">
        <v>25</v>
      </c>
      <c r="J447" s="163" t="s">
        <v>37</v>
      </c>
      <c r="K447" s="163" t="s">
        <v>31</v>
      </c>
      <c r="L447" s="161" t="s">
        <v>50</v>
      </c>
      <c r="M447" s="174"/>
      <c r="N447" s="16" t="s">
        <v>5135</v>
      </c>
      <c r="O447" s="16"/>
      <c r="P447" s="16"/>
      <c r="Q447" s="17"/>
      <c r="R447" s="17"/>
      <c r="S447" s="17"/>
      <c r="T447" s="17"/>
      <c r="U447" s="17"/>
      <c r="V447" s="17"/>
      <c r="W447" s="17"/>
      <c r="X447" s="17"/>
      <c r="Y447" s="17"/>
    </row>
    <row r="448" ht="18.75" customHeight="1">
      <c r="A448" s="9">
        <v>447.0</v>
      </c>
      <c r="B448" s="161" t="s">
        <v>2390</v>
      </c>
      <c r="C448" s="169" t="s">
        <v>6018</v>
      </c>
      <c r="D448" s="169" t="s">
        <v>122</v>
      </c>
      <c r="E448" s="169" t="s">
        <v>6019</v>
      </c>
      <c r="F448" s="169" t="s">
        <v>6020</v>
      </c>
      <c r="G448" s="162">
        <v>45566.0</v>
      </c>
      <c r="H448" s="162">
        <v>45567.0</v>
      </c>
      <c r="I448" s="163" t="s">
        <v>251</v>
      </c>
      <c r="J448" s="163" t="s">
        <v>213</v>
      </c>
      <c r="K448" s="163" t="s">
        <v>31</v>
      </c>
      <c r="L448" s="165"/>
      <c r="M448" s="161"/>
      <c r="N448" s="16" t="s">
        <v>5135</v>
      </c>
      <c r="O448" s="16"/>
      <c r="P448" s="16"/>
      <c r="Q448" s="17"/>
      <c r="R448" s="17"/>
      <c r="S448" s="17"/>
      <c r="T448" s="17"/>
      <c r="U448" s="17"/>
      <c r="V448" s="17"/>
      <c r="W448" s="17"/>
      <c r="X448" s="17"/>
      <c r="Y448" s="17"/>
    </row>
    <row r="449" ht="18.75" customHeight="1">
      <c r="A449" s="9">
        <v>448.0</v>
      </c>
      <c r="B449" s="161" t="s">
        <v>2393</v>
      </c>
      <c r="C449" s="169" t="s">
        <v>6021</v>
      </c>
      <c r="D449" s="169" t="s">
        <v>122</v>
      </c>
      <c r="E449" s="169" t="s">
        <v>5469</v>
      </c>
      <c r="F449" s="169" t="s">
        <v>6022</v>
      </c>
      <c r="G449" s="162">
        <v>45565.0</v>
      </c>
      <c r="H449" s="162">
        <v>45566.0</v>
      </c>
      <c r="I449" s="163" t="s">
        <v>251</v>
      </c>
      <c r="J449" s="163" t="s">
        <v>213</v>
      </c>
      <c r="K449" s="163" t="s">
        <v>31</v>
      </c>
      <c r="L449" s="165"/>
      <c r="M449" s="161"/>
      <c r="N449" s="16" t="s">
        <v>5135</v>
      </c>
      <c r="O449" s="16"/>
      <c r="P449" s="16"/>
      <c r="Q449" s="17"/>
      <c r="R449" s="17"/>
      <c r="S449" s="17"/>
      <c r="T449" s="17"/>
      <c r="U449" s="17"/>
      <c r="V449" s="17"/>
      <c r="W449" s="17"/>
      <c r="X449" s="17"/>
      <c r="Y449" s="17"/>
    </row>
    <row r="450" ht="18.75" customHeight="1">
      <c r="A450" s="9">
        <v>449.0</v>
      </c>
      <c r="B450" s="161" t="s">
        <v>2396</v>
      </c>
      <c r="C450" s="169" t="s">
        <v>6023</v>
      </c>
      <c r="D450" s="169" t="s">
        <v>128</v>
      </c>
      <c r="E450" s="169" t="s">
        <v>5469</v>
      </c>
      <c r="F450" s="169" t="s">
        <v>6024</v>
      </c>
      <c r="G450" s="162">
        <v>45571.0</v>
      </c>
      <c r="H450" s="162">
        <v>45572.0</v>
      </c>
      <c r="I450" s="163" t="s">
        <v>251</v>
      </c>
      <c r="J450" s="163" t="s">
        <v>213</v>
      </c>
      <c r="K450" s="163" t="s">
        <v>31</v>
      </c>
      <c r="L450" s="165"/>
      <c r="M450" s="161"/>
      <c r="N450" s="16" t="s">
        <v>5135</v>
      </c>
      <c r="O450" s="16"/>
      <c r="P450" s="16"/>
      <c r="Q450" s="17"/>
      <c r="R450" s="17"/>
      <c r="S450" s="17"/>
      <c r="T450" s="17"/>
      <c r="U450" s="17"/>
      <c r="V450" s="17"/>
      <c r="W450" s="17"/>
      <c r="X450" s="17"/>
      <c r="Y450" s="17"/>
    </row>
    <row r="451" ht="18.75" customHeight="1">
      <c r="A451" s="9">
        <v>450.0</v>
      </c>
      <c r="B451" s="161" t="s">
        <v>2398</v>
      </c>
      <c r="C451" s="169" t="s">
        <v>6025</v>
      </c>
      <c r="D451" s="169" t="s">
        <v>2400</v>
      </c>
      <c r="E451" s="169" t="s">
        <v>5263</v>
      </c>
      <c r="F451" s="169" t="s">
        <v>6026</v>
      </c>
      <c r="G451" s="162">
        <v>45567.0</v>
      </c>
      <c r="H451" s="162">
        <v>45568.0</v>
      </c>
      <c r="I451" s="163" t="s">
        <v>251</v>
      </c>
      <c r="J451" s="163" t="s">
        <v>213</v>
      </c>
      <c r="K451" s="163" t="s">
        <v>31</v>
      </c>
      <c r="L451" s="165"/>
      <c r="M451" s="161"/>
      <c r="N451" s="16" t="s">
        <v>5135</v>
      </c>
      <c r="O451" s="16"/>
      <c r="P451" s="16"/>
      <c r="Q451" s="17"/>
      <c r="R451" s="17"/>
      <c r="S451" s="17"/>
      <c r="T451" s="17"/>
      <c r="U451" s="17"/>
      <c r="V451" s="17"/>
      <c r="W451" s="17"/>
      <c r="X451" s="17"/>
      <c r="Y451" s="17"/>
    </row>
    <row r="452" ht="18.75" customHeight="1">
      <c r="A452" s="9">
        <v>451.0</v>
      </c>
      <c r="B452" s="161" t="s">
        <v>2402</v>
      </c>
      <c r="C452" s="169" t="s">
        <v>6027</v>
      </c>
      <c r="D452" s="169" t="s">
        <v>2404</v>
      </c>
      <c r="E452" s="169" t="s">
        <v>6028</v>
      </c>
      <c r="F452" s="169" t="s">
        <v>6029</v>
      </c>
      <c r="G452" s="162">
        <v>45565.0</v>
      </c>
      <c r="H452" s="162">
        <v>45566.0</v>
      </c>
      <c r="I452" s="163" t="s">
        <v>25</v>
      </c>
      <c r="J452" s="163" t="s">
        <v>37</v>
      </c>
      <c r="K452" s="163" t="s">
        <v>31</v>
      </c>
      <c r="L452" s="161" t="s">
        <v>97</v>
      </c>
      <c r="M452" s="174"/>
      <c r="N452" s="16" t="s">
        <v>5135</v>
      </c>
      <c r="O452" s="16"/>
      <c r="P452" s="16"/>
      <c r="Q452" s="17"/>
      <c r="R452" s="17"/>
      <c r="S452" s="17"/>
      <c r="T452" s="17"/>
      <c r="U452" s="17"/>
      <c r="V452" s="17"/>
      <c r="W452" s="17"/>
      <c r="X452" s="17"/>
      <c r="Y452" s="17"/>
    </row>
    <row r="453" ht="18.75" customHeight="1">
      <c r="A453" s="9">
        <v>452.0</v>
      </c>
      <c r="B453" s="161" t="s">
        <v>2407</v>
      </c>
      <c r="C453" s="169" t="s">
        <v>6030</v>
      </c>
      <c r="D453" s="169" t="s">
        <v>394</v>
      </c>
      <c r="E453" s="169" t="s">
        <v>2409</v>
      </c>
      <c r="F453" s="169" t="s">
        <v>6031</v>
      </c>
      <c r="G453" s="162">
        <v>45583.0</v>
      </c>
      <c r="H453" s="162">
        <v>45584.0</v>
      </c>
      <c r="I453" s="163" t="s">
        <v>25</v>
      </c>
      <c r="J453" s="163" t="s">
        <v>37</v>
      </c>
      <c r="K453" s="163" t="s">
        <v>31</v>
      </c>
      <c r="L453" s="161" t="s">
        <v>74</v>
      </c>
      <c r="M453" s="174"/>
      <c r="N453" s="16" t="s">
        <v>5135</v>
      </c>
      <c r="O453" s="16"/>
      <c r="P453" s="16"/>
      <c r="Q453" s="17"/>
      <c r="R453" s="17"/>
      <c r="S453" s="17"/>
      <c r="T453" s="17"/>
      <c r="U453" s="17"/>
      <c r="V453" s="17"/>
      <c r="W453" s="17"/>
      <c r="X453" s="17"/>
      <c r="Y453" s="17"/>
    </row>
    <row r="454" ht="18.75" customHeight="1">
      <c r="A454" s="9">
        <v>453.0</v>
      </c>
      <c r="B454" s="161" t="s">
        <v>2411</v>
      </c>
      <c r="C454" s="169" t="s">
        <v>6032</v>
      </c>
      <c r="D454" s="169" t="s">
        <v>128</v>
      </c>
      <c r="E454" s="169" t="s">
        <v>2413</v>
      </c>
      <c r="F454" s="169" t="s">
        <v>6033</v>
      </c>
      <c r="G454" s="162">
        <v>45565.0</v>
      </c>
      <c r="H454" s="162">
        <v>45566.0</v>
      </c>
      <c r="I454" s="163" t="s">
        <v>25</v>
      </c>
      <c r="J454" s="163" t="s">
        <v>37</v>
      </c>
      <c r="K454" s="163" t="s">
        <v>31</v>
      </c>
      <c r="L454" s="161" t="s">
        <v>62</v>
      </c>
      <c r="M454" s="174"/>
      <c r="N454" s="16" t="s">
        <v>5135</v>
      </c>
      <c r="O454" s="16"/>
      <c r="P454" s="16"/>
      <c r="Q454" s="17"/>
      <c r="R454" s="17"/>
      <c r="S454" s="17"/>
      <c r="T454" s="17"/>
      <c r="U454" s="17"/>
      <c r="V454" s="17"/>
      <c r="W454" s="17"/>
      <c r="X454" s="17"/>
      <c r="Y454" s="17"/>
    </row>
    <row r="455" ht="18.75" customHeight="1">
      <c r="A455" s="9">
        <v>454.0</v>
      </c>
      <c r="B455" s="161" t="s">
        <v>2415</v>
      </c>
      <c r="C455" s="169" t="s">
        <v>6034</v>
      </c>
      <c r="D455" s="169" t="s">
        <v>110</v>
      </c>
      <c r="E455" s="169" t="s">
        <v>5524</v>
      </c>
      <c r="F455" s="169" t="s">
        <v>6035</v>
      </c>
      <c r="G455" s="162">
        <v>45565.0</v>
      </c>
      <c r="H455" s="162">
        <v>45566.0</v>
      </c>
      <c r="I455" s="163" t="s">
        <v>25</v>
      </c>
      <c r="J455" s="163" t="s">
        <v>37</v>
      </c>
      <c r="K455" s="163" t="s">
        <v>31</v>
      </c>
      <c r="L455" s="161" t="s">
        <v>62</v>
      </c>
      <c r="M455" s="174"/>
      <c r="N455" s="16" t="s">
        <v>5135</v>
      </c>
      <c r="O455" s="16"/>
      <c r="P455" s="16"/>
      <c r="Q455" s="17"/>
      <c r="R455" s="17"/>
      <c r="S455" s="17"/>
      <c r="T455" s="17"/>
      <c r="U455" s="17"/>
      <c r="V455" s="17"/>
      <c r="W455" s="17"/>
      <c r="X455" s="17"/>
      <c r="Y455" s="17"/>
    </row>
    <row r="456" ht="18.75" customHeight="1">
      <c r="A456" s="9">
        <v>455.0</v>
      </c>
      <c r="B456" s="161" t="s">
        <v>2419</v>
      </c>
      <c r="C456" s="169" t="s">
        <v>6036</v>
      </c>
      <c r="D456" s="169" t="s">
        <v>128</v>
      </c>
      <c r="E456" s="169" t="s">
        <v>6037</v>
      </c>
      <c r="F456" s="169" t="s">
        <v>6038</v>
      </c>
      <c r="G456" s="162">
        <v>45565.0</v>
      </c>
      <c r="H456" s="162">
        <v>45566.0</v>
      </c>
      <c r="I456" s="163" t="s">
        <v>25</v>
      </c>
      <c r="J456" s="163" t="s">
        <v>37</v>
      </c>
      <c r="K456" s="163" t="s">
        <v>31</v>
      </c>
      <c r="L456" s="161" t="s">
        <v>62</v>
      </c>
      <c r="M456" s="174"/>
      <c r="N456" s="16" t="s">
        <v>5135</v>
      </c>
      <c r="O456" s="16"/>
      <c r="P456" s="16"/>
      <c r="Q456" s="17"/>
      <c r="R456" s="17"/>
      <c r="S456" s="17"/>
      <c r="T456" s="17"/>
      <c r="U456" s="17"/>
      <c r="V456" s="17"/>
      <c r="W456" s="17"/>
      <c r="X456" s="17"/>
      <c r="Y456" s="17"/>
    </row>
    <row r="457" ht="18.75" customHeight="1">
      <c r="A457" s="9">
        <v>456.0</v>
      </c>
      <c r="B457" s="161" t="s">
        <v>2423</v>
      </c>
      <c r="C457" s="169" t="s">
        <v>6039</v>
      </c>
      <c r="D457" s="169" t="s">
        <v>94</v>
      </c>
      <c r="E457" s="169" t="s">
        <v>1022</v>
      </c>
      <c r="F457" s="169" t="s">
        <v>6040</v>
      </c>
      <c r="G457" s="162">
        <v>45565.0</v>
      </c>
      <c r="H457" s="162">
        <v>45566.0</v>
      </c>
      <c r="I457" s="163" t="s">
        <v>25</v>
      </c>
      <c r="J457" s="163" t="s">
        <v>37</v>
      </c>
      <c r="K457" s="163" t="s">
        <v>31</v>
      </c>
      <c r="L457" s="161" t="s">
        <v>86</v>
      </c>
      <c r="M457" s="174"/>
      <c r="N457" s="16" t="s">
        <v>5135</v>
      </c>
      <c r="O457" s="16"/>
      <c r="P457" s="16"/>
      <c r="Q457" s="17"/>
      <c r="R457" s="17"/>
      <c r="S457" s="17"/>
      <c r="T457" s="17"/>
      <c r="U457" s="17"/>
      <c r="V457" s="17"/>
      <c r="W457" s="17"/>
      <c r="X457" s="17"/>
      <c r="Y457" s="17"/>
    </row>
    <row r="458" ht="18.75" customHeight="1">
      <c r="A458" s="9">
        <v>457.0</v>
      </c>
      <c r="B458" s="161" t="s">
        <v>2427</v>
      </c>
      <c r="C458" s="169" t="s">
        <v>6041</v>
      </c>
      <c r="D458" s="169" t="s">
        <v>128</v>
      </c>
      <c r="E458" s="169" t="s">
        <v>134</v>
      </c>
      <c r="F458" s="169" t="s">
        <v>6042</v>
      </c>
      <c r="G458" s="162">
        <v>45577.0</v>
      </c>
      <c r="H458" s="162">
        <v>45578.0</v>
      </c>
      <c r="I458" s="163" t="s">
        <v>251</v>
      </c>
      <c r="J458" s="163" t="s">
        <v>213</v>
      </c>
      <c r="K458" s="163" t="s">
        <v>31</v>
      </c>
      <c r="L458" s="165"/>
      <c r="M458" s="161"/>
      <c r="N458" s="16" t="s">
        <v>5135</v>
      </c>
      <c r="O458" s="16"/>
      <c r="P458" s="16"/>
      <c r="Q458" s="17"/>
      <c r="R458" s="17"/>
      <c r="S458" s="17"/>
      <c r="T458" s="17"/>
      <c r="U458" s="17"/>
      <c r="V458" s="17"/>
      <c r="W458" s="17"/>
      <c r="X458" s="17"/>
      <c r="Y458" s="17"/>
    </row>
    <row r="459" ht="18.75" customHeight="1">
      <c r="A459" s="9">
        <v>458.0</v>
      </c>
      <c r="B459" s="161" t="s">
        <v>2439</v>
      </c>
      <c r="C459" s="169" t="s">
        <v>2440</v>
      </c>
      <c r="D459" s="169" t="s">
        <v>1749</v>
      </c>
      <c r="E459" s="169" t="s">
        <v>1652</v>
      </c>
      <c r="F459" s="169" t="s">
        <v>6043</v>
      </c>
      <c r="G459" s="162">
        <v>45565.0</v>
      </c>
      <c r="H459" s="162">
        <v>45566.0</v>
      </c>
      <c r="I459" s="163" t="s">
        <v>25</v>
      </c>
      <c r="J459" s="163" t="s">
        <v>37</v>
      </c>
      <c r="K459" s="163" t="s">
        <v>31</v>
      </c>
      <c r="L459" s="165"/>
      <c r="M459" s="161"/>
      <c r="N459" s="16" t="s">
        <v>5135</v>
      </c>
      <c r="O459" s="16"/>
      <c r="P459" s="16"/>
      <c r="Q459" s="17"/>
      <c r="R459" s="17"/>
      <c r="S459" s="17"/>
      <c r="T459" s="17"/>
      <c r="U459" s="17"/>
      <c r="V459" s="17"/>
      <c r="W459" s="17"/>
      <c r="X459" s="17"/>
      <c r="Y459" s="17"/>
    </row>
    <row r="460" ht="18.75" customHeight="1">
      <c r="A460" s="9">
        <v>459.0</v>
      </c>
      <c r="B460" s="161" t="s">
        <v>2435</v>
      </c>
      <c r="C460" s="169" t="s">
        <v>6044</v>
      </c>
      <c r="D460" s="169" t="s">
        <v>42</v>
      </c>
      <c r="E460" s="169" t="s">
        <v>319</v>
      </c>
      <c r="F460" s="169" t="s">
        <v>6045</v>
      </c>
      <c r="G460" s="162">
        <v>45565.0</v>
      </c>
      <c r="H460" s="162">
        <v>45566.0</v>
      </c>
      <c r="I460" s="163" t="s">
        <v>25</v>
      </c>
      <c r="J460" s="163" t="s">
        <v>37</v>
      </c>
      <c r="K460" s="163" t="s">
        <v>31</v>
      </c>
      <c r="L460" s="161" t="s">
        <v>50</v>
      </c>
      <c r="M460" s="174"/>
      <c r="N460" s="16" t="s">
        <v>5135</v>
      </c>
      <c r="O460" s="16"/>
      <c r="P460" s="16"/>
      <c r="Q460" s="17"/>
      <c r="R460" s="17"/>
      <c r="S460" s="17"/>
      <c r="T460" s="17"/>
      <c r="U460" s="17"/>
      <c r="V460" s="17"/>
      <c r="W460" s="17"/>
      <c r="X460" s="17"/>
      <c r="Y460" s="17"/>
    </row>
    <row r="461" ht="18.75" customHeight="1">
      <c r="A461" s="9">
        <v>460.0</v>
      </c>
      <c r="B461" s="161" t="s">
        <v>2449</v>
      </c>
      <c r="C461" s="169" t="s">
        <v>6046</v>
      </c>
      <c r="D461" s="169" t="s">
        <v>122</v>
      </c>
      <c r="E461" s="169" t="s">
        <v>566</v>
      </c>
      <c r="F461" s="169" t="s">
        <v>6047</v>
      </c>
      <c r="G461" s="162">
        <v>45574.0</v>
      </c>
      <c r="H461" s="162">
        <v>45575.0</v>
      </c>
      <c r="I461" s="163" t="s">
        <v>25</v>
      </c>
      <c r="J461" s="163" t="s">
        <v>37</v>
      </c>
      <c r="K461" s="163" t="s">
        <v>31</v>
      </c>
      <c r="L461" s="161" t="s">
        <v>74</v>
      </c>
      <c r="M461" s="174"/>
      <c r="N461" s="16" t="s">
        <v>5135</v>
      </c>
      <c r="O461" s="16"/>
      <c r="P461" s="16"/>
      <c r="Q461" s="17"/>
      <c r="R461" s="17"/>
      <c r="S461" s="17"/>
      <c r="T461" s="17"/>
      <c r="U461" s="17"/>
      <c r="V461" s="17"/>
      <c r="W461" s="17"/>
      <c r="X461" s="17"/>
      <c r="Y461" s="17"/>
    </row>
    <row r="462" ht="18.75" customHeight="1">
      <c r="A462" s="9">
        <v>461.0</v>
      </c>
      <c r="B462" s="161" t="s">
        <v>2453</v>
      </c>
      <c r="C462" s="169" t="s">
        <v>6048</v>
      </c>
      <c r="D462" s="169" t="s">
        <v>444</v>
      </c>
      <c r="E462" s="169" t="s">
        <v>6049</v>
      </c>
      <c r="F462" s="169" t="s">
        <v>6050</v>
      </c>
      <c r="G462" s="162">
        <v>45572.0</v>
      </c>
      <c r="H462" s="162">
        <v>45573.0</v>
      </c>
      <c r="I462" s="163" t="s">
        <v>251</v>
      </c>
      <c r="J462" s="163" t="s">
        <v>213</v>
      </c>
      <c r="K462" s="163" t="s">
        <v>31</v>
      </c>
      <c r="L462" s="165"/>
      <c r="M462" s="161"/>
      <c r="N462" s="16" t="s">
        <v>5135</v>
      </c>
      <c r="O462" s="16"/>
      <c r="P462" s="16"/>
      <c r="Q462" s="17"/>
      <c r="R462" s="17"/>
      <c r="S462" s="17"/>
      <c r="T462" s="17"/>
      <c r="U462" s="17"/>
      <c r="V462" s="17"/>
      <c r="W462" s="17"/>
      <c r="X462" s="17"/>
      <c r="Y462" s="17"/>
    </row>
    <row r="463" ht="18.75" customHeight="1">
      <c r="A463" s="9">
        <v>462.0</v>
      </c>
      <c r="B463" s="161" t="s">
        <v>2470</v>
      </c>
      <c r="C463" s="169" t="s">
        <v>6051</v>
      </c>
      <c r="D463" s="169" t="s">
        <v>42</v>
      </c>
      <c r="E463" s="169" t="s">
        <v>6052</v>
      </c>
      <c r="F463" s="169" t="s">
        <v>6053</v>
      </c>
      <c r="G463" s="162">
        <v>45565.0</v>
      </c>
      <c r="H463" s="162">
        <v>45566.0</v>
      </c>
      <c r="I463" s="163" t="s">
        <v>251</v>
      </c>
      <c r="J463" s="163" t="s">
        <v>213</v>
      </c>
      <c r="K463" s="163" t="s">
        <v>31</v>
      </c>
      <c r="L463" s="165"/>
      <c r="M463" s="161"/>
      <c r="N463" s="16" t="s">
        <v>5135</v>
      </c>
      <c r="O463" s="16"/>
      <c r="P463" s="16"/>
      <c r="Q463" s="17"/>
      <c r="R463" s="17"/>
      <c r="S463" s="17"/>
      <c r="T463" s="17"/>
      <c r="U463" s="17"/>
      <c r="V463" s="17"/>
      <c r="W463" s="17"/>
      <c r="X463" s="17"/>
      <c r="Y463" s="17"/>
    </row>
    <row r="464" ht="18.75" customHeight="1">
      <c r="A464" s="9">
        <v>463.0</v>
      </c>
      <c r="B464" s="161" t="s">
        <v>2473</v>
      </c>
      <c r="C464" s="169" t="s">
        <v>6054</v>
      </c>
      <c r="D464" s="169" t="s">
        <v>128</v>
      </c>
      <c r="E464" s="169" t="s">
        <v>6055</v>
      </c>
      <c r="F464" s="169" t="s">
        <v>6056</v>
      </c>
      <c r="G464" s="162">
        <v>45584.0</v>
      </c>
      <c r="H464" s="162">
        <v>45585.0</v>
      </c>
      <c r="I464" s="163" t="s">
        <v>119</v>
      </c>
      <c r="J464" s="163" t="s">
        <v>213</v>
      </c>
      <c r="K464" s="163" t="s">
        <v>31</v>
      </c>
      <c r="L464" s="165"/>
      <c r="M464" s="161"/>
      <c r="N464" s="16" t="s">
        <v>5135</v>
      </c>
      <c r="O464" s="16"/>
      <c r="P464" s="16"/>
      <c r="Q464" s="17"/>
      <c r="R464" s="17"/>
      <c r="S464" s="17"/>
      <c r="T464" s="17"/>
      <c r="U464" s="17"/>
      <c r="V464" s="17"/>
      <c r="W464" s="17"/>
      <c r="X464" s="17"/>
      <c r="Y464" s="17"/>
    </row>
    <row r="465" ht="18.75" customHeight="1">
      <c r="A465" s="9">
        <v>464.0</v>
      </c>
      <c r="B465" s="161" t="s">
        <v>2481</v>
      </c>
      <c r="C465" s="169" t="s">
        <v>6057</v>
      </c>
      <c r="D465" s="169" t="s">
        <v>42</v>
      </c>
      <c r="E465" s="169" t="s">
        <v>139</v>
      </c>
      <c r="F465" s="169" t="s">
        <v>6058</v>
      </c>
      <c r="G465" s="162">
        <v>45585.0</v>
      </c>
      <c r="H465" s="162">
        <v>45586.0</v>
      </c>
      <c r="I465" s="163" t="s">
        <v>25</v>
      </c>
      <c r="J465" s="163" t="s">
        <v>37</v>
      </c>
      <c r="K465" s="163" t="s">
        <v>31</v>
      </c>
      <c r="L465" s="161" t="s">
        <v>62</v>
      </c>
      <c r="M465" s="174"/>
      <c r="N465" s="16" t="s">
        <v>5135</v>
      </c>
      <c r="O465" s="16"/>
      <c r="P465" s="16"/>
      <c r="Q465" s="17"/>
      <c r="R465" s="17"/>
      <c r="S465" s="17"/>
      <c r="T465" s="17"/>
      <c r="U465" s="17"/>
      <c r="V465" s="17"/>
      <c r="W465" s="17"/>
      <c r="X465" s="17"/>
      <c r="Y465" s="17"/>
    </row>
    <row r="466" ht="18.75" customHeight="1">
      <c r="A466" s="9">
        <v>465.0</v>
      </c>
      <c r="B466" s="161" t="s">
        <v>2485</v>
      </c>
      <c r="C466" s="169" t="s">
        <v>6059</v>
      </c>
      <c r="D466" s="169" t="s">
        <v>2487</v>
      </c>
      <c r="E466" s="169" t="s">
        <v>6060</v>
      </c>
      <c r="F466" s="169" t="s">
        <v>6061</v>
      </c>
      <c r="G466" s="162">
        <v>45565.0</v>
      </c>
      <c r="H466" s="162">
        <v>45566.0</v>
      </c>
      <c r="I466" s="163" t="s">
        <v>25</v>
      </c>
      <c r="J466" s="163" t="s">
        <v>37</v>
      </c>
      <c r="K466" s="163" t="s">
        <v>31</v>
      </c>
      <c r="L466" s="165"/>
      <c r="M466" s="174"/>
      <c r="N466" s="16" t="s">
        <v>5135</v>
      </c>
      <c r="O466" s="16"/>
      <c r="P466" s="16"/>
      <c r="Q466" s="17"/>
      <c r="R466" s="17"/>
      <c r="S466" s="17"/>
      <c r="T466" s="17"/>
      <c r="U466" s="17"/>
      <c r="V466" s="17"/>
      <c r="W466" s="17"/>
      <c r="X466" s="17"/>
      <c r="Y466" s="17"/>
    </row>
    <row r="467" ht="18.75" customHeight="1">
      <c r="A467" s="9">
        <v>466.0</v>
      </c>
      <c r="B467" s="161" t="s">
        <v>2489</v>
      </c>
      <c r="C467" s="169" t="s">
        <v>6062</v>
      </c>
      <c r="D467" s="169" t="s">
        <v>2491</v>
      </c>
      <c r="E467" s="169" t="s">
        <v>6060</v>
      </c>
      <c r="F467" s="169" t="s">
        <v>6063</v>
      </c>
      <c r="G467" s="162">
        <v>45565.0</v>
      </c>
      <c r="H467" s="162">
        <v>45566.0</v>
      </c>
      <c r="I467" s="163" t="s">
        <v>25</v>
      </c>
      <c r="J467" s="163" t="s">
        <v>37</v>
      </c>
      <c r="K467" s="163" t="s">
        <v>31</v>
      </c>
      <c r="L467" s="165"/>
      <c r="M467" s="161"/>
      <c r="N467" s="16" t="s">
        <v>5135</v>
      </c>
      <c r="O467" s="16"/>
      <c r="P467" s="16"/>
      <c r="Q467" s="17"/>
      <c r="R467" s="17"/>
      <c r="S467" s="17"/>
      <c r="T467" s="17"/>
      <c r="U467" s="17"/>
      <c r="V467" s="17"/>
      <c r="W467" s="17"/>
      <c r="X467" s="17"/>
      <c r="Y467" s="17"/>
    </row>
    <row r="468" ht="18.75" customHeight="1">
      <c r="A468" s="9">
        <v>467.0</v>
      </c>
      <c r="B468" s="161" t="s">
        <v>2492</v>
      </c>
      <c r="C468" s="169" t="s">
        <v>6064</v>
      </c>
      <c r="D468" s="169" t="s">
        <v>2494</v>
      </c>
      <c r="E468" s="169" t="s">
        <v>6060</v>
      </c>
      <c r="F468" s="169" t="s">
        <v>6065</v>
      </c>
      <c r="G468" s="162">
        <v>45565.0</v>
      </c>
      <c r="H468" s="162">
        <v>45566.0</v>
      </c>
      <c r="I468" s="163" t="s">
        <v>25</v>
      </c>
      <c r="J468" s="163" t="s">
        <v>37</v>
      </c>
      <c r="K468" s="163" t="s">
        <v>31</v>
      </c>
      <c r="L468" s="165"/>
      <c r="M468" s="161"/>
      <c r="N468" s="16" t="s">
        <v>5135</v>
      </c>
      <c r="O468" s="16"/>
      <c r="P468" s="16"/>
      <c r="Q468" s="17"/>
      <c r="R468" s="17"/>
      <c r="S468" s="17"/>
      <c r="T468" s="17"/>
      <c r="U468" s="17"/>
      <c r="V468" s="17"/>
      <c r="W468" s="17"/>
      <c r="X468" s="17"/>
      <c r="Y468" s="17"/>
    </row>
    <row r="469" ht="18.75" customHeight="1">
      <c r="A469" s="9">
        <v>468.0</v>
      </c>
      <c r="B469" s="161" t="s">
        <v>2375</v>
      </c>
      <c r="C469" s="169" t="s">
        <v>6066</v>
      </c>
      <c r="D469" s="169" t="s">
        <v>71</v>
      </c>
      <c r="E469" s="169" t="s">
        <v>72</v>
      </c>
      <c r="F469" s="169" t="s">
        <v>6067</v>
      </c>
      <c r="G469" s="162">
        <v>45585.0</v>
      </c>
      <c r="H469" s="162">
        <v>45586.0</v>
      </c>
      <c r="I469" s="163" t="s">
        <v>25</v>
      </c>
      <c r="J469" s="163" t="s">
        <v>37</v>
      </c>
      <c r="K469" s="163" t="s">
        <v>31</v>
      </c>
      <c r="L469" s="161" t="s">
        <v>74</v>
      </c>
      <c r="M469" s="174"/>
      <c r="N469" s="16" t="s">
        <v>5135</v>
      </c>
      <c r="O469" s="16"/>
      <c r="P469" s="16"/>
      <c r="Q469" s="17"/>
      <c r="R469" s="17"/>
      <c r="S469" s="17"/>
      <c r="T469" s="17"/>
      <c r="U469" s="17"/>
      <c r="V469" s="17"/>
      <c r="W469" s="17"/>
      <c r="X469" s="17"/>
      <c r="Y469" s="17"/>
    </row>
    <row r="470" ht="18.75" customHeight="1">
      <c r="A470" s="9">
        <v>469.0</v>
      </c>
      <c r="B470" s="161" t="s">
        <v>2495</v>
      </c>
      <c r="C470" s="169" t="s">
        <v>6068</v>
      </c>
      <c r="D470" s="169" t="s">
        <v>122</v>
      </c>
      <c r="E470" s="169" t="s">
        <v>5469</v>
      </c>
      <c r="F470" s="169" t="s">
        <v>6069</v>
      </c>
      <c r="G470" s="162">
        <v>45565.0</v>
      </c>
      <c r="H470" s="162">
        <v>45566.0</v>
      </c>
      <c r="I470" s="163" t="s">
        <v>25</v>
      </c>
      <c r="J470" s="163" t="s">
        <v>37</v>
      </c>
      <c r="K470" s="163" t="s">
        <v>31</v>
      </c>
      <c r="L470" s="161" t="s">
        <v>62</v>
      </c>
      <c r="M470" s="174"/>
      <c r="N470" s="16" t="s">
        <v>5135</v>
      </c>
      <c r="O470" s="16"/>
      <c r="P470" s="16"/>
      <c r="Q470" s="17"/>
      <c r="R470" s="17"/>
      <c r="S470" s="17"/>
      <c r="T470" s="17"/>
      <c r="U470" s="17"/>
      <c r="V470" s="17"/>
      <c r="W470" s="17"/>
      <c r="X470" s="17"/>
      <c r="Y470" s="17"/>
    </row>
    <row r="471" ht="18.75" customHeight="1">
      <c r="A471" s="9">
        <v>470.0</v>
      </c>
      <c r="B471" s="161" t="s">
        <v>2509</v>
      </c>
      <c r="C471" s="169" t="s">
        <v>6070</v>
      </c>
      <c r="D471" s="169" t="s">
        <v>122</v>
      </c>
      <c r="E471" s="169" t="s">
        <v>5786</v>
      </c>
      <c r="F471" s="169" t="s">
        <v>6071</v>
      </c>
      <c r="G471" s="162">
        <v>45569.0</v>
      </c>
      <c r="H471" s="162">
        <v>45570.0</v>
      </c>
      <c r="I471" s="163" t="s">
        <v>251</v>
      </c>
      <c r="J471" s="163" t="s">
        <v>213</v>
      </c>
      <c r="K471" s="163" t="s">
        <v>31</v>
      </c>
      <c r="L471" s="165"/>
      <c r="M471" s="161"/>
      <c r="N471" s="16" t="s">
        <v>5135</v>
      </c>
      <c r="O471" s="16"/>
      <c r="P471" s="16"/>
      <c r="Q471" s="17"/>
      <c r="R471" s="17"/>
      <c r="S471" s="17"/>
      <c r="T471" s="17"/>
      <c r="U471" s="17"/>
      <c r="V471" s="17"/>
      <c r="W471" s="17"/>
      <c r="X471" s="17"/>
      <c r="Y471" s="17"/>
    </row>
    <row r="472" ht="18.75" customHeight="1">
      <c r="A472" s="9">
        <v>471.0</v>
      </c>
      <c r="B472" s="161" t="s">
        <v>2463</v>
      </c>
      <c r="C472" s="169" t="s">
        <v>2464</v>
      </c>
      <c r="D472" s="169" t="s">
        <v>333</v>
      </c>
      <c r="E472" s="169" t="s">
        <v>2220</v>
      </c>
      <c r="F472" s="169" t="s">
        <v>6072</v>
      </c>
      <c r="G472" s="162">
        <v>45583.0</v>
      </c>
      <c r="H472" s="162">
        <v>45584.0</v>
      </c>
      <c r="I472" s="163" t="s">
        <v>25</v>
      </c>
      <c r="J472" s="163" t="s">
        <v>37</v>
      </c>
      <c r="K472" s="163" t="s">
        <v>31</v>
      </c>
      <c r="L472" s="165"/>
      <c r="M472" s="161"/>
      <c r="N472" s="16" t="s">
        <v>5135</v>
      </c>
      <c r="O472" s="16"/>
      <c r="P472" s="16"/>
      <c r="Q472" s="17"/>
      <c r="R472" s="17"/>
      <c r="S472" s="17"/>
      <c r="T472" s="17"/>
      <c r="U472" s="17"/>
      <c r="V472" s="17"/>
      <c r="W472" s="17"/>
      <c r="X472" s="17"/>
      <c r="Y472" s="17"/>
    </row>
    <row r="473" ht="18.75" customHeight="1">
      <c r="A473" s="9">
        <v>472.0</v>
      </c>
      <c r="B473" s="161" t="s">
        <v>2279</v>
      </c>
      <c r="C473" s="169" t="s">
        <v>2280</v>
      </c>
      <c r="D473" s="169" t="s">
        <v>701</v>
      </c>
      <c r="E473" s="169" t="s">
        <v>2173</v>
      </c>
      <c r="F473" s="169" t="s">
        <v>6073</v>
      </c>
      <c r="G473" s="162">
        <v>45596.0</v>
      </c>
      <c r="H473" s="162">
        <v>45597.0</v>
      </c>
      <c r="I473" s="163" t="s">
        <v>25</v>
      </c>
      <c r="J473" s="163" t="s">
        <v>22</v>
      </c>
      <c r="K473" s="163" t="s">
        <v>31</v>
      </c>
      <c r="L473" s="165"/>
      <c r="M473" s="161"/>
      <c r="N473" s="16" t="s">
        <v>5135</v>
      </c>
      <c r="O473" s="16"/>
      <c r="P473" s="16"/>
      <c r="Q473" s="17"/>
      <c r="R473" s="17"/>
      <c r="S473" s="17"/>
      <c r="T473" s="17"/>
      <c r="U473" s="17"/>
      <c r="V473" s="17"/>
      <c r="W473" s="17"/>
      <c r="X473" s="17"/>
      <c r="Y473" s="17"/>
    </row>
    <row r="474" ht="18.75" customHeight="1">
      <c r="A474" s="9">
        <v>473.0</v>
      </c>
      <c r="B474" s="161" t="s">
        <v>2314</v>
      </c>
      <c r="C474" s="169" t="s">
        <v>2315</v>
      </c>
      <c r="D474" s="169" t="s">
        <v>231</v>
      </c>
      <c r="E474" s="169" t="s">
        <v>2316</v>
      </c>
      <c r="F474" s="169" t="s">
        <v>6074</v>
      </c>
      <c r="G474" s="162">
        <v>45596.0</v>
      </c>
      <c r="H474" s="162">
        <v>45597.0</v>
      </c>
      <c r="I474" s="163" t="s">
        <v>25</v>
      </c>
      <c r="J474" s="163" t="s">
        <v>22</v>
      </c>
      <c r="K474" s="163" t="s">
        <v>31</v>
      </c>
      <c r="L474" s="165"/>
      <c r="M474" s="161"/>
      <c r="N474" s="16" t="s">
        <v>5135</v>
      </c>
      <c r="O474" s="16"/>
      <c r="P474" s="16"/>
      <c r="Q474" s="17"/>
      <c r="R474" s="17"/>
      <c r="S474" s="17"/>
      <c r="T474" s="17"/>
      <c r="U474" s="17"/>
      <c r="V474" s="17"/>
      <c r="W474" s="17"/>
      <c r="X474" s="17"/>
      <c r="Y474" s="17"/>
    </row>
    <row r="475" ht="18.75" customHeight="1">
      <c r="A475" s="9">
        <v>474.0</v>
      </c>
      <c r="B475" s="161" t="s">
        <v>2311</v>
      </c>
      <c r="C475" s="169" t="s">
        <v>2312</v>
      </c>
      <c r="D475" s="169" t="s">
        <v>362</v>
      </c>
      <c r="E475" s="169" t="s">
        <v>2296</v>
      </c>
      <c r="F475" s="169" t="s">
        <v>6075</v>
      </c>
      <c r="G475" s="162">
        <v>45596.0</v>
      </c>
      <c r="H475" s="162">
        <v>45597.0</v>
      </c>
      <c r="I475" s="163" t="s">
        <v>25</v>
      </c>
      <c r="J475" s="163" t="s">
        <v>22</v>
      </c>
      <c r="K475" s="163" t="s">
        <v>31</v>
      </c>
      <c r="L475" s="161" t="s">
        <v>50</v>
      </c>
      <c r="M475" s="174"/>
      <c r="N475" s="16" t="s">
        <v>5135</v>
      </c>
      <c r="O475" s="16"/>
      <c r="P475" s="16"/>
      <c r="Q475" s="17"/>
      <c r="R475" s="17"/>
      <c r="S475" s="17"/>
      <c r="T475" s="17"/>
      <c r="U475" s="17"/>
      <c r="V475" s="17"/>
      <c r="W475" s="17"/>
      <c r="X475" s="17"/>
      <c r="Y475" s="17"/>
    </row>
    <row r="476" ht="18.75" customHeight="1">
      <c r="A476" s="9">
        <v>475.0</v>
      </c>
      <c r="B476" s="161" t="s">
        <v>2325</v>
      </c>
      <c r="C476" s="169" t="s">
        <v>6076</v>
      </c>
      <c r="D476" s="169" t="s">
        <v>1078</v>
      </c>
      <c r="E476" s="169" t="s">
        <v>2327</v>
      </c>
      <c r="F476" s="169" t="s">
        <v>6077</v>
      </c>
      <c r="G476" s="162">
        <v>45596.0</v>
      </c>
      <c r="H476" s="162">
        <v>45597.0</v>
      </c>
      <c r="I476" s="163" t="s">
        <v>25</v>
      </c>
      <c r="J476" s="163" t="s">
        <v>37</v>
      </c>
      <c r="K476" s="163" t="s">
        <v>31</v>
      </c>
      <c r="L476" s="161" t="s">
        <v>38</v>
      </c>
      <c r="M476" s="174"/>
      <c r="N476" s="16" t="s">
        <v>5135</v>
      </c>
      <c r="O476" s="16"/>
      <c r="P476" s="16"/>
      <c r="Q476" s="17"/>
      <c r="R476" s="17"/>
      <c r="S476" s="17"/>
      <c r="T476" s="17"/>
      <c r="U476" s="17"/>
      <c r="V476" s="17"/>
      <c r="W476" s="17"/>
      <c r="X476" s="17"/>
      <c r="Y476" s="17"/>
    </row>
    <row r="477" ht="18.75" customHeight="1">
      <c r="A477" s="9">
        <v>476.0</v>
      </c>
      <c r="B477" s="161" t="s">
        <v>2329</v>
      </c>
      <c r="C477" s="169" t="s">
        <v>6078</v>
      </c>
      <c r="D477" s="169" t="s">
        <v>1544</v>
      </c>
      <c r="E477" s="169" t="s">
        <v>2327</v>
      </c>
      <c r="F477" s="169" t="s">
        <v>6079</v>
      </c>
      <c r="G477" s="162">
        <v>45596.0</v>
      </c>
      <c r="H477" s="162">
        <v>45597.0</v>
      </c>
      <c r="I477" s="163" t="s">
        <v>25</v>
      </c>
      <c r="J477" s="163" t="s">
        <v>37</v>
      </c>
      <c r="K477" s="163" t="s">
        <v>31</v>
      </c>
      <c r="L477" s="161" t="s">
        <v>62</v>
      </c>
      <c r="M477" s="174"/>
      <c r="N477" s="16" t="s">
        <v>5135</v>
      </c>
      <c r="O477" s="16"/>
      <c r="P477" s="16"/>
      <c r="Q477" s="17"/>
      <c r="R477" s="17"/>
      <c r="S477" s="17"/>
      <c r="T477" s="17"/>
      <c r="U477" s="17"/>
      <c r="V477" s="17"/>
      <c r="W477" s="17"/>
      <c r="X477" s="17"/>
      <c r="Y477" s="17"/>
    </row>
    <row r="478" ht="18.75" customHeight="1">
      <c r="A478" s="9">
        <v>477.0</v>
      </c>
      <c r="B478" s="161" t="s">
        <v>2332</v>
      </c>
      <c r="C478" s="169" t="s">
        <v>6080</v>
      </c>
      <c r="D478" s="169" t="s">
        <v>1544</v>
      </c>
      <c r="E478" s="169" t="s">
        <v>2327</v>
      </c>
      <c r="F478" s="169" t="s">
        <v>6081</v>
      </c>
      <c r="G478" s="162">
        <v>45596.0</v>
      </c>
      <c r="H478" s="162">
        <v>45597.0</v>
      </c>
      <c r="I478" s="163" t="s">
        <v>25</v>
      </c>
      <c r="J478" s="163" t="s">
        <v>37</v>
      </c>
      <c r="K478" s="163" t="s">
        <v>31</v>
      </c>
      <c r="L478" s="161" t="s">
        <v>38</v>
      </c>
      <c r="M478" s="174"/>
      <c r="N478" s="16" t="s">
        <v>5135</v>
      </c>
      <c r="O478" s="16"/>
      <c r="P478" s="16"/>
      <c r="Q478" s="17"/>
      <c r="R478" s="17"/>
      <c r="S478" s="17"/>
      <c r="T478" s="17"/>
      <c r="U478" s="17"/>
      <c r="V478" s="17"/>
      <c r="W478" s="17"/>
      <c r="X478" s="17"/>
      <c r="Y478" s="17"/>
    </row>
    <row r="479" ht="18.75" customHeight="1">
      <c r="A479" s="9">
        <v>478.0</v>
      </c>
      <c r="B479" s="161" t="s">
        <v>2335</v>
      </c>
      <c r="C479" s="169" t="s">
        <v>6082</v>
      </c>
      <c r="D479" s="169" t="s">
        <v>2337</v>
      </c>
      <c r="E479" s="169" t="s">
        <v>2327</v>
      </c>
      <c r="F479" s="169" t="s">
        <v>6083</v>
      </c>
      <c r="G479" s="162">
        <v>45596.0</v>
      </c>
      <c r="H479" s="162">
        <v>45597.0</v>
      </c>
      <c r="I479" s="163" t="s">
        <v>25</v>
      </c>
      <c r="J479" s="163" t="s">
        <v>37</v>
      </c>
      <c r="K479" s="163" t="s">
        <v>31</v>
      </c>
      <c r="L479" s="161" t="s">
        <v>38</v>
      </c>
      <c r="M479" s="174"/>
      <c r="N479" s="16" t="s">
        <v>5135</v>
      </c>
      <c r="O479" s="16"/>
      <c r="P479" s="16"/>
      <c r="Q479" s="17"/>
      <c r="R479" s="17"/>
      <c r="S479" s="17"/>
      <c r="T479" s="17"/>
      <c r="U479" s="17"/>
      <c r="V479" s="17"/>
      <c r="W479" s="17"/>
      <c r="X479" s="17"/>
      <c r="Y479" s="17"/>
    </row>
    <row r="480" ht="18.75" customHeight="1">
      <c r="A480" s="9">
        <v>479.0</v>
      </c>
      <c r="B480" s="166" t="s">
        <v>2344</v>
      </c>
      <c r="C480" s="170" t="s">
        <v>6084</v>
      </c>
      <c r="D480" s="170" t="s">
        <v>701</v>
      </c>
      <c r="E480" s="170" t="s">
        <v>6085</v>
      </c>
      <c r="F480" s="170" t="s">
        <v>6086</v>
      </c>
      <c r="G480" s="162">
        <v>45596.0</v>
      </c>
      <c r="H480" s="162">
        <v>45597.0</v>
      </c>
      <c r="I480" s="163" t="s">
        <v>21</v>
      </c>
      <c r="J480" s="163" t="s">
        <v>22</v>
      </c>
      <c r="K480" s="163" t="s">
        <v>531</v>
      </c>
      <c r="L480" s="165"/>
      <c r="M480" s="174"/>
      <c r="N480" s="16"/>
      <c r="O480" s="16"/>
      <c r="P480" s="16"/>
      <c r="Q480" s="17"/>
      <c r="R480" s="17"/>
      <c r="S480" s="17"/>
      <c r="T480" s="17"/>
      <c r="U480" s="17"/>
      <c r="V480" s="17"/>
      <c r="W480" s="17"/>
      <c r="X480" s="17"/>
      <c r="Y480" s="17"/>
    </row>
    <row r="481" ht="18.75" customHeight="1">
      <c r="A481" s="9">
        <v>480.0</v>
      </c>
      <c r="B481" s="161" t="s">
        <v>2339</v>
      </c>
      <c r="C481" s="169" t="s">
        <v>2340</v>
      </c>
      <c r="D481" s="169" t="s">
        <v>2341</v>
      </c>
      <c r="E481" s="169" t="s">
        <v>2342</v>
      </c>
      <c r="F481" s="176"/>
      <c r="G481" s="162">
        <v>45596.0</v>
      </c>
      <c r="H481" s="162">
        <v>45597.0</v>
      </c>
      <c r="I481" s="163" t="s">
        <v>25</v>
      </c>
      <c r="J481" s="163" t="s">
        <v>37</v>
      </c>
      <c r="K481" s="163" t="s">
        <v>31</v>
      </c>
      <c r="L481" s="164" t="s">
        <v>74</v>
      </c>
      <c r="M481" s="161"/>
      <c r="N481" s="16" t="s">
        <v>5135</v>
      </c>
      <c r="O481" s="16"/>
      <c r="P481" s="16"/>
      <c r="Q481" s="17"/>
      <c r="R481" s="17"/>
      <c r="S481" s="17"/>
      <c r="T481" s="17"/>
      <c r="U481" s="17"/>
      <c r="V481" s="17"/>
      <c r="W481" s="17"/>
      <c r="X481" s="17"/>
      <c r="Y481" s="17"/>
    </row>
    <row r="482" ht="18.75" customHeight="1">
      <c r="A482" s="9">
        <v>481.0</v>
      </c>
      <c r="B482" s="161" t="s">
        <v>2355</v>
      </c>
      <c r="C482" s="169" t="s">
        <v>6087</v>
      </c>
      <c r="D482" s="169" t="s">
        <v>2357</v>
      </c>
      <c r="E482" s="169" t="s">
        <v>6088</v>
      </c>
      <c r="F482" s="169" t="s">
        <v>6089</v>
      </c>
      <c r="G482" s="162">
        <v>45596.0</v>
      </c>
      <c r="H482" s="162">
        <v>45597.0</v>
      </c>
      <c r="I482" s="163" t="s">
        <v>25</v>
      </c>
      <c r="J482" s="163" t="s">
        <v>37</v>
      </c>
      <c r="K482" s="163" t="s">
        <v>31</v>
      </c>
      <c r="L482" s="161" t="s">
        <v>50</v>
      </c>
      <c r="M482" s="174"/>
      <c r="N482" s="16" t="s">
        <v>5135</v>
      </c>
      <c r="O482" s="16"/>
      <c r="P482" s="16"/>
      <c r="Q482" s="17"/>
      <c r="R482" s="17"/>
      <c r="S482" s="17"/>
      <c r="T482" s="17"/>
      <c r="U482" s="17"/>
      <c r="V482" s="17"/>
      <c r="W482" s="17"/>
      <c r="X482" s="17"/>
      <c r="Y482" s="17"/>
    </row>
    <row r="483" ht="18.75" customHeight="1">
      <c r="A483" s="9">
        <v>482.0</v>
      </c>
      <c r="B483" s="161" t="s">
        <v>2360</v>
      </c>
      <c r="C483" s="169" t="s">
        <v>2361</v>
      </c>
      <c r="D483" s="169" t="s">
        <v>65</v>
      </c>
      <c r="E483" s="169" t="s">
        <v>2362</v>
      </c>
      <c r="F483" s="169" t="s">
        <v>6090</v>
      </c>
      <c r="G483" s="162">
        <v>45596.0</v>
      </c>
      <c r="H483" s="162">
        <v>45597.0</v>
      </c>
      <c r="I483" s="163" t="s">
        <v>25</v>
      </c>
      <c r="J483" s="163" t="s">
        <v>5147</v>
      </c>
      <c r="K483" s="163" t="s">
        <v>531</v>
      </c>
      <c r="L483" s="161" t="s">
        <v>50</v>
      </c>
      <c r="M483" s="174"/>
      <c r="N483" s="16" t="s">
        <v>5135</v>
      </c>
      <c r="O483" s="16"/>
      <c r="P483" s="16"/>
      <c r="Q483" s="17"/>
      <c r="R483" s="17"/>
      <c r="S483" s="17"/>
      <c r="T483" s="17"/>
      <c r="U483" s="17"/>
      <c r="V483" s="17"/>
      <c r="W483" s="17"/>
      <c r="X483" s="17"/>
      <c r="Y483" s="17"/>
    </row>
    <row r="484" ht="18.75" customHeight="1">
      <c r="A484" s="9">
        <v>483.0</v>
      </c>
      <c r="B484" s="161" t="s">
        <v>2364</v>
      </c>
      <c r="C484" s="169" t="s">
        <v>6091</v>
      </c>
      <c r="D484" s="169" t="s">
        <v>2161</v>
      </c>
      <c r="E484" s="169" t="s">
        <v>95</v>
      </c>
      <c r="F484" s="169" t="s">
        <v>6092</v>
      </c>
      <c r="G484" s="162">
        <v>45596.0</v>
      </c>
      <c r="H484" s="162">
        <v>45597.0</v>
      </c>
      <c r="I484" s="163" t="s">
        <v>25</v>
      </c>
      <c r="J484" s="163" t="s">
        <v>37</v>
      </c>
      <c r="K484" s="163" t="s">
        <v>31</v>
      </c>
      <c r="L484" s="161" t="s">
        <v>62</v>
      </c>
      <c r="M484" s="174"/>
      <c r="N484" s="16" t="s">
        <v>5135</v>
      </c>
      <c r="O484" s="16"/>
      <c r="P484" s="16"/>
      <c r="Q484" s="17"/>
      <c r="R484" s="17"/>
      <c r="S484" s="17"/>
      <c r="T484" s="17"/>
      <c r="U484" s="17"/>
      <c r="V484" s="17"/>
      <c r="W484" s="17"/>
      <c r="X484" s="17"/>
      <c r="Y484" s="17"/>
    </row>
    <row r="485" ht="18.75" customHeight="1">
      <c r="A485" s="9">
        <v>484.0</v>
      </c>
      <c r="B485" s="161" t="s">
        <v>2368</v>
      </c>
      <c r="C485" s="169" t="s">
        <v>6093</v>
      </c>
      <c r="D485" s="169" t="s">
        <v>476</v>
      </c>
      <c r="E485" s="169" t="s">
        <v>139</v>
      </c>
      <c r="F485" s="169" t="s">
        <v>6094</v>
      </c>
      <c r="G485" s="162">
        <v>45596.0</v>
      </c>
      <c r="H485" s="162">
        <v>45597.0</v>
      </c>
      <c r="I485" s="163" t="s">
        <v>25</v>
      </c>
      <c r="J485" s="163" t="s">
        <v>37</v>
      </c>
      <c r="K485" s="163" t="s">
        <v>31</v>
      </c>
      <c r="L485" s="161" t="s">
        <v>62</v>
      </c>
      <c r="M485" s="174"/>
      <c r="N485" s="16" t="s">
        <v>5135</v>
      </c>
      <c r="O485" s="16"/>
      <c r="P485" s="16"/>
      <c r="Q485" s="17"/>
      <c r="R485" s="17"/>
      <c r="S485" s="17"/>
      <c r="T485" s="17"/>
      <c r="U485" s="17"/>
      <c r="V485" s="17"/>
      <c r="W485" s="17"/>
      <c r="X485" s="17"/>
      <c r="Y485" s="17"/>
    </row>
    <row r="486" ht="18.75" customHeight="1">
      <c r="A486" s="9">
        <v>485.0</v>
      </c>
      <c r="B486" s="161" t="s">
        <v>2378</v>
      </c>
      <c r="C486" s="169" t="s">
        <v>6095</v>
      </c>
      <c r="D486" s="169" t="s">
        <v>71</v>
      </c>
      <c r="E486" s="169" t="s">
        <v>5786</v>
      </c>
      <c r="F486" s="169" t="s">
        <v>6096</v>
      </c>
      <c r="G486" s="162">
        <v>45604.0</v>
      </c>
      <c r="H486" s="162">
        <v>45605.0</v>
      </c>
      <c r="I486" s="163" t="s">
        <v>25</v>
      </c>
      <c r="J486" s="163" t="s">
        <v>37</v>
      </c>
      <c r="K486" s="163" t="s">
        <v>31</v>
      </c>
      <c r="L486" s="161" t="s">
        <v>74</v>
      </c>
      <c r="M486" s="174"/>
      <c r="N486" s="16" t="s">
        <v>5135</v>
      </c>
      <c r="O486" s="16"/>
      <c r="P486" s="16"/>
      <c r="Q486" s="17"/>
      <c r="R486" s="17"/>
      <c r="S486" s="17"/>
      <c r="T486" s="17"/>
      <c r="U486" s="17"/>
      <c r="V486" s="17"/>
      <c r="W486" s="17"/>
      <c r="X486" s="17"/>
      <c r="Y486" s="17"/>
    </row>
    <row r="487" ht="18.75" customHeight="1">
      <c r="A487" s="9">
        <v>486.0</v>
      </c>
      <c r="B487" s="161" t="s">
        <v>2382</v>
      </c>
      <c r="C487" s="169" t="s">
        <v>6097</v>
      </c>
      <c r="D487" s="169" t="s">
        <v>128</v>
      </c>
      <c r="E487" s="169" t="s">
        <v>6098</v>
      </c>
      <c r="F487" s="169" t="s">
        <v>6099</v>
      </c>
      <c r="G487" s="162">
        <v>45596.0</v>
      </c>
      <c r="H487" s="162">
        <v>45597.0</v>
      </c>
      <c r="I487" s="163" t="s">
        <v>251</v>
      </c>
      <c r="J487" s="163" t="s">
        <v>213</v>
      </c>
      <c r="K487" s="163" t="s">
        <v>31</v>
      </c>
      <c r="L487" s="165"/>
      <c r="M487" s="174"/>
      <c r="N487" s="16" t="s">
        <v>5135</v>
      </c>
      <c r="O487" s="16"/>
      <c r="P487" s="16"/>
      <c r="Q487" s="17"/>
      <c r="R487" s="17"/>
      <c r="S487" s="17"/>
      <c r="T487" s="17"/>
      <c r="U487" s="17"/>
      <c r="V487" s="17"/>
      <c r="W487" s="17"/>
      <c r="X487" s="17"/>
      <c r="Y487" s="17"/>
    </row>
    <row r="488" ht="18.75" customHeight="1">
      <c r="A488" s="9">
        <v>487.0</v>
      </c>
      <c r="B488" s="161" t="s">
        <v>2386</v>
      </c>
      <c r="C488" s="169" t="s">
        <v>6100</v>
      </c>
      <c r="D488" s="169" t="s">
        <v>110</v>
      </c>
      <c r="E488" s="169" t="s">
        <v>5711</v>
      </c>
      <c r="F488" s="169" t="s">
        <v>6101</v>
      </c>
      <c r="G488" s="162">
        <v>45596.0</v>
      </c>
      <c r="H488" s="162">
        <v>45597.0</v>
      </c>
      <c r="I488" s="163" t="s">
        <v>25</v>
      </c>
      <c r="J488" s="163" t="s">
        <v>37</v>
      </c>
      <c r="K488" s="163" t="s">
        <v>31</v>
      </c>
      <c r="L488" s="161" t="s">
        <v>74</v>
      </c>
      <c r="M488" s="174"/>
      <c r="N488" s="16" t="s">
        <v>5135</v>
      </c>
      <c r="O488" s="16"/>
      <c r="P488" s="16"/>
      <c r="Q488" s="17"/>
      <c r="R488" s="17"/>
      <c r="S488" s="17"/>
      <c r="T488" s="17"/>
      <c r="U488" s="17"/>
      <c r="V488" s="17"/>
      <c r="W488" s="17"/>
      <c r="X488" s="17"/>
      <c r="Y488" s="17"/>
    </row>
    <row r="489" ht="18.75" customHeight="1">
      <c r="A489" s="9">
        <v>488.0</v>
      </c>
      <c r="B489" s="161" t="s">
        <v>2446</v>
      </c>
      <c r="C489" s="169" t="s">
        <v>2447</v>
      </c>
      <c r="D489" s="169" t="s">
        <v>47</v>
      </c>
      <c r="E489" s="169" t="s">
        <v>1827</v>
      </c>
      <c r="F489" s="169" t="s">
        <v>6102</v>
      </c>
      <c r="G489" s="162">
        <v>45596.0</v>
      </c>
      <c r="H489" s="162">
        <v>45597.0</v>
      </c>
      <c r="I489" s="163" t="s">
        <v>25</v>
      </c>
      <c r="J489" s="163" t="s">
        <v>37</v>
      </c>
      <c r="K489" s="163" t="s">
        <v>31</v>
      </c>
      <c r="L489" s="161" t="s">
        <v>50</v>
      </c>
      <c r="M489" s="174"/>
      <c r="N489" s="16" t="s">
        <v>5135</v>
      </c>
      <c r="O489" s="16"/>
      <c r="P489" s="16"/>
      <c r="Q489" s="17"/>
      <c r="R489" s="17"/>
      <c r="S489" s="17"/>
      <c r="T489" s="17"/>
      <c r="U489" s="17"/>
      <c r="V489" s="17"/>
      <c r="W489" s="17"/>
      <c r="X489" s="17"/>
      <c r="Y489" s="17"/>
    </row>
    <row r="490" ht="18.75" customHeight="1">
      <c r="A490" s="9">
        <v>489.0</v>
      </c>
      <c r="B490" s="161" t="s">
        <v>2456</v>
      </c>
      <c r="C490" s="169" t="s">
        <v>6103</v>
      </c>
      <c r="D490" s="169" t="s">
        <v>128</v>
      </c>
      <c r="E490" s="169" t="s">
        <v>5660</v>
      </c>
      <c r="F490" s="169" t="s">
        <v>6104</v>
      </c>
      <c r="G490" s="162">
        <v>45596.0</v>
      </c>
      <c r="H490" s="162">
        <v>45597.0</v>
      </c>
      <c r="I490" s="163" t="s">
        <v>25</v>
      </c>
      <c r="J490" s="163" t="s">
        <v>37</v>
      </c>
      <c r="K490" s="163" t="s">
        <v>31</v>
      </c>
      <c r="L490" s="161" t="s">
        <v>74</v>
      </c>
      <c r="M490" s="174"/>
      <c r="N490" s="16" t="s">
        <v>5135</v>
      </c>
      <c r="O490" s="16"/>
      <c r="P490" s="16"/>
      <c r="Q490" s="17"/>
      <c r="R490" s="17"/>
      <c r="S490" s="17"/>
      <c r="T490" s="17"/>
      <c r="U490" s="17"/>
      <c r="V490" s="17"/>
      <c r="W490" s="17"/>
      <c r="X490" s="17"/>
      <c r="Y490" s="17"/>
    </row>
    <row r="491" ht="18.75" customHeight="1">
      <c r="A491" s="9">
        <v>490.0</v>
      </c>
      <c r="B491" s="161" t="s">
        <v>2459</v>
      </c>
      <c r="C491" s="169" t="s">
        <v>6105</v>
      </c>
      <c r="D491" s="169" t="s">
        <v>71</v>
      </c>
      <c r="E491" s="169" t="s">
        <v>72</v>
      </c>
      <c r="F491" s="169" t="s">
        <v>6106</v>
      </c>
      <c r="G491" s="162">
        <v>45599.0</v>
      </c>
      <c r="H491" s="162">
        <v>45600.0</v>
      </c>
      <c r="I491" s="163" t="s">
        <v>25</v>
      </c>
      <c r="J491" s="163" t="s">
        <v>37</v>
      </c>
      <c r="K491" s="163" t="s">
        <v>31</v>
      </c>
      <c r="L491" s="161" t="s">
        <v>74</v>
      </c>
      <c r="M491" s="174"/>
      <c r="N491" s="16" t="s">
        <v>5135</v>
      </c>
      <c r="O491" s="16"/>
      <c r="P491" s="16"/>
      <c r="Q491" s="17"/>
      <c r="R491" s="17"/>
      <c r="S491" s="17"/>
      <c r="T491" s="17"/>
      <c r="U491" s="17"/>
      <c r="V491" s="17"/>
      <c r="W491" s="17"/>
      <c r="X491" s="17"/>
      <c r="Y491" s="17"/>
    </row>
    <row r="492" ht="18.75" customHeight="1">
      <c r="A492" s="9">
        <v>491.0</v>
      </c>
      <c r="B492" s="161" t="s">
        <v>2466</v>
      </c>
      <c r="C492" s="169" t="s">
        <v>6107</v>
      </c>
      <c r="D492" s="169" t="s">
        <v>444</v>
      </c>
      <c r="E492" s="169" t="s">
        <v>617</v>
      </c>
      <c r="F492" s="169" t="s">
        <v>6108</v>
      </c>
      <c r="G492" s="162">
        <v>45596.0</v>
      </c>
      <c r="H492" s="162">
        <v>45597.0</v>
      </c>
      <c r="I492" s="163" t="s">
        <v>25</v>
      </c>
      <c r="J492" s="163" t="s">
        <v>37</v>
      </c>
      <c r="K492" s="163" t="s">
        <v>31</v>
      </c>
      <c r="L492" s="161" t="s">
        <v>62</v>
      </c>
      <c r="M492" s="174"/>
      <c r="N492" s="16" t="s">
        <v>5135</v>
      </c>
      <c r="O492" s="16"/>
      <c r="P492" s="16"/>
      <c r="Q492" s="17"/>
      <c r="R492" s="17"/>
      <c r="S492" s="17"/>
      <c r="T492" s="17"/>
      <c r="U492" s="17"/>
      <c r="V492" s="17"/>
      <c r="W492" s="17"/>
      <c r="X492" s="17"/>
      <c r="Y492" s="17"/>
    </row>
    <row r="493" ht="18.75" customHeight="1">
      <c r="A493" s="9">
        <v>492.0</v>
      </c>
      <c r="B493" s="161" t="s">
        <v>2477</v>
      </c>
      <c r="C493" s="169" t="s">
        <v>6109</v>
      </c>
      <c r="D493" s="169" t="s">
        <v>42</v>
      </c>
      <c r="E493" s="169" t="s">
        <v>6110</v>
      </c>
      <c r="F493" s="169" t="s">
        <v>6111</v>
      </c>
      <c r="G493" s="162">
        <v>45615.0</v>
      </c>
      <c r="H493" s="162">
        <v>45616.0</v>
      </c>
      <c r="I493" s="163" t="s">
        <v>25</v>
      </c>
      <c r="J493" s="163" t="s">
        <v>37</v>
      </c>
      <c r="K493" s="163" t="s">
        <v>31</v>
      </c>
      <c r="L493" s="161" t="s">
        <v>23</v>
      </c>
      <c r="M493" s="174"/>
      <c r="N493" s="16" t="s">
        <v>5135</v>
      </c>
      <c r="O493" s="16"/>
      <c r="P493" s="16"/>
      <c r="Q493" s="17"/>
      <c r="R493" s="17"/>
      <c r="S493" s="17"/>
      <c r="T493" s="17"/>
      <c r="U493" s="17"/>
      <c r="V493" s="17"/>
      <c r="W493" s="17"/>
      <c r="X493" s="17"/>
      <c r="Y493" s="17"/>
    </row>
    <row r="494" ht="18.75" customHeight="1">
      <c r="A494" s="9">
        <v>493.0</v>
      </c>
      <c r="B494" s="161" t="s">
        <v>2497</v>
      </c>
      <c r="C494" s="169" t="s">
        <v>6112</v>
      </c>
      <c r="D494" s="169" t="s">
        <v>128</v>
      </c>
      <c r="E494" s="169" t="s">
        <v>134</v>
      </c>
      <c r="F494" s="169" t="s">
        <v>6113</v>
      </c>
      <c r="G494" s="162">
        <v>45618.0</v>
      </c>
      <c r="H494" s="162">
        <v>45619.0</v>
      </c>
      <c r="I494" s="163" t="s">
        <v>25</v>
      </c>
      <c r="J494" s="163" t="s">
        <v>37</v>
      </c>
      <c r="K494" s="163" t="s">
        <v>31</v>
      </c>
      <c r="L494" s="161" t="s">
        <v>38</v>
      </c>
      <c r="M494" s="174"/>
      <c r="N494" s="16" t="s">
        <v>5135</v>
      </c>
      <c r="O494" s="16"/>
      <c r="P494" s="16"/>
      <c r="Q494" s="17"/>
      <c r="R494" s="17"/>
      <c r="S494" s="17"/>
      <c r="T494" s="17"/>
      <c r="U494" s="17"/>
      <c r="V494" s="17"/>
      <c r="W494" s="17"/>
      <c r="X494" s="17"/>
      <c r="Y494" s="17"/>
    </row>
    <row r="495" ht="18.75" customHeight="1">
      <c r="A495" s="9">
        <v>494.0</v>
      </c>
      <c r="B495" s="161" t="s">
        <v>6114</v>
      </c>
      <c r="C495" s="169" t="s">
        <v>6115</v>
      </c>
      <c r="D495" s="169" t="s">
        <v>328</v>
      </c>
      <c r="E495" s="169" t="s">
        <v>6116</v>
      </c>
      <c r="F495" s="169" t="s">
        <v>6117</v>
      </c>
      <c r="G495" s="162">
        <v>45596.0</v>
      </c>
      <c r="H495" s="162">
        <v>45597.0</v>
      </c>
      <c r="I495" s="163" t="s">
        <v>25</v>
      </c>
      <c r="J495" s="163" t="s">
        <v>5173</v>
      </c>
      <c r="K495" s="163" t="s">
        <v>31</v>
      </c>
      <c r="L495" s="164" t="s">
        <v>74</v>
      </c>
      <c r="M495" s="161"/>
      <c r="N495" s="16" t="s">
        <v>5135</v>
      </c>
      <c r="O495" s="16"/>
      <c r="P495" s="16"/>
      <c r="Q495" s="17"/>
      <c r="R495" s="17"/>
      <c r="S495" s="17"/>
      <c r="T495" s="17"/>
      <c r="U495" s="17"/>
      <c r="V495" s="17"/>
      <c r="W495" s="17"/>
      <c r="X495" s="17"/>
      <c r="Y495" s="17"/>
    </row>
    <row r="496" ht="18.75" customHeight="1">
      <c r="A496" s="9">
        <v>495.0</v>
      </c>
      <c r="B496" s="161" t="s">
        <v>2505</v>
      </c>
      <c r="C496" s="169" t="s">
        <v>2506</v>
      </c>
      <c r="D496" s="169" t="s">
        <v>2507</v>
      </c>
      <c r="E496" s="169" t="s">
        <v>2508</v>
      </c>
      <c r="F496" s="169" t="s">
        <v>6118</v>
      </c>
      <c r="G496" s="162">
        <v>45596.0</v>
      </c>
      <c r="H496" s="162">
        <v>45597.0</v>
      </c>
      <c r="I496" s="163" t="s">
        <v>25</v>
      </c>
      <c r="J496" s="163" t="s">
        <v>22</v>
      </c>
      <c r="K496" s="163" t="s">
        <v>31</v>
      </c>
      <c r="L496" s="164" t="s">
        <v>74</v>
      </c>
      <c r="M496" s="164"/>
      <c r="N496" s="16" t="s">
        <v>5135</v>
      </c>
      <c r="O496" s="16"/>
      <c r="P496" s="16"/>
      <c r="Q496" s="17"/>
      <c r="R496" s="17"/>
      <c r="S496" s="17"/>
      <c r="T496" s="17"/>
      <c r="U496" s="17"/>
      <c r="V496" s="17"/>
      <c r="W496" s="17"/>
      <c r="X496" s="17"/>
      <c r="Y496" s="17"/>
    </row>
    <row r="497" ht="18.75" customHeight="1">
      <c r="A497" s="9">
        <v>496.0</v>
      </c>
      <c r="B497" s="161" t="s">
        <v>2511</v>
      </c>
      <c r="C497" s="169" t="s">
        <v>6119</v>
      </c>
      <c r="D497" s="169" t="s">
        <v>646</v>
      </c>
      <c r="E497" s="169" t="s">
        <v>6120</v>
      </c>
      <c r="F497" s="169" t="s">
        <v>6121</v>
      </c>
      <c r="G497" s="162">
        <v>45609.0</v>
      </c>
      <c r="H497" s="162">
        <v>45610.0</v>
      </c>
      <c r="I497" s="163" t="s">
        <v>25</v>
      </c>
      <c r="J497" s="163" t="s">
        <v>37</v>
      </c>
      <c r="K497" s="163" t="s">
        <v>31</v>
      </c>
      <c r="L497" s="161" t="s">
        <v>62</v>
      </c>
      <c r="M497" s="174"/>
      <c r="N497" s="16" t="s">
        <v>5135</v>
      </c>
      <c r="O497" s="16"/>
      <c r="P497" s="16"/>
      <c r="Q497" s="17"/>
      <c r="R497" s="17"/>
      <c r="S497" s="17"/>
      <c r="T497" s="17"/>
      <c r="U497" s="17"/>
      <c r="V497" s="17"/>
      <c r="W497" s="17"/>
      <c r="X497" s="17"/>
      <c r="Y497" s="17"/>
    </row>
    <row r="498" ht="18.75" customHeight="1">
      <c r="A498" s="9">
        <v>497.0</v>
      </c>
      <c r="B498" s="161" t="s">
        <v>2519</v>
      </c>
      <c r="C498" s="169" t="s">
        <v>2520</v>
      </c>
      <c r="D498" s="169" t="s">
        <v>65</v>
      </c>
      <c r="E498" s="169" t="s">
        <v>2362</v>
      </c>
      <c r="F498" s="169" t="s">
        <v>6122</v>
      </c>
      <c r="G498" s="162">
        <v>45621.0</v>
      </c>
      <c r="H498" s="162">
        <v>45622.0</v>
      </c>
      <c r="I498" s="163" t="s">
        <v>25</v>
      </c>
      <c r="J498" s="163" t="s">
        <v>22</v>
      </c>
      <c r="K498" s="163" t="s">
        <v>31</v>
      </c>
      <c r="L498" s="165"/>
      <c r="M498" s="161"/>
      <c r="N498" s="16" t="s">
        <v>5135</v>
      </c>
      <c r="O498" s="16"/>
      <c r="P498" s="16"/>
      <c r="Q498" s="17"/>
      <c r="R498" s="17"/>
      <c r="S498" s="17"/>
      <c r="T498" s="17"/>
      <c r="U498" s="17"/>
      <c r="V498" s="17"/>
      <c r="W498" s="17"/>
      <c r="X498" s="17"/>
      <c r="Y498" s="17"/>
    </row>
    <row r="499" ht="18.75" customHeight="1">
      <c r="A499" s="9">
        <v>498.0</v>
      </c>
      <c r="B499" s="161" t="s">
        <v>2521</v>
      </c>
      <c r="C499" s="169" t="s">
        <v>2522</v>
      </c>
      <c r="D499" s="169" t="s">
        <v>173</v>
      </c>
      <c r="E499" s="169" t="s">
        <v>2362</v>
      </c>
      <c r="F499" s="169" t="s">
        <v>6123</v>
      </c>
      <c r="G499" s="162">
        <v>45614.0</v>
      </c>
      <c r="H499" s="162">
        <v>45615.0</v>
      </c>
      <c r="I499" s="163" t="s">
        <v>25</v>
      </c>
      <c r="J499" s="163" t="s">
        <v>22</v>
      </c>
      <c r="K499" s="163" t="s">
        <v>31</v>
      </c>
      <c r="L499" s="165"/>
      <c r="M499" s="161"/>
      <c r="N499" s="16" t="s">
        <v>5135</v>
      </c>
      <c r="O499" s="16"/>
      <c r="P499" s="16"/>
      <c r="Q499" s="17"/>
      <c r="R499" s="17"/>
      <c r="S499" s="17"/>
      <c r="T499" s="17"/>
      <c r="U499" s="17"/>
      <c r="V499" s="17"/>
      <c r="W499" s="17"/>
      <c r="X499" s="17"/>
      <c r="Y499" s="17"/>
    </row>
    <row r="500" ht="18.75" customHeight="1">
      <c r="A500" s="9">
        <v>499.0</v>
      </c>
      <c r="B500" s="161" t="s">
        <v>2523</v>
      </c>
      <c r="C500" s="169" t="s">
        <v>6124</v>
      </c>
      <c r="D500" s="169" t="s">
        <v>110</v>
      </c>
      <c r="E500" s="169" t="s">
        <v>529</v>
      </c>
      <c r="F500" s="169" t="s">
        <v>6125</v>
      </c>
      <c r="G500" s="162">
        <v>45597.0</v>
      </c>
      <c r="H500" s="162">
        <v>45598.0</v>
      </c>
      <c r="I500" s="163" t="s">
        <v>25</v>
      </c>
      <c r="J500" s="163" t="s">
        <v>37</v>
      </c>
      <c r="K500" s="163" t="s">
        <v>31</v>
      </c>
      <c r="L500" s="161" t="s">
        <v>62</v>
      </c>
      <c r="M500" s="174"/>
      <c r="N500" s="16" t="s">
        <v>5135</v>
      </c>
      <c r="O500" s="16"/>
      <c r="P500" s="16"/>
      <c r="Q500" s="17"/>
      <c r="R500" s="17"/>
      <c r="S500" s="17"/>
      <c r="T500" s="17"/>
      <c r="U500" s="17"/>
      <c r="V500" s="17"/>
      <c r="W500" s="17"/>
      <c r="X500" s="17"/>
      <c r="Y500" s="17"/>
    </row>
    <row r="501" ht="18.75" customHeight="1">
      <c r="A501" s="9">
        <v>500.0</v>
      </c>
      <c r="B501" s="161" t="s">
        <v>2527</v>
      </c>
      <c r="C501" s="169" t="s">
        <v>6126</v>
      </c>
      <c r="D501" s="169" t="s">
        <v>2305</v>
      </c>
      <c r="E501" s="169" t="s">
        <v>6127</v>
      </c>
      <c r="F501" s="169" t="s">
        <v>6128</v>
      </c>
      <c r="G501" s="162">
        <v>45611.0</v>
      </c>
      <c r="H501" s="162">
        <v>45612.0</v>
      </c>
      <c r="I501" s="163" t="s">
        <v>25</v>
      </c>
      <c r="J501" s="163" t="s">
        <v>37</v>
      </c>
      <c r="K501" s="163" t="s">
        <v>31</v>
      </c>
      <c r="L501" s="161" t="s">
        <v>62</v>
      </c>
      <c r="M501" s="174"/>
      <c r="N501" s="16" t="s">
        <v>5135</v>
      </c>
      <c r="O501" s="16"/>
      <c r="P501" s="16"/>
      <c r="Q501" s="17"/>
      <c r="R501" s="17"/>
      <c r="S501" s="17"/>
      <c r="T501" s="17"/>
      <c r="U501" s="17"/>
      <c r="V501" s="17"/>
      <c r="W501" s="17"/>
      <c r="X501" s="17"/>
      <c r="Y501" s="17"/>
    </row>
    <row r="502" ht="18.75" customHeight="1">
      <c r="A502" s="9">
        <v>501.0</v>
      </c>
      <c r="B502" s="161" t="s">
        <v>2531</v>
      </c>
      <c r="C502" s="169" t="s">
        <v>2532</v>
      </c>
      <c r="D502" s="169" t="s">
        <v>2533</v>
      </c>
      <c r="E502" s="169" t="s">
        <v>1827</v>
      </c>
      <c r="F502" s="169" t="s">
        <v>6129</v>
      </c>
      <c r="G502" s="162">
        <v>45618.0</v>
      </c>
      <c r="H502" s="162">
        <v>45619.0</v>
      </c>
      <c r="I502" s="163" t="s">
        <v>25</v>
      </c>
      <c r="J502" s="163" t="s">
        <v>37</v>
      </c>
      <c r="K502" s="163" t="s">
        <v>31</v>
      </c>
      <c r="L502" s="161" t="s">
        <v>38</v>
      </c>
      <c r="M502" s="174"/>
      <c r="N502" s="16" t="s">
        <v>5135</v>
      </c>
      <c r="O502" s="16"/>
      <c r="P502" s="16"/>
      <c r="Q502" s="17"/>
      <c r="R502" s="17"/>
      <c r="S502" s="17"/>
      <c r="T502" s="17"/>
      <c r="U502" s="17"/>
      <c r="V502" s="17"/>
      <c r="W502" s="17"/>
      <c r="X502" s="17"/>
      <c r="Y502" s="17"/>
    </row>
    <row r="503" ht="18.75" customHeight="1">
      <c r="A503" s="9">
        <v>502.0</v>
      </c>
      <c r="B503" s="161" t="s">
        <v>2538</v>
      </c>
      <c r="C503" s="169" t="s">
        <v>2539</v>
      </c>
      <c r="D503" s="169" t="s">
        <v>1749</v>
      </c>
      <c r="E503" s="169" t="s">
        <v>290</v>
      </c>
      <c r="F503" s="169" t="s">
        <v>6130</v>
      </c>
      <c r="G503" s="162">
        <v>45596.0</v>
      </c>
      <c r="H503" s="162">
        <v>45597.0</v>
      </c>
      <c r="I503" s="163" t="s">
        <v>25</v>
      </c>
      <c r="J503" s="163" t="s">
        <v>37</v>
      </c>
      <c r="K503" s="163" t="s">
        <v>31</v>
      </c>
      <c r="L503" s="161" t="s">
        <v>74</v>
      </c>
      <c r="M503" s="161"/>
      <c r="N503" s="16" t="s">
        <v>5135</v>
      </c>
      <c r="O503" s="16"/>
      <c r="P503" s="16"/>
      <c r="Q503" s="17"/>
      <c r="R503" s="17"/>
      <c r="S503" s="17"/>
      <c r="T503" s="17"/>
      <c r="U503" s="17"/>
      <c r="V503" s="17"/>
      <c r="W503" s="17"/>
      <c r="X503" s="17"/>
      <c r="Y503" s="17"/>
    </row>
    <row r="504" ht="18.75" customHeight="1">
      <c r="A504" s="9">
        <v>503.0</v>
      </c>
      <c r="B504" s="161" t="s">
        <v>2541</v>
      </c>
      <c r="C504" s="169" t="s">
        <v>2542</v>
      </c>
      <c r="D504" s="169" t="s">
        <v>1749</v>
      </c>
      <c r="E504" s="169" t="s">
        <v>290</v>
      </c>
      <c r="F504" s="169" t="s">
        <v>6131</v>
      </c>
      <c r="G504" s="162">
        <v>45596.0</v>
      </c>
      <c r="H504" s="162">
        <v>45597.0</v>
      </c>
      <c r="I504" s="163" t="s">
        <v>25</v>
      </c>
      <c r="J504" s="163" t="s">
        <v>37</v>
      </c>
      <c r="K504" s="163" t="s">
        <v>31</v>
      </c>
      <c r="L504" s="161" t="s">
        <v>74</v>
      </c>
      <c r="M504" s="161"/>
      <c r="N504" s="16" t="s">
        <v>5135</v>
      </c>
      <c r="O504" s="16"/>
      <c r="P504" s="16"/>
      <c r="Q504" s="17"/>
      <c r="R504" s="17"/>
      <c r="S504" s="17"/>
      <c r="T504" s="17"/>
      <c r="U504" s="17"/>
      <c r="V504" s="17"/>
      <c r="W504" s="17"/>
      <c r="X504" s="17"/>
      <c r="Y504" s="17"/>
    </row>
    <row r="505" ht="18.75" customHeight="1">
      <c r="A505" s="9">
        <v>504.0</v>
      </c>
      <c r="B505" s="161" t="s">
        <v>2544</v>
      </c>
      <c r="C505" s="169" t="s">
        <v>2545</v>
      </c>
      <c r="D505" s="169" t="s">
        <v>1749</v>
      </c>
      <c r="E505" s="169" t="s">
        <v>290</v>
      </c>
      <c r="F505" s="169" t="s">
        <v>6132</v>
      </c>
      <c r="G505" s="162">
        <v>45596.0</v>
      </c>
      <c r="H505" s="162">
        <v>45597.0</v>
      </c>
      <c r="I505" s="163" t="s">
        <v>25</v>
      </c>
      <c r="J505" s="163" t="s">
        <v>37</v>
      </c>
      <c r="K505" s="163" t="s">
        <v>31</v>
      </c>
      <c r="L505" s="161" t="s">
        <v>74</v>
      </c>
      <c r="M505" s="161"/>
      <c r="N505" s="16" t="s">
        <v>5135</v>
      </c>
      <c r="O505" s="16"/>
      <c r="P505" s="16"/>
      <c r="Q505" s="17"/>
      <c r="R505" s="17"/>
      <c r="S505" s="17"/>
      <c r="T505" s="17"/>
      <c r="U505" s="17"/>
      <c r="V505" s="17"/>
      <c r="W505" s="17"/>
      <c r="X505" s="17"/>
      <c r="Y505" s="17"/>
    </row>
    <row r="506" ht="18.75" customHeight="1">
      <c r="A506" s="9">
        <v>505.0</v>
      </c>
      <c r="B506" s="161" t="s">
        <v>2547</v>
      </c>
      <c r="C506" s="169" t="s">
        <v>2548</v>
      </c>
      <c r="D506" s="169" t="s">
        <v>1749</v>
      </c>
      <c r="E506" s="169" t="s">
        <v>290</v>
      </c>
      <c r="F506" s="169" t="s">
        <v>6133</v>
      </c>
      <c r="G506" s="162">
        <v>45596.0</v>
      </c>
      <c r="H506" s="162">
        <v>45597.0</v>
      </c>
      <c r="I506" s="163" t="s">
        <v>25</v>
      </c>
      <c r="J506" s="163" t="s">
        <v>37</v>
      </c>
      <c r="K506" s="163" t="s">
        <v>31</v>
      </c>
      <c r="L506" s="161" t="s">
        <v>74</v>
      </c>
      <c r="M506" s="161"/>
      <c r="N506" s="16" t="s">
        <v>5135</v>
      </c>
      <c r="O506" s="16"/>
      <c r="P506" s="16"/>
      <c r="Q506" s="17"/>
      <c r="R506" s="17"/>
      <c r="S506" s="17"/>
      <c r="T506" s="17"/>
      <c r="U506" s="17"/>
      <c r="V506" s="17"/>
      <c r="W506" s="17"/>
      <c r="X506" s="17"/>
      <c r="Y506" s="17"/>
    </row>
    <row r="507" ht="18.75" customHeight="1">
      <c r="A507" s="9">
        <v>506.0</v>
      </c>
      <c r="B507" s="161" t="s">
        <v>2550</v>
      </c>
      <c r="C507" s="169" t="s">
        <v>2551</v>
      </c>
      <c r="D507" s="169" t="s">
        <v>1749</v>
      </c>
      <c r="E507" s="169" t="s">
        <v>290</v>
      </c>
      <c r="F507" s="169" t="s">
        <v>6134</v>
      </c>
      <c r="G507" s="162">
        <v>45596.0</v>
      </c>
      <c r="H507" s="162">
        <v>45597.0</v>
      </c>
      <c r="I507" s="163" t="s">
        <v>25</v>
      </c>
      <c r="J507" s="163" t="s">
        <v>37</v>
      </c>
      <c r="K507" s="163" t="s">
        <v>31</v>
      </c>
      <c r="L507" s="161" t="s">
        <v>74</v>
      </c>
      <c r="M507" s="161"/>
      <c r="N507" s="16" t="s">
        <v>5135</v>
      </c>
      <c r="O507" s="16"/>
      <c r="P507" s="16"/>
      <c r="Q507" s="17"/>
      <c r="R507" s="17"/>
      <c r="S507" s="17"/>
      <c r="T507" s="17"/>
      <c r="U507" s="17"/>
      <c r="V507" s="17"/>
      <c r="W507" s="17"/>
      <c r="X507" s="17"/>
      <c r="Y507" s="17"/>
    </row>
    <row r="508" ht="18.75" customHeight="1">
      <c r="A508" s="9">
        <v>507.0</v>
      </c>
      <c r="B508" s="161" t="s">
        <v>2553</v>
      </c>
      <c r="C508" s="169" t="s">
        <v>2554</v>
      </c>
      <c r="D508" s="169" t="s">
        <v>1749</v>
      </c>
      <c r="E508" s="169" t="s">
        <v>290</v>
      </c>
      <c r="F508" s="169" t="s">
        <v>6135</v>
      </c>
      <c r="G508" s="162">
        <v>45596.0</v>
      </c>
      <c r="H508" s="162">
        <v>45597.0</v>
      </c>
      <c r="I508" s="163" t="s">
        <v>25</v>
      </c>
      <c r="J508" s="163" t="s">
        <v>37</v>
      </c>
      <c r="K508" s="163" t="s">
        <v>31</v>
      </c>
      <c r="L508" s="161" t="s">
        <v>74</v>
      </c>
      <c r="M508" s="161"/>
      <c r="N508" s="16" t="s">
        <v>5135</v>
      </c>
      <c r="O508" s="16"/>
      <c r="P508" s="16"/>
      <c r="Q508" s="17"/>
      <c r="R508" s="17"/>
      <c r="S508" s="17"/>
      <c r="T508" s="17"/>
      <c r="U508" s="17"/>
      <c r="V508" s="17"/>
      <c r="W508" s="17"/>
      <c r="X508" s="17"/>
      <c r="Y508" s="17"/>
    </row>
    <row r="509" ht="18.75" customHeight="1">
      <c r="A509" s="9">
        <v>508.0</v>
      </c>
      <c r="B509" s="161" t="s">
        <v>2556</v>
      </c>
      <c r="C509" s="169" t="s">
        <v>2557</v>
      </c>
      <c r="D509" s="169" t="s">
        <v>1749</v>
      </c>
      <c r="E509" s="169" t="s">
        <v>290</v>
      </c>
      <c r="F509" s="169" t="s">
        <v>6136</v>
      </c>
      <c r="G509" s="162">
        <v>45596.0</v>
      </c>
      <c r="H509" s="162">
        <v>45597.0</v>
      </c>
      <c r="I509" s="163" t="s">
        <v>25</v>
      </c>
      <c r="J509" s="163" t="s">
        <v>37</v>
      </c>
      <c r="K509" s="163" t="s">
        <v>31</v>
      </c>
      <c r="L509" s="161" t="s">
        <v>74</v>
      </c>
      <c r="M509" s="161"/>
      <c r="N509" s="16" t="s">
        <v>5135</v>
      </c>
      <c r="O509" s="16"/>
      <c r="P509" s="16"/>
      <c r="Q509" s="17"/>
      <c r="R509" s="17"/>
      <c r="S509" s="17"/>
      <c r="T509" s="17"/>
      <c r="U509" s="17"/>
      <c r="V509" s="17"/>
      <c r="W509" s="17"/>
      <c r="X509" s="17"/>
      <c r="Y509" s="17"/>
    </row>
    <row r="510" ht="18.75" customHeight="1">
      <c r="A510" s="9">
        <v>509.0</v>
      </c>
      <c r="B510" s="161" t="s">
        <v>2559</v>
      </c>
      <c r="C510" s="169" t="s">
        <v>2560</v>
      </c>
      <c r="D510" s="169" t="s">
        <v>1749</v>
      </c>
      <c r="E510" s="169" t="s">
        <v>290</v>
      </c>
      <c r="F510" s="169" t="s">
        <v>6137</v>
      </c>
      <c r="G510" s="162">
        <v>45596.0</v>
      </c>
      <c r="H510" s="162">
        <v>45597.0</v>
      </c>
      <c r="I510" s="163" t="s">
        <v>25</v>
      </c>
      <c r="J510" s="163" t="s">
        <v>37</v>
      </c>
      <c r="K510" s="163" t="s">
        <v>31</v>
      </c>
      <c r="L510" s="161" t="s">
        <v>74</v>
      </c>
      <c r="M510" s="161"/>
      <c r="N510" s="16" t="s">
        <v>5135</v>
      </c>
      <c r="O510" s="16"/>
      <c r="P510" s="16"/>
      <c r="Q510" s="17"/>
      <c r="R510" s="17"/>
      <c r="S510" s="17"/>
      <c r="T510" s="17"/>
      <c r="U510" s="17"/>
      <c r="V510" s="17"/>
      <c r="W510" s="17"/>
      <c r="X510" s="17"/>
      <c r="Y510" s="17"/>
    </row>
    <row r="511" ht="18.75" customHeight="1">
      <c r="A511" s="9">
        <v>510.0</v>
      </c>
      <c r="B511" s="161" t="s">
        <v>2562</v>
      </c>
      <c r="C511" s="169" t="s">
        <v>2563</v>
      </c>
      <c r="D511" s="169" t="s">
        <v>1749</v>
      </c>
      <c r="E511" s="169" t="s">
        <v>290</v>
      </c>
      <c r="F511" s="169" t="s">
        <v>6138</v>
      </c>
      <c r="G511" s="162">
        <v>45596.0</v>
      </c>
      <c r="H511" s="162">
        <v>45597.0</v>
      </c>
      <c r="I511" s="163" t="s">
        <v>25</v>
      </c>
      <c r="J511" s="163" t="s">
        <v>37</v>
      </c>
      <c r="K511" s="163" t="s">
        <v>31</v>
      </c>
      <c r="L511" s="161" t="s">
        <v>74</v>
      </c>
      <c r="M511" s="161"/>
      <c r="N511" s="16" t="s">
        <v>5135</v>
      </c>
      <c r="O511" s="16"/>
      <c r="P511" s="16"/>
      <c r="Q511" s="17"/>
      <c r="R511" s="17"/>
      <c r="S511" s="17"/>
      <c r="T511" s="17"/>
      <c r="U511" s="17"/>
      <c r="V511" s="17"/>
      <c r="W511" s="17"/>
      <c r="X511" s="17"/>
      <c r="Y511" s="17"/>
    </row>
    <row r="512" ht="18.75" customHeight="1">
      <c r="A512" s="9">
        <v>511.0</v>
      </c>
      <c r="B512" s="161" t="s">
        <v>2565</v>
      </c>
      <c r="C512" s="169" t="s">
        <v>2566</v>
      </c>
      <c r="D512" s="169" t="s">
        <v>1749</v>
      </c>
      <c r="E512" s="169" t="s">
        <v>290</v>
      </c>
      <c r="F512" s="169" t="s">
        <v>6139</v>
      </c>
      <c r="G512" s="162">
        <v>45596.0</v>
      </c>
      <c r="H512" s="162">
        <v>45597.0</v>
      </c>
      <c r="I512" s="163" t="s">
        <v>25</v>
      </c>
      <c r="J512" s="163" t="s">
        <v>37</v>
      </c>
      <c r="K512" s="163" t="s">
        <v>31</v>
      </c>
      <c r="L512" s="161" t="s">
        <v>74</v>
      </c>
      <c r="M512" s="161"/>
      <c r="N512" s="16" t="s">
        <v>5135</v>
      </c>
      <c r="O512" s="16"/>
      <c r="P512" s="16"/>
      <c r="Q512" s="17"/>
      <c r="R512" s="17"/>
      <c r="S512" s="17"/>
      <c r="T512" s="17"/>
      <c r="U512" s="17"/>
      <c r="V512" s="17"/>
      <c r="W512" s="17"/>
      <c r="X512" s="17"/>
      <c r="Y512" s="17"/>
    </row>
    <row r="513" ht="18.75" customHeight="1">
      <c r="A513" s="9">
        <v>512.0</v>
      </c>
      <c r="B513" s="161" t="s">
        <v>2571</v>
      </c>
      <c r="C513" s="169" t="s">
        <v>6140</v>
      </c>
      <c r="D513" s="169" t="s">
        <v>122</v>
      </c>
      <c r="E513" s="169" t="s">
        <v>5730</v>
      </c>
      <c r="F513" s="169" t="s">
        <v>6141</v>
      </c>
      <c r="G513" s="162">
        <v>45596.0</v>
      </c>
      <c r="H513" s="162">
        <v>45597.0</v>
      </c>
      <c r="I513" s="163" t="s">
        <v>251</v>
      </c>
      <c r="J513" s="163" t="s">
        <v>213</v>
      </c>
      <c r="K513" s="163" t="s">
        <v>31</v>
      </c>
      <c r="L513" s="165"/>
      <c r="M513" s="161"/>
      <c r="N513" s="16" t="s">
        <v>5135</v>
      </c>
      <c r="O513" s="16"/>
      <c r="P513" s="16"/>
      <c r="Q513" s="17"/>
      <c r="R513" s="17"/>
      <c r="S513" s="17"/>
      <c r="T513" s="17"/>
      <c r="U513" s="17"/>
      <c r="V513" s="17"/>
      <c r="W513" s="17"/>
      <c r="X513" s="17"/>
      <c r="Y513" s="17"/>
    </row>
    <row r="514" ht="18.75" customHeight="1">
      <c r="A514" s="9">
        <v>513.0</v>
      </c>
      <c r="B514" s="161" t="s">
        <v>2573</v>
      </c>
      <c r="C514" s="169" t="s">
        <v>6142</v>
      </c>
      <c r="D514" s="169" t="s">
        <v>128</v>
      </c>
      <c r="E514" s="169" t="s">
        <v>415</v>
      </c>
      <c r="F514" s="169" t="s">
        <v>6143</v>
      </c>
      <c r="G514" s="162">
        <v>45596.0</v>
      </c>
      <c r="H514" s="162">
        <v>45597.0</v>
      </c>
      <c r="I514" s="163" t="s">
        <v>251</v>
      </c>
      <c r="J514" s="163" t="s">
        <v>213</v>
      </c>
      <c r="K514" s="163" t="s">
        <v>31</v>
      </c>
      <c r="L514" s="165"/>
      <c r="M514" s="161"/>
      <c r="N514" s="16" t="s">
        <v>5135</v>
      </c>
      <c r="O514" s="16"/>
      <c r="P514" s="16"/>
      <c r="Q514" s="17"/>
      <c r="R514" s="17"/>
      <c r="S514" s="17"/>
      <c r="T514" s="17"/>
      <c r="U514" s="17"/>
      <c r="V514" s="17"/>
      <c r="W514" s="17"/>
      <c r="X514" s="17"/>
      <c r="Y514" s="17"/>
    </row>
    <row r="515" ht="18.75" customHeight="1">
      <c r="A515" s="9">
        <v>514.0</v>
      </c>
      <c r="B515" s="161" t="s">
        <v>2582</v>
      </c>
      <c r="C515" s="169" t="s">
        <v>6144</v>
      </c>
      <c r="D515" s="169" t="s">
        <v>116</v>
      </c>
      <c r="E515" s="169" t="s">
        <v>6145</v>
      </c>
      <c r="F515" s="169" t="s">
        <v>6146</v>
      </c>
      <c r="G515" s="162">
        <v>45604.0</v>
      </c>
      <c r="H515" s="162">
        <v>45605.0</v>
      </c>
      <c r="I515" s="163" t="s">
        <v>25</v>
      </c>
      <c r="J515" s="163" t="s">
        <v>37</v>
      </c>
      <c r="K515" s="163" t="s">
        <v>31</v>
      </c>
      <c r="L515" s="161" t="s">
        <v>38</v>
      </c>
      <c r="M515" s="174"/>
      <c r="N515" s="16" t="s">
        <v>5135</v>
      </c>
      <c r="O515" s="16"/>
      <c r="P515" s="16"/>
      <c r="Q515" s="17"/>
      <c r="R515" s="17"/>
      <c r="S515" s="17"/>
      <c r="T515" s="17"/>
      <c r="U515" s="17"/>
      <c r="V515" s="17"/>
      <c r="W515" s="17"/>
      <c r="X515" s="17"/>
      <c r="Y515" s="17"/>
    </row>
    <row r="516" ht="18.75" customHeight="1">
      <c r="A516" s="9">
        <v>515.0</v>
      </c>
      <c r="B516" s="161" t="s">
        <v>2598</v>
      </c>
      <c r="C516" s="169" t="s">
        <v>6147</v>
      </c>
      <c r="D516" s="169" t="s">
        <v>476</v>
      </c>
      <c r="E516" s="169" t="s">
        <v>5711</v>
      </c>
      <c r="F516" s="169" t="s">
        <v>6148</v>
      </c>
      <c r="G516" s="162">
        <v>45611.0</v>
      </c>
      <c r="H516" s="162">
        <v>45612.0</v>
      </c>
      <c r="I516" s="163" t="s">
        <v>25</v>
      </c>
      <c r="J516" s="163" t="s">
        <v>37</v>
      </c>
      <c r="K516" s="163" t="s">
        <v>31</v>
      </c>
      <c r="L516" s="161" t="s">
        <v>86</v>
      </c>
      <c r="M516" s="174"/>
      <c r="N516" s="16" t="s">
        <v>5135</v>
      </c>
      <c r="O516" s="16"/>
      <c r="P516" s="16"/>
      <c r="Q516" s="17"/>
      <c r="R516" s="17"/>
      <c r="S516" s="17"/>
      <c r="T516" s="17"/>
      <c r="U516" s="17"/>
      <c r="V516" s="17"/>
      <c r="W516" s="17"/>
      <c r="X516" s="17"/>
      <c r="Y516" s="17"/>
    </row>
    <row r="517" ht="18.75" customHeight="1">
      <c r="A517" s="9">
        <v>516.0</v>
      </c>
      <c r="B517" s="178" t="s">
        <v>2604</v>
      </c>
      <c r="C517" s="169" t="s">
        <v>6149</v>
      </c>
      <c r="D517" s="169" t="s">
        <v>128</v>
      </c>
      <c r="E517" s="169" t="s">
        <v>5469</v>
      </c>
      <c r="F517" s="169" t="s">
        <v>6150</v>
      </c>
      <c r="G517" s="162">
        <v>45601.0</v>
      </c>
      <c r="H517" s="162">
        <v>45602.0</v>
      </c>
      <c r="I517" s="163" t="s">
        <v>119</v>
      </c>
      <c r="J517" s="163" t="s">
        <v>37</v>
      </c>
      <c r="K517" s="163" t="s">
        <v>31</v>
      </c>
      <c r="L517" s="165"/>
      <c r="M517" s="174"/>
      <c r="N517" s="16" t="s">
        <v>5135</v>
      </c>
      <c r="O517" s="16"/>
      <c r="P517" s="16"/>
      <c r="Q517" s="17"/>
      <c r="R517" s="17"/>
      <c r="S517" s="17"/>
      <c r="T517" s="17"/>
      <c r="U517" s="17"/>
      <c r="V517" s="17"/>
      <c r="W517" s="17"/>
      <c r="X517" s="17"/>
      <c r="Y517" s="17"/>
    </row>
    <row r="518" ht="18.75" customHeight="1">
      <c r="A518" s="9">
        <v>517.0</v>
      </c>
      <c r="B518" s="161" t="s">
        <v>2607</v>
      </c>
      <c r="C518" s="169" t="s">
        <v>6151</v>
      </c>
      <c r="D518" s="169" t="s">
        <v>71</v>
      </c>
      <c r="E518" s="169" t="s">
        <v>4385</v>
      </c>
      <c r="F518" s="169" t="s">
        <v>6152</v>
      </c>
      <c r="G518" s="162">
        <v>45611.0</v>
      </c>
      <c r="H518" s="162">
        <v>45612.0</v>
      </c>
      <c r="I518" s="163" t="s">
        <v>25</v>
      </c>
      <c r="J518" s="163" t="s">
        <v>37</v>
      </c>
      <c r="K518" s="163" t="s">
        <v>31</v>
      </c>
      <c r="L518" s="161" t="s">
        <v>62</v>
      </c>
      <c r="M518" s="174"/>
      <c r="N518" s="16" t="s">
        <v>5135</v>
      </c>
      <c r="O518" s="16"/>
      <c r="P518" s="16"/>
      <c r="Q518" s="17"/>
      <c r="R518" s="17"/>
      <c r="S518" s="17"/>
      <c r="T518" s="17"/>
      <c r="U518" s="17"/>
      <c r="V518" s="17"/>
      <c r="W518" s="17"/>
      <c r="X518" s="17"/>
      <c r="Y518" s="17"/>
    </row>
    <row r="519" ht="18.75" customHeight="1">
      <c r="A519" s="9">
        <v>518.0</v>
      </c>
      <c r="B519" s="161" t="s">
        <v>2614</v>
      </c>
      <c r="C519" s="169" t="s">
        <v>6153</v>
      </c>
      <c r="D519" s="169" t="s">
        <v>122</v>
      </c>
      <c r="E519" s="169" t="s">
        <v>2616</v>
      </c>
      <c r="F519" s="169" t="s">
        <v>6154</v>
      </c>
      <c r="G519" s="162">
        <v>45625.0</v>
      </c>
      <c r="H519" s="162">
        <v>45626.0</v>
      </c>
      <c r="I519" s="163" t="s">
        <v>25</v>
      </c>
      <c r="J519" s="163" t="s">
        <v>37</v>
      </c>
      <c r="K519" s="163" t="s">
        <v>31</v>
      </c>
      <c r="L519" s="161" t="s">
        <v>62</v>
      </c>
      <c r="M519" s="174"/>
      <c r="N519" s="16" t="s">
        <v>5135</v>
      </c>
      <c r="O519" s="16"/>
      <c r="P519" s="16"/>
      <c r="Q519" s="17"/>
      <c r="R519" s="17"/>
      <c r="S519" s="17"/>
      <c r="T519" s="17"/>
      <c r="U519" s="17"/>
      <c r="V519" s="17"/>
      <c r="W519" s="17"/>
      <c r="X519" s="17"/>
      <c r="Y519" s="17"/>
    </row>
    <row r="520" ht="18.75" customHeight="1">
      <c r="A520" s="9">
        <v>519.0</v>
      </c>
      <c r="B520" s="161" t="s">
        <v>2618</v>
      </c>
      <c r="C520" s="169" t="s">
        <v>6155</v>
      </c>
      <c r="D520" s="169" t="s">
        <v>173</v>
      </c>
      <c r="E520" s="169" t="s">
        <v>6156</v>
      </c>
      <c r="F520" s="169" t="s">
        <v>6157</v>
      </c>
      <c r="G520" s="162">
        <v>45611.0</v>
      </c>
      <c r="H520" s="162">
        <v>45612.0</v>
      </c>
      <c r="I520" s="163" t="s">
        <v>25</v>
      </c>
      <c r="J520" s="163" t="s">
        <v>37</v>
      </c>
      <c r="K520" s="163" t="s">
        <v>31</v>
      </c>
      <c r="L520" s="161" t="s">
        <v>86</v>
      </c>
      <c r="M520" s="174"/>
      <c r="N520" s="16" t="s">
        <v>5135</v>
      </c>
      <c r="O520" s="16"/>
      <c r="P520" s="16"/>
      <c r="Q520" s="17"/>
      <c r="R520" s="17"/>
      <c r="S520" s="17"/>
      <c r="T520" s="17"/>
      <c r="U520" s="17"/>
      <c r="V520" s="17"/>
      <c r="W520" s="17"/>
      <c r="X520" s="17"/>
      <c r="Y520" s="17"/>
    </row>
    <row r="521" ht="18.75" customHeight="1">
      <c r="A521" s="9">
        <v>520.0</v>
      </c>
      <c r="B521" s="161" t="s">
        <v>2360</v>
      </c>
      <c r="C521" s="169" t="s">
        <v>2361</v>
      </c>
      <c r="D521" s="169" t="s">
        <v>65</v>
      </c>
      <c r="E521" s="169" t="s">
        <v>2362</v>
      </c>
      <c r="F521" s="169" t="s">
        <v>6090</v>
      </c>
      <c r="G521" s="162">
        <v>45613.0</v>
      </c>
      <c r="H521" s="162">
        <v>45614.0</v>
      </c>
      <c r="I521" s="163" t="s">
        <v>251</v>
      </c>
      <c r="J521" s="163" t="s">
        <v>37</v>
      </c>
      <c r="K521" s="163" t="s">
        <v>31</v>
      </c>
      <c r="L521" s="161" t="s">
        <v>62</v>
      </c>
      <c r="M521" s="174"/>
      <c r="N521" s="16" t="s">
        <v>5135</v>
      </c>
      <c r="O521" s="16"/>
      <c r="P521" s="16"/>
      <c r="Q521" s="17"/>
      <c r="R521" s="17"/>
      <c r="S521" s="17"/>
      <c r="T521" s="17"/>
      <c r="U521" s="17"/>
      <c r="V521" s="17"/>
      <c r="W521" s="17"/>
      <c r="X521" s="17"/>
      <c r="Y521" s="17"/>
    </row>
    <row r="522" ht="18.75" customHeight="1">
      <c r="A522" s="9">
        <v>521.0</v>
      </c>
      <c r="B522" s="161" t="s">
        <v>2644</v>
      </c>
      <c r="C522" s="169" t="s">
        <v>5375</v>
      </c>
      <c r="D522" s="169" t="s">
        <v>122</v>
      </c>
      <c r="E522" s="169" t="s">
        <v>2646</v>
      </c>
      <c r="F522" s="169" t="s">
        <v>6158</v>
      </c>
      <c r="G522" s="162">
        <v>45596.0</v>
      </c>
      <c r="H522" s="162">
        <v>45597.0</v>
      </c>
      <c r="I522" s="163" t="s">
        <v>251</v>
      </c>
      <c r="J522" s="163" t="s">
        <v>213</v>
      </c>
      <c r="K522" s="163" t="s">
        <v>31</v>
      </c>
      <c r="L522" s="165"/>
      <c r="M522" s="174"/>
      <c r="N522" s="16" t="s">
        <v>5135</v>
      </c>
      <c r="O522" s="16"/>
      <c r="P522" s="16"/>
      <c r="Q522" s="17"/>
      <c r="R522" s="17"/>
      <c r="S522" s="17"/>
      <c r="T522" s="17"/>
      <c r="U522" s="17"/>
      <c r="V522" s="17"/>
      <c r="W522" s="17"/>
      <c r="X522" s="17"/>
      <c r="Y522" s="17"/>
    </row>
    <row r="523" ht="18.75" customHeight="1">
      <c r="A523" s="9">
        <v>522.0</v>
      </c>
      <c r="B523" s="161" t="s">
        <v>2647</v>
      </c>
      <c r="C523" s="169" t="s">
        <v>6159</v>
      </c>
      <c r="D523" s="169" t="s">
        <v>110</v>
      </c>
      <c r="E523" s="169" t="s">
        <v>1944</v>
      </c>
      <c r="F523" s="169" t="s">
        <v>6160</v>
      </c>
      <c r="G523" s="162">
        <v>45608.0</v>
      </c>
      <c r="H523" s="162">
        <v>45609.0</v>
      </c>
      <c r="I523" s="163" t="s">
        <v>251</v>
      </c>
      <c r="J523" s="163" t="s">
        <v>213</v>
      </c>
      <c r="K523" s="163" t="s">
        <v>31</v>
      </c>
      <c r="L523" s="165"/>
      <c r="M523" s="174"/>
      <c r="N523" s="16" t="s">
        <v>5135</v>
      </c>
      <c r="O523" s="16"/>
      <c r="P523" s="16"/>
      <c r="Q523" s="17"/>
      <c r="R523" s="17"/>
      <c r="S523" s="17"/>
      <c r="T523" s="17"/>
      <c r="U523" s="17"/>
      <c r="V523" s="17"/>
      <c r="W523" s="17"/>
      <c r="X523" s="17"/>
      <c r="Y523" s="17"/>
    </row>
    <row r="524" ht="18.75" customHeight="1">
      <c r="A524" s="9">
        <v>523.0</v>
      </c>
      <c r="B524" s="161" t="s">
        <v>2665</v>
      </c>
      <c r="C524" s="169" t="s">
        <v>6161</v>
      </c>
      <c r="D524" s="169" t="s">
        <v>128</v>
      </c>
      <c r="E524" s="169" t="s">
        <v>6162</v>
      </c>
      <c r="F524" s="169" t="s">
        <v>6163</v>
      </c>
      <c r="G524" s="162">
        <v>45596.0</v>
      </c>
      <c r="H524" s="162">
        <v>45597.0</v>
      </c>
      <c r="I524" s="163" t="s">
        <v>251</v>
      </c>
      <c r="J524" s="163" t="s">
        <v>213</v>
      </c>
      <c r="K524" s="163" t="s">
        <v>31</v>
      </c>
      <c r="L524" s="165"/>
      <c r="M524" s="174"/>
      <c r="N524" s="16" t="s">
        <v>5135</v>
      </c>
      <c r="O524" s="16"/>
      <c r="P524" s="16"/>
      <c r="Q524" s="17"/>
      <c r="R524" s="17"/>
      <c r="S524" s="17"/>
      <c r="T524" s="17"/>
      <c r="U524" s="17"/>
      <c r="V524" s="17"/>
      <c r="W524" s="17"/>
      <c r="X524" s="17"/>
      <c r="Y524" s="17"/>
    </row>
    <row r="525" ht="18.75" customHeight="1">
      <c r="A525" s="9">
        <v>524.0</v>
      </c>
      <c r="B525" s="161" t="s">
        <v>2668</v>
      </c>
      <c r="C525" s="169" t="s">
        <v>6164</v>
      </c>
      <c r="D525" s="169" t="s">
        <v>122</v>
      </c>
      <c r="E525" s="169" t="s">
        <v>6162</v>
      </c>
      <c r="F525" s="169" t="s">
        <v>6165</v>
      </c>
      <c r="G525" s="162">
        <v>45624.0</v>
      </c>
      <c r="H525" s="162">
        <v>45625.0</v>
      </c>
      <c r="I525" s="163" t="s">
        <v>25</v>
      </c>
      <c r="J525" s="163" t="s">
        <v>37</v>
      </c>
      <c r="K525" s="163" t="s">
        <v>31</v>
      </c>
      <c r="L525" s="165"/>
      <c r="M525" s="174"/>
      <c r="N525" s="16" t="s">
        <v>5135</v>
      </c>
      <c r="O525" s="16"/>
      <c r="P525" s="16"/>
      <c r="Q525" s="17"/>
      <c r="R525" s="17"/>
      <c r="S525" s="17"/>
      <c r="T525" s="17"/>
      <c r="U525" s="17"/>
      <c r="V525" s="17"/>
      <c r="W525" s="17"/>
      <c r="X525" s="17"/>
      <c r="Y525" s="17"/>
    </row>
    <row r="526" ht="18.75" customHeight="1">
      <c r="A526" s="9">
        <v>525.0</v>
      </c>
      <c r="B526" s="161" t="s">
        <v>2671</v>
      </c>
      <c r="C526" s="169" t="s">
        <v>6166</v>
      </c>
      <c r="D526" s="169" t="s">
        <v>122</v>
      </c>
      <c r="E526" s="169" t="s">
        <v>6167</v>
      </c>
      <c r="F526" s="169" t="s">
        <v>6168</v>
      </c>
      <c r="G526" s="162">
        <v>45599.0</v>
      </c>
      <c r="H526" s="162">
        <v>45600.0</v>
      </c>
      <c r="I526" s="163" t="s">
        <v>251</v>
      </c>
      <c r="J526" s="163" t="s">
        <v>213</v>
      </c>
      <c r="K526" s="163" t="s">
        <v>31</v>
      </c>
      <c r="L526" s="165"/>
      <c r="M526" s="174"/>
      <c r="N526" s="16" t="s">
        <v>5135</v>
      </c>
      <c r="O526" s="16"/>
      <c r="P526" s="16"/>
      <c r="Q526" s="17"/>
      <c r="R526" s="17"/>
      <c r="S526" s="17"/>
      <c r="T526" s="17"/>
      <c r="U526" s="17"/>
      <c r="V526" s="17"/>
      <c r="W526" s="17"/>
      <c r="X526" s="17"/>
      <c r="Y526" s="17"/>
    </row>
    <row r="527" ht="18.75" customHeight="1">
      <c r="A527" s="9">
        <v>526.0</v>
      </c>
      <c r="B527" s="178" t="s">
        <v>2691</v>
      </c>
      <c r="C527" s="169" t="s">
        <v>2692</v>
      </c>
      <c r="D527" s="169" t="s">
        <v>646</v>
      </c>
      <c r="E527" s="169" t="s">
        <v>6169</v>
      </c>
      <c r="F527" s="169" t="s">
        <v>6170</v>
      </c>
      <c r="G527" s="162">
        <v>45626.0</v>
      </c>
      <c r="H527" s="162">
        <v>45627.0</v>
      </c>
      <c r="I527" s="163" t="s">
        <v>119</v>
      </c>
      <c r="J527" s="163" t="s">
        <v>22</v>
      </c>
      <c r="K527" s="163" t="s">
        <v>31</v>
      </c>
      <c r="L527" s="161" t="s">
        <v>62</v>
      </c>
      <c r="M527" s="164"/>
      <c r="N527" s="16" t="s">
        <v>5135</v>
      </c>
      <c r="O527" s="16"/>
      <c r="P527" s="16"/>
      <c r="Q527" s="17"/>
      <c r="R527" s="17"/>
      <c r="S527" s="17"/>
      <c r="T527" s="17"/>
      <c r="U527" s="17"/>
      <c r="V527" s="17"/>
      <c r="W527" s="17"/>
      <c r="X527" s="17"/>
      <c r="Y527" s="17"/>
    </row>
    <row r="528" ht="18.75" customHeight="1">
      <c r="A528" s="9">
        <v>527.0</v>
      </c>
      <c r="B528" s="166" t="s">
        <v>2431</v>
      </c>
      <c r="C528" s="170" t="s">
        <v>2432</v>
      </c>
      <c r="D528" s="170" t="s">
        <v>2305</v>
      </c>
      <c r="E528" s="170" t="s">
        <v>2433</v>
      </c>
      <c r="F528" s="170" t="s">
        <v>6171</v>
      </c>
      <c r="G528" s="173">
        <v>45626.0</v>
      </c>
      <c r="H528" s="162">
        <v>45627.0</v>
      </c>
      <c r="I528" s="163" t="s">
        <v>21</v>
      </c>
      <c r="J528" s="163" t="s">
        <v>5147</v>
      </c>
      <c r="K528" s="163" t="s">
        <v>531</v>
      </c>
      <c r="L528" s="161" t="s">
        <v>62</v>
      </c>
      <c r="M528" s="174"/>
      <c r="N528" s="16"/>
      <c r="O528" s="16"/>
      <c r="P528" s="16"/>
      <c r="Q528" s="17"/>
      <c r="R528" s="17"/>
      <c r="S528" s="17"/>
      <c r="T528" s="17"/>
      <c r="U528" s="17"/>
      <c r="V528" s="17"/>
      <c r="W528" s="17"/>
      <c r="X528" s="17"/>
      <c r="Y528" s="17"/>
    </row>
    <row r="529" ht="18.75" customHeight="1">
      <c r="A529" s="9">
        <v>528.0</v>
      </c>
      <c r="B529" s="161" t="s">
        <v>2442</v>
      </c>
      <c r="C529" s="169" t="s">
        <v>2443</v>
      </c>
      <c r="D529" s="169" t="s">
        <v>116</v>
      </c>
      <c r="E529" s="169" t="s">
        <v>2444</v>
      </c>
      <c r="F529" s="169" t="s">
        <v>6172</v>
      </c>
      <c r="G529" s="162">
        <v>45626.0</v>
      </c>
      <c r="H529" s="162">
        <v>45627.0</v>
      </c>
      <c r="I529" s="163" t="s">
        <v>25</v>
      </c>
      <c r="J529" s="163" t="s">
        <v>37</v>
      </c>
      <c r="K529" s="163" t="s">
        <v>31</v>
      </c>
      <c r="L529" s="161" t="s">
        <v>74</v>
      </c>
      <c r="M529" s="161"/>
      <c r="N529" s="16" t="s">
        <v>5135</v>
      </c>
      <c r="O529" s="16"/>
      <c r="P529" s="16"/>
      <c r="Q529" s="17"/>
      <c r="R529" s="17"/>
      <c r="S529" s="17"/>
      <c r="T529" s="17"/>
      <c r="U529" s="17"/>
      <c r="V529" s="17"/>
      <c r="W529" s="17"/>
      <c r="X529" s="17"/>
      <c r="Y529" s="17"/>
    </row>
    <row r="530" ht="18.75" customHeight="1">
      <c r="A530" s="9">
        <v>529.0</v>
      </c>
      <c r="B530" s="161" t="s">
        <v>2568</v>
      </c>
      <c r="C530" s="169" t="s">
        <v>6173</v>
      </c>
      <c r="D530" s="169" t="s">
        <v>871</v>
      </c>
      <c r="E530" s="169" t="s">
        <v>624</v>
      </c>
      <c r="F530" s="169" t="s">
        <v>6174</v>
      </c>
      <c r="G530" s="162">
        <v>45626.0</v>
      </c>
      <c r="H530" s="162">
        <v>45627.0</v>
      </c>
      <c r="I530" s="163" t="s">
        <v>25</v>
      </c>
      <c r="J530" s="163" t="s">
        <v>37</v>
      </c>
      <c r="K530" s="163" t="s">
        <v>31</v>
      </c>
      <c r="L530" s="164" t="s">
        <v>50</v>
      </c>
      <c r="M530" s="174"/>
      <c r="N530" s="16" t="s">
        <v>5135</v>
      </c>
      <c r="O530" s="16"/>
      <c r="P530" s="16"/>
      <c r="Q530" s="17"/>
      <c r="R530" s="17"/>
      <c r="S530" s="17"/>
      <c r="T530" s="17"/>
      <c r="U530" s="17"/>
      <c r="V530" s="17"/>
      <c r="W530" s="17"/>
      <c r="X530" s="17"/>
      <c r="Y530" s="17"/>
    </row>
    <row r="531" ht="18.75" customHeight="1">
      <c r="A531" s="9">
        <v>530.0</v>
      </c>
      <c r="B531" s="161" t="s">
        <v>2595</v>
      </c>
      <c r="C531" s="169" t="s">
        <v>6175</v>
      </c>
      <c r="D531" s="169" t="s">
        <v>2200</v>
      </c>
      <c r="E531" s="169" t="s">
        <v>2301</v>
      </c>
      <c r="F531" s="169" t="s">
        <v>6176</v>
      </c>
      <c r="G531" s="162">
        <v>45626.0</v>
      </c>
      <c r="H531" s="162">
        <v>45627.0</v>
      </c>
      <c r="I531" s="163" t="s">
        <v>25</v>
      </c>
      <c r="J531" s="163" t="s">
        <v>37</v>
      </c>
      <c r="K531" s="163" t="s">
        <v>31</v>
      </c>
      <c r="L531" s="164" t="s">
        <v>50</v>
      </c>
      <c r="M531" s="174"/>
      <c r="N531" s="16" t="s">
        <v>5135</v>
      </c>
      <c r="O531" s="16"/>
      <c r="P531" s="16"/>
      <c r="Q531" s="17"/>
      <c r="R531" s="17"/>
      <c r="S531" s="17"/>
      <c r="T531" s="17"/>
      <c r="U531" s="17"/>
      <c r="V531" s="17"/>
      <c r="W531" s="17"/>
      <c r="X531" s="17"/>
      <c r="Y531" s="17"/>
    </row>
    <row r="532" ht="18.75" customHeight="1">
      <c r="A532" s="9">
        <v>531.0</v>
      </c>
      <c r="B532" s="161" t="s">
        <v>2601</v>
      </c>
      <c r="C532" s="169" t="s">
        <v>2602</v>
      </c>
      <c r="D532" s="169" t="s">
        <v>1397</v>
      </c>
      <c r="E532" s="169" t="s">
        <v>2603</v>
      </c>
      <c r="F532" s="169" t="s">
        <v>6177</v>
      </c>
      <c r="G532" s="162">
        <v>45630.0</v>
      </c>
      <c r="H532" s="162">
        <v>45631.0</v>
      </c>
      <c r="I532" s="163" t="s">
        <v>25</v>
      </c>
      <c r="J532" s="163" t="s">
        <v>22</v>
      </c>
      <c r="K532" s="163" t="s">
        <v>31</v>
      </c>
      <c r="L532" s="164" t="s">
        <v>62</v>
      </c>
      <c r="M532" s="161"/>
      <c r="N532" s="16" t="s">
        <v>5135</v>
      </c>
      <c r="O532" s="16"/>
      <c r="P532" s="16"/>
      <c r="Q532" s="17"/>
      <c r="R532" s="17"/>
      <c r="S532" s="17"/>
      <c r="T532" s="17"/>
      <c r="U532" s="17"/>
      <c r="V532" s="17"/>
      <c r="W532" s="17"/>
      <c r="X532" s="17"/>
      <c r="Y532" s="17"/>
    </row>
    <row r="533" ht="18.75" customHeight="1">
      <c r="A533" s="9">
        <v>532.0</v>
      </c>
      <c r="B533" s="161" t="s">
        <v>2611</v>
      </c>
      <c r="C533" s="169" t="s">
        <v>6178</v>
      </c>
      <c r="D533" s="169" t="s">
        <v>42</v>
      </c>
      <c r="E533" s="169" t="s">
        <v>6055</v>
      </c>
      <c r="F533" s="169" t="s">
        <v>6179</v>
      </c>
      <c r="G533" s="162">
        <v>45631.0</v>
      </c>
      <c r="H533" s="162">
        <v>45632.0</v>
      </c>
      <c r="I533" s="163" t="s">
        <v>25</v>
      </c>
      <c r="J533" s="163" t="s">
        <v>37</v>
      </c>
      <c r="K533" s="163" t="s">
        <v>31</v>
      </c>
      <c r="L533" s="161" t="s">
        <v>62</v>
      </c>
      <c r="M533" s="174"/>
      <c r="N533" s="16" t="s">
        <v>5135</v>
      </c>
      <c r="O533" s="16"/>
      <c r="P533" s="16"/>
      <c r="Q533" s="17"/>
      <c r="R533" s="17"/>
      <c r="S533" s="17"/>
      <c r="T533" s="17"/>
      <c r="U533" s="17"/>
      <c r="V533" s="17"/>
      <c r="W533" s="17"/>
      <c r="X533" s="17"/>
      <c r="Y533" s="17"/>
    </row>
    <row r="534" ht="18.75" customHeight="1">
      <c r="A534" s="9">
        <v>533.0</v>
      </c>
      <c r="B534" s="161" t="s">
        <v>2627</v>
      </c>
      <c r="C534" s="169" t="s">
        <v>6180</v>
      </c>
      <c r="D534" s="169" t="s">
        <v>42</v>
      </c>
      <c r="E534" s="169" t="s">
        <v>5711</v>
      </c>
      <c r="F534" s="169" t="s">
        <v>6181</v>
      </c>
      <c r="G534" s="162">
        <v>45626.0</v>
      </c>
      <c r="H534" s="162">
        <v>45627.0</v>
      </c>
      <c r="I534" s="163" t="s">
        <v>25</v>
      </c>
      <c r="J534" s="163" t="s">
        <v>37</v>
      </c>
      <c r="K534" s="163" t="s">
        <v>31</v>
      </c>
      <c r="L534" s="161" t="s">
        <v>38</v>
      </c>
      <c r="M534" s="161"/>
      <c r="N534" s="16" t="s">
        <v>5135</v>
      </c>
      <c r="O534" s="16"/>
      <c r="P534" s="16"/>
      <c r="Q534" s="17"/>
      <c r="R534" s="17"/>
      <c r="S534" s="17"/>
      <c r="T534" s="17"/>
      <c r="U534" s="17"/>
      <c r="V534" s="17"/>
      <c r="W534" s="17"/>
      <c r="X534" s="17"/>
      <c r="Y534" s="17"/>
    </row>
    <row r="535" ht="18.75" customHeight="1">
      <c r="A535" s="9">
        <v>534.0</v>
      </c>
      <c r="B535" s="166" t="s">
        <v>2630</v>
      </c>
      <c r="C535" s="170" t="s">
        <v>6182</v>
      </c>
      <c r="D535" s="170" t="s">
        <v>59</v>
      </c>
      <c r="E535" s="170" t="s">
        <v>139</v>
      </c>
      <c r="F535" s="170" t="s">
        <v>6183</v>
      </c>
      <c r="G535" s="162">
        <v>45626.0</v>
      </c>
      <c r="H535" s="162">
        <v>45627.0</v>
      </c>
      <c r="I535" s="163" t="s">
        <v>21</v>
      </c>
      <c r="J535" s="163" t="s">
        <v>37</v>
      </c>
      <c r="K535" s="163" t="s">
        <v>531</v>
      </c>
      <c r="L535" s="161" t="s">
        <v>97</v>
      </c>
      <c r="M535" s="174"/>
      <c r="N535" s="16"/>
      <c r="O535" s="16"/>
      <c r="P535" s="16"/>
      <c r="Q535" s="17"/>
      <c r="R535" s="17"/>
      <c r="S535" s="17"/>
      <c r="T535" s="17"/>
      <c r="U535" s="17"/>
      <c r="V535" s="17"/>
      <c r="W535" s="17"/>
      <c r="X535" s="17"/>
      <c r="Y535" s="17"/>
    </row>
    <row r="536" ht="18.75" customHeight="1">
      <c r="A536" s="9">
        <v>535.0</v>
      </c>
      <c r="B536" s="178" t="s">
        <v>2633</v>
      </c>
      <c r="C536" s="169" t="s">
        <v>6184</v>
      </c>
      <c r="D536" s="169" t="s">
        <v>122</v>
      </c>
      <c r="E536" s="169" t="s">
        <v>6185</v>
      </c>
      <c r="F536" s="169" t="s">
        <v>6186</v>
      </c>
      <c r="G536" s="162">
        <v>45657.0</v>
      </c>
      <c r="H536" s="162">
        <v>45658.0</v>
      </c>
      <c r="I536" s="163" t="s">
        <v>25</v>
      </c>
      <c r="J536" s="163" t="s">
        <v>37</v>
      </c>
      <c r="K536" s="163" t="s">
        <v>31</v>
      </c>
      <c r="L536" s="164" t="s">
        <v>86</v>
      </c>
      <c r="M536" s="174"/>
      <c r="N536" s="16" t="s">
        <v>5135</v>
      </c>
      <c r="O536" s="16"/>
      <c r="P536" s="16"/>
      <c r="Q536" s="17"/>
      <c r="R536" s="17"/>
      <c r="S536" s="17"/>
      <c r="T536" s="17"/>
      <c r="U536" s="17"/>
      <c r="V536" s="17"/>
      <c r="W536" s="17"/>
      <c r="X536" s="17"/>
      <c r="Y536" s="17"/>
    </row>
    <row r="537" ht="18.75" customHeight="1">
      <c r="A537" s="9">
        <v>536.0</v>
      </c>
      <c r="B537" s="161" t="s">
        <v>2637</v>
      </c>
      <c r="C537" s="169" t="s">
        <v>6187</v>
      </c>
      <c r="D537" s="169" t="s">
        <v>42</v>
      </c>
      <c r="E537" s="169" t="s">
        <v>6098</v>
      </c>
      <c r="F537" s="169" t="s">
        <v>6188</v>
      </c>
      <c r="G537" s="162">
        <v>45626.0</v>
      </c>
      <c r="H537" s="162">
        <v>45627.0</v>
      </c>
      <c r="I537" s="163" t="s">
        <v>25</v>
      </c>
      <c r="J537" s="163" t="s">
        <v>37</v>
      </c>
      <c r="K537" s="163" t="s">
        <v>31</v>
      </c>
      <c r="L537" s="164" t="s">
        <v>23</v>
      </c>
      <c r="M537" s="174"/>
      <c r="N537" s="16" t="s">
        <v>5135</v>
      </c>
      <c r="O537" s="16"/>
      <c r="P537" s="16"/>
      <c r="Q537" s="17"/>
      <c r="R537" s="17"/>
      <c r="S537" s="17"/>
      <c r="T537" s="17"/>
      <c r="U537" s="17"/>
      <c r="V537" s="17"/>
      <c r="W537" s="17"/>
      <c r="X537" s="17"/>
      <c r="Y537" s="17"/>
    </row>
    <row r="538" ht="18.75" customHeight="1">
      <c r="A538" s="9">
        <v>537.0</v>
      </c>
      <c r="B538" s="161" t="s">
        <v>2640</v>
      </c>
      <c r="C538" s="169" t="s">
        <v>6189</v>
      </c>
      <c r="D538" s="169" t="s">
        <v>122</v>
      </c>
      <c r="E538" s="169" t="s">
        <v>1232</v>
      </c>
      <c r="F538" s="169" t="s">
        <v>6190</v>
      </c>
      <c r="G538" s="162">
        <v>45626.0</v>
      </c>
      <c r="H538" s="162">
        <v>45627.0</v>
      </c>
      <c r="I538" s="163" t="s">
        <v>25</v>
      </c>
      <c r="J538" s="163" t="s">
        <v>37</v>
      </c>
      <c r="K538" s="163" t="s">
        <v>31</v>
      </c>
      <c r="L538" s="164" t="s">
        <v>86</v>
      </c>
      <c r="M538" s="174"/>
      <c r="N538" s="16" t="s">
        <v>5135</v>
      </c>
      <c r="O538" s="16"/>
      <c r="P538" s="16"/>
      <c r="Q538" s="17"/>
      <c r="R538" s="17"/>
      <c r="S538" s="17"/>
      <c r="T538" s="17"/>
      <c r="U538" s="17"/>
      <c r="V538" s="17"/>
      <c r="W538" s="17"/>
      <c r="X538" s="17"/>
      <c r="Y538" s="17"/>
    </row>
    <row r="539" ht="18.75" customHeight="1">
      <c r="A539" s="9">
        <v>538.0</v>
      </c>
      <c r="B539" s="161" t="s">
        <v>2515</v>
      </c>
      <c r="C539" s="169" t="s">
        <v>2516</v>
      </c>
      <c r="D539" s="169" t="s">
        <v>1817</v>
      </c>
      <c r="E539" s="169" t="s">
        <v>2433</v>
      </c>
      <c r="F539" s="169" t="s">
        <v>6191</v>
      </c>
      <c r="G539" s="162">
        <v>45626.0</v>
      </c>
      <c r="H539" s="162">
        <v>45627.0</v>
      </c>
      <c r="I539" s="163" t="s">
        <v>25</v>
      </c>
      <c r="J539" s="163" t="s">
        <v>22</v>
      </c>
      <c r="K539" s="163" t="s">
        <v>31</v>
      </c>
      <c r="L539" s="164" t="s">
        <v>38</v>
      </c>
      <c r="M539" s="164"/>
      <c r="N539" s="16" t="s">
        <v>5135</v>
      </c>
      <c r="O539" s="16"/>
      <c r="P539" s="16"/>
      <c r="Q539" s="17"/>
      <c r="R539" s="17"/>
      <c r="S539" s="17"/>
      <c r="T539" s="17"/>
      <c r="U539" s="17"/>
      <c r="V539" s="17"/>
      <c r="W539" s="17"/>
      <c r="X539" s="17"/>
      <c r="Y539" s="17"/>
    </row>
    <row r="540" ht="18.75" customHeight="1">
      <c r="A540" s="9">
        <v>539.0</v>
      </c>
      <c r="B540" s="178" t="s">
        <v>2650</v>
      </c>
      <c r="C540" s="169" t="s">
        <v>6192</v>
      </c>
      <c r="D540" s="169" t="s">
        <v>128</v>
      </c>
      <c r="E540" s="169" t="s">
        <v>1232</v>
      </c>
      <c r="F540" s="169" t="s">
        <v>6193</v>
      </c>
      <c r="G540" s="162">
        <v>45657.0</v>
      </c>
      <c r="H540" s="162">
        <v>45658.0</v>
      </c>
      <c r="I540" s="163" t="s">
        <v>25</v>
      </c>
      <c r="J540" s="163" t="s">
        <v>37</v>
      </c>
      <c r="K540" s="163" t="s">
        <v>31</v>
      </c>
      <c r="L540" s="164" t="s">
        <v>62</v>
      </c>
      <c r="M540" s="174"/>
      <c r="N540" s="16" t="s">
        <v>5135</v>
      </c>
      <c r="O540" s="16"/>
      <c r="P540" s="16"/>
      <c r="Q540" s="17"/>
      <c r="R540" s="17"/>
      <c r="S540" s="17"/>
      <c r="T540" s="17"/>
      <c r="U540" s="17"/>
      <c r="V540" s="17"/>
      <c r="W540" s="17"/>
      <c r="X540" s="17"/>
      <c r="Y540" s="17"/>
    </row>
    <row r="541" ht="18.75" customHeight="1">
      <c r="A541" s="9">
        <v>540.0</v>
      </c>
      <c r="B541" s="178" t="s">
        <v>2653</v>
      </c>
      <c r="C541" s="169" t="s">
        <v>2654</v>
      </c>
      <c r="D541" s="169" t="s">
        <v>128</v>
      </c>
      <c r="E541" s="169" t="s">
        <v>2208</v>
      </c>
      <c r="F541" s="169" t="s">
        <v>6194</v>
      </c>
      <c r="G541" s="162">
        <v>45646.0</v>
      </c>
      <c r="H541" s="162">
        <v>45647.0</v>
      </c>
      <c r="I541" s="163" t="s">
        <v>25</v>
      </c>
      <c r="J541" s="163" t="s">
        <v>22</v>
      </c>
      <c r="K541" s="163" t="s">
        <v>31</v>
      </c>
      <c r="L541" s="164" t="s">
        <v>62</v>
      </c>
      <c r="M541" s="164"/>
      <c r="N541" s="16" t="s">
        <v>5135</v>
      </c>
      <c r="O541" s="16"/>
      <c r="P541" s="16"/>
      <c r="Q541" s="17"/>
      <c r="R541" s="17"/>
      <c r="S541" s="17"/>
      <c r="T541" s="17"/>
      <c r="U541" s="17"/>
      <c r="V541" s="17"/>
      <c r="W541" s="17"/>
      <c r="X541" s="17"/>
      <c r="Y541" s="17"/>
    </row>
    <row r="542" ht="18.75" customHeight="1">
      <c r="A542" s="9">
        <v>541.0</v>
      </c>
      <c r="B542" s="179" t="s">
        <v>2656</v>
      </c>
      <c r="C542" s="169" t="s">
        <v>6195</v>
      </c>
      <c r="D542" s="169" t="s">
        <v>128</v>
      </c>
      <c r="E542" s="169" t="s">
        <v>6196</v>
      </c>
      <c r="F542" s="169" t="s">
        <v>6197</v>
      </c>
      <c r="G542" s="162">
        <v>45641.0</v>
      </c>
      <c r="H542" s="162">
        <v>45642.0</v>
      </c>
      <c r="I542" s="163" t="s">
        <v>25</v>
      </c>
      <c r="J542" s="163" t="s">
        <v>22</v>
      </c>
      <c r="K542" s="163" t="s">
        <v>31</v>
      </c>
      <c r="L542" s="165"/>
      <c r="M542" s="174"/>
      <c r="N542" s="16" t="s">
        <v>5135</v>
      </c>
      <c r="O542" s="16"/>
      <c r="P542" s="16"/>
      <c r="Q542" s="17"/>
      <c r="R542" s="17"/>
      <c r="S542" s="17"/>
      <c r="T542" s="17"/>
      <c r="U542" s="17"/>
      <c r="V542" s="17"/>
      <c r="W542" s="17"/>
      <c r="X542" s="17"/>
      <c r="Y542" s="17"/>
    </row>
    <row r="543" ht="18.75" customHeight="1">
      <c r="A543" s="9">
        <v>542.0</v>
      </c>
      <c r="B543" s="178" t="s">
        <v>2344</v>
      </c>
      <c r="C543" s="169" t="s">
        <v>6084</v>
      </c>
      <c r="D543" s="169" t="s">
        <v>701</v>
      </c>
      <c r="E543" s="169" t="s">
        <v>6085</v>
      </c>
      <c r="F543" s="169" t="s">
        <v>6086</v>
      </c>
      <c r="G543" s="162">
        <v>45646.0</v>
      </c>
      <c r="H543" s="162">
        <v>45647.0</v>
      </c>
      <c r="I543" s="163" t="s">
        <v>25</v>
      </c>
      <c r="J543" s="163" t="s">
        <v>37</v>
      </c>
      <c r="K543" s="163" t="s">
        <v>31</v>
      </c>
      <c r="L543" s="164" t="s">
        <v>62</v>
      </c>
      <c r="M543" s="174"/>
      <c r="N543" s="16" t="s">
        <v>5135</v>
      </c>
      <c r="O543" s="16"/>
      <c r="P543" s="16"/>
      <c r="Q543" s="17"/>
      <c r="R543" s="17"/>
      <c r="S543" s="17"/>
      <c r="T543" s="17"/>
      <c r="U543" s="17"/>
      <c r="V543" s="17"/>
      <c r="W543" s="17"/>
      <c r="X543" s="17"/>
      <c r="Y543" s="17"/>
    </row>
    <row r="544" ht="18.75" customHeight="1">
      <c r="A544" s="9">
        <v>543.0</v>
      </c>
      <c r="B544" s="178" t="s">
        <v>2661</v>
      </c>
      <c r="C544" s="169" t="s">
        <v>6198</v>
      </c>
      <c r="D544" s="169" t="s">
        <v>2663</v>
      </c>
      <c r="E544" s="169" t="s">
        <v>410</v>
      </c>
      <c r="F544" s="169" t="s">
        <v>6199</v>
      </c>
      <c r="G544" s="162">
        <v>45646.0</v>
      </c>
      <c r="H544" s="162">
        <v>45647.0</v>
      </c>
      <c r="I544" s="163" t="s">
        <v>25</v>
      </c>
      <c r="J544" s="163" t="s">
        <v>37</v>
      </c>
      <c r="K544" s="163" t="s">
        <v>31</v>
      </c>
      <c r="L544" s="164" t="s">
        <v>50</v>
      </c>
      <c r="M544" s="174"/>
      <c r="N544" s="16" t="s">
        <v>5135</v>
      </c>
      <c r="O544" s="16"/>
      <c r="P544" s="16"/>
      <c r="Q544" s="17"/>
      <c r="R544" s="17"/>
      <c r="S544" s="17"/>
      <c r="T544" s="17"/>
      <c r="U544" s="17"/>
      <c r="V544" s="17"/>
      <c r="W544" s="17"/>
      <c r="X544" s="17"/>
      <c r="Y544" s="17"/>
    </row>
    <row r="545" ht="18.75" customHeight="1">
      <c r="A545" s="9">
        <v>544.0</v>
      </c>
      <c r="B545" s="178" t="s">
        <v>2535</v>
      </c>
      <c r="C545" s="169" t="s">
        <v>2536</v>
      </c>
      <c r="D545" s="169" t="s">
        <v>2337</v>
      </c>
      <c r="E545" s="169" t="s">
        <v>290</v>
      </c>
      <c r="F545" s="177" t="s">
        <v>6200</v>
      </c>
      <c r="G545" s="162">
        <v>45657.0</v>
      </c>
      <c r="H545" s="162">
        <v>45658.0</v>
      </c>
      <c r="I545" s="163" t="s">
        <v>25</v>
      </c>
      <c r="J545" s="163" t="s">
        <v>37</v>
      </c>
      <c r="K545" s="163" t="s">
        <v>31</v>
      </c>
      <c r="L545" s="161" t="s">
        <v>97</v>
      </c>
      <c r="M545" s="161"/>
      <c r="N545" s="16" t="s">
        <v>5135</v>
      </c>
      <c r="O545" s="16"/>
      <c r="P545" s="16"/>
      <c r="Q545" s="17"/>
      <c r="R545" s="17"/>
      <c r="S545" s="17"/>
      <c r="T545" s="17"/>
      <c r="U545" s="17"/>
      <c r="V545" s="17"/>
      <c r="W545" s="17"/>
      <c r="X545" s="17"/>
      <c r="Y545" s="17"/>
    </row>
    <row r="546" ht="18.75" customHeight="1">
      <c r="A546" s="9">
        <v>545.0</v>
      </c>
      <c r="B546" s="178" t="s">
        <v>2622</v>
      </c>
      <c r="C546" s="169" t="s">
        <v>6201</v>
      </c>
      <c r="D546" s="169" t="s">
        <v>1031</v>
      </c>
      <c r="E546" s="169" t="s">
        <v>2625</v>
      </c>
      <c r="F546" s="169" t="s">
        <v>6202</v>
      </c>
      <c r="G546" s="162">
        <v>45657.0</v>
      </c>
      <c r="H546" s="162">
        <v>45658.0</v>
      </c>
      <c r="I546" s="163" t="s">
        <v>25</v>
      </c>
      <c r="J546" s="163" t="s">
        <v>37</v>
      </c>
      <c r="K546" s="163" t="s">
        <v>31</v>
      </c>
      <c r="L546" s="164" t="s">
        <v>38</v>
      </c>
      <c r="M546" s="164"/>
      <c r="N546" s="16" t="s">
        <v>5135</v>
      </c>
      <c r="O546" s="16"/>
      <c r="P546" s="16"/>
      <c r="Q546" s="17"/>
      <c r="R546" s="17"/>
      <c r="S546" s="17"/>
      <c r="T546" s="17"/>
      <c r="U546" s="17"/>
      <c r="V546" s="17"/>
      <c r="W546" s="17"/>
      <c r="X546" s="17"/>
      <c r="Y546" s="17"/>
    </row>
    <row r="547" ht="18.75" customHeight="1">
      <c r="A547" s="9">
        <v>546.0</v>
      </c>
      <c r="B547" s="178" t="s">
        <v>2674</v>
      </c>
      <c r="C547" s="169" t="s">
        <v>2675</v>
      </c>
      <c r="D547" s="169" t="s">
        <v>2676</v>
      </c>
      <c r="E547" s="169" t="s">
        <v>2677</v>
      </c>
      <c r="F547" s="169" t="s">
        <v>6203</v>
      </c>
      <c r="G547" s="162">
        <v>45657.0</v>
      </c>
      <c r="H547" s="162">
        <v>45658.0</v>
      </c>
      <c r="I547" s="163" t="s">
        <v>25</v>
      </c>
      <c r="J547" s="163" t="s">
        <v>22</v>
      </c>
      <c r="K547" s="163" t="s">
        <v>31</v>
      </c>
      <c r="L547" s="165"/>
      <c r="M547" s="174"/>
      <c r="N547" s="16" t="s">
        <v>5135</v>
      </c>
      <c r="O547" s="16"/>
      <c r="P547" s="16"/>
      <c r="Q547" s="17"/>
      <c r="R547" s="17"/>
      <c r="S547" s="17"/>
      <c r="T547" s="17"/>
      <c r="U547" s="17"/>
      <c r="V547" s="17"/>
      <c r="W547" s="17"/>
      <c r="X547" s="17"/>
      <c r="Y547" s="17"/>
    </row>
    <row r="548" ht="18.75" customHeight="1">
      <c r="A548" s="9">
        <v>547.0</v>
      </c>
      <c r="B548" s="178" t="s">
        <v>2679</v>
      </c>
      <c r="C548" s="169" t="s">
        <v>2680</v>
      </c>
      <c r="D548" s="169" t="s">
        <v>1078</v>
      </c>
      <c r="E548" s="169" t="s">
        <v>6204</v>
      </c>
      <c r="F548" s="169" t="s">
        <v>6205</v>
      </c>
      <c r="G548" s="162">
        <v>45657.0</v>
      </c>
      <c r="H548" s="162">
        <v>45658.0</v>
      </c>
      <c r="I548" s="163" t="s">
        <v>25</v>
      </c>
      <c r="J548" s="163" t="s">
        <v>22</v>
      </c>
      <c r="K548" s="163" t="s">
        <v>31</v>
      </c>
      <c r="L548" s="165"/>
      <c r="M548" s="174"/>
      <c r="N548" s="16" t="s">
        <v>5135</v>
      </c>
      <c r="O548" s="16"/>
      <c r="P548" s="16"/>
      <c r="Q548" s="17"/>
      <c r="R548" s="17"/>
      <c r="S548" s="17"/>
      <c r="T548" s="17"/>
      <c r="U548" s="17"/>
      <c r="V548" s="17"/>
      <c r="W548" s="17"/>
      <c r="X548" s="17"/>
      <c r="Y548" s="17"/>
    </row>
    <row r="549" ht="18.75" customHeight="1">
      <c r="A549" s="9">
        <v>548.0</v>
      </c>
      <c r="B549" s="178" t="s">
        <v>2683</v>
      </c>
      <c r="C549" s="169" t="s">
        <v>2684</v>
      </c>
      <c r="D549" s="169" t="s">
        <v>116</v>
      </c>
      <c r="E549" s="169" t="s">
        <v>2685</v>
      </c>
      <c r="F549" s="169" t="s">
        <v>6206</v>
      </c>
      <c r="G549" s="162">
        <v>45657.0</v>
      </c>
      <c r="H549" s="162">
        <v>45658.0</v>
      </c>
      <c r="I549" s="163" t="s">
        <v>25</v>
      </c>
      <c r="J549" s="163" t="s">
        <v>22</v>
      </c>
      <c r="K549" s="163" t="s">
        <v>31</v>
      </c>
      <c r="L549" s="165"/>
      <c r="M549" s="174"/>
      <c r="N549" s="16" t="s">
        <v>5135</v>
      </c>
      <c r="O549" s="16"/>
      <c r="P549" s="16"/>
      <c r="Q549" s="17"/>
      <c r="R549" s="17"/>
      <c r="S549" s="17"/>
      <c r="T549" s="17"/>
      <c r="U549" s="17"/>
      <c r="V549" s="17"/>
      <c r="W549" s="17"/>
      <c r="X549" s="17"/>
      <c r="Y549" s="17"/>
    </row>
    <row r="550" ht="18.75" customHeight="1">
      <c r="A550" s="9">
        <v>549.0</v>
      </c>
      <c r="B550" s="178" t="s">
        <v>2687</v>
      </c>
      <c r="C550" s="169" t="s">
        <v>2688</v>
      </c>
      <c r="D550" s="169" t="s">
        <v>116</v>
      </c>
      <c r="E550" s="169" t="s">
        <v>2685</v>
      </c>
      <c r="F550" s="169" t="s">
        <v>6207</v>
      </c>
      <c r="G550" s="162">
        <v>45657.0</v>
      </c>
      <c r="H550" s="162">
        <v>45658.0</v>
      </c>
      <c r="I550" s="163" t="s">
        <v>25</v>
      </c>
      <c r="J550" s="163" t="s">
        <v>22</v>
      </c>
      <c r="K550" s="163" t="s">
        <v>31</v>
      </c>
      <c r="L550" s="165"/>
      <c r="M550" s="174"/>
      <c r="N550" s="16" t="s">
        <v>5135</v>
      </c>
      <c r="O550" s="16"/>
      <c r="P550" s="16"/>
      <c r="Q550" s="17"/>
      <c r="R550" s="17"/>
      <c r="S550" s="17"/>
      <c r="T550" s="17"/>
      <c r="U550" s="17"/>
      <c r="V550" s="17"/>
      <c r="W550" s="17"/>
      <c r="X550" s="17"/>
      <c r="Y550" s="17"/>
    </row>
    <row r="551" ht="18.75" customHeight="1">
      <c r="A551" s="9">
        <v>550.0</v>
      </c>
      <c r="B551" s="15" t="s">
        <v>2696</v>
      </c>
      <c r="C551" s="180" t="s">
        <v>2697</v>
      </c>
      <c r="D551" s="180" t="s">
        <v>414</v>
      </c>
      <c r="E551" s="180" t="s">
        <v>2698</v>
      </c>
      <c r="F551" s="181" t="s">
        <v>6208</v>
      </c>
      <c r="G551" s="12">
        <v>45634.0</v>
      </c>
      <c r="H551" s="162">
        <v>45635.0</v>
      </c>
      <c r="I551" s="11" t="s">
        <v>25</v>
      </c>
      <c r="J551" s="11" t="s">
        <v>37</v>
      </c>
      <c r="K551" s="14" t="s">
        <v>31</v>
      </c>
      <c r="L551" s="11" t="s">
        <v>74</v>
      </c>
      <c r="M551" s="15"/>
      <c r="N551" s="16" t="s">
        <v>5135</v>
      </c>
      <c r="O551" s="16"/>
      <c r="P551" s="16"/>
      <c r="Q551" s="17"/>
      <c r="R551" s="17"/>
      <c r="S551" s="17"/>
      <c r="T551" s="17"/>
      <c r="U551" s="17"/>
      <c r="V551" s="17"/>
      <c r="W551" s="17"/>
      <c r="X551" s="17"/>
      <c r="Y551" s="17"/>
    </row>
    <row r="552" ht="18.75" customHeight="1">
      <c r="A552" s="9">
        <v>551.0</v>
      </c>
      <c r="B552" s="15" t="s">
        <v>2700</v>
      </c>
      <c r="C552" s="180" t="s">
        <v>2701</v>
      </c>
      <c r="D552" s="180" t="s">
        <v>122</v>
      </c>
      <c r="E552" s="180" t="s">
        <v>2635</v>
      </c>
      <c r="F552" s="181" t="s">
        <v>6209</v>
      </c>
      <c r="G552" s="182">
        <v>45626.0</v>
      </c>
      <c r="H552" s="162">
        <v>45627.0</v>
      </c>
      <c r="I552" s="11" t="s">
        <v>25</v>
      </c>
      <c r="J552" s="11" t="s">
        <v>37</v>
      </c>
      <c r="K552" s="14" t="s">
        <v>31</v>
      </c>
      <c r="L552" s="11" t="s">
        <v>23</v>
      </c>
      <c r="M552" s="15"/>
      <c r="N552" s="16" t="s">
        <v>5135</v>
      </c>
      <c r="O552" s="16"/>
      <c r="P552" s="16"/>
      <c r="Q552" s="17"/>
      <c r="R552" s="17"/>
      <c r="S552" s="17"/>
      <c r="T552" s="17"/>
      <c r="U552" s="17"/>
      <c r="V552" s="17"/>
      <c r="W552" s="17"/>
      <c r="X552" s="17"/>
      <c r="Y552" s="17"/>
    </row>
    <row r="553" ht="18.75" customHeight="1">
      <c r="A553" s="9">
        <v>552.0</v>
      </c>
      <c r="B553" s="183" t="s">
        <v>2703</v>
      </c>
      <c r="C553" s="180" t="s">
        <v>2704</v>
      </c>
      <c r="D553" s="180" t="s">
        <v>122</v>
      </c>
      <c r="E553" s="180" t="s">
        <v>2705</v>
      </c>
      <c r="F553" s="181" t="s">
        <v>6210</v>
      </c>
      <c r="G553" s="182">
        <v>45626.0</v>
      </c>
      <c r="H553" s="162">
        <v>45627.0</v>
      </c>
      <c r="I553" s="11" t="s">
        <v>25</v>
      </c>
      <c r="J553" s="11" t="s">
        <v>37</v>
      </c>
      <c r="K553" s="14" t="s">
        <v>31</v>
      </c>
      <c r="L553" s="11" t="s">
        <v>74</v>
      </c>
      <c r="M553" s="15"/>
      <c r="N553" s="16" t="s">
        <v>5135</v>
      </c>
      <c r="O553" s="16"/>
      <c r="P553" s="16"/>
      <c r="Q553" s="17"/>
      <c r="R553" s="17"/>
      <c r="S553" s="17"/>
      <c r="T553" s="17"/>
      <c r="U553" s="17"/>
      <c r="V553" s="17"/>
      <c r="W553" s="17"/>
      <c r="X553" s="17"/>
      <c r="Y553" s="17"/>
    </row>
    <row r="554" ht="18.75" customHeight="1">
      <c r="A554" s="9">
        <v>553.0</v>
      </c>
      <c r="B554" s="15" t="s">
        <v>2707</v>
      </c>
      <c r="C554" s="180" t="s">
        <v>2708</v>
      </c>
      <c r="D554" s="180" t="s">
        <v>128</v>
      </c>
      <c r="E554" s="180" t="s">
        <v>2499</v>
      </c>
      <c r="F554" s="181" t="s">
        <v>6211</v>
      </c>
      <c r="G554" s="182">
        <v>45626.0</v>
      </c>
      <c r="H554" s="162">
        <v>45627.0</v>
      </c>
      <c r="I554" s="11" t="s">
        <v>251</v>
      </c>
      <c r="J554" s="11" t="s">
        <v>213</v>
      </c>
      <c r="K554" s="14" t="s">
        <v>31</v>
      </c>
      <c r="L554" s="11"/>
      <c r="M554" s="15"/>
      <c r="N554" s="16" t="s">
        <v>5135</v>
      </c>
      <c r="O554" s="16"/>
      <c r="P554" s="16"/>
      <c r="Q554" s="17"/>
      <c r="R554" s="17"/>
      <c r="S554" s="17"/>
      <c r="T554" s="17"/>
      <c r="U554" s="17"/>
      <c r="V554" s="17"/>
      <c r="W554" s="17"/>
      <c r="X554" s="17"/>
      <c r="Y554" s="17"/>
    </row>
    <row r="555" ht="18.75" customHeight="1">
      <c r="A555" s="9">
        <v>554.0</v>
      </c>
      <c r="B555" s="184" t="s">
        <v>2709</v>
      </c>
      <c r="C555" s="180" t="s">
        <v>2710</v>
      </c>
      <c r="D555" s="180" t="s">
        <v>2015</v>
      </c>
      <c r="E555" s="180" t="s">
        <v>2085</v>
      </c>
      <c r="F555" s="181" t="s">
        <v>6212</v>
      </c>
      <c r="G555" s="182">
        <v>45657.0</v>
      </c>
      <c r="H555" s="162">
        <v>45658.0</v>
      </c>
      <c r="I555" s="11" t="s">
        <v>25</v>
      </c>
      <c r="J555" s="11" t="s">
        <v>37</v>
      </c>
      <c r="K555" s="14" t="s">
        <v>31</v>
      </c>
      <c r="L555" s="11" t="s">
        <v>23</v>
      </c>
      <c r="M555" s="15"/>
      <c r="N555" s="16" t="s">
        <v>5135</v>
      </c>
      <c r="O555" s="16"/>
      <c r="P555" s="16"/>
      <c r="Q555" s="17"/>
      <c r="R555" s="17"/>
      <c r="S555" s="17"/>
      <c r="T555" s="17"/>
      <c r="U555" s="17"/>
      <c r="V555" s="17"/>
      <c r="W555" s="17"/>
      <c r="X555" s="17"/>
      <c r="Y555" s="17"/>
    </row>
    <row r="556" ht="18.75" customHeight="1">
      <c r="A556" s="9">
        <v>555.0</v>
      </c>
      <c r="B556" s="15" t="s">
        <v>2712</v>
      </c>
      <c r="C556" s="180" t="s">
        <v>2713</v>
      </c>
      <c r="D556" s="180" t="s">
        <v>42</v>
      </c>
      <c r="E556" s="180" t="s">
        <v>2472</v>
      </c>
      <c r="F556" s="181" t="s">
        <v>6213</v>
      </c>
      <c r="G556" s="182">
        <v>45625.0</v>
      </c>
      <c r="H556" s="162">
        <v>45626.0</v>
      </c>
      <c r="I556" s="11" t="s">
        <v>251</v>
      </c>
      <c r="J556" s="11" t="s">
        <v>213</v>
      </c>
      <c r="K556" s="14" t="s">
        <v>31</v>
      </c>
      <c r="L556" s="11"/>
      <c r="M556" s="15"/>
      <c r="N556" s="16" t="s">
        <v>5135</v>
      </c>
      <c r="O556" s="16"/>
      <c r="P556" s="16"/>
      <c r="Q556" s="17"/>
      <c r="R556" s="17"/>
      <c r="S556" s="17"/>
      <c r="T556" s="17"/>
      <c r="U556" s="17"/>
      <c r="V556" s="17"/>
      <c r="W556" s="17"/>
      <c r="X556" s="17"/>
      <c r="Y556" s="17"/>
    </row>
    <row r="557" ht="18.75" customHeight="1">
      <c r="A557" s="9">
        <v>556.0</v>
      </c>
      <c r="B557" s="184" t="s">
        <v>2714</v>
      </c>
      <c r="C557" s="180" t="s">
        <v>2715</v>
      </c>
      <c r="D557" s="180" t="s">
        <v>116</v>
      </c>
      <c r="E557" s="180" t="s">
        <v>2716</v>
      </c>
      <c r="F557" s="181" t="s">
        <v>6214</v>
      </c>
      <c r="G557" s="182">
        <v>45657.0</v>
      </c>
      <c r="H557" s="162">
        <v>45658.0</v>
      </c>
      <c r="I557" s="11" t="s">
        <v>25</v>
      </c>
      <c r="J557" s="11" t="s">
        <v>37</v>
      </c>
      <c r="K557" s="14" t="s">
        <v>31</v>
      </c>
      <c r="L557" s="11" t="s">
        <v>62</v>
      </c>
      <c r="M557" s="15"/>
      <c r="N557" s="16" t="s">
        <v>5135</v>
      </c>
      <c r="O557" s="16"/>
      <c r="P557" s="16"/>
      <c r="Q557" s="17"/>
      <c r="R557" s="17"/>
      <c r="S557" s="17"/>
      <c r="T557" s="17"/>
      <c r="U557" s="17"/>
      <c r="V557" s="17"/>
      <c r="W557" s="17"/>
      <c r="X557" s="17"/>
      <c r="Y557" s="17"/>
    </row>
    <row r="558" ht="18.75" customHeight="1">
      <c r="A558" s="9">
        <v>557.0</v>
      </c>
      <c r="B558" s="184" t="s">
        <v>2718</v>
      </c>
      <c r="C558" s="180" t="s">
        <v>2719</v>
      </c>
      <c r="D558" s="180" t="s">
        <v>116</v>
      </c>
      <c r="E558" s="180" t="s">
        <v>2720</v>
      </c>
      <c r="F558" s="181" t="s">
        <v>6215</v>
      </c>
      <c r="G558" s="182">
        <v>45657.0</v>
      </c>
      <c r="H558" s="162">
        <v>45658.0</v>
      </c>
      <c r="I558" s="11" t="s">
        <v>25</v>
      </c>
      <c r="J558" s="11" t="s">
        <v>37</v>
      </c>
      <c r="K558" s="14" t="s">
        <v>31</v>
      </c>
      <c r="L558" s="11"/>
      <c r="M558" s="15"/>
      <c r="N558" s="16" t="s">
        <v>5135</v>
      </c>
      <c r="O558" s="16"/>
      <c r="P558" s="16"/>
      <c r="Q558" s="17"/>
      <c r="R558" s="17"/>
      <c r="S558" s="17"/>
      <c r="T558" s="17"/>
      <c r="U558" s="17"/>
      <c r="V558" s="17"/>
      <c r="W558" s="17"/>
      <c r="X558" s="17"/>
      <c r="Y558" s="17"/>
    </row>
    <row r="559" ht="18.75" customHeight="1">
      <c r="A559" s="9">
        <v>558.0</v>
      </c>
      <c r="B559" s="15" t="s">
        <v>2722</v>
      </c>
      <c r="C559" s="180" t="s">
        <v>2723</v>
      </c>
      <c r="D559" s="180" t="s">
        <v>122</v>
      </c>
      <c r="E559" s="180" t="s">
        <v>2616</v>
      </c>
      <c r="F559" s="181" t="s">
        <v>6216</v>
      </c>
      <c r="G559" s="182">
        <v>45626.0</v>
      </c>
      <c r="H559" s="162">
        <v>45627.0</v>
      </c>
      <c r="I559" s="11" t="s">
        <v>251</v>
      </c>
      <c r="J559" s="11" t="s">
        <v>213</v>
      </c>
      <c r="K559" s="14" t="s">
        <v>31</v>
      </c>
      <c r="L559" s="11"/>
      <c r="M559" s="15"/>
      <c r="N559" s="16" t="s">
        <v>5135</v>
      </c>
      <c r="O559" s="16"/>
      <c r="P559" s="16"/>
      <c r="Q559" s="17"/>
      <c r="R559" s="17"/>
      <c r="S559" s="17"/>
      <c r="T559" s="17"/>
      <c r="U559" s="17"/>
      <c r="V559" s="17"/>
      <c r="W559" s="17"/>
      <c r="X559" s="17"/>
      <c r="Y559" s="17"/>
    </row>
    <row r="560" ht="18.75" customHeight="1">
      <c r="A560" s="9">
        <v>559.0</v>
      </c>
      <c r="B560" s="184" t="s">
        <v>2724</v>
      </c>
      <c r="C560" s="180" t="s">
        <v>2725</v>
      </c>
      <c r="D560" s="180" t="s">
        <v>28</v>
      </c>
      <c r="E560" s="180" t="s">
        <v>2726</v>
      </c>
      <c r="F560" s="181" t="s">
        <v>6217</v>
      </c>
      <c r="G560" s="182">
        <v>45657.0</v>
      </c>
      <c r="H560" s="162">
        <v>45658.0</v>
      </c>
      <c r="I560" s="11" t="s">
        <v>25</v>
      </c>
      <c r="J560" s="11" t="s">
        <v>22</v>
      </c>
      <c r="K560" s="14" t="s">
        <v>31</v>
      </c>
      <c r="L560" s="11"/>
      <c r="M560" s="15"/>
      <c r="N560" s="16" t="s">
        <v>5135</v>
      </c>
      <c r="O560" s="16"/>
      <c r="P560" s="16"/>
      <c r="Q560" s="17"/>
      <c r="R560" s="17"/>
      <c r="S560" s="17"/>
      <c r="T560" s="17"/>
      <c r="U560" s="17"/>
      <c r="V560" s="17"/>
      <c r="W560" s="17"/>
      <c r="X560" s="17"/>
      <c r="Y560" s="17"/>
    </row>
    <row r="561" ht="18.75" customHeight="1">
      <c r="A561" s="9">
        <v>560.0</v>
      </c>
      <c r="B561" s="184" t="s">
        <v>2728</v>
      </c>
      <c r="C561" s="180" t="s">
        <v>2729</v>
      </c>
      <c r="D561" s="180" t="s">
        <v>1852</v>
      </c>
      <c r="E561" s="180" t="s">
        <v>2730</v>
      </c>
      <c r="F561" s="181" t="s">
        <v>6218</v>
      </c>
      <c r="G561" s="182">
        <v>45657.0</v>
      </c>
      <c r="H561" s="162">
        <v>45658.0</v>
      </c>
      <c r="I561" s="11" t="s">
        <v>25</v>
      </c>
      <c r="J561" s="11" t="s">
        <v>37</v>
      </c>
      <c r="K561" s="14" t="s">
        <v>31</v>
      </c>
      <c r="L561" s="11"/>
      <c r="M561" s="15"/>
      <c r="N561" s="16" t="s">
        <v>5135</v>
      </c>
      <c r="O561" s="16"/>
      <c r="P561" s="16"/>
      <c r="Q561" s="17"/>
      <c r="R561" s="17"/>
      <c r="S561" s="17"/>
      <c r="T561" s="17"/>
      <c r="U561" s="17"/>
      <c r="V561" s="17"/>
      <c r="W561" s="17"/>
      <c r="X561" s="17"/>
      <c r="Y561" s="17"/>
    </row>
    <row r="562" ht="18.75" customHeight="1">
      <c r="A562" s="9">
        <v>561.0</v>
      </c>
      <c r="B562" s="184" t="s">
        <v>2732</v>
      </c>
      <c r="C562" s="180" t="s">
        <v>2733</v>
      </c>
      <c r="D562" s="180" t="s">
        <v>128</v>
      </c>
      <c r="E562" s="180" t="s">
        <v>2642</v>
      </c>
      <c r="F562" s="181" t="s">
        <v>6219</v>
      </c>
      <c r="G562" s="12">
        <v>45648.0</v>
      </c>
      <c r="H562" s="162">
        <v>45649.0</v>
      </c>
      <c r="I562" s="11" t="s">
        <v>25</v>
      </c>
      <c r="J562" s="11" t="s">
        <v>22</v>
      </c>
      <c r="K562" s="14" t="s">
        <v>31</v>
      </c>
      <c r="L562" s="11"/>
      <c r="M562" s="15"/>
      <c r="N562" s="16" t="s">
        <v>5135</v>
      </c>
      <c r="O562" s="16"/>
      <c r="P562" s="16"/>
      <c r="Q562" s="17"/>
      <c r="R562" s="17"/>
      <c r="S562" s="17"/>
      <c r="T562" s="17"/>
      <c r="U562" s="17"/>
      <c r="V562" s="17"/>
      <c r="W562" s="17"/>
      <c r="X562" s="17"/>
      <c r="Y562" s="17"/>
    </row>
    <row r="563" ht="18.75" customHeight="1">
      <c r="A563" s="9">
        <v>562.0</v>
      </c>
      <c r="B563" s="184" t="s">
        <v>2735</v>
      </c>
      <c r="C563" s="180" t="s">
        <v>2736</v>
      </c>
      <c r="D563" s="180" t="s">
        <v>207</v>
      </c>
      <c r="E563" s="180" t="s">
        <v>2737</v>
      </c>
      <c r="F563" s="181" t="s">
        <v>6220</v>
      </c>
      <c r="G563" s="182">
        <v>45657.0</v>
      </c>
      <c r="H563" s="162">
        <v>45658.0</v>
      </c>
      <c r="I563" s="11" t="s">
        <v>25</v>
      </c>
      <c r="J563" s="11" t="s">
        <v>22</v>
      </c>
      <c r="K563" s="14" t="s">
        <v>31</v>
      </c>
      <c r="L563" s="11"/>
      <c r="M563" s="15"/>
      <c r="N563" s="16" t="s">
        <v>5135</v>
      </c>
      <c r="O563" s="16"/>
      <c r="P563" s="16"/>
      <c r="Q563" s="17"/>
      <c r="R563" s="17"/>
      <c r="S563" s="17"/>
      <c r="T563" s="17"/>
      <c r="U563" s="17"/>
      <c r="V563" s="17"/>
      <c r="W563" s="17"/>
      <c r="X563" s="17"/>
      <c r="Y563" s="17"/>
    </row>
    <row r="564" ht="18.75" customHeight="1">
      <c r="A564" s="9">
        <v>563.0</v>
      </c>
      <c r="B564" s="184" t="s">
        <v>2739</v>
      </c>
      <c r="C564" s="180" t="s">
        <v>2740</v>
      </c>
      <c r="D564" s="180" t="s">
        <v>116</v>
      </c>
      <c r="E564" s="180" t="s">
        <v>2741</v>
      </c>
      <c r="F564" s="181" t="s">
        <v>6221</v>
      </c>
      <c r="G564" s="182">
        <v>45652.0</v>
      </c>
      <c r="H564" s="162">
        <v>45653.0</v>
      </c>
      <c r="I564" s="11" t="s">
        <v>25</v>
      </c>
      <c r="J564" s="11" t="s">
        <v>22</v>
      </c>
      <c r="K564" s="14" t="s">
        <v>31</v>
      </c>
      <c r="L564" s="11"/>
      <c r="M564" s="15"/>
      <c r="N564" s="16" t="s">
        <v>5135</v>
      </c>
      <c r="O564" s="16"/>
      <c r="P564" s="16"/>
      <c r="Q564" s="17"/>
      <c r="R564" s="17"/>
      <c r="S564" s="17"/>
      <c r="T564" s="17"/>
      <c r="U564" s="17"/>
      <c r="V564" s="17"/>
      <c r="W564" s="17"/>
      <c r="X564" s="17"/>
      <c r="Y564" s="17"/>
    </row>
    <row r="565" ht="18.75" customHeight="1">
      <c r="A565" s="9">
        <v>564.0</v>
      </c>
      <c r="B565" s="184" t="s">
        <v>2743</v>
      </c>
      <c r="C565" s="180" t="s">
        <v>2744</v>
      </c>
      <c r="D565" s="180" t="s">
        <v>173</v>
      </c>
      <c r="E565" s="180" t="s">
        <v>1408</v>
      </c>
      <c r="F565" s="181" t="s">
        <v>6222</v>
      </c>
      <c r="G565" s="182">
        <v>45657.0</v>
      </c>
      <c r="H565" s="162">
        <v>45658.0</v>
      </c>
      <c r="I565" s="11" t="s">
        <v>25</v>
      </c>
      <c r="J565" s="11" t="s">
        <v>22</v>
      </c>
      <c r="K565" s="14" t="s">
        <v>31</v>
      </c>
      <c r="L565" s="11" t="s">
        <v>62</v>
      </c>
      <c r="M565" s="11"/>
      <c r="N565" s="16" t="s">
        <v>5135</v>
      </c>
      <c r="O565" s="16"/>
      <c r="P565" s="16"/>
      <c r="Q565" s="17"/>
      <c r="R565" s="17"/>
      <c r="S565" s="17"/>
      <c r="T565" s="17"/>
      <c r="U565" s="17"/>
      <c r="V565" s="17"/>
      <c r="W565" s="17"/>
      <c r="X565" s="17"/>
      <c r="Y565" s="17"/>
    </row>
    <row r="566" ht="18.75" customHeight="1">
      <c r="A566" s="9">
        <v>565.0</v>
      </c>
      <c r="B566" s="184" t="s">
        <v>2746</v>
      </c>
      <c r="C566" s="180" t="s">
        <v>2747</v>
      </c>
      <c r="D566" s="180" t="s">
        <v>122</v>
      </c>
      <c r="E566" s="180" t="s">
        <v>2673</v>
      </c>
      <c r="F566" s="181" t="s">
        <v>6223</v>
      </c>
      <c r="G566" s="12">
        <v>45626.0</v>
      </c>
      <c r="H566" s="162">
        <v>45627.0</v>
      </c>
      <c r="I566" s="11" t="s">
        <v>251</v>
      </c>
      <c r="J566" s="11" t="s">
        <v>5420</v>
      </c>
      <c r="K566" s="14" t="s">
        <v>31</v>
      </c>
      <c r="L566" s="11"/>
      <c r="M566" s="15"/>
      <c r="N566" s="16" t="s">
        <v>5135</v>
      </c>
      <c r="O566" s="16"/>
      <c r="P566" s="16"/>
      <c r="Q566" s="17"/>
      <c r="R566" s="17"/>
      <c r="S566" s="17"/>
      <c r="T566" s="17"/>
      <c r="U566" s="17"/>
      <c r="V566" s="17"/>
      <c r="W566" s="17"/>
      <c r="X566" s="17"/>
      <c r="Y566" s="17"/>
    </row>
    <row r="567" ht="18.75" customHeight="1">
      <c r="A567" s="9">
        <v>566.0</v>
      </c>
      <c r="B567" s="185" t="s">
        <v>2748</v>
      </c>
      <c r="C567" s="181" t="s">
        <v>2749</v>
      </c>
      <c r="D567" s="186" t="s">
        <v>1791</v>
      </c>
      <c r="E567" s="181" t="s">
        <v>2750</v>
      </c>
      <c r="F567" s="181" t="s">
        <v>6224</v>
      </c>
      <c r="G567" s="182">
        <v>45657.0</v>
      </c>
      <c r="H567" s="162">
        <v>45658.0</v>
      </c>
      <c r="I567" s="11" t="s">
        <v>25</v>
      </c>
      <c r="J567" s="11" t="s">
        <v>22</v>
      </c>
      <c r="K567" s="187" t="s">
        <v>31</v>
      </c>
      <c r="L567" s="11" t="s">
        <v>38</v>
      </c>
      <c r="M567" s="11"/>
      <c r="N567" s="16" t="s">
        <v>5135</v>
      </c>
      <c r="O567" s="16"/>
      <c r="P567" s="16"/>
      <c r="Q567" s="17"/>
      <c r="R567" s="17"/>
      <c r="S567" s="17"/>
      <c r="T567" s="17"/>
      <c r="U567" s="17"/>
      <c r="V567" s="17"/>
      <c r="W567" s="17"/>
      <c r="X567" s="17"/>
      <c r="Y567" s="17"/>
    </row>
    <row r="568" ht="18.75" customHeight="1">
      <c r="A568" s="9">
        <v>567.0</v>
      </c>
      <c r="B568" s="25" t="s">
        <v>2752</v>
      </c>
      <c r="C568" s="181" t="s">
        <v>2753</v>
      </c>
      <c r="D568" s="186" t="s">
        <v>28</v>
      </c>
      <c r="E568" s="181" t="s">
        <v>2346</v>
      </c>
      <c r="F568" s="181" t="s">
        <v>6225</v>
      </c>
      <c r="G568" s="12">
        <v>45657.0</v>
      </c>
      <c r="H568" s="162">
        <v>45658.0</v>
      </c>
      <c r="I568" s="11" t="s">
        <v>25</v>
      </c>
      <c r="J568" s="11" t="s">
        <v>22</v>
      </c>
      <c r="K568" s="14" t="s">
        <v>31</v>
      </c>
      <c r="L568" s="11" t="s">
        <v>62</v>
      </c>
      <c r="M568" s="15"/>
      <c r="N568" s="16" t="s">
        <v>5135</v>
      </c>
      <c r="O568" s="16"/>
      <c r="P568" s="16"/>
      <c r="Q568" s="17"/>
      <c r="R568" s="17"/>
      <c r="S568" s="17"/>
      <c r="T568" s="17"/>
      <c r="U568" s="17"/>
      <c r="V568" s="17"/>
      <c r="W568" s="17"/>
      <c r="X568" s="17"/>
      <c r="Y568" s="17"/>
    </row>
    <row r="569" ht="18.75" customHeight="1">
      <c r="A569" s="9">
        <v>568.0</v>
      </c>
      <c r="B569" s="25" t="s">
        <v>2755</v>
      </c>
      <c r="C569" s="181" t="s">
        <v>2756</v>
      </c>
      <c r="D569" s="181" t="s">
        <v>122</v>
      </c>
      <c r="E569" s="181" t="s">
        <v>2757</v>
      </c>
      <c r="F569" s="181" t="s">
        <v>6226</v>
      </c>
      <c r="G569" s="12">
        <v>45657.0</v>
      </c>
      <c r="H569" s="162">
        <v>45658.0</v>
      </c>
      <c r="I569" s="11" t="s">
        <v>25</v>
      </c>
      <c r="J569" s="11" t="s">
        <v>37</v>
      </c>
      <c r="K569" s="14" t="s">
        <v>31</v>
      </c>
      <c r="L569" s="11" t="s">
        <v>62</v>
      </c>
      <c r="M569" s="15"/>
      <c r="N569" s="16" t="s">
        <v>5135</v>
      </c>
      <c r="O569" s="16"/>
      <c r="P569" s="16"/>
      <c r="Q569" s="17"/>
      <c r="R569" s="17"/>
      <c r="S569" s="17"/>
      <c r="T569" s="17"/>
      <c r="U569" s="17"/>
      <c r="V569" s="17"/>
      <c r="W569" s="17"/>
      <c r="X569" s="17"/>
      <c r="Y569" s="17"/>
    </row>
    <row r="570" ht="18.75" customHeight="1">
      <c r="A570" s="9">
        <v>569.0</v>
      </c>
      <c r="B570" s="181" t="s">
        <v>2759</v>
      </c>
      <c r="C570" s="181" t="s">
        <v>2760</v>
      </c>
      <c r="D570" s="181" t="s">
        <v>706</v>
      </c>
      <c r="E570" s="181" t="s">
        <v>4173</v>
      </c>
      <c r="F570" s="181" t="s">
        <v>6227</v>
      </c>
      <c r="G570" s="12">
        <v>45660.0</v>
      </c>
      <c r="H570" s="162">
        <v>45661.0</v>
      </c>
      <c r="I570" s="11" t="s">
        <v>25</v>
      </c>
      <c r="J570" s="11" t="s">
        <v>37</v>
      </c>
      <c r="K570" s="14" t="s">
        <v>31</v>
      </c>
      <c r="L570" s="11" t="s">
        <v>97</v>
      </c>
      <c r="M570" s="15"/>
      <c r="N570" s="16" t="s">
        <v>5135</v>
      </c>
      <c r="O570" s="16"/>
      <c r="P570" s="16"/>
      <c r="Q570" s="17"/>
      <c r="R570" s="17"/>
      <c r="S570" s="17"/>
      <c r="T570" s="17"/>
      <c r="U570" s="17"/>
      <c r="V570" s="17"/>
      <c r="W570" s="17"/>
      <c r="X570" s="17"/>
      <c r="Y570" s="17"/>
    </row>
    <row r="571" ht="18.75" customHeight="1">
      <c r="A571" s="9">
        <v>570.0</v>
      </c>
      <c r="B571" s="188" t="s">
        <v>2763</v>
      </c>
      <c r="C571" s="181" t="s">
        <v>2764</v>
      </c>
      <c r="D571" s="181" t="s">
        <v>476</v>
      </c>
      <c r="E571" s="181" t="s">
        <v>2765</v>
      </c>
      <c r="F571" s="181" t="s">
        <v>6228</v>
      </c>
      <c r="G571" s="12">
        <v>45626.0</v>
      </c>
      <c r="H571" s="162">
        <v>45627.0</v>
      </c>
      <c r="I571" s="11" t="s">
        <v>25</v>
      </c>
      <c r="J571" s="11" t="s">
        <v>37</v>
      </c>
      <c r="K571" s="14" t="s">
        <v>31</v>
      </c>
      <c r="L571" s="11" t="s">
        <v>62</v>
      </c>
      <c r="M571" s="15"/>
      <c r="N571" s="16" t="s">
        <v>5135</v>
      </c>
      <c r="O571" s="16"/>
      <c r="P571" s="16"/>
      <c r="Q571" s="17"/>
      <c r="R571" s="17"/>
      <c r="S571" s="17"/>
      <c r="T571" s="17"/>
      <c r="U571" s="17"/>
      <c r="V571" s="17"/>
      <c r="W571" s="17"/>
      <c r="X571" s="17"/>
      <c r="Y571" s="17"/>
    </row>
    <row r="572" ht="18.75" customHeight="1">
      <c r="A572" s="9">
        <v>571.0</v>
      </c>
      <c r="B572" s="25" t="s">
        <v>2767</v>
      </c>
      <c r="C572" s="181" t="s">
        <v>2768</v>
      </c>
      <c r="D572" s="181" t="s">
        <v>128</v>
      </c>
      <c r="E572" s="181" t="s">
        <v>2011</v>
      </c>
      <c r="F572" s="181" t="s">
        <v>6229</v>
      </c>
      <c r="G572" s="12">
        <v>45657.0</v>
      </c>
      <c r="H572" s="162">
        <v>45658.0</v>
      </c>
      <c r="I572" s="11" t="s">
        <v>25</v>
      </c>
      <c r="J572" s="11" t="s">
        <v>37</v>
      </c>
      <c r="K572" s="14" t="s">
        <v>31</v>
      </c>
      <c r="L572" s="11" t="s">
        <v>74</v>
      </c>
      <c r="M572" s="15"/>
      <c r="N572" s="16" t="s">
        <v>5135</v>
      </c>
      <c r="O572" s="16"/>
      <c r="P572" s="16"/>
      <c r="Q572" s="17"/>
      <c r="R572" s="17"/>
      <c r="S572" s="17"/>
      <c r="T572" s="17"/>
      <c r="U572" s="17"/>
      <c r="V572" s="17"/>
      <c r="W572" s="17"/>
      <c r="X572" s="17"/>
      <c r="Y572" s="17"/>
    </row>
    <row r="573" ht="18.75" customHeight="1">
      <c r="A573" s="9">
        <v>572.0</v>
      </c>
      <c r="B573" s="188" t="s">
        <v>2770</v>
      </c>
      <c r="C573" s="181" t="s">
        <v>2771</v>
      </c>
      <c r="D573" s="181" t="s">
        <v>1976</v>
      </c>
      <c r="E573" s="181" t="s">
        <v>2772</v>
      </c>
      <c r="F573" s="181" t="s">
        <v>6230</v>
      </c>
      <c r="G573" s="12">
        <v>45626.0</v>
      </c>
      <c r="H573" s="162">
        <v>45627.0</v>
      </c>
      <c r="I573" s="11" t="s">
        <v>251</v>
      </c>
      <c r="J573" s="11" t="s">
        <v>213</v>
      </c>
      <c r="K573" s="14" t="s">
        <v>31</v>
      </c>
      <c r="L573" s="11"/>
      <c r="M573" s="15"/>
      <c r="N573" s="16" t="s">
        <v>5135</v>
      </c>
      <c r="O573" s="16"/>
      <c r="P573" s="16"/>
      <c r="Q573" s="17"/>
      <c r="R573" s="17"/>
      <c r="S573" s="17"/>
      <c r="T573" s="17"/>
      <c r="U573" s="17"/>
      <c r="V573" s="17"/>
      <c r="W573" s="17"/>
      <c r="X573" s="17"/>
      <c r="Y573" s="17"/>
    </row>
    <row r="574" ht="18.75" customHeight="1">
      <c r="A574" s="9">
        <v>573.0</v>
      </c>
      <c r="B574" s="188" t="s">
        <v>2773</v>
      </c>
      <c r="C574" s="181" t="s">
        <v>2774</v>
      </c>
      <c r="D574" s="181" t="s">
        <v>128</v>
      </c>
      <c r="E574" s="181" t="s">
        <v>2458</v>
      </c>
      <c r="F574" s="181" t="s">
        <v>6231</v>
      </c>
      <c r="G574" s="12">
        <v>45626.0</v>
      </c>
      <c r="H574" s="162">
        <v>45627.0</v>
      </c>
      <c r="I574" s="11" t="s">
        <v>251</v>
      </c>
      <c r="J574" s="11" t="s">
        <v>213</v>
      </c>
      <c r="K574" s="14" t="s">
        <v>31</v>
      </c>
      <c r="L574" s="11"/>
      <c r="M574" s="15"/>
      <c r="N574" s="16" t="s">
        <v>5135</v>
      </c>
      <c r="O574" s="16"/>
      <c r="P574" s="16"/>
      <c r="Q574" s="17"/>
      <c r="R574" s="17"/>
      <c r="S574" s="17"/>
      <c r="T574" s="17"/>
      <c r="U574" s="17"/>
      <c r="V574" s="17"/>
      <c r="W574" s="17"/>
      <c r="X574" s="17"/>
      <c r="Y574" s="17"/>
    </row>
    <row r="575" ht="18.75" customHeight="1">
      <c r="A575" s="9">
        <v>574.0</v>
      </c>
      <c r="B575" s="188" t="s">
        <v>2775</v>
      </c>
      <c r="C575" s="181" t="s">
        <v>2776</v>
      </c>
      <c r="D575" s="181" t="s">
        <v>122</v>
      </c>
      <c r="E575" s="181" t="s">
        <v>2658</v>
      </c>
      <c r="F575" s="181" t="s">
        <v>6232</v>
      </c>
      <c r="G575" s="12">
        <v>45635.0</v>
      </c>
      <c r="H575" s="162">
        <v>45636.0</v>
      </c>
      <c r="I575" s="11" t="s">
        <v>251</v>
      </c>
      <c r="J575" s="11" t="s">
        <v>213</v>
      </c>
      <c r="K575" s="14" t="s">
        <v>31</v>
      </c>
      <c r="L575" s="11"/>
      <c r="M575" s="15"/>
      <c r="N575" s="16" t="s">
        <v>5135</v>
      </c>
      <c r="O575" s="16"/>
      <c r="P575" s="16"/>
      <c r="Q575" s="17"/>
      <c r="R575" s="17"/>
      <c r="S575" s="17"/>
      <c r="T575" s="17"/>
      <c r="U575" s="17"/>
      <c r="V575" s="17"/>
      <c r="W575" s="17"/>
      <c r="X575" s="17"/>
      <c r="Y575" s="17"/>
    </row>
    <row r="576" ht="18.75" customHeight="1">
      <c r="A576" s="9">
        <v>575.0</v>
      </c>
      <c r="B576" s="188" t="s">
        <v>2777</v>
      </c>
      <c r="C576" s="181" t="s">
        <v>2778</v>
      </c>
      <c r="D576" s="181" t="s">
        <v>173</v>
      </c>
      <c r="E576" s="181" t="s">
        <v>3442</v>
      </c>
      <c r="F576" s="181" t="s">
        <v>6233</v>
      </c>
      <c r="G576" s="12">
        <v>45641.0</v>
      </c>
      <c r="H576" s="162">
        <v>45642.0</v>
      </c>
      <c r="I576" s="11" t="s">
        <v>6234</v>
      </c>
      <c r="J576" s="11" t="s">
        <v>5173</v>
      </c>
      <c r="K576" s="14" t="s">
        <v>31</v>
      </c>
      <c r="L576" s="11" t="s">
        <v>74</v>
      </c>
      <c r="M576" s="11"/>
      <c r="N576" s="16" t="s">
        <v>5135</v>
      </c>
      <c r="O576" s="16"/>
      <c r="P576" s="16"/>
      <c r="Q576" s="17"/>
      <c r="R576" s="17"/>
      <c r="S576" s="17"/>
      <c r="T576" s="17"/>
      <c r="U576" s="17"/>
      <c r="V576" s="17"/>
      <c r="W576" s="17"/>
      <c r="X576" s="17"/>
      <c r="Y576" s="17"/>
    </row>
    <row r="577" ht="18.75" customHeight="1">
      <c r="A577" s="9">
        <v>576.0</v>
      </c>
      <c r="B577" s="25" t="s">
        <v>2780</v>
      </c>
      <c r="C577" s="181" t="s">
        <v>2781</v>
      </c>
      <c r="D577" s="181" t="s">
        <v>42</v>
      </c>
      <c r="E577" s="181" t="s">
        <v>2635</v>
      </c>
      <c r="F577" s="181" t="s">
        <v>6235</v>
      </c>
      <c r="G577" s="12">
        <v>45657.0</v>
      </c>
      <c r="H577" s="162">
        <v>45658.0</v>
      </c>
      <c r="I577" s="11" t="s">
        <v>25</v>
      </c>
      <c r="J577" s="11" t="s">
        <v>37</v>
      </c>
      <c r="K577" s="14" t="s">
        <v>31</v>
      </c>
      <c r="L577" s="11" t="s">
        <v>97</v>
      </c>
      <c r="M577" s="15"/>
      <c r="N577" s="16" t="s">
        <v>5135</v>
      </c>
      <c r="O577" s="16"/>
      <c r="P577" s="16"/>
      <c r="Q577" s="17"/>
      <c r="R577" s="17"/>
      <c r="S577" s="17"/>
      <c r="T577" s="17"/>
      <c r="U577" s="17"/>
      <c r="V577" s="17"/>
      <c r="W577" s="17"/>
      <c r="X577" s="17"/>
      <c r="Y577" s="17"/>
    </row>
    <row r="578" ht="18.75" customHeight="1">
      <c r="A578" s="9">
        <v>577.0</v>
      </c>
      <c r="B578" s="25" t="s">
        <v>2783</v>
      </c>
      <c r="C578" s="181" t="s">
        <v>2784</v>
      </c>
      <c r="D578" s="181" t="s">
        <v>122</v>
      </c>
      <c r="E578" s="181" t="s">
        <v>2635</v>
      </c>
      <c r="F578" s="181" t="s">
        <v>6236</v>
      </c>
      <c r="G578" s="12">
        <v>45657.0</v>
      </c>
      <c r="H578" s="162">
        <v>45658.0</v>
      </c>
      <c r="I578" s="11" t="s">
        <v>25</v>
      </c>
      <c r="J578" s="11" t="s">
        <v>37</v>
      </c>
      <c r="K578" s="14" t="s">
        <v>31</v>
      </c>
      <c r="L578" s="11" t="s">
        <v>38</v>
      </c>
      <c r="M578" s="15"/>
      <c r="N578" s="16" t="s">
        <v>5135</v>
      </c>
      <c r="O578" s="16"/>
      <c r="P578" s="16"/>
      <c r="Q578" s="17"/>
      <c r="R578" s="17"/>
      <c r="S578" s="17"/>
      <c r="T578" s="17"/>
      <c r="U578" s="17"/>
      <c r="V578" s="17"/>
      <c r="W578" s="17"/>
      <c r="X578" s="17"/>
      <c r="Y578" s="17"/>
    </row>
    <row r="579" ht="18.75" customHeight="1">
      <c r="A579" s="9">
        <v>578.0</v>
      </c>
      <c r="B579" s="25" t="s">
        <v>2786</v>
      </c>
      <c r="C579" s="181" t="s">
        <v>2787</v>
      </c>
      <c r="D579" s="181" t="s">
        <v>128</v>
      </c>
      <c r="E579" s="181" t="s">
        <v>2635</v>
      </c>
      <c r="F579" s="189" t="s">
        <v>6237</v>
      </c>
      <c r="G579" s="12">
        <v>45657.0</v>
      </c>
      <c r="H579" s="162">
        <v>45658.0</v>
      </c>
      <c r="I579" s="11" t="s">
        <v>25</v>
      </c>
      <c r="J579" s="11" t="s">
        <v>37</v>
      </c>
      <c r="K579" s="14" t="s">
        <v>31</v>
      </c>
      <c r="L579" s="11" t="s">
        <v>74</v>
      </c>
      <c r="M579" s="15"/>
      <c r="N579" s="16" t="s">
        <v>5135</v>
      </c>
      <c r="O579" s="16"/>
      <c r="P579" s="16"/>
      <c r="Q579" s="17"/>
      <c r="R579" s="17"/>
      <c r="S579" s="17"/>
      <c r="T579" s="17"/>
      <c r="U579" s="17"/>
      <c r="V579" s="17"/>
      <c r="W579" s="17"/>
      <c r="X579" s="17"/>
      <c r="Y579" s="17"/>
    </row>
    <row r="580" ht="18.75" customHeight="1">
      <c r="A580" s="9">
        <v>579.0</v>
      </c>
      <c r="B580" s="25" t="s">
        <v>2789</v>
      </c>
      <c r="C580" s="181" t="s">
        <v>2790</v>
      </c>
      <c r="D580" s="181" t="s">
        <v>122</v>
      </c>
      <c r="E580" s="181" t="s">
        <v>2635</v>
      </c>
      <c r="F580" s="189" t="s">
        <v>6238</v>
      </c>
      <c r="G580" s="12">
        <v>45657.0</v>
      </c>
      <c r="H580" s="162">
        <v>45658.0</v>
      </c>
      <c r="I580" s="11" t="s">
        <v>25</v>
      </c>
      <c r="J580" s="11" t="s">
        <v>37</v>
      </c>
      <c r="K580" s="14" t="s">
        <v>31</v>
      </c>
      <c r="L580" s="11" t="s">
        <v>86</v>
      </c>
      <c r="M580" s="15"/>
      <c r="N580" s="16" t="s">
        <v>5135</v>
      </c>
      <c r="O580" s="16"/>
      <c r="P580" s="16"/>
      <c r="Q580" s="17"/>
      <c r="R580" s="17"/>
      <c r="S580" s="17"/>
      <c r="T580" s="17"/>
      <c r="U580" s="17"/>
      <c r="V580" s="17"/>
      <c r="W580" s="17"/>
      <c r="X580" s="17"/>
      <c r="Y580" s="17"/>
    </row>
    <row r="581" ht="18.75" customHeight="1">
      <c r="A581" s="9">
        <v>580.0</v>
      </c>
      <c r="B581" s="25" t="s">
        <v>2792</v>
      </c>
      <c r="C581" s="181" t="s">
        <v>2793</v>
      </c>
      <c r="D581" s="181" t="s">
        <v>110</v>
      </c>
      <c r="E581" s="181" t="s">
        <v>2635</v>
      </c>
      <c r="F581" s="189" t="s">
        <v>6239</v>
      </c>
      <c r="G581" s="12">
        <v>45657.0</v>
      </c>
      <c r="H581" s="162">
        <v>45658.0</v>
      </c>
      <c r="I581" s="11" t="s">
        <v>25</v>
      </c>
      <c r="J581" s="11" t="s">
        <v>37</v>
      </c>
      <c r="K581" s="14" t="s">
        <v>31</v>
      </c>
      <c r="L581" s="11" t="s">
        <v>86</v>
      </c>
      <c r="M581" s="15"/>
      <c r="N581" s="16" t="s">
        <v>5135</v>
      </c>
      <c r="O581" s="16"/>
      <c r="P581" s="16"/>
      <c r="Q581" s="17"/>
      <c r="R581" s="17"/>
      <c r="S581" s="17"/>
      <c r="T581" s="17"/>
      <c r="U581" s="17"/>
      <c r="V581" s="17"/>
      <c r="W581" s="17"/>
      <c r="X581" s="17"/>
      <c r="Y581" s="17"/>
    </row>
    <row r="582" ht="18.75" customHeight="1">
      <c r="A582" s="9">
        <v>581.0</v>
      </c>
      <c r="B582" s="25" t="s">
        <v>2795</v>
      </c>
      <c r="C582" s="181" t="s">
        <v>2796</v>
      </c>
      <c r="D582" s="181" t="s">
        <v>476</v>
      </c>
      <c r="E582" s="190" t="s">
        <v>2635</v>
      </c>
      <c r="F582" s="189" t="s">
        <v>6240</v>
      </c>
      <c r="G582" s="12">
        <v>45657.0</v>
      </c>
      <c r="H582" s="162">
        <v>45658.0</v>
      </c>
      <c r="I582" s="11" t="s">
        <v>25</v>
      </c>
      <c r="J582" s="11" t="s">
        <v>37</v>
      </c>
      <c r="K582" s="14" t="s">
        <v>31</v>
      </c>
      <c r="L582" s="11" t="s">
        <v>97</v>
      </c>
      <c r="M582" s="15"/>
      <c r="N582" s="16" t="s">
        <v>5135</v>
      </c>
      <c r="O582" s="16"/>
      <c r="P582" s="16"/>
      <c r="Q582" s="17"/>
      <c r="R582" s="17"/>
      <c r="S582" s="17"/>
      <c r="T582" s="17"/>
      <c r="U582" s="17"/>
      <c r="V582" s="17"/>
      <c r="W582" s="17"/>
      <c r="X582" s="17"/>
      <c r="Y582" s="17"/>
    </row>
    <row r="583" ht="18.75" customHeight="1">
      <c r="A583" s="9">
        <v>582.0</v>
      </c>
      <c r="B583" s="25" t="s">
        <v>2798</v>
      </c>
      <c r="C583" s="181" t="s">
        <v>2799</v>
      </c>
      <c r="D583" s="181" t="s">
        <v>128</v>
      </c>
      <c r="E583" s="181" t="s">
        <v>2635</v>
      </c>
      <c r="F583" s="189" t="s">
        <v>6241</v>
      </c>
      <c r="G583" s="12">
        <v>45657.0</v>
      </c>
      <c r="H583" s="162">
        <v>45658.0</v>
      </c>
      <c r="I583" s="11" t="s">
        <v>25</v>
      </c>
      <c r="J583" s="11" t="s">
        <v>37</v>
      </c>
      <c r="K583" s="14" t="s">
        <v>31</v>
      </c>
      <c r="L583" s="11" t="s">
        <v>86</v>
      </c>
      <c r="M583" s="15"/>
      <c r="N583" s="16" t="s">
        <v>5135</v>
      </c>
      <c r="O583" s="16"/>
      <c r="P583" s="16"/>
      <c r="Q583" s="17"/>
      <c r="R583" s="17"/>
      <c r="S583" s="17"/>
      <c r="T583" s="17"/>
      <c r="U583" s="17"/>
      <c r="V583" s="17"/>
      <c r="W583" s="17"/>
      <c r="X583" s="17"/>
      <c r="Y583" s="17"/>
    </row>
    <row r="584" ht="18.75" customHeight="1">
      <c r="A584" s="9">
        <v>583.0</v>
      </c>
      <c r="B584" s="188" t="s">
        <v>2801</v>
      </c>
      <c r="C584" s="181" t="s">
        <v>2802</v>
      </c>
      <c r="D584" s="181" t="s">
        <v>94</v>
      </c>
      <c r="E584" s="181" t="s">
        <v>2803</v>
      </c>
      <c r="F584" s="189" t="s">
        <v>6242</v>
      </c>
      <c r="G584" s="12">
        <v>45628.0</v>
      </c>
      <c r="H584" s="162">
        <v>45629.0</v>
      </c>
      <c r="I584" s="11" t="s">
        <v>251</v>
      </c>
      <c r="J584" s="11" t="s">
        <v>213</v>
      </c>
      <c r="K584" s="14" t="s">
        <v>31</v>
      </c>
      <c r="L584" s="11"/>
      <c r="M584" s="15"/>
      <c r="N584" s="16" t="s">
        <v>5135</v>
      </c>
      <c r="O584" s="16"/>
      <c r="P584" s="16"/>
      <c r="Q584" s="17"/>
      <c r="R584" s="17"/>
      <c r="S584" s="17"/>
      <c r="T584" s="17"/>
      <c r="U584" s="17"/>
      <c r="V584" s="17"/>
      <c r="W584" s="17"/>
      <c r="X584" s="17"/>
      <c r="Y584" s="17"/>
    </row>
    <row r="585" ht="18.75" customHeight="1">
      <c r="A585" s="9">
        <v>584.0</v>
      </c>
      <c r="B585" s="25" t="s">
        <v>2804</v>
      </c>
      <c r="C585" s="181" t="s">
        <v>2805</v>
      </c>
      <c r="D585" s="181" t="s">
        <v>122</v>
      </c>
      <c r="E585" s="181" t="s">
        <v>2806</v>
      </c>
      <c r="F585" s="189" t="s">
        <v>6243</v>
      </c>
      <c r="G585" s="12">
        <v>45657.0</v>
      </c>
      <c r="H585" s="162">
        <v>45658.0</v>
      </c>
      <c r="I585" s="11" t="s">
        <v>25</v>
      </c>
      <c r="J585" s="11" t="s">
        <v>37</v>
      </c>
      <c r="K585" s="14" t="s">
        <v>31</v>
      </c>
      <c r="L585" s="11" t="s">
        <v>50</v>
      </c>
      <c r="M585" s="15"/>
      <c r="N585" s="16" t="s">
        <v>5135</v>
      </c>
      <c r="O585" s="16"/>
      <c r="P585" s="16"/>
      <c r="Q585" s="17"/>
      <c r="R585" s="17"/>
      <c r="S585" s="17"/>
      <c r="T585" s="17"/>
      <c r="U585" s="17"/>
      <c r="V585" s="17"/>
      <c r="W585" s="17"/>
      <c r="X585" s="17"/>
      <c r="Y585" s="17"/>
    </row>
    <row r="586" ht="18.75" customHeight="1">
      <c r="A586" s="9">
        <v>585.0</v>
      </c>
      <c r="B586" s="25" t="s">
        <v>2808</v>
      </c>
      <c r="C586" s="181" t="s">
        <v>2809</v>
      </c>
      <c r="D586" s="181" t="s">
        <v>122</v>
      </c>
      <c r="E586" s="181" t="s">
        <v>2810</v>
      </c>
      <c r="F586" s="189" t="s">
        <v>6244</v>
      </c>
      <c r="G586" s="12">
        <v>45657.0</v>
      </c>
      <c r="H586" s="162">
        <v>45658.0</v>
      </c>
      <c r="I586" s="11" t="s">
        <v>25</v>
      </c>
      <c r="J586" s="11" t="s">
        <v>37</v>
      </c>
      <c r="K586" s="14" t="s">
        <v>31</v>
      </c>
      <c r="L586" s="11"/>
      <c r="M586" s="15"/>
      <c r="N586" s="16" t="s">
        <v>5135</v>
      </c>
      <c r="O586" s="16"/>
      <c r="P586" s="16"/>
      <c r="Q586" s="17"/>
      <c r="R586" s="17"/>
      <c r="S586" s="17"/>
      <c r="T586" s="17"/>
      <c r="U586" s="17"/>
      <c r="V586" s="17"/>
      <c r="W586" s="17"/>
      <c r="X586" s="17"/>
      <c r="Y586" s="17"/>
    </row>
    <row r="587" ht="18.75" customHeight="1">
      <c r="A587" s="9">
        <v>586.0</v>
      </c>
      <c r="B587" s="191" t="s">
        <v>2812</v>
      </c>
      <c r="C587" s="192" t="s">
        <v>2813</v>
      </c>
      <c r="D587" s="192" t="s">
        <v>2305</v>
      </c>
      <c r="E587" s="192" t="s">
        <v>2814</v>
      </c>
      <c r="F587" s="189" t="s">
        <v>6245</v>
      </c>
      <c r="G587" s="12">
        <v>45653.0</v>
      </c>
      <c r="H587" s="162">
        <v>45654.0</v>
      </c>
      <c r="I587" s="11" t="s">
        <v>21</v>
      </c>
      <c r="J587" s="11" t="s">
        <v>22</v>
      </c>
      <c r="K587" s="14" t="s">
        <v>531</v>
      </c>
      <c r="L587" s="11"/>
      <c r="M587" s="15"/>
      <c r="N587" s="16"/>
      <c r="O587" s="16"/>
      <c r="P587" s="16"/>
      <c r="Q587" s="17"/>
      <c r="R587" s="17"/>
      <c r="S587" s="17"/>
      <c r="T587" s="17"/>
      <c r="U587" s="17"/>
      <c r="V587" s="17"/>
      <c r="W587" s="17"/>
      <c r="X587" s="17"/>
      <c r="Y587" s="17"/>
    </row>
    <row r="588" ht="18.75" customHeight="1">
      <c r="A588" s="9">
        <v>587.0</v>
      </c>
      <c r="B588" s="181" t="s">
        <v>2816</v>
      </c>
      <c r="C588" s="181" t="s">
        <v>2817</v>
      </c>
      <c r="D588" s="169" t="s">
        <v>116</v>
      </c>
      <c r="E588" s="181" t="s">
        <v>2818</v>
      </c>
      <c r="F588" s="189" t="s">
        <v>6246</v>
      </c>
      <c r="G588" s="12">
        <v>45660.0</v>
      </c>
      <c r="H588" s="162">
        <v>45661.0</v>
      </c>
      <c r="I588" s="11" t="s">
        <v>25</v>
      </c>
      <c r="J588" s="11" t="s">
        <v>37</v>
      </c>
      <c r="K588" s="14" t="s">
        <v>31</v>
      </c>
      <c r="L588" s="11"/>
      <c r="M588" s="15"/>
      <c r="N588" s="16" t="s">
        <v>5135</v>
      </c>
      <c r="O588" s="16"/>
      <c r="P588" s="16"/>
      <c r="Q588" s="17"/>
      <c r="R588" s="17"/>
      <c r="S588" s="17"/>
      <c r="T588" s="17"/>
      <c r="U588" s="17"/>
      <c r="V588" s="17"/>
      <c r="W588" s="17"/>
      <c r="X588" s="17"/>
      <c r="Y588" s="17"/>
    </row>
    <row r="589" ht="18.75" customHeight="1">
      <c r="A589" s="9">
        <v>588.0</v>
      </c>
      <c r="B589" s="193" t="s">
        <v>2501</v>
      </c>
      <c r="C589" s="180" t="s">
        <v>2502</v>
      </c>
      <c r="D589" s="180" t="s">
        <v>28</v>
      </c>
      <c r="E589" s="180" t="s">
        <v>2503</v>
      </c>
      <c r="F589" s="194" t="s">
        <v>6247</v>
      </c>
      <c r="G589" s="162">
        <v>45618.0</v>
      </c>
      <c r="H589" s="162">
        <v>45619.0</v>
      </c>
      <c r="I589" s="11" t="s">
        <v>25</v>
      </c>
      <c r="J589" s="11" t="s">
        <v>37</v>
      </c>
      <c r="K589" s="14" t="s">
        <v>531</v>
      </c>
      <c r="L589" s="11"/>
      <c r="M589" s="15"/>
      <c r="N589" s="16" t="s">
        <v>5135</v>
      </c>
      <c r="O589" s="16"/>
      <c r="P589" s="16"/>
      <c r="Q589" s="17"/>
      <c r="R589" s="17"/>
      <c r="S589" s="17"/>
      <c r="T589" s="17"/>
      <c r="U589" s="17"/>
      <c r="V589" s="17"/>
      <c r="W589" s="17"/>
      <c r="X589" s="17"/>
      <c r="Y589" s="17"/>
    </row>
    <row r="590" ht="18.75" customHeight="1">
      <c r="A590" s="9">
        <v>589.0</v>
      </c>
      <c r="B590" s="193" t="s">
        <v>6248</v>
      </c>
      <c r="C590" s="195" t="s">
        <v>6249</v>
      </c>
      <c r="D590" s="180" t="s">
        <v>271</v>
      </c>
      <c r="E590" s="180" t="s">
        <v>6250</v>
      </c>
      <c r="F590" s="189" t="s">
        <v>6251</v>
      </c>
      <c r="G590" s="175">
        <v>45624.0</v>
      </c>
      <c r="H590" s="162">
        <v>45625.0</v>
      </c>
      <c r="I590" s="11" t="s">
        <v>25</v>
      </c>
      <c r="J590" s="11" t="s">
        <v>5173</v>
      </c>
      <c r="K590" s="14" t="s">
        <v>531</v>
      </c>
      <c r="L590" s="11"/>
      <c r="M590" s="15"/>
      <c r="N590" s="16" t="s">
        <v>5135</v>
      </c>
      <c r="O590" s="16"/>
      <c r="P590" s="16"/>
      <c r="Q590" s="17"/>
      <c r="R590" s="17"/>
      <c r="S590" s="17"/>
      <c r="T590" s="17"/>
      <c r="U590" s="17"/>
      <c r="V590" s="17"/>
      <c r="W590" s="17"/>
      <c r="X590" s="17"/>
      <c r="Y590" s="17"/>
    </row>
    <row r="591" ht="18.75" customHeight="1">
      <c r="A591" s="9">
        <v>590.0</v>
      </c>
      <c r="B591" s="196" t="s">
        <v>2820</v>
      </c>
      <c r="C591" s="192" t="s">
        <v>2821</v>
      </c>
      <c r="D591" s="192" t="s">
        <v>71</v>
      </c>
      <c r="E591" s="192" t="s">
        <v>2822</v>
      </c>
      <c r="F591" s="189" t="s">
        <v>6252</v>
      </c>
      <c r="G591" s="12">
        <v>45657.0</v>
      </c>
      <c r="H591" s="162">
        <v>45658.0</v>
      </c>
      <c r="I591" s="11" t="s">
        <v>21</v>
      </c>
      <c r="J591" s="11" t="s">
        <v>22</v>
      </c>
      <c r="K591" s="14" t="s">
        <v>531</v>
      </c>
      <c r="L591" s="11"/>
      <c r="M591" s="15"/>
      <c r="N591" s="16"/>
      <c r="O591" s="16"/>
      <c r="P591" s="16"/>
      <c r="Q591" s="17"/>
      <c r="R591" s="17"/>
      <c r="S591" s="17"/>
      <c r="T591" s="17"/>
      <c r="U591" s="17"/>
      <c r="V591" s="17"/>
      <c r="W591" s="17"/>
      <c r="X591" s="17"/>
      <c r="Y591" s="17"/>
    </row>
    <row r="592" ht="18.75" customHeight="1">
      <c r="A592" s="9">
        <v>591.0</v>
      </c>
      <c r="B592" s="181" t="s">
        <v>2824</v>
      </c>
      <c r="C592" s="181" t="s">
        <v>2825</v>
      </c>
      <c r="D592" s="181" t="s">
        <v>128</v>
      </c>
      <c r="E592" s="181" t="s">
        <v>2395</v>
      </c>
      <c r="F592" s="189" t="s">
        <v>6253</v>
      </c>
      <c r="G592" s="12">
        <v>45664.0</v>
      </c>
      <c r="H592" s="162">
        <v>45665.0</v>
      </c>
      <c r="I592" s="11" t="s">
        <v>25</v>
      </c>
      <c r="J592" s="11" t="s">
        <v>22</v>
      </c>
      <c r="K592" s="14" t="s">
        <v>31</v>
      </c>
      <c r="L592" s="11"/>
      <c r="M592" s="15"/>
      <c r="N592" s="16" t="s">
        <v>5135</v>
      </c>
      <c r="O592" s="16"/>
      <c r="P592" s="16"/>
      <c r="Q592" s="17"/>
      <c r="R592" s="17"/>
      <c r="S592" s="17"/>
      <c r="T592" s="17"/>
      <c r="U592" s="17"/>
      <c r="V592" s="17"/>
      <c r="W592" s="17"/>
      <c r="X592" s="17"/>
      <c r="Y592" s="17"/>
    </row>
    <row r="593" ht="18.75" customHeight="1">
      <c r="A593" s="9">
        <v>592.0</v>
      </c>
      <c r="B593" s="188" t="s">
        <v>2827</v>
      </c>
      <c r="C593" s="181" t="s">
        <v>2828</v>
      </c>
      <c r="D593" s="181" t="s">
        <v>342</v>
      </c>
      <c r="E593" s="181" t="s">
        <v>449</v>
      </c>
      <c r="F593" s="189" t="s">
        <v>6254</v>
      </c>
      <c r="G593" s="12">
        <v>45688.0</v>
      </c>
      <c r="H593" s="162">
        <v>45689.0</v>
      </c>
      <c r="I593" s="11" t="s">
        <v>25</v>
      </c>
      <c r="J593" s="11" t="s">
        <v>37</v>
      </c>
      <c r="K593" s="14" t="s">
        <v>31</v>
      </c>
      <c r="L593" s="11" t="s">
        <v>50</v>
      </c>
      <c r="M593" s="15"/>
      <c r="N593" s="16" t="s">
        <v>5135</v>
      </c>
      <c r="O593" s="16"/>
      <c r="P593" s="16"/>
      <c r="Q593" s="17"/>
      <c r="R593" s="17"/>
      <c r="S593" s="17"/>
      <c r="T593" s="17"/>
      <c r="U593" s="17"/>
      <c r="V593" s="17"/>
      <c r="W593" s="17"/>
      <c r="X593" s="17"/>
      <c r="Y593" s="17"/>
    </row>
    <row r="594" ht="18.75" customHeight="1">
      <c r="A594" s="9">
        <v>593.0</v>
      </c>
      <c r="B594" s="188" t="s">
        <v>2829</v>
      </c>
      <c r="C594" s="181" t="s">
        <v>2830</v>
      </c>
      <c r="D594" s="181" t="s">
        <v>481</v>
      </c>
      <c r="E594" s="181" t="s">
        <v>2831</v>
      </c>
      <c r="F594" s="189" t="s">
        <v>6255</v>
      </c>
      <c r="G594" s="12">
        <v>45666.0</v>
      </c>
      <c r="H594" s="162">
        <v>45667.0</v>
      </c>
      <c r="I594" s="11" t="s">
        <v>25</v>
      </c>
      <c r="J594" s="11" t="s">
        <v>37</v>
      </c>
      <c r="K594" s="14" t="s">
        <v>31</v>
      </c>
      <c r="L594" s="11" t="s">
        <v>62</v>
      </c>
      <c r="M594" s="15"/>
      <c r="N594" s="16" t="s">
        <v>5135</v>
      </c>
      <c r="O594" s="16"/>
      <c r="P594" s="16"/>
      <c r="Q594" s="17"/>
      <c r="R594" s="17"/>
      <c r="S594" s="17"/>
      <c r="T594" s="17"/>
      <c r="U594" s="17"/>
      <c r="V594" s="17"/>
      <c r="W594" s="17"/>
      <c r="X594" s="17"/>
      <c r="Y594" s="17"/>
    </row>
    <row r="595" ht="18.75" customHeight="1">
      <c r="A595" s="9">
        <v>594.0</v>
      </c>
      <c r="B595" s="188" t="s">
        <v>6256</v>
      </c>
      <c r="C595" s="181" t="s">
        <v>6257</v>
      </c>
      <c r="D595" s="181" t="s">
        <v>6258</v>
      </c>
      <c r="E595" s="181" t="s">
        <v>6259</v>
      </c>
      <c r="F595" s="189" t="s">
        <v>6260</v>
      </c>
      <c r="G595" s="12">
        <v>45565.0</v>
      </c>
      <c r="H595" s="162">
        <v>45566.0</v>
      </c>
      <c r="I595" s="11" t="s">
        <v>251</v>
      </c>
      <c r="J595" s="11" t="s">
        <v>5420</v>
      </c>
      <c r="K595" s="14" t="s">
        <v>31</v>
      </c>
      <c r="L595" s="11"/>
      <c r="M595" s="15"/>
      <c r="N595" s="16" t="s">
        <v>5135</v>
      </c>
      <c r="O595" s="16"/>
      <c r="P595" s="16"/>
      <c r="Q595" s="17"/>
      <c r="R595" s="17"/>
      <c r="S595" s="17"/>
      <c r="T595" s="17"/>
      <c r="U595" s="17"/>
      <c r="V595" s="17"/>
      <c r="W595" s="17"/>
      <c r="X595" s="17"/>
      <c r="Y595" s="17"/>
    </row>
    <row r="596" ht="18.75" customHeight="1">
      <c r="A596" s="9">
        <v>595.0</v>
      </c>
      <c r="B596" s="188" t="s">
        <v>6261</v>
      </c>
      <c r="C596" s="197" t="s">
        <v>2834</v>
      </c>
      <c r="D596" s="197" t="s">
        <v>2835</v>
      </c>
      <c r="E596" s="197" t="s">
        <v>2836</v>
      </c>
      <c r="F596" s="189" t="s">
        <v>6262</v>
      </c>
      <c r="G596" s="12">
        <v>45679.0</v>
      </c>
      <c r="H596" s="162">
        <v>45680.0</v>
      </c>
      <c r="I596" s="11" t="s">
        <v>25</v>
      </c>
      <c r="J596" s="11" t="s">
        <v>22</v>
      </c>
      <c r="K596" s="14" t="s">
        <v>31</v>
      </c>
      <c r="L596" s="11"/>
      <c r="M596" s="15"/>
      <c r="N596" s="16" t="s">
        <v>5135</v>
      </c>
      <c r="O596" s="16"/>
      <c r="P596" s="16"/>
      <c r="Q596" s="17"/>
      <c r="R596" s="17"/>
      <c r="S596" s="17"/>
      <c r="T596" s="17"/>
      <c r="U596" s="17"/>
      <c r="V596" s="17"/>
      <c r="W596" s="17"/>
      <c r="X596" s="17"/>
      <c r="Y596" s="17"/>
    </row>
    <row r="597" ht="18.75" customHeight="1">
      <c r="A597" s="9">
        <v>596.0</v>
      </c>
      <c r="B597" s="11" t="s">
        <v>2838</v>
      </c>
      <c r="C597" s="181" t="s">
        <v>2839</v>
      </c>
      <c r="D597" s="181" t="s">
        <v>122</v>
      </c>
      <c r="E597" s="181" t="s">
        <v>2840</v>
      </c>
      <c r="F597" s="189" t="s">
        <v>6263</v>
      </c>
      <c r="G597" s="12">
        <v>45637.0</v>
      </c>
      <c r="H597" s="162">
        <v>45638.0</v>
      </c>
      <c r="I597" s="11" t="s">
        <v>251</v>
      </c>
      <c r="J597" s="11" t="s">
        <v>213</v>
      </c>
      <c r="K597" s="14" t="s">
        <v>31</v>
      </c>
      <c r="L597" s="11"/>
      <c r="M597" s="15"/>
      <c r="N597" s="16" t="s">
        <v>5135</v>
      </c>
      <c r="O597" s="16"/>
      <c r="P597" s="16"/>
      <c r="Q597" s="17"/>
      <c r="R597" s="17"/>
      <c r="S597" s="17"/>
      <c r="T597" s="17"/>
      <c r="U597" s="17"/>
      <c r="V597" s="17"/>
      <c r="W597" s="17"/>
      <c r="X597" s="17"/>
      <c r="Y597" s="17"/>
    </row>
    <row r="598" ht="18.75" customHeight="1">
      <c r="A598" s="9">
        <v>597.0</v>
      </c>
      <c r="B598" s="11" t="s">
        <v>2841</v>
      </c>
      <c r="C598" s="181" t="s">
        <v>2842</v>
      </c>
      <c r="D598" s="181" t="s">
        <v>122</v>
      </c>
      <c r="E598" s="181" t="s">
        <v>2843</v>
      </c>
      <c r="F598" s="189" t="s">
        <v>6264</v>
      </c>
      <c r="G598" s="12">
        <v>45640.0</v>
      </c>
      <c r="H598" s="162">
        <v>45641.0</v>
      </c>
      <c r="I598" s="11" t="s">
        <v>251</v>
      </c>
      <c r="J598" s="11" t="s">
        <v>213</v>
      </c>
      <c r="K598" s="14" t="s">
        <v>31</v>
      </c>
      <c r="L598" s="11"/>
      <c r="M598" s="15"/>
      <c r="N598" s="16" t="s">
        <v>5135</v>
      </c>
      <c r="O598" s="16"/>
      <c r="P598" s="16"/>
      <c r="Q598" s="17"/>
      <c r="R598" s="17"/>
      <c r="S598" s="17"/>
      <c r="T598" s="17"/>
      <c r="U598" s="17"/>
      <c r="V598" s="17"/>
      <c r="W598" s="17"/>
      <c r="X598" s="17"/>
      <c r="Y598" s="17"/>
    </row>
    <row r="599" ht="18.75" customHeight="1">
      <c r="A599" s="9">
        <v>598.0</v>
      </c>
      <c r="B599" s="198" t="s">
        <v>2844</v>
      </c>
      <c r="C599" s="197" t="s">
        <v>2845</v>
      </c>
      <c r="D599" s="197" t="s">
        <v>2846</v>
      </c>
      <c r="E599" s="197" t="s">
        <v>2847</v>
      </c>
      <c r="F599" s="189" t="s">
        <v>6265</v>
      </c>
      <c r="G599" s="12">
        <v>45688.0</v>
      </c>
      <c r="H599" s="162">
        <v>45689.0</v>
      </c>
      <c r="I599" s="11" t="s">
        <v>25</v>
      </c>
      <c r="J599" s="11" t="s">
        <v>22</v>
      </c>
      <c r="K599" s="14" t="s">
        <v>31</v>
      </c>
      <c r="L599" s="11"/>
      <c r="M599" s="15"/>
      <c r="N599" s="16" t="s">
        <v>5135</v>
      </c>
      <c r="O599" s="16"/>
      <c r="P599" s="16"/>
      <c r="Q599" s="17"/>
      <c r="R599" s="17"/>
      <c r="S599" s="17"/>
      <c r="T599" s="17"/>
      <c r="U599" s="17"/>
      <c r="V599" s="17"/>
      <c r="W599" s="17"/>
      <c r="X599" s="17"/>
      <c r="Y599" s="17"/>
    </row>
    <row r="600" ht="18.75" customHeight="1">
      <c r="A600" s="9">
        <v>599.0</v>
      </c>
      <c r="B600" s="188" t="s">
        <v>2849</v>
      </c>
      <c r="C600" s="181" t="s">
        <v>2850</v>
      </c>
      <c r="D600" s="181" t="s">
        <v>1544</v>
      </c>
      <c r="E600" s="181" t="s">
        <v>2851</v>
      </c>
      <c r="F600" s="189" t="s">
        <v>6266</v>
      </c>
      <c r="G600" s="12">
        <v>45666.0</v>
      </c>
      <c r="H600" s="162">
        <v>45667.0</v>
      </c>
      <c r="I600" s="11" t="s">
        <v>25</v>
      </c>
      <c r="J600" s="11" t="s">
        <v>37</v>
      </c>
      <c r="K600" s="14" t="s">
        <v>31</v>
      </c>
      <c r="L600" s="11" t="s">
        <v>50</v>
      </c>
      <c r="M600" s="15"/>
      <c r="N600" s="16" t="s">
        <v>5135</v>
      </c>
      <c r="O600" s="16"/>
      <c r="P600" s="16"/>
      <c r="Q600" s="17"/>
      <c r="R600" s="17"/>
      <c r="S600" s="17"/>
      <c r="T600" s="17"/>
      <c r="U600" s="17"/>
      <c r="V600" s="17"/>
      <c r="W600" s="17"/>
      <c r="X600" s="17"/>
      <c r="Y600" s="17"/>
    </row>
    <row r="601" ht="18.75" customHeight="1">
      <c r="A601" s="9">
        <v>600.0</v>
      </c>
      <c r="B601" s="188" t="s">
        <v>2853</v>
      </c>
      <c r="C601" s="181" t="s">
        <v>2854</v>
      </c>
      <c r="D601" s="181" t="s">
        <v>342</v>
      </c>
      <c r="E601" s="181" t="s">
        <v>2292</v>
      </c>
      <c r="F601" s="189" t="s">
        <v>6267</v>
      </c>
      <c r="G601" s="12">
        <v>45677.0</v>
      </c>
      <c r="H601" s="162">
        <v>45678.0</v>
      </c>
      <c r="I601" s="11" t="s">
        <v>25</v>
      </c>
      <c r="J601" s="11" t="s">
        <v>37</v>
      </c>
      <c r="K601" s="14" t="s">
        <v>31</v>
      </c>
      <c r="L601" s="11" t="s">
        <v>62</v>
      </c>
      <c r="M601" s="15"/>
      <c r="N601" s="16" t="s">
        <v>5135</v>
      </c>
      <c r="O601" s="16"/>
      <c r="P601" s="16"/>
      <c r="Q601" s="17"/>
      <c r="R601" s="17"/>
      <c r="S601" s="17"/>
      <c r="T601" s="17"/>
      <c r="U601" s="17"/>
      <c r="V601" s="17"/>
      <c r="W601" s="17"/>
      <c r="X601" s="17"/>
      <c r="Y601" s="17"/>
    </row>
    <row r="602" ht="18.75" customHeight="1">
      <c r="A602" s="9">
        <v>601.0</v>
      </c>
      <c r="B602" s="188" t="s">
        <v>2856</v>
      </c>
      <c r="C602" s="181" t="s">
        <v>2857</v>
      </c>
      <c r="D602" s="181" t="s">
        <v>122</v>
      </c>
      <c r="E602" s="181" t="s">
        <v>2388</v>
      </c>
      <c r="F602" s="189" t="s">
        <v>6268</v>
      </c>
      <c r="G602" s="12">
        <v>45688.0</v>
      </c>
      <c r="H602" s="162">
        <v>45689.0</v>
      </c>
      <c r="I602" s="11" t="s">
        <v>25</v>
      </c>
      <c r="J602" s="11" t="s">
        <v>37</v>
      </c>
      <c r="K602" s="14" t="s">
        <v>31</v>
      </c>
      <c r="L602" s="11" t="s">
        <v>62</v>
      </c>
      <c r="M602" s="15"/>
      <c r="N602" s="16" t="s">
        <v>5135</v>
      </c>
      <c r="O602" s="16"/>
      <c r="P602" s="16"/>
      <c r="Q602" s="17"/>
      <c r="R602" s="17"/>
      <c r="S602" s="17"/>
      <c r="T602" s="17"/>
      <c r="U602" s="17"/>
      <c r="V602" s="17"/>
      <c r="W602" s="17"/>
      <c r="X602" s="17"/>
      <c r="Y602" s="17"/>
    </row>
    <row r="603" ht="18.75" customHeight="1">
      <c r="A603" s="9">
        <v>602.0</v>
      </c>
      <c r="B603" s="11" t="s">
        <v>2859</v>
      </c>
      <c r="C603" s="181" t="s">
        <v>2860</v>
      </c>
      <c r="D603" s="181" t="s">
        <v>128</v>
      </c>
      <c r="E603" s="181" t="s">
        <v>2472</v>
      </c>
      <c r="F603" s="189" t="s">
        <v>6269</v>
      </c>
      <c r="G603" s="12">
        <v>45643.0</v>
      </c>
      <c r="H603" s="162">
        <v>45644.0</v>
      </c>
      <c r="I603" s="11" t="s">
        <v>251</v>
      </c>
      <c r="J603" s="11"/>
      <c r="K603" s="14" t="s">
        <v>31</v>
      </c>
      <c r="L603" s="11"/>
      <c r="M603" s="15"/>
      <c r="N603" s="16" t="s">
        <v>5135</v>
      </c>
      <c r="O603" s="16"/>
      <c r="P603" s="16"/>
      <c r="Q603" s="17"/>
      <c r="R603" s="17"/>
      <c r="S603" s="17"/>
      <c r="T603" s="17"/>
      <c r="U603" s="17"/>
      <c r="V603" s="17"/>
      <c r="W603" s="17"/>
      <c r="X603" s="17"/>
      <c r="Y603" s="17"/>
    </row>
    <row r="604" ht="18.75" customHeight="1">
      <c r="A604" s="9">
        <v>603.0</v>
      </c>
      <c r="B604" s="25" t="s">
        <v>2861</v>
      </c>
      <c r="C604" s="181" t="s">
        <v>2862</v>
      </c>
      <c r="D604" s="181" t="s">
        <v>894</v>
      </c>
      <c r="E604" s="181" t="s">
        <v>2863</v>
      </c>
      <c r="F604" s="189" t="s">
        <v>6270</v>
      </c>
      <c r="G604" s="12">
        <v>45651.0</v>
      </c>
      <c r="H604" s="162">
        <v>45652.0</v>
      </c>
      <c r="I604" s="11" t="s">
        <v>119</v>
      </c>
      <c r="J604" s="11" t="s">
        <v>5420</v>
      </c>
      <c r="K604" s="14" t="s">
        <v>31</v>
      </c>
      <c r="L604" s="11" t="s">
        <v>38</v>
      </c>
      <c r="M604" s="15"/>
      <c r="N604" s="16" t="s">
        <v>5135</v>
      </c>
      <c r="O604" s="16"/>
      <c r="P604" s="16"/>
      <c r="Q604" s="17"/>
      <c r="R604" s="17"/>
      <c r="S604" s="17"/>
      <c r="T604" s="17"/>
      <c r="U604" s="17"/>
      <c r="V604" s="17"/>
      <c r="W604" s="17"/>
      <c r="X604" s="17"/>
      <c r="Y604" s="17"/>
    </row>
    <row r="605" ht="18.75" customHeight="1">
      <c r="A605" s="9">
        <v>604.0</v>
      </c>
      <c r="B605" s="25" t="s">
        <v>2865</v>
      </c>
      <c r="C605" s="181" t="s">
        <v>2866</v>
      </c>
      <c r="D605" s="181" t="s">
        <v>110</v>
      </c>
      <c r="E605" s="181" t="s">
        <v>2867</v>
      </c>
      <c r="F605" s="189" t="s">
        <v>6271</v>
      </c>
      <c r="G605" s="12">
        <v>45657.0</v>
      </c>
      <c r="H605" s="162">
        <v>45658.0</v>
      </c>
      <c r="I605" s="11" t="s">
        <v>5172</v>
      </c>
      <c r="J605" s="11" t="s">
        <v>22</v>
      </c>
      <c r="K605" s="14" t="s">
        <v>31</v>
      </c>
      <c r="L605" s="11" t="s">
        <v>5814</v>
      </c>
      <c r="M605" s="15"/>
      <c r="N605" s="16" t="s">
        <v>5135</v>
      </c>
      <c r="O605" s="16"/>
      <c r="P605" s="16"/>
      <c r="Q605" s="17"/>
      <c r="R605" s="17"/>
      <c r="S605" s="17"/>
      <c r="T605" s="17"/>
      <c r="U605" s="17"/>
      <c r="V605" s="17"/>
      <c r="W605" s="17"/>
      <c r="X605" s="17"/>
      <c r="Y605" s="17"/>
    </row>
    <row r="606" ht="18.75" customHeight="1">
      <c r="A606" s="9">
        <v>605.0</v>
      </c>
      <c r="B606" s="188" t="s">
        <v>6272</v>
      </c>
      <c r="C606" s="181" t="s">
        <v>2869</v>
      </c>
      <c r="D606" s="181" t="s">
        <v>6273</v>
      </c>
      <c r="E606" s="181" t="s">
        <v>2871</v>
      </c>
      <c r="F606" s="189" t="s">
        <v>6274</v>
      </c>
      <c r="G606" s="12">
        <v>45667.0</v>
      </c>
      <c r="H606" s="162">
        <v>45668.0</v>
      </c>
      <c r="I606" s="11" t="s">
        <v>25</v>
      </c>
      <c r="J606" s="11" t="s">
        <v>22</v>
      </c>
      <c r="K606" s="14" t="s">
        <v>31</v>
      </c>
      <c r="L606" s="11"/>
      <c r="M606" s="15"/>
      <c r="N606" s="16" t="s">
        <v>5135</v>
      </c>
      <c r="O606" s="16"/>
      <c r="P606" s="16"/>
      <c r="Q606" s="17"/>
      <c r="R606" s="17"/>
      <c r="S606" s="17"/>
      <c r="T606" s="17"/>
      <c r="U606" s="17"/>
      <c r="V606" s="17"/>
      <c r="W606" s="17"/>
      <c r="X606" s="17"/>
      <c r="Y606" s="17"/>
    </row>
    <row r="607" ht="18.75" customHeight="1">
      <c r="A607" s="9">
        <v>606.0</v>
      </c>
      <c r="B607" s="25" t="s">
        <v>6275</v>
      </c>
      <c r="C607" s="181" t="s">
        <v>6276</v>
      </c>
      <c r="D607" s="181" t="s">
        <v>2135</v>
      </c>
      <c r="E607" s="181" t="s">
        <v>3317</v>
      </c>
      <c r="F607" s="189" t="s">
        <v>6277</v>
      </c>
      <c r="G607" s="12">
        <v>45657.0</v>
      </c>
      <c r="H607" s="162">
        <v>45658.0</v>
      </c>
      <c r="I607" s="11" t="s">
        <v>25</v>
      </c>
      <c r="J607" s="11" t="s">
        <v>37</v>
      </c>
      <c r="K607" s="14" t="s">
        <v>31</v>
      </c>
      <c r="L607" s="11"/>
      <c r="M607" s="15"/>
      <c r="N607" s="16" t="s">
        <v>5135</v>
      </c>
      <c r="O607" s="16"/>
      <c r="P607" s="16"/>
      <c r="Q607" s="17"/>
      <c r="R607" s="17"/>
      <c r="S607" s="17"/>
      <c r="T607" s="17"/>
      <c r="U607" s="17"/>
      <c r="V607" s="17"/>
      <c r="W607" s="17"/>
      <c r="X607" s="17"/>
      <c r="Y607" s="17"/>
    </row>
    <row r="608" ht="18.75" customHeight="1">
      <c r="A608" s="9">
        <v>607.0</v>
      </c>
      <c r="B608" s="188" t="s">
        <v>2878</v>
      </c>
      <c r="C608" s="181" t="s">
        <v>2879</v>
      </c>
      <c r="D608" s="181" t="s">
        <v>2880</v>
      </c>
      <c r="E608" s="181" t="s">
        <v>2881</v>
      </c>
      <c r="F608" s="189" t="s">
        <v>6278</v>
      </c>
      <c r="G608" s="12">
        <v>45688.0</v>
      </c>
      <c r="H608" s="162">
        <v>45689.0</v>
      </c>
      <c r="I608" s="11" t="s">
        <v>25</v>
      </c>
      <c r="J608" s="11" t="s">
        <v>37</v>
      </c>
      <c r="K608" s="14" t="s">
        <v>31</v>
      </c>
      <c r="L608" s="11" t="s">
        <v>50</v>
      </c>
      <c r="M608" s="15"/>
      <c r="N608" s="16" t="s">
        <v>5135</v>
      </c>
      <c r="O608" s="16"/>
      <c r="P608" s="16"/>
      <c r="Q608" s="17"/>
      <c r="R608" s="17"/>
      <c r="S608" s="17"/>
      <c r="T608" s="17"/>
      <c r="U608" s="17"/>
      <c r="V608" s="17"/>
      <c r="W608" s="17"/>
      <c r="X608" s="17"/>
      <c r="Y608" s="17"/>
    </row>
    <row r="609" ht="18.75" customHeight="1">
      <c r="A609" s="9">
        <v>608.0</v>
      </c>
      <c r="B609" s="188" t="s">
        <v>2883</v>
      </c>
      <c r="C609" s="181" t="s">
        <v>2884</v>
      </c>
      <c r="D609" s="181" t="s">
        <v>122</v>
      </c>
      <c r="E609" s="181" t="s">
        <v>2588</v>
      </c>
      <c r="F609" s="189" t="s">
        <v>6279</v>
      </c>
      <c r="G609" s="12">
        <v>45688.0</v>
      </c>
      <c r="H609" s="162">
        <v>45689.0</v>
      </c>
      <c r="I609" s="11" t="s">
        <v>25</v>
      </c>
      <c r="J609" s="11" t="s">
        <v>37</v>
      </c>
      <c r="K609" s="14" t="s">
        <v>31</v>
      </c>
      <c r="L609" s="11" t="s">
        <v>74</v>
      </c>
      <c r="M609" s="15"/>
      <c r="N609" s="16" t="s">
        <v>5135</v>
      </c>
      <c r="O609" s="16"/>
      <c r="P609" s="16"/>
      <c r="Q609" s="17"/>
      <c r="R609" s="17"/>
      <c r="S609" s="17"/>
      <c r="T609" s="17"/>
      <c r="U609" s="17"/>
      <c r="V609" s="17"/>
      <c r="W609" s="17"/>
      <c r="X609" s="17"/>
      <c r="Y609" s="17"/>
    </row>
    <row r="610" ht="18.75" customHeight="1">
      <c r="A610" s="9">
        <v>609.0</v>
      </c>
      <c r="B610" s="188" t="s">
        <v>2886</v>
      </c>
      <c r="C610" s="181" t="s">
        <v>2887</v>
      </c>
      <c r="D610" s="181" t="s">
        <v>476</v>
      </c>
      <c r="E610" s="181" t="s">
        <v>2888</v>
      </c>
      <c r="F610" s="189" t="s">
        <v>6280</v>
      </c>
      <c r="G610" s="12">
        <v>45688.0</v>
      </c>
      <c r="H610" s="162">
        <v>45689.0</v>
      </c>
      <c r="I610" s="11" t="s">
        <v>25</v>
      </c>
      <c r="J610" s="11" t="s">
        <v>37</v>
      </c>
      <c r="K610" s="14" t="s">
        <v>31</v>
      </c>
      <c r="L610" s="11" t="s">
        <v>62</v>
      </c>
      <c r="M610" s="15"/>
      <c r="N610" s="16" t="s">
        <v>5135</v>
      </c>
      <c r="O610" s="16"/>
      <c r="P610" s="16"/>
      <c r="Q610" s="17"/>
      <c r="R610" s="17"/>
      <c r="S610" s="17"/>
      <c r="T610" s="17"/>
      <c r="U610" s="17"/>
      <c r="V610" s="17"/>
      <c r="W610" s="17"/>
      <c r="X610" s="17"/>
      <c r="Y610" s="17"/>
    </row>
    <row r="611" ht="18.75" customHeight="1">
      <c r="A611" s="9">
        <v>610.0</v>
      </c>
      <c r="B611" s="188" t="s">
        <v>2873</v>
      </c>
      <c r="C611" s="181" t="s">
        <v>2874</v>
      </c>
      <c r="D611" s="181" t="s">
        <v>2875</v>
      </c>
      <c r="E611" s="181" t="s">
        <v>2876</v>
      </c>
      <c r="F611" s="189" t="s">
        <v>6281</v>
      </c>
      <c r="G611" s="12">
        <v>45688.0</v>
      </c>
      <c r="H611" s="162">
        <v>45689.0</v>
      </c>
      <c r="I611" s="11" t="s">
        <v>25</v>
      </c>
      <c r="J611" s="11" t="s">
        <v>22</v>
      </c>
      <c r="K611" s="14" t="s">
        <v>31</v>
      </c>
      <c r="L611" s="11" t="s">
        <v>50</v>
      </c>
      <c r="M611" s="15"/>
      <c r="N611" s="16" t="s">
        <v>5135</v>
      </c>
      <c r="O611" s="16"/>
      <c r="P611" s="16"/>
      <c r="Q611" s="17"/>
      <c r="R611" s="17"/>
      <c r="S611" s="17"/>
      <c r="T611" s="17"/>
      <c r="U611" s="17"/>
      <c r="V611" s="17"/>
      <c r="W611" s="17"/>
      <c r="X611" s="17"/>
      <c r="Y611" s="17"/>
    </row>
    <row r="612" ht="18.75" customHeight="1">
      <c r="A612" s="9">
        <v>611.0</v>
      </c>
      <c r="B612" s="192" t="s">
        <v>2890</v>
      </c>
      <c r="C612" s="192" t="s">
        <v>2891</v>
      </c>
      <c r="D612" s="192" t="s">
        <v>42</v>
      </c>
      <c r="E612" s="192" t="s">
        <v>2483</v>
      </c>
      <c r="F612" s="189" t="s">
        <v>6282</v>
      </c>
      <c r="G612" s="172">
        <v>45672.0</v>
      </c>
      <c r="H612" s="162">
        <v>45673.0</v>
      </c>
      <c r="I612" s="11" t="s">
        <v>21</v>
      </c>
      <c r="J612" s="11" t="s">
        <v>22</v>
      </c>
      <c r="K612" s="14"/>
      <c r="L612" s="11"/>
      <c r="M612" s="15"/>
      <c r="N612" s="16"/>
      <c r="O612" s="16"/>
      <c r="P612" s="16"/>
      <c r="Q612" s="17"/>
      <c r="R612" s="17"/>
      <c r="S612" s="17"/>
      <c r="T612" s="17"/>
      <c r="U612" s="17"/>
      <c r="V612" s="17"/>
      <c r="W612" s="17"/>
      <c r="X612" s="17"/>
      <c r="Y612" s="17"/>
    </row>
    <row r="613" ht="18.75" customHeight="1">
      <c r="A613" s="9">
        <v>612.0</v>
      </c>
      <c r="B613" s="188" t="s">
        <v>2893</v>
      </c>
      <c r="C613" s="181" t="s">
        <v>2894</v>
      </c>
      <c r="D613" s="181" t="s">
        <v>42</v>
      </c>
      <c r="E613" s="181" t="s">
        <v>2609</v>
      </c>
      <c r="F613" s="189" t="s">
        <v>6283</v>
      </c>
      <c r="G613" s="12">
        <v>45687.0</v>
      </c>
      <c r="H613" s="162">
        <v>45688.0</v>
      </c>
      <c r="I613" s="11" t="s">
        <v>25</v>
      </c>
      <c r="J613" s="11" t="s">
        <v>37</v>
      </c>
      <c r="K613" s="14" t="s">
        <v>31</v>
      </c>
      <c r="L613" s="11" t="s">
        <v>97</v>
      </c>
      <c r="M613" s="15"/>
      <c r="N613" s="16" t="s">
        <v>5135</v>
      </c>
      <c r="O613" s="16"/>
      <c r="P613" s="16"/>
      <c r="Q613" s="17"/>
      <c r="R613" s="17"/>
      <c r="S613" s="17"/>
      <c r="T613" s="17"/>
      <c r="U613" s="17"/>
      <c r="V613" s="17"/>
      <c r="W613" s="17"/>
      <c r="X613" s="17"/>
      <c r="Y613" s="17"/>
    </row>
    <row r="614" ht="18.75" customHeight="1">
      <c r="A614" s="9">
        <v>613.0</v>
      </c>
      <c r="B614" s="11" t="s">
        <v>2896</v>
      </c>
      <c r="C614" s="181" t="s">
        <v>2897</v>
      </c>
      <c r="D614" s="181" t="s">
        <v>122</v>
      </c>
      <c r="E614" s="181" t="s">
        <v>2673</v>
      </c>
      <c r="F614" s="189" t="s">
        <v>6284</v>
      </c>
      <c r="G614" s="12">
        <v>45652.0</v>
      </c>
      <c r="H614" s="162">
        <v>45653.0</v>
      </c>
      <c r="I614" s="11" t="s">
        <v>251</v>
      </c>
      <c r="J614" s="11" t="s">
        <v>213</v>
      </c>
      <c r="K614" s="14" t="s">
        <v>31</v>
      </c>
      <c r="L614" s="11"/>
      <c r="M614" s="15"/>
      <c r="N614" s="16" t="s">
        <v>5135</v>
      </c>
      <c r="O614" s="16"/>
      <c r="P614" s="16"/>
      <c r="Q614" s="17"/>
      <c r="R614" s="17"/>
      <c r="S614" s="17"/>
      <c r="T614" s="17"/>
      <c r="U614" s="17"/>
      <c r="V614" s="17"/>
      <c r="W614" s="17"/>
      <c r="X614" s="17"/>
      <c r="Y614" s="17"/>
    </row>
    <row r="615" ht="18.75" customHeight="1">
      <c r="A615" s="9">
        <v>614.0</v>
      </c>
      <c r="B615" s="188" t="s">
        <v>6285</v>
      </c>
      <c r="C615" s="181" t="s">
        <v>6286</v>
      </c>
      <c r="D615" s="181" t="s">
        <v>65</v>
      </c>
      <c r="E615" s="181" t="s">
        <v>2900</v>
      </c>
      <c r="F615" s="189" t="s">
        <v>6287</v>
      </c>
      <c r="G615" s="12">
        <v>45688.0</v>
      </c>
      <c r="H615" s="162">
        <v>45689.0</v>
      </c>
      <c r="I615" s="11" t="s">
        <v>25</v>
      </c>
      <c r="J615" s="11" t="s">
        <v>37</v>
      </c>
      <c r="K615" s="14" t="s">
        <v>31</v>
      </c>
      <c r="L615" s="11" t="s">
        <v>62</v>
      </c>
      <c r="M615" s="11"/>
      <c r="N615" s="16" t="s">
        <v>5135</v>
      </c>
      <c r="O615" s="16"/>
      <c r="P615" s="16"/>
      <c r="Q615" s="17"/>
      <c r="R615" s="17"/>
      <c r="S615" s="17"/>
      <c r="T615" s="17"/>
      <c r="U615" s="17"/>
      <c r="V615" s="17"/>
      <c r="W615" s="17"/>
      <c r="X615" s="17"/>
      <c r="Y615" s="17"/>
    </row>
    <row r="616" ht="18.75" customHeight="1">
      <c r="A616" s="9">
        <v>615.0</v>
      </c>
      <c r="B616" s="188" t="s">
        <v>2902</v>
      </c>
      <c r="C616" s="181" t="s">
        <v>2903</v>
      </c>
      <c r="D616" s="181" t="s">
        <v>116</v>
      </c>
      <c r="E616" s="181" t="s">
        <v>2904</v>
      </c>
      <c r="F616" s="189" t="s">
        <v>6288</v>
      </c>
      <c r="G616" s="12">
        <v>45688.0</v>
      </c>
      <c r="H616" s="162">
        <v>45689.0</v>
      </c>
      <c r="I616" s="11" t="s">
        <v>119</v>
      </c>
      <c r="J616" s="11" t="s">
        <v>22</v>
      </c>
      <c r="K616" s="14" t="s">
        <v>31</v>
      </c>
      <c r="L616" s="11" t="s">
        <v>97</v>
      </c>
      <c r="M616" s="15"/>
      <c r="N616" s="16" t="s">
        <v>5135</v>
      </c>
      <c r="O616" s="16"/>
      <c r="P616" s="16"/>
      <c r="Q616" s="17"/>
      <c r="R616" s="17"/>
      <c r="S616" s="17"/>
      <c r="T616" s="17"/>
      <c r="U616" s="17"/>
      <c r="V616" s="17"/>
      <c r="W616" s="17"/>
      <c r="X616" s="17"/>
      <c r="Y616" s="17"/>
    </row>
    <row r="617" ht="18.75" customHeight="1">
      <c r="A617" s="9">
        <v>616.0</v>
      </c>
      <c r="B617" s="188" t="s">
        <v>2906</v>
      </c>
      <c r="C617" s="199" t="s">
        <v>2907</v>
      </c>
      <c r="D617" s="199" t="s">
        <v>128</v>
      </c>
      <c r="E617" s="199" t="s">
        <v>2908</v>
      </c>
      <c r="F617" s="189" t="s">
        <v>6289</v>
      </c>
      <c r="G617" s="12">
        <v>45688.0</v>
      </c>
      <c r="H617" s="162">
        <v>45689.0</v>
      </c>
      <c r="I617" s="11" t="s">
        <v>25</v>
      </c>
      <c r="J617" s="11" t="s">
        <v>37</v>
      </c>
      <c r="K617" s="14" t="s">
        <v>31</v>
      </c>
      <c r="L617" s="11" t="s">
        <v>62</v>
      </c>
      <c r="M617" s="15"/>
      <c r="N617" s="16" t="s">
        <v>5135</v>
      </c>
      <c r="O617" s="16"/>
      <c r="P617" s="16"/>
      <c r="Q617" s="17"/>
      <c r="R617" s="17"/>
      <c r="S617" s="17"/>
      <c r="T617" s="17"/>
      <c r="U617" s="17"/>
      <c r="V617" s="17"/>
      <c r="W617" s="17"/>
      <c r="X617" s="17"/>
      <c r="Y617" s="17"/>
    </row>
    <row r="618" ht="18.75" customHeight="1">
      <c r="A618" s="9">
        <v>617.0</v>
      </c>
      <c r="B618" s="198" t="s">
        <v>2910</v>
      </c>
      <c r="C618" s="181" t="s">
        <v>6290</v>
      </c>
      <c r="D618" s="181" t="s">
        <v>701</v>
      </c>
      <c r="E618" s="181" t="s">
        <v>211</v>
      </c>
      <c r="F618" s="200" t="s">
        <v>6291</v>
      </c>
      <c r="G618" s="12">
        <v>45688.0</v>
      </c>
      <c r="H618" s="162">
        <v>45689.0</v>
      </c>
      <c r="I618" s="11" t="s">
        <v>119</v>
      </c>
      <c r="J618" s="11" t="s">
        <v>22</v>
      </c>
      <c r="K618" s="14" t="s">
        <v>31</v>
      </c>
      <c r="L618" s="11" t="s">
        <v>50</v>
      </c>
      <c r="M618" s="15"/>
      <c r="N618" s="16" t="s">
        <v>5135</v>
      </c>
      <c r="O618" s="16"/>
      <c r="P618" s="16"/>
      <c r="Q618" s="17"/>
      <c r="R618" s="17"/>
      <c r="S618" s="17"/>
      <c r="T618" s="17"/>
      <c r="U618" s="17"/>
      <c r="V618" s="17"/>
      <c r="W618" s="17"/>
      <c r="X618" s="17"/>
      <c r="Y618" s="17"/>
    </row>
    <row r="619" ht="18.75" customHeight="1">
      <c r="A619" s="9">
        <v>618.0</v>
      </c>
      <c r="B619" s="201" t="s">
        <v>2913</v>
      </c>
      <c r="C619" s="181" t="s">
        <v>2914</v>
      </c>
      <c r="D619" s="181" t="s">
        <v>1934</v>
      </c>
      <c r="E619" s="181" t="s">
        <v>2915</v>
      </c>
      <c r="F619" s="202" t="s">
        <v>6292</v>
      </c>
      <c r="G619" s="12">
        <v>45688.0</v>
      </c>
      <c r="H619" s="162">
        <v>45689.0</v>
      </c>
      <c r="I619" s="11" t="s">
        <v>25</v>
      </c>
      <c r="J619" s="11" t="s">
        <v>37</v>
      </c>
      <c r="K619" s="14" t="s">
        <v>31</v>
      </c>
      <c r="L619" s="11" t="s">
        <v>62</v>
      </c>
      <c r="M619" s="15"/>
      <c r="N619" s="16" t="s">
        <v>5135</v>
      </c>
      <c r="O619" s="16"/>
      <c r="P619" s="16"/>
      <c r="Q619" s="17"/>
      <c r="R619" s="17"/>
      <c r="S619" s="17"/>
      <c r="T619" s="17"/>
      <c r="U619" s="17"/>
      <c r="V619" s="17"/>
      <c r="W619" s="17"/>
      <c r="X619" s="17"/>
      <c r="Y619" s="17"/>
    </row>
    <row r="620" ht="18.75" customHeight="1">
      <c r="A620" s="9">
        <v>619.0</v>
      </c>
      <c r="B620" s="201" t="s">
        <v>2917</v>
      </c>
      <c r="C620" s="188" t="s">
        <v>2918</v>
      </c>
      <c r="D620" s="188" t="s">
        <v>342</v>
      </c>
      <c r="E620" s="188" t="s">
        <v>2919</v>
      </c>
      <c r="F620" s="203" t="s">
        <v>6293</v>
      </c>
      <c r="G620" s="168">
        <v>45702.0</v>
      </c>
      <c r="H620" s="162">
        <v>45703.0</v>
      </c>
      <c r="I620" s="11" t="s">
        <v>25</v>
      </c>
      <c r="J620" s="11" t="s">
        <v>37</v>
      </c>
      <c r="K620" s="14" t="s">
        <v>31</v>
      </c>
      <c r="L620" s="11" t="s">
        <v>38</v>
      </c>
      <c r="M620" s="15"/>
      <c r="N620" s="16" t="s">
        <v>5135</v>
      </c>
      <c r="O620" s="16"/>
      <c r="P620" s="16"/>
      <c r="Q620" s="17"/>
      <c r="R620" s="17"/>
      <c r="S620" s="17"/>
      <c r="T620" s="17"/>
      <c r="U620" s="17"/>
      <c r="V620" s="17"/>
      <c r="W620" s="17"/>
      <c r="X620" s="17"/>
      <c r="Y620" s="17"/>
    </row>
    <row r="621" ht="18.75" customHeight="1">
      <c r="A621" s="9">
        <v>620.0</v>
      </c>
      <c r="B621" s="201" t="s">
        <v>2921</v>
      </c>
      <c r="C621" s="181" t="s">
        <v>2922</v>
      </c>
      <c r="D621" s="181" t="s">
        <v>342</v>
      </c>
      <c r="E621" s="181" t="s">
        <v>2513</v>
      </c>
      <c r="F621" s="202" t="s">
        <v>6294</v>
      </c>
      <c r="G621" s="12">
        <v>45688.0</v>
      </c>
      <c r="H621" s="162">
        <v>45689.0</v>
      </c>
      <c r="I621" s="11" t="s">
        <v>25</v>
      </c>
      <c r="J621" s="11" t="s">
        <v>37</v>
      </c>
      <c r="K621" s="14" t="s">
        <v>31</v>
      </c>
      <c r="L621" s="11" t="s">
        <v>38</v>
      </c>
      <c r="M621" s="15"/>
      <c r="N621" s="16" t="s">
        <v>5135</v>
      </c>
      <c r="O621" s="16"/>
      <c r="P621" s="16"/>
      <c r="Q621" s="17"/>
      <c r="R621" s="17"/>
      <c r="S621" s="17"/>
      <c r="T621" s="17"/>
      <c r="U621" s="17"/>
      <c r="V621" s="17"/>
      <c r="W621" s="17"/>
      <c r="X621" s="17"/>
      <c r="Y621" s="17"/>
    </row>
    <row r="622" ht="18.75" customHeight="1">
      <c r="A622" s="9">
        <v>621.0</v>
      </c>
      <c r="B622" s="16" t="s">
        <v>2924</v>
      </c>
      <c r="C622" s="11" t="s">
        <v>2925</v>
      </c>
      <c r="D622" s="11" t="s">
        <v>697</v>
      </c>
      <c r="E622" s="11" t="s">
        <v>2926</v>
      </c>
      <c r="F622" s="21" t="s">
        <v>6295</v>
      </c>
      <c r="G622" s="13">
        <v>45716.0</v>
      </c>
      <c r="H622" s="162">
        <v>45717.0</v>
      </c>
      <c r="I622" s="11" t="s">
        <v>25</v>
      </c>
      <c r="J622" s="11" t="s">
        <v>37</v>
      </c>
      <c r="K622" s="14" t="s">
        <v>31</v>
      </c>
      <c r="L622" s="11" t="s">
        <v>74</v>
      </c>
      <c r="M622" s="15"/>
      <c r="N622" s="16" t="s">
        <v>5135</v>
      </c>
      <c r="O622" s="16"/>
      <c r="P622" s="16"/>
      <c r="Q622" s="17"/>
      <c r="R622" s="17"/>
      <c r="S622" s="17"/>
      <c r="T622" s="17"/>
      <c r="U622" s="17"/>
      <c r="V622" s="17"/>
      <c r="W622" s="17"/>
      <c r="X622" s="17"/>
      <c r="Y622" s="17"/>
    </row>
    <row r="623" ht="18.75" customHeight="1">
      <c r="A623" s="9">
        <v>622.0</v>
      </c>
      <c r="B623" s="188" t="s">
        <v>2931</v>
      </c>
      <c r="C623" s="204" t="s">
        <v>2932</v>
      </c>
      <c r="D623" s="204" t="s">
        <v>122</v>
      </c>
      <c r="E623" s="204" t="s">
        <v>2395</v>
      </c>
      <c r="F623" s="181" t="s">
        <v>6296</v>
      </c>
      <c r="G623" s="12">
        <v>45681.0</v>
      </c>
      <c r="H623" s="162">
        <v>45682.0</v>
      </c>
      <c r="I623" s="11" t="s">
        <v>25</v>
      </c>
      <c r="J623" s="11" t="s">
        <v>22</v>
      </c>
      <c r="K623" s="14" t="s">
        <v>31</v>
      </c>
      <c r="L623" s="11" t="s">
        <v>62</v>
      </c>
      <c r="M623" s="15"/>
      <c r="N623" s="16" t="s">
        <v>5135</v>
      </c>
      <c r="O623" s="16"/>
      <c r="P623" s="16"/>
      <c r="Q623" s="17"/>
      <c r="R623" s="17"/>
      <c r="S623" s="17"/>
      <c r="T623" s="17"/>
      <c r="U623" s="17"/>
      <c r="V623" s="17"/>
      <c r="W623" s="17"/>
      <c r="X623" s="17"/>
      <c r="Y623" s="17"/>
    </row>
    <row r="624" ht="18.75" customHeight="1">
      <c r="A624" s="9">
        <v>623.0</v>
      </c>
      <c r="B624" s="188" t="s">
        <v>2934</v>
      </c>
      <c r="C624" s="181" t="s">
        <v>2935</v>
      </c>
      <c r="D624" s="181" t="s">
        <v>173</v>
      </c>
      <c r="E624" s="181" t="s">
        <v>2620</v>
      </c>
      <c r="F624" s="181" t="s">
        <v>6297</v>
      </c>
      <c r="G624" s="12">
        <v>45688.0</v>
      </c>
      <c r="H624" s="162">
        <v>45689.0</v>
      </c>
      <c r="I624" s="11" t="s">
        <v>25</v>
      </c>
      <c r="J624" s="11" t="s">
        <v>37</v>
      </c>
      <c r="K624" s="14" t="s">
        <v>31</v>
      </c>
      <c r="L624" s="11" t="s">
        <v>86</v>
      </c>
      <c r="M624" s="15"/>
      <c r="N624" s="16" t="s">
        <v>5135</v>
      </c>
      <c r="O624" s="16"/>
      <c r="P624" s="16"/>
      <c r="Q624" s="17"/>
      <c r="R624" s="17"/>
      <c r="S624" s="17"/>
      <c r="T624" s="17"/>
      <c r="U624" s="17"/>
      <c r="V624" s="17"/>
      <c r="W624" s="17"/>
      <c r="X624" s="17"/>
      <c r="Y624" s="17"/>
    </row>
    <row r="625" ht="18.75" customHeight="1">
      <c r="A625" s="9">
        <v>624.0</v>
      </c>
      <c r="B625" s="205" t="s">
        <v>2937</v>
      </c>
      <c r="C625" s="199" t="s">
        <v>2938</v>
      </c>
      <c r="D625" s="199" t="s">
        <v>110</v>
      </c>
      <c r="E625" s="199" t="s">
        <v>2867</v>
      </c>
      <c r="F625" s="181" t="s">
        <v>6298</v>
      </c>
      <c r="G625" s="12">
        <v>45676.0</v>
      </c>
      <c r="H625" s="162">
        <v>45677.0</v>
      </c>
      <c r="I625" s="11" t="s">
        <v>25</v>
      </c>
      <c r="J625" s="11" t="s">
        <v>37</v>
      </c>
      <c r="K625" s="14" t="s">
        <v>31</v>
      </c>
      <c r="L625" s="11" t="s">
        <v>62</v>
      </c>
      <c r="M625" s="15"/>
      <c r="N625" s="16" t="s">
        <v>5135</v>
      </c>
      <c r="O625" s="16"/>
      <c r="P625" s="16"/>
      <c r="Q625" s="17"/>
      <c r="R625" s="17"/>
      <c r="S625" s="17"/>
      <c r="T625" s="17"/>
      <c r="U625" s="17"/>
      <c r="V625" s="17"/>
      <c r="W625" s="17"/>
      <c r="X625" s="17"/>
      <c r="Y625" s="17"/>
    </row>
    <row r="626" ht="18.75" customHeight="1">
      <c r="A626" s="206">
        <v>625.0</v>
      </c>
      <c r="B626" s="207" t="s">
        <v>2940</v>
      </c>
      <c r="C626" s="207" t="s">
        <v>2941</v>
      </c>
      <c r="D626" s="207" t="s">
        <v>697</v>
      </c>
      <c r="E626" s="207" t="s">
        <v>2942</v>
      </c>
      <c r="F626" s="21" t="s">
        <v>6299</v>
      </c>
      <c r="G626" s="12">
        <v>45747.0</v>
      </c>
      <c r="H626" s="162">
        <v>45748.0</v>
      </c>
      <c r="I626" s="11" t="s">
        <v>25</v>
      </c>
      <c r="J626" s="11" t="s">
        <v>22</v>
      </c>
      <c r="K626" s="14" t="s">
        <v>31</v>
      </c>
      <c r="L626" s="11"/>
      <c r="M626" s="15"/>
      <c r="N626" s="16" t="s">
        <v>5135</v>
      </c>
      <c r="O626" s="16"/>
      <c r="P626" s="16"/>
      <c r="Q626" s="17"/>
      <c r="R626" s="17"/>
      <c r="S626" s="17"/>
      <c r="T626" s="17"/>
      <c r="U626" s="17"/>
      <c r="V626" s="17"/>
      <c r="W626" s="17"/>
      <c r="X626" s="17"/>
      <c r="Y626" s="17"/>
    </row>
    <row r="627" ht="18.75" customHeight="1">
      <c r="A627" s="206">
        <v>626.0</v>
      </c>
      <c r="B627" s="208" t="s">
        <v>2944</v>
      </c>
      <c r="C627" s="207" t="s">
        <v>2945</v>
      </c>
      <c r="D627" s="207" t="s">
        <v>1643</v>
      </c>
      <c r="E627" s="207" t="s">
        <v>1408</v>
      </c>
      <c r="F627" s="202" t="s">
        <v>6300</v>
      </c>
      <c r="G627" s="12">
        <v>45694.0</v>
      </c>
      <c r="H627" s="162">
        <v>45695.0</v>
      </c>
      <c r="I627" s="11" t="s">
        <v>25</v>
      </c>
      <c r="J627" s="11" t="s">
        <v>22</v>
      </c>
      <c r="K627" s="14" t="s">
        <v>31</v>
      </c>
      <c r="L627" s="11" t="s">
        <v>62</v>
      </c>
      <c r="M627" s="15"/>
      <c r="N627" s="16" t="s">
        <v>5135</v>
      </c>
      <c r="O627" s="16"/>
      <c r="P627" s="16"/>
      <c r="Q627" s="17"/>
      <c r="R627" s="17"/>
      <c r="S627" s="17"/>
      <c r="T627" s="17"/>
      <c r="U627" s="17"/>
      <c r="V627" s="17"/>
      <c r="W627" s="17"/>
      <c r="X627" s="17"/>
      <c r="Y627" s="17"/>
    </row>
    <row r="628" ht="18.75" customHeight="1">
      <c r="A628" s="206">
        <v>627.0</v>
      </c>
      <c r="B628" s="209" t="s">
        <v>2946</v>
      </c>
      <c r="C628" s="189" t="s">
        <v>2947</v>
      </c>
      <c r="D628" s="189" t="s">
        <v>128</v>
      </c>
      <c r="E628" s="189" t="s">
        <v>2705</v>
      </c>
      <c r="F628" s="202" t="s">
        <v>6301</v>
      </c>
      <c r="G628" s="12">
        <v>45664.0</v>
      </c>
      <c r="H628" s="162">
        <v>45665.0</v>
      </c>
      <c r="I628" s="11" t="s">
        <v>251</v>
      </c>
      <c r="J628" s="11" t="s">
        <v>213</v>
      </c>
      <c r="K628" s="14" t="s">
        <v>31</v>
      </c>
      <c r="L628" s="11"/>
      <c r="M628" s="15"/>
      <c r="N628" s="16" t="s">
        <v>5135</v>
      </c>
      <c r="O628" s="16"/>
      <c r="P628" s="16"/>
      <c r="Q628" s="17"/>
      <c r="R628" s="17"/>
      <c r="S628" s="17"/>
      <c r="T628" s="17"/>
      <c r="U628" s="17"/>
      <c r="V628" s="17"/>
      <c r="W628" s="17"/>
      <c r="X628" s="17"/>
      <c r="Y628" s="17"/>
    </row>
    <row r="629" ht="18.75" customHeight="1">
      <c r="A629" s="206">
        <v>628.0</v>
      </c>
      <c r="B629" s="210" t="s">
        <v>2948</v>
      </c>
      <c r="C629" s="189" t="s">
        <v>2949</v>
      </c>
      <c r="D629" s="189" t="s">
        <v>128</v>
      </c>
      <c r="E629" s="189" t="s">
        <v>2236</v>
      </c>
      <c r="F629" s="202" t="s">
        <v>6302</v>
      </c>
      <c r="G629" s="12">
        <v>45657.0</v>
      </c>
      <c r="H629" s="162">
        <v>45658.0</v>
      </c>
      <c r="I629" s="11" t="s">
        <v>251</v>
      </c>
      <c r="J629" s="11" t="s">
        <v>213</v>
      </c>
      <c r="K629" s="14" t="s">
        <v>31</v>
      </c>
      <c r="L629" s="11"/>
      <c r="M629" s="15"/>
      <c r="N629" s="16" t="s">
        <v>5135</v>
      </c>
      <c r="O629" s="16"/>
      <c r="P629" s="16"/>
      <c r="Q629" s="17"/>
      <c r="R629" s="17"/>
      <c r="S629" s="17"/>
      <c r="T629" s="17"/>
      <c r="U629" s="17"/>
      <c r="V629" s="17"/>
      <c r="W629" s="17"/>
      <c r="X629" s="17"/>
      <c r="Y629" s="17"/>
    </row>
    <row r="630" ht="18.75" customHeight="1">
      <c r="A630" s="206">
        <v>629.0</v>
      </c>
      <c r="B630" s="211" t="s">
        <v>2950</v>
      </c>
      <c r="C630" s="211" t="s">
        <v>2951</v>
      </c>
      <c r="D630" s="211" t="s">
        <v>697</v>
      </c>
      <c r="E630" s="211" t="s">
        <v>2952</v>
      </c>
      <c r="F630" s="212" t="s">
        <v>6303</v>
      </c>
      <c r="G630" s="12">
        <v>45716.0</v>
      </c>
      <c r="H630" s="162">
        <v>45717.0</v>
      </c>
      <c r="I630" s="11" t="s">
        <v>21</v>
      </c>
      <c r="J630" s="11" t="s">
        <v>5147</v>
      </c>
      <c r="K630" s="14"/>
      <c r="L630" s="11" t="s">
        <v>62</v>
      </c>
      <c r="M630" s="15"/>
      <c r="N630" s="16"/>
      <c r="O630" s="16"/>
      <c r="P630" s="16"/>
      <c r="Q630" s="17"/>
      <c r="R630" s="17"/>
      <c r="S630" s="17"/>
      <c r="T630" s="17"/>
      <c r="U630" s="17"/>
      <c r="V630" s="17"/>
      <c r="W630" s="17"/>
      <c r="X630" s="17"/>
      <c r="Y630" s="17"/>
    </row>
    <row r="631" ht="18.75" customHeight="1">
      <c r="A631" s="9">
        <v>630.0</v>
      </c>
      <c r="B631" s="213" t="s">
        <v>2954</v>
      </c>
      <c r="C631" s="204" t="s">
        <v>2955</v>
      </c>
      <c r="D631" s="204" t="s">
        <v>476</v>
      </c>
      <c r="E631" s="204" t="s">
        <v>2658</v>
      </c>
      <c r="F631" s="181" t="s">
        <v>6304</v>
      </c>
      <c r="G631" s="12">
        <v>45672.0</v>
      </c>
      <c r="H631" s="162">
        <v>45673.0</v>
      </c>
      <c r="I631" s="11" t="s">
        <v>251</v>
      </c>
      <c r="J631" s="11" t="s">
        <v>213</v>
      </c>
      <c r="K631" s="14" t="s">
        <v>31</v>
      </c>
      <c r="L631" s="11"/>
      <c r="M631" s="15"/>
      <c r="N631" s="16" t="s">
        <v>5135</v>
      </c>
      <c r="O631" s="16"/>
      <c r="P631" s="16"/>
      <c r="Q631" s="17"/>
      <c r="R631" s="17"/>
      <c r="S631" s="17"/>
      <c r="T631" s="17"/>
      <c r="U631" s="17"/>
      <c r="V631" s="17"/>
      <c r="W631" s="17"/>
      <c r="X631" s="17"/>
      <c r="Y631" s="17"/>
    </row>
    <row r="632" ht="18.75" customHeight="1">
      <c r="A632" s="9">
        <v>631.0</v>
      </c>
      <c r="B632" s="188" t="s">
        <v>2956</v>
      </c>
      <c r="C632" s="181" t="s">
        <v>2957</v>
      </c>
      <c r="D632" s="181" t="s">
        <v>122</v>
      </c>
      <c r="E632" s="181" t="s">
        <v>2958</v>
      </c>
      <c r="F632" s="181" t="s">
        <v>6305</v>
      </c>
      <c r="G632" s="12">
        <v>45679.0</v>
      </c>
      <c r="H632" s="162">
        <v>45680.0</v>
      </c>
      <c r="I632" s="11" t="s">
        <v>251</v>
      </c>
      <c r="J632" s="11" t="s">
        <v>213</v>
      </c>
      <c r="K632" s="14" t="s">
        <v>31</v>
      </c>
      <c r="L632" s="11"/>
      <c r="M632" s="15"/>
      <c r="N632" s="16" t="s">
        <v>5135</v>
      </c>
      <c r="O632" s="16"/>
      <c r="P632" s="16"/>
      <c r="Q632" s="17"/>
      <c r="R632" s="17"/>
      <c r="S632" s="17"/>
      <c r="T632" s="17"/>
      <c r="U632" s="17"/>
      <c r="V632" s="17"/>
      <c r="W632" s="17"/>
      <c r="X632" s="17"/>
      <c r="Y632" s="17"/>
    </row>
    <row r="633" ht="18.75" customHeight="1">
      <c r="A633" s="9">
        <v>632.0</v>
      </c>
      <c r="B633" s="188" t="s">
        <v>2959</v>
      </c>
      <c r="C633" s="181" t="s">
        <v>2960</v>
      </c>
      <c r="D633" s="181" t="s">
        <v>2961</v>
      </c>
      <c r="E633" s="181" t="s">
        <v>2962</v>
      </c>
      <c r="F633" s="181" t="s">
        <v>6306</v>
      </c>
      <c r="G633" s="12">
        <v>45680.0</v>
      </c>
      <c r="H633" s="162">
        <v>45681.0</v>
      </c>
      <c r="I633" s="11" t="s">
        <v>119</v>
      </c>
      <c r="J633" s="11" t="s">
        <v>37</v>
      </c>
      <c r="K633" s="14" t="s">
        <v>31</v>
      </c>
      <c r="L633" s="11" t="s">
        <v>62</v>
      </c>
      <c r="M633" s="15"/>
      <c r="N633" s="16" t="s">
        <v>5135</v>
      </c>
      <c r="O633" s="16"/>
      <c r="P633" s="16"/>
      <c r="Q633" s="17"/>
      <c r="R633" s="17"/>
      <c r="S633" s="17"/>
      <c r="T633" s="17"/>
      <c r="U633" s="17"/>
      <c r="V633" s="17"/>
      <c r="W633" s="17"/>
      <c r="X633" s="17"/>
      <c r="Y633" s="17"/>
    </row>
    <row r="634" ht="18.75" customHeight="1">
      <c r="A634" s="9">
        <v>633.0</v>
      </c>
      <c r="B634" s="188" t="s">
        <v>2964</v>
      </c>
      <c r="C634" s="181" t="s">
        <v>2965</v>
      </c>
      <c r="D634" s="181" t="s">
        <v>414</v>
      </c>
      <c r="E634" s="181" t="s">
        <v>2483</v>
      </c>
      <c r="F634" s="181" t="s">
        <v>6307</v>
      </c>
      <c r="G634" s="12">
        <v>45676.0</v>
      </c>
      <c r="H634" s="162">
        <v>45677.0</v>
      </c>
      <c r="I634" s="11" t="s">
        <v>251</v>
      </c>
      <c r="J634" s="11" t="s">
        <v>213</v>
      </c>
      <c r="K634" s="14" t="s">
        <v>31</v>
      </c>
      <c r="L634" s="11"/>
      <c r="M634" s="15"/>
      <c r="N634" s="16" t="s">
        <v>5135</v>
      </c>
      <c r="O634" s="16"/>
      <c r="P634" s="16"/>
      <c r="Q634" s="17"/>
      <c r="R634" s="17"/>
      <c r="S634" s="17"/>
      <c r="T634" s="17"/>
      <c r="U634" s="17"/>
      <c r="V634" s="17"/>
      <c r="W634" s="17"/>
      <c r="X634" s="17"/>
      <c r="Y634" s="17"/>
    </row>
    <row r="635" ht="18.75" customHeight="1">
      <c r="A635" s="9">
        <v>634.0</v>
      </c>
      <c r="B635" s="188" t="s">
        <v>2966</v>
      </c>
      <c r="C635" s="181" t="s">
        <v>2967</v>
      </c>
      <c r="D635" s="181" t="s">
        <v>128</v>
      </c>
      <c r="E635" s="181" t="s">
        <v>2483</v>
      </c>
      <c r="F635" s="181" t="s">
        <v>6308</v>
      </c>
      <c r="G635" s="12">
        <v>45665.0</v>
      </c>
      <c r="H635" s="162">
        <v>45666.0</v>
      </c>
      <c r="I635" s="11" t="s">
        <v>251</v>
      </c>
      <c r="J635" s="11" t="s">
        <v>213</v>
      </c>
      <c r="K635" s="14" t="s">
        <v>31</v>
      </c>
      <c r="L635" s="11"/>
      <c r="M635" s="15"/>
      <c r="N635" s="16" t="s">
        <v>5135</v>
      </c>
      <c r="O635" s="16"/>
      <c r="P635" s="16"/>
      <c r="Q635" s="17"/>
      <c r="R635" s="17"/>
      <c r="S635" s="17"/>
      <c r="T635" s="17"/>
      <c r="U635" s="17"/>
      <c r="V635" s="17"/>
      <c r="W635" s="17"/>
      <c r="X635" s="17"/>
      <c r="Y635" s="17"/>
    </row>
    <row r="636" ht="18.75" customHeight="1">
      <c r="A636" s="9">
        <v>635.0</v>
      </c>
      <c r="B636" s="188" t="s">
        <v>2968</v>
      </c>
      <c r="C636" s="181" t="s">
        <v>2969</v>
      </c>
      <c r="D636" s="181" t="s">
        <v>465</v>
      </c>
      <c r="E636" s="181" t="s">
        <v>2437</v>
      </c>
      <c r="F636" s="181" t="s">
        <v>6309</v>
      </c>
      <c r="G636" s="12">
        <v>45688.0</v>
      </c>
      <c r="H636" s="162">
        <v>45689.0</v>
      </c>
      <c r="I636" s="11" t="s">
        <v>25</v>
      </c>
      <c r="J636" s="11" t="s">
        <v>37</v>
      </c>
      <c r="K636" s="14" t="s">
        <v>31</v>
      </c>
      <c r="L636" s="11" t="s">
        <v>62</v>
      </c>
      <c r="M636" s="15"/>
      <c r="N636" s="16" t="s">
        <v>5135</v>
      </c>
      <c r="O636" s="16"/>
      <c r="P636" s="16"/>
      <c r="Q636" s="17"/>
      <c r="R636" s="17"/>
      <c r="S636" s="17"/>
      <c r="T636" s="17"/>
      <c r="U636" s="17"/>
      <c r="V636" s="17"/>
      <c r="W636" s="17"/>
      <c r="X636" s="17"/>
      <c r="Y636" s="17"/>
    </row>
    <row r="637" ht="18.75" customHeight="1">
      <c r="A637" s="9">
        <v>636.0</v>
      </c>
      <c r="B637" s="188" t="s">
        <v>2971</v>
      </c>
      <c r="C637" s="181" t="s">
        <v>2972</v>
      </c>
      <c r="D637" s="181" t="s">
        <v>128</v>
      </c>
      <c r="E637" s="181" t="s">
        <v>2392</v>
      </c>
      <c r="F637" s="181" t="s">
        <v>6310</v>
      </c>
      <c r="G637" s="12">
        <v>45675.0</v>
      </c>
      <c r="H637" s="162">
        <v>45676.0</v>
      </c>
      <c r="I637" s="11" t="s">
        <v>251</v>
      </c>
      <c r="J637" s="11" t="s">
        <v>213</v>
      </c>
      <c r="K637" s="14" t="s">
        <v>31</v>
      </c>
      <c r="L637" s="11"/>
      <c r="M637" s="15"/>
      <c r="N637" s="16" t="s">
        <v>5135</v>
      </c>
      <c r="O637" s="16"/>
      <c r="P637" s="16"/>
      <c r="Q637" s="17"/>
      <c r="R637" s="17"/>
      <c r="S637" s="17"/>
      <c r="T637" s="17"/>
      <c r="U637" s="17"/>
      <c r="V637" s="17"/>
      <c r="W637" s="17"/>
      <c r="X637" s="17"/>
      <c r="Y637" s="17"/>
    </row>
    <row r="638" ht="18.75" customHeight="1">
      <c r="A638" s="9">
        <v>637.0</v>
      </c>
      <c r="B638" s="23" t="s">
        <v>2973</v>
      </c>
      <c r="C638" s="23" t="s">
        <v>2974</v>
      </c>
      <c r="D638" s="23" t="s">
        <v>173</v>
      </c>
      <c r="E638" s="23" t="s">
        <v>2975</v>
      </c>
      <c r="F638" s="214" t="s">
        <v>6311</v>
      </c>
      <c r="G638" s="12">
        <v>45716.0</v>
      </c>
      <c r="H638" s="162">
        <v>45717.0</v>
      </c>
      <c r="I638" s="11" t="s">
        <v>25</v>
      </c>
      <c r="J638" s="11" t="s">
        <v>22</v>
      </c>
      <c r="K638" s="14" t="s">
        <v>31</v>
      </c>
      <c r="L638" s="11" t="s">
        <v>50</v>
      </c>
      <c r="M638" s="11"/>
      <c r="N638" s="16" t="s">
        <v>5135</v>
      </c>
      <c r="O638" s="16"/>
      <c r="P638" s="16"/>
      <c r="Q638" s="17"/>
      <c r="R638" s="17"/>
      <c r="S638" s="17"/>
      <c r="T638" s="17"/>
      <c r="U638" s="17"/>
      <c r="V638" s="17"/>
      <c r="W638" s="17"/>
      <c r="X638" s="17"/>
      <c r="Y638" s="17"/>
    </row>
    <row r="639" ht="18.75" customHeight="1">
      <c r="A639" s="9">
        <v>638.0</v>
      </c>
      <c r="B639" s="215" t="s">
        <v>2977</v>
      </c>
      <c r="C639" s="216" t="s">
        <v>2978</v>
      </c>
      <c r="D639" s="216" t="s">
        <v>2015</v>
      </c>
      <c r="E639" s="216" t="s">
        <v>2803</v>
      </c>
      <c r="F639" s="181" t="s">
        <v>6312</v>
      </c>
      <c r="G639" s="12">
        <v>45685.0</v>
      </c>
      <c r="H639" s="162">
        <v>45686.0</v>
      </c>
      <c r="I639" s="11" t="s">
        <v>119</v>
      </c>
      <c r="J639" s="11"/>
      <c r="K639" s="14" t="s">
        <v>31</v>
      </c>
      <c r="L639" s="11"/>
      <c r="M639" s="15"/>
      <c r="N639" s="16" t="s">
        <v>5135</v>
      </c>
      <c r="O639" s="16"/>
      <c r="P639" s="16"/>
      <c r="Q639" s="17"/>
      <c r="R639" s="17"/>
      <c r="S639" s="17"/>
      <c r="T639" s="17"/>
      <c r="U639" s="17"/>
      <c r="V639" s="17"/>
      <c r="W639" s="17"/>
      <c r="X639" s="17"/>
      <c r="Y639" s="17"/>
    </row>
    <row r="640" ht="18.75" customHeight="1">
      <c r="A640" s="9">
        <v>639.0</v>
      </c>
      <c r="B640" s="188" t="s">
        <v>2980</v>
      </c>
      <c r="C640" s="181" t="s">
        <v>2981</v>
      </c>
      <c r="D640" s="181" t="s">
        <v>122</v>
      </c>
      <c r="E640" s="181" t="s">
        <v>2616</v>
      </c>
      <c r="F640" s="181" t="s">
        <v>6313</v>
      </c>
      <c r="G640" s="12">
        <v>45688.0</v>
      </c>
      <c r="H640" s="162">
        <v>45689.0</v>
      </c>
      <c r="I640" s="11" t="s">
        <v>119</v>
      </c>
      <c r="J640" s="11" t="s">
        <v>37</v>
      </c>
      <c r="K640" s="14" t="s">
        <v>31</v>
      </c>
      <c r="L640" s="11" t="s">
        <v>62</v>
      </c>
      <c r="M640" s="15"/>
      <c r="N640" s="16" t="s">
        <v>5135</v>
      </c>
      <c r="O640" s="16"/>
      <c r="P640" s="16"/>
      <c r="Q640" s="17"/>
      <c r="R640" s="17"/>
      <c r="S640" s="17"/>
      <c r="T640" s="17"/>
      <c r="U640" s="17"/>
      <c r="V640" s="17"/>
      <c r="W640" s="17"/>
      <c r="X640" s="17"/>
      <c r="Y640" s="17"/>
    </row>
    <row r="641" ht="18.75" customHeight="1">
      <c r="A641" s="9">
        <v>640.0</v>
      </c>
      <c r="B641" s="11" t="s">
        <v>2983</v>
      </c>
      <c r="C641" s="11" t="s">
        <v>2984</v>
      </c>
      <c r="D641" s="11" t="s">
        <v>636</v>
      </c>
      <c r="E641" s="11" t="s">
        <v>3910</v>
      </c>
      <c r="F641" s="11" t="s">
        <v>6314</v>
      </c>
      <c r="G641" s="12">
        <v>45716.0</v>
      </c>
      <c r="H641" s="217">
        <v>45717.0</v>
      </c>
      <c r="I641" s="11" t="s">
        <v>25</v>
      </c>
      <c r="J641" s="11" t="s">
        <v>22</v>
      </c>
      <c r="K641" s="14" t="s">
        <v>31</v>
      </c>
      <c r="L641" s="11"/>
      <c r="M641" s="11"/>
      <c r="N641" s="16" t="s">
        <v>5135</v>
      </c>
      <c r="O641" s="16"/>
      <c r="P641" s="16"/>
      <c r="Q641" s="17"/>
      <c r="R641" s="17"/>
      <c r="S641" s="17"/>
      <c r="T641" s="17"/>
      <c r="U641" s="17"/>
      <c r="V641" s="17"/>
      <c r="W641" s="17"/>
      <c r="X641" s="17"/>
      <c r="Y641" s="17"/>
    </row>
    <row r="642" ht="18.75" customHeight="1">
      <c r="A642" s="9">
        <v>641.0</v>
      </c>
      <c r="B642" s="218" t="s">
        <v>2987</v>
      </c>
      <c r="C642" s="219" t="s">
        <v>2988</v>
      </c>
      <c r="D642" s="219" t="s">
        <v>2989</v>
      </c>
      <c r="E642" s="219" t="s">
        <v>2990</v>
      </c>
      <c r="F642" s="181" t="s">
        <v>6315</v>
      </c>
      <c r="G642" s="12">
        <v>45676.0</v>
      </c>
      <c r="H642" s="217">
        <v>45677.0</v>
      </c>
      <c r="I642" s="11" t="s">
        <v>119</v>
      </c>
      <c r="J642" s="11" t="s">
        <v>213</v>
      </c>
      <c r="K642" s="14" t="s">
        <v>31</v>
      </c>
      <c r="L642" s="11"/>
      <c r="M642" s="15"/>
      <c r="N642" s="16" t="s">
        <v>5135</v>
      </c>
      <c r="O642" s="16"/>
      <c r="P642" s="16"/>
      <c r="Q642" s="17"/>
      <c r="R642" s="17"/>
      <c r="S642" s="17"/>
      <c r="T642" s="17"/>
      <c r="U642" s="17"/>
      <c r="V642" s="17"/>
      <c r="W642" s="17"/>
      <c r="X642" s="17"/>
      <c r="Y642" s="17"/>
    </row>
    <row r="643" ht="18.75" customHeight="1">
      <c r="A643" s="9">
        <v>642.0</v>
      </c>
      <c r="B643" s="11" t="s">
        <v>2992</v>
      </c>
      <c r="C643" s="11" t="s">
        <v>2993</v>
      </c>
      <c r="D643" s="11" t="s">
        <v>122</v>
      </c>
      <c r="E643" s="11" t="s">
        <v>2667</v>
      </c>
      <c r="F643" s="11" t="s">
        <v>6316</v>
      </c>
      <c r="G643" s="12">
        <v>45716.0</v>
      </c>
      <c r="H643" s="217">
        <v>45717.0</v>
      </c>
      <c r="I643" s="11" t="s">
        <v>25</v>
      </c>
      <c r="J643" s="11" t="s">
        <v>213</v>
      </c>
      <c r="K643" s="14" t="s">
        <v>31</v>
      </c>
      <c r="L643" s="11"/>
      <c r="M643" s="15"/>
      <c r="N643" s="16" t="s">
        <v>5135</v>
      </c>
      <c r="O643" s="16"/>
      <c r="P643" s="16"/>
      <c r="Q643" s="17"/>
      <c r="R643" s="17"/>
      <c r="S643" s="17"/>
      <c r="T643" s="17"/>
      <c r="U643" s="17"/>
      <c r="V643" s="17"/>
      <c r="W643" s="17"/>
      <c r="X643" s="17"/>
      <c r="Y643" s="17"/>
    </row>
    <row r="644" ht="18.75" customHeight="1">
      <c r="A644" s="9">
        <v>643.0</v>
      </c>
      <c r="B644" s="23" t="s">
        <v>6317</v>
      </c>
      <c r="C644" s="23" t="s">
        <v>6318</v>
      </c>
      <c r="D644" s="23" t="s">
        <v>59</v>
      </c>
      <c r="E644" s="23" t="s">
        <v>410</v>
      </c>
      <c r="F644" s="11" t="s">
        <v>6319</v>
      </c>
      <c r="G644" s="12">
        <v>45747.0</v>
      </c>
      <c r="H644" s="217">
        <v>45748.0</v>
      </c>
      <c r="I644" s="11" t="s">
        <v>25</v>
      </c>
      <c r="J644" s="11" t="s">
        <v>22</v>
      </c>
      <c r="K644" s="14" t="s">
        <v>31</v>
      </c>
      <c r="L644" s="11" t="s">
        <v>62</v>
      </c>
      <c r="M644" s="11"/>
      <c r="N644" s="16" t="s">
        <v>5135</v>
      </c>
      <c r="O644" s="16"/>
      <c r="P644" s="16"/>
      <c r="Q644" s="17"/>
      <c r="R644" s="17"/>
      <c r="S644" s="17"/>
      <c r="T644" s="17"/>
      <c r="U644" s="17"/>
      <c r="V644" s="17"/>
      <c r="W644" s="17"/>
      <c r="X644" s="17"/>
      <c r="Y644" s="17"/>
    </row>
    <row r="645" ht="18.75" customHeight="1">
      <c r="A645" s="9">
        <v>644.0</v>
      </c>
      <c r="B645" s="188" t="s">
        <v>6320</v>
      </c>
      <c r="C645" s="181" t="s">
        <v>6321</v>
      </c>
      <c r="D645" s="181" t="s">
        <v>6322</v>
      </c>
      <c r="E645" s="181" t="s">
        <v>1639</v>
      </c>
      <c r="F645" s="181" t="s">
        <v>6323</v>
      </c>
      <c r="G645" s="12">
        <v>45688.0</v>
      </c>
      <c r="H645" s="217">
        <v>45689.0</v>
      </c>
      <c r="I645" s="11" t="s">
        <v>119</v>
      </c>
      <c r="J645" s="11" t="s">
        <v>5173</v>
      </c>
      <c r="K645" s="14" t="s">
        <v>31</v>
      </c>
      <c r="L645" s="11"/>
      <c r="M645" s="15"/>
      <c r="N645" s="16" t="s">
        <v>5135</v>
      </c>
      <c r="O645" s="16"/>
      <c r="P645" s="16"/>
      <c r="Q645" s="17"/>
      <c r="R645" s="17"/>
      <c r="S645" s="17"/>
      <c r="T645" s="17"/>
      <c r="U645" s="17"/>
      <c r="V645" s="17"/>
      <c r="W645" s="17"/>
      <c r="X645" s="17"/>
      <c r="Y645" s="17"/>
    </row>
    <row r="646" ht="18.75" customHeight="1">
      <c r="A646" s="9">
        <v>645.0</v>
      </c>
      <c r="B646" s="188" t="s">
        <v>3002</v>
      </c>
      <c r="C646" s="181" t="s">
        <v>3003</v>
      </c>
      <c r="D646" s="181" t="s">
        <v>1091</v>
      </c>
      <c r="E646" s="181" t="s">
        <v>1652</v>
      </c>
      <c r="F646" s="181" t="s">
        <v>6324</v>
      </c>
      <c r="G646" s="12">
        <v>45688.0</v>
      </c>
      <c r="H646" s="217">
        <v>45689.0</v>
      </c>
      <c r="I646" s="11" t="s">
        <v>119</v>
      </c>
      <c r="J646" s="11"/>
      <c r="K646" s="14" t="s">
        <v>31</v>
      </c>
      <c r="L646" s="11"/>
      <c r="M646" s="15"/>
      <c r="N646" s="16" t="s">
        <v>5135</v>
      </c>
      <c r="O646" s="16"/>
      <c r="P646" s="16"/>
      <c r="Q646" s="17"/>
      <c r="R646" s="17"/>
      <c r="S646" s="17"/>
      <c r="T646" s="17"/>
      <c r="U646" s="17"/>
      <c r="V646" s="17"/>
      <c r="W646" s="17"/>
      <c r="X646" s="17"/>
      <c r="Y646" s="17"/>
    </row>
    <row r="647" ht="18.75" customHeight="1">
      <c r="A647" s="9">
        <v>646.0</v>
      </c>
      <c r="B647" s="11" t="s">
        <v>3005</v>
      </c>
      <c r="C647" s="11" t="s">
        <v>3006</v>
      </c>
      <c r="D647" s="11" t="s">
        <v>153</v>
      </c>
      <c r="E647" s="11" t="s">
        <v>3007</v>
      </c>
      <c r="F647" s="11" t="s">
        <v>6325</v>
      </c>
      <c r="G647" s="12">
        <v>45716.0</v>
      </c>
      <c r="H647" s="217">
        <v>45717.0</v>
      </c>
      <c r="I647" s="11" t="s">
        <v>25</v>
      </c>
      <c r="J647" s="11" t="s">
        <v>37</v>
      </c>
      <c r="K647" s="14" t="s">
        <v>31</v>
      </c>
      <c r="L647" s="11" t="s">
        <v>74</v>
      </c>
      <c r="M647" s="15"/>
      <c r="N647" s="16" t="s">
        <v>5135</v>
      </c>
      <c r="O647" s="16"/>
      <c r="P647" s="16"/>
      <c r="Q647" s="17"/>
      <c r="R647" s="17"/>
      <c r="S647" s="17"/>
      <c r="T647" s="17"/>
      <c r="U647" s="17"/>
      <c r="V647" s="17"/>
      <c r="W647" s="17"/>
      <c r="X647" s="17"/>
      <c r="Y647" s="17"/>
    </row>
    <row r="648" ht="18.75" customHeight="1">
      <c r="A648" s="9">
        <v>647.0</v>
      </c>
      <c r="B648" s="188" t="s">
        <v>3009</v>
      </c>
      <c r="C648" s="181" t="s">
        <v>3010</v>
      </c>
      <c r="D648" s="181" t="s">
        <v>122</v>
      </c>
      <c r="E648" s="181" t="s">
        <v>3011</v>
      </c>
      <c r="F648" s="181" t="s">
        <v>6326</v>
      </c>
      <c r="G648" s="12">
        <v>45688.0</v>
      </c>
      <c r="H648" s="217">
        <v>45689.0</v>
      </c>
      <c r="I648" s="11" t="s">
        <v>25</v>
      </c>
      <c r="J648" s="11" t="s">
        <v>37</v>
      </c>
      <c r="K648" s="14" t="s">
        <v>31</v>
      </c>
      <c r="L648" s="11" t="s">
        <v>62</v>
      </c>
      <c r="M648" s="11"/>
      <c r="N648" s="16" t="s">
        <v>5135</v>
      </c>
      <c r="O648" s="16"/>
      <c r="P648" s="16"/>
      <c r="Q648" s="17"/>
      <c r="R648" s="17"/>
      <c r="S648" s="17"/>
      <c r="T648" s="17"/>
      <c r="U648" s="17"/>
      <c r="V648" s="17"/>
      <c r="W648" s="17"/>
      <c r="X648" s="17"/>
      <c r="Y648" s="17"/>
    </row>
    <row r="649" ht="18.75" customHeight="1">
      <c r="A649" s="9">
        <v>648.0</v>
      </c>
      <c r="B649" s="188" t="s">
        <v>3012</v>
      </c>
      <c r="C649" s="181" t="s">
        <v>3013</v>
      </c>
      <c r="D649" s="181" t="s">
        <v>122</v>
      </c>
      <c r="E649" s="181" t="s">
        <v>2658</v>
      </c>
      <c r="F649" s="181" t="s">
        <v>6327</v>
      </c>
      <c r="G649" s="12">
        <v>45688.0</v>
      </c>
      <c r="H649" s="217">
        <v>45689.0</v>
      </c>
      <c r="I649" s="11" t="s">
        <v>25</v>
      </c>
      <c r="J649" s="11" t="s">
        <v>213</v>
      </c>
      <c r="K649" s="14" t="s">
        <v>31</v>
      </c>
      <c r="L649" s="11"/>
      <c r="M649" s="15"/>
      <c r="N649" s="16" t="s">
        <v>5135</v>
      </c>
      <c r="O649" s="16"/>
      <c r="P649" s="16"/>
      <c r="Q649" s="17"/>
      <c r="R649" s="17"/>
      <c r="S649" s="17"/>
      <c r="T649" s="17"/>
      <c r="U649" s="17"/>
      <c r="V649" s="17"/>
      <c r="W649" s="17"/>
      <c r="X649" s="17"/>
      <c r="Y649" s="17"/>
    </row>
    <row r="650" ht="18.75" customHeight="1">
      <c r="A650" s="9">
        <v>649.0</v>
      </c>
      <c r="B650" s="216" t="s">
        <v>6328</v>
      </c>
      <c r="C650" s="216" t="s">
        <v>3015</v>
      </c>
      <c r="D650" s="216" t="s">
        <v>3016</v>
      </c>
      <c r="E650" s="216" t="s">
        <v>2730</v>
      </c>
      <c r="F650" s="181" t="s">
        <v>6329</v>
      </c>
      <c r="G650" s="167">
        <v>45716.0</v>
      </c>
      <c r="H650" s="217">
        <v>45717.0</v>
      </c>
      <c r="I650" s="11" t="s">
        <v>25</v>
      </c>
      <c r="J650" s="11" t="s">
        <v>22</v>
      </c>
      <c r="K650" s="14" t="s">
        <v>31</v>
      </c>
      <c r="L650" s="11" t="s">
        <v>62</v>
      </c>
      <c r="M650" s="15"/>
      <c r="N650" s="16" t="s">
        <v>5135</v>
      </c>
      <c r="O650" s="16"/>
      <c r="P650" s="16"/>
      <c r="Q650" s="17"/>
      <c r="R650" s="17"/>
      <c r="S650" s="17"/>
      <c r="T650" s="17"/>
      <c r="U650" s="17"/>
      <c r="V650" s="17"/>
      <c r="W650" s="17"/>
      <c r="X650" s="17"/>
      <c r="Y650" s="17"/>
    </row>
    <row r="651" ht="18.75" customHeight="1">
      <c r="A651" s="9">
        <v>650.0</v>
      </c>
      <c r="B651" s="181" t="s">
        <v>6330</v>
      </c>
      <c r="C651" s="181" t="s">
        <v>3019</v>
      </c>
      <c r="D651" s="181" t="s">
        <v>173</v>
      </c>
      <c r="E651" s="181" t="s">
        <v>702</v>
      </c>
      <c r="F651" s="181" t="s">
        <v>6331</v>
      </c>
      <c r="G651" s="167">
        <v>45716.0</v>
      </c>
      <c r="H651" s="217">
        <v>45717.0</v>
      </c>
      <c r="I651" s="11" t="s">
        <v>25</v>
      </c>
      <c r="J651" s="11" t="s">
        <v>37</v>
      </c>
      <c r="K651" s="14" t="s">
        <v>31</v>
      </c>
      <c r="L651" s="11" t="s">
        <v>62</v>
      </c>
      <c r="M651" s="11"/>
      <c r="N651" s="16" t="s">
        <v>5135</v>
      </c>
      <c r="O651" s="16"/>
      <c r="P651" s="16"/>
      <c r="Q651" s="17"/>
      <c r="R651" s="17"/>
      <c r="S651" s="17"/>
      <c r="T651" s="17"/>
      <c r="U651" s="17"/>
      <c r="V651" s="17"/>
      <c r="W651" s="17"/>
      <c r="X651" s="17"/>
      <c r="Y651" s="17"/>
    </row>
    <row r="652" ht="18.75" customHeight="1">
      <c r="A652" s="9">
        <v>651.0</v>
      </c>
      <c r="B652" s="11" t="s">
        <v>3023</v>
      </c>
      <c r="C652" s="11" t="s">
        <v>3024</v>
      </c>
      <c r="D652" s="11" t="s">
        <v>207</v>
      </c>
      <c r="E652" s="11" t="s">
        <v>3025</v>
      </c>
      <c r="F652" s="11" t="s">
        <v>6332</v>
      </c>
      <c r="G652" s="12">
        <v>45713.0</v>
      </c>
      <c r="H652" s="217">
        <v>45714.0</v>
      </c>
      <c r="I652" s="11" t="s">
        <v>25</v>
      </c>
      <c r="J652" s="11" t="s">
        <v>37</v>
      </c>
      <c r="K652" s="14" t="s">
        <v>31</v>
      </c>
      <c r="L652" s="11" t="s">
        <v>74</v>
      </c>
      <c r="M652" s="15"/>
      <c r="N652" s="16" t="s">
        <v>5135</v>
      </c>
      <c r="O652" s="16"/>
      <c r="P652" s="16"/>
      <c r="Q652" s="17"/>
      <c r="R652" s="17"/>
      <c r="S652" s="17"/>
      <c r="T652" s="17"/>
      <c r="U652" s="17"/>
      <c r="V652" s="17"/>
      <c r="W652" s="17"/>
      <c r="X652" s="17"/>
      <c r="Y652" s="17"/>
    </row>
    <row r="653" ht="18.75" customHeight="1">
      <c r="A653" s="9">
        <v>652.0</v>
      </c>
      <c r="B653" s="11" t="s">
        <v>3027</v>
      </c>
      <c r="C653" s="11" t="s">
        <v>3028</v>
      </c>
      <c r="D653" s="11" t="s">
        <v>362</v>
      </c>
      <c r="E653" s="11" t="s">
        <v>3029</v>
      </c>
      <c r="F653" s="11" t="s">
        <v>6333</v>
      </c>
      <c r="G653" s="12">
        <v>45709.0</v>
      </c>
      <c r="H653" s="217">
        <v>45710.0</v>
      </c>
      <c r="I653" s="11" t="s">
        <v>25</v>
      </c>
      <c r="J653" s="11" t="s">
        <v>37</v>
      </c>
      <c r="K653" s="14" t="s">
        <v>31</v>
      </c>
      <c r="L653" s="11" t="s">
        <v>97</v>
      </c>
      <c r="M653" s="15"/>
      <c r="N653" s="16" t="s">
        <v>5135</v>
      </c>
      <c r="O653" s="16"/>
      <c r="P653" s="16"/>
      <c r="Q653" s="17"/>
      <c r="R653" s="17"/>
      <c r="S653" s="17"/>
      <c r="T653" s="17"/>
      <c r="U653" s="17"/>
      <c r="V653" s="17"/>
      <c r="W653" s="17"/>
      <c r="X653" s="17"/>
      <c r="Y653" s="17"/>
    </row>
    <row r="654" ht="18.75" customHeight="1">
      <c r="A654" s="9">
        <v>653.0</v>
      </c>
      <c r="B654" s="11" t="s">
        <v>3021</v>
      </c>
      <c r="C654" s="15" t="s">
        <v>2172</v>
      </c>
      <c r="D654" s="15" t="s">
        <v>231</v>
      </c>
      <c r="E654" s="15" t="s">
        <v>2173</v>
      </c>
      <c r="F654" s="11" t="s">
        <v>5913</v>
      </c>
      <c r="G654" s="12">
        <v>45722.0</v>
      </c>
      <c r="H654" s="217">
        <v>45723.0</v>
      </c>
      <c r="I654" s="11" t="s">
        <v>25</v>
      </c>
      <c r="J654" s="11" t="s">
        <v>22</v>
      </c>
      <c r="K654" s="14" t="s">
        <v>31</v>
      </c>
      <c r="L654" s="11" t="s">
        <v>62</v>
      </c>
      <c r="M654" s="11"/>
      <c r="N654" s="16" t="s">
        <v>5135</v>
      </c>
      <c r="O654" s="16"/>
      <c r="P654" s="16"/>
      <c r="Q654" s="17"/>
      <c r="R654" s="17"/>
      <c r="S654" s="17"/>
      <c r="T654" s="17"/>
      <c r="U654" s="17"/>
      <c r="V654" s="17"/>
      <c r="W654" s="17"/>
      <c r="X654" s="17"/>
      <c r="Y654" s="17"/>
    </row>
    <row r="655" ht="18.75" customHeight="1">
      <c r="A655" s="9">
        <v>654.0</v>
      </c>
      <c r="B655" s="11" t="s">
        <v>3031</v>
      </c>
      <c r="C655" s="11" t="s">
        <v>3032</v>
      </c>
      <c r="D655" s="11" t="s">
        <v>682</v>
      </c>
      <c r="E655" s="11" t="s">
        <v>3033</v>
      </c>
      <c r="F655" s="11" t="s">
        <v>6334</v>
      </c>
      <c r="G655" s="12">
        <v>45716.0</v>
      </c>
      <c r="H655" s="217">
        <v>45717.0</v>
      </c>
      <c r="I655" s="11" t="s">
        <v>119</v>
      </c>
      <c r="J655" s="11" t="s">
        <v>37</v>
      </c>
      <c r="K655" s="14" t="s">
        <v>31</v>
      </c>
      <c r="L655" s="11"/>
      <c r="M655" s="15"/>
      <c r="N655" s="16" t="s">
        <v>5135</v>
      </c>
      <c r="O655" s="16"/>
      <c r="P655" s="16"/>
      <c r="Q655" s="17"/>
      <c r="R655" s="17"/>
      <c r="S655" s="17"/>
      <c r="T655" s="17"/>
      <c r="U655" s="17"/>
      <c r="V655" s="17"/>
      <c r="W655" s="17"/>
      <c r="X655" s="17"/>
      <c r="Y655" s="17"/>
    </row>
    <row r="656" ht="18.75" customHeight="1">
      <c r="A656" s="9">
        <v>655.0</v>
      </c>
      <c r="B656" s="11" t="s">
        <v>3035</v>
      </c>
      <c r="C656" s="11" t="s">
        <v>3036</v>
      </c>
      <c r="D656" s="11" t="s">
        <v>59</v>
      </c>
      <c r="E656" s="11" t="s">
        <v>410</v>
      </c>
      <c r="F656" s="11" t="s">
        <v>6335</v>
      </c>
      <c r="G656" s="12">
        <v>45723.0</v>
      </c>
      <c r="H656" s="217">
        <v>45724.0</v>
      </c>
      <c r="I656" s="11" t="s">
        <v>25</v>
      </c>
      <c r="J656" s="11" t="s">
        <v>22</v>
      </c>
      <c r="K656" s="14" t="s">
        <v>31</v>
      </c>
      <c r="L656" s="11" t="s">
        <v>50</v>
      </c>
      <c r="M656" s="11"/>
      <c r="N656" s="16" t="s">
        <v>5135</v>
      </c>
      <c r="O656" s="16"/>
      <c r="P656" s="16"/>
      <c r="Q656" s="17"/>
      <c r="R656" s="17"/>
      <c r="S656" s="17"/>
      <c r="T656" s="17"/>
      <c r="U656" s="17"/>
      <c r="V656" s="17"/>
      <c r="W656" s="17"/>
      <c r="X656" s="17"/>
      <c r="Y656" s="17"/>
    </row>
    <row r="657" ht="18.75" customHeight="1">
      <c r="A657" s="9">
        <v>656.0</v>
      </c>
      <c r="B657" s="188" t="s">
        <v>6336</v>
      </c>
      <c r="C657" s="188" t="s">
        <v>6337</v>
      </c>
      <c r="D657" s="188" t="s">
        <v>173</v>
      </c>
      <c r="E657" s="188" t="s">
        <v>449</v>
      </c>
      <c r="F657" s="188" t="s">
        <v>6338</v>
      </c>
      <c r="G657" s="168">
        <v>45703.0</v>
      </c>
      <c r="H657" s="217">
        <v>45704.0</v>
      </c>
      <c r="I657" s="11" t="s">
        <v>25</v>
      </c>
      <c r="J657" s="11" t="s">
        <v>213</v>
      </c>
      <c r="K657" s="14" t="s">
        <v>31</v>
      </c>
      <c r="L657" s="11"/>
      <c r="M657" s="15"/>
      <c r="N657" s="16" t="s">
        <v>5135</v>
      </c>
      <c r="O657" s="16"/>
      <c r="P657" s="16"/>
      <c r="Q657" s="17"/>
      <c r="R657" s="17"/>
      <c r="S657" s="17"/>
      <c r="T657" s="17"/>
      <c r="U657" s="17"/>
      <c r="V657" s="17"/>
      <c r="W657" s="17"/>
      <c r="X657" s="17"/>
      <c r="Y657" s="17"/>
    </row>
    <row r="658" ht="18.75" customHeight="1">
      <c r="A658" s="9">
        <v>657.0</v>
      </c>
      <c r="B658" s="10" t="s">
        <v>3038</v>
      </c>
      <c r="C658" s="10" t="s">
        <v>3039</v>
      </c>
      <c r="D658" s="10" t="s">
        <v>3040</v>
      </c>
      <c r="E658" s="10" t="s">
        <v>3041</v>
      </c>
      <c r="F658" s="10" t="s">
        <v>4953</v>
      </c>
      <c r="G658" s="12">
        <v>45716.0</v>
      </c>
      <c r="H658" s="217">
        <v>45717.0</v>
      </c>
      <c r="I658" s="11" t="s">
        <v>21</v>
      </c>
      <c r="J658" s="11" t="s">
        <v>5147</v>
      </c>
      <c r="K658" s="14"/>
      <c r="L658" s="11" t="s">
        <v>62</v>
      </c>
      <c r="M658" s="15"/>
      <c r="N658" s="16"/>
      <c r="O658" s="16"/>
      <c r="P658" s="16"/>
      <c r="Q658" s="17"/>
      <c r="R658" s="17"/>
      <c r="S658" s="17"/>
      <c r="T658" s="17"/>
      <c r="U658" s="17"/>
      <c r="V658" s="17"/>
      <c r="W658" s="17"/>
      <c r="X658" s="17"/>
      <c r="Y658" s="17"/>
    </row>
    <row r="659" ht="18.75" customHeight="1">
      <c r="A659" s="9">
        <v>658.0</v>
      </c>
      <c r="B659" s="181" t="s">
        <v>3043</v>
      </c>
      <c r="C659" s="181" t="s">
        <v>3044</v>
      </c>
      <c r="D659" s="181" t="s">
        <v>128</v>
      </c>
      <c r="E659" s="181" t="s">
        <v>2455</v>
      </c>
      <c r="F659" s="181" t="s">
        <v>6339</v>
      </c>
      <c r="G659" s="168">
        <v>45704.0</v>
      </c>
      <c r="H659" s="217">
        <v>45705.0</v>
      </c>
      <c r="I659" s="11" t="s">
        <v>25</v>
      </c>
      <c r="J659" s="11" t="s">
        <v>37</v>
      </c>
      <c r="K659" s="14" t="s">
        <v>31</v>
      </c>
      <c r="L659" s="11" t="s">
        <v>62</v>
      </c>
      <c r="M659" s="11"/>
      <c r="N659" s="16" t="s">
        <v>5135</v>
      </c>
      <c r="O659" s="16"/>
      <c r="P659" s="16"/>
      <c r="Q659" s="17"/>
      <c r="R659" s="17"/>
      <c r="S659" s="17"/>
      <c r="T659" s="17"/>
      <c r="U659" s="17"/>
      <c r="V659" s="17"/>
      <c r="W659" s="17"/>
      <c r="X659" s="17"/>
      <c r="Y659" s="17"/>
    </row>
    <row r="660" ht="18.75" customHeight="1">
      <c r="A660" s="9">
        <v>659.0</v>
      </c>
      <c r="B660" s="188" t="s">
        <v>3046</v>
      </c>
      <c r="C660" s="188" t="s">
        <v>3047</v>
      </c>
      <c r="D660" s="188" t="s">
        <v>173</v>
      </c>
      <c r="E660" s="188" t="s">
        <v>3048</v>
      </c>
      <c r="F660" s="188" t="s">
        <v>6340</v>
      </c>
      <c r="G660" s="168">
        <v>45702.0</v>
      </c>
      <c r="H660" s="217">
        <v>45703.0</v>
      </c>
      <c r="I660" s="11" t="s">
        <v>25</v>
      </c>
      <c r="J660" s="11" t="s">
        <v>37</v>
      </c>
      <c r="K660" s="14" t="s">
        <v>31</v>
      </c>
      <c r="L660" s="11" t="s">
        <v>50</v>
      </c>
      <c r="M660" s="11"/>
      <c r="N660" s="16" t="s">
        <v>5135</v>
      </c>
      <c r="O660" s="16"/>
      <c r="P660" s="16"/>
      <c r="Q660" s="17"/>
      <c r="R660" s="17"/>
      <c r="S660" s="17"/>
      <c r="T660" s="17"/>
      <c r="U660" s="17"/>
      <c r="V660" s="17"/>
      <c r="W660" s="17"/>
      <c r="X660" s="17"/>
      <c r="Y660" s="17"/>
    </row>
    <row r="661" ht="18.75" customHeight="1">
      <c r="A661" s="9">
        <v>660.0</v>
      </c>
      <c r="B661" s="11" t="s">
        <v>3050</v>
      </c>
      <c r="C661" s="11" t="s">
        <v>3051</v>
      </c>
      <c r="D661" s="11" t="s">
        <v>1149</v>
      </c>
      <c r="E661" s="11" t="s">
        <v>1644</v>
      </c>
      <c r="F661" s="11" t="s">
        <v>6341</v>
      </c>
      <c r="G661" s="12">
        <v>45716.0</v>
      </c>
      <c r="H661" s="217">
        <v>45717.0</v>
      </c>
      <c r="I661" s="11" t="s">
        <v>119</v>
      </c>
      <c r="J661" s="11" t="s">
        <v>37</v>
      </c>
      <c r="K661" s="14" t="s">
        <v>31</v>
      </c>
      <c r="L661" s="11"/>
      <c r="M661" s="15"/>
      <c r="N661" s="16" t="s">
        <v>5135</v>
      </c>
      <c r="O661" s="16"/>
      <c r="P661" s="16"/>
      <c r="Q661" s="17"/>
      <c r="R661" s="17"/>
      <c r="S661" s="17"/>
      <c r="T661" s="17"/>
      <c r="U661" s="17"/>
      <c r="V661" s="17"/>
      <c r="W661" s="17"/>
      <c r="X661" s="17"/>
      <c r="Y661" s="17"/>
    </row>
    <row r="662" ht="18.75" customHeight="1">
      <c r="A662" s="9">
        <v>661.0</v>
      </c>
      <c r="B662" s="11" t="s">
        <v>3053</v>
      </c>
      <c r="C662" s="11" t="s">
        <v>3054</v>
      </c>
      <c r="D662" s="11" t="s">
        <v>476</v>
      </c>
      <c r="E662" s="11" t="s">
        <v>3055</v>
      </c>
      <c r="F662" s="11" t="s">
        <v>6342</v>
      </c>
      <c r="G662" s="12">
        <v>45731.0</v>
      </c>
      <c r="H662" s="217">
        <v>45732.0</v>
      </c>
      <c r="I662" s="11" t="s">
        <v>25</v>
      </c>
      <c r="J662" s="11" t="s">
        <v>37</v>
      </c>
      <c r="K662" s="14" t="s">
        <v>31</v>
      </c>
      <c r="L662" s="11" t="s">
        <v>50</v>
      </c>
      <c r="M662" s="11" t="s">
        <v>6343</v>
      </c>
      <c r="N662" s="16" t="s">
        <v>5135</v>
      </c>
      <c r="O662" s="16"/>
      <c r="P662" s="16"/>
      <c r="Q662" s="17"/>
      <c r="R662" s="17"/>
      <c r="S662" s="17"/>
      <c r="T662" s="17"/>
      <c r="U662" s="17"/>
      <c r="V662" s="17"/>
      <c r="W662" s="17"/>
      <c r="X662" s="17"/>
      <c r="Y662" s="17"/>
    </row>
    <row r="663" ht="18.75" customHeight="1">
      <c r="A663" s="9">
        <v>662.0</v>
      </c>
      <c r="B663" s="11" t="s">
        <v>3057</v>
      </c>
      <c r="C663" s="11" t="s">
        <v>3058</v>
      </c>
      <c r="D663" s="11" t="s">
        <v>153</v>
      </c>
      <c r="E663" s="11" t="s">
        <v>3059</v>
      </c>
      <c r="F663" s="11" t="s">
        <v>6344</v>
      </c>
      <c r="G663" s="12">
        <v>45768.0</v>
      </c>
      <c r="H663" s="217">
        <v>45769.0</v>
      </c>
      <c r="I663" s="11" t="s">
        <v>25</v>
      </c>
      <c r="J663" s="11" t="s">
        <v>37</v>
      </c>
      <c r="K663" s="14" t="s">
        <v>31</v>
      </c>
      <c r="L663" s="11" t="s">
        <v>38</v>
      </c>
      <c r="M663" s="11" t="s">
        <v>6345</v>
      </c>
      <c r="N663" s="16" t="s">
        <v>5135</v>
      </c>
      <c r="O663" s="16"/>
      <c r="P663" s="16"/>
      <c r="Q663" s="17"/>
      <c r="R663" s="17"/>
      <c r="S663" s="17"/>
      <c r="T663" s="17"/>
      <c r="U663" s="17"/>
      <c r="V663" s="17"/>
      <c r="W663" s="17"/>
      <c r="X663" s="17"/>
      <c r="Y663" s="17"/>
    </row>
    <row r="664" ht="18.75" customHeight="1">
      <c r="A664" s="9">
        <v>663.0</v>
      </c>
      <c r="B664" s="11" t="s">
        <v>3061</v>
      </c>
      <c r="C664" s="181" t="s">
        <v>3062</v>
      </c>
      <c r="D664" s="181" t="s">
        <v>128</v>
      </c>
      <c r="E664" s="181" t="s">
        <v>2392</v>
      </c>
      <c r="F664" s="181" t="s">
        <v>6346</v>
      </c>
      <c r="G664" s="12">
        <v>45694.0</v>
      </c>
      <c r="H664" s="217">
        <v>45695.0</v>
      </c>
      <c r="I664" s="11" t="s">
        <v>251</v>
      </c>
      <c r="J664" s="11" t="s">
        <v>213</v>
      </c>
      <c r="K664" s="14" t="s">
        <v>31</v>
      </c>
      <c r="L664" s="11" t="s">
        <v>62</v>
      </c>
      <c r="M664" s="11"/>
      <c r="N664" s="16" t="s">
        <v>5135</v>
      </c>
      <c r="O664" s="16"/>
      <c r="P664" s="16"/>
      <c r="Q664" s="17"/>
      <c r="R664" s="17"/>
      <c r="S664" s="17"/>
      <c r="T664" s="17"/>
      <c r="U664" s="17"/>
      <c r="V664" s="17"/>
      <c r="W664" s="17"/>
      <c r="X664" s="17"/>
      <c r="Y664" s="17"/>
    </row>
    <row r="665" ht="18.75" customHeight="1">
      <c r="A665" s="9">
        <v>664.0</v>
      </c>
      <c r="B665" s="11" t="s">
        <v>3063</v>
      </c>
      <c r="C665" s="11" t="s">
        <v>3064</v>
      </c>
      <c r="D665" s="11" t="s">
        <v>42</v>
      </c>
      <c r="E665" s="11" t="s">
        <v>3065</v>
      </c>
      <c r="F665" s="11" t="s">
        <v>6347</v>
      </c>
      <c r="G665" s="12">
        <v>45721.0</v>
      </c>
      <c r="H665" s="217">
        <v>45722.0</v>
      </c>
      <c r="I665" s="11" t="s">
        <v>25</v>
      </c>
      <c r="J665" s="11" t="s">
        <v>37</v>
      </c>
      <c r="K665" s="14" t="s">
        <v>31</v>
      </c>
      <c r="L665" s="11"/>
      <c r="M665" s="15"/>
      <c r="N665" s="16" t="s">
        <v>5135</v>
      </c>
      <c r="O665" s="16"/>
      <c r="P665" s="16"/>
      <c r="Q665" s="17"/>
      <c r="R665" s="17"/>
      <c r="S665" s="17"/>
      <c r="T665" s="17"/>
      <c r="U665" s="17"/>
      <c r="V665" s="17"/>
      <c r="W665" s="17"/>
      <c r="X665" s="17"/>
      <c r="Y665" s="17"/>
    </row>
    <row r="666" ht="18.75" customHeight="1">
      <c r="A666" s="9">
        <v>665.0</v>
      </c>
      <c r="B666" s="11" t="s">
        <v>3067</v>
      </c>
      <c r="C666" s="11" t="s">
        <v>3068</v>
      </c>
      <c r="D666" s="11" t="s">
        <v>42</v>
      </c>
      <c r="E666" s="11" t="s">
        <v>3055</v>
      </c>
      <c r="F666" s="11" t="s">
        <v>6348</v>
      </c>
      <c r="G666" s="12">
        <v>45728.0</v>
      </c>
      <c r="H666" s="217">
        <v>45729.0</v>
      </c>
      <c r="I666" s="11" t="s">
        <v>25</v>
      </c>
      <c r="J666" s="11" t="s">
        <v>37</v>
      </c>
      <c r="K666" s="14" t="s">
        <v>31</v>
      </c>
      <c r="L666" s="11" t="s">
        <v>86</v>
      </c>
      <c r="M666" s="15"/>
      <c r="N666" s="16" t="s">
        <v>5135</v>
      </c>
      <c r="O666" s="16"/>
      <c r="P666" s="16"/>
      <c r="Q666" s="17"/>
      <c r="R666" s="17"/>
      <c r="S666" s="17"/>
      <c r="T666" s="17"/>
      <c r="U666" s="17"/>
      <c r="V666" s="17"/>
      <c r="W666" s="17"/>
      <c r="X666" s="17"/>
      <c r="Y666" s="17"/>
    </row>
    <row r="667" ht="18.75" customHeight="1">
      <c r="A667" s="9">
        <v>666.0</v>
      </c>
      <c r="B667" s="23" t="s">
        <v>3070</v>
      </c>
      <c r="C667" s="23" t="s">
        <v>3071</v>
      </c>
      <c r="D667" s="23" t="s">
        <v>3072</v>
      </c>
      <c r="E667" s="23" t="s">
        <v>3073</v>
      </c>
      <c r="F667" s="11" t="s">
        <v>6349</v>
      </c>
      <c r="G667" s="12">
        <v>45716.0</v>
      </c>
      <c r="H667" s="217">
        <v>45717.0</v>
      </c>
      <c r="I667" s="11" t="s">
        <v>119</v>
      </c>
      <c r="J667" s="11" t="s">
        <v>37</v>
      </c>
      <c r="K667" s="14" t="s">
        <v>31</v>
      </c>
      <c r="L667" s="11"/>
      <c r="M667" s="15"/>
      <c r="N667" s="16" t="s">
        <v>5135</v>
      </c>
      <c r="O667" s="16"/>
      <c r="P667" s="16"/>
      <c r="Q667" s="17"/>
      <c r="R667" s="17"/>
      <c r="S667" s="17"/>
      <c r="T667" s="17"/>
      <c r="U667" s="17"/>
      <c r="V667" s="17"/>
      <c r="W667" s="17"/>
      <c r="X667" s="17"/>
      <c r="Y667" s="17"/>
    </row>
    <row r="668" ht="18.75" customHeight="1">
      <c r="A668" s="9">
        <v>667.0</v>
      </c>
      <c r="B668" s="11" t="s">
        <v>3075</v>
      </c>
      <c r="C668" s="11" t="s">
        <v>3076</v>
      </c>
      <c r="D668" s="11" t="s">
        <v>128</v>
      </c>
      <c r="E668" s="11" t="s">
        <v>2384</v>
      </c>
      <c r="F668" s="11" t="s">
        <v>6350</v>
      </c>
      <c r="G668" s="12">
        <v>45711.0</v>
      </c>
      <c r="H668" s="217">
        <v>45712.0</v>
      </c>
      <c r="I668" s="11" t="s">
        <v>25</v>
      </c>
      <c r="J668" s="11" t="s">
        <v>37</v>
      </c>
      <c r="K668" s="14" t="s">
        <v>31</v>
      </c>
      <c r="L668" s="11" t="s">
        <v>74</v>
      </c>
      <c r="M668" s="15"/>
      <c r="N668" s="16" t="s">
        <v>5135</v>
      </c>
      <c r="O668" s="16"/>
      <c r="P668" s="16"/>
      <c r="Q668" s="17"/>
      <c r="R668" s="17"/>
      <c r="S668" s="17"/>
      <c r="T668" s="17"/>
      <c r="U668" s="17"/>
      <c r="V668" s="17"/>
      <c r="W668" s="17"/>
      <c r="X668" s="17"/>
      <c r="Y668" s="17"/>
    </row>
    <row r="669" ht="18.75" customHeight="1">
      <c r="A669" s="9">
        <v>668.0</v>
      </c>
      <c r="B669" s="11" t="s">
        <v>3078</v>
      </c>
      <c r="C669" s="181" t="s">
        <v>3079</v>
      </c>
      <c r="D669" s="181" t="s">
        <v>110</v>
      </c>
      <c r="E669" s="181" t="s">
        <v>111</v>
      </c>
      <c r="F669" s="181" t="s">
        <v>6351</v>
      </c>
      <c r="G669" s="12">
        <v>45689.0</v>
      </c>
      <c r="H669" s="217">
        <v>45690.0</v>
      </c>
      <c r="I669" s="11" t="s">
        <v>251</v>
      </c>
      <c r="J669" s="11" t="s">
        <v>213</v>
      </c>
      <c r="K669" s="14" t="s">
        <v>31</v>
      </c>
      <c r="L669" s="11"/>
      <c r="M669" s="15"/>
      <c r="N669" s="16" t="s">
        <v>5135</v>
      </c>
      <c r="O669" s="16"/>
      <c r="P669" s="16"/>
      <c r="Q669" s="17"/>
      <c r="R669" s="17"/>
      <c r="S669" s="17"/>
      <c r="T669" s="17"/>
      <c r="U669" s="17"/>
      <c r="V669" s="17"/>
      <c r="W669" s="17"/>
      <c r="X669" s="17"/>
      <c r="Y669" s="17"/>
    </row>
    <row r="670" ht="18.75" customHeight="1">
      <c r="A670" s="9">
        <v>669.0</v>
      </c>
      <c r="B670" s="11" t="s">
        <v>3080</v>
      </c>
      <c r="C670" s="181" t="s">
        <v>3081</v>
      </c>
      <c r="D670" s="181" t="s">
        <v>128</v>
      </c>
      <c r="E670" s="181" t="s">
        <v>2499</v>
      </c>
      <c r="F670" s="181" t="s">
        <v>6352</v>
      </c>
      <c r="G670" s="12">
        <v>45688.0</v>
      </c>
      <c r="H670" s="217">
        <v>45689.0</v>
      </c>
      <c r="I670" s="11" t="s">
        <v>251</v>
      </c>
      <c r="J670" s="11" t="s">
        <v>213</v>
      </c>
      <c r="K670" s="14" t="s">
        <v>31</v>
      </c>
      <c r="L670" s="11"/>
      <c r="M670" s="15"/>
      <c r="N670" s="16" t="s">
        <v>5135</v>
      </c>
      <c r="O670" s="16"/>
      <c r="P670" s="16"/>
      <c r="Q670" s="17"/>
      <c r="R670" s="17"/>
      <c r="S670" s="17"/>
      <c r="T670" s="17"/>
      <c r="U670" s="17"/>
      <c r="V670" s="17"/>
      <c r="W670" s="17"/>
      <c r="X670" s="17"/>
      <c r="Y670" s="17"/>
    </row>
    <row r="671" ht="18.75" customHeight="1">
      <c r="A671" s="9">
        <v>670.0</v>
      </c>
      <c r="B671" s="11" t="s">
        <v>6353</v>
      </c>
      <c r="C671" s="11" t="s">
        <v>6354</v>
      </c>
      <c r="D671" s="11" t="s">
        <v>116</v>
      </c>
      <c r="E671" s="11" t="s">
        <v>5055</v>
      </c>
      <c r="F671" s="11" t="s">
        <v>6355</v>
      </c>
      <c r="G671" s="12">
        <v>45716.0</v>
      </c>
      <c r="H671" s="217">
        <v>45717.0</v>
      </c>
      <c r="I671" s="11" t="s">
        <v>25</v>
      </c>
      <c r="J671" s="11" t="s">
        <v>37</v>
      </c>
      <c r="K671" s="14" t="s">
        <v>31</v>
      </c>
      <c r="L671" s="11"/>
      <c r="M671" s="15"/>
      <c r="N671" s="16" t="s">
        <v>5135</v>
      </c>
      <c r="O671" s="16"/>
      <c r="P671" s="16"/>
      <c r="Q671" s="17"/>
      <c r="R671" s="17"/>
      <c r="S671" s="17"/>
      <c r="T671" s="17"/>
      <c r="U671" s="17"/>
      <c r="V671" s="17"/>
      <c r="W671" s="17"/>
      <c r="X671" s="17"/>
      <c r="Y671" s="17"/>
    </row>
    <row r="672" ht="18.75" customHeight="1">
      <c r="A672" s="9">
        <v>671.0</v>
      </c>
      <c r="B672" s="11" t="s">
        <v>3082</v>
      </c>
      <c r="C672" s="181" t="s">
        <v>3083</v>
      </c>
      <c r="D672" s="181" t="s">
        <v>122</v>
      </c>
      <c r="E672" s="181" t="s">
        <v>2609</v>
      </c>
      <c r="F672" s="181" t="s">
        <v>6356</v>
      </c>
      <c r="G672" s="12">
        <v>45688.0</v>
      </c>
      <c r="H672" s="217">
        <v>45689.0</v>
      </c>
      <c r="I672" s="11" t="s">
        <v>251</v>
      </c>
      <c r="J672" s="11" t="s">
        <v>213</v>
      </c>
      <c r="K672" s="14" t="s">
        <v>31</v>
      </c>
      <c r="L672" s="11"/>
      <c r="M672" s="15"/>
      <c r="N672" s="16" t="s">
        <v>5135</v>
      </c>
      <c r="O672" s="16"/>
      <c r="P672" s="16"/>
      <c r="Q672" s="17"/>
      <c r="R672" s="17"/>
      <c r="S672" s="17"/>
      <c r="T672" s="17"/>
      <c r="U672" s="17"/>
      <c r="V672" s="17"/>
      <c r="W672" s="17"/>
      <c r="X672" s="17"/>
      <c r="Y672" s="17"/>
    </row>
    <row r="673" ht="18.75" customHeight="1">
      <c r="A673" s="9">
        <v>672.0</v>
      </c>
      <c r="B673" s="11" t="s">
        <v>3084</v>
      </c>
      <c r="C673" s="11" t="s">
        <v>3085</v>
      </c>
      <c r="D673" s="11" t="s">
        <v>42</v>
      </c>
      <c r="E673" s="11" t="s">
        <v>2609</v>
      </c>
      <c r="F673" s="11" t="s">
        <v>6357</v>
      </c>
      <c r="G673" s="12">
        <v>45694.0</v>
      </c>
      <c r="H673" s="217">
        <v>45695.0</v>
      </c>
      <c r="I673" s="11" t="s">
        <v>251</v>
      </c>
      <c r="J673" s="11" t="s">
        <v>213</v>
      </c>
      <c r="K673" s="14" t="s">
        <v>31</v>
      </c>
      <c r="L673" s="11"/>
      <c r="M673" s="15"/>
      <c r="N673" s="16" t="s">
        <v>5135</v>
      </c>
      <c r="O673" s="16"/>
      <c r="P673" s="16"/>
      <c r="Q673" s="17"/>
      <c r="R673" s="17"/>
      <c r="S673" s="17"/>
      <c r="T673" s="17"/>
      <c r="U673" s="17"/>
      <c r="V673" s="17"/>
      <c r="W673" s="17"/>
      <c r="X673" s="17"/>
      <c r="Y673" s="17"/>
    </row>
    <row r="674" ht="18.75" customHeight="1">
      <c r="A674" s="9">
        <v>673.0</v>
      </c>
      <c r="B674" s="11" t="s">
        <v>3086</v>
      </c>
      <c r="C674" s="11" t="s">
        <v>3087</v>
      </c>
      <c r="D674" s="11" t="s">
        <v>42</v>
      </c>
      <c r="E674" s="11" t="s">
        <v>158</v>
      </c>
      <c r="F674" s="11" t="s">
        <v>6358</v>
      </c>
      <c r="G674" s="12">
        <v>45716.0</v>
      </c>
      <c r="H674" s="217">
        <v>45717.0</v>
      </c>
      <c r="I674" s="11" t="s">
        <v>119</v>
      </c>
      <c r="J674" s="11" t="s">
        <v>37</v>
      </c>
      <c r="K674" s="14" t="s">
        <v>31</v>
      </c>
      <c r="L674" s="11" t="s">
        <v>74</v>
      </c>
      <c r="M674" s="15"/>
      <c r="N674" s="16" t="s">
        <v>5135</v>
      </c>
      <c r="O674" s="16"/>
      <c r="P674" s="16"/>
      <c r="Q674" s="17"/>
      <c r="R674" s="17"/>
      <c r="S674" s="17"/>
      <c r="T674" s="17"/>
      <c r="U674" s="17"/>
      <c r="V674" s="17"/>
      <c r="W674" s="17"/>
      <c r="X674" s="17"/>
      <c r="Y674" s="17"/>
    </row>
    <row r="675" ht="18.75" customHeight="1">
      <c r="A675" s="9">
        <v>674.0</v>
      </c>
      <c r="B675" s="11" t="s">
        <v>3089</v>
      </c>
      <c r="C675" s="11" t="s">
        <v>3090</v>
      </c>
      <c r="D675" s="11" t="s">
        <v>42</v>
      </c>
      <c r="E675" s="11" t="s">
        <v>2380</v>
      </c>
      <c r="F675" s="11" t="s">
        <v>6359</v>
      </c>
      <c r="G675" s="12">
        <v>45709.0</v>
      </c>
      <c r="H675" s="217">
        <v>45710.0</v>
      </c>
      <c r="I675" s="11" t="s">
        <v>251</v>
      </c>
      <c r="J675" s="11" t="s">
        <v>213</v>
      </c>
      <c r="K675" s="14" t="s">
        <v>31</v>
      </c>
      <c r="L675" s="11"/>
      <c r="M675" s="15"/>
      <c r="N675" s="16" t="s">
        <v>5135</v>
      </c>
      <c r="O675" s="16"/>
      <c r="P675" s="16"/>
      <c r="Q675" s="17"/>
      <c r="R675" s="17"/>
      <c r="S675" s="17"/>
      <c r="T675" s="17"/>
      <c r="U675" s="17"/>
      <c r="V675" s="17"/>
      <c r="W675" s="17"/>
      <c r="X675" s="17"/>
      <c r="Y675" s="17"/>
    </row>
    <row r="676" ht="18.75" customHeight="1">
      <c r="A676" s="9">
        <v>675.0</v>
      </c>
      <c r="B676" s="23" t="s">
        <v>3091</v>
      </c>
      <c r="C676" s="215" t="s">
        <v>3092</v>
      </c>
      <c r="D676" s="215" t="s">
        <v>271</v>
      </c>
      <c r="E676" s="23" t="s">
        <v>2244</v>
      </c>
      <c r="F676" s="11" t="s">
        <v>6360</v>
      </c>
      <c r="G676" s="12">
        <v>45747.0</v>
      </c>
      <c r="H676" s="13">
        <v>45748.0</v>
      </c>
      <c r="I676" s="11" t="s">
        <v>25</v>
      </c>
      <c r="J676" s="11" t="s">
        <v>22</v>
      </c>
      <c r="K676" s="14" t="s">
        <v>31</v>
      </c>
      <c r="L676" s="11" t="s">
        <v>50</v>
      </c>
      <c r="M676" s="11"/>
      <c r="N676" s="16" t="s">
        <v>5135</v>
      </c>
      <c r="O676" s="16"/>
      <c r="P676" s="16"/>
      <c r="Q676" s="17"/>
      <c r="R676" s="17"/>
      <c r="S676" s="17"/>
      <c r="T676" s="17"/>
      <c r="U676" s="17"/>
      <c r="V676" s="17"/>
      <c r="W676" s="17"/>
      <c r="X676" s="17"/>
      <c r="Y676" s="17"/>
    </row>
    <row r="677" ht="18.75" customHeight="1">
      <c r="A677" s="9">
        <v>676.0</v>
      </c>
      <c r="B677" s="10" t="s">
        <v>3094</v>
      </c>
      <c r="C677" s="10" t="s">
        <v>3095</v>
      </c>
      <c r="D677" s="10" t="s">
        <v>116</v>
      </c>
      <c r="E677" s="10" t="s">
        <v>3096</v>
      </c>
      <c r="F677" s="10" t="s">
        <v>6361</v>
      </c>
      <c r="G677" s="12">
        <v>45747.0</v>
      </c>
      <c r="H677" s="13">
        <v>45748.0</v>
      </c>
      <c r="I677" s="11" t="s">
        <v>21</v>
      </c>
      <c r="J677" s="11" t="s">
        <v>22</v>
      </c>
      <c r="K677" s="14"/>
      <c r="L677" s="11"/>
      <c r="M677" s="15"/>
      <c r="N677" s="16"/>
      <c r="O677" s="16"/>
      <c r="P677" s="16"/>
      <c r="Q677" s="17"/>
      <c r="R677" s="17"/>
      <c r="S677" s="17"/>
      <c r="T677" s="17"/>
      <c r="U677" s="17"/>
      <c r="V677" s="17"/>
      <c r="W677" s="17"/>
      <c r="X677" s="17"/>
      <c r="Y677" s="17"/>
    </row>
    <row r="678" ht="18.75" customHeight="1">
      <c r="A678" s="9">
        <v>677.0</v>
      </c>
      <c r="B678" s="11" t="s">
        <v>3101</v>
      </c>
      <c r="C678" s="11" t="s">
        <v>3102</v>
      </c>
      <c r="D678" s="11" t="s">
        <v>122</v>
      </c>
      <c r="E678" s="11" t="s">
        <v>582</v>
      </c>
      <c r="F678" s="11" t="s">
        <v>6362</v>
      </c>
      <c r="G678" s="12">
        <v>45716.0</v>
      </c>
      <c r="H678" s="217">
        <v>45717.0</v>
      </c>
      <c r="I678" s="11" t="s">
        <v>119</v>
      </c>
      <c r="J678" s="11" t="s">
        <v>213</v>
      </c>
      <c r="K678" s="14" t="s">
        <v>31</v>
      </c>
      <c r="L678" s="11" t="s">
        <v>74</v>
      </c>
      <c r="M678" s="11"/>
      <c r="N678" s="16" t="s">
        <v>5135</v>
      </c>
      <c r="O678" s="16"/>
      <c r="P678" s="16"/>
      <c r="Q678" s="17"/>
      <c r="R678" s="17"/>
      <c r="S678" s="17"/>
      <c r="T678" s="17"/>
      <c r="U678" s="17"/>
      <c r="V678" s="17"/>
      <c r="W678" s="17"/>
      <c r="X678" s="17"/>
      <c r="Y678" s="17"/>
    </row>
    <row r="679" ht="18.75" customHeight="1">
      <c r="A679" s="9">
        <v>678.0</v>
      </c>
      <c r="B679" s="11" t="s">
        <v>3104</v>
      </c>
      <c r="C679" s="11" t="s">
        <v>3105</v>
      </c>
      <c r="D679" s="11" t="s">
        <v>128</v>
      </c>
      <c r="E679" s="11" t="s">
        <v>2395</v>
      </c>
      <c r="F679" s="11" t="s">
        <v>6363</v>
      </c>
      <c r="G679" s="12">
        <v>45716.0</v>
      </c>
      <c r="H679" s="217">
        <v>45717.0</v>
      </c>
      <c r="I679" s="11" t="s">
        <v>119</v>
      </c>
      <c r="J679" s="11" t="s">
        <v>37</v>
      </c>
      <c r="K679" s="14" t="s">
        <v>31</v>
      </c>
      <c r="L679" s="11" t="s">
        <v>97</v>
      </c>
      <c r="M679" s="11"/>
      <c r="N679" s="16" t="s">
        <v>5135</v>
      </c>
      <c r="O679" s="16"/>
      <c r="P679" s="16"/>
      <c r="Q679" s="17"/>
      <c r="R679" s="17"/>
      <c r="S679" s="17"/>
      <c r="T679" s="17"/>
      <c r="U679" s="17"/>
      <c r="V679" s="17"/>
      <c r="W679" s="17"/>
      <c r="X679" s="17"/>
      <c r="Y679" s="17"/>
    </row>
    <row r="680" ht="18.75" customHeight="1">
      <c r="A680" s="9">
        <v>679.0</v>
      </c>
      <c r="B680" s="11" t="s">
        <v>3098</v>
      </c>
      <c r="C680" s="11" t="s">
        <v>3099</v>
      </c>
      <c r="D680" s="11" t="s">
        <v>116</v>
      </c>
      <c r="E680" s="11" t="s">
        <v>3096</v>
      </c>
      <c r="F680" s="11" t="s">
        <v>6364</v>
      </c>
      <c r="G680" s="12">
        <v>45747.0</v>
      </c>
      <c r="H680" s="13">
        <v>45748.0</v>
      </c>
      <c r="I680" s="11" t="s">
        <v>25</v>
      </c>
      <c r="J680" s="11" t="s">
        <v>22</v>
      </c>
      <c r="K680" s="14" t="s">
        <v>31</v>
      </c>
      <c r="L680" s="11" t="s">
        <v>62</v>
      </c>
      <c r="M680" s="11"/>
      <c r="N680" s="16" t="s">
        <v>5135</v>
      </c>
      <c r="O680" s="16"/>
      <c r="P680" s="16"/>
      <c r="Q680" s="17"/>
      <c r="R680" s="17"/>
      <c r="S680" s="17"/>
      <c r="T680" s="17"/>
      <c r="U680" s="17"/>
      <c r="V680" s="17"/>
      <c r="W680" s="17"/>
      <c r="X680" s="17"/>
      <c r="Y680" s="17"/>
    </row>
    <row r="681" ht="18.75" customHeight="1">
      <c r="A681" s="9">
        <v>680.0</v>
      </c>
      <c r="B681" s="11" t="s">
        <v>3107</v>
      </c>
      <c r="C681" s="11" t="s">
        <v>3108</v>
      </c>
      <c r="D681" s="11" t="s">
        <v>101</v>
      </c>
      <c r="E681" s="11" t="s">
        <v>2803</v>
      </c>
      <c r="F681" s="11" t="s">
        <v>6365</v>
      </c>
      <c r="G681" s="12">
        <v>45716.0</v>
      </c>
      <c r="H681" s="217">
        <v>45717.0</v>
      </c>
      <c r="I681" s="11" t="s">
        <v>251</v>
      </c>
      <c r="J681" s="11" t="s">
        <v>5420</v>
      </c>
      <c r="K681" s="14" t="s">
        <v>31</v>
      </c>
      <c r="L681" s="11" t="s">
        <v>74</v>
      </c>
      <c r="M681" s="11"/>
      <c r="N681" s="16" t="s">
        <v>5135</v>
      </c>
      <c r="O681" s="16"/>
      <c r="P681" s="16"/>
      <c r="Q681" s="17"/>
      <c r="R681" s="17"/>
      <c r="S681" s="17"/>
      <c r="T681" s="17"/>
      <c r="U681" s="17"/>
      <c r="V681" s="17"/>
      <c r="W681" s="17"/>
      <c r="X681" s="17"/>
      <c r="Y681" s="17"/>
    </row>
    <row r="682" ht="18.75" customHeight="1">
      <c r="A682" s="9">
        <v>681.0</v>
      </c>
      <c r="B682" s="11" t="s">
        <v>3109</v>
      </c>
      <c r="C682" s="11" t="s">
        <v>3110</v>
      </c>
      <c r="D682" s="11" t="s">
        <v>3111</v>
      </c>
      <c r="E682" s="11" t="s">
        <v>673</v>
      </c>
      <c r="F682" s="11" t="s">
        <v>6366</v>
      </c>
      <c r="G682" s="12">
        <v>45747.0</v>
      </c>
      <c r="H682" s="13">
        <v>45748.0</v>
      </c>
      <c r="I682" s="11" t="s">
        <v>25</v>
      </c>
      <c r="J682" s="11" t="s">
        <v>22</v>
      </c>
      <c r="K682" s="14" t="s">
        <v>31</v>
      </c>
      <c r="L682" s="11" t="s">
        <v>50</v>
      </c>
      <c r="M682" s="11"/>
      <c r="N682" s="16" t="s">
        <v>5135</v>
      </c>
      <c r="O682" s="16"/>
      <c r="P682" s="16"/>
      <c r="Q682" s="17"/>
      <c r="R682" s="17"/>
      <c r="S682" s="17"/>
      <c r="T682" s="17"/>
      <c r="U682" s="17"/>
      <c r="V682" s="17"/>
      <c r="W682" s="17"/>
      <c r="X682" s="17"/>
      <c r="Y682" s="17"/>
    </row>
    <row r="683" ht="18.75" customHeight="1">
      <c r="A683" s="9">
        <v>682.0</v>
      </c>
      <c r="B683" s="11" t="s">
        <v>3113</v>
      </c>
      <c r="C683" s="11" t="s">
        <v>3114</v>
      </c>
      <c r="D683" s="11" t="s">
        <v>122</v>
      </c>
      <c r="E683" s="11" t="s">
        <v>2499</v>
      </c>
      <c r="F683" s="11" t="s">
        <v>6367</v>
      </c>
      <c r="G683" s="12">
        <v>45716.0</v>
      </c>
      <c r="H683" s="217">
        <v>45717.0</v>
      </c>
      <c r="I683" s="11" t="s">
        <v>251</v>
      </c>
      <c r="J683" s="11" t="s">
        <v>213</v>
      </c>
      <c r="K683" s="14" t="s">
        <v>31</v>
      </c>
      <c r="L683" s="11"/>
      <c r="M683" s="15"/>
      <c r="N683" s="16" t="s">
        <v>5135</v>
      </c>
      <c r="O683" s="16"/>
      <c r="P683" s="16"/>
      <c r="Q683" s="17"/>
      <c r="R683" s="17"/>
      <c r="S683" s="17"/>
      <c r="T683" s="17"/>
      <c r="U683" s="17"/>
      <c r="V683" s="17"/>
      <c r="W683" s="17"/>
      <c r="X683" s="17"/>
      <c r="Y683" s="17"/>
    </row>
    <row r="684" ht="18.75" customHeight="1">
      <c r="A684" s="9">
        <v>683.0</v>
      </c>
      <c r="B684" s="11" t="s">
        <v>3115</v>
      </c>
      <c r="C684" s="11" t="s">
        <v>3116</v>
      </c>
      <c r="D684" s="11" t="s">
        <v>122</v>
      </c>
      <c r="E684" s="11" t="s">
        <v>2810</v>
      </c>
      <c r="F684" s="11" t="s">
        <v>6368</v>
      </c>
      <c r="G684" s="12">
        <v>45716.0</v>
      </c>
      <c r="H684" s="217">
        <v>45717.0</v>
      </c>
      <c r="I684" s="11" t="s">
        <v>251</v>
      </c>
      <c r="J684" s="11" t="s">
        <v>213</v>
      </c>
      <c r="K684" s="14" t="s">
        <v>31</v>
      </c>
      <c r="L684" s="11"/>
      <c r="M684" s="15"/>
      <c r="N684" s="16" t="s">
        <v>5135</v>
      </c>
      <c r="O684" s="16"/>
      <c r="P684" s="16"/>
      <c r="Q684" s="17"/>
      <c r="R684" s="17"/>
      <c r="S684" s="17"/>
      <c r="T684" s="17"/>
      <c r="U684" s="17"/>
      <c r="V684" s="17"/>
      <c r="W684" s="17"/>
      <c r="X684" s="17"/>
      <c r="Y684" s="17"/>
    </row>
    <row r="685" ht="18.75" customHeight="1">
      <c r="A685" s="9">
        <v>684.0</v>
      </c>
      <c r="B685" s="11" t="s">
        <v>3117</v>
      </c>
      <c r="C685" s="11" t="s">
        <v>3118</v>
      </c>
      <c r="D685" s="11" t="s">
        <v>122</v>
      </c>
      <c r="E685" s="11" t="s">
        <v>2810</v>
      </c>
      <c r="F685" s="11" t="s">
        <v>5713</v>
      </c>
      <c r="G685" s="12">
        <v>45747.0</v>
      </c>
      <c r="H685" s="13">
        <v>45748.0</v>
      </c>
      <c r="I685" s="11" t="s">
        <v>25</v>
      </c>
      <c r="J685" s="11" t="s">
        <v>22</v>
      </c>
      <c r="K685" s="14" t="s">
        <v>31</v>
      </c>
      <c r="L685" s="11" t="s">
        <v>97</v>
      </c>
      <c r="M685" s="11"/>
      <c r="N685" s="16" t="s">
        <v>5135</v>
      </c>
      <c r="O685" s="16"/>
      <c r="P685" s="16"/>
      <c r="Q685" s="17"/>
      <c r="R685" s="17"/>
      <c r="S685" s="17"/>
      <c r="T685" s="17"/>
      <c r="U685" s="17"/>
      <c r="V685" s="17"/>
      <c r="W685" s="17"/>
      <c r="X685" s="17"/>
      <c r="Y685" s="17"/>
    </row>
    <row r="686" ht="18.75" customHeight="1">
      <c r="A686" s="9">
        <v>685.0</v>
      </c>
      <c r="B686" s="11" t="s">
        <v>6369</v>
      </c>
      <c r="C686" s="11" t="s">
        <v>3121</v>
      </c>
      <c r="D686" s="11" t="s">
        <v>362</v>
      </c>
      <c r="E686" s="11" t="s">
        <v>3122</v>
      </c>
      <c r="F686" s="11" t="s">
        <v>6370</v>
      </c>
      <c r="G686" s="12">
        <v>45762.0</v>
      </c>
      <c r="H686" s="13">
        <v>45763.0</v>
      </c>
      <c r="I686" s="11" t="s">
        <v>25</v>
      </c>
      <c r="J686" s="11" t="s">
        <v>22</v>
      </c>
      <c r="K686" s="14" t="s">
        <v>31</v>
      </c>
      <c r="L686" s="11" t="s">
        <v>62</v>
      </c>
      <c r="M686" s="15"/>
      <c r="N686" s="16" t="s">
        <v>5135</v>
      </c>
      <c r="O686" s="16"/>
      <c r="P686" s="16"/>
      <c r="Q686" s="17"/>
      <c r="R686" s="17"/>
      <c r="S686" s="17"/>
      <c r="T686" s="17"/>
      <c r="U686" s="17"/>
      <c r="V686" s="17"/>
      <c r="W686" s="17"/>
      <c r="X686" s="17"/>
      <c r="Y686" s="17"/>
    </row>
    <row r="687" ht="18.75" customHeight="1">
      <c r="A687" s="9">
        <v>686.0</v>
      </c>
      <c r="B687" s="10" t="s">
        <v>3124</v>
      </c>
      <c r="C687" s="10" t="s">
        <v>3125</v>
      </c>
      <c r="D687" s="10" t="s">
        <v>153</v>
      </c>
      <c r="E687" s="10" t="s">
        <v>1598</v>
      </c>
      <c r="F687" s="10" t="s">
        <v>6371</v>
      </c>
      <c r="G687" s="12">
        <v>45747.0</v>
      </c>
      <c r="H687" s="13">
        <v>45748.0</v>
      </c>
      <c r="I687" s="11" t="s">
        <v>21</v>
      </c>
      <c r="J687" s="11" t="s">
        <v>22</v>
      </c>
      <c r="K687" s="14"/>
      <c r="L687" s="11" t="s">
        <v>97</v>
      </c>
      <c r="M687" s="15"/>
      <c r="N687" s="16"/>
      <c r="O687" s="16"/>
      <c r="P687" s="16"/>
      <c r="Q687" s="17"/>
      <c r="R687" s="17"/>
      <c r="S687" s="17"/>
      <c r="T687" s="17"/>
      <c r="U687" s="17"/>
      <c r="V687" s="17"/>
      <c r="W687" s="17"/>
      <c r="X687" s="17"/>
      <c r="Y687" s="17"/>
    </row>
    <row r="688" ht="18.75" customHeight="1">
      <c r="A688" s="9">
        <v>687.0</v>
      </c>
      <c r="B688" s="11" t="s">
        <v>3127</v>
      </c>
      <c r="C688" s="11" t="s">
        <v>3128</v>
      </c>
      <c r="D688" s="11" t="s">
        <v>116</v>
      </c>
      <c r="E688" s="11" t="s">
        <v>3129</v>
      </c>
      <c r="F688" s="11" t="s">
        <v>6372</v>
      </c>
      <c r="G688" s="12">
        <v>45747.0</v>
      </c>
      <c r="H688" s="13">
        <v>45748.0</v>
      </c>
      <c r="I688" s="11" t="s">
        <v>25</v>
      </c>
      <c r="J688" s="11"/>
      <c r="K688" s="14" t="s">
        <v>31</v>
      </c>
      <c r="L688" s="11"/>
      <c r="M688" s="15"/>
      <c r="N688" s="16" t="s">
        <v>5135</v>
      </c>
      <c r="O688" s="16"/>
      <c r="P688" s="16"/>
      <c r="Q688" s="17"/>
      <c r="R688" s="17"/>
      <c r="S688" s="17"/>
      <c r="T688" s="17"/>
      <c r="U688" s="17"/>
      <c r="V688" s="17"/>
      <c r="W688" s="17"/>
      <c r="X688" s="17"/>
      <c r="Y688" s="17"/>
    </row>
    <row r="689" ht="18.75" customHeight="1">
      <c r="A689" s="9">
        <v>688.0</v>
      </c>
      <c r="B689" s="10" t="s">
        <v>3131</v>
      </c>
      <c r="C689" s="10" t="s">
        <v>3132</v>
      </c>
      <c r="D689" s="10" t="s">
        <v>128</v>
      </c>
      <c r="E689" s="10" t="s">
        <v>2499</v>
      </c>
      <c r="F689" s="10" t="s">
        <v>6373</v>
      </c>
      <c r="G689" s="12">
        <v>45731.0</v>
      </c>
      <c r="H689" s="13">
        <v>45732.0</v>
      </c>
      <c r="I689" s="11" t="s">
        <v>21</v>
      </c>
      <c r="J689" s="11" t="s">
        <v>213</v>
      </c>
      <c r="K689" s="14" t="s">
        <v>531</v>
      </c>
      <c r="L689" s="11"/>
      <c r="M689" s="15"/>
      <c r="N689" s="16"/>
      <c r="O689" s="16"/>
      <c r="P689" s="16"/>
      <c r="Q689" s="17"/>
      <c r="R689" s="17"/>
      <c r="S689" s="17"/>
      <c r="T689" s="17"/>
      <c r="U689" s="17"/>
      <c r="V689" s="17"/>
      <c r="W689" s="17"/>
      <c r="X689" s="17"/>
      <c r="Y689" s="17"/>
    </row>
    <row r="690" ht="18.75" customHeight="1">
      <c r="A690" s="9">
        <v>689.0</v>
      </c>
      <c r="B690" s="11" t="s">
        <v>3134</v>
      </c>
      <c r="C690" s="11" t="s">
        <v>3135</v>
      </c>
      <c r="D690" s="11" t="s">
        <v>303</v>
      </c>
      <c r="E690" s="16" t="s">
        <v>3136</v>
      </c>
      <c r="F690" s="11" t="s">
        <v>6374</v>
      </c>
      <c r="G690" s="12">
        <v>45757.0</v>
      </c>
      <c r="H690" s="12">
        <v>45758.0</v>
      </c>
      <c r="I690" s="11" t="s">
        <v>25</v>
      </c>
      <c r="J690" s="11" t="s">
        <v>37</v>
      </c>
      <c r="K690" s="14" t="s">
        <v>31</v>
      </c>
      <c r="L690" s="11" t="s">
        <v>62</v>
      </c>
      <c r="M690" s="15"/>
      <c r="N690" s="16" t="s">
        <v>5135</v>
      </c>
      <c r="O690" s="16"/>
      <c r="P690" s="16"/>
      <c r="Q690" s="17"/>
      <c r="R690" s="17"/>
      <c r="S690" s="17"/>
      <c r="T690" s="17"/>
      <c r="U690" s="17"/>
      <c r="V690" s="17"/>
      <c r="W690" s="17"/>
      <c r="X690" s="17"/>
      <c r="Y690" s="17"/>
    </row>
    <row r="691" ht="18.75" customHeight="1">
      <c r="A691" s="9">
        <v>690.0</v>
      </c>
      <c r="B691" s="11" t="s">
        <v>3138</v>
      </c>
      <c r="C691" s="11" t="s">
        <v>3139</v>
      </c>
      <c r="D691" s="11" t="s">
        <v>444</v>
      </c>
      <c r="E691" s="11" t="s">
        <v>3140</v>
      </c>
      <c r="F691" s="11" t="s">
        <v>6375</v>
      </c>
      <c r="G691" s="12">
        <v>45726.0</v>
      </c>
      <c r="H691" s="13">
        <v>45727.0</v>
      </c>
      <c r="I691" s="11" t="s">
        <v>25</v>
      </c>
      <c r="J691" s="11" t="s">
        <v>213</v>
      </c>
      <c r="K691" s="14" t="s">
        <v>31</v>
      </c>
      <c r="L691" s="11"/>
      <c r="M691" s="15"/>
      <c r="N691" s="16" t="s">
        <v>5135</v>
      </c>
      <c r="O691" s="16"/>
      <c r="P691" s="16"/>
      <c r="Q691" s="17"/>
      <c r="R691" s="17"/>
      <c r="S691" s="17"/>
      <c r="T691" s="17"/>
      <c r="U691" s="17"/>
      <c r="V691" s="17"/>
      <c r="W691" s="17"/>
      <c r="X691" s="17"/>
      <c r="Y691" s="17"/>
    </row>
    <row r="692" ht="18.75" customHeight="1">
      <c r="A692" s="9">
        <v>691.0</v>
      </c>
      <c r="B692" s="11" t="s">
        <v>3142</v>
      </c>
      <c r="C692" s="11" t="s">
        <v>3143</v>
      </c>
      <c r="D692" s="11" t="s">
        <v>380</v>
      </c>
      <c r="E692" s="11" t="s">
        <v>3144</v>
      </c>
      <c r="F692" s="11" t="s">
        <v>6376</v>
      </c>
      <c r="G692" s="12">
        <v>45747.0</v>
      </c>
      <c r="H692" s="13">
        <v>45748.0</v>
      </c>
      <c r="I692" s="11" t="s">
        <v>25</v>
      </c>
      <c r="J692" s="11" t="s">
        <v>37</v>
      </c>
      <c r="K692" s="14" t="s">
        <v>31</v>
      </c>
      <c r="L692" s="11" t="s">
        <v>74</v>
      </c>
      <c r="M692" s="15"/>
      <c r="N692" s="16" t="s">
        <v>5135</v>
      </c>
      <c r="O692" s="16"/>
      <c r="P692" s="16"/>
      <c r="Q692" s="17"/>
      <c r="R692" s="17"/>
      <c r="S692" s="17"/>
      <c r="T692" s="17"/>
      <c r="U692" s="17"/>
      <c r="V692" s="17"/>
      <c r="W692" s="17"/>
      <c r="X692" s="17"/>
      <c r="Y692" s="17"/>
    </row>
    <row r="693" ht="18.75" customHeight="1">
      <c r="A693" s="9">
        <v>692.0</v>
      </c>
      <c r="B693" s="11" t="s">
        <v>3146</v>
      </c>
      <c r="C693" s="11" t="s">
        <v>3147</v>
      </c>
      <c r="D693" s="11" t="s">
        <v>414</v>
      </c>
      <c r="E693" s="11" t="s">
        <v>2698</v>
      </c>
      <c r="F693" s="11" t="s">
        <v>6377</v>
      </c>
      <c r="G693" s="12">
        <v>45765.0</v>
      </c>
      <c r="H693" s="13">
        <v>45766.0</v>
      </c>
      <c r="I693" s="11" t="s">
        <v>25</v>
      </c>
      <c r="J693" s="11" t="s">
        <v>37</v>
      </c>
      <c r="K693" s="14" t="s">
        <v>31</v>
      </c>
      <c r="L693" s="11" t="s">
        <v>50</v>
      </c>
      <c r="M693" s="15"/>
      <c r="N693" s="16" t="s">
        <v>5135</v>
      </c>
      <c r="O693" s="16"/>
      <c r="P693" s="16"/>
      <c r="Q693" s="17"/>
      <c r="R693" s="17"/>
      <c r="S693" s="17"/>
      <c r="T693" s="17"/>
      <c r="U693" s="17"/>
      <c r="V693" s="17"/>
      <c r="W693" s="17"/>
      <c r="X693" s="17"/>
      <c r="Y693" s="17"/>
    </row>
    <row r="694" ht="18.75" customHeight="1">
      <c r="A694" s="9">
        <v>693.0</v>
      </c>
      <c r="B694" s="11" t="s">
        <v>3149</v>
      </c>
      <c r="C694" s="11" t="s">
        <v>3150</v>
      </c>
      <c r="D694" s="11" t="s">
        <v>122</v>
      </c>
      <c r="E694" s="11" t="s">
        <v>2822</v>
      </c>
      <c r="F694" s="11" t="s">
        <v>6378</v>
      </c>
      <c r="G694" s="12">
        <v>45735.0</v>
      </c>
      <c r="H694" s="13">
        <v>45736.0</v>
      </c>
      <c r="I694" s="11" t="s">
        <v>119</v>
      </c>
      <c r="J694" s="11" t="s">
        <v>213</v>
      </c>
      <c r="K694" s="14" t="s">
        <v>31</v>
      </c>
      <c r="L694" s="11"/>
      <c r="M694" s="15"/>
      <c r="N694" s="16" t="s">
        <v>5135</v>
      </c>
      <c r="O694" s="16"/>
      <c r="P694" s="16"/>
      <c r="Q694" s="17"/>
      <c r="R694" s="17"/>
      <c r="S694" s="17"/>
      <c r="T694" s="17"/>
      <c r="U694" s="17"/>
      <c r="V694" s="17"/>
      <c r="W694" s="17"/>
      <c r="X694" s="17"/>
      <c r="Y694" s="17"/>
    </row>
    <row r="695" ht="18.75" customHeight="1">
      <c r="A695" s="9">
        <v>694.0</v>
      </c>
      <c r="B695" s="11" t="s">
        <v>3160</v>
      </c>
      <c r="C695" s="11" t="s">
        <v>3161</v>
      </c>
      <c r="D695" s="11" t="s">
        <v>65</v>
      </c>
      <c r="E695" s="11" t="s">
        <v>314</v>
      </c>
      <c r="F695" s="11" t="s">
        <v>6379</v>
      </c>
      <c r="G695" s="12">
        <v>45763.0</v>
      </c>
      <c r="H695" s="13">
        <v>45764.0</v>
      </c>
      <c r="I695" s="11" t="s">
        <v>25</v>
      </c>
      <c r="J695" s="11" t="s">
        <v>37</v>
      </c>
      <c r="K695" s="14" t="s">
        <v>31</v>
      </c>
      <c r="L695" s="11" t="s">
        <v>50</v>
      </c>
      <c r="M695" s="15"/>
      <c r="N695" s="16" t="s">
        <v>5135</v>
      </c>
      <c r="O695" s="16"/>
      <c r="P695" s="16"/>
      <c r="Q695" s="17"/>
      <c r="R695" s="17"/>
      <c r="S695" s="17"/>
      <c r="T695" s="17"/>
      <c r="U695" s="17"/>
      <c r="V695" s="17"/>
      <c r="W695" s="17"/>
      <c r="X695" s="17"/>
      <c r="Y695" s="17"/>
    </row>
    <row r="696" ht="18.75" customHeight="1">
      <c r="A696" s="9">
        <v>695.0</v>
      </c>
      <c r="B696" s="11" t="s">
        <v>6380</v>
      </c>
      <c r="C696" s="11" t="s">
        <v>6381</v>
      </c>
      <c r="D696" s="11" t="s">
        <v>476</v>
      </c>
      <c r="E696" s="11" t="s">
        <v>1952</v>
      </c>
      <c r="F696" s="11" t="s">
        <v>6382</v>
      </c>
      <c r="G696" s="12">
        <v>45719.0</v>
      </c>
      <c r="H696" s="12">
        <v>45720.0</v>
      </c>
      <c r="I696" s="11" t="s">
        <v>251</v>
      </c>
      <c r="J696" s="11" t="s">
        <v>213</v>
      </c>
      <c r="K696" s="14" t="s">
        <v>31</v>
      </c>
      <c r="L696" s="11"/>
      <c r="M696" s="15"/>
      <c r="N696" s="16" t="s">
        <v>5135</v>
      </c>
      <c r="O696" s="16"/>
      <c r="P696" s="16"/>
      <c r="Q696" s="17"/>
      <c r="R696" s="17"/>
      <c r="S696" s="17"/>
      <c r="T696" s="17"/>
      <c r="U696" s="17"/>
      <c r="V696" s="17"/>
      <c r="W696" s="17"/>
      <c r="X696" s="17"/>
      <c r="Y696" s="17"/>
    </row>
    <row r="697" ht="18.75" customHeight="1">
      <c r="A697" s="9">
        <v>696.0</v>
      </c>
      <c r="B697" s="11" t="s">
        <v>6383</v>
      </c>
      <c r="C697" s="11" t="s">
        <v>3166</v>
      </c>
      <c r="D697" s="11" t="s">
        <v>173</v>
      </c>
      <c r="E697" s="11" t="s">
        <v>334</v>
      </c>
      <c r="F697" s="11" t="s">
        <v>6384</v>
      </c>
      <c r="G697" s="12">
        <v>45792.0</v>
      </c>
      <c r="H697" s="12">
        <v>45793.0</v>
      </c>
      <c r="I697" s="11" t="s">
        <v>25</v>
      </c>
      <c r="J697" s="11" t="s">
        <v>22</v>
      </c>
      <c r="K697" s="14" t="s">
        <v>31</v>
      </c>
      <c r="L697" s="11"/>
      <c r="M697" s="15"/>
      <c r="N697" s="16" t="s">
        <v>5135</v>
      </c>
      <c r="O697" s="16"/>
      <c r="P697" s="16"/>
      <c r="Q697" s="17"/>
      <c r="R697" s="17"/>
      <c r="S697" s="17"/>
      <c r="T697" s="17"/>
      <c r="U697" s="17"/>
      <c r="V697" s="17"/>
      <c r="W697" s="17"/>
      <c r="X697" s="17"/>
      <c r="Y697" s="17"/>
    </row>
    <row r="698" ht="18.75" customHeight="1">
      <c r="A698" s="9">
        <v>697.0</v>
      </c>
      <c r="B698" s="23" t="s">
        <v>3168</v>
      </c>
      <c r="C698" s="23" t="s">
        <v>3169</v>
      </c>
      <c r="D698" s="23" t="s">
        <v>1104</v>
      </c>
      <c r="E698" s="23" t="s">
        <v>3170</v>
      </c>
      <c r="F698" s="11" t="s">
        <v>6385</v>
      </c>
      <c r="G698" s="12">
        <v>45747.0</v>
      </c>
      <c r="H698" s="12">
        <v>45748.0</v>
      </c>
      <c r="I698" s="11" t="s">
        <v>25</v>
      </c>
      <c r="J698" s="11" t="s">
        <v>22</v>
      </c>
      <c r="K698" s="14" t="s">
        <v>31</v>
      </c>
      <c r="L698" s="11"/>
      <c r="M698" s="15"/>
      <c r="N698" s="16" t="s">
        <v>5135</v>
      </c>
      <c r="O698" s="16"/>
      <c r="P698" s="16"/>
      <c r="Q698" s="17"/>
      <c r="R698" s="17"/>
      <c r="S698" s="17"/>
      <c r="T698" s="17"/>
      <c r="U698" s="17"/>
      <c r="V698" s="17"/>
      <c r="W698" s="17"/>
      <c r="X698" s="17"/>
      <c r="Y698" s="17"/>
    </row>
    <row r="699" ht="18.75" customHeight="1">
      <c r="A699" s="9">
        <v>698.0</v>
      </c>
      <c r="B699" s="10" t="s">
        <v>967</v>
      </c>
      <c r="C699" s="10" t="s">
        <v>968</v>
      </c>
      <c r="D699" s="10" t="s">
        <v>122</v>
      </c>
      <c r="E699" s="10" t="s">
        <v>2757</v>
      </c>
      <c r="F699" s="10" t="s">
        <v>969</v>
      </c>
      <c r="G699" s="12">
        <v>45753.0</v>
      </c>
      <c r="H699" s="13">
        <v>45754.0</v>
      </c>
      <c r="I699" s="11" t="s">
        <v>21</v>
      </c>
      <c r="J699" s="11" t="s">
        <v>213</v>
      </c>
      <c r="K699" s="14" t="s">
        <v>531</v>
      </c>
      <c r="L699" s="11"/>
      <c r="M699" s="15"/>
      <c r="N699" s="16"/>
      <c r="O699" s="16"/>
      <c r="P699" s="16"/>
      <c r="Q699" s="17"/>
      <c r="R699" s="17"/>
      <c r="S699" s="17"/>
      <c r="T699" s="17"/>
      <c r="U699" s="17"/>
      <c r="V699" s="17"/>
      <c r="W699" s="17"/>
      <c r="X699" s="17"/>
      <c r="Y699" s="17"/>
    </row>
    <row r="700" ht="18.75" customHeight="1">
      <c r="A700" s="9">
        <v>699.0</v>
      </c>
      <c r="B700" s="11" t="s">
        <v>3173</v>
      </c>
      <c r="C700" s="11" t="s">
        <v>3174</v>
      </c>
      <c r="D700" s="11" t="s">
        <v>153</v>
      </c>
      <c r="E700" s="11" t="s">
        <v>3175</v>
      </c>
      <c r="F700" s="11" t="s">
        <v>6386</v>
      </c>
      <c r="G700" s="12">
        <v>45777.0</v>
      </c>
      <c r="H700" s="12">
        <v>45778.0</v>
      </c>
      <c r="I700" s="11" t="s">
        <v>25</v>
      </c>
      <c r="J700" s="11" t="s">
        <v>37</v>
      </c>
      <c r="K700" s="14" t="s">
        <v>31</v>
      </c>
      <c r="L700" s="11" t="s">
        <v>97</v>
      </c>
      <c r="M700" s="15"/>
      <c r="N700" s="16" t="s">
        <v>5135</v>
      </c>
      <c r="O700" s="16"/>
      <c r="P700" s="16"/>
      <c r="Q700" s="17"/>
      <c r="R700" s="17"/>
      <c r="S700" s="17"/>
      <c r="T700" s="17"/>
      <c r="U700" s="17"/>
      <c r="V700" s="17"/>
      <c r="W700" s="17"/>
      <c r="X700" s="17"/>
      <c r="Y700" s="17"/>
    </row>
    <row r="701" ht="18.75" customHeight="1">
      <c r="A701" s="9">
        <v>700.0</v>
      </c>
      <c r="B701" s="11" t="s">
        <v>6387</v>
      </c>
      <c r="C701" s="11" t="s">
        <v>6388</v>
      </c>
      <c r="D701" s="11" t="s">
        <v>711</v>
      </c>
      <c r="E701" s="11" t="s">
        <v>6389</v>
      </c>
      <c r="F701" s="11" t="s">
        <v>6390</v>
      </c>
      <c r="G701" s="12">
        <v>45777.0</v>
      </c>
      <c r="H701" s="12">
        <v>45778.0</v>
      </c>
      <c r="I701" s="11" t="s">
        <v>25</v>
      </c>
      <c r="J701" s="11"/>
      <c r="K701" s="14" t="s">
        <v>31</v>
      </c>
      <c r="L701" s="11"/>
      <c r="M701" s="15"/>
      <c r="N701" s="16" t="s">
        <v>5135</v>
      </c>
      <c r="O701" s="16"/>
      <c r="P701" s="16"/>
      <c r="Q701" s="17"/>
      <c r="R701" s="17"/>
      <c r="S701" s="17"/>
      <c r="T701" s="17"/>
      <c r="U701" s="17"/>
      <c r="V701" s="17"/>
      <c r="W701" s="17"/>
      <c r="X701" s="17"/>
      <c r="Y701" s="17"/>
    </row>
    <row r="702" ht="18.75" customHeight="1">
      <c r="A702" s="9">
        <v>701.0</v>
      </c>
      <c r="B702" s="11" t="s">
        <v>6391</v>
      </c>
      <c r="C702" s="11" t="s">
        <v>6392</v>
      </c>
      <c r="D702" s="11" t="s">
        <v>116</v>
      </c>
      <c r="E702" s="11" t="s">
        <v>6393</v>
      </c>
      <c r="F702" s="11" t="s">
        <v>6394</v>
      </c>
      <c r="G702" s="12">
        <v>45777.0</v>
      </c>
      <c r="H702" s="12">
        <v>45778.0</v>
      </c>
      <c r="I702" s="11" t="s">
        <v>25</v>
      </c>
      <c r="J702" s="11"/>
      <c r="K702" s="14" t="s">
        <v>31</v>
      </c>
      <c r="L702" s="11"/>
      <c r="M702" s="15"/>
      <c r="N702" s="16" t="s">
        <v>5135</v>
      </c>
      <c r="O702" s="16"/>
      <c r="P702" s="16"/>
      <c r="Q702" s="17"/>
      <c r="R702" s="17"/>
      <c r="S702" s="17"/>
      <c r="T702" s="17"/>
      <c r="U702" s="17"/>
      <c r="V702" s="17"/>
      <c r="W702" s="17"/>
      <c r="X702" s="17"/>
      <c r="Y702" s="17"/>
    </row>
    <row r="703" ht="18.75" customHeight="1">
      <c r="A703" s="9">
        <v>702.0</v>
      </c>
      <c r="B703" s="23" t="s">
        <v>3177</v>
      </c>
      <c r="C703" s="23" t="s">
        <v>6395</v>
      </c>
      <c r="D703" s="23" t="s">
        <v>1197</v>
      </c>
      <c r="E703" s="23" t="s">
        <v>3179</v>
      </c>
      <c r="F703" s="11" t="s">
        <v>6396</v>
      </c>
      <c r="G703" s="12">
        <v>45777.0</v>
      </c>
      <c r="H703" s="12">
        <v>45778.0</v>
      </c>
      <c r="I703" s="11" t="s">
        <v>25</v>
      </c>
      <c r="J703" s="11"/>
      <c r="K703" s="14" t="s">
        <v>31</v>
      </c>
      <c r="L703" s="11" t="s">
        <v>97</v>
      </c>
      <c r="M703" s="15"/>
      <c r="N703" s="16" t="s">
        <v>5135</v>
      </c>
      <c r="O703" s="16"/>
      <c r="P703" s="16"/>
      <c r="Q703" s="17"/>
      <c r="R703" s="17"/>
      <c r="S703" s="17"/>
      <c r="T703" s="17"/>
      <c r="U703" s="17"/>
      <c r="V703" s="17"/>
      <c r="W703" s="17"/>
      <c r="X703" s="17"/>
      <c r="Y703" s="17"/>
    </row>
    <row r="704" ht="18.75" customHeight="1">
      <c r="A704" s="9">
        <v>703.0</v>
      </c>
      <c r="B704" s="11" t="s">
        <v>3181</v>
      </c>
      <c r="C704" s="11" t="s">
        <v>3182</v>
      </c>
      <c r="D704" s="11" t="s">
        <v>65</v>
      </c>
      <c r="E704" s="11" t="s">
        <v>60</v>
      </c>
      <c r="F704" s="11" t="s">
        <v>6397</v>
      </c>
      <c r="G704" s="12">
        <v>45777.0</v>
      </c>
      <c r="H704" s="12">
        <v>45778.0</v>
      </c>
      <c r="I704" s="11" t="s">
        <v>25</v>
      </c>
      <c r="J704" s="11" t="s">
        <v>22</v>
      </c>
      <c r="K704" s="14" t="s">
        <v>31</v>
      </c>
      <c r="L704" s="11" t="s">
        <v>50</v>
      </c>
      <c r="M704" s="15"/>
      <c r="N704" s="16" t="s">
        <v>5135</v>
      </c>
      <c r="O704" s="16"/>
      <c r="P704" s="16"/>
      <c r="Q704" s="17"/>
      <c r="R704" s="17"/>
      <c r="S704" s="17"/>
      <c r="T704" s="17"/>
      <c r="U704" s="17"/>
      <c r="V704" s="17"/>
      <c r="W704" s="17"/>
      <c r="X704" s="17"/>
      <c r="Y704" s="17"/>
    </row>
    <row r="705" ht="18.75" customHeight="1">
      <c r="A705" s="9">
        <v>704.0</v>
      </c>
      <c r="B705" s="11" t="s">
        <v>3184</v>
      </c>
      <c r="C705" s="11" t="s">
        <v>3185</v>
      </c>
      <c r="D705" s="11" t="s">
        <v>198</v>
      </c>
      <c r="E705" s="11" t="s">
        <v>3186</v>
      </c>
      <c r="F705" s="11" t="s">
        <v>6398</v>
      </c>
      <c r="G705" s="12">
        <v>45777.0</v>
      </c>
      <c r="H705" s="12">
        <v>45778.0</v>
      </c>
      <c r="I705" s="11" t="s">
        <v>25</v>
      </c>
      <c r="J705" s="11" t="s">
        <v>22</v>
      </c>
      <c r="K705" s="14" t="s">
        <v>31</v>
      </c>
      <c r="L705" s="11" t="s">
        <v>50</v>
      </c>
      <c r="M705" s="15"/>
      <c r="N705" s="16" t="s">
        <v>5135</v>
      </c>
      <c r="O705" s="16"/>
      <c r="P705" s="16"/>
      <c r="Q705" s="17"/>
      <c r="R705" s="17"/>
      <c r="S705" s="17"/>
      <c r="T705" s="17"/>
      <c r="U705" s="17"/>
      <c r="V705" s="17"/>
      <c r="W705" s="17"/>
      <c r="X705" s="17"/>
      <c r="Y705" s="17"/>
    </row>
    <row r="706" ht="18.75" customHeight="1">
      <c r="A706" s="9">
        <v>705.0</v>
      </c>
      <c r="B706" s="11" t="s">
        <v>3188</v>
      </c>
      <c r="C706" s="11" t="s">
        <v>3189</v>
      </c>
      <c r="D706" s="11" t="s">
        <v>116</v>
      </c>
      <c r="E706" s="11" t="s">
        <v>352</v>
      </c>
      <c r="F706" s="11" t="s">
        <v>6399</v>
      </c>
      <c r="G706" s="12">
        <v>45777.0</v>
      </c>
      <c r="H706" s="12">
        <v>45778.0</v>
      </c>
      <c r="I706" s="11" t="s">
        <v>25</v>
      </c>
      <c r="J706" s="11" t="s">
        <v>22</v>
      </c>
      <c r="K706" s="14" t="s">
        <v>31</v>
      </c>
      <c r="L706" s="11" t="s">
        <v>50</v>
      </c>
      <c r="M706" s="15"/>
      <c r="N706" s="16" t="s">
        <v>5135</v>
      </c>
      <c r="O706" s="16"/>
      <c r="P706" s="16"/>
      <c r="Q706" s="17"/>
      <c r="R706" s="17"/>
      <c r="S706" s="17"/>
      <c r="T706" s="17"/>
      <c r="U706" s="17"/>
      <c r="V706" s="17"/>
      <c r="W706" s="17"/>
      <c r="X706" s="17"/>
      <c r="Y706" s="17"/>
    </row>
    <row r="707" ht="18.75" customHeight="1">
      <c r="A707" s="9">
        <v>706.0</v>
      </c>
      <c r="B707" s="11" t="s">
        <v>3191</v>
      </c>
      <c r="C707" s="11" t="s">
        <v>3192</v>
      </c>
      <c r="D707" s="11" t="s">
        <v>207</v>
      </c>
      <c r="E707" s="11" t="s">
        <v>3193</v>
      </c>
      <c r="F707" s="11" t="s">
        <v>6400</v>
      </c>
      <c r="G707" s="12">
        <v>45764.0</v>
      </c>
      <c r="H707" s="13">
        <v>45765.0</v>
      </c>
      <c r="I707" s="11" t="s">
        <v>119</v>
      </c>
      <c r="J707" s="11" t="s">
        <v>37</v>
      </c>
      <c r="K707" s="14" t="s">
        <v>31</v>
      </c>
      <c r="L707" s="11" t="s">
        <v>50</v>
      </c>
      <c r="M707" s="15"/>
      <c r="N707" s="16" t="s">
        <v>5135</v>
      </c>
      <c r="O707" s="16"/>
      <c r="P707" s="16"/>
      <c r="Q707" s="17"/>
      <c r="R707" s="17"/>
      <c r="S707" s="17"/>
      <c r="T707" s="17"/>
      <c r="U707" s="17"/>
      <c r="V707" s="17"/>
      <c r="W707" s="17"/>
      <c r="X707" s="17"/>
      <c r="Y707" s="17"/>
    </row>
    <row r="708" ht="18.75" customHeight="1">
      <c r="A708" s="9">
        <v>707.0</v>
      </c>
      <c r="B708" s="11" t="s">
        <v>6401</v>
      </c>
      <c r="C708" s="11" t="s">
        <v>3196</v>
      </c>
      <c r="D708" s="11" t="s">
        <v>216</v>
      </c>
      <c r="E708" s="11" t="s">
        <v>3197</v>
      </c>
      <c r="F708" s="11" t="s">
        <v>6402</v>
      </c>
      <c r="G708" s="12">
        <v>45777.0</v>
      </c>
      <c r="H708" s="12">
        <v>45778.0</v>
      </c>
      <c r="I708" s="11" t="s">
        <v>25</v>
      </c>
      <c r="J708" s="11" t="s">
        <v>37</v>
      </c>
      <c r="K708" s="14" t="s">
        <v>31</v>
      </c>
      <c r="L708" s="11" t="s">
        <v>50</v>
      </c>
      <c r="M708" s="15"/>
      <c r="N708" s="16" t="s">
        <v>5135</v>
      </c>
      <c r="O708" s="16"/>
      <c r="P708" s="16"/>
      <c r="Q708" s="17"/>
      <c r="R708" s="17"/>
      <c r="S708" s="17"/>
      <c r="T708" s="17"/>
      <c r="U708" s="17"/>
      <c r="V708" s="17"/>
      <c r="W708" s="17"/>
      <c r="X708" s="17"/>
      <c r="Y708" s="17"/>
    </row>
    <row r="709" ht="18.75" customHeight="1">
      <c r="A709" s="9">
        <v>708.0</v>
      </c>
      <c r="B709" s="11" t="s">
        <v>3199</v>
      </c>
      <c r="C709" s="11" t="s">
        <v>3200</v>
      </c>
      <c r="D709" s="11" t="s">
        <v>207</v>
      </c>
      <c r="E709" s="11" t="s">
        <v>3201</v>
      </c>
      <c r="F709" s="11" t="s">
        <v>6403</v>
      </c>
      <c r="G709" s="12">
        <v>45777.0</v>
      </c>
      <c r="H709" s="12">
        <v>45778.0</v>
      </c>
      <c r="I709" s="11" t="s">
        <v>25</v>
      </c>
      <c r="J709" s="11" t="s">
        <v>37</v>
      </c>
      <c r="K709" s="14" t="s">
        <v>31</v>
      </c>
      <c r="L709" s="11" t="s">
        <v>38</v>
      </c>
      <c r="M709" s="15"/>
      <c r="N709" s="16" t="s">
        <v>5135</v>
      </c>
      <c r="O709" s="16"/>
      <c r="P709" s="16"/>
      <c r="Q709" s="17"/>
      <c r="R709" s="17"/>
      <c r="S709" s="17"/>
      <c r="T709" s="17"/>
      <c r="U709" s="17"/>
      <c r="V709" s="17"/>
      <c r="W709" s="17"/>
      <c r="X709" s="17"/>
      <c r="Y709" s="17"/>
    </row>
    <row r="710" ht="18.75" customHeight="1">
      <c r="A710" s="9">
        <v>709.0</v>
      </c>
      <c r="B710" s="220" t="s">
        <v>3203</v>
      </c>
      <c r="C710" s="221" t="s">
        <v>3204</v>
      </c>
      <c r="D710" s="221" t="s">
        <v>701</v>
      </c>
      <c r="E710" s="221" t="s">
        <v>3205</v>
      </c>
      <c r="F710" s="10" t="s">
        <v>6404</v>
      </c>
      <c r="G710" s="12">
        <v>45777.0</v>
      </c>
      <c r="H710" s="12">
        <v>45778.0</v>
      </c>
      <c r="I710" s="11" t="s">
        <v>21</v>
      </c>
      <c r="J710" s="11" t="s">
        <v>22</v>
      </c>
      <c r="K710" s="14"/>
      <c r="L710" s="11" t="s">
        <v>38</v>
      </c>
      <c r="M710" s="15"/>
      <c r="N710" s="16"/>
      <c r="O710" s="16"/>
      <c r="P710" s="16"/>
      <c r="Q710" s="17"/>
      <c r="R710" s="17"/>
      <c r="S710" s="17"/>
      <c r="T710" s="17"/>
      <c r="U710" s="17"/>
      <c r="V710" s="17"/>
      <c r="W710" s="17"/>
      <c r="X710" s="17"/>
      <c r="Y710" s="17"/>
    </row>
    <row r="711" ht="18.75" customHeight="1">
      <c r="A711" s="9">
        <v>710.0</v>
      </c>
      <c r="B711" s="11" t="s">
        <v>6405</v>
      </c>
      <c r="C711" s="11" t="s">
        <v>3208</v>
      </c>
      <c r="D711" s="11" t="s">
        <v>6406</v>
      </c>
      <c r="E711" s="11" t="s">
        <v>2301</v>
      </c>
      <c r="F711" s="11" t="s">
        <v>6407</v>
      </c>
      <c r="G711" s="12">
        <v>45777.0</v>
      </c>
      <c r="H711" s="12">
        <v>45778.0</v>
      </c>
      <c r="I711" s="11" t="s">
        <v>25</v>
      </c>
      <c r="J711" s="11" t="s">
        <v>22</v>
      </c>
      <c r="K711" s="14" t="s">
        <v>31</v>
      </c>
      <c r="L711" s="11" t="s">
        <v>38</v>
      </c>
      <c r="M711" s="15"/>
      <c r="N711" s="16" t="s">
        <v>5135</v>
      </c>
      <c r="O711" s="16"/>
      <c r="P711" s="16"/>
      <c r="Q711" s="17"/>
      <c r="R711" s="17"/>
      <c r="S711" s="17"/>
      <c r="T711" s="17"/>
      <c r="U711" s="17"/>
      <c r="V711" s="17"/>
      <c r="W711" s="17"/>
      <c r="X711" s="17"/>
      <c r="Y711" s="17"/>
    </row>
    <row r="712" ht="18.75" customHeight="1">
      <c r="A712" s="9">
        <v>711.0</v>
      </c>
      <c r="B712" s="11" t="s">
        <v>3211</v>
      </c>
      <c r="C712" s="11" t="s">
        <v>3212</v>
      </c>
      <c r="D712" s="11" t="s">
        <v>122</v>
      </c>
      <c r="E712" s="11" t="s">
        <v>2499</v>
      </c>
      <c r="F712" s="11" t="s">
        <v>6408</v>
      </c>
      <c r="G712" s="12">
        <v>45747.0</v>
      </c>
      <c r="H712" s="13">
        <v>45748.0</v>
      </c>
      <c r="I712" s="11" t="s">
        <v>251</v>
      </c>
      <c r="J712" s="11" t="s">
        <v>213</v>
      </c>
      <c r="K712" s="14" t="s">
        <v>31</v>
      </c>
      <c r="L712" s="11"/>
      <c r="M712" s="15"/>
      <c r="N712" s="16" t="s">
        <v>5135</v>
      </c>
      <c r="O712" s="16"/>
      <c r="P712" s="16"/>
      <c r="Q712" s="17"/>
      <c r="R712" s="17"/>
      <c r="S712" s="17"/>
      <c r="T712" s="17"/>
      <c r="U712" s="17"/>
      <c r="V712" s="17"/>
      <c r="W712" s="17"/>
      <c r="X712" s="17"/>
      <c r="Y712" s="17"/>
    </row>
    <row r="713" ht="18.75" customHeight="1">
      <c r="A713" s="9">
        <v>712.0</v>
      </c>
      <c r="B713" s="11" t="s">
        <v>3213</v>
      </c>
      <c r="C713" s="11" t="s">
        <v>6409</v>
      </c>
      <c r="D713" s="11" t="s">
        <v>3215</v>
      </c>
      <c r="E713" s="11" t="s">
        <v>3216</v>
      </c>
      <c r="F713" s="11" t="s">
        <v>6410</v>
      </c>
      <c r="G713" s="12">
        <v>45777.0</v>
      </c>
      <c r="H713" s="12">
        <v>45778.0</v>
      </c>
      <c r="I713" s="11" t="s">
        <v>25</v>
      </c>
      <c r="J713" s="11" t="s">
        <v>22</v>
      </c>
      <c r="K713" s="14" t="s">
        <v>31</v>
      </c>
      <c r="L713" s="11"/>
      <c r="M713" s="15"/>
      <c r="N713" s="16" t="s">
        <v>5135</v>
      </c>
      <c r="O713" s="16"/>
      <c r="P713" s="16"/>
      <c r="Q713" s="17"/>
      <c r="R713" s="17"/>
      <c r="S713" s="17"/>
      <c r="T713" s="17"/>
      <c r="U713" s="17"/>
      <c r="V713" s="17"/>
      <c r="W713" s="17"/>
      <c r="X713" s="17"/>
      <c r="Y713" s="17"/>
    </row>
    <row r="714" ht="18.75" customHeight="1">
      <c r="A714" s="9">
        <v>713.0</v>
      </c>
      <c r="B714" s="11" t="s">
        <v>6411</v>
      </c>
      <c r="C714" s="11" t="s">
        <v>3219</v>
      </c>
      <c r="D714" s="11" t="s">
        <v>59</v>
      </c>
      <c r="E714" s="11" t="s">
        <v>211</v>
      </c>
      <c r="F714" s="11" t="s">
        <v>6412</v>
      </c>
      <c r="G714" s="12">
        <v>45777.0</v>
      </c>
      <c r="H714" s="13">
        <v>45778.0</v>
      </c>
      <c r="I714" s="11" t="s">
        <v>25</v>
      </c>
      <c r="J714" s="11" t="s">
        <v>37</v>
      </c>
      <c r="K714" s="14" t="s">
        <v>31</v>
      </c>
      <c r="L714" s="11"/>
      <c r="M714" s="15"/>
      <c r="N714" s="16" t="s">
        <v>5135</v>
      </c>
      <c r="O714" s="16"/>
      <c r="P714" s="16"/>
      <c r="Q714" s="17"/>
      <c r="R714" s="17"/>
      <c r="S714" s="17"/>
      <c r="T714" s="17"/>
      <c r="U714" s="17"/>
      <c r="V714" s="17"/>
      <c r="W714" s="17"/>
      <c r="X714" s="17"/>
      <c r="Y714" s="17"/>
    </row>
    <row r="715" ht="18.75" customHeight="1">
      <c r="A715" s="9">
        <v>714.0</v>
      </c>
      <c r="B715" s="11" t="s">
        <v>3221</v>
      </c>
      <c r="C715" s="11" t="s">
        <v>3222</v>
      </c>
      <c r="D715" s="11" t="s">
        <v>128</v>
      </c>
      <c r="E715" s="11" t="s">
        <v>2388</v>
      </c>
      <c r="F715" s="11" t="s">
        <v>6413</v>
      </c>
      <c r="G715" s="12">
        <v>45750.0</v>
      </c>
      <c r="H715" s="13">
        <v>45751.0</v>
      </c>
      <c r="I715" s="11" t="s">
        <v>25</v>
      </c>
      <c r="J715" s="11" t="s">
        <v>37</v>
      </c>
      <c r="K715" s="14" t="s">
        <v>31</v>
      </c>
      <c r="L715" s="11" t="s">
        <v>74</v>
      </c>
      <c r="M715" s="11" t="s">
        <v>6414</v>
      </c>
      <c r="N715" s="16" t="s">
        <v>5135</v>
      </c>
      <c r="O715" s="16"/>
      <c r="P715" s="16"/>
      <c r="Q715" s="17"/>
      <c r="R715" s="17"/>
      <c r="S715" s="17"/>
      <c r="T715" s="17"/>
      <c r="U715" s="17"/>
      <c r="V715" s="17"/>
      <c r="W715" s="17"/>
      <c r="X715" s="17"/>
      <c r="Y715" s="17"/>
    </row>
    <row r="716" ht="18.75" customHeight="1">
      <c r="A716" s="9">
        <v>715.0</v>
      </c>
      <c r="B716" s="11" t="s">
        <v>3224</v>
      </c>
      <c r="C716" s="11" t="s">
        <v>3225</v>
      </c>
      <c r="D716" s="11" t="s">
        <v>894</v>
      </c>
      <c r="E716" s="11" t="s">
        <v>2483</v>
      </c>
      <c r="F716" s="11" t="s">
        <v>6415</v>
      </c>
      <c r="G716" s="12">
        <v>45743.0</v>
      </c>
      <c r="H716" s="13">
        <v>45748.0</v>
      </c>
      <c r="I716" s="11" t="s">
        <v>251</v>
      </c>
      <c r="J716" s="11" t="s">
        <v>213</v>
      </c>
      <c r="K716" s="14" t="s">
        <v>31</v>
      </c>
      <c r="L716" s="11"/>
      <c r="M716" s="15"/>
      <c r="N716" s="16" t="s">
        <v>5135</v>
      </c>
      <c r="O716" s="16"/>
      <c r="P716" s="16"/>
      <c r="Q716" s="17"/>
      <c r="R716" s="17"/>
      <c r="S716" s="17"/>
      <c r="T716" s="17"/>
      <c r="U716" s="17"/>
      <c r="V716" s="17"/>
      <c r="W716" s="17"/>
      <c r="X716" s="17"/>
      <c r="Y716" s="17"/>
    </row>
    <row r="717" ht="18.75" customHeight="1">
      <c r="A717" s="9">
        <v>716.0</v>
      </c>
      <c r="B717" s="11" t="s">
        <v>3226</v>
      </c>
      <c r="C717" s="11" t="s">
        <v>3227</v>
      </c>
      <c r="D717" s="11" t="s">
        <v>110</v>
      </c>
      <c r="E717" s="11" t="s">
        <v>2843</v>
      </c>
      <c r="F717" s="11" t="s">
        <v>6416</v>
      </c>
      <c r="G717" s="12">
        <v>45747.0</v>
      </c>
      <c r="H717" s="13">
        <v>45748.0</v>
      </c>
      <c r="I717" s="11" t="s">
        <v>251</v>
      </c>
      <c r="J717" s="11" t="s">
        <v>213</v>
      </c>
      <c r="K717" s="14" t="s">
        <v>31</v>
      </c>
      <c r="L717" s="11"/>
      <c r="M717" s="15"/>
      <c r="N717" s="16" t="s">
        <v>5135</v>
      </c>
      <c r="O717" s="16"/>
      <c r="P717" s="16"/>
      <c r="Q717" s="17"/>
      <c r="R717" s="17"/>
      <c r="S717" s="17"/>
      <c r="T717" s="17"/>
      <c r="U717" s="17"/>
      <c r="V717" s="17"/>
      <c r="W717" s="17"/>
      <c r="X717" s="17"/>
      <c r="Y717" s="17"/>
    </row>
    <row r="718" ht="18.75" customHeight="1">
      <c r="A718" s="9">
        <v>717.0</v>
      </c>
      <c r="B718" s="11" t="s">
        <v>3228</v>
      </c>
      <c r="C718" s="11" t="s">
        <v>3229</v>
      </c>
      <c r="D718" s="11" t="s">
        <v>342</v>
      </c>
      <c r="E718" s="11" t="s">
        <v>3230</v>
      </c>
      <c r="F718" s="11" t="s">
        <v>6417</v>
      </c>
      <c r="G718" s="12">
        <v>45777.0</v>
      </c>
      <c r="H718" s="13">
        <v>45778.0</v>
      </c>
      <c r="I718" s="11" t="s">
        <v>25</v>
      </c>
      <c r="J718" s="11" t="s">
        <v>37</v>
      </c>
      <c r="K718" s="14" t="s">
        <v>31</v>
      </c>
      <c r="L718" s="11" t="s">
        <v>62</v>
      </c>
      <c r="M718" s="11" t="s">
        <v>6418</v>
      </c>
      <c r="N718" s="16" t="s">
        <v>5135</v>
      </c>
      <c r="O718" s="16"/>
      <c r="P718" s="16"/>
      <c r="Q718" s="17"/>
      <c r="R718" s="17"/>
      <c r="S718" s="17"/>
      <c r="T718" s="17"/>
      <c r="U718" s="17"/>
      <c r="V718" s="17"/>
      <c r="W718" s="17"/>
      <c r="X718" s="17"/>
      <c r="Y718" s="17"/>
    </row>
    <row r="719" ht="18.75" customHeight="1">
      <c r="A719" s="9">
        <v>718.0</v>
      </c>
      <c r="B719" s="11" t="s">
        <v>6419</v>
      </c>
      <c r="C719" s="11" t="s">
        <v>6420</v>
      </c>
      <c r="D719" s="11" t="s">
        <v>2135</v>
      </c>
      <c r="E719" s="11" t="s">
        <v>6421</v>
      </c>
      <c r="F719" s="11" t="s">
        <v>6422</v>
      </c>
      <c r="G719" s="12">
        <v>45747.0</v>
      </c>
      <c r="H719" s="13">
        <v>45748.0</v>
      </c>
      <c r="I719" s="11" t="s">
        <v>25</v>
      </c>
      <c r="J719" s="11" t="s">
        <v>37</v>
      </c>
      <c r="K719" s="14" t="s">
        <v>31</v>
      </c>
      <c r="L719" s="11" t="s">
        <v>74</v>
      </c>
      <c r="M719" s="15"/>
      <c r="N719" s="16" t="s">
        <v>5135</v>
      </c>
      <c r="O719" s="16"/>
      <c r="P719" s="16"/>
      <c r="Q719" s="17"/>
      <c r="R719" s="17"/>
      <c r="S719" s="17"/>
      <c r="T719" s="17"/>
      <c r="U719" s="17"/>
      <c r="V719" s="17"/>
      <c r="W719" s="17"/>
      <c r="X719" s="17"/>
      <c r="Y719" s="17"/>
    </row>
    <row r="720" ht="18.75" customHeight="1">
      <c r="A720" s="9">
        <v>719.0</v>
      </c>
      <c r="B720" s="11" t="s">
        <v>3232</v>
      </c>
      <c r="C720" s="11" t="s">
        <v>3233</v>
      </c>
      <c r="D720" s="11" t="s">
        <v>128</v>
      </c>
      <c r="E720" s="11" t="s">
        <v>2395</v>
      </c>
      <c r="F720" s="11" t="s">
        <v>6423</v>
      </c>
      <c r="G720" s="12">
        <v>45743.0</v>
      </c>
      <c r="H720" s="13">
        <v>45748.0</v>
      </c>
      <c r="I720" s="11" t="s">
        <v>251</v>
      </c>
      <c r="J720" s="11" t="s">
        <v>213</v>
      </c>
      <c r="K720" s="14" t="s">
        <v>31</v>
      </c>
      <c r="L720" s="11"/>
      <c r="M720" s="15"/>
      <c r="N720" s="16" t="s">
        <v>5135</v>
      </c>
      <c r="O720" s="16"/>
      <c r="P720" s="16"/>
      <c r="Q720" s="17"/>
      <c r="R720" s="17"/>
      <c r="S720" s="17"/>
      <c r="T720" s="17"/>
      <c r="U720" s="17"/>
      <c r="V720" s="17"/>
      <c r="W720" s="17"/>
      <c r="X720" s="17"/>
      <c r="Y720" s="17"/>
    </row>
    <row r="721" ht="18.75" customHeight="1">
      <c r="A721" s="9">
        <v>720.0</v>
      </c>
      <c r="B721" s="11" t="s">
        <v>3234</v>
      </c>
      <c r="C721" s="11" t="s">
        <v>3235</v>
      </c>
      <c r="D721" s="11" t="s">
        <v>122</v>
      </c>
      <c r="E721" s="11" t="s">
        <v>582</v>
      </c>
      <c r="F721" s="11" t="s">
        <v>6424</v>
      </c>
      <c r="G721" s="12">
        <v>45753.0</v>
      </c>
      <c r="H721" s="13">
        <v>45754.0</v>
      </c>
      <c r="I721" s="11" t="s">
        <v>25</v>
      </c>
      <c r="J721" s="11" t="s">
        <v>22</v>
      </c>
      <c r="K721" s="14" t="s">
        <v>31</v>
      </c>
      <c r="L721" s="11"/>
      <c r="M721" s="15"/>
      <c r="N721" s="16" t="s">
        <v>5135</v>
      </c>
      <c r="O721" s="16"/>
      <c r="P721" s="16"/>
      <c r="Q721" s="17"/>
      <c r="R721" s="17"/>
      <c r="S721" s="17"/>
      <c r="T721" s="17"/>
      <c r="U721" s="17"/>
      <c r="V721" s="17"/>
      <c r="W721" s="17"/>
      <c r="X721" s="17"/>
      <c r="Y721" s="17"/>
    </row>
    <row r="722" ht="18.75" customHeight="1">
      <c r="A722" s="9">
        <v>721.0</v>
      </c>
      <c r="B722" s="10" t="s">
        <v>3237</v>
      </c>
      <c r="C722" s="10" t="s">
        <v>3238</v>
      </c>
      <c r="D722" s="10" t="s">
        <v>110</v>
      </c>
      <c r="E722" s="10" t="s">
        <v>3239</v>
      </c>
      <c r="F722" s="10" t="s">
        <v>6425</v>
      </c>
      <c r="G722" s="12">
        <v>45777.0</v>
      </c>
      <c r="H722" s="13">
        <v>45778.0</v>
      </c>
      <c r="I722" s="11" t="s">
        <v>21</v>
      </c>
      <c r="J722" s="11" t="s">
        <v>37</v>
      </c>
      <c r="K722" s="14"/>
      <c r="L722" s="11" t="s">
        <v>97</v>
      </c>
      <c r="M722" s="11" t="s">
        <v>6426</v>
      </c>
      <c r="N722" s="16"/>
      <c r="O722" s="16"/>
      <c r="P722" s="16"/>
      <c r="Q722" s="17"/>
      <c r="R722" s="17"/>
      <c r="S722" s="17"/>
      <c r="T722" s="17"/>
      <c r="U722" s="17"/>
      <c r="V722" s="17"/>
      <c r="W722" s="17"/>
      <c r="X722" s="17"/>
      <c r="Y722" s="17"/>
    </row>
    <row r="723" ht="18.75" customHeight="1">
      <c r="A723" s="9">
        <v>722.0</v>
      </c>
      <c r="B723" s="11" t="s">
        <v>3241</v>
      </c>
      <c r="C723" s="11" t="s">
        <v>3242</v>
      </c>
      <c r="D723" s="11" t="s">
        <v>110</v>
      </c>
      <c r="E723" s="11" t="s">
        <v>2667</v>
      </c>
      <c r="F723" s="11" t="s">
        <v>6427</v>
      </c>
      <c r="G723" s="12">
        <v>45777.0</v>
      </c>
      <c r="H723" s="13">
        <v>45778.0</v>
      </c>
      <c r="I723" s="11" t="s">
        <v>25</v>
      </c>
      <c r="J723" s="11" t="s">
        <v>37</v>
      </c>
      <c r="K723" s="14" t="s">
        <v>31</v>
      </c>
      <c r="L723" s="11" t="s">
        <v>74</v>
      </c>
      <c r="M723" s="11" t="s">
        <v>6428</v>
      </c>
      <c r="N723" s="16" t="s">
        <v>5135</v>
      </c>
      <c r="O723" s="16"/>
      <c r="P723" s="16"/>
      <c r="Q723" s="17"/>
      <c r="R723" s="17"/>
      <c r="S723" s="17"/>
      <c r="T723" s="17"/>
      <c r="U723" s="17"/>
      <c r="V723" s="17"/>
      <c r="W723" s="17"/>
      <c r="X723" s="17"/>
      <c r="Y723" s="17"/>
    </row>
    <row r="724" ht="18.75" customHeight="1">
      <c r="A724" s="9">
        <v>723.0</v>
      </c>
      <c r="B724" s="11" t="s">
        <v>3244</v>
      </c>
      <c r="C724" s="11" t="s">
        <v>3245</v>
      </c>
      <c r="D724" s="11" t="s">
        <v>198</v>
      </c>
      <c r="E724" s="11" t="s">
        <v>3246</v>
      </c>
      <c r="F724" s="11" t="s">
        <v>6429</v>
      </c>
      <c r="G724" s="12">
        <v>45797.0</v>
      </c>
      <c r="H724" s="13">
        <v>45798.0</v>
      </c>
      <c r="I724" s="11" t="s">
        <v>25</v>
      </c>
      <c r="J724" s="11" t="s">
        <v>37</v>
      </c>
      <c r="K724" s="14" t="s">
        <v>31</v>
      </c>
      <c r="L724" s="11" t="s">
        <v>97</v>
      </c>
      <c r="M724" s="15"/>
      <c r="N724" s="16" t="s">
        <v>5135</v>
      </c>
      <c r="O724" s="16"/>
      <c r="P724" s="16"/>
      <c r="Q724" s="17"/>
      <c r="R724" s="17"/>
      <c r="S724" s="17"/>
      <c r="T724" s="17"/>
      <c r="U724" s="17"/>
      <c r="V724" s="17"/>
      <c r="W724" s="17"/>
      <c r="X724" s="17"/>
      <c r="Y724" s="17"/>
    </row>
    <row r="725" ht="18.75" customHeight="1">
      <c r="A725" s="9">
        <v>724.0</v>
      </c>
      <c r="B725" s="11" t="s">
        <v>3248</v>
      </c>
      <c r="C725" s="11" t="s">
        <v>3249</v>
      </c>
      <c r="D725" s="11" t="s">
        <v>2015</v>
      </c>
      <c r="E725" s="11" t="s">
        <v>2085</v>
      </c>
      <c r="F725" s="11" t="s">
        <v>6430</v>
      </c>
      <c r="G725" s="12">
        <v>45798.0</v>
      </c>
      <c r="H725" s="13">
        <v>45799.0</v>
      </c>
      <c r="I725" s="11" t="s">
        <v>25</v>
      </c>
      <c r="J725" s="11" t="s">
        <v>37</v>
      </c>
      <c r="K725" s="14" t="s">
        <v>31</v>
      </c>
      <c r="L725" s="11" t="s">
        <v>97</v>
      </c>
      <c r="M725" s="15"/>
      <c r="N725" s="16" t="s">
        <v>5135</v>
      </c>
      <c r="O725" s="16"/>
      <c r="P725" s="16"/>
      <c r="Q725" s="17"/>
      <c r="R725" s="17"/>
      <c r="S725" s="17"/>
      <c r="T725" s="17"/>
      <c r="U725" s="17"/>
      <c r="V725" s="17"/>
      <c r="W725" s="17"/>
      <c r="X725" s="17"/>
      <c r="Y725" s="17"/>
    </row>
    <row r="726" ht="18.75" customHeight="1">
      <c r="A726" s="9">
        <v>725.0</v>
      </c>
      <c r="B726" s="11" t="s">
        <v>3251</v>
      </c>
      <c r="C726" s="11" t="s">
        <v>3252</v>
      </c>
      <c r="D726" s="11" t="s">
        <v>481</v>
      </c>
      <c r="E726" s="11" t="s">
        <v>3253</v>
      </c>
      <c r="F726" s="11" t="s">
        <v>6431</v>
      </c>
      <c r="G726" s="12">
        <v>45791.0</v>
      </c>
      <c r="H726" s="13">
        <v>45792.0</v>
      </c>
      <c r="I726" s="11" t="s">
        <v>25</v>
      </c>
      <c r="J726" s="11" t="s">
        <v>22</v>
      </c>
      <c r="K726" s="14" t="s">
        <v>31</v>
      </c>
      <c r="L726" s="11" t="s">
        <v>50</v>
      </c>
      <c r="M726" s="15"/>
      <c r="N726" s="16" t="s">
        <v>5135</v>
      </c>
      <c r="O726" s="16"/>
      <c r="P726" s="16"/>
      <c r="Q726" s="17"/>
      <c r="R726" s="17"/>
      <c r="S726" s="17"/>
      <c r="T726" s="17"/>
      <c r="U726" s="17"/>
      <c r="V726" s="17"/>
      <c r="W726" s="17"/>
      <c r="X726" s="17"/>
      <c r="Y726" s="17"/>
    </row>
    <row r="727" ht="18.75" customHeight="1">
      <c r="A727" s="9">
        <v>726.0</v>
      </c>
      <c r="B727" s="11" t="s">
        <v>3255</v>
      </c>
      <c r="C727" s="11" t="s">
        <v>3256</v>
      </c>
      <c r="D727" s="11" t="s">
        <v>313</v>
      </c>
      <c r="E727" s="11" t="s">
        <v>3257</v>
      </c>
      <c r="F727" s="11" t="s">
        <v>6432</v>
      </c>
      <c r="G727" s="12">
        <v>45777.0</v>
      </c>
      <c r="H727" s="13">
        <v>45778.0</v>
      </c>
      <c r="I727" s="11" t="s">
        <v>25</v>
      </c>
      <c r="J727" s="11" t="s">
        <v>22</v>
      </c>
      <c r="K727" s="14" t="s">
        <v>31</v>
      </c>
      <c r="L727" s="11" t="s">
        <v>62</v>
      </c>
      <c r="M727" s="15"/>
      <c r="N727" s="16" t="s">
        <v>5135</v>
      </c>
      <c r="O727" s="16"/>
      <c r="P727" s="16"/>
      <c r="Q727" s="17"/>
      <c r="R727" s="17"/>
      <c r="S727" s="17"/>
      <c r="T727" s="17"/>
      <c r="U727" s="17"/>
      <c r="V727" s="17"/>
      <c r="W727" s="17"/>
      <c r="X727" s="17"/>
      <c r="Y727" s="17"/>
    </row>
    <row r="728" ht="18.75" customHeight="1">
      <c r="A728" s="9">
        <v>727.0</v>
      </c>
      <c r="B728" s="11" t="s">
        <v>2995</v>
      </c>
      <c r="C728" s="11" t="s">
        <v>2996</v>
      </c>
      <c r="D728" s="11" t="s">
        <v>65</v>
      </c>
      <c r="E728" s="11" t="s">
        <v>1376</v>
      </c>
      <c r="F728" s="11" t="s">
        <v>6433</v>
      </c>
      <c r="G728" s="12">
        <v>45765.0</v>
      </c>
      <c r="H728" s="13">
        <v>45766.0</v>
      </c>
      <c r="I728" s="11" t="s">
        <v>25</v>
      </c>
      <c r="J728" s="11" t="s">
        <v>22</v>
      </c>
      <c r="K728" s="14" t="s">
        <v>31</v>
      </c>
      <c r="L728" s="11" t="s">
        <v>5814</v>
      </c>
      <c r="M728" s="15"/>
      <c r="N728" s="16" t="s">
        <v>5135</v>
      </c>
      <c r="O728" s="16"/>
      <c r="P728" s="16"/>
      <c r="Q728" s="17"/>
      <c r="R728" s="17"/>
      <c r="S728" s="17"/>
      <c r="T728" s="17"/>
      <c r="U728" s="17"/>
      <c r="V728" s="17"/>
      <c r="W728" s="17"/>
      <c r="X728" s="17"/>
      <c r="Y728" s="17"/>
    </row>
    <row r="729" ht="18.75" customHeight="1">
      <c r="A729" s="9">
        <v>728.0</v>
      </c>
      <c r="B729" s="10" t="s">
        <v>3152</v>
      </c>
      <c r="C729" s="10" t="s">
        <v>3153</v>
      </c>
      <c r="D729" s="10" t="s">
        <v>636</v>
      </c>
      <c r="E729" s="10" t="s">
        <v>3154</v>
      </c>
      <c r="F729" s="10" t="s">
        <v>6434</v>
      </c>
      <c r="G729" s="12">
        <v>45777.0</v>
      </c>
      <c r="H729" s="13">
        <v>45778.0</v>
      </c>
      <c r="I729" s="11" t="s">
        <v>21</v>
      </c>
      <c r="J729" s="11" t="s">
        <v>22</v>
      </c>
      <c r="K729" s="14"/>
      <c r="L729" s="11"/>
      <c r="M729" s="15"/>
      <c r="N729" s="16"/>
      <c r="O729" s="16"/>
      <c r="P729" s="16"/>
      <c r="Q729" s="17"/>
      <c r="R729" s="17"/>
      <c r="S729" s="17"/>
      <c r="T729" s="17"/>
      <c r="U729" s="17"/>
      <c r="V729" s="17"/>
      <c r="W729" s="17"/>
      <c r="X729" s="17"/>
      <c r="Y729" s="17"/>
    </row>
    <row r="730" ht="18.75" customHeight="1">
      <c r="A730" s="9">
        <v>729.0</v>
      </c>
      <c r="B730" s="11" t="s">
        <v>3259</v>
      </c>
      <c r="C730" s="11" t="s">
        <v>3260</v>
      </c>
      <c r="D730" s="11" t="s">
        <v>128</v>
      </c>
      <c r="E730" s="11" t="s">
        <v>2581</v>
      </c>
      <c r="F730" s="11" t="s">
        <v>6435</v>
      </c>
      <c r="G730" s="12">
        <v>45777.0</v>
      </c>
      <c r="H730" s="13">
        <v>45778.0</v>
      </c>
      <c r="I730" s="11" t="s">
        <v>25</v>
      </c>
      <c r="J730" s="11" t="s">
        <v>37</v>
      </c>
      <c r="K730" s="14" t="s">
        <v>31</v>
      </c>
      <c r="L730" s="11" t="s">
        <v>50</v>
      </c>
      <c r="M730" s="11" t="s">
        <v>6436</v>
      </c>
      <c r="N730" s="16" t="s">
        <v>5135</v>
      </c>
      <c r="O730" s="16"/>
      <c r="P730" s="16"/>
      <c r="Q730" s="17"/>
      <c r="R730" s="17"/>
      <c r="S730" s="17"/>
      <c r="T730" s="17"/>
      <c r="U730" s="17"/>
      <c r="V730" s="17"/>
      <c r="W730" s="17"/>
      <c r="X730" s="17"/>
      <c r="Y730" s="17"/>
    </row>
    <row r="731" ht="18.75" customHeight="1">
      <c r="A731" s="9">
        <v>730.0</v>
      </c>
      <c r="B731" s="11" t="s">
        <v>3262</v>
      </c>
      <c r="C731" s="11" t="s">
        <v>3263</v>
      </c>
      <c r="D731" s="11" t="s">
        <v>3264</v>
      </c>
      <c r="E731" s="11" t="s">
        <v>3265</v>
      </c>
      <c r="F731" s="11" t="s">
        <v>6437</v>
      </c>
      <c r="G731" s="12">
        <v>45777.0</v>
      </c>
      <c r="H731" s="13">
        <v>45778.0</v>
      </c>
      <c r="I731" s="11" t="s">
        <v>25</v>
      </c>
      <c r="J731" s="11" t="s">
        <v>37</v>
      </c>
      <c r="K731" s="14" t="s">
        <v>31</v>
      </c>
      <c r="L731" s="11" t="s">
        <v>62</v>
      </c>
      <c r="M731" s="15"/>
      <c r="N731" s="16" t="s">
        <v>5135</v>
      </c>
      <c r="O731" s="16"/>
      <c r="P731" s="16"/>
      <c r="Q731" s="17"/>
      <c r="R731" s="17"/>
      <c r="S731" s="17"/>
      <c r="T731" s="17"/>
      <c r="U731" s="17"/>
      <c r="V731" s="17"/>
      <c r="W731" s="17"/>
      <c r="X731" s="17"/>
      <c r="Y731" s="17"/>
    </row>
    <row r="732" ht="18.75" customHeight="1">
      <c r="A732" s="9">
        <v>731.0</v>
      </c>
      <c r="B732" s="11" t="s">
        <v>3267</v>
      </c>
      <c r="C732" s="11" t="s">
        <v>882</v>
      </c>
      <c r="D732" s="11" t="s">
        <v>110</v>
      </c>
      <c r="E732" s="11" t="s">
        <v>2468</v>
      </c>
      <c r="F732" s="11" t="s">
        <v>6438</v>
      </c>
      <c r="G732" s="12">
        <v>45777.0</v>
      </c>
      <c r="H732" s="13">
        <v>45778.0</v>
      </c>
      <c r="I732" s="11" t="s">
        <v>25</v>
      </c>
      <c r="J732" s="11" t="s">
        <v>37</v>
      </c>
      <c r="K732" s="14" t="s">
        <v>31</v>
      </c>
      <c r="L732" s="11" t="s">
        <v>74</v>
      </c>
      <c r="M732" s="11" t="s">
        <v>6439</v>
      </c>
      <c r="N732" s="16" t="s">
        <v>5135</v>
      </c>
      <c r="O732" s="16"/>
      <c r="P732" s="16"/>
      <c r="Q732" s="17"/>
      <c r="R732" s="17"/>
      <c r="S732" s="17"/>
      <c r="T732" s="17"/>
      <c r="U732" s="17"/>
      <c r="V732" s="17"/>
      <c r="W732" s="17"/>
      <c r="X732" s="17"/>
      <c r="Y732" s="17"/>
    </row>
    <row r="733" ht="18.75" customHeight="1">
      <c r="A733" s="9">
        <v>732.0</v>
      </c>
      <c r="B733" s="10" t="s">
        <v>3269</v>
      </c>
      <c r="C733" s="10" t="s">
        <v>3270</v>
      </c>
      <c r="D733" s="10" t="s">
        <v>2305</v>
      </c>
      <c r="E733" s="10" t="s">
        <v>3154</v>
      </c>
      <c r="F733" s="10" t="s">
        <v>6440</v>
      </c>
      <c r="G733" s="12">
        <v>45777.0</v>
      </c>
      <c r="H733" s="13">
        <v>45778.0</v>
      </c>
      <c r="I733" s="11" t="s">
        <v>21</v>
      </c>
      <c r="J733" s="11" t="s">
        <v>22</v>
      </c>
      <c r="K733" s="14"/>
      <c r="L733" s="11" t="s">
        <v>50</v>
      </c>
      <c r="M733" s="15"/>
      <c r="N733" s="16"/>
      <c r="O733" s="16"/>
      <c r="P733" s="16"/>
      <c r="Q733" s="17"/>
      <c r="R733" s="17"/>
      <c r="S733" s="17"/>
      <c r="T733" s="17"/>
      <c r="U733" s="17"/>
      <c r="V733" s="17"/>
      <c r="W733" s="17"/>
      <c r="X733" s="17"/>
      <c r="Y733" s="17"/>
    </row>
    <row r="734" ht="18.75" customHeight="1">
      <c r="A734" s="9">
        <v>733.0</v>
      </c>
      <c r="B734" s="11" t="s">
        <v>3272</v>
      </c>
      <c r="C734" s="11" t="s">
        <v>3273</v>
      </c>
      <c r="D734" s="11" t="s">
        <v>207</v>
      </c>
      <c r="E734" s="11" t="s">
        <v>66</v>
      </c>
      <c r="F734" s="11" t="s">
        <v>6441</v>
      </c>
      <c r="G734" s="12">
        <v>45777.0</v>
      </c>
      <c r="H734" s="13">
        <v>45778.0</v>
      </c>
      <c r="I734" s="11" t="s">
        <v>25</v>
      </c>
      <c r="J734" s="11" t="s">
        <v>37</v>
      </c>
      <c r="K734" s="14" t="s">
        <v>31</v>
      </c>
      <c r="L734" s="11" t="s">
        <v>50</v>
      </c>
      <c r="M734" s="11"/>
      <c r="N734" s="16" t="s">
        <v>5135</v>
      </c>
      <c r="O734" s="16"/>
      <c r="P734" s="16"/>
      <c r="Q734" s="17"/>
      <c r="R734" s="17"/>
      <c r="S734" s="17"/>
      <c r="T734" s="17"/>
      <c r="U734" s="17"/>
      <c r="V734" s="17"/>
      <c r="W734" s="17"/>
      <c r="X734" s="17"/>
      <c r="Y734" s="17"/>
    </row>
    <row r="735" ht="18.75" customHeight="1">
      <c r="A735" s="9">
        <v>734.0</v>
      </c>
      <c r="B735" s="11" t="s">
        <v>3275</v>
      </c>
      <c r="C735" s="11" t="s">
        <v>3276</v>
      </c>
      <c r="D735" s="11" t="s">
        <v>122</v>
      </c>
      <c r="E735" s="11" t="s">
        <v>2667</v>
      </c>
      <c r="F735" s="11" t="s">
        <v>6442</v>
      </c>
      <c r="G735" s="12">
        <v>45777.0</v>
      </c>
      <c r="H735" s="13">
        <v>45778.0</v>
      </c>
      <c r="I735" s="11" t="s">
        <v>25</v>
      </c>
      <c r="J735" s="11" t="s">
        <v>37</v>
      </c>
      <c r="K735" s="14" t="s">
        <v>31</v>
      </c>
      <c r="L735" s="11" t="s">
        <v>74</v>
      </c>
      <c r="M735" s="11" t="s">
        <v>6443</v>
      </c>
      <c r="N735" s="16" t="s">
        <v>5135</v>
      </c>
      <c r="O735" s="16"/>
      <c r="P735" s="16"/>
      <c r="Q735" s="17"/>
      <c r="R735" s="17"/>
      <c r="S735" s="17"/>
      <c r="T735" s="17"/>
      <c r="U735" s="17"/>
      <c r="V735" s="17"/>
      <c r="W735" s="17"/>
      <c r="X735" s="17"/>
      <c r="Y735" s="17"/>
    </row>
    <row r="736" ht="18.75" customHeight="1">
      <c r="A736" s="9">
        <v>735.0</v>
      </c>
      <c r="B736" s="11" t="s">
        <v>3286</v>
      </c>
      <c r="C736" s="11" t="s">
        <v>3287</v>
      </c>
      <c r="D736" s="11" t="s">
        <v>128</v>
      </c>
      <c r="E736" s="11" t="s">
        <v>2667</v>
      </c>
      <c r="F736" s="11" t="s">
        <v>6444</v>
      </c>
      <c r="G736" s="12">
        <v>45764.0</v>
      </c>
      <c r="H736" s="13">
        <v>45765.0</v>
      </c>
      <c r="I736" s="11" t="s">
        <v>25</v>
      </c>
      <c r="J736" s="11" t="s">
        <v>22</v>
      </c>
      <c r="K736" s="14" t="s">
        <v>31</v>
      </c>
      <c r="L736" s="11"/>
      <c r="M736" s="11" t="s">
        <v>6428</v>
      </c>
      <c r="N736" s="16" t="s">
        <v>5135</v>
      </c>
      <c r="O736" s="16"/>
      <c r="P736" s="16"/>
      <c r="Q736" s="17"/>
      <c r="R736" s="17"/>
      <c r="S736" s="17"/>
      <c r="T736" s="17"/>
      <c r="U736" s="17"/>
      <c r="V736" s="17"/>
      <c r="W736" s="17"/>
      <c r="X736" s="17"/>
      <c r="Y736" s="17"/>
    </row>
    <row r="737" ht="18.75" customHeight="1">
      <c r="A737" s="9">
        <v>736.0</v>
      </c>
      <c r="B737" s="11" t="s">
        <v>3278</v>
      </c>
      <c r="C737" s="11" t="s">
        <v>3279</v>
      </c>
      <c r="D737" s="11" t="s">
        <v>116</v>
      </c>
      <c r="E737" s="11" t="s">
        <v>3280</v>
      </c>
      <c r="F737" s="11" t="s">
        <v>6445</v>
      </c>
      <c r="G737" s="12">
        <v>45777.0</v>
      </c>
      <c r="H737" s="13">
        <v>45778.0</v>
      </c>
      <c r="I737" s="11" t="s">
        <v>25</v>
      </c>
      <c r="J737" s="11" t="s">
        <v>22</v>
      </c>
      <c r="K737" s="14" t="s">
        <v>31</v>
      </c>
      <c r="L737" s="11" t="s">
        <v>62</v>
      </c>
      <c r="M737" s="11"/>
      <c r="N737" s="16" t="s">
        <v>5135</v>
      </c>
      <c r="O737" s="16"/>
      <c r="P737" s="16"/>
      <c r="Q737" s="17"/>
      <c r="R737" s="17"/>
      <c r="S737" s="17"/>
      <c r="T737" s="17"/>
      <c r="U737" s="17"/>
      <c r="V737" s="17"/>
      <c r="W737" s="17"/>
      <c r="X737" s="17"/>
      <c r="Y737" s="17"/>
    </row>
    <row r="738" ht="18.75" customHeight="1">
      <c r="A738" s="9">
        <v>737.0</v>
      </c>
      <c r="B738" s="11" t="s">
        <v>3282</v>
      </c>
      <c r="C738" s="11" t="s">
        <v>3283</v>
      </c>
      <c r="D738" s="11" t="s">
        <v>231</v>
      </c>
      <c r="E738" s="11" t="s">
        <v>3284</v>
      </c>
      <c r="F738" s="11" t="s">
        <v>6446</v>
      </c>
      <c r="G738" s="12">
        <v>45777.0</v>
      </c>
      <c r="H738" s="13">
        <v>45778.0</v>
      </c>
      <c r="I738" s="11" t="s">
        <v>25</v>
      </c>
      <c r="J738" s="11" t="s">
        <v>37</v>
      </c>
      <c r="K738" s="14" t="s">
        <v>31</v>
      </c>
      <c r="L738" s="11" t="s">
        <v>62</v>
      </c>
      <c r="M738" s="15"/>
      <c r="N738" s="16" t="s">
        <v>5135</v>
      </c>
      <c r="O738" s="16"/>
      <c r="P738" s="16"/>
      <c r="Q738" s="17"/>
      <c r="R738" s="17"/>
      <c r="S738" s="17"/>
      <c r="T738" s="17"/>
      <c r="U738" s="17"/>
      <c r="V738" s="17"/>
      <c r="W738" s="17"/>
      <c r="X738" s="17"/>
      <c r="Y738" s="17"/>
    </row>
    <row r="739" ht="18.75" customHeight="1">
      <c r="A739" s="9">
        <v>738.0</v>
      </c>
      <c r="B739" s="11" t="s">
        <v>3094</v>
      </c>
      <c r="C739" s="11" t="s">
        <v>3095</v>
      </c>
      <c r="D739" s="11" t="s">
        <v>116</v>
      </c>
      <c r="E739" s="11" t="s">
        <v>3096</v>
      </c>
      <c r="F739" s="11" t="s">
        <v>6361</v>
      </c>
      <c r="G739" s="12">
        <v>45777.0</v>
      </c>
      <c r="H739" s="13">
        <v>45778.0</v>
      </c>
      <c r="I739" s="11" t="s">
        <v>25</v>
      </c>
      <c r="J739" s="11" t="s">
        <v>22</v>
      </c>
      <c r="K739" s="14" t="s">
        <v>31</v>
      </c>
      <c r="L739" s="11" t="s">
        <v>50</v>
      </c>
      <c r="M739" s="15"/>
      <c r="N739" s="16" t="s">
        <v>5135</v>
      </c>
      <c r="O739" s="16"/>
      <c r="P739" s="16"/>
      <c r="Q739" s="17"/>
      <c r="R739" s="17"/>
      <c r="S739" s="17"/>
      <c r="T739" s="17"/>
      <c r="U739" s="17"/>
      <c r="V739" s="17"/>
      <c r="W739" s="17"/>
      <c r="X739" s="17"/>
      <c r="Y739" s="17"/>
    </row>
    <row r="740" ht="18.75" customHeight="1">
      <c r="A740" s="9">
        <v>739.0</v>
      </c>
      <c r="B740" s="11" t="s">
        <v>3290</v>
      </c>
      <c r="C740" s="11" t="s">
        <v>3291</v>
      </c>
      <c r="D740" s="11" t="s">
        <v>110</v>
      </c>
      <c r="E740" s="11" t="s">
        <v>3292</v>
      </c>
      <c r="F740" s="11" t="s">
        <v>6447</v>
      </c>
      <c r="G740" s="12">
        <v>45775.0</v>
      </c>
      <c r="H740" s="13">
        <v>45776.0</v>
      </c>
      <c r="I740" s="11" t="s">
        <v>25</v>
      </c>
      <c r="J740" s="11" t="s">
        <v>37</v>
      </c>
      <c r="K740" s="14" t="s">
        <v>31</v>
      </c>
      <c r="L740" s="11" t="s">
        <v>62</v>
      </c>
      <c r="M740" s="15"/>
      <c r="N740" s="16" t="s">
        <v>5135</v>
      </c>
      <c r="O740" s="16"/>
      <c r="P740" s="16"/>
      <c r="Q740" s="17"/>
      <c r="R740" s="17"/>
      <c r="S740" s="17"/>
      <c r="T740" s="17"/>
      <c r="U740" s="17"/>
      <c r="V740" s="17"/>
      <c r="W740" s="17"/>
      <c r="X740" s="17"/>
      <c r="Y740" s="17"/>
    </row>
    <row r="741" ht="18.75" customHeight="1">
      <c r="A741" s="9">
        <v>740.0</v>
      </c>
      <c r="B741" s="11" t="s">
        <v>3294</v>
      </c>
      <c r="C741" s="11" t="s">
        <v>3295</v>
      </c>
      <c r="D741" s="11" t="s">
        <v>128</v>
      </c>
      <c r="E741" s="11" t="s">
        <v>2843</v>
      </c>
      <c r="F741" s="11" t="s">
        <v>6448</v>
      </c>
      <c r="G741" s="12">
        <v>45777.0</v>
      </c>
      <c r="H741" s="13">
        <v>45778.0</v>
      </c>
      <c r="I741" s="11" t="s">
        <v>25</v>
      </c>
      <c r="J741" s="11" t="s">
        <v>37</v>
      </c>
      <c r="K741" s="14" t="s">
        <v>31</v>
      </c>
      <c r="L741" s="11" t="s">
        <v>50</v>
      </c>
      <c r="M741" s="11" t="s">
        <v>6428</v>
      </c>
      <c r="N741" s="16" t="s">
        <v>5135</v>
      </c>
      <c r="O741" s="16"/>
      <c r="P741" s="16"/>
      <c r="Q741" s="17"/>
      <c r="R741" s="17"/>
      <c r="S741" s="17"/>
      <c r="T741" s="17"/>
      <c r="U741" s="17"/>
      <c r="V741" s="17"/>
      <c r="W741" s="17"/>
      <c r="X741" s="17"/>
      <c r="Y741" s="17"/>
    </row>
    <row r="742" ht="18.75" customHeight="1">
      <c r="A742" s="9">
        <v>741.0</v>
      </c>
      <c r="B742" s="10" t="s">
        <v>3297</v>
      </c>
      <c r="C742" s="10" t="s">
        <v>3298</v>
      </c>
      <c r="D742" s="10" t="s">
        <v>128</v>
      </c>
      <c r="E742" s="10" t="s">
        <v>2642</v>
      </c>
      <c r="F742" s="10" t="s">
        <v>6449</v>
      </c>
      <c r="G742" s="12">
        <v>45777.0</v>
      </c>
      <c r="H742" s="13">
        <v>45778.0</v>
      </c>
      <c r="I742" s="11" t="s">
        <v>21</v>
      </c>
      <c r="J742" s="11" t="s">
        <v>22</v>
      </c>
      <c r="K742" s="14"/>
      <c r="L742" s="11"/>
      <c r="M742" s="15"/>
      <c r="N742" s="16"/>
      <c r="O742" s="16"/>
      <c r="P742" s="16"/>
      <c r="Q742" s="17"/>
      <c r="R742" s="17"/>
      <c r="S742" s="17"/>
      <c r="T742" s="17"/>
      <c r="U742" s="17"/>
      <c r="V742" s="17"/>
      <c r="W742" s="17"/>
      <c r="X742" s="17"/>
      <c r="Y742" s="17"/>
    </row>
    <row r="743" ht="18.75" customHeight="1">
      <c r="A743" s="9">
        <v>742.0</v>
      </c>
      <c r="B743" s="11" t="s">
        <v>3300</v>
      </c>
      <c r="C743" s="11" t="s">
        <v>3301</v>
      </c>
      <c r="D743" s="11" t="s">
        <v>122</v>
      </c>
      <c r="E743" s="11" t="s">
        <v>3292</v>
      </c>
      <c r="F743" s="11" t="s">
        <v>6450</v>
      </c>
      <c r="G743" s="12">
        <v>45768.0</v>
      </c>
      <c r="H743" s="13">
        <v>45769.0</v>
      </c>
      <c r="I743" s="11" t="s">
        <v>25</v>
      </c>
      <c r="J743" s="11" t="s">
        <v>37</v>
      </c>
      <c r="K743" s="14" t="s">
        <v>31</v>
      </c>
      <c r="L743" s="11" t="s">
        <v>62</v>
      </c>
      <c r="M743" s="11" t="s">
        <v>6451</v>
      </c>
      <c r="N743" s="16" t="s">
        <v>5135</v>
      </c>
      <c r="O743" s="16"/>
      <c r="P743" s="16"/>
      <c r="Q743" s="17"/>
      <c r="R743" s="17"/>
      <c r="S743" s="17"/>
      <c r="T743" s="17"/>
      <c r="U743" s="17"/>
      <c r="V743" s="17"/>
      <c r="W743" s="17"/>
      <c r="X743" s="17"/>
      <c r="Y743" s="17"/>
    </row>
    <row r="744" ht="18.75" customHeight="1">
      <c r="A744" s="9">
        <v>743.0</v>
      </c>
      <c r="B744" s="11" t="s">
        <v>3303</v>
      </c>
      <c r="C744" s="11" t="s">
        <v>3304</v>
      </c>
      <c r="D744" s="11" t="s">
        <v>110</v>
      </c>
      <c r="E744" s="11" t="s">
        <v>2236</v>
      </c>
      <c r="F744" s="11" t="s">
        <v>6452</v>
      </c>
      <c r="G744" s="12">
        <v>45752.0</v>
      </c>
      <c r="H744" s="13">
        <v>45753.0</v>
      </c>
      <c r="I744" s="11" t="s">
        <v>251</v>
      </c>
      <c r="J744" s="11" t="s">
        <v>213</v>
      </c>
      <c r="K744" s="14" t="s">
        <v>31</v>
      </c>
      <c r="L744" s="11"/>
      <c r="M744" s="15"/>
      <c r="N744" s="16" t="s">
        <v>5135</v>
      </c>
      <c r="O744" s="16"/>
      <c r="P744" s="16"/>
      <c r="Q744" s="17"/>
      <c r="R744" s="17"/>
      <c r="S744" s="17"/>
      <c r="T744" s="17"/>
      <c r="U744" s="17"/>
      <c r="V744" s="17"/>
      <c r="W744" s="17"/>
      <c r="X744" s="17"/>
      <c r="Y744" s="17"/>
    </row>
    <row r="745" ht="18.75" customHeight="1">
      <c r="A745" s="9">
        <v>744.0</v>
      </c>
      <c r="B745" s="10" t="s">
        <v>3305</v>
      </c>
      <c r="C745" s="10" t="s">
        <v>3306</v>
      </c>
      <c r="D745" s="10" t="s">
        <v>116</v>
      </c>
      <c r="E745" s="10" t="s">
        <v>2047</v>
      </c>
      <c r="F745" s="10" t="s">
        <v>6453</v>
      </c>
      <c r="G745" s="12">
        <v>45777.0</v>
      </c>
      <c r="H745" s="13">
        <v>45778.0</v>
      </c>
      <c r="I745" s="11" t="s">
        <v>21</v>
      </c>
      <c r="J745" s="11" t="s">
        <v>22</v>
      </c>
      <c r="K745" s="14"/>
      <c r="L745" s="11"/>
      <c r="M745" s="15"/>
      <c r="N745" s="16"/>
      <c r="O745" s="16"/>
      <c r="P745" s="16"/>
      <c r="Q745" s="17"/>
      <c r="R745" s="17"/>
      <c r="S745" s="17"/>
      <c r="T745" s="17"/>
      <c r="U745" s="17"/>
      <c r="V745" s="17"/>
      <c r="W745" s="17"/>
      <c r="X745" s="17"/>
      <c r="Y745" s="17"/>
    </row>
    <row r="746" ht="18.75" customHeight="1">
      <c r="A746" s="9">
        <v>745.0</v>
      </c>
      <c r="B746" s="11" t="s">
        <v>3308</v>
      </c>
      <c r="C746" s="11" t="s">
        <v>3309</v>
      </c>
      <c r="D746" s="11" t="s">
        <v>128</v>
      </c>
      <c r="E746" s="11" t="s">
        <v>2667</v>
      </c>
      <c r="F746" s="11" t="s">
        <v>6454</v>
      </c>
      <c r="G746" s="12">
        <v>45764.0</v>
      </c>
      <c r="H746" s="13">
        <v>45765.0</v>
      </c>
      <c r="I746" s="11" t="s">
        <v>25</v>
      </c>
      <c r="J746" s="11" t="s">
        <v>37</v>
      </c>
      <c r="K746" s="14" t="s">
        <v>31</v>
      </c>
      <c r="L746" s="11"/>
      <c r="M746" s="11" t="s">
        <v>6455</v>
      </c>
      <c r="N746" s="16" t="s">
        <v>5135</v>
      </c>
      <c r="O746" s="16"/>
      <c r="P746" s="16"/>
      <c r="Q746" s="17"/>
      <c r="R746" s="17"/>
      <c r="S746" s="17"/>
      <c r="T746" s="17"/>
      <c r="U746" s="17"/>
      <c r="V746" s="17"/>
      <c r="W746" s="17"/>
      <c r="X746" s="17"/>
      <c r="Y746" s="17"/>
    </row>
    <row r="747" ht="18.75" customHeight="1">
      <c r="A747" s="9">
        <v>746.0</v>
      </c>
      <c r="B747" s="11" t="s">
        <v>3311</v>
      </c>
      <c r="C747" s="11" t="s">
        <v>3312</v>
      </c>
      <c r="D747" s="11" t="s">
        <v>444</v>
      </c>
      <c r="E747" s="11" t="s">
        <v>3313</v>
      </c>
      <c r="F747" s="11" t="s">
        <v>6456</v>
      </c>
      <c r="G747" s="12">
        <v>45777.0</v>
      </c>
      <c r="H747" s="13">
        <v>45778.0</v>
      </c>
      <c r="I747" s="11" t="s">
        <v>25</v>
      </c>
      <c r="J747" s="11" t="s">
        <v>37</v>
      </c>
      <c r="K747" s="14" t="s">
        <v>31</v>
      </c>
      <c r="L747" s="11"/>
      <c r="M747" s="15"/>
      <c r="N747" s="16" t="s">
        <v>5135</v>
      </c>
      <c r="O747" s="16"/>
      <c r="P747" s="16"/>
      <c r="Q747" s="17"/>
      <c r="R747" s="17"/>
      <c r="S747" s="17"/>
      <c r="T747" s="17"/>
      <c r="U747" s="17"/>
      <c r="V747" s="17"/>
      <c r="W747" s="17"/>
      <c r="X747" s="17"/>
      <c r="Y747" s="17"/>
    </row>
    <row r="748" ht="18.75" customHeight="1">
      <c r="A748" s="9">
        <v>747.0</v>
      </c>
      <c r="B748" s="11" t="s">
        <v>3315</v>
      </c>
      <c r="C748" s="11" t="s">
        <v>3316</v>
      </c>
      <c r="D748" s="11" t="s">
        <v>1296</v>
      </c>
      <c r="E748" s="11" t="s">
        <v>3317</v>
      </c>
      <c r="F748" s="11" t="s">
        <v>6457</v>
      </c>
      <c r="G748" s="12">
        <v>45777.0</v>
      </c>
      <c r="H748" s="13">
        <v>45778.0</v>
      </c>
      <c r="I748" s="11" t="s">
        <v>119</v>
      </c>
      <c r="J748" s="11" t="s">
        <v>5420</v>
      </c>
      <c r="K748" s="14" t="s">
        <v>31</v>
      </c>
      <c r="L748" s="11" t="s">
        <v>50</v>
      </c>
      <c r="M748" s="15"/>
      <c r="N748" s="16" t="s">
        <v>5135</v>
      </c>
      <c r="O748" s="16"/>
      <c r="P748" s="16"/>
      <c r="Q748" s="17"/>
      <c r="R748" s="17"/>
      <c r="S748" s="17"/>
      <c r="T748" s="17"/>
      <c r="U748" s="17"/>
      <c r="V748" s="17"/>
      <c r="W748" s="17"/>
      <c r="X748" s="17"/>
      <c r="Y748" s="17"/>
    </row>
    <row r="749" ht="18.75" customHeight="1">
      <c r="A749" s="9">
        <v>748.0</v>
      </c>
      <c r="B749" s="11" t="s">
        <v>3319</v>
      </c>
      <c r="C749" s="11" t="s">
        <v>3320</v>
      </c>
      <c r="D749" s="11" t="s">
        <v>3321</v>
      </c>
      <c r="E749" s="11" t="s">
        <v>3322</v>
      </c>
      <c r="F749" s="11" t="s">
        <v>4796</v>
      </c>
      <c r="G749" s="13">
        <v>45808.0</v>
      </c>
      <c r="H749" s="13">
        <v>45809.0</v>
      </c>
      <c r="I749" s="11" t="s">
        <v>25</v>
      </c>
      <c r="J749" s="11" t="s">
        <v>5420</v>
      </c>
      <c r="K749" s="14" t="s">
        <v>31</v>
      </c>
      <c r="L749" s="11" t="s">
        <v>62</v>
      </c>
      <c r="M749" s="15"/>
      <c r="N749" s="16" t="s">
        <v>5135</v>
      </c>
      <c r="O749" s="16"/>
      <c r="P749" s="16"/>
      <c r="Q749" s="17"/>
      <c r="R749" s="17"/>
      <c r="S749" s="17"/>
      <c r="T749" s="17"/>
      <c r="U749" s="17"/>
      <c r="V749" s="17"/>
      <c r="W749" s="17"/>
      <c r="X749" s="17"/>
      <c r="Y749" s="17"/>
    </row>
    <row r="750" ht="18.75" customHeight="1">
      <c r="A750" s="9">
        <v>749.0</v>
      </c>
      <c r="B750" s="11" t="s">
        <v>3124</v>
      </c>
      <c r="C750" s="11" t="s">
        <v>3125</v>
      </c>
      <c r="D750" s="11" t="s">
        <v>153</v>
      </c>
      <c r="E750" s="11" t="s">
        <v>3324</v>
      </c>
      <c r="F750" s="11" t="s">
        <v>6371</v>
      </c>
      <c r="G750" s="13">
        <v>45793.0</v>
      </c>
      <c r="H750" s="13">
        <v>45794.0</v>
      </c>
      <c r="I750" s="11" t="s">
        <v>25</v>
      </c>
      <c r="J750" s="11" t="s">
        <v>22</v>
      </c>
      <c r="K750" s="14" t="s">
        <v>31</v>
      </c>
      <c r="L750" s="11" t="s">
        <v>50</v>
      </c>
      <c r="M750" s="15"/>
      <c r="N750" s="16" t="s">
        <v>5135</v>
      </c>
      <c r="O750" s="16"/>
      <c r="P750" s="16"/>
      <c r="Q750" s="17"/>
      <c r="R750" s="17"/>
      <c r="S750" s="17"/>
      <c r="T750" s="17"/>
      <c r="U750" s="17"/>
      <c r="V750" s="17"/>
      <c r="W750" s="17"/>
      <c r="X750" s="17"/>
      <c r="Y750" s="17"/>
    </row>
    <row r="751" ht="18.75" customHeight="1">
      <c r="A751" s="9">
        <v>750.0</v>
      </c>
      <c r="B751" s="11" t="s">
        <v>3326</v>
      </c>
      <c r="C751" s="11" t="s">
        <v>3327</v>
      </c>
      <c r="D751" s="11" t="s">
        <v>42</v>
      </c>
      <c r="E751" s="11" t="s">
        <v>3328</v>
      </c>
      <c r="F751" s="11" t="s">
        <v>6458</v>
      </c>
      <c r="G751" s="12">
        <v>45801.0</v>
      </c>
      <c r="H751" s="13">
        <v>45802.0</v>
      </c>
      <c r="I751" s="11" t="s">
        <v>25</v>
      </c>
      <c r="J751" s="11" t="s">
        <v>37</v>
      </c>
      <c r="K751" s="14" t="s">
        <v>31</v>
      </c>
      <c r="L751" s="11" t="s">
        <v>74</v>
      </c>
      <c r="M751" s="11" t="s">
        <v>1045</v>
      </c>
      <c r="N751" s="16" t="s">
        <v>5135</v>
      </c>
      <c r="O751" s="16"/>
      <c r="P751" s="16"/>
      <c r="Q751" s="17"/>
      <c r="R751" s="17"/>
      <c r="S751" s="17"/>
      <c r="T751" s="17"/>
      <c r="U751" s="17"/>
      <c r="V751" s="17"/>
      <c r="W751" s="17"/>
      <c r="X751" s="17"/>
      <c r="Y751" s="17"/>
    </row>
    <row r="752" ht="18.75" customHeight="1">
      <c r="A752" s="9">
        <v>751.0</v>
      </c>
      <c r="B752" s="11" t="s">
        <v>3330</v>
      </c>
      <c r="C752" s="11" t="s">
        <v>3331</v>
      </c>
      <c r="D752" s="11" t="s">
        <v>476</v>
      </c>
      <c r="E752" s="11" t="s">
        <v>3328</v>
      </c>
      <c r="F752" s="11" t="s">
        <v>6459</v>
      </c>
      <c r="G752" s="12">
        <v>45802.0</v>
      </c>
      <c r="H752" s="13">
        <v>45803.0</v>
      </c>
      <c r="I752" s="11" t="s">
        <v>25</v>
      </c>
      <c r="J752" s="11" t="s">
        <v>37</v>
      </c>
      <c r="K752" s="14" t="s">
        <v>31</v>
      </c>
      <c r="L752" s="11" t="s">
        <v>74</v>
      </c>
      <c r="M752" s="11" t="s">
        <v>1045</v>
      </c>
      <c r="N752" s="16" t="s">
        <v>5135</v>
      </c>
      <c r="O752" s="16"/>
      <c r="P752" s="16"/>
      <c r="Q752" s="17"/>
      <c r="R752" s="17"/>
      <c r="S752" s="17"/>
      <c r="T752" s="17"/>
      <c r="U752" s="17"/>
      <c r="V752" s="17"/>
      <c r="W752" s="17"/>
      <c r="X752" s="17"/>
      <c r="Y752" s="17"/>
    </row>
    <row r="753" ht="18.75" customHeight="1">
      <c r="A753" s="9">
        <v>752.0</v>
      </c>
      <c r="B753" s="11" t="s">
        <v>3333</v>
      </c>
      <c r="C753" s="11" t="s">
        <v>3334</v>
      </c>
      <c r="D753" s="11" t="s">
        <v>59</v>
      </c>
      <c r="E753" s="11" t="s">
        <v>3328</v>
      </c>
      <c r="F753" s="11" t="s">
        <v>6460</v>
      </c>
      <c r="G753" s="12">
        <v>45801.0</v>
      </c>
      <c r="H753" s="13">
        <v>45802.0</v>
      </c>
      <c r="I753" s="11" t="s">
        <v>25</v>
      </c>
      <c r="J753" s="11" t="s">
        <v>37</v>
      </c>
      <c r="K753" s="14" t="s">
        <v>31</v>
      </c>
      <c r="L753" s="11" t="s">
        <v>74</v>
      </c>
      <c r="M753" s="11" t="s">
        <v>1045</v>
      </c>
      <c r="N753" s="16" t="s">
        <v>5135</v>
      </c>
      <c r="O753" s="16"/>
      <c r="P753" s="16"/>
      <c r="Q753" s="17"/>
      <c r="R753" s="17"/>
      <c r="S753" s="17"/>
      <c r="T753" s="17"/>
      <c r="U753" s="17"/>
      <c r="V753" s="17"/>
      <c r="W753" s="17"/>
      <c r="X753" s="17"/>
      <c r="Y753" s="17"/>
    </row>
    <row r="754" ht="18.75" customHeight="1">
      <c r="A754" s="9">
        <v>753.0</v>
      </c>
      <c r="B754" s="11" t="s">
        <v>3336</v>
      </c>
      <c r="C754" s="11" t="s">
        <v>3337</v>
      </c>
      <c r="D754" s="11" t="s">
        <v>59</v>
      </c>
      <c r="E754" s="11" t="s">
        <v>3328</v>
      </c>
      <c r="F754" s="11" t="s">
        <v>6461</v>
      </c>
      <c r="G754" s="12">
        <v>45802.0</v>
      </c>
      <c r="H754" s="13">
        <v>45803.0</v>
      </c>
      <c r="I754" s="11" t="s">
        <v>25</v>
      </c>
      <c r="J754" s="11" t="s">
        <v>37</v>
      </c>
      <c r="K754" s="14" t="s">
        <v>31</v>
      </c>
      <c r="L754" s="11" t="s">
        <v>74</v>
      </c>
      <c r="M754" s="11" t="s">
        <v>1045</v>
      </c>
      <c r="N754" s="16" t="s">
        <v>5135</v>
      </c>
      <c r="O754" s="16"/>
      <c r="P754" s="16"/>
      <c r="Q754" s="17"/>
      <c r="R754" s="17"/>
      <c r="S754" s="17"/>
      <c r="T754" s="17"/>
      <c r="U754" s="17"/>
      <c r="V754" s="17"/>
      <c r="W754" s="17"/>
      <c r="X754" s="17"/>
      <c r="Y754" s="17"/>
    </row>
    <row r="755" ht="18.75" customHeight="1">
      <c r="A755" s="9">
        <v>754.0</v>
      </c>
      <c r="B755" s="11" t="s">
        <v>3339</v>
      </c>
      <c r="C755" s="11" t="s">
        <v>3340</v>
      </c>
      <c r="D755" s="11" t="s">
        <v>110</v>
      </c>
      <c r="E755" s="11" t="s">
        <v>3328</v>
      </c>
      <c r="F755" s="11" t="s">
        <v>6462</v>
      </c>
      <c r="G755" s="12">
        <v>45801.0</v>
      </c>
      <c r="H755" s="13">
        <v>45802.0</v>
      </c>
      <c r="I755" s="11" t="s">
        <v>25</v>
      </c>
      <c r="J755" s="11" t="s">
        <v>37</v>
      </c>
      <c r="K755" s="14" t="s">
        <v>31</v>
      </c>
      <c r="L755" s="11" t="s">
        <v>74</v>
      </c>
      <c r="M755" s="11" t="s">
        <v>1045</v>
      </c>
      <c r="N755" s="16" t="s">
        <v>5135</v>
      </c>
      <c r="O755" s="16"/>
      <c r="P755" s="16"/>
      <c r="Q755" s="17"/>
      <c r="R755" s="17"/>
      <c r="S755" s="17"/>
      <c r="T755" s="17"/>
      <c r="U755" s="17"/>
      <c r="V755" s="17"/>
      <c r="W755" s="17"/>
      <c r="X755" s="17"/>
      <c r="Y755" s="17"/>
    </row>
    <row r="756" ht="18.75" customHeight="1">
      <c r="A756" s="9">
        <v>755.0</v>
      </c>
      <c r="B756" s="11" t="s">
        <v>3342</v>
      </c>
      <c r="C756" s="11" t="s">
        <v>3343</v>
      </c>
      <c r="D756" s="11" t="s">
        <v>71</v>
      </c>
      <c r="E756" s="11" t="s">
        <v>3328</v>
      </c>
      <c r="F756" s="11" t="s">
        <v>6463</v>
      </c>
      <c r="G756" s="12">
        <v>45800.0</v>
      </c>
      <c r="H756" s="13">
        <v>45801.0</v>
      </c>
      <c r="I756" s="11" t="s">
        <v>25</v>
      </c>
      <c r="J756" s="11" t="s">
        <v>37</v>
      </c>
      <c r="K756" s="14" t="s">
        <v>31</v>
      </c>
      <c r="L756" s="11" t="s">
        <v>74</v>
      </c>
      <c r="M756" s="11" t="s">
        <v>1045</v>
      </c>
      <c r="N756" s="16" t="s">
        <v>5135</v>
      </c>
      <c r="O756" s="16"/>
      <c r="P756" s="16"/>
      <c r="Q756" s="17"/>
      <c r="R756" s="17"/>
      <c r="S756" s="17"/>
      <c r="T756" s="17"/>
      <c r="U756" s="17"/>
      <c r="V756" s="17"/>
      <c r="W756" s="17"/>
      <c r="X756" s="17"/>
      <c r="Y756" s="17"/>
    </row>
    <row r="757" ht="18.75" customHeight="1">
      <c r="A757" s="9">
        <v>756.0</v>
      </c>
      <c r="B757" s="11" t="s">
        <v>3345</v>
      </c>
      <c r="C757" s="11" t="s">
        <v>3346</v>
      </c>
      <c r="D757" s="11" t="s">
        <v>71</v>
      </c>
      <c r="E757" s="11" t="s">
        <v>3328</v>
      </c>
      <c r="F757" s="11" t="s">
        <v>6464</v>
      </c>
      <c r="G757" s="12">
        <v>45789.0</v>
      </c>
      <c r="H757" s="13">
        <v>45790.0</v>
      </c>
      <c r="I757" s="11" t="s">
        <v>25</v>
      </c>
      <c r="J757" s="11" t="s">
        <v>37</v>
      </c>
      <c r="K757" s="14" t="s">
        <v>31</v>
      </c>
      <c r="L757" s="11" t="s">
        <v>74</v>
      </c>
      <c r="M757" s="11" t="s">
        <v>1045</v>
      </c>
      <c r="N757" s="16" t="s">
        <v>5135</v>
      </c>
      <c r="O757" s="16"/>
      <c r="P757" s="16"/>
      <c r="Q757" s="17"/>
      <c r="R757" s="17"/>
      <c r="S757" s="17"/>
      <c r="T757" s="17"/>
      <c r="U757" s="17"/>
      <c r="V757" s="17"/>
      <c r="W757" s="17"/>
      <c r="X757" s="17"/>
      <c r="Y757" s="17"/>
    </row>
    <row r="758" ht="18.75" customHeight="1">
      <c r="A758" s="9">
        <v>757.0</v>
      </c>
      <c r="B758" s="11" t="s">
        <v>3348</v>
      </c>
      <c r="C758" s="11" t="s">
        <v>3349</v>
      </c>
      <c r="D758" s="11" t="s">
        <v>71</v>
      </c>
      <c r="E758" s="11" t="s">
        <v>3328</v>
      </c>
      <c r="F758" s="11" t="s">
        <v>6465</v>
      </c>
      <c r="G758" s="12">
        <v>45802.0</v>
      </c>
      <c r="H758" s="13">
        <v>45803.0</v>
      </c>
      <c r="I758" s="11" t="s">
        <v>25</v>
      </c>
      <c r="J758" s="11" t="s">
        <v>37</v>
      </c>
      <c r="K758" s="14" t="s">
        <v>31</v>
      </c>
      <c r="L758" s="11" t="s">
        <v>74</v>
      </c>
      <c r="M758" s="11" t="s">
        <v>1045</v>
      </c>
      <c r="N758" s="16" t="s">
        <v>5135</v>
      </c>
      <c r="O758" s="16"/>
      <c r="P758" s="16"/>
      <c r="Q758" s="17"/>
      <c r="R758" s="17"/>
      <c r="S758" s="17"/>
      <c r="T758" s="17"/>
      <c r="U758" s="17"/>
      <c r="V758" s="17"/>
      <c r="W758" s="17"/>
      <c r="X758" s="17"/>
      <c r="Y758" s="17"/>
    </row>
    <row r="759" ht="18.75" customHeight="1">
      <c r="A759" s="9">
        <v>758.0</v>
      </c>
      <c r="B759" s="11" t="s">
        <v>3351</v>
      </c>
      <c r="C759" s="11" t="s">
        <v>3352</v>
      </c>
      <c r="D759" s="11" t="s">
        <v>414</v>
      </c>
      <c r="E759" s="11" t="s">
        <v>3328</v>
      </c>
      <c r="F759" s="11" t="s">
        <v>6466</v>
      </c>
      <c r="G759" s="12">
        <v>45802.0</v>
      </c>
      <c r="H759" s="13">
        <v>45803.0</v>
      </c>
      <c r="I759" s="11" t="s">
        <v>25</v>
      </c>
      <c r="J759" s="11" t="s">
        <v>37</v>
      </c>
      <c r="K759" s="14" t="s">
        <v>31</v>
      </c>
      <c r="L759" s="11" t="s">
        <v>74</v>
      </c>
      <c r="M759" s="11" t="s">
        <v>1045</v>
      </c>
      <c r="N759" s="16" t="s">
        <v>5135</v>
      </c>
      <c r="O759" s="16"/>
      <c r="P759" s="16"/>
      <c r="Q759" s="17"/>
      <c r="R759" s="17"/>
      <c r="S759" s="17"/>
      <c r="T759" s="17"/>
      <c r="U759" s="17"/>
      <c r="V759" s="17"/>
      <c r="W759" s="17"/>
      <c r="X759" s="17"/>
      <c r="Y759" s="17"/>
    </row>
    <row r="760" ht="18.75" customHeight="1">
      <c r="A760" s="9">
        <v>759.0</v>
      </c>
      <c r="B760" s="11" t="s">
        <v>3354</v>
      </c>
      <c r="C760" s="11" t="s">
        <v>3355</v>
      </c>
      <c r="D760" s="11" t="s">
        <v>71</v>
      </c>
      <c r="E760" s="11" t="s">
        <v>3328</v>
      </c>
      <c r="F760" s="11" t="s">
        <v>6467</v>
      </c>
      <c r="G760" s="12">
        <v>45802.0</v>
      </c>
      <c r="H760" s="13">
        <v>45803.0</v>
      </c>
      <c r="I760" s="11" t="s">
        <v>25</v>
      </c>
      <c r="J760" s="11" t="s">
        <v>37</v>
      </c>
      <c r="K760" s="14" t="s">
        <v>31</v>
      </c>
      <c r="L760" s="11" t="s">
        <v>74</v>
      </c>
      <c r="M760" s="11" t="s">
        <v>1045</v>
      </c>
      <c r="N760" s="16" t="s">
        <v>5135</v>
      </c>
      <c r="O760" s="16"/>
      <c r="P760" s="16"/>
      <c r="Q760" s="17"/>
      <c r="R760" s="17"/>
      <c r="S760" s="17"/>
      <c r="T760" s="17"/>
      <c r="U760" s="17"/>
      <c r="V760" s="17"/>
      <c r="W760" s="17"/>
      <c r="X760" s="17"/>
      <c r="Y760" s="17"/>
    </row>
    <row r="761" ht="18.75" customHeight="1">
      <c r="A761" s="9">
        <v>760.0</v>
      </c>
      <c r="B761" s="11" t="s">
        <v>3357</v>
      </c>
      <c r="C761" s="11" t="s">
        <v>3358</v>
      </c>
      <c r="D761" s="11" t="s">
        <v>71</v>
      </c>
      <c r="E761" s="11" t="s">
        <v>3328</v>
      </c>
      <c r="F761" s="11" t="s">
        <v>6468</v>
      </c>
      <c r="G761" s="12">
        <v>45802.0</v>
      </c>
      <c r="H761" s="13">
        <v>45803.0</v>
      </c>
      <c r="I761" s="11" t="s">
        <v>25</v>
      </c>
      <c r="J761" s="11" t="s">
        <v>37</v>
      </c>
      <c r="K761" s="14" t="s">
        <v>31</v>
      </c>
      <c r="L761" s="11" t="s">
        <v>74</v>
      </c>
      <c r="M761" s="11" t="s">
        <v>1045</v>
      </c>
      <c r="N761" s="16" t="s">
        <v>5135</v>
      </c>
      <c r="O761" s="16"/>
      <c r="P761" s="16"/>
      <c r="Q761" s="17"/>
      <c r="R761" s="17"/>
      <c r="S761" s="17"/>
      <c r="T761" s="17"/>
      <c r="U761" s="17"/>
      <c r="V761" s="17"/>
      <c r="W761" s="17"/>
      <c r="X761" s="17"/>
      <c r="Y761" s="17"/>
    </row>
    <row r="762" ht="18.75" customHeight="1">
      <c r="A762" s="9">
        <v>761.0</v>
      </c>
      <c r="B762" s="11" t="s">
        <v>3360</v>
      </c>
      <c r="C762" s="11" t="s">
        <v>3361</v>
      </c>
      <c r="D762" s="11" t="s">
        <v>122</v>
      </c>
      <c r="E762" s="11" t="s">
        <v>3362</v>
      </c>
      <c r="F762" s="11" t="s">
        <v>6469</v>
      </c>
      <c r="G762" s="12">
        <v>45794.0</v>
      </c>
      <c r="H762" s="13">
        <v>45795.0</v>
      </c>
      <c r="I762" s="11" t="s">
        <v>25</v>
      </c>
      <c r="J762" s="11" t="s">
        <v>37</v>
      </c>
      <c r="K762" s="14" t="s">
        <v>31</v>
      </c>
      <c r="L762" s="11"/>
      <c r="M762" s="11" t="s">
        <v>6470</v>
      </c>
      <c r="N762" s="16" t="s">
        <v>5135</v>
      </c>
      <c r="O762" s="16"/>
      <c r="P762" s="16"/>
      <c r="Q762" s="17"/>
      <c r="R762" s="17"/>
      <c r="S762" s="17"/>
      <c r="T762" s="17"/>
      <c r="U762" s="17"/>
      <c r="V762" s="17"/>
      <c r="W762" s="17"/>
      <c r="X762" s="17"/>
      <c r="Y762" s="17"/>
    </row>
    <row r="763" ht="18.75" customHeight="1">
      <c r="A763" s="9">
        <v>762.0</v>
      </c>
      <c r="B763" s="10" t="s">
        <v>3364</v>
      </c>
      <c r="C763" s="10" t="s">
        <v>3365</v>
      </c>
      <c r="D763" s="10" t="s">
        <v>59</v>
      </c>
      <c r="E763" s="10" t="s">
        <v>3366</v>
      </c>
      <c r="F763" s="10" t="s">
        <v>6471</v>
      </c>
      <c r="G763" s="12">
        <v>45790.0</v>
      </c>
      <c r="H763" s="13">
        <v>45791.0</v>
      </c>
      <c r="I763" s="11" t="s">
        <v>21</v>
      </c>
      <c r="J763" s="11" t="s">
        <v>22</v>
      </c>
      <c r="K763" s="14"/>
      <c r="L763" s="11"/>
      <c r="M763" s="11" t="s">
        <v>6472</v>
      </c>
      <c r="N763" s="16"/>
      <c r="O763" s="16"/>
      <c r="P763" s="16"/>
      <c r="Q763" s="17"/>
      <c r="R763" s="17"/>
      <c r="S763" s="17"/>
      <c r="T763" s="17"/>
      <c r="U763" s="17"/>
      <c r="V763" s="17"/>
      <c r="W763" s="17"/>
      <c r="X763" s="17"/>
      <c r="Y763" s="17"/>
    </row>
    <row r="764" ht="18.75" customHeight="1">
      <c r="A764" s="9">
        <v>763.0</v>
      </c>
      <c r="B764" s="11" t="s">
        <v>3368</v>
      </c>
      <c r="C764" s="11" t="s">
        <v>3369</v>
      </c>
      <c r="D764" s="11" t="s">
        <v>59</v>
      </c>
      <c r="E764" s="11" t="s">
        <v>3366</v>
      </c>
      <c r="F764" s="11" t="s">
        <v>6473</v>
      </c>
      <c r="G764" s="12">
        <v>45792.0</v>
      </c>
      <c r="H764" s="13">
        <v>45793.0</v>
      </c>
      <c r="I764" s="11" t="s">
        <v>25</v>
      </c>
      <c r="J764" s="11" t="s">
        <v>37</v>
      </c>
      <c r="K764" s="14" t="s">
        <v>31</v>
      </c>
      <c r="L764" s="11"/>
      <c r="M764" s="11" t="s">
        <v>6474</v>
      </c>
      <c r="N764" s="16" t="s">
        <v>5135</v>
      </c>
      <c r="O764" s="16"/>
      <c r="P764" s="16"/>
      <c r="Q764" s="17"/>
      <c r="R764" s="17"/>
      <c r="S764" s="17"/>
      <c r="T764" s="17"/>
      <c r="U764" s="17"/>
      <c r="V764" s="17"/>
      <c r="W764" s="17"/>
      <c r="X764" s="17"/>
      <c r="Y764" s="17"/>
    </row>
    <row r="765" ht="18.75" customHeight="1">
      <c r="A765" s="9">
        <v>764.0</v>
      </c>
      <c r="B765" s="11" t="s">
        <v>3371</v>
      </c>
      <c r="C765" s="11" t="s">
        <v>3372</v>
      </c>
      <c r="D765" s="11" t="s">
        <v>372</v>
      </c>
      <c r="E765" s="11" t="s">
        <v>3373</v>
      </c>
      <c r="F765" s="11" t="s">
        <v>6475</v>
      </c>
      <c r="G765" s="12">
        <v>45786.0</v>
      </c>
      <c r="H765" s="13">
        <v>45787.0</v>
      </c>
      <c r="I765" s="11" t="s">
        <v>25</v>
      </c>
      <c r="J765" s="11" t="s">
        <v>37</v>
      </c>
      <c r="K765" s="14" t="s">
        <v>31</v>
      </c>
      <c r="L765" s="11"/>
      <c r="M765" s="11" t="s">
        <v>6476</v>
      </c>
      <c r="N765" s="16" t="s">
        <v>5135</v>
      </c>
      <c r="O765" s="16"/>
      <c r="P765" s="16"/>
      <c r="Q765" s="17"/>
      <c r="R765" s="17"/>
      <c r="S765" s="17"/>
      <c r="T765" s="17"/>
      <c r="U765" s="17"/>
      <c r="V765" s="17"/>
      <c r="W765" s="17"/>
      <c r="X765" s="17"/>
      <c r="Y765" s="17"/>
    </row>
    <row r="766" ht="18.75" customHeight="1">
      <c r="A766" s="9">
        <v>765.0</v>
      </c>
      <c r="B766" s="11" t="s">
        <v>3375</v>
      </c>
      <c r="C766" s="11" t="s">
        <v>3376</v>
      </c>
      <c r="D766" s="11" t="s">
        <v>59</v>
      </c>
      <c r="E766" s="11" t="s">
        <v>2370</v>
      </c>
      <c r="F766" s="11" t="s">
        <v>6477</v>
      </c>
      <c r="G766" s="12">
        <v>45777.0</v>
      </c>
      <c r="H766" s="13">
        <v>45778.0</v>
      </c>
      <c r="I766" s="11" t="s">
        <v>25</v>
      </c>
      <c r="J766" s="11" t="s">
        <v>22</v>
      </c>
      <c r="K766" s="14" t="s">
        <v>31</v>
      </c>
      <c r="L766" s="11"/>
      <c r="M766" s="11" t="s">
        <v>6414</v>
      </c>
      <c r="N766" s="16" t="s">
        <v>5135</v>
      </c>
      <c r="O766" s="16"/>
      <c r="P766" s="16"/>
      <c r="Q766" s="17"/>
      <c r="R766" s="17"/>
      <c r="S766" s="17"/>
      <c r="T766" s="17"/>
      <c r="U766" s="17"/>
      <c r="V766" s="17"/>
      <c r="W766" s="17"/>
      <c r="X766" s="17"/>
      <c r="Y766" s="17"/>
    </row>
    <row r="767" ht="18.75" customHeight="1">
      <c r="A767" s="9">
        <v>766.0</v>
      </c>
      <c r="B767" s="11" t="s">
        <v>3378</v>
      </c>
      <c r="C767" s="11" t="s">
        <v>3379</v>
      </c>
      <c r="D767" s="11" t="s">
        <v>28</v>
      </c>
      <c r="E767" s="11" t="s">
        <v>3380</v>
      </c>
      <c r="F767" s="11" t="s">
        <v>6478</v>
      </c>
      <c r="G767" s="12">
        <v>45777.0</v>
      </c>
      <c r="H767" s="13">
        <v>45778.0</v>
      </c>
      <c r="I767" s="11" t="s">
        <v>25</v>
      </c>
      <c r="J767" s="11" t="s">
        <v>37</v>
      </c>
      <c r="K767" s="14" t="s">
        <v>31</v>
      </c>
      <c r="L767" s="11"/>
      <c r="M767" s="11" t="s">
        <v>6479</v>
      </c>
      <c r="N767" s="16" t="s">
        <v>5135</v>
      </c>
      <c r="O767" s="16"/>
      <c r="P767" s="16"/>
      <c r="Q767" s="17"/>
      <c r="R767" s="17"/>
      <c r="S767" s="17"/>
      <c r="T767" s="17"/>
      <c r="U767" s="17"/>
      <c r="V767" s="17"/>
      <c r="W767" s="17"/>
      <c r="X767" s="17"/>
      <c r="Y767" s="17"/>
    </row>
    <row r="768" ht="18.75" customHeight="1">
      <c r="A768" s="9">
        <v>767.0</v>
      </c>
      <c r="B768" s="11" t="s">
        <v>3382</v>
      </c>
      <c r="C768" s="11" t="s">
        <v>3383</v>
      </c>
      <c r="D768" s="11" t="s">
        <v>122</v>
      </c>
      <c r="E768" s="11" t="s">
        <v>222</v>
      </c>
      <c r="F768" s="11" t="s">
        <v>6480</v>
      </c>
      <c r="G768" s="12">
        <v>45765.0</v>
      </c>
      <c r="H768" s="13">
        <v>45766.0</v>
      </c>
      <c r="I768" s="11" t="s">
        <v>251</v>
      </c>
      <c r="J768" s="11" t="s">
        <v>213</v>
      </c>
      <c r="K768" s="14" t="s">
        <v>31</v>
      </c>
      <c r="L768" s="11"/>
      <c r="M768" s="15"/>
      <c r="N768" s="16" t="s">
        <v>5135</v>
      </c>
      <c r="O768" s="16"/>
      <c r="P768" s="16"/>
      <c r="Q768" s="17"/>
      <c r="R768" s="17"/>
      <c r="S768" s="17"/>
      <c r="T768" s="17"/>
      <c r="U768" s="17"/>
      <c r="V768" s="17"/>
      <c r="W768" s="17"/>
      <c r="X768" s="17"/>
      <c r="Y768" s="17"/>
    </row>
    <row r="769" ht="18.75" customHeight="1">
      <c r="A769" s="9">
        <v>768.0</v>
      </c>
      <c r="B769" s="11" t="s">
        <v>3384</v>
      </c>
      <c r="C769" s="11" t="s">
        <v>3385</v>
      </c>
      <c r="D769" s="11" t="s">
        <v>71</v>
      </c>
      <c r="E769" s="11" t="s">
        <v>2908</v>
      </c>
      <c r="F769" s="11" t="s">
        <v>6481</v>
      </c>
      <c r="G769" s="12">
        <v>45802.0</v>
      </c>
      <c r="H769" s="13">
        <v>45803.0</v>
      </c>
      <c r="I769" s="11" t="s">
        <v>25</v>
      </c>
      <c r="J769" s="11" t="s">
        <v>37</v>
      </c>
      <c r="K769" s="14" t="s">
        <v>31</v>
      </c>
      <c r="L769" s="11"/>
      <c r="M769" s="11" t="s">
        <v>5154</v>
      </c>
      <c r="N769" s="16" t="s">
        <v>5135</v>
      </c>
      <c r="O769" s="16"/>
      <c r="P769" s="16"/>
      <c r="Q769" s="17"/>
      <c r="R769" s="17"/>
      <c r="S769" s="17"/>
      <c r="T769" s="17"/>
      <c r="U769" s="17"/>
      <c r="V769" s="17"/>
      <c r="W769" s="17"/>
      <c r="X769" s="17"/>
      <c r="Y769" s="17"/>
    </row>
    <row r="770" ht="18.75" customHeight="1">
      <c r="A770" s="9">
        <v>769.0</v>
      </c>
      <c r="B770" s="11" t="s">
        <v>3387</v>
      </c>
      <c r="C770" s="11" t="s">
        <v>3388</v>
      </c>
      <c r="D770" s="11" t="s">
        <v>3389</v>
      </c>
      <c r="E770" s="11" t="s">
        <v>3257</v>
      </c>
      <c r="F770" s="11" t="s">
        <v>6482</v>
      </c>
      <c r="G770" s="12">
        <v>45792.0</v>
      </c>
      <c r="H770" s="13">
        <v>45793.0</v>
      </c>
      <c r="I770" s="11" t="s">
        <v>25</v>
      </c>
      <c r="J770" s="11" t="s">
        <v>22</v>
      </c>
      <c r="K770" s="14" t="s">
        <v>31</v>
      </c>
      <c r="L770" s="11" t="s">
        <v>62</v>
      </c>
      <c r="M770" s="15"/>
      <c r="N770" s="16" t="s">
        <v>5135</v>
      </c>
      <c r="O770" s="16"/>
      <c r="P770" s="16"/>
      <c r="Q770" s="17"/>
      <c r="R770" s="17"/>
      <c r="S770" s="17"/>
      <c r="T770" s="17"/>
      <c r="U770" s="17"/>
      <c r="V770" s="17"/>
      <c r="W770" s="17"/>
      <c r="X770" s="17"/>
      <c r="Y770" s="17"/>
    </row>
    <row r="771" ht="18.75" customHeight="1">
      <c r="A771" s="9">
        <v>770.0</v>
      </c>
      <c r="B771" s="11" t="s">
        <v>3237</v>
      </c>
      <c r="C771" s="11" t="s">
        <v>3238</v>
      </c>
      <c r="D771" s="11" t="s">
        <v>110</v>
      </c>
      <c r="E771" s="11" t="s">
        <v>2395</v>
      </c>
      <c r="F771" s="11" t="s">
        <v>6425</v>
      </c>
      <c r="G771" s="12">
        <v>45808.0</v>
      </c>
      <c r="H771" s="13">
        <v>45809.0</v>
      </c>
      <c r="I771" s="11" t="s">
        <v>25</v>
      </c>
      <c r="J771" s="11" t="s">
        <v>37</v>
      </c>
      <c r="K771" s="14" t="s">
        <v>31</v>
      </c>
      <c r="L771" s="11" t="s">
        <v>97</v>
      </c>
      <c r="M771" s="11" t="s">
        <v>6414</v>
      </c>
      <c r="N771" s="16" t="s">
        <v>5135</v>
      </c>
      <c r="O771" s="16"/>
      <c r="P771" s="16"/>
      <c r="Q771" s="17"/>
      <c r="R771" s="17"/>
      <c r="S771" s="17"/>
      <c r="T771" s="17"/>
      <c r="U771" s="17"/>
      <c r="V771" s="17"/>
      <c r="W771" s="17"/>
      <c r="X771" s="17"/>
      <c r="Y771" s="17"/>
    </row>
    <row r="772" ht="18.75" customHeight="1">
      <c r="A772" s="9">
        <v>771.0</v>
      </c>
      <c r="B772" s="11" t="s">
        <v>3392</v>
      </c>
      <c r="C772" s="11" t="s">
        <v>3393</v>
      </c>
      <c r="D772" s="11" t="s">
        <v>94</v>
      </c>
      <c r="E772" s="11" t="s">
        <v>2425</v>
      </c>
      <c r="F772" s="11" t="s">
        <v>6483</v>
      </c>
      <c r="G772" s="12">
        <v>45838.0</v>
      </c>
      <c r="H772" s="13">
        <v>45839.0</v>
      </c>
      <c r="I772" s="11" t="s">
        <v>25</v>
      </c>
      <c r="J772" s="11" t="s">
        <v>37</v>
      </c>
      <c r="K772" s="14" t="s">
        <v>31</v>
      </c>
      <c r="L772" s="11" t="s">
        <v>62</v>
      </c>
      <c r="M772" s="11" t="s">
        <v>6484</v>
      </c>
      <c r="N772" s="16" t="s">
        <v>5135</v>
      </c>
      <c r="O772" s="16"/>
      <c r="P772" s="16"/>
      <c r="Q772" s="17"/>
      <c r="R772" s="17"/>
      <c r="S772" s="17"/>
      <c r="T772" s="17"/>
      <c r="U772" s="17"/>
      <c r="V772" s="17"/>
      <c r="W772" s="17"/>
      <c r="X772" s="17"/>
      <c r="Y772" s="17"/>
    </row>
    <row r="773" ht="18.75" customHeight="1">
      <c r="A773" s="9">
        <v>772.0</v>
      </c>
      <c r="B773" s="11" t="s">
        <v>3395</v>
      </c>
      <c r="C773" s="11" t="s">
        <v>3396</v>
      </c>
      <c r="D773" s="11" t="s">
        <v>173</v>
      </c>
      <c r="E773" s="11" t="s">
        <v>3397</v>
      </c>
      <c r="F773" s="11" t="s">
        <v>6485</v>
      </c>
      <c r="G773" s="12">
        <v>45788.0</v>
      </c>
      <c r="H773" s="12">
        <v>45789.0</v>
      </c>
      <c r="I773" s="11" t="s">
        <v>119</v>
      </c>
      <c r="J773" s="11" t="s">
        <v>22</v>
      </c>
      <c r="K773" s="14" t="s">
        <v>31</v>
      </c>
      <c r="L773" s="11" t="s">
        <v>62</v>
      </c>
      <c r="M773" s="15"/>
      <c r="N773" s="16" t="s">
        <v>5135</v>
      </c>
      <c r="O773" s="16"/>
      <c r="P773" s="16"/>
      <c r="Q773" s="17"/>
      <c r="R773" s="17"/>
      <c r="S773" s="17"/>
      <c r="T773" s="17"/>
      <c r="U773" s="17"/>
      <c r="V773" s="17"/>
      <c r="W773" s="17"/>
      <c r="X773" s="17"/>
      <c r="Y773" s="17"/>
    </row>
    <row r="774" ht="18.75" customHeight="1">
      <c r="A774" s="9">
        <v>773.0</v>
      </c>
      <c r="B774" s="11" t="s">
        <v>3399</v>
      </c>
      <c r="C774" s="11" t="s">
        <v>3400</v>
      </c>
      <c r="D774" s="11" t="s">
        <v>173</v>
      </c>
      <c r="E774" s="11" t="s">
        <v>1800</v>
      </c>
      <c r="F774" s="11" t="s">
        <v>6486</v>
      </c>
      <c r="G774" s="12">
        <v>45792.0</v>
      </c>
      <c r="H774" s="13">
        <v>45793.0</v>
      </c>
      <c r="I774" s="11" t="s">
        <v>25</v>
      </c>
      <c r="J774" s="11" t="s">
        <v>37</v>
      </c>
      <c r="K774" s="14" t="s">
        <v>31</v>
      </c>
      <c r="L774" s="11" t="s">
        <v>62</v>
      </c>
      <c r="M774" s="15"/>
      <c r="N774" s="16" t="s">
        <v>5135</v>
      </c>
      <c r="O774" s="16"/>
      <c r="P774" s="16"/>
      <c r="Q774" s="17"/>
      <c r="R774" s="17"/>
      <c r="S774" s="17"/>
      <c r="T774" s="17"/>
      <c r="U774" s="17"/>
      <c r="V774" s="17"/>
      <c r="W774" s="17"/>
      <c r="X774" s="17"/>
      <c r="Y774" s="17"/>
    </row>
    <row r="775" ht="18.75" customHeight="1">
      <c r="A775" s="9">
        <v>774.0</v>
      </c>
      <c r="B775" s="11" t="s">
        <v>3402</v>
      </c>
      <c r="C775" s="11" t="s">
        <v>3403</v>
      </c>
      <c r="D775" s="11" t="s">
        <v>198</v>
      </c>
      <c r="E775" s="11" t="s">
        <v>624</v>
      </c>
      <c r="F775" s="11" t="s">
        <v>6487</v>
      </c>
      <c r="G775" s="12">
        <v>45777.0</v>
      </c>
      <c r="H775" s="13">
        <v>45778.0</v>
      </c>
      <c r="I775" s="11" t="s">
        <v>119</v>
      </c>
      <c r="J775" s="11" t="s">
        <v>5420</v>
      </c>
      <c r="K775" s="14" t="s">
        <v>31</v>
      </c>
      <c r="L775" s="11" t="s">
        <v>62</v>
      </c>
      <c r="M775" s="15"/>
      <c r="N775" s="16" t="s">
        <v>5135</v>
      </c>
      <c r="O775" s="16"/>
      <c r="P775" s="16"/>
      <c r="Q775" s="17"/>
      <c r="R775" s="17"/>
      <c r="S775" s="17"/>
      <c r="T775" s="17"/>
      <c r="U775" s="17"/>
      <c r="V775" s="17"/>
      <c r="W775" s="17"/>
      <c r="X775" s="17"/>
      <c r="Y775" s="17"/>
    </row>
    <row r="776" ht="18.75" customHeight="1">
      <c r="A776" s="9">
        <v>775.0</v>
      </c>
      <c r="B776" s="11" t="s">
        <v>3405</v>
      </c>
      <c r="C776" s="11" t="s">
        <v>3406</v>
      </c>
      <c r="D776" s="11" t="s">
        <v>128</v>
      </c>
      <c r="E776" s="11" t="s">
        <v>2575</v>
      </c>
      <c r="F776" s="11" t="s">
        <v>6488</v>
      </c>
      <c r="G776" s="12">
        <v>45774.0</v>
      </c>
      <c r="H776" s="13">
        <v>45775.0</v>
      </c>
      <c r="I776" s="11" t="s">
        <v>251</v>
      </c>
      <c r="J776" s="11" t="s">
        <v>213</v>
      </c>
      <c r="K776" s="14" t="s">
        <v>31</v>
      </c>
      <c r="L776" s="11"/>
      <c r="M776" s="15"/>
      <c r="N776" s="16" t="s">
        <v>5135</v>
      </c>
      <c r="O776" s="16"/>
      <c r="P776" s="16"/>
      <c r="Q776" s="17"/>
      <c r="R776" s="17"/>
      <c r="S776" s="17"/>
      <c r="T776" s="17"/>
      <c r="U776" s="17"/>
      <c r="V776" s="17"/>
      <c r="W776" s="17"/>
      <c r="X776" s="17"/>
      <c r="Y776" s="17"/>
    </row>
    <row r="777" ht="18.75" customHeight="1">
      <c r="A777" s="9">
        <v>776.0</v>
      </c>
      <c r="B777" s="11" t="s">
        <v>3407</v>
      </c>
      <c r="C777" s="11" t="s">
        <v>3408</v>
      </c>
      <c r="D777" s="11" t="s">
        <v>110</v>
      </c>
      <c r="E777" s="11" t="s">
        <v>111</v>
      </c>
      <c r="F777" s="11" t="s">
        <v>6489</v>
      </c>
      <c r="G777" s="12">
        <v>45777.0</v>
      </c>
      <c r="H777" s="13">
        <v>45778.0</v>
      </c>
      <c r="I777" s="11" t="s">
        <v>25</v>
      </c>
      <c r="J777" s="11" t="s">
        <v>22</v>
      </c>
      <c r="K777" s="14" t="s">
        <v>31</v>
      </c>
      <c r="L777" s="11"/>
      <c r="M777" s="15"/>
      <c r="N777" s="16" t="s">
        <v>5135</v>
      </c>
      <c r="O777" s="16"/>
      <c r="P777" s="16"/>
      <c r="Q777" s="17"/>
      <c r="R777" s="17"/>
      <c r="S777" s="17"/>
      <c r="T777" s="17"/>
      <c r="U777" s="17"/>
      <c r="V777" s="17"/>
      <c r="W777" s="17"/>
      <c r="X777" s="17"/>
      <c r="Y777" s="17"/>
    </row>
    <row r="778" ht="18.75" customHeight="1">
      <c r="A778" s="9">
        <v>777.0</v>
      </c>
      <c r="B778" s="11" t="s">
        <v>3410</v>
      </c>
      <c r="C778" s="11" t="s">
        <v>3411</v>
      </c>
      <c r="D778" s="11" t="s">
        <v>207</v>
      </c>
      <c r="E778" s="11" t="s">
        <v>3257</v>
      </c>
      <c r="F778" s="11" t="s">
        <v>6490</v>
      </c>
      <c r="G778" s="12">
        <v>45792.0</v>
      </c>
      <c r="H778" s="13">
        <v>45793.0</v>
      </c>
      <c r="I778" s="11" t="s">
        <v>119</v>
      </c>
      <c r="J778" s="11" t="s">
        <v>22</v>
      </c>
      <c r="K778" s="14" t="s">
        <v>31</v>
      </c>
      <c r="L778" s="11" t="s">
        <v>50</v>
      </c>
      <c r="M778" s="15"/>
      <c r="N778" s="16" t="s">
        <v>5135</v>
      </c>
      <c r="O778" s="16"/>
      <c r="P778" s="16"/>
      <c r="Q778" s="17"/>
      <c r="R778" s="17"/>
      <c r="S778" s="17"/>
      <c r="T778" s="17"/>
      <c r="U778" s="17"/>
      <c r="V778" s="17"/>
      <c r="W778" s="17"/>
      <c r="X778" s="17"/>
      <c r="Y778" s="17"/>
    </row>
    <row r="779" ht="18.75" customHeight="1">
      <c r="A779" s="9">
        <v>778.0</v>
      </c>
      <c r="B779" s="11" t="s">
        <v>3131</v>
      </c>
      <c r="C779" s="11" t="s">
        <v>3132</v>
      </c>
      <c r="D779" s="11" t="s">
        <v>128</v>
      </c>
      <c r="E779" s="11" t="s">
        <v>2499</v>
      </c>
      <c r="F779" s="11" t="s">
        <v>6373</v>
      </c>
      <c r="G779" s="12">
        <v>45768.0</v>
      </c>
      <c r="H779" s="13">
        <v>45769.0</v>
      </c>
      <c r="I779" s="11" t="s">
        <v>251</v>
      </c>
      <c r="J779" s="11" t="s">
        <v>213</v>
      </c>
      <c r="K779" s="14" t="s">
        <v>31</v>
      </c>
      <c r="L779" s="11"/>
      <c r="M779" s="15"/>
      <c r="N779" s="16" t="s">
        <v>5135</v>
      </c>
      <c r="O779" s="16"/>
      <c r="P779" s="16"/>
      <c r="Q779" s="17"/>
      <c r="R779" s="17"/>
      <c r="S779" s="17"/>
      <c r="T779" s="17"/>
      <c r="U779" s="17"/>
      <c r="V779" s="17"/>
      <c r="W779" s="17"/>
      <c r="X779" s="17"/>
      <c r="Y779" s="17"/>
    </row>
    <row r="780" ht="18.75" customHeight="1">
      <c r="A780" s="9">
        <v>779.0</v>
      </c>
      <c r="B780" s="11" t="s">
        <v>3413</v>
      </c>
      <c r="C780" s="188" t="s">
        <v>3414</v>
      </c>
      <c r="D780" s="188" t="s">
        <v>342</v>
      </c>
      <c r="E780" s="188" t="s">
        <v>2047</v>
      </c>
      <c r="F780" s="11" t="s">
        <v>6491</v>
      </c>
      <c r="G780" s="12">
        <v>45782.0</v>
      </c>
      <c r="H780" s="13">
        <v>45783.0</v>
      </c>
      <c r="I780" s="11" t="s">
        <v>119</v>
      </c>
      <c r="J780" s="11" t="s">
        <v>37</v>
      </c>
      <c r="K780" s="14" t="s">
        <v>31</v>
      </c>
      <c r="L780" s="11" t="s">
        <v>97</v>
      </c>
      <c r="M780" s="11" t="s">
        <v>6492</v>
      </c>
      <c r="N780" s="16" t="s">
        <v>5135</v>
      </c>
      <c r="O780" s="16"/>
      <c r="P780" s="16"/>
      <c r="Q780" s="17"/>
      <c r="R780" s="17"/>
      <c r="S780" s="17"/>
      <c r="T780" s="17"/>
      <c r="U780" s="17"/>
      <c r="V780" s="17"/>
      <c r="W780" s="17"/>
      <c r="X780" s="17"/>
      <c r="Y780" s="17"/>
    </row>
    <row r="781" ht="18.75" customHeight="1">
      <c r="A781" s="9">
        <v>780.0</v>
      </c>
      <c r="B781" s="11" t="s">
        <v>3416</v>
      </c>
      <c r="C781" s="11" t="s">
        <v>3417</v>
      </c>
      <c r="D781" s="11" t="s">
        <v>110</v>
      </c>
      <c r="E781" s="11" t="s">
        <v>2843</v>
      </c>
      <c r="F781" s="11" t="s">
        <v>6493</v>
      </c>
      <c r="G781" s="12">
        <v>45772.0</v>
      </c>
      <c r="H781" s="13">
        <v>45773.0</v>
      </c>
      <c r="I781" s="11" t="s">
        <v>251</v>
      </c>
      <c r="J781" s="11" t="s">
        <v>213</v>
      </c>
      <c r="K781" s="14" t="s">
        <v>31</v>
      </c>
      <c r="L781" s="11"/>
      <c r="M781" s="15"/>
      <c r="N781" s="16" t="s">
        <v>5135</v>
      </c>
      <c r="O781" s="16"/>
      <c r="P781" s="16"/>
      <c r="Q781" s="17"/>
      <c r="R781" s="17"/>
      <c r="S781" s="17"/>
      <c r="T781" s="17"/>
      <c r="U781" s="17"/>
      <c r="V781" s="17"/>
      <c r="W781" s="17"/>
      <c r="X781" s="17"/>
      <c r="Y781" s="17"/>
    </row>
    <row r="782" ht="18.75" customHeight="1">
      <c r="A782" s="9">
        <v>781.0</v>
      </c>
      <c r="B782" s="11" t="s">
        <v>3418</v>
      </c>
      <c r="C782" s="11" t="s">
        <v>3419</v>
      </c>
      <c r="D782" s="11" t="s">
        <v>2404</v>
      </c>
      <c r="E782" s="11" t="s">
        <v>3420</v>
      </c>
      <c r="F782" s="11" t="s">
        <v>6494</v>
      </c>
      <c r="G782" s="12">
        <v>45777.0</v>
      </c>
      <c r="H782" s="13">
        <v>45778.0</v>
      </c>
      <c r="I782" s="11" t="s">
        <v>251</v>
      </c>
      <c r="J782" s="11" t="s">
        <v>213</v>
      </c>
      <c r="K782" s="14" t="s">
        <v>31</v>
      </c>
      <c r="L782" s="11"/>
      <c r="M782" s="15"/>
      <c r="N782" s="16" t="s">
        <v>5135</v>
      </c>
      <c r="O782" s="16"/>
      <c r="P782" s="16"/>
      <c r="Q782" s="17"/>
      <c r="R782" s="17"/>
      <c r="S782" s="17"/>
      <c r="T782" s="17"/>
      <c r="U782" s="17"/>
      <c r="V782" s="17"/>
      <c r="W782" s="17"/>
      <c r="X782" s="17"/>
      <c r="Y782" s="17"/>
    </row>
    <row r="783" ht="18.75" customHeight="1">
      <c r="A783" s="9">
        <v>782.0</v>
      </c>
      <c r="B783" s="11" t="s">
        <v>3421</v>
      </c>
      <c r="C783" s="11" t="s">
        <v>3422</v>
      </c>
      <c r="D783" s="11" t="s">
        <v>42</v>
      </c>
      <c r="E783" s="11" t="s">
        <v>2667</v>
      </c>
      <c r="F783" s="11" t="s">
        <v>6495</v>
      </c>
      <c r="G783" s="12">
        <v>45777.0</v>
      </c>
      <c r="H783" s="13">
        <v>45778.0</v>
      </c>
      <c r="I783" s="11" t="s">
        <v>251</v>
      </c>
      <c r="J783" s="11" t="s">
        <v>213</v>
      </c>
      <c r="K783" s="14" t="s">
        <v>31</v>
      </c>
      <c r="L783" s="11"/>
      <c r="M783" s="15"/>
      <c r="N783" s="16" t="s">
        <v>5135</v>
      </c>
      <c r="O783" s="16"/>
      <c r="P783" s="16"/>
      <c r="Q783" s="17"/>
      <c r="R783" s="17"/>
      <c r="S783" s="17"/>
      <c r="T783" s="17"/>
      <c r="U783" s="17"/>
      <c r="V783" s="17"/>
      <c r="W783" s="17"/>
      <c r="X783" s="17"/>
      <c r="Y783" s="17"/>
    </row>
    <row r="784" ht="18.75" customHeight="1">
      <c r="A784" s="9">
        <v>783.0</v>
      </c>
      <c r="B784" s="11" t="s">
        <v>3423</v>
      </c>
      <c r="C784" s="11" t="s">
        <v>3424</v>
      </c>
      <c r="D784" s="11" t="s">
        <v>71</v>
      </c>
      <c r="E784" s="11" t="s">
        <v>3425</v>
      </c>
      <c r="F784" s="11" t="s">
        <v>6496</v>
      </c>
      <c r="G784" s="12">
        <v>45808.0</v>
      </c>
      <c r="H784" s="13">
        <v>45809.0</v>
      </c>
      <c r="I784" s="11" t="s">
        <v>25</v>
      </c>
      <c r="J784" s="11" t="s">
        <v>37</v>
      </c>
      <c r="K784" s="14" t="s">
        <v>31</v>
      </c>
      <c r="L784" s="11" t="s">
        <v>74</v>
      </c>
      <c r="M784" s="11" t="s">
        <v>6414</v>
      </c>
      <c r="N784" s="16" t="s">
        <v>5135</v>
      </c>
      <c r="O784" s="16"/>
      <c r="P784" s="16"/>
      <c r="Q784" s="17"/>
      <c r="R784" s="17"/>
      <c r="S784" s="17"/>
      <c r="T784" s="17"/>
      <c r="U784" s="17"/>
      <c r="V784" s="17"/>
      <c r="W784" s="17"/>
      <c r="X784" s="17"/>
      <c r="Y784" s="17"/>
    </row>
    <row r="785" ht="18.75" customHeight="1">
      <c r="A785" s="9">
        <v>784.0</v>
      </c>
      <c r="B785" s="10" t="s">
        <v>3427</v>
      </c>
      <c r="C785" s="10" t="s">
        <v>3428</v>
      </c>
      <c r="D785" s="10" t="s">
        <v>1197</v>
      </c>
      <c r="E785" s="10" t="s">
        <v>154</v>
      </c>
      <c r="F785" s="11" t="s">
        <v>6497</v>
      </c>
      <c r="G785" s="13">
        <v>45821.0</v>
      </c>
      <c r="H785" s="13">
        <v>45822.0</v>
      </c>
      <c r="I785" s="11" t="s">
        <v>21</v>
      </c>
      <c r="J785" s="11" t="s">
        <v>22</v>
      </c>
      <c r="K785" s="14"/>
      <c r="L785" s="11" t="s">
        <v>62</v>
      </c>
      <c r="M785" s="15"/>
      <c r="N785" s="16" t="s">
        <v>5135</v>
      </c>
      <c r="O785" s="16"/>
      <c r="P785" s="16"/>
      <c r="Q785" s="17"/>
      <c r="R785" s="17"/>
      <c r="S785" s="17"/>
      <c r="T785" s="17"/>
      <c r="U785" s="17"/>
      <c r="V785" s="17"/>
      <c r="W785" s="17"/>
      <c r="X785" s="17"/>
      <c r="Y785" s="17"/>
    </row>
    <row r="786" ht="18.75" customHeight="1">
      <c r="A786" s="9">
        <v>785.0</v>
      </c>
      <c r="B786" s="11" t="s">
        <v>3430</v>
      </c>
      <c r="C786" s="11" t="s">
        <v>3431</v>
      </c>
      <c r="D786" s="11" t="s">
        <v>1104</v>
      </c>
      <c r="E786" s="11" t="s">
        <v>2169</v>
      </c>
      <c r="F786" s="11" t="s">
        <v>6498</v>
      </c>
      <c r="G786" s="13">
        <v>45793.0</v>
      </c>
      <c r="H786" s="13">
        <v>45794.0</v>
      </c>
      <c r="I786" s="11" t="s">
        <v>25</v>
      </c>
      <c r="J786" s="11" t="s">
        <v>22</v>
      </c>
      <c r="K786" s="14" t="s">
        <v>31</v>
      </c>
      <c r="L786" s="11"/>
      <c r="M786" s="15"/>
      <c r="N786" s="16" t="s">
        <v>5135</v>
      </c>
      <c r="O786" s="16"/>
      <c r="P786" s="16"/>
      <c r="Q786" s="17"/>
      <c r="R786" s="17"/>
      <c r="S786" s="17"/>
      <c r="T786" s="17"/>
      <c r="U786" s="17"/>
      <c r="V786" s="17"/>
      <c r="W786" s="17"/>
      <c r="X786" s="17"/>
      <c r="Y786" s="17"/>
    </row>
    <row r="787" ht="18.75" customHeight="1">
      <c r="A787" s="9">
        <v>786.0</v>
      </c>
      <c r="B787" s="11" t="s">
        <v>6499</v>
      </c>
      <c r="C787" s="11" t="s">
        <v>3434</v>
      </c>
      <c r="D787" s="11" t="s">
        <v>701</v>
      </c>
      <c r="E787" s="11" t="s">
        <v>3435</v>
      </c>
      <c r="F787" s="11" t="s">
        <v>6500</v>
      </c>
      <c r="G787" s="12">
        <v>45808.0</v>
      </c>
      <c r="H787" s="13">
        <v>45809.0</v>
      </c>
      <c r="I787" s="11" t="s">
        <v>25</v>
      </c>
      <c r="J787" s="11" t="s">
        <v>22</v>
      </c>
      <c r="K787" s="14" t="s">
        <v>31</v>
      </c>
      <c r="L787" s="11" t="s">
        <v>62</v>
      </c>
      <c r="M787" s="15"/>
      <c r="N787" s="16" t="s">
        <v>5135</v>
      </c>
      <c r="O787" s="16"/>
      <c r="P787" s="16"/>
      <c r="Q787" s="17"/>
      <c r="R787" s="17"/>
      <c r="S787" s="17"/>
      <c r="T787" s="17"/>
      <c r="U787" s="17"/>
      <c r="V787" s="17"/>
      <c r="W787" s="17"/>
      <c r="X787" s="17"/>
      <c r="Y787" s="17"/>
    </row>
    <row r="788" ht="18.75" customHeight="1">
      <c r="A788" s="9">
        <v>787.0</v>
      </c>
      <c r="B788" s="11" t="s">
        <v>3437</v>
      </c>
      <c r="C788" s="11" t="s">
        <v>3438</v>
      </c>
      <c r="D788" s="11" t="s">
        <v>122</v>
      </c>
      <c r="E788" s="11" t="s">
        <v>2451</v>
      </c>
      <c r="F788" s="11" t="s">
        <v>6501</v>
      </c>
      <c r="G788" s="12">
        <v>45808.0</v>
      </c>
      <c r="H788" s="13">
        <v>45809.0</v>
      </c>
      <c r="I788" s="11" t="s">
        <v>25</v>
      </c>
      <c r="J788" s="11" t="s">
        <v>37</v>
      </c>
      <c r="K788" s="14" t="s">
        <v>31</v>
      </c>
      <c r="L788" s="11" t="s">
        <v>62</v>
      </c>
      <c r="M788" s="15"/>
      <c r="N788" s="16" t="s">
        <v>5135</v>
      </c>
      <c r="O788" s="16"/>
      <c r="P788" s="16"/>
      <c r="Q788" s="17"/>
      <c r="R788" s="17"/>
      <c r="S788" s="17"/>
      <c r="T788" s="17"/>
      <c r="U788" s="17"/>
      <c r="V788" s="17"/>
      <c r="W788" s="17"/>
      <c r="X788" s="17"/>
      <c r="Y788" s="17"/>
    </row>
    <row r="789" ht="18.75" customHeight="1">
      <c r="A789" s="9">
        <v>788.0</v>
      </c>
      <c r="B789" s="11" t="s">
        <v>3440</v>
      </c>
      <c r="C789" s="11" t="s">
        <v>3441</v>
      </c>
      <c r="D789" s="11" t="s">
        <v>207</v>
      </c>
      <c r="E789" s="11" t="s">
        <v>3442</v>
      </c>
      <c r="F789" s="11" t="s">
        <v>6502</v>
      </c>
      <c r="G789" s="13">
        <v>45795.0</v>
      </c>
      <c r="H789" s="13">
        <v>45796.0</v>
      </c>
      <c r="I789" s="11" t="s">
        <v>119</v>
      </c>
      <c r="J789" s="11" t="s">
        <v>22</v>
      </c>
      <c r="K789" s="14" t="s">
        <v>31</v>
      </c>
      <c r="L789" s="11" t="s">
        <v>50</v>
      </c>
      <c r="M789" s="15"/>
      <c r="N789" s="16" t="s">
        <v>5135</v>
      </c>
      <c r="O789" s="16"/>
      <c r="P789" s="16"/>
      <c r="Q789" s="17"/>
      <c r="R789" s="17"/>
      <c r="S789" s="17"/>
      <c r="T789" s="17"/>
      <c r="U789" s="17"/>
      <c r="V789" s="17"/>
      <c r="W789" s="17"/>
      <c r="X789" s="17"/>
      <c r="Y789" s="17"/>
    </row>
    <row r="790" ht="18.75" customHeight="1">
      <c r="A790" s="9">
        <v>789.0</v>
      </c>
      <c r="B790" s="11" t="s">
        <v>4915</v>
      </c>
      <c r="C790" s="11" t="s">
        <v>4912</v>
      </c>
      <c r="D790" s="11" t="s">
        <v>1934</v>
      </c>
      <c r="E790" s="11" t="s">
        <v>6503</v>
      </c>
      <c r="F790" s="11" t="s">
        <v>6504</v>
      </c>
      <c r="G790" s="12">
        <v>45777.0</v>
      </c>
      <c r="H790" s="13">
        <v>45778.0</v>
      </c>
      <c r="I790" s="11" t="s">
        <v>25</v>
      </c>
      <c r="J790" s="11" t="s">
        <v>37</v>
      </c>
      <c r="K790" s="14" t="s">
        <v>31</v>
      </c>
      <c r="L790" s="11" t="s">
        <v>62</v>
      </c>
      <c r="M790" s="15"/>
      <c r="N790" s="16" t="s">
        <v>5135</v>
      </c>
      <c r="O790" s="16"/>
      <c r="P790" s="16"/>
      <c r="Q790" s="17"/>
      <c r="R790" s="17"/>
      <c r="S790" s="17"/>
      <c r="T790" s="17"/>
      <c r="U790" s="17"/>
      <c r="V790" s="17"/>
      <c r="W790" s="17"/>
      <c r="X790" s="17"/>
      <c r="Y790" s="17"/>
    </row>
    <row r="791" ht="18.75" customHeight="1">
      <c r="A791" s="9">
        <v>790.0</v>
      </c>
      <c r="B791" s="10" t="s">
        <v>3444</v>
      </c>
      <c r="C791" s="10" t="s">
        <v>3445</v>
      </c>
      <c r="D791" s="10" t="s">
        <v>42</v>
      </c>
      <c r="E791" s="10" t="s">
        <v>2388</v>
      </c>
      <c r="F791" s="11" t="s">
        <v>6505</v>
      </c>
      <c r="G791" s="12">
        <v>45808.0</v>
      </c>
      <c r="H791" s="13">
        <v>45809.0</v>
      </c>
      <c r="I791" s="11" t="s">
        <v>21</v>
      </c>
      <c r="J791" s="11" t="s">
        <v>37</v>
      </c>
      <c r="K791" s="14"/>
      <c r="L791" s="11" t="s">
        <v>62</v>
      </c>
      <c r="M791" s="15"/>
      <c r="N791" s="16"/>
      <c r="O791" s="16"/>
      <c r="P791" s="16"/>
      <c r="Q791" s="17"/>
      <c r="R791" s="17"/>
      <c r="S791" s="17"/>
      <c r="T791" s="17"/>
      <c r="U791" s="17"/>
      <c r="V791" s="17"/>
      <c r="W791" s="17"/>
      <c r="X791" s="17"/>
      <c r="Y791" s="17"/>
    </row>
    <row r="792" ht="18.75" customHeight="1">
      <c r="A792" s="9">
        <v>791.0</v>
      </c>
      <c r="B792" s="11" t="s">
        <v>3447</v>
      </c>
      <c r="C792" s="11" t="s">
        <v>3448</v>
      </c>
      <c r="D792" s="23" t="s">
        <v>71</v>
      </c>
      <c r="E792" s="11" t="s">
        <v>2888</v>
      </c>
      <c r="F792" s="11" t="s">
        <v>6506</v>
      </c>
      <c r="G792" s="12">
        <v>45808.0</v>
      </c>
      <c r="H792" s="13">
        <v>45809.0</v>
      </c>
      <c r="I792" s="11" t="s">
        <v>25</v>
      </c>
      <c r="J792" s="11" t="s">
        <v>37</v>
      </c>
      <c r="K792" s="14" t="s">
        <v>31</v>
      </c>
      <c r="L792" s="11" t="s">
        <v>62</v>
      </c>
      <c r="M792" s="15"/>
      <c r="N792" s="16" t="s">
        <v>5135</v>
      </c>
      <c r="O792" s="16"/>
      <c r="P792" s="16"/>
      <c r="Q792" s="17"/>
      <c r="R792" s="17"/>
      <c r="S792" s="17"/>
      <c r="T792" s="17"/>
      <c r="U792" s="17"/>
      <c r="V792" s="17"/>
      <c r="W792" s="17"/>
      <c r="X792" s="17"/>
      <c r="Y792" s="17"/>
    </row>
    <row r="793" ht="18.75" customHeight="1">
      <c r="A793" s="9">
        <v>792.0</v>
      </c>
      <c r="B793" s="10" t="s">
        <v>3450</v>
      </c>
      <c r="C793" s="10" t="s">
        <v>3451</v>
      </c>
      <c r="D793" s="10" t="s">
        <v>697</v>
      </c>
      <c r="E793" s="10" t="s">
        <v>951</v>
      </c>
      <c r="F793" s="11" t="s">
        <v>6507</v>
      </c>
      <c r="G793" s="12">
        <v>45808.0</v>
      </c>
      <c r="H793" s="13">
        <v>45809.0</v>
      </c>
      <c r="I793" s="11" t="s">
        <v>21</v>
      </c>
      <c r="J793" s="11" t="s">
        <v>22</v>
      </c>
      <c r="K793" s="14"/>
      <c r="L793" s="11" t="s">
        <v>62</v>
      </c>
      <c r="M793" s="15"/>
      <c r="N793" s="16"/>
      <c r="O793" s="16"/>
      <c r="P793" s="16"/>
      <c r="Q793" s="17"/>
      <c r="R793" s="17"/>
      <c r="S793" s="17"/>
      <c r="T793" s="17"/>
      <c r="U793" s="17"/>
      <c r="V793" s="17"/>
      <c r="W793" s="17"/>
      <c r="X793" s="17"/>
      <c r="Y793" s="17"/>
    </row>
    <row r="794" ht="18.75" customHeight="1">
      <c r="A794" s="9">
        <v>793.0</v>
      </c>
      <c r="B794" s="11" t="s">
        <v>3453</v>
      </c>
      <c r="C794" s="11" t="s">
        <v>3454</v>
      </c>
      <c r="D794" s="11" t="s">
        <v>28</v>
      </c>
      <c r="E794" s="11" t="s">
        <v>3380</v>
      </c>
      <c r="F794" s="11" t="s">
        <v>6508</v>
      </c>
      <c r="G794" s="12">
        <v>45808.0</v>
      </c>
      <c r="H794" s="13">
        <v>45809.0</v>
      </c>
      <c r="I794" s="11" t="s">
        <v>25</v>
      </c>
      <c r="J794" s="11" t="s">
        <v>37</v>
      </c>
      <c r="K794" s="14" t="s">
        <v>31</v>
      </c>
      <c r="L794" s="11" t="s">
        <v>62</v>
      </c>
      <c r="M794" s="15"/>
      <c r="N794" s="16" t="s">
        <v>5135</v>
      </c>
      <c r="O794" s="16"/>
      <c r="P794" s="16"/>
      <c r="Q794" s="17"/>
      <c r="R794" s="17"/>
      <c r="S794" s="17"/>
      <c r="T794" s="17"/>
      <c r="U794" s="17"/>
      <c r="V794" s="17"/>
      <c r="W794" s="17"/>
      <c r="X794" s="17"/>
      <c r="Y794" s="17"/>
    </row>
    <row r="795" ht="18.75" customHeight="1">
      <c r="A795" s="9">
        <v>794.0</v>
      </c>
      <c r="B795" s="11" t="s">
        <v>3456</v>
      </c>
      <c r="C795" s="11" t="s">
        <v>3457</v>
      </c>
      <c r="D795" s="11" t="s">
        <v>3458</v>
      </c>
      <c r="E795" s="11" t="s">
        <v>3459</v>
      </c>
      <c r="F795" s="11" t="s">
        <v>6509</v>
      </c>
      <c r="G795" s="12">
        <v>45808.0</v>
      </c>
      <c r="H795" s="13">
        <v>45809.0</v>
      </c>
      <c r="I795" s="11" t="s">
        <v>25</v>
      </c>
      <c r="J795" s="11" t="s">
        <v>37</v>
      </c>
      <c r="K795" s="14" t="s">
        <v>31</v>
      </c>
      <c r="L795" s="11"/>
      <c r="M795" s="15"/>
      <c r="N795" s="16" t="s">
        <v>5135</v>
      </c>
      <c r="O795" s="16"/>
      <c r="P795" s="16"/>
      <c r="Q795" s="17"/>
      <c r="R795" s="17"/>
      <c r="S795" s="17"/>
      <c r="T795" s="17"/>
      <c r="U795" s="17"/>
      <c r="V795" s="17"/>
      <c r="W795" s="17"/>
      <c r="X795" s="17"/>
      <c r="Y795" s="17"/>
    </row>
    <row r="796" ht="18.75" customHeight="1">
      <c r="A796" s="9">
        <v>795.0</v>
      </c>
      <c r="B796" s="11" t="s">
        <v>6510</v>
      </c>
      <c r="C796" s="11" t="s">
        <v>6511</v>
      </c>
      <c r="D796" s="11" t="s">
        <v>6512</v>
      </c>
      <c r="E796" s="11" t="s">
        <v>2269</v>
      </c>
      <c r="F796" s="11" t="s">
        <v>6513</v>
      </c>
      <c r="G796" s="12">
        <v>45777.0</v>
      </c>
      <c r="H796" s="13">
        <v>45778.0</v>
      </c>
      <c r="I796" s="11" t="s">
        <v>25</v>
      </c>
      <c r="J796" s="11"/>
      <c r="K796" s="14" t="s">
        <v>31</v>
      </c>
      <c r="L796" s="11" t="s">
        <v>5814</v>
      </c>
      <c r="M796" s="15"/>
      <c r="N796" s="16" t="s">
        <v>5135</v>
      </c>
      <c r="O796" s="16"/>
      <c r="P796" s="16"/>
      <c r="Q796" s="17"/>
      <c r="R796" s="17"/>
      <c r="S796" s="17"/>
      <c r="T796" s="17"/>
      <c r="U796" s="17"/>
      <c r="V796" s="17"/>
      <c r="W796" s="17"/>
      <c r="X796" s="17"/>
      <c r="Y796" s="17"/>
    </row>
    <row r="797" ht="18.75" customHeight="1">
      <c r="A797" s="9">
        <v>796.0</v>
      </c>
      <c r="B797" s="11" t="s">
        <v>3461</v>
      </c>
      <c r="C797" s="11" t="s">
        <v>3462</v>
      </c>
      <c r="D797" s="11" t="s">
        <v>1397</v>
      </c>
      <c r="E797" s="11" t="s">
        <v>946</v>
      </c>
      <c r="F797" s="11" t="s">
        <v>4949</v>
      </c>
      <c r="G797" s="13">
        <v>45793.0</v>
      </c>
      <c r="H797" s="13">
        <v>45794.0</v>
      </c>
      <c r="I797" s="11" t="s">
        <v>119</v>
      </c>
      <c r="J797" s="11" t="s">
        <v>37</v>
      </c>
      <c r="K797" s="14" t="s">
        <v>31</v>
      </c>
      <c r="L797" s="11" t="s">
        <v>50</v>
      </c>
      <c r="M797" s="15"/>
      <c r="N797" s="16" t="s">
        <v>5135</v>
      </c>
      <c r="O797" s="16"/>
      <c r="P797" s="16"/>
      <c r="Q797" s="17"/>
      <c r="R797" s="17"/>
      <c r="S797" s="17"/>
      <c r="T797" s="17"/>
      <c r="U797" s="17"/>
      <c r="V797" s="17"/>
      <c r="W797" s="17"/>
      <c r="X797" s="17"/>
      <c r="Y797" s="17"/>
    </row>
    <row r="798" ht="18.75" customHeight="1">
      <c r="A798" s="9">
        <v>797.0</v>
      </c>
      <c r="B798" s="11" t="s">
        <v>3464</v>
      </c>
      <c r="C798" s="11" t="s">
        <v>3465</v>
      </c>
      <c r="D798" s="11" t="s">
        <v>122</v>
      </c>
      <c r="E798" s="11" t="s">
        <v>2757</v>
      </c>
      <c r="F798" s="11" t="s">
        <v>6514</v>
      </c>
      <c r="G798" s="12">
        <v>45783.0</v>
      </c>
      <c r="H798" s="13">
        <v>45784.0</v>
      </c>
      <c r="I798" s="11" t="s">
        <v>251</v>
      </c>
      <c r="J798" s="11" t="s">
        <v>213</v>
      </c>
      <c r="K798" s="14" t="s">
        <v>31</v>
      </c>
      <c r="L798" s="11"/>
      <c r="M798" s="15"/>
      <c r="N798" s="16" t="s">
        <v>5135</v>
      </c>
      <c r="O798" s="16"/>
      <c r="P798" s="16"/>
      <c r="Q798" s="17"/>
      <c r="R798" s="17"/>
      <c r="S798" s="17"/>
      <c r="T798" s="17"/>
      <c r="U798" s="17"/>
      <c r="V798" s="17"/>
      <c r="W798" s="17"/>
      <c r="X798" s="17"/>
      <c r="Y798" s="17"/>
    </row>
    <row r="799" ht="18.75" customHeight="1">
      <c r="A799" s="9">
        <v>798.0</v>
      </c>
      <c r="B799" s="11" t="s">
        <v>3466</v>
      </c>
      <c r="C799" s="11" t="s">
        <v>3467</v>
      </c>
      <c r="D799" s="11" t="s">
        <v>71</v>
      </c>
      <c r="E799" s="11" t="s">
        <v>2468</v>
      </c>
      <c r="F799" s="11" t="s">
        <v>6515</v>
      </c>
      <c r="G799" s="12">
        <v>45808.0</v>
      </c>
      <c r="H799" s="13">
        <v>45809.0</v>
      </c>
      <c r="I799" s="11" t="s">
        <v>25</v>
      </c>
      <c r="J799" s="11" t="s">
        <v>22</v>
      </c>
      <c r="K799" s="14" t="s">
        <v>31</v>
      </c>
      <c r="L799" s="11"/>
      <c r="M799" s="15"/>
      <c r="N799" s="16" t="s">
        <v>5135</v>
      </c>
      <c r="O799" s="16"/>
      <c r="P799" s="16"/>
      <c r="Q799" s="17"/>
      <c r="R799" s="17"/>
      <c r="S799" s="17"/>
      <c r="T799" s="17"/>
      <c r="U799" s="17"/>
      <c r="V799" s="17"/>
      <c r="W799" s="17"/>
      <c r="X799" s="17"/>
      <c r="Y799" s="17"/>
    </row>
    <row r="800" ht="18.75" customHeight="1">
      <c r="A800" s="9">
        <v>799.0</v>
      </c>
      <c r="B800" s="11" t="s">
        <v>3469</v>
      </c>
      <c r="C800" s="11" t="s">
        <v>3470</v>
      </c>
      <c r="D800" s="11" t="s">
        <v>3471</v>
      </c>
      <c r="E800" s="11" t="s">
        <v>3472</v>
      </c>
      <c r="F800" s="11" t="s">
        <v>6516</v>
      </c>
      <c r="G800" s="12">
        <v>45777.0</v>
      </c>
      <c r="H800" s="13">
        <v>45778.0</v>
      </c>
      <c r="I800" s="11" t="s">
        <v>25</v>
      </c>
      <c r="J800" s="11"/>
      <c r="K800" s="14" t="s">
        <v>31</v>
      </c>
      <c r="L800" s="11"/>
      <c r="M800" s="15"/>
      <c r="N800" s="16" t="s">
        <v>5135</v>
      </c>
      <c r="O800" s="16"/>
      <c r="P800" s="16"/>
      <c r="Q800" s="17"/>
      <c r="R800" s="17"/>
      <c r="S800" s="17"/>
      <c r="T800" s="17"/>
      <c r="U800" s="17"/>
      <c r="V800" s="17"/>
      <c r="W800" s="17"/>
      <c r="X800" s="17"/>
      <c r="Y800" s="17"/>
    </row>
    <row r="801" ht="18.75" customHeight="1">
      <c r="A801" s="9">
        <v>800.0</v>
      </c>
      <c r="B801" s="11" t="s">
        <v>6517</v>
      </c>
      <c r="C801" s="11" t="s">
        <v>6518</v>
      </c>
      <c r="D801" s="11" t="s">
        <v>1149</v>
      </c>
      <c r="E801" s="11" t="s">
        <v>3257</v>
      </c>
      <c r="F801" s="11" t="s">
        <v>6519</v>
      </c>
      <c r="G801" s="12">
        <v>45777.0</v>
      </c>
      <c r="H801" s="13">
        <v>45778.0</v>
      </c>
      <c r="I801" s="11" t="s">
        <v>251</v>
      </c>
      <c r="J801" s="11" t="s">
        <v>213</v>
      </c>
      <c r="K801" s="14" t="s">
        <v>31</v>
      </c>
      <c r="L801" s="11"/>
      <c r="M801" s="15"/>
      <c r="N801" s="16" t="s">
        <v>5135</v>
      </c>
      <c r="O801" s="16"/>
      <c r="P801" s="16"/>
      <c r="Q801" s="17"/>
      <c r="R801" s="17"/>
      <c r="S801" s="17"/>
      <c r="T801" s="17"/>
      <c r="U801" s="17"/>
      <c r="V801" s="17"/>
      <c r="W801" s="17"/>
      <c r="X801" s="17"/>
      <c r="Y801" s="17"/>
    </row>
    <row r="802" ht="18.75" customHeight="1">
      <c r="A802" s="9">
        <v>801.0</v>
      </c>
      <c r="B802" s="11" t="s">
        <v>3473</v>
      </c>
      <c r="C802" s="11" t="s">
        <v>3474</v>
      </c>
      <c r="D802" s="11" t="s">
        <v>42</v>
      </c>
      <c r="E802" s="11" t="s">
        <v>2437</v>
      </c>
      <c r="F802" s="11" t="s">
        <v>6520</v>
      </c>
      <c r="G802" s="12">
        <v>45808.0</v>
      </c>
      <c r="H802" s="13">
        <v>45809.0</v>
      </c>
      <c r="I802" s="11" t="s">
        <v>25</v>
      </c>
      <c r="J802" s="11" t="s">
        <v>37</v>
      </c>
      <c r="K802" s="14" t="s">
        <v>31</v>
      </c>
      <c r="L802" s="11" t="s">
        <v>50</v>
      </c>
      <c r="M802" s="11" t="s">
        <v>5154</v>
      </c>
      <c r="N802" s="16" t="s">
        <v>5135</v>
      </c>
      <c r="O802" s="16"/>
      <c r="P802" s="16"/>
      <c r="Q802" s="17"/>
      <c r="R802" s="17"/>
      <c r="S802" s="17"/>
      <c r="T802" s="17"/>
      <c r="U802" s="17"/>
      <c r="V802" s="17"/>
      <c r="W802" s="17"/>
      <c r="X802" s="17"/>
      <c r="Y802" s="17"/>
    </row>
    <row r="803" ht="18.75" customHeight="1">
      <c r="A803" s="9">
        <v>802.0</v>
      </c>
      <c r="B803" s="11" t="s">
        <v>3476</v>
      </c>
      <c r="C803" s="11" t="s">
        <v>3477</v>
      </c>
      <c r="D803" s="11" t="s">
        <v>122</v>
      </c>
      <c r="E803" s="11" t="s">
        <v>2499</v>
      </c>
      <c r="F803" s="11" t="s">
        <v>6521</v>
      </c>
      <c r="G803" s="12">
        <v>45777.0</v>
      </c>
      <c r="H803" s="13">
        <v>45778.0</v>
      </c>
      <c r="I803" s="11" t="s">
        <v>251</v>
      </c>
      <c r="J803" s="11" t="s">
        <v>213</v>
      </c>
      <c r="K803" s="14" t="s">
        <v>31</v>
      </c>
      <c r="L803" s="11"/>
      <c r="M803" s="15"/>
      <c r="N803" s="16" t="s">
        <v>5135</v>
      </c>
      <c r="O803" s="16"/>
      <c r="P803" s="16"/>
      <c r="Q803" s="17"/>
      <c r="R803" s="17"/>
      <c r="S803" s="17"/>
      <c r="T803" s="17"/>
      <c r="U803" s="17"/>
      <c r="V803" s="17"/>
      <c r="W803" s="17"/>
      <c r="X803" s="17"/>
      <c r="Y803" s="17"/>
    </row>
    <row r="804" ht="18.75" customHeight="1">
      <c r="A804" s="9">
        <v>803.0</v>
      </c>
      <c r="B804" s="11" t="s">
        <v>3478</v>
      </c>
      <c r="C804" s="11" t="s">
        <v>3479</v>
      </c>
      <c r="D804" s="11" t="s">
        <v>122</v>
      </c>
      <c r="E804" s="11" t="s">
        <v>2499</v>
      </c>
      <c r="F804" s="11" t="s">
        <v>6522</v>
      </c>
      <c r="G804" s="12">
        <v>45777.0</v>
      </c>
      <c r="H804" s="13">
        <v>45778.0</v>
      </c>
      <c r="I804" s="11" t="s">
        <v>251</v>
      </c>
      <c r="J804" s="11" t="s">
        <v>213</v>
      </c>
      <c r="K804" s="14" t="s">
        <v>31</v>
      </c>
      <c r="L804" s="11"/>
      <c r="M804" s="15"/>
      <c r="N804" s="16" t="s">
        <v>5135</v>
      </c>
      <c r="O804" s="16"/>
      <c r="P804" s="16"/>
      <c r="Q804" s="17"/>
      <c r="R804" s="17"/>
      <c r="S804" s="17"/>
      <c r="T804" s="17"/>
      <c r="U804" s="17"/>
      <c r="V804" s="17"/>
      <c r="W804" s="17"/>
      <c r="X804" s="17"/>
      <c r="Y804" s="17"/>
    </row>
    <row r="805" ht="18.75" customHeight="1">
      <c r="A805" s="9">
        <v>804.0</v>
      </c>
      <c r="B805" s="11" t="s">
        <v>3480</v>
      </c>
      <c r="C805" s="11" t="s">
        <v>3481</v>
      </c>
      <c r="D805" s="11" t="s">
        <v>122</v>
      </c>
      <c r="E805" s="11" t="s">
        <v>2388</v>
      </c>
      <c r="F805" s="11" t="s">
        <v>6523</v>
      </c>
      <c r="G805" s="12">
        <v>45794.0</v>
      </c>
      <c r="H805" s="13">
        <v>45795.0</v>
      </c>
      <c r="I805" s="11" t="s">
        <v>25</v>
      </c>
      <c r="J805" s="11" t="s">
        <v>37</v>
      </c>
      <c r="K805" s="14" t="s">
        <v>31</v>
      </c>
      <c r="L805" s="11" t="s">
        <v>74</v>
      </c>
      <c r="M805" s="11" t="s">
        <v>6524</v>
      </c>
      <c r="N805" s="16" t="s">
        <v>5135</v>
      </c>
      <c r="O805" s="16"/>
      <c r="P805" s="16"/>
      <c r="Q805" s="17"/>
      <c r="R805" s="17"/>
      <c r="S805" s="17"/>
      <c r="T805" s="17"/>
      <c r="U805" s="17"/>
      <c r="V805" s="17"/>
      <c r="W805" s="17"/>
      <c r="X805" s="17"/>
      <c r="Y805" s="17"/>
    </row>
    <row r="806" ht="18.75" customHeight="1">
      <c r="A806" s="9">
        <v>805.0</v>
      </c>
      <c r="B806" s="11" t="s">
        <v>3483</v>
      </c>
      <c r="C806" s="11" t="s">
        <v>3484</v>
      </c>
      <c r="D806" s="11" t="s">
        <v>110</v>
      </c>
      <c r="E806" s="11" t="s">
        <v>2388</v>
      </c>
      <c r="F806" s="11" t="s">
        <v>6525</v>
      </c>
      <c r="G806" s="12">
        <v>45808.0</v>
      </c>
      <c r="H806" s="13">
        <v>45809.0</v>
      </c>
      <c r="I806" s="11" t="s">
        <v>25</v>
      </c>
      <c r="J806" s="11" t="s">
        <v>37</v>
      </c>
      <c r="K806" s="14" t="s">
        <v>31</v>
      </c>
      <c r="L806" s="11" t="s">
        <v>62</v>
      </c>
      <c r="M806" s="11" t="s">
        <v>6526</v>
      </c>
      <c r="N806" s="16" t="s">
        <v>5135</v>
      </c>
      <c r="O806" s="16"/>
      <c r="P806" s="16"/>
      <c r="Q806" s="17"/>
      <c r="R806" s="17"/>
      <c r="S806" s="17"/>
      <c r="T806" s="17"/>
      <c r="U806" s="17"/>
      <c r="V806" s="17"/>
      <c r="W806" s="17"/>
      <c r="X806" s="17"/>
      <c r="Y806" s="17"/>
    </row>
    <row r="807" ht="18.75" customHeight="1">
      <c r="A807" s="9">
        <v>806.0</v>
      </c>
      <c r="B807" s="11" t="s">
        <v>3486</v>
      </c>
      <c r="C807" s="11" t="s">
        <v>3487</v>
      </c>
      <c r="D807" s="11" t="s">
        <v>110</v>
      </c>
      <c r="E807" s="11" t="s">
        <v>2616</v>
      </c>
      <c r="F807" s="11" t="s">
        <v>6527</v>
      </c>
      <c r="G807" s="12">
        <v>45796.0</v>
      </c>
      <c r="H807" s="13">
        <v>45797.0</v>
      </c>
      <c r="I807" s="11" t="s">
        <v>25</v>
      </c>
      <c r="J807" s="11" t="s">
        <v>22</v>
      </c>
      <c r="K807" s="14" t="s">
        <v>31</v>
      </c>
      <c r="L807" s="11"/>
      <c r="M807" s="15"/>
      <c r="N807" s="16" t="s">
        <v>5135</v>
      </c>
      <c r="O807" s="16"/>
      <c r="P807" s="16"/>
      <c r="Q807" s="17"/>
      <c r="R807" s="17"/>
      <c r="S807" s="17"/>
      <c r="T807" s="17"/>
      <c r="U807" s="17"/>
      <c r="V807" s="17"/>
      <c r="W807" s="17"/>
      <c r="X807" s="17"/>
      <c r="Y807" s="17"/>
    </row>
    <row r="808" ht="18.75" customHeight="1">
      <c r="A808" s="9">
        <v>807.0</v>
      </c>
      <c r="B808" s="11" t="s">
        <v>3489</v>
      </c>
      <c r="C808" s="11" t="s">
        <v>3490</v>
      </c>
      <c r="D808" s="11" t="s">
        <v>128</v>
      </c>
      <c r="E808" s="11" t="s">
        <v>2392</v>
      </c>
      <c r="F808" s="11" t="s">
        <v>6528</v>
      </c>
      <c r="G808" s="12">
        <v>45777.0</v>
      </c>
      <c r="H808" s="13">
        <v>45778.0</v>
      </c>
      <c r="I808" s="11" t="s">
        <v>251</v>
      </c>
      <c r="J808" s="11" t="s">
        <v>213</v>
      </c>
      <c r="K808" s="14" t="s">
        <v>31</v>
      </c>
      <c r="L808" s="11"/>
      <c r="M808" s="15"/>
      <c r="N808" s="16" t="s">
        <v>5135</v>
      </c>
      <c r="O808" s="16"/>
      <c r="P808" s="16"/>
      <c r="Q808" s="17"/>
      <c r="R808" s="17"/>
      <c r="S808" s="17"/>
      <c r="T808" s="17"/>
      <c r="U808" s="17"/>
      <c r="V808" s="17"/>
      <c r="W808" s="17"/>
      <c r="X808" s="17"/>
      <c r="Y808" s="17"/>
    </row>
    <row r="809" ht="18.75" customHeight="1">
      <c r="A809" s="9">
        <v>808.0</v>
      </c>
      <c r="B809" s="11" t="s">
        <v>3491</v>
      </c>
      <c r="C809" s="11" t="s">
        <v>3492</v>
      </c>
      <c r="D809" s="11" t="s">
        <v>122</v>
      </c>
      <c r="E809" s="11" t="s">
        <v>3493</v>
      </c>
      <c r="F809" s="11" t="s">
        <v>6529</v>
      </c>
      <c r="G809" s="12">
        <v>45808.0</v>
      </c>
      <c r="H809" s="13">
        <v>45809.0</v>
      </c>
      <c r="I809" s="11" t="s">
        <v>25</v>
      </c>
      <c r="J809" s="11" t="s">
        <v>37</v>
      </c>
      <c r="K809" s="14" t="s">
        <v>31</v>
      </c>
      <c r="L809" s="11" t="s">
        <v>62</v>
      </c>
      <c r="M809" s="11" t="s">
        <v>6414</v>
      </c>
      <c r="N809" s="16" t="s">
        <v>5135</v>
      </c>
      <c r="O809" s="16"/>
      <c r="P809" s="16"/>
      <c r="Q809" s="17"/>
      <c r="R809" s="17"/>
      <c r="S809" s="17"/>
      <c r="T809" s="17"/>
      <c r="U809" s="17"/>
      <c r="V809" s="17"/>
      <c r="W809" s="17"/>
      <c r="X809" s="17"/>
      <c r="Y809" s="17"/>
    </row>
    <row r="810" ht="18.75" customHeight="1">
      <c r="A810" s="9">
        <v>809.0</v>
      </c>
      <c r="B810" s="11" t="s">
        <v>6530</v>
      </c>
      <c r="C810" s="11" t="s">
        <v>6531</v>
      </c>
      <c r="D810" s="222" t="s">
        <v>313</v>
      </c>
      <c r="E810" s="11" t="s">
        <v>3025</v>
      </c>
      <c r="F810" s="11" t="s">
        <v>6532</v>
      </c>
      <c r="G810" s="12">
        <v>45777.0</v>
      </c>
      <c r="H810" s="13">
        <v>45778.0</v>
      </c>
      <c r="I810" s="11" t="s">
        <v>25</v>
      </c>
      <c r="J810" s="11" t="s">
        <v>5173</v>
      </c>
      <c r="K810" s="14" t="s">
        <v>31</v>
      </c>
      <c r="L810" s="11" t="s">
        <v>74</v>
      </c>
      <c r="M810" s="15"/>
      <c r="N810" s="16" t="s">
        <v>5135</v>
      </c>
      <c r="O810" s="16"/>
      <c r="P810" s="16"/>
      <c r="Q810" s="17"/>
      <c r="R810" s="17"/>
      <c r="S810" s="17"/>
      <c r="T810" s="17"/>
      <c r="U810" s="17"/>
      <c r="V810" s="17"/>
      <c r="W810" s="17"/>
      <c r="X810" s="17"/>
      <c r="Y810" s="17"/>
    </row>
    <row r="811" ht="18.75" customHeight="1">
      <c r="A811" s="9">
        <v>810.0</v>
      </c>
      <c r="B811" s="11" t="s">
        <v>6533</v>
      </c>
      <c r="C811" s="11" t="s">
        <v>6534</v>
      </c>
      <c r="D811" s="222" t="s">
        <v>313</v>
      </c>
      <c r="E811" s="11" t="s">
        <v>2346</v>
      </c>
      <c r="F811" s="11" t="s">
        <v>6535</v>
      </c>
      <c r="G811" s="12">
        <v>45777.0</v>
      </c>
      <c r="H811" s="13">
        <v>45778.0</v>
      </c>
      <c r="I811" s="11" t="s">
        <v>25</v>
      </c>
      <c r="J811" s="11" t="s">
        <v>5173</v>
      </c>
      <c r="K811" s="14" t="s">
        <v>31</v>
      </c>
      <c r="L811" s="11" t="s">
        <v>74</v>
      </c>
      <c r="M811" s="15"/>
      <c r="N811" s="16" t="s">
        <v>5135</v>
      </c>
      <c r="O811" s="16"/>
      <c r="P811" s="16"/>
      <c r="Q811" s="17"/>
      <c r="R811" s="17"/>
      <c r="S811" s="17"/>
      <c r="T811" s="17"/>
      <c r="U811" s="17"/>
      <c r="V811" s="17"/>
      <c r="W811" s="17"/>
      <c r="X811" s="17"/>
      <c r="Y811" s="17"/>
    </row>
    <row r="812" ht="18.75" customHeight="1">
      <c r="A812" s="9">
        <v>811.0</v>
      </c>
      <c r="B812" s="11" t="s">
        <v>6536</v>
      </c>
      <c r="C812" s="11" t="s">
        <v>6537</v>
      </c>
      <c r="D812" s="11" t="s">
        <v>28</v>
      </c>
      <c r="E812" s="11" t="s">
        <v>2620</v>
      </c>
      <c r="F812" s="11" t="s">
        <v>6538</v>
      </c>
      <c r="G812" s="12">
        <v>45777.0</v>
      </c>
      <c r="H812" s="13">
        <v>45778.0</v>
      </c>
      <c r="I812" s="11" t="s">
        <v>25</v>
      </c>
      <c r="J812" s="11" t="s">
        <v>5173</v>
      </c>
      <c r="K812" s="14" t="s">
        <v>31</v>
      </c>
      <c r="L812" s="11" t="s">
        <v>74</v>
      </c>
      <c r="M812" s="15"/>
      <c r="N812" s="16" t="s">
        <v>5135</v>
      </c>
      <c r="O812" s="16"/>
      <c r="P812" s="16"/>
      <c r="Q812" s="17"/>
      <c r="R812" s="17"/>
      <c r="S812" s="17"/>
      <c r="T812" s="17"/>
      <c r="U812" s="17"/>
      <c r="V812" s="17"/>
      <c r="W812" s="17"/>
      <c r="X812" s="17"/>
      <c r="Y812" s="17"/>
    </row>
    <row r="813" ht="18.75" customHeight="1">
      <c r="A813" s="9">
        <v>812.0</v>
      </c>
      <c r="B813" s="11" t="s">
        <v>6539</v>
      </c>
      <c r="C813" s="11" t="s">
        <v>6540</v>
      </c>
      <c r="D813" s="11" t="s">
        <v>28</v>
      </c>
      <c r="E813" s="11" t="s">
        <v>867</v>
      </c>
      <c r="F813" s="11" t="s">
        <v>6541</v>
      </c>
      <c r="G813" s="12">
        <v>45777.0</v>
      </c>
      <c r="H813" s="13">
        <v>45778.0</v>
      </c>
      <c r="I813" s="11" t="s">
        <v>25</v>
      </c>
      <c r="J813" s="11" t="s">
        <v>5173</v>
      </c>
      <c r="K813" s="14" t="s">
        <v>31</v>
      </c>
      <c r="L813" s="11" t="s">
        <v>74</v>
      </c>
      <c r="M813" s="15"/>
      <c r="N813" s="16" t="s">
        <v>5135</v>
      </c>
      <c r="O813" s="16"/>
      <c r="P813" s="16"/>
      <c r="Q813" s="17"/>
      <c r="R813" s="17"/>
      <c r="S813" s="17"/>
      <c r="T813" s="17"/>
      <c r="U813" s="17"/>
      <c r="V813" s="17"/>
      <c r="W813" s="17"/>
      <c r="X813" s="17"/>
      <c r="Y813" s="17"/>
    </row>
    <row r="814" ht="18.75" customHeight="1">
      <c r="A814" s="9">
        <v>813.0</v>
      </c>
      <c r="B814" s="11" t="s">
        <v>6542</v>
      </c>
      <c r="C814" s="11" t="s">
        <v>6543</v>
      </c>
      <c r="D814" s="11" t="s">
        <v>28</v>
      </c>
      <c r="E814" s="11" t="s">
        <v>3973</v>
      </c>
      <c r="F814" s="11" t="s">
        <v>6544</v>
      </c>
      <c r="G814" s="12">
        <v>45777.0</v>
      </c>
      <c r="H814" s="13">
        <v>45778.0</v>
      </c>
      <c r="I814" s="11" t="s">
        <v>25</v>
      </c>
      <c r="J814" s="11" t="s">
        <v>5173</v>
      </c>
      <c r="K814" s="14" t="s">
        <v>31</v>
      </c>
      <c r="L814" s="11" t="s">
        <v>74</v>
      </c>
      <c r="M814" s="15"/>
      <c r="N814" s="16" t="s">
        <v>5135</v>
      </c>
      <c r="O814" s="16"/>
      <c r="P814" s="16"/>
      <c r="Q814" s="17"/>
      <c r="R814" s="17"/>
      <c r="S814" s="17"/>
      <c r="T814" s="17"/>
      <c r="U814" s="17"/>
      <c r="V814" s="17"/>
      <c r="W814" s="17"/>
      <c r="X814" s="17"/>
      <c r="Y814" s="17"/>
    </row>
    <row r="815" ht="18.75" customHeight="1">
      <c r="A815" s="9">
        <v>814.0</v>
      </c>
      <c r="B815" s="11" t="s">
        <v>6545</v>
      </c>
      <c r="C815" s="11" t="s">
        <v>6546</v>
      </c>
      <c r="D815" s="11" t="s">
        <v>6547</v>
      </c>
      <c r="E815" s="11" t="s">
        <v>314</v>
      </c>
      <c r="F815" s="11" t="s">
        <v>6548</v>
      </c>
      <c r="G815" s="12">
        <v>45777.0</v>
      </c>
      <c r="H815" s="13">
        <v>45778.0</v>
      </c>
      <c r="I815" s="11" t="s">
        <v>25</v>
      </c>
      <c r="J815" s="11" t="s">
        <v>5173</v>
      </c>
      <c r="K815" s="14" t="s">
        <v>31</v>
      </c>
      <c r="L815" s="11" t="s">
        <v>74</v>
      </c>
      <c r="M815" s="15"/>
      <c r="N815" s="16" t="s">
        <v>5135</v>
      </c>
      <c r="O815" s="16"/>
      <c r="P815" s="16"/>
      <c r="Q815" s="17"/>
      <c r="R815" s="17"/>
      <c r="S815" s="17"/>
      <c r="T815" s="17"/>
      <c r="U815" s="17"/>
      <c r="V815" s="17"/>
      <c r="W815" s="17"/>
      <c r="X815" s="17"/>
      <c r="Y815" s="17"/>
    </row>
    <row r="816" ht="18.75" customHeight="1">
      <c r="A816" s="9">
        <v>815.0</v>
      </c>
      <c r="B816" s="11" t="s">
        <v>2812</v>
      </c>
      <c r="C816" s="11" t="s">
        <v>3495</v>
      </c>
      <c r="D816" s="11" t="s">
        <v>2305</v>
      </c>
      <c r="E816" s="11" t="s">
        <v>3496</v>
      </c>
      <c r="F816" s="11" t="s">
        <v>6245</v>
      </c>
      <c r="G816" s="13">
        <v>45838.0</v>
      </c>
      <c r="H816" s="13">
        <v>45839.0</v>
      </c>
      <c r="I816" s="11" t="s">
        <v>25</v>
      </c>
      <c r="J816" s="11" t="s">
        <v>37</v>
      </c>
      <c r="K816" s="14" t="s">
        <v>31</v>
      </c>
      <c r="L816" s="11" t="s">
        <v>62</v>
      </c>
      <c r="M816" s="15"/>
      <c r="N816" s="16" t="s">
        <v>5135</v>
      </c>
      <c r="O816" s="16"/>
      <c r="P816" s="16"/>
      <c r="Q816" s="17"/>
      <c r="R816" s="17"/>
      <c r="S816" s="17"/>
      <c r="T816" s="17"/>
      <c r="U816" s="17"/>
      <c r="V816" s="17"/>
      <c r="W816" s="17"/>
      <c r="X816" s="17"/>
      <c r="Y816" s="17"/>
    </row>
    <row r="817" ht="18.75" customHeight="1">
      <c r="A817" s="9">
        <v>816.0</v>
      </c>
      <c r="B817" s="11" t="s">
        <v>3498</v>
      </c>
      <c r="C817" s="11" t="s">
        <v>3499</v>
      </c>
      <c r="D817" s="11" t="s">
        <v>313</v>
      </c>
      <c r="E817" s="11" t="s">
        <v>2362</v>
      </c>
      <c r="F817" s="11" t="s">
        <v>6549</v>
      </c>
      <c r="G817" s="12">
        <v>45802.0</v>
      </c>
      <c r="H817" s="12">
        <v>45803.0</v>
      </c>
      <c r="I817" s="11" t="s">
        <v>119</v>
      </c>
      <c r="J817" s="11" t="s">
        <v>22</v>
      </c>
      <c r="K817" s="14" t="s">
        <v>31</v>
      </c>
      <c r="L817" s="11" t="s">
        <v>50</v>
      </c>
      <c r="M817" s="15"/>
      <c r="N817" s="16" t="s">
        <v>5135</v>
      </c>
      <c r="O817" s="16"/>
      <c r="P817" s="16"/>
      <c r="Q817" s="17"/>
      <c r="R817" s="17"/>
      <c r="S817" s="17"/>
      <c r="T817" s="17"/>
      <c r="U817" s="17"/>
      <c r="V817" s="17"/>
      <c r="W817" s="17"/>
      <c r="X817" s="17"/>
      <c r="Y817" s="17"/>
    </row>
    <row r="818" ht="18.75" customHeight="1">
      <c r="A818" s="9">
        <v>817.0</v>
      </c>
      <c r="B818" s="11" t="s">
        <v>3501</v>
      </c>
      <c r="C818" s="11" t="s">
        <v>3502</v>
      </c>
      <c r="D818" s="11" t="s">
        <v>42</v>
      </c>
      <c r="E818" s="11" t="s">
        <v>3503</v>
      </c>
      <c r="F818" s="11" t="s">
        <v>6550</v>
      </c>
      <c r="G818" s="12">
        <v>45808.0</v>
      </c>
      <c r="H818" s="13">
        <v>45809.0</v>
      </c>
      <c r="I818" s="11" t="s">
        <v>25</v>
      </c>
      <c r="J818" s="11" t="s">
        <v>37</v>
      </c>
      <c r="K818" s="14" t="s">
        <v>31</v>
      </c>
      <c r="L818" s="11" t="s">
        <v>74</v>
      </c>
      <c r="M818" s="11" t="s">
        <v>1045</v>
      </c>
      <c r="N818" s="16" t="s">
        <v>5135</v>
      </c>
      <c r="O818" s="16"/>
      <c r="P818" s="16"/>
      <c r="Q818" s="17"/>
      <c r="R818" s="17"/>
      <c r="S818" s="17"/>
      <c r="T818" s="17"/>
      <c r="U818" s="17"/>
      <c r="V818" s="17"/>
      <c r="W818" s="17"/>
      <c r="X818" s="17"/>
      <c r="Y818" s="17"/>
    </row>
    <row r="819" ht="18.75" customHeight="1">
      <c r="A819" s="9">
        <v>818.0</v>
      </c>
      <c r="B819" s="11" t="s">
        <v>3505</v>
      </c>
      <c r="C819" s="11" t="s">
        <v>3506</v>
      </c>
      <c r="D819" s="11" t="s">
        <v>59</v>
      </c>
      <c r="E819" s="11" t="s">
        <v>3503</v>
      </c>
      <c r="F819" s="11" t="s">
        <v>6551</v>
      </c>
      <c r="G819" s="12">
        <v>45808.0</v>
      </c>
      <c r="H819" s="13">
        <v>45809.0</v>
      </c>
      <c r="I819" s="11" t="s">
        <v>25</v>
      </c>
      <c r="J819" s="11" t="s">
        <v>37</v>
      </c>
      <c r="K819" s="14" t="s">
        <v>31</v>
      </c>
      <c r="L819" s="11" t="s">
        <v>74</v>
      </c>
      <c r="M819" s="11" t="s">
        <v>1045</v>
      </c>
      <c r="N819" s="16" t="s">
        <v>5135</v>
      </c>
      <c r="O819" s="16"/>
      <c r="P819" s="16"/>
      <c r="Q819" s="17"/>
      <c r="R819" s="17"/>
      <c r="S819" s="17"/>
      <c r="T819" s="17"/>
      <c r="U819" s="17"/>
      <c r="V819" s="17"/>
      <c r="W819" s="17"/>
      <c r="X819" s="17"/>
      <c r="Y819" s="17"/>
    </row>
    <row r="820" ht="18.75" customHeight="1">
      <c r="A820" s="9">
        <v>819.0</v>
      </c>
      <c r="B820" s="11" t="s">
        <v>3508</v>
      </c>
      <c r="C820" s="11" t="s">
        <v>3509</v>
      </c>
      <c r="D820" s="11" t="s">
        <v>59</v>
      </c>
      <c r="E820" s="11" t="s">
        <v>3503</v>
      </c>
      <c r="F820" s="11" t="s">
        <v>6552</v>
      </c>
      <c r="G820" s="12">
        <v>45808.0</v>
      </c>
      <c r="H820" s="13">
        <v>45809.0</v>
      </c>
      <c r="I820" s="11" t="s">
        <v>25</v>
      </c>
      <c r="J820" s="11" t="s">
        <v>37</v>
      </c>
      <c r="K820" s="14" t="s">
        <v>31</v>
      </c>
      <c r="L820" s="11" t="s">
        <v>74</v>
      </c>
      <c r="M820" s="11" t="s">
        <v>1045</v>
      </c>
      <c r="N820" s="16" t="s">
        <v>5135</v>
      </c>
      <c r="O820" s="16"/>
      <c r="P820" s="16"/>
      <c r="Q820" s="17"/>
      <c r="R820" s="17"/>
      <c r="S820" s="17"/>
      <c r="T820" s="17"/>
      <c r="U820" s="17"/>
      <c r="V820" s="17"/>
      <c r="W820" s="17"/>
      <c r="X820" s="17"/>
      <c r="Y820" s="17"/>
    </row>
    <row r="821" ht="18.75" customHeight="1">
      <c r="A821" s="9">
        <v>820.0</v>
      </c>
      <c r="B821" s="11" t="s">
        <v>3511</v>
      </c>
      <c r="C821" s="11" t="s">
        <v>3512</v>
      </c>
      <c r="D821" s="11" t="s">
        <v>71</v>
      </c>
      <c r="E821" s="11" t="s">
        <v>3503</v>
      </c>
      <c r="F821" s="11" t="s">
        <v>6553</v>
      </c>
      <c r="G821" s="12">
        <v>45808.0</v>
      </c>
      <c r="H821" s="13">
        <v>45809.0</v>
      </c>
      <c r="I821" s="11" t="s">
        <v>25</v>
      </c>
      <c r="J821" s="11" t="s">
        <v>37</v>
      </c>
      <c r="K821" s="14" t="s">
        <v>31</v>
      </c>
      <c r="L821" s="11" t="s">
        <v>74</v>
      </c>
      <c r="M821" s="11" t="s">
        <v>1045</v>
      </c>
      <c r="N821" s="16" t="s">
        <v>5135</v>
      </c>
      <c r="O821" s="16"/>
      <c r="P821" s="16"/>
      <c r="Q821" s="17"/>
      <c r="R821" s="17"/>
      <c r="S821" s="17"/>
      <c r="T821" s="17"/>
      <c r="U821" s="17"/>
      <c r="V821" s="17"/>
      <c r="W821" s="17"/>
      <c r="X821" s="17"/>
      <c r="Y821" s="17"/>
    </row>
    <row r="822" ht="18.75" customHeight="1">
      <c r="A822" s="9">
        <v>821.0</v>
      </c>
      <c r="B822" s="11" t="s">
        <v>3514</v>
      </c>
      <c r="C822" s="11" t="s">
        <v>3515</v>
      </c>
      <c r="D822" s="11" t="s">
        <v>122</v>
      </c>
      <c r="E822" s="11" t="s">
        <v>3503</v>
      </c>
      <c r="F822" s="11" t="s">
        <v>6554</v>
      </c>
      <c r="G822" s="12">
        <v>45808.0</v>
      </c>
      <c r="H822" s="13">
        <v>45809.0</v>
      </c>
      <c r="I822" s="11" t="s">
        <v>25</v>
      </c>
      <c r="J822" s="11" t="s">
        <v>37</v>
      </c>
      <c r="K822" s="14" t="s">
        <v>31</v>
      </c>
      <c r="L822" s="11" t="s">
        <v>74</v>
      </c>
      <c r="M822" s="11" t="s">
        <v>1045</v>
      </c>
      <c r="N822" s="16" t="s">
        <v>5135</v>
      </c>
      <c r="O822" s="16"/>
      <c r="P822" s="16"/>
      <c r="Q822" s="17"/>
      <c r="R822" s="17"/>
      <c r="S822" s="17"/>
      <c r="T822" s="17"/>
      <c r="U822" s="17"/>
      <c r="V822" s="17"/>
      <c r="W822" s="17"/>
      <c r="X822" s="17"/>
      <c r="Y822" s="17"/>
    </row>
    <row r="823" ht="18.75" customHeight="1">
      <c r="A823" s="9">
        <v>822.0</v>
      </c>
      <c r="B823" s="11" t="s">
        <v>3517</v>
      </c>
      <c r="C823" s="11" t="s">
        <v>3518</v>
      </c>
      <c r="D823" s="11" t="s">
        <v>122</v>
      </c>
      <c r="E823" s="11" t="s">
        <v>3503</v>
      </c>
      <c r="F823" s="11" t="s">
        <v>6555</v>
      </c>
      <c r="G823" s="12">
        <v>45808.0</v>
      </c>
      <c r="H823" s="13">
        <v>45809.0</v>
      </c>
      <c r="I823" s="11" t="s">
        <v>25</v>
      </c>
      <c r="J823" s="11" t="s">
        <v>37</v>
      </c>
      <c r="K823" s="14" t="s">
        <v>31</v>
      </c>
      <c r="L823" s="11" t="s">
        <v>74</v>
      </c>
      <c r="M823" s="11" t="s">
        <v>1045</v>
      </c>
      <c r="N823" s="16" t="s">
        <v>5135</v>
      </c>
      <c r="O823" s="16"/>
      <c r="P823" s="16"/>
      <c r="Q823" s="17"/>
      <c r="R823" s="17"/>
      <c r="S823" s="17"/>
      <c r="T823" s="17"/>
      <c r="U823" s="17"/>
      <c r="V823" s="17"/>
      <c r="W823" s="17"/>
      <c r="X823" s="17"/>
      <c r="Y823" s="17"/>
    </row>
    <row r="824" ht="18.75" customHeight="1">
      <c r="A824" s="9">
        <v>823.0</v>
      </c>
      <c r="B824" s="11" t="s">
        <v>3520</v>
      </c>
      <c r="C824" s="11" t="s">
        <v>3521</v>
      </c>
      <c r="D824" s="11" t="s">
        <v>122</v>
      </c>
      <c r="E824" s="11" t="s">
        <v>3503</v>
      </c>
      <c r="F824" s="11" t="s">
        <v>6556</v>
      </c>
      <c r="G824" s="12">
        <v>45808.0</v>
      </c>
      <c r="H824" s="13">
        <v>45809.0</v>
      </c>
      <c r="I824" s="11" t="s">
        <v>25</v>
      </c>
      <c r="J824" s="11" t="s">
        <v>37</v>
      </c>
      <c r="K824" s="14" t="s">
        <v>31</v>
      </c>
      <c r="L824" s="11" t="s">
        <v>74</v>
      </c>
      <c r="M824" s="11" t="s">
        <v>1045</v>
      </c>
      <c r="N824" s="16" t="s">
        <v>5135</v>
      </c>
      <c r="O824" s="16"/>
      <c r="P824" s="16"/>
      <c r="Q824" s="17"/>
      <c r="R824" s="17"/>
      <c r="S824" s="17"/>
      <c r="T824" s="17"/>
      <c r="U824" s="17"/>
      <c r="V824" s="17"/>
      <c r="W824" s="17"/>
      <c r="X824" s="17"/>
      <c r="Y824" s="17"/>
    </row>
    <row r="825" ht="18.75" customHeight="1">
      <c r="A825" s="9">
        <v>824.0</v>
      </c>
      <c r="B825" s="11" t="s">
        <v>3523</v>
      </c>
      <c r="C825" s="11" t="s">
        <v>3524</v>
      </c>
      <c r="D825" s="11" t="s">
        <v>342</v>
      </c>
      <c r="E825" s="11" t="s">
        <v>410</v>
      </c>
      <c r="F825" s="11" t="s">
        <v>6557</v>
      </c>
      <c r="G825" s="13">
        <v>45821.0</v>
      </c>
      <c r="H825" s="13">
        <v>45822.0</v>
      </c>
      <c r="I825" s="11" t="s">
        <v>25</v>
      </c>
      <c r="J825" s="11" t="s">
        <v>37</v>
      </c>
      <c r="K825" s="14" t="s">
        <v>31</v>
      </c>
      <c r="L825" s="11" t="s">
        <v>50</v>
      </c>
      <c r="M825" s="15"/>
      <c r="N825" s="16" t="s">
        <v>5135</v>
      </c>
      <c r="O825" s="16"/>
      <c r="P825" s="16"/>
      <c r="Q825" s="17"/>
      <c r="R825" s="17"/>
      <c r="S825" s="17"/>
      <c r="T825" s="17"/>
      <c r="U825" s="17"/>
      <c r="V825" s="17"/>
      <c r="W825" s="17"/>
      <c r="X825" s="17"/>
      <c r="Y825" s="17"/>
    </row>
    <row r="826" ht="18.75" customHeight="1">
      <c r="A826" s="9">
        <v>825.0</v>
      </c>
      <c r="B826" s="11" t="s">
        <v>3526</v>
      </c>
      <c r="C826" s="11" t="s">
        <v>3527</v>
      </c>
      <c r="D826" s="11" t="s">
        <v>636</v>
      </c>
      <c r="E826" s="11" t="s">
        <v>3186</v>
      </c>
      <c r="F826" s="11" t="s">
        <v>6558</v>
      </c>
      <c r="G826" s="13">
        <v>45900.0</v>
      </c>
      <c r="H826" s="13">
        <v>45901.0</v>
      </c>
      <c r="I826" s="11" t="s">
        <v>25</v>
      </c>
      <c r="J826" s="11" t="s">
        <v>22</v>
      </c>
      <c r="K826" s="14" t="s">
        <v>31</v>
      </c>
      <c r="L826" s="11" t="s">
        <v>50</v>
      </c>
      <c r="M826" s="15"/>
      <c r="N826" s="16" t="s">
        <v>5135</v>
      </c>
      <c r="O826" s="16"/>
      <c r="P826" s="16"/>
      <c r="Q826" s="17"/>
      <c r="R826" s="17"/>
      <c r="S826" s="17"/>
      <c r="T826" s="17"/>
      <c r="U826" s="17"/>
      <c r="V826" s="17"/>
      <c r="W826" s="17"/>
      <c r="X826" s="17"/>
      <c r="Y826" s="17"/>
    </row>
    <row r="827" ht="18.75" customHeight="1">
      <c r="A827" s="9">
        <v>826.0</v>
      </c>
      <c r="B827" s="11" t="s">
        <v>3529</v>
      </c>
      <c r="C827" s="11" t="s">
        <v>3530</v>
      </c>
      <c r="D827" s="23" t="s">
        <v>2015</v>
      </c>
      <c r="E827" s="11" t="s">
        <v>2301</v>
      </c>
      <c r="F827" s="11" t="s">
        <v>6559</v>
      </c>
      <c r="G827" s="13">
        <v>45814.0</v>
      </c>
      <c r="H827" s="13">
        <v>45815.0</v>
      </c>
      <c r="I827" s="11" t="s">
        <v>119</v>
      </c>
      <c r="J827" s="11" t="s">
        <v>37</v>
      </c>
      <c r="K827" s="14" t="s">
        <v>31</v>
      </c>
      <c r="L827" s="11" t="s">
        <v>50</v>
      </c>
      <c r="M827" s="15"/>
      <c r="N827" s="16" t="s">
        <v>5135</v>
      </c>
      <c r="O827" s="16"/>
      <c r="P827" s="16"/>
      <c r="Q827" s="17"/>
      <c r="R827" s="17"/>
      <c r="S827" s="17"/>
      <c r="T827" s="17"/>
      <c r="U827" s="17"/>
      <c r="V827" s="17"/>
      <c r="W827" s="17"/>
      <c r="X827" s="17"/>
      <c r="Y827" s="17"/>
    </row>
    <row r="828" ht="18.75" customHeight="1">
      <c r="A828" s="9">
        <v>827.0</v>
      </c>
      <c r="B828" s="11" t="s">
        <v>3532</v>
      </c>
      <c r="C828" s="11" t="s">
        <v>3533</v>
      </c>
      <c r="D828" s="11" t="s">
        <v>59</v>
      </c>
      <c r="E828" s="11" t="s">
        <v>2380</v>
      </c>
      <c r="F828" s="11" t="s">
        <v>6560</v>
      </c>
      <c r="G828" s="12">
        <v>45823.0</v>
      </c>
      <c r="H828" s="13">
        <v>45824.0</v>
      </c>
      <c r="I828" s="11" t="s">
        <v>25</v>
      </c>
      <c r="J828" s="11" t="s">
        <v>37</v>
      </c>
      <c r="K828" s="14" t="s">
        <v>31</v>
      </c>
      <c r="L828" s="11" t="s">
        <v>50</v>
      </c>
      <c r="M828" s="15"/>
      <c r="N828" s="16" t="s">
        <v>5135</v>
      </c>
      <c r="O828" s="16"/>
      <c r="P828" s="16"/>
      <c r="Q828" s="17"/>
      <c r="R828" s="17"/>
      <c r="S828" s="17"/>
      <c r="T828" s="17"/>
      <c r="U828" s="17"/>
      <c r="V828" s="17"/>
      <c r="W828" s="17"/>
      <c r="X828" s="17"/>
      <c r="Y828" s="17"/>
    </row>
    <row r="829" ht="18.75" customHeight="1">
      <c r="A829" s="9">
        <v>828.0</v>
      </c>
      <c r="B829" s="11" t="s">
        <v>3535</v>
      </c>
      <c r="C829" s="11" t="s">
        <v>3536</v>
      </c>
      <c r="D829" s="11" t="s">
        <v>110</v>
      </c>
      <c r="E829" s="11" t="s">
        <v>2380</v>
      </c>
      <c r="F829" s="11" t="s">
        <v>6561</v>
      </c>
      <c r="G829" s="12">
        <v>45823.0</v>
      </c>
      <c r="H829" s="13">
        <v>45824.0</v>
      </c>
      <c r="I829" s="11" t="s">
        <v>25</v>
      </c>
      <c r="J829" s="11" t="s">
        <v>22</v>
      </c>
      <c r="K829" s="14" t="s">
        <v>31</v>
      </c>
      <c r="L829" s="11"/>
      <c r="M829" s="15"/>
      <c r="N829" s="16" t="s">
        <v>5135</v>
      </c>
      <c r="O829" s="16"/>
      <c r="P829" s="16"/>
      <c r="Q829" s="17"/>
      <c r="R829" s="17"/>
      <c r="S829" s="17"/>
      <c r="T829" s="17"/>
      <c r="U829" s="17"/>
      <c r="V829" s="17"/>
      <c r="W829" s="17"/>
      <c r="X829" s="17"/>
      <c r="Y829" s="17"/>
    </row>
    <row r="830" ht="18.75" customHeight="1">
      <c r="A830" s="9">
        <v>829.0</v>
      </c>
      <c r="B830" s="11" t="s">
        <v>3538</v>
      </c>
      <c r="C830" s="11" t="s">
        <v>3539</v>
      </c>
      <c r="D830" s="11" t="s">
        <v>677</v>
      </c>
      <c r="E830" s="11" t="s">
        <v>690</v>
      </c>
      <c r="F830" s="11" t="s">
        <v>6562</v>
      </c>
      <c r="G830" s="13">
        <v>45821.0</v>
      </c>
      <c r="H830" s="13">
        <v>45822.0</v>
      </c>
      <c r="I830" s="11" t="s">
        <v>25</v>
      </c>
      <c r="J830" s="11" t="s">
        <v>37</v>
      </c>
      <c r="K830" s="14" t="s">
        <v>31</v>
      </c>
      <c r="L830" s="11" t="s">
        <v>50</v>
      </c>
      <c r="M830" s="15"/>
      <c r="N830" s="16" t="s">
        <v>5135</v>
      </c>
      <c r="O830" s="16"/>
      <c r="P830" s="16"/>
      <c r="Q830" s="17"/>
      <c r="R830" s="17"/>
      <c r="S830" s="17"/>
      <c r="T830" s="17"/>
      <c r="U830" s="17"/>
      <c r="V830" s="17"/>
      <c r="W830" s="17"/>
      <c r="X830" s="17"/>
      <c r="Y830" s="17"/>
    </row>
    <row r="831" ht="18.75" customHeight="1">
      <c r="A831" s="9">
        <v>830.0</v>
      </c>
      <c r="B831" s="11" t="s">
        <v>3541</v>
      </c>
      <c r="C831" s="11" t="s">
        <v>3542</v>
      </c>
      <c r="D831" s="11" t="s">
        <v>128</v>
      </c>
      <c r="E831" s="11" t="s">
        <v>3543</v>
      </c>
      <c r="F831" s="11" t="s">
        <v>6563</v>
      </c>
      <c r="G831" s="12">
        <v>45808.0</v>
      </c>
      <c r="H831" s="13">
        <v>45809.0</v>
      </c>
      <c r="I831" s="11" t="s">
        <v>25</v>
      </c>
      <c r="J831" s="11" t="s">
        <v>37</v>
      </c>
      <c r="K831" s="14" t="s">
        <v>31</v>
      </c>
      <c r="L831" s="11" t="s">
        <v>62</v>
      </c>
      <c r="M831" s="11" t="s">
        <v>6564</v>
      </c>
      <c r="N831" s="16" t="s">
        <v>5135</v>
      </c>
      <c r="O831" s="16"/>
      <c r="P831" s="16"/>
      <c r="Q831" s="17"/>
      <c r="R831" s="17"/>
      <c r="S831" s="17"/>
      <c r="T831" s="17"/>
      <c r="U831" s="17"/>
      <c r="V831" s="17"/>
      <c r="W831" s="17"/>
      <c r="X831" s="17"/>
      <c r="Y831" s="17"/>
    </row>
    <row r="832" ht="18.75" customHeight="1">
      <c r="A832" s="9">
        <v>831.0</v>
      </c>
      <c r="B832" s="11" t="s">
        <v>3549</v>
      </c>
      <c r="C832" s="11" t="s">
        <v>3550</v>
      </c>
      <c r="D832" s="11" t="s">
        <v>216</v>
      </c>
      <c r="E832" s="11" t="s">
        <v>1167</v>
      </c>
      <c r="F832" s="11" t="s">
        <v>6565</v>
      </c>
      <c r="G832" s="12">
        <v>45808.0</v>
      </c>
      <c r="H832" s="13">
        <v>45809.0</v>
      </c>
      <c r="I832" s="11" t="s">
        <v>119</v>
      </c>
      <c r="J832" s="11" t="s">
        <v>37</v>
      </c>
      <c r="K832" s="14" t="s">
        <v>31</v>
      </c>
      <c r="L832" s="11" t="s">
        <v>50</v>
      </c>
      <c r="M832" s="15"/>
      <c r="N832" s="16" t="s">
        <v>5135</v>
      </c>
      <c r="O832" s="16"/>
      <c r="P832" s="16"/>
      <c r="Q832" s="17"/>
      <c r="R832" s="17"/>
      <c r="S832" s="17"/>
      <c r="T832" s="17"/>
      <c r="U832" s="17"/>
      <c r="V832" s="17"/>
      <c r="W832" s="17"/>
      <c r="X832" s="17"/>
      <c r="Y832" s="17"/>
    </row>
    <row r="833" ht="18.75" customHeight="1">
      <c r="A833" s="9">
        <v>832.0</v>
      </c>
      <c r="B833" s="11" t="s">
        <v>3552</v>
      </c>
      <c r="C833" s="11" t="s">
        <v>3553</v>
      </c>
      <c r="D833" s="11" t="s">
        <v>342</v>
      </c>
      <c r="E833" s="11" t="s">
        <v>3554</v>
      </c>
      <c r="F833" s="11" t="s">
        <v>6566</v>
      </c>
      <c r="G833" s="12">
        <v>45808.0</v>
      </c>
      <c r="H833" s="13">
        <v>45809.0</v>
      </c>
      <c r="I833" s="11" t="s">
        <v>25</v>
      </c>
      <c r="J833" s="11" t="s">
        <v>37</v>
      </c>
      <c r="K833" s="14" t="s">
        <v>31</v>
      </c>
      <c r="L833" s="11" t="s">
        <v>50</v>
      </c>
      <c r="M833" s="11" t="s">
        <v>6567</v>
      </c>
      <c r="N833" s="16" t="s">
        <v>5135</v>
      </c>
      <c r="O833" s="16"/>
      <c r="P833" s="16"/>
      <c r="Q833" s="17"/>
      <c r="R833" s="17"/>
      <c r="S833" s="17"/>
      <c r="T833" s="17"/>
      <c r="U833" s="17"/>
      <c r="V833" s="17"/>
      <c r="W833" s="17"/>
      <c r="X833" s="17"/>
      <c r="Y833" s="17"/>
    </row>
    <row r="834" ht="18.75" customHeight="1">
      <c r="A834" s="9">
        <v>833.0</v>
      </c>
      <c r="B834" s="11" t="s">
        <v>3545</v>
      </c>
      <c r="C834" s="11" t="s">
        <v>3546</v>
      </c>
      <c r="D834" s="11" t="s">
        <v>173</v>
      </c>
      <c r="E834" s="11" t="s">
        <v>3547</v>
      </c>
      <c r="F834" s="11" t="s">
        <v>6568</v>
      </c>
      <c r="G834" s="13">
        <v>45838.0</v>
      </c>
      <c r="H834" s="13">
        <v>45839.0</v>
      </c>
      <c r="I834" s="11" t="s">
        <v>25</v>
      </c>
      <c r="J834" s="11" t="s">
        <v>22</v>
      </c>
      <c r="K834" s="14" t="s">
        <v>31</v>
      </c>
      <c r="L834" s="11"/>
      <c r="M834" s="15"/>
      <c r="N834" s="16" t="s">
        <v>5135</v>
      </c>
      <c r="O834" s="16"/>
      <c r="P834" s="16"/>
      <c r="Q834" s="17"/>
      <c r="R834" s="17"/>
      <c r="S834" s="17"/>
      <c r="T834" s="17"/>
      <c r="U834" s="17"/>
      <c r="V834" s="17"/>
      <c r="W834" s="17"/>
      <c r="X834" s="17"/>
      <c r="Y834" s="17"/>
    </row>
    <row r="835" ht="18.75" customHeight="1">
      <c r="A835" s="9">
        <v>834.0</v>
      </c>
      <c r="B835" s="11" t="s">
        <v>176</v>
      </c>
      <c r="C835" s="11" t="s">
        <v>177</v>
      </c>
      <c r="D835" s="11" t="s">
        <v>42</v>
      </c>
      <c r="E835" s="11" t="s">
        <v>2380</v>
      </c>
      <c r="F835" s="11" t="s">
        <v>179</v>
      </c>
      <c r="G835" s="13">
        <v>45838.0</v>
      </c>
      <c r="H835" s="13">
        <v>45839.0</v>
      </c>
      <c r="I835" s="11" t="s">
        <v>21</v>
      </c>
      <c r="J835" s="11" t="s">
        <v>22</v>
      </c>
      <c r="K835" s="14" t="s">
        <v>531</v>
      </c>
      <c r="L835" s="11"/>
      <c r="M835" s="11" t="s">
        <v>6569</v>
      </c>
      <c r="N835" s="16" t="s">
        <v>5135</v>
      </c>
      <c r="O835" s="16"/>
      <c r="P835" s="16"/>
      <c r="Q835" s="17"/>
      <c r="R835" s="17"/>
      <c r="S835" s="17"/>
      <c r="T835" s="17"/>
      <c r="U835" s="17"/>
      <c r="V835" s="17"/>
      <c r="W835" s="17"/>
      <c r="X835" s="17"/>
      <c r="Y835" s="17"/>
    </row>
    <row r="836" ht="18.75" customHeight="1">
      <c r="A836" s="9">
        <v>835.0</v>
      </c>
      <c r="B836" s="11" t="s">
        <v>3557</v>
      </c>
      <c r="C836" s="11" t="s">
        <v>2379</v>
      </c>
      <c r="D836" s="11" t="s">
        <v>122</v>
      </c>
      <c r="E836" s="11" t="s">
        <v>2380</v>
      </c>
      <c r="F836" s="11" t="s">
        <v>6570</v>
      </c>
      <c r="G836" s="13">
        <v>45823.0</v>
      </c>
      <c r="H836" s="13">
        <v>45824.0</v>
      </c>
      <c r="I836" s="11" t="s">
        <v>25</v>
      </c>
      <c r="J836" s="11" t="s">
        <v>37</v>
      </c>
      <c r="K836" s="14" t="s">
        <v>31</v>
      </c>
      <c r="L836" s="11" t="s">
        <v>74</v>
      </c>
      <c r="M836" s="11" t="s">
        <v>6418</v>
      </c>
      <c r="N836" s="16" t="s">
        <v>5135</v>
      </c>
      <c r="O836" s="16"/>
      <c r="P836" s="16"/>
      <c r="Q836" s="17"/>
      <c r="R836" s="17"/>
      <c r="S836" s="17"/>
      <c r="T836" s="17"/>
      <c r="U836" s="17"/>
      <c r="V836" s="17"/>
      <c r="W836" s="17"/>
      <c r="X836" s="17"/>
      <c r="Y836" s="17"/>
    </row>
    <row r="837" ht="18.75" customHeight="1">
      <c r="A837" s="9">
        <v>836.0</v>
      </c>
      <c r="B837" s="11" t="s">
        <v>3559</v>
      </c>
      <c r="C837" s="11" t="s">
        <v>3560</v>
      </c>
      <c r="D837" s="11" t="s">
        <v>128</v>
      </c>
      <c r="E837" s="11" t="s">
        <v>2525</v>
      </c>
      <c r="F837" s="11" t="s">
        <v>6571</v>
      </c>
      <c r="G837" s="12">
        <v>45801.0</v>
      </c>
      <c r="H837" s="13">
        <v>45802.0</v>
      </c>
      <c r="I837" s="11" t="s">
        <v>25</v>
      </c>
      <c r="J837" s="11" t="s">
        <v>22</v>
      </c>
      <c r="K837" s="14" t="s">
        <v>31</v>
      </c>
      <c r="L837" s="11"/>
      <c r="M837" s="15"/>
      <c r="N837" s="16" t="s">
        <v>5135</v>
      </c>
      <c r="O837" s="16"/>
      <c r="P837" s="16"/>
      <c r="Q837" s="17"/>
      <c r="R837" s="17"/>
      <c r="S837" s="17"/>
      <c r="T837" s="17"/>
      <c r="U837" s="17"/>
      <c r="V837" s="17"/>
      <c r="W837" s="17"/>
      <c r="X837" s="17"/>
      <c r="Y837" s="17"/>
    </row>
    <row r="838" ht="18.75" customHeight="1">
      <c r="A838" s="9">
        <v>837.0</v>
      </c>
      <c r="B838" s="11" t="s">
        <v>3562</v>
      </c>
      <c r="C838" s="11" t="s">
        <v>3563</v>
      </c>
      <c r="D838" s="11" t="s">
        <v>414</v>
      </c>
      <c r="E838" s="11" t="s">
        <v>3292</v>
      </c>
      <c r="F838" s="11" t="s">
        <v>6572</v>
      </c>
      <c r="G838" s="13">
        <v>45838.0</v>
      </c>
      <c r="H838" s="13">
        <v>45839.0</v>
      </c>
      <c r="I838" s="11" t="s">
        <v>25</v>
      </c>
      <c r="J838" s="11" t="s">
        <v>22</v>
      </c>
      <c r="K838" s="14" t="s">
        <v>31</v>
      </c>
      <c r="L838" s="11"/>
      <c r="M838" s="15"/>
      <c r="N838" s="16" t="s">
        <v>5135</v>
      </c>
      <c r="O838" s="16"/>
      <c r="P838" s="16"/>
      <c r="Q838" s="17"/>
      <c r="R838" s="17"/>
      <c r="S838" s="17"/>
      <c r="T838" s="17"/>
      <c r="U838" s="17"/>
      <c r="V838" s="17"/>
      <c r="W838" s="17"/>
      <c r="X838" s="17"/>
      <c r="Y838" s="17"/>
    </row>
    <row r="839" ht="18.75" customHeight="1">
      <c r="A839" s="9">
        <v>839.0</v>
      </c>
      <c r="B839" s="11" t="s">
        <v>3566</v>
      </c>
      <c r="C839" s="11" t="s">
        <v>3567</v>
      </c>
      <c r="D839" s="11" t="s">
        <v>42</v>
      </c>
      <c r="E839" s="11" t="s">
        <v>2609</v>
      </c>
      <c r="F839" s="11" t="s">
        <v>6573</v>
      </c>
      <c r="G839" s="12">
        <v>45808.0</v>
      </c>
      <c r="H839" s="13">
        <v>45809.0</v>
      </c>
      <c r="I839" s="11" t="s">
        <v>25</v>
      </c>
      <c r="J839" s="11" t="s">
        <v>22</v>
      </c>
      <c r="K839" s="14" t="s">
        <v>31</v>
      </c>
      <c r="L839" s="11"/>
      <c r="M839" s="15"/>
      <c r="N839" s="16" t="s">
        <v>5135</v>
      </c>
      <c r="O839" s="16"/>
      <c r="P839" s="16"/>
      <c r="Q839" s="17"/>
      <c r="R839" s="17"/>
      <c r="S839" s="17"/>
      <c r="T839" s="17"/>
      <c r="U839" s="17"/>
      <c r="V839" s="17"/>
      <c r="W839" s="17"/>
      <c r="X839" s="17"/>
      <c r="Y839" s="17"/>
    </row>
    <row r="840" ht="18.75" customHeight="1">
      <c r="A840" s="9">
        <v>840.0</v>
      </c>
      <c r="B840" s="11" t="s">
        <v>3569</v>
      </c>
      <c r="C840" s="11" t="s">
        <v>3570</v>
      </c>
      <c r="D840" s="11" t="s">
        <v>3571</v>
      </c>
      <c r="E840" s="11" t="s">
        <v>686</v>
      </c>
      <c r="F840" s="11" t="s">
        <v>6574</v>
      </c>
      <c r="G840" s="13">
        <v>45821.0</v>
      </c>
      <c r="H840" s="13">
        <v>45822.0</v>
      </c>
      <c r="I840" s="11" t="s">
        <v>25</v>
      </c>
      <c r="J840" s="11" t="s">
        <v>37</v>
      </c>
      <c r="K840" s="14" t="s">
        <v>31</v>
      </c>
      <c r="L840" s="11"/>
      <c r="M840" s="15"/>
      <c r="N840" s="16" t="s">
        <v>5135</v>
      </c>
      <c r="O840" s="16"/>
      <c r="P840" s="16"/>
      <c r="Q840" s="17"/>
      <c r="R840" s="17"/>
      <c r="S840" s="17"/>
      <c r="T840" s="17"/>
      <c r="U840" s="17"/>
      <c r="V840" s="17"/>
      <c r="W840" s="17"/>
      <c r="X840" s="17"/>
      <c r="Y840" s="17"/>
    </row>
    <row r="841" ht="18.75" customHeight="1">
      <c r="A841" s="9">
        <v>841.0</v>
      </c>
      <c r="B841" s="11" t="s">
        <v>3573</v>
      </c>
      <c r="C841" s="11" t="s">
        <v>3574</v>
      </c>
      <c r="D841" s="11" t="s">
        <v>646</v>
      </c>
      <c r="E841" s="11" t="s">
        <v>3547</v>
      </c>
      <c r="F841" s="11" t="s">
        <v>6575</v>
      </c>
      <c r="G841" s="13">
        <v>45838.0</v>
      </c>
      <c r="H841" s="13">
        <v>45839.0</v>
      </c>
      <c r="I841" s="11" t="s">
        <v>25</v>
      </c>
      <c r="J841" s="11" t="s">
        <v>37</v>
      </c>
      <c r="K841" s="14" t="s">
        <v>31</v>
      </c>
      <c r="L841" s="11"/>
      <c r="M841" s="15"/>
      <c r="N841" s="16" t="s">
        <v>5135</v>
      </c>
      <c r="O841" s="16"/>
      <c r="P841" s="16"/>
      <c r="Q841" s="17"/>
      <c r="R841" s="17"/>
      <c r="S841" s="17"/>
      <c r="T841" s="17"/>
      <c r="U841" s="17"/>
      <c r="V841" s="17"/>
      <c r="W841" s="17"/>
      <c r="X841" s="17"/>
      <c r="Y841" s="17"/>
    </row>
    <row r="842" ht="18.75" customHeight="1">
      <c r="A842" s="9">
        <v>842.0</v>
      </c>
      <c r="B842" s="11" t="s">
        <v>6576</v>
      </c>
      <c r="C842" s="11" t="s">
        <v>6577</v>
      </c>
      <c r="D842" s="11" t="s">
        <v>28</v>
      </c>
      <c r="E842" s="11" t="s">
        <v>2362</v>
      </c>
      <c r="F842" s="11" t="s">
        <v>6578</v>
      </c>
      <c r="G842" s="12">
        <v>45777.0</v>
      </c>
      <c r="H842" s="13">
        <v>45778.0</v>
      </c>
      <c r="I842" s="11" t="s">
        <v>251</v>
      </c>
      <c r="J842" s="11"/>
      <c r="K842" s="14" t="s">
        <v>31</v>
      </c>
      <c r="L842" s="11"/>
      <c r="M842" s="15"/>
      <c r="N842" s="16" t="s">
        <v>5135</v>
      </c>
      <c r="O842" s="16"/>
      <c r="P842" s="16"/>
      <c r="Q842" s="17"/>
      <c r="R842" s="17"/>
      <c r="S842" s="17"/>
      <c r="T842" s="17"/>
      <c r="U842" s="17"/>
      <c r="V842" s="17"/>
      <c r="W842" s="17"/>
      <c r="X842" s="17"/>
      <c r="Y842" s="17"/>
    </row>
    <row r="843" ht="18.75" customHeight="1">
      <c r="A843" s="9">
        <v>843.0</v>
      </c>
      <c r="B843" s="11" t="s">
        <v>3576</v>
      </c>
      <c r="C843" s="11" t="s">
        <v>3577</v>
      </c>
      <c r="D843" s="11" t="s">
        <v>128</v>
      </c>
      <c r="E843" s="11" t="s">
        <v>2843</v>
      </c>
      <c r="F843" s="11" t="s">
        <v>6579</v>
      </c>
      <c r="G843" s="12">
        <v>45828.0</v>
      </c>
      <c r="H843" s="13">
        <v>45829.0</v>
      </c>
      <c r="I843" s="11" t="s">
        <v>25</v>
      </c>
      <c r="J843" s="11" t="s">
        <v>22</v>
      </c>
      <c r="K843" s="14" t="s">
        <v>31</v>
      </c>
      <c r="L843" s="11"/>
      <c r="M843" s="11" t="s">
        <v>6580</v>
      </c>
      <c r="N843" s="16" t="s">
        <v>5135</v>
      </c>
      <c r="O843" s="16"/>
      <c r="P843" s="16"/>
      <c r="Q843" s="17"/>
      <c r="R843" s="17"/>
      <c r="S843" s="17"/>
      <c r="T843" s="17"/>
      <c r="U843" s="17"/>
      <c r="V843" s="17"/>
      <c r="W843" s="17"/>
      <c r="X843" s="17"/>
      <c r="Y843" s="17"/>
    </row>
    <row r="844" ht="18.75" customHeight="1">
      <c r="A844" s="9">
        <v>844.0</v>
      </c>
      <c r="B844" s="11" t="s">
        <v>3579</v>
      </c>
      <c r="C844" s="11" t="s">
        <v>3580</v>
      </c>
      <c r="D844" s="11" t="s">
        <v>110</v>
      </c>
      <c r="E844" s="11" t="s">
        <v>2395</v>
      </c>
      <c r="F844" s="11" t="s">
        <v>6581</v>
      </c>
      <c r="G844" s="12">
        <v>45783.0</v>
      </c>
      <c r="H844" s="13">
        <v>45784.0</v>
      </c>
      <c r="I844" s="11" t="s">
        <v>251</v>
      </c>
      <c r="J844" s="11" t="s">
        <v>213</v>
      </c>
      <c r="K844" s="14" t="s">
        <v>31</v>
      </c>
      <c r="L844" s="11"/>
      <c r="M844" s="15"/>
      <c r="N844" s="16" t="s">
        <v>5135</v>
      </c>
      <c r="O844" s="16"/>
      <c r="P844" s="16"/>
      <c r="Q844" s="17"/>
      <c r="R844" s="17"/>
      <c r="S844" s="17"/>
      <c r="T844" s="17"/>
      <c r="U844" s="17"/>
      <c r="V844" s="17"/>
      <c r="W844" s="17"/>
      <c r="X844" s="17"/>
      <c r="Y844" s="17"/>
    </row>
    <row r="845" ht="18.75" customHeight="1">
      <c r="A845" s="9">
        <v>845.0</v>
      </c>
      <c r="B845" s="11" t="s">
        <v>3581</v>
      </c>
      <c r="C845" s="11" t="s">
        <v>3582</v>
      </c>
      <c r="D845" s="11" t="s">
        <v>303</v>
      </c>
      <c r="E845" s="11" t="s">
        <v>2392</v>
      </c>
      <c r="F845" s="11" t="s">
        <v>6582</v>
      </c>
      <c r="G845" s="12">
        <v>45788.0</v>
      </c>
      <c r="H845" s="13">
        <v>45789.0</v>
      </c>
      <c r="I845" s="11" t="s">
        <v>251</v>
      </c>
      <c r="J845" s="11" t="s">
        <v>213</v>
      </c>
      <c r="K845" s="14" t="s">
        <v>31</v>
      </c>
      <c r="L845" s="11"/>
      <c r="M845" s="15"/>
      <c r="N845" s="16" t="s">
        <v>5135</v>
      </c>
      <c r="O845" s="16"/>
      <c r="P845" s="16"/>
      <c r="Q845" s="17"/>
      <c r="R845" s="17"/>
      <c r="S845" s="17"/>
      <c r="T845" s="17"/>
      <c r="U845" s="17"/>
      <c r="V845" s="17"/>
      <c r="W845" s="17"/>
      <c r="X845" s="17"/>
      <c r="Y845" s="17"/>
    </row>
    <row r="846" ht="18.75" customHeight="1">
      <c r="A846" s="9">
        <v>846.0</v>
      </c>
      <c r="B846" s="11" t="s">
        <v>3583</v>
      </c>
      <c r="C846" s="11" t="s">
        <v>3584</v>
      </c>
      <c r="D846" s="11" t="s">
        <v>289</v>
      </c>
      <c r="E846" s="11" t="s">
        <v>290</v>
      </c>
      <c r="F846" s="11" t="s">
        <v>6583</v>
      </c>
      <c r="G846" s="12">
        <v>45808.0</v>
      </c>
      <c r="H846" s="13">
        <v>45809.0</v>
      </c>
      <c r="I846" s="11" t="s">
        <v>25</v>
      </c>
      <c r="J846" s="11" t="s">
        <v>37</v>
      </c>
      <c r="K846" s="14" t="s">
        <v>31</v>
      </c>
      <c r="L846" s="11"/>
      <c r="M846" s="15"/>
      <c r="N846" s="16" t="s">
        <v>5135</v>
      </c>
      <c r="O846" s="16"/>
      <c r="P846" s="16"/>
      <c r="Q846" s="17"/>
      <c r="R846" s="17"/>
      <c r="S846" s="17"/>
      <c r="T846" s="17"/>
      <c r="U846" s="17"/>
      <c r="V846" s="17"/>
      <c r="W846" s="17"/>
      <c r="X846" s="17"/>
      <c r="Y846" s="17"/>
    </row>
    <row r="847" ht="18.75" customHeight="1">
      <c r="A847" s="9">
        <v>847.0</v>
      </c>
      <c r="B847" s="25" t="s">
        <v>3586</v>
      </c>
      <c r="C847" s="25" t="s">
        <v>3587</v>
      </c>
      <c r="D847" s="25" t="s">
        <v>706</v>
      </c>
      <c r="E847" s="25" t="s">
        <v>3186</v>
      </c>
      <c r="F847" s="11" t="s">
        <v>6584</v>
      </c>
      <c r="G847" s="12">
        <v>45814.0</v>
      </c>
      <c r="H847" s="13">
        <v>45815.0</v>
      </c>
      <c r="I847" s="11" t="s">
        <v>119</v>
      </c>
      <c r="J847" s="11" t="s">
        <v>37</v>
      </c>
      <c r="K847" s="14" t="s">
        <v>31</v>
      </c>
      <c r="L847" s="11" t="s">
        <v>50</v>
      </c>
      <c r="M847" s="15"/>
      <c r="N847" s="16" t="s">
        <v>5135</v>
      </c>
      <c r="O847" s="16"/>
      <c r="P847" s="16"/>
      <c r="Q847" s="17"/>
      <c r="R847" s="17"/>
      <c r="S847" s="17"/>
      <c r="T847" s="17"/>
      <c r="U847" s="17"/>
      <c r="V847" s="17"/>
      <c r="W847" s="17"/>
      <c r="X847" s="17"/>
      <c r="Y847" s="17"/>
    </row>
    <row r="848" ht="18.75" customHeight="1">
      <c r="A848" s="9">
        <v>848.0</v>
      </c>
      <c r="B848" s="11" t="s">
        <v>3589</v>
      </c>
      <c r="C848" s="11" t="s">
        <v>3590</v>
      </c>
      <c r="D848" s="11" t="s">
        <v>59</v>
      </c>
      <c r="E848" s="11" t="s">
        <v>2840</v>
      </c>
      <c r="F848" s="11" t="s">
        <v>6585</v>
      </c>
      <c r="G848" s="12">
        <v>45802.0</v>
      </c>
      <c r="H848" s="13">
        <v>45803.0</v>
      </c>
      <c r="I848" s="11" t="s">
        <v>119</v>
      </c>
      <c r="J848" s="11" t="s">
        <v>22</v>
      </c>
      <c r="K848" s="14" t="s">
        <v>31</v>
      </c>
      <c r="L848" s="11"/>
      <c r="M848" s="15"/>
      <c r="N848" s="16" t="s">
        <v>5135</v>
      </c>
      <c r="O848" s="16"/>
      <c r="P848" s="16"/>
      <c r="Q848" s="17"/>
      <c r="R848" s="17"/>
      <c r="S848" s="17"/>
      <c r="T848" s="17"/>
      <c r="U848" s="17"/>
      <c r="V848" s="17"/>
      <c r="W848" s="17"/>
      <c r="X848" s="17"/>
      <c r="Y848" s="17"/>
    </row>
    <row r="849" ht="18.75" customHeight="1">
      <c r="A849" s="9">
        <v>849.0</v>
      </c>
      <c r="B849" s="11" t="s">
        <v>3594</v>
      </c>
      <c r="C849" s="11" t="s">
        <v>3595</v>
      </c>
      <c r="D849" s="11" t="s">
        <v>3596</v>
      </c>
      <c r="E849" s="11" t="s">
        <v>3597</v>
      </c>
      <c r="F849" s="11" t="s">
        <v>6586</v>
      </c>
      <c r="G849" s="13">
        <v>45838.0</v>
      </c>
      <c r="H849" s="13">
        <v>45839.0</v>
      </c>
      <c r="I849" s="11" t="s">
        <v>25</v>
      </c>
      <c r="J849" s="11" t="s">
        <v>22</v>
      </c>
      <c r="K849" s="14" t="s">
        <v>31</v>
      </c>
      <c r="L849" s="11" t="s">
        <v>38</v>
      </c>
      <c r="M849" s="15"/>
      <c r="N849" s="16" t="s">
        <v>5135</v>
      </c>
      <c r="O849" s="16"/>
      <c r="P849" s="16"/>
      <c r="Q849" s="17"/>
      <c r="R849" s="17"/>
      <c r="S849" s="17"/>
      <c r="T849" s="17"/>
      <c r="U849" s="17"/>
      <c r="V849" s="17"/>
      <c r="W849" s="17"/>
      <c r="X849" s="17"/>
      <c r="Y849" s="17"/>
    </row>
    <row r="850" ht="18.75" customHeight="1">
      <c r="A850" s="9">
        <v>850.0</v>
      </c>
      <c r="B850" s="11" t="s">
        <v>3599</v>
      </c>
      <c r="C850" s="11" t="s">
        <v>3600</v>
      </c>
      <c r="D850" s="11" t="s">
        <v>444</v>
      </c>
      <c r="E850" s="11" t="s">
        <v>3601</v>
      </c>
      <c r="F850" s="11" t="s">
        <v>6587</v>
      </c>
      <c r="G850" s="12">
        <v>45808.0</v>
      </c>
      <c r="H850" s="13">
        <v>45809.0</v>
      </c>
      <c r="I850" s="11" t="s">
        <v>25</v>
      </c>
      <c r="J850" s="11" t="s">
        <v>22</v>
      </c>
      <c r="K850" s="14" t="s">
        <v>31</v>
      </c>
      <c r="L850" s="11"/>
      <c r="M850" s="15"/>
      <c r="N850" s="16" t="s">
        <v>5135</v>
      </c>
      <c r="O850" s="16"/>
      <c r="P850" s="16"/>
      <c r="Q850" s="17"/>
      <c r="R850" s="17"/>
      <c r="S850" s="17"/>
      <c r="T850" s="17"/>
      <c r="U850" s="17"/>
      <c r="V850" s="17"/>
      <c r="W850" s="17"/>
      <c r="X850" s="17"/>
      <c r="Y850" s="17"/>
    </row>
    <row r="851" ht="18.75" customHeight="1">
      <c r="A851" s="9">
        <v>851.0</v>
      </c>
      <c r="B851" s="11" t="s">
        <v>3603</v>
      </c>
      <c r="C851" s="11" t="s">
        <v>3604</v>
      </c>
      <c r="D851" s="11" t="s">
        <v>94</v>
      </c>
      <c r="E851" s="11" t="s">
        <v>3605</v>
      </c>
      <c r="F851" s="11" t="s">
        <v>6588</v>
      </c>
      <c r="G851" s="12">
        <v>45810.0</v>
      </c>
      <c r="H851" s="13">
        <v>45811.0</v>
      </c>
      <c r="I851" s="11" t="s">
        <v>25</v>
      </c>
      <c r="J851" s="11" t="s">
        <v>22</v>
      </c>
      <c r="K851" s="14" t="s">
        <v>31</v>
      </c>
      <c r="L851" s="11"/>
      <c r="M851" s="15"/>
      <c r="N851" s="16" t="s">
        <v>5135</v>
      </c>
      <c r="O851" s="16"/>
      <c r="P851" s="16"/>
      <c r="Q851" s="17"/>
      <c r="R851" s="17"/>
      <c r="S851" s="17"/>
      <c r="T851" s="17"/>
      <c r="U851" s="17"/>
      <c r="V851" s="17"/>
      <c r="W851" s="17"/>
      <c r="X851" s="17"/>
      <c r="Y851" s="17"/>
    </row>
    <row r="852" ht="18.75" customHeight="1">
      <c r="A852" s="9">
        <v>852.0</v>
      </c>
      <c r="B852" s="11" t="s">
        <v>3607</v>
      </c>
      <c r="C852" s="11" t="s">
        <v>3608</v>
      </c>
      <c r="D852" s="11" t="s">
        <v>711</v>
      </c>
      <c r="E852" s="11" t="s">
        <v>3609</v>
      </c>
      <c r="F852" s="11" t="s">
        <v>6589</v>
      </c>
      <c r="G852" s="13">
        <v>45838.0</v>
      </c>
      <c r="H852" s="13">
        <v>45839.0</v>
      </c>
      <c r="I852" s="11" t="s">
        <v>25</v>
      </c>
      <c r="J852" s="11" t="s">
        <v>37</v>
      </c>
      <c r="K852" s="14" t="s">
        <v>31</v>
      </c>
      <c r="L852" s="11"/>
      <c r="M852" s="15"/>
      <c r="N852" s="16" t="s">
        <v>5135</v>
      </c>
      <c r="O852" s="16"/>
      <c r="P852" s="16"/>
      <c r="Q852" s="17"/>
      <c r="R852" s="17"/>
      <c r="S852" s="17"/>
      <c r="T852" s="17"/>
      <c r="U852" s="17"/>
      <c r="V852" s="17"/>
      <c r="W852" s="17"/>
      <c r="X852" s="17"/>
      <c r="Y852" s="17"/>
    </row>
    <row r="853" ht="18.75" customHeight="1">
      <c r="A853" s="9">
        <v>853.0</v>
      </c>
      <c r="B853" s="11" t="s">
        <v>3611</v>
      </c>
      <c r="C853" s="11" t="s">
        <v>3612</v>
      </c>
      <c r="D853" s="11" t="s">
        <v>701</v>
      </c>
      <c r="E853" s="11" t="s">
        <v>3380</v>
      </c>
      <c r="F853" s="11" t="s">
        <v>6590</v>
      </c>
      <c r="G853" s="13">
        <v>45838.0</v>
      </c>
      <c r="H853" s="13">
        <v>45839.0</v>
      </c>
      <c r="I853" s="11" t="s">
        <v>25</v>
      </c>
      <c r="J853" s="11" t="s">
        <v>37</v>
      </c>
      <c r="K853" s="14" t="s">
        <v>31</v>
      </c>
      <c r="L853" s="11" t="s">
        <v>62</v>
      </c>
      <c r="M853" s="11" t="s">
        <v>6591</v>
      </c>
      <c r="N853" s="16" t="s">
        <v>5135</v>
      </c>
      <c r="O853" s="16"/>
      <c r="P853" s="16"/>
      <c r="Q853" s="17"/>
      <c r="R853" s="17"/>
      <c r="S853" s="17"/>
      <c r="T853" s="17"/>
      <c r="U853" s="17"/>
      <c r="V853" s="17"/>
      <c r="W853" s="17"/>
      <c r="X853" s="17"/>
      <c r="Y853" s="17"/>
    </row>
    <row r="854" ht="18.75" customHeight="1">
      <c r="A854" s="9">
        <v>854.0</v>
      </c>
      <c r="B854" s="11" t="s">
        <v>3614</v>
      </c>
      <c r="C854" s="11" t="s">
        <v>3615</v>
      </c>
      <c r="D854" s="11" t="s">
        <v>444</v>
      </c>
      <c r="E854" s="11" t="s">
        <v>3616</v>
      </c>
      <c r="F854" s="11" t="s">
        <v>6592</v>
      </c>
      <c r="G854" s="12">
        <v>45853.0</v>
      </c>
      <c r="H854" s="13">
        <v>45854.0</v>
      </c>
      <c r="I854" s="11" t="s">
        <v>25</v>
      </c>
      <c r="J854" s="11" t="s">
        <v>37</v>
      </c>
      <c r="K854" s="14" t="s">
        <v>31</v>
      </c>
      <c r="L854" s="11" t="s">
        <v>62</v>
      </c>
      <c r="M854" s="11" t="s">
        <v>6593</v>
      </c>
      <c r="N854" s="16" t="s">
        <v>5135</v>
      </c>
      <c r="O854" s="16"/>
      <c r="P854" s="16"/>
      <c r="Q854" s="17"/>
      <c r="R854" s="17"/>
      <c r="S854" s="17"/>
      <c r="T854" s="17"/>
      <c r="U854" s="17"/>
      <c r="V854" s="17"/>
      <c r="W854" s="17"/>
      <c r="X854" s="17"/>
      <c r="Y854" s="17"/>
    </row>
    <row r="855" ht="18.75" customHeight="1">
      <c r="A855" s="9">
        <v>855.0</v>
      </c>
      <c r="B855" s="11" t="s">
        <v>3618</v>
      </c>
      <c r="C855" s="11" t="s">
        <v>3619</v>
      </c>
      <c r="D855" s="11" t="s">
        <v>53</v>
      </c>
      <c r="E855" s="11" t="s">
        <v>3175</v>
      </c>
      <c r="F855" s="11" t="s">
        <v>6594</v>
      </c>
      <c r="G855" s="13">
        <v>45838.0</v>
      </c>
      <c r="H855" s="13">
        <v>45839.0</v>
      </c>
      <c r="I855" s="11" t="s">
        <v>25</v>
      </c>
      <c r="J855" s="11" t="s">
        <v>37</v>
      </c>
      <c r="K855" s="14" t="s">
        <v>31</v>
      </c>
      <c r="L855" s="11"/>
      <c r="M855" s="15"/>
      <c r="N855" s="16" t="s">
        <v>5135</v>
      </c>
      <c r="O855" s="16"/>
      <c r="P855" s="16"/>
      <c r="Q855" s="17"/>
      <c r="R855" s="17"/>
      <c r="S855" s="17"/>
      <c r="T855" s="17"/>
      <c r="U855" s="17"/>
      <c r="V855" s="17"/>
      <c r="W855" s="17"/>
      <c r="X855" s="17"/>
      <c r="Y855" s="17"/>
    </row>
    <row r="856" ht="18.75" customHeight="1">
      <c r="A856" s="9">
        <v>856.0</v>
      </c>
      <c r="B856" s="11" t="s">
        <v>3621</v>
      </c>
      <c r="C856" s="11" t="s">
        <v>3622</v>
      </c>
      <c r="D856" s="11" t="s">
        <v>122</v>
      </c>
      <c r="E856" s="11" t="s">
        <v>2392</v>
      </c>
      <c r="F856" s="11" t="s">
        <v>6595</v>
      </c>
      <c r="G856" s="12">
        <v>45808.0</v>
      </c>
      <c r="H856" s="13">
        <v>45809.0</v>
      </c>
      <c r="I856" s="11" t="s">
        <v>251</v>
      </c>
      <c r="J856" s="11" t="s">
        <v>213</v>
      </c>
      <c r="K856" s="14" t="s">
        <v>31</v>
      </c>
      <c r="L856" s="11"/>
      <c r="M856" s="15"/>
      <c r="N856" s="16" t="s">
        <v>5135</v>
      </c>
      <c r="O856" s="16"/>
      <c r="P856" s="16"/>
      <c r="Q856" s="17"/>
      <c r="R856" s="17"/>
      <c r="S856" s="17"/>
      <c r="T856" s="17"/>
      <c r="U856" s="17"/>
      <c r="V856" s="17"/>
      <c r="W856" s="17"/>
      <c r="X856" s="17"/>
      <c r="Y856" s="17"/>
    </row>
    <row r="857" ht="18.75" customHeight="1">
      <c r="A857" s="9">
        <v>857.0</v>
      </c>
      <c r="B857" s="11" t="s">
        <v>3623</v>
      </c>
      <c r="C857" s="11" t="s">
        <v>3624</v>
      </c>
      <c r="D857" s="11" t="s">
        <v>78</v>
      </c>
      <c r="E857" s="11" t="s">
        <v>3625</v>
      </c>
      <c r="F857" s="11" t="s">
        <v>6596</v>
      </c>
      <c r="G857" s="13">
        <v>45838.0</v>
      </c>
      <c r="H857" s="13">
        <v>45839.0</v>
      </c>
      <c r="I857" s="11" t="s">
        <v>25</v>
      </c>
      <c r="J857" s="11" t="s">
        <v>22</v>
      </c>
      <c r="K857" s="14" t="s">
        <v>31</v>
      </c>
      <c r="L857" s="11" t="s">
        <v>62</v>
      </c>
      <c r="M857" s="15"/>
      <c r="N857" s="16" t="s">
        <v>5135</v>
      </c>
      <c r="O857" s="16"/>
      <c r="P857" s="16"/>
      <c r="Q857" s="17"/>
      <c r="R857" s="17"/>
      <c r="S857" s="17"/>
      <c r="T857" s="17"/>
      <c r="U857" s="17"/>
      <c r="V857" s="17"/>
      <c r="W857" s="17"/>
      <c r="X857" s="17"/>
      <c r="Y857" s="17"/>
    </row>
    <row r="858" ht="18.75" customHeight="1">
      <c r="A858" s="9">
        <v>858.0</v>
      </c>
      <c r="B858" s="11" t="s">
        <v>3627</v>
      </c>
      <c r="C858" s="11" t="s">
        <v>3628</v>
      </c>
      <c r="D858" s="11" t="s">
        <v>122</v>
      </c>
      <c r="E858" s="11" t="s">
        <v>2616</v>
      </c>
      <c r="F858" s="11" t="s">
        <v>6597</v>
      </c>
      <c r="G858" s="13">
        <v>45838.0</v>
      </c>
      <c r="H858" s="13">
        <v>45839.0</v>
      </c>
      <c r="I858" s="11" t="s">
        <v>21</v>
      </c>
      <c r="J858" s="11" t="s">
        <v>22</v>
      </c>
      <c r="K858" s="14" t="s">
        <v>531</v>
      </c>
      <c r="L858" s="11"/>
      <c r="M858" s="15"/>
      <c r="N858" s="16" t="s">
        <v>5135</v>
      </c>
      <c r="O858" s="16"/>
      <c r="P858" s="16"/>
      <c r="Q858" s="17"/>
      <c r="R858" s="17"/>
      <c r="S858" s="17"/>
      <c r="T858" s="17"/>
      <c r="U858" s="17"/>
      <c r="V858" s="17"/>
      <c r="W858" s="17"/>
      <c r="X858" s="17"/>
      <c r="Y858" s="17"/>
    </row>
    <row r="859" ht="18.75" customHeight="1">
      <c r="A859" s="9">
        <v>859.0</v>
      </c>
      <c r="B859" s="11" t="s">
        <v>3630</v>
      </c>
      <c r="C859" s="11" t="s">
        <v>3631</v>
      </c>
      <c r="D859" s="11" t="s">
        <v>71</v>
      </c>
      <c r="E859" s="11" t="s">
        <v>2380</v>
      </c>
      <c r="F859" s="11" t="s">
        <v>6598</v>
      </c>
      <c r="G859" s="13">
        <v>45838.0</v>
      </c>
      <c r="H859" s="13">
        <v>45839.0</v>
      </c>
      <c r="I859" s="11" t="s">
        <v>25</v>
      </c>
      <c r="J859" s="11" t="s">
        <v>37</v>
      </c>
      <c r="K859" s="14" t="s">
        <v>31</v>
      </c>
      <c r="L859" s="11" t="s">
        <v>62</v>
      </c>
      <c r="M859" s="11" t="s">
        <v>5154</v>
      </c>
      <c r="N859" s="16" t="s">
        <v>5135</v>
      </c>
      <c r="O859" s="16"/>
      <c r="P859" s="16"/>
      <c r="Q859" s="17"/>
      <c r="R859" s="17"/>
      <c r="S859" s="17"/>
      <c r="T859" s="17"/>
      <c r="U859" s="17"/>
      <c r="V859" s="17"/>
      <c r="W859" s="17"/>
      <c r="X859" s="17"/>
      <c r="Y859" s="17"/>
    </row>
    <row r="860" ht="18.75" customHeight="1">
      <c r="A860" s="9">
        <v>860.0</v>
      </c>
      <c r="B860" s="11" t="s">
        <v>3633</v>
      </c>
      <c r="C860" s="11" t="s">
        <v>3634</v>
      </c>
      <c r="D860" s="11" t="s">
        <v>122</v>
      </c>
      <c r="E860" s="11" t="s">
        <v>2667</v>
      </c>
      <c r="F860" s="11" t="s">
        <v>6599</v>
      </c>
      <c r="G860" s="13">
        <v>45808.0</v>
      </c>
      <c r="H860" s="13">
        <v>45809.0</v>
      </c>
      <c r="I860" s="11" t="s">
        <v>251</v>
      </c>
      <c r="J860" s="11" t="s">
        <v>213</v>
      </c>
      <c r="K860" s="14" t="s">
        <v>31</v>
      </c>
      <c r="L860" s="11"/>
      <c r="M860" s="11" t="s">
        <v>1045</v>
      </c>
      <c r="N860" s="16" t="s">
        <v>5135</v>
      </c>
      <c r="O860" s="16"/>
      <c r="P860" s="16"/>
      <c r="Q860" s="17"/>
      <c r="R860" s="17"/>
      <c r="S860" s="17"/>
      <c r="T860" s="17"/>
      <c r="U860" s="17"/>
      <c r="V860" s="17"/>
      <c r="W860" s="17"/>
      <c r="X860" s="17"/>
      <c r="Y860" s="17"/>
    </row>
    <row r="861" ht="18.75" customHeight="1">
      <c r="A861" s="9">
        <v>861.0</v>
      </c>
      <c r="B861" s="11" t="s">
        <v>3636</v>
      </c>
      <c r="C861" s="11" t="s">
        <v>3637</v>
      </c>
      <c r="D861" s="11" t="s">
        <v>128</v>
      </c>
      <c r="E861" s="11" t="s">
        <v>2667</v>
      </c>
      <c r="F861" s="11" t="s">
        <v>6600</v>
      </c>
      <c r="G861" s="12">
        <v>45809.0</v>
      </c>
      <c r="H861" s="13">
        <v>45810.0</v>
      </c>
      <c r="I861" s="11" t="s">
        <v>119</v>
      </c>
      <c r="J861" s="11" t="s">
        <v>22</v>
      </c>
      <c r="K861" s="14" t="s">
        <v>31</v>
      </c>
      <c r="L861" s="11"/>
      <c r="M861" s="11" t="s">
        <v>1045</v>
      </c>
      <c r="N861" s="16" t="s">
        <v>5135</v>
      </c>
      <c r="O861" s="16"/>
      <c r="P861" s="16"/>
      <c r="Q861" s="17"/>
      <c r="R861" s="17"/>
      <c r="S861" s="17"/>
      <c r="T861" s="17"/>
      <c r="U861" s="17"/>
      <c r="V861" s="17"/>
      <c r="W861" s="17"/>
      <c r="X861" s="17"/>
      <c r="Y861" s="17"/>
    </row>
    <row r="862" ht="18.75" customHeight="1">
      <c r="A862" s="9">
        <v>862.0</v>
      </c>
      <c r="B862" s="11" t="s">
        <v>3639</v>
      </c>
      <c r="C862" s="11" t="s">
        <v>3640</v>
      </c>
      <c r="D862" s="11" t="s">
        <v>122</v>
      </c>
      <c r="E862" s="11" t="s">
        <v>2667</v>
      </c>
      <c r="F862" s="11" t="s">
        <v>6601</v>
      </c>
      <c r="G862" s="13">
        <v>45820.0</v>
      </c>
      <c r="H862" s="13">
        <v>45821.0</v>
      </c>
      <c r="I862" s="11" t="s">
        <v>251</v>
      </c>
      <c r="J862" s="11" t="s">
        <v>213</v>
      </c>
      <c r="K862" s="14" t="s">
        <v>31</v>
      </c>
      <c r="L862" s="11"/>
      <c r="M862" s="11" t="s">
        <v>1045</v>
      </c>
      <c r="N862" s="16" t="s">
        <v>5135</v>
      </c>
      <c r="O862" s="16"/>
      <c r="P862" s="16"/>
      <c r="Q862" s="17"/>
      <c r="R862" s="17"/>
      <c r="S862" s="17"/>
      <c r="T862" s="17"/>
      <c r="U862" s="17"/>
      <c r="V862" s="17"/>
      <c r="W862" s="17"/>
      <c r="X862" s="17"/>
      <c r="Y862" s="17"/>
    </row>
    <row r="863" ht="18.75" customHeight="1">
      <c r="A863" s="9">
        <v>863.0</v>
      </c>
      <c r="B863" s="11" t="s">
        <v>3642</v>
      </c>
      <c r="C863" s="11" t="s">
        <v>3643</v>
      </c>
      <c r="D863" s="11" t="s">
        <v>71</v>
      </c>
      <c r="E863" s="11" t="s">
        <v>2667</v>
      </c>
      <c r="F863" s="11" t="s">
        <v>6602</v>
      </c>
      <c r="G863" s="13">
        <v>45838.0</v>
      </c>
      <c r="H863" s="13">
        <v>45839.0</v>
      </c>
      <c r="I863" s="11" t="s">
        <v>25</v>
      </c>
      <c r="J863" s="11" t="s">
        <v>37</v>
      </c>
      <c r="K863" s="14" t="s">
        <v>31</v>
      </c>
      <c r="L863" s="11" t="s">
        <v>62</v>
      </c>
      <c r="M863" s="15"/>
      <c r="N863" s="16" t="s">
        <v>5135</v>
      </c>
      <c r="O863" s="16"/>
      <c r="P863" s="16"/>
      <c r="Q863" s="17"/>
      <c r="R863" s="17"/>
      <c r="S863" s="17"/>
      <c r="T863" s="17"/>
      <c r="U863" s="17"/>
      <c r="V863" s="17"/>
      <c r="W863" s="17"/>
      <c r="X863" s="17"/>
      <c r="Y863" s="17"/>
    </row>
    <row r="864" ht="18.75" customHeight="1">
      <c r="A864" s="9">
        <v>864.0</v>
      </c>
      <c r="B864" s="11" t="s">
        <v>3645</v>
      </c>
      <c r="C864" s="11" t="s">
        <v>3646</v>
      </c>
      <c r="D864" s="11" t="s">
        <v>1296</v>
      </c>
      <c r="E864" s="11" t="s">
        <v>410</v>
      </c>
      <c r="F864" s="11" t="s">
        <v>6603</v>
      </c>
      <c r="G864" s="13">
        <v>45838.0</v>
      </c>
      <c r="H864" s="13">
        <v>45839.0</v>
      </c>
      <c r="I864" s="11" t="s">
        <v>25</v>
      </c>
      <c r="J864" s="11" t="s">
        <v>37</v>
      </c>
      <c r="K864" s="14" t="s">
        <v>31</v>
      </c>
      <c r="L864" s="11"/>
      <c r="M864" s="15"/>
      <c r="N864" s="16" t="s">
        <v>5135</v>
      </c>
      <c r="O864" s="16"/>
      <c r="P864" s="16"/>
      <c r="Q864" s="17"/>
      <c r="R864" s="17"/>
      <c r="S864" s="17"/>
      <c r="T864" s="17"/>
      <c r="U864" s="17"/>
      <c r="V864" s="17"/>
      <c r="W864" s="17"/>
      <c r="X864" s="17"/>
      <c r="Y864" s="17"/>
    </row>
    <row r="865" ht="18.75" customHeight="1">
      <c r="A865" s="9">
        <v>865.0</v>
      </c>
      <c r="B865" s="11" t="s">
        <v>3648</v>
      </c>
      <c r="C865" s="11" t="s">
        <v>3649</v>
      </c>
      <c r="D865" s="11" t="s">
        <v>476</v>
      </c>
      <c r="E865" s="11" t="s">
        <v>2388</v>
      </c>
      <c r="F865" s="11" t="s">
        <v>6604</v>
      </c>
      <c r="G865" s="12">
        <v>45808.0</v>
      </c>
      <c r="H865" s="13">
        <v>45809.0</v>
      </c>
      <c r="I865" s="11" t="s">
        <v>251</v>
      </c>
      <c r="J865" s="11" t="s">
        <v>213</v>
      </c>
      <c r="K865" s="14" t="s">
        <v>31</v>
      </c>
      <c r="L865" s="11"/>
      <c r="M865" s="15"/>
      <c r="N865" s="16" t="s">
        <v>5135</v>
      </c>
      <c r="O865" s="16"/>
      <c r="P865" s="16"/>
      <c r="Q865" s="17"/>
      <c r="R865" s="17"/>
      <c r="S865" s="17"/>
      <c r="T865" s="17"/>
      <c r="U865" s="17"/>
      <c r="V865" s="17"/>
      <c r="W865" s="17"/>
      <c r="X865" s="17"/>
      <c r="Y865" s="17"/>
    </row>
    <row r="866" ht="18.75" customHeight="1">
      <c r="A866" s="9">
        <v>866.0</v>
      </c>
      <c r="B866" s="11" t="s">
        <v>3305</v>
      </c>
      <c r="C866" s="11" t="s">
        <v>3306</v>
      </c>
      <c r="D866" s="11" t="s">
        <v>1091</v>
      </c>
      <c r="E866" s="11" t="s">
        <v>2047</v>
      </c>
      <c r="F866" s="11" t="s">
        <v>6453</v>
      </c>
      <c r="G866" s="12">
        <v>45808.0</v>
      </c>
      <c r="H866" s="13">
        <v>45809.0</v>
      </c>
      <c r="I866" s="11" t="s">
        <v>25</v>
      </c>
      <c r="J866" s="11" t="s">
        <v>37</v>
      </c>
      <c r="K866" s="14" t="s">
        <v>31</v>
      </c>
      <c r="L866" s="11"/>
      <c r="M866" s="15"/>
      <c r="N866" s="16" t="s">
        <v>5135</v>
      </c>
      <c r="O866" s="16"/>
      <c r="P866" s="16"/>
      <c r="Q866" s="17"/>
      <c r="R866" s="17"/>
      <c r="S866" s="17"/>
      <c r="T866" s="17"/>
      <c r="U866" s="17"/>
      <c r="V866" s="17"/>
      <c r="W866" s="17"/>
      <c r="X866" s="17"/>
      <c r="Y866" s="17"/>
    </row>
    <row r="867" ht="18.75" customHeight="1">
      <c r="A867" s="9">
        <v>867.0</v>
      </c>
      <c r="B867" s="11" t="s">
        <v>3654</v>
      </c>
      <c r="C867" s="11" t="s">
        <v>3655</v>
      </c>
      <c r="D867" s="11" t="s">
        <v>122</v>
      </c>
      <c r="E867" s="11" t="s">
        <v>2609</v>
      </c>
      <c r="F867" s="11" t="s">
        <v>6605</v>
      </c>
      <c r="G867" s="12">
        <v>45808.0</v>
      </c>
      <c r="H867" s="13">
        <v>45809.0</v>
      </c>
      <c r="I867" s="11" t="s">
        <v>251</v>
      </c>
      <c r="J867" s="11" t="s">
        <v>213</v>
      </c>
      <c r="K867" s="14" t="s">
        <v>31</v>
      </c>
      <c r="L867" s="11"/>
      <c r="M867" s="15"/>
      <c r="N867" s="16" t="s">
        <v>5135</v>
      </c>
      <c r="O867" s="16"/>
      <c r="P867" s="16"/>
      <c r="Q867" s="17"/>
      <c r="R867" s="17"/>
      <c r="S867" s="17"/>
      <c r="T867" s="17"/>
      <c r="U867" s="17"/>
      <c r="V867" s="17"/>
      <c r="W867" s="17"/>
      <c r="X867" s="17"/>
      <c r="Y867" s="17"/>
    </row>
    <row r="868" ht="18.75" customHeight="1">
      <c r="A868" s="9">
        <v>868.0</v>
      </c>
      <c r="B868" s="11" t="s">
        <v>3656</v>
      </c>
      <c r="C868" s="11" t="s">
        <v>3657</v>
      </c>
      <c r="D868" s="11" t="s">
        <v>372</v>
      </c>
      <c r="E868" s="11" t="s">
        <v>3658</v>
      </c>
      <c r="F868" s="11" t="s">
        <v>6606</v>
      </c>
      <c r="G868" s="12">
        <v>45819.0</v>
      </c>
      <c r="H868" s="13">
        <v>45820.0</v>
      </c>
      <c r="I868" s="11" t="s">
        <v>25</v>
      </c>
      <c r="J868" s="11" t="s">
        <v>37</v>
      </c>
      <c r="K868" s="14" t="s">
        <v>31</v>
      </c>
      <c r="L868" s="11" t="s">
        <v>62</v>
      </c>
      <c r="M868" s="11" t="s">
        <v>6607</v>
      </c>
      <c r="N868" s="16" t="s">
        <v>5135</v>
      </c>
      <c r="O868" s="16"/>
      <c r="P868" s="16"/>
      <c r="Q868" s="17"/>
      <c r="R868" s="17"/>
      <c r="S868" s="17"/>
      <c r="T868" s="17"/>
      <c r="U868" s="17"/>
      <c r="V868" s="17"/>
      <c r="W868" s="17"/>
      <c r="X868" s="17"/>
      <c r="Y868" s="17"/>
    </row>
    <row r="869" ht="18.75" customHeight="1">
      <c r="A869" s="9">
        <v>869.0</v>
      </c>
      <c r="B869" s="11" t="s">
        <v>3660</v>
      </c>
      <c r="C869" s="11" t="s">
        <v>3661</v>
      </c>
      <c r="D869" s="11" t="s">
        <v>110</v>
      </c>
      <c r="E869" s="11" t="s">
        <v>2667</v>
      </c>
      <c r="F869" s="11" t="s">
        <v>6608</v>
      </c>
      <c r="G869" s="12">
        <v>45820.0</v>
      </c>
      <c r="H869" s="13">
        <v>45821.0</v>
      </c>
      <c r="I869" s="11" t="s">
        <v>25</v>
      </c>
      <c r="J869" s="11" t="s">
        <v>37</v>
      </c>
      <c r="K869" s="14" t="s">
        <v>31</v>
      </c>
      <c r="L869" s="11" t="s">
        <v>74</v>
      </c>
      <c r="M869" s="15"/>
      <c r="N869" s="16" t="s">
        <v>5135</v>
      </c>
      <c r="O869" s="16"/>
      <c r="P869" s="16"/>
      <c r="Q869" s="17"/>
      <c r="R869" s="17"/>
      <c r="S869" s="17"/>
      <c r="T869" s="17"/>
      <c r="U869" s="17"/>
      <c r="V869" s="17"/>
      <c r="W869" s="17"/>
      <c r="X869" s="17"/>
      <c r="Y869" s="17"/>
    </row>
    <row r="870" ht="18.75" customHeight="1">
      <c r="A870" s="9">
        <v>870.0</v>
      </c>
      <c r="B870" s="11" t="s">
        <v>3650</v>
      </c>
      <c r="C870" s="11" t="s">
        <v>3651</v>
      </c>
      <c r="D870" s="11" t="s">
        <v>664</v>
      </c>
      <c r="E870" s="11" t="s">
        <v>3652</v>
      </c>
      <c r="F870" s="11" t="s">
        <v>6609</v>
      </c>
      <c r="G870" s="13">
        <v>45838.0</v>
      </c>
      <c r="H870" s="13">
        <v>45839.0</v>
      </c>
      <c r="I870" s="11" t="s">
        <v>25</v>
      </c>
      <c r="J870" s="11" t="s">
        <v>37</v>
      </c>
      <c r="K870" s="14" t="s">
        <v>31</v>
      </c>
      <c r="L870" s="11" t="s">
        <v>62</v>
      </c>
      <c r="M870" s="15"/>
      <c r="N870" s="16" t="s">
        <v>5135</v>
      </c>
      <c r="O870" s="16"/>
      <c r="P870" s="16"/>
      <c r="Q870" s="17"/>
      <c r="R870" s="17"/>
      <c r="S870" s="17"/>
      <c r="T870" s="17"/>
      <c r="U870" s="17"/>
      <c r="V870" s="17"/>
      <c r="W870" s="17"/>
      <c r="X870" s="17"/>
      <c r="Y870" s="17"/>
    </row>
    <row r="871" ht="18.75" customHeight="1">
      <c r="A871" s="9">
        <v>871.0</v>
      </c>
      <c r="B871" s="11" t="s">
        <v>3663</v>
      </c>
      <c r="C871" s="11" t="s">
        <v>3664</v>
      </c>
      <c r="D871" s="11" t="s">
        <v>42</v>
      </c>
      <c r="E871" s="11" t="s">
        <v>3665</v>
      </c>
      <c r="F871" s="11" t="s">
        <v>6610</v>
      </c>
      <c r="G871" s="12">
        <v>45827.0</v>
      </c>
      <c r="H871" s="13">
        <v>45828.0</v>
      </c>
      <c r="I871" s="11" t="s">
        <v>25</v>
      </c>
      <c r="J871" s="11" t="s">
        <v>37</v>
      </c>
      <c r="K871" s="14" t="s">
        <v>31</v>
      </c>
      <c r="L871" s="11" t="s">
        <v>62</v>
      </c>
      <c r="M871" s="11" t="s">
        <v>5154</v>
      </c>
      <c r="N871" s="16" t="s">
        <v>5135</v>
      </c>
      <c r="O871" s="16"/>
      <c r="P871" s="16"/>
      <c r="Q871" s="17"/>
      <c r="R871" s="17"/>
      <c r="S871" s="17"/>
      <c r="T871" s="17"/>
      <c r="U871" s="17"/>
      <c r="V871" s="17"/>
      <c r="W871" s="17"/>
      <c r="X871" s="17"/>
      <c r="Y871" s="17"/>
    </row>
    <row r="872" ht="18.75" customHeight="1">
      <c r="A872" s="9">
        <v>872.0</v>
      </c>
      <c r="B872" s="11" t="s">
        <v>3667</v>
      </c>
      <c r="C872" s="11" t="s">
        <v>3668</v>
      </c>
      <c r="D872" s="11" t="s">
        <v>122</v>
      </c>
      <c r="E872" s="11" t="s">
        <v>2658</v>
      </c>
      <c r="F872" s="11" t="s">
        <v>6611</v>
      </c>
      <c r="G872" s="12">
        <v>45818.0</v>
      </c>
      <c r="H872" s="13">
        <v>45819.0</v>
      </c>
      <c r="I872" s="11" t="s">
        <v>25</v>
      </c>
      <c r="J872" s="11" t="s">
        <v>37</v>
      </c>
      <c r="K872" s="14" t="s">
        <v>31</v>
      </c>
      <c r="L872" s="11"/>
      <c r="M872" s="15"/>
      <c r="N872" s="16" t="s">
        <v>5135</v>
      </c>
      <c r="O872" s="16"/>
      <c r="P872" s="16"/>
      <c r="Q872" s="17"/>
      <c r="R872" s="17"/>
      <c r="S872" s="17"/>
      <c r="T872" s="17"/>
      <c r="U872" s="17"/>
      <c r="V872" s="17"/>
      <c r="W872" s="17"/>
      <c r="X872" s="17"/>
      <c r="Y872" s="17"/>
    </row>
    <row r="873" ht="18.75" customHeight="1">
      <c r="A873" s="9">
        <v>873.0</v>
      </c>
      <c r="B873" s="11" t="s">
        <v>3670</v>
      </c>
      <c r="C873" s="11" t="s">
        <v>3671</v>
      </c>
      <c r="D873" s="11" t="s">
        <v>71</v>
      </c>
      <c r="E873" s="11" t="s">
        <v>3672</v>
      </c>
      <c r="F873" s="11" t="s">
        <v>6612</v>
      </c>
      <c r="G873" s="12">
        <v>45845.0</v>
      </c>
      <c r="H873" s="13">
        <v>45846.0</v>
      </c>
      <c r="I873" s="11" t="s">
        <v>25</v>
      </c>
      <c r="J873" s="11" t="s">
        <v>37</v>
      </c>
      <c r="K873" s="14" t="s">
        <v>31</v>
      </c>
      <c r="L873" s="11"/>
      <c r="M873" s="15"/>
      <c r="N873" s="16" t="s">
        <v>5135</v>
      </c>
      <c r="O873" s="16"/>
      <c r="P873" s="16"/>
      <c r="Q873" s="17"/>
      <c r="R873" s="17"/>
      <c r="S873" s="17"/>
      <c r="T873" s="17"/>
      <c r="U873" s="17"/>
      <c r="V873" s="17"/>
      <c r="W873" s="17"/>
      <c r="X873" s="17"/>
      <c r="Y873" s="17"/>
    </row>
    <row r="874" ht="18.75" customHeight="1">
      <c r="A874" s="9">
        <v>874.0</v>
      </c>
      <c r="B874" s="11" t="s">
        <v>3674</v>
      </c>
      <c r="C874" s="11" t="s">
        <v>3675</v>
      </c>
      <c r="D874" s="11" t="s">
        <v>313</v>
      </c>
      <c r="E874" s="11" t="s">
        <v>3676</v>
      </c>
      <c r="F874" s="11" t="s">
        <v>6613</v>
      </c>
      <c r="G874" s="13">
        <v>45838.0</v>
      </c>
      <c r="H874" s="13">
        <v>45839.0</v>
      </c>
      <c r="I874" s="11" t="s">
        <v>25</v>
      </c>
      <c r="J874" s="11" t="s">
        <v>37</v>
      </c>
      <c r="K874" s="14" t="s">
        <v>31</v>
      </c>
      <c r="L874" s="11" t="s">
        <v>74</v>
      </c>
      <c r="M874" s="15"/>
      <c r="N874" s="16" t="s">
        <v>5135</v>
      </c>
      <c r="O874" s="16"/>
      <c r="P874" s="16"/>
      <c r="Q874" s="17"/>
      <c r="R874" s="17"/>
      <c r="S874" s="17"/>
      <c r="T874" s="17"/>
      <c r="U874" s="17"/>
      <c r="V874" s="17"/>
      <c r="W874" s="17"/>
      <c r="X874" s="17"/>
      <c r="Y874" s="17"/>
    </row>
    <row r="875" ht="18.75" customHeight="1">
      <c r="A875" s="9">
        <v>875.0</v>
      </c>
      <c r="B875" s="11" t="s">
        <v>3678</v>
      </c>
      <c r="C875" s="11" t="s">
        <v>3679</v>
      </c>
      <c r="D875" s="11" t="s">
        <v>116</v>
      </c>
      <c r="E875" s="11" t="s">
        <v>3680</v>
      </c>
      <c r="F875" s="11" t="s">
        <v>6614</v>
      </c>
      <c r="G875" s="13">
        <v>45838.0</v>
      </c>
      <c r="H875" s="13">
        <v>45839.0</v>
      </c>
      <c r="I875" s="11" t="s">
        <v>25</v>
      </c>
      <c r="J875" s="11" t="s">
        <v>37</v>
      </c>
      <c r="K875" s="14" t="s">
        <v>31</v>
      </c>
      <c r="L875" s="11" t="s">
        <v>62</v>
      </c>
      <c r="M875" s="15"/>
      <c r="N875" s="16" t="s">
        <v>5135</v>
      </c>
      <c r="O875" s="16"/>
      <c r="P875" s="16"/>
      <c r="Q875" s="17"/>
      <c r="R875" s="17"/>
      <c r="S875" s="17"/>
      <c r="T875" s="17"/>
      <c r="U875" s="17"/>
      <c r="V875" s="17"/>
      <c r="W875" s="17"/>
      <c r="X875" s="17"/>
      <c r="Y875" s="17"/>
    </row>
    <row r="876" ht="18.75" customHeight="1">
      <c r="A876" s="9">
        <v>876.0</v>
      </c>
      <c r="B876" s="10" t="s">
        <v>3682</v>
      </c>
      <c r="C876" s="10" t="s">
        <v>3683</v>
      </c>
      <c r="D876" s="10" t="s">
        <v>827</v>
      </c>
      <c r="E876" s="10" t="s">
        <v>828</v>
      </c>
      <c r="F876" s="10" t="s">
        <v>6615</v>
      </c>
      <c r="G876" s="12">
        <v>45853.0</v>
      </c>
      <c r="H876" s="12">
        <v>45854.0</v>
      </c>
      <c r="I876" s="11" t="s">
        <v>21</v>
      </c>
      <c r="J876" s="11" t="s">
        <v>22</v>
      </c>
      <c r="K876" s="14"/>
      <c r="L876" s="11"/>
      <c r="M876" s="15"/>
      <c r="N876" s="16" t="s">
        <v>5135</v>
      </c>
      <c r="O876" s="16"/>
      <c r="P876" s="16"/>
      <c r="Q876" s="17"/>
      <c r="R876" s="17"/>
      <c r="S876" s="17"/>
      <c r="T876" s="17"/>
      <c r="U876" s="17"/>
      <c r="V876" s="17"/>
      <c r="W876" s="17"/>
      <c r="X876" s="17"/>
      <c r="Y876" s="17"/>
    </row>
    <row r="877" ht="18.75" customHeight="1">
      <c r="A877" s="9">
        <v>877.0</v>
      </c>
      <c r="B877" s="11" t="s">
        <v>3685</v>
      </c>
      <c r="C877" s="11" t="s">
        <v>3686</v>
      </c>
      <c r="D877" s="11" t="s">
        <v>122</v>
      </c>
      <c r="E877" s="11" t="s">
        <v>3687</v>
      </c>
      <c r="F877" s="11" t="s">
        <v>6616</v>
      </c>
      <c r="G877" s="12">
        <v>45808.0</v>
      </c>
      <c r="H877" s="13">
        <v>45809.0</v>
      </c>
      <c r="I877" s="11" t="s">
        <v>251</v>
      </c>
      <c r="J877" s="11" t="s">
        <v>213</v>
      </c>
      <c r="K877" s="14" t="s">
        <v>31</v>
      </c>
      <c r="L877" s="11"/>
      <c r="M877" s="15"/>
      <c r="N877" s="16" t="s">
        <v>5135</v>
      </c>
      <c r="O877" s="16"/>
      <c r="P877" s="16"/>
      <c r="Q877" s="17"/>
      <c r="R877" s="17"/>
      <c r="S877" s="17"/>
      <c r="T877" s="17"/>
      <c r="U877" s="17"/>
      <c r="V877" s="17"/>
      <c r="W877" s="17"/>
      <c r="X877" s="17"/>
      <c r="Y877" s="17"/>
    </row>
    <row r="878" ht="18.75" customHeight="1">
      <c r="A878" s="9">
        <v>878.0</v>
      </c>
      <c r="B878" s="11" t="s">
        <v>3692</v>
      </c>
      <c r="C878" s="11" t="s">
        <v>3693</v>
      </c>
      <c r="D878" s="11" t="s">
        <v>94</v>
      </c>
      <c r="E878" s="11" t="s">
        <v>2366</v>
      </c>
      <c r="F878" s="11" t="s">
        <v>6617</v>
      </c>
      <c r="G878" s="12">
        <v>45808.0</v>
      </c>
      <c r="H878" s="13">
        <v>45809.0</v>
      </c>
      <c r="I878" s="11" t="s">
        <v>251</v>
      </c>
      <c r="J878" s="11" t="s">
        <v>213</v>
      </c>
      <c r="K878" s="14" t="s">
        <v>31</v>
      </c>
      <c r="L878" s="11"/>
      <c r="M878" s="15"/>
      <c r="N878" s="16" t="s">
        <v>5135</v>
      </c>
      <c r="O878" s="16"/>
      <c r="P878" s="16"/>
      <c r="Q878" s="17"/>
      <c r="R878" s="17"/>
      <c r="S878" s="17"/>
      <c r="T878" s="17"/>
      <c r="U878" s="17"/>
      <c r="V878" s="17"/>
      <c r="W878" s="17"/>
      <c r="X878" s="17"/>
      <c r="Y878" s="17"/>
    </row>
    <row r="879" ht="18.75" customHeight="1">
      <c r="A879" s="9">
        <v>879.0</v>
      </c>
      <c r="B879" s="11" t="s">
        <v>3688</v>
      </c>
      <c r="C879" s="11" t="s">
        <v>3689</v>
      </c>
      <c r="D879" s="11" t="s">
        <v>116</v>
      </c>
      <c r="E879" s="11" t="s">
        <v>3690</v>
      </c>
      <c r="F879" s="11" t="s">
        <v>6618</v>
      </c>
      <c r="G879" s="12">
        <v>45856.0</v>
      </c>
      <c r="H879" s="12">
        <v>45857.0</v>
      </c>
      <c r="I879" s="11" t="s">
        <v>25</v>
      </c>
      <c r="J879" s="11" t="s">
        <v>37</v>
      </c>
      <c r="K879" s="14" t="s">
        <v>31</v>
      </c>
      <c r="L879" s="11" t="s">
        <v>50</v>
      </c>
      <c r="M879" s="15"/>
      <c r="N879" s="16" t="s">
        <v>5135</v>
      </c>
      <c r="O879" s="16"/>
      <c r="P879" s="16"/>
      <c r="Q879" s="17"/>
      <c r="R879" s="17"/>
      <c r="S879" s="17"/>
      <c r="T879" s="17"/>
      <c r="U879" s="17"/>
      <c r="V879" s="17"/>
      <c r="W879" s="17"/>
      <c r="X879" s="17"/>
      <c r="Y879" s="17"/>
    </row>
    <row r="880" ht="18.75" customHeight="1">
      <c r="A880" s="9">
        <v>880.0</v>
      </c>
      <c r="B880" s="11" t="s">
        <v>3694</v>
      </c>
      <c r="C880" s="11" t="s">
        <v>3695</v>
      </c>
      <c r="D880" s="11" t="s">
        <v>128</v>
      </c>
      <c r="E880" s="11" t="s">
        <v>2575</v>
      </c>
      <c r="F880" s="11" t="s">
        <v>6619</v>
      </c>
      <c r="G880" s="12">
        <v>45809.0</v>
      </c>
      <c r="H880" s="13">
        <v>45810.0</v>
      </c>
      <c r="I880" s="11" t="s">
        <v>251</v>
      </c>
      <c r="J880" s="11" t="s">
        <v>213</v>
      </c>
      <c r="K880" s="14" t="s">
        <v>31</v>
      </c>
      <c r="L880" s="11"/>
      <c r="M880" s="15"/>
      <c r="N880" s="16" t="s">
        <v>5135</v>
      </c>
      <c r="O880" s="16"/>
      <c r="P880" s="16"/>
      <c r="Q880" s="17"/>
      <c r="R880" s="17"/>
      <c r="S880" s="17"/>
      <c r="T880" s="17"/>
      <c r="U880" s="17"/>
      <c r="V880" s="17"/>
      <c r="W880" s="17"/>
      <c r="X880" s="17"/>
      <c r="Y880" s="17"/>
    </row>
    <row r="881" ht="18.75" customHeight="1">
      <c r="A881" s="9">
        <v>881.0</v>
      </c>
      <c r="B881" s="11" t="s">
        <v>2950</v>
      </c>
      <c r="C881" s="11" t="s">
        <v>2951</v>
      </c>
      <c r="D881" s="11" t="s">
        <v>697</v>
      </c>
      <c r="E881" s="11" t="s">
        <v>2952</v>
      </c>
      <c r="F881" s="11" t="s">
        <v>6303</v>
      </c>
      <c r="G881" s="12">
        <v>45869.0</v>
      </c>
      <c r="H881" s="12">
        <v>45870.0</v>
      </c>
      <c r="I881" s="11" t="s">
        <v>25</v>
      </c>
      <c r="J881" s="11" t="s">
        <v>37</v>
      </c>
      <c r="K881" s="14" t="s">
        <v>31</v>
      </c>
      <c r="L881" s="11"/>
      <c r="M881" s="15"/>
      <c r="N881" s="16" t="s">
        <v>5135</v>
      </c>
      <c r="O881" s="16"/>
      <c r="P881" s="16"/>
      <c r="Q881" s="17"/>
      <c r="R881" s="17"/>
      <c r="S881" s="17"/>
      <c r="T881" s="17"/>
      <c r="U881" s="17"/>
      <c r="V881" s="17"/>
      <c r="W881" s="17"/>
      <c r="X881" s="17"/>
      <c r="Y881" s="17"/>
    </row>
    <row r="882" ht="18.75" customHeight="1">
      <c r="A882" s="9">
        <v>882.0</v>
      </c>
      <c r="B882" s="11" t="s">
        <v>3697</v>
      </c>
      <c r="C882" s="11" t="s">
        <v>3698</v>
      </c>
      <c r="D882" s="11" t="s">
        <v>1296</v>
      </c>
      <c r="E882" s="11" t="s">
        <v>3699</v>
      </c>
      <c r="F882" s="11" t="s">
        <v>6620</v>
      </c>
      <c r="G882" s="12">
        <v>45853.0</v>
      </c>
      <c r="H882" s="12">
        <v>45854.0</v>
      </c>
      <c r="I882" s="11" t="s">
        <v>25</v>
      </c>
      <c r="J882" s="11" t="s">
        <v>37</v>
      </c>
      <c r="K882" s="14" t="s">
        <v>31</v>
      </c>
      <c r="L882" s="11" t="s">
        <v>50</v>
      </c>
      <c r="M882" s="15"/>
      <c r="N882" s="16" t="s">
        <v>5135</v>
      </c>
      <c r="O882" s="16"/>
      <c r="P882" s="16"/>
      <c r="Q882" s="17"/>
      <c r="R882" s="17"/>
      <c r="S882" s="17"/>
      <c r="T882" s="17"/>
      <c r="U882" s="17"/>
      <c r="V882" s="17"/>
      <c r="W882" s="17"/>
      <c r="X882" s="17"/>
      <c r="Y882" s="17"/>
    </row>
    <row r="883" ht="18.75" customHeight="1">
      <c r="A883" s="9">
        <v>883.0</v>
      </c>
      <c r="B883" s="11" t="s">
        <v>3701</v>
      </c>
      <c r="C883" s="11" t="s">
        <v>3702</v>
      </c>
      <c r="D883" s="11" t="s">
        <v>871</v>
      </c>
      <c r="E883" s="11" t="s">
        <v>3703</v>
      </c>
      <c r="F883" s="11" t="s">
        <v>6621</v>
      </c>
      <c r="G883" s="12">
        <v>45846.0</v>
      </c>
      <c r="H883" s="12">
        <v>45847.0</v>
      </c>
      <c r="I883" s="11" t="s">
        <v>119</v>
      </c>
      <c r="J883" s="11" t="s">
        <v>22</v>
      </c>
      <c r="K883" s="14" t="s">
        <v>31</v>
      </c>
      <c r="L883" s="11" t="s">
        <v>50</v>
      </c>
      <c r="M883" s="15"/>
      <c r="N883" s="16" t="s">
        <v>5135</v>
      </c>
      <c r="O883" s="16"/>
      <c r="P883" s="16"/>
      <c r="Q883" s="17"/>
      <c r="R883" s="17"/>
      <c r="S883" s="17"/>
      <c r="T883" s="17"/>
      <c r="U883" s="17"/>
      <c r="V883" s="17"/>
      <c r="W883" s="17"/>
      <c r="X883" s="17"/>
      <c r="Y883" s="17"/>
    </row>
    <row r="884" ht="18.75" customHeight="1">
      <c r="A884" s="9">
        <v>884.0</v>
      </c>
      <c r="B884" s="11" t="s">
        <v>3705</v>
      </c>
      <c r="C884" s="11" t="s">
        <v>3706</v>
      </c>
      <c r="D884" s="11" t="s">
        <v>173</v>
      </c>
      <c r="E884" s="11" t="s">
        <v>867</v>
      </c>
      <c r="F884" s="11" t="s">
        <v>6622</v>
      </c>
      <c r="G884" s="12">
        <v>45869.0</v>
      </c>
      <c r="H884" s="12">
        <v>45870.0</v>
      </c>
      <c r="I884" s="11" t="s">
        <v>25</v>
      </c>
      <c r="J884" s="11" t="s">
        <v>37</v>
      </c>
      <c r="K884" s="14" t="s">
        <v>31</v>
      </c>
      <c r="L884" s="11" t="s">
        <v>62</v>
      </c>
      <c r="M884" s="15"/>
      <c r="N884" s="16" t="s">
        <v>5135</v>
      </c>
      <c r="O884" s="16"/>
      <c r="P884" s="16"/>
      <c r="Q884" s="17"/>
      <c r="R884" s="17"/>
      <c r="S884" s="17"/>
      <c r="T884" s="17"/>
      <c r="U884" s="17"/>
      <c r="V884" s="17"/>
      <c r="W884" s="17"/>
      <c r="X884" s="17"/>
      <c r="Y884" s="17"/>
    </row>
    <row r="885" ht="18.75" customHeight="1">
      <c r="A885" s="9">
        <v>885.0</v>
      </c>
      <c r="B885" s="11" t="s">
        <v>3708</v>
      </c>
      <c r="C885" s="11" t="s">
        <v>3709</v>
      </c>
      <c r="D885" s="11" t="s">
        <v>3215</v>
      </c>
      <c r="E885" s="11" t="s">
        <v>3710</v>
      </c>
      <c r="F885" s="11" t="s">
        <v>6623</v>
      </c>
      <c r="G885" s="12">
        <v>45818.0</v>
      </c>
      <c r="H885" s="12">
        <v>45819.0</v>
      </c>
      <c r="I885" s="11" t="s">
        <v>119</v>
      </c>
      <c r="J885" s="11" t="s">
        <v>37</v>
      </c>
      <c r="K885" s="14" t="s">
        <v>31</v>
      </c>
      <c r="L885" s="11" t="s">
        <v>62</v>
      </c>
      <c r="M885" s="15"/>
      <c r="N885" s="16" t="s">
        <v>5135</v>
      </c>
      <c r="O885" s="16"/>
      <c r="P885" s="16"/>
      <c r="Q885" s="17"/>
      <c r="R885" s="17"/>
      <c r="S885" s="17"/>
      <c r="T885" s="17"/>
      <c r="U885" s="17"/>
      <c r="V885" s="17"/>
      <c r="W885" s="17"/>
      <c r="X885" s="17"/>
      <c r="Y885" s="17"/>
    </row>
    <row r="886" ht="18.75" customHeight="1">
      <c r="A886" s="9">
        <v>886.0</v>
      </c>
      <c r="B886" s="11" t="s">
        <v>3712</v>
      </c>
      <c r="C886" s="11" t="s">
        <v>3713</v>
      </c>
      <c r="D886" s="11" t="s">
        <v>128</v>
      </c>
      <c r="E886" s="11" t="s">
        <v>3665</v>
      </c>
      <c r="F886" s="11" t="s">
        <v>6624</v>
      </c>
      <c r="G886" s="12">
        <v>45810.0</v>
      </c>
      <c r="H886" s="13">
        <v>45811.0</v>
      </c>
      <c r="I886" s="11" t="s">
        <v>251</v>
      </c>
      <c r="J886" s="11" t="s">
        <v>213</v>
      </c>
      <c r="K886" s="14" t="s">
        <v>31</v>
      </c>
      <c r="L886" s="11"/>
      <c r="M886" s="15"/>
      <c r="N886" s="16" t="s">
        <v>5135</v>
      </c>
      <c r="O886" s="16"/>
      <c r="P886" s="16"/>
      <c r="Q886" s="17"/>
      <c r="R886" s="17"/>
      <c r="S886" s="17"/>
      <c r="T886" s="17"/>
      <c r="U886" s="17"/>
      <c r="V886" s="17"/>
      <c r="W886" s="17"/>
      <c r="X886" s="17"/>
      <c r="Y886" s="17"/>
    </row>
    <row r="887" ht="18.75" customHeight="1">
      <c r="A887" s="9">
        <v>887.0</v>
      </c>
      <c r="B887" s="11" t="s">
        <v>3714</v>
      </c>
      <c r="C887" s="11" t="s">
        <v>3715</v>
      </c>
      <c r="D887" s="11" t="s">
        <v>362</v>
      </c>
      <c r="E887" s="11" t="s">
        <v>3716</v>
      </c>
      <c r="F887" s="11" t="s">
        <v>6625</v>
      </c>
      <c r="G887" s="12">
        <v>45849.0</v>
      </c>
      <c r="H887" s="12">
        <v>45850.0</v>
      </c>
      <c r="I887" s="11" t="s">
        <v>25</v>
      </c>
      <c r="J887" s="11" t="s">
        <v>37</v>
      </c>
      <c r="K887" s="14" t="s">
        <v>31</v>
      </c>
      <c r="L887" s="11" t="s">
        <v>50</v>
      </c>
      <c r="M887" s="15"/>
      <c r="N887" s="16" t="s">
        <v>5135</v>
      </c>
      <c r="O887" s="16"/>
      <c r="P887" s="16"/>
      <c r="Q887" s="17"/>
      <c r="R887" s="17"/>
      <c r="S887" s="17"/>
      <c r="T887" s="17"/>
      <c r="U887" s="17"/>
      <c r="V887" s="17"/>
      <c r="W887" s="17"/>
      <c r="X887" s="17"/>
      <c r="Y887" s="17"/>
    </row>
    <row r="888" ht="18.75" customHeight="1">
      <c r="A888" s="9">
        <v>888.0</v>
      </c>
      <c r="B888" s="11" t="s">
        <v>6626</v>
      </c>
      <c r="C888" s="11" t="s">
        <v>6627</v>
      </c>
      <c r="D888" s="11" t="s">
        <v>342</v>
      </c>
      <c r="E888" s="11" t="s">
        <v>272</v>
      </c>
      <c r="F888" s="11" t="s">
        <v>6628</v>
      </c>
      <c r="G888" s="12">
        <v>45808.0</v>
      </c>
      <c r="H888" s="13">
        <v>45809.0</v>
      </c>
      <c r="I888" s="11" t="s">
        <v>25</v>
      </c>
      <c r="J888" s="11" t="s">
        <v>37</v>
      </c>
      <c r="K888" s="14" t="s">
        <v>31</v>
      </c>
      <c r="L888" s="11" t="s">
        <v>74</v>
      </c>
      <c r="M888" s="15"/>
      <c r="N888" s="16" t="s">
        <v>5135</v>
      </c>
      <c r="O888" s="16"/>
      <c r="P888" s="16"/>
      <c r="Q888" s="17"/>
      <c r="R888" s="17"/>
      <c r="S888" s="17"/>
      <c r="T888" s="17"/>
      <c r="U888" s="17"/>
      <c r="V888" s="17"/>
      <c r="W888" s="17"/>
      <c r="X888" s="17"/>
      <c r="Y888" s="17"/>
    </row>
    <row r="889" ht="18.75" customHeight="1">
      <c r="A889" s="9">
        <v>889.0</v>
      </c>
      <c r="B889" s="11" t="s">
        <v>3718</v>
      </c>
      <c r="C889" s="11" t="s">
        <v>3719</v>
      </c>
      <c r="D889" s="11" t="s">
        <v>122</v>
      </c>
      <c r="E889" s="11" t="s">
        <v>43</v>
      </c>
      <c r="F889" s="11" t="s">
        <v>6629</v>
      </c>
      <c r="G889" s="12">
        <v>45838.0</v>
      </c>
      <c r="H889" s="13">
        <v>45839.0</v>
      </c>
      <c r="I889" s="11" t="s">
        <v>25</v>
      </c>
      <c r="J889" s="11" t="s">
        <v>37</v>
      </c>
      <c r="K889" s="14" t="s">
        <v>31</v>
      </c>
      <c r="L889" s="11" t="s">
        <v>62</v>
      </c>
      <c r="M889" s="11" t="s">
        <v>6630</v>
      </c>
      <c r="N889" s="16" t="s">
        <v>5135</v>
      </c>
      <c r="O889" s="16"/>
      <c r="P889" s="16"/>
      <c r="Q889" s="17"/>
      <c r="R889" s="17"/>
      <c r="S889" s="17"/>
      <c r="T889" s="17"/>
      <c r="U889" s="17"/>
      <c r="V889" s="17"/>
      <c r="W889" s="17"/>
      <c r="X889" s="17"/>
      <c r="Y889" s="17"/>
    </row>
    <row r="890" ht="18.75" customHeight="1">
      <c r="A890" s="9">
        <v>890.0</v>
      </c>
      <c r="B890" s="11" t="s">
        <v>3721</v>
      </c>
      <c r="C890" s="11" t="s">
        <v>3722</v>
      </c>
      <c r="D890" s="11" t="s">
        <v>1129</v>
      </c>
      <c r="E890" s="11" t="s">
        <v>1130</v>
      </c>
      <c r="F890" s="11" t="s">
        <v>6631</v>
      </c>
      <c r="G890" s="12">
        <v>45853.0</v>
      </c>
      <c r="H890" s="12">
        <v>45854.0</v>
      </c>
      <c r="I890" s="11" t="s">
        <v>25</v>
      </c>
      <c r="J890" s="11" t="s">
        <v>37</v>
      </c>
      <c r="K890" s="14" t="s">
        <v>31</v>
      </c>
      <c r="L890" s="11" t="s">
        <v>50</v>
      </c>
      <c r="M890" s="15"/>
      <c r="N890" s="16" t="s">
        <v>5135</v>
      </c>
      <c r="O890" s="16"/>
      <c r="P890" s="16"/>
      <c r="Q890" s="17"/>
      <c r="R890" s="17"/>
      <c r="S890" s="17"/>
      <c r="T890" s="17"/>
      <c r="U890" s="17"/>
      <c r="V890" s="17"/>
      <c r="W890" s="17"/>
      <c r="X890" s="17"/>
      <c r="Y890" s="17"/>
    </row>
    <row r="891" ht="18.75" customHeight="1">
      <c r="A891" s="9">
        <v>891.0</v>
      </c>
      <c r="B891" s="11" t="s">
        <v>3724</v>
      </c>
      <c r="C891" s="11" t="s">
        <v>3725</v>
      </c>
      <c r="D891" s="11" t="s">
        <v>3726</v>
      </c>
      <c r="E891" s="11" t="s">
        <v>3727</v>
      </c>
      <c r="F891" s="11" t="s">
        <v>6632</v>
      </c>
      <c r="G891" s="12">
        <v>45856.0</v>
      </c>
      <c r="H891" s="12">
        <v>45857.0</v>
      </c>
      <c r="I891" s="11" t="s">
        <v>25</v>
      </c>
      <c r="J891" s="11" t="s">
        <v>37</v>
      </c>
      <c r="K891" s="14" t="s">
        <v>31</v>
      </c>
      <c r="L891" s="11" t="s">
        <v>38</v>
      </c>
      <c r="M891" s="15"/>
      <c r="N891" s="16" t="s">
        <v>5135</v>
      </c>
      <c r="O891" s="16"/>
      <c r="P891" s="16"/>
      <c r="Q891" s="17"/>
      <c r="R891" s="17"/>
      <c r="S891" s="17"/>
      <c r="T891" s="17"/>
      <c r="U891" s="17"/>
      <c r="V891" s="17"/>
      <c r="W891" s="17"/>
      <c r="X891" s="17"/>
      <c r="Y891" s="17"/>
    </row>
    <row r="892" ht="18.75" customHeight="1">
      <c r="A892" s="9">
        <v>892.0</v>
      </c>
      <c r="B892" s="11" t="s">
        <v>3729</v>
      </c>
      <c r="C892" s="11" t="s">
        <v>3730</v>
      </c>
      <c r="D892" s="11" t="s">
        <v>128</v>
      </c>
      <c r="E892" s="11" t="s">
        <v>2395</v>
      </c>
      <c r="F892" s="11" t="s">
        <v>6633</v>
      </c>
      <c r="G892" s="12">
        <v>45820.0</v>
      </c>
      <c r="H892" s="13">
        <v>45821.0</v>
      </c>
      <c r="I892" s="11" t="s">
        <v>251</v>
      </c>
      <c r="J892" s="11" t="s">
        <v>213</v>
      </c>
      <c r="K892" s="14" t="s">
        <v>31</v>
      </c>
      <c r="L892" s="11"/>
      <c r="M892" s="11" t="s">
        <v>6634</v>
      </c>
      <c r="N892" s="16" t="s">
        <v>5135</v>
      </c>
      <c r="O892" s="16"/>
      <c r="P892" s="16"/>
      <c r="Q892" s="17"/>
      <c r="R892" s="17"/>
      <c r="S892" s="17"/>
      <c r="T892" s="17"/>
      <c r="U892" s="17"/>
      <c r="V892" s="17"/>
      <c r="W892" s="17"/>
      <c r="X892" s="17"/>
      <c r="Y892" s="17"/>
    </row>
    <row r="893" ht="18.75" customHeight="1">
      <c r="A893" s="9">
        <v>893.0</v>
      </c>
      <c r="B893" s="11" t="s">
        <v>3297</v>
      </c>
      <c r="C893" s="11" t="s">
        <v>3298</v>
      </c>
      <c r="D893" s="11" t="s">
        <v>128</v>
      </c>
      <c r="E893" s="11" t="s">
        <v>2642</v>
      </c>
      <c r="F893" s="11" t="s">
        <v>6449</v>
      </c>
      <c r="G893" s="12">
        <v>45842.0</v>
      </c>
      <c r="H893" s="13">
        <v>45843.0</v>
      </c>
      <c r="I893" s="11" t="s">
        <v>25</v>
      </c>
      <c r="J893" s="11" t="s">
        <v>37</v>
      </c>
      <c r="K893" s="14" t="s">
        <v>31</v>
      </c>
      <c r="L893" s="11" t="s">
        <v>74</v>
      </c>
      <c r="M893" s="11" t="s">
        <v>1045</v>
      </c>
      <c r="N893" s="16" t="s">
        <v>5135</v>
      </c>
      <c r="O893" s="16"/>
      <c r="P893" s="16"/>
      <c r="Q893" s="17"/>
      <c r="R893" s="17"/>
      <c r="S893" s="17"/>
      <c r="T893" s="17"/>
      <c r="U893" s="17"/>
      <c r="V893" s="17"/>
      <c r="W893" s="17"/>
      <c r="X893" s="17"/>
      <c r="Y893" s="17"/>
    </row>
    <row r="894" ht="18.75" customHeight="1">
      <c r="A894" s="9">
        <v>894.0</v>
      </c>
      <c r="B894" s="11" t="s">
        <v>3732</v>
      </c>
      <c r="C894" s="11" t="s">
        <v>3733</v>
      </c>
      <c r="D894" s="11" t="s">
        <v>42</v>
      </c>
      <c r="E894" s="11" t="s">
        <v>3543</v>
      </c>
      <c r="F894" s="11" t="s">
        <v>6635</v>
      </c>
      <c r="G894" s="12">
        <v>45852.0</v>
      </c>
      <c r="H894" s="13">
        <v>45853.0</v>
      </c>
      <c r="I894" s="11" t="s">
        <v>25</v>
      </c>
      <c r="J894" s="11" t="s">
        <v>37</v>
      </c>
      <c r="K894" s="14" t="s">
        <v>31</v>
      </c>
      <c r="L894" s="11" t="s">
        <v>50</v>
      </c>
      <c r="M894" s="11" t="s">
        <v>6414</v>
      </c>
      <c r="N894" s="16" t="s">
        <v>5135</v>
      </c>
      <c r="O894" s="16"/>
      <c r="P894" s="16"/>
      <c r="Q894" s="17"/>
      <c r="R894" s="17"/>
      <c r="S894" s="17"/>
      <c r="T894" s="17"/>
      <c r="U894" s="17"/>
      <c r="V894" s="17"/>
      <c r="W894" s="17"/>
      <c r="X894" s="17"/>
      <c r="Y894" s="17"/>
    </row>
    <row r="895" ht="18.75" customHeight="1">
      <c r="A895" s="9">
        <v>895.0</v>
      </c>
      <c r="B895" s="11" t="s">
        <v>3735</v>
      </c>
      <c r="C895" s="11" t="s">
        <v>3736</v>
      </c>
      <c r="D895" s="11" t="s">
        <v>198</v>
      </c>
      <c r="E895" s="11" t="s">
        <v>199</v>
      </c>
      <c r="F895" s="11" t="s">
        <v>6636</v>
      </c>
      <c r="G895" s="12">
        <v>45827.0</v>
      </c>
      <c r="H895" s="13">
        <v>45828.0</v>
      </c>
      <c r="I895" s="11" t="s">
        <v>119</v>
      </c>
      <c r="J895" s="11" t="s">
        <v>22</v>
      </c>
      <c r="K895" s="14" t="s">
        <v>31</v>
      </c>
      <c r="L895" s="11"/>
      <c r="M895" s="11" t="s">
        <v>6637</v>
      </c>
      <c r="N895" s="16" t="s">
        <v>5135</v>
      </c>
      <c r="O895" s="16"/>
      <c r="P895" s="16"/>
      <c r="Q895" s="17"/>
      <c r="R895" s="17"/>
      <c r="S895" s="17"/>
      <c r="T895" s="17"/>
      <c r="U895" s="17"/>
      <c r="V895" s="17"/>
      <c r="W895" s="17"/>
      <c r="X895" s="17"/>
      <c r="Y895" s="17"/>
    </row>
    <row r="896" ht="18.75" customHeight="1">
      <c r="A896" s="9">
        <v>896.0</v>
      </c>
      <c r="B896" s="11" t="s">
        <v>3738</v>
      </c>
      <c r="C896" s="11" t="s">
        <v>3739</v>
      </c>
      <c r="D896" s="11" t="s">
        <v>1278</v>
      </c>
      <c r="E896" s="11" t="s">
        <v>487</v>
      </c>
      <c r="F896" s="11" t="s">
        <v>6638</v>
      </c>
      <c r="G896" s="13">
        <v>45856.0</v>
      </c>
      <c r="H896" s="13">
        <v>45857.0</v>
      </c>
      <c r="I896" s="11" t="s">
        <v>25</v>
      </c>
      <c r="J896" s="11" t="s">
        <v>37</v>
      </c>
      <c r="K896" s="14" t="s">
        <v>31</v>
      </c>
      <c r="L896" s="11" t="s">
        <v>50</v>
      </c>
      <c r="M896" s="15"/>
      <c r="N896" s="16" t="s">
        <v>5135</v>
      </c>
      <c r="O896" s="16"/>
      <c r="P896" s="16"/>
      <c r="Q896" s="17"/>
      <c r="R896" s="17"/>
      <c r="S896" s="17"/>
      <c r="T896" s="17"/>
      <c r="U896" s="17"/>
      <c r="V896" s="17"/>
      <c r="W896" s="17"/>
      <c r="X896" s="17"/>
      <c r="Y896" s="17"/>
    </row>
    <row r="897" ht="18.75" customHeight="1">
      <c r="A897" s="9">
        <v>897.0</v>
      </c>
      <c r="B897" s="11" t="s">
        <v>3741</v>
      </c>
      <c r="C897" s="11" t="s">
        <v>3742</v>
      </c>
      <c r="D897" s="11" t="s">
        <v>706</v>
      </c>
      <c r="E897" s="11" t="s">
        <v>3175</v>
      </c>
      <c r="F897" s="11" t="s">
        <v>6639</v>
      </c>
      <c r="G897" s="12">
        <v>45852.0</v>
      </c>
      <c r="H897" s="13">
        <v>45853.0</v>
      </c>
      <c r="I897" s="11" t="s">
        <v>25</v>
      </c>
      <c r="J897" s="11" t="s">
        <v>37</v>
      </c>
      <c r="K897" s="14" t="s">
        <v>31</v>
      </c>
      <c r="L897" s="11" t="s">
        <v>50</v>
      </c>
      <c r="M897" s="15"/>
      <c r="N897" s="16" t="s">
        <v>5135</v>
      </c>
      <c r="O897" s="16"/>
      <c r="P897" s="16"/>
      <c r="Q897" s="17"/>
      <c r="R897" s="17"/>
      <c r="S897" s="17"/>
      <c r="T897" s="17"/>
      <c r="U897" s="17"/>
      <c r="V897" s="17"/>
      <c r="W897" s="17"/>
      <c r="X897" s="17"/>
      <c r="Y897" s="17"/>
    </row>
    <row r="898" ht="18.75" customHeight="1">
      <c r="A898" s="9">
        <v>899.0</v>
      </c>
      <c r="B898" s="11" t="s">
        <v>3745</v>
      </c>
      <c r="C898" s="11" t="s">
        <v>3746</v>
      </c>
      <c r="D898" s="11" t="s">
        <v>28</v>
      </c>
      <c r="E898" s="11" t="s">
        <v>1644</v>
      </c>
      <c r="F898" s="11" t="s">
        <v>6640</v>
      </c>
      <c r="G898" s="12">
        <v>45838.0</v>
      </c>
      <c r="H898" s="13">
        <v>45839.0</v>
      </c>
      <c r="I898" s="11" t="s">
        <v>119</v>
      </c>
      <c r="J898" s="11" t="s">
        <v>37</v>
      </c>
      <c r="K898" s="14" t="s">
        <v>31</v>
      </c>
      <c r="L898" s="11" t="s">
        <v>86</v>
      </c>
      <c r="M898" s="15"/>
      <c r="N898" s="16" t="s">
        <v>5135</v>
      </c>
      <c r="O898" s="16"/>
      <c r="P898" s="16"/>
      <c r="Q898" s="17"/>
      <c r="R898" s="17"/>
      <c r="S898" s="17"/>
      <c r="T898" s="17"/>
      <c r="U898" s="17"/>
      <c r="V898" s="17"/>
      <c r="W898" s="17"/>
      <c r="X898" s="17"/>
      <c r="Y898" s="17"/>
    </row>
    <row r="899" ht="18.75" customHeight="1">
      <c r="A899" s="9">
        <v>900.0</v>
      </c>
      <c r="B899" s="11" t="s">
        <v>3748</v>
      </c>
      <c r="C899" s="11" t="s">
        <v>3749</v>
      </c>
      <c r="D899" s="11" t="s">
        <v>173</v>
      </c>
      <c r="E899" s="11" t="s">
        <v>3750</v>
      </c>
      <c r="F899" s="11" t="s">
        <v>6641</v>
      </c>
      <c r="G899" s="12">
        <v>45838.0</v>
      </c>
      <c r="H899" s="13">
        <v>45839.0</v>
      </c>
      <c r="I899" s="11" t="s">
        <v>119</v>
      </c>
      <c r="J899" s="11" t="s">
        <v>5613</v>
      </c>
      <c r="K899" s="14" t="s">
        <v>31</v>
      </c>
      <c r="L899" s="11" t="s">
        <v>50</v>
      </c>
      <c r="M899" s="15"/>
      <c r="N899" s="16" t="s">
        <v>5135</v>
      </c>
      <c r="O899" s="16"/>
      <c r="P899" s="16"/>
      <c r="Q899" s="17"/>
      <c r="R899" s="17"/>
      <c r="S899" s="17"/>
      <c r="T899" s="17"/>
      <c r="U899" s="17"/>
      <c r="V899" s="17"/>
      <c r="W899" s="17"/>
      <c r="X899" s="17"/>
      <c r="Y899" s="17"/>
    </row>
    <row r="900" ht="18.75" customHeight="1">
      <c r="A900" s="9">
        <v>901.0</v>
      </c>
      <c r="B900" s="11" t="s">
        <v>3752</v>
      </c>
      <c r="C900" s="11" t="s">
        <v>3753</v>
      </c>
      <c r="D900" s="11" t="s">
        <v>122</v>
      </c>
      <c r="E900" s="11" t="s">
        <v>2417</v>
      </c>
      <c r="F900" s="11" t="s">
        <v>6642</v>
      </c>
      <c r="G900" s="12">
        <v>45838.0</v>
      </c>
      <c r="H900" s="13">
        <v>45839.0</v>
      </c>
      <c r="I900" s="11" t="s">
        <v>25</v>
      </c>
      <c r="J900" s="11" t="s">
        <v>37</v>
      </c>
      <c r="K900" s="14" t="s">
        <v>31</v>
      </c>
      <c r="L900" s="11" t="s">
        <v>74</v>
      </c>
      <c r="M900" s="11" t="s">
        <v>6643</v>
      </c>
      <c r="N900" s="16" t="s">
        <v>5135</v>
      </c>
      <c r="O900" s="16"/>
      <c r="P900" s="16"/>
      <c r="Q900" s="17"/>
      <c r="R900" s="17"/>
      <c r="S900" s="17"/>
      <c r="T900" s="17"/>
      <c r="U900" s="17"/>
      <c r="V900" s="17"/>
      <c r="W900" s="17"/>
      <c r="X900" s="17"/>
      <c r="Y900" s="17"/>
    </row>
    <row r="901" ht="18.75" customHeight="1">
      <c r="A901" s="9">
        <v>902.0</v>
      </c>
      <c r="B901" s="11" t="s">
        <v>3755</v>
      </c>
      <c r="C901" s="11" t="s">
        <v>3756</v>
      </c>
      <c r="D901" s="11" t="s">
        <v>122</v>
      </c>
      <c r="E901" s="11" t="s">
        <v>2806</v>
      </c>
      <c r="F901" s="11" t="s">
        <v>6644</v>
      </c>
      <c r="G901" s="12">
        <v>45838.0</v>
      </c>
      <c r="H901" s="13">
        <v>45839.0</v>
      </c>
      <c r="I901" s="11" t="s">
        <v>25</v>
      </c>
      <c r="J901" s="11" t="s">
        <v>22</v>
      </c>
      <c r="K901" s="14" t="s">
        <v>31</v>
      </c>
      <c r="L901" s="11"/>
      <c r="M901" s="11" t="s">
        <v>183</v>
      </c>
      <c r="N901" s="16" t="s">
        <v>5135</v>
      </c>
      <c r="O901" s="16"/>
      <c r="P901" s="16"/>
      <c r="Q901" s="17"/>
      <c r="R901" s="17"/>
      <c r="S901" s="17"/>
      <c r="T901" s="17"/>
      <c r="U901" s="17"/>
      <c r="V901" s="17"/>
      <c r="W901" s="17"/>
      <c r="X901" s="17"/>
      <c r="Y901" s="17"/>
    </row>
    <row r="902" ht="18.75" customHeight="1">
      <c r="A902" s="9">
        <v>903.0</v>
      </c>
      <c r="B902" s="11" t="s">
        <v>3758</v>
      </c>
      <c r="C902" s="11" t="s">
        <v>3759</v>
      </c>
      <c r="D902" s="11" t="s">
        <v>476</v>
      </c>
      <c r="E902" s="11" t="s">
        <v>2236</v>
      </c>
      <c r="F902" s="11" t="s">
        <v>6645</v>
      </c>
      <c r="G902" s="12">
        <v>45838.0</v>
      </c>
      <c r="H902" s="13">
        <v>45839.0</v>
      </c>
      <c r="I902" s="11" t="s">
        <v>251</v>
      </c>
      <c r="J902" s="11" t="s">
        <v>213</v>
      </c>
      <c r="K902" s="14" t="s">
        <v>31</v>
      </c>
      <c r="L902" s="11"/>
      <c r="M902" s="15"/>
      <c r="N902" s="16" t="s">
        <v>5135</v>
      </c>
      <c r="O902" s="16"/>
      <c r="P902" s="16"/>
      <c r="Q902" s="17"/>
      <c r="R902" s="17"/>
      <c r="S902" s="17"/>
      <c r="T902" s="17"/>
      <c r="U902" s="17"/>
      <c r="V902" s="17"/>
      <c r="W902" s="17"/>
      <c r="X902" s="17"/>
      <c r="Y902" s="17"/>
    </row>
    <row r="903" ht="18.75" customHeight="1">
      <c r="A903" s="9">
        <v>904.0</v>
      </c>
      <c r="B903" s="11" t="s">
        <v>3761</v>
      </c>
      <c r="C903" s="11" t="s">
        <v>3762</v>
      </c>
      <c r="D903" s="11" t="s">
        <v>94</v>
      </c>
      <c r="E903" s="11" t="s">
        <v>3605</v>
      </c>
      <c r="F903" s="11" t="s">
        <v>6646</v>
      </c>
      <c r="G903" s="13">
        <v>45852.0</v>
      </c>
      <c r="H903" s="13">
        <v>45853.0</v>
      </c>
      <c r="I903" s="11" t="s">
        <v>25</v>
      </c>
      <c r="J903" s="11" t="s">
        <v>22</v>
      </c>
      <c r="K903" s="14" t="s">
        <v>31</v>
      </c>
      <c r="L903" s="11"/>
      <c r="M903" s="15"/>
      <c r="N903" s="16" t="s">
        <v>5135</v>
      </c>
      <c r="O903" s="16"/>
      <c r="P903" s="16"/>
      <c r="Q903" s="17"/>
      <c r="R903" s="17"/>
      <c r="S903" s="17"/>
      <c r="T903" s="17"/>
      <c r="U903" s="17"/>
      <c r="V903" s="17"/>
      <c r="W903" s="17"/>
      <c r="X903" s="17"/>
      <c r="Y903" s="17"/>
    </row>
    <row r="904" ht="18.75" customHeight="1">
      <c r="A904" s="9">
        <v>905.0</v>
      </c>
      <c r="B904" s="11" t="s">
        <v>3764</v>
      </c>
      <c r="C904" s="11" t="s">
        <v>3765</v>
      </c>
      <c r="D904" s="11" t="s">
        <v>71</v>
      </c>
      <c r="E904" s="11" t="s">
        <v>3292</v>
      </c>
      <c r="F904" s="11" t="s">
        <v>6647</v>
      </c>
      <c r="G904" s="12">
        <v>45838.0</v>
      </c>
      <c r="H904" s="13">
        <v>45839.0</v>
      </c>
      <c r="I904" s="11" t="s">
        <v>25</v>
      </c>
      <c r="J904" s="11" t="s">
        <v>22</v>
      </c>
      <c r="K904" s="14" t="s">
        <v>31</v>
      </c>
      <c r="L904" s="11"/>
      <c r="M904" s="15"/>
      <c r="N904" s="16" t="s">
        <v>5135</v>
      </c>
      <c r="O904" s="16"/>
      <c r="P904" s="16"/>
      <c r="Q904" s="17"/>
      <c r="R904" s="17"/>
      <c r="S904" s="17"/>
      <c r="T904" s="17"/>
      <c r="U904" s="17"/>
      <c r="V904" s="17"/>
      <c r="W904" s="17"/>
      <c r="X904" s="17"/>
      <c r="Y904" s="17"/>
    </row>
    <row r="905" ht="18.75" customHeight="1">
      <c r="A905" s="9">
        <v>906.0</v>
      </c>
      <c r="B905" s="11" t="s">
        <v>3767</v>
      </c>
      <c r="C905" s="11" t="s">
        <v>3768</v>
      </c>
      <c r="D905" s="11" t="s">
        <v>216</v>
      </c>
      <c r="E905" s="11" t="s">
        <v>3769</v>
      </c>
      <c r="F905" s="11" t="s">
        <v>6648</v>
      </c>
      <c r="G905" s="13">
        <v>45856.0</v>
      </c>
      <c r="H905" s="13">
        <v>45857.0</v>
      </c>
      <c r="I905" s="11" t="s">
        <v>119</v>
      </c>
      <c r="J905" s="11" t="s">
        <v>22</v>
      </c>
      <c r="K905" s="14" t="s">
        <v>31</v>
      </c>
      <c r="L905" s="11" t="s">
        <v>50</v>
      </c>
      <c r="M905" s="15"/>
      <c r="N905" s="16" t="s">
        <v>5135</v>
      </c>
      <c r="O905" s="16"/>
      <c r="P905" s="16"/>
      <c r="Q905" s="17"/>
      <c r="R905" s="17"/>
      <c r="S905" s="17"/>
      <c r="T905" s="17"/>
      <c r="U905" s="17"/>
      <c r="V905" s="17"/>
      <c r="W905" s="17"/>
      <c r="X905" s="17"/>
      <c r="Y905" s="17"/>
    </row>
    <row r="906" ht="18.75" customHeight="1">
      <c r="A906" s="9">
        <v>907.0</v>
      </c>
      <c r="B906" s="11" t="s">
        <v>6649</v>
      </c>
      <c r="C906" s="11" t="s">
        <v>3772</v>
      </c>
      <c r="D906" s="11" t="s">
        <v>289</v>
      </c>
      <c r="E906" s="11" t="s">
        <v>3773</v>
      </c>
      <c r="F906" s="11" t="s">
        <v>6650</v>
      </c>
      <c r="G906" s="12">
        <v>45838.0</v>
      </c>
      <c r="H906" s="13">
        <v>45839.0</v>
      </c>
      <c r="I906" s="11" t="s">
        <v>119</v>
      </c>
      <c r="J906" s="11" t="s">
        <v>37</v>
      </c>
      <c r="K906" s="14" t="s">
        <v>31</v>
      </c>
      <c r="L906" s="11"/>
      <c r="M906" s="15"/>
      <c r="N906" s="16" t="s">
        <v>5135</v>
      </c>
      <c r="O906" s="16"/>
      <c r="P906" s="16"/>
      <c r="Q906" s="17"/>
      <c r="R906" s="17"/>
      <c r="S906" s="17"/>
      <c r="T906" s="17"/>
      <c r="U906" s="17"/>
      <c r="V906" s="17"/>
      <c r="W906" s="17"/>
      <c r="X906" s="17"/>
      <c r="Y906" s="17"/>
    </row>
    <row r="907" ht="18.75" customHeight="1">
      <c r="A907" s="9">
        <v>908.0</v>
      </c>
      <c r="B907" s="11" t="s">
        <v>6651</v>
      </c>
      <c r="C907" s="11" t="s">
        <v>3776</v>
      </c>
      <c r="D907" s="11" t="s">
        <v>3777</v>
      </c>
      <c r="E907" s="11" t="s">
        <v>3773</v>
      </c>
      <c r="F907" s="11" t="s">
        <v>6652</v>
      </c>
      <c r="G907" s="12">
        <v>45853.0</v>
      </c>
      <c r="H907" s="13">
        <v>45854.0</v>
      </c>
      <c r="I907" s="11" t="s">
        <v>119</v>
      </c>
      <c r="J907" s="11" t="s">
        <v>37</v>
      </c>
      <c r="K907" s="14" t="s">
        <v>31</v>
      </c>
      <c r="L907" s="11"/>
      <c r="M907" s="15"/>
      <c r="N907" s="16" t="s">
        <v>5135</v>
      </c>
      <c r="O907" s="16"/>
      <c r="P907" s="16"/>
      <c r="Q907" s="17"/>
      <c r="R907" s="17"/>
      <c r="S907" s="17"/>
      <c r="T907" s="17"/>
      <c r="U907" s="17"/>
      <c r="V907" s="17"/>
      <c r="W907" s="17"/>
      <c r="X907" s="17"/>
      <c r="Y907" s="17"/>
    </row>
    <row r="908" ht="18.75" customHeight="1">
      <c r="A908" s="9">
        <v>909.0</v>
      </c>
      <c r="B908" s="11" t="s">
        <v>3779</v>
      </c>
      <c r="C908" s="11" t="s">
        <v>3780</v>
      </c>
      <c r="D908" s="11" t="s">
        <v>342</v>
      </c>
      <c r="E908" s="11" t="s">
        <v>3781</v>
      </c>
      <c r="F908" s="11" t="s">
        <v>6653</v>
      </c>
      <c r="G908" s="12">
        <v>45869.0</v>
      </c>
      <c r="H908" s="13">
        <v>45870.0</v>
      </c>
      <c r="I908" s="11" t="s">
        <v>25</v>
      </c>
      <c r="J908" s="11" t="s">
        <v>37</v>
      </c>
      <c r="K908" s="14" t="s">
        <v>31</v>
      </c>
      <c r="L908" s="11"/>
      <c r="M908" s="15"/>
      <c r="N908" s="16" t="s">
        <v>5135</v>
      </c>
      <c r="O908" s="16"/>
      <c r="P908" s="16"/>
      <c r="Q908" s="17"/>
      <c r="R908" s="17"/>
      <c r="S908" s="17"/>
      <c r="T908" s="17"/>
      <c r="U908" s="17"/>
      <c r="V908" s="17"/>
      <c r="W908" s="17"/>
      <c r="X908" s="17"/>
      <c r="Y908" s="17"/>
    </row>
    <row r="909" ht="18.75" customHeight="1">
      <c r="A909" s="9">
        <v>910.0</v>
      </c>
      <c r="B909" s="10" t="s">
        <v>3783</v>
      </c>
      <c r="C909" s="10" t="s">
        <v>3784</v>
      </c>
      <c r="D909" s="10" t="s">
        <v>3785</v>
      </c>
      <c r="E909" s="10" t="s">
        <v>3786</v>
      </c>
      <c r="F909" s="10" t="s">
        <v>6654</v>
      </c>
      <c r="G909" s="12">
        <v>45869.0</v>
      </c>
      <c r="H909" s="13">
        <v>45870.0</v>
      </c>
      <c r="I909" s="11" t="s">
        <v>21</v>
      </c>
      <c r="J909" s="11" t="s">
        <v>37</v>
      </c>
      <c r="K909" s="14"/>
      <c r="L909" s="11" t="s">
        <v>50</v>
      </c>
      <c r="M909" s="15"/>
      <c r="N909" s="16"/>
      <c r="O909" s="16"/>
      <c r="P909" s="16"/>
      <c r="Q909" s="17"/>
      <c r="R909" s="17"/>
      <c r="S909" s="17"/>
      <c r="T909" s="17"/>
      <c r="U909" s="17"/>
      <c r="V909" s="17"/>
      <c r="W909" s="17"/>
      <c r="X909" s="17"/>
      <c r="Y909" s="17"/>
    </row>
    <row r="910" ht="18.75" customHeight="1">
      <c r="A910" s="9">
        <v>911.0</v>
      </c>
      <c r="B910" s="11" t="s">
        <v>3788</v>
      </c>
      <c r="C910" s="11" t="s">
        <v>3789</v>
      </c>
      <c r="D910" s="11" t="s">
        <v>1296</v>
      </c>
      <c r="E910" s="11" t="s">
        <v>410</v>
      </c>
      <c r="F910" s="11" t="s">
        <v>6655</v>
      </c>
      <c r="G910" s="12">
        <v>45838.0</v>
      </c>
      <c r="H910" s="13">
        <v>45839.0</v>
      </c>
      <c r="I910" s="11" t="s">
        <v>119</v>
      </c>
      <c r="J910" s="11" t="s">
        <v>37</v>
      </c>
      <c r="K910" s="14" t="s">
        <v>31</v>
      </c>
      <c r="L910" s="11" t="s">
        <v>50</v>
      </c>
      <c r="M910" s="15"/>
      <c r="N910" s="16" t="s">
        <v>5135</v>
      </c>
      <c r="O910" s="16"/>
      <c r="P910" s="16"/>
      <c r="Q910" s="17"/>
      <c r="R910" s="17"/>
      <c r="S910" s="17"/>
      <c r="T910" s="17"/>
      <c r="U910" s="17"/>
      <c r="V910" s="17"/>
      <c r="W910" s="17"/>
      <c r="X910" s="17"/>
      <c r="Y910" s="17"/>
    </row>
    <row r="911" ht="18.75" customHeight="1">
      <c r="A911" s="9">
        <v>912.0</v>
      </c>
      <c r="B911" s="11" t="s">
        <v>3791</v>
      </c>
      <c r="C911" s="11" t="s">
        <v>3792</v>
      </c>
      <c r="D911" s="11" t="s">
        <v>122</v>
      </c>
      <c r="E911" s="11" t="s">
        <v>2757</v>
      </c>
      <c r="F911" s="11" t="s">
        <v>6656</v>
      </c>
      <c r="G911" s="12">
        <v>45838.0</v>
      </c>
      <c r="H911" s="13">
        <v>45839.0</v>
      </c>
      <c r="I911" s="11" t="s">
        <v>251</v>
      </c>
      <c r="J911" s="11" t="s">
        <v>213</v>
      </c>
      <c r="K911" s="14" t="s">
        <v>31</v>
      </c>
      <c r="L911" s="11"/>
      <c r="M911" s="15"/>
      <c r="N911" s="16" t="s">
        <v>5135</v>
      </c>
      <c r="O911" s="16"/>
      <c r="P911" s="16"/>
      <c r="Q911" s="17"/>
      <c r="R911" s="17"/>
      <c r="S911" s="17"/>
      <c r="T911" s="17"/>
      <c r="U911" s="17"/>
      <c r="V911" s="17"/>
      <c r="W911" s="17"/>
      <c r="X911" s="17"/>
      <c r="Y911" s="17"/>
    </row>
    <row r="912" ht="18.75" customHeight="1">
      <c r="A912" s="9">
        <v>913.0</v>
      </c>
      <c r="B912" s="11" t="s">
        <v>3793</v>
      </c>
      <c r="C912" s="11" t="s">
        <v>3794</v>
      </c>
      <c r="D912" s="11" t="s">
        <v>71</v>
      </c>
      <c r="E912" s="11" t="s">
        <v>2822</v>
      </c>
      <c r="F912" s="11" t="s">
        <v>6657</v>
      </c>
      <c r="G912" s="12">
        <v>45869.0</v>
      </c>
      <c r="H912" s="13">
        <v>45870.0</v>
      </c>
      <c r="I912" s="11" t="s">
        <v>25</v>
      </c>
      <c r="J912" s="11" t="s">
        <v>37</v>
      </c>
      <c r="K912" s="14" t="s">
        <v>31</v>
      </c>
      <c r="L912" s="11" t="s">
        <v>97</v>
      </c>
      <c r="M912" s="11" t="s">
        <v>6414</v>
      </c>
      <c r="N912" s="16" t="s">
        <v>5135</v>
      </c>
      <c r="O912" s="16"/>
      <c r="P912" s="16"/>
      <c r="Q912" s="17"/>
      <c r="R912" s="17"/>
      <c r="S912" s="17"/>
      <c r="T912" s="17"/>
      <c r="U912" s="17"/>
      <c r="V912" s="17"/>
      <c r="W912" s="17"/>
      <c r="X912" s="17"/>
      <c r="Y912" s="17"/>
    </row>
    <row r="913" ht="18.75" customHeight="1">
      <c r="A913" s="9">
        <v>914.0</v>
      </c>
      <c r="B913" s="11" t="s">
        <v>3796</v>
      </c>
      <c r="C913" s="11" t="s">
        <v>3797</v>
      </c>
      <c r="D913" s="11" t="s">
        <v>122</v>
      </c>
      <c r="E913" s="11" t="s">
        <v>582</v>
      </c>
      <c r="F913" s="11" t="s">
        <v>6658</v>
      </c>
      <c r="G913" s="12">
        <v>45838.0</v>
      </c>
      <c r="H913" s="13">
        <v>45839.0</v>
      </c>
      <c r="I913" s="11" t="s">
        <v>119</v>
      </c>
      <c r="J913" s="11" t="s">
        <v>213</v>
      </c>
      <c r="K913" s="14" t="s">
        <v>31</v>
      </c>
      <c r="L913" s="11"/>
      <c r="M913" s="15"/>
      <c r="N913" s="16" t="s">
        <v>5135</v>
      </c>
      <c r="O913" s="16"/>
      <c r="P913" s="16"/>
      <c r="Q913" s="17"/>
      <c r="R913" s="17"/>
      <c r="S913" s="17"/>
      <c r="T913" s="17"/>
      <c r="U913" s="17"/>
      <c r="V913" s="17"/>
      <c r="W913" s="17"/>
      <c r="X913" s="17"/>
      <c r="Y913" s="17"/>
    </row>
    <row r="914" ht="18.75" customHeight="1">
      <c r="A914" s="9">
        <v>915.0</v>
      </c>
      <c r="B914" s="11" t="s">
        <v>3798</v>
      </c>
      <c r="C914" s="11" t="s">
        <v>3799</v>
      </c>
      <c r="D914" s="11" t="s">
        <v>362</v>
      </c>
      <c r="E914" s="11" t="s">
        <v>363</v>
      </c>
      <c r="F914" s="11" t="s">
        <v>6659</v>
      </c>
      <c r="G914" s="12">
        <v>45869.0</v>
      </c>
      <c r="H914" s="13">
        <v>45870.0</v>
      </c>
      <c r="I914" s="11" t="s">
        <v>25</v>
      </c>
      <c r="J914" s="11" t="s">
        <v>37</v>
      </c>
      <c r="K914" s="14" t="s">
        <v>31</v>
      </c>
      <c r="L914" s="11" t="s">
        <v>50</v>
      </c>
      <c r="M914" s="15"/>
      <c r="N914" s="16" t="s">
        <v>5135</v>
      </c>
      <c r="O914" s="16"/>
      <c r="P914" s="16"/>
      <c r="Q914" s="17"/>
      <c r="R914" s="17"/>
      <c r="S914" s="17"/>
      <c r="T914" s="17"/>
      <c r="U914" s="17"/>
      <c r="V914" s="17"/>
      <c r="W914" s="17"/>
      <c r="X914" s="17"/>
      <c r="Y914" s="17"/>
    </row>
    <row r="915" ht="18.75" customHeight="1">
      <c r="A915" s="9">
        <v>916.0</v>
      </c>
      <c r="B915" s="11" t="s">
        <v>3801</v>
      </c>
      <c r="C915" s="11" t="s">
        <v>3802</v>
      </c>
      <c r="D915" s="11" t="s">
        <v>3803</v>
      </c>
      <c r="E915" s="11" t="s">
        <v>624</v>
      </c>
      <c r="F915" s="11" t="s">
        <v>6660</v>
      </c>
      <c r="G915" s="13">
        <v>45873.0</v>
      </c>
      <c r="H915" s="13">
        <v>45874.0</v>
      </c>
      <c r="I915" s="11" t="s">
        <v>21</v>
      </c>
      <c r="J915" s="11" t="s">
        <v>22</v>
      </c>
      <c r="K915" s="14" t="s">
        <v>531</v>
      </c>
      <c r="L915" s="11" t="s">
        <v>50</v>
      </c>
      <c r="M915" s="15"/>
      <c r="N915" s="16"/>
      <c r="O915" s="16"/>
      <c r="P915" s="16"/>
      <c r="Q915" s="17"/>
      <c r="R915" s="17"/>
      <c r="S915" s="17"/>
      <c r="T915" s="17"/>
      <c r="U915" s="17"/>
      <c r="V915" s="17"/>
      <c r="W915" s="17"/>
      <c r="X915" s="17"/>
      <c r="Y915" s="17"/>
    </row>
    <row r="916" ht="18.75" customHeight="1">
      <c r="A916" s="9">
        <v>917.0</v>
      </c>
      <c r="B916" s="11" t="s">
        <v>6661</v>
      </c>
      <c r="C916" s="11" t="s">
        <v>6662</v>
      </c>
      <c r="D916" s="11" t="s">
        <v>28</v>
      </c>
      <c r="E916" s="11" t="s">
        <v>3257</v>
      </c>
      <c r="F916" s="11" t="s">
        <v>6663</v>
      </c>
      <c r="G916" s="12">
        <v>45838.0</v>
      </c>
      <c r="H916" s="13">
        <v>45839.0</v>
      </c>
      <c r="I916" s="11" t="s">
        <v>251</v>
      </c>
      <c r="J916" s="11"/>
      <c r="K916" s="14" t="s">
        <v>31</v>
      </c>
      <c r="L916" s="11"/>
      <c r="M916" s="15"/>
      <c r="N916" s="16" t="s">
        <v>5135</v>
      </c>
      <c r="O916" s="16"/>
      <c r="P916" s="16"/>
      <c r="Q916" s="17"/>
      <c r="R916" s="17"/>
      <c r="S916" s="17"/>
      <c r="T916" s="17"/>
      <c r="U916" s="17"/>
      <c r="V916" s="17"/>
      <c r="W916" s="17"/>
      <c r="X916" s="17"/>
      <c r="Y916" s="17"/>
    </row>
    <row r="917" ht="18.75" customHeight="1">
      <c r="A917" s="9">
        <v>918.0</v>
      </c>
      <c r="B917" s="11" t="s">
        <v>1325</v>
      </c>
      <c r="C917" s="11" t="s">
        <v>3805</v>
      </c>
      <c r="D917" s="11" t="s">
        <v>122</v>
      </c>
      <c r="E917" s="11" t="s">
        <v>2642</v>
      </c>
      <c r="F917" s="11" t="s">
        <v>6664</v>
      </c>
      <c r="G917" s="12">
        <v>45869.0</v>
      </c>
      <c r="H917" s="13">
        <v>45870.0</v>
      </c>
      <c r="I917" s="11" t="s">
        <v>25</v>
      </c>
      <c r="J917" s="11" t="s">
        <v>37</v>
      </c>
      <c r="K917" s="14" t="s">
        <v>31</v>
      </c>
      <c r="L917" s="11" t="s">
        <v>62</v>
      </c>
      <c r="M917" s="15"/>
      <c r="N917" s="16" t="s">
        <v>5135</v>
      </c>
      <c r="O917" s="16"/>
      <c r="P917" s="16"/>
      <c r="Q917" s="17"/>
      <c r="R917" s="17"/>
      <c r="S917" s="17"/>
      <c r="T917" s="17"/>
      <c r="U917" s="17"/>
      <c r="V917" s="17"/>
      <c r="W917" s="17"/>
      <c r="X917" s="17"/>
      <c r="Y917" s="17"/>
    </row>
    <row r="918" ht="18.75" customHeight="1">
      <c r="A918" s="9">
        <v>919.0</v>
      </c>
      <c r="B918" s="10" t="s">
        <v>3807</v>
      </c>
      <c r="C918" s="10" t="s">
        <v>3808</v>
      </c>
      <c r="D918" s="10" t="s">
        <v>3809</v>
      </c>
      <c r="E918" s="10" t="s">
        <v>3810</v>
      </c>
      <c r="F918" s="10" t="s">
        <v>6665</v>
      </c>
      <c r="G918" s="12">
        <v>45869.0</v>
      </c>
      <c r="H918" s="13">
        <v>45870.0</v>
      </c>
      <c r="I918" s="11" t="s">
        <v>21</v>
      </c>
      <c r="J918" s="11" t="s">
        <v>22</v>
      </c>
      <c r="K918" s="14"/>
      <c r="L918" s="11" t="s">
        <v>23</v>
      </c>
      <c r="M918" s="15"/>
      <c r="N918" s="16"/>
      <c r="O918" s="16"/>
      <c r="P918" s="16"/>
      <c r="Q918" s="17"/>
      <c r="R918" s="17"/>
      <c r="S918" s="17"/>
      <c r="T918" s="17"/>
      <c r="U918" s="17"/>
      <c r="V918" s="17"/>
      <c r="W918" s="17"/>
      <c r="X918" s="17"/>
      <c r="Y918" s="17"/>
    </row>
    <row r="919" ht="18.75" customHeight="1">
      <c r="A919" s="9">
        <v>920.0</v>
      </c>
      <c r="B919" s="11" t="s">
        <v>3812</v>
      </c>
      <c r="C919" s="11" t="s">
        <v>3813</v>
      </c>
      <c r="D919" s="11" t="s">
        <v>28</v>
      </c>
      <c r="E919" s="11" t="s">
        <v>3814</v>
      </c>
      <c r="F919" s="11" t="s">
        <v>6666</v>
      </c>
      <c r="G919" s="12">
        <v>45869.0</v>
      </c>
      <c r="H919" s="13">
        <v>45870.0</v>
      </c>
      <c r="I919" s="11" t="s">
        <v>25</v>
      </c>
      <c r="J919" s="11" t="s">
        <v>37</v>
      </c>
      <c r="K919" s="14" t="s">
        <v>31</v>
      </c>
      <c r="L919" s="11" t="s">
        <v>50</v>
      </c>
      <c r="M919" s="15"/>
      <c r="N919" s="16" t="s">
        <v>5135</v>
      </c>
      <c r="O919" s="16"/>
      <c r="P919" s="16"/>
      <c r="Q919" s="17"/>
      <c r="R919" s="17"/>
      <c r="S919" s="17"/>
      <c r="T919" s="17"/>
      <c r="U919" s="17"/>
      <c r="V919" s="17"/>
      <c r="W919" s="17"/>
      <c r="X919" s="17"/>
      <c r="Y919" s="17"/>
    </row>
    <row r="920" ht="18.75" customHeight="1">
      <c r="A920" s="9">
        <v>921.0</v>
      </c>
      <c r="B920" s="11" t="s">
        <v>3816</v>
      </c>
      <c r="C920" s="11" t="s">
        <v>3817</v>
      </c>
      <c r="D920" s="11" t="s">
        <v>3818</v>
      </c>
      <c r="E920" s="11" t="s">
        <v>3810</v>
      </c>
      <c r="F920" s="11" t="s">
        <v>6667</v>
      </c>
      <c r="G920" s="12">
        <v>45869.0</v>
      </c>
      <c r="H920" s="13">
        <v>45870.0</v>
      </c>
      <c r="I920" s="11" t="s">
        <v>25</v>
      </c>
      <c r="J920" s="11" t="s">
        <v>37</v>
      </c>
      <c r="K920" s="14" t="s">
        <v>31</v>
      </c>
      <c r="L920" s="11" t="s">
        <v>23</v>
      </c>
      <c r="M920" s="15"/>
      <c r="N920" s="16" t="s">
        <v>5135</v>
      </c>
      <c r="O920" s="16"/>
      <c r="P920" s="16"/>
      <c r="Q920" s="17"/>
      <c r="R920" s="17"/>
      <c r="S920" s="17"/>
      <c r="T920" s="17"/>
      <c r="U920" s="17"/>
      <c r="V920" s="17"/>
      <c r="W920" s="17"/>
      <c r="X920" s="17"/>
      <c r="Y920" s="17"/>
    </row>
    <row r="921" ht="18.75" customHeight="1">
      <c r="A921" s="9">
        <v>922.0</v>
      </c>
      <c r="B921" s="11" t="s">
        <v>3820</v>
      </c>
      <c r="C921" s="11" t="s">
        <v>3821</v>
      </c>
      <c r="D921" s="11" t="s">
        <v>1219</v>
      </c>
      <c r="E921" s="11" t="s">
        <v>1220</v>
      </c>
      <c r="F921" s="11" t="s">
        <v>6668</v>
      </c>
      <c r="G921" s="13">
        <v>45900.0</v>
      </c>
      <c r="H921" s="13">
        <v>45901.0</v>
      </c>
      <c r="I921" s="11" t="s">
        <v>25</v>
      </c>
      <c r="J921" s="11" t="s">
        <v>37</v>
      </c>
      <c r="K921" s="14" t="s">
        <v>31</v>
      </c>
      <c r="L921" s="11" t="s">
        <v>62</v>
      </c>
      <c r="M921" s="15"/>
      <c r="N921" s="16" t="s">
        <v>5135</v>
      </c>
      <c r="O921" s="16"/>
      <c r="P921" s="16"/>
      <c r="Q921" s="17"/>
      <c r="R921" s="17"/>
      <c r="S921" s="17"/>
      <c r="T921" s="17"/>
      <c r="U921" s="17"/>
      <c r="V921" s="17"/>
      <c r="W921" s="17"/>
      <c r="X921" s="17"/>
      <c r="Y921" s="17"/>
    </row>
    <row r="922" ht="18.75" customHeight="1">
      <c r="A922" s="9">
        <v>923.0</v>
      </c>
      <c r="B922" s="11" t="s">
        <v>3823</v>
      </c>
      <c r="C922" s="11" t="s">
        <v>3824</v>
      </c>
      <c r="D922" s="11" t="s">
        <v>122</v>
      </c>
      <c r="E922" s="11" t="s">
        <v>2642</v>
      </c>
      <c r="F922" s="11" t="s">
        <v>6669</v>
      </c>
      <c r="G922" s="12">
        <v>45838.0</v>
      </c>
      <c r="H922" s="13">
        <v>45839.0</v>
      </c>
      <c r="I922" s="11" t="s">
        <v>25</v>
      </c>
      <c r="J922" s="11" t="s">
        <v>22</v>
      </c>
      <c r="K922" s="14" t="s">
        <v>31</v>
      </c>
      <c r="L922" s="11"/>
      <c r="M922" s="11" t="s">
        <v>1045</v>
      </c>
      <c r="N922" s="16" t="s">
        <v>5135</v>
      </c>
      <c r="O922" s="16"/>
      <c r="P922" s="16"/>
      <c r="Q922" s="17"/>
      <c r="R922" s="17"/>
      <c r="S922" s="17"/>
      <c r="T922" s="17"/>
      <c r="U922" s="17"/>
      <c r="V922" s="17"/>
      <c r="W922" s="17"/>
      <c r="X922" s="17"/>
      <c r="Y922" s="17"/>
    </row>
    <row r="923" ht="18.75" customHeight="1">
      <c r="A923" s="9">
        <v>924.0</v>
      </c>
      <c r="B923" s="11" t="s">
        <v>3826</v>
      </c>
      <c r="C923" s="11" t="s">
        <v>3827</v>
      </c>
      <c r="D923" s="11" t="s">
        <v>128</v>
      </c>
      <c r="E923" s="11" t="s">
        <v>2642</v>
      </c>
      <c r="F923" s="11" t="s">
        <v>6670</v>
      </c>
      <c r="G923" s="12">
        <v>45838.0</v>
      </c>
      <c r="H923" s="13">
        <v>45839.0</v>
      </c>
      <c r="I923" s="11" t="s">
        <v>25</v>
      </c>
      <c r="J923" s="11" t="s">
        <v>22</v>
      </c>
      <c r="K923" s="14" t="s">
        <v>31</v>
      </c>
      <c r="L923" s="11"/>
      <c r="M923" s="11" t="s">
        <v>1045</v>
      </c>
      <c r="N923" s="16" t="s">
        <v>5135</v>
      </c>
      <c r="O923" s="16"/>
      <c r="P923" s="16"/>
      <c r="Q923" s="17"/>
      <c r="R923" s="17"/>
      <c r="S923" s="17"/>
      <c r="T923" s="17"/>
      <c r="U923" s="17"/>
      <c r="V923" s="17"/>
      <c r="W923" s="17"/>
      <c r="X923" s="17"/>
      <c r="Y923" s="17"/>
    </row>
    <row r="924" ht="18.75" customHeight="1">
      <c r="A924" s="9">
        <v>925.0</v>
      </c>
      <c r="B924" s="11" t="s">
        <v>3829</v>
      </c>
      <c r="C924" s="11" t="s">
        <v>3830</v>
      </c>
      <c r="D924" s="11" t="s">
        <v>59</v>
      </c>
      <c r="E924" s="11" t="s">
        <v>2575</v>
      </c>
      <c r="F924" s="11" t="s">
        <v>6671</v>
      </c>
      <c r="G924" s="12">
        <v>45869.0</v>
      </c>
      <c r="H924" s="13">
        <v>45870.0</v>
      </c>
      <c r="I924" s="11" t="s">
        <v>25</v>
      </c>
      <c r="J924" s="11" t="s">
        <v>22</v>
      </c>
      <c r="K924" s="14" t="s">
        <v>31</v>
      </c>
      <c r="L924" s="11"/>
      <c r="M924" s="11" t="s">
        <v>6672</v>
      </c>
      <c r="N924" s="16" t="s">
        <v>5135</v>
      </c>
      <c r="O924" s="16"/>
      <c r="P924" s="16"/>
      <c r="Q924" s="17"/>
      <c r="R924" s="17"/>
      <c r="S924" s="17"/>
      <c r="T924" s="17"/>
      <c r="U924" s="17"/>
      <c r="V924" s="17"/>
      <c r="W924" s="17"/>
      <c r="X924" s="17"/>
      <c r="Y924" s="17"/>
    </row>
    <row r="925" ht="18.75" customHeight="1">
      <c r="A925" s="9">
        <v>926.0</v>
      </c>
      <c r="B925" s="11" t="s">
        <v>3832</v>
      </c>
      <c r="C925" s="11" t="s">
        <v>3833</v>
      </c>
      <c r="D925" s="11" t="s">
        <v>110</v>
      </c>
      <c r="E925" s="11" t="s">
        <v>2468</v>
      </c>
      <c r="F925" s="11" t="s">
        <v>6673</v>
      </c>
      <c r="G925" s="12">
        <v>45847.0</v>
      </c>
      <c r="H925" s="13">
        <v>45848.0</v>
      </c>
      <c r="I925" s="11" t="s">
        <v>119</v>
      </c>
      <c r="J925" s="11" t="s">
        <v>213</v>
      </c>
      <c r="K925" s="14" t="s">
        <v>31</v>
      </c>
      <c r="L925" s="11"/>
      <c r="M925" s="15"/>
      <c r="N925" s="16" t="s">
        <v>5135</v>
      </c>
      <c r="O925" s="16"/>
      <c r="P925" s="16"/>
      <c r="Q925" s="17"/>
      <c r="R925" s="17"/>
      <c r="S925" s="17"/>
      <c r="T925" s="17"/>
      <c r="U925" s="17"/>
      <c r="V925" s="17"/>
      <c r="W925" s="17"/>
      <c r="X925" s="17"/>
      <c r="Y925" s="17"/>
    </row>
    <row r="926" ht="18.75" customHeight="1">
      <c r="A926" s="9">
        <v>927.0</v>
      </c>
      <c r="B926" s="11" t="s">
        <v>3835</v>
      </c>
      <c r="C926" s="11" t="s">
        <v>3836</v>
      </c>
      <c r="D926" s="11" t="s">
        <v>42</v>
      </c>
      <c r="E926" s="11" t="s">
        <v>3837</v>
      </c>
      <c r="F926" s="11" t="s">
        <v>6674</v>
      </c>
      <c r="G926" s="12">
        <v>45839.0</v>
      </c>
      <c r="H926" s="12">
        <v>45840.0</v>
      </c>
      <c r="I926" s="11" t="s">
        <v>251</v>
      </c>
      <c r="J926" s="11" t="s">
        <v>213</v>
      </c>
      <c r="K926" s="14" t="s">
        <v>31</v>
      </c>
      <c r="L926" s="11"/>
      <c r="M926" s="15"/>
      <c r="N926" s="16" t="s">
        <v>5135</v>
      </c>
      <c r="O926" s="16"/>
      <c r="P926" s="16"/>
      <c r="Q926" s="17"/>
      <c r="R926" s="17"/>
      <c r="S926" s="17"/>
      <c r="T926" s="17"/>
      <c r="U926" s="17"/>
      <c r="V926" s="17"/>
      <c r="W926" s="17"/>
      <c r="X926" s="17"/>
      <c r="Y926" s="17"/>
    </row>
    <row r="927" ht="18.75" customHeight="1">
      <c r="A927" s="9">
        <v>928.0</v>
      </c>
      <c r="B927" s="11" t="s">
        <v>3838</v>
      </c>
      <c r="C927" s="11" t="s">
        <v>3839</v>
      </c>
      <c r="D927" s="11" t="s">
        <v>313</v>
      </c>
      <c r="E927" s="11" t="s">
        <v>3840</v>
      </c>
      <c r="F927" s="11" t="s">
        <v>6675</v>
      </c>
      <c r="G927" s="12">
        <v>45869.0</v>
      </c>
      <c r="H927" s="13">
        <v>45870.0</v>
      </c>
      <c r="I927" s="11" t="s">
        <v>25</v>
      </c>
      <c r="J927" s="11" t="s">
        <v>37</v>
      </c>
      <c r="K927" s="14" t="s">
        <v>31</v>
      </c>
      <c r="L927" s="11" t="s">
        <v>50</v>
      </c>
      <c r="M927" s="15"/>
      <c r="N927" s="16" t="s">
        <v>5135</v>
      </c>
      <c r="O927" s="16"/>
      <c r="P927" s="16"/>
      <c r="Q927" s="17"/>
      <c r="R927" s="17"/>
      <c r="S927" s="17"/>
      <c r="T927" s="17"/>
      <c r="U927" s="17"/>
      <c r="V927" s="17"/>
      <c r="W927" s="17"/>
      <c r="X927" s="17"/>
      <c r="Y927" s="17"/>
    </row>
    <row r="928" ht="18.75" customHeight="1">
      <c r="A928" s="9">
        <v>929.0</v>
      </c>
      <c r="B928" s="11" t="s">
        <v>3842</v>
      </c>
      <c r="C928" s="11" t="s">
        <v>3843</v>
      </c>
      <c r="D928" s="11" t="s">
        <v>289</v>
      </c>
      <c r="E928" s="11" t="s">
        <v>290</v>
      </c>
      <c r="F928" s="11" t="s">
        <v>6676</v>
      </c>
      <c r="G928" s="12">
        <v>45869.0</v>
      </c>
      <c r="H928" s="13">
        <v>45870.0</v>
      </c>
      <c r="I928" s="11" t="s">
        <v>119</v>
      </c>
      <c r="J928" s="11" t="s">
        <v>22</v>
      </c>
      <c r="K928" s="14" t="s">
        <v>31</v>
      </c>
      <c r="L928" s="11"/>
      <c r="M928" s="15"/>
      <c r="N928" s="16" t="s">
        <v>5135</v>
      </c>
      <c r="O928" s="16"/>
      <c r="P928" s="16"/>
      <c r="Q928" s="17"/>
      <c r="R928" s="17"/>
      <c r="S928" s="17"/>
      <c r="T928" s="17"/>
      <c r="U928" s="17"/>
      <c r="V928" s="17"/>
      <c r="W928" s="17"/>
      <c r="X928" s="17"/>
      <c r="Y928" s="17"/>
    </row>
    <row r="929" ht="18.75" customHeight="1">
      <c r="A929" s="9">
        <v>930.0</v>
      </c>
      <c r="B929" s="11" t="s">
        <v>3845</v>
      </c>
      <c r="C929" s="11" t="s">
        <v>3846</v>
      </c>
      <c r="D929" s="11" t="s">
        <v>128</v>
      </c>
      <c r="E929" s="11" t="s">
        <v>2499</v>
      </c>
      <c r="F929" s="11" t="s">
        <v>6677</v>
      </c>
      <c r="G929" s="12">
        <v>45869.0</v>
      </c>
      <c r="H929" s="13">
        <v>45870.0</v>
      </c>
      <c r="I929" s="11" t="s">
        <v>119</v>
      </c>
      <c r="J929" s="11" t="s">
        <v>22</v>
      </c>
      <c r="K929" s="14" t="s">
        <v>31</v>
      </c>
      <c r="L929" s="11"/>
      <c r="M929" s="15"/>
      <c r="N929" s="16" t="s">
        <v>5135</v>
      </c>
      <c r="O929" s="16"/>
      <c r="P929" s="16"/>
      <c r="Q929" s="17"/>
      <c r="R929" s="17"/>
      <c r="S929" s="17"/>
      <c r="T929" s="17"/>
      <c r="U929" s="17"/>
      <c r="V929" s="17"/>
      <c r="W929" s="17"/>
      <c r="X929" s="17"/>
      <c r="Y929" s="17"/>
    </row>
    <row r="930" ht="18.75" customHeight="1">
      <c r="A930" s="9">
        <v>931.0</v>
      </c>
      <c r="B930" s="10" t="s">
        <v>3848</v>
      </c>
      <c r="C930" s="10" t="s">
        <v>3849</v>
      </c>
      <c r="D930" s="10" t="s">
        <v>122</v>
      </c>
      <c r="E930" s="10" t="s">
        <v>2388</v>
      </c>
      <c r="F930" s="10" t="s">
        <v>6678</v>
      </c>
      <c r="G930" s="12">
        <v>45869.0</v>
      </c>
      <c r="H930" s="13">
        <v>45870.0</v>
      </c>
      <c r="I930" s="11" t="s">
        <v>21</v>
      </c>
      <c r="J930" s="11"/>
      <c r="K930" s="14"/>
      <c r="L930" s="11"/>
      <c r="M930" s="15"/>
      <c r="N930" s="16"/>
      <c r="O930" s="16"/>
      <c r="P930" s="16"/>
      <c r="Q930" s="17"/>
      <c r="R930" s="17"/>
      <c r="S930" s="17"/>
      <c r="T930" s="17"/>
      <c r="U930" s="17"/>
      <c r="V930" s="17"/>
      <c r="W930" s="17"/>
      <c r="X930" s="17"/>
      <c r="Y930" s="17"/>
    </row>
    <row r="931" ht="18.75" customHeight="1">
      <c r="A931" s="9">
        <v>932.0</v>
      </c>
      <c r="B931" s="11" t="s">
        <v>3851</v>
      </c>
      <c r="C931" s="11" t="s">
        <v>3852</v>
      </c>
      <c r="D931" s="11" t="s">
        <v>116</v>
      </c>
      <c r="E931" s="11" t="s">
        <v>3853</v>
      </c>
      <c r="F931" s="11" t="s">
        <v>6679</v>
      </c>
      <c r="G931" s="12">
        <v>45869.0</v>
      </c>
      <c r="H931" s="13">
        <v>45870.0</v>
      </c>
      <c r="I931" s="11" t="s">
        <v>119</v>
      </c>
      <c r="J931" s="11" t="s">
        <v>37</v>
      </c>
      <c r="K931" s="14" t="s">
        <v>31</v>
      </c>
      <c r="L931" s="11"/>
      <c r="M931" s="15"/>
      <c r="N931" s="16" t="s">
        <v>5135</v>
      </c>
      <c r="O931" s="16"/>
      <c r="P931" s="16"/>
      <c r="Q931" s="17"/>
      <c r="R931" s="17"/>
      <c r="S931" s="17"/>
      <c r="T931" s="17"/>
      <c r="U931" s="17"/>
      <c r="V931" s="17"/>
      <c r="W931" s="17"/>
      <c r="X931" s="17"/>
      <c r="Y931" s="17"/>
    </row>
    <row r="932" ht="18.75" customHeight="1">
      <c r="A932" s="9">
        <v>933.0</v>
      </c>
      <c r="B932" s="11" t="s">
        <v>3855</v>
      </c>
      <c r="C932" s="11" t="s">
        <v>3856</v>
      </c>
      <c r="D932" s="11" t="s">
        <v>231</v>
      </c>
      <c r="E932" s="11" t="s">
        <v>3857</v>
      </c>
      <c r="F932" s="11" t="s">
        <v>6680</v>
      </c>
      <c r="G932" s="13">
        <v>45881.0</v>
      </c>
      <c r="H932" s="13">
        <v>45882.0</v>
      </c>
      <c r="I932" s="11" t="s">
        <v>21</v>
      </c>
      <c r="J932" s="11" t="s">
        <v>22</v>
      </c>
      <c r="K932" s="14"/>
      <c r="L932" s="11"/>
      <c r="M932" s="15"/>
      <c r="N932" s="16"/>
      <c r="O932" s="16"/>
      <c r="P932" s="16"/>
      <c r="Q932" s="17"/>
      <c r="R932" s="17"/>
      <c r="S932" s="17"/>
      <c r="T932" s="17"/>
      <c r="U932" s="17"/>
      <c r="V932" s="17"/>
      <c r="W932" s="17"/>
      <c r="X932" s="17"/>
      <c r="Y932" s="17"/>
    </row>
    <row r="933" ht="18.75" customHeight="1">
      <c r="A933" s="9">
        <v>934.0</v>
      </c>
      <c r="B933" s="11" t="s">
        <v>3859</v>
      </c>
      <c r="C933" s="11" t="s">
        <v>3860</v>
      </c>
      <c r="D933" s="11" t="s">
        <v>71</v>
      </c>
      <c r="E933" s="11" t="s">
        <v>2840</v>
      </c>
      <c r="F933" s="11" t="s">
        <v>6681</v>
      </c>
      <c r="G933" s="12">
        <v>45869.0</v>
      </c>
      <c r="H933" s="13">
        <v>45870.0</v>
      </c>
      <c r="I933" s="11" t="s">
        <v>119</v>
      </c>
      <c r="J933" s="11" t="s">
        <v>37</v>
      </c>
      <c r="K933" s="14" t="s">
        <v>31</v>
      </c>
      <c r="L933" s="11"/>
      <c r="M933" s="15"/>
      <c r="N933" s="16" t="s">
        <v>5135</v>
      </c>
      <c r="O933" s="16"/>
      <c r="P933" s="16"/>
      <c r="Q933" s="17"/>
      <c r="R933" s="17"/>
      <c r="S933" s="17"/>
      <c r="T933" s="17"/>
      <c r="U933" s="17"/>
      <c r="V933" s="17"/>
      <c r="W933" s="17"/>
      <c r="X933" s="17"/>
      <c r="Y933" s="17"/>
    </row>
    <row r="934" ht="18.75" customHeight="1">
      <c r="A934" s="9">
        <v>935.0</v>
      </c>
      <c r="B934" s="10" t="s">
        <v>474</v>
      </c>
      <c r="C934" s="10" t="s">
        <v>475</v>
      </c>
      <c r="D934" s="10" t="s">
        <v>476</v>
      </c>
      <c r="E934" s="10" t="s">
        <v>2395</v>
      </c>
      <c r="F934" s="10" t="s">
        <v>477</v>
      </c>
      <c r="G934" s="12">
        <v>45869.0</v>
      </c>
      <c r="H934" s="13">
        <v>45870.0</v>
      </c>
      <c r="I934" s="11" t="s">
        <v>21</v>
      </c>
      <c r="J934" s="11"/>
      <c r="K934" s="14"/>
      <c r="L934" s="11"/>
      <c r="M934" s="15"/>
      <c r="N934" s="16"/>
      <c r="O934" s="16"/>
      <c r="P934" s="16"/>
      <c r="Q934" s="17"/>
      <c r="R934" s="17"/>
      <c r="S934" s="17"/>
      <c r="T934" s="17"/>
      <c r="U934" s="17"/>
      <c r="V934" s="17"/>
      <c r="W934" s="17"/>
      <c r="X934" s="17"/>
      <c r="Y934" s="17"/>
    </row>
    <row r="935" ht="18.75" customHeight="1">
      <c r="A935" s="9">
        <v>936.0</v>
      </c>
      <c r="B935" s="11" t="s">
        <v>3863</v>
      </c>
      <c r="C935" s="11" t="s">
        <v>3864</v>
      </c>
      <c r="D935" s="11" t="s">
        <v>110</v>
      </c>
      <c r="E935" s="11" t="s">
        <v>2757</v>
      </c>
      <c r="F935" s="11" t="s">
        <v>6682</v>
      </c>
      <c r="G935" s="13">
        <v>45893.0</v>
      </c>
      <c r="H935" s="13">
        <v>45894.0</v>
      </c>
      <c r="I935" s="11" t="s">
        <v>25</v>
      </c>
      <c r="J935" s="11" t="s">
        <v>37</v>
      </c>
      <c r="K935" s="14" t="s">
        <v>31</v>
      </c>
      <c r="L935" s="11" t="s">
        <v>74</v>
      </c>
      <c r="M935" s="11" t="s">
        <v>6683</v>
      </c>
      <c r="N935" s="16" t="s">
        <v>5135</v>
      </c>
      <c r="O935" s="16"/>
      <c r="P935" s="16"/>
      <c r="Q935" s="17"/>
      <c r="R935" s="17"/>
      <c r="S935" s="17"/>
      <c r="T935" s="17"/>
      <c r="U935" s="17"/>
      <c r="V935" s="17"/>
      <c r="W935" s="17"/>
      <c r="X935" s="17"/>
      <c r="Y935" s="17"/>
    </row>
    <row r="936" ht="18.75" customHeight="1">
      <c r="A936" s="9">
        <v>937.0</v>
      </c>
      <c r="B936" s="11" t="s">
        <v>3866</v>
      </c>
      <c r="C936" s="11" t="s">
        <v>3867</v>
      </c>
      <c r="D936" s="11" t="s">
        <v>1643</v>
      </c>
      <c r="E936" s="11" t="s">
        <v>3257</v>
      </c>
      <c r="F936" s="11" t="s">
        <v>6684</v>
      </c>
      <c r="G936" s="12">
        <v>45869.0</v>
      </c>
      <c r="H936" s="13">
        <v>45870.0</v>
      </c>
      <c r="I936" s="11" t="s">
        <v>25</v>
      </c>
      <c r="J936" s="11" t="s">
        <v>22</v>
      </c>
      <c r="K936" s="14" t="s">
        <v>31</v>
      </c>
      <c r="L936" s="11" t="s">
        <v>50</v>
      </c>
      <c r="M936" s="15"/>
      <c r="N936" s="16" t="s">
        <v>5135</v>
      </c>
      <c r="O936" s="16"/>
      <c r="P936" s="16"/>
      <c r="Q936" s="17"/>
      <c r="R936" s="17"/>
      <c r="S936" s="17"/>
      <c r="T936" s="17"/>
      <c r="U936" s="17"/>
      <c r="V936" s="17"/>
      <c r="W936" s="17"/>
      <c r="X936" s="17"/>
      <c r="Y936" s="17"/>
    </row>
    <row r="937" ht="18.75" customHeight="1">
      <c r="A937" s="9">
        <v>938.0</v>
      </c>
      <c r="B937" s="11" t="s">
        <v>3869</v>
      </c>
      <c r="C937" s="11" t="s">
        <v>3870</v>
      </c>
      <c r="D937" s="11" t="s">
        <v>444</v>
      </c>
      <c r="E937" s="11" t="s">
        <v>3871</v>
      </c>
      <c r="F937" s="11" t="s">
        <v>6685</v>
      </c>
      <c r="G937" s="12">
        <v>45863.0</v>
      </c>
      <c r="H937" s="13">
        <v>45870.0</v>
      </c>
      <c r="I937" s="11" t="s">
        <v>119</v>
      </c>
      <c r="J937" s="11" t="s">
        <v>37</v>
      </c>
      <c r="K937" s="14" t="s">
        <v>31</v>
      </c>
      <c r="L937" s="11" t="s">
        <v>62</v>
      </c>
      <c r="M937" s="11" t="s">
        <v>6686</v>
      </c>
      <c r="N937" s="16" t="s">
        <v>5135</v>
      </c>
      <c r="O937" s="16"/>
      <c r="P937" s="16"/>
      <c r="Q937" s="17"/>
      <c r="R937" s="17"/>
      <c r="S937" s="17"/>
      <c r="T937" s="17"/>
      <c r="U937" s="17"/>
      <c r="V937" s="17"/>
      <c r="W937" s="17"/>
      <c r="X937" s="17"/>
      <c r="Y937" s="17"/>
    </row>
    <row r="938" ht="18.75" customHeight="1">
      <c r="A938" s="9">
        <v>939.0</v>
      </c>
      <c r="B938" s="11" t="s">
        <v>3873</v>
      </c>
      <c r="C938" s="11" t="s">
        <v>3874</v>
      </c>
      <c r="D938" s="11" t="s">
        <v>894</v>
      </c>
      <c r="E938" s="11" t="s">
        <v>3601</v>
      </c>
      <c r="F938" s="11" t="s">
        <v>6687</v>
      </c>
      <c r="G938" s="12">
        <v>45846.0</v>
      </c>
      <c r="H938" s="13">
        <v>45847.0</v>
      </c>
      <c r="I938" s="11" t="s">
        <v>25</v>
      </c>
      <c r="J938" s="11" t="s">
        <v>22</v>
      </c>
      <c r="K938" s="14" t="s">
        <v>31</v>
      </c>
      <c r="L938" s="11"/>
      <c r="M938" s="15"/>
      <c r="N938" s="16" t="s">
        <v>5135</v>
      </c>
      <c r="O938" s="16"/>
      <c r="P938" s="16"/>
      <c r="Q938" s="17"/>
      <c r="R938" s="17"/>
      <c r="S938" s="17"/>
      <c r="T938" s="17"/>
      <c r="U938" s="17"/>
      <c r="V938" s="17"/>
      <c r="W938" s="17"/>
      <c r="X938" s="17"/>
      <c r="Y938" s="17"/>
    </row>
    <row r="939" ht="18.75" customHeight="1">
      <c r="A939" s="9">
        <v>940.0</v>
      </c>
      <c r="B939" s="11" t="s">
        <v>3876</v>
      </c>
      <c r="C939" s="11" t="s">
        <v>3877</v>
      </c>
      <c r="D939" s="11" t="s">
        <v>1149</v>
      </c>
      <c r="E939" s="11" t="s">
        <v>211</v>
      </c>
      <c r="F939" s="11" t="s">
        <v>6688</v>
      </c>
      <c r="G939" s="12">
        <v>45869.0</v>
      </c>
      <c r="H939" s="13">
        <v>45870.0</v>
      </c>
      <c r="I939" s="11" t="s">
        <v>119</v>
      </c>
      <c r="J939" s="11" t="s">
        <v>37</v>
      </c>
      <c r="K939" s="14" t="s">
        <v>31</v>
      </c>
      <c r="L939" s="11" t="s">
        <v>50</v>
      </c>
      <c r="M939" s="15"/>
      <c r="N939" s="16" t="s">
        <v>5135</v>
      </c>
      <c r="O939" s="16"/>
      <c r="P939" s="16"/>
      <c r="Q939" s="17"/>
      <c r="R939" s="17"/>
      <c r="S939" s="17"/>
      <c r="T939" s="17"/>
      <c r="U939" s="17"/>
      <c r="V939" s="17"/>
      <c r="W939" s="17"/>
      <c r="X939" s="17"/>
      <c r="Y939" s="17"/>
    </row>
    <row r="940" ht="18.75" customHeight="1">
      <c r="A940" s="9">
        <v>941.0</v>
      </c>
      <c r="B940" s="11" t="s">
        <v>3879</v>
      </c>
      <c r="C940" s="11" t="s">
        <v>3880</v>
      </c>
      <c r="D940" s="11" t="s">
        <v>1305</v>
      </c>
      <c r="E940" s="11" t="s">
        <v>1109</v>
      </c>
      <c r="F940" s="11" t="s">
        <v>6689</v>
      </c>
      <c r="G940" s="13">
        <v>45900.0</v>
      </c>
      <c r="H940" s="13">
        <v>45901.0</v>
      </c>
      <c r="I940" s="11" t="s">
        <v>25</v>
      </c>
      <c r="J940" s="11" t="s">
        <v>37</v>
      </c>
      <c r="K940" s="14" t="s">
        <v>31</v>
      </c>
      <c r="L940" s="11" t="s">
        <v>50</v>
      </c>
      <c r="M940" s="15"/>
      <c r="N940" s="16" t="s">
        <v>5135</v>
      </c>
      <c r="O940" s="16"/>
      <c r="P940" s="16"/>
      <c r="Q940" s="17"/>
      <c r="R940" s="17"/>
      <c r="S940" s="17"/>
      <c r="T940" s="17"/>
      <c r="U940" s="17"/>
      <c r="V940" s="17"/>
      <c r="W940" s="17"/>
      <c r="X940" s="17"/>
      <c r="Y940" s="17"/>
    </row>
    <row r="941" ht="18.75" customHeight="1">
      <c r="A941" s="9">
        <v>942.0</v>
      </c>
      <c r="B941" s="11" t="s">
        <v>3882</v>
      </c>
      <c r="C941" s="11" t="s">
        <v>3883</v>
      </c>
      <c r="D941" s="11" t="s">
        <v>47</v>
      </c>
      <c r="E941" s="11" t="s">
        <v>3727</v>
      </c>
      <c r="F941" s="11" t="s">
        <v>6690</v>
      </c>
      <c r="G941" s="13">
        <v>45884.0</v>
      </c>
      <c r="H941" s="13">
        <v>45885.0</v>
      </c>
      <c r="I941" s="11" t="s">
        <v>25</v>
      </c>
      <c r="J941" s="11" t="s">
        <v>37</v>
      </c>
      <c r="K941" s="14" t="s">
        <v>31</v>
      </c>
      <c r="L941" s="11" t="s">
        <v>50</v>
      </c>
      <c r="M941" s="15"/>
      <c r="N941" s="16" t="s">
        <v>5135</v>
      </c>
      <c r="O941" s="16"/>
      <c r="P941" s="16"/>
      <c r="Q941" s="17"/>
      <c r="R941" s="17"/>
      <c r="S941" s="17"/>
      <c r="T941" s="17"/>
      <c r="U941" s="17"/>
      <c r="V941" s="17"/>
      <c r="W941" s="17"/>
      <c r="X941" s="17"/>
      <c r="Y941" s="17"/>
    </row>
    <row r="942" ht="18.75" customHeight="1">
      <c r="A942" s="9">
        <v>943.0</v>
      </c>
      <c r="B942" s="11" t="s">
        <v>3885</v>
      </c>
      <c r="C942" s="11" t="s">
        <v>3886</v>
      </c>
      <c r="D942" s="11" t="s">
        <v>128</v>
      </c>
      <c r="E942" s="11" t="s">
        <v>3887</v>
      </c>
      <c r="F942" s="11" t="s">
        <v>6691</v>
      </c>
      <c r="G942" s="12">
        <v>45853.0</v>
      </c>
      <c r="H942" s="13">
        <v>45854.0</v>
      </c>
      <c r="I942" s="11" t="s">
        <v>251</v>
      </c>
      <c r="J942" s="11" t="s">
        <v>213</v>
      </c>
      <c r="K942" s="14" t="s">
        <v>31</v>
      </c>
      <c r="L942" s="11"/>
      <c r="M942" s="15"/>
      <c r="N942" s="16" t="s">
        <v>5135</v>
      </c>
      <c r="O942" s="16"/>
      <c r="P942" s="16"/>
      <c r="Q942" s="17"/>
      <c r="R942" s="17"/>
      <c r="S942" s="17"/>
      <c r="T942" s="17"/>
      <c r="U942" s="17"/>
      <c r="V942" s="17"/>
      <c r="W942" s="17"/>
      <c r="X942" s="17"/>
      <c r="Y942" s="17"/>
    </row>
    <row r="943" ht="18.75" customHeight="1">
      <c r="A943" s="9">
        <v>944.0</v>
      </c>
      <c r="B943" s="11" t="s">
        <v>3888</v>
      </c>
      <c r="C943" s="11" t="s">
        <v>3889</v>
      </c>
      <c r="D943" s="11" t="s">
        <v>59</v>
      </c>
      <c r="E943" s="11" t="s">
        <v>2380</v>
      </c>
      <c r="F943" s="11" t="s">
        <v>6692</v>
      </c>
      <c r="G943" s="12">
        <v>45855.0</v>
      </c>
      <c r="H943" s="13">
        <v>45856.0</v>
      </c>
      <c r="I943" s="11" t="s">
        <v>251</v>
      </c>
      <c r="J943" s="11" t="s">
        <v>213</v>
      </c>
      <c r="K943" s="14" t="s">
        <v>31</v>
      </c>
      <c r="L943" s="11"/>
      <c r="M943" s="15"/>
      <c r="N943" s="16" t="s">
        <v>5135</v>
      </c>
      <c r="O943" s="16"/>
      <c r="P943" s="16"/>
      <c r="Q943" s="17"/>
      <c r="R943" s="17"/>
      <c r="S943" s="17"/>
      <c r="T943" s="17"/>
      <c r="U943" s="17"/>
      <c r="V943" s="17"/>
      <c r="W943" s="17"/>
      <c r="X943" s="17"/>
      <c r="Y943" s="17"/>
    </row>
    <row r="944" ht="18.75" customHeight="1">
      <c r="A944" s="9">
        <v>945.0</v>
      </c>
      <c r="B944" s="11" t="s">
        <v>3890</v>
      </c>
      <c r="C944" s="11" t="s">
        <v>3891</v>
      </c>
      <c r="D944" s="11" t="s">
        <v>94</v>
      </c>
      <c r="E944" s="11" t="s">
        <v>3007</v>
      </c>
      <c r="F944" s="11" t="s">
        <v>6693</v>
      </c>
      <c r="G944" s="12">
        <v>45866.0</v>
      </c>
      <c r="H944" s="13">
        <v>45870.0</v>
      </c>
      <c r="I944" s="11" t="s">
        <v>119</v>
      </c>
      <c r="J944" s="11" t="s">
        <v>22</v>
      </c>
      <c r="K944" s="14" t="s">
        <v>31</v>
      </c>
      <c r="L944" s="11"/>
      <c r="M944" s="11"/>
      <c r="N944" s="16" t="s">
        <v>5135</v>
      </c>
      <c r="O944" s="16"/>
      <c r="P944" s="16"/>
      <c r="Q944" s="17"/>
      <c r="R944" s="17"/>
      <c r="S944" s="17"/>
      <c r="T944" s="17"/>
      <c r="U944" s="17"/>
      <c r="V944" s="17"/>
      <c r="W944" s="17"/>
      <c r="X944" s="17"/>
      <c r="Y944" s="17"/>
    </row>
    <row r="945" ht="18.75" customHeight="1">
      <c r="A945" s="9">
        <v>946.0</v>
      </c>
      <c r="B945" s="11" t="s">
        <v>3893</v>
      </c>
      <c r="C945" s="11" t="s">
        <v>3894</v>
      </c>
      <c r="D945" s="11" t="s">
        <v>122</v>
      </c>
      <c r="E945" s="11" t="s">
        <v>3687</v>
      </c>
      <c r="F945" s="11" t="s">
        <v>6694</v>
      </c>
      <c r="G945" s="12">
        <v>45853.0</v>
      </c>
      <c r="H945" s="13">
        <v>45854.0</v>
      </c>
      <c r="I945" s="11" t="s">
        <v>251</v>
      </c>
      <c r="J945" s="11" t="s">
        <v>213</v>
      </c>
      <c r="K945" s="14" t="s">
        <v>31</v>
      </c>
      <c r="L945" s="11"/>
      <c r="M945" s="15"/>
      <c r="N945" s="16" t="s">
        <v>5135</v>
      </c>
      <c r="O945" s="16"/>
      <c r="P945" s="16"/>
      <c r="Q945" s="17"/>
      <c r="R945" s="17"/>
      <c r="S945" s="17"/>
      <c r="T945" s="17"/>
      <c r="U945" s="17"/>
      <c r="V945" s="17"/>
      <c r="W945" s="17"/>
      <c r="X945" s="17"/>
      <c r="Y945" s="17"/>
    </row>
    <row r="946" ht="18.75" customHeight="1">
      <c r="A946" s="9">
        <v>947.0</v>
      </c>
      <c r="B946" s="11" t="s">
        <v>3895</v>
      </c>
      <c r="C946" s="11" t="s">
        <v>3896</v>
      </c>
      <c r="D946" s="11" t="s">
        <v>128</v>
      </c>
      <c r="E946" s="11" t="s">
        <v>3687</v>
      </c>
      <c r="F946" s="11" t="s">
        <v>6695</v>
      </c>
      <c r="G946" s="12">
        <v>45845.0</v>
      </c>
      <c r="H946" s="12">
        <v>45846.0</v>
      </c>
      <c r="I946" s="11" t="s">
        <v>251</v>
      </c>
      <c r="J946" s="11" t="s">
        <v>213</v>
      </c>
      <c r="K946" s="14" t="s">
        <v>31</v>
      </c>
      <c r="L946" s="11"/>
      <c r="M946" s="15"/>
      <c r="N946" s="16" t="s">
        <v>5135</v>
      </c>
      <c r="O946" s="16"/>
      <c r="P946" s="16"/>
      <c r="Q946" s="17"/>
      <c r="R946" s="17"/>
      <c r="S946" s="17"/>
      <c r="T946" s="17"/>
      <c r="U946" s="17"/>
      <c r="V946" s="17"/>
      <c r="W946" s="17"/>
      <c r="X946" s="17"/>
      <c r="Y946" s="17"/>
    </row>
    <row r="947" ht="18.75" customHeight="1">
      <c r="A947" s="9">
        <v>948.0</v>
      </c>
      <c r="B947" s="11" t="s">
        <v>3897</v>
      </c>
      <c r="C947" s="16" t="s">
        <v>3898</v>
      </c>
      <c r="D947" s="11" t="s">
        <v>128</v>
      </c>
      <c r="E947" s="11" t="s">
        <v>2616</v>
      </c>
      <c r="F947" s="11" t="s">
        <v>6696</v>
      </c>
      <c r="G947" s="13">
        <v>45879.0</v>
      </c>
      <c r="H947" s="13">
        <v>45880.0</v>
      </c>
      <c r="I947" s="11" t="s">
        <v>119</v>
      </c>
      <c r="J947" s="11" t="s">
        <v>37</v>
      </c>
      <c r="K947" s="14" t="s">
        <v>31</v>
      </c>
      <c r="L947" s="11" t="s">
        <v>74</v>
      </c>
      <c r="M947" s="15"/>
      <c r="N947" s="16" t="s">
        <v>5135</v>
      </c>
      <c r="O947" s="16"/>
      <c r="P947" s="16"/>
      <c r="Q947" s="17"/>
      <c r="R947" s="17"/>
      <c r="S947" s="17"/>
      <c r="T947" s="17"/>
      <c r="U947" s="17"/>
      <c r="V947" s="17"/>
      <c r="W947" s="17"/>
      <c r="X947" s="17"/>
      <c r="Y947" s="17"/>
    </row>
    <row r="948" ht="18.75" customHeight="1">
      <c r="A948" s="9">
        <v>949.0</v>
      </c>
      <c r="B948" s="11" t="s">
        <v>3900</v>
      </c>
      <c r="C948" s="11" t="s">
        <v>3901</v>
      </c>
      <c r="D948" s="11" t="s">
        <v>3902</v>
      </c>
      <c r="E948" s="11" t="s">
        <v>3903</v>
      </c>
      <c r="F948" s="11" t="s">
        <v>6697</v>
      </c>
      <c r="G948" s="13">
        <v>45900.0</v>
      </c>
      <c r="H948" s="13">
        <v>45901.0</v>
      </c>
      <c r="I948" s="11" t="s">
        <v>25</v>
      </c>
      <c r="J948" s="11" t="s">
        <v>37</v>
      </c>
      <c r="K948" s="14" t="s">
        <v>31</v>
      </c>
      <c r="L948" s="11"/>
      <c r="M948" s="15"/>
      <c r="N948" s="16" t="s">
        <v>5135</v>
      </c>
      <c r="O948" s="16"/>
      <c r="P948" s="16"/>
      <c r="Q948" s="17"/>
      <c r="R948" s="17"/>
      <c r="S948" s="17"/>
      <c r="T948" s="17"/>
      <c r="U948" s="17"/>
      <c r="V948" s="17"/>
      <c r="W948" s="17"/>
      <c r="X948" s="17"/>
      <c r="Y948" s="17"/>
    </row>
    <row r="949" ht="18.75" customHeight="1">
      <c r="A949" s="9">
        <v>950.0</v>
      </c>
      <c r="B949" s="11" t="s">
        <v>3905</v>
      </c>
      <c r="C949" s="11" t="s">
        <v>3906</v>
      </c>
      <c r="D949" s="11" t="s">
        <v>1296</v>
      </c>
      <c r="E949" s="11" t="s">
        <v>410</v>
      </c>
      <c r="F949" s="11" t="s">
        <v>6698</v>
      </c>
      <c r="G949" s="12">
        <v>45869.0</v>
      </c>
      <c r="H949" s="13">
        <v>45870.0</v>
      </c>
      <c r="I949" s="11" t="s">
        <v>119</v>
      </c>
      <c r="J949" s="11" t="s">
        <v>37</v>
      </c>
      <c r="K949" s="14" t="s">
        <v>31</v>
      </c>
      <c r="L949" s="11" t="s">
        <v>50</v>
      </c>
      <c r="M949" s="15"/>
      <c r="N949" s="16" t="s">
        <v>5135</v>
      </c>
      <c r="O949" s="16"/>
      <c r="P949" s="16"/>
      <c r="Q949" s="17"/>
      <c r="R949" s="17"/>
      <c r="S949" s="17"/>
      <c r="T949" s="17"/>
      <c r="U949" s="17"/>
      <c r="V949" s="17"/>
      <c r="W949" s="17"/>
      <c r="X949" s="17"/>
      <c r="Y949" s="17"/>
    </row>
    <row r="950" ht="18.75" customHeight="1">
      <c r="A950" s="9">
        <v>951.0</v>
      </c>
      <c r="B950" s="11" t="s">
        <v>3908</v>
      </c>
      <c r="C950" s="11" t="s">
        <v>3909</v>
      </c>
      <c r="D950" s="11" t="s">
        <v>362</v>
      </c>
      <c r="E950" s="11" t="s">
        <v>3910</v>
      </c>
      <c r="F950" s="11" t="s">
        <v>6699</v>
      </c>
      <c r="G950" s="12">
        <v>45869.0</v>
      </c>
      <c r="H950" s="13">
        <v>45870.0</v>
      </c>
      <c r="I950" s="11" t="s">
        <v>119</v>
      </c>
      <c r="J950" s="11" t="s">
        <v>37</v>
      </c>
      <c r="K950" s="14" t="s">
        <v>31</v>
      </c>
      <c r="L950" s="11" t="s">
        <v>62</v>
      </c>
      <c r="M950" s="15"/>
      <c r="N950" s="16" t="s">
        <v>5135</v>
      </c>
      <c r="O950" s="16"/>
      <c r="P950" s="16"/>
      <c r="Q950" s="17"/>
      <c r="R950" s="17"/>
      <c r="S950" s="17"/>
      <c r="T950" s="17"/>
      <c r="U950" s="17"/>
      <c r="V950" s="17"/>
      <c r="W950" s="17"/>
      <c r="X950" s="17"/>
      <c r="Y950" s="17"/>
    </row>
    <row r="951" ht="18.75" customHeight="1">
      <c r="A951" s="9">
        <v>952.0</v>
      </c>
      <c r="B951" s="11" t="s">
        <v>3912</v>
      </c>
      <c r="C951" s="11" t="s">
        <v>3913</v>
      </c>
      <c r="D951" s="11" t="s">
        <v>362</v>
      </c>
      <c r="E951" s="11" t="s">
        <v>3914</v>
      </c>
      <c r="F951" s="11" t="s">
        <v>6700</v>
      </c>
      <c r="G951" s="13">
        <v>45900.0</v>
      </c>
      <c r="H951" s="13">
        <v>45901.0</v>
      </c>
      <c r="I951" s="11" t="s">
        <v>25</v>
      </c>
      <c r="J951" s="11" t="s">
        <v>37</v>
      </c>
      <c r="K951" s="14" t="s">
        <v>31</v>
      </c>
      <c r="L951" s="11" t="s">
        <v>62</v>
      </c>
      <c r="M951" s="15"/>
      <c r="N951" s="16" t="s">
        <v>5135</v>
      </c>
      <c r="O951" s="16"/>
      <c r="P951" s="16"/>
      <c r="Q951" s="17"/>
      <c r="R951" s="17"/>
      <c r="S951" s="17"/>
      <c r="T951" s="17"/>
      <c r="U951" s="17"/>
      <c r="V951" s="17"/>
      <c r="W951" s="17"/>
      <c r="X951" s="17"/>
      <c r="Y951" s="17"/>
    </row>
    <row r="952" ht="18.75" customHeight="1">
      <c r="A952" s="9">
        <v>953.0</v>
      </c>
      <c r="B952" s="11" t="s">
        <v>3916</v>
      </c>
      <c r="C952" s="11" t="s">
        <v>3917</v>
      </c>
      <c r="D952" s="11" t="s">
        <v>71</v>
      </c>
      <c r="E952" s="11" t="s">
        <v>2483</v>
      </c>
      <c r="F952" s="11" t="s">
        <v>6701</v>
      </c>
      <c r="G952" s="12">
        <v>45869.0</v>
      </c>
      <c r="H952" s="13">
        <v>45870.0</v>
      </c>
      <c r="I952" s="11" t="s">
        <v>119</v>
      </c>
      <c r="J952" s="11" t="s">
        <v>37</v>
      </c>
      <c r="K952" s="14" t="s">
        <v>31</v>
      </c>
      <c r="L952" s="11" t="s">
        <v>86</v>
      </c>
      <c r="M952" s="11" t="s">
        <v>6702</v>
      </c>
      <c r="N952" s="16" t="s">
        <v>5135</v>
      </c>
      <c r="O952" s="16"/>
      <c r="P952" s="16"/>
      <c r="Q952" s="17"/>
      <c r="R952" s="17"/>
      <c r="S952" s="17"/>
      <c r="T952" s="17"/>
      <c r="U952" s="17"/>
      <c r="V952" s="17"/>
      <c r="W952" s="17"/>
      <c r="X952" s="17"/>
      <c r="Y952" s="17"/>
    </row>
    <row r="953" ht="18.75" customHeight="1">
      <c r="A953" s="9">
        <v>954.0</v>
      </c>
      <c r="B953" s="11" t="s">
        <v>3919</v>
      </c>
      <c r="C953" s="11" t="s">
        <v>3920</v>
      </c>
      <c r="D953" s="11" t="s">
        <v>342</v>
      </c>
      <c r="E953" s="11" t="s">
        <v>3921</v>
      </c>
      <c r="F953" s="11" t="s">
        <v>6703</v>
      </c>
      <c r="G953" s="13">
        <v>45900.0</v>
      </c>
      <c r="H953" s="13">
        <v>45901.0</v>
      </c>
      <c r="I953" s="11" t="s">
        <v>25</v>
      </c>
      <c r="J953" s="11" t="s">
        <v>37</v>
      </c>
      <c r="K953" s="14" t="s">
        <v>31</v>
      </c>
      <c r="L953" s="11" t="s">
        <v>62</v>
      </c>
      <c r="M953" s="15"/>
      <c r="N953" s="16" t="s">
        <v>5135</v>
      </c>
      <c r="O953" s="16"/>
      <c r="P953" s="16"/>
      <c r="Q953" s="17"/>
      <c r="R953" s="17"/>
      <c r="S953" s="17"/>
      <c r="T953" s="17"/>
      <c r="U953" s="17"/>
      <c r="V953" s="17"/>
      <c r="W953" s="17"/>
      <c r="X953" s="17"/>
      <c r="Y953" s="17"/>
    </row>
    <row r="954" ht="18.75" customHeight="1">
      <c r="A954" s="9">
        <v>955.0</v>
      </c>
      <c r="B954" s="11" t="s">
        <v>3923</v>
      </c>
      <c r="C954" s="11" t="s">
        <v>3924</v>
      </c>
      <c r="D954" s="11" t="s">
        <v>173</v>
      </c>
      <c r="E954" s="11" t="s">
        <v>3380</v>
      </c>
      <c r="F954" s="11" t="s">
        <v>6704</v>
      </c>
      <c r="G954" s="13">
        <v>45886.0</v>
      </c>
      <c r="H954" s="13">
        <v>45887.0</v>
      </c>
      <c r="I954" s="11" t="s">
        <v>119</v>
      </c>
      <c r="J954" s="11" t="s">
        <v>37</v>
      </c>
      <c r="K954" s="14" t="s">
        <v>31</v>
      </c>
      <c r="L954" s="11"/>
      <c r="M954" s="15"/>
      <c r="N954" s="16" t="s">
        <v>5135</v>
      </c>
      <c r="O954" s="16"/>
      <c r="P954" s="16"/>
      <c r="Q954" s="17"/>
      <c r="R954" s="17"/>
      <c r="S954" s="17"/>
      <c r="T954" s="17"/>
      <c r="U954" s="17"/>
      <c r="V954" s="17"/>
      <c r="W954" s="17"/>
      <c r="X954" s="17"/>
      <c r="Y954" s="17"/>
    </row>
    <row r="955" ht="18.75" customHeight="1">
      <c r="A955" s="9">
        <v>956.0</v>
      </c>
      <c r="B955" s="11" t="s">
        <v>3926</v>
      </c>
      <c r="C955" s="11" t="s">
        <v>3927</v>
      </c>
      <c r="D955" s="11" t="s">
        <v>53</v>
      </c>
      <c r="E955" s="11" t="s">
        <v>3175</v>
      </c>
      <c r="F955" s="11" t="s">
        <v>6705</v>
      </c>
      <c r="G955" s="12">
        <v>45869.0</v>
      </c>
      <c r="H955" s="13">
        <v>45870.0</v>
      </c>
      <c r="I955" s="11" t="s">
        <v>251</v>
      </c>
      <c r="J955" s="11" t="s">
        <v>22</v>
      </c>
      <c r="K955" s="14" t="s">
        <v>31</v>
      </c>
      <c r="L955" s="11"/>
      <c r="M955" s="15"/>
      <c r="N955" s="16" t="s">
        <v>5135</v>
      </c>
      <c r="O955" s="16"/>
      <c r="P955" s="16"/>
      <c r="Q955" s="17"/>
      <c r="R955" s="17"/>
      <c r="S955" s="17"/>
      <c r="T955" s="17"/>
      <c r="U955" s="17"/>
      <c r="V955" s="17"/>
      <c r="W955" s="17"/>
      <c r="X955" s="17"/>
      <c r="Y955" s="17"/>
    </row>
    <row r="956" ht="18.75" customHeight="1">
      <c r="A956" s="9">
        <v>957.0</v>
      </c>
      <c r="B956" s="11" t="s">
        <v>3929</v>
      </c>
      <c r="C956" s="11" t="s">
        <v>3930</v>
      </c>
      <c r="D956" s="11" t="s">
        <v>394</v>
      </c>
      <c r="E956" s="11" t="s">
        <v>3420</v>
      </c>
      <c r="F956" s="11" t="s">
        <v>6706</v>
      </c>
      <c r="G956" s="13">
        <v>45876.0</v>
      </c>
      <c r="H956" s="13">
        <v>45877.0</v>
      </c>
      <c r="I956" s="11" t="s">
        <v>119</v>
      </c>
      <c r="J956" s="11" t="s">
        <v>22</v>
      </c>
      <c r="K956" s="14" t="s">
        <v>31</v>
      </c>
      <c r="L956" s="11"/>
      <c r="M956" s="11" t="s">
        <v>6707</v>
      </c>
      <c r="N956" s="16" t="s">
        <v>5135</v>
      </c>
      <c r="O956" s="16"/>
      <c r="P956" s="16"/>
      <c r="Q956" s="17"/>
      <c r="R956" s="17"/>
      <c r="S956" s="17"/>
      <c r="T956" s="17"/>
      <c r="U956" s="17"/>
      <c r="V956" s="17"/>
      <c r="W956" s="17"/>
      <c r="X956" s="17"/>
      <c r="Y956" s="17"/>
    </row>
    <row r="957" ht="18.75" customHeight="1">
      <c r="A957" s="9">
        <v>958.0</v>
      </c>
      <c r="B957" s="11" t="s">
        <v>3932</v>
      </c>
      <c r="C957" s="11" t="s">
        <v>3933</v>
      </c>
      <c r="D957" s="11" t="s">
        <v>414</v>
      </c>
      <c r="E957" s="11" t="s">
        <v>2483</v>
      </c>
      <c r="F957" s="11" t="s">
        <v>6708</v>
      </c>
      <c r="G957" s="12">
        <v>45869.0</v>
      </c>
      <c r="H957" s="13">
        <v>45870.0</v>
      </c>
      <c r="I957" s="11" t="s">
        <v>119</v>
      </c>
      <c r="J957" s="11" t="s">
        <v>22</v>
      </c>
      <c r="K957" s="14" t="s">
        <v>31</v>
      </c>
      <c r="L957" s="11"/>
      <c r="M957" s="11" t="s">
        <v>6702</v>
      </c>
      <c r="N957" s="16" t="s">
        <v>5135</v>
      </c>
      <c r="O957" s="16"/>
      <c r="P957" s="16"/>
      <c r="Q957" s="17"/>
      <c r="R957" s="17"/>
      <c r="S957" s="17"/>
      <c r="T957" s="17"/>
      <c r="U957" s="17"/>
      <c r="V957" s="17"/>
      <c r="W957" s="17"/>
      <c r="X957" s="17"/>
      <c r="Y957" s="17"/>
    </row>
    <row r="958" ht="18.75" customHeight="1">
      <c r="A958" s="9">
        <v>959.0</v>
      </c>
      <c r="B958" s="11" t="s">
        <v>3935</v>
      </c>
      <c r="C958" s="11" t="s">
        <v>3936</v>
      </c>
      <c r="D958" s="11" t="s">
        <v>414</v>
      </c>
      <c r="E958" s="11" t="s">
        <v>2483</v>
      </c>
      <c r="F958" s="11" t="s">
        <v>6709</v>
      </c>
      <c r="G958" s="12">
        <v>45869.0</v>
      </c>
      <c r="H958" s="13">
        <v>45870.0</v>
      </c>
      <c r="I958" s="11" t="s">
        <v>119</v>
      </c>
      <c r="J958" s="11" t="s">
        <v>22</v>
      </c>
      <c r="K958" s="14" t="s">
        <v>31</v>
      </c>
      <c r="L958" s="11"/>
      <c r="M958" s="11" t="s">
        <v>6702</v>
      </c>
      <c r="N958" s="16" t="s">
        <v>5135</v>
      </c>
      <c r="O958" s="16"/>
      <c r="P958" s="16"/>
      <c r="Q958" s="17"/>
      <c r="R958" s="17"/>
      <c r="S958" s="17"/>
      <c r="T958" s="17"/>
      <c r="U958" s="17"/>
      <c r="V958" s="17"/>
      <c r="W958" s="17"/>
      <c r="X958" s="17"/>
      <c r="Y958" s="17"/>
    </row>
    <row r="959" ht="18.75" customHeight="1">
      <c r="A959" s="9">
        <v>960.0</v>
      </c>
      <c r="B959" s="11" t="s">
        <v>3938</v>
      </c>
      <c r="C959" s="11" t="s">
        <v>3939</v>
      </c>
      <c r="D959" s="11" t="s">
        <v>128</v>
      </c>
      <c r="E959" s="11" t="s">
        <v>2658</v>
      </c>
      <c r="F959" s="11" t="s">
        <v>6710</v>
      </c>
      <c r="G959" s="13">
        <v>45894.0</v>
      </c>
      <c r="H959" s="13">
        <v>45895.0</v>
      </c>
      <c r="I959" s="11" t="s">
        <v>25</v>
      </c>
      <c r="J959" s="11" t="s">
        <v>22</v>
      </c>
      <c r="K959" s="14" t="s">
        <v>31</v>
      </c>
      <c r="L959" s="11"/>
      <c r="M959" s="15"/>
      <c r="N959" s="16" t="s">
        <v>5135</v>
      </c>
      <c r="O959" s="16"/>
      <c r="P959" s="16"/>
      <c r="Q959" s="17"/>
      <c r="R959" s="17"/>
      <c r="S959" s="17"/>
      <c r="T959" s="17"/>
      <c r="U959" s="17"/>
      <c r="V959" s="17"/>
      <c r="W959" s="17"/>
      <c r="X959" s="17"/>
      <c r="Y959" s="17"/>
    </row>
    <row r="960" ht="18.75" customHeight="1">
      <c r="A960" s="9">
        <v>961.0</v>
      </c>
      <c r="B960" s="11" t="s">
        <v>3941</v>
      </c>
      <c r="C960" s="11" t="s">
        <v>3942</v>
      </c>
      <c r="D960" s="11" t="s">
        <v>78</v>
      </c>
      <c r="E960" s="11" t="s">
        <v>3943</v>
      </c>
      <c r="F960" s="11" t="s">
        <v>6711</v>
      </c>
      <c r="G960" s="13">
        <v>45900.0</v>
      </c>
      <c r="H960" s="13">
        <v>45901.0</v>
      </c>
      <c r="I960" s="11" t="s">
        <v>25</v>
      </c>
      <c r="J960" s="11" t="s">
        <v>37</v>
      </c>
      <c r="K960" s="14" t="s">
        <v>31</v>
      </c>
      <c r="L960" s="11" t="s">
        <v>62</v>
      </c>
      <c r="M960" s="15"/>
      <c r="N960" s="16" t="s">
        <v>5135</v>
      </c>
      <c r="O960" s="16"/>
      <c r="P960" s="16"/>
      <c r="Q960" s="17"/>
      <c r="R960" s="17"/>
      <c r="S960" s="17"/>
      <c r="T960" s="17"/>
      <c r="U960" s="17"/>
      <c r="V960" s="17"/>
      <c r="W960" s="17"/>
      <c r="X960" s="17"/>
      <c r="Y960" s="17"/>
    </row>
    <row r="961" ht="18.75" customHeight="1">
      <c r="A961" s="9">
        <v>962.0</v>
      </c>
      <c r="B961" s="11" t="s">
        <v>3945</v>
      </c>
      <c r="C961" s="11" t="s">
        <v>3946</v>
      </c>
      <c r="D961" s="11" t="s">
        <v>1149</v>
      </c>
      <c r="E961" s="11" t="s">
        <v>410</v>
      </c>
      <c r="F961" s="11" t="s">
        <v>6712</v>
      </c>
      <c r="G961" s="13">
        <v>45874.0</v>
      </c>
      <c r="H961" s="13">
        <v>45875.0</v>
      </c>
      <c r="I961" s="11" t="s">
        <v>119</v>
      </c>
      <c r="J961" s="11" t="s">
        <v>37</v>
      </c>
      <c r="K961" s="14" t="s">
        <v>31</v>
      </c>
      <c r="L961" s="11" t="s">
        <v>5814</v>
      </c>
      <c r="M961" s="15"/>
      <c r="N961" s="16" t="s">
        <v>5135</v>
      </c>
      <c r="O961" s="16"/>
      <c r="P961" s="16"/>
      <c r="Q961" s="17"/>
      <c r="R961" s="17"/>
      <c r="S961" s="17"/>
      <c r="T961" s="17"/>
      <c r="U961" s="17"/>
      <c r="V961" s="17"/>
      <c r="W961" s="17"/>
      <c r="X961" s="17"/>
      <c r="Y961" s="17"/>
    </row>
    <row r="962" ht="18.75" customHeight="1">
      <c r="A962" s="9">
        <v>963.0</v>
      </c>
      <c r="B962" s="11" t="s">
        <v>3948</v>
      </c>
      <c r="C962" s="11" t="s">
        <v>3949</v>
      </c>
      <c r="D962" s="11" t="s">
        <v>3785</v>
      </c>
      <c r="E962" s="11" t="s">
        <v>410</v>
      </c>
      <c r="F962" s="11" t="s">
        <v>6713</v>
      </c>
      <c r="G962" s="13">
        <v>45884.0</v>
      </c>
      <c r="H962" s="13">
        <v>45885.0</v>
      </c>
      <c r="I962" s="11" t="s">
        <v>119</v>
      </c>
      <c r="J962" s="11" t="s">
        <v>37</v>
      </c>
      <c r="K962" s="14" t="s">
        <v>31</v>
      </c>
      <c r="L962" s="11" t="s">
        <v>50</v>
      </c>
      <c r="M962" s="15"/>
      <c r="N962" s="16" t="s">
        <v>5135</v>
      </c>
      <c r="O962" s="16"/>
      <c r="P962" s="16"/>
      <c r="Q962" s="17"/>
      <c r="R962" s="17"/>
      <c r="S962" s="17"/>
      <c r="T962" s="17"/>
      <c r="U962" s="17"/>
      <c r="V962" s="17"/>
      <c r="W962" s="17"/>
      <c r="X962" s="17"/>
      <c r="Y962" s="17"/>
    </row>
    <row r="963" ht="18.75" customHeight="1">
      <c r="A963" s="9">
        <v>964.0</v>
      </c>
      <c r="B963" s="11" t="s">
        <v>3951</v>
      </c>
      <c r="C963" s="11" t="s">
        <v>3952</v>
      </c>
      <c r="D963" s="11" t="s">
        <v>254</v>
      </c>
      <c r="E963" s="11" t="s">
        <v>3953</v>
      </c>
      <c r="F963" s="11" t="s">
        <v>6714</v>
      </c>
      <c r="G963" s="13">
        <v>45900.0</v>
      </c>
      <c r="H963" s="13">
        <v>45901.0</v>
      </c>
      <c r="I963" s="11" t="s">
        <v>25</v>
      </c>
      <c r="J963" s="11" t="s">
        <v>37</v>
      </c>
      <c r="K963" s="14" t="s">
        <v>31</v>
      </c>
      <c r="L963" s="11" t="s">
        <v>50</v>
      </c>
      <c r="M963" s="15"/>
      <c r="N963" s="16" t="s">
        <v>5135</v>
      </c>
      <c r="O963" s="16"/>
      <c r="P963" s="16"/>
      <c r="Q963" s="17"/>
      <c r="R963" s="17"/>
      <c r="S963" s="17"/>
      <c r="T963" s="17"/>
      <c r="U963" s="17"/>
      <c r="V963" s="17"/>
      <c r="W963" s="17"/>
      <c r="X963" s="17"/>
      <c r="Y963" s="17"/>
    </row>
    <row r="964" ht="18.75" customHeight="1">
      <c r="A964" s="9">
        <v>965.0</v>
      </c>
      <c r="B964" s="11" t="s">
        <v>3955</v>
      </c>
      <c r="C964" s="11" t="s">
        <v>3956</v>
      </c>
      <c r="D964" s="11" t="s">
        <v>1078</v>
      </c>
      <c r="E964" s="11" t="s">
        <v>2952</v>
      </c>
      <c r="F964" s="11" t="s">
        <v>6715</v>
      </c>
      <c r="G964" s="13">
        <v>45900.0</v>
      </c>
      <c r="H964" s="13">
        <v>45901.0</v>
      </c>
      <c r="I964" s="11" t="s">
        <v>25</v>
      </c>
      <c r="J964" s="11" t="s">
        <v>37</v>
      </c>
      <c r="K964" s="14" t="s">
        <v>31</v>
      </c>
      <c r="L964" s="11" t="s">
        <v>62</v>
      </c>
      <c r="M964" s="15"/>
      <c r="N964" s="16" t="s">
        <v>5135</v>
      </c>
      <c r="O964" s="16"/>
      <c r="P964" s="16"/>
      <c r="Q964" s="17"/>
      <c r="R964" s="17"/>
      <c r="S964" s="17"/>
      <c r="T964" s="17"/>
      <c r="U964" s="17"/>
      <c r="V964" s="17"/>
      <c r="W964" s="17"/>
      <c r="X964" s="17"/>
      <c r="Y964" s="17"/>
    </row>
    <row r="965" ht="18.75" customHeight="1">
      <c r="A965" s="9">
        <v>966.0</v>
      </c>
      <c r="B965" s="11" t="s">
        <v>3958</v>
      </c>
      <c r="C965" s="11" t="s">
        <v>3959</v>
      </c>
      <c r="D965" s="11" t="s">
        <v>110</v>
      </c>
      <c r="E965" s="11" t="s">
        <v>3292</v>
      </c>
      <c r="F965" s="11" t="s">
        <v>6716</v>
      </c>
      <c r="G965" s="13">
        <v>45884.0</v>
      </c>
      <c r="H965" s="13">
        <v>45885.0</v>
      </c>
      <c r="I965" s="11" t="s">
        <v>119</v>
      </c>
      <c r="J965" s="11" t="s">
        <v>22</v>
      </c>
      <c r="K965" s="14" t="s">
        <v>31</v>
      </c>
      <c r="L965" s="11"/>
      <c r="M965" s="15"/>
      <c r="N965" s="16" t="s">
        <v>5135</v>
      </c>
      <c r="O965" s="16"/>
      <c r="P965" s="16"/>
      <c r="Q965" s="17"/>
      <c r="R965" s="17"/>
      <c r="S965" s="17"/>
      <c r="T965" s="17"/>
      <c r="U965" s="17"/>
      <c r="V965" s="17"/>
      <c r="W965" s="17"/>
      <c r="X965" s="17"/>
      <c r="Y965" s="17"/>
    </row>
    <row r="966" ht="18.75" customHeight="1">
      <c r="A966" s="9">
        <v>967.0</v>
      </c>
      <c r="B966" s="11" t="s">
        <v>3961</v>
      </c>
      <c r="C966" s="11" t="s">
        <v>3962</v>
      </c>
      <c r="D966" s="11" t="s">
        <v>122</v>
      </c>
      <c r="E966" s="11" t="s">
        <v>2843</v>
      </c>
      <c r="F966" s="11" t="s">
        <v>6717</v>
      </c>
      <c r="G966" s="12">
        <v>45871.0</v>
      </c>
      <c r="H966" s="13">
        <v>45872.0</v>
      </c>
      <c r="I966" s="11" t="s">
        <v>251</v>
      </c>
      <c r="J966" s="11" t="s">
        <v>213</v>
      </c>
      <c r="K966" s="14" t="s">
        <v>31</v>
      </c>
      <c r="L966" s="11"/>
      <c r="M966" s="15"/>
      <c r="N966" s="16" t="s">
        <v>5135</v>
      </c>
      <c r="O966" s="16"/>
      <c r="P966" s="16"/>
      <c r="Q966" s="17"/>
      <c r="R966" s="17"/>
      <c r="S966" s="17"/>
      <c r="T966" s="17"/>
      <c r="U966" s="17"/>
      <c r="V966" s="17"/>
      <c r="W966" s="17"/>
      <c r="X966" s="17"/>
      <c r="Y966" s="17"/>
    </row>
    <row r="967" ht="18.75" customHeight="1">
      <c r="A967" s="9">
        <v>968.0</v>
      </c>
      <c r="B967" s="11" t="s">
        <v>3963</v>
      </c>
      <c r="C967" s="11" t="s">
        <v>3964</v>
      </c>
      <c r="D967" s="11" t="s">
        <v>110</v>
      </c>
      <c r="E967" s="11" t="s">
        <v>2380</v>
      </c>
      <c r="F967" s="11" t="s">
        <v>6718</v>
      </c>
      <c r="G967" s="12">
        <v>45870.0</v>
      </c>
      <c r="H967" s="13">
        <v>45871.0</v>
      </c>
      <c r="I967" s="11" t="s">
        <v>251</v>
      </c>
      <c r="J967" s="11" t="s">
        <v>213</v>
      </c>
      <c r="K967" s="14" t="s">
        <v>31</v>
      </c>
      <c r="L967" s="11"/>
      <c r="M967" s="15"/>
      <c r="N967" s="16" t="s">
        <v>5135</v>
      </c>
      <c r="O967" s="16"/>
      <c r="P967" s="16"/>
      <c r="Q967" s="17"/>
      <c r="R967" s="17"/>
      <c r="S967" s="17"/>
      <c r="T967" s="17"/>
      <c r="U967" s="17"/>
      <c r="V967" s="17"/>
      <c r="W967" s="17"/>
      <c r="X967" s="17"/>
      <c r="Y967" s="17"/>
    </row>
    <row r="968" ht="18.75" customHeight="1">
      <c r="A968" s="9">
        <v>969.0</v>
      </c>
      <c r="B968" s="11" t="s">
        <v>3965</v>
      </c>
      <c r="C968" s="11" t="s">
        <v>3966</v>
      </c>
      <c r="D968" s="11" t="s">
        <v>444</v>
      </c>
      <c r="E968" s="11" t="s">
        <v>3616</v>
      </c>
      <c r="F968" s="11" t="s">
        <v>6719</v>
      </c>
      <c r="G968" s="12">
        <v>45869.0</v>
      </c>
      <c r="H968" s="13">
        <v>45870.0</v>
      </c>
      <c r="I968" s="11" t="s">
        <v>251</v>
      </c>
      <c r="J968" s="11" t="s">
        <v>213</v>
      </c>
      <c r="K968" s="14" t="s">
        <v>31</v>
      </c>
      <c r="L968" s="11"/>
      <c r="M968" s="15"/>
      <c r="N968" s="16" t="s">
        <v>5135</v>
      </c>
      <c r="O968" s="16"/>
      <c r="P968" s="16"/>
      <c r="Q968" s="17"/>
      <c r="R968" s="17"/>
      <c r="S968" s="17"/>
      <c r="T968" s="17"/>
      <c r="U968" s="17"/>
      <c r="V968" s="17"/>
      <c r="W968" s="17"/>
      <c r="X968" s="17"/>
      <c r="Y968" s="17"/>
    </row>
    <row r="969" ht="18.75" customHeight="1">
      <c r="A969" s="9">
        <v>970.0</v>
      </c>
      <c r="B969" s="11" t="s">
        <v>3967</v>
      </c>
      <c r="C969" s="11" t="s">
        <v>3968</v>
      </c>
      <c r="D969" s="11" t="s">
        <v>198</v>
      </c>
      <c r="E969" s="11" t="s">
        <v>624</v>
      </c>
      <c r="F969" s="11" t="s">
        <v>6720</v>
      </c>
      <c r="G969" s="13">
        <v>45873.0</v>
      </c>
      <c r="H969" s="13">
        <v>45874.0</v>
      </c>
      <c r="I969" s="11" t="s">
        <v>251</v>
      </c>
      <c r="J969" s="11" t="s">
        <v>213</v>
      </c>
      <c r="K969" s="14" t="s">
        <v>31</v>
      </c>
      <c r="L969" s="11"/>
      <c r="M969" s="15"/>
      <c r="N969" s="16" t="s">
        <v>5135</v>
      </c>
      <c r="O969" s="16"/>
      <c r="P969" s="16"/>
      <c r="Q969" s="17"/>
      <c r="R969" s="17"/>
      <c r="S969" s="17"/>
      <c r="T969" s="17"/>
      <c r="U969" s="17"/>
      <c r="V969" s="17"/>
      <c r="W969" s="17"/>
      <c r="X969" s="17"/>
      <c r="Y969" s="17"/>
    </row>
    <row r="970" ht="18.75" customHeight="1">
      <c r="A970" s="9">
        <v>971.0</v>
      </c>
      <c r="B970" s="11" t="s">
        <v>3969</v>
      </c>
      <c r="C970" s="11" t="s">
        <v>3970</v>
      </c>
      <c r="D970" s="11" t="s">
        <v>128</v>
      </c>
      <c r="E970" s="11" t="s">
        <v>2843</v>
      </c>
      <c r="F970" s="11" t="s">
        <v>6721</v>
      </c>
      <c r="G970" s="13">
        <v>45875.0</v>
      </c>
      <c r="H970" s="13">
        <v>45876.0</v>
      </c>
      <c r="I970" s="11" t="s">
        <v>251</v>
      </c>
      <c r="J970" s="11" t="s">
        <v>213</v>
      </c>
      <c r="K970" s="14" t="s">
        <v>31</v>
      </c>
      <c r="L970" s="11"/>
      <c r="M970" s="15"/>
      <c r="N970" s="16" t="s">
        <v>5135</v>
      </c>
      <c r="O970" s="16"/>
      <c r="P970" s="16"/>
      <c r="Q970" s="17"/>
      <c r="R970" s="17"/>
      <c r="S970" s="17"/>
      <c r="T970" s="17"/>
      <c r="U970" s="17"/>
      <c r="V970" s="17"/>
      <c r="W970" s="17"/>
      <c r="X970" s="17"/>
      <c r="Y970" s="17"/>
    </row>
    <row r="971" ht="18.75" customHeight="1">
      <c r="A971" s="9">
        <v>972.0</v>
      </c>
      <c r="B971" s="11" t="s">
        <v>3971</v>
      </c>
      <c r="C971" s="11" t="s">
        <v>3972</v>
      </c>
      <c r="D971" s="11" t="s">
        <v>173</v>
      </c>
      <c r="E971" s="11" t="s">
        <v>3973</v>
      </c>
      <c r="F971" s="11" t="s">
        <v>6722</v>
      </c>
      <c r="G971" s="13">
        <v>45900.0</v>
      </c>
      <c r="H971" s="13">
        <v>45901.0</v>
      </c>
      <c r="I971" s="11" t="s">
        <v>25</v>
      </c>
      <c r="J971" s="11" t="s">
        <v>22</v>
      </c>
      <c r="K971" s="14" t="s">
        <v>31</v>
      </c>
      <c r="L971" s="11" t="s">
        <v>62</v>
      </c>
      <c r="M971" s="15"/>
      <c r="N971" s="16" t="s">
        <v>5135</v>
      </c>
      <c r="O971" s="16"/>
      <c r="P971" s="16"/>
      <c r="Q971" s="17"/>
      <c r="R971" s="17"/>
      <c r="S971" s="17"/>
      <c r="T971" s="17"/>
      <c r="U971" s="17"/>
      <c r="V971" s="17"/>
      <c r="W971" s="17"/>
      <c r="X971" s="17"/>
      <c r="Y971" s="17"/>
    </row>
    <row r="972" ht="18.75" customHeight="1">
      <c r="A972" s="9">
        <v>973.0</v>
      </c>
      <c r="B972" s="11" t="s">
        <v>3975</v>
      </c>
      <c r="C972" s="11" t="s">
        <v>197</v>
      </c>
      <c r="D972" s="11" t="s">
        <v>706</v>
      </c>
      <c r="E972" s="11" t="s">
        <v>3007</v>
      </c>
      <c r="F972" s="11" t="s">
        <v>200</v>
      </c>
      <c r="G972" s="12">
        <v>45905.0</v>
      </c>
      <c r="H972" s="13">
        <v>45906.0</v>
      </c>
      <c r="I972" s="11" t="s">
        <v>25</v>
      </c>
      <c r="J972" s="11" t="s">
        <v>37</v>
      </c>
      <c r="K972" s="14" t="s">
        <v>31</v>
      </c>
      <c r="L972" s="11" t="s">
        <v>62</v>
      </c>
      <c r="M972" s="15"/>
      <c r="N972" s="16" t="s">
        <v>5135</v>
      </c>
      <c r="O972" s="16"/>
      <c r="P972" s="16"/>
      <c r="Q972" s="17"/>
      <c r="R972" s="17"/>
      <c r="S972" s="17"/>
      <c r="T972" s="17"/>
      <c r="U972" s="17"/>
      <c r="V972" s="17"/>
      <c r="W972" s="17"/>
      <c r="X972" s="17"/>
      <c r="Y972" s="17"/>
    </row>
    <row r="973" ht="18.75" customHeight="1">
      <c r="A973" s="9">
        <v>974.0</v>
      </c>
      <c r="B973" s="11" t="s">
        <v>3977</v>
      </c>
      <c r="C973" s="11" t="s">
        <v>3978</v>
      </c>
      <c r="D973" s="11" t="s">
        <v>65</v>
      </c>
      <c r="E973" s="11" t="s">
        <v>3397</v>
      </c>
      <c r="F973" s="11" t="s">
        <v>6723</v>
      </c>
      <c r="G973" s="13">
        <v>45900.0</v>
      </c>
      <c r="H973" s="13">
        <v>45901.0</v>
      </c>
      <c r="I973" s="11" t="s">
        <v>25</v>
      </c>
      <c r="J973" s="11" t="s">
        <v>37</v>
      </c>
      <c r="K973" s="14" t="s">
        <v>31</v>
      </c>
      <c r="L973" s="11" t="s">
        <v>62</v>
      </c>
      <c r="M973" s="15"/>
      <c r="N973" s="16" t="s">
        <v>5135</v>
      </c>
      <c r="O973" s="16"/>
      <c r="P973" s="16"/>
      <c r="Q973" s="17"/>
      <c r="R973" s="17"/>
      <c r="S973" s="17"/>
      <c r="T973" s="17"/>
      <c r="U973" s="17"/>
      <c r="V973" s="17"/>
      <c r="W973" s="17"/>
      <c r="X973" s="17"/>
      <c r="Y973" s="17"/>
    </row>
    <row r="974" ht="18.75" customHeight="1">
      <c r="A974" s="9">
        <v>975.0</v>
      </c>
      <c r="B974" s="10" t="s">
        <v>3980</v>
      </c>
      <c r="C974" s="10" t="s">
        <v>3981</v>
      </c>
      <c r="D974" s="10" t="s">
        <v>313</v>
      </c>
      <c r="E974" s="10" t="s">
        <v>203</v>
      </c>
      <c r="F974" s="11" t="s">
        <v>6724</v>
      </c>
      <c r="G974" s="13">
        <v>45912.0</v>
      </c>
      <c r="H974" s="13">
        <v>45913.0</v>
      </c>
      <c r="I974" s="11" t="s">
        <v>21</v>
      </c>
      <c r="J974" s="11" t="s">
        <v>22</v>
      </c>
      <c r="K974" s="14"/>
      <c r="L974" s="11" t="s">
        <v>50</v>
      </c>
      <c r="M974" s="15"/>
      <c r="N974" s="16" t="s">
        <v>5135</v>
      </c>
      <c r="O974" s="16"/>
      <c r="P974" s="16"/>
      <c r="Q974" s="17"/>
      <c r="R974" s="17"/>
      <c r="S974" s="17"/>
      <c r="T974" s="17"/>
      <c r="U974" s="17"/>
      <c r="V974" s="17"/>
      <c r="W974" s="17"/>
      <c r="X974" s="17"/>
      <c r="Y974" s="17"/>
    </row>
    <row r="975" ht="18.75" customHeight="1">
      <c r="A975" s="9">
        <v>976.0</v>
      </c>
      <c r="B975" s="11" t="s">
        <v>3983</v>
      </c>
      <c r="C975" s="11" t="s">
        <v>3984</v>
      </c>
      <c r="D975" s="11" t="s">
        <v>65</v>
      </c>
      <c r="E975" s="11" t="s">
        <v>522</v>
      </c>
      <c r="F975" s="11" t="s">
        <v>6725</v>
      </c>
      <c r="G975" s="13">
        <v>45875.0</v>
      </c>
      <c r="H975" s="13">
        <v>45876.0</v>
      </c>
      <c r="I975" s="11" t="s">
        <v>119</v>
      </c>
      <c r="J975" s="11" t="s">
        <v>5173</v>
      </c>
      <c r="K975" s="14" t="s">
        <v>31</v>
      </c>
      <c r="L975" s="11"/>
      <c r="M975" s="15"/>
      <c r="N975" s="16" t="s">
        <v>5135</v>
      </c>
      <c r="O975" s="16"/>
      <c r="P975" s="16"/>
      <c r="Q975" s="17"/>
      <c r="R975" s="17"/>
      <c r="S975" s="17"/>
      <c r="T975" s="17"/>
      <c r="U975" s="17"/>
      <c r="V975" s="17"/>
      <c r="W975" s="17"/>
      <c r="X975" s="17"/>
      <c r="Y975" s="17"/>
    </row>
    <row r="976" ht="18.75" customHeight="1">
      <c r="A976" s="9">
        <v>977.0</v>
      </c>
      <c r="B976" s="11" t="s">
        <v>3985</v>
      </c>
      <c r="C976" s="11" t="s">
        <v>3986</v>
      </c>
      <c r="D976" s="11" t="s">
        <v>3726</v>
      </c>
      <c r="E976" s="11" t="s">
        <v>3472</v>
      </c>
      <c r="F976" s="11" t="s">
        <v>6726</v>
      </c>
      <c r="G976" s="13">
        <v>45900.0</v>
      </c>
      <c r="H976" s="13">
        <v>45901.0</v>
      </c>
      <c r="I976" s="11" t="s">
        <v>25</v>
      </c>
      <c r="J976" s="11" t="s">
        <v>22</v>
      </c>
      <c r="K976" s="14" t="s">
        <v>31</v>
      </c>
      <c r="L976" s="11"/>
      <c r="M976" s="15"/>
      <c r="N976" s="16" t="s">
        <v>5135</v>
      </c>
      <c r="O976" s="16"/>
      <c r="P976" s="16"/>
      <c r="Q976" s="17"/>
      <c r="R976" s="17"/>
      <c r="S976" s="17"/>
      <c r="T976" s="17"/>
      <c r="U976" s="17"/>
      <c r="V976" s="17"/>
      <c r="W976" s="17"/>
      <c r="X976" s="17"/>
      <c r="Y976" s="17"/>
    </row>
    <row r="977" ht="18.75" customHeight="1">
      <c r="A977" s="9">
        <v>978.0</v>
      </c>
      <c r="B977" s="11" t="s">
        <v>3988</v>
      </c>
      <c r="C977" s="11" t="s">
        <v>3989</v>
      </c>
      <c r="D977" s="11" t="s">
        <v>1078</v>
      </c>
      <c r="E977" s="11" t="s">
        <v>3059</v>
      </c>
      <c r="F977" s="11" t="s">
        <v>6727</v>
      </c>
      <c r="G977" s="13">
        <v>45930.0</v>
      </c>
      <c r="H977" s="13">
        <v>45931.0</v>
      </c>
      <c r="I977" s="11" t="s">
        <v>25</v>
      </c>
      <c r="J977" s="11" t="s">
        <v>22</v>
      </c>
      <c r="K977" s="14" t="s">
        <v>31</v>
      </c>
      <c r="L977" s="11" t="s">
        <v>62</v>
      </c>
      <c r="M977" s="15"/>
      <c r="N977" s="16" t="s">
        <v>5135</v>
      </c>
      <c r="O977" s="16"/>
      <c r="P977" s="16"/>
      <c r="Q977" s="17"/>
      <c r="R977" s="17"/>
      <c r="S977" s="17"/>
      <c r="T977" s="17"/>
      <c r="U977" s="17"/>
      <c r="V977" s="17"/>
      <c r="W977" s="17"/>
      <c r="X977" s="17"/>
      <c r="Y977" s="17"/>
    </row>
    <row r="978" ht="18.75" customHeight="1">
      <c r="A978" s="9">
        <v>979.0</v>
      </c>
      <c r="B978" s="11" t="s">
        <v>3991</v>
      </c>
      <c r="C978" s="11" t="s">
        <v>3992</v>
      </c>
      <c r="D978" s="11" t="s">
        <v>333</v>
      </c>
      <c r="E978" s="11" t="s">
        <v>211</v>
      </c>
      <c r="F978" s="11" t="s">
        <v>6728</v>
      </c>
      <c r="G978" s="13">
        <v>45915.0</v>
      </c>
      <c r="H978" s="13">
        <v>45916.0</v>
      </c>
      <c r="I978" s="11" t="s">
        <v>25</v>
      </c>
      <c r="J978" s="11" t="s">
        <v>37</v>
      </c>
      <c r="K978" s="14" t="s">
        <v>31</v>
      </c>
      <c r="L978" s="11" t="s">
        <v>97</v>
      </c>
      <c r="M978" s="15"/>
      <c r="N978" s="16" t="s">
        <v>5135</v>
      </c>
      <c r="O978" s="16"/>
      <c r="P978" s="16"/>
      <c r="Q978" s="17"/>
      <c r="R978" s="17"/>
      <c r="S978" s="17"/>
      <c r="T978" s="17"/>
      <c r="U978" s="17"/>
      <c r="V978" s="17"/>
      <c r="W978" s="17"/>
      <c r="X978" s="17"/>
      <c r="Y978" s="17"/>
    </row>
    <row r="979" ht="18.75" customHeight="1">
      <c r="A979" s="9">
        <v>980.0</v>
      </c>
      <c r="B979" s="11" t="s">
        <v>3994</v>
      </c>
      <c r="C979" s="11" t="s">
        <v>3995</v>
      </c>
      <c r="D979" s="11" t="s">
        <v>128</v>
      </c>
      <c r="E979" s="11" t="s">
        <v>3996</v>
      </c>
      <c r="F979" s="11" t="s">
        <v>6729</v>
      </c>
      <c r="G979" s="13">
        <v>45884.0</v>
      </c>
      <c r="H979" s="13">
        <v>45885.0</v>
      </c>
      <c r="I979" s="11" t="s">
        <v>251</v>
      </c>
      <c r="J979" s="11" t="s">
        <v>213</v>
      </c>
      <c r="K979" s="14" t="s">
        <v>31</v>
      </c>
      <c r="L979" s="11"/>
      <c r="M979" s="15"/>
      <c r="N979" s="16" t="s">
        <v>5135</v>
      </c>
      <c r="O979" s="16"/>
      <c r="P979" s="16"/>
      <c r="Q979" s="17"/>
      <c r="R979" s="17"/>
      <c r="S979" s="17"/>
      <c r="T979" s="17"/>
      <c r="U979" s="17"/>
      <c r="V979" s="17"/>
      <c r="W979" s="17"/>
      <c r="X979" s="17"/>
      <c r="Y979" s="17"/>
    </row>
    <row r="980" ht="18.75" customHeight="1">
      <c r="A980" s="9">
        <v>981.0</v>
      </c>
      <c r="B980" s="11" t="s">
        <v>3997</v>
      </c>
      <c r="C980" s="11" t="s">
        <v>3998</v>
      </c>
      <c r="D980" s="11" t="s">
        <v>394</v>
      </c>
      <c r="E980" s="11" t="s">
        <v>2772</v>
      </c>
      <c r="F980" s="11" t="s">
        <v>6730</v>
      </c>
      <c r="G980" s="13">
        <v>45882.0</v>
      </c>
      <c r="H980" s="13">
        <v>45883.0</v>
      </c>
      <c r="I980" s="11" t="s">
        <v>251</v>
      </c>
      <c r="J980" s="11" t="s">
        <v>213</v>
      </c>
      <c r="K980" s="14" t="s">
        <v>31</v>
      </c>
      <c r="L980" s="11"/>
      <c r="M980" s="15"/>
      <c r="N980" s="16" t="s">
        <v>5135</v>
      </c>
      <c r="O980" s="16"/>
      <c r="P980" s="16"/>
      <c r="Q980" s="17"/>
      <c r="R980" s="17"/>
      <c r="S980" s="17"/>
      <c r="T980" s="17"/>
      <c r="U980" s="17"/>
      <c r="V980" s="17"/>
      <c r="W980" s="17"/>
      <c r="X980" s="17"/>
      <c r="Y980" s="17"/>
    </row>
    <row r="981" ht="18.75" customHeight="1">
      <c r="A981" s="9">
        <v>982.0</v>
      </c>
      <c r="B981" s="11" t="s">
        <v>3999</v>
      </c>
      <c r="C981" s="11" t="s">
        <v>4000</v>
      </c>
      <c r="D981" s="11" t="s">
        <v>65</v>
      </c>
      <c r="E981" s="11" t="s">
        <v>334</v>
      </c>
      <c r="F981" s="11" t="s">
        <v>6731</v>
      </c>
      <c r="G981" s="13">
        <v>45919.0</v>
      </c>
      <c r="H981" s="13">
        <v>45920.0</v>
      </c>
      <c r="I981" s="11" t="s">
        <v>25</v>
      </c>
      <c r="J981" s="11" t="s">
        <v>37</v>
      </c>
      <c r="K981" s="14" t="s">
        <v>31</v>
      </c>
      <c r="L981" s="11" t="s">
        <v>50</v>
      </c>
      <c r="M981" s="15"/>
      <c r="N981" s="16" t="s">
        <v>5135</v>
      </c>
      <c r="O981" s="16"/>
      <c r="P981" s="16"/>
      <c r="Q981" s="17"/>
      <c r="R981" s="17"/>
      <c r="S981" s="17"/>
      <c r="T981" s="17"/>
      <c r="U981" s="17"/>
      <c r="V981" s="17"/>
      <c r="W981" s="17"/>
      <c r="X981" s="17"/>
      <c r="Y981" s="17"/>
    </row>
    <row r="982" ht="18.75" customHeight="1">
      <c r="A982" s="9">
        <v>983.0</v>
      </c>
      <c r="B982" s="11" t="s">
        <v>4002</v>
      </c>
      <c r="C982" s="11" t="s">
        <v>4003</v>
      </c>
      <c r="D982" s="11" t="s">
        <v>128</v>
      </c>
      <c r="E982" s="11" t="s">
        <v>2437</v>
      </c>
      <c r="F982" s="11" t="s">
        <v>6732</v>
      </c>
      <c r="G982" s="12">
        <v>45915.0</v>
      </c>
      <c r="H982" s="13">
        <v>45916.0</v>
      </c>
      <c r="I982" s="11" t="s">
        <v>25</v>
      </c>
      <c r="J982" s="11" t="s">
        <v>37</v>
      </c>
      <c r="K982" s="14" t="s">
        <v>31</v>
      </c>
      <c r="L982" s="11" t="s">
        <v>50</v>
      </c>
      <c r="M982" s="15"/>
      <c r="N982" s="16" t="s">
        <v>5135</v>
      </c>
      <c r="O982" s="16"/>
      <c r="P982" s="16"/>
      <c r="Q982" s="17"/>
      <c r="R982" s="17"/>
      <c r="S982" s="17"/>
      <c r="T982" s="17"/>
      <c r="U982" s="17"/>
      <c r="V982" s="17"/>
      <c r="W982" s="17"/>
      <c r="X982" s="17"/>
      <c r="Y982" s="17"/>
    </row>
    <row r="983" ht="18.75" customHeight="1">
      <c r="A983" s="9">
        <v>984.0</v>
      </c>
      <c r="B983" s="11" t="s">
        <v>4005</v>
      </c>
      <c r="C983" s="11" t="s">
        <v>4006</v>
      </c>
      <c r="D983" s="11" t="s">
        <v>122</v>
      </c>
      <c r="E983" s="11" t="s">
        <v>43</v>
      </c>
      <c r="F983" s="11" t="s">
        <v>6733</v>
      </c>
      <c r="G983" s="12">
        <v>45900.0</v>
      </c>
      <c r="H983" s="13">
        <v>45901.0</v>
      </c>
      <c r="I983" s="11" t="s">
        <v>251</v>
      </c>
      <c r="J983" s="11" t="s">
        <v>22</v>
      </c>
      <c r="K983" s="14" t="s">
        <v>31</v>
      </c>
      <c r="L983" s="11"/>
      <c r="M983" s="15"/>
      <c r="N983" s="16" t="s">
        <v>5135</v>
      </c>
      <c r="O983" s="16"/>
      <c r="P983" s="16"/>
      <c r="Q983" s="17"/>
      <c r="R983" s="17"/>
      <c r="S983" s="17"/>
      <c r="T983" s="17"/>
      <c r="U983" s="17"/>
      <c r="V983" s="17"/>
      <c r="W983" s="17"/>
      <c r="X983" s="17"/>
      <c r="Y983" s="17"/>
    </row>
    <row r="984" ht="18.75" customHeight="1">
      <c r="A984" s="9">
        <v>985.0</v>
      </c>
      <c r="B984" s="11" t="s">
        <v>4008</v>
      </c>
      <c r="C984" s="11" t="s">
        <v>4009</v>
      </c>
      <c r="D984" s="11" t="s">
        <v>116</v>
      </c>
      <c r="E984" s="11" t="s">
        <v>3059</v>
      </c>
      <c r="F984" s="11" t="s">
        <v>6734</v>
      </c>
      <c r="G984" s="12">
        <v>45930.0</v>
      </c>
      <c r="H984" s="13">
        <v>45931.0</v>
      </c>
      <c r="I984" s="11" t="s">
        <v>25</v>
      </c>
      <c r="J984" s="11" t="s">
        <v>37</v>
      </c>
      <c r="K984" s="14" t="s">
        <v>31</v>
      </c>
      <c r="L984" s="11" t="s">
        <v>74</v>
      </c>
      <c r="M984" s="15"/>
      <c r="N984" s="16" t="s">
        <v>5135</v>
      </c>
      <c r="O984" s="16"/>
      <c r="P984" s="16"/>
      <c r="Q984" s="17"/>
      <c r="R984" s="17"/>
      <c r="S984" s="17"/>
      <c r="T984" s="17"/>
      <c r="U984" s="17"/>
      <c r="V984" s="17"/>
      <c r="W984" s="17"/>
      <c r="X984" s="17"/>
      <c r="Y984" s="17"/>
    </row>
    <row r="985" ht="18.75" customHeight="1">
      <c r="A985" s="9">
        <v>986.0</v>
      </c>
      <c r="B985" s="11" t="s">
        <v>4011</v>
      </c>
      <c r="C985" s="11" t="s">
        <v>4012</v>
      </c>
      <c r="D985" s="11" t="s">
        <v>94</v>
      </c>
      <c r="E985" s="11" t="s">
        <v>2425</v>
      </c>
      <c r="F985" s="11" t="s">
        <v>6735</v>
      </c>
      <c r="G985" s="12">
        <v>45912.0</v>
      </c>
      <c r="H985" s="13">
        <v>45913.0</v>
      </c>
      <c r="I985" s="11" t="s">
        <v>25</v>
      </c>
      <c r="J985" s="11" t="s">
        <v>22</v>
      </c>
      <c r="K985" s="14" t="s">
        <v>31</v>
      </c>
      <c r="L985" s="11"/>
      <c r="M985" s="15"/>
      <c r="N985" s="16" t="s">
        <v>5135</v>
      </c>
      <c r="O985" s="16"/>
      <c r="P985" s="16"/>
      <c r="Q985" s="17"/>
      <c r="R985" s="17"/>
      <c r="S985" s="17"/>
      <c r="T985" s="17"/>
      <c r="U985" s="17"/>
      <c r="V985" s="17"/>
      <c r="W985" s="17"/>
      <c r="X985" s="17"/>
      <c r="Y985" s="17"/>
    </row>
    <row r="986" ht="18.75" customHeight="1">
      <c r="A986" s="9">
        <v>987.0</v>
      </c>
      <c r="B986" s="11" t="s">
        <v>4014</v>
      </c>
      <c r="C986" s="11" t="s">
        <v>4015</v>
      </c>
      <c r="D986" s="11" t="s">
        <v>122</v>
      </c>
      <c r="E986" s="11" t="s">
        <v>2451</v>
      </c>
      <c r="F986" s="11" t="s">
        <v>6736</v>
      </c>
      <c r="G986" s="12">
        <v>45930.0</v>
      </c>
      <c r="H986" s="13">
        <v>45931.0</v>
      </c>
      <c r="I986" s="11" t="s">
        <v>25</v>
      </c>
      <c r="J986" s="11" t="s">
        <v>37</v>
      </c>
      <c r="K986" s="14" t="s">
        <v>31</v>
      </c>
      <c r="L986" s="11"/>
      <c r="M986" s="15"/>
      <c r="N986" s="16" t="s">
        <v>5135</v>
      </c>
      <c r="O986" s="16"/>
      <c r="P986" s="16"/>
      <c r="Q986" s="17"/>
      <c r="R986" s="17"/>
      <c r="S986" s="17"/>
      <c r="T986" s="17"/>
      <c r="U986" s="17"/>
      <c r="V986" s="17"/>
      <c r="W986" s="17"/>
      <c r="X986" s="17"/>
      <c r="Y986" s="17"/>
    </row>
    <row r="987" ht="18.75" customHeight="1">
      <c r="A987" s="9">
        <v>988.0</v>
      </c>
      <c r="B987" s="11" t="s">
        <v>4017</v>
      </c>
      <c r="C987" s="11" t="s">
        <v>4018</v>
      </c>
      <c r="D987" s="11" t="s">
        <v>122</v>
      </c>
      <c r="E987" s="11" t="s">
        <v>2451</v>
      </c>
      <c r="F987" s="11" t="s">
        <v>6737</v>
      </c>
      <c r="G987" s="12">
        <v>45902.0</v>
      </c>
      <c r="H987" s="13">
        <v>45903.0</v>
      </c>
      <c r="I987" s="11" t="s">
        <v>251</v>
      </c>
      <c r="J987" s="11" t="s">
        <v>37</v>
      </c>
      <c r="K987" s="14" t="s">
        <v>31</v>
      </c>
      <c r="L987" s="11"/>
      <c r="M987" s="15"/>
      <c r="N987" s="16" t="s">
        <v>5135</v>
      </c>
      <c r="O987" s="16"/>
      <c r="P987" s="16"/>
      <c r="Q987" s="17"/>
      <c r="R987" s="17"/>
      <c r="S987" s="17"/>
      <c r="T987" s="17"/>
      <c r="U987" s="17"/>
      <c r="V987" s="17"/>
      <c r="W987" s="17"/>
      <c r="X987" s="17"/>
      <c r="Y987" s="17"/>
    </row>
    <row r="988" ht="18.75" customHeight="1">
      <c r="A988" s="9">
        <v>989.0</v>
      </c>
      <c r="B988" s="11" t="s">
        <v>4020</v>
      </c>
      <c r="C988" s="11" t="s">
        <v>4021</v>
      </c>
      <c r="D988" s="11" t="s">
        <v>128</v>
      </c>
      <c r="E988" s="11" t="s">
        <v>2395</v>
      </c>
      <c r="F988" s="11" t="s">
        <v>6738</v>
      </c>
      <c r="G988" s="12">
        <v>45900.0</v>
      </c>
      <c r="H988" s="13">
        <v>45901.0</v>
      </c>
      <c r="I988" s="11" t="s">
        <v>119</v>
      </c>
      <c r="J988" s="11" t="s">
        <v>22</v>
      </c>
      <c r="K988" s="14" t="s">
        <v>31</v>
      </c>
      <c r="L988" s="11"/>
      <c r="M988" s="15"/>
      <c r="N988" s="16" t="s">
        <v>5135</v>
      </c>
      <c r="O988" s="16"/>
      <c r="P988" s="16"/>
      <c r="Q988" s="17"/>
      <c r="R988" s="17"/>
      <c r="S988" s="17"/>
      <c r="T988" s="17"/>
      <c r="U988" s="17"/>
      <c r="V988" s="17"/>
      <c r="W988" s="17"/>
      <c r="X988" s="17"/>
      <c r="Y988" s="17"/>
    </row>
    <row r="989" ht="18.75" customHeight="1">
      <c r="A989" s="9">
        <v>990.0</v>
      </c>
      <c r="B989" s="11" t="s">
        <v>4023</v>
      </c>
      <c r="C989" s="11" t="s">
        <v>4024</v>
      </c>
      <c r="D989" s="11" t="s">
        <v>706</v>
      </c>
      <c r="E989" s="11" t="s">
        <v>4025</v>
      </c>
      <c r="F989" s="11" t="s">
        <v>6739</v>
      </c>
      <c r="G989" s="12">
        <v>45930.0</v>
      </c>
      <c r="H989" s="13">
        <v>45931.0</v>
      </c>
      <c r="I989" s="11" t="s">
        <v>25</v>
      </c>
      <c r="J989" s="11" t="s">
        <v>37</v>
      </c>
      <c r="K989" s="14" t="s">
        <v>31</v>
      </c>
      <c r="L989" s="11" t="s">
        <v>50</v>
      </c>
      <c r="M989" s="15"/>
      <c r="N989" s="16" t="s">
        <v>5135</v>
      </c>
      <c r="O989" s="16"/>
      <c r="P989" s="16"/>
      <c r="Q989" s="17"/>
      <c r="R989" s="17"/>
      <c r="S989" s="17"/>
      <c r="T989" s="17"/>
      <c r="U989" s="17"/>
      <c r="V989" s="17"/>
      <c r="W989" s="17"/>
      <c r="X989" s="17"/>
      <c r="Y989" s="17"/>
    </row>
    <row r="990" ht="18.75" customHeight="1">
      <c r="A990" s="9">
        <v>991.0</v>
      </c>
      <c r="B990" s="11" t="s">
        <v>4027</v>
      </c>
      <c r="C990" s="11" t="s">
        <v>4028</v>
      </c>
      <c r="D990" s="11" t="s">
        <v>2305</v>
      </c>
      <c r="E990" s="11" t="s">
        <v>3154</v>
      </c>
      <c r="F990" s="11" t="s">
        <v>6740</v>
      </c>
      <c r="G990" s="12">
        <v>45900.0</v>
      </c>
      <c r="H990" s="13">
        <v>45901.0</v>
      </c>
      <c r="I990" s="11" t="s">
        <v>119</v>
      </c>
      <c r="J990" s="11" t="s">
        <v>37</v>
      </c>
      <c r="K990" s="14" t="s">
        <v>31</v>
      </c>
      <c r="L990" s="11" t="s">
        <v>38</v>
      </c>
      <c r="M990" s="15"/>
      <c r="N990" s="16" t="s">
        <v>5135</v>
      </c>
      <c r="O990" s="16"/>
      <c r="P990" s="16"/>
      <c r="Q990" s="17"/>
      <c r="R990" s="17"/>
      <c r="S990" s="17"/>
      <c r="T990" s="17"/>
      <c r="U990" s="17"/>
      <c r="V990" s="17"/>
      <c r="W990" s="17"/>
      <c r="X990" s="17"/>
      <c r="Y990" s="17"/>
    </row>
    <row r="991" ht="18.75" customHeight="1">
      <c r="A991" s="9">
        <v>992.0</v>
      </c>
      <c r="B991" s="11" t="s">
        <v>4030</v>
      </c>
      <c r="C991" s="11" t="s">
        <v>4031</v>
      </c>
      <c r="D991" s="11" t="s">
        <v>128</v>
      </c>
      <c r="E991" s="11" t="s">
        <v>2458</v>
      </c>
      <c r="F991" s="11" t="s">
        <v>6741</v>
      </c>
      <c r="G991" s="12">
        <v>45890.0</v>
      </c>
      <c r="H991" s="13">
        <v>45891.0</v>
      </c>
      <c r="I991" s="11" t="s">
        <v>251</v>
      </c>
      <c r="J991" s="11" t="s">
        <v>213</v>
      </c>
      <c r="K991" s="14" t="s">
        <v>31</v>
      </c>
      <c r="L991" s="11"/>
      <c r="M991" s="15"/>
      <c r="N991" s="16" t="s">
        <v>5135</v>
      </c>
      <c r="O991" s="16"/>
      <c r="P991" s="16"/>
      <c r="Q991" s="17"/>
      <c r="R991" s="17"/>
      <c r="S991" s="17"/>
      <c r="T991" s="17"/>
      <c r="U991" s="17"/>
      <c r="V991" s="17"/>
      <c r="W991" s="17"/>
      <c r="X991" s="17"/>
      <c r="Y991" s="17"/>
    </row>
    <row r="992" ht="18.75" customHeight="1">
      <c r="A992" s="9">
        <v>993.0</v>
      </c>
      <c r="B992" s="11" t="s">
        <v>4032</v>
      </c>
      <c r="C992" s="11" t="s">
        <v>4033</v>
      </c>
      <c r="D992" s="11" t="s">
        <v>122</v>
      </c>
      <c r="E992" s="11" t="s">
        <v>158</v>
      </c>
      <c r="F992" s="11" t="s">
        <v>6742</v>
      </c>
      <c r="G992" s="12">
        <v>45888.0</v>
      </c>
      <c r="H992" s="13">
        <v>45889.0</v>
      </c>
      <c r="I992" s="11" t="s">
        <v>251</v>
      </c>
      <c r="J992" s="11" t="s">
        <v>213</v>
      </c>
      <c r="K992" s="14" t="s">
        <v>31</v>
      </c>
      <c r="L992" s="11"/>
      <c r="M992" s="15"/>
      <c r="N992" s="16" t="s">
        <v>5135</v>
      </c>
      <c r="O992" s="16"/>
      <c r="P992" s="16"/>
      <c r="Q992" s="17"/>
      <c r="R992" s="17"/>
      <c r="S992" s="17"/>
      <c r="T992" s="17"/>
      <c r="U992" s="17"/>
      <c r="V992" s="17"/>
      <c r="W992" s="17"/>
      <c r="X992" s="17"/>
      <c r="Y992" s="17"/>
    </row>
    <row r="993" ht="18.75" customHeight="1">
      <c r="A993" s="9">
        <v>994.0</v>
      </c>
      <c r="B993" s="11" t="s">
        <v>4034</v>
      </c>
      <c r="C993" s="11" t="s">
        <v>4035</v>
      </c>
      <c r="D993" s="11" t="s">
        <v>289</v>
      </c>
      <c r="E993" s="11" t="s">
        <v>290</v>
      </c>
      <c r="F993" s="11" t="s">
        <v>6743</v>
      </c>
      <c r="G993" s="12">
        <v>45900.0</v>
      </c>
      <c r="H993" s="13">
        <v>45901.0</v>
      </c>
      <c r="I993" s="11" t="s">
        <v>119</v>
      </c>
      <c r="J993" s="11" t="s">
        <v>22</v>
      </c>
      <c r="K993" s="14" t="s">
        <v>31</v>
      </c>
      <c r="L993" s="11" t="s">
        <v>50</v>
      </c>
      <c r="M993" s="11" t="s">
        <v>6744</v>
      </c>
      <c r="N993" s="16" t="s">
        <v>5135</v>
      </c>
      <c r="O993" s="16"/>
      <c r="P993" s="16"/>
      <c r="Q993" s="17"/>
      <c r="R993" s="17"/>
      <c r="S993" s="17"/>
      <c r="T993" s="17"/>
      <c r="U993" s="17"/>
      <c r="V993" s="17"/>
      <c r="W993" s="17"/>
      <c r="X993" s="17"/>
      <c r="Y993" s="17"/>
    </row>
    <row r="994" ht="18.75" customHeight="1">
      <c r="A994" s="9">
        <v>995.0</v>
      </c>
      <c r="B994" s="11" t="s">
        <v>4036</v>
      </c>
      <c r="C994" s="11" t="s">
        <v>4037</v>
      </c>
      <c r="D994" s="11" t="s">
        <v>2015</v>
      </c>
      <c r="E994" s="11" t="s">
        <v>3186</v>
      </c>
      <c r="F994" s="11" t="s">
        <v>5009</v>
      </c>
      <c r="G994" s="12">
        <v>45912.0</v>
      </c>
      <c r="H994" s="13">
        <v>45913.0</v>
      </c>
      <c r="I994" s="11" t="s">
        <v>25</v>
      </c>
      <c r="J994" s="11" t="s">
        <v>22</v>
      </c>
      <c r="K994" s="14" t="s">
        <v>31</v>
      </c>
      <c r="L994" s="11" t="s">
        <v>62</v>
      </c>
      <c r="M994" s="15"/>
      <c r="N994" s="16" t="s">
        <v>5135</v>
      </c>
      <c r="O994" s="16"/>
      <c r="P994" s="16"/>
      <c r="Q994" s="17"/>
      <c r="R994" s="17"/>
      <c r="S994" s="17"/>
      <c r="T994" s="17"/>
      <c r="U994" s="17"/>
      <c r="V994" s="17"/>
      <c r="W994" s="17"/>
      <c r="X994" s="17"/>
      <c r="Y994" s="17"/>
    </row>
    <row r="995" ht="18.75" customHeight="1">
      <c r="A995" s="9">
        <v>996.0</v>
      </c>
      <c r="B995" s="11" t="s">
        <v>4039</v>
      </c>
      <c r="C995" s="11" t="s">
        <v>4040</v>
      </c>
      <c r="D995" s="11" t="s">
        <v>646</v>
      </c>
      <c r="E995" s="11" t="s">
        <v>211</v>
      </c>
      <c r="F995" s="11" t="s">
        <v>6745</v>
      </c>
      <c r="G995" s="12">
        <v>45925.0</v>
      </c>
      <c r="H995" s="13">
        <v>45926.0</v>
      </c>
      <c r="I995" s="11" t="s">
        <v>25</v>
      </c>
      <c r="J995" s="11" t="s">
        <v>37</v>
      </c>
      <c r="K995" s="14" t="s">
        <v>31</v>
      </c>
      <c r="L995" s="11" t="s">
        <v>50</v>
      </c>
      <c r="M995" s="15"/>
      <c r="N995" s="16" t="s">
        <v>5135</v>
      </c>
      <c r="O995" s="16"/>
      <c r="P995" s="16"/>
      <c r="Q995" s="17"/>
      <c r="R995" s="17"/>
      <c r="S995" s="17"/>
      <c r="T995" s="17"/>
      <c r="U995" s="17"/>
      <c r="V995" s="17"/>
      <c r="W995" s="17"/>
      <c r="X995" s="17"/>
      <c r="Y995" s="17"/>
    </row>
    <row r="996" ht="18.75" customHeight="1">
      <c r="A996" s="9">
        <v>997.0</v>
      </c>
      <c r="B996" s="11" t="s">
        <v>4042</v>
      </c>
      <c r="C996" s="11" t="s">
        <v>4043</v>
      </c>
      <c r="D996" s="11" t="s">
        <v>328</v>
      </c>
      <c r="E996" s="11" t="s">
        <v>4044</v>
      </c>
      <c r="F996" s="11" t="s">
        <v>4997</v>
      </c>
      <c r="G996" s="12">
        <v>45930.0</v>
      </c>
      <c r="H996" s="13">
        <v>45931.0</v>
      </c>
      <c r="I996" s="11" t="s">
        <v>25</v>
      </c>
      <c r="J996" s="11" t="s">
        <v>37</v>
      </c>
      <c r="K996" s="14" t="s">
        <v>31</v>
      </c>
      <c r="L996" s="11" t="s">
        <v>62</v>
      </c>
      <c r="M996" s="15"/>
      <c r="N996" s="16" t="s">
        <v>5135</v>
      </c>
      <c r="O996" s="16"/>
      <c r="P996" s="16"/>
      <c r="Q996" s="17"/>
      <c r="R996" s="17"/>
      <c r="S996" s="17"/>
      <c r="T996" s="17"/>
      <c r="U996" s="17"/>
      <c r="V996" s="17"/>
      <c r="W996" s="17"/>
      <c r="X996" s="17"/>
      <c r="Y996" s="17"/>
    </row>
    <row r="997" ht="18.75" customHeight="1">
      <c r="A997" s="9">
        <v>998.0</v>
      </c>
      <c r="B997" s="11" t="s">
        <v>4047</v>
      </c>
      <c r="C997" s="11" t="s">
        <v>4048</v>
      </c>
      <c r="D997" s="11" t="s">
        <v>110</v>
      </c>
      <c r="E997" s="11" t="s">
        <v>2475</v>
      </c>
      <c r="F997" s="11" t="s">
        <v>6746</v>
      </c>
      <c r="G997" s="12">
        <v>45930.0</v>
      </c>
      <c r="H997" s="13">
        <v>45931.0</v>
      </c>
      <c r="I997" s="11" t="s">
        <v>25</v>
      </c>
      <c r="J997" s="11" t="s">
        <v>22</v>
      </c>
      <c r="K997" s="14" t="s">
        <v>31</v>
      </c>
      <c r="L997" s="11"/>
      <c r="M997" s="15"/>
      <c r="N997" s="16" t="s">
        <v>5135</v>
      </c>
      <c r="O997" s="16"/>
      <c r="P997" s="16"/>
      <c r="Q997" s="17"/>
      <c r="R997" s="17"/>
      <c r="S997" s="17"/>
      <c r="T997" s="17"/>
      <c r="U997" s="17"/>
      <c r="V997" s="17"/>
      <c r="W997" s="17"/>
      <c r="X997" s="17"/>
      <c r="Y997" s="17"/>
    </row>
    <row r="998" ht="18.75" customHeight="1">
      <c r="A998" s="9">
        <v>999.0</v>
      </c>
      <c r="B998" s="11" t="s">
        <v>4050</v>
      </c>
      <c r="C998" s="11" t="s">
        <v>4051</v>
      </c>
      <c r="D998" s="11" t="s">
        <v>128</v>
      </c>
      <c r="E998" s="11" t="s">
        <v>2392</v>
      </c>
      <c r="F998" s="11" t="s">
        <v>6747</v>
      </c>
      <c r="G998" s="12">
        <v>45900.0</v>
      </c>
      <c r="H998" s="13">
        <v>45901.0</v>
      </c>
      <c r="I998" s="11" t="s">
        <v>25</v>
      </c>
      <c r="J998" s="11" t="s">
        <v>22</v>
      </c>
      <c r="K998" s="14" t="s">
        <v>31</v>
      </c>
      <c r="L998" s="11"/>
      <c r="M998" s="15"/>
      <c r="N998" s="16" t="s">
        <v>5135</v>
      </c>
      <c r="O998" s="16"/>
      <c r="P998" s="16"/>
      <c r="Q998" s="17"/>
      <c r="R998" s="17"/>
      <c r="S998" s="17"/>
      <c r="T998" s="17"/>
      <c r="U998" s="17"/>
      <c r="V998" s="17"/>
      <c r="W998" s="17"/>
      <c r="X998" s="17"/>
      <c r="Y998" s="17"/>
    </row>
    <row r="999" ht="18.75" customHeight="1">
      <c r="A999" s="9">
        <v>1000.0</v>
      </c>
      <c r="B999" s="11" t="s">
        <v>4053</v>
      </c>
      <c r="C999" s="11" t="s">
        <v>4054</v>
      </c>
      <c r="D999" s="11" t="s">
        <v>122</v>
      </c>
      <c r="E999" s="11" t="s">
        <v>111</v>
      </c>
      <c r="F999" s="11" t="s">
        <v>6748</v>
      </c>
      <c r="G999" s="12">
        <v>45900.0</v>
      </c>
      <c r="H999" s="13">
        <v>45901.0</v>
      </c>
      <c r="I999" s="11" t="s">
        <v>119</v>
      </c>
      <c r="J999" s="11" t="s">
        <v>22</v>
      </c>
      <c r="K999" s="14" t="s">
        <v>31</v>
      </c>
      <c r="L999" s="11" t="s">
        <v>86</v>
      </c>
      <c r="M999" s="15"/>
      <c r="N999" s="16" t="s">
        <v>5135</v>
      </c>
      <c r="O999" s="16"/>
      <c r="P999" s="16"/>
      <c r="Q999" s="17"/>
      <c r="R999" s="17"/>
      <c r="S999" s="17"/>
      <c r="T999" s="17"/>
      <c r="U999" s="17"/>
      <c r="V999" s="17"/>
      <c r="W999" s="17"/>
      <c r="X999" s="17"/>
      <c r="Y999" s="17"/>
    </row>
    <row r="1000" ht="18.75" customHeight="1">
      <c r="A1000" s="9">
        <v>1001.0</v>
      </c>
      <c r="B1000" s="11" t="s">
        <v>4056</v>
      </c>
      <c r="C1000" s="11" t="s">
        <v>4057</v>
      </c>
      <c r="D1000" s="11" t="s">
        <v>333</v>
      </c>
      <c r="E1000" s="11" t="s">
        <v>4058</v>
      </c>
      <c r="F1000" s="11" t="s">
        <v>6749</v>
      </c>
      <c r="G1000" s="12">
        <v>45930.0</v>
      </c>
      <c r="H1000" s="13">
        <v>45931.0</v>
      </c>
      <c r="I1000" s="11" t="s">
        <v>25</v>
      </c>
      <c r="J1000" s="11" t="s">
        <v>37</v>
      </c>
      <c r="K1000" s="14" t="s">
        <v>31</v>
      </c>
      <c r="L1000" s="11"/>
      <c r="M1000" s="15"/>
      <c r="N1000" s="16" t="s">
        <v>5135</v>
      </c>
      <c r="O1000" s="16"/>
      <c r="P1000" s="16"/>
      <c r="Q1000" s="17"/>
      <c r="R1000" s="17"/>
      <c r="S1000" s="17"/>
      <c r="T1000" s="17"/>
      <c r="U1000" s="17"/>
      <c r="V1000" s="17"/>
      <c r="W1000" s="17"/>
      <c r="X1000" s="17"/>
      <c r="Y1000" s="17"/>
    </row>
    <row r="1001" ht="18.75" customHeight="1">
      <c r="A1001" s="9">
        <v>1002.0</v>
      </c>
      <c r="B1001" s="11" t="s">
        <v>4060</v>
      </c>
      <c r="C1001" s="11" t="s">
        <v>4061</v>
      </c>
      <c r="D1001" s="11" t="s">
        <v>476</v>
      </c>
      <c r="E1001" s="11" t="s">
        <v>2388</v>
      </c>
      <c r="F1001" s="11" t="s">
        <v>6750</v>
      </c>
      <c r="G1001" s="12">
        <v>45900.0</v>
      </c>
      <c r="H1001" s="13">
        <v>45901.0</v>
      </c>
      <c r="I1001" s="11" t="s">
        <v>119</v>
      </c>
      <c r="J1001" s="11" t="s">
        <v>22</v>
      </c>
      <c r="K1001" s="14" t="s">
        <v>31</v>
      </c>
      <c r="L1001" s="11"/>
      <c r="M1001" s="15"/>
      <c r="N1001" s="16" t="s">
        <v>5135</v>
      </c>
      <c r="O1001" s="16"/>
      <c r="P1001" s="16"/>
      <c r="Q1001" s="17"/>
      <c r="R1001" s="17"/>
      <c r="S1001" s="17"/>
      <c r="T1001" s="17"/>
      <c r="U1001" s="17"/>
      <c r="V1001" s="17"/>
      <c r="W1001" s="17"/>
      <c r="X1001" s="17"/>
      <c r="Y1001" s="17"/>
    </row>
    <row r="1002" ht="18.75" customHeight="1">
      <c r="A1002" s="9">
        <v>1003.0</v>
      </c>
      <c r="B1002" s="10" t="s">
        <v>4063</v>
      </c>
      <c r="C1002" s="10" t="s">
        <v>4064</v>
      </c>
      <c r="D1002" s="10" t="s">
        <v>110</v>
      </c>
      <c r="E1002" s="10" t="s">
        <v>2388</v>
      </c>
      <c r="F1002" s="11" t="s">
        <v>6751</v>
      </c>
      <c r="G1002" s="12">
        <v>45930.0</v>
      </c>
      <c r="H1002" s="13">
        <v>45931.0</v>
      </c>
      <c r="I1002" s="11" t="s">
        <v>21</v>
      </c>
      <c r="J1002" s="11" t="s">
        <v>22</v>
      </c>
      <c r="K1002" s="14"/>
      <c r="L1002" s="11"/>
      <c r="M1002" s="15"/>
      <c r="N1002" s="16" t="s">
        <v>5135</v>
      </c>
      <c r="O1002" s="16"/>
      <c r="P1002" s="16"/>
      <c r="Q1002" s="17"/>
      <c r="R1002" s="17"/>
      <c r="S1002" s="17"/>
      <c r="T1002" s="17"/>
      <c r="U1002" s="17"/>
      <c r="V1002" s="17"/>
      <c r="W1002" s="17"/>
      <c r="X1002" s="17"/>
      <c r="Y1002" s="17"/>
    </row>
    <row r="1003" ht="18.75" customHeight="1">
      <c r="A1003" s="9">
        <v>1004.0</v>
      </c>
      <c r="B1003" s="11" t="s">
        <v>4066</v>
      </c>
      <c r="C1003" s="11" t="s">
        <v>4067</v>
      </c>
      <c r="D1003" s="11" t="s">
        <v>59</v>
      </c>
      <c r="E1003" s="11" t="s">
        <v>2461</v>
      </c>
      <c r="F1003" s="11" t="s">
        <v>6752</v>
      </c>
      <c r="G1003" s="12">
        <v>45910.0</v>
      </c>
      <c r="H1003" s="13">
        <v>45911.0</v>
      </c>
      <c r="I1003" s="11" t="s">
        <v>251</v>
      </c>
      <c r="J1003" s="11" t="s">
        <v>22</v>
      </c>
      <c r="K1003" s="14" t="s">
        <v>31</v>
      </c>
      <c r="L1003" s="11"/>
      <c r="M1003" s="15"/>
      <c r="N1003" s="16" t="s">
        <v>5135</v>
      </c>
      <c r="O1003" s="16"/>
      <c r="P1003" s="16"/>
      <c r="Q1003" s="17"/>
      <c r="R1003" s="17"/>
      <c r="S1003" s="17"/>
      <c r="T1003" s="17"/>
      <c r="U1003" s="17"/>
      <c r="V1003" s="17"/>
      <c r="W1003" s="17"/>
      <c r="X1003" s="17"/>
      <c r="Y1003" s="17"/>
    </row>
    <row r="1004" ht="18.75" customHeight="1">
      <c r="A1004" s="9">
        <v>1005.0</v>
      </c>
      <c r="B1004" s="11" t="s">
        <v>4069</v>
      </c>
      <c r="C1004" s="11" t="s">
        <v>4070</v>
      </c>
      <c r="D1004" s="11" t="s">
        <v>122</v>
      </c>
      <c r="E1004" s="11" t="s">
        <v>4071</v>
      </c>
      <c r="F1004" s="11" t="s">
        <v>6753</v>
      </c>
      <c r="G1004" s="12">
        <v>45930.0</v>
      </c>
      <c r="H1004" s="13">
        <v>45931.0</v>
      </c>
      <c r="I1004" s="11" t="s">
        <v>25</v>
      </c>
      <c r="J1004" s="11" t="s">
        <v>37</v>
      </c>
      <c r="K1004" s="14" t="s">
        <v>31</v>
      </c>
      <c r="L1004" s="11" t="s">
        <v>74</v>
      </c>
      <c r="M1004" s="15"/>
      <c r="N1004" s="16" t="s">
        <v>5135</v>
      </c>
      <c r="O1004" s="16"/>
      <c r="P1004" s="16"/>
      <c r="Q1004" s="17"/>
      <c r="R1004" s="17"/>
      <c r="S1004" s="17"/>
      <c r="T1004" s="17"/>
      <c r="U1004" s="17"/>
      <c r="V1004" s="17"/>
      <c r="W1004" s="17"/>
      <c r="X1004" s="17"/>
      <c r="Y1004" s="17"/>
    </row>
    <row r="1005" ht="18.75" customHeight="1">
      <c r="A1005" s="9">
        <v>1006.0</v>
      </c>
      <c r="B1005" s="11" t="s">
        <v>4073</v>
      </c>
      <c r="C1005" s="11" t="s">
        <v>4074</v>
      </c>
      <c r="D1005" s="11" t="s">
        <v>122</v>
      </c>
      <c r="E1005" s="11" t="s">
        <v>2698</v>
      </c>
      <c r="F1005" s="11" t="s">
        <v>6754</v>
      </c>
      <c r="G1005" s="12">
        <v>45900.0</v>
      </c>
      <c r="H1005" s="13">
        <v>45901.0</v>
      </c>
      <c r="I1005" s="11" t="s">
        <v>251</v>
      </c>
      <c r="J1005" s="11" t="s">
        <v>213</v>
      </c>
      <c r="K1005" s="14" t="s">
        <v>31</v>
      </c>
      <c r="L1005" s="11"/>
      <c r="M1005" s="15"/>
      <c r="N1005" s="16" t="s">
        <v>5135</v>
      </c>
      <c r="O1005" s="16"/>
      <c r="P1005" s="16"/>
      <c r="Q1005" s="17"/>
      <c r="R1005" s="17"/>
      <c r="S1005" s="17"/>
      <c r="T1005" s="17"/>
      <c r="U1005" s="17"/>
      <c r="V1005" s="17"/>
      <c r="W1005" s="17"/>
      <c r="X1005" s="17"/>
      <c r="Y1005" s="17"/>
    </row>
    <row r="1006" ht="18.75" customHeight="1">
      <c r="A1006" s="9">
        <v>1007.0</v>
      </c>
      <c r="B1006" s="11" t="s">
        <v>4075</v>
      </c>
      <c r="C1006" s="11" t="s">
        <v>4076</v>
      </c>
      <c r="D1006" s="11" t="s">
        <v>231</v>
      </c>
      <c r="E1006" s="11" t="s">
        <v>4077</v>
      </c>
      <c r="F1006" s="11" t="s">
        <v>6755</v>
      </c>
      <c r="G1006" s="12">
        <v>45930.0</v>
      </c>
      <c r="H1006" s="13">
        <v>45931.0</v>
      </c>
      <c r="I1006" s="11" t="s">
        <v>25</v>
      </c>
      <c r="J1006" s="11" t="s">
        <v>22</v>
      </c>
      <c r="K1006" s="14" t="s">
        <v>31</v>
      </c>
      <c r="L1006" s="11" t="s">
        <v>97</v>
      </c>
      <c r="M1006" s="15"/>
      <c r="N1006" s="16" t="s">
        <v>5135</v>
      </c>
      <c r="O1006" s="16"/>
      <c r="P1006" s="16"/>
      <c r="Q1006" s="17"/>
      <c r="R1006" s="17"/>
      <c r="S1006" s="17"/>
      <c r="T1006" s="17"/>
      <c r="U1006" s="17"/>
      <c r="V1006" s="17"/>
      <c r="W1006" s="17"/>
      <c r="X1006" s="17"/>
      <c r="Y1006" s="17"/>
    </row>
    <row r="1007" ht="18.75" customHeight="1">
      <c r="A1007" s="9">
        <v>1008.0</v>
      </c>
      <c r="B1007" s="11" t="s">
        <v>4079</v>
      </c>
      <c r="C1007" s="11" t="s">
        <v>4080</v>
      </c>
      <c r="D1007" s="11" t="s">
        <v>65</v>
      </c>
      <c r="E1007" s="11" t="s">
        <v>4081</v>
      </c>
      <c r="F1007" s="11" t="s">
        <v>6756</v>
      </c>
      <c r="G1007" s="12">
        <v>45930.0</v>
      </c>
      <c r="H1007" s="13">
        <v>45931.0</v>
      </c>
      <c r="I1007" s="11" t="s">
        <v>25</v>
      </c>
      <c r="J1007" s="11" t="s">
        <v>37</v>
      </c>
      <c r="K1007" s="14" t="s">
        <v>31</v>
      </c>
      <c r="L1007" s="11"/>
      <c r="M1007" s="15"/>
      <c r="N1007" s="16" t="s">
        <v>5135</v>
      </c>
      <c r="O1007" s="16"/>
      <c r="P1007" s="16"/>
      <c r="Q1007" s="17"/>
      <c r="R1007" s="17"/>
      <c r="S1007" s="17"/>
      <c r="T1007" s="17"/>
      <c r="U1007" s="17"/>
      <c r="V1007" s="17"/>
      <c r="W1007" s="17"/>
      <c r="X1007" s="17"/>
      <c r="Y1007" s="17"/>
    </row>
    <row r="1008" ht="18.75" customHeight="1">
      <c r="A1008" s="9">
        <v>1009.0</v>
      </c>
      <c r="B1008" s="11" t="s">
        <v>4083</v>
      </c>
      <c r="C1008" s="11" t="s">
        <v>4084</v>
      </c>
      <c r="D1008" s="11" t="s">
        <v>122</v>
      </c>
      <c r="E1008" s="11" t="s">
        <v>222</v>
      </c>
      <c r="F1008" s="11" t="s">
        <v>6757</v>
      </c>
      <c r="G1008" s="12">
        <v>45900.0</v>
      </c>
      <c r="H1008" s="13">
        <v>45901.0</v>
      </c>
      <c r="I1008" s="11" t="s">
        <v>251</v>
      </c>
      <c r="J1008" s="11" t="s">
        <v>213</v>
      </c>
      <c r="K1008" s="14" t="s">
        <v>31</v>
      </c>
      <c r="L1008" s="11"/>
      <c r="M1008" s="15"/>
      <c r="N1008" s="16" t="s">
        <v>5135</v>
      </c>
      <c r="O1008" s="16"/>
      <c r="P1008" s="16"/>
      <c r="Q1008" s="17"/>
      <c r="R1008" s="17"/>
      <c r="S1008" s="17"/>
      <c r="T1008" s="17"/>
      <c r="U1008" s="17"/>
      <c r="V1008" s="17"/>
      <c r="W1008" s="17"/>
      <c r="X1008" s="17"/>
      <c r="Y1008" s="17"/>
    </row>
    <row r="1009" ht="18.75" customHeight="1">
      <c r="A1009" s="9">
        <v>1010.0</v>
      </c>
      <c r="B1009" s="11" t="s">
        <v>4085</v>
      </c>
      <c r="C1009" s="11" t="s">
        <v>4086</v>
      </c>
      <c r="D1009" s="11" t="s">
        <v>116</v>
      </c>
      <c r="E1009" s="11" t="s">
        <v>4087</v>
      </c>
      <c r="F1009" s="11" t="s">
        <v>6758</v>
      </c>
      <c r="G1009" s="12">
        <v>45930.0</v>
      </c>
      <c r="H1009" s="13">
        <v>45931.0</v>
      </c>
      <c r="I1009" s="11" t="s">
        <v>25</v>
      </c>
      <c r="J1009" s="11" t="s">
        <v>37</v>
      </c>
      <c r="K1009" s="14" t="s">
        <v>31</v>
      </c>
      <c r="L1009" s="11" t="s">
        <v>74</v>
      </c>
      <c r="M1009" s="15"/>
      <c r="N1009" s="16" t="s">
        <v>5135</v>
      </c>
      <c r="O1009" s="16"/>
      <c r="P1009" s="16"/>
      <c r="Q1009" s="17"/>
      <c r="R1009" s="17"/>
      <c r="S1009" s="17"/>
      <c r="T1009" s="17"/>
      <c r="U1009" s="17"/>
      <c r="V1009" s="17"/>
      <c r="W1009" s="17"/>
      <c r="X1009" s="17"/>
      <c r="Y1009" s="17"/>
    </row>
    <row r="1010" ht="18.75" customHeight="1">
      <c r="A1010" s="9">
        <v>1011.0</v>
      </c>
      <c r="B1010" s="11" t="s">
        <v>4089</v>
      </c>
      <c r="C1010" s="11" t="s">
        <v>4090</v>
      </c>
      <c r="D1010" s="11" t="s">
        <v>128</v>
      </c>
      <c r="E1010" s="11" t="s">
        <v>3665</v>
      </c>
      <c r="F1010" s="11" t="s">
        <v>6759</v>
      </c>
      <c r="G1010" s="12">
        <v>45909.0</v>
      </c>
      <c r="H1010" s="13">
        <v>45910.0</v>
      </c>
      <c r="I1010" s="11" t="s">
        <v>119</v>
      </c>
      <c r="J1010" s="11" t="s">
        <v>22</v>
      </c>
      <c r="K1010" s="14" t="s">
        <v>31</v>
      </c>
      <c r="L1010" s="11"/>
      <c r="M1010" s="15"/>
      <c r="N1010" s="16" t="s">
        <v>5135</v>
      </c>
      <c r="O1010" s="16"/>
      <c r="P1010" s="16"/>
      <c r="Q1010" s="17"/>
      <c r="R1010" s="17"/>
      <c r="S1010" s="17"/>
      <c r="T1010" s="17"/>
      <c r="U1010" s="17"/>
      <c r="V1010" s="17"/>
      <c r="W1010" s="17"/>
      <c r="X1010" s="17"/>
      <c r="Y1010" s="17"/>
    </row>
    <row r="1011" ht="18.75" customHeight="1">
      <c r="A1011" s="9">
        <v>1012.0</v>
      </c>
      <c r="B1011" s="11" t="s">
        <v>4092</v>
      </c>
      <c r="C1011" s="11" t="s">
        <v>4093</v>
      </c>
      <c r="D1011" s="11" t="s">
        <v>444</v>
      </c>
      <c r="E1011" s="11" t="s">
        <v>4094</v>
      </c>
      <c r="F1011" s="11" t="s">
        <v>6760</v>
      </c>
      <c r="G1011" s="12">
        <v>45933.0</v>
      </c>
      <c r="H1011" s="13">
        <v>45934.0</v>
      </c>
      <c r="I1011" s="11" t="s">
        <v>25</v>
      </c>
      <c r="J1011" s="11" t="s">
        <v>37</v>
      </c>
      <c r="K1011" s="14" t="s">
        <v>31</v>
      </c>
      <c r="L1011" s="11" t="s">
        <v>62</v>
      </c>
      <c r="M1011" s="15"/>
      <c r="N1011" s="16"/>
      <c r="O1011" s="16"/>
      <c r="P1011" s="16"/>
      <c r="Q1011" s="17"/>
      <c r="R1011" s="17"/>
      <c r="S1011" s="17"/>
      <c r="T1011" s="17"/>
      <c r="U1011" s="17"/>
      <c r="V1011" s="17"/>
      <c r="W1011" s="17"/>
      <c r="X1011" s="17"/>
      <c r="Y1011" s="17"/>
    </row>
    <row r="1012" ht="18.75" customHeight="1">
      <c r="A1012" s="9">
        <v>1013.0</v>
      </c>
      <c r="B1012" s="11" t="s">
        <v>4096</v>
      </c>
      <c r="C1012" s="11" t="s">
        <v>4097</v>
      </c>
      <c r="D1012" s="11" t="s">
        <v>28</v>
      </c>
      <c r="E1012" s="11" t="s">
        <v>1962</v>
      </c>
      <c r="F1012" s="11" t="s">
        <v>6761</v>
      </c>
      <c r="G1012" s="12">
        <v>45900.0</v>
      </c>
      <c r="H1012" s="13">
        <v>45901.0</v>
      </c>
      <c r="I1012" s="11" t="s">
        <v>251</v>
      </c>
      <c r="J1012" s="11" t="s">
        <v>213</v>
      </c>
      <c r="K1012" s="14" t="s">
        <v>31</v>
      </c>
      <c r="L1012" s="11"/>
      <c r="M1012" s="15"/>
      <c r="N1012" s="16" t="s">
        <v>5135</v>
      </c>
      <c r="O1012" s="16"/>
      <c r="P1012" s="16"/>
      <c r="Q1012" s="17"/>
      <c r="R1012" s="17"/>
      <c r="S1012" s="17"/>
      <c r="T1012" s="17"/>
      <c r="U1012" s="17"/>
      <c r="V1012" s="17"/>
      <c r="W1012" s="17"/>
      <c r="X1012" s="17"/>
      <c r="Y1012" s="17"/>
    </row>
    <row r="1013" ht="18.75" customHeight="1">
      <c r="A1013" s="9">
        <v>1014.0</v>
      </c>
      <c r="B1013" s="11" t="s">
        <v>4098</v>
      </c>
      <c r="C1013" s="11" t="s">
        <v>4099</v>
      </c>
      <c r="D1013" s="11" t="s">
        <v>429</v>
      </c>
      <c r="E1013" s="11" t="s">
        <v>2888</v>
      </c>
      <c r="F1013" s="11" t="s">
        <v>6762</v>
      </c>
      <c r="G1013" s="12">
        <v>45915.0</v>
      </c>
      <c r="H1013" s="13">
        <v>45916.0</v>
      </c>
      <c r="I1013" s="11" t="s">
        <v>119</v>
      </c>
      <c r="J1013" s="11" t="s">
        <v>37</v>
      </c>
      <c r="K1013" s="14" t="s">
        <v>31</v>
      </c>
      <c r="L1013" s="11" t="s">
        <v>74</v>
      </c>
      <c r="M1013" s="15"/>
      <c r="N1013" s="16" t="s">
        <v>5135</v>
      </c>
      <c r="O1013" s="16"/>
      <c r="P1013" s="16"/>
      <c r="Q1013" s="17"/>
      <c r="R1013" s="17"/>
      <c r="S1013" s="17"/>
      <c r="T1013" s="17"/>
      <c r="U1013" s="17"/>
      <c r="V1013" s="17"/>
      <c r="W1013" s="17"/>
      <c r="X1013" s="17"/>
      <c r="Y1013" s="17"/>
    </row>
    <row r="1014" ht="18.75" customHeight="1">
      <c r="A1014" s="9">
        <v>1015.0</v>
      </c>
      <c r="B1014" s="10" t="s">
        <v>474</v>
      </c>
      <c r="C1014" s="10" t="s">
        <v>4101</v>
      </c>
      <c r="D1014" s="10" t="s">
        <v>476</v>
      </c>
      <c r="E1014" s="10" t="s">
        <v>2395</v>
      </c>
      <c r="F1014" s="11" t="s">
        <v>477</v>
      </c>
      <c r="G1014" s="12">
        <v>45930.0</v>
      </c>
      <c r="H1014" s="13">
        <v>45931.0</v>
      </c>
      <c r="I1014" s="11" t="s">
        <v>21</v>
      </c>
      <c r="J1014" s="11" t="s">
        <v>22</v>
      </c>
      <c r="K1014" s="14" t="s">
        <v>531</v>
      </c>
      <c r="L1014" s="11"/>
      <c r="M1014" s="15"/>
      <c r="N1014" s="16" t="s">
        <v>5135</v>
      </c>
      <c r="O1014" s="16"/>
      <c r="P1014" s="16"/>
      <c r="Q1014" s="17"/>
      <c r="R1014" s="17"/>
      <c r="S1014" s="17"/>
      <c r="T1014" s="17"/>
      <c r="U1014" s="17"/>
      <c r="V1014" s="17"/>
      <c r="W1014" s="17"/>
      <c r="X1014" s="17"/>
      <c r="Y1014" s="17"/>
    </row>
    <row r="1015" ht="18.75" customHeight="1">
      <c r="A1015" s="9">
        <v>1016.0</v>
      </c>
      <c r="B1015" s="11" t="s">
        <v>4102</v>
      </c>
      <c r="C1015" s="11" t="s">
        <v>4103</v>
      </c>
      <c r="D1015" s="11" t="s">
        <v>1246</v>
      </c>
      <c r="E1015" s="223" t="s">
        <v>656</v>
      </c>
      <c r="F1015" s="11" t="s">
        <v>4791</v>
      </c>
      <c r="G1015" s="12">
        <v>45930.0</v>
      </c>
      <c r="H1015" s="13">
        <v>45931.0</v>
      </c>
      <c r="I1015" s="11" t="s">
        <v>25</v>
      </c>
      <c r="J1015" s="11" t="s">
        <v>37</v>
      </c>
      <c r="K1015" s="14" t="s">
        <v>31</v>
      </c>
      <c r="L1015" s="11" t="s">
        <v>50</v>
      </c>
      <c r="M1015" s="15"/>
      <c r="N1015" s="16" t="s">
        <v>5135</v>
      </c>
      <c r="O1015" s="16"/>
      <c r="P1015" s="16"/>
      <c r="Q1015" s="17"/>
      <c r="R1015" s="17"/>
      <c r="S1015" s="17"/>
      <c r="T1015" s="17"/>
      <c r="U1015" s="17"/>
      <c r="V1015" s="17"/>
      <c r="W1015" s="17"/>
      <c r="X1015" s="17"/>
      <c r="Y1015" s="17"/>
    </row>
    <row r="1016" ht="18.75" customHeight="1">
      <c r="A1016" s="9">
        <v>1017.0</v>
      </c>
      <c r="B1016" s="11" t="s">
        <v>4106</v>
      </c>
      <c r="C1016" s="11" t="s">
        <v>4107</v>
      </c>
      <c r="D1016" s="11" t="s">
        <v>1246</v>
      </c>
      <c r="E1016" s="11" t="s">
        <v>656</v>
      </c>
      <c r="F1016" s="11" t="s">
        <v>4787</v>
      </c>
      <c r="G1016" s="12">
        <v>45930.0</v>
      </c>
      <c r="H1016" s="13">
        <v>45931.0</v>
      </c>
      <c r="I1016" s="11" t="s">
        <v>25</v>
      </c>
      <c r="J1016" s="11" t="s">
        <v>22</v>
      </c>
      <c r="K1016" s="14" t="s">
        <v>31</v>
      </c>
      <c r="L1016" s="11" t="s">
        <v>97</v>
      </c>
      <c r="M1016" s="15"/>
      <c r="N1016" s="16" t="s">
        <v>5135</v>
      </c>
      <c r="O1016" s="16"/>
      <c r="P1016" s="16"/>
      <c r="Q1016" s="17"/>
      <c r="R1016" s="17"/>
      <c r="S1016" s="17"/>
      <c r="T1016" s="17"/>
      <c r="U1016" s="17"/>
      <c r="V1016" s="17"/>
      <c r="W1016" s="17"/>
      <c r="X1016" s="17"/>
      <c r="Y1016" s="17"/>
    </row>
    <row r="1017" ht="18.75" customHeight="1">
      <c r="A1017" s="9">
        <v>1018.0</v>
      </c>
      <c r="B1017" s="224" t="s">
        <v>4109</v>
      </c>
      <c r="C1017" s="224" t="s">
        <v>4110</v>
      </c>
      <c r="D1017" s="224" t="s">
        <v>173</v>
      </c>
      <c r="E1017" s="224" t="s">
        <v>236</v>
      </c>
      <c r="F1017" s="11" t="s">
        <v>6763</v>
      </c>
      <c r="G1017" s="12">
        <v>45930.0</v>
      </c>
      <c r="H1017" s="13">
        <v>45931.0</v>
      </c>
      <c r="I1017" s="11" t="s">
        <v>25</v>
      </c>
      <c r="J1017" s="11" t="s">
        <v>37</v>
      </c>
      <c r="K1017" s="14" t="s">
        <v>31</v>
      </c>
      <c r="L1017" s="11" t="s">
        <v>50</v>
      </c>
      <c r="M1017" s="15"/>
      <c r="N1017" s="16" t="s">
        <v>5135</v>
      </c>
      <c r="O1017" s="16"/>
      <c r="P1017" s="16"/>
      <c r="Q1017" s="17"/>
      <c r="R1017" s="17"/>
      <c r="S1017" s="17"/>
      <c r="T1017" s="17"/>
      <c r="U1017" s="17"/>
      <c r="V1017" s="17"/>
      <c r="W1017" s="17"/>
      <c r="X1017" s="17"/>
      <c r="Y1017" s="17"/>
    </row>
    <row r="1018" ht="18.75" customHeight="1">
      <c r="A1018" s="9">
        <v>1019.0</v>
      </c>
      <c r="B1018" s="11" t="s">
        <v>4112</v>
      </c>
      <c r="C1018" s="11" t="s">
        <v>4113</v>
      </c>
      <c r="D1018" s="11" t="s">
        <v>328</v>
      </c>
      <c r="E1018" s="11" t="s">
        <v>4114</v>
      </c>
      <c r="F1018" s="11" t="s">
        <v>4980</v>
      </c>
      <c r="G1018" s="13">
        <v>45961.0</v>
      </c>
      <c r="H1018" s="13">
        <v>45962.0</v>
      </c>
      <c r="I1018" s="11" t="s">
        <v>25</v>
      </c>
      <c r="J1018" s="11" t="s">
        <v>37</v>
      </c>
      <c r="K1018" s="14" t="s">
        <v>31</v>
      </c>
      <c r="L1018" s="11" t="s">
        <v>23</v>
      </c>
      <c r="M1018" s="15"/>
      <c r="N1018" s="16"/>
      <c r="O1018" s="16"/>
      <c r="P1018" s="16"/>
      <c r="Q1018" s="17"/>
      <c r="R1018" s="17"/>
      <c r="S1018" s="17"/>
      <c r="T1018" s="17"/>
      <c r="U1018" s="17"/>
      <c r="V1018" s="17"/>
      <c r="W1018" s="17"/>
      <c r="X1018" s="17"/>
      <c r="Y1018" s="17"/>
    </row>
    <row r="1019" ht="18.75" customHeight="1">
      <c r="A1019" s="9">
        <v>1020.0</v>
      </c>
      <c r="B1019" s="11" t="s">
        <v>4116</v>
      </c>
      <c r="C1019" s="11" t="s">
        <v>4117</v>
      </c>
      <c r="D1019" s="11" t="s">
        <v>481</v>
      </c>
      <c r="E1019" s="11" t="s">
        <v>4118</v>
      </c>
      <c r="F1019" s="11" t="s">
        <v>4826</v>
      </c>
      <c r="G1019" s="12">
        <v>45930.0</v>
      </c>
      <c r="H1019" s="13">
        <v>45931.0</v>
      </c>
      <c r="I1019" s="11" t="s">
        <v>25</v>
      </c>
      <c r="J1019" s="11" t="s">
        <v>37</v>
      </c>
      <c r="K1019" s="14" t="s">
        <v>31</v>
      </c>
      <c r="L1019" s="11" t="s">
        <v>62</v>
      </c>
      <c r="M1019" s="15"/>
      <c r="N1019" s="16" t="s">
        <v>5135</v>
      </c>
      <c r="O1019" s="16"/>
      <c r="P1019" s="16"/>
      <c r="Q1019" s="17"/>
      <c r="R1019" s="17"/>
      <c r="S1019" s="17"/>
      <c r="T1019" s="17"/>
      <c r="U1019" s="17"/>
      <c r="V1019" s="17"/>
      <c r="W1019" s="17"/>
      <c r="X1019" s="17"/>
      <c r="Y1019" s="17"/>
    </row>
    <row r="1020" ht="18.75" customHeight="1">
      <c r="A1020" s="9">
        <v>1021.0</v>
      </c>
      <c r="B1020" s="11" t="s">
        <v>4120</v>
      </c>
      <c r="C1020" s="11" t="s">
        <v>4121</v>
      </c>
      <c r="D1020" s="11" t="s">
        <v>198</v>
      </c>
      <c r="E1020" s="11" t="s">
        <v>624</v>
      </c>
      <c r="F1020" s="11" t="s">
        <v>6764</v>
      </c>
      <c r="G1020" s="12">
        <v>45907.0</v>
      </c>
      <c r="H1020" s="12">
        <v>45908.0</v>
      </c>
      <c r="I1020" s="11" t="s">
        <v>251</v>
      </c>
      <c r="J1020" s="11"/>
      <c r="K1020" s="14" t="s">
        <v>31</v>
      </c>
      <c r="L1020" s="11"/>
      <c r="M1020" s="15"/>
      <c r="N1020" s="16" t="s">
        <v>5135</v>
      </c>
      <c r="O1020" s="16"/>
      <c r="P1020" s="16"/>
      <c r="Q1020" s="17"/>
      <c r="R1020" s="17"/>
      <c r="S1020" s="17"/>
      <c r="T1020" s="17"/>
      <c r="U1020" s="17"/>
      <c r="V1020" s="17"/>
      <c r="W1020" s="17"/>
      <c r="X1020" s="17"/>
      <c r="Y1020" s="17"/>
    </row>
    <row r="1021" ht="18.75" customHeight="1">
      <c r="A1021" s="9">
        <v>1022.0</v>
      </c>
      <c r="B1021" s="11" t="s">
        <v>3848</v>
      </c>
      <c r="C1021" s="11" t="s">
        <v>4122</v>
      </c>
      <c r="D1021" s="11" t="s">
        <v>122</v>
      </c>
      <c r="E1021" s="11" t="s">
        <v>111</v>
      </c>
      <c r="F1021" s="11" t="s">
        <v>6678</v>
      </c>
      <c r="G1021" s="12">
        <v>45925.0</v>
      </c>
      <c r="H1021" s="13">
        <v>45926.0</v>
      </c>
      <c r="I1021" s="11" t="s">
        <v>25</v>
      </c>
      <c r="J1021" s="11" t="s">
        <v>37</v>
      </c>
      <c r="K1021" s="14" t="s">
        <v>31</v>
      </c>
      <c r="L1021" s="11" t="s">
        <v>50</v>
      </c>
      <c r="M1021" s="11" t="s">
        <v>6414</v>
      </c>
      <c r="N1021" s="16" t="s">
        <v>5135</v>
      </c>
      <c r="O1021" s="16"/>
      <c r="P1021" s="16"/>
      <c r="Q1021" s="17"/>
      <c r="R1021" s="17"/>
      <c r="S1021" s="17"/>
      <c r="T1021" s="17"/>
      <c r="U1021" s="17"/>
      <c r="V1021" s="17"/>
      <c r="W1021" s="17"/>
      <c r="X1021" s="17"/>
      <c r="Y1021" s="17"/>
    </row>
    <row r="1022" ht="18.75" customHeight="1">
      <c r="A1022" s="9">
        <v>1023.0</v>
      </c>
      <c r="B1022" s="11" t="s">
        <v>4124</v>
      </c>
      <c r="C1022" s="11" t="s">
        <v>4125</v>
      </c>
      <c r="D1022" s="11" t="s">
        <v>71</v>
      </c>
      <c r="E1022" s="11" t="s">
        <v>2461</v>
      </c>
      <c r="F1022" s="11" t="s">
        <v>6765</v>
      </c>
      <c r="G1022" s="12">
        <v>45916.0</v>
      </c>
      <c r="H1022" s="13">
        <v>45917.0</v>
      </c>
      <c r="I1022" s="11" t="s">
        <v>251</v>
      </c>
      <c r="J1022" s="11" t="s">
        <v>213</v>
      </c>
      <c r="K1022" s="14" t="s">
        <v>31</v>
      </c>
      <c r="L1022" s="11"/>
      <c r="M1022" s="15"/>
      <c r="N1022" s="16" t="s">
        <v>5135</v>
      </c>
      <c r="O1022" s="16"/>
      <c r="P1022" s="16"/>
      <c r="Q1022" s="17"/>
      <c r="R1022" s="17"/>
      <c r="S1022" s="17"/>
      <c r="T1022" s="17"/>
      <c r="U1022" s="17"/>
      <c r="V1022" s="17"/>
      <c r="W1022" s="17"/>
      <c r="X1022" s="17"/>
      <c r="Y1022" s="17"/>
    </row>
    <row r="1023" ht="18.75" customHeight="1">
      <c r="A1023" s="9">
        <v>1024.0</v>
      </c>
      <c r="B1023" s="11" t="s">
        <v>4127</v>
      </c>
      <c r="C1023" s="11" t="s">
        <v>4128</v>
      </c>
      <c r="D1023" s="11" t="s">
        <v>646</v>
      </c>
      <c r="E1023" s="11" t="s">
        <v>3973</v>
      </c>
      <c r="F1023" s="11" t="s">
        <v>6766</v>
      </c>
      <c r="G1023" s="12">
        <v>45940.0</v>
      </c>
      <c r="H1023" s="13">
        <v>45941.0</v>
      </c>
      <c r="I1023" s="11" t="s">
        <v>25</v>
      </c>
      <c r="J1023" s="11" t="s">
        <v>37</v>
      </c>
      <c r="K1023" s="14" t="s">
        <v>31</v>
      </c>
      <c r="L1023" s="11" t="s">
        <v>38</v>
      </c>
      <c r="M1023" s="15"/>
      <c r="N1023" s="16"/>
      <c r="O1023" s="16"/>
      <c r="P1023" s="16"/>
      <c r="Q1023" s="17"/>
      <c r="R1023" s="17"/>
      <c r="S1023" s="17"/>
      <c r="T1023" s="17"/>
      <c r="U1023" s="17"/>
      <c r="V1023" s="17"/>
      <c r="W1023" s="17"/>
      <c r="X1023" s="17"/>
      <c r="Y1023" s="17"/>
    </row>
    <row r="1024" ht="18.75" customHeight="1">
      <c r="A1024" s="9">
        <v>1025.0</v>
      </c>
      <c r="B1024" s="10" t="s">
        <v>4130</v>
      </c>
      <c r="C1024" s="10" t="s">
        <v>4131</v>
      </c>
      <c r="D1024" s="10" t="s">
        <v>122</v>
      </c>
      <c r="E1024" s="10" t="s">
        <v>2757</v>
      </c>
      <c r="F1024" s="11" t="s">
        <v>5049</v>
      </c>
      <c r="G1024" s="12">
        <v>45930.0</v>
      </c>
      <c r="H1024" s="13">
        <v>45931.0</v>
      </c>
      <c r="I1024" s="11" t="s">
        <v>21</v>
      </c>
      <c r="J1024" s="11" t="s">
        <v>22</v>
      </c>
      <c r="K1024" s="14"/>
      <c r="L1024" s="11"/>
      <c r="M1024" s="15"/>
      <c r="N1024" s="16"/>
      <c r="O1024" s="16"/>
      <c r="P1024" s="16"/>
      <c r="Q1024" s="17"/>
      <c r="R1024" s="17"/>
      <c r="S1024" s="17"/>
      <c r="T1024" s="17"/>
      <c r="U1024" s="17"/>
      <c r="V1024" s="17"/>
      <c r="W1024" s="17"/>
      <c r="X1024" s="17"/>
      <c r="Y1024" s="17"/>
    </row>
    <row r="1025" ht="18.75" customHeight="1">
      <c r="A1025" s="9">
        <v>1026.0</v>
      </c>
      <c r="B1025" s="11" t="s">
        <v>4133</v>
      </c>
      <c r="C1025" s="11" t="s">
        <v>4134</v>
      </c>
      <c r="D1025" s="11" t="s">
        <v>414</v>
      </c>
      <c r="E1025" s="11" t="s">
        <v>3292</v>
      </c>
      <c r="F1025" s="11" t="s">
        <v>6767</v>
      </c>
      <c r="G1025" s="12">
        <v>45912.0</v>
      </c>
      <c r="H1025" s="13">
        <v>45913.0</v>
      </c>
      <c r="I1025" s="11" t="s">
        <v>119</v>
      </c>
      <c r="J1025" s="11" t="s">
        <v>22</v>
      </c>
      <c r="K1025" s="14" t="s">
        <v>31</v>
      </c>
      <c r="L1025" s="11"/>
      <c r="M1025" s="15"/>
      <c r="N1025" s="16" t="s">
        <v>5135</v>
      </c>
      <c r="O1025" s="16"/>
      <c r="P1025" s="16"/>
      <c r="Q1025" s="17"/>
      <c r="R1025" s="17"/>
      <c r="S1025" s="17"/>
      <c r="T1025" s="17"/>
      <c r="U1025" s="17"/>
      <c r="V1025" s="17"/>
      <c r="W1025" s="17"/>
      <c r="X1025" s="17"/>
      <c r="Y1025" s="17"/>
    </row>
    <row r="1026" ht="18.75" customHeight="1">
      <c r="A1026" s="9">
        <v>1027.0</v>
      </c>
      <c r="B1026" s="11" t="s">
        <v>4136</v>
      </c>
      <c r="C1026" s="11" t="s">
        <v>4137</v>
      </c>
      <c r="D1026" s="11" t="s">
        <v>128</v>
      </c>
      <c r="E1026" s="11" t="s">
        <v>129</v>
      </c>
      <c r="F1026" s="11" t="s">
        <v>6768</v>
      </c>
      <c r="G1026" s="12">
        <v>45911.0</v>
      </c>
      <c r="H1026" s="13">
        <v>45912.0</v>
      </c>
      <c r="I1026" s="11" t="s">
        <v>119</v>
      </c>
      <c r="J1026" s="11" t="s">
        <v>37</v>
      </c>
      <c r="K1026" s="14" t="s">
        <v>31</v>
      </c>
      <c r="L1026" s="11" t="s">
        <v>74</v>
      </c>
      <c r="M1026" s="15"/>
      <c r="N1026" s="16" t="s">
        <v>5135</v>
      </c>
      <c r="O1026" s="16"/>
      <c r="P1026" s="16"/>
      <c r="Q1026" s="17"/>
      <c r="R1026" s="17"/>
      <c r="S1026" s="17"/>
      <c r="T1026" s="17"/>
      <c r="U1026" s="17"/>
      <c r="V1026" s="17"/>
      <c r="W1026" s="17"/>
      <c r="X1026" s="17"/>
      <c r="Y1026" s="17"/>
    </row>
    <row r="1027" ht="18.75" customHeight="1">
      <c r="A1027" s="9">
        <v>1028.0</v>
      </c>
      <c r="B1027" s="11" t="s">
        <v>4139</v>
      </c>
      <c r="C1027" s="11" t="s">
        <v>4140</v>
      </c>
      <c r="D1027" s="11" t="s">
        <v>122</v>
      </c>
      <c r="E1027" s="11" t="s">
        <v>2468</v>
      </c>
      <c r="F1027" s="11" t="s">
        <v>6769</v>
      </c>
      <c r="G1027" s="12">
        <v>45940.0</v>
      </c>
      <c r="H1027" s="13">
        <v>45941.0</v>
      </c>
      <c r="I1027" s="11" t="s">
        <v>25</v>
      </c>
      <c r="J1027" s="11" t="s">
        <v>22</v>
      </c>
      <c r="K1027" s="14" t="s">
        <v>31</v>
      </c>
      <c r="L1027" s="11"/>
      <c r="M1027" s="15"/>
      <c r="N1027" s="16"/>
      <c r="O1027" s="16"/>
      <c r="P1027" s="16"/>
      <c r="Q1027" s="17"/>
      <c r="R1027" s="17"/>
      <c r="S1027" s="17"/>
      <c r="T1027" s="17"/>
      <c r="U1027" s="17"/>
      <c r="V1027" s="17"/>
      <c r="W1027" s="17"/>
      <c r="X1027" s="17"/>
      <c r="Y1027" s="17"/>
    </row>
    <row r="1028" ht="18.75" customHeight="1">
      <c r="A1028" s="9">
        <v>1029.0</v>
      </c>
      <c r="B1028" s="11" t="s">
        <v>4142</v>
      </c>
      <c r="C1028" s="11" t="s">
        <v>4143</v>
      </c>
      <c r="D1028" s="11" t="s">
        <v>4144</v>
      </c>
      <c r="E1028" s="11" t="s">
        <v>4145</v>
      </c>
      <c r="F1028" s="11" t="s">
        <v>6770</v>
      </c>
      <c r="G1028" s="13">
        <v>45945.0</v>
      </c>
      <c r="H1028" s="13">
        <v>45946.0</v>
      </c>
      <c r="I1028" s="11" t="s">
        <v>25</v>
      </c>
      <c r="J1028" s="11" t="s">
        <v>37</v>
      </c>
      <c r="K1028" s="14" t="s">
        <v>31</v>
      </c>
      <c r="L1028" s="11" t="s">
        <v>62</v>
      </c>
      <c r="M1028" s="15"/>
      <c r="N1028" s="16"/>
      <c r="O1028" s="16"/>
      <c r="P1028" s="16"/>
      <c r="Q1028" s="17"/>
      <c r="R1028" s="17"/>
      <c r="S1028" s="17"/>
      <c r="T1028" s="17"/>
      <c r="U1028" s="17"/>
      <c r="V1028" s="17"/>
      <c r="W1028" s="17"/>
      <c r="X1028" s="17"/>
      <c r="Y1028" s="17"/>
    </row>
    <row r="1029" ht="18.75" customHeight="1">
      <c r="A1029" s="9">
        <v>1030.0</v>
      </c>
      <c r="B1029" s="11" t="s">
        <v>4147</v>
      </c>
      <c r="C1029" s="11" t="s">
        <v>4148</v>
      </c>
      <c r="D1029" s="11" t="s">
        <v>636</v>
      </c>
      <c r="E1029" s="11" t="s">
        <v>4149</v>
      </c>
      <c r="F1029" s="11" t="s">
        <v>6771</v>
      </c>
      <c r="G1029" s="12">
        <v>45930.0</v>
      </c>
      <c r="H1029" s="13">
        <v>45931.0</v>
      </c>
      <c r="I1029" s="11" t="s">
        <v>119</v>
      </c>
      <c r="J1029" s="11" t="s">
        <v>37</v>
      </c>
      <c r="K1029" s="14" t="s">
        <v>31</v>
      </c>
      <c r="L1029" s="11" t="s">
        <v>62</v>
      </c>
      <c r="M1029" s="11" t="s">
        <v>6772</v>
      </c>
      <c r="N1029" s="16"/>
      <c r="O1029" s="16"/>
      <c r="P1029" s="16"/>
      <c r="Q1029" s="17"/>
      <c r="R1029" s="17"/>
      <c r="S1029" s="17"/>
      <c r="T1029" s="17"/>
      <c r="U1029" s="17"/>
      <c r="V1029" s="17"/>
      <c r="W1029" s="17"/>
      <c r="X1029" s="17"/>
      <c r="Y1029" s="17"/>
    </row>
    <row r="1030" ht="18.75" customHeight="1">
      <c r="A1030" s="9">
        <v>1031.0</v>
      </c>
      <c r="B1030" s="11" t="s">
        <v>4151</v>
      </c>
      <c r="C1030" s="11" t="s">
        <v>4152</v>
      </c>
      <c r="D1030" s="11" t="s">
        <v>198</v>
      </c>
      <c r="E1030" s="11" t="s">
        <v>199</v>
      </c>
      <c r="F1030" s="11" t="s">
        <v>6773</v>
      </c>
      <c r="G1030" s="12">
        <v>45918.0</v>
      </c>
      <c r="H1030" s="13">
        <v>45919.0</v>
      </c>
      <c r="I1030" s="11" t="s">
        <v>251</v>
      </c>
      <c r="J1030" s="11" t="s">
        <v>213</v>
      </c>
      <c r="K1030" s="14" t="s">
        <v>31</v>
      </c>
      <c r="L1030" s="11"/>
      <c r="M1030" s="15"/>
      <c r="N1030" s="16" t="s">
        <v>5135</v>
      </c>
      <c r="O1030" s="16"/>
      <c r="P1030" s="16"/>
      <c r="Q1030" s="17"/>
      <c r="R1030" s="17"/>
      <c r="S1030" s="17"/>
      <c r="T1030" s="17"/>
      <c r="U1030" s="17"/>
      <c r="V1030" s="17"/>
      <c r="W1030" s="17"/>
      <c r="X1030" s="17"/>
      <c r="Y1030" s="17"/>
    </row>
    <row r="1031" ht="18.75" customHeight="1">
      <c r="A1031" s="9">
        <v>1032.0</v>
      </c>
      <c r="B1031" s="11" t="s">
        <v>4153</v>
      </c>
      <c r="C1031" s="11" t="s">
        <v>4154</v>
      </c>
      <c r="D1031" s="11" t="s">
        <v>122</v>
      </c>
      <c r="E1031" s="11" t="s">
        <v>3292</v>
      </c>
      <c r="F1031" s="11" t="s">
        <v>6774</v>
      </c>
      <c r="G1031" s="12">
        <v>45930.0</v>
      </c>
      <c r="H1031" s="13">
        <v>45931.0</v>
      </c>
      <c r="I1031" s="11" t="s">
        <v>119</v>
      </c>
      <c r="J1031" s="11" t="s">
        <v>37</v>
      </c>
      <c r="K1031" s="14" t="s">
        <v>31</v>
      </c>
      <c r="L1031" s="11" t="s">
        <v>50</v>
      </c>
      <c r="M1031" s="15"/>
      <c r="N1031" s="16" t="s">
        <v>5135</v>
      </c>
      <c r="O1031" s="16"/>
      <c r="P1031" s="16"/>
      <c r="Q1031" s="17"/>
      <c r="R1031" s="17"/>
      <c r="S1031" s="17"/>
      <c r="T1031" s="17"/>
      <c r="U1031" s="17"/>
      <c r="V1031" s="17"/>
      <c r="W1031" s="17"/>
      <c r="X1031" s="17"/>
      <c r="Y1031" s="17"/>
    </row>
    <row r="1032" ht="18.75" customHeight="1">
      <c r="A1032" s="9">
        <v>1033.0</v>
      </c>
      <c r="B1032" s="11" t="s">
        <v>4156</v>
      </c>
      <c r="C1032" s="11" t="s">
        <v>4157</v>
      </c>
      <c r="D1032" s="11" t="s">
        <v>122</v>
      </c>
      <c r="E1032" s="11" t="s">
        <v>4158</v>
      </c>
      <c r="F1032" s="11" t="s">
        <v>6775</v>
      </c>
      <c r="G1032" s="13">
        <v>45941.0</v>
      </c>
      <c r="H1032" s="13">
        <v>45942.0</v>
      </c>
      <c r="I1032" s="11" t="s">
        <v>251</v>
      </c>
      <c r="J1032" s="11" t="s">
        <v>37</v>
      </c>
      <c r="K1032" s="14" t="s">
        <v>31</v>
      </c>
      <c r="L1032" s="11" t="s">
        <v>62</v>
      </c>
      <c r="M1032" s="15"/>
      <c r="N1032" s="16"/>
      <c r="O1032" s="16"/>
      <c r="P1032" s="16"/>
      <c r="Q1032" s="17"/>
      <c r="R1032" s="17"/>
      <c r="S1032" s="17"/>
      <c r="T1032" s="17"/>
      <c r="U1032" s="17"/>
      <c r="V1032" s="17"/>
      <c r="W1032" s="17"/>
      <c r="X1032" s="17"/>
      <c r="Y1032" s="17"/>
    </row>
    <row r="1033" ht="18.75" customHeight="1">
      <c r="A1033" s="9">
        <v>1034.0</v>
      </c>
      <c r="B1033" s="11" t="s">
        <v>4160</v>
      </c>
      <c r="C1033" s="11" t="s">
        <v>4161</v>
      </c>
      <c r="D1033" s="11" t="s">
        <v>128</v>
      </c>
      <c r="E1033" s="11" t="s">
        <v>4162</v>
      </c>
      <c r="F1033" s="11" t="s">
        <v>6776</v>
      </c>
      <c r="G1033" s="12">
        <v>45930.0</v>
      </c>
      <c r="H1033" s="13">
        <v>45931.0</v>
      </c>
      <c r="I1033" s="11" t="s">
        <v>119</v>
      </c>
      <c r="J1033" s="11" t="s">
        <v>37</v>
      </c>
      <c r="K1033" s="14" t="s">
        <v>31</v>
      </c>
      <c r="L1033" s="11" t="s">
        <v>62</v>
      </c>
      <c r="M1033" s="11" t="s">
        <v>6777</v>
      </c>
      <c r="N1033" s="16" t="s">
        <v>5135</v>
      </c>
      <c r="O1033" s="16"/>
      <c r="P1033" s="16"/>
      <c r="Q1033" s="17"/>
      <c r="R1033" s="17"/>
      <c r="S1033" s="17"/>
      <c r="T1033" s="17"/>
      <c r="U1033" s="17"/>
      <c r="V1033" s="17"/>
      <c r="W1033" s="17"/>
      <c r="X1033" s="17"/>
      <c r="Y1033" s="17"/>
    </row>
    <row r="1034" ht="18.75" customHeight="1">
      <c r="A1034" s="9">
        <v>1035.0</v>
      </c>
      <c r="B1034" s="11" t="s">
        <v>4164</v>
      </c>
      <c r="C1034" s="11" t="s">
        <v>4165</v>
      </c>
      <c r="D1034" s="11" t="s">
        <v>42</v>
      </c>
      <c r="E1034" s="11" t="s">
        <v>2388</v>
      </c>
      <c r="F1034" s="11" t="s">
        <v>6778</v>
      </c>
      <c r="G1034" s="13">
        <v>45953.0</v>
      </c>
      <c r="H1034" s="13">
        <v>45954.0</v>
      </c>
      <c r="I1034" s="11" t="s">
        <v>25</v>
      </c>
      <c r="J1034" s="11" t="s">
        <v>22</v>
      </c>
      <c r="K1034" s="14" t="s">
        <v>31</v>
      </c>
      <c r="L1034" s="11"/>
      <c r="M1034" s="15"/>
      <c r="N1034" s="16"/>
      <c r="O1034" s="16"/>
      <c r="P1034" s="16"/>
      <c r="Q1034" s="17"/>
      <c r="R1034" s="17"/>
      <c r="S1034" s="17"/>
      <c r="T1034" s="17"/>
      <c r="U1034" s="17"/>
      <c r="V1034" s="17"/>
      <c r="W1034" s="17"/>
      <c r="X1034" s="17"/>
      <c r="Y1034" s="17"/>
    </row>
    <row r="1035" ht="18.75" customHeight="1">
      <c r="A1035" s="9">
        <v>1036.0</v>
      </c>
      <c r="B1035" s="11" t="s">
        <v>4167</v>
      </c>
      <c r="C1035" s="11" t="s">
        <v>4168</v>
      </c>
      <c r="D1035" s="11" t="s">
        <v>342</v>
      </c>
      <c r="E1035" s="11" t="s">
        <v>3059</v>
      </c>
      <c r="F1035" s="11" t="s">
        <v>6779</v>
      </c>
      <c r="G1035" s="13">
        <v>45961.0</v>
      </c>
      <c r="H1035" s="13">
        <v>45962.0</v>
      </c>
      <c r="I1035" s="11" t="s">
        <v>25</v>
      </c>
      <c r="J1035" s="11" t="s">
        <v>37</v>
      </c>
      <c r="K1035" s="14" t="s">
        <v>31</v>
      </c>
      <c r="L1035" s="11" t="s">
        <v>97</v>
      </c>
      <c r="M1035" s="11" t="s">
        <v>6780</v>
      </c>
      <c r="N1035" s="16"/>
      <c r="O1035" s="16"/>
      <c r="P1035" s="16"/>
      <c r="Q1035" s="17"/>
      <c r="R1035" s="17"/>
      <c r="S1035" s="17"/>
      <c r="T1035" s="17"/>
      <c r="U1035" s="17"/>
      <c r="V1035" s="17"/>
      <c r="W1035" s="17"/>
      <c r="X1035" s="17"/>
      <c r="Y1035" s="17"/>
    </row>
    <row r="1036" ht="18.75" customHeight="1">
      <c r="A1036" s="9">
        <v>1037.0</v>
      </c>
      <c r="B1036" s="11" t="s">
        <v>4170</v>
      </c>
      <c r="C1036" s="11" t="s">
        <v>4171</v>
      </c>
      <c r="D1036" s="11" t="s">
        <v>4172</v>
      </c>
      <c r="E1036" s="11" t="s">
        <v>4173</v>
      </c>
      <c r="F1036" s="11" t="s">
        <v>6781</v>
      </c>
      <c r="G1036" s="13">
        <v>45961.0</v>
      </c>
      <c r="H1036" s="13">
        <v>45962.0</v>
      </c>
      <c r="I1036" s="11" t="s">
        <v>25</v>
      </c>
      <c r="J1036" s="11" t="s">
        <v>37</v>
      </c>
      <c r="K1036" s="14" t="s">
        <v>31</v>
      </c>
      <c r="L1036" s="11" t="s">
        <v>50</v>
      </c>
      <c r="M1036" s="11" t="s">
        <v>6782</v>
      </c>
      <c r="N1036" s="16"/>
      <c r="O1036" s="16"/>
      <c r="P1036" s="16"/>
      <c r="Q1036" s="17"/>
      <c r="R1036" s="17"/>
      <c r="S1036" s="17"/>
      <c r="T1036" s="17"/>
      <c r="U1036" s="17"/>
      <c r="V1036" s="17"/>
      <c r="W1036" s="17"/>
      <c r="X1036" s="17"/>
      <c r="Y1036" s="17"/>
    </row>
    <row r="1037" ht="18.75" customHeight="1">
      <c r="A1037" s="9">
        <v>1038.0</v>
      </c>
      <c r="B1037" s="11" t="s">
        <v>4175</v>
      </c>
      <c r="C1037" s="11" t="s">
        <v>4176</v>
      </c>
      <c r="D1037" s="11" t="s">
        <v>122</v>
      </c>
      <c r="E1037" s="11" t="s">
        <v>2483</v>
      </c>
      <c r="F1037" s="11" t="s">
        <v>6783</v>
      </c>
      <c r="G1037" s="12">
        <v>45918.0</v>
      </c>
      <c r="H1037" s="12">
        <v>45919.0</v>
      </c>
      <c r="I1037" s="11" t="s">
        <v>251</v>
      </c>
      <c r="J1037" s="11" t="s">
        <v>213</v>
      </c>
      <c r="K1037" s="14" t="s">
        <v>31</v>
      </c>
      <c r="L1037" s="11"/>
      <c r="M1037" s="15"/>
      <c r="N1037" s="16" t="s">
        <v>5135</v>
      </c>
      <c r="O1037" s="16"/>
      <c r="P1037" s="16"/>
      <c r="Q1037" s="17"/>
      <c r="R1037" s="17"/>
      <c r="S1037" s="17"/>
      <c r="T1037" s="17"/>
      <c r="U1037" s="17"/>
      <c r="V1037" s="17"/>
      <c r="W1037" s="17"/>
      <c r="X1037" s="17"/>
      <c r="Y1037" s="17"/>
    </row>
    <row r="1038" ht="18.75" customHeight="1">
      <c r="A1038" s="9">
        <v>1039.0</v>
      </c>
      <c r="B1038" s="10" t="s">
        <v>737</v>
      </c>
      <c r="C1038" s="10" t="s">
        <v>738</v>
      </c>
      <c r="D1038" s="10" t="s">
        <v>128</v>
      </c>
      <c r="E1038" s="10" t="s">
        <v>3687</v>
      </c>
      <c r="F1038" s="11" t="s">
        <v>739</v>
      </c>
      <c r="G1038" s="12">
        <v>45930.0</v>
      </c>
      <c r="H1038" s="13">
        <v>45931.0</v>
      </c>
      <c r="I1038" s="11" t="s">
        <v>21</v>
      </c>
      <c r="J1038" s="11" t="s">
        <v>22</v>
      </c>
      <c r="K1038" s="14"/>
      <c r="L1038" s="11"/>
      <c r="M1038" s="15"/>
      <c r="N1038" s="16" t="s">
        <v>5135</v>
      </c>
      <c r="O1038" s="16"/>
      <c r="P1038" s="16"/>
      <c r="Q1038" s="17"/>
      <c r="R1038" s="17"/>
      <c r="S1038" s="17"/>
      <c r="T1038" s="17"/>
      <c r="U1038" s="17"/>
      <c r="V1038" s="17"/>
      <c r="W1038" s="17"/>
      <c r="X1038" s="17"/>
      <c r="Y1038" s="17"/>
    </row>
    <row r="1039" ht="18.75" customHeight="1">
      <c r="A1039" s="9">
        <v>1040.0</v>
      </c>
      <c r="B1039" s="11" t="s">
        <v>4178</v>
      </c>
      <c r="C1039" s="11" t="s">
        <v>4179</v>
      </c>
      <c r="D1039" s="11" t="s">
        <v>173</v>
      </c>
      <c r="E1039" s="11" t="s">
        <v>4180</v>
      </c>
      <c r="F1039" s="11" t="s">
        <v>6784</v>
      </c>
      <c r="G1039" s="13">
        <v>45945.0</v>
      </c>
      <c r="H1039" s="13">
        <v>45946.0</v>
      </c>
      <c r="I1039" s="11" t="s">
        <v>119</v>
      </c>
      <c r="J1039" s="11" t="s">
        <v>37</v>
      </c>
      <c r="K1039" s="14" t="s">
        <v>31</v>
      </c>
      <c r="L1039" s="11" t="s">
        <v>86</v>
      </c>
      <c r="M1039" s="15"/>
      <c r="N1039" s="16"/>
      <c r="O1039" s="16"/>
      <c r="P1039" s="16"/>
      <c r="Q1039" s="17"/>
      <c r="R1039" s="17"/>
      <c r="S1039" s="17"/>
      <c r="T1039" s="17"/>
      <c r="U1039" s="17"/>
      <c r="V1039" s="17"/>
      <c r="W1039" s="17"/>
      <c r="X1039" s="17"/>
      <c r="Y1039" s="17"/>
    </row>
    <row r="1040" ht="18.75" customHeight="1">
      <c r="A1040" s="9">
        <v>1041.0</v>
      </c>
      <c r="B1040" s="11" t="s">
        <v>4182</v>
      </c>
      <c r="C1040" s="11" t="s">
        <v>4183</v>
      </c>
      <c r="D1040" s="11" t="s">
        <v>128</v>
      </c>
      <c r="E1040" s="11" t="s">
        <v>2499</v>
      </c>
      <c r="F1040" s="11" t="s">
        <v>6785</v>
      </c>
      <c r="G1040" s="12">
        <v>45930.0</v>
      </c>
      <c r="H1040" s="13">
        <v>45931.0</v>
      </c>
      <c r="I1040" s="11" t="s">
        <v>119</v>
      </c>
      <c r="J1040" s="11" t="s">
        <v>22</v>
      </c>
      <c r="K1040" s="14" t="s">
        <v>31</v>
      </c>
      <c r="L1040" s="11"/>
      <c r="M1040" s="15"/>
      <c r="N1040" s="16" t="s">
        <v>5135</v>
      </c>
      <c r="O1040" s="16"/>
      <c r="P1040" s="16"/>
      <c r="Q1040" s="17"/>
      <c r="R1040" s="17"/>
      <c r="S1040" s="17"/>
      <c r="T1040" s="17"/>
      <c r="U1040" s="17"/>
      <c r="V1040" s="17"/>
      <c r="W1040" s="17"/>
      <c r="X1040" s="17"/>
      <c r="Y1040" s="17"/>
    </row>
    <row r="1041" ht="18.75" customHeight="1">
      <c r="A1041" s="9">
        <v>1042.0</v>
      </c>
      <c r="B1041" s="11" t="s">
        <v>4185</v>
      </c>
      <c r="C1041" s="11" t="s">
        <v>4186</v>
      </c>
      <c r="D1041" s="11" t="s">
        <v>1305</v>
      </c>
      <c r="E1041" s="11" t="s">
        <v>1109</v>
      </c>
      <c r="F1041" s="11" t="s">
        <v>6786</v>
      </c>
      <c r="G1041" s="13">
        <v>45961.0</v>
      </c>
      <c r="H1041" s="13">
        <v>45962.0</v>
      </c>
      <c r="I1041" s="11" t="s">
        <v>25</v>
      </c>
      <c r="J1041" s="11" t="s">
        <v>37</v>
      </c>
      <c r="K1041" s="14" t="s">
        <v>31</v>
      </c>
      <c r="L1041" s="11" t="s">
        <v>38</v>
      </c>
      <c r="M1041" s="15"/>
      <c r="N1041" s="16"/>
      <c r="O1041" s="16"/>
      <c r="P1041" s="16"/>
      <c r="Q1041" s="17"/>
      <c r="R1041" s="17"/>
      <c r="S1041" s="17"/>
      <c r="T1041" s="17"/>
      <c r="U1041" s="17"/>
      <c r="V1041" s="17"/>
      <c r="W1041" s="17"/>
      <c r="X1041" s="17"/>
      <c r="Y1041" s="17"/>
    </row>
    <row r="1042" ht="18.75" customHeight="1">
      <c r="A1042" s="9">
        <v>1043.0</v>
      </c>
      <c r="B1042" s="225" t="s">
        <v>4188</v>
      </c>
      <c r="C1042" s="11" t="s">
        <v>4189</v>
      </c>
      <c r="D1042" s="11" t="s">
        <v>59</v>
      </c>
      <c r="E1042" s="11" t="s">
        <v>4190</v>
      </c>
      <c r="F1042" s="11" t="s">
        <v>6787</v>
      </c>
      <c r="G1042" s="13">
        <v>45961.0</v>
      </c>
      <c r="H1042" s="13">
        <v>45962.0</v>
      </c>
      <c r="I1042" s="11" t="s">
        <v>25</v>
      </c>
      <c r="J1042" s="11" t="s">
        <v>37</v>
      </c>
      <c r="K1042" s="14" t="s">
        <v>31</v>
      </c>
      <c r="L1042" s="11" t="s">
        <v>50</v>
      </c>
      <c r="M1042" s="15"/>
      <c r="N1042" s="16"/>
      <c r="O1042" s="16"/>
      <c r="P1042" s="16"/>
      <c r="Q1042" s="17"/>
      <c r="R1042" s="17"/>
      <c r="S1042" s="17"/>
      <c r="T1042" s="17"/>
      <c r="U1042" s="17"/>
      <c r="V1042" s="17"/>
      <c r="W1042" s="17"/>
      <c r="X1042" s="17"/>
      <c r="Y1042" s="17"/>
    </row>
    <row r="1043" ht="18.75" customHeight="1">
      <c r="A1043" s="9">
        <v>1044.0</v>
      </c>
      <c r="B1043" s="11" t="s">
        <v>4192</v>
      </c>
      <c r="C1043" s="11" t="s">
        <v>4193</v>
      </c>
      <c r="D1043" s="11" t="s">
        <v>122</v>
      </c>
      <c r="E1043" s="11" t="s">
        <v>2380</v>
      </c>
      <c r="F1043" s="11" t="s">
        <v>6788</v>
      </c>
      <c r="G1043" s="13">
        <v>45961.0</v>
      </c>
      <c r="H1043" s="13">
        <v>45962.0</v>
      </c>
      <c r="I1043" s="11" t="s">
        <v>25</v>
      </c>
      <c r="J1043" s="11" t="s">
        <v>22</v>
      </c>
      <c r="K1043" s="14" t="s">
        <v>31</v>
      </c>
      <c r="L1043" s="11"/>
      <c r="M1043" s="15"/>
      <c r="N1043" s="16"/>
      <c r="O1043" s="16"/>
      <c r="P1043" s="16"/>
      <c r="Q1043" s="17"/>
      <c r="R1043" s="17"/>
      <c r="S1043" s="17"/>
      <c r="T1043" s="17"/>
      <c r="U1043" s="17"/>
      <c r="V1043" s="17"/>
      <c r="W1043" s="17"/>
      <c r="X1043" s="17"/>
      <c r="Y1043" s="17"/>
    </row>
    <row r="1044" ht="18.75" customHeight="1">
      <c r="A1044" s="9">
        <v>1045.0</v>
      </c>
      <c r="B1044" s="221" t="s">
        <v>4195</v>
      </c>
      <c r="C1044" s="10" t="s">
        <v>4196</v>
      </c>
      <c r="D1044" s="10" t="s">
        <v>128</v>
      </c>
      <c r="E1044" s="10" t="s">
        <v>2380</v>
      </c>
      <c r="F1044" s="11" t="s">
        <v>6789</v>
      </c>
      <c r="G1044" s="13">
        <v>45959.0</v>
      </c>
      <c r="H1044" s="13">
        <v>45960.0</v>
      </c>
      <c r="I1044" s="11" t="s">
        <v>21</v>
      </c>
      <c r="J1044" s="11" t="s">
        <v>22</v>
      </c>
      <c r="K1044" s="14"/>
      <c r="L1044" s="11"/>
      <c r="M1044" s="15"/>
      <c r="N1044" s="16"/>
      <c r="O1044" s="16"/>
      <c r="P1044" s="16"/>
      <c r="Q1044" s="17"/>
      <c r="R1044" s="17"/>
      <c r="S1044" s="17"/>
      <c r="T1044" s="17"/>
      <c r="U1044" s="17"/>
      <c r="V1044" s="17"/>
      <c r="W1044" s="17"/>
      <c r="X1044" s="17"/>
      <c r="Y1044" s="17"/>
    </row>
    <row r="1045" ht="18.75" customHeight="1">
      <c r="A1045" s="9">
        <v>1047.0</v>
      </c>
      <c r="B1045" s="11" t="s">
        <v>4199</v>
      </c>
      <c r="C1045" s="11" t="s">
        <v>4200</v>
      </c>
      <c r="D1045" s="11" t="s">
        <v>122</v>
      </c>
      <c r="E1045" s="11" t="s">
        <v>249</v>
      </c>
      <c r="F1045" s="11" t="s">
        <v>6790</v>
      </c>
      <c r="G1045" s="12">
        <v>45930.0</v>
      </c>
      <c r="H1045" s="13">
        <v>45931.0</v>
      </c>
      <c r="I1045" s="11" t="s">
        <v>119</v>
      </c>
      <c r="J1045" s="11" t="s">
        <v>37</v>
      </c>
      <c r="K1045" s="14" t="s">
        <v>31</v>
      </c>
      <c r="L1045" s="11" t="s">
        <v>62</v>
      </c>
      <c r="M1045" s="11" t="s">
        <v>6791</v>
      </c>
      <c r="N1045" s="16"/>
      <c r="O1045" s="16"/>
      <c r="P1045" s="16"/>
      <c r="Q1045" s="17"/>
      <c r="R1045" s="17"/>
      <c r="S1045" s="17"/>
      <c r="T1045" s="17"/>
      <c r="U1045" s="17"/>
      <c r="V1045" s="17"/>
      <c r="W1045" s="17"/>
      <c r="X1045" s="17"/>
      <c r="Y1045" s="17"/>
    </row>
    <row r="1046" ht="18.75" customHeight="1">
      <c r="A1046" s="9">
        <v>1048.0</v>
      </c>
      <c r="B1046" s="11" t="s">
        <v>3269</v>
      </c>
      <c r="C1046" s="11" t="s">
        <v>4202</v>
      </c>
      <c r="D1046" s="11" t="s">
        <v>2305</v>
      </c>
      <c r="E1046" s="11" t="s">
        <v>4203</v>
      </c>
      <c r="F1046" s="11" t="s">
        <v>6440</v>
      </c>
      <c r="G1046" s="13">
        <v>45940.0</v>
      </c>
      <c r="H1046" s="13">
        <v>45941.0</v>
      </c>
      <c r="I1046" s="11" t="s">
        <v>119</v>
      </c>
      <c r="J1046" s="11" t="s">
        <v>37</v>
      </c>
      <c r="K1046" s="14" t="s">
        <v>31</v>
      </c>
      <c r="L1046" s="11" t="s">
        <v>97</v>
      </c>
      <c r="M1046" s="15"/>
      <c r="N1046" s="16"/>
      <c r="O1046" s="16"/>
      <c r="P1046" s="16"/>
      <c r="Q1046" s="17"/>
      <c r="R1046" s="17"/>
      <c r="S1046" s="17"/>
      <c r="T1046" s="17"/>
      <c r="U1046" s="17"/>
      <c r="V1046" s="17"/>
      <c r="W1046" s="17"/>
      <c r="X1046" s="17"/>
      <c r="Y1046" s="17"/>
    </row>
    <row r="1047" ht="18.75" customHeight="1">
      <c r="A1047" s="9">
        <v>1049.0</v>
      </c>
      <c r="B1047" s="11" t="s">
        <v>4205</v>
      </c>
      <c r="C1047" s="11" t="s">
        <v>4206</v>
      </c>
      <c r="D1047" s="11" t="s">
        <v>1852</v>
      </c>
      <c r="E1047" s="11" t="s">
        <v>79</v>
      </c>
      <c r="F1047" s="11" t="s">
        <v>4962</v>
      </c>
      <c r="G1047" s="13">
        <v>45961.0</v>
      </c>
      <c r="H1047" s="13">
        <v>45962.0</v>
      </c>
      <c r="I1047" s="11" t="s">
        <v>25</v>
      </c>
      <c r="J1047" s="11" t="s">
        <v>22</v>
      </c>
      <c r="K1047" s="14" t="s">
        <v>31</v>
      </c>
      <c r="L1047" s="11" t="s">
        <v>50</v>
      </c>
      <c r="M1047" s="15"/>
      <c r="N1047" s="16"/>
      <c r="O1047" s="16"/>
      <c r="P1047" s="16"/>
      <c r="Q1047" s="17"/>
      <c r="R1047" s="17"/>
      <c r="S1047" s="17"/>
      <c r="T1047" s="17"/>
      <c r="U1047" s="17"/>
      <c r="V1047" s="17"/>
      <c r="W1047" s="17"/>
      <c r="X1047" s="17"/>
      <c r="Y1047" s="17"/>
    </row>
    <row r="1048" ht="18.75" customHeight="1">
      <c r="A1048" s="9">
        <v>1050.0</v>
      </c>
      <c r="B1048" s="11" t="s">
        <v>4208</v>
      </c>
      <c r="C1048" s="11" t="s">
        <v>4209</v>
      </c>
      <c r="D1048" s="11" t="s">
        <v>682</v>
      </c>
      <c r="E1048" s="11" t="s">
        <v>4203</v>
      </c>
      <c r="F1048" s="11" t="s">
        <v>6792</v>
      </c>
      <c r="G1048" s="13">
        <v>45961.0</v>
      </c>
      <c r="H1048" s="13">
        <v>45962.0</v>
      </c>
      <c r="I1048" s="11" t="s">
        <v>25</v>
      </c>
      <c r="J1048" s="11" t="s">
        <v>22</v>
      </c>
      <c r="K1048" s="14" t="s">
        <v>31</v>
      </c>
      <c r="L1048" s="11"/>
      <c r="M1048" s="15"/>
      <c r="N1048" s="16"/>
      <c r="O1048" s="16"/>
      <c r="P1048" s="16"/>
      <c r="Q1048" s="17"/>
      <c r="R1048" s="17"/>
      <c r="S1048" s="17"/>
      <c r="T1048" s="17"/>
      <c r="U1048" s="17"/>
      <c r="V1048" s="17"/>
      <c r="W1048" s="17"/>
      <c r="X1048" s="17"/>
      <c r="Y1048" s="17"/>
    </row>
    <row r="1049" ht="18.75" customHeight="1">
      <c r="A1049" s="9">
        <v>1051.0</v>
      </c>
      <c r="B1049" s="210" t="s">
        <v>4211</v>
      </c>
      <c r="C1049" s="210" t="s">
        <v>4212</v>
      </c>
      <c r="D1049" s="210" t="s">
        <v>701</v>
      </c>
      <c r="E1049" s="210" t="s">
        <v>2362</v>
      </c>
      <c r="F1049" s="210" t="s">
        <v>6793</v>
      </c>
      <c r="G1049" s="226">
        <v>45961.0</v>
      </c>
      <c r="H1049" s="226">
        <v>45962.0</v>
      </c>
      <c r="I1049" s="11" t="s">
        <v>251</v>
      </c>
      <c r="J1049" s="11" t="s">
        <v>22</v>
      </c>
      <c r="K1049" s="14" t="s">
        <v>31</v>
      </c>
      <c r="L1049" s="11" t="s">
        <v>86</v>
      </c>
      <c r="M1049" s="15"/>
      <c r="N1049" s="16"/>
      <c r="O1049" s="16"/>
      <c r="P1049" s="16"/>
      <c r="Q1049" s="17"/>
      <c r="R1049" s="17"/>
      <c r="S1049" s="17"/>
      <c r="T1049" s="17"/>
      <c r="U1049" s="17"/>
      <c r="V1049" s="17"/>
      <c r="W1049" s="17"/>
      <c r="X1049" s="17"/>
      <c r="Y1049" s="17"/>
    </row>
    <row r="1050" ht="18.75" customHeight="1">
      <c r="A1050" s="9">
        <v>1052.0</v>
      </c>
      <c r="B1050" s="11" t="s">
        <v>4214</v>
      </c>
      <c r="C1050" s="11" t="s">
        <v>4215</v>
      </c>
      <c r="D1050" s="11" t="s">
        <v>110</v>
      </c>
      <c r="E1050" s="11" t="s">
        <v>129</v>
      </c>
      <c r="F1050" s="11" t="s">
        <v>6794</v>
      </c>
      <c r="G1050" s="13">
        <v>45933.0</v>
      </c>
      <c r="H1050" s="13">
        <v>45934.0</v>
      </c>
      <c r="I1050" s="11" t="s">
        <v>251</v>
      </c>
      <c r="J1050" s="11" t="s">
        <v>213</v>
      </c>
      <c r="K1050" s="14" t="s">
        <v>31</v>
      </c>
      <c r="L1050" s="11"/>
      <c r="M1050" s="15"/>
      <c r="N1050" s="16"/>
      <c r="O1050" s="16"/>
      <c r="P1050" s="16"/>
      <c r="Q1050" s="17"/>
      <c r="R1050" s="17"/>
      <c r="S1050" s="17"/>
      <c r="T1050" s="17"/>
      <c r="U1050" s="17"/>
      <c r="V1050" s="17"/>
      <c r="W1050" s="17"/>
      <c r="X1050" s="17"/>
      <c r="Y1050" s="17"/>
    </row>
    <row r="1051" ht="18.75" customHeight="1">
      <c r="A1051" s="9">
        <v>1053.0</v>
      </c>
      <c r="B1051" s="11" t="s">
        <v>4216</v>
      </c>
      <c r="C1051" s="11" t="s">
        <v>4217</v>
      </c>
      <c r="D1051" s="11" t="s">
        <v>110</v>
      </c>
      <c r="E1051" s="11" t="s">
        <v>4218</v>
      </c>
      <c r="F1051" s="11" t="s">
        <v>6795</v>
      </c>
      <c r="G1051" s="13">
        <v>45967.0</v>
      </c>
      <c r="H1051" s="13">
        <v>45968.0</v>
      </c>
      <c r="I1051" s="11" t="s">
        <v>25</v>
      </c>
      <c r="J1051" s="11" t="s">
        <v>37</v>
      </c>
      <c r="K1051" s="14" t="s">
        <v>31</v>
      </c>
      <c r="L1051" s="11" t="s">
        <v>50</v>
      </c>
      <c r="M1051" s="15"/>
      <c r="N1051" s="16"/>
      <c r="O1051" s="16"/>
      <c r="P1051" s="16"/>
      <c r="Q1051" s="17"/>
      <c r="R1051" s="17"/>
      <c r="S1051" s="17"/>
      <c r="T1051" s="17"/>
      <c r="U1051" s="17"/>
      <c r="V1051" s="17"/>
      <c r="W1051" s="17"/>
      <c r="X1051" s="17"/>
      <c r="Y1051" s="17"/>
    </row>
    <row r="1052" ht="18.75" customHeight="1">
      <c r="A1052" s="9">
        <v>1054.0</v>
      </c>
      <c r="B1052" s="11" t="s">
        <v>4220</v>
      </c>
      <c r="C1052" s="11" t="s">
        <v>4221</v>
      </c>
      <c r="D1052" s="11" t="s">
        <v>4222</v>
      </c>
      <c r="E1052" s="11" t="s">
        <v>347</v>
      </c>
      <c r="F1052" s="11" t="s">
        <v>6796</v>
      </c>
      <c r="G1052" s="13">
        <v>45961.0</v>
      </c>
      <c r="H1052" s="13">
        <v>45962.0</v>
      </c>
      <c r="I1052" s="11" t="s">
        <v>25</v>
      </c>
      <c r="J1052" s="11" t="s">
        <v>37</v>
      </c>
      <c r="K1052" s="14" t="s">
        <v>31</v>
      </c>
      <c r="L1052" s="11" t="s">
        <v>50</v>
      </c>
      <c r="M1052" s="15"/>
      <c r="N1052" s="16"/>
      <c r="O1052" s="16"/>
      <c r="P1052" s="16"/>
      <c r="Q1052" s="17"/>
      <c r="R1052" s="17"/>
      <c r="S1052" s="17"/>
      <c r="T1052" s="17"/>
      <c r="U1052" s="17"/>
      <c r="V1052" s="17"/>
      <c r="W1052" s="17"/>
      <c r="X1052" s="17"/>
      <c r="Y1052" s="17"/>
    </row>
    <row r="1053" ht="18.75" customHeight="1">
      <c r="A1053" s="9">
        <v>1055.0</v>
      </c>
      <c r="B1053" s="11" t="s">
        <v>4224</v>
      </c>
      <c r="C1053" s="11" t="s">
        <v>4225</v>
      </c>
      <c r="D1053" s="11" t="s">
        <v>65</v>
      </c>
      <c r="E1053" s="11" t="s">
        <v>4226</v>
      </c>
      <c r="F1053" s="11" t="s">
        <v>4945</v>
      </c>
      <c r="G1053" s="13">
        <v>45961.0</v>
      </c>
      <c r="H1053" s="13">
        <v>45962.0</v>
      </c>
      <c r="I1053" s="11" t="s">
        <v>119</v>
      </c>
      <c r="J1053" s="11" t="s">
        <v>37</v>
      </c>
      <c r="K1053" s="14" t="s">
        <v>31</v>
      </c>
      <c r="L1053" s="11" t="s">
        <v>50</v>
      </c>
      <c r="M1053" s="15"/>
      <c r="N1053" s="16"/>
      <c r="O1053" s="16"/>
      <c r="P1053" s="16"/>
      <c r="Q1053" s="17"/>
      <c r="R1053" s="17"/>
      <c r="S1053" s="17"/>
      <c r="T1053" s="17"/>
      <c r="U1053" s="17"/>
      <c r="V1053" s="17"/>
      <c r="W1053" s="17"/>
      <c r="X1053" s="17"/>
      <c r="Y1053" s="17"/>
    </row>
    <row r="1054" ht="18.75" customHeight="1">
      <c r="A1054" s="9">
        <v>1056.0</v>
      </c>
      <c r="B1054" s="11" t="s">
        <v>4228</v>
      </c>
      <c r="C1054" s="11" t="s">
        <v>4229</v>
      </c>
      <c r="D1054" s="11" t="s">
        <v>173</v>
      </c>
      <c r="E1054" s="11" t="s">
        <v>449</v>
      </c>
      <c r="F1054" s="11" t="s">
        <v>6797</v>
      </c>
      <c r="G1054" s="13">
        <v>45964.0</v>
      </c>
      <c r="H1054" s="13">
        <v>45965.0</v>
      </c>
      <c r="I1054" s="11" t="s">
        <v>119</v>
      </c>
      <c r="J1054" s="11" t="s">
        <v>37</v>
      </c>
      <c r="K1054" s="14" t="s">
        <v>31</v>
      </c>
      <c r="L1054" s="11" t="s">
        <v>50</v>
      </c>
      <c r="M1054" s="15"/>
      <c r="N1054" s="16"/>
      <c r="O1054" s="16"/>
      <c r="P1054" s="16"/>
      <c r="Q1054" s="17"/>
      <c r="R1054" s="17"/>
      <c r="S1054" s="17"/>
      <c r="T1054" s="17"/>
      <c r="U1054" s="17"/>
      <c r="V1054" s="17"/>
      <c r="W1054" s="17"/>
      <c r="X1054" s="17"/>
      <c r="Y1054" s="17"/>
    </row>
    <row r="1055" ht="18.75" customHeight="1">
      <c r="A1055" s="9">
        <v>1057.0</v>
      </c>
      <c r="B1055" s="11" t="s">
        <v>4231</v>
      </c>
      <c r="C1055" s="11" t="s">
        <v>4232</v>
      </c>
      <c r="D1055" s="11" t="s">
        <v>481</v>
      </c>
      <c r="E1055" s="11" t="s">
        <v>449</v>
      </c>
      <c r="F1055" s="11" t="s">
        <v>4984</v>
      </c>
      <c r="G1055" s="13">
        <v>45964.0</v>
      </c>
      <c r="H1055" s="13">
        <v>45965.0</v>
      </c>
      <c r="I1055" s="11" t="s">
        <v>25</v>
      </c>
      <c r="J1055" s="11" t="s">
        <v>37</v>
      </c>
      <c r="K1055" s="14" t="s">
        <v>31</v>
      </c>
      <c r="L1055" s="11" t="s">
        <v>50</v>
      </c>
      <c r="M1055" s="15"/>
      <c r="N1055" s="16"/>
      <c r="O1055" s="16"/>
      <c r="P1055" s="16"/>
      <c r="Q1055" s="17"/>
      <c r="R1055" s="17"/>
      <c r="S1055" s="17"/>
      <c r="T1055" s="17"/>
      <c r="U1055" s="17"/>
      <c r="V1055" s="17"/>
      <c r="W1055" s="17"/>
      <c r="X1055" s="17"/>
      <c r="Y1055" s="17"/>
    </row>
    <row r="1056" ht="18.75" customHeight="1">
      <c r="A1056" s="9">
        <v>1058.0</v>
      </c>
      <c r="B1056" s="11" t="s">
        <v>4234</v>
      </c>
      <c r="C1056" s="11" t="s">
        <v>4235</v>
      </c>
      <c r="D1056" s="11" t="s">
        <v>342</v>
      </c>
      <c r="E1056" s="11" t="s">
        <v>4226</v>
      </c>
      <c r="F1056" s="11" t="s">
        <v>4989</v>
      </c>
      <c r="G1056" s="13">
        <v>45961.0</v>
      </c>
      <c r="H1056" s="13">
        <v>45962.0</v>
      </c>
      <c r="I1056" s="11" t="s">
        <v>25</v>
      </c>
      <c r="J1056" s="11" t="s">
        <v>37</v>
      </c>
      <c r="K1056" s="14" t="s">
        <v>31</v>
      </c>
      <c r="L1056" s="11" t="s">
        <v>50</v>
      </c>
      <c r="M1056" s="15"/>
      <c r="N1056" s="16"/>
      <c r="O1056" s="16"/>
      <c r="P1056" s="16"/>
      <c r="Q1056" s="17"/>
      <c r="R1056" s="17"/>
      <c r="S1056" s="17"/>
      <c r="T1056" s="17"/>
      <c r="U1056" s="17"/>
      <c r="V1056" s="17"/>
      <c r="W1056" s="17"/>
      <c r="X1056" s="17"/>
      <c r="Y1056" s="17"/>
    </row>
    <row r="1057" ht="18.75" customHeight="1">
      <c r="A1057" s="9">
        <v>1059.0</v>
      </c>
      <c r="B1057" s="11" t="s">
        <v>4237</v>
      </c>
      <c r="C1057" s="11" t="s">
        <v>4238</v>
      </c>
      <c r="D1057" s="11" t="s">
        <v>173</v>
      </c>
      <c r="E1057" s="11" t="s">
        <v>4226</v>
      </c>
      <c r="F1057" s="11" t="s">
        <v>4993</v>
      </c>
      <c r="G1057" s="13">
        <v>45967.0</v>
      </c>
      <c r="H1057" s="13">
        <v>45968.0</v>
      </c>
      <c r="I1057" s="11" t="s">
        <v>25</v>
      </c>
      <c r="J1057" s="11" t="s">
        <v>37</v>
      </c>
      <c r="K1057" s="14" t="s">
        <v>31</v>
      </c>
      <c r="L1057" s="11" t="s">
        <v>50</v>
      </c>
      <c r="M1057" s="15"/>
      <c r="N1057" s="16"/>
      <c r="O1057" s="16"/>
      <c r="P1057" s="16"/>
      <c r="Q1057" s="17"/>
      <c r="R1057" s="17"/>
      <c r="S1057" s="17"/>
      <c r="T1057" s="17"/>
      <c r="U1057" s="17"/>
      <c r="V1057" s="17"/>
      <c r="W1057" s="17"/>
      <c r="X1057" s="17"/>
      <c r="Y1057" s="17"/>
    </row>
    <row r="1058" ht="18.75" customHeight="1">
      <c r="A1058" s="9">
        <v>1060.0</v>
      </c>
      <c r="B1058" s="11" t="s">
        <v>4240</v>
      </c>
      <c r="C1058" s="11" t="s">
        <v>4241</v>
      </c>
      <c r="D1058" s="11" t="s">
        <v>2507</v>
      </c>
      <c r="E1058" s="11" t="s">
        <v>962</v>
      </c>
      <c r="F1058" s="11" t="s">
        <v>4929</v>
      </c>
      <c r="G1058" s="13">
        <v>45991.0</v>
      </c>
      <c r="H1058" s="13">
        <v>45992.0</v>
      </c>
      <c r="I1058" s="11" t="s">
        <v>25</v>
      </c>
      <c r="J1058" s="11" t="s">
        <v>37</v>
      </c>
      <c r="K1058" s="14" t="s">
        <v>31</v>
      </c>
      <c r="L1058" s="11" t="s">
        <v>62</v>
      </c>
      <c r="M1058" s="15"/>
      <c r="N1058" s="16"/>
      <c r="O1058" s="16"/>
      <c r="P1058" s="16"/>
      <c r="Q1058" s="17"/>
      <c r="R1058" s="17"/>
      <c r="S1058" s="17"/>
      <c r="T1058" s="17"/>
      <c r="U1058" s="17"/>
      <c r="V1058" s="17"/>
      <c r="W1058" s="17"/>
      <c r="X1058" s="17"/>
      <c r="Y1058" s="17"/>
    </row>
    <row r="1059" ht="18.75" customHeight="1">
      <c r="A1059" s="9">
        <v>1061.0</v>
      </c>
      <c r="B1059" s="11" t="s">
        <v>4243</v>
      </c>
      <c r="C1059" s="11" t="s">
        <v>4244</v>
      </c>
      <c r="D1059" s="11" t="s">
        <v>1104</v>
      </c>
      <c r="E1059" s="11" t="s">
        <v>4245</v>
      </c>
      <c r="F1059" s="11" t="s">
        <v>6798</v>
      </c>
      <c r="G1059" s="13">
        <v>45943.0</v>
      </c>
      <c r="H1059" s="13">
        <v>45944.0</v>
      </c>
      <c r="I1059" s="11" t="s">
        <v>119</v>
      </c>
      <c r="J1059" s="11" t="s">
        <v>22</v>
      </c>
      <c r="K1059" s="14" t="s">
        <v>31</v>
      </c>
      <c r="L1059" s="11"/>
      <c r="M1059" s="15"/>
      <c r="N1059" s="16"/>
      <c r="O1059" s="16"/>
      <c r="P1059" s="16"/>
      <c r="Q1059" s="17"/>
      <c r="R1059" s="17"/>
      <c r="S1059" s="17"/>
      <c r="T1059" s="17"/>
      <c r="U1059" s="17"/>
      <c r="V1059" s="17"/>
      <c r="W1059" s="17"/>
      <c r="X1059" s="17"/>
      <c r="Y1059" s="17"/>
    </row>
    <row r="1060" ht="18.75" customHeight="1">
      <c r="A1060" s="9">
        <v>1062.0</v>
      </c>
      <c r="B1060" s="11" t="s">
        <v>4247</v>
      </c>
      <c r="C1060" s="11" t="s">
        <v>4248</v>
      </c>
      <c r="D1060" s="11" t="s">
        <v>3458</v>
      </c>
      <c r="E1060" s="11" t="s">
        <v>3459</v>
      </c>
      <c r="F1060" s="15"/>
      <c r="G1060" s="13">
        <v>45937.0</v>
      </c>
      <c r="H1060" s="13">
        <v>45938.0</v>
      </c>
      <c r="I1060" s="11" t="s">
        <v>251</v>
      </c>
      <c r="J1060" s="11"/>
      <c r="K1060" s="14" t="s">
        <v>31</v>
      </c>
      <c r="L1060" s="11"/>
      <c r="M1060" s="15"/>
      <c r="N1060" s="16"/>
      <c r="O1060" s="16"/>
      <c r="P1060" s="16"/>
      <c r="Q1060" s="17"/>
      <c r="R1060" s="17"/>
      <c r="S1060" s="17"/>
      <c r="T1060" s="17"/>
      <c r="U1060" s="17"/>
      <c r="V1060" s="17"/>
      <c r="W1060" s="17"/>
      <c r="X1060" s="17"/>
      <c r="Y1060" s="17"/>
    </row>
    <row r="1061" ht="18.75" customHeight="1">
      <c r="A1061" s="9">
        <v>1063.0</v>
      </c>
      <c r="B1061" s="11" t="s">
        <v>4249</v>
      </c>
      <c r="C1061" s="11" t="s">
        <v>4250</v>
      </c>
      <c r="D1061" s="11" t="s">
        <v>122</v>
      </c>
      <c r="E1061" s="11" t="s">
        <v>2588</v>
      </c>
      <c r="F1061" s="11" t="s">
        <v>6799</v>
      </c>
      <c r="G1061" s="13">
        <v>45939.0</v>
      </c>
      <c r="H1061" s="13">
        <v>45940.0</v>
      </c>
      <c r="I1061" s="11" t="s">
        <v>251</v>
      </c>
      <c r="J1061" s="11" t="s">
        <v>213</v>
      </c>
      <c r="K1061" s="14" t="s">
        <v>31</v>
      </c>
      <c r="L1061" s="11"/>
      <c r="M1061" s="15"/>
      <c r="N1061" s="16"/>
      <c r="O1061" s="16"/>
      <c r="P1061" s="16"/>
      <c r="Q1061" s="17"/>
      <c r="R1061" s="17"/>
      <c r="S1061" s="17"/>
      <c r="T1061" s="17"/>
      <c r="U1061" s="17"/>
      <c r="V1061" s="17"/>
      <c r="W1061" s="17"/>
      <c r="X1061" s="17"/>
      <c r="Y1061" s="17"/>
    </row>
    <row r="1062" ht="18.75" customHeight="1">
      <c r="A1062" s="9">
        <v>1064.0</v>
      </c>
      <c r="B1062" s="11" t="s">
        <v>4251</v>
      </c>
      <c r="C1062" s="11" t="s">
        <v>4252</v>
      </c>
      <c r="D1062" s="11" t="s">
        <v>122</v>
      </c>
      <c r="E1062" s="11" t="s">
        <v>2958</v>
      </c>
      <c r="F1062" s="11" t="s">
        <v>6800</v>
      </c>
      <c r="G1062" s="12">
        <v>45930.0</v>
      </c>
      <c r="H1062" s="12">
        <v>45931.0</v>
      </c>
      <c r="I1062" s="11" t="s">
        <v>251</v>
      </c>
      <c r="J1062" s="11" t="s">
        <v>213</v>
      </c>
      <c r="K1062" s="14" t="s">
        <v>31</v>
      </c>
      <c r="L1062" s="11"/>
      <c r="M1062" s="15"/>
      <c r="N1062" s="16"/>
      <c r="O1062" s="16"/>
      <c r="P1062" s="16"/>
      <c r="Q1062" s="17"/>
      <c r="R1062" s="17"/>
      <c r="S1062" s="17"/>
      <c r="T1062" s="17"/>
      <c r="U1062" s="17"/>
      <c r="V1062" s="17"/>
      <c r="W1062" s="17"/>
      <c r="X1062" s="17"/>
      <c r="Y1062" s="17"/>
    </row>
    <row r="1063" ht="18.75" customHeight="1">
      <c r="A1063" s="9">
        <v>1065.0</v>
      </c>
      <c r="B1063" s="11" t="s">
        <v>4253</v>
      </c>
      <c r="C1063" s="11" t="s">
        <v>4254</v>
      </c>
      <c r="D1063" s="11" t="s">
        <v>59</v>
      </c>
      <c r="E1063" s="11" t="s">
        <v>2483</v>
      </c>
      <c r="F1063" s="11" t="s">
        <v>6801</v>
      </c>
      <c r="G1063" s="13">
        <v>45966.0</v>
      </c>
      <c r="H1063" s="13">
        <v>45967.0</v>
      </c>
      <c r="I1063" s="11" t="s">
        <v>25</v>
      </c>
      <c r="J1063" s="11" t="s">
        <v>22</v>
      </c>
      <c r="K1063" s="14" t="s">
        <v>31</v>
      </c>
      <c r="L1063" s="11"/>
      <c r="M1063" s="15"/>
      <c r="N1063" s="16"/>
      <c r="O1063" s="16"/>
      <c r="P1063" s="16"/>
      <c r="Q1063" s="17"/>
      <c r="R1063" s="17"/>
      <c r="S1063" s="17"/>
      <c r="T1063" s="17"/>
      <c r="U1063" s="17"/>
      <c r="V1063" s="17"/>
      <c r="W1063" s="17"/>
      <c r="X1063" s="17"/>
      <c r="Y1063" s="17"/>
    </row>
    <row r="1064" ht="18.75" customHeight="1">
      <c r="A1064" s="9">
        <v>1066.0</v>
      </c>
      <c r="B1064" s="11" t="s">
        <v>4256</v>
      </c>
      <c r="C1064" s="11" t="s">
        <v>4257</v>
      </c>
      <c r="D1064" s="11" t="s">
        <v>414</v>
      </c>
      <c r="E1064" s="11" t="s">
        <v>352</v>
      </c>
      <c r="F1064" s="11" t="s">
        <v>6802</v>
      </c>
      <c r="G1064" s="12">
        <v>45957.0</v>
      </c>
      <c r="H1064" s="12">
        <v>45958.0</v>
      </c>
      <c r="I1064" s="11" t="s">
        <v>119</v>
      </c>
      <c r="J1064" s="11" t="s">
        <v>22</v>
      </c>
      <c r="K1064" s="14" t="s">
        <v>31</v>
      </c>
      <c r="L1064" s="11" t="s">
        <v>97</v>
      </c>
      <c r="M1064" s="15"/>
      <c r="N1064" s="16"/>
      <c r="O1064" s="16"/>
      <c r="P1064" s="16"/>
      <c r="Q1064" s="17"/>
      <c r="R1064" s="17"/>
      <c r="S1064" s="17"/>
      <c r="T1064" s="17"/>
      <c r="U1064" s="17"/>
      <c r="V1064" s="17"/>
      <c r="W1064" s="17"/>
      <c r="X1064" s="17"/>
      <c r="Y1064" s="17"/>
    </row>
    <row r="1065" ht="18.75" customHeight="1">
      <c r="A1065" s="9">
        <v>1067.0</v>
      </c>
      <c r="B1065" s="11" t="s">
        <v>4259</v>
      </c>
      <c r="C1065" s="11" t="s">
        <v>4260</v>
      </c>
      <c r="D1065" s="11" t="s">
        <v>465</v>
      </c>
      <c r="E1065" s="11" t="s">
        <v>2437</v>
      </c>
      <c r="F1065" s="11" t="s">
        <v>6803</v>
      </c>
      <c r="G1065" s="13">
        <v>45961.0</v>
      </c>
      <c r="H1065" s="13">
        <v>45962.0</v>
      </c>
      <c r="I1065" s="11" t="s">
        <v>251</v>
      </c>
      <c r="J1065" s="11" t="s">
        <v>213</v>
      </c>
      <c r="K1065" s="14" t="s">
        <v>31</v>
      </c>
      <c r="L1065" s="11" t="s">
        <v>50</v>
      </c>
      <c r="M1065" s="15"/>
      <c r="N1065" s="16"/>
      <c r="O1065" s="16"/>
      <c r="P1065" s="16"/>
      <c r="Q1065" s="17"/>
      <c r="R1065" s="17"/>
      <c r="S1065" s="17"/>
      <c r="T1065" s="17"/>
      <c r="U1065" s="17"/>
      <c r="V1065" s="17"/>
      <c r="W1065" s="17"/>
      <c r="X1065" s="17"/>
      <c r="Y1065" s="17"/>
    </row>
    <row r="1066" ht="18.75" customHeight="1">
      <c r="A1066" s="9">
        <v>1068.0</v>
      </c>
      <c r="B1066" s="11" t="s">
        <v>4262</v>
      </c>
      <c r="C1066" s="11" t="s">
        <v>4263</v>
      </c>
      <c r="D1066" s="11" t="s">
        <v>4264</v>
      </c>
      <c r="E1066" s="11" t="s">
        <v>4265</v>
      </c>
      <c r="F1066" s="11" t="s">
        <v>6804</v>
      </c>
      <c r="G1066" s="13">
        <v>45975.0</v>
      </c>
      <c r="H1066" s="13">
        <v>45976.0</v>
      </c>
      <c r="I1066" s="11" t="s">
        <v>25</v>
      </c>
      <c r="J1066" s="11" t="s">
        <v>22</v>
      </c>
      <c r="K1066" s="14" t="s">
        <v>31</v>
      </c>
      <c r="L1066" s="11" t="s">
        <v>62</v>
      </c>
      <c r="M1066" s="15"/>
      <c r="N1066" s="16"/>
      <c r="O1066" s="16"/>
      <c r="P1066" s="16"/>
      <c r="Q1066" s="17"/>
      <c r="R1066" s="17"/>
      <c r="S1066" s="17"/>
      <c r="T1066" s="17"/>
      <c r="U1066" s="17"/>
      <c r="V1066" s="17"/>
      <c r="W1066" s="17"/>
      <c r="X1066" s="17"/>
      <c r="Y1066" s="17"/>
    </row>
    <row r="1067" ht="18.75" customHeight="1">
      <c r="A1067" s="9">
        <v>1069.0</v>
      </c>
      <c r="B1067" s="11" t="s">
        <v>4267</v>
      </c>
      <c r="C1067" s="11" t="s">
        <v>4268</v>
      </c>
      <c r="D1067" s="11" t="s">
        <v>59</v>
      </c>
      <c r="E1067" s="11" t="s">
        <v>211</v>
      </c>
      <c r="F1067" s="11" t="s">
        <v>6805</v>
      </c>
      <c r="G1067" s="12">
        <v>45961.0</v>
      </c>
      <c r="H1067" s="13">
        <v>45962.0</v>
      </c>
      <c r="I1067" s="11" t="s">
        <v>119</v>
      </c>
      <c r="J1067" s="11" t="s">
        <v>22</v>
      </c>
      <c r="K1067" s="14" t="s">
        <v>31</v>
      </c>
      <c r="L1067" s="11" t="s">
        <v>97</v>
      </c>
      <c r="M1067" s="15"/>
      <c r="N1067" s="16"/>
      <c r="O1067" s="16"/>
      <c r="P1067" s="16"/>
      <c r="Q1067" s="17"/>
      <c r="R1067" s="17"/>
      <c r="S1067" s="17"/>
      <c r="T1067" s="17"/>
      <c r="U1067" s="17"/>
      <c r="V1067" s="17"/>
      <c r="W1067" s="17"/>
      <c r="X1067" s="17"/>
      <c r="Y1067" s="17"/>
    </row>
    <row r="1068" ht="18.75" customHeight="1">
      <c r="A1068" s="9">
        <v>1070.0</v>
      </c>
      <c r="B1068" s="11" t="s">
        <v>4270</v>
      </c>
      <c r="C1068" s="11" t="s">
        <v>4271</v>
      </c>
      <c r="D1068" s="11" t="s">
        <v>65</v>
      </c>
      <c r="E1068" s="11" t="s">
        <v>1800</v>
      </c>
      <c r="F1068" s="11" t="s">
        <v>6806</v>
      </c>
      <c r="G1068" s="13">
        <v>45976.0</v>
      </c>
      <c r="H1068" s="13">
        <v>45977.0</v>
      </c>
      <c r="I1068" s="11" t="s">
        <v>25</v>
      </c>
      <c r="J1068" s="11" t="s">
        <v>22</v>
      </c>
      <c r="K1068" s="14" t="s">
        <v>31</v>
      </c>
      <c r="L1068" s="11" t="s">
        <v>62</v>
      </c>
      <c r="M1068" s="15"/>
      <c r="N1068" s="16"/>
      <c r="O1068" s="16"/>
      <c r="P1068" s="16"/>
      <c r="Q1068" s="17"/>
      <c r="R1068" s="17"/>
      <c r="S1068" s="17"/>
      <c r="T1068" s="17"/>
      <c r="U1068" s="17"/>
      <c r="V1068" s="17"/>
      <c r="W1068" s="17"/>
      <c r="X1068" s="17"/>
      <c r="Y1068" s="17"/>
    </row>
    <row r="1069" ht="18.75" customHeight="1">
      <c r="A1069" s="9">
        <v>1071.0</v>
      </c>
      <c r="B1069" s="11" t="s">
        <v>4273</v>
      </c>
      <c r="C1069" s="11" t="s">
        <v>4274</v>
      </c>
      <c r="D1069" s="11" t="s">
        <v>128</v>
      </c>
      <c r="E1069" s="11" t="s">
        <v>129</v>
      </c>
      <c r="F1069" s="11" t="s">
        <v>6807</v>
      </c>
      <c r="G1069" s="13">
        <v>45937.0</v>
      </c>
      <c r="H1069" s="13">
        <v>45938.0</v>
      </c>
      <c r="I1069" s="11" t="s">
        <v>251</v>
      </c>
      <c r="J1069" s="11" t="s">
        <v>213</v>
      </c>
      <c r="K1069" s="14" t="s">
        <v>31</v>
      </c>
      <c r="L1069" s="11"/>
      <c r="M1069" s="15"/>
      <c r="N1069" s="16"/>
      <c r="O1069" s="16"/>
      <c r="P1069" s="16"/>
      <c r="Q1069" s="17"/>
      <c r="R1069" s="17"/>
      <c r="S1069" s="17"/>
      <c r="T1069" s="17"/>
      <c r="U1069" s="17"/>
      <c r="V1069" s="17"/>
      <c r="W1069" s="17"/>
      <c r="X1069" s="17"/>
      <c r="Y1069" s="17"/>
    </row>
    <row r="1070" ht="18.75" customHeight="1">
      <c r="A1070" s="9">
        <v>1072.0</v>
      </c>
      <c r="B1070" s="11" t="s">
        <v>4275</v>
      </c>
      <c r="C1070" s="11" t="s">
        <v>4276</v>
      </c>
      <c r="D1070" s="11" t="s">
        <v>122</v>
      </c>
      <c r="E1070" s="11" t="s">
        <v>2581</v>
      </c>
      <c r="F1070" s="11" t="s">
        <v>6808</v>
      </c>
      <c r="G1070" s="13">
        <v>45961.0</v>
      </c>
      <c r="H1070" s="13">
        <v>45962.0</v>
      </c>
      <c r="I1070" s="11" t="s">
        <v>119</v>
      </c>
      <c r="J1070" s="11" t="s">
        <v>22</v>
      </c>
      <c r="K1070" s="14" t="s">
        <v>31</v>
      </c>
      <c r="L1070" s="11"/>
      <c r="M1070" s="15"/>
      <c r="N1070" s="16"/>
      <c r="O1070" s="16"/>
      <c r="P1070" s="16"/>
      <c r="Q1070" s="17"/>
      <c r="R1070" s="17"/>
      <c r="S1070" s="17"/>
      <c r="T1070" s="17"/>
      <c r="U1070" s="17"/>
      <c r="V1070" s="17"/>
      <c r="W1070" s="17"/>
      <c r="X1070" s="17"/>
      <c r="Y1070" s="17"/>
    </row>
    <row r="1071" ht="18.75" customHeight="1">
      <c r="A1071" s="9">
        <v>1073.0</v>
      </c>
      <c r="B1071" s="11" t="s">
        <v>4278</v>
      </c>
      <c r="C1071" s="11" t="s">
        <v>4279</v>
      </c>
      <c r="D1071" s="11" t="s">
        <v>128</v>
      </c>
      <c r="E1071" s="11" t="s">
        <v>129</v>
      </c>
      <c r="F1071" s="11" t="s">
        <v>6809</v>
      </c>
      <c r="G1071" s="13">
        <v>45944.0</v>
      </c>
      <c r="H1071" s="13">
        <v>45945.0</v>
      </c>
      <c r="I1071" s="11" t="s">
        <v>251</v>
      </c>
      <c r="J1071" s="11" t="s">
        <v>213</v>
      </c>
      <c r="K1071" s="14" t="s">
        <v>31</v>
      </c>
      <c r="L1071" s="11"/>
      <c r="M1071" s="15"/>
      <c r="N1071" s="16"/>
      <c r="O1071" s="16"/>
      <c r="P1071" s="16"/>
      <c r="Q1071" s="17"/>
      <c r="R1071" s="17"/>
      <c r="S1071" s="17"/>
      <c r="T1071" s="17"/>
      <c r="U1071" s="17"/>
      <c r="V1071" s="17"/>
      <c r="W1071" s="17"/>
      <c r="X1071" s="17"/>
      <c r="Y1071" s="17"/>
    </row>
    <row r="1072" ht="18.75" customHeight="1">
      <c r="A1072" s="9">
        <v>1074.0</v>
      </c>
      <c r="B1072" s="11" t="s">
        <v>4280</v>
      </c>
      <c r="C1072" s="11" t="s">
        <v>4281</v>
      </c>
      <c r="D1072" s="11" t="s">
        <v>394</v>
      </c>
      <c r="E1072" s="11" t="s">
        <v>4282</v>
      </c>
      <c r="F1072" s="11" t="s">
        <v>6810</v>
      </c>
      <c r="G1072" s="13">
        <v>45961.0</v>
      </c>
      <c r="H1072" s="13">
        <v>45962.0</v>
      </c>
      <c r="I1072" s="11" t="s">
        <v>119</v>
      </c>
      <c r="J1072" s="11" t="s">
        <v>37</v>
      </c>
      <c r="K1072" s="14" t="s">
        <v>31</v>
      </c>
      <c r="L1072" s="11" t="s">
        <v>50</v>
      </c>
      <c r="M1072" s="11" t="s">
        <v>6780</v>
      </c>
      <c r="N1072" s="16"/>
      <c r="O1072" s="16"/>
      <c r="P1072" s="16"/>
      <c r="Q1072" s="17"/>
      <c r="R1072" s="17"/>
      <c r="S1072" s="17"/>
      <c r="T1072" s="17"/>
      <c r="U1072" s="17"/>
      <c r="V1072" s="17"/>
      <c r="W1072" s="17"/>
      <c r="X1072" s="17"/>
      <c r="Y1072" s="17"/>
    </row>
    <row r="1073" ht="18.75" customHeight="1">
      <c r="A1073" s="9">
        <v>1075.0</v>
      </c>
      <c r="B1073" s="10" t="s">
        <v>234</v>
      </c>
      <c r="C1073" s="10" t="s">
        <v>235</v>
      </c>
      <c r="D1073" s="10" t="s">
        <v>173</v>
      </c>
      <c r="E1073" s="10" t="s">
        <v>2220</v>
      </c>
      <c r="F1073" s="11" t="s">
        <v>237</v>
      </c>
      <c r="G1073" s="13">
        <v>45991.0</v>
      </c>
      <c r="H1073" s="13">
        <v>45992.0</v>
      </c>
      <c r="I1073" s="11" t="s">
        <v>21</v>
      </c>
      <c r="J1073" s="11" t="s">
        <v>22</v>
      </c>
      <c r="K1073" s="14"/>
      <c r="L1073" s="11" t="s">
        <v>62</v>
      </c>
      <c r="M1073" s="15"/>
      <c r="N1073" s="16"/>
      <c r="O1073" s="16"/>
      <c r="P1073" s="16"/>
      <c r="Q1073" s="17"/>
      <c r="R1073" s="17"/>
      <c r="S1073" s="17"/>
      <c r="T1073" s="17"/>
      <c r="U1073" s="17"/>
      <c r="V1073" s="17"/>
      <c r="W1073" s="17"/>
      <c r="X1073" s="17"/>
      <c r="Y1073" s="17"/>
    </row>
    <row r="1074" ht="18.75" customHeight="1">
      <c r="A1074" s="9">
        <v>1076.0</v>
      </c>
      <c r="B1074" s="11" t="s">
        <v>4285</v>
      </c>
      <c r="C1074" s="11" t="s">
        <v>4286</v>
      </c>
      <c r="D1074" s="11" t="s">
        <v>4287</v>
      </c>
      <c r="E1074" s="11" t="s">
        <v>4288</v>
      </c>
      <c r="F1074" s="11" t="s">
        <v>6811</v>
      </c>
      <c r="G1074" s="13">
        <v>45961.0</v>
      </c>
      <c r="H1074" s="13">
        <v>45962.0</v>
      </c>
      <c r="I1074" s="11" t="s">
        <v>119</v>
      </c>
      <c r="J1074" s="11" t="s">
        <v>37</v>
      </c>
      <c r="K1074" s="14" t="s">
        <v>31</v>
      </c>
      <c r="L1074" s="11"/>
      <c r="M1074" s="15"/>
      <c r="N1074" s="16"/>
      <c r="O1074" s="16"/>
      <c r="P1074" s="16"/>
      <c r="Q1074" s="17"/>
      <c r="R1074" s="17"/>
      <c r="S1074" s="17"/>
      <c r="T1074" s="17"/>
      <c r="U1074" s="17"/>
      <c r="V1074" s="17"/>
      <c r="W1074" s="17"/>
      <c r="X1074" s="17"/>
      <c r="Y1074" s="17"/>
    </row>
    <row r="1075" ht="18.75" customHeight="1">
      <c r="A1075" s="9">
        <v>1077.0</v>
      </c>
      <c r="B1075" s="10" t="s">
        <v>4290</v>
      </c>
      <c r="C1075" s="10" t="s">
        <v>4291</v>
      </c>
      <c r="D1075" s="10" t="s">
        <v>173</v>
      </c>
      <c r="E1075" s="10" t="s">
        <v>4292</v>
      </c>
      <c r="F1075" s="11" t="s">
        <v>6812</v>
      </c>
      <c r="G1075" s="13">
        <v>45991.0</v>
      </c>
      <c r="H1075" s="13">
        <v>45992.0</v>
      </c>
      <c r="I1075" s="11" t="s">
        <v>21</v>
      </c>
      <c r="J1075" s="11" t="s">
        <v>22</v>
      </c>
      <c r="K1075" s="14"/>
      <c r="L1075" s="11" t="s">
        <v>86</v>
      </c>
      <c r="M1075" s="15"/>
      <c r="N1075" s="16"/>
      <c r="O1075" s="16"/>
      <c r="P1075" s="16"/>
      <c r="Q1075" s="17"/>
      <c r="R1075" s="17"/>
      <c r="S1075" s="17"/>
      <c r="T1075" s="17"/>
      <c r="U1075" s="17"/>
      <c r="V1075" s="17"/>
      <c r="W1075" s="17"/>
      <c r="X1075" s="17"/>
      <c r="Y1075" s="17"/>
    </row>
    <row r="1076" ht="18.75" customHeight="1">
      <c r="A1076" s="9">
        <v>1078.0</v>
      </c>
      <c r="B1076" s="11" t="s">
        <v>4294</v>
      </c>
      <c r="C1076" s="11" t="s">
        <v>4295</v>
      </c>
      <c r="D1076" s="11" t="s">
        <v>2135</v>
      </c>
      <c r="E1076" s="11" t="s">
        <v>999</v>
      </c>
      <c r="F1076" s="11" t="s">
        <v>6813</v>
      </c>
      <c r="G1076" s="13">
        <v>45991.0</v>
      </c>
      <c r="H1076" s="13">
        <v>45992.0</v>
      </c>
      <c r="I1076" s="11" t="s">
        <v>25</v>
      </c>
      <c r="J1076" s="11"/>
      <c r="K1076" s="14" t="s">
        <v>31</v>
      </c>
      <c r="L1076" s="11"/>
      <c r="M1076" s="15"/>
      <c r="N1076" s="16"/>
      <c r="O1076" s="16"/>
      <c r="P1076" s="16"/>
      <c r="Q1076" s="17"/>
      <c r="R1076" s="17"/>
      <c r="S1076" s="17"/>
      <c r="T1076" s="17"/>
      <c r="U1076" s="17"/>
      <c r="V1076" s="17"/>
      <c r="W1076" s="17"/>
      <c r="X1076" s="17"/>
      <c r="Y1076" s="17"/>
    </row>
    <row r="1077" ht="18.75" customHeight="1">
      <c r="A1077" s="9">
        <v>1080.0</v>
      </c>
      <c r="B1077" s="11" t="s">
        <v>3855</v>
      </c>
      <c r="C1077" s="11" t="s">
        <v>3856</v>
      </c>
      <c r="D1077" s="11" t="s">
        <v>231</v>
      </c>
      <c r="E1077" s="11" t="s">
        <v>4297</v>
      </c>
      <c r="F1077" s="11" t="s">
        <v>6680</v>
      </c>
      <c r="G1077" s="13">
        <v>45991.0</v>
      </c>
      <c r="H1077" s="13">
        <v>45992.0</v>
      </c>
      <c r="I1077" s="11" t="s">
        <v>25</v>
      </c>
      <c r="J1077" s="11" t="s">
        <v>37</v>
      </c>
      <c r="K1077" s="14" t="s">
        <v>31</v>
      </c>
      <c r="L1077" s="11" t="s">
        <v>62</v>
      </c>
      <c r="M1077" s="15"/>
      <c r="N1077" s="16"/>
      <c r="O1077" s="16"/>
      <c r="P1077" s="16"/>
      <c r="Q1077" s="17"/>
      <c r="R1077" s="17"/>
      <c r="S1077" s="17"/>
      <c r="T1077" s="17"/>
      <c r="U1077" s="17"/>
      <c r="V1077" s="17"/>
      <c r="W1077" s="17"/>
      <c r="X1077" s="17"/>
      <c r="Y1077" s="17"/>
    </row>
    <row r="1078" ht="18.75" customHeight="1">
      <c r="A1078" s="9">
        <v>1081.0</v>
      </c>
      <c r="B1078" s="11" t="s">
        <v>4299</v>
      </c>
      <c r="C1078" s="11" t="s">
        <v>4300</v>
      </c>
      <c r="D1078" s="11" t="s">
        <v>116</v>
      </c>
      <c r="E1078" s="11" t="s">
        <v>4301</v>
      </c>
      <c r="F1078" s="11" t="s">
        <v>6814</v>
      </c>
      <c r="G1078" s="13">
        <v>45982.0</v>
      </c>
      <c r="H1078" s="13">
        <v>45983.0</v>
      </c>
      <c r="I1078" s="11" t="s">
        <v>25</v>
      </c>
      <c r="J1078" s="11" t="s">
        <v>22</v>
      </c>
      <c r="K1078" s="14" t="s">
        <v>31</v>
      </c>
      <c r="L1078" s="11"/>
      <c r="M1078" s="15"/>
      <c r="N1078" s="16"/>
      <c r="O1078" s="16"/>
      <c r="P1078" s="16"/>
      <c r="Q1078" s="17"/>
      <c r="R1078" s="17"/>
      <c r="S1078" s="17"/>
      <c r="T1078" s="17"/>
      <c r="U1078" s="17"/>
      <c r="V1078" s="17"/>
      <c r="W1078" s="17"/>
      <c r="X1078" s="17"/>
      <c r="Y1078" s="17"/>
    </row>
    <row r="1079" ht="18.75" customHeight="1">
      <c r="A1079" s="9">
        <v>1083.0</v>
      </c>
      <c r="B1079" s="11" t="s">
        <v>4304</v>
      </c>
      <c r="C1079" s="11" t="s">
        <v>4305</v>
      </c>
      <c r="D1079" s="11" t="s">
        <v>122</v>
      </c>
      <c r="E1079" s="11" t="s">
        <v>4306</v>
      </c>
      <c r="F1079" s="11" t="s">
        <v>6815</v>
      </c>
      <c r="G1079" s="13">
        <v>45961.0</v>
      </c>
      <c r="H1079" s="13">
        <v>45962.0</v>
      </c>
      <c r="I1079" s="11" t="s">
        <v>251</v>
      </c>
      <c r="J1079" s="11" t="s">
        <v>213</v>
      </c>
      <c r="K1079" s="14" t="s">
        <v>31</v>
      </c>
      <c r="L1079" s="11"/>
      <c r="M1079" s="15"/>
      <c r="N1079" s="16"/>
      <c r="O1079" s="16"/>
      <c r="P1079" s="16"/>
      <c r="Q1079" s="17"/>
      <c r="R1079" s="17"/>
      <c r="S1079" s="17"/>
      <c r="T1079" s="17"/>
      <c r="U1079" s="17"/>
      <c r="V1079" s="17"/>
      <c r="W1079" s="17"/>
      <c r="X1079" s="17"/>
      <c r="Y1079" s="17"/>
    </row>
    <row r="1080" ht="18.75" customHeight="1">
      <c r="A1080" s="9">
        <v>1084.0</v>
      </c>
      <c r="B1080" s="11" t="s">
        <v>4308</v>
      </c>
      <c r="C1080" s="11" t="s">
        <v>4309</v>
      </c>
      <c r="D1080" s="16" t="s">
        <v>444</v>
      </c>
      <c r="E1080" s="11" t="s">
        <v>3601</v>
      </c>
      <c r="F1080" s="11" t="s">
        <v>6816</v>
      </c>
      <c r="G1080" s="13">
        <v>45961.0</v>
      </c>
      <c r="H1080" s="13">
        <v>45962.0</v>
      </c>
      <c r="I1080" s="11" t="s">
        <v>119</v>
      </c>
      <c r="J1080" s="11" t="s">
        <v>22</v>
      </c>
      <c r="K1080" s="14" t="s">
        <v>31</v>
      </c>
      <c r="L1080" s="11" t="s">
        <v>38</v>
      </c>
      <c r="M1080" s="15"/>
      <c r="N1080" s="16"/>
      <c r="O1080" s="16"/>
      <c r="P1080" s="16"/>
      <c r="Q1080" s="17"/>
      <c r="R1080" s="17"/>
      <c r="S1080" s="17"/>
      <c r="T1080" s="17"/>
      <c r="U1080" s="17"/>
      <c r="V1080" s="17"/>
      <c r="W1080" s="17"/>
      <c r="X1080" s="17"/>
      <c r="Y1080" s="17"/>
    </row>
    <row r="1081" ht="18.75" customHeight="1">
      <c r="A1081" s="9">
        <v>1085.0</v>
      </c>
      <c r="B1081" s="11" t="s">
        <v>4311</v>
      </c>
      <c r="C1081" s="11" t="s">
        <v>4312</v>
      </c>
      <c r="D1081" s="11" t="s">
        <v>328</v>
      </c>
      <c r="E1081" s="11" t="s">
        <v>4087</v>
      </c>
      <c r="F1081" s="11" t="s">
        <v>6817</v>
      </c>
      <c r="G1081" s="13">
        <v>45961.0</v>
      </c>
      <c r="H1081" s="13">
        <v>45962.0</v>
      </c>
      <c r="I1081" s="11" t="s">
        <v>119</v>
      </c>
      <c r="J1081" s="11"/>
      <c r="K1081" s="14" t="s">
        <v>31</v>
      </c>
      <c r="L1081" s="11"/>
      <c r="M1081" s="15"/>
      <c r="N1081" s="16"/>
      <c r="O1081" s="16"/>
      <c r="P1081" s="16"/>
      <c r="Q1081" s="17"/>
      <c r="R1081" s="17"/>
      <c r="S1081" s="17"/>
      <c r="T1081" s="17"/>
      <c r="U1081" s="17"/>
      <c r="V1081" s="17"/>
      <c r="W1081" s="17"/>
      <c r="X1081" s="17"/>
      <c r="Y1081" s="17"/>
    </row>
    <row r="1082" ht="18.75" customHeight="1">
      <c r="A1082" s="9">
        <v>1086.0</v>
      </c>
      <c r="B1082" s="11" t="s">
        <v>4314</v>
      </c>
      <c r="C1082" s="11" t="s">
        <v>4315</v>
      </c>
      <c r="D1082" s="11" t="s">
        <v>122</v>
      </c>
      <c r="E1082" s="11" t="s">
        <v>2392</v>
      </c>
      <c r="F1082" s="11" t="s">
        <v>6818</v>
      </c>
      <c r="G1082" s="13">
        <v>45961.0</v>
      </c>
      <c r="H1082" s="13">
        <v>45962.0</v>
      </c>
      <c r="I1082" s="11" t="s">
        <v>119</v>
      </c>
      <c r="J1082" s="11"/>
      <c r="K1082" s="14" t="s">
        <v>31</v>
      </c>
      <c r="L1082" s="11"/>
      <c r="M1082" s="15"/>
      <c r="N1082" s="16"/>
      <c r="O1082" s="16"/>
      <c r="P1082" s="16"/>
      <c r="Q1082" s="17"/>
      <c r="R1082" s="17"/>
      <c r="S1082" s="17"/>
      <c r="T1082" s="17"/>
      <c r="U1082" s="17"/>
      <c r="V1082" s="17"/>
      <c r="W1082" s="17"/>
      <c r="X1082" s="17"/>
      <c r="Y1082" s="17"/>
    </row>
    <row r="1083" ht="18.75" customHeight="1">
      <c r="A1083" s="9">
        <v>1087.0</v>
      </c>
      <c r="B1083" s="11" t="s">
        <v>4317</v>
      </c>
      <c r="C1083" s="11" t="s">
        <v>4318</v>
      </c>
      <c r="D1083" s="11" t="s">
        <v>636</v>
      </c>
      <c r="E1083" s="11" t="s">
        <v>4319</v>
      </c>
      <c r="F1083" s="11" t="s">
        <v>6819</v>
      </c>
      <c r="G1083" s="13">
        <v>45990.0</v>
      </c>
      <c r="H1083" s="13">
        <v>45991.0</v>
      </c>
      <c r="I1083" s="11" t="s">
        <v>25</v>
      </c>
      <c r="J1083" s="11" t="s">
        <v>37</v>
      </c>
      <c r="K1083" s="14" t="s">
        <v>31</v>
      </c>
      <c r="L1083" s="11"/>
      <c r="M1083" s="15"/>
      <c r="N1083" s="16"/>
      <c r="O1083" s="16"/>
      <c r="P1083" s="16"/>
      <c r="Q1083" s="17"/>
      <c r="R1083" s="17"/>
      <c r="S1083" s="17"/>
      <c r="T1083" s="17"/>
      <c r="U1083" s="17"/>
      <c r="V1083" s="17"/>
      <c r="W1083" s="17"/>
      <c r="X1083" s="17"/>
      <c r="Y1083" s="17"/>
    </row>
    <row r="1084" ht="18.75" customHeight="1">
      <c r="A1084" s="9">
        <v>1088.0</v>
      </c>
      <c r="B1084" s="11" t="s">
        <v>4321</v>
      </c>
      <c r="C1084" s="11" t="s">
        <v>4322</v>
      </c>
      <c r="D1084" s="11" t="s">
        <v>116</v>
      </c>
      <c r="E1084" s="11" t="s">
        <v>4323</v>
      </c>
      <c r="F1084" s="11" t="s">
        <v>6820</v>
      </c>
      <c r="G1084" s="13">
        <v>45995.0</v>
      </c>
      <c r="H1084" s="13">
        <v>45996.0</v>
      </c>
      <c r="I1084" s="11" t="s">
        <v>25</v>
      </c>
      <c r="J1084" s="11" t="s">
        <v>37</v>
      </c>
      <c r="K1084" s="14" t="s">
        <v>31</v>
      </c>
      <c r="L1084" s="11" t="s">
        <v>62</v>
      </c>
      <c r="M1084" s="15"/>
      <c r="N1084" s="16"/>
      <c r="O1084" s="16"/>
      <c r="P1084" s="16"/>
      <c r="Q1084" s="17"/>
      <c r="R1084" s="17"/>
      <c r="S1084" s="17"/>
      <c r="T1084" s="17"/>
      <c r="U1084" s="17"/>
      <c r="V1084" s="17"/>
      <c r="W1084" s="17"/>
      <c r="X1084" s="17"/>
      <c r="Y1084" s="17"/>
    </row>
    <row r="1085" ht="18.75" customHeight="1">
      <c r="A1085" s="9">
        <v>1089.0</v>
      </c>
      <c r="B1085" s="11" t="s">
        <v>4325</v>
      </c>
      <c r="C1085" s="11" t="s">
        <v>4326</v>
      </c>
      <c r="D1085" s="11" t="s">
        <v>122</v>
      </c>
      <c r="E1085" s="11" t="s">
        <v>2380</v>
      </c>
      <c r="F1085" s="11" t="s">
        <v>6821</v>
      </c>
      <c r="G1085" s="13">
        <v>45962.0</v>
      </c>
      <c r="H1085" s="13">
        <v>45963.0</v>
      </c>
      <c r="I1085" s="11" t="s">
        <v>251</v>
      </c>
      <c r="J1085" s="11" t="s">
        <v>213</v>
      </c>
      <c r="K1085" s="14" t="s">
        <v>31</v>
      </c>
      <c r="L1085" s="11"/>
      <c r="M1085" s="15"/>
      <c r="N1085" s="16"/>
      <c r="O1085" s="16"/>
      <c r="P1085" s="16"/>
      <c r="Q1085" s="17"/>
      <c r="R1085" s="17"/>
      <c r="S1085" s="17"/>
      <c r="T1085" s="17"/>
      <c r="U1085" s="17"/>
      <c r="V1085" s="17"/>
      <c r="W1085" s="17"/>
      <c r="X1085" s="17"/>
      <c r="Y1085" s="17"/>
    </row>
    <row r="1086" ht="18.75" customHeight="1">
      <c r="A1086" s="9">
        <v>1090.0</v>
      </c>
      <c r="B1086" s="11" t="s">
        <v>4327</v>
      </c>
      <c r="C1086" s="11" t="s">
        <v>4328</v>
      </c>
      <c r="D1086" s="11" t="s">
        <v>682</v>
      </c>
      <c r="E1086" s="11" t="s">
        <v>500</v>
      </c>
      <c r="F1086" s="11" t="s">
        <v>6822</v>
      </c>
      <c r="G1086" s="13">
        <v>45964.0</v>
      </c>
      <c r="H1086" s="13">
        <v>45965.0</v>
      </c>
      <c r="I1086" s="11" t="s">
        <v>251</v>
      </c>
      <c r="J1086" s="11"/>
      <c r="K1086" s="14" t="s">
        <v>31</v>
      </c>
      <c r="L1086" s="11"/>
      <c r="M1086" s="15"/>
      <c r="N1086" s="16"/>
      <c r="O1086" s="16"/>
      <c r="P1086" s="16"/>
      <c r="Q1086" s="17"/>
      <c r="R1086" s="17"/>
      <c r="S1086" s="17"/>
      <c r="T1086" s="17"/>
      <c r="U1086" s="17"/>
      <c r="V1086" s="17"/>
      <c r="W1086" s="17"/>
      <c r="X1086" s="17"/>
      <c r="Y1086" s="17"/>
    </row>
    <row r="1087" ht="18.75" customHeight="1">
      <c r="A1087" s="9">
        <v>1091.0</v>
      </c>
      <c r="B1087" s="11" t="s">
        <v>4329</v>
      </c>
      <c r="C1087" s="11" t="s">
        <v>4330</v>
      </c>
      <c r="D1087" s="11" t="s">
        <v>110</v>
      </c>
      <c r="E1087" s="11" t="s">
        <v>129</v>
      </c>
      <c r="F1087" s="11" t="s">
        <v>6823</v>
      </c>
      <c r="G1087" s="13">
        <v>45961.0</v>
      </c>
      <c r="H1087" s="13">
        <v>45962.0</v>
      </c>
      <c r="I1087" s="11" t="s">
        <v>251</v>
      </c>
      <c r="J1087" s="11"/>
      <c r="K1087" s="14" t="s">
        <v>31</v>
      </c>
      <c r="L1087" s="11"/>
      <c r="M1087" s="15"/>
      <c r="N1087" s="16"/>
      <c r="O1087" s="16"/>
      <c r="P1087" s="16"/>
      <c r="Q1087" s="17"/>
      <c r="R1087" s="17"/>
      <c r="S1087" s="17"/>
      <c r="T1087" s="17"/>
      <c r="U1087" s="17"/>
      <c r="V1087" s="17"/>
      <c r="W1087" s="17"/>
      <c r="X1087" s="17"/>
      <c r="Y1087" s="17"/>
    </row>
    <row r="1088" ht="18.75" customHeight="1">
      <c r="A1088" s="9">
        <v>1093.0</v>
      </c>
      <c r="B1088" s="11" t="s">
        <v>4332</v>
      </c>
      <c r="C1088" s="11" t="s">
        <v>4333</v>
      </c>
      <c r="D1088" s="11" t="s">
        <v>110</v>
      </c>
      <c r="E1088" s="11" t="s">
        <v>3493</v>
      </c>
      <c r="F1088" s="11" t="s">
        <v>6824</v>
      </c>
      <c r="G1088" s="12">
        <v>46006.0</v>
      </c>
      <c r="H1088" s="13">
        <v>46007.0</v>
      </c>
      <c r="I1088" s="11" t="s">
        <v>25</v>
      </c>
      <c r="J1088" s="11" t="s">
        <v>37</v>
      </c>
      <c r="K1088" s="14" t="s">
        <v>31</v>
      </c>
      <c r="L1088" s="11" t="s">
        <v>97</v>
      </c>
      <c r="M1088" s="11" t="s">
        <v>6825</v>
      </c>
      <c r="N1088" s="16"/>
      <c r="O1088" s="16"/>
      <c r="P1088" s="16"/>
      <c r="Q1088" s="17"/>
      <c r="R1088" s="17"/>
      <c r="S1088" s="17"/>
      <c r="T1088" s="17"/>
      <c r="U1088" s="17"/>
      <c r="V1088" s="17"/>
      <c r="W1088" s="17"/>
      <c r="X1088" s="17"/>
      <c r="Y1088" s="17"/>
    </row>
    <row r="1089" ht="18.75" customHeight="1">
      <c r="A1089" s="9">
        <v>1094.0</v>
      </c>
      <c r="B1089" s="11" t="s">
        <v>4335</v>
      </c>
      <c r="C1089" s="11" t="s">
        <v>4336</v>
      </c>
      <c r="D1089" s="11" t="s">
        <v>122</v>
      </c>
      <c r="E1089" s="11" t="s">
        <v>3665</v>
      </c>
      <c r="F1089" s="11" t="s">
        <v>6826</v>
      </c>
      <c r="G1089" s="13">
        <v>45991.0</v>
      </c>
      <c r="H1089" s="13">
        <v>45992.0</v>
      </c>
      <c r="I1089" s="11" t="s">
        <v>119</v>
      </c>
      <c r="J1089" s="11" t="s">
        <v>37</v>
      </c>
      <c r="K1089" s="14" t="s">
        <v>31</v>
      </c>
      <c r="L1089" s="11" t="s">
        <v>74</v>
      </c>
      <c r="M1089" s="11" t="s">
        <v>6827</v>
      </c>
      <c r="N1089" s="16"/>
      <c r="O1089" s="16"/>
      <c r="P1089" s="16"/>
      <c r="Q1089" s="17"/>
      <c r="R1089" s="17"/>
      <c r="S1089" s="17"/>
      <c r="T1089" s="17"/>
      <c r="U1089" s="17"/>
      <c r="V1089" s="17"/>
      <c r="W1089" s="17"/>
      <c r="X1089" s="17"/>
      <c r="Y1089" s="17"/>
    </row>
    <row r="1090" ht="18.75" customHeight="1">
      <c r="A1090" s="9">
        <v>1095.0</v>
      </c>
      <c r="B1090" s="11" t="s">
        <v>4338</v>
      </c>
      <c r="C1090" s="11" t="s">
        <v>4339</v>
      </c>
      <c r="D1090" s="11" t="s">
        <v>122</v>
      </c>
      <c r="E1090" s="11" t="s">
        <v>4071</v>
      </c>
      <c r="F1090" s="11" t="s">
        <v>6828</v>
      </c>
      <c r="G1090" s="13">
        <v>45991.0</v>
      </c>
      <c r="H1090" s="13">
        <v>45992.0</v>
      </c>
      <c r="I1090" s="11" t="s">
        <v>25</v>
      </c>
      <c r="J1090" s="11" t="s">
        <v>22</v>
      </c>
      <c r="K1090" s="14" t="s">
        <v>31</v>
      </c>
      <c r="L1090" s="11"/>
      <c r="M1090" s="15"/>
      <c r="N1090" s="16"/>
      <c r="O1090" s="16"/>
      <c r="P1090" s="16"/>
      <c r="Q1090" s="17"/>
      <c r="R1090" s="17"/>
      <c r="S1090" s="17"/>
      <c r="T1090" s="17"/>
      <c r="U1090" s="17"/>
      <c r="V1090" s="17"/>
      <c r="W1090" s="17"/>
      <c r="X1090" s="17"/>
      <c r="Y1090" s="17"/>
    </row>
    <row r="1091" ht="18.75" customHeight="1">
      <c r="A1091" s="9">
        <v>1096.0</v>
      </c>
      <c r="B1091" s="11" t="s">
        <v>4341</v>
      </c>
      <c r="C1091" s="11" t="s">
        <v>4342</v>
      </c>
      <c r="D1091" s="11" t="s">
        <v>128</v>
      </c>
      <c r="E1091" s="11" t="s">
        <v>4343</v>
      </c>
      <c r="F1091" s="11" t="s">
        <v>6829</v>
      </c>
      <c r="G1091" s="13">
        <v>45961.0</v>
      </c>
      <c r="H1091" s="13">
        <v>45962.0</v>
      </c>
      <c r="I1091" s="11" t="s">
        <v>251</v>
      </c>
      <c r="J1091" s="11" t="s">
        <v>213</v>
      </c>
      <c r="K1091" s="14" t="s">
        <v>31</v>
      </c>
      <c r="L1091" s="11"/>
      <c r="M1091" s="15"/>
      <c r="N1091" s="16"/>
      <c r="O1091" s="16"/>
      <c r="P1091" s="16"/>
      <c r="Q1091" s="17"/>
      <c r="R1091" s="17"/>
      <c r="S1091" s="17"/>
      <c r="T1091" s="17"/>
      <c r="U1091" s="17"/>
      <c r="V1091" s="17"/>
      <c r="W1091" s="17"/>
      <c r="X1091" s="17"/>
      <c r="Y1091" s="17"/>
    </row>
    <row r="1092" ht="18.75" customHeight="1">
      <c r="A1092" s="9">
        <v>1097.0</v>
      </c>
      <c r="B1092" s="11" t="s">
        <v>4344</v>
      </c>
      <c r="C1092" s="11" t="s">
        <v>4345</v>
      </c>
      <c r="D1092" s="11" t="s">
        <v>655</v>
      </c>
      <c r="E1092" s="11" t="s">
        <v>656</v>
      </c>
      <c r="F1092" s="11" t="s">
        <v>6830</v>
      </c>
      <c r="G1092" s="13">
        <v>45971.0</v>
      </c>
      <c r="H1092" s="13">
        <v>45972.0</v>
      </c>
      <c r="I1092" s="11" t="s">
        <v>119</v>
      </c>
      <c r="J1092" s="11" t="s">
        <v>37</v>
      </c>
      <c r="K1092" s="14" t="s">
        <v>31</v>
      </c>
      <c r="L1092" s="11" t="s">
        <v>38</v>
      </c>
      <c r="M1092" s="15"/>
      <c r="N1092" s="16"/>
      <c r="O1092" s="16"/>
      <c r="P1092" s="16"/>
      <c r="Q1092" s="17"/>
      <c r="R1092" s="17"/>
      <c r="S1092" s="17"/>
      <c r="T1092" s="17"/>
      <c r="U1092" s="17"/>
      <c r="V1092" s="17"/>
      <c r="W1092" s="17"/>
      <c r="X1092" s="17"/>
      <c r="Y1092" s="17"/>
    </row>
    <row r="1093" ht="18.75" customHeight="1">
      <c r="A1093" s="9">
        <v>1098.0</v>
      </c>
      <c r="B1093" s="11" t="s">
        <v>4347</v>
      </c>
      <c r="C1093" s="11" t="s">
        <v>4348</v>
      </c>
      <c r="D1093" s="11" t="s">
        <v>173</v>
      </c>
      <c r="E1093" s="11" t="s">
        <v>1962</v>
      </c>
      <c r="F1093" s="11" t="s">
        <v>6831</v>
      </c>
      <c r="G1093" s="13">
        <v>45991.0</v>
      </c>
      <c r="H1093" s="13">
        <v>45992.0</v>
      </c>
      <c r="I1093" s="11" t="s">
        <v>21</v>
      </c>
      <c r="J1093" s="11" t="s">
        <v>22</v>
      </c>
      <c r="K1093" s="14"/>
      <c r="L1093" s="11"/>
      <c r="M1093" s="15"/>
      <c r="N1093" s="16"/>
      <c r="O1093" s="16"/>
      <c r="P1093" s="16"/>
      <c r="Q1093" s="17"/>
      <c r="R1093" s="17"/>
      <c r="S1093" s="17"/>
      <c r="T1093" s="17"/>
      <c r="U1093" s="17"/>
      <c r="V1093" s="17"/>
      <c r="W1093" s="17"/>
      <c r="X1093" s="17"/>
      <c r="Y1093" s="17"/>
    </row>
    <row r="1094" ht="18.75" customHeight="1">
      <c r="A1094" s="9">
        <v>1099.0</v>
      </c>
      <c r="B1094" s="11" t="s">
        <v>4350</v>
      </c>
      <c r="C1094" s="11" t="s">
        <v>4351</v>
      </c>
      <c r="D1094" s="11" t="s">
        <v>128</v>
      </c>
      <c r="E1094" s="11" t="s">
        <v>3136</v>
      </c>
      <c r="F1094" s="11" t="s">
        <v>6832</v>
      </c>
      <c r="G1094" s="13">
        <v>45961.0</v>
      </c>
      <c r="H1094" s="13">
        <v>45962.0</v>
      </c>
      <c r="I1094" s="11" t="s">
        <v>251</v>
      </c>
      <c r="J1094" s="11" t="s">
        <v>213</v>
      </c>
      <c r="K1094" s="14" t="s">
        <v>31</v>
      </c>
      <c r="L1094" s="11"/>
      <c r="M1094" s="15"/>
      <c r="N1094" s="16"/>
      <c r="O1094" s="16"/>
      <c r="P1094" s="16"/>
      <c r="Q1094" s="17"/>
      <c r="R1094" s="17"/>
      <c r="S1094" s="17"/>
      <c r="T1094" s="17"/>
      <c r="U1094" s="17"/>
      <c r="V1094" s="17"/>
      <c r="W1094" s="17"/>
      <c r="X1094" s="17"/>
      <c r="Y1094" s="17"/>
    </row>
    <row r="1095" ht="18.75" customHeight="1">
      <c r="A1095" s="9">
        <v>1100.0</v>
      </c>
      <c r="B1095" s="11" t="s">
        <v>4352</v>
      </c>
      <c r="C1095" s="11" t="s">
        <v>4353</v>
      </c>
      <c r="D1095" s="11" t="s">
        <v>1197</v>
      </c>
      <c r="E1095" s="11" t="s">
        <v>4354</v>
      </c>
      <c r="F1095" s="11" t="s">
        <v>4951</v>
      </c>
      <c r="G1095" s="13">
        <v>45991.0</v>
      </c>
      <c r="H1095" s="13">
        <v>45992.0</v>
      </c>
      <c r="I1095" s="11" t="s">
        <v>119</v>
      </c>
      <c r="J1095" s="11" t="s">
        <v>37</v>
      </c>
      <c r="K1095" s="14" t="s">
        <v>31</v>
      </c>
      <c r="L1095" s="11"/>
      <c r="M1095" s="11" t="s">
        <v>6833</v>
      </c>
      <c r="N1095" s="16"/>
      <c r="O1095" s="16"/>
      <c r="P1095" s="16"/>
      <c r="Q1095" s="17"/>
      <c r="R1095" s="17"/>
      <c r="S1095" s="17"/>
      <c r="T1095" s="17"/>
      <c r="U1095" s="17"/>
      <c r="V1095" s="17"/>
      <c r="W1095" s="17"/>
      <c r="X1095" s="17"/>
      <c r="Y1095" s="17"/>
    </row>
    <row r="1096" ht="18.75" customHeight="1">
      <c r="A1096" s="9">
        <v>1102.0</v>
      </c>
      <c r="B1096" s="11" t="s">
        <v>4357</v>
      </c>
      <c r="C1096" s="11" t="s">
        <v>4358</v>
      </c>
      <c r="D1096" s="11" t="s">
        <v>122</v>
      </c>
      <c r="E1096" s="11" t="s">
        <v>2483</v>
      </c>
      <c r="F1096" s="11" t="s">
        <v>6834</v>
      </c>
      <c r="G1096" s="13">
        <v>45961.0</v>
      </c>
      <c r="H1096" s="13">
        <v>45962.0</v>
      </c>
      <c r="I1096" s="11" t="s">
        <v>251</v>
      </c>
      <c r="J1096" s="11" t="s">
        <v>213</v>
      </c>
      <c r="K1096" s="14" t="s">
        <v>31</v>
      </c>
      <c r="L1096" s="11"/>
      <c r="M1096" s="15"/>
      <c r="N1096" s="16"/>
      <c r="O1096" s="16"/>
      <c r="P1096" s="16"/>
      <c r="Q1096" s="17"/>
      <c r="R1096" s="17"/>
      <c r="S1096" s="17"/>
      <c r="T1096" s="17"/>
      <c r="U1096" s="17"/>
      <c r="V1096" s="17"/>
      <c r="W1096" s="17"/>
      <c r="X1096" s="17"/>
      <c r="Y1096" s="17"/>
    </row>
    <row r="1097" ht="18.75" customHeight="1">
      <c r="A1097" s="9">
        <v>1103.0</v>
      </c>
      <c r="B1097" s="11" t="s">
        <v>4359</v>
      </c>
      <c r="C1097" s="11" t="s">
        <v>4360</v>
      </c>
      <c r="D1097" s="11" t="s">
        <v>110</v>
      </c>
      <c r="E1097" s="11" t="s">
        <v>4343</v>
      </c>
      <c r="F1097" s="11" t="s">
        <v>6835</v>
      </c>
      <c r="G1097" s="13">
        <v>45991.0</v>
      </c>
      <c r="H1097" s="13">
        <v>45992.0</v>
      </c>
      <c r="I1097" s="11" t="s">
        <v>251</v>
      </c>
      <c r="J1097" s="11" t="s">
        <v>213</v>
      </c>
      <c r="K1097" s="14" t="s">
        <v>31</v>
      </c>
      <c r="L1097" s="11"/>
      <c r="M1097" s="11" t="s">
        <v>183</v>
      </c>
      <c r="N1097" s="16"/>
      <c r="O1097" s="16"/>
      <c r="P1097" s="16"/>
      <c r="Q1097" s="17"/>
      <c r="R1097" s="17"/>
      <c r="S1097" s="17"/>
      <c r="T1097" s="17"/>
      <c r="U1097" s="17"/>
      <c r="V1097" s="17"/>
      <c r="W1097" s="17"/>
      <c r="X1097" s="17"/>
      <c r="Y1097" s="17"/>
    </row>
    <row r="1098" ht="18.75" customHeight="1">
      <c r="A1098" s="9">
        <v>1104.0</v>
      </c>
      <c r="B1098" s="11" t="s">
        <v>4362</v>
      </c>
      <c r="C1098" s="11" t="s">
        <v>4363</v>
      </c>
      <c r="D1098" s="11" t="s">
        <v>122</v>
      </c>
      <c r="E1098" s="11" t="s">
        <v>1971</v>
      </c>
      <c r="F1098" s="11" t="s">
        <v>6836</v>
      </c>
      <c r="G1098" s="13">
        <v>45991.0</v>
      </c>
      <c r="H1098" s="13">
        <v>45992.0</v>
      </c>
      <c r="I1098" s="11" t="s">
        <v>25</v>
      </c>
      <c r="J1098" s="11" t="s">
        <v>22</v>
      </c>
      <c r="K1098" s="14" t="s">
        <v>31</v>
      </c>
      <c r="L1098" s="11"/>
      <c r="M1098" s="15"/>
      <c r="N1098" s="16"/>
      <c r="O1098" s="16"/>
      <c r="P1098" s="16"/>
      <c r="Q1098" s="17"/>
      <c r="R1098" s="17"/>
      <c r="S1098" s="17"/>
      <c r="T1098" s="17"/>
      <c r="U1098" s="17"/>
      <c r="V1098" s="17"/>
      <c r="W1098" s="17"/>
      <c r="X1098" s="17"/>
      <c r="Y1098" s="17"/>
    </row>
    <row r="1099" ht="18.75" customHeight="1">
      <c r="A1099" s="9">
        <v>1105.0</v>
      </c>
      <c r="B1099" s="11" t="s">
        <v>4365</v>
      </c>
      <c r="C1099" s="11" t="s">
        <v>4366</v>
      </c>
      <c r="D1099" s="11" t="s">
        <v>122</v>
      </c>
      <c r="E1099" s="11" t="s">
        <v>1971</v>
      </c>
      <c r="F1099" s="11" t="s">
        <v>6837</v>
      </c>
      <c r="G1099" s="13">
        <v>46001.0</v>
      </c>
      <c r="H1099" s="13">
        <v>46002.0</v>
      </c>
      <c r="I1099" s="11" t="s">
        <v>25</v>
      </c>
      <c r="J1099" s="11" t="s">
        <v>37</v>
      </c>
      <c r="K1099" s="14" t="s">
        <v>31</v>
      </c>
      <c r="L1099" s="11" t="s">
        <v>62</v>
      </c>
      <c r="M1099" s="11" t="s">
        <v>6838</v>
      </c>
      <c r="N1099" s="16"/>
      <c r="O1099" s="16"/>
      <c r="P1099" s="16"/>
      <c r="Q1099" s="17"/>
      <c r="R1099" s="17"/>
      <c r="S1099" s="17"/>
      <c r="T1099" s="17"/>
      <c r="U1099" s="17"/>
      <c r="V1099" s="17"/>
      <c r="W1099" s="17"/>
      <c r="X1099" s="17"/>
      <c r="Y1099" s="17"/>
    </row>
    <row r="1100" ht="18.75" customHeight="1">
      <c r="A1100" s="9">
        <v>1106.0</v>
      </c>
      <c r="B1100" s="11" t="s">
        <v>4368</v>
      </c>
      <c r="C1100" s="11" t="s">
        <v>4369</v>
      </c>
      <c r="D1100" s="11" t="s">
        <v>701</v>
      </c>
      <c r="E1100" s="11" t="s">
        <v>4370</v>
      </c>
      <c r="F1100" s="11" t="s">
        <v>6839</v>
      </c>
      <c r="G1100" s="13">
        <v>45991.0</v>
      </c>
      <c r="H1100" s="13">
        <v>45992.0</v>
      </c>
      <c r="I1100" s="11" t="s">
        <v>119</v>
      </c>
      <c r="J1100" s="11" t="s">
        <v>22</v>
      </c>
      <c r="K1100" s="14" t="s">
        <v>31</v>
      </c>
      <c r="L1100" s="11"/>
      <c r="M1100" s="15"/>
      <c r="N1100" s="16"/>
      <c r="O1100" s="16"/>
      <c r="P1100" s="16"/>
      <c r="Q1100" s="17"/>
      <c r="R1100" s="17"/>
      <c r="S1100" s="17"/>
      <c r="T1100" s="17"/>
      <c r="U1100" s="17"/>
      <c r="V1100" s="17"/>
      <c r="W1100" s="17"/>
      <c r="X1100" s="17"/>
      <c r="Y1100" s="17"/>
    </row>
    <row r="1101" ht="18.75" customHeight="1">
      <c r="A1101" s="9">
        <v>1107.0</v>
      </c>
      <c r="B1101" s="11" t="s">
        <v>4372</v>
      </c>
      <c r="C1101" s="11" t="s">
        <v>4373</v>
      </c>
      <c r="D1101" s="11" t="s">
        <v>42</v>
      </c>
      <c r="E1101" s="11" t="s">
        <v>148</v>
      </c>
      <c r="F1101" s="11" t="s">
        <v>6840</v>
      </c>
      <c r="G1101" s="13">
        <v>45991.0</v>
      </c>
      <c r="H1101" s="13">
        <v>45992.0</v>
      </c>
      <c r="I1101" s="11" t="s">
        <v>119</v>
      </c>
      <c r="J1101" s="11" t="s">
        <v>22</v>
      </c>
      <c r="K1101" s="14" t="s">
        <v>31</v>
      </c>
      <c r="L1101" s="11"/>
      <c r="M1101" s="11" t="s">
        <v>6841</v>
      </c>
      <c r="N1101" s="16"/>
      <c r="O1101" s="16"/>
      <c r="P1101" s="16"/>
      <c r="Q1101" s="17"/>
      <c r="R1101" s="17"/>
      <c r="S1101" s="17"/>
      <c r="T1101" s="17"/>
      <c r="U1101" s="17"/>
      <c r="V1101" s="17"/>
      <c r="W1101" s="17"/>
      <c r="X1101" s="17"/>
      <c r="Y1101" s="17"/>
    </row>
    <row r="1102" ht="18.75" customHeight="1">
      <c r="A1102" s="9">
        <v>1108.0</v>
      </c>
      <c r="B1102" s="11" t="s">
        <v>4375</v>
      </c>
      <c r="C1102" s="11" t="s">
        <v>4376</v>
      </c>
      <c r="D1102" s="11" t="s">
        <v>646</v>
      </c>
      <c r="E1102" s="11" t="s">
        <v>4377</v>
      </c>
      <c r="F1102" s="11" t="s">
        <v>6842</v>
      </c>
      <c r="G1102" s="13">
        <v>45991.0</v>
      </c>
      <c r="H1102" s="13">
        <v>45992.0</v>
      </c>
      <c r="I1102" s="11" t="s">
        <v>119</v>
      </c>
      <c r="J1102" s="11" t="s">
        <v>37</v>
      </c>
      <c r="K1102" s="14" t="s">
        <v>31</v>
      </c>
      <c r="L1102" s="11" t="s">
        <v>50</v>
      </c>
      <c r="M1102" s="15"/>
      <c r="N1102" s="16"/>
      <c r="O1102" s="16"/>
      <c r="P1102" s="16"/>
      <c r="Q1102" s="17"/>
      <c r="R1102" s="17"/>
      <c r="S1102" s="17"/>
      <c r="T1102" s="17"/>
      <c r="U1102" s="17"/>
      <c r="V1102" s="17"/>
      <c r="W1102" s="17"/>
      <c r="X1102" s="17"/>
      <c r="Y1102" s="17"/>
    </row>
    <row r="1103" ht="18.75" customHeight="1">
      <c r="A1103" s="9">
        <v>1109.0</v>
      </c>
      <c r="B1103" s="11" t="s">
        <v>4379</v>
      </c>
      <c r="C1103" s="11" t="s">
        <v>4380</v>
      </c>
      <c r="D1103" s="11" t="s">
        <v>276</v>
      </c>
      <c r="E1103" s="11" t="s">
        <v>4381</v>
      </c>
      <c r="F1103" s="11" t="s">
        <v>6843</v>
      </c>
      <c r="G1103" s="13">
        <v>46007.0</v>
      </c>
      <c r="H1103" s="13">
        <v>46008.0</v>
      </c>
      <c r="I1103" s="11" t="s">
        <v>25</v>
      </c>
      <c r="J1103" s="11" t="s">
        <v>37</v>
      </c>
      <c r="K1103" s="14" t="s">
        <v>31</v>
      </c>
      <c r="L1103" s="11" t="s">
        <v>97</v>
      </c>
      <c r="M1103" s="15"/>
      <c r="N1103" s="16"/>
      <c r="O1103" s="16"/>
      <c r="P1103" s="16"/>
      <c r="Q1103" s="17"/>
      <c r="R1103" s="17"/>
      <c r="S1103" s="17"/>
      <c r="T1103" s="17"/>
      <c r="U1103" s="17"/>
      <c r="V1103" s="17"/>
      <c r="W1103" s="17"/>
      <c r="X1103" s="17"/>
      <c r="Y1103" s="17"/>
    </row>
    <row r="1104" ht="18.75" customHeight="1">
      <c r="A1104" s="9">
        <v>1110.0</v>
      </c>
      <c r="B1104" s="11" t="s">
        <v>4383</v>
      </c>
      <c r="C1104" s="11" t="s">
        <v>4384</v>
      </c>
      <c r="D1104" s="11" t="s">
        <v>42</v>
      </c>
      <c r="E1104" s="11" t="s">
        <v>4385</v>
      </c>
      <c r="F1104" s="11" t="s">
        <v>6844</v>
      </c>
      <c r="G1104" s="13">
        <v>45961.0</v>
      </c>
      <c r="H1104" s="13">
        <v>45962.0</v>
      </c>
      <c r="I1104" s="11" t="s">
        <v>251</v>
      </c>
      <c r="J1104" s="11" t="s">
        <v>213</v>
      </c>
      <c r="K1104" s="14" t="s">
        <v>31</v>
      </c>
      <c r="L1104" s="11"/>
      <c r="M1104" s="15"/>
      <c r="N1104" s="16"/>
      <c r="O1104" s="16"/>
      <c r="P1104" s="16"/>
      <c r="Q1104" s="17"/>
      <c r="R1104" s="17"/>
      <c r="S1104" s="17"/>
      <c r="T1104" s="17"/>
      <c r="U1104" s="17"/>
      <c r="V1104" s="17"/>
      <c r="W1104" s="17"/>
      <c r="X1104" s="17"/>
      <c r="Y1104" s="17"/>
    </row>
    <row r="1105" ht="18.75" customHeight="1">
      <c r="A1105" s="9">
        <v>1111.0</v>
      </c>
      <c r="B1105" s="11" t="s">
        <v>4386</v>
      </c>
      <c r="C1105" s="11" t="s">
        <v>4387</v>
      </c>
      <c r="D1105" s="11" t="s">
        <v>71</v>
      </c>
      <c r="E1105" s="11" t="s">
        <v>617</v>
      </c>
      <c r="F1105" s="11" t="s">
        <v>6845</v>
      </c>
      <c r="G1105" s="13">
        <v>45968.0</v>
      </c>
      <c r="H1105" s="13">
        <v>45969.0</v>
      </c>
      <c r="I1105" s="11" t="s">
        <v>251</v>
      </c>
      <c r="J1105" s="11"/>
      <c r="K1105" s="14" t="s">
        <v>31</v>
      </c>
      <c r="L1105" s="11"/>
      <c r="M1105" s="15"/>
      <c r="N1105" s="16"/>
      <c r="O1105" s="16"/>
      <c r="P1105" s="16"/>
      <c r="Q1105" s="17"/>
      <c r="R1105" s="17"/>
      <c r="S1105" s="17"/>
      <c r="T1105" s="17"/>
      <c r="U1105" s="17"/>
      <c r="V1105" s="17"/>
      <c r="W1105" s="17"/>
      <c r="X1105" s="17"/>
      <c r="Y1105" s="17"/>
    </row>
    <row r="1106" ht="18.75" customHeight="1">
      <c r="A1106" s="9">
        <v>1112.0</v>
      </c>
      <c r="B1106" s="11" t="s">
        <v>4388</v>
      </c>
      <c r="C1106" s="11" t="s">
        <v>4389</v>
      </c>
      <c r="D1106" s="11" t="s">
        <v>94</v>
      </c>
      <c r="E1106" s="11" t="s">
        <v>1022</v>
      </c>
      <c r="F1106" s="11" t="s">
        <v>6846</v>
      </c>
      <c r="G1106" s="13">
        <v>45967.0</v>
      </c>
      <c r="H1106" s="13">
        <v>45968.0</v>
      </c>
      <c r="I1106" s="11" t="s">
        <v>251</v>
      </c>
      <c r="J1106" s="11" t="s">
        <v>213</v>
      </c>
      <c r="K1106" s="14" t="s">
        <v>31</v>
      </c>
      <c r="L1106" s="11"/>
      <c r="M1106" s="15"/>
      <c r="N1106" s="16"/>
      <c r="O1106" s="16"/>
      <c r="P1106" s="16"/>
      <c r="Q1106" s="17"/>
      <c r="R1106" s="17"/>
      <c r="S1106" s="17"/>
      <c r="T1106" s="17"/>
      <c r="U1106" s="17"/>
      <c r="V1106" s="17"/>
      <c r="W1106" s="17"/>
      <c r="X1106" s="17"/>
      <c r="Y1106" s="17"/>
    </row>
    <row r="1107" ht="18.75" customHeight="1">
      <c r="A1107" s="9">
        <v>1113.0</v>
      </c>
      <c r="B1107" s="11" t="s">
        <v>4390</v>
      </c>
      <c r="C1107" s="11" t="s">
        <v>4391</v>
      </c>
      <c r="D1107" s="11" t="s">
        <v>122</v>
      </c>
      <c r="E1107" s="11" t="s">
        <v>111</v>
      </c>
      <c r="F1107" s="11" t="s">
        <v>6847</v>
      </c>
      <c r="G1107" s="13">
        <v>45991.0</v>
      </c>
      <c r="H1107" s="13">
        <v>45992.0</v>
      </c>
      <c r="I1107" s="11" t="s">
        <v>119</v>
      </c>
      <c r="J1107" s="11" t="s">
        <v>37</v>
      </c>
      <c r="K1107" s="14" t="s">
        <v>31</v>
      </c>
      <c r="L1107" s="11" t="s">
        <v>38</v>
      </c>
      <c r="M1107" s="11" t="s">
        <v>6848</v>
      </c>
      <c r="N1107" s="16"/>
      <c r="O1107" s="16"/>
      <c r="P1107" s="16"/>
      <c r="Q1107" s="17"/>
      <c r="R1107" s="17"/>
      <c r="S1107" s="17"/>
      <c r="T1107" s="17"/>
      <c r="U1107" s="17"/>
      <c r="V1107" s="17"/>
      <c r="W1107" s="17"/>
      <c r="X1107" s="17"/>
      <c r="Y1107" s="17"/>
    </row>
    <row r="1108" ht="18.75" customHeight="1">
      <c r="A1108" s="9">
        <v>1114.0</v>
      </c>
      <c r="B1108" s="11" t="s">
        <v>4393</v>
      </c>
      <c r="C1108" s="11" t="s">
        <v>4394</v>
      </c>
      <c r="D1108" s="11" t="s">
        <v>394</v>
      </c>
      <c r="E1108" s="11" t="s">
        <v>1987</v>
      </c>
      <c r="F1108" s="11" t="s">
        <v>6849</v>
      </c>
      <c r="G1108" s="13">
        <v>45991.0</v>
      </c>
      <c r="H1108" s="13">
        <v>45992.0</v>
      </c>
      <c r="I1108" s="11" t="s">
        <v>119</v>
      </c>
      <c r="J1108" s="11"/>
      <c r="K1108" s="14" t="s">
        <v>31</v>
      </c>
      <c r="L1108" s="11"/>
      <c r="M1108" s="11" t="s">
        <v>6850</v>
      </c>
      <c r="N1108" s="16"/>
      <c r="O1108" s="16"/>
      <c r="P1108" s="16"/>
      <c r="Q1108" s="17"/>
      <c r="R1108" s="17"/>
      <c r="S1108" s="17"/>
      <c r="T1108" s="17"/>
      <c r="U1108" s="17"/>
      <c r="V1108" s="17"/>
      <c r="W1108" s="17"/>
      <c r="X1108" s="17"/>
      <c r="Y1108" s="17"/>
    </row>
    <row r="1109" ht="18.75" customHeight="1">
      <c r="A1109" s="9">
        <v>1115.0</v>
      </c>
      <c r="B1109" s="11" t="s">
        <v>4396</v>
      </c>
      <c r="C1109" s="11" t="s">
        <v>4397</v>
      </c>
      <c r="D1109" s="11" t="s">
        <v>59</v>
      </c>
      <c r="E1109" s="11" t="s">
        <v>764</v>
      </c>
      <c r="F1109" s="11" t="s">
        <v>6851</v>
      </c>
      <c r="G1109" s="12">
        <v>46008.0</v>
      </c>
      <c r="H1109" s="13">
        <v>46009.0</v>
      </c>
      <c r="I1109" s="11" t="s">
        <v>25</v>
      </c>
      <c r="J1109" s="11"/>
      <c r="K1109" s="14" t="s">
        <v>31</v>
      </c>
      <c r="L1109" s="11"/>
      <c r="M1109" s="11" t="s">
        <v>6852</v>
      </c>
      <c r="N1109" s="16"/>
      <c r="O1109" s="16"/>
      <c r="P1109" s="16"/>
      <c r="Q1109" s="17"/>
      <c r="R1109" s="17"/>
      <c r="S1109" s="17"/>
      <c r="T1109" s="17"/>
      <c r="U1109" s="17"/>
      <c r="V1109" s="17"/>
      <c r="W1109" s="17"/>
      <c r="X1109" s="17"/>
      <c r="Y1109" s="17"/>
    </row>
    <row r="1110" ht="18.75" customHeight="1">
      <c r="A1110" s="9">
        <v>1116.0</v>
      </c>
      <c r="B1110" s="11" t="s">
        <v>4399</v>
      </c>
      <c r="C1110" s="11" t="s">
        <v>4400</v>
      </c>
      <c r="D1110" s="11" t="s">
        <v>122</v>
      </c>
      <c r="E1110" s="11" t="s">
        <v>294</v>
      </c>
      <c r="F1110" s="11" t="s">
        <v>6853</v>
      </c>
      <c r="G1110" s="13">
        <v>45991.0</v>
      </c>
      <c r="H1110" s="13">
        <v>45992.0</v>
      </c>
      <c r="I1110" s="11" t="s">
        <v>119</v>
      </c>
      <c r="J1110" s="11"/>
      <c r="K1110" s="14" t="s">
        <v>31</v>
      </c>
      <c r="L1110" s="11" t="s">
        <v>62</v>
      </c>
      <c r="M1110" s="11" t="s">
        <v>6854</v>
      </c>
      <c r="N1110" s="16"/>
      <c r="O1110" s="16"/>
      <c r="P1110" s="16"/>
      <c r="Q1110" s="17"/>
      <c r="R1110" s="17"/>
      <c r="S1110" s="17"/>
      <c r="T1110" s="17"/>
      <c r="U1110" s="17"/>
      <c r="V1110" s="17"/>
      <c r="W1110" s="17"/>
      <c r="X1110" s="17"/>
      <c r="Y1110" s="17"/>
    </row>
    <row r="1111" ht="18.75" customHeight="1">
      <c r="A1111" s="9">
        <v>1117.0</v>
      </c>
      <c r="B1111" s="11" t="s">
        <v>4402</v>
      </c>
      <c r="C1111" s="11" t="s">
        <v>4403</v>
      </c>
      <c r="D1111" s="11" t="s">
        <v>71</v>
      </c>
      <c r="E1111" s="11" t="s">
        <v>72</v>
      </c>
      <c r="F1111" s="11" t="s">
        <v>6855</v>
      </c>
      <c r="G1111" s="12">
        <v>46017.0</v>
      </c>
      <c r="H1111" s="13">
        <v>46018.0</v>
      </c>
      <c r="I1111" s="11" t="s">
        <v>119</v>
      </c>
      <c r="J1111" s="11" t="s">
        <v>37</v>
      </c>
      <c r="K1111" s="14" t="s">
        <v>31</v>
      </c>
      <c r="L1111" s="11" t="s">
        <v>62</v>
      </c>
      <c r="M1111" s="11" t="s">
        <v>6856</v>
      </c>
      <c r="N1111" s="16"/>
      <c r="O1111" s="16"/>
      <c r="P1111" s="16"/>
      <c r="Q1111" s="17"/>
      <c r="R1111" s="17"/>
      <c r="S1111" s="17"/>
      <c r="T1111" s="17"/>
      <c r="U1111" s="17"/>
      <c r="V1111" s="17"/>
      <c r="W1111" s="17"/>
      <c r="X1111" s="17"/>
      <c r="Y1111" s="17"/>
    </row>
    <row r="1112" ht="18.75" customHeight="1">
      <c r="A1112" s="9">
        <v>1118.0</v>
      </c>
      <c r="B1112" s="11" t="s">
        <v>4405</v>
      </c>
      <c r="C1112" s="11" t="s">
        <v>4406</v>
      </c>
      <c r="D1112" s="11" t="s">
        <v>1651</v>
      </c>
      <c r="E1112" s="11" t="s">
        <v>4288</v>
      </c>
      <c r="F1112" s="11" t="s">
        <v>6857</v>
      </c>
      <c r="G1112" s="13">
        <v>45990.0</v>
      </c>
      <c r="H1112" s="13">
        <v>45991.0</v>
      </c>
      <c r="I1112" s="11" t="s">
        <v>119</v>
      </c>
      <c r="J1112" s="11"/>
      <c r="K1112" s="14" t="s">
        <v>31</v>
      </c>
      <c r="L1112" s="11"/>
      <c r="M1112" s="15"/>
      <c r="N1112" s="16"/>
      <c r="O1112" s="16"/>
      <c r="P1112" s="16"/>
      <c r="Q1112" s="17"/>
      <c r="R1112" s="17"/>
      <c r="S1112" s="17"/>
      <c r="T1112" s="17"/>
      <c r="U1112" s="17"/>
      <c r="V1112" s="17"/>
      <c r="W1112" s="17"/>
      <c r="X1112" s="17"/>
      <c r="Y1112" s="17"/>
    </row>
    <row r="1113" ht="18.75" customHeight="1">
      <c r="A1113" s="9">
        <v>1119.0</v>
      </c>
      <c r="B1113" s="11" t="s">
        <v>4408</v>
      </c>
      <c r="C1113" s="11" t="s">
        <v>4409</v>
      </c>
      <c r="D1113" s="11" t="s">
        <v>362</v>
      </c>
      <c r="E1113" s="11" t="s">
        <v>3914</v>
      </c>
      <c r="F1113" s="11" t="s">
        <v>6858</v>
      </c>
      <c r="G1113" s="13">
        <v>45991.0</v>
      </c>
      <c r="H1113" s="13">
        <v>45992.0</v>
      </c>
      <c r="I1113" s="11" t="s">
        <v>119</v>
      </c>
      <c r="J1113" s="11" t="s">
        <v>37</v>
      </c>
      <c r="K1113" s="14" t="s">
        <v>31</v>
      </c>
      <c r="L1113" s="11"/>
      <c r="M1113" s="15"/>
      <c r="N1113" s="16"/>
      <c r="O1113" s="16"/>
      <c r="P1113" s="16"/>
      <c r="Q1113" s="17"/>
      <c r="R1113" s="17"/>
      <c r="S1113" s="17"/>
      <c r="T1113" s="17"/>
      <c r="U1113" s="17"/>
      <c r="V1113" s="17"/>
      <c r="W1113" s="17"/>
      <c r="X1113" s="17"/>
      <c r="Y1113" s="17"/>
    </row>
    <row r="1114" ht="18.75" customHeight="1">
      <c r="A1114" s="9">
        <v>1120.0</v>
      </c>
      <c r="B1114" s="11" t="s">
        <v>4411</v>
      </c>
      <c r="C1114" s="11" t="s">
        <v>4412</v>
      </c>
      <c r="D1114" s="11" t="s">
        <v>173</v>
      </c>
      <c r="E1114" s="11" t="s">
        <v>4292</v>
      </c>
      <c r="F1114" s="11" t="s">
        <v>6859</v>
      </c>
      <c r="G1114" s="13">
        <v>45979.0</v>
      </c>
      <c r="H1114" s="13">
        <v>45980.0</v>
      </c>
      <c r="I1114" s="11" t="s">
        <v>251</v>
      </c>
      <c r="J1114" s="11"/>
      <c r="K1114" s="14" t="s">
        <v>31</v>
      </c>
      <c r="L1114" s="11"/>
      <c r="M1114" s="15"/>
      <c r="N1114" s="16"/>
      <c r="O1114" s="16"/>
      <c r="P1114" s="16"/>
      <c r="Q1114" s="17"/>
      <c r="R1114" s="17"/>
      <c r="S1114" s="17"/>
      <c r="T1114" s="17"/>
      <c r="U1114" s="17"/>
      <c r="V1114" s="17"/>
      <c r="W1114" s="17"/>
      <c r="X1114" s="17"/>
      <c r="Y1114" s="17"/>
    </row>
    <row r="1115" ht="18.75" customHeight="1">
      <c r="A1115" s="9">
        <v>1121.0</v>
      </c>
      <c r="B1115" s="11" t="s">
        <v>4414</v>
      </c>
      <c r="C1115" s="11" t="s">
        <v>4415</v>
      </c>
      <c r="D1115" s="11" t="s">
        <v>122</v>
      </c>
      <c r="E1115" s="11" t="s">
        <v>4343</v>
      </c>
      <c r="F1115" s="11" t="s">
        <v>6860</v>
      </c>
      <c r="G1115" s="13">
        <v>45991.0</v>
      </c>
      <c r="H1115" s="13">
        <v>45992.0</v>
      </c>
      <c r="I1115" s="11" t="s">
        <v>251</v>
      </c>
      <c r="J1115" s="11" t="s">
        <v>213</v>
      </c>
      <c r="K1115" s="14" t="s">
        <v>31</v>
      </c>
      <c r="L1115" s="11"/>
      <c r="M1115" s="11" t="s">
        <v>6861</v>
      </c>
      <c r="N1115" s="16"/>
      <c r="O1115" s="16"/>
      <c r="P1115" s="16"/>
      <c r="Q1115" s="17"/>
      <c r="R1115" s="17"/>
      <c r="S1115" s="17"/>
      <c r="T1115" s="17"/>
      <c r="U1115" s="17"/>
      <c r="V1115" s="17"/>
      <c r="W1115" s="17"/>
      <c r="X1115" s="17"/>
      <c r="Y1115" s="17"/>
    </row>
    <row r="1116" ht="18.75" customHeight="1">
      <c r="A1116" s="9">
        <v>1122.0</v>
      </c>
      <c r="B1116" s="11" t="s">
        <v>3682</v>
      </c>
      <c r="C1116" s="11" t="s">
        <v>4417</v>
      </c>
      <c r="D1116" s="11" t="s">
        <v>827</v>
      </c>
      <c r="E1116" s="11" t="s">
        <v>828</v>
      </c>
      <c r="F1116" s="11" t="s">
        <v>6615</v>
      </c>
      <c r="G1116" s="13">
        <v>45979.0</v>
      </c>
      <c r="H1116" s="13">
        <v>45980.0</v>
      </c>
      <c r="I1116" s="11" t="s">
        <v>6234</v>
      </c>
      <c r="J1116" s="11"/>
      <c r="K1116" s="14" t="s">
        <v>31</v>
      </c>
      <c r="L1116" s="11"/>
      <c r="M1116" s="15"/>
      <c r="N1116" s="16"/>
      <c r="O1116" s="16"/>
      <c r="P1116" s="16"/>
      <c r="Q1116" s="17"/>
      <c r="R1116" s="17"/>
      <c r="S1116" s="17"/>
      <c r="T1116" s="17"/>
      <c r="U1116" s="17"/>
      <c r="V1116" s="17"/>
      <c r="W1116" s="17"/>
      <c r="X1116" s="17"/>
      <c r="Y1116" s="17"/>
    </row>
    <row r="1117" ht="18.75" customHeight="1">
      <c r="A1117" s="9">
        <v>1123.0</v>
      </c>
      <c r="B1117" s="11" t="s">
        <v>4418</v>
      </c>
      <c r="C1117" s="11" t="s">
        <v>4419</v>
      </c>
      <c r="D1117" s="11" t="s">
        <v>2015</v>
      </c>
      <c r="E1117" s="11" t="s">
        <v>4420</v>
      </c>
      <c r="F1117" s="11" t="s">
        <v>5061</v>
      </c>
      <c r="G1117" s="13">
        <v>45991.0</v>
      </c>
      <c r="H1117" s="13">
        <v>45992.0</v>
      </c>
      <c r="I1117" s="11"/>
      <c r="J1117" s="11"/>
      <c r="K1117" s="14" t="s">
        <v>31</v>
      </c>
      <c r="L1117" s="11"/>
      <c r="M1117" s="15"/>
      <c r="N1117" s="16"/>
      <c r="O1117" s="16"/>
      <c r="P1117" s="16"/>
      <c r="Q1117" s="17"/>
      <c r="R1117" s="17"/>
      <c r="S1117" s="17"/>
      <c r="T1117" s="17"/>
      <c r="U1117" s="17"/>
      <c r="V1117" s="17"/>
      <c r="W1117" s="17"/>
      <c r="X1117" s="17"/>
      <c r="Y1117" s="17"/>
    </row>
    <row r="1118" ht="18.75" customHeight="1">
      <c r="A1118" s="9">
        <v>1124.0</v>
      </c>
      <c r="B1118" s="11" t="s">
        <v>4422</v>
      </c>
      <c r="C1118" s="11" t="s">
        <v>4423</v>
      </c>
      <c r="D1118" s="11" t="s">
        <v>122</v>
      </c>
      <c r="E1118" s="11" t="s">
        <v>2011</v>
      </c>
      <c r="F1118" s="11" t="s">
        <v>6862</v>
      </c>
      <c r="G1118" s="13">
        <v>45961.0</v>
      </c>
      <c r="H1118" s="13">
        <v>45962.0</v>
      </c>
      <c r="I1118" s="11" t="s">
        <v>251</v>
      </c>
      <c r="J1118" s="11" t="s">
        <v>213</v>
      </c>
      <c r="K1118" s="14" t="s">
        <v>31</v>
      </c>
      <c r="L1118" s="11"/>
      <c r="M1118" s="15"/>
      <c r="N1118" s="16"/>
      <c r="O1118" s="16"/>
      <c r="P1118" s="16"/>
      <c r="Q1118" s="17"/>
      <c r="R1118" s="17"/>
      <c r="S1118" s="17"/>
      <c r="T1118" s="17"/>
      <c r="U1118" s="17"/>
      <c r="V1118" s="17"/>
      <c r="W1118" s="17"/>
      <c r="X1118" s="17"/>
      <c r="Y1118" s="17"/>
    </row>
    <row r="1119" ht="18.75" customHeight="1">
      <c r="A1119" s="9">
        <v>1125.0</v>
      </c>
      <c r="B1119" s="11" t="s">
        <v>4424</v>
      </c>
      <c r="C1119" s="11" t="s">
        <v>4425</v>
      </c>
      <c r="D1119" s="11" t="s">
        <v>476</v>
      </c>
      <c r="E1119" s="11" t="s">
        <v>134</v>
      </c>
      <c r="F1119" s="11" t="s">
        <v>6863</v>
      </c>
      <c r="G1119" s="12">
        <v>45979.0</v>
      </c>
      <c r="H1119" s="13">
        <v>45980.0</v>
      </c>
      <c r="I1119" s="11" t="s">
        <v>251</v>
      </c>
      <c r="J1119" s="11" t="s">
        <v>213</v>
      </c>
      <c r="K1119" s="14" t="s">
        <v>31</v>
      </c>
      <c r="L1119" s="11"/>
      <c r="M1119" s="11" t="s">
        <v>6864</v>
      </c>
      <c r="N1119" s="16"/>
      <c r="O1119" s="16"/>
      <c r="P1119" s="16"/>
      <c r="Q1119" s="17"/>
      <c r="R1119" s="17"/>
      <c r="S1119" s="17"/>
      <c r="T1119" s="17"/>
      <c r="U1119" s="17"/>
      <c r="V1119" s="17"/>
      <c r="W1119" s="17"/>
      <c r="X1119" s="17"/>
      <c r="Y1119" s="17"/>
    </row>
    <row r="1120" ht="18.75" customHeight="1">
      <c r="A1120" s="9">
        <v>1126.0</v>
      </c>
      <c r="B1120" s="11" t="s">
        <v>4426</v>
      </c>
      <c r="C1120" s="11" t="s">
        <v>4427</v>
      </c>
      <c r="D1120" s="11" t="s">
        <v>110</v>
      </c>
      <c r="E1120" s="11" t="s">
        <v>139</v>
      </c>
      <c r="F1120" s="11" t="s">
        <v>6865</v>
      </c>
      <c r="G1120" s="12">
        <v>46003.0</v>
      </c>
      <c r="H1120" s="13">
        <v>46004.0</v>
      </c>
      <c r="I1120" s="11" t="s">
        <v>119</v>
      </c>
      <c r="J1120" s="11"/>
      <c r="K1120" s="14" t="s">
        <v>31</v>
      </c>
      <c r="L1120" s="11"/>
      <c r="M1120" s="15"/>
      <c r="N1120" s="16"/>
      <c r="O1120" s="16"/>
      <c r="P1120" s="16"/>
      <c r="Q1120" s="17"/>
      <c r="R1120" s="17"/>
      <c r="S1120" s="17"/>
      <c r="T1120" s="17"/>
      <c r="U1120" s="17"/>
      <c r="V1120" s="17"/>
      <c r="W1120" s="17"/>
      <c r="X1120" s="17"/>
      <c r="Y1120" s="17"/>
    </row>
    <row r="1121" ht="18.75" customHeight="1">
      <c r="A1121" s="9">
        <v>1127.0</v>
      </c>
      <c r="B1121" s="11" t="s">
        <v>4429</v>
      </c>
      <c r="C1121" s="11" t="s">
        <v>4430</v>
      </c>
      <c r="D1121" s="11" t="s">
        <v>1039</v>
      </c>
      <c r="E1121" s="11" t="s">
        <v>139</v>
      </c>
      <c r="F1121" s="11" t="s">
        <v>6866</v>
      </c>
      <c r="G1121" s="12">
        <v>45996.0</v>
      </c>
      <c r="H1121" s="13">
        <v>45997.0</v>
      </c>
      <c r="I1121" s="11" t="s">
        <v>119</v>
      </c>
      <c r="J1121" s="11" t="s">
        <v>37</v>
      </c>
      <c r="K1121" s="14" t="s">
        <v>31</v>
      </c>
      <c r="L1121" s="11" t="s">
        <v>50</v>
      </c>
      <c r="M1121" s="11" t="s">
        <v>6867</v>
      </c>
      <c r="N1121" s="16"/>
      <c r="O1121" s="16"/>
      <c r="P1121" s="16"/>
      <c r="Q1121" s="17"/>
      <c r="R1121" s="17"/>
      <c r="S1121" s="17"/>
      <c r="T1121" s="17"/>
      <c r="U1121" s="17"/>
      <c r="V1121" s="17"/>
      <c r="W1121" s="17"/>
      <c r="X1121" s="17"/>
      <c r="Y1121" s="17"/>
    </row>
    <row r="1122" ht="18.75" customHeight="1">
      <c r="A1122" s="9">
        <v>1128.0</v>
      </c>
      <c r="B1122" s="11" t="s">
        <v>4432</v>
      </c>
      <c r="C1122" s="11" t="s">
        <v>4433</v>
      </c>
      <c r="D1122" s="11" t="s">
        <v>367</v>
      </c>
      <c r="E1122" s="11" t="s">
        <v>368</v>
      </c>
      <c r="F1122" s="11" t="s">
        <v>6868</v>
      </c>
      <c r="G1122" s="13">
        <v>45990.0</v>
      </c>
      <c r="H1122" s="13">
        <v>45991.0</v>
      </c>
      <c r="I1122" s="11" t="s">
        <v>119</v>
      </c>
      <c r="J1122" s="11" t="s">
        <v>37</v>
      </c>
      <c r="K1122" s="14" t="s">
        <v>31</v>
      </c>
      <c r="L1122" s="11"/>
      <c r="M1122" s="11"/>
      <c r="N1122" s="16"/>
      <c r="O1122" s="16"/>
      <c r="P1122" s="16"/>
      <c r="Q1122" s="17"/>
      <c r="R1122" s="17"/>
      <c r="S1122" s="17"/>
      <c r="T1122" s="17"/>
      <c r="U1122" s="17"/>
      <c r="V1122" s="17"/>
      <c r="W1122" s="17"/>
      <c r="X1122" s="17"/>
      <c r="Y1122" s="17"/>
    </row>
    <row r="1123" ht="18.75" customHeight="1">
      <c r="A1123" s="9">
        <v>1129.0</v>
      </c>
      <c r="B1123" s="11" t="s">
        <v>4435</v>
      </c>
      <c r="C1123" s="11" t="s">
        <v>4436</v>
      </c>
      <c r="D1123" s="11" t="s">
        <v>94</v>
      </c>
      <c r="E1123" s="11" t="s">
        <v>163</v>
      </c>
      <c r="F1123" s="11" t="s">
        <v>6869</v>
      </c>
      <c r="G1123" s="13">
        <v>45991.0</v>
      </c>
      <c r="H1123" s="13">
        <v>45992.0</v>
      </c>
      <c r="I1123" s="11" t="s">
        <v>119</v>
      </c>
      <c r="J1123" s="11" t="s">
        <v>37</v>
      </c>
      <c r="K1123" s="14" t="s">
        <v>31</v>
      </c>
      <c r="L1123" s="11"/>
      <c r="M1123" s="11" t="s">
        <v>6870</v>
      </c>
      <c r="N1123" s="16"/>
      <c r="O1123" s="16"/>
      <c r="P1123" s="16"/>
      <c r="Q1123" s="17"/>
      <c r="R1123" s="17"/>
      <c r="S1123" s="17"/>
      <c r="T1123" s="17"/>
      <c r="U1123" s="17"/>
      <c r="V1123" s="17"/>
      <c r="W1123" s="17"/>
      <c r="X1123" s="17"/>
      <c r="Y1123" s="17"/>
    </row>
    <row r="1124" ht="18.75" customHeight="1">
      <c r="A1124" s="9">
        <v>1132.0</v>
      </c>
      <c r="B1124" s="11" t="s">
        <v>4440</v>
      </c>
      <c r="C1124" s="11" t="s">
        <v>4441</v>
      </c>
      <c r="D1124" s="11" t="s">
        <v>476</v>
      </c>
      <c r="E1124" s="11" t="s">
        <v>72</v>
      </c>
      <c r="F1124" s="11" t="s">
        <v>6871</v>
      </c>
      <c r="G1124" s="12">
        <v>46006.0</v>
      </c>
      <c r="H1124" s="13">
        <v>46007.0</v>
      </c>
      <c r="I1124" s="11" t="s">
        <v>25</v>
      </c>
      <c r="J1124" s="11" t="s">
        <v>37</v>
      </c>
      <c r="K1124" s="14" t="s">
        <v>31</v>
      </c>
      <c r="L1124" s="11" t="s">
        <v>74</v>
      </c>
      <c r="M1124" s="11" t="s">
        <v>75</v>
      </c>
      <c r="N1124" s="16"/>
      <c r="O1124" s="16"/>
      <c r="P1124" s="16"/>
      <c r="Q1124" s="17"/>
      <c r="R1124" s="17"/>
      <c r="S1124" s="17"/>
      <c r="T1124" s="17"/>
      <c r="U1124" s="17"/>
      <c r="V1124" s="17"/>
      <c r="W1124" s="17"/>
      <c r="X1124" s="17"/>
      <c r="Y1124" s="17"/>
    </row>
    <row r="1125" ht="18.75" customHeight="1">
      <c r="A1125" s="9">
        <v>1133.0</v>
      </c>
      <c r="B1125" s="11" t="s">
        <v>4443</v>
      </c>
      <c r="C1125" s="11" t="s">
        <v>4444</v>
      </c>
      <c r="D1125" s="11" t="s">
        <v>128</v>
      </c>
      <c r="E1125" s="11" t="s">
        <v>72</v>
      </c>
      <c r="F1125" s="11" t="s">
        <v>6872</v>
      </c>
      <c r="G1125" s="12">
        <v>46006.0</v>
      </c>
      <c r="H1125" s="13">
        <v>46007.0</v>
      </c>
      <c r="I1125" s="11" t="s">
        <v>25</v>
      </c>
      <c r="J1125" s="11" t="s">
        <v>37</v>
      </c>
      <c r="K1125" s="14" t="s">
        <v>31</v>
      </c>
      <c r="L1125" s="11" t="s">
        <v>74</v>
      </c>
      <c r="M1125" s="11" t="s">
        <v>75</v>
      </c>
      <c r="N1125" s="16"/>
      <c r="O1125" s="16"/>
      <c r="P1125" s="16"/>
      <c r="Q1125" s="17"/>
      <c r="R1125" s="17"/>
      <c r="S1125" s="17"/>
      <c r="T1125" s="17"/>
      <c r="U1125" s="17"/>
      <c r="V1125" s="17"/>
      <c r="W1125" s="17"/>
      <c r="X1125" s="17"/>
      <c r="Y1125" s="17"/>
    </row>
    <row r="1126" ht="18.75" customHeight="1">
      <c r="A1126" s="9">
        <v>1134.0</v>
      </c>
      <c r="B1126" s="11" t="s">
        <v>4446</v>
      </c>
      <c r="C1126" s="11" t="s">
        <v>4447</v>
      </c>
      <c r="D1126" s="11" t="s">
        <v>59</v>
      </c>
      <c r="E1126" s="11" t="s">
        <v>72</v>
      </c>
      <c r="F1126" s="11" t="s">
        <v>6873</v>
      </c>
      <c r="G1126" s="12">
        <v>46006.0</v>
      </c>
      <c r="H1126" s="13">
        <v>46007.0</v>
      </c>
      <c r="I1126" s="11" t="s">
        <v>25</v>
      </c>
      <c r="J1126" s="11" t="s">
        <v>37</v>
      </c>
      <c r="K1126" s="14" t="s">
        <v>31</v>
      </c>
      <c r="L1126" s="11" t="s">
        <v>74</v>
      </c>
      <c r="M1126" s="11" t="s">
        <v>75</v>
      </c>
      <c r="N1126" s="16"/>
      <c r="O1126" s="16"/>
      <c r="P1126" s="16"/>
      <c r="Q1126" s="17"/>
      <c r="R1126" s="17"/>
      <c r="S1126" s="17"/>
      <c r="T1126" s="17"/>
      <c r="U1126" s="17"/>
      <c r="V1126" s="17"/>
      <c r="W1126" s="17"/>
      <c r="X1126" s="17"/>
      <c r="Y1126" s="17"/>
    </row>
    <row r="1127" ht="18.75" customHeight="1">
      <c r="A1127" s="9">
        <v>1135.0</v>
      </c>
      <c r="B1127" s="11" t="s">
        <v>4449</v>
      </c>
      <c r="C1127" s="11" t="s">
        <v>4450</v>
      </c>
      <c r="D1127" s="11" t="s">
        <v>59</v>
      </c>
      <c r="E1127" s="11" t="s">
        <v>72</v>
      </c>
      <c r="F1127" s="11" t="s">
        <v>6874</v>
      </c>
      <c r="G1127" s="12">
        <v>46006.0</v>
      </c>
      <c r="H1127" s="13">
        <v>46007.0</v>
      </c>
      <c r="I1127" s="11" t="s">
        <v>25</v>
      </c>
      <c r="J1127" s="11" t="s">
        <v>37</v>
      </c>
      <c r="K1127" s="14" t="s">
        <v>31</v>
      </c>
      <c r="L1127" s="11" t="s">
        <v>74</v>
      </c>
      <c r="M1127" s="11" t="s">
        <v>75</v>
      </c>
      <c r="N1127" s="16"/>
      <c r="O1127" s="16"/>
      <c r="P1127" s="16"/>
      <c r="Q1127" s="17"/>
      <c r="R1127" s="17"/>
      <c r="S1127" s="17"/>
      <c r="T1127" s="17"/>
      <c r="U1127" s="17"/>
      <c r="V1127" s="17"/>
      <c r="W1127" s="17"/>
      <c r="X1127" s="17"/>
      <c r="Y1127" s="17"/>
    </row>
    <row r="1128" ht="18.75" customHeight="1">
      <c r="A1128" s="9">
        <v>1136.0</v>
      </c>
      <c r="B1128" s="11" t="s">
        <v>4452</v>
      </c>
      <c r="C1128" s="11" t="s">
        <v>4453</v>
      </c>
      <c r="D1128" s="11" t="s">
        <v>59</v>
      </c>
      <c r="E1128" s="11" t="s">
        <v>72</v>
      </c>
      <c r="F1128" s="11" t="s">
        <v>6875</v>
      </c>
      <c r="G1128" s="12">
        <v>46006.0</v>
      </c>
      <c r="H1128" s="13">
        <v>46007.0</v>
      </c>
      <c r="I1128" s="11" t="s">
        <v>25</v>
      </c>
      <c r="J1128" s="11" t="s">
        <v>37</v>
      </c>
      <c r="K1128" s="14" t="s">
        <v>31</v>
      </c>
      <c r="L1128" s="11" t="s">
        <v>74</v>
      </c>
      <c r="M1128" s="11" t="s">
        <v>75</v>
      </c>
      <c r="N1128" s="16"/>
      <c r="O1128" s="16"/>
      <c r="P1128" s="16"/>
      <c r="Q1128" s="17"/>
      <c r="R1128" s="17"/>
      <c r="S1128" s="17"/>
      <c r="T1128" s="17"/>
      <c r="U1128" s="17"/>
      <c r="V1128" s="17"/>
      <c r="W1128" s="17"/>
      <c r="X1128" s="17"/>
      <c r="Y1128" s="17"/>
    </row>
    <row r="1129" ht="18.75" customHeight="1">
      <c r="A1129" s="9">
        <v>1137.0</v>
      </c>
      <c r="B1129" s="11" t="s">
        <v>4455</v>
      </c>
      <c r="C1129" s="11" t="s">
        <v>4456</v>
      </c>
      <c r="D1129" s="11" t="s">
        <v>59</v>
      </c>
      <c r="E1129" s="11" t="s">
        <v>72</v>
      </c>
      <c r="F1129" s="11" t="s">
        <v>6876</v>
      </c>
      <c r="G1129" s="12">
        <v>46006.0</v>
      </c>
      <c r="H1129" s="13">
        <v>46007.0</v>
      </c>
      <c r="I1129" s="11" t="s">
        <v>25</v>
      </c>
      <c r="J1129" s="11" t="s">
        <v>37</v>
      </c>
      <c r="K1129" s="14" t="s">
        <v>31</v>
      </c>
      <c r="L1129" s="11" t="s">
        <v>74</v>
      </c>
      <c r="M1129" s="11" t="s">
        <v>75</v>
      </c>
      <c r="N1129" s="16"/>
      <c r="O1129" s="16"/>
      <c r="P1129" s="16"/>
      <c r="Q1129" s="17"/>
      <c r="R1129" s="17"/>
      <c r="S1129" s="17"/>
      <c r="T1129" s="17"/>
      <c r="U1129" s="17"/>
      <c r="V1129" s="17"/>
      <c r="W1129" s="17"/>
      <c r="X1129" s="17"/>
      <c r="Y1129" s="17"/>
    </row>
    <row r="1130" ht="18.75" customHeight="1">
      <c r="A1130" s="9">
        <v>1138.0</v>
      </c>
      <c r="B1130" s="11" t="s">
        <v>4458</v>
      </c>
      <c r="C1130" s="11" t="s">
        <v>4459</v>
      </c>
      <c r="D1130" s="11" t="s">
        <v>110</v>
      </c>
      <c r="E1130" s="11" t="s">
        <v>72</v>
      </c>
      <c r="F1130" s="11" t="s">
        <v>6877</v>
      </c>
      <c r="G1130" s="12">
        <v>46006.0</v>
      </c>
      <c r="H1130" s="13">
        <v>46007.0</v>
      </c>
      <c r="I1130" s="11" t="s">
        <v>25</v>
      </c>
      <c r="J1130" s="11"/>
      <c r="K1130" s="14" t="s">
        <v>31</v>
      </c>
      <c r="L1130" s="11"/>
      <c r="M1130" s="11" t="s">
        <v>75</v>
      </c>
      <c r="N1130" s="16"/>
      <c r="O1130" s="16"/>
      <c r="P1130" s="16"/>
      <c r="Q1130" s="17"/>
      <c r="R1130" s="17"/>
      <c r="S1130" s="17"/>
      <c r="T1130" s="17"/>
      <c r="U1130" s="17"/>
      <c r="V1130" s="17"/>
      <c r="W1130" s="17"/>
      <c r="X1130" s="17"/>
      <c r="Y1130" s="17"/>
    </row>
    <row r="1131" ht="18.75" customHeight="1">
      <c r="A1131" s="9">
        <v>1139.0</v>
      </c>
      <c r="B1131" s="11" t="s">
        <v>4461</v>
      </c>
      <c r="C1131" s="11" t="s">
        <v>4462</v>
      </c>
      <c r="D1131" s="11" t="s">
        <v>110</v>
      </c>
      <c r="E1131" s="11" t="s">
        <v>72</v>
      </c>
      <c r="F1131" s="11" t="s">
        <v>6878</v>
      </c>
      <c r="G1131" s="12">
        <v>46006.0</v>
      </c>
      <c r="H1131" s="13">
        <v>46007.0</v>
      </c>
      <c r="I1131" s="11" t="s">
        <v>25</v>
      </c>
      <c r="J1131" s="11" t="s">
        <v>37</v>
      </c>
      <c r="K1131" s="14" t="s">
        <v>31</v>
      </c>
      <c r="L1131" s="11" t="s">
        <v>74</v>
      </c>
      <c r="M1131" s="11" t="s">
        <v>75</v>
      </c>
      <c r="N1131" s="16"/>
      <c r="O1131" s="16"/>
      <c r="P1131" s="16"/>
      <c r="Q1131" s="17"/>
      <c r="R1131" s="17"/>
      <c r="S1131" s="17"/>
      <c r="T1131" s="17"/>
      <c r="U1131" s="17"/>
      <c r="V1131" s="17"/>
      <c r="W1131" s="17"/>
      <c r="X1131" s="17"/>
      <c r="Y1131" s="17"/>
    </row>
    <row r="1132" ht="18.75" customHeight="1">
      <c r="A1132" s="9">
        <v>1140.0</v>
      </c>
      <c r="B1132" s="11" t="s">
        <v>4464</v>
      </c>
      <c r="C1132" s="11" t="s">
        <v>4465</v>
      </c>
      <c r="D1132" s="11" t="s">
        <v>122</v>
      </c>
      <c r="E1132" s="11" t="s">
        <v>72</v>
      </c>
      <c r="F1132" s="11" t="s">
        <v>6879</v>
      </c>
      <c r="G1132" s="12">
        <v>46006.0</v>
      </c>
      <c r="H1132" s="13">
        <v>46007.0</v>
      </c>
      <c r="I1132" s="11" t="s">
        <v>25</v>
      </c>
      <c r="J1132" s="11"/>
      <c r="K1132" s="14" t="s">
        <v>31</v>
      </c>
      <c r="L1132" s="11"/>
      <c r="M1132" s="11" t="s">
        <v>75</v>
      </c>
      <c r="N1132" s="16"/>
      <c r="O1132" s="16"/>
      <c r="P1132" s="16"/>
      <c r="Q1132" s="17"/>
      <c r="R1132" s="17"/>
      <c r="S1132" s="17"/>
      <c r="T1132" s="17"/>
      <c r="U1132" s="17"/>
      <c r="V1132" s="17"/>
      <c r="W1132" s="17"/>
      <c r="X1132" s="17"/>
      <c r="Y1132" s="17"/>
    </row>
    <row r="1133" ht="18.75" customHeight="1">
      <c r="A1133" s="9">
        <v>1141.0</v>
      </c>
      <c r="B1133" s="11" t="s">
        <v>4467</v>
      </c>
      <c r="C1133" s="11" t="s">
        <v>4468</v>
      </c>
      <c r="D1133" s="11" t="s">
        <v>414</v>
      </c>
      <c r="E1133" s="11" t="s">
        <v>72</v>
      </c>
      <c r="F1133" s="11" t="s">
        <v>6880</v>
      </c>
      <c r="G1133" s="12">
        <v>46006.0</v>
      </c>
      <c r="H1133" s="13">
        <v>46007.0</v>
      </c>
      <c r="I1133" s="11" t="s">
        <v>25</v>
      </c>
      <c r="J1133" s="11" t="s">
        <v>37</v>
      </c>
      <c r="K1133" s="14" t="s">
        <v>31</v>
      </c>
      <c r="L1133" s="11" t="s">
        <v>74</v>
      </c>
      <c r="M1133" s="11" t="s">
        <v>75</v>
      </c>
      <c r="N1133" s="16"/>
      <c r="O1133" s="16"/>
      <c r="P1133" s="16"/>
      <c r="Q1133" s="17"/>
      <c r="R1133" s="17"/>
      <c r="S1133" s="17"/>
      <c r="T1133" s="17"/>
      <c r="U1133" s="17"/>
      <c r="V1133" s="17"/>
      <c r="W1133" s="17"/>
      <c r="X1133" s="17"/>
      <c r="Y1133" s="17"/>
    </row>
    <row r="1134" ht="18.75" customHeight="1">
      <c r="A1134" s="9">
        <v>1146.0</v>
      </c>
      <c r="B1134" s="11" t="s">
        <v>4474</v>
      </c>
      <c r="C1134" s="11" t="s">
        <v>4475</v>
      </c>
      <c r="D1134" s="11" t="s">
        <v>173</v>
      </c>
      <c r="E1134" s="11" t="s">
        <v>2224</v>
      </c>
      <c r="F1134" s="11" t="s">
        <v>6881</v>
      </c>
      <c r="G1134" s="12">
        <v>46006.0</v>
      </c>
      <c r="H1134" s="13">
        <v>46007.0</v>
      </c>
      <c r="I1134" s="11" t="s">
        <v>119</v>
      </c>
      <c r="J1134" s="11" t="s">
        <v>37</v>
      </c>
      <c r="K1134" s="14" t="s">
        <v>31</v>
      </c>
      <c r="L1134" s="11" t="s">
        <v>23</v>
      </c>
      <c r="M1134" s="15"/>
      <c r="N1134" s="16"/>
      <c r="O1134" s="16"/>
      <c r="P1134" s="16"/>
      <c r="Q1134" s="17"/>
      <c r="R1134" s="17"/>
      <c r="S1134" s="17"/>
      <c r="T1134" s="17"/>
      <c r="U1134" s="17"/>
      <c r="V1134" s="17"/>
      <c r="W1134" s="17"/>
      <c r="X1134" s="17"/>
      <c r="Y1134" s="17"/>
    </row>
    <row r="1135" ht="18.75" customHeight="1">
      <c r="A1135" s="9">
        <v>1147.0</v>
      </c>
      <c r="B1135" s="11" t="s">
        <v>4477</v>
      </c>
      <c r="C1135" s="11" t="s">
        <v>4478</v>
      </c>
      <c r="D1135" s="11" t="s">
        <v>65</v>
      </c>
      <c r="E1135" s="11" t="s">
        <v>334</v>
      </c>
      <c r="F1135" s="11" t="s">
        <v>6882</v>
      </c>
      <c r="G1135" s="13">
        <v>45991.0</v>
      </c>
      <c r="H1135" s="13">
        <v>45992.0</v>
      </c>
      <c r="I1135" s="11" t="s">
        <v>119</v>
      </c>
      <c r="J1135" s="11" t="s">
        <v>213</v>
      </c>
      <c r="K1135" s="14" t="s">
        <v>31</v>
      </c>
      <c r="L1135" s="11"/>
      <c r="M1135" s="15"/>
      <c r="N1135" s="16"/>
      <c r="O1135" s="16"/>
      <c r="P1135" s="16"/>
      <c r="Q1135" s="17"/>
      <c r="R1135" s="17"/>
      <c r="S1135" s="17"/>
      <c r="T1135" s="17"/>
      <c r="U1135" s="17"/>
      <c r="V1135" s="17"/>
      <c r="W1135" s="17"/>
      <c r="X1135" s="17"/>
      <c r="Y1135" s="17"/>
    </row>
    <row r="1136" ht="18.75" customHeight="1">
      <c r="A1136" s="9">
        <v>1149.0</v>
      </c>
      <c r="B1136" s="11" t="s">
        <v>4480</v>
      </c>
      <c r="C1136" s="11" t="s">
        <v>4481</v>
      </c>
      <c r="D1136" s="11" t="s">
        <v>4482</v>
      </c>
      <c r="E1136" s="11" t="s">
        <v>4483</v>
      </c>
      <c r="F1136" s="11" t="s">
        <v>6883</v>
      </c>
      <c r="G1136" s="12">
        <v>46010.0</v>
      </c>
      <c r="H1136" s="13">
        <v>46011.0</v>
      </c>
      <c r="I1136" s="11" t="s">
        <v>25</v>
      </c>
      <c r="J1136" s="11" t="s">
        <v>22</v>
      </c>
      <c r="K1136" s="14" t="s">
        <v>31</v>
      </c>
      <c r="L1136" s="11"/>
      <c r="M1136" s="11" t="s">
        <v>6884</v>
      </c>
      <c r="N1136" s="16"/>
      <c r="O1136" s="16"/>
      <c r="P1136" s="16"/>
      <c r="Q1136" s="17"/>
      <c r="R1136" s="17"/>
      <c r="S1136" s="17"/>
      <c r="T1136" s="17"/>
      <c r="U1136" s="17"/>
      <c r="V1136" s="17"/>
      <c r="W1136" s="17"/>
      <c r="X1136" s="17"/>
      <c r="Y1136" s="17"/>
    </row>
    <row r="1137" ht="18.75" customHeight="1">
      <c r="A1137" s="9">
        <v>1150.0</v>
      </c>
      <c r="B1137" s="11" t="s">
        <v>4485</v>
      </c>
      <c r="C1137" s="11" t="s">
        <v>4486</v>
      </c>
      <c r="D1137" s="11" t="s">
        <v>94</v>
      </c>
      <c r="E1137" s="11" t="s">
        <v>1022</v>
      </c>
      <c r="F1137" s="11" t="s">
        <v>6885</v>
      </c>
      <c r="G1137" s="12">
        <v>46017.0</v>
      </c>
      <c r="H1137" s="13">
        <v>46018.0</v>
      </c>
      <c r="I1137" s="11" t="s">
        <v>25</v>
      </c>
      <c r="J1137" s="11" t="s">
        <v>22</v>
      </c>
      <c r="K1137" s="14" t="s">
        <v>31</v>
      </c>
      <c r="L1137" s="11"/>
      <c r="M1137" s="11" t="s">
        <v>6886</v>
      </c>
      <c r="N1137" s="16"/>
      <c r="O1137" s="16"/>
      <c r="P1137" s="16"/>
      <c r="Q1137" s="17"/>
      <c r="R1137" s="17"/>
      <c r="S1137" s="17"/>
      <c r="T1137" s="17"/>
      <c r="U1137" s="17"/>
      <c r="V1137" s="17"/>
      <c r="W1137" s="17"/>
      <c r="X1137" s="17"/>
      <c r="Y1137" s="17"/>
    </row>
    <row r="1138" ht="18.75" customHeight="1">
      <c r="A1138" s="9">
        <v>1152.0</v>
      </c>
      <c r="B1138" s="11" t="s">
        <v>4489</v>
      </c>
      <c r="C1138" s="11" t="s">
        <v>4490</v>
      </c>
      <c r="D1138" s="11" t="s">
        <v>1305</v>
      </c>
      <c r="E1138" s="11" t="s">
        <v>1109</v>
      </c>
      <c r="F1138" s="11" t="s">
        <v>6887</v>
      </c>
      <c r="G1138" s="12">
        <v>46006.0</v>
      </c>
      <c r="H1138" s="13">
        <v>46007.0</v>
      </c>
      <c r="I1138" s="11" t="s">
        <v>119</v>
      </c>
      <c r="J1138" s="11" t="s">
        <v>37</v>
      </c>
      <c r="K1138" s="14" t="s">
        <v>31</v>
      </c>
      <c r="L1138" s="11" t="s">
        <v>62</v>
      </c>
      <c r="M1138" s="15"/>
      <c r="N1138" s="16"/>
      <c r="O1138" s="16"/>
      <c r="P1138" s="16"/>
      <c r="Q1138" s="17"/>
      <c r="R1138" s="17"/>
      <c r="S1138" s="17"/>
      <c r="T1138" s="17"/>
      <c r="U1138" s="17"/>
      <c r="V1138" s="17"/>
      <c r="W1138" s="17"/>
      <c r="X1138" s="17"/>
      <c r="Y1138" s="17"/>
    </row>
    <row r="1139" ht="18.75" customHeight="1">
      <c r="A1139" s="9">
        <v>1155.0</v>
      </c>
      <c r="B1139" s="11" t="s">
        <v>4494</v>
      </c>
      <c r="C1139" s="11" t="s">
        <v>4495</v>
      </c>
      <c r="D1139" s="11" t="s">
        <v>71</v>
      </c>
      <c r="E1139" s="11" t="s">
        <v>72</v>
      </c>
      <c r="F1139" s="11" t="s">
        <v>6888</v>
      </c>
      <c r="G1139" s="12">
        <v>46006.0</v>
      </c>
      <c r="H1139" s="13">
        <v>46007.0</v>
      </c>
      <c r="I1139" s="11" t="s">
        <v>25</v>
      </c>
      <c r="J1139" s="11" t="s">
        <v>22</v>
      </c>
      <c r="K1139" s="14" t="s">
        <v>31</v>
      </c>
      <c r="L1139" s="11"/>
      <c r="M1139" s="11" t="s">
        <v>75</v>
      </c>
      <c r="N1139" s="16"/>
      <c r="O1139" s="16"/>
      <c r="P1139" s="16"/>
      <c r="Q1139" s="17"/>
      <c r="R1139" s="17"/>
      <c r="S1139" s="17"/>
      <c r="T1139" s="17"/>
      <c r="U1139" s="17"/>
      <c r="V1139" s="17"/>
      <c r="W1139" s="17"/>
      <c r="X1139" s="17"/>
      <c r="Y1139" s="17"/>
    </row>
    <row r="1140" ht="18.75" customHeight="1">
      <c r="A1140" s="9">
        <v>1156.0</v>
      </c>
      <c r="B1140" s="11" t="s">
        <v>4497</v>
      </c>
      <c r="C1140" s="11" t="s">
        <v>4498</v>
      </c>
      <c r="D1140" s="11" t="s">
        <v>122</v>
      </c>
      <c r="E1140" s="11" t="s">
        <v>4343</v>
      </c>
      <c r="F1140" s="11" t="s">
        <v>6889</v>
      </c>
      <c r="G1140" s="13">
        <v>45991.0</v>
      </c>
      <c r="H1140" s="13">
        <v>45992.0</v>
      </c>
      <c r="I1140" s="11" t="s">
        <v>251</v>
      </c>
      <c r="J1140" s="11" t="s">
        <v>213</v>
      </c>
      <c r="K1140" s="14" t="s">
        <v>31</v>
      </c>
      <c r="L1140" s="11"/>
      <c r="M1140" s="15"/>
      <c r="N1140" s="16"/>
      <c r="O1140" s="16"/>
      <c r="P1140" s="16"/>
      <c r="Q1140" s="17"/>
      <c r="R1140" s="17"/>
      <c r="S1140" s="17"/>
      <c r="T1140" s="17"/>
      <c r="U1140" s="17"/>
      <c r="V1140" s="17"/>
      <c r="W1140" s="17"/>
      <c r="X1140" s="17"/>
      <c r="Y1140" s="17"/>
    </row>
    <row r="1141" ht="18.75" customHeight="1">
      <c r="A1141" s="9">
        <v>1157.0</v>
      </c>
      <c r="B1141" s="11" t="s">
        <v>4499</v>
      </c>
      <c r="C1141" s="11" t="s">
        <v>4500</v>
      </c>
      <c r="D1141" s="11" t="s">
        <v>122</v>
      </c>
      <c r="E1141" s="11" t="s">
        <v>43</v>
      </c>
      <c r="F1141" s="11" t="s">
        <v>6890</v>
      </c>
      <c r="G1141" s="13">
        <v>45991.0</v>
      </c>
      <c r="H1141" s="13">
        <v>45992.0</v>
      </c>
      <c r="I1141" s="11" t="s">
        <v>251</v>
      </c>
      <c r="J1141" s="11" t="s">
        <v>213</v>
      </c>
      <c r="K1141" s="14" t="s">
        <v>31</v>
      </c>
      <c r="L1141" s="11"/>
      <c r="M1141" s="15"/>
      <c r="N1141" s="16"/>
      <c r="O1141" s="16"/>
      <c r="P1141" s="16"/>
      <c r="Q1141" s="17"/>
      <c r="R1141" s="17"/>
      <c r="S1141" s="17"/>
      <c r="T1141" s="17"/>
      <c r="U1141" s="17"/>
      <c r="V1141" s="17"/>
      <c r="W1141" s="17"/>
      <c r="X1141" s="17"/>
      <c r="Y1141" s="17"/>
    </row>
    <row r="1142" ht="18.75" customHeight="1">
      <c r="A1142" s="9">
        <v>1158.0</v>
      </c>
      <c r="B1142" s="11" t="s">
        <v>4501</v>
      </c>
      <c r="C1142" s="11" t="s">
        <v>4502</v>
      </c>
      <c r="D1142" s="11" t="s">
        <v>42</v>
      </c>
      <c r="E1142" s="11" t="s">
        <v>158</v>
      </c>
      <c r="F1142" s="11" t="s">
        <v>6891</v>
      </c>
      <c r="G1142" s="12">
        <v>45999.0</v>
      </c>
      <c r="H1142" s="12">
        <v>46000.0</v>
      </c>
      <c r="I1142" s="11" t="s">
        <v>119</v>
      </c>
      <c r="J1142" s="11" t="s">
        <v>22</v>
      </c>
      <c r="K1142" s="14" t="s">
        <v>31</v>
      </c>
      <c r="L1142" s="11"/>
      <c r="M1142" s="11" t="s">
        <v>6892</v>
      </c>
      <c r="N1142" s="16"/>
      <c r="O1142" s="16"/>
      <c r="P1142" s="16"/>
      <c r="Q1142" s="17"/>
      <c r="R1142" s="17"/>
      <c r="S1142" s="17"/>
      <c r="T1142" s="17"/>
      <c r="U1142" s="17"/>
      <c r="V1142" s="17"/>
      <c r="W1142" s="17"/>
      <c r="X1142" s="17"/>
      <c r="Y1142" s="17"/>
    </row>
    <row r="1143" ht="18.75" customHeight="1">
      <c r="A1143" s="9">
        <v>1161.0</v>
      </c>
      <c r="B1143" s="11" t="s">
        <v>4506</v>
      </c>
      <c r="C1143" s="11" t="s">
        <v>4507</v>
      </c>
      <c r="D1143" s="11" t="s">
        <v>4508</v>
      </c>
      <c r="E1143" s="11" t="s">
        <v>4509</v>
      </c>
      <c r="F1143" s="11" t="s">
        <v>6893</v>
      </c>
      <c r="G1143" s="12">
        <v>45999.0</v>
      </c>
      <c r="H1143" s="13">
        <v>46000.0</v>
      </c>
      <c r="I1143" s="11" t="s">
        <v>119</v>
      </c>
      <c r="J1143" s="11" t="s">
        <v>37</v>
      </c>
      <c r="K1143" s="14" t="s">
        <v>31</v>
      </c>
      <c r="L1143" s="11"/>
      <c r="M1143" s="15"/>
      <c r="N1143" s="16"/>
      <c r="O1143" s="16"/>
      <c r="P1143" s="16"/>
      <c r="Q1143" s="17"/>
      <c r="R1143" s="17"/>
      <c r="S1143" s="17"/>
      <c r="T1143" s="17"/>
      <c r="U1143" s="17"/>
      <c r="V1143" s="17"/>
      <c r="W1143" s="17"/>
      <c r="X1143" s="17"/>
      <c r="Y1143" s="17"/>
    </row>
    <row r="1144" ht="18.75" customHeight="1">
      <c r="A1144" s="9">
        <v>1163.0</v>
      </c>
      <c r="B1144" s="11" t="s">
        <v>4512</v>
      </c>
      <c r="C1144" s="11" t="s">
        <v>4513</v>
      </c>
      <c r="D1144" s="11" t="s">
        <v>110</v>
      </c>
      <c r="E1144" s="11" t="s">
        <v>764</v>
      </c>
      <c r="F1144" s="11" t="s">
        <v>6894</v>
      </c>
      <c r="G1144" s="12">
        <v>46001.0</v>
      </c>
      <c r="H1144" s="13">
        <v>46002.0</v>
      </c>
      <c r="I1144" s="11" t="s">
        <v>251</v>
      </c>
      <c r="J1144" s="11"/>
      <c r="K1144" s="14" t="s">
        <v>31</v>
      </c>
      <c r="L1144" s="11"/>
      <c r="M1144" s="15"/>
      <c r="N1144" s="16"/>
      <c r="O1144" s="16"/>
      <c r="P1144" s="16"/>
      <c r="Q1144" s="17"/>
      <c r="R1144" s="17"/>
      <c r="S1144" s="17"/>
      <c r="T1144" s="17"/>
      <c r="U1144" s="17"/>
      <c r="V1144" s="17"/>
      <c r="W1144" s="17"/>
      <c r="X1144" s="17"/>
      <c r="Y1144" s="17"/>
    </row>
    <row r="1145" ht="18.75" customHeight="1">
      <c r="A1145" s="9">
        <v>1164.0</v>
      </c>
      <c r="B1145" s="11" t="s">
        <v>4515</v>
      </c>
      <c r="C1145" s="11" t="s">
        <v>4516</v>
      </c>
      <c r="D1145" s="11" t="s">
        <v>59</v>
      </c>
      <c r="E1145" s="11" t="s">
        <v>168</v>
      </c>
      <c r="F1145" s="11" t="s">
        <v>6895</v>
      </c>
      <c r="G1145" s="12">
        <v>46006.0</v>
      </c>
      <c r="H1145" s="13">
        <v>46007.0</v>
      </c>
      <c r="I1145" s="11" t="s">
        <v>119</v>
      </c>
      <c r="J1145" s="11" t="s">
        <v>37</v>
      </c>
      <c r="K1145" s="14" t="s">
        <v>31</v>
      </c>
      <c r="L1145" s="11"/>
      <c r="M1145" s="11" t="s">
        <v>6896</v>
      </c>
      <c r="N1145" s="16"/>
      <c r="O1145" s="16"/>
      <c r="P1145" s="16"/>
      <c r="Q1145" s="17"/>
      <c r="R1145" s="17"/>
      <c r="S1145" s="17"/>
      <c r="T1145" s="17"/>
      <c r="U1145" s="17"/>
      <c r="V1145" s="17"/>
      <c r="W1145" s="17"/>
      <c r="X1145" s="17"/>
      <c r="Y1145" s="17"/>
    </row>
    <row r="1146" ht="18.75" customHeight="1">
      <c r="A1146" s="9">
        <v>1167.0</v>
      </c>
      <c r="B1146" s="11" t="s">
        <v>4520</v>
      </c>
      <c r="C1146" s="11" t="s">
        <v>4521</v>
      </c>
      <c r="D1146" s="11" t="s">
        <v>128</v>
      </c>
      <c r="E1146" s="11" t="s">
        <v>72</v>
      </c>
      <c r="F1146" s="11" t="s">
        <v>6897</v>
      </c>
      <c r="G1146" s="12">
        <v>46006.0</v>
      </c>
      <c r="H1146" s="13">
        <v>46007.0</v>
      </c>
      <c r="I1146" s="11" t="s">
        <v>119</v>
      </c>
      <c r="J1146" s="11"/>
      <c r="K1146" s="14" t="s">
        <v>31</v>
      </c>
      <c r="L1146" s="11"/>
      <c r="M1146" s="11" t="s">
        <v>6898</v>
      </c>
      <c r="N1146" s="16"/>
      <c r="O1146" s="16"/>
      <c r="P1146" s="16"/>
      <c r="Q1146" s="17"/>
      <c r="R1146" s="17"/>
      <c r="S1146" s="17"/>
      <c r="T1146" s="17"/>
      <c r="U1146" s="17"/>
      <c r="V1146" s="17"/>
      <c r="W1146" s="17"/>
      <c r="X1146" s="17"/>
      <c r="Y1146" s="17"/>
    </row>
    <row r="1147" ht="18.75" customHeight="1">
      <c r="A1147" s="9">
        <v>1169.0</v>
      </c>
      <c r="B1147" s="11" t="s">
        <v>4524</v>
      </c>
      <c r="C1147" s="11" t="s">
        <v>4525</v>
      </c>
      <c r="D1147" s="11" t="s">
        <v>380</v>
      </c>
      <c r="E1147" s="11" t="s">
        <v>381</v>
      </c>
      <c r="F1147" s="11" t="s">
        <v>6899</v>
      </c>
      <c r="G1147" s="12">
        <v>46000.0</v>
      </c>
      <c r="H1147" s="12">
        <v>46001.0</v>
      </c>
      <c r="I1147" s="11" t="s">
        <v>119</v>
      </c>
      <c r="J1147" s="11" t="s">
        <v>37</v>
      </c>
      <c r="K1147" s="14" t="s">
        <v>31</v>
      </c>
      <c r="L1147" s="11"/>
      <c r="M1147" s="15"/>
      <c r="N1147" s="16"/>
      <c r="O1147" s="16"/>
      <c r="P1147" s="16"/>
      <c r="Q1147" s="17"/>
      <c r="R1147" s="17"/>
      <c r="S1147" s="17"/>
      <c r="T1147" s="17"/>
      <c r="U1147" s="17"/>
      <c r="V1147" s="17"/>
      <c r="W1147" s="17"/>
      <c r="X1147" s="17"/>
      <c r="Y1147" s="17"/>
    </row>
    <row r="1148" ht="18.75" customHeight="1">
      <c r="A1148" s="9">
        <v>1170.0</v>
      </c>
      <c r="B1148" s="11" t="s">
        <v>4527</v>
      </c>
      <c r="C1148" s="11" t="s">
        <v>4528</v>
      </c>
      <c r="D1148" s="11" t="s">
        <v>122</v>
      </c>
      <c r="E1148" s="11" t="s">
        <v>807</v>
      </c>
      <c r="F1148" s="11" t="s">
        <v>6900</v>
      </c>
      <c r="G1148" s="12">
        <v>46002.0</v>
      </c>
      <c r="H1148" s="13">
        <v>46003.0</v>
      </c>
      <c r="I1148" s="11" t="s">
        <v>25</v>
      </c>
      <c r="J1148" s="11" t="s">
        <v>37</v>
      </c>
      <c r="K1148" s="14" t="s">
        <v>31</v>
      </c>
      <c r="L1148" s="11"/>
      <c r="M1148" s="15"/>
      <c r="N1148" s="16"/>
      <c r="O1148" s="16"/>
      <c r="P1148" s="16"/>
      <c r="Q1148" s="17"/>
      <c r="R1148" s="17"/>
      <c r="S1148" s="17"/>
      <c r="T1148" s="17"/>
      <c r="U1148" s="17"/>
      <c r="V1148" s="17"/>
      <c r="W1148" s="17"/>
      <c r="X1148" s="17"/>
      <c r="Y1148" s="17"/>
    </row>
    <row r="1149" ht="18.75" customHeight="1">
      <c r="A1149" s="9">
        <v>1171.0</v>
      </c>
      <c r="B1149" s="11" t="s">
        <v>4530</v>
      </c>
      <c r="C1149" s="11" t="s">
        <v>4531</v>
      </c>
      <c r="D1149" s="11" t="s">
        <v>122</v>
      </c>
      <c r="E1149" s="11" t="s">
        <v>807</v>
      </c>
      <c r="F1149" s="11" t="s">
        <v>6901</v>
      </c>
      <c r="G1149" s="12">
        <v>46000.0</v>
      </c>
      <c r="H1149" s="12">
        <v>46001.0</v>
      </c>
      <c r="I1149" s="11" t="s">
        <v>25</v>
      </c>
      <c r="J1149" s="11" t="s">
        <v>37</v>
      </c>
      <c r="K1149" s="14" t="s">
        <v>31</v>
      </c>
      <c r="L1149" s="11"/>
      <c r="M1149" s="15"/>
      <c r="N1149" s="16"/>
      <c r="O1149" s="16"/>
      <c r="P1149" s="16"/>
      <c r="Q1149" s="17"/>
      <c r="R1149" s="17"/>
      <c r="S1149" s="17"/>
      <c r="T1149" s="17"/>
      <c r="U1149" s="17"/>
      <c r="V1149" s="17"/>
      <c r="W1149" s="17"/>
      <c r="X1149" s="17"/>
      <c r="Y1149" s="17"/>
    </row>
    <row r="1150" ht="18.75" customHeight="1">
      <c r="A1150" s="9">
        <v>1174.0</v>
      </c>
      <c r="B1150" s="11" t="s">
        <v>4535</v>
      </c>
      <c r="C1150" s="11" t="s">
        <v>4536</v>
      </c>
      <c r="D1150" s="11" t="s">
        <v>122</v>
      </c>
      <c r="E1150" s="11" t="s">
        <v>294</v>
      </c>
      <c r="F1150" s="11" t="s">
        <v>6902</v>
      </c>
      <c r="G1150" s="12">
        <v>45991.0</v>
      </c>
      <c r="H1150" s="13">
        <v>45992.0</v>
      </c>
      <c r="I1150" s="11" t="s">
        <v>251</v>
      </c>
      <c r="J1150" s="11" t="s">
        <v>213</v>
      </c>
      <c r="K1150" s="14" t="s">
        <v>31</v>
      </c>
      <c r="L1150" s="11"/>
      <c r="M1150" s="15"/>
      <c r="N1150" s="16"/>
      <c r="O1150" s="16"/>
      <c r="P1150" s="16"/>
      <c r="Q1150" s="17"/>
      <c r="R1150" s="17"/>
      <c r="S1150" s="17"/>
      <c r="T1150" s="17"/>
      <c r="U1150" s="17"/>
      <c r="V1150" s="17"/>
      <c r="W1150" s="17"/>
      <c r="X1150" s="17"/>
      <c r="Y1150" s="17"/>
    </row>
    <row r="1151" ht="18.75" customHeight="1">
      <c r="A1151" s="9">
        <v>1175.0</v>
      </c>
      <c r="B1151" s="11" t="s">
        <v>4537</v>
      </c>
      <c r="C1151" s="11" t="s">
        <v>4538</v>
      </c>
      <c r="D1151" s="11" t="s">
        <v>110</v>
      </c>
      <c r="E1151" s="11" t="s">
        <v>2011</v>
      </c>
      <c r="F1151" s="11" t="s">
        <v>6903</v>
      </c>
      <c r="G1151" s="12">
        <v>45992.0</v>
      </c>
      <c r="H1151" s="13">
        <v>45993.0</v>
      </c>
      <c r="I1151" s="11" t="s">
        <v>251</v>
      </c>
      <c r="J1151" s="11" t="s">
        <v>213</v>
      </c>
      <c r="K1151" s="14" t="s">
        <v>31</v>
      </c>
      <c r="L1151" s="11"/>
      <c r="M1151" s="15"/>
      <c r="N1151" s="16"/>
      <c r="O1151" s="16"/>
      <c r="P1151" s="16"/>
      <c r="Q1151" s="17"/>
      <c r="R1151" s="17"/>
      <c r="S1151" s="17"/>
      <c r="T1151" s="17"/>
      <c r="U1151" s="17"/>
      <c r="V1151" s="17"/>
      <c r="W1151" s="17"/>
      <c r="X1151" s="17"/>
      <c r="Y1151" s="17"/>
    </row>
    <row r="1152" ht="18.75" customHeight="1">
      <c r="A1152" s="9">
        <v>1176.0</v>
      </c>
      <c r="B1152" s="11" t="s">
        <v>4539</v>
      </c>
      <c r="C1152" s="11" t="s">
        <v>4540</v>
      </c>
      <c r="D1152" s="11" t="s">
        <v>122</v>
      </c>
      <c r="E1152" s="11" t="s">
        <v>148</v>
      </c>
      <c r="F1152" s="11" t="s">
        <v>6904</v>
      </c>
      <c r="G1152" s="12">
        <v>45991.0</v>
      </c>
      <c r="H1152" s="13">
        <v>45992.0</v>
      </c>
      <c r="I1152" s="11" t="s">
        <v>251</v>
      </c>
      <c r="J1152" s="11"/>
      <c r="K1152" s="14" t="s">
        <v>31</v>
      </c>
      <c r="L1152" s="11"/>
      <c r="M1152" s="15"/>
      <c r="N1152" s="16"/>
      <c r="O1152" s="16"/>
      <c r="P1152" s="16"/>
      <c r="Q1152" s="17"/>
      <c r="R1152" s="17"/>
      <c r="S1152" s="17"/>
      <c r="T1152" s="17"/>
      <c r="U1152" s="17"/>
      <c r="V1152" s="17"/>
      <c r="W1152" s="17"/>
      <c r="X1152" s="17"/>
      <c r="Y1152" s="17"/>
    </row>
    <row r="1153" ht="18.75" customHeight="1">
      <c r="A1153" s="9">
        <v>1177.0</v>
      </c>
      <c r="B1153" s="11" t="s">
        <v>4541</v>
      </c>
      <c r="C1153" s="11" t="s">
        <v>4542</v>
      </c>
      <c r="D1153" s="11" t="s">
        <v>128</v>
      </c>
      <c r="E1153" s="11" t="s">
        <v>419</v>
      </c>
      <c r="F1153" s="11" t="s">
        <v>6905</v>
      </c>
      <c r="G1153" s="12">
        <v>45991.0</v>
      </c>
      <c r="H1153" s="13">
        <v>45992.0</v>
      </c>
      <c r="I1153" s="11" t="s">
        <v>251</v>
      </c>
      <c r="J1153" s="11"/>
      <c r="K1153" s="14" t="s">
        <v>31</v>
      </c>
      <c r="L1153" s="11"/>
      <c r="M1153" s="15"/>
      <c r="N1153" s="16"/>
      <c r="O1153" s="16"/>
      <c r="P1153" s="16"/>
      <c r="Q1153" s="17"/>
      <c r="R1153" s="17"/>
      <c r="S1153" s="17"/>
      <c r="T1153" s="17"/>
      <c r="U1153" s="17"/>
      <c r="V1153" s="17"/>
      <c r="W1153" s="17"/>
      <c r="X1153" s="17"/>
      <c r="Y1153" s="17"/>
    </row>
    <row r="1154" ht="18.75" customHeight="1">
      <c r="A1154" s="9">
        <v>1182.0</v>
      </c>
      <c r="B1154" s="11" t="s">
        <v>4547</v>
      </c>
      <c r="C1154" s="11" t="s">
        <v>4548</v>
      </c>
      <c r="D1154" s="11" t="s">
        <v>116</v>
      </c>
      <c r="E1154" s="11" t="s">
        <v>4549</v>
      </c>
      <c r="F1154" s="11" t="s">
        <v>6906</v>
      </c>
      <c r="G1154" s="12">
        <v>46014.0</v>
      </c>
      <c r="H1154" s="12">
        <v>46015.0</v>
      </c>
      <c r="I1154" s="11" t="s">
        <v>6234</v>
      </c>
      <c r="J1154" s="11"/>
      <c r="K1154" s="14" t="s">
        <v>31</v>
      </c>
      <c r="L1154" s="11"/>
      <c r="M1154" s="15"/>
      <c r="N1154" s="16"/>
      <c r="O1154" s="16"/>
      <c r="P1154" s="16"/>
      <c r="Q1154" s="17"/>
      <c r="R1154" s="17"/>
      <c r="S1154" s="17"/>
      <c r="T1154" s="17"/>
      <c r="U1154" s="17"/>
      <c r="V1154" s="17"/>
      <c r="W1154" s="17"/>
      <c r="X1154" s="17"/>
      <c r="Y1154" s="17"/>
    </row>
    <row r="1155" ht="18.75" customHeight="1">
      <c r="A1155" s="9">
        <v>1184.0</v>
      </c>
      <c r="B1155" s="11" t="s">
        <v>4551</v>
      </c>
      <c r="C1155" s="11" t="s">
        <v>4552</v>
      </c>
      <c r="D1155" s="11" t="s">
        <v>1651</v>
      </c>
      <c r="E1155" s="11" t="s">
        <v>4288</v>
      </c>
      <c r="F1155" s="11" t="s">
        <v>6907</v>
      </c>
      <c r="G1155" s="12">
        <v>46014.0</v>
      </c>
      <c r="H1155" s="12">
        <v>46015.0</v>
      </c>
      <c r="I1155" s="11" t="s">
        <v>119</v>
      </c>
      <c r="J1155" s="11"/>
      <c r="K1155" s="14" t="s">
        <v>31</v>
      </c>
      <c r="L1155" s="11" t="s">
        <v>74</v>
      </c>
      <c r="M1155" s="15"/>
      <c r="N1155" s="16"/>
      <c r="O1155" s="16"/>
      <c r="P1155" s="16"/>
      <c r="Q1155" s="17"/>
      <c r="R1155" s="17"/>
      <c r="S1155" s="17"/>
      <c r="T1155" s="17"/>
      <c r="U1155" s="17"/>
      <c r="V1155" s="17"/>
      <c r="W1155" s="17"/>
      <c r="X1155" s="17"/>
      <c r="Y1155" s="17"/>
    </row>
  </sheetData>
  <conditionalFormatting sqref="L428 I911">
    <cfRule type="notContainsBlanks" dxfId="2" priority="1">
      <formula>LEN(TRIM(L428))&gt;0</formula>
    </cfRule>
  </conditionalFormatting>
  <conditionalFormatting sqref="K429">
    <cfRule type="notContainsBlanks" dxfId="2" priority="2">
      <formula>LEN(TRIM(K429))&gt;0</formula>
    </cfRule>
  </conditionalFormatting>
  <conditionalFormatting sqref="L426">
    <cfRule type="notContainsBlanks" dxfId="2" priority="3">
      <formula>LEN(TRIM(L426))&gt;0</formula>
    </cfRule>
  </conditionalFormatting>
  <conditionalFormatting sqref="L448">
    <cfRule type="notContainsBlanks" dxfId="2" priority="4">
      <formula>LEN(TRIM(L448))&gt;0</formula>
    </cfRule>
  </conditionalFormatting>
  <conditionalFormatting sqref="G2:G1155 H562 H570 H588 H596 H604 H620 H638 H654 H656 H659:H660 H669 H673 H690 H696:H698 H700:H706 H708:H711 H713 H749:H750 H773:H774 H778 H785:H786 H789 H797 H817 H825 H827 H830 H832 H841 H856 H877 H880 H882:H886 H888:H889 H891:H892 H897 H899 H907 H917 H928 H937 H943 H948:H949 H952 H956:H957 H960 H964 H967 H970:H971 H976 H983 H1022 H1030 H1039 H1041 H1049 H1053:H1054 H1057:H1058 H1060:H1081 H1084:H1093 H1095:H1111 H1114:H1115 H1117 H1119:H1125 H1129:H1132 H1143:H1144 H1148:H1149">
    <cfRule type="notContainsBlanks" dxfId="0" priority="5">
      <formula>LEN(TRIM(G2))&gt;0</formula>
    </cfRule>
  </conditionalFormatting>
  <conditionalFormatting sqref="G2:G566 H562">
    <cfRule type="notContainsBlanks" dxfId="0" priority="6">
      <formula>LEN(TRIM(G2))&gt;0</formula>
    </cfRule>
  </conditionalFormatting>
  <conditionalFormatting sqref="H2:H1155 G551:G567 G570 G604 G620 G622 G656 G749:G750 G785:G786 G789 G797 G816 G825:G827 G830 G832 G834:G836 G838 G841:G842 G850 G853:G854 G856 G858:G861 G863:G865 G871 G875:G877 G880 G882:G886 G888 G891:G892 G897 G905 G907 G917 G923 G934 G937 G942:G943 G949:G950 G952:G953 G955:G958 G960:G967 G970:G973 G975:G983 G1020 G1030 G1034 G1036:G1038 G1041 G1043:G1047 G1049:G1064 G1066:G1082 G1084:G1093 G1095:G1115 G1117 G1119:G1125 G1129:G1130 G1148:G1149">
    <cfRule type="notContainsBlanks" dxfId="1" priority="7">
      <formula>LEN(TRIM(H2))&gt;0</formula>
    </cfRule>
  </conditionalFormatting>
  <conditionalFormatting sqref="N2:P566">
    <cfRule type="notContainsBlanks" dxfId="2" priority="8">
      <formula>LEN(TRIM(N2))&gt;0</formula>
    </cfRule>
  </conditionalFormatting>
  <dataValidations>
    <dataValidation type="list" allowBlank="1" showErrorMessage="1" sqref="O2:O1155">
      <formula1>"ลบข้อมูลแล้ว"</formula1>
    </dataValidation>
    <dataValidation type="list" allowBlank="1" showErrorMessage="1" sqref="I605">
      <formula1>"ลาออก,ลาออกไม่ครบ 30 วัน,ปลดออก,มรณะ,เกษียณ,ยกเลิกลาออก"</formula1>
    </dataValidation>
    <dataValidation type="list" allowBlank="1" showErrorMessage="1" sqref="P2:P1155">
      <formula1>"ลบข้อมูลแล้ว"</formula1>
    </dataValidation>
    <dataValidation type="list" allowBlank="1" showErrorMessage="1" sqref="K2:K1155">
      <formula1>"ยังไม่ปิดลาออก,ปิดลาออกแล้ว"</formula1>
    </dataValidation>
    <dataValidation type="custom" allowBlank="1" showDropDown="1" showInputMessage="1" showErrorMessage="1" prompt="ป้อนวันที่ที่ถูกต้อง" sqref="G2:H1155">
      <formula1>OR(NOT(ISERROR(DATEVALUE(G2))), AND(ISNUMBER(G2), LEFT(CELL("format", G2))="D"))</formula1>
    </dataValidation>
    <dataValidation type="list" allowBlank="1" showErrorMessage="1" sqref="N2:N1155">
      <formula1>"ลบข้อมูลแล้ว"</formula1>
    </dataValidation>
    <dataValidation type="list" allowBlank="1" showErrorMessage="1" sqref="J2:J1155">
      <formula1>"รอการตรวจสอบ,ผ่านการตรวจสอบแล้ว,ไม่มีเอกสารให้ตรวจสอบ,ยกเลิกเอกสาร,ส่งเอกสารถึงพนักงาน,ได้รับเอกสารแล้ว,ไม่ส่งเอกสารกลับมาที่ HR,ยื่น Online,ส่งเอกสารกลับไปแก้ไข,ต้นสังกัดแจ้งทางเมล์"</formula1>
    </dataValidation>
    <dataValidation type="list" allowBlank="1" showErrorMessage="1" sqref="L2:L1155">
      <formula1>"ปัจจัยที่ 1 ผลตอบแทนการทำงาน,ปัจจัยที่ 2 ความสัมพันธ์และบุคคลากรในองค์กร,ปัจจัยที่ 3 งานในหน้าที่,ปัจจัยที่ 4 องค์กร,ปัจจัยที่ 5 โอกาสในการเติบโต/พัฒนา,ปัจจัยที่ 6 ความจำเป็นส่วนตัว,ปัจจัยที่ 7 Probation (ไม่ผ่านทดลองงาน),ปัจจัยที่ 8 เกษียณอายุ,ปัจจัยที่ "&amp;"9 เหตุผลอื่น ๆ"</formula1>
    </dataValidation>
    <dataValidation type="list" allowBlank="1" showErrorMessage="1" sqref="I2:I604 I606:I1155">
      <formula1>"ลาออก,ลาออกไม่ครบ 30 วัน,ปลดออก,มรณะ,เกษียร,ยกเลิกลาออก"</formula1>
    </dataValidation>
  </dataValidations>
  <hyperlinks>
    <hyperlink r:id="rId1" ref="F422"/>
    <hyperlink r:id="rId2" ref="F545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44.0"/>
    <col customWidth="1" min="3" max="3" width="23.0"/>
    <col customWidth="1" min="5" max="5" width="11.75"/>
    <col customWidth="1" min="6" max="6" width="11.38"/>
    <col customWidth="1" min="7" max="7" width="8.25"/>
    <col customWidth="1" min="8" max="8" width="35.13"/>
    <col customWidth="1" min="9" max="9" width="52.5"/>
    <col customWidth="1" min="10" max="10" width="7.0"/>
    <col customWidth="1" min="13" max="13" width="24.25"/>
    <col customWidth="1" min="14" max="14" width="34.38"/>
    <col customWidth="1" min="15" max="15" width="22.0"/>
    <col customWidth="1" min="16" max="16" width="41.5"/>
    <col customWidth="1" min="17" max="17" width="22.0"/>
    <col customWidth="1" min="18" max="18" width="35.38"/>
  </cols>
  <sheetData>
    <row r="1" ht="35.25" customHeight="1">
      <c r="G1" s="227" t="s">
        <v>6908</v>
      </c>
    </row>
    <row r="2">
      <c r="B2" s="228" t="s">
        <v>6909</v>
      </c>
      <c r="C2" s="229" t="s">
        <v>4733</v>
      </c>
      <c r="D2" s="230" t="s">
        <v>4921</v>
      </c>
      <c r="E2" s="231"/>
      <c r="G2" s="232" t="s">
        <v>0</v>
      </c>
      <c r="H2" s="232" t="s">
        <v>4725</v>
      </c>
      <c r="I2" s="232" t="s">
        <v>6910</v>
      </c>
      <c r="J2" s="233" t="s">
        <v>6911</v>
      </c>
      <c r="K2" s="232" t="s">
        <v>1</v>
      </c>
      <c r="L2" s="232" t="s">
        <v>6912</v>
      </c>
      <c r="M2" s="232" t="s">
        <v>6913</v>
      </c>
      <c r="N2" s="232" t="s">
        <v>4</v>
      </c>
      <c r="O2" s="232" t="s">
        <v>6914</v>
      </c>
      <c r="P2" s="232" t="s">
        <v>6915</v>
      </c>
      <c r="Q2" s="232" t="s">
        <v>6916</v>
      </c>
      <c r="R2" s="232" t="s">
        <v>6917</v>
      </c>
    </row>
    <row r="3">
      <c r="B3" s="234">
        <v>1.0</v>
      </c>
      <c r="C3" s="235">
        <v>2.0</v>
      </c>
      <c r="D3" s="236"/>
      <c r="E3" s="231"/>
      <c r="G3" s="232">
        <v>1.0</v>
      </c>
      <c r="H3" s="237" t="s">
        <v>6918</v>
      </c>
      <c r="I3" s="237" t="s">
        <v>6919</v>
      </c>
      <c r="J3" s="233">
        <v>1.0</v>
      </c>
      <c r="K3" s="237" t="s">
        <v>6920</v>
      </c>
      <c r="L3" s="237" t="s">
        <v>6921</v>
      </c>
      <c r="M3" s="237" t="s">
        <v>6922</v>
      </c>
      <c r="N3" s="237" t="s">
        <v>1301</v>
      </c>
      <c r="O3" s="237" t="s">
        <v>6923</v>
      </c>
      <c r="P3" s="237" t="s">
        <v>6924</v>
      </c>
      <c r="Q3" s="237"/>
      <c r="R3" s="231"/>
    </row>
    <row r="4">
      <c r="B4" s="234" t="s">
        <v>6925</v>
      </c>
      <c r="C4" s="235">
        <v>8.0</v>
      </c>
      <c r="D4" s="236"/>
      <c r="E4" s="231"/>
      <c r="G4" s="232">
        <v>2.0</v>
      </c>
      <c r="H4" s="237" t="s">
        <v>6918</v>
      </c>
      <c r="I4" s="237" t="s">
        <v>6919</v>
      </c>
      <c r="J4" s="233">
        <v>1.0</v>
      </c>
      <c r="K4" s="237" t="s">
        <v>3038</v>
      </c>
      <c r="L4" s="237" t="s">
        <v>6921</v>
      </c>
      <c r="M4" s="237" t="s">
        <v>6926</v>
      </c>
      <c r="N4" s="237" t="s">
        <v>1301</v>
      </c>
      <c r="O4" s="237" t="s">
        <v>6927</v>
      </c>
      <c r="P4" s="237" t="s">
        <v>6928</v>
      </c>
      <c r="Q4" s="237" t="s">
        <v>6929</v>
      </c>
      <c r="R4" s="237" t="s">
        <v>6930</v>
      </c>
    </row>
    <row r="5">
      <c r="B5" s="234">
        <v>2.0</v>
      </c>
      <c r="C5" s="235">
        <v>41.0</v>
      </c>
      <c r="D5" s="238">
        <v>3.0</v>
      </c>
      <c r="E5" s="231"/>
      <c r="G5" s="232">
        <v>3.0</v>
      </c>
      <c r="H5" s="237" t="s">
        <v>6918</v>
      </c>
      <c r="I5" s="237" t="s">
        <v>6931</v>
      </c>
      <c r="J5" s="233">
        <v>2.0</v>
      </c>
      <c r="K5" s="237" t="s">
        <v>6932</v>
      </c>
      <c r="L5" s="237" t="s">
        <v>6933</v>
      </c>
      <c r="M5" s="237" t="s">
        <v>6934</v>
      </c>
      <c r="N5" s="237" t="s">
        <v>6935</v>
      </c>
      <c r="O5" s="237" t="s">
        <v>6936</v>
      </c>
      <c r="P5" s="237" t="s">
        <v>6937</v>
      </c>
      <c r="Q5" s="237" t="s">
        <v>6938</v>
      </c>
      <c r="R5" s="237" t="s">
        <v>6939</v>
      </c>
    </row>
    <row r="6">
      <c r="B6" s="234">
        <v>3.0</v>
      </c>
      <c r="C6" s="235">
        <v>56.0</v>
      </c>
      <c r="D6" s="236"/>
      <c r="E6" s="231"/>
      <c r="G6" s="232">
        <v>4.0</v>
      </c>
      <c r="H6" s="237" t="s">
        <v>6918</v>
      </c>
      <c r="I6" s="237" t="s">
        <v>6940</v>
      </c>
      <c r="J6" s="233">
        <v>2.0</v>
      </c>
      <c r="K6" s="237" t="s">
        <v>6941</v>
      </c>
      <c r="L6" s="237" t="s">
        <v>6933</v>
      </c>
      <c r="M6" s="237" t="s">
        <v>6942</v>
      </c>
      <c r="N6" s="237" t="s">
        <v>6935</v>
      </c>
      <c r="O6" s="237" t="s">
        <v>6943</v>
      </c>
      <c r="P6" s="237" t="s">
        <v>6944</v>
      </c>
      <c r="Q6" s="237" t="s">
        <v>6945</v>
      </c>
      <c r="R6" s="237" t="s">
        <v>6946</v>
      </c>
    </row>
    <row r="7">
      <c r="B7" s="234">
        <v>4.0</v>
      </c>
      <c r="C7" s="235">
        <v>41.0</v>
      </c>
      <c r="D7" s="238">
        <v>1.0</v>
      </c>
      <c r="E7" s="231"/>
      <c r="G7" s="232">
        <v>5.0</v>
      </c>
      <c r="H7" s="237" t="s">
        <v>6918</v>
      </c>
      <c r="I7" s="237" t="s">
        <v>6931</v>
      </c>
      <c r="J7" s="233">
        <v>2.0</v>
      </c>
      <c r="K7" s="237" t="s">
        <v>6947</v>
      </c>
      <c r="L7" s="237" t="s">
        <v>6933</v>
      </c>
      <c r="M7" s="237" t="s">
        <v>6948</v>
      </c>
      <c r="N7" s="237" t="s">
        <v>6949</v>
      </c>
      <c r="O7" s="237" t="s">
        <v>6950</v>
      </c>
      <c r="P7" s="237" t="s">
        <v>6937</v>
      </c>
      <c r="Q7" s="237" t="s">
        <v>6951</v>
      </c>
      <c r="R7" s="237" t="s">
        <v>6952</v>
      </c>
    </row>
    <row r="8">
      <c r="B8" s="234">
        <v>5.0</v>
      </c>
      <c r="C8" s="235">
        <v>35.0</v>
      </c>
      <c r="D8" s="238">
        <v>26.0</v>
      </c>
      <c r="E8" s="231"/>
      <c r="G8" s="232">
        <v>6.0</v>
      </c>
      <c r="H8" s="237" t="s">
        <v>6918</v>
      </c>
      <c r="I8" s="237" t="s">
        <v>6940</v>
      </c>
      <c r="J8" s="233">
        <v>2.0</v>
      </c>
      <c r="K8" s="237" t="s">
        <v>6953</v>
      </c>
      <c r="L8" s="237" t="s">
        <v>6933</v>
      </c>
      <c r="M8" s="237" t="s">
        <v>6954</v>
      </c>
      <c r="N8" s="237" t="s">
        <v>6955</v>
      </c>
      <c r="O8" s="237" t="s">
        <v>6956</v>
      </c>
      <c r="P8" s="237" t="s">
        <v>6957</v>
      </c>
      <c r="Q8" s="237" t="s">
        <v>6958</v>
      </c>
      <c r="R8" s="237" t="s">
        <v>6930</v>
      </c>
    </row>
    <row r="9">
      <c r="B9" s="234">
        <v>6.0</v>
      </c>
      <c r="C9" s="235">
        <v>53.0</v>
      </c>
      <c r="D9" s="236"/>
      <c r="E9" s="231"/>
      <c r="G9" s="232">
        <v>7.0</v>
      </c>
      <c r="H9" s="237" t="s">
        <v>6918</v>
      </c>
      <c r="I9" s="237" t="s">
        <v>6940</v>
      </c>
      <c r="J9" s="233">
        <v>2.0</v>
      </c>
      <c r="K9" s="237" t="s">
        <v>6959</v>
      </c>
      <c r="L9" s="237" t="s">
        <v>6933</v>
      </c>
      <c r="M9" s="237" t="s">
        <v>6960</v>
      </c>
      <c r="N9" s="237" t="s">
        <v>6961</v>
      </c>
      <c r="O9" s="237" t="s">
        <v>6962</v>
      </c>
      <c r="P9" s="237" t="s">
        <v>6937</v>
      </c>
      <c r="Q9" s="237" t="s">
        <v>6963</v>
      </c>
      <c r="R9" s="237" t="s">
        <v>6939</v>
      </c>
    </row>
    <row r="10">
      <c r="B10" s="234">
        <v>7.0</v>
      </c>
      <c r="C10" s="235">
        <v>35.0</v>
      </c>
      <c r="D10" s="238">
        <v>1.0</v>
      </c>
      <c r="E10" s="231"/>
      <c r="G10" s="232">
        <v>8.0</v>
      </c>
      <c r="H10" s="237" t="s">
        <v>6918</v>
      </c>
      <c r="I10" s="237" t="s">
        <v>6931</v>
      </c>
      <c r="J10" s="233">
        <v>2.0</v>
      </c>
      <c r="K10" s="237" t="s">
        <v>6964</v>
      </c>
      <c r="L10" s="237" t="s">
        <v>6921</v>
      </c>
      <c r="M10" s="237" t="s">
        <v>6965</v>
      </c>
      <c r="N10" s="237" t="s">
        <v>6966</v>
      </c>
      <c r="O10" s="237" t="s">
        <v>6967</v>
      </c>
      <c r="P10" s="237" t="s">
        <v>6937</v>
      </c>
      <c r="Q10" s="237" t="s">
        <v>6968</v>
      </c>
      <c r="R10" s="237" t="s">
        <v>6969</v>
      </c>
    </row>
    <row r="11">
      <c r="B11" s="234">
        <v>8.0</v>
      </c>
      <c r="C11" s="235">
        <v>40.0</v>
      </c>
      <c r="D11" s="236"/>
      <c r="E11" s="231"/>
      <c r="G11" s="232">
        <v>9.0</v>
      </c>
      <c r="H11" s="237" t="s">
        <v>6918</v>
      </c>
      <c r="I11" s="237" t="s">
        <v>6940</v>
      </c>
      <c r="J11" s="233">
        <v>2.0</v>
      </c>
      <c r="K11" s="237" t="s">
        <v>6970</v>
      </c>
      <c r="L11" s="237" t="s">
        <v>6933</v>
      </c>
      <c r="M11" s="237" t="s">
        <v>6971</v>
      </c>
      <c r="N11" s="237" t="s">
        <v>6966</v>
      </c>
      <c r="O11" s="237" t="s">
        <v>6972</v>
      </c>
      <c r="P11" s="237" t="s">
        <v>6928</v>
      </c>
      <c r="Q11" s="237" t="s">
        <v>6973</v>
      </c>
      <c r="R11" s="237" t="s">
        <v>6930</v>
      </c>
    </row>
    <row r="12">
      <c r="B12" s="234">
        <v>9.0</v>
      </c>
      <c r="C12" s="235">
        <v>70.0</v>
      </c>
      <c r="D12" s="236"/>
      <c r="E12" s="231"/>
      <c r="G12" s="232">
        <v>10.0</v>
      </c>
      <c r="H12" s="237" t="s">
        <v>6918</v>
      </c>
      <c r="I12" s="237" t="s">
        <v>6940</v>
      </c>
      <c r="J12" s="233">
        <v>2.0</v>
      </c>
      <c r="K12" s="237" t="s">
        <v>6974</v>
      </c>
      <c r="L12" s="237" t="s">
        <v>6921</v>
      </c>
      <c r="M12" s="237" t="s">
        <v>6975</v>
      </c>
      <c r="N12" s="237" t="s">
        <v>6976</v>
      </c>
      <c r="O12" s="237" t="s">
        <v>6977</v>
      </c>
      <c r="P12" s="237" t="s">
        <v>6978</v>
      </c>
      <c r="Q12" s="237" t="s">
        <v>6979</v>
      </c>
      <c r="R12" s="237" t="s">
        <v>6946</v>
      </c>
    </row>
    <row r="13">
      <c r="B13" s="234">
        <v>10.0</v>
      </c>
      <c r="C13" s="235">
        <v>48.0</v>
      </c>
      <c r="D13" s="236"/>
      <c r="E13" s="231"/>
      <c r="G13" s="232">
        <v>11.0</v>
      </c>
      <c r="H13" s="237" t="s">
        <v>6918</v>
      </c>
      <c r="I13" s="237" t="s">
        <v>6940</v>
      </c>
      <c r="J13" s="233">
        <v>2.0</v>
      </c>
      <c r="K13" s="237" t="s">
        <v>6980</v>
      </c>
      <c r="L13" s="237" t="s">
        <v>6933</v>
      </c>
      <c r="M13" s="237" t="s">
        <v>6981</v>
      </c>
      <c r="N13" s="237" t="s">
        <v>6976</v>
      </c>
      <c r="O13" s="237" t="s">
        <v>6982</v>
      </c>
      <c r="P13" s="237" t="s">
        <v>6983</v>
      </c>
      <c r="Q13" s="237" t="s">
        <v>6984</v>
      </c>
      <c r="R13" s="237" t="s">
        <v>6952</v>
      </c>
    </row>
    <row r="14">
      <c r="B14" s="234">
        <v>11.0</v>
      </c>
      <c r="C14" s="235">
        <v>12.0</v>
      </c>
      <c r="D14" s="236"/>
      <c r="E14" s="231"/>
      <c r="G14" s="232">
        <v>12.0</v>
      </c>
      <c r="H14" s="237" t="s">
        <v>6918</v>
      </c>
      <c r="I14" s="237" t="s">
        <v>6940</v>
      </c>
      <c r="J14" s="233">
        <v>2.0</v>
      </c>
      <c r="K14" s="237" t="s">
        <v>6985</v>
      </c>
      <c r="L14" s="237" t="s">
        <v>6933</v>
      </c>
      <c r="M14" s="237" t="s">
        <v>6986</v>
      </c>
      <c r="N14" s="237" t="s">
        <v>6976</v>
      </c>
      <c r="O14" s="237" t="s">
        <v>6987</v>
      </c>
      <c r="P14" s="237" t="s">
        <v>6988</v>
      </c>
      <c r="Q14" s="237" t="s">
        <v>6989</v>
      </c>
      <c r="R14" s="237" t="s">
        <v>6946</v>
      </c>
    </row>
    <row r="15">
      <c r="B15" s="239">
        <v>12.0</v>
      </c>
      <c r="C15" s="240">
        <v>3.0</v>
      </c>
      <c r="D15" s="241"/>
      <c r="E15" s="231"/>
      <c r="G15" s="232">
        <v>13.0</v>
      </c>
      <c r="H15" s="237" t="s">
        <v>6918</v>
      </c>
      <c r="I15" s="237" t="s">
        <v>6940</v>
      </c>
      <c r="J15" s="233">
        <v>2.0</v>
      </c>
      <c r="K15" s="237" t="s">
        <v>6990</v>
      </c>
      <c r="L15" s="237" t="s">
        <v>6933</v>
      </c>
      <c r="M15" s="237" t="s">
        <v>6991</v>
      </c>
      <c r="N15" s="237" t="s">
        <v>6976</v>
      </c>
      <c r="O15" s="237" t="s">
        <v>6992</v>
      </c>
      <c r="P15" s="237" t="s">
        <v>6993</v>
      </c>
      <c r="Q15" s="237" t="s">
        <v>6994</v>
      </c>
      <c r="R15" s="237" t="s">
        <v>6995</v>
      </c>
    </row>
    <row r="16" ht="18.0" customHeight="1">
      <c r="B16" s="242" t="s">
        <v>6996</v>
      </c>
      <c r="C16" s="243">
        <v>444.0</v>
      </c>
      <c r="D16" s="243">
        <v>31.0</v>
      </c>
      <c r="E16" s="231"/>
      <c r="G16" s="232">
        <v>14.0</v>
      </c>
      <c r="H16" s="237" t="s">
        <v>6918</v>
      </c>
      <c r="I16" s="237" t="s">
        <v>6940</v>
      </c>
      <c r="J16" s="233">
        <v>2.0</v>
      </c>
      <c r="K16" s="237" t="s">
        <v>6997</v>
      </c>
      <c r="L16" s="237" t="s">
        <v>6933</v>
      </c>
      <c r="M16" s="237" t="s">
        <v>6998</v>
      </c>
      <c r="N16" s="237" t="s">
        <v>6976</v>
      </c>
      <c r="O16" s="237" t="s">
        <v>6999</v>
      </c>
      <c r="P16" s="237" t="s">
        <v>6993</v>
      </c>
      <c r="Q16" s="237" t="s">
        <v>7000</v>
      </c>
      <c r="R16" s="237" t="s">
        <v>6946</v>
      </c>
    </row>
    <row r="17">
      <c r="B17" s="244"/>
      <c r="C17" s="244"/>
      <c r="D17" s="244"/>
      <c r="E17" s="231"/>
      <c r="G17" s="232">
        <v>15.0</v>
      </c>
      <c r="H17" s="237" t="s">
        <v>6918</v>
      </c>
      <c r="I17" s="237" t="s">
        <v>6940</v>
      </c>
      <c r="J17" s="233">
        <v>2.0</v>
      </c>
      <c r="K17" s="237" t="s">
        <v>7001</v>
      </c>
      <c r="L17" s="237" t="s">
        <v>6933</v>
      </c>
      <c r="M17" s="237" t="s">
        <v>7002</v>
      </c>
      <c r="N17" s="237" t="s">
        <v>7003</v>
      </c>
      <c r="O17" s="237" t="s">
        <v>7004</v>
      </c>
      <c r="P17" s="237" t="s">
        <v>7005</v>
      </c>
      <c r="Q17" s="237" t="s">
        <v>7006</v>
      </c>
      <c r="R17" s="237" t="s">
        <v>6930</v>
      </c>
    </row>
    <row r="18">
      <c r="B18" s="228" t="s">
        <v>7007</v>
      </c>
      <c r="C18" s="229" t="s">
        <v>4733</v>
      </c>
      <c r="D18" s="230" t="s">
        <v>4921</v>
      </c>
      <c r="E18" s="231"/>
      <c r="G18" s="232">
        <v>16.0</v>
      </c>
      <c r="H18" s="237" t="s">
        <v>6918</v>
      </c>
      <c r="I18" s="237" t="s">
        <v>6940</v>
      </c>
      <c r="J18" s="233">
        <v>2.0</v>
      </c>
      <c r="K18" s="237" t="s">
        <v>7008</v>
      </c>
      <c r="L18" s="237" t="s">
        <v>6921</v>
      </c>
      <c r="M18" s="237" t="s">
        <v>7009</v>
      </c>
      <c r="N18" s="237" t="s">
        <v>7003</v>
      </c>
      <c r="O18" s="237" t="s">
        <v>7010</v>
      </c>
      <c r="P18" s="237" t="s">
        <v>6993</v>
      </c>
      <c r="Q18" s="237" t="s">
        <v>7011</v>
      </c>
      <c r="R18" s="237" t="s">
        <v>7012</v>
      </c>
    </row>
    <row r="19">
      <c r="B19" s="234">
        <v>1.0</v>
      </c>
      <c r="C19" s="235">
        <v>1.0</v>
      </c>
      <c r="D19" s="236"/>
      <c r="E19" s="231"/>
      <c r="G19" s="232">
        <v>17.0</v>
      </c>
      <c r="H19" s="237" t="s">
        <v>6918</v>
      </c>
      <c r="I19" s="237" t="s">
        <v>6931</v>
      </c>
      <c r="J19" s="233">
        <v>2.0</v>
      </c>
      <c r="K19" s="237" t="s">
        <v>7013</v>
      </c>
      <c r="L19" s="237" t="s">
        <v>6933</v>
      </c>
      <c r="M19" s="237" t="s">
        <v>7014</v>
      </c>
      <c r="N19" s="237" t="s">
        <v>7015</v>
      </c>
      <c r="O19" s="237" t="s">
        <v>7016</v>
      </c>
      <c r="P19" s="237" t="s">
        <v>7017</v>
      </c>
      <c r="Q19" s="237" t="s">
        <v>7018</v>
      </c>
      <c r="R19" s="237" t="s">
        <v>7019</v>
      </c>
    </row>
    <row r="20">
      <c r="B20" s="234">
        <v>2.0</v>
      </c>
      <c r="C20" s="235">
        <v>13.0</v>
      </c>
      <c r="D20" s="236"/>
      <c r="E20" s="231"/>
      <c r="G20" s="232">
        <v>18.0</v>
      </c>
      <c r="H20" s="237" t="s">
        <v>6918</v>
      </c>
      <c r="I20" s="237" t="s">
        <v>6931</v>
      </c>
      <c r="J20" s="233">
        <v>2.0</v>
      </c>
      <c r="K20" s="237" t="s">
        <v>7020</v>
      </c>
      <c r="L20" s="237" t="s">
        <v>6933</v>
      </c>
      <c r="M20" s="237" t="s">
        <v>7021</v>
      </c>
      <c r="N20" s="237" t="s">
        <v>7022</v>
      </c>
      <c r="O20" s="237" t="s">
        <v>7023</v>
      </c>
      <c r="P20" s="237" t="s">
        <v>7024</v>
      </c>
      <c r="Q20" s="237" t="s">
        <v>7025</v>
      </c>
      <c r="R20" s="237" t="s">
        <v>7026</v>
      </c>
    </row>
    <row r="21">
      <c r="B21" s="234">
        <v>3.0</v>
      </c>
      <c r="C21" s="235">
        <v>25.0</v>
      </c>
      <c r="D21" s="238">
        <v>1.0</v>
      </c>
      <c r="E21" s="231"/>
      <c r="G21" s="232">
        <v>19.0</v>
      </c>
      <c r="H21" s="237" t="s">
        <v>6918</v>
      </c>
      <c r="I21" s="237" t="s">
        <v>6931</v>
      </c>
      <c r="J21" s="233">
        <v>2.0</v>
      </c>
      <c r="K21" s="237" t="s">
        <v>7027</v>
      </c>
      <c r="L21" s="237" t="s">
        <v>6933</v>
      </c>
      <c r="M21" s="237" t="s">
        <v>7028</v>
      </c>
      <c r="N21" s="237" t="s">
        <v>7022</v>
      </c>
      <c r="O21" s="237" t="s">
        <v>7029</v>
      </c>
      <c r="P21" s="237" t="s">
        <v>7017</v>
      </c>
      <c r="Q21" s="237" t="s">
        <v>7030</v>
      </c>
      <c r="R21" s="237" t="s">
        <v>7031</v>
      </c>
    </row>
    <row r="22">
      <c r="B22" s="234">
        <v>4.0</v>
      </c>
      <c r="C22" s="235">
        <v>23.0</v>
      </c>
      <c r="D22" s="238">
        <v>1.0</v>
      </c>
      <c r="E22" s="231"/>
      <c r="G22" s="232">
        <v>20.0</v>
      </c>
      <c r="H22" s="237" t="s">
        <v>6918</v>
      </c>
      <c r="I22" s="237" t="s">
        <v>6931</v>
      </c>
      <c r="J22" s="233">
        <v>2.0</v>
      </c>
      <c r="K22" s="237" t="s">
        <v>7032</v>
      </c>
      <c r="L22" s="237" t="s">
        <v>6933</v>
      </c>
      <c r="M22" s="237" t="s">
        <v>7033</v>
      </c>
      <c r="N22" s="237" t="s">
        <v>7022</v>
      </c>
      <c r="O22" s="237" t="s">
        <v>7034</v>
      </c>
      <c r="P22" s="237" t="s">
        <v>6928</v>
      </c>
      <c r="Q22" s="237" t="s">
        <v>7035</v>
      </c>
      <c r="R22" s="237" t="s">
        <v>7036</v>
      </c>
    </row>
    <row r="23">
      <c r="B23" s="234">
        <v>5.0</v>
      </c>
      <c r="C23" s="235">
        <v>6.0</v>
      </c>
      <c r="D23" s="236"/>
      <c r="E23" s="231"/>
      <c r="G23" s="232">
        <v>21.0</v>
      </c>
      <c r="H23" s="237" t="s">
        <v>6918</v>
      </c>
      <c r="I23" s="237" t="s">
        <v>6931</v>
      </c>
      <c r="J23" s="233">
        <v>2.0</v>
      </c>
      <c r="K23" s="237" t="s">
        <v>7037</v>
      </c>
      <c r="L23" s="237" t="s">
        <v>6933</v>
      </c>
      <c r="M23" s="237" t="s">
        <v>7038</v>
      </c>
      <c r="N23" s="237" t="s">
        <v>7022</v>
      </c>
      <c r="O23" s="237" t="s">
        <v>7039</v>
      </c>
      <c r="P23" s="237" t="s">
        <v>6928</v>
      </c>
      <c r="Q23" s="237" t="s">
        <v>7040</v>
      </c>
      <c r="R23" s="237" t="s">
        <v>6969</v>
      </c>
    </row>
    <row r="24">
      <c r="B24" s="239">
        <v>6.0</v>
      </c>
      <c r="C24" s="240">
        <v>12.0</v>
      </c>
      <c r="D24" s="245">
        <v>1.0</v>
      </c>
      <c r="E24" s="231"/>
      <c r="G24" s="232">
        <v>22.0</v>
      </c>
      <c r="H24" s="237" t="s">
        <v>6918</v>
      </c>
      <c r="I24" s="237" t="s">
        <v>6931</v>
      </c>
      <c r="J24" s="233">
        <v>2.0</v>
      </c>
      <c r="K24" s="237" t="s">
        <v>7041</v>
      </c>
      <c r="L24" s="237" t="s">
        <v>6933</v>
      </c>
      <c r="M24" s="237" t="s">
        <v>7042</v>
      </c>
      <c r="N24" s="237" t="s">
        <v>7022</v>
      </c>
      <c r="O24" s="237" t="s">
        <v>7043</v>
      </c>
      <c r="P24" s="237" t="s">
        <v>6928</v>
      </c>
      <c r="Q24" s="237" t="s">
        <v>7044</v>
      </c>
      <c r="R24" s="237" t="s">
        <v>6930</v>
      </c>
    </row>
    <row r="25">
      <c r="B25" s="246" t="s">
        <v>6996</v>
      </c>
      <c r="C25" s="247">
        <v>80.0</v>
      </c>
      <c r="D25" s="247">
        <v>3.0</v>
      </c>
      <c r="E25" s="231"/>
      <c r="G25" s="232">
        <v>23.0</v>
      </c>
      <c r="H25" s="237" t="s">
        <v>6918</v>
      </c>
      <c r="I25" s="237" t="s">
        <v>6931</v>
      </c>
      <c r="J25" s="233">
        <v>2.0</v>
      </c>
      <c r="K25" s="237" t="s">
        <v>7045</v>
      </c>
      <c r="L25" s="237" t="s">
        <v>6933</v>
      </c>
      <c r="M25" s="237" t="s">
        <v>7046</v>
      </c>
      <c r="N25" s="237" t="s">
        <v>7022</v>
      </c>
      <c r="O25" s="237" t="s">
        <v>7047</v>
      </c>
      <c r="P25" s="237" t="s">
        <v>7048</v>
      </c>
      <c r="Q25" s="237" t="s">
        <v>7049</v>
      </c>
      <c r="R25" s="237" t="s">
        <v>7050</v>
      </c>
    </row>
    <row r="26">
      <c r="B26" s="244"/>
      <c r="C26" s="244"/>
      <c r="D26" s="244"/>
      <c r="E26" s="231"/>
      <c r="G26" s="232">
        <v>24.0</v>
      </c>
      <c r="H26" s="237" t="s">
        <v>6918</v>
      </c>
      <c r="I26" s="237" t="s">
        <v>6931</v>
      </c>
      <c r="J26" s="233">
        <v>2.0</v>
      </c>
      <c r="K26" s="237" t="s">
        <v>7051</v>
      </c>
      <c r="L26" s="237" t="s">
        <v>6921</v>
      </c>
      <c r="M26" s="237" t="s">
        <v>7052</v>
      </c>
      <c r="N26" s="237" t="s">
        <v>7022</v>
      </c>
      <c r="O26" s="237" t="s">
        <v>7053</v>
      </c>
      <c r="P26" s="237" t="s">
        <v>6928</v>
      </c>
      <c r="Q26" s="237" t="s">
        <v>7054</v>
      </c>
      <c r="R26" s="237" t="s">
        <v>7055</v>
      </c>
    </row>
    <row r="27">
      <c r="B27" s="228" t="s">
        <v>7056</v>
      </c>
      <c r="C27" s="229" t="s">
        <v>4733</v>
      </c>
      <c r="D27" s="230" t="s">
        <v>4921</v>
      </c>
      <c r="E27" s="231"/>
      <c r="G27" s="232">
        <v>25.0</v>
      </c>
      <c r="H27" s="237" t="s">
        <v>6918</v>
      </c>
      <c r="I27" s="237" t="s">
        <v>7057</v>
      </c>
      <c r="J27" s="233">
        <v>2.0</v>
      </c>
      <c r="K27" s="237" t="s">
        <v>7058</v>
      </c>
      <c r="L27" s="237" t="s">
        <v>6933</v>
      </c>
      <c r="M27" s="237" t="s">
        <v>7059</v>
      </c>
      <c r="N27" s="237" t="s">
        <v>7060</v>
      </c>
      <c r="O27" s="237" t="s">
        <v>7061</v>
      </c>
      <c r="P27" s="237" t="s">
        <v>7062</v>
      </c>
      <c r="Q27" s="237"/>
      <c r="R27" s="231"/>
    </row>
    <row r="28">
      <c r="B28" s="234">
        <v>1.0</v>
      </c>
      <c r="C28" s="235">
        <v>13.0</v>
      </c>
      <c r="D28" s="236"/>
      <c r="E28" s="231"/>
      <c r="G28" s="232">
        <v>26.0</v>
      </c>
      <c r="H28" s="237" t="s">
        <v>6918</v>
      </c>
      <c r="I28" s="237" t="s">
        <v>7057</v>
      </c>
      <c r="J28" s="233">
        <v>2.0</v>
      </c>
      <c r="K28" s="237" t="s">
        <v>7063</v>
      </c>
      <c r="L28" s="237" t="s">
        <v>6933</v>
      </c>
      <c r="M28" s="237" t="s">
        <v>7064</v>
      </c>
      <c r="N28" s="237" t="s">
        <v>7060</v>
      </c>
      <c r="O28" s="237" t="s">
        <v>7065</v>
      </c>
      <c r="P28" s="237" t="s">
        <v>6993</v>
      </c>
      <c r="Q28" s="237"/>
      <c r="R28" s="231"/>
    </row>
    <row r="29">
      <c r="B29" s="234">
        <v>2.0</v>
      </c>
      <c r="C29" s="235">
        <v>8.0</v>
      </c>
      <c r="D29" s="236"/>
      <c r="E29" s="231"/>
      <c r="G29" s="232">
        <v>27.0</v>
      </c>
      <c r="H29" s="237" t="s">
        <v>6918</v>
      </c>
      <c r="I29" s="237" t="s">
        <v>7057</v>
      </c>
      <c r="J29" s="233">
        <v>2.0</v>
      </c>
      <c r="K29" s="237" t="s">
        <v>7066</v>
      </c>
      <c r="L29" s="237" t="s">
        <v>6921</v>
      </c>
      <c r="M29" s="237" t="s">
        <v>7067</v>
      </c>
      <c r="N29" s="237" t="s">
        <v>7068</v>
      </c>
      <c r="O29" s="237" t="s">
        <v>7069</v>
      </c>
      <c r="P29" s="237" t="s">
        <v>7070</v>
      </c>
      <c r="Q29" s="248"/>
      <c r="R29" s="231"/>
    </row>
    <row r="30">
      <c r="B30" s="234">
        <v>3.0</v>
      </c>
      <c r="C30" s="235">
        <v>28.0</v>
      </c>
      <c r="D30" s="236"/>
      <c r="E30" s="231"/>
      <c r="G30" s="232">
        <v>28.0</v>
      </c>
      <c r="H30" s="237" t="s">
        <v>6918</v>
      </c>
      <c r="I30" s="237" t="s">
        <v>7071</v>
      </c>
      <c r="J30" s="233">
        <v>2.0</v>
      </c>
      <c r="K30" s="237" t="s">
        <v>7072</v>
      </c>
      <c r="L30" s="237" t="s">
        <v>6933</v>
      </c>
      <c r="M30" s="237" t="s">
        <v>7073</v>
      </c>
      <c r="N30" s="237" t="s">
        <v>7068</v>
      </c>
      <c r="O30" s="237" t="s">
        <v>7074</v>
      </c>
      <c r="P30" s="237" t="s">
        <v>7070</v>
      </c>
      <c r="Q30" s="237"/>
      <c r="R30" s="231"/>
    </row>
    <row r="31">
      <c r="B31" s="239">
        <v>4.0</v>
      </c>
      <c r="C31" s="240">
        <v>10.0</v>
      </c>
      <c r="D31" s="241"/>
      <c r="E31" s="231"/>
      <c r="G31" s="232">
        <v>29.0</v>
      </c>
      <c r="H31" s="237" t="s">
        <v>6918</v>
      </c>
      <c r="I31" s="237" t="s">
        <v>7057</v>
      </c>
      <c r="J31" s="233">
        <v>2.0</v>
      </c>
      <c r="K31" s="237" t="s">
        <v>7075</v>
      </c>
      <c r="L31" s="237" t="s">
        <v>6933</v>
      </c>
      <c r="M31" s="237" t="s">
        <v>7076</v>
      </c>
      <c r="N31" s="237" t="s">
        <v>7068</v>
      </c>
      <c r="O31" s="237" t="s">
        <v>7077</v>
      </c>
      <c r="P31" s="237" t="s">
        <v>7062</v>
      </c>
      <c r="Q31" s="237"/>
      <c r="R31" s="231"/>
    </row>
    <row r="32">
      <c r="B32" s="249" t="s">
        <v>6996</v>
      </c>
      <c r="C32" s="250">
        <v>59.0</v>
      </c>
      <c r="D32" s="250">
        <v>0.0</v>
      </c>
      <c r="E32" s="231"/>
      <c r="G32" s="232">
        <v>30.0</v>
      </c>
      <c r="H32" s="237" t="s">
        <v>6918</v>
      </c>
      <c r="I32" s="237" t="s">
        <v>6931</v>
      </c>
      <c r="J32" s="233">
        <v>2.0</v>
      </c>
      <c r="K32" s="237" t="s">
        <v>7078</v>
      </c>
      <c r="L32" s="237" t="s">
        <v>6933</v>
      </c>
      <c r="M32" s="237" t="s">
        <v>7079</v>
      </c>
      <c r="N32" s="237" t="s">
        <v>7080</v>
      </c>
      <c r="O32" s="237" t="s">
        <v>7081</v>
      </c>
      <c r="P32" s="237" t="s">
        <v>7082</v>
      </c>
      <c r="Q32" s="237"/>
      <c r="R32" s="231"/>
    </row>
    <row r="33">
      <c r="B33" s="244"/>
      <c r="C33" s="244"/>
      <c r="D33" s="244"/>
      <c r="E33" s="231"/>
      <c r="G33" s="232">
        <v>31.0</v>
      </c>
      <c r="H33" s="237" t="s">
        <v>6918</v>
      </c>
      <c r="I33" s="237" t="s">
        <v>6931</v>
      </c>
      <c r="J33" s="233">
        <v>2.0</v>
      </c>
      <c r="K33" s="237" t="s">
        <v>7083</v>
      </c>
      <c r="L33" s="237" t="s">
        <v>6933</v>
      </c>
      <c r="M33" s="237" t="s">
        <v>7084</v>
      </c>
      <c r="N33" s="237" t="s">
        <v>7085</v>
      </c>
      <c r="O33" s="237" t="s">
        <v>7086</v>
      </c>
      <c r="P33" s="237" t="s">
        <v>7082</v>
      </c>
      <c r="Q33" s="237"/>
      <c r="R33" s="231"/>
    </row>
    <row r="34">
      <c r="B34" s="244"/>
      <c r="C34" s="244"/>
      <c r="D34" s="244"/>
      <c r="E34" s="231"/>
      <c r="G34" s="232">
        <v>32.0</v>
      </c>
      <c r="H34" s="237" t="s">
        <v>6918</v>
      </c>
      <c r="I34" s="237" t="s">
        <v>6940</v>
      </c>
      <c r="J34" s="233">
        <v>2.0</v>
      </c>
      <c r="K34" s="237" t="s">
        <v>7087</v>
      </c>
      <c r="L34" s="237" t="s">
        <v>6933</v>
      </c>
      <c r="M34" s="237" t="s">
        <v>7088</v>
      </c>
      <c r="N34" s="237" t="s">
        <v>1349</v>
      </c>
      <c r="O34" s="237" t="s">
        <v>7089</v>
      </c>
      <c r="P34" s="237" t="s">
        <v>6993</v>
      </c>
      <c r="Q34" s="237"/>
      <c r="R34" s="231"/>
    </row>
    <row r="35">
      <c r="B35" s="251" t="s">
        <v>6996</v>
      </c>
      <c r="C35" s="252">
        <v>583.0</v>
      </c>
      <c r="D35" s="253">
        <v>34.0</v>
      </c>
      <c r="E35" s="254">
        <v>617.0</v>
      </c>
      <c r="G35" s="232">
        <v>33.0</v>
      </c>
      <c r="H35" s="237" t="s">
        <v>6918</v>
      </c>
      <c r="I35" s="237" t="s">
        <v>6940</v>
      </c>
      <c r="J35" s="233">
        <v>2.0</v>
      </c>
      <c r="K35" s="237" t="s">
        <v>7090</v>
      </c>
      <c r="L35" s="237" t="s">
        <v>6921</v>
      </c>
      <c r="M35" s="237" t="s">
        <v>7091</v>
      </c>
      <c r="N35" s="237" t="s">
        <v>3154</v>
      </c>
      <c r="O35" s="237" t="s">
        <v>7092</v>
      </c>
      <c r="P35" s="237" t="s">
        <v>7093</v>
      </c>
      <c r="Q35" s="237" t="s">
        <v>7094</v>
      </c>
      <c r="R35" s="237" t="s">
        <v>7031</v>
      </c>
    </row>
    <row r="36">
      <c r="G36" s="232">
        <v>34.0</v>
      </c>
      <c r="H36" s="237" t="s">
        <v>6918</v>
      </c>
      <c r="I36" s="237" t="s">
        <v>6940</v>
      </c>
      <c r="J36" s="233">
        <v>2.0</v>
      </c>
      <c r="K36" s="237" t="s">
        <v>3269</v>
      </c>
      <c r="L36" s="237" t="s">
        <v>6921</v>
      </c>
      <c r="M36" s="237" t="s">
        <v>7095</v>
      </c>
      <c r="N36" s="237" t="s">
        <v>3154</v>
      </c>
      <c r="O36" s="237" t="s">
        <v>7092</v>
      </c>
      <c r="P36" s="231"/>
      <c r="Q36" s="237" t="s">
        <v>7094</v>
      </c>
      <c r="R36" s="231"/>
    </row>
    <row r="37">
      <c r="G37" s="232">
        <v>35.0</v>
      </c>
      <c r="H37" s="237" t="s">
        <v>6918</v>
      </c>
      <c r="I37" s="237" t="s">
        <v>6940</v>
      </c>
      <c r="J37" s="233">
        <v>2.0</v>
      </c>
      <c r="K37" s="237" t="s">
        <v>7096</v>
      </c>
      <c r="L37" s="237" t="s">
        <v>7097</v>
      </c>
      <c r="M37" s="237" t="s">
        <v>7098</v>
      </c>
      <c r="N37" s="237" t="s">
        <v>4203</v>
      </c>
      <c r="O37" s="237" t="s">
        <v>7099</v>
      </c>
      <c r="P37" s="237" t="s">
        <v>6937</v>
      </c>
      <c r="Q37" s="237" t="s">
        <v>7100</v>
      </c>
      <c r="R37" s="237" t="s">
        <v>6930</v>
      </c>
    </row>
    <row r="38">
      <c r="G38" s="232">
        <v>36.0</v>
      </c>
      <c r="H38" s="237" t="s">
        <v>6918</v>
      </c>
      <c r="I38" s="237" t="s">
        <v>6940</v>
      </c>
      <c r="J38" s="233">
        <v>2.0</v>
      </c>
      <c r="K38" s="237" t="s">
        <v>3031</v>
      </c>
      <c r="L38" s="237" t="s">
        <v>6921</v>
      </c>
      <c r="M38" s="237" t="s">
        <v>7101</v>
      </c>
      <c r="N38" s="237" t="s">
        <v>4203</v>
      </c>
      <c r="O38" s="237" t="s">
        <v>7102</v>
      </c>
      <c r="P38" s="237" t="s">
        <v>7082</v>
      </c>
      <c r="Q38" s="237"/>
      <c r="R38" s="231"/>
    </row>
    <row r="39">
      <c r="G39" s="232">
        <v>37.0</v>
      </c>
      <c r="H39" s="237" t="s">
        <v>6918</v>
      </c>
      <c r="I39" s="237" t="s">
        <v>6940</v>
      </c>
      <c r="J39" s="233">
        <v>2.0</v>
      </c>
      <c r="K39" s="237" t="s">
        <v>7103</v>
      </c>
      <c r="L39" s="237" t="s">
        <v>6921</v>
      </c>
      <c r="M39" s="237" t="s">
        <v>7104</v>
      </c>
      <c r="N39" s="237" t="s">
        <v>3496</v>
      </c>
      <c r="O39" s="237" t="s">
        <v>7105</v>
      </c>
      <c r="P39" s="237" t="s">
        <v>6928</v>
      </c>
      <c r="Q39" s="237" t="s">
        <v>7106</v>
      </c>
      <c r="R39" s="237" t="s">
        <v>7050</v>
      </c>
    </row>
    <row r="40">
      <c r="G40" s="232">
        <v>38.0</v>
      </c>
      <c r="H40" s="237" t="s">
        <v>6918</v>
      </c>
      <c r="I40" s="237" t="s">
        <v>6940</v>
      </c>
      <c r="J40" s="233">
        <v>2.0</v>
      </c>
      <c r="K40" s="237" t="s">
        <v>2431</v>
      </c>
      <c r="L40" s="237" t="s">
        <v>6933</v>
      </c>
      <c r="M40" s="237" t="s">
        <v>7107</v>
      </c>
      <c r="N40" s="237" t="s">
        <v>3496</v>
      </c>
      <c r="O40" s="237" t="s">
        <v>7108</v>
      </c>
      <c r="P40" s="237" t="s">
        <v>7048</v>
      </c>
      <c r="Q40" s="237" t="s">
        <v>7109</v>
      </c>
      <c r="R40" s="237" t="s">
        <v>7012</v>
      </c>
    </row>
    <row r="41">
      <c r="G41" s="232">
        <v>39.0</v>
      </c>
      <c r="H41" s="237" t="s">
        <v>6918</v>
      </c>
      <c r="I41" s="237" t="s">
        <v>6940</v>
      </c>
      <c r="J41" s="233">
        <v>2.0</v>
      </c>
      <c r="K41" s="237" t="s">
        <v>2812</v>
      </c>
      <c r="L41" s="237" t="s">
        <v>6921</v>
      </c>
      <c r="M41" s="237" t="s">
        <v>7110</v>
      </c>
      <c r="N41" s="237" t="s">
        <v>3496</v>
      </c>
      <c r="O41" s="237" t="s">
        <v>7111</v>
      </c>
      <c r="P41" s="237" t="s">
        <v>7112</v>
      </c>
      <c r="Q41" s="237"/>
      <c r="R41" s="231"/>
    </row>
    <row r="42">
      <c r="G42" s="232">
        <v>40.0</v>
      </c>
      <c r="H42" s="237" t="s">
        <v>6918</v>
      </c>
      <c r="I42" s="237" t="s">
        <v>6940</v>
      </c>
      <c r="J42" s="233">
        <v>2.0</v>
      </c>
      <c r="K42" s="237" t="s">
        <v>7113</v>
      </c>
      <c r="L42" s="237" t="s">
        <v>6933</v>
      </c>
      <c r="M42" s="237" t="s">
        <v>7114</v>
      </c>
      <c r="N42" s="237" t="s">
        <v>7115</v>
      </c>
      <c r="O42" s="237" t="s">
        <v>7116</v>
      </c>
      <c r="P42" s="237" t="s">
        <v>7117</v>
      </c>
      <c r="Q42" s="237" t="s">
        <v>7118</v>
      </c>
      <c r="R42" s="237" t="s">
        <v>6930</v>
      </c>
    </row>
    <row r="43">
      <c r="G43" s="232">
        <v>41.0</v>
      </c>
      <c r="H43" s="237" t="s">
        <v>6918</v>
      </c>
      <c r="I43" s="237" t="s">
        <v>6931</v>
      </c>
      <c r="J43" s="233">
        <v>2.0</v>
      </c>
      <c r="K43" s="237" t="s">
        <v>7119</v>
      </c>
      <c r="L43" s="237" t="s">
        <v>6921</v>
      </c>
      <c r="M43" s="237" t="s">
        <v>7120</v>
      </c>
      <c r="N43" s="237" t="s">
        <v>7121</v>
      </c>
      <c r="O43" s="237" t="s">
        <v>7122</v>
      </c>
      <c r="P43" s="237" t="s">
        <v>7048</v>
      </c>
      <c r="Q43" s="237" t="s">
        <v>7123</v>
      </c>
      <c r="R43" s="237" t="s">
        <v>7050</v>
      </c>
    </row>
    <row r="44">
      <c r="G44" s="232">
        <v>42.0</v>
      </c>
      <c r="H44" s="237" t="s">
        <v>7124</v>
      </c>
      <c r="I44" s="237" t="s">
        <v>6940</v>
      </c>
      <c r="J44" s="233">
        <v>2.0</v>
      </c>
      <c r="K44" s="237" t="s">
        <v>4963</v>
      </c>
      <c r="L44" s="237" t="s">
        <v>6933</v>
      </c>
      <c r="M44" s="237" t="s">
        <v>7125</v>
      </c>
      <c r="N44" s="237" t="s">
        <v>1349</v>
      </c>
      <c r="O44" s="237" t="s">
        <v>7126</v>
      </c>
      <c r="P44" s="237" t="s">
        <v>7070</v>
      </c>
      <c r="Q44" s="237"/>
      <c r="R44" s="231"/>
    </row>
    <row r="45">
      <c r="G45" s="232">
        <v>43.0</v>
      </c>
      <c r="H45" s="237" t="s">
        <v>6918</v>
      </c>
      <c r="I45" s="237" t="s">
        <v>6940</v>
      </c>
      <c r="J45" s="233">
        <v>2.0</v>
      </c>
      <c r="K45" s="237" t="s">
        <v>3152</v>
      </c>
      <c r="L45" s="237" t="s">
        <v>6921</v>
      </c>
      <c r="M45" s="237" t="s">
        <v>7127</v>
      </c>
      <c r="N45" s="237" t="s">
        <v>3154</v>
      </c>
      <c r="O45" s="237" t="s">
        <v>7128</v>
      </c>
      <c r="P45" s="237" t="s">
        <v>6928</v>
      </c>
      <c r="Q45" s="237" t="s">
        <v>7129</v>
      </c>
      <c r="R45" s="237" t="s">
        <v>7050</v>
      </c>
    </row>
    <row r="46">
      <c r="G46" s="232">
        <v>44.0</v>
      </c>
      <c r="H46" s="237" t="s">
        <v>6918</v>
      </c>
      <c r="I46" s="237" t="s">
        <v>7130</v>
      </c>
      <c r="J46" s="233">
        <v>3.0</v>
      </c>
      <c r="K46" s="237" t="s">
        <v>7131</v>
      </c>
      <c r="L46" s="237" t="s">
        <v>6921</v>
      </c>
      <c r="M46" s="237" t="s">
        <v>7132</v>
      </c>
      <c r="N46" s="237" t="s">
        <v>7133</v>
      </c>
      <c r="O46" s="237" t="s">
        <v>7134</v>
      </c>
      <c r="P46" s="237" t="s">
        <v>7070</v>
      </c>
      <c r="Q46" s="237" t="s">
        <v>7135</v>
      </c>
      <c r="R46" s="237" t="s">
        <v>7136</v>
      </c>
    </row>
    <row r="47">
      <c r="G47" s="232">
        <v>45.0</v>
      </c>
      <c r="H47" s="237" t="s">
        <v>6918</v>
      </c>
      <c r="I47" s="237" t="s">
        <v>7130</v>
      </c>
      <c r="J47" s="233">
        <v>3.0</v>
      </c>
      <c r="K47" s="237" t="s">
        <v>7137</v>
      </c>
      <c r="L47" s="237" t="s">
        <v>6933</v>
      </c>
      <c r="M47" s="237" t="s">
        <v>7138</v>
      </c>
      <c r="N47" s="237" t="s">
        <v>3810</v>
      </c>
      <c r="O47" s="237" t="s">
        <v>7139</v>
      </c>
      <c r="P47" s="237" t="s">
        <v>7112</v>
      </c>
      <c r="Q47" s="237" t="s">
        <v>7140</v>
      </c>
      <c r="R47" s="237" t="s">
        <v>7136</v>
      </c>
    </row>
    <row r="48">
      <c r="G48" s="232">
        <v>46.0</v>
      </c>
      <c r="H48" s="237" t="s">
        <v>6918</v>
      </c>
      <c r="I48" s="237" t="s">
        <v>7130</v>
      </c>
      <c r="J48" s="233">
        <v>3.0</v>
      </c>
      <c r="K48" s="237" t="s">
        <v>7141</v>
      </c>
      <c r="L48" s="237" t="s">
        <v>6921</v>
      </c>
      <c r="M48" s="237" t="s">
        <v>7142</v>
      </c>
      <c r="N48" s="237" t="s">
        <v>3810</v>
      </c>
      <c r="O48" s="237" t="s">
        <v>7143</v>
      </c>
      <c r="P48" s="237" t="s">
        <v>7144</v>
      </c>
      <c r="Q48" s="237" t="s">
        <v>7145</v>
      </c>
      <c r="R48" s="237" t="s">
        <v>7136</v>
      </c>
    </row>
    <row r="49">
      <c r="G49" s="232">
        <v>47.0</v>
      </c>
      <c r="H49" s="237" t="s">
        <v>6918</v>
      </c>
      <c r="I49" s="237" t="s">
        <v>7130</v>
      </c>
      <c r="J49" s="233">
        <v>3.0</v>
      </c>
      <c r="K49" s="237" t="s">
        <v>7146</v>
      </c>
      <c r="L49" s="237" t="s">
        <v>6933</v>
      </c>
      <c r="M49" s="237" t="s">
        <v>7147</v>
      </c>
      <c r="N49" s="237" t="s">
        <v>3810</v>
      </c>
      <c r="O49" s="237" t="s">
        <v>7148</v>
      </c>
      <c r="P49" s="237" t="s">
        <v>7149</v>
      </c>
      <c r="Q49" s="237" t="s">
        <v>7150</v>
      </c>
      <c r="R49" s="237" t="s">
        <v>7031</v>
      </c>
    </row>
    <row r="50">
      <c r="G50" s="232">
        <v>48.0</v>
      </c>
      <c r="H50" s="237" t="s">
        <v>6918</v>
      </c>
      <c r="I50" s="237" t="s">
        <v>7130</v>
      </c>
      <c r="J50" s="233">
        <v>3.0</v>
      </c>
      <c r="K50" s="237" t="s">
        <v>7151</v>
      </c>
      <c r="L50" s="237" t="s">
        <v>6933</v>
      </c>
      <c r="M50" s="237" t="s">
        <v>7152</v>
      </c>
      <c r="N50" s="237" t="s">
        <v>3810</v>
      </c>
      <c r="O50" s="237" t="s">
        <v>7153</v>
      </c>
      <c r="P50" s="237" t="s">
        <v>6928</v>
      </c>
      <c r="Q50" s="237" t="s">
        <v>7154</v>
      </c>
      <c r="R50" s="237" t="s">
        <v>6930</v>
      </c>
    </row>
    <row r="51">
      <c r="G51" s="232">
        <v>49.0</v>
      </c>
      <c r="H51" s="237" t="s">
        <v>6918</v>
      </c>
      <c r="I51" s="237" t="s">
        <v>7130</v>
      </c>
      <c r="J51" s="233">
        <v>3.0</v>
      </c>
      <c r="K51" s="237" t="s">
        <v>3807</v>
      </c>
      <c r="L51" s="237" t="s">
        <v>6921</v>
      </c>
      <c r="M51" s="237" t="s">
        <v>7155</v>
      </c>
      <c r="N51" s="237" t="s">
        <v>3810</v>
      </c>
      <c r="O51" s="237" t="s">
        <v>7156</v>
      </c>
      <c r="P51" s="237" t="s">
        <v>7157</v>
      </c>
      <c r="Q51" s="237" t="s">
        <v>7158</v>
      </c>
      <c r="R51" s="237" t="s">
        <v>7031</v>
      </c>
    </row>
    <row r="52">
      <c r="G52" s="232">
        <v>50.0</v>
      </c>
      <c r="H52" s="237" t="s">
        <v>6918</v>
      </c>
      <c r="I52" s="237" t="s">
        <v>7130</v>
      </c>
      <c r="J52" s="233">
        <v>3.0</v>
      </c>
      <c r="K52" s="237" t="s">
        <v>3816</v>
      </c>
      <c r="L52" s="237" t="s">
        <v>6921</v>
      </c>
      <c r="M52" s="237" t="s">
        <v>7159</v>
      </c>
      <c r="N52" s="237" t="s">
        <v>3810</v>
      </c>
      <c r="O52" s="237" t="s">
        <v>7160</v>
      </c>
      <c r="P52" s="237" t="s">
        <v>6928</v>
      </c>
      <c r="Q52" s="237" t="s">
        <v>7161</v>
      </c>
      <c r="R52" s="237" t="s">
        <v>7136</v>
      </c>
    </row>
    <row r="53">
      <c r="G53" s="232">
        <v>51.0</v>
      </c>
      <c r="H53" s="237" t="s">
        <v>6918</v>
      </c>
      <c r="I53" s="237" t="s">
        <v>7162</v>
      </c>
      <c r="J53" s="233">
        <v>3.0</v>
      </c>
      <c r="K53" s="237" t="s">
        <v>7163</v>
      </c>
      <c r="L53" s="237" t="s">
        <v>6933</v>
      </c>
      <c r="M53" s="237" t="s">
        <v>7164</v>
      </c>
      <c r="N53" s="237" t="s">
        <v>7165</v>
      </c>
      <c r="O53" s="237" t="s">
        <v>7166</v>
      </c>
      <c r="P53" s="237" t="s">
        <v>6928</v>
      </c>
      <c r="Q53" s="237" t="s">
        <v>7167</v>
      </c>
      <c r="R53" s="237" t="s">
        <v>7168</v>
      </c>
    </row>
    <row r="54">
      <c r="G54" s="232">
        <v>52.0</v>
      </c>
      <c r="H54" s="237" t="s">
        <v>6918</v>
      </c>
      <c r="I54" s="237" t="s">
        <v>7162</v>
      </c>
      <c r="J54" s="233">
        <v>3.0</v>
      </c>
      <c r="K54" s="237" t="s">
        <v>7169</v>
      </c>
      <c r="L54" s="237" t="s">
        <v>6921</v>
      </c>
      <c r="M54" s="237" t="s">
        <v>7170</v>
      </c>
      <c r="N54" s="237" t="s">
        <v>1602</v>
      </c>
      <c r="O54" s="237" t="s">
        <v>7171</v>
      </c>
      <c r="P54" s="237" t="s">
        <v>6928</v>
      </c>
      <c r="Q54" s="237" t="s">
        <v>7172</v>
      </c>
      <c r="R54" s="237" t="s">
        <v>7173</v>
      </c>
    </row>
    <row r="55">
      <c r="G55" s="232">
        <v>53.0</v>
      </c>
      <c r="H55" s="237" t="s">
        <v>6918</v>
      </c>
      <c r="I55" s="237" t="s">
        <v>7162</v>
      </c>
      <c r="J55" s="233">
        <v>3.0</v>
      </c>
      <c r="K55" s="237" t="s">
        <v>7174</v>
      </c>
      <c r="L55" s="237" t="s">
        <v>6933</v>
      </c>
      <c r="M55" s="237" t="s">
        <v>7175</v>
      </c>
      <c r="N55" s="237" t="s">
        <v>1602</v>
      </c>
      <c r="O55" s="237" t="s">
        <v>7176</v>
      </c>
      <c r="P55" s="237" t="s">
        <v>6928</v>
      </c>
      <c r="Q55" s="237" t="s">
        <v>7177</v>
      </c>
      <c r="R55" s="237" t="s">
        <v>6930</v>
      </c>
    </row>
    <row r="56">
      <c r="G56" s="232">
        <v>54.0</v>
      </c>
      <c r="H56" s="237" t="s">
        <v>6918</v>
      </c>
      <c r="I56" s="237" t="s">
        <v>7162</v>
      </c>
      <c r="J56" s="233">
        <v>3.0</v>
      </c>
      <c r="K56" s="237" t="s">
        <v>7178</v>
      </c>
      <c r="L56" s="237" t="s">
        <v>6921</v>
      </c>
      <c r="M56" s="237" t="s">
        <v>7179</v>
      </c>
      <c r="N56" s="237" t="s">
        <v>1602</v>
      </c>
      <c r="O56" s="237" t="s">
        <v>7180</v>
      </c>
      <c r="P56" s="237" t="s">
        <v>6928</v>
      </c>
      <c r="Q56" s="237" t="s">
        <v>7181</v>
      </c>
      <c r="R56" s="237" t="s">
        <v>7055</v>
      </c>
    </row>
    <row r="57">
      <c r="G57" s="232">
        <v>55.0</v>
      </c>
      <c r="H57" s="237" t="s">
        <v>6918</v>
      </c>
      <c r="I57" s="237" t="s">
        <v>7162</v>
      </c>
      <c r="J57" s="233">
        <v>3.0</v>
      </c>
      <c r="K57" s="237" t="s">
        <v>7182</v>
      </c>
      <c r="L57" s="237" t="s">
        <v>6921</v>
      </c>
      <c r="M57" s="237" t="s">
        <v>7183</v>
      </c>
      <c r="N57" s="237" t="s">
        <v>7184</v>
      </c>
      <c r="O57" s="237" t="s">
        <v>7185</v>
      </c>
      <c r="P57" s="237" t="s">
        <v>7186</v>
      </c>
      <c r="Q57" s="237" t="s">
        <v>7187</v>
      </c>
      <c r="R57" s="237" t="s">
        <v>6930</v>
      </c>
    </row>
    <row r="58">
      <c r="G58" s="232">
        <v>56.0</v>
      </c>
      <c r="H58" s="237" t="s">
        <v>6918</v>
      </c>
      <c r="I58" s="237" t="s">
        <v>7162</v>
      </c>
      <c r="J58" s="233">
        <v>3.0</v>
      </c>
      <c r="K58" s="237" t="s">
        <v>7188</v>
      </c>
      <c r="L58" s="237" t="s">
        <v>6921</v>
      </c>
      <c r="M58" s="237" t="s">
        <v>7189</v>
      </c>
      <c r="N58" s="237" t="s">
        <v>7184</v>
      </c>
      <c r="O58" s="237" t="s">
        <v>7190</v>
      </c>
      <c r="P58" s="237" t="s">
        <v>7093</v>
      </c>
      <c r="Q58" s="237" t="s">
        <v>7191</v>
      </c>
      <c r="R58" s="237" t="s">
        <v>7031</v>
      </c>
    </row>
    <row r="59">
      <c r="G59" s="232">
        <v>57.0</v>
      </c>
      <c r="H59" s="237" t="s">
        <v>6918</v>
      </c>
      <c r="I59" s="237" t="s">
        <v>7162</v>
      </c>
      <c r="J59" s="233">
        <v>3.0</v>
      </c>
      <c r="K59" s="237" t="s">
        <v>7192</v>
      </c>
      <c r="L59" s="237" t="s">
        <v>6921</v>
      </c>
      <c r="M59" s="237" t="s">
        <v>7193</v>
      </c>
      <c r="N59" s="237" t="s">
        <v>7184</v>
      </c>
      <c r="O59" s="237" t="s">
        <v>7194</v>
      </c>
      <c r="P59" s="237" t="s">
        <v>7157</v>
      </c>
      <c r="Q59" s="237" t="s">
        <v>7195</v>
      </c>
      <c r="R59" s="237" t="s">
        <v>7031</v>
      </c>
    </row>
    <row r="60">
      <c r="G60" s="232">
        <v>58.0</v>
      </c>
      <c r="H60" s="237" t="s">
        <v>6918</v>
      </c>
      <c r="I60" s="237" t="s">
        <v>7162</v>
      </c>
      <c r="J60" s="233">
        <v>3.0</v>
      </c>
      <c r="K60" s="237" t="s">
        <v>7196</v>
      </c>
      <c r="L60" s="237" t="s">
        <v>6921</v>
      </c>
      <c r="M60" s="237" t="s">
        <v>7197</v>
      </c>
      <c r="N60" s="237" t="s">
        <v>7184</v>
      </c>
      <c r="O60" s="237" t="s">
        <v>7198</v>
      </c>
      <c r="P60" s="237" t="s">
        <v>6928</v>
      </c>
      <c r="Q60" s="237"/>
      <c r="R60" s="231"/>
    </row>
    <row r="61">
      <c r="G61" s="232">
        <v>59.0</v>
      </c>
      <c r="H61" s="237" t="s">
        <v>6918</v>
      </c>
      <c r="I61" s="237" t="s">
        <v>7162</v>
      </c>
      <c r="J61" s="233">
        <v>3.0</v>
      </c>
      <c r="K61" s="237" t="s">
        <v>7199</v>
      </c>
      <c r="L61" s="237" t="s">
        <v>6921</v>
      </c>
      <c r="M61" s="237" t="s">
        <v>7200</v>
      </c>
      <c r="N61" s="237" t="s">
        <v>7184</v>
      </c>
      <c r="O61" s="237" t="s">
        <v>7201</v>
      </c>
      <c r="P61" s="237" t="s">
        <v>7048</v>
      </c>
      <c r="Q61" s="237" t="s">
        <v>7202</v>
      </c>
      <c r="R61" s="237" t="s">
        <v>7050</v>
      </c>
    </row>
    <row r="62">
      <c r="G62" s="232">
        <v>60.0</v>
      </c>
      <c r="H62" s="237" t="s">
        <v>6918</v>
      </c>
      <c r="I62" s="237" t="s">
        <v>7162</v>
      </c>
      <c r="J62" s="233">
        <v>3.0</v>
      </c>
      <c r="K62" s="237" t="s">
        <v>7203</v>
      </c>
      <c r="L62" s="237" t="s">
        <v>6921</v>
      </c>
      <c r="M62" s="237" t="s">
        <v>7204</v>
      </c>
      <c r="N62" s="237" t="s">
        <v>7184</v>
      </c>
      <c r="O62" s="237" t="s">
        <v>7205</v>
      </c>
      <c r="P62" s="237" t="s">
        <v>7157</v>
      </c>
      <c r="Q62" s="237" t="s">
        <v>7206</v>
      </c>
      <c r="R62" s="237" t="s">
        <v>7031</v>
      </c>
    </row>
    <row r="63">
      <c r="G63" s="232">
        <v>61.0</v>
      </c>
      <c r="H63" s="237" t="s">
        <v>6918</v>
      </c>
      <c r="I63" s="237" t="s">
        <v>7162</v>
      </c>
      <c r="J63" s="233">
        <v>3.0</v>
      </c>
      <c r="K63" s="237" t="s">
        <v>7207</v>
      </c>
      <c r="L63" s="237" t="s">
        <v>6921</v>
      </c>
      <c r="M63" s="237" t="s">
        <v>7208</v>
      </c>
      <c r="N63" s="237" t="s">
        <v>7209</v>
      </c>
      <c r="O63" s="237" t="s">
        <v>7210</v>
      </c>
      <c r="P63" s="237" t="s">
        <v>6928</v>
      </c>
      <c r="Q63" s="237" t="s">
        <v>7211</v>
      </c>
      <c r="R63" s="237" t="s">
        <v>6930</v>
      </c>
    </row>
    <row r="64">
      <c r="G64" s="232">
        <v>62.0</v>
      </c>
      <c r="H64" s="237" t="s">
        <v>6918</v>
      </c>
      <c r="I64" s="237" t="s">
        <v>7162</v>
      </c>
      <c r="J64" s="233">
        <v>3.0</v>
      </c>
      <c r="K64" s="237" t="s">
        <v>7212</v>
      </c>
      <c r="L64" s="237" t="s">
        <v>6933</v>
      </c>
      <c r="M64" s="237" t="s">
        <v>7213</v>
      </c>
      <c r="N64" s="237" t="s">
        <v>7209</v>
      </c>
      <c r="O64" s="237" t="s">
        <v>7214</v>
      </c>
      <c r="P64" s="237" t="s">
        <v>6928</v>
      </c>
      <c r="Q64" s="237" t="s">
        <v>7215</v>
      </c>
      <c r="R64" s="237" t="s">
        <v>6930</v>
      </c>
    </row>
    <row r="65">
      <c r="G65" s="232">
        <v>63.0</v>
      </c>
      <c r="H65" s="237" t="s">
        <v>6918</v>
      </c>
      <c r="I65" s="237" t="s">
        <v>7162</v>
      </c>
      <c r="J65" s="233">
        <v>3.0</v>
      </c>
      <c r="K65" s="237" t="s">
        <v>7216</v>
      </c>
      <c r="L65" s="237" t="s">
        <v>6921</v>
      </c>
      <c r="M65" s="237" t="s">
        <v>7217</v>
      </c>
      <c r="N65" s="237" t="s">
        <v>7209</v>
      </c>
      <c r="O65" s="237" t="s">
        <v>7218</v>
      </c>
      <c r="P65" s="237" t="s">
        <v>7093</v>
      </c>
      <c r="Q65" s="237" t="s">
        <v>7219</v>
      </c>
      <c r="R65" s="237" t="s">
        <v>7031</v>
      </c>
    </row>
    <row r="66">
      <c r="G66" s="232">
        <v>64.0</v>
      </c>
      <c r="H66" s="237" t="s">
        <v>6918</v>
      </c>
      <c r="I66" s="237" t="s">
        <v>7162</v>
      </c>
      <c r="J66" s="233">
        <v>3.0</v>
      </c>
      <c r="K66" s="237" t="s">
        <v>7220</v>
      </c>
      <c r="L66" s="237" t="s">
        <v>6921</v>
      </c>
      <c r="M66" s="237" t="s">
        <v>7221</v>
      </c>
      <c r="N66" s="237" t="s">
        <v>7209</v>
      </c>
      <c r="O66" s="237" t="s">
        <v>7222</v>
      </c>
      <c r="P66" s="237" t="s">
        <v>6928</v>
      </c>
      <c r="Q66" s="237" t="s">
        <v>7223</v>
      </c>
      <c r="R66" s="237" t="s">
        <v>7031</v>
      </c>
    </row>
    <row r="67">
      <c r="G67" s="232">
        <v>65.0</v>
      </c>
      <c r="H67" s="237" t="s">
        <v>6918</v>
      </c>
      <c r="I67" s="237" t="s">
        <v>7162</v>
      </c>
      <c r="J67" s="233">
        <v>3.0</v>
      </c>
      <c r="K67" s="237" t="s">
        <v>7224</v>
      </c>
      <c r="L67" s="237" t="s">
        <v>6921</v>
      </c>
      <c r="M67" s="237" t="s">
        <v>7225</v>
      </c>
      <c r="N67" s="237" t="s">
        <v>1220</v>
      </c>
      <c r="O67" s="237" t="s">
        <v>7226</v>
      </c>
      <c r="P67" s="237" t="s">
        <v>6928</v>
      </c>
      <c r="Q67" s="237"/>
      <c r="R67" s="231"/>
    </row>
    <row r="68">
      <c r="G68" s="232">
        <v>66.0</v>
      </c>
      <c r="H68" s="237" t="s">
        <v>6918</v>
      </c>
      <c r="I68" s="237" t="s">
        <v>7162</v>
      </c>
      <c r="J68" s="233">
        <v>3.0</v>
      </c>
      <c r="K68" s="237" t="s">
        <v>3820</v>
      </c>
      <c r="L68" s="237" t="s">
        <v>6921</v>
      </c>
      <c r="M68" s="237" t="s">
        <v>7227</v>
      </c>
      <c r="N68" s="237" t="s">
        <v>1220</v>
      </c>
      <c r="O68" s="237" t="s">
        <v>7228</v>
      </c>
      <c r="P68" s="237" t="s">
        <v>6928</v>
      </c>
      <c r="Q68" s="237" t="s">
        <v>7229</v>
      </c>
      <c r="R68" s="237" t="s">
        <v>7136</v>
      </c>
    </row>
    <row r="69">
      <c r="G69" s="232">
        <v>67.0</v>
      </c>
      <c r="H69" s="237" t="s">
        <v>6918</v>
      </c>
      <c r="I69" s="237" t="s">
        <v>7162</v>
      </c>
      <c r="J69" s="233">
        <v>3.0</v>
      </c>
      <c r="K69" s="237" t="s">
        <v>7230</v>
      </c>
      <c r="L69" s="237" t="s">
        <v>6921</v>
      </c>
      <c r="M69" s="237" t="s">
        <v>7231</v>
      </c>
      <c r="N69" s="237" t="s">
        <v>1220</v>
      </c>
      <c r="O69" s="237" t="s">
        <v>7232</v>
      </c>
      <c r="P69" s="237" t="s">
        <v>7093</v>
      </c>
      <c r="Q69" s="237" t="s">
        <v>7233</v>
      </c>
      <c r="R69" s="237" t="s">
        <v>6930</v>
      </c>
    </row>
    <row r="70">
      <c r="G70" s="232">
        <v>68.0</v>
      </c>
      <c r="H70" s="237" t="s">
        <v>6918</v>
      </c>
      <c r="I70" s="237" t="s">
        <v>7162</v>
      </c>
      <c r="J70" s="233">
        <v>3.0</v>
      </c>
      <c r="K70" s="237" t="s">
        <v>7234</v>
      </c>
      <c r="L70" s="237" t="s">
        <v>6921</v>
      </c>
      <c r="M70" s="237" t="s">
        <v>7235</v>
      </c>
      <c r="N70" s="237" t="s">
        <v>1220</v>
      </c>
      <c r="O70" s="237" t="s">
        <v>7236</v>
      </c>
      <c r="P70" s="237" t="s">
        <v>6928</v>
      </c>
      <c r="Q70" s="237" t="s">
        <v>7237</v>
      </c>
      <c r="R70" s="237" t="s">
        <v>6930</v>
      </c>
    </row>
    <row r="71">
      <c r="G71" s="232">
        <v>69.0</v>
      </c>
      <c r="H71" s="237" t="s">
        <v>6918</v>
      </c>
      <c r="I71" s="237" t="s">
        <v>7162</v>
      </c>
      <c r="J71" s="233">
        <v>3.0</v>
      </c>
      <c r="K71" s="237" t="s">
        <v>7238</v>
      </c>
      <c r="L71" s="237" t="s">
        <v>7239</v>
      </c>
      <c r="M71" s="237" t="s">
        <v>7240</v>
      </c>
      <c r="N71" s="237" t="s">
        <v>7241</v>
      </c>
      <c r="O71" s="237" t="s">
        <v>7242</v>
      </c>
      <c r="P71" s="237" t="s">
        <v>7070</v>
      </c>
      <c r="Q71" s="237" t="s">
        <v>7243</v>
      </c>
      <c r="R71" s="237" t="s">
        <v>7244</v>
      </c>
    </row>
    <row r="72">
      <c r="G72" s="232">
        <v>70.0</v>
      </c>
      <c r="H72" s="237" t="s">
        <v>6918</v>
      </c>
      <c r="I72" s="237" t="s">
        <v>7162</v>
      </c>
      <c r="J72" s="233">
        <v>3.0</v>
      </c>
      <c r="K72" s="237" t="s">
        <v>7245</v>
      </c>
      <c r="L72" s="237" t="s">
        <v>6933</v>
      </c>
      <c r="M72" s="237" t="s">
        <v>7246</v>
      </c>
      <c r="N72" s="237" t="s">
        <v>7241</v>
      </c>
      <c r="O72" s="237" t="s">
        <v>7247</v>
      </c>
      <c r="P72" s="237" t="s">
        <v>7248</v>
      </c>
      <c r="Q72" s="237"/>
      <c r="R72" s="231"/>
    </row>
    <row r="73">
      <c r="G73" s="232">
        <v>71.0</v>
      </c>
      <c r="H73" s="237" t="s">
        <v>6918</v>
      </c>
      <c r="I73" s="237" t="s">
        <v>7162</v>
      </c>
      <c r="J73" s="233">
        <v>3.0</v>
      </c>
      <c r="K73" s="237" t="s">
        <v>7249</v>
      </c>
      <c r="L73" s="237" t="s">
        <v>6933</v>
      </c>
      <c r="M73" s="237" t="s">
        <v>7250</v>
      </c>
      <c r="N73" s="237" t="s">
        <v>7241</v>
      </c>
      <c r="O73" s="237" t="s">
        <v>7251</v>
      </c>
      <c r="P73" s="237" t="s">
        <v>7252</v>
      </c>
      <c r="Q73" s="237" t="s">
        <v>7253</v>
      </c>
      <c r="R73" s="237" t="s">
        <v>7019</v>
      </c>
    </row>
    <row r="74">
      <c r="G74" s="232">
        <v>72.0</v>
      </c>
      <c r="H74" s="237" t="s">
        <v>6918</v>
      </c>
      <c r="I74" s="237" t="s">
        <v>7254</v>
      </c>
      <c r="J74" s="233">
        <v>3.0</v>
      </c>
      <c r="K74" s="237" t="s">
        <v>1222</v>
      </c>
      <c r="L74" s="237" t="s">
        <v>6921</v>
      </c>
      <c r="M74" s="237" t="s">
        <v>7255</v>
      </c>
      <c r="N74" s="237" t="s">
        <v>7256</v>
      </c>
      <c r="O74" s="237" t="s">
        <v>7257</v>
      </c>
      <c r="P74" s="237" t="s">
        <v>7186</v>
      </c>
      <c r="Q74" s="237" t="s">
        <v>7258</v>
      </c>
      <c r="R74" s="237" t="s">
        <v>7050</v>
      </c>
    </row>
    <row r="75">
      <c r="G75" s="232">
        <v>73.0</v>
      </c>
      <c r="H75" s="237" t="s">
        <v>1652</v>
      </c>
      <c r="I75" s="237" t="s">
        <v>7259</v>
      </c>
      <c r="J75" s="233">
        <v>3.0</v>
      </c>
      <c r="K75" s="237" t="s">
        <v>4317</v>
      </c>
      <c r="L75" s="237" t="s">
        <v>6933</v>
      </c>
      <c r="M75" s="237" t="s">
        <v>7260</v>
      </c>
      <c r="N75" s="237" t="s">
        <v>1652</v>
      </c>
      <c r="O75" s="237" t="s">
        <v>7261</v>
      </c>
      <c r="P75" s="231"/>
      <c r="Q75" s="237"/>
      <c r="R75" s="231"/>
    </row>
    <row r="76">
      <c r="G76" s="232">
        <v>74.0</v>
      </c>
      <c r="H76" s="237" t="s">
        <v>7124</v>
      </c>
      <c r="I76" s="237" t="s">
        <v>7259</v>
      </c>
      <c r="J76" s="233">
        <v>3.0</v>
      </c>
      <c r="K76" s="237" t="s">
        <v>7262</v>
      </c>
      <c r="L76" s="237" t="s">
        <v>6921</v>
      </c>
      <c r="M76" s="237" t="s">
        <v>7263</v>
      </c>
      <c r="N76" s="237" t="s">
        <v>7264</v>
      </c>
      <c r="O76" s="237" t="s">
        <v>7265</v>
      </c>
      <c r="P76" s="237" t="s">
        <v>7005</v>
      </c>
      <c r="Q76" s="237" t="s">
        <v>7266</v>
      </c>
      <c r="R76" s="237" t="s">
        <v>6930</v>
      </c>
    </row>
    <row r="77">
      <c r="G77" s="232">
        <v>75.0</v>
      </c>
      <c r="H77" s="237" t="s">
        <v>7124</v>
      </c>
      <c r="I77" s="237" t="s">
        <v>7259</v>
      </c>
      <c r="J77" s="233">
        <v>3.0</v>
      </c>
      <c r="K77" s="237" t="s">
        <v>3184</v>
      </c>
      <c r="L77" s="237" t="s">
        <v>6921</v>
      </c>
      <c r="M77" s="237" t="s">
        <v>7267</v>
      </c>
      <c r="N77" s="237" t="s">
        <v>3186</v>
      </c>
      <c r="O77" s="237" t="s">
        <v>7268</v>
      </c>
      <c r="P77" s="237" t="s">
        <v>7048</v>
      </c>
      <c r="Q77" s="237" t="s">
        <v>7269</v>
      </c>
      <c r="R77" s="237" t="s">
        <v>7012</v>
      </c>
    </row>
    <row r="78">
      <c r="G78" s="232">
        <v>76.0</v>
      </c>
      <c r="H78" s="237" t="s">
        <v>7124</v>
      </c>
      <c r="I78" s="237" t="s">
        <v>7259</v>
      </c>
      <c r="J78" s="233">
        <v>3.0</v>
      </c>
      <c r="K78" s="237" t="s">
        <v>3586</v>
      </c>
      <c r="L78" s="237" t="s">
        <v>6921</v>
      </c>
      <c r="M78" s="237" t="s">
        <v>7270</v>
      </c>
      <c r="N78" s="237" t="s">
        <v>3186</v>
      </c>
      <c r="O78" s="237" t="s">
        <v>7271</v>
      </c>
      <c r="P78" s="237" t="s">
        <v>7048</v>
      </c>
      <c r="Q78" s="237" t="s">
        <v>7272</v>
      </c>
      <c r="R78" s="237" t="s">
        <v>7050</v>
      </c>
    </row>
    <row r="79">
      <c r="G79" s="232">
        <v>77.0</v>
      </c>
      <c r="H79" s="237" t="s">
        <v>7124</v>
      </c>
      <c r="I79" s="237" t="s">
        <v>7259</v>
      </c>
      <c r="J79" s="233">
        <v>3.0</v>
      </c>
      <c r="K79" s="237" t="s">
        <v>7273</v>
      </c>
      <c r="L79" s="237" t="s">
        <v>6921</v>
      </c>
      <c r="M79" s="237" t="s">
        <v>7274</v>
      </c>
      <c r="N79" s="237" t="s">
        <v>3186</v>
      </c>
      <c r="O79" s="237" t="s">
        <v>7275</v>
      </c>
      <c r="P79" s="237" t="s">
        <v>7048</v>
      </c>
      <c r="Q79" s="237" t="s">
        <v>7276</v>
      </c>
      <c r="R79" s="237" t="s">
        <v>7012</v>
      </c>
    </row>
    <row r="80">
      <c r="G80" s="232">
        <v>78.0</v>
      </c>
      <c r="H80" s="237" t="s">
        <v>7277</v>
      </c>
      <c r="I80" s="237" t="s">
        <v>7278</v>
      </c>
      <c r="J80" s="233">
        <v>3.0</v>
      </c>
      <c r="K80" s="237" t="s">
        <v>4915</v>
      </c>
      <c r="L80" s="237" t="s">
        <v>6933</v>
      </c>
      <c r="M80" s="237" t="s">
        <v>7279</v>
      </c>
      <c r="N80" s="237" t="s">
        <v>6503</v>
      </c>
      <c r="O80" s="237" t="s">
        <v>7280</v>
      </c>
      <c r="P80" s="237" t="s">
        <v>6993</v>
      </c>
      <c r="Q80" s="237"/>
      <c r="R80" s="231"/>
    </row>
    <row r="81">
      <c r="G81" s="232">
        <v>79.0</v>
      </c>
      <c r="H81" s="237" t="s">
        <v>7277</v>
      </c>
      <c r="I81" s="237" t="s">
        <v>7281</v>
      </c>
      <c r="J81" s="233">
        <v>3.0</v>
      </c>
      <c r="K81" s="237" t="s">
        <v>7282</v>
      </c>
      <c r="L81" s="237" t="s">
        <v>6933</v>
      </c>
      <c r="M81" s="237" t="s">
        <v>7283</v>
      </c>
      <c r="N81" s="237" t="s">
        <v>3786</v>
      </c>
      <c r="O81" s="237" t="s">
        <v>7284</v>
      </c>
      <c r="P81" s="237" t="s">
        <v>6928</v>
      </c>
      <c r="Q81" s="237" t="s">
        <v>7285</v>
      </c>
      <c r="R81" s="237" t="s">
        <v>6930</v>
      </c>
    </row>
    <row r="82">
      <c r="G82" s="232">
        <v>80.0</v>
      </c>
      <c r="H82" s="237" t="s">
        <v>7277</v>
      </c>
      <c r="I82" s="237" t="s">
        <v>7286</v>
      </c>
      <c r="J82" s="233">
        <v>3.0</v>
      </c>
      <c r="K82" s="237" t="s">
        <v>3783</v>
      </c>
      <c r="L82" s="237" t="s">
        <v>6933</v>
      </c>
      <c r="M82" s="237" t="s">
        <v>7287</v>
      </c>
      <c r="N82" s="237" t="s">
        <v>3786</v>
      </c>
      <c r="O82" s="237" t="s">
        <v>7288</v>
      </c>
      <c r="P82" s="237" t="s">
        <v>7289</v>
      </c>
      <c r="Q82" s="237" t="s">
        <v>7290</v>
      </c>
      <c r="R82" s="237" t="s">
        <v>7291</v>
      </c>
    </row>
    <row r="83">
      <c r="G83" s="232">
        <v>81.0</v>
      </c>
      <c r="H83" s="237" t="s">
        <v>7277</v>
      </c>
      <c r="I83" s="237" t="s">
        <v>7259</v>
      </c>
      <c r="J83" s="233">
        <v>3.0</v>
      </c>
      <c r="K83" s="237" t="s">
        <v>7292</v>
      </c>
      <c r="L83" s="237" t="s">
        <v>6933</v>
      </c>
      <c r="M83" s="237" t="s">
        <v>7293</v>
      </c>
      <c r="N83" s="237" t="s">
        <v>3786</v>
      </c>
      <c r="O83" s="237" t="s">
        <v>7294</v>
      </c>
      <c r="P83" s="237" t="s">
        <v>6937</v>
      </c>
      <c r="Q83" s="237" t="s">
        <v>7295</v>
      </c>
      <c r="R83" s="237" t="s">
        <v>7291</v>
      </c>
    </row>
    <row r="84">
      <c r="G84" s="232">
        <v>82.0</v>
      </c>
      <c r="H84" s="237" t="s">
        <v>7277</v>
      </c>
      <c r="I84" s="237" t="s">
        <v>7259</v>
      </c>
      <c r="J84" s="233">
        <v>3.0</v>
      </c>
      <c r="K84" s="237" t="s">
        <v>7296</v>
      </c>
      <c r="L84" s="237" t="s">
        <v>6933</v>
      </c>
      <c r="M84" s="237" t="s">
        <v>7297</v>
      </c>
      <c r="N84" s="237" t="s">
        <v>5055</v>
      </c>
      <c r="O84" s="237" t="s">
        <v>7298</v>
      </c>
      <c r="P84" s="237" t="s">
        <v>7299</v>
      </c>
      <c r="Q84" s="237" t="s">
        <v>7300</v>
      </c>
      <c r="R84" s="237" t="s">
        <v>7301</v>
      </c>
    </row>
    <row r="85">
      <c r="G85" s="232">
        <v>83.0</v>
      </c>
      <c r="H85" s="237" t="s">
        <v>7277</v>
      </c>
      <c r="I85" s="237" t="s">
        <v>7259</v>
      </c>
      <c r="J85" s="233">
        <v>3.0</v>
      </c>
      <c r="K85" s="237" t="s">
        <v>6353</v>
      </c>
      <c r="L85" s="237" t="s">
        <v>6933</v>
      </c>
      <c r="M85" s="237" t="s">
        <v>7302</v>
      </c>
      <c r="N85" s="237" t="s">
        <v>5055</v>
      </c>
      <c r="O85" s="237" t="s">
        <v>7303</v>
      </c>
      <c r="P85" s="231"/>
      <c r="Q85" s="237"/>
      <c r="R85" s="231"/>
    </row>
    <row r="86">
      <c r="G86" s="232">
        <v>84.0</v>
      </c>
      <c r="H86" s="237" t="s">
        <v>7277</v>
      </c>
      <c r="I86" s="237" t="s">
        <v>7259</v>
      </c>
      <c r="J86" s="233">
        <v>3.0</v>
      </c>
      <c r="K86" s="237" t="s">
        <v>7304</v>
      </c>
      <c r="L86" s="237" t="s">
        <v>6933</v>
      </c>
      <c r="M86" s="237" t="s">
        <v>7305</v>
      </c>
      <c r="N86" s="237" t="s">
        <v>2919</v>
      </c>
      <c r="O86" s="237" t="s">
        <v>7306</v>
      </c>
      <c r="P86" s="237" t="s">
        <v>6937</v>
      </c>
      <c r="Q86" s="237" t="s">
        <v>7307</v>
      </c>
      <c r="R86" s="237" t="s">
        <v>7308</v>
      </c>
    </row>
    <row r="87">
      <c r="G87" s="232">
        <v>85.0</v>
      </c>
      <c r="H87" s="237" t="s">
        <v>7277</v>
      </c>
      <c r="I87" s="237" t="s">
        <v>7259</v>
      </c>
      <c r="J87" s="233">
        <v>3.0</v>
      </c>
      <c r="K87" s="237" t="s">
        <v>7309</v>
      </c>
      <c r="L87" s="237" t="s">
        <v>6921</v>
      </c>
      <c r="M87" s="237" t="s">
        <v>7310</v>
      </c>
      <c r="N87" s="237" t="s">
        <v>7311</v>
      </c>
      <c r="O87" s="237" t="s">
        <v>7312</v>
      </c>
      <c r="P87" s="237" t="s">
        <v>6937</v>
      </c>
      <c r="Q87" s="237" t="s">
        <v>7313</v>
      </c>
      <c r="R87" s="237" t="s">
        <v>6930</v>
      </c>
    </row>
    <row r="88">
      <c r="G88" s="232">
        <v>86.0</v>
      </c>
      <c r="H88" s="237" t="s">
        <v>7277</v>
      </c>
      <c r="I88" s="237" t="s">
        <v>7259</v>
      </c>
      <c r="J88" s="233">
        <v>3.0</v>
      </c>
      <c r="K88" s="237" t="s">
        <v>901</v>
      </c>
      <c r="L88" s="237" t="s">
        <v>6933</v>
      </c>
      <c r="M88" s="237" t="s">
        <v>7314</v>
      </c>
      <c r="N88" s="237" t="s">
        <v>904</v>
      </c>
      <c r="O88" s="237" t="s">
        <v>7315</v>
      </c>
      <c r="P88" s="237" t="s">
        <v>6993</v>
      </c>
      <c r="Q88" s="237"/>
      <c r="R88" s="231"/>
    </row>
    <row r="89">
      <c r="G89" s="232">
        <v>87.0</v>
      </c>
      <c r="H89" s="237" t="s">
        <v>7277</v>
      </c>
      <c r="I89" s="237" t="s">
        <v>7259</v>
      </c>
      <c r="J89" s="233">
        <v>3.0</v>
      </c>
      <c r="K89" s="237" t="s">
        <v>7316</v>
      </c>
      <c r="L89" s="237" t="s">
        <v>6933</v>
      </c>
      <c r="M89" s="237" t="s">
        <v>7317</v>
      </c>
      <c r="N89" s="237" t="s">
        <v>904</v>
      </c>
      <c r="O89" s="237" t="s">
        <v>7318</v>
      </c>
      <c r="P89" s="237" t="s">
        <v>7048</v>
      </c>
      <c r="Q89" s="237" t="s">
        <v>7319</v>
      </c>
      <c r="R89" s="237" t="s">
        <v>7050</v>
      </c>
    </row>
    <row r="90">
      <c r="G90" s="232">
        <v>88.0</v>
      </c>
      <c r="H90" s="237" t="s">
        <v>7277</v>
      </c>
      <c r="I90" s="237" t="s">
        <v>7286</v>
      </c>
      <c r="J90" s="233">
        <v>3.0</v>
      </c>
      <c r="K90" s="237" t="s">
        <v>7320</v>
      </c>
      <c r="L90" s="237" t="s">
        <v>6921</v>
      </c>
      <c r="M90" s="237" t="s">
        <v>7321</v>
      </c>
      <c r="N90" s="237" t="s">
        <v>904</v>
      </c>
      <c r="O90" s="237" t="s">
        <v>7322</v>
      </c>
      <c r="P90" s="237" t="s">
        <v>6928</v>
      </c>
      <c r="Q90" s="237" t="s">
        <v>7323</v>
      </c>
      <c r="R90" s="237" t="s">
        <v>7050</v>
      </c>
    </row>
    <row r="91">
      <c r="G91" s="232">
        <v>89.0</v>
      </c>
      <c r="H91" s="237" t="s">
        <v>7277</v>
      </c>
      <c r="I91" s="237" t="s">
        <v>7259</v>
      </c>
      <c r="J91" s="233">
        <v>3.0</v>
      </c>
      <c r="K91" s="237" t="s">
        <v>4922</v>
      </c>
      <c r="L91" s="237" t="s">
        <v>6933</v>
      </c>
      <c r="M91" s="237" t="s">
        <v>7324</v>
      </c>
      <c r="N91" s="237" t="s">
        <v>4974</v>
      </c>
      <c r="O91" s="237" t="s">
        <v>7261</v>
      </c>
      <c r="P91" s="231"/>
      <c r="Q91" s="237"/>
      <c r="R91" s="231"/>
    </row>
    <row r="92">
      <c r="G92" s="232">
        <v>90.0</v>
      </c>
      <c r="H92" s="237" t="s">
        <v>7277</v>
      </c>
      <c r="I92" s="237" t="s">
        <v>7259</v>
      </c>
      <c r="J92" s="233">
        <v>3.0</v>
      </c>
      <c r="K92" s="237" t="s">
        <v>494</v>
      </c>
      <c r="L92" s="237" t="s">
        <v>6933</v>
      </c>
      <c r="M92" s="237" t="s">
        <v>7325</v>
      </c>
      <c r="N92" s="237" t="s">
        <v>496</v>
      </c>
      <c r="O92" s="237" t="s">
        <v>7326</v>
      </c>
      <c r="P92" s="237" t="s">
        <v>7005</v>
      </c>
      <c r="Q92" s="237"/>
      <c r="R92" s="231"/>
    </row>
    <row r="93">
      <c r="G93" s="232">
        <v>91.0</v>
      </c>
      <c r="H93" s="237" t="s">
        <v>7277</v>
      </c>
      <c r="I93" s="237" t="s">
        <v>7259</v>
      </c>
      <c r="J93" s="233">
        <v>3.0</v>
      </c>
      <c r="K93" s="237" t="s">
        <v>7327</v>
      </c>
      <c r="L93" s="237" t="s">
        <v>6933</v>
      </c>
      <c r="M93" s="237" t="s">
        <v>7328</v>
      </c>
      <c r="N93" s="237" t="s">
        <v>496</v>
      </c>
      <c r="O93" s="237" t="s">
        <v>7329</v>
      </c>
      <c r="P93" s="237" t="s">
        <v>7330</v>
      </c>
      <c r="Q93" s="237"/>
      <c r="R93" s="231"/>
    </row>
    <row r="94">
      <c r="G94" s="232">
        <v>92.0</v>
      </c>
      <c r="H94" s="237" t="s">
        <v>7277</v>
      </c>
      <c r="I94" s="237" t="s">
        <v>7259</v>
      </c>
      <c r="J94" s="233">
        <v>3.0</v>
      </c>
      <c r="K94" s="237" t="s">
        <v>3188</v>
      </c>
      <c r="L94" s="237" t="s">
        <v>6933</v>
      </c>
      <c r="M94" s="237" t="s">
        <v>7331</v>
      </c>
      <c r="N94" s="237" t="s">
        <v>352</v>
      </c>
      <c r="O94" s="237" t="s">
        <v>7332</v>
      </c>
      <c r="P94" s="237" t="s">
        <v>6993</v>
      </c>
      <c r="Q94" s="237" t="s">
        <v>7333</v>
      </c>
      <c r="R94" s="237" t="s">
        <v>6946</v>
      </c>
    </row>
    <row r="95">
      <c r="G95" s="232">
        <v>93.0</v>
      </c>
      <c r="H95" s="237" t="s">
        <v>7277</v>
      </c>
      <c r="I95" s="237" t="s">
        <v>7259</v>
      </c>
      <c r="J95" s="233">
        <v>3.0</v>
      </c>
      <c r="K95" s="237" t="s">
        <v>4256</v>
      </c>
      <c r="L95" s="237" t="s">
        <v>6933</v>
      </c>
      <c r="M95" s="237" t="s">
        <v>7334</v>
      </c>
      <c r="N95" s="237" t="s">
        <v>352</v>
      </c>
      <c r="O95" s="237" t="s">
        <v>7335</v>
      </c>
      <c r="P95" s="237" t="s">
        <v>6993</v>
      </c>
      <c r="Q95" s="237"/>
      <c r="R95" s="231"/>
    </row>
    <row r="96">
      <c r="G96" s="232">
        <v>94.0</v>
      </c>
      <c r="H96" s="237" t="s">
        <v>7124</v>
      </c>
      <c r="I96" s="237" t="s">
        <v>7336</v>
      </c>
      <c r="J96" s="233">
        <v>3.0</v>
      </c>
      <c r="K96" s="237" t="s">
        <v>7337</v>
      </c>
      <c r="L96" s="237" t="s">
        <v>6921</v>
      </c>
      <c r="M96" s="237" t="s">
        <v>7338</v>
      </c>
      <c r="N96" s="237" t="s">
        <v>1167</v>
      </c>
      <c r="O96" s="237" t="s">
        <v>7339</v>
      </c>
      <c r="P96" s="237" t="s">
        <v>6993</v>
      </c>
      <c r="Q96" s="237" t="s">
        <v>7340</v>
      </c>
      <c r="R96" s="237" t="s">
        <v>7341</v>
      </c>
    </row>
    <row r="97">
      <c r="G97" s="232">
        <v>95.0</v>
      </c>
      <c r="H97" s="237" t="s">
        <v>6918</v>
      </c>
      <c r="I97" s="237" t="s">
        <v>7281</v>
      </c>
      <c r="J97" s="233">
        <v>3.0</v>
      </c>
      <c r="K97" s="237" t="s">
        <v>3461</v>
      </c>
      <c r="L97" s="237" t="s">
        <v>6921</v>
      </c>
      <c r="M97" s="237" t="s">
        <v>7342</v>
      </c>
      <c r="N97" s="237" t="s">
        <v>7343</v>
      </c>
      <c r="O97" s="237" t="s">
        <v>7284</v>
      </c>
      <c r="P97" s="237" t="s">
        <v>6928</v>
      </c>
      <c r="Q97" s="237" t="s">
        <v>7285</v>
      </c>
      <c r="R97" s="237" t="s">
        <v>6930</v>
      </c>
    </row>
    <row r="98">
      <c r="G98" s="232">
        <v>96.0</v>
      </c>
      <c r="H98" s="237" t="s">
        <v>7277</v>
      </c>
      <c r="I98" s="237" t="s">
        <v>7259</v>
      </c>
      <c r="J98" s="233">
        <v>3.0</v>
      </c>
      <c r="K98" s="237" t="s">
        <v>3682</v>
      </c>
      <c r="L98" s="237" t="s">
        <v>6921</v>
      </c>
      <c r="M98" s="237" t="s">
        <v>7344</v>
      </c>
      <c r="N98" s="237" t="s">
        <v>2915</v>
      </c>
      <c r="O98" s="237" t="s">
        <v>7345</v>
      </c>
      <c r="P98" s="237" t="s">
        <v>6928</v>
      </c>
      <c r="Q98" s="237" t="s">
        <v>7346</v>
      </c>
      <c r="R98" s="237" t="s">
        <v>7031</v>
      </c>
    </row>
    <row r="99">
      <c r="G99" s="232">
        <v>97.0</v>
      </c>
      <c r="H99" s="237" t="s">
        <v>7124</v>
      </c>
      <c r="I99" s="237" t="s">
        <v>7259</v>
      </c>
      <c r="J99" s="233">
        <v>3.0</v>
      </c>
      <c r="K99" s="237" t="s">
        <v>7347</v>
      </c>
      <c r="L99" s="237" t="s">
        <v>6921</v>
      </c>
      <c r="M99" s="237" t="s">
        <v>7348</v>
      </c>
      <c r="N99" s="237" t="s">
        <v>1648</v>
      </c>
      <c r="O99" s="237" t="s">
        <v>7349</v>
      </c>
      <c r="P99" s="237" t="s">
        <v>6928</v>
      </c>
      <c r="Q99" s="237" t="s">
        <v>7350</v>
      </c>
      <c r="R99" s="237" t="s">
        <v>7012</v>
      </c>
    </row>
    <row r="100">
      <c r="G100" s="232">
        <v>98.0</v>
      </c>
      <c r="H100" s="237" t="s">
        <v>7124</v>
      </c>
      <c r="I100" s="237" t="s">
        <v>7259</v>
      </c>
      <c r="J100" s="233">
        <v>3.0</v>
      </c>
      <c r="K100" s="237" t="s">
        <v>3526</v>
      </c>
      <c r="L100" s="237" t="s">
        <v>6921</v>
      </c>
      <c r="M100" s="237" t="s">
        <v>7351</v>
      </c>
      <c r="N100" s="237" t="s">
        <v>2301</v>
      </c>
      <c r="O100" s="237" t="s">
        <v>7352</v>
      </c>
      <c r="P100" s="237" t="s">
        <v>6928</v>
      </c>
      <c r="Q100" s="237" t="s">
        <v>7353</v>
      </c>
      <c r="R100" s="237" t="s">
        <v>6930</v>
      </c>
    </row>
    <row r="101">
      <c r="G101" s="232">
        <v>99.0</v>
      </c>
      <c r="H101" s="237" t="s">
        <v>7277</v>
      </c>
      <c r="I101" s="237" t="s">
        <v>7259</v>
      </c>
      <c r="J101" s="233">
        <v>3.0</v>
      </c>
      <c r="K101" s="237" t="s">
        <v>7354</v>
      </c>
      <c r="L101" s="237" t="s">
        <v>6933</v>
      </c>
      <c r="M101" s="237" t="s">
        <v>7355</v>
      </c>
      <c r="N101" s="237" t="s">
        <v>5858</v>
      </c>
      <c r="O101" s="237" t="s">
        <v>7356</v>
      </c>
      <c r="P101" s="237" t="s">
        <v>7357</v>
      </c>
      <c r="Q101" s="237"/>
      <c r="R101" s="231"/>
    </row>
    <row r="102">
      <c r="G102" s="232">
        <v>100.0</v>
      </c>
      <c r="H102" s="237" t="s">
        <v>6918</v>
      </c>
      <c r="I102" s="237" t="s">
        <v>7358</v>
      </c>
      <c r="J102" s="233">
        <v>4.0</v>
      </c>
      <c r="K102" s="237" t="s">
        <v>7359</v>
      </c>
      <c r="L102" s="237" t="s">
        <v>6921</v>
      </c>
      <c r="M102" s="237" t="s">
        <v>7360</v>
      </c>
      <c r="N102" s="237" t="s">
        <v>917</v>
      </c>
      <c r="O102" s="237" t="s">
        <v>7361</v>
      </c>
      <c r="P102" s="237" t="s">
        <v>6928</v>
      </c>
      <c r="Q102" s="237" t="s">
        <v>7362</v>
      </c>
      <c r="R102" s="237" t="s">
        <v>6946</v>
      </c>
    </row>
    <row r="103">
      <c r="G103" s="232">
        <v>101.0</v>
      </c>
      <c r="H103" s="237" t="s">
        <v>6918</v>
      </c>
      <c r="I103" s="237" t="s">
        <v>7358</v>
      </c>
      <c r="J103" s="233">
        <v>4.0</v>
      </c>
      <c r="K103" s="237" t="s">
        <v>914</v>
      </c>
      <c r="L103" s="237" t="s">
        <v>6921</v>
      </c>
      <c r="M103" s="237" t="s">
        <v>7363</v>
      </c>
      <c r="N103" s="237" t="s">
        <v>917</v>
      </c>
      <c r="O103" s="237" t="s">
        <v>7364</v>
      </c>
      <c r="P103" s="237" t="s">
        <v>6928</v>
      </c>
      <c r="Q103" s="237" t="s">
        <v>7365</v>
      </c>
      <c r="R103" s="237" t="s">
        <v>6930</v>
      </c>
    </row>
    <row r="104">
      <c r="G104" s="232">
        <v>102.0</v>
      </c>
      <c r="H104" s="237" t="s">
        <v>6918</v>
      </c>
      <c r="I104" s="237" t="s">
        <v>7366</v>
      </c>
      <c r="J104" s="233">
        <v>4.0</v>
      </c>
      <c r="K104" s="237" t="s">
        <v>7367</v>
      </c>
      <c r="L104" s="237" t="s">
        <v>6921</v>
      </c>
      <c r="M104" s="237" t="s">
        <v>7368</v>
      </c>
      <c r="N104" s="237" t="s">
        <v>7369</v>
      </c>
      <c r="O104" s="237" t="s">
        <v>7370</v>
      </c>
      <c r="P104" s="237" t="s">
        <v>7157</v>
      </c>
      <c r="Q104" s="237" t="s">
        <v>7371</v>
      </c>
      <c r="R104" s="237" t="s">
        <v>6946</v>
      </c>
    </row>
    <row r="105">
      <c r="G105" s="232">
        <v>103.0</v>
      </c>
      <c r="H105" s="237" t="s">
        <v>6918</v>
      </c>
      <c r="I105" s="237" t="s">
        <v>7366</v>
      </c>
      <c r="J105" s="233">
        <v>4.0</v>
      </c>
      <c r="K105" s="237" t="s">
        <v>7372</v>
      </c>
      <c r="L105" s="237" t="s">
        <v>6933</v>
      </c>
      <c r="M105" s="237" t="s">
        <v>7373</v>
      </c>
      <c r="N105" s="237" t="s">
        <v>7369</v>
      </c>
      <c r="O105" s="237" t="s">
        <v>7374</v>
      </c>
      <c r="P105" s="237" t="s">
        <v>7375</v>
      </c>
      <c r="Q105" s="237" t="s">
        <v>7376</v>
      </c>
      <c r="R105" s="237" t="s">
        <v>6946</v>
      </c>
    </row>
    <row r="106">
      <c r="G106" s="232">
        <v>104.0</v>
      </c>
      <c r="H106" s="237" t="s">
        <v>6918</v>
      </c>
      <c r="I106" s="237" t="s">
        <v>7366</v>
      </c>
      <c r="J106" s="233">
        <v>4.0</v>
      </c>
      <c r="K106" s="237" t="s">
        <v>4379</v>
      </c>
      <c r="L106" s="237" t="s">
        <v>6933</v>
      </c>
      <c r="M106" s="237" t="s">
        <v>7377</v>
      </c>
      <c r="N106" s="237" t="s">
        <v>7378</v>
      </c>
      <c r="O106" s="237" t="s">
        <v>7379</v>
      </c>
      <c r="P106" s="237" t="s">
        <v>6928</v>
      </c>
      <c r="Q106" s="237" t="s">
        <v>7380</v>
      </c>
      <c r="R106" s="237" t="s">
        <v>6946</v>
      </c>
    </row>
    <row r="107">
      <c r="G107" s="232">
        <v>105.0</v>
      </c>
      <c r="H107" s="237" t="s">
        <v>6918</v>
      </c>
      <c r="I107" s="237" t="s">
        <v>7366</v>
      </c>
      <c r="J107" s="233">
        <v>4.0</v>
      </c>
      <c r="K107" s="237" t="s">
        <v>7381</v>
      </c>
      <c r="L107" s="237" t="s">
        <v>6921</v>
      </c>
      <c r="M107" s="237" t="s">
        <v>7382</v>
      </c>
      <c r="N107" s="237" t="s">
        <v>7378</v>
      </c>
      <c r="O107" s="237" t="s">
        <v>7383</v>
      </c>
      <c r="P107" s="237" t="s">
        <v>6928</v>
      </c>
      <c r="Q107" s="237" t="s">
        <v>7384</v>
      </c>
      <c r="R107" s="237" t="s">
        <v>7173</v>
      </c>
    </row>
    <row r="108">
      <c r="G108" s="232">
        <v>106.0</v>
      </c>
      <c r="H108" s="237" t="s">
        <v>7385</v>
      </c>
      <c r="I108" s="237" t="s">
        <v>7366</v>
      </c>
      <c r="J108" s="233">
        <v>4.0</v>
      </c>
      <c r="K108" s="237" t="s">
        <v>7386</v>
      </c>
      <c r="L108" s="237" t="s">
        <v>6933</v>
      </c>
      <c r="M108" s="237" t="s">
        <v>7387</v>
      </c>
      <c r="N108" s="237" t="s">
        <v>7378</v>
      </c>
      <c r="O108" s="237" t="s">
        <v>7388</v>
      </c>
      <c r="P108" s="237" t="s">
        <v>7389</v>
      </c>
      <c r="Q108" s="237" t="s">
        <v>7390</v>
      </c>
      <c r="R108" s="237" t="s">
        <v>6939</v>
      </c>
    </row>
    <row r="109">
      <c r="G109" s="232">
        <v>107.0</v>
      </c>
      <c r="H109" s="237" t="s">
        <v>6918</v>
      </c>
      <c r="I109" s="237" t="s">
        <v>7366</v>
      </c>
      <c r="J109" s="233">
        <v>4.0</v>
      </c>
      <c r="K109" s="237" t="s">
        <v>4220</v>
      </c>
      <c r="L109" s="237" t="s">
        <v>6921</v>
      </c>
      <c r="M109" s="237" t="s">
        <v>7391</v>
      </c>
      <c r="N109" s="237" t="s">
        <v>7392</v>
      </c>
      <c r="O109" s="237" t="s">
        <v>7393</v>
      </c>
      <c r="P109" s="237" t="s">
        <v>7157</v>
      </c>
      <c r="Q109" s="237" t="s">
        <v>7394</v>
      </c>
      <c r="R109" s="237" t="s">
        <v>7055</v>
      </c>
    </row>
    <row r="110">
      <c r="G110" s="232">
        <v>108.0</v>
      </c>
      <c r="H110" s="237" t="s">
        <v>6918</v>
      </c>
      <c r="I110" s="237" t="s">
        <v>7366</v>
      </c>
      <c r="J110" s="233">
        <v>4.0</v>
      </c>
      <c r="K110" s="237" t="s">
        <v>7395</v>
      </c>
      <c r="L110" s="237" t="s">
        <v>6921</v>
      </c>
      <c r="M110" s="237" t="s">
        <v>7396</v>
      </c>
      <c r="N110" s="237" t="s">
        <v>7392</v>
      </c>
      <c r="O110" s="237" t="s">
        <v>7397</v>
      </c>
      <c r="P110" s="237" t="s">
        <v>7398</v>
      </c>
      <c r="Q110" s="237" t="s">
        <v>7399</v>
      </c>
      <c r="R110" s="237" t="s">
        <v>7031</v>
      </c>
    </row>
    <row r="111">
      <c r="G111" s="232">
        <v>109.0</v>
      </c>
      <c r="H111" s="237" t="s">
        <v>7400</v>
      </c>
      <c r="I111" s="237" t="s">
        <v>7366</v>
      </c>
      <c r="J111" s="233">
        <v>4.0</v>
      </c>
      <c r="K111" s="237" t="s">
        <v>7401</v>
      </c>
      <c r="L111" s="237" t="s">
        <v>6933</v>
      </c>
      <c r="M111" s="237" t="s">
        <v>7402</v>
      </c>
      <c r="N111" s="237" t="s">
        <v>7392</v>
      </c>
      <c r="O111" s="237" t="s">
        <v>7403</v>
      </c>
      <c r="P111" s="237" t="s">
        <v>7157</v>
      </c>
      <c r="Q111" s="237" t="s">
        <v>7404</v>
      </c>
      <c r="R111" s="237" t="s">
        <v>6939</v>
      </c>
    </row>
    <row r="112">
      <c r="G112" s="232">
        <v>110.0</v>
      </c>
      <c r="H112" s="237" t="s">
        <v>7405</v>
      </c>
      <c r="I112" s="237" t="s">
        <v>7366</v>
      </c>
      <c r="J112" s="233">
        <v>4.0</v>
      </c>
      <c r="K112" s="237" t="s">
        <v>7406</v>
      </c>
      <c r="L112" s="237" t="s">
        <v>6921</v>
      </c>
      <c r="M112" s="237" t="s">
        <v>7407</v>
      </c>
      <c r="N112" s="237" t="s">
        <v>2301</v>
      </c>
      <c r="O112" s="237" t="s">
        <v>7408</v>
      </c>
      <c r="P112" s="237" t="s">
        <v>6928</v>
      </c>
      <c r="Q112" s="237" t="s">
        <v>7409</v>
      </c>
      <c r="R112" s="237" t="s">
        <v>6939</v>
      </c>
    </row>
    <row r="113">
      <c r="G113" s="232">
        <v>111.0</v>
      </c>
      <c r="H113" s="237" t="s">
        <v>7405</v>
      </c>
      <c r="I113" s="237" t="s">
        <v>7366</v>
      </c>
      <c r="J113" s="233">
        <v>4.0</v>
      </c>
      <c r="K113" s="237" t="s">
        <v>7410</v>
      </c>
      <c r="L113" s="237" t="s">
        <v>6921</v>
      </c>
      <c r="M113" s="237" t="s">
        <v>7411</v>
      </c>
      <c r="N113" s="237" t="s">
        <v>2301</v>
      </c>
      <c r="O113" s="237" t="s">
        <v>7412</v>
      </c>
      <c r="P113" s="237" t="s">
        <v>7157</v>
      </c>
      <c r="Q113" s="237" t="s">
        <v>7413</v>
      </c>
      <c r="R113" s="237" t="s">
        <v>7414</v>
      </c>
    </row>
    <row r="114">
      <c r="G114" s="232">
        <v>112.0</v>
      </c>
      <c r="H114" s="237" t="s">
        <v>6918</v>
      </c>
      <c r="I114" s="237" t="s">
        <v>7415</v>
      </c>
      <c r="J114" s="233">
        <v>4.0</v>
      </c>
      <c r="K114" s="237" t="s">
        <v>7416</v>
      </c>
      <c r="L114" s="237" t="s">
        <v>7239</v>
      </c>
      <c r="M114" s="237" t="s">
        <v>7417</v>
      </c>
      <c r="N114" s="237" t="s">
        <v>7418</v>
      </c>
      <c r="O114" s="237" t="s">
        <v>7419</v>
      </c>
      <c r="P114" s="237" t="s">
        <v>6928</v>
      </c>
      <c r="Q114" s="237" t="s">
        <v>7420</v>
      </c>
      <c r="R114" s="237" t="s">
        <v>7168</v>
      </c>
    </row>
    <row r="115">
      <c r="G115" s="232">
        <v>113.0</v>
      </c>
      <c r="H115" s="237" t="s">
        <v>6918</v>
      </c>
      <c r="I115" s="237" t="s">
        <v>7415</v>
      </c>
      <c r="J115" s="233">
        <v>4.0</v>
      </c>
      <c r="K115" s="237" t="s">
        <v>7421</v>
      </c>
      <c r="L115" s="237" t="s">
        <v>6921</v>
      </c>
      <c r="M115" s="237" t="s">
        <v>7422</v>
      </c>
      <c r="N115" s="237" t="s">
        <v>7418</v>
      </c>
      <c r="O115" s="237" t="s">
        <v>7423</v>
      </c>
      <c r="P115" s="237" t="s">
        <v>6928</v>
      </c>
      <c r="Q115" s="237" t="s">
        <v>7424</v>
      </c>
      <c r="R115" s="237" t="s">
        <v>6930</v>
      </c>
    </row>
    <row r="116">
      <c r="G116" s="232">
        <v>114.0</v>
      </c>
      <c r="H116" s="237" t="s">
        <v>6918</v>
      </c>
      <c r="I116" s="237" t="s">
        <v>7425</v>
      </c>
      <c r="J116" s="233">
        <v>4.0</v>
      </c>
      <c r="K116" s="237" t="s">
        <v>7426</v>
      </c>
      <c r="L116" s="237" t="s">
        <v>6921</v>
      </c>
      <c r="M116" s="237" t="s">
        <v>7427</v>
      </c>
      <c r="N116" s="237" t="s">
        <v>7428</v>
      </c>
      <c r="O116" s="237" t="s">
        <v>7429</v>
      </c>
      <c r="P116" s="237" t="s">
        <v>7157</v>
      </c>
      <c r="Q116" s="237" t="s">
        <v>7430</v>
      </c>
      <c r="R116" s="237" t="s">
        <v>7031</v>
      </c>
    </row>
    <row r="117">
      <c r="G117" s="232">
        <v>115.0</v>
      </c>
      <c r="H117" s="237" t="s">
        <v>6918</v>
      </c>
      <c r="I117" s="237" t="s">
        <v>7431</v>
      </c>
      <c r="J117" s="233">
        <v>4.0</v>
      </c>
      <c r="K117" s="237" t="s">
        <v>7432</v>
      </c>
      <c r="L117" s="237" t="s">
        <v>6921</v>
      </c>
      <c r="M117" s="237" t="s">
        <v>7433</v>
      </c>
      <c r="N117" s="237" t="s">
        <v>7434</v>
      </c>
      <c r="O117" s="237" t="s">
        <v>7435</v>
      </c>
      <c r="P117" s="237" t="s">
        <v>6928</v>
      </c>
      <c r="Q117" s="237" t="s">
        <v>7436</v>
      </c>
      <c r="R117" s="237" t="s">
        <v>7308</v>
      </c>
    </row>
    <row r="118">
      <c r="G118" s="232">
        <v>116.0</v>
      </c>
      <c r="H118" s="237" t="s">
        <v>6918</v>
      </c>
      <c r="I118" s="237" t="s">
        <v>7431</v>
      </c>
      <c r="J118" s="233">
        <v>4.0</v>
      </c>
      <c r="K118" s="237" t="s">
        <v>7437</v>
      </c>
      <c r="L118" s="237" t="s">
        <v>6933</v>
      </c>
      <c r="M118" s="237" t="s">
        <v>7438</v>
      </c>
      <c r="N118" s="237" t="s">
        <v>487</v>
      </c>
      <c r="O118" s="237" t="s">
        <v>7439</v>
      </c>
      <c r="P118" s="237" t="s">
        <v>7157</v>
      </c>
      <c r="Q118" s="237" t="s">
        <v>7440</v>
      </c>
      <c r="R118" s="237" t="s">
        <v>7031</v>
      </c>
    </row>
    <row r="119">
      <c r="G119" s="232">
        <v>117.0</v>
      </c>
      <c r="H119" s="237" t="s">
        <v>6918</v>
      </c>
      <c r="I119" s="237" t="s">
        <v>7431</v>
      </c>
      <c r="J119" s="233">
        <v>4.0</v>
      </c>
      <c r="K119" s="237" t="s">
        <v>7441</v>
      </c>
      <c r="L119" s="237" t="s">
        <v>7239</v>
      </c>
      <c r="M119" s="237" t="s">
        <v>7442</v>
      </c>
      <c r="N119" s="237" t="s">
        <v>487</v>
      </c>
      <c r="O119" s="237" t="s">
        <v>7443</v>
      </c>
      <c r="P119" s="237" t="s">
        <v>7157</v>
      </c>
      <c r="Q119" s="237" t="s">
        <v>7444</v>
      </c>
      <c r="R119" s="237" t="s">
        <v>7031</v>
      </c>
    </row>
    <row r="120">
      <c r="G120" s="232">
        <v>118.0</v>
      </c>
      <c r="H120" s="237" t="s">
        <v>6918</v>
      </c>
      <c r="I120" s="237" t="s">
        <v>7431</v>
      </c>
      <c r="J120" s="233">
        <v>4.0</v>
      </c>
      <c r="K120" s="237" t="s">
        <v>7445</v>
      </c>
      <c r="L120" s="237" t="s">
        <v>6921</v>
      </c>
      <c r="M120" s="237" t="s">
        <v>7446</v>
      </c>
      <c r="N120" s="237" t="s">
        <v>487</v>
      </c>
      <c r="O120" s="237" t="s">
        <v>7447</v>
      </c>
      <c r="P120" s="237" t="s">
        <v>7157</v>
      </c>
      <c r="Q120" s="237" t="s">
        <v>7448</v>
      </c>
      <c r="R120" s="237" t="s">
        <v>7031</v>
      </c>
    </row>
    <row r="121">
      <c r="G121" s="232">
        <v>119.0</v>
      </c>
      <c r="H121" s="237" t="s">
        <v>6918</v>
      </c>
      <c r="I121" s="237" t="s">
        <v>7431</v>
      </c>
      <c r="J121" s="233">
        <v>4.0</v>
      </c>
      <c r="K121" s="237" t="s">
        <v>3738</v>
      </c>
      <c r="L121" s="237" t="s">
        <v>7239</v>
      </c>
      <c r="M121" s="237" t="s">
        <v>7449</v>
      </c>
      <c r="N121" s="237" t="s">
        <v>487</v>
      </c>
      <c r="O121" s="237" t="s">
        <v>7450</v>
      </c>
      <c r="P121" s="237" t="s">
        <v>7048</v>
      </c>
      <c r="Q121" s="237" t="s">
        <v>7451</v>
      </c>
      <c r="R121" s="237" t="s">
        <v>7050</v>
      </c>
    </row>
    <row r="122">
      <c r="G122" s="232">
        <v>120.0</v>
      </c>
      <c r="H122" s="237" t="s">
        <v>6918</v>
      </c>
      <c r="I122" s="237" t="s">
        <v>7366</v>
      </c>
      <c r="J122" s="233">
        <v>4.0</v>
      </c>
      <c r="K122" s="237" t="s">
        <v>7452</v>
      </c>
      <c r="L122" s="237" t="s">
        <v>7239</v>
      </c>
      <c r="M122" s="237" t="s">
        <v>7453</v>
      </c>
      <c r="N122" s="237" t="s">
        <v>7454</v>
      </c>
      <c r="O122" s="237" t="s">
        <v>7455</v>
      </c>
      <c r="P122" s="237" t="s">
        <v>6937</v>
      </c>
      <c r="Q122" s="237" t="s">
        <v>7456</v>
      </c>
      <c r="R122" s="237" t="s">
        <v>6946</v>
      </c>
    </row>
    <row r="123">
      <c r="G123" s="232">
        <v>121.0</v>
      </c>
      <c r="H123" s="237" t="s">
        <v>6918</v>
      </c>
      <c r="I123" s="237" t="s">
        <v>7425</v>
      </c>
      <c r="J123" s="233">
        <v>4.0</v>
      </c>
      <c r="K123" s="237" t="s">
        <v>7457</v>
      </c>
      <c r="L123" s="237" t="s">
        <v>7239</v>
      </c>
      <c r="M123" s="237" t="s">
        <v>7458</v>
      </c>
      <c r="N123" s="237" t="s">
        <v>7459</v>
      </c>
      <c r="O123" s="237" t="s">
        <v>7460</v>
      </c>
      <c r="P123" s="237" t="s">
        <v>6928</v>
      </c>
      <c r="Q123" s="237" t="s">
        <v>7461</v>
      </c>
      <c r="R123" s="237" t="s">
        <v>7301</v>
      </c>
    </row>
    <row r="124">
      <c r="G124" s="232">
        <v>122.0</v>
      </c>
      <c r="H124" s="237" t="s">
        <v>6918</v>
      </c>
      <c r="I124" s="237" t="s">
        <v>7462</v>
      </c>
      <c r="J124" s="233">
        <v>4.0</v>
      </c>
      <c r="K124" s="237" t="s">
        <v>7463</v>
      </c>
      <c r="L124" s="237" t="s">
        <v>7239</v>
      </c>
      <c r="M124" s="237" t="s">
        <v>7464</v>
      </c>
      <c r="N124" s="237" t="s">
        <v>7459</v>
      </c>
      <c r="O124" s="237" t="s">
        <v>7465</v>
      </c>
      <c r="P124" s="237" t="s">
        <v>6937</v>
      </c>
      <c r="Q124" s="237" t="s">
        <v>7466</v>
      </c>
      <c r="R124" s="237" t="s">
        <v>7291</v>
      </c>
    </row>
    <row r="125">
      <c r="G125" s="232">
        <v>123.0</v>
      </c>
      <c r="H125" s="237" t="s">
        <v>6918</v>
      </c>
      <c r="I125" s="237" t="s">
        <v>7425</v>
      </c>
      <c r="J125" s="233">
        <v>4.0</v>
      </c>
      <c r="K125" s="237" t="s">
        <v>7467</v>
      </c>
      <c r="L125" s="237" t="s">
        <v>6921</v>
      </c>
      <c r="M125" s="237" t="s">
        <v>7468</v>
      </c>
      <c r="N125" s="237" t="s">
        <v>7469</v>
      </c>
      <c r="O125" s="237" t="s">
        <v>7470</v>
      </c>
      <c r="P125" s="237" t="s">
        <v>6928</v>
      </c>
      <c r="Q125" s="237" t="s">
        <v>7471</v>
      </c>
      <c r="R125" s="237" t="s">
        <v>7291</v>
      </c>
    </row>
    <row r="126">
      <c r="G126" s="232">
        <v>124.0</v>
      </c>
      <c r="H126" s="237" t="s">
        <v>6918</v>
      </c>
      <c r="I126" s="237" t="s">
        <v>7425</v>
      </c>
      <c r="J126" s="233">
        <v>4.0</v>
      </c>
      <c r="K126" s="237" t="s">
        <v>7472</v>
      </c>
      <c r="L126" s="237" t="s">
        <v>6921</v>
      </c>
      <c r="M126" s="237" t="s">
        <v>7473</v>
      </c>
      <c r="N126" s="237" t="s">
        <v>7469</v>
      </c>
      <c r="O126" s="237" t="s">
        <v>7474</v>
      </c>
      <c r="P126" s="237" t="s">
        <v>6928</v>
      </c>
      <c r="Q126" s="237" t="s">
        <v>7475</v>
      </c>
      <c r="R126" s="237" t="s">
        <v>7291</v>
      </c>
    </row>
    <row r="127">
      <c r="G127" s="232">
        <v>125.0</v>
      </c>
      <c r="H127" s="237" t="s">
        <v>6918</v>
      </c>
      <c r="I127" s="237" t="s">
        <v>7462</v>
      </c>
      <c r="J127" s="233">
        <v>4.0</v>
      </c>
      <c r="K127" s="237" t="s">
        <v>7476</v>
      </c>
      <c r="L127" s="237" t="s">
        <v>6921</v>
      </c>
      <c r="M127" s="237" t="s">
        <v>7477</v>
      </c>
      <c r="N127" s="237" t="s">
        <v>7469</v>
      </c>
      <c r="O127" s="237" t="s">
        <v>7478</v>
      </c>
      <c r="P127" s="237" t="s">
        <v>7357</v>
      </c>
      <c r="Q127" s="237" t="s">
        <v>7479</v>
      </c>
      <c r="R127" s="237" t="s">
        <v>7031</v>
      </c>
    </row>
    <row r="128">
      <c r="G128" s="232">
        <v>126.0</v>
      </c>
      <c r="H128" s="237" t="s">
        <v>6918</v>
      </c>
      <c r="I128" s="237" t="s">
        <v>7462</v>
      </c>
      <c r="J128" s="233">
        <v>4.0</v>
      </c>
      <c r="K128" s="237" t="s">
        <v>7480</v>
      </c>
      <c r="L128" s="237" t="s">
        <v>6921</v>
      </c>
      <c r="M128" s="237" t="s">
        <v>7481</v>
      </c>
      <c r="N128" s="237" t="s">
        <v>7469</v>
      </c>
      <c r="O128" s="237" t="s">
        <v>7482</v>
      </c>
      <c r="P128" s="237" t="s">
        <v>7048</v>
      </c>
      <c r="Q128" s="237" t="s">
        <v>7483</v>
      </c>
      <c r="R128" s="237" t="s">
        <v>7050</v>
      </c>
    </row>
    <row r="129">
      <c r="G129" s="232">
        <v>127.0</v>
      </c>
      <c r="H129" s="237" t="s">
        <v>6918</v>
      </c>
      <c r="I129" s="237" t="s">
        <v>7425</v>
      </c>
      <c r="J129" s="233">
        <v>4.0</v>
      </c>
      <c r="K129" s="237" t="s">
        <v>7484</v>
      </c>
      <c r="L129" s="237" t="s">
        <v>6921</v>
      </c>
      <c r="M129" s="237" t="s">
        <v>7485</v>
      </c>
      <c r="N129" s="237" t="s">
        <v>4265</v>
      </c>
      <c r="O129" s="237" t="s">
        <v>7486</v>
      </c>
      <c r="P129" s="237" t="s">
        <v>6937</v>
      </c>
      <c r="Q129" s="237" t="s">
        <v>7487</v>
      </c>
      <c r="R129" s="237" t="s">
        <v>6939</v>
      </c>
    </row>
    <row r="130">
      <c r="G130" s="232">
        <v>128.0</v>
      </c>
      <c r="H130" s="237" t="s">
        <v>6918</v>
      </c>
      <c r="I130" s="237" t="s">
        <v>7425</v>
      </c>
      <c r="J130" s="233">
        <v>4.0</v>
      </c>
      <c r="K130" s="237" t="s">
        <v>4262</v>
      </c>
      <c r="L130" s="237" t="s">
        <v>6921</v>
      </c>
      <c r="M130" s="237" t="s">
        <v>7488</v>
      </c>
      <c r="N130" s="237" t="s">
        <v>4265</v>
      </c>
      <c r="O130" s="237" t="s">
        <v>7489</v>
      </c>
      <c r="P130" s="237" t="s">
        <v>6928</v>
      </c>
      <c r="Q130" s="237" t="s">
        <v>7490</v>
      </c>
      <c r="R130" s="237" t="s">
        <v>6930</v>
      </c>
    </row>
    <row r="131">
      <c r="G131" s="232">
        <v>129.0</v>
      </c>
      <c r="H131" s="237" t="s">
        <v>6918</v>
      </c>
      <c r="I131" s="237" t="s">
        <v>7425</v>
      </c>
      <c r="J131" s="233">
        <v>4.0</v>
      </c>
      <c r="K131" s="237" t="s">
        <v>7491</v>
      </c>
      <c r="L131" s="237" t="s">
        <v>6921</v>
      </c>
      <c r="M131" s="237" t="s">
        <v>7492</v>
      </c>
      <c r="N131" s="237" t="s">
        <v>4265</v>
      </c>
      <c r="O131" s="237" t="s">
        <v>7493</v>
      </c>
      <c r="P131" s="237" t="s">
        <v>7048</v>
      </c>
      <c r="Q131" s="237" t="s">
        <v>7494</v>
      </c>
      <c r="R131" s="237" t="s">
        <v>7050</v>
      </c>
    </row>
    <row r="132">
      <c r="G132" s="232">
        <v>130.0</v>
      </c>
      <c r="H132" s="237" t="s">
        <v>6918</v>
      </c>
      <c r="I132" s="237" t="s">
        <v>7425</v>
      </c>
      <c r="J132" s="233">
        <v>4.0</v>
      </c>
      <c r="K132" s="237" t="s">
        <v>7495</v>
      </c>
      <c r="L132" s="237" t="s">
        <v>6921</v>
      </c>
      <c r="M132" s="237" t="s">
        <v>7496</v>
      </c>
      <c r="N132" s="237" t="s">
        <v>7497</v>
      </c>
      <c r="O132" s="237" t="s">
        <v>7498</v>
      </c>
      <c r="P132" s="237" t="s">
        <v>6928</v>
      </c>
      <c r="Q132" s="237" t="s">
        <v>7499</v>
      </c>
      <c r="R132" s="237" t="s">
        <v>6930</v>
      </c>
    </row>
    <row r="133">
      <c r="G133" s="232">
        <v>131.0</v>
      </c>
      <c r="H133" s="237" t="s">
        <v>6918</v>
      </c>
      <c r="I133" s="237" t="s">
        <v>7425</v>
      </c>
      <c r="J133" s="233">
        <v>4.0</v>
      </c>
      <c r="K133" s="237" t="s">
        <v>7500</v>
      </c>
      <c r="L133" s="237" t="s">
        <v>6921</v>
      </c>
      <c r="M133" s="237" t="s">
        <v>7501</v>
      </c>
      <c r="N133" s="237" t="s">
        <v>7502</v>
      </c>
      <c r="O133" s="237" t="s">
        <v>7503</v>
      </c>
      <c r="P133" s="237" t="s">
        <v>6928</v>
      </c>
      <c r="Q133" s="237" t="s">
        <v>7504</v>
      </c>
      <c r="R133" s="237" t="s">
        <v>7055</v>
      </c>
    </row>
    <row r="134">
      <c r="G134" s="232">
        <v>132.0</v>
      </c>
      <c r="H134" s="237" t="s">
        <v>7505</v>
      </c>
      <c r="I134" s="237" t="s">
        <v>7415</v>
      </c>
      <c r="J134" s="233">
        <v>4.0</v>
      </c>
      <c r="K134" s="237" t="s">
        <v>5067</v>
      </c>
      <c r="L134" s="237" t="s">
        <v>7239</v>
      </c>
      <c r="M134" s="237" t="s">
        <v>7506</v>
      </c>
      <c r="N134" s="237" t="s">
        <v>5069</v>
      </c>
      <c r="O134" s="237" t="s">
        <v>7507</v>
      </c>
      <c r="P134" s="237" t="s">
        <v>7005</v>
      </c>
      <c r="Q134" s="237" t="s">
        <v>7508</v>
      </c>
      <c r="R134" s="237" t="s">
        <v>6952</v>
      </c>
    </row>
    <row r="135">
      <c r="G135" s="232">
        <v>133.0</v>
      </c>
      <c r="H135" s="237" t="s">
        <v>7124</v>
      </c>
      <c r="I135" s="237" t="s">
        <v>7415</v>
      </c>
      <c r="J135" s="233">
        <v>4.0</v>
      </c>
      <c r="K135" s="237" t="s">
        <v>3549</v>
      </c>
      <c r="L135" s="237" t="s">
        <v>6933</v>
      </c>
      <c r="M135" s="237" t="s">
        <v>7509</v>
      </c>
      <c r="N135" s="237" t="s">
        <v>1167</v>
      </c>
      <c r="O135" s="237" t="s">
        <v>7510</v>
      </c>
      <c r="P135" s="237" t="s">
        <v>7048</v>
      </c>
      <c r="Q135" s="237" t="s">
        <v>7511</v>
      </c>
      <c r="R135" s="237" t="s">
        <v>7050</v>
      </c>
    </row>
    <row r="136">
      <c r="G136" s="232">
        <v>134.0</v>
      </c>
      <c r="H136" s="237" t="s">
        <v>7124</v>
      </c>
      <c r="I136" s="237" t="s">
        <v>7512</v>
      </c>
      <c r="J136" s="233">
        <v>4.0</v>
      </c>
      <c r="K136" s="237" t="s">
        <v>3450</v>
      </c>
      <c r="L136" s="237" t="s">
        <v>6921</v>
      </c>
      <c r="M136" s="237" t="s">
        <v>7513</v>
      </c>
      <c r="N136" s="237" t="s">
        <v>7514</v>
      </c>
      <c r="O136" s="237" t="s">
        <v>7515</v>
      </c>
      <c r="P136" s="237" t="s">
        <v>7070</v>
      </c>
      <c r="Q136" s="237"/>
      <c r="R136" s="231"/>
    </row>
    <row r="137">
      <c r="G137" s="232">
        <v>135.0</v>
      </c>
      <c r="H137" s="237" t="s">
        <v>7124</v>
      </c>
      <c r="I137" s="237" t="s">
        <v>7512</v>
      </c>
      <c r="J137" s="233">
        <v>4.0</v>
      </c>
      <c r="K137" s="237" t="s">
        <v>948</v>
      </c>
      <c r="L137" s="237" t="s">
        <v>6933</v>
      </c>
      <c r="M137" s="237" t="s">
        <v>7516</v>
      </c>
      <c r="N137" s="237" t="s">
        <v>7514</v>
      </c>
      <c r="O137" s="237" t="s">
        <v>7517</v>
      </c>
      <c r="P137" s="237" t="s">
        <v>7070</v>
      </c>
      <c r="Q137" s="237"/>
      <c r="R137" s="231"/>
    </row>
    <row r="138">
      <c r="G138" s="232">
        <v>136.0</v>
      </c>
      <c r="H138" s="237" t="s">
        <v>7518</v>
      </c>
      <c r="I138" s="237" t="s">
        <v>7415</v>
      </c>
      <c r="J138" s="233">
        <v>4.0</v>
      </c>
      <c r="K138" s="237" t="s">
        <v>7519</v>
      </c>
      <c r="L138" s="237" t="s">
        <v>6933</v>
      </c>
      <c r="M138" s="237" t="s">
        <v>7520</v>
      </c>
      <c r="N138" s="237" t="s">
        <v>3953</v>
      </c>
      <c r="O138" s="237" t="s">
        <v>7521</v>
      </c>
      <c r="P138" s="237" t="s">
        <v>6928</v>
      </c>
      <c r="Q138" s="237" t="s">
        <v>7522</v>
      </c>
      <c r="R138" s="237" t="s">
        <v>6930</v>
      </c>
    </row>
    <row r="139">
      <c r="G139" s="232">
        <v>137.0</v>
      </c>
      <c r="H139" s="237" t="s">
        <v>7523</v>
      </c>
      <c r="I139" s="237" t="s">
        <v>7524</v>
      </c>
      <c r="J139" s="233">
        <v>4.0</v>
      </c>
      <c r="K139" s="237" t="s">
        <v>7525</v>
      </c>
      <c r="L139" s="237" t="s">
        <v>6921</v>
      </c>
      <c r="M139" s="237" t="s">
        <v>7526</v>
      </c>
      <c r="N139" s="237" t="s">
        <v>7264</v>
      </c>
      <c r="O139" s="237" t="s">
        <v>7527</v>
      </c>
      <c r="P139" s="237" t="s">
        <v>6928</v>
      </c>
      <c r="Q139" s="237" t="s">
        <v>7528</v>
      </c>
      <c r="R139" s="237" t="s">
        <v>7291</v>
      </c>
    </row>
    <row r="140">
      <c r="G140" s="232">
        <v>138.0</v>
      </c>
      <c r="H140" s="237" t="s">
        <v>7523</v>
      </c>
      <c r="I140" s="237" t="s">
        <v>7524</v>
      </c>
      <c r="J140" s="233">
        <v>4.0</v>
      </c>
      <c r="K140" s="237" t="s">
        <v>7529</v>
      </c>
      <c r="L140" s="237" t="s">
        <v>6921</v>
      </c>
      <c r="M140" s="237" t="s">
        <v>7530</v>
      </c>
      <c r="N140" s="237" t="s">
        <v>7531</v>
      </c>
      <c r="O140" s="237" t="s">
        <v>7532</v>
      </c>
      <c r="P140" s="237" t="s">
        <v>6928</v>
      </c>
      <c r="Q140" s="237"/>
      <c r="R140" s="231"/>
    </row>
    <row r="141">
      <c r="G141" s="232">
        <v>139.0</v>
      </c>
      <c r="H141" s="237" t="s">
        <v>7523</v>
      </c>
      <c r="I141" s="237" t="s">
        <v>7524</v>
      </c>
      <c r="J141" s="233">
        <v>4.0</v>
      </c>
      <c r="K141" s="237" t="s">
        <v>7533</v>
      </c>
      <c r="L141" s="237" t="s">
        <v>6921</v>
      </c>
      <c r="M141" s="237" t="s">
        <v>7534</v>
      </c>
      <c r="N141" s="237" t="s">
        <v>624</v>
      </c>
      <c r="O141" s="237" t="s">
        <v>7535</v>
      </c>
      <c r="P141" s="237" t="s">
        <v>6928</v>
      </c>
      <c r="Q141" s="237" t="s">
        <v>7536</v>
      </c>
      <c r="R141" s="237" t="s">
        <v>6930</v>
      </c>
    </row>
    <row r="142">
      <c r="G142" s="232">
        <v>140.0</v>
      </c>
      <c r="H142" s="237" t="s">
        <v>7523</v>
      </c>
      <c r="I142" s="237" t="s">
        <v>7524</v>
      </c>
      <c r="J142" s="233">
        <v>4.0</v>
      </c>
      <c r="K142" s="237" t="s">
        <v>7537</v>
      </c>
      <c r="L142" s="237" t="s">
        <v>6921</v>
      </c>
      <c r="M142" s="237" t="s">
        <v>7538</v>
      </c>
      <c r="N142" s="237" t="s">
        <v>1291</v>
      </c>
      <c r="O142" s="237" t="s">
        <v>7539</v>
      </c>
      <c r="P142" s="237" t="s">
        <v>6928</v>
      </c>
      <c r="Q142" s="237" t="s">
        <v>7540</v>
      </c>
      <c r="R142" s="237" t="s">
        <v>7173</v>
      </c>
    </row>
    <row r="143">
      <c r="G143" s="232">
        <v>141.0</v>
      </c>
      <c r="H143" s="237" t="s">
        <v>6918</v>
      </c>
      <c r="I143" s="237" t="s">
        <v>7358</v>
      </c>
      <c r="J143" s="233">
        <v>5.0</v>
      </c>
      <c r="K143" s="237" t="s">
        <v>7541</v>
      </c>
      <c r="L143" s="237" t="s">
        <v>6921</v>
      </c>
      <c r="M143" s="237" t="s">
        <v>7542</v>
      </c>
      <c r="N143" s="237" t="s">
        <v>7543</v>
      </c>
      <c r="O143" s="237" t="s">
        <v>7544</v>
      </c>
      <c r="P143" s="237" t="s">
        <v>7545</v>
      </c>
      <c r="Q143" s="237"/>
      <c r="R143" s="231"/>
    </row>
    <row r="144">
      <c r="G144" s="232">
        <v>142.0</v>
      </c>
      <c r="H144" s="237" t="s">
        <v>7546</v>
      </c>
      <c r="I144" s="237" t="s">
        <v>7547</v>
      </c>
      <c r="J144" s="233">
        <v>5.0</v>
      </c>
      <c r="K144" s="237" t="s">
        <v>7548</v>
      </c>
      <c r="L144" s="237" t="s">
        <v>6921</v>
      </c>
      <c r="M144" s="237" t="s">
        <v>7549</v>
      </c>
      <c r="N144" s="237" t="s">
        <v>7550</v>
      </c>
      <c r="O144" s="237" t="s">
        <v>7551</v>
      </c>
      <c r="P144" s="237" t="s">
        <v>7552</v>
      </c>
      <c r="Q144" s="237" t="s">
        <v>7553</v>
      </c>
      <c r="R144" s="237" t="s">
        <v>7012</v>
      </c>
    </row>
    <row r="145">
      <c r="G145" s="232">
        <v>143.0</v>
      </c>
      <c r="H145" s="237" t="s">
        <v>7546</v>
      </c>
      <c r="I145" s="237" t="s">
        <v>7547</v>
      </c>
      <c r="J145" s="233">
        <v>5.0</v>
      </c>
      <c r="K145" s="237" t="s">
        <v>3094</v>
      </c>
      <c r="L145" s="237" t="s">
        <v>6921</v>
      </c>
      <c r="M145" s="237" t="s">
        <v>7554</v>
      </c>
      <c r="N145" s="237" t="s">
        <v>3096</v>
      </c>
      <c r="O145" s="237" t="s">
        <v>7555</v>
      </c>
      <c r="P145" s="237" t="s">
        <v>7186</v>
      </c>
      <c r="Q145" s="237" t="s">
        <v>7556</v>
      </c>
      <c r="R145" s="237" t="s">
        <v>7136</v>
      </c>
    </row>
    <row r="146">
      <c r="G146" s="232">
        <v>144.0</v>
      </c>
      <c r="H146" s="237" t="s">
        <v>7385</v>
      </c>
      <c r="I146" s="237" t="s">
        <v>7547</v>
      </c>
      <c r="J146" s="233">
        <v>5.0</v>
      </c>
      <c r="K146" s="237" t="s">
        <v>3098</v>
      </c>
      <c r="L146" s="237" t="s">
        <v>6921</v>
      </c>
      <c r="M146" s="237" t="s">
        <v>7557</v>
      </c>
      <c r="N146" s="237" t="s">
        <v>3096</v>
      </c>
      <c r="O146" s="237" t="s">
        <v>7558</v>
      </c>
      <c r="P146" s="237" t="s">
        <v>7157</v>
      </c>
      <c r="Q146" s="237" t="s">
        <v>7559</v>
      </c>
      <c r="R146" s="237" t="s">
        <v>7031</v>
      </c>
    </row>
    <row r="147">
      <c r="G147" s="232">
        <v>145.0</v>
      </c>
      <c r="H147" s="237" t="s">
        <v>7546</v>
      </c>
      <c r="I147" s="237" t="s">
        <v>7547</v>
      </c>
      <c r="J147" s="233">
        <v>5.0</v>
      </c>
      <c r="K147" s="237" t="s">
        <v>1596</v>
      </c>
      <c r="L147" s="237" t="s">
        <v>6921</v>
      </c>
      <c r="M147" s="237" t="s">
        <v>7560</v>
      </c>
      <c r="N147" s="237" t="s">
        <v>3175</v>
      </c>
      <c r="O147" s="237" t="s">
        <v>7561</v>
      </c>
      <c r="P147" s="237" t="s">
        <v>6928</v>
      </c>
      <c r="Q147" s="237" t="s">
        <v>7562</v>
      </c>
      <c r="R147" s="237" t="s">
        <v>7055</v>
      </c>
    </row>
    <row r="148">
      <c r="G148" s="232">
        <v>146.0</v>
      </c>
      <c r="H148" s="237" t="s">
        <v>7546</v>
      </c>
      <c r="I148" s="237" t="s">
        <v>7547</v>
      </c>
      <c r="J148" s="233">
        <v>5.0</v>
      </c>
      <c r="K148" s="237" t="s">
        <v>7563</v>
      </c>
      <c r="L148" s="237" t="s">
        <v>6921</v>
      </c>
      <c r="M148" s="237" t="s">
        <v>7564</v>
      </c>
      <c r="N148" s="237" t="s">
        <v>3175</v>
      </c>
      <c r="O148" s="237" t="s">
        <v>7565</v>
      </c>
      <c r="P148" s="237" t="s">
        <v>7566</v>
      </c>
      <c r="Q148" s="237" t="s">
        <v>7567</v>
      </c>
      <c r="R148" s="237" t="s">
        <v>7031</v>
      </c>
    </row>
    <row r="149">
      <c r="G149" s="232">
        <v>147.0</v>
      </c>
      <c r="H149" s="237" t="s">
        <v>7546</v>
      </c>
      <c r="I149" s="237" t="s">
        <v>7547</v>
      </c>
      <c r="J149" s="233">
        <v>5.0</v>
      </c>
      <c r="K149" s="237" t="s">
        <v>3173</v>
      </c>
      <c r="L149" s="237" t="s">
        <v>6933</v>
      </c>
      <c r="M149" s="237" t="s">
        <v>7568</v>
      </c>
      <c r="N149" s="237" t="s">
        <v>3175</v>
      </c>
      <c r="O149" s="237" t="s">
        <v>7569</v>
      </c>
      <c r="P149" s="237" t="s">
        <v>7157</v>
      </c>
      <c r="Q149" s="237" t="s">
        <v>7570</v>
      </c>
      <c r="R149" s="237" t="s">
        <v>7414</v>
      </c>
    </row>
    <row r="150">
      <c r="G150" s="232">
        <v>148.0</v>
      </c>
      <c r="H150" s="237" t="s">
        <v>7385</v>
      </c>
      <c r="I150" s="237" t="s">
        <v>7547</v>
      </c>
      <c r="J150" s="233">
        <v>5.0</v>
      </c>
      <c r="K150" s="237" t="s">
        <v>7571</v>
      </c>
      <c r="L150" s="237" t="s">
        <v>6921</v>
      </c>
      <c r="M150" s="237" t="s">
        <v>7572</v>
      </c>
      <c r="N150" s="237" t="s">
        <v>3175</v>
      </c>
      <c r="O150" s="237" t="s">
        <v>7573</v>
      </c>
      <c r="P150" s="237" t="s">
        <v>7048</v>
      </c>
      <c r="Q150" s="237" t="s">
        <v>7574</v>
      </c>
      <c r="R150" s="237" t="s">
        <v>7012</v>
      </c>
    </row>
    <row r="151">
      <c r="G151" s="232">
        <v>149.0</v>
      </c>
      <c r="H151" s="237" t="s">
        <v>7575</v>
      </c>
      <c r="I151" s="237" t="s">
        <v>7547</v>
      </c>
      <c r="J151" s="233">
        <v>5.0</v>
      </c>
      <c r="K151" s="237" t="s">
        <v>3618</v>
      </c>
      <c r="L151" s="237" t="s">
        <v>6921</v>
      </c>
      <c r="M151" s="237" t="s">
        <v>7576</v>
      </c>
      <c r="N151" s="237" t="s">
        <v>3175</v>
      </c>
      <c r="O151" s="237"/>
      <c r="P151" s="231"/>
      <c r="Q151" s="237" t="s">
        <v>7577</v>
      </c>
      <c r="R151" s="237" t="s">
        <v>7414</v>
      </c>
    </row>
    <row r="152">
      <c r="G152" s="232">
        <v>150.0</v>
      </c>
      <c r="H152" s="237" t="s">
        <v>7546</v>
      </c>
      <c r="I152" s="237" t="s">
        <v>7547</v>
      </c>
      <c r="J152" s="233">
        <v>5.0</v>
      </c>
      <c r="K152" s="237" t="s">
        <v>7578</v>
      </c>
      <c r="L152" s="237" t="s">
        <v>6921</v>
      </c>
      <c r="M152" s="237" t="s">
        <v>7579</v>
      </c>
      <c r="N152" s="237" t="s">
        <v>154</v>
      </c>
      <c r="O152" s="237" t="s">
        <v>7580</v>
      </c>
      <c r="P152" s="237" t="s">
        <v>7157</v>
      </c>
      <c r="Q152" s="237" t="s">
        <v>7581</v>
      </c>
      <c r="R152" s="237" t="s">
        <v>7031</v>
      </c>
    </row>
    <row r="153">
      <c r="G153" s="232">
        <v>151.0</v>
      </c>
      <c r="H153" s="237" t="s">
        <v>7405</v>
      </c>
      <c r="I153" s="237" t="s">
        <v>7547</v>
      </c>
      <c r="J153" s="233">
        <v>5.0</v>
      </c>
      <c r="K153" s="237" t="s">
        <v>7582</v>
      </c>
      <c r="L153" s="237" t="s">
        <v>6933</v>
      </c>
      <c r="M153" s="237" t="s">
        <v>7583</v>
      </c>
      <c r="N153" s="237" t="s">
        <v>154</v>
      </c>
      <c r="O153" s="237" t="s">
        <v>7584</v>
      </c>
      <c r="P153" s="237" t="s">
        <v>7375</v>
      </c>
      <c r="Q153" s="237" t="s">
        <v>7585</v>
      </c>
      <c r="R153" s="237" t="s">
        <v>7055</v>
      </c>
    </row>
    <row r="154">
      <c r="G154" s="232">
        <v>152.0</v>
      </c>
      <c r="H154" s="237" t="s">
        <v>7575</v>
      </c>
      <c r="I154" s="237" t="s">
        <v>7547</v>
      </c>
      <c r="J154" s="233">
        <v>5.0</v>
      </c>
      <c r="K154" s="237" t="s">
        <v>7586</v>
      </c>
      <c r="L154" s="237" t="s">
        <v>6921</v>
      </c>
      <c r="M154" s="237" t="s">
        <v>7587</v>
      </c>
      <c r="N154" s="237" t="s">
        <v>154</v>
      </c>
      <c r="O154" s="237" t="s">
        <v>7588</v>
      </c>
      <c r="P154" s="237" t="s">
        <v>7157</v>
      </c>
      <c r="Q154" s="237" t="s">
        <v>7589</v>
      </c>
      <c r="R154" s="237" t="s">
        <v>7414</v>
      </c>
    </row>
    <row r="155">
      <c r="G155" s="232">
        <v>153.0</v>
      </c>
      <c r="H155" s="237" t="s">
        <v>7590</v>
      </c>
      <c r="I155" s="237" t="s">
        <v>7547</v>
      </c>
      <c r="J155" s="233">
        <v>5.0</v>
      </c>
      <c r="K155" s="237" t="s">
        <v>7591</v>
      </c>
      <c r="L155" s="237" t="s">
        <v>6921</v>
      </c>
      <c r="M155" s="237" t="s">
        <v>7592</v>
      </c>
      <c r="N155" s="237" t="s">
        <v>624</v>
      </c>
      <c r="O155" s="237"/>
      <c r="P155" s="231"/>
      <c r="Q155" s="237" t="s">
        <v>7593</v>
      </c>
      <c r="R155" s="237" t="s">
        <v>7031</v>
      </c>
    </row>
    <row r="156">
      <c r="G156" s="232">
        <v>154.0</v>
      </c>
      <c r="H156" s="237" t="s">
        <v>7546</v>
      </c>
      <c r="I156" s="237" t="s">
        <v>7547</v>
      </c>
      <c r="J156" s="233">
        <v>5.0</v>
      </c>
      <c r="K156" s="237" t="s">
        <v>3801</v>
      </c>
      <c r="L156" s="237" t="s">
        <v>6921</v>
      </c>
      <c r="M156" s="237" t="s">
        <v>7594</v>
      </c>
      <c r="N156" s="237" t="s">
        <v>624</v>
      </c>
      <c r="O156" s="237" t="s">
        <v>7595</v>
      </c>
      <c r="P156" s="237" t="s">
        <v>7048</v>
      </c>
      <c r="Q156" s="237" t="s">
        <v>7596</v>
      </c>
      <c r="R156" s="237" t="s">
        <v>7050</v>
      </c>
    </row>
    <row r="157">
      <c r="G157" s="232">
        <v>155.0</v>
      </c>
      <c r="H157" s="237" t="s">
        <v>7400</v>
      </c>
      <c r="I157" s="237" t="s">
        <v>7547</v>
      </c>
      <c r="J157" s="233">
        <v>5.0</v>
      </c>
      <c r="K157" s="237" t="s">
        <v>5143</v>
      </c>
      <c r="L157" s="237" t="s">
        <v>6921</v>
      </c>
      <c r="M157" s="237" t="s">
        <v>7597</v>
      </c>
      <c r="N157" s="237" t="s">
        <v>624</v>
      </c>
      <c r="O157" s="237" t="s">
        <v>7201</v>
      </c>
      <c r="P157" s="237" t="s">
        <v>7048</v>
      </c>
      <c r="Q157" s="237" t="s">
        <v>7202</v>
      </c>
      <c r="R157" s="237" t="s">
        <v>7050</v>
      </c>
    </row>
    <row r="158">
      <c r="G158" s="232">
        <v>156.0</v>
      </c>
      <c r="H158" s="237" t="s">
        <v>7405</v>
      </c>
      <c r="I158" s="237" t="s">
        <v>7547</v>
      </c>
      <c r="J158" s="233">
        <v>5.0</v>
      </c>
      <c r="K158" s="237" t="s">
        <v>3402</v>
      </c>
      <c r="L158" s="237" t="s">
        <v>6921</v>
      </c>
      <c r="M158" s="237" t="s">
        <v>7598</v>
      </c>
      <c r="N158" s="237" t="s">
        <v>624</v>
      </c>
      <c r="O158" s="237" t="s">
        <v>7599</v>
      </c>
      <c r="P158" s="237" t="s">
        <v>6928</v>
      </c>
      <c r="Q158" s="237" t="s">
        <v>7600</v>
      </c>
      <c r="R158" s="237" t="s">
        <v>7136</v>
      </c>
    </row>
    <row r="159">
      <c r="G159" s="232">
        <v>157.0</v>
      </c>
      <c r="H159" s="237" t="s">
        <v>7546</v>
      </c>
      <c r="I159" s="237" t="s">
        <v>7547</v>
      </c>
      <c r="J159" s="233">
        <v>5.0</v>
      </c>
      <c r="K159" s="237" t="s">
        <v>7601</v>
      </c>
      <c r="L159" s="237" t="s">
        <v>6921</v>
      </c>
      <c r="M159" s="237" t="s">
        <v>7602</v>
      </c>
      <c r="N159" s="237" t="s">
        <v>2301</v>
      </c>
      <c r="O159" s="237" t="s">
        <v>7603</v>
      </c>
      <c r="P159" s="237" t="s">
        <v>6928</v>
      </c>
      <c r="Q159" s="237" t="s">
        <v>7604</v>
      </c>
      <c r="R159" s="237" t="s">
        <v>7031</v>
      </c>
    </row>
    <row r="160">
      <c r="G160" s="232">
        <v>158.0</v>
      </c>
      <c r="H160" s="237" t="s">
        <v>7546</v>
      </c>
      <c r="I160" s="237" t="s">
        <v>7547</v>
      </c>
      <c r="J160" s="233">
        <v>5.0</v>
      </c>
      <c r="K160" s="237" t="s">
        <v>7605</v>
      </c>
      <c r="L160" s="237" t="s">
        <v>6921</v>
      </c>
      <c r="M160" s="237" t="s">
        <v>7606</v>
      </c>
      <c r="N160" s="237" t="s">
        <v>2301</v>
      </c>
      <c r="O160" s="237" t="s">
        <v>7607</v>
      </c>
      <c r="P160" s="237" t="s">
        <v>7157</v>
      </c>
      <c r="Q160" s="237" t="s">
        <v>7608</v>
      </c>
      <c r="R160" s="237" t="s">
        <v>7031</v>
      </c>
    </row>
    <row r="161">
      <c r="G161" s="232">
        <v>159.0</v>
      </c>
      <c r="H161" s="237" t="s">
        <v>7546</v>
      </c>
      <c r="I161" s="237" t="s">
        <v>7547</v>
      </c>
      <c r="J161" s="233">
        <v>5.0</v>
      </c>
      <c r="K161" s="237" t="s">
        <v>3529</v>
      </c>
      <c r="L161" s="237" t="s">
        <v>6921</v>
      </c>
      <c r="M161" s="237" t="s">
        <v>7609</v>
      </c>
      <c r="N161" s="237" t="s">
        <v>2301</v>
      </c>
      <c r="O161" s="237" t="s">
        <v>7610</v>
      </c>
      <c r="P161" s="237" t="s">
        <v>7157</v>
      </c>
      <c r="Q161" s="237" t="s">
        <v>7611</v>
      </c>
      <c r="R161" s="237" t="s">
        <v>7414</v>
      </c>
    </row>
    <row r="162">
      <c r="G162" s="232">
        <v>160.0</v>
      </c>
      <c r="H162" s="237" t="s">
        <v>7546</v>
      </c>
      <c r="I162" s="237" t="s">
        <v>7547</v>
      </c>
      <c r="J162" s="233">
        <v>5.0</v>
      </c>
      <c r="K162" s="237" t="s">
        <v>7612</v>
      </c>
      <c r="L162" s="237" t="s">
        <v>6921</v>
      </c>
      <c r="M162" s="237" t="s">
        <v>7613</v>
      </c>
      <c r="N162" s="237" t="s">
        <v>2301</v>
      </c>
      <c r="O162" s="237"/>
      <c r="P162" s="231"/>
      <c r="Q162" s="237" t="s">
        <v>7614</v>
      </c>
      <c r="R162" s="237" t="s">
        <v>7136</v>
      </c>
    </row>
    <row r="163">
      <c r="G163" s="232">
        <v>161.0</v>
      </c>
      <c r="H163" s="237" t="s">
        <v>7575</v>
      </c>
      <c r="I163" s="237" t="s">
        <v>7547</v>
      </c>
      <c r="J163" s="233">
        <v>5.0</v>
      </c>
      <c r="K163" s="237" t="s">
        <v>7615</v>
      </c>
      <c r="L163" s="237" t="s">
        <v>6921</v>
      </c>
      <c r="M163" s="237" t="s">
        <v>7616</v>
      </c>
      <c r="N163" s="237" t="s">
        <v>2301</v>
      </c>
      <c r="O163" s="237" t="s">
        <v>7617</v>
      </c>
      <c r="P163" s="237" t="s">
        <v>7157</v>
      </c>
      <c r="Q163" s="237" t="s">
        <v>7618</v>
      </c>
      <c r="R163" s="237" t="s">
        <v>7031</v>
      </c>
    </row>
    <row r="164">
      <c r="G164" s="232">
        <v>162.0</v>
      </c>
      <c r="H164" s="237" t="s">
        <v>7575</v>
      </c>
      <c r="I164" s="237" t="s">
        <v>7547</v>
      </c>
      <c r="J164" s="233">
        <v>5.0</v>
      </c>
      <c r="K164" s="237" t="s">
        <v>7619</v>
      </c>
      <c r="L164" s="237" t="s">
        <v>6921</v>
      </c>
      <c r="M164" s="237" t="s">
        <v>7620</v>
      </c>
      <c r="N164" s="237" t="s">
        <v>7621</v>
      </c>
      <c r="O164" s="237" t="s">
        <v>7622</v>
      </c>
      <c r="P164" s="237" t="s">
        <v>7048</v>
      </c>
      <c r="Q164" s="237" t="s">
        <v>7623</v>
      </c>
      <c r="R164" s="237" t="s">
        <v>6995</v>
      </c>
    </row>
    <row r="165">
      <c r="G165" s="232">
        <v>163.0</v>
      </c>
      <c r="H165" s="237" t="s">
        <v>7385</v>
      </c>
      <c r="I165" s="237" t="s">
        <v>7547</v>
      </c>
      <c r="J165" s="233">
        <v>5.0</v>
      </c>
      <c r="K165" s="237" t="s">
        <v>7624</v>
      </c>
      <c r="L165" s="237" t="s">
        <v>6921</v>
      </c>
      <c r="M165" s="237" t="s">
        <v>7625</v>
      </c>
      <c r="N165" s="237" t="s">
        <v>7626</v>
      </c>
      <c r="O165" s="237" t="s">
        <v>7627</v>
      </c>
      <c r="P165" s="237" t="s">
        <v>6928</v>
      </c>
      <c r="Q165" s="237" t="s">
        <v>7628</v>
      </c>
      <c r="R165" s="237" t="s">
        <v>6930</v>
      </c>
    </row>
    <row r="166">
      <c r="G166" s="232">
        <v>164.0</v>
      </c>
      <c r="H166" s="237" t="s">
        <v>7546</v>
      </c>
      <c r="I166" s="237" t="s">
        <v>7547</v>
      </c>
      <c r="J166" s="233">
        <v>5.0</v>
      </c>
      <c r="K166" s="237" t="s">
        <v>7629</v>
      </c>
      <c r="L166" s="237" t="s">
        <v>6933</v>
      </c>
      <c r="M166" s="237" t="s">
        <v>7630</v>
      </c>
      <c r="N166" s="237" t="s">
        <v>686</v>
      </c>
      <c r="O166" s="237" t="s">
        <v>7631</v>
      </c>
      <c r="P166" s="237" t="s">
        <v>6928</v>
      </c>
      <c r="Q166" s="237" t="s">
        <v>7632</v>
      </c>
      <c r="R166" s="237" t="s">
        <v>7136</v>
      </c>
    </row>
    <row r="167">
      <c r="G167" s="232">
        <v>165.0</v>
      </c>
      <c r="H167" s="237" t="s">
        <v>7546</v>
      </c>
      <c r="I167" s="237" t="s">
        <v>7547</v>
      </c>
      <c r="J167" s="233">
        <v>5.0</v>
      </c>
      <c r="K167" s="237" t="s">
        <v>7633</v>
      </c>
      <c r="L167" s="237" t="s">
        <v>6921</v>
      </c>
      <c r="M167" s="237" t="s">
        <v>7634</v>
      </c>
      <c r="N167" s="237" t="s">
        <v>686</v>
      </c>
      <c r="O167" s="237" t="s">
        <v>7635</v>
      </c>
      <c r="P167" s="237" t="s">
        <v>7566</v>
      </c>
      <c r="Q167" s="237" t="s">
        <v>7636</v>
      </c>
      <c r="R167" s="237" t="s">
        <v>7031</v>
      </c>
    </row>
    <row r="168">
      <c r="G168" s="232">
        <v>166.0</v>
      </c>
      <c r="H168" s="237" t="s">
        <v>7546</v>
      </c>
      <c r="I168" s="237" t="s">
        <v>7547</v>
      </c>
      <c r="J168" s="233">
        <v>5.0</v>
      </c>
      <c r="K168" s="237" t="s">
        <v>7637</v>
      </c>
      <c r="L168" s="237" t="s">
        <v>6921</v>
      </c>
      <c r="M168" s="237" t="s">
        <v>7638</v>
      </c>
      <c r="N168" s="237" t="s">
        <v>686</v>
      </c>
      <c r="O168" s="237" t="s">
        <v>7639</v>
      </c>
      <c r="P168" s="237" t="s">
        <v>7093</v>
      </c>
      <c r="Q168" s="237" t="s">
        <v>7640</v>
      </c>
      <c r="R168" s="237" t="s">
        <v>7031</v>
      </c>
    </row>
    <row r="169">
      <c r="G169" s="232">
        <v>167.0</v>
      </c>
      <c r="H169" s="237" t="s">
        <v>7546</v>
      </c>
      <c r="I169" s="237" t="s">
        <v>7547</v>
      </c>
      <c r="J169" s="233">
        <v>5.0</v>
      </c>
      <c r="K169" s="237" t="s">
        <v>7641</v>
      </c>
      <c r="L169" s="237" t="s">
        <v>6921</v>
      </c>
      <c r="M169" s="237" t="s">
        <v>7642</v>
      </c>
      <c r="N169" s="237" t="s">
        <v>686</v>
      </c>
      <c r="O169" s="237" t="s">
        <v>7643</v>
      </c>
      <c r="P169" s="237" t="s">
        <v>7093</v>
      </c>
      <c r="Q169" s="237" t="s">
        <v>7644</v>
      </c>
      <c r="R169" s="237" t="s">
        <v>7031</v>
      </c>
    </row>
    <row r="170">
      <c r="G170" s="232">
        <v>168.0</v>
      </c>
      <c r="H170" s="237" t="s">
        <v>7385</v>
      </c>
      <c r="I170" s="237" t="s">
        <v>7547</v>
      </c>
      <c r="J170" s="233">
        <v>5.0</v>
      </c>
      <c r="K170" s="237" t="s">
        <v>3569</v>
      </c>
      <c r="L170" s="237" t="s">
        <v>6933</v>
      </c>
      <c r="M170" s="237" t="s">
        <v>7645</v>
      </c>
      <c r="N170" s="237" t="s">
        <v>686</v>
      </c>
      <c r="O170" s="237" t="s">
        <v>7646</v>
      </c>
      <c r="P170" s="237" t="s">
        <v>7157</v>
      </c>
      <c r="Q170" s="237" t="s">
        <v>7647</v>
      </c>
      <c r="R170" s="237" t="s">
        <v>7648</v>
      </c>
    </row>
    <row r="171">
      <c r="G171" s="232">
        <v>169.0</v>
      </c>
      <c r="H171" s="237" t="s">
        <v>7385</v>
      </c>
      <c r="I171" s="237" t="s">
        <v>7547</v>
      </c>
      <c r="J171" s="233">
        <v>5.0</v>
      </c>
      <c r="K171" s="237" t="s">
        <v>7649</v>
      </c>
      <c r="L171" s="237" t="s">
        <v>6921</v>
      </c>
      <c r="M171" s="237" t="s">
        <v>7650</v>
      </c>
      <c r="N171" s="237" t="s">
        <v>686</v>
      </c>
      <c r="O171" s="237" t="s">
        <v>7651</v>
      </c>
      <c r="P171" s="237" t="s">
        <v>6928</v>
      </c>
      <c r="Q171" s="237" t="s">
        <v>7652</v>
      </c>
      <c r="R171" s="237" t="s">
        <v>6930</v>
      </c>
    </row>
    <row r="172">
      <c r="G172" s="232">
        <v>170.0</v>
      </c>
      <c r="H172" s="237" t="s">
        <v>7575</v>
      </c>
      <c r="I172" s="237" t="s">
        <v>7547</v>
      </c>
      <c r="J172" s="233">
        <v>5.0</v>
      </c>
      <c r="K172" s="237" t="s">
        <v>7653</v>
      </c>
      <c r="L172" s="237" t="s">
        <v>6921</v>
      </c>
      <c r="M172" s="237" t="s">
        <v>7654</v>
      </c>
      <c r="N172" s="237" t="s">
        <v>686</v>
      </c>
      <c r="O172" s="237" t="s">
        <v>7655</v>
      </c>
      <c r="P172" s="237" t="s">
        <v>6928</v>
      </c>
      <c r="Q172" s="237" t="s">
        <v>7656</v>
      </c>
      <c r="R172" s="237" t="s">
        <v>7136</v>
      </c>
    </row>
    <row r="173">
      <c r="G173" s="232">
        <v>171.0</v>
      </c>
      <c r="H173" s="237" t="s">
        <v>7575</v>
      </c>
      <c r="I173" s="237" t="s">
        <v>7547</v>
      </c>
      <c r="J173" s="233">
        <v>5.0</v>
      </c>
      <c r="K173" s="237" t="s">
        <v>7657</v>
      </c>
      <c r="L173" s="237" t="s">
        <v>6933</v>
      </c>
      <c r="M173" s="237" t="s">
        <v>7658</v>
      </c>
      <c r="N173" s="237" t="s">
        <v>686</v>
      </c>
      <c r="O173" s="237" t="s">
        <v>7659</v>
      </c>
      <c r="P173" s="237" t="s">
        <v>7157</v>
      </c>
      <c r="Q173" s="237" t="s">
        <v>7660</v>
      </c>
      <c r="R173" s="237" t="s">
        <v>7648</v>
      </c>
    </row>
    <row r="174">
      <c r="G174" s="232">
        <v>172.0</v>
      </c>
      <c r="H174" s="237" t="s">
        <v>7546</v>
      </c>
      <c r="I174" s="237" t="s">
        <v>7547</v>
      </c>
      <c r="J174" s="233">
        <v>5.0</v>
      </c>
      <c r="K174" s="237" t="s">
        <v>7661</v>
      </c>
      <c r="L174" s="237" t="s">
        <v>6921</v>
      </c>
      <c r="M174" s="237" t="s">
        <v>7662</v>
      </c>
      <c r="N174" s="237" t="s">
        <v>946</v>
      </c>
      <c r="O174" s="237" t="s">
        <v>7663</v>
      </c>
      <c r="P174" s="237" t="s">
        <v>7093</v>
      </c>
      <c r="Q174" s="237" t="s">
        <v>7664</v>
      </c>
      <c r="R174" s="237" t="s">
        <v>7031</v>
      </c>
    </row>
    <row r="175">
      <c r="G175" s="232">
        <v>173.0</v>
      </c>
      <c r="H175" s="237" t="s">
        <v>7546</v>
      </c>
      <c r="I175" s="237" t="s">
        <v>7547</v>
      </c>
      <c r="J175" s="233">
        <v>5.0</v>
      </c>
      <c r="K175" s="237" t="s">
        <v>7665</v>
      </c>
      <c r="L175" s="237" t="s">
        <v>6921</v>
      </c>
      <c r="M175" s="237" t="s">
        <v>7666</v>
      </c>
      <c r="N175" s="237" t="s">
        <v>946</v>
      </c>
      <c r="O175" s="237" t="s">
        <v>7667</v>
      </c>
      <c r="P175" s="237" t="s">
        <v>7157</v>
      </c>
      <c r="Q175" s="237" t="s">
        <v>7668</v>
      </c>
      <c r="R175" s="237" t="s">
        <v>7414</v>
      </c>
    </row>
    <row r="176">
      <c r="G176" s="232">
        <v>174.0</v>
      </c>
      <c r="H176" s="237" t="s">
        <v>7575</v>
      </c>
      <c r="I176" s="237" t="s">
        <v>7547</v>
      </c>
      <c r="J176" s="233">
        <v>5.0</v>
      </c>
      <c r="K176" s="237" t="s">
        <v>7669</v>
      </c>
      <c r="L176" s="237" t="s">
        <v>6921</v>
      </c>
      <c r="M176" s="237" t="s">
        <v>7670</v>
      </c>
      <c r="N176" s="237" t="s">
        <v>946</v>
      </c>
      <c r="O176" s="237" t="s">
        <v>7671</v>
      </c>
      <c r="P176" s="237" t="s">
        <v>6928</v>
      </c>
      <c r="Q176" s="237" t="s">
        <v>7672</v>
      </c>
      <c r="R176" s="237" t="s">
        <v>7136</v>
      </c>
    </row>
    <row r="177">
      <c r="G177" s="232">
        <v>175.0</v>
      </c>
      <c r="H177" s="237" t="s">
        <v>7575</v>
      </c>
      <c r="I177" s="237" t="s">
        <v>7547</v>
      </c>
      <c r="J177" s="233">
        <v>5.0</v>
      </c>
      <c r="K177" s="237" t="s">
        <v>7673</v>
      </c>
      <c r="L177" s="237" t="s">
        <v>6921</v>
      </c>
      <c r="M177" s="237" t="s">
        <v>7674</v>
      </c>
      <c r="N177" s="237" t="s">
        <v>946</v>
      </c>
      <c r="O177" s="237"/>
      <c r="P177" s="231"/>
      <c r="Q177" s="237" t="s">
        <v>7675</v>
      </c>
      <c r="R177" s="237" t="s">
        <v>7031</v>
      </c>
    </row>
    <row r="178">
      <c r="G178" s="232">
        <v>176.0</v>
      </c>
      <c r="H178" s="237" t="s">
        <v>6918</v>
      </c>
      <c r="I178" s="237" t="s">
        <v>7676</v>
      </c>
      <c r="J178" s="233">
        <v>6.0</v>
      </c>
      <c r="K178" s="237" t="s">
        <v>7677</v>
      </c>
      <c r="L178" s="237" t="s">
        <v>6933</v>
      </c>
      <c r="M178" s="237" t="s">
        <v>7678</v>
      </c>
      <c r="N178" s="237" t="s">
        <v>7679</v>
      </c>
      <c r="O178" s="237" t="s">
        <v>7680</v>
      </c>
      <c r="P178" s="237" t="s">
        <v>6928</v>
      </c>
      <c r="Q178" s="237" t="s">
        <v>7681</v>
      </c>
      <c r="R178" s="237" t="s">
        <v>6939</v>
      </c>
    </row>
    <row r="179">
      <c r="G179" s="232">
        <v>177.0</v>
      </c>
      <c r="H179" s="237" t="s">
        <v>6918</v>
      </c>
      <c r="I179" s="237" t="s">
        <v>7682</v>
      </c>
      <c r="J179" s="233">
        <v>6.0</v>
      </c>
      <c r="K179" s="237" t="s">
        <v>7683</v>
      </c>
      <c r="L179" s="237" t="s">
        <v>7239</v>
      </c>
      <c r="M179" s="237" t="s">
        <v>7684</v>
      </c>
      <c r="N179" s="237" t="s">
        <v>7679</v>
      </c>
      <c r="O179" s="237" t="s">
        <v>7685</v>
      </c>
      <c r="P179" s="237" t="s">
        <v>6928</v>
      </c>
      <c r="Q179" s="237" t="s">
        <v>7686</v>
      </c>
      <c r="R179" s="237" t="s">
        <v>7136</v>
      </c>
    </row>
    <row r="180">
      <c r="G180" s="232">
        <v>178.0</v>
      </c>
      <c r="H180" s="237" t="s">
        <v>6918</v>
      </c>
      <c r="I180" s="237" t="s">
        <v>7676</v>
      </c>
      <c r="J180" s="233">
        <v>6.0</v>
      </c>
      <c r="K180" s="237" t="s">
        <v>1633</v>
      </c>
      <c r="L180" s="237" t="s">
        <v>6933</v>
      </c>
      <c r="M180" s="237" t="s">
        <v>7687</v>
      </c>
      <c r="N180" s="237" t="s">
        <v>7688</v>
      </c>
      <c r="O180" s="237" t="s">
        <v>7689</v>
      </c>
      <c r="P180" s="237" t="s">
        <v>6928</v>
      </c>
      <c r="Q180" s="237" t="s">
        <v>7690</v>
      </c>
      <c r="R180" s="237" t="s">
        <v>6930</v>
      </c>
    </row>
    <row r="181">
      <c r="G181" s="232">
        <v>179.0</v>
      </c>
      <c r="H181" s="237" t="s">
        <v>6918</v>
      </c>
      <c r="I181" s="237" t="s">
        <v>7676</v>
      </c>
      <c r="J181" s="233">
        <v>6.0</v>
      </c>
      <c r="K181" s="237" t="s">
        <v>7691</v>
      </c>
      <c r="L181" s="237" t="s">
        <v>6921</v>
      </c>
      <c r="M181" s="237" t="s">
        <v>7692</v>
      </c>
      <c r="N181" s="237" t="s">
        <v>7693</v>
      </c>
      <c r="O181" s="237" t="s">
        <v>7694</v>
      </c>
      <c r="P181" s="237" t="s">
        <v>6928</v>
      </c>
      <c r="Q181" s="237" t="s">
        <v>7695</v>
      </c>
      <c r="R181" s="237" t="s">
        <v>6930</v>
      </c>
    </row>
    <row r="182">
      <c r="G182" s="232">
        <v>180.0</v>
      </c>
      <c r="H182" s="237" t="s">
        <v>6918</v>
      </c>
      <c r="I182" s="237" t="s">
        <v>7676</v>
      </c>
      <c r="J182" s="233">
        <v>6.0</v>
      </c>
      <c r="K182" s="237" t="s">
        <v>7696</v>
      </c>
      <c r="L182" s="237" t="s">
        <v>6933</v>
      </c>
      <c r="M182" s="237" t="s">
        <v>7697</v>
      </c>
      <c r="N182" s="237" t="s">
        <v>7693</v>
      </c>
      <c r="O182" s="237" t="s">
        <v>7698</v>
      </c>
      <c r="P182" s="231"/>
      <c r="Q182" s="237" t="s">
        <v>7699</v>
      </c>
      <c r="R182" s="231"/>
    </row>
    <row r="183">
      <c r="G183" s="232">
        <v>181.0</v>
      </c>
      <c r="H183" s="237" t="s">
        <v>6918</v>
      </c>
      <c r="I183" s="237" t="s">
        <v>7676</v>
      </c>
      <c r="J183" s="233">
        <v>6.0</v>
      </c>
      <c r="K183" s="237" t="s">
        <v>7700</v>
      </c>
      <c r="L183" s="237" t="s">
        <v>6933</v>
      </c>
      <c r="M183" s="237" t="s">
        <v>7701</v>
      </c>
      <c r="N183" s="237" t="s">
        <v>7693</v>
      </c>
      <c r="O183" s="237" t="s">
        <v>7702</v>
      </c>
      <c r="P183" s="237" t="s">
        <v>6928</v>
      </c>
      <c r="Q183" s="237" t="s">
        <v>7703</v>
      </c>
      <c r="R183" s="237" t="s">
        <v>6930</v>
      </c>
    </row>
    <row r="184">
      <c r="G184" s="232">
        <v>182.0</v>
      </c>
      <c r="H184" s="237" t="s">
        <v>6918</v>
      </c>
      <c r="I184" s="237" t="s">
        <v>7676</v>
      </c>
      <c r="J184" s="233">
        <v>6.0</v>
      </c>
      <c r="K184" s="237" t="s">
        <v>7704</v>
      </c>
      <c r="L184" s="237" t="s">
        <v>6933</v>
      </c>
      <c r="M184" s="237" t="s">
        <v>7705</v>
      </c>
      <c r="N184" s="237" t="s">
        <v>2716</v>
      </c>
      <c r="O184" s="237" t="s">
        <v>7706</v>
      </c>
      <c r="P184" s="237" t="s">
        <v>6928</v>
      </c>
      <c r="Q184" s="237" t="s">
        <v>7707</v>
      </c>
      <c r="R184" s="237" t="s">
        <v>6930</v>
      </c>
    </row>
    <row r="185">
      <c r="G185" s="232">
        <v>183.0</v>
      </c>
      <c r="H185" s="237" t="s">
        <v>6918</v>
      </c>
      <c r="I185" s="237" t="s">
        <v>7676</v>
      </c>
      <c r="J185" s="233">
        <v>6.0</v>
      </c>
      <c r="K185" s="237" t="s">
        <v>7708</v>
      </c>
      <c r="L185" s="237" t="s">
        <v>6933</v>
      </c>
      <c r="M185" s="237" t="s">
        <v>7709</v>
      </c>
      <c r="N185" s="237" t="s">
        <v>7710</v>
      </c>
      <c r="O185" s="237" t="s">
        <v>7711</v>
      </c>
      <c r="P185" s="237" t="s">
        <v>6928</v>
      </c>
      <c r="Q185" s="237" t="s">
        <v>7712</v>
      </c>
      <c r="R185" s="237" t="s">
        <v>7031</v>
      </c>
    </row>
    <row r="186">
      <c r="G186" s="232">
        <v>184.0</v>
      </c>
      <c r="H186" s="237" t="s">
        <v>6918</v>
      </c>
      <c r="I186" s="237" t="s">
        <v>7676</v>
      </c>
      <c r="J186" s="233">
        <v>6.0</v>
      </c>
      <c r="K186" s="237" t="s">
        <v>7713</v>
      </c>
      <c r="L186" s="237" t="s">
        <v>6921</v>
      </c>
      <c r="M186" s="237" t="s">
        <v>7714</v>
      </c>
      <c r="N186" s="237" t="s">
        <v>7710</v>
      </c>
      <c r="O186" s="237" t="s">
        <v>7715</v>
      </c>
      <c r="P186" s="237" t="s">
        <v>6937</v>
      </c>
      <c r="Q186" s="237" t="s">
        <v>7716</v>
      </c>
      <c r="R186" s="237" t="s">
        <v>6930</v>
      </c>
    </row>
    <row r="187">
      <c r="G187" s="232">
        <v>185.0</v>
      </c>
      <c r="H187" s="237" t="s">
        <v>6918</v>
      </c>
      <c r="I187" s="237" t="s">
        <v>7676</v>
      </c>
      <c r="J187" s="233">
        <v>6.0</v>
      </c>
      <c r="K187" s="237" t="s">
        <v>7717</v>
      </c>
      <c r="L187" s="237" t="s">
        <v>6933</v>
      </c>
      <c r="M187" s="237" t="s">
        <v>7718</v>
      </c>
      <c r="N187" s="237" t="s">
        <v>7710</v>
      </c>
      <c r="O187" s="237" t="s">
        <v>7719</v>
      </c>
      <c r="P187" s="231"/>
      <c r="Q187" s="237"/>
      <c r="R187" s="231"/>
    </row>
    <row r="188">
      <c r="G188" s="232">
        <v>186.0</v>
      </c>
      <c r="H188" s="237" t="s">
        <v>6918</v>
      </c>
      <c r="I188" s="237" t="s">
        <v>7676</v>
      </c>
      <c r="J188" s="233">
        <v>6.0</v>
      </c>
      <c r="K188" s="237" t="s">
        <v>7720</v>
      </c>
      <c r="L188" s="237" t="s">
        <v>6933</v>
      </c>
      <c r="M188" s="237" t="s">
        <v>7721</v>
      </c>
      <c r="N188" s="237" t="s">
        <v>7710</v>
      </c>
      <c r="O188" s="237" t="s">
        <v>7722</v>
      </c>
      <c r="P188" s="237" t="s">
        <v>6928</v>
      </c>
      <c r="Q188" s="237" t="s">
        <v>7723</v>
      </c>
      <c r="R188" s="237" t="s">
        <v>6930</v>
      </c>
    </row>
    <row r="189">
      <c r="G189" s="232">
        <v>187.0</v>
      </c>
      <c r="H189" s="237" t="s">
        <v>6918</v>
      </c>
      <c r="I189" s="237" t="s">
        <v>7676</v>
      </c>
      <c r="J189" s="233">
        <v>6.0</v>
      </c>
      <c r="K189" s="237" t="s">
        <v>7724</v>
      </c>
      <c r="L189" s="237" t="s">
        <v>7097</v>
      </c>
      <c r="M189" s="237" t="s">
        <v>7725</v>
      </c>
      <c r="N189" s="237" t="s">
        <v>7726</v>
      </c>
      <c r="O189" s="237" t="s">
        <v>7727</v>
      </c>
      <c r="P189" s="237" t="s">
        <v>7375</v>
      </c>
      <c r="Q189" s="237" t="s">
        <v>7728</v>
      </c>
      <c r="R189" s="237" t="s">
        <v>7729</v>
      </c>
    </row>
    <row r="190">
      <c r="G190" s="232">
        <v>188.0</v>
      </c>
      <c r="H190" s="237" t="s">
        <v>6918</v>
      </c>
      <c r="I190" s="237" t="s">
        <v>7730</v>
      </c>
      <c r="J190" s="233">
        <v>6.0</v>
      </c>
      <c r="K190" s="237" t="s">
        <v>7731</v>
      </c>
      <c r="L190" s="237" t="s">
        <v>7239</v>
      </c>
      <c r="M190" s="237" t="s">
        <v>7732</v>
      </c>
      <c r="N190" s="237" t="s">
        <v>1228</v>
      </c>
      <c r="O190" s="237" t="s">
        <v>7733</v>
      </c>
      <c r="P190" s="237" t="s">
        <v>6937</v>
      </c>
      <c r="Q190" s="237" t="s">
        <v>7734</v>
      </c>
      <c r="R190" s="237" t="s">
        <v>6930</v>
      </c>
    </row>
    <row r="191">
      <c r="G191" s="232">
        <v>189.0</v>
      </c>
      <c r="H191" s="237" t="s">
        <v>6918</v>
      </c>
      <c r="I191" s="237" t="s">
        <v>7730</v>
      </c>
      <c r="J191" s="233">
        <v>6.0</v>
      </c>
      <c r="K191" s="237" t="s">
        <v>7735</v>
      </c>
      <c r="L191" s="237" t="s">
        <v>6933</v>
      </c>
      <c r="M191" s="237" t="s">
        <v>7736</v>
      </c>
      <c r="N191" s="237" t="s">
        <v>2117</v>
      </c>
      <c r="O191" s="237" t="s">
        <v>7737</v>
      </c>
      <c r="P191" s="237" t="s">
        <v>6937</v>
      </c>
      <c r="Q191" s="237" t="s">
        <v>7738</v>
      </c>
      <c r="R191" s="237" t="s">
        <v>6930</v>
      </c>
    </row>
    <row r="192">
      <c r="G192" s="232">
        <v>190.0</v>
      </c>
      <c r="H192" s="237" t="s">
        <v>6918</v>
      </c>
      <c r="I192" s="237" t="s">
        <v>7730</v>
      </c>
      <c r="J192" s="233">
        <v>6.0</v>
      </c>
      <c r="K192" s="237" t="s">
        <v>2928</v>
      </c>
      <c r="L192" s="237" t="s">
        <v>6921</v>
      </c>
      <c r="M192" s="237" t="s">
        <v>7739</v>
      </c>
      <c r="N192" s="237" t="s">
        <v>2117</v>
      </c>
      <c r="O192" s="237" t="s">
        <v>7740</v>
      </c>
      <c r="P192" s="237" t="s">
        <v>6937</v>
      </c>
      <c r="Q192" s="237" t="s">
        <v>7741</v>
      </c>
      <c r="R192" s="237" t="s">
        <v>7136</v>
      </c>
    </row>
    <row r="193">
      <c r="G193" s="232">
        <v>191.0</v>
      </c>
      <c r="H193" s="237" t="s">
        <v>6918</v>
      </c>
      <c r="I193" s="237" t="s">
        <v>7730</v>
      </c>
      <c r="J193" s="233">
        <v>6.0</v>
      </c>
      <c r="K193" s="237" t="s">
        <v>7742</v>
      </c>
      <c r="L193" s="237" t="s">
        <v>6921</v>
      </c>
      <c r="M193" s="237" t="s">
        <v>7743</v>
      </c>
      <c r="N193" s="237" t="s">
        <v>7744</v>
      </c>
      <c r="O193" s="237" t="s">
        <v>7745</v>
      </c>
      <c r="P193" s="237" t="s">
        <v>6928</v>
      </c>
      <c r="Q193" s="237" t="s">
        <v>7746</v>
      </c>
      <c r="R193" s="237" t="s">
        <v>7031</v>
      </c>
    </row>
    <row r="194">
      <c r="G194" s="232">
        <v>192.0</v>
      </c>
      <c r="H194" s="237" t="s">
        <v>6918</v>
      </c>
      <c r="I194" s="237" t="s">
        <v>7730</v>
      </c>
      <c r="J194" s="233">
        <v>6.0</v>
      </c>
      <c r="K194" s="237" t="s">
        <v>7747</v>
      </c>
      <c r="L194" s="237" t="s">
        <v>6933</v>
      </c>
      <c r="M194" s="237" t="s">
        <v>7748</v>
      </c>
      <c r="N194" s="237" t="s">
        <v>7744</v>
      </c>
      <c r="O194" s="237" t="s">
        <v>7749</v>
      </c>
      <c r="P194" s="237" t="s">
        <v>7750</v>
      </c>
      <c r="Q194" s="237" t="s">
        <v>7751</v>
      </c>
      <c r="R194" s="237" t="s">
        <v>7031</v>
      </c>
    </row>
    <row r="195">
      <c r="G195" s="232">
        <v>193.0</v>
      </c>
      <c r="H195" s="237" t="s">
        <v>6918</v>
      </c>
      <c r="I195" s="237" t="s">
        <v>7730</v>
      </c>
      <c r="J195" s="233">
        <v>6.0</v>
      </c>
      <c r="K195" s="237" t="s">
        <v>7752</v>
      </c>
      <c r="L195" s="237" t="s">
        <v>7239</v>
      </c>
      <c r="M195" s="237" t="s">
        <v>7753</v>
      </c>
      <c r="N195" s="237" t="s">
        <v>3170</v>
      </c>
      <c r="O195" s="237" t="s">
        <v>7754</v>
      </c>
      <c r="P195" s="237" t="s">
        <v>6937</v>
      </c>
      <c r="Q195" s="237" t="s">
        <v>7755</v>
      </c>
      <c r="R195" s="237" t="s">
        <v>6930</v>
      </c>
    </row>
    <row r="196">
      <c r="G196" s="232">
        <v>194.0</v>
      </c>
      <c r="H196" s="237" t="s">
        <v>6918</v>
      </c>
      <c r="I196" s="237" t="s">
        <v>7730</v>
      </c>
      <c r="J196" s="233">
        <v>6.0</v>
      </c>
      <c r="K196" s="237" t="s">
        <v>7756</v>
      </c>
      <c r="L196" s="237" t="s">
        <v>6921</v>
      </c>
      <c r="M196" s="237" t="s">
        <v>7757</v>
      </c>
      <c r="N196" s="237" t="s">
        <v>2169</v>
      </c>
      <c r="O196" s="237" t="s">
        <v>7758</v>
      </c>
      <c r="P196" s="237" t="s">
        <v>6928</v>
      </c>
      <c r="Q196" s="237" t="s">
        <v>7759</v>
      </c>
      <c r="R196" s="237" t="s">
        <v>7136</v>
      </c>
    </row>
    <row r="197">
      <c r="G197" s="232">
        <v>195.0</v>
      </c>
      <c r="H197" s="237" t="s">
        <v>6918</v>
      </c>
      <c r="I197" s="237" t="s">
        <v>7730</v>
      </c>
      <c r="J197" s="233">
        <v>6.0</v>
      </c>
      <c r="K197" s="237" t="s">
        <v>7760</v>
      </c>
      <c r="L197" s="237" t="s">
        <v>6921</v>
      </c>
      <c r="M197" s="237" t="s">
        <v>7761</v>
      </c>
      <c r="N197" s="237" t="s">
        <v>2169</v>
      </c>
      <c r="O197" s="237" t="s">
        <v>7762</v>
      </c>
      <c r="P197" s="237" t="s">
        <v>7005</v>
      </c>
      <c r="Q197" s="237" t="s">
        <v>7763</v>
      </c>
      <c r="R197" s="237" t="s">
        <v>7031</v>
      </c>
    </row>
    <row r="198">
      <c r="G198" s="232">
        <v>196.0</v>
      </c>
      <c r="H198" s="237" t="s">
        <v>6918</v>
      </c>
      <c r="I198" s="237" t="s">
        <v>7730</v>
      </c>
      <c r="J198" s="233">
        <v>6.0</v>
      </c>
      <c r="K198" s="237" t="s">
        <v>7764</v>
      </c>
      <c r="L198" s="237" t="s">
        <v>6921</v>
      </c>
      <c r="M198" s="237" t="s">
        <v>7765</v>
      </c>
      <c r="N198" s="237" t="s">
        <v>2169</v>
      </c>
      <c r="O198" s="237" t="s">
        <v>7766</v>
      </c>
      <c r="P198" s="237" t="s">
        <v>7093</v>
      </c>
      <c r="Q198" s="237" t="s">
        <v>7767</v>
      </c>
      <c r="R198" s="237" t="s">
        <v>7031</v>
      </c>
    </row>
    <row r="199">
      <c r="G199" s="232">
        <v>197.0</v>
      </c>
      <c r="H199" s="237" t="s">
        <v>6918</v>
      </c>
      <c r="I199" s="237" t="s">
        <v>7730</v>
      </c>
      <c r="J199" s="233">
        <v>6.0</v>
      </c>
      <c r="K199" s="237" t="s">
        <v>7768</v>
      </c>
      <c r="L199" s="237" t="s">
        <v>6921</v>
      </c>
      <c r="M199" s="237" t="s">
        <v>7769</v>
      </c>
      <c r="N199" s="237" t="s">
        <v>2169</v>
      </c>
      <c r="O199" s="237" t="s">
        <v>7770</v>
      </c>
      <c r="P199" s="237" t="s">
        <v>7157</v>
      </c>
      <c r="Q199" s="237" t="s">
        <v>7771</v>
      </c>
      <c r="R199" s="237" t="s">
        <v>7031</v>
      </c>
    </row>
    <row r="200">
      <c r="G200" s="232">
        <v>198.0</v>
      </c>
      <c r="H200" s="237" t="s">
        <v>6918</v>
      </c>
      <c r="I200" s="237" t="s">
        <v>7730</v>
      </c>
      <c r="J200" s="233">
        <v>6.0</v>
      </c>
      <c r="K200" s="237" t="s">
        <v>3168</v>
      </c>
      <c r="L200" s="237" t="s">
        <v>6921</v>
      </c>
      <c r="M200" s="237" t="s">
        <v>7772</v>
      </c>
      <c r="N200" s="237" t="s">
        <v>2169</v>
      </c>
      <c r="O200" s="237" t="s">
        <v>7773</v>
      </c>
      <c r="P200" s="237" t="s">
        <v>6928</v>
      </c>
      <c r="Q200" s="237" t="s">
        <v>7774</v>
      </c>
      <c r="R200" s="237" t="s">
        <v>7136</v>
      </c>
    </row>
    <row r="201">
      <c r="G201" s="232">
        <v>199.0</v>
      </c>
      <c r="H201" s="237" t="s">
        <v>6918</v>
      </c>
      <c r="I201" s="237" t="s">
        <v>7730</v>
      </c>
      <c r="J201" s="233">
        <v>6.0</v>
      </c>
      <c r="K201" s="237" t="s">
        <v>3430</v>
      </c>
      <c r="L201" s="237" t="s">
        <v>6921</v>
      </c>
      <c r="M201" s="237" t="s">
        <v>7775</v>
      </c>
      <c r="N201" s="237" t="s">
        <v>2169</v>
      </c>
      <c r="O201" s="237" t="s">
        <v>7776</v>
      </c>
      <c r="P201" s="237" t="s">
        <v>6928</v>
      </c>
      <c r="Q201" s="237" t="s">
        <v>7777</v>
      </c>
      <c r="R201" s="237" t="s">
        <v>7173</v>
      </c>
    </row>
    <row r="202">
      <c r="G202" s="232">
        <v>200.0</v>
      </c>
      <c r="H202" s="237" t="s">
        <v>6918</v>
      </c>
      <c r="I202" s="237" t="s">
        <v>7730</v>
      </c>
      <c r="J202" s="233">
        <v>6.0</v>
      </c>
      <c r="K202" s="237" t="s">
        <v>7778</v>
      </c>
      <c r="L202" s="237" t="s">
        <v>6921</v>
      </c>
      <c r="M202" s="237" t="s">
        <v>7779</v>
      </c>
      <c r="N202" s="237" t="s">
        <v>5890</v>
      </c>
      <c r="O202" s="237" t="s">
        <v>7780</v>
      </c>
      <c r="P202" s="237" t="s">
        <v>6928</v>
      </c>
      <c r="Q202" s="237" t="s">
        <v>7781</v>
      </c>
      <c r="R202" s="237" t="s">
        <v>7136</v>
      </c>
    </row>
    <row r="203">
      <c r="G203" s="232">
        <v>201.0</v>
      </c>
      <c r="H203" s="237" t="s">
        <v>6918</v>
      </c>
      <c r="I203" s="237" t="s">
        <v>7730</v>
      </c>
      <c r="J203" s="233">
        <v>6.0</v>
      </c>
      <c r="K203" s="237" t="s">
        <v>7782</v>
      </c>
      <c r="L203" s="237" t="s">
        <v>6933</v>
      </c>
      <c r="M203" s="237" t="s">
        <v>7783</v>
      </c>
      <c r="N203" s="237" t="s">
        <v>5890</v>
      </c>
      <c r="O203" s="237" t="s">
        <v>7784</v>
      </c>
      <c r="P203" s="237" t="s">
        <v>7005</v>
      </c>
      <c r="Q203" s="237"/>
      <c r="R203" s="231"/>
    </row>
    <row r="204">
      <c r="G204" s="232">
        <v>202.0</v>
      </c>
      <c r="H204" s="237" t="s">
        <v>6918</v>
      </c>
      <c r="I204" s="237" t="s">
        <v>7730</v>
      </c>
      <c r="J204" s="233">
        <v>6.0</v>
      </c>
      <c r="K204" s="237" t="s">
        <v>7785</v>
      </c>
      <c r="L204" s="237" t="s">
        <v>6921</v>
      </c>
      <c r="M204" s="237" t="s">
        <v>7786</v>
      </c>
      <c r="N204" s="237" t="s">
        <v>4245</v>
      </c>
      <c r="O204" s="237" t="s">
        <v>7787</v>
      </c>
      <c r="P204" s="237" t="s">
        <v>6928</v>
      </c>
      <c r="Q204" s="237" t="s">
        <v>7788</v>
      </c>
      <c r="R204" s="237" t="s">
        <v>7031</v>
      </c>
    </row>
    <row r="205">
      <c r="G205" s="232">
        <v>203.0</v>
      </c>
      <c r="H205" s="237" t="s">
        <v>6918</v>
      </c>
      <c r="I205" s="237" t="s">
        <v>7730</v>
      </c>
      <c r="J205" s="233">
        <v>6.0</v>
      </c>
      <c r="K205" s="237" t="s">
        <v>7789</v>
      </c>
      <c r="L205" s="237" t="s">
        <v>6921</v>
      </c>
      <c r="M205" s="237" t="s">
        <v>7790</v>
      </c>
      <c r="N205" s="237" t="s">
        <v>4245</v>
      </c>
      <c r="O205" s="237" t="s">
        <v>7791</v>
      </c>
      <c r="P205" s="237" t="s">
        <v>6937</v>
      </c>
      <c r="Q205" s="237" t="s">
        <v>7792</v>
      </c>
      <c r="R205" s="237" t="s">
        <v>6930</v>
      </c>
    </row>
    <row r="206">
      <c r="G206" s="232">
        <v>204.0</v>
      </c>
      <c r="H206" s="237" t="s">
        <v>6918</v>
      </c>
      <c r="I206" s="237" t="s">
        <v>7730</v>
      </c>
      <c r="J206" s="233">
        <v>6.0</v>
      </c>
      <c r="K206" s="237" t="s">
        <v>7793</v>
      </c>
      <c r="L206" s="237" t="s">
        <v>6921</v>
      </c>
      <c r="M206" s="237" t="s">
        <v>7794</v>
      </c>
      <c r="N206" s="237" t="s">
        <v>4245</v>
      </c>
      <c r="O206" s="237" t="s">
        <v>7795</v>
      </c>
      <c r="P206" s="237" t="s">
        <v>7357</v>
      </c>
      <c r="Q206" s="237"/>
      <c r="R206" s="231"/>
    </row>
    <row r="207">
      <c r="G207" s="232">
        <v>205.0</v>
      </c>
      <c r="H207" s="237" t="s">
        <v>6918</v>
      </c>
      <c r="I207" s="237" t="s">
        <v>7730</v>
      </c>
      <c r="J207" s="233">
        <v>6.0</v>
      </c>
      <c r="K207" s="237" t="s">
        <v>7796</v>
      </c>
      <c r="L207" s="237" t="s">
        <v>6933</v>
      </c>
      <c r="M207" s="237" t="s">
        <v>7797</v>
      </c>
      <c r="N207" s="237" t="s">
        <v>4245</v>
      </c>
      <c r="O207" s="237"/>
      <c r="P207" s="237" t="s">
        <v>7798</v>
      </c>
      <c r="Q207" s="237"/>
      <c r="R207" s="231"/>
    </row>
    <row r="208">
      <c r="G208" s="232">
        <v>206.0</v>
      </c>
      <c r="H208" s="237" t="s">
        <v>6918</v>
      </c>
      <c r="I208" s="237" t="s">
        <v>7730</v>
      </c>
      <c r="J208" s="233">
        <v>6.0</v>
      </c>
      <c r="K208" s="237" t="s">
        <v>7799</v>
      </c>
      <c r="L208" s="237" t="s">
        <v>6921</v>
      </c>
      <c r="M208" s="237" t="s">
        <v>7800</v>
      </c>
      <c r="N208" s="237" t="s">
        <v>4245</v>
      </c>
      <c r="O208" s="237" t="s">
        <v>7801</v>
      </c>
      <c r="P208" s="237" t="s">
        <v>7005</v>
      </c>
      <c r="Q208" s="237"/>
      <c r="R208" s="231"/>
    </row>
    <row r="209">
      <c r="G209" s="232">
        <v>207.0</v>
      </c>
      <c r="H209" s="237" t="s">
        <v>6918</v>
      </c>
      <c r="I209" s="237" t="s">
        <v>7802</v>
      </c>
      <c r="J209" s="233">
        <v>6.0</v>
      </c>
      <c r="K209" s="237" t="s">
        <v>7803</v>
      </c>
      <c r="L209" s="237" t="s">
        <v>7239</v>
      </c>
      <c r="M209" s="237" t="s">
        <v>7804</v>
      </c>
      <c r="N209" s="237" t="s">
        <v>7805</v>
      </c>
      <c r="O209" s="237" t="s">
        <v>7806</v>
      </c>
      <c r="P209" s="237" t="s">
        <v>1404</v>
      </c>
      <c r="Q209" s="237" t="s">
        <v>1404</v>
      </c>
      <c r="R209" s="237" t="s">
        <v>1404</v>
      </c>
    </row>
    <row r="210">
      <c r="G210" s="232">
        <v>208.0</v>
      </c>
      <c r="H210" s="237" t="s">
        <v>6918</v>
      </c>
      <c r="I210" s="237" t="s">
        <v>7802</v>
      </c>
      <c r="J210" s="233">
        <v>6.0</v>
      </c>
      <c r="K210" s="237" t="s">
        <v>7807</v>
      </c>
      <c r="L210" s="237" t="s">
        <v>7239</v>
      </c>
      <c r="M210" s="237" t="s">
        <v>7808</v>
      </c>
      <c r="N210" s="237" t="s">
        <v>7809</v>
      </c>
      <c r="O210" s="237" t="s">
        <v>7810</v>
      </c>
      <c r="P210" s="237" t="s">
        <v>6928</v>
      </c>
      <c r="Q210" s="237" t="s">
        <v>7811</v>
      </c>
      <c r="R210" s="237" t="s">
        <v>7012</v>
      </c>
    </row>
    <row r="211">
      <c r="G211" s="232">
        <v>209.0</v>
      </c>
      <c r="H211" s="237" t="s">
        <v>6918</v>
      </c>
      <c r="I211" s="237" t="s">
        <v>7802</v>
      </c>
      <c r="J211" s="233">
        <v>6.0</v>
      </c>
      <c r="K211" s="237" t="s">
        <v>7812</v>
      </c>
      <c r="L211" s="237" t="s">
        <v>6921</v>
      </c>
      <c r="M211" s="237" t="s">
        <v>7813</v>
      </c>
      <c r="N211" s="237" t="s">
        <v>7809</v>
      </c>
      <c r="O211" s="237" t="s">
        <v>7814</v>
      </c>
      <c r="P211" s="237" t="s">
        <v>7048</v>
      </c>
      <c r="Q211" s="237" t="s">
        <v>7815</v>
      </c>
      <c r="R211" s="237" t="s">
        <v>7050</v>
      </c>
    </row>
    <row r="212">
      <c r="G212" s="232">
        <v>210.0</v>
      </c>
      <c r="H212" s="237" t="s">
        <v>6918</v>
      </c>
      <c r="I212" s="237" t="s">
        <v>7802</v>
      </c>
      <c r="J212" s="233">
        <v>6.0</v>
      </c>
      <c r="K212" s="237" t="s">
        <v>7816</v>
      </c>
      <c r="L212" s="237" t="s">
        <v>6921</v>
      </c>
      <c r="M212" s="237" t="s">
        <v>7817</v>
      </c>
      <c r="N212" s="237" t="s">
        <v>1130</v>
      </c>
      <c r="O212" s="237" t="s">
        <v>7818</v>
      </c>
      <c r="P212" s="237" t="s">
        <v>6928</v>
      </c>
      <c r="Q212" s="237" t="s">
        <v>7819</v>
      </c>
      <c r="R212" s="237" t="s">
        <v>6930</v>
      </c>
    </row>
    <row r="213">
      <c r="G213" s="232">
        <v>211.0</v>
      </c>
      <c r="H213" s="237" t="s">
        <v>6918</v>
      </c>
      <c r="I213" s="237" t="s">
        <v>7802</v>
      </c>
      <c r="J213" s="233">
        <v>6.0</v>
      </c>
      <c r="K213" s="237" t="s">
        <v>7820</v>
      </c>
      <c r="L213" s="237" t="s">
        <v>6933</v>
      </c>
      <c r="M213" s="237" t="s">
        <v>7821</v>
      </c>
      <c r="N213" s="237" t="s">
        <v>1130</v>
      </c>
      <c r="O213" s="237" t="s">
        <v>7822</v>
      </c>
      <c r="P213" s="237" t="s">
        <v>6928</v>
      </c>
      <c r="Q213" s="237" t="s">
        <v>7823</v>
      </c>
      <c r="R213" s="237" t="s">
        <v>7012</v>
      </c>
    </row>
    <row r="214">
      <c r="G214" s="232">
        <v>212.0</v>
      </c>
      <c r="H214" s="237" t="s">
        <v>6918</v>
      </c>
      <c r="I214" s="237" t="s">
        <v>7802</v>
      </c>
      <c r="J214" s="233">
        <v>6.0</v>
      </c>
      <c r="K214" s="237" t="s">
        <v>7824</v>
      </c>
      <c r="L214" s="237" t="s">
        <v>6921</v>
      </c>
      <c r="M214" s="237" t="s">
        <v>7825</v>
      </c>
      <c r="N214" s="237" t="s">
        <v>1130</v>
      </c>
      <c r="O214" s="237" t="s">
        <v>7826</v>
      </c>
      <c r="P214" s="237" t="s">
        <v>6928</v>
      </c>
      <c r="Q214" s="237" t="s">
        <v>7827</v>
      </c>
      <c r="R214" s="237" t="s">
        <v>6930</v>
      </c>
    </row>
    <row r="215">
      <c r="G215" s="232">
        <v>213.0</v>
      </c>
      <c r="H215" s="237" t="s">
        <v>6918</v>
      </c>
      <c r="I215" s="237" t="s">
        <v>7802</v>
      </c>
      <c r="J215" s="233">
        <v>6.0</v>
      </c>
      <c r="K215" s="237" t="s">
        <v>7828</v>
      </c>
      <c r="L215" s="237" t="s">
        <v>6921</v>
      </c>
      <c r="M215" s="237" t="s">
        <v>7829</v>
      </c>
      <c r="N215" s="237" t="s">
        <v>1130</v>
      </c>
      <c r="O215" s="237" t="s">
        <v>7830</v>
      </c>
      <c r="P215" s="237" t="s">
        <v>7149</v>
      </c>
      <c r="Q215" s="237" t="s">
        <v>7831</v>
      </c>
      <c r="R215" s="237" t="s">
        <v>6930</v>
      </c>
    </row>
    <row r="216">
      <c r="G216" s="232">
        <v>214.0</v>
      </c>
      <c r="H216" s="237" t="s">
        <v>6918</v>
      </c>
      <c r="I216" s="237" t="s">
        <v>7802</v>
      </c>
      <c r="J216" s="233">
        <v>6.0</v>
      </c>
      <c r="K216" s="237" t="s">
        <v>7832</v>
      </c>
      <c r="L216" s="237" t="s">
        <v>6921</v>
      </c>
      <c r="M216" s="237" t="s">
        <v>7833</v>
      </c>
      <c r="N216" s="237" t="s">
        <v>1130</v>
      </c>
      <c r="O216" s="237" t="s">
        <v>7834</v>
      </c>
      <c r="P216" s="237" t="s">
        <v>7149</v>
      </c>
      <c r="Q216" s="237" t="s">
        <v>7835</v>
      </c>
      <c r="R216" s="237" t="s">
        <v>7012</v>
      </c>
    </row>
    <row r="217">
      <c r="G217" s="232">
        <v>215.0</v>
      </c>
      <c r="H217" s="237" t="s">
        <v>6918</v>
      </c>
      <c r="I217" s="237" t="s">
        <v>7802</v>
      </c>
      <c r="J217" s="233">
        <v>6.0</v>
      </c>
      <c r="K217" s="237" t="s">
        <v>7836</v>
      </c>
      <c r="L217" s="237" t="s">
        <v>6921</v>
      </c>
      <c r="M217" s="237" t="s">
        <v>7837</v>
      </c>
      <c r="N217" s="237" t="s">
        <v>1130</v>
      </c>
      <c r="O217" s="237" t="s">
        <v>7838</v>
      </c>
      <c r="P217" s="237" t="s">
        <v>6928</v>
      </c>
      <c r="Q217" s="237" t="s">
        <v>7839</v>
      </c>
      <c r="R217" s="237" t="s">
        <v>6930</v>
      </c>
    </row>
    <row r="218">
      <c r="G218" s="232">
        <v>216.0</v>
      </c>
      <c r="H218" s="237" t="s">
        <v>6918</v>
      </c>
      <c r="I218" s="237" t="s">
        <v>7802</v>
      </c>
      <c r="J218" s="233">
        <v>6.0</v>
      </c>
      <c r="K218" s="237" t="s">
        <v>3721</v>
      </c>
      <c r="L218" s="237" t="s">
        <v>6933</v>
      </c>
      <c r="M218" s="237" t="s">
        <v>7840</v>
      </c>
      <c r="N218" s="237" t="s">
        <v>1130</v>
      </c>
      <c r="O218" s="237" t="s">
        <v>7841</v>
      </c>
      <c r="P218" s="237" t="s">
        <v>6928</v>
      </c>
      <c r="Q218" s="237" t="s">
        <v>7842</v>
      </c>
      <c r="R218" s="237" t="s">
        <v>7031</v>
      </c>
    </row>
    <row r="219">
      <c r="G219" s="232">
        <v>217.0</v>
      </c>
      <c r="H219" s="237" t="s">
        <v>6918</v>
      </c>
      <c r="I219" s="237" t="s">
        <v>7843</v>
      </c>
      <c r="J219" s="233">
        <v>6.0</v>
      </c>
      <c r="K219" s="237" t="s">
        <v>7844</v>
      </c>
      <c r="L219" s="237" t="s">
        <v>6933</v>
      </c>
      <c r="M219" s="237" t="s">
        <v>7845</v>
      </c>
      <c r="N219" s="237" t="s">
        <v>7846</v>
      </c>
      <c r="O219" s="237" t="s">
        <v>7847</v>
      </c>
      <c r="P219" s="237" t="s">
        <v>7848</v>
      </c>
      <c r="Q219" s="237" t="s">
        <v>7849</v>
      </c>
      <c r="R219" s="237" t="s">
        <v>7136</v>
      </c>
    </row>
    <row r="220">
      <c r="G220" s="232">
        <v>218.0</v>
      </c>
      <c r="H220" s="237" t="s">
        <v>6918</v>
      </c>
      <c r="I220" s="237" t="s">
        <v>7843</v>
      </c>
      <c r="J220" s="233">
        <v>6.0</v>
      </c>
      <c r="K220" s="237" t="s">
        <v>7850</v>
      </c>
      <c r="L220" s="237" t="s">
        <v>6921</v>
      </c>
      <c r="M220" s="237" t="s">
        <v>7851</v>
      </c>
      <c r="N220" s="237" t="s">
        <v>7846</v>
      </c>
      <c r="O220" s="237" t="s">
        <v>7852</v>
      </c>
      <c r="P220" s="237" t="s">
        <v>7853</v>
      </c>
      <c r="Q220" s="237" t="s">
        <v>7854</v>
      </c>
      <c r="R220" s="237" t="s">
        <v>6952</v>
      </c>
    </row>
    <row r="221">
      <c r="G221" s="232">
        <v>219.0</v>
      </c>
      <c r="H221" s="237" t="s">
        <v>6918</v>
      </c>
      <c r="I221" s="237" t="s">
        <v>7843</v>
      </c>
      <c r="J221" s="233">
        <v>6.0</v>
      </c>
      <c r="K221" s="237" t="s">
        <v>7855</v>
      </c>
      <c r="L221" s="237" t="s">
        <v>6933</v>
      </c>
      <c r="M221" s="237" t="s">
        <v>7856</v>
      </c>
      <c r="N221" s="237" t="s">
        <v>7857</v>
      </c>
      <c r="O221" s="237" t="s">
        <v>7858</v>
      </c>
      <c r="P221" s="237" t="s">
        <v>6928</v>
      </c>
      <c r="Q221" s="237" t="s">
        <v>7859</v>
      </c>
      <c r="R221" s="237" t="s">
        <v>7136</v>
      </c>
    </row>
    <row r="222">
      <c r="G222" s="232">
        <v>220.0</v>
      </c>
      <c r="H222" s="237" t="s">
        <v>6918</v>
      </c>
      <c r="I222" s="237" t="s">
        <v>7843</v>
      </c>
      <c r="J222" s="233">
        <v>6.0</v>
      </c>
      <c r="K222" s="237" t="s">
        <v>7860</v>
      </c>
      <c r="L222" s="237" t="s">
        <v>6933</v>
      </c>
      <c r="M222" s="237" t="s">
        <v>7861</v>
      </c>
      <c r="N222" s="237" t="s">
        <v>7862</v>
      </c>
      <c r="O222" s="237" t="s">
        <v>7863</v>
      </c>
      <c r="P222" s="237" t="s">
        <v>7005</v>
      </c>
      <c r="Q222" s="237"/>
      <c r="R222" s="231"/>
    </row>
    <row r="223">
      <c r="G223" s="232">
        <v>221.0</v>
      </c>
      <c r="H223" s="237" t="s">
        <v>6918</v>
      </c>
      <c r="I223" s="237" t="s">
        <v>7843</v>
      </c>
      <c r="J223" s="233">
        <v>6.0</v>
      </c>
      <c r="K223" s="237" t="s">
        <v>7864</v>
      </c>
      <c r="L223" s="237" t="s">
        <v>6921</v>
      </c>
      <c r="M223" s="237" t="s">
        <v>7865</v>
      </c>
      <c r="N223" s="237" t="s">
        <v>7862</v>
      </c>
      <c r="O223" s="237" t="s">
        <v>7866</v>
      </c>
      <c r="P223" s="237" t="s">
        <v>7867</v>
      </c>
      <c r="Q223" s="237" t="s">
        <v>7868</v>
      </c>
      <c r="R223" s="237" t="s">
        <v>7869</v>
      </c>
    </row>
    <row r="224">
      <c r="G224" s="232">
        <v>222.0</v>
      </c>
      <c r="H224" s="237" t="s">
        <v>6918</v>
      </c>
      <c r="I224" s="237" t="s">
        <v>7843</v>
      </c>
      <c r="J224" s="233">
        <v>6.0</v>
      </c>
      <c r="K224" s="237" t="s">
        <v>7870</v>
      </c>
      <c r="L224" s="237" t="s">
        <v>6933</v>
      </c>
      <c r="M224" s="237" t="s">
        <v>7871</v>
      </c>
      <c r="N224" s="237" t="s">
        <v>7862</v>
      </c>
      <c r="O224" s="237" t="s">
        <v>7872</v>
      </c>
      <c r="P224" s="237" t="s">
        <v>6993</v>
      </c>
      <c r="Q224" s="237"/>
      <c r="R224" s="231"/>
    </row>
    <row r="225">
      <c r="G225" s="232">
        <v>223.0</v>
      </c>
      <c r="H225" s="237" t="s">
        <v>6918</v>
      </c>
      <c r="I225" s="237" t="s">
        <v>7843</v>
      </c>
      <c r="J225" s="233">
        <v>6.0</v>
      </c>
      <c r="K225" s="237" t="s">
        <v>7873</v>
      </c>
      <c r="L225" s="237" t="s">
        <v>6921</v>
      </c>
      <c r="M225" s="237" t="s">
        <v>7874</v>
      </c>
      <c r="N225" s="237" t="s">
        <v>7862</v>
      </c>
      <c r="O225" s="237" t="s">
        <v>7875</v>
      </c>
      <c r="P225" s="237" t="s">
        <v>7005</v>
      </c>
      <c r="Q225" s="237"/>
      <c r="R225" s="231"/>
    </row>
    <row r="226">
      <c r="G226" s="232">
        <v>224.0</v>
      </c>
      <c r="H226" s="237" t="s">
        <v>6918</v>
      </c>
      <c r="I226" s="237" t="s">
        <v>7843</v>
      </c>
      <c r="J226" s="233">
        <v>6.0</v>
      </c>
      <c r="K226" s="237" t="s">
        <v>7876</v>
      </c>
      <c r="L226" s="237" t="s">
        <v>6933</v>
      </c>
      <c r="M226" s="237" t="s">
        <v>7877</v>
      </c>
      <c r="N226" s="237" t="s">
        <v>7862</v>
      </c>
      <c r="O226" s="237" t="s">
        <v>7878</v>
      </c>
      <c r="P226" s="237" t="s">
        <v>7005</v>
      </c>
      <c r="Q226" s="237"/>
      <c r="R226" s="231"/>
    </row>
    <row r="227">
      <c r="G227" s="232">
        <v>225.0</v>
      </c>
      <c r="H227" s="237" t="s">
        <v>6918</v>
      </c>
      <c r="I227" s="237" t="s">
        <v>7843</v>
      </c>
      <c r="J227" s="233">
        <v>6.0</v>
      </c>
      <c r="K227" s="237" t="s">
        <v>7879</v>
      </c>
      <c r="L227" s="237" t="s">
        <v>6921</v>
      </c>
      <c r="M227" s="237" t="s">
        <v>7880</v>
      </c>
      <c r="N227" s="237" t="s">
        <v>7862</v>
      </c>
      <c r="O227" s="237" t="s">
        <v>7881</v>
      </c>
      <c r="P227" s="237" t="s">
        <v>7093</v>
      </c>
      <c r="Q227" s="237" t="s">
        <v>7882</v>
      </c>
      <c r="R227" s="237" t="s">
        <v>7031</v>
      </c>
    </row>
    <row r="228">
      <c r="G228" s="232">
        <v>226.0</v>
      </c>
      <c r="H228" s="237" t="s">
        <v>6918</v>
      </c>
      <c r="I228" s="237" t="s">
        <v>7843</v>
      </c>
      <c r="J228" s="233">
        <v>6.0</v>
      </c>
      <c r="K228" s="237" t="s">
        <v>7883</v>
      </c>
      <c r="L228" s="237" t="s">
        <v>6921</v>
      </c>
      <c r="M228" s="237" t="s">
        <v>7884</v>
      </c>
      <c r="N228" s="237" t="s">
        <v>7862</v>
      </c>
      <c r="O228" s="237" t="s">
        <v>7885</v>
      </c>
      <c r="P228" s="237" t="s">
        <v>7005</v>
      </c>
      <c r="Q228" s="237"/>
      <c r="R228" s="231"/>
    </row>
    <row r="229">
      <c r="G229" s="232">
        <v>227.0</v>
      </c>
      <c r="H229" s="237" t="s">
        <v>6918</v>
      </c>
      <c r="I229" s="237" t="s">
        <v>7843</v>
      </c>
      <c r="J229" s="233">
        <v>6.0</v>
      </c>
      <c r="K229" s="237" t="s">
        <v>7886</v>
      </c>
      <c r="L229" s="237" t="s">
        <v>6921</v>
      </c>
      <c r="M229" s="237" t="s">
        <v>7887</v>
      </c>
      <c r="N229" s="237" t="s">
        <v>7862</v>
      </c>
      <c r="O229" s="237" t="s">
        <v>7888</v>
      </c>
      <c r="P229" s="237" t="s">
        <v>7005</v>
      </c>
      <c r="Q229" s="237"/>
      <c r="R229" s="231"/>
    </row>
    <row r="230">
      <c r="G230" s="232">
        <v>228.0</v>
      </c>
      <c r="H230" s="237" t="s">
        <v>7889</v>
      </c>
      <c r="I230" s="237" t="s">
        <v>7676</v>
      </c>
      <c r="J230" s="233">
        <v>6.0</v>
      </c>
      <c r="K230" s="237" t="s">
        <v>7890</v>
      </c>
      <c r="L230" s="237" t="s">
        <v>6933</v>
      </c>
      <c r="M230" s="237" t="s">
        <v>7891</v>
      </c>
      <c r="N230" s="237" t="s">
        <v>4549</v>
      </c>
      <c r="O230" s="237" t="s">
        <v>7892</v>
      </c>
      <c r="P230" s="237" t="s">
        <v>7893</v>
      </c>
      <c r="Q230" s="237" t="s">
        <v>7894</v>
      </c>
      <c r="R230" s="237" t="s">
        <v>7173</v>
      </c>
    </row>
    <row r="231">
      <c r="G231" s="232">
        <v>229.0</v>
      </c>
      <c r="H231" s="237" t="s">
        <v>6918</v>
      </c>
      <c r="I231" s="237" t="s">
        <v>7895</v>
      </c>
      <c r="J231" s="233">
        <v>7.0</v>
      </c>
      <c r="K231" s="237" t="s">
        <v>7896</v>
      </c>
      <c r="L231" s="237" t="s">
        <v>7239</v>
      </c>
      <c r="M231" s="237" t="s">
        <v>7897</v>
      </c>
      <c r="N231" s="237" t="s">
        <v>7898</v>
      </c>
      <c r="O231" s="237" t="s">
        <v>7899</v>
      </c>
      <c r="P231" s="237" t="s">
        <v>7900</v>
      </c>
      <c r="Q231" s="237" t="s">
        <v>7901</v>
      </c>
      <c r="R231" s="237" t="s">
        <v>7031</v>
      </c>
    </row>
    <row r="232">
      <c r="G232" s="232">
        <v>230.0</v>
      </c>
      <c r="H232" s="237" t="s">
        <v>6918</v>
      </c>
      <c r="I232" s="237" t="s">
        <v>7895</v>
      </c>
      <c r="J232" s="233">
        <v>7.0</v>
      </c>
      <c r="K232" s="237" t="s">
        <v>7902</v>
      </c>
      <c r="L232" s="237" t="s">
        <v>6921</v>
      </c>
      <c r="M232" s="237" t="s">
        <v>7903</v>
      </c>
      <c r="N232" s="237" t="s">
        <v>5805</v>
      </c>
      <c r="O232" s="237" t="s">
        <v>7904</v>
      </c>
      <c r="P232" s="237" t="s">
        <v>6928</v>
      </c>
      <c r="Q232" s="237" t="s">
        <v>7905</v>
      </c>
      <c r="R232" s="237" t="s">
        <v>7906</v>
      </c>
    </row>
    <row r="233">
      <c r="G233" s="232">
        <v>231.0</v>
      </c>
      <c r="H233" s="237" t="s">
        <v>6918</v>
      </c>
      <c r="I233" s="237" t="s">
        <v>7895</v>
      </c>
      <c r="J233" s="233">
        <v>7.0</v>
      </c>
      <c r="K233" s="237" t="s">
        <v>7907</v>
      </c>
      <c r="L233" s="237" t="s">
        <v>6921</v>
      </c>
      <c r="M233" s="237" t="s">
        <v>7908</v>
      </c>
      <c r="N233" s="237" t="s">
        <v>2127</v>
      </c>
      <c r="O233" s="237" t="s">
        <v>7909</v>
      </c>
      <c r="P233" s="237" t="s">
        <v>6928</v>
      </c>
      <c r="Q233" s="237" t="s">
        <v>7910</v>
      </c>
      <c r="R233" s="237" t="s">
        <v>7168</v>
      </c>
    </row>
    <row r="234">
      <c r="G234" s="232">
        <v>232.0</v>
      </c>
      <c r="H234" s="237" t="s">
        <v>6918</v>
      </c>
      <c r="I234" s="237" t="s">
        <v>7895</v>
      </c>
      <c r="J234" s="233">
        <v>7.0</v>
      </c>
      <c r="K234" s="237" t="s">
        <v>7911</v>
      </c>
      <c r="L234" s="237" t="s">
        <v>6921</v>
      </c>
      <c r="M234" s="237" t="s">
        <v>7912</v>
      </c>
      <c r="N234" s="237" t="s">
        <v>7913</v>
      </c>
      <c r="O234" s="237" t="s">
        <v>7914</v>
      </c>
      <c r="P234" s="237" t="s">
        <v>6928</v>
      </c>
      <c r="Q234" s="237" t="s">
        <v>7915</v>
      </c>
      <c r="R234" s="237" t="s">
        <v>6930</v>
      </c>
    </row>
    <row r="235">
      <c r="G235" s="232">
        <v>233.0</v>
      </c>
      <c r="H235" s="237" t="s">
        <v>6918</v>
      </c>
      <c r="I235" s="237" t="s">
        <v>7895</v>
      </c>
      <c r="J235" s="233">
        <v>7.0</v>
      </c>
      <c r="K235" s="237" t="s">
        <v>7916</v>
      </c>
      <c r="L235" s="237" t="s">
        <v>6921</v>
      </c>
      <c r="M235" s="237" t="s">
        <v>7917</v>
      </c>
      <c r="N235" s="237" t="s">
        <v>7913</v>
      </c>
      <c r="O235" s="237" t="s">
        <v>7918</v>
      </c>
      <c r="P235" s="237" t="s">
        <v>6928</v>
      </c>
      <c r="Q235" s="237" t="s">
        <v>7919</v>
      </c>
      <c r="R235" s="237" t="s">
        <v>6930</v>
      </c>
    </row>
    <row r="236">
      <c r="G236" s="232">
        <v>234.0</v>
      </c>
      <c r="H236" s="237" t="s">
        <v>6918</v>
      </c>
      <c r="I236" s="237" t="s">
        <v>7895</v>
      </c>
      <c r="J236" s="233">
        <v>7.0</v>
      </c>
      <c r="K236" s="237" t="s">
        <v>7920</v>
      </c>
      <c r="L236" s="237" t="s">
        <v>6921</v>
      </c>
      <c r="M236" s="237" t="s">
        <v>7921</v>
      </c>
      <c r="N236" s="237" t="s">
        <v>3175</v>
      </c>
      <c r="O236" s="237" t="s">
        <v>7922</v>
      </c>
      <c r="P236" s="237" t="s">
        <v>6928</v>
      </c>
      <c r="Q236" s="237" t="s">
        <v>7923</v>
      </c>
      <c r="R236" s="237" t="s">
        <v>7031</v>
      </c>
    </row>
    <row r="237">
      <c r="G237" s="232">
        <v>235.0</v>
      </c>
      <c r="H237" s="237" t="s">
        <v>6918</v>
      </c>
      <c r="I237" s="237" t="s">
        <v>7895</v>
      </c>
      <c r="J237" s="233">
        <v>7.0</v>
      </c>
      <c r="K237" s="237" t="s">
        <v>7924</v>
      </c>
      <c r="L237" s="237" t="s">
        <v>6921</v>
      </c>
      <c r="M237" s="237" t="s">
        <v>7925</v>
      </c>
      <c r="N237" s="237" t="s">
        <v>3175</v>
      </c>
      <c r="O237" s="237" t="s">
        <v>7926</v>
      </c>
      <c r="P237" s="237" t="s">
        <v>6928</v>
      </c>
      <c r="Q237" s="237" t="s">
        <v>7927</v>
      </c>
      <c r="R237" s="237" t="s">
        <v>6930</v>
      </c>
    </row>
    <row r="238">
      <c r="G238" s="232">
        <v>236.0</v>
      </c>
      <c r="H238" s="237" t="s">
        <v>6918</v>
      </c>
      <c r="I238" s="237" t="s">
        <v>7895</v>
      </c>
      <c r="J238" s="233">
        <v>7.0</v>
      </c>
      <c r="K238" s="237" t="s">
        <v>7928</v>
      </c>
      <c r="L238" s="237" t="s">
        <v>6921</v>
      </c>
      <c r="M238" s="237" t="s">
        <v>7929</v>
      </c>
      <c r="N238" s="237" t="s">
        <v>3096</v>
      </c>
      <c r="O238" s="237" t="s">
        <v>7930</v>
      </c>
      <c r="P238" s="237" t="s">
        <v>6928</v>
      </c>
      <c r="Q238" s="237" t="s">
        <v>7931</v>
      </c>
      <c r="R238" s="237" t="s">
        <v>6930</v>
      </c>
    </row>
    <row r="239">
      <c r="G239" s="232">
        <v>237.0</v>
      </c>
      <c r="H239" s="237" t="s">
        <v>6918</v>
      </c>
      <c r="I239" s="237" t="s">
        <v>7895</v>
      </c>
      <c r="J239" s="233">
        <v>7.0</v>
      </c>
      <c r="K239" s="237" t="s">
        <v>7932</v>
      </c>
      <c r="L239" s="237" t="s">
        <v>6921</v>
      </c>
      <c r="M239" s="237" t="s">
        <v>7933</v>
      </c>
      <c r="N239" s="237" t="s">
        <v>3096</v>
      </c>
      <c r="O239" s="237" t="s">
        <v>7934</v>
      </c>
      <c r="P239" s="237" t="s">
        <v>6928</v>
      </c>
      <c r="Q239" s="237" t="s">
        <v>7935</v>
      </c>
      <c r="R239" s="237" t="s">
        <v>7031</v>
      </c>
    </row>
    <row r="240">
      <c r="G240" s="232">
        <v>238.0</v>
      </c>
      <c r="H240" s="237" t="s">
        <v>6918</v>
      </c>
      <c r="I240" s="237" t="s">
        <v>7895</v>
      </c>
      <c r="J240" s="233">
        <v>7.0</v>
      </c>
      <c r="K240" s="237" t="s">
        <v>7936</v>
      </c>
      <c r="L240" s="237" t="s">
        <v>6921</v>
      </c>
      <c r="M240" s="237" t="s">
        <v>7937</v>
      </c>
      <c r="N240" s="237" t="s">
        <v>3175</v>
      </c>
      <c r="O240" s="237" t="s">
        <v>7938</v>
      </c>
      <c r="P240" s="237" t="s">
        <v>7093</v>
      </c>
      <c r="Q240" s="237" t="s">
        <v>7939</v>
      </c>
      <c r="R240" s="237" t="s">
        <v>6930</v>
      </c>
    </row>
    <row r="241">
      <c r="G241" s="232">
        <v>239.0</v>
      </c>
      <c r="H241" s="237" t="s">
        <v>6918</v>
      </c>
      <c r="I241" s="237" t="s">
        <v>7895</v>
      </c>
      <c r="J241" s="233">
        <v>7.0</v>
      </c>
      <c r="K241" s="237" t="s">
        <v>7940</v>
      </c>
      <c r="L241" s="237" t="s">
        <v>6933</v>
      </c>
      <c r="M241" s="237" t="s">
        <v>7941</v>
      </c>
      <c r="N241" s="237" t="s">
        <v>3175</v>
      </c>
      <c r="O241" s="237" t="s">
        <v>7942</v>
      </c>
      <c r="P241" s="237" t="s">
        <v>6928</v>
      </c>
      <c r="Q241" s="237" t="s">
        <v>7943</v>
      </c>
      <c r="R241" s="237" t="s">
        <v>6930</v>
      </c>
    </row>
    <row r="242">
      <c r="G242" s="232">
        <v>240.0</v>
      </c>
      <c r="H242" s="237" t="s">
        <v>6918</v>
      </c>
      <c r="I242" s="237" t="s">
        <v>7895</v>
      </c>
      <c r="J242" s="233">
        <v>7.0</v>
      </c>
      <c r="K242" s="237" t="s">
        <v>7944</v>
      </c>
      <c r="L242" s="237" t="s">
        <v>6933</v>
      </c>
      <c r="M242" s="237" t="s">
        <v>7945</v>
      </c>
      <c r="N242" s="237" t="s">
        <v>3175</v>
      </c>
      <c r="O242" s="237" t="s">
        <v>7946</v>
      </c>
      <c r="P242" s="237" t="s">
        <v>7093</v>
      </c>
      <c r="Q242" s="237" t="s">
        <v>7947</v>
      </c>
      <c r="R242" s="237" t="s">
        <v>7031</v>
      </c>
    </row>
    <row r="243">
      <c r="G243" s="232">
        <v>241.0</v>
      </c>
      <c r="H243" s="237" t="s">
        <v>6918</v>
      </c>
      <c r="I243" s="237" t="s">
        <v>7895</v>
      </c>
      <c r="J243" s="233">
        <v>7.0</v>
      </c>
      <c r="K243" s="237" t="s">
        <v>7948</v>
      </c>
      <c r="L243" s="237" t="s">
        <v>6921</v>
      </c>
      <c r="M243" s="237" t="s">
        <v>7949</v>
      </c>
      <c r="N243" s="237" t="s">
        <v>3175</v>
      </c>
      <c r="O243" s="237" t="s">
        <v>7950</v>
      </c>
      <c r="P243" s="237" t="s">
        <v>7375</v>
      </c>
      <c r="Q243" s="237" t="s">
        <v>7951</v>
      </c>
      <c r="R243" s="237" t="s">
        <v>6930</v>
      </c>
    </row>
    <row r="244">
      <c r="G244" s="232">
        <v>242.0</v>
      </c>
      <c r="H244" s="237" t="s">
        <v>6918</v>
      </c>
      <c r="I244" s="237" t="s">
        <v>7895</v>
      </c>
      <c r="J244" s="233">
        <v>7.0</v>
      </c>
      <c r="K244" s="237" t="s">
        <v>3741</v>
      </c>
      <c r="L244" s="237" t="s">
        <v>6921</v>
      </c>
      <c r="M244" s="237" t="s">
        <v>7952</v>
      </c>
      <c r="N244" s="237" t="s">
        <v>3175</v>
      </c>
      <c r="O244" s="237"/>
      <c r="P244" s="231"/>
      <c r="Q244" s="237" t="s">
        <v>7953</v>
      </c>
      <c r="R244" s="237" t="s">
        <v>6930</v>
      </c>
    </row>
    <row r="245">
      <c r="G245" s="232">
        <v>243.0</v>
      </c>
      <c r="H245" s="237" t="s">
        <v>6918</v>
      </c>
      <c r="I245" s="237" t="s">
        <v>7895</v>
      </c>
      <c r="J245" s="233">
        <v>7.0</v>
      </c>
      <c r="K245" s="237" t="s">
        <v>7954</v>
      </c>
      <c r="L245" s="237" t="s">
        <v>6933</v>
      </c>
      <c r="M245" s="237" t="s">
        <v>7955</v>
      </c>
      <c r="N245" s="237" t="s">
        <v>154</v>
      </c>
      <c r="O245" s="237" t="s">
        <v>7956</v>
      </c>
      <c r="P245" s="237" t="s">
        <v>6928</v>
      </c>
      <c r="Q245" s="237" t="s">
        <v>7957</v>
      </c>
      <c r="R245" s="237" t="s">
        <v>6930</v>
      </c>
    </row>
    <row r="246">
      <c r="G246" s="232">
        <v>244.0</v>
      </c>
      <c r="H246" s="237" t="s">
        <v>6918</v>
      </c>
      <c r="I246" s="237" t="s">
        <v>7895</v>
      </c>
      <c r="J246" s="233">
        <v>7.0</v>
      </c>
      <c r="K246" s="237" t="s">
        <v>3427</v>
      </c>
      <c r="L246" s="237" t="s">
        <v>6933</v>
      </c>
      <c r="M246" s="237" t="s">
        <v>7958</v>
      </c>
      <c r="N246" s="237" t="s">
        <v>154</v>
      </c>
      <c r="O246" s="237" t="s">
        <v>7959</v>
      </c>
      <c r="P246" s="237" t="s">
        <v>6928</v>
      </c>
      <c r="Q246" s="237" t="s">
        <v>7960</v>
      </c>
      <c r="R246" s="237" t="s">
        <v>6930</v>
      </c>
    </row>
    <row r="247">
      <c r="G247" s="232">
        <v>245.0</v>
      </c>
      <c r="H247" s="237" t="s">
        <v>6918</v>
      </c>
      <c r="I247" s="237" t="s">
        <v>7895</v>
      </c>
      <c r="J247" s="233">
        <v>7.0</v>
      </c>
      <c r="K247" s="237" t="s">
        <v>7961</v>
      </c>
      <c r="L247" s="237" t="s">
        <v>6921</v>
      </c>
      <c r="M247" s="237" t="s">
        <v>7962</v>
      </c>
      <c r="N247" s="237" t="s">
        <v>154</v>
      </c>
      <c r="O247" s="237" t="s">
        <v>7963</v>
      </c>
      <c r="P247" s="237" t="s">
        <v>7157</v>
      </c>
      <c r="Q247" s="237" t="s">
        <v>7964</v>
      </c>
      <c r="R247" s="237" t="s">
        <v>7414</v>
      </c>
    </row>
    <row r="248">
      <c r="G248" s="232">
        <v>246.0</v>
      </c>
      <c r="H248" s="237" t="s">
        <v>6918</v>
      </c>
      <c r="I248" s="237" t="s">
        <v>7895</v>
      </c>
      <c r="J248" s="233">
        <v>7.0</v>
      </c>
      <c r="K248" s="237" t="s">
        <v>4950</v>
      </c>
      <c r="L248" s="237" t="s">
        <v>6921</v>
      </c>
      <c r="M248" s="237" t="s">
        <v>7965</v>
      </c>
      <c r="N248" s="237" t="s">
        <v>154</v>
      </c>
      <c r="O248" s="237" t="s">
        <v>7966</v>
      </c>
      <c r="P248" s="237" t="s">
        <v>7144</v>
      </c>
      <c r="Q248" s="237" t="s">
        <v>7967</v>
      </c>
      <c r="R248" s="237" t="s">
        <v>7729</v>
      </c>
    </row>
    <row r="249">
      <c r="G249" s="232">
        <v>247.0</v>
      </c>
      <c r="H249" s="237" t="s">
        <v>6918</v>
      </c>
      <c r="I249" s="237" t="s">
        <v>7895</v>
      </c>
      <c r="J249" s="233">
        <v>7.0</v>
      </c>
      <c r="K249" s="237" t="s">
        <v>151</v>
      </c>
      <c r="L249" s="237" t="s">
        <v>6921</v>
      </c>
      <c r="M249" s="237" t="s">
        <v>7968</v>
      </c>
      <c r="N249" s="237" t="s">
        <v>154</v>
      </c>
      <c r="O249" s="237" t="s">
        <v>7969</v>
      </c>
      <c r="P249" s="237" t="s">
        <v>7048</v>
      </c>
      <c r="Q249" s="237" t="s">
        <v>7970</v>
      </c>
      <c r="R249" s="237" t="s">
        <v>7050</v>
      </c>
    </row>
    <row r="250">
      <c r="G250" s="232">
        <v>248.0</v>
      </c>
      <c r="H250" s="237" t="s">
        <v>6918</v>
      </c>
      <c r="I250" s="237" t="s">
        <v>7895</v>
      </c>
      <c r="J250" s="233">
        <v>7.0</v>
      </c>
      <c r="K250" s="237" t="s">
        <v>3177</v>
      </c>
      <c r="L250" s="237" t="s">
        <v>6921</v>
      </c>
      <c r="M250" s="237" t="s">
        <v>3178</v>
      </c>
      <c r="N250" s="237" t="s">
        <v>154</v>
      </c>
      <c r="O250" s="237" t="s">
        <v>7971</v>
      </c>
      <c r="P250" s="231"/>
      <c r="Q250" s="237" t="s">
        <v>7972</v>
      </c>
      <c r="R250" s="231"/>
    </row>
    <row r="251">
      <c r="G251" s="232">
        <v>249.0</v>
      </c>
      <c r="H251" s="237" t="s">
        <v>6918</v>
      </c>
      <c r="I251" s="237" t="s">
        <v>7895</v>
      </c>
      <c r="J251" s="233">
        <v>7.0</v>
      </c>
      <c r="K251" s="237" t="s">
        <v>7973</v>
      </c>
      <c r="L251" s="237" t="s">
        <v>6921</v>
      </c>
      <c r="M251" s="237" t="s">
        <v>7974</v>
      </c>
      <c r="N251" s="237" t="s">
        <v>7626</v>
      </c>
      <c r="O251" s="237" t="s">
        <v>7975</v>
      </c>
      <c r="P251" s="237" t="s">
        <v>6928</v>
      </c>
      <c r="Q251" s="237"/>
      <c r="R251" s="231"/>
    </row>
    <row r="252">
      <c r="G252" s="232">
        <v>250.0</v>
      </c>
      <c r="H252" s="237" t="s">
        <v>6918</v>
      </c>
      <c r="I252" s="237" t="s">
        <v>7895</v>
      </c>
      <c r="J252" s="233">
        <v>7.0</v>
      </c>
      <c r="K252" s="237" t="s">
        <v>7976</v>
      </c>
      <c r="L252" s="237" t="s">
        <v>6921</v>
      </c>
      <c r="M252" s="237" t="s">
        <v>7977</v>
      </c>
      <c r="N252" s="237" t="s">
        <v>686</v>
      </c>
      <c r="O252" s="237" t="s">
        <v>7978</v>
      </c>
      <c r="P252" s="237" t="s">
        <v>7144</v>
      </c>
      <c r="Q252" s="237" t="s">
        <v>7979</v>
      </c>
      <c r="R252" s="237" t="s">
        <v>6930</v>
      </c>
    </row>
    <row r="253">
      <c r="G253" s="232">
        <v>251.0</v>
      </c>
      <c r="H253" s="237" t="s">
        <v>6918</v>
      </c>
      <c r="I253" s="237" t="s">
        <v>7895</v>
      </c>
      <c r="J253" s="233">
        <v>7.0</v>
      </c>
      <c r="K253" s="237" t="s">
        <v>7980</v>
      </c>
      <c r="L253" s="237" t="s">
        <v>6921</v>
      </c>
      <c r="M253" s="237" t="s">
        <v>7981</v>
      </c>
      <c r="N253" s="237" t="s">
        <v>686</v>
      </c>
      <c r="O253" s="237" t="s">
        <v>7982</v>
      </c>
      <c r="P253" s="237" t="s">
        <v>7144</v>
      </c>
      <c r="Q253" s="237" t="s">
        <v>7983</v>
      </c>
      <c r="R253" s="237" t="s">
        <v>6930</v>
      </c>
    </row>
    <row r="254">
      <c r="G254" s="232">
        <v>252.0</v>
      </c>
      <c r="H254" s="237" t="s">
        <v>6918</v>
      </c>
      <c r="I254" s="237" t="s">
        <v>7895</v>
      </c>
      <c r="J254" s="233">
        <v>7.0</v>
      </c>
      <c r="K254" s="237" t="s">
        <v>7984</v>
      </c>
      <c r="L254" s="237" t="s">
        <v>6933</v>
      </c>
      <c r="M254" s="237" t="s">
        <v>7985</v>
      </c>
      <c r="N254" s="237" t="s">
        <v>686</v>
      </c>
      <c r="O254" s="237" t="s">
        <v>7986</v>
      </c>
      <c r="P254" s="237" t="s">
        <v>6928</v>
      </c>
      <c r="Q254" s="237" t="s">
        <v>7987</v>
      </c>
      <c r="R254" s="237" t="s">
        <v>7050</v>
      </c>
    </row>
    <row r="255">
      <c r="G255" s="232">
        <v>253.0</v>
      </c>
      <c r="H255" s="237" t="s">
        <v>6918</v>
      </c>
      <c r="I255" s="237" t="s">
        <v>7895</v>
      </c>
      <c r="J255" s="233">
        <v>7.0</v>
      </c>
      <c r="K255" s="237" t="s">
        <v>7988</v>
      </c>
      <c r="L255" s="237" t="s">
        <v>6921</v>
      </c>
      <c r="M255" s="237" t="s">
        <v>7989</v>
      </c>
      <c r="N255" s="237" t="s">
        <v>686</v>
      </c>
      <c r="O255" s="237" t="s">
        <v>7990</v>
      </c>
      <c r="P255" s="237" t="s">
        <v>7144</v>
      </c>
      <c r="Q255" s="237" t="s">
        <v>7991</v>
      </c>
      <c r="R255" s="237" t="s">
        <v>7031</v>
      </c>
    </row>
    <row r="256">
      <c r="G256" s="232">
        <v>254.0</v>
      </c>
      <c r="H256" s="237" t="s">
        <v>6918</v>
      </c>
      <c r="I256" s="237" t="s">
        <v>7895</v>
      </c>
      <c r="J256" s="233">
        <v>7.0</v>
      </c>
      <c r="K256" s="237" t="s">
        <v>7992</v>
      </c>
      <c r="L256" s="237" t="s">
        <v>6921</v>
      </c>
      <c r="M256" s="237" t="s">
        <v>7993</v>
      </c>
      <c r="N256" s="237" t="s">
        <v>1770</v>
      </c>
      <c r="O256" s="237" t="s">
        <v>7994</v>
      </c>
      <c r="P256" s="237" t="s">
        <v>7048</v>
      </c>
      <c r="Q256" s="237" t="s">
        <v>7995</v>
      </c>
      <c r="R256" s="237" t="s">
        <v>7050</v>
      </c>
    </row>
    <row r="257">
      <c r="G257" s="232">
        <v>255.0</v>
      </c>
      <c r="H257" s="237" t="s">
        <v>6918</v>
      </c>
      <c r="I257" s="237" t="s">
        <v>7895</v>
      </c>
      <c r="J257" s="233">
        <v>7.0</v>
      </c>
      <c r="K257" s="237" t="s">
        <v>6510</v>
      </c>
      <c r="L257" s="237" t="s">
        <v>6921</v>
      </c>
      <c r="M257" s="237" t="s">
        <v>7996</v>
      </c>
      <c r="N257" s="237" t="s">
        <v>2269</v>
      </c>
      <c r="O257" s="237" t="s">
        <v>7997</v>
      </c>
      <c r="P257" s="237" t="s">
        <v>6928</v>
      </c>
      <c r="Q257" s="237" t="s">
        <v>7998</v>
      </c>
      <c r="R257" s="237" t="s">
        <v>7168</v>
      </c>
    </row>
    <row r="258">
      <c r="G258" s="232">
        <v>256.0</v>
      </c>
      <c r="H258" s="237" t="s">
        <v>6918</v>
      </c>
      <c r="I258" s="237" t="s">
        <v>7895</v>
      </c>
      <c r="J258" s="233">
        <v>7.0</v>
      </c>
      <c r="K258" s="237" t="s">
        <v>7999</v>
      </c>
      <c r="L258" s="237" t="s">
        <v>6921</v>
      </c>
      <c r="M258" s="237" t="s">
        <v>8000</v>
      </c>
      <c r="N258" s="237" t="s">
        <v>2603</v>
      </c>
      <c r="O258" s="237" t="s">
        <v>8001</v>
      </c>
      <c r="P258" s="237" t="s">
        <v>6928</v>
      </c>
      <c r="Q258" s="237" t="s">
        <v>8002</v>
      </c>
      <c r="R258" s="237" t="s">
        <v>6930</v>
      </c>
    </row>
    <row r="259">
      <c r="G259" s="232">
        <v>257.0</v>
      </c>
      <c r="H259" s="237" t="s">
        <v>6918</v>
      </c>
      <c r="I259" s="237" t="s">
        <v>7895</v>
      </c>
      <c r="J259" s="233">
        <v>7.0</v>
      </c>
      <c r="K259" s="237" t="s">
        <v>943</v>
      </c>
      <c r="L259" s="237" t="s">
        <v>6921</v>
      </c>
      <c r="M259" s="237" t="s">
        <v>8003</v>
      </c>
      <c r="N259" s="237" t="s">
        <v>946</v>
      </c>
      <c r="O259" s="237" t="s">
        <v>8004</v>
      </c>
      <c r="P259" s="237" t="s">
        <v>6928</v>
      </c>
      <c r="Q259" s="237" t="s">
        <v>8005</v>
      </c>
      <c r="R259" s="237" t="s">
        <v>7012</v>
      </c>
    </row>
    <row r="260">
      <c r="G260" s="232">
        <v>258.0</v>
      </c>
      <c r="H260" s="237" t="s">
        <v>6918</v>
      </c>
      <c r="I260" s="237" t="s">
        <v>7895</v>
      </c>
      <c r="J260" s="233">
        <v>7.0</v>
      </c>
      <c r="K260" s="237" t="s">
        <v>8006</v>
      </c>
      <c r="L260" s="237" t="s">
        <v>6921</v>
      </c>
      <c r="M260" s="237" t="s">
        <v>8007</v>
      </c>
      <c r="N260" s="237" t="s">
        <v>946</v>
      </c>
      <c r="O260" s="237" t="s">
        <v>8008</v>
      </c>
      <c r="P260" s="237" t="s">
        <v>7048</v>
      </c>
      <c r="Q260" s="237" t="s">
        <v>8009</v>
      </c>
      <c r="R260" s="237" t="s">
        <v>7050</v>
      </c>
    </row>
    <row r="261">
      <c r="G261" s="232">
        <v>259.0</v>
      </c>
      <c r="H261" s="237" t="s">
        <v>6918</v>
      </c>
      <c r="I261" s="237" t="s">
        <v>7895</v>
      </c>
      <c r="J261" s="233">
        <v>7.0</v>
      </c>
      <c r="K261" s="237" t="s">
        <v>8010</v>
      </c>
      <c r="L261" s="237" t="s">
        <v>6921</v>
      </c>
      <c r="M261" s="237" t="s">
        <v>8011</v>
      </c>
      <c r="N261" s="237" t="s">
        <v>946</v>
      </c>
      <c r="O261" s="237" t="s">
        <v>8012</v>
      </c>
      <c r="P261" s="237" t="s">
        <v>7398</v>
      </c>
      <c r="Q261" s="237" t="s">
        <v>8013</v>
      </c>
      <c r="R261" s="237" t="s">
        <v>6930</v>
      </c>
    </row>
    <row r="262">
      <c r="G262" s="232">
        <v>260.0</v>
      </c>
      <c r="H262" s="237" t="s">
        <v>6918</v>
      </c>
      <c r="I262" s="237" t="s">
        <v>7524</v>
      </c>
      <c r="J262" s="233">
        <v>7.0</v>
      </c>
      <c r="K262" s="237" t="s">
        <v>684</v>
      </c>
      <c r="L262" s="237" t="s">
        <v>6921</v>
      </c>
      <c r="M262" s="237" t="s">
        <v>8014</v>
      </c>
      <c r="N262" s="237" t="s">
        <v>1722</v>
      </c>
      <c r="O262" s="237" t="s">
        <v>7532</v>
      </c>
      <c r="P262" s="237" t="s">
        <v>6928</v>
      </c>
      <c r="Q262" s="237" t="s">
        <v>8015</v>
      </c>
      <c r="R262" s="237" t="s">
        <v>6930</v>
      </c>
    </row>
    <row r="263">
      <c r="G263" s="232">
        <v>261.0</v>
      </c>
      <c r="H263" s="237" t="s">
        <v>6918</v>
      </c>
      <c r="I263" s="237" t="s">
        <v>7895</v>
      </c>
      <c r="J263" s="233">
        <v>7.0</v>
      </c>
      <c r="K263" s="237" t="s">
        <v>8016</v>
      </c>
      <c r="L263" s="237" t="s">
        <v>6921</v>
      </c>
      <c r="M263" s="237" t="s">
        <v>8017</v>
      </c>
      <c r="N263" s="237" t="s">
        <v>624</v>
      </c>
      <c r="O263" s="237" t="s">
        <v>8018</v>
      </c>
      <c r="P263" s="231"/>
      <c r="Q263" s="237" t="s">
        <v>8019</v>
      </c>
      <c r="R263" s="231"/>
    </row>
    <row r="264">
      <c r="G264" s="232">
        <v>262.0</v>
      </c>
      <c r="H264" s="237" t="s">
        <v>7400</v>
      </c>
      <c r="I264" s="237" t="s">
        <v>7895</v>
      </c>
      <c r="J264" s="233">
        <v>7.0</v>
      </c>
      <c r="K264" s="237" t="s">
        <v>3124</v>
      </c>
      <c r="L264" s="237" t="s">
        <v>6921</v>
      </c>
      <c r="M264" s="237" t="s">
        <v>8020</v>
      </c>
      <c r="N264" s="237" t="s">
        <v>1207</v>
      </c>
      <c r="O264" s="237" t="s">
        <v>8021</v>
      </c>
      <c r="P264" s="231"/>
      <c r="Q264" s="237" t="s">
        <v>8022</v>
      </c>
      <c r="R264" s="231"/>
    </row>
    <row r="265">
      <c r="G265" s="232">
        <v>263.0</v>
      </c>
      <c r="H265" s="237" t="s">
        <v>7385</v>
      </c>
      <c r="I265" s="237" t="s">
        <v>7895</v>
      </c>
      <c r="J265" s="233">
        <v>7.0</v>
      </c>
      <c r="K265" s="237" t="s">
        <v>8023</v>
      </c>
      <c r="L265" s="237" t="s">
        <v>6921</v>
      </c>
      <c r="M265" s="237" t="s">
        <v>8024</v>
      </c>
      <c r="N265" s="237" t="s">
        <v>1171</v>
      </c>
      <c r="O265" s="237" t="s">
        <v>8025</v>
      </c>
      <c r="Q265" s="237" t="s">
        <v>8026</v>
      </c>
      <c r="R265" s="231"/>
    </row>
    <row r="266">
      <c r="G266" s="232">
        <v>264.0</v>
      </c>
      <c r="H266" s="237" t="s">
        <v>6918</v>
      </c>
      <c r="I266" s="237" t="s">
        <v>8027</v>
      </c>
      <c r="J266" s="233">
        <v>8.0</v>
      </c>
      <c r="K266" s="237" t="s">
        <v>8028</v>
      </c>
      <c r="L266" s="237" t="s">
        <v>6921</v>
      </c>
      <c r="M266" s="237" t="s">
        <v>8029</v>
      </c>
      <c r="N266" s="237" t="s">
        <v>2165</v>
      </c>
      <c r="O266" s="237" t="s">
        <v>8030</v>
      </c>
      <c r="P266" s="237" t="s">
        <v>6937</v>
      </c>
      <c r="Q266" s="237"/>
      <c r="R266" s="231"/>
    </row>
    <row r="267">
      <c r="G267" s="232">
        <v>265.0</v>
      </c>
      <c r="H267" s="237" t="s">
        <v>6918</v>
      </c>
      <c r="I267" s="237" t="s">
        <v>8027</v>
      </c>
      <c r="J267" s="233">
        <v>8.0</v>
      </c>
      <c r="K267" s="237" t="s">
        <v>8031</v>
      </c>
      <c r="L267" s="237" t="s">
        <v>6921</v>
      </c>
      <c r="M267" s="237" t="s">
        <v>8032</v>
      </c>
      <c r="N267" s="237" t="s">
        <v>2165</v>
      </c>
      <c r="O267" s="237" t="s">
        <v>8033</v>
      </c>
      <c r="P267" s="237" t="s">
        <v>7157</v>
      </c>
      <c r="Q267" s="237" t="s">
        <v>8034</v>
      </c>
      <c r="R267" s="237" t="s">
        <v>6995</v>
      </c>
    </row>
    <row r="268">
      <c r="G268" s="232">
        <v>266.0</v>
      </c>
      <c r="H268" s="237" t="s">
        <v>6918</v>
      </c>
      <c r="I268" s="237" t="s">
        <v>8035</v>
      </c>
      <c r="J268" s="233">
        <v>8.0</v>
      </c>
      <c r="K268" s="237" t="s">
        <v>4732</v>
      </c>
      <c r="L268" s="237" t="s">
        <v>6921</v>
      </c>
      <c r="M268" s="237" t="s">
        <v>8036</v>
      </c>
      <c r="N268" s="237" t="s">
        <v>8037</v>
      </c>
      <c r="O268" s="237" t="s">
        <v>8038</v>
      </c>
      <c r="P268" s="237" t="s">
        <v>6924</v>
      </c>
      <c r="Q268" s="237"/>
      <c r="R268" s="231"/>
    </row>
    <row r="269">
      <c r="G269" s="232">
        <v>267.0</v>
      </c>
      <c r="H269" s="237" t="s">
        <v>6918</v>
      </c>
      <c r="I269" s="237" t="s">
        <v>8035</v>
      </c>
      <c r="J269" s="233">
        <v>8.0</v>
      </c>
      <c r="K269" s="237" t="s">
        <v>4739</v>
      </c>
      <c r="L269" s="237" t="s">
        <v>6921</v>
      </c>
      <c r="M269" s="237" t="s">
        <v>8039</v>
      </c>
      <c r="N269" s="237" t="s">
        <v>8037</v>
      </c>
      <c r="O269" s="237" t="s">
        <v>8040</v>
      </c>
      <c r="P269" s="237" t="s">
        <v>7398</v>
      </c>
      <c r="Q269" s="237" t="s">
        <v>8041</v>
      </c>
      <c r="R269" s="237" t="s">
        <v>6930</v>
      </c>
    </row>
    <row r="270">
      <c r="G270" s="232">
        <v>268.0</v>
      </c>
      <c r="H270" s="237" t="s">
        <v>6918</v>
      </c>
      <c r="I270" s="237" t="s">
        <v>8042</v>
      </c>
      <c r="J270" s="233">
        <v>8.0</v>
      </c>
      <c r="K270" s="237" t="s">
        <v>4808</v>
      </c>
      <c r="L270" s="237" t="s">
        <v>6921</v>
      </c>
      <c r="M270" s="237" t="s">
        <v>8043</v>
      </c>
      <c r="N270" s="237" t="s">
        <v>4806</v>
      </c>
      <c r="O270" s="237" t="s">
        <v>8044</v>
      </c>
      <c r="P270" s="237" t="s">
        <v>6993</v>
      </c>
      <c r="Q270" s="237" t="s">
        <v>8045</v>
      </c>
      <c r="R270" s="237" t="s">
        <v>8046</v>
      </c>
    </row>
    <row r="271">
      <c r="G271" s="232">
        <v>269.0</v>
      </c>
      <c r="H271" s="237" t="s">
        <v>6918</v>
      </c>
      <c r="I271" s="237" t="s">
        <v>8035</v>
      </c>
      <c r="J271" s="233">
        <v>8.0</v>
      </c>
      <c r="K271" s="237" t="s">
        <v>4849</v>
      </c>
      <c r="L271" s="237" t="s">
        <v>6933</v>
      </c>
      <c r="M271" s="237" t="s">
        <v>8047</v>
      </c>
      <c r="N271" s="237" t="s">
        <v>813</v>
      </c>
      <c r="O271" s="237" t="s">
        <v>8048</v>
      </c>
      <c r="P271" s="237" t="s">
        <v>8049</v>
      </c>
      <c r="Q271" s="237"/>
      <c r="R271" s="231"/>
    </row>
    <row r="272">
      <c r="G272" s="232">
        <v>270.0</v>
      </c>
      <c r="H272" s="237" t="s">
        <v>6918</v>
      </c>
      <c r="I272" s="237" t="s">
        <v>8035</v>
      </c>
      <c r="J272" s="233">
        <v>8.0</v>
      </c>
      <c r="K272" s="237" t="s">
        <v>4855</v>
      </c>
      <c r="L272" s="237" t="s">
        <v>6933</v>
      </c>
      <c r="M272" s="237" t="s">
        <v>8050</v>
      </c>
      <c r="N272" s="237" t="s">
        <v>813</v>
      </c>
      <c r="O272" s="237" t="s">
        <v>8051</v>
      </c>
      <c r="P272" s="237" t="s">
        <v>8052</v>
      </c>
      <c r="Q272" s="237"/>
      <c r="R272" s="231"/>
    </row>
    <row r="273">
      <c r="G273" s="232">
        <v>271.0</v>
      </c>
      <c r="H273" s="237" t="s">
        <v>6918</v>
      </c>
      <c r="I273" s="237" t="s">
        <v>8035</v>
      </c>
      <c r="J273" s="233">
        <v>8.0</v>
      </c>
      <c r="K273" s="237" t="s">
        <v>810</v>
      </c>
      <c r="L273" s="237" t="s">
        <v>6933</v>
      </c>
      <c r="M273" s="237" t="s">
        <v>8053</v>
      </c>
      <c r="N273" s="237" t="s">
        <v>813</v>
      </c>
      <c r="O273" s="237" t="s">
        <v>8054</v>
      </c>
      <c r="P273" s="237" t="s">
        <v>8055</v>
      </c>
      <c r="Q273" s="237"/>
      <c r="R273" s="231"/>
    </row>
    <row r="274">
      <c r="G274" s="232">
        <v>272.0</v>
      </c>
      <c r="H274" s="237" t="s">
        <v>6918</v>
      </c>
      <c r="I274" s="237" t="s">
        <v>8035</v>
      </c>
      <c r="J274" s="233">
        <v>8.0</v>
      </c>
      <c r="K274" s="237" t="s">
        <v>4862</v>
      </c>
      <c r="L274" s="237" t="s">
        <v>6933</v>
      </c>
      <c r="M274" s="237" t="s">
        <v>8056</v>
      </c>
      <c r="N274" s="237" t="s">
        <v>813</v>
      </c>
      <c r="O274" s="237" t="s">
        <v>8057</v>
      </c>
      <c r="P274" s="237" t="s">
        <v>8049</v>
      </c>
      <c r="Q274" s="237"/>
      <c r="R274" s="231"/>
    </row>
    <row r="275">
      <c r="G275" s="232">
        <v>273.0</v>
      </c>
      <c r="H275" s="237" t="s">
        <v>6918</v>
      </c>
      <c r="I275" s="237" t="s">
        <v>8035</v>
      </c>
      <c r="J275" s="233">
        <v>8.0</v>
      </c>
      <c r="K275" s="237" t="s">
        <v>4867</v>
      </c>
      <c r="L275" s="237" t="s">
        <v>6933</v>
      </c>
      <c r="M275" s="237" t="s">
        <v>8058</v>
      </c>
      <c r="N275" s="237" t="s">
        <v>813</v>
      </c>
      <c r="O275" s="237" t="s">
        <v>8059</v>
      </c>
      <c r="P275" s="237" t="s">
        <v>8049</v>
      </c>
      <c r="Q275" s="237"/>
      <c r="R275" s="231"/>
    </row>
    <row r="276">
      <c r="G276" s="232">
        <v>274.0</v>
      </c>
      <c r="H276" s="237" t="s">
        <v>6918</v>
      </c>
      <c r="I276" s="237" t="s">
        <v>8035</v>
      </c>
      <c r="J276" s="233">
        <v>8.0</v>
      </c>
      <c r="K276" s="237" t="s">
        <v>4872</v>
      </c>
      <c r="L276" s="237" t="s">
        <v>6921</v>
      </c>
      <c r="M276" s="237" t="s">
        <v>8060</v>
      </c>
      <c r="N276" s="237" t="s">
        <v>813</v>
      </c>
      <c r="O276" s="237" t="s">
        <v>8061</v>
      </c>
      <c r="P276" s="237" t="s">
        <v>8055</v>
      </c>
      <c r="Q276" s="237"/>
      <c r="R276" s="231"/>
    </row>
    <row r="277">
      <c r="G277" s="232">
        <v>275.0</v>
      </c>
      <c r="H277" s="237" t="s">
        <v>6918</v>
      </c>
      <c r="I277" s="237" t="s">
        <v>8035</v>
      </c>
      <c r="J277" s="233">
        <v>8.0</v>
      </c>
      <c r="K277" s="237" t="s">
        <v>4900</v>
      </c>
      <c r="L277" s="237" t="s">
        <v>6921</v>
      </c>
      <c r="M277" s="237" t="s">
        <v>8062</v>
      </c>
      <c r="N277" s="237" t="s">
        <v>813</v>
      </c>
      <c r="O277" s="237" t="s">
        <v>8063</v>
      </c>
      <c r="P277" s="237" t="s">
        <v>8052</v>
      </c>
      <c r="Q277" s="237"/>
      <c r="R277" s="231"/>
    </row>
    <row r="278">
      <c r="G278" s="232">
        <v>276.0</v>
      </c>
      <c r="H278" s="237" t="s">
        <v>6918</v>
      </c>
      <c r="I278" s="237" t="s">
        <v>8035</v>
      </c>
      <c r="J278" s="233">
        <v>8.0</v>
      </c>
      <c r="K278" s="237" t="s">
        <v>4905</v>
      </c>
      <c r="L278" s="237" t="s">
        <v>6933</v>
      </c>
      <c r="M278" s="237" t="s">
        <v>8064</v>
      </c>
      <c r="N278" s="237" t="s">
        <v>813</v>
      </c>
      <c r="O278" s="237" t="s">
        <v>8065</v>
      </c>
      <c r="P278" s="237" t="s">
        <v>8066</v>
      </c>
      <c r="Q278" s="237"/>
      <c r="R278" s="237" t="s">
        <v>8067</v>
      </c>
    </row>
    <row r="279">
      <c r="G279" s="232">
        <v>277.0</v>
      </c>
      <c r="H279" s="237" t="s">
        <v>6918</v>
      </c>
      <c r="I279" s="237" t="s">
        <v>8035</v>
      </c>
      <c r="J279" s="233">
        <v>8.0</v>
      </c>
      <c r="K279" s="237" t="s">
        <v>4910</v>
      </c>
      <c r="L279" s="237" t="s">
        <v>6933</v>
      </c>
      <c r="M279" s="237" t="s">
        <v>8068</v>
      </c>
      <c r="N279" s="237" t="s">
        <v>813</v>
      </c>
      <c r="O279" s="237" t="s">
        <v>8069</v>
      </c>
      <c r="P279" s="237" t="s">
        <v>8070</v>
      </c>
      <c r="Q279" s="237"/>
      <c r="R279" s="231"/>
    </row>
    <row r="280">
      <c r="G280" s="232">
        <v>278.0</v>
      </c>
      <c r="H280" s="237" t="s">
        <v>6918</v>
      </c>
      <c r="I280" s="237" t="s">
        <v>8035</v>
      </c>
      <c r="J280" s="233">
        <v>8.0</v>
      </c>
      <c r="K280" s="237" t="s">
        <v>4814</v>
      </c>
      <c r="L280" s="237" t="s">
        <v>6933</v>
      </c>
      <c r="M280" s="237" t="s">
        <v>8071</v>
      </c>
      <c r="N280" s="237" t="s">
        <v>4812</v>
      </c>
      <c r="O280" s="237" t="s">
        <v>8072</v>
      </c>
      <c r="P280" s="237" t="s">
        <v>7357</v>
      </c>
      <c r="Q280" s="237" t="s">
        <v>8073</v>
      </c>
      <c r="R280" s="237" t="s">
        <v>7019</v>
      </c>
    </row>
    <row r="281">
      <c r="G281" s="232">
        <v>279.0</v>
      </c>
      <c r="H281" s="237" t="s">
        <v>6918</v>
      </c>
      <c r="I281" s="237" t="s">
        <v>8035</v>
      </c>
      <c r="J281" s="233">
        <v>8.0</v>
      </c>
      <c r="K281" s="237" t="s">
        <v>4821</v>
      </c>
      <c r="L281" s="237" t="s">
        <v>6933</v>
      </c>
      <c r="M281" s="237" t="s">
        <v>8074</v>
      </c>
      <c r="N281" s="237" t="s">
        <v>4819</v>
      </c>
      <c r="O281" s="237" t="s">
        <v>8075</v>
      </c>
      <c r="P281" s="237" t="s">
        <v>8076</v>
      </c>
      <c r="Q281" s="237" t="s">
        <v>8077</v>
      </c>
      <c r="R281" s="237" t="s">
        <v>7012</v>
      </c>
    </row>
    <row r="282">
      <c r="G282" s="232">
        <v>280.0</v>
      </c>
      <c r="H282" s="237" t="s">
        <v>6918</v>
      </c>
      <c r="I282" s="237" t="s">
        <v>8078</v>
      </c>
      <c r="J282" s="233">
        <v>8.0</v>
      </c>
      <c r="K282" s="237" t="s">
        <v>4838</v>
      </c>
      <c r="L282" s="237" t="s">
        <v>6921</v>
      </c>
      <c r="M282" s="237" t="s">
        <v>8079</v>
      </c>
      <c r="N282" s="237" t="s">
        <v>4836</v>
      </c>
      <c r="O282" s="237" t="s">
        <v>8080</v>
      </c>
      <c r="P282" s="237" t="s">
        <v>7357</v>
      </c>
      <c r="Q282" s="237" t="s">
        <v>8081</v>
      </c>
      <c r="R282" s="237" t="s">
        <v>7019</v>
      </c>
    </row>
    <row r="283">
      <c r="G283" s="232">
        <v>281.0</v>
      </c>
      <c r="H283" s="237" t="s">
        <v>6918</v>
      </c>
      <c r="I283" s="237" t="s">
        <v>8035</v>
      </c>
      <c r="J283" s="233">
        <v>8.0</v>
      </c>
      <c r="K283" s="237" t="s">
        <v>4844</v>
      </c>
      <c r="L283" s="237" t="s">
        <v>6921</v>
      </c>
      <c r="M283" s="237" t="s">
        <v>8082</v>
      </c>
      <c r="N283" s="237" t="s">
        <v>4842</v>
      </c>
      <c r="O283" s="237" t="s">
        <v>8083</v>
      </c>
      <c r="P283" s="237" t="s">
        <v>6993</v>
      </c>
      <c r="Q283" s="237"/>
      <c r="R283" s="231"/>
    </row>
    <row r="284">
      <c r="G284" s="232">
        <v>282.0</v>
      </c>
      <c r="H284" s="237" t="s">
        <v>6918</v>
      </c>
      <c r="I284" s="237" t="s">
        <v>8078</v>
      </c>
      <c r="J284" s="233">
        <v>8.0</v>
      </c>
      <c r="K284" s="237" t="s">
        <v>4831</v>
      </c>
      <c r="L284" s="237" t="s">
        <v>6921</v>
      </c>
      <c r="M284" s="237" t="s">
        <v>8084</v>
      </c>
      <c r="N284" s="237" t="s">
        <v>4829</v>
      </c>
      <c r="O284" s="237" t="s">
        <v>8085</v>
      </c>
      <c r="P284" s="237" t="s">
        <v>6993</v>
      </c>
      <c r="Q284" s="237"/>
      <c r="R284" s="231"/>
    </row>
    <row r="285">
      <c r="G285" s="232">
        <v>283.0</v>
      </c>
      <c r="H285" s="237" t="s">
        <v>6918</v>
      </c>
      <c r="I285" s="237" t="s">
        <v>8078</v>
      </c>
      <c r="J285" s="233">
        <v>8.0</v>
      </c>
      <c r="K285" s="237" t="s">
        <v>4879</v>
      </c>
      <c r="L285" s="237" t="s">
        <v>6921</v>
      </c>
      <c r="M285" s="237" t="s">
        <v>8086</v>
      </c>
      <c r="N285" s="237" t="s">
        <v>4877</v>
      </c>
      <c r="O285" s="237" t="s">
        <v>8087</v>
      </c>
      <c r="P285" s="237" t="s">
        <v>6928</v>
      </c>
      <c r="Q285" s="237" t="s">
        <v>8088</v>
      </c>
      <c r="R285" s="237" t="s">
        <v>6930</v>
      </c>
    </row>
    <row r="286">
      <c r="G286" s="232">
        <v>284.0</v>
      </c>
      <c r="H286" s="237" t="s">
        <v>6918</v>
      </c>
      <c r="I286" s="237" t="s">
        <v>8078</v>
      </c>
      <c r="J286" s="233">
        <v>8.0</v>
      </c>
      <c r="K286" s="237" t="s">
        <v>4884</v>
      </c>
      <c r="L286" s="237" t="s">
        <v>7239</v>
      </c>
      <c r="M286" s="237" t="s">
        <v>8089</v>
      </c>
      <c r="N286" s="237" t="s">
        <v>4877</v>
      </c>
      <c r="O286" s="237" t="s">
        <v>8090</v>
      </c>
      <c r="P286" s="237" t="s">
        <v>6928</v>
      </c>
      <c r="Q286" s="237" t="s">
        <v>8091</v>
      </c>
      <c r="R286" s="237" t="s">
        <v>6930</v>
      </c>
    </row>
    <row r="287">
      <c r="G287" s="232">
        <v>285.0</v>
      </c>
      <c r="H287" s="237" t="s">
        <v>6918</v>
      </c>
      <c r="I287" s="237" t="s">
        <v>8078</v>
      </c>
      <c r="J287" s="233">
        <v>8.0</v>
      </c>
      <c r="K287" s="237" t="s">
        <v>4889</v>
      </c>
      <c r="L287" s="237" t="s">
        <v>6933</v>
      </c>
      <c r="M287" s="237" t="s">
        <v>8092</v>
      </c>
      <c r="N287" s="237" t="s">
        <v>4877</v>
      </c>
      <c r="O287" s="237" t="s">
        <v>8093</v>
      </c>
      <c r="P287" s="237" t="s">
        <v>6928</v>
      </c>
      <c r="Q287" s="237" t="s">
        <v>8094</v>
      </c>
      <c r="R287" s="237" t="s">
        <v>6930</v>
      </c>
    </row>
    <row r="288">
      <c r="G288" s="232">
        <v>286.0</v>
      </c>
      <c r="H288" s="237" t="s">
        <v>6918</v>
      </c>
      <c r="I288" s="237" t="s">
        <v>8035</v>
      </c>
      <c r="J288" s="233">
        <v>8.0</v>
      </c>
      <c r="K288" s="237" t="s">
        <v>4894</v>
      </c>
      <c r="L288" s="237" t="s">
        <v>6921</v>
      </c>
      <c r="M288" s="237" t="s">
        <v>8095</v>
      </c>
      <c r="N288" s="237" t="s">
        <v>4877</v>
      </c>
      <c r="O288" s="237" t="s">
        <v>8096</v>
      </c>
      <c r="P288" s="237" t="s">
        <v>6993</v>
      </c>
      <c r="Q288" s="237" t="s">
        <v>8097</v>
      </c>
      <c r="R288" s="237" t="s">
        <v>6930</v>
      </c>
    </row>
    <row r="289">
      <c r="G289" s="232">
        <v>287.0</v>
      </c>
      <c r="H289" s="237" t="s">
        <v>6918</v>
      </c>
      <c r="I289" s="237" t="s">
        <v>8035</v>
      </c>
      <c r="J289" s="233">
        <v>8.0</v>
      </c>
      <c r="K289" s="237" t="s">
        <v>4116</v>
      </c>
      <c r="L289" s="237" t="s">
        <v>6933</v>
      </c>
      <c r="M289" s="237" t="s">
        <v>8098</v>
      </c>
      <c r="N289" s="237" t="s">
        <v>4118</v>
      </c>
      <c r="O289" s="237" t="s">
        <v>8099</v>
      </c>
      <c r="P289" s="231"/>
      <c r="Q289" s="237" t="s">
        <v>8100</v>
      </c>
      <c r="R289" s="231"/>
    </row>
    <row r="290">
      <c r="G290" s="232">
        <v>288.0</v>
      </c>
      <c r="H290" s="237" t="s">
        <v>6918</v>
      </c>
      <c r="I290" s="237" t="s">
        <v>8035</v>
      </c>
      <c r="J290" s="233">
        <v>8.0</v>
      </c>
      <c r="K290" s="237" t="s">
        <v>4745</v>
      </c>
      <c r="L290" s="237" t="s">
        <v>6933</v>
      </c>
      <c r="M290" s="237" t="s">
        <v>8101</v>
      </c>
      <c r="N290" s="237" t="s">
        <v>4743</v>
      </c>
      <c r="O290" s="237" t="s">
        <v>8102</v>
      </c>
      <c r="P290" s="237" t="s">
        <v>7750</v>
      </c>
      <c r="Q290" s="237" t="s">
        <v>8103</v>
      </c>
      <c r="R290" s="237" t="s">
        <v>6939</v>
      </c>
    </row>
    <row r="291">
      <c r="G291" s="232">
        <v>289.0</v>
      </c>
      <c r="H291" s="237" t="s">
        <v>6918</v>
      </c>
      <c r="I291" s="237" t="s">
        <v>8035</v>
      </c>
      <c r="J291" s="233">
        <v>8.0</v>
      </c>
      <c r="K291" s="237" t="s">
        <v>4752</v>
      </c>
      <c r="L291" s="237" t="s">
        <v>6921</v>
      </c>
      <c r="M291" s="237" t="s">
        <v>8104</v>
      </c>
      <c r="N291" s="237" t="s">
        <v>4750</v>
      </c>
      <c r="O291" s="237" t="s">
        <v>8105</v>
      </c>
      <c r="P291" s="237" t="s">
        <v>7005</v>
      </c>
      <c r="Q291" s="237" t="s">
        <v>8106</v>
      </c>
      <c r="R291" s="237" t="s">
        <v>6995</v>
      </c>
    </row>
    <row r="292">
      <c r="G292" s="232">
        <v>290.0</v>
      </c>
      <c r="H292" s="237" t="s">
        <v>6918</v>
      </c>
      <c r="I292" s="237" t="s">
        <v>8035</v>
      </c>
      <c r="J292" s="233">
        <v>8.0</v>
      </c>
      <c r="K292" s="237" t="s">
        <v>4758</v>
      </c>
      <c r="L292" s="237" t="s">
        <v>6921</v>
      </c>
      <c r="M292" s="237" t="s">
        <v>8107</v>
      </c>
      <c r="N292" s="237" t="s">
        <v>656</v>
      </c>
      <c r="O292" s="237" t="s">
        <v>8108</v>
      </c>
      <c r="P292" s="237" t="s">
        <v>6928</v>
      </c>
      <c r="Q292" s="237" t="s">
        <v>8109</v>
      </c>
      <c r="R292" s="237" t="s">
        <v>7136</v>
      </c>
    </row>
    <row r="293">
      <c r="G293" s="232">
        <v>291.0</v>
      </c>
      <c r="H293" s="237" t="s">
        <v>6918</v>
      </c>
      <c r="I293" s="237" t="s">
        <v>8035</v>
      </c>
      <c r="J293" s="233">
        <v>8.0</v>
      </c>
      <c r="K293" s="237" t="s">
        <v>4782</v>
      </c>
      <c r="L293" s="237" t="s">
        <v>6921</v>
      </c>
      <c r="M293" s="237" t="s">
        <v>8110</v>
      </c>
      <c r="N293" s="237" t="s">
        <v>656</v>
      </c>
      <c r="O293" s="237" t="s">
        <v>8111</v>
      </c>
      <c r="P293" s="237" t="s">
        <v>6928</v>
      </c>
      <c r="Q293" s="237" t="s">
        <v>8112</v>
      </c>
      <c r="R293" s="237" t="s">
        <v>7308</v>
      </c>
    </row>
    <row r="294">
      <c r="G294" s="232">
        <v>292.0</v>
      </c>
      <c r="H294" s="237" t="s">
        <v>6918</v>
      </c>
      <c r="I294" s="237" t="s">
        <v>8035</v>
      </c>
      <c r="J294" s="233">
        <v>8.0</v>
      </c>
      <c r="K294" s="237" t="s">
        <v>4106</v>
      </c>
      <c r="L294" s="237" t="s">
        <v>6921</v>
      </c>
      <c r="M294" s="237" t="s">
        <v>8113</v>
      </c>
      <c r="N294" s="237" t="s">
        <v>656</v>
      </c>
      <c r="O294" s="237" t="s">
        <v>8114</v>
      </c>
      <c r="P294" s="231"/>
      <c r="Q294" s="231"/>
      <c r="R294" s="231"/>
    </row>
    <row r="295">
      <c r="G295" s="232">
        <v>293.0</v>
      </c>
      <c r="H295" s="237" t="s">
        <v>6918</v>
      </c>
      <c r="I295" s="237" t="s">
        <v>8035</v>
      </c>
      <c r="J295" s="233">
        <v>8.0</v>
      </c>
      <c r="K295" s="237" t="s">
        <v>4102</v>
      </c>
      <c r="L295" s="237" t="s">
        <v>6921</v>
      </c>
      <c r="M295" s="237" t="s">
        <v>8115</v>
      </c>
      <c r="N295" s="237" t="s">
        <v>656</v>
      </c>
      <c r="O295" s="237" t="s">
        <v>8116</v>
      </c>
      <c r="P295" s="237" t="s">
        <v>6993</v>
      </c>
      <c r="Q295" s="237" t="s">
        <v>8117</v>
      </c>
      <c r="R295" s="237" t="s">
        <v>6930</v>
      </c>
    </row>
    <row r="296">
      <c r="G296" s="232">
        <v>294.0</v>
      </c>
      <c r="H296" s="237" t="s">
        <v>6918</v>
      </c>
      <c r="I296" s="237" t="s">
        <v>8035</v>
      </c>
      <c r="J296" s="233">
        <v>8.0</v>
      </c>
      <c r="K296" s="237" t="s">
        <v>4764</v>
      </c>
      <c r="L296" s="237" t="s">
        <v>6921</v>
      </c>
      <c r="M296" s="237" t="s">
        <v>8118</v>
      </c>
      <c r="N296" s="237" t="s">
        <v>4762</v>
      </c>
      <c r="O296" s="237" t="s">
        <v>8119</v>
      </c>
      <c r="P296" s="237" t="s">
        <v>6928</v>
      </c>
      <c r="Q296" s="237" t="s">
        <v>8120</v>
      </c>
      <c r="R296" s="237" t="s">
        <v>6930</v>
      </c>
    </row>
    <row r="297">
      <c r="G297" s="232">
        <v>295.0</v>
      </c>
      <c r="H297" s="237" t="s">
        <v>6918</v>
      </c>
      <c r="I297" s="237" t="s">
        <v>8035</v>
      </c>
      <c r="J297" s="233">
        <v>8.0</v>
      </c>
      <c r="K297" s="237" t="s">
        <v>3319</v>
      </c>
      <c r="L297" s="237" t="s">
        <v>6921</v>
      </c>
      <c r="M297" s="237" t="s">
        <v>8121</v>
      </c>
      <c r="N297" s="237" t="s">
        <v>4762</v>
      </c>
      <c r="O297" s="237" t="s">
        <v>8122</v>
      </c>
      <c r="P297" s="231"/>
      <c r="Q297" s="237" t="s">
        <v>8123</v>
      </c>
      <c r="R297" s="231"/>
    </row>
    <row r="298">
      <c r="G298" s="232">
        <v>296.0</v>
      </c>
      <c r="H298" s="237" t="s">
        <v>6918</v>
      </c>
      <c r="I298" s="237" t="s">
        <v>8035</v>
      </c>
      <c r="J298" s="233">
        <v>8.0</v>
      </c>
      <c r="K298" s="237" t="s">
        <v>4770</v>
      </c>
      <c r="L298" s="237" t="s">
        <v>6933</v>
      </c>
      <c r="M298" s="237" t="s">
        <v>8124</v>
      </c>
      <c r="N298" s="237" t="s">
        <v>4768</v>
      </c>
      <c r="O298" s="237" t="s">
        <v>8125</v>
      </c>
      <c r="P298" s="237" t="s">
        <v>7299</v>
      </c>
      <c r="Q298" s="237" t="s">
        <v>8126</v>
      </c>
      <c r="R298" s="237" t="s">
        <v>6930</v>
      </c>
    </row>
    <row r="299">
      <c r="G299" s="232">
        <v>297.0</v>
      </c>
      <c r="H299" s="237" t="s">
        <v>6918</v>
      </c>
      <c r="I299" s="237" t="s">
        <v>8035</v>
      </c>
      <c r="J299" s="233">
        <v>8.0</v>
      </c>
      <c r="K299" s="237" t="s">
        <v>4776</v>
      </c>
      <c r="L299" s="237" t="s">
        <v>6921</v>
      </c>
      <c r="M299" s="237" t="s">
        <v>8127</v>
      </c>
      <c r="N299" s="237" t="s">
        <v>4768</v>
      </c>
      <c r="O299" s="237" t="s">
        <v>8128</v>
      </c>
      <c r="P299" s="237" t="s">
        <v>7299</v>
      </c>
      <c r="Q299" s="237" t="s">
        <v>8129</v>
      </c>
      <c r="R299" s="237" t="s">
        <v>6930</v>
      </c>
    </row>
    <row r="300">
      <c r="G300" s="232">
        <v>298.0</v>
      </c>
      <c r="H300" s="237" t="s">
        <v>6918</v>
      </c>
      <c r="I300" s="237" t="s">
        <v>8035</v>
      </c>
      <c r="J300" s="233">
        <v>8.0</v>
      </c>
      <c r="K300" s="237" t="s">
        <v>4801</v>
      </c>
      <c r="L300" s="237" t="s">
        <v>6921</v>
      </c>
      <c r="M300" s="237" t="s">
        <v>8130</v>
      </c>
      <c r="N300" s="237" t="s">
        <v>4768</v>
      </c>
      <c r="O300" s="237" t="s">
        <v>8131</v>
      </c>
      <c r="P300" s="237" t="s">
        <v>7299</v>
      </c>
      <c r="Q300" s="237" t="s">
        <v>8132</v>
      </c>
      <c r="R300" s="237" t="s">
        <v>7136</v>
      </c>
    </row>
    <row r="301">
      <c r="G301" s="232">
        <v>299.0</v>
      </c>
      <c r="H301" s="237" t="s">
        <v>6918</v>
      </c>
      <c r="I301" s="237" t="s">
        <v>8133</v>
      </c>
      <c r="J301" s="233">
        <v>8.0</v>
      </c>
      <c r="K301" s="237" t="s">
        <v>8134</v>
      </c>
      <c r="L301" s="237" t="s">
        <v>6933</v>
      </c>
      <c r="M301" s="237" t="s">
        <v>8135</v>
      </c>
      <c r="N301" s="237" t="s">
        <v>8136</v>
      </c>
      <c r="O301" s="237" t="s">
        <v>8137</v>
      </c>
      <c r="P301" s="237" t="s">
        <v>8138</v>
      </c>
      <c r="Q301" s="237"/>
      <c r="R301" s="231"/>
    </row>
    <row r="302">
      <c r="G302" s="232">
        <v>300.0</v>
      </c>
      <c r="H302" s="237" t="s">
        <v>6918</v>
      </c>
      <c r="I302" s="237" t="s">
        <v>8133</v>
      </c>
      <c r="J302" s="233">
        <v>8.0</v>
      </c>
      <c r="K302" s="237" t="s">
        <v>8139</v>
      </c>
      <c r="L302" s="237" t="s">
        <v>6921</v>
      </c>
      <c r="M302" s="237" t="s">
        <v>8140</v>
      </c>
      <c r="N302" s="237" t="s">
        <v>8136</v>
      </c>
      <c r="O302" s="237" t="s">
        <v>8141</v>
      </c>
      <c r="P302" s="237" t="s">
        <v>6928</v>
      </c>
      <c r="Q302" s="237" t="s">
        <v>8142</v>
      </c>
      <c r="R302" s="237" t="s">
        <v>6952</v>
      </c>
    </row>
    <row r="303">
      <c r="G303" s="232">
        <v>301.0</v>
      </c>
      <c r="H303" s="237" t="s">
        <v>6918</v>
      </c>
      <c r="I303" s="237" t="s">
        <v>8133</v>
      </c>
      <c r="J303" s="233">
        <v>8.0</v>
      </c>
      <c r="K303" s="237" t="s">
        <v>8143</v>
      </c>
      <c r="L303" s="237" t="s">
        <v>6921</v>
      </c>
      <c r="M303" s="237" t="s">
        <v>8144</v>
      </c>
      <c r="N303" s="237" t="s">
        <v>8136</v>
      </c>
      <c r="O303" s="237" t="s">
        <v>8145</v>
      </c>
      <c r="P303" s="237" t="s">
        <v>8146</v>
      </c>
      <c r="Q303" s="237"/>
      <c r="R303" s="231"/>
    </row>
    <row r="304">
      <c r="G304" s="232">
        <v>302.0</v>
      </c>
      <c r="H304" s="237" t="s">
        <v>6918</v>
      </c>
      <c r="I304" s="237" t="s">
        <v>8133</v>
      </c>
      <c r="J304" s="233">
        <v>8.0</v>
      </c>
      <c r="K304" s="237" t="s">
        <v>8147</v>
      </c>
      <c r="L304" s="237" t="s">
        <v>6921</v>
      </c>
      <c r="M304" s="237" t="s">
        <v>8148</v>
      </c>
      <c r="N304" s="237" t="s">
        <v>8136</v>
      </c>
      <c r="O304" s="237" t="s">
        <v>8149</v>
      </c>
      <c r="P304" s="237" t="s">
        <v>7005</v>
      </c>
      <c r="Q304" s="237"/>
      <c r="R304" s="231"/>
    </row>
    <row r="305">
      <c r="G305" s="232">
        <v>303.0</v>
      </c>
      <c r="H305" s="237" t="s">
        <v>6918</v>
      </c>
      <c r="I305" s="237" t="s">
        <v>8035</v>
      </c>
      <c r="J305" s="233">
        <v>8.0</v>
      </c>
      <c r="K305" s="237" t="s">
        <v>3607</v>
      </c>
      <c r="L305" s="237" t="s">
        <v>6933</v>
      </c>
      <c r="M305" s="237" t="s">
        <v>8118</v>
      </c>
      <c r="N305" s="237" t="s">
        <v>8037</v>
      </c>
      <c r="O305" s="237" t="s">
        <v>8150</v>
      </c>
      <c r="P305" s="237" t="s">
        <v>8151</v>
      </c>
      <c r="Q305" s="237"/>
      <c r="R305" s="231"/>
    </row>
    <row r="306">
      <c r="G306" s="232">
        <v>304.0</v>
      </c>
      <c r="H306" s="237" t="s">
        <v>6918</v>
      </c>
      <c r="I306" s="237" t="s">
        <v>8152</v>
      </c>
      <c r="J306" s="233">
        <v>9.0</v>
      </c>
      <c r="K306" s="237" t="s">
        <v>8153</v>
      </c>
      <c r="L306" s="237" t="s">
        <v>6933</v>
      </c>
      <c r="M306" s="237" t="s">
        <v>8154</v>
      </c>
      <c r="N306" s="237" t="s">
        <v>8155</v>
      </c>
      <c r="O306" s="237" t="s">
        <v>8156</v>
      </c>
      <c r="P306" s="237" t="s">
        <v>6937</v>
      </c>
      <c r="Q306" s="237" t="s">
        <v>8157</v>
      </c>
      <c r="R306" s="237" t="s">
        <v>6939</v>
      </c>
    </row>
    <row r="307">
      <c r="G307" s="232">
        <v>305.0</v>
      </c>
      <c r="H307" s="237" t="s">
        <v>6918</v>
      </c>
      <c r="I307" s="237" t="s">
        <v>8152</v>
      </c>
      <c r="J307" s="233">
        <v>9.0</v>
      </c>
      <c r="K307" s="237" t="s">
        <v>8158</v>
      </c>
      <c r="L307" s="237" t="s">
        <v>6921</v>
      </c>
      <c r="M307" s="237" t="s">
        <v>8159</v>
      </c>
      <c r="N307" s="237" t="s">
        <v>1096</v>
      </c>
      <c r="O307" s="237" t="s">
        <v>8160</v>
      </c>
      <c r="P307" s="237" t="s">
        <v>6928</v>
      </c>
      <c r="Q307" s="237" t="s">
        <v>8161</v>
      </c>
      <c r="R307" s="237" t="s">
        <v>6939</v>
      </c>
    </row>
    <row r="308">
      <c r="G308" s="232">
        <v>306.0</v>
      </c>
      <c r="H308" s="237" t="s">
        <v>6918</v>
      </c>
      <c r="I308" s="237" t="s">
        <v>8152</v>
      </c>
      <c r="J308" s="233">
        <v>9.0</v>
      </c>
      <c r="K308" s="237" t="s">
        <v>8162</v>
      </c>
      <c r="L308" s="237" t="s">
        <v>6933</v>
      </c>
      <c r="M308" s="237" t="s">
        <v>8163</v>
      </c>
      <c r="N308" s="237" t="s">
        <v>1096</v>
      </c>
      <c r="O308" s="237" t="s">
        <v>8164</v>
      </c>
      <c r="P308" s="237" t="s">
        <v>6928</v>
      </c>
      <c r="Q308" s="237" t="s">
        <v>8165</v>
      </c>
      <c r="R308" s="237" t="s">
        <v>6952</v>
      </c>
    </row>
    <row r="309">
      <c r="G309" s="232">
        <v>307.0</v>
      </c>
      <c r="H309" s="237" t="s">
        <v>6918</v>
      </c>
      <c r="I309" s="237" t="s">
        <v>8166</v>
      </c>
      <c r="J309" s="233">
        <v>9.0</v>
      </c>
      <c r="K309" s="237" t="s">
        <v>8167</v>
      </c>
      <c r="L309" s="237" t="s">
        <v>6933</v>
      </c>
      <c r="M309" s="237" t="s">
        <v>8168</v>
      </c>
      <c r="N309" s="237" t="s">
        <v>2342</v>
      </c>
      <c r="O309" s="237" t="s">
        <v>8169</v>
      </c>
      <c r="P309" s="237" t="s">
        <v>6928</v>
      </c>
      <c r="Q309" s="237" t="s">
        <v>8170</v>
      </c>
      <c r="R309" s="237" t="s">
        <v>6930</v>
      </c>
    </row>
    <row r="310">
      <c r="G310" s="232">
        <v>308.0</v>
      </c>
      <c r="H310" s="237" t="s">
        <v>6918</v>
      </c>
      <c r="I310" s="237" t="s">
        <v>8166</v>
      </c>
      <c r="J310" s="233">
        <v>9.0</v>
      </c>
      <c r="K310" s="237" t="s">
        <v>8171</v>
      </c>
      <c r="L310" s="237" t="s">
        <v>6933</v>
      </c>
      <c r="M310" s="237" t="s">
        <v>8172</v>
      </c>
      <c r="N310" s="237" t="s">
        <v>2342</v>
      </c>
      <c r="O310" s="237" t="s">
        <v>8173</v>
      </c>
      <c r="P310" s="237" t="s">
        <v>6928</v>
      </c>
      <c r="Q310" s="237" t="s">
        <v>8174</v>
      </c>
      <c r="R310" s="237" t="s">
        <v>6930</v>
      </c>
    </row>
    <row r="311">
      <c r="G311" s="232">
        <v>309.0</v>
      </c>
      <c r="H311" s="237" t="s">
        <v>6918</v>
      </c>
      <c r="I311" s="237" t="s">
        <v>8166</v>
      </c>
      <c r="J311" s="233">
        <v>9.0</v>
      </c>
      <c r="K311" s="237" t="s">
        <v>3724</v>
      </c>
      <c r="L311" s="237" t="s">
        <v>6921</v>
      </c>
      <c r="M311" s="237" t="s">
        <v>8175</v>
      </c>
      <c r="N311" s="237" t="s">
        <v>4934</v>
      </c>
      <c r="O311" s="237" t="s">
        <v>8176</v>
      </c>
      <c r="P311" s="237" t="s">
        <v>6928</v>
      </c>
      <c r="Q311" s="237" t="s">
        <v>8177</v>
      </c>
      <c r="R311" s="237" t="s">
        <v>6930</v>
      </c>
    </row>
    <row r="312">
      <c r="G312" s="232">
        <v>310.0</v>
      </c>
      <c r="H312" s="237" t="s">
        <v>6918</v>
      </c>
      <c r="I312" s="237" t="s">
        <v>8166</v>
      </c>
      <c r="J312" s="233">
        <v>9.0</v>
      </c>
      <c r="K312" s="237" t="s">
        <v>8178</v>
      </c>
      <c r="L312" s="237" t="s">
        <v>6921</v>
      </c>
      <c r="M312" s="237" t="s">
        <v>8179</v>
      </c>
      <c r="N312" s="237" t="s">
        <v>4934</v>
      </c>
      <c r="O312" s="237" t="s">
        <v>8180</v>
      </c>
      <c r="P312" s="237" t="s">
        <v>7093</v>
      </c>
      <c r="Q312" s="237" t="s">
        <v>8181</v>
      </c>
      <c r="R312" s="237" t="s">
        <v>7031</v>
      </c>
    </row>
    <row r="313">
      <c r="G313" s="232">
        <v>311.0</v>
      </c>
      <c r="H313" s="237" t="s">
        <v>6918</v>
      </c>
      <c r="I313" s="237" t="s">
        <v>8166</v>
      </c>
      <c r="J313" s="233">
        <v>9.0</v>
      </c>
      <c r="K313" s="237" t="s">
        <v>4940</v>
      </c>
      <c r="L313" s="237" t="s">
        <v>6933</v>
      </c>
      <c r="M313" s="237" t="s">
        <v>8182</v>
      </c>
      <c r="N313" s="237" t="s">
        <v>4934</v>
      </c>
      <c r="O313" s="237" t="s">
        <v>8183</v>
      </c>
      <c r="P313" s="237" t="s">
        <v>8146</v>
      </c>
      <c r="Q313" s="237"/>
      <c r="R313" s="231"/>
    </row>
    <row r="314">
      <c r="G314" s="232">
        <v>312.0</v>
      </c>
      <c r="H314" s="237" t="s">
        <v>6918</v>
      </c>
      <c r="I314" s="237" t="s">
        <v>8166</v>
      </c>
      <c r="J314" s="233">
        <v>9.0</v>
      </c>
      <c r="K314" s="237" t="s">
        <v>4933</v>
      </c>
      <c r="L314" s="237" t="s">
        <v>6933</v>
      </c>
      <c r="M314" s="237" t="s">
        <v>8184</v>
      </c>
      <c r="N314" s="237" t="s">
        <v>4934</v>
      </c>
      <c r="O314" s="237" t="s">
        <v>8185</v>
      </c>
      <c r="P314" s="237" t="s">
        <v>8146</v>
      </c>
      <c r="Q314" s="237"/>
      <c r="R314" s="231"/>
    </row>
    <row r="315">
      <c r="G315" s="232">
        <v>313.0</v>
      </c>
      <c r="H315" s="237" t="s">
        <v>6918</v>
      </c>
      <c r="I315" s="237" t="s">
        <v>8166</v>
      </c>
      <c r="J315" s="233">
        <v>9.0</v>
      </c>
      <c r="K315" s="237" t="s">
        <v>8186</v>
      </c>
      <c r="L315" s="237" t="s">
        <v>6933</v>
      </c>
      <c r="M315" s="237" t="s">
        <v>8187</v>
      </c>
      <c r="N315" s="237" t="s">
        <v>3727</v>
      </c>
      <c r="O315" s="237" t="s">
        <v>8188</v>
      </c>
      <c r="P315" s="237" t="s">
        <v>6993</v>
      </c>
      <c r="Q315" s="237"/>
      <c r="R315" s="231"/>
    </row>
    <row r="316">
      <c r="G316" s="232">
        <v>314.0</v>
      </c>
      <c r="H316" s="237" t="s">
        <v>6918</v>
      </c>
      <c r="I316" s="237" t="s">
        <v>8166</v>
      </c>
      <c r="J316" s="233">
        <v>9.0</v>
      </c>
      <c r="K316" s="237" t="s">
        <v>8189</v>
      </c>
      <c r="L316" s="237" t="s">
        <v>6933</v>
      </c>
      <c r="M316" s="237" t="s">
        <v>8190</v>
      </c>
      <c r="N316" s="237" t="s">
        <v>3727</v>
      </c>
      <c r="O316" s="237" t="s">
        <v>8191</v>
      </c>
      <c r="P316" s="237" t="s">
        <v>6993</v>
      </c>
      <c r="Q316" s="237"/>
      <c r="R316" s="231"/>
    </row>
    <row r="317">
      <c r="G317" s="232">
        <v>315.0</v>
      </c>
      <c r="H317" s="237" t="s">
        <v>6918</v>
      </c>
      <c r="I317" s="237" t="s">
        <v>8166</v>
      </c>
      <c r="J317" s="233">
        <v>9.0</v>
      </c>
      <c r="K317" s="237" t="s">
        <v>8192</v>
      </c>
      <c r="L317" s="237" t="s">
        <v>6933</v>
      </c>
      <c r="M317" s="237" t="s">
        <v>8193</v>
      </c>
      <c r="N317" s="237" t="s">
        <v>3727</v>
      </c>
      <c r="O317" s="237" t="s">
        <v>8194</v>
      </c>
      <c r="P317" s="237" t="s">
        <v>6993</v>
      </c>
      <c r="Q317" s="237"/>
      <c r="R317" s="231"/>
    </row>
    <row r="318">
      <c r="G318" s="232">
        <v>316.0</v>
      </c>
      <c r="H318" s="237" t="s">
        <v>6918</v>
      </c>
      <c r="I318" s="237" t="s">
        <v>8166</v>
      </c>
      <c r="J318" s="233">
        <v>9.0</v>
      </c>
      <c r="K318" s="237" t="s">
        <v>4130</v>
      </c>
      <c r="L318" s="237" t="s">
        <v>6933</v>
      </c>
      <c r="M318" s="237" t="s">
        <v>8195</v>
      </c>
      <c r="N318" s="237" t="s">
        <v>3727</v>
      </c>
      <c r="O318" s="237" t="s">
        <v>8196</v>
      </c>
      <c r="P318" s="237" t="s">
        <v>6993</v>
      </c>
      <c r="Q318" s="237"/>
      <c r="R318" s="231"/>
    </row>
    <row r="319">
      <c r="G319" s="232">
        <v>317.0</v>
      </c>
      <c r="H319" s="237" t="s">
        <v>6918</v>
      </c>
      <c r="I319" s="237" t="s">
        <v>8166</v>
      </c>
      <c r="J319" s="233">
        <v>9.0</v>
      </c>
      <c r="K319" s="237" t="s">
        <v>8197</v>
      </c>
      <c r="L319" s="237" t="s">
        <v>6933</v>
      </c>
      <c r="M319" s="237" t="s">
        <v>8198</v>
      </c>
      <c r="N319" s="237" t="s">
        <v>3727</v>
      </c>
      <c r="O319" s="237" t="s">
        <v>8199</v>
      </c>
      <c r="P319" s="237" t="s">
        <v>6993</v>
      </c>
      <c r="Q319" s="237"/>
      <c r="R319" s="231"/>
    </row>
    <row r="320">
      <c r="G320" s="232">
        <v>318.0</v>
      </c>
      <c r="H320" s="237" t="s">
        <v>6918</v>
      </c>
      <c r="I320" s="237" t="s">
        <v>8166</v>
      </c>
      <c r="J320" s="233">
        <v>9.0</v>
      </c>
      <c r="K320" s="237" t="s">
        <v>3882</v>
      </c>
      <c r="L320" s="237" t="s">
        <v>6933</v>
      </c>
      <c r="M320" s="237" t="s">
        <v>8200</v>
      </c>
      <c r="N320" s="237" t="s">
        <v>3727</v>
      </c>
      <c r="O320" s="237" t="s">
        <v>8201</v>
      </c>
      <c r="P320" s="237" t="s">
        <v>6993</v>
      </c>
      <c r="Q320" s="237"/>
      <c r="R320" s="231"/>
    </row>
    <row r="321">
      <c r="G321" s="232">
        <v>319.0</v>
      </c>
      <c r="H321" s="237" t="s">
        <v>6918</v>
      </c>
      <c r="I321" s="237" t="s">
        <v>8166</v>
      </c>
      <c r="J321" s="233">
        <v>9.0</v>
      </c>
      <c r="K321" s="237" t="s">
        <v>5044</v>
      </c>
      <c r="L321" s="237" t="s">
        <v>6933</v>
      </c>
      <c r="M321" s="237" t="s">
        <v>8202</v>
      </c>
      <c r="N321" s="237" t="s">
        <v>3727</v>
      </c>
      <c r="O321" s="237" t="s">
        <v>8203</v>
      </c>
      <c r="P321" s="237" t="s">
        <v>6993</v>
      </c>
      <c r="Q321" s="237"/>
      <c r="R321" s="231"/>
    </row>
    <row r="322">
      <c r="G322" s="232">
        <v>320.0</v>
      </c>
      <c r="H322" s="237" t="s">
        <v>6918</v>
      </c>
      <c r="I322" s="237" t="s">
        <v>8166</v>
      </c>
      <c r="J322" s="233">
        <v>9.0</v>
      </c>
      <c r="K322" s="237" t="s">
        <v>8204</v>
      </c>
      <c r="L322" s="237" t="s">
        <v>6933</v>
      </c>
      <c r="M322" s="237" t="s">
        <v>8205</v>
      </c>
      <c r="N322" s="237" t="s">
        <v>3727</v>
      </c>
      <c r="O322" s="237" t="s">
        <v>8206</v>
      </c>
      <c r="P322" s="237" t="s">
        <v>6993</v>
      </c>
      <c r="Q322" s="237"/>
      <c r="R322" s="231"/>
    </row>
    <row r="323">
      <c r="G323" s="232">
        <v>321.0</v>
      </c>
      <c r="H323" s="237" t="s">
        <v>6918</v>
      </c>
      <c r="I323" s="237" t="s">
        <v>8166</v>
      </c>
      <c r="J323" s="233">
        <v>9.0</v>
      </c>
      <c r="K323" s="237" t="s">
        <v>8207</v>
      </c>
      <c r="L323" s="237" t="s">
        <v>6933</v>
      </c>
      <c r="M323" s="237" t="s">
        <v>8208</v>
      </c>
      <c r="N323" s="237" t="s">
        <v>3727</v>
      </c>
      <c r="O323" s="237" t="s">
        <v>8209</v>
      </c>
      <c r="P323" s="237" t="s">
        <v>6993</v>
      </c>
      <c r="Q323" s="237"/>
      <c r="R323" s="231"/>
    </row>
    <row r="324">
      <c r="G324" s="232">
        <v>322.0</v>
      </c>
      <c r="H324" s="237" t="s">
        <v>6918</v>
      </c>
      <c r="I324" s="237" t="s">
        <v>8166</v>
      </c>
      <c r="J324" s="233">
        <v>9.0</v>
      </c>
      <c r="K324" s="237" t="s">
        <v>8210</v>
      </c>
      <c r="L324" s="237" t="s">
        <v>6933</v>
      </c>
      <c r="M324" s="237" t="s">
        <v>8211</v>
      </c>
      <c r="N324" s="237" t="s">
        <v>3727</v>
      </c>
      <c r="O324" s="237" t="s">
        <v>8212</v>
      </c>
      <c r="P324" s="237" t="s">
        <v>6993</v>
      </c>
      <c r="Q324" s="237"/>
      <c r="R324" s="231"/>
    </row>
    <row r="325">
      <c r="G325" s="232">
        <v>323.0</v>
      </c>
      <c r="H325" s="237" t="s">
        <v>6918</v>
      </c>
      <c r="I325" s="237" t="s">
        <v>8166</v>
      </c>
      <c r="J325" s="233">
        <v>9.0</v>
      </c>
      <c r="K325" s="237" t="s">
        <v>8213</v>
      </c>
      <c r="L325" s="237" t="s">
        <v>6933</v>
      </c>
      <c r="M325" s="237" t="s">
        <v>8214</v>
      </c>
      <c r="N325" s="237" t="s">
        <v>3727</v>
      </c>
      <c r="O325" s="237" t="s">
        <v>8215</v>
      </c>
      <c r="P325" s="237" t="s">
        <v>6993</v>
      </c>
      <c r="Q325" s="237"/>
      <c r="R325" s="231"/>
    </row>
    <row r="326">
      <c r="G326" s="232">
        <v>324.0</v>
      </c>
      <c r="H326" s="237" t="s">
        <v>6918</v>
      </c>
      <c r="I326" s="237" t="s">
        <v>8166</v>
      </c>
      <c r="J326" s="233">
        <v>9.0</v>
      </c>
      <c r="K326" s="237" t="s">
        <v>8216</v>
      </c>
      <c r="L326" s="237" t="s">
        <v>6933</v>
      </c>
      <c r="M326" s="237" t="s">
        <v>8217</v>
      </c>
      <c r="N326" s="237" t="s">
        <v>3727</v>
      </c>
      <c r="O326" s="237" t="s">
        <v>8218</v>
      </c>
      <c r="P326" s="237" t="s">
        <v>7357</v>
      </c>
      <c r="Q326" s="237"/>
      <c r="R326" s="231"/>
    </row>
    <row r="327">
      <c r="G327" s="232">
        <v>325.0</v>
      </c>
      <c r="H327" s="237" t="s">
        <v>6918</v>
      </c>
      <c r="I327" s="237" t="s">
        <v>8166</v>
      </c>
      <c r="J327" s="233">
        <v>9.0</v>
      </c>
      <c r="K327" s="237" t="s">
        <v>4053</v>
      </c>
      <c r="L327" s="237" t="s">
        <v>6933</v>
      </c>
      <c r="M327" s="237" t="s">
        <v>8219</v>
      </c>
      <c r="N327" s="237" t="s">
        <v>3727</v>
      </c>
      <c r="O327" s="237" t="s">
        <v>8220</v>
      </c>
      <c r="P327" s="237" t="s">
        <v>7070</v>
      </c>
      <c r="Q327" s="237"/>
      <c r="R327" s="231"/>
    </row>
    <row r="328">
      <c r="G328" s="232">
        <v>326.0</v>
      </c>
      <c r="H328" s="237" t="s">
        <v>6918</v>
      </c>
      <c r="I328" s="237" t="s">
        <v>8166</v>
      </c>
      <c r="J328" s="233">
        <v>9.0</v>
      </c>
      <c r="K328" s="237" t="s">
        <v>8221</v>
      </c>
      <c r="L328" s="237" t="s">
        <v>6933</v>
      </c>
      <c r="M328" s="237" t="s">
        <v>8222</v>
      </c>
      <c r="N328" s="237" t="s">
        <v>3727</v>
      </c>
      <c r="O328" s="237" t="s">
        <v>8223</v>
      </c>
      <c r="P328" s="237" t="s">
        <v>7070</v>
      </c>
      <c r="Q328" s="237"/>
      <c r="R328" s="231"/>
    </row>
    <row r="329">
      <c r="G329" s="232">
        <v>327.0</v>
      </c>
      <c r="H329" s="237" t="s">
        <v>6918</v>
      </c>
      <c r="I329" s="237" t="s">
        <v>8166</v>
      </c>
      <c r="J329" s="233">
        <v>9.0</v>
      </c>
      <c r="K329" s="237" t="s">
        <v>8224</v>
      </c>
      <c r="L329" s="237" t="s">
        <v>6933</v>
      </c>
      <c r="M329" s="237" t="s">
        <v>8225</v>
      </c>
      <c r="N329" s="237" t="s">
        <v>8226</v>
      </c>
      <c r="O329" s="237" t="s">
        <v>8227</v>
      </c>
      <c r="P329" s="237" t="s">
        <v>6928</v>
      </c>
      <c r="Q329" s="237" t="s">
        <v>8228</v>
      </c>
      <c r="R329" s="237" t="s">
        <v>7136</v>
      </c>
    </row>
    <row r="330">
      <c r="G330" s="232">
        <v>328.0</v>
      </c>
      <c r="H330" s="237" t="s">
        <v>6918</v>
      </c>
      <c r="I330" s="237" t="s">
        <v>8166</v>
      </c>
      <c r="J330" s="233">
        <v>9.0</v>
      </c>
      <c r="K330" s="237" t="s">
        <v>8229</v>
      </c>
      <c r="L330" s="237" t="s">
        <v>6933</v>
      </c>
      <c r="M330" s="237" t="s">
        <v>8230</v>
      </c>
      <c r="N330" s="237" t="s">
        <v>8226</v>
      </c>
      <c r="O330" s="237" t="s">
        <v>8231</v>
      </c>
      <c r="P330" s="237" t="s">
        <v>6993</v>
      </c>
      <c r="Q330" s="237"/>
      <c r="R330" s="231"/>
    </row>
    <row r="331">
      <c r="G331" s="232">
        <v>329.0</v>
      </c>
      <c r="H331" s="237" t="s">
        <v>6918</v>
      </c>
      <c r="I331" s="237" t="s">
        <v>8166</v>
      </c>
      <c r="J331" s="233">
        <v>9.0</v>
      </c>
      <c r="K331" s="237" t="s">
        <v>8232</v>
      </c>
      <c r="L331" s="237" t="s">
        <v>6933</v>
      </c>
      <c r="M331" s="237" t="s">
        <v>8233</v>
      </c>
      <c r="N331" s="237" t="s">
        <v>8226</v>
      </c>
      <c r="O331" s="237" t="s">
        <v>8234</v>
      </c>
      <c r="P331" s="237" t="s">
        <v>6993</v>
      </c>
      <c r="Q331" s="237"/>
      <c r="R331" s="231"/>
    </row>
    <row r="332">
      <c r="G332" s="232">
        <v>330.0</v>
      </c>
      <c r="H332" s="237" t="s">
        <v>6918</v>
      </c>
      <c r="I332" s="237" t="s">
        <v>8166</v>
      </c>
      <c r="J332" s="233">
        <v>9.0</v>
      </c>
      <c r="K332" s="237" t="s">
        <v>8235</v>
      </c>
      <c r="L332" s="237" t="s">
        <v>6933</v>
      </c>
      <c r="M332" s="237" t="s">
        <v>8236</v>
      </c>
      <c r="N332" s="237" t="s">
        <v>8226</v>
      </c>
      <c r="O332" s="237" t="s">
        <v>8237</v>
      </c>
      <c r="P332" s="237" t="s">
        <v>6993</v>
      </c>
      <c r="Q332" s="237"/>
      <c r="R332" s="231"/>
    </row>
    <row r="333">
      <c r="G333" s="232">
        <v>331.0</v>
      </c>
      <c r="H333" s="237" t="s">
        <v>6918</v>
      </c>
      <c r="I333" s="237" t="s">
        <v>8238</v>
      </c>
      <c r="J333" s="233">
        <v>9.0</v>
      </c>
      <c r="K333" s="237" t="s">
        <v>8239</v>
      </c>
      <c r="L333" s="237" t="s">
        <v>6933</v>
      </c>
      <c r="M333" s="237" t="s">
        <v>8240</v>
      </c>
      <c r="N333" s="237" t="s">
        <v>1311</v>
      </c>
      <c r="O333" s="237" t="s">
        <v>8241</v>
      </c>
      <c r="P333" s="237" t="s">
        <v>7299</v>
      </c>
      <c r="Q333" s="237" t="s">
        <v>8242</v>
      </c>
      <c r="R333" s="237" t="s">
        <v>6995</v>
      </c>
    </row>
    <row r="334">
      <c r="G334" s="232">
        <v>332.0</v>
      </c>
      <c r="H334" s="237" t="s">
        <v>6918</v>
      </c>
      <c r="I334" s="237" t="s">
        <v>8238</v>
      </c>
      <c r="J334" s="233">
        <v>9.0</v>
      </c>
      <c r="K334" s="237" t="s">
        <v>8243</v>
      </c>
      <c r="L334" s="237" t="s">
        <v>6921</v>
      </c>
      <c r="M334" s="237" t="s">
        <v>8244</v>
      </c>
      <c r="N334" s="237" t="s">
        <v>1311</v>
      </c>
      <c r="O334" s="237" t="s">
        <v>8245</v>
      </c>
      <c r="P334" s="237" t="s">
        <v>6928</v>
      </c>
      <c r="Q334" s="237" t="s">
        <v>8246</v>
      </c>
      <c r="R334" s="237" t="s">
        <v>7050</v>
      </c>
    </row>
    <row r="335">
      <c r="G335" s="232">
        <v>333.0</v>
      </c>
      <c r="H335" s="237" t="s">
        <v>6918</v>
      </c>
      <c r="I335" s="237" t="s">
        <v>8247</v>
      </c>
      <c r="J335" s="233">
        <v>9.0</v>
      </c>
      <c r="K335" s="237" t="s">
        <v>8248</v>
      </c>
      <c r="L335" s="237" t="s">
        <v>6933</v>
      </c>
      <c r="M335" s="237" t="s">
        <v>8249</v>
      </c>
      <c r="N335" s="237" t="s">
        <v>2730</v>
      </c>
      <c r="O335" s="237" t="s">
        <v>8250</v>
      </c>
      <c r="P335" s="237" t="s">
        <v>8251</v>
      </c>
      <c r="Q335" s="237" t="s">
        <v>8252</v>
      </c>
      <c r="R335" s="237" t="s">
        <v>6939</v>
      </c>
    </row>
    <row r="336">
      <c r="G336" s="232">
        <v>334.0</v>
      </c>
      <c r="H336" s="237" t="s">
        <v>6918</v>
      </c>
      <c r="I336" s="237" t="s">
        <v>8247</v>
      </c>
      <c r="J336" s="233">
        <v>9.0</v>
      </c>
      <c r="K336" s="237" t="s">
        <v>8253</v>
      </c>
      <c r="L336" s="237" t="s">
        <v>6933</v>
      </c>
      <c r="M336" s="237" t="s">
        <v>8254</v>
      </c>
      <c r="N336" s="237" t="s">
        <v>2730</v>
      </c>
      <c r="O336" s="237" t="s">
        <v>8255</v>
      </c>
      <c r="P336" s="237" t="s">
        <v>6928</v>
      </c>
      <c r="Q336" s="237" t="s">
        <v>8256</v>
      </c>
      <c r="R336" s="237" t="s">
        <v>6939</v>
      </c>
    </row>
    <row r="337">
      <c r="G337" s="232">
        <v>335.0</v>
      </c>
      <c r="H337" s="237" t="s">
        <v>6918</v>
      </c>
      <c r="I337" s="237" t="s">
        <v>8238</v>
      </c>
      <c r="J337" s="233">
        <v>9.0</v>
      </c>
      <c r="K337" s="237" t="s">
        <v>8257</v>
      </c>
      <c r="L337" s="237" t="s">
        <v>6933</v>
      </c>
      <c r="M337" s="237" t="s">
        <v>8258</v>
      </c>
      <c r="N337" s="237" t="s">
        <v>2730</v>
      </c>
      <c r="O337" s="237" t="s">
        <v>8259</v>
      </c>
      <c r="P337" s="237" t="s">
        <v>8260</v>
      </c>
      <c r="Q337" s="237" t="s">
        <v>8261</v>
      </c>
      <c r="R337" s="237" t="s">
        <v>7136</v>
      </c>
    </row>
    <row r="338">
      <c r="G338" s="232">
        <v>336.0</v>
      </c>
      <c r="H338" s="237" t="s">
        <v>6918</v>
      </c>
      <c r="I338" s="237" t="s">
        <v>8247</v>
      </c>
      <c r="J338" s="233">
        <v>9.0</v>
      </c>
      <c r="K338" s="237" t="s">
        <v>8262</v>
      </c>
      <c r="L338" s="237" t="s">
        <v>6933</v>
      </c>
      <c r="M338" s="237" t="s">
        <v>8263</v>
      </c>
      <c r="N338" s="237" t="s">
        <v>2730</v>
      </c>
      <c r="O338" s="237" t="s">
        <v>8264</v>
      </c>
      <c r="P338" s="237" t="s">
        <v>8265</v>
      </c>
      <c r="Q338" s="237" t="s">
        <v>8266</v>
      </c>
      <c r="R338" s="237" t="s">
        <v>6995</v>
      </c>
    </row>
    <row r="339">
      <c r="G339" s="232">
        <v>337.0</v>
      </c>
      <c r="H339" s="237" t="s">
        <v>6918</v>
      </c>
      <c r="I339" s="237" t="s">
        <v>8247</v>
      </c>
      <c r="J339" s="233">
        <v>9.0</v>
      </c>
      <c r="K339" s="237" t="s">
        <v>8267</v>
      </c>
      <c r="L339" s="237" t="s">
        <v>6921</v>
      </c>
      <c r="M339" s="237" t="s">
        <v>8268</v>
      </c>
      <c r="N339" s="237" t="s">
        <v>2730</v>
      </c>
      <c r="O339" s="237" t="s">
        <v>8269</v>
      </c>
      <c r="P339" s="237" t="s">
        <v>8251</v>
      </c>
      <c r="Q339" s="237" t="s">
        <v>8270</v>
      </c>
      <c r="R339" s="237" t="s">
        <v>6946</v>
      </c>
    </row>
    <row r="340">
      <c r="G340" s="232">
        <v>338.0</v>
      </c>
      <c r="H340" s="237" t="s">
        <v>6918</v>
      </c>
      <c r="I340" s="237" t="s">
        <v>8238</v>
      </c>
      <c r="J340" s="233">
        <v>9.0</v>
      </c>
      <c r="K340" s="237" t="s">
        <v>8271</v>
      </c>
      <c r="L340" s="237" t="s">
        <v>6921</v>
      </c>
      <c r="M340" s="237" t="s">
        <v>8272</v>
      </c>
      <c r="N340" s="237" t="s">
        <v>2730</v>
      </c>
      <c r="O340" s="237" t="s">
        <v>8273</v>
      </c>
      <c r="P340" s="237" t="s">
        <v>7048</v>
      </c>
      <c r="Q340" s="237" t="s">
        <v>8274</v>
      </c>
      <c r="R340" s="237" t="s">
        <v>7050</v>
      </c>
    </row>
    <row r="341">
      <c r="G341" s="232">
        <v>339.0</v>
      </c>
      <c r="H341" s="237" t="s">
        <v>6918</v>
      </c>
      <c r="I341" s="237" t="s">
        <v>8247</v>
      </c>
      <c r="J341" s="233">
        <v>9.0</v>
      </c>
      <c r="K341" s="237" t="s">
        <v>8275</v>
      </c>
      <c r="L341" s="237" t="s">
        <v>6933</v>
      </c>
      <c r="M341" s="237" t="s">
        <v>8276</v>
      </c>
      <c r="N341" s="237" t="s">
        <v>2730</v>
      </c>
      <c r="O341" s="237" t="s">
        <v>8277</v>
      </c>
      <c r="P341" s="231"/>
      <c r="Q341" s="237" t="s">
        <v>8278</v>
      </c>
      <c r="R341" s="231"/>
    </row>
    <row r="342">
      <c r="G342" s="232">
        <v>340.0</v>
      </c>
      <c r="H342" s="237" t="s">
        <v>6918</v>
      </c>
      <c r="I342" s="237" t="s">
        <v>8247</v>
      </c>
      <c r="J342" s="233">
        <v>9.0</v>
      </c>
      <c r="K342" s="237" t="s">
        <v>8279</v>
      </c>
      <c r="L342" s="237" t="s">
        <v>6921</v>
      </c>
      <c r="M342" s="237" t="s">
        <v>8280</v>
      </c>
      <c r="N342" s="237" t="s">
        <v>8281</v>
      </c>
      <c r="O342" s="237" t="s">
        <v>8282</v>
      </c>
      <c r="P342" s="237" t="s">
        <v>7093</v>
      </c>
      <c r="Q342" s="237" t="s">
        <v>8283</v>
      </c>
      <c r="R342" s="237" t="s">
        <v>6946</v>
      </c>
    </row>
    <row r="343">
      <c r="G343" s="232">
        <v>341.0</v>
      </c>
      <c r="H343" s="237" t="s">
        <v>6918</v>
      </c>
      <c r="I343" s="237" t="s">
        <v>8247</v>
      </c>
      <c r="J343" s="233">
        <v>9.0</v>
      </c>
      <c r="K343" s="237" t="s">
        <v>8284</v>
      </c>
      <c r="L343" s="237" t="s">
        <v>6921</v>
      </c>
      <c r="M343" s="237" t="s">
        <v>8285</v>
      </c>
      <c r="N343" s="237" t="s">
        <v>8281</v>
      </c>
      <c r="O343" s="237" t="s">
        <v>8286</v>
      </c>
      <c r="P343" s="237" t="s">
        <v>8265</v>
      </c>
      <c r="Q343" s="237" t="s">
        <v>8287</v>
      </c>
      <c r="R343" s="237" t="s">
        <v>7012</v>
      </c>
    </row>
    <row r="344">
      <c r="G344" s="232">
        <v>342.0</v>
      </c>
      <c r="H344" s="237" t="s">
        <v>6918</v>
      </c>
      <c r="I344" s="237" t="s">
        <v>8247</v>
      </c>
      <c r="J344" s="233">
        <v>9.0</v>
      </c>
      <c r="K344" s="237" t="s">
        <v>8288</v>
      </c>
      <c r="L344" s="237" t="s">
        <v>7239</v>
      </c>
      <c r="M344" s="237" t="s">
        <v>8289</v>
      </c>
      <c r="N344" s="237" t="s">
        <v>79</v>
      </c>
      <c r="O344" s="237" t="s">
        <v>8290</v>
      </c>
      <c r="P344" s="237" t="s">
        <v>6928</v>
      </c>
      <c r="Q344" s="237" t="s">
        <v>8291</v>
      </c>
      <c r="R344" s="237" t="s">
        <v>7168</v>
      </c>
    </row>
    <row r="345">
      <c r="G345" s="232">
        <v>343.0</v>
      </c>
      <c r="H345" s="237" t="s">
        <v>6918</v>
      </c>
      <c r="I345" s="237" t="s">
        <v>8247</v>
      </c>
      <c r="J345" s="233">
        <v>9.0</v>
      </c>
      <c r="K345" s="237" t="s">
        <v>76</v>
      </c>
      <c r="L345" s="237" t="s">
        <v>6921</v>
      </c>
      <c r="M345" s="237" t="s">
        <v>8292</v>
      </c>
      <c r="N345" s="237" t="s">
        <v>79</v>
      </c>
      <c r="O345" s="237" t="s">
        <v>8293</v>
      </c>
      <c r="P345" s="237" t="s">
        <v>6928</v>
      </c>
      <c r="Q345" s="237" t="s">
        <v>8294</v>
      </c>
      <c r="R345" s="237" t="s">
        <v>7168</v>
      </c>
    </row>
    <row r="346">
      <c r="G346" s="232">
        <v>344.0</v>
      </c>
      <c r="H346" s="237" t="s">
        <v>6918</v>
      </c>
      <c r="I346" s="237" t="s">
        <v>8247</v>
      </c>
      <c r="J346" s="233">
        <v>9.0</v>
      </c>
      <c r="K346" s="237" t="s">
        <v>8295</v>
      </c>
      <c r="L346" s="237" t="s">
        <v>6921</v>
      </c>
      <c r="M346" s="237" t="s">
        <v>8296</v>
      </c>
      <c r="N346" s="237" t="s">
        <v>79</v>
      </c>
      <c r="O346" s="237" t="s">
        <v>8297</v>
      </c>
      <c r="P346" s="237" t="s">
        <v>7157</v>
      </c>
      <c r="Q346" s="237" t="s">
        <v>8298</v>
      </c>
      <c r="R346" s="237" t="s">
        <v>6946</v>
      </c>
    </row>
    <row r="347">
      <c r="G347" s="232">
        <v>345.0</v>
      </c>
      <c r="H347" s="237" t="s">
        <v>6918</v>
      </c>
      <c r="I347" s="237" t="s">
        <v>8247</v>
      </c>
      <c r="J347" s="233">
        <v>9.0</v>
      </c>
      <c r="K347" s="237" t="s">
        <v>3623</v>
      </c>
      <c r="L347" s="237" t="s">
        <v>6921</v>
      </c>
      <c r="M347" s="237" t="s">
        <v>8299</v>
      </c>
      <c r="N347" s="237" t="s">
        <v>3625</v>
      </c>
      <c r="O347" s="237" t="s">
        <v>8300</v>
      </c>
      <c r="P347" s="237" t="s">
        <v>6928</v>
      </c>
      <c r="Q347" s="237" t="s">
        <v>8301</v>
      </c>
      <c r="R347" s="237" t="s">
        <v>6939</v>
      </c>
    </row>
    <row r="348">
      <c r="G348" s="232">
        <v>346.0</v>
      </c>
      <c r="H348" s="237" t="s">
        <v>6918</v>
      </c>
      <c r="I348" s="237" t="s">
        <v>8247</v>
      </c>
      <c r="J348" s="233">
        <v>9.0</v>
      </c>
      <c r="K348" s="237" t="s">
        <v>3941</v>
      </c>
      <c r="L348" s="237" t="s">
        <v>6921</v>
      </c>
      <c r="M348" s="237" t="s">
        <v>8302</v>
      </c>
      <c r="N348" s="237" t="s">
        <v>3625</v>
      </c>
      <c r="O348" s="237" t="s">
        <v>8303</v>
      </c>
      <c r="P348" s="237" t="s">
        <v>8251</v>
      </c>
      <c r="Q348" s="237" t="s">
        <v>8304</v>
      </c>
      <c r="R348" s="237" t="s">
        <v>6946</v>
      </c>
    </row>
    <row r="349">
      <c r="G349" s="232">
        <v>347.0</v>
      </c>
      <c r="H349" s="237" t="s">
        <v>6918</v>
      </c>
      <c r="I349" s="237" t="s">
        <v>8247</v>
      </c>
      <c r="J349" s="233">
        <v>9.0</v>
      </c>
      <c r="K349" s="237" t="s">
        <v>8305</v>
      </c>
      <c r="L349" s="237" t="s">
        <v>6933</v>
      </c>
      <c r="M349" s="237" t="s">
        <v>8306</v>
      </c>
      <c r="N349" s="237" t="s">
        <v>8307</v>
      </c>
      <c r="O349" s="237" t="s">
        <v>8308</v>
      </c>
      <c r="P349" s="237" t="s">
        <v>7375</v>
      </c>
      <c r="Q349" s="237" t="s">
        <v>8309</v>
      </c>
      <c r="R349" s="237" t="s">
        <v>6946</v>
      </c>
    </row>
    <row r="350">
      <c r="G350" s="232">
        <v>348.0</v>
      </c>
      <c r="H350" s="237" t="s">
        <v>6918</v>
      </c>
      <c r="I350" s="237" t="s">
        <v>8247</v>
      </c>
      <c r="J350" s="233">
        <v>9.0</v>
      </c>
      <c r="K350" s="237" t="s">
        <v>8310</v>
      </c>
      <c r="L350" s="237" t="s">
        <v>6933</v>
      </c>
      <c r="M350" s="237" t="s">
        <v>8311</v>
      </c>
      <c r="N350" s="237" t="s">
        <v>8312</v>
      </c>
      <c r="O350" s="237" t="s">
        <v>8313</v>
      </c>
      <c r="P350" s="237" t="s">
        <v>6928</v>
      </c>
      <c r="Q350" s="237" t="s">
        <v>8314</v>
      </c>
      <c r="R350" s="237" t="s">
        <v>6946</v>
      </c>
    </row>
    <row r="351">
      <c r="G351" s="232">
        <v>349.0</v>
      </c>
      <c r="H351" s="237" t="s">
        <v>6918</v>
      </c>
      <c r="I351" s="237" t="s">
        <v>8247</v>
      </c>
      <c r="J351" s="233">
        <v>9.0</v>
      </c>
      <c r="K351" s="237" t="s">
        <v>6328</v>
      </c>
      <c r="L351" s="237" t="s">
        <v>6921</v>
      </c>
      <c r="M351" s="237" t="s">
        <v>8315</v>
      </c>
      <c r="N351" s="237" t="s">
        <v>8312</v>
      </c>
      <c r="O351" s="237" t="s">
        <v>8316</v>
      </c>
      <c r="P351" s="237" t="s">
        <v>6928</v>
      </c>
      <c r="Q351" s="237" t="s">
        <v>8317</v>
      </c>
      <c r="R351" s="237" t="s">
        <v>6946</v>
      </c>
    </row>
    <row r="352">
      <c r="G352" s="232">
        <v>350.0</v>
      </c>
      <c r="H352" s="237" t="s">
        <v>6918</v>
      </c>
      <c r="I352" s="237" t="s">
        <v>8247</v>
      </c>
      <c r="J352" s="233">
        <v>9.0</v>
      </c>
      <c r="K352" s="237" t="s">
        <v>8318</v>
      </c>
      <c r="L352" s="237" t="s">
        <v>6933</v>
      </c>
      <c r="M352" s="237" t="s">
        <v>8319</v>
      </c>
      <c r="N352" s="237" t="s">
        <v>8320</v>
      </c>
      <c r="O352" s="237" t="s">
        <v>8321</v>
      </c>
      <c r="P352" s="237" t="s">
        <v>6928</v>
      </c>
      <c r="Q352" s="237" t="s">
        <v>8322</v>
      </c>
      <c r="R352" s="237" t="s">
        <v>6946</v>
      </c>
    </row>
    <row r="353">
      <c r="G353" s="232">
        <v>351.0</v>
      </c>
      <c r="H353" s="237" t="s">
        <v>6918</v>
      </c>
      <c r="I353" s="237" t="s">
        <v>8247</v>
      </c>
      <c r="J353" s="233">
        <v>9.0</v>
      </c>
      <c r="K353" s="237" t="s">
        <v>8323</v>
      </c>
      <c r="L353" s="237" t="s">
        <v>6933</v>
      </c>
      <c r="M353" s="237" t="s">
        <v>8324</v>
      </c>
      <c r="N353" s="237" t="s">
        <v>8325</v>
      </c>
      <c r="O353" s="237" t="s">
        <v>8326</v>
      </c>
      <c r="P353" s="237" t="s">
        <v>7093</v>
      </c>
      <c r="Q353" s="237" t="s">
        <v>8327</v>
      </c>
      <c r="R353" s="237" t="s">
        <v>6946</v>
      </c>
    </row>
    <row r="354">
      <c r="G354" s="232">
        <v>352.0</v>
      </c>
      <c r="H354" s="237" t="s">
        <v>6918</v>
      </c>
      <c r="I354" s="237" t="s">
        <v>8328</v>
      </c>
      <c r="J354" s="233">
        <v>9.0</v>
      </c>
      <c r="K354" s="237" t="s">
        <v>8329</v>
      </c>
      <c r="L354" s="237" t="s">
        <v>6921</v>
      </c>
      <c r="M354" s="237" t="s">
        <v>8330</v>
      </c>
      <c r="N354" s="237" t="s">
        <v>8331</v>
      </c>
      <c r="O354" s="237" t="s">
        <v>8332</v>
      </c>
      <c r="P354" s="237" t="s">
        <v>6928</v>
      </c>
      <c r="Q354" s="237" t="s">
        <v>8333</v>
      </c>
      <c r="R354" s="237" t="s">
        <v>6930</v>
      </c>
    </row>
    <row r="355">
      <c r="G355" s="232">
        <v>353.0</v>
      </c>
      <c r="H355" s="237" t="s">
        <v>6918</v>
      </c>
      <c r="I355" s="237" t="s">
        <v>8328</v>
      </c>
      <c r="J355" s="233">
        <v>9.0</v>
      </c>
      <c r="K355" s="237" t="s">
        <v>8334</v>
      </c>
      <c r="L355" s="237" t="s">
        <v>6921</v>
      </c>
      <c r="M355" s="237" t="s">
        <v>8335</v>
      </c>
      <c r="N355" s="237" t="s">
        <v>8331</v>
      </c>
      <c r="O355" s="237" t="s">
        <v>8336</v>
      </c>
      <c r="P355" s="237" t="s">
        <v>6928</v>
      </c>
      <c r="Q355" s="237" t="s">
        <v>8337</v>
      </c>
      <c r="R355" s="237" t="s">
        <v>6939</v>
      </c>
    </row>
    <row r="356">
      <c r="G356" s="232">
        <v>354.0</v>
      </c>
      <c r="H356" s="237" t="s">
        <v>6918</v>
      </c>
      <c r="I356" s="237" t="s">
        <v>8328</v>
      </c>
      <c r="J356" s="233">
        <v>9.0</v>
      </c>
      <c r="K356" s="237" t="s">
        <v>8338</v>
      </c>
      <c r="L356" s="237" t="s">
        <v>6921</v>
      </c>
      <c r="M356" s="237" t="s">
        <v>8339</v>
      </c>
      <c r="N356" s="237" t="s">
        <v>8331</v>
      </c>
      <c r="O356" s="237" t="s">
        <v>8340</v>
      </c>
      <c r="P356" s="237" t="s">
        <v>7093</v>
      </c>
      <c r="Q356" s="237" t="s">
        <v>8341</v>
      </c>
      <c r="R356" s="237" t="s">
        <v>6946</v>
      </c>
    </row>
    <row r="357">
      <c r="G357" s="232">
        <v>355.0</v>
      </c>
      <c r="H357" s="237" t="s">
        <v>6918</v>
      </c>
      <c r="I357" s="237" t="s">
        <v>8328</v>
      </c>
      <c r="J357" s="233">
        <v>9.0</v>
      </c>
      <c r="K357" s="237" t="s">
        <v>8342</v>
      </c>
      <c r="L357" s="237" t="s">
        <v>7239</v>
      </c>
      <c r="M357" s="237" t="s">
        <v>8343</v>
      </c>
      <c r="N357" s="237" t="s">
        <v>8344</v>
      </c>
      <c r="O357" s="237" t="s">
        <v>8345</v>
      </c>
      <c r="P357" s="237" t="s">
        <v>7093</v>
      </c>
      <c r="Q357" s="237" t="s">
        <v>8346</v>
      </c>
      <c r="R357" s="237" t="s">
        <v>6946</v>
      </c>
    </row>
    <row r="358">
      <c r="G358" s="232">
        <v>356.0</v>
      </c>
      <c r="H358" s="237" t="s">
        <v>6918</v>
      </c>
      <c r="I358" s="237" t="s">
        <v>8328</v>
      </c>
      <c r="J358" s="233">
        <v>9.0</v>
      </c>
      <c r="K358" s="237" t="s">
        <v>8347</v>
      </c>
      <c r="L358" s="237" t="s">
        <v>6933</v>
      </c>
      <c r="M358" s="237" t="s">
        <v>8348</v>
      </c>
      <c r="N358" s="237" t="s">
        <v>8344</v>
      </c>
      <c r="O358" s="237" t="s">
        <v>8349</v>
      </c>
      <c r="P358" s="237" t="s">
        <v>7093</v>
      </c>
      <c r="Q358" s="237"/>
      <c r="R358" s="231"/>
    </row>
    <row r="359">
      <c r="G359" s="232">
        <v>357.0</v>
      </c>
      <c r="H359" s="237" t="s">
        <v>6918</v>
      </c>
      <c r="I359" s="237" t="s">
        <v>8328</v>
      </c>
      <c r="J359" s="233">
        <v>9.0</v>
      </c>
      <c r="K359" s="237" t="s">
        <v>8350</v>
      </c>
      <c r="L359" s="237" t="s">
        <v>6921</v>
      </c>
      <c r="M359" s="237" t="s">
        <v>8351</v>
      </c>
      <c r="N359" s="237" t="s">
        <v>8352</v>
      </c>
      <c r="O359" s="237" t="s">
        <v>8353</v>
      </c>
      <c r="P359" s="237" t="s">
        <v>7093</v>
      </c>
      <c r="Q359" s="237" t="s">
        <v>8354</v>
      </c>
      <c r="R359" s="237" t="s">
        <v>7012</v>
      </c>
    </row>
    <row r="360">
      <c r="G360" s="232">
        <v>358.0</v>
      </c>
      <c r="H360" s="237" t="s">
        <v>6918</v>
      </c>
      <c r="I360" s="237" t="s">
        <v>8328</v>
      </c>
      <c r="J360" s="233">
        <v>9.0</v>
      </c>
      <c r="K360" s="237" t="s">
        <v>8355</v>
      </c>
      <c r="L360" s="237" t="s">
        <v>6933</v>
      </c>
      <c r="M360" s="237" t="s">
        <v>8356</v>
      </c>
      <c r="N360" s="237" t="s">
        <v>8352</v>
      </c>
      <c r="O360" s="237" t="s">
        <v>8357</v>
      </c>
      <c r="P360" s="237" t="s">
        <v>7093</v>
      </c>
      <c r="Q360" s="237" t="s">
        <v>8358</v>
      </c>
      <c r="R360" s="237" t="s">
        <v>7012</v>
      </c>
    </row>
    <row r="361">
      <c r="G361" s="232">
        <v>359.0</v>
      </c>
      <c r="H361" s="237" t="s">
        <v>6918</v>
      </c>
      <c r="I361" s="237" t="s">
        <v>8359</v>
      </c>
      <c r="J361" s="233">
        <v>9.0</v>
      </c>
      <c r="K361" s="237" t="s">
        <v>8360</v>
      </c>
      <c r="L361" s="237" t="s">
        <v>6933</v>
      </c>
      <c r="M361" s="237" t="s">
        <v>8361</v>
      </c>
      <c r="N361" s="237" t="s">
        <v>8362</v>
      </c>
      <c r="O361" s="237" t="s">
        <v>8363</v>
      </c>
      <c r="P361" s="237" t="s">
        <v>7024</v>
      </c>
      <c r="Q361" s="237" t="s">
        <v>8364</v>
      </c>
      <c r="R361" s="237" t="s">
        <v>7036</v>
      </c>
    </row>
    <row r="362">
      <c r="G362" s="232">
        <v>360.0</v>
      </c>
      <c r="H362" s="237" t="s">
        <v>6918</v>
      </c>
      <c r="I362" s="237" t="s">
        <v>8359</v>
      </c>
      <c r="J362" s="233">
        <v>9.0</v>
      </c>
      <c r="K362" s="237" t="s">
        <v>8365</v>
      </c>
      <c r="L362" s="237" t="s">
        <v>6921</v>
      </c>
      <c r="M362" s="237" t="s">
        <v>8366</v>
      </c>
      <c r="N362" s="237" t="s">
        <v>8362</v>
      </c>
      <c r="O362" s="237" t="s">
        <v>8367</v>
      </c>
      <c r="P362" s="237" t="s">
        <v>7093</v>
      </c>
      <c r="Q362" s="237" t="s">
        <v>8368</v>
      </c>
      <c r="R362" s="237" t="s">
        <v>7414</v>
      </c>
    </row>
    <row r="363">
      <c r="G363" s="232">
        <v>361.0</v>
      </c>
      <c r="H363" s="237" t="s">
        <v>6918</v>
      </c>
      <c r="I363" s="237" t="s">
        <v>8359</v>
      </c>
      <c r="J363" s="233">
        <v>9.0</v>
      </c>
      <c r="K363" s="237" t="s">
        <v>8369</v>
      </c>
      <c r="L363" s="237" t="s">
        <v>6933</v>
      </c>
      <c r="M363" s="237" t="s">
        <v>8370</v>
      </c>
      <c r="N363" s="237" t="s">
        <v>1109</v>
      </c>
      <c r="O363" s="237" t="s">
        <v>8371</v>
      </c>
      <c r="P363" s="237" t="s">
        <v>6928</v>
      </c>
      <c r="Q363" s="237" t="s">
        <v>8372</v>
      </c>
      <c r="R363" s="237" t="s">
        <v>6930</v>
      </c>
    </row>
    <row r="364">
      <c r="G364" s="232">
        <v>362.0</v>
      </c>
      <c r="H364" s="237" t="s">
        <v>6918</v>
      </c>
      <c r="I364" s="237" t="s">
        <v>8359</v>
      </c>
      <c r="J364" s="233">
        <v>9.0</v>
      </c>
      <c r="K364" s="237" t="s">
        <v>8373</v>
      </c>
      <c r="L364" s="237" t="s">
        <v>6921</v>
      </c>
      <c r="M364" s="237" t="s">
        <v>8374</v>
      </c>
      <c r="N364" s="237" t="s">
        <v>1109</v>
      </c>
      <c r="O364" s="237" t="s">
        <v>8375</v>
      </c>
      <c r="P364" s="237" t="s">
        <v>6928</v>
      </c>
      <c r="Q364" s="237" t="s">
        <v>8376</v>
      </c>
      <c r="R364" s="237" t="s">
        <v>7031</v>
      </c>
    </row>
    <row r="365">
      <c r="G365" s="232">
        <v>363.0</v>
      </c>
      <c r="H365" s="237" t="s">
        <v>6918</v>
      </c>
      <c r="I365" s="237" t="s">
        <v>8359</v>
      </c>
      <c r="J365" s="233">
        <v>9.0</v>
      </c>
      <c r="K365" s="237" t="s">
        <v>3879</v>
      </c>
      <c r="L365" s="237" t="s">
        <v>6921</v>
      </c>
      <c r="M365" s="237" t="s">
        <v>8377</v>
      </c>
      <c r="N365" s="237" t="s">
        <v>1109</v>
      </c>
      <c r="O365" s="237" t="s">
        <v>8378</v>
      </c>
      <c r="P365" s="237" t="s">
        <v>7024</v>
      </c>
      <c r="Q365" s="237" t="s">
        <v>8379</v>
      </c>
      <c r="R365" s="237" t="s">
        <v>7031</v>
      </c>
    </row>
    <row r="366">
      <c r="G366" s="232">
        <v>364.0</v>
      </c>
      <c r="H366" s="237" t="s">
        <v>6918</v>
      </c>
      <c r="I366" s="237" t="s">
        <v>8359</v>
      </c>
      <c r="J366" s="233">
        <v>9.0</v>
      </c>
      <c r="K366" s="237" t="s">
        <v>4185</v>
      </c>
      <c r="L366" s="237" t="s">
        <v>6921</v>
      </c>
      <c r="M366" s="237" t="s">
        <v>8380</v>
      </c>
      <c r="N366" s="237" t="s">
        <v>1109</v>
      </c>
      <c r="O366" s="237" t="s">
        <v>8381</v>
      </c>
      <c r="P366" s="237" t="s">
        <v>6928</v>
      </c>
      <c r="Q366" s="237" t="s">
        <v>8382</v>
      </c>
      <c r="R366" s="237" t="s">
        <v>6930</v>
      </c>
    </row>
    <row r="367">
      <c r="G367" s="232">
        <v>365.0</v>
      </c>
      <c r="H367" s="237" t="s">
        <v>6918</v>
      </c>
      <c r="I367" s="237" t="s">
        <v>8359</v>
      </c>
      <c r="J367" s="233">
        <v>9.0</v>
      </c>
      <c r="K367" s="237" t="s">
        <v>8383</v>
      </c>
      <c r="L367" s="237" t="s">
        <v>6921</v>
      </c>
      <c r="M367" s="237" t="s">
        <v>8384</v>
      </c>
      <c r="N367" s="237" t="s">
        <v>1109</v>
      </c>
      <c r="O367" s="237" t="s">
        <v>8385</v>
      </c>
      <c r="P367" s="237" t="s">
        <v>7157</v>
      </c>
      <c r="Q367" s="237" t="s">
        <v>8386</v>
      </c>
      <c r="R367" s="237" t="s">
        <v>7414</v>
      </c>
    </row>
    <row r="368">
      <c r="G368" s="232">
        <v>366.0</v>
      </c>
      <c r="H368" s="237" t="s">
        <v>6918</v>
      </c>
      <c r="I368" s="237" t="s">
        <v>8359</v>
      </c>
      <c r="J368" s="233">
        <v>9.0</v>
      </c>
      <c r="K368" s="237" t="s">
        <v>8387</v>
      </c>
      <c r="L368" s="237" t="s">
        <v>6933</v>
      </c>
      <c r="M368" s="237" t="s">
        <v>8388</v>
      </c>
      <c r="N368" s="237" t="s">
        <v>1109</v>
      </c>
      <c r="O368" s="237" t="s">
        <v>8389</v>
      </c>
      <c r="P368" s="237" t="s">
        <v>7157</v>
      </c>
      <c r="Q368" s="237" t="s">
        <v>8390</v>
      </c>
      <c r="R368" s="237" t="s">
        <v>7050</v>
      </c>
    </row>
    <row r="369">
      <c r="G369" s="232">
        <v>367.0</v>
      </c>
      <c r="H369" s="237" t="s">
        <v>6918</v>
      </c>
      <c r="I369" s="237" t="s">
        <v>8359</v>
      </c>
      <c r="J369" s="233">
        <v>9.0</v>
      </c>
      <c r="K369" s="237" t="s">
        <v>8391</v>
      </c>
      <c r="L369" s="237" t="s">
        <v>6921</v>
      </c>
      <c r="M369" s="237" t="s">
        <v>8392</v>
      </c>
      <c r="N369" s="237" t="s">
        <v>8393</v>
      </c>
      <c r="O369" s="237" t="s">
        <v>8394</v>
      </c>
      <c r="P369" s="237" t="s">
        <v>7157</v>
      </c>
      <c r="Q369" s="237" t="s">
        <v>8395</v>
      </c>
      <c r="R369" s="237" t="s">
        <v>6995</v>
      </c>
    </row>
    <row r="370">
      <c r="G370" s="232">
        <v>368.0</v>
      </c>
      <c r="H370" s="237" t="s">
        <v>6918</v>
      </c>
      <c r="I370" s="237" t="s">
        <v>8238</v>
      </c>
      <c r="J370" s="233">
        <v>9.0</v>
      </c>
      <c r="K370" s="237" t="s">
        <v>8396</v>
      </c>
      <c r="L370" s="237" t="s">
        <v>6921</v>
      </c>
      <c r="M370" s="237" t="s">
        <v>8397</v>
      </c>
      <c r="N370" s="237" t="s">
        <v>8398</v>
      </c>
      <c r="O370" s="237" t="s">
        <v>8399</v>
      </c>
      <c r="P370" s="237" t="s">
        <v>6937</v>
      </c>
      <c r="Q370" s="237" t="s">
        <v>8400</v>
      </c>
      <c r="R370" s="237" t="s">
        <v>6995</v>
      </c>
    </row>
    <row r="371">
      <c r="G371" s="232">
        <v>369.0</v>
      </c>
      <c r="H371" s="237" t="s">
        <v>6918</v>
      </c>
      <c r="I371" s="237" t="s">
        <v>8328</v>
      </c>
      <c r="J371" s="233">
        <v>9.0</v>
      </c>
      <c r="K371" s="237" t="s">
        <v>8401</v>
      </c>
      <c r="L371" s="237" t="s">
        <v>6921</v>
      </c>
      <c r="M371" s="237" t="s">
        <v>8402</v>
      </c>
      <c r="N371" s="237" t="s">
        <v>8403</v>
      </c>
      <c r="O371" s="237" t="s">
        <v>8404</v>
      </c>
      <c r="P371" s="237" t="s">
        <v>6928</v>
      </c>
      <c r="Q371" s="237" t="s">
        <v>8405</v>
      </c>
      <c r="R371" s="237" t="s">
        <v>6930</v>
      </c>
    </row>
    <row r="372">
      <c r="G372" s="232">
        <v>370.0</v>
      </c>
      <c r="H372" s="237" t="s">
        <v>6918</v>
      </c>
      <c r="I372" s="237" t="s">
        <v>8328</v>
      </c>
      <c r="J372" s="233">
        <v>9.0</v>
      </c>
      <c r="K372" s="237" t="s">
        <v>8406</v>
      </c>
      <c r="L372" s="237" t="s">
        <v>6921</v>
      </c>
      <c r="M372" s="237" t="s">
        <v>8407</v>
      </c>
      <c r="N372" s="237" t="s">
        <v>8403</v>
      </c>
      <c r="O372" s="237" t="s">
        <v>8408</v>
      </c>
      <c r="P372" s="237" t="s">
        <v>6928</v>
      </c>
      <c r="Q372" s="237" t="s">
        <v>8409</v>
      </c>
      <c r="R372" s="237" t="s">
        <v>7168</v>
      </c>
    </row>
    <row r="373">
      <c r="G373" s="232">
        <v>371.0</v>
      </c>
      <c r="H373" s="237" t="s">
        <v>6918</v>
      </c>
      <c r="I373" s="237" t="s">
        <v>8328</v>
      </c>
      <c r="J373" s="233">
        <v>9.0</v>
      </c>
      <c r="K373" s="237" t="s">
        <v>8410</v>
      </c>
      <c r="L373" s="237" t="s">
        <v>6921</v>
      </c>
      <c r="M373" s="237" t="s">
        <v>8411</v>
      </c>
      <c r="N373" s="237" t="s">
        <v>8403</v>
      </c>
      <c r="O373" s="237" t="s">
        <v>8412</v>
      </c>
      <c r="P373" s="237" t="s">
        <v>6928</v>
      </c>
      <c r="Q373" s="237" t="s">
        <v>8413</v>
      </c>
      <c r="R373" s="237" t="s">
        <v>6930</v>
      </c>
    </row>
    <row r="374">
      <c r="G374" s="232">
        <v>372.0</v>
      </c>
      <c r="H374" s="237" t="s">
        <v>6918</v>
      </c>
      <c r="I374" s="237" t="s">
        <v>8238</v>
      </c>
      <c r="J374" s="233">
        <v>9.0</v>
      </c>
      <c r="K374" s="237" t="s">
        <v>8414</v>
      </c>
      <c r="L374" s="237" t="s">
        <v>6921</v>
      </c>
      <c r="M374" s="237" t="s">
        <v>8415</v>
      </c>
      <c r="N374" s="237" t="s">
        <v>8403</v>
      </c>
      <c r="O374" s="237" t="s">
        <v>8416</v>
      </c>
      <c r="P374" s="237" t="s">
        <v>6928</v>
      </c>
      <c r="Q374" s="237" t="s">
        <v>8417</v>
      </c>
      <c r="R374" s="237" t="s">
        <v>7136</v>
      </c>
    </row>
    <row r="375">
      <c r="G375" s="232">
        <v>373.0</v>
      </c>
      <c r="H375" s="237" t="s">
        <v>6918</v>
      </c>
      <c r="I375" s="237" t="s">
        <v>8238</v>
      </c>
      <c r="J375" s="233">
        <v>9.0</v>
      </c>
      <c r="K375" s="237" t="s">
        <v>8418</v>
      </c>
      <c r="L375" s="237" t="s">
        <v>7239</v>
      </c>
      <c r="M375" s="237" t="s">
        <v>8419</v>
      </c>
      <c r="N375" s="237" t="s">
        <v>8403</v>
      </c>
      <c r="O375" s="237" t="s">
        <v>8420</v>
      </c>
      <c r="P375" s="237" t="s">
        <v>6928</v>
      </c>
      <c r="Q375" s="237" t="s">
        <v>8421</v>
      </c>
      <c r="R375" s="237" t="s">
        <v>6946</v>
      </c>
    </row>
    <row r="376">
      <c r="G376" s="232">
        <v>374.0</v>
      </c>
      <c r="H376" s="237" t="s">
        <v>6918</v>
      </c>
      <c r="I376" s="237" t="s">
        <v>8422</v>
      </c>
      <c r="J376" s="233">
        <v>10.0</v>
      </c>
      <c r="K376" s="237" t="s">
        <v>8423</v>
      </c>
      <c r="L376" s="237" t="s">
        <v>6933</v>
      </c>
      <c r="M376" s="237" t="s">
        <v>8424</v>
      </c>
      <c r="N376" s="237" t="s">
        <v>1837</v>
      </c>
      <c r="O376" s="237" t="s">
        <v>8425</v>
      </c>
      <c r="P376" s="237" t="s">
        <v>6928</v>
      </c>
      <c r="Q376" s="237" t="s">
        <v>8426</v>
      </c>
      <c r="R376" s="237" t="s">
        <v>6939</v>
      </c>
    </row>
    <row r="377">
      <c r="G377" s="232">
        <v>375.0</v>
      </c>
      <c r="H377" s="237" t="s">
        <v>6918</v>
      </c>
      <c r="I377" s="237" t="s">
        <v>8422</v>
      </c>
      <c r="J377" s="233">
        <v>10.0</v>
      </c>
      <c r="K377" s="237" t="s">
        <v>4968</v>
      </c>
      <c r="L377" s="237" t="s">
        <v>6933</v>
      </c>
      <c r="M377" s="237" t="s">
        <v>8427</v>
      </c>
      <c r="N377" s="237" t="s">
        <v>8428</v>
      </c>
      <c r="O377" s="237" t="s">
        <v>8429</v>
      </c>
      <c r="P377" s="237" t="s">
        <v>7082</v>
      </c>
      <c r="Q377" s="237"/>
      <c r="R377" s="231"/>
    </row>
    <row r="378">
      <c r="G378" s="232">
        <v>376.0</v>
      </c>
      <c r="H378" s="237" t="s">
        <v>6918</v>
      </c>
      <c r="I378" s="237" t="s">
        <v>8422</v>
      </c>
      <c r="J378" s="233">
        <v>10.0</v>
      </c>
      <c r="K378" s="237" t="s">
        <v>1834</v>
      </c>
      <c r="L378" s="237" t="s">
        <v>6921</v>
      </c>
      <c r="M378" s="237" t="s">
        <v>8430</v>
      </c>
      <c r="N378" s="237" t="s">
        <v>8431</v>
      </c>
      <c r="O378" s="237" t="s">
        <v>8432</v>
      </c>
      <c r="P378" s="231"/>
      <c r="Q378" s="237" t="s">
        <v>8432</v>
      </c>
      <c r="R378" s="231"/>
    </row>
    <row r="379">
      <c r="G379" s="232">
        <v>377.0</v>
      </c>
      <c r="H379" s="237" t="s">
        <v>6918</v>
      </c>
      <c r="I379" s="237" t="s">
        <v>8422</v>
      </c>
      <c r="J379" s="233">
        <v>10.0</v>
      </c>
      <c r="K379" s="237" t="s">
        <v>3650</v>
      </c>
      <c r="L379" s="237" t="s">
        <v>6921</v>
      </c>
      <c r="M379" s="237" t="s">
        <v>8433</v>
      </c>
      <c r="N379" s="237" t="s">
        <v>8431</v>
      </c>
      <c r="O379" s="237" t="s">
        <v>8434</v>
      </c>
      <c r="P379" s="237" t="s">
        <v>7048</v>
      </c>
      <c r="Q379" s="237" t="s">
        <v>8435</v>
      </c>
      <c r="R379" s="237" t="s">
        <v>7050</v>
      </c>
    </row>
    <row r="380">
      <c r="G380" s="232">
        <v>378.0</v>
      </c>
      <c r="H380" s="237" t="s">
        <v>6918</v>
      </c>
      <c r="I380" s="237" t="s">
        <v>8042</v>
      </c>
      <c r="J380" s="233">
        <v>10.0</v>
      </c>
      <c r="K380" s="237" t="s">
        <v>8436</v>
      </c>
      <c r="L380" s="237" t="s">
        <v>6933</v>
      </c>
      <c r="M380" s="237" t="s">
        <v>8437</v>
      </c>
      <c r="N380" s="237" t="s">
        <v>8438</v>
      </c>
      <c r="O380" s="237"/>
      <c r="P380" s="231"/>
      <c r="Q380" s="237" t="s">
        <v>8439</v>
      </c>
      <c r="R380" s="237" t="s">
        <v>7050</v>
      </c>
    </row>
    <row r="381">
      <c r="G381" s="232">
        <v>379.0</v>
      </c>
      <c r="H381" s="237" t="s">
        <v>6918</v>
      </c>
      <c r="I381" s="237" t="s">
        <v>8042</v>
      </c>
      <c r="J381" s="233">
        <v>10.0</v>
      </c>
      <c r="K381" s="237" t="s">
        <v>274</v>
      </c>
      <c r="L381" s="237" t="s">
        <v>6933</v>
      </c>
      <c r="M381" s="237" t="s">
        <v>8440</v>
      </c>
      <c r="N381" s="237" t="s">
        <v>8438</v>
      </c>
      <c r="O381" s="237" t="s">
        <v>8441</v>
      </c>
      <c r="P381" s="237" t="s">
        <v>7005</v>
      </c>
      <c r="Q381" s="237"/>
      <c r="R381" s="231"/>
    </row>
    <row r="382">
      <c r="G382" s="232">
        <v>380.0</v>
      </c>
      <c r="H382" s="237" t="s">
        <v>6918</v>
      </c>
      <c r="I382" s="237" t="s">
        <v>8042</v>
      </c>
      <c r="J382" s="233">
        <v>10.0</v>
      </c>
      <c r="K382" s="237" t="s">
        <v>8442</v>
      </c>
      <c r="L382" s="237" t="s">
        <v>6933</v>
      </c>
      <c r="M382" s="237" t="s">
        <v>8443</v>
      </c>
      <c r="N382" s="237" t="s">
        <v>1393</v>
      </c>
      <c r="O382" s="237"/>
      <c r="P382" s="231"/>
      <c r="Q382" s="237" t="s">
        <v>8444</v>
      </c>
      <c r="R382" s="237" t="s">
        <v>7050</v>
      </c>
    </row>
    <row r="383">
      <c r="G383" s="232">
        <v>381.0</v>
      </c>
      <c r="H383" s="237" t="s">
        <v>6918</v>
      </c>
      <c r="I383" s="237" t="s">
        <v>8042</v>
      </c>
      <c r="J383" s="233">
        <v>10.0</v>
      </c>
      <c r="K383" s="237" t="s">
        <v>8445</v>
      </c>
      <c r="L383" s="237" t="s">
        <v>6933</v>
      </c>
      <c r="M383" s="237" t="s">
        <v>8446</v>
      </c>
      <c r="N383" s="237" t="s">
        <v>1393</v>
      </c>
      <c r="O383" s="237"/>
      <c r="P383" s="231"/>
      <c r="Q383" s="237" t="s">
        <v>8447</v>
      </c>
      <c r="R383" s="237" t="s">
        <v>7050</v>
      </c>
    </row>
    <row r="384">
      <c r="G384" s="232">
        <v>382.0</v>
      </c>
      <c r="H384" s="237" t="s">
        <v>6918</v>
      </c>
      <c r="I384" s="237" t="s">
        <v>8042</v>
      </c>
      <c r="J384" s="233">
        <v>10.0</v>
      </c>
      <c r="K384" s="237" t="s">
        <v>8448</v>
      </c>
      <c r="L384" s="237" t="s">
        <v>6921</v>
      </c>
      <c r="M384" s="237" t="s">
        <v>8449</v>
      </c>
      <c r="N384" s="237" t="s">
        <v>8450</v>
      </c>
      <c r="O384" s="237" t="s">
        <v>8451</v>
      </c>
      <c r="P384" s="237" t="s">
        <v>7005</v>
      </c>
      <c r="Q384" s="237" t="s">
        <v>8452</v>
      </c>
      <c r="R384" s="237" t="s">
        <v>6939</v>
      </c>
    </row>
    <row r="385">
      <c r="G385" s="232">
        <v>383.0</v>
      </c>
      <c r="H385" s="237" t="s">
        <v>6918</v>
      </c>
      <c r="I385" s="237" t="s">
        <v>8042</v>
      </c>
      <c r="J385" s="233">
        <v>10.0</v>
      </c>
      <c r="K385" s="237" t="s">
        <v>8453</v>
      </c>
      <c r="L385" s="237" t="s">
        <v>6933</v>
      </c>
      <c r="M385" s="237" t="s">
        <v>8454</v>
      </c>
      <c r="N385" s="237" t="s">
        <v>8450</v>
      </c>
      <c r="O385" s="237" t="s">
        <v>8455</v>
      </c>
      <c r="P385" s="231"/>
      <c r="Q385" s="237" t="s">
        <v>8456</v>
      </c>
      <c r="R385" s="231"/>
    </row>
    <row r="386">
      <c r="G386" s="232">
        <v>384.0</v>
      </c>
      <c r="H386" s="237" t="s">
        <v>6918</v>
      </c>
      <c r="I386" s="237" t="s">
        <v>8457</v>
      </c>
      <c r="J386" s="233">
        <v>10.0</v>
      </c>
      <c r="K386" s="237" t="s">
        <v>8458</v>
      </c>
      <c r="L386" s="237" t="s">
        <v>6933</v>
      </c>
      <c r="M386" s="237" t="s">
        <v>8459</v>
      </c>
      <c r="N386" s="237" t="s">
        <v>8450</v>
      </c>
      <c r="O386" s="237" t="s">
        <v>8460</v>
      </c>
      <c r="P386" s="237" t="s">
        <v>7005</v>
      </c>
      <c r="Q386" s="237"/>
      <c r="R386" s="231"/>
    </row>
    <row r="387">
      <c r="G387" s="232">
        <v>385.0</v>
      </c>
      <c r="H387" s="237" t="s">
        <v>6918</v>
      </c>
      <c r="I387" s="237" t="s">
        <v>8042</v>
      </c>
      <c r="J387" s="233">
        <v>10.0</v>
      </c>
      <c r="K387" s="237" t="s">
        <v>8461</v>
      </c>
      <c r="L387" s="237" t="s">
        <v>6933</v>
      </c>
      <c r="M387" s="237" t="s">
        <v>8462</v>
      </c>
      <c r="N387" s="237" t="s">
        <v>8463</v>
      </c>
      <c r="O387" s="237" t="s">
        <v>8464</v>
      </c>
      <c r="P387" s="237" t="s">
        <v>8465</v>
      </c>
      <c r="Q387" s="237"/>
      <c r="R387" s="231"/>
    </row>
    <row r="388">
      <c r="G388" s="232">
        <v>386.0</v>
      </c>
      <c r="H388" s="237" t="s">
        <v>6918</v>
      </c>
      <c r="I388" s="237" t="s">
        <v>7281</v>
      </c>
      <c r="J388" s="233">
        <v>10.0</v>
      </c>
      <c r="K388" s="237" t="s">
        <v>8466</v>
      </c>
      <c r="L388" s="237" t="s">
        <v>6933</v>
      </c>
      <c r="M388" s="237" t="s">
        <v>8467</v>
      </c>
      <c r="N388" s="237" t="s">
        <v>6421</v>
      </c>
      <c r="O388" s="237" t="s">
        <v>8468</v>
      </c>
      <c r="P388" s="231"/>
      <c r="Q388" s="237" t="s">
        <v>8469</v>
      </c>
      <c r="R388" s="231"/>
    </row>
    <row r="389">
      <c r="G389" s="232">
        <v>387.0</v>
      </c>
      <c r="H389" s="237" t="s">
        <v>6918</v>
      </c>
      <c r="I389" s="237" t="s">
        <v>7281</v>
      </c>
      <c r="J389" s="233">
        <v>10.0</v>
      </c>
      <c r="K389" s="237" t="s">
        <v>8470</v>
      </c>
      <c r="L389" s="237" t="s">
        <v>6921</v>
      </c>
      <c r="M389" s="237" t="s">
        <v>8471</v>
      </c>
      <c r="N389" s="237" t="s">
        <v>8472</v>
      </c>
      <c r="O389" s="237" t="s">
        <v>8473</v>
      </c>
      <c r="P389" s="237" t="s">
        <v>8474</v>
      </c>
      <c r="Q389" s="237" t="s">
        <v>8475</v>
      </c>
      <c r="R389" s="237" t="s">
        <v>6939</v>
      </c>
    </row>
    <row r="390">
      <c r="G390" s="232">
        <v>388.0</v>
      </c>
      <c r="H390" s="237" t="s">
        <v>6918</v>
      </c>
      <c r="I390" s="237" t="s">
        <v>7281</v>
      </c>
      <c r="J390" s="233">
        <v>10.0</v>
      </c>
      <c r="K390" s="237" t="s">
        <v>8476</v>
      </c>
      <c r="L390" s="237" t="s">
        <v>6921</v>
      </c>
      <c r="M390" s="237" t="s">
        <v>8477</v>
      </c>
      <c r="N390" s="237" t="s">
        <v>8472</v>
      </c>
      <c r="O390" s="237" t="s">
        <v>8478</v>
      </c>
      <c r="P390" s="237" t="s">
        <v>6928</v>
      </c>
      <c r="Q390" s="237" t="s">
        <v>8479</v>
      </c>
      <c r="R390" s="237" t="s">
        <v>7173</v>
      </c>
    </row>
    <row r="391">
      <c r="G391" s="232">
        <v>389.0</v>
      </c>
      <c r="H391" s="237" t="s">
        <v>6918</v>
      </c>
      <c r="I391" s="237" t="s">
        <v>7281</v>
      </c>
      <c r="J391" s="233">
        <v>10.0</v>
      </c>
      <c r="K391" s="237" t="s">
        <v>8480</v>
      </c>
      <c r="L391" s="237" t="s">
        <v>6921</v>
      </c>
      <c r="M391" s="237" t="s">
        <v>8481</v>
      </c>
      <c r="N391" s="237" t="s">
        <v>8472</v>
      </c>
      <c r="O391" s="237" t="s">
        <v>8482</v>
      </c>
      <c r="P391" s="231"/>
      <c r="Q391" s="237" t="s">
        <v>8483</v>
      </c>
      <c r="R391" s="231"/>
    </row>
    <row r="392">
      <c r="G392" s="232">
        <v>390.0</v>
      </c>
      <c r="H392" s="237" t="s">
        <v>6918</v>
      </c>
      <c r="I392" s="237" t="s">
        <v>7281</v>
      </c>
      <c r="J392" s="233">
        <v>10.0</v>
      </c>
      <c r="K392" s="237" t="s">
        <v>8484</v>
      </c>
      <c r="L392" s="237" t="s">
        <v>6921</v>
      </c>
      <c r="M392" s="237" t="s">
        <v>8485</v>
      </c>
      <c r="N392" s="237" t="s">
        <v>8486</v>
      </c>
      <c r="O392" s="237" t="s">
        <v>8487</v>
      </c>
      <c r="P392" s="237" t="s">
        <v>8076</v>
      </c>
      <c r="Q392" s="237"/>
      <c r="R392" s="231"/>
    </row>
    <row r="393">
      <c r="G393" s="232">
        <v>391.0</v>
      </c>
      <c r="H393" s="237" t="s">
        <v>6918</v>
      </c>
      <c r="I393" s="237" t="s">
        <v>7281</v>
      </c>
      <c r="J393" s="233">
        <v>10.0</v>
      </c>
      <c r="K393" s="237" t="s">
        <v>8488</v>
      </c>
      <c r="L393" s="237" t="s">
        <v>6921</v>
      </c>
      <c r="M393" s="237" t="s">
        <v>8489</v>
      </c>
      <c r="N393" s="237" t="s">
        <v>8486</v>
      </c>
      <c r="O393" s="237" t="s">
        <v>8490</v>
      </c>
      <c r="P393" s="237" t="s">
        <v>8491</v>
      </c>
      <c r="Q393" s="237" t="s">
        <v>8492</v>
      </c>
      <c r="R393" s="237" t="s">
        <v>6939</v>
      </c>
    </row>
    <row r="394">
      <c r="G394" s="232">
        <v>392.0</v>
      </c>
      <c r="H394" s="237" t="s">
        <v>6918</v>
      </c>
      <c r="I394" s="237" t="s">
        <v>7281</v>
      </c>
      <c r="J394" s="233">
        <v>10.0</v>
      </c>
      <c r="K394" s="237" t="s">
        <v>688</v>
      </c>
      <c r="L394" s="237" t="s">
        <v>6921</v>
      </c>
      <c r="M394" s="237" t="s">
        <v>8493</v>
      </c>
      <c r="N394" s="237" t="s">
        <v>690</v>
      </c>
      <c r="O394" s="237" t="s">
        <v>8494</v>
      </c>
      <c r="P394" s="237" t="s">
        <v>8491</v>
      </c>
      <c r="Q394" s="237" t="s">
        <v>8495</v>
      </c>
      <c r="R394" s="237" t="s">
        <v>6939</v>
      </c>
    </row>
    <row r="395">
      <c r="G395" s="232">
        <v>393.0</v>
      </c>
      <c r="H395" s="237" t="s">
        <v>6918</v>
      </c>
      <c r="I395" s="237" t="s">
        <v>7281</v>
      </c>
      <c r="J395" s="233">
        <v>10.0</v>
      </c>
      <c r="K395" s="237" t="s">
        <v>8496</v>
      </c>
      <c r="L395" s="237" t="s">
        <v>6933</v>
      </c>
      <c r="M395" s="237" t="s">
        <v>8497</v>
      </c>
      <c r="N395" s="237" t="s">
        <v>690</v>
      </c>
      <c r="O395" s="237" t="s">
        <v>8498</v>
      </c>
      <c r="P395" s="237" t="s">
        <v>6928</v>
      </c>
      <c r="Q395" s="237" t="s">
        <v>8499</v>
      </c>
      <c r="R395" s="237" t="s">
        <v>6952</v>
      </c>
    </row>
    <row r="396">
      <c r="G396" s="232">
        <v>394.0</v>
      </c>
      <c r="H396" s="237" t="s">
        <v>6918</v>
      </c>
      <c r="I396" s="237" t="s">
        <v>7281</v>
      </c>
      <c r="J396" s="233">
        <v>10.0</v>
      </c>
      <c r="K396" s="237" t="s">
        <v>8500</v>
      </c>
      <c r="L396" s="237" t="s">
        <v>6933</v>
      </c>
      <c r="M396" s="237" t="s">
        <v>8501</v>
      </c>
      <c r="N396" s="237" t="s">
        <v>690</v>
      </c>
      <c r="O396" s="237" t="s">
        <v>8502</v>
      </c>
      <c r="P396" s="237" t="s">
        <v>6928</v>
      </c>
      <c r="Q396" s="237"/>
      <c r="R396" s="231"/>
    </row>
    <row r="397">
      <c r="G397" s="232">
        <v>395.0</v>
      </c>
      <c r="H397" s="237" t="s">
        <v>6918</v>
      </c>
      <c r="I397" s="237" t="s">
        <v>7281</v>
      </c>
      <c r="J397" s="233">
        <v>10.0</v>
      </c>
      <c r="K397" s="237" t="s">
        <v>3538</v>
      </c>
      <c r="L397" s="237" t="s">
        <v>6921</v>
      </c>
      <c r="M397" s="237" t="s">
        <v>8503</v>
      </c>
      <c r="N397" s="237" t="s">
        <v>690</v>
      </c>
      <c r="O397" s="237" t="s">
        <v>8504</v>
      </c>
      <c r="P397" s="237" t="s">
        <v>8505</v>
      </c>
      <c r="Q397" s="237"/>
      <c r="R397" s="231"/>
    </row>
    <row r="398">
      <c r="G398" s="232">
        <v>396.0</v>
      </c>
      <c r="H398" s="237" t="s">
        <v>6918</v>
      </c>
      <c r="I398" s="237" t="s">
        <v>7281</v>
      </c>
      <c r="J398" s="233">
        <v>10.0</v>
      </c>
      <c r="K398" s="237" t="s">
        <v>8506</v>
      </c>
      <c r="L398" s="237" t="s">
        <v>6933</v>
      </c>
      <c r="M398" s="237" t="s">
        <v>8507</v>
      </c>
      <c r="N398" s="237" t="s">
        <v>8508</v>
      </c>
      <c r="O398" s="237" t="s">
        <v>8509</v>
      </c>
      <c r="P398" s="237" t="s">
        <v>7289</v>
      </c>
      <c r="Q398" s="237"/>
      <c r="R398" s="231"/>
    </row>
    <row r="399">
      <c r="G399" s="232">
        <v>397.0</v>
      </c>
      <c r="H399" s="237" t="s">
        <v>6918</v>
      </c>
      <c r="I399" s="237" t="s">
        <v>7281</v>
      </c>
      <c r="J399" s="233">
        <v>10.0</v>
      </c>
      <c r="K399" s="237" t="s">
        <v>8510</v>
      </c>
      <c r="L399" s="237" t="s">
        <v>6921</v>
      </c>
      <c r="M399" s="237" t="s">
        <v>8511</v>
      </c>
      <c r="N399" s="237" t="s">
        <v>8508</v>
      </c>
      <c r="O399" s="237" t="s">
        <v>8512</v>
      </c>
      <c r="P399" s="237" t="s">
        <v>8513</v>
      </c>
      <c r="Q399" s="237"/>
      <c r="R399" s="231"/>
    </row>
    <row r="400">
      <c r="G400" s="232">
        <v>398.0</v>
      </c>
      <c r="H400" s="237" t="s">
        <v>6918</v>
      </c>
      <c r="I400" s="237" t="s">
        <v>7281</v>
      </c>
      <c r="J400" s="233">
        <v>10.0</v>
      </c>
      <c r="K400" s="237" t="s">
        <v>8514</v>
      </c>
      <c r="L400" s="237" t="s">
        <v>6921</v>
      </c>
      <c r="M400" s="237" t="s">
        <v>8515</v>
      </c>
      <c r="N400" s="237" t="s">
        <v>8508</v>
      </c>
      <c r="O400" s="237" t="s">
        <v>8516</v>
      </c>
      <c r="P400" s="231"/>
      <c r="Q400" s="237" t="s">
        <v>8517</v>
      </c>
      <c r="R400" s="231"/>
    </row>
    <row r="401">
      <c r="G401" s="232">
        <v>399.0</v>
      </c>
      <c r="H401" s="237" t="s">
        <v>6918</v>
      </c>
      <c r="I401" s="237" t="s">
        <v>7281</v>
      </c>
      <c r="J401" s="233">
        <v>10.0</v>
      </c>
      <c r="K401" s="237" t="s">
        <v>8518</v>
      </c>
      <c r="L401" s="237" t="s">
        <v>6921</v>
      </c>
      <c r="M401" s="237" t="s">
        <v>8519</v>
      </c>
      <c r="N401" s="237" t="s">
        <v>8508</v>
      </c>
      <c r="O401" s="237" t="s">
        <v>8520</v>
      </c>
      <c r="P401" s="231"/>
      <c r="Q401" s="237" t="s">
        <v>8521</v>
      </c>
      <c r="R401" s="231"/>
    </row>
    <row r="402">
      <c r="G402" s="232">
        <v>400.0</v>
      </c>
      <c r="H402" s="237" t="s">
        <v>6918</v>
      </c>
      <c r="I402" s="237" t="s">
        <v>7281</v>
      </c>
      <c r="J402" s="233">
        <v>10.0</v>
      </c>
      <c r="K402" s="237" t="s">
        <v>8522</v>
      </c>
      <c r="L402" s="237" t="s">
        <v>6933</v>
      </c>
      <c r="M402" s="237" t="s">
        <v>8523</v>
      </c>
      <c r="N402" s="237" t="s">
        <v>2081</v>
      </c>
      <c r="O402" s="237" t="s">
        <v>8524</v>
      </c>
      <c r="P402" s="237" t="s">
        <v>8513</v>
      </c>
      <c r="Q402" s="237" t="s">
        <v>8525</v>
      </c>
      <c r="R402" s="237" t="s">
        <v>7031</v>
      </c>
    </row>
    <row r="403">
      <c r="G403" s="232">
        <v>401.0</v>
      </c>
      <c r="H403" s="237" t="s">
        <v>6918</v>
      </c>
      <c r="I403" s="237" t="s">
        <v>7281</v>
      </c>
      <c r="J403" s="233">
        <v>10.0</v>
      </c>
      <c r="K403" s="237" t="s">
        <v>8526</v>
      </c>
      <c r="L403" s="237" t="s">
        <v>6933</v>
      </c>
      <c r="M403" s="237" t="s">
        <v>8527</v>
      </c>
      <c r="N403" s="237" t="s">
        <v>673</v>
      </c>
      <c r="O403" s="237" t="s">
        <v>8528</v>
      </c>
      <c r="P403" s="237" t="s">
        <v>7299</v>
      </c>
      <c r="Q403" s="237" t="s">
        <v>8529</v>
      </c>
      <c r="R403" s="237" t="s">
        <v>7012</v>
      </c>
    </row>
    <row r="404">
      <c r="G404" s="232">
        <v>402.0</v>
      </c>
      <c r="H404" s="237" t="s">
        <v>6918</v>
      </c>
      <c r="I404" s="237" t="s">
        <v>7281</v>
      </c>
      <c r="J404" s="233">
        <v>10.0</v>
      </c>
      <c r="K404" s="237" t="s">
        <v>675</v>
      </c>
      <c r="L404" s="237" t="s">
        <v>6921</v>
      </c>
      <c r="M404" s="237" t="s">
        <v>8530</v>
      </c>
      <c r="N404" s="237" t="s">
        <v>673</v>
      </c>
      <c r="O404" s="237" t="s">
        <v>8531</v>
      </c>
      <c r="P404" s="231"/>
      <c r="Q404" s="237" t="s">
        <v>8532</v>
      </c>
      <c r="R404" s="231"/>
    </row>
    <row r="405">
      <c r="G405" s="232">
        <v>403.0</v>
      </c>
      <c r="H405" s="237" t="s">
        <v>6918</v>
      </c>
      <c r="I405" s="237" t="s">
        <v>7281</v>
      </c>
      <c r="J405" s="233">
        <v>10.0</v>
      </c>
      <c r="K405" s="237" t="s">
        <v>3109</v>
      </c>
      <c r="L405" s="237" t="s">
        <v>6933</v>
      </c>
      <c r="M405" s="237" t="s">
        <v>8533</v>
      </c>
      <c r="N405" s="237" t="s">
        <v>673</v>
      </c>
      <c r="O405" s="237" t="s">
        <v>8534</v>
      </c>
      <c r="P405" s="237" t="s">
        <v>6928</v>
      </c>
      <c r="Q405" s="237" t="s">
        <v>8535</v>
      </c>
      <c r="R405" s="237" t="s">
        <v>8536</v>
      </c>
    </row>
    <row r="406">
      <c r="G406" s="232">
        <v>404.0</v>
      </c>
      <c r="H406" s="237" t="s">
        <v>6918</v>
      </c>
      <c r="I406" s="237" t="s">
        <v>7281</v>
      </c>
      <c r="J406" s="233">
        <v>10.0</v>
      </c>
      <c r="K406" s="237" t="s">
        <v>670</v>
      </c>
      <c r="L406" s="237" t="s">
        <v>6921</v>
      </c>
      <c r="M406" s="237" t="s">
        <v>8537</v>
      </c>
      <c r="N406" s="237" t="s">
        <v>673</v>
      </c>
      <c r="O406" s="237" t="s">
        <v>8538</v>
      </c>
      <c r="P406" s="237" t="s">
        <v>6928</v>
      </c>
      <c r="Q406" s="237" t="s">
        <v>8539</v>
      </c>
      <c r="R406" s="237" t="s">
        <v>6939</v>
      </c>
    </row>
    <row r="407">
      <c r="G407" s="232">
        <v>405.0</v>
      </c>
      <c r="H407" s="237" t="s">
        <v>6918</v>
      </c>
      <c r="I407" s="237" t="s">
        <v>7281</v>
      </c>
      <c r="J407" s="233">
        <v>10.0</v>
      </c>
      <c r="K407" s="237" t="s">
        <v>8540</v>
      </c>
      <c r="L407" s="237" t="s">
        <v>6921</v>
      </c>
      <c r="M407" s="237" t="s">
        <v>8541</v>
      </c>
      <c r="N407" s="237" t="s">
        <v>8542</v>
      </c>
      <c r="O407" s="237"/>
      <c r="P407" s="231"/>
      <c r="Q407" s="237" t="s">
        <v>8543</v>
      </c>
      <c r="R407" s="237" t="s">
        <v>6939</v>
      </c>
    </row>
    <row r="408">
      <c r="G408" s="232">
        <v>406.0</v>
      </c>
      <c r="H408" s="237" t="s">
        <v>6918</v>
      </c>
      <c r="I408" s="237" t="s">
        <v>7281</v>
      </c>
      <c r="J408" s="233">
        <v>10.0</v>
      </c>
      <c r="K408" s="237" t="s">
        <v>8544</v>
      </c>
      <c r="L408" s="237" t="s">
        <v>6921</v>
      </c>
      <c r="M408" s="237" t="s">
        <v>8545</v>
      </c>
      <c r="N408" s="237" t="s">
        <v>8542</v>
      </c>
      <c r="O408" s="237"/>
      <c r="P408" s="231"/>
      <c r="Q408" s="237" t="s">
        <v>8546</v>
      </c>
      <c r="R408" s="237" t="s">
        <v>6939</v>
      </c>
    </row>
    <row r="409">
      <c r="G409" s="232">
        <v>407.0</v>
      </c>
      <c r="H409" s="237" t="s">
        <v>6918</v>
      </c>
      <c r="I409" s="237" t="s">
        <v>7281</v>
      </c>
      <c r="J409" s="233">
        <v>10.0</v>
      </c>
      <c r="K409" s="237" t="s">
        <v>8547</v>
      </c>
      <c r="L409" s="237" t="s">
        <v>6933</v>
      </c>
      <c r="M409" s="237" t="s">
        <v>8548</v>
      </c>
      <c r="N409" s="237" t="s">
        <v>8542</v>
      </c>
      <c r="O409" s="237" t="s">
        <v>8549</v>
      </c>
      <c r="P409" s="231"/>
      <c r="Q409" s="237" t="s">
        <v>8550</v>
      </c>
      <c r="R409" s="231"/>
    </row>
    <row r="410">
      <c r="G410" s="232">
        <v>408.0</v>
      </c>
      <c r="H410" s="237" t="s">
        <v>6918</v>
      </c>
      <c r="I410" s="237" t="s">
        <v>7281</v>
      </c>
      <c r="J410" s="233">
        <v>10.0</v>
      </c>
      <c r="K410" s="237" t="s">
        <v>8551</v>
      </c>
      <c r="L410" s="237" t="s">
        <v>6933</v>
      </c>
      <c r="M410" s="237" t="s">
        <v>8552</v>
      </c>
      <c r="N410" s="237" t="s">
        <v>8542</v>
      </c>
      <c r="O410" s="237" t="s">
        <v>8553</v>
      </c>
      <c r="P410" s="237" t="s">
        <v>7157</v>
      </c>
      <c r="Q410" s="237" t="s">
        <v>8554</v>
      </c>
      <c r="R410" s="237" t="s">
        <v>6946</v>
      </c>
    </row>
    <row r="411">
      <c r="G411" s="232">
        <v>409.0</v>
      </c>
      <c r="H411" s="237" t="s">
        <v>6918</v>
      </c>
      <c r="I411" s="237" t="s">
        <v>7281</v>
      </c>
      <c r="J411" s="233">
        <v>10.0</v>
      </c>
      <c r="K411" s="237" t="s">
        <v>8555</v>
      </c>
      <c r="L411" s="237" t="s">
        <v>6921</v>
      </c>
      <c r="M411" s="237" t="s">
        <v>8556</v>
      </c>
      <c r="N411" s="237" t="s">
        <v>2208</v>
      </c>
      <c r="O411" s="237" t="s">
        <v>8557</v>
      </c>
      <c r="P411" s="237" t="s">
        <v>7024</v>
      </c>
      <c r="Q411" s="237" t="s">
        <v>8558</v>
      </c>
      <c r="R411" s="237" t="s">
        <v>6939</v>
      </c>
    </row>
    <row r="412">
      <c r="G412" s="232">
        <v>410.0</v>
      </c>
      <c r="H412" s="237" t="s">
        <v>6918</v>
      </c>
      <c r="I412" s="237" t="s">
        <v>7281</v>
      </c>
      <c r="J412" s="233">
        <v>10.0</v>
      </c>
      <c r="K412" s="237" t="s">
        <v>8559</v>
      </c>
      <c r="L412" s="237" t="s">
        <v>6921</v>
      </c>
      <c r="M412" s="237" t="s">
        <v>8560</v>
      </c>
      <c r="N412" s="237" t="s">
        <v>2208</v>
      </c>
      <c r="O412" s="237" t="s">
        <v>8561</v>
      </c>
      <c r="P412" s="237" t="s">
        <v>6928</v>
      </c>
      <c r="Q412" s="237" t="s">
        <v>8562</v>
      </c>
      <c r="R412" s="237" t="s">
        <v>6939</v>
      </c>
    </row>
    <row r="413">
      <c r="G413" s="232">
        <v>411.0</v>
      </c>
      <c r="H413" s="237" t="s">
        <v>6918</v>
      </c>
      <c r="I413" s="237" t="s">
        <v>7281</v>
      </c>
      <c r="J413" s="233">
        <v>10.0</v>
      </c>
      <c r="K413" s="237" t="s">
        <v>8563</v>
      </c>
      <c r="L413" s="237" t="s">
        <v>7239</v>
      </c>
      <c r="M413" s="237" t="s">
        <v>8564</v>
      </c>
      <c r="N413" s="237" t="s">
        <v>2208</v>
      </c>
      <c r="O413" s="237"/>
      <c r="P413" s="231"/>
      <c r="Q413" s="237" t="s">
        <v>8565</v>
      </c>
      <c r="R413" s="237" t="s">
        <v>7012</v>
      </c>
    </row>
    <row r="414">
      <c r="G414" s="232">
        <v>412.0</v>
      </c>
      <c r="H414" s="237" t="s">
        <v>6918</v>
      </c>
      <c r="I414" s="237" t="s">
        <v>7281</v>
      </c>
      <c r="J414" s="233">
        <v>10.0</v>
      </c>
      <c r="K414" s="237" t="s">
        <v>8566</v>
      </c>
      <c r="L414" s="237" t="s">
        <v>6933</v>
      </c>
      <c r="M414" s="237" t="s">
        <v>8567</v>
      </c>
      <c r="N414" s="237" t="s">
        <v>8568</v>
      </c>
      <c r="O414" s="237" t="s">
        <v>8569</v>
      </c>
      <c r="P414" s="237" t="s">
        <v>6928</v>
      </c>
      <c r="Q414" s="237" t="s">
        <v>8570</v>
      </c>
      <c r="R414" s="237" t="s">
        <v>6952</v>
      </c>
    </row>
    <row r="415">
      <c r="G415" s="232">
        <v>413.0</v>
      </c>
      <c r="H415" s="237" t="s">
        <v>6918</v>
      </c>
      <c r="I415" s="237" t="s">
        <v>7281</v>
      </c>
      <c r="J415" s="233">
        <v>10.0</v>
      </c>
      <c r="K415" s="237" t="s">
        <v>8571</v>
      </c>
      <c r="L415" s="237" t="s">
        <v>6933</v>
      </c>
      <c r="M415" s="237" t="s">
        <v>8572</v>
      </c>
      <c r="N415" s="237" t="s">
        <v>8568</v>
      </c>
      <c r="O415" s="237" t="s">
        <v>8573</v>
      </c>
      <c r="P415" s="237" t="s">
        <v>8251</v>
      </c>
      <c r="Q415" s="237"/>
      <c r="R415" s="231"/>
    </row>
    <row r="416">
      <c r="G416" s="232">
        <v>414.0</v>
      </c>
      <c r="H416" s="237" t="s">
        <v>6918</v>
      </c>
      <c r="I416" s="237" t="s">
        <v>7281</v>
      </c>
      <c r="J416" s="233">
        <v>10.0</v>
      </c>
      <c r="K416" s="237" t="s">
        <v>8574</v>
      </c>
      <c r="L416" s="237" t="s">
        <v>7239</v>
      </c>
      <c r="M416" s="237" t="s">
        <v>8575</v>
      </c>
      <c r="N416" s="237" t="s">
        <v>8568</v>
      </c>
      <c r="O416" s="237" t="s">
        <v>8576</v>
      </c>
      <c r="P416" s="231"/>
      <c r="Q416" s="237" t="s">
        <v>8576</v>
      </c>
      <c r="R416" s="231"/>
    </row>
    <row r="417">
      <c r="G417" s="232">
        <v>415.0</v>
      </c>
      <c r="H417" s="237" t="s">
        <v>6918</v>
      </c>
      <c r="I417" s="237" t="s">
        <v>7281</v>
      </c>
      <c r="J417" s="233">
        <v>10.0</v>
      </c>
      <c r="K417" s="237" t="s">
        <v>8577</v>
      </c>
      <c r="L417" s="237" t="s">
        <v>6933</v>
      </c>
      <c r="M417" s="237" t="s">
        <v>8578</v>
      </c>
      <c r="N417" s="237" t="s">
        <v>8568</v>
      </c>
      <c r="O417" s="237" t="s">
        <v>8579</v>
      </c>
      <c r="P417" s="231"/>
      <c r="Q417" s="237" t="s">
        <v>8580</v>
      </c>
      <c r="R417" s="231"/>
    </row>
    <row r="418">
      <c r="G418" s="232">
        <v>416.0</v>
      </c>
      <c r="H418" s="237" t="s">
        <v>6918</v>
      </c>
      <c r="I418" s="237" t="s">
        <v>7281</v>
      </c>
      <c r="J418" s="233">
        <v>10.0</v>
      </c>
      <c r="K418" s="237" t="s">
        <v>8581</v>
      </c>
      <c r="L418" s="237" t="s">
        <v>6933</v>
      </c>
      <c r="M418" s="237" t="s">
        <v>8582</v>
      </c>
      <c r="N418" s="237" t="s">
        <v>1896</v>
      </c>
      <c r="O418" s="237" t="s">
        <v>8583</v>
      </c>
      <c r="P418" s="237" t="s">
        <v>6928</v>
      </c>
      <c r="Q418" s="237"/>
      <c r="R418" s="231"/>
    </row>
    <row r="419">
      <c r="G419" s="232">
        <v>417.0</v>
      </c>
      <c r="H419" s="237" t="s">
        <v>6918</v>
      </c>
      <c r="I419" s="237" t="s">
        <v>7281</v>
      </c>
      <c r="J419" s="233">
        <v>10.0</v>
      </c>
      <c r="K419" s="237" t="s">
        <v>8584</v>
      </c>
      <c r="L419" s="237" t="s">
        <v>6933</v>
      </c>
      <c r="M419" s="237" t="s">
        <v>8585</v>
      </c>
      <c r="N419" s="237" t="s">
        <v>1896</v>
      </c>
      <c r="O419" s="237" t="s">
        <v>8586</v>
      </c>
      <c r="P419" s="237" t="s">
        <v>8265</v>
      </c>
      <c r="Q419" s="237" t="s">
        <v>8587</v>
      </c>
      <c r="R419" s="237" t="s">
        <v>7012</v>
      </c>
    </row>
    <row r="420">
      <c r="G420" s="232">
        <v>418.0</v>
      </c>
      <c r="H420" s="237" t="s">
        <v>6918</v>
      </c>
      <c r="I420" s="237" t="s">
        <v>7281</v>
      </c>
      <c r="J420" s="233">
        <v>10.0</v>
      </c>
      <c r="K420" s="237" t="s">
        <v>8588</v>
      </c>
      <c r="L420" s="237" t="s">
        <v>6933</v>
      </c>
      <c r="M420" s="237" t="s">
        <v>8589</v>
      </c>
      <c r="N420" s="237" t="s">
        <v>8590</v>
      </c>
      <c r="O420" s="237" t="s">
        <v>8591</v>
      </c>
      <c r="P420" s="237" t="s">
        <v>6928</v>
      </c>
      <c r="Q420" s="237" t="s">
        <v>8592</v>
      </c>
      <c r="R420" s="237" t="s">
        <v>6930</v>
      </c>
    </row>
    <row r="421">
      <c r="G421" s="232">
        <v>419.0</v>
      </c>
      <c r="H421" s="237" t="s">
        <v>6918</v>
      </c>
      <c r="I421" s="237" t="s">
        <v>7281</v>
      </c>
      <c r="J421" s="233">
        <v>10.0</v>
      </c>
      <c r="K421" s="237" t="s">
        <v>8593</v>
      </c>
      <c r="L421" s="237" t="s">
        <v>6933</v>
      </c>
      <c r="M421" s="237" t="s">
        <v>8594</v>
      </c>
      <c r="N421" s="237" t="s">
        <v>8590</v>
      </c>
      <c r="O421" s="237" t="s">
        <v>8595</v>
      </c>
      <c r="P421" s="237" t="s">
        <v>6928</v>
      </c>
      <c r="Q421" s="237" t="s">
        <v>8596</v>
      </c>
      <c r="R421" s="237" t="s">
        <v>6952</v>
      </c>
    </row>
    <row r="422">
      <c r="G422" s="232">
        <v>420.0</v>
      </c>
      <c r="H422" s="237" t="s">
        <v>6918</v>
      </c>
      <c r="I422" s="237" t="s">
        <v>7281</v>
      </c>
      <c r="J422" s="233">
        <v>10.0</v>
      </c>
      <c r="K422" s="237" t="s">
        <v>8597</v>
      </c>
      <c r="L422" s="237" t="s">
        <v>6933</v>
      </c>
      <c r="M422" s="237" t="s">
        <v>8598</v>
      </c>
      <c r="N422" s="237" t="s">
        <v>932</v>
      </c>
      <c r="O422" s="237" t="s">
        <v>8599</v>
      </c>
      <c r="P422" s="237" t="s">
        <v>6928</v>
      </c>
      <c r="Q422" s="237" t="s">
        <v>8600</v>
      </c>
      <c r="R422" s="237" t="s">
        <v>6930</v>
      </c>
    </row>
    <row r="423">
      <c r="G423" s="232">
        <v>421.0</v>
      </c>
      <c r="H423" s="237" t="s">
        <v>6918</v>
      </c>
      <c r="I423" s="237" t="s">
        <v>7281</v>
      </c>
      <c r="J423" s="233">
        <v>10.0</v>
      </c>
      <c r="K423" s="237" t="s">
        <v>8601</v>
      </c>
      <c r="L423" s="237" t="s">
        <v>6933</v>
      </c>
      <c r="M423" s="237" t="s">
        <v>8602</v>
      </c>
      <c r="N423" s="237" t="s">
        <v>8603</v>
      </c>
      <c r="O423" s="237" t="s">
        <v>8604</v>
      </c>
      <c r="P423" s="237" t="s">
        <v>7299</v>
      </c>
      <c r="Q423" s="237" t="s">
        <v>8605</v>
      </c>
      <c r="R423" s="237" t="s">
        <v>6939</v>
      </c>
    </row>
    <row r="424">
      <c r="G424" s="232">
        <v>422.0</v>
      </c>
      <c r="H424" s="237" t="s">
        <v>6918</v>
      </c>
      <c r="I424" s="237" t="s">
        <v>8606</v>
      </c>
      <c r="J424" s="233">
        <v>11.0</v>
      </c>
      <c r="K424" s="237" t="s">
        <v>8607</v>
      </c>
      <c r="L424" s="237" t="s">
        <v>6933</v>
      </c>
      <c r="M424" s="237" t="s">
        <v>8608</v>
      </c>
      <c r="N424" s="237" t="s">
        <v>8609</v>
      </c>
      <c r="O424" s="237" t="s">
        <v>8610</v>
      </c>
      <c r="P424" s="237" t="s">
        <v>6924</v>
      </c>
      <c r="Q424" s="237"/>
      <c r="R424" s="231"/>
    </row>
    <row r="425">
      <c r="G425" s="232">
        <v>423.0</v>
      </c>
      <c r="H425" s="237" t="s">
        <v>6918</v>
      </c>
      <c r="I425" s="237" t="s">
        <v>8611</v>
      </c>
      <c r="J425" s="233">
        <v>11.0</v>
      </c>
      <c r="K425" s="237" t="s">
        <v>8612</v>
      </c>
      <c r="L425" s="237" t="s">
        <v>6921</v>
      </c>
      <c r="M425" s="237" t="s">
        <v>8613</v>
      </c>
      <c r="N425" s="237" t="s">
        <v>8609</v>
      </c>
      <c r="O425" s="237" t="s">
        <v>8614</v>
      </c>
      <c r="P425" s="231"/>
      <c r="Q425" s="237" t="s">
        <v>1404</v>
      </c>
      <c r="R425" s="231"/>
    </row>
    <row r="426">
      <c r="G426" s="232">
        <v>424.0</v>
      </c>
      <c r="H426" s="237" t="s">
        <v>6918</v>
      </c>
      <c r="I426" s="237" t="s">
        <v>8606</v>
      </c>
      <c r="J426" s="233">
        <v>11.0</v>
      </c>
      <c r="K426" s="237" t="s">
        <v>8615</v>
      </c>
      <c r="L426" s="237" t="s">
        <v>6921</v>
      </c>
      <c r="M426" s="237" t="s">
        <v>8616</v>
      </c>
      <c r="N426" s="237" t="s">
        <v>8609</v>
      </c>
      <c r="O426" s="237" t="s">
        <v>8617</v>
      </c>
      <c r="P426" s="237" t="s">
        <v>6924</v>
      </c>
      <c r="Q426" s="237"/>
      <c r="R426" s="231"/>
    </row>
    <row r="427">
      <c r="G427" s="232">
        <v>425.0</v>
      </c>
      <c r="H427" s="237" t="s">
        <v>6918</v>
      </c>
      <c r="I427" s="237" t="s">
        <v>8606</v>
      </c>
      <c r="J427" s="233">
        <v>11.0</v>
      </c>
      <c r="K427" s="237" t="s">
        <v>8618</v>
      </c>
      <c r="L427" s="237" t="s">
        <v>6921</v>
      </c>
      <c r="M427" s="237" t="s">
        <v>8619</v>
      </c>
      <c r="N427" s="237" t="s">
        <v>8609</v>
      </c>
      <c r="O427" s="237" t="s">
        <v>8620</v>
      </c>
      <c r="P427" s="237" t="s">
        <v>6937</v>
      </c>
      <c r="Q427" s="237"/>
      <c r="R427" s="231"/>
    </row>
    <row r="428">
      <c r="G428" s="232">
        <v>426.0</v>
      </c>
      <c r="H428" s="237" t="s">
        <v>6918</v>
      </c>
      <c r="I428" s="237" t="s">
        <v>8606</v>
      </c>
      <c r="J428" s="233">
        <v>11.0</v>
      </c>
      <c r="K428" s="237" t="s">
        <v>8621</v>
      </c>
      <c r="L428" s="237" t="s">
        <v>6921</v>
      </c>
      <c r="M428" s="237" t="s">
        <v>8622</v>
      </c>
      <c r="N428" s="237" t="s">
        <v>8609</v>
      </c>
      <c r="O428" s="237" t="s">
        <v>8623</v>
      </c>
      <c r="P428" s="237" t="s">
        <v>6928</v>
      </c>
      <c r="Q428" s="237" t="s">
        <v>8624</v>
      </c>
      <c r="R428" s="237" t="s">
        <v>7136</v>
      </c>
    </row>
    <row r="429">
      <c r="G429" s="232">
        <v>427.0</v>
      </c>
      <c r="H429" s="237" t="s">
        <v>6918</v>
      </c>
      <c r="I429" s="237" t="s">
        <v>8606</v>
      </c>
      <c r="J429" s="233">
        <v>11.0</v>
      </c>
      <c r="K429" s="237" t="s">
        <v>8625</v>
      </c>
      <c r="L429" s="237" t="s">
        <v>6921</v>
      </c>
      <c r="M429" s="237" t="s">
        <v>8626</v>
      </c>
      <c r="N429" s="237" t="s">
        <v>8609</v>
      </c>
      <c r="O429" s="237" t="s">
        <v>8627</v>
      </c>
      <c r="P429" s="237" t="s">
        <v>6928</v>
      </c>
      <c r="Q429" s="237"/>
      <c r="R429" s="231"/>
    </row>
    <row r="430">
      <c r="G430" s="232">
        <v>428.0</v>
      </c>
      <c r="H430" s="237" t="s">
        <v>6918</v>
      </c>
      <c r="I430" s="237" t="s">
        <v>7415</v>
      </c>
      <c r="J430" s="233">
        <v>11.0</v>
      </c>
      <c r="K430" s="237" t="s">
        <v>8628</v>
      </c>
      <c r="L430" s="237" t="s">
        <v>6933</v>
      </c>
      <c r="M430" s="237" t="s">
        <v>8629</v>
      </c>
      <c r="N430" s="237" t="s">
        <v>8609</v>
      </c>
      <c r="O430" s="237" t="s">
        <v>8630</v>
      </c>
      <c r="P430" s="237" t="s">
        <v>6928</v>
      </c>
      <c r="Q430" s="237"/>
      <c r="R430" s="231"/>
    </row>
    <row r="431">
      <c r="G431" s="232">
        <v>429.0</v>
      </c>
      <c r="H431" s="237" t="s">
        <v>6918</v>
      </c>
      <c r="I431" s="237" t="s">
        <v>8631</v>
      </c>
      <c r="J431" s="233">
        <v>11.0</v>
      </c>
      <c r="K431" s="237" t="s">
        <v>8632</v>
      </c>
      <c r="L431" s="237" t="s">
        <v>6921</v>
      </c>
      <c r="M431" s="237" t="s">
        <v>8633</v>
      </c>
      <c r="N431" s="237" t="s">
        <v>5805</v>
      </c>
      <c r="O431" s="237" t="s">
        <v>8634</v>
      </c>
      <c r="P431" s="237" t="s">
        <v>6928</v>
      </c>
      <c r="Q431" s="237" t="s">
        <v>8635</v>
      </c>
      <c r="R431" s="237" t="s">
        <v>6930</v>
      </c>
    </row>
    <row r="432">
      <c r="G432" s="232">
        <v>430.0</v>
      </c>
      <c r="H432" s="237" t="s">
        <v>6918</v>
      </c>
      <c r="I432" s="237" t="s">
        <v>8631</v>
      </c>
      <c r="J432" s="233">
        <v>11.0</v>
      </c>
      <c r="K432" s="237" t="s">
        <v>8636</v>
      </c>
      <c r="L432" s="237" t="s">
        <v>6921</v>
      </c>
      <c r="M432" s="237" t="s">
        <v>8637</v>
      </c>
      <c r="N432" s="237" t="s">
        <v>2301</v>
      </c>
      <c r="O432" s="237" t="s">
        <v>8638</v>
      </c>
      <c r="P432" s="237" t="s">
        <v>6928</v>
      </c>
      <c r="Q432" s="237" t="s">
        <v>8639</v>
      </c>
      <c r="R432" s="237" t="s">
        <v>6930</v>
      </c>
    </row>
    <row r="433">
      <c r="G433" s="232">
        <v>431.0</v>
      </c>
      <c r="H433" s="237" t="s">
        <v>6918</v>
      </c>
      <c r="I433" s="237" t="s">
        <v>8631</v>
      </c>
      <c r="J433" s="233">
        <v>11.0</v>
      </c>
      <c r="K433" s="237" t="s">
        <v>6405</v>
      </c>
      <c r="L433" s="237" t="s">
        <v>6921</v>
      </c>
      <c r="M433" s="237" t="s">
        <v>8640</v>
      </c>
      <c r="N433" s="237" t="s">
        <v>2301</v>
      </c>
      <c r="O433" s="237" t="s">
        <v>8641</v>
      </c>
      <c r="P433" s="231"/>
      <c r="Q433" s="237" t="s">
        <v>8642</v>
      </c>
      <c r="R433" s="231"/>
    </row>
    <row r="434">
      <c r="G434" s="232">
        <v>432.0</v>
      </c>
      <c r="H434" s="237" t="s">
        <v>6918</v>
      </c>
      <c r="I434" s="237" t="s">
        <v>8631</v>
      </c>
      <c r="J434" s="233">
        <v>11.0</v>
      </c>
      <c r="K434" s="237" t="s">
        <v>8643</v>
      </c>
      <c r="L434" s="237" t="s">
        <v>6921</v>
      </c>
      <c r="M434" s="237" t="s">
        <v>8644</v>
      </c>
      <c r="N434" s="237" t="s">
        <v>2301</v>
      </c>
      <c r="O434" s="237" t="s">
        <v>8645</v>
      </c>
      <c r="P434" s="231"/>
      <c r="Q434" s="237" t="s">
        <v>8646</v>
      </c>
      <c r="R434" s="231"/>
    </row>
    <row r="435">
      <c r="G435" s="232">
        <v>433.0</v>
      </c>
      <c r="H435" s="237" t="s">
        <v>8647</v>
      </c>
      <c r="I435" s="237" t="s">
        <v>7676</v>
      </c>
      <c r="J435" s="233">
        <v>11.0</v>
      </c>
      <c r="K435" s="237" t="s">
        <v>8648</v>
      </c>
      <c r="L435" s="237" t="s">
        <v>6933</v>
      </c>
      <c r="M435" s="237" t="s">
        <v>8649</v>
      </c>
      <c r="N435" s="237" t="s">
        <v>8609</v>
      </c>
      <c r="O435" s="237" t="s">
        <v>8650</v>
      </c>
      <c r="P435" s="237" t="s">
        <v>6928</v>
      </c>
      <c r="Q435" s="237" t="s">
        <v>8651</v>
      </c>
      <c r="R435" s="237" t="s">
        <v>6930</v>
      </c>
    </row>
    <row r="436">
      <c r="G436" s="232">
        <v>434.0</v>
      </c>
      <c r="H436" s="237" t="s">
        <v>6918</v>
      </c>
      <c r="I436" s="237" t="s">
        <v>8652</v>
      </c>
      <c r="J436" s="233">
        <v>12.0</v>
      </c>
      <c r="K436" s="237" t="s">
        <v>8653</v>
      </c>
      <c r="L436" s="237" t="s">
        <v>6921</v>
      </c>
      <c r="M436" s="237" t="s">
        <v>8654</v>
      </c>
      <c r="N436" s="237" t="s">
        <v>8655</v>
      </c>
      <c r="O436" s="237" t="s">
        <v>8656</v>
      </c>
      <c r="P436" s="237" t="s">
        <v>8657</v>
      </c>
      <c r="Q436" s="237"/>
      <c r="R436" s="231"/>
    </row>
    <row r="437">
      <c r="G437" s="232">
        <v>435.0</v>
      </c>
      <c r="H437" s="237" t="s">
        <v>6918</v>
      </c>
      <c r="I437" s="237" t="s">
        <v>8652</v>
      </c>
      <c r="J437" s="233">
        <v>12.0</v>
      </c>
      <c r="K437" s="237" t="s">
        <v>8658</v>
      </c>
      <c r="L437" s="237" t="s">
        <v>6921</v>
      </c>
      <c r="M437" s="237" t="s">
        <v>8659</v>
      </c>
      <c r="N437" s="237" t="s">
        <v>8655</v>
      </c>
      <c r="O437" s="237" t="s">
        <v>8660</v>
      </c>
      <c r="P437" s="237" t="s">
        <v>8661</v>
      </c>
      <c r="Q437" s="237"/>
      <c r="R437" s="231"/>
    </row>
    <row r="438">
      <c r="G438" s="232">
        <v>436.0</v>
      </c>
      <c r="H438" s="237" t="s">
        <v>6918</v>
      </c>
      <c r="I438" s="237" t="s">
        <v>8652</v>
      </c>
      <c r="J438" s="233">
        <v>12.0</v>
      </c>
      <c r="K438" s="237" t="s">
        <v>8662</v>
      </c>
      <c r="L438" s="237" t="s">
        <v>6921</v>
      </c>
      <c r="M438" s="237" t="s">
        <v>8663</v>
      </c>
      <c r="N438" s="237" t="s">
        <v>8655</v>
      </c>
      <c r="O438" s="237" t="s">
        <v>8664</v>
      </c>
      <c r="P438" s="237" t="s">
        <v>8665</v>
      </c>
      <c r="Q438" s="237"/>
      <c r="R438" s="231"/>
    </row>
    <row r="439">
      <c r="G439" s="232">
        <v>437.0</v>
      </c>
      <c r="H439" s="237" t="s">
        <v>1631</v>
      </c>
      <c r="I439" s="237" t="s">
        <v>8666</v>
      </c>
      <c r="J439" s="233" t="s">
        <v>6925</v>
      </c>
      <c r="K439" s="237" t="s">
        <v>8667</v>
      </c>
      <c r="L439" s="237" t="s">
        <v>6933</v>
      </c>
      <c r="M439" s="237" t="s">
        <v>8668</v>
      </c>
      <c r="N439" s="237" t="s">
        <v>8669</v>
      </c>
      <c r="O439" s="237" t="s">
        <v>8670</v>
      </c>
      <c r="P439" s="237" t="s">
        <v>8671</v>
      </c>
      <c r="Q439" s="237"/>
      <c r="R439" s="231"/>
    </row>
    <row r="440">
      <c r="G440" s="232">
        <v>438.0</v>
      </c>
      <c r="H440" s="237" t="s">
        <v>1631</v>
      </c>
      <c r="I440" s="237" t="s">
        <v>8666</v>
      </c>
      <c r="J440" s="233" t="s">
        <v>6925</v>
      </c>
      <c r="K440" s="237" t="s">
        <v>8672</v>
      </c>
      <c r="L440" s="237" t="s">
        <v>6921</v>
      </c>
      <c r="M440" s="237" t="s">
        <v>8673</v>
      </c>
      <c r="N440" s="237" t="s">
        <v>8669</v>
      </c>
      <c r="O440" s="237" t="s">
        <v>8674</v>
      </c>
      <c r="P440" s="237" t="s">
        <v>7005</v>
      </c>
      <c r="Q440" s="237"/>
      <c r="R440" s="231"/>
    </row>
    <row r="441">
      <c r="G441" s="232">
        <v>439.0</v>
      </c>
      <c r="H441" s="237" t="s">
        <v>1631</v>
      </c>
      <c r="I441" s="237" t="s">
        <v>8666</v>
      </c>
      <c r="J441" s="233" t="s">
        <v>6925</v>
      </c>
      <c r="K441" s="237" t="s">
        <v>8675</v>
      </c>
      <c r="L441" s="237" t="s">
        <v>6933</v>
      </c>
      <c r="M441" s="237" t="s">
        <v>8676</v>
      </c>
      <c r="N441" s="237" t="s">
        <v>8677</v>
      </c>
      <c r="O441" s="237" t="s">
        <v>8678</v>
      </c>
      <c r="P441" s="237" t="s">
        <v>7005</v>
      </c>
      <c r="Q441" s="237" t="s">
        <v>8679</v>
      </c>
      <c r="R441" s="237" t="s">
        <v>6995</v>
      </c>
    </row>
    <row r="442">
      <c r="G442" s="232">
        <v>440.0</v>
      </c>
      <c r="H442" s="237" t="s">
        <v>1631</v>
      </c>
      <c r="I442" s="237" t="s">
        <v>8666</v>
      </c>
      <c r="J442" s="233" t="s">
        <v>6925</v>
      </c>
      <c r="K442" s="237" t="s">
        <v>8680</v>
      </c>
      <c r="L442" s="237" t="s">
        <v>6921</v>
      </c>
      <c r="M442" s="237" t="s">
        <v>8681</v>
      </c>
      <c r="N442" s="237" t="s">
        <v>8682</v>
      </c>
      <c r="O442" s="237" t="s">
        <v>8683</v>
      </c>
      <c r="P442" s="237" t="s">
        <v>6993</v>
      </c>
      <c r="Q442" s="237" t="s">
        <v>8684</v>
      </c>
      <c r="R442" s="237" t="s">
        <v>7050</v>
      </c>
    </row>
    <row r="443">
      <c r="G443" s="232">
        <v>441.0</v>
      </c>
      <c r="H443" s="237" t="s">
        <v>1631</v>
      </c>
      <c r="I443" s="237" t="s">
        <v>8666</v>
      </c>
      <c r="J443" s="233" t="s">
        <v>6925</v>
      </c>
      <c r="K443" s="237" t="s">
        <v>8685</v>
      </c>
      <c r="L443" s="237" t="s">
        <v>6921</v>
      </c>
      <c r="M443" s="237" t="s">
        <v>8686</v>
      </c>
      <c r="N443" s="237" t="s">
        <v>5890</v>
      </c>
      <c r="O443" s="237" t="s">
        <v>8687</v>
      </c>
      <c r="P443" s="237" t="s">
        <v>6993</v>
      </c>
      <c r="Q443" s="237"/>
      <c r="R443" s="231"/>
    </row>
    <row r="444">
      <c r="G444" s="232">
        <v>442.0</v>
      </c>
      <c r="H444" s="237" t="s">
        <v>1631</v>
      </c>
      <c r="I444" s="237" t="s">
        <v>8666</v>
      </c>
      <c r="J444" s="233" t="s">
        <v>6925</v>
      </c>
      <c r="K444" s="237" t="s">
        <v>8688</v>
      </c>
      <c r="L444" s="237" t="s">
        <v>6933</v>
      </c>
      <c r="M444" s="237" t="s">
        <v>8689</v>
      </c>
      <c r="N444" s="237" t="s">
        <v>5890</v>
      </c>
      <c r="O444" s="237" t="s">
        <v>8690</v>
      </c>
      <c r="P444" s="237" t="s">
        <v>7357</v>
      </c>
      <c r="Q444" s="237" t="s">
        <v>8691</v>
      </c>
      <c r="R444" s="237" t="s">
        <v>7012</v>
      </c>
    </row>
    <row r="445">
      <c r="G445" s="232">
        <v>443.0</v>
      </c>
      <c r="H445" s="237" t="s">
        <v>1631</v>
      </c>
      <c r="I445" s="237" t="s">
        <v>8666</v>
      </c>
      <c r="J445" s="233" t="s">
        <v>6925</v>
      </c>
      <c r="K445" s="237" t="s">
        <v>8692</v>
      </c>
      <c r="L445" s="237" t="s">
        <v>6921</v>
      </c>
      <c r="M445" s="237" t="s">
        <v>8693</v>
      </c>
      <c r="N445" s="237" t="s">
        <v>8682</v>
      </c>
      <c r="O445" s="237" t="s">
        <v>8694</v>
      </c>
      <c r="P445" s="237" t="s">
        <v>7048</v>
      </c>
      <c r="Q445" s="237" t="s">
        <v>8695</v>
      </c>
      <c r="R445" s="237" t="s">
        <v>7012</v>
      </c>
    </row>
    <row r="446">
      <c r="G446" s="232">
        <v>444.0</v>
      </c>
      <c r="H446" s="237" t="s">
        <v>1631</v>
      </c>
      <c r="I446" s="237" t="s">
        <v>8666</v>
      </c>
      <c r="J446" s="233" t="s">
        <v>6925</v>
      </c>
      <c r="K446" s="237" t="s">
        <v>4023</v>
      </c>
      <c r="L446" s="237" t="s">
        <v>6921</v>
      </c>
      <c r="M446" s="237" t="s">
        <v>8696</v>
      </c>
      <c r="N446" s="237" t="s">
        <v>8682</v>
      </c>
      <c r="O446" s="237" t="s">
        <v>8697</v>
      </c>
      <c r="P446" s="237" t="s">
        <v>8698</v>
      </c>
      <c r="Q446" s="237"/>
      <c r="R446" s="231"/>
    </row>
    <row r="447">
      <c r="G447" s="86"/>
    </row>
    <row r="448">
      <c r="G448" s="86"/>
    </row>
    <row r="449" ht="42.75" customHeight="1">
      <c r="G449" s="255" t="s">
        <v>8699</v>
      </c>
    </row>
    <row r="450">
      <c r="G450" s="232" t="s">
        <v>0</v>
      </c>
      <c r="H450" s="232" t="s">
        <v>4725</v>
      </c>
      <c r="I450" s="232" t="s">
        <v>6910</v>
      </c>
      <c r="J450" s="233" t="s">
        <v>6911</v>
      </c>
      <c r="K450" s="232" t="s">
        <v>1</v>
      </c>
      <c r="L450" s="232" t="s">
        <v>6912</v>
      </c>
      <c r="M450" s="232" t="s">
        <v>6913</v>
      </c>
      <c r="N450" s="232" t="s">
        <v>4</v>
      </c>
      <c r="O450" s="232" t="s">
        <v>6914</v>
      </c>
      <c r="P450" s="232" t="s">
        <v>6915</v>
      </c>
      <c r="Q450" s="232" t="s">
        <v>6916</v>
      </c>
      <c r="R450" s="232" t="s">
        <v>6917</v>
      </c>
      <c r="S450" s="231"/>
    </row>
    <row r="451">
      <c r="G451" s="232">
        <v>1.0</v>
      </c>
      <c r="H451" s="237" t="s">
        <v>6918</v>
      </c>
      <c r="I451" s="237" t="s">
        <v>8700</v>
      </c>
      <c r="J451" s="233">
        <v>1.0</v>
      </c>
      <c r="K451" s="237" t="s">
        <v>8701</v>
      </c>
      <c r="L451" s="237" t="s">
        <v>6921</v>
      </c>
      <c r="M451" s="237" t="s">
        <v>8702</v>
      </c>
      <c r="N451" s="237" t="s">
        <v>1301</v>
      </c>
      <c r="O451" s="237" t="s">
        <v>8703</v>
      </c>
      <c r="P451" s="237" t="s">
        <v>6924</v>
      </c>
      <c r="Q451" s="237" t="s">
        <v>8704</v>
      </c>
      <c r="R451" s="237" t="s">
        <v>7050</v>
      </c>
    </row>
    <row r="452">
      <c r="G452" s="232">
        <v>2.0</v>
      </c>
      <c r="H452" s="237" t="s">
        <v>6918</v>
      </c>
      <c r="I452" s="237" t="s">
        <v>8705</v>
      </c>
      <c r="J452" s="233">
        <v>2.0</v>
      </c>
      <c r="K452" s="237" t="s">
        <v>8706</v>
      </c>
      <c r="L452" s="237" t="s">
        <v>6933</v>
      </c>
      <c r="M452" s="237" t="s">
        <v>8707</v>
      </c>
      <c r="N452" s="237" t="s">
        <v>8708</v>
      </c>
      <c r="O452" s="237" t="s">
        <v>8709</v>
      </c>
      <c r="P452" s="237" t="s">
        <v>7005</v>
      </c>
      <c r="Q452" s="237"/>
      <c r="R452" s="231"/>
      <c r="S452" s="231"/>
    </row>
    <row r="453">
      <c r="G453" s="232">
        <v>3.0</v>
      </c>
      <c r="H453" s="237" t="s">
        <v>6918</v>
      </c>
      <c r="I453" s="237" t="s">
        <v>8710</v>
      </c>
      <c r="J453" s="233">
        <v>2.0</v>
      </c>
      <c r="K453" s="237" t="s">
        <v>3523</v>
      </c>
      <c r="L453" s="237" t="s">
        <v>6921</v>
      </c>
      <c r="M453" s="237" t="s">
        <v>8711</v>
      </c>
      <c r="N453" s="237" t="s">
        <v>410</v>
      </c>
      <c r="O453" s="237" t="s">
        <v>8712</v>
      </c>
      <c r="P453" s="237" t="s">
        <v>7157</v>
      </c>
      <c r="Q453" s="237" t="s">
        <v>8713</v>
      </c>
      <c r="R453" s="237" t="s">
        <v>7906</v>
      </c>
    </row>
    <row r="454">
      <c r="G454" s="232">
        <v>4.0</v>
      </c>
      <c r="H454" s="237" t="s">
        <v>6918</v>
      </c>
      <c r="I454" s="237" t="s">
        <v>8714</v>
      </c>
      <c r="J454" s="233">
        <v>2.0</v>
      </c>
      <c r="K454" s="237" t="s">
        <v>3315</v>
      </c>
      <c r="L454" s="237" t="s">
        <v>6933</v>
      </c>
      <c r="M454" s="237" t="s">
        <v>8715</v>
      </c>
      <c r="N454" s="237" t="s">
        <v>410</v>
      </c>
      <c r="O454" s="237" t="s">
        <v>8716</v>
      </c>
      <c r="P454" s="237" t="s">
        <v>7112</v>
      </c>
      <c r="Q454" s="237" t="s">
        <v>8717</v>
      </c>
      <c r="R454" s="237" t="s">
        <v>7414</v>
      </c>
    </row>
    <row r="455">
      <c r="G455" s="232">
        <v>5.0</v>
      </c>
      <c r="H455" s="237" t="s">
        <v>6918</v>
      </c>
      <c r="I455" s="237" t="s">
        <v>8714</v>
      </c>
      <c r="J455" s="233">
        <v>2.0</v>
      </c>
      <c r="K455" s="237" t="s">
        <v>8718</v>
      </c>
      <c r="L455" s="237" t="s">
        <v>6921</v>
      </c>
      <c r="M455" s="237" t="s">
        <v>8719</v>
      </c>
      <c r="N455" s="237" t="s">
        <v>410</v>
      </c>
      <c r="O455" s="237" t="s">
        <v>8720</v>
      </c>
      <c r="P455" s="237" t="s">
        <v>7157</v>
      </c>
      <c r="Q455" s="237" t="s">
        <v>8721</v>
      </c>
      <c r="R455" s="237" t="s">
        <v>7414</v>
      </c>
    </row>
    <row r="456">
      <c r="G456" s="232">
        <v>6.0</v>
      </c>
      <c r="H456" s="237" t="s">
        <v>6918</v>
      </c>
      <c r="I456" s="237" t="s">
        <v>8714</v>
      </c>
      <c r="J456" s="233">
        <v>2.0</v>
      </c>
      <c r="K456" s="237" t="s">
        <v>8722</v>
      </c>
      <c r="L456" s="237" t="s">
        <v>6921</v>
      </c>
      <c r="M456" s="237" t="s">
        <v>8723</v>
      </c>
      <c r="N456" s="237" t="s">
        <v>410</v>
      </c>
      <c r="O456" s="237" t="s">
        <v>8724</v>
      </c>
      <c r="P456" s="237" t="s">
        <v>7093</v>
      </c>
      <c r="Q456" s="237" t="s">
        <v>8725</v>
      </c>
      <c r="R456" s="237" t="s">
        <v>7031</v>
      </c>
    </row>
    <row r="457">
      <c r="G457" s="232">
        <v>7.0</v>
      </c>
      <c r="H457" s="237" t="s">
        <v>6918</v>
      </c>
      <c r="I457" s="237" t="s">
        <v>8726</v>
      </c>
      <c r="J457" s="233">
        <v>2.0</v>
      </c>
      <c r="K457" s="237" t="s">
        <v>8727</v>
      </c>
      <c r="L457" s="237" t="s">
        <v>6921</v>
      </c>
      <c r="M457" s="237" t="s">
        <v>8728</v>
      </c>
      <c r="N457" s="237" t="s">
        <v>3699</v>
      </c>
      <c r="O457" s="237" t="s">
        <v>8729</v>
      </c>
      <c r="P457" s="237" t="s">
        <v>7157</v>
      </c>
      <c r="Q457" s="237" t="s">
        <v>8717</v>
      </c>
      <c r="R457" s="237" t="s">
        <v>7414</v>
      </c>
    </row>
    <row r="458">
      <c r="G458" s="232">
        <v>8.0</v>
      </c>
      <c r="H458" s="237" t="s">
        <v>6918</v>
      </c>
      <c r="I458" s="237" t="s">
        <v>8726</v>
      </c>
      <c r="J458" s="233">
        <v>2.0</v>
      </c>
      <c r="K458" s="237" t="s">
        <v>8730</v>
      </c>
      <c r="L458" s="237" t="s">
        <v>7239</v>
      </c>
      <c r="M458" s="237" t="s">
        <v>8731</v>
      </c>
      <c r="N458" s="237" t="s">
        <v>3699</v>
      </c>
      <c r="O458" s="237" t="s">
        <v>8732</v>
      </c>
      <c r="P458" s="237" t="s">
        <v>7157</v>
      </c>
      <c r="Q458" s="237" t="s">
        <v>8733</v>
      </c>
      <c r="R458" s="237" t="s">
        <v>7414</v>
      </c>
    </row>
    <row r="459">
      <c r="G459" s="232">
        <v>9.0</v>
      </c>
      <c r="H459" s="237" t="s">
        <v>6918</v>
      </c>
      <c r="I459" s="237" t="s">
        <v>8705</v>
      </c>
      <c r="J459" s="233">
        <v>2.0</v>
      </c>
      <c r="K459" s="237" t="s">
        <v>3697</v>
      </c>
      <c r="L459" s="237" t="s">
        <v>6921</v>
      </c>
      <c r="M459" s="237" t="s">
        <v>8734</v>
      </c>
      <c r="N459" s="237" t="s">
        <v>3699</v>
      </c>
      <c r="O459" s="237" t="s">
        <v>8735</v>
      </c>
      <c r="P459" s="237" t="s">
        <v>8736</v>
      </c>
      <c r="Q459" s="237"/>
      <c r="R459" s="231"/>
      <c r="S459" s="231"/>
    </row>
    <row r="460">
      <c r="G460" s="232">
        <v>10.0</v>
      </c>
      <c r="H460" s="237" t="s">
        <v>6918</v>
      </c>
      <c r="I460" s="237" t="s">
        <v>8710</v>
      </c>
      <c r="J460" s="233">
        <v>2.0</v>
      </c>
      <c r="K460" s="237" t="s">
        <v>407</v>
      </c>
      <c r="L460" s="237" t="s">
        <v>6933</v>
      </c>
      <c r="M460" s="237" t="s">
        <v>8737</v>
      </c>
      <c r="N460" s="237" t="s">
        <v>410</v>
      </c>
      <c r="O460" s="237" t="s">
        <v>8738</v>
      </c>
      <c r="P460" s="237" t="s">
        <v>8739</v>
      </c>
      <c r="Q460" s="237" t="s">
        <v>8740</v>
      </c>
      <c r="R460" s="237" t="s">
        <v>7012</v>
      </c>
    </row>
    <row r="461">
      <c r="G461" s="232">
        <v>11.0</v>
      </c>
      <c r="H461" s="237" t="s">
        <v>6918</v>
      </c>
      <c r="I461" s="237" t="s">
        <v>8726</v>
      </c>
      <c r="J461" s="233">
        <v>2.0</v>
      </c>
      <c r="K461" s="237" t="s">
        <v>8741</v>
      </c>
      <c r="L461" s="237" t="s">
        <v>6933</v>
      </c>
      <c r="M461" s="237" t="s">
        <v>8742</v>
      </c>
      <c r="N461" s="237" t="s">
        <v>3699</v>
      </c>
      <c r="O461" s="237" t="s">
        <v>8743</v>
      </c>
      <c r="P461" s="237" t="s">
        <v>8265</v>
      </c>
      <c r="Q461" s="237" t="s">
        <v>8744</v>
      </c>
      <c r="R461" s="237" t="s">
        <v>6995</v>
      </c>
    </row>
    <row r="462">
      <c r="G462" s="232">
        <v>12.0</v>
      </c>
      <c r="H462" s="237" t="s">
        <v>6918</v>
      </c>
      <c r="I462" s="237" t="s">
        <v>8710</v>
      </c>
      <c r="J462" s="233">
        <v>2.0</v>
      </c>
      <c r="K462" s="237" t="s">
        <v>3900</v>
      </c>
      <c r="L462" s="237" t="s">
        <v>6933</v>
      </c>
      <c r="M462" s="237" t="s">
        <v>8745</v>
      </c>
      <c r="N462" s="237" t="s">
        <v>3903</v>
      </c>
      <c r="O462" s="237"/>
      <c r="P462" s="231"/>
      <c r="Q462" s="237"/>
      <c r="R462" s="231"/>
      <c r="S462" s="231"/>
    </row>
    <row r="463">
      <c r="G463" s="232">
        <v>13.0</v>
      </c>
      <c r="H463" s="237" t="s">
        <v>6918</v>
      </c>
      <c r="I463" s="237" t="s">
        <v>8710</v>
      </c>
      <c r="J463" s="233">
        <v>2.0</v>
      </c>
      <c r="K463" s="237" t="s">
        <v>8746</v>
      </c>
      <c r="L463" s="237" t="s">
        <v>6933</v>
      </c>
      <c r="M463" s="237" t="s">
        <v>8747</v>
      </c>
      <c r="N463" s="237" t="s">
        <v>8748</v>
      </c>
      <c r="O463" s="237"/>
      <c r="P463" s="231"/>
      <c r="Q463" s="237"/>
      <c r="R463" s="231"/>
      <c r="S463" s="231"/>
    </row>
    <row r="464">
      <c r="G464" s="232">
        <v>14.0</v>
      </c>
      <c r="H464" s="237" t="s">
        <v>6918</v>
      </c>
      <c r="I464" s="237" t="s">
        <v>8710</v>
      </c>
      <c r="J464" s="233">
        <v>2.0</v>
      </c>
      <c r="K464" s="237" t="s">
        <v>3021</v>
      </c>
      <c r="L464" s="237" t="s">
        <v>6933</v>
      </c>
      <c r="M464" s="237" t="s">
        <v>8749</v>
      </c>
      <c r="N464" s="237" t="s">
        <v>2173</v>
      </c>
      <c r="O464" s="237" t="s">
        <v>8750</v>
      </c>
      <c r="P464" s="237" t="s">
        <v>8751</v>
      </c>
      <c r="Q464" s="237"/>
      <c r="R464" s="231"/>
      <c r="S464" s="231"/>
    </row>
    <row r="465">
      <c r="G465" s="232">
        <v>15.0</v>
      </c>
      <c r="H465" s="237" t="s">
        <v>6918</v>
      </c>
      <c r="I465" s="237" t="s">
        <v>8752</v>
      </c>
      <c r="J465" s="233">
        <v>3.0</v>
      </c>
      <c r="K465" s="237" t="s">
        <v>3035</v>
      </c>
      <c r="L465" s="237" t="s">
        <v>6921</v>
      </c>
      <c r="M465" s="237" t="s">
        <v>8753</v>
      </c>
      <c r="N465" s="237" t="s">
        <v>410</v>
      </c>
      <c r="O465" s="237" t="s">
        <v>8754</v>
      </c>
      <c r="P465" s="237" t="s">
        <v>7357</v>
      </c>
      <c r="Q465" s="237"/>
      <c r="R465" s="231"/>
      <c r="S465" s="231"/>
    </row>
    <row r="466">
      <c r="G466" s="232">
        <v>16.0</v>
      </c>
      <c r="H466" s="237" t="s">
        <v>6918</v>
      </c>
      <c r="I466" s="237" t="s">
        <v>8752</v>
      </c>
      <c r="J466" s="233">
        <v>3.0</v>
      </c>
      <c r="K466" s="237" t="s">
        <v>8755</v>
      </c>
      <c r="L466" s="237" t="s">
        <v>6933</v>
      </c>
      <c r="M466" s="237" t="s">
        <v>8756</v>
      </c>
      <c r="N466" s="237" t="s">
        <v>410</v>
      </c>
      <c r="O466" s="237" t="s">
        <v>8757</v>
      </c>
      <c r="P466" s="237" t="s">
        <v>6978</v>
      </c>
      <c r="Q466" s="237"/>
      <c r="R466" s="231"/>
      <c r="S466" s="231"/>
    </row>
    <row r="467">
      <c r="G467" s="232">
        <v>17.0</v>
      </c>
      <c r="H467" s="237" t="s">
        <v>6918</v>
      </c>
      <c r="I467" s="237" t="s">
        <v>8752</v>
      </c>
      <c r="J467" s="233">
        <v>3.0</v>
      </c>
      <c r="K467" s="237" t="s">
        <v>8758</v>
      </c>
      <c r="L467" s="237" t="s">
        <v>6933</v>
      </c>
      <c r="M467" s="237" t="s">
        <v>8759</v>
      </c>
      <c r="N467" s="237" t="s">
        <v>410</v>
      </c>
      <c r="O467" s="237" t="s">
        <v>8760</v>
      </c>
      <c r="P467" s="237" t="s">
        <v>8761</v>
      </c>
      <c r="Q467" s="237" t="s">
        <v>8762</v>
      </c>
      <c r="R467" s="237" t="s">
        <v>8763</v>
      </c>
    </row>
    <row r="468">
      <c r="G468" s="232">
        <v>18.0</v>
      </c>
      <c r="H468" s="237" t="s">
        <v>6918</v>
      </c>
      <c r="I468" s="237" t="s">
        <v>8752</v>
      </c>
      <c r="J468" s="233">
        <v>3.0</v>
      </c>
      <c r="K468" s="237" t="s">
        <v>8764</v>
      </c>
      <c r="L468" s="237" t="s">
        <v>6921</v>
      </c>
      <c r="M468" s="237" t="s">
        <v>8765</v>
      </c>
      <c r="N468" s="237" t="s">
        <v>410</v>
      </c>
      <c r="O468" s="237" t="s">
        <v>8766</v>
      </c>
      <c r="P468" s="237" t="s">
        <v>6928</v>
      </c>
      <c r="Q468" s="237" t="s">
        <v>8767</v>
      </c>
      <c r="R468" s="237" t="s">
        <v>7136</v>
      </c>
    </row>
    <row r="469">
      <c r="G469" s="232">
        <v>19.0</v>
      </c>
      <c r="H469" s="237" t="s">
        <v>6918</v>
      </c>
      <c r="I469" s="237" t="s">
        <v>8752</v>
      </c>
      <c r="J469" s="233">
        <v>3.0</v>
      </c>
      <c r="K469" s="237" t="s">
        <v>8768</v>
      </c>
      <c r="L469" s="237" t="s">
        <v>6933</v>
      </c>
      <c r="M469" s="237" t="s">
        <v>8769</v>
      </c>
      <c r="N469" s="237" t="s">
        <v>410</v>
      </c>
      <c r="O469" s="237"/>
      <c r="P469" s="231"/>
      <c r="Q469" s="237" t="s">
        <v>8770</v>
      </c>
      <c r="R469" s="237" t="s">
        <v>8771</v>
      </c>
    </row>
    <row r="470">
      <c r="G470" s="232">
        <v>20.0</v>
      </c>
      <c r="H470" s="237" t="s">
        <v>6918</v>
      </c>
      <c r="I470" s="237" t="s">
        <v>8752</v>
      </c>
      <c r="J470" s="233">
        <v>3.0</v>
      </c>
      <c r="K470" s="237" t="s">
        <v>8772</v>
      </c>
      <c r="L470" s="237" t="s">
        <v>6933</v>
      </c>
      <c r="M470" s="237" t="s">
        <v>8773</v>
      </c>
      <c r="N470" s="237" t="s">
        <v>410</v>
      </c>
      <c r="O470" s="237" t="s">
        <v>8774</v>
      </c>
      <c r="P470" s="237" t="s">
        <v>8265</v>
      </c>
      <c r="Q470" s="237" t="s">
        <v>8775</v>
      </c>
      <c r="R470" s="237" t="s">
        <v>6995</v>
      </c>
    </row>
    <row r="471">
      <c r="G471" s="232">
        <v>21.0</v>
      </c>
      <c r="H471" s="237" t="s">
        <v>6918</v>
      </c>
      <c r="I471" s="237" t="s">
        <v>8752</v>
      </c>
      <c r="J471" s="233">
        <v>3.0</v>
      </c>
      <c r="K471" s="237" t="s">
        <v>8776</v>
      </c>
      <c r="L471" s="237" t="s">
        <v>6921</v>
      </c>
      <c r="M471" s="237" t="s">
        <v>8777</v>
      </c>
      <c r="N471" s="237" t="s">
        <v>410</v>
      </c>
      <c r="O471" s="237" t="s">
        <v>8778</v>
      </c>
      <c r="P471" s="237" t="s">
        <v>6928</v>
      </c>
      <c r="Q471" s="237" t="s">
        <v>8779</v>
      </c>
      <c r="R471" s="237" t="s">
        <v>7031</v>
      </c>
    </row>
    <row r="472">
      <c r="G472" s="232">
        <v>22.0</v>
      </c>
      <c r="H472" s="237" t="s">
        <v>6918</v>
      </c>
      <c r="I472" s="237" t="s">
        <v>8752</v>
      </c>
      <c r="J472" s="233">
        <v>3.0</v>
      </c>
      <c r="K472" s="237" t="s">
        <v>8780</v>
      </c>
      <c r="L472" s="237" t="s">
        <v>6921</v>
      </c>
      <c r="M472" s="237" t="s">
        <v>8781</v>
      </c>
      <c r="N472" s="237" t="s">
        <v>410</v>
      </c>
      <c r="O472" s="237" t="s">
        <v>8782</v>
      </c>
      <c r="P472" s="237" t="s">
        <v>7093</v>
      </c>
      <c r="Q472" s="237" t="s">
        <v>8783</v>
      </c>
      <c r="R472" s="237" t="s">
        <v>7031</v>
      </c>
    </row>
    <row r="473">
      <c r="G473" s="232">
        <v>23.0</v>
      </c>
      <c r="H473" s="237" t="s">
        <v>6918</v>
      </c>
      <c r="I473" s="237" t="s">
        <v>8752</v>
      </c>
      <c r="J473" s="233">
        <v>3.0</v>
      </c>
      <c r="K473" s="237" t="s">
        <v>8784</v>
      </c>
      <c r="L473" s="237" t="s">
        <v>6921</v>
      </c>
      <c r="M473" s="237" t="s">
        <v>8785</v>
      </c>
      <c r="N473" s="237" t="s">
        <v>410</v>
      </c>
      <c r="O473" s="237" t="s">
        <v>8786</v>
      </c>
      <c r="P473" s="237" t="s">
        <v>7157</v>
      </c>
      <c r="Q473" s="237" t="s">
        <v>8787</v>
      </c>
      <c r="R473" s="237" t="s">
        <v>7031</v>
      </c>
    </row>
    <row r="474">
      <c r="G474" s="232">
        <v>24.0</v>
      </c>
      <c r="H474" s="237" t="s">
        <v>6918</v>
      </c>
      <c r="I474" s="237" t="s">
        <v>8752</v>
      </c>
      <c r="J474" s="233">
        <v>3.0</v>
      </c>
      <c r="K474" s="237" t="s">
        <v>3905</v>
      </c>
      <c r="L474" s="237" t="s">
        <v>6921</v>
      </c>
      <c r="M474" s="237" t="s">
        <v>8788</v>
      </c>
      <c r="N474" s="237" t="s">
        <v>410</v>
      </c>
      <c r="O474" s="237" t="s">
        <v>8789</v>
      </c>
      <c r="P474" s="237" t="s">
        <v>7157</v>
      </c>
      <c r="Q474" s="237" t="s">
        <v>8790</v>
      </c>
      <c r="R474" s="237" t="s">
        <v>7031</v>
      </c>
    </row>
    <row r="475">
      <c r="G475" s="232">
        <v>25.0</v>
      </c>
      <c r="H475" s="237" t="s">
        <v>6918</v>
      </c>
      <c r="I475" s="237" t="s">
        <v>8752</v>
      </c>
      <c r="J475" s="233">
        <v>3.0</v>
      </c>
      <c r="K475" s="237" t="s">
        <v>8791</v>
      </c>
      <c r="L475" s="237" t="s">
        <v>6921</v>
      </c>
      <c r="M475" s="237" t="s">
        <v>8792</v>
      </c>
      <c r="N475" s="237" t="s">
        <v>410</v>
      </c>
      <c r="O475" s="237" t="s">
        <v>8793</v>
      </c>
      <c r="P475" s="237" t="s">
        <v>7375</v>
      </c>
      <c r="Q475" s="237" t="s">
        <v>8794</v>
      </c>
      <c r="R475" s="237" t="s">
        <v>7031</v>
      </c>
    </row>
    <row r="476">
      <c r="G476" s="232">
        <v>26.0</v>
      </c>
      <c r="H476" s="237" t="s">
        <v>6918</v>
      </c>
      <c r="I476" s="237" t="s">
        <v>8752</v>
      </c>
      <c r="J476" s="233">
        <v>3.0</v>
      </c>
      <c r="K476" s="237" t="s">
        <v>3645</v>
      </c>
      <c r="L476" s="237" t="s">
        <v>6921</v>
      </c>
      <c r="M476" s="237" t="s">
        <v>8795</v>
      </c>
      <c r="N476" s="237" t="s">
        <v>410</v>
      </c>
      <c r="O476" s="237"/>
      <c r="P476" s="231"/>
      <c r="Q476" s="237"/>
      <c r="R476" s="231"/>
      <c r="S476" s="231"/>
    </row>
    <row r="477">
      <c r="G477" s="232">
        <v>27.0</v>
      </c>
      <c r="H477" s="237" t="s">
        <v>8796</v>
      </c>
      <c r="I477" s="237" t="s">
        <v>8797</v>
      </c>
      <c r="J477" s="233">
        <v>3.0</v>
      </c>
      <c r="K477" s="237" t="s">
        <v>4042</v>
      </c>
      <c r="L477" s="237" t="s">
        <v>6933</v>
      </c>
      <c r="M477" s="237" t="s">
        <v>8798</v>
      </c>
      <c r="N477" s="237" t="s">
        <v>8799</v>
      </c>
      <c r="O477" s="237" t="s">
        <v>8800</v>
      </c>
      <c r="P477" s="237" t="s">
        <v>7750</v>
      </c>
      <c r="Q477" s="237"/>
      <c r="R477" s="231"/>
      <c r="S477" s="231"/>
    </row>
    <row r="478">
      <c r="G478" s="232">
        <v>28.0</v>
      </c>
      <c r="H478" s="237" t="s">
        <v>6918</v>
      </c>
      <c r="I478" s="237" t="s">
        <v>8797</v>
      </c>
      <c r="J478" s="233">
        <v>3.0</v>
      </c>
      <c r="K478" s="237" t="s">
        <v>8801</v>
      </c>
      <c r="L478" s="237" t="s">
        <v>6933</v>
      </c>
      <c r="M478" s="237" t="s">
        <v>8802</v>
      </c>
      <c r="N478" s="237" t="s">
        <v>8803</v>
      </c>
      <c r="O478" s="237"/>
      <c r="P478" s="231"/>
      <c r="Q478" s="237"/>
      <c r="R478" s="231"/>
      <c r="S478" s="231"/>
    </row>
    <row r="479">
      <c r="G479" s="232">
        <v>29.0</v>
      </c>
      <c r="H479" s="237" t="s">
        <v>6918</v>
      </c>
      <c r="I479" s="237" t="s">
        <v>8752</v>
      </c>
      <c r="J479" s="233">
        <v>3.0</v>
      </c>
      <c r="K479" s="237" t="s">
        <v>8804</v>
      </c>
      <c r="L479" s="237" t="s">
        <v>6933</v>
      </c>
      <c r="M479" s="237" t="s">
        <v>8805</v>
      </c>
      <c r="N479" s="237" t="s">
        <v>8806</v>
      </c>
      <c r="O479" s="237" t="s">
        <v>8807</v>
      </c>
      <c r="P479" s="237" t="s">
        <v>8808</v>
      </c>
      <c r="Q479" s="237" t="s">
        <v>8809</v>
      </c>
      <c r="R479" s="237" t="s">
        <v>6995</v>
      </c>
    </row>
    <row r="480">
      <c r="G480" s="232">
        <v>30.0</v>
      </c>
      <c r="H480" s="237" t="s">
        <v>6918</v>
      </c>
      <c r="I480" s="237" t="s">
        <v>8810</v>
      </c>
      <c r="J480" s="233">
        <v>3.0</v>
      </c>
      <c r="K480" s="237" t="s">
        <v>8811</v>
      </c>
      <c r="L480" s="237" t="s">
        <v>7239</v>
      </c>
      <c r="M480" s="237" t="s">
        <v>8812</v>
      </c>
      <c r="N480" s="237" t="s">
        <v>3313</v>
      </c>
      <c r="O480" s="237" t="s">
        <v>8813</v>
      </c>
      <c r="P480" s="237" t="s">
        <v>7070</v>
      </c>
      <c r="Q480" s="237" t="s">
        <v>8814</v>
      </c>
      <c r="R480" s="237" t="s">
        <v>6930</v>
      </c>
    </row>
    <row r="481">
      <c r="G481" s="232">
        <v>31.0</v>
      </c>
      <c r="H481" s="237" t="s">
        <v>6918</v>
      </c>
      <c r="I481" s="237" t="s">
        <v>8815</v>
      </c>
      <c r="J481" s="233">
        <v>3.0</v>
      </c>
      <c r="K481" s="237" t="s">
        <v>360</v>
      </c>
      <c r="L481" s="237" t="s">
        <v>6921</v>
      </c>
      <c r="M481" s="237" t="s">
        <v>8816</v>
      </c>
      <c r="N481" s="237" t="s">
        <v>3313</v>
      </c>
      <c r="O481" s="237" t="s">
        <v>8817</v>
      </c>
      <c r="P481" s="237" t="s">
        <v>6928</v>
      </c>
      <c r="Q481" s="237" t="s">
        <v>8818</v>
      </c>
      <c r="R481" s="237" t="s">
        <v>7031</v>
      </c>
    </row>
    <row r="482">
      <c r="G482" s="232">
        <v>32.0</v>
      </c>
      <c r="H482" s="237" t="s">
        <v>6918</v>
      </c>
      <c r="I482" s="237" t="s">
        <v>8815</v>
      </c>
      <c r="J482" s="233">
        <v>3.0</v>
      </c>
      <c r="K482" s="237" t="s">
        <v>3798</v>
      </c>
      <c r="L482" s="237" t="s">
        <v>6921</v>
      </c>
      <c r="M482" s="237" t="s">
        <v>8819</v>
      </c>
      <c r="N482" s="237" t="s">
        <v>3313</v>
      </c>
      <c r="O482" s="237" t="s">
        <v>8820</v>
      </c>
      <c r="P482" s="237" t="s">
        <v>6928</v>
      </c>
      <c r="Q482" s="237" t="s">
        <v>8821</v>
      </c>
      <c r="R482" s="237" t="s">
        <v>7906</v>
      </c>
    </row>
    <row r="483">
      <c r="G483" s="232">
        <v>33.0</v>
      </c>
      <c r="H483" s="237" t="s">
        <v>6918</v>
      </c>
      <c r="I483" s="237" t="s">
        <v>8815</v>
      </c>
      <c r="J483" s="233">
        <v>3.0</v>
      </c>
      <c r="K483" s="237" t="s">
        <v>8822</v>
      </c>
      <c r="L483" s="237" t="s">
        <v>6921</v>
      </c>
      <c r="M483" s="237" t="s">
        <v>8823</v>
      </c>
      <c r="N483" s="237" t="s">
        <v>3313</v>
      </c>
      <c r="O483" s="237" t="s">
        <v>8824</v>
      </c>
      <c r="P483" s="237" t="s">
        <v>6928</v>
      </c>
      <c r="Q483" s="237" t="s">
        <v>8825</v>
      </c>
      <c r="R483" s="237" t="s">
        <v>6969</v>
      </c>
    </row>
    <row r="484">
      <c r="G484" s="232">
        <v>34.0</v>
      </c>
      <c r="H484" s="237" t="s">
        <v>6918</v>
      </c>
      <c r="I484" s="237" t="s">
        <v>8815</v>
      </c>
      <c r="J484" s="233">
        <v>3.0</v>
      </c>
      <c r="K484" s="237" t="s">
        <v>3311</v>
      </c>
      <c r="L484" s="237" t="s">
        <v>6921</v>
      </c>
      <c r="M484" s="237" t="s">
        <v>8826</v>
      </c>
      <c r="N484" s="237" t="s">
        <v>3313</v>
      </c>
      <c r="O484" s="237" t="s">
        <v>8827</v>
      </c>
      <c r="P484" s="237" t="s">
        <v>6928</v>
      </c>
      <c r="Q484" s="237" t="s">
        <v>8828</v>
      </c>
      <c r="R484" s="237" t="s">
        <v>6930</v>
      </c>
    </row>
    <row r="485">
      <c r="G485" s="232">
        <v>35.0</v>
      </c>
      <c r="H485" s="237" t="s">
        <v>6918</v>
      </c>
      <c r="I485" s="237" t="s">
        <v>8815</v>
      </c>
      <c r="J485" s="233">
        <v>3.0</v>
      </c>
      <c r="K485" s="237" t="s">
        <v>2940</v>
      </c>
      <c r="L485" s="237" t="s">
        <v>6933</v>
      </c>
      <c r="M485" s="237" t="s">
        <v>8829</v>
      </c>
      <c r="N485" s="237" t="s">
        <v>2942</v>
      </c>
      <c r="O485" s="237" t="s">
        <v>8830</v>
      </c>
      <c r="P485" s="237" t="s">
        <v>6937</v>
      </c>
      <c r="Q485" s="237"/>
      <c r="R485" s="231"/>
      <c r="S485" s="231"/>
    </row>
    <row r="486">
      <c r="G486" s="232">
        <v>36.0</v>
      </c>
      <c r="H486" s="237" t="s">
        <v>6918</v>
      </c>
      <c r="I486" s="237" t="s">
        <v>8815</v>
      </c>
      <c r="J486" s="233">
        <v>3.0</v>
      </c>
      <c r="K486" s="237" t="s">
        <v>370</v>
      </c>
      <c r="L486" s="237" t="s">
        <v>6921</v>
      </c>
      <c r="M486" s="237" t="s">
        <v>8831</v>
      </c>
      <c r="N486" s="237" t="s">
        <v>2942</v>
      </c>
      <c r="O486" s="237" t="s">
        <v>8817</v>
      </c>
      <c r="P486" s="237" t="s">
        <v>6928</v>
      </c>
      <c r="Q486" s="237" t="s">
        <v>8832</v>
      </c>
      <c r="R486" s="237" t="s">
        <v>8833</v>
      </c>
    </row>
    <row r="487">
      <c r="G487" s="232">
        <v>37.0</v>
      </c>
      <c r="H487" s="237" t="s">
        <v>6918</v>
      </c>
      <c r="I487" s="237" t="s">
        <v>8815</v>
      </c>
      <c r="J487" s="233">
        <v>3.0</v>
      </c>
      <c r="K487" s="237" t="s">
        <v>8834</v>
      </c>
      <c r="L487" s="237" t="s">
        <v>6933</v>
      </c>
      <c r="M487" s="237" t="s">
        <v>8835</v>
      </c>
      <c r="N487" s="237" t="s">
        <v>8836</v>
      </c>
      <c r="O487" s="237" t="s">
        <v>8837</v>
      </c>
      <c r="P487" s="237" t="s">
        <v>6928</v>
      </c>
      <c r="Q487" s="237" t="s">
        <v>8838</v>
      </c>
      <c r="R487" s="237" t="s">
        <v>7055</v>
      </c>
    </row>
    <row r="488">
      <c r="G488" s="232">
        <v>38.0</v>
      </c>
      <c r="H488" s="237" t="s">
        <v>6918</v>
      </c>
      <c r="I488" s="237" t="s">
        <v>8752</v>
      </c>
      <c r="J488" s="233">
        <v>3.0</v>
      </c>
      <c r="K488" s="237" t="s">
        <v>8839</v>
      </c>
      <c r="L488" s="237" t="s">
        <v>6933</v>
      </c>
      <c r="M488" s="237" t="s">
        <v>8840</v>
      </c>
      <c r="N488" s="237" t="s">
        <v>8841</v>
      </c>
      <c r="O488" s="237"/>
      <c r="P488" s="231"/>
      <c r="Q488" s="237" t="s">
        <v>8842</v>
      </c>
      <c r="R488" s="237" t="s">
        <v>7136</v>
      </c>
    </row>
    <row r="489">
      <c r="G489" s="232">
        <v>39.0</v>
      </c>
      <c r="H489" s="237" t="s">
        <v>6918</v>
      </c>
      <c r="I489" s="237" t="s">
        <v>8752</v>
      </c>
      <c r="J489" s="233">
        <v>3.0</v>
      </c>
      <c r="K489" s="237" t="s">
        <v>8843</v>
      </c>
      <c r="L489" s="237" t="s">
        <v>6933</v>
      </c>
      <c r="M489" s="237" t="s">
        <v>8844</v>
      </c>
      <c r="N489" s="237" t="s">
        <v>8845</v>
      </c>
      <c r="O489" s="237" t="s">
        <v>8846</v>
      </c>
      <c r="P489" s="237" t="s">
        <v>7005</v>
      </c>
      <c r="Q489" s="237"/>
      <c r="R489" s="231"/>
      <c r="S489" s="231"/>
    </row>
    <row r="490">
      <c r="G490" s="232">
        <v>40.0</v>
      </c>
      <c r="H490" s="237" t="s">
        <v>6918</v>
      </c>
      <c r="I490" s="237" t="s">
        <v>8847</v>
      </c>
      <c r="J490" s="233">
        <v>4.0</v>
      </c>
      <c r="K490" s="237" t="s">
        <v>8848</v>
      </c>
      <c r="L490" s="237" t="s">
        <v>6921</v>
      </c>
      <c r="M490" s="237" t="s">
        <v>8849</v>
      </c>
      <c r="N490" s="237" t="s">
        <v>8850</v>
      </c>
      <c r="O490" s="237" t="s">
        <v>8851</v>
      </c>
      <c r="P490" s="237" t="s">
        <v>6993</v>
      </c>
      <c r="Q490" s="237" t="s">
        <v>8852</v>
      </c>
      <c r="R490" s="237" t="s">
        <v>7031</v>
      </c>
    </row>
    <row r="491">
      <c r="G491" s="232">
        <v>41.0</v>
      </c>
      <c r="H491" s="237" t="s">
        <v>6918</v>
      </c>
      <c r="I491" s="237" t="s">
        <v>8853</v>
      </c>
      <c r="J491" s="233">
        <v>4.0</v>
      </c>
      <c r="K491" s="237" t="s">
        <v>8854</v>
      </c>
      <c r="L491" s="237" t="s">
        <v>6921</v>
      </c>
      <c r="M491" s="237" t="s">
        <v>8855</v>
      </c>
      <c r="N491" s="237" t="s">
        <v>410</v>
      </c>
      <c r="O491" s="237" t="s">
        <v>8856</v>
      </c>
      <c r="P491" s="237" t="s">
        <v>6928</v>
      </c>
      <c r="Q491" s="237" t="s">
        <v>8857</v>
      </c>
      <c r="R491" s="237" t="s">
        <v>6930</v>
      </c>
    </row>
    <row r="492">
      <c r="G492" s="232">
        <v>42.0</v>
      </c>
      <c r="H492" s="237" t="s">
        <v>6918</v>
      </c>
      <c r="I492" s="237" t="s">
        <v>8847</v>
      </c>
      <c r="J492" s="233">
        <v>4.0</v>
      </c>
      <c r="K492" s="237" t="s">
        <v>8858</v>
      </c>
      <c r="L492" s="237" t="s">
        <v>6921</v>
      </c>
      <c r="M492" s="237" t="s">
        <v>8859</v>
      </c>
      <c r="N492" s="237" t="s">
        <v>410</v>
      </c>
      <c r="O492" s="237" t="s">
        <v>8860</v>
      </c>
      <c r="P492" s="237" t="s">
        <v>7112</v>
      </c>
      <c r="Q492" s="237"/>
      <c r="R492" s="231"/>
      <c r="S492" s="231"/>
    </row>
    <row r="493">
      <c r="G493" s="232">
        <v>43.0</v>
      </c>
      <c r="H493" s="237" t="s">
        <v>6918</v>
      </c>
      <c r="I493" s="237" t="s">
        <v>8847</v>
      </c>
      <c r="J493" s="233">
        <v>4.0</v>
      </c>
      <c r="K493" s="237" t="s">
        <v>8861</v>
      </c>
      <c r="L493" s="237" t="s">
        <v>6921</v>
      </c>
      <c r="M493" s="237" t="s">
        <v>8862</v>
      </c>
      <c r="N493" s="237" t="s">
        <v>410</v>
      </c>
      <c r="O493" s="237"/>
      <c r="P493" s="231"/>
      <c r="Q493" s="237"/>
      <c r="R493" s="231"/>
      <c r="S493" s="231"/>
    </row>
    <row r="494">
      <c r="G494" s="232">
        <v>44.0</v>
      </c>
      <c r="H494" s="237" t="s">
        <v>6918</v>
      </c>
      <c r="I494" s="237" t="s">
        <v>8853</v>
      </c>
      <c r="J494" s="233">
        <v>4.0</v>
      </c>
      <c r="K494" s="237" t="s">
        <v>8863</v>
      </c>
      <c r="L494" s="237" t="s">
        <v>6921</v>
      </c>
      <c r="M494" s="237" t="s">
        <v>8864</v>
      </c>
      <c r="N494" s="237" t="s">
        <v>410</v>
      </c>
      <c r="O494" s="237" t="s">
        <v>8865</v>
      </c>
      <c r="P494" s="237" t="s">
        <v>6928</v>
      </c>
      <c r="Q494" s="237" t="s">
        <v>8866</v>
      </c>
      <c r="R494" s="237" t="s">
        <v>6930</v>
      </c>
    </row>
    <row r="495">
      <c r="G495" s="232">
        <v>45.0</v>
      </c>
      <c r="H495" s="237" t="s">
        <v>6918</v>
      </c>
      <c r="I495" s="237" t="s">
        <v>8847</v>
      </c>
      <c r="J495" s="233">
        <v>4.0</v>
      </c>
      <c r="K495" s="237" t="s">
        <v>8867</v>
      </c>
      <c r="L495" s="237" t="s">
        <v>6921</v>
      </c>
      <c r="M495" s="237" t="s">
        <v>8868</v>
      </c>
      <c r="N495" s="237" t="s">
        <v>410</v>
      </c>
      <c r="O495" s="237" t="s">
        <v>8869</v>
      </c>
      <c r="P495" s="237" t="s">
        <v>7093</v>
      </c>
      <c r="Q495" s="237" t="s">
        <v>8870</v>
      </c>
      <c r="R495" s="237" t="s">
        <v>7031</v>
      </c>
    </row>
    <row r="496">
      <c r="G496" s="232">
        <v>46.0</v>
      </c>
      <c r="H496" s="237" t="s">
        <v>6918</v>
      </c>
      <c r="I496" s="237" t="s">
        <v>8847</v>
      </c>
      <c r="J496" s="233">
        <v>4.0</v>
      </c>
      <c r="K496" s="237" t="s">
        <v>3788</v>
      </c>
      <c r="L496" s="237" t="s">
        <v>6921</v>
      </c>
      <c r="M496" s="237" t="s">
        <v>8871</v>
      </c>
      <c r="N496" s="237" t="s">
        <v>410</v>
      </c>
      <c r="O496" s="237" t="s">
        <v>8872</v>
      </c>
      <c r="P496" s="237" t="s">
        <v>7093</v>
      </c>
      <c r="Q496" s="237" t="s">
        <v>8873</v>
      </c>
      <c r="R496" s="237" t="s">
        <v>7031</v>
      </c>
    </row>
    <row r="497">
      <c r="G497" s="232">
        <v>47.0</v>
      </c>
      <c r="H497" s="237" t="s">
        <v>6918</v>
      </c>
      <c r="I497" s="237" t="s">
        <v>8847</v>
      </c>
      <c r="J497" s="233">
        <v>4.0</v>
      </c>
      <c r="K497" s="237" t="s">
        <v>8874</v>
      </c>
      <c r="L497" s="237" t="s">
        <v>6921</v>
      </c>
      <c r="M497" s="237" t="s">
        <v>8875</v>
      </c>
      <c r="N497" s="237" t="s">
        <v>410</v>
      </c>
      <c r="O497" s="237" t="s">
        <v>8876</v>
      </c>
      <c r="P497" s="237" t="s">
        <v>7093</v>
      </c>
      <c r="Q497" s="237" t="s">
        <v>8877</v>
      </c>
      <c r="R497" s="237" t="s">
        <v>7031</v>
      </c>
    </row>
    <row r="498">
      <c r="G498" s="232">
        <v>48.0</v>
      </c>
      <c r="H498" s="237" t="s">
        <v>6918</v>
      </c>
      <c r="I498" s="237" t="s">
        <v>8847</v>
      </c>
      <c r="J498" s="233">
        <v>4.0</v>
      </c>
      <c r="K498" s="237" t="s">
        <v>8878</v>
      </c>
      <c r="L498" s="237" t="s">
        <v>6921</v>
      </c>
      <c r="M498" s="237" t="s">
        <v>8879</v>
      </c>
      <c r="N498" s="237" t="s">
        <v>410</v>
      </c>
      <c r="O498" s="237" t="s">
        <v>8880</v>
      </c>
      <c r="P498" s="237" t="s">
        <v>6993</v>
      </c>
      <c r="Q498" s="237" t="s">
        <v>8881</v>
      </c>
      <c r="R498" s="237" t="s">
        <v>7031</v>
      </c>
    </row>
    <row r="499">
      <c r="G499" s="232">
        <v>49.0</v>
      </c>
      <c r="H499" s="237" t="s">
        <v>6918</v>
      </c>
      <c r="I499" s="237" t="s">
        <v>8847</v>
      </c>
      <c r="J499" s="233">
        <v>4.0</v>
      </c>
      <c r="K499" s="237" t="s">
        <v>6317</v>
      </c>
      <c r="L499" s="237" t="s">
        <v>6921</v>
      </c>
      <c r="M499" s="237" t="s">
        <v>8882</v>
      </c>
      <c r="N499" s="237" t="s">
        <v>410</v>
      </c>
      <c r="O499" s="237" t="s">
        <v>8883</v>
      </c>
      <c r="P499" s="237" t="s">
        <v>7157</v>
      </c>
      <c r="Q499" s="237" t="s">
        <v>8884</v>
      </c>
      <c r="R499" s="237" t="s">
        <v>8885</v>
      </c>
    </row>
    <row r="500">
      <c r="G500" s="232">
        <v>50.0</v>
      </c>
      <c r="H500" s="237" t="s">
        <v>6918</v>
      </c>
      <c r="I500" s="237" t="s">
        <v>8847</v>
      </c>
      <c r="J500" s="233">
        <v>4.0</v>
      </c>
      <c r="K500" s="237" t="s">
        <v>3948</v>
      </c>
      <c r="L500" s="237" t="s">
        <v>6933</v>
      </c>
      <c r="M500" s="237" t="s">
        <v>8886</v>
      </c>
      <c r="N500" s="237" t="s">
        <v>410</v>
      </c>
      <c r="O500" s="237" t="s">
        <v>8887</v>
      </c>
      <c r="P500" s="237" t="s">
        <v>6928</v>
      </c>
      <c r="Q500" s="237" t="s">
        <v>8888</v>
      </c>
      <c r="R500" s="237" t="s">
        <v>6939</v>
      </c>
    </row>
    <row r="501">
      <c r="G501" s="232">
        <v>51.0</v>
      </c>
      <c r="H501" s="237" t="s">
        <v>6918</v>
      </c>
      <c r="I501" s="237" t="s">
        <v>8853</v>
      </c>
      <c r="J501" s="233">
        <v>4.0</v>
      </c>
      <c r="K501" s="237" t="s">
        <v>3203</v>
      </c>
      <c r="L501" s="237" t="s">
        <v>6933</v>
      </c>
      <c r="M501" s="237" t="s">
        <v>8889</v>
      </c>
      <c r="N501" s="237" t="s">
        <v>8890</v>
      </c>
      <c r="O501" s="237" t="s">
        <v>8891</v>
      </c>
      <c r="P501" s="237" t="s">
        <v>7893</v>
      </c>
      <c r="Q501" s="237" t="s">
        <v>8892</v>
      </c>
      <c r="R501" s="237" t="s">
        <v>7136</v>
      </c>
    </row>
    <row r="502">
      <c r="G502" s="232">
        <v>52.0</v>
      </c>
      <c r="H502" s="237" t="s">
        <v>6918</v>
      </c>
      <c r="I502" s="237" t="s">
        <v>8847</v>
      </c>
      <c r="J502" s="233">
        <v>4.0</v>
      </c>
      <c r="K502" s="237" t="s">
        <v>454</v>
      </c>
      <c r="L502" s="237" t="s">
        <v>6933</v>
      </c>
      <c r="M502" s="237" t="s">
        <v>8893</v>
      </c>
      <c r="N502" s="237" t="s">
        <v>456</v>
      </c>
      <c r="O502" s="237" t="s">
        <v>8894</v>
      </c>
      <c r="P502" s="237" t="s">
        <v>7750</v>
      </c>
      <c r="Q502" s="237"/>
      <c r="R502" s="231"/>
      <c r="S502" s="231"/>
    </row>
    <row r="503">
      <c r="G503" s="232">
        <v>53.0</v>
      </c>
      <c r="H503" s="237" t="s">
        <v>6918</v>
      </c>
      <c r="I503" s="237" t="s">
        <v>8847</v>
      </c>
      <c r="J503" s="233">
        <v>4.0</v>
      </c>
      <c r="K503" s="237" t="s">
        <v>8895</v>
      </c>
      <c r="L503" s="237" t="s">
        <v>6933</v>
      </c>
      <c r="M503" s="237" t="s">
        <v>8896</v>
      </c>
      <c r="N503" s="237" t="s">
        <v>702</v>
      </c>
      <c r="O503" s="237" t="s">
        <v>8897</v>
      </c>
      <c r="P503" s="237" t="s">
        <v>6993</v>
      </c>
      <c r="Q503" s="237"/>
      <c r="R503" s="231"/>
      <c r="S503" s="231"/>
    </row>
    <row r="504">
      <c r="G504" s="232">
        <v>54.0</v>
      </c>
      <c r="H504" s="237" t="s">
        <v>6918</v>
      </c>
      <c r="I504" s="237" t="s">
        <v>8898</v>
      </c>
      <c r="J504" s="233">
        <v>4.0</v>
      </c>
      <c r="K504" s="237" t="s">
        <v>8899</v>
      </c>
      <c r="L504" s="237" t="s">
        <v>6933</v>
      </c>
      <c r="M504" s="237" t="s">
        <v>8900</v>
      </c>
      <c r="N504" s="237" t="s">
        <v>8901</v>
      </c>
      <c r="O504" s="237" t="s">
        <v>8902</v>
      </c>
      <c r="P504" s="237" t="s">
        <v>8903</v>
      </c>
      <c r="Q504" s="237"/>
      <c r="R504" s="231"/>
      <c r="S504" s="231"/>
    </row>
    <row r="505">
      <c r="G505" s="232">
        <v>55.0</v>
      </c>
      <c r="H505" s="237" t="s">
        <v>6918</v>
      </c>
      <c r="I505" s="237" t="s">
        <v>8853</v>
      </c>
      <c r="J505" s="233">
        <v>4.0</v>
      </c>
      <c r="K505" s="237" t="s">
        <v>8904</v>
      </c>
      <c r="L505" s="237" t="s">
        <v>6933</v>
      </c>
      <c r="M505" s="237" t="s">
        <v>8905</v>
      </c>
      <c r="N505" s="237" t="s">
        <v>8906</v>
      </c>
      <c r="O505" s="237" t="s">
        <v>8907</v>
      </c>
      <c r="P505" s="237" t="s">
        <v>6937</v>
      </c>
      <c r="Q505" s="237"/>
      <c r="R505" s="231"/>
      <c r="S505" s="231"/>
    </row>
    <row r="506">
      <c r="G506" s="232">
        <v>56.0</v>
      </c>
      <c r="H506" s="237" t="s">
        <v>6918</v>
      </c>
      <c r="I506" s="237" t="s">
        <v>8908</v>
      </c>
      <c r="J506" s="233">
        <v>4.0</v>
      </c>
      <c r="K506" s="237" t="s">
        <v>8909</v>
      </c>
      <c r="L506" s="237" t="s">
        <v>6921</v>
      </c>
      <c r="M506" s="237" t="s">
        <v>8910</v>
      </c>
      <c r="N506" s="237" t="s">
        <v>4978</v>
      </c>
      <c r="O506" s="237" t="s">
        <v>8911</v>
      </c>
      <c r="P506" s="237" t="s">
        <v>7157</v>
      </c>
      <c r="Q506" s="237" t="s">
        <v>8912</v>
      </c>
      <c r="R506" s="237" t="s">
        <v>7031</v>
      </c>
    </row>
    <row r="507">
      <c r="G507" s="232">
        <v>57.0</v>
      </c>
      <c r="H507" s="237" t="s">
        <v>6918</v>
      </c>
      <c r="I507" s="237" t="s">
        <v>8853</v>
      </c>
      <c r="J507" s="233">
        <v>4.0</v>
      </c>
      <c r="K507" s="237" t="s">
        <v>8913</v>
      </c>
      <c r="L507" s="237" t="s">
        <v>6933</v>
      </c>
      <c r="M507" s="237" t="s">
        <v>8914</v>
      </c>
      <c r="N507" s="237" t="s">
        <v>8806</v>
      </c>
      <c r="O507" s="237" t="s">
        <v>8915</v>
      </c>
      <c r="P507" s="237" t="s">
        <v>8513</v>
      </c>
      <c r="Q507" s="237" t="s">
        <v>8916</v>
      </c>
      <c r="R507" s="237" t="s">
        <v>6930</v>
      </c>
    </row>
    <row r="508">
      <c r="G508" s="232">
        <v>58.0</v>
      </c>
      <c r="H508" s="237" t="s">
        <v>6918</v>
      </c>
      <c r="I508" s="237" t="s">
        <v>8847</v>
      </c>
      <c r="J508" s="233">
        <v>4.0</v>
      </c>
      <c r="K508" s="237" t="s">
        <v>8917</v>
      </c>
      <c r="L508" s="237" t="s">
        <v>6933</v>
      </c>
      <c r="M508" s="237" t="s">
        <v>8918</v>
      </c>
      <c r="N508" s="237" t="s">
        <v>8919</v>
      </c>
      <c r="O508" s="237" t="s">
        <v>8920</v>
      </c>
      <c r="P508" s="237" t="s">
        <v>7005</v>
      </c>
      <c r="Q508" s="237"/>
      <c r="R508" s="231"/>
      <c r="S508" s="231"/>
    </row>
    <row r="509">
      <c r="G509" s="232">
        <v>59.0</v>
      </c>
      <c r="H509" s="237" t="s">
        <v>6918</v>
      </c>
      <c r="I509" s="237" t="s">
        <v>8853</v>
      </c>
      <c r="J509" s="233">
        <v>4.0</v>
      </c>
      <c r="K509" s="237" t="s">
        <v>8921</v>
      </c>
      <c r="L509" s="237" t="s">
        <v>6933</v>
      </c>
      <c r="M509" s="237" t="s">
        <v>8922</v>
      </c>
      <c r="N509" s="237" t="s">
        <v>8923</v>
      </c>
      <c r="O509" s="237" t="s">
        <v>8924</v>
      </c>
      <c r="P509" s="237" t="s">
        <v>6937</v>
      </c>
      <c r="Q509" s="237"/>
      <c r="R509" s="231"/>
      <c r="S509" s="231"/>
    </row>
    <row r="510">
      <c r="G510" s="232">
        <v>60.0</v>
      </c>
      <c r="H510" s="237" t="s">
        <v>6918</v>
      </c>
      <c r="I510" s="237" t="s">
        <v>8853</v>
      </c>
      <c r="J510" s="233">
        <v>4.0</v>
      </c>
      <c r="K510" s="237" t="s">
        <v>8925</v>
      </c>
      <c r="L510" s="237" t="s">
        <v>6933</v>
      </c>
      <c r="M510" s="237" t="s">
        <v>8926</v>
      </c>
      <c r="N510" s="237" t="s">
        <v>8927</v>
      </c>
      <c r="O510" s="237" t="s">
        <v>8928</v>
      </c>
      <c r="P510" s="237" t="s">
        <v>6993</v>
      </c>
      <c r="Q510" s="237"/>
      <c r="R510" s="231"/>
      <c r="S510" s="231"/>
    </row>
    <row r="511">
      <c r="G511" s="232">
        <v>61.0</v>
      </c>
      <c r="H511" s="237" t="s">
        <v>6918</v>
      </c>
      <c r="I511" s="237" t="s">
        <v>8929</v>
      </c>
      <c r="J511" s="233">
        <v>4.0</v>
      </c>
      <c r="K511" s="237" t="s">
        <v>3851</v>
      </c>
      <c r="L511" s="237" t="s">
        <v>6933</v>
      </c>
      <c r="M511" s="237" t="s">
        <v>8930</v>
      </c>
      <c r="N511" s="237" t="s">
        <v>3853</v>
      </c>
      <c r="O511" s="237" t="s">
        <v>8931</v>
      </c>
      <c r="P511" s="237" t="s">
        <v>6937</v>
      </c>
      <c r="Q511" s="237"/>
      <c r="R511" s="231"/>
      <c r="S511" s="231"/>
    </row>
    <row r="512">
      <c r="G512" s="232">
        <v>62.0</v>
      </c>
      <c r="H512" s="237" t="s">
        <v>6918</v>
      </c>
      <c r="I512" s="237" t="s">
        <v>8853</v>
      </c>
      <c r="J512" s="233">
        <v>4.0</v>
      </c>
      <c r="K512" s="237" t="s">
        <v>8921</v>
      </c>
      <c r="L512" s="237" t="s">
        <v>6933</v>
      </c>
      <c r="M512" s="237" t="s">
        <v>8922</v>
      </c>
      <c r="N512" s="237" t="s">
        <v>8923</v>
      </c>
      <c r="O512" s="237" t="s">
        <v>8924</v>
      </c>
      <c r="P512" s="237" t="s">
        <v>6937</v>
      </c>
      <c r="Q512" s="237"/>
      <c r="R512" s="231"/>
      <c r="S512" s="231"/>
    </row>
    <row r="513">
      <c r="G513" s="232">
        <v>63.0</v>
      </c>
      <c r="H513" s="237" t="s">
        <v>6918</v>
      </c>
      <c r="I513" s="237" t="s">
        <v>8932</v>
      </c>
      <c r="J513" s="233">
        <v>5.0</v>
      </c>
      <c r="K513" s="237" t="s">
        <v>8933</v>
      </c>
      <c r="L513" s="237" t="s">
        <v>6921</v>
      </c>
      <c r="M513" s="237" t="s">
        <v>8934</v>
      </c>
      <c r="N513" s="237" t="s">
        <v>781</v>
      </c>
      <c r="O513" s="237" t="s">
        <v>8935</v>
      </c>
      <c r="P513" s="237" t="s">
        <v>7375</v>
      </c>
      <c r="Q513" s="237" t="s">
        <v>8936</v>
      </c>
      <c r="R513" s="237" t="s">
        <v>7031</v>
      </c>
    </row>
    <row r="514">
      <c r="G514" s="232">
        <v>64.0</v>
      </c>
      <c r="H514" s="237" t="s">
        <v>6918</v>
      </c>
      <c r="I514" s="237" t="s">
        <v>8937</v>
      </c>
      <c r="J514" s="233">
        <v>5.0</v>
      </c>
      <c r="K514" s="237" t="s">
        <v>3091</v>
      </c>
      <c r="L514" s="237" t="s">
        <v>6933</v>
      </c>
      <c r="M514" s="237" t="s">
        <v>8938</v>
      </c>
      <c r="N514" s="237" t="s">
        <v>781</v>
      </c>
      <c r="O514" s="237" t="s">
        <v>8939</v>
      </c>
      <c r="P514" s="237" t="s">
        <v>7005</v>
      </c>
      <c r="Q514" s="237"/>
      <c r="R514" s="231"/>
      <c r="S514" s="231"/>
    </row>
    <row r="515">
      <c r="G515" s="232">
        <v>65.0</v>
      </c>
      <c r="H515" s="237" t="s">
        <v>6918</v>
      </c>
      <c r="I515" s="237" t="s">
        <v>8937</v>
      </c>
      <c r="J515" s="233">
        <v>5.0</v>
      </c>
      <c r="K515" s="237" t="s">
        <v>8940</v>
      </c>
      <c r="L515" s="237" t="s">
        <v>6921</v>
      </c>
      <c r="M515" s="237" t="s">
        <v>8941</v>
      </c>
      <c r="N515" s="237" t="s">
        <v>781</v>
      </c>
      <c r="O515" s="237" t="s">
        <v>8942</v>
      </c>
      <c r="P515" s="237" t="s">
        <v>7248</v>
      </c>
      <c r="Q515" s="237"/>
      <c r="R515" s="231"/>
      <c r="S515" s="231"/>
    </row>
    <row r="516">
      <c r="G516" s="232">
        <v>66.0</v>
      </c>
      <c r="H516" s="237" t="s">
        <v>6918</v>
      </c>
      <c r="I516" s="237" t="s">
        <v>8937</v>
      </c>
      <c r="J516" s="233">
        <v>5.0</v>
      </c>
      <c r="K516" s="237" t="s">
        <v>8943</v>
      </c>
      <c r="L516" s="237" t="s">
        <v>6921</v>
      </c>
      <c r="M516" s="237" t="s">
        <v>8944</v>
      </c>
      <c r="N516" s="237" t="s">
        <v>1792</v>
      </c>
      <c r="O516" s="237" t="s">
        <v>8945</v>
      </c>
      <c r="P516" s="237" t="s">
        <v>7005</v>
      </c>
      <c r="Q516" s="237"/>
      <c r="R516" s="231"/>
      <c r="S516" s="231"/>
    </row>
    <row r="517">
      <c r="G517" s="232">
        <v>67.0</v>
      </c>
      <c r="H517" s="237" t="s">
        <v>6918</v>
      </c>
      <c r="I517" s="237" t="s">
        <v>8937</v>
      </c>
      <c r="J517" s="233">
        <v>5.0</v>
      </c>
      <c r="K517" s="237" t="s">
        <v>6369</v>
      </c>
      <c r="L517" s="237" t="s">
        <v>6921</v>
      </c>
      <c r="M517" s="237" t="s">
        <v>8946</v>
      </c>
      <c r="N517" s="237" t="s">
        <v>1792</v>
      </c>
      <c r="O517" s="237" t="s">
        <v>8947</v>
      </c>
      <c r="P517" s="237" t="s">
        <v>6993</v>
      </c>
      <c r="Q517" s="237"/>
      <c r="R517" s="231"/>
      <c r="S517" s="231"/>
    </row>
    <row r="518">
      <c r="G518" s="232">
        <v>68.0</v>
      </c>
      <c r="H518" s="237" t="s">
        <v>6918</v>
      </c>
      <c r="I518" s="237" t="s">
        <v>8948</v>
      </c>
      <c r="J518" s="233">
        <v>5.0</v>
      </c>
      <c r="K518" s="237" t="s">
        <v>8949</v>
      </c>
      <c r="L518" s="237" t="s">
        <v>6921</v>
      </c>
      <c r="M518" s="237" t="s">
        <v>8950</v>
      </c>
      <c r="N518" s="237" t="s">
        <v>2244</v>
      </c>
      <c r="O518" s="237" t="s">
        <v>8951</v>
      </c>
      <c r="P518" s="237" t="s">
        <v>8952</v>
      </c>
      <c r="Q518" s="237"/>
      <c r="R518" s="231"/>
      <c r="S518" s="231"/>
    </row>
    <row r="519">
      <c r="G519" s="232">
        <v>69.0</v>
      </c>
      <c r="H519" s="237" t="s">
        <v>6918</v>
      </c>
      <c r="I519" s="237" t="s">
        <v>8953</v>
      </c>
      <c r="J519" s="233">
        <v>6.0</v>
      </c>
      <c r="K519" s="237" t="s">
        <v>8954</v>
      </c>
      <c r="L519" s="237" t="s">
        <v>6921</v>
      </c>
      <c r="M519" s="237" t="s">
        <v>8955</v>
      </c>
      <c r="N519" s="237" t="s">
        <v>2625</v>
      </c>
      <c r="O519" s="237" t="s">
        <v>8956</v>
      </c>
      <c r="P519" s="237" t="s">
        <v>6928</v>
      </c>
      <c r="Q519" s="237" t="s">
        <v>8957</v>
      </c>
      <c r="R519" s="237" t="s">
        <v>6930</v>
      </c>
    </row>
    <row r="520">
      <c r="G520" s="232">
        <v>70.0</v>
      </c>
      <c r="H520" s="237" t="s">
        <v>6918</v>
      </c>
      <c r="I520" s="237" t="s">
        <v>8953</v>
      </c>
      <c r="J520" s="233">
        <v>6.0</v>
      </c>
      <c r="K520" s="237" t="s">
        <v>8958</v>
      </c>
      <c r="L520" s="237" t="s">
        <v>6921</v>
      </c>
      <c r="M520" s="237" t="s">
        <v>8959</v>
      </c>
      <c r="N520" s="237" t="s">
        <v>2320</v>
      </c>
      <c r="O520" s="237" t="s">
        <v>8960</v>
      </c>
      <c r="P520" s="237" t="s">
        <v>6928</v>
      </c>
      <c r="Q520" s="237" t="s">
        <v>8961</v>
      </c>
      <c r="R520" s="237" t="s">
        <v>7136</v>
      </c>
    </row>
    <row r="521">
      <c r="G521" s="232">
        <v>71.0</v>
      </c>
      <c r="H521" s="237" t="s">
        <v>6918</v>
      </c>
      <c r="I521" s="237" t="s">
        <v>8953</v>
      </c>
      <c r="J521" s="233">
        <v>6.0</v>
      </c>
      <c r="K521" s="237" t="s">
        <v>8962</v>
      </c>
      <c r="L521" s="237" t="s">
        <v>6921</v>
      </c>
      <c r="M521" s="237" t="s">
        <v>8963</v>
      </c>
      <c r="N521" s="237" t="s">
        <v>2296</v>
      </c>
      <c r="O521" s="237" t="s">
        <v>8964</v>
      </c>
      <c r="P521" s="237" t="s">
        <v>8736</v>
      </c>
      <c r="Q521" s="237" t="s">
        <v>8965</v>
      </c>
      <c r="R521" s="237" t="s">
        <v>7308</v>
      </c>
    </row>
    <row r="522">
      <c r="G522" s="232">
        <v>72.0</v>
      </c>
      <c r="H522" s="237" t="s">
        <v>6918</v>
      </c>
      <c r="I522" s="237" t="s">
        <v>8953</v>
      </c>
      <c r="J522" s="233">
        <v>6.0</v>
      </c>
      <c r="K522" s="237" t="s">
        <v>8966</v>
      </c>
      <c r="L522" s="237" t="s">
        <v>7239</v>
      </c>
      <c r="M522" s="237" t="s">
        <v>8967</v>
      </c>
      <c r="N522" s="237" t="s">
        <v>8968</v>
      </c>
      <c r="O522" s="237" t="s">
        <v>8114</v>
      </c>
      <c r="P522" s="237" t="s">
        <v>7853</v>
      </c>
      <c r="Q522" s="237" t="s">
        <v>8969</v>
      </c>
      <c r="R522" s="237" t="s">
        <v>6930</v>
      </c>
    </row>
    <row r="523">
      <c r="G523" s="232">
        <v>73.0</v>
      </c>
      <c r="H523" s="237" t="s">
        <v>6918</v>
      </c>
      <c r="I523" s="237" t="s">
        <v>8953</v>
      </c>
      <c r="J523" s="233">
        <v>6.0</v>
      </c>
      <c r="K523" s="237" t="s">
        <v>32</v>
      </c>
      <c r="L523" s="237" t="s">
        <v>6933</v>
      </c>
      <c r="M523" s="237" t="s">
        <v>8970</v>
      </c>
      <c r="N523" s="237" t="s">
        <v>8971</v>
      </c>
      <c r="O523" s="237" t="s">
        <v>8972</v>
      </c>
      <c r="P523" s="237" t="s">
        <v>6928</v>
      </c>
      <c r="Q523" s="237" t="s">
        <v>8973</v>
      </c>
      <c r="R523" s="237" t="s">
        <v>7136</v>
      </c>
    </row>
    <row r="524">
      <c r="G524" s="232">
        <v>74.0</v>
      </c>
      <c r="H524" s="237" t="s">
        <v>6918</v>
      </c>
      <c r="I524" s="237" t="s">
        <v>8953</v>
      </c>
      <c r="J524" s="233">
        <v>6.0</v>
      </c>
      <c r="K524" s="237" t="s">
        <v>8974</v>
      </c>
      <c r="L524" s="237" t="s">
        <v>6921</v>
      </c>
      <c r="M524" s="237" t="s">
        <v>8975</v>
      </c>
      <c r="N524" s="237" t="s">
        <v>8976</v>
      </c>
      <c r="O524" s="237" t="s">
        <v>8977</v>
      </c>
      <c r="P524" s="237" t="s">
        <v>6928</v>
      </c>
      <c r="Q524" s="237" t="s">
        <v>8978</v>
      </c>
      <c r="R524" s="237" t="s">
        <v>6939</v>
      </c>
    </row>
    <row r="525">
      <c r="G525" s="232">
        <v>75.0</v>
      </c>
      <c r="H525" s="237" t="s">
        <v>6918</v>
      </c>
      <c r="I525" s="237" t="s">
        <v>8953</v>
      </c>
      <c r="J525" s="233">
        <v>6.0</v>
      </c>
      <c r="K525" s="237" t="s">
        <v>3919</v>
      </c>
      <c r="L525" s="237" t="s">
        <v>6933</v>
      </c>
      <c r="M525" s="237" t="s">
        <v>8979</v>
      </c>
      <c r="N525" s="237" t="s">
        <v>8980</v>
      </c>
      <c r="O525" s="237" t="s">
        <v>8981</v>
      </c>
      <c r="P525" s="237" t="s">
        <v>7005</v>
      </c>
      <c r="Q525" s="237"/>
      <c r="R525" s="231"/>
      <c r="S525" s="231"/>
    </row>
    <row r="526">
      <c r="G526" s="232">
        <v>76.0</v>
      </c>
      <c r="H526" s="237" t="s">
        <v>6918</v>
      </c>
      <c r="I526" s="237" t="s">
        <v>8953</v>
      </c>
      <c r="J526" s="233">
        <v>6.0</v>
      </c>
      <c r="K526" s="237" t="s">
        <v>8982</v>
      </c>
      <c r="L526" s="237" t="s">
        <v>6921</v>
      </c>
      <c r="M526" s="237" t="s">
        <v>8983</v>
      </c>
      <c r="N526" s="237" t="s">
        <v>8984</v>
      </c>
      <c r="O526" s="237" t="s">
        <v>8985</v>
      </c>
      <c r="P526" s="237" t="s">
        <v>6993</v>
      </c>
      <c r="Q526" s="237"/>
      <c r="R526" s="231"/>
      <c r="S526" s="231"/>
    </row>
    <row r="527">
      <c r="G527" s="232">
        <v>77.0</v>
      </c>
      <c r="H527" s="237" t="s">
        <v>6918</v>
      </c>
      <c r="I527" s="237" t="s">
        <v>8953</v>
      </c>
      <c r="J527" s="233">
        <v>6.0</v>
      </c>
      <c r="K527" s="237" t="s">
        <v>8986</v>
      </c>
      <c r="L527" s="237" t="s">
        <v>6933</v>
      </c>
      <c r="M527" s="237" t="s">
        <v>8987</v>
      </c>
      <c r="N527" s="237" t="s">
        <v>8968</v>
      </c>
      <c r="O527" s="237" t="s">
        <v>8988</v>
      </c>
      <c r="P527" s="237" t="s">
        <v>7005</v>
      </c>
      <c r="Q527" s="237"/>
      <c r="R527" s="231"/>
      <c r="S527" s="231"/>
    </row>
    <row r="528">
      <c r="G528" s="232">
        <v>78.0</v>
      </c>
      <c r="H528" s="237" t="s">
        <v>6918</v>
      </c>
      <c r="I528" s="237" t="s">
        <v>8953</v>
      </c>
      <c r="J528" s="233">
        <v>6.0</v>
      </c>
      <c r="K528" s="237" t="s">
        <v>8989</v>
      </c>
      <c r="L528" s="237" t="s">
        <v>6933</v>
      </c>
      <c r="M528" s="237" t="s">
        <v>8990</v>
      </c>
      <c r="N528" s="237" t="s">
        <v>8991</v>
      </c>
      <c r="O528" s="237" t="s">
        <v>8992</v>
      </c>
      <c r="P528" s="237" t="s">
        <v>6993</v>
      </c>
      <c r="Q528" s="237"/>
      <c r="R528" s="231"/>
      <c r="S528" s="231"/>
    </row>
    <row r="529">
      <c r="G529" s="232">
        <v>79.0</v>
      </c>
      <c r="H529" s="237" t="s">
        <v>6918</v>
      </c>
      <c r="I529" s="237" t="s">
        <v>8953</v>
      </c>
      <c r="J529" s="233">
        <v>6.0</v>
      </c>
      <c r="K529" s="237" t="s">
        <v>8993</v>
      </c>
      <c r="L529" s="237" t="s">
        <v>7239</v>
      </c>
      <c r="M529" s="237" t="s">
        <v>8994</v>
      </c>
      <c r="N529" s="237" t="s">
        <v>8991</v>
      </c>
      <c r="O529" s="237" t="s">
        <v>8995</v>
      </c>
      <c r="P529" s="237" t="s">
        <v>6937</v>
      </c>
      <c r="Q529" s="237" t="s">
        <v>8996</v>
      </c>
      <c r="R529" s="237" t="s">
        <v>7869</v>
      </c>
    </row>
    <row r="530">
      <c r="G530" s="232">
        <v>80.0</v>
      </c>
      <c r="H530" s="237" t="s">
        <v>6918</v>
      </c>
      <c r="I530" s="237" t="s">
        <v>8953</v>
      </c>
      <c r="J530" s="233">
        <v>6.0</v>
      </c>
      <c r="K530" s="237" t="s">
        <v>8997</v>
      </c>
      <c r="L530" s="237" t="s">
        <v>6921</v>
      </c>
      <c r="M530" s="237" t="s">
        <v>8998</v>
      </c>
      <c r="N530" s="237" t="s">
        <v>8991</v>
      </c>
      <c r="O530" s="237" t="s">
        <v>8999</v>
      </c>
      <c r="P530" s="237" t="s">
        <v>8265</v>
      </c>
      <c r="Q530" s="237" t="s">
        <v>9000</v>
      </c>
      <c r="R530" s="237" t="s">
        <v>7031</v>
      </c>
    </row>
    <row r="531">
      <c r="G531" s="86"/>
    </row>
    <row r="532">
      <c r="G532" s="86"/>
    </row>
    <row r="533" ht="48.0" customHeight="1">
      <c r="G533" s="256" t="s">
        <v>9001</v>
      </c>
    </row>
    <row r="534">
      <c r="G534" s="232">
        <v>1.0</v>
      </c>
      <c r="H534" s="237" t="s">
        <v>6918</v>
      </c>
      <c r="I534" s="237" t="s">
        <v>9002</v>
      </c>
      <c r="J534" s="233">
        <v>1.0</v>
      </c>
      <c r="K534" s="237" t="s">
        <v>9003</v>
      </c>
      <c r="L534" s="237" t="s">
        <v>6933</v>
      </c>
      <c r="M534" s="237" t="s">
        <v>9004</v>
      </c>
      <c r="N534" s="237" t="s">
        <v>9005</v>
      </c>
      <c r="O534" s="237" t="s">
        <v>9006</v>
      </c>
      <c r="P534" s="237" t="s">
        <v>6928</v>
      </c>
      <c r="Q534" s="237" t="s">
        <v>9007</v>
      </c>
      <c r="R534" s="237" t="s">
        <v>8771</v>
      </c>
    </row>
    <row r="535">
      <c r="G535" s="232">
        <v>2.0</v>
      </c>
      <c r="H535" s="237" t="s">
        <v>6918</v>
      </c>
      <c r="I535" s="237" t="s">
        <v>9002</v>
      </c>
      <c r="J535" s="233">
        <v>1.0</v>
      </c>
      <c r="K535" s="237" t="s">
        <v>9008</v>
      </c>
      <c r="L535" s="237" t="s">
        <v>7239</v>
      </c>
      <c r="M535" s="237" t="s">
        <v>9009</v>
      </c>
      <c r="N535" s="237" t="s">
        <v>3041</v>
      </c>
      <c r="O535" s="237" t="s">
        <v>9010</v>
      </c>
      <c r="P535" s="237" t="s">
        <v>6928</v>
      </c>
      <c r="Q535" s="237" t="s">
        <v>9011</v>
      </c>
      <c r="R535" s="237" t="s">
        <v>6946</v>
      </c>
    </row>
    <row r="536">
      <c r="G536" s="232">
        <v>3.0</v>
      </c>
      <c r="H536" s="237" t="s">
        <v>6918</v>
      </c>
      <c r="I536" s="237" t="s">
        <v>9002</v>
      </c>
      <c r="J536" s="233">
        <v>1.0</v>
      </c>
      <c r="K536" s="237" t="s">
        <v>9012</v>
      </c>
      <c r="L536" s="237" t="s">
        <v>6933</v>
      </c>
      <c r="M536" s="237" t="s">
        <v>9013</v>
      </c>
      <c r="N536" s="237" t="s">
        <v>357</v>
      </c>
      <c r="O536" s="237" t="s">
        <v>9014</v>
      </c>
      <c r="P536" s="237" t="s">
        <v>6928</v>
      </c>
      <c r="Q536" s="237" t="s">
        <v>9015</v>
      </c>
      <c r="R536" s="237" t="s">
        <v>7055</v>
      </c>
    </row>
    <row r="537">
      <c r="G537" s="232">
        <v>4.0</v>
      </c>
      <c r="H537" s="237" t="s">
        <v>6918</v>
      </c>
      <c r="I537" s="237" t="s">
        <v>9016</v>
      </c>
      <c r="J537" s="233">
        <v>1.0</v>
      </c>
      <c r="K537" s="237" t="s">
        <v>9017</v>
      </c>
      <c r="L537" s="237" t="s">
        <v>6933</v>
      </c>
      <c r="M537" s="237" t="s">
        <v>9018</v>
      </c>
      <c r="N537" s="237" t="s">
        <v>357</v>
      </c>
      <c r="O537" s="237" t="s">
        <v>9019</v>
      </c>
      <c r="P537" s="237" t="s">
        <v>9020</v>
      </c>
      <c r="Q537" s="237" t="s">
        <v>9021</v>
      </c>
      <c r="R537" s="237" t="s">
        <v>7136</v>
      </c>
    </row>
    <row r="538">
      <c r="G538" s="232">
        <v>5.0</v>
      </c>
      <c r="H538" s="237" t="s">
        <v>6918</v>
      </c>
      <c r="I538" s="237" t="s">
        <v>9002</v>
      </c>
      <c r="J538" s="233">
        <v>1.0</v>
      </c>
      <c r="K538" s="237" t="s">
        <v>9022</v>
      </c>
      <c r="L538" s="237" t="s">
        <v>6933</v>
      </c>
      <c r="M538" s="237" t="s">
        <v>9023</v>
      </c>
      <c r="N538" s="237" t="s">
        <v>357</v>
      </c>
      <c r="O538" s="237" t="s">
        <v>9024</v>
      </c>
      <c r="P538" s="237" t="s">
        <v>7853</v>
      </c>
      <c r="Q538" s="237" t="s">
        <v>9025</v>
      </c>
      <c r="R538" s="237" t="s">
        <v>7031</v>
      </c>
    </row>
    <row r="539">
      <c r="G539" s="232">
        <v>6.0</v>
      </c>
      <c r="H539" s="237" t="s">
        <v>6918</v>
      </c>
      <c r="I539" s="237" t="s">
        <v>9002</v>
      </c>
      <c r="J539" s="233">
        <v>1.0</v>
      </c>
      <c r="K539" s="237" t="s">
        <v>658</v>
      </c>
      <c r="L539" s="237" t="s">
        <v>6933</v>
      </c>
      <c r="M539" s="237" t="s">
        <v>9026</v>
      </c>
      <c r="N539" s="237" t="s">
        <v>357</v>
      </c>
      <c r="O539" s="237" t="s">
        <v>9027</v>
      </c>
      <c r="P539" s="237" t="s">
        <v>6937</v>
      </c>
      <c r="Q539" s="237" t="s">
        <v>9028</v>
      </c>
      <c r="R539" s="237" t="s">
        <v>7031</v>
      </c>
    </row>
    <row r="540">
      <c r="G540" s="232">
        <v>7.0</v>
      </c>
      <c r="H540" s="237" t="s">
        <v>6918</v>
      </c>
      <c r="I540" s="237" t="s">
        <v>9002</v>
      </c>
      <c r="J540" s="233">
        <v>1.0</v>
      </c>
      <c r="K540" s="237" t="s">
        <v>9029</v>
      </c>
      <c r="L540" s="237" t="s">
        <v>6921</v>
      </c>
      <c r="M540" s="237" t="s">
        <v>9030</v>
      </c>
      <c r="N540" s="237" t="s">
        <v>357</v>
      </c>
      <c r="O540" s="237" t="s">
        <v>9031</v>
      </c>
      <c r="P540" s="237" t="s">
        <v>7157</v>
      </c>
      <c r="Q540" s="237" t="s">
        <v>9032</v>
      </c>
      <c r="R540" s="237" t="s">
        <v>7031</v>
      </c>
    </row>
    <row r="541">
      <c r="G541" s="232">
        <v>8.0</v>
      </c>
      <c r="H541" s="237" t="s">
        <v>6918</v>
      </c>
      <c r="I541" s="237" t="s">
        <v>9002</v>
      </c>
      <c r="J541" s="233">
        <v>1.0</v>
      </c>
      <c r="K541" s="237" t="s">
        <v>9033</v>
      </c>
      <c r="L541" s="237" t="s">
        <v>6921</v>
      </c>
      <c r="M541" s="237" t="s">
        <v>9034</v>
      </c>
      <c r="N541" s="237" t="s">
        <v>1301</v>
      </c>
      <c r="O541" s="237" t="s">
        <v>9035</v>
      </c>
      <c r="P541" s="237" t="s">
        <v>6928</v>
      </c>
      <c r="Q541" s="237" t="s">
        <v>9036</v>
      </c>
      <c r="R541" s="237" t="s">
        <v>7031</v>
      </c>
    </row>
    <row r="542">
      <c r="G542" s="232">
        <v>9.0</v>
      </c>
      <c r="H542" s="237" t="s">
        <v>6918</v>
      </c>
      <c r="I542" s="237" t="s">
        <v>9002</v>
      </c>
      <c r="J542" s="233">
        <v>1.0</v>
      </c>
      <c r="K542" s="237" t="s">
        <v>9037</v>
      </c>
      <c r="L542" s="237" t="s">
        <v>6933</v>
      </c>
      <c r="M542" s="237" t="s">
        <v>9038</v>
      </c>
      <c r="N542" s="237" t="s">
        <v>1301</v>
      </c>
      <c r="O542" s="237" t="s">
        <v>9039</v>
      </c>
      <c r="P542" s="237" t="s">
        <v>6928</v>
      </c>
      <c r="Q542" s="237"/>
      <c r="R542" s="231"/>
      <c r="S542" s="231"/>
    </row>
    <row r="543">
      <c r="G543" s="232">
        <v>10.0</v>
      </c>
      <c r="H543" s="237" t="s">
        <v>6918</v>
      </c>
      <c r="I543" s="237" t="s">
        <v>6919</v>
      </c>
      <c r="J543" s="233">
        <v>1.0</v>
      </c>
      <c r="K543" s="237" t="s">
        <v>9040</v>
      </c>
      <c r="L543" s="237" t="s">
        <v>9041</v>
      </c>
      <c r="M543" s="237" t="s">
        <v>9042</v>
      </c>
      <c r="N543" s="237" t="s">
        <v>1301</v>
      </c>
      <c r="O543" s="237" t="s">
        <v>9043</v>
      </c>
      <c r="P543" s="237" t="s">
        <v>6928</v>
      </c>
      <c r="Q543" s="237" t="s">
        <v>9044</v>
      </c>
      <c r="R543" s="237" t="s">
        <v>6930</v>
      </c>
    </row>
    <row r="544">
      <c r="G544" s="232">
        <v>11.0</v>
      </c>
      <c r="H544" s="237" t="s">
        <v>6918</v>
      </c>
      <c r="I544" s="237" t="s">
        <v>9002</v>
      </c>
      <c r="J544" s="233">
        <v>1.0</v>
      </c>
      <c r="K544" s="237" t="s">
        <v>9045</v>
      </c>
      <c r="L544" s="237" t="s">
        <v>6933</v>
      </c>
      <c r="M544" s="237" t="s">
        <v>9046</v>
      </c>
      <c r="N544" s="237" t="s">
        <v>255</v>
      </c>
      <c r="O544" s="237" t="s">
        <v>9047</v>
      </c>
      <c r="P544" s="237" t="s">
        <v>6928</v>
      </c>
      <c r="Q544" s="237" t="s">
        <v>9048</v>
      </c>
      <c r="R544" s="237" t="s">
        <v>8536</v>
      </c>
    </row>
    <row r="545">
      <c r="G545" s="232">
        <v>12.0</v>
      </c>
      <c r="H545" s="237" t="s">
        <v>6918</v>
      </c>
      <c r="I545" s="237" t="s">
        <v>9002</v>
      </c>
      <c r="J545" s="233">
        <v>1.0</v>
      </c>
      <c r="K545" s="237" t="s">
        <v>252</v>
      </c>
      <c r="L545" s="237" t="s">
        <v>6933</v>
      </c>
      <c r="M545" s="237" t="s">
        <v>9049</v>
      </c>
      <c r="N545" s="237" t="s">
        <v>255</v>
      </c>
      <c r="O545" s="237" t="s">
        <v>9050</v>
      </c>
      <c r="P545" s="237" t="s">
        <v>7157</v>
      </c>
      <c r="Q545" s="237" t="s">
        <v>9051</v>
      </c>
      <c r="R545" s="237" t="s">
        <v>7031</v>
      </c>
    </row>
    <row r="546">
      <c r="G546" s="232">
        <v>13.0</v>
      </c>
      <c r="H546" s="237" t="s">
        <v>9052</v>
      </c>
      <c r="I546" s="237" t="s">
        <v>9002</v>
      </c>
      <c r="J546" s="233">
        <v>1.0</v>
      </c>
      <c r="K546" s="237" t="s">
        <v>9053</v>
      </c>
      <c r="L546" s="237" t="s">
        <v>6933</v>
      </c>
      <c r="M546" s="237" t="s">
        <v>9054</v>
      </c>
      <c r="N546" s="237" t="s">
        <v>255</v>
      </c>
      <c r="O546" s="237"/>
      <c r="P546" s="231"/>
      <c r="Q546" s="237"/>
      <c r="R546" s="231"/>
      <c r="S546" s="231"/>
    </row>
    <row r="547">
      <c r="G547" s="232">
        <v>14.0</v>
      </c>
      <c r="H547" s="237" t="s">
        <v>6918</v>
      </c>
      <c r="I547" s="237" t="s">
        <v>9055</v>
      </c>
      <c r="J547" s="233">
        <v>2.0</v>
      </c>
      <c r="K547" s="237" t="s">
        <v>9056</v>
      </c>
      <c r="L547" s="237" t="s">
        <v>6933</v>
      </c>
      <c r="M547" s="237" t="s">
        <v>9057</v>
      </c>
      <c r="N547" s="237" t="s">
        <v>2508</v>
      </c>
      <c r="O547" s="237"/>
      <c r="P547" s="231"/>
      <c r="Q547" s="237" t="s">
        <v>9058</v>
      </c>
      <c r="R547" s="237" t="s">
        <v>7019</v>
      </c>
    </row>
    <row r="548">
      <c r="G548" s="232">
        <v>15.0</v>
      </c>
      <c r="H548" s="237" t="s">
        <v>6918</v>
      </c>
      <c r="I548" s="237" t="s">
        <v>9055</v>
      </c>
      <c r="J548" s="233">
        <v>2.0</v>
      </c>
      <c r="K548" s="237" t="s">
        <v>9059</v>
      </c>
      <c r="L548" s="237" t="s">
        <v>6921</v>
      </c>
      <c r="M548" s="237" t="s">
        <v>9060</v>
      </c>
      <c r="N548" s="237" t="s">
        <v>962</v>
      </c>
      <c r="O548" s="237" t="s">
        <v>9061</v>
      </c>
      <c r="P548" s="237" t="s">
        <v>6928</v>
      </c>
      <c r="Q548" s="237" t="s">
        <v>9062</v>
      </c>
      <c r="R548" s="237" t="s">
        <v>7136</v>
      </c>
    </row>
    <row r="549">
      <c r="G549" s="232">
        <v>16.0</v>
      </c>
      <c r="H549" s="237" t="s">
        <v>6918</v>
      </c>
      <c r="I549" s="237" t="s">
        <v>9055</v>
      </c>
      <c r="J549" s="233">
        <v>2.0</v>
      </c>
      <c r="K549" s="237" t="s">
        <v>9063</v>
      </c>
      <c r="L549" s="237" t="s">
        <v>6921</v>
      </c>
      <c r="M549" s="237" t="s">
        <v>9064</v>
      </c>
      <c r="N549" s="237" t="s">
        <v>962</v>
      </c>
      <c r="O549" s="237" t="s">
        <v>9065</v>
      </c>
      <c r="P549" s="237" t="s">
        <v>7112</v>
      </c>
      <c r="Q549" s="237" t="s">
        <v>9066</v>
      </c>
      <c r="R549" s="237" t="s">
        <v>6930</v>
      </c>
    </row>
    <row r="550">
      <c r="G550" s="232">
        <v>17.0</v>
      </c>
      <c r="H550" s="237" t="s">
        <v>6918</v>
      </c>
      <c r="I550" s="237" t="s">
        <v>9055</v>
      </c>
      <c r="J550" s="233">
        <v>2.0</v>
      </c>
      <c r="K550" s="237" t="s">
        <v>960</v>
      </c>
      <c r="L550" s="237" t="s">
        <v>6921</v>
      </c>
      <c r="M550" s="237" t="s">
        <v>9067</v>
      </c>
      <c r="N550" s="237" t="s">
        <v>962</v>
      </c>
      <c r="O550" s="237" t="s">
        <v>9068</v>
      </c>
      <c r="P550" s="237" t="s">
        <v>7149</v>
      </c>
      <c r="Q550" s="237"/>
      <c r="R550" s="231"/>
      <c r="S550" s="231"/>
    </row>
    <row r="551">
      <c r="G551" s="232">
        <v>18.0</v>
      </c>
      <c r="H551" s="237" t="s">
        <v>6918</v>
      </c>
      <c r="I551" s="237" t="s">
        <v>9055</v>
      </c>
      <c r="J551" s="233">
        <v>2.0</v>
      </c>
      <c r="K551" s="237" t="s">
        <v>9069</v>
      </c>
      <c r="L551" s="237" t="s">
        <v>6933</v>
      </c>
      <c r="M551" s="237" t="s">
        <v>9070</v>
      </c>
      <c r="N551" s="237" t="s">
        <v>962</v>
      </c>
      <c r="O551" s="237" t="s">
        <v>9071</v>
      </c>
      <c r="P551" s="237" t="s">
        <v>7093</v>
      </c>
      <c r="Q551" s="237" t="s">
        <v>9072</v>
      </c>
      <c r="R551" s="237" t="s">
        <v>7031</v>
      </c>
    </row>
    <row r="552">
      <c r="G552" s="232">
        <v>19.0</v>
      </c>
      <c r="H552" s="237" t="s">
        <v>6918</v>
      </c>
      <c r="I552" s="237" t="s">
        <v>9055</v>
      </c>
      <c r="J552" s="233">
        <v>2.0</v>
      </c>
      <c r="K552" s="237" t="s">
        <v>9073</v>
      </c>
      <c r="L552" s="237" t="s">
        <v>6921</v>
      </c>
      <c r="M552" s="237" t="s">
        <v>9074</v>
      </c>
      <c r="N552" s="237" t="s">
        <v>962</v>
      </c>
      <c r="O552" s="237" t="s">
        <v>9075</v>
      </c>
      <c r="P552" s="237" t="s">
        <v>7149</v>
      </c>
      <c r="Q552" s="237"/>
      <c r="R552" s="231"/>
      <c r="S552" s="231"/>
    </row>
    <row r="553">
      <c r="G553" s="232">
        <v>20.0</v>
      </c>
      <c r="H553" s="237" t="s">
        <v>6918</v>
      </c>
      <c r="I553" s="237" t="s">
        <v>9055</v>
      </c>
      <c r="J553" s="233">
        <v>2.0</v>
      </c>
      <c r="K553" s="237" t="s">
        <v>9076</v>
      </c>
      <c r="L553" s="237" t="s">
        <v>6933</v>
      </c>
      <c r="M553" s="237" t="s">
        <v>9077</v>
      </c>
      <c r="N553" s="237" t="s">
        <v>962</v>
      </c>
      <c r="O553" s="237" t="s">
        <v>9078</v>
      </c>
      <c r="P553" s="237" t="s">
        <v>7093</v>
      </c>
      <c r="Q553" s="237" t="s">
        <v>9079</v>
      </c>
      <c r="R553" s="237" t="s">
        <v>7031</v>
      </c>
    </row>
    <row r="554">
      <c r="G554" s="232">
        <v>21.0</v>
      </c>
      <c r="H554" s="237" t="s">
        <v>6918</v>
      </c>
      <c r="I554" s="237" t="s">
        <v>9055</v>
      </c>
      <c r="J554" s="233">
        <v>2.0</v>
      </c>
      <c r="K554" s="237" t="s">
        <v>4240</v>
      </c>
      <c r="L554" s="237" t="s">
        <v>6933</v>
      </c>
      <c r="M554" s="237" t="s">
        <v>5227</v>
      </c>
      <c r="N554" s="237" t="s">
        <v>962</v>
      </c>
      <c r="O554" s="237" t="s">
        <v>9080</v>
      </c>
      <c r="P554" s="237" t="s">
        <v>7048</v>
      </c>
      <c r="Q554" s="237" t="s">
        <v>9081</v>
      </c>
      <c r="R554" s="237" t="s">
        <v>7012</v>
      </c>
    </row>
    <row r="555">
      <c r="G555" s="232">
        <v>22.0</v>
      </c>
      <c r="H555" s="237" t="s">
        <v>6918</v>
      </c>
      <c r="I555" s="237" t="s">
        <v>9082</v>
      </c>
      <c r="J555" s="233">
        <v>3.0</v>
      </c>
      <c r="K555" s="237" t="s">
        <v>9083</v>
      </c>
      <c r="L555" s="237" t="s">
        <v>6933</v>
      </c>
      <c r="M555" s="237" t="s">
        <v>9084</v>
      </c>
      <c r="N555" s="237" t="s">
        <v>2265</v>
      </c>
      <c r="O555" s="237" t="s">
        <v>9085</v>
      </c>
      <c r="P555" s="237" t="s">
        <v>6937</v>
      </c>
      <c r="Q555" s="237" t="s">
        <v>9086</v>
      </c>
      <c r="R555" s="237" t="s">
        <v>7173</v>
      </c>
    </row>
    <row r="556">
      <c r="G556" s="232">
        <v>23.0</v>
      </c>
      <c r="H556" s="237" t="s">
        <v>6918</v>
      </c>
      <c r="I556" s="237" t="s">
        <v>9082</v>
      </c>
      <c r="J556" s="233">
        <v>3.0</v>
      </c>
      <c r="K556" s="237" t="s">
        <v>9087</v>
      </c>
      <c r="L556" s="237" t="s">
        <v>6933</v>
      </c>
      <c r="M556" s="237" t="s">
        <v>9088</v>
      </c>
      <c r="N556" s="237" t="s">
        <v>5011</v>
      </c>
      <c r="O556" s="237" t="s">
        <v>9089</v>
      </c>
      <c r="P556" s="237" t="s">
        <v>9090</v>
      </c>
      <c r="Q556" s="237"/>
      <c r="R556" s="231"/>
      <c r="S556" s="231"/>
    </row>
    <row r="557">
      <c r="G557" s="232">
        <v>24.0</v>
      </c>
      <c r="H557" s="237" t="s">
        <v>6918</v>
      </c>
      <c r="I557" s="237" t="s">
        <v>9082</v>
      </c>
      <c r="J557" s="233">
        <v>3.0</v>
      </c>
      <c r="K557" s="237" t="s">
        <v>9091</v>
      </c>
      <c r="L557" s="237" t="s">
        <v>6921</v>
      </c>
      <c r="M557" s="237" t="s">
        <v>9092</v>
      </c>
      <c r="N557" s="237" t="s">
        <v>9093</v>
      </c>
      <c r="O557" s="237" t="s">
        <v>9094</v>
      </c>
      <c r="P557" s="237" t="s">
        <v>6993</v>
      </c>
      <c r="Q557" s="237" t="s">
        <v>9095</v>
      </c>
      <c r="R557" s="237" t="s">
        <v>7173</v>
      </c>
    </row>
    <row r="558">
      <c r="G558" s="232">
        <v>25.0</v>
      </c>
      <c r="H558" s="237" t="s">
        <v>6918</v>
      </c>
      <c r="I558" s="237" t="s">
        <v>9082</v>
      </c>
      <c r="J558" s="233">
        <v>3.0</v>
      </c>
      <c r="K558" s="237" t="s">
        <v>680</v>
      </c>
      <c r="L558" s="237" t="s">
        <v>6921</v>
      </c>
      <c r="M558" s="237" t="s">
        <v>9096</v>
      </c>
      <c r="N558" s="237" t="s">
        <v>381</v>
      </c>
      <c r="O558" s="237" t="s">
        <v>9097</v>
      </c>
      <c r="P558" s="237" t="s">
        <v>6928</v>
      </c>
      <c r="Q558" s="237" t="s">
        <v>9098</v>
      </c>
      <c r="R558" s="237" t="s">
        <v>6930</v>
      </c>
    </row>
    <row r="559">
      <c r="G559" s="232">
        <v>26.0</v>
      </c>
      <c r="H559" s="237" t="s">
        <v>6918</v>
      </c>
      <c r="I559" s="237" t="s">
        <v>9082</v>
      </c>
      <c r="J559" s="233">
        <v>3.0</v>
      </c>
      <c r="K559" s="237" t="s">
        <v>9099</v>
      </c>
      <c r="L559" s="237" t="s">
        <v>6921</v>
      </c>
      <c r="M559" s="237" t="s">
        <v>9100</v>
      </c>
      <c r="N559" s="237" t="s">
        <v>381</v>
      </c>
      <c r="O559" s="237" t="s">
        <v>9101</v>
      </c>
      <c r="P559" s="237" t="s">
        <v>6928</v>
      </c>
      <c r="Q559" s="237" t="s">
        <v>9102</v>
      </c>
      <c r="R559" s="237" t="s">
        <v>7136</v>
      </c>
    </row>
    <row r="560">
      <c r="G560" s="232">
        <v>27.0</v>
      </c>
      <c r="H560" s="237" t="s">
        <v>6918</v>
      </c>
      <c r="I560" s="237" t="s">
        <v>9082</v>
      </c>
      <c r="J560" s="233">
        <v>3.0</v>
      </c>
      <c r="K560" s="237" t="s">
        <v>9103</v>
      </c>
      <c r="L560" s="237" t="s">
        <v>6921</v>
      </c>
      <c r="M560" s="237" t="s">
        <v>9104</v>
      </c>
      <c r="N560" s="237" t="s">
        <v>381</v>
      </c>
      <c r="O560" s="237" t="s">
        <v>9105</v>
      </c>
      <c r="P560" s="237" t="s">
        <v>6928</v>
      </c>
      <c r="Q560" s="237" t="s">
        <v>9106</v>
      </c>
      <c r="R560" s="237" t="s">
        <v>6930</v>
      </c>
    </row>
    <row r="561">
      <c r="G561" s="232">
        <v>28.0</v>
      </c>
      <c r="H561" s="237" t="s">
        <v>6918</v>
      </c>
      <c r="I561" s="237" t="s">
        <v>9082</v>
      </c>
      <c r="J561" s="233">
        <v>3.0</v>
      </c>
      <c r="K561" s="237" t="s">
        <v>9107</v>
      </c>
      <c r="L561" s="237" t="s">
        <v>6933</v>
      </c>
      <c r="M561" s="237" t="s">
        <v>9108</v>
      </c>
      <c r="N561" s="237" t="s">
        <v>381</v>
      </c>
      <c r="O561" s="237" t="s">
        <v>9109</v>
      </c>
      <c r="P561" s="237" t="s">
        <v>6928</v>
      </c>
      <c r="Q561" s="237" t="s">
        <v>9110</v>
      </c>
      <c r="R561" s="237" t="s">
        <v>7012</v>
      </c>
    </row>
    <row r="562">
      <c r="G562" s="232">
        <v>29.0</v>
      </c>
      <c r="H562" s="237" t="s">
        <v>6918</v>
      </c>
      <c r="I562" s="237" t="s">
        <v>9082</v>
      </c>
      <c r="J562" s="233">
        <v>3.0</v>
      </c>
      <c r="K562" s="237" t="s">
        <v>9111</v>
      </c>
      <c r="L562" s="237" t="s">
        <v>6933</v>
      </c>
      <c r="M562" s="237" t="s">
        <v>9112</v>
      </c>
      <c r="N562" s="237" t="s">
        <v>381</v>
      </c>
      <c r="O562" s="237" t="s">
        <v>9113</v>
      </c>
      <c r="P562" s="237" t="s">
        <v>7048</v>
      </c>
      <c r="Q562" s="237" t="s">
        <v>9114</v>
      </c>
      <c r="R562" s="237" t="s">
        <v>7012</v>
      </c>
    </row>
    <row r="563">
      <c r="G563" s="232">
        <v>30.0</v>
      </c>
      <c r="H563" s="237" t="s">
        <v>6918</v>
      </c>
      <c r="I563" s="237" t="s">
        <v>9082</v>
      </c>
      <c r="J563" s="233">
        <v>3.0</v>
      </c>
      <c r="K563" s="237" t="s">
        <v>9115</v>
      </c>
      <c r="L563" s="237" t="s">
        <v>6933</v>
      </c>
      <c r="M563" s="237" t="s">
        <v>9116</v>
      </c>
      <c r="N563" s="237" t="s">
        <v>2138</v>
      </c>
      <c r="O563" s="237" t="s">
        <v>9117</v>
      </c>
      <c r="P563" s="237" t="s">
        <v>6928</v>
      </c>
      <c r="Q563" s="237" t="s">
        <v>9118</v>
      </c>
      <c r="R563" s="237" t="s">
        <v>7173</v>
      </c>
    </row>
    <row r="564">
      <c r="G564" s="232">
        <v>31.0</v>
      </c>
      <c r="H564" s="237" t="s">
        <v>6918</v>
      </c>
      <c r="I564" s="237" t="s">
        <v>9082</v>
      </c>
      <c r="J564" s="233">
        <v>3.0</v>
      </c>
      <c r="K564" s="237" t="s">
        <v>4321</v>
      </c>
      <c r="L564" s="237" t="s">
        <v>6933</v>
      </c>
      <c r="M564" s="237" t="s">
        <v>9119</v>
      </c>
      <c r="N564" s="237" t="s">
        <v>2138</v>
      </c>
      <c r="O564" s="237" t="s">
        <v>9120</v>
      </c>
      <c r="P564" s="237" t="s">
        <v>6993</v>
      </c>
      <c r="Q564" s="237" t="s">
        <v>9121</v>
      </c>
      <c r="R564" s="237" t="s">
        <v>9122</v>
      </c>
    </row>
    <row r="565">
      <c r="G565" s="232">
        <v>32.0</v>
      </c>
      <c r="H565" s="237" t="s">
        <v>6918</v>
      </c>
      <c r="I565" s="237" t="s">
        <v>9082</v>
      </c>
      <c r="J565" s="233">
        <v>3.0</v>
      </c>
      <c r="K565" s="237" t="s">
        <v>9123</v>
      </c>
      <c r="L565" s="237" t="s">
        <v>6933</v>
      </c>
      <c r="M565" s="237" t="s">
        <v>9124</v>
      </c>
      <c r="N565" s="237" t="s">
        <v>9125</v>
      </c>
      <c r="O565" s="237" t="s">
        <v>9126</v>
      </c>
      <c r="P565" s="237" t="s">
        <v>7005</v>
      </c>
      <c r="Q565" s="237" t="s">
        <v>9127</v>
      </c>
      <c r="R565" s="237" t="s">
        <v>6930</v>
      </c>
    </row>
    <row r="566">
      <c r="G566" s="232">
        <v>33.0</v>
      </c>
      <c r="H566" s="237" t="s">
        <v>6918</v>
      </c>
      <c r="I566" s="237" t="s">
        <v>9082</v>
      </c>
      <c r="J566" s="233">
        <v>3.0</v>
      </c>
      <c r="K566" s="237" t="s">
        <v>9128</v>
      </c>
      <c r="L566" s="237" t="s">
        <v>6933</v>
      </c>
      <c r="M566" s="237" t="s">
        <v>9129</v>
      </c>
      <c r="N566" s="237" t="s">
        <v>9125</v>
      </c>
      <c r="O566" s="237" t="s">
        <v>9130</v>
      </c>
      <c r="P566" s="237" t="s">
        <v>6928</v>
      </c>
      <c r="Q566" s="237" t="s">
        <v>9131</v>
      </c>
      <c r="R566" s="237" t="s">
        <v>7031</v>
      </c>
    </row>
    <row r="567">
      <c r="G567" s="232">
        <v>34.0</v>
      </c>
      <c r="H567" s="237" t="s">
        <v>6918</v>
      </c>
      <c r="I567" s="237" t="s">
        <v>9082</v>
      </c>
      <c r="J567" s="233">
        <v>3.0</v>
      </c>
      <c r="K567" s="237" t="s">
        <v>9132</v>
      </c>
      <c r="L567" s="237" t="s">
        <v>6933</v>
      </c>
      <c r="M567" s="237" t="s">
        <v>9133</v>
      </c>
      <c r="N567" s="237" t="s">
        <v>9125</v>
      </c>
      <c r="O567" s="237" t="s">
        <v>9134</v>
      </c>
      <c r="P567" s="237" t="s">
        <v>7112</v>
      </c>
      <c r="Q567" s="237" t="s">
        <v>9135</v>
      </c>
      <c r="R567" s="237" t="s">
        <v>7136</v>
      </c>
    </row>
    <row r="568">
      <c r="G568" s="232">
        <v>35.0</v>
      </c>
      <c r="H568" s="237" t="s">
        <v>6918</v>
      </c>
      <c r="I568" s="237" t="s">
        <v>9082</v>
      </c>
      <c r="J568" s="233">
        <v>3.0</v>
      </c>
      <c r="K568" s="237" t="s">
        <v>9136</v>
      </c>
      <c r="L568" s="237" t="s">
        <v>6933</v>
      </c>
      <c r="M568" s="237" t="s">
        <v>9137</v>
      </c>
      <c r="N568" s="237" t="s">
        <v>9125</v>
      </c>
      <c r="O568" s="237" t="s">
        <v>9138</v>
      </c>
      <c r="P568" s="237" t="s">
        <v>7005</v>
      </c>
      <c r="Q568" s="237"/>
      <c r="R568" s="231"/>
      <c r="S568" s="231"/>
    </row>
    <row r="569">
      <c r="G569" s="232">
        <v>36.0</v>
      </c>
      <c r="H569" s="237" t="s">
        <v>6918</v>
      </c>
      <c r="I569" s="237" t="s">
        <v>9082</v>
      </c>
      <c r="J569" s="233">
        <v>3.0</v>
      </c>
      <c r="K569" s="237" t="s">
        <v>783</v>
      </c>
      <c r="L569" s="237" t="s">
        <v>6921</v>
      </c>
      <c r="M569" s="237" t="s">
        <v>9139</v>
      </c>
      <c r="N569" s="237" t="s">
        <v>9125</v>
      </c>
      <c r="O569" s="237" t="s">
        <v>9140</v>
      </c>
      <c r="P569" s="237" t="s">
        <v>6928</v>
      </c>
      <c r="Q569" s="237" t="s">
        <v>9141</v>
      </c>
      <c r="R569" s="237" t="s">
        <v>6930</v>
      </c>
    </row>
    <row r="570">
      <c r="G570" s="232">
        <v>37.0</v>
      </c>
      <c r="H570" s="237" t="s">
        <v>6918</v>
      </c>
      <c r="I570" s="237" t="s">
        <v>9082</v>
      </c>
      <c r="J570" s="233">
        <v>3.0</v>
      </c>
      <c r="K570" s="237" t="s">
        <v>9142</v>
      </c>
      <c r="L570" s="237" t="s">
        <v>6933</v>
      </c>
      <c r="M570" s="237" t="s">
        <v>9143</v>
      </c>
      <c r="N570" s="237" t="s">
        <v>9125</v>
      </c>
      <c r="O570" s="237" t="s">
        <v>9144</v>
      </c>
      <c r="P570" s="237" t="s">
        <v>6928</v>
      </c>
      <c r="Q570" s="237" t="s">
        <v>9145</v>
      </c>
      <c r="R570" s="237" t="s">
        <v>6930</v>
      </c>
    </row>
    <row r="571">
      <c r="G571" s="232">
        <v>38.0</v>
      </c>
      <c r="H571" s="237" t="s">
        <v>6918</v>
      </c>
      <c r="I571" s="237" t="s">
        <v>9082</v>
      </c>
      <c r="J571" s="233">
        <v>3.0</v>
      </c>
      <c r="K571" s="237" t="s">
        <v>9146</v>
      </c>
      <c r="L571" s="237" t="s">
        <v>6933</v>
      </c>
      <c r="M571" s="237" t="s">
        <v>9147</v>
      </c>
      <c r="N571" s="237" t="s">
        <v>9125</v>
      </c>
      <c r="O571" s="237"/>
      <c r="P571" s="231"/>
      <c r="Q571" s="237"/>
      <c r="R571" s="231"/>
      <c r="S571" s="231"/>
    </row>
    <row r="572">
      <c r="G572" s="232">
        <v>39.0</v>
      </c>
      <c r="H572" s="237" t="s">
        <v>6918</v>
      </c>
      <c r="I572" s="237" t="s">
        <v>9082</v>
      </c>
      <c r="J572" s="233">
        <v>3.0</v>
      </c>
      <c r="K572" s="237" t="s">
        <v>9148</v>
      </c>
      <c r="L572" s="237" t="s">
        <v>6921</v>
      </c>
      <c r="M572" s="237" t="s">
        <v>9149</v>
      </c>
      <c r="N572" s="237" t="s">
        <v>9125</v>
      </c>
      <c r="O572" s="237" t="s">
        <v>9150</v>
      </c>
      <c r="P572" s="237" t="s">
        <v>6928</v>
      </c>
      <c r="Q572" s="237" t="s">
        <v>9151</v>
      </c>
      <c r="R572" s="237" t="s">
        <v>6930</v>
      </c>
    </row>
    <row r="573">
      <c r="G573" s="232">
        <v>40.0</v>
      </c>
      <c r="H573" s="237" t="s">
        <v>6918</v>
      </c>
      <c r="I573" s="237" t="s">
        <v>9082</v>
      </c>
      <c r="J573" s="233">
        <v>3.0</v>
      </c>
      <c r="K573" s="237" t="s">
        <v>9152</v>
      </c>
      <c r="L573" s="237" t="s">
        <v>6933</v>
      </c>
      <c r="M573" s="237" t="s">
        <v>9153</v>
      </c>
      <c r="N573" s="237" t="s">
        <v>9125</v>
      </c>
      <c r="O573" s="237" t="s">
        <v>9154</v>
      </c>
      <c r="P573" s="237" t="s">
        <v>7248</v>
      </c>
      <c r="Q573" s="237"/>
      <c r="R573" s="231"/>
      <c r="S573" s="231"/>
    </row>
    <row r="574">
      <c r="G574" s="232">
        <v>41.0</v>
      </c>
      <c r="H574" s="237" t="s">
        <v>6918</v>
      </c>
      <c r="I574" s="237" t="s">
        <v>9082</v>
      </c>
      <c r="J574" s="233">
        <v>3.0</v>
      </c>
      <c r="K574" s="237" t="s">
        <v>9155</v>
      </c>
      <c r="L574" s="237" t="s">
        <v>6933</v>
      </c>
      <c r="M574" s="237" t="s">
        <v>9156</v>
      </c>
      <c r="N574" s="237" t="s">
        <v>9125</v>
      </c>
      <c r="O574" s="237"/>
      <c r="P574" s="231"/>
      <c r="Q574" s="237"/>
      <c r="R574" s="231"/>
      <c r="S574" s="231"/>
    </row>
    <row r="575">
      <c r="G575" s="232">
        <v>42.0</v>
      </c>
      <c r="H575" s="237" t="s">
        <v>9157</v>
      </c>
      <c r="I575" s="237" t="s">
        <v>9082</v>
      </c>
      <c r="J575" s="233">
        <v>3.0</v>
      </c>
      <c r="K575" s="237" t="s">
        <v>9158</v>
      </c>
      <c r="L575" s="237" t="s">
        <v>6933</v>
      </c>
      <c r="M575" s="237" t="s">
        <v>9159</v>
      </c>
      <c r="N575" s="237" t="s">
        <v>9125</v>
      </c>
      <c r="O575" s="237" t="s">
        <v>9160</v>
      </c>
      <c r="P575" s="237" t="s">
        <v>6928</v>
      </c>
      <c r="Q575" s="237" t="s">
        <v>9161</v>
      </c>
      <c r="R575" s="237" t="s">
        <v>6930</v>
      </c>
    </row>
    <row r="576">
      <c r="G576" s="232">
        <v>43.0</v>
      </c>
      <c r="H576" s="237" t="s">
        <v>9157</v>
      </c>
      <c r="I576" s="237" t="s">
        <v>9082</v>
      </c>
      <c r="J576" s="233">
        <v>3.0</v>
      </c>
      <c r="K576" s="237" t="s">
        <v>9162</v>
      </c>
      <c r="L576" s="237" t="s">
        <v>6933</v>
      </c>
      <c r="M576" s="237" t="s">
        <v>9163</v>
      </c>
      <c r="N576" s="237" t="s">
        <v>9125</v>
      </c>
      <c r="O576" s="237"/>
      <c r="P576" s="231"/>
      <c r="Q576" s="237"/>
      <c r="R576" s="231"/>
      <c r="S576" s="231"/>
    </row>
    <row r="577">
      <c r="G577" s="232">
        <v>44.0</v>
      </c>
      <c r="H577" s="237" t="s">
        <v>9157</v>
      </c>
      <c r="I577" s="237" t="s">
        <v>9082</v>
      </c>
      <c r="J577" s="233">
        <v>3.0</v>
      </c>
      <c r="K577" s="237" t="s">
        <v>9164</v>
      </c>
      <c r="L577" s="237" t="s">
        <v>6921</v>
      </c>
      <c r="M577" s="237" t="s">
        <v>9165</v>
      </c>
      <c r="N577" s="237" t="s">
        <v>9125</v>
      </c>
      <c r="O577" s="237" t="s">
        <v>9166</v>
      </c>
      <c r="P577" s="237" t="s">
        <v>6993</v>
      </c>
      <c r="Q577" s="237"/>
      <c r="R577" s="231"/>
      <c r="S577" s="231"/>
    </row>
    <row r="578">
      <c r="G578" s="232">
        <v>45.0</v>
      </c>
      <c r="H578" s="237" t="s">
        <v>9157</v>
      </c>
      <c r="I578" s="237" t="s">
        <v>9082</v>
      </c>
      <c r="J578" s="233">
        <v>3.0</v>
      </c>
      <c r="K578" s="237" t="s">
        <v>9167</v>
      </c>
      <c r="L578" s="237" t="s">
        <v>6933</v>
      </c>
      <c r="M578" s="237" t="s">
        <v>9168</v>
      </c>
      <c r="N578" s="237" t="s">
        <v>9169</v>
      </c>
      <c r="O578" s="237" t="s">
        <v>9170</v>
      </c>
      <c r="P578" s="237" t="s">
        <v>6993</v>
      </c>
      <c r="Q578" s="237"/>
      <c r="R578" s="231"/>
      <c r="S578" s="231"/>
    </row>
    <row r="579">
      <c r="G579" s="232">
        <v>46.0</v>
      </c>
      <c r="H579" s="237" t="s">
        <v>9157</v>
      </c>
      <c r="I579" s="237" t="s">
        <v>9082</v>
      </c>
      <c r="J579" s="233">
        <v>3.0</v>
      </c>
      <c r="K579" s="237" t="s">
        <v>9171</v>
      </c>
      <c r="L579" s="237" t="s">
        <v>6933</v>
      </c>
      <c r="M579" s="237" t="s">
        <v>9172</v>
      </c>
      <c r="N579" s="237" t="s">
        <v>9169</v>
      </c>
      <c r="O579" s="237" t="s">
        <v>9173</v>
      </c>
      <c r="P579" s="237" t="s">
        <v>7048</v>
      </c>
      <c r="Q579" s="237" t="s">
        <v>9174</v>
      </c>
      <c r="R579" s="237" t="s">
        <v>7012</v>
      </c>
    </row>
    <row r="580">
      <c r="G580" s="232">
        <v>47.0</v>
      </c>
      <c r="H580" s="237" t="s">
        <v>9157</v>
      </c>
      <c r="I580" s="237" t="s">
        <v>9082</v>
      </c>
      <c r="J580" s="233">
        <v>3.0</v>
      </c>
      <c r="K580" s="237" t="s">
        <v>9175</v>
      </c>
      <c r="L580" s="237" t="s">
        <v>6921</v>
      </c>
      <c r="M580" s="237" t="s">
        <v>9176</v>
      </c>
      <c r="N580" s="237" t="s">
        <v>9177</v>
      </c>
      <c r="O580" s="237" t="s">
        <v>9178</v>
      </c>
      <c r="P580" s="237" t="s">
        <v>6928</v>
      </c>
      <c r="Q580" s="237" t="s">
        <v>9179</v>
      </c>
      <c r="R580" s="237" t="s">
        <v>7031</v>
      </c>
    </row>
    <row r="581">
      <c r="G581" s="232">
        <v>48.0</v>
      </c>
      <c r="H581" s="237" t="s">
        <v>9157</v>
      </c>
      <c r="I581" s="237" t="s">
        <v>9082</v>
      </c>
      <c r="J581" s="233">
        <v>3.0</v>
      </c>
      <c r="K581" s="237" t="s">
        <v>9180</v>
      </c>
      <c r="L581" s="237" t="s">
        <v>6933</v>
      </c>
      <c r="M581" s="237" t="s">
        <v>9181</v>
      </c>
      <c r="N581" s="237" t="s">
        <v>5011</v>
      </c>
      <c r="O581" s="237" t="s">
        <v>9182</v>
      </c>
      <c r="P581" s="237" t="s">
        <v>7070</v>
      </c>
      <c r="Q581" s="237"/>
      <c r="R581" s="231"/>
      <c r="S581" s="231"/>
    </row>
    <row r="582">
      <c r="G582" s="232">
        <v>49.0</v>
      </c>
      <c r="H582" s="237" t="s">
        <v>6918</v>
      </c>
      <c r="I582" s="237" t="s">
        <v>9082</v>
      </c>
      <c r="J582" s="233">
        <v>3.0</v>
      </c>
      <c r="K582" s="237" t="s">
        <v>9183</v>
      </c>
      <c r="L582" s="237" t="s">
        <v>6921</v>
      </c>
      <c r="M582" s="237" t="s">
        <v>9184</v>
      </c>
      <c r="N582" s="237" t="s">
        <v>9185</v>
      </c>
      <c r="O582" s="237" t="s">
        <v>9186</v>
      </c>
      <c r="P582" s="237" t="s">
        <v>7048</v>
      </c>
      <c r="Q582" s="237" t="s">
        <v>9187</v>
      </c>
      <c r="R582" s="237" t="s">
        <v>7050</v>
      </c>
    </row>
    <row r="583">
      <c r="G583" s="232">
        <v>50.0</v>
      </c>
      <c r="H583" s="237" t="s">
        <v>6918</v>
      </c>
      <c r="I583" s="237" t="s">
        <v>9188</v>
      </c>
      <c r="J583" s="233">
        <v>4.0</v>
      </c>
      <c r="K583" s="237" t="s">
        <v>6499</v>
      </c>
      <c r="L583" s="237" t="s">
        <v>6933</v>
      </c>
      <c r="M583" s="237" t="s">
        <v>9189</v>
      </c>
      <c r="N583" s="237" t="s">
        <v>3435</v>
      </c>
      <c r="O583" s="237" t="s">
        <v>9190</v>
      </c>
      <c r="P583" s="237" t="s">
        <v>6993</v>
      </c>
      <c r="Q583" s="237"/>
      <c r="R583" s="231"/>
      <c r="S583" s="231"/>
    </row>
    <row r="584">
      <c r="G584" s="232">
        <v>51.0</v>
      </c>
      <c r="H584" s="237" t="s">
        <v>6918</v>
      </c>
      <c r="I584" s="237" t="s">
        <v>9188</v>
      </c>
      <c r="J584" s="233">
        <v>4.0</v>
      </c>
      <c r="K584" s="237" t="s">
        <v>9191</v>
      </c>
      <c r="L584" s="237" t="s">
        <v>6921</v>
      </c>
      <c r="M584" s="237" t="s">
        <v>9192</v>
      </c>
      <c r="N584" s="237" t="s">
        <v>3435</v>
      </c>
      <c r="O584" s="237" t="s">
        <v>9193</v>
      </c>
      <c r="P584" s="237" t="s">
        <v>8739</v>
      </c>
      <c r="Q584" s="237" t="s">
        <v>9194</v>
      </c>
      <c r="R584" s="237" t="s">
        <v>6995</v>
      </c>
    </row>
    <row r="585">
      <c r="G585" s="232">
        <v>52.0</v>
      </c>
      <c r="H585" s="237" t="s">
        <v>9195</v>
      </c>
      <c r="I585" s="237" t="s">
        <v>9196</v>
      </c>
      <c r="J585" s="233">
        <v>4.0</v>
      </c>
      <c r="K585" s="237" t="s">
        <v>9197</v>
      </c>
      <c r="L585" s="237" t="s">
        <v>6933</v>
      </c>
      <c r="M585" s="237" t="s">
        <v>9198</v>
      </c>
      <c r="N585" s="237" t="s">
        <v>9199</v>
      </c>
      <c r="O585" s="237" t="s">
        <v>9200</v>
      </c>
      <c r="P585" s="237" t="s">
        <v>7005</v>
      </c>
      <c r="Q585" s="237"/>
      <c r="R585" s="231"/>
      <c r="S585" s="231"/>
    </row>
    <row r="586">
      <c r="G586" s="232">
        <v>53.0</v>
      </c>
      <c r="H586" s="237" t="s">
        <v>9195</v>
      </c>
      <c r="I586" s="237" t="s">
        <v>9196</v>
      </c>
      <c r="J586" s="233">
        <v>4.0</v>
      </c>
      <c r="K586" s="237" t="s">
        <v>9201</v>
      </c>
      <c r="L586" s="237" t="s">
        <v>6933</v>
      </c>
      <c r="M586" s="237" t="s">
        <v>9202</v>
      </c>
      <c r="N586" s="237" t="s">
        <v>9199</v>
      </c>
      <c r="O586" s="237" t="s">
        <v>9203</v>
      </c>
      <c r="P586" s="237" t="s">
        <v>7070</v>
      </c>
      <c r="Q586" s="237"/>
      <c r="R586" s="231"/>
      <c r="S586" s="231"/>
    </row>
    <row r="587">
      <c r="G587" s="232">
        <v>54.0</v>
      </c>
      <c r="H587" s="237" t="s">
        <v>9195</v>
      </c>
      <c r="I587" s="237" t="s">
        <v>9196</v>
      </c>
      <c r="J587" s="233">
        <v>4.0</v>
      </c>
      <c r="K587" s="237" t="s">
        <v>2917</v>
      </c>
      <c r="L587" s="237" t="s">
        <v>6933</v>
      </c>
      <c r="M587" s="237" t="s">
        <v>9204</v>
      </c>
      <c r="N587" s="237" t="s">
        <v>2919</v>
      </c>
      <c r="O587" s="237" t="s">
        <v>7280</v>
      </c>
      <c r="P587" s="237" t="s">
        <v>6993</v>
      </c>
      <c r="Q587" s="237"/>
      <c r="R587" s="231"/>
      <c r="S587" s="231"/>
    </row>
    <row r="588">
      <c r="G588" s="232">
        <v>55.0</v>
      </c>
      <c r="H588" s="237" t="s">
        <v>9195</v>
      </c>
      <c r="I588" s="237" t="s">
        <v>9196</v>
      </c>
      <c r="J588" s="233">
        <v>4.0</v>
      </c>
      <c r="K588" s="237" t="s">
        <v>3767</v>
      </c>
      <c r="L588" s="237" t="s">
        <v>6921</v>
      </c>
      <c r="M588" s="237" t="s">
        <v>9205</v>
      </c>
      <c r="N588" s="237" t="s">
        <v>3769</v>
      </c>
      <c r="O588" s="237" t="s">
        <v>9206</v>
      </c>
      <c r="P588" s="237" t="s">
        <v>7048</v>
      </c>
      <c r="Q588" s="237" t="s">
        <v>9207</v>
      </c>
      <c r="R588" s="237" t="s">
        <v>7012</v>
      </c>
    </row>
    <row r="589">
      <c r="G589" s="232">
        <v>56.0</v>
      </c>
      <c r="H589" s="237" t="s">
        <v>9195</v>
      </c>
      <c r="I589" s="237" t="s">
        <v>9196</v>
      </c>
      <c r="J589" s="233">
        <v>4.0</v>
      </c>
      <c r="K589" s="237" t="s">
        <v>6401</v>
      </c>
      <c r="L589" s="237" t="s">
        <v>6921</v>
      </c>
      <c r="M589" s="237" t="s">
        <v>9208</v>
      </c>
      <c r="N589" s="237" t="s">
        <v>3769</v>
      </c>
      <c r="O589" s="237" t="s">
        <v>9209</v>
      </c>
      <c r="P589" s="237" t="s">
        <v>7048</v>
      </c>
      <c r="Q589" s="237" t="s">
        <v>9210</v>
      </c>
      <c r="R589" s="237" t="s">
        <v>7050</v>
      </c>
    </row>
    <row r="590">
      <c r="G590" s="232">
        <v>57.0</v>
      </c>
      <c r="H590" s="237" t="s">
        <v>6918</v>
      </c>
      <c r="I590" s="237" t="s">
        <v>9188</v>
      </c>
      <c r="J590" s="233">
        <v>4.0</v>
      </c>
      <c r="K590" s="237" t="s">
        <v>9211</v>
      </c>
      <c r="L590" s="237" t="s">
        <v>6921</v>
      </c>
      <c r="M590" s="237" t="s">
        <v>9212</v>
      </c>
      <c r="N590" s="237" t="s">
        <v>410</v>
      </c>
      <c r="O590" s="237" t="s">
        <v>9213</v>
      </c>
      <c r="P590" s="237" t="s">
        <v>6993</v>
      </c>
      <c r="Q590" s="237"/>
      <c r="R590" s="231"/>
      <c r="S590" s="231"/>
    </row>
    <row r="591">
      <c r="G591" s="232">
        <v>58.0</v>
      </c>
      <c r="H591" s="237" t="s">
        <v>6918</v>
      </c>
      <c r="I591" s="237" t="s">
        <v>7056</v>
      </c>
      <c r="J591" s="233">
        <v>4.0</v>
      </c>
      <c r="K591" s="237" t="s">
        <v>3955</v>
      </c>
      <c r="L591" s="237" t="s">
        <v>6933</v>
      </c>
      <c r="M591" s="237" t="s">
        <v>9214</v>
      </c>
      <c r="N591" s="237" t="s">
        <v>9215</v>
      </c>
      <c r="O591" s="237" t="s">
        <v>9216</v>
      </c>
      <c r="P591" s="237" t="s">
        <v>7005</v>
      </c>
      <c r="Q591" s="237"/>
      <c r="R591" s="231"/>
      <c r="S591" s="231"/>
    </row>
    <row r="592">
      <c r="G592" s="232">
        <v>59.0</v>
      </c>
      <c r="H592" s="237" t="s">
        <v>6918</v>
      </c>
      <c r="I592" s="237" t="s">
        <v>7056</v>
      </c>
      <c r="J592" s="233">
        <v>4.0</v>
      </c>
      <c r="K592" s="237" t="s">
        <v>9217</v>
      </c>
      <c r="L592" s="237" t="s">
        <v>6933</v>
      </c>
      <c r="M592" s="237" t="s">
        <v>9218</v>
      </c>
      <c r="N592" s="237" t="s">
        <v>9215</v>
      </c>
      <c r="O592" s="237" t="s">
        <v>9219</v>
      </c>
      <c r="P592" s="237" t="s">
        <v>6993</v>
      </c>
      <c r="Q592" s="237"/>
      <c r="R592" s="231"/>
      <c r="S592" s="231"/>
    </row>
    <row r="593">
      <c r="G593" s="86"/>
    </row>
    <row r="594">
      <c r="G594" s="86"/>
    </row>
    <row r="595">
      <c r="G595" s="257" t="s">
        <v>9220</v>
      </c>
    </row>
    <row r="596">
      <c r="G596" s="232">
        <v>1.0</v>
      </c>
      <c r="H596" s="237" t="s">
        <v>6918</v>
      </c>
      <c r="I596" s="237" t="s">
        <v>6931</v>
      </c>
      <c r="J596" s="258">
        <v>2.0</v>
      </c>
      <c r="K596" s="237" t="s">
        <v>9221</v>
      </c>
      <c r="L596" s="237" t="s">
        <v>6933</v>
      </c>
      <c r="M596" s="237" t="s">
        <v>9222</v>
      </c>
      <c r="N596" s="237" t="s">
        <v>6976</v>
      </c>
      <c r="O596" s="237" t="s">
        <v>9223</v>
      </c>
      <c r="P596" s="237" t="s">
        <v>8146</v>
      </c>
      <c r="Q596" s="237" t="s">
        <v>9224</v>
      </c>
      <c r="R596" s="237" t="s">
        <v>9225</v>
      </c>
    </row>
    <row r="597">
      <c r="G597" s="232">
        <v>2.0</v>
      </c>
      <c r="H597" s="237" t="s">
        <v>8796</v>
      </c>
      <c r="I597" s="237" t="s">
        <v>6940</v>
      </c>
      <c r="J597" s="258">
        <v>2.0</v>
      </c>
      <c r="K597" s="237" t="s">
        <v>4208</v>
      </c>
      <c r="L597" s="237" t="s">
        <v>6933</v>
      </c>
      <c r="M597" s="237" t="s">
        <v>9226</v>
      </c>
      <c r="N597" s="237" t="s">
        <v>4203</v>
      </c>
      <c r="O597" s="237" t="s">
        <v>9227</v>
      </c>
      <c r="P597" s="237" t="s">
        <v>7117</v>
      </c>
      <c r="Q597" s="237" t="s">
        <v>9228</v>
      </c>
      <c r="R597" s="237" t="s">
        <v>7050</v>
      </c>
    </row>
    <row r="598">
      <c r="G598" s="232">
        <v>3.0</v>
      </c>
      <c r="H598" s="237" t="s">
        <v>8796</v>
      </c>
      <c r="I598" s="237" t="s">
        <v>6940</v>
      </c>
      <c r="J598" s="258">
        <v>2.0</v>
      </c>
      <c r="K598" s="237" t="s">
        <v>9229</v>
      </c>
      <c r="L598" s="237" t="s">
        <v>6933</v>
      </c>
      <c r="M598" s="237" t="s">
        <v>9230</v>
      </c>
      <c r="N598" s="237" t="s">
        <v>9231</v>
      </c>
      <c r="O598" s="237" t="s">
        <v>9232</v>
      </c>
      <c r="P598" s="237" t="s">
        <v>7248</v>
      </c>
      <c r="Q598" s="237"/>
      <c r="R598" s="231"/>
    </row>
    <row r="599">
      <c r="G599" s="232">
        <v>4.0</v>
      </c>
      <c r="H599" s="237" t="s">
        <v>8796</v>
      </c>
      <c r="I599" s="237" t="s">
        <v>7366</v>
      </c>
      <c r="J599" s="258">
        <v>4.0</v>
      </c>
      <c r="K599" s="237" t="s">
        <v>9233</v>
      </c>
      <c r="L599" s="237" t="s">
        <v>6921</v>
      </c>
      <c r="M599" s="237" t="s">
        <v>9234</v>
      </c>
      <c r="N599" s="237" t="s">
        <v>9235</v>
      </c>
      <c r="O599" s="237" t="s">
        <v>9236</v>
      </c>
      <c r="P599" s="237" t="s">
        <v>7157</v>
      </c>
      <c r="Q599" s="237" t="s">
        <v>9237</v>
      </c>
      <c r="R599" s="237" t="s">
        <v>9238</v>
      </c>
    </row>
    <row r="600">
      <c r="G600" s="232">
        <v>5.0</v>
      </c>
      <c r="H600" s="237" t="s">
        <v>8796</v>
      </c>
      <c r="I600" s="237" t="s">
        <v>7512</v>
      </c>
      <c r="J600" s="258">
        <v>5.0</v>
      </c>
      <c r="K600" s="237" t="s">
        <v>9239</v>
      </c>
      <c r="L600" s="237" t="s">
        <v>6921</v>
      </c>
      <c r="M600" s="237" t="s">
        <v>9240</v>
      </c>
      <c r="N600" s="237" t="s">
        <v>9241</v>
      </c>
      <c r="O600" s="237" t="s">
        <v>9242</v>
      </c>
      <c r="P600" s="237" t="s">
        <v>6928</v>
      </c>
      <c r="Q600" s="237" t="s">
        <v>9243</v>
      </c>
      <c r="R600" s="237" t="s">
        <v>6946</v>
      </c>
    </row>
    <row r="601">
      <c r="G601" s="232">
        <v>6.0</v>
      </c>
      <c r="H601" s="237" t="s">
        <v>8796</v>
      </c>
      <c r="I601" s="237" t="s">
        <v>7512</v>
      </c>
      <c r="J601" s="258">
        <v>5.0</v>
      </c>
      <c r="K601" s="237" t="s">
        <v>9244</v>
      </c>
      <c r="L601" s="237" t="s">
        <v>6921</v>
      </c>
      <c r="M601" s="237" t="s">
        <v>9245</v>
      </c>
      <c r="N601" s="237" t="s">
        <v>9246</v>
      </c>
      <c r="O601" s="237" t="s">
        <v>9247</v>
      </c>
      <c r="P601" s="237" t="s">
        <v>7048</v>
      </c>
      <c r="Q601" s="237" t="s">
        <v>9248</v>
      </c>
      <c r="R601" s="237" t="s">
        <v>7050</v>
      </c>
    </row>
    <row r="602">
      <c r="G602" s="232">
        <v>7.0</v>
      </c>
      <c r="H602" s="237" t="s">
        <v>8796</v>
      </c>
      <c r="I602" s="237" t="s">
        <v>7512</v>
      </c>
      <c r="J602" s="258">
        <v>5.0</v>
      </c>
      <c r="K602" s="237" t="s">
        <v>3005</v>
      </c>
      <c r="L602" s="237" t="s">
        <v>6921</v>
      </c>
      <c r="M602" s="237" t="s">
        <v>9249</v>
      </c>
      <c r="N602" s="237" t="s">
        <v>1291</v>
      </c>
      <c r="O602" s="237" t="s">
        <v>9250</v>
      </c>
      <c r="P602" s="237" t="s">
        <v>7157</v>
      </c>
      <c r="Q602" s="237" t="s">
        <v>9251</v>
      </c>
      <c r="R602" s="237" t="s">
        <v>7031</v>
      </c>
    </row>
    <row r="603">
      <c r="G603" s="232">
        <v>8.0</v>
      </c>
      <c r="H603" s="237" t="s">
        <v>8796</v>
      </c>
      <c r="I603" s="237" t="s">
        <v>7512</v>
      </c>
      <c r="J603" s="258">
        <v>5.0</v>
      </c>
      <c r="K603" s="237" t="s">
        <v>9252</v>
      </c>
      <c r="L603" s="237" t="s">
        <v>6921</v>
      </c>
      <c r="M603" s="237" t="s">
        <v>9253</v>
      </c>
      <c r="N603" s="237" t="s">
        <v>1291</v>
      </c>
      <c r="O603" s="237" t="s">
        <v>9254</v>
      </c>
      <c r="P603" s="237" t="s">
        <v>7157</v>
      </c>
      <c r="Q603" s="237" t="s">
        <v>9255</v>
      </c>
      <c r="R603" s="237" t="s">
        <v>7031</v>
      </c>
    </row>
    <row r="604">
      <c r="G604" s="232">
        <v>9.0</v>
      </c>
      <c r="H604" s="237" t="s">
        <v>8796</v>
      </c>
      <c r="I604" s="237" t="s">
        <v>7512</v>
      </c>
      <c r="J604" s="258">
        <v>5.0</v>
      </c>
      <c r="K604" s="237" t="s">
        <v>9256</v>
      </c>
      <c r="L604" s="237" t="s">
        <v>6921</v>
      </c>
      <c r="M604" s="237" t="s">
        <v>9257</v>
      </c>
      <c r="N604" s="237" t="s">
        <v>1291</v>
      </c>
      <c r="O604" s="237" t="s">
        <v>9258</v>
      </c>
      <c r="P604" s="231"/>
      <c r="Q604" s="237" t="s">
        <v>9259</v>
      </c>
      <c r="R604" s="231"/>
    </row>
    <row r="605">
      <c r="G605" s="232">
        <v>10.0</v>
      </c>
      <c r="H605" s="237" t="s">
        <v>8796</v>
      </c>
      <c r="I605" s="237" t="s">
        <v>7512</v>
      </c>
      <c r="J605" s="258">
        <v>5.0</v>
      </c>
      <c r="K605" s="237" t="s">
        <v>9260</v>
      </c>
      <c r="L605" s="237" t="s">
        <v>6921</v>
      </c>
      <c r="M605" s="237" t="s">
        <v>9261</v>
      </c>
      <c r="N605" s="237" t="s">
        <v>1291</v>
      </c>
      <c r="O605" s="237" t="s">
        <v>9262</v>
      </c>
      <c r="P605" s="237" t="s">
        <v>7157</v>
      </c>
      <c r="Q605" s="237" t="s">
        <v>9263</v>
      </c>
      <c r="R605" s="237" t="s">
        <v>7031</v>
      </c>
    </row>
    <row r="606">
      <c r="G606" s="232">
        <v>11.0</v>
      </c>
      <c r="H606" s="237" t="s">
        <v>8796</v>
      </c>
      <c r="I606" s="237" t="s">
        <v>7512</v>
      </c>
      <c r="J606" s="258">
        <v>5.0</v>
      </c>
      <c r="K606" s="237" t="s">
        <v>3975</v>
      </c>
      <c r="L606" s="237" t="s">
        <v>6921</v>
      </c>
      <c r="M606" s="237" t="s">
        <v>9264</v>
      </c>
      <c r="N606" s="237" t="s">
        <v>1291</v>
      </c>
      <c r="O606" s="237" t="s">
        <v>9265</v>
      </c>
      <c r="P606" s="231"/>
      <c r="Q606" s="237" t="s">
        <v>9266</v>
      </c>
      <c r="R606" s="231"/>
    </row>
    <row r="607">
      <c r="G607" s="232">
        <v>12.0</v>
      </c>
      <c r="H607" s="237" t="s">
        <v>8796</v>
      </c>
      <c r="I607" s="237" t="s">
        <v>7512</v>
      </c>
      <c r="J607" s="258">
        <v>5.0</v>
      </c>
      <c r="K607" s="237" t="s">
        <v>9267</v>
      </c>
      <c r="L607" s="237" t="s">
        <v>6921</v>
      </c>
      <c r="M607" s="237" t="s">
        <v>9268</v>
      </c>
      <c r="N607" s="237" t="s">
        <v>3179</v>
      </c>
      <c r="O607" s="237" t="s">
        <v>9269</v>
      </c>
      <c r="P607" s="231"/>
      <c r="Q607" s="237" t="s">
        <v>9270</v>
      </c>
      <c r="R607" s="231"/>
    </row>
    <row r="608">
      <c r="G608" s="232">
        <v>13.0</v>
      </c>
      <c r="H608" s="237" t="s">
        <v>8796</v>
      </c>
      <c r="I608" s="237" t="s">
        <v>7512</v>
      </c>
      <c r="J608" s="258">
        <v>5.0</v>
      </c>
      <c r="K608" s="237" t="s">
        <v>9271</v>
      </c>
      <c r="L608" s="237" t="s">
        <v>6921</v>
      </c>
      <c r="M608" s="237" t="s">
        <v>9272</v>
      </c>
      <c r="N608" s="237" t="s">
        <v>154</v>
      </c>
      <c r="O608" s="237" t="s">
        <v>9273</v>
      </c>
      <c r="P608" s="237" t="s">
        <v>7117</v>
      </c>
      <c r="Q608" s="237" t="s">
        <v>9274</v>
      </c>
      <c r="R608" s="237" t="s">
        <v>7031</v>
      </c>
    </row>
    <row r="609">
      <c r="G609" s="232">
        <v>14.0</v>
      </c>
      <c r="H609" s="237" t="s">
        <v>8796</v>
      </c>
      <c r="I609" s="237" t="s">
        <v>7512</v>
      </c>
      <c r="J609" s="258">
        <v>5.0</v>
      </c>
      <c r="K609" s="237" t="s">
        <v>9275</v>
      </c>
      <c r="L609" s="237" t="s">
        <v>6921</v>
      </c>
      <c r="M609" s="237" t="s">
        <v>9276</v>
      </c>
      <c r="N609" s="237" t="s">
        <v>154</v>
      </c>
      <c r="O609" s="237" t="s">
        <v>9277</v>
      </c>
      <c r="P609" s="237" t="s">
        <v>9278</v>
      </c>
      <c r="Q609" s="237" t="s">
        <v>9279</v>
      </c>
      <c r="R609" s="231"/>
    </row>
    <row r="610">
      <c r="G610" s="232">
        <v>15.0</v>
      </c>
      <c r="H610" s="237" t="s">
        <v>8796</v>
      </c>
      <c r="I610" s="237" t="s">
        <v>7512</v>
      </c>
      <c r="J610" s="258">
        <v>5.0</v>
      </c>
      <c r="K610" s="237" t="s">
        <v>9280</v>
      </c>
      <c r="L610" s="237" t="s">
        <v>6921</v>
      </c>
      <c r="M610" s="237" t="s">
        <v>9281</v>
      </c>
      <c r="N610" s="237" t="s">
        <v>9282</v>
      </c>
      <c r="O610" s="237" t="s">
        <v>9283</v>
      </c>
      <c r="P610" s="237" t="s">
        <v>7048</v>
      </c>
      <c r="Q610" s="237" t="s">
        <v>9284</v>
      </c>
      <c r="R610" s="237" t="s">
        <v>7050</v>
      </c>
    </row>
    <row r="611">
      <c r="G611" s="232">
        <v>16.0</v>
      </c>
      <c r="H611" s="237" t="s">
        <v>8796</v>
      </c>
      <c r="I611" s="237" t="s">
        <v>7512</v>
      </c>
      <c r="J611" s="258">
        <v>5.0</v>
      </c>
      <c r="K611" s="237" t="s">
        <v>9285</v>
      </c>
      <c r="L611" s="237" t="s">
        <v>6921</v>
      </c>
      <c r="M611" s="237" t="s">
        <v>9286</v>
      </c>
      <c r="N611" s="237" t="s">
        <v>1387</v>
      </c>
      <c r="O611" s="237" t="s">
        <v>9287</v>
      </c>
      <c r="P611" s="237" t="s">
        <v>7048</v>
      </c>
      <c r="Q611" s="237" t="s">
        <v>9288</v>
      </c>
      <c r="R611" s="237" t="s">
        <v>7050</v>
      </c>
    </row>
    <row r="612">
      <c r="G612" s="232">
        <v>17.0</v>
      </c>
      <c r="H612" s="237" t="s">
        <v>8796</v>
      </c>
      <c r="I612" s="237" t="s">
        <v>7512</v>
      </c>
      <c r="J612" s="258">
        <v>5.0</v>
      </c>
      <c r="K612" s="237" t="s">
        <v>869</v>
      </c>
      <c r="L612" s="237" t="s">
        <v>6921</v>
      </c>
      <c r="M612" s="237" t="s">
        <v>9289</v>
      </c>
      <c r="N612" s="237" t="s">
        <v>9290</v>
      </c>
      <c r="O612" s="237" t="s">
        <v>9291</v>
      </c>
      <c r="P612" s="237" t="s">
        <v>7398</v>
      </c>
      <c r="Q612" s="237" t="s">
        <v>9292</v>
      </c>
      <c r="R612" s="237" t="s">
        <v>7031</v>
      </c>
    </row>
    <row r="613">
      <c r="G613" s="232">
        <v>18.0</v>
      </c>
      <c r="H613" s="237" t="s">
        <v>8796</v>
      </c>
      <c r="I613" s="237" t="s">
        <v>7512</v>
      </c>
      <c r="J613" s="258">
        <v>5.0</v>
      </c>
      <c r="K613" s="237" t="s">
        <v>3701</v>
      </c>
      <c r="L613" s="237" t="s">
        <v>6921</v>
      </c>
      <c r="M613" s="237" t="s">
        <v>9293</v>
      </c>
      <c r="N613" s="237" t="s">
        <v>9290</v>
      </c>
      <c r="O613" s="237" t="s">
        <v>9294</v>
      </c>
      <c r="P613" s="237" t="s">
        <v>7157</v>
      </c>
      <c r="Q613" s="237" t="s">
        <v>9295</v>
      </c>
      <c r="R613" s="237" t="s">
        <v>7414</v>
      </c>
    </row>
    <row r="614">
      <c r="G614" s="232">
        <v>19.0</v>
      </c>
      <c r="H614" s="237" t="s">
        <v>8796</v>
      </c>
      <c r="I614" s="237" t="s">
        <v>7512</v>
      </c>
      <c r="J614" s="258">
        <v>5.0</v>
      </c>
      <c r="K614" s="237" t="s">
        <v>9296</v>
      </c>
      <c r="L614" s="237" t="s">
        <v>6921</v>
      </c>
      <c r="M614" s="237" t="s">
        <v>9297</v>
      </c>
      <c r="N614" s="237" t="s">
        <v>9290</v>
      </c>
      <c r="O614" s="237" t="s">
        <v>9298</v>
      </c>
      <c r="P614" s="237" t="s">
        <v>7048</v>
      </c>
      <c r="Q614" s="237" t="s">
        <v>9299</v>
      </c>
      <c r="R614" s="237" t="s">
        <v>7050</v>
      </c>
    </row>
    <row r="615">
      <c r="G615" s="232">
        <v>20.0</v>
      </c>
      <c r="H615" s="237" t="s">
        <v>8796</v>
      </c>
      <c r="I615" s="237" t="s">
        <v>7512</v>
      </c>
      <c r="J615" s="258">
        <v>5.0</v>
      </c>
      <c r="K615" s="237" t="s">
        <v>9300</v>
      </c>
      <c r="L615" s="237" t="s">
        <v>6921</v>
      </c>
      <c r="M615" s="237" t="s">
        <v>9301</v>
      </c>
      <c r="N615" s="237" t="s">
        <v>9302</v>
      </c>
      <c r="O615" s="237" t="s">
        <v>9303</v>
      </c>
      <c r="P615" s="237" t="s">
        <v>7048</v>
      </c>
      <c r="Q615" s="237" t="s">
        <v>9304</v>
      </c>
      <c r="R615" s="237" t="s">
        <v>7050</v>
      </c>
    </row>
    <row r="616">
      <c r="G616" s="232">
        <v>21.0</v>
      </c>
      <c r="H616" s="237" t="s">
        <v>8796</v>
      </c>
      <c r="I616" s="237" t="s">
        <v>7512</v>
      </c>
      <c r="J616" s="258">
        <v>5.0</v>
      </c>
      <c r="K616" s="237" t="s">
        <v>4480</v>
      </c>
      <c r="L616" s="237" t="s">
        <v>6921</v>
      </c>
      <c r="M616" s="237" t="s">
        <v>9305</v>
      </c>
      <c r="N616" s="237" t="s">
        <v>9302</v>
      </c>
      <c r="O616" s="237" t="s">
        <v>9306</v>
      </c>
      <c r="P616" s="237" t="s">
        <v>7157</v>
      </c>
      <c r="Q616" s="237" t="s">
        <v>9307</v>
      </c>
      <c r="R616" s="237" t="s">
        <v>7031</v>
      </c>
    </row>
    <row r="617">
      <c r="G617" s="232">
        <v>22.0</v>
      </c>
      <c r="H617" s="237" t="s">
        <v>8796</v>
      </c>
      <c r="I617" s="237" t="s">
        <v>7512</v>
      </c>
      <c r="J617" s="258">
        <v>5.0</v>
      </c>
      <c r="K617" s="237" t="s">
        <v>9308</v>
      </c>
      <c r="L617" s="237" t="s">
        <v>6921</v>
      </c>
      <c r="M617" s="237" t="s">
        <v>9309</v>
      </c>
      <c r="N617" s="237" t="s">
        <v>9310</v>
      </c>
      <c r="O617" s="237" t="s">
        <v>9311</v>
      </c>
      <c r="P617" s="237" t="s">
        <v>7048</v>
      </c>
      <c r="Q617" s="237" t="s">
        <v>9312</v>
      </c>
      <c r="R617" s="237" t="s">
        <v>7050</v>
      </c>
    </row>
    <row r="618">
      <c r="G618" s="232">
        <v>23.0</v>
      </c>
      <c r="H618" s="237" t="s">
        <v>8796</v>
      </c>
      <c r="I618" s="237" t="s">
        <v>7512</v>
      </c>
      <c r="J618" s="258">
        <v>5.0</v>
      </c>
      <c r="K618" s="237" t="s">
        <v>9313</v>
      </c>
      <c r="L618" s="237" t="s">
        <v>6921</v>
      </c>
      <c r="M618" s="237" t="s">
        <v>9314</v>
      </c>
      <c r="N618" s="237" t="s">
        <v>624</v>
      </c>
      <c r="O618" s="237" t="s">
        <v>9315</v>
      </c>
      <c r="P618" s="237" t="s">
        <v>7048</v>
      </c>
      <c r="Q618" s="237" t="s">
        <v>9316</v>
      </c>
      <c r="R618" s="237" t="s">
        <v>7012</v>
      </c>
    </row>
    <row r="619">
      <c r="G619" s="232">
        <v>24.0</v>
      </c>
      <c r="H619" s="237" t="s">
        <v>8796</v>
      </c>
      <c r="I619" s="237" t="s">
        <v>7512</v>
      </c>
      <c r="J619" s="258">
        <v>5.0</v>
      </c>
      <c r="K619" s="237" t="s">
        <v>3244</v>
      </c>
      <c r="L619" s="237" t="s">
        <v>6921</v>
      </c>
      <c r="M619" s="237" t="s">
        <v>9317</v>
      </c>
      <c r="N619" s="237" t="s">
        <v>624</v>
      </c>
      <c r="O619" s="237" t="s">
        <v>9318</v>
      </c>
      <c r="P619" s="237" t="s">
        <v>7048</v>
      </c>
      <c r="Q619" s="237" t="s">
        <v>9319</v>
      </c>
      <c r="R619" s="237" t="s">
        <v>7012</v>
      </c>
    </row>
    <row r="620">
      <c r="G620" s="232">
        <v>25.0</v>
      </c>
      <c r="H620" s="237" t="s">
        <v>8796</v>
      </c>
      <c r="I620" s="237" t="s">
        <v>7512</v>
      </c>
      <c r="J620" s="258">
        <v>5.0</v>
      </c>
      <c r="K620" s="237" t="s">
        <v>9320</v>
      </c>
      <c r="L620" s="237" t="s">
        <v>6921</v>
      </c>
      <c r="M620" s="237" t="s">
        <v>9321</v>
      </c>
      <c r="N620" s="237" t="s">
        <v>9322</v>
      </c>
      <c r="O620" s="237" t="s">
        <v>9323</v>
      </c>
      <c r="P620" s="231"/>
      <c r="Q620" s="237" t="s">
        <v>9324</v>
      </c>
      <c r="R620" s="237" t="s">
        <v>7414</v>
      </c>
    </row>
    <row r="621">
      <c r="G621" s="232">
        <v>26.0</v>
      </c>
      <c r="H621" s="237" t="s">
        <v>8796</v>
      </c>
      <c r="I621" s="237" t="s">
        <v>7512</v>
      </c>
      <c r="J621" s="258">
        <v>5.0</v>
      </c>
      <c r="K621" s="237" t="s">
        <v>9325</v>
      </c>
      <c r="L621" s="237" t="s">
        <v>6921</v>
      </c>
      <c r="M621" s="237" t="s">
        <v>9326</v>
      </c>
      <c r="N621" s="237" t="s">
        <v>9322</v>
      </c>
      <c r="O621" s="237" t="s">
        <v>9327</v>
      </c>
      <c r="P621" s="237" t="s">
        <v>7048</v>
      </c>
      <c r="Q621" s="237" t="s">
        <v>9328</v>
      </c>
      <c r="R621" s="237" t="s">
        <v>7012</v>
      </c>
    </row>
    <row r="622">
      <c r="G622" s="232">
        <v>27.0</v>
      </c>
      <c r="H622" s="237" t="s">
        <v>8796</v>
      </c>
      <c r="I622" s="237" t="s">
        <v>9329</v>
      </c>
      <c r="J622" s="258">
        <v>5.0</v>
      </c>
      <c r="K622" s="237" t="s">
        <v>9330</v>
      </c>
      <c r="L622" s="237" t="s">
        <v>6921</v>
      </c>
      <c r="M622" s="237" t="s">
        <v>9331</v>
      </c>
      <c r="N622" s="237" t="s">
        <v>5805</v>
      </c>
      <c r="O622" s="237" t="s">
        <v>9332</v>
      </c>
      <c r="P622" s="237" t="s">
        <v>6928</v>
      </c>
      <c r="Q622" s="237" t="s">
        <v>9333</v>
      </c>
      <c r="R622" s="237" t="s">
        <v>6930</v>
      </c>
    </row>
    <row r="623">
      <c r="G623" s="232">
        <v>28.0</v>
      </c>
      <c r="H623" s="237" t="s">
        <v>8796</v>
      </c>
      <c r="I623" s="237" t="s">
        <v>7512</v>
      </c>
      <c r="J623" s="258">
        <v>5.0</v>
      </c>
      <c r="K623" s="237" t="s">
        <v>9334</v>
      </c>
      <c r="L623" s="237" t="s">
        <v>6921</v>
      </c>
      <c r="M623" s="237" t="s">
        <v>9335</v>
      </c>
      <c r="N623" s="237" t="s">
        <v>2301</v>
      </c>
      <c r="O623" s="237" t="s">
        <v>9336</v>
      </c>
      <c r="P623" s="237" t="s">
        <v>7048</v>
      </c>
      <c r="Q623" s="237" t="s">
        <v>9337</v>
      </c>
      <c r="R623" s="237" t="s">
        <v>7050</v>
      </c>
    </row>
    <row r="624">
      <c r="G624" s="232">
        <v>29.0</v>
      </c>
      <c r="H624" s="237" t="s">
        <v>8796</v>
      </c>
      <c r="I624" s="237" t="s">
        <v>9329</v>
      </c>
      <c r="J624" s="258">
        <v>5.0</v>
      </c>
      <c r="K624" s="237" t="s">
        <v>3248</v>
      </c>
      <c r="L624" s="237" t="s">
        <v>6921</v>
      </c>
      <c r="M624" s="237" t="s">
        <v>9338</v>
      </c>
      <c r="N624" s="237" t="s">
        <v>2301</v>
      </c>
      <c r="O624" s="237" t="s">
        <v>9339</v>
      </c>
      <c r="P624" s="237" t="s">
        <v>7048</v>
      </c>
      <c r="Q624" s="237" t="s">
        <v>9340</v>
      </c>
      <c r="R624" s="237" t="s">
        <v>7012</v>
      </c>
    </row>
    <row r="625">
      <c r="G625" s="232">
        <v>30.0</v>
      </c>
      <c r="H625" s="237" t="s">
        <v>8796</v>
      </c>
      <c r="I625" s="237" t="s">
        <v>7512</v>
      </c>
      <c r="J625" s="258">
        <v>5.0</v>
      </c>
      <c r="K625" s="237" t="s">
        <v>4142</v>
      </c>
      <c r="L625" s="237" t="s">
        <v>6921</v>
      </c>
      <c r="M625" s="237" t="s">
        <v>9341</v>
      </c>
      <c r="N625" s="237" t="s">
        <v>9342</v>
      </c>
      <c r="O625" s="237" t="s">
        <v>9343</v>
      </c>
      <c r="P625" s="237" t="s">
        <v>9020</v>
      </c>
      <c r="Q625" s="237"/>
      <c r="R625" s="231"/>
    </row>
    <row r="626">
      <c r="G626" s="232">
        <v>31.0</v>
      </c>
      <c r="H626" s="237" t="s">
        <v>6918</v>
      </c>
      <c r="I626" s="237" t="s">
        <v>7895</v>
      </c>
      <c r="J626" s="258">
        <v>7.0</v>
      </c>
      <c r="K626" s="237" t="s">
        <v>9344</v>
      </c>
      <c r="L626" s="237" t="s">
        <v>6933</v>
      </c>
      <c r="M626" s="237" t="s">
        <v>9345</v>
      </c>
      <c r="N626" s="237" t="s">
        <v>1770</v>
      </c>
      <c r="O626" s="237" t="s">
        <v>9346</v>
      </c>
      <c r="P626" s="237" t="s">
        <v>7048</v>
      </c>
      <c r="Q626" s="237" t="s">
        <v>9347</v>
      </c>
      <c r="R626" s="237" t="s">
        <v>7050</v>
      </c>
    </row>
    <row r="627">
      <c r="G627" s="86"/>
    </row>
    <row r="628">
      <c r="G628" s="86"/>
    </row>
    <row r="629" ht="41.25" customHeight="1">
      <c r="G629" s="257" t="s">
        <v>9348</v>
      </c>
    </row>
    <row r="630">
      <c r="G630" s="232">
        <v>1.0</v>
      </c>
      <c r="H630" s="237" t="s">
        <v>8796</v>
      </c>
      <c r="I630" s="237" t="s">
        <v>9349</v>
      </c>
      <c r="J630" s="258">
        <v>3.0</v>
      </c>
      <c r="K630" s="237" t="s">
        <v>9350</v>
      </c>
      <c r="L630" s="237" t="s">
        <v>7239</v>
      </c>
      <c r="M630" s="237" t="s">
        <v>9351</v>
      </c>
      <c r="N630" s="237" t="s">
        <v>410</v>
      </c>
      <c r="O630" s="237" t="s">
        <v>9352</v>
      </c>
      <c r="P630" s="237" t="s">
        <v>7005</v>
      </c>
      <c r="Q630" s="237"/>
      <c r="R630" s="231"/>
    </row>
    <row r="631">
      <c r="G631" s="232">
        <v>2.0</v>
      </c>
      <c r="H631" s="237" t="s">
        <v>6918</v>
      </c>
      <c r="I631" s="237" t="s">
        <v>9353</v>
      </c>
      <c r="J631" s="258">
        <v>4.0</v>
      </c>
      <c r="K631" s="237" t="s">
        <v>4112</v>
      </c>
      <c r="L631" s="237" t="s">
        <v>6921</v>
      </c>
      <c r="M631" s="237" t="s">
        <v>9354</v>
      </c>
      <c r="N631" s="237" t="s">
        <v>4978</v>
      </c>
      <c r="O631" s="237" t="s">
        <v>9355</v>
      </c>
      <c r="P631" s="237" t="s">
        <v>6993</v>
      </c>
      <c r="Q631" s="237"/>
      <c r="R631" s="231"/>
    </row>
    <row r="632">
      <c r="G632" s="232">
        <v>3.0</v>
      </c>
      <c r="H632" s="237" t="s">
        <v>8796</v>
      </c>
      <c r="I632" s="237" t="s">
        <v>9356</v>
      </c>
      <c r="J632" s="258">
        <v>6.0</v>
      </c>
      <c r="K632" s="237" t="s">
        <v>4327</v>
      </c>
      <c r="L632" s="237" t="s">
        <v>6921</v>
      </c>
      <c r="M632" s="237" t="s">
        <v>9357</v>
      </c>
      <c r="N632" s="237" t="s">
        <v>3313</v>
      </c>
      <c r="O632" s="237" t="s">
        <v>9358</v>
      </c>
      <c r="P632" s="237" t="s">
        <v>7070</v>
      </c>
      <c r="Q632" s="237"/>
      <c r="R632" s="231"/>
    </row>
    <row r="633">
      <c r="G633" s="86"/>
    </row>
    <row r="634">
      <c r="G634" s="86"/>
    </row>
    <row r="635">
      <c r="G635" s="86"/>
    </row>
    <row r="636">
      <c r="G636" s="86"/>
    </row>
    <row r="637">
      <c r="G637" s="86"/>
    </row>
    <row r="638">
      <c r="G638" s="86"/>
    </row>
    <row r="639">
      <c r="G639" s="86"/>
    </row>
    <row r="640">
      <c r="G640" s="86"/>
    </row>
    <row r="641">
      <c r="G641" s="86"/>
    </row>
    <row r="642">
      <c r="G642" s="86"/>
    </row>
    <row r="643">
      <c r="G643" s="86"/>
    </row>
    <row r="644">
      <c r="G644" s="86"/>
    </row>
    <row r="645">
      <c r="G645" s="86"/>
    </row>
    <row r="646">
      <c r="G646" s="86"/>
    </row>
    <row r="647">
      <c r="G647" s="86"/>
    </row>
    <row r="648">
      <c r="G648" s="86"/>
    </row>
    <row r="649">
      <c r="G649" s="86"/>
    </row>
    <row r="650">
      <c r="G650" s="86"/>
    </row>
    <row r="651">
      <c r="G651" s="86"/>
    </row>
    <row r="652">
      <c r="G652" s="86"/>
    </row>
    <row r="653">
      <c r="G653" s="86"/>
    </row>
    <row r="654">
      <c r="G654" s="86"/>
    </row>
    <row r="655">
      <c r="G655" s="86"/>
    </row>
    <row r="656">
      <c r="G656" s="86"/>
    </row>
    <row r="657">
      <c r="G657" s="86"/>
    </row>
    <row r="658">
      <c r="G658" s="86"/>
    </row>
    <row r="659">
      <c r="G659" s="86"/>
    </row>
    <row r="660">
      <c r="G660" s="86"/>
    </row>
    <row r="661">
      <c r="G661" s="86"/>
    </row>
    <row r="662">
      <c r="G662" s="86"/>
    </row>
    <row r="663">
      <c r="G663" s="86"/>
    </row>
    <row r="664">
      <c r="G664" s="86"/>
    </row>
    <row r="665">
      <c r="G665" s="86"/>
    </row>
    <row r="666">
      <c r="G666" s="86"/>
    </row>
    <row r="667">
      <c r="G667" s="86"/>
    </row>
    <row r="668">
      <c r="G668" s="86"/>
    </row>
    <row r="669">
      <c r="G669" s="86"/>
    </row>
    <row r="670">
      <c r="G670" s="86"/>
    </row>
    <row r="671">
      <c r="G671" s="86"/>
    </row>
    <row r="672">
      <c r="G672" s="86"/>
    </row>
    <row r="673">
      <c r="G673" s="86"/>
    </row>
    <row r="674">
      <c r="G674" s="86"/>
    </row>
    <row r="675">
      <c r="G675" s="86"/>
    </row>
    <row r="676">
      <c r="G676" s="86"/>
    </row>
    <row r="677">
      <c r="G677" s="86"/>
    </row>
    <row r="678">
      <c r="G678" s="86"/>
    </row>
    <row r="679">
      <c r="G679" s="86"/>
    </row>
    <row r="680">
      <c r="G680" s="86"/>
    </row>
    <row r="681">
      <c r="G681" s="86"/>
    </row>
    <row r="682">
      <c r="G682" s="86"/>
    </row>
    <row r="683">
      <c r="G683" s="86"/>
    </row>
    <row r="684">
      <c r="G684" s="86"/>
    </row>
    <row r="685">
      <c r="G685" s="86"/>
    </row>
    <row r="686">
      <c r="G686" s="86"/>
    </row>
    <row r="687">
      <c r="G687" s="86"/>
    </row>
    <row r="688">
      <c r="G688" s="86"/>
    </row>
    <row r="689">
      <c r="G689" s="86"/>
    </row>
    <row r="690">
      <c r="G690" s="86"/>
    </row>
    <row r="691">
      <c r="G691" s="86"/>
    </row>
    <row r="692">
      <c r="G692" s="86"/>
    </row>
    <row r="693">
      <c r="G693" s="86"/>
    </row>
    <row r="694">
      <c r="G694" s="86"/>
    </row>
    <row r="695">
      <c r="G695" s="86"/>
    </row>
    <row r="696">
      <c r="G696" s="86"/>
    </row>
    <row r="697">
      <c r="G697" s="86"/>
    </row>
    <row r="698">
      <c r="G698" s="86"/>
    </row>
    <row r="699">
      <c r="G699" s="86"/>
    </row>
    <row r="700">
      <c r="G700" s="86"/>
    </row>
    <row r="701">
      <c r="G701" s="86"/>
    </row>
    <row r="702">
      <c r="G702" s="86"/>
    </row>
    <row r="703">
      <c r="G703" s="86"/>
    </row>
    <row r="704">
      <c r="G704" s="86"/>
    </row>
    <row r="705">
      <c r="G705" s="86"/>
    </row>
    <row r="706">
      <c r="G706" s="86"/>
    </row>
    <row r="707">
      <c r="G707" s="86"/>
    </row>
    <row r="708">
      <c r="G708" s="86"/>
    </row>
    <row r="709">
      <c r="G709" s="86"/>
    </row>
    <row r="710">
      <c r="G710" s="86"/>
    </row>
    <row r="711">
      <c r="G711" s="86"/>
    </row>
    <row r="712">
      <c r="G712" s="86"/>
    </row>
    <row r="713">
      <c r="G713" s="86"/>
    </row>
    <row r="714">
      <c r="G714" s="86"/>
    </row>
    <row r="715">
      <c r="G715" s="86"/>
    </row>
    <row r="716">
      <c r="G716" s="86"/>
    </row>
    <row r="717">
      <c r="G717" s="86"/>
    </row>
    <row r="718">
      <c r="G718" s="86"/>
    </row>
    <row r="719">
      <c r="G719" s="86"/>
    </row>
    <row r="720">
      <c r="G720" s="86"/>
    </row>
    <row r="721">
      <c r="G721" s="86"/>
    </row>
    <row r="722">
      <c r="G722" s="86"/>
    </row>
    <row r="723">
      <c r="G723" s="86"/>
    </row>
    <row r="724">
      <c r="G724" s="86"/>
    </row>
    <row r="725">
      <c r="G725" s="86"/>
    </row>
    <row r="726">
      <c r="G726" s="86"/>
    </row>
    <row r="727">
      <c r="G727" s="86"/>
    </row>
    <row r="728">
      <c r="G728" s="86"/>
    </row>
    <row r="729">
      <c r="G729" s="86"/>
    </row>
    <row r="730">
      <c r="G730" s="86"/>
    </row>
    <row r="731">
      <c r="G731" s="86"/>
    </row>
    <row r="732">
      <c r="G732" s="86"/>
    </row>
    <row r="733">
      <c r="G733" s="86"/>
    </row>
    <row r="734">
      <c r="G734" s="86"/>
    </row>
    <row r="735">
      <c r="G735" s="86"/>
    </row>
    <row r="736">
      <c r="G736" s="86"/>
    </row>
    <row r="737">
      <c r="G737" s="86"/>
    </row>
    <row r="738">
      <c r="G738" s="86"/>
    </row>
    <row r="739">
      <c r="G739" s="86"/>
    </row>
    <row r="740">
      <c r="G740" s="86"/>
    </row>
    <row r="741">
      <c r="G741" s="86"/>
    </row>
    <row r="742">
      <c r="G742" s="86"/>
    </row>
    <row r="743">
      <c r="G743" s="86"/>
    </row>
    <row r="744">
      <c r="G744" s="86"/>
    </row>
    <row r="745">
      <c r="G745" s="86"/>
    </row>
    <row r="746">
      <c r="G746" s="86"/>
    </row>
    <row r="747">
      <c r="G747" s="86"/>
    </row>
    <row r="748">
      <c r="G748" s="86"/>
    </row>
    <row r="749">
      <c r="G749" s="86"/>
    </row>
    <row r="750">
      <c r="G750" s="86"/>
    </row>
    <row r="751">
      <c r="G751" s="86"/>
    </row>
    <row r="752">
      <c r="G752" s="86"/>
    </row>
    <row r="753">
      <c r="G753" s="86"/>
    </row>
    <row r="754">
      <c r="G754" s="86"/>
    </row>
    <row r="755">
      <c r="G755" s="86"/>
    </row>
    <row r="756">
      <c r="G756" s="86"/>
    </row>
    <row r="757">
      <c r="G757" s="86"/>
    </row>
    <row r="758">
      <c r="G758" s="86"/>
    </row>
    <row r="759">
      <c r="G759" s="86"/>
    </row>
    <row r="760">
      <c r="G760" s="86"/>
    </row>
    <row r="761">
      <c r="G761" s="86"/>
    </row>
    <row r="762">
      <c r="G762" s="86"/>
    </row>
    <row r="763">
      <c r="G763" s="86"/>
    </row>
    <row r="764">
      <c r="G764" s="86"/>
    </row>
    <row r="765">
      <c r="G765" s="86"/>
    </row>
    <row r="766">
      <c r="G766" s="86"/>
    </row>
    <row r="767">
      <c r="G767" s="86"/>
    </row>
    <row r="768">
      <c r="G768" s="86"/>
    </row>
    <row r="769">
      <c r="G769" s="86"/>
    </row>
    <row r="770">
      <c r="G770" s="86"/>
    </row>
    <row r="771">
      <c r="G771" s="86"/>
    </row>
    <row r="772">
      <c r="G772" s="86"/>
    </row>
    <row r="773">
      <c r="G773" s="86"/>
    </row>
    <row r="774">
      <c r="G774" s="86"/>
    </row>
    <row r="775">
      <c r="G775" s="86"/>
    </row>
    <row r="776">
      <c r="G776" s="86"/>
    </row>
    <row r="777">
      <c r="G777" s="86"/>
    </row>
    <row r="778">
      <c r="G778" s="86"/>
    </row>
    <row r="779">
      <c r="G779" s="86"/>
    </row>
    <row r="780">
      <c r="G780" s="86"/>
    </row>
    <row r="781">
      <c r="G781" s="86"/>
    </row>
    <row r="782">
      <c r="G782" s="86"/>
    </row>
    <row r="783">
      <c r="G783" s="86"/>
    </row>
    <row r="784">
      <c r="G784" s="86"/>
    </row>
    <row r="785">
      <c r="G785" s="86"/>
    </row>
    <row r="786">
      <c r="G786" s="86"/>
    </row>
    <row r="787">
      <c r="G787" s="86"/>
    </row>
    <row r="788">
      <c r="G788" s="86"/>
    </row>
    <row r="789">
      <c r="G789" s="86"/>
    </row>
    <row r="790">
      <c r="G790" s="86"/>
    </row>
    <row r="791">
      <c r="G791" s="86"/>
    </row>
    <row r="792">
      <c r="G792" s="86"/>
    </row>
    <row r="793">
      <c r="G793" s="86"/>
    </row>
    <row r="794">
      <c r="G794" s="86"/>
    </row>
    <row r="795">
      <c r="G795" s="86"/>
    </row>
    <row r="796">
      <c r="G796" s="86"/>
    </row>
    <row r="797">
      <c r="G797" s="86"/>
    </row>
    <row r="798">
      <c r="G798" s="86"/>
    </row>
    <row r="799">
      <c r="G799" s="86"/>
    </row>
    <row r="800">
      <c r="G800" s="86"/>
    </row>
    <row r="801">
      <c r="G801" s="86"/>
    </row>
    <row r="802">
      <c r="G802" s="86"/>
    </row>
    <row r="803">
      <c r="G803" s="86"/>
    </row>
    <row r="804">
      <c r="G804" s="86"/>
    </row>
    <row r="805">
      <c r="G805" s="86"/>
    </row>
    <row r="806">
      <c r="G806" s="86"/>
    </row>
    <row r="807">
      <c r="G807" s="86"/>
    </row>
    <row r="808">
      <c r="G808" s="86"/>
    </row>
    <row r="809">
      <c r="G809" s="86"/>
    </row>
    <row r="810">
      <c r="G810" s="86"/>
    </row>
    <row r="811">
      <c r="G811" s="86"/>
    </row>
    <row r="812">
      <c r="G812" s="86"/>
    </row>
    <row r="813">
      <c r="G813" s="86"/>
    </row>
    <row r="814">
      <c r="G814" s="86"/>
    </row>
    <row r="815">
      <c r="G815" s="86"/>
    </row>
    <row r="816">
      <c r="G816" s="86"/>
    </row>
    <row r="817">
      <c r="G817" s="86"/>
    </row>
    <row r="818">
      <c r="G818" s="86"/>
    </row>
    <row r="819">
      <c r="G819" s="86"/>
    </row>
    <row r="820">
      <c r="G820" s="86"/>
    </row>
    <row r="821">
      <c r="G821" s="86"/>
    </row>
    <row r="822">
      <c r="G822" s="86"/>
    </row>
    <row r="823">
      <c r="G823" s="86"/>
    </row>
    <row r="824">
      <c r="G824" s="86"/>
    </row>
    <row r="825">
      <c r="G825" s="86"/>
    </row>
    <row r="826">
      <c r="G826" s="86"/>
    </row>
    <row r="827">
      <c r="G827" s="86"/>
    </row>
    <row r="828">
      <c r="G828" s="86"/>
    </row>
    <row r="829">
      <c r="G829" s="86"/>
    </row>
    <row r="830">
      <c r="G830" s="86"/>
    </row>
    <row r="831">
      <c r="G831" s="86"/>
    </row>
    <row r="832">
      <c r="G832" s="86"/>
    </row>
    <row r="833">
      <c r="G833" s="86"/>
    </row>
    <row r="834">
      <c r="G834" s="86"/>
    </row>
    <row r="835">
      <c r="G835" s="86"/>
    </row>
    <row r="836">
      <c r="G836" s="86"/>
    </row>
    <row r="837">
      <c r="G837" s="86"/>
    </row>
    <row r="838">
      <c r="G838" s="86"/>
    </row>
    <row r="839">
      <c r="G839" s="86"/>
    </row>
    <row r="840">
      <c r="G840" s="86"/>
    </row>
    <row r="841">
      <c r="G841" s="86"/>
    </row>
    <row r="842">
      <c r="G842" s="86"/>
    </row>
    <row r="843">
      <c r="G843" s="86"/>
    </row>
    <row r="844">
      <c r="G844" s="86"/>
    </row>
    <row r="845">
      <c r="G845" s="86"/>
    </row>
    <row r="846">
      <c r="G846" s="86"/>
    </row>
    <row r="847">
      <c r="G847" s="86"/>
    </row>
    <row r="848">
      <c r="G848" s="86"/>
    </row>
    <row r="849">
      <c r="G849" s="86"/>
    </row>
    <row r="850">
      <c r="G850" s="86"/>
    </row>
    <row r="851">
      <c r="G851" s="86"/>
    </row>
    <row r="852">
      <c r="G852" s="86"/>
    </row>
    <row r="853">
      <c r="G853" s="86"/>
    </row>
    <row r="854">
      <c r="G854" s="86"/>
    </row>
    <row r="855">
      <c r="G855" s="86"/>
    </row>
    <row r="856">
      <c r="G856" s="86"/>
    </row>
    <row r="857">
      <c r="G857" s="86"/>
    </row>
    <row r="858">
      <c r="G858" s="86"/>
    </row>
    <row r="859">
      <c r="G859" s="86"/>
    </row>
    <row r="860">
      <c r="G860" s="86"/>
    </row>
    <row r="861">
      <c r="G861" s="86"/>
    </row>
    <row r="862">
      <c r="G862" s="86"/>
    </row>
    <row r="863">
      <c r="G863" s="86"/>
    </row>
    <row r="864">
      <c r="G864" s="86"/>
    </row>
    <row r="865">
      <c r="G865" s="86"/>
    </row>
    <row r="866">
      <c r="G866" s="86"/>
    </row>
    <row r="867">
      <c r="G867" s="86"/>
    </row>
    <row r="868">
      <c r="G868" s="86"/>
    </row>
    <row r="869">
      <c r="G869" s="86"/>
    </row>
    <row r="870">
      <c r="G870" s="86"/>
    </row>
    <row r="871">
      <c r="G871" s="86"/>
    </row>
    <row r="872">
      <c r="G872" s="86"/>
    </row>
    <row r="873">
      <c r="G873" s="86"/>
    </row>
    <row r="874">
      <c r="G874" s="86"/>
    </row>
    <row r="875">
      <c r="G875" s="86"/>
    </row>
    <row r="876">
      <c r="G876" s="86"/>
    </row>
    <row r="877">
      <c r="G877" s="86"/>
    </row>
    <row r="878">
      <c r="G878" s="86"/>
    </row>
    <row r="879">
      <c r="G879" s="86"/>
    </row>
    <row r="880">
      <c r="G880" s="86"/>
    </row>
    <row r="881">
      <c r="G881" s="86"/>
    </row>
    <row r="882">
      <c r="G882" s="86"/>
    </row>
    <row r="883">
      <c r="G883" s="86"/>
    </row>
    <row r="884">
      <c r="G884" s="86"/>
    </row>
    <row r="885">
      <c r="G885" s="86"/>
    </row>
    <row r="886">
      <c r="G886" s="86"/>
    </row>
    <row r="887">
      <c r="G887" s="86"/>
    </row>
    <row r="888">
      <c r="G888" s="86"/>
    </row>
    <row r="889">
      <c r="G889" s="86"/>
    </row>
    <row r="890">
      <c r="G890" s="86"/>
    </row>
    <row r="891">
      <c r="G891" s="86"/>
    </row>
    <row r="892">
      <c r="G892" s="86"/>
    </row>
    <row r="893">
      <c r="G893" s="86"/>
    </row>
    <row r="894">
      <c r="G894" s="86"/>
    </row>
    <row r="895">
      <c r="G895" s="86"/>
    </row>
    <row r="896">
      <c r="G896" s="86"/>
    </row>
    <row r="897">
      <c r="G897" s="86"/>
    </row>
    <row r="898">
      <c r="G898" s="86"/>
    </row>
    <row r="899">
      <c r="G899" s="86"/>
    </row>
    <row r="900">
      <c r="G900" s="86"/>
    </row>
    <row r="901">
      <c r="G901" s="86"/>
    </row>
    <row r="902">
      <c r="G902" s="86"/>
    </row>
    <row r="903">
      <c r="G903" s="86"/>
    </row>
    <row r="904">
      <c r="G904" s="86"/>
    </row>
    <row r="905">
      <c r="G905" s="86"/>
    </row>
    <row r="906">
      <c r="G906" s="86"/>
    </row>
    <row r="907">
      <c r="G907" s="86"/>
    </row>
    <row r="908">
      <c r="G908" s="86"/>
    </row>
    <row r="909">
      <c r="G909" s="86"/>
    </row>
    <row r="910">
      <c r="G910" s="86"/>
    </row>
    <row r="911">
      <c r="G911" s="86"/>
    </row>
    <row r="912">
      <c r="G912" s="86"/>
    </row>
    <row r="913">
      <c r="G913" s="86"/>
    </row>
    <row r="914">
      <c r="G914" s="86"/>
    </row>
    <row r="915">
      <c r="G915" s="86"/>
    </row>
    <row r="916">
      <c r="G916" s="86"/>
    </row>
    <row r="917">
      <c r="G917" s="86"/>
    </row>
    <row r="918">
      <c r="G918" s="86"/>
    </row>
    <row r="919">
      <c r="G919" s="86"/>
    </row>
    <row r="920">
      <c r="G920" s="86"/>
    </row>
    <row r="921">
      <c r="G921" s="86"/>
    </row>
    <row r="922">
      <c r="G922" s="86"/>
    </row>
    <row r="923">
      <c r="G923" s="86"/>
    </row>
    <row r="924">
      <c r="G924" s="86"/>
    </row>
    <row r="925">
      <c r="G925" s="86"/>
    </row>
    <row r="926">
      <c r="G926" s="86"/>
    </row>
    <row r="927">
      <c r="G927" s="86"/>
    </row>
    <row r="928">
      <c r="G928" s="86"/>
    </row>
    <row r="929">
      <c r="G929" s="86"/>
    </row>
    <row r="930">
      <c r="G930" s="86"/>
    </row>
    <row r="931">
      <c r="G931" s="86"/>
    </row>
    <row r="932">
      <c r="G932" s="86"/>
    </row>
    <row r="933">
      <c r="G933" s="86"/>
    </row>
    <row r="934">
      <c r="G934" s="86"/>
    </row>
    <row r="935">
      <c r="G935" s="86"/>
    </row>
    <row r="936">
      <c r="G936" s="86"/>
    </row>
    <row r="937">
      <c r="G937" s="86"/>
    </row>
    <row r="938">
      <c r="G938" s="86"/>
    </row>
    <row r="939">
      <c r="G939" s="86"/>
    </row>
    <row r="940">
      <c r="G940" s="86"/>
    </row>
    <row r="941">
      <c r="G941" s="86"/>
    </row>
    <row r="942">
      <c r="G942" s="86"/>
    </row>
    <row r="943">
      <c r="G943" s="86"/>
    </row>
    <row r="944">
      <c r="G944" s="86"/>
    </row>
    <row r="945">
      <c r="G945" s="86"/>
    </row>
    <row r="946">
      <c r="G946" s="86"/>
    </row>
    <row r="947">
      <c r="G947" s="86"/>
    </row>
    <row r="948">
      <c r="G948" s="86"/>
    </row>
    <row r="949">
      <c r="G949" s="86"/>
    </row>
    <row r="950">
      <c r="G950" s="86"/>
    </row>
    <row r="951">
      <c r="G951" s="86"/>
    </row>
    <row r="952">
      <c r="G952" s="86"/>
    </row>
    <row r="953">
      <c r="G953" s="86"/>
    </row>
    <row r="954">
      <c r="G954" s="86"/>
    </row>
    <row r="955">
      <c r="G955" s="86"/>
    </row>
    <row r="956">
      <c r="G956" s="86"/>
    </row>
    <row r="957">
      <c r="G957" s="86"/>
    </row>
    <row r="958">
      <c r="G958" s="86"/>
    </row>
    <row r="959">
      <c r="G959" s="86"/>
    </row>
    <row r="960">
      <c r="G960" s="86"/>
    </row>
    <row r="961">
      <c r="G961" s="86"/>
    </row>
    <row r="962">
      <c r="G962" s="86"/>
    </row>
    <row r="963">
      <c r="G963" s="86"/>
    </row>
    <row r="964">
      <c r="G964" s="86"/>
    </row>
    <row r="965">
      <c r="G965" s="86"/>
    </row>
    <row r="966">
      <c r="G966" s="86"/>
    </row>
    <row r="967">
      <c r="G967" s="86"/>
    </row>
    <row r="968">
      <c r="G968" s="86"/>
    </row>
    <row r="969">
      <c r="G969" s="86"/>
    </row>
    <row r="970">
      <c r="G970" s="86"/>
    </row>
    <row r="971">
      <c r="G971" s="86"/>
    </row>
    <row r="972">
      <c r="G972" s="86"/>
    </row>
    <row r="973">
      <c r="G973" s="86"/>
    </row>
    <row r="974">
      <c r="G974" s="86"/>
    </row>
    <row r="975">
      <c r="G975" s="86"/>
    </row>
    <row r="976">
      <c r="G976" s="86"/>
    </row>
    <row r="977">
      <c r="G977" s="86"/>
    </row>
    <row r="978">
      <c r="G978" s="86"/>
    </row>
    <row r="979">
      <c r="G979" s="86"/>
    </row>
    <row r="980">
      <c r="G980" s="86"/>
    </row>
    <row r="981">
      <c r="G981" s="86"/>
    </row>
    <row r="982">
      <c r="G982" s="86"/>
    </row>
    <row r="983">
      <c r="G983" s="86"/>
    </row>
    <row r="984">
      <c r="G984" s="86"/>
    </row>
    <row r="985">
      <c r="G985" s="86"/>
    </row>
    <row r="986">
      <c r="G986" s="86"/>
    </row>
    <row r="987">
      <c r="G987" s="86"/>
    </row>
    <row r="988">
      <c r="G988" s="86"/>
    </row>
    <row r="989">
      <c r="G989" s="86"/>
    </row>
    <row r="990">
      <c r="G990" s="86"/>
    </row>
    <row r="991">
      <c r="G991" s="86"/>
    </row>
    <row r="992">
      <c r="G992" s="86"/>
    </row>
    <row r="993">
      <c r="G993" s="86"/>
    </row>
    <row r="994">
      <c r="G994" s="86"/>
    </row>
    <row r="995">
      <c r="G995" s="86"/>
    </row>
    <row r="996">
      <c r="G996" s="86"/>
    </row>
    <row r="997">
      <c r="G997" s="86"/>
    </row>
    <row r="998">
      <c r="G998" s="86"/>
    </row>
    <row r="999">
      <c r="G999" s="86"/>
    </row>
    <row r="1000">
      <c r="G1000" s="86"/>
    </row>
  </sheetData>
  <mergeCells count="93">
    <mergeCell ref="R529:S529"/>
    <mergeCell ref="R530:S530"/>
    <mergeCell ref="G533:L533"/>
    <mergeCell ref="R534:S534"/>
    <mergeCell ref="R535:S535"/>
    <mergeCell ref="R536:S536"/>
    <mergeCell ref="R537:S537"/>
    <mergeCell ref="R538:S538"/>
    <mergeCell ref="R539:S539"/>
    <mergeCell ref="R540:S540"/>
    <mergeCell ref="R541:S541"/>
    <mergeCell ref="R543:S543"/>
    <mergeCell ref="R544:S544"/>
    <mergeCell ref="R545:S545"/>
    <mergeCell ref="R547:S547"/>
    <mergeCell ref="R548:S548"/>
    <mergeCell ref="R549:S549"/>
    <mergeCell ref="R551:S551"/>
    <mergeCell ref="R553:S553"/>
    <mergeCell ref="R554:S554"/>
    <mergeCell ref="R555:S555"/>
    <mergeCell ref="R557:S557"/>
    <mergeCell ref="R558:S558"/>
    <mergeCell ref="R559:S559"/>
    <mergeCell ref="R560:S560"/>
    <mergeCell ref="R561:S561"/>
    <mergeCell ref="R562:S562"/>
    <mergeCell ref="R563:S563"/>
    <mergeCell ref="R564:S564"/>
    <mergeCell ref="R565:S565"/>
    <mergeCell ref="R566:S566"/>
    <mergeCell ref="R567:S567"/>
    <mergeCell ref="R569:S569"/>
    <mergeCell ref="R570:S570"/>
    <mergeCell ref="R572:S572"/>
    <mergeCell ref="G595:L595"/>
    <mergeCell ref="G629:L629"/>
    <mergeCell ref="R575:S575"/>
    <mergeCell ref="R579:S579"/>
    <mergeCell ref="R580:S580"/>
    <mergeCell ref="R582:S582"/>
    <mergeCell ref="R584:S584"/>
    <mergeCell ref="R588:S588"/>
    <mergeCell ref="R589:S589"/>
    <mergeCell ref="G1:L1"/>
    <mergeCell ref="O265:P265"/>
    <mergeCell ref="G449:L449"/>
    <mergeCell ref="R451:S451"/>
    <mergeCell ref="R453:S453"/>
    <mergeCell ref="R454:S454"/>
    <mergeCell ref="R455:S455"/>
    <mergeCell ref="R456:S456"/>
    <mergeCell ref="R457:S457"/>
    <mergeCell ref="R458:S458"/>
    <mergeCell ref="R460:S460"/>
    <mergeCell ref="R461:S461"/>
    <mergeCell ref="R467:S467"/>
    <mergeCell ref="R468:S468"/>
    <mergeCell ref="R469:S469"/>
    <mergeCell ref="R470:S470"/>
    <mergeCell ref="R471:S471"/>
    <mergeCell ref="R472:S472"/>
    <mergeCell ref="R473:S473"/>
    <mergeCell ref="R474:S474"/>
    <mergeCell ref="R475:S475"/>
    <mergeCell ref="R479:S479"/>
    <mergeCell ref="R480:S480"/>
    <mergeCell ref="R481:S481"/>
    <mergeCell ref="R482:S482"/>
    <mergeCell ref="R483:S483"/>
    <mergeCell ref="R484:S484"/>
    <mergeCell ref="R486:S486"/>
    <mergeCell ref="R487:S487"/>
    <mergeCell ref="R488:S488"/>
    <mergeCell ref="R490:S490"/>
    <mergeCell ref="R491:S491"/>
    <mergeCell ref="R494:S494"/>
    <mergeCell ref="R495:S495"/>
    <mergeCell ref="R496:S496"/>
    <mergeCell ref="R497:S497"/>
    <mergeCell ref="R498:S498"/>
    <mergeCell ref="R499:S499"/>
    <mergeCell ref="R500:S500"/>
    <mergeCell ref="R501:S501"/>
    <mergeCell ref="R506:S506"/>
    <mergeCell ref="R507:S507"/>
    <mergeCell ref="R513:S513"/>
    <mergeCell ref="R519:S519"/>
    <mergeCell ref="R520:S520"/>
    <mergeCell ref="R521:S521"/>
    <mergeCell ref="R522:S522"/>
    <mergeCell ref="R523:S523"/>
    <mergeCell ref="R524:S52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38"/>
    <col customWidth="1" min="2" max="2" width="10.38"/>
    <col customWidth="1" min="3" max="3" width="30.75"/>
    <col customWidth="1" min="4" max="4" width="10.88"/>
    <col customWidth="1" min="5" max="5" width="6.75"/>
    <col customWidth="1" min="6" max="6" width="10.88"/>
    <col customWidth="1" min="7" max="7" width="13.38"/>
    <col customWidth="1" min="8" max="8" width="5.75"/>
    <col customWidth="1" min="9" max="9" width="26.75"/>
    <col customWidth="1" min="10" max="10" width="11.63"/>
    <col customWidth="1" min="11" max="11" width="19.63"/>
    <col customWidth="1" min="12" max="12" width="30.25"/>
    <col customWidth="1" min="13" max="13" width="10.13"/>
    <col customWidth="1" min="14" max="14" width="11.0"/>
    <col customWidth="1" hidden="1" min="15" max="15" width="14.0"/>
    <col customWidth="1" hidden="1" min="16" max="16" width="23.38"/>
    <col customWidth="1" hidden="1" min="17" max="17" width="9.63"/>
    <col customWidth="1" hidden="1" min="18" max="18" width="19.63"/>
  </cols>
  <sheetData>
    <row r="1">
      <c r="A1" s="259" t="s">
        <v>9359</v>
      </c>
      <c r="B1" s="260">
        <v>46014.0</v>
      </c>
      <c r="C1" s="261"/>
      <c r="D1" s="262" t="s">
        <v>9360</v>
      </c>
      <c r="F1" s="263">
        <v>46023.0</v>
      </c>
      <c r="G1" s="264"/>
      <c r="H1" s="261"/>
      <c r="I1" s="265"/>
      <c r="J1" s="266"/>
      <c r="K1" s="266"/>
      <c r="L1" s="267"/>
      <c r="M1" s="268" t="s">
        <v>9361</v>
      </c>
      <c r="N1" s="269"/>
      <c r="O1" s="270"/>
      <c r="P1" s="271"/>
      <c r="Q1" s="271"/>
      <c r="R1" s="271"/>
    </row>
    <row r="2">
      <c r="A2" s="272"/>
      <c r="B2" s="273"/>
      <c r="C2" s="274"/>
      <c r="D2" s="262"/>
      <c r="F2" s="273"/>
      <c r="G2" s="275"/>
      <c r="H2" s="274"/>
      <c r="I2" s="276"/>
      <c r="J2" s="277"/>
      <c r="K2" s="277"/>
      <c r="L2" s="278"/>
      <c r="M2" s="268" t="s">
        <v>9362</v>
      </c>
      <c r="N2" s="269"/>
      <c r="O2" s="270"/>
      <c r="P2" s="271"/>
      <c r="Q2" s="271"/>
      <c r="R2" s="271"/>
    </row>
    <row r="3">
      <c r="A3" s="279" t="s">
        <v>9363</v>
      </c>
      <c r="B3" s="279" t="s">
        <v>9364</v>
      </c>
      <c r="C3" s="280" t="s">
        <v>9365</v>
      </c>
      <c r="D3" s="281" t="s">
        <v>9366</v>
      </c>
      <c r="E3" s="279" t="s">
        <v>9367</v>
      </c>
      <c r="F3" s="279" t="s">
        <v>9368</v>
      </c>
      <c r="G3" s="279" t="s">
        <v>9369</v>
      </c>
      <c r="H3" s="279" t="s">
        <v>9370</v>
      </c>
      <c r="I3" s="280" t="s">
        <v>9371</v>
      </c>
      <c r="J3" s="280" t="s">
        <v>9372</v>
      </c>
      <c r="K3" s="280" t="s">
        <v>9373</v>
      </c>
      <c r="L3" s="280" t="s">
        <v>9374</v>
      </c>
      <c r="M3" s="282" t="s">
        <v>9375</v>
      </c>
      <c r="N3" s="282" t="s">
        <v>25</v>
      </c>
      <c r="O3" s="283" t="s">
        <v>9376</v>
      </c>
      <c r="P3" s="269"/>
      <c r="Q3" s="269"/>
      <c r="R3" s="270"/>
    </row>
    <row r="4">
      <c r="A4" s="284">
        <v>1.0</v>
      </c>
      <c r="B4" s="285" t="s">
        <v>9053</v>
      </c>
      <c r="C4" s="285" t="s">
        <v>9052</v>
      </c>
      <c r="D4" s="286" t="s">
        <v>9377</v>
      </c>
      <c r="E4" s="285" t="s">
        <v>6933</v>
      </c>
      <c r="F4" s="285" t="s">
        <v>9378</v>
      </c>
      <c r="G4" s="285" t="s">
        <v>9379</v>
      </c>
      <c r="H4" s="285" t="s">
        <v>9380</v>
      </c>
      <c r="I4" s="285" t="s">
        <v>9381</v>
      </c>
      <c r="J4" s="285" t="s">
        <v>5012</v>
      </c>
      <c r="K4" s="285" t="s">
        <v>9382</v>
      </c>
      <c r="L4" s="285" t="s">
        <v>3041</v>
      </c>
      <c r="M4" s="285" t="s">
        <v>9383</v>
      </c>
      <c r="N4" s="287" t="str">
        <f>IFERROR(
    IF(
        AND(
            VLOOKUP(B4, 'รายชื่อพนักงานลาออกพ้นสภาพ'!B:I, 8, FALSE)&lt;&gt;"ยกเลิกลาออก",
            VLOOKUP(B4, 'รายชื่อพนักงานลาออกพ้นสภาพ'!B:I, 7, FALSE)&lt;=TODAY()
        ),
        "ลาออกแล้ว",
        ""
    ),
"")</f>
        <v/>
      </c>
      <c r="O4" s="288" t="str">
        <f t="array" ref="O4">IFERROR(INDEX(PCRent!C:D, MATCH(F4 &amp; " " &amp; G4, PCRent!A:A &amp; " " &amp; PCRent!B:B, 0)), "")</f>
        <v/>
      </c>
      <c r="P4" s="289"/>
      <c r="Q4" s="290" t="str">
        <f t="array" ref="Q4">IFERROR(INDEX(MonitorRent!C:D, MATCH(F4 &amp; " " &amp; G4, MonitorRent!A:A &amp; " " &amp; MonitorRent!B:B, 0)), "")</f>
        <v/>
      </c>
      <c r="R4" s="291"/>
    </row>
    <row r="5">
      <c r="A5" s="284">
        <v>2.0</v>
      </c>
      <c r="B5" s="285" t="s">
        <v>9384</v>
      </c>
      <c r="C5" s="285" t="s">
        <v>1631</v>
      </c>
      <c r="D5" s="286" t="s">
        <v>9385</v>
      </c>
      <c r="E5" s="285" t="s">
        <v>6921</v>
      </c>
      <c r="F5" s="285" t="s">
        <v>9386</v>
      </c>
      <c r="G5" s="285" t="s">
        <v>9387</v>
      </c>
      <c r="H5" s="285" t="s">
        <v>9388</v>
      </c>
      <c r="I5" s="285" t="s">
        <v>9389</v>
      </c>
      <c r="J5" s="285" t="s">
        <v>5224</v>
      </c>
      <c r="K5" s="285" t="s">
        <v>9390</v>
      </c>
      <c r="L5" s="285" t="s">
        <v>8682</v>
      </c>
      <c r="M5" s="285" t="s">
        <v>9391</v>
      </c>
      <c r="N5" s="287" t="str">
        <f>IFERROR(
    IF(
        AND(
            VLOOKUP(B5, 'รายชื่อพนักงานลาออกพ้นสภาพ'!B:I, 8, FALSE)&lt;&gt;"ยกเลิกลาออก",
            VLOOKUP(B5, 'รายชื่อพนักงานลาออกพ้นสภาพ'!B:I, 7, FALSE)&lt;=TODAY()
        ),
        "ลาออกแล้ว",
        ""
    ),
"")</f>
        <v/>
      </c>
      <c r="O5" s="292" t="str">
        <f t="array" ref="O5">IFERROR(INDEX(PCRent!C:D, MATCH(F5 &amp; " " &amp; G5, PCRent!A:A &amp; " " &amp; PCRent!B:B, 0)), "")</f>
        <v/>
      </c>
      <c r="P5" s="293"/>
      <c r="Q5" s="294" t="str">
        <f t="array" ref="Q5">IFERROR(INDEX(MonitorRent!C:D, MATCH(F5 &amp; " " &amp; G5, MonitorRent!A:A &amp; " " &amp; MonitorRent!B:B, 0)), "")</f>
        <v/>
      </c>
      <c r="R5" s="295"/>
    </row>
    <row r="6">
      <c r="A6" s="284">
        <v>3.0</v>
      </c>
      <c r="B6" s="285" t="s">
        <v>8692</v>
      </c>
      <c r="C6" s="285" t="s">
        <v>1631</v>
      </c>
      <c r="D6" s="286" t="s">
        <v>9392</v>
      </c>
      <c r="E6" s="285" t="s">
        <v>6921</v>
      </c>
      <c r="F6" s="285" t="s">
        <v>9393</v>
      </c>
      <c r="G6" s="285" t="s">
        <v>9394</v>
      </c>
      <c r="H6" s="285" t="s">
        <v>9395</v>
      </c>
      <c r="I6" s="285" t="s">
        <v>9396</v>
      </c>
      <c r="J6" s="285" t="s">
        <v>5224</v>
      </c>
      <c r="K6" s="285" t="s">
        <v>4756</v>
      </c>
      <c r="L6" s="285" t="s">
        <v>8682</v>
      </c>
      <c r="M6" s="285" t="s">
        <v>9383</v>
      </c>
      <c r="N6" s="287" t="str">
        <f>IFERROR(
    IF(
        AND(
            VLOOKUP(B6, 'รายชื่อพนักงานลาออกพ้นสภาพ'!B:I, 8, FALSE)&lt;&gt;"ยกเลิกลาออก",
            VLOOKUP(B6, 'รายชื่อพนักงานลาออกพ้นสภาพ'!B:I, 7, FALSE)&lt;=TODAY()
        ),
        "ลาออกแล้ว",
        ""
    ),
"")</f>
        <v/>
      </c>
      <c r="O6" s="292" t="str">
        <f t="array" ref="O6:P6">IFERROR(INDEX(PCRent!C:D, MATCH(F6 &amp; " " &amp; G6, PCRent!A:A &amp; " " &amp; PCRent!B:B, 0)), "")</f>
        <v>SN:1RRKQ04</v>
      </c>
      <c r="P6" s="293" t="s">
        <v>7048</v>
      </c>
      <c r="Q6" s="294" t="str">
        <f t="array" ref="Q6:R6">IFERROR(INDEX(MonitorRent!C:D, MATCH(F6 &amp; " " &amp; G6, MonitorRent!A:A &amp; " " &amp; MonitorRent!B:B, 0)), "")</f>
        <v>SN:92D8XY3</v>
      </c>
      <c r="R6" s="295" t="s">
        <v>9397</v>
      </c>
    </row>
    <row r="7">
      <c r="A7" s="284">
        <v>4.0</v>
      </c>
      <c r="B7" s="285" t="s">
        <v>9398</v>
      </c>
      <c r="C7" s="285" t="s">
        <v>1631</v>
      </c>
      <c r="D7" s="286" t="s">
        <v>9399</v>
      </c>
      <c r="E7" s="285" t="s">
        <v>6933</v>
      </c>
      <c r="F7" s="285" t="s">
        <v>9400</v>
      </c>
      <c r="G7" s="285" t="s">
        <v>9401</v>
      </c>
      <c r="H7" s="285" t="s">
        <v>9402</v>
      </c>
      <c r="I7" s="285" t="s">
        <v>9403</v>
      </c>
      <c r="J7" s="285" t="s">
        <v>5224</v>
      </c>
      <c r="K7" s="285" t="s">
        <v>9404</v>
      </c>
      <c r="L7" s="285" t="s">
        <v>5890</v>
      </c>
      <c r="M7" s="285" t="s">
        <v>9391</v>
      </c>
      <c r="N7" s="287" t="str">
        <f>IFERROR(
    IF(
        AND(
            VLOOKUP(B7, 'รายชื่อพนักงานลาออกพ้นสภาพ'!B:I, 8, FALSE)&lt;&gt;"ยกเลิกลาออก",
            VLOOKUP(B7, 'รายชื่อพนักงานลาออกพ้นสภาพ'!B:I, 7, FALSE)&lt;=TODAY()
        ),
        "ลาออกแล้ว",
        ""
    ),
"")</f>
        <v/>
      </c>
      <c r="O7" s="292" t="str">
        <f t="array" ref="O7:P7">IFERROR(INDEX(PCRent!C:D, MATCH(F7 &amp; " " &amp; G7, PCRent!A:A &amp; " " &amp; PCRent!B:B, 0)), "")</f>
        <v>SN:MP2EJ2Y0</v>
      </c>
      <c r="P7" s="293" t="s">
        <v>6993</v>
      </c>
      <c r="Q7" s="294" t="str">
        <f t="array" ref="Q7">IFERROR(INDEX(MonitorRent!C:D, MATCH(F7 &amp; " " &amp; G7, MonitorRent!A:A &amp; " " &amp; MonitorRent!B:B, 0)), "")</f>
        <v/>
      </c>
      <c r="R7" s="295"/>
    </row>
    <row r="8">
      <c r="A8" s="284">
        <v>5.0</v>
      </c>
      <c r="B8" s="285" t="s">
        <v>8675</v>
      </c>
      <c r="C8" s="285" t="s">
        <v>1631</v>
      </c>
      <c r="D8" s="286" t="s">
        <v>9405</v>
      </c>
      <c r="E8" s="285" t="s">
        <v>6933</v>
      </c>
      <c r="F8" s="285" t="s">
        <v>9406</v>
      </c>
      <c r="G8" s="285" t="s">
        <v>9407</v>
      </c>
      <c r="H8" s="285" t="s">
        <v>9408</v>
      </c>
      <c r="I8" s="285" t="s">
        <v>9409</v>
      </c>
      <c r="J8" s="285" t="s">
        <v>5224</v>
      </c>
      <c r="K8" s="285" t="s">
        <v>4835</v>
      </c>
      <c r="L8" s="285" t="s">
        <v>8677</v>
      </c>
      <c r="M8" s="285" t="s">
        <v>9383</v>
      </c>
      <c r="N8" s="287" t="str">
        <f>IFERROR(
    IF(
        AND(
            VLOOKUP(B8, 'รายชื่อพนักงานลาออกพ้นสภาพ'!B:I, 8, FALSE)&lt;&gt;"ยกเลิกลาออก",
            VLOOKUP(B8, 'รายชื่อพนักงานลาออกพ้นสภาพ'!B:I, 7, FALSE)&lt;=TODAY()
        ),
        "ลาออกแล้ว",
        ""
    ),
"")</f>
        <v/>
      </c>
      <c r="O8" s="292" t="str">
        <f t="array" ref="O8:P8">IFERROR(INDEX(PCRent!C:D, MATCH(F8 &amp; " " &amp; G8, PCRent!A:A &amp; " " &amp; PCRent!B:B, 0)), "")</f>
        <v>SN:MP2EHYDS</v>
      </c>
      <c r="P8" s="293" t="s">
        <v>6993</v>
      </c>
      <c r="Q8" s="294" t="str">
        <f t="array" ref="Q8">IFERROR(INDEX(MonitorRent!C:D, MATCH(F8 &amp; " " &amp; G8, MonitorRent!A:A &amp; " " &amp; MonitorRent!B:B, 0)), "")</f>
        <v/>
      </c>
      <c r="R8" s="295"/>
    </row>
    <row r="9">
      <c r="A9" s="284">
        <v>6.0</v>
      </c>
      <c r="B9" s="285" t="s">
        <v>8672</v>
      </c>
      <c r="C9" s="285" t="s">
        <v>1631</v>
      </c>
      <c r="D9" s="286" t="s">
        <v>9410</v>
      </c>
      <c r="E9" s="285" t="s">
        <v>6921</v>
      </c>
      <c r="F9" s="285" t="s">
        <v>9411</v>
      </c>
      <c r="G9" s="285" t="s">
        <v>9412</v>
      </c>
      <c r="H9" s="285" t="s">
        <v>9413</v>
      </c>
      <c r="I9" s="285" t="s">
        <v>9414</v>
      </c>
      <c r="J9" s="285" t="s">
        <v>5224</v>
      </c>
      <c r="K9" s="285" t="s">
        <v>4756</v>
      </c>
      <c r="L9" s="285" t="s">
        <v>5890</v>
      </c>
      <c r="M9" s="285" t="s">
        <v>9383</v>
      </c>
      <c r="N9" s="287" t="str">
        <f>IFERROR(
    IF(
        AND(
            VLOOKUP(B9, 'รายชื่อพนักงานลาออกพ้นสภาพ'!B:I, 8, FALSE)&lt;&gt;"ยกเลิกลาออก",
            VLOOKUP(B9, 'รายชื่อพนักงานลาออกพ้นสภาพ'!B:I, 7, FALSE)&lt;=TODAY()
        ),
        "ลาออกแล้ว",
        ""
    ),
"")</f>
        <v/>
      </c>
      <c r="O9" s="292" t="str">
        <f t="array" ref="O9:P9">IFERROR(INDEX(PCRent!C:D, MATCH(F9 &amp; " " &amp; G9, PCRent!A:A &amp; " " &amp; PCRent!B:B, 0)), "")</f>
        <v>SN:PF39GKNJ</v>
      </c>
      <c r="P9" s="293" t="s">
        <v>7005</v>
      </c>
      <c r="Q9" s="294" t="str">
        <f t="array" ref="Q9">IFERROR(INDEX(MonitorRent!C:D, MATCH(F9 &amp; " " &amp; G9, MonitorRent!A:A &amp; " " &amp; MonitorRent!B:B, 0)), "")</f>
        <v/>
      </c>
      <c r="R9" s="295"/>
    </row>
    <row r="10">
      <c r="A10" s="284">
        <v>7.0</v>
      </c>
      <c r="B10" s="285" t="s">
        <v>8688</v>
      </c>
      <c r="C10" s="285" t="s">
        <v>1631</v>
      </c>
      <c r="D10" s="286" t="s">
        <v>9415</v>
      </c>
      <c r="E10" s="285" t="s">
        <v>6933</v>
      </c>
      <c r="F10" s="285" t="s">
        <v>9416</v>
      </c>
      <c r="G10" s="285" t="s">
        <v>9417</v>
      </c>
      <c r="H10" s="285" t="s">
        <v>9418</v>
      </c>
      <c r="I10" s="285" t="s">
        <v>9419</v>
      </c>
      <c r="J10" s="285" t="s">
        <v>5224</v>
      </c>
      <c r="K10" s="285" t="s">
        <v>4818</v>
      </c>
      <c r="L10" s="285" t="s">
        <v>5890</v>
      </c>
      <c r="M10" s="285" t="s">
        <v>9383</v>
      </c>
      <c r="N10" s="287" t="str">
        <f>IFERROR(
    IF(
        AND(
            VLOOKUP(B10, 'รายชื่อพนักงานลาออกพ้นสภาพ'!B:I, 8, FALSE)&lt;&gt;"ยกเลิกลาออก",
            VLOOKUP(B10, 'รายชื่อพนักงานลาออกพ้นสภาพ'!B:I, 7, FALSE)&lt;=TODAY()
        ),
        "ลาออกแล้ว",
        ""
    ),
"")</f>
        <v/>
      </c>
      <c r="O10" s="292" t="str">
        <f t="array" ref="O10:P10">IFERROR(INDEX(PCRent!C:D, MATCH(F10 &amp; " " &amp; G10, PCRent!A:A &amp; " " &amp; PCRent!B:B, 0)), "")</f>
        <v>SN:F4RD314</v>
      </c>
      <c r="P10" s="293" t="s">
        <v>7048</v>
      </c>
      <c r="Q10" s="294" t="str">
        <f t="array" ref="Q10:R10">IFERROR(INDEX(MonitorRent!C:D, MATCH(F10 &amp; " " &amp; G10, MonitorRent!A:A &amp; " " &amp; MonitorRent!B:B, 0)), "")</f>
        <v>SN:B6S5HZ3</v>
      </c>
      <c r="R10" s="295" t="s">
        <v>9397</v>
      </c>
    </row>
    <row r="11">
      <c r="A11" s="284">
        <v>8.0</v>
      </c>
      <c r="B11" s="285" t="s">
        <v>8667</v>
      </c>
      <c r="C11" s="285" t="s">
        <v>1631</v>
      </c>
      <c r="D11" s="286" t="s">
        <v>9420</v>
      </c>
      <c r="E11" s="285" t="s">
        <v>6933</v>
      </c>
      <c r="F11" s="285" t="s">
        <v>9421</v>
      </c>
      <c r="G11" s="285" t="s">
        <v>9422</v>
      </c>
      <c r="H11" s="285" t="s">
        <v>9423</v>
      </c>
      <c r="I11" s="285" t="s">
        <v>9424</v>
      </c>
      <c r="J11" s="285" t="s">
        <v>5224</v>
      </c>
      <c r="K11" s="285" t="s">
        <v>9425</v>
      </c>
      <c r="L11" s="285" t="s">
        <v>9426</v>
      </c>
      <c r="M11" s="285" t="s">
        <v>9383</v>
      </c>
      <c r="N11" s="287" t="str">
        <f>IFERROR(
    IF(
        AND(
            VLOOKUP(B11, 'รายชื่อพนักงานลาออกพ้นสภาพ'!B:I, 8, FALSE)&lt;&gt;"ยกเลิกลาออก",
            VLOOKUP(B11, 'รายชื่อพนักงานลาออกพ้นสภาพ'!B:I, 7, FALSE)&lt;=TODAY()
        ),
        "ลาออกแล้ว",
        ""
    ),
"")</f>
        <v/>
      </c>
      <c r="O11" s="292" t="str">
        <f t="array" ref="O11">IFERROR(INDEX(PCRent!C:D, MATCH(F11 &amp; " " &amp; G11, PCRent!A:A &amp; " " &amp; PCRent!B:B, 0)), "")</f>
        <v/>
      </c>
      <c r="P11" s="293"/>
      <c r="Q11" s="294" t="str">
        <f t="array" ref="Q11">IFERROR(INDEX(MonitorRent!C:D, MATCH(F11 &amp; " " &amp; G11, MonitorRent!A:A &amp; " " &amp; MonitorRent!B:B, 0)), "")</f>
        <v/>
      </c>
      <c r="R11" s="295"/>
    </row>
    <row r="12">
      <c r="A12" s="284">
        <v>9.0</v>
      </c>
      <c r="B12" s="285" t="s">
        <v>8680</v>
      </c>
      <c r="C12" s="285" t="s">
        <v>1631</v>
      </c>
      <c r="D12" s="286" t="s">
        <v>9427</v>
      </c>
      <c r="E12" s="285" t="s">
        <v>6921</v>
      </c>
      <c r="F12" s="285" t="s">
        <v>9428</v>
      </c>
      <c r="G12" s="285" t="s">
        <v>9429</v>
      </c>
      <c r="H12" s="285" t="s">
        <v>9430</v>
      </c>
      <c r="I12" s="285" t="s">
        <v>9431</v>
      </c>
      <c r="J12" s="285" t="s">
        <v>5224</v>
      </c>
      <c r="K12" s="285" t="s">
        <v>4818</v>
      </c>
      <c r="L12" s="285" t="s">
        <v>8682</v>
      </c>
      <c r="M12" s="285" t="s">
        <v>9383</v>
      </c>
      <c r="N12" s="287" t="str">
        <f>IFERROR(
    IF(
        AND(
            VLOOKUP(B12, 'รายชื่อพนักงานลาออกพ้นสภาพ'!B:I, 8, FALSE)&lt;&gt;"ยกเลิกลาออก",
            VLOOKUP(B12, 'รายชื่อพนักงานลาออกพ้นสภาพ'!B:I, 7, FALSE)&lt;=TODAY()
        ),
        "ลาออกแล้ว",
        ""
    ),
"")</f>
        <v/>
      </c>
      <c r="O12" s="292" t="str">
        <f t="array" ref="O12">IFERROR(INDEX(PCRent!C:D, MATCH(F12 &amp; " " &amp; G12, PCRent!A:A &amp; " " &amp; PCRent!B:B, 0)), "")</f>
        <v/>
      </c>
      <c r="P12" s="293"/>
      <c r="Q12" s="294" t="str">
        <f t="array" ref="Q12">IFERROR(INDEX(MonitorRent!C:D, MATCH(F12 &amp; " " &amp; G12, MonitorRent!A:A &amp; " " &amp; MonitorRent!B:B, 0)), "")</f>
        <v/>
      </c>
      <c r="R12" s="295"/>
    </row>
    <row r="13">
      <c r="A13" s="284">
        <v>10.0</v>
      </c>
      <c r="B13" s="285" t="s">
        <v>8685</v>
      </c>
      <c r="C13" s="285" t="s">
        <v>1631</v>
      </c>
      <c r="D13" s="286" t="s">
        <v>9432</v>
      </c>
      <c r="E13" s="285" t="s">
        <v>6921</v>
      </c>
      <c r="F13" s="285" t="s">
        <v>9433</v>
      </c>
      <c r="G13" s="285" t="s">
        <v>9434</v>
      </c>
      <c r="H13" s="285" t="s">
        <v>9435</v>
      </c>
      <c r="I13" s="285" t="s">
        <v>9436</v>
      </c>
      <c r="J13" s="285" t="s">
        <v>5224</v>
      </c>
      <c r="K13" s="285" t="s">
        <v>9404</v>
      </c>
      <c r="L13" s="285" t="s">
        <v>5890</v>
      </c>
      <c r="M13" s="285" t="s">
        <v>9383</v>
      </c>
      <c r="N13" s="287" t="str">
        <f>IFERROR(
    IF(
        AND(
            VLOOKUP(B13, 'รายชื่อพนักงานลาออกพ้นสภาพ'!B:I, 8, FALSE)&lt;&gt;"ยกเลิกลาออก",
            VLOOKUP(B13, 'รายชื่อพนักงานลาออกพ้นสภาพ'!B:I, 7, FALSE)&lt;=TODAY()
        ),
        "ลาออกแล้ว",
        ""
    ),
"")</f>
        <v/>
      </c>
      <c r="O13" s="292" t="str">
        <f t="array" ref="O13:P13">IFERROR(INDEX(PCRent!C:D, MATCH(F13 &amp; " " &amp; G13, PCRent!A:A &amp; " " &amp; PCRent!B:B, 0)), "")</f>
        <v>SN:MP2E2VRX</v>
      </c>
      <c r="P13" s="293" t="s">
        <v>6993</v>
      </c>
      <c r="Q13" s="294" t="str">
        <f t="array" ref="Q13">IFERROR(INDEX(MonitorRent!C:D, MATCH(F13 &amp; " " &amp; G13, MonitorRent!A:A &amp; " " &amp; MonitorRent!B:B, 0)), "")</f>
        <v/>
      </c>
      <c r="R13" s="295"/>
    </row>
    <row r="14">
      <c r="A14" s="284">
        <v>11.0</v>
      </c>
      <c r="B14" s="285" t="s">
        <v>9437</v>
      </c>
      <c r="C14" s="285" t="s">
        <v>9438</v>
      </c>
      <c r="D14" s="286" t="s">
        <v>9439</v>
      </c>
      <c r="E14" s="285" t="s">
        <v>6933</v>
      </c>
      <c r="F14" s="285" t="s">
        <v>9440</v>
      </c>
      <c r="G14" s="285" t="s">
        <v>9441</v>
      </c>
      <c r="H14" s="285" t="s">
        <v>9442</v>
      </c>
      <c r="I14" s="285" t="s">
        <v>9443</v>
      </c>
      <c r="J14" s="296"/>
      <c r="K14" s="285" t="s">
        <v>4805</v>
      </c>
      <c r="L14" s="285" t="s">
        <v>9444</v>
      </c>
      <c r="M14" s="285" t="s">
        <v>9391</v>
      </c>
      <c r="N14" s="287" t="str">
        <f>IFERROR(
    IF(
        AND(
            VLOOKUP(B14, 'รายชื่อพนักงานลาออกพ้นสภาพ'!B:I, 8, FALSE)&lt;&gt;"ยกเลิกลาออก",
            VLOOKUP(B14, 'รายชื่อพนักงานลาออกพ้นสภาพ'!B:I, 7, FALSE)&lt;=TODAY()
        ),
        "ลาออกแล้ว",
        ""
    ),
"")</f>
        <v/>
      </c>
      <c r="O14" s="292" t="str">
        <f t="array" ref="O14">IFERROR(INDEX(PCRent!C:D, MATCH(F14 &amp; " " &amp; G14, PCRent!A:A &amp; " " &amp; PCRent!B:B, 0)), "")</f>
        <v/>
      </c>
      <c r="P14" s="293"/>
      <c r="Q14" s="294" t="str">
        <f t="array" ref="Q14">IFERROR(INDEX(MonitorRent!C:D, MATCH(F14 &amp; " " &amp; G14, MonitorRent!A:A &amp; " " &amp; MonitorRent!B:B, 0)), "")</f>
        <v/>
      </c>
      <c r="R14" s="295"/>
    </row>
    <row r="15">
      <c r="A15" s="284">
        <v>12.0</v>
      </c>
      <c r="B15" s="285" t="s">
        <v>9445</v>
      </c>
      <c r="C15" s="285" t="s">
        <v>9438</v>
      </c>
      <c r="D15" s="286" t="s">
        <v>9446</v>
      </c>
      <c r="E15" s="285" t="s">
        <v>6933</v>
      </c>
      <c r="F15" s="285" t="s">
        <v>9447</v>
      </c>
      <c r="G15" s="285" t="s">
        <v>9448</v>
      </c>
      <c r="H15" s="285" t="s">
        <v>9449</v>
      </c>
      <c r="I15" s="285" t="s">
        <v>9450</v>
      </c>
      <c r="J15" s="285" t="s">
        <v>5224</v>
      </c>
      <c r="K15" s="285" t="s">
        <v>9451</v>
      </c>
      <c r="L15" s="285" t="s">
        <v>4549</v>
      </c>
      <c r="M15" s="285" t="s">
        <v>9383</v>
      </c>
      <c r="N15" s="287" t="str">
        <f>IFERROR(
    IF(
        AND(
            VLOOKUP(B15, 'รายชื่อพนักงานลาออกพ้นสภาพ'!B:I, 8, FALSE)&lt;&gt;"ยกเลิกลาออก",
            VLOOKUP(B15, 'รายชื่อพนักงานลาออกพ้นสภาพ'!B:I, 7, FALSE)&lt;=TODAY()
        ),
        "ลาออกแล้ว",
        ""
    ),
"")</f>
        <v/>
      </c>
      <c r="O15" s="292" t="str">
        <f t="array" ref="O15">IFERROR(INDEX(PCRent!C:D, MATCH(F15 &amp; " " &amp; G15, PCRent!A:A &amp; " " &amp; PCRent!B:B, 0)), "")</f>
        <v/>
      </c>
      <c r="P15" s="293"/>
      <c r="Q15" s="294" t="str">
        <f t="array" ref="Q15">IFERROR(INDEX(MonitorRent!C:D, MATCH(F15 &amp; " " &amp; G15, MonitorRent!A:A &amp; " " &amp; MonitorRent!B:B, 0)), "")</f>
        <v/>
      </c>
      <c r="R15" s="295"/>
    </row>
    <row r="16">
      <c r="A16" s="284">
        <v>13.0</v>
      </c>
      <c r="B16" s="285" t="s">
        <v>9452</v>
      </c>
      <c r="C16" s="285" t="s">
        <v>8796</v>
      </c>
      <c r="D16" s="286" t="s">
        <v>9453</v>
      </c>
      <c r="E16" s="285" t="s">
        <v>6921</v>
      </c>
      <c r="F16" s="285" t="s">
        <v>9454</v>
      </c>
      <c r="G16" s="285" t="s">
        <v>9455</v>
      </c>
      <c r="H16" s="285" t="s">
        <v>9456</v>
      </c>
      <c r="I16" s="285" t="s">
        <v>9457</v>
      </c>
      <c r="J16" s="285" t="s">
        <v>5224</v>
      </c>
      <c r="K16" s="285" t="s">
        <v>9458</v>
      </c>
      <c r="L16" s="285" t="s">
        <v>9459</v>
      </c>
      <c r="M16" s="285" t="s">
        <v>9383</v>
      </c>
      <c r="N16" s="287" t="str">
        <f>IFERROR(
    IF(
        AND(
            VLOOKUP(B16, 'รายชื่อพนักงานลาออกพ้นสภาพ'!B:I, 8, FALSE)&lt;&gt;"ยกเลิกลาออก",
            VLOOKUP(B16, 'รายชื่อพนักงานลาออกพ้นสภาพ'!B:I, 7, FALSE)&lt;=TODAY()
        ),
        "ลาออกแล้ว",
        ""
    ),
"")</f>
        <v/>
      </c>
      <c r="O16" s="292" t="str">
        <f t="array" ref="O16">IFERROR(INDEX(PCRent!C:D, MATCH(F16 &amp; " " &amp; G16, PCRent!A:A &amp; " " &amp; PCRent!B:B, 0)), "")</f>
        <v/>
      </c>
      <c r="P16" s="293"/>
      <c r="Q16" s="294" t="str">
        <f t="array" ref="Q16">IFERROR(INDEX(MonitorRent!C:D, MATCH(F16 &amp; " " &amp; G16, MonitorRent!A:A &amp; " " &amp; MonitorRent!B:B, 0)), "")</f>
        <v/>
      </c>
      <c r="R16" s="295"/>
    </row>
    <row r="17">
      <c r="A17" s="284">
        <v>14.0</v>
      </c>
      <c r="B17" s="285" t="s">
        <v>9460</v>
      </c>
      <c r="C17" s="285" t="s">
        <v>8796</v>
      </c>
      <c r="D17" s="286" t="s">
        <v>9461</v>
      </c>
      <c r="E17" s="285" t="s">
        <v>6933</v>
      </c>
      <c r="F17" s="285" t="s">
        <v>9462</v>
      </c>
      <c r="G17" s="285" t="s">
        <v>9463</v>
      </c>
      <c r="H17" s="285" t="s">
        <v>9464</v>
      </c>
      <c r="I17" s="285" t="s">
        <v>9465</v>
      </c>
      <c r="J17" s="285" t="s">
        <v>5012</v>
      </c>
      <c r="K17" s="285" t="s">
        <v>9466</v>
      </c>
      <c r="L17" s="285" t="s">
        <v>9467</v>
      </c>
      <c r="M17" s="285" t="s">
        <v>9383</v>
      </c>
      <c r="N17" s="287" t="str">
        <f>IFERROR(
    IF(
        AND(
            VLOOKUP(B17, 'รายชื่อพนักงานลาออกพ้นสภาพ'!B:I, 8, FALSE)&lt;&gt;"ยกเลิกลาออก",
            VLOOKUP(B17, 'รายชื่อพนักงานลาออกพ้นสภาพ'!B:I, 7, FALSE)&lt;=TODAY()
        ),
        "ลาออกแล้ว",
        ""
    ),
"")</f>
        <v/>
      </c>
      <c r="O17" s="292" t="str">
        <f t="array" ref="O17">IFERROR(INDEX(PCRent!C:D, MATCH(F17 &amp; " " &amp; G17, PCRent!A:A &amp; " " &amp; PCRent!B:B, 0)), "")</f>
        <v/>
      </c>
      <c r="P17" s="293"/>
      <c r="Q17" s="294" t="str">
        <f t="array" ref="Q17">IFERROR(INDEX(MonitorRent!C:D, MATCH(F17 &amp; " " &amp; G17, MonitorRent!A:A &amp; " " &amp; MonitorRent!B:B, 0)), "")</f>
        <v/>
      </c>
      <c r="R17" s="295"/>
    </row>
    <row r="18">
      <c r="A18" s="284">
        <v>15.0</v>
      </c>
      <c r="B18" s="285" t="s">
        <v>9468</v>
      </c>
      <c r="C18" s="285" t="s">
        <v>8796</v>
      </c>
      <c r="D18" s="286" t="s">
        <v>9469</v>
      </c>
      <c r="E18" s="285" t="s">
        <v>6933</v>
      </c>
      <c r="F18" s="285" t="s">
        <v>9470</v>
      </c>
      <c r="G18" s="285" t="s">
        <v>9471</v>
      </c>
      <c r="H18" s="285" t="s">
        <v>9472</v>
      </c>
      <c r="I18" s="285" t="s">
        <v>9473</v>
      </c>
      <c r="J18" s="285" t="s">
        <v>5012</v>
      </c>
      <c r="K18" s="285" t="s">
        <v>9474</v>
      </c>
      <c r="L18" s="285" t="s">
        <v>9475</v>
      </c>
      <c r="M18" s="285" t="s">
        <v>9383</v>
      </c>
      <c r="N18" s="287" t="str">
        <f>IFERROR(
    IF(
        AND(
            VLOOKUP(B18, 'รายชื่อพนักงานลาออกพ้นสภาพ'!B:I, 8, FALSE)&lt;&gt;"ยกเลิกลาออก",
            VLOOKUP(B18, 'รายชื่อพนักงานลาออกพ้นสภาพ'!B:I, 7, FALSE)&lt;=TODAY()
        ),
        "ลาออกแล้ว",
        ""
    ),
"")</f>
        <v/>
      </c>
      <c r="O18" s="292" t="str">
        <f t="array" ref="O18">IFERROR(INDEX(PCRent!C:D, MATCH(F18 &amp; " " &amp; G18, PCRent!A:A &amp; " " &amp; PCRent!B:B, 0)), "")</f>
        <v/>
      </c>
      <c r="P18" s="293"/>
      <c r="Q18" s="294" t="str">
        <f t="array" ref="Q18">IFERROR(INDEX(MonitorRent!C:D, MATCH(F18 &amp; " " &amp; G18, MonitorRent!A:A &amp; " " &amp; MonitorRent!B:B, 0)), "")</f>
        <v/>
      </c>
      <c r="R18" s="295"/>
    </row>
    <row r="19">
      <c r="A19" s="284">
        <v>16.0</v>
      </c>
      <c r="B19" s="285" t="s">
        <v>9280</v>
      </c>
      <c r="C19" s="285" t="s">
        <v>8796</v>
      </c>
      <c r="D19" s="286" t="s">
        <v>9476</v>
      </c>
      <c r="E19" s="285" t="s">
        <v>6921</v>
      </c>
      <c r="F19" s="285" t="s">
        <v>9477</v>
      </c>
      <c r="G19" s="285" t="s">
        <v>9478</v>
      </c>
      <c r="H19" s="285" t="s">
        <v>9479</v>
      </c>
      <c r="I19" s="285" t="s">
        <v>9480</v>
      </c>
      <c r="J19" s="285" t="s">
        <v>5224</v>
      </c>
      <c r="K19" s="285" t="s">
        <v>4835</v>
      </c>
      <c r="L19" s="285" t="s">
        <v>9282</v>
      </c>
      <c r="M19" s="285" t="s">
        <v>9383</v>
      </c>
      <c r="N19" s="287" t="str">
        <f>IFERROR(
    IF(
        AND(
            VLOOKUP(B19, 'รายชื่อพนักงานลาออกพ้นสภาพ'!B:I, 8, FALSE)&lt;&gt;"ยกเลิกลาออก",
            VLOOKUP(B19, 'รายชื่อพนักงานลาออกพ้นสภาพ'!B:I, 7, FALSE)&lt;=TODAY()
        ),
        "ลาออกแล้ว",
        ""
    ),
"")</f>
        <v/>
      </c>
      <c r="O19" s="292" t="str">
        <f t="array" ref="O19:P19">IFERROR(INDEX(PCRent!C:D, MATCH(F19 &amp; " " &amp; G19, PCRent!A:A &amp; " " &amp; PCRent!B:B, 0)), "")</f>
        <v>SN:JSYNPY3</v>
      </c>
      <c r="P19" s="293" t="s">
        <v>7048</v>
      </c>
      <c r="Q19" s="294" t="str">
        <f t="array" ref="Q19:R19">IFERROR(INDEX(MonitorRent!C:D, MATCH(F19 &amp; " " &amp; G19, MonitorRent!A:A &amp; " " &amp; MonitorRent!B:B, 0)), "")</f>
        <v>SN:9W652Y3</v>
      </c>
      <c r="R19" s="295" t="s">
        <v>7050</v>
      </c>
    </row>
    <row r="20">
      <c r="A20" s="284">
        <v>17.0</v>
      </c>
      <c r="B20" s="285" t="s">
        <v>9481</v>
      </c>
      <c r="C20" s="285" t="s">
        <v>8796</v>
      </c>
      <c r="D20" s="286" t="s">
        <v>9482</v>
      </c>
      <c r="E20" s="285" t="s">
        <v>6933</v>
      </c>
      <c r="F20" s="285" t="s">
        <v>9483</v>
      </c>
      <c r="G20" s="285" t="s">
        <v>9484</v>
      </c>
      <c r="H20" s="285" t="s">
        <v>9485</v>
      </c>
      <c r="I20" s="285" t="s">
        <v>9486</v>
      </c>
      <c r="J20" s="285" t="s">
        <v>5012</v>
      </c>
      <c r="K20" s="285" t="s">
        <v>9466</v>
      </c>
      <c r="L20" s="285" t="s">
        <v>9487</v>
      </c>
      <c r="M20" s="285" t="s">
        <v>9383</v>
      </c>
      <c r="N20" s="287" t="str">
        <f>IFERROR(
    IF(
        AND(
            VLOOKUP(B20, 'รายชื่อพนักงานลาออกพ้นสภาพ'!B:I, 8, FALSE)&lt;&gt;"ยกเลิกลาออก",
            VLOOKUP(B20, 'รายชื่อพนักงานลาออกพ้นสภาพ'!B:I, 7, FALSE)&lt;=TODAY()
        ),
        "ลาออกแล้ว",
        ""
    ),
"")</f>
        <v/>
      </c>
      <c r="O20" s="292" t="str">
        <f t="array" ref="O20">IFERROR(INDEX(PCRent!C:D, MATCH(F20 &amp; " " &amp; G20, PCRent!A:A &amp; " " &amp; PCRent!B:B, 0)), "")</f>
        <v/>
      </c>
      <c r="P20" s="293"/>
      <c r="Q20" s="294" t="str">
        <f t="array" ref="Q20">IFERROR(INDEX(MonitorRent!C:D, MATCH(F20 &amp; " " &amp; G20, MonitorRent!A:A &amp; " " &amp; MonitorRent!B:B, 0)), "")</f>
        <v/>
      </c>
      <c r="R20" s="295"/>
    </row>
    <row r="21">
      <c r="A21" s="284">
        <v>18.0</v>
      </c>
      <c r="B21" s="285" t="s">
        <v>9488</v>
      </c>
      <c r="C21" s="285" t="s">
        <v>8796</v>
      </c>
      <c r="D21" s="286" t="s">
        <v>9489</v>
      </c>
      <c r="E21" s="285" t="s">
        <v>6933</v>
      </c>
      <c r="F21" s="285" t="s">
        <v>9490</v>
      </c>
      <c r="G21" s="285" t="s">
        <v>9491</v>
      </c>
      <c r="H21" s="285" t="s">
        <v>9492</v>
      </c>
      <c r="I21" s="285" t="s">
        <v>9493</v>
      </c>
      <c r="J21" s="285" t="s">
        <v>5224</v>
      </c>
      <c r="K21" s="285" t="s">
        <v>4805</v>
      </c>
      <c r="L21" s="285" t="s">
        <v>8155</v>
      </c>
      <c r="M21" s="285" t="s">
        <v>9383</v>
      </c>
      <c r="N21" s="287" t="str">
        <f>IFERROR(
    IF(
        AND(
            VLOOKUP(B21, 'รายชื่อพนักงานลาออกพ้นสภาพ'!B:I, 8, FALSE)&lt;&gt;"ยกเลิกลาออก",
            VLOOKUP(B21, 'รายชื่อพนักงานลาออกพ้นสภาพ'!B:I, 7, FALSE)&lt;=TODAY()
        ),
        "ลาออกแล้ว",
        ""
    ),
"")</f>
        <v/>
      </c>
      <c r="O21" s="292" t="str">
        <f t="array" ref="O21">IFERROR(INDEX(PCRent!C:D, MATCH(F21 &amp; " " &amp; G21, PCRent!A:A &amp; " " &amp; PCRent!B:B, 0)), "")</f>
        <v/>
      </c>
      <c r="P21" s="293"/>
      <c r="Q21" s="294" t="str">
        <f t="array" ref="Q21">IFERROR(INDEX(MonitorRent!C:D, MATCH(F21 &amp; " " &amp; G21, MonitorRent!A:A &amp; " " &amp; MonitorRent!B:B, 0)), "")</f>
        <v/>
      </c>
      <c r="R21" s="295"/>
    </row>
    <row r="22">
      <c r="A22" s="284">
        <v>19.0</v>
      </c>
      <c r="B22" s="285" t="s">
        <v>9494</v>
      </c>
      <c r="C22" s="285" t="s">
        <v>8796</v>
      </c>
      <c r="D22" s="286" t="s">
        <v>9495</v>
      </c>
      <c r="E22" s="285" t="s">
        <v>9496</v>
      </c>
      <c r="F22" s="285" t="s">
        <v>9497</v>
      </c>
      <c r="G22" s="285" t="s">
        <v>9498</v>
      </c>
      <c r="H22" s="296"/>
      <c r="I22" s="296"/>
      <c r="J22" s="285" t="s">
        <v>5224</v>
      </c>
      <c r="K22" s="285" t="s">
        <v>9425</v>
      </c>
      <c r="L22" s="285" t="s">
        <v>8655</v>
      </c>
      <c r="M22" s="285" t="s">
        <v>9383</v>
      </c>
      <c r="N22" s="287" t="str">
        <f>IFERROR(
    IF(
        AND(
            VLOOKUP(B22, 'รายชื่อพนักงานลาออกพ้นสภาพ'!B:I, 8, FALSE)&lt;&gt;"ยกเลิกลาออก",
            VLOOKUP(B22, 'รายชื่อพนักงานลาออกพ้นสภาพ'!B:I, 7, FALSE)&lt;=TODAY()
        ),
        "ลาออกแล้ว",
        ""
    ),
"")</f>
        <v/>
      </c>
      <c r="O22" s="292" t="str">
        <f t="array" ref="O22">IFERROR(INDEX(PCRent!C:D, MATCH(F22 &amp; " " &amp; G22, PCRent!A:A &amp; " " &amp; PCRent!B:B, 0)), "")</f>
        <v/>
      </c>
      <c r="P22" s="293"/>
      <c r="Q22" s="294" t="str">
        <f t="array" ref="Q22">IFERROR(INDEX(MonitorRent!C:D, MATCH(F22 &amp; " " &amp; G22, MonitorRent!A:A &amp; " " &amp; MonitorRent!B:B, 0)), "")</f>
        <v/>
      </c>
      <c r="R22" s="295"/>
    </row>
    <row r="23">
      <c r="A23" s="284">
        <v>20.0</v>
      </c>
      <c r="B23" s="285" t="s">
        <v>9271</v>
      </c>
      <c r="C23" s="285" t="s">
        <v>8796</v>
      </c>
      <c r="D23" s="286" t="s">
        <v>9405</v>
      </c>
      <c r="E23" s="285" t="s">
        <v>6921</v>
      </c>
      <c r="F23" s="285" t="s">
        <v>9499</v>
      </c>
      <c r="G23" s="285" t="s">
        <v>9500</v>
      </c>
      <c r="H23" s="285" t="s">
        <v>9501</v>
      </c>
      <c r="I23" s="285" t="s">
        <v>9502</v>
      </c>
      <c r="J23" s="285" t="s">
        <v>5224</v>
      </c>
      <c r="K23" s="285" t="s">
        <v>9503</v>
      </c>
      <c r="L23" s="285" t="s">
        <v>3179</v>
      </c>
      <c r="M23" s="285" t="s">
        <v>9383</v>
      </c>
      <c r="N23" s="287" t="str">
        <f>IFERROR(
    IF(
        AND(
            VLOOKUP(B23, 'รายชื่อพนักงานลาออกพ้นสภาพ'!B:I, 8, FALSE)&lt;&gt;"ยกเลิกลาออก",
            VLOOKUP(B23, 'รายชื่อพนักงานลาออกพ้นสภาพ'!B:I, 7, FALSE)&lt;=TODAY()
        ),
        "ลาออกแล้ว",
        ""
    ),
"")</f>
        <v/>
      </c>
      <c r="O23" s="292" t="str">
        <f t="array" ref="O23">IFERROR(INDEX(PCRent!C:D, MATCH(F23 &amp; " " &amp; G23, PCRent!A:A &amp; " " &amp; PCRent!B:B, 0)), "")</f>
        <v/>
      </c>
      <c r="P23" s="293"/>
      <c r="Q23" s="294" t="str">
        <f t="array" ref="Q23">IFERROR(INDEX(MonitorRent!C:D, MATCH(F23 &amp; " " &amp; G23, MonitorRent!A:A &amp; " " &amp; MonitorRent!B:B, 0)), "")</f>
        <v/>
      </c>
      <c r="R23" s="295"/>
    </row>
    <row r="24">
      <c r="A24" s="284">
        <v>21.0</v>
      </c>
      <c r="B24" s="285" t="s">
        <v>9252</v>
      </c>
      <c r="C24" s="285" t="s">
        <v>8796</v>
      </c>
      <c r="D24" s="286" t="s">
        <v>9504</v>
      </c>
      <c r="E24" s="285" t="s">
        <v>6921</v>
      </c>
      <c r="F24" s="285" t="s">
        <v>9505</v>
      </c>
      <c r="G24" s="285" t="s">
        <v>9506</v>
      </c>
      <c r="H24" s="285" t="s">
        <v>9507</v>
      </c>
      <c r="I24" s="285" t="s">
        <v>9508</v>
      </c>
      <c r="J24" s="285" t="s">
        <v>5224</v>
      </c>
      <c r="K24" s="285" t="s">
        <v>9509</v>
      </c>
      <c r="L24" s="285" t="s">
        <v>9246</v>
      </c>
      <c r="M24" s="285" t="s">
        <v>9383</v>
      </c>
      <c r="N24" s="287" t="str">
        <f>IFERROR(
    IF(
        AND(
            VLOOKUP(B24, 'รายชื่อพนักงานลาออกพ้นสภาพ'!B:I, 8, FALSE)&lt;&gt;"ยกเลิกลาออก",
            VLOOKUP(B24, 'รายชื่อพนักงานลาออกพ้นสภาพ'!B:I, 7, FALSE)&lt;=TODAY()
        ),
        "ลาออกแล้ว",
        ""
    ),
"")</f>
        <v/>
      </c>
      <c r="O24" s="292" t="str">
        <f t="array" ref="O24">IFERROR(INDEX(PCRent!C:D, MATCH(F24 &amp; " " &amp; G24, PCRent!A:A &amp; " " &amp; PCRent!B:B, 0)), "")</f>
        <v/>
      </c>
      <c r="P24" s="293"/>
      <c r="Q24" s="294" t="str">
        <f t="array" ref="Q24">IFERROR(INDEX(MonitorRent!C:D, MATCH(F24 &amp; " " &amp; G24, MonitorRent!A:A &amp; " " &amp; MonitorRent!B:B, 0)), "")</f>
        <v/>
      </c>
      <c r="R24" s="295"/>
    </row>
    <row r="25">
      <c r="A25" s="284">
        <v>22.0</v>
      </c>
      <c r="B25" s="285" t="s">
        <v>9510</v>
      </c>
      <c r="C25" s="285" t="s">
        <v>8796</v>
      </c>
      <c r="D25" s="286" t="s">
        <v>9511</v>
      </c>
      <c r="E25" s="285" t="s">
        <v>6921</v>
      </c>
      <c r="F25" s="285" t="s">
        <v>9512</v>
      </c>
      <c r="G25" s="285" t="s">
        <v>9513</v>
      </c>
      <c r="H25" s="285" t="s">
        <v>9514</v>
      </c>
      <c r="I25" s="285" t="s">
        <v>5569</v>
      </c>
      <c r="J25" s="285" t="s">
        <v>5224</v>
      </c>
      <c r="K25" s="285" t="s">
        <v>9515</v>
      </c>
      <c r="L25" s="285" t="s">
        <v>5123</v>
      </c>
      <c r="M25" s="285" t="s">
        <v>9383</v>
      </c>
      <c r="N25" s="287" t="str">
        <f>IFERROR(
    IF(
        AND(
            VLOOKUP(B25, 'รายชื่อพนักงานลาออกพ้นสภาพ'!B:I, 8, FALSE)&lt;&gt;"ยกเลิกลาออก",
            VLOOKUP(B25, 'รายชื่อพนักงานลาออกพ้นสภาพ'!B:I, 7, FALSE)&lt;=TODAY()
        ),
        "ลาออกแล้ว",
        ""
    ),
"")</f>
        <v/>
      </c>
      <c r="O25" s="292" t="str">
        <f t="array" ref="O25:P25">IFERROR(INDEX(PCRent!C:D, MATCH(F25 &amp; " " &amp; G25, PCRent!A:A &amp; " " &amp; PCRent!B:B, 0)), "")</f>
        <v>SN:MP2ET6A7</v>
      </c>
      <c r="P25" s="293" t="s">
        <v>7070</v>
      </c>
      <c r="Q25" s="294" t="str">
        <f t="array" ref="Q25">IFERROR(INDEX(MonitorRent!C:D, MATCH(F25 &amp; " " &amp; G25, MonitorRent!A:A &amp; " " &amp; MonitorRent!B:B, 0)), "")</f>
        <v/>
      </c>
      <c r="R25" s="295"/>
    </row>
    <row r="26">
      <c r="A26" s="284">
        <v>23.0</v>
      </c>
      <c r="B26" s="285" t="s">
        <v>9516</v>
      </c>
      <c r="C26" s="285" t="s">
        <v>8796</v>
      </c>
      <c r="D26" s="286" t="s">
        <v>9517</v>
      </c>
      <c r="E26" s="285" t="s">
        <v>6921</v>
      </c>
      <c r="F26" s="285" t="s">
        <v>9512</v>
      </c>
      <c r="G26" s="285" t="s">
        <v>9518</v>
      </c>
      <c r="H26" s="285" t="s">
        <v>9519</v>
      </c>
      <c r="I26" s="285" t="s">
        <v>9520</v>
      </c>
      <c r="J26" s="285" t="s">
        <v>5012</v>
      </c>
      <c r="K26" s="285" t="s">
        <v>9521</v>
      </c>
      <c r="L26" s="285" t="s">
        <v>9487</v>
      </c>
      <c r="M26" s="285" t="s">
        <v>9383</v>
      </c>
      <c r="N26" s="287" t="str">
        <f>IFERROR(
    IF(
        AND(
            VLOOKUP(B26, 'รายชื่อพนักงานลาออกพ้นสภาพ'!B:I, 8, FALSE)&lt;&gt;"ยกเลิกลาออก",
            VLOOKUP(B26, 'รายชื่อพนักงานลาออกพ้นสภาพ'!B:I, 7, FALSE)&lt;=TODAY()
        ),
        "ลาออกแล้ว",
        ""
    ),
"")</f>
        <v/>
      </c>
      <c r="O26" s="292" t="str">
        <f t="array" ref="O26">IFERROR(INDEX(PCRent!C:D, MATCH(F26 &amp; " " &amp; G26, PCRent!A:A &amp; " " &amp; PCRent!B:B, 0)), "")</f>
        <v/>
      </c>
      <c r="P26" s="293"/>
      <c r="Q26" s="294" t="str">
        <f t="array" ref="Q26">IFERROR(INDEX(MonitorRent!C:D, MATCH(F26 &amp; " " &amp; G26, MonitorRent!A:A &amp; " " &amp; MonitorRent!B:B, 0)), "")</f>
        <v/>
      </c>
      <c r="R26" s="295"/>
    </row>
    <row r="27">
      <c r="A27" s="284">
        <v>24.0</v>
      </c>
      <c r="B27" s="285" t="s">
        <v>9522</v>
      </c>
      <c r="C27" s="285" t="s">
        <v>8796</v>
      </c>
      <c r="D27" s="286" t="s">
        <v>9523</v>
      </c>
      <c r="E27" s="285" t="s">
        <v>6921</v>
      </c>
      <c r="F27" s="285" t="s">
        <v>9524</v>
      </c>
      <c r="G27" s="285" t="s">
        <v>9525</v>
      </c>
      <c r="H27" s="285" t="s">
        <v>9526</v>
      </c>
      <c r="I27" s="285" t="s">
        <v>9527</v>
      </c>
      <c r="J27" s="285" t="s">
        <v>5224</v>
      </c>
      <c r="K27" s="285" t="s">
        <v>4898</v>
      </c>
      <c r="L27" s="285" t="s">
        <v>5123</v>
      </c>
      <c r="M27" s="285" t="s">
        <v>9383</v>
      </c>
      <c r="N27" s="287" t="str">
        <f>IFERROR(
    IF(
        AND(
            VLOOKUP(B27, 'รายชื่อพนักงานลาออกพ้นสภาพ'!B:I, 8, FALSE)&lt;&gt;"ยกเลิกลาออก",
            VLOOKUP(B27, 'รายชื่อพนักงานลาออกพ้นสภาพ'!B:I, 7, FALSE)&lt;=TODAY()
        ),
        "ลาออกแล้ว",
        ""
    ),
"")</f>
        <v/>
      </c>
      <c r="O27" s="292" t="str">
        <f t="array" ref="O27:P27">IFERROR(INDEX(PCRent!C:D, MATCH(F27 &amp; " " &amp; G27, PCRent!A:A &amp; " " &amp; PCRent!B:B, 0)), "")</f>
        <v>SN:C02K507X125F</v>
      </c>
      <c r="P27" s="293" t="s">
        <v>8070</v>
      </c>
      <c r="Q27" s="294" t="str">
        <f t="array" ref="Q27">IFERROR(INDEX(MonitorRent!C:D, MATCH(F27 &amp; " " &amp; G27, MonitorRent!A:A &amp; " " &amp; MonitorRent!B:B, 0)), "")</f>
        <v/>
      </c>
      <c r="R27" s="295"/>
    </row>
    <row r="28">
      <c r="A28" s="284">
        <v>25.0</v>
      </c>
      <c r="B28" s="285" t="s">
        <v>9313</v>
      </c>
      <c r="C28" s="285" t="s">
        <v>8796</v>
      </c>
      <c r="D28" s="286" t="s">
        <v>9528</v>
      </c>
      <c r="E28" s="285" t="s">
        <v>6921</v>
      </c>
      <c r="F28" s="285" t="s">
        <v>9529</v>
      </c>
      <c r="G28" s="285" t="s">
        <v>9530</v>
      </c>
      <c r="H28" s="285" t="s">
        <v>9531</v>
      </c>
      <c r="I28" s="285" t="s">
        <v>9532</v>
      </c>
      <c r="J28" s="285" t="s">
        <v>5224</v>
      </c>
      <c r="K28" s="285" t="s">
        <v>9533</v>
      </c>
      <c r="L28" s="285" t="s">
        <v>9322</v>
      </c>
      <c r="M28" s="285" t="s">
        <v>9383</v>
      </c>
      <c r="N28" s="287" t="str">
        <f>IFERROR(
    IF(
        AND(
            VLOOKUP(B28, 'รายชื่อพนักงานลาออกพ้นสภาพ'!B:I, 8, FALSE)&lt;&gt;"ยกเลิกลาออก",
            VLOOKUP(B28, 'รายชื่อพนักงานลาออกพ้นสภาพ'!B:I, 7, FALSE)&lt;=TODAY()
        ),
        "ลาออกแล้ว",
        ""
    ),
"")</f>
        <v/>
      </c>
      <c r="O28" s="292" t="str">
        <f t="array" ref="O28:P28">IFERROR(INDEX(PCRent!C:D, MATCH(F28 &amp; " " &amp; G28, PCRent!A:A &amp; " " &amp; PCRent!B:B, 0)), "")</f>
        <v>SN:9SRKQ04</v>
      </c>
      <c r="P28" s="293" t="s">
        <v>7048</v>
      </c>
      <c r="Q28" s="294" t="str">
        <f t="array" ref="Q28:R28">IFERROR(INDEX(MonitorRent!C:D, MATCH(F28 &amp; " " &amp; G28, MonitorRent!A:A &amp; " " &amp; MonitorRent!B:B, 0)), "")</f>
        <v>SN:9GV9XY3</v>
      </c>
      <c r="R28" s="295" t="s">
        <v>9397</v>
      </c>
    </row>
    <row r="29">
      <c r="A29" s="284">
        <v>26.0</v>
      </c>
      <c r="B29" s="285" t="s">
        <v>9534</v>
      </c>
      <c r="C29" s="285" t="s">
        <v>8796</v>
      </c>
      <c r="D29" s="286" t="s">
        <v>9535</v>
      </c>
      <c r="E29" s="285" t="s">
        <v>6933</v>
      </c>
      <c r="F29" s="285" t="s">
        <v>9536</v>
      </c>
      <c r="G29" s="285" t="s">
        <v>9537</v>
      </c>
      <c r="H29" s="285" t="s">
        <v>9538</v>
      </c>
      <c r="I29" s="285" t="s">
        <v>9539</v>
      </c>
      <c r="J29" s="285" t="s">
        <v>5012</v>
      </c>
      <c r="K29" s="285" t="s">
        <v>9466</v>
      </c>
      <c r="L29" s="285" t="s">
        <v>9540</v>
      </c>
      <c r="M29" s="285" t="s">
        <v>9383</v>
      </c>
      <c r="N29" s="287" t="str">
        <f>IFERROR(
    IF(
        AND(
            VLOOKUP(B29, 'รายชื่อพนักงานลาออกพ้นสภาพ'!B:I, 8, FALSE)&lt;&gt;"ยกเลิกลาออก",
            VLOOKUP(B29, 'รายชื่อพนักงานลาออกพ้นสภาพ'!B:I, 7, FALSE)&lt;=TODAY()
        ),
        "ลาออกแล้ว",
        ""
    ),
"")</f>
        <v/>
      </c>
      <c r="O29" s="292" t="str">
        <f t="array" ref="O29">IFERROR(INDEX(PCRent!C:D, MATCH(F29 &amp; " " &amp; G29, PCRent!A:A &amp; " " &amp; PCRent!B:B, 0)), "")</f>
        <v/>
      </c>
      <c r="P29" s="293"/>
      <c r="Q29" s="294" t="str">
        <f t="array" ref="Q29">IFERROR(INDEX(MonitorRent!C:D, MATCH(F29 &amp; " " &amp; G29, MonitorRent!A:A &amp; " " &amp; MonitorRent!B:B, 0)), "")</f>
        <v/>
      </c>
      <c r="R29" s="295"/>
    </row>
    <row r="30">
      <c r="A30" s="284">
        <v>27.0</v>
      </c>
      <c r="B30" s="285" t="s">
        <v>9320</v>
      </c>
      <c r="C30" s="285" t="s">
        <v>8796</v>
      </c>
      <c r="D30" s="286" t="s">
        <v>9541</v>
      </c>
      <c r="E30" s="285" t="s">
        <v>6921</v>
      </c>
      <c r="F30" s="285" t="s">
        <v>9542</v>
      </c>
      <c r="G30" s="285" t="s">
        <v>9543</v>
      </c>
      <c r="H30" s="285" t="s">
        <v>9544</v>
      </c>
      <c r="I30" s="285" t="s">
        <v>9545</v>
      </c>
      <c r="J30" s="285" t="s">
        <v>5224</v>
      </c>
      <c r="K30" s="285" t="s">
        <v>4749</v>
      </c>
      <c r="L30" s="285" t="s">
        <v>9322</v>
      </c>
      <c r="M30" s="285" t="s">
        <v>9383</v>
      </c>
      <c r="N30" s="287" t="str">
        <f>IFERROR(
    IF(
        AND(
            VLOOKUP(B30, 'รายชื่อพนักงานลาออกพ้นสภาพ'!B:I, 8, FALSE)&lt;&gt;"ยกเลิกลาออก",
            VLOOKUP(B30, 'รายชื่อพนักงานลาออกพ้นสภาพ'!B:I, 7, FALSE)&lt;=TODAY()
        ),
        "ลาออกแล้ว",
        ""
    ),
"")</f>
        <v/>
      </c>
      <c r="O30" s="292" t="str">
        <f t="array" ref="O30">IFERROR(INDEX(PCRent!C:D, MATCH(F30 &amp; " " &amp; G30, PCRent!A:A &amp; " " &amp; PCRent!B:B, 0)), "")</f>
        <v/>
      </c>
      <c r="P30" s="293"/>
      <c r="Q30" s="294" t="str">
        <f t="array" ref="Q30">IFERROR(INDEX(MonitorRent!C:D, MATCH(F30 &amp; " " &amp; G30, MonitorRent!A:A &amp; " " &amp; MonitorRent!B:B, 0)), "")</f>
        <v/>
      </c>
      <c r="R30" s="295"/>
    </row>
    <row r="31">
      <c r="A31" s="284">
        <v>28.0</v>
      </c>
      <c r="B31" s="285" t="s">
        <v>9546</v>
      </c>
      <c r="C31" s="285" t="s">
        <v>8796</v>
      </c>
      <c r="D31" s="286" t="s">
        <v>9547</v>
      </c>
      <c r="E31" s="285" t="s">
        <v>6921</v>
      </c>
      <c r="F31" s="285" t="s">
        <v>9548</v>
      </c>
      <c r="G31" s="285" t="s">
        <v>9549</v>
      </c>
      <c r="H31" s="285" t="s">
        <v>9550</v>
      </c>
      <c r="I31" s="285" t="s">
        <v>9551</v>
      </c>
      <c r="J31" s="285" t="s">
        <v>5224</v>
      </c>
      <c r="K31" s="285" t="s">
        <v>9552</v>
      </c>
      <c r="L31" s="285" t="s">
        <v>9553</v>
      </c>
      <c r="M31" s="285" t="s">
        <v>9391</v>
      </c>
      <c r="N31" s="287" t="str">
        <f>IFERROR(
    IF(
        AND(
            VLOOKUP(B31, 'รายชื่อพนักงานลาออกพ้นสภาพ'!B:I, 8, FALSE)&lt;&gt;"ยกเลิกลาออก",
            VLOOKUP(B31, 'รายชื่อพนักงานลาออกพ้นสภาพ'!B:I, 7, FALSE)&lt;=TODAY()
        ),
        "ลาออกแล้ว",
        ""
    ),
"")</f>
        <v/>
      </c>
      <c r="O31" s="292" t="str">
        <f t="array" ref="O31:P31">IFERROR(INDEX(PCRent!C:D, MATCH(F31 &amp; " " &amp; G31, PCRent!A:A &amp; " " &amp; PCRent!B:B, 0)), "")</f>
        <v>SN:85ZNPY3</v>
      </c>
      <c r="P31" s="293" t="s">
        <v>7048</v>
      </c>
      <c r="Q31" s="294" t="str">
        <f t="array" ref="Q31:R31">IFERROR(INDEX(MonitorRent!C:D, MATCH(F31 &amp; " " &amp; G31, MonitorRent!A:A &amp; " " &amp; MonitorRent!B:B, 0)), "")</f>
        <v>SN:C7RNYV3</v>
      </c>
      <c r="R31" s="295" t="s">
        <v>7050</v>
      </c>
    </row>
    <row r="32">
      <c r="A32" s="284">
        <v>29.0</v>
      </c>
      <c r="B32" s="285" t="s">
        <v>9554</v>
      </c>
      <c r="C32" s="285" t="s">
        <v>8796</v>
      </c>
      <c r="D32" s="286" t="s">
        <v>9555</v>
      </c>
      <c r="E32" s="285" t="s">
        <v>6921</v>
      </c>
      <c r="F32" s="285" t="s">
        <v>9556</v>
      </c>
      <c r="G32" s="285" t="s">
        <v>9557</v>
      </c>
      <c r="H32" s="285" t="s">
        <v>9558</v>
      </c>
      <c r="I32" s="285" t="s">
        <v>9559</v>
      </c>
      <c r="J32" s="285" t="s">
        <v>5012</v>
      </c>
      <c r="K32" s="285" t="s">
        <v>9560</v>
      </c>
      <c r="L32" s="285" t="s">
        <v>9561</v>
      </c>
      <c r="M32" s="285" t="s">
        <v>9383</v>
      </c>
      <c r="N32" s="287" t="str">
        <f>IFERROR(
    IF(
        AND(
            VLOOKUP(B32, 'รายชื่อพนักงานลาออกพ้นสภาพ'!B:I, 8, FALSE)&lt;&gt;"ยกเลิกลาออก",
            VLOOKUP(B32, 'รายชื่อพนักงานลาออกพ้นสภาพ'!B:I, 7, FALSE)&lt;=TODAY()
        ),
        "ลาออกแล้ว",
        ""
    ),
"")</f>
        <v/>
      </c>
      <c r="O32" s="292" t="str">
        <f t="array" ref="O32:P32">IFERROR(INDEX(PCRent!C:D, MATCH(F32 &amp; " " &amp; G32, PCRent!A:A &amp; " " &amp; PCRent!B:B, 0)), "")</f>
        <v>SN:MP2AN2CT</v>
      </c>
      <c r="P32" s="293" t="s">
        <v>9562</v>
      </c>
      <c r="Q32" s="294" t="str">
        <f t="array" ref="Q32">IFERROR(INDEX(MonitorRent!C:D, MATCH(F32 &amp; " " &amp; G32, MonitorRent!A:A &amp; " " &amp; MonitorRent!B:B, 0)), "")</f>
        <v/>
      </c>
      <c r="R32" s="295"/>
    </row>
    <row r="33">
      <c r="A33" s="284">
        <v>30.0</v>
      </c>
      <c r="B33" s="285" t="s">
        <v>9233</v>
      </c>
      <c r="C33" s="285" t="s">
        <v>8796</v>
      </c>
      <c r="D33" s="286" t="s">
        <v>9563</v>
      </c>
      <c r="E33" s="285" t="s">
        <v>6921</v>
      </c>
      <c r="F33" s="285" t="s">
        <v>9564</v>
      </c>
      <c r="G33" s="285" t="s">
        <v>9565</v>
      </c>
      <c r="H33" s="285" t="s">
        <v>9566</v>
      </c>
      <c r="I33" s="285" t="s">
        <v>9567</v>
      </c>
      <c r="J33" s="285" t="s">
        <v>5224</v>
      </c>
      <c r="K33" s="285" t="s">
        <v>9568</v>
      </c>
      <c r="L33" s="285" t="s">
        <v>1167</v>
      </c>
      <c r="M33" s="285" t="s">
        <v>9383</v>
      </c>
      <c r="N33" s="287" t="str">
        <f>IFERROR(
    IF(
        AND(
            VLOOKUP(B33, 'รายชื่อพนักงานลาออกพ้นสภาพ'!B:I, 8, FALSE)&lt;&gt;"ยกเลิกลาออก",
            VLOOKUP(B33, 'รายชื่อพนักงานลาออกพ้นสภาพ'!B:I, 7, FALSE)&lt;=TODAY()
        ),
        "ลาออกแล้ว",
        ""
    ),
"")</f>
        <v/>
      </c>
      <c r="O33" s="292" t="str">
        <f t="array" ref="O33">IFERROR(INDEX(PCRent!C:D, MATCH(F33 &amp; " " &amp; G33, PCRent!A:A &amp; " " &amp; PCRent!B:B, 0)), "")</f>
        <v/>
      </c>
      <c r="P33" s="293"/>
      <c r="Q33" s="294" t="str">
        <f t="array" ref="Q33">IFERROR(INDEX(MonitorRent!C:D, MATCH(F33 &amp; " " &amp; G33, MonitorRent!A:A &amp; " " &amp; MonitorRent!B:B, 0)), "")</f>
        <v/>
      </c>
      <c r="R33" s="295"/>
    </row>
    <row r="34">
      <c r="A34" s="284">
        <v>31.0</v>
      </c>
      <c r="B34" s="285" t="s">
        <v>9569</v>
      </c>
      <c r="C34" s="285" t="s">
        <v>8796</v>
      </c>
      <c r="D34" s="286" t="s">
        <v>9570</v>
      </c>
      <c r="E34" s="285" t="s">
        <v>6921</v>
      </c>
      <c r="F34" s="285" t="s">
        <v>9571</v>
      </c>
      <c r="G34" s="285" t="s">
        <v>9572</v>
      </c>
      <c r="H34" s="285" t="s">
        <v>9573</v>
      </c>
      <c r="I34" s="285" t="s">
        <v>9574</v>
      </c>
      <c r="J34" s="285" t="s">
        <v>5224</v>
      </c>
      <c r="K34" s="285" t="s">
        <v>2300</v>
      </c>
      <c r="L34" s="285" t="s">
        <v>9241</v>
      </c>
      <c r="M34" s="285" t="s">
        <v>9383</v>
      </c>
      <c r="N34" s="287" t="str">
        <f>IFERROR(
    IF(
        AND(
            VLOOKUP(B34, 'รายชื่อพนักงานลาออกพ้นสภาพ'!B:I, 8, FALSE)&lt;&gt;"ยกเลิกลาออก",
            VLOOKUP(B34, 'รายชื่อพนักงานลาออกพ้นสภาพ'!B:I, 7, FALSE)&lt;=TODAY()
        ),
        "ลาออกแล้ว",
        ""
    ),
"")</f>
        <v/>
      </c>
      <c r="O34" s="292" t="str">
        <f t="array" ref="O34:P34">IFERROR(INDEX(PCRent!C:D, MATCH(F34 &amp; " " &amp; G34, PCRent!A:A &amp; " " &amp; PCRent!B:B, 0)), "")</f>
        <v>SN:4RRKQ04</v>
      </c>
      <c r="P34" s="293" t="s">
        <v>7048</v>
      </c>
      <c r="Q34" s="294" t="str">
        <f t="array" ref="Q34:R34">IFERROR(INDEX(MonitorRent!C:D, MATCH(F34 &amp; " " &amp; G34, MonitorRent!A:A &amp; " " &amp; MonitorRent!B:B, 0)), "")</f>
        <v>SN:9GC8XY3</v>
      </c>
      <c r="R34" s="295" t="s">
        <v>9397</v>
      </c>
    </row>
    <row r="35">
      <c r="A35" s="284">
        <v>32.0</v>
      </c>
      <c r="B35" s="285" t="s">
        <v>9575</v>
      </c>
      <c r="C35" s="285" t="s">
        <v>8796</v>
      </c>
      <c r="D35" s="286" t="s">
        <v>9576</v>
      </c>
      <c r="E35" s="285" t="s">
        <v>6933</v>
      </c>
      <c r="F35" s="285" t="s">
        <v>9577</v>
      </c>
      <c r="G35" s="285" t="s">
        <v>9578</v>
      </c>
      <c r="H35" s="285" t="s">
        <v>9579</v>
      </c>
      <c r="I35" s="285" t="s">
        <v>9580</v>
      </c>
      <c r="J35" s="285" t="s">
        <v>5012</v>
      </c>
      <c r="K35" s="285" t="s">
        <v>9560</v>
      </c>
      <c r="L35" s="285" t="s">
        <v>9581</v>
      </c>
      <c r="M35" s="285" t="s">
        <v>9383</v>
      </c>
      <c r="N35" s="287" t="str">
        <f>IFERROR(
    IF(
        AND(
            VLOOKUP(B35, 'รายชื่อพนักงานลาออกพ้นสภาพ'!B:I, 8, FALSE)&lt;&gt;"ยกเลิกลาออก",
            VLOOKUP(B35, 'รายชื่อพนักงานลาออกพ้นสภาพ'!B:I, 7, FALSE)&lt;=TODAY()
        ),
        "ลาออกแล้ว",
        ""
    ),
"")</f>
        <v/>
      </c>
      <c r="O35" s="292" t="str">
        <f t="array" ref="O35:P35">IFERROR(INDEX(PCRent!C:D, MATCH(F35 &amp; " " &amp; G35, PCRent!A:A &amp; " " &amp; PCRent!B:B, 0)), "")</f>
        <v>SN:MP2AN2CN</v>
      </c>
      <c r="P35" s="293" t="s">
        <v>9562</v>
      </c>
      <c r="Q35" s="294" t="str">
        <f t="array" ref="Q35:R35">IFERROR(INDEX(MonitorRent!C:D, MATCH(F35 &amp; " " &amp; G35, MonitorRent!A:A &amp; " " &amp; MonitorRent!B:B, 0)), "")</f>
        <v>SN:8Z49XY3</v>
      </c>
      <c r="R35" s="295" t="s">
        <v>7050</v>
      </c>
    </row>
    <row r="36">
      <c r="A36" s="284">
        <v>33.0</v>
      </c>
      <c r="B36" s="285" t="s">
        <v>9582</v>
      </c>
      <c r="C36" s="285" t="s">
        <v>8796</v>
      </c>
      <c r="D36" s="286" t="s">
        <v>9583</v>
      </c>
      <c r="E36" s="285" t="s">
        <v>6921</v>
      </c>
      <c r="F36" s="285" t="s">
        <v>9584</v>
      </c>
      <c r="G36" s="285" t="s">
        <v>9585</v>
      </c>
      <c r="H36" s="285" t="s">
        <v>9586</v>
      </c>
      <c r="I36" s="285" t="s">
        <v>9587</v>
      </c>
      <c r="J36" s="285" t="s">
        <v>5012</v>
      </c>
      <c r="K36" s="285" t="s">
        <v>9588</v>
      </c>
      <c r="L36" s="285" t="s">
        <v>9475</v>
      </c>
      <c r="M36" s="285" t="s">
        <v>9383</v>
      </c>
      <c r="N36" s="287" t="str">
        <f>IFERROR(
    IF(
        AND(
            VLOOKUP(B36, 'รายชื่อพนักงานลาออกพ้นสภาพ'!B:I, 8, FALSE)&lt;&gt;"ยกเลิกลาออก",
            VLOOKUP(B36, 'รายชื่อพนักงานลาออกพ้นสภาพ'!B:I, 7, FALSE)&lt;=TODAY()
        ),
        "ลาออกแล้ว",
        ""
    ),
"")</f>
        <v/>
      </c>
      <c r="O36" s="292" t="str">
        <f t="array" ref="O36">IFERROR(INDEX(PCRent!C:D, MATCH(F36 &amp; " " &amp; G36, PCRent!A:A &amp; " " &amp; PCRent!B:B, 0)), "")</f>
        <v/>
      </c>
      <c r="P36" s="293"/>
      <c r="Q36" s="294" t="str">
        <f t="array" ref="Q36">IFERROR(INDEX(MonitorRent!C:D, MATCH(F36 &amp; " " &amp; G36, MonitorRent!A:A &amp; " " &amp; MonitorRent!B:B, 0)), "")</f>
        <v/>
      </c>
      <c r="R36" s="295"/>
    </row>
    <row r="37">
      <c r="A37" s="284">
        <v>34.0</v>
      </c>
      <c r="B37" s="285" t="s">
        <v>311</v>
      </c>
      <c r="C37" s="285" t="s">
        <v>8796</v>
      </c>
      <c r="D37" s="286" t="s">
        <v>9589</v>
      </c>
      <c r="E37" s="285" t="s">
        <v>6933</v>
      </c>
      <c r="F37" s="285" t="s">
        <v>9590</v>
      </c>
      <c r="G37" s="285" t="s">
        <v>9591</v>
      </c>
      <c r="H37" s="285" t="s">
        <v>9592</v>
      </c>
      <c r="I37" s="285" t="s">
        <v>315</v>
      </c>
      <c r="J37" s="285" t="s">
        <v>5012</v>
      </c>
      <c r="K37" s="285" t="s">
        <v>9474</v>
      </c>
      <c r="L37" s="285" t="s">
        <v>9475</v>
      </c>
      <c r="M37" s="285" t="s">
        <v>9383</v>
      </c>
      <c r="N37" s="287" t="str">
        <f>IFERROR(
    IF(
        AND(
            VLOOKUP(B37, 'รายชื่อพนักงานลาออกพ้นสภาพ'!B:I, 8, FALSE)&lt;&gt;"ยกเลิกลาออก",
            VLOOKUP(B37, 'รายชื่อพนักงานลาออกพ้นสภาพ'!B:I, 7, FALSE)&lt;=TODAY()
        ),
        "ลาออกแล้ว",
        ""
    ),
"")</f>
        <v>ลาออกแล้ว</v>
      </c>
      <c r="O37" s="292" t="str">
        <f t="array" ref="O37">IFERROR(INDEX(PCRent!C:D, MATCH(F37 &amp; " " &amp; G37, PCRent!A:A &amp; " " &amp; PCRent!B:B, 0)), "")</f>
        <v/>
      </c>
      <c r="P37" s="293"/>
      <c r="Q37" s="294" t="str">
        <f t="array" ref="Q37">IFERROR(INDEX(MonitorRent!C:D, MATCH(F37 &amp; " " &amp; G37, MonitorRent!A:A &amp; " " &amp; MonitorRent!B:B, 0)), "")</f>
        <v/>
      </c>
      <c r="R37" s="295"/>
    </row>
    <row r="38">
      <c r="A38" s="284">
        <v>35.0</v>
      </c>
      <c r="B38" s="285" t="s">
        <v>9593</v>
      </c>
      <c r="C38" s="285" t="s">
        <v>8796</v>
      </c>
      <c r="D38" s="286" t="s">
        <v>9594</v>
      </c>
      <c r="E38" s="285" t="s">
        <v>6933</v>
      </c>
      <c r="F38" s="285" t="s">
        <v>9595</v>
      </c>
      <c r="G38" s="285" t="s">
        <v>9596</v>
      </c>
      <c r="H38" s="285" t="s">
        <v>9597</v>
      </c>
      <c r="I38" s="285" t="s">
        <v>9598</v>
      </c>
      <c r="J38" s="285" t="s">
        <v>5224</v>
      </c>
      <c r="K38" s="285" t="s">
        <v>4749</v>
      </c>
      <c r="L38" s="285" t="s">
        <v>9599</v>
      </c>
      <c r="M38" s="285" t="s">
        <v>9383</v>
      </c>
      <c r="N38" s="287" t="str">
        <f>IFERROR(
    IF(
        AND(
            VLOOKUP(B38, 'รายชื่อพนักงานลาออกพ้นสภาพ'!B:I, 8, FALSE)&lt;&gt;"ยกเลิกลาออก",
            VLOOKUP(B38, 'รายชื่อพนักงานลาออกพ้นสภาพ'!B:I, 7, FALSE)&lt;=TODAY()
        ),
        "ลาออกแล้ว",
        ""
    ),
"")</f>
        <v/>
      </c>
      <c r="O38" s="292" t="str">
        <f t="array" ref="O38">IFERROR(INDEX(PCRent!C:D, MATCH(F38 &amp; " " &amp; G38, PCRent!A:A &amp; " " &amp; PCRent!B:B, 0)), "")</f>
        <v/>
      </c>
      <c r="P38" s="293"/>
      <c r="Q38" s="294" t="str">
        <f t="array" ref="Q38">IFERROR(INDEX(MonitorRent!C:D, MATCH(F38 &amp; " " &amp; G38, MonitorRent!A:A &amp; " " &amp; MonitorRent!B:B, 0)), "")</f>
        <v/>
      </c>
      <c r="R38" s="295"/>
    </row>
    <row r="39">
      <c r="A39" s="284">
        <v>36.0</v>
      </c>
      <c r="B39" s="285" t="s">
        <v>9600</v>
      </c>
      <c r="C39" s="285" t="s">
        <v>8796</v>
      </c>
      <c r="D39" s="286" t="s">
        <v>9601</v>
      </c>
      <c r="E39" s="285" t="s">
        <v>6933</v>
      </c>
      <c r="F39" s="285" t="s">
        <v>9602</v>
      </c>
      <c r="G39" s="285" t="s">
        <v>9603</v>
      </c>
      <c r="H39" s="296"/>
      <c r="I39" s="296"/>
      <c r="J39" s="285" t="s">
        <v>5224</v>
      </c>
      <c r="K39" s="285" t="s">
        <v>9604</v>
      </c>
      <c r="L39" s="285" t="s">
        <v>8655</v>
      </c>
      <c r="M39" s="285" t="s">
        <v>9383</v>
      </c>
      <c r="N39" s="287" t="str">
        <f>IFERROR(
    IF(
        AND(
            VLOOKUP(B39, 'รายชื่อพนักงานลาออกพ้นสภาพ'!B:I, 8, FALSE)&lt;&gt;"ยกเลิกลาออก",
            VLOOKUP(B39, 'รายชื่อพนักงานลาออกพ้นสภาพ'!B:I, 7, FALSE)&lt;=TODAY()
        ),
        "ลาออกแล้ว",
        ""
    ),
"")</f>
        <v/>
      </c>
      <c r="O39" s="292" t="str">
        <f t="array" ref="O39">IFERROR(INDEX(PCRent!C:D, MATCH(F39 &amp; " " &amp; G39, PCRent!A:A &amp; " " &amp; PCRent!B:B, 0)), "")</f>
        <v/>
      </c>
      <c r="P39" s="293"/>
      <c r="Q39" s="294" t="str">
        <f t="array" ref="Q39">IFERROR(INDEX(MonitorRent!C:D, MATCH(F39 &amp; " " &amp; G39, MonitorRent!A:A &amp; " " &amp; MonitorRent!B:B, 0)), "")</f>
        <v/>
      </c>
      <c r="R39" s="295"/>
    </row>
    <row r="40">
      <c r="A40" s="284">
        <v>37.0</v>
      </c>
      <c r="B40" s="285" t="s">
        <v>9605</v>
      </c>
      <c r="C40" s="285" t="s">
        <v>8796</v>
      </c>
      <c r="D40" s="286" t="s">
        <v>9606</v>
      </c>
      <c r="E40" s="285" t="s">
        <v>6921</v>
      </c>
      <c r="F40" s="285" t="s">
        <v>9607</v>
      </c>
      <c r="G40" s="285" t="s">
        <v>9608</v>
      </c>
      <c r="H40" s="285" t="s">
        <v>9609</v>
      </c>
      <c r="I40" s="285" t="s">
        <v>9610</v>
      </c>
      <c r="J40" s="285" t="s">
        <v>5224</v>
      </c>
      <c r="K40" s="285" t="s">
        <v>1456</v>
      </c>
      <c r="L40" s="285" t="s">
        <v>9611</v>
      </c>
      <c r="M40" s="285" t="s">
        <v>9383</v>
      </c>
      <c r="N40" s="287" t="str">
        <f>IFERROR(
    IF(
        AND(
            VLOOKUP(B40, 'รายชื่อพนักงานลาออกพ้นสภาพ'!B:I, 8, FALSE)&lt;&gt;"ยกเลิกลาออก",
            VLOOKUP(B40, 'รายชื่อพนักงานลาออกพ้นสภาพ'!B:I, 7, FALSE)&lt;=TODAY()
        ),
        "ลาออกแล้ว",
        ""
    ),
"")</f>
        <v/>
      </c>
      <c r="O40" s="292" t="str">
        <f t="array" ref="O40:P40">IFERROR(INDEX(PCRent!C:D, MATCH(F40 &amp; " " &amp; G40, PCRent!A:A &amp; " " &amp; PCRent!B:B, 0)), "")</f>
        <v>SN:MP2M8GAM</v>
      </c>
      <c r="P40" s="293" t="s">
        <v>7248</v>
      </c>
      <c r="Q40" s="294" t="str">
        <f t="array" ref="Q40">IFERROR(INDEX(MonitorRent!C:D, MATCH(F40 &amp; " " &amp; G40, MonitorRent!A:A &amp; " " &amp; MonitorRent!B:B, 0)), "")</f>
        <v/>
      </c>
      <c r="R40" s="295"/>
    </row>
    <row r="41">
      <c r="A41" s="284">
        <v>38.0</v>
      </c>
      <c r="B41" s="285" t="s">
        <v>9612</v>
      </c>
      <c r="C41" s="285" t="s">
        <v>8796</v>
      </c>
      <c r="D41" s="286" t="s">
        <v>9613</v>
      </c>
      <c r="E41" s="285" t="s">
        <v>6921</v>
      </c>
      <c r="F41" s="285" t="s">
        <v>9614</v>
      </c>
      <c r="G41" s="285" t="s">
        <v>9615</v>
      </c>
      <c r="H41" s="285" t="s">
        <v>9616</v>
      </c>
      <c r="I41" s="285" t="s">
        <v>9617</v>
      </c>
      <c r="J41" s="285" t="s">
        <v>5224</v>
      </c>
      <c r="K41" s="285" t="s">
        <v>9618</v>
      </c>
      <c r="L41" s="285" t="s">
        <v>9619</v>
      </c>
      <c r="M41" s="285" t="s">
        <v>9383</v>
      </c>
      <c r="N41" s="287" t="str">
        <f>IFERROR(
    IF(
        AND(
            VLOOKUP(B41, 'รายชื่อพนักงานลาออกพ้นสภาพ'!B:I, 8, FALSE)&lt;&gt;"ยกเลิกลาออก",
            VLOOKUP(B41, 'รายชื่อพนักงานลาออกพ้นสภาพ'!B:I, 7, FALSE)&lt;=TODAY()
        ),
        "ลาออกแล้ว",
        ""
    ),
"")</f>
        <v/>
      </c>
      <c r="O41" s="292" t="str">
        <f t="array" ref="O41">IFERROR(INDEX(PCRent!C:D, MATCH(F41 &amp; " " &amp; G41, PCRent!A:A &amp; " " &amp; PCRent!B:B, 0)), "")</f>
        <v/>
      </c>
      <c r="P41" s="293"/>
      <c r="Q41" s="294" t="str">
        <f t="array" ref="Q41">IFERROR(INDEX(MonitorRent!C:D, MATCH(F41 &amp; " " &amp; G41, MonitorRent!A:A &amp; " " &amp; MonitorRent!B:B, 0)), "")</f>
        <v/>
      </c>
      <c r="R41" s="295"/>
    </row>
    <row r="42">
      <c r="A42" s="284">
        <v>39.0</v>
      </c>
      <c r="B42" s="285" t="s">
        <v>9620</v>
      </c>
      <c r="C42" s="285" t="s">
        <v>8796</v>
      </c>
      <c r="D42" s="286" t="s">
        <v>9621</v>
      </c>
      <c r="E42" s="285" t="s">
        <v>6933</v>
      </c>
      <c r="F42" s="285" t="s">
        <v>9622</v>
      </c>
      <c r="G42" s="285" t="s">
        <v>9623</v>
      </c>
      <c r="H42" s="285" t="s">
        <v>9624</v>
      </c>
      <c r="I42" s="285" t="s">
        <v>9625</v>
      </c>
      <c r="J42" s="285" t="s">
        <v>5012</v>
      </c>
      <c r="K42" s="285" t="s">
        <v>9626</v>
      </c>
      <c r="L42" s="285" t="s">
        <v>9487</v>
      </c>
      <c r="M42" s="285" t="s">
        <v>9383</v>
      </c>
      <c r="N42" s="287" t="str">
        <f>IFERROR(
    IF(
        AND(
            VLOOKUP(B42, 'รายชื่อพนักงานลาออกพ้นสภาพ'!B:I, 8, FALSE)&lt;&gt;"ยกเลิกลาออก",
            VLOOKUP(B42, 'รายชื่อพนักงานลาออกพ้นสภาพ'!B:I, 7, FALSE)&lt;=TODAY()
        ),
        "ลาออกแล้ว",
        ""
    ),
"")</f>
        <v/>
      </c>
      <c r="O42" s="292" t="str">
        <f t="array" ref="O42">IFERROR(INDEX(PCRent!C:D, MATCH(F42 &amp; " " &amp; G42, PCRent!A:A &amp; " " &amp; PCRent!B:B, 0)), "")</f>
        <v/>
      </c>
      <c r="P42" s="293"/>
      <c r="Q42" s="294" t="str">
        <f t="array" ref="Q42">IFERROR(INDEX(MonitorRent!C:D, MATCH(F42 &amp; " " &amp; G42, MonitorRent!A:A &amp; " " &amp; MonitorRent!B:B, 0)), "")</f>
        <v/>
      </c>
      <c r="R42" s="295"/>
    </row>
    <row r="43">
      <c r="A43" s="284">
        <v>40.0</v>
      </c>
      <c r="B43" s="285" t="s">
        <v>9627</v>
      </c>
      <c r="C43" s="285" t="s">
        <v>8796</v>
      </c>
      <c r="D43" s="286" t="s">
        <v>9628</v>
      </c>
      <c r="E43" s="285" t="s">
        <v>6933</v>
      </c>
      <c r="F43" s="285" t="s">
        <v>9629</v>
      </c>
      <c r="G43" s="285" t="s">
        <v>9630</v>
      </c>
      <c r="H43" s="285" t="s">
        <v>9631</v>
      </c>
      <c r="I43" s="285" t="s">
        <v>9632</v>
      </c>
      <c r="J43" s="285" t="s">
        <v>5012</v>
      </c>
      <c r="K43" s="285" t="s">
        <v>9633</v>
      </c>
      <c r="L43" s="285" t="s">
        <v>9475</v>
      </c>
      <c r="M43" s="285" t="s">
        <v>9383</v>
      </c>
      <c r="N43" s="287" t="str">
        <f>IFERROR(
    IF(
        AND(
            VLOOKUP(B43, 'รายชื่อพนักงานลาออกพ้นสภาพ'!B:I, 8, FALSE)&lt;&gt;"ยกเลิกลาออก",
            VLOOKUP(B43, 'รายชื่อพนักงานลาออกพ้นสภาพ'!B:I, 7, FALSE)&lt;=TODAY()
        ),
        "ลาออกแล้ว",
        ""
    ),
"")</f>
        <v/>
      </c>
      <c r="O43" s="292" t="str">
        <f t="array" ref="O43:P43">IFERROR(INDEX(PCRent!C:D, MATCH(F43 &amp; " " &amp; G43, PCRent!A:A &amp; " " &amp; PCRent!B:B, 0)), "")</f>
        <v>SN:MP2EJ0KJ</v>
      </c>
      <c r="P43" s="293" t="s">
        <v>6993</v>
      </c>
      <c r="Q43" s="294" t="str">
        <f t="array" ref="Q43">IFERROR(INDEX(MonitorRent!C:D, MATCH(F43 &amp; " " &amp; G43, MonitorRent!A:A &amp; " " &amp; MonitorRent!B:B, 0)), "")</f>
        <v/>
      </c>
      <c r="R43" s="295"/>
    </row>
    <row r="44">
      <c r="A44" s="284">
        <v>41.0</v>
      </c>
      <c r="B44" s="285" t="s">
        <v>4042</v>
      </c>
      <c r="C44" s="285" t="s">
        <v>8796</v>
      </c>
      <c r="D44" s="286" t="s">
        <v>9634</v>
      </c>
      <c r="E44" s="285" t="s">
        <v>6933</v>
      </c>
      <c r="F44" s="285" t="s">
        <v>9635</v>
      </c>
      <c r="G44" s="285" t="s">
        <v>9636</v>
      </c>
      <c r="H44" s="285" t="s">
        <v>9637</v>
      </c>
      <c r="I44" s="285" t="s">
        <v>4999</v>
      </c>
      <c r="J44" s="285" t="s">
        <v>5012</v>
      </c>
      <c r="K44" s="285" t="s">
        <v>4805</v>
      </c>
      <c r="L44" s="285" t="s">
        <v>8799</v>
      </c>
      <c r="M44" s="285" t="s">
        <v>9383</v>
      </c>
      <c r="N44" s="287" t="str">
        <f>IFERROR(
    IF(
        AND(
            VLOOKUP(B44, 'รายชื่อพนักงานลาออกพ้นสภาพ'!B:I, 8, FALSE)&lt;&gt;"ยกเลิกลาออก",
            VLOOKUP(B44, 'รายชื่อพนักงานลาออกพ้นสภาพ'!B:I, 7, FALSE)&lt;=TODAY()
        ),
        "ลาออกแล้ว",
        ""
    ),
"")</f>
        <v/>
      </c>
      <c r="O44" s="292" t="str">
        <f t="array" ref="O44">IFERROR(INDEX(PCRent!C:D, MATCH(F44 &amp; " " &amp; G44, PCRent!A:A &amp; " " &amp; PCRent!B:B, 0)), "")</f>
        <v/>
      </c>
      <c r="P44" s="293"/>
      <c r="Q44" s="294" t="str">
        <f t="array" ref="Q44">IFERROR(INDEX(MonitorRent!C:D, MATCH(F44 &amp; " " &amp; G44, MonitorRent!A:A &amp; " " &amp; MonitorRent!B:B, 0)), "")</f>
        <v/>
      </c>
      <c r="R44" s="295"/>
    </row>
    <row r="45">
      <c r="A45" s="284">
        <v>42.0</v>
      </c>
      <c r="B45" s="285" t="s">
        <v>9638</v>
      </c>
      <c r="C45" s="285" t="s">
        <v>8796</v>
      </c>
      <c r="D45" s="286" t="s">
        <v>9639</v>
      </c>
      <c r="E45" s="285" t="s">
        <v>6933</v>
      </c>
      <c r="F45" s="285" t="s">
        <v>9640</v>
      </c>
      <c r="G45" s="285" t="s">
        <v>9641</v>
      </c>
      <c r="H45" s="285" t="s">
        <v>9501</v>
      </c>
      <c r="I45" s="285" t="s">
        <v>9642</v>
      </c>
      <c r="J45" s="285" t="s">
        <v>5012</v>
      </c>
      <c r="K45" s="285" t="s">
        <v>9466</v>
      </c>
      <c r="L45" s="285" t="s">
        <v>9643</v>
      </c>
      <c r="M45" s="285" t="s">
        <v>9383</v>
      </c>
      <c r="N45" s="287" t="str">
        <f>IFERROR(
    IF(
        AND(
            VLOOKUP(B45, 'รายชื่อพนักงานลาออกพ้นสภาพ'!B:I, 8, FALSE)&lt;&gt;"ยกเลิกลาออก",
            VLOOKUP(B45, 'รายชื่อพนักงานลาออกพ้นสภาพ'!B:I, 7, FALSE)&lt;=TODAY()
        ),
        "ลาออกแล้ว",
        ""
    ),
"")</f>
        <v/>
      </c>
      <c r="O45" s="292" t="str">
        <f t="array" ref="O45:P45">IFERROR(INDEX(PCRent!C:D, MATCH(F45 &amp; " " &amp; G45, PCRent!A:A &amp; " " &amp; PCRent!B:B, 0)), "")</f>
        <v>SN:6S4XMX3</v>
      </c>
      <c r="P45" s="293" t="s">
        <v>8146</v>
      </c>
      <c r="Q45" s="294" t="str">
        <f t="array" ref="Q45">IFERROR(INDEX(MonitorRent!C:D, MATCH(F45 &amp; " " &amp; G45, MonitorRent!A:A &amp; " " &amp; MonitorRent!B:B, 0)), "")</f>
        <v/>
      </c>
      <c r="R45" s="295"/>
    </row>
    <row r="46">
      <c r="A46" s="284">
        <v>43.0</v>
      </c>
      <c r="B46" s="285" t="s">
        <v>9325</v>
      </c>
      <c r="C46" s="285" t="s">
        <v>8796</v>
      </c>
      <c r="D46" s="286" t="s">
        <v>9644</v>
      </c>
      <c r="E46" s="285" t="s">
        <v>6921</v>
      </c>
      <c r="F46" s="285" t="s">
        <v>9645</v>
      </c>
      <c r="G46" s="285" t="s">
        <v>9646</v>
      </c>
      <c r="H46" s="285" t="s">
        <v>9647</v>
      </c>
      <c r="I46" s="285" t="s">
        <v>9648</v>
      </c>
      <c r="J46" s="285" t="s">
        <v>5224</v>
      </c>
      <c r="K46" s="285" t="s">
        <v>9649</v>
      </c>
      <c r="L46" s="285" t="s">
        <v>9322</v>
      </c>
      <c r="M46" s="285" t="s">
        <v>9383</v>
      </c>
      <c r="N46" s="287" t="str">
        <f>IFERROR(
    IF(
        AND(
            VLOOKUP(B46, 'รายชื่อพนักงานลาออกพ้นสภาพ'!B:I, 8, FALSE)&lt;&gt;"ยกเลิกลาออก",
            VLOOKUP(B46, 'รายชื่อพนักงานลาออกพ้นสภาพ'!B:I, 7, FALSE)&lt;=TODAY()
        ),
        "ลาออกแล้ว",
        ""
    ),
"")</f>
        <v/>
      </c>
      <c r="O46" s="292" t="str">
        <f t="array" ref="O46:P46">IFERROR(INDEX(PCRent!C:D, MATCH(F46 &amp; " " &amp; G46, PCRent!A:A &amp; " " &amp; PCRent!B:B, 0)), "")</f>
        <v>SN:2RRKQ04</v>
      </c>
      <c r="P46" s="293" t="s">
        <v>7048</v>
      </c>
      <c r="Q46" s="294" t="str">
        <f t="array" ref="Q46:R46">IFERROR(INDEX(MonitorRent!C:D, MATCH(F46 &amp; " " &amp; G46, MonitorRent!A:A &amp; " " &amp; MonitorRent!B:B, 0)), "")</f>
        <v>SN:91X7XY3</v>
      </c>
      <c r="R46" s="295" t="s">
        <v>9397</v>
      </c>
    </row>
    <row r="47">
      <c r="A47" s="284">
        <v>44.0</v>
      </c>
      <c r="B47" s="285" t="s">
        <v>9650</v>
      </c>
      <c r="C47" s="285" t="s">
        <v>8796</v>
      </c>
      <c r="D47" s="286" t="s">
        <v>9651</v>
      </c>
      <c r="E47" s="285" t="s">
        <v>6921</v>
      </c>
      <c r="F47" s="285" t="s">
        <v>9652</v>
      </c>
      <c r="G47" s="285" t="s">
        <v>9653</v>
      </c>
      <c r="H47" s="285" t="s">
        <v>9654</v>
      </c>
      <c r="I47" s="285" t="s">
        <v>9655</v>
      </c>
      <c r="J47" s="285" t="s">
        <v>5224</v>
      </c>
      <c r="K47" s="285" t="s">
        <v>4749</v>
      </c>
      <c r="L47" s="285" t="s">
        <v>9611</v>
      </c>
      <c r="M47" s="285" t="s">
        <v>9383</v>
      </c>
      <c r="N47" s="287" t="str">
        <f>IFERROR(
    IF(
        AND(
            VLOOKUP(B47, 'รายชื่อพนักงานลาออกพ้นสภาพ'!B:I, 8, FALSE)&lt;&gt;"ยกเลิกลาออก",
            VLOOKUP(B47, 'รายชื่อพนักงานลาออกพ้นสภาพ'!B:I, 7, FALSE)&lt;=TODAY()
        ),
        "ลาออกแล้ว",
        ""
    ),
"")</f>
        <v/>
      </c>
      <c r="O47" s="292" t="str">
        <f t="array" ref="O47:P47">IFERROR(INDEX(PCRent!C:D, MATCH(F47 &amp; " " &amp; G47, PCRent!A:A &amp; " " &amp; PCRent!B:B, 0)), "")</f>
        <v>SN:MP2E0NBS</v>
      </c>
      <c r="P47" s="293" t="s">
        <v>6993</v>
      </c>
      <c r="Q47" s="294" t="str">
        <f t="array" ref="Q47">IFERROR(INDEX(MonitorRent!C:D, MATCH(F47 &amp; " " &amp; G47, MonitorRent!A:A &amp; " " &amp; MonitorRent!B:B, 0)), "")</f>
        <v/>
      </c>
      <c r="R47" s="295"/>
    </row>
    <row r="48">
      <c r="A48" s="284">
        <v>45.0</v>
      </c>
      <c r="B48" s="285" t="s">
        <v>4347</v>
      </c>
      <c r="C48" s="285" t="s">
        <v>8796</v>
      </c>
      <c r="D48" s="286" t="s">
        <v>9656</v>
      </c>
      <c r="E48" s="285" t="s">
        <v>6921</v>
      </c>
      <c r="F48" s="285" t="s">
        <v>9657</v>
      </c>
      <c r="G48" s="285" t="s">
        <v>9658</v>
      </c>
      <c r="H48" s="285" t="s">
        <v>9659</v>
      </c>
      <c r="I48" s="285" t="s">
        <v>6831</v>
      </c>
      <c r="J48" s="285" t="s">
        <v>5012</v>
      </c>
      <c r="K48" s="285" t="s">
        <v>9560</v>
      </c>
      <c r="L48" s="285" t="s">
        <v>941</v>
      </c>
      <c r="M48" s="285" t="s">
        <v>9383</v>
      </c>
      <c r="N48" s="287" t="str">
        <f>IFERROR(
    IF(
        AND(
            VLOOKUP(B48, 'รายชื่อพนักงานลาออกพ้นสภาพ'!B:I, 8, FALSE)&lt;&gt;"ยกเลิกลาออก",
            VLOOKUP(B48, 'รายชื่อพนักงานลาออกพ้นสภาพ'!B:I, 7, FALSE)&lt;=TODAY()
        ),
        "ลาออกแล้ว",
        ""
    ),
"")</f>
        <v/>
      </c>
      <c r="O48" s="292" t="str">
        <f t="array" ref="O48">IFERROR(INDEX(PCRent!C:D, MATCH(F48 &amp; " " &amp; G48, PCRent!A:A &amp; " " &amp; PCRent!B:B, 0)), "")</f>
        <v/>
      </c>
      <c r="P48" s="293"/>
      <c r="Q48" s="294" t="str">
        <f t="array" ref="Q48">IFERROR(INDEX(MonitorRent!C:D, MATCH(F48 &amp; " " &amp; G48, MonitorRent!A:A &amp; " " &amp; MonitorRent!B:B, 0)), "")</f>
        <v/>
      </c>
      <c r="R48" s="295"/>
    </row>
    <row r="49">
      <c r="A49" s="284">
        <v>46.0</v>
      </c>
      <c r="B49" s="285" t="s">
        <v>9660</v>
      </c>
      <c r="C49" s="285" t="s">
        <v>8796</v>
      </c>
      <c r="D49" s="286" t="s">
        <v>9576</v>
      </c>
      <c r="E49" s="285" t="s">
        <v>6933</v>
      </c>
      <c r="F49" s="285" t="s">
        <v>9661</v>
      </c>
      <c r="G49" s="285" t="s">
        <v>9662</v>
      </c>
      <c r="H49" s="285" t="s">
        <v>9663</v>
      </c>
      <c r="I49" s="285" t="s">
        <v>9664</v>
      </c>
      <c r="J49" s="285" t="s">
        <v>5012</v>
      </c>
      <c r="K49" s="285" t="s">
        <v>9474</v>
      </c>
      <c r="L49" s="285" t="s">
        <v>9475</v>
      </c>
      <c r="M49" s="285" t="s">
        <v>9383</v>
      </c>
      <c r="N49" s="287" t="str">
        <f>IFERROR(
    IF(
        AND(
            VLOOKUP(B49, 'รายชื่อพนักงานลาออกพ้นสภาพ'!B:I, 8, FALSE)&lt;&gt;"ยกเลิกลาออก",
            VLOOKUP(B49, 'รายชื่อพนักงานลาออกพ้นสภาพ'!B:I, 7, FALSE)&lt;=TODAY()
        ),
        "ลาออกแล้ว",
        ""
    ),
"")</f>
        <v/>
      </c>
      <c r="O49" s="292" t="str">
        <f t="array" ref="O49">IFERROR(INDEX(PCRent!C:D, MATCH(F49 &amp; " " &amp; G49, PCRent!A:A &amp; " " &amp; PCRent!B:B, 0)), "")</f>
        <v/>
      </c>
      <c r="P49" s="293"/>
      <c r="Q49" s="294" t="str">
        <f t="array" ref="Q49">IFERROR(INDEX(MonitorRent!C:D, MATCH(F49 &amp; " " &amp; G49, MonitorRent!A:A &amp; " " &amp; MonitorRent!B:B, 0)), "")</f>
        <v/>
      </c>
      <c r="R49" s="295"/>
    </row>
    <row r="50">
      <c r="A50" s="284">
        <v>47.0</v>
      </c>
      <c r="B50" s="285" t="s">
        <v>9665</v>
      </c>
      <c r="C50" s="285" t="s">
        <v>8796</v>
      </c>
      <c r="D50" s="286" t="s">
        <v>9666</v>
      </c>
      <c r="E50" s="285" t="s">
        <v>7239</v>
      </c>
      <c r="F50" s="285" t="s">
        <v>9667</v>
      </c>
      <c r="G50" s="285" t="s">
        <v>9668</v>
      </c>
      <c r="H50" s="285" t="s">
        <v>9669</v>
      </c>
      <c r="I50" s="285" t="s">
        <v>9670</v>
      </c>
      <c r="J50" s="285" t="s">
        <v>5012</v>
      </c>
      <c r="K50" s="285" t="s">
        <v>9671</v>
      </c>
      <c r="L50" s="285" t="s">
        <v>9487</v>
      </c>
      <c r="M50" s="285" t="s">
        <v>9383</v>
      </c>
      <c r="N50" s="287" t="str">
        <f>IFERROR(
    IF(
        AND(
            VLOOKUP(B50, 'รายชื่อพนักงานลาออกพ้นสภาพ'!B:I, 8, FALSE)&lt;&gt;"ยกเลิกลาออก",
            VLOOKUP(B50, 'รายชื่อพนักงานลาออกพ้นสภาพ'!B:I, 7, FALSE)&lt;=TODAY()
        ),
        "ลาออกแล้ว",
        ""
    ),
"")</f>
        <v/>
      </c>
      <c r="O50" s="292" t="str">
        <f t="array" ref="O50:P50">IFERROR(INDEX(PCRent!C:D, MATCH(F50 &amp; " " &amp; G50, PCRent!A:A &amp; " " &amp; PCRent!B:B, 0)), "")</f>
        <v>SN:83RD314</v>
      </c>
      <c r="P50" s="293" t="s">
        <v>7048</v>
      </c>
      <c r="Q50" s="294" t="str">
        <f t="array" ref="Q50:R50">IFERROR(INDEX(MonitorRent!C:D, MATCH(F50 &amp; " " &amp; G50, MonitorRent!A:A &amp; " " &amp; MonitorRent!B:B, 0)), "")</f>
        <v>SN:7RZVGZ3</v>
      </c>
      <c r="R50" s="295" t="s">
        <v>9397</v>
      </c>
    </row>
    <row r="51">
      <c r="A51" s="284">
        <v>48.0</v>
      </c>
      <c r="B51" s="285" t="s">
        <v>9672</v>
      </c>
      <c r="C51" s="285" t="s">
        <v>8796</v>
      </c>
      <c r="D51" s="286" t="s">
        <v>9673</v>
      </c>
      <c r="E51" s="285" t="s">
        <v>6933</v>
      </c>
      <c r="F51" s="285" t="s">
        <v>9674</v>
      </c>
      <c r="G51" s="285" t="s">
        <v>9675</v>
      </c>
      <c r="H51" s="285" t="s">
        <v>9676</v>
      </c>
      <c r="I51" s="285" t="s">
        <v>9677</v>
      </c>
      <c r="J51" s="285" t="s">
        <v>5224</v>
      </c>
      <c r="K51" s="285" t="s">
        <v>9678</v>
      </c>
      <c r="L51" s="285" t="s">
        <v>9679</v>
      </c>
      <c r="M51" s="285" t="s">
        <v>9383</v>
      </c>
      <c r="N51" s="287" t="str">
        <f>IFERROR(
    IF(
        AND(
            VLOOKUP(B51, 'รายชื่อพนักงานลาออกพ้นสภาพ'!B:I, 8, FALSE)&lt;&gt;"ยกเลิกลาออก",
            VLOOKUP(B51, 'รายชื่อพนักงานลาออกพ้นสภาพ'!B:I, 7, FALSE)&lt;=TODAY()
        ),
        "ลาออกแล้ว",
        ""
    ),
"")</f>
        <v/>
      </c>
      <c r="O51" s="292" t="str">
        <f t="array" ref="O51">IFERROR(INDEX(PCRent!C:D, MATCH(F51 &amp; " " &amp; G51, PCRent!A:A &amp; " " &amp; PCRent!B:B, 0)), "")</f>
        <v/>
      </c>
      <c r="P51" s="293"/>
      <c r="Q51" s="294" t="str">
        <f t="array" ref="Q51">IFERROR(INDEX(MonitorRent!C:D, MATCH(F51 &amp; " " &amp; G51, MonitorRent!A:A &amp; " " &amp; MonitorRent!B:B, 0)), "")</f>
        <v/>
      </c>
      <c r="R51" s="295"/>
    </row>
    <row r="52">
      <c r="A52" s="284">
        <v>49.0</v>
      </c>
      <c r="B52" s="285" t="s">
        <v>9680</v>
      </c>
      <c r="C52" s="285" t="s">
        <v>8796</v>
      </c>
      <c r="D52" s="286" t="s">
        <v>9681</v>
      </c>
      <c r="E52" s="285" t="s">
        <v>6933</v>
      </c>
      <c r="F52" s="285" t="s">
        <v>9682</v>
      </c>
      <c r="G52" s="285" t="s">
        <v>9683</v>
      </c>
      <c r="H52" s="285" t="s">
        <v>9684</v>
      </c>
      <c r="I52" s="285" t="s">
        <v>9685</v>
      </c>
      <c r="J52" s="285" t="s">
        <v>5012</v>
      </c>
      <c r="K52" s="285" t="s">
        <v>9633</v>
      </c>
      <c r="L52" s="285" t="s">
        <v>9686</v>
      </c>
      <c r="M52" s="285" t="s">
        <v>9383</v>
      </c>
      <c r="N52" s="287" t="str">
        <f>IFERROR(
    IF(
        AND(
            VLOOKUP(B52, 'รายชื่อพนักงานลาออกพ้นสภาพ'!B:I, 8, FALSE)&lt;&gt;"ยกเลิกลาออก",
            VLOOKUP(B52, 'รายชื่อพนักงานลาออกพ้นสภาพ'!B:I, 7, FALSE)&lt;=TODAY()
        ),
        "ลาออกแล้ว",
        ""
    ),
"")</f>
        <v/>
      </c>
      <c r="O52" s="292" t="str">
        <f t="array" ref="O52:P52">IFERROR(INDEX(PCRent!C:D, MATCH(F52 &amp; " " &amp; G52, PCRent!A:A &amp; " " &amp; PCRent!B:B, 0)), "")</f>
        <v>SN:F1QD314</v>
      </c>
      <c r="P52" s="293" t="s">
        <v>7048</v>
      </c>
      <c r="Q52" s="294" t="str">
        <f t="array" ref="Q52:R52">IFERROR(INDEX(MonitorRent!C:D, MATCH(F52 &amp; " " &amp; G52, MonitorRent!A:A &amp; " " &amp; MonitorRent!B:B, 0)), "")</f>
        <v>SN:BKW5HZ3</v>
      </c>
      <c r="R52" s="295" t="s">
        <v>9397</v>
      </c>
    </row>
    <row r="53">
      <c r="A53" s="284">
        <v>50.0</v>
      </c>
      <c r="B53" s="285" t="s">
        <v>9687</v>
      </c>
      <c r="C53" s="285" t="s">
        <v>8796</v>
      </c>
      <c r="D53" s="286" t="s">
        <v>9688</v>
      </c>
      <c r="E53" s="285" t="s">
        <v>6933</v>
      </c>
      <c r="F53" s="285" t="s">
        <v>9689</v>
      </c>
      <c r="G53" s="285" t="s">
        <v>9690</v>
      </c>
      <c r="H53" s="285" t="s">
        <v>9691</v>
      </c>
      <c r="I53" s="296"/>
      <c r="J53" s="285" t="s">
        <v>5012</v>
      </c>
      <c r="K53" s="285" t="s">
        <v>5760</v>
      </c>
      <c r="L53" s="285" t="s">
        <v>9692</v>
      </c>
      <c r="M53" s="285" t="s">
        <v>9383</v>
      </c>
      <c r="N53" s="287" t="str">
        <f>IFERROR(
    IF(
        AND(
            VLOOKUP(B53, 'รายชื่อพนักงานลาออกพ้นสภาพ'!B:I, 8, FALSE)&lt;&gt;"ยกเลิกลาออก",
            VLOOKUP(B53, 'รายชื่อพนักงานลาออกพ้นสภาพ'!B:I, 7, FALSE)&lt;=TODAY()
        ),
        "ลาออกแล้ว",
        ""
    ),
"")</f>
        <v/>
      </c>
      <c r="O53" s="292" t="str">
        <f t="array" ref="O53">IFERROR(INDEX(PCRent!C:D, MATCH(F53 &amp; " " &amp; G53, PCRent!A:A &amp; " " &amp; PCRent!B:B, 0)), "")</f>
        <v/>
      </c>
      <c r="P53" s="293"/>
      <c r="Q53" s="294" t="str">
        <f t="array" ref="Q53">IFERROR(INDEX(MonitorRent!C:D, MATCH(F53 &amp; " " &amp; G53, MonitorRent!A:A &amp; " " &amp; MonitorRent!B:B, 0)), "")</f>
        <v/>
      </c>
      <c r="R53" s="295"/>
    </row>
    <row r="54">
      <c r="A54" s="284">
        <v>51.0</v>
      </c>
      <c r="B54" s="285" t="s">
        <v>9693</v>
      </c>
      <c r="C54" s="285" t="s">
        <v>8796</v>
      </c>
      <c r="D54" s="286" t="s">
        <v>9541</v>
      </c>
      <c r="E54" s="285" t="s">
        <v>6933</v>
      </c>
      <c r="F54" s="285" t="s">
        <v>9694</v>
      </c>
      <c r="G54" s="285" t="s">
        <v>9695</v>
      </c>
      <c r="H54" s="285" t="s">
        <v>9696</v>
      </c>
      <c r="I54" s="285" t="s">
        <v>9697</v>
      </c>
      <c r="J54" s="285" t="s">
        <v>5012</v>
      </c>
      <c r="K54" s="285" t="s">
        <v>9633</v>
      </c>
      <c r="L54" s="285" t="s">
        <v>9643</v>
      </c>
      <c r="M54" s="285" t="s">
        <v>9383</v>
      </c>
      <c r="N54" s="287" t="str">
        <f>IFERROR(
    IF(
        AND(
            VLOOKUP(B54, 'รายชื่อพนักงานลาออกพ้นสภาพ'!B:I, 8, FALSE)&lt;&gt;"ยกเลิกลาออก",
            VLOOKUP(B54, 'รายชื่อพนักงานลาออกพ้นสภาพ'!B:I, 7, FALSE)&lt;=TODAY()
        ),
        "ลาออกแล้ว",
        ""
    ),
"")</f>
        <v/>
      </c>
      <c r="O54" s="292" t="str">
        <f t="array" ref="O54">IFERROR(INDEX(PCRent!C:D, MATCH(F54 &amp; " " &amp; G54, PCRent!A:A &amp; " " &amp; PCRent!B:B, 0)), "")</f>
        <v/>
      </c>
      <c r="P54" s="293"/>
      <c r="Q54" s="294" t="str">
        <f t="array" ref="Q54">IFERROR(INDEX(MonitorRent!C:D, MATCH(F54 &amp; " " &amp; G54, MonitorRent!A:A &amp; " " &amp; MonitorRent!B:B, 0)), "")</f>
        <v/>
      </c>
      <c r="R54" s="295"/>
    </row>
    <row r="55">
      <c r="A55" s="284">
        <v>52.0</v>
      </c>
      <c r="B55" s="285" t="s">
        <v>9698</v>
      </c>
      <c r="C55" s="285" t="s">
        <v>8796</v>
      </c>
      <c r="D55" s="286" t="s">
        <v>9699</v>
      </c>
      <c r="E55" s="285" t="s">
        <v>6921</v>
      </c>
      <c r="F55" s="285" t="s">
        <v>9700</v>
      </c>
      <c r="G55" s="285" t="s">
        <v>9701</v>
      </c>
      <c r="H55" s="285" t="s">
        <v>9637</v>
      </c>
      <c r="I55" s="285" t="s">
        <v>9702</v>
      </c>
      <c r="J55" s="285" t="s">
        <v>5012</v>
      </c>
      <c r="K55" s="285" t="s">
        <v>9703</v>
      </c>
      <c r="L55" s="285" t="s">
        <v>9704</v>
      </c>
      <c r="M55" s="285" t="s">
        <v>9383</v>
      </c>
      <c r="N55" s="287" t="str">
        <f>IFERROR(
    IF(
        AND(
            VLOOKUP(B55, 'รายชื่อพนักงานลาออกพ้นสภาพ'!B:I, 8, FALSE)&lt;&gt;"ยกเลิกลาออก",
            VLOOKUP(B55, 'รายชื่อพนักงานลาออกพ้นสภาพ'!B:I, 7, FALSE)&lt;=TODAY()
        ),
        "ลาออกแล้ว",
        ""
    ),
"")</f>
        <v/>
      </c>
      <c r="O55" s="292" t="str">
        <f t="array" ref="O55:P55">IFERROR(INDEX(PCRent!C:D, MATCH(F55 &amp; " " &amp; G55, PCRent!A:A &amp; " " &amp; PCRent!B:B, 0)), "")</f>
        <v>SN:MP2AN2C1</v>
      </c>
      <c r="P55" s="293" t="s">
        <v>9562</v>
      </c>
      <c r="Q55" s="294" t="str">
        <f t="array" ref="Q55">IFERROR(INDEX(MonitorRent!C:D, MATCH(F55 &amp; " " &amp; G55, MonitorRent!A:A &amp; " " &amp; MonitorRent!B:B, 0)), "")</f>
        <v/>
      </c>
      <c r="R55" s="295"/>
    </row>
    <row r="56">
      <c r="A56" s="284">
        <v>53.0</v>
      </c>
      <c r="B56" s="285" t="s">
        <v>9705</v>
      </c>
      <c r="C56" s="285" t="s">
        <v>8796</v>
      </c>
      <c r="D56" s="286" t="s">
        <v>9706</v>
      </c>
      <c r="E56" s="285" t="s">
        <v>6921</v>
      </c>
      <c r="F56" s="285" t="s">
        <v>9707</v>
      </c>
      <c r="G56" s="285" t="s">
        <v>9708</v>
      </c>
      <c r="H56" s="285" t="s">
        <v>9709</v>
      </c>
      <c r="I56" s="285" t="s">
        <v>9710</v>
      </c>
      <c r="J56" s="285" t="s">
        <v>5012</v>
      </c>
      <c r="K56" s="285" t="s">
        <v>4749</v>
      </c>
      <c r="L56" s="285" t="s">
        <v>9711</v>
      </c>
      <c r="M56" s="285" t="s">
        <v>9383</v>
      </c>
      <c r="N56" s="287" t="str">
        <f>IFERROR(
    IF(
        AND(
            VLOOKUP(B56, 'รายชื่อพนักงานลาออกพ้นสภาพ'!B:I, 8, FALSE)&lt;&gt;"ยกเลิกลาออก",
            VLOOKUP(B56, 'รายชื่อพนักงานลาออกพ้นสภาพ'!B:I, 7, FALSE)&lt;=TODAY()
        ),
        "ลาออกแล้ว",
        ""
    ),
"")</f>
        <v/>
      </c>
      <c r="O56" s="292" t="str">
        <f t="array" ref="O56:P56">IFERROR(INDEX(PCRent!C:D, MATCH(F56 &amp; " " &amp; G56, PCRent!A:A &amp; " " &amp; PCRent!B:B, 0)), "")</f>
        <v>SN:MP2AN2CV</v>
      </c>
      <c r="P56" s="293" t="s">
        <v>9562</v>
      </c>
      <c r="Q56" s="294" t="str">
        <f t="array" ref="Q56">IFERROR(INDEX(MonitorRent!C:D, MATCH(F56 &amp; " " &amp; G56, MonitorRent!A:A &amp; " " &amp; MonitorRent!B:B, 0)), "")</f>
        <v/>
      </c>
      <c r="R56" s="295"/>
    </row>
    <row r="57">
      <c r="A57" s="284">
        <v>54.0</v>
      </c>
      <c r="B57" s="285" t="s">
        <v>9712</v>
      </c>
      <c r="C57" s="285" t="s">
        <v>8796</v>
      </c>
      <c r="D57" s="286" t="s">
        <v>9713</v>
      </c>
      <c r="E57" s="285" t="s">
        <v>6921</v>
      </c>
      <c r="F57" s="285" t="s">
        <v>9714</v>
      </c>
      <c r="G57" s="285" t="s">
        <v>9715</v>
      </c>
      <c r="H57" s="285" t="s">
        <v>9716</v>
      </c>
      <c r="I57" s="285" t="s">
        <v>9717</v>
      </c>
      <c r="J57" s="285" t="s">
        <v>5012</v>
      </c>
      <c r="K57" s="285" t="s">
        <v>9588</v>
      </c>
      <c r="L57" s="285" t="s">
        <v>9475</v>
      </c>
      <c r="M57" s="285" t="s">
        <v>9383</v>
      </c>
      <c r="N57" s="287" t="str">
        <f>IFERROR(
    IF(
        AND(
            VLOOKUP(B57, 'รายชื่อพนักงานลาออกพ้นสภาพ'!B:I, 8, FALSE)&lt;&gt;"ยกเลิกลาออก",
            VLOOKUP(B57, 'รายชื่อพนักงานลาออกพ้นสภาพ'!B:I, 7, FALSE)&lt;=TODAY()
        ),
        "ลาออกแล้ว",
        ""
    ),
"")</f>
        <v/>
      </c>
      <c r="O57" s="292" t="str">
        <f t="array" ref="O57">IFERROR(INDEX(PCRent!C:D, MATCH(F57 &amp; " " &amp; G57, PCRent!A:A &amp; " " &amp; PCRent!B:B, 0)), "")</f>
        <v/>
      </c>
      <c r="P57" s="293"/>
      <c r="Q57" s="294" t="str">
        <f t="array" ref="Q57">IFERROR(INDEX(MonitorRent!C:D, MATCH(F57 &amp; " " &amp; G57, MonitorRent!A:A &amp; " " &amp; MonitorRent!B:B, 0)), "")</f>
        <v/>
      </c>
      <c r="R57" s="295"/>
    </row>
    <row r="58">
      <c r="A58" s="284">
        <v>55.0</v>
      </c>
      <c r="B58" s="285" t="s">
        <v>196</v>
      </c>
      <c r="C58" s="285" t="s">
        <v>8796</v>
      </c>
      <c r="D58" s="286" t="s">
        <v>9718</v>
      </c>
      <c r="E58" s="285" t="s">
        <v>6921</v>
      </c>
      <c r="F58" s="285" t="s">
        <v>9719</v>
      </c>
      <c r="G58" s="285" t="s">
        <v>9720</v>
      </c>
      <c r="H58" s="285" t="s">
        <v>9721</v>
      </c>
      <c r="I58" s="285" t="s">
        <v>200</v>
      </c>
      <c r="J58" s="285" t="s">
        <v>5224</v>
      </c>
      <c r="K58" s="285" t="s">
        <v>9649</v>
      </c>
      <c r="L58" s="285" t="s">
        <v>9322</v>
      </c>
      <c r="M58" s="285" t="s">
        <v>9391</v>
      </c>
      <c r="N58" s="287" t="str">
        <f>IFERROR(
    IF(
        AND(
            VLOOKUP(B58, 'รายชื่อพนักงานลาออกพ้นสภาพ'!B:I, 8, FALSE)&lt;&gt;"ยกเลิกลาออก",
            VLOOKUP(B58, 'รายชื่อพนักงานลาออกพ้นสภาพ'!B:I, 7, FALSE)&lt;=TODAY()
        ),
        "ลาออกแล้ว",
        ""
    ),
"")</f>
        <v>ลาออกแล้ว</v>
      </c>
      <c r="O58" s="292" t="str">
        <f t="array" ref="O58">IFERROR(INDEX(PCRent!C:D, MATCH(F58 &amp; " " &amp; G58, PCRent!A:A &amp; " " &amp; PCRent!B:B, 0)), "")</f>
        <v/>
      </c>
      <c r="P58" s="293"/>
      <c r="Q58" s="294" t="str">
        <f t="array" ref="Q58">IFERROR(INDEX(MonitorRent!C:D, MATCH(F58 &amp; " " &amp; G58, MonitorRent!A:A &amp; " " &amp; MonitorRent!B:B, 0)), "")</f>
        <v/>
      </c>
      <c r="R58" s="295"/>
    </row>
    <row r="59">
      <c r="A59" s="284">
        <v>56.0</v>
      </c>
      <c r="B59" s="285" t="s">
        <v>9722</v>
      </c>
      <c r="C59" s="285" t="s">
        <v>8796</v>
      </c>
      <c r="D59" s="286" t="s">
        <v>9723</v>
      </c>
      <c r="E59" s="285" t="s">
        <v>6921</v>
      </c>
      <c r="F59" s="285" t="s">
        <v>9724</v>
      </c>
      <c r="G59" s="285" t="s">
        <v>9725</v>
      </c>
      <c r="H59" s="285" t="s">
        <v>9726</v>
      </c>
      <c r="I59" s="285" t="s">
        <v>9727</v>
      </c>
      <c r="J59" s="285" t="s">
        <v>5012</v>
      </c>
      <c r="K59" s="285" t="s">
        <v>9703</v>
      </c>
      <c r="L59" s="285" t="s">
        <v>9561</v>
      </c>
      <c r="M59" s="285" t="s">
        <v>9383</v>
      </c>
      <c r="N59" s="287" t="str">
        <f>IFERROR(
    IF(
        AND(
            VLOOKUP(B59, 'รายชื่อพนักงานลาออกพ้นสภาพ'!B:I, 8, FALSE)&lt;&gt;"ยกเลิกลาออก",
            VLOOKUP(B59, 'รายชื่อพนักงานลาออกพ้นสภาพ'!B:I, 7, FALSE)&lt;=TODAY()
        ),
        "ลาออกแล้ว",
        ""
    ),
"")</f>
        <v/>
      </c>
      <c r="O59" s="292" t="str">
        <f t="array" ref="O59:P59">IFERROR(INDEX(PCRent!C:D, MATCH(F59 &amp; " " &amp; G59, PCRent!A:A &amp; " " &amp; PCRent!B:B, 0)), "")</f>
        <v>SN:5YYNPY3</v>
      </c>
      <c r="P59" s="293" t="s">
        <v>7048</v>
      </c>
      <c r="Q59" s="294" t="str">
        <f t="array" ref="Q59:R59">IFERROR(INDEX(MonitorRent!C:D, MATCH(F59 &amp; " " &amp; G59, MonitorRent!A:A &amp; " " &amp; MonitorRent!B:B, 0)), "")</f>
        <v>SN:C7KNYV3</v>
      </c>
      <c r="R59" s="295" t="s">
        <v>7050</v>
      </c>
    </row>
    <row r="60">
      <c r="A60" s="284">
        <v>57.0</v>
      </c>
      <c r="B60" s="285" t="s">
        <v>9728</v>
      </c>
      <c r="C60" s="285" t="s">
        <v>8796</v>
      </c>
      <c r="D60" s="286" t="s">
        <v>9729</v>
      </c>
      <c r="E60" s="285" t="s">
        <v>6933</v>
      </c>
      <c r="F60" s="285" t="s">
        <v>9730</v>
      </c>
      <c r="G60" s="285" t="s">
        <v>9731</v>
      </c>
      <c r="H60" s="285" t="s">
        <v>9732</v>
      </c>
      <c r="I60" s="285" t="s">
        <v>9733</v>
      </c>
      <c r="J60" s="285" t="s">
        <v>5012</v>
      </c>
      <c r="K60" s="285" t="s">
        <v>9626</v>
      </c>
      <c r="L60" s="285" t="s">
        <v>9734</v>
      </c>
      <c r="M60" s="285" t="s">
        <v>9383</v>
      </c>
      <c r="N60" s="287" t="str">
        <f>IFERROR(
    IF(
        AND(
            VLOOKUP(B60, 'รายชื่อพนักงานลาออกพ้นสภาพ'!B:I, 8, FALSE)&lt;&gt;"ยกเลิกลาออก",
            VLOOKUP(B60, 'รายชื่อพนักงานลาออกพ้นสภาพ'!B:I, 7, FALSE)&lt;=TODAY()
        ),
        "ลาออกแล้ว",
        ""
    ),
"")</f>
        <v/>
      </c>
      <c r="O60" s="292" t="str">
        <f t="array" ref="O60">IFERROR(INDEX(PCRent!C:D, MATCH(F60 &amp; " " &amp; G60, PCRent!A:A &amp; " " &amp; PCRent!B:B, 0)), "")</f>
        <v/>
      </c>
      <c r="P60" s="293"/>
      <c r="Q60" s="294" t="str">
        <f t="array" ref="Q60">IFERROR(INDEX(MonitorRent!C:D, MATCH(F60 &amp; " " &amp; G60, MonitorRent!A:A &amp; " " &amp; MonitorRent!B:B, 0)), "")</f>
        <v/>
      </c>
      <c r="R60" s="295"/>
    </row>
    <row r="61">
      <c r="A61" s="284">
        <v>58.0</v>
      </c>
      <c r="B61" s="285" t="s">
        <v>9296</v>
      </c>
      <c r="C61" s="285" t="s">
        <v>8796</v>
      </c>
      <c r="D61" s="286" t="s">
        <v>9589</v>
      </c>
      <c r="E61" s="285" t="s">
        <v>6921</v>
      </c>
      <c r="F61" s="285" t="s">
        <v>9735</v>
      </c>
      <c r="G61" s="285" t="s">
        <v>9736</v>
      </c>
      <c r="H61" s="285" t="s">
        <v>9573</v>
      </c>
      <c r="I61" s="285" t="s">
        <v>9737</v>
      </c>
      <c r="J61" s="285" t="s">
        <v>5224</v>
      </c>
      <c r="K61" s="285" t="s">
        <v>1386</v>
      </c>
      <c r="L61" s="285" t="s">
        <v>9738</v>
      </c>
      <c r="M61" s="285" t="s">
        <v>9383</v>
      </c>
      <c r="N61" s="287" t="str">
        <f>IFERROR(
    IF(
        AND(
            VLOOKUP(B61, 'รายชื่อพนักงานลาออกพ้นสภาพ'!B:I, 8, FALSE)&lt;&gt;"ยกเลิกลาออก",
            VLOOKUP(B61, 'รายชื่อพนักงานลาออกพ้นสภาพ'!B:I, 7, FALSE)&lt;=TODAY()
        ),
        "ลาออกแล้ว",
        ""
    ),
"")</f>
        <v/>
      </c>
      <c r="O61" s="292" t="str">
        <f t="array" ref="O61:P61">IFERROR(INDEX(PCRent!C:D, MATCH(F61 &amp; " " &amp; G61, PCRent!A:A &amp; " " &amp; PCRent!B:B, 0)), "")</f>
        <v>SN:7T8BXW3</v>
      </c>
      <c r="P61" s="293" t="s">
        <v>7048</v>
      </c>
      <c r="Q61" s="294" t="str">
        <f t="array" ref="Q61:R61">IFERROR(INDEX(MonitorRent!C:D, MATCH(F61 &amp; " " &amp; G61, MonitorRent!A:A &amp; " " &amp; MonitorRent!B:B, 0)), "")</f>
        <v>SN:F937SS3</v>
      </c>
      <c r="R61" s="295" t="s">
        <v>7050</v>
      </c>
    </row>
    <row r="62">
      <c r="A62" s="284">
        <v>59.0</v>
      </c>
      <c r="B62" s="285" t="s">
        <v>9256</v>
      </c>
      <c r="C62" s="285" t="s">
        <v>8796</v>
      </c>
      <c r="D62" s="286" t="s">
        <v>9739</v>
      </c>
      <c r="E62" s="285" t="s">
        <v>6921</v>
      </c>
      <c r="F62" s="285" t="s">
        <v>9740</v>
      </c>
      <c r="G62" s="285" t="s">
        <v>9741</v>
      </c>
      <c r="H62" s="285" t="s">
        <v>9742</v>
      </c>
      <c r="I62" s="285" t="s">
        <v>9743</v>
      </c>
      <c r="J62" s="285" t="s">
        <v>5224</v>
      </c>
      <c r="K62" s="285" t="s">
        <v>9390</v>
      </c>
      <c r="L62" s="285" t="s">
        <v>9246</v>
      </c>
      <c r="M62" s="285" t="s">
        <v>9383</v>
      </c>
      <c r="N62" s="287" t="str">
        <f>IFERROR(
    IF(
        AND(
            VLOOKUP(B62, 'รายชื่อพนักงานลาออกพ้นสภาพ'!B:I, 8, FALSE)&lt;&gt;"ยกเลิกลาออก",
            VLOOKUP(B62, 'รายชื่อพนักงานลาออกพ้นสภาพ'!B:I, 7, FALSE)&lt;=TODAY()
        ),
        "ลาออกแล้ว",
        ""
    ),
"")</f>
        <v/>
      </c>
      <c r="O62" s="292" t="str">
        <f t="array" ref="O62">IFERROR(INDEX(PCRent!C:D, MATCH(F62 &amp; " " &amp; G62, PCRent!A:A &amp; " " &amp; PCRent!B:B, 0)), "")</f>
        <v/>
      </c>
      <c r="P62" s="293"/>
      <c r="Q62" s="294" t="str">
        <f t="array" ref="Q62">IFERROR(INDEX(MonitorRent!C:D, MATCH(F62 &amp; " " &amp; G62, MonitorRent!A:A &amp; " " &amp; MonitorRent!B:B, 0)), "")</f>
        <v/>
      </c>
      <c r="R62" s="295"/>
    </row>
    <row r="63">
      <c r="A63" s="284">
        <v>60.0</v>
      </c>
      <c r="B63" s="285" t="s">
        <v>9308</v>
      </c>
      <c r="C63" s="285" t="s">
        <v>8796</v>
      </c>
      <c r="D63" s="286" t="s">
        <v>9744</v>
      </c>
      <c r="E63" s="285" t="s">
        <v>6921</v>
      </c>
      <c r="F63" s="285" t="s">
        <v>9745</v>
      </c>
      <c r="G63" s="285" t="s">
        <v>9746</v>
      </c>
      <c r="H63" s="285" t="s">
        <v>9747</v>
      </c>
      <c r="I63" s="285" t="s">
        <v>9748</v>
      </c>
      <c r="J63" s="285" t="s">
        <v>5224</v>
      </c>
      <c r="K63" s="285" t="s">
        <v>1386</v>
      </c>
      <c r="L63" s="285" t="s">
        <v>9749</v>
      </c>
      <c r="M63" s="285" t="s">
        <v>9383</v>
      </c>
      <c r="N63" s="287" t="str">
        <f>IFERROR(
    IF(
        AND(
            VLOOKUP(B63, 'รายชื่อพนักงานลาออกพ้นสภาพ'!B:I, 8, FALSE)&lt;&gt;"ยกเลิกลาออก",
            VLOOKUP(B63, 'รายชื่อพนักงานลาออกพ้นสภาพ'!B:I, 7, FALSE)&lt;=TODAY()
        ),
        "ลาออกแล้ว",
        ""
    ),
"")</f>
        <v/>
      </c>
      <c r="O63" s="292" t="str">
        <f t="array" ref="O63:P63">IFERROR(INDEX(PCRent!C:D, MATCH(F63 &amp; " " &amp; G63, PCRent!A:A &amp; " " &amp; PCRent!B:B, 0)), "")</f>
        <v>SN:9H6MBZ3</v>
      </c>
      <c r="P63" s="293" t="s">
        <v>7048</v>
      </c>
      <c r="Q63" s="294" t="str">
        <f t="array" ref="Q63:R63">IFERROR(INDEX(MonitorRent!C:D, MATCH(F63 &amp; " " &amp; G63, MonitorRent!A:A &amp; " " &amp; MonitorRent!B:B, 0)), "")</f>
        <v>SN:98H7XY3</v>
      </c>
      <c r="R63" s="295" t="s">
        <v>7050</v>
      </c>
    </row>
    <row r="64">
      <c r="A64" s="284">
        <v>61.0</v>
      </c>
      <c r="B64" s="285" t="s">
        <v>9750</v>
      </c>
      <c r="C64" s="285" t="s">
        <v>8796</v>
      </c>
      <c r="D64" s="286" t="s">
        <v>9751</v>
      </c>
      <c r="E64" s="285" t="s">
        <v>6921</v>
      </c>
      <c r="F64" s="285" t="s">
        <v>9752</v>
      </c>
      <c r="G64" s="285" t="s">
        <v>9753</v>
      </c>
      <c r="H64" s="285" t="s">
        <v>9754</v>
      </c>
      <c r="I64" s="285" t="s">
        <v>9755</v>
      </c>
      <c r="J64" s="285" t="s">
        <v>5224</v>
      </c>
      <c r="K64" s="285" t="s">
        <v>9756</v>
      </c>
      <c r="L64" s="285" t="s">
        <v>9619</v>
      </c>
      <c r="M64" s="285" t="s">
        <v>9383</v>
      </c>
      <c r="N64" s="287" t="str">
        <f>IFERROR(
    IF(
        AND(
            VLOOKUP(B64, 'รายชื่อพนักงานลาออกพ้นสภาพ'!B:I, 8, FALSE)&lt;&gt;"ยกเลิกลาออก",
            VLOOKUP(B64, 'รายชื่อพนักงานลาออกพ้นสภาพ'!B:I, 7, FALSE)&lt;=TODAY()
        ),
        "ลาออกแล้ว",
        ""
    ),
"")</f>
        <v/>
      </c>
      <c r="O64" s="292" t="str">
        <f t="array" ref="O64">IFERROR(INDEX(PCRent!C:D, MATCH(F64 &amp; " " &amp; G64, PCRent!A:A &amp; " " &amp; PCRent!B:B, 0)), "")</f>
        <v/>
      </c>
      <c r="P64" s="293"/>
      <c r="Q64" s="294" t="str">
        <f t="array" ref="Q64">IFERROR(INDEX(MonitorRent!C:D, MATCH(F64 &amp; " " &amp; G64, MonitorRent!A:A &amp; " " &amp; MonitorRent!B:B, 0)), "")</f>
        <v/>
      </c>
      <c r="R64" s="295"/>
    </row>
    <row r="65">
      <c r="A65" s="284">
        <v>62.0</v>
      </c>
      <c r="B65" s="285" t="s">
        <v>9757</v>
      </c>
      <c r="C65" s="285" t="s">
        <v>8796</v>
      </c>
      <c r="D65" s="286" t="s">
        <v>9547</v>
      </c>
      <c r="E65" s="285" t="s">
        <v>6921</v>
      </c>
      <c r="F65" s="285" t="s">
        <v>9758</v>
      </c>
      <c r="G65" s="285" t="s">
        <v>9759</v>
      </c>
      <c r="H65" s="285" t="s">
        <v>9726</v>
      </c>
      <c r="I65" s="285" t="s">
        <v>9760</v>
      </c>
      <c r="J65" s="285" t="s">
        <v>5224</v>
      </c>
      <c r="K65" s="285" t="s">
        <v>9761</v>
      </c>
      <c r="L65" s="285" t="s">
        <v>9762</v>
      </c>
      <c r="M65" s="285" t="s">
        <v>9391</v>
      </c>
      <c r="N65" s="287" t="str">
        <f>IFERROR(
    IF(
        AND(
            VLOOKUP(B65, 'รายชื่อพนักงานลาออกพ้นสภาพ'!B:I, 8, FALSE)&lt;&gt;"ยกเลิกลาออก",
            VLOOKUP(B65, 'รายชื่อพนักงานลาออกพ้นสภาพ'!B:I, 7, FALSE)&lt;=TODAY()
        ),
        "ลาออกแล้ว",
        ""
    ),
"")</f>
        <v/>
      </c>
      <c r="O65" s="292" t="str">
        <f t="array" ref="O65">IFERROR(INDEX(PCRent!C:D, MATCH(F65 &amp; " " &amp; G65, PCRent!A:A &amp; " " &amp; PCRent!B:B, 0)), "")</f>
        <v/>
      </c>
      <c r="P65" s="293"/>
      <c r="Q65" s="294" t="str">
        <f t="array" ref="Q65">IFERROR(INDEX(MonitorRent!C:D, MATCH(F65 &amp; " " &amp; G65, MonitorRent!A:A &amp; " " &amp; MonitorRent!B:B, 0)), "")</f>
        <v/>
      </c>
      <c r="R65" s="295"/>
    </row>
    <row r="66">
      <c r="A66" s="284">
        <v>63.0</v>
      </c>
      <c r="B66" s="285" t="s">
        <v>9334</v>
      </c>
      <c r="C66" s="285" t="s">
        <v>8796</v>
      </c>
      <c r="D66" s="286" t="s">
        <v>9763</v>
      </c>
      <c r="E66" s="285" t="s">
        <v>6921</v>
      </c>
      <c r="F66" s="285" t="s">
        <v>9764</v>
      </c>
      <c r="G66" s="285" t="s">
        <v>9765</v>
      </c>
      <c r="H66" s="285" t="s">
        <v>9592</v>
      </c>
      <c r="I66" s="285" t="s">
        <v>9766</v>
      </c>
      <c r="J66" s="285" t="s">
        <v>5224</v>
      </c>
      <c r="K66" s="285" t="s">
        <v>9767</v>
      </c>
      <c r="L66" s="285" t="s">
        <v>5805</v>
      </c>
      <c r="M66" s="285" t="s">
        <v>9383</v>
      </c>
      <c r="N66" s="287" t="str">
        <f>IFERROR(
    IF(
        AND(
            VLOOKUP(B66, 'รายชื่อพนักงานลาออกพ้นสภาพ'!B:I, 8, FALSE)&lt;&gt;"ยกเลิกลาออก",
            VLOOKUP(B66, 'รายชื่อพนักงานลาออกพ้นสภาพ'!B:I, 7, FALSE)&lt;=TODAY()
        ),
        "ลาออกแล้ว",
        ""
    ),
"")</f>
        <v/>
      </c>
      <c r="O66" s="292" t="str">
        <f t="array" ref="O66:P66">IFERROR(INDEX(PCRent!C:D, MATCH(F66 &amp; " " &amp; G66, PCRent!A:A &amp; " " &amp; PCRent!B:B, 0)), "")</f>
        <v>SN:HH6MBZ3</v>
      </c>
      <c r="P66" s="293" t="s">
        <v>7048</v>
      </c>
      <c r="Q66" s="294" t="str">
        <f t="array" ref="Q66:R66">IFERROR(INDEX(MonitorRent!C:D, MATCH(F66 &amp; " " &amp; G66, MonitorRent!A:A &amp; " " &amp; MonitorRent!B:B, 0)), "")</f>
        <v>SN:90P7XY3</v>
      </c>
      <c r="R66" s="295" t="s">
        <v>7050</v>
      </c>
    </row>
    <row r="67">
      <c r="A67" s="284">
        <v>64.0</v>
      </c>
      <c r="B67" s="285" t="s">
        <v>9768</v>
      </c>
      <c r="C67" s="285" t="s">
        <v>8796</v>
      </c>
      <c r="D67" s="286" t="s">
        <v>9769</v>
      </c>
      <c r="E67" s="285" t="s">
        <v>6921</v>
      </c>
      <c r="F67" s="285" t="s">
        <v>9770</v>
      </c>
      <c r="G67" s="285" t="s">
        <v>9771</v>
      </c>
      <c r="H67" s="285" t="s">
        <v>9772</v>
      </c>
      <c r="I67" s="285" t="s">
        <v>9773</v>
      </c>
      <c r="J67" s="285" t="s">
        <v>5224</v>
      </c>
      <c r="K67" s="285" t="s">
        <v>2062</v>
      </c>
      <c r="L67" s="285" t="s">
        <v>9774</v>
      </c>
      <c r="M67" s="285" t="s">
        <v>9383</v>
      </c>
      <c r="N67" s="287" t="str">
        <f>IFERROR(
    IF(
        AND(
            VLOOKUP(B67, 'รายชื่อพนักงานลาออกพ้นสภาพ'!B:I, 8, FALSE)&lt;&gt;"ยกเลิกลาออก",
            VLOOKUP(B67, 'รายชื่อพนักงานลาออกพ้นสภาพ'!B:I, 7, FALSE)&lt;=TODAY()
        ),
        "ลาออกแล้ว",
        ""
    ),
"")</f>
        <v/>
      </c>
      <c r="O67" s="292" t="str">
        <f t="array" ref="O67">IFERROR(INDEX(PCRent!C:D, MATCH(F67 &amp; " " &amp; G67, PCRent!A:A &amp; " " &amp; PCRent!B:B, 0)), "")</f>
        <v/>
      </c>
      <c r="P67" s="293"/>
      <c r="Q67" s="294" t="str">
        <f t="array" ref="Q67">IFERROR(INDEX(MonitorRent!C:D, MATCH(F67 &amp; " " &amp; G67, MonitorRent!A:A &amp; " " &amp; MonitorRent!B:B, 0)), "")</f>
        <v/>
      </c>
      <c r="R67" s="295"/>
    </row>
    <row r="68">
      <c r="A68" s="284">
        <v>65.0</v>
      </c>
      <c r="B68" s="285" t="s">
        <v>9775</v>
      </c>
      <c r="C68" s="285" t="s">
        <v>8796</v>
      </c>
      <c r="D68" s="286" t="s">
        <v>9489</v>
      </c>
      <c r="E68" s="285" t="s">
        <v>6933</v>
      </c>
      <c r="F68" s="285" t="s">
        <v>9776</v>
      </c>
      <c r="G68" s="285" t="s">
        <v>9777</v>
      </c>
      <c r="H68" s="285" t="s">
        <v>9778</v>
      </c>
      <c r="I68" s="285" t="s">
        <v>9779</v>
      </c>
      <c r="J68" s="285" t="s">
        <v>5012</v>
      </c>
      <c r="K68" s="285" t="s">
        <v>9626</v>
      </c>
      <c r="L68" s="285" t="s">
        <v>9475</v>
      </c>
      <c r="M68" s="285" t="s">
        <v>9383</v>
      </c>
      <c r="N68" s="287" t="str">
        <f>IFERROR(
    IF(
        AND(
            VLOOKUP(B68, 'รายชื่อพนักงานลาออกพ้นสภาพ'!B:I, 8, FALSE)&lt;&gt;"ยกเลิกลาออก",
            VLOOKUP(B68, 'รายชื่อพนักงานลาออกพ้นสภาพ'!B:I, 7, FALSE)&lt;=TODAY()
        ),
        "ลาออกแล้ว",
        ""
    ),
"")</f>
        <v/>
      </c>
      <c r="O68" s="292" t="str">
        <f t="array" ref="O68">IFERROR(INDEX(PCRent!C:D, MATCH(F68 &amp; " " &amp; G68, PCRent!A:A &amp; " " &amp; PCRent!B:B, 0)), "")</f>
        <v/>
      </c>
      <c r="P68" s="293"/>
      <c r="Q68" s="294" t="str">
        <f t="array" ref="Q68">IFERROR(INDEX(MonitorRent!C:D, MATCH(F68 &amp; " " &amp; G68, MonitorRent!A:A &amp; " " &amp; MonitorRent!B:B, 0)), "")</f>
        <v/>
      </c>
      <c r="R68" s="295"/>
    </row>
    <row r="69">
      <c r="A69" s="284">
        <v>66.0</v>
      </c>
      <c r="B69" s="285" t="s">
        <v>489</v>
      </c>
      <c r="C69" s="285" t="s">
        <v>8796</v>
      </c>
      <c r="D69" s="286" t="s">
        <v>9780</v>
      </c>
      <c r="E69" s="285" t="s">
        <v>6933</v>
      </c>
      <c r="F69" s="285" t="s">
        <v>9781</v>
      </c>
      <c r="G69" s="285" t="s">
        <v>9782</v>
      </c>
      <c r="H69" s="285" t="s">
        <v>9783</v>
      </c>
      <c r="I69" s="285" t="s">
        <v>493</v>
      </c>
      <c r="J69" s="285" t="s">
        <v>5224</v>
      </c>
      <c r="K69" s="285" t="s">
        <v>9784</v>
      </c>
      <c r="L69" s="285" t="s">
        <v>9599</v>
      </c>
      <c r="M69" s="285" t="s">
        <v>9391</v>
      </c>
      <c r="N69" s="287" t="str">
        <f>IFERROR(
    IF(
        AND(
            VLOOKUP(B69, 'รายชื่อพนักงานลาออกพ้นสภาพ'!B:I, 8, FALSE)&lt;&gt;"ยกเลิกลาออก",
            VLOOKUP(B69, 'รายชื่อพนักงานลาออกพ้นสภาพ'!B:I, 7, FALSE)&lt;=TODAY()
        ),
        "ลาออกแล้ว",
        ""
    ),
"")</f>
        <v>ลาออกแล้ว</v>
      </c>
      <c r="O69" s="292" t="str">
        <f t="array" ref="O69">IFERROR(INDEX(PCRent!C:D, MATCH(F69 &amp; " " &amp; G69, PCRent!A:A &amp; " " &amp; PCRent!B:B, 0)), "")</f>
        <v/>
      </c>
      <c r="P69" s="293"/>
      <c r="Q69" s="294" t="str">
        <f t="array" ref="Q69">IFERROR(INDEX(MonitorRent!C:D, MATCH(F69 &amp; " " &amp; G69, MonitorRent!A:A &amp; " " &amp; MonitorRent!B:B, 0)), "")</f>
        <v/>
      </c>
      <c r="R69" s="295"/>
    </row>
    <row r="70">
      <c r="A70" s="284">
        <v>67.0</v>
      </c>
      <c r="B70" s="285" t="s">
        <v>9785</v>
      </c>
      <c r="C70" s="285" t="s">
        <v>8796</v>
      </c>
      <c r="D70" s="286" t="s">
        <v>9786</v>
      </c>
      <c r="E70" s="285" t="s">
        <v>6933</v>
      </c>
      <c r="F70" s="285" t="s">
        <v>9787</v>
      </c>
      <c r="G70" s="285" t="s">
        <v>9788</v>
      </c>
      <c r="H70" s="285" t="s">
        <v>9789</v>
      </c>
      <c r="I70" s="285" t="s">
        <v>9790</v>
      </c>
      <c r="J70" s="285" t="s">
        <v>5012</v>
      </c>
      <c r="K70" s="285" t="s">
        <v>9626</v>
      </c>
      <c r="L70" s="285" t="s">
        <v>9487</v>
      </c>
      <c r="M70" s="285" t="s">
        <v>9383</v>
      </c>
      <c r="N70" s="287" t="str">
        <f>IFERROR(
    IF(
        AND(
            VLOOKUP(B70, 'รายชื่อพนักงานลาออกพ้นสภาพ'!B:I, 8, FALSE)&lt;&gt;"ยกเลิกลาออก",
            VLOOKUP(B70, 'รายชื่อพนักงานลาออกพ้นสภาพ'!B:I, 7, FALSE)&lt;=TODAY()
        ),
        "ลาออกแล้ว",
        ""
    ),
"")</f>
        <v/>
      </c>
      <c r="O70" s="292" t="str">
        <f t="array" ref="O70">IFERROR(INDEX(PCRent!C:D, MATCH(F70 &amp; " " &amp; G70, PCRent!A:A &amp; " " &amp; PCRent!B:B, 0)), "")</f>
        <v/>
      </c>
      <c r="P70" s="293"/>
      <c r="Q70" s="294" t="str">
        <f t="array" ref="Q70">IFERROR(INDEX(MonitorRent!C:D, MATCH(F70 &amp; " " &amp; G70, MonitorRent!A:A &amp; " " &amp; MonitorRent!B:B, 0)), "")</f>
        <v/>
      </c>
      <c r="R70" s="295"/>
    </row>
    <row r="71">
      <c r="A71" s="284">
        <v>68.0</v>
      </c>
      <c r="B71" s="285" t="s">
        <v>9791</v>
      </c>
      <c r="C71" s="285" t="s">
        <v>8796</v>
      </c>
      <c r="D71" s="286" t="s">
        <v>9681</v>
      </c>
      <c r="E71" s="285" t="s">
        <v>6933</v>
      </c>
      <c r="F71" s="285" t="s">
        <v>9792</v>
      </c>
      <c r="G71" s="285" t="s">
        <v>9793</v>
      </c>
      <c r="H71" s="285" t="s">
        <v>9794</v>
      </c>
      <c r="I71" s="285" t="s">
        <v>9795</v>
      </c>
      <c r="J71" s="285" t="s">
        <v>5012</v>
      </c>
      <c r="K71" s="285" t="s">
        <v>9796</v>
      </c>
      <c r="L71" s="285" t="s">
        <v>2173</v>
      </c>
      <c r="M71" s="285" t="s">
        <v>9383</v>
      </c>
      <c r="N71" s="287" t="str">
        <f>IFERROR(
    IF(
        AND(
            VLOOKUP(B71, 'รายชื่อพนักงานลาออกพ้นสภาพ'!B:I, 8, FALSE)&lt;&gt;"ยกเลิกลาออก",
            VLOOKUP(B71, 'รายชื่อพนักงานลาออกพ้นสภาพ'!B:I, 7, FALSE)&lt;=TODAY()
        ),
        "ลาออกแล้ว",
        ""
    ),
"")</f>
        <v/>
      </c>
      <c r="O71" s="292" t="str">
        <f t="array" ref="O71">IFERROR(INDEX(PCRent!C:D, MATCH(F71 &amp; " " &amp; G71, PCRent!A:A &amp; " " &amp; PCRent!B:B, 0)), "")</f>
        <v/>
      </c>
      <c r="P71" s="293"/>
      <c r="Q71" s="294" t="str">
        <f t="array" ref="Q71">IFERROR(INDEX(MonitorRent!C:D, MATCH(F71 &amp; " " &amp; G71, MonitorRent!A:A &amp; " " &amp; MonitorRent!B:B, 0)), "")</f>
        <v/>
      </c>
      <c r="R71" s="295"/>
    </row>
    <row r="72">
      <c r="A72" s="284">
        <v>69.0</v>
      </c>
      <c r="B72" s="285" t="s">
        <v>9797</v>
      </c>
      <c r="C72" s="285" t="s">
        <v>8796</v>
      </c>
      <c r="D72" s="286" t="s">
        <v>9583</v>
      </c>
      <c r="E72" s="285" t="s">
        <v>6933</v>
      </c>
      <c r="F72" s="285" t="s">
        <v>9798</v>
      </c>
      <c r="G72" s="285" t="s">
        <v>9799</v>
      </c>
      <c r="H72" s="285" t="s">
        <v>9800</v>
      </c>
      <c r="I72" s="285" t="s">
        <v>9801</v>
      </c>
      <c r="J72" s="285" t="s">
        <v>5012</v>
      </c>
      <c r="K72" s="285" t="s">
        <v>9626</v>
      </c>
      <c r="L72" s="285" t="s">
        <v>9643</v>
      </c>
      <c r="M72" s="285" t="s">
        <v>9383</v>
      </c>
      <c r="N72" s="287" t="str">
        <f>IFERROR(
    IF(
        AND(
            VLOOKUP(B72, 'รายชื่อพนักงานลาออกพ้นสภาพ'!B:I, 8, FALSE)&lt;&gt;"ยกเลิกลาออก",
            VLOOKUP(B72, 'รายชื่อพนักงานลาออกพ้นสภาพ'!B:I, 7, FALSE)&lt;=TODAY()
        ),
        "ลาออกแล้ว",
        ""
    ),
"")</f>
        <v/>
      </c>
      <c r="O72" s="292" t="str">
        <f t="array" ref="O72">IFERROR(INDEX(PCRent!C:D, MATCH(F72 &amp; " " &amp; G72, PCRent!A:A &amp; " " &amp; PCRent!B:B, 0)), "")</f>
        <v/>
      </c>
      <c r="P72" s="293"/>
      <c r="Q72" s="294" t="str">
        <f t="array" ref="Q72">IFERROR(INDEX(MonitorRent!C:D, MATCH(F72 &amp; " " &amp; G72, MonitorRent!A:A &amp; " " &amp; MonitorRent!B:B, 0)), "")</f>
        <v/>
      </c>
      <c r="R72" s="295"/>
    </row>
    <row r="73">
      <c r="A73" s="284">
        <v>70.0</v>
      </c>
      <c r="B73" s="285" t="s">
        <v>9802</v>
      </c>
      <c r="C73" s="285" t="s">
        <v>8796</v>
      </c>
      <c r="D73" s="286" t="s">
        <v>9511</v>
      </c>
      <c r="E73" s="285" t="s">
        <v>6921</v>
      </c>
      <c r="F73" s="285" t="s">
        <v>9803</v>
      </c>
      <c r="G73" s="285" t="s">
        <v>9804</v>
      </c>
      <c r="H73" s="285" t="s">
        <v>9805</v>
      </c>
      <c r="I73" s="285" t="s">
        <v>5565</v>
      </c>
      <c r="J73" s="285" t="s">
        <v>5224</v>
      </c>
      <c r="K73" s="285" t="s">
        <v>4749</v>
      </c>
      <c r="L73" s="285" t="s">
        <v>9806</v>
      </c>
      <c r="M73" s="285" t="s">
        <v>9383</v>
      </c>
      <c r="N73" s="287" t="str">
        <f>IFERROR(
    IF(
        AND(
            VLOOKUP(B73, 'รายชื่อพนักงานลาออกพ้นสภาพ'!B:I, 8, FALSE)&lt;&gt;"ยกเลิกลาออก",
            VLOOKUP(B73, 'รายชื่อพนักงานลาออกพ้นสภาพ'!B:I, 7, FALSE)&lt;=TODAY()
        ),
        "ลาออกแล้ว",
        ""
    ),
"")</f>
        <v/>
      </c>
      <c r="O73" s="292" t="str">
        <f t="array" ref="O73:P73">IFERROR(INDEX(PCRent!C:D, MATCH(F73 &amp; " " &amp; G73, PCRent!A:A &amp; " " &amp; PCRent!B:B, 0)), "")</f>
        <v>SN:MP2M8GAA</v>
      </c>
      <c r="P73" s="293" t="s">
        <v>7248</v>
      </c>
      <c r="Q73" s="294" t="str">
        <f t="array" ref="Q73">IFERROR(INDEX(MonitorRent!C:D, MATCH(F73 &amp; " " &amp; G73, MonitorRent!A:A &amp; " " &amp; MonitorRent!B:B, 0)), "")</f>
        <v/>
      </c>
      <c r="R73" s="295"/>
    </row>
    <row r="74">
      <c r="A74" s="284">
        <v>71.0</v>
      </c>
      <c r="B74" s="285" t="s">
        <v>9807</v>
      </c>
      <c r="C74" s="285" t="s">
        <v>8796</v>
      </c>
      <c r="D74" s="286" t="s">
        <v>9576</v>
      </c>
      <c r="E74" s="285" t="s">
        <v>6933</v>
      </c>
      <c r="F74" s="285" t="s">
        <v>9808</v>
      </c>
      <c r="G74" s="285" t="s">
        <v>9809</v>
      </c>
      <c r="H74" s="285" t="s">
        <v>9810</v>
      </c>
      <c r="I74" s="285" t="s">
        <v>9811</v>
      </c>
      <c r="J74" s="285" t="s">
        <v>5012</v>
      </c>
      <c r="K74" s="285" t="s">
        <v>9703</v>
      </c>
      <c r="L74" s="285" t="s">
        <v>9812</v>
      </c>
      <c r="M74" s="285" t="s">
        <v>9383</v>
      </c>
      <c r="N74" s="287" t="str">
        <f>IFERROR(
    IF(
        AND(
            VLOOKUP(B74, 'รายชื่อพนักงานลาออกพ้นสภาพ'!B:I, 8, FALSE)&lt;&gt;"ยกเลิกลาออก",
            VLOOKUP(B74, 'รายชื่อพนักงานลาออกพ้นสภาพ'!B:I, 7, FALSE)&lt;=TODAY()
        ),
        "ลาออกแล้ว",
        ""
    ),
"")</f>
        <v/>
      </c>
      <c r="O74" s="292" t="str">
        <f t="array" ref="O74">IFERROR(INDEX(PCRent!C:D, MATCH(F74 &amp; " " &amp; G74, PCRent!A:A &amp; " " &amp; PCRent!B:B, 0)), "")</f>
        <v/>
      </c>
      <c r="P74" s="293"/>
      <c r="Q74" s="294" t="str">
        <f t="array" ref="Q74">IFERROR(INDEX(MonitorRent!C:D, MATCH(F74 &amp; " " &amp; G74, MonitorRent!A:A &amp; " " &amp; MonitorRent!B:B, 0)), "")</f>
        <v/>
      </c>
      <c r="R74" s="295"/>
    </row>
    <row r="75">
      <c r="A75" s="284">
        <v>72.0</v>
      </c>
      <c r="B75" s="285" t="s">
        <v>9813</v>
      </c>
      <c r="C75" s="285" t="s">
        <v>8796</v>
      </c>
      <c r="D75" s="286" t="s">
        <v>9814</v>
      </c>
      <c r="E75" s="285" t="s">
        <v>6921</v>
      </c>
      <c r="F75" s="285" t="s">
        <v>9815</v>
      </c>
      <c r="G75" s="285" t="s">
        <v>9816</v>
      </c>
      <c r="H75" s="285" t="s">
        <v>9817</v>
      </c>
      <c r="I75" s="285" t="s">
        <v>9818</v>
      </c>
      <c r="J75" s="285" t="s">
        <v>5012</v>
      </c>
      <c r="K75" s="285" t="s">
        <v>3000</v>
      </c>
      <c r="L75" s="285" t="s">
        <v>9686</v>
      </c>
      <c r="M75" s="285" t="s">
        <v>9383</v>
      </c>
      <c r="N75" s="287" t="str">
        <f>IFERROR(
    IF(
        AND(
            VLOOKUP(B75, 'รายชื่อพนักงานลาออกพ้นสภาพ'!B:I, 8, FALSE)&lt;&gt;"ยกเลิกลาออก",
            VLOOKUP(B75, 'รายชื่อพนักงานลาออกพ้นสภาพ'!B:I, 7, FALSE)&lt;=TODAY()
        ),
        "ลาออกแล้ว",
        ""
    ),
"")</f>
        <v/>
      </c>
      <c r="O75" s="292" t="str">
        <f t="array" ref="O75">IFERROR(INDEX(PCRent!C:D, MATCH(F75 &amp; " " &amp; G75, PCRent!A:A &amp; " " &amp; PCRent!B:B, 0)), "")</f>
        <v/>
      </c>
      <c r="P75" s="293"/>
      <c r="Q75" s="294" t="str">
        <f t="array" ref="Q75">IFERROR(INDEX(MonitorRent!C:D, MATCH(F75 &amp; " " &amp; G75, MonitorRent!A:A &amp; " " &amp; MonitorRent!B:B, 0)), "")</f>
        <v/>
      </c>
      <c r="R75" s="295"/>
    </row>
    <row r="76">
      <c r="A76" s="284">
        <v>73.0</v>
      </c>
      <c r="B76" s="285" t="s">
        <v>869</v>
      </c>
      <c r="C76" s="285" t="s">
        <v>8796</v>
      </c>
      <c r="D76" s="286" t="s">
        <v>9819</v>
      </c>
      <c r="E76" s="285" t="s">
        <v>6921</v>
      </c>
      <c r="F76" s="285" t="s">
        <v>9820</v>
      </c>
      <c r="G76" s="285" t="s">
        <v>9821</v>
      </c>
      <c r="H76" s="285" t="s">
        <v>9822</v>
      </c>
      <c r="I76" s="285" t="s">
        <v>873</v>
      </c>
      <c r="J76" s="285" t="s">
        <v>5224</v>
      </c>
      <c r="K76" s="285" t="s">
        <v>1386</v>
      </c>
      <c r="L76" s="285" t="s">
        <v>9738</v>
      </c>
      <c r="M76" s="285" t="s">
        <v>9383</v>
      </c>
      <c r="N76" s="287" t="str">
        <f>IFERROR(
    IF(
        AND(
            VLOOKUP(B76, 'รายชื่อพนักงานลาออกพ้นสภาพ'!B:I, 8, FALSE)&lt;&gt;"ยกเลิกลาออก",
            VLOOKUP(B76, 'รายชื่อพนักงานลาออกพ้นสภาพ'!B:I, 7, FALSE)&lt;=TODAY()
        ),
        "ลาออกแล้ว",
        ""
    ),
"")</f>
        <v/>
      </c>
      <c r="O76" s="292" t="str">
        <f t="array" ref="O76">IFERROR(INDEX(PCRent!C:D, MATCH(F76 &amp; " " &amp; G76, PCRent!A:A &amp; " " &amp; PCRent!B:B, 0)), "")</f>
        <v/>
      </c>
      <c r="P76" s="293"/>
      <c r="Q76" s="294" t="str">
        <f t="array" ref="Q76">IFERROR(INDEX(MonitorRent!C:D, MATCH(F76 &amp; " " &amp; G76, MonitorRent!A:A &amp; " " &amp; MonitorRent!B:B, 0)), "")</f>
        <v/>
      </c>
      <c r="R76" s="295"/>
    </row>
    <row r="77">
      <c r="A77" s="284">
        <v>74.0</v>
      </c>
      <c r="B77" s="285" t="s">
        <v>9823</v>
      </c>
      <c r="C77" s="285" t="s">
        <v>8796</v>
      </c>
      <c r="D77" s="286" t="s">
        <v>9824</v>
      </c>
      <c r="E77" s="285" t="s">
        <v>6921</v>
      </c>
      <c r="F77" s="285" t="s">
        <v>9825</v>
      </c>
      <c r="G77" s="285" t="s">
        <v>9826</v>
      </c>
      <c r="H77" s="285" t="s">
        <v>9827</v>
      </c>
      <c r="I77" s="285" t="s">
        <v>9828</v>
      </c>
      <c r="J77" s="285" t="s">
        <v>5012</v>
      </c>
      <c r="K77" s="285" t="s">
        <v>4818</v>
      </c>
      <c r="L77" s="285" t="s">
        <v>9704</v>
      </c>
      <c r="M77" s="285" t="s">
        <v>9383</v>
      </c>
      <c r="N77" s="287" t="str">
        <f>IFERROR(
    IF(
        AND(
            VLOOKUP(B77, 'รายชื่อพนักงานลาออกพ้นสภาพ'!B:I, 8, FALSE)&lt;&gt;"ยกเลิกลาออก",
            VLOOKUP(B77, 'รายชื่อพนักงานลาออกพ้นสภาพ'!B:I, 7, FALSE)&lt;=TODAY()
        ),
        "ลาออกแล้ว",
        ""
    ),
"")</f>
        <v/>
      </c>
      <c r="O77" s="292" t="str">
        <f t="array" ref="O77:P77">IFERROR(INDEX(PCRent!C:D, MATCH(F77 &amp; " " &amp; G77, PCRent!A:A &amp; " " &amp; PCRent!B:B, 0)), "")</f>
        <v>SN:MP2AN2C0</v>
      </c>
      <c r="P77" s="293" t="s">
        <v>9562</v>
      </c>
      <c r="Q77" s="294" t="str">
        <f t="array" ref="Q77">IFERROR(INDEX(MonitorRent!C:D, MATCH(F77 &amp; " " &amp; G77, MonitorRent!A:A &amp; " " &amp; MonitorRent!B:B, 0)), "")</f>
        <v/>
      </c>
      <c r="R77" s="295"/>
    </row>
    <row r="78">
      <c r="A78" s="284">
        <v>75.0</v>
      </c>
      <c r="B78" s="285" t="s">
        <v>5062</v>
      </c>
      <c r="C78" s="285" t="s">
        <v>8796</v>
      </c>
      <c r="D78" s="286" t="s">
        <v>9829</v>
      </c>
      <c r="E78" s="285" t="s">
        <v>6921</v>
      </c>
      <c r="F78" s="285" t="s">
        <v>9830</v>
      </c>
      <c r="G78" s="285" t="s">
        <v>9831</v>
      </c>
      <c r="H78" s="285" t="s">
        <v>9832</v>
      </c>
      <c r="I78" s="285" t="s">
        <v>5063</v>
      </c>
      <c r="J78" s="285" t="s">
        <v>5224</v>
      </c>
      <c r="K78" s="285" t="s">
        <v>9503</v>
      </c>
      <c r="L78" s="285" t="s">
        <v>3179</v>
      </c>
      <c r="M78" s="285" t="s">
        <v>9391</v>
      </c>
      <c r="N78" s="287" t="str">
        <f>IFERROR(
    IF(
        AND(
            VLOOKUP(B78, 'รายชื่อพนักงานลาออกพ้นสภาพ'!B:I, 8, FALSE)&lt;&gt;"ยกเลิกลาออก",
            VLOOKUP(B78, 'รายชื่อพนักงานลาออกพ้นสภาพ'!B:I, 7, FALSE)&lt;=TODAY()
        ),
        "ลาออกแล้ว",
        ""
    ),
"")</f>
        <v/>
      </c>
      <c r="O78" s="292" t="str">
        <f t="array" ref="O78">IFERROR(INDEX(PCRent!C:D, MATCH(F78 &amp; " " &amp; G78, PCRent!A:A &amp; " " &amp; PCRent!B:B, 0)), "")</f>
        <v/>
      </c>
      <c r="P78" s="293"/>
      <c r="Q78" s="294" t="str">
        <f t="array" ref="Q78">IFERROR(INDEX(MonitorRent!C:D, MATCH(F78 &amp; " " &amp; G78, MonitorRent!A:A &amp; " " &amp; MonitorRent!B:B, 0)), "")</f>
        <v/>
      </c>
      <c r="R78" s="295"/>
    </row>
    <row r="79">
      <c r="A79" s="284">
        <v>76.0</v>
      </c>
      <c r="B79" s="285" t="s">
        <v>354</v>
      </c>
      <c r="C79" s="285" t="s">
        <v>8796</v>
      </c>
      <c r="D79" s="286" t="s">
        <v>9547</v>
      </c>
      <c r="E79" s="285" t="s">
        <v>6921</v>
      </c>
      <c r="F79" s="285" t="s">
        <v>9833</v>
      </c>
      <c r="G79" s="285" t="s">
        <v>9834</v>
      </c>
      <c r="H79" s="285" t="s">
        <v>9835</v>
      </c>
      <c r="I79" s="285" t="s">
        <v>358</v>
      </c>
      <c r="J79" s="285" t="s">
        <v>5224</v>
      </c>
      <c r="K79" s="285" t="s">
        <v>9836</v>
      </c>
      <c r="L79" s="285" t="s">
        <v>9762</v>
      </c>
      <c r="M79" s="285" t="s">
        <v>9391</v>
      </c>
      <c r="N79" s="287" t="str">
        <f>IFERROR(
    IF(
        AND(
            VLOOKUP(B79, 'รายชื่อพนักงานลาออกพ้นสภาพ'!B:I, 8, FALSE)&lt;&gt;"ยกเลิกลาออก",
            VLOOKUP(B79, 'รายชื่อพนักงานลาออกพ้นสภาพ'!B:I, 7, FALSE)&lt;=TODAY()
        ),
        "ลาออกแล้ว",
        ""
    ),
"")</f>
        <v>ลาออกแล้ว</v>
      </c>
      <c r="O79" s="292" t="str">
        <f t="array" ref="O79">IFERROR(INDEX(PCRent!C:D, MATCH(F79 &amp; " " &amp; G79, PCRent!A:A &amp; " " &amp; PCRent!B:B, 0)), "")</f>
        <v/>
      </c>
      <c r="P79" s="293"/>
      <c r="Q79" s="294" t="str">
        <f t="array" ref="Q79">IFERROR(INDEX(MonitorRent!C:D, MATCH(F79 &amp; " " &amp; G79, MonitorRent!A:A &amp; " " &amp; MonitorRent!B:B, 0)), "")</f>
        <v/>
      </c>
      <c r="R79" s="295"/>
    </row>
    <row r="80">
      <c r="A80" s="284">
        <v>77.0</v>
      </c>
      <c r="B80" s="285" t="s">
        <v>9285</v>
      </c>
      <c r="C80" s="285" t="s">
        <v>8796</v>
      </c>
      <c r="D80" s="286" t="s">
        <v>9837</v>
      </c>
      <c r="E80" s="285" t="s">
        <v>6921</v>
      </c>
      <c r="F80" s="285" t="s">
        <v>9838</v>
      </c>
      <c r="G80" s="285" t="s">
        <v>9839</v>
      </c>
      <c r="H80" s="285" t="s">
        <v>9840</v>
      </c>
      <c r="I80" s="285" t="s">
        <v>9841</v>
      </c>
      <c r="J80" s="285" t="s">
        <v>5224</v>
      </c>
      <c r="K80" s="285" t="s">
        <v>1386</v>
      </c>
      <c r="L80" s="285" t="s">
        <v>9282</v>
      </c>
      <c r="M80" s="285" t="s">
        <v>9383</v>
      </c>
      <c r="N80" s="287" t="str">
        <f>IFERROR(
    IF(
        AND(
            VLOOKUP(B80, 'รายชื่อพนักงานลาออกพ้นสภาพ'!B:I, 8, FALSE)&lt;&gt;"ยกเลิกลาออก",
            VLOOKUP(B80, 'รายชื่อพนักงานลาออกพ้นสภาพ'!B:I, 7, FALSE)&lt;=TODAY()
        ),
        "ลาออกแล้ว",
        ""
    ),
"")</f>
        <v/>
      </c>
      <c r="O80" s="292" t="str">
        <f t="array" ref="O80:P80">IFERROR(INDEX(PCRent!C:D, MATCH(F80 &amp; " " &amp; G80, PCRent!A:A &amp; " " &amp; PCRent!B:B, 0)), "")</f>
        <v>SN:FXYNPY3</v>
      </c>
      <c r="P80" s="293" t="s">
        <v>7048</v>
      </c>
      <c r="Q80" s="294" t="str">
        <f t="array" ref="Q80:R80">IFERROR(INDEX(MonitorRent!C:D, MATCH(F80 &amp; " " &amp; G80, MonitorRent!A:A &amp; " " &amp; MonitorRent!B:B, 0)), "")</f>
        <v>SN:C7SMYV3</v>
      </c>
      <c r="R80" s="295" t="s">
        <v>7050</v>
      </c>
    </row>
    <row r="81">
      <c r="A81" s="284">
        <v>78.0</v>
      </c>
      <c r="B81" s="285" t="s">
        <v>4952</v>
      </c>
      <c r="C81" s="285" t="s">
        <v>8796</v>
      </c>
      <c r="D81" s="286" t="s">
        <v>9842</v>
      </c>
      <c r="E81" s="285" t="s">
        <v>6921</v>
      </c>
      <c r="F81" s="285" t="s">
        <v>9843</v>
      </c>
      <c r="G81" s="285" t="s">
        <v>9844</v>
      </c>
      <c r="H81" s="285" t="s">
        <v>9845</v>
      </c>
      <c r="I81" s="285" t="s">
        <v>4954</v>
      </c>
      <c r="J81" s="285" t="s">
        <v>5224</v>
      </c>
      <c r="K81" s="285" t="s">
        <v>9767</v>
      </c>
      <c r="L81" s="285" t="s">
        <v>5805</v>
      </c>
      <c r="M81" s="285" t="s">
        <v>9383</v>
      </c>
      <c r="N81" s="287" t="str">
        <f>IFERROR(
    IF(
        AND(
            VLOOKUP(B81, 'รายชื่อพนักงานลาออกพ้นสภาพ'!B:I, 8, FALSE)&lt;&gt;"ยกเลิกลาออก",
            VLOOKUP(B81, 'รายชื่อพนักงานลาออกพ้นสภาพ'!B:I, 7, FALSE)&lt;=TODAY()
        ),
        "ลาออกแล้ว",
        ""
    ),
"")</f>
        <v/>
      </c>
      <c r="O81" s="292" t="str">
        <f t="array" ref="O81:P81">IFERROR(INDEX(PCRent!C:D, MATCH(F81 &amp; " " &amp; G81, PCRent!A:A &amp; " " &amp; PCRent!B:B, 0)), "")</f>
        <v>SN:9VRKQ04</v>
      </c>
      <c r="P81" s="293" t="s">
        <v>7048</v>
      </c>
      <c r="Q81" s="294" t="str">
        <f t="array" ref="Q81:R81">IFERROR(INDEX(MonitorRent!C:D, MATCH(F81 &amp; " " &amp; G81, MonitorRent!A:A &amp; " " &amp; MonitorRent!B:B, 0)), "")</f>
        <v>SN:91X9XY3</v>
      </c>
      <c r="R81" s="295" t="s">
        <v>9397</v>
      </c>
    </row>
    <row r="82">
      <c r="A82" s="284">
        <v>79.0</v>
      </c>
      <c r="B82" s="285" t="s">
        <v>9260</v>
      </c>
      <c r="C82" s="285" t="s">
        <v>8796</v>
      </c>
      <c r="D82" s="286" t="s">
        <v>9846</v>
      </c>
      <c r="E82" s="285" t="s">
        <v>6921</v>
      </c>
      <c r="F82" s="285" t="s">
        <v>9847</v>
      </c>
      <c r="G82" s="285" t="s">
        <v>9848</v>
      </c>
      <c r="H82" s="285" t="s">
        <v>9849</v>
      </c>
      <c r="I82" s="285" t="s">
        <v>9850</v>
      </c>
      <c r="J82" s="285" t="s">
        <v>5224</v>
      </c>
      <c r="K82" s="285" t="s">
        <v>9851</v>
      </c>
      <c r="L82" s="285" t="s">
        <v>9246</v>
      </c>
      <c r="M82" s="285" t="s">
        <v>9383</v>
      </c>
      <c r="N82" s="287" t="str">
        <f>IFERROR(
    IF(
        AND(
            VLOOKUP(B82, 'รายชื่อพนักงานลาออกพ้นสภาพ'!B:I, 8, FALSE)&lt;&gt;"ยกเลิกลาออก",
            VLOOKUP(B82, 'รายชื่อพนักงานลาออกพ้นสภาพ'!B:I, 7, FALSE)&lt;=TODAY()
        ),
        "ลาออกแล้ว",
        ""
    ),
"")</f>
        <v/>
      </c>
      <c r="O82" s="292" t="str">
        <f t="array" ref="O82:P82">IFERROR(INDEX(PCRent!C:D, MATCH(F82 &amp; " " &amp; G82, PCRent!A:A &amp; " " &amp; PCRent!B:B, 0)), "")</f>
        <v>SN:9PRKQ04</v>
      </c>
      <c r="P82" s="293" t="s">
        <v>7048</v>
      </c>
      <c r="Q82" s="294" t="str">
        <f t="array" ref="Q82:R82">IFERROR(INDEX(MonitorRent!C:D, MATCH(F82 &amp; " " &amp; G82, MonitorRent!A:A &amp; " " &amp; MonitorRent!B:B, 0)), "")</f>
        <v>SN:9027XY3</v>
      </c>
      <c r="R82" s="295" t="s">
        <v>9397</v>
      </c>
    </row>
    <row r="83">
      <c r="A83" s="284">
        <v>80.0</v>
      </c>
      <c r="B83" s="285" t="s">
        <v>9852</v>
      </c>
      <c r="C83" s="285" t="s">
        <v>8796</v>
      </c>
      <c r="D83" s="286" t="s">
        <v>9853</v>
      </c>
      <c r="E83" s="285" t="s">
        <v>6921</v>
      </c>
      <c r="F83" s="285" t="s">
        <v>9854</v>
      </c>
      <c r="G83" s="285" t="s">
        <v>9855</v>
      </c>
      <c r="H83" s="285" t="s">
        <v>9856</v>
      </c>
      <c r="I83" s="285" t="s">
        <v>9857</v>
      </c>
      <c r="J83" s="285" t="s">
        <v>5224</v>
      </c>
      <c r="K83" s="285" t="s">
        <v>9858</v>
      </c>
      <c r="L83" s="285" t="s">
        <v>9611</v>
      </c>
      <c r="M83" s="285" t="s">
        <v>9383</v>
      </c>
      <c r="N83" s="287" t="str">
        <f>IFERROR(
    IF(
        AND(
            VLOOKUP(B83, 'รายชื่อพนักงานลาออกพ้นสภาพ'!B:I, 8, FALSE)&lt;&gt;"ยกเลิกลาออก",
            VLOOKUP(B83, 'รายชื่อพนักงานลาออกพ้นสภาพ'!B:I, 7, FALSE)&lt;=TODAY()
        ),
        "ลาออกแล้ว",
        ""
    ),
"")</f>
        <v/>
      </c>
      <c r="O83" s="292" t="str">
        <f t="array" ref="O83:P83">IFERROR(INDEX(PCRent!C:D, MATCH(F83 &amp; " " &amp; G83, PCRent!A:A &amp; " " &amp; PCRent!B:B, 0)), "")</f>
        <v>SN:8K6MBZ3</v>
      </c>
      <c r="P83" s="293" t="s">
        <v>7048</v>
      </c>
      <c r="Q83" s="294" t="str">
        <f t="array" ref="Q83:R83">IFERROR(INDEX(MonitorRent!C:D, MATCH(F83 &amp; " " &amp; G83, MonitorRent!A:A &amp; " " &amp; MonitorRent!B:B, 0)), "")</f>
        <v>SN:HLF0ZV3</v>
      </c>
      <c r="R83" s="295" t="s">
        <v>7050</v>
      </c>
    </row>
    <row r="84">
      <c r="A84" s="284">
        <v>81.0</v>
      </c>
      <c r="B84" s="285" t="s">
        <v>9859</v>
      </c>
      <c r="C84" s="285" t="s">
        <v>8796</v>
      </c>
      <c r="D84" s="286" t="s">
        <v>9853</v>
      </c>
      <c r="E84" s="285" t="s">
        <v>6933</v>
      </c>
      <c r="F84" s="285" t="s">
        <v>9860</v>
      </c>
      <c r="G84" s="285" t="s">
        <v>9861</v>
      </c>
      <c r="H84" s="285" t="s">
        <v>9862</v>
      </c>
      <c r="I84" s="285" t="s">
        <v>9863</v>
      </c>
      <c r="J84" s="285" t="s">
        <v>5012</v>
      </c>
      <c r="K84" s="285" t="s">
        <v>9633</v>
      </c>
      <c r="L84" s="285" t="s">
        <v>9734</v>
      </c>
      <c r="M84" s="285" t="s">
        <v>9383</v>
      </c>
      <c r="N84" s="287" t="str">
        <f>IFERROR(
    IF(
        AND(
            VLOOKUP(B84, 'รายชื่อพนักงานลาออกพ้นสภาพ'!B:I, 8, FALSE)&lt;&gt;"ยกเลิกลาออก",
            VLOOKUP(B84, 'รายชื่อพนักงานลาออกพ้นสภาพ'!B:I, 7, FALSE)&lt;=TODAY()
        ),
        "ลาออกแล้ว",
        ""
    ),
"")</f>
        <v/>
      </c>
      <c r="O84" s="292" t="str">
        <f t="array" ref="O84:P84">IFERROR(INDEX(PCRent!C:D, MATCH(F84 &amp; " " &amp; G84, PCRent!A:A &amp; " " &amp; PCRent!B:B, 0)), "")</f>
        <v>SN:4JT2CZ3</v>
      </c>
      <c r="P84" s="293" t="s">
        <v>7048</v>
      </c>
      <c r="Q84" s="294" t="str">
        <f t="array" ref="Q84:R84">IFERROR(INDEX(MonitorRent!C:D, MATCH(F84 &amp; " " &amp; G84, MonitorRent!A:A &amp; " " &amp; MonitorRent!B:B, 0)), "")</f>
        <v>SN:91B8XY3</v>
      </c>
      <c r="R84" s="295" t="s">
        <v>7050</v>
      </c>
    </row>
    <row r="85">
      <c r="A85" s="284">
        <v>82.0</v>
      </c>
      <c r="B85" s="285" t="s">
        <v>9864</v>
      </c>
      <c r="C85" s="285" t="s">
        <v>8796</v>
      </c>
      <c r="D85" s="286" t="s">
        <v>9865</v>
      </c>
      <c r="E85" s="285" t="s">
        <v>6921</v>
      </c>
      <c r="F85" s="285" t="s">
        <v>9866</v>
      </c>
      <c r="G85" s="285" t="s">
        <v>9867</v>
      </c>
      <c r="H85" s="285" t="s">
        <v>9868</v>
      </c>
      <c r="I85" s="285" t="s">
        <v>9869</v>
      </c>
      <c r="J85" s="285" t="s">
        <v>5012</v>
      </c>
      <c r="K85" s="285" t="s">
        <v>9588</v>
      </c>
      <c r="L85" s="285" t="s">
        <v>9734</v>
      </c>
      <c r="M85" s="285" t="s">
        <v>9383</v>
      </c>
      <c r="N85" s="287" t="str">
        <f>IFERROR(
    IF(
        AND(
            VLOOKUP(B85, 'รายชื่อพนักงานลาออกพ้นสภาพ'!B:I, 8, FALSE)&lt;&gt;"ยกเลิกลาออก",
            VLOOKUP(B85, 'รายชื่อพนักงานลาออกพ้นสภาพ'!B:I, 7, FALSE)&lt;=TODAY()
        ),
        "ลาออกแล้ว",
        ""
    ),
"")</f>
        <v/>
      </c>
      <c r="O85" s="292" t="str">
        <f t="array" ref="O85">IFERROR(INDEX(PCRent!C:D, MATCH(F85 &amp; " " &amp; G85, PCRent!A:A &amp; " " &amp; PCRent!B:B, 0)), "")</f>
        <v/>
      </c>
      <c r="P85" s="293"/>
      <c r="Q85" s="294" t="str">
        <f t="array" ref="Q85">IFERROR(INDEX(MonitorRent!C:D, MATCH(F85 &amp; " " &amp; G85, MonitorRent!A:A &amp; " " &amp; MonitorRent!B:B, 0)), "")</f>
        <v/>
      </c>
      <c r="R85" s="295"/>
    </row>
    <row r="86">
      <c r="A86" s="284">
        <v>83.0</v>
      </c>
      <c r="B86" s="285" t="s">
        <v>9870</v>
      </c>
      <c r="C86" s="285" t="s">
        <v>8796</v>
      </c>
      <c r="D86" s="286" t="s">
        <v>9871</v>
      </c>
      <c r="E86" s="285" t="s">
        <v>6921</v>
      </c>
      <c r="F86" s="285" t="s">
        <v>9872</v>
      </c>
      <c r="G86" s="285" t="s">
        <v>9873</v>
      </c>
      <c r="H86" s="285" t="s">
        <v>9874</v>
      </c>
      <c r="I86" s="285" t="s">
        <v>5561</v>
      </c>
      <c r="J86" s="285" t="s">
        <v>5224</v>
      </c>
      <c r="K86" s="285" t="s">
        <v>4835</v>
      </c>
      <c r="L86" s="285" t="s">
        <v>9762</v>
      </c>
      <c r="M86" s="285" t="s">
        <v>9383</v>
      </c>
      <c r="N86" s="287" t="str">
        <f>IFERROR(
    IF(
        AND(
            VLOOKUP(B86, 'รายชื่อพนักงานลาออกพ้นสภาพ'!B:I, 8, FALSE)&lt;&gt;"ยกเลิกลาออก",
            VLOOKUP(B86, 'รายชื่อพนักงานลาออกพ้นสภาพ'!B:I, 7, FALSE)&lt;=TODAY()
        ),
        "ลาออกแล้ว",
        ""
    ),
"")</f>
        <v/>
      </c>
      <c r="O86" s="292" t="str">
        <f t="array" ref="O86">IFERROR(INDEX(PCRent!C:D, MATCH(F86 &amp; " " &amp; G86, PCRent!A:A &amp; " " &amp; PCRent!B:B, 0)), "")</f>
        <v/>
      </c>
      <c r="P86" s="293"/>
      <c r="Q86" s="294" t="str">
        <f t="array" ref="Q86">IFERROR(INDEX(MonitorRent!C:D, MATCH(F86 &amp; " " &amp; G86, MonitorRent!A:A &amp; " " &amp; MonitorRent!B:B, 0)), "")</f>
        <v/>
      </c>
      <c r="R86" s="295"/>
    </row>
    <row r="87">
      <c r="A87" s="284">
        <v>84.0</v>
      </c>
      <c r="B87" s="285" t="s">
        <v>9875</v>
      </c>
      <c r="C87" s="285" t="s">
        <v>8796</v>
      </c>
      <c r="D87" s="286" t="s">
        <v>9876</v>
      </c>
      <c r="E87" s="285" t="s">
        <v>6933</v>
      </c>
      <c r="F87" s="285" t="s">
        <v>9877</v>
      </c>
      <c r="G87" s="285" t="s">
        <v>9878</v>
      </c>
      <c r="H87" s="285" t="s">
        <v>9879</v>
      </c>
      <c r="I87" s="285" t="s">
        <v>9880</v>
      </c>
      <c r="J87" s="285" t="s">
        <v>5012</v>
      </c>
      <c r="K87" s="285" t="s">
        <v>9626</v>
      </c>
      <c r="L87" s="285" t="s">
        <v>9487</v>
      </c>
      <c r="M87" s="285" t="s">
        <v>9383</v>
      </c>
      <c r="N87" s="287" t="str">
        <f>IFERROR(
    IF(
        AND(
            VLOOKUP(B87, 'รายชื่อพนักงานลาออกพ้นสภาพ'!B:I, 8, FALSE)&lt;&gt;"ยกเลิกลาออก",
            VLOOKUP(B87, 'รายชื่อพนักงานลาออกพ้นสภาพ'!B:I, 7, FALSE)&lt;=TODAY()
        ),
        "ลาออกแล้ว",
        ""
    ),
"")</f>
        <v/>
      </c>
      <c r="O87" s="292" t="str">
        <f t="array" ref="O87">IFERROR(INDEX(PCRent!C:D, MATCH(F87 &amp; " " &amp; G87, PCRent!A:A &amp; " " &amp; PCRent!B:B, 0)), "")</f>
        <v/>
      </c>
      <c r="P87" s="293"/>
      <c r="Q87" s="294" t="str">
        <f t="array" ref="Q87">IFERROR(INDEX(MonitorRent!C:D, MATCH(F87 &amp; " " &amp; G87, MonitorRent!A:A &amp; " " &amp; MonitorRent!B:B, 0)), "")</f>
        <v/>
      </c>
      <c r="R87" s="295"/>
    </row>
    <row r="88">
      <c r="A88" s="284">
        <v>85.0</v>
      </c>
      <c r="B88" s="285" t="s">
        <v>9881</v>
      </c>
      <c r="C88" s="285" t="s">
        <v>8796</v>
      </c>
      <c r="D88" s="286" t="s">
        <v>9882</v>
      </c>
      <c r="E88" s="285" t="s">
        <v>6933</v>
      </c>
      <c r="F88" s="285" t="s">
        <v>9883</v>
      </c>
      <c r="G88" s="285" t="s">
        <v>9884</v>
      </c>
      <c r="H88" s="285" t="s">
        <v>9885</v>
      </c>
      <c r="I88" s="285" t="s">
        <v>9886</v>
      </c>
      <c r="J88" s="285" t="s">
        <v>5012</v>
      </c>
      <c r="K88" s="285" t="s">
        <v>9474</v>
      </c>
      <c r="L88" s="285" t="s">
        <v>9475</v>
      </c>
      <c r="M88" s="285" t="s">
        <v>9383</v>
      </c>
      <c r="N88" s="287" t="str">
        <f>IFERROR(
    IF(
        AND(
            VLOOKUP(B88, 'รายชื่อพนักงานลาออกพ้นสภาพ'!B:I, 8, FALSE)&lt;&gt;"ยกเลิกลาออก",
            VLOOKUP(B88, 'รายชื่อพนักงานลาออกพ้นสภาพ'!B:I, 7, FALSE)&lt;=TODAY()
        ),
        "ลาออกแล้ว",
        ""
    ),
"")</f>
        <v/>
      </c>
      <c r="O88" s="292" t="str">
        <f t="array" ref="O88">IFERROR(INDEX(PCRent!C:D, MATCH(F88 &amp; " " &amp; G88, PCRent!A:A &amp; " " &amp; PCRent!B:B, 0)), "")</f>
        <v/>
      </c>
      <c r="P88" s="293"/>
      <c r="Q88" s="294" t="str">
        <f t="array" ref="Q88">IFERROR(INDEX(MonitorRent!C:D, MATCH(F88 &amp; " " &amp; G88, MonitorRent!A:A &amp; " " &amp; MonitorRent!B:B, 0)), "")</f>
        <v/>
      </c>
      <c r="R88" s="295"/>
    </row>
    <row r="89">
      <c r="A89" s="284">
        <v>86.0</v>
      </c>
      <c r="B89" s="285" t="s">
        <v>9887</v>
      </c>
      <c r="C89" s="285" t="s">
        <v>8796</v>
      </c>
      <c r="D89" s="286" t="s">
        <v>9888</v>
      </c>
      <c r="E89" s="285" t="s">
        <v>6933</v>
      </c>
      <c r="F89" s="285" t="s">
        <v>9889</v>
      </c>
      <c r="G89" s="285" t="s">
        <v>9890</v>
      </c>
      <c r="H89" s="285" t="s">
        <v>9891</v>
      </c>
      <c r="I89" s="285" t="s">
        <v>9892</v>
      </c>
      <c r="J89" s="285" t="s">
        <v>5012</v>
      </c>
      <c r="K89" s="285" t="s">
        <v>9474</v>
      </c>
      <c r="L89" s="285" t="s">
        <v>9475</v>
      </c>
      <c r="M89" s="285" t="s">
        <v>9383</v>
      </c>
      <c r="N89" s="287" t="str">
        <f>IFERROR(
    IF(
        AND(
            VLOOKUP(B89, 'รายชื่อพนักงานลาออกพ้นสภาพ'!B:I, 8, FALSE)&lt;&gt;"ยกเลิกลาออก",
            VLOOKUP(B89, 'รายชื่อพนักงานลาออกพ้นสภาพ'!B:I, 7, FALSE)&lt;=TODAY()
        ),
        "ลาออกแล้ว",
        ""
    ),
"")</f>
        <v/>
      </c>
      <c r="O89" s="292" t="str">
        <f t="array" ref="O89">IFERROR(INDEX(PCRent!C:D, MATCH(F89 &amp; " " &amp; G89, PCRent!A:A &amp; " " &amp; PCRent!B:B, 0)), "")</f>
        <v/>
      </c>
      <c r="P89" s="293"/>
      <c r="Q89" s="294" t="str">
        <f t="array" ref="Q89">IFERROR(INDEX(MonitorRent!C:D, MATCH(F89 &amp; " " &amp; G89, MonitorRent!A:A &amp; " " &amp; MonitorRent!B:B, 0)), "")</f>
        <v/>
      </c>
      <c r="R89" s="295"/>
    </row>
    <row r="90">
      <c r="A90" s="284">
        <v>87.0</v>
      </c>
      <c r="B90" s="285" t="s">
        <v>9893</v>
      </c>
      <c r="C90" s="285" t="s">
        <v>8796</v>
      </c>
      <c r="D90" s="286" t="s">
        <v>9894</v>
      </c>
      <c r="E90" s="285" t="s">
        <v>6933</v>
      </c>
      <c r="F90" s="285" t="s">
        <v>9895</v>
      </c>
      <c r="G90" s="285" t="s">
        <v>9896</v>
      </c>
      <c r="H90" s="285" t="s">
        <v>9897</v>
      </c>
      <c r="I90" s="285" t="s">
        <v>9898</v>
      </c>
      <c r="J90" s="285" t="s">
        <v>5012</v>
      </c>
      <c r="K90" s="285" t="s">
        <v>9626</v>
      </c>
      <c r="L90" s="285" t="s">
        <v>9686</v>
      </c>
      <c r="M90" s="285" t="s">
        <v>9383</v>
      </c>
      <c r="N90" s="287" t="str">
        <f>IFERROR(
    IF(
        AND(
            VLOOKUP(B90, 'รายชื่อพนักงานลาออกพ้นสภาพ'!B:I, 8, FALSE)&lt;&gt;"ยกเลิกลาออก",
            VLOOKUP(B90, 'รายชื่อพนักงานลาออกพ้นสภาพ'!B:I, 7, FALSE)&lt;=TODAY()
        ),
        "ลาออกแล้ว",
        ""
    ),
"")</f>
        <v/>
      </c>
      <c r="O90" s="292" t="str">
        <f t="array" ref="O90">IFERROR(INDEX(PCRent!C:D, MATCH(F90 &amp; " " &amp; G90, PCRent!A:A &amp; " " &amp; PCRent!B:B, 0)), "")</f>
        <v/>
      </c>
      <c r="P90" s="293"/>
      <c r="Q90" s="294" t="str">
        <f t="array" ref="Q90">IFERROR(INDEX(MonitorRent!C:D, MATCH(F90 &amp; " " &amp; G90, MonitorRent!A:A &amp; " " &amp; MonitorRent!B:B, 0)), "")</f>
        <v/>
      </c>
      <c r="R90" s="295"/>
    </row>
    <row r="91">
      <c r="A91" s="284">
        <v>88.0</v>
      </c>
      <c r="B91" s="285" t="s">
        <v>9899</v>
      </c>
      <c r="C91" s="285" t="s">
        <v>8796</v>
      </c>
      <c r="D91" s="286" t="s">
        <v>9900</v>
      </c>
      <c r="E91" s="285" t="s">
        <v>6933</v>
      </c>
      <c r="F91" s="285" t="s">
        <v>9901</v>
      </c>
      <c r="G91" s="285" t="s">
        <v>9902</v>
      </c>
      <c r="H91" s="285" t="s">
        <v>9903</v>
      </c>
      <c r="I91" s="285" t="s">
        <v>9904</v>
      </c>
      <c r="J91" s="285" t="s">
        <v>5012</v>
      </c>
      <c r="K91" s="285" t="s">
        <v>9474</v>
      </c>
      <c r="L91" s="285" t="s">
        <v>9643</v>
      </c>
      <c r="M91" s="285" t="s">
        <v>9383</v>
      </c>
      <c r="N91" s="287" t="str">
        <f>IFERROR(
    IF(
        AND(
            VLOOKUP(B91, 'รายชื่อพนักงานลาออกพ้นสภาพ'!B:I, 8, FALSE)&lt;&gt;"ยกเลิกลาออก",
            VLOOKUP(B91, 'รายชื่อพนักงานลาออกพ้นสภาพ'!B:I, 7, FALSE)&lt;=TODAY()
        ),
        "ลาออกแล้ว",
        ""
    ),
"")</f>
        <v/>
      </c>
      <c r="O91" s="292" t="str">
        <f t="array" ref="O91">IFERROR(INDEX(PCRent!C:D, MATCH(F91 &amp; " " &amp; G91, PCRent!A:A &amp; " " &amp; PCRent!B:B, 0)), "")</f>
        <v/>
      </c>
      <c r="P91" s="293"/>
      <c r="Q91" s="294" t="str">
        <f t="array" ref="Q91">IFERROR(INDEX(MonitorRent!C:D, MATCH(F91 &amp; " " &amp; G91, MonitorRent!A:A &amp; " " &amp; MonitorRent!B:B, 0)), "")</f>
        <v/>
      </c>
      <c r="R91" s="295"/>
    </row>
    <row r="92">
      <c r="A92" s="284">
        <v>89.0</v>
      </c>
      <c r="B92" s="285" t="s">
        <v>9905</v>
      </c>
      <c r="C92" s="285" t="s">
        <v>8796</v>
      </c>
      <c r="D92" s="286" t="s">
        <v>9906</v>
      </c>
      <c r="E92" s="285" t="s">
        <v>6921</v>
      </c>
      <c r="F92" s="285" t="s">
        <v>9907</v>
      </c>
      <c r="G92" s="285" t="s">
        <v>9908</v>
      </c>
      <c r="H92" s="285" t="s">
        <v>9909</v>
      </c>
      <c r="I92" s="285" t="s">
        <v>9910</v>
      </c>
      <c r="J92" s="285" t="s">
        <v>5224</v>
      </c>
      <c r="K92" s="285" t="s">
        <v>9911</v>
      </c>
      <c r="L92" s="285" t="s">
        <v>9912</v>
      </c>
      <c r="M92" s="285" t="s">
        <v>9383</v>
      </c>
      <c r="N92" s="287" t="str">
        <f>IFERROR(
    IF(
        AND(
            VLOOKUP(B92, 'รายชื่อพนักงานลาออกพ้นสภาพ'!B:I, 8, FALSE)&lt;&gt;"ยกเลิกลาออก",
            VLOOKUP(B92, 'รายชื่อพนักงานลาออกพ้นสภาพ'!B:I, 7, FALSE)&lt;=TODAY()
        ),
        "ลาออกแล้ว",
        ""
    ),
"")</f>
        <v/>
      </c>
      <c r="O92" s="292" t="str">
        <f t="array" ref="O92">IFERROR(INDEX(PCRent!C:D, MATCH(F92 &amp; " " &amp; G92, PCRent!A:A &amp; " " &amp; PCRent!B:B, 0)), "")</f>
        <v/>
      </c>
      <c r="P92" s="293"/>
      <c r="Q92" s="294" t="str">
        <f t="array" ref="Q92">IFERROR(INDEX(MonitorRent!C:D, MATCH(F92 &amp; " " &amp; G92, MonitorRent!A:A &amp; " " &amp; MonitorRent!B:B, 0)), "")</f>
        <v/>
      </c>
      <c r="R92" s="295"/>
    </row>
    <row r="93">
      <c r="A93" s="284">
        <v>90.0</v>
      </c>
      <c r="B93" s="285" t="s">
        <v>9350</v>
      </c>
      <c r="C93" s="285" t="s">
        <v>8796</v>
      </c>
      <c r="D93" s="286" t="s">
        <v>9706</v>
      </c>
      <c r="E93" s="285" t="s">
        <v>7239</v>
      </c>
      <c r="F93" s="285" t="s">
        <v>9913</v>
      </c>
      <c r="G93" s="285" t="s">
        <v>9914</v>
      </c>
      <c r="H93" s="285" t="s">
        <v>9915</v>
      </c>
      <c r="I93" s="285" t="s">
        <v>9916</v>
      </c>
      <c r="J93" s="285" t="s">
        <v>5224</v>
      </c>
      <c r="K93" s="285" t="s">
        <v>9917</v>
      </c>
      <c r="L93" s="285" t="s">
        <v>9918</v>
      </c>
      <c r="M93" s="285" t="s">
        <v>9383</v>
      </c>
      <c r="N93" s="287" t="str">
        <f>IFERROR(
    IF(
        AND(
            VLOOKUP(B93, 'รายชื่อพนักงานลาออกพ้นสภาพ'!B:I, 8, FALSE)&lt;&gt;"ยกเลิกลาออก",
            VLOOKUP(B93, 'รายชื่อพนักงานลาออกพ้นสภาพ'!B:I, 7, FALSE)&lt;=TODAY()
        ),
        "ลาออกแล้ว",
        ""
    ),
"")</f>
        <v/>
      </c>
      <c r="O93" s="292" t="str">
        <f t="array" ref="O93:P93">IFERROR(INDEX(PCRent!C:D, MATCH(F93 &amp; " " &amp; G93, PCRent!A:A &amp; " " &amp; PCRent!B:B, 0)), "")</f>
        <v>SN:PF39G3WR</v>
      </c>
      <c r="P93" s="293" t="s">
        <v>7005</v>
      </c>
      <c r="Q93" s="294" t="str">
        <f t="array" ref="Q93">IFERROR(INDEX(MonitorRent!C:D, MATCH(F93 &amp; " " &amp; G93, MonitorRent!A:A &amp; " " &amp; MonitorRent!B:B, 0)), "")</f>
        <v/>
      </c>
      <c r="R93" s="295"/>
    </row>
    <row r="94">
      <c r="A94" s="284">
        <v>91.0</v>
      </c>
      <c r="B94" s="285" t="s">
        <v>9239</v>
      </c>
      <c r="C94" s="285" t="s">
        <v>8796</v>
      </c>
      <c r="D94" s="286" t="s">
        <v>9919</v>
      </c>
      <c r="E94" s="285" t="s">
        <v>6921</v>
      </c>
      <c r="F94" s="285" t="s">
        <v>9920</v>
      </c>
      <c r="G94" s="285" t="s">
        <v>9921</v>
      </c>
      <c r="H94" s="285" t="s">
        <v>9922</v>
      </c>
      <c r="I94" s="285" t="s">
        <v>9923</v>
      </c>
      <c r="J94" s="285" t="s">
        <v>5224</v>
      </c>
      <c r="K94" s="285" t="s">
        <v>2062</v>
      </c>
      <c r="L94" s="285" t="s">
        <v>9241</v>
      </c>
      <c r="M94" s="285" t="s">
        <v>9383</v>
      </c>
      <c r="N94" s="287" t="str">
        <f>IFERROR(
    IF(
        AND(
            VLOOKUP(B94, 'รายชื่อพนักงานลาออกพ้นสภาพ'!B:I, 8, FALSE)&lt;&gt;"ยกเลิกลาออก",
            VLOOKUP(B94, 'รายชื่อพนักงานลาออกพ้นสภาพ'!B:I, 7, FALSE)&lt;=TODAY()
        ),
        "ลาออกแล้ว",
        ""
    ),
"")</f>
        <v/>
      </c>
      <c r="O94" s="292" t="str">
        <f t="array" ref="O94:P94">IFERROR(INDEX(PCRent!C:D, MATCH(F94 &amp; " " &amp; G94, PCRent!A:A &amp; " " &amp; PCRent!B:B, 0)), "")</f>
        <v>SN:3SRKQ04</v>
      </c>
      <c r="P94" s="293" t="s">
        <v>7048</v>
      </c>
      <c r="Q94" s="294" t="str">
        <f t="array" ref="Q94:R94">IFERROR(INDEX(MonitorRent!C:D, MATCH(F94 &amp; " " &amp; G94, MonitorRent!A:A &amp; " " &amp; MonitorRent!B:B, 0)), "")</f>
        <v>SN:9GN7XY3</v>
      </c>
      <c r="R94" s="295" t="s">
        <v>9397</v>
      </c>
    </row>
    <row r="95">
      <c r="A95" s="284">
        <v>92.0</v>
      </c>
      <c r="B95" s="285" t="s">
        <v>9924</v>
      </c>
      <c r="C95" s="285" t="s">
        <v>8796</v>
      </c>
      <c r="D95" s="286" t="s">
        <v>9925</v>
      </c>
      <c r="E95" s="285" t="s">
        <v>7239</v>
      </c>
      <c r="F95" s="285" t="s">
        <v>9926</v>
      </c>
      <c r="G95" s="285" t="s">
        <v>9927</v>
      </c>
      <c r="H95" s="285" t="s">
        <v>9928</v>
      </c>
      <c r="I95" s="285" t="s">
        <v>9929</v>
      </c>
      <c r="J95" s="285" t="s">
        <v>5224</v>
      </c>
      <c r="K95" s="285" t="s">
        <v>9930</v>
      </c>
      <c r="L95" s="285" t="s">
        <v>9679</v>
      </c>
      <c r="M95" s="285" t="s">
        <v>9383</v>
      </c>
      <c r="N95" s="287" t="str">
        <f>IFERROR(
    IF(
        AND(
            VLOOKUP(B95, 'รายชื่อพนักงานลาออกพ้นสภาพ'!B:I, 8, FALSE)&lt;&gt;"ยกเลิกลาออก",
            VLOOKUP(B95, 'รายชื่อพนักงานลาออกพ้นสภาพ'!B:I, 7, FALSE)&lt;=TODAY()
        ),
        "ลาออกแล้ว",
        ""
    ),
"")</f>
        <v/>
      </c>
      <c r="O95" s="292" t="str">
        <f t="array" ref="O95:P95">IFERROR(INDEX(PCRent!C:D, MATCH(F95 &amp; " " &amp; G95, PCRent!A:A &amp; " " &amp; PCRent!B:B, 0)), "")</f>
        <v>SN:92QD314</v>
      </c>
      <c r="P95" s="293" t="s">
        <v>7048</v>
      </c>
      <c r="Q95" s="294" t="str">
        <f t="array" ref="Q95:R95">IFERROR(INDEX(MonitorRent!C:D, MATCH(F95 &amp; " " &amp; G95, MonitorRent!A:A &amp; " " &amp; MonitorRent!B:B, 0)), "")</f>
        <v>SN:B6T5HZ3</v>
      </c>
      <c r="R95" s="295" t="s">
        <v>9397</v>
      </c>
    </row>
    <row r="96">
      <c r="A96" s="284">
        <v>93.0</v>
      </c>
      <c r="B96" s="285" t="s">
        <v>9931</v>
      </c>
      <c r="C96" s="285" t="s">
        <v>8796</v>
      </c>
      <c r="D96" s="286" t="s">
        <v>9932</v>
      </c>
      <c r="E96" s="285" t="s">
        <v>6921</v>
      </c>
      <c r="F96" s="285" t="s">
        <v>9933</v>
      </c>
      <c r="G96" s="285" t="s">
        <v>9498</v>
      </c>
      <c r="H96" s="285" t="s">
        <v>9934</v>
      </c>
      <c r="I96" s="285" t="s">
        <v>9935</v>
      </c>
      <c r="J96" s="285" t="s">
        <v>5224</v>
      </c>
      <c r="K96" s="285" t="s">
        <v>9936</v>
      </c>
      <c r="L96" s="285" t="s">
        <v>9342</v>
      </c>
      <c r="M96" s="285" t="s">
        <v>9383</v>
      </c>
      <c r="N96" s="287" t="str">
        <f>IFERROR(
    IF(
        AND(
            VLOOKUP(B96, 'รายชื่อพนักงานลาออกพ้นสภาพ'!B:I, 8, FALSE)&lt;&gt;"ยกเลิกลาออก",
            VLOOKUP(B96, 'รายชื่อพนักงานลาออกพ้นสภาพ'!B:I, 7, FALSE)&lt;=TODAY()
        ),
        "ลาออกแล้ว",
        ""
    ),
"")</f>
        <v/>
      </c>
      <c r="O96" s="292" t="str">
        <f t="array" ref="O96:P96">IFERROR(INDEX(PCRent!C:D, MATCH(F96 &amp; " " &amp; G96, PCRent!A:A &amp; " " &amp; PCRent!B:B, 0)), "")</f>
        <v>SN:0F0069D23383BF</v>
      </c>
      <c r="P96" s="293" t="s">
        <v>7545</v>
      </c>
      <c r="Q96" s="294" t="str">
        <f t="array" ref="Q96">IFERROR(INDEX(MonitorRent!C:D, MATCH(F96 &amp; " " &amp; G96, MonitorRent!A:A &amp; " " &amp; MonitorRent!B:B, 0)), "")</f>
        <v/>
      </c>
      <c r="R96" s="295"/>
    </row>
    <row r="97">
      <c r="A97" s="284">
        <v>94.0</v>
      </c>
      <c r="B97" s="285" t="s">
        <v>9275</v>
      </c>
      <c r="C97" s="285" t="s">
        <v>8796</v>
      </c>
      <c r="D97" s="286" t="s">
        <v>9937</v>
      </c>
      <c r="E97" s="285" t="s">
        <v>6921</v>
      </c>
      <c r="F97" s="285" t="s">
        <v>9938</v>
      </c>
      <c r="G97" s="285" t="s">
        <v>9939</v>
      </c>
      <c r="H97" s="285" t="s">
        <v>9940</v>
      </c>
      <c r="I97" s="285" t="s">
        <v>9941</v>
      </c>
      <c r="J97" s="285" t="s">
        <v>5224</v>
      </c>
      <c r="K97" s="285" t="s">
        <v>9503</v>
      </c>
      <c r="L97" s="285" t="s">
        <v>3179</v>
      </c>
      <c r="M97" s="285" t="s">
        <v>9383</v>
      </c>
      <c r="N97" s="287" t="str">
        <f>IFERROR(
    IF(
        AND(
            VLOOKUP(B97, 'รายชื่อพนักงานลาออกพ้นสภาพ'!B:I, 8, FALSE)&lt;&gt;"ยกเลิกลาออก",
            VLOOKUP(B97, 'รายชื่อพนักงานลาออกพ้นสภาพ'!B:I, 7, FALSE)&lt;=TODAY()
        ),
        "ลาออกแล้ว",
        ""
    ),
"")</f>
        <v/>
      </c>
      <c r="O97" s="292" t="str">
        <f t="array" ref="O97">IFERROR(INDEX(PCRent!C:D, MATCH(F97 &amp; " " &amp; G97, PCRent!A:A &amp; " " &amp; PCRent!B:B, 0)), "")</f>
        <v/>
      </c>
      <c r="P97" s="293"/>
      <c r="Q97" s="294" t="str">
        <f t="array" ref="Q97">IFERROR(INDEX(MonitorRent!C:D, MATCH(F97 &amp; " " &amp; G97, MonitorRent!A:A &amp; " " &amp; MonitorRent!B:B, 0)), "")</f>
        <v/>
      </c>
      <c r="R97" s="295"/>
    </row>
    <row r="98">
      <c r="A98" s="284">
        <v>95.0</v>
      </c>
      <c r="B98" s="285" t="s">
        <v>9229</v>
      </c>
      <c r="C98" s="285" t="s">
        <v>8796</v>
      </c>
      <c r="D98" s="286" t="s">
        <v>9942</v>
      </c>
      <c r="E98" s="285" t="s">
        <v>6933</v>
      </c>
      <c r="F98" s="285" t="s">
        <v>9943</v>
      </c>
      <c r="G98" s="285" t="s">
        <v>9944</v>
      </c>
      <c r="H98" s="285" t="s">
        <v>9945</v>
      </c>
      <c r="I98" s="285" t="s">
        <v>9946</v>
      </c>
      <c r="J98" s="285" t="s">
        <v>5224</v>
      </c>
      <c r="K98" s="285" t="s">
        <v>4749</v>
      </c>
      <c r="L98" s="285" t="s">
        <v>9231</v>
      </c>
      <c r="M98" s="285" t="s">
        <v>9383</v>
      </c>
      <c r="N98" s="287" t="str">
        <f>IFERROR(
    IF(
        AND(
            VLOOKUP(B98, 'รายชื่อพนักงานลาออกพ้นสภาพ'!B:I, 8, FALSE)&lt;&gt;"ยกเลิกลาออก",
            VLOOKUP(B98, 'รายชื่อพนักงานลาออกพ้นสภาพ'!B:I, 7, FALSE)&lt;=TODAY()
        ),
        "ลาออกแล้ว",
        ""
    ),
"")</f>
        <v/>
      </c>
      <c r="O98" s="292" t="str">
        <f t="array" ref="O98:P98">IFERROR(INDEX(PCRent!C:D, MATCH(F98 &amp; " " &amp; G98, PCRent!A:A &amp; " " &amp; PCRent!B:B, 0)), "")</f>
        <v>SN:MP2M8G9Y</v>
      </c>
      <c r="P98" s="293" t="s">
        <v>7248</v>
      </c>
      <c r="Q98" s="294" t="str">
        <f t="array" ref="Q98">IFERROR(INDEX(MonitorRent!C:D, MATCH(F98 &amp; " " &amp; G98, MonitorRent!A:A &amp; " " &amp; MonitorRent!B:B, 0)), "")</f>
        <v/>
      </c>
      <c r="R98" s="295"/>
    </row>
    <row r="99">
      <c r="A99" s="284">
        <v>96.0</v>
      </c>
      <c r="B99" s="285" t="s">
        <v>9947</v>
      </c>
      <c r="C99" s="285" t="s">
        <v>8796</v>
      </c>
      <c r="D99" s="286" t="s">
        <v>9948</v>
      </c>
      <c r="E99" s="285" t="s">
        <v>6933</v>
      </c>
      <c r="F99" s="285" t="s">
        <v>9949</v>
      </c>
      <c r="G99" s="285" t="s">
        <v>9950</v>
      </c>
      <c r="H99" s="285" t="s">
        <v>9951</v>
      </c>
      <c r="I99" s="285" t="s">
        <v>9952</v>
      </c>
      <c r="J99" s="285" t="s">
        <v>5224</v>
      </c>
      <c r="K99" s="285" t="s">
        <v>1456</v>
      </c>
      <c r="L99" s="285" t="s">
        <v>9762</v>
      </c>
      <c r="M99" s="285" t="s">
        <v>9383</v>
      </c>
      <c r="N99" s="287" t="str">
        <f>IFERROR(
    IF(
        AND(
            VLOOKUP(B99, 'รายชื่อพนักงานลาออกพ้นสภาพ'!B:I, 8, FALSE)&lt;&gt;"ยกเลิกลาออก",
            VLOOKUP(B99, 'รายชื่อพนักงานลาออกพ้นสภาพ'!B:I, 7, FALSE)&lt;=TODAY()
        ),
        "ลาออกแล้ว",
        ""
    ),
"")</f>
        <v/>
      </c>
      <c r="O99" s="292" t="str">
        <f t="array" ref="O99:P99">IFERROR(INDEX(PCRent!C:D, MATCH(F99 &amp; " " &amp; G99, PCRent!A:A &amp; " " &amp; PCRent!B:B, 0)), "")</f>
        <v>SN:MP2E0NB8</v>
      </c>
      <c r="P99" s="293" t="s">
        <v>6993</v>
      </c>
      <c r="Q99" s="294" t="str">
        <f t="array" ref="Q99">IFERROR(INDEX(MonitorRent!C:D, MATCH(F99 &amp; " " &amp; G99, MonitorRent!A:A &amp; " " &amp; MonitorRent!B:B, 0)), "")</f>
        <v/>
      </c>
      <c r="R99" s="295"/>
    </row>
    <row r="100">
      <c r="A100" s="284">
        <v>97.0</v>
      </c>
      <c r="B100" s="285" t="s">
        <v>9953</v>
      </c>
      <c r="C100" s="285" t="s">
        <v>8796</v>
      </c>
      <c r="D100" s="286" t="s">
        <v>9606</v>
      </c>
      <c r="E100" s="285" t="s">
        <v>6921</v>
      </c>
      <c r="F100" s="285" t="s">
        <v>9954</v>
      </c>
      <c r="G100" s="285" t="s">
        <v>9955</v>
      </c>
      <c r="H100" s="285" t="s">
        <v>9956</v>
      </c>
      <c r="I100" s="285" t="s">
        <v>9957</v>
      </c>
      <c r="J100" s="285" t="s">
        <v>5224</v>
      </c>
      <c r="K100" s="285" t="s">
        <v>9649</v>
      </c>
      <c r="L100" s="285" t="s">
        <v>9322</v>
      </c>
      <c r="M100" s="285" t="s">
        <v>9383</v>
      </c>
      <c r="N100" s="287" t="str">
        <f>IFERROR(
    IF(
        AND(
            VLOOKUP(B100, 'รายชื่อพนักงานลาออกพ้นสภาพ'!B:I, 8, FALSE)&lt;&gt;"ยกเลิกลาออก",
            VLOOKUP(B100, 'รายชื่อพนักงานลาออกพ้นสภาพ'!B:I, 7, FALSE)&lt;=TODAY()
        ),
        "ลาออกแล้ว",
        ""
    ),
"")</f>
        <v/>
      </c>
      <c r="O100" s="292" t="str">
        <f t="array" ref="O100">IFERROR(INDEX(PCRent!C:D, MATCH(F100 &amp; " " &amp; G100, PCRent!A:A &amp; " " &amp; PCRent!B:B, 0)), "")</f>
        <v/>
      </c>
      <c r="P100" s="293"/>
      <c r="Q100" s="294" t="str">
        <f t="array" ref="Q100">IFERROR(INDEX(MonitorRent!C:D, MATCH(F100 &amp; " " &amp; G100, MonitorRent!A:A &amp; " " &amp; MonitorRent!B:B, 0)), "")</f>
        <v/>
      </c>
      <c r="R100" s="295"/>
    </row>
    <row r="101">
      <c r="A101" s="284">
        <v>98.0</v>
      </c>
      <c r="B101" s="285" t="s">
        <v>9267</v>
      </c>
      <c r="C101" s="285" t="s">
        <v>8796</v>
      </c>
      <c r="D101" s="286" t="s">
        <v>9958</v>
      </c>
      <c r="E101" s="285" t="s">
        <v>6921</v>
      </c>
      <c r="F101" s="285" t="s">
        <v>9959</v>
      </c>
      <c r="G101" s="285" t="s">
        <v>9960</v>
      </c>
      <c r="H101" s="285" t="s">
        <v>9961</v>
      </c>
      <c r="I101" s="285" t="s">
        <v>9962</v>
      </c>
      <c r="J101" s="285" t="s">
        <v>5224</v>
      </c>
      <c r="K101" s="285" t="s">
        <v>4749</v>
      </c>
      <c r="L101" s="285" t="s">
        <v>3179</v>
      </c>
      <c r="M101" s="285" t="s">
        <v>9383</v>
      </c>
      <c r="N101" s="287" t="str">
        <f>IFERROR(
    IF(
        AND(
            VLOOKUP(B101, 'รายชื่อพนักงานลาออกพ้นสภาพ'!B:I, 8, FALSE)&lt;&gt;"ยกเลิกลาออก",
            VLOOKUP(B101, 'รายชื่อพนักงานลาออกพ้นสภาพ'!B:I, 7, FALSE)&lt;=TODAY()
        ),
        "ลาออกแล้ว",
        ""
    ),
"")</f>
        <v/>
      </c>
      <c r="O101" s="292" t="str">
        <f t="array" ref="O101">IFERROR(INDEX(PCRent!C:D, MATCH(F101 &amp; " " &amp; G101, PCRent!A:A &amp; " " &amp; PCRent!B:B, 0)), "")</f>
        <v/>
      </c>
      <c r="P101" s="293"/>
      <c r="Q101" s="294" t="str">
        <f t="array" ref="Q101">IFERROR(INDEX(MonitorRent!C:D, MATCH(F101 &amp; " " &amp; G101, MonitorRent!A:A &amp; " " &amp; MonitorRent!B:B, 0)), "")</f>
        <v/>
      </c>
      <c r="R101" s="295"/>
    </row>
    <row r="102">
      <c r="A102" s="284">
        <v>99.0</v>
      </c>
      <c r="B102" s="285" t="s">
        <v>644</v>
      </c>
      <c r="C102" s="285" t="s">
        <v>8796</v>
      </c>
      <c r="D102" s="286" t="s">
        <v>9963</v>
      </c>
      <c r="E102" s="285" t="s">
        <v>6921</v>
      </c>
      <c r="F102" s="285" t="s">
        <v>9964</v>
      </c>
      <c r="G102" s="285" t="s">
        <v>9965</v>
      </c>
      <c r="H102" s="285" t="s">
        <v>9966</v>
      </c>
      <c r="I102" s="285" t="s">
        <v>648</v>
      </c>
      <c r="J102" s="285" t="s">
        <v>5012</v>
      </c>
      <c r="K102" s="285" t="s">
        <v>9703</v>
      </c>
      <c r="L102" s="285" t="s">
        <v>9711</v>
      </c>
      <c r="M102" s="285" t="s">
        <v>9383</v>
      </c>
      <c r="N102" s="287" t="str">
        <f>IFERROR(
    IF(
        AND(
            VLOOKUP(B102, 'รายชื่อพนักงานลาออกพ้นสภาพ'!B:I, 8, FALSE)&lt;&gt;"ยกเลิกลาออก",
            VLOOKUP(B102, 'รายชื่อพนักงานลาออกพ้นสภาพ'!B:I, 7, FALSE)&lt;=TODAY()
        ),
        "ลาออกแล้ว",
        ""
    ),
"")</f>
        <v>ลาออกแล้ว</v>
      </c>
      <c r="O102" s="292" t="str">
        <f t="array" ref="O102">IFERROR(INDEX(PCRent!C:D, MATCH(F102 &amp; " " &amp; G102, PCRent!A:A &amp; " " &amp; PCRent!B:B, 0)), "")</f>
        <v/>
      </c>
      <c r="P102" s="293"/>
      <c r="Q102" s="294" t="str">
        <f t="array" ref="Q102">IFERROR(INDEX(MonitorRent!C:D, MATCH(F102 &amp; " " &amp; G102, MonitorRent!A:A &amp; " " &amp; MonitorRent!B:B, 0)), "")</f>
        <v/>
      </c>
      <c r="R102" s="295"/>
    </row>
    <row r="103">
      <c r="A103" s="284">
        <v>100.0</v>
      </c>
      <c r="B103" s="285" t="s">
        <v>9300</v>
      </c>
      <c r="C103" s="285" t="s">
        <v>8796</v>
      </c>
      <c r="D103" s="286" t="s">
        <v>9583</v>
      </c>
      <c r="E103" s="285" t="s">
        <v>6921</v>
      </c>
      <c r="F103" s="285" t="s">
        <v>9967</v>
      </c>
      <c r="G103" s="285" t="s">
        <v>9968</v>
      </c>
      <c r="H103" s="285" t="s">
        <v>9519</v>
      </c>
      <c r="I103" s="285" t="s">
        <v>9969</v>
      </c>
      <c r="J103" s="285" t="s">
        <v>5224</v>
      </c>
      <c r="K103" s="285" t="s">
        <v>1386</v>
      </c>
      <c r="L103" s="285" t="s">
        <v>9970</v>
      </c>
      <c r="M103" s="285" t="s">
        <v>9383</v>
      </c>
      <c r="N103" s="287" t="str">
        <f>IFERROR(
    IF(
        AND(
            VLOOKUP(B103, 'รายชื่อพนักงานลาออกพ้นสภาพ'!B:I, 8, FALSE)&lt;&gt;"ยกเลิกลาออก",
            VLOOKUP(B103, 'รายชื่อพนักงานลาออกพ้นสภาพ'!B:I, 7, FALSE)&lt;=TODAY()
        ),
        "ลาออกแล้ว",
        ""
    ),
"")</f>
        <v/>
      </c>
      <c r="O103" s="292" t="str">
        <f t="array" ref="O103:P103">IFERROR(INDEX(PCRent!C:D, MATCH(F103 &amp; " " &amp; G103, PCRent!A:A &amp; " " &amp; PCRent!B:B, 0)), "")</f>
        <v>SN:7V8BXW3</v>
      </c>
      <c r="P103" s="293" t="s">
        <v>7048</v>
      </c>
      <c r="Q103" s="294" t="str">
        <f t="array" ref="Q103:R103">IFERROR(INDEX(MonitorRent!C:D, MATCH(F103 &amp; " " &amp; G103, MonitorRent!A:A &amp; " " &amp; MonitorRent!B:B, 0)), "")</f>
        <v>SN:7F7LYV3</v>
      </c>
      <c r="R103" s="295" t="s">
        <v>7050</v>
      </c>
    </row>
    <row r="104">
      <c r="A104" s="284">
        <v>101.0</v>
      </c>
      <c r="B104" s="285" t="s">
        <v>9971</v>
      </c>
      <c r="C104" s="285" t="s">
        <v>8796</v>
      </c>
      <c r="D104" s="286" t="s">
        <v>9972</v>
      </c>
      <c r="E104" s="285" t="s">
        <v>6921</v>
      </c>
      <c r="F104" s="285" t="s">
        <v>9973</v>
      </c>
      <c r="G104" s="285" t="s">
        <v>9974</v>
      </c>
      <c r="H104" s="285" t="s">
        <v>9975</v>
      </c>
      <c r="I104" s="285" t="s">
        <v>9976</v>
      </c>
      <c r="J104" s="285" t="s">
        <v>5224</v>
      </c>
      <c r="K104" s="285" t="s">
        <v>9552</v>
      </c>
      <c r="L104" s="285" t="s">
        <v>9977</v>
      </c>
      <c r="M104" s="285" t="s">
        <v>9383</v>
      </c>
      <c r="N104" s="287" t="str">
        <f>IFERROR(
    IF(
        AND(
            VLOOKUP(B104, 'รายชื่อพนักงานลาออกพ้นสภาพ'!B:I, 8, FALSE)&lt;&gt;"ยกเลิกลาออก",
            VLOOKUP(B104, 'รายชื่อพนักงานลาออกพ้นสภาพ'!B:I, 7, FALSE)&lt;=TODAY()
        ),
        "ลาออกแล้ว",
        ""
    ),
"")</f>
        <v/>
      </c>
      <c r="O104" s="292" t="str">
        <f t="array" ref="O104:P104">IFERROR(INDEX(PCRent!C:D, MATCH(F104 &amp; " " &amp; G104, PCRent!A:A &amp; " " &amp; PCRent!B:B, 0)), "")</f>
        <v>SN:63RD314</v>
      </c>
      <c r="P104" s="293" t="s">
        <v>7048</v>
      </c>
      <c r="Q104" s="294" t="str">
        <f t="array" ref="Q104:R104">IFERROR(INDEX(MonitorRent!C:D, MATCH(F104 &amp; " " &amp; G104, MonitorRent!A:A &amp; " " &amp; MonitorRent!B:B, 0)), "")</f>
        <v>SN:7PPYGZ3</v>
      </c>
      <c r="R104" s="295" t="s">
        <v>9397</v>
      </c>
    </row>
    <row r="105">
      <c r="A105" s="284">
        <v>102.0</v>
      </c>
      <c r="B105" s="285" t="s">
        <v>9978</v>
      </c>
      <c r="C105" s="285" t="s">
        <v>8796</v>
      </c>
      <c r="D105" s="286" t="s">
        <v>9979</v>
      </c>
      <c r="E105" s="285" t="s">
        <v>6921</v>
      </c>
      <c r="F105" s="285" t="s">
        <v>9980</v>
      </c>
      <c r="G105" s="285" t="s">
        <v>9981</v>
      </c>
      <c r="H105" s="285" t="s">
        <v>9566</v>
      </c>
      <c r="I105" s="285" t="s">
        <v>9982</v>
      </c>
      <c r="J105" s="285" t="s">
        <v>5012</v>
      </c>
      <c r="K105" s="285" t="s">
        <v>9588</v>
      </c>
      <c r="L105" s="285" t="s">
        <v>9643</v>
      </c>
      <c r="M105" s="285" t="s">
        <v>9383</v>
      </c>
      <c r="N105" s="287" t="str">
        <f>IFERROR(
    IF(
        AND(
            VLOOKUP(B105, 'รายชื่อพนักงานลาออกพ้นสภาพ'!B:I, 8, FALSE)&lt;&gt;"ยกเลิกลาออก",
            VLOOKUP(B105, 'รายชื่อพนักงานลาออกพ้นสภาพ'!B:I, 7, FALSE)&lt;=TODAY()
        ),
        "ลาออกแล้ว",
        ""
    ),
"")</f>
        <v/>
      </c>
      <c r="O105" s="292" t="str">
        <f t="array" ref="O105">IFERROR(INDEX(PCRent!C:D, MATCH(F105 &amp; " " &amp; G105, PCRent!A:A &amp; " " &amp; PCRent!B:B, 0)), "")</f>
        <v/>
      </c>
      <c r="P105" s="293"/>
      <c r="Q105" s="294" t="str">
        <f t="array" ref="Q105">IFERROR(INDEX(MonitorRent!C:D, MATCH(F105 &amp; " " &amp; G105, MonitorRent!A:A &amp; " " &amp; MonitorRent!B:B, 0)), "")</f>
        <v/>
      </c>
      <c r="R105" s="295"/>
    </row>
    <row r="106">
      <c r="A106" s="284">
        <v>103.0</v>
      </c>
      <c r="B106" s="285" t="s">
        <v>9983</v>
      </c>
      <c r="C106" s="285" t="s">
        <v>8796</v>
      </c>
      <c r="D106" s="286" t="s">
        <v>9984</v>
      </c>
      <c r="E106" s="285" t="s">
        <v>6933</v>
      </c>
      <c r="F106" s="285" t="s">
        <v>9985</v>
      </c>
      <c r="G106" s="285" t="s">
        <v>9986</v>
      </c>
      <c r="H106" s="285" t="s">
        <v>9987</v>
      </c>
      <c r="I106" s="285" t="s">
        <v>9988</v>
      </c>
      <c r="J106" s="285" t="s">
        <v>5012</v>
      </c>
      <c r="K106" s="285" t="s">
        <v>9633</v>
      </c>
      <c r="L106" s="285" t="s">
        <v>9475</v>
      </c>
      <c r="M106" s="285" t="s">
        <v>9383</v>
      </c>
      <c r="N106" s="287" t="str">
        <f>IFERROR(
    IF(
        AND(
            VLOOKUP(B106, 'รายชื่อพนักงานลาออกพ้นสภาพ'!B:I, 8, FALSE)&lt;&gt;"ยกเลิกลาออก",
            VLOOKUP(B106, 'รายชื่อพนักงานลาออกพ้นสภาพ'!B:I, 7, FALSE)&lt;=TODAY()
        ),
        "ลาออกแล้ว",
        ""
    ),
"")</f>
        <v/>
      </c>
      <c r="O106" s="292" t="str">
        <f t="array" ref="O106">IFERROR(INDEX(PCRent!C:D, MATCH(F106 &amp; " " &amp; G106, PCRent!A:A &amp; " " &amp; PCRent!B:B, 0)), "")</f>
        <v/>
      </c>
      <c r="P106" s="293"/>
      <c r="Q106" s="294" t="str">
        <f t="array" ref="Q106">IFERROR(INDEX(MonitorRent!C:D, MATCH(F106 &amp; " " &amp; G106, MonitorRent!A:A &amp; " " &amp; MonitorRent!B:B, 0)), "")</f>
        <v/>
      </c>
      <c r="R106" s="295"/>
    </row>
    <row r="107">
      <c r="A107" s="284">
        <v>104.0</v>
      </c>
      <c r="B107" s="285" t="s">
        <v>9989</v>
      </c>
      <c r="C107" s="285" t="s">
        <v>8796</v>
      </c>
      <c r="D107" s="286" t="s">
        <v>9990</v>
      </c>
      <c r="E107" s="285" t="s">
        <v>6933</v>
      </c>
      <c r="F107" s="285" t="s">
        <v>9991</v>
      </c>
      <c r="G107" s="285" t="s">
        <v>9992</v>
      </c>
      <c r="H107" s="285" t="s">
        <v>9380</v>
      </c>
      <c r="I107" s="285" t="s">
        <v>9993</v>
      </c>
      <c r="J107" s="285" t="s">
        <v>5012</v>
      </c>
      <c r="K107" s="285" t="s">
        <v>9626</v>
      </c>
      <c r="L107" s="285" t="s">
        <v>9734</v>
      </c>
      <c r="M107" s="285" t="s">
        <v>9383</v>
      </c>
      <c r="N107" s="287" t="str">
        <f>IFERROR(
    IF(
        AND(
            VLOOKUP(B107, 'รายชื่อพนักงานลาออกพ้นสภาพ'!B:I, 8, FALSE)&lt;&gt;"ยกเลิกลาออก",
            VLOOKUP(B107, 'รายชื่อพนักงานลาออกพ้นสภาพ'!B:I, 7, FALSE)&lt;=TODAY()
        ),
        "ลาออกแล้ว",
        ""
    ),
"")</f>
        <v/>
      </c>
      <c r="O107" s="292" t="str">
        <f t="array" ref="O107">IFERROR(INDEX(PCRent!C:D, MATCH(F107 &amp; " " &amp; G107, PCRent!A:A &amp; " " &amp; PCRent!B:B, 0)), "")</f>
        <v/>
      </c>
      <c r="P107" s="293"/>
      <c r="Q107" s="294" t="str">
        <f t="array" ref="Q107">IFERROR(INDEX(MonitorRent!C:D, MATCH(F107 &amp; " " &amp; G107, MonitorRent!A:A &amp; " " &amp; MonitorRent!B:B, 0)), "")</f>
        <v/>
      </c>
      <c r="R107" s="295"/>
    </row>
    <row r="108">
      <c r="A108" s="284">
        <v>105.0</v>
      </c>
      <c r="B108" s="285" t="s">
        <v>9994</v>
      </c>
      <c r="C108" s="285" t="s">
        <v>8796</v>
      </c>
      <c r="D108" s="286" t="s">
        <v>9995</v>
      </c>
      <c r="E108" s="285" t="s">
        <v>6921</v>
      </c>
      <c r="F108" s="285" t="s">
        <v>9996</v>
      </c>
      <c r="G108" s="285" t="s">
        <v>9997</v>
      </c>
      <c r="H108" s="285" t="s">
        <v>9998</v>
      </c>
      <c r="I108" s="285" t="s">
        <v>9999</v>
      </c>
      <c r="J108" s="285" t="s">
        <v>5012</v>
      </c>
      <c r="K108" s="285" t="s">
        <v>3000</v>
      </c>
      <c r="L108" s="285" t="s">
        <v>9475</v>
      </c>
      <c r="M108" s="285" t="s">
        <v>9383</v>
      </c>
      <c r="N108" s="287" t="str">
        <f>IFERROR(
    IF(
        AND(
            VLOOKUP(B108, 'รายชื่อพนักงานลาออกพ้นสภาพ'!B:I, 8, FALSE)&lt;&gt;"ยกเลิกลาออก",
            VLOOKUP(B108, 'รายชื่อพนักงานลาออกพ้นสภาพ'!B:I, 7, FALSE)&lt;=TODAY()
        ),
        "ลาออกแล้ว",
        ""
    ),
"")</f>
        <v/>
      </c>
      <c r="O108" s="292" t="str">
        <f t="array" ref="O108:P108">IFERROR(INDEX(PCRent!C:D, MATCH(F108 &amp; " " &amp; G108, PCRent!A:A &amp; " " &amp; PCRent!B:B, 0)), "")</f>
        <v>SN:GQR6GZ3</v>
      </c>
      <c r="P108" s="293" t="s">
        <v>7048</v>
      </c>
      <c r="Q108" s="294" t="str">
        <f t="array" ref="Q108:R108">IFERROR(INDEX(MonitorRent!C:D, MATCH(F108 &amp; " " &amp; G108, MonitorRent!A:A &amp; " " &amp; MonitorRent!B:B, 0)), "")</f>
        <v>SN:9W242Y3</v>
      </c>
      <c r="R108" s="295" t="s">
        <v>7050</v>
      </c>
    </row>
    <row r="109">
      <c r="A109" s="284">
        <v>106.0</v>
      </c>
      <c r="B109" s="285" t="s">
        <v>9244</v>
      </c>
      <c r="C109" s="285" t="s">
        <v>8796</v>
      </c>
      <c r="D109" s="286" t="s">
        <v>10000</v>
      </c>
      <c r="E109" s="285" t="s">
        <v>6921</v>
      </c>
      <c r="F109" s="285" t="s">
        <v>10001</v>
      </c>
      <c r="G109" s="285" t="s">
        <v>10002</v>
      </c>
      <c r="H109" s="285" t="s">
        <v>10003</v>
      </c>
      <c r="I109" s="285" t="s">
        <v>10004</v>
      </c>
      <c r="J109" s="285" t="s">
        <v>5224</v>
      </c>
      <c r="K109" s="285" t="s">
        <v>4818</v>
      </c>
      <c r="L109" s="285" t="s">
        <v>9246</v>
      </c>
      <c r="M109" s="285" t="s">
        <v>9383</v>
      </c>
      <c r="N109" s="287" t="str">
        <f>IFERROR(
    IF(
        AND(
            VLOOKUP(B109, 'รายชื่อพนักงานลาออกพ้นสภาพ'!B:I, 8, FALSE)&lt;&gt;"ยกเลิกลาออก",
            VLOOKUP(B109, 'รายชื่อพนักงานลาออกพ้นสภาพ'!B:I, 7, FALSE)&lt;=TODAY()
        ),
        "ลาออกแล้ว",
        ""
    ),
"")</f>
        <v/>
      </c>
      <c r="O109" s="292" t="str">
        <f t="array" ref="O109:P109">IFERROR(INDEX(PCRent!C:D, MATCH(F109 &amp; " " &amp; G109, PCRent!A:A &amp; " " &amp; PCRent!B:B, 0)), "")</f>
        <v>SN:5X8BXW3</v>
      </c>
      <c r="P109" s="293" t="s">
        <v>7048</v>
      </c>
      <c r="Q109" s="294" t="str">
        <f t="array" ref="Q109:R109">IFERROR(INDEX(MonitorRent!C:D, MATCH(F109 &amp; " " &amp; G109, MonitorRent!A:A &amp; " " &amp; MonitorRent!B:B, 0)), "")</f>
        <v>SN:7CSKYV3</v>
      </c>
      <c r="R109" s="295" t="s">
        <v>7050</v>
      </c>
    </row>
    <row r="110">
      <c r="A110" s="284">
        <v>107.0</v>
      </c>
      <c r="B110" s="285" t="s">
        <v>10005</v>
      </c>
      <c r="C110" s="285" t="s">
        <v>8796</v>
      </c>
      <c r="D110" s="286" t="s">
        <v>10006</v>
      </c>
      <c r="E110" s="285" t="s">
        <v>7239</v>
      </c>
      <c r="F110" s="285" t="s">
        <v>10007</v>
      </c>
      <c r="G110" s="285" t="s">
        <v>10008</v>
      </c>
      <c r="H110" s="285" t="s">
        <v>10009</v>
      </c>
      <c r="I110" s="285" t="s">
        <v>10010</v>
      </c>
      <c r="J110" s="285" t="s">
        <v>5224</v>
      </c>
      <c r="K110" s="285" t="s">
        <v>4749</v>
      </c>
      <c r="L110" s="285" t="s">
        <v>2508</v>
      </c>
      <c r="M110" s="285" t="s">
        <v>9383</v>
      </c>
      <c r="N110" s="287" t="str">
        <f>IFERROR(
    IF(
        AND(
            VLOOKUP(B110, 'รายชื่อพนักงานลาออกพ้นสภาพ'!B:I, 8, FALSE)&lt;&gt;"ยกเลิกลาออก",
            VLOOKUP(B110, 'รายชื่อพนักงานลาออกพ้นสภาพ'!B:I, 7, FALSE)&lt;=TODAY()
        ),
        "ลาออกแล้ว",
        ""
    ),
"")</f>
        <v/>
      </c>
      <c r="O110" s="292" t="str">
        <f t="array" ref="O110:P110">IFERROR(INDEX(PCRent!C:D, MATCH(F110 &amp; " " &amp; G110, PCRent!A:A &amp; " " &amp; PCRent!B:B, 0)), "")</f>
        <v>SN:MP2EHH1X</v>
      </c>
      <c r="P110" s="293" t="s">
        <v>6993</v>
      </c>
      <c r="Q110" s="294" t="str">
        <f t="array" ref="Q110">IFERROR(INDEX(MonitorRent!C:D, MATCH(F110 &amp; " " &amp; G110, MonitorRent!A:A &amp; " " &amp; MonitorRent!B:B, 0)), "")</f>
        <v/>
      </c>
      <c r="R110" s="295"/>
    </row>
    <row r="111">
      <c r="A111" s="284">
        <v>108.0</v>
      </c>
      <c r="B111" s="285" t="s">
        <v>10011</v>
      </c>
      <c r="C111" s="285" t="s">
        <v>8796</v>
      </c>
      <c r="D111" s="286" t="s">
        <v>10012</v>
      </c>
      <c r="E111" s="285" t="s">
        <v>6921</v>
      </c>
      <c r="F111" s="285" t="s">
        <v>10013</v>
      </c>
      <c r="G111" s="285" t="s">
        <v>10014</v>
      </c>
      <c r="H111" s="285" t="s">
        <v>10015</v>
      </c>
      <c r="I111" s="285" t="s">
        <v>10016</v>
      </c>
      <c r="J111" s="285" t="s">
        <v>5012</v>
      </c>
      <c r="K111" s="285" t="s">
        <v>9703</v>
      </c>
      <c r="L111" s="285" t="s">
        <v>9711</v>
      </c>
      <c r="M111" s="285" t="s">
        <v>9383</v>
      </c>
      <c r="N111" s="287" t="str">
        <f>IFERROR(
    IF(
        AND(
            VLOOKUP(B111, 'รายชื่อพนักงานลาออกพ้นสภาพ'!B:I, 8, FALSE)&lt;&gt;"ยกเลิกลาออก",
            VLOOKUP(B111, 'รายชื่อพนักงานลาออกพ้นสภาพ'!B:I, 7, FALSE)&lt;=TODAY()
        ),
        "ลาออกแล้ว",
        ""
    ),
"")</f>
        <v/>
      </c>
      <c r="O111" s="292" t="str">
        <f t="array" ref="O111:P111">IFERROR(INDEX(PCRent!C:D, MATCH(F111 &amp; " " &amp; G111, PCRent!A:A &amp; " " &amp; PCRent!B:B, 0)), "")</f>
        <v>SN:MP2AN2C7</v>
      </c>
      <c r="P111" s="293" t="s">
        <v>9562</v>
      </c>
      <c r="Q111" s="294" t="str">
        <f t="array" ref="Q111">IFERROR(INDEX(MonitorRent!C:D, MATCH(F111 &amp; " " &amp; G111, MonitorRent!A:A &amp; " " &amp; MonitorRent!B:B, 0)), "")</f>
        <v/>
      </c>
      <c r="R111" s="295"/>
    </row>
    <row r="112">
      <c r="A112" s="284">
        <v>109.0</v>
      </c>
      <c r="B112" s="285" t="s">
        <v>10017</v>
      </c>
      <c r="C112" s="285" t="s">
        <v>8796</v>
      </c>
      <c r="D112" s="286" t="s">
        <v>9405</v>
      </c>
      <c r="E112" s="285" t="s">
        <v>6933</v>
      </c>
      <c r="F112" s="285" t="s">
        <v>10018</v>
      </c>
      <c r="G112" s="285" t="s">
        <v>10019</v>
      </c>
      <c r="H112" s="285" t="s">
        <v>10020</v>
      </c>
      <c r="I112" s="285" t="s">
        <v>10021</v>
      </c>
      <c r="J112" s="285" t="s">
        <v>5012</v>
      </c>
      <c r="K112" s="285" t="s">
        <v>9466</v>
      </c>
      <c r="L112" s="285" t="s">
        <v>9734</v>
      </c>
      <c r="M112" s="285" t="s">
        <v>9383</v>
      </c>
      <c r="N112" s="287" t="str">
        <f>IFERROR(
    IF(
        AND(
            VLOOKUP(B112, 'รายชื่อพนักงานลาออกพ้นสภาพ'!B:I, 8, FALSE)&lt;&gt;"ยกเลิกลาออก",
            VLOOKUP(B112, 'รายชื่อพนักงานลาออกพ้นสภาพ'!B:I, 7, FALSE)&lt;=TODAY()
        ),
        "ลาออกแล้ว",
        ""
    ),
"")</f>
        <v/>
      </c>
      <c r="O112" s="292" t="str">
        <f t="array" ref="O112">IFERROR(INDEX(PCRent!C:D, MATCH(F112 &amp; " " &amp; G112, PCRent!A:A &amp; " " &amp; PCRent!B:B, 0)), "")</f>
        <v/>
      </c>
      <c r="P112" s="293"/>
      <c r="Q112" s="294" t="str">
        <f t="array" ref="Q112">IFERROR(INDEX(MonitorRent!C:D, MATCH(F112 &amp; " " &amp; G112, MonitorRent!A:A &amp; " " &amp; MonitorRent!B:B, 0)), "")</f>
        <v/>
      </c>
      <c r="R112" s="295"/>
    </row>
    <row r="113">
      <c r="A113" s="284">
        <v>110.0</v>
      </c>
      <c r="B113" s="285" t="s">
        <v>10022</v>
      </c>
      <c r="C113" s="285" t="s">
        <v>8796</v>
      </c>
      <c r="D113" s="286" t="s">
        <v>10023</v>
      </c>
      <c r="E113" s="285" t="s">
        <v>6921</v>
      </c>
      <c r="F113" s="285" t="s">
        <v>10024</v>
      </c>
      <c r="G113" s="285" t="s">
        <v>10025</v>
      </c>
      <c r="H113" s="285" t="s">
        <v>10026</v>
      </c>
      <c r="I113" s="285" t="s">
        <v>10027</v>
      </c>
      <c r="J113" s="285" t="s">
        <v>5224</v>
      </c>
      <c r="K113" s="285" t="s">
        <v>10028</v>
      </c>
      <c r="L113" s="285" t="s">
        <v>9246</v>
      </c>
      <c r="M113" s="285" t="s">
        <v>9383</v>
      </c>
      <c r="N113" s="287" t="str">
        <f>IFERROR(
    IF(
        AND(
            VLOOKUP(B113, 'รายชื่อพนักงานลาออกพ้นสภาพ'!B:I, 8, FALSE)&lt;&gt;"ยกเลิกลาออก",
            VLOOKUP(B113, 'รายชื่อพนักงานลาออกพ้นสภาพ'!B:I, 7, FALSE)&lt;=TODAY()
        ),
        "ลาออกแล้ว",
        ""
    ),
"")</f>
        <v/>
      </c>
      <c r="O113" s="292" t="str">
        <f t="array" ref="O113">IFERROR(INDEX(PCRent!C:D, MATCH(F113 &amp; " " &amp; G113, PCRent!A:A &amp; " " &amp; PCRent!B:B, 0)), "")</f>
        <v/>
      </c>
      <c r="P113" s="293"/>
      <c r="Q113" s="294" t="str">
        <f t="array" ref="Q113">IFERROR(INDEX(MonitorRent!C:D, MATCH(F113 &amp; " " &amp; G113, MonitorRent!A:A &amp; " " &amp; MonitorRent!B:B, 0)), "")</f>
        <v/>
      </c>
      <c r="R113" s="295"/>
    </row>
    <row r="114">
      <c r="A114" s="284">
        <v>111.0</v>
      </c>
      <c r="B114" s="285" t="s">
        <v>9330</v>
      </c>
      <c r="C114" s="285" t="s">
        <v>8796</v>
      </c>
      <c r="D114" s="286" t="s">
        <v>10029</v>
      </c>
      <c r="E114" s="285" t="s">
        <v>6921</v>
      </c>
      <c r="F114" s="285" t="s">
        <v>10030</v>
      </c>
      <c r="G114" s="285" t="s">
        <v>10031</v>
      </c>
      <c r="H114" s="285" t="s">
        <v>10032</v>
      </c>
      <c r="I114" s="285" t="s">
        <v>10033</v>
      </c>
      <c r="J114" s="285" t="s">
        <v>5224</v>
      </c>
      <c r="K114" s="285" t="s">
        <v>4835</v>
      </c>
      <c r="L114" s="285" t="s">
        <v>5805</v>
      </c>
      <c r="M114" s="285" t="s">
        <v>9383</v>
      </c>
      <c r="N114" s="287" t="str">
        <f>IFERROR(
    IF(
        AND(
            VLOOKUP(B114, 'รายชื่อพนักงานลาออกพ้นสภาพ'!B:I, 8, FALSE)&lt;&gt;"ยกเลิกลาออก",
            VLOOKUP(B114, 'รายชื่อพนักงานลาออกพ้นสภาพ'!B:I, 7, FALSE)&lt;=TODAY()
        ),
        "ลาออกแล้ว",
        ""
    ),
"")</f>
        <v/>
      </c>
      <c r="O114" s="292" t="str">
        <f t="array" ref="O114">IFERROR(INDEX(PCRent!C:D, MATCH(F114 &amp; " " &amp; G114, PCRent!A:A &amp; " " &amp; PCRent!B:B, 0)), "")</f>
        <v/>
      </c>
      <c r="P114" s="293"/>
      <c r="Q114" s="294" t="str">
        <f t="array" ref="Q114">IFERROR(INDEX(MonitorRent!C:D, MATCH(F114 &amp; " " &amp; G114, MonitorRent!A:A &amp; " " &amp; MonitorRent!B:B, 0)), "")</f>
        <v/>
      </c>
      <c r="R114" s="295"/>
    </row>
    <row r="115">
      <c r="A115" s="284">
        <v>112.0</v>
      </c>
      <c r="B115" s="285" t="s">
        <v>10034</v>
      </c>
      <c r="C115" s="285" t="s">
        <v>8796</v>
      </c>
      <c r="D115" s="286" t="s">
        <v>10035</v>
      </c>
      <c r="E115" s="285" t="s">
        <v>6933</v>
      </c>
      <c r="F115" s="285" t="s">
        <v>10036</v>
      </c>
      <c r="G115" s="285" t="s">
        <v>10037</v>
      </c>
      <c r="H115" s="285" t="s">
        <v>10038</v>
      </c>
      <c r="I115" s="285" t="s">
        <v>10039</v>
      </c>
      <c r="J115" s="285" t="s">
        <v>5012</v>
      </c>
      <c r="K115" s="285" t="s">
        <v>9626</v>
      </c>
      <c r="L115" s="285" t="s">
        <v>9686</v>
      </c>
      <c r="M115" s="285" t="s">
        <v>9383</v>
      </c>
      <c r="N115" s="287" t="str">
        <f>IFERROR(
    IF(
        AND(
            VLOOKUP(B115, 'รายชื่อพนักงานลาออกพ้นสภาพ'!B:I, 8, FALSE)&lt;&gt;"ยกเลิกลาออก",
            VLOOKUP(B115, 'รายชื่อพนักงานลาออกพ้นสภาพ'!B:I, 7, FALSE)&lt;=TODAY()
        ),
        "ลาออกแล้ว",
        ""
    ),
"")</f>
        <v/>
      </c>
      <c r="O115" s="292" t="str">
        <f t="array" ref="O115">IFERROR(INDEX(PCRent!C:D, MATCH(F115 &amp; " " &amp; G115, PCRent!A:A &amp; " " &amp; PCRent!B:B, 0)), "")</f>
        <v/>
      </c>
      <c r="P115" s="293"/>
      <c r="Q115" s="294" t="str">
        <f t="array" ref="Q115">IFERROR(INDEX(MonitorRent!C:D, MATCH(F115 &amp; " " &amp; G115, MonitorRent!A:A &amp; " " &amp; MonitorRent!B:B, 0)), "")</f>
        <v/>
      </c>
      <c r="R115" s="295"/>
    </row>
    <row r="116">
      <c r="A116" s="284">
        <v>113.0</v>
      </c>
      <c r="B116" s="285" t="s">
        <v>387</v>
      </c>
      <c r="C116" s="285" t="s">
        <v>10040</v>
      </c>
      <c r="D116" s="286" t="s">
        <v>10041</v>
      </c>
      <c r="E116" s="285" t="s">
        <v>6921</v>
      </c>
      <c r="F116" s="285" t="s">
        <v>10042</v>
      </c>
      <c r="G116" s="285" t="s">
        <v>10043</v>
      </c>
      <c r="H116" s="285" t="s">
        <v>9435</v>
      </c>
      <c r="I116" s="285" t="s">
        <v>390</v>
      </c>
      <c r="J116" s="285" t="s">
        <v>5012</v>
      </c>
      <c r="K116" s="285" t="s">
        <v>4835</v>
      </c>
      <c r="L116" s="285" t="s">
        <v>389</v>
      </c>
      <c r="M116" s="285" t="s">
        <v>9383</v>
      </c>
      <c r="N116" s="287" t="str">
        <f>IFERROR(
    IF(
        AND(
            VLOOKUP(B116, 'รายชื่อพนักงานลาออกพ้นสภาพ'!B:I, 8, FALSE)&lt;&gt;"ยกเลิกลาออก",
            VLOOKUP(B116, 'รายชื่อพนักงานลาออกพ้นสภาพ'!B:I, 7, FALSE)&lt;=TODAY()
        ),
        "ลาออกแล้ว",
        ""
    ),
"")</f>
        <v>ลาออกแล้ว</v>
      </c>
      <c r="O116" s="292" t="str">
        <f t="array" ref="O116:P116">IFERROR(INDEX(PCRent!C:D, MATCH(F116 &amp; " " &amp; G116, PCRent!A:A &amp; " " &amp; PCRent!B:B, 0)), "")</f>
        <v>SN:PF39GCWX</v>
      </c>
      <c r="P116" s="293" t="s">
        <v>7005</v>
      </c>
      <c r="Q116" s="294" t="str">
        <f t="array" ref="Q116">IFERROR(INDEX(MonitorRent!C:D, MATCH(F116 &amp; " " &amp; G116, MonitorRent!A:A &amp; " " &amp; MonitorRent!B:B, 0)), "")</f>
        <v/>
      </c>
      <c r="R116" s="295"/>
    </row>
    <row r="117">
      <c r="A117" s="284">
        <v>114.0</v>
      </c>
      <c r="B117" s="285" t="s">
        <v>10044</v>
      </c>
      <c r="C117" s="285" t="s">
        <v>10040</v>
      </c>
      <c r="D117" s="286" t="s">
        <v>10045</v>
      </c>
      <c r="E117" s="285" t="s">
        <v>6921</v>
      </c>
      <c r="F117" s="285" t="s">
        <v>10046</v>
      </c>
      <c r="G117" s="285" t="s">
        <v>10047</v>
      </c>
      <c r="H117" s="285" t="s">
        <v>10048</v>
      </c>
      <c r="I117" s="285" t="s">
        <v>10049</v>
      </c>
      <c r="J117" s="285" t="s">
        <v>5012</v>
      </c>
      <c r="K117" s="285" t="s">
        <v>4749</v>
      </c>
      <c r="L117" s="285" t="s">
        <v>389</v>
      </c>
      <c r="M117" s="285" t="s">
        <v>9383</v>
      </c>
      <c r="N117" s="287" t="str">
        <f>IFERROR(
    IF(
        AND(
            VLOOKUP(B117, 'รายชื่อพนักงานลาออกพ้นสภาพ'!B:I, 8, FALSE)&lt;&gt;"ยกเลิกลาออก",
            VLOOKUP(B117, 'รายชื่อพนักงานลาออกพ้นสภาพ'!B:I, 7, FALSE)&lt;=TODAY()
        ),
        "ลาออกแล้ว",
        ""
    ),
"")</f>
        <v/>
      </c>
      <c r="O117" s="292" t="str">
        <f t="array" ref="O117:P117">IFERROR(INDEX(PCRent!C:D, MATCH(F117 &amp; " " &amp; G117, PCRent!A:A &amp; " " &amp; PCRent!B:B, 0)), "")</f>
        <v>SN:MP2EJ2XH</v>
      </c>
      <c r="P117" s="293" t="s">
        <v>6993</v>
      </c>
      <c r="Q117" s="294" t="str">
        <f t="array" ref="Q117">IFERROR(INDEX(MonitorRent!C:D, MATCH(F117 &amp; " " &amp; G117, MonitorRent!A:A &amp; " " &amp; MonitorRent!B:B, 0)), "")</f>
        <v/>
      </c>
      <c r="R117" s="295"/>
    </row>
    <row r="118">
      <c r="A118" s="284">
        <v>115.0</v>
      </c>
      <c r="B118" s="285" t="s">
        <v>10050</v>
      </c>
      <c r="C118" s="285" t="s">
        <v>10040</v>
      </c>
      <c r="D118" s="286" t="s">
        <v>10051</v>
      </c>
      <c r="E118" s="285" t="s">
        <v>6933</v>
      </c>
      <c r="F118" s="285" t="s">
        <v>10052</v>
      </c>
      <c r="G118" s="285" t="s">
        <v>10053</v>
      </c>
      <c r="H118" s="285" t="s">
        <v>10054</v>
      </c>
      <c r="I118" s="285" t="s">
        <v>10055</v>
      </c>
      <c r="J118" s="285" t="s">
        <v>5224</v>
      </c>
      <c r="K118" s="285" t="s">
        <v>10056</v>
      </c>
      <c r="L118" s="285" t="s">
        <v>10057</v>
      </c>
      <c r="M118" s="285" t="s">
        <v>9383</v>
      </c>
      <c r="N118" s="287" t="str">
        <f>IFERROR(
    IF(
        AND(
            VLOOKUP(B118, 'รายชื่อพนักงานลาออกพ้นสภาพ'!B:I, 8, FALSE)&lt;&gt;"ยกเลิกลาออก",
            VLOOKUP(B118, 'รายชื่อพนักงานลาออกพ้นสภาพ'!B:I, 7, FALSE)&lt;=TODAY()
        ),
        "ลาออกแล้ว",
        ""
    ),
"")</f>
        <v/>
      </c>
      <c r="O118" s="292" t="str">
        <f t="array" ref="O118:P118">IFERROR(INDEX(PCRent!C:D, MATCH(F118 &amp; " " &amp; G118, PCRent!A:A &amp; " " &amp; PCRent!B:B, 0)), "")</f>
        <v>SN:MP2ESXRE</v>
      </c>
      <c r="P118" s="293" t="s">
        <v>7070</v>
      </c>
      <c r="Q118" s="294" t="str">
        <f t="array" ref="Q118">IFERROR(INDEX(MonitorRent!C:D, MATCH(F118 &amp; " " &amp; G118, MonitorRent!A:A &amp; " " &amp; MonitorRent!B:B, 0)), "")</f>
        <v/>
      </c>
      <c r="R118" s="295"/>
    </row>
    <row r="119">
      <c r="A119" s="284">
        <v>116.0</v>
      </c>
      <c r="B119" s="285" t="s">
        <v>442</v>
      </c>
      <c r="C119" s="285" t="s">
        <v>10040</v>
      </c>
      <c r="D119" s="286" t="s">
        <v>10058</v>
      </c>
      <c r="E119" s="285" t="s">
        <v>6921</v>
      </c>
      <c r="F119" s="285" t="s">
        <v>10059</v>
      </c>
      <c r="G119" s="285" t="s">
        <v>10060</v>
      </c>
      <c r="H119" s="285" t="s">
        <v>9840</v>
      </c>
      <c r="I119" s="285" t="s">
        <v>446</v>
      </c>
      <c r="J119" s="285" t="s">
        <v>5224</v>
      </c>
      <c r="K119" s="285" t="s">
        <v>1456</v>
      </c>
      <c r="L119" s="285" t="s">
        <v>10061</v>
      </c>
      <c r="M119" s="285" t="s">
        <v>9383</v>
      </c>
      <c r="N119" s="287" t="str">
        <f>IFERROR(
    IF(
        AND(
            VLOOKUP(B119, 'รายชื่อพนักงานลาออกพ้นสภาพ'!B:I, 8, FALSE)&lt;&gt;"ยกเลิกลาออก",
            VLOOKUP(B119, 'รายชื่อพนักงานลาออกพ้นสภาพ'!B:I, 7, FALSE)&lt;=TODAY()
        ),
        "ลาออกแล้ว",
        ""
    ),
"")</f>
        <v>ลาออกแล้ว</v>
      </c>
      <c r="O119" s="292" t="str">
        <f t="array" ref="O119">IFERROR(INDEX(PCRent!C:D, MATCH(F119 &amp; " " &amp; G119, PCRent!A:A &amp; " " &amp; PCRent!B:B, 0)), "")</f>
        <v/>
      </c>
      <c r="P119" s="293"/>
      <c r="Q119" s="294" t="str">
        <f t="array" ref="Q119">IFERROR(INDEX(MonitorRent!C:D, MATCH(F119 &amp; " " &amp; G119, MonitorRent!A:A &amp; " " &amp; MonitorRent!B:B, 0)), "")</f>
        <v/>
      </c>
      <c r="R119" s="295"/>
    </row>
    <row r="120">
      <c r="A120" s="284">
        <v>117.0</v>
      </c>
      <c r="B120" s="285" t="s">
        <v>10062</v>
      </c>
      <c r="C120" s="285" t="s">
        <v>10040</v>
      </c>
      <c r="D120" s="286" t="s">
        <v>10063</v>
      </c>
      <c r="E120" s="285" t="s">
        <v>6921</v>
      </c>
      <c r="F120" s="285" t="s">
        <v>10064</v>
      </c>
      <c r="G120" s="285" t="s">
        <v>10065</v>
      </c>
      <c r="H120" s="285" t="s">
        <v>10066</v>
      </c>
      <c r="I120" s="285" t="s">
        <v>10067</v>
      </c>
      <c r="J120" s="285" t="s">
        <v>5224</v>
      </c>
      <c r="K120" s="285" t="s">
        <v>10068</v>
      </c>
      <c r="L120" s="285" t="s">
        <v>389</v>
      </c>
      <c r="M120" s="285" t="s">
        <v>9391</v>
      </c>
      <c r="N120" s="287" t="str">
        <f>IFERROR(
    IF(
        AND(
            VLOOKUP(B120, 'รายชื่อพนักงานลาออกพ้นสภาพ'!B:I, 8, FALSE)&lt;&gt;"ยกเลิกลาออก",
            VLOOKUP(B120, 'รายชื่อพนักงานลาออกพ้นสภาพ'!B:I, 7, FALSE)&lt;=TODAY()
        ),
        "ลาออกแล้ว",
        ""
    ),
"")</f>
        <v/>
      </c>
      <c r="O120" s="292" t="str">
        <f t="array" ref="O120">IFERROR(INDEX(PCRent!C:D, MATCH(F120 &amp; " " &amp; G120, PCRent!A:A &amp; " " &amp; PCRent!B:B, 0)), "")</f>
        <v/>
      </c>
      <c r="P120" s="293"/>
      <c r="Q120" s="294" t="str">
        <f t="array" ref="Q120">IFERROR(INDEX(MonitorRent!C:D, MATCH(F120 &amp; " " &amp; G120, MonitorRent!A:A &amp; " " &amp; MonitorRent!B:B, 0)), "")</f>
        <v/>
      </c>
      <c r="R120" s="295"/>
    </row>
    <row r="121">
      <c r="A121" s="284">
        <v>118.0</v>
      </c>
      <c r="B121" s="285" t="s">
        <v>10069</v>
      </c>
      <c r="C121" s="285" t="s">
        <v>10040</v>
      </c>
      <c r="D121" s="286" t="s">
        <v>10070</v>
      </c>
      <c r="E121" s="285" t="s">
        <v>6921</v>
      </c>
      <c r="F121" s="285" t="s">
        <v>10071</v>
      </c>
      <c r="G121" s="285" t="s">
        <v>10072</v>
      </c>
      <c r="H121" s="285" t="s">
        <v>10073</v>
      </c>
      <c r="I121" s="285" t="s">
        <v>10074</v>
      </c>
      <c r="J121" s="285" t="s">
        <v>5224</v>
      </c>
      <c r="K121" s="285" t="s">
        <v>4805</v>
      </c>
      <c r="L121" s="285" t="s">
        <v>999</v>
      </c>
      <c r="M121" s="285" t="s">
        <v>9383</v>
      </c>
      <c r="N121" s="287" t="str">
        <f>IFERROR(
    IF(
        AND(
            VLOOKUP(B121, 'รายชื่อพนักงานลาออกพ้นสภาพ'!B:I, 8, FALSE)&lt;&gt;"ยกเลิกลาออก",
            VLOOKUP(B121, 'รายชื่อพนักงานลาออกพ้นสภาพ'!B:I, 7, FALSE)&lt;=TODAY()
        ),
        "ลาออกแล้ว",
        ""
    ),
"")</f>
        <v/>
      </c>
      <c r="O121" s="292" t="str">
        <f t="array" ref="O121:P121">IFERROR(INDEX(PCRent!C:D, MATCH(F121 &amp; " " &amp; G121, PCRent!A:A &amp; " " &amp; PCRent!B:B, 0)), "")</f>
        <v>SN:MP2E0P96</v>
      </c>
      <c r="P121" s="293" t="s">
        <v>7357</v>
      </c>
      <c r="Q121" s="294" t="str">
        <f t="array" ref="Q121">IFERROR(INDEX(MonitorRent!C:D, MATCH(F121 &amp; " " &amp; G121, MonitorRent!A:A &amp; " " &amp; MonitorRent!B:B, 0)), "")</f>
        <v/>
      </c>
      <c r="R121" s="295"/>
    </row>
    <row r="122">
      <c r="A122" s="284">
        <v>119.0</v>
      </c>
      <c r="B122" s="285" t="s">
        <v>10075</v>
      </c>
      <c r="C122" s="285" t="s">
        <v>10040</v>
      </c>
      <c r="D122" s="286" t="s">
        <v>10076</v>
      </c>
      <c r="E122" s="285" t="s">
        <v>6933</v>
      </c>
      <c r="F122" s="285" t="s">
        <v>10077</v>
      </c>
      <c r="G122" s="285" t="s">
        <v>10078</v>
      </c>
      <c r="H122" s="285" t="s">
        <v>10079</v>
      </c>
      <c r="I122" s="285" t="s">
        <v>10080</v>
      </c>
      <c r="J122" s="285" t="s">
        <v>5224</v>
      </c>
      <c r="K122" s="285" t="s">
        <v>9458</v>
      </c>
      <c r="L122" s="285" t="s">
        <v>10081</v>
      </c>
      <c r="M122" s="285" t="s">
        <v>9383</v>
      </c>
      <c r="N122" s="287" t="str">
        <f>IFERROR(
    IF(
        AND(
            VLOOKUP(B122, 'รายชื่อพนักงานลาออกพ้นสภาพ'!B:I, 8, FALSE)&lt;&gt;"ยกเลิกลาออก",
            VLOOKUP(B122, 'รายชื่อพนักงานลาออกพ้นสภาพ'!B:I, 7, FALSE)&lt;=TODAY()
        ),
        "ลาออกแล้ว",
        ""
    ),
"")</f>
        <v/>
      </c>
      <c r="O122" s="292" t="str">
        <f t="array" ref="O122:P122">IFERROR(INDEX(PCRent!C:D, MATCH(F122 &amp; " " &amp; G122, PCRent!A:A &amp; " " &amp; PCRent!B:B, 0)), "")</f>
        <v>SN:5FD0HY3</v>
      </c>
      <c r="P122" s="293" t="s">
        <v>7048</v>
      </c>
      <c r="Q122" s="294" t="str">
        <f t="array" ref="Q122:R122">IFERROR(INDEX(MonitorRent!C:D, MATCH(F122 &amp; " " &amp; G122, MonitorRent!A:A &amp; " " &amp; MonitorRent!B:B, 0)), "")</f>
        <v>SN:72ZHYV3</v>
      </c>
      <c r="R122" s="295" t="s">
        <v>7050</v>
      </c>
    </row>
    <row r="123">
      <c r="A123" s="284">
        <v>120.0</v>
      </c>
      <c r="B123" s="285" t="s">
        <v>10082</v>
      </c>
      <c r="C123" s="285" t="s">
        <v>10040</v>
      </c>
      <c r="D123" s="286" t="s">
        <v>10083</v>
      </c>
      <c r="E123" s="285" t="s">
        <v>6921</v>
      </c>
      <c r="F123" s="285" t="s">
        <v>10084</v>
      </c>
      <c r="G123" s="285" t="s">
        <v>10085</v>
      </c>
      <c r="H123" s="285" t="s">
        <v>10086</v>
      </c>
      <c r="I123" s="285" t="s">
        <v>10087</v>
      </c>
      <c r="J123" s="285" t="s">
        <v>5012</v>
      </c>
      <c r="K123" s="285" t="s">
        <v>10088</v>
      </c>
      <c r="L123" s="285" t="s">
        <v>2584</v>
      </c>
      <c r="M123" s="285" t="s">
        <v>9383</v>
      </c>
      <c r="N123" s="287" t="str">
        <f>IFERROR(
    IF(
        AND(
            VLOOKUP(B123, 'รายชื่อพนักงานลาออกพ้นสภาพ'!B:I, 8, FALSE)&lt;&gt;"ยกเลิกลาออก",
            VLOOKUP(B123, 'รายชื่อพนักงานลาออกพ้นสภาพ'!B:I, 7, FALSE)&lt;=TODAY()
        ),
        "ลาออกแล้ว",
        ""
    ),
"")</f>
        <v/>
      </c>
      <c r="O123" s="292" t="str">
        <f t="array" ref="O123">IFERROR(INDEX(PCRent!C:D, MATCH(F123 &amp; " " &amp; G123, PCRent!A:A &amp; " " &amp; PCRent!B:B, 0)), "")</f>
        <v/>
      </c>
      <c r="P123" s="293"/>
      <c r="Q123" s="294" t="str">
        <f t="array" ref="Q123">IFERROR(INDEX(MonitorRent!C:D, MATCH(F123 &amp; " " &amp; G123, MonitorRent!A:A &amp; " " &amp; MonitorRent!B:B, 0)), "")</f>
        <v/>
      </c>
      <c r="R123" s="295"/>
    </row>
    <row r="124">
      <c r="A124" s="284">
        <v>121.0</v>
      </c>
      <c r="B124" s="285" t="s">
        <v>10089</v>
      </c>
      <c r="C124" s="285" t="s">
        <v>10040</v>
      </c>
      <c r="D124" s="286" t="s">
        <v>10090</v>
      </c>
      <c r="E124" s="285" t="s">
        <v>6933</v>
      </c>
      <c r="F124" s="285" t="s">
        <v>10091</v>
      </c>
      <c r="G124" s="285" t="s">
        <v>10092</v>
      </c>
      <c r="H124" s="285" t="s">
        <v>10093</v>
      </c>
      <c r="I124" s="285" t="s">
        <v>10094</v>
      </c>
      <c r="J124" s="285" t="s">
        <v>5224</v>
      </c>
      <c r="K124" s="285" t="s">
        <v>4749</v>
      </c>
      <c r="L124" s="285" t="s">
        <v>10095</v>
      </c>
      <c r="M124" s="285" t="s">
        <v>9383</v>
      </c>
      <c r="N124" s="287" t="str">
        <f>IFERROR(
    IF(
        AND(
            VLOOKUP(B124, 'รายชื่อพนักงานลาออกพ้นสภาพ'!B:I, 8, FALSE)&lt;&gt;"ยกเลิกลาออก",
            VLOOKUP(B124, 'รายชื่อพนักงานลาออกพ้นสภาพ'!B:I, 7, FALSE)&lt;=TODAY()
        ),
        "ลาออกแล้ว",
        ""
    ),
"")</f>
        <v/>
      </c>
      <c r="O124" s="292" t="str">
        <f t="array" ref="O124:P124">IFERROR(INDEX(PCRent!C:D, MATCH(F124 &amp; " " &amp; G124, PCRent!A:A &amp; " " &amp; PCRent!B:B, 0)), "")</f>
        <v>SN:MP2EVQ0M</v>
      </c>
      <c r="P124" s="293" t="s">
        <v>7070</v>
      </c>
      <c r="Q124" s="294" t="str">
        <f t="array" ref="Q124">IFERROR(INDEX(MonitorRent!C:D, MATCH(F124 &amp; " " &amp; G124, MonitorRent!A:A &amp; " " &amp; MonitorRent!B:B, 0)), "")</f>
        <v/>
      </c>
      <c r="R124" s="295"/>
    </row>
    <row r="125">
      <c r="A125" s="284">
        <v>122.0</v>
      </c>
      <c r="B125" s="285" t="s">
        <v>10096</v>
      </c>
      <c r="C125" s="285" t="s">
        <v>10040</v>
      </c>
      <c r="D125" s="286" t="s">
        <v>10097</v>
      </c>
      <c r="E125" s="285" t="s">
        <v>6921</v>
      </c>
      <c r="F125" s="285" t="s">
        <v>10098</v>
      </c>
      <c r="G125" s="285" t="s">
        <v>10099</v>
      </c>
      <c r="H125" s="285" t="s">
        <v>10100</v>
      </c>
      <c r="I125" s="285" t="s">
        <v>10101</v>
      </c>
      <c r="J125" s="285" t="s">
        <v>5012</v>
      </c>
      <c r="K125" s="285" t="s">
        <v>6322</v>
      </c>
      <c r="L125" s="285" t="s">
        <v>10061</v>
      </c>
      <c r="M125" s="285" t="s">
        <v>9383</v>
      </c>
      <c r="N125" s="287" t="str">
        <f>IFERROR(
    IF(
        AND(
            VLOOKUP(B125, 'รายชื่อพนักงานลาออกพ้นสภาพ'!B:I, 8, FALSE)&lt;&gt;"ยกเลิกลาออก",
            VLOOKUP(B125, 'รายชื่อพนักงานลาออกพ้นสภาพ'!B:I, 7, FALSE)&lt;=TODAY()
        ),
        "ลาออกแล้ว",
        ""
    ),
"")</f>
        <v/>
      </c>
      <c r="O125" s="292" t="str">
        <f t="array" ref="O125:P125">IFERROR(INDEX(PCRent!C:D, MATCH(F125 &amp; " " &amp; G125, PCRent!A:A &amp; " " &amp; PCRent!B:B, 0)), "")</f>
        <v>SN:MP2EJ2XM</v>
      </c>
      <c r="P125" s="293" t="s">
        <v>6993</v>
      </c>
      <c r="Q125" s="294" t="str">
        <f t="array" ref="Q125">IFERROR(INDEX(MonitorRent!C:D, MATCH(F125 &amp; " " &amp; G125, MonitorRent!A:A &amp; " " &amp; MonitorRent!B:B, 0)), "")</f>
        <v/>
      </c>
      <c r="R125" s="295"/>
    </row>
    <row r="126">
      <c r="A126" s="284">
        <v>123.0</v>
      </c>
      <c r="B126" s="285" t="s">
        <v>10102</v>
      </c>
      <c r="C126" s="285" t="s">
        <v>10103</v>
      </c>
      <c r="D126" s="286" t="s">
        <v>10104</v>
      </c>
      <c r="E126" s="285" t="s">
        <v>6933</v>
      </c>
      <c r="F126" s="285" t="s">
        <v>10105</v>
      </c>
      <c r="G126" s="285" t="s">
        <v>10106</v>
      </c>
      <c r="H126" s="285" t="s">
        <v>9538</v>
      </c>
      <c r="I126" s="285" t="s">
        <v>10107</v>
      </c>
      <c r="J126" s="285" t="s">
        <v>5012</v>
      </c>
      <c r="K126" s="285" t="s">
        <v>5638</v>
      </c>
      <c r="L126" s="285" t="s">
        <v>832</v>
      </c>
      <c r="M126" s="285" t="s">
        <v>9383</v>
      </c>
      <c r="N126" s="287" t="str">
        <f>IFERROR(
    IF(
        AND(
            VLOOKUP(B126, 'รายชื่อพนักงานลาออกพ้นสภาพ'!B:I, 8, FALSE)&lt;&gt;"ยกเลิกลาออก",
            VLOOKUP(B126, 'รายชื่อพนักงานลาออกพ้นสภาพ'!B:I, 7, FALSE)&lt;=TODAY()
        ),
        "ลาออกแล้ว",
        ""
    ),
"")</f>
        <v/>
      </c>
      <c r="O126" s="292" t="str">
        <f t="array" ref="O126">IFERROR(INDEX(PCRent!C:D, MATCH(F126 &amp; " " &amp; G126, PCRent!A:A &amp; " " &amp; PCRent!B:B, 0)), "")</f>
        <v/>
      </c>
      <c r="P126" s="293"/>
      <c r="Q126" s="294" t="str">
        <f t="array" ref="Q126">IFERROR(INDEX(MonitorRent!C:D, MATCH(F126 &amp; " " &amp; G126, MonitorRent!A:A &amp; " " &amp; MonitorRent!B:B, 0)), "")</f>
        <v/>
      </c>
      <c r="R126" s="295"/>
    </row>
    <row r="127">
      <c r="A127" s="284">
        <v>124.0</v>
      </c>
      <c r="B127" s="285" t="s">
        <v>10108</v>
      </c>
      <c r="C127" s="285" t="s">
        <v>10103</v>
      </c>
      <c r="D127" s="286" t="s">
        <v>10109</v>
      </c>
      <c r="E127" s="285" t="s">
        <v>6933</v>
      </c>
      <c r="F127" s="285" t="s">
        <v>10110</v>
      </c>
      <c r="G127" s="285" t="s">
        <v>10111</v>
      </c>
      <c r="H127" s="285" t="s">
        <v>10112</v>
      </c>
      <c r="I127" s="285" t="s">
        <v>10113</v>
      </c>
      <c r="J127" s="285" t="s">
        <v>5012</v>
      </c>
      <c r="K127" s="285" t="s">
        <v>10114</v>
      </c>
      <c r="L127" s="285" t="s">
        <v>832</v>
      </c>
      <c r="M127" s="285" t="s">
        <v>9383</v>
      </c>
      <c r="N127" s="287" t="str">
        <f>IFERROR(
    IF(
        AND(
            VLOOKUP(B127, 'รายชื่อพนักงานลาออกพ้นสภาพ'!B:I, 8, FALSE)&lt;&gt;"ยกเลิกลาออก",
            VLOOKUP(B127, 'รายชื่อพนักงานลาออกพ้นสภาพ'!B:I, 7, FALSE)&lt;=TODAY()
        ),
        "ลาออกแล้ว",
        ""
    ),
"")</f>
        <v/>
      </c>
      <c r="O127" s="292" t="str">
        <f t="array" ref="O127">IFERROR(INDEX(PCRent!C:D, MATCH(F127 &amp; " " &amp; G127, PCRent!A:A &amp; " " &amp; PCRent!B:B, 0)), "")</f>
        <v/>
      </c>
      <c r="P127" s="293"/>
      <c r="Q127" s="294" t="str">
        <f t="array" ref="Q127">IFERROR(INDEX(MonitorRent!C:D, MATCH(F127 &amp; " " &amp; G127, MonitorRent!A:A &amp; " " &amp; MonitorRent!B:B, 0)), "")</f>
        <v/>
      </c>
      <c r="R127" s="295"/>
    </row>
    <row r="128">
      <c r="A128" s="284">
        <v>125.0</v>
      </c>
      <c r="B128" s="285" t="s">
        <v>536</v>
      </c>
      <c r="C128" s="285" t="s">
        <v>10103</v>
      </c>
      <c r="D128" s="286" t="s">
        <v>9829</v>
      </c>
      <c r="E128" s="285" t="s">
        <v>6921</v>
      </c>
      <c r="F128" s="285" t="s">
        <v>9386</v>
      </c>
      <c r="G128" s="285" t="s">
        <v>10115</v>
      </c>
      <c r="H128" s="285" t="s">
        <v>10086</v>
      </c>
      <c r="I128" s="285" t="s">
        <v>539</v>
      </c>
      <c r="J128" s="285" t="s">
        <v>5012</v>
      </c>
      <c r="K128" s="285" t="s">
        <v>1606</v>
      </c>
      <c r="L128" s="285" t="s">
        <v>832</v>
      </c>
      <c r="M128" s="285" t="s">
        <v>9391</v>
      </c>
      <c r="N128" s="287" t="str">
        <f>IFERROR(
    IF(
        AND(
            VLOOKUP(B128, 'รายชื่อพนักงานลาออกพ้นสภาพ'!B:I, 8, FALSE)&lt;&gt;"ยกเลิกลาออก",
            VLOOKUP(B128, 'รายชื่อพนักงานลาออกพ้นสภาพ'!B:I, 7, FALSE)&lt;=TODAY()
        ),
        "ลาออกแล้ว",
        ""
    ),
"")</f>
        <v>ลาออกแล้ว</v>
      </c>
      <c r="O128" s="292" t="str">
        <f t="array" ref="O128">IFERROR(INDEX(PCRent!C:D, MATCH(F128 &amp; " " &amp; G128, PCRent!A:A &amp; " " &amp; PCRent!B:B, 0)), "")</f>
        <v/>
      </c>
      <c r="P128" s="293"/>
      <c r="Q128" s="294" t="str">
        <f t="array" ref="Q128">IFERROR(INDEX(MonitorRent!C:D, MATCH(F128 &amp; " " &amp; G128, MonitorRent!A:A &amp; " " &amp; MonitorRent!B:B, 0)), "")</f>
        <v/>
      </c>
      <c r="R128" s="295"/>
    </row>
    <row r="129">
      <c r="A129" s="284">
        <v>126.0</v>
      </c>
      <c r="B129" s="285" t="s">
        <v>51</v>
      </c>
      <c r="C129" s="285" t="s">
        <v>10103</v>
      </c>
      <c r="D129" s="286" t="s">
        <v>9547</v>
      </c>
      <c r="E129" s="285" t="s">
        <v>6921</v>
      </c>
      <c r="F129" s="285" t="s">
        <v>9386</v>
      </c>
      <c r="G129" s="285" t="s">
        <v>10116</v>
      </c>
      <c r="H129" s="285" t="s">
        <v>10117</v>
      </c>
      <c r="I129" s="285" t="s">
        <v>55</v>
      </c>
      <c r="J129" s="285" t="s">
        <v>5224</v>
      </c>
      <c r="K129" s="285" t="s">
        <v>10118</v>
      </c>
      <c r="L129" s="285" t="s">
        <v>54</v>
      </c>
      <c r="M129" s="285" t="s">
        <v>9391</v>
      </c>
      <c r="N129" s="287" t="str">
        <f>IFERROR(
    IF(
        AND(
            VLOOKUP(B129, 'รายชื่อพนักงานลาออกพ้นสภาพ'!B:I, 8, FALSE)&lt;&gt;"ยกเลิกลาออก",
            VLOOKUP(B129, 'รายชื่อพนักงานลาออกพ้นสภาพ'!B:I, 7, FALSE)&lt;=TODAY()
        ),
        "ลาออกแล้ว",
        ""
    ),
"")</f>
        <v>ลาออกแล้ว</v>
      </c>
      <c r="O129" s="292" t="str">
        <f t="array" ref="O129">IFERROR(INDEX(PCRent!C:D, MATCH(F129 &amp; " " &amp; G129, PCRent!A:A &amp; " " &amp; PCRent!B:B, 0)), "")</f>
        <v/>
      </c>
      <c r="P129" s="293"/>
      <c r="Q129" s="294" t="str">
        <f t="array" ref="Q129">IFERROR(INDEX(MonitorRent!C:D, MATCH(F129 &amp; " " &amp; G129, MonitorRent!A:A &amp; " " &amp; MonitorRent!B:B, 0)), "")</f>
        <v/>
      </c>
      <c r="R129" s="295"/>
    </row>
    <row r="130">
      <c r="A130" s="284">
        <v>127.0</v>
      </c>
      <c r="B130" s="285" t="s">
        <v>10119</v>
      </c>
      <c r="C130" s="285" t="s">
        <v>10103</v>
      </c>
      <c r="D130" s="286" t="s">
        <v>10120</v>
      </c>
      <c r="E130" s="285" t="s">
        <v>6921</v>
      </c>
      <c r="F130" s="285" t="s">
        <v>10121</v>
      </c>
      <c r="G130" s="285" t="s">
        <v>10122</v>
      </c>
      <c r="H130" s="285" t="s">
        <v>9810</v>
      </c>
      <c r="I130" s="285" t="s">
        <v>10123</v>
      </c>
      <c r="J130" s="285" t="s">
        <v>5012</v>
      </c>
      <c r="K130" s="285" t="s">
        <v>1606</v>
      </c>
      <c r="L130" s="285" t="s">
        <v>832</v>
      </c>
      <c r="M130" s="285" t="s">
        <v>9383</v>
      </c>
      <c r="N130" s="287" t="str">
        <f>IFERROR(
    IF(
        AND(
            VLOOKUP(B130, 'รายชื่อพนักงานลาออกพ้นสภาพ'!B:I, 8, FALSE)&lt;&gt;"ยกเลิกลาออก",
            VLOOKUP(B130, 'รายชื่อพนักงานลาออกพ้นสภาพ'!B:I, 7, FALSE)&lt;=TODAY()
        ),
        "ลาออกแล้ว",
        ""
    ),
"")</f>
        <v/>
      </c>
      <c r="O130" s="292" t="str">
        <f t="array" ref="O130">IFERROR(INDEX(PCRent!C:D, MATCH(F130 &amp; " " &amp; G130, PCRent!A:A &amp; " " &amp; PCRent!B:B, 0)), "")</f>
        <v/>
      </c>
      <c r="P130" s="293"/>
      <c r="Q130" s="294" t="str">
        <f t="array" ref="Q130">IFERROR(INDEX(MonitorRent!C:D, MATCH(F130 &amp; " " &amp; G130, MonitorRent!A:A &amp; " " &amp; MonitorRent!B:B, 0)), "")</f>
        <v/>
      </c>
      <c r="R130" s="295"/>
    </row>
    <row r="131">
      <c r="A131" s="284">
        <v>128.0</v>
      </c>
      <c r="B131" s="285" t="s">
        <v>641</v>
      </c>
      <c r="C131" s="285" t="s">
        <v>10103</v>
      </c>
      <c r="D131" s="286" t="s">
        <v>9547</v>
      </c>
      <c r="E131" s="285" t="s">
        <v>6933</v>
      </c>
      <c r="F131" s="285" t="s">
        <v>10124</v>
      </c>
      <c r="G131" s="285" t="s">
        <v>10125</v>
      </c>
      <c r="H131" s="285" t="s">
        <v>10126</v>
      </c>
      <c r="I131" s="285" t="s">
        <v>643</v>
      </c>
      <c r="J131" s="285" t="s">
        <v>5012</v>
      </c>
      <c r="K131" s="285" t="s">
        <v>1606</v>
      </c>
      <c r="L131" s="285" t="s">
        <v>10127</v>
      </c>
      <c r="M131" s="285" t="s">
        <v>9391</v>
      </c>
      <c r="N131" s="287" t="str">
        <f>IFERROR(
    IF(
        AND(
            VLOOKUP(B131, 'รายชื่อพนักงานลาออกพ้นสภาพ'!B:I, 8, FALSE)&lt;&gt;"ยกเลิกลาออก",
            VLOOKUP(B131, 'รายชื่อพนักงานลาออกพ้นสภาพ'!B:I, 7, FALSE)&lt;=TODAY()
        ),
        "ลาออกแล้ว",
        ""
    ),
"")</f>
        <v>ลาออกแล้ว</v>
      </c>
      <c r="O131" s="292" t="str">
        <f t="array" ref="O131">IFERROR(INDEX(PCRent!C:D, MATCH(F131 &amp; " " &amp; G131, PCRent!A:A &amp; " " &amp; PCRent!B:B, 0)), "")</f>
        <v/>
      </c>
      <c r="P131" s="293"/>
      <c r="Q131" s="294" t="str">
        <f t="array" ref="Q131">IFERROR(INDEX(MonitorRent!C:D, MATCH(F131 &amp; " " &amp; G131, MonitorRent!A:A &amp; " " &amp; MonitorRent!B:B, 0)), "")</f>
        <v/>
      </c>
      <c r="R131" s="295"/>
    </row>
    <row r="132">
      <c r="A132" s="284">
        <v>129.0</v>
      </c>
      <c r="B132" s="285" t="s">
        <v>544</v>
      </c>
      <c r="C132" s="285" t="s">
        <v>10103</v>
      </c>
      <c r="D132" s="286" t="s">
        <v>9853</v>
      </c>
      <c r="E132" s="285" t="s">
        <v>6933</v>
      </c>
      <c r="F132" s="285" t="s">
        <v>10128</v>
      </c>
      <c r="G132" s="285" t="s">
        <v>10129</v>
      </c>
      <c r="H132" s="285" t="s">
        <v>10130</v>
      </c>
      <c r="I132" s="285" t="s">
        <v>546</v>
      </c>
      <c r="J132" s="285" t="s">
        <v>5012</v>
      </c>
      <c r="K132" s="285" t="s">
        <v>10114</v>
      </c>
      <c r="L132" s="285" t="s">
        <v>832</v>
      </c>
      <c r="M132" s="285" t="s">
        <v>9383</v>
      </c>
      <c r="N132" s="287" t="str">
        <f>IFERROR(
    IF(
        AND(
            VLOOKUP(B132, 'รายชื่อพนักงานลาออกพ้นสภาพ'!B:I, 8, FALSE)&lt;&gt;"ยกเลิกลาออก",
            VLOOKUP(B132, 'รายชื่อพนักงานลาออกพ้นสภาพ'!B:I, 7, FALSE)&lt;=TODAY()
        ),
        "ลาออกแล้ว",
        ""
    ),
"")</f>
        <v>ลาออกแล้ว</v>
      </c>
      <c r="O132" s="292" t="str">
        <f t="array" ref="O132">IFERROR(INDEX(PCRent!C:D, MATCH(F132 &amp; " " &amp; G132, PCRent!A:A &amp; " " &amp; PCRent!B:B, 0)), "")</f>
        <v/>
      </c>
      <c r="P132" s="293"/>
      <c r="Q132" s="294" t="str">
        <f t="array" ref="Q132">IFERROR(INDEX(MonitorRent!C:D, MATCH(F132 &amp; " " &amp; G132, MonitorRent!A:A &amp; " " &amp; MonitorRent!B:B, 0)), "")</f>
        <v/>
      </c>
      <c r="R132" s="295"/>
    </row>
    <row r="133">
      <c r="A133" s="284">
        <v>130.0</v>
      </c>
      <c r="B133" s="285" t="s">
        <v>10131</v>
      </c>
      <c r="C133" s="285" t="s">
        <v>10103</v>
      </c>
      <c r="D133" s="286" t="s">
        <v>10132</v>
      </c>
      <c r="E133" s="285" t="s">
        <v>6933</v>
      </c>
      <c r="F133" s="285" t="s">
        <v>10133</v>
      </c>
      <c r="G133" s="285" t="s">
        <v>10134</v>
      </c>
      <c r="H133" s="285" t="s">
        <v>10135</v>
      </c>
      <c r="I133" s="285" t="s">
        <v>10136</v>
      </c>
      <c r="J133" s="285" t="s">
        <v>5012</v>
      </c>
      <c r="K133" s="285" t="s">
        <v>10114</v>
      </c>
      <c r="L133" s="285" t="s">
        <v>832</v>
      </c>
      <c r="M133" s="285" t="s">
        <v>9383</v>
      </c>
      <c r="N133" s="287" t="str">
        <f>IFERROR(
    IF(
        AND(
            VLOOKUP(B133, 'รายชื่อพนักงานลาออกพ้นสภาพ'!B:I, 8, FALSE)&lt;&gt;"ยกเลิกลาออก",
            VLOOKUP(B133, 'รายชื่อพนักงานลาออกพ้นสภาพ'!B:I, 7, FALSE)&lt;=TODAY()
        ),
        "ลาออกแล้ว",
        ""
    ),
"")</f>
        <v/>
      </c>
      <c r="O133" s="292" t="str">
        <f t="array" ref="O133">IFERROR(INDEX(PCRent!C:D, MATCH(F133 &amp; " " &amp; G133, PCRent!A:A &amp; " " &amp; PCRent!B:B, 0)), "")</f>
        <v/>
      </c>
      <c r="P133" s="293"/>
      <c r="Q133" s="294" t="str">
        <f t="array" ref="Q133">IFERROR(INDEX(MonitorRent!C:D, MATCH(F133 &amp; " " &amp; G133, MonitorRent!A:A &amp; " " &amp; MonitorRent!B:B, 0)), "")</f>
        <v/>
      </c>
      <c r="R133" s="295"/>
    </row>
    <row r="134">
      <c r="A134" s="284">
        <v>131.0</v>
      </c>
      <c r="B134" s="285" t="s">
        <v>10137</v>
      </c>
      <c r="C134" s="285" t="s">
        <v>10103</v>
      </c>
      <c r="D134" s="286" t="s">
        <v>10138</v>
      </c>
      <c r="E134" s="285" t="s">
        <v>6921</v>
      </c>
      <c r="F134" s="285" t="s">
        <v>10139</v>
      </c>
      <c r="G134" s="285" t="s">
        <v>10140</v>
      </c>
      <c r="H134" s="285" t="s">
        <v>9597</v>
      </c>
      <c r="I134" s="285" t="s">
        <v>10141</v>
      </c>
      <c r="J134" s="285" t="s">
        <v>5012</v>
      </c>
      <c r="K134" s="285" t="s">
        <v>1606</v>
      </c>
      <c r="L134" s="285" t="s">
        <v>1258</v>
      </c>
      <c r="M134" s="285" t="s">
        <v>9383</v>
      </c>
      <c r="N134" s="287" t="str">
        <f>IFERROR(
    IF(
        AND(
            VLOOKUP(B134, 'รายชื่อพนักงานลาออกพ้นสภาพ'!B:I, 8, FALSE)&lt;&gt;"ยกเลิกลาออก",
            VLOOKUP(B134, 'รายชื่อพนักงานลาออกพ้นสภาพ'!B:I, 7, FALSE)&lt;=TODAY()
        ),
        "ลาออกแล้ว",
        ""
    ),
"")</f>
        <v/>
      </c>
      <c r="O134" s="292" t="str">
        <f t="array" ref="O134:P134">IFERROR(INDEX(PCRent!C:D, MATCH(F134 &amp; " " &amp; G134, PCRent!A:A &amp; " " &amp; PCRent!B:B, 0)), "")</f>
        <v>SN:7CD0HY3</v>
      </c>
      <c r="P134" s="293" t="s">
        <v>7048</v>
      </c>
      <c r="Q134" s="294" t="str">
        <f t="array" ref="Q134:R134">IFERROR(INDEX(MonitorRent!C:D, MATCH(F134 &amp; " " &amp; G134, MonitorRent!A:A &amp; " " &amp; MonitorRent!B:B, 0)), "")</f>
        <v>SN:755JYV3</v>
      </c>
      <c r="R134" s="295" t="s">
        <v>7050</v>
      </c>
    </row>
    <row r="135">
      <c r="A135" s="284">
        <v>132.0</v>
      </c>
      <c r="B135" s="285" t="s">
        <v>10142</v>
      </c>
      <c r="C135" s="285" t="s">
        <v>10103</v>
      </c>
      <c r="D135" s="286" t="s">
        <v>10143</v>
      </c>
      <c r="E135" s="285" t="s">
        <v>6921</v>
      </c>
      <c r="F135" s="285" t="s">
        <v>10139</v>
      </c>
      <c r="G135" s="285" t="s">
        <v>10144</v>
      </c>
      <c r="H135" s="285" t="s">
        <v>10145</v>
      </c>
      <c r="I135" s="285" t="s">
        <v>10146</v>
      </c>
      <c r="J135" s="285" t="s">
        <v>5012</v>
      </c>
      <c r="K135" s="285" t="s">
        <v>1417</v>
      </c>
      <c r="L135" s="285" t="s">
        <v>10127</v>
      </c>
      <c r="M135" s="285" t="s">
        <v>9383</v>
      </c>
      <c r="N135" s="287" t="str">
        <f>IFERROR(
    IF(
        AND(
            VLOOKUP(B135, 'รายชื่อพนักงานลาออกพ้นสภาพ'!B:I, 8, FALSE)&lt;&gt;"ยกเลิกลาออก",
            VLOOKUP(B135, 'รายชื่อพนักงานลาออกพ้นสภาพ'!B:I, 7, FALSE)&lt;=TODAY()
        ),
        "ลาออกแล้ว",
        ""
    ),
"")</f>
        <v/>
      </c>
      <c r="O135" s="292" t="str">
        <f t="array" ref="O135">IFERROR(INDEX(PCRent!C:D, MATCH(F135 &amp; " " &amp; G135, PCRent!A:A &amp; " " &amp; PCRent!B:B, 0)), "")</f>
        <v/>
      </c>
      <c r="P135" s="293"/>
      <c r="Q135" s="294" t="str">
        <f t="array" ref="Q135">IFERROR(INDEX(MonitorRent!C:D, MATCH(F135 &amp; " " &amp; G135, MonitorRent!A:A &amp; " " &amp; MonitorRent!B:B, 0)), "")</f>
        <v/>
      </c>
      <c r="R135" s="295"/>
    </row>
    <row r="136">
      <c r="A136" s="284">
        <v>133.0</v>
      </c>
      <c r="B136" s="285" t="s">
        <v>10147</v>
      </c>
      <c r="C136" s="285" t="s">
        <v>10103</v>
      </c>
      <c r="D136" s="286" t="s">
        <v>10104</v>
      </c>
      <c r="E136" s="285" t="s">
        <v>6933</v>
      </c>
      <c r="F136" s="285" t="s">
        <v>10148</v>
      </c>
      <c r="G136" s="285" t="s">
        <v>10149</v>
      </c>
      <c r="H136" s="285" t="s">
        <v>10150</v>
      </c>
      <c r="I136" s="285" t="s">
        <v>10151</v>
      </c>
      <c r="J136" s="285" t="s">
        <v>5012</v>
      </c>
      <c r="K136" s="285" t="s">
        <v>1606</v>
      </c>
      <c r="L136" s="285" t="s">
        <v>832</v>
      </c>
      <c r="M136" s="285" t="s">
        <v>9383</v>
      </c>
      <c r="N136" s="287" t="str">
        <f>IFERROR(
    IF(
        AND(
            VLOOKUP(B136, 'รายชื่อพนักงานลาออกพ้นสภาพ'!B:I, 8, FALSE)&lt;&gt;"ยกเลิกลาออก",
            VLOOKUP(B136, 'รายชื่อพนักงานลาออกพ้นสภาพ'!B:I, 7, FALSE)&lt;=TODAY()
        ),
        "ลาออกแล้ว",
        ""
    ),
"")</f>
        <v/>
      </c>
      <c r="O136" s="292" t="str">
        <f t="array" ref="O136">IFERROR(INDEX(PCRent!C:D, MATCH(F136 &amp; " " &amp; G136, PCRent!A:A &amp; " " &amp; PCRent!B:B, 0)), "")</f>
        <v/>
      </c>
      <c r="P136" s="293"/>
      <c r="Q136" s="294" t="str">
        <f t="array" ref="Q136">IFERROR(INDEX(MonitorRent!C:D, MATCH(F136 &amp; " " &amp; G136, MonitorRent!A:A &amp; " " &amp; MonitorRent!B:B, 0)), "")</f>
        <v/>
      </c>
      <c r="R136" s="295"/>
    </row>
    <row r="137">
      <c r="A137" s="284">
        <v>134.0</v>
      </c>
      <c r="B137" s="285" t="s">
        <v>10152</v>
      </c>
      <c r="C137" s="285" t="s">
        <v>10103</v>
      </c>
      <c r="D137" s="286" t="s">
        <v>10153</v>
      </c>
      <c r="E137" s="285" t="s">
        <v>6921</v>
      </c>
      <c r="F137" s="285" t="s">
        <v>10154</v>
      </c>
      <c r="G137" s="285" t="s">
        <v>10155</v>
      </c>
      <c r="H137" s="285" t="s">
        <v>10156</v>
      </c>
      <c r="I137" s="285" t="s">
        <v>10157</v>
      </c>
      <c r="J137" s="285" t="s">
        <v>5012</v>
      </c>
      <c r="K137" s="285" t="s">
        <v>1417</v>
      </c>
      <c r="L137" s="285" t="s">
        <v>10127</v>
      </c>
      <c r="M137" s="285" t="s">
        <v>9383</v>
      </c>
      <c r="N137" s="287" t="str">
        <f>IFERROR(
    IF(
        AND(
            VLOOKUP(B137, 'รายชื่อพนักงานลาออกพ้นสภาพ'!B:I, 8, FALSE)&lt;&gt;"ยกเลิกลาออก",
            VLOOKUP(B137, 'รายชื่อพนักงานลาออกพ้นสภาพ'!B:I, 7, FALSE)&lt;=TODAY()
        ),
        "ลาออกแล้ว",
        ""
    ),
"")</f>
        <v/>
      </c>
      <c r="O137" s="292" t="str">
        <f t="array" ref="O137">IFERROR(INDEX(PCRent!C:D, MATCH(F137 &amp; " " &amp; G137, PCRent!A:A &amp; " " &amp; PCRent!B:B, 0)), "")</f>
        <v/>
      </c>
      <c r="P137" s="293"/>
      <c r="Q137" s="294" t="str">
        <f t="array" ref="Q137">IFERROR(INDEX(MonitorRent!C:D, MATCH(F137 &amp; " " &amp; G137, MonitorRent!A:A &amp; " " &amp; MonitorRent!B:B, 0)), "")</f>
        <v/>
      </c>
      <c r="R137" s="295"/>
    </row>
    <row r="138">
      <c r="A138" s="284">
        <v>135.0</v>
      </c>
      <c r="B138" s="285" t="s">
        <v>10158</v>
      </c>
      <c r="C138" s="285" t="s">
        <v>10103</v>
      </c>
      <c r="D138" s="286" t="s">
        <v>10159</v>
      </c>
      <c r="E138" s="285" t="s">
        <v>6921</v>
      </c>
      <c r="F138" s="285" t="s">
        <v>10154</v>
      </c>
      <c r="G138" s="285" t="s">
        <v>10160</v>
      </c>
      <c r="H138" s="285" t="s">
        <v>10161</v>
      </c>
      <c r="I138" s="285" t="s">
        <v>10162</v>
      </c>
      <c r="J138" s="285" t="s">
        <v>5224</v>
      </c>
      <c r="K138" s="285" t="s">
        <v>4756</v>
      </c>
      <c r="L138" s="285" t="s">
        <v>10163</v>
      </c>
      <c r="M138" s="285" t="s">
        <v>9383</v>
      </c>
      <c r="N138" s="287" t="str">
        <f>IFERROR(
    IF(
        AND(
            VLOOKUP(B138, 'รายชื่อพนักงานลาออกพ้นสภาพ'!B:I, 8, FALSE)&lt;&gt;"ยกเลิกลาออก",
            VLOOKUP(B138, 'รายชื่อพนักงานลาออกพ้นสภาพ'!B:I, 7, FALSE)&lt;=TODAY()
        ),
        "ลาออกแล้ว",
        ""
    ),
"")</f>
        <v/>
      </c>
      <c r="O138" s="292" t="str">
        <f t="array" ref="O138:P138">IFERROR(INDEX(PCRent!C:D, MATCH(F138 &amp; " " &amp; G138, PCRent!A:A &amp; " " &amp; PCRent!B:B, 0)), "")</f>
        <v>SN:MP2EHAFL</v>
      </c>
      <c r="P138" s="293" t="s">
        <v>6993</v>
      </c>
      <c r="Q138" s="294" t="str">
        <f t="array" ref="Q138">IFERROR(INDEX(MonitorRent!C:D, MATCH(F138 &amp; " " &amp; G138, MonitorRent!A:A &amp; " " &amp; MonitorRent!B:B, 0)), "")</f>
        <v/>
      </c>
      <c r="R138" s="295"/>
    </row>
    <row r="139">
      <c r="A139" s="284">
        <v>136.0</v>
      </c>
      <c r="B139" s="285" t="s">
        <v>10164</v>
      </c>
      <c r="C139" s="285" t="s">
        <v>10103</v>
      </c>
      <c r="D139" s="286" t="s">
        <v>10165</v>
      </c>
      <c r="E139" s="285" t="s">
        <v>6921</v>
      </c>
      <c r="F139" s="285" t="s">
        <v>10166</v>
      </c>
      <c r="G139" s="285" t="s">
        <v>10167</v>
      </c>
      <c r="H139" s="285" t="s">
        <v>10168</v>
      </c>
      <c r="I139" s="285" t="s">
        <v>10169</v>
      </c>
      <c r="J139" s="285" t="s">
        <v>5012</v>
      </c>
      <c r="K139" s="285" t="s">
        <v>1606</v>
      </c>
      <c r="L139" s="285" t="s">
        <v>832</v>
      </c>
      <c r="M139" s="285" t="s">
        <v>9383</v>
      </c>
      <c r="N139" s="287" t="str">
        <f>IFERROR(
    IF(
        AND(
            VLOOKUP(B139, 'รายชื่อพนักงานลาออกพ้นสภาพ'!B:I, 8, FALSE)&lt;&gt;"ยกเลิกลาออก",
            VLOOKUP(B139, 'รายชื่อพนักงานลาออกพ้นสภาพ'!B:I, 7, FALSE)&lt;=TODAY()
        ),
        "ลาออกแล้ว",
        ""
    ),
"")</f>
        <v/>
      </c>
      <c r="O139" s="292" t="str">
        <f t="array" ref="O139">IFERROR(INDEX(PCRent!C:D, MATCH(F139 &amp; " " &amp; G139, PCRent!A:A &amp; " " &amp; PCRent!B:B, 0)), "")</f>
        <v/>
      </c>
      <c r="P139" s="293"/>
      <c r="Q139" s="294" t="str">
        <f t="array" ref="Q139">IFERROR(INDEX(MonitorRent!C:D, MATCH(F139 &amp; " " &amp; G139, MonitorRent!A:A &amp; " " &amp; MonitorRent!B:B, 0)), "")</f>
        <v/>
      </c>
      <c r="R139" s="295"/>
    </row>
    <row r="140">
      <c r="A140" s="284">
        <v>137.0</v>
      </c>
      <c r="B140" s="285" t="s">
        <v>10170</v>
      </c>
      <c r="C140" s="285" t="s">
        <v>10103</v>
      </c>
      <c r="D140" s="286" t="s">
        <v>10171</v>
      </c>
      <c r="E140" s="285" t="s">
        <v>6921</v>
      </c>
      <c r="F140" s="285" t="s">
        <v>10166</v>
      </c>
      <c r="G140" s="285" t="s">
        <v>10172</v>
      </c>
      <c r="H140" s="285" t="s">
        <v>9975</v>
      </c>
      <c r="I140" s="285" t="s">
        <v>10173</v>
      </c>
      <c r="J140" s="285" t="s">
        <v>5224</v>
      </c>
      <c r="K140" s="285" t="s">
        <v>9851</v>
      </c>
      <c r="L140" s="285" t="s">
        <v>54</v>
      </c>
      <c r="M140" s="285" t="s">
        <v>9383</v>
      </c>
      <c r="N140" s="287" t="str">
        <f>IFERROR(
    IF(
        AND(
            VLOOKUP(B140, 'รายชื่อพนักงานลาออกพ้นสภาพ'!B:I, 8, FALSE)&lt;&gt;"ยกเลิกลาออก",
            VLOOKUP(B140, 'รายชื่อพนักงานลาออกพ้นสภาพ'!B:I, 7, FALSE)&lt;=TODAY()
        ),
        "ลาออกแล้ว",
        ""
    ),
"")</f>
        <v/>
      </c>
      <c r="O140" s="292" t="str">
        <f t="array" ref="O140">IFERROR(INDEX(PCRent!C:D, MATCH(F140 &amp; " " &amp; G140, PCRent!A:A &amp; " " &amp; PCRent!B:B, 0)), "")</f>
        <v/>
      </c>
      <c r="P140" s="293"/>
      <c r="Q140" s="294" t="str">
        <f t="array" ref="Q140">IFERROR(INDEX(MonitorRent!C:D, MATCH(F140 &amp; " " &amp; G140, MonitorRent!A:A &amp; " " &amp; MonitorRent!B:B, 0)), "")</f>
        <v/>
      </c>
      <c r="R140" s="295"/>
    </row>
    <row r="141">
      <c r="A141" s="284">
        <v>138.0</v>
      </c>
      <c r="B141" s="285" t="s">
        <v>10174</v>
      </c>
      <c r="C141" s="285" t="s">
        <v>10103</v>
      </c>
      <c r="D141" s="286" t="s">
        <v>10175</v>
      </c>
      <c r="E141" s="285" t="s">
        <v>7239</v>
      </c>
      <c r="F141" s="285" t="s">
        <v>10176</v>
      </c>
      <c r="G141" s="285" t="s">
        <v>10177</v>
      </c>
      <c r="H141" s="285" t="s">
        <v>10178</v>
      </c>
      <c r="I141" s="285" t="s">
        <v>10179</v>
      </c>
      <c r="J141" s="285" t="s">
        <v>5012</v>
      </c>
      <c r="K141" s="285" t="s">
        <v>1417</v>
      </c>
      <c r="L141" s="285" t="s">
        <v>832</v>
      </c>
      <c r="M141" s="285" t="s">
        <v>9383</v>
      </c>
      <c r="N141" s="287" t="str">
        <f>IFERROR(
    IF(
        AND(
            VLOOKUP(B141, 'รายชื่อพนักงานลาออกพ้นสภาพ'!B:I, 8, FALSE)&lt;&gt;"ยกเลิกลาออก",
            VLOOKUP(B141, 'รายชื่อพนักงานลาออกพ้นสภาพ'!B:I, 7, FALSE)&lt;=TODAY()
        ),
        "ลาออกแล้ว",
        ""
    ),
"")</f>
        <v/>
      </c>
      <c r="O141" s="292" t="str">
        <f t="array" ref="O141">IFERROR(INDEX(PCRent!C:D, MATCH(F141 &amp; " " &amp; G141, PCRent!A:A &amp; " " &amp; PCRent!B:B, 0)), "")</f>
        <v/>
      </c>
      <c r="P141" s="293"/>
      <c r="Q141" s="294" t="str">
        <f t="array" ref="Q141">IFERROR(INDEX(MonitorRent!C:D, MATCH(F141 &amp; " " &amp; G141, MonitorRent!A:A &amp; " " &amp; MonitorRent!B:B, 0)), "")</f>
        <v/>
      </c>
      <c r="R141" s="295"/>
    </row>
    <row r="142">
      <c r="A142" s="284">
        <v>139.0</v>
      </c>
      <c r="B142" s="285" t="s">
        <v>751</v>
      </c>
      <c r="C142" s="285" t="s">
        <v>10103</v>
      </c>
      <c r="D142" s="286" t="s">
        <v>10180</v>
      </c>
      <c r="E142" s="285" t="s">
        <v>6921</v>
      </c>
      <c r="F142" s="285" t="s">
        <v>10181</v>
      </c>
      <c r="G142" s="285" t="s">
        <v>10182</v>
      </c>
      <c r="H142" s="285" t="s">
        <v>10183</v>
      </c>
      <c r="I142" s="285" t="s">
        <v>753</v>
      </c>
      <c r="J142" s="285" t="s">
        <v>5012</v>
      </c>
      <c r="K142" s="285" t="s">
        <v>1606</v>
      </c>
      <c r="L142" s="285" t="s">
        <v>10127</v>
      </c>
      <c r="M142" s="285" t="s">
        <v>9391</v>
      </c>
      <c r="N142" s="287" t="str">
        <f>IFERROR(
    IF(
        AND(
            VLOOKUP(B142, 'รายชื่อพนักงานลาออกพ้นสภาพ'!B:I, 8, FALSE)&lt;&gt;"ยกเลิกลาออก",
            VLOOKUP(B142, 'รายชื่อพนักงานลาออกพ้นสภาพ'!B:I, 7, FALSE)&lt;=TODAY()
        ),
        "ลาออกแล้ว",
        ""
    ),
"")</f>
        <v>ลาออกแล้ว</v>
      </c>
      <c r="O142" s="292" t="str">
        <f t="array" ref="O142">IFERROR(INDEX(PCRent!C:D, MATCH(F142 &amp; " " &amp; G142, PCRent!A:A &amp; " " &amp; PCRent!B:B, 0)), "")</f>
        <v/>
      </c>
      <c r="P142" s="293"/>
      <c r="Q142" s="294" t="str">
        <f t="array" ref="Q142">IFERROR(INDEX(MonitorRent!C:D, MATCH(F142 &amp; " " &amp; G142, MonitorRent!A:A &amp; " " &amp; MonitorRent!B:B, 0)), "")</f>
        <v/>
      </c>
      <c r="R142" s="295"/>
    </row>
    <row r="143">
      <c r="A143" s="284">
        <v>140.0</v>
      </c>
      <c r="B143" s="285" t="s">
        <v>10184</v>
      </c>
      <c r="C143" s="285" t="s">
        <v>10103</v>
      </c>
      <c r="D143" s="286" t="s">
        <v>10185</v>
      </c>
      <c r="E143" s="285" t="s">
        <v>6933</v>
      </c>
      <c r="F143" s="285" t="s">
        <v>10186</v>
      </c>
      <c r="G143" s="285" t="s">
        <v>10187</v>
      </c>
      <c r="H143" s="285" t="s">
        <v>10135</v>
      </c>
      <c r="I143" s="285" t="s">
        <v>10188</v>
      </c>
      <c r="J143" s="285" t="s">
        <v>5224</v>
      </c>
      <c r="K143" s="285" t="s">
        <v>4749</v>
      </c>
      <c r="L143" s="285" t="s">
        <v>10189</v>
      </c>
      <c r="M143" s="285" t="s">
        <v>9383</v>
      </c>
      <c r="N143" s="287" t="str">
        <f>IFERROR(
    IF(
        AND(
            VLOOKUP(B143, 'รายชื่อพนักงานลาออกพ้นสภาพ'!B:I, 8, FALSE)&lt;&gt;"ยกเลิกลาออก",
            VLOOKUP(B143, 'รายชื่อพนักงานลาออกพ้นสภาพ'!B:I, 7, FALSE)&lt;=TODAY()
        ),
        "ลาออกแล้ว",
        ""
    ),
"")</f>
        <v/>
      </c>
      <c r="O143" s="292" t="str">
        <f t="array" ref="O143">IFERROR(INDEX(PCRent!C:D, MATCH(F143 &amp; " " &amp; G143, PCRent!A:A &amp; " " &amp; PCRent!B:B, 0)), "")</f>
        <v/>
      </c>
      <c r="P143" s="293"/>
      <c r="Q143" s="294" t="str">
        <f t="array" ref="Q143">IFERROR(INDEX(MonitorRent!C:D, MATCH(F143 &amp; " " &amp; G143, MonitorRent!A:A &amp; " " &amp; MonitorRent!B:B, 0)), "")</f>
        <v/>
      </c>
      <c r="R143" s="295"/>
    </row>
    <row r="144">
      <c r="A144" s="284">
        <v>141.0</v>
      </c>
      <c r="B144" s="285" t="s">
        <v>10190</v>
      </c>
      <c r="C144" s="285" t="s">
        <v>10103</v>
      </c>
      <c r="D144" s="286" t="s">
        <v>9937</v>
      </c>
      <c r="E144" s="285" t="s">
        <v>6921</v>
      </c>
      <c r="F144" s="285" t="s">
        <v>10191</v>
      </c>
      <c r="G144" s="285" t="s">
        <v>10192</v>
      </c>
      <c r="H144" s="285" t="s">
        <v>10193</v>
      </c>
      <c r="I144" s="285" t="s">
        <v>10194</v>
      </c>
      <c r="J144" s="285" t="s">
        <v>5012</v>
      </c>
      <c r="K144" s="285" t="s">
        <v>1492</v>
      </c>
      <c r="L144" s="285" t="s">
        <v>1258</v>
      </c>
      <c r="M144" s="285" t="s">
        <v>9383</v>
      </c>
      <c r="N144" s="287" t="str">
        <f>IFERROR(
    IF(
        AND(
            VLOOKUP(B144, 'รายชื่อพนักงานลาออกพ้นสภาพ'!B:I, 8, FALSE)&lt;&gt;"ยกเลิกลาออก",
            VLOOKUP(B144, 'รายชื่อพนักงานลาออกพ้นสภาพ'!B:I, 7, FALSE)&lt;=TODAY()
        ),
        "ลาออกแล้ว",
        ""
    ),
"")</f>
        <v/>
      </c>
      <c r="O144" s="292" t="str">
        <f t="array" ref="O144">IFERROR(INDEX(PCRent!C:D, MATCH(F144 &amp; " " &amp; G144, PCRent!A:A &amp; " " &amp; PCRent!B:B, 0)), "")</f>
        <v/>
      </c>
      <c r="P144" s="293"/>
      <c r="Q144" s="294" t="str">
        <f t="array" ref="Q144">IFERROR(INDEX(MonitorRent!C:D, MATCH(F144 &amp; " " &amp; G144, MonitorRent!A:A &amp; " " &amp; MonitorRent!B:B, 0)), "")</f>
        <v/>
      </c>
      <c r="R144" s="295"/>
    </row>
    <row r="145">
      <c r="A145" s="284">
        <v>142.0</v>
      </c>
      <c r="B145" s="285" t="s">
        <v>10195</v>
      </c>
      <c r="C145" s="285" t="s">
        <v>10103</v>
      </c>
      <c r="D145" s="286" t="s">
        <v>10196</v>
      </c>
      <c r="E145" s="285" t="s">
        <v>7239</v>
      </c>
      <c r="F145" s="285" t="s">
        <v>10197</v>
      </c>
      <c r="G145" s="285" t="s">
        <v>10198</v>
      </c>
      <c r="H145" s="285" t="s">
        <v>9592</v>
      </c>
      <c r="I145" s="285" t="s">
        <v>10199</v>
      </c>
      <c r="J145" s="285" t="s">
        <v>5012</v>
      </c>
      <c r="K145" s="285" t="s">
        <v>1606</v>
      </c>
      <c r="L145" s="285" t="s">
        <v>10127</v>
      </c>
      <c r="M145" s="285" t="s">
        <v>9383</v>
      </c>
      <c r="N145" s="287" t="str">
        <f>IFERROR(
    IF(
        AND(
            VLOOKUP(B145, 'รายชื่อพนักงานลาออกพ้นสภาพ'!B:I, 8, FALSE)&lt;&gt;"ยกเลิกลาออก",
            VLOOKUP(B145, 'รายชื่อพนักงานลาออกพ้นสภาพ'!B:I, 7, FALSE)&lt;=TODAY()
        ),
        "ลาออกแล้ว",
        ""
    ),
"")</f>
        <v/>
      </c>
      <c r="O145" s="292" t="str">
        <f t="array" ref="O145">IFERROR(INDEX(PCRent!C:D, MATCH(F145 &amp; " " &amp; G145, PCRent!A:A &amp; " " &amp; PCRent!B:B, 0)), "")</f>
        <v/>
      </c>
      <c r="P145" s="293"/>
      <c r="Q145" s="294" t="str">
        <f t="array" ref="Q145">IFERROR(INDEX(MonitorRent!C:D, MATCH(F145 &amp; " " &amp; G145, MonitorRent!A:A &amp; " " &amp; MonitorRent!B:B, 0)), "")</f>
        <v/>
      </c>
      <c r="R145" s="295"/>
    </row>
    <row r="146">
      <c r="A146" s="284">
        <v>143.0</v>
      </c>
      <c r="B146" s="285" t="s">
        <v>10200</v>
      </c>
      <c r="C146" s="285" t="s">
        <v>10103</v>
      </c>
      <c r="D146" s="286" t="s">
        <v>9718</v>
      </c>
      <c r="E146" s="285" t="s">
        <v>6921</v>
      </c>
      <c r="F146" s="285" t="s">
        <v>10201</v>
      </c>
      <c r="G146" s="285" t="s">
        <v>10202</v>
      </c>
      <c r="H146" s="285" t="s">
        <v>10203</v>
      </c>
      <c r="I146" s="285" t="s">
        <v>10204</v>
      </c>
      <c r="J146" s="285" t="s">
        <v>5012</v>
      </c>
      <c r="K146" s="285" t="s">
        <v>1606</v>
      </c>
      <c r="L146" s="285" t="s">
        <v>832</v>
      </c>
      <c r="M146" s="285" t="s">
        <v>9391</v>
      </c>
      <c r="N146" s="287" t="str">
        <f>IFERROR(
    IF(
        AND(
            VLOOKUP(B146, 'รายชื่อพนักงานลาออกพ้นสภาพ'!B:I, 8, FALSE)&lt;&gt;"ยกเลิกลาออก",
            VLOOKUP(B146, 'รายชื่อพนักงานลาออกพ้นสภาพ'!B:I, 7, FALSE)&lt;=TODAY()
        ),
        "ลาออกแล้ว",
        ""
    ),
"")</f>
        <v/>
      </c>
      <c r="O146" s="292" t="str">
        <f t="array" ref="O146">IFERROR(INDEX(PCRent!C:D, MATCH(F146 &amp; " " &amp; G146, PCRent!A:A &amp; " " &amp; PCRent!B:B, 0)), "")</f>
        <v/>
      </c>
      <c r="P146" s="293"/>
      <c r="Q146" s="294" t="str">
        <f t="array" ref="Q146">IFERROR(INDEX(MonitorRent!C:D, MATCH(F146 &amp; " " &amp; G146, MonitorRent!A:A &amp; " " &amp; MonitorRent!B:B, 0)), "")</f>
        <v/>
      </c>
      <c r="R146" s="295"/>
    </row>
    <row r="147">
      <c r="A147" s="284">
        <v>144.0</v>
      </c>
      <c r="B147" s="285" t="s">
        <v>10205</v>
      </c>
      <c r="C147" s="285" t="s">
        <v>10103</v>
      </c>
      <c r="D147" s="286" t="s">
        <v>10206</v>
      </c>
      <c r="E147" s="285" t="s">
        <v>6921</v>
      </c>
      <c r="F147" s="285" t="s">
        <v>10207</v>
      </c>
      <c r="G147" s="285" t="s">
        <v>10208</v>
      </c>
      <c r="H147" s="285" t="s">
        <v>10209</v>
      </c>
      <c r="I147" s="285" t="s">
        <v>10210</v>
      </c>
      <c r="J147" s="285" t="s">
        <v>5012</v>
      </c>
      <c r="K147" s="285" t="s">
        <v>1492</v>
      </c>
      <c r="L147" s="285" t="s">
        <v>1258</v>
      </c>
      <c r="M147" s="285" t="s">
        <v>9391</v>
      </c>
      <c r="N147" s="287" t="str">
        <f>IFERROR(
    IF(
        AND(
            VLOOKUP(B147, 'รายชื่อพนักงานลาออกพ้นสภาพ'!B:I, 8, FALSE)&lt;&gt;"ยกเลิกลาออก",
            VLOOKUP(B147, 'รายชื่อพนักงานลาออกพ้นสภาพ'!B:I, 7, FALSE)&lt;=TODAY()
        ),
        "ลาออกแล้ว",
        ""
    ),
"")</f>
        <v/>
      </c>
      <c r="O147" s="292" t="str">
        <f t="array" ref="O147">IFERROR(INDEX(PCRent!C:D, MATCH(F147 &amp; " " &amp; G147, PCRent!A:A &amp; " " &amp; PCRent!B:B, 0)), "")</f>
        <v/>
      </c>
      <c r="P147" s="293"/>
      <c r="Q147" s="294" t="str">
        <f t="array" ref="Q147">IFERROR(INDEX(MonitorRent!C:D, MATCH(F147 &amp; " " &amp; G147, MonitorRent!A:A &amp; " " &amp; MonitorRent!B:B, 0)), "")</f>
        <v/>
      </c>
      <c r="R147" s="295"/>
    </row>
    <row r="148">
      <c r="A148" s="284">
        <v>145.0</v>
      </c>
      <c r="B148" s="285" t="s">
        <v>392</v>
      </c>
      <c r="C148" s="285" t="s">
        <v>10103</v>
      </c>
      <c r="D148" s="286" t="s">
        <v>10211</v>
      </c>
      <c r="E148" s="285" t="s">
        <v>6933</v>
      </c>
      <c r="F148" s="285" t="s">
        <v>10212</v>
      </c>
      <c r="G148" s="285" t="s">
        <v>10213</v>
      </c>
      <c r="H148" s="285" t="s">
        <v>10214</v>
      </c>
      <c r="I148" s="285" t="s">
        <v>396</v>
      </c>
      <c r="J148" s="285" t="s">
        <v>5012</v>
      </c>
      <c r="K148" s="285" t="s">
        <v>1492</v>
      </c>
      <c r="L148" s="285" t="s">
        <v>1258</v>
      </c>
      <c r="M148" s="285" t="s">
        <v>9391</v>
      </c>
      <c r="N148" s="287" t="str">
        <f>IFERROR(
    IF(
        AND(
            VLOOKUP(B148, 'รายชื่อพนักงานลาออกพ้นสภาพ'!B:I, 8, FALSE)&lt;&gt;"ยกเลิกลาออก",
            VLOOKUP(B148, 'รายชื่อพนักงานลาออกพ้นสภาพ'!B:I, 7, FALSE)&lt;=TODAY()
        ),
        "ลาออกแล้ว",
        ""
    ),
"")</f>
        <v>ลาออกแล้ว</v>
      </c>
      <c r="O148" s="292" t="str">
        <f t="array" ref="O148">IFERROR(INDEX(PCRent!C:D, MATCH(F148 &amp; " " &amp; G148, PCRent!A:A &amp; " " &amp; PCRent!B:B, 0)), "")</f>
        <v/>
      </c>
      <c r="P148" s="293"/>
      <c r="Q148" s="294" t="str">
        <f t="array" ref="Q148">IFERROR(INDEX(MonitorRent!C:D, MATCH(F148 &amp; " " &amp; G148, MonitorRent!A:A &amp; " " &amp; MonitorRent!B:B, 0)), "")</f>
        <v/>
      </c>
      <c r="R148" s="295"/>
    </row>
    <row r="149">
      <c r="A149" s="284">
        <v>146.0</v>
      </c>
      <c r="B149" s="285" t="s">
        <v>10215</v>
      </c>
      <c r="C149" s="285" t="s">
        <v>10103</v>
      </c>
      <c r="D149" s="286" t="s">
        <v>10216</v>
      </c>
      <c r="E149" s="285" t="s">
        <v>6921</v>
      </c>
      <c r="F149" s="285" t="s">
        <v>10217</v>
      </c>
      <c r="G149" s="285" t="s">
        <v>10218</v>
      </c>
      <c r="H149" s="285" t="s">
        <v>10219</v>
      </c>
      <c r="I149" s="285" t="s">
        <v>10220</v>
      </c>
      <c r="J149" s="285" t="s">
        <v>5012</v>
      </c>
      <c r="K149" s="285" t="s">
        <v>1417</v>
      </c>
      <c r="L149" s="285" t="s">
        <v>10127</v>
      </c>
      <c r="M149" s="285" t="s">
        <v>9391</v>
      </c>
      <c r="N149" s="287" t="str">
        <f>IFERROR(
    IF(
        AND(
            VLOOKUP(B149, 'รายชื่อพนักงานลาออกพ้นสภาพ'!B:I, 8, FALSE)&lt;&gt;"ยกเลิกลาออก",
            VLOOKUP(B149, 'รายชื่อพนักงานลาออกพ้นสภาพ'!B:I, 7, FALSE)&lt;=TODAY()
        ),
        "ลาออกแล้ว",
        ""
    ),
"")</f>
        <v/>
      </c>
      <c r="O149" s="292" t="str">
        <f t="array" ref="O149">IFERROR(INDEX(PCRent!C:D, MATCH(F149 &amp; " " &amp; G149, PCRent!A:A &amp; " " &amp; PCRent!B:B, 0)), "")</f>
        <v/>
      </c>
      <c r="P149" s="293"/>
      <c r="Q149" s="294" t="str">
        <f t="array" ref="Q149">IFERROR(INDEX(MonitorRent!C:D, MATCH(F149 &amp; " " &amp; G149, MonitorRent!A:A &amp; " " &amp; MonitorRent!B:B, 0)), "")</f>
        <v/>
      </c>
      <c r="R149" s="295"/>
    </row>
    <row r="150">
      <c r="A150" s="284">
        <v>147.0</v>
      </c>
      <c r="B150" s="285" t="s">
        <v>10221</v>
      </c>
      <c r="C150" s="285" t="s">
        <v>10103</v>
      </c>
      <c r="D150" s="286" t="s">
        <v>10222</v>
      </c>
      <c r="E150" s="285" t="s">
        <v>6921</v>
      </c>
      <c r="F150" s="285" t="s">
        <v>10223</v>
      </c>
      <c r="G150" s="285" t="s">
        <v>10224</v>
      </c>
      <c r="H150" s="285" t="s">
        <v>10225</v>
      </c>
      <c r="I150" s="285" t="s">
        <v>10226</v>
      </c>
      <c r="J150" s="285" t="s">
        <v>5012</v>
      </c>
      <c r="K150" s="285" t="s">
        <v>1417</v>
      </c>
      <c r="L150" s="285" t="s">
        <v>832</v>
      </c>
      <c r="M150" s="285" t="s">
        <v>9383</v>
      </c>
      <c r="N150" s="287" t="str">
        <f>IFERROR(
    IF(
        AND(
            VLOOKUP(B150, 'รายชื่อพนักงานลาออกพ้นสภาพ'!B:I, 8, FALSE)&lt;&gt;"ยกเลิกลาออก",
            VLOOKUP(B150, 'รายชื่อพนักงานลาออกพ้นสภาพ'!B:I, 7, FALSE)&lt;=TODAY()
        ),
        "ลาออกแล้ว",
        ""
    ),
"")</f>
        <v/>
      </c>
      <c r="O150" s="292" t="str">
        <f t="array" ref="O150">IFERROR(INDEX(PCRent!C:D, MATCH(F150 &amp; " " &amp; G150, PCRent!A:A &amp; " " &amp; PCRent!B:B, 0)), "")</f>
        <v/>
      </c>
      <c r="P150" s="293"/>
      <c r="Q150" s="294" t="str">
        <f t="array" ref="Q150">IFERROR(INDEX(MonitorRent!C:D, MATCH(F150 &amp; " " &amp; G150, MonitorRent!A:A &amp; " " &amp; MonitorRent!B:B, 0)), "")</f>
        <v/>
      </c>
      <c r="R150" s="295"/>
    </row>
    <row r="151">
      <c r="A151" s="284">
        <v>148.0</v>
      </c>
      <c r="B151" s="285" t="s">
        <v>10227</v>
      </c>
      <c r="C151" s="285" t="s">
        <v>10103</v>
      </c>
      <c r="D151" s="286" t="s">
        <v>10228</v>
      </c>
      <c r="E151" s="285" t="s">
        <v>6933</v>
      </c>
      <c r="F151" s="285" t="s">
        <v>10229</v>
      </c>
      <c r="G151" s="285" t="s">
        <v>10230</v>
      </c>
      <c r="H151" s="285" t="s">
        <v>9691</v>
      </c>
      <c r="I151" s="285" t="s">
        <v>10231</v>
      </c>
      <c r="J151" s="285" t="s">
        <v>5012</v>
      </c>
      <c r="K151" s="285" t="s">
        <v>5638</v>
      </c>
      <c r="L151" s="285" t="s">
        <v>10127</v>
      </c>
      <c r="M151" s="285" t="s">
        <v>9383</v>
      </c>
      <c r="N151" s="287" t="str">
        <f>IFERROR(
    IF(
        AND(
            VLOOKUP(B151, 'รายชื่อพนักงานลาออกพ้นสภาพ'!B:I, 8, FALSE)&lt;&gt;"ยกเลิกลาออก",
            VLOOKUP(B151, 'รายชื่อพนักงานลาออกพ้นสภาพ'!B:I, 7, FALSE)&lt;=TODAY()
        ),
        "ลาออกแล้ว",
        ""
    ),
"")</f>
        <v/>
      </c>
      <c r="O151" s="292" t="str">
        <f t="array" ref="O151">IFERROR(INDEX(PCRent!C:D, MATCH(F151 &amp; " " &amp; G151, PCRent!A:A &amp; " " &amp; PCRent!B:B, 0)), "")</f>
        <v/>
      </c>
      <c r="P151" s="293"/>
      <c r="Q151" s="294" t="str">
        <f t="array" ref="Q151">IFERROR(INDEX(MonitorRent!C:D, MATCH(F151 &amp; " " &amp; G151, MonitorRent!A:A &amp; " " &amp; MonitorRent!B:B, 0)), "")</f>
        <v/>
      </c>
      <c r="R151" s="295"/>
    </row>
    <row r="152">
      <c r="A152" s="284">
        <v>149.0</v>
      </c>
      <c r="B152" s="285" t="s">
        <v>10232</v>
      </c>
      <c r="C152" s="285" t="s">
        <v>10103</v>
      </c>
      <c r="D152" s="286" t="s">
        <v>10233</v>
      </c>
      <c r="E152" s="285" t="s">
        <v>6933</v>
      </c>
      <c r="F152" s="285" t="s">
        <v>10234</v>
      </c>
      <c r="G152" s="285" t="s">
        <v>10235</v>
      </c>
      <c r="H152" s="285" t="s">
        <v>10236</v>
      </c>
      <c r="I152" s="285" t="s">
        <v>10237</v>
      </c>
      <c r="J152" s="285" t="s">
        <v>5012</v>
      </c>
      <c r="K152" s="285" t="s">
        <v>1412</v>
      </c>
      <c r="L152" s="285" t="s">
        <v>10127</v>
      </c>
      <c r="M152" s="285" t="s">
        <v>9383</v>
      </c>
      <c r="N152" s="287" t="str">
        <f>IFERROR(
    IF(
        AND(
            VLOOKUP(B152, 'รายชื่อพนักงานลาออกพ้นสภาพ'!B:I, 8, FALSE)&lt;&gt;"ยกเลิกลาออก",
            VLOOKUP(B152, 'รายชื่อพนักงานลาออกพ้นสภาพ'!B:I, 7, FALSE)&lt;=TODAY()
        ),
        "ลาออกแล้ว",
        ""
    ),
"")</f>
        <v/>
      </c>
      <c r="O152" s="292" t="str">
        <f t="array" ref="O152">IFERROR(INDEX(PCRent!C:D, MATCH(F152 &amp; " " &amp; G152, PCRent!A:A &amp; " " &amp; PCRent!B:B, 0)), "")</f>
        <v/>
      </c>
      <c r="P152" s="293"/>
      <c r="Q152" s="294" t="str">
        <f t="array" ref="Q152">IFERROR(INDEX(MonitorRent!C:D, MATCH(F152 &amp; " " &amp; G152, MonitorRent!A:A &amp; " " &amp; MonitorRent!B:B, 0)), "")</f>
        <v/>
      </c>
      <c r="R152" s="295"/>
    </row>
    <row r="153">
      <c r="A153" s="284">
        <v>150.0</v>
      </c>
      <c r="B153" s="285" t="s">
        <v>10238</v>
      </c>
      <c r="C153" s="285" t="s">
        <v>10103</v>
      </c>
      <c r="D153" s="286" t="s">
        <v>10239</v>
      </c>
      <c r="E153" s="285" t="s">
        <v>6933</v>
      </c>
      <c r="F153" s="285" t="s">
        <v>10234</v>
      </c>
      <c r="G153" s="285" t="s">
        <v>10240</v>
      </c>
      <c r="H153" s="296"/>
      <c r="I153" s="296"/>
      <c r="J153" s="285" t="s">
        <v>5012</v>
      </c>
      <c r="K153" s="285" t="s">
        <v>10114</v>
      </c>
      <c r="L153" s="285" t="s">
        <v>10127</v>
      </c>
      <c r="M153" s="285" t="s">
        <v>9391</v>
      </c>
      <c r="N153" s="287" t="str">
        <f>IFERROR(
    IF(
        AND(
            VLOOKUP(B153, 'รายชื่อพนักงานลาออกพ้นสภาพ'!B:I, 8, FALSE)&lt;&gt;"ยกเลิกลาออก",
            VLOOKUP(B153, 'รายชื่อพนักงานลาออกพ้นสภาพ'!B:I, 7, FALSE)&lt;=TODAY()
        ),
        "ลาออกแล้ว",
        ""
    ),
"")</f>
        <v/>
      </c>
      <c r="O153" s="292" t="str">
        <f t="array" ref="O153">IFERROR(INDEX(PCRent!C:D, MATCH(F153 &amp; " " &amp; G153, PCRent!A:A &amp; " " &amp; PCRent!B:B, 0)), "")</f>
        <v/>
      </c>
      <c r="P153" s="293"/>
      <c r="Q153" s="294" t="str">
        <f t="array" ref="Q153">IFERROR(INDEX(MonitorRent!C:D, MATCH(F153 &amp; " " &amp; G153, MonitorRent!A:A &amp; " " &amp; MonitorRent!B:B, 0)), "")</f>
        <v/>
      </c>
      <c r="R153" s="295"/>
    </row>
    <row r="154">
      <c r="A154" s="284">
        <v>151.0</v>
      </c>
      <c r="B154" s="285" t="s">
        <v>10241</v>
      </c>
      <c r="C154" s="285" t="s">
        <v>10103</v>
      </c>
      <c r="D154" s="286" t="s">
        <v>10242</v>
      </c>
      <c r="E154" s="285" t="s">
        <v>6933</v>
      </c>
      <c r="F154" s="285" t="s">
        <v>10234</v>
      </c>
      <c r="G154" s="285" t="s">
        <v>10243</v>
      </c>
      <c r="H154" s="285" t="s">
        <v>10244</v>
      </c>
      <c r="I154" s="285" t="s">
        <v>10245</v>
      </c>
      <c r="J154" s="285" t="s">
        <v>5012</v>
      </c>
      <c r="K154" s="285" t="s">
        <v>5760</v>
      </c>
      <c r="L154" s="285" t="s">
        <v>9692</v>
      </c>
      <c r="M154" s="285" t="s">
        <v>9383</v>
      </c>
      <c r="N154" s="287" t="str">
        <f>IFERROR(
    IF(
        AND(
            VLOOKUP(B154, 'รายชื่อพนักงานลาออกพ้นสภาพ'!B:I, 8, FALSE)&lt;&gt;"ยกเลิกลาออก",
            VLOOKUP(B154, 'รายชื่อพนักงานลาออกพ้นสภาพ'!B:I, 7, FALSE)&lt;=TODAY()
        ),
        "ลาออกแล้ว",
        ""
    ),
"")</f>
        <v/>
      </c>
      <c r="O154" s="292" t="str">
        <f t="array" ref="O154">IFERROR(INDEX(PCRent!C:D, MATCH(F154 &amp; " " &amp; G154, PCRent!A:A &amp; " " &amp; PCRent!B:B, 0)), "")</f>
        <v/>
      </c>
      <c r="P154" s="293"/>
      <c r="Q154" s="294" t="str">
        <f t="array" ref="Q154">IFERROR(INDEX(MonitorRent!C:D, MATCH(F154 &amp; " " &amp; G154, MonitorRent!A:A &amp; " " &amp; MonitorRent!B:B, 0)), "")</f>
        <v/>
      </c>
      <c r="R154" s="295"/>
    </row>
    <row r="155">
      <c r="A155" s="284">
        <v>152.0</v>
      </c>
      <c r="B155" s="285" t="s">
        <v>10246</v>
      </c>
      <c r="C155" s="285" t="s">
        <v>10103</v>
      </c>
      <c r="D155" s="286" t="s">
        <v>9718</v>
      </c>
      <c r="E155" s="285" t="s">
        <v>6933</v>
      </c>
      <c r="F155" s="285" t="s">
        <v>10247</v>
      </c>
      <c r="G155" s="285" t="s">
        <v>10248</v>
      </c>
      <c r="H155" s="285" t="s">
        <v>10249</v>
      </c>
      <c r="I155" s="285" t="s">
        <v>10250</v>
      </c>
      <c r="J155" s="285" t="s">
        <v>5012</v>
      </c>
      <c r="K155" s="285" t="s">
        <v>10114</v>
      </c>
      <c r="L155" s="285" t="s">
        <v>10127</v>
      </c>
      <c r="M155" s="285" t="s">
        <v>9391</v>
      </c>
      <c r="N155" s="287" t="str">
        <f>IFERROR(
    IF(
        AND(
            VLOOKUP(B155, 'รายชื่อพนักงานลาออกพ้นสภาพ'!B:I, 8, FALSE)&lt;&gt;"ยกเลิกลาออก",
            VLOOKUP(B155, 'รายชื่อพนักงานลาออกพ้นสภาพ'!B:I, 7, FALSE)&lt;=TODAY()
        ),
        "ลาออกแล้ว",
        ""
    ),
"")</f>
        <v/>
      </c>
      <c r="O155" s="292" t="str">
        <f t="array" ref="O155">IFERROR(INDEX(PCRent!C:D, MATCH(F155 &amp; " " &amp; G155, PCRent!A:A &amp; " " &amp; PCRent!B:B, 0)), "")</f>
        <v/>
      </c>
      <c r="P155" s="293"/>
      <c r="Q155" s="294" t="str">
        <f t="array" ref="Q155">IFERROR(INDEX(MonitorRent!C:D, MATCH(F155 &amp; " " &amp; G155, MonitorRent!A:A &amp; " " &amp; MonitorRent!B:B, 0)), "")</f>
        <v/>
      </c>
      <c r="R155" s="295"/>
    </row>
    <row r="156">
      <c r="A156" s="284">
        <v>153.0</v>
      </c>
      <c r="B156" s="285" t="s">
        <v>10251</v>
      </c>
      <c r="C156" s="285" t="s">
        <v>10103</v>
      </c>
      <c r="D156" s="286" t="s">
        <v>10252</v>
      </c>
      <c r="E156" s="285" t="s">
        <v>6933</v>
      </c>
      <c r="F156" s="285" t="s">
        <v>10253</v>
      </c>
      <c r="G156" s="285" t="s">
        <v>10254</v>
      </c>
      <c r="H156" s="285" t="s">
        <v>9637</v>
      </c>
      <c r="I156" s="285" t="s">
        <v>10255</v>
      </c>
      <c r="J156" s="285" t="s">
        <v>5012</v>
      </c>
      <c r="K156" s="285" t="s">
        <v>10114</v>
      </c>
      <c r="L156" s="285" t="s">
        <v>832</v>
      </c>
      <c r="M156" s="285" t="s">
        <v>9391</v>
      </c>
      <c r="N156" s="287" t="str">
        <f>IFERROR(
    IF(
        AND(
            VLOOKUP(B156, 'รายชื่อพนักงานลาออกพ้นสภาพ'!B:I, 8, FALSE)&lt;&gt;"ยกเลิกลาออก",
            VLOOKUP(B156, 'รายชื่อพนักงานลาออกพ้นสภาพ'!B:I, 7, FALSE)&lt;=TODAY()
        ),
        "ลาออกแล้ว",
        ""
    ),
"")</f>
        <v/>
      </c>
      <c r="O156" s="292" t="str">
        <f t="array" ref="O156">IFERROR(INDEX(PCRent!C:D, MATCH(F156 &amp; " " &amp; G156, PCRent!A:A &amp; " " &amp; PCRent!B:B, 0)), "")</f>
        <v/>
      </c>
      <c r="P156" s="293"/>
      <c r="Q156" s="294" t="str">
        <f t="array" ref="Q156">IFERROR(INDEX(MonitorRent!C:D, MATCH(F156 &amp; " " &amp; G156, MonitorRent!A:A &amp; " " &amp; MonitorRent!B:B, 0)), "")</f>
        <v/>
      </c>
      <c r="R156" s="295"/>
    </row>
    <row r="157">
      <c r="A157" s="284">
        <v>154.0</v>
      </c>
      <c r="B157" s="285" t="s">
        <v>532</v>
      </c>
      <c r="C157" s="285" t="s">
        <v>10103</v>
      </c>
      <c r="D157" s="286" t="s">
        <v>10256</v>
      </c>
      <c r="E157" s="285" t="s">
        <v>6933</v>
      </c>
      <c r="F157" s="285" t="s">
        <v>3158</v>
      </c>
      <c r="G157" s="285" t="s">
        <v>10257</v>
      </c>
      <c r="H157" s="285" t="s">
        <v>10258</v>
      </c>
      <c r="I157" s="285" t="s">
        <v>535</v>
      </c>
      <c r="J157" s="285" t="s">
        <v>5012</v>
      </c>
      <c r="K157" s="285" t="s">
        <v>5638</v>
      </c>
      <c r="L157" s="285" t="s">
        <v>832</v>
      </c>
      <c r="M157" s="285" t="s">
        <v>9391</v>
      </c>
      <c r="N157" s="287" t="str">
        <f>IFERROR(
    IF(
        AND(
            VLOOKUP(B157, 'รายชื่อพนักงานลาออกพ้นสภาพ'!B:I, 8, FALSE)&lt;&gt;"ยกเลิกลาออก",
            VLOOKUP(B157, 'รายชื่อพนักงานลาออกพ้นสภาพ'!B:I, 7, FALSE)&lt;=TODAY()
        ),
        "ลาออกแล้ว",
        ""
    ),
"")</f>
        <v>ลาออกแล้ว</v>
      </c>
      <c r="O157" s="292" t="str">
        <f t="array" ref="O157">IFERROR(INDEX(PCRent!C:D, MATCH(F157 &amp; " " &amp; G157, PCRent!A:A &amp; " " &amp; PCRent!B:B, 0)), "")</f>
        <v/>
      </c>
      <c r="P157" s="293"/>
      <c r="Q157" s="294" t="str">
        <f t="array" ref="Q157">IFERROR(INDEX(MonitorRent!C:D, MATCH(F157 &amp; " " &amp; G157, MonitorRent!A:A &amp; " " &amp; MonitorRent!B:B, 0)), "")</f>
        <v/>
      </c>
      <c r="R157" s="295"/>
    </row>
    <row r="158">
      <c r="A158" s="284">
        <v>155.0</v>
      </c>
      <c r="B158" s="285" t="s">
        <v>10259</v>
      </c>
      <c r="C158" s="285" t="s">
        <v>10103</v>
      </c>
      <c r="D158" s="286" t="s">
        <v>10260</v>
      </c>
      <c r="E158" s="285" t="s">
        <v>6933</v>
      </c>
      <c r="F158" s="285" t="s">
        <v>10261</v>
      </c>
      <c r="G158" s="285" t="s">
        <v>10262</v>
      </c>
      <c r="H158" s="285" t="s">
        <v>10263</v>
      </c>
      <c r="I158" s="285" t="s">
        <v>10264</v>
      </c>
      <c r="J158" s="285" t="s">
        <v>5224</v>
      </c>
      <c r="K158" s="285" t="s">
        <v>4756</v>
      </c>
      <c r="L158" s="285" t="s">
        <v>10189</v>
      </c>
      <c r="M158" s="285" t="s">
        <v>9383</v>
      </c>
      <c r="N158" s="287" t="str">
        <f>IFERROR(
    IF(
        AND(
            VLOOKUP(B158, 'รายชื่อพนักงานลาออกพ้นสภาพ'!B:I, 8, FALSE)&lt;&gt;"ยกเลิกลาออก",
            VLOOKUP(B158, 'รายชื่อพนักงานลาออกพ้นสภาพ'!B:I, 7, FALSE)&lt;=TODAY()
        ),
        "ลาออกแล้ว",
        ""
    ),
"")</f>
        <v/>
      </c>
      <c r="O158" s="292" t="str">
        <f t="array" ref="O158">IFERROR(INDEX(PCRent!C:D, MATCH(F158 &amp; " " &amp; G158, PCRent!A:A &amp; " " &amp; PCRent!B:B, 0)), "")</f>
        <v/>
      </c>
      <c r="P158" s="293"/>
      <c r="Q158" s="294" t="str">
        <f t="array" ref="Q158">IFERROR(INDEX(MonitorRent!C:D, MATCH(F158 &amp; " " &amp; G158, MonitorRent!A:A &amp; " " &amp; MonitorRent!B:B, 0)), "")</f>
        <v/>
      </c>
      <c r="R158" s="295"/>
    </row>
    <row r="159">
      <c r="A159" s="284">
        <v>156.0</v>
      </c>
      <c r="B159" s="285" t="s">
        <v>10265</v>
      </c>
      <c r="C159" s="285" t="s">
        <v>10103</v>
      </c>
      <c r="D159" s="286" t="s">
        <v>10266</v>
      </c>
      <c r="E159" s="285" t="s">
        <v>6933</v>
      </c>
      <c r="F159" s="285" t="s">
        <v>10267</v>
      </c>
      <c r="G159" s="285" t="s">
        <v>10268</v>
      </c>
      <c r="H159" s="285" t="s">
        <v>10269</v>
      </c>
      <c r="I159" s="285" t="s">
        <v>10270</v>
      </c>
      <c r="J159" s="285" t="s">
        <v>5224</v>
      </c>
      <c r="K159" s="285" t="s">
        <v>10056</v>
      </c>
      <c r="L159" s="285" t="s">
        <v>566</v>
      </c>
      <c r="M159" s="285" t="s">
        <v>9383</v>
      </c>
      <c r="N159" s="287" t="str">
        <f>IFERROR(
    IF(
        AND(
            VLOOKUP(B159, 'รายชื่อพนักงานลาออกพ้นสภาพ'!B:I, 8, FALSE)&lt;&gt;"ยกเลิกลาออก",
            VLOOKUP(B159, 'รายชื่อพนักงานลาออกพ้นสภาพ'!B:I, 7, FALSE)&lt;=TODAY()
        ),
        "ลาออกแล้ว",
        ""
    ),
"")</f>
        <v/>
      </c>
      <c r="O159" s="292" t="str">
        <f t="array" ref="O159">IFERROR(INDEX(PCRent!C:D, MATCH(F159 &amp; " " &amp; G159, PCRent!A:A &amp; " " &amp; PCRent!B:B, 0)), "")</f>
        <v/>
      </c>
      <c r="P159" s="293"/>
      <c r="Q159" s="294" t="str">
        <f t="array" ref="Q159">IFERROR(INDEX(MonitorRent!C:D, MATCH(F159 &amp; " " &amp; G159, MonitorRent!A:A &amp; " " &amp; MonitorRent!B:B, 0)), "")</f>
        <v/>
      </c>
      <c r="R159" s="295"/>
    </row>
    <row r="160">
      <c r="A160" s="284">
        <v>157.0</v>
      </c>
      <c r="B160" s="285" t="s">
        <v>161</v>
      </c>
      <c r="C160" s="285" t="s">
        <v>10103</v>
      </c>
      <c r="D160" s="286" t="s">
        <v>10138</v>
      </c>
      <c r="E160" s="285" t="s">
        <v>6921</v>
      </c>
      <c r="F160" s="285" t="s">
        <v>10271</v>
      </c>
      <c r="G160" s="285" t="s">
        <v>10272</v>
      </c>
      <c r="H160" s="285" t="s">
        <v>9915</v>
      </c>
      <c r="I160" s="285" t="s">
        <v>164</v>
      </c>
      <c r="J160" s="285" t="s">
        <v>5224</v>
      </c>
      <c r="K160" s="285" t="s">
        <v>10273</v>
      </c>
      <c r="L160" s="285" t="s">
        <v>5805</v>
      </c>
      <c r="M160" s="285" t="s">
        <v>9383</v>
      </c>
      <c r="N160" s="287" t="str">
        <f>IFERROR(
    IF(
        AND(
            VLOOKUP(B160, 'รายชื่อพนักงานลาออกพ้นสภาพ'!B:I, 8, FALSE)&lt;&gt;"ยกเลิกลาออก",
            VLOOKUP(B160, 'รายชื่อพนักงานลาออกพ้นสภาพ'!B:I, 7, FALSE)&lt;=TODAY()
        ),
        "ลาออกแล้ว",
        ""
    ),
"")</f>
        <v>ลาออกแล้ว</v>
      </c>
      <c r="O160" s="292" t="str">
        <f t="array" ref="O160">IFERROR(INDEX(PCRent!C:D, MATCH(F160 &amp; " " &amp; G160, PCRent!A:A &amp; " " &amp; PCRent!B:B, 0)), "")</f>
        <v/>
      </c>
      <c r="P160" s="293"/>
      <c r="Q160" s="294" t="str">
        <f t="array" ref="Q160">IFERROR(INDEX(MonitorRent!C:D, MATCH(F160 &amp; " " &amp; G160, MonitorRent!A:A &amp; " " &amp; MonitorRent!B:B, 0)), "")</f>
        <v/>
      </c>
      <c r="R160" s="295"/>
    </row>
    <row r="161">
      <c r="A161" s="284">
        <v>158.0</v>
      </c>
      <c r="B161" s="285" t="s">
        <v>1058</v>
      </c>
      <c r="C161" s="285" t="s">
        <v>10103</v>
      </c>
      <c r="D161" s="286" t="s">
        <v>10274</v>
      </c>
      <c r="E161" s="285" t="s">
        <v>6933</v>
      </c>
      <c r="F161" s="285" t="s">
        <v>10275</v>
      </c>
      <c r="G161" s="285" t="s">
        <v>10276</v>
      </c>
      <c r="H161" s="285" t="s">
        <v>10277</v>
      </c>
      <c r="I161" s="285" t="s">
        <v>1060</v>
      </c>
      <c r="J161" s="285" t="s">
        <v>5012</v>
      </c>
      <c r="K161" s="285" t="s">
        <v>10114</v>
      </c>
      <c r="L161" s="285" t="s">
        <v>10127</v>
      </c>
      <c r="M161" s="285" t="s">
        <v>9383</v>
      </c>
      <c r="N161" s="287" t="str">
        <f>IFERROR(
    IF(
        AND(
            VLOOKUP(B161, 'รายชื่อพนักงานลาออกพ้นสภาพ'!B:I, 8, FALSE)&lt;&gt;"ยกเลิกลาออก",
            VLOOKUP(B161, 'รายชื่อพนักงานลาออกพ้นสภาพ'!B:I, 7, FALSE)&lt;=TODAY()
        ),
        "ลาออกแล้ว",
        ""
    ),
"")</f>
        <v/>
      </c>
      <c r="O161" s="292" t="str">
        <f t="array" ref="O161">IFERROR(INDEX(PCRent!C:D, MATCH(F161 &amp; " " &amp; G161, PCRent!A:A &amp; " " &amp; PCRent!B:B, 0)), "")</f>
        <v/>
      </c>
      <c r="P161" s="293"/>
      <c r="Q161" s="294" t="str">
        <f t="array" ref="Q161">IFERROR(INDEX(MonitorRent!C:D, MATCH(F161 &amp; " " &amp; G161, MonitorRent!A:A &amp; " " &amp; MonitorRent!B:B, 0)), "")</f>
        <v/>
      </c>
      <c r="R161" s="295"/>
    </row>
    <row r="162">
      <c r="A162" s="284">
        <v>159.0</v>
      </c>
      <c r="B162" s="285" t="s">
        <v>10278</v>
      </c>
      <c r="C162" s="285" t="s">
        <v>10103</v>
      </c>
      <c r="D162" s="286" t="s">
        <v>10279</v>
      </c>
      <c r="E162" s="285" t="s">
        <v>6933</v>
      </c>
      <c r="F162" s="285" t="s">
        <v>10275</v>
      </c>
      <c r="G162" s="285" t="s">
        <v>10280</v>
      </c>
      <c r="H162" s="285" t="s">
        <v>10281</v>
      </c>
      <c r="I162" s="285" t="s">
        <v>10282</v>
      </c>
      <c r="J162" s="285" t="s">
        <v>5012</v>
      </c>
      <c r="K162" s="285" t="s">
        <v>1412</v>
      </c>
      <c r="L162" s="285" t="s">
        <v>10127</v>
      </c>
      <c r="M162" s="285" t="s">
        <v>9383</v>
      </c>
      <c r="N162" s="287" t="str">
        <f>IFERROR(
    IF(
        AND(
            VLOOKUP(B162, 'รายชื่อพนักงานลาออกพ้นสภาพ'!B:I, 8, FALSE)&lt;&gt;"ยกเลิกลาออก",
            VLOOKUP(B162, 'รายชื่อพนักงานลาออกพ้นสภาพ'!B:I, 7, FALSE)&lt;=TODAY()
        ),
        "ลาออกแล้ว",
        ""
    ),
"")</f>
        <v/>
      </c>
      <c r="O162" s="292" t="str">
        <f t="array" ref="O162">IFERROR(INDEX(PCRent!C:D, MATCH(F162 &amp; " " &amp; G162, PCRent!A:A &amp; " " &amp; PCRent!B:B, 0)), "")</f>
        <v/>
      </c>
      <c r="P162" s="293"/>
      <c r="Q162" s="294" t="str">
        <f t="array" ref="Q162">IFERROR(INDEX(MonitorRent!C:D, MATCH(F162 &amp; " " &amp; G162, MonitorRent!A:A &amp; " " &amp; MonitorRent!B:B, 0)), "")</f>
        <v/>
      </c>
      <c r="R162" s="295"/>
    </row>
    <row r="163">
      <c r="A163" s="284">
        <v>160.0</v>
      </c>
      <c r="B163" s="285" t="s">
        <v>10283</v>
      </c>
      <c r="C163" s="285" t="s">
        <v>10103</v>
      </c>
      <c r="D163" s="286" t="s">
        <v>9461</v>
      </c>
      <c r="E163" s="285" t="s">
        <v>6933</v>
      </c>
      <c r="F163" s="285" t="s">
        <v>10284</v>
      </c>
      <c r="G163" s="285" t="s">
        <v>10285</v>
      </c>
      <c r="H163" s="285" t="s">
        <v>10286</v>
      </c>
      <c r="I163" s="285" t="s">
        <v>10287</v>
      </c>
      <c r="J163" s="285" t="s">
        <v>5224</v>
      </c>
      <c r="K163" s="285" t="s">
        <v>4818</v>
      </c>
      <c r="L163" s="285" t="s">
        <v>1258</v>
      </c>
      <c r="M163" s="285" t="s">
        <v>9383</v>
      </c>
      <c r="N163" s="287" t="str">
        <f>IFERROR(
    IF(
        AND(
            VLOOKUP(B163, 'รายชื่อพนักงานลาออกพ้นสภาพ'!B:I, 8, FALSE)&lt;&gt;"ยกเลิกลาออก",
            VLOOKUP(B163, 'รายชื่อพนักงานลาออกพ้นสภาพ'!B:I, 7, FALSE)&lt;=TODAY()
        ),
        "ลาออกแล้ว",
        ""
    ),
"")</f>
        <v/>
      </c>
      <c r="O163" s="292" t="str">
        <f t="array" ref="O163:P163">IFERROR(INDEX(PCRent!C:D, MATCH(F163 &amp; " " &amp; G163, PCRent!A:A &amp; " " &amp; PCRent!B:B, 0)), "")</f>
        <v>SN:MP2M8GB3</v>
      </c>
      <c r="P163" s="293" t="s">
        <v>7248</v>
      </c>
      <c r="Q163" s="294" t="str">
        <f t="array" ref="Q163">IFERROR(INDEX(MonitorRent!C:D, MATCH(F163 &amp; " " &amp; G163, MonitorRent!A:A &amp; " " &amp; MonitorRent!B:B, 0)), "")</f>
        <v/>
      </c>
      <c r="R163" s="295"/>
    </row>
    <row r="164">
      <c r="A164" s="284">
        <v>161.0</v>
      </c>
      <c r="B164" s="285" t="s">
        <v>10288</v>
      </c>
      <c r="C164" s="285" t="s">
        <v>10103</v>
      </c>
      <c r="D164" s="286" t="s">
        <v>9621</v>
      </c>
      <c r="E164" s="285" t="s">
        <v>6921</v>
      </c>
      <c r="F164" s="285" t="s">
        <v>10289</v>
      </c>
      <c r="G164" s="285" t="s">
        <v>10290</v>
      </c>
      <c r="H164" s="285" t="s">
        <v>9956</v>
      </c>
      <c r="I164" s="285" t="s">
        <v>10291</v>
      </c>
      <c r="J164" s="285" t="s">
        <v>5224</v>
      </c>
      <c r="K164" s="285" t="s">
        <v>4835</v>
      </c>
      <c r="L164" s="285" t="s">
        <v>10163</v>
      </c>
      <c r="M164" s="285" t="s">
        <v>9383</v>
      </c>
      <c r="N164" s="287" t="str">
        <f>IFERROR(
    IF(
        AND(
            VLOOKUP(B164, 'รายชื่อพนักงานลาออกพ้นสภาพ'!B:I, 8, FALSE)&lt;&gt;"ยกเลิกลาออก",
            VLOOKUP(B164, 'รายชื่อพนักงานลาออกพ้นสภาพ'!B:I, 7, FALSE)&lt;=TODAY()
        ),
        "ลาออกแล้ว",
        ""
    ),
"")</f>
        <v/>
      </c>
      <c r="O164" s="292" t="str">
        <f t="array" ref="O164">IFERROR(INDEX(PCRent!C:D, MATCH(F164 &amp; " " &amp; G164, PCRent!A:A &amp; " " &amp; PCRent!B:B, 0)), "")</f>
        <v/>
      </c>
      <c r="P164" s="293"/>
      <c r="Q164" s="294" t="str">
        <f t="array" ref="Q164">IFERROR(INDEX(MonitorRent!C:D, MATCH(F164 &amp; " " &amp; G164, MonitorRent!A:A &amp; " " &amp; MonitorRent!B:B, 0)), "")</f>
        <v/>
      </c>
      <c r="R164" s="295"/>
    </row>
    <row r="165">
      <c r="A165" s="284">
        <v>162.0</v>
      </c>
      <c r="B165" s="285" t="s">
        <v>220</v>
      </c>
      <c r="C165" s="285" t="s">
        <v>10103</v>
      </c>
      <c r="D165" s="286" t="s">
        <v>9718</v>
      </c>
      <c r="E165" s="285" t="s">
        <v>6921</v>
      </c>
      <c r="F165" s="285" t="s">
        <v>10292</v>
      </c>
      <c r="G165" s="285" t="s">
        <v>10293</v>
      </c>
      <c r="H165" s="285" t="s">
        <v>9597</v>
      </c>
      <c r="I165" s="285" t="s">
        <v>223</v>
      </c>
      <c r="J165" s="285" t="s">
        <v>5012</v>
      </c>
      <c r="K165" s="285" t="s">
        <v>1417</v>
      </c>
      <c r="L165" s="285" t="s">
        <v>832</v>
      </c>
      <c r="M165" s="285" t="s">
        <v>9391</v>
      </c>
      <c r="N165" s="287" t="str">
        <f>IFERROR(
    IF(
        AND(
            VLOOKUP(B165, 'รายชื่อพนักงานลาออกพ้นสภาพ'!B:I, 8, FALSE)&lt;&gt;"ยกเลิกลาออก",
            VLOOKUP(B165, 'รายชื่อพนักงานลาออกพ้นสภาพ'!B:I, 7, FALSE)&lt;=TODAY()
        ),
        "ลาออกแล้ว",
        ""
    ),
"")</f>
        <v/>
      </c>
      <c r="O165" s="292" t="str">
        <f t="array" ref="O165">IFERROR(INDEX(PCRent!C:D, MATCH(F165 &amp; " " &amp; G165, PCRent!A:A &amp; " " &amp; PCRent!B:B, 0)), "")</f>
        <v/>
      </c>
      <c r="P165" s="293"/>
      <c r="Q165" s="294" t="str">
        <f t="array" ref="Q165">IFERROR(INDEX(MonitorRent!C:D, MATCH(F165 &amp; " " &amp; G165, MonitorRent!A:A &amp; " " &amp; MonitorRent!B:B, 0)), "")</f>
        <v/>
      </c>
      <c r="R165" s="295"/>
    </row>
    <row r="166">
      <c r="A166" s="284">
        <v>163.0</v>
      </c>
      <c r="B166" s="285" t="s">
        <v>975</v>
      </c>
      <c r="C166" s="285" t="s">
        <v>10103</v>
      </c>
      <c r="D166" s="286" t="s">
        <v>9547</v>
      </c>
      <c r="E166" s="285" t="s">
        <v>6933</v>
      </c>
      <c r="F166" s="285" t="s">
        <v>10294</v>
      </c>
      <c r="G166" s="285" t="s">
        <v>10295</v>
      </c>
      <c r="H166" s="285" t="s">
        <v>10296</v>
      </c>
      <c r="I166" s="285" t="s">
        <v>977</v>
      </c>
      <c r="J166" s="285" t="s">
        <v>5012</v>
      </c>
      <c r="K166" s="285" t="s">
        <v>10114</v>
      </c>
      <c r="L166" s="285" t="s">
        <v>10127</v>
      </c>
      <c r="M166" s="285" t="s">
        <v>9391</v>
      </c>
      <c r="N166" s="287" t="str">
        <f>IFERROR(
    IF(
        AND(
            VLOOKUP(B166, 'รายชื่อพนักงานลาออกพ้นสภาพ'!B:I, 8, FALSE)&lt;&gt;"ยกเลิกลาออก",
            VLOOKUP(B166, 'รายชื่อพนักงานลาออกพ้นสภาพ'!B:I, 7, FALSE)&lt;=TODAY()
        ),
        "ลาออกแล้ว",
        ""
    ),
"")</f>
        <v/>
      </c>
      <c r="O166" s="292" t="str">
        <f t="array" ref="O166">IFERROR(INDEX(PCRent!C:D, MATCH(F166 &amp; " " &amp; G166, PCRent!A:A &amp; " " &amp; PCRent!B:B, 0)), "")</f>
        <v/>
      </c>
      <c r="P166" s="293"/>
      <c r="Q166" s="294" t="str">
        <f t="array" ref="Q166">IFERROR(INDEX(MonitorRent!C:D, MATCH(F166 &amp; " " &amp; G166, MonitorRent!A:A &amp; " " &amp; MonitorRent!B:B, 0)), "")</f>
        <v/>
      </c>
      <c r="R166" s="295"/>
    </row>
    <row r="167">
      <c r="A167" s="284">
        <v>164.0</v>
      </c>
      <c r="B167" s="285" t="s">
        <v>10297</v>
      </c>
      <c r="C167" s="285" t="s">
        <v>10103</v>
      </c>
      <c r="D167" s="286" t="s">
        <v>10298</v>
      </c>
      <c r="E167" s="285" t="s">
        <v>6933</v>
      </c>
      <c r="F167" s="285" t="s">
        <v>10299</v>
      </c>
      <c r="G167" s="285" t="s">
        <v>10300</v>
      </c>
      <c r="H167" s="285" t="s">
        <v>10301</v>
      </c>
      <c r="I167" s="285" t="s">
        <v>10302</v>
      </c>
      <c r="J167" s="285" t="s">
        <v>5012</v>
      </c>
      <c r="K167" s="285" t="s">
        <v>1412</v>
      </c>
      <c r="L167" s="285" t="s">
        <v>10127</v>
      </c>
      <c r="M167" s="285" t="s">
        <v>9383</v>
      </c>
      <c r="N167" s="287" t="str">
        <f>IFERROR(
    IF(
        AND(
            VLOOKUP(B167, 'รายชื่อพนักงานลาออกพ้นสภาพ'!B:I, 8, FALSE)&lt;&gt;"ยกเลิกลาออก",
            VLOOKUP(B167, 'รายชื่อพนักงานลาออกพ้นสภาพ'!B:I, 7, FALSE)&lt;=TODAY()
        ),
        "ลาออกแล้ว",
        ""
    ),
"")</f>
        <v/>
      </c>
      <c r="O167" s="292" t="str">
        <f t="array" ref="O167">IFERROR(INDEX(PCRent!C:D, MATCH(F167 &amp; " " &amp; G167, PCRent!A:A &amp; " " &amp; PCRent!B:B, 0)), "")</f>
        <v/>
      </c>
      <c r="P167" s="293"/>
      <c r="Q167" s="294" t="str">
        <f t="array" ref="Q167">IFERROR(INDEX(MonitorRent!C:D, MATCH(F167 &amp; " " &amp; G167, MonitorRent!A:A &amp; " " &amp; MonitorRent!B:B, 0)), "")</f>
        <v/>
      </c>
      <c r="R167" s="295"/>
    </row>
    <row r="168">
      <c r="A168" s="284">
        <v>165.0</v>
      </c>
      <c r="B168" s="285" t="s">
        <v>141</v>
      </c>
      <c r="C168" s="285" t="s">
        <v>10103</v>
      </c>
      <c r="D168" s="286" t="s">
        <v>10303</v>
      </c>
      <c r="E168" s="285" t="s">
        <v>6933</v>
      </c>
      <c r="F168" s="285" t="s">
        <v>10304</v>
      </c>
      <c r="G168" s="285" t="s">
        <v>10305</v>
      </c>
      <c r="H168" s="285" t="s">
        <v>10306</v>
      </c>
      <c r="I168" s="285" t="s">
        <v>144</v>
      </c>
      <c r="J168" s="285" t="s">
        <v>5012</v>
      </c>
      <c r="K168" s="285" t="s">
        <v>10114</v>
      </c>
      <c r="L168" s="285" t="s">
        <v>10127</v>
      </c>
      <c r="M168" s="285" t="s">
        <v>9383</v>
      </c>
      <c r="N168" s="287" t="str">
        <f>IFERROR(
    IF(
        AND(
            VLOOKUP(B168, 'รายชื่อพนักงานลาออกพ้นสภาพ'!B:I, 8, FALSE)&lt;&gt;"ยกเลิกลาออก",
            VLOOKUP(B168, 'รายชื่อพนักงานลาออกพ้นสภาพ'!B:I, 7, FALSE)&lt;=TODAY()
        ),
        "ลาออกแล้ว",
        ""
    ),
"")</f>
        <v>ลาออกแล้ว</v>
      </c>
      <c r="O168" s="292" t="str">
        <f t="array" ref="O168">IFERROR(INDEX(PCRent!C:D, MATCH(F168 &amp; " " &amp; G168, PCRent!A:A &amp; " " &amp; PCRent!B:B, 0)), "")</f>
        <v/>
      </c>
      <c r="P168" s="293"/>
      <c r="Q168" s="294" t="str">
        <f t="array" ref="Q168">IFERROR(INDEX(MonitorRent!C:D, MATCH(F168 &amp; " " &amp; G168, MonitorRent!A:A &amp; " " &amp; MonitorRent!B:B, 0)), "")</f>
        <v/>
      </c>
      <c r="R168" s="295"/>
    </row>
    <row r="169">
      <c r="A169" s="284">
        <v>166.0</v>
      </c>
      <c r="B169" s="285" t="s">
        <v>10307</v>
      </c>
      <c r="C169" s="285" t="s">
        <v>10103</v>
      </c>
      <c r="D169" s="286" t="s">
        <v>10308</v>
      </c>
      <c r="E169" s="285" t="s">
        <v>6933</v>
      </c>
      <c r="F169" s="285" t="s">
        <v>10309</v>
      </c>
      <c r="G169" s="285" t="s">
        <v>10310</v>
      </c>
      <c r="H169" s="285" t="s">
        <v>10311</v>
      </c>
      <c r="I169" s="285" t="s">
        <v>10312</v>
      </c>
      <c r="J169" s="285" t="s">
        <v>5224</v>
      </c>
      <c r="K169" s="285" t="s">
        <v>5638</v>
      </c>
      <c r="L169" s="285" t="s">
        <v>10163</v>
      </c>
      <c r="M169" s="285" t="s">
        <v>9383</v>
      </c>
      <c r="N169" s="287" t="str">
        <f>IFERROR(
    IF(
        AND(
            VLOOKUP(B169, 'รายชื่อพนักงานลาออกพ้นสภาพ'!B:I, 8, FALSE)&lt;&gt;"ยกเลิกลาออก",
            VLOOKUP(B169, 'รายชื่อพนักงานลาออกพ้นสภาพ'!B:I, 7, FALSE)&lt;=TODAY()
        ),
        "ลาออกแล้ว",
        ""
    ),
"")</f>
        <v/>
      </c>
      <c r="O169" s="292" t="str">
        <f t="array" ref="O169:P169">IFERROR(INDEX(PCRent!C:D, MATCH(F169 &amp; " " &amp; G169, PCRent!A:A &amp; " " &amp; PCRent!B:B, 0)), "")</f>
        <v>SN:MP2M8GAE</v>
      </c>
      <c r="P169" s="293" t="s">
        <v>7248</v>
      </c>
      <c r="Q169" s="294" t="str">
        <f t="array" ref="Q169">IFERROR(INDEX(MonitorRent!C:D, MATCH(F169 &amp; " " &amp; G169, MonitorRent!A:A &amp; " " &amp; MonitorRent!B:B, 0)), "")</f>
        <v/>
      </c>
      <c r="R169" s="295"/>
    </row>
    <row r="170">
      <c r="A170" s="284">
        <v>167.0</v>
      </c>
      <c r="B170" s="285" t="s">
        <v>746</v>
      </c>
      <c r="C170" s="285" t="s">
        <v>10103</v>
      </c>
      <c r="D170" s="286" t="s">
        <v>10090</v>
      </c>
      <c r="E170" s="285" t="s">
        <v>6921</v>
      </c>
      <c r="F170" s="285" t="s">
        <v>10313</v>
      </c>
      <c r="G170" s="285" t="s">
        <v>10314</v>
      </c>
      <c r="H170" s="285" t="s">
        <v>9789</v>
      </c>
      <c r="I170" s="285" t="s">
        <v>749</v>
      </c>
      <c r="J170" s="285" t="s">
        <v>5012</v>
      </c>
      <c r="K170" s="285" t="s">
        <v>1606</v>
      </c>
      <c r="L170" s="285" t="s">
        <v>832</v>
      </c>
      <c r="M170" s="285" t="s">
        <v>9383</v>
      </c>
      <c r="N170" s="287" t="str">
        <f>IFERROR(
    IF(
        AND(
            VLOOKUP(B170, 'รายชื่อพนักงานลาออกพ้นสภาพ'!B:I, 8, FALSE)&lt;&gt;"ยกเลิกลาออก",
            VLOOKUP(B170, 'รายชื่อพนักงานลาออกพ้นสภาพ'!B:I, 7, FALSE)&lt;=TODAY()
        ),
        "ลาออกแล้ว",
        ""
    ),
"")</f>
        <v>ลาออกแล้ว</v>
      </c>
      <c r="O170" s="292" t="str">
        <f t="array" ref="O170">IFERROR(INDEX(PCRent!C:D, MATCH(F170 &amp; " " &amp; G170, PCRent!A:A &amp; " " &amp; PCRent!B:B, 0)), "")</f>
        <v/>
      </c>
      <c r="P170" s="293"/>
      <c r="Q170" s="294" t="str">
        <f t="array" ref="Q170">IFERROR(INDEX(MonitorRent!C:D, MATCH(F170 &amp; " " &amp; G170, MonitorRent!A:A &amp; " " &amp; MonitorRent!B:B, 0)), "")</f>
        <v/>
      </c>
      <c r="R170" s="295"/>
    </row>
    <row r="171">
      <c r="A171" s="284">
        <v>168.0</v>
      </c>
      <c r="B171" s="285" t="s">
        <v>10315</v>
      </c>
      <c r="C171" s="285" t="s">
        <v>10103</v>
      </c>
      <c r="D171" s="286" t="s">
        <v>10063</v>
      </c>
      <c r="E171" s="285" t="s">
        <v>6921</v>
      </c>
      <c r="F171" s="285" t="s">
        <v>10316</v>
      </c>
      <c r="G171" s="285" t="s">
        <v>10317</v>
      </c>
      <c r="H171" s="285" t="s">
        <v>10318</v>
      </c>
      <c r="I171" s="285" t="s">
        <v>10319</v>
      </c>
      <c r="J171" s="285" t="s">
        <v>5012</v>
      </c>
      <c r="K171" s="285" t="s">
        <v>1606</v>
      </c>
      <c r="L171" s="285" t="s">
        <v>10127</v>
      </c>
      <c r="M171" s="285" t="s">
        <v>9391</v>
      </c>
      <c r="N171" s="287" t="str">
        <f>IFERROR(
    IF(
        AND(
            VLOOKUP(B171, 'รายชื่อพนักงานลาออกพ้นสภาพ'!B:I, 8, FALSE)&lt;&gt;"ยกเลิกลาออก",
            VLOOKUP(B171, 'รายชื่อพนักงานลาออกพ้นสภาพ'!B:I, 7, FALSE)&lt;=TODAY()
        ),
        "ลาออกแล้ว",
        ""
    ),
"")</f>
        <v/>
      </c>
      <c r="O171" s="292" t="str">
        <f t="array" ref="O171">IFERROR(INDEX(PCRent!C:D, MATCH(F171 &amp; " " &amp; G171, PCRent!A:A &amp; " " &amp; PCRent!B:B, 0)), "")</f>
        <v/>
      </c>
      <c r="P171" s="293"/>
      <c r="Q171" s="294" t="str">
        <f t="array" ref="Q171">IFERROR(INDEX(MonitorRent!C:D, MATCH(F171 &amp; " " &amp; G171, MonitorRent!A:A &amp; " " &amp; MonitorRent!B:B, 0)), "")</f>
        <v/>
      </c>
      <c r="R171" s="295"/>
    </row>
    <row r="172">
      <c r="A172" s="284">
        <v>169.0</v>
      </c>
      <c r="B172" s="285" t="s">
        <v>10320</v>
      </c>
      <c r="C172" s="285" t="s">
        <v>10103</v>
      </c>
      <c r="D172" s="286" t="s">
        <v>9469</v>
      </c>
      <c r="E172" s="285" t="s">
        <v>6933</v>
      </c>
      <c r="F172" s="285" t="s">
        <v>10321</v>
      </c>
      <c r="G172" s="285" t="s">
        <v>10322</v>
      </c>
      <c r="H172" s="285" t="s">
        <v>10323</v>
      </c>
      <c r="I172" s="285" t="s">
        <v>10324</v>
      </c>
      <c r="J172" s="285" t="s">
        <v>5012</v>
      </c>
      <c r="K172" s="285" t="s">
        <v>5760</v>
      </c>
      <c r="L172" s="285" t="s">
        <v>9692</v>
      </c>
      <c r="M172" s="285" t="s">
        <v>9383</v>
      </c>
      <c r="N172" s="287" t="str">
        <f>IFERROR(
    IF(
        AND(
            VLOOKUP(B172, 'รายชื่อพนักงานลาออกพ้นสภาพ'!B:I, 8, FALSE)&lt;&gt;"ยกเลิกลาออก",
            VLOOKUP(B172, 'รายชื่อพนักงานลาออกพ้นสภาพ'!B:I, 7, FALSE)&lt;=TODAY()
        ),
        "ลาออกแล้ว",
        ""
    ),
"")</f>
        <v/>
      </c>
      <c r="O172" s="292" t="str">
        <f t="array" ref="O172">IFERROR(INDEX(PCRent!C:D, MATCH(F172 &amp; " " &amp; G172, PCRent!A:A &amp; " " &amp; PCRent!B:B, 0)), "")</f>
        <v/>
      </c>
      <c r="P172" s="293"/>
      <c r="Q172" s="294" t="str">
        <f t="array" ref="Q172">IFERROR(INDEX(MonitorRent!C:D, MATCH(F172 &amp; " " &amp; G172, MonitorRent!A:A &amp; " " &amp; MonitorRent!B:B, 0)), "")</f>
        <v/>
      </c>
      <c r="R172" s="295"/>
    </row>
    <row r="173">
      <c r="A173" s="284">
        <v>170.0</v>
      </c>
      <c r="B173" s="285" t="s">
        <v>598</v>
      </c>
      <c r="C173" s="285" t="s">
        <v>10103</v>
      </c>
      <c r="D173" s="286" t="s">
        <v>10325</v>
      </c>
      <c r="E173" s="285" t="s">
        <v>6921</v>
      </c>
      <c r="F173" s="285" t="s">
        <v>10326</v>
      </c>
      <c r="G173" s="285" t="s">
        <v>10327</v>
      </c>
      <c r="H173" s="285" t="s">
        <v>9754</v>
      </c>
      <c r="I173" s="285" t="s">
        <v>601</v>
      </c>
      <c r="J173" s="285" t="s">
        <v>5012</v>
      </c>
      <c r="K173" s="285" t="s">
        <v>1492</v>
      </c>
      <c r="L173" s="285" t="s">
        <v>1258</v>
      </c>
      <c r="M173" s="285" t="s">
        <v>9383</v>
      </c>
      <c r="N173" s="287" t="str">
        <f>IFERROR(
    IF(
        AND(
            VLOOKUP(B173, 'รายชื่อพนักงานลาออกพ้นสภาพ'!B:I, 8, FALSE)&lt;&gt;"ยกเลิกลาออก",
            VLOOKUP(B173, 'รายชื่อพนักงานลาออกพ้นสภาพ'!B:I, 7, FALSE)&lt;=TODAY()
        ),
        "ลาออกแล้ว",
        ""
    ),
"")</f>
        <v>ลาออกแล้ว</v>
      </c>
      <c r="O173" s="292" t="str">
        <f t="array" ref="O173">IFERROR(INDEX(PCRent!C:D, MATCH(F173 &amp; " " &amp; G173, PCRent!A:A &amp; " " &amp; PCRent!B:B, 0)), "")</f>
        <v/>
      </c>
      <c r="P173" s="293"/>
      <c r="Q173" s="294" t="str">
        <f t="array" ref="Q173">IFERROR(INDEX(MonitorRent!C:D, MATCH(F173 &amp; " " &amp; G173, MonitorRent!A:A &amp; " " &amp; MonitorRent!B:B, 0)), "")</f>
        <v/>
      </c>
      <c r="R173" s="295"/>
    </row>
    <row r="174">
      <c r="A174" s="284">
        <v>171.0</v>
      </c>
      <c r="B174" s="285" t="s">
        <v>10328</v>
      </c>
      <c r="C174" s="285" t="s">
        <v>10103</v>
      </c>
      <c r="D174" s="286" t="s">
        <v>10329</v>
      </c>
      <c r="E174" s="285" t="s">
        <v>6921</v>
      </c>
      <c r="F174" s="285" t="s">
        <v>10326</v>
      </c>
      <c r="G174" s="285" t="s">
        <v>10330</v>
      </c>
      <c r="H174" s="285" t="s">
        <v>9726</v>
      </c>
      <c r="I174" s="285" t="s">
        <v>10331</v>
      </c>
      <c r="J174" s="285" t="s">
        <v>5012</v>
      </c>
      <c r="K174" s="285" t="s">
        <v>1606</v>
      </c>
      <c r="L174" s="285" t="s">
        <v>832</v>
      </c>
      <c r="M174" s="285" t="s">
        <v>9383</v>
      </c>
      <c r="N174" s="287" t="str">
        <f>IFERROR(
    IF(
        AND(
            VLOOKUP(B174, 'รายชื่อพนักงานลาออกพ้นสภาพ'!B:I, 8, FALSE)&lt;&gt;"ยกเลิกลาออก",
            VLOOKUP(B174, 'รายชื่อพนักงานลาออกพ้นสภาพ'!B:I, 7, FALSE)&lt;=TODAY()
        ),
        "ลาออกแล้ว",
        ""
    ),
"")</f>
        <v/>
      </c>
      <c r="O174" s="292" t="str">
        <f t="array" ref="O174">IFERROR(INDEX(PCRent!C:D, MATCH(F174 &amp; " " &amp; G174, PCRent!A:A &amp; " " &amp; PCRent!B:B, 0)), "")</f>
        <v/>
      </c>
      <c r="P174" s="293"/>
      <c r="Q174" s="294" t="str">
        <f t="array" ref="Q174">IFERROR(INDEX(MonitorRent!C:D, MATCH(F174 &amp; " " &amp; G174, MonitorRent!A:A &amp; " " &amp; MonitorRent!B:B, 0)), "")</f>
        <v/>
      </c>
      <c r="R174" s="295"/>
    </row>
    <row r="175">
      <c r="A175" s="284">
        <v>172.0</v>
      </c>
      <c r="B175" s="285" t="s">
        <v>10332</v>
      </c>
      <c r="C175" s="285" t="s">
        <v>10103</v>
      </c>
      <c r="D175" s="286" t="s">
        <v>10333</v>
      </c>
      <c r="E175" s="285" t="s">
        <v>6921</v>
      </c>
      <c r="F175" s="285" t="s">
        <v>10334</v>
      </c>
      <c r="G175" s="285" t="s">
        <v>10335</v>
      </c>
      <c r="H175" s="285" t="s">
        <v>10336</v>
      </c>
      <c r="I175" s="285" t="s">
        <v>10337</v>
      </c>
      <c r="J175" s="285" t="s">
        <v>5012</v>
      </c>
      <c r="K175" s="285" t="s">
        <v>1417</v>
      </c>
      <c r="L175" s="285" t="s">
        <v>10127</v>
      </c>
      <c r="M175" s="285" t="s">
        <v>9383</v>
      </c>
      <c r="N175" s="287" t="str">
        <f>IFERROR(
    IF(
        AND(
            VLOOKUP(B175, 'รายชื่อพนักงานลาออกพ้นสภาพ'!B:I, 8, FALSE)&lt;&gt;"ยกเลิกลาออก",
            VLOOKUP(B175, 'รายชื่อพนักงานลาออกพ้นสภาพ'!B:I, 7, FALSE)&lt;=TODAY()
        ),
        "ลาออกแล้ว",
        ""
    ),
"")</f>
        <v/>
      </c>
      <c r="O175" s="292" t="str">
        <f t="array" ref="O175">IFERROR(INDEX(PCRent!C:D, MATCH(F175 &amp; " " &amp; G175, PCRent!A:A &amp; " " &amp; PCRent!B:B, 0)), "")</f>
        <v/>
      </c>
      <c r="P175" s="293"/>
      <c r="Q175" s="294" t="str">
        <f t="array" ref="Q175">IFERROR(INDEX(MonitorRent!C:D, MATCH(F175 &amp; " " &amp; G175, MonitorRent!A:A &amp; " " &amp; MonitorRent!B:B, 0)), "")</f>
        <v/>
      </c>
      <c r="R175" s="295"/>
    </row>
    <row r="176">
      <c r="A176" s="284">
        <v>173.0</v>
      </c>
      <c r="B176" s="285" t="s">
        <v>470</v>
      </c>
      <c r="C176" s="285" t="s">
        <v>10103</v>
      </c>
      <c r="D176" s="286" t="s">
        <v>10338</v>
      </c>
      <c r="E176" s="285" t="s">
        <v>6933</v>
      </c>
      <c r="F176" s="285" t="s">
        <v>10339</v>
      </c>
      <c r="G176" s="285" t="s">
        <v>10340</v>
      </c>
      <c r="H176" s="285" t="s">
        <v>9696</v>
      </c>
      <c r="I176" s="285" t="s">
        <v>472</v>
      </c>
      <c r="J176" s="285" t="s">
        <v>5012</v>
      </c>
      <c r="K176" s="285" t="s">
        <v>1606</v>
      </c>
      <c r="L176" s="285" t="s">
        <v>832</v>
      </c>
      <c r="M176" s="285" t="s">
        <v>9383</v>
      </c>
      <c r="N176" s="287" t="str">
        <f>IFERROR(
    IF(
        AND(
            VLOOKUP(B176, 'รายชื่อพนักงานลาออกพ้นสภาพ'!B:I, 8, FALSE)&lt;&gt;"ยกเลิกลาออก",
            VLOOKUP(B176, 'รายชื่อพนักงานลาออกพ้นสภาพ'!B:I, 7, FALSE)&lt;=TODAY()
        ),
        "ลาออกแล้ว",
        ""
    ),
"")</f>
        <v>ลาออกแล้ว</v>
      </c>
      <c r="O176" s="292" t="str">
        <f t="array" ref="O176">IFERROR(INDEX(PCRent!C:D, MATCH(F176 &amp; " " &amp; G176, PCRent!A:A &amp; " " &amp; PCRent!B:B, 0)), "")</f>
        <v/>
      </c>
      <c r="P176" s="293"/>
      <c r="Q176" s="294" t="str">
        <f t="array" ref="Q176">IFERROR(INDEX(MonitorRent!C:D, MATCH(F176 &amp; " " &amp; G176, MonitorRent!A:A &amp; " " &amp; MonitorRent!B:B, 0)), "")</f>
        <v/>
      </c>
      <c r="R176" s="295"/>
    </row>
    <row r="177">
      <c r="A177" s="284">
        <v>174.0</v>
      </c>
      <c r="B177" s="285" t="s">
        <v>10341</v>
      </c>
      <c r="C177" s="285" t="s">
        <v>10103</v>
      </c>
      <c r="D177" s="286" t="s">
        <v>10342</v>
      </c>
      <c r="E177" s="285" t="s">
        <v>6921</v>
      </c>
      <c r="F177" s="285" t="s">
        <v>10343</v>
      </c>
      <c r="G177" s="285" t="s">
        <v>10344</v>
      </c>
      <c r="H177" s="285" t="s">
        <v>10345</v>
      </c>
      <c r="I177" s="285" t="s">
        <v>10346</v>
      </c>
      <c r="J177" s="285" t="s">
        <v>5012</v>
      </c>
      <c r="K177" s="285" t="s">
        <v>1417</v>
      </c>
      <c r="L177" s="285" t="s">
        <v>10127</v>
      </c>
      <c r="M177" s="285" t="s">
        <v>9383</v>
      </c>
      <c r="N177" s="287" t="str">
        <f>IFERROR(
    IF(
        AND(
            VLOOKUP(B177, 'รายชื่อพนักงานลาออกพ้นสภาพ'!B:I, 8, FALSE)&lt;&gt;"ยกเลิกลาออก",
            VLOOKUP(B177, 'รายชื่อพนักงานลาออกพ้นสภาพ'!B:I, 7, FALSE)&lt;=TODAY()
        ),
        "ลาออกแล้ว",
        ""
    ),
"")</f>
        <v/>
      </c>
      <c r="O177" s="292" t="str">
        <f t="array" ref="O177">IFERROR(INDEX(PCRent!C:D, MATCH(F177 &amp; " " &amp; G177, PCRent!A:A &amp; " " &amp; PCRent!B:B, 0)), "")</f>
        <v/>
      </c>
      <c r="P177" s="293"/>
      <c r="Q177" s="294" t="str">
        <f t="array" ref="Q177">IFERROR(INDEX(MonitorRent!C:D, MATCH(F177 &amp; " " &amp; G177, MonitorRent!A:A &amp; " " &amp; MonitorRent!B:B, 0)), "")</f>
        <v/>
      </c>
      <c r="R177" s="295"/>
    </row>
    <row r="178">
      <c r="A178" s="284">
        <v>175.0</v>
      </c>
      <c r="B178" s="285" t="s">
        <v>10347</v>
      </c>
      <c r="C178" s="285" t="s">
        <v>10103</v>
      </c>
      <c r="D178" s="286" t="s">
        <v>10045</v>
      </c>
      <c r="E178" s="285" t="s">
        <v>6933</v>
      </c>
      <c r="F178" s="285" t="s">
        <v>10348</v>
      </c>
      <c r="G178" s="285" t="s">
        <v>10349</v>
      </c>
      <c r="H178" s="285" t="s">
        <v>9691</v>
      </c>
      <c r="I178" s="285" t="s">
        <v>10350</v>
      </c>
      <c r="J178" s="285" t="s">
        <v>5012</v>
      </c>
      <c r="K178" s="285" t="s">
        <v>10114</v>
      </c>
      <c r="L178" s="285" t="s">
        <v>832</v>
      </c>
      <c r="M178" s="285" t="s">
        <v>9383</v>
      </c>
      <c r="N178" s="287" t="str">
        <f>IFERROR(
    IF(
        AND(
            VLOOKUP(B178, 'รายชื่อพนักงานลาออกพ้นสภาพ'!B:I, 8, FALSE)&lt;&gt;"ยกเลิกลาออก",
            VLOOKUP(B178, 'รายชื่อพนักงานลาออกพ้นสภาพ'!B:I, 7, FALSE)&lt;=TODAY()
        ),
        "ลาออกแล้ว",
        ""
    ),
"")</f>
        <v/>
      </c>
      <c r="O178" s="292" t="str">
        <f t="array" ref="O178">IFERROR(INDEX(PCRent!C:D, MATCH(F178 &amp; " " &amp; G178, PCRent!A:A &amp; " " &amp; PCRent!B:B, 0)), "")</f>
        <v/>
      </c>
      <c r="P178" s="293"/>
      <c r="Q178" s="294" t="str">
        <f t="array" ref="Q178">IFERROR(INDEX(MonitorRent!C:D, MATCH(F178 &amp; " " &amp; G178, MonitorRent!A:A &amp; " " &amp; MonitorRent!B:B, 0)), "")</f>
        <v/>
      </c>
      <c r="R178" s="295"/>
    </row>
    <row r="179">
      <c r="A179" s="284">
        <v>176.0</v>
      </c>
      <c r="B179" s="285" t="s">
        <v>398</v>
      </c>
      <c r="C179" s="285" t="s">
        <v>10103</v>
      </c>
      <c r="D179" s="286" t="s">
        <v>10239</v>
      </c>
      <c r="E179" s="285" t="s">
        <v>6921</v>
      </c>
      <c r="F179" s="285" t="s">
        <v>10351</v>
      </c>
      <c r="G179" s="285" t="s">
        <v>10352</v>
      </c>
      <c r="H179" s="285" t="s">
        <v>9501</v>
      </c>
      <c r="I179" s="285" t="s">
        <v>400</v>
      </c>
      <c r="J179" s="285" t="s">
        <v>5012</v>
      </c>
      <c r="K179" s="285" t="s">
        <v>1606</v>
      </c>
      <c r="L179" s="285" t="s">
        <v>832</v>
      </c>
      <c r="M179" s="285" t="s">
        <v>9383</v>
      </c>
      <c r="N179" s="287" t="str">
        <f>IFERROR(
    IF(
        AND(
            VLOOKUP(B179, 'รายชื่อพนักงานลาออกพ้นสภาพ'!B:I, 8, FALSE)&lt;&gt;"ยกเลิกลาออก",
            VLOOKUP(B179, 'รายชื่อพนักงานลาออกพ้นสภาพ'!B:I, 7, FALSE)&lt;=TODAY()
        ),
        "ลาออกแล้ว",
        ""
    ),
"")</f>
        <v>ลาออกแล้ว</v>
      </c>
      <c r="O179" s="292" t="str">
        <f t="array" ref="O179">IFERROR(INDEX(PCRent!C:D, MATCH(F179 &amp; " " &amp; G179, PCRent!A:A &amp; " " &amp; PCRent!B:B, 0)), "")</f>
        <v/>
      </c>
      <c r="P179" s="293"/>
      <c r="Q179" s="294" t="str">
        <f t="array" ref="Q179">IFERROR(INDEX(MonitorRent!C:D, MATCH(F179 &amp; " " &amp; G179, MonitorRent!A:A &amp; " " &amp; MonitorRent!B:B, 0)), "")</f>
        <v/>
      </c>
      <c r="R179" s="295"/>
    </row>
    <row r="180">
      <c r="A180" s="284">
        <v>177.0</v>
      </c>
      <c r="B180" s="285" t="s">
        <v>10353</v>
      </c>
      <c r="C180" s="285" t="s">
        <v>10103</v>
      </c>
      <c r="D180" s="286" t="s">
        <v>10354</v>
      </c>
      <c r="E180" s="285" t="s">
        <v>6921</v>
      </c>
      <c r="F180" s="285" t="s">
        <v>10355</v>
      </c>
      <c r="G180" s="285" t="s">
        <v>10356</v>
      </c>
      <c r="H180" s="285" t="s">
        <v>10048</v>
      </c>
      <c r="I180" s="285" t="s">
        <v>10357</v>
      </c>
      <c r="J180" s="285" t="s">
        <v>5012</v>
      </c>
      <c r="K180" s="285" t="s">
        <v>1606</v>
      </c>
      <c r="L180" s="285" t="s">
        <v>832</v>
      </c>
      <c r="M180" s="285" t="s">
        <v>9383</v>
      </c>
      <c r="N180" s="287" t="str">
        <f>IFERROR(
    IF(
        AND(
            VLOOKUP(B180, 'รายชื่อพนักงานลาออกพ้นสภาพ'!B:I, 8, FALSE)&lt;&gt;"ยกเลิกลาออก",
            VLOOKUP(B180, 'รายชื่อพนักงานลาออกพ้นสภาพ'!B:I, 7, FALSE)&lt;=TODAY()
        ),
        "ลาออกแล้ว",
        ""
    ),
"")</f>
        <v/>
      </c>
      <c r="O180" s="292" t="str">
        <f t="array" ref="O180">IFERROR(INDEX(PCRent!C:D, MATCH(F180 &amp; " " &amp; G180, PCRent!A:A &amp; " " &amp; PCRent!B:B, 0)), "")</f>
        <v/>
      </c>
      <c r="P180" s="293"/>
      <c r="Q180" s="294" t="str">
        <f t="array" ref="Q180">IFERROR(INDEX(MonitorRent!C:D, MATCH(F180 &amp; " " &amp; G180, MonitorRent!A:A &amp; " " &amp; MonitorRent!B:B, 0)), "")</f>
        <v/>
      </c>
      <c r="R180" s="295"/>
    </row>
    <row r="181">
      <c r="A181" s="284">
        <v>178.0</v>
      </c>
      <c r="B181" s="285" t="s">
        <v>755</v>
      </c>
      <c r="C181" s="285" t="s">
        <v>10103</v>
      </c>
      <c r="D181" s="286" t="s">
        <v>10358</v>
      </c>
      <c r="E181" s="285" t="s">
        <v>6921</v>
      </c>
      <c r="F181" s="285" t="s">
        <v>10359</v>
      </c>
      <c r="G181" s="285" t="s">
        <v>10360</v>
      </c>
      <c r="H181" s="285" t="s">
        <v>10361</v>
      </c>
      <c r="I181" s="285" t="s">
        <v>757</v>
      </c>
      <c r="J181" s="285" t="s">
        <v>5012</v>
      </c>
      <c r="K181" s="285" t="s">
        <v>1606</v>
      </c>
      <c r="L181" s="285" t="s">
        <v>832</v>
      </c>
      <c r="M181" s="285" t="s">
        <v>9383</v>
      </c>
      <c r="N181" s="287" t="str">
        <f>IFERROR(
    IF(
        AND(
            VLOOKUP(B181, 'รายชื่อพนักงานลาออกพ้นสภาพ'!B:I, 8, FALSE)&lt;&gt;"ยกเลิกลาออก",
            VLOOKUP(B181, 'รายชื่อพนักงานลาออกพ้นสภาพ'!B:I, 7, FALSE)&lt;=TODAY()
        ),
        "ลาออกแล้ว",
        ""
    ),
"")</f>
        <v/>
      </c>
      <c r="O181" s="292" t="str">
        <f t="array" ref="O181">IFERROR(INDEX(PCRent!C:D, MATCH(F181 &amp; " " &amp; G181, PCRent!A:A &amp; " " &amp; PCRent!B:B, 0)), "")</f>
        <v/>
      </c>
      <c r="P181" s="293"/>
      <c r="Q181" s="294" t="str">
        <f t="array" ref="Q181">IFERROR(INDEX(MonitorRent!C:D, MATCH(F181 &amp; " " &amp; G181, MonitorRent!A:A &amp; " " &amp; MonitorRent!B:B, 0)), "")</f>
        <v/>
      </c>
      <c r="R181" s="295"/>
    </row>
    <row r="182">
      <c r="A182" s="284">
        <v>179.0</v>
      </c>
      <c r="B182" s="285" t="s">
        <v>10362</v>
      </c>
      <c r="C182" s="285" t="s">
        <v>10103</v>
      </c>
      <c r="D182" s="286" t="s">
        <v>9718</v>
      </c>
      <c r="E182" s="285" t="s">
        <v>6933</v>
      </c>
      <c r="F182" s="285" t="s">
        <v>10363</v>
      </c>
      <c r="G182" s="285" t="s">
        <v>10364</v>
      </c>
      <c r="H182" s="285" t="s">
        <v>10365</v>
      </c>
      <c r="I182" s="285" t="s">
        <v>10366</v>
      </c>
      <c r="J182" s="285" t="s">
        <v>5012</v>
      </c>
      <c r="K182" s="285" t="s">
        <v>10114</v>
      </c>
      <c r="L182" s="285" t="s">
        <v>832</v>
      </c>
      <c r="M182" s="285" t="s">
        <v>9391</v>
      </c>
      <c r="N182" s="287" t="str">
        <f>IFERROR(
    IF(
        AND(
            VLOOKUP(B182, 'รายชื่อพนักงานลาออกพ้นสภาพ'!B:I, 8, FALSE)&lt;&gt;"ยกเลิกลาออก",
            VLOOKUP(B182, 'รายชื่อพนักงานลาออกพ้นสภาพ'!B:I, 7, FALSE)&lt;=TODAY()
        ),
        "ลาออกแล้ว",
        ""
    ),
"")</f>
        <v/>
      </c>
      <c r="O182" s="292" t="str">
        <f t="array" ref="O182">IFERROR(INDEX(PCRent!C:D, MATCH(F182 &amp; " " &amp; G182, PCRent!A:A &amp; " " &amp; PCRent!B:B, 0)), "")</f>
        <v/>
      </c>
      <c r="P182" s="293"/>
      <c r="Q182" s="294" t="str">
        <f t="array" ref="Q182">IFERROR(INDEX(MonitorRent!C:D, MATCH(F182 &amp; " " &amp; G182, MonitorRent!A:A &amp; " " &amp; MonitorRent!B:B, 0)), "")</f>
        <v/>
      </c>
      <c r="R182" s="295"/>
    </row>
    <row r="183">
      <c r="A183" s="284">
        <v>180.0</v>
      </c>
      <c r="B183" s="285" t="s">
        <v>10367</v>
      </c>
      <c r="C183" s="285" t="s">
        <v>10103</v>
      </c>
      <c r="D183" s="286" t="s">
        <v>9644</v>
      </c>
      <c r="E183" s="285" t="s">
        <v>6921</v>
      </c>
      <c r="F183" s="285" t="s">
        <v>10368</v>
      </c>
      <c r="G183" s="285" t="s">
        <v>10369</v>
      </c>
      <c r="H183" s="285" t="s">
        <v>10370</v>
      </c>
      <c r="I183" s="285" t="s">
        <v>10371</v>
      </c>
      <c r="J183" s="285" t="s">
        <v>5012</v>
      </c>
      <c r="K183" s="285" t="s">
        <v>1492</v>
      </c>
      <c r="L183" s="285" t="s">
        <v>1258</v>
      </c>
      <c r="M183" s="285" t="s">
        <v>9383</v>
      </c>
      <c r="N183" s="287" t="str">
        <f>IFERROR(
    IF(
        AND(
            VLOOKUP(B183, 'รายชื่อพนักงานลาออกพ้นสภาพ'!B:I, 8, FALSE)&lt;&gt;"ยกเลิกลาออก",
            VLOOKUP(B183, 'รายชื่อพนักงานลาออกพ้นสภาพ'!B:I, 7, FALSE)&lt;=TODAY()
        ),
        "ลาออกแล้ว",
        ""
    ),
"")</f>
        <v/>
      </c>
      <c r="O183" s="292" t="str">
        <f t="array" ref="O183">IFERROR(INDEX(PCRent!C:D, MATCH(F183 &amp; " " &amp; G183, PCRent!A:A &amp; " " &amp; PCRent!B:B, 0)), "")</f>
        <v/>
      </c>
      <c r="P183" s="293"/>
      <c r="Q183" s="294" t="str">
        <f t="array" ref="Q183">IFERROR(INDEX(MonitorRent!C:D, MATCH(F183 &amp; " " &amp; G183, MonitorRent!A:A &amp; " " &amp; MonitorRent!B:B, 0)), "")</f>
        <v/>
      </c>
      <c r="R183" s="295"/>
    </row>
    <row r="184">
      <c r="A184" s="284">
        <v>181.0</v>
      </c>
      <c r="B184" s="285" t="s">
        <v>849</v>
      </c>
      <c r="C184" s="285" t="s">
        <v>10103</v>
      </c>
      <c r="D184" s="286" t="s">
        <v>10372</v>
      </c>
      <c r="E184" s="285" t="s">
        <v>6933</v>
      </c>
      <c r="F184" s="285" t="s">
        <v>9536</v>
      </c>
      <c r="G184" s="285" t="s">
        <v>10373</v>
      </c>
      <c r="H184" s="285" t="s">
        <v>10374</v>
      </c>
      <c r="I184" s="285" t="s">
        <v>851</v>
      </c>
      <c r="J184" s="285" t="s">
        <v>5012</v>
      </c>
      <c r="K184" s="285" t="s">
        <v>1417</v>
      </c>
      <c r="L184" s="285" t="s">
        <v>832</v>
      </c>
      <c r="M184" s="285" t="s">
        <v>9383</v>
      </c>
      <c r="N184" s="287" t="str">
        <f>IFERROR(
    IF(
        AND(
            VLOOKUP(B184, 'รายชื่อพนักงานลาออกพ้นสภาพ'!B:I, 8, FALSE)&lt;&gt;"ยกเลิกลาออก",
            VLOOKUP(B184, 'รายชื่อพนักงานลาออกพ้นสภาพ'!B:I, 7, FALSE)&lt;=TODAY()
        ),
        "ลาออกแล้ว",
        ""
    ),
"")</f>
        <v>ลาออกแล้ว</v>
      </c>
      <c r="O184" s="292" t="str">
        <f t="array" ref="O184">IFERROR(INDEX(PCRent!C:D, MATCH(F184 &amp; " " &amp; G184, PCRent!A:A &amp; " " &amp; PCRent!B:B, 0)), "")</f>
        <v/>
      </c>
      <c r="P184" s="293"/>
      <c r="Q184" s="294" t="str">
        <f t="array" ref="Q184">IFERROR(INDEX(MonitorRent!C:D, MATCH(F184 &amp; " " &amp; G184, MonitorRent!A:A &amp; " " &amp; MonitorRent!B:B, 0)), "")</f>
        <v/>
      </c>
      <c r="R184" s="295"/>
    </row>
    <row r="185">
      <c r="A185" s="284">
        <v>182.0</v>
      </c>
      <c r="B185" s="285" t="s">
        <v>10375</v>
      </c>
      <c r="C185" s="285" t="s">
        <v>10103</v>
      </c>
      <c r="D185" s="286" t="s">
        <v>10132</v>
      </c>
      <c r="E185" s="285" t="s">
        <v>6933</v>
      </c>
      <c r="F185" s="285" t="s">
        <v>10376</v>
      </c>
      <c r="G185" s="285" t="s">
        <v>10377</v>
      </c>
      <c r="H185" s="285" t="s">
        <v>10378</v>
      </c>
      <c r="I185" s="285" t="s">
        <v>10379</v>
      </c>
      <c r="J185" s="285" t="s">
        <v>5012</v>
      </c>
      <c r="K185" s="285" t="s">
        <v>10114</v>
      </c>
      <c r="L185" s="285" t="s">
        <v>832</v>
      </c>
      <c r="M185" s="285" t="s">
        <v>9383</v>
      </c>
      <c r="N185" s="287" t="str">
        <f>IFERROR(
    IF(
        AND(
            VLOOKUP(B185, 'รายชื่อพนักงานลาออกพ้นสภาพ'!B:I, 8, FALSE)&lt;&gt;"ยกเลิกลาออก",
            VLOOKUP(B185, 'รายชื่อพนักงานลาออกพ้นสภาพ'!B:I, 7, FALSE)&lt;=TODAY()
        ),
        "ลาออกแล้ว",
        ""
    ),
"")</f>
        <v/>
      </c>
      <c r="O185" s="292" t="str">
        <f t="array" ref="O185">IFERROR(INDEX(PCRent!C:D, MATCH(F185 &amp; " " &amp; G185, PCRent!A:A &amp; " " &amp; PCRent!B:B, 0)), "")</f>
        <v/>
      </c>
      <c r="P185" s="293"/>
      <c r="Q185" s="294" t="str">
        <f t="array" ref="Q185">IFERROR(INDEX(MonitorRent!C:D, MATCH(F185 &amp; " " &amp; G185, MonitorRent!A:A &amp; " " &amp; MonitorRent!B:B, 0)), "")</f>
        <v/>
      </c>
      <c r="R185" s="295"/>
    </row>
    <row r="186">
      <c r="A186" s="284">
        <v>183.0</v>
      </c>
      <c r="B186" s="285" t="s">
        <v>10380</v>
      </c>
      <c r="C186" s="285" t="s">
        <v>10103</v>
      </c>
      <c r="D186" s="286" t="s">
        <v>9644</v>
      </c>
      <c r="E186" s="285" t="s">
        <v>6933</v>
      </c>
      <c r="F186" s="285" t="s">
        <v>10381</v>
      </c>
      <c r="G186" s="285" t="s">
        <v>10382</v>
      </c>
      <c r="H186" s="285" t="s">
        <v>10383</v>
      </c>
      <c r="I186" s="285" t="s">
        <v>10384</v>
      </c>
      <c r="J186" s="285" t="s">
        <v>5012</v>
      </c>
      <c r="K186" s="285" t="s">
        <v>5638</v>
      </c>
      <c r="L186" s="285" t="s">
        <v>832</v>
      </c>
      <c r="M186" s="285" t="s">
        <v>9383</v>
      </c>
      <c r="N186" s="287" t="str">
        <f>IFERROR(
    IF(
        AND(
            VLOOKUP(B186, 'รายชื่อพนักงานลาออกพ้นสภาพ'!B:I, 8, FALSE)&lt;&gt;"ยกเลิกลาออก",
            VLOOKUP(B186, 'รายชื่อพนักงานลาออกพ้นสภาพ'!B:I, 7, FALSE)&lt;=TODAY()
        ),
        "ลาออกแล้ว",
        ""
    ),
"")</f>
        <v/>
      </c>
      <c r="O186" s="292" t="str">
        <f t="array" ref="O186">IFERROR(INDEX(PCRent!C:D, MATCH(F186 &amp; " " &amp; G186, PCRent!A:A &amp; " " &amp; PCRent!B:B, 0)), "")</f>
        <v/>
      </c>
      <c r="P186" s="293"/>
      <c r="Q186" s="294" t="str">
        <f t="array" ref="Q186">IFERROR(INDEX(MonitorRent!C:D, MATCH(F186 &amp; " " &amp; G186, MonitorRent!A:A &amp; " " &amp; MonitorRent!B:B, 0)), "")</f>
        <v/>
      </c>
      <c r="R186" s="295"/>
    </row>
    <row r="187">
      <c r="A187" s="284">
        <v>184.0</v>
      </c>
      <c r="B187" s="285" t="s">
        <v>10385</v>
      </c>
      <c r="C187" s="285" t="s">
        <v>10103</v>
      </c>
      <c r="D187" s="286" t="s">
        <v>10386</v>
      </c>
      <c r="E187" s="285" t="s">
        <v>6921</v>
      </c>
      <c r="F187" s="285" t="s">
        <v>10387</v>
      </c>
      <c r="G187" s="285" t="s">
        <v>10388</v>
      </c>
      <c r="H187" s="285" t="s">
        <v>10389</v>
      </c>
      <c r="I187" s="285" t="s">
        <v>10390</v>
      </c>
      <c r="J187" s="285" t="s">
        <v>5224</v>
      </c>
      <c r="K187" s="285" t="s">
        <v>4835</v>
      </c>
      <c r="L187" s="285" t="s">
        <v>832</v>
      </c>
      <c r="M187" s="285" t="s">
        <v>9383</v>
      </c>
      <c r="N187" s="287" t="str">
        <f>IFERROR(
    IF(
        AND(
            VLOOKUP(B187, 'รายชื่อพนักงานลาออกพ้นสภาพ'!B:I, 8, FALSE)&lt;&gt;"ยกเลิกลาออก",
            VLOOKUP(B187, 'รายชื่อพนักงานลาออกพ้นสภาพ'!B:I, 7, FALSE)&lt;=TODAY()
        ),
        "ลาออกแล้ว",
        ""
    ),
"")</f>
        <v/>
      </c>
      <c r="O187" s="292" t="str">
        <f t="array" ref="O187:P187">IFERROR(INDEX(PCRent!C:D, MATCH(F187 &amp; " " &amp; G187, PCRent!A:A &amp; " " &amp; PCRent!B:B, 0)), "")</f>
        <v>SN:MP2E2SWF</v>
      </c>
      <c r="P187" s="293" t="s">
        <v>6993</v>
      </c>
      <c r="Q187" s="294" t="str">
        <f t="array" ref="Q187">IFERROR(INDEX(MonitorRent!C:D, MATCH(F187 &amp; " " &amp; G187, MonitorRent!A:A &amp; " " &amp; MonitorRent!B:B, 0)), "")</f>
        <v/>
      </c>
      <c r="R187" s="295"/>
    </row>
    <row r="188">
      <c r="A188" s="284">
        <v>185.0</v>
      </c>
      <c r="B188" s="285" t="s">
        <v>10391</v>
      </c>
      <c r="C188" s="285" t="s">
        <v>10103</v>
      </c>
      <c r="D188" s="286" t="s">
        <v>10045</v>
      </c>
      <c r="E188" s="285" t="s">
        <v>6933</v>
      </c>
      <c r="F188" s="285" t="s">
        <v>10392</v>
      </c>
      <c r="G188" s="285" t="s">
        <v>10393</v>
      </c>
      <c r="H188" s="285" t="s">
        <v>10323</v>
      </c>
      <c r="I188" s="285" t="s">
        <v>10394</v>
      </c>
      <c r="J188" s="285" t="s">
        <v>5012</v>
      </c>
      <c r="K188" s="285" t="s">
        <v>1412</v>
      </c>
      <c r="L188" s="285" t="s">
        <v>10127</v>
      </c>
      <c r="M188" s="285" t="s">
        <v>9383</v>
      </c>
      <c r="N188" s="287" t="str">
        <f>IFERROR(
    IF(
        AND(
            VLOOKUP(B188, 'รายชื่อพนักงานลาออกพ้นสภาพ'!B:I, 8, FALSE)&lt;&gt;"ยกเลิกลาออก",
            VLOOKUP(B188, 'รายชื่อพนักงานลาออกพ้นสภาพ'!B:I, 7, FALSE)&lt;=TODAY()
        ),
        "ลาออกแล้ว",
        ""
    ),
"")</f>
        <v/>
      </c>
      <c r="O188" s="292" t="str">
        <f t="array" ref="O188">IFERROR(INDEX(PCRent!C:D, MATCH(F188 &amp; " " &amp; G188, PCRent!A:A &amp; " " &amp; PCRent!B:B, 0)), "")</f>
        <v/>
      </c>
      <c r="P188" s="293"/>
      <c r="Q188" s="294" t="str">
        <f t="array" ref="Q188">IFERROR(INDEX(MonitorRent!C:D, MATCH(F188 &amp; " " &amp; G188, MonitorRent!A:A &amp; " " &amp; MonitorRent!B:B, 0)), "")</f>
        <v/>
      </c>
      <c r="R188" s="295"/>
    </row>
    <row r="189">
      <c r="A189" s="284">
        <v>186.0</v>
      </c>
      <c r="B189" s="285" t="s">
        <v>10395</v>
      </c>
      <c r="C189" s="285" t="s">
        <v>10103</v>
      </c>
      <c r="D189" s="286" t="s">
        <v>10396</v>
      </c>
      <c r="E189" s="285" t="s">
        <v>6933</v>
      </c>
      <c r="F189" s="285" t="s">
        <v>10397</v>
      </c>
      <c r="G189" s="285" t="s">
        <v>10398</v>
      </c>
      <c r="H189" s="285" t="s">
        <v>10399</v>
      </c>
      <c r="I189" s="285" t="s">
        <v>10400</v>
      </c>
      <c r="J189" s="285" t="s">
        <v>5012</v>
      </c>
      <c r="K189" s="285" t="s">
        <v>10114</v>
      </c>
      <c r="L189" s="285" t="s">
        <v>832</v>
      </c>
      <c r="M189" s="285" t="s">
        <v>9383</v>
      </c>
      <c r="N189" s="287" t="str">
        <f>IFERROR(
    IF(
        AND(
            VLOOKUP(B189, 'รายชื่อพนักงานลาออกพ้นสภาพ'!B:I, 8, FALSE)&lt;&gt;"ยกเลิกลาออก",
            VLOOKUP(B189, 'รายชื่อพนักงานลาออกพ้นสภาพ'!B:I, 7, FALSE)&lt;=TODAY()
        ),
        "ลาออกแล้ว",
        ""
    ),
"")</f>
        <v/>
      </c>
      <c r="O189" s="292" t="str">
        <f t="array" ref="O189">IFERROR(INDEX(PCRent!C:D, MATCH(F189 &amp; " " &amp; G189, PCRent!A:A &amp; " " &amp; PCRent!B:B, 0)), "")</f>
        <v/>
      </c>
      <c r="P189" s="293"/>
      <c r="Q189" s="294" t="str">
        <f t="array" ref="Q189">IFERROR(INDEX(MonitorRent!C:D, MATCH(F189 &amp; " " &amp; G189, MonitorRent!A:A &amp; " " &amp; MonitorRent!B:B, 0)), "")</f>
        <v/>
      </c>
      <c r="R189" s="295"/>
    </row>
    <row r="190">
      <c r="A190" s="284">
        <v>187.0</v>
      </c>
      <c r="B190" s="285" t="s">
        <v>10401</v>
      </c>
      <c r="C190" s="285" t="s">
        <v>10103</v>
      </c>
      <c r="D190" s="286" t="s">
        <v>10402</v>
      </c>
      <c r="E190" s="285" t="s">
        <v>6933</v>
      </c>
      <c r="F190" s="285" t="s">
        <v>10403</v>
      </c>
      <c r="G190" s="285" t="s">
        <v>9636</v>
      </c>
      <c r="H190" s="285" t="s">
        <v>9380</v>
      </c>
      <c r="I190" s="285" t="s">
        <v>10404</v>
      </c>
      <c r="J190" s="285" t="s">
        <v>5012</v>
      </c>
      <c r="K190" s="285" t="s">
        <v>10405</v>
      </c>
      <c r="L190" s="285" t="s">
        <v>832</v>
      </c>
      <c r="M190" s="285" t="s">
        <v>9383</v>
      </c>
      <c r="N190" s="287" t="str">
        <f>IFERROR(
    IF(
        AND(
            VLOOKUP(B190, 'รายชื่อพนักงานลาออกพ้นสภาพ'!B:I, 8, FALSE)&lt;&gt;"ยกเลิกลาออก",
            VLOOKUP(B190, 'รายชื่อพนักงานลาออกพ้นสภาพ'!B:I, 7, FALSE)&lt;=TODAY()
        ),
        "ลาออกแล้ว",
        ""
    ),
"")</f>
        <v/>
      </c>
      <c r="O190" s="292" t="str">
        <f t="array" ref="O190">IFERROR(INDEX(PCRent!C:D, MATCH(F190 &amp; " " &amp; G190, PCRent!A:A &amp; " " &amp; PCRent!B:B, 0)), "")</f>
        <v/>
      </c>
      <c r="P190" s="293"/>
      <c r="Q190" s="294" t="str">
        <f t="array" ref="Q190">IFERROR(INDEX(MonitorRent!C:D, MATCH(F190 &amp; " " &amp; G190, MonitorRent!A:A &amp; " " &amp; MonitorRent!B:B, 0)), "")</f>
        <v/>
      </c>
      <c r="R190" s="295"/>
    </row>
    <row r="191">
      <c r="A191" s="284">
        <v>188.0</v>
      </c>
      <c r="B191" s="285" t="s">
        <v>10406</v>
      </c>
      <c r="C191" s="285" t="s">
        <v>10103</v>
      </c>
      <c r="D191" s="286" t="s">
        <v>10407</v>
      </c>
      <c r="E191" s="285" t="s">
        <v>6921</v>
      </c>
      <c r="F191" s="285" t="s">
        <v>10408</v>
      </c>
      <c r="G191" s="285" t="s">
        <v>10409</v>
      </c>
      <c r="H191" s="285" t="s">
        <v>10410</v>
      </c>
      <c r="I191" s="285" t="s">
        <v>10411</v>
      </c>
      <c r="J191" s="285" t="s">
        <v>5012</v>
      </c>
      <c r="K191" s="285" t="s">
        <v>1606</v>
      </c>
      <c r="L191" s="285" t="s">
        <v>832</v>
      </c>
      <c r="M191" s="285" t="s">
        <v>9391</v>
      </c>
      <c r="N191" s="287" t="str">
        <f>IFERROR(
    IF(
        AND(
            VLOOKUP(B191, 'รายชื่อพนักงานลาออกพ้นสภาพ'!B:I, 8, FALSE)&lt;&gt;"ยกเลิกลาออก",
            VLOOKUP(B191, 'รายชื่อพนักงานลาออกพ้นสภาพ'!B:I, 7, FALSE)&lt;=TODAY()
        ),
        "ลาออกแล้ว",
        ""
    ),
"")</f>
        <v/>
      </c>
      <c r="O191" s="292" t="str">
        <f t="array" ref="O191">IFERROR(INDEX(PCRent!C:D, MATCH(F191 &amp; " " &amp; G191, PCRent!A:A &amp; " " &amp; PCRent!B:B, 0)), "")</f>
        <v/>
      </c>
      <c r="P191" s="293"/>
      <c r="Q191" s="294" t="str">
        <f t="array" ref="Q191">IFERROR(INDEX(MonitorRent!C:D, MATCH(F191 &amp; " " &amp; G191, MonitorRent!A:A &amp; " " &amp; MonitorRent!B:B, 0)), "")</f>
        <v/>
      </c>
      <c r="R191" s="295"/>
    </row>
    <row r="192">
      <c r="A192" s="284">
        <v>189.0</v>
      </c>
      <c r="B192" s="285" t="s">
        <v>771</v>
      </c>
      <c r="C192" s="285" t="s">
        <v>10103</v>
      </c>
      <c r="D192" s="286" t="s">
        <v>10412</v>
      </c>
      <c r="E192" s="285" t="s">
        <v>6933</v>
      </c>
      <c r="F192" s="285" t="s">
        <v>10413</v>
      </c>
      <c r="G192" s="285" t="s">
        <v>10414</v>
      </c>
      <c r="H192" s="285" t="s">
        <v>10415</v>
      </c>
      <c r="I192" s="285" t="s">
        <v>773</v>
      </c>
      <c r="J192" s="285" t="s">
        <v>5012</v>
      </c>
      <c r="K192" s="285" t="s">
        <v>10114</v>
      </c>
      <c r="L192" s="285" t="s">
        <v>10127</v>
      </c>
      <c r="M192" s="285" t="s">
        <v>9383</v>
      </c>
      <c r="N192" s="287" t="str">
        <f>IFERROR(
    IF(
        AND(
            VLOOKUP(B192, 'รายชื่อพนักงานลาออกพ้นสภาพ'!B:I, 8, FALSE)&lt;&gt;"ยกเลิกลาออก",
            VLOOKUP(B192, 'รายชื่อพนักงานลาออกพ้นสภาพ'!B:I, 7, FALSE)&lt;=TODAY()
        ),
        "ลาออกแล้ว",
        ""
    ),
"")</f>
        <v>ลาออกแล้ว</v>
      </c>
      <c r="O192" s="292" t="str">
        <f t="array" ref="O192">IFERROR(INDEX(PCRent!C:D, MATCH(F192 &amp; " " &amp; G192, PCRent!A:A &amp; " " &amp; PCRent!B:B, 0)), "")</f>
        <v/>
      </c>
      <c r="P192" s="293"/>
      <c r="Q192" s="294" t="str">
        <f t="array" ref="Q192">IFERROR(INDEX(MonitorRent!C:D, MATCH(F192 &amp; " " &amp; G192, MonitorRent!A:A &amp; " " &amp; MonitorRent!B:B, 0)), "")</f>
        <v/>
      </c>
      <c r="R192" s="295"/>
    </row>
    <row r="193">
      <c r="A193" s="284">
        <v>190.0</v>
      </c>
      <c r="B193" s="285" t="s">
        <v>10416</v>
      </c>
      <c r="C193" s="285" t="s">
        <v>10103</v>
      </c>
      <c r="D193" s="286" t="s">
        <v>10417</v>
      </c>
      <c r="E193" s="285" t="s">
        <v>6921</v>
      </c>
      <c r="F193" s="285" t="s">
        <v>10418</v>
      </c>
      <c r="G193" s="285" t="s">
        <v>10419</v>
      </c>
      <c r="H193" s="285" t="s">
        <v>10420</v>
      </c>
      <c r="I193" s="285" t="s">
        <v>10421</v>
      </c>
      <c r="J193" s="285" t="s">
        <v>5012</v>
      </c>
      <c r="K193" s="285" t="s">
        <v>4756</v>
      </c>
      <c r="L193" s="285" t="s">
        <v>10163</v>
      </c>
      <c r="M193" s="285" t="s">
        <v>9383</v>
      </c>
      <c r="N193" s="287" t="str">
        <f>IFERROR(
    IF(
        AND(
            VLOOKUP(B193, 'รายชื่อพนักงานลาออกพ้นสภาพ'!B:I, 8, FALSE)&lt;&gt;"ยกเลิกลาออก",
            VLOOKUP(B193, 'รายชื่อพนักงานลาออกพ้นสภาพ'!B:I, 7, FALSE)&lt;=TODAY()
        ),
        "ลาออกแล้ว",
        ""
    ),
"")</f>
        <v/>
      </c>
      <c r="O193" s="292" t="str">
        <f t="array" ref="O193">IFERROR(INDEX(PCRent!C:D, MATCH(F193 &amp; " " &amp; G193, PCRent!A:A &amp; " " &amp; PCRent!B:B, 0)), "")</f>
        <v/>
      </c>
      <c r="P193" s="293"/>
      <c r="Q193" s="294" t="str">
        <f t="array" ref="Q193">IFERROR(INDEX(MonitorRent!C:D, MATCH(F193 &amp; " " &amp; G193, MonitorRent!A:A &amp; " " &amp; MonitorRent!B:B, 0)), "")</f>
        <v/>
      </c>
      <c r="R193" s="295"/>
    </row>
    <row r="194">
      <c r="A194" s="284">
        <v>191.0</v>
      </c>
      <c r="B194" s="285" t="s">
        <v>10422</v>
      </c>
      <c r="C194" s="285" t="s">
        <v>10103</v>
      </c>
      <c r="D194" s="286" t="s">
        <v>9780</v>
      </c>
      <c r="E194" s="285" t="s">
        <v>6933</v>
      </c>
      <c r="F194" s="285" t="s">
        <v>10423</v>
      </c>
      <c r="G194" s="285" t="s">
        <v>10424</v>
      </c>
      <c r="H194" s="285" t="s">
        <v>10425</v>
      </c>
      <c r="I194" s="285" t="s">
        <v>10426</v>
      </c>
      <c r="J194" s="285" t="s">
        <v>5012</v>
      </c>
      <c r="K194" s="285" t="s">
        <v>10114</v>
      </c>
      <c r="L194" s="285" t="s">
        <v>832</v>
      </c>
      <c r="M194" s="285" t="s">
        <v>9391</v>
      </c>
      <c r="N194" s="287" t="str">
        <f>IFERROR(
    IF(
        AND(
            VLOOKUP(B194, 'รายชื่อพนักงานลาออกพ้นสภาพ'!B:I, 8, FALSE)&lt;&gt;"ยกเลิกลาออก",
            VLOOKUP(B194, 'รายชื่อพนักงานลาออกพ้นสภาพ'!B:I, 7, FALSE)&lt;=TODAY()
        ),
        "ลาออกแล้ว",
        ""
    ),
"")</f>
        <v/>
      </c>
      <c r="O194" s="292" t="str">
        <f t="array" ref="O194">IFERROR(INDEX(PCRent!C:D, MATCH(F194 &amp; " " &amp; G194, PCRent!A:A &amp; " " &amp; PCRent!B:B, 0)), "")</f>
        <v/>
      </c>
      <c r="P194" s="293"/>
      <c r="Q194" s="294" t="str">
        <f t="array" ref="Q194">IFERROR(INDEX(MonitorRent!C:D, MATCH(F194 &amp; " " &amp; G194, MonitorRent!A:A &amp; " " &amp; MonitorRent!B:B, 0)), "")</f>
        <v/>
      </c>
      <c r="R194" s="295"/>
    </row>
    <row r="195">
      <c r="A195" s="284">
        <v>192.0</v>
      </c>
      <c r="B195" s="285" t="s">
        <v>837</v>
      </c>
      <c r="C195" s="285" t="s">
        <v>10103</v>
      </c>
      <c r="D195" s="286" t="s">
        <v>10427</v>
      </c>
      <c r="E195" s="285" t="s">
        <v>6933</v>
      </c>
      <c r="F195" s="285" t="s">
        <v>10428</v>
      </c>
      <c r="G195" s="285" t="s">
        <v>10429</v>
      </c>
      <c r="H195" s="285" t="s">
        <v>10430</v>
      </c>
      <c r="I195" s="285" t="s">
        <v>839</v>
      </c>
      <c r="J195" s="285" t="s">
        <v>5012</v>
      </c>
      <c r="K195" s="285" t="s">
        <v>1606</v>
      </c>
      <c r="L195" s="285" t="s">
        <v>10127</v>
      </c>
      <c r="M195" s="285" t="s">
        <v>9383</v>
      </c>
      <c r="N195" s="287" t="str">
        <f>IFERROR(
    IF(
        AND(
            VLOOKUP(B195, 'รายชื่อพนักงานลาออกพ้นสภาพ'!B:I, 8, FALSE)&lt;&gt;"ยกเลิกลาออก",
            VLOOKUP(B195, 'รายชื่อพนักงานลาออกพ้นสภาพ'!B:I, 7, FALSE)&lt;=TODAY()
        ),
        "ลาออกแล้ว",
        ""
    ),
"")</f>
        <v/>
      </c>
      <c r="O195" s="292" t="str">
        <f t="array" ref="O195">IFERROR(INDEX(PCRent!C:D, MATCH(F195 &amp; " " &amp; G195, PCRent!A:A &amp; " " &amp; PCRent!B:B, 0)), "")</f>
        <v/>
      </c>
      <c r="P195" s="293"/>
      <c r="Q195" s="294" t="str">
        <f t="array" ref="Q195">IFERROR(INDEX(MonitorRent!C:D, MATCH(F195 &amp; " " &amp; G195, MonitorRent!A:A &amp; " " &amp; MonitorRent!B:B, 0)), "")</f>
        <v/>
      </c>
      <c r="R195" s="295"/>
    </row>
    <row r="196">
      <c r="A196" s="284">
        <v>193.0</v>
      </c>
      <c r="B196" s="285" t="s">
        <v>10431</v>
      </c>
      <c r="C196" s="285" t="s">
        <v>10103</v>
      </c>
      <c r="D196" s="286" t="s">
        <v>10432</v>
      </c>
      <c r="E196" s="285" t="s">
        <v>6921</v>
      </c>
      <c r="F196" s="285" t="s">
        <v>10433</v>
      </c>
      <c r="G196" s="285" t="s">
        <v>10434</v>
      </c>
      <c r="H196" s="285" t="s">
        <v>10435</v>
      </c>
      <c r="I196" s="285" t="s">
        <v>10436</v>
      </c>
      <c r="J196" s="285" t="s">
        <v>5224</v>
      </c>
      <c r="K196" s="285" t="s">
        <v>10437</v>
      </c>
      <c r="L196" s="285" t="s">
        <v>10438</v>
      </c>
      <c r="M196" s="285" t="s">
        <v>9383</v>
      </c>
      <c r="N196" s="287" t="str">
        <f>IFERROR(
    IF(
        AND(
            VLOOKUP(B196, 'รายชื่อพนักงานลาออกพ้นสภาพ'!B:I, 8, FALSE)&lt;&gt;"ยกเลิกลาออก",
            VLOOKUP(B196, 'รายชื่อพนักงานลาออกพ้นสภาพ'!B:I, 7, FALSE)&lt;=TODAY()
        ),
        "ลาออกแล้ว",
        ""
    ),
"")</f>
        <v/>
      </c>
      <c r="O196" s="292" t="str">
        <f t="array" ref="O196:P196">IFERROR(INDEX(PCRent!C:D, MATCH(F196 &amp; " " &amp; G196, PCRent!A:A &amp; " " &amp; PCRent!B:B, 0)), "")</f>
        <v>SN:MP2M8JJC</v>
      </c>
      <c r="P196" s="293" t="s">
        <v>7248</v>
      </c>
      <c r="Q196" s="294" t="str">
        <f t="array" ref="Q196">IFERROR(INDEX(MonitorRent!C:D, MATCH(F196 &amp; " " &amp; G196, MonitorRent!A:A &amp; " " &amp; MonitorRent!B:B, 0)), "")</f>
        <v/>
      </c>
      <c r="R196" s="295"/>
    </row>
    <row r="197">
      <c r="A197" s="284">
        <v>194.0</v>
      </c>
      <c r="B197" s="285" t="s">
        <v>10439</v>
      </c>
      <c r="C197" s="285" t="s">
        <v>10103</v>
      </c>
      <c r="D197" s="286" t="s">
        <v>10338</v>
      </c>
      <c r="E197" s="285" t="s">
        <v>6921</v>
      </c>
      <c r="F197" s="285" t="s">
        <v>10433</v>
      </c>
      <c r="G197" s="285" t="s">
        <v>10440</v>
      </c>
      <c r="H197" s="285" t="s">
        <v>10441</v>
      </c>
      <c r="I197" s="285" t="s">
        <v>10442</v>
      </c>
      <c r="J197" s="285" t="s">
        <v>5012</v>
      </c>
      <c r="K197" s="285" t="s">
        <v>1606</v>
      </c>
      <c r="L197" s="285" t="s">
        <v>10127</v>
      </c>
      <c r="M197" s="285" t="s">
        <v>9391</v>
      </c>
      <c r="N197" s="287" t="str">
        <f>IFERROR(
    IF(
        AND(
            VLOOKUP(B197, 'รายชื่อพนักงานลาออกพ้นสภาพ'!B:I, 8, FALSE)&lt;&gt;"ยกเลิกลาออก",
            VLOOKUP(B197, 'รายชื่อพนักงานลาออกพ้นสภาพ'!B:I, 7, FALSE)&lt;=TODAY()
        ),
        "ลาออกแล้ว",
        ""
    ),
"")</f>
        <v/>
      </c>
      <c r="O197" s="292" t="str">
        <f t="array" ref="O197">IFERROR(INDEX(PCRent!C:D, MATCH(F197 &amp; " " &amp; G197, PCRent!A:A &amp; " " &amp; PCRent!B:B, 0)), "")</f>
        <v/>
      </c>
      <c r="P197" s="293"/>
      <c r="Q197" s="294" t="str">
        <f t="array" ref="Q197">IFERROR(INDEX(MonitorRent!C:D, MATCH(F197 &amp; " " &amp; G197, MonitorRent!A:A &amp; " " &amp; MonitorRent!B:B, 0)), "")</f>
        <v/>
      </c>
      <c r="R197" s="295"/>
    </row>
    <row r="198">
      <c r="A198" s="284">
        <v>195.0</v>
      </c>
      <c r="B198" s="285" t="s">
        <v>737</v>
      </c>
      <c r="C198" s="285" t="s">
        <v>10103</v>
      </c>
      <c r="D198" s="286" t="s">
        <v>10063</v>
      </c>
      <c r="E198" s="285" t="s">
        <v>6921</v>
      </c>
      <c r="F198" s="285" t="s">
        <v>9548</v>
      </c>
      <c r="G198" s="285" t="s">
        <v>10443</v>
      </c>
      <c r="H198" s="285" t="s">
        <v>10444</v>
      </c>
      <c r="I198" s="285" t="s">
        <v>739</v>
      </c>
      <c r="J198" s="285" t="s">
        <v>5012</v>
      </c>
      <c r="K198" s="285" t="s">
        <v>1606</v>
      </c>
      <c r="L198" s="285" t="s">
        <v>832</v>
      </c>
      <c r="M198" s="285" t="s">
        <v>9391</v>
      </c>
      <c r="N198" s="287" t="str">
        <f>IFERROR(
    IF(
        AND(
            VLOOKUP(B198, 'รายชื่อพนักงานลาออกพ้นสภาพ'!B:I, 8, FALSE)&lt;&gt;"ยกเลิกลาออก",
            VLOOKUP(B198, 'รายชื่อพนักงานลาออกพ้นสภาพ'!B:I, 7, FALSE)&lt;=TODAY()
        ),
        "ลาออกแล้ว",
        ""
    ),
"")</f>
        <v>ลาออกแล้ว</v>
      </c>
      <c r="O198" s="292" t="str">
        <f t="array" ref="O198">IFERROR(INDEX(PCRent!C:D, MATCH(F198 &amp; " " &amp; G198, PCRent!A:A &amp; " " &amp; PCRent!B:B, 0)), "")</f>
        <v/>
      </c>
      <c r="P198" s="293"/>
      <c r="Q198" s="294" t="str">
        <f t="array" ref="Q198">IFERROR(INDEX(MonitorRent!C:D, MATCH(F198 &amp; " " &amp; G198, MonitorRent!A:A &amp; " " &amp; MonitorRent!B:B, 0)), "")</f>
        <v/>
      </c>
      <c r="R198" s="295"/>
    </row>
    <row r="199">
      <c r="A199" s="284">
        <v>196.0</v>
      </c>
      <c r="B199" s="285" t="s">
        <v>10445</v>
      </c>
      <c r="C199" s="285" t="s">
        <v>10103</v>
      </c>
      <c r="D199" s="286" t="s">
        <v>9729</v>
      </c>
      <c r="E199" s="285" t="s">
        <v>6933</v>
      </c>
      <c r="F199" s="285" t="s">
        <v>10446</v>
      </c>
      <c r="G199" s="285" t="s">
        <v>10447</v>
      </c>
      <c r="H199" s="285" t="s">
        <v>9479</v>
      </c>
      <c r="I199" s="285" t="s">
        <v>10448</v>
      </c>
      <c r="J199" s="285" t="s">
        <v>5224</v>
      </c>
      <c r="K199" s="285" t="s">
        <v>10056</v>
      </c>
      <c r="L199" s="285" t="s">
        <v>10163</v>
      </c>
      <c r="M199" s="285" t="s">
        <v>9383</v>
      </c>
      <c r="N199" s="287" t="str">
        <f>IFERROR(
    IF(
        AND(
            VLOOKUP(B199, 'รายชื่อพนักงานลาออกพ้นสภาพ'!B:I, 8, FALSE)&lt;&gt;"ยกเลิกลาออก",
            VLOOKUP(B199, 'รายชื่อพนักงานลาออกพ้นสภาพ'!B:I, 7, FALSE)&lt;=TODAY()
        ),
        "ลาออกแล้ว",
        ""
    ),
"")</f>
        <v/>
      </c>
      <c r="O199" s="292" t="str">
        <f t="array" ref="O199">IFERROR(INDEX(PCRent!C:D, MATCH(F199 &amp; " " &amp; G199, PCRent!A:A &amp; " " &amp; PCRent!B:B, 0)), "")</f>
        <v/>
      </c>
      <c r="P199" s="293"/>
      <c r="Q199" s="294" t="str">
        <f t="array" ref="Q199">IFERROR(INDEX(MonitorRent!C:D, MATCH(F199 &amp; " " &amp; G199, MonitorRent!A:A &amp; " " &amp; MonitorRent!B:B, 0)), "")</f>
        <v/>
      </c>
      <c r="R199" s="295"/>
    </row>
    <row r="200">
      <c r="A200" s="284">
        <v>197.0</v>
      </c>
      <c r="B200" s="285" t="s">
        <v>10449</v>
      </c>
      <c r="C200" s="285" t="s">
        <v>10103</v>
      </c>
      <c r="D200" s="286" t="s">
        <v>10450</v>
      </c>
      <c r="E200" s="285" t="s">
        <v>6921</v>
      </c>
      <c r="F200" s="285" t="s">
        <v>10451</v>
      </c>
      <c r="G200" s="285" t="s">
        <v>10452</v>
      </c>
      <c r="H200" s="285" t="s">
        <v>10453</v>
      </c>
      <c r="I200" s="285" t="s">
        <v>10454</v>
      </c>
      <c r="J200" s="285" t="s">
        <v>5012</v>
      </c>
      <c r="K200" s="285" t="s">
        <v>1606</v>
      </c>
      <c r="L200" s="285" t="s">
        <v>10127</v>
      </c>
      <c r="M200" s="285" t="s">
        <v>9383</v>
      </c>
      <c r="N200" s="287" t="str">
        <f>IFERROR(
    IF(
        AND(
            VLOOKUP(B200, 'รายชื่อพนักงานลาออกพ้นสภาพ'!B:I, 8, FALSE)&lt;&gt;"ยกเลิกลาออก",
            VLOOKUP(B200, 'รายชื่อพนักงานลาออกพ้นสภาพ'!B:I, 7, FALSE)&lt;=TODAY()
        ),
        "ลาออกแล้ว",
        ""
    ),
"")</f>
        <v/>
      </c>
      <c r="O200" s="292" t="str">
        <f t="array" ref="O200">IFERROR(INDEX(PCRent!C:D, MATCH(F200 &amp; " " &amp; G200, PCRent!A:A &amp; " " &amp; PCRent!B:B, 0)), "")</f>
        <v/>
      </c>
      <c r="P200" s="293"/>
      <c r="Q200" s="294" t="str">
        <f t="array" ref="Q200">IFERROR(INDEX(MonitorRent!C:D, MATCH(F200 &amp; " " &amp; G200, MonitorRent!A:A &amp; " " &amp; MonitorRent!B:B, 0)), "")</f>
        <v/>
      </c>
      <c r="R200" s="295"/>
    </row>
    <row r="201">
      <c r="A201" s="284">
        <v>198.0</v>
      </c>
      <c r="B201" s="285" t="s">
        <v>10455</v>
      </c>
      <c r="C201" s="285" t="s">
        <v>10103</v>
      </c>
      <c r="D201" s="286" t="s">
        <v>10456</v>
      </c>
      <c r="E201" s="285" t="s">
        <v>6921</v>
      </c>
      <c r="F201" s="285" t="s">
        <v>10457</v>
      </c>
      <c r="G201" s="285" t="s">
        <v>10458</v>
      </c>
      <c r="H201" s="285" t="s">
        <v>10459</v>
      </c>
      <c r="I201" s="285" t="s">
        <v>10460</v>
      </c>
      <c r="J201" s="285" t="s">
        <v>5012</v>
      </c>
      <c r="K201" s="285" t="s">
        <v>1492</v>
      </c>
      <c r="L201" s="285" t="s">
        <v>1258</v>
      </c>
      <c r="M201" s="285" t="s">
        <v>9383</v>
      </c>
      <c r="N201" s="287" t="str">
        <f>IFERROR(
    IF(
        AND(
            VLOOKUP(B201, 'รายชื่อพนักงานลาออกพ้นสภาพ'!B:I, 8, FALSE)&lt;&gt;"ยกเลิกลาออก",
            VLOOKUP(B201, 'รายชื่อพนักงานลาออกพ้นสภาพ'!B:I, 7, FALSE)&lt;=TODAY()
        ),
        "ลาออกแล้ว",
        ""
    ),
"")</f>
        <v/>
      </c>
      <c r="O201" s="292" t="str">
        <f t="array" ref="O201">IFERROR(INDEX(PCRent!C:D, MATCH(F201 &amp; " " &amp; G201, PCRent!A:A &amp; " " &amp; PCRent!B:B, 0)), "")</f>
        <v/>
      </c>
      <c r="P201" s="293"/>
      <c r="Q201" s="294" t="str">
        <f t="array" ref="Q201">IFERROR(INDEX(MonitorRent!C:D, MATCH(F201 &amp; " " &amp; G201, MonitorRent!A:A &amp; " " &amp; MonitorRent!B:B, 0)), "")</f>
        <v/>
      </c>
      <c r="R201" s="295"/>
    </row>
    <row r="202">
      <c r="A202" s="284">
        <v>199.0</v>
      </c>
      <c r="B202" s="285" t="s">
        <v>10461</v>
      </c>
      <c r="C202" s="285" t="s">
        <v>10103</v>
      </c>
      <c r="D202" s="286" t="s">
        <v>9718</v>
      </c>
      <c r="E202" s="285" t="s">
        <v>6933</v>
      </c>
      <c r="F202" s="285" t="s">
        <v>10462</v>
      </c>
      <c r="G202" s="285" t="s">
        <v>10463</v>
      </c>
      <c r="H202" s="285" t="s">
        <v>10464</v>
      </c>
      <c r="I202" s="285" t="s">
        <v>10465</v>
      </c>
      <c r="J202" s="285" t="s">
        <v>5012</v>
      </c>
      <c r="K202" s="285" t="s">
        <v>10114</v>
      </c>
      <c r="L202" s="285" t="s">
        <v>832</v>
      </c>
      <c r="M202" s="285" t="s">
        <v>9391</v>
      </c>
      <c r="N202" s="287" t="str">
        <f>IFERROR(
    IF(
        AND(
            VLOOKUP(B202, 'รายชื่อพนักงานลาออกพ้นสภาพ'!B:I, 8, FALSE)&lt;&gt;"ยกเลิกลาออก",
            VLOOKUP(B202, 'รายชื่อพนักงานลาออกพ้นสภาพ'!B:I, 7, FALSE)&lt;=TODAY()
        ),
        "ลาออกแล้ว",
        ""
    ),
"")</f>
        <v/>
      </c>
      <c r="O202" s="292" t="str">
        <f t="array" ref="O202">IFERROR(INDEX(PCRent!C:D, MATCH(F202 &amp; " " &amp; G202, PCRent!A:A &amp; " " &amp; PCRent!B:B, 0)), "")</f>
        <v/>
      </c>
      <c r="P202" s="293"/>
      <c r="Q202" s="294" t="str">
        <f t="array" ref="Q202">IFERROR(INDEX(MonitorRent!C:D, MATCH(F202 &amp; " " &amp; G202, MonitorRent!A:A &amp; " " &amp; MonitorRent!B:B, 0)), "")</f>
        <v/>
      </c>
      <c r="R202" s="295"/>
    </row>
    <row r="203">
      <c r="A203" s="284">
        <v>200.0</v>
      </c>
      <c r="B203" s="285" t="s">
        <v>10466</v>
      </c>
      <c r="C203" s="285" t="s">
        <v>10103</v>
      </c>
      <c r="D203" s="286" t="s">
        <v>10467</v>
      </c>
      <c r="E203" s="285" t="s">
        <v>6933</v>
      </c>
      <c r="F203" s="285" t="s">
        <v>10468</v>
      </c>
      <c r="G203" s="285" t="s">
        <v>10469</v>
      </c>
      <c r="H203" s="285" t="s">
        <v>10470</v>
      </c>
      <c r="I203" s="285" t="s">
        <v>10471</v>
      </c>
      <c r="J203" s="285" t="s">
        <v>5012</v>
      </c>
      <c r="K203" s="285" t="s">
        <v>1412</v>
      </c>
      <c r="L203" s="285" t="s">
        <v>10127</v>
      </c>
      <c r="M203" s="285" t="s">
        <v>9383</v>
      </c>
      <c r="N203" s="287" t="str">
        <f>IFERROR(
    IF(
        AND(
            VLOOKUP(B203, 'รายชื่อพนักงานลาออกพ้นสภาพ'!B:I, 8, FALSE)&lt;&gt;"ยกเลิกลาออก",
            VLOOKUP(B203, 'รายชื่อพนักงานลาออกพ้นสภาพ'!B:I, 7, FALSE)&lt;=TODAY()
        ),
        "ลาออกแล้ว",
        ""
    ),
"")</f>
        <v/>
      </c>
      <c r="O203" s="292" t="str">
        <f t="array" ref="O203">IFERROR(INDEX(PCRent!C:D, MATCH(F203 &amp; " " &amp; G203, PCRent!A:A &amp; " " &amp; PCRent!B:B, 0)), "")</f>
        <v/>
      </c>
      <c r="P203" s="293"/>
      <c r="Q203" s="294" t="str">
        <f t="array" ref="Q203">IFERROR(INDEX(MonitorRent!C:D, MATCH(F203 &amp; " " &amp; G203, MonitorRent!A:A &amp; " " &amp; MonitorRent!B:B, 0)), "")</f>
        <v/>
      </c>
      <c r="R203" s="295"/>
    </row>
    <row r="204">
      <c r="A204" s="284">
        <v>201.0</v>
      </c>
      <c r="B204" s="285" t="s">
        <v>10472</v>
      </c>
      <c r="C204" s="285" t="s">
        <v>10103</v>
      </c>
      <c r="D204" s="286" t="s">
        <v>10473</v>
      </c>
      <c r="E204" s="285" t="s">
        <v>6933</v>
      </c>
      <c r="F204" s="285" t="s">
        <v>10474</v>
      </c>
      <c r="G204" s="285" t="s">
        <v>10475</v>
      </c>
      <c r="H204" s="285" t="s">
        <v>10476</v>
      </c>
      <c r="I204" s="285" t="s">
        <v>4970</v>
      </c>
      <c r="J204" s="285" t="s">
        <v>5224</v>
      </c>
      <c r="K204" s="285" t="s">
        <v>4749</v>
      </c>
      <c r="L204" s="285" t="s">
        <v>10477</v>
      </c>
      <c r="M204" s="285" t="s">
        <v>9383</v>
      </c>
      <c r="N204" s="287" t="str">
        <f>IFERROR(
    IF(
        AND(
            VLOOKUP(B204, 'รายชื่อพนักงานลาออกพ้นสภาพ'!B:I, 8, FALSE)&lt;&gt;"ยกเลิกลาออก",
            VLOOKUP(B204, 'รายชื่อพนักงานลาออกพ้นสภาพ'!B:I, 7, FALSE)&lt;=TODAY()
        ),
        "ลาออกแล้ว",
        ""
    ),
"")</f>
        <v/>
      </c>
      <c r="O204" s="292" t="str">
        <f t="array" ref="O204">IFERROR(INDEX(PCRent!C:D, MATCH(F204 &amp; " " &amp; G204, PCRent!A:A &amp; " " &amp; PCRent!B:B, 0)), "")</f>
        <v/>
      </c>
      <c r="P204" s="293"/>
      <c r="Q204" s="294" t="str">
        <f t="array" ref="Q204">IFERROR(INDEX(MonitorRent!C:D, MATCH(F204 &amp; " " &amp; G204, MonitorRent!A:A &amp; " " &amp; MonitorRent!B:B, 0)), "")</f>
        <v/>
      </c>
      <c r="R204" s="295"/>
    </row>
    <row r="205">
      <c r="A205" s="284">
        <v>202.0</v>
      </c>
      <c r="B205" s="285" t="s">
        <v>4971</v>
      </c>
      <c r="C205" s="285" t="s">
        <v>10103</v>
      </c>
      <c r="D205" s="286" t="s">
        <v>10473</v>
      </c>
      <c r="E205" s="285" t="s">
        <v>6933</v>
      </c>
      <c r="F205" s="285" t="s">
        <v>10474</v>
      </c>
      <c r="G205" s="285" t="s">
        <v>10475</v>
      </c>
      <c r="H205" s="285" t="s">
        <v>10476</v>
      </c>
      <c r="I205" s="285" t="s">
        <v>4973</v>
      </c>
      <c r="J205" s="285" t="s">
        <v>5224</v>
      </c>
      <c r="K205" s="285" t="s">
        <v>4749</v>
      </c>
      <c r="L205" s="285" t="s">
        <v>10478</v>
      </c>
      <c r="M205" s="285" t="s">
        <v>9383</v>
      </c>
      <c r="N205" s="287" t="str">
        <f>IFERROR(
    IF(
        AND(
            VLOOKUP(B205, 'รายชื่อพนักงานลาออกพ้นสภาพ'!B:I, 8, FALSE)&lt;&gt;"ยกเลิกลาออก",
            VLOOKUP(B205, 'รายชื่อพนักงานลาออกพ้นสภาพ'!B:I, 7, FALSE)&lt;=TODAY()
        ),
        "ลาออกแล้ว",
        ""
    ),
"")</f>
        <v/>
      </c>
      <c r="O205" s="292" t="str">
        <f t="array" ref="O205">IFERROR(INDEX(PCRent!C:D, MATCH(F205 &amp; " " &amp; G205, PCRent!A:A &amp; " " &amp; PCRent!B:B, 0)), "")</f>
        <v/>
      </c>
      <c r="P205" s="293"/>
      <c r="Q205" s="294" t="str">
        <f t="array" ref="Q205">IFERROR(INDEX(MonitorRent!C:D, MATCH(F205 &amp; " " &amp; G205, MonitorRent!A:A &amp; " " &amp; MonitorRent!B:B, 0)), "")</f>
        <v/>
      </c>
      <c r="R205" s="295"/>
    </row>
    <row r="206">
      <c r="A206" s="284">
        <v>203.0</v>
      </c>
      <c r="B206" s="285" t="s">
        <v>10479</v>
      </c>
      <c r="C206" s="285" t="s">
        <v>10103</v>
      </c>
      <c r="D206" s="286" t="s">
        <v>10480</v>
      </c>
      <c r="E206" s="285" t="s">
        <v>6933</v>
      </c>
      <c r="F206" s="285" t="s">
        <v>10481</v>
      </c>
      <c r="G206" s="285" t="s">
        <v>10482</v>
      </c>
      <c r="H206" s="285" t="s">
        <v>10483</v>
      </c>
      <c r="I206" s="285" t="s">
        <v>10484</v>
      </c>
      <c r="J206" s="285" t="s">
        <v>5012</v>
      </c>
      <c r="K206" s="285" t="s">
        <v>10114</v>
      </c>
      <c r="L206" s="285" t="s">
        <v>10127</v>
      </c>
      <c r="M206" s="285" t="s">
        <v>9391</v>
      </c>
      <c r="N206" s="287" t="str">
        <f>IFERROR(
    IF(
        AND(
            VLOOKUP(B206, 'รายชื่อพนักงานลาออกพ้นสภาพ'!B:I, 8, FALSE)&lt;&gt;"ยกเลิกลาออก",
            VLOOKUP(B206, 'รายชื่อพนักงานลาออกพ้นสภาพ'!B:I, 7, FALSE)&lt;=TODAY()
        ),
        "ลาออกแล้ว",
        ""
    ),
"")</f>
        <v/>
      </c>
      <c r="O206" s="292" t="str">
        <f t="array" ref="O206">IFERROR(INDEX(PCRent!C:D, MATCH(F206 &amp; " " &amp; G206, PCRent!A:A &amp; " " &amp; PCRent!B:B, 0)), "")</f>
        <v/>
      </c>
      <c r="P206" s="293"/>
      <c r="Q206" s="294" t="str">
        <f t="array" ref="Q206">IFERROR(INDEX(MonitorRent!C:D, MATCH(F206 &amp; " " &amp; G206, MonitorRent!A:A &amp; " " &amp; MonitorRent!B:B, 0)), "")</f>
        <v/>
      </c>
      <c r="R206" s="295"/>
    </row>
    <row r="207">
      <c r="A207" s="284">
        <v>204.0</v>
      </c>
      <c r="B207" s="285" t="s">
        <v>5028</v>
      </c>
      <c r="C207" s="285" t="s">
        <v>10103</v>
      </c>
      <c r="D207" s="286" t="s">
        <v>10485</v>
      </c>
      <c r="E207" s="285" t="s">
        <v>6933</v>
      </c>
      <c r="F207" s="285" t="s">
        <v>10481</v>
      </c>
      <c r="G207" s="285" t="s">
        <v>10486</v>
      </c>
      <c r="H207" s="285" t="s">
        <v>9430</v>
      </c>
      <c r="I207" s="285" t="s">
        <v>5029</v>
      </c>
      <c r="J207" s="285" t="s">
        <v>5012</v>
      </c>
      <c r="K207" s="285" t="s">
        <v>10114</v>
      </c>
      <c r="L207" s="285" t="s">
        <v>832</v>
      </c>
      <c r="M207" s="285" t="s">
        <v>9383</v>
      </c>
      <c r="N207" s="287" t="str">
        <f>IFERROR(
    IF(
        AND(
            VLOOKUP(B207, 'รายชื่อพนักงานลาออกพ้นสภาพ'!B:I, 8, FALSE)&lt;&gt;"ยกเลิกลาออก",
            VLOOKUP(B207, 'รายชื่อพนักงานลาออกพ้นสภาพ'!B:I, 7, FALSE)&lt;=TODAY()
        ),
        "ลาออกแล้ว",
        ""
    ),
"")</f>
        <v/>
      </c>
      <c r="O207" s="292" t="str">
        <f t="array" ref="O207">IFERROR(INDEX(PCRent!C:D, MATCH(F207 &amp; " " &amp; G207, PCRent!A:A &amp; " " &amp; PCRent!B:B, 0)), "")</f>
        <v/>
      </c>
      <c r="P207" s="293"/>
      <c r="Q207" s="294" t="str">
        <f t="array" ref="Q207">IFERROR(INDEX(MonitorRent!C:D, MATCH(F207 &amp; " " &amp; G207, MonitorRent!A:A &amp; " " &amp; MonitorRent!B:B, 0)), "")</f>
        <v/>
      </c>
      <c r="R207" s="295"/>
    </row>
    <row r="208">
      <c r="A208" s="284">
        <v>205.0</v>
      </c>
      <c r="B208" s="285" t="s">
        <v>10487</v>
      </c>
      <c r="C208" s="285" t="s">
        <v>10103</v>
      </c>
      <c r="D208" s="286" t="s">
        <v>10488</v>
      </c>
      <c r="E208" s="285" t="s">
        <v>6933</v>
      </c>
      <c r="F208" s="285" t="s">
        <v>10489</v>
      </c>
      <c r="G208" s="285" t="s">
        <v>10490</v>
      </c>
      <c r="H208" s="285" t="s">
        <v>10491</v>
      </c>
      <c r="I208" s="285" t="s">
        <v>10492</v>
      </c>
      <c r="J208" s="285" t="s">
        <v>5224</v>
      </c>
      <c r="K208" s="285" t="s">
        <v>4756</v>
      </c>
      <c r="L208" s="285" t="s">
        <v>10189</v>
      </c>
      <c r="M208" s="285" t="s">
        <v>9383</v>
      </c>
      <c r="N208" s="287" t="str">
        <f>IFERROR(
    IF(
        AND(
            VLOOKUP(B208, 'รายชื่อพนักงานลาออกพ้นสภาพ'!B:I, 8, FALSE)&lt;&gt;"ยกเลิกลาออก",
            VLOOKUP(B208, 'รายชื่อพนักงานลาออกพ้นสภาพ'!B:I, 7, FALSE)&lt;=TODAY()
        ),
        "ลาออกแล้ว",
        ""
    ),
"")</f>
        <v/>
      </c>
      <c r="O208" s="292" t="str">
        <f t="array" ref="O208">IFERROR(INDEX(PCRent!C:D, MATCH(F208 &amp; " " &amp; G208, PCRent!A:A &amp; " " &amp; PCRent!B:B, 0)), "")</f>
        <v/>
      </c>
      <c r="P208" s="293"/>
      <c r="Q208" s="294" t="str">
        <f t="array" ref="Q208">IFERROR(INDEX(MonitorRent!C:D, MATCH(F208 &amp; " " &amp; G208, MonitorRent!A:A &amp; " " &amp; MonitorRent!B:B, 0)), "")</f>
        <v/>
      </c>
      <c r="R208" s="295"/>
    </row>
    <row r="209">
      <c r="A209" s="284">
        <v>206.0</v>
      </c>
      <c r="B209" s="285" t="s">
        <v>5050</v>
      </c>
      <c r="C209" s="285" t="s">
        <v>10103</v>
      </c>
      <c r="D209" s="286" t="s">
        <v>10493</v>
      </c>
      <c r="E209" s="285" t="s">
        <v>6933</v>
      </c>
      <c r="F209" s="285" t="s">
        <v>10489</v>
      </c>
      <c r="G209" s="285" t="s">
        <v>10494</v>
      </c>
      <c r="H209" s="285" t="s">
        <v>10495</v>
      </c>
      <c r="I209" s="285" t="s">
        <v>5052</v>
      </c>
      <c r="J209" s="285" t="s">
        <v>5224</v>
      </c>
      <c r="K209" s="285" t="s">
        <v>10114</v>
      </c>
      <c r="L209" s="285" t="s">
        <v>10478</v>
      </c>
      <c r="M209" s="285" t="s">
        <v>9383</v>
      </c>
      <c r="N209" s="287" t="str">
        <f>IFERROR(
    IF(
        AND(
            VLOOKUP(B209, 'รายชื่อพนักงานลาออกพ้นสภาพ'!B:I, 8, FALSE)&lt;&gt;"ยกเลิกลาออก",
            VLOOKUP(B209, 'รายชื่อพนักงานลาออกพ้นสภาพ'!B:I, 7, FALSE)&lt;=TODAY()
        ),
        "ลาออกแล้ว",
        ""
    ),
"")</f>
        <v/>
      </c>
      <c r="O209" s="292" t="str">
        <f t="array" ref="O209:P209">IFERROR(INDEX(PCRent!C:D, MATCH(F209 &amp; " " &amp; G209, PCRent!A:A &amp; " " &amp; PCRent!B:B, 0)), "")</f>
        <v>SN:MP2EJ0N1</v>
      </c>
      <c r="P209" s="293" t="s">
        <v>6993</v>
      </c>
      <c r="Q209" s="294" t="str">
        <f t="array" ref="Q209">IFERROR(INDEX(MonitorRent!C:D, MATCH(F209 &amp; " " &amp; G209, MonitorRent!A:A &amp; " " &amp; MonitorRent!B:B, 0)), "")</f>
        <v/>
      </c>
      <c r="R209" s="295"/>
    </row>
    <row r="210">
      <c r="A210" s="284">
        <v>207.0</v>
      </c>
      <c r="B210" s="285" t="s">
        <v>10496</v>
      </c>
      <c r="C210" s="285" t="s">
        <v>10103</v>
      </c>
      <c r="D210" s="286" t="s">
        <v>10417</v>
      </c>
      <c r="E210" s="285" t="s">
        <v>6933</v>
      </c>
      <c r="F210" s="285" t="s">
        <v>10497</v>
      </c>
      <c r="G210" s="285" t="s">
        <v>10498</v>
      </c>
      <c r="H210" s="285" t="s">
        <v>10499</v>
      </c>
      <c r="I210" s="285" t="s">
        <v>10500</v>
      </c>
      <c r="J210" s="285" t="s">
        <v>5012</v>
      </c>
      <c r="K210" s="285" t="s">
        <v>1417</v>
      </c>
      <c r="L210" s="285" t="s">
        <v>10127</v>
      </c>
      <c r="M210" s="285" t="s">
        <v>9383</v>
      </c>
      <c r="N210" s="287" t="str">
        <f>IFERROR(
    IF(
        AND(
            VLOOKUP(B210, 'รายชื่อพนักงานลาออกพ้นสภาพ'!B:I, 8, FALSE)&lt;&gt;"ยกเลิกลาออก",
            VLOOKUP(B210, 'รายชื่อพนักงานลาออกพ้นสภาพ'!B:I, 7, FALSE)&lt;=TODAY()
        ),
        "ลาออกแล้ว",
        ""
    ),
"")</f>
        <v/>
      </c>
      <c r="O210" s="292" t="str">
        <f t="array" ref="O210">IFERROR(INDEX(PCRent!C:D, MATCH(F210 &amp; " " &amp; G210, PCRent!A:A &amp; " " &amp; PCRent!B:B, 0)), "")</f>
        <v/>
      </c>
      <c r="P210" s="293"/>
      <c r="Q210" s="294" t="str">
        <f t="array" ref="Q210">IFERROR(INDEX(MonitorRent!C:D, MATCH(F210 &amp; " " &amp; G210, MonitorRent!A:A &amp; " " &amp; MonitorRent!B:B, 0)), "")</f>
        <v/>
      </c>
      <c r="R210" s="295"/>
    </row>
    <row r="211">
      <c r="A211" s="284">
        <v>208.0</v>
      </c>
      <c r="B211" s="285" t="s">
        <v>967</v>
      </c>
      <c r="C211" s="285" t="s">
        <v>10103</v>
      </c>
      <c r="D211" s="286" t="s">
        <v>10501</v>
      </c>
      <c r="E211" s="285" t="s">
        <v>6933</v>
      </c>
      <c r="F211" s="285" t="s">
        <v>10502</v>
      </c>
      <c r="G211" s="285" t="s">
        <v>10503</v>
      </c>
      <c r="H211" s="285" t="s">
        <v>10504</v>
      </c>
      <c r="I211" s="285" t="s">
        <v>969</v>
      </c>
      <c r="J211" s="285" t="s">
        <v>5012</v>
      </c>
      <c r="K211" s="285" t="s">
        <v>10114</v>
      </c>
      <c r="L211" s="285" t="s">
        <v>832</v>
      </c>
      <c r="M211" s="285" t="s">
        <v>9383</v>
      </c>
      <c r="N211" s="287" t="str">
        <f>IFERROR(
    IF(
        AND(
            VLOOKUP(B211, 'รายชื่อพนักงานลาออกพ้นสภาพ'!B:I, 8, FALSE)&lt;&gt;"ยกเลิกลาออก",
            VLOOKUP(B211, 'รายชื่อพนักงานลาออกพ้นสภาพ'!B:I, 7, FALSE)&lt;=TODAY()
        ),
        "ลาออกแล้ว",
        ""
    ),
"")</f>
        <v>ลาออกแล้ว</v>
      </c>
      <c r="O211" s="292" t="str">
        <f t="array" ref="O211">IFERROR(INDEX(PCRent!C:D, MATCH(F211 &amp; " " &amp; G211, PCRent!A:A &amp; " " &amp; PCRent!B:B, 0)), "")</f>
        <v/>
      </c>
      <c r="P211" s="293"/>
      <c r="Q211" s="294" t="str">
        <f t="array" ref="Q211">IFERROR(INDEX(MonitorRent!C:D, MATCH(F211 &amp; " " &amp; G211, MonitorRent!A:A &amp; " " &amp; MonitorRent!B:B, 0)), "")</f>
        <v/>
      </c>
      <c r="R211" s="295"/>
    </row>
    <row r="212">
      <c r="A212" s="284">
        <v>209.0</v>
      </c>
      <c r="B212" s="285" t="s">
        <v>40</v>
      </c>
      <c r="C212" s="285" t="s">
        <v>10103</v>
      </c>
      <c r="D212" s="286" t="s">
        <v>10138</v>
      </c>
      <c r="E212" s="285" t="s">
        <v>6921</v>
      </c>
      <c r="F212" s="285" t="s">
        <v>10505</v>
      </c>
      <c r="G212" s="285" t="s">
        <v>10506</v>
      </c>
      <c r="H212" s="285" t="s">
        <v>10507</v>
      </c>
      <c r="I212" s="285" t="s">
        <v>44</v>
      </c>
      <c r="J212" s="285" t="s">
        <v>5012</v>
      </c>
      <c r="K212" s="285" t="s">
        <v>1417</v>
      </c>
      <c r="L212" s="285" t="s">
        <v>832</v>
      </c>
      <c r="M212" s="285" t="s">
        <v>9383</v>
      </c>
      <c r="N212" s="287" t="str">
        <f>IFERROR(
    IF(
        AND(
            VLOOKUP(B212, 'รายชื่อพนักงานลาออกพ้นสภาพ'!B:I, 8, FALSE)&lt;&gt;"ยกเลิกลาออก",
            VLOOKUP(B212, 'รายชื่อพนักงานลาออกพ้นสภาพ'!B:I, 7, FALSE)&lt;=TODAY()
        ),
        "ลาออกแล้ว",
        ""
    ),
"")</f>
        <v/>
      </c>
      <c r="O212" s="292" t="str">
        <f t="array" ref="O212">IFERROR(INDEX(PCRent!C:D, MATCH(F212 &amp; " " &amp; G212, PCRent!A:A &amp; " " &amp; PCRent!B:B, 0)), "")</f>
        <v/>
      </c>
      <c r="P212" s="293"/>
      <c r="Q212" s="294" t="str">
        <f t="array" ref="Q212">IFERROR(INDEX(MonitorRent!C:D, MATCH(F212 &amp; " " &amp; G212, MonitorRent!A:A &amp; " " &amp; MonitorRent!B:B, 0)), "")</f>
        <v/>
      </c>
      <c r="R212" s="295"/>
    </row>
    <row r="213">
      <c r="A213" s="284">
        <v>210.0</v>
      </c>
      <c r="B213" s="285" t="s">
        <v>10508</v>
      </c>
      <c r="C213" s="285" t="s">
        <v>10103</v>
      </c>
      <c r="D213" s="286" t="s">
        <v>10509</v>
      </c>
      <c r="E213" s="285" t="s">
        <v>6921</v>
      </c>
      <c r="F213" s="285" t="s">
        <v>10510</v>
      </c>
      <c r="G213" s="285" t="s">
        <v>10511</v>
      </c>
      <c r="H213" s="285" t="s">
        <v>10512</v>
      </c>
      <c r="I213" s="285" t="s">
        <v>10513</v>
      </c>
      <c r="J213" s="285" t="s">
        <v>5012</v>
      </c>
      <c r="K213" s="285" t="s">
        <v>1606</v>
      </c>
      <c r="L213" s="285" t="s">
        <v>832</v>
      </c>
      <c r="M213" s="285" t="s">
        <v>9383</v>
      </c>
      <c r="N213" s="287" t="str">
        <f>IFERROR(
    IF(
        AND(
            VLOOKUP(B213, 'รายชื่อพนักงานลาออกพ้นสภาพ'!B:I, 8, FALSE)&lt;&gt;"ยกเลิกลาออก",
            VLOOKUP(B213, 'รายชื่อพนักงานลาออกพ้นสภาพ'!B:I, 7, FALSE)&lt;=TODAY()
        ),
        "ลาออกแล้ว",
        ""
    ),
"")</f>
        <v/>
      </c>
      <c r="O213" s="292" t="str">
        <f t="array" ref="O213">IFERROR(INDEX(PCRent!C:D, MATCH(F213 &amp; " " &amp; G213, PCRent!A:A &amp; " " &amp; PCRent!B:B, 0)), "")</f>
        <v/>
      </c>
      <c r="P213" s="293"/>
      <c r="Q213" s="294" t="str">
        <f t="array" ref="Q213">IFERROR(INDEX(MonitorRent!C:D, MATCH(F213 &amp; " " &amp; G213, MonitorRent!A:A &amp; " " &amp; MonitorRent!B:B, 0)), "")</f>
        <v/>
      </c>
      <c r="R213" s="295"/>
    </row>
    <row r="214">
      <c r="A214" s="284">
        <v>211.0</v>
      </c>
      <c r="B214" s="285" t="s">
        <v>10514</v>
      </c>
      <c r="C214" s="285" t="s">
        <v>10103</v>
      </c>
      <c r="D214" s="286" t="s">
        <v>10493</v>
      </c>
      <c r="E214" s="285" t="s">
        <v>6921</v>
      </c>
      <c r="F214" s="285" t="s">
        <v>10515</v>
      </c>
      <c r="G214" s="285" t="s">
        <v>10516</v>
      </c>
      <c r="H214" s="285" t="s">
        <v>10517</v>
      </c>
      <c r="I214" s="285" t="s">
        <v>10518</v>
      </c>
      <c r="J214" s="285" t="s">
        <v>5224</v>
      </c>
      <c r="K214" s="285" t="s">
        <v>9649</v>
      </c>
      <c r="L214" s="285" t="s">
        <v>566</v>
      </c>
      <c r="M214" s="285" t="s">
        <v>9383</v>
      </c>
      <c r="N214" s="287" t="str">
        <f>IFERROR(
    IF(
        AND(
            VLOOKUP(B214, 'รายชื่อพนักงานลาออกพ้นสภาพ'!B:I, 8, FALSE)&lt;&gt;"ยกเลิกลาออก",
            VLOOKUP(B214, 'รายชื่อพนักงานลาออกพ้นสภาพ'!B:I, 7, FALSE)&lt;=TODAY()
        ),
        "ลาออกแล้ว",
        ""
    ),
"")</f>
        <v/>
      </c>
      <c r="O214" s="292" t="str">
        <f t="array" ref="O214">IFERROR(INDEX(PCRent!C:D, MATCH(F214 &amp; " " &amp; G214, PCRent!A:A &amp; " " &amp; PCRent!B:B, 0)), "")</f>
        <v/>
      </c>
      <c r="P214" s="293"/>
      <c r="Q214" s="294" t="str">
        <f t="array" ref="Q214">IFERROR(INDEX(MonitorRent!C:D, MATCH(F214 &amp; " " &amp; G214, MonitorRent!A:A &amp; " " &amp; MonitorRent!B:B, 0)), "")</f>
        <v/>
      </c>
      <c r="R214" s="295"/>
    </row>
    <row r="215">
      <c r="A215" s="284">
        <v>212.0</v>
      </c>
      <c r="B215" s="285" t="s">
        <v>10519</v>
      </c>
      <c r="C215" s="285" t="s">
        <v>10103</v>
      </c>
      <c r="D215" s="286" t="s">
        <v>10520</v>
      </c>
      <c r="E215" s="285" t="s">
        <v>6933</v>
      </c>
      <c r="F215" s="285" t="s">
        <v>10521</v>
      </c>
      <c r="G215" s="285" t="s">
        <v>10522</v>
      </c>
      <c r="H215" s="285" t="s">
        <v>10523</v>
      </c>
      <c r="I215" s="285" t="s">
        <v>10524</v>
      </c>
      <c r="J215" s="285" t="s">
        <v>5012</v>
      </c>
      <c r="K215" s="285" t="s">
        <v>10114</v>
      </c>
      <c r="L215" s="285" t="s">
        <v>832</v>
      </c>
      <c r="M215" s="285" t="s">
        <v>9383</v>
      </c>
      <c r="N215" s="287" t="str">
        <f>IFERROR(
    IF(
        AND(
            VLOOKUP(B215, 'รายชื่อพนักงานลาออกพ้นสภาพ'!B:I, 8, FALSE)&lt;&gt;"ยกเลิกลาออก",
            VLOOKUP(B215, 'รายชื่อพนักงานลาออกพ้นสภาพ'!B:I, 7, FALSE)&lt;=TODAY()
        ),
        "ลาออกแล้ว",
        ""
    ),
"")</f>
        <v/>
      </c>
      <c r="O215" s="292" t="str">
        <f t="array" ref="O215">IFERROR(INDEX(PCRent!C:D, MATCH(F215 &amp; " " &amp; G215, PCRent!A:A &amp; " " &amp; PCRent!B:B, 0)), "")</f>
        <v/>
      </c>
      <c r="P215" s="293"/>
      <c r="Q215" s="294" t="str">
        <f t="array" ref="Q215">IFERROR(INDEX(MonitorRent!C:D, MATCH(F215 &amp; " " &amp; G215, MonitorRent!A:A &amp; " " &amp; MonitorRent!B:B, 0)), "")</f>
        <v/>
      </c>
      <c r="R215" s="295"/>
    </row>
    <row r="216">
      <c r="A216" s="284">
        <v>213.0</v>
      </c>
      <c r="B216" s="285" t="s">
        <v>10525</v>
      </c>
      <c r="C216" s="285" t="s">
        <v>10103</v>
      </c>
      <c r="D216" s="286" t="s">
        <v>10526</v>
      </c>
      <c r="E216" s="285" t="s">
        <v>6933</v>
      </c>
      <c r="F216" s="285" t="s">
        <v>9447</v>
      </c>
      <c r="G216" s="285" t="s">
        <v>10527</v>
      </c>
      <c r="H216" s="285" t="s">
        <v>10528</v>
      </c>
      <c r="I216" s="285" t="s">
        <v>10529</v>
      </c>
      <c r="J216" s="285" t="s">
        <v>5012</v>
      </c>
      <c r="K216" s="285" t="s">
        <v>10114</v>
      </c>
      <c r="L216" s="285" t="s">
        <v>832</v>
      </c>
      <c r="M216" s="285" t="s">
        <v>9383</v>
      </c>
      <c r="N216" s="287" t="str">
        <f>IFERROR(
    IF(
        AND(
            VLOOKUP(B216, 'รายชื่อพนักงานลาออกพ้นสภาพ'!B:I, 8, FALSE)&lt;&gt;"ยกเลิกลาออก",
            VLOOKUP(B216, 'รายชื่อพนักงานลาออกพ้นสภาพ'!B:I, 7, FALSE)&lt;=TODAY()
        ),
        "ลาออกแล้ว",
        ""
    ),
"")</f>
        <v/>
      </c>
      <c r="O216" s="292" t="str">
        <f t="array" ref="O216">IFERROR(INDEX(PCRent!C:D, MATCH(F216 &amp; " " &amp; G216, PCRent!A:A &amp; " " &amp; PCRent!B:B, 0)), "")</f>
        <v/>
      </c>
      <c r="P216" s="293"/>
      <c r="Q216" s="294" t="str">
        <f t="array" ref="Q216">IFERROR(INDEX(MonitorRent!C:D, MATCH(F216 &amp; " " &amp; G216, MonitorRent!A:A &amp; " " &amp; MonitorRent!B:B, 0)), "")</f>
        <v/>
      </c>
      <c r="R216" s="295"/>
    </row>
    <row r="217">
      <c r="A217" s="284">
        <v>214.0</v>
      </c>
      <c r="B217" s="285" t="s">
        <v>4195</v>
      </c>
      <c r="C217" s="285" t="s">
        <v>10103</v>
      </c>
      <c r="D217" s="286" t="s">
        <v>10274</v>
      </c>
      <c r="E217" s="285" t="s">
        <v>6921</v>
      </c>
      <c r="F217" s="285" t="s">
        <v>10530</v>
      </c>
      <c r="G217" s="285" t="s">
        <v>10531</v>
      </c>
      <c r="H217" s="285" t="s">
        <v>10361</v>
      </c>
      <c r="I217" s="285" t="s">
        <v>6789</v>
      </c>
      <c r="J217" s="285" t="s">
        <v>5012</v>
      </c>
      <c r="K217" s="285" t="s">
        <v>1606</v>
      </c>
      <c r="L217" s="285" t="s">
        <v>10127</v>
      </c>
      <c r="M217" s="285" t="s">
        <v>9383</v>
      </c>
      <c r="N217" s="287" t="str">
        <f>IFERROR(
    IF(
        AND(
            VLOOKUP(B217, 'รายชื่อพนักงานลาออกพ้นสภาพ'!B:I, 8, FALSE)&lt;&gt;"ยกเลิกลาออก",
            VLOOKUP(B217, 'รายชื่อพนักงานลาออกพ้นสภาพ'!B:I, 7, FALSE)&lt;=TODAY()
        ),
        "ลาออกแล้ว",
        ""
    ),
"")</f>
        <v/>
      </c>
      <c r="O217" s="292" t="str">
        <f t="array" ref="O217">IFERROR(INDEX(PCRent!C:D, MATCH(F217 &amp; " " &amp; G217, PCRent!A:A &amp; " " &amp; PCRent!B:B, 0)), "")</f>
        <v/>
      </c>
      <c r="P217" s="293"/>
      <c r="Q217" s="294" t="str">
        <f t="array" ref="Q217">IFERROR(INDEX(MonitorRent!C:D, MATCH(F217 &amp; " " &amp; G217, MonitorRent!A:A &amp; " " &amp; MonitorRent!B:B, 0)), "")</f>
        <v/>
      </c>
      <c r="R217" s="295"/>
    </row>
    <row r="218">
      <c r="A218" s="284">
        <v>215.0</v>
      </c>
      <c r="B218" s="285" t="s">
        <v>10532</v>
      </c>
      <c r="C218" s="285" t="s">
        <v>10103</v>
      </c>
      <c r="D218" s="286" t="s">
        <v>10533</v>
      </c>
      <c r="E218" s="285" t="s">
        <v>6921</v>
      </c>
      <c r="F218" s="285" t="s">
        <v>10534</v>
      </c>
      <c r="G218" s="285" t="s">
        <v>10535</v>
      </c>
      <c r="H218" s="285" t="s">
        <v>10536</v>
      </c>
      <c r="I218" s="285" t="s">
        <v>10537</v>
      </c>
      <c r="J218" s="285" t="s">
        <v>5224</v>
      </c>
      <c r="K218" s="285" t="s">
        <v>10028</v>
      </c>
      <c r="L218" s="285" t="s">
        <v>10538</v>
      </c>
      <c r="M218" s="285" t="s">
        <v>9383</v>
      </c>
      <c r="N218" s="287" t="str">
        <f>IFERROR(
    IF(
        AND(
            VLOOKUP(B218, 'รายชื่อพนักงานลาออกพ้นสภาพ'!B:I, 8, FALSE)&lt;&gt;"ยกเลิกลาออก",
            VLOOKUP(B218, 'รายชื่อพนักงานลาออกพ้นสภาพ'!B:I, 7, FALSE)&lt;=TODAY()
        ),
        "ลาออกแล้ว",
        ""
    ),
"")</f>
        <v/>
      </c>
      <c r="O218" s="292" t="str">
        <f t="array" ref="O218">IFERROR(INDEX(PCRent!C:D, MATCH(F218 &amp; " " &amp; G218, PCRent!A:A &amp; " " &amp; PCRent!B:B, 0)), "")</f>
        <v/>
      </c>
      <c r="P218" s="293"/>
      <c r="Q218" s="294" t="str">
        <f t="array" ref="Q218">IFERROR(INDEX(MonitorRent!C:D, MATCH(F218 &amp; " " &amp; G218, MonitorRent!A:A &amp; " " &amp; MonitorRent!B:B, 0)), "")</f>
        <v/>
      </c>
      <c r="R218" s="295"/>
    </row>
    <row r="219">
      <c r="A219" s="284">
        <v>216.0</v>
      </c>
      <c r="B219" s="285" t="s">
        <v>10539</v>
      </c>
      <c r="C219" s="285" t="s">
        <v>10103</v>
      </c>
      <c r="D219" s="286" t="s">
        <v>10540</v>
      </c>
      <c r="E219" s="285" t="s">
        <v>6921</v>
      </c>
      <c r="F219" s="285" t="s">
        <v>10541</v>
      </c>
      <c r="G219" s="285" t="s">
        <v>10223</v>
      </c>
      <c r="H219" s="285" t="s">
        <v>9789</v>
      </c>
      <c r="I219" s="285" t="s">
        <v>10542</v>
      </c>
      <c r="J219" s="285" t="s">
        <v>5224</v>
      </c>
      <c r="K219" s="285" t="s">
        <v>4749</v>
      </c>
      <c r="L219" s="285" t="s">
        <v>566</v>
      </c>
      <c r="M219" s="285" t="s">
        <v>9383</v>
      </c>
      <c r="N219" s="287" t="str">
        <f>IFERROR(
    IF(
        AND(
            VLOOKUP(B219, 'รายชื่อพนักงานลาออกพ้นสภาพ'!B:I, 8, FALSE)&lt;&gt;"ยกเลิกลาออก",
            VLOOKUP(B219, 'รายชื่อพนักงานลาออกพ้นสภาพ'!B:I, 7, FALSE)&lt;=TODAY()
        ),
        "ลาออกแล้ว",
        ""
    ),
"")</f>
        <v/>
      </c>
      <c r="O219" s="292" t="str">
        <f t="array" ref="O219">IFERROR(INDEX(PCRent!C:D, MATCH(F219 &amp; " " &amp; G219, PCRent!A:A &amp; " " &amp; PCRent!B:B, 0)), "")</f>
        <v/>
      </c>
      <c r="P219" s="293"/>
      <c r="Q219" s="294" t="str">
        <f t="array" ref="Q219">IFERROR(INDEX(MonitorRent!C:D, MATCH(F219 &amp; " " &amp; G219, MonitorRent!A:A &amp; " " &amp; MonitorRent!B:B, 0)), "")</f>
        <v/>
      </c>
      <c r="R219" s="295"/>
    </row>
    <row r="220">
      <c r="A220" s="284">
        <v>217.0</v>
      </c>
      <c r="B220" s="285" t="s">
        <v>10543</v>
      </c>
      <c r="C220" s="285" t="s">
        <v>10103</v>
      </c>
      <c r="D220" s="286" t="s">
        <v>10544</v>
      </c>
      <c r="E220" s="285" t="s">
        <v>6921</v>
      </c>
      <c r="F220" s="285" t="s">
        <v>10545</v>
      </c>
      <c r="G220" s="285" t="s">
        <v>10546</v>
      </c>
      <c r="H220" s="285" t="s">
        <v>10547</v>
      </c>
      <c r="I220" s="285" t="s">
        <v>10548</v>
      </c>
      <c r="J220" s="285" t="s">
        <v>5224</v>
      </c>
      <c r="K220" s="285" t="s">
        <v>10549</v>
      </c>
      <c r="L220" s="285" t="s">
        <v>10438</v>
      </c>
      <c r="M220" s="285" t="s">
        <v>9383</v>
      </c>
      <c r="N220" s="287" t="str">
        <f>IFERROR(
    IF(
        AND(
            VLOOKUP(B220, 'รายชื่อพนักงานลาออกพ้นสภาพ'!B:I, 8, FALSE)&lt;&gt;"ยกเลิกลาออก",
            VLOOKUP(B220, 'รายชื่อพนักงานลาออกพ้นสภาพ'!B:I, 7, FALSE)&lt;=TODAY()
        ),
        "ลาออกแล้ว",
        ""
    ),
"")</f>
        <v/>
      </c>
      <c r="O220" s="292" t="str">
        <f t="array" ref="O220">IFERROR(INDEX(PCRent!C:D, MATCH(F220 &amp; " " &amp; G220, PCRent!A:A &amp; " " &amp; PCRent!B:B, 0)), "")</f>
        <v/>
      </c>
      <c r="P220" s="293"/>
      <c r="Q220" s="294" t="str">
        <f t="array" ref="Q220">IFERROR(INDEX(MonitorRent!C:D, MATCH(F220 &amp; " " &amp; G220, MonitorRent!A:A &amp; " " &amp; MonitorRent!B:B, 0)), "")</f>
        <v/>
      </c>
      <c r="R220" s="295"/>
    </row>
    <row r="221">
      <c r="A221" s="284">
        <v>218.0</v>
      </c>
      <c r="B221" s="285" t="s">
        <v>247</v>
      </c>
      <c r="C221" s="285" t="s">
        <v>10103</v>
      </c>
      <c r="D221" s="286" t="s">
        <v>10550</v>
      </c>
      <c r="E221" s="285" t="s">
        <v>6921</v>
      </c>
      <c r="F221" s="285" t="s">
        <v>10551</v>
      </c>
      <c r="G221" s="285" t="s">
        <v>10552</v>
      </c>
      <c r="H221" s="285" t="s">
        <v>10361</v>
      </c>
      <c r="I221" s="285" t="s">
        <v>250</v>
      </c>
      <c r="J221" s="285" t="s">
        <v>5012</v>
      </c>
      <c r="K221" s="285" t="s">
        <v>1606</v>
      </c>
      <c r="L221" s="285" t="s">
        <v>10163</v>
      </c>
      <c r="M221" s="285" t="s">
        <v>9391</v>
      </c>
      <c r="N221" s="287" t="str">
        <f>IFERROR(
    IF(
        AND(
            VLOOKUP(B221, 'รายชื่อพนักงานลาออกพ้นสภาพ'!B:I, 8, FALSE)&lt;&gt;"ยกเลิกลาออก",
            VLOOKUP(B221, 'รายชื่อพนักงานลาออกพ้นสภาพ'!B:I, 7, FALSE)&lt;=TODAY()
        ),
        "ลาออกแล้ว",
        ""
    ),
"")</f>
        <v>ลาออกแล้ว</v>
      </c>
      <c r="O221" s="292" t="str">
        <f t="array" ref="O221">IFERROR(INDEX(PCRent!C:D, MATCH(F221 &amp; " " &amp; G221, PCRent!A:A &amp; " " &amp; PCRent!B:B, 0)), "")</f>
        <v/>
      </c>
      <c r="P221" s="293"/>
      <c r="Q221" s="294" t="str">
        <f t="array" ref="Q221">IFERROR(INDEX(MonitorRent!C:D, MATCH(F221 &amp; " " &amp; G221, MonitorRent!A:A &amp; " " &amp; MonitorRent!B:B, 0)), "")</f>
        <v/>
      </c>
      <c r="R221" s="295"/>
    </row>
    <row r="222">
      <c r="A222" s="284">
        <v>219.0</v>
      </c>
      <c r="B222" s="285" t="s">
        <v>4402</v>
      </c>
      <c r="C222" s="285" t="s">
        <v>10103</v>
      </c>
      <c r="D222" s="286" t="s">
        <v>10553</v>
      </c>
      <c r="E222" s="285" t="s">
        <v>6933</v>
      </c>
      <c r="F222" s="285" t="s">
        <v>10554</v>
      </c>
      <c r="G222" s="285" t="s">
        <v>10555</v>
      </c>
      <c r="H222" s="285" t="s">
        <v>10556</v>
      </c>
      <c r="I222" s="285" t="s">
        <v>6855</v>
      </c>
      <c r="J222" s="285" t="s">
        <v>5012</v>
      </c>
      <c r="K222" s="285" t="s">
        <v>1412</v>
      </c>
      <c r="L222" s="285" t="s">
        <v>10127</v>
      </c>
      <c r="M222" s="285" t="s">
        <v>9383</v>
      </c>
      <c r="N222" s="287" t="str">
        <f>IFERROR(
    IF(
        AND(
            VLOOKUP(B222, 'รายชื่อพนักงานลาออกพ้นสภาพ'!B:I, 8, FALSE)&lt;&gt;"ยกเลิกลาออก",
            VLOOKUP(B222, 'รายชื่อพนักงานลาออกพ้นสภาพ'!B:I, 7, FALSE)&lt;=TODAY()
        ),
        "ลาออกแล้ว",
        ""
    ),
"")</f>
        <v/>
      </c>
      <c r="O222" s="292" t="str">
        <f t="array" ref="O222">IFERROR(INDEX(PCRent!C:D, MATCH(F222 &amp; " " &amp; G222, PCRent!A:A &amp; " " &amp; PCRent!B:B, 0)), "")</f>
        <v/>
      </c>
      <c r="P222" s="293"/>
      <c r="Q222" s="294" t="str">
        <f t="array" ref="Q222">IFERROR(INDEX(MonitorRent!C:D, MATCH(F222 &amp; " " &amp; G222, MonitorRent!A:A &amp; " " &amp; MonitorRent!B:B, 0)), "")</f>
        <v/>
      </c>
      <c r="R222" s="295"/>
    </row>
    <row r="223">
      <c r="A223" s="284">
        <v>220.0</v>
      </c>
      <c r="B223" s="285" t="s">
        <v>10557</v>
      </c>
      <c r="C223" s="285" t="s">
        <v>10103</v>
      </c>
      <c r="D223" s="286" t="s">
        <v>10558</v>
      </c>
      <c r="E223" s="285" t="s">
        <v>6921</v>
      </c>
      <c r="F223" s="285" t="s">
        <v>10559</v>
      </c>
      <c r="G223" s="285" t="s">
        <v>10560</v>
      </c>
      <c r="H223" s="285" t="s">
        <v>10073</v>
      </c>
      <c r="I223" s="285" t="s">
        <v>10561</v>
      </c>
      <c r="J223" s="285" t="s">
        <v>5012</v>
      </c>
      <c r="K223" s="285" t="s">
        <v>1606</v>
      </c>
      <c r="L223" s="285" t="s">
        <v>832</v>
      </c>
      <c r="M223" s="285" t="s">
        <v>9391</v>
      </c>
      <c r="N223" s="287" t="str">
        <f>IFERROR(
    IF(
        AND(
            VLOOKUP(B223, 'รายชื่อพนักงานลาออกพ้นสภาพ'!B:I, 8, FALSE)&lt;&gt;"ยกเลิกลาออก",
            VLOOKUP(B223, 'รายชื่อพนักงานลาออกพ้นสภาพ'!B:I, 7, FALSE)&lt;=TODAY()
        ),
        "ลาออกแล้ว",
        ""
    ),
"")</f>
        <v/>
      </c>
      <c r="O223" s="292" t="str">
        <f t="array" ref="O223">IFERROR(INDEX(PCRent!C:D, MATCH(F223 &amp; " " &amp; G223, PCRent!A:A &amp; " " &amp; PCRent!B:B, 0)), "")</f>
        <v/>
      </c>
      <c r="P223" s="293"/>
      <c r="Q223" s="294" t="str">
        <f t="array" ref="Q223">IFERROR(INDEX(MonitorRent!C:D, MATCH(F223 &amp; " " &amp; G223, MonitorRent!A:A &amp; " " &amp; MonitorRent!B:B, 0)), "")</f>
        <v/>
      </c>
      <c r="R223" s="295"/>
    </row>
    <row r="224">
      <c r="A224" s="284">
        <v>221.0</v>
      </c>
      <c r="B224" s="285" t="s">
        <v>10562</v>
      </c>
      <c r="C224" s="285" t="s">
        <v>10103</v>
      </c>
      <c r="D224" s="286" t="s">
        <v>10563</v>
      </c>
      <c r="E224" s="285" t="s">
        <v>6921</v>
      </c>
      <c r="F224" s="285" t="s">
        <v>10564</v>
      </c>
      <c r="G224" s="285" t="s">
        <v>10565</v>
      </c>
      <c r="H224" s="285" t="s">
        <v>10032</v>
      </c>
      <c r="I224" s="285" t="s">
        <v>10566</v>
      </c>
      <c r="J224" s="285" t="s">
        <v>5012</v>
      </c>
      <c r="K224" s="285" t="s">
        <v>1606</v>
      </c>
      <c r="L224" s="285" t="s">
        <v>832</v>
      </c>
      <c r="M224" s="285" t="s">
        <v>9383</v>
      </c>
      <c r="N224" s="287" t="str">
        <f>IFERROR(
    IF(
        AND(
            VLOOKUP(B224, 'รายชื่อพนักงานลาออกพ้นสภาพ'!B:I, 8, FALSE)&lt;&gt;"ยกเลิกลาออก",
            VLOOKUP(B224, 'รายชื่อพนักงานลาออกพ้นสภาพ'!B:I, 7, FALSE)&lt;=TODAY()
        ),
        "ลาออกแล้ว",
        ""
    ),
"")</f>
        <v/>
      </c>
      <c r="O224" s="292" t="str">
        <f t="array" ref="O224">IFERROR(INDEX(PCRent!C:D, MATCH(F224 &amp; " " &amp; G224, PCRent!A:A &amp; " " &amp; PCRent!B:B, 0)), "")</f>
        <v/>
      </c>
      <c r="P224" s="293"/>
      <c r="Q224" s="294" t="str">
        <f t="array" ref="Q224">IFERROR(INDEX(MonitorRent!C:D, MATCH(F224 &amp; " " &amp; G224, MonitorRent!A:A &amp; " " &amp; MonitorRent!B:B, 0)), "")</f>
        <v/>
      </c>
      <c r="R224" s="295"/>
    </row>
    <row r="225">
      <c r="A225" s="284">
        <v>222.0</v>
      </c>
      <c r="B225" s="285" t="s">
        <v>10567</v>
      </c>
      <c r="C225" s="285" t="s">
        <v>10103</v>
      </c>
      <c r="D225" s="286" t="s">
        <v>9780</v>
      </c>
      <c r="E225" s="285" t="s">
        <v>6933</v>
      </c>
      <c r="F225" s="285" t="s">
        <v>10568</v>
      </c>
      <c r="G225" s="285" t="s">
        <v>10569</v>
      </c>
      <c r="H225" s="285" t="s">
        <v>10570</v>
      </c>
      <c r="I225" s="285" t="s">
        <v>10571</v>
      </c>
      <c r="J225" s="285" t="s">
        <v>5012</v>
      </c>
      <c r="K225" s="285" t="s">
        <v>5638</v>
      </c>
      <c r="L225" s="285" t="s">
        <v>832</v>
      </c>
      <c r="M225" s="285" t="s">
        <v>9391</v>
      </c>
      <c r="N225" s="287" t="str">
        <f>IFERROR(
    IF(
        AND(
            VLOOKUP(B225, 'รายชื่อพนักงานลาออกพ้นสภาพ'!B:I, 8, FALSE)&lt;&gt;"ยกเลิกลาออก",
            VLOOKUP(B225, 'รายชื่อพนักงานลาออกพ้นสภาพ'!B:I, 7, FALSE)&lt;=TODAY()
        ),
        "ลาออกแล้ว",
        ""
    ),
"")</f>
        <v/>
      </c>
      <c r="O225" s="292" t="str">
        <f t="array" ref="O225">IFERROR(INDEX(PCRent!C:D, MATCH(F225 &amp; " " &amp; G225, PCRent!A:A &amp; " " &amp; PCRent!B:B, 0)), "")</f>
        <v/>
      </c>
      <c r="P225" s="293"/>
      <c r="Q225" s="294" t="str">
        <f t="array" ref="Q225">IFERROR(INDEX(MonitorRent!C:D, MATCH(F225 &amp; " " &amp; G225, MonitorRent!A:A &amp; " " &amp; MonitorRent!B:B, 0)), "")</f>
        <v/>
      </c>
      <c r="R225" s="295"/>
    </row>
    <row r="226">
      <c r="A226" s="284">
        <v>223.0</v>
      </c>
      <c r="B226" s="285" t="s">
        <v>292</v>
      </c>
      <c r="C226" s="285" t="s">
        <v>10103</v>
      </c>
      <c r="D226" s="286" t="s">
        <v>9829</v>
      </c>
      <c r="E226" s="285" t="s">
        <v>6933</v>
      </c>
      <c r="F226" s="285" t="s">
        <v>10572</v>
      </c>
      <c r="G226" s="285" t="s">
        <v>10573</v>
      </c>
      <c r="H226" s="285" t="s">
        <v>10574</v>
      </c>
      <c r="I226" s="285" t="s">
        <v>295</v>
      </c>
      <c r="J226" s="285" t="s">
        <v>5012</v>
      </c>
      <c r="K226" s="285" t="s">
        <v>10114</v>
      </c>
      <c r="L226" s="285" t="s">
        <v>832</v>
      </c>
      <c r="M226" s="285" t="s">
        <v>9391</v>
      </c>
      <c r="N226" s="287" t="str">
        <f>IFERROR(
    IF(
        AND(
            VLOOKUP(B226, 'รายชื่อพนักงานลาออกพ้นสภาพ'!B:I, 8, FALSE)&lt;&gt;"ยกเลิกลาออก",
            VLOOKUP(B226, 'รายชื่อพนักงานลาออกพ้นสภาพ'!B:I, 7, FALSE)&lt;=TODAY()
        ),
        "ลาออกแล้ว",
        ""
    ),
"")</f>
        <v>ลาออกแล้ว</v>
      </c>
      <c r="O226" s="292" t="str">
        <f t="array" ref="O226">IFERROR(INDEX(PCRent!C:D, MATCH(F226 &amp; " " &amp; G226, PCRent!A:A &amp; " " &amp; PCRent!B:B, 0)), "")</f>
        <v/>
      </c>
      <c r="P226" s="293"/>
      <c r="Q226" s="294" t="str">
        <f t="array" ref="Q226">IFERROR(INDEX(MonitorRent!C:D, MATCH(F226 &amp; " " &amp; G226, MonitorRent!A:A &amp; " " &amp; MonitorRent!B:B, 0)), "")</f>
        <v/>
      </c>
      <c r="R226" s="295"/>
    </row>
    <row r="227">
      <c r="A227" s="284">
        <v>224.0</v>
      </c>
      <c r="B227" s="285" t="s">
        <v>10575</v>
      </c>
      <c r="C227" s="285" t="s">
        <v>10103</v>
      </c>
      <c r="D227" s="286" t="s">
        <v>10303</v>
      </c>
      <c r="E227" s="285" t="s">
        <v>6933</v>
      </c>
      <c r="F227" s="285" t="s">
        <v>10576</v>
      </c>
      <c r="G227" s="285" t="s">
        <v>10577</v>
      </c>
      <c r="H227" s="285" t="s">
        <v>10578</v>
      </c>
      <c r="I227" s="285" t="s">
        <v>10579</v>
      </c>
      <c r="J227" s="285" t="s">
        <v>5012</v>
      </c>
      <c r="K227" s="285" t="s">
        <v>10114</v>
      </c>
      <c r="L227" s="285" t="s">
        <v>832</v>
      </c>
      <c r="M227" s="285" t="s">
        <v>9383</v>
      </c>
      <c r="N227" s="287" t="str">
        <f>IFERROR(
    IF(
        AND(
            VLOOKUP(B227, 'รายชื่อพนักงานลาออกพ้นสภาพ'!B:I, 8, FALSE)&lt;&gt;"ยกเลิกลาออก",
            VLOOKUP(B227, 'รายชื่อพนักงานลาออกพ้นสภาพ'!B:I, 7, FALSE)&lt;=TODAY()
        ),
        "ลาออกแล้ว",
        ""
    ),
"")</f>
        <v/>
      </c>
      <c r="O227" s="292" t="str">
        <f t="array" ref="O227">IFERROR(INDEX(PCRent!C:D, MATCH(F227 &amp; " " &amp; G227, PCRent!A:A &amp; " " &amp; PCRent!B:B, 0)), "")</f>
        <v/>
      </c>
      <c r="P227" s="293"/>
      <c r="Q227" s="294" t="str">
        <f t="array" ref="Q227">IFERROR(INDEX(MonitorRent!C:D, MATCH(F227 &amp; " " &amp; G227, MonitorRent!A:A &amp; " " &amp; MonitorRent!B:B, 0)), "")</f>
        <v/>
      </c>
      <c r="R227" s="295"/>
    </row>
    <row r="228">
      <c r="A228" s="284">
        <v>225.0</v>
      </c>
      <c r="B228" s="285" t="s">
        <v>10580</v>
      </c>
      <c r="C228" s="285" t="s">
        <v>10103</v>
      </c>
      <c r="D228" s="286" t="s">
        <v>9673</v>
      </c>
      <c r="E228" s="285" t="s">
        <v>6933</v>
      </c>
      <c r="F228" s="285" t="s">
        <v>10581</v>
      </c>
      <c r="G228" s="285" t="s">
        <v>10582</v>
      </c>
      <c r="H228" s="285" t="s">
        <v>10583</v>
      </c>
      <c r="I228" s="285" t="s">
        <v>10584</v>
      </c>
      <c r="J228" s="285" t="s">
        <v>5012</v>
      </c>
      <c r="K228" s="285" t="s">
        <v>10114</v>
      </c>
      <c r="L228" s="285" t="s">
        <v>832</v>
      </c>
      <c r="M228" s="285" t="s">
        <v>9383</v>
      </c>
      <c r="N228" s="287" t="str">
        <f>IFERROR(
    IF(
        AND(
            VLOOKUP(B228, 'รายชื่อพนักงานลาออกพ้นสภาพ'!B:I, 8, FALSE)&lt;&gt;"ยกเลิกลาออก",
            VLOOKUP(B228, 'รายชื่อพนักงานลาออกพ้นสภาพ'!B:I, 7, FALSE)&lt;=TODAY()
        ),
        "ลาออกแล้ว",
        ""
    ),
"")</f>
        <v/>
      </c>
      <c r="O228" s="292" t="str">
        <f t="array" ref="O228">IFERROR(INDEX(PCRent!C:D, MATCH(F228 &amp; " " &amp; G228, PCRent!A:A &amp; " " &amp; PCRent!B:B, 0)), "")</f>
        <v/>
      </c>
      <c r="P228" s="293"/>
      <c r="Q228" s="294" t="str">
        <f t="array" ref="Q228">IFERROR(INDEX(MonitorRent!C:D, MATCH(F228 &amp; " " &amp; G228, MonitorRent!A:A &amp; " " &amp; MonitorRent!B:B, 0)), "")</f>
        <v/>
      </c>
      <c r="R228" s="295"/>
    </row>
    <row r="229">
      <c r="A229" s="284">
        <v>226.0</v>
      </c>
      <c r="B229" s="285" t="s">
        <v>10585</v>
      </c>
      <c r="C229" s="285" t="s">
        <v>10103</v>
      </c>
      <c r="D229" s="286" t="s">
        <v>10586</v>
      </c>
      <c r="E229" s="285" t="s">
        <v>6921</v>
      </c>
      <c r="F229" s="285" t="s">
        <v>10587</v>
      </c>
      <c r="G229" s="285" t="s">
        <v>10588</v>
      </c>
      <c r="H229" s="285" t="s">
        <v>10589</v>
      </c>
      <c r="I229" s="285" t="s">
        <v>10590</v>
      </c>
      <c r="J229" s="285" t="s">
        <v>5012</v>
      </c>
      <c r="K229" s="285" t="s">
        <v>1492</v>
      </c>
      <c r="L229" s="285" t="s">
        <v>1258</v>
      </c>
      <c r="M229" s="285" t="s">
        <v>9383</v>
      </c>
      <c r="N229" s="287" t="str">
        <f>IFERROR(
    IF(
        AND(
            VLOOKUP(B229, 'รายชื่อพนักงานลาออกพ้นสภาพ'!B:I, 8, FALSE)&lt;&gt;"ยกเลิกลาออก",
            VLOOKUP(B229, 'รายชื่อพนักงานลาออกพ้นสภาพ'!B:I, 7, FALSE)&lt;=TODAY()
        ),
        "ลาออกแล้ว",
        ""
    ),
"")</f>
        <v/>
      </c>
      <c r="O229" s="292" t="str">
        <f t="array" ref="O229">IFERROR(INDEX(PCRent!C:D, MATCH(F229 &amp; " " &amp; G229, PCRent!A:A &amp; " " &amp; PCRent!B:B, 0)), "")</f>
        <v/>
      </c>
      <c r="P229" s="293"/>
      <c r="Q229" s="294" t="str">
        <f t="array" ref="Q229">IFERROR(INDEX(MonitorRent!C:D, MATCH(F229 &amp; " " &amp; G229, MonitorRent!A:A &amp; " " &amp; MonitorRent!B:B, 0)), "")</f>
        <v/>
      </c>
      <c r="R229" s="295"/>
    </row>
    <row r="230">
      <c r="A230" s="284">
        <v>227.0</v>
      </c>
      <c r="B230" s="285" t="s">
        <v>1061</v>
      </c>
      <c r="C230" s="285" t="s">
        <v>10103</v>
      </c>
      <c r="D230" s="286" t="s">
        <v>10196</v>
      </c>
      <c r="E230" s="285" t="s">
        <v>6933</v>
      </c>
      <c r="F230" s="285" t="s">
        <v>10587</v>
      </c>
      <c r="G230" s="285" t="s">
        <v>10591</v>
      </c>
      <c r="H230" s="285" t="s">
        <v>10592</v>
      </c>
      <c r="I230" s="285" t="s">
        <v>1064</v>
      </c>
      <c r="J230" s="285" t="s">
        <v>5012</v>
      </c>
      <c r="K230" s="285" t="s">
        <v>10114</v>
      </c>
      <c r="L230" s="285" t="s">
        <v>10127</v>
      </c>
      <c r="M230" s="285" t="s">
        <v>9391</v>
      </c>
      <c r="N230" s="287" t="str">
        <f>IFERROR(
    IF(
        AND(
            VLOOKUP(B230, 'รายชื่อพนักงานลาออกพ้นสภาพ'!B:I, 8, FALSE)&lt;&gt;"ยกเลิกลาออก",
            VLOOKUP(B230, 'รายชื่อพนักงานลาออกพ้นสภาพ'!B:I, 7, FALSE)&lt;=TODAY()
        ),
        "ลาออกแล้ว",
        ""
    ),
"")</f>
        <v/>
      </c>
      <c r="O230" s="292" t="str">
        <f t="array" ref="O230">IFERROR(INDEX(PCRent!C:D, MATCH(F230 &amp; " " &amp; G230, PCRent!A:A &amp; " " &amp; PCRent!B:B, 0)), "")</f>
        <v/>
      </c>
      <c r="P230" s="293"/>
      <c r="Q230" s="294" t="str">
        <f t="array" ref="Q230">IFERROR(INDEX(MonitorRent!C:D, MATCH(F230 &amp; " " &amp; G230, MonitorRent!A:A &amp; " " &amp; MonitorRent!B:B, 0)), "")</f>
        <v/>
      </c>
      <c r="R230" s="295"/>
    </row>
    <row r="231">
      <c r="A231" s="284">
        <v>228.0</v>
      </c>
      <c r="B231" s="285" t="s">
        <v>10593</v>
      </c>
      <c r="C231" s="285" t="s">
        <v>10103</v>
      </c>
      <c r="D231" s="286" t="s">
        <v>10594</v>
      </c>
      <c r="E231" s="285" t="s">
        <v>6933</v>
      </c>
      <c r="F231" s="285" t="s">
        <v>10595</v>
      </c>
      <c r="G231" s="285" t="s">
        <v>10596</v>
      </c>
      <c r="H231" s="285" t="s">
        <v>10597</v>
      </c>
      <c r="I231" s="285" t="s">
        <v>10598</v>
      </c>
      <c r="J231" s="285" t="s">
        <v>5012</v>
      </c>
      <c r="K231" s="285" t="s">
        <v>5638</v>
      </c>
      <c r="L231" s="285" t="s">
        <v>10127</v>
      </c>
      <c r="M231" s="285" t="s">
        <v>9383</v>
      </c>
      <c r="N231" s="287" t="str">
        <f>IFERROR(
    IF(
        AND(
            VLOOKUP(B231, 'รายชื่อพนักงานลาออกพ้นสภาพ'!B:I, 8, FALSE)&lt;&gt;"ยกเลิกลาออก",
            VLOOKUP(B231, 'รายชื่อพนักงานลาออกพ้นสภาพ'!B:I, 7, FALSE)&lt;=TODAY()
        ),
        "ลาออกแล้ว",
        ""
    ),
"")</f>
        <v/>
      </c>
      <c r="O231" s="292" t="str">
        <f t="array" ref="O231">IFERROR(INDEX(PCRent!C:D, MATCH(F231 &amp; " " &amp; G231, PCRent!A:A &amp; " " &amp; PCRent!B:B, 0)), "")</f>
        <v/>
      </c>
      <c r="P231" s="293"/>
      <c r="Q231" s="294" t="str">
        <f t="array" ref="Q231">IFERROR(INDEX(MonitorRent!C:D, MATCH(F231 &amp; " " &amp; G231, MonitorRent!A:A &amp; " " &amp; MonitorRent!B:B, 0)), "")</f>
        <v/>
      </c>
      <c r="R231" s="295"/>
    </row>
    <row r="232">
      <c r="A232" s="284">
        <v>229.0</v>
      </c>
      <c r="B232" s="285" t="s">
        <v>1037</v>
      </c>
      <c r="C232" s="285" t="s">
        <v>10103</v>
      </c>
      <c r="D232" s="286" t="s">
        <v>10599</v>
      </c>
      <c r="E232" s="285" t="s">
        <v>6933</v>
      </c>
      <c r="F232" s="285" t="s">
        <v>10600</v>
      </c>
      <c r="G232" s="285" t="s">
        <v>10601</v>
      </c>
      <c r="H232" s="285" t="s">
        <v>9418</v>
      </c>
      <c r="I232" s="285" t="s">
        <v>1040</v>
      </c>
      <c r="J232" s="285" t="s">
        <v>5012</v>
      </c>
      <c r="K232" s="285" t="s">
        <v>5638</v>
      </c>
      <c r="L232" s="285" t="s">
        <v>10127</v>
      </c>
      <c r="M232" s="285" t="s">
        <v>9383</v>
      </c>
      <c r="N232" s="287" t="str">
        <f>IFERROR(
    IF(
        AND(
            VLOOKUP(B232, 'รายชื่อพนักงานลาออกพ้นสภาพ'!B:I, 8, FALSE)&lt;&gt;"ยกเลิกลาออก",
            VLOOKUP(B232, 'รายชื่อพนักงานลาออกพ้นสภาพ'!B:I, 7, FALSE)&lt;=TODAY()
        ),
        "ลาออกแล้ว",
        ""
    ),
"")</f>
        <v>ลาออกแล้ว</v>
      </c>
      <c r="O232" s="292" t="str">
        <f t="array" ref="O232">IFERROR(INDEX(PCRent!C:D, MATCH(F232 &amp; " " &amp; G232, PCRent!A:A &amp; " " &amp; PCRent!B:B, 0)), "")</f>
        <v/>
      </c>
      <c r="P232" s="293"/>
      <c r="Q232" s="294" t="str">
        <f t="array" ref="Q232">IFERROR(INDEX(MonitorRent!C:D, MATCH(F232 &amp; " " &amp; G232, MonitorRent!A:A &amp; " " &amp; MonitorRent!B:B, 0)), "")</f>
        <v/>
      </c>
      <c r="R232" s="295"/>
    </row>
    <row r="233">
      <c r="A233" s="284">
        <v>230.0</v>
      </c>
      <c r="B233" s="285" t="s">
        <v>10602</v>
      </c>
      <c r="C233" s="285" t="s">
        <v>10103</v>
      </c>
      <c r="D233" s="286" t="s">
        <v>10603</v>
      </c>
      <c r="E233" s="285" t="s">
        <v>6933</v>
      </c>
      <c r="F233" s="285" t="s">
        <v>10600</v>
      </c>
      <c r="G233" s="285" t="s">
        <v>10604</v>
      </c>
      <c r="H233" s="285" t="s">
        <v>10605</v>
      </c>
      <c r="I233" s="285" t="s">
        <v>10606</v>
      </c>
      <c r="J233" s="285" t="s">
        <v>5012</v>
      </c>
      <c r="K233" s="285" t="s">
        <v>5638</v>
      </c>
      <c r="L233" s="285" t="s">
        <v>832</v>
      </c>
      <c r="M233" s="285" t="s">
        <v>9383</v>
      </c>
      <c r="N233" s="287" t="str">
        <f>IFERROR(
    IF(
        AND(
            VLOOKUP(B233, 'รายชื่อพนักงานลาออกพ้นสภาพ'!B:I, 8, FALSE)&lt;&gt;"ยกเลิกลาออก",
            VLOOKUP(B233, 'รายชื่อพนักงานลาออกพ้นสภาพ'!B:I, 7, FALSE)&lt;=TODAY()
        ),
        "ลาออกแล้ว",
        ""
    ),
"")</f>
        <v/>
      </c>
      <c r="O233" s="292" t="str">
        <f t="array" ref="O233">IFERROR(INDEX(PCRent!C:D, MATCH(F233 &amp; " " &amp; G233, PCRent!A:A &amp; " " &amp; PCRent!B:B, 0)), "")</f>
        <v/>
      </c>
      <c r="P233" s="293"/>
      <c r="Q233" s="294" t="str">
        <f t="array" ref="Q233">IFERROR(INDEX(MonitorRent!C:D, MATCH(F233 &amp; " " &amp; G233, MonitorRent!A:A &amp; " " &amp; MonitorRent!B:B, 0)), "")</f>
        <v/>
      </c>
      <c r="R233" s="295"/>
    </row>
    <row r="234">
      <c r="A234" s="284">
        <v>231.0</v>
      </c>
      <c r="B234" s="285" t="s">
        <v>10607</v>
      </c>
      <c r="C234" s="285" t="s">
        <v>10103</v>
      </c>
      <c r="D234" s="286" t="s">
        <v>10608</v>
      </c>
      <c r="E234" s="285" t="s">
        <v>6933</v>
      </c>
      <c r="F234" s="285" t="s">
        <v>10609</v>
      </c>
      <c r="G234" s="285" t="s">
        <v>10610</v>
      </c>
      <c r="H234" s="285" t="s">
        <v>9940</v>
      </c>
      <c r="I234" s="285" t="s">
        <v>10611</v>
      </c>
      <c r="J234" s="285" t="s">
        <v>5224</v>
      </c>
      <c r="K234" s="285" t="s">
        <v>4749</v>
      </c>
      <c r="L234" s="285" t="s">
        <v>10163</v>
      </c>
      <c r="M234" s="285" t="s">
        <v>9383</v>
      </c>
      <c r="N234" s="287" t="str">
        <f>IFERROR(
    IF(
        AND(
            VLOOKUP(B234, 'รายชื่อพนักงานลาออกพ้นสภาพ'!B:I, 8, FALSE)&lt;&gt;"ยกเลิกลาออก",
            VLOOKUP(B234, 'รายชื่อพนักงานลาออกพ้นสภาพ'!B:I, 7, FALSE)&lt;=TODAY()
        ),
        "ลาออกแล้ว",
        ""
    ),
"")</f>
        <v/>
      </c>
      <c r="O234" s="292" t="str">
        <f t="array" ref="O234:P234">IFERROR(INDEX(PCRent!C:D, MATCH(F234 &amp; " " &amp; G234, PCRent!A:A &amp; " " &amp; PCRent!B:B, 0)), "")</f>
        <v>SN:MP2E30CF</v>
      </c>
      <c r="P234" s="293" t="s">
        <v>6993</v>
      </c>
      <c r="Q234" s="294" t="str">
        <f t="array" ref="Q234">IFERROR(INDEX(MonitorRent!C:D, MATCH(F234 &amp; " " &amp; G234, MonitorRent!A:A &amp; " " &amp; MonitorRent!B:B, 0)), "")</f>
        <v/>
      </c>
      <c r="R234" s="295"/>
    </row>
    <row r="235">
      <c r="A235" s="284">
        <v>232.0</v>
      </c>
      <c r="B235" s="285" t="s">
        <v>10612</v>
      </c>
      <c r="C235" s="285" t="s">
        <v>10103</v>
      </c>
      <c r="D235" s="286" t="s">
        <v>10613</v>
      </c>
      <c r="E235" s="285" t="s">
        <v>6933</v>
      </c>
      <c r="F235" s="285" t="s">
        <v>10614</v>
      </c>
      <c r="G235" s="285" t="s">
        <v>10615</v>
      </c>
      <c r="H235" s="285" t="s">
        <v>10203</v>
      </c>
      <c r="I235" s="285" t="s">
        <v>10616</v>
      </c>
      <c r="J235" s="285" t="s">
        <v>5012</v>
      </c>
      <c r="K235" s="285" t="s">
        <v>10114</v>
      </c>
      <c r="L235" s="285" t="s">
        <v>832</v>
      </c>
      <c r="M235" s="285" t="s">
        <v>9383</v>
      </c>
      <c r="N235" s="287" t="str">
        <f>IFERROR(
    IF(
        AND(
            VLOOKUP(B235, 'รายชื่อพนักงานลาออกพ้นสภาพ'!B:I, 8, FALSE)&lt;&gt;"ยกเลิกลาออก",
            VLOOKUP(B235, 'รายชื่อพนักงานลาออกพ้นสภาพ'!B:I, 7, FALSE)&lt;=TODAY()
        ),
        "ลาออกแล้ว",
        ""
    ),
"")</f>
        <v/>
      </c>
      <c r="O235" s="292" t="str">
        <f t="array" ref="O235">IFERROR(INDEX(PCRent!C:D, MATCH(F235 &amp; " " &amp; G235, PCRent!A:A &amp; " " &amp; PCRent!B:B, 0)), "")</f>
        <v/>
      </c>
      <c r="P235" s="293"/>
      <c r="Q235" s="294" t="str">
        <f t="array" ref="Q235">IFERROR(INDEX(MonitorRent!C:D, MATCH(F235 &amp; " " &amp; G235, MonitorRent!A:A &amp; " " &amp; MonitorRent!B:B, 0)), "")</f>
        <v/>
      </c>
      <c r="R235" s="295"/>
    </row>
    <row r="236">
      <c r="A236" s="284">
        <v>233.0</v>
      </c>
      <c r="B236" s="285" t="s">
        <v>762</v>
      </c>
      <c r="C236" s="285" t="s">
        <v>10103</v>
      </c>
      <c r="D236" s="286" t="s">
        <v>10617</v>
      </c>
      <c r="E236" s="285" t="s">
        <v>6921</v>
      </c>
      <c r="F236" s="285" t="s">
        <v>10618</v>
      </c>
      <c r="G236" s="285" t="s">
        <v>10619</v>
      </c>
      <c r="H236" s="285" t="s">
        <v>10620</v>
      </c>
      <c r="I236" s="285" t="s">
        <v>765</v>
      </c>
      <c r="J236" s="285" t="s">
        <v>5012</v>
      </c>
      <c r="K236" s="285" t="s">
        <v>3000</v>
      </c>
      <c r="L236" s="285" t="s">
        <v>10127</v>
      </c>
      <c r="M236" s="285" t="s">
        <v>9383</v>
      </c>
      <c r="N236" s="287" t="str">
        <f>IFERROR(
    IF(
        AND(
            VLOOKUP(B236, 'รายชื่อพนักงานลาออกพ้นสภาพ'!B:I, 8, FALSE)&lt;&gt;"ยกเลิกลาออก",
            VLOOKUP(B236, 'รายชื่อพนักงานลาออกพ้นสภาพ'!B:I, 7, FALSE)&lt;=TODAY()
        ),
        "ลาออกแล้ว",
        ""
    ),
"")</f>
        <v>ลาออกแล้ว</v>
      </c>
      <c r="O236" s="292" t="str">
        <f t="array" ref="O236">IFERROR(INDEX(PCRent!C:D, MATCH(F236 &amp; " " &amp; G236, PCRent!A:A &amp; " " &amp; PCRent!B:B, 0)), "")</f>
        <v/>
      </c>
      <c r="P236" s="293"/>
      <c r="Q236" s="294" t="str">
        <f t="array" ref="Q236">IFERROR(INDEX(MonitorRent!C:D, MATCH(F236 &amp; " " &amp; G236, MonitorRent!A:A &amp; " " &amp; MonitorRent!B:B, 0)), "")</f>
        <v/>
      </c>
      <c r="R236" s="295"/>
    </row>
    <row r="237">
      <c r="A237" s="284">
        <v>234.0</v>
      </c>
      <c r="B237" s="285" t="s">
        <v>587</v>
      </c>
      <c r="C237" s="285" t="s">
        <v>10103</v>
      </c>
      <c r="D237" s="286" t="s">
        <v>10621</v>
      </c>
      <c r="E237" s="285" t="s">
        <v>6933</v>
      </c>
      <c r="F237" s="285" t="s">
        <v>10622</v>
      </c>
      <c r="G237" s="285" t="s">
        <v>10623</v>
      </c>
      <c r="H237" s="285" t="s">
        <v>10624</v>
      </c>
      <c r="I237" s="285" t="s">
        <v>589</v>
      </c>
      <c r="J237" s="285" t="s">
        <v>5012</v>
      </c>
      <c r="K237" s="285" t="s">
        <v>1412</v>
      </c>
      <c r="L237" s="285" t="s">
        <v>10127</v>
      </c>
      <c r="M237" s="285" t="s">
        <v>9383</v>
      </c>
      <c r="N237" s="287" t="str">
        <f>IFERROR(
    IF(
        AND(
            VLOOKUP(B237, 'รายชื่อพนักงานลาออกพ้นสภาพ'!B:I, 8, FALSE)&lt;&gt;"ยกเลิกลาออก",
            VLOOKUP(B237, 'รายชื่อพนักงานลาออกพ้นสภาพ'!B:I, 7, FALSE)&lt;=TODAY()
        ),
        "ลาออกแล้ว",
        ""
    ),
"")</f>
        <v>ลาออกแล้ว</v>
      </c>
      <c r="O237" s="292" t="str">
        <f t="array" ref="O237">IFERROR(INDEX(PCRent!C:D, MATCH(F237 &amp; " " &amp; G237, PCRent!A:A &amp; " " &amp; PCRent!B:B, 0)), "")</f>
        <v/>
      </c>
      <c r="P237" s="293"/>
      <c r="Q237" s="294" t="str">
        <f t="array" ref="Q237">IFERROR(INDEX(MonitorRent!C:D, MATCH(F237 &amp; " " &amp; G237, MonitorRent!A:A &amp; " " &amp; MonitorRent!B:B, 0)), "")</f>
        <v/>
      </c>
      <c r="R237" s="295"/>
    </row>
    <row r="238">
      <c r="A238" s="284">
        <v>235.0</v>
      </c>
      <c r="B238" s="285" t="s">
        <v>540</v>
      </c>
      <c r="C238" s="285" t="s">
        <v>10103</v>
      </c>
      <c r="D238" s="286" t="s">
        <v>10625</v>
      </c>
      <c r="E238" s="285" t="s">
        <v>7239</v>
      </c>
      <c r="F238" s="285" t="s">
        <v>10622</v>
      </c>
      <c r="G238" s="285" t="s">
        <v>10626</v>
      </c>
      <c r="H238" s="285" t="s">
        <v>10627</v>
      </c>
      <c r="I238" s="285" t="s">
        <v>542</v>
      </c>
      <c r="J238" s="285" t="s">
        <v>5012</v>
      </c>
      <c r="K238" s="285" t="s">
        <v>5341</v>
      </c>
      <c r="L238" s="285" t="s">
        <v>10127</v>
      </c>
      <c r="M238" s="285" t="s">
        <v>9383</v>
      </c>
      <c r="N238" s="287" t="str">
        <f>IFERROR(
    IF(
        AND(
            VLOOKUP(B238, 'รายชื่อพนักงานลาออกพ้นสภาพ'!B:I, 8, FALSE)&lt;&gt;"ยกเลิกลาออก",
            VLOOKUP(B238, 'รายชื่อพนักงานลาออกพ้นสภาพ'!B:I, 7, FALSE)&lt;=TODAY()
        ),
        "ลาออกแล้ว",
        ""
    ),
"")</f>
        <v>ลาออกแล้ว</v>
      </c>
      <c r="O238" s="292" t="str">
        <f t="array" ref="O238">IFERROR(INDEX(PCRent!C:D, MATCH(F238 &amp; " " &amp; G238, PCRent!A:A &amp; " " &amp; PCRent!B:B, 0)), "")</f>
        <v/>
      </c>
      <c r="P238" s="293"/>
      <c r="Q238" s="294" t="str">
        <f t="array" ref="Q238">IFERROR(INDEX(MonitorRent!C:D, MATCH(F238 &amp; " " &amp; G238, MonitorRent!A:A &amp; " " &amp; MonitorRent!B:B, 0)), "")</f>
        <v/>
      </c>
      <c r="R238" s="295"/>
    </row>
    <row r="239">
      <c r="A239" s="284">
        <v>236.0</v>
      </c>
      <c r="B239" s="285" t="s">
        <v>979</v>
      </c>
      <c r="C239" s="285" t="s">
        <v>10103</v>
      </c>
      <c r="D239" s="286" t="s">
        <v>10196</v>
      </c>
      <c r="E239" s="285" t="s">
        <v>6933</v>
      </c>
      <c r="F239" s="285" t="s">
        <v>10622</v>
      </c>
      <c r="G239" s="285" t="s">
        <v>10628</v>
      </c>
      <c r="H239" s="285" t="s">
        <v>10629</v>
      </c>
      <c r="I239" s="285" t="s">
        <v>981</v>
      </c>
      <c r="J239" s="285" t="s">
        <v>5012</v>
      </c>
      <c r="K239" s="285" t="s">
        <v>10114</v>
      </c>
      <c r="L239" s="285" t="s">
        <v>10127</v>
      </c>
      <c r="M239" s="285" t="s">
        <v>9391</v>
      </c>
      <c r="N239" s="287" t="str">
        <f>IFERROR(
    IF(
        AND(
            VLOOKUP(B239, 'รายชื่อพนักงานลาออกพ้นสภาพ'!B:I, 8, FALSE)&lt;&gt;"ยกเลิกลาออก",
            VLOOKUP(B239, 'รายชื่อพนักงานลาออกพ้นสภาพ'!B:I, 7, FALSE)&lt;=TODAY()
        ),
        "ลาออกแล้ว",
        ""
    ),
"")</f>
        <v/>
      </c>
      <c r="O239" s="292" t="str">
        <f t="array" ref="O239">IFERROR(INDEX(PCRent!C:D, MATCH(F239 &amp; " " &amp; G239, PCRent!A:A &amp; " " &amp; PCRent!B:B, 0)), "")</f>
        <v/>
      </c>
      <c r="P239" s="293"/>
      <c r="Q239" s="294" t="str">
        <f t="array" ref="Q239">IFERROR(INDEX(MonitorRent!C:D, MATCH(F239 &amp; " " &amp; G239, MonitorRent!A:A &amp; " " &amp; MonitorRent!B:B, 0)), "")</f>
        <v/>
      </c>
      <c r="R239" s="295"/>
    </row>
    <row r="240">
      <c r="A240" s="284">
        <v>237.0</v>
      </c>
      <c r="B240" s="285" t="s">
        <v>10630</v>
      </c>
      <c r="C240" s="285" t="s">
        <v>10103</v>
      </c>
      <c r="D240" s="286" t="s">
        <v>10631</v>
      </c>
      <c r="E240" s="285" t="s">
        <v>6933</v>
      </c>
      <c r="F240" s="285" t="s">
        <v>10632</v>
      </c>
      <c r="G240" s="285" t="s">
        <v>10633</v>
      </c>
      <c r="H240" s="285" t="s">
        <v>10634</v>
      </c>
      <c r="I240" s="285" t="s">
        <v>10635</v>
      </c>
      <c r="J240" s="285" t="s">
        <v>5224</v>
      </c>
      <c r="K240" s="285" t="s">
        <v>4818</v>
      </c>
      <c r="L240" s="285" t="s">
        <v>10127</v>
      </c>
      <c r="M240" s="285" t="s">
        <v>9383</v>
      </c>
      <c r="N240" s="287" t="str">
        <f>IFERROR(
    IF(
        AND(
            VLOOKUP(B240, 'รายชื่อพนักงานลาออกพ้นสภาพ'!B:I, 8, FALSE)&lt;&gt;"ยกเลิกลาออก",
            VLOOKUP(B240, 'รายชื่อพนักงานลาออกพ้นสภาพ'!B:I, 7, FALSE)&lt;=TODAY()
        ),
        "ลาออกแล้ว",
        ""
    ),
"")</f>
        <v/>
      </c>
      <c r="O240" s="292" t="str">
        <f t="array" ref="O240">IFERROR(INDEX(PCRent!C:D, MATCH(F240 &amp; " " &amp; G240, PCRent!A:A &amp; " " &amp; PCRent!B:B, 0)), "")</f>
        <v/>
      </c>
      <c r="P240" s="293"/>
      <c r="Q240" s="294" t="str">
        <f t="array" ref="Q240">IFERROR(INDEX(MonitorRent!C:D, MATCH(F240 &amp; " " &amp; G240, MonitorRent!A:A &amp; " " &amp; MonitorRent!B:B, 0)), "")</f>
        <v/>
      </c>
      <c r="R240" s="295"/>
    </row>
    <row r="241">
      <c r="A241" s="284">
        <v>238.0</v>
      </c>
      <c r="B241" s="285" t="s">
        <v>99</v>
      </c>
      <c r="C241" s="285" t="s">
        <v>10103</v>
      </c>
      <c r="D241" s="286" t="s">
        <v>10636</v>
      </c>
      <c r="E241" s="285" t="s">
        <v>6921</v>
      </c>
      <c r="F241" s="285" t="s">
        <v>10637</v>
      </c>
      <c r="G241" s="285" t="s">
        <v>10638</v>
      </c>
      <c r="H241" s="285" t="s">
        <v>9579</v>
      </c>
      <c r="I241" s="285" t="s">
        <v>103</v>
      </c>
      <c r="J241" s="285" t="s">
        <v>5224</v>
      </c>
      <c r="K241" s="285" t="s">
        <v>10639</v>
      </c>
      <c r="L241" s="285" t="s">
        <v>5805</v>
      </c>
      <c r="M241" s="285" t="s">
        <v>9383</v>
      </c>
      <c r="N241" s="287" t="str">
        <f>IFERROR(
    IF(
        AND(
            VLOOKUP(B241, 'รายชื่อพนักงานลาออกพ้นสภาพ'!B:I, 8, FALSE)&lt;&gt;"ยกเลิกลาออก",
            VLOOKUP(B241, 'รายชื่อพนักงานลาออกพ้นสภาพ'!B:I, 7, FALSE)&lt;=TODAY()
        ),
        "ลาออกแล้ว",
        ""
    ),
"")</f>
        <v>ลาออกแล้ว</v>
      </c>
      <c r="O241" s="292" t="str">
        <f t="array" ref="O241">IFERROR(INDEX(PCRent!C:D, MATCH(F241 &amp; " " &amp; G241, PCRent!A:A &amp; " " &amp; PCRent!B:B, 0)), "")</f>
        <v/>
      </c>
      <c r="P241" s="293"/>
      <c r="Q241" s="294" t="str">
        <f t="array" ref="Q241">IFERROR(INDEX(MonitorRent!C:D, MATCH(F241 &amp; " " &amp; G241, MonitorRent!A:A &amp; " " &amp; MonitorRent!B:B, 0)), "")</f>
        <v/>
      </c>
      <c r="R241" s="295"/>
    </row>
    <row r="242">
      <c r="A242" s="284">
        <v>239.0</v>
      </c>
      <c r="B242" s="285" t="s">
        <v>10640</v>
      </c>
      <c r="C242" s="285" t="s">
        <v>10103</v>
      </c>
      <c r="D242" s="286" t="s">
        <v>10641</v>
      </c>
      <c r="E242" s="285" t="s">
        <v>6933</v>
      </c>
      <c r="F242" s="285" t="s">
        <v>10642</v>
      </c>
      <c r="G242" s="285" t="s">
        <v>10643</v>
      </c>
      <c r="H242" s="285" t="s">
        <v>10644</v>
      </c>
      <c r="I242" s="285" t="s">
        <v>10645</v>
      </c>
      <c r="J242" s="285" t="s">
        <v>5012</v>
      </c>
      <c r="K242" s="285" t="s">
        <v>5638</v>
      </c>
      <c r="L242" s="285" t="s">
        <v>832</v>
      </c>
      <c r="M242" s="285" t="s">
        <v>9383</v>
      </c>
      <c r="N242" s="287" t="str">
        <f>IFERROR(
    IF(
        AND(
            VLOOKUP(B242, 'รายชื่อพนักงานลาออกพ้นสภาพ'!B:I, 8, FALSE)&lt;&gt;"ยกเลิกลาออก",
            VLOOKUP(B242, 'รายชื่อพนักงานลาออกพ้นสภาพ'!B:I, 7, FALSE)&lt;=TODAY()
        ),
        "ลาออกแล้ว",
        ""
    ),
"")</f>
        <v/>
      </c>
      <c r="O242" s="292" t="str">
        <f t="array" ref="O242">IFERROR(INDEX(PCRent!C:D, MATCH(F242 &amp; " " &amp; G242, PCRent!A:A &amp; " " &amp; PCRent!B:B, 0)), "")</f>
        <v/>
      </c>
      <c r="P242" s="293"/>
      <c r="Q242" s="294" t="str">
        <f t="array" ref="Q242">IFERROR(INDEX(MonitorRent!C:D, MATCH(F242 &amp; " " &amp; G242, MonitorRent!A:A &amp; " " &amp; MonitorRent!B:B, 0)), "")</f>
        <v/>
      </c>
      <c r="R242" s="295"/>
    </row>
    <row r="243">
      <c r="A243" s="284">
        <v>240.0</v>
      </c>
      <c r="B243" s="285" t="s">
        <v>10646</v>
      </c>
      <c r="C243" s="285" t="s">
        <v>10103</v>
      </c>
      <c r="D243" s="286" t="s">
        <v>10109</v>
      </c>
      <c r="E243" s="285" t="s">
        <v>6933</v>
      </c>
      <c r="F243" s="285" t="s">
        <v>10647</v>
      </c>
      <c r="G243" s="285" t="s">
        <v>10648</v>
      </c>
      <c r="H243" s="285" t="s">
        <v>10649</v>
      </c>
      <c r="I243" s="285" t="s">
        <v>10650</v>
      </c>
      <c r="J243" s="285" t="s">
        <v>5012</v>
      </c>
      <c r="K243" s="285" t="s">
        <v>1484</v>
      </c>
      <c r="L243" s="285" t="s">
        <v>10127</v>
      </c>
      <c r="M243" s="285" t="s">
        <v>9383</v>
      </c>
      <c r="N243" s="287" t="str">
        <f>IFERROR(
    IF(
        AND(
            VLOOKUP(B243, 'รายชื่อพนักงานลาออกพ้นสภาพ'!B:I, 8, FALSE)&lt;&gt;"ยกเลิกลาออก",
            VLOOKUP(B243, 'รายชื่อพนักงานลาออกพ้นสภาพ'!B:I, 7, FALSE)&lt;=TODAY()
        ),
        "ลาออกแล้ว",
        ""
    ),
"")</f>
        <v/>
      </c>
      <c r="O243" s="292" t="str">
        <f t="array" ref="O243">IFERROR(INDEX(PCRent!C:D, MATCH(F243 &amp; " " &amp; G243, PCRent!A:A &amp; " " &amp; PCRent!B:B, 0)), "")</f>
        <v/>
      </c>
      <c r="P243" s="293"/>
      <c r="Q243" s="294" t="str">
        <f t="array" ref="Q243">IFERROR(INDEX(MonitorRent!C:D, MATCH(F243 &amp; " " &amp; G243, MonitorRent!A:A &amp; " " &amp; MonitorRent!B:B, 0)), "")</f>
        <v/>
      </c>
      <c r="R243" s="295"/>
    </row>
    <row r="244">
      <c r="A244" s="284">
        <v>241.0</v>
      </c>
      <c r="B244" s="285" t="s">
        <v>10651</v>
      </c>
      <c r="C244" s="285" t="s">
        <v>10103</v>
      </c>
      <c r="D244" s="286" t="s">
        <v>9489</v>
      </c>
      <c r="E244" s="285" t="s">
        <v>6921</v>
      </c>
      <c r="F244" s="285" t="s">
        <v>10652</v>
      </c>
      <c r="G244" s="285" t="s">
        <v>10653</v>
      </c>
      <c r="H244" s="285" t="s">
        <v>10654</v>
      </c>
      <c r="I244" s="285" t="s">
        <v>10655</v>
      </c>
      <c r="J244" s="285" t="s">
        <v>5012</v>
      </c>
      <c r="K244" s="285" t="s">
        <v>1417</v>
      </c>
      <c r="L244" s="285" t="s">
        <v>832</v>
      </c>
      <c r="M244" s="285" t="s">
        <v>9383</v>
      </c>
      <c r="N244" s="287" t="str">
        <f>IFERROR(
    IF(
        AND(
            VLOOKUP(B244, 'รายชื่อพนักงานลาออกพ้นสภาพ'!B:I, 8, FALSE)&lt;&gt;"ยกเลิกลาออก",
            VLOOKUP(B244, 'รายชื่อพนักงานลาออกพ้นสภาพ'!B:I, 7, FALSE)&lt;=TODAY()
        ),
        "ลาออกแล้ว",
        ""
    ),
"")</f>
        <v/>
      </c>
      <c r="O244" s="292" t="str">
        <f t="array" ref="O244">IFERROR(INDEX(PCRent!C:D, MATCH(F244 &amp; " " &amp; G244, PCRent!A:A &amp; " " &amp; PCRent!B:B, 0)), "")</f>
        <v/>
      </c>
      <c r="P244" s="293"/>
      <c r="Q244" s="294" t="str">
        <f t="array" ref="Q244">IFERROR(INDEX(MonitorRent!C:D, MATCH(F244 &amp; " " &amp; G244, MonitorRent!A:A &amp; " " &amp; MonitorRent!B:B, 0)), "")</f>
        <v/>
      </c>
      <c r="R244" s="295"/>
    </row>
    <row r="245">
      <c r="A245" s="284">
        <v>242.0</v>
      </c>
      <c r="B245" s="285" t="s">
        <v>10656</v>
      </c>
      <c r="C245" s="285" t="s">
        <v>10103</v>
      </c>
      <c r="D245" s="286" t="s">
        <v>10657</v>
      </c>
      <c r="E245" s="285" t="s">
        <v>6933</v>
      </c>
      <c r="F245" s="285" t="s">
        <v>10658</v>
      </c>
      <c r="G245" s="285" t="s">
        <v>10659</v>
      </c>
      <c r="H245" s="285" t="s">
        <v>10660</v>
      </c>
      <c r="I245" s="285" t="s">
        <v>10661</v>
      </c>
      <c r="J245" s="285" t="s">
        <v>5012</v>
      </c>
      <c r="K245" s="285" t="s">
        <v>10114</v>
      </c>
      <c r="L245" s="285" t="s">
        <v>832</v>
      </c>
      <c r="M245" s="285" t="s">
        <v>9383</v>
      </c>
      <c r="N245" s="287" t="str">
        <f>IFERROR(
    IF(
        AND(
            VLOOKUP(B245, 'รายชื่อพนักงานลาออกพ้นสภาพ'!B:I, 8, FALSE)&lt;&gt;"ยกเลิกลาออก",
            VLOOKUP(B245, 'รายชื่อพนักงานลาออกพ้นสภาพ'!B:I, 7, FALSE)&lt;=TODAY()
        ),
        "ลาออกแล้ว",
        ""
    ),
"")</f>
        <v/>
      </c>
      <c r="O245" s="292" t="str">
        <f t="array" ref="O245">IFERROR(INDEX(PCRent!C:D, MATCH(F245 &amp; " " &amp; G245, PCRent!A:A &amp; " " &amp; PCRent!B:B, 0)), "")</f>
        <v/>
      </c>
      <c r="P245" s="293"/>
      <c r="Q245" s="294" t="str">
        <f t="array" ref="Q245">IFERROR(INDEX(MonitorRent!C:D, MATCH(F245 &amp; " " &amp; G245, MonitorRent!A:A &amp; " " &amp; MonitorRent!B:B, 0)), "")</f>
        <v/>
      </c>
      <c r="R245" s="295"/>
    </row>
    <row r="246">
      <c r="A246" s="284">
        <v>243.0</v>
      </c>
      <c r="B246" s="285" t="s">
        <v>10662</v>
      </c>
      <c r="C246" s="285" t="s">
        <v>10103</v>
      </c>
      <c r="D246" s="286" t="s">
        <v>9405</v>
      </c>
      <c r="E246" s="285" t="s">
        <v>6921</v>
      </c>
      <c r="F246" s="285" t="s">
        <v>9584</v>
      </c>
      <c r="G246" s="285" t="s">
        <v>10663</v>
      </c>
      <c r="H246" s="285" t="s">
        <v>10664</v>
      </c>
      <c r="I246" s="285" t="s">
        <v>10665</v>
      </c>
      <c r="J246" s="285" t="s">
        <v>5012</v>
      </c>
      <c r="K246" s="285" t="s">
        <v>1606</v>
      </c>
      <c r="L246" s="285" t="s">
        <v>832</v>
      </c>
      <c r="M246" s="285" t="s">
        <v>9383</v>
      </c>
      <c r="N246" s="287" t="str">
        <f>IFERROR(
    IF(
        AND(
            VLOOKUP(B246, 'รายชื่อพนักงานลาออกพ้นสภาพ'!B:I, 8, FALSE)&lt;&gt;"ยกเลิกลาออก",
            VLOOKUP(B246, 'รายชื่อพนักงานลาออกพ้นสภาพ'!B:I, 7, FALSE)&lt;=TODAY()
        ),
        "ลาออกแล้ว",
        ""
    ),
"")</f>
        <v/>
      </c>
      <c r="O246" s="292" t="str">
        <f t="array" ref="O246">IFERROR(INDEX(PCRent!C:D, MATCH(F246 &amp; " " &amp; G246, PCRent!A:A &amp; " " &amp; PCRent!B:B, 0)), "")</f>
        <v/>
      </c>
      <c r="P246" s="293"/>
      <c r="Q246" s="294" t="str">
        <f t="array" ref="Q246">IFERROR(INDEX(MonitorRent!C:D, MATCH(F246 &amp; " " &amp; G246, MonitorRent!A:A &amp; " " &amp; MonitorRent!B:B, 0)), "")</f>
        <v/>
      </c>
      <c r="R246" s="295"/>
    </row>
    <row r="247">
      <c r="A247" s="284">
        <v>244.0</v>
      </c>
      <c r="B247" s="285" t="s">
        <v>572</v>
      </c>
      <c r="C247" s="285" t="s">
        <v>10103</v>
      </c>
      <c r="D247" s="286" t="s">
        <v>9713</v>
      </c>
      <c r="E247" s="285" t="s">
        <v>6933</v>
      </c>
      <c r="F247" s="285" t="s">
        <v>10666</v>
      </c>
      <c r="G247" s="285" t="s">
        <v>10667</v>
      </c>
      <c r="H247" s="285" t="s">
        <v>10668</v>
      </c>
      <c r="I247" s="285" t="s">
        <v>574</v>
      </c>
      <c r="J247" s="285" t="s">
        <v>5012</v>
      </c>
      <c r="K247" s="285" t="s">
        <v>1412</v>
      </c>
      <c r="L247" s="285" t="s">
        <v>10127</v>
      </c>
      <c r="M247" s="285" t="s">
        <v>9383</v>
      </c>
      <c r="N247" s="287" t="str">
        <f>IFERROR(
    IF(
        AND(
            VLOOKUP(B247, 'รายชื่อพนักงานลาออกพ้นสภาพ'!B:I, 8, FALSE)&lt;&gt;"ยกเลิกลาออก",
            VLOOKUP(B247, 'รายชื่อพนักงานลาออกพ้นสภาพ'!B:I, 7, FALSE)&lt;=TODAY()
        ),
        "ลาออกแล้ว",
        ""
    ),
"")</f>
        <v>ลาออกแล้ว</v>
      </c>
      <c r="O247" s="292" t="str">
        <f t="array" ref="O247">IFERROR(INDEX(PCRent!C:D, MATCH(F247 &amp; " " &amp; G247, PCRent!A:A &amp; " " &amp; PCRent!B:B, 0)), "")</f>
        <v/>
      </c>
      <c r="P247" s="293"/>
      <c r="Q247" s="294" t="str">
        <f t="array" ref="Q247">IFERROR(INDEX(MonitorRent!C:D, MATCH(F247 &amp; " " &amp; G247, MonitorRent!A:A &amp; " " &amp; MonitorRent!B:B, 0)), "")</f>
        <v/>
      </c>
      <c r="R247" s="295"/>
    </row>
    <row r="248">
      <c r="A248" s="284">
        <v>245.0</v>
      </c>
      <c r="B248" s="285" t="s">
        <v>10669</v>
      </c>
      <c r="C248" s="285" t="s">
        <v>10103</v>
      </c>
      <c r="D248" s="286" t="s">
        <v>10670</v>
      </c>
      <c r="E248" s="285" t="s">
        <v>6933</v>
      </c>
      <c r="F248" s="285" t="s">
        <v>10666</v>
      </c>
      <c r="G248" s="285" t="s">
        <v>10671</v>
      </c>
      <c r="H248" s="285" t="s">
        <v>10672</v>
      </c>
      <c r="I248" s="285" t="s">
        <v>10673</v>
      </c>
      <c r="J248" s="285" t="s">
        <v>5012</v>
      </c>
      <c r="K248" s="285" t="s">
        <v>5638</v>
      </c>
      <c r="L248" s="285" t="s">
        <v>10127</v>
      </c>
      <c r="M248" s="285" t="s">
        <v>9383</v>
      </c>
      <c r="N248" s="287" t="str">
        <f>IFERROR(
    IF(
        AND(
            VLOOKUP(B248, 'รายชื่อพนักงานลาออกพ้นสภาพ'!B:I, 8, FALSE)&lt;&gt;"ยกเลิกลาออก",
            VLOOKUP(B248, 'รายชื่อพนักงานลาออกพ้นสภาพ'!B:I, 7, FALSE)&lt;=TODAY()
        ),
        "ลาออกแล้ว",
        ""
    ),
"")</f>
        <v/>
      </c>
      <c r="O248" s="292" t="str">
        <f t="array" ref="O248">IFERROR(INDEX(PCRent!C:D, MATCH(F248 &amp; " " &amp; G248, PCRent!A:A &amp; " " &amp; PCRent!B:B, 0)), "")</f>
        <v/>
      </c>
      <c r="P248" s="293"/>
      <c r="Q248" s="294" t="str">
        <f t="array" ref="Q248">IFERROR(INDEX(MonitorRent!C:D, MATCH(F248 &amp; " " &amp; G248, MonitorRent!A:A &amp; " " &amp; MonitorRent!B:B, 0)), "")</f>
        <v/>
      </c>
      <c r="R248" s="295"/>
    </row>
    <row r="249">
      <c r="A249" s="284">
        <v>246.0</v>
      </c>
      <c r="B249" s="285" t="s">
        <v>853</v>
      </c>
      <c r="C249" s="285" t="s">
        <v>10103</v>
      </c>
      <c r="D249" s="286" t="s">
        <v>10076</v>
      </c>
      <c r="E249" s="285" t="s">
        <v>6933</v>
      </c>
      <c r="F249" s="285" t="s">
        <v>10666</v>
      </c>
      <c r="G249" s="285" t="s">
        <v>10674</v>
      </c>
      <c r="H249" s="285" t="s">
        <v>10675</v>
      </c>
      <c r="I249" s="285" t="s">
        <v>855</v>
      </c>
      <c r="J249" s="285" t="s">
        <v>5012</v>
      </c>
      <c r="K249" s="285" t="s">
        <v>1412</v>
      </c>
      <c r="L249" s="285" t="s">
        <v>10127</v>
      </c>
      <c r="M249" s="285" t="s">
        <v>9383</v>
      </c>
      <c r="N249" s="287" t="str">
        <f>IFERROR(
    IF(
        AND(
            VLOOKUP(B249, 'รายชื่อพนักงานลาออกพ้นสภาพ'!B:I, 8, FALSE)&lt;&gt;"ยกเลิกลาออก",
            VLOOKUP(B249, 'รายชื่อพนักงานลาออกพ้นสภาพ'!B:I, 7, FALSE)&lt;=TODAY()
        ),
        "ลาออกแล้ว",
        ""
    ),
"")</f>
        <v/>
      </c>
      <c r="O249" s="292" t="str">
        <f t="array" ref="O249">IFERROR(INDEX(PCRent!C:D, MATCH(F249 &amp; " " &amp; G249, PCRent!A:A &amp; " " &amp; PCRent!B:B, 0)), "")</f>
        <v/>
      </c>
      <c r="P249" s="293"/>
      <c r="Q249" s="294" t="str">
        <f t="array" ref="Q249">IFERROR(INDEX(MonitorRent!C:D, MATCH(F249 &amp; " " &amp; G249, MonitorRent!A:A &amp; " " &amp; MonitorRent!B:B, 0)), "")</f>
        <v/>
      </c>
      <c r="R249" s="295"/>
    </row>
    <row r="250">
      <c r="A250" s="284">
        <v>247.0</v>
      </c>
      <c r="B250" s="285" t="s">
        <v>881</v>
      </c>
      <c r="C250" s="285" t="s">
        <v>10103</v>
      </c>
      <c r="D250" s="286" t="s">
        <v>10676</v>
      </c>
      <c r="E250" s="285" t="s">
        <v>6933</v>
      </c>
      <c r="F250" s="285" t="s">
        <v>10677</v>
      </c>
      <c r="G250" s="285" t="s">
        <v>10678</v>
      </c>
      <c r="H250" s="285" t="s">
        <v>10679</v>
      </c>
      <c r="I250" s="285" t="s">
        <v>883</v>
      </c>
      <c r="J250" s="285" t="s">
        <v>5012</v>
      </c>
      <c r="K250" s="285" t="s">
        <v>5638</v>
      </c>
      <c r="L250" s="285" t="s">
        <v>10127</v>
      </c>
      <c r="M250" s="285" t="s">
        <v>9391</v>
      </c>
      <c r="N250" s="287" t="str">
        <f>IFERROR(
    IF(
        AND(
            VLOOKUP(B250, 'รายชื่อพนักงานลาออกพ้นสภาพ'!B:I, 8, FALSE)&lt;&gt;"ยกเลิกลาออก",
            VLOOKUP(B250, 'รายชื่อพนักงานลาออกพ้นสภาพ'!B:I, 7, FALSE)&lt;=TODAY()
        ),
        "ลาออกแล้ว",
        ""
    ),
"")</f>
        <v>ลาออกแล้ว</v>
      </c>
      <c r="O250" s="292" t="str">
        <f t="array" ref="O250">IFERROR(INDEX(PCRent!C:D, MATCH(F250 &amp; " " &amp; G250, PCRent!A:A &amp; " " &amp; PCRent!B:B, 0)), "")</f>
        <v/>
      </c>
      <c r="P250" s="293"/>
      <c r="Q250" s="294" t="str">
        <f t="array" ref="Q250">IFERROR(INDEX(MonitorRent!C:D, MATCH(F250 &amp; " " &amp; G250, MonitorRent!A:A &amp; " " &amp; MonitorRent!B:B, 0)), "")</f>
        <v/>
      </c>
      <c r="R250" s="295"/>
    </row>
    <row r="251">
      <c r="A251" s="284">
        <v>248.0</v>
      </c>
      <c r="B251" s="285" t="s">
        <v>10680</v>
      </c>
      <c r="C251" s="285" t="s">
        <v>10103</v>
      </c>
      <c r="D251" s="286" t="s">
        <v>10329</v>
      </c>
      <c r="E251" s="285" t="s">
        <v>6933</v>
      </c>
      <c r="F251" s="285" t="s">
        <v>10681</v>
      </c>
      <c r="G251" s="285" t="s">
        <v>10682</v>
      </c>
      <c r="H251" s="285" t="s">
        <v>10683</v>
      </c>
      <c r="I251" s="285" t="s">
        <v>10684</v>
      </c>
      <c r="J251" s="285" t="s">
        <v>5012</v>
      </c>
      <c r="K251" s="285" t="s">
        <v>10114</v>
      </c>
      <c r="L251" s="285" t="s">
        <v>10127</v>
      </c>
      <c r="M251" s="285" t="s">
        <v>9391</v>
      </c>
      <c r="N251" s="287" t="str">
        <f>IFERROR(
    IF(
        AND(
            VLOOKUP(B251, 'รายชื่อพนักงานลาออกพ้นสภาพ'!B:I, 8, FALSE)&lt;&gt;"ยกเลิกลาออก",
            VLOOKUP(B251, 'รายชื่อพนักงานลาออกพ้นสภาพ'!B:I, 7, FALSE)&lt;=TODAY()
        ),
        "ลาออกแล้ว",
        ""
    ),
"")</f>
        <v/>
      </c>
      <c r="O251" s="292" t="str">
        <f t="array" ref="O251">IFERROR(INDEX(PCRent!C:D, MATCH(F251 &amp; " " &amp; G251, PCRent!A:A &amp; " " &amp; PCRent!B:B, 0)), "")</f>
        <v/>
      </c>
      <c r="P251" s="293"/>
      <c r="Q251" s="294" t="str">
        <f t="array" ref="Q251">IFERROR(INDEX(MonitorRent!C:D, MATCH(F251 &amp; " " &amp; G251, MonitorRent!A:A &amp; " " &amp; MonitorRent!B:B, 0)), "")</f>
        <v/>
      </c>
      <c r="R251" s="295"/>
    </row>
    <row r="252">
      <c r="A252" s="284">
        <v>249.0</v>
      </c>
      <c r="B252" s="285" t="s">
        <v>10685</v>
      </c>
      <c r="C252" s="285" t="s">
        <v>10103</v>
      </c>
      <c r="D252" s="286" t="s">
        <v>10138</v>
      </c>
      <c r="E252" s="285" t="s">
        <v>6921</v>
      </c>
      <c r="F252" s="285" t="s">
        <v>10686</v>
      </c>
      <c r="G252" s="285" t="s">
        <v>10687</v>
      </c>
      <c r="H252" s="285" t="s">
        <v>10688</v>
      </c>
      <c r="I252" s="285" t="s">
        <v>10689</v>
      </c>
      <c r="J252" s="285" t="s">
        <v>5012</v>
      </c>
      <c r="K252" s="285" t="s">
        <v>1606</v>
      </c>
      <c r="L252" s="285" t="s">
        <v>832</v>
      </c>
      <c r="M252" s="285" t="s">
        <v>9383</v>
      </c>
      <c r="N252" s="287" t="str">
        <f>IFERROR(
    IF(
        AND(
            VLOOKUP(B252, 'รายชื่อพนักงานลาออกพ้นสภาพ'!B:I, 8, FALSE)&lt;&gt;"ยกเลิกลาออก",
            VLOOKUP(B252, 'รายชื่อพนักงานลาออกพ้นสภาพ'!B:I, 7, FALSE)&lt;=TODAY()
        ),
        "ลาออกแล้ว",
        ""
    ),
"")</f>
        <v/>
      </c>
      <c r="O252" s="292" t="str">
        <f t="array" ref="O252">IFERROR(INDEX(PCRent!C:D, MATCH(F252 &amp; " " &amp; G252, PCRent!A:A &amp; " " &amp; PCRent!B:B, 0)), "")</f>
        <v/>
      </c>
      <c r="P252" s="293"/>
      <c r="Q252" s="294" t="str">
        <f t="array" ref="Q252">IFERROR(INDEX(MonitorRent!C:D, MATCH(F252 &amp; " " &amp; G252, MonitorRent!A:A &amp; " " &amp; MonitorRent!B:B, 0)), "")</f>
        <v/>
      </c>
      <c r="R252" s="295"/>
    </row>
    <row r="253">
      <c r="A253" s="284">
        <v>250.0</v>
      </c>
      <c r="B253" s="285" t="s">
        <v>92</v>
      </c>
      <c r="C253" s="285" t="s">
        <v>10103</v>
      </c>
      <c r="D253" s="286" t="s">
        <v>10690</v>
      </c>
      <c r="E253" s="285" t="s">
        <v>6921</v>
      </c>
      <c r="F253" s="285" t="s">
        <v>10691</v>
      </c>
      <c r="G253" s="285" t="s">
        <v>10692</v>
      </c>
      <c r="H253" s="285" t="s">
        <v>10693</v>
      </c>
      <c r="I253" s="285" t="s">
        <v>96</v>
      </c>
      <c r="J253" s="285" t="s">
        <v>5224</v>
      </c>
      <c r="K253" s="285" t="s">
        <v>10273</v>
      </c>
      <c r="L253" s="285" t="s">
        <v>10538</v>
      </c>
      <c r="M253" s="285" t="s">
        <v>9391</v>
      </c>
      <c r="N253" s="287" t="str">
        <f>IFERROR(
    IF(
        AND(
            VLOOKUP(B253, 'รายชื่อพนักงานลาออกพ้นสภาพ'!B:I, 8, FALSE)&lt;&gt;"ยกเลิกลาออก",
            VLOOKUP(B253, 'รายชื่อพนักงานลาออกพ้นสภาพ'!B:I, 7, FALSE)&lt;=TODAY()
        ),
        "ลาออกแล้ว",
        ""
    ),
"")</f>
        <v>ลาออกแล้ว</v>
      </c>
      <c r="O253" s="292" t="str">
        <f t="array" ref="O253">IFERROR(INDEX(PCRent!C:D, MATCH(F253 &amp; " " &amp; G253, PCRent!A:A &amp; " " &amp; PCRent!B:B, 0)), "")</f>
        <v/>
      </c>
      <c r="P253" s="293"/>
      <c r="Q253" s="294" t="str">
        <f t="array" ref="Q253">IFERROR(INDEX(MonitorRent!C:D, MATCH(F253 &amp; " " &amp; G253, MonitorRent!A:A &amp; " " &amp; MonitorRent!B:B, 0)), "")</f>
        <v/>
      </c>
      <c r="R253" s="295"/>
    </row>
    <row r="254">
      <c r="A254" s="284">
        <v>251.0</v>
      </c>
      <c r="B254" s="285" t="s">
        <v>10694</v>
      </c>
      <c r="C254" s="285" t="s">
        <v>10103</v>
      </c>
      <c r="D254" s="286" t="s">
        <v>9829</v>
      </c>
      <c r="E254" s="285" t="s">
        <v>6933</v>
      </c>
      <c r="F254" s="285" t="s">
        <v>10695</v>
      </c>
      <c r="G254" s="285" t="s">
        <v>10696</v>
      </c>
      <c r="H254" s="296"/>
      <c r="I254" s="285" t="s">
        <v>10697</v>
      </c>
      <c r="J254" s="285" t="s">
        <v>5012</v>
      </c>
      <c r="K254" s="285" t="s">
        <v>10114</v>
      </c>
      <c r="L254" s="285" t="s">
        <v>10127</v>
      </c>
      <c r="M254" s="285" t="s">
        <v>9391</v>
      </c>
      <c r="N254" s="287" t="str">
        <f>IFERROR(
    IF(
        AND(
            VLOOKUP(B254, 'รายชื่อพนักงานลาออกพ้นสภาพ'!B:I, 8, FALSE)&lt;&gt;"ยกเลิกลาออก",
            VLOOKUP(B254, 'รายชื่อพนักงานลาออกพ้นสภาพ'!B:I, 7, FALSE)&lt;=TODAY()
        ),
        "ลาออกแล้ว",
        ""
    ),
"")</f>
        <v/>
      </c>
      <c r="O254" s="292" t="str">
        <f t="array" ref="O254">IFERROR(INDEX(PCRent!C:D, MATCH(F254 &amp; " " &amp; G254, PCRent!A:A &amp; " " &amp; PCRent!B:B, 0)), "")</f>
        <v/>
      </c>
      <c r="P254" s="293"/>
      <c r="Q254" s="294" t="str">
        <f t="array" ref="Q254">IFERROR(INDEX(MonitorRent!C:D, MATCH(F254 &amp; " " &amp; G254, MonitorRent!A:A &amp; " " &amp; MonitorRent!B:B, 0)), "")</f>
        <v/>
      </c>
      <c r="R254" s="295"/>
    </row>
    <row r="255">
      <c r="A255" s="284">
        <v>252.0</v>
      </c>
      <c r="B255" s="285" t="s">
        <v>10698</v>
      </c>
      <c r="C255" s="285" t="s">
        <v>10103</v>
      </c>
      <c r="D255" s="286" t="s">
        <v>10690</v>
      </c>
      <c r="E255" s="285" t="s">
        <v>6933</v>
      </c>
      <c r="F255" s="285" t="s">
        <v>10695</v>
      </c>
      <c r="G255" s="285" t="s">
        <v>10699</v>
      </c>
      <c r="H255" s="285" t="s">
        <v>10592</v>
      </c>
      <c r="I255" s="285" t="s">
        <v>10700</v>
      </c>
      <c r="J255" s="285" t="s">
        <v>5012</v>
      </c>
      <c r="K255" s="285" t="s">
        <v>10114</v>
      </c>
      <c r="L255" s="285" t="s">
        <v>832</v>
      </c>
      <c r="M255" s="285" t="s">
        <v>9391</v>
      </c>
      <c r="N255" s="287" t="str">
        <f>IFERROR(
    IF(
        AND(
            VLOOKUP(B255, 'รายชื่อพนักงานลาออกพ้นสภาพ'!B:I, 8, FALSE)&lt;&gt;"ยกเลิกลาออก",
            VLOOKUP(B255, 'รายชื่อพนักงานลาออกพ้นสภาพ'!B:I, 7, FALSE)&lt;=TODAY()
        ),
        "ลาออกแล้ว",
        ""
    ),
"")</f>
        <v/>
      </c>
      <c r="O255" s="292" t="str">
        <f t="array" ref="O255">IFERROR(INDEX(PCRent!C:D, MATCH(F255 &amp; " " &amp; G255, PCRent!A:A &amp; " " &amp; PCRent!B:B, 0)), "")</f>
        <v/>
      </c>
      <c r="P255" s="293"/>
      <c r="Q255" s="294" t="str">
        <f t="array" ref="Q255">IFERROR(INDEX(MonitorRent!C:D, MATCH(F255 &amp; " " &amp; G255, MonitorRent!A:A &amp; " " &amp; MonitorRent!B:B, 0)), "")</f>
        <v/>
      </c>
      <c r="R255" s="295"/>
    </row>
    <row r="256">
      <c r="A256" s="284">
        <v>253.0</v>
      </c>
      <c r="B256" s="285" t="s">
        <v>10701</v>
      </c>
      <c r="C256" s="285" t="s">
        <v>10103</v>
      </c>
      <c r="D256" s="286" t="s">
        <v>10063</v>
      </c>
      <c r="E256" s="285" t="s">
        <v>6921</v>
      </c>
      <c r="F256" s="285" t="s">
        <v>10702</v>
      </c>
      <c r="G256" s="285" t="s">
        <v>10703</v>
      </c>
      <c r="H256" s="285" t="s">
        <v>10704</v>
      </c>
      <c r="I256" s="285" t="s">
        <v>10705</v>
      </c>
      <c r="J256" s="285" t="s">
        <v>5012</v>
      </c>
      <c r="K256" s="285" t="s">
        <v>1606</v>
      </c>
      <c r="L256" s="285" t="s">
        <v>832</v>
      </c>
      <c r="M256" s="285" t="s">
        <v>9383</v>
      </c>
      <c r="N256" s="287" t="str">
        <f>IFERROR(
    IF(
        AND(
            VLOOKUP(B256, 'รายชื่อพนักงานลาออกพ้นสภาพ'!B:I, 8, FALSE)&lt;&gt;"ยกเลิกลาออก",
            VLOOKUP(B256, 'รายชื่อพนักงานลาออกพ้นสภาพ'!B:I, 7, FALSE)&lt;=TODAY()
        ),
        "ลาออกแล้ว",
        ""
    ),
"")</f>
        <v/>
      </c>
      <c r="O256" s="292" t="str">
        <f t="array" ref="O256">IFERROR(INDEX(PCRent!C:D, MATCH(F256 &amp; " " &amp; G256, PCRent!A:A &amp; " " &amp; PCRent!B:B, 0)), "")</f>
        <v/>
      </c>
      <c r="P256" s="293"/>
      <c r="Q256" s="294" t="str">
        <f t="array" ref="Q256">IFERROR(INDEX(MonitorRent!C:D, MATCH(F256 &amp; " " &amp; G256, MonitorRent!A:A &amp; " " &amp; MonitorRent!B:B, 0)), "")</f>
        <v/>
      </c>
      <c r="R256" s="295"/>
    </row>
    <row r="257">
      <c r="A257" s="284">
        <v>254.0</v>
      </c>
      <c r="B257" s="285" t="s">
        <v>10706</v>
      </c>
      <c r="C257" s="285" t="s">
        <v>10103</v>
      </c>
      <c r="D257" s="286" t="s">
        <v>10076</v>
      </c>
      <c r="E257" s="285" t="s">
        <v>6933</v>
      </c>
      <c r="F257" s="285" t="s">
        <v>10707</v>
      </c>
      <c r="G257" s="285" t="s">
        <v>10708</v>
      </c>
      <c r="H257" s="285" t="s">
        <v>10709</v>
      </c>
      <c r="I257" s="285" t="s">
        <v>10710</v>
      </c>
      <c r="J257" s="285" t="s">
        <v>5012</v>
      </c>
      <c r="K257" s="285" t="s">
        <v>1412</v>
      </c>
      <c r="L257" s="285" t="s">
        <v>10127</v>
      </c>
      <c r="M257" s="285" t="s">
        <v>9383</v>
      </c>
      <c r="N257" s="287" t="str">
        <f>IFERROR(
    IF(
        AND(
            VLOOKUP(B257, 'รายชื่อพนักงานลาออกพ้นสภาพ'!B:I, 8, FALSE)&lt;&gt;"ยกเลิกลาออก",
            VLOOKUP(B257, 'รายชื่อพนักงานลาออกพ้นสภาพ'!B:I, 7, FALSE)&lt;=TODAY()
        ),
        "ลาออกแล้ว",
        ""
    ),
"")</f>
        <v/>
      </c>
      <c r="O257" s="292" t="str">
        <f t="array" ref="O257">IFERROR(INDEX(PCRent!C:D, MATCH(F257 &amp; " " &amp; G257, PCRent!A:A &amp; " " &amp; PCRent!B:B, 0)), "")</f>
        <v/>
      </c>
      <c r="P257" s="293"/>
      <c r="Q257" s="294" t="str">
        <f t="array" ref="Q257">IFERROR(INDEX(MonitorRent!C:D, MATCH(F257 &amp; " " &amp; G257, MonitorRent!A:A &amp; " " &amp; MonitorRent!B:B, 0)), "")</f>
        <v/>
      </c>
      <c r="R257" s="295"/>
    </row>
    <row r="258">
      <c r="A258" s="284">
        <v>255.0</v>
      </c>
      <c r="B258" s="285" t="s">
        <v>10711</v>
      </c>
      <c r="C258" s="285" t="s">
        <v>10103</v>
      </c>
      <c r="D258" s="286" t="s">
        <v>10012</v>
      </c>
      <c r="E258" s="285" t="s">
        <v>6933</v>
      </c>
      <c r="F258" s="285" t="s">
        <v>10712</v>
      </c>
      <c r="G258" s="285" t="s">
        <v>10713</v>
      </c>
      <c r="H258" s="285" t="s">
        <v>9538</v>
      </c>
      <c r="I258" s="285" t="s">
        <v>10714</v>
      </c>
      <c r="J258" s="285" t="s">
        <v>5012</v>
      </c>
      <c r="K258" s="285" t="s">
        <v>5638</v>
      </c>
      <c r="L258" s="285" t="s">
        <v>832</v>
      </c>
      <c r="M258" s="285" t="s">
        <v>9383</v>
      </c>
      <c r="N258" s="287" t="str">
        <f>IFERROR(
    IF(
        AND(
            VLOOKUP(B258, 'รายชื่อพนักงานลาออกพ้นสภาพ'!B:I, 8, FALSE)&lt;&gt;"ยกเลิกลาออก",
            VLOOKUP(B258, 'รายชื่อพนักงานลาออกพ้นสภาพ'!B:I, 7, FALSE)&lt;=TODAY()
        ),
        "ลาออกแล้ว",
        ""
    ),
"")</f>
        <v/>
      </c>
      <c r="O258" s="292" t="str">
        <f t="array" ref="O258">IFERROR(INDEX(PCRent!C:D, MATCH(F258 &amp; " " &amp; G258, PCRent!A:A &amp; " " &amp; PCRent!B:B, 0)), "")</f>
        <v/>
      </c>
      <c r="P258" s="293"/>
      <c r="Q258" s="294" t="str">
        <f t="array" ref="Q258">IFERROR(INDEX(MonitorRent!C:D, MATCH(F258 &amp; " " &amp; G258, MonitorRent!A:A &amp; " " &amp; MonitorRent!B:B, 0)), "")</f>
        <v/>
      </c>
      <c r="R258" s="295"/>
    </row>
    <row r="259">
      <c r="A259" s="284">
        <v>256.0</v>
      </c>
      <c r="B259" s="285" t="s">
        <v>515</v>
      </c>
      <c r="C259" s="285" t="s">
        <v>10103</v>
      </c>
      <c r="D259" s="286" t="s">
        <v>10256</v>
      </c>
      <c r="E259" s="285" t="s">
        <v>6921</v>
      </c>
      <c r="F259" s="285" t="s">
        <v>10715</v>
      </c>
      <c r="G259" s="285" t="s">
        <v>10716</v>
      </c>
      <c r="H259" s="285" t="s">
        <v>10512</v>
      </c>
      <c r="I259" s="285" t="s">
        <v>518</v>
      </c>
      <c r="J259" s="285" t="s">
        <v>5224</v>
      </c>
      <c r="K259" s="285" t="s">
        <v>9649</v>
      </c>
      <c r="L259" s="285" t="s">
        <v>566</v>
      </c>
      <c r="M259" s="285" t="s">
        <v>9391</v>
      </c>
      <c r="N259" s="287" t="str">
        <f>IFERROR(
    IF(
        AND(
            VLOOKUP(B259, 'รายชื่อพนักงานลาออกพ้นสภาพ'!B:I, 8, FALSE)&lt;&gt;"ยกเลิกลาออก",
            VLOOKUP(B259, 'รายชื่อพนักงานลาออกพ้นสภาพ'!B:I, 7, FALSE)&lt;=TODAY()
        ),
        "ลาออกแล้ว",
        ""
    ),
"")</f>
        <v>ลาออกแล้ว</v>
      </c>
      <c r="O259" s="292" t="str">
        <f t="array" ref="O259">IFERROR(INDEX(PCRent!C:D, MATCH(F259 &amp; " " &amp; G259, PCRent!A:A &amp; " " &amp; PCRent!B:B, 0)), "")</f>
        <v/>
      </c>
      <c r="P259" s="293"/>
      <c r="Q259" s="294" t="str">
        <f t="array" ref="Q259">IFERROR(INDEX(MonitorRent!C:D, MATCH(F259 &amp; " " &amp; G259, MonitorRent!A:A &amp; " " &amp; MonitorRent!B:B, 0)), "")</f>
        <v/>
      </c>
      <c r="R259" s="295"/>
    </row>
    <row r="260">
      <c r="A260" s="284">
        <v>257.0</v>
      </c>
      <c r="B260" s="285" t="s">
        <v>10717</v>
      </c>
      <c r="C260" s="285" t="s">
        <v>10103</v>
      </c>
      <c r="D260" s="286" t="s">
        <v>10718</v>
      </c>
      <c r="E260" s="285" t="s">
        <v>6921</v>
      </c>
      <c r="F260" s="285" t="s">
        <v>10719</v>
      </c>
      <c r="G260" s="285" t="s">
        <v>10720</v>
      </c>
      <c r="H260" s="285" t="s">
        <v>10721</v>
      </c>
      <c r="I260" s="285" t="s">
        <v>10722</v>
      </c>
      <c r="J260" s="285" t="s">
        <v>5224</v>
      </c>
      <c r="K260" s="285" t="s">
        <v>4756</v>
      </c>
      <c r="L260" s="285" t="s">
        <v>10538</v>
      </c>
      <c r="M260" s="285" t="s">
        <v>9383</v>
      </c>
      <c r="N260" s="287" t="str">
        <f>IFERROR(
    IF(
        AND(
            VLOOKUP(B260, 'รายชื่อพนักงานลาออกพ้นสภาพ'!B:I, 8, FALSE)&lt;&gt;"ยกเลิกลาออก",
            VLOOKUP(B260, 'รายชื่อพนักงานลาออกพ้นสภาพ'!B:I, 7, FALSE)&lt;=TODAY()
        ),
        "ลาออกแล้ว",
        ""
    ),
"")</f>
        <v/>
      </c>
      <c r="O260" s="292" t="str">
        <f t="array" ref="O260">IFERROR(INDEX(PCRent!C:D, MATCH(F260 &amp; " " &amp; G260, PCRent!A:A &amp; " " &amp; PCRent!B:B, 0)), "")</f>
        <v/>
      </c>
      <c r="P260" s="293"/>
      <c r="Q260" s="294" t="str">
        <f t="array" ref="Q260">IFERROR(INDEX(MonitorRent!C:D, MATCH(F260 &amp; " " &amp; G260, MonitorRent!A:A &amp; " " &amp; MonitorRent!B:B, 0)), "")</f>
        <v/>
      </c>
      <c r="R260" s="295"/>
    </row>
    <row r="261">
      <c r="A261" s="284">
        <v>258.0</v>
      </c>
      <c r="B261" s="285" t="s">
        <v>10723</v>
      </c>
      <c r="C261" s="285" t="s">
        <v>10103</v>
      </c>
      <c r="D261" s="286" t="s">
        <v>10724</v>
      </c>
      <c r="E261" s="285" t="s">
        <v>6933</v>
      </c>
      <c r="F261" s="285" t="s">
        <v>10725</v>
      </c>
      <c r="G261" s="285" t="s">
        <v>10726</v>
      </c>
      <c r="H261" s="285" t="s">
        <v>10574</v>
      </c>
      <c r="I261" s="285" t="s">
        <v>10727</v>
      </c>
      <c r="J261" s="285" t="s">
        <v>5012</v>
      </c>
      <c r="K261" s="285" t="s">
        <v>1484</v>
      </c>
      <c r="L261" s="285" t="s">
        <v>566</v>
      </c>
      <c r="M261" s="285" t="s">
        <v>9383</v>
      </c>
      <c r="N261" s="287" t="str">
        <f>IFERROR(
    IF(
        AND(
            VLOOKUP(B261, 'รายชื่อพนักงานลาออกพ้นสภาพ'!B:I, 8, FALSE)&lt;&gt;"ยกเลิกลาออก",
            VLOOKUP(B261, 'รายชื่อพนักงานลาออกพ้นสภาพ'!B:I, 7, FALSE)&lt;=TODAY()
        ),
        "ลาออกแล้ว",
        ""
    ),
"")</f>
        <v/>
      </c>
      <c r="O261" s="292" t="str">
        <f t="array" ref="O261">IFERROR(INDEX(PCRent!C:D, MATCH(F261 &amp; " " &amp; G261, PCRent!A:A &amp; " " &amp; PCRent!B:B, 0)), "")</f>
        <v/>
      </c>
      <c r="P261" s="293"/>
      <c r="Q261" s="294" t="str">
        <f t="array" ref="Q261">IFERROR(INDEX(MonitorRent!C:D, MATCH(F261 &amp; " " &amp; G261, MonitorRent!A:A &amp; " " &amp; MonitorRent!B:B, 0)), "")</f>
        <v/>
      </c>
      <c r="R261" s="295"/>
    </row>
    <row r="262">
      <c r="A262" s="284">
        <v>259.0</v>
      </c>
      <c r="B262" s="285" t="s">
        <v>10728</v>
      </c>
      <c r="C262" s="285" t="s">
        <v>10103</v>
      </c>
      <c r="D262" s="286" t="s">
        <v>10729</v>
      </c>
      <c r="E262" s="285" t="s">
        <v>6921</v>
      </c>
      <c r="F262" s="285" t="s">
        <v>10730</v>
      </c>
      <c r="G262" s="285" t="s">
        <v>10731</v>
      </c>
      <c r="H262" s="285" t="s">
        <v>10732</v>
      </c>
      <c r="I262" s="285" t="s">
        <v>10733</v>
      </c>
      <c r="J262" s="285" t="s">
        <v>5012</v>
      </c>
      <c r="K262" s="285" t="s">
        <v>1417</v>
      </c>
      <c r="L262" s="285" t="s">
        <v>832</v>
      </c>
      <c r="M262" s="285" t="s">
        <v>9383</v>
      </c>
      <c r="N262" s="287" t="str">
        <f>IFERROR(
    IF(
        AND(
            VLOOKUP(B262, 'รายชื่อพนักงานลาออกพ้นสภาพ'!B:I, 8, FALSE)&lt;&gt;"ยกเลิกลาออก",
            VLOOKUP(B262, 'รายชื่อพนักงานลาออกพ้นสภาพ'!B:I, 7, FALSE)&lt;=TODAY()
        ),
        "ลาออกแล้ว",
        ""
    ),
"")</f>
        <v/>
      </c>
      <c r="O262" s="292" t="str">
        <f t="array" ref="O262">IFERROR(INDEX(PCRent!C:D, MATCH(F262 &amp; " " &amp; G262, PCRent!A:A &amp; " " &amp; PCRent!B:B, 0)), "")</f>
        <v/>
      </c>
      <c r="P262" s="293"/>
      <c r="Q262" s="294" t="str">
        <f t="array" ref="Q262">IFERROR(INDEX(MonitorRent!C:D, MATCH(F262 &amp; " " &amp; G262, MonitorRent!A:A &amp; " " &amp; MonitorRent!B:B, 0)), "")</f>
        <v/>
      </c>
      <c r="R262" s="295"/>
    </row>
    <row r="263">
      <c r="A263" s="284">
        <v>260.0</v>
      </c>
      <c r="B263" s="285" t="s">
        <v>10734</v>
      </c>
      <c r="C263" s="285" t="s">
        <v>10103</v>
      </c>
      <c r="D263" s="286" t="s">
        <v>9639</v>
      </c>
      <c r="E263" s="285" t="s">
        <v>6921</v>
      </c>
      <c r="F263" s="285" t="s">
        <v>10735</v>
      </c>
      <c r="G263" s="285" t="s">
        <v>10736</v>
      </c>
      <c r="H263" s="285" t="s">
        <v>10345</v>
      </c>
      <c r="I263" s="285" t="s">
        <v>10737</v>
      </c>
      <c r="J263" s="285" t="s">
        <v>5012</v>
      </c>
      <c r="K263" s="285" t="s">
        <v>1492</v>
      </c>
      <c r="L263" s="285" t="s">
        <v>1258</v>
      </c>
      <c r="M263" s="285" t="s">
        <v>9383</v>
      </c>
      <c r="N263" s="287" t="str">
        <f>IFERROR(
    IF(
        AND(
            VLOOKUP(B263, 'รายชื่อพนักงานลาออกพ้นสภาพ'!B:I, 8, FALSE)&lt;&gt;"ยกเลิกลาออก",
            VLOOKUP(B263, 'รายชื่อพนักงานลาออกพ้นสภาพ'!B:I, 7, FALSE)&lt;=TODAY()
        ),
        "ลาออกแล้ว",
        ""
    ),
"")</f>
        <v/>
      </c>
      <c r="O263" s="292" t="str">
        <f t="array" ref="O263">IFERROR(INDEX(PCRent!C:D, MATCH(F263 &amp; " " &amp; G263, PCRent!A:A &amp; " " &amp; PCRent!B:B, 0)), "")</f>
        <v/>
      </c>
      <c r="P263" s="293"/>
      <c r="Q263" s="294" t="str">
        <f t="array" ref="Q263">IFERROR(INDEX(MonitorRent!C:D, MATCH(F263 &amp; " " &amp; G263, MonitorRent!A:A &amp; " " &amp; MonitorRent!B:B, 0)), "")</f>
        <v/>
      </c>
      <c r="R263" s="295"/>
    </row>
    <row r="264">
      <c r="A264" s="284">
        <v>261.0</v>
      </c>
      <c r="B264" s="285" t="s">
        <v>741</v>
      </c>
      <c r="C264" s="285" t="s">
        <v>10103</v>
      </c>
      <c r="D264" s="286" t="s">
        <v>10738</v>
      </c>
      <c r="E264" s="285" t="s">
        <v>6921</v>
      </c>
      <c r="F264" s="285" t="s">
        <v>10739</v>
      </c>
      <c r="G264" s="285" t="s">
        <v>10740</v>
      </c>
      <c r="H264" s="285" t="s">
        <v>10741</v>
      </c>
      <c r="I264" s="285" t="s">
        <v>744</v>
      </c>
      <c r="J264" s="285" t="s">
        <v>5012</v>
      </c>
      <c r="K264" s="285" t="s">
        <v>1606</v>
      </c>
      <c r="L264" s="285" t="s">
        <v>832</v>
      </c>
      <c r="M264" s="285" t="s">
        <v>9383</v>
      </c>
      <c r="N264" s="287" t="str">
        <f>IFERROR(
    IF(
        AND(
            VLOOKUP(B264, 'รายชื่อพนักงานลาออกพ้นสภาพ'!B:I, 8, FALSE)&lt;&gt;"ยกเลิกลาออก",
            VLOOKUP(B264, 'รายชื่อพนักงานลาออกพ้นสภาพ'!B:I, 7, FALSE)&lt;=TODAY()
        ),
        "ลาออกแล้ว",
        ""
    ),
"")</f>
        <v>ลาออกแล้ว</v>
      </c>
      <c r="O264" s="292" t="str">
        <f t="array" ref="O264">IFERROR(INDEX(PCRent!C:D, MATCH(F264 &amp; " " &amp; G264, PCRent!A:A &amp; " " &amp; PCRent!B:B, 0)), "")</f>
        <v/>
      </c>
      <c r="P264" s="293"/>
      <c r="Q264" s="294" t="str">
        <f t="array" ref="Q264">IFERROR(INDEX(MonitorRent!C:D, MATCH(F264 &amp; " " &amp; G264, MonitorRent!A:A &amp; " " &amp; MonitorRent!B:B, 0)), "")</f>
        <v/>
      </c>
      <c r="R264" s="295"/>
    </row>
    <row r="265">
      <c r="A265" s="284">
        <v>262.0</v>
      </c>
      <c r="B265" s="285" t="s">
        <v>126</v>
      </c>
      <c r="C265" s="285" t="s">
        <v>10103</v>
      </c>
      <c r="D265" s="286" t="s">
        <v>9399</v>
      </c>
      <c r="E265" s="285" t="s">
        <v>6921</v>
      </c>
      <c r="F265" s="285" t="s">
        <v>10742</v>
      </c>
      <c r="G265" s="285" t="s">
        <v>10743</v>
      </c>
      <c r="H265" s="285" t="s">
        <v>10744</v>
      </c>
      <c r="I265" s="285" t="s">
        <v>130</v>
      </c>
      <c r="J265" s="285" t="s">
        <v>5012</v>
      </c>
      <c r="K265" s="285" t="s">
        <v>1606</v>
      </c>
      <c r="L265" s="285" t="s">
        <v>10127</v>
      </c>
      <c r="M265" s="285" t="s">
        <v>9391</v>
      </c>
      <c r="N265" s="287" t="str">
        <f>IFERROR(
    IF(
        AND(
            VLOOKUP(B265, 'รายชื่อพนักงานลาออกพ้นสภาพ'!B:I, 8, FALSE)&lt;&gt;"ยกเลิกลาออก",
            VLOOKUP(B265, 'รายชื่อพนักงานลาออกพ้นสภาพ'!B:I, 7, FALSE)&lt;=TODAY()
        ),
        "ลาออกแล้ว",
        ""
    ),
"")</f>
        <v>ลาออกแล้ว</v>
      </c>
      <c r="O265" s="292" t="str">
        <f t="array" ref="O265">IFERROR(INDEX(PCRent!C:D, MATCH(F265 &amp; " " &amp; G265, PCRent!A:A &amp; " " &amp; PCRent!B:B, 0)), "")</f>
        <v/>
      </c>
      <c r="P265" s="293"/>
      <c r="Q265" s="294" t="str">
        <f t="array" ref="Q265">IFERROR(INDEX(MonitorRent!C:D, MATCH(F265 &amp; " " &amp; G265, MonitorRent!A:A &amp; " " &amp; MonitorRent!B:B, 0)), "")</f>
        <v/>
      </c>
      <c r="R265" s="295"/>
    </row>
    <row r="266">
      <c r="A266" s="284">
        <v>263.0</v>
      </c>
      <c r="B266" s="285" t="s">
        <v>10745</v>
      </c>
      <c r="C266" s="285" t="s">
        <v>10103</v>
      </c>
      <c r="D266" s="286" t="s">
        <v>10746</v>
      </c>
      <c r="E266" s="285" t="s">
        <v>6921</v>
      </c>
      <c r="F266" s="285" t="s">
        <v>10747</v>
      </c>
      <c r="G266" s="285" t="s">
        <v>10748</v>
      </c>
      <c r="H266" s="285" t="s">
        <v>10749</v>
      </c>
      <c r="I266" s="285" t="s">
        <v>10750</v>
      </c>
      <c r="J266" s="285" t="s">
        <v>5224</v>
      </c>
      <c r="K266" s="285" t="s">
        <v>4756</v>
      </c>
      <c r="L266" s="285" t="s">
        <v>10438</v>
      </c>
      <c r="M266" s="285" t="s">
        <v>9383</v>
      </c>
      <c r="N266" s="287" t="str">
        <f>IFERROR(
    IF(
        AND(
            VLOOKUP(B266, 'รายชื่อพนักงานลาออกพ้นสภาพ'!B:I, 8, FALSE)&lt;&gt;"ยกเลิกลาออก",
            VLOOKUP(B266, 'รายชื่อพนักงานลาออกพ้นสภาพ'!B:I, 7, FALSE)&lt;=TODAY()
        ),
        "ลาออกแล้ว",
        ""
    ),
"")</f>
        <v/>
      </c>
      <c r="O266" s="292" t="str">
        <f t="array" ref="O266:P266">IFERROR(INDEX(PCRent!C:D, MATCH(F266 &amp; " " &amp; G266, PCRent!A:A &amp; " " &amp; PCRent!B:B, 0)), "")</f>
        <v>SN:MP2M8GA3</v>
      </c>
      <c r="P266" s="293" t="s">
        <v>7248</v>
      </c>
      <c r="Q266" s="294" t="str">
        <f t="array" ref="Q266">IFERROR(INDEX(MonitorRent!C:D, MATCH(F266 &amp; " " &amp; G266, MonitorRent!A:A &amp; " " &amp; MonitorRent!B:B, 0)), "")</f>
        <v/>
      </c>
      <c r="R266" s="295"/>
    </row>
    <row r="267">
      <c r="A267" s="284">
        <v>264.0</v>
      </c>
      <c r="B267" s="285" t="s">
        <v>935</v>
      </c>
      <c r="C267" s="285" t="s">
        <v>10103</v>
      </c>
      <c r="D267" s="286" t="s">
        <v>10180</v>
      </c>
      <c r="E267" s="285" t="s">
        <v>6921</v>
      </c>
      <c r="F267" s="285" t="s">
        <v>10751</v>
      </c>
      <c r="G267" s="285" t="s">
        <v>10752</v>
      </c>
      <c r="H267" s="285" t="s">
        <v>10753</v>
      </c>
      <c r="I267" s="285" t="s">
        <v>937</v>
      </c>
      <c r="J267" s="285" t="s">
        <v>5224</v>
      </c>
      <c r="K267" s="285" t="s">
        <v>10273</v>
      </c>
      <c r="L267" s="285" t="s">
        <v>5805</v>
      </c>
      <c r="M267" s="285" t="s">
        <v>9383</v>
      </c>
      <c r="N267" s="287" t="str">
        <f>IFERROR(
    IF(
        AND(
            VLOOKUP(B267, 'รายชื่อพนักงานลาออกพ้นสภาพ'!B:I, 8, FALSE)&lt;&gt;"ยกเลิกลาออก",
            VLOOKUP(B267, 'รายชื่อพนักงานลาออกพ้นสภาพ'!B:I, 7, FALSE)&lt;=TODAY()
        ),
        "ลาออกแล้ว",
        ""
    ),
"")</f>
        <v>ลาออกแล้ว</v>
      </c>
      <c r="O267" s="292" t="str">
        <f t="array" ref="O267">IFERROR(INDEX(PCRent!C:D, MATCH(F267 &amp; " " &amp; G267, PCRent!A:A &amp; " " &amp; PCRent!B:B, 0)), "")</f>
        <v/>
      </c>
      <c r="P267" s="293"/>
      <c r="Q267" s="294" t="str">
        <f t="array" ref="Q267">IFERROR(INDEX(MonitorRent!C:D, MATCH(F267 &amp; " " &amp; G267, MonitorRent!A:A &amp; " " &amp; MonitorRent!B:B, 0)), "")</f>
        <v/>
      </c>
      <c r="R267" s="295"/>
    </row>
    <row r="268">
      <c r="A268" s="284">
        <v>265.0</v>
      </c>
      <c r="B268" s="285" t="s">
        <v>1052</v>
      </c>
      <c r="C268" s="285" t="s">
        <v>10103</v>
      </c>
      <c r="D268" s="286" t="s">
        <v>10754</v>
      </c>
      <c r="E268" s="285" t="s">
        <v>6933</v>
      </c>
      <c r="F268" s="285" t="s">
        <v>10755</v>
      </c>
      <c r="G268" s="285" t="s">
        <v>10756</v>
      </c>
      <c r="H268" s="285" t="s">
        <v>10757</v>
      </c>
      <c r="I268" s="285" t="s">
        <v>1054</v>
      </c>
      <c r="J268" s="285" t="s">
        <v>5012</v>
      </c>
      <c r="K268" s="285" t="s">
        <v>1412</v>
      </c>
      <c r="L268" s="285" t="s">
        <v>10127</v>
      </c>
      <c r="M268" s="285" t="s">
        <v>9383</v>
      </c>
      <c r="N268" s="287" t="str">
        <f>IFERROR(
    IF(
        AND(
            VLOOKUP(B268, 'รายชื่อพนักงานลาออกพ้นสภาพ'!B:I, 8, FALSE)&lt;&gt;"ยกเลิกลาออก",
            VLOOKUP(B268, 'รายชื่อพนักงานลาออกพ้นสภาพ'!B:I, 7, FALSE)&lt;=TODAY()
        ),
        "ลาออกแล้ว",
        ""
    ),
"")</f>
        <v/>
      </c>
      <c r="O268" s="292" t="str">
        <f t="array" ref="O268">IFERROR(INDEX(PCRent!C:D, MATCH(F268 &amp; " " &amp; G268, PCRent!A:A &amp; " " &amp; PCRent!B:B, 0)), "")</f>
        <v/>
      </c>
      <c r="P268" s="293"/>
      <c r="Q268" s="294" t="str">
        <f t="array" ref="Q268">IFERROR(INDEX(MonitorRent!C:D, MATCH(F268 &amp; " " &amp; G268, MonitorRent!A:A &amp; " " &amp; MonitorRent!B:B, 0)), "")</f>
        <v/>
      </c>
      <c r="R268" s="295"/>
    </row>
    <row r="269">
      <c r="A269" s="284">
        <v>266.0</v>
      </c>
      <c r="B269" s="285" t="s">
        <v>402</v>
      </c>
      <c r="C269" s="285" t="s">
        <v>10103</v>
      </c>
      <c r="D269" s="286" t="s">
        <v>10758</v>
      </c>
      <c r="E269" s="285" t="s">
        <v>6933</v>
      </c>
      <c r="F269" s="285" t="s">
        <v>10759</v>
      </c>
      <c r="G269" s="285" t="s">
        <v>10760</v>
      </c>
      <c r="H269" s="285" t="s">
        <v>10761</v>
      </c>
      <c r="I269" s="285" t="s">
        <v>405</v>
      </c>
      <c r="J269" s="285" t="s">
        <v>5012</v>
      </c>
      <c r="K269" s="285" t="s">
        <v>10114</v>
      </c>
      <c r="L269" s="285" t="s">
        <v>10127</v>
      </c>
      <c r="M269" s="285" t="s">
        <v>9383</v>
      </c>
      <c r="N269" s="287" t="str">
        <f>IFERROR(
    IF(
        AND(
            VLOOKUP(B269, 'รายชื่อพนักงานลาออกพ้นสภาพ'!B:I, 8, FALSE)&lt;&gt;"ยกเลิกลาออก",
            VLOOKUP(B269, 'รายชื่อพนักงานลาออกพ้นสภาพ'!B:I, 7, FALSE)&lt;=TODAY()
        ),
        "ลาออกแล้ว",
        ""
    ),
"")</f>
        <v>ลาออกแล้ว</v>
      </c>
      <c r="O269" s="292" t="str">
        <f t="array" ref="O269">IFERROR(INDEX(PCRent!C:D, MATCH(F269 &amp; " " &amp; G269, PCRent!A:A &amp; " " &amp; PCRent!B:B, 0)), "")</f>
        <v/>
      </c>
      <c r="P269" s="293"/>
      <c r="Q269" s="294" t="str">
        <f t="array" ref="Q269">IFERROR(INDEX(MonitorRent!C:D, MATCH(F269 &amp; " " &amp; G269, MonitorRent!A:A &amp; " " &amp; MonitorRent!B:B, 0)), "")</f>
        <v/>
      </c>
      <c r="R269" s="295"/>
    </row>
    <row r="270">
      <c r="A270" s="284">
        <v>267.0</v>
      </c>
      <c r="B270" s="285" t="s">
        <v>10762</v>
      </c>
      <c r="C270" s="285" t="s">
        <v>10103</v>
      </c>
      <c r="D270" s="286" t="s">
        <v>10763</v>
      </c>
      <c r="E270" s="285" t="s">
        <v>6933</v>
      </c>
      <c r="F270" s="285" t="s">
        <v>9595</v>
      </c>
      <c r="G270" s="285" t="s">
        <v>10764</v>
      </c>
      <c r="H270" s="285" t="s">
        <v>10765</v>
      </c>
      <c r="I270" s="285" t="s">
        <v>10766</v>
      </c>
      <c r="J270" s="285" t="s">
        <v>5012</v>
      </c>
      <c r="K270" s="285" t="s">
        <v>1412</v>
      </c>
      <c r="L270" s="285" t="s">
        <v>10127</v>
      </c>
      <c r="M270" s="285" t="s">
        <v>9383</v>
      </c>
      <c r="N270" s="287" t="str">
        <f>IFERROR(
    IF(
        AND(
            VLOOKUP(B270, 'รายชื่อพนักงานลาออกพ้นสภาพ'!B:I, 8, FALSE)&lt;&gt;"ยกเลิกลาออก",
            VLOOKUP(B270, 'รายชื่อพนักงานลาออกพ้นสภาพ'!B:I, 7, FALSE)&lt;=TODAY()
        ),
        "ลาออกแล้ว",
        ""
    ),
"")</f>
        <v/>
      </c>
      <c r="O270" s="292" t="str">
        <f t="array" ref="O270">IFERROR(INDEX(PCRent!C:D, MATCH(F270 &amp; " " &amp; G270, PCRent!A:A &amp; " " &amp; PCRent!B:B, 0)), "")</f>
        <v/>
      </c>
      <c r="P270" s="293"/>
      <c r="Q270" s="294" t="str">
        <f t="array" ref="Q270">IFERROR(INDEX(MonitorRent!C:D, MATCH(F270 &amp; " " &amp; G270, MonitorRent!A:A &amp; " " &amp; MonitorRent!B:B, 0)), "")</f>
        <v/>
      </c>
      <c r="R270" s="295"/>
    </row>
    <row r="271">
      <c r="A271" s="284">
        <v>268.0</v>
      </c>
      <c r="B271" s="285" t="s">
        <v>10767</v>
      </c>
      <c r="C271" s="285" t="s">
        <v>10103</v>
      </c>
      <c r="D271" s="286" t="s">
        <v>10058</v>
      </c>
      <c r="E271" s="285" t="s">
        <v>6933</v>
      </c>
      <c r="F271" s="285" t="s">
        <v>10768</v>
      </c>
      <c r="G271" s="285" t="s">
        <v>10769</v>
      </c>
      <c r="H271" s="285" t="s">
        <v>10770</v>
      </c>
      <c r="I271" s="285" t="s">
        <v>10771</v>
      </c>
      <c r="J271" s="285" t="s">
        <v>5012</v>
      </c>
      <c r="K271" s="285" t="s">
        <v>10114</v>
      </c>
      <c r="L271" s="285" t="s">
        <v>10127</v>
      </c>
      <c r="M271" s="285" t="s">
        <v>9383</v>
      </c>
      <c r="N271" s="287" t="str">
        <f>IFERROR(
    IF(
        AND(
            VLOOKUP(B271, 'รายชื่อพนักงานลาออกพ้นสภาพ'!B:I, 8, FALSE)&lt;&gt;"ยกเลิกลาออก",
            VLOOKUP(B271, 'รายชื่อพนักงานลาออกพ้นสภาพ'!B:I, 7, FALSE)&lt;=TODAY()
        ),
        "ลาออกแล้ว",
        ""
    ),
"")</f>
        <v/>
      </c>
      <c r="O271" s="292" t="str">
        <f t="array" ref="O271">IFERROR(INDEX(PCRent!C:D, MATCH(F271 &amp; " " &amp; G271, PCRent!A:A &amp; " " &amp; PCRent!B:B, 0)), "")</f>
        <v/>
      </c>
      <c r="P271" s="293"/>
      <c r="Q271" s="294" t="str">
        <f t="array" ref="Q271">IFERROR(INDEX(MonitorRent!C:D, MATCH(F271 &amp; " " &amp; G271, MonitorRent!A:A &amp; " " &amp; MonitorRent!B:B, 0)), "")</f>
        <v/>
      </c>
      <c r="R271" s="295"/>
    </row>
    <row r="272">
      <c r="A272" s="284">
        <v>269.0</v>
      </c>
      <c r="B272" s="285" t="s">
        <v>10772</v>
      </c>
      <c r="C272" s="285" t="s">
        <v>10103</v>
      </c>
      <c r="D272" s="286" t="s">
        <v>10773</v>
      </c>
      <c r="E272" s="285" t="s">
        <v>6933</v>
      </c>
      <c r="F272" s="285" t="s">
        <v>10774</v>
      </c>
      <c r="G272" s="285" t="s">
        <v>10775</v>
      </c>
      <c r="H272" s="285" t="s">
        <v>10776</v>
      </c>
      <c r="I272" s="285" t="s">
        <v>10777</v>
      </c>
      <c r="J272" s="285" t="s">
        <v>5224</v>
      </c>
      <c r="K272" s="285" t="s">
        <v>2062</v>
      </c>
      <c r="L272" s="285" t="s">
        <v>832</v>
      </c>
      <c r="M272" s="285" t="s">
        <v>9383</v>
      </c>
      <c r="N272" s="287" t="str">
        <f>IFERROR(
    IF(
        AND(
            VLOOKUP(B272, 'รายชื่อพนักงานลาออกพ้นสภาพ'!B:I, 8, FALSE)&lt;&gt;"ยกเลิกลาออก",
            VLOOKUP(B272, 'รายชื่อพนักงานลาออกพ้นสภาพ'!B:I, 7, FALSE)&lt;=TODAY()
        ),
        "ลาออกแล้ว",
        ""
    ),
"")</f>
        <v/>
      </c>
      <c r="O272" s="292" t="str">
        <f t="array" ref="O272:P272">IFERROR(INDEX(PCRent!C:D, MATCH(F272 &amp; " " &amp; G272, PCRent!A:A &amp; " " &amp; PCRent!B:B, 0)), "")</f>
        <v>SN:MP2EHH0C</v>
      </c>
      <c r="P272" s="293" t="s">
        <v>6993</v>
      </c>
      <c r="Q272" s="294" t="str">
        <f t="array" ref="Q272">IFERROR(INDEX(MonitorRent!C:D, MATCH(F272 &amp; " " &amp; G272, MonitorRent!A:A &amp; " " &amp; MonitorRent!B:B, 0)), "")</f>
        <v/>
      </c>
      <c r="R272" s="295"/>
    </row>
    <row r="273">
      <c r="A273" s="284">
        <v>270.0</v>
      </c>
      <c r="B273" s="285" t="s">
        <v>10778</v>
      </c>
      <c r="C273" s="285" t="s">
        <v>10103</v>
      </c>
      <c r="D273" s="286" t="s">
        <v>10779</v>
      </c>
      <c r="E273" s="285" t="s">
        <v>6933</v>
      </c>
      <c r="F273" s="285" t="s">
        <v>10780</v>
      </c>
      <c r="G273" s="285" t="s">
        <v>10781</v>
      </c>
      <c r="H273" s="285" t="s">
        <v>9827</v>
      </c>
      <c r="I273" s="285" t="s">
        <v>10782</v>
      </c>
      <c r="J273" s="285" t="s">
        <v>5012</v>
      </c>
      <c r="K273" s="285" t="s">
        <v>5638</v>
      </c>
      <c r="L273" s="285" t="s">
        <v>832</v>
      </c>
      <c r="M273" s="285" t="s">
        <v>9383</v>
      </c>
      <c r="N273" s="287" t="str">
        <f>IFERROR(
    IF(
        AND(
            VLOOKUP(B273, 'รายชื่อพนักงานลาออกพ้นสภาพ'!B:I, 8, FALSE)&lt;&gt;"ยกเลิกลาออก",
            VLOOKUP(B273, 'รายชื่อพนักงานลาออกพ้นสภาพ'!B:I, 7, FALSE)&lt;=TODAY()
        ),
        "ลาออกแล้ว",
        ""
    ),
"")</f>
        <v/>
      </c>
      <c r="O273" s="292" t="str">
        <f t="array" ref="O273">IFERROR(INDEX(PCRent!C:D, MATCH(F273 &amp; " " &amp; G273, PCRent!A:A &amp; " " &amp; PCRent!B:B, 0)), "")</f>
        <v/>
      </c>
      <c r="P273" s="293"/>
      <c r="Q273" s="294" t="str">
        <f t="array" ref="Q273">IFERROR(INDEX(MonitorRent!C:D, MATCH(F273 &amp; " " &amp; G273, MonitorRent!A:A &amp; " " &amp; MonitorRent!B:B, 0)), "")</f>
        <v/>
      </c>
      <c r="R273" s="295"/>
    </row>
    <row r="274">
      <c r="A274" s="284">
        <v>271.0</v>
      </c>
      <c r="B274" s="285" t="s">
        <v>10783</v>
      </c>
      <c r="C274" s="285" t="s">
        <v>10103</v>
      </c>
      <c r="D274" s="286" t="s">
        <v>10354</v>
      </c>
      <c r="E274" s="285" t="s">
        <v>6933</v>
      </c>
      <c r="F274" s="285" t="s">
        <v>10784</v>
      </c>
      <c r="G274" s="285" t="s">
        <v>10785</v>
      </c>
      <c r="H274" s="285" t="s">
        <v>10786</v>
      </c>
      <c r="I274" s="285" t="s">
        <v>10787</v>
      </c>
      <c r="J274" s="285" t="s">
        <v>5012</v>
      </c>
      <c r="K274" s="285" t="s">
        <v>10114</v>
      </c>
      <c r="L274" s="285" t="s">
        <v>832</v>
      </c>
      <c r="M274" s="285" t="s">
        <v>9383</v>
      </c>
      <c r="N274" s="287" t="str">
        <f>IFERROR(
    IF(
        AND(
            VLOOKUP(B274, 'รายชื่อพนักงานลาออกพ้นสภาพ'!B:I, 8, FALSE)&lt;&gt;"ยกเลิกลาออก",
            VLOOKUP(B274, 'รายชื่อพนักงานลาออกพ้นสภาพ'!B:I, 7, FALSE)&lt;=TODAY()
        ),
        "ลาออกแล้ว",
        ""
    ),
"")</f>
        <v/>
      </c>
      <c r="O274" s="292" t="str">
        <f t="array" ref="O274">IFERROR(INDEX(PCRent!C:D, MATCH(F274 &amp; " " &amp; G274, PCRent!A:A &amp; " " &amp; PCRent!B:B, 0)), "")</f>
        <v/>
      </c>
      <c r="P274" s="293"/>
      <c r="Q274" s="294" t="str">
        <f t="array" ref="Q274">IFERROR(INDEX(MonitorRent!C:D, MATCH(F274 &amp; " " &amp; G274, MonitorRent!A:A &amp; " " &amp; MonitorRent!B:B, 0)), "")</f>
        <v/>
      </c>
      <c r="R274" s="295"/>
    </row>
    <row r="275">
      <c r="A275" s="284">
        <v>272.0</v>
      </c>
      <c r="B275" s="285" t="s">
        <v>10788</v>
      </c>
      <c r="C275" s="285" t="s">
        <v>10103</v>
      </c>
      <c r="D275" s="286" t="s">
        <v>10396</v>
      </c>
      <c r="E275" s="285" t="s">
        <v>6933</v>
      </c>
      <c r="F275" s="285" t="s">
        <v>10789</v>
      </c>
      <c r="G275" s="285" t="s">
        <v>10790</v>
      </c>
      <c r="H275" s="285" t="s">
        <v>10791</v>
      </c>
      <c r="I275" s="285" t="s">
        <v>10792</v>
      </c>
      <c r="J275" s="285" t="s">
        <v>5012</v>
      </c>
      <c r="K275" s="285" t="s">
        <v>10114</v>
      </c>
      <c r="L275" s="285" t="s">
        <v>10127</v>
      </c>
      <c r="M275" s="285" t="s">
        <v>9383</v>
      </c>
      <c r="N275" s="287" t="str">
        <f>IFERROR(
    IF(
        AND(
            VLOOKUP(B275, 'รายชื่อพนักงานลาออกพ้นสภาพ'!B:I, 8, FALSE)&lt;&gt;"ยกเลิกลาออก",
            VLOOKUP(B275, 'รายชื่อพนักงานลาออกพ้นสภาพ'!B:I, 7, FALSE)&lt;=TODAY()
        ),
        "ลาออกแล้ว",
        ""
    ),
"")</f>
        <v/>
      </c>
      <c r="O275" s="292" t="str">
        <f t="array" ref="O275">IFERROR(INDEX(PCRent!C:D, MATCH(F275 &amp; " " &amp; G275, PCRent!A:A &amp; " " &amp; PCRent!B:B, 0)), "")</f>
        <v/>
      </c>
      <c r="P275" s="293"/>
      <c r="Q275" s="294" t="str">
        <f t="array" ref="Q275">IFERROR(INDEX(MonitorRent!C:D, MATCH(F275 &amp; " " &amp; G275, MonitorRent!A:A &amp; " " &amp; MonitorRent!B:B, 0)), "")</f>
        <v/>
      </c>
      <c r="R275" s="295"/>
    </row>
    <row r="276">
      <c r="A276" s="284">
        <v>273.0</v>
      </c>
      <c r="B276" s="285" t="s">
        <v>10793</v>
      </c>
      <c r="C276" s="285" t="s">
        <v>10103</v>
      </c>
      <c r="D276" s="286" t="s">
        <v>10206</v>
      </c>
      <c r="E276" s="285" t="s">
        <v>6933</v>
      </c>
      <c r="F276" s="285" t="s">
        <v>10794</v>
      </c>
      <c r="G276" s="285" t="s">
        <v>10795</v>
      </c>
      <c r="H276" s="296"/>
      <c r="I276" s="285" t="s">
        <v>10796</v>
      </c>
      <c r="J276" s="285" t="s">
        <v>5012</v>
      </c>
      <c r="K276" s="285" t="s">
        <v>10114</v>
      </c>
      <c r="L276" s="285" t="s">
        <v>832</v>
      </c>
      <c r="M276" s="285" t="s">
        <v>9391</v>
      </c>
      <c r="N276" s="287" t="str">
        <f>IFERROR(
    IF(
        AND(
            VLOOKUP(B276, 'รายชื่อพนักงานลาออกพ้นสภาพ'!B:I, 8, FALSE)&lt;&gt;"ยกเลิกลาออก",
            VLOOKUP(B276, 'รายชื่อพนักงานลาออกพ้นสภาพ'!B:I, 7, FALSE)&lt;=TODAY()
        ),
        "ลาออกแล้ว",
        ""
    ),
"")</f>
        <v/>
      </c>
      <c r="O276" s="292" t="str">
        <f t="array" ref="O276">IFERROR(INDEX(PCRent!C:D, MATCH(F276 &amp; " " &amp; G276, PCRent!A:A &amp; " " &amp; PCRent!B:B, 0)), "")</f>
        <v/>
      </c>
      <c r="P276" s="293"/>
      <c r="Q276" s="294" t="str">
        <f t="array" ref="Q276">IFERROR(INDEX(MonitorRent!C:D, MATCH(F276 &amp; " " &amp; G276, MonitorRent!A:A &amp; " " &amp; MonitorRent!B:B, 0)), "")</f>
        <v/>
      </c>
      <c r="R276" s="295"/>
    </row>
    <row r="277">
      <c r="A277" s="284">
        <v>274.0</v>
      </c>
      <c r="B277" s="285" t="s">
        <v>10797</v>
      </c>
      <c r="C277" s="285" t="s">
        <v>10103</v>
      </c>
      <c r="D277" s="286" t="s">
        <v>10798</v>
      </c>
      <c r="E277" s="285" t="s">
        <v>6933</v>
      </c>
      <c r="F277" s="285" t="s">
        <v>10799</v>
      </c>
      <c r="G277" s="285" t="s">
        <v>10800</v>
      </c>
      <c r="H277" s="285" t="s">
        <v>10801</v>
      </c>
      <c r="I277" s="285" t="s">
        <v>10802</v>
      </c>
      <c r="J277" s="285" t="s">
        <v>5012</v>
      </c>
      <c r="K277" s="285" t="s">
        <v>1606</v>
      </c>
      <c r="L277" s="285" t="s">
        <v>832</v>
      </c>
      <c r="M277" s="285" t="s">
        <v>9383</v>
      </c>
      <c r="N277" s="287" t="str">
        <f>IFERROR(
    IF(
        AND(
            VLOOKUP(B277, 'รายชื่อพนักงานลาออกพ้นสภาพ'!B:I, 8, FALSE)&lt;&gt;"ยกเลิกลาออก",
            VLOOKUP(B277, 'รายชื่อพนักงานลาออกพ้นสภาพ'!B:I, 7, FALSE)&lt;=TODAY()
        ),
        "ลาออกแล้ว",
        ""
    ),
"")</f>
        <v/>
      </c>
      <c r="O277" s="292" t="str">
        <f t="array" ref="O277">IFERROR(INDEX(PCRent!C:D, MATCH(F277 &amp; " " &amp; G277, PCRent!A:A &amp; " " &amp; PCRent!B:B, 0)), "")</f>
        <v/>
      </c>
      <c r="P277" s="293"/>
      <c r="Q277" s="294" t="str">
        <f t="array" ref="Q277">IFERROR(INDEX(MonitorRent!C:D, MATCH(F277 &amp; " " &amp; G277, MonitorRent!A:A &amp; " " &amp; MonitorRent!B:B, 0)), "")</f>
        <v/>
      </c>
      <c r="R277" s="295"/>
    </row>
    <row r="278">
      <c r="A278" s="284">
        <v>275.0</v>
      </c>
      <c r="B278" s="285" t="s">
        <v>10803</v>
      </c>
      <c r="C278" s="285" t="s">
        <v>10103</v>
      </c>
      <c r="D278" s="286" t="s">
        <v>10804</v>
      </c>
      <c r="E278" s="285" t="s">
        <v>6921</v>
      </c>
      <c r="F278" s="285" t="s">
        <v>10805</v>
      </c>
      <c r="G278" s="285" t="s">
        <v>10806</v>
      </c>
      <c r="H278" s="285" t="s">
        <v>10807</v>
      </c>
      <c r="I278" s="285" t="s">
        <v>10808</v>
      </c>
      <c r="J278" s="285" t="s">
        <v>5012</v>
      </c>
      <c r="K278" s="285" t="s">
        <v>3000</v>
      </c>
      <c r="L278" s="285" t="s">
        <v>10127</v>
      </c>
      <c r="M278" s="285" t="s">
        <v>9383</v>
      </c>
      <c r="N278" s="287" t="str">
        <f>IFERROR(
    IF(
        AND(
            VLOOKUP(B278, 'รายชื่อพนักงานลาออกพ้นสภาพ'!B:I, 8, FALSE)&lt;&gt;"ยกเลิกลาออก",
            VLOOKUP(B278, 'รายชื่อพนักงานลาออกพ้นสภาพ'!B:I, 7, FALSE)&lt;=TODAY()
        ),
        "ลาออกแล้ว",
        ""
    ),
"")</f>
        <v/>
      </c>
      <c r="O278" s="292" t="str">
        <f t="array" ref="O278">IFERROR(INDEX(PCRent!C:D, MATCH(F278 &amp; " " &amp; G278, PCRent!A:A &amp; " " &amp; PCRent!B:B, 0)), "")</f>
        <v/>
      </c>
      <c r="P278" s="293"/>
      <c r="Q278" s="294" t="str">
        <f t="array" ref="Q278">IFERROR(INDEX(MonitorRent!C:D, MATCH(F278 &amp; " " &amp; G278, MonitorRent!A:A &amp; " " &amp; MonitorRent!B:B, 0)), "")</f>
        <v/>
      </c>
      <c r="R278" s="295"/>
    </row>
    <row r="279">
      <c r="A279" s="284">
        <v>276.0</v>
      </c>
      <c r="B279" s="285" t="s">
        <v>10809</v>
      </c>
      <c r="C279" s="285" t="s">
        <v>10103</v>
      </c>
      <c r="D279" s="286" t="s">
        <v>10810</v>
      </c>
      <c r="E279" s="285" t="s">
        <v>7239</v>
      </c>
      <c r="F279" s="285" t="s">
        <v>10805</v>
      </c>
      <c r="G279" s="285" t="s">
        <v>10811</v>
      </c>
      <c r="H279" s="285" t="s">
        <v>10812</v>
      </c>
      <c r="I279" s="285" t="s">
        <v>10813</v>
      </c>
      <c r="J279" s="285" t="s">
        <v>5012</v>
      </c>
      <c r="K279" s="285" t="s">
        <v>3000</v>
      </c>
      <c r="L279" s="285" t="s">
        <v>10127</v>
      </c>
      <c r="M279" s="285" t="s">
        <v>9383</v>
      </c>
      <c r="N279" s="287" t="str">
        <f>IFERROR(
    IF(
        AND(
            VLOOKUP(B279, 'รายชื่อพนักงานลาออกพ้นสภาพ'!B:I, 8, FALSE)&lt;&gt;"ยกเลิกลาออก",
            VLOOKUP(B279, 'รายชื่อพนักงานลาออกพ้นสภาพ'!B:I, 7, FALSE)&lt;=TODAY()
        ),
        "ลาออกแล้ว",
        ""
    ),
"")</f>
        <v/>
      </c>
      <c r="O279" s="292" t="str">
        <f t="array" ref="O279">IFERROR(INDEX(PCRent!C:D, MATCH(F279 &amp; " " &amp; G279, PCRent!A:A &amp; " " &amp; PCRent!B:B, 0)), "")</f>
        <v/>
      </c>
      <c r="P279" s="293"/>
      <c r="Q279" s="294" t="str">
        <f t="array" ref="Q279">IFERROR(INDEX(MonitorRent!C:D, MATCH(F279 &amp; " " &amp; G279, MonitorRent!A:A &amp; " " &amp; MonitorRent!B:B, 0)), "")</f>
        <v/>
      </c>
      <c r="R279" s="295"/>
    </row>
    <row r="280">
      <c r="A280" s="284">
        <v>277.0</v>
      </c>
      <c r="B280" s="285" t="s">
        <v>10814</v>
      </c>
      <c r="C280" s="285" t="s">
        <v>10103</v>
      </c>
      <c r="D280" s="286" t="s">
        <v>10603</v>
      </c>
      <c r="E280" s="285" t="s">
        <v>6921</v>
      </c>
      <c r="F280" s="285" t="s">
        <v>10815</v>
      </c>
      <c r="G280" s="285" t="s">
        <v>10816</v>
      </c>
      <c r="H280" s="285" t="s">
        <v>10817</v>
      </c>
      <c r="I280" s="285" t="s">
        <v>10818</v>
      </c>
      <c r="J280" s="285" t="s">
        <v>5012</v>
      </c>
      <c r="K280" s="285" t="s">
        <v>1492</v>
      </c>
      <c r="L280" s="285" t="s">
        <v>1258</v>
      </c>
      <c r="M280" s="285" t="s">
        <v>9383</v>
      </c>
      <c r="N280" s="287" t="str">
        <f>IFERROR(
    IF(
        AND(
            VLOOKUP(B280, 'รายชื่อพนักงานลาออกพ้นสภาพ'!B:I, 8, FALSE)&lt;&gt;"ยกเลิกลาออก",
            VLOOKUP(B280, 'รายชื่อพนักงานลาออกพ้นสภาพ'!B:I, 7, FALSE)&lt;=TODAY()
        ),
        "ลาออกแล้ว",
        ""
    ),
"")</f>
        <v/>
      </c>
      <c r="O280" s="292" t="str">
        <f t="array" ref="O280">IFERROR(INDEX(PCRent!C:D, MATCH(F280 &amp; " " &amp; G280, PCRent!A:A &amp; " " &amp; PCRent!B:B, 0)), "")</f>
        <v/>
      </c>
      <c r="P280" s="293"/>
      <c r="Q280" s="294" t="str">
        <f t="array" ref="Q280">IFERROR(INDEX(MonitorRent!C:D, MATCH(F280 &amp; " " &amp; G280, MonitorRent!A:A &amp; " " &amp; MonitorRent!B:B, 0)), "")</f>
        <v/>
      </c>
      <c r="R280" s="295"/>
    </row>
    <row r="281">
      <c r="A281" s="284">
        <v>278.0</v>
      </c>
      <c r="B281" s="285" t="s">
        <v>10819</v>
      </c>
      <c r="C281" s="285" t="s">
        <v>10103</v>
      </c>
      <c r="D281" s="286" t="s">
        <v>10063</v>
      </c>
      <c r="E281" s="285" t="s">
        <v>6921</v>
      </c>
      <c r="F281" s="285" t="s">
        <v>10820</v>
      </c>
      <c r="G281" s="285" t="s">
        <v>10821</v>
      </c>
      <c r="H281" s="285" t="s">
        <v>10822</v>
      </c>
      <c r="I281" s="285" t="s">
        <v>10823</v>
      </c>
      <c r="J281" s="285" t="s">
        <v>5224</v>
      </c>
      <c r="K281" s="285" t="s">
        <v>4818</v>
      </c>
      <c r="L281" s="285" t="s">
        <v>10163</v>
      </c>
      <c r="M281" s="285" t="s">
        <v>9391</v>
      </c>
      <c r="N281" s="287" t="str">
        <f>IFERROR(
    IF(
        AND(
            VLOOKUP(B281, 'รายชื่อพนักงานลาออกพ้นสภาพ'!B:I, 8, FALSE)&lt;&gt;"ยกเลิกลาออก",
            VLOOKUP(B281, 'รายชื่อพนักงานลาออกพ้นสภาพ'!B:I, 7, FALSE)&lt;=TODAY()
        ),
        "ลาออกแล้ว",
        ""
    ),
"")</f>
        <v/>
      </c>
      <c r="O281" s="292" t="str">
        <f t="array" ref="O281:P281">IFERROR(INDEX(PCRent!C:D, MATCH(F281 &amp; " " &amp; G281, PCRent!A:A &amp; " " &amp; PCRent!B:B, 0)), "")</f>
        <v>SN:MP2M8JKZ</v>
      </c>
      <c r="P281" s="293" t="s">
        <v>7248</v>
      </c>
      <c r="Q281" s="294" t="str">
        <f t="array" ref="Q281">IFERROR(INDEX(MonitorRent!C:D, MATCH(F281 &amp; " " &amp; G281, MonitorRent!A:A &amp; " " &amp; MonitorRent!B:B, 0)), "")</f>
        <v/>
      </c>
      <c r="R281" s="295"/>
    </row>
    <row r="282">
      <c r="A282" s="284">
        <v>279.0</v>
      </c>
      <c r="B282" s="285" t="s">
        <v>10824</v>
      </c>
      <c r="C282" s="285" t="s">
        <v>10103</v>
      </c>
      <c r="D282" s="286" t="s">
        <v>10825</v>
      </c>
      <c r="E282" s="285" t="s">
        <v>6933</v>
      </c>
      <c r="F282" s="285" t="s">
        <v>10826</v>
      </c>
      <c r="G282" s="285" t="s">
        <v>9902</v>
      </c>
      <c r="H282" s="285" t="s">
        <v>10827</v>
      </c>
      <c r="I282" s="285" t="s">
        <v>10828</v>
      </c>
      <c r="J282" s="285" t="s">
        <v>5012</v>
      </c>
      <c r="K282" s="285" t="s">
        <v>1412</v>
      </c>
      <c r="L282" s="285" t="s">
        <v>10127</v>
      </c>
      <c r="M282" s="285" t="s">
        <v>9383</v>
      </c>
      <c r="N282" s="287" t="str">
        <f>IFERROR(
    IF(
        AND(
            VLOOKUP(B282, 'รายชื่อพนักงานลาออกพ้นสภาพ'!B:I, 8, FALSE)&lt;&gt;"ยกเลิกลาออก",
            VLOOKUP(B282, 'รายชื่อพนักงานลาออกพ้นสภาพ'!B:I, 7, FALSE)&lt;=TODAY()
        ),
        "ลาออกแล้ว",
        ""
    ),
"")</f>
        <v/>
      </c>
      <c r="O282" s="292" t="str">
        <f t="array" ref="O282">IFERROR(INDEX(PCRent!C:D, MATCH(F282 &amp; " " &amp; G282, PCRent!A:A &amp; " " &amp; PCRent!B:B, 0)), "")</f>
        <v/>
      </c>
      <c r="P282" s="293"/>
      <c r="Q282" s="294" t="str">
        <f t="array" ref="Q282">IFERROR(INDEX(MonitorRent!C:D, MATCH(F282 &amp; " " &amp; G282, MonitorRent!A:A &amp; " " &amp; MonitorRent!B:B, 0)), "")</f>
        <v/>
      </c>
      <c r="R282" s="295"/>
    </row>
    <row r="283">
      <c r="A283" s="284">
        <v>280.0</v>
      </c>
      <c r="B283" s="285" t="s">
        <v>105</v>
      </c>
      <c r="C283" s="285" t="s">
        <v>10103</v>
      </c>
      <c r="D283" s="286" t="s">
        <v>9995</v>
      </c>
      <c r="E283" s="285" t="s">
        <v>6933</v>
      </c>
      <c r="F283" s="285" t="s">
        <v>10829</v>
      </c>
      <c r="G283" s="285" t="s">
        <v>10830</v>
      </c>
      <c r="H283" s="285" t="s">
        <v>10831</v>
      </c>
      <c r="I283" s="285" t="s">
        <v>107</v>
      </c>
      <c r="J283" s="285" t="s">
        <v>5012</v>
      </c>
      <c r="K283" s="285" t="s">
        <v>1412</v>
      </c>
      <c r="L283" s="285" t="s">
        <v>10127</v>
      </c>
      <c r="M283" s="285" t="s">
        <v>9383</v>
      </c>
      <c r="N283" s="287" t="str">
        <f>IFERROR(
    IF(
        AND(
            VLOOKUP(B283, 'รายชื่อพนักงานลาออกพ้นสภาพ'!B:I, 8, FALSE)&lt;&gt;"ยกเลิกลาออก",
            VLOOKUP(B283, 'รายชื่อพนักงานลาออกพ้นสภาพ'!B:I, 7, FALSE)&lt;=TODAY()
        ),
        "ลาออกแล้ว",
        ""
    ),
"")</f>
        <v>ลาออกแล้ว</v>
      </c>
      <c r="O283" s="292" t="str">
        <f t="array" ref="O283">IFERROR(INDEX(PCRent!C:D, MATCH(F283 &amp; " " &amp; G283, PCRent!A:A &amp; " " &amp; PCRent!B:B, 0)), "")</f>
        <v/>
      </c>
      <c r="P283" s="293"/>
      <c r="Q283" s="294" t="str">
        <f t="array" ref="Q283">IFERROR(INDEX(MonitorRent!C:D, MATCH(F283 &amp; " " &amp; G283, MonitorRent!A:A &amp; " " &amp; MonitorRent!B:B, 0)), "")</f>
        <v/>
      </c>
      <c r="R283" s="295"/>
    </row>
    <row r="284">
      <c r="A284" s="284">
        <v>281.0</v>
      </c>
      <c r="B284" s="285" t="s">
        <v>10832</v>
      </c>
      <c r="C284" s="285" t="s">
        <v>10103</v>
      </c>
      <c r="D284" s="286" t="s">
        <v>10833</v>
      </c>
      <c r="E284" s="285" t="s">
        <v>6933</v>
      </c>
      <c r="F284" s="285" t="s">
        <v>10834</v>
      </c>
      <c r="G284" s="285" t="s">
        <v>10835</v>
      </c>
      <c r="H284" s="285" t="s">
        <v>10644</v>
      </c>
      <c r="I284" s="285" t="s">
        <v>10836</v>
      </c>
      <c r="J284" s="285" t="s">
        <v>5012</v>
      </c>
      <c r="K284" s="285" t="s">
        <v>10114</v>
      </c>
      <c r="L284" s="285" t="s">
        <v>832</v>
      </c>
      <c r="M284" s="285" t="s">
        <v>9391</v>
      </c>
      <c r="N284" s="287" t="str">
        <f>IFERROR(
    IF(
        AND(
            VLOOKUP(B284, 'รายชื่อพนักงานลาออกพ้นสภาพ'!B:I, 8, FALSE)&lt;&gt;"ยกเลิกลาออก",
            VLOOKUP(B284, 'รายชื่อพนักงานลาออกพ้นสภาพ'!B:I, 7, FALSE)&lt;=TODAY()
        ),
        "ลาออกแล้ว",
        ""
    ),
"")</f>
        <v/>
      </c>
      <c r="O284" s="292" t="str">
        <f t="array" ref="O284">IFERROR(INDEX(PCRent!C:D, MATCH(F284 &amp; " " &amp; G284, PCRent!A:A &amp; " " &amp; PCRent!B:B, 0)), "")</f>
        <v/>
      </c>
      <c r="P284" s="293"/>
      <c r="Q284" s="294" t="str">
        <f t="array" ref="Q284">IFERROR(INDEX(MonitorRent!C:D, MATCH(F284 &amp; " " &amp; G284, MonitorRent!A:A &amp; " " &amp; MonitorRent!B:B, 0)), "")</f>
        <v/>
      </c>
      <c r="R284" s="295"/>
    </row>
    <row r="285">
      <c r="A285" s="284">
        <v>282.0</v>
      </c>
      <c r="B285" s="285" t="s">
        <v>10837</v>
      </c>
      <c r="C285" s="285" t="s">
        <v>10103</v>
      </c>
      <c r="D285" s="286" t="s">
        <v>10838</v>
      </c>
      <c r="E285" s="285" t="s">
        <v>6933</v>
      </c>
      <c r="F285" s="285" t="s">
        <v>10839</v>
      </c>
      <c r="G285" s="285" t="s">
        <v>10840</v>
      </c>
      <c r="H285" s="285" t="s">
        <v>10841</v>
      </c>
      <c r="I285" s="285" t="s">
        <v>10842</v>
      </c>
      <c r="J285" s="285" t="s">
        <v>5012</v>
      </c>
      <c r="K285" s="285" t="s">
        <v>5638</v>
      </c>
      <c r="L285" s="285" t="s">
        <v>10843</v>
      </c>
      <c r="M285" s="285" t="s">
        <v>9383</v>
      </c>
      <c r="N285" s="287" t="str">
        <f>IFERROR(
    IF(
        AND(
            VLOOKUP(B285, 'รายชื่อพนักงานลาออกพ้นสภาพ'!B:I, 8, FALSE)&lt;&gt;"ยกเลิกลาออก",
            VLOOKUP(B285, 'รายชื่อพนักงานลาออกพ้นสภาพ'!B:I, 7, FALSE)&lt;=TODAY()
        ),
        "ลาออกแล้ว",
        ""
    ),
"")</f>
        <v/>
      </c>
      <c r="O285" s="292" t="str">
        <f t="array" ref="O285">IFERROR(INDEX(PCRent!C:D, MATCH(F285 &amp; " " &amp; G285, PCRent!A:A &amp; " " &amp; PCRent!B:B, 0)), "")</f>
        <v/>
      </c>
      <c r="P285" s="293"/>
      <c r="Q285" s="294" t="str">
        <f t="array" ref="Q285">IFERROR(INDEX(MonitorRent!C:D, MATCH(F285 &amp; " " &amp; G285, MonitorRent!A:A &amp; " " &amp; MonitorRent!B:B, 0)), "")</f>
        <v/>
      </c>
      <c r="R285" s="295"/>
    </row>
    <row r="286">
      <c r="A286" s="284">
        <v>283.0</v>
      </c>
      <c r="B286" s="285" t="s">
        <v>10844</v>
      </c>
      <c r="C286" s="285" t="s">
        <v>10103</v>
      </c>
      <c r="D286" s="286" t="s">
        <v>10041</v>
      </c>
      <c r="E286" s="285" t="s">
        <v>6921</v>
      </c>
      <c r="F286" s="285" t="s">
        <v>10845</v>
      </c>
      <c r="G286" s="285" t="s">
        <v>10846</v>
      </c>
      <c r="H286" s="285" t="s">
        <v>10847</v>
      </c>
      <c r="I286" s="285" t="s">
        <v>10848</v>
      </c>
      <c r="J286" s="285" t="s">
        <v>5224</v>
      </c>
      <c r="K286" s="285" t="s">
        <v>10118</v>
      </c>
      <c r="L286" s="285" t="s">
        <v>10538</v>
      </c>
      <c r="M286" s="285" t="s">
        <v>9383</v>
      </c>
      <c r="N286" s="287" t="str">
        <f>IFERROR(
    IF(
        AND(
            VLOOKUP(B286, 'รายชื่อพนักงานลาออกพ้นสภาพ'!B:I, 8, FALSE)&lt;&gt;"ยกเลิกลาออก",
            VLOOKUP(B286, 'รายชื่อพนักงานลาออกพ้นสภาพ'!B:I, 7, FALSE)&lt;=TODAY()
        ),
        "ลาออกแล้ว",
        ""
    ),
"")</f>
        <v/>
      </c>
      <c r="O286" s="292" t="str">
        <f t="array" ref="O286">IFERROR(INDEX(PCRent!C:D, MATCH(F286 &amp; " " &amp; G286, PCRent!A:A &amp; " " &amp; PCRent!B:B, 0)), "")</f>
        <v/>
      </c>
      <c r="P286" s="293"/>
      <c r="Q286" s="294" t="str">
        <f t="array" ref="Q286">IFERROR(INDEX(MonitorRent!C:D, MATCH(F286 &amp; " " &amp; G286, MonitorRent!A:A &amp; " " &amp; MonitorRent!B:B, 0)), "")</f>
        <v/>
      </c>
      <c r="R286" s="295"/>
    </row>
    <row r="287">
      <c r="A287" s="284">
        <v>284.0</v>
      </c>
      <c r="B287" s="285" t="s">
        <v>10849</v>
      </c>
      <c r="C287" s="285" t="s">
        <v>10103</v>
      </c>
      <c r="D287" s="286" t="s">
        <v>10690</v>
      </c>
      <c r="E287" s="285" t="s">
        <v>6933</v>
      </c>
      <c r="F287" s="285" t="s">
        <v>10850</v>
      </c>
      <c r="G287" s="285" t="s">
        <v>10851</v>
      </c>
      <c r="H287" s="285" t="s">
        <v>10852</v>
      </c>
      <c r="I287" s="285" t="s">
        <v>10853</v>
      </c>
      <c r="J287" s="285" t="s">
        <v>5012</v>
      </c>
      <c r="K287" s="285" t="s">
        <v>10114</v>
      </c>
      <c r="L287" s="285" t="s">
        <v>832</v>
      </c>
      <c r="M287" s="285" t="s">
        <v>9391</v>
      </c>
      <c r="N287" s="287" t="str">
        <f>IFERROR(
    IF(
        AND(
            VLOOKUP(B287, 'รายชื่อพนักงานลาออกพ้นสภาพ'!B:I, 8, FALSE)&lt;&gt;"ยกเลิกลาออก",
            VLOOKUP(B287, 'รายชื่อพนักงานลาออกพ้นสภาพ'!B:I, 7, FALSE)&lt;=TODAY()
        ),
        "ลาออกแล้ว",
        ""
    ),
"")</f>
        <v/>
      </c>
      <c r="O287" s="292" t="str">
        <f t="array" ref="O287">IFERROR(INDEX(PCRent!C:D, MATCH(F287 &amp; " " &amp; G287, PCRent!A:A &amp; " " &amp; PCRent!B:B, 0)), "")</f>
        <v/>
      </c>
      <c r="P287" s="293"/>
      <c r="Q287" s="294" t="str">
        <f t="array" ref="Q287">IFERROR(INDEX(MonitorRent!C:D, MATCH(F287 &amp; " " &amp; G287, MonitorRent!A:A &amp; " " &amp; MonitorRent!B:B, 0)), "")</f>
        <v/>
      </c>
      <c r="R287" s="295"/>
    </row>
    <row r="288">
      <c r="A288" s="284">
        <v>285.0</v>
      </c>
      <c r="B288" s="285" t="s">
        <v>243</v>
      </c>
      <c r="C288" s="285" t="s">
        <v>10103</v>
      </c>
      <c r="D288" s="286" t="s">
        <v>10854</v>
      </c>
      <c r="E288" s="285" t="s">
        <v>6933</v>
      </c>
      <c r="F288" s="285" t="s">
        <v>10855</v>
      </c>
      <c r="G288" s="285" t="s">
        <v>10856</v>
      </c>
      <c r="H288" s="285" t="s">
        <v>10770</v>
      </c>
      <c r="I288" s="285" t="s">
        <v>246</v>
      </c>
      <c r="J288" s="285" t="s">
        <v>5012</v>
      </c>
      <c r="K288" s="285" t="s">
        <v>10114</v>
      </c>
      <c r="L288" s="285" t="s">
        <v>832</v>
      </c>
      <c r="M288" s="285" t="s">
        <v>9391</v>
      </c>
      <c r="N288" s="287" t="str">
        <f>IFERROR(
    IF(
        AND(
            VLOOKUP(B288, 'รายชื่อพนักงานลาออกพ้นสภาพ'!B:I, 8, FALSE)&lt;&gt;"ยกเลิกลาออก",
            VLOOKUP(B288, 'รายชื่อพนักงานลาออกพ้นสภาพ'!B:I, 7, FALSE)&lt;=TODAY()
        ),
        "ลาออกแล้ว",
        ""
    ),
"")</f>
        <v/>
      </c>
      <c r="O288" s="292" t="str">
        <f t="array" ref="O288">IFERROR(INDEX(PCRent!C:D, MATCH(F288 &amp; " " &amp; G288, PCRent!A:A &amp; " " &amp; PCRent!B:B, 0)), "")</f>
        <v/>
      </c>
      <c r="P288" s="293"/>
      <c r="Q288" s="294" t="str">
        <f t="array" ref="Q288">IFERROR(INDEX(MonitorRent!C:D, MATCH(F288 &amp; " " &amp; G288, MonitorRent!A:A &amp; " " &amp; MonitorRent!B:B, 0)), "")</f>
        <v/>
      </c>
      <c r="R288" s="295"/>
    </row>
    <row r="289">
      <c r="A289" s="284">
        <v>286.0</v>
      </c>
      <c r="B289" s="285" t="s">
        <v>10857</v>
      </c>
      <c r="C289" s="285" t="s">
        <v>10103</v>
      </c>
      <c r="D289" s="286" t="s">
        <v>10858</v>
      </c>
      <c r="E289" s="285" t="s">
        <v>6933</v>
      </c>
      <c r="F289" s="285" t="s">
        <v>10859</v>
      </c>
      <c r="G289" s="285" t="s">
        <v>10860</v>
      </c>
      <c r="H289" s="285" t="s">
        <v>10861</v>
      </c>
      <c r="I289" s="285" t="s">
        <v>10862</v>
      </c>
      <c r="J289" s="285" t="s">
        <v>5012</v>
      </c>
      <c r="K289" s="285" t="s">
        <v>1412</v>
      </c>
      <c r="L289" s="285" t="s">
        <v>10127</v>
      </c>
      <c r="M289" s="285" t="s">
        <v>9383</v>
      </c>
      <c r="N289" s="287" t="str">
        <f>IFERROR(
    IF(
        AND(
            VLOOKUP(B289, 'รายชื่อพนักงานลาออกพ้นสภาพ'!B:I, 8, FALSE)&lt;&gt;"ยกเลิกลาออก",
            VLOOKUP(B289, 'รายชื่อพนักงานลาออกพ้นสภาพ'!B:I, 7, FALSE)&lt;=TODAY()
        ),
        "ลาออกแล้ว",
        ""
    ),
"")</f>
        <v/>
      </c>
      <c r="O289" s="292" t="str">
        <f t="array" ref="O289">IFERROR(INDEX(PCRent!C:D, MATCH(F289 &amp; " " &amp; G289, PCRent!A:A &amp; " " &amp; PCRent!B:B, 0)), "")</f>
        <v/>
      </c>
      <c r="P289" s="293"/>
      <c r="Q289" s="294" t="str">
        <f t="array" ref="Q289">IFERROR(INDEX(MonitorRent!C:D, MATCH(F289 &amp; " " &amp; G289, MonitorRent!A:A &amp; " " &amp; MonitorRent!B:B, 0)), "")</f>
        <v/>
      </c>
      <c r="R289" s="295"/>
    </row>
    <row r="290">
      <c r="A290" s="284">
        <v>287.0</v>
      </c>
      <c r="B290" s="285" t="s">
        <v>322</v>
      </c>
      <c r="C290" s="285" t="s">
        <v>10103</v>
      </c>
      <c r="D290" s="286" t="s">
        <v>10863</v>
      </c>
      <c r="E290" s="285" t="s">
        <v>6933</v>
      </c>
      <c r="F290" s="285" t="s">
        <v>10864</v>
      </c>
      <c r="G290" s="285" t="s">
        <v>10865</v>
      </c>
      <c r="H290" s="285" t="s">
        <v>10866</v>
      </c>
      <c r="I290" s="285" t="s">
        <v>324</v>
      </c>
      <c r="J290" s="285" t="s">
        <v>5012</v>
      </c>
      <c r="K290" s="285" t="s">
        <v>10114</v>
      </c>
      <c r="L290" s="285" t="s">
        <v>832</v>
      </c>
      <c r="M290" s="285" t="s">
        <v>9391</v>
      </c>
      <c r="N290" s="287" t="str">
        <f>IFERROR(
    IF(
        AND(
            VLOOKUP(B290, 'รายชื่อพนักงานลาออกพ้นสภาพ'!B:I, 8, FALSE)&lt;&gt;"ยกเลิกลาออก",
            VLOOKUP(B290, 'รายชื่อพนักงานลาออกพ้นสภาพ'!B:I, 7, FALSE)&lt;=TODAY()
        ),
        "ลาออกแล้ว",
        ""
    ),
"")</f>
        <v>ลาออกแล้ว</v>
      </c>
      <c r="O290" s="292" t="str">
        <f t="array" ref="O290">IFERROR(INDEX(PCRent!C:D, MATCH(F290 &amp; " " &amp; G290, PCRent!A:A &amp; " " &amp; PCRent!B:B, 0)), "")</f>
        <v/>
      </c>
      <c r="P290" s="293"/>
      <c r="Q290" s="294" t="str">
        <f t="array" ref="Q290">IFERROR(INDEX(MonitorRent!C:D, MATCH(F290 &amp; " " &amp; G290, MonitorRent!A:A &amp; " " &amp; MonitorRent!B:B, 0)), "")</f>
        <v/>
      </c>
      <c r="R290" s="295"/>
    </row>
    <row r="291">
      <c r="A291" s="284">
        <v>288.0</v>
      </c>
      <c r="B291" s="285" t="s">
        <v>10867</v>
      </c>
      <c r="C291" s="285" t="s">
        <v>10103</v>
      </c>
      <c r="D291" s="286" t="s">
        <v>10868</v>
      </c>
      <c r="E291" s="285" t="s">
        <v>6933</v>
      </c>
      <c r="F291" s="285" t="s">
        <v>10869</v>
      </c>
      <c r="G291" s="285" t="s">
        <v>10870</v>
      </c>
      <c r="H291" s="285" t="s">
        <v>9827</v>
      </c>
      <c r="I291" s="285" t="s">
        <v>10871</v>
      </c>
      <c r="J291" s="285" t="s">
        <v>5012</v>
      </c>
      <c r="K291" s="285" t="s">
        <v>5341</v>
      </c>
      <c r="L291" s="285" t="s">
        <v>832</v>
      </c>
      <c r="M291" s="285" t="s">
        <v>9383</v>
      </c>
      <c r="N291" s="287" t="str">
        <f>IFERROR(
    IF(
        AND(
            VLOOKUP(B291, 'รายชื่อพนักงานลาออกพ้นสภาพ'!B:I, 8, FALSE)&lt;&gt;"ยกเลิกลาออก",
            VLOOKUP(B291, 'รายชื่อพนักงานลาออกพ้นสภาพ'!B:I, 7, FALSE)&lt;=TODAY()
        ),
        "ลาออกแล้ว",
        ""
    ),
"")</f>
        <v/>
      </c>
      <c r="O291" s="292" t="str">
        <f t="array" ref="O291">IFERROR(INDEX(PCRent!C:D, MATCH(F291 &amp; " " &amp; G291, PCRent!A:A &amp; " " &amp; PCRent!B:B, 0)), "")</f>
        <v/>
      </c>
      <c r="P291" s="293"/>
      <c r="Q291" s="294" t="str">
        <f t="array" ref="Q291">IFERROR(INDEX(MonitorRent!C:D, MATCH(F291 &amp; " " &amp; G291, MonitorRent!A:A &amp; " " &amp; MonitorRent!B:B, 0)), "")</f>
        <v/>
      </c>
      <c r="R291" s="295"/>
    </row>
    <row r="292">
      <c r="A292" s="284">
        <v>289.0</v>
      </c>
      <c r="B292" s="285" t="s">
        <v>10872</v>
      </c>
      <c r="C292" s="285" t="s">
        <v>10103</v>
      </c>
      <c r="D292" s="286" t="s">
        <v>9713</v>
      </c>
      <c r="E292" s="285" t="s">
        <v>6921</v>
      </c>
      <c r="F292" s="285" t="s">
        <v>10873</v>
      </c>
      <c r="G292" s="285" t="s">
        <v>10874</v>
      </c>
      <c r="H292" s="285" t="s">
        <v>10704</v>
      </c>
      <c r="I292" s="285" t="s">
        <v>10875</v>
      </c>
      <c r="J292" s="285" t="s">
        <v>5012</v>
      </c>
      <c r="K292" s="285" t="s">
        <v>1606</v>
      </c>
      <c r="L292" s="285" t="s">
        <v>832</v>
      </c>
      <c r="M292" s="285" t="s">
        <v>9383</v>
      </c>
      <c r="N292" s="287" t="str">
        <f>IFERROR(
    IF(
        AND(
            VLOOKUP(B292, 'รายชื่อพนักงานลาออกพ้นสภาพ'!B:I, 8, FALSE)&lt;&gt;"ยกเลิกลาออก",
            VLOOKUP(B292, 'รายชื่อพนักงานลาออกพ้นสภาพ'!B:I, 7, FALSE)&lt;=TODAY()
        ),
        "ลาออกแล้ว",
        ""
    ),
"")</f>
        <v/>
      </c>
      <c r="O292" s="292" t="str">
        <f t="array" ref="O292">IFERROR(INDEX(PCRent!C:D, MATCH(F292 &amp; " " &amp; G292, PCRent!A:A &amp; " " &amp; PCRent!B:B, 0)), "")</f>
        <v/>
      </c>
      <c r="P292" s="293"/>
      <c r="Q292" s="294" t="str">
        <f t="array" ref="Q292">IFERROR(INDEX(MonitorRent!C:D, MATCH(F292 &amp; " " &amp; G292, MonitorRent!A:A &amp; " " &amp; MonitorRent!B:B, 0)), "")</f>
        <v/>
      </c>
      <c r="R292" s="295"/>
    </row>
    <row r="293">
      <c r="A293" s="284">
        <v>290.0</v>
      </c>
      <c r="B293" s="285" t="s">
        <v>10876</v>
      </c>
      <c r="C293" s="285" t="s">
        <v>10103</v>
      </c>
      <c r="D293" s="286" t="s">
        <v>10138</v>
      </c>
      <c r="E293" s="285" t="s">
        <v>6921</v>
      </c>
      <c r="F293" s="285" t="s">
        <v>10877</v>
      </c>
      <c r="G293" s="285" t="s">
        <v>10878</v>
      </c>
      <c r="H293" s="285" t="s">
        <v>10879</v>
      </c>
      <c r="I293" s="285" t="s">
        <v>10880</v>
      </c>
      <c r="J293" s="285" t="s">
        <v>5012</v>
      </c>
      <c r="K293" s="285" t="s">
        <v>1417</v>
      </c>
      <c r="L293" s="285" t="s">
        <v>10127</v>
      </c>
      <c r="M293" s="285" t="s">
        <v>9383</v>
      </c>
      <c r="N293" s="287" t="str">
        <f>IFERROR(
    IF(
        AND(
            VLOOKUP(B293, 'รายชื่อพนักงานลาออกพ้นสภาพ'!B:I, 8, FALSE)&lt;&gt;"ยกเลิกลาออก",
            VLOOKUP(B293, 'รายชื่อพนักงานลาออกพ้นสภาพ'!B:I, 7, FALSE)&lt;=TODAY()
        ),
        "ลาออกแล้ว",
        ""
    ),
"")</f>
        <v/>
      </c>
      <c r="O293" s="292" t="str">
        <f t="array" ref="O293">IFERROR(INDEX(PCRent!C:D, MATCH(F293 &amp; " " &amp; G293, PCRent!A:A &amp; " " &amp; PCRent!B:B, 0)), "")</f>
        <v/>
      </c>
      <c r="P293" s="293"/>
      <c r="Q293" s="294" t="str">
        <f t="array" ref="Q293">IFERROR(INDEX(MonitorRent!C:D, MATCH(F293 &amp; " " &amp; G293, MonitorRent!A:A &amp; " " &amp; MonitorRent!B:B, 0)), "")</f>
        <v/>
      </c>
      <c r="R293" s="295"/>
    </row>
    <row r="294">
      <c r="A294" s="284">
        <v>291.0</v>
      </c>
      <c r="B294" s="285" t="s">
        <v>10881</v>
      </c>
      <c r="C294" s="285" t="s">
        <v>10103</v>
      </c>
      <c r="D294" s="286" t="s">
        <v>10690</v>
      </c>
      <c r="E294" s="285" t="s">
        <v>6921</v>
      </c>
      <c r="F294" s="285" t="s">
        <v>10882</v>
      </c>
      <c r="G294" s="285" t="s">
        <v>10883</v>
      </c>
      <c r="H294" s="285" t="s">
        <v>10884</v>
      </c>
      <c r="I294" s="285" t="s">
        <v>10885</v>
      </c>
      <c r="J294" s="285" t="s">
        <v>5012</v>
      </c>
      <c r="K294" s="285" t="s">
        <v>1606</v>
      </c>
      <c r="L294" s="285" t="s">
        <v>10127</v>
      </c>
      <c r="M294" s="285" t="s">
        <v>9391</v>
      </c>
      <c r="N294" s="287" t="str">
        <f>IFERROR(
    IF(
        AND(
            VLOOKUP(B294, 'รายชื่อพนักงานลาออกพ้นสภาพ'!B:I, 8, FALSE)&lt;&gt;"ยกเลิกลาออก",
            VLOOKUP(B294, 'รายชื่อพนักงานลาออกพ้นสภาพ'!B:I, 7, FALSE)&lt;=TODAY()
        ),
        "ลาออกแล้ว",
        ""
    ),
"")</f>
        <v/>
      </c>
      <c r="O294" s="292" t="str">
        <f t="array" ref="O294">IFERROR(INDEX(PCRent!C:D, MATCH(F294 &amp; " " &amp; G294, PCRent!A:A &amp; " " &amp; PCRent!B:B, 0)), "")</f>
        <v/>
      </c>
      <c r="P294" s="293"/>
      <c r="Q294" s="294" t="str">
        <f t="array" ref="Q294">IFERROR(INDEX(MonitorRent!C:D, MATCH(F294 &amp; " " &amp; G294, MonitorRent!A:A &amp; " " &amp; MonitorRent!B:B, 0)), "")</f>
        <v/>
      </c>
      <c r="R294" s="295"/>
    </row>
    <row r="295">
      <c r="A295" s="284">
        <v>292.0</v>
      </c>
      <c r="B295" s="285" t="s">
        <v>10886</v>
      </c>
      <c r="C295" s="285" t="s">
        <v>10103</v>
      </c>
      <c r="D295" s="286" t="s">
        <v>10887</v>
      </c>
      <c r="E295" s="285" t="s">
        <v>6933</v>
      </c>
      <c r="F295" s="285" t="s">
        <v>10888</v>
      </c>
      <c r="G295" s="285" t="s">
        <v>10889</v>
      </c>
      <c r="H295" s="285" t="s">
        <v>9637</v>
      </c>
      <c r="I295" s="285" t="s">
        <v>10890</v>
      </c>
      <c r="J295" s="285" t="s">
        <v>5012</v>
      </c>
      <c r="K295" s="285" t="s">
        <v>5638</v>
      </c>
      <c r="L295" s="285" t="s">
        <v>10127</v>
      </c>
      <c r="M295" s="285" t="s">
        <v>9391</v>
      </c>
      <c r="N295" s="287" t="str">
        <f>IFERROR(
    IF(
        AND(
            VLOOKUP(B295, 'รายชื่อพนักงานลาออกพ้นสภาพ'!B:I, 8, FALSE)&lt;&gt;"ยกเลิกลาออก",
            VLOOKUP(B295, 'รายชื่อพนักงานลาออกพ้นสภาพ'!B:I, 7, FALSE)&lt;=TODAY()
        ),
        "ลาออกแล้ว",
        ""
    ),
"")</f>
        <v/>
      </c>
      <c r="O295" s="292" t="str">
        <f t="array" ref="O295">IFERROR(INDEX(PCRent!C:D, MATCH(F295 &amp; " " &amp; G295, PCRent!A:A &amp; " " &amp; PCRent!B:B, 0)), "")</f>
        <v/>
      </c>
      <c r="P295" s="293"/>
      <c r="Q295" s="294" t="str">
        <f t="array" ref="Q295">IFERROR(INDEX(MonitorRent!C:D, MATCH(F295 &amp; " " &amp; G295, MonitorRent!A:A &amp; " " &amp; MonitorRent!B:B, 0)), "")</f>
        <v/>
      </c>
      <c r="R295" s="295"/>
    </row>
    <row r="296">
      <c r="A296" s="284">
        <v>293.0</v>
      </c>
      <c r="B296" s="285" t="s">
        <v>10891</v>
      </c>
      <c r="C296" s="285" t="s">
        <v>10103</v>
      </c>
      <c r="D296" s="286" t="s">
        <v>10407</v>
      </c>
      <c r="E296" s="285" t="s">
        <v>6933</v>
      </c>
      <c r="F296" s="285" t="s">
        <v>10892</v>
      </c>
      <c r="G296" s="285" t="s">
        <v>10893</v>
      </c>
      <c r="H296" s="285" t="s">
        <v>10894</v>
      </c>
      <c r="I296" s="285" t="s">
        <v>10895</v>
      </c>
      <c r="J296" s="285" t="s">
        <v>5012</v>
      </c>
      <c r="K296" s="285" t="s">
        <v>10114</v>
      </c>
      <c r="L296" s="285" t="s">
        <v>10127</v>
      </c>
      <c r="M296" s="285" t="s">
        <v>9391</v>
      </c>
      <c r="N296" s="287" t="str">
        <f>IFERROR(
    IF(
        AND(
            VLOOKUP(B296, 'รายชื่อพนักงานลาออกพ้นสภาพ'!B:I, 8, FALSE)&lt;&gt;"ยกเลิกลาออก",
            VLOOKUP(B296, 'รายชื่อพนักงานลาออกพ้นสภาพ'!B:I, 7, FALSE)&lt;=TODAY()
        ),
        "ลาออกแล้ว",
        ""
    ),
"")</f>
        <v/>
      </c>
      <c r="O296" s="292" t="str">
        <f t="array" ref="O296">IFERROR(INDEX(PCRent!C:D, MATCH(F296 &amp; " " &amp; G296, PCRent!A:A &amp; " " &amp; PCRent!B:B, 0)), "")</f>
        <v/>
      </c>
      <c r="P296" s="293"/>
      <c r="Q296" s="294" t="str">
        <f t="array" ref="Q296">IFERROR(INDEX(MonitorRent!C:D, MATCH(F296 &amp; " " &amp; G296, MonitorRent!A:A &amp; " " &amp; MonitorRent!B:B, 0)), "")</f>
        <v/>
      </c>
      <c r="R296" s="295"/>
    </row>
    <row r="297">
      <c r="A297" s="284">
        <v>294.0</v>
      </c>
      <c r="B297" s="285" t="s">
        <v>10896</v>
      </c>
      <c r="C297" s="285" t="s">
        <v>10103</v>
      </c>
      <c r="D297" s="286" t="s">
        <v>10897</v>
      </c>
      <c r="E297" s="285" t="s">
        <v>6921</v>
      </c>
      <c r="F297" s="285" t="s">
        <v>10898</v>
      </c>
      <c r="G297" s="285" t="s">
        <v>10899</v>
      </c>
      <c r="H297" s="285" t="s">
        <v>10900</v>
      </c>
      <c r="I297" s="285" t="s">
        <v>10901</v>
      </c>
      <c r="J297" s="285" t="s">
        <v>5012</v>
      </c>
      <c r="K297" s="285" t="s">
        <v>10902</v>
      </c>
      <c r="L297" s="285" t="s">
        <v>566</v>
      </c>
      <c r="M297" s="285" t="s">
        <v>9383</v>
      </c>
      <c r="N297" s="287" t="str">
        <f>IFERROR(
    IF(
        AND(
            VLOOKUP(B297, 'รายชื่อพนักงานลาออกพ้นสภาพ'!B:I, 8, FALSE)&lt;&gt;"ยกเลิกลาออก",
            VLOOKUP(B297, 'รายชื่อพนักงานลาออกพ้นสภาพ'!B:I, 7, FALSE)&lt;=TODAY()
        ),
        "ลาออกแล้ว",
        ""
    ),
"")</f>
        <v/>
      </c>
      <c r="O297" s="292" t="str">
        <f t="array" ref="O297">IFERROR(INDEX(PCRent!C:D, MATCH(F297 &amp; " " &amp; G297, PCRent!A:A &amp; " " &amp; PCRent!B:B, 0)), "")</f>
        <v/>
      </c>
      <c r="P297" s="293"/>
      <c r="Q297" s="294" t="str">
        <f t="array" ref="Q297">IFERROR(INDEX(MonitorRent!C:D, MATCH(F297 &amp; " " &amp; G297, MonitorRent!A:A &amp; " " &amp; MonitorRent!B:B, 0)), "")</f>
        <v/>
      </c>
      <c r="R297" s="295"/>
    </row>
    <row r="298">
      <c r="A298" s="284">
        <v>295.0</v>
      </c>
      <c r="B298" s="285" t="s">
        <v>10903</v>
      </c>
      <c r="C298" s="285" t="s">
        <v>10103</v>
      </c>
      <c r="D298" s="286" t="s">
        <v>10904</v>
      </c>
      <c r="E298" s="285" t="s">
        <v>6933</v>
      </c>
      <c r="F298" s="285" t="s">
        <v>10905</v>
      </c>
      <c r="G298" s="285" t="s">
        <v>10906</v>
      </c>
      <c r="H298" s="285" t="s">
        <v>10907</v>
      </c>
      <c r="I298" s="285" t="s">
        <v>10908</v>
      </c>
      <c r="J298" s="285" t="s">
        <v>5012</v>
      </c>
      <c r="K298" s="285" t="s">
        <v>4756</v>
      </c>
      <c r="L298" s="285" t="s">
        <v>10438</v>
      </c>
      <c r="M298" s="285" t="s">
        <v>9383</v>
      </c>
      <c r="N298" s="287" t="str">
        <f>IFERROR(
    IF(
        AND(
            VLOOKUP(B298, 'รายชื่อพนักงานลาออกพ้นสภาพ'!B:I, 8, FALSE)&lt;&gt;"ยกเลิกลาออก",
            VLOOKUP(B298, 'รายชื่อพนักงานลาออกพ้นสภาพ'!B:I, 7, FALSE)&lt;=TODAY()
        ),
        "ลาออกแล้ว",
        ""
    ),
"")</f>
        <v/>
      </c>
      <c r="O298" s="292" t="str">
        <f t="array" ref="O298">IFERROR(INDEX(PCRent!C:D, MATCH(F298 &amp; " " &amp; G298, PCRent!A:A &amp; " " &amp; PCRent!B:B, 0)), "")</f>
        <v/>
      </c>
      <c r="P298" s="293"/>
      <c r="Q298" s="294" t="str">
        <f t="array" ref="Q298">IFERROR(INDEX(MonitorRent!C:D, MATCH(F298 &amp; " " &amp; G298, MonitorRent!A:A &amp; " " &amp; MonitorRent!B:B, 0)), "")</f>
        <v/>
      </c>
      <c r="R298" s="295"/>
    </row>
    <row r="299">
      <c r="A299" s="284">
        <v>296.0</v>
      </c>
      <c r="B299" s="285" t="s">
        <v>10909</v>
      </c>
      <c r="C299" s="285" t="s">
        <v>10103</v>
      </c>
      <c r="D299" s="286" t="s">
        <v>10329</v>
      </c>
      <c r="E299" s="285" t="s">
        <v>6933</v>
      </c>
      <c r="F299" s="285" t="s">
        <v>10905</v>
      </c>
      <c r="G299" s="285" t="s">
        <v>10910</v>
      </c>
      <c r="H299" s="285" t="s">
        <v>10911</v>
      </c>
      <c r="I299" s="285" t="s">
        <v>10912</v>
      </c>
      <c r="J299" s="285" t="s">
        <v>5012</v>
      </c>
      <c r="K299" s="285" t="s">
        <v>10114</v>
      </c>
      <c r="L299" s="285" t="s">
        <v>832</v>
      </c>
      <c r="M299" s="285" t="s">
        <v>9391</v>
      </c>
      <c r="N299" s="287" t="str">
        <f>IFERROR(
    IF(
        AND(
            VLOOKUP(B299, 'รายชื่อพนักงานลาออกพ้นสภาพ'!B:I, 8, FALSE)&lt;&gt;"ยกเลิกลาออก",
            VLOOKUP(B299, 'รายชื่อพนักงานลาออกพ้นสภาพ'!B:I, 7, FALSE)&lt;=TODAY()
        ),
        "ลาออกแล้ว",
        ""
    ),
"")</f>
        <v/>
      </c>
      <c r="O299" s="292" t="str">
        <f t="array" ref="O299">IFERROR(INDEX(PCRent!C:D, MATCH(F299 &amp; " " &amp; G299, PCRent!A:A &amp; " " &amp; PCRent!B:B, 0)), "")</f>
        <v/>
      </c>
      <c r="P299" s="293"/>
      <c r="Q299" s="294" t="str">
        <f t="array" ref="Q299">IFERROR(INDEX(MonitorRent!C:D, MATCH(F299 &amp; " " &amp; G299, MonitorRent!A:A &amp; " " &amp; MonitorRent!B:B, 0)), "")</f>
        <v/>
      </c>
      <c r="R299" s="295"/>
    </row>
    <row r="300">
      <c r="A300" s="284">
        <v>297.0</v>
      </c>
      <c r="B300" s="285" t="s">
        <v>666</v>
      </c>
      <c r="C300" s="285" t="s">
        <v>10103</v>
      </c>
      <c r="D300" s="286" t="s">
        <v>10063</v>
      </c>
      <c r="E300" s="285" t="s">
        <v>6933</v>
      </c>
      <c r="F300" s="285" t="s">
        <v>10913</v>
      </c>
      <c r="G300" s="285" t="s">
        <v>10914</v>
      </c>
      <c r="H300" s="285" t="s">
        <v>10915</v>
      </c>
      <c r="I300" s="285" t="s">
        <v>669</v>
      </c>
      <c r="J300" s="285" t="s">
        <v>5012</v>
      </c>
      <c r="K300" s="285" t="s">
        <v>10114</v>
      </c>
      <c r="L300" s="285" t="s">
        <v>10916</v>
      </c>
      <c r="M300" s="285" t="s">
        <v>9391</v>
      </c>
      <c r="N300" s="287" t="str">
        <f>IFERROR(
    IF(
        AND(
            VLOOKUP(B300, 'รายชื่อพนักงานลาออกพ้นสภาพ'!B:I, 8, FALSE)&lt;&gt;"ยกเลิกลาออก",
            VLOOKUP(B300, 'รายชื่อพนักงานลาออกพ้นสภาพ'!B:I, 7, FALSE)&lt;=TODAY()
        ),
        "ลาออกแล้ว",
        ""
    ),
"")</f>
        <v>ลาออกแล้ว</v>
      </c>
      <c r="O300" s="292" t="str">
        <f t="array" ref="O300">IFERROR(INDEX(PCRent!C:D, MATCH(F300 &amp; " " &amp; G300, PCRent!A:A &amp; " " &amp; PCRent!B:B, 0)), "")</f>
        <v/>
      </c>
      <c r="P300" s="293"/>
      <c r="Q300" s="294" t="str">
        <f t="array" ref="Q300">IFERROR(INDEX(MonitorRent!C:D, MATCH(F300 &amp; " " &amp; G300, MonitorRent!A:A &amp; " " &amp; MonitorRent!B:B, 0)), "")</f>
        <v/>
      </c>
      <c r="R300" s="295"/>
    </row>
    <row r="301">
      <c r="A301" s="284">
        <v>298.0</v>
      </c>
      <c r="B301" s="285" t="s">
        <v>10917</v>
      </c>
      <c r="C301" s="285" t="s">
        <v>10103</v>
      </c>
      <c r="D301" s="286" t="s">
        <v>10412</v>
      </c>
      <c r="E301" s="285" t="s">
        <v>6933</v>
      </c>
      <c r="F301" s="285" t="s">
        <v>10918</v>
      </c>
      <c r="G301" s="285" t="s">
        <v>10919</v>
      </c>
      <c r="H301" s="285" t="s">
        <v>10920</v>
      </c>
      <c r="I301" s="285" t="s">
        <v>10921</v>
      </c>
      <c r="J301" s="285" t="s">
        <v>5012</v>
      </c>
      <c r="K301" s="285" t="s">
        <v>1417</v>
      </c>
      <c r="L301" s="285" t="s">
        <v>832</v>
      </c>
      <c r="M301" s="285" t="s">
        <v>9383</v>
      </c>
      <c r="N301" s="287" t="str">
        <f>IFERROR(
    IF(
        AND(
            VLOOKUP(B301, 'รายชื่อพนักงานลาออกพ้นสภาพ'!B:I, 8, FALSE)&lt;&gt;"ยกเลิกลาออก",
            VLOOKUP(B301, 'รายชื่อพนักงานลาออกพ้นสภาพ'!B:I, 7, FALSE)&lt;=TODAY()
        ),
        "ลาออกแล้ว",
        ""
    ),
"")</f>
        <v/>
      </c>
      <c r="O301" s="292" t="str">
        <f t="array" ref="O301">IFERROR(INDEX(PCRent!C:D, MATCH(F301 &amp; " " &amp; G301, PCRent!A:A &amp; " " &amp; PCRent!B:B, 0)), "")</f>
        <v/>
      </c>
      <c r="P301" s="293"/>
      <c r="Q301" s="294" t="str">
        <f t="array" ref="Q301">IFERROR(INDEX(MonitorRent!C:D, MATCH(F301 &amp; " " &amp; G301, MonitorRent!A:A &amp; " " &amp; MonitorRent!B:B, 0)), "")</f>
        <v/>
      </c>
      <c r="R301" s="295"/>
    </row>
    <row r="302">
      <c r="A302" s="284">
        <v>299.0</v>
      </c>
      <c r="B302" s="285" t="s">
        <v>10922</v>
      </c>
      <c r="C302" s="285" t="s">
        <v>10103</v>
      </c>
      <c r="D302" s="286" t="s">
        <v>10923</v>
      </c>
      <c r="E302" s="285" t="s">
        <v>6921</v>
      </c>
      <c r="F302" s="285" t="s">
        <v>10924</v>
      </c>
      <c r="G302" s="285" t="s">
        <v>10925</v>
      </c>
      <c r="H302" s="285" t="s">
        <v>10926</v>
      </c>
      <c r="I302" s="285" t="s">
        <v>10927</v>
      </c>
      <c r="J302" s="285" t="s">
        <v>5012</v>
      </c>
      <c r="K302" s="285" t="s">
        <v>1606</v>
      </c>
      <c r="L302" s="285" t="s">
        <v>10127</v>
      </c>
      <c r="M302" s="285" t="s">
        <v>9391</v>
      </c>
      <c r="N302" s="287" t="str">
        <f>IFERROR(
    IF(
        AND(
            VLOOKUP(B302, 'รายชื่อพนักงานลาออกพ้นสภาพ'!B:I, 8, FALSE)&lt;&gt;"ยกเลิกลาออก",
            VLOOKUP(B302, 'รายชื่อพนักงานลาออกพ้นสภาพ'!B:I, 7, FALSE)&lt;=TODAY()
        ),
        "ลาออกแล้ว",
        ""
    ),
"")</f>
        <v/>
      </c>
      <c r="O302" s="292" t="str">
        <f t="array" ref="O302">IFERROR(INDEX(PCRent!C:D, MATCH(F302 &amp; " " &amp; G302, PCRent!A:A &amp; " " &amp; PCRent!B:B, 0)), "")</f>
        <v/>
      </c>
      <c r="P302" s="293"/>
      <c r="Q302" s="294" t="str">
        <f t="array" ref="Q302">IFERROR(INDEX(MonitorRent!C:D, MATCH(F302 &amp; " " &amp; G302, MonitorRent!A:A &amp; " " &amp; MonitorRent!B:B, 0)), "")</f>
        <v/>
      </c>
      <c r="R302" s="295"/>
    </row>
    <row r="303">
      <c r="A303" s="284">
        <v>300.0</v>
      </c>
      <c r="B303" s="285" t="s">
        <v>10928</v>
      </c>
      <c r="C303" s="285" t="s">
        <v>10103</v>
      </c>
      <c r="D303" s="286" t="s">
        <v>10729</v>
      </c>
      <c r="E303" s="285" t="s">
        <v>6921</v>
      </c>
      <c r="F303" s="285" t="s">
        <v>10929</v>
      </c>
      <c r="G303" s="285" t="s">
        <v>10930</v>
      </c>
      <c r="H303" s="285" t="s">
        <v>10931</v>
      </c>
      <c r="I303" s="285" t="s">
        <v>10932</v>
      </c>
      <c r="J303" s="285" t="s">
        <v>5012</v>
      </c>
      <c r="K303" s="285" t="s">
        <v>5341</v>
      </c>
      <c r="L303" s="285" t="s">
        <v>832</v>
      </c>
      <c r="M303" s="285" t="s">
        <v>9383</v>
      </c>
      <c r="N303" s="287" t="str">
        <f>IFERROR(
    IF(
        AND(
            VLOOKUP(B303, 'รายชื่อพนักงานลาออกพ้นสภาพ'!B:I, 8, FALSE)&lt;&gt;"ยกเลิกลาออก",
            VLOOKUP(B303, 'รายชื่อพนักงานลาออกพ้นสภาพ'!B:I, 7, FALSE)&lt;=TODAY()
        ),
        "ลาออกแล้ว",
        ""
    ),
"")</f>
        <v/>
      </c>
      <c r="O303" s="292" t="str">
        <f t="array" ref="O303">IFERROR(INDEX(PCRent!C:D, MATCH(F303 &amp; " " &amp; G303, PCRent!A:A &amp; " " &amp; PCRent!B:B, 0)), "")</f>
        <v/>
      </c>
      <c r="P303" s="293"/>
      <c r="Q303" s="294" t="str">
        <f t="array" ref="Q303">IFERROR(INDEX(MonitorRent!C:D, MATCH(F303 &amp; " " &amp; G303, MonitorRent!A:A &amp; " " &amp; MonitorRent!B:B, 0)), "")</f>
        <v/>
      </c>
      <c r="R303" s="295"/>
    </row>
    <row r="304">
      <c r="A304" s="284">
        <v>301.0</v>
      </c>
      <c r="B304" s="285" t="s">
        <v>10933</v>
      </c>
      <c r="C304" s="285" t="s">
        <v>10103</v>
      </c>
      <c r="D304" s="286" t="s">
        <v>10934</v>
      </c>
      <c r="E304" s="285" t="s">
        <v>6921</v>
      </c>
      <c r="F304" s="285" t="s">
        <v>10935</v>
      </c>
      <c r="G304" s="285" t="s">
        <v>10936</v>
      </c>
      <c r="H304" s="285" t="s">
        <v>9805</v>
      </c>
      <c r="I304" s="285" t="s">
        <v>10937</v>
      </c>
      <c r="J304" s="285" t="s">
        <v>5012</v>
      </c>
      <c r="K304" s="285" t="s">
        <v>1606</v>
      </c>
      <c r="L304" s="285" t="s">
        <v>1258</v>
      </c>
      <c r="M304" s="285" t="s">
        <v>9383</v>
      </c>
      <c r="N304" s="287" t="str">
        <f>IFERROR(
    IF(
        AND(
            VLOOKUP(B304, 'รายชื่อพนักงานลาออกพ้นสภาพ'!B:I, 8, FALSE)&lt;&gt;"ยกเลิกลาออก",
            VLOOKUP(B304, 'รายชื่อพนักงานลาออกพ้นสภาพ'!B:I, 7, FALSE)&lt;=TODAY()
        ),
        "ลาออกแล้ว",
        ""
    ),
"")</f>
        <v/>
      </c>
      <c r="O304" s="292" t="str">
        <f t="array" ref="O304">IFERROR(INDEX(PCRent!C:D, MATCH(F304 &amp; " " &amp; G304, PCRent!A:A &amp; " " &amp; PCRent!B:B, 0)), "")</f>
        <v/>
      </c>
      <c r="P304" s="293"/>
      <c r="Q304" s="294" t="str">
        <f t="array" ref="Q304">IFERROR(INDEX(MonitorRent!C:D, MATCH(F304 &amp; " " &amp; G304, MonitorRent!A:A &amp; " " &amp; MonitorRent!B:B, 0)), "")</f>
        <v/>
      </c>
      <c r="R304" s="295"/>
    </row>
    <row r="305">
      <c r="A305" s="284">
        <v>302.0</v>
      </c>
      <c r="B305" s="285" t="s">
        <v>10938</v>
      </c>
      <c r="C305" s="285" t="s">
        <v>10103</v>
      </c>
      <c r="D305" s="286" t="s">
        <v>10070</v>
      </c>
      <c r="E305" s="285" t="s">
        <v>6921</v>
      </c>
      <c r="F305" s="285" t="s">
        <v>10939</v>
      </c>
      <c r="G305" s="285" t="s">
        <v>10940</v>
      </c>
      <c r="H305" s="285" t="s">
        <v>10941</v>
      </c>
      <c r="I305" s="285" t="s">
        <v>10942</v>
      </c>
      <c r="J305" s="285" t="s">
        <v>5012</v>
      </c>
      <c r="K305" s="285" t="s">
        <v>1484</v>
      </c>
      <c r="L305" s="285" t="s">
        <v>832</v>
      </c>
      <c r="M305" s="285" t="s">
        <v>9383</v>
      </c>
      <c r="N305" s="287" t="str">
        <f>IFERROR(
    IF(
        AND(
            VLOOKUP(B305, 'รายชื่อพนักงานลาออกพ้นสภาพ'!B:I, 8, FALSE)&lt;&gt;"ยกเลิกลาออก",
            VLOOKUP(B305, 'รายชื่อพนักงานลาออกพ้นสภาพ'!B:I, 7, FALSE)&lt;=TODAY()
        ),
        "ลาออกแล้ว",
        ""
    ),
"")</f>
        <v/>
      </c>
      <c r="O305" s="292" t="str">
        <f t="array" ref="O305">IFERROR(INDEX(PCRent!C:D, MATCH(F305 &amp; " " &amp; G305, PCRent!A:A &amp; " " &amp; PCRent!B:B, 0)), "")</f>
        <v/>
      </c>
      <c r="P305" s="293"/>
      <c r="Q305" s="294" t="str">
        <f t="array" ref="Q305">IFERROR(INDEX(MonitorRent!C:D, MATCH(F305 &amp; " " &amp; G305, MonitorRent!A:A &amp; " " &amp; MonitorRent!B:B, 0)), "")</f>
        <v/>
      </c>
      <c r="R305" s="295"/>
    </row>
    <row r="306">
      <c r="A306" s="284">
        <v>303.0</v>
      </c>
      <c r="B306" s="285" t="s">
        <v>10943</v>
      </c>
      <c r="C306" s="285" t="s">
        <v>10103</v>
      </c>
      <c r="D306" s="286" t="s">
        <v>10944</v>
      </c>
      <c r="E306" s="285" t="s">
        <v>6921</v>
      </c>
      <c r="F306" s="285" t="s">
        <v>10945</v>
      </c>
      <c r="G306" s="285" t="s">
        <v>10946</v>
      </c>
      <c r="H306" s="285" t="s">
        <v>9934</v>
      </c>
      <c r="I306" s="285" t="s">
        <v>10947</v>
      </c>
      <c r="J306" s="285" t="s">
        <v>5012</v>
      </c>
      <c r="K306" s="285" t="s">
        <v>3000</v>
      </c>
      <c r="L306" s="285" t="s">
        <v>10127</v>
      </c>
      <c r="M306" s="285" t="s">
        <v>9383</v>
      </c>
      <c r="N306" s="287" t="str">
        <f>IFERROR(
    IF(
        AND(
            VLOOKUP(B306, 'รายชื่อพนักงานลาออกพ้นสภาพ'!B:I, 8, FALSE)&lt;&gt;"ยกเลิกลาออก",
            VLOOKUP(B306, 'รายชื่อพนักงานลาออกพ้นสภาพ'!B:I, 7, FALSE)&lt;=TODAY()
        ),
        "ลาออกแล้ว",
        ""
    ),
"")</f>
        <v/>
      </c>
      <c r="O306" s="292" t="str">
        <f t="array" ref="O306">IFERROR(INDEX(PCRent!C:D, MATCH(F306 &amp; " " &amp; G306, PCRent!A:A &amp; " " &amp; PCRent!B:B, 0)), "")</f>
        <v/>
      </c>
      <c r="P306" s="293"/>
      <c r="Q306" s="294" t="str">
        <f t="array" ref="Q306">IFERROR(INDEX(MonitorRent!C:D, MATCH(F306 &amp; " " &amp; G306, MonitorRent!A:A &amp; " " &amp; MonitorRent!B:B, 0)), "")</f>
        <v/>
      </c>
      <c r="R306" s="295"/>
    </row>
    <row r="307">
      <c r="A307" s="284">
        <v>304.0</v>
      </c>
      <c r="B307" s="285" t="s">
        <v>10948</v>
      </c>
      <c r="C307" s="285" t="s">
        <v>10103</v>
      </c>
      <c r="D307" s="286" t="s">
        <v>10949</v>
      </c>
      <c r="E307" s="285" t="s">
        <v>6933</v>
      </c>
      <c r="F307" s="285" t="s">
        <v>10950</v>
      </c>
      <c r="G307" s="285" t="s">
        <v>10951</v>
      </c>
      <c r="H307" s="285" t="s">
        <v>10952</v>
      </c>
      <c r="I307" s="285" t="s">
        <v>10953</v>
      </c>
      <c r="J307" s="285" t="s">
        <v>5012</v>
      </c>
      <c r="K307" s="285" t="s">
        <v>1417</v>
      </c>
      <c r="L307" s="285" t="s">
        <v>10127</v>
      </c>
      <c r="M307" s="285" t="s">
        <v>9383</v>
      </c>
      <c r="N307" s="287" t="str">
        <f>IFERROR(
    IF(
        AND(
            VLOOKUP(B307, 'รายชื่อพนักงานลาออกพ้นสภาพ'!B:I, 8, FALSE)&lt;&gt;"ยกเลิกลาออก",
            VLOOKUP(B307, 'รายชื่อพนักงานลาออกพ้นสภาพ'!B:I, 7, FALSE)&lt;=TODAY()
        ),
        "ลาออกแล้ว",
        ""
    ),
"")</f>
        <v/>
      </c>
      <c r="O307" s="292" t="str">
        <f t="array" ref="O307">IFERROR(INDEX(PCRent!C:D, MATCH(F307 &amp; " " &amp; G307, PCRent!A:A &amp; " " &amp; PCRent!B:B, 0)), "")</f>
        <v/>
      </c>
      <c r="P307" s="293"/>
      <c r="Q307" s="294" t="str">
        <f t="array" ref="Q307">IFERROR(INDEX(MonitorRent!C:D, MATCH(F307 &amp; " " &amp; G307, MonitorRent!A:A &amp; " " &amp; MonitorRent!B:B, 0)), "")</f>
        <v/>
      </c>
      <c r="R307" s="295"/>
    </row>
    <row r="308">
      <c r="A308" s="284">
        <v>305.0</v>
      </c>
      <c r="B308" s="285" t="s">
        <v>10954</v>
      </c>
      <c r="C308" s="285" t="s">
        <v>10103</v>
      </c>
      <c r="D308" s="286" t="s">
        <v>10256</v>
      </c>
      <c r="E308" s="285" t="s">
        <v>6933</v>
      </c>
      <c r="F308" s="285" t="s">
        <v>10955</v>
      </c>
      <c r="G308" s="285" t="s">
        <v>10956</v>
      </c>
      <c r="H308" s="285" t="s">
        <v>10957</v>
      </c>
      <c r="I308" s="285" t="s">
        <v>10958</v>
      </c>
      <c r="J308" s="285" t="s">
        <v>5012</v>
      </c>
      <c r="K308" s="285" t="s">
        <v>10114</v>
      </c>
      <c r="L308" s="285" t="s">
        <v>832</v>
      </c>
      <c r="M308" s="285" t="s">
        <v>9391</v>
      </c>
      <c r="N308" s="287" t="str">
        <f>IFERROR(
    IF(
        AND(
            VLOOKUP(B308, 'รายชื่อพนักงานลาออกพ้นสภาพ'!B:I, 8, FALSE)&lt;&gt;"ยกเลิกลาออก",
            VLOOKUP(B308, 'รายชื่อพนักงานลาออกพ้นสภาพ'!B:I, 7, FALSE)&lt;=TODAY()
        ),
        "ลาออกแล้ว",
        ""
    ),
"")</f>
        <v/>
      </c>
      <c r="O308" s="292" t="str">
        <f t="array" ref="O308">IFERROR(INDEX(PCRent!C:D, MATCH(F308 &amp; " " &amp; G308, PCRent!A:A &amp; " " &amp; PCRent!B:B, 0)), "")</f>
        <v/>
      </c>
      <c r="P308" s="293"/>
      <c r="Q308" s="294" t="str">
        <f t="array" ref="Q308">IFERROR(INDEX(MonitorRent!C:D, MATCH(F308 &amp; " " &amp; G308, MonitorRent!A:A &amp; " " &amp; MonitorRent!B:B, 0)), "")</f>
        <v/>
      </c>
      <c r="R308" s="295"/>
    </row>
    <row r="309">
      <c r="A309" s="284">
        <v>306.0</v>
      </c>
      <c r="B309" s="285" t="s">
        <v>10959</v>
      </c>
      <c r="C309" s="285" t="s">
        <v>10103</v>
      </c>
      <c r="D309" s="286" t="s">
        <v>10960</v>
      </c>
      <c r="E309" s="285" t="s">
        <v>6933</v>
      </c>
      <c r="F309" s="285" t="s">
        <v>10961</v>
      </c>
      <c r="G309" s="285" t="s">
        <v>10962</v>
      </c>
      <c r="H309" s="285" t="s">
        <v>10963</v>
      </c>
      <c r="I309" s="285" t="s">
        <v>10964</v>
      </c>
      <c r="J309" s="285" t="s">
        <v>5012</v>
      </c>
      <c r="K309" s="285" t="s">
        <v>10114</v>
      </c>
      <c r="L309" s="285" t="s">
        <v>832</v>
      </c>
      <c r="M309" s="285" t="s">
        <v>9383</v>
      </c>
      <c r="N309" s="287" t="str">
        <f>IFERROR(
    IF(
        AND(
            VLOOKUP(B309, 'รายชื่อพนักงานลาออกพ้นสภาพ'!B:I, 8, FALSE)&lt;&gt;"ยกเลิกลาออก",
            VLOOKUP(B309, 'รายชื่อพนักงานลาออกพ้นสภาพ'!B:I, 7, FALSE)&lt;=TODAY()
        ),
        "ลาออกแล้ว",
        ""
    ),
"")</f>
        <v/>
      </c>
      <c r="O309" s="292" t="str">
        <f t="array" ref="O309">IFERROR(INDEX(PCRent!C:D, MATCH(F309 &amp; " " &amp; G309, PCRent!A:A &amp; " " &amp; PCRent!B:B, 0)), "")</f>
        <v/>
      </c>
      <c r="P309" s="293"/>
      <c r="Q309" s="294" t="str">
        <f t="array" ref="Q309">IFERROR(INDEX(MonitorRent!C:D, MATCH(F309 &amp; " " &amp; G309, MonitorRent!A:A &amp; " " &amp; MonitorRent!B:B, 0)), "")</f>
        <v/>
      </c>
      <c r="R309" s="295"/>
    </row>
    <row r="310">
      <c r="A310" s="284">
        <v>307.0</v>
      </c>
      <c r="B310" s="285" t="s">
        <v>10965</v>
      </c>
      <c r="C310" s="285" t="s">
        <v>10103</v>
      </c>
      <c r="D310" s="286" t="s">
        <v>10966</v>
      </c>
      <c r="E310" s="285" t="s">
        <v>6933</v>
      </c>
      <c r="F310" s="285" t="s">
        <v>10967</v>
      </c>
      <c r="G310" s="285" t="s">
        <v>10968</v>
      </c>
      <c r="H310" s="285" t="s">
        <v>10969</v>
      </c>
      <c r="I310" s="285" t="s">
        <v>10970</v>
      </c>
      <c r="J310" s="285" t="s">
        <v>5012</v>
      </c>
      <c r="K310" s="285" t="s">
        <v>10114</v>
      </c>
      <c r="L310" s="285" t="s">
        <v>832</v>
      </c>
      <c r="M310" s="285" t="s">
        <v>9383</v>
      </c>
      <c r="N310" s="287" t="str">
        <f>IFERROR(
    IF(
        AND(
            VLOOKUP(B310, 'รายชื่อพนักงานลาออกพ้นสภาพ'!B:I, 8, FALSE)&lt;&gt;"ยกเลิกลาออก",
            VLOOKUP(B310, 'รายชื่อพนักงานลาออกพ้นสภาพ'!B:I, 7, FALSE)&lt;=TODAY()
        ),
        "ลาออกแล้ว",
        ""
    ),
"")</f>
        <v/>
      </c>
      <c r="O310" s="292" t="str">
        <f t="array" ref="O310">IFERROR(INDEX(PCRent!C:D, MATCH(F310 &amp; " " &amp; G310, PCRent!A:A &amp; " " &amp; PCRent!B:B, 0)), "")</f>
        <v/>
      </c>
      <c r="P310" s="293"/>
      <c r="Q310" s="294" t="str">
        <f t="array" ref="Q310">IFERROR(INDEX(MonitorRent!C:D, MATCH(F310 &amp; " " &amp; G310, MonitorRent!A:A &amp; " " &amp; MonitorRent!B:B, 0)), "")</f>
        <v/>
      </c>
      <c r="R310" s="295"/>
    </row>
    <row r="311">
      <c r="A311" s="284">
        <v>308.0</v>
      </c>
      <c r="B311" s="285" t="s">
        <v>861</v>
      </c>
      <c r="C311" s="285" t="s">
        <v>10103</v>
      </c>
      <c r="D311" s="286" t="s">
        <v>10104</v>
      </c>
      <c r="E311" s="285" t="s">
        <v>6933</v>
      </c>
      <c r="F311" s="285" t="s">
        <v>10971</v>
      </c>
      <c r="G311" s="285" t="s">
        <v>10972</v>
      </c>
      <c r="H311" s="285" t="s">
        <v>9827</v>
      </c>
      <c r="I311" s="285" t="s">
        <v>863</v>
      </c>
      <c r="J311" s="285" t="s">
        <v>5012</v>
      </c>
      <c r="K311" s="285" t="s">
        <v>10114</v>
      </c>
      <c r="L311" s="285" t="s">
        <v>832</v>
      </c>
      <c r="M311" s="285" t="s">
        <v>9383</v>
      </c>
      <c r="N311" s="287" t="str">
        <f>IFERROR(
    IF(
        AND(
            VLOOKUP(B311, 'รายชื่อพนักงานลาออกพ้นสภาพ'!B:I, 8, FALSE)&lt;&gt;"ยกเลิกลาออก",
            VLOOKUP(B311, 'รายชื่อพนักงานลาออกพ้นสภาพ'!B:I, 7, FALSE)&lt;=TODAY()
        ),
        "ลาออกแล้ว",
        ""
    ),
"")</f>
        <v>ลาออกแล้ว</v>
      </c>
      <c r="O311" s="292" t="str">
        <f t="array" ref="O311">IFERROR(INDEX(PCRent!C:D, MATCH(F311 &amp; " " &amp; G311, PCRent!A:A &amp; " " &amp; PCRent!B:B, 0)), "")</f>
        <v/>
      </c>
      <c r="P311" s="293"/>
      <c r="Q311" s="294" t="str">
        <f t="array" ref="Q311">IFERROR(INDEX(MonitorRent!C:D, MATCH(F311 &amp; " " &amp; G311, MonitorRent!A:A &amp; " " &amp; MonitorRent!B:B, 0)), "")</f>
        <v/>
      </c>
      <c r="R311" s="295"/>
    </row>
    <row r="312">
      <c r="A312" s="284">
        <v>309.0</v>
      </c>
      <c r="B312" s="285" t="s">
        <v>10973</v>
      </c>
      <c r="C312" s="285" t="s">
        <v>10103</v>
      </c>
      <c r="D312" s="286" t="s">
        <v>9718</v>
      </c>
      <c r="E312" s="285" t="s">
        <v>6933</v>
      </c>
      <c r="F312" s="285" t="s">
        <v>10974</v>
      </c>
      <c r="G312" s="285" t="s">
        <v>10975</v>
      </c>
      <c r="H312" s="285" t="s">
        <v>10976</v>
      </c>
      <c r="I312" s="285" t="s">
        <v>10977</v>
      </c>
      <c r="J312" s="285" t="s">
        <v>5012</v>
      </c>
      <c r="K312" s="285" t="s">
        <v>10114</v>
      </c>
      <c r="L312" s="285" t="s">
        <v>10127</v>
      </c>
      <c r="M312" s="285" t="s">
        <v>9391</v>
      </c>
      <c r="N312" s="287" t="str">
        <f>IFERROR(
    IF(
        AND(
            VLOOKUP(B312, 'รายชื่อพนักงานลาออกพ้นสภาพ'!B:I, 8, FALSE)&lt;&gt;"ยกเลิกลาออก",
            VLOOKUP(B312, 'รายชื่อพนักงานลาออกพ้นสภาพ'!B:I, 7, FALSE)&lt;=TODAY()
        ),
        "ลาออกแล้ว",
        ""
    ),
"")</f>
        <v/>
      </c>
      <c r="O312" s="292" t="str">
        <f t="array" ref="O312">IFERROR(INDEX(PCRent!C:D, MATCH(F312 &amp; " " &amp; G312, PCRent!A:A &amp; " " &amp; PCRent!B:B, 0)), "")</f>
        <v/>
      </c>
      <c r="P312" s="293"/>
      <c r="Q312" s="294" t="str">
        <f t="array" ref="Q312">IFERROR(INDEX(MonitorRent!C:D, MATCH(F312 &amp; " " &amp; G312, MonitorRent!A:A &amp; " " &amp; MonitorRent!B:B, 0)), "")</f>
        <v/>
      </c>
      <c r="R312" s="295"/>
    </row>
    <row r="313">
      <c r="A313" s="284">
        <v>310.0</v>
      </c>
      <c r="B313" s="285" t="s">
        <v>5042</v>
      </c>
      <c r="C313" s="285" t="s">
        <v>10103</v>
      </c>
      <c r="D313" s="286" t="s">
        <v>10978</v>
      </c>
      <c r="E313" s="285" t="s">
        <v>6933</v>
      </c>
      <c r="F313" s="285" t="s">
        <v>10979</v>
      </c>
      <c r="G313" s="285" t="s">
        <v>10980</v>
      </c>
      <c r="H313" s="285" t="s">
        <v>10981</v>
      </c>
      <c r="I313" s="285" t="s">
        <v>5043</v>
      </c>
      <c r="J313" s="285" t="s">
        <v>5012</v>
      </c>
      <c r="K313" s="285" t="s">
        <v>10114</v>
      </c>
      <c r="L313" s="285" t="s">
        <v>832</v>
      </c>
      <c r="M313" s="285" t="s">
        <v>9383</v>
      </c>
      <c r="N313" s="287" t="str">
        <f>IFERROR(
    IF(
        AND(
            VLOOKUP(B313, 'รายชื่อพนักงานลาออกพ้นสภาพ'!B:I, 8, FALSE)&lt;&gt;"ยกเลิกลาออก",
            VLOOKUP(B313, 'รายชื่อพนักงานลาออกพ้นสภาพ'!B:I, 7, FALSE)&lt;=TODAY()
        ),
        "ลาออกแล้ว",
        ""
    ),
"")</f>
        <v/>
      </c>
      <c r="O313" s="292" t="str">
        <f t="array" ref="O313:P313">IFERROR(INDEX(PCRent!C:D, MATCH(F313 &amp; " " &amp; G313, PCRent!A:A &amp; " " &amp; PCRent!B:B, 0)), "")</f>
        <v>SN:PF39GALS</v>
      </c>
      <c r="P313" s="293" t="s">
        <v>7005</v>
      </c>
      <c r="Q313" s="294" t="str">
        <f t="array" ref="Q313">IFERROR(INDEX(MonitorRent!C:D, MATCH(F313 &amp; " " &amp; G313, MonitorRent!A:A &amp; " " &amp; MonitorRent!B:B, 0)), "")</f>
        <v/>
      </c>
      <c r="R313" s="295"/>
    </row>
    <row r="314">
      <c r="A314" s="284">
        <v>311.0</v>
      </c>
      <c r="B314" s="285" t="s">
        <v>805</v>
      </c>
      <c r="C314" s="285" t="s">
        <v>10103</v>
      </c>
      <c r="D314" s="286" t="s">
        <v>10354</v>
      </c>
      <c r="E314" s="285" t="s">
        <v>6933</v>
      </c>
      <c r="F314" s="285" t="s">
        <v>10982</v>
      </c>
      <c r="G314" s="285" t="s">
        <v>10983</v>
      </c>
      <c r="H314" s="285" t="s">
        <v>10984</v>
      </c>
      <c r="I314" s="285" t="s">
        <v>808</v>
      </c>
      <c r="J314" s="285" t="s">
        <v>5012</v>
      </c>
      <c r="K314" s="285" t="s">
        <v>10114</v>
      </c>
      <c r="L314" s="285" t="s">
        <v>10127</v>
      </c>
      <c r="M314" s="285" t="s">
        <v>9391</v>
      </c>
      <c r="N314" s="287" t="str">
        <f>IFERROR(
    IF(
        AND(
            VLOOKUP(B314, 'รายชื่อพนักงานลาออกพ้นสภาพ'!B:I, 8, FALSE)&lt;&gt;"ยกเลิกลาออก",
            VLOOKUP(B314, 'รายชื่อพนักงานลาออกพ้นสภาพ'!B:I, 7, FALSE)&lt;=TODAY()
        ),
        "ลาออกแล้ว",
        ""
    ),
"")</f>
        <v>ลาออกแล้ว</v>
      </c>
      <c r="O314" s="292" t="str">
        <f t="array" ref="O314">IFERROR(INDEX(PCRent!C:D, MATCH(F314 &amp; " " &amp; G314, PCRent!A:A &amp; " " &amp; PCRent!B:B, 0)), "")</f>
        <v/>
      </c>
      <c r="P314" s="293"/>
      <c r="Q314" s="294" t="str">
        <f t="array" ref="Q314">IFERROR(INDEX(MonitorRent!C:D, MATCH(F314 &amp; " " &amp; G314, MonitorRent!A:A &amp; " " &amp; MonitorRent!B:B, 0)), "")</f>
        <v/>
      </c>
      <c r="R314" s="295"/>
    </row>
    <row r="315">
      <c r="A315" s="284">
        <v>312.0</v>
      </c>
      <c r="B315" s="285" t="s">
        <v>10985</v>
      </c>
      <c r="C315" s="285" t="s">
        <v>10103</v>
      </c>
      <c r="D315" s="286" t="s">
        <v>10986</v>
      </c>
      <c r="E315" s="285" t="s">
        <v>6933</v>
      </c>
      <c r="F315" s="285" t="s">
        <v>10987</v>
      </c>
      <c r="G315" s="285" t="s">
        <v>10988</v>
      </c>
      <c r="H315" s="285" t="s">
        <v>10989</v>
      </c>
      <c r="I315" s="285" t="s">
        <v>10990</v>
      </c>
      <c r="J315" s="285" t="s">
        <v>5012</v>
      </c>
      <c r="K315" s="285" t="s">
        <v>10114</v>
      </c>
      <c r="L315" s="285" t="s">
        <v>832</v>
      </c>
      <c r="M315" s="285" t="s">
        <v>9383</v>
      </c>
      <c r="N315" s="287" t="str">
        <f>IFERROR(
    IF(
        AND(
            VLOOKUP(B315, 'รายชื่อพนักงานลาออกพ้นสภาพ'!B:I, 8, FALSE)&lt;&gt;"ยกเลิกลาออก",
            VLOOKUP(B315, 'รายชื่อพนักงานลาออกพ้นสภาพ'!B:I, 7, FALSE)&lt;=TODAY()
        ),
        "ลาออกแล้ว",
        ""
    ),
"")</f>
        <v/>
      </c>
      <c r="O315" s="292" t="str">
        <f t="array" ref="O315">IFERROR(INDEX(PCRent!C:D, MATCH(F315 &amp; " " &amp; G315, PCRent!A:A &amp; " " &amp; PCRent!B:B, 0)), "")</f>
        <v/>
      </c>
      <c r="P315" s="293"/>
      <c r="Q315" s="294" t="str">
        <f t="array" ref="Q315">IFERROR(INDEX(MonitorRent!C:D, MATCH(F315 &amp; " " &amp; G315, MonitorRent!A:A &amp; " " &amp; MonitorRent!B:B, 0)), "")</f>
        <v/>
      </c>
      <c r="R315" s="295"/>
    </row>
    <row r="316">
      <c r="A316" s="284">
        <v>313.0</v>
      </c>
      <c r="B316" s="285" t="s">
        <v>10991</v>
      </c>
      <c r="C316" s="285" t="s">
        <v>10103</v>
      </c>
      <c r="D316" s="286" t="s">
        <v>9718</v>
      </c>
      <c r="E316" s="285" t="s">
        <v>6933</v>
      </c>
      <c r="F316" s="285" t="s">
        <v>10987</v>
      </c>
      <c r="G316" s="285" t="s">
        <v>10992</v>
      </c>
      <c r="H316" s="285" t="s">
        <v>10993</v>
      </c>
      <c r="I316" s="285" t="s">
        <v>10994</v>
      </c>
      <c r="J316" s="285" t="s">
        <v>5012</v>
      </c>
      <c r="K316" s="285" t="s">
        <v>10114</v>
      </c>
      <c r="L316" s="285" t="s">
        <v>832</v>
      </c>
      <c r="M316" s="285" t="s">
        <v>9391</v>
      </c>
      <c r="N316" s="287" t="str">
        <f>IFERROR(
    IF(
        AND(
            VLOOKUP(B316, 'รายชื่อพนักงานลาออกพ้นสภาพ'!B:I, 8, FALSE)&lt;&gt;"ยกเลิกลาออก",
            VLOOKUP(B316, 'รายชื่อพนักงานลาออกพ้นสภาพ'!B:I, 7, FALSE)&lt;=TODAY()
        ),
        "ลาออกแล้ว",
        ""
    ),
"")</f>
        <v/>
      </c>
      <c r="O316" s="292" t="str">
        <f t="array" ref="O316">IFERROR(INDEX(PCRent!C:D, MATCH(F316 &amp; " " &amp; G316, PCRent!A:A &amp; " " &amp; PCRent!B:B, 0)), "")</f>
        <v/>
      </c>
      <c r="P316" s="293"/>
      <c r="Q316" s="294" t="str">
        <f t="array" ref="Q316">IFERROR(INDEX(MonitorRent!C:D, MATCH(F316 &amp; " " &amp; G316, MonitorRent!A:A &amp; " " &amp; MonitorRent!B:B, 0)), "")</f>
        <v/>
      </c>
      <c r="R316" s="295"/>
    </row>
    <row r="317">
      <c r="A317" s="284">
        <v>314.0</v>
      </c>
      <c r="B317" s="285" t="s">
        <v>10995</v>
      </c>
      <c r="C317" s="285" t="s">
        <v>10103</v>
      </c>
      <c r="D317" s="286" t="s">
        <v>10996</v>
      </c>
      <c r="E317" s="285" t="s">
        <v>6933</v>
      </c>
      <c r="F317" s="285" t="s">
        <v>10987</v>
      </c>
      <c r="G317" s="285" t="s">
        <v>10997</v>
      </c>
      <c r="H317" s="285" t="s">
        <v>10998</v>
      </c>
      <c r="I317" s="285" t="s">
        <v>10999</v>
      </c>
      <c r="J317" s="285" t="s">
        <v>5012</v>
      </c>
      <c r="K317" s="285" t="s">
        <v>10114</v>
      </c>
      <c r="L317" s="285" t="s">
        <v>832</v>
      </c>
      <c r="M317" s="285" t="s">
        <v>9383</v>
      </c>
      <c r="N317" s="287" t="str">
        <f>IFERROR(
    IF(
        AND(
            VLOOKUP(B317, 'รายชื่อพนักงานลาออกพ้นสภาพ'!B:I, 8, FALSE)&lt;&gt;"ยกเลิกลาออก",
            VLOOKUP(B317, 'รายชื่อพนักงานลาออกพ้นสภาพ'!B:I, 7, FALSE)&lt;=TODAY()
        ),
        "ลาออกแล้ว",
        ""
    ),
"")</f>
        <v/>
      </c>
      <c r="O317" s="292" t="str">
        <f t="array" ref="O317">IFERROR(INDEX(PCRent!C:D, MATCH(F317 &amp; " " &amp; G317, PCRent!A:A &amp; " " &amp; PCRent!B:B, 0)), "")</f>
        <v/>
      </c>
      <c r="P317" s="293"/>
      <c r="Q317" s="294" t="str">
        <f t="array" ref="Q317">IFERROR(INDEX(MonitorRent!C:D, MATCH(F317 &amp; " " &amp; G317, MonitorRent!A:A &amp; " " &amp; MonitorRent!B:B, 0)), "")</f>
        <v/>
      </c>
      <c r="R317" s="295"/>
    </row>
    <row r="318">
      <c r="A318" s="284">
        <v>315.0</v>
      </c>
      <c r="B318" s="285" t="s">
        <v>11000</v>
      </c>
      <c r="C318" s="285" t="s">
        <v>10103</v>
      </c>
      <c r="D318" s="286" t="s">
        <v>11001</v>
      </c>
      <c r="E318" s="285" t="s">
        <v>6933</v>
      </c>
      <c r="F318" s="285" t="s">
        <v>11002</v>
      </c>
      <c r="G318" s="285" t="s">
        <v>11003</v>
      </c>
      <c r="H318" s="285" t="s">
        <v>10203</v>
      </c>
      <c r="I318" s="285" t="s">
        <v>11004</v>
      </c>
      <c r="J318" s="285" t="s">
        <v>5012</v>
      </c>
      <c r="K318" s="285" t="s">
        <v>1412</v>
      </c>
      <c r="L318" s="285" t="s">
        <v>10127</v>
      </c>
      <c r="M318" s="285" t="s">
        <v>9383</v>
      </c>
      <c r="N318" s="287" t="str">
        <f>IFERROR(
    IF(
        AND(
            VLOOKUP(B318, 'รายชื่อพนักงานลาออกพ้นสภาพ'!B:I, 8, FALSE)&lt;&gt;"ยกเลิกลาออก",
            VLOOKUP(B318, 'รายชื่อพนักงานลาออกพ้นสภาพ'!B:I, 7, FALSE)&lt;=TODAY()
        ),
        "ลาออกแล้ว",
        ""
    ),
"")</f>
        <v/>
      </c>
      <c r="O318" s="292" t="str">
        <f t="array" ref="O318">IFERROR(INDEX(PCRent!C:D, MATCH(F318 &amp; " " &amp; G318, PCRent!A:A &amp; " " &amp; PCRent!B:B, 0)), "")</f>
        <v/>
      </c>
      <c r="P318" s="293"/>
      <c r="Q318" s="294" t="str">
        <f t="array" ref="Q318">IFERROR(INDEX(MonitorRent!C:D, MATCH(F318 &amp; " " &amp; G318, MonitorRent!A:A &amp; " " &amp; MonitorRent!B:B, 0)), "")</f>
        <v/>
      </c>
      <c r="R318" s="295"/>
    </row>
    <row r="319">
      <c r="A319" s="284">
        <v>316.0</v>
      </c>
      <c r="B319" s="285" t="s">
        <v>580</v>
      </c>
      <c r="C319" s="285" t="s">
        <v>10103</v>
      </c>
      <c r="D319" s="286" t="s">
        <v>10412</v>
      </c>
      <c r="E319" s="285" t="s">
        <v>6933</v>
      </c>
      <c r="F319" s="285" t="s">
        <v>11005</v>
      </c>
      <c r="G319" s="285" t="s">
        <v>11006</v>
      </c>
      <c r="H319" s="285" t="s">
        <v>11007</v>
      </c>
      <c r="I319" s="285" t="s">
        <v>583</v>
      </c>
      <c r="J319" s="285" t="s">
        <v>5012</v>
      </c>
      <c r="K319" s="285" t="s">
        <v>10114</v>
      </c>
      <c r="L319" s="285" t="s">
        <v>832</v>
      </c>
      <c r="M319" s="285" t="s">
        <v>9383</v>
      </c>
      <c r="N319" s="287" t="str">
        <f>IFERROR(
    IF(
        AND(
            VLOOKUP(B319, 'รายชื่อพนักงานลาออกพ้นสภาพ'!B:I, 8, FALSE)&lt;&gt;"ยกเลิกลาออก",
            VLOOKUP(B319, 'รายชื่อพนักงานลาออกพ้นสภาพ'!B:I, 7, FALSE)&lt;=TODAY()
        ),
        "ลาออกแล้ว",
        ""
    ),
"")</f>
        <v>ลาออกแล้ว</v>
      </c>
      <c r="O319" s="292" t="str">
        <f t="array" ref="O319">IFERROR(INDEX(PCRent!C:D, MATCH(F319 &amp; " " &amp; G319, PCRent!A:A &amp; " " &amp; PCRent!B:B, 0)), "")</f>
        <v/>
      </c>
      <c r="P319" s="293"/>
      <c r="Q319" s="294" t="str">
        <f t="array" ref="Q319">IFERROR(INDEX(MonitorRent!C:D, MATCH(F319 &amp; " " &amp; G319, MonitorRent!A:A &amp; " " &amp; MonitorRent!B:B, 0)), "")</f>
        <v/>
      </c>
      <c r="R319" s="295"/>
    </row>
    <row r="320">
      <c r="A320" s="284">
        <v>317.0</v>
      </c>
      <c r="B320" s="285" t="s">
        <v>845</v>
      </c>
      <c r="C320" s="285" t="s">
        <v>10103</v>
      </c>
      <c r="D320" s="286" t="s">
        <v>10354</v>
      </c>
      <c r="E320" s="285" t="s">
        <v>6921</v>
      </c>
      <c r="F320" s="285" t="s">
        <v>11008</v>
      </c>
      <c r="G320" s="285" t="s">
        <v>11009</v>
      </c>
      <c r="H320" s="285" t="s">
        <v>11010</v>
      </c>
      <c r="I320" s="285" t="s">
        <v>847</v>
      </c>
      <c r="J320" s="285" t="s">
        <v>5012</v>
      </c>
      <c r="K320" s="285" t="s">
        <v>1606</v>
      </c>
      <c r="L320" s="285" t="s">
        <v>832</v>
      </c>
      <c r="M320" s="285" t="s">
        <v>9383</v>
      </c>
      <c r="N320" s="287" t="str">
        <f>IFERROR(
    IF(
        AND(
            VLOOKUP(B320, 'รายชื่อพนักงานลาออกพ้นสภาพ'!B:I, 8, FALSE)&lt;&gt;"ยกเลิกลาออก",
            VLOOKUP(B320, 'รายชื่อพนักงานลาออกพ้นสภาพ'!B:I, 7, FALSE)&lt;=TODAY()
        ),
        "ลาออกแล้ว",
        ""
    ),
"")</f>
        <v/>
      </c>
      <c r="O320" s="292" t="str">
        <f t="array" ref="O320">IFERROR(INDEX(PCRent!C:D, MATCH(F320 &amp; " " &amp; G320, PCRent!A:A &amp; " " &amp; PCRent!B:B, 0)), "")</f>
        <v/>
      </c>
      <c r="P320" s="293"/>
      <c r="Q320" s="294" t="str">
        <f t="array" ref="Q320">IFERROR(INDEX(MonitorRent!C:D, MATCH(F320 &amp; " " &amp; G320, MonitorRent!A:A &amp; " " &amp; MonitorRent!B:B, 0)), "")</f>
        <v/>
      </c>
      <c r="R320" s="295"/>
    </row>
    <row r="321">
      <c r="A321" s="284">
        <v>318.0</v>
      </c>
      <c r="B321" s="285" t="s">
        <v>11011</v>
      </c>
      <c r="C321" s="285" t="s">
        <v>10103</v>
      </c>
      <c r="D321" s="286" t="s">
        <v>11012</v>
      </c>
      <c r="E321" s="285" t="s">
        <v>6933</v>
      </c>
      <c r="F321" s="285" t="s">
        <v>9640</v>
      </c>
      <c r="G321" s="285" t="s">
        <v>11013</v>
      </c>
      <c r="H321" s="285" t="s">
        <v>11014</v>
      </c>
      <c r="I321" s="285" t="s">
        <v>11015</v>
      </c>
      <c r="J321" s="285" t="s">
        <v>5012</v>
      </c>
      <c r="K321" s="285" t="s">
        <v>5341</v>
      </c>
      <c r="L321" s="285" t="s">
        <v>832</v>
      </c>
      <c r="M321" s="285" t="s">
        <v>9383</v>
      </c>
      <c r="N321" s="287" t="str">
        <f>IFERROR(
    IF(
        AND(
            VLOOKUP(B321, 'รายชื่อพนักงานลาออกพ้นสภาพ'!B:I, 8, FALSE)&lt;&gt;"ยกเลิกลาออก",
            VLOOKUP(B321, 'รายชื่อพนักงานลาออกพ้นสภาพ'!B:I, 7, FALSE)&lt;=TODAY()
        ),
        "ลาออกแล้ว",
        ""
    ),
"")</f>
        <v/>
      </c>
      <c r="O321" s="292" t="str">
        <f t="array" ref="O321">IFERROR(INDEX(PCRent!C:D, MATCH(F321 &amp; " " &amp; G321, PCRent!A:A &amp; " " &amp; PCRent!B:B, 0)), "")</f>
        <v/>
      </c>
      <c r="P321" s="293"/>
      <c r="Q321" s="294" t="str">
        <f t="array" ref="Q321">IFERROR(INDEX(MonitorRent!C:D, MATCH(F321 &amp; " " &amp; G321, MonitorRent!A:A &amp; " " &amp; MonitorRent!B:B, 0)), "")</f>
        <v/>
      </c>
      <c r="R321" s="295"/>
    </row>
    <row r="322">
      <c r="A322" s="284">
        <v>319.0</v>
      </c>
      <c r="B322" s="285" t="s">
        <v>11016</v>
      </c>
      <c r="C322" s="285" t="s">
        <v>10103</v>
      </c>
      <c r="D322" s="286" t="s">
        <v>10239</v>
      </c>
      <c r="E322" s="285" t="s">
        <v>6921</v>
      </c>
      <c r="F322" s="285" t="s">
        <v>11017</v>
      </c>
      <c r="G322" s="285" t="s">
        <v>11018</v>
      </c>
      <c r="H322" s="285" t="s">
        <v>11019</v>
      </c>
      <c r="I322" s="285" t="s">
        <v>11020</v>
      </c>
      <c r="J322" s="285" t="s">
        <v>5012</v>
      </c>
      <c r="K322" s="285" t="s">
        <v>1417</v>
      </c>
      <c r="L322" s="285" t="s">
        <v>832</v>
      </c>
      <c r="M322" s="285" t="s">
        <v>9383</v>
      </c>
      <c r="N322" s="287" t="str">
        <f>IFERROR(
    IF(
        AND(
            VLOOKUP(B322, 'รายชื่อพนักงานลาออกพ้นสภาพ'!B:I, 8, FALSE)&lt;&gt;"ยกเลิกลาออก",
            VLOOKUP(B322, 'รายชื่อพนักงานลาออกพ้นสภาพ'!B:I, 7, FALSE)&lt;=TODAY()
        ),
        "ลาออกแล้ว",
        ""
    ),
"")</f>
        <v/>
      </c>
      <c r="O322" s="292" t="str">
        <f t="array" ref="O322">IFERROR(INDEX(PCRent!C:D, MATCH(F322 &amp; " " &amp; G322, PCRent!A:A &amp; " " &amp; PCRent!B:B, 0)), "")</f>
        <v/>
      </c>
      <c r="P322" s="293"/>
      <c r="Q322" s="294" t="str">
        <f t="array" ref="Q322">IFERROR(INDEX(MonitorRent!C:D, MATCH(F322 &amp; " " &amp; G322, MonitorRent!A:A &amp; " " &amp; MonitorRent!B:B, 0)), "")</f>
        <v/>
      </c>
      <c r="R322" s="295"/>
    </row>
    <row r="323">
      <c r="A323" s="284">
        <v>320.0</v>
      </c>
      <c r="B323" s="285" t="s">
        <v>11021</v>
      </c>
      <c r="C323" s="285" t="s">
        <v>10103</v>
      </c>
      <c r="D323" s="286" t="s">
        <v>11022</v>
      </c>
      <c r="E323" s="285" t="s">
        <v>6933</v>
      </c>
      <c r="F323" s="285" t="s">
        <v>11023</v>
      </c>
      <c r="G323" s="285" t="s">
        <v>11024</v>
      </c>
      <c r="H323" s="285" t="s">
        <v>11025</v>
      </c>
      <c r="I323" s="285" t="s">
        <v>11026</v>
      </c>
      <c r="J323" s="285" t="s">
        <v>5224</v>
      </c>
      <c r="K323" s="285" t="s">
        <v>10056</v>
      </c>
      <c r="L323" s="285" t="s">
        <v>10438</v>
      </c>
      <c r="M323" s="285" t="s">
        <v>9383</v>
      </c>
      <c r="N323" s="287" t="str">
        <f>IFERROR(
    IF(
        AND(
            VLOOKUP(B323, 'รายชื่อพนักงานลาออกพ้นสภาพ'!B:I, 8, FALSE)&lt;&gt;"ยกเลิกลาออก",
            VLOOKUP(B323, 'รายชื่อพนักงานลาออกพ้นสภาพ'!B:I, 7, FALSE)&lt;=TODAY()
        ),
        "ลาออกแล้ว",
        ""
    ),
"")</f>
        <v/>
      </c>
      <c r="O323" s="292" t="str">
        <f t="array" ref="O323">IFERROR(INDEX(PCRent!C:D, MATCH(F323 &amp; " " &amp; G323, PCRent!A:A &amp; " " &amp; PCRent!B:B, 0)), "")</f>
        <v/>
      </c>
      <c r="P323" s="293"/>
      <c r="Q323" s="294" t="str">
        <f t="array" ref="Q323">IFERROR(INDEX(MonitorRent!C:D, MATCH(F323 &amp; " " &amp; G323, MonitorRent!A:A &amp; " " &amp; MonitorRent!B:B, 0)), "")</f>
        <v/>
      </c>
      <c r="R323" s="295"/>
    </row>
    <row r="324">
      <c r="A324" s="284">
        <v>321.0</v>
      </c>
      <c r="B324" s="285" t="s">
        <v>11027</v>
      </c>
      <c r="C324" s="285" t="s">
        <v>10103</v>
      </c>
      <c r="D324" s="286" t="s">
        <v>11028</v>
      </c>
      <c r="E324" s="285" t="s">
        <v>6933</v>
      </c>
      <c r="F324" s="285" t="s">
        <v>11023</v>
      </c>
      <c r="G324" s="285" t="s">
        <v>11029</v>
      </c>
      <c r="H324" s="285" t="s">
        <v>10765</v>
      </c>
      <c r="I324" s="285" t="s">
        <v>11030</v>
      </c>
      <c r="J324" s="285" t="s">
        <v>5012</v>
      </c>
      <c r="K324" s="285" t="s">
        <v>5638</v>
      </c>
      <c r="L324" s="285" t="s">
        <v>832</v>
      </c>
      <c r="M324" s="285" t="s">
        <v>9383</v>
      </c>
      <c r="N324" s="287" t="str">
        <f>IFERROR(
    IF(
        AND(
            VLOOKUP(B324, 'รายชื่อพนักงานลาออกพ้นสภาพ'!B:I, 8, FALSE)&lt;&gt;"ยกเลิกลาออก",
            VLOOKUP(B324, 'รายชื่อพนักงานลาออกพ้นสภาพ'!B:I, 7, FALSE)&lt;=TODAY()
        ),
        "ลาออกแล้ว",
        ""
    ),
"")</f>
        <v/>
      </c>
      <c r="O324" s="292" t="str">
        <f t="array" ref="O324">IFERROR(INDEX(PCRent!C:D, MATCH(F324 &amp; " " &amp; G324, PCRent!A:A &amp; " " &amp; PCRent!B:B, 0)), "")</f>
        <v/>
      </c>
      <c r="P324" s="293"/>
      <c r="Q324" s="294" t="str">
        <f t="array" ref="Q324">IFERROR(INDEX(MonitorRent!C:D, MATCH(F324 &amp; " " &amp; G324, MonitorRent!A:A &amp; " " &amp; MonitorRent!B:B, 0)), "")</f>
        <v/>
      </c>
      <c r="R324" s="295"/>
    </row>
    <row r="325">
      <c r="A325" s="284">
        <v>322.0</v>
      </c>
      <c r="B325" s="285" t="s">
        <v>11031</v>
      </c>
      <c r="C325" s="285" t="s">
        <v>10103</v>
      </c>
      <c r="D325" s="286" t="s">
        <v>10636</v>
      </c>
      <c r="E325" s="285" t="s">
        <v>6921</v>
      </c>
      <c r="F325" s="285" t="s">
        <v>11032</v>
      </c>
      <c r="G325" s="285" t="s">
        <v>10293</v>
      </c>
      <c r="H325" s="285" t="s">
        <v>11033</v>
      </c>
      <c r="I325" s="285" t="s">
        <v>11034</v>
      </c>
      <c r="J325" s="285" t="s">
        <v>5012</v>
      </c>
      <c r="K325" s="285" t="s">
        <v>1606</v>
      </c>
      <c r="L325" s="285" t="s">
        <v>832</v>
      </c>
      <c r="M325" s="285" t="s">
        <v>9383</v>
      </c>
      <c r="N325" s="287" t="str">
        <f>IFERROR(
    IF(
        AND(
            VLOOKUP(B325, 'รายชื่อพนักงานลาออกพ้นสภาพ'!B:I, 8, FALSE)&lt;&gt;"ยกเลิกลาออก",
            VLOOKUP(B325, 'รายชื่อพนักงานลาออกพ้นสภาพ'!B:I, 7, FALSE)&lt;=TODAY()
        ),
        "ลาออกแล้ว",
        ""
    ),
"")</f>
        <v/>
      </c>
      <c r="O325" s="292" t="str">
        <f t="array" ref="O325">IFERROR(INDEX(PCRent!C:D, MATCH(F325 &amp; " " &amp; G325, PCRent!A:A &amp; " " &amp; PCRent!B:B, 0)), "")</f>
        <v/>
      </c>
      <c r="P325" s="293"/>
      <c r="Q325" s="294" t="str">
        <f t="array" ref="Q325">IFERROR(INDEX(MonitorRent!C:D, MATCH(F325 &amp; " " &amp; G325, MonitorRent!A:A &amp; " " &amp; MonitorRent!B:B, 0)), "")</f>
        <v/>
      </c>
      <c r="R325" s="295"/>
    </row>
    <row r="326">
      <c r="A326" s="284">
        <v>323.0</v>
      </c>
      <c r="B326" s="285" t="s">
        <v>11035</v>
      </c>
      <c r="C326" s="285" t="s">
        <v>10103</v>
      </c>
      <c r="D326" s="286" t="s">
        <v>11036</v>
      </c>
      <c r="E326" s="285" t="s">
        <v>6933</v>
      </c>
      <c r="F326" s="285" t="s">
        <v>11037</v>
      </c>
      <c r="G326" s="285" t="s">
        <v>11038</v>
      </c>
      <c r="H326" s="285" t="s">
        <v>9579</v>
      </c>
      <c r="I326" s="285" t="s">
        <v>11039</v>
      </c>
      <c r="J326" s="285" t="s">
        <v>5012</v>
      </c>
      <c r="K326" s="285" t="s">
        <v>10114</v>
      </c>
      <c r="L326" s="285" t="s">
        <v>832</v>
      </c>
      <c r="M326" s="285" t="s">
        <v>9383</v>
      </c>
      <c r="N326" s="287" t="str">
        <f>IFERROR(
    IF(
        AND(
            VLOOKUP(B326, 'รายชื่อพนักงานลาออกพ้นสภาพ'!B:I, 8, FALSE)&lt;&gt;"ยกเลิกลาออก",
            VLOOKUP(B326, 'รายชื่อพนักงานลาออกพ้นสภาพ'!B:I, 7, FALSE)&lt;=TODAY()
        ),
        "ลาออกแล้ว",
        ""
    ),
"")</f>
        <v/>
      </c>
      <c r="O326" s="292" t="str">
        <f t="array" ref="O326">IFERROR(INDEX(PCRent!C:D, MATCH(F326 &amp; " " &amp; G326, PCRent!A:A &amp; " " &amp; PCRent!B:B, 0)), "")</f>
        <v/>
      </c>
      <c r="P326" s="293"/>
      <c r="Q326" s="294" t="str">
        <f t="array" ref="Q326">IFERROR(INDEX(MonitorRent!C:D, MATCH(F326 &amp; " " &amp; G326, MonitorRent!A:A &amp; " " &amp; MonitorRent!B:B, 0)), "")</f>
        <v/>
      </c>
      <c r="R326" s="295"/>
    </row>
    <row r="327">
      <c r="A327" s="284">
        <v>324.0</v>
      </c>
      <c r="B327" s="285" t="s">
        <v>11040</v>
      </c>
      <c r="C327" s="285" t="s">
        <v>10103</v>
      </c>
      <c r="D327" s="286" t="s">
        <v>9814</v>
      </c>
      <c r="E327" s="285" t="s">
        <v>6933</v>
      </c>
      <c r="F327" s="285" t="s">
        <v>11041</v>
      </c>
      <c r="G327" s="285" t="s">
        <v>11042</v>
      </c>
      <c r="H327" s="285" t="s">
        <v>11043</v>
      </c>
      <c r="I327" s="285" t="s">
        <v>11044</v>
      </c>
      <c r="J327" s="285" t="s">
        <v>5012</v>
      </c>
      <c r="K327" s="285" t="s">
        <v>10114</v>
      </c>
      <c r="L327" s="285" t="s">
        <v>10843</v>
      </c>
      <c r="M327" s="285" t="s">
        <v>9383</v>
      </c>
      <c r="N327" s="287" t="str">
        <f>IFERROR(
    IF(
        AND(
            VLOOKUP(B327, 'รายชื่อพนักงานลาออกพ้นสภาพ'!B:I, 8, FALSE)&lt;&gt;"ยกเลิกลาออก",
            VLOOKUP(B327, 'รายชื่อพนักงานลาออกพ้นสภาพ'!B:I, 7, FALSE)&lt;=TODAY()
        ),
        "ลาออกแล้ว",
        ""
    ),
"")</f>
        <v/>
      </c>
      <c r="O327" s="292" t="str">
        <f t="array" ref="O327">IFERROR(INDEX(PCRent!C:D, MATCH(F327 &amp; " " &amp; G327, PCRent!A:A &amp; " " &amp; PCRent!B:B, 0)), "")</f>
        <v/>
      </c>
      <c r="P327" s="293"/>
      <c r="Q327" s="294" t="str">
        <f t="array" ref="Q327">IFERROR(INDEX(MonitorRent!C:D, MATCH(F327 &amp; " " &amp; G327, MonitorRent!A:A &amp; " " &amp; MonitorRent!B:B, 0)), "")</f>
        <v/>
      </c>
      <c r="R327" s="295"/>
    </row>
    <row r="328">
      <c r="A328" s="284">
        <v>325.0</v>
      </c>
      <c r="B328" s="285" t="s">
        <v>830</v>
      </c>
      <c r="C328" s="285" t="s">
        <v>10103</v>
      </c>
      <c r="D328" s="286" t="s">
        <v>10041</v>
      </c>
      <c r="E328" s="285" t="s">
        <v>6921</v>
      </c>
      <c r="F328" s="285" t="s">
        <v>11045</v>
      </c>
      <c r="G328" s="285" t="s">
        <v>11046</v>
      </c>
      <c r="H328" s="285" t="s">
        <v>9669</v>
      </c>
      <c r="I328" s="285" t="s">
        <v>833</v>
      </c>
      <c r="J328" s="285" t="s">
        <v>5224</v>
      </c>
      <c r="K328" s="285" t="s">
        <v>4835</v>
      </c>
      <c r="L328" s="285" t="s">
        <v>832</v>
      </c>
      <c r="M328" s="285" t="s">
        <v>9383</v>
      </c>
      <c r="N328" s="287" t="str">
        <f>IFERROR(
    IF(
        AND(
            VLOOKUP(B328, 'รายชื่อพนักงานลาออกพ้นสภาพ'!B:I, 8, FALSE)&lt;&gt;"ยกเลิกลาออก",
            VLOOKUP(B328, 'รายชื่อพนักงานลาออกพ้นสภาพ'!B:I, 7, FALSE)&lt;=TODAY()
        ),
        "ลาออกแล้ว",
        ""
    ),
"")</f>
        <v>ลาออกแล้ว</v>
      </c>
      <c r="O328" s="292" t="str">
        <f t="array" ref="O328">IFERROR(INDEX(PCRent!C:D, MATCH(F328 &amp; " " &amp; G328, PCRent!A:A &amp; " " &amp; PCRent!B:B, 0)), "")</f>
        <v/>
      </c>
      <c r="P328" s="293"/>
      <c r="Q328" s="294" t="str">
        <f t="array" ref="Q328">IFERROR(INDEX(MonitorRent!C:D, MATCH(F328 &amp; " " &amp; G328, MonitorRent!A:A &amp; " " &amp; MonitorRent!B:B, 0)), "")</f>
        <v/>
      </c>
      <c r="R328" s="295"/>
    </row>
    <row r="329">
      <c r="A329" s="284">
        <v>326.0</v>
      </c>
      <c r="B329" s="285" t="s">
        <v>11047</v>
      </c>
      <c r="C329" s="285" t="s">
        <v>10103</v>
      </c>
      <c r="D329" s="286" t="s">
        <v>11048</v>
      </c>
      <c r="E329" s="285" t="s">
        <v>6933</v>
      </c>
      <c r="F329" s="285" t="s">
        <v>11049</v>
      </c>
      <c r="G329" s="285" t="s">
        <v>11050</v>
      </c>
      <c r="H329" s="285" t="s">
        <v>11051</v>
      </c>
      <c r="I329" s="285" t="s">
        <v>11052</v>
      </c>
      <c r="J329" s="285" t="s">
        <v>5012</v>
      </c>
      <c r="K329" s="285" t="s">
        <v>1412</v>
      </c>
      <c r="L329" s="285" t="s">
        <v>10127</v>
      </c>
      <c r="M329" s="285" t="s">
        <v>9383</v>
      </c>
      <c r="N329" s="287" t="str">
        <f>IFERROR(
    IF(
        AND(
            VLOOKUP(B329, 'รายชื่อพนักงานลาออกพ้นสภาพ'!B:I, 8, FALSE)&lt;&gt;"ยกเลิกลาออก",
            VLOOKUP(B329, 'รายชื่อพนักงานลาออกพ้นสภาพ'!B:I, 7, FALSE)&lt;=TODAY()
        ),
        "ลาออกแล้ว",
        ""
    ),
"")</f>
        <v/>
      </c>
      <c r="O329" s="292" t="str">
        <f t="array" ref="O329">IFERROR(INDEX(PCRent!C:D, MATCH(F329 &amp; " " &amp; G329, PCRent!A:A &amp; " " &amp; PCRent!B:B, 0)), "")</f>
        <v/>
      </c>
      <c r="P329" s="293"/>
      <c r="Q329" s="294" t="str">
        <f t="array" ref="Q329">IFERROR(INDEX(MonitorRent!C:D, MATCH(F329 &amp; " " &amp; G329, MonitorRent!A:A &amp; " " &amp; MonitorRent!B:B, 0)), "")</f>
        <v/>
      </c>
      <c r="R329" s="295"/>
    </row>
    <row r="330">
      <c r="A330" s="284">
        <v>327.0</v>
      </c>
      <c r="B330" s="285" t="s">
        <v>3627</v>
      </c>
      <c r="C330" s="285" t="s">
        <v>10103</v>
      </c>
      <c r="D330" s="286" t="s">
        <v>10239</v>
      </c>
      <c r="E330" s="285" t="s">
        <v>6933</v>
      </c>
      <c r="F330" s="285" t="s">
        <v>11053</v>
      </c>
      <c r="G330" s="285" t="s">
        <v>11054</v>
      </c>
      <c r="H330" s="285" t="s">
        <v>11055</v>
      </c>
      <c r="I330" s="285" t="s">
        <v>6597</v>
      </c>
      <c r="J330" s="285" t="s">
        <v>5012</v>
      </c>
      <c r="K330" s="285" t="s">
        <v>10114</v>
      </c>
      <c r="L330" s="285" t="s">
        <v>566</v>
      </c>
      <c r="M330" s="285" t="s">
        <v>9383</v>
      </c>
      <c r="N330" s="287" t="str">
        <f>IFERROR(
    IF(
        AND(
            VLOOKUP(B330, 'รายชื่อพนักงานลาออกพ้นสภาพ'!B:I, 8, FALSE)&lt;&gt;"ยกเลิกลาออก",
            VLOOKUP(B330, 'รายชื่อพนักงานลาออกพ้นสภาพ'!B:I, 7, FALSE)&lt;=TODAY()
        ),
        "ลาออกแล้ว",
        ""
    ),
"")</f>
        <v/>
      </c>
      <c r="O330" s="292" t="str">
        <f t="array" ref="O330">IFERROR(INDEX(PCRent!C:D, MATCH(F330 &amp; " " &amp; G330, PCRent!A:A &amp; " " &amp; PCRent!B:B, 0)), "")</f>
        <v/>
      </c>
      <c r="P330" s="293"/>
      <c r="Q330" s="294" t="str">
        <f t="array" ref="Q330">IFERROR(INDEX(MonitorRent!C:D, MATCH(F330 &amp; " " &amp; G330, MonitorRent!A:A &amp; " " &amp; MonitorRent!B:B, 0)), "")</f>
        <v/>
      </c>
      <c r="R330" s="295"/>
    </row>
    <row r="331">
      <c r="A331" s="284">
        <v>328.0</v>
      </c>
      <c r="B331" s="285" t="s">
        <v>11056</v>
      </c>
      <c r="C331" s="285" t="s">
        <v>10103</v>
      </c>
      <c r="D331" s="286" t="s">
        <v>11057</v>
      </c>
      <c r="E331" s="285" t="s">
        <v>6921</v>
      </c>
      <c r="F331" s="285" t="s">
        <v>11058</v>
      </c>
      <c r="G331" s="285" t="s">
        <v>11059</v>
      </c>
      <c r="H331" s="285" t="s">
        <v>9592</v>
      </c>
      <c r="I331" s="285" t="s">
        <v>11060</v>
      </c>
      <c r="J331" s="285" t="s">
        <v>5012</v>
      </c>
      <c r="K331" s="285" t="s">
        <v>1417</v>
      </c>
      <c r="L331" s="285" t="s">
        <v>832</v>
      </c>
      <c r="M331" s="285" t="s">
        <v>9391</v>
      </c>
      <c r="N331" s="287" t="str">
        <f>IFERROR(
    IF(
        AND(
            VLOOKUP(B331, 'รายชื่อพนักงานลาออกพ้นสภาพ'!B:I, 8, FALSE)&lt;&gt;"ยกเลิกลาออก",
            VLOOKUP(B331, 'รายชื่อพนักงานลาออกพ้นสภาพ'!B:I, 7, FALSE)&lt;=TODAY()
        ),
        "ลาออกแล้ว",
        ""
    ),
"")</f>
        <v/>
      </c>
      <c r="O331" s="292" t="str">
        <f t="array" ref="O331">IFERROR(INDEX(PCRent!C:D, MATCH(F331 &amp; " " &amp; G331, PCRent!A:A &amp; " " &amp; PCRent!B:B, 0)), "")</f>
        <v/>
      </c>
      <c r="P331" s="293"/>
      <c r="Q331" s="294" t="str">
        <f t="array" ref="Q331">IFERROR(INDEX(MonitorRent!C:D, MATCH(F331 &amp; " " &amp; G331, MonitorRent!A:A &amp; " " &amp; MonitorRent!B:B, 0)), "")</f>
        <v/>
      </c>
      <c r="R331" s="295"/>
    </row>
    <row r="332">
      <c r="A332" s="284">
        <v>329.0</v>
      </c>
      <c r="B332" s="285" t="s">
        <v>11061</v>
      </c>
      <c r="C332" s="285" t="s">
        <v>10103</v>
      </c>
      <c r="D332" s="286" t="s">
        <v>9547</v>
      </c>
      <c r="E332" s="285" t="s">
        <v>6933</v>
      </c>
      <c r="F332" s="285" t="s">
        <v>11062</v>
      </c>
      <c r="G332" s="285" t="s">
        <v>11063</v>
      </c>
      <c r="H332" s="285" t="s">
        <v>11064</v>
      </c>
      <c r="I332" s="285" t="s">
        <v>11065</v>
      </c>
      <c r="J332" s="285" t="s">
        <v>5012</v>
      </c>
      <c r="K332" s="285" t="s">
        <v>10114</v>
      </c>
      <c r="L332" s="285" t="s">
        <v>832</v>
      </c>
      <c r="M332" s="285" t="s">
        <v>9391</v>
      </c>
      <c r="N332" s="287" t="str">
        <f>IFERROR(
    IF(
        AND(
            VLOOKUP(B332, 'รายชื่อพนักงานลาออกพ้นสภาพ'!B:I, 8, FALSE)&lt;&gt;"ยกเลิกลาออก",
            VLOOKUP(B332, 'รายชื่อพนักงานลาออกพ้นสภาพ'!B:I, 7, FALSE)&lt;=TODAY()
        ),
        "ลาออกแล้ว",
        ""
    ),
"")</f>
        <v/>
      </c>
      <c r="O332" s="292" t="str">
        <f t="array" ref="O332">IFERROR(INDEX(PCRent!C:D, MATCH(F332 &amp; " " &amp; G332, PCRent!A:A &amp; " " &amp; PCRent!B:B, 0)), "")</f>
        <v/>
      </c>
      <c r="P332" s="293"/>
      <c r="Q332" s="294" t="str">
        <f t="array" ref="Q332">IFERROR(INDEX(MonitorRent!C:D, MATCH(F332 &amp; " " &amp; G332, MonitorRent!A:A &amp; " " &amp; MonitorRent!B:B, 0)), "")</f>
        <v/>
      </c>
      <c r="R332" s="295"/>
    </row>
    <row r="333">
      <c r="A333" s="284">
        <v>330.0</v>
      </c>
      <c r="B333" s="285" t="s">
        <v>11066</v>
      </c>
      <c r="C333" s="285" t="s">
        <v>10103</v>
      </c>
      <c r="D333" s="286" t="s">
        <v>11057</v>
      </c>
      <c r="E333" s="285" t="s">
        <v>6921</v>
      </c>
      <c r="F333" s="285" t="s">
        <v>11067</v>
      </c>
      <c r="G333" s="285" t="s">
        <v>11068</v>
      </c>
      <c r="H333" s="285" t="s">
        <v>10744</v>
      </c>
      <c r="I333" s="285" t="s">
        <v>11069</v>
      </c>
      <c r="J333" s="285" t="s">
        <v>5012</v>
      </c>
      <c r="K333" s="285" t="s">
        <v>1606</v>
      </c>
      <c r="L333" s="285" t="s">
        <v>832</v>
      </c>
      <c r="M333" s="285" t="s">
        <v>9383</v>
      </c>
      <c r="N333" s="287" t="str">
        <f>IFERROR(
    IF(
        AND(
            VLOOKUP(B333, 'รายชื่อพนักงานลาออกพ้นสภาพ'!B:I, 8, FALSE)&lt;&gt;"ยกเลิกลาออก",
            VLOOKUP(B333, 'รายชื่อพนักงานลาออกพ้นสภาพ'!B:I, 7, FALSE)&lt;=TODAY()
        ),
        "ลาออกแล้ว",
        ""
    ),
"")</f>
        <v/>
      </c>
      <c r="O333" s="292" t="str">
        <f t="array" ref="O333">IFERROR(INDEX(PCRent!C:D, MATCH(F333 &amp; " " &amp; G333, PCRent!A:A &amp; " " &amp; PCRent!B:B, 0)), "")</f>
        <v/>
      </c>
      <c r="P333" s="293"/>
      <c r="Q333" s="294" t="str">
        <f t="array" ref="Q333">IFERROR(INDEX(MonitorRent!C:D, MATCH(F333 &amp; " " &amp; G333, MonitorRent!A:A &amp; " " &amp; MonitorRent!B:B, 0)), "")</f>
        <v/>
      </c>
      <c r="R333" s="295"/>
    </row>
    <row r="334">
      <c r="A334" s="284">
        <v>331.0</v>
      </c>
      <c r="B334" s="285" t="s">
        <v>11070</v>
      </c>
      <c r="C334" s="285" t="s">
        <v>10103</v>
      </c>
      <c r="D334" s="286" t="s">
        <v>10407</v>
      </c>
      <c r="E334" s="285" t="s">
        <v>6933</v>
      </c>
      <c r="F334" s="285" t="s">
        <v>11071</v>
      </c>
      <c r="G334" s="285" t="s">
        <v>11072</v>
      </c>
      <c r="H334" s="285" t="s">
        <v>11073</v>
      </c>
      <c r="I334" s="285" t="s">
        <v>11074</v>
      </c>
      <c r="J334" s="285" t="s">
        <v>5012</v>
      </c>
      <c r="K334" s="285" t="s">
        <v>10114</v>
      </c>
      <c r="L334" s="285" t="s">
        <v>10127</v>
      </c>
      <c r="M334" s="285" t="s">
        <v>9391</v>
      </c>
      <c r="N334" s="287" t="str">
        <f>IFERROR(
    IF(
        AND(
            VLOOKUP(B334, 'รายชื่อพนักงานลาออกพ้นสภาพ'!B:I, 8, FALSE)&lt;&gt;"ยกเลิกลาออก",
            VLOOKUP(B334, 'รายชื่อพนักงานลาออกพ้นสภาพ'!B:I, 7, FALSE)&lt;=TODAY()
        ),
        "ลาออกแล้ว",
        ""
    ),
"")</f>
        <v/>
      </c>
      <c r="O334" s="292" t="str">
        <f t="array" ref="O334">IFERROR(INDEX(PCRent!C:D, MATCH(F334 &amp; " " &amp; G334, PCRent!A:A &amp; " " &amp; PCRent!B:B, 0)), "")</f>
        <v/>
      </c>
      <c r="P334" s="293"/>
      <c r="Q334" s="294" t="str">
        <f t="array" ref="Q334">IFERROR(INDEX(MonitorRent!C:D, MATCH(F334 &amp; " " &amp; G334, MonitorRent!A:A &amp; " " &amp; MonitorRent!B:B, 0)), "")</f>
        <v/>
      </c>
      <c r="R334" s="295"/>
    </row>
    <row r="335">
      <c r="A335" s="284">
        <v>332.0</v>
      </c>
      <c r="B335" s="285" t="s">
        <v>279</v>
      </c>
      <c r="C335" s="285" t="s">
        <v>10103</v>
      </c>
      <c r="D335" s="286" t="s">
        <v>11075</v>
      </c>
      <c r="E335" s="285" t="s">
        <v>6933</v>
      </c>
      <c r="F335" s="285" t="s">
        <v>11076</v>
      </c>
      <c r="G335" s="285" t="s">
        <v>11077</v>
      </c>
      <c r="H335" s="285" t="s">
        <v>11076</v>
      </c>
      <c r="I335" s="285" t="s">
        <v>281</v>
      </c>
      <c r="J335" s="285" t="s">
        <v>5012</v>
      </c>
      <c r="K335" s="285" t="s">
        <v>10114</v>
      </c>
      <c r="L335" s="285" t="s">
        <v>832</v>
      </c>
      <c r="M335" s="285" t="s">
        <v>9383</v>
      </c>
      <c r="N335" s="287" t="str">
        <f>IFERROR(
    IF(
        AND(
            VLOOKUP(B335, 'รายชื่อพนักงานลาออกพ้นสภาพ'!B:I, 8, FALSE)&lt;&gt;"ยกเลิกลาออก",
            VLOOKUP(B335, 'รายชื่อพนักงานลาออกพ้นสภาพ'!B:I, 7, FALSE)&lt;=TODAY()
        ),
        "ลาออกแล้ว",
        ""
    ),
"")</f>
        <v>ลาออกแล้ว</v>
      </c>
      <c r="O335" s="292" t="str">
        <f t="array" ref="O335">IFERROR(INDEX(PCRent!C:D, MATCH(F335 &amp; " " &amp; G335, PCRent!A:A &amp; " " &amp; PCRent!B:B, 0)), "")</f>
        <v/>
      </c>
      <c r="P335" s="293"/>
      <c r="Q335" s="294" t="str">
        <f t="array" ref="Q335">IFERROR(INDEX(MonitorRent!C:D, MATCH(F335 &amp; " " &amp; G335, MonitorRent!A:A &amp; " " &amp; MonitorRent!B:B, 0)), "")</f>
        <v/>
      </c>
      <c r="R335" s="295"/>
    </row>
    <row r="336">
      <c r="A336" s="284">
        <v>333.0</v>
      </c>
      <c r="B336" s="285" t="s">
        <v>11078</v>
      </c>
      <c r="C336" s="285" t="s">
        <v>10103</v>
      </c>
      <c r="D336" s="286" t="s">
        <v>11079</v>
      </c>
      <c r="E336" s="285" t="s">
        <v>6933</v>
      </c>
      <c r="F336" s="285" t="s">
        <v>11080</v>
      </c>
      <c r="G336" s="285" t="s">
        <v>11081</v>
      </c>
      <c r="H336" s="285" t="s">
        <v>11082</v>
      </c>
      <c r="I336" s="285" t="s">
        <v>11083</v>
      </c>
      <c r="J336" s="285" t="s">
        <v>5012</v>
      </c>
      <c r="K336" s="285" t="s">
        <v>10114</v>
      </c>
      <c r="L336" s="285" t="s">
        <v>566</v>
      </c>
      <c r="M336" s="285" t="s">
        <v>9391</v>
      </c>
      <c r="N336" s="287" t="str">
        <f>IFERROR(
    IF(
        AND(
            VLOOKUP(B336, 'รายชื่อพนักงานลาออกพ้นสภาพ'!B:I, 8, FALSE)&lt;&gt;"ยกเลิกลาออก",
            VLOOKUP(B336, 'รายชื่อพนักงานลาออกพ้นสภาพ'!B:I, 7, FALSE)&lt;=TODAY()
        ),
        "ลาออกแล้ว",
        ""
    ),
"")</f>
        <v/>
      </c>
      <c r="O336" s="292" t="str">
        <f t="array" ref="O336">IFERROR(INDEX(PCRent!C:D, MATCH(F336 &amp; " " &amp; G336, PCRent!A:A &amp; " " &amp; PCRent!B:B, 0)), "")</f>
        <v/>
      </c>
      <c r="P336" s="293"/>
      <c r="Q336" s="294" t="str">
        <f t="array" ref="Q336">IFERROR(INDEX(MonitorRent!C:D, MATCH(F336 &amp; " " &amp; G336, MonitorRent!A:A &amp; " " &amp; MonitorRent!B:B, 0)), "")</f>
        <v/>
      </c>
      <c r="R336" s="295"/>
    </row>
    <row r="337">
      <c r="A337" s="284">
        <v>334.0</v>
      </c>
      <c r="B337" s="285" t="s">
        <v>11084</v>
      </c>
      <c r="C337" s="285" t="s">
        <v>10103</v>
      </c>
      <c r="D337" s="286" t="s">
        <v>10613</v>
      </c>
      <c r="E337" s="285" t="s">
        <v>6933</v>
      </c>
      <c r="F337" s="285" t="s">
        <v>11085</v>
      </c>
      <c r="G337" s="285" t="s">
        <v>11086</v>
      </c>
      <c r="H337" s="285" t="s">
        <v>11087</v>
      </c>
      <c r="I337" s="285" t="s">
        <v>11088</v>
      </c>
      <c r="J337" s="285" t="s">
        <v>5012</v>
      </c>
      <c r="K337" s="285" t="s">
        <v>10114</v>
      </c>
      <c r="L337" s="285" t="s">
        <v>10127</v>
      </c>
      <c r="M337" s="285" t="s">
        <v>9383</v>
      </c>
      <c r="N337" s="287" t="str">
        <f>IFERROR(
    IF(
        AND(
            VLOOKUP(B337, 'รายชื่อพนักงานลาออกพ้นสภาพ'!B:I, 8, FALSE)&lt;&gt;"ยกเลิกลาออก",
            VLOOKUP(B337, 'รายชื่อพนักงานลาออกพ้นสภาพ'!B:I, 7, FALSE)&lt;=TODAY()
        ),
        "ลาออกแล้ว",
        ""
    ),
"")</f>
        <v/>
      </c>
      <c r="O337" s="292" t="str">
        <f t="array" ref="O337">IFERROR(INDEX(PCRent!C:D, MATCH(F337 &amp; " " &amp; G337, PCRent!A:A &amp; " " &amp; PCRent!B:B, 0)), "")</f>
        <v/>
      </c>
      <c r="P337" s="293"/>
      <c r="Q337" s="294" t="str">
        <f t="array" ref="Q337">IFERROR(INDEX(MonitorRent!C:D, MATCH(F337 &amp; " " &amp; G337, MonitorRent!A:A &amp; " " &amp; MonitorRent!B:B, 0)), "")</f>
        <v/>
      </c>
      <c r="R337" s="295"/>
    </row>
    <row r="338">
      <c r="A338" s="284">
        <v>335.0</v>
      </c>
      <c r="B338" s="285" t="s">
        <v>11089</v>
      </c>
      <c r="C338" s="285" t="s">
        <v>10103</v>
      </c>
      <c r="D338" s="286" t="s">
        <v>10923</v>
      </c>
      <c r="E338" s="285" t="s">
        <v>6921</v>
      </c>
      <c r="F338" s="285" t="s">
        <v>11090</v>
      </c>
      <c r="G338" s="285" t="s">
        <v>11091</v>
      </c>
      <c r="H338" s="285" t="s">
        <v>11092</v>
      </c>
      <c r="I338" s="285" t="s">
        <v>11093</v>
      </c>
      <c r="J338" s="285" t="s">
        <v>5012</v>
      </c>
      <c r="K338" s="285" t="s">
        <v>1606</v>
      </c>
      <c r="L338" s="285" t="s">
        <v>832</v>
      </c>
      <c r="M338" s="285" t="s">
        <v>9391</v>
      </c>
      <c r="N338" s="287" t="str">
        <f>IFERROR(
    IF(
        AND(
            VLOOKUP(B338, 'รายชื่อพนักงานลาออกพ้นสภาพ'!B:I, 8, FALSE)&lt;&gt;"ยกเลิกลาออก",
            VLOOKUP(B338, 'รายชื่อพนักงานลาออกพ้นสภาพ'!B:I, 7, FALSE)&lt;=TODAY()
        ),
        "ลาออกแล้ว",
        ""
    ),
"")</f>
        <v/>
      </c>
      <c r="O338" s="292" t="str">
        <f t="array" ref="O338">IFERROR(INDEX(PCRent!C:D, MATCH(F338 &amp; " " &amp; G338, PCRent!A:A &amp; " " &amp; PCRent!B:B, 0)), "")</f>
        <v/>
      </c>
      <c r="P338" s="293"/>
      <c r="Q338" s="294" t="str">
        <f t="array" ref="Q338">IFERROR(INDEX(MonitorRent!C:D, MATCH(F338 &amp; " " &amp; G338, MonitorRent!A:A &amp; " " &amp; MonitorRent!B:B, 0)), "")</f>
        <v/>
      </c>
      <c r="R338" s="295"/>
    </row>
    <row r="339">
      <c r="A339" s="284">
        <v>336.0</v>
      </c>
      <c r="B339" s="285" t="s">
        <v>439</v>
      </c>
      <c r="C339" s="285" t="s">
        <v>10103</v>
      </c>
      <c r="D339" s="286" t="s">
        <v>10206</v>
      </c>
      <c r="E339" s="285" t="s">
        <v>6921</v>
      </c>
      <c r="F339" s="285" t="s">
        <v>11090</v>
      </c>
      <c r="G339" s="285" t="s">
        <v>11094</v>
      </c>
      <c r="H339" s="285" t="s">
        <v>9659</v>
      </c>
      <c r="I339" s="285" t="s">
        <v>441</v>
      </c>
      <c r="J339" s="285" t="s">
        <v>5012</v>
      </c>
      <c r="K339" s="285" t="s">
        <v>1417</v>
      </c>
      <c r="L339" s="285" t="s">
        <v>10163</v>
      </c>
      <c r="M339" s="285" t="s">
        <v>9391</v>
      </c>
      <c r="N339" s="287" t="str">
        <f>IFERROR(
    IF(
        AND(
            VLOOKUP(B339, 'รายชื่อพนักงานลาออกพ้นสภาพ'!B:I, 8, FALSE)&lt;&gt;"ยกเลิกลาออก",
            VLOOKUP(B339, 'รายชื่อพนักงานลาออกพ้นสภาพ'!B:I, 7, FALSE)&lt;=TODAY()
        ),
        "ลาออกแล้ว",
        ""
    ),
"")</f>
        <v>ลาออกแล้ว</v>
      </c>
      <c r="O339" s="292" t="str">
        <f t="array" ref="O339">IFERROR(INDEX(PCRent!C:D, MATCH(F339 &amp; " " &amp; G339, PCRent!A:A &amp; " " &amp; PCRent!B:B, 0)), "")</f>
        <v/>
      </c>
      <c r="P339" s="293"/>
      <c r="Q339" s="294" t="str">
        <f t="array" ref="Q339">IFERROR(INDEX(MonitorRent!C:D, MATCH(F339 &amp; " " &amp; G339, MonitorRent!A:A &amp; " " &amp; MonitorRent!B:B, 0)), "")</f>
        <v/>
      </c>
      <c r="R339" s="295"/>
    </row>
    <row r="340">
      <c r="A340" s="284">
        <v>337.0</v>
      </c>
      <c r="B340" s="285" t="s">
        <v>11095</v>
      </c>
      <c r="C340" s="285" t="s">
        <v>10103</v>
      </c>
      <c r="D340" s="286" t="s">
        <v>10631</v>
      </c>
      <c r="E340" s="285" t="s">
        <v>6921</v>
      </c>
      <c r="F340" s="285" t="s">
        <v>11096</v>
      </c>
      <c r="G340" s="285" t="s">
        <v>10775</v>
      </c>
      <c r="H340" s="285" t="s">
        <v>10145</v>
      </c>
      <c r="I340" s="285" t="s">
        <v>11097</v>
      </c>
      <c r="J340" s="285" t="s">
        <v>5224</v>
      </c>
      <c r="K340" s="285" t="s">
        <v>4749</v>
      </c>
      <c r="L340" s="285" t="s">
        <v>5805</v>
      </c>
      <c r="M340" s="285" t="s">
        <v>9383</v>
      </c>
      <c r="N340" s="287" t="str">
        <f>IFERROR(
    IF(
        AND(
            VLOOKUP(B340, 'รายชื่อพนักงานลาออกพ้นสภาพ'!B:I, 8, FALSE)&lt;&gt;"ยกเลิกลาออก",
            VLOOKUP(B340, 'รายชื่อพนักงานลาออกพ้นสภาพ'!B:I, 7, FALSE)&lt;=TODAY()
        ),
        "ลาออกแล้ว",
        ""
    ),
"")</f>
        <v/>
      </c>
      <c r="O340" s="292" t="str">
        <f t="array" ref="O340">IFERROR(INDEX(PCRent!C:D, MATCH(F340 &amp; " " &amp; G340, PCRent!A:A &amp; " " &amp; PCRent!B:B, 0)), "")</f>
        <v/>
      </c>
      <c r="P340" s="293"/>
      <c r="Q340" s="294" t="str">
        <f t="array" ref="Q340">IFERROR(INDEX(MonitorRent!C:D, MATCH(F340 &amp; " " &amp; G340, MonitorRent!A:A &amp; " " &amp; MonitorRent!B:B, 0)), "")</f>
        <v/>
      </c>
      <c r="R340" s="295"/>
    </row>
    <row r="341">
      <c r="A341" s="284">
        <v>338.0</v>
      </c>
      <c r="B341" s="285" t="s">
        <v>11098</v>
      </c>
      <c r="C341" s="285" t="s">
        <v>10103</v>
      </c>
      <c r="D341" s="286" t="s">
        <v>9718</v>
      </c>
      <c r="E341" s="285" t="s">
        <v>6921</v>
      </c>
      <c r="F341" s="285" t="s">
        <v>11099</v>
      </c>
      <c r="G341" s="285" t="s">
        <v>11100</v>
      </c>
      <c r="H341" s="285" t="s">
        <v>11101</v>
      </c>
      <c r="I341" s="285" t="s">
        <v>11102</v>
      </c>
      <c r="J341" s="285" t="s">
        <v>5012</v>
      </c>
      <c r="K341" s="285" t="s">
        <v>1606</v>
      </c>
      <c r="L341" s="285" t="s">
        <v>832</v>
      </c>
      <c r="M341" s="285" t="s">
        <v>9391</v>
      </c>
      <c r="N341" s="287" t="str">
        <f>IFERROR(
    IF(
        AND(
            VLOOKUP(B341, 'รายชื่อพนักงานลาออกพ้นสภาพ'!B:I, 8, FALSE)&lt;&gt;"ยกเลิกลาออก",
            VLOOKUP(B341, 'รายชื่อพนักงานลาออกพ้นสภาพ'!B:I, 7, FALSE)&lt;=TODAY()
        ),
        "ลาออกแล้ว",
        ""
    ),
"")</f>
        <v/>
      </c>
      <c r="O341" s="292" t="str">
        <f t="array" ref="O341">IFERROR(INDEX(PCRent!C:D, MATCH(F341 &amp; " " &amp; G341, PCRent!A:A &amp; " " &amp; PCRent!B:B, 0)), "")</f>
        <v/>
      </c>
      <c r="P341" s="293"/>
      <c r="Q341" s="294" t="str">
        <f t="array" ref="Q341">IFERROR(INDEX(MonitorRent!C:D, MATCH(F341 &amp; " " &amp; G341, MonitorRent!A:A &amp; " " &amp; MonitorRent!B:B, 0)), "")</f>
        <v/>
      </c>
      <c r="R341" s="295"/>
    </row>
    <row r="342">
      <c r="A342" s="284">
        <v>339.0</v>
      </c>
      <c r="B342" s="285" t="s">
        <v>11103</v>
      </c>
      <c r="C342" s="285" t="s">
        <v>10103</v>
      </c>
      <c r="D342" s="286" t="s">
        <v>11104</v>
      </c>
      <c r="E342" s="285" t="s">
        <v>6921</v>
      </c>
      <c r="F342" s="285" t="s">
        <v>11105</v>
      </c>
      <c r="G342" s="285" t="s">
        <v>11106</v>
      </c>
      <c r="H342" s="285" t="s">
        <v>11107</v>
      </c>
      <c r="I342" s="285" t="s">
        <v>11108</v>
      </c>
      <c r="J342" s="285" t="s">
        <v>5012</v>
      </c>
      <c r="K342" s="285" t="s">
        <v>1606</v>
      </c>
      <c r="L342" s="285" t="s">
        <v>10127</v>
      </c>
      <c r="M342" s="285" t="s">
        <v>9383</v>
      </c>
      <c r="N342" s="287" t="str">
        <f>IFERROR(
    IF(
        AND(
            VLOOKUP(B342, 'รายชื่อพนักงานลาออกพ้นสภาพ'!B:I, 8, FALSE)&lt;&gt;"ยกเลิกลาออก",
            VLOOKUP(B342, 'รายชื่อพนักงานลาออกพ้นสภาพ'!B:I, 7, FALSE)&lt;=TODAY()
        ),
        "ลาออกแล้ว",
        ""
    ),
"")</f>
        <v/>
      </c>
      <c r="O342" s="292" t="str">
        <f t="array" ref="O342">IFERROR(INDEX(PCRent!C:D, MATCH(F342 &amp; " " &amp; G342, PCRent!A:A &amp; " " &amp; PCRent!B:B, 0)), "")</f>
        <v/>
      </c>
      <c r="P342" s="293"/>
      <c r="Q342" s="294" t="str">
        <f t="array" ref="Q342">IFERROR(INDEX(MonitorRent!C:D, MATCH(F342 &amp; " " &amp; G342, MonitorRent!A:A &amp; " " &amp; MonitorRent!B:B, 0)), "")</f>
        <v/>
      </c>
      <c r="R342" s="295"/>
    </row>
    <row r="343">
      <c r="A343" s="284">
        <v>340.0</v>
      </c>
      <c r="B343" s="285" t="s">
        <v>11109</v>
      </c>
      <c r="C343" s="285" t="s">
        <v>10103</v>
      </c>
      <c r="D343" s="286" t="s">
        <v>11110</v>
      </c>
      <c r="E343" s="285" t="s">
        <v>6933</v>
      </c>
      <c r="F343" s="285" t="s">
        <v>11111</v>
      </c>
      <c r="G343" s="285" t="s">
        <v>11112</v>
      </c>
      <c r="H343" s="285" t="s">
        <v>11113</v>
      </c>
      <c r="I343" s="285" t="s">
        <v>11114</v>
      </c>
      <c r="J343" s="285" t="s">
        <v>5012</v>
      </c>
      <c r="K343" s="285" t="s">
        <v>10114</v>
      </c>
      <c r="L343" s="285" t="s">
        <v>10127</v>
      </c>
      <c r="M343" s="285" t="s">
        <v>9391</v>
      </c>
      <c r="N343" s="287" t="str">
        <f>IFERROR(
    IF(
        AND(
            VLOOKUP(B343, 'รายชื่อพนักงานลาออกพ้นสภาพ'!B:I, 8, FALSE)&lt;&gt;"ยกเลิกลาออก",
            VLOOKUP(B343, 'รายชื่อพนักงานลาออกพ้นสภาพ'!B:I, 7, FALSE)&lt;=TODAY()
        ),
        "ลาออกแล้ว",
        ""
    ),
"")</f>
        <v/>
      </c>
      <c r="O343" s="292" t="str">
        <f t="array" ref="O343">IFERROR(INDEX(PCRent!C:D, MATCH(F343 &amp; " " &amp; G343, PCRent!A:A &amp; " " &amp; PCRent!B:B, 0)), "")</f>
        <v/>
      </c>
      <c r="P343" s="293"/>
      <c r="Q343" s="294" t="str">
        <f t="array" ref="Q343">IFERROR(INDEX(MonitorRent!C:D, MATCH(F343 &amp; " " &amp; G343, MonitorRent!A:A &amp; " " &amp; MonitorRent!B:B, 0)), "")</f>
        <v/>
      </c>
      <c r="R343" s="295"/>
    </row>
    <row r="344">
      <c r="A344" s="284">
        <v>341.0</v>
      </c>
      <c r="B344" s="285" t="s">
        <v>11115</v>
      </c>
      <c r="C344" s="285" t="s">
        <v>10103</v>
      </c>
      <c r="D344" s="286" t="s">
        <v>10138</v>
      </c>
      <c r="E344" s="285" t="s">
        <v>6933</v>
      </c>
      <c r="F344" s="285" t="s">
        <v>11116</v>
      </c>
      <c r="G344" s="285" t="s">
        <v>11117</v>
      </c>
      <c r="H344" s="285" t="s">
        <v>11118</v>
      </c>
      <c r="I344" s="285" t="s">
        <v>11119</v>
      </c>
      <c r="J344" s="285" t="s">
        <v>5012</v>
      </c>
      <c r="K344" s="285" t="s">
        <v>10114</v>
      </c>
      <c r="L344" s="285" t="s">
        <v>10127</v>
      </c>
      <c r="M344" s="285" t="s">
        <v>9383</v>
      </c>
      <c r="N344" s="287" t="str">
        <f>IFERROR(
    IF(
        AND(
            VLOOKUP(B344, 'รายชื่อพนักงานลาออกพ้นสภาพ'!B:I, 8, FALSE)&lt;&gt;"ยกเลิกลาออก",
            VLOOKUP(B344, 'รายชื่อพนักงานลาออกพ้นสภาพ'!B:I, 7, FALSE)&lt;=TODAY()
        ),
        "ลาออกแล้ว",
        ""
    ),
"")</f>
        <v/>
      </c>
      <c r="O344" s="292" t="str">
        <f t="array" ref="O344">IFERROR(INDEX(PCRent!C:D, MATCH(F344 &amp; " " &amp; G344, PCRent!A:A &amp; " " &amp; PCRent!B:B, 0)), "")</f>
        <v/>
      </c>
      <c r="P344" s="293"/>
      <c r="Q344" s="294" t="str">
        <f t="array" ref="Q344">IFERROR(INDEX(MonitorRent!C:D, MATCH(F344 &amp; " " &amp; G344, MonitorRent!A:A &amp; " " &amp; MonitorRent!B:B, 0)), "")</f>
        <v/>
      </c>
      <c r="R344" s="295"/>
    </row>
    <row r="345">
      <c r="A345" s="284">
        <v>342.0</v>
      </c>
      <c r="B345" s="285" t="s">
        <v>11120</v>
      </c>
      <c r="C345" s="285" t="s">
        <v>10103</v>
      </c>
      <c r="D345" s="286" t="s">
        <v>11121</v>
      </c>
      <c r="E345" s="285" t="s">
        <v>6933</v>
      </c>
      <c r="F345" s="285" t="s">
        <v>11122</v>
      </c>
      <c r="G345" s="285" t="s">
        <v>11123</v>
      </c>
      <c r="H345" s="285" t="s">
        <v>10761</v>
      </c>
      <c r="I345" s="285" t="s">
        <v>11124</v>
      </c>
      <c r="J345" s="285" t="s">
        <v>5012</v>
      </c>
      <c r="K345" s="285" t="s">
        <v>10114</v>
      </c>
      <c r="L345" s="285" t="s">
        <v>832</v>
      </c>
      <c r="M345" s="285" t="s">
        <v>9391</v>
      </c>
      <c r="N345" s="287" t="str">
        <f>IFERROR(
    IF(
        AND(
            VLOOKUP(B345, 'รายชื่อพนักงานลาออกพ้นสภาพ'!B:I, 8, FALSE)&lt;&gt;"ยกเลิกลาออก",
            VLOOKUP(B345, 'รายชื่อพนักงานลาออกพ้นสภาพ'!B:I, 7, FALSE)&lt;=TODAY()
        ),
        "ลาออกแล้ว",
        ""
    ),
"")</f>
        <v/>
      </c>
      <c r="O345" s="292" t="str">
        <f t="array" ref="O345">IFERROR(INDEX(PCRent!C:D, MATCH(F345 &amp; " " &amp; G345, PCRent!A:A &amp; " " &amp; PCRent!B:B, 0)), "")</f>
        <v/>
      </c>
      <c r="P345" s="293"/>
      <c r="Q345" s="294" t="str">
        <f t="array" ref="Q345">IFERROR(INDEX(MonitorRent!C:D, MATCH(F345 &amp; " " &amp; G345, MonitorRent!A:A &amp; " " &amp; MonitorRent!B:B, 0)), "")</f>
        <v/>
      </c>
      <c r="R345" s="295"/>
    </row>
    <row r="346">
      <c r="A346" s="284">
        <v>343.0</v>
      </c>
      <c r="B346" s="285" t="s">
        <v>4063</v>
      </c>
      <c r="C346" s="285" t="s">
        <v>10103</v>
      </c>
      <c r="D346" s="286" t="s">
        <v>11125</v>
      </c>
      <c r="E346" s="285" t="s">
        <v>6933</v>
      </c>
      <c r="F346" s="285" t="s">
        <v>11126</v>
      </c>
      <c r="G346" s="285" t="s">
        <v>11127</v>
      </c>
      <c r="H346" s="285" t="s">
        <v>10244</v>
      </c>
      <c r="I346" s="285" t="s">
        <v>6751</v>
      </c>
      <c r="J346" s="285" t="s">
        <v>5012</v>
      </c>
      <c r="K346" s="285" t="s">
        <v>5638</v>
      </c>
      <c r="L346" s="285" t="s">
        <v>10127</v>
      </c>
      <c r="M346" s="285" t="s">
        <v>9383</v>
      </c>
      <c r="N346" s="287" t="str">
        <f>IFERROR(
    IF(
        AND(
            VLOOKUP(B346, 'รายชื่อพนักงานลาออกพ้นสภาพ'!B:I, 8, FALSE)&lt;&gt;"ยกเลิกลาออก",
            VLOOKUP(B346, 'รายชื่อพนักงานลาออกพ้นสภาพ'!B:I, 7, FALSE)&lt;=TODAY()
        ),
        "ลาออกแล้ว",
        ""
    ),
"")</f>
        <v/>
      </c>
      <c r="O346" s="292" t="str">
        <f t="array" ref="O346">IFERROR(INDEX(PCRent!C:D, MATCH(F346 &amp; " " &amp; G346, PCRent!A:A &amp; " " &amp; PCRent!B:B, 0)), "")</f>
        <v/>
      </c>
      <c r="P346" s="293"/>
      <c r="Q346" s="294" t="str">
        <f t="array" ref="Q346">IFERROR(INDEX(MonitorRent!C:D, MATCH(F346 &amp; " " &amp; G346, MonitorRent!A:A &amp; " " &amp; MonitorRent!B:B, 0)), "")</f>
        <v/>
      </c>
      <c r="R346" s="295"/>
    </row>
    <row r="347">
      <c r="A347" s="284">
        <v>344.0</v>
      </c>
      <c r="B347" s="285" t="s">
        <v>11128</v>
      </c>
      <c r="C347" s="285" t="s">
        <v>10103</v>
      </c>
      <c r="D347" s="286" t="s">
        <v>11129</v>
      </c>
      <c r="E347" s="285" t="s">
        <v>6933</v>
      </c>
      <c r="F347" s="285" t="s">
        <v>9674</v>
      </c>
      <c r="G347" s="285" t="s">
        <v>11130</v>
      </c>
      <c r="H347" s="285" t="s">
        <v>10963</v>
      </c>
      <c r="I347" s="285" t="s">
        <v>11131</v>
      </c>
      <c r="J347" s="285" t="s">
        <v>5012</v>
      </c>
      <c r="K347" s="285" t="s">
        <v>5638</v>
      </c>
      <c r="L347" s="285" t="s">
        <v>832</v>
      </c>
      <c r="M347" s="285" t="s">
        <v>9383</v>
      </c>
      <c r="N347" s="287" t="str">
        <f>IFERROR(
    IF(
        AND(
            VLOOKUP(B347, 'รายชื่อพนักงานลาออกพ้นสภาพ'!B:I, 8, FALSE)&lt;&gt;"ยกเลิกลาออก",
            VLOOKUP(B347, 'รายชื่อพนักงานลาออกพ้นสภาพ'!B:I, 7, FALSE)&lt;=TODAY()
        ),
        "ลาออกแล้ว",
        ""
    ),
"")</f>
        <v/>
      </c>
      <c r="O347" s="292" t="str">
        <f t="array" ref="O347">IFERROR(INDEX(PCRent!C:D, MATCH(F347 &amp; " " &amp; G347, PCRent!A:A &amp; " " &amp; PCRent!B:B, 0)), "")</f>
        <v/>
      </c>
      <c r="P347" s="293"/>
      <c r="Q347" s="294" t="str">
        <f t="array" ref="Q347">IFERROR(INDEX(MonitorRent!C:D, MATCH(F347 &amp; " " &amp; G347, MonitorRent!A:A &amp; " " &amp; MonitorRent!B:B, 0)), "")</f>
        <v/>
      </c>
      <c r="R347" s="295"/>
    </row>
    <row r="348">
      <c r="A348" s="284">
        <v>345.0</v>
      </c>
      <c r="B348" s="285" t="s">
        <v>11132</v>
      </c>
      <c r="C348" s="285" t="s">
        <v>10103</v>
      </c>
      <c r="D348" s="286" t="s">
        <v>10090</v>
      </c>
      <c r="E348" s="285" t="s">
        <v>6933</v>
      </c>
      <c r="F348" s="285" t="s">
        <v>11133</v>
      </c>
      <c r="G348" s="285" t="s">
        <v>11134</v>
      </c>
      <c r="H348" s="285" t="s">
        <v>10483</v>
      </c>
      <c r="I348" s="285" t="s">
        <v>11135</v>
      </c>
      <c r="J348" s="285" t="s">
        <v>5012</v>
      </c>
      <c r="K348" s="285" t="s">
        <v>10114</v>
      </c>
      <c r="L348" s="285" t="s">
        <v>10127</v>
      </c>
      <c r="M348" s="285" t="s">
        <v>9391</v>
      </c>
      <c r="N348" s="287" t="str">
        <f>IFERROR(
    IF(
        AND(
            VLOOKUP(B348, 'รายชื่อพนักงานลาออกพ้นสภาพ'!B:I, 8, FALSE)&lt;&gt;"ยกเลิกลาออก",
            VLOOKUP(B348, 'รายชื่อพนักงานลาออกพ้นสภาพ'!B:I, 7, FALSE)&lt;=TODAY()
        ),
        "ลาออกแล้ว",
        ""
    ),
"")</f>
        <v/>
      </c>
      <c r="O348" s="292" t="str">
        <f t="array" ref="O348">IFERROR(INDEX(PCRent!C:D, MATCH(F348 &amp; " " &amp; G348, PCRent!A:A &amp; " " &amp; PCRent!B:B, 0)), "")</f>
        <v/>
      </c>
      <c r="P348" s="293"/>
      <c r="Q348" s="294" t="str">
        <f t="array" ref="Q348">IFERROR(INDEX(MonitorRent!C:D, MATCH(F348 &amp; " " &amp; G348, MonitorRent!A:A &amp; " " &amp; MonitorRent!B:B, 0)), "")</f>
        <v/>
      </c>
      <c r="R348" s="295"/>
    </row>
    <row r="349">
      <c r="A349" s="284">
        <v>346.0</v>
      </c>
      <c r="B349" s="285" t="s">
        <v>5033</v>
      </c>
      <c r="C349" s="285" t="s">
        <v>10103</v>
      </c>
      <c r="D349" s="286" t="s">
        <v>10012</v>
      </c>
      <c r="E349" s="285" t="s">
        <v>6933</v>
      </c>
      <c r="F349" s="285" t="s">
        <v>11136</v>
      </c>
      <c r="G349" s="285" t="s">
        <v>11137</v>
      </c>
      <c r="H349" s="285" t="s">
        <v>11138</v>
      </c>
      <c r="I349" s="285" t="s">
        <v>5034</v>
      </c>
      <c r="J349" s="285" t="s">
        <v>5012</v>
      </c>
      <c r="K349" s="285" t="s">
        <v>10114</v>
      </c>
      <c r="L349" s="285" t="s">
        <v>832</v>
      </c>
      <c r="M349" s="285" t="s">
        <v>9383</v>
      </c>
      <c r="N349" s="287" t="str">
        <f>IFERROR(
    IF(
        AND(
            VLOOKUP(B349, 'รายชื่อพนักงานลาออกพ้นสภาพ'!B:I, 8, FALSE)&lt;&gt;"ยกเลิกลาออก",
            VLOOKUP(B349, 'รายชื่อพนักงานลาออกพ้นสภาพ'!B:I, 7, FALSE)&lt;=TODAY()
        ),
        "ลาออกแล้ว",
        ""
    ),
"")</f>
        <v/>
      </c>
      <c r="O349" s="292" t="str">
        <f t="array" ref="O349">IFERROR(INDEX(PCRent!C:D, MATCH(F349 &amp; " " &amp; G349, PCRent!A:A &amp; " " &amp; PCRent!B:B, 0)), "")</f>
        <v/>
      </c>
      <c r="P349" s="293"/>
      <c r="Q349" s="294" t="str">
        <f t="array" ref="Q349">IFERROR(INDEX(MonitorRent!C:D, MATCH(F349 &amp; " " &amp; G349, MonitorRent!A:A &amp; " " &amp; MonitorRent!B:B, 0)), "")</f>
        <v/>
      </c>
      <c r="R349" s="295"/>
    </row>
    <row r="350">
      <c r="A350" s="284">
        <v>347.0</v>
      </c>
      <c r="B350" s="285" t="s">
        <v>11139</v>
      </c>
      <c r="C350" s="285" t="s">
        <v>10103</v>
      </c>
      <c r="D350" s="286" t="s">
        <v>11140</v>
      </c>
      <c r="E350" s="285" t="s">
        <v>6921</v>
      </c>
      <c r="F350" s="285" t="s">
        <v>11141</v>
      </c>
      <c r="G350" s="285" t="s">
        <v>11142</v>
      </c>
      <c r="H350" s="285" t="s">
        <v>9566</v>
      </c>
      <c r="I350" s="285" t="s">
        <v>11143</v>
      </c>
      <c r="J350" s="285" t="s">
        <v>5224</v>
      </c>
      <c r="K350" s="285" t="s">
        <v>9649</v>
      </c>
      <c r="L350" s="285" t="s">
        <v>10538</v>
      </c>
      <c r="M350" s="285" t="s">
        <v>9391</v>
      </c>
      <c r="N350" s="287" t="str">
        <f>IFERROR(
    IF(
        AND(
            VLOOKUP(B350, 'รายชื่อพนักงานลาออกพ้นสภาพ'!B:I, 8, FALSE)&lt;&gt;"ยกเลิกลาออก",
            VLOOKUP(B350, 'รายชื่อพนักงานลาออกพ้นสภาพ'!B:I, 7, FALSE)&lt;=TODAY()
        ),
        "ลาออกแล้ว",
        ""
    ),
"")</f>
        <v/>
      </c>
      <c r="O350" s="292" t="str">
        <f t="array" ref="O350">IFERROR(INDEX(PCRent!C:D, MATCH(F350 &amp; " " &amp; G350, PCRent!A:A &amp; " " &amp; PCRent!B:B, 0)), "")</f>
        <v/>
      </c>
      <c r="P350" s="293"/>
      <c r="Q350" s="294" t="str">
        <f t="array" ref="Q350">IFERROR(INDEX(MonitorRent!C:D, MATCH(F350 &amp; " " &amp; G350, MonitorRent!A:A &amp; " " &amp; MonitorRent!B:B, 0)), "")</f>
        <v/>
      </c>
      <c r="R350" s="295"/>
    </row>
    <row r="351">
      <c r="A351" s="284">
        <v>348.0</v>
      </c>
      <c r="B351" s="285" t="s">
        <v>11144</v>
      </c>
      <c r="C351" s="285" t="s">
        <v>10103</v>
      </c>
      <c r="D351" s="286" t="s">
        <v>9829</v>
      </c>
      <c r="E351" s="285" t="s">
        <v>6921</v>
      </c>
      <c r="F351" s="285" t="s">
        <v>11145</v>
      </c>
      <c r="G351" s="285" t="s">
        <v>11146</v>
      </c>
      <c r="H351" s="285" t="s">
        <v>11147</v>
      </c>
      <c r="I351" s="285" t="s">
        <v>11148</v>
      </c>
      <c r="J351" s="285" t="s">
        <v>5012</v>
      </c>
      <c r="K351" s="285" t="s">
        <v>1606</v>
      </c>
      <c r="L351" s="285" t="s">
        <v>10127</v>
      </c>
      <c r="M351" s="285" t="s">
        <v>9391</v>
      </c>
      <c r="N351" s="287" t="str">
        <f>IFERROR(
    IF(
        AND(
            VLOOKUP(B351, 'รายชื่อพนักงานลาออกพ้นสภาพ'!B:I, 8, FALSE)&lt;&gt;"ยกเลิกลาออก",
            VLOOKUP(B351, 'รายชื่อพนักงานลาออกพ้นสภาพ'!B:I, 7, FALSE)&lt;=TODAY()
        ),
        "ลาออกแล้ว",
        ""
    ),
"")</f>
        <v/>
      </c>
      <c r="O351" s="292" t="str">
        <f t="array" ref="O351">IFERROR(INDEX(PCRent!C:D, MATCH(F351 &amp; " " &amp; G351, PCRent!A:A &amp; " " &amp; PCRent!B:B, 0)), "")</f>
        <v/>
      </c>
      <c r="P351" s="293"/>
      <c r="Q351" s="294" t="str">
        <f t="array" ref="Q351">IFERROR(INDEX(MonitorRent!C:D, MATCH(F351 &amp; " " &amp; G351, MonitorRent!A:A &amp; " " &amp; MonitorRent!B:B, 0)), "")</f>
        <v/>
      </c>
      <c r="R351" s="295"/>
    </row>
    <row r="352">
      <c r="A352" s="284">
        <v>349.0</v>
      </c>
      <c r="B352" s="285" t="s">
        <v>176</v>
      </c>
      <c r="C352" s="285" t="s">
        <v>10103</v>
      </c>
      <c r="D352" s="286" t="s">
        <v>11149</v>
      </c>
      <c r="E352" s="285" t="s">
        <v>6921</v>
      </c>
      <c r="F352" s="285" t="s">
        <v>11145</v>
      </c>
      <c r="G352" s="285" t="s">
        <v>11150</v>
      </c>
      <c r="H352" s="285" t="s">
        <v>11151</v>
      </c>
      <c r="I352" s="285" t="s">
        <v>179</v>
      </c>
      <c r="J352" s="285" t="s">
        <v>5012</v>
      </c>
      <c r="K352" s="285" t="s">
        <v>1417</v>
      </c>
      <c r="L352" s="285" t="s">
        <v>10127</v>
      </c>
      <c r="M352" s="285" t="s">
        <v>9383</v>
      </c>
      <c r="N352" s="287" t="str">
        <f>IFERROR(
    IF(
        AND(
            VLOOKUP(B352, 'รายชื่อพนักงานลาออกพ้นสภาพ'!B:I, 8, FALSE)&lt;&gt;"ยกเลิกลาออก",
            VLOOKUP(B352, 'รายชื่อพนักงานลาออกพ้นสภาพ'!B:I, 7, FALSE)&lt;=TODAY()
        ),
        "ลาออกแล้ว",
        ""
    ),
"")</f>
        <v/>
      </c>
      <c r="O352" s="292" t="str">
        <f t="array" ref="O352">IFERROR(INDEX(PCRent!C:D, MATCH(F352 &amp; " " &amp; G352, PCRent!A:A &amp; " " &amp; PCRent!B:B, 0)), "")</f>
        <v/>
      </c>
      <c r="P352" s="293"/>
      <c r="Q352" s="294" t="str">
        <f t="array" ref="Q352">IFERROR(INDEX(MonitorRent!C:D, MATCH(F352 &amp; " " &amp; G352, MonitorRent!A:A &amp; " " &amp; MonitorRent!B:B, 0)), "")</f>
        <v/>
      </c>
      <c r="R352" s="295"/>
    </row>
    <row r="353">
      <c r="A353" s="284">
        <v>350.0</v>
      </c>
      <c r="B353" s="285" t="s">
        <v>11152</v>
      </c>
      <c r="C353" s="285" t="s">
        <v>10103</v>
      </c>
      <c r="D353" s="286" t="s">
        <v>10354</v>
      </c>
      <c r="E353" s="285" t="s">
        <v>6921</v>
      </c>
      <c r="F353" s="285" t="s">
        <v>11153</v>
      </c>
      <c r="G353" s="285" t="s">
        <v>11154</v>
      </c>
      <c r="H353" s="285" t="s">
        <v>11155</v>
      </c>
      <c r="I353" s="285" t="s">
        <v>11156</v>
      </c>
      <c r="J353" s="285" t="s">
        <v>5012</v>
      </c>
      <c r="K353" s="285" t="s">
        <v>1606</v>
      </c>
      <c r="L353" s="285" t="s">
        <v>10127</v>
      </c>
      <c r="M353" s="285" t="s">
        <v>9383</v>
      </c>
      <c r="N353" s="287" t="str">
        <f>IFERROR(
    IF(
        AND(
            VLOOKUP(B353, 'รายชื่อพนักงานลาออกพ้นสภาพ'!B:I, 8, FALSE)&lt;&gt;"ยกเลิกลาออก",
            VLOOKUP(B353, 'รายชื่อพนักงานลาออกพ้นสภาพ'!B:I, 7, FALSE)&lt;=TODAY()
        ),
        "ลาออกแล้ว",
        ""
    ),
"")</f>
        <v/>
      </c>
      <c r="O353" s="292" t="str">
        <f t="array" ref="O353">IFERROR(INDEX(PCRent!C:D, MATCH(F353 &amp; " " &amp; G353, PCRent!A:A &amp; " " &amp; PCRent!B:B, 0)), "")</f>
        <v/>
      </c>
      <c r="P353" s="293"/>
      <c r="Q353" s="294" t="str">
        <f t="array" ref="Q353">IFERROR(INDEX(MonitorRent!C:D, MATCH(F353 &amp; " " &amp; G353, MonitorRent!A:A &amp; " " &amp; MonitorRent!B:B, 0)), "")</f>
        <v/>
      </c>
      <c r="R353" s="295"/>
    </row>
    <row r="354">
      <c r="A354" s="284">
        <v>351.0</v>
      </c>
      <c r="B354" s="285" t="s">
        <v>11157</v>
      </c>
      <c r="C354" s="285" t="s">
        <v>10103</v>
      </c>
      <c r="D354" s="286" t="s">
        <v>10863</v>
      </c>
      <c r="E354" s="285" t="s">
        <v>6921</v>
      </c>
      <c r="F354" s="285" t="s">
        <v>11158</v>
      </c>
      <c r="G354" s="285" t="s">
        <v>11159</v>
      </c>
      <c r="H354" s="285" t="s">
        <v>10183</v>
      </c>
      <c r="I354" s="285" t="s">
        <v>11160</v>
      </c>
      <c r="J354" s="285" t="s">
        <v>5012</v>
      </c>
      <c r="K354" s="285" t="s">
        <v>1606</v>
      </c>
      <c r="L354" s="285" t="s">
        <v>10127</v>
      </c>
      <c r="M354" s="285" t="s">
        <v>9391</v>
      </c>
      <c r="N354" s="287" t="str">
        <f>IFERROR(
    IF(
        AND(
            VLOOKUP(B354, 'รายชื่อพนักงานลาออกพ้นสภาพ'!B:I, 8, FALSE)&lt;&gt;"ยกเลิกลาออก",
            VLOOKUP(B354, 'รายชื่อพนักงานลาออกพ้นสภาพ'!B:I, 7, FALSE)&lt;=TODAY()
        ),
        "ลาออกแล้ว",
        ""
    ),
"")</f>
        <v/>
      </c>
      <c r="O354" s="292" t="str">
        <f t="array" ref="O354">IFERROR(INDEX(PCRent!C:D, MATCH(F354 &amp; " " &amp; G354, PCRent!A:A &amp; " " &amp; PCRent!B:B, 0)), "")</f>
        <v/>
      </c>
      <c r="P354" s="293"/>
      <c r="Q354" s="294" t="str">
        <f t="array" ref="Q354">IFERROR(INDEX(MonitorRent!C:D, MATCH(F354 &amp; " " &amp; G354, MonitorRent!A:A &amp; " " &amp; MonitorRent!B:B, 0)), "")</f>
        <v/>
      </c>
      <c r="R354" s="295"/>
    </row>
    <row r="355">
      <c r="A355" s="284">
        <v>352.0</v>
      </c>
      <c r="B355" s="285" t="s">
        <v>1042</v>
      </c>
      <c r="C355" s="285" t="s">
        <v>10103</v>
      </c>
      <c r="D355" s="286" t="s">
        <v>11161</v>
      </c>
      <c r="E355" s="285" t="s">
        <v>6921</v>
      </c>
      <c r="F355" s="285" t="s">
        <v>11162</v>
      </c>
      <c r="G355" s="285" t="s">
        <v>11163</v>
      </c>
      <c r="H355" s="285" t="s">
        <v>11164</v>
      </c>
      <c r="I355" s="285" t="s">
        <v>1044</v>
      </c>
      <c r="J355" s="285" t="s">
        <v>5012</v>
      </c>
      <c r="K355" s="285" t="s">
        <v>1417</v>
      </c>
      <c r="L355" s="285" t="s">
        <v>10127</v>
      </c>
      <c r="M355" s="285" t="s">
        <v>9383</v>
      </c>
      <c r="N355" s="287" t="str">
        <f>IFERROR(
    IF(
        AND(
            VLOOKUP(B355, 'รายชื่อพนักงานลาออกพ้นสภาพ'!B:I, 8, FALSE)&lt;&gt;"ยกเลิกลาออก",
            VLOOKUP(B355, 'รายชื่อพนักงานลาออกพ้นสภาพ'!B:I, 7, FALSE)&lt;=TODAY()
        ),
        "ลาออกแล้ว",
        ""
    ),
"")</f>
        <v/>
      </c>
      <c r="O355" s="292" t="str">
        <f t="array" ref="O355">IFERROR(INDEX(PCRent!C:D, MATCH(F355 &amp; " " &amp; G355, PCRent!A:A &amp; " " &amp; PCRent!B:B, 0)), "")</f>
        <v/>
      </c>
      <c r="P355" s="293"/>
      <c r="Q355" s="294" t="str">
        <f t="array" ref="Q355">IFERROR(INDEX(MonitorRent!C:D, MATCH(F355 &amp; " " &amp; G355, MonitorRent!A:A &amp; " " &amp; MonitorRent!B:B, 0)), "")</f>
        <v/>
      </c>
      <c r="R355" s="295"/>
    </row>
    <row r="356">
      <c r="A356" s="284">
        <v>353.0</v>
      </c>
      <c r="B356" s="285" t="s">
        <v>11165</v>
      </c>
      <c r="C356" s="285" t="s">
        <v>10103</v>
      </c>
      <c r="D356" s="286" t="s">
        <v>10608</v>
      </c>
      <c r="E356" s="285" t="s">
        <v>6921</v>
      </c>
      <c r="F356" s="285" t="s">
        <v>11162</v>
      </c>
      <c r="G356" s="285" t="s">
        <v>11166</v>
      </c>
      <c r="H356" s="285" t="s">
        <v>11167</v>
      </c>
      <c r="I356" s="285" t="s">
        <v>11168</v>
      </c>
      <c r="J356" s="285" t="s">
        <v>5224</v>
      </c>
      <c r="K356" s="285" t="s">
        <v>10028</v>
      </c>
      <c r="L356" s="285" t="s">
        <v>54</v>
      </c>
      <c r="M356" s="285" t="s">
        <v>9383</v>
      </c>
      <c r="N356" s="287" t="str">
        <f>IFERROR(
    IF(
        AND(
            VLOOKUP(B356, 'รายชื่อพนักงานลาออกพ้นสภาพ'!B:I, 8, FALSE)&lt;&gt;"ยกเลิกลาออก",
            VLOOKUP(B356, 'รายชื่อพนักงานลาออกพ้นสภาพ'!B:I, 7, FALSE)&lt;=TODAY()
        ),
        "ลาออกแล้ว",
        ""
    ),
"")</f>
        <v/>
      </c>
      <c r="O356" s="292" t="str">
        <f t="array" ref="O356">IFERROR(INDEX(PCRent!C:D, MATCH(F356 &amp; " " &amp; G356, PCRent!A:A &amp; " " &amp; PCRent!B:B, 0)), "")</f>
        <v/>
      </c>
      <c r="P356" s="293"/>
      <c r="Q356" s="294" t="str">
        <f t="array" ref="Q356">IFERROR(INDEX(MonitorRent!C:D, MATCH(F356 &amp; " " &amp; G356, MonitorRent!A:A &amp; " " &amp; MonitorRent!B:B, 0)), "")</f>
        <v/>
      </c>
      <c r="R356" s="295"/>
    </row>
    <row r="357">
      <c r="A357" s="284">
        <v>354.0</v>
      </c>
      <c r="B357" s="285" t="s">
        <v>11169</v>
      </c>
      <c r="C357" s="285" t="s">
        <v>10103</v>
      </c>
      <c r="D357" s="286" t="s">
        <v>11170</v>
      </c>
      <c r="E357" s="285" t="s">
        <v>6933</v>
      </c>
      <c r="F357" s="285" t="s">
        <v>11171</v>
      </c>
      <c r="G357" s="285" t="s">
        <v>11172</v>
      </c>
      <c r="H357" s="285" t="s">
        <v>11173</v>
      </c>
      <c r="I357" s="285" t="s">
        <v>6208</v>
      </c>
      <c r="J357" s="285" t="s">
        <v>5012</v>
      </c>
      <c r="K357" s="285" t="s">
        <v>10114</v>
      </c>
      <c r="L357" s="285" t="s">
        <v>10127</v>
      </c>
      <c r="M357" s="285" t="s">
        <v>9391</v>
      </c>
      <c r="N357" s="287" t="str">
        <f>IFERROR(
    IF(
        AND(
            VLOOKUP(B357, 'รายชื่อพนักงานลาออกพ้นสภาพ'!B:I, 8, FALSE)&lt;&gt;"ยกเลิกลาออก",
            VLOOKUP(B357, 'รายชื่อพนักงานลาออกพ้นสภาพ'!B:I, 7, FALSE)&lt;=TODAY()
        ),
        "ลาออกแล้ว",
        ""
    ),
"")</f>
        <v/>
      </c>
      <c r="O357" s="292" t="str">
        <f t="array" ref="O357">IFERROR(INDEX(PCRent!C:D, MATCH(F357 &amp; " " &amp; G357, PCRent!A:A &amp; " " &amp; PCRent!B:B, 0)), "")</f>
        <v/>
      </c>
      <c r="P357" s="293"/>
      <c r="Q357" s="294" t="str">
        <f t="array" ref="Q357">IFERROR(INDEX(MonitorRent!C:D, MATCH(F357 &amp; " " &amp; G357, MonitorRent!A:A &amp; " " &amp; MonitorRent!B:B, 0)), "")</f>
        <v/>
      </c>
      <c r="R357" s="295"/>
    </row>
    <row r="358">
      <c r="A358" s="284">
        <v>355.0</v>
      </c>
      <c r="B358" s="285" t="s">
        <v>11174</v>
      </c>
      <c r="C358" s="285" t="s">
        <v>10103</v>
      </c>
      <c r="D358" s="286" t="s">
        <v>11057</v>
      </c>
      <c r="E358" s="285" t="s">
        <v>6933</v>
      </c>
      <c r="F358" s="285" t="s">
        <v>11175</v>
      </c>
      <c r="G358" s="285" t="s">
        <v>11176</v>
      </c>
      <c r="H358" s="285" t="s">
        <v>11177</v>
      </c>
      <c r="I358" s="285" t="s">
        <v>11178</v>
      </c>
      <c r="J358" s="285" t="s">
        <v>5012</v>
      </c>
      <c r="K358" s="285" t="s">
        <v>10114</v>
      </c>
      <c r="L358" s="285" t="s">
        <v>832</v>
      </c>
      <c r="M358" s="285" t="s">
        <v>9383</v>
      </c>
      <c r="N358" s="287" t="str">
        <f>IFERROR(
    IF(
        AND(
            VLOOKUP(B358, 'รายชื่อพนักงานลาออกพ้นสภาพ'!B:I, 8, FALSE)&lt;&gt;"ยกเลิกลาออก",
            VLOOKUP(B358, 'รายชื่อพนักงานลาออกพ้นสภาพ'!B:I, 7, FALSE)&lt;=TODAY()
        ),
        "ลาออกแล้ว",
        ""
    ),
"")</f>
        <v/>
      </c>
      <c r="O358" s="292" t="str">
        <f t="array" ref="O358">IFERROR(INDEX(PCRent!C:D, MATCH(F358 &amp; " " &amp; G358, PCRent!A:A &amp; " " &amp; PCRent!B:B, 0)), "")</f>
        <v/>
      </c>
      <c r="P358" s="293"/>
      <c r="Q358" s="294" t="str">
        <f t="array" ref="Q358">IFERROR(INDEX(MonitorRent!C:D, MATCH(F358 &amp; " " &amp; G358, MonitorRent!A:A &amp; " " &amp; MonitorRent!B:B, 0)), "")</f>
        <v/>
      </c>
      <c r="R358" s="295"/>
    </row>
    <row r="359">
      <c r="A359" s="284">
        <v>356.0</v>
      </c>
      <c r="B359" s="285" t="s">
        <v>11179</v>
      </c>
      <c r="C359" s="285" t="s">
        <v>10103</v>
      </c>
      <c r="D359" s="286" t="s">
        <v>9718</v>
      </c>
      <c r="E359" s="285" t="s">
        <v>6921</v>
      </c>
      <c r="F359" s="285" t="s">
        <v>11180</v>
      </c>
      <c r="G359" s="285" t="s">
        <v>11181</v>
      </c>
      <c r="H359" s="285" t="s">
        <v>9526</v>
      </c>
      <c r="I359" s="285" t="s">
        <v>11182</v>
      </c>
      <c r="J359" s="285" t="s">
        <v>5224</v>
      </c>
      <c r="K359" s="285" t="s">
        <v>1456</v>
      </c>
      <c r="L359" s="285" t="s">
        <v>10163</v>
      </c>
      <c r="M359" s="285" t="s">
        <v>9391</v>
      </c>
      <c r="N359" s="287" t="str">
        <f>IFERROR(
    IF(
        AND(
            VLOOKUP(B359, 'รายชื่อพนักงานลาออกพ้นสภาพ'!B:I, 8, FALSE)&lt;&gt;"ยกเลิกลาออก",
            VLOOKUP(B359, 'รายชื่อพนักงานลาออกพ้นสภาพ'!B:I, 7, FALSE)&lt;=TODAY()
        ),
        "ลาออกแล้ว",
        ""
    ),
"")</f>
        <v/>
      </c>
      <c r="O359" s="292" t="str">
        <f t="array" ref="O359">IFERROR(INDEX(PCRent!C:D, MATCH(F359 &amp; " " &amp; G359, PCRent!A:A &amp; " " &amp; PCRent!B:B, 0)), "")</f>
        <v/>
      </c>
      <c r="P359" s="293"/>
      <c r="Q359" s="294" t="str">
        <f t="array" ref="Q359">IFERROR(INDEX(MonitorRent!C:D, MATCH(F359 &amp; " " &amp; G359, MonitorRent!A:A &amp; " " &amp; MonitorRent!B:B, 0)), "")</f>
        <v/>
      </c>
      <c r="R359" s="295"/>
    </row>
    <row r="360">
      <c r="A360" s="284">
        <v>357.0</v>
      </c>
      <c r="B360" s="285" t="s">
        <v>11183</v>
      </c>
      <c r="C360" s="285" t="s">
        <v>10103</v>
      </c>
      <c r="D360" s="286" t="s">
        <v>10090</v>
      </c>
      <c r="E360" s="285" t="s">
        <v>6933</v>
      </c>
      <c r="F360" s="285" t="s">
        <v>11184</v>
      </c>
      <c r="G360" s="285" t="s">
        <v>11185</v>
      </c>
      <c r="H360" s="285" t="s">
        <v>9827</v>
      </c>
      <c r="I360" s="285" t="s">
        <v>11186</v>
      </c>
      <c r="J360" s="285" t="s">
        <v>5012</v>
      </c>
      <c r="K360" s="285" t="s">
        <v>1606</v>
      </c>
      <c r="L360" s="285" t="s">
        <v>10127</v>
      </c>
      <c r="M360" s="285" t="s">
        <v>9383</v>
      </c>
      <c r="N360" s="287" t="str">
        <f>IFERROR(
    IF(
        AND(
            VLOOKUP(B360, 'รายชื่อพนักงานลาออกพ้นสภาพ'!B:I, 8, FALSE)&lt;&gt;"ยกเลิกลาออก",
            VLOOKUP(B360, 'รายชื่อพนักงานลาออกพ้นสภาพ'!B:I, 7, FALSE)&lt;=TODAY()
        ),
        "ลาออกแล้ว",
        ""
    ),
"")</f>
        <v/>
      </c>
      <c r="O360" s="292" t="str">
        <f t="array" ref="O360">IFERROR(INDEX(PCRent!C:D, MATCH(F360 &amp; " " &amp; G360, PCRent!A:A &amp; " " &amp; PCRent!B:B, 0)), "")</f>
        <v/>
      </c>
      <c r="P360" s="293"/>
      <c r="Q360" s="294" t="str">
        <f t="array" ref="Q360">IFERROR(INDEX(MonitorRent!C:D, MATCH(F360 &amp; " " &amp; G360, MonitorRent!A:A &amp; " " &amp; MonitorRent!B:B, 0)), "")</f>
        <v/>
      </c>
      <c r="R360" s="295"/>
    </row>
    <row r="361">
      <c r="A361" s="284">
        <v>358.0</v>
      </c>
      <c r="B361" s="285" t="s">
        <v>11187</v>
      </c>
      <c r="C361" s="285" t="s">
        <v>10103</v>
      </c>
      <c r="D361" s="286" t="s">
        <v>10063</v>
      </c>
      <c r="E361" s="285" t="s">
        <v>6933</v>
      </c>
      <c r="F361" s="285" t="s">
        <v>9689</v>
      </c>
      <c r="G361" s="285" t="s">
        <v>11188</v>
      </c>
      <c r="H361" s="285" t="s">
        <v>11189</v>
      </c>
      <c r="I361" s="285" t="s">
        <v>11190</v>
      </c>
      <c r="J361" s="285" t="s">
        <v>5012</v>
      </c>
      <c r="K361" s="285" t="s">
        <v>10114</v>
      </c>
      <c r="L361" s="285" t="s">
        <v>10127</v>
      </c>
      <c r="M361" s="285" t="s">
        <v>9391</v>
      </c>
      <c r="N361" s="287" t="str">
        <f>IFERROR(
    IF(
        AND(
            VLOOKUP(B361, 'รายชื่อพนักงานลาออกพ้นสภาพ'!B:I, 8, FALSE)&lt;&gt;"ยกเลิกลาออก",
            VLOOKUP(B361, 'รายชื่อพนักงานลาออกพ้นสภาพ'!B:I, 7, FALSE)&lt;=TODAY()
        ),
        "ลาออกแล้ว",
        ""
    ),
"")</f>
        <v/>
      </c>
      <c r="O361" s="292" t="str">
        <f t="array" ref="O361">IFERROR(INDEX(PCRent!C:D, MATCH(F361 &amp; " " &amp; G361, PCRent!A:A &amp; " " &amp; PCRent!B:B, 0)), "")</f>
        <v/>
      </c>
      <c r="P361" s="293"/>
      <c r="Q361" s="294" t="str">
        <f t="array" ref="Q361">IFERROR(INDEX(MonitorRent!C:D, MATCH(F361 &amp; " " &amp; G361, MonitorRent!A:A &amp; " " &amp; MonitorRent!B:B, 0)), "")</f>
        <v/>
      </c>
      <c r="R361" s="295"/>
    </row>
    <row r="362">
      <c r="A362" s="284">
        <v>359.0</v>
      </c>
      <c r="B362" s="285" t="s">
        <v>11191</v>
      </c>
      <c r="C362" s="285" t="s">
        <v>10103</v>
      </c>
      <c r="D362" s="286" t="s">
        <v>10012</v>
      </c>
      <c r="E362" s="285" t="s">
        <v>6933</v>
      </c>
      <c r="F362" s="285" t="s">
        <v>11192</v>
      </c>
      <c r="G362" s="285" t="s">
        <v>11193</v>
      </c>
      <c r="H362" s="285" t="s">
        <v>11194</v>
      </c>
      <c r="I362" s="285" t="s">
        <v>11195</v>
      </c>
      <c r="J362" s="285" t="s">
        <v>5224</v>
      </c>
      <c r="K362" s="285" t="s">
        <v>4749</v>
      </c>
      <c r="L362" s="285" t="s">
        <v>10189</v>
      </c>
      <c r="M362" s="285" t="s">
        <v>9383</v>
      </c>
      <c r="N362" s="287" t="str">
        <f>IFERROR(
    IF(
        AND(
            VLOOKUP(B362, 'รายชื่อพนักงานลาออกพ้นสภาพ'!B:I, 8, FALSE)&lt;&gt;"ยกเลิกลาออก",
            VLOOKUP(B362, 'รายชื่อพนักงานลาออกพ้นสภาพ'!B:I, 7, FALSE)&lt;=TODAY()
        ),
        "ลาออกแล้ว",
        ""
    ),
"")</f>
        <v/>
      </c>
      <c r="O362" s="292" t="str">
        <f t="array" ref="O362">IFERROR(INDEX(PCRent!C:D, MATCH(F362 &amp; " " &amp; G362, PCRent!A:A &amp; " " &amp; PCRent!B:B, 0)), "")</f>
        <v/>
      </c>
      <c r="P362" s="293"/>
      <c r="Q362" s="294" t="str">
        <f t="array" ref="Q362">IFERROR(INDEX(MonitorRent!C:D, MATCH(F362 &amp; " " &amp; G362, MonitorRent!A:A &amp; " " &amp; MonitorRent!B:B, 0)), "")</f>
        <v/>
      </c>
      <c r="R362" s="295"/>
    </row>
    <row r="363">
      <c r="A363" s="284">
        <v>360.0</v>
      </c>
      <c r="B363" s="285" t="s">
        <v>383</v>
      </c>
      <c r="C363" s="285" t="s">
        <v>10103</v>
      </c>
      <c r="D363" s="286" t="s">
        <v>10996</v>
      </c>
      <c r="E363" s="285" t="s">
        <v>6933</v>
      </c>
      <c r="F363" s="285" t="s">
        <v>11196</v>
      </c>
      <c r="G363" s="285" t="s">
        <v>11197</v>
      </c>
      <c r="H363" s="285" t="s">
        <v>10311</v>
      </c>
      <c r="I363" s="285" t="s">
        <v>386</v>
      </c>
      <c r="J363" s="285" t="s">
        <v>5012</v>
      </c>
      <c r="K363" s="285" t="s">
        <v>10114</v>
      </c>
      <c r="L363" s="285" t="s">
        <v>832</v>
      </c>
      <c r="M363" s="285" t="s">
        <v>9391</v>
      </c>
      <c r="N363" s="287" t="str">
        <f>IFERROR(
    IF(
        AND(
            VLOOKUP(B363, 'รายชื่อพนักงานลาออกพ้นสภาพ'!B:I, 8, FALSE)&lt;&gt;"ยกเลิกลาออก",
            VLOOKUP(B363, 'รายชื่อพนักงานลาออกพ้นสภาพ'!B:I, 7, FALSE)&lt;=TODAY()
        ),
        "ลาออกแล้ว",
        ""
    ),
"")</f>
        <v>ลาออกแล้ว</v>
      </c>
      <c r="O363" s="292" t="str">
        <f t="array" ref="O363">IFERROR(INDEX(PCRent!C:D, MATCH(F363 &amp; " " &amp; G363, PCRent!A:A &amp; " " &amp; PCRent!B:B, 0)), "")</f>
        <v/>
      </c>
      <c r="P363" s="293"/>
      <c r="Q363" s="294" t="str">
        <f t="array" ref="Q363">IFERROR(INDEX(MonitorRent!C:D, MATCH(F363 &amp; " " &amp; G363, MonitorRent!A:A &amp; " " &amp; MonitorRent!B:B, 0)), "")</f>
        <v/>
      </c>
      <c r="R363" s="295"/>
    </row>
    <row r="364">
      <c r="A364" s="284">
        <v>361.0</v>
      </c>
      <c r="B364" s="285" t="s">
        <v>11198</v>
      </c>
      <c r="C364" s="285" t="s">
        <v>10103</v>
      </c>
      <c r="D364" s="286" t="s">
        <v>11199</v>
      </c>
      <c r="E364" s="285" t="s">
        <v>6921</v>
      </c>
      <c r="F364" s="285" t="s">
        <v>11200</v>
      </c>
      <c r="G364" s="285" t="s">
        <v>11201</v>
      </c>
      <c r="H364" s="285" t="s">
        <v>11202</v>
      </c>
      <c r="I364" s="285" t="s">
        <v>11203</v>
      </c>
      <c r="J364" s="285" t="s">
        <v>5012</v>
      </c>
      <c r="K364" s="285" t="s">
        <v>1417</v>
      </c>
      <c r="L364" s="285" t="s">
        <v>10127</v>
      </c>
      <c r="M364" s="285" t="s">
        <v>9383</v>
      </c>
      <c r="N364" s="287" t="str">
        <f>IFERROR(
    IF(
        AND(
            VLOOKUP(B364, 'รายชื่อพนักงานลาออกพ้นสภาพ'!B:I, 8, FALSE)&lt;&gt;"ยกเลิกลาออก",
            VLOOKUP(B364, 'รายชื่อพนักงานลาออกพ้นสภาพ'!B:I, 7, FALSE)&lt;=TODAY()
        ),
        "ลาออกแล้ว",
        ""
    ),
"")</f>
        <v/>
      </c>
      <c r="O364" s="292" t="str">
        <f t="array" ref="O364">IFERROR(INDEX(PCRent!C:D, MATCH(F364 &amp; " " &amp; G364, PCRent!A:A &amp; " " &amp; PCRent!B:B, 0)), "")</f>
        <v/>
      </c>
      <c r="P364" s="293"/>
      <c r="Q364" s="294" t="str">
        <f t="array" ref="Q364">IFERROR(INDEX(MonitorRent!C:D, MATCH(F364 &amp; " " &amp; G364, MonitorRent!A:A &amp; " " &amp; MonitorRent!B:B, 0)), "")</f>
        <v/>
      </c>
      <c r="R364" s="295"/>
    </row>
    <row r="365">
      <c r="A365" s="284">
        <v>362.0</v>
      </c>
      <c r="B365" s="285" t="s">
        <v>11204</v>
      </c>
      <c r="C365" s="285" t="s">
        <v>10103</v>
      </c>
      <c r="D365" s="286" t="s">
        <v>11205</v>
      </c>
      <c r="E365" s="285" t="s">
        <v>6933</v>
      </c>
      <c r="F365" s="285" t="s">
        <v>11206</v>
      </c>
      <c r="G365" s="285" t="s">
        <v>11207</v>
      </c>
      <c r="H365" s="285" t="s">
        <v>9669</v>
      </c>
      <c r="I365" s="285" t="s">
        <v>11208</v>
      </c>
      <c r="J365" s="285" t="s">
        <v>5012</v>
      </c>
      <c r="K365" s="285" t="s">
        <v>5638</v>
      </c>
      <c r="L365" s="285" t="s">
        <v>832</v>
      </c>
      <c r="M365" s="285" t="s">
        <v>9383</v>
      </c>
      <c r="N365" s="287" t="str">
        <f>IFERROR(
    IF(
        AND(
            VLOOKUP(B365, 'รายชื่อพนักงานลาออกพ้นสภาพ'!B:I, 8, FALSE)&lt;&gt;"ยกเลิกลาออก",
            VLOOKUP(B365, 'รายชื่อพนักงานลาออกพ้นสภาพ'!B:I, 7, FALSE)&lt;=TODAY()
        ),
        "ลาออกแล้ว",
        ""
    ),
"")</f>
        <v/>
      </c>
      <c r="O365" s="292" t="str">
        <f t="array" ref="O365">IFERROR(INDEX(PCRent!C:D, MATCH(F365 &amp; " " &amp; G365, PCRent!A:A &amp; " " &amp; PCRent!B:B, 0)), "")</f>
        <v/>
      </c>
      <c r="P365" s="293"/>
      <c r="Q365" s="294" t="str">
        <f t="array" ref="Q365">IFERROR(INDEX(MonitorRent!C:D, MATCH(F365 &amp; " " &amp; G365, MonitorRent!A:A &amp; " " &amp; MonitorRent!B:B, 0)), "")</f>
        <v/>
      </c>
      <c r="R365" s="295"/>
    </row>
    <row r="366">
      <c r="A366" s="284">
        <v>363.0</v>
      </c>
      <c r="B366" s="285" t="s">
        <v>11209</v>
      </c>
      <c r="C366" s="285" t="s">
        <v>10103</v>
      </c>
      <c r="D366" s="286" t="s">
        <v>10090</v>
      </c>
      <c r="E366" s="285" t="s">
        <v>6921</v>
      </c>
      <c r="F366" s="285" t="s">
        <v>11210</v>
      </c>
      <c r="G366" s="285" t="s">
        <v>11211</v>
      </c>
      <c r="H366" s="285" t="s">
        <v>11212</v>
      </c>
      <c r="I366" s="285" t="s">
        <v>11213</v>
      </c>
      <c r="J366" s="285" t="s">
        <v>5012</v>
      </c>
      <c r="K366" s="285" t="s">
        <v>1606</v>
      </c>
      <c r="L366" s="285" t="s">
        <v>832</v>
      </c>
      <c r="M366" s="285" t="s">
        <v>9383</v>
      </c>
      <c r="N366" s="287" t="str">
        <f>IFERROR(
    IF(
        AND(
            VLOOKUP(B366, 'รายชื่อพนักงานลาออกพ้นสภาพ'!B:I, 8, FALSE)&lt;&gt;"ยกเลิกลาออก",
            VLOOKUP(B366, 'รายชื่อพนักงานลาออกพ้นสภาพ'!B:I, 7, FALSE)&lt;=TODAY()
        ),
        "ลาออกแล้ว",
        ""
    ),
"")</f>
        <v/>
      </c>
      <c r="O366" s="292" t="str">
        <f t="array" ref="O366">IFERROR(INDEX(PCRent!C:D, MATCH(F366 &amp; " " &amp; G366, PCRent!A:A &amp; " " &amp; PCRent!B:B, 0)), "")</f>
        <v/>
      </c>
      <c r="P366" s="293"/>
      <c r="Q366" s="294" t="str">
        <f t="array" ref="Q366">IFERROR(INDEX(MonitorRent!C:D, MATCH(F366 &amp; " " &amp; G366, MonitorRent!A:A &amp; " " &amp; MonitorRent!B:B, 0)), "")</f>
        <v/>
      </c>
      <c r="R366" s="295"/>
    </row>
    <row r="367">
      <c r="A367" s="284">
        <v>364.0</v>
      </c>
      <c r="B367" s="285" t="s">
        <v>11214</v>
      </c>
      <c r="C367" s="285" t="s">
        <v>10103</v>
      </c>
      <c r="D367" s="286" t="s">
        <v>10758</v>
      </c>
      <c r="E367" s="285" t="s">
        <v>6921</v>
      </c>
      <c r="F367" s="285" t="s">
        <v>11215</v>
      </c>
      <c r="G367" s="285" t="s">
        <v>11216</v>
      </c>
      <c r="H367" s="285" t="s">
        <v>11217</v>
      </c>
      <c r="I367" s="285" t="s">
        <v>11218</v>
      </c>
      <c r="J367" s="285" t="s">
        <v>5012</v>
      </c>
      <c r="K367" s="285" t="s">
        <v>1606</v>
      </c>
      <c r="L367" s="285" t="s">
        <v>832</v>
      </c>
      <c r="M367" s="285" t="s">
        <v>9383</v>
      </c>
      <c r="N367" s="287" t="str">
        <f>IFERROR(
    IF(
        AND(
            VLOOKUP(B367, 'รายชื่อพนักงานลาออกพ้นสภาพ'!B:I, 8, FALSE)&lt;&gt;"ยกเลิกลาออก",
            VLOOKUP(B367, 'รายชื่อพนักงานลาออกพ้นสภาพ'!B:I, 7, FALSE)&lt;=TODAY()
        ),
        "ลาออกแล้ว",
        ""
    ),
"")</f>
        <v/>
      </c>
      <c r="O367" s="292" t="str">
        <f t="array" ref="O367">IFERROR(INDEX(PCRent!C:D, MATCH(F367 &amp; " " &amp; G367, PCRent!A:A &amp; " " &amp; PCRent!B:B, 0)), "")</f>
        <v/>
      </c>
      <c r="P367" s="293"/>
      <c r="Q367" s="294" t="str">
        <f t="array" ref="Q367">IFERROR(INDEX(MonitorRent!C:D, MATCH(F367 &amp; " " &amp; G367, MonitorRent!A:A &amp; " " &amp; MonitorRent!B:B, 0)), "")</f>
        <v/>
      </c>
      <c r="R367" s="295"/>
    </row>
    <row r="368">
      <c r="A368" s="284">
        <v>365.0</v>
      </c>
      <c r="B368" s="285" t="s">
        <v>1011</v>
      </c>
      <c r="C368" s="285" t="s">
        <v>10103</v>
      </c>
      <c r="D368" s="286" t="s">
        <v>11219</v>
      </c>
      <c r="E368" s="285" t="s">
        <v>7239</v>
      </c>
      <c r="F368" s="285" t="s">
        <v>11220</v>
      </c>
      <c r="G368" s="285" t="s">
        <v>11221</v>
      </c>
      <c r="H368" s="285" t="s">
        <v>11107</v>
      </c>
      <c r="I368" s="285" t="s">
        <v>1014</v>
      </c>
      <c r="J368" s="285" t="s">
        <v>5224</v>
      </c>
      <c r="K368" s="285" t="s">
        <v>11222</v>
      </c>
      <c r="L368" s="285" t="s">
        <v>5805</v>
      </c>
      <c r="M368" s="285" t="s">
        <v>9383</v>
      </c>
      <c r="N368" s="287" t="str">
        <f>IFERROR(
    IF(
        AND(
            VLOOKUP(B368, 'รายชื่อพนักงานลาออกพ้นสภาพ'!B:I, 8, FALSE)&lt;&gt;"ยกเลิกลาออก",
            VLOOKUP(B368, 'รายชื่อพนักงานลาออกพ้นสภาพ'!B:I, 7, FALSE)&lt;=TODAY()
        ),
        "ลาออกแล้ว",
        ""
    ),
"")</f>
        <v>ลาออกแล้ว</v>
      </c>
      <c r="O368" s="292" t="str">
        <f t="array" ref="O368">IFERROR(INDEX(PCRent!C:D, MATCH(F368 &amp; " " &amp; G368, PCRent!A:A &amp; " " &amp; PCRent!B:B, 0)), "")</f>
        <v/>
      </c>
      <c r="P368" s="293"/>
      <c r="Q368" s="294" t="str">
        <f t="array" ref="Q368">IFERROR(INDEX(MonitorRent!C:D, MATCH(F368 &amp; " " &amp; G368, MonitorRent!A:A &amp; " " &amp; MonitorRent!B:B, 0)), "")</f>
        <v/>
      </c>
      <c r="R368" s="295"/>
    </row>
    <row r="369">
      <c r="A369" s="284">
        <v>366.0</v>
      </c>
      <c r="B369" s="285" t="s">
        <v>11223</v>
      </c>
      <c r="C369" s="285" t="s">
        <v>10103</v>
      </c>
      <c r="D369" s="286" t="s">
        <v>11224</v>
      </c>
      <c r="E369" s="285" t="s">
        <v>6921</v>
      </c>
      <c r="F369" s="285" t="s">
        <v>11225</v>
      </c>
      <c r="G369" s="285" t="s">
        <v>11226</v>
      </c>
      <c r="H369" s="285" t="s">
        <v>10009</v>
      </c>
      <c r="I369" s="285" t="s">
        <v>11227</v>
      </c>
      <c r="J369" s="285" t="s">
        <v>5012</v>
      </c>
      <c r="K369" s="285" t="s">
        <v>5341</v>
      </c>
      <c r="L369" s="285" t="s">
        <v>10127</v>
      </c>
      <c r="M369" s="285" t="s">
        <v>9383</v>
      </c>
      <c r="N369" s="287" t="str">
        <f>IFERROR(
    IF(
        AND(
            VLOOKUP(B369, 'รายชื่อพนักงานลาออกพ้นสภาพ'!B:I, 8, FALSE)&lt;&gt;"ยกเลิกลาออก",
            VLOOKUP(B369, 'รายชื่อพนักงานลาออกพ้นสภาพ'!B:I, 7, FALSE)&lt;=TODAY()
        ),
        "ลาออกแล้ว",
        ""
    ),
"")</f>
        <v/>
      </c>
      <c r="O369" s="292" t="str">
        <f t="array" ref="O369">IFERROR(INDEX(PCRent!C:D, MATCH(F369 &amp; " " &amp; G369, PCRent!A:A &amp; " " &amp; PCRent!B:B, 0)), "")</f>
        <v/>
      </c>
      <c r="P369" s="293"/>
      <c r="Q369" s="294" t="str">
        <f t="array" ref="Q369">IFERROR(INDEX(MonitorRent!C:D, MATCH(F369 &amp; " " &amp; G369, MonitorRent!A:A &amp; " " &amp; MonitorRent!B:B, 0)), "")</f>
        <v/>
      </c>
      <c r="R369" s="295"/>
    </row>
    <row r="370">
      <c r="A370" s="284">
        <v>367.0</v>
      </c>
      <c r="B370" s="285" t="s">
        <v>560</v>
      </c>
      <c r="C370" s="285" t="s">
        <v>10103</v>
      </c>
      <c r="D370" s="286" t="s">
        <v>9547</v>
      </c>
      <c r="E370" s="285" t="s">
        <v>6921</v>
      </c>
      <c r="F370" s="285" t="s">
        <v>11228</v>
      </c>
      <c r="G370" s="285" t="s">
        <v>11229</v>
      </c>
      <c r="H370" s="285" t="s">
        <v>11230</v>
      </c>
      <c r="I370" s="285" t="s">
        <v>563</v>
      </c>
      <c r="J370" s="285" t="s">
        <v>5012</v>
      </c>
      <c r="K370" s="285" t="s">
        <v>1492</v>
      </c>
      <c r="L370" s="285" t="s">
        <v>1258</v>
      </c>
      <c r="M370" s="285" t="s">
        <v>9391</v>
      </c>
      <c r="N370" s="287" t="str">
        <f>IFERROR(
    IF(
        AND(
            VLOOKUP(B370, 'รายชื่อพนักงานลาออกพ้นสภาพ'!B:I, 8, FALSE)&lt;&gt;"ยกเลิกลาออก",
            VLOOKUP(B370, 'รายชื่อพนักงานลาออกพ้นสภาพ'!B:I, 7, FALSE)&lt;=TODAY()
        ),
        "ลาออกแล้ว",
        ""
    ),
"")</f>
        <v>ลาออกแล้ว</v>
      </c>
      <c r="O370" s="292" t="str">
        <f t="array" ref="O370">IFERROR(INDEX(PCRent!C:D, MATCH(F370 &amp; " " &amp; G370, PCRent!A:A &amp; " " &amp; PCRent!B:B, 0)), "")</f>
        <v/>
      </c>
      <c r="P370" s="293"/>
      <c r="Q370" s="294" t="str">
        <f t="array" ref="Q370">IFERROR(INDEX(MonitorRent!C:D, MATCH(F370 &amp; " " &amp; G370, MonitorRent!A:A &amp; " " &amp; MonitorRent!B:B, 0)), "")</f>
        <v/>
      </c>
      <c r="R370" s="295"/>
    </row>
    <row r="371">
      <c r="A371" s="284">
        <v>368.0</v>
      </c>
      <c r="B371" s="285" t="s">
        <v>11231</v>
      </c>
      <c r="C371" s="285" t="s">
        <v>10103</v>
      </c>
      <c r="D371" s="286" t="s">
        <v>10058</v>
      </c>
      <c r="E371" s="285" t="s">
        <v>6933</v>
      </c>
      <c r="F371" s="285" t="s">
        <v>11232</v>
      </c>
      <c r="G371" s="285" t="s">
        <v>11233</v>
      </c>
      <c r="H371" s="285" t="s">
        <v>9691</v>
      </c>
      <c r="I371" s="285" t="s">
        <v>11234</v>
      </c>
      <c r="J371" s="285" t="s">
        <v>5012</v>
      </c>
      <c r="K371" s="285" t="s">
        <v>5638</v>
      </c>
      <c r="L371" s="285" t="s">
        <v>832</v>
      </c>
      <c r="M371" s="285" t="s">
        <v>9383</v>
      </c>
      <c r="N371" s="287" t="str">
        <f>IFERROR(
    IF(
        AND(
            VLOOKUP(B371, 'รายชื่อพนักงานลาออกพ้นสภาพ'!B:I, 8, FALSE)&lt;&gt;"ยกเลิกลาออก",
            VLOOKUP(B371, 'รายชื่อพนักงานลาออกพ้นสภาพ'!B:I, 7, FALSE)&lt;=TODAY()
        ),
        "ลาออกแล้ว",
        ""
    ),
"")</f>
        <v/>
      </c>
      <c r="O371" s="292" t="str">
        <f t="array" ref="O371">IFERROR(INDEX(PCRent!C:D, MATCH(F371 &amp; " " &amp; G371, PCRent!A:A &amp; " " &amp; PCRent!B:B, 0)), "")</f>
        <v/>
      </c>
      <c r="P371" s="293"/>
      <c r="Q371" s="294" t="str">
        <f t="array" ref="Q371">IFERROR(INDEX(MonitorRent!C:D, MATCH(F371 &amp; " " &amp; G371, MonitorRent!A:A &amp; " " &amp; MonitorRent!B:B, 0)), "")</f>
        <v/>
      </c>
      <c r="R371" s="295"/>
    </row>
    <row r="372">
      <c r="A372" s="284">
        <v>369.0</v>
      </c>
      <c r="B372" s="285" t="s">
        <v>11235</v>
      </c>
      <c r="C372" s="285" t="s">
        <v>10103</v>
      </c>
      <c r="D372" s="286" t="s">
        <v>11236</v>
      </c>
      <c r="E372" s="285" t="s">
        <v>6933</v>
      </c>
      <c r="F372" s="285" t="s">
        <v>11237</v>
      </c>
      <c r="G372" s="285" t="s">
        <v>11201</v>
      </c>
      <c r="H372" s="285" t="s">
        <v>10984</v>
      </c>
      <c r="I372" s="285" t="s">
        <v>11238</v>
      </c>
      <c r="J372" s="285" t="s">
        <v>5012</v>
      </c>
      <c r="K372" s="285" t="s">
        <v>3000</v>
      </c>
      <c r="L372" s="285" t="s">
        <v>10127</v>
      </c>
      <c r="M372" s="285" t="s">
        <v>9383</v>
      </c>
      <c r="N372" s="287" t="str">
        <f>IFERROR(
    IF(
        AND(
            VLOOKUP(B372, 'รายชื่อพนักงานลาออกพ้นสภาพ'!B:I, 8, FALSE)&lt;&gt;"ยกเลิกลาออก",
            VLOOKUP(B372, 'รายชื่อพนักงานลาออกพ้นสภาพ'!B:I, 7, FALSE)&lt;=TODAY()
        ),
        "ลาออกแล้ว",
        ""
    ),
"")</f>
        <v/>
      </c>
      <c r="O372" s="292" t="str">
        <f t="array" ref="O372">IFERROR(INDEX(PCRent!C:D, MATCH(F372 &amp; " " &amp; G372, PCRent!A:A &amp; " " &amp; PCRent!B:B, 0)), "")</f>
        <v/>
      </c>
      <c r="P372" s="293"/>
      <c r="Q372" s="294" t="str">
        <f t="array" ref="Q372">IFERROR(INDEX(MonitorRent!C:D, MATCH(F372 &amp; " " &amp; G372, MonitorRent!A:A &amp; " " &amp; MonitorRent!B:B, 0)), "")</f>
        <v/>
      </c>
      <c r="R372" s="295"/>
    </row>
    <row r="373">
      <c r="A373" s="284">
        <v>370.0</v>
      </c>
      <c r="B373" s="285" t="s">
        <v>11239</v>
      </c>
      <c r="C373" s="285" t="s">
        <v>10103</v>
      </c>
      <c r="D373" s="286" t="s">
        <v>11240</v>
      </c>
      <c r="E373" s="285" t="s">
        <v>6921</v>
      </c>
      <c r="F373" s="285" t="s">
        <v>11241</v>
      </c>
      <c r="G373" s="285" t="s">
        <v>11242</v>
      </c>
      <c r="H373" s="285" t="s">
        <v>11243</v>
      </c>
      <c r="I373" s="285" t="s">
        <v>11244</v>
      </c>
      <c r="J373" s="285" t="s">
        <v>5224</v>
      </c>
      <c r="K373" s="285" t="s">
        <v>1456</v>
      </c>
      <c r="L373" s="285" t="s">
        <v>10163</v>
      </c>
      <c r="M373" s="285" t="s">
        <v>9383</v>
      </c>
      <c r="N373" s="287" t="str">
        <f>IFERROR(
    IF(
        AND(
            VLOOKUP(B373, 'รายชื่อพนักงานลาออกพ้นสภาพ'!B:I, 8, FALSE)&lt;&gt;"ยกเลิกลาออก",
            VLOOKUP(B373, 'รายชื่อพนักงานลาออกพ้นสภาพ'!B:I, 7, FALSE)&lt;=TODAY()
        ),
        "ลาออกแล้ว",
        ""
    ),
"")</f>
        <v/>
      </c>
      <c r="O373" s="292" t="str">
        <f t="array" ref="O373">IFERROR(INDEX(PCRent!C:D, MATCH(F373 &amp; " " &amp; G373, PCRent!A:A &amp; " " &amp; PCRent!B:B, 0)), "")</f>
        <v/>
      </c>
      <c r="P373" s="293"/>
      <c r="Q373" s="294" t="str">
        <f t="array" ref="Q373">IFERROR(INDEX(MonitorRent!C:D, MATCH(F373 &amp; " " &amp; G373, MonitorRent!A:A &amp; " " &amp; MonitorRent!B:B, 0)), "")</f>
        <v/>
      </c>
      <c r="R373" s="295"/>
    </row>
    <row r="374">
      <c r="A374" s="284">
        <v>371.0</v>
      </c>
      <c r="B374" s="285" t="s">
        <v>11245</v>
      </c>
      <c r="C374" s="285" t="s">
        <v>10103</v>
      </c>
      <c r="D374" s="286" t="s">
        <v>10354</v>
      </c>
      <c r="E374" s="285" t="s">
        <v>6933</v>
      </c>
      <c r="F374" s="285" t="s">
        <v>11246</v>
      </c>
      <c r="G374" s="285" t="s">
        <v>11247</v>
      </c>
      <c r="H374" s="285" t="s">
        <v>11248</v>
      </c>
      <c r="I374" s="285" t="s">
        <v>11249</v>
      </c>
      <c r="J374" s="285" t="s">
        <v>5012</v>
      </c>
      <c r="K374" s="285" t="s">
        <v>10114</v>
      </c>
      <c r="L374" s="285" t="s">
        <v>832</v>
      </c>
      <c r="M374" s="285" t="s">
        <v>9383</v>
      </c>
      <c r="N374" s="287" t="str">
        <f>IFERROR(
    IF(
        AND(
            VLOOKUP(B374, 'รายชื่อพนักงานลาออกพ้นสภาพ'!B:I, 8, FALSE)&lt;&gt;"ยกเลิกลาออก",
            VLOOKUP(B374, 'รายชื่อพนักงานลาออกพ้นสภาพ'!B:I, 7, FALSE)&lt;=TODAY()
        ),
        "ลาออกแล้ว",
        ""
    ),
"")</f>
        <v/>
      </c>
      <c r="O374" s="292" t="str">
        <f t="array" ref="O374">IFERROR(INDEX(PCRent!C:D, MATCH(F374 &amp; " " &amp; G374, PCRent!A:A &amp; " " &amp; PCRent!B:B, 0)), "")</f>
        <v/>
      </c>
      <c r="P374" s="293"/>
      <c r="Q374" s="294" t="str">
        <f t="array" ref="Q374">IFERROR(INDEX(MonitorRent!C:D, MATCH(F374 &amp; " " &amp; G374, MonitorRent!A:A &amp; " " &amp; MonitorRent!B:B, 0)), "")</f>
        <v/>
      </c>
      <c r="R374" s="295"/>
    </row>
    <row r="375">
      <c r="A375" s="284">
        <v>372.0</v>
      </c>
      <c r="B375" s="285" t="s">
        <v>11250</v>
      </c>
      <c r="C375" s="285" t="s">
        <v>10103</v>
      </c>
      <c r="D375" s="286" t="s">
        <v>11251</v>
      </c>
      <c r="E375" s="285" t="s">
        <v>6933</v>
      </c>
      <c r="F375" s="285" t="s">
        <v>11252</v>
      </c>
      <c r="G375" s="285" t="s">
        <v>11253</v>
      </c>
      <c r="H375" s="285" t="s">
        <v>11254</v>
      </c>
      <c r="I375" s="285" t="s">
        <v>11255</v>
      </c>
      <c r="J375" s="285" t="s">
        <v>5012</v>
      </c>
      <c r="K375" s="285" t="s">
        <v>1417</v>
      </c>
      <c r="L375" s="285" t="s">
        <v>832</v>
      </c>
      <c r="M375" s="285" t="s">
        <v>9383</v>
      </c>
      <c r="N375" s="287" t="str">
        <f>IFERROR(
    IF(
        AND(
            VLOOKUP(B375, 'รายชื่อพนักงานลาออกพ้นสภาพ'!B:I, 8, FALSE)&lt;&gt;"ยกเลิกลาออก",
            VLOOKUP(B375, 'รายชื่อพนักงานลาออกพ้นสภาพ'!B:I, 7, FALSE)&lt;=TODAY()
        ),
        "ลาออกแล้ว",
        ""
    ),
"")</f>
        <v/>
      </c>
      <c r="O375" s="292" t="str">
        <f t="array" ref="O375">IFERROR(INDEX(PCRent!C:D, MATCH(F375 &amp; " " &amp; G375, PCRent!A:A &amp; " " &amp; PCRent!B:B, 0)), "")</f>
        <v/>
      </c>
      <c r="P375" s="293"/>
      <c r="Q375" s="294" t="str">
        <f t="array" ref="Q375">IFERROR(INDEX(MonitorRent!C:D, MATCH(F375 &amp; " " &amp; G375, MonitorRent!A:A &amp; " " &amp; MonitorRent!B:B, 0)), "")</f>
        <v/>
      </c>
      <c r="R375" s="295"/>
    </row>
    <row r="376">
      <c r="A376" s="284">
        <v>373.0</v>
      </c>
      <c r="B376" s="285" t="s">
        <v>11256</v>
      </c>
      <c r="C376" s="285" t="s">
        <v>10103</v>
      </c>
      <c r="D376" s="286" t="s">
        <v>9718</v>
      </c>
      <c r="E376" s="285" t="s">
        <v>6933</v>
      </c>
      <c r="F376" s="285" t="s">
        <v>11257</v>
      </c>
      <c r="G376" s="285" t="s">
        <v>11258</v>
      </c>
      <c r="H376" s="285" t="s">
        <v>11259</v>
      </c>
      <c r="I376" s="285" t="s">
        <v>11260</v>
      </c>
      <c r="J376" s="285" t="s">
        <v>5012</v>
      </c>
      <c r="K376" s="285" t="s">
        <v>10114</v>
      </c>
      <c r="L376" s="285" t="s">
        <v>832</v>
      </c>
      <c r="M376" s="285" t="s">
        <v>9391</v>
      </c>
      <c r="N376" s="287" t="str">
        <f>IFERROR(
    IF(
        AND(
            VLOOKUP(B376, 'รายชื่อพนักงานลาออกพ้นสภาพ'!B:I, 8, FALSE)&lt;&gt;"ยกเลิกลาออก",
            VLOOKUP(B376, 'รายชื่อพนักงานลาออกพ้นสภาพ'!B:I, 7, FALSE)&lt;=TODAY()
        ),
        "ลาออกแล้ว",
        ""
    ),
"")</f>
        <v/>
      </c>
      <c r="O376" s="292" t="str">
        <f t="array" ref="O376">IFERROR(INDEX(PCRent!C:D, MATCH(F376 &amp; " " &amp; G376, PCRent!A:A &amp; " " &amp; PCRent!B:B, 0)), "")</f>
        <v/>
      </c>
      <c r="P376" s="293"/>
      <c r="Q376" s="294" t="str">
        <f t="array" ref="Q376">IFERROR(INDEX(MonitorRent!C:D, MATCH(F376 &amp; " " &amp; G376, MonitorRent!A:A &amp; " " &amp; MonitorRent!B:B, 0)), "")</f>
        <v/>
      </c>
      <c r="R376" s="295"/>
    </row>
    <row r="377">
      <c r="A377" s="284">
        <v>374.0</v>
      </c>
      <c r="B377" s="285" t="s">
        <v>11261</v>
      </c>
      <c r="C377" s="285" t="s">
        <v>10103</v>
      </c>
      <c r="D377" s="286" t="s">
        <v>11262</v>
      </c>
      <c r="E377" s="285" t="s">
        <v>6933</v>
      </c>
      <c r="F377" s="285" t="s">
        <v>11263</v>
      </c>
      <c r="G377" s="285" t="s">
        <v>11264</v>
      </c>
      <c r="H377" s="285" t="s">
        <v>11265</v>
      </c>
      <c r="I377" s="285" t="s">
        <v>11266</v>
      </c>
      <c r="J377" s="285" t="s">
        <v>5012</v>
      </c>
      <c r="K377" s="285" t="s">
        <v>1412</v>
      </c>
      <c r="L377" s="285" t="s">
        <v>10127</v>
      </c>
      <c r="M377" s="285" t="s">
        <v>9383</v>
      </c>
      <c r="N377" s="287" t="str">
        <f>IFERROR(
    IF(
        AND(
            VLOOKUP(B377, 'รายชื่อพนักงานลาออกพ้นสภาพ'!B:I, 8, FALSE)&lt;&gt;"ยกเลิกลาออก",
            VLOOKUP(B377, 'รายชื่อพนักงานลาออกพ้นสภาพ'!B:I, 7, FALSE)&lt;=TODAY()
        ),
        "ลาออกแล้ว",
        ""
    ),
"")</f>
        <v/>
      </c>
      <c r="O377" s="292" t="str">
        <f t="array" ref="O377">IFERROR(INDEX(PCRent!C:D, MATCH(F377 &amp; " " &amp; G377, PCRent!A:A &amp; " " &amp; PCRent!B:B, 0)), "")</f>
        <v/>
      </c>
      <c r="P377" s="293"/>
      <c r="Q377" s="294" t="str">
        <f t="array" ref="Q377">IFERROR(INDEX(MonitorRent!C:D, MATCH(F377 &amp; " " &amp; G377, MonitorRent!A:A &amp; " " &amp; MonitorRent!B:B, 0)), "")</f>
        <v/>
      </c>
      <c r="R377" s="295"/>
    </row>
    <row r="378">
      <c r="A378" s="284">
        <v>375.0</v>
      </c>
      <c r="B378" s="285" t="s">
        <v>11267</v>
      </c>
      <c r="C378" s="285" t="s">
        <v>10103</v>
      </c>
      <c r="D378" s="286" t="s">
        <v>10758</v>
      </c>
      <c r="E378" s="285" t="s">
        <v>6921</v>
      </c>
      <c r="F378" s="285" t="s">
        <v>11268</v>
      </c>
      <c r="G378" s="285" t="s">
        <v>11269</v>
      </c>
      <c r="H378" s="285" t="s">
        <v>10441</v>
      </c>
      <c r="I378" s="285" t="s">
        <v>11270</v>
      </c>
      <c r="J378" s="285" t="s">
        <v>5012</v>
      </c>
      <c r="K378" s="285" t="s">
        <v>5341</v>
      </c>
      <c r="L378" s="285" t="s">
        <v>10127</v>
      </c>
      <c r="M378" s="285" t="s">
        <v>9383</v>
      </c>
      <c r="N378" s="287" t="str">
        <f>IFERROR(
    IF(
        AND(
            VLOOKUP(B378, 'รายชื่อพนักงานลาออกพ้นสภาพ'!B:I, 8, FALSE)&lt;&gt;"ยกเลิกลาออก",
            VLOOKUP(B378, 'รายชื่อพนักงานลาออกพ้นสภาพ'!B:I, 7, FALSE)&lt;=TODAY()
        ),
        "ลาออกแล้ว",
        ""
    ),
"")</f>
        <v/>
      </c>
      <c r="O378" s="292" t="str">
        <f t="array" ref="O378">IFERROR(INDEX(PCRent!C:D, MATCH(F378 &amp; " " &amp; G378, PCRent!A:A &amp; " " &amp; PCRent!B:B, 0)), "")</f>
        <v/>
      </c>
      <c r="P378" s="293"/>
      <c r="Q378" s="294" t="str">
        <f t="array" ref="Q378">IFERROR(INDEX(MonitorRent!C:D, MATCH(F378 &amp; " " &amp; G378, MonitorRent!A:A &amp; " " &amp; MonitorRent!B:B, 0)), "")</f>
        <v/>
      </c>
      <c r="R378" s="295"/>
    </row>
    <row r="379">
      <c r="A379" s="284">
        <v>376.0</v>
      </c>
      <c r="B379" s="285" t="s">
        <v>11271</v>
      </c>
      <c r="C379" s="285" t="s">
        <v>10103</v>
      </c>
      <c r="D379" s="286" t="s">
        <v>10138</v>
      </c>
      <c r="E379" s="285" t="s">
        <v>6933</v>
      </c>
      <c r="F379" s="285" t="s">
        <v>11272</v>
      </c>
      <c r="G379" s="285" t="s">
        <v>10440</v>
      </c>
      <c r="H379" s="285" t="s">
        <v>9691</v>
      </c>
      <c r="I379" s="285" t="s">
        <v>11273</v>
      </c>
      <c r="J379" s="285" t="s">
        <v>5012</v>
      </c>
      <c r="K379" s="285" t="s">
        <v>5638</v>
      </c>
      <c r="L379" s="285" t="s">
        <v>10127</v>
      </c>
      <c r="M379" s="285" t="s">
        <v>9383</v>
      </c>
      <c r="N379" s="287" t="str">
        <f>IFERROR(
    IF(
        AND(
            VLOOKUP(B379, 'รายชื่อพนักงานลาออกพ้นสภาพ'!B:I, 8, FALSE)&lt;&gt;"ยกเลิกลาออก",
            VLOOKUP(B379, 'รายชื่อพนักงานลาออกพ้นสภาพ'!B:I, 7, FALSE)&lt;=TODAY()
        ),
        "ลาออกแล้ว",
        ""
    ),
"")</f>
        <v/>
      </c>
      <c r="O379" s="292" t="str">
        <f t="array" ref="O379">IFERROR(INDEX(PCRent!C:D, MATCH(F379 &amp; " " &amp; G379, PCRent!A:A &amp; " " &amp; PCRent!B:B, 0)), "")</f>
        <v/>
      </c>
      <c r="P379" s="293"/>
      <c r="Q379" s="294" t="str">
        <f t="array" ref="Q379">IFERROR(INDEX(MonitorRent!C:D, MATCH(F379 &amp; " " &amp; G379, MonitorRent!A:A &amp; " " &amp; MonitorRent!B:B, 0)), "")</f>
        <v/>
      </c>
      <c r="R379" s="295"/>
    </row>
    <row r="380">
      <c r="A380" s="284">
        <v>377.0</v>
      </c>
      <c r="B380" s="285" t="s">
        <v>11274</v>
      </c>
      <c r="C380" s="285" t="s">
        <v>10103</v>
      </c>
      <c r="D380" s="286" t="s">
        <v>11275</v>
      </c>
      <c r="E380" s="285" t="s">
        <v>6921</v>
      </c>
      <c r="F380" s="285" t="s">
        <v>11276</v>
      </c>
      <c r="G380" s="285" t="s">
        <v>11277</v>
      </c>
      <c r="H380" s="285" t="s">
        <v>10225</v>
      </c>
      <c r="I380" s="285" t="s">
        <v>11278</v>
      </c>
      <c r="J380" s="285" t="s">
        <v>5224</v>
      </c>
      <c r="K380" s="285" t="s">
        <v>10273</v>
      </c>
      <c r="L380" s="285" t="s">
        <v>5805</v>
      </c>
      <c r="M380" s="285" t="s">
        <v>9391</v>
      </c>
      <c r="N380" s="287" t="str">
        <f>IFERROR(
    IF(
        AND(
            VLOOKUP(B380, 'รายชื่อพนักงานลาออกพ้นสภาพ'!B:I, 8, FALSE)&lt;&gt;"ยกเลิกลาออก",
            VLOOKUP(B380, 'รายชื่อพนักงานลาออกพ้นสภาพ'!B:I, 7, FALSE)&lt;=TODAY()
        ),
        "ลาออกแล้ว",
        ""
    ),
"")</f>
        <v/>
      </c>
      <c r="O380" s="292" t="str">
        <f t="array" ref="O380">IFERROR(INDEX(PCRent!C:D, MATCH(F380 &amp; " " &amp; G380, PCRent!A:A &amp; " " &amp; PCRent!B:B, 0)), "")</f>
        <v/>
      </c>
      <c r="P380" s="293"/>
      <c r="Q380" s="294" t="str">
        <f t="array" ref="Q380">IFERROR(INDEX(MonitorRent!C:D, MATCH(F380 &amp; " " &amp; G380, MonitorRent!A:A &amp; " " &amp; MonitorRent!B:B, 0)), "")</f>
        <v/>
      </c>
      <c r="R380" s="295"/>
    </row>
    <row r="381">
      <c r="A381" s="284">
        <v>378.0</v>
      </c>
      <c r="B381" s="285" t="s">
        <v>336</v>
      </c>
      <c r="C381" s="285" t="s">
        <v>10103</v>
      </c>
      <c r="D381" s="286" t="s">
        <v>9718</v>
      </c>
      <c r="E381" s="285" t="s">
        <v>6921</v>
      </c>
      <c r="F381" s="285" t="s">
        <v>11279</v>
      </c>
      <c r="G381" s="285" t="s">
        <v>11280</v>
      </c>
      <c r="H381" s="285" t="s">
        <v>10679</v>
      </c>
      <c r="I381" s="285" t="s">
        <v>339</v>
      </c>
      <c r="J381" s="285" t="s">
        <v>5012</v>
      </c>
      <c r="K381" s="285" t="s">
        <v>1417</v>
      </c>
      <c r="L381" s="285" t="s">
        <v>832</v>
      </c>
      <c r="M381" s="285" t="s">
        <v>9391</v>
      </c>
      <c r="N381" s="287" t="str">
        <f>IFERROR(
    IF(
        AND(
            VLOOKUP(B381, 'รายชื่อพนักงานลาออกพ้นสภาพ'!B:I, 8, FALSE)&lt;&gt;"ยกเลิกลาออก",
            VLOOKUP(B381, 'รายชื่อพนักงานลาออกพ้นสภาพ'!B:I, 7, FALSE)&lt;=TODAY()
        ),
        "ลาออกแล้ว",
        ""
    ),
"")</f>
        <v>ลาออกแล้ว</v>
      </c>
      <c r="O381" s="292" t="str">
        <f t="array" ref="O381">IFERROR(INDEX(PCRent!C:D, MATCH(F381 &amp; " " &amp; G381, PCRent!A:A &amp; " " &amp; PCRent!B:B, 0)), "")</f>
        <v/>
      </c>
      <c r="P381" s="293"/>
      <c r="Q381" s="294" t="str">
        <f t="array" ref="Q381">IFERROR(INDEX(MonitorRent!C:D, MATCH(F381 &amp; " " &amp; G381, MonitorRent!A:A &amp; " " &amp; MonitorRent!B:B, 0)), "")</f>
        <v/>
      </c>
      <c r="R381" s="295"/>
    </row>
    <row r="382">
      <c r="A382" s="284">
        <v>379.0</v>
      </c>
      <c r="B382" s="285" t="s">
        <v>11281</v>
      </c>
      <c r="C382" s="285" t="s">
        <v>10103</v>
      </c>
      <c r="D382" s="286" t="s">
        <v>10412</v>
      </c>
      <c r="E382" s="285" t="s">
        <v>6921</v>
      </c>
      <c r="F382" s="285" t="s">
        <v>11282</v>
      </c>
      <c r="G382" s="285" t="s">
        <v>11283</v>
      </c>
      <c r="H382" s="285" t="s">
        <v>11284</v>
      </c>
      <c r="I382" s="285" t="s">
        <v>11285</v>
      </c>
      <c r="J382" s="285" t="s">
        <v>5012</v>
      </c>
      <c r="K382" s="285" t="s">
        <v>1606</v>
      </c>
      <c r="L382" s="285" t="s">
        <v>832</v>
      </c>
      <c r="M382" s="285" t="s">
        <v>9383</v>
      </c>
      <c r="N382" s="287" t="str">
        <f>IFERROR(
    IF(
        AND(
            VLOOKUP(B382, 'รายชื่อพนักงานลาออกพ้นสภาพ'!B:I, 8, FALSE)&lt;&gt;"ยกเลิกลาออก",
            VLOOKUP(B382, 'รายชื่อพนักงานลาออกพ้นสภาพ'!B:I, 7, FALSE)&lt;=TODAY()
        ),
        "ลาออกแล้ว",
        ""
    ),
"")</f>
        <v/>
      </c>
      <c r="O382" s="292" t="str">
        <f t="array" ref="O382">IFERROR(INDEX(PCRent!C:D, MATCH(F382 &amp; " " &amp; G382, PCRent!A:A &amp; " " &amp; PCRent!B:B, 0)), "")</f>
        <v/>
      </c>
      <c r="P382" s="293"/>
      <c r="Q382" s="294" t="str">
        <f t="array" ref="Q382">IFERROR(INDEX(MonitorRent!C:D, MATCH(F382 &amp; " " &amp; G382, MonitorRent!A:A &amp; " " &amp; MonitorRent!B:B, 0)), "")</f>
        <v/>
      </c>
      <c r="R382" s="295"/>
    </row>
    <row r="383">
      <c r="A383" s="284">
        <v>380.0</v>
      </c>
      <c r="B383" s="285" t="s">
        <v>11286</v>
      </c>
      <c r="C383" s="285" t="s">
        <v>10103</v>
      </c>
      <c r="D383" s="286" t="s">
        <v>10104</v>
      </c>
      <c r="E383" s="285" t="s">
        <v>6921</v>
      </c>
      <c r="F383" s="285" t="s">
        <v>11287</v>
      </c>
      <c r="G383" s="285" t="s">
        <v>11288</v>
      </c>
      <c r="H383" s="285" t="s">
        <v>11289</v>
      </c>
      <c r="I383" s="285" t="s">
        <v>11290</v>
      </c>
      <c r="J383" s="285" t="s">
        <v>5012</v>
      </c>
      <c r="K383" s="285" t="s">
        <v>1606</v>
      </c>
      <c r="L383" s="285" t="s">
        <v>10127</v>
      </c>
      <c r="M383" s="285" t="s">
        <v>9391</v>
      </c>
      <c r="N383" s="287" t="str">
        <f>IFERROR(
    IF(
        AND(
            VLOOKUP(B383, 'รายชื่อพนักงานลาออกพ้นสภาพ'!B:I, 8, FALSE)&lt;&gt;"ยกเลิกลาออก",
            VLOOKUP(B383, 'รายชื่อพนักงานลาออกพ้นสภาพ'!B:I, 7, FALSE)&lt;=TODAY()
        ),
        "ลาออกแล้ว",
        ""
    ),
"")</f>
        <v/>
      </c>
      <c r="O383" s="292" t="str">
        <f t="array" ref="O383">IFERROR(INDEX(PCRent!C:D, MATCH(F383 &amp; " " &amp; G383, PCRent!A:A &amp; " " &amp; PCRent!B:B, 0)), "")</f>
        <v/>
      </c>
      <c r="P383" s="293"/>
      <c r="Q383" s="294" t="str">
        <f t="array" ref="Q383">IFERROR(INDEX(MonitorRent!C:D, MATCH(F383 &amp; " " &amp; G383, MonitorRent!A:A &amp; " " &amp; MonitorRent!B:B, 0)), "")</f>
        <v/>
      </c>
      <c r="R383" s="295"/>
    </row>
    <row r="384">
      <c r="A384" s="284">
        <v>381.0</v>
      </c>
      <c r="B384" s="285" t="s">
        <v>1049</v>
      </c>
      <c r="C384" s="285" t="s">
        <v>10103</v>
      </c>
      <c r="D384" s="286" t="s">
        <v>11291</v>
      </c>
      <c r="E384" s="285" t="s">
        <v>6933</v>
      </c>
      <c r="F384" s="285" t="s">
        <v>11292</v>
      </c>
      <c r="G384" s="285" t="s">
        <v>11293</v>
      </c>
      <c r="H384" s="285" t="s">
        <v>11294</v>
      </c>
      <c r="I384" s="285" t="s">
        <v>1051</v>
      </c>
      <c r="J384" s="285" t="s">
        <v>5012</v>
      </c>
      <c r="K384" s="285" t="s">
        <v>1412</v>
      </c>
      <c r="L384" s="285" t="s">
        <v>10127</v>
      </c>
      <c r="M384" s="285" t="s">
        <v>9383</v>
      </c>
      <c r="N384" s="287" t="str">
        <f>IFERROR(
    IF(
        AND(
            VLOOKUP(B384, 'รายชื่อพนักงานลาออกพ้นสภาพ'!B:I, 8, FALSE)&lt;&gt;"ยกเลิกลาออก",
            VLOOKUP(B384, 'รายชื่อพนักงานลาออกพ้นสภาพ'!B:I, 7, FALSE)&lt;=TODAY()
        ),
        "ลาออกแล้ว",
        ""
    ),
"")</f>
        <v/>
      </c>
      <c r="O384" s="292" t="str">
        <f t="array" ref="O384">IFERROR(INDEX(PCRent!C:D, MATCH(F384 &amp; " " &amp; G384, PCRent!A:A &amp; " " &amp; PCRent!B:B, 0)), "")</f>
        <v/>
      </c>
      <c r="P384" s="293"/>
      <c r="Q384" s="294" t="str">
        <f t="array" ref="Q384">IFERROR(INDEX(MonitorRent!C:D, MATCH(F384 &amp; " " &amp; G384, MonitorRent!A:A &amp; " " &amp; MonitorRent!B:B, 0)), "")</f>
        <v/>
      </c>
      <c r="R384" s="295"/>
    </row>
    <row r="385">
      <c r="A385" s="284">
        <v>382.0</v>
      </c>
      <c r="B385" s="285" t="s">
        <v>11295</v>
      </c>
      <c r="C385" s="285" t="s">
        <v>10103</v>
      </c>
      <c r="D385" s="286" t="s">
        <v>11296</v>
      </c>
      <c r="E385" s="285" t="s">
        <v>6921</v>
      </c>
      <c r="F385" s="285" t="s">
        <v>11297</v>
      </c>
      <c r="G385" s="285" t="s">
        <v>11298</v>
      </c>
      <c r="H385" s="285" t="s">
        <v>11299</v>
      </c>
      <c r="I385" s="285" t="s">
        <v>11300</v>
      </c>
      <c r="J385" s="285" t="s">
        <v>5012</v>
      </c>
      <c r="K385" s="285" t="s">
        <v>1606</v>
      </c>
      <c r="L385" s="285" t="s">
        <v>832</v>
      </c>
      <c r="M385" s="285" t="s">
        <v>9383</v>
      </c>
      <c r="N385" s="287" t="str">
        <f>IFERROR(
    IF(
        AND(
            VLOOKUP(B385, 'รายชื่อพนักงานลาออกพ้นสภาพ'!B:I, 8, FALSE)&lt;&gt;"ยกเลิกลาออก",
            VLOOKUP(B385, 'รายชื่อพนักงานลาออกพ้นสภาพ'!B:I, 7, FALSE)&lt;=TODAY()
        ),
        "ลาออกแล้ว",
        ""
    ),
"")</f>
        <v/>
      </c>
      <c r="O385" s="292" t="str">
        <f t="array" ref="O385">IFERROR(INDEX(PCRent!C:D, MATCH(F385 &amp; " " &amp; G385, PCRent!A:A &amp; " " &amp; PCRent!B:B, 0)), "")</f>
        <v/>
      </c>
      <c r="P385" s="293"/>
      <c r="Q385" s="294" t="str">
        <f t="array" ref="Q385">IFERROR(INDEX(MonitorRent!C:D, MATCH(F385 &amp; " " &amp; G385, MonitorRent!A:A &amp; " " &amp; MonitorRent!B:B, 0)), "")</f>
        <v/>
      </c>
      <c r="R385" s="295"/>
    </row>
    <row r="386">
      <c r="A386" s="284">
        <v>383.0</v>
      </c>
      <c r="B386" s="285" t="s">
        <v>132</v>
      </c>
      <c r="C386" s="285" t="s">
        <v>10103</v>
      </c>
      <c r="D386" s="286" t="s">
        <v>11301</v>
      </c>
      <c r="E386" s="285" t="s">
        <v>6933</v>
      </c>
      <c r="F386" s="285" t="s">
        <v>11302</v>
      </c>
      <c r="G386" s="285" t="s">
        <v>11303</v>
      </c>
      <c r="H386" s="285" t="s">
        <v>11304</v>
      </c>
      <c r="I386" s="285" t="s">
        <v>135</v>
      </c>
      <c r="J386" s="285" t="s">
        <v>5012</v>
      </c>
      <c r="K386" s="285" t="s">
        <v>10114</v>
      </c>
      <c r="L386" s="285" t="s">
        <v>832</v>
      </c>
      <c r="M386" s="285" t="s">
        <v>9383</v>
      </c>
      <c r="N386" s="287" t="str">
        <f>IFERROR(
    IF(
        AND(
            VLOOKUP(B386, 'รายชื่อพนักงานลาออกพ้นสภาพ'!B:I, 8, FALSE)&lt;&gt;"ยกเลิกลาออก",
            VLOOKUP(B386, 'รายชื่อพนักงานลาออกพ้นสภาพ'!B:I, 7, FALSE)&lt;=TODAY()
        ),
        "ลาออกแล้ว",
        ""
    ),
"")</f>
        <v>ลาออกแล้ว</v>
      </c>
      <c r="O386" s="292" t="str">
        <f t="array" ref="O386">IFERROR(INDEX(PCRent!C:D, MATCH(F386 &amp; " " &amp; G386, PCRent!A:A &amp; " " &amp; PCRent!B:B, 0)), "")</f>
        <v/>
      </c>
      <c r="P386" s="293"/>
      <c r="Q386" s="294" t="str">
        <f t="array" ref="Q386">IFERROR(INDEX(MonitorRent!C:D, MATCH(F386 &amp; " " &amp; G386, MonitorRent!A:A &amp; " " &amp; MonitorRent!B:B, 0)), "")</f>
        <v/>
      </c>
      <c r="R386" s="295"/>
    </row>
    <row r="387">
      <c r="A387" s="284">
        <v>384.0</v>
      </c>
      <c r="B387" s="285" t="s">
        <v>11305</v>
      </c>
      <c r="C387" s="285" t="s">
        <v>10103</v>
      </c>
      <c r="D387" s="286" t="s">
        <v>10473</v>
      </c>
      <c r="E387" s="285" t="s">
        <v>6933</v>
      </c>
      <c r="F387" s="285" t="s">
        <v>11306</v>
      </c>
      <c r="G387" s="285" t="s">
        <v>11307</v>
      </c>
      <c r="H387" s="285" t="s">
        <v>9940</v>
      </c>
      <c r="I387" s="285" t="s">
        <v>11308</v>
      </c>
      <c r="J387" s="285" t="s">
        <v>5012</v>
      </c>
      <c r="K387" s="285" t="s">
        <v>1412</v>
      </c>
      <c r="L387" s="285" t="s">
        <v>10127</v>
      </c>
      <c r="M387" s="285" t="s">
        <v>9383</v>
      </c>
      <c r="N387" s="287" t="str">
        <f>IFERROR(
    IF(
        AND(
            VLOOKUP(B387, 'รายชื่อพนักงานลาออกพ้นสภาพ'!B:I, 8, FALSE)&lt;&gt;"ยกเลิกลาออก",
            VLOOKUP(B387, 'รายชื่อพนักงานลาออกพ้นสภาพ'!B:I, 7, FALSE)&lt;=TODAY()
        ),
        "ลาออกแล้ว",
        ""
    ),
"")</f>
        <v/>
      </c>
      <c r="O387" s="292" t="str">
        <f t="array" ref="O387">IFERROR(INDEX(PCRent!C:D, MATCH(F387 &amp; " " &amp; G387, PCRent!A:A &amp; " " &amp; PCRent!B:B, 0)), "")</f>
        <v/>
      </c>
      <c r="P387" s="293"/>
      <c r="Q387" s="294" t="str">
        <f t="array" ref="Q387">IFERROR(INDEX(MonitorRent!C:D, MATCH(F387 &amp; " " &amp; G387, MonitorRent!A:A &amp; " " &amp; MonitorRent!B:B, 0)), "")</f>
        <v/>
      </c>
      <c r="R387" s="295"/>
    </row>
    <row r="388">
      <c r="A388" s="284">
        <v>385.0</v>
      </c>
      <c r="B388" s="285" t="s">
        <v>11309</v>
      </c>
      <c r="C388" s="285" t="s">
        <v>10103</v>
      </c>
      <c r="D388" s="286" t="s">
        <v>11104</v>
      </c>
      <c r="E388" s="285" t="s">
        <v>6921</v>
      </c>
      <c r="F388" s="285" t="s">
        <v>9745</v>
      </c>
      <c r="G388" s="285" t="s">
        <v>11310</v>
      </c>
      <c r="H388" s="285" t="s">
        <v>9742</v>
      </c>
      <c r="I388" s="285" t="s">
        <v>11311</v>
      </c>
      <c r="J388" s="285" t="s">
        <v>5012</v>
      </c>
      <c r="K388" s="285" t="s">
        <v>1606</v>
      </c>
      <c r="L388" s="285" t="s">
        <v>1258</v>
      </c>
      <c r="M388" s="285" t="s">
        <v>9391</v>
      </c>
      <c r="N388" s="287" t="str">
        <f>IFERROR(
    IF(
        AND(
            VLOOKUP(B388, 'รายชื่อพนักงานลาออกพ้นสภาพ'!B:I, 8, FALSE)&lt;&gt;"ยกเลิกลาออก",
            VLOOKUP(B388, 'รายชื่อพนักงานลาออกพ้นสภาพ'!B:I, 7, FALSE)&lt;=TODAY()
        ),
        "ลาออกแล้ว",
        ""
    ),
"")</f>
        <v/>
      </c>
      <c r="O388" s="292" t="str">
        <f t="array" ref="O388">IFERROR(INDEX(PCRent!C:D, MATCH(F388 &amp; " " &amp; G388, PCRent!A:A &amp; " " &amp; PCRent!B:B, 0)), "")</f>
        <v/>
      </c>
      <c r="P388" s="293"/>
      <c r="Q388" s="294" t="str">
        <f t="array" ref="Q388">IFERROR(INDEX(MonitorRent!C:D, MATCH(F388 &amp; " " &amp; G388, MonitorRent!A:A &amp; " " &amp; MonitorRent!B:B, 0)), "")</f>
        <v/>
      </c>
      <c r="R388" s="295"/>
    </row>
    <row r="389">
      <c r="A389" s="284">
        <v>386.0</v>
      </c>
      <c r="B389" s="285" t="s">
        <v>11312</v>
      </c>
      <c r="C389" s="285" t="s">
        <v>10103</v>
      </c>
      <c r="D389" s="286" t="s">
        <v>11170</v>
      </c>
      <c r="E389" s="285" t="s">
        <v>6921</v>
      </c>
      <c r="F389" s="285" t="s">
        <v>9745</v>
      </c>
      <c r="G389" s="285" t="s">
        <v>11313</v>
      </c>
      <c r="H389" s="285" t="s">
        <v>9526</v>
      </c>
      <c r="I389" s="285" t="s">
        <v>11314</v>
      </c>
      <c r="J389" s="285" t="s">
        <v>5012</v>
      </c>
      <c r="K389" s="285" t="s">
        <v>1417</v>
      </c>
      <c r="L389" s="285" t="s">
        <v>832</v>
      </c>
      <c r="M389" s="285" t="s">
        <v>9391</v>
      </c>
      <c r="N389" s="287" t="str">
        <f>IFERROR(
    IF(
        AND(
            VLOOKUP(B389, 'รายชื่อพนักงานลาออกพ้นสภาพ'!B:I, 8, FALSE)&lt;&gt;"ยกเลิกลาออก",
            VLOOKUP(B389, 'รายชื่อพนักงานลาออกพ้นสภาพ'!B:I, 7, FALSE)&lt;=TODAY()
        ),
        "ลาออกแล้ว",
        ""
    ),
"")</f>
        <v/>
      </c>
      <c r="O389" s="292" t="str">
        <f t="array" ref="O389">IFERROR(INDEX(PCRent!C:D, MATCH(F389 &amp; " " &amp; G389, PCRent!A:A &amp; " " &amp; PCRent!B:B, 0)), "")</f>
        <v/>
      </c>
      <c r="P389" s="293"/>
      <c r="Q389" s="294" t="str">
        <f t="array" ref="Q389">IFERROR(INDEX(MonitorRent!C:D, MATCH(F389 &amp; " " &amp; G389, MonitorRent!A:A &amp; " " &amp; MonitorRent!B:B, 0)), "")</f>
        <v/>
      </c>
      <c r="R389" s="295"/>
    </row>
    <row r="390">
      <c r="A390" s="284">
        <v>387.0</v>
      </c>
      <c r="B390" s="285" t="s">
        <v>11315</v>
      </c>
      <c r="C390" s="285" t="s">
        <v>10103</v>
      </c>
      <c r="D390" s="286" t="s">
        <v>10104</v>
      </c>
      <c r="E390" s="285" t="s">
        <v>6921</v>
      </c>
      <c r="F390" s="285" t="s">
        <v>9745</v>
      </c>
      <c r="G390" s="285" t="s">
        <v>11316</v>
      </c>
      <c r="H390" s="285" t="s">
        <v>11317</v>
      </c>
      <c r="I390" s="285" t="s">
        <v>11318</v>
      </c>
      <c r="J390" s="285" t="s">
        <v>5012</v>
      </c>
      <c r="K390" s="285" t="s">
        <v>1417</v>
      </c>
      <c r="L390" s="285" t="s">
        <v>832</v>
      </c>
      <c r="M390" s="285" t="s">
        <v>9383</v>
      </c>
      <c r="N390" s="287" t="str">
        <f>IFERROR(
    IF(
        AND(
            VLOOKUP(B390, 'รายชื่อพนักงานลาออกพ้นสภาพ'!B:I, 8, FALSE)&lt;&gt;"ยกเลิกลาออก",
            VLOOKUP(B390, 'รายชื่อพนักงานลาออกพ้นสภาพ'!B:I, 7, FALSE)&lt;=TODAY()
        ),
        "ลาออกแล้ว",
        ""
    ),
"")</f>
        <v/>
      </c>
      <c r="O390" s="292" t="str">
        <f t="array" ref="O390">IFERROR(INDEX(PCRent!C:D, MATCH(F390 &amp; " " &amp; G390, PCRent!A:A &amp; " " &amp; PCRent!B:B, 0)), "")</f>
        <v/>
      </c>
      <c r="P390" s="293"/>
      <c r="Q390" s="294" t="str">
        <f t="array" ref="Q390">IFERROR(INDEX(MonitorRent!C:D, MATCH(F390 &amp; " " &amp; G390, MonitorRent!A:A &amp; " " &amp; MonitorRent!B:B, 0)), "")</f>
        <v/>
      </c>
      <c r="R390" s="295"/>
    </row>
    <row r="391">
      <c r="A391" s="284">
        <v>388.0</v>
      </c>
      <c r="B391" s="285" t="s">
        <v>11319</v>
      </c>
      <c r="C391" s="285" t="s">
        <v>10103</v>
      </c>
      <c r="D391" s="286" t="s">
        <v>10063</v>
      </c>
      <c r="E391" s="285" t="s">
        <v>6921</v>
      </c>
      <c r="F391" s="285" t="s">
        <v>11320</v>
      </c>
      <c r="G391" s="285" t="s">
        <v>11321</v>
      </c>
      <c r="H391" s="285" t="s">
        <v>11322</v>
      </c>
      <c r="I391" s="285" t="s">
        <v>11323</v>
      </c>
      <c r="J391" s="285" t="s">
        <v>5012</v>
      </c>
      <c r="K391" s="285" t="s">
        <v>1606</v>
      </c>
      <c r="L391" s="285" t="s">
        <v>1258</v>
      </c>
      <c r="M391" s="285" t="s">
        <v>9391</v>
      </c>
      <c r="N391" s="287" t="str">
        <f>IFERROR(
    IF(
        AND(
            VLOOKUP(B391, 'รายชื่อพนักงานลาออกพ้นสภาพ'!B:I, 8, FALSE)&lt;&gt;"ยกเลิกลาออก",
            VLOOKUP(B391, 'รายชื่อพนักงานลาออกพ้นสภาพ'!B:I, 7, FALSE)&lt;=TODAY()
        ),
        "ลาออกแล้ว",
        ""
    ),
"")</f>
        <v/>
      </c>
      <c r="O391" s="292" t="str">
        <f t="array" ref="O391">IFERROR(INDEX(PCRent!C:D, MATCH(F391 &amp; " " &amp; G391, PCRent!A:A &amp; " " &amp; PCRent!B:B, 0)), "")</f>
        <v/>
      </c>
      <c r="P391" s="293"/>
      <c r="Q391" s="294" t="str">
        <f t="array" ref="Q391">IFERROR(INDEX(MonitorRent!C:D, MATCH(F391 &amp; " " &amp; G391, MonitorRent!A:A &amp; " " &amp; MonitorRent!B:B, 0)), "")</f>
        <v/>
      </c>
      <c r="R391" s="295"/>
    </row>
    <row r="392">
      <c r="A392" s="284">
        <v>389.0</v>
      </c>
      <c r="B392" s="285" t="s">
        <v>11324</v>
      </c>
      <c r="C392" s="285" t="s">
        <v>10103</v>
      </c>
      <c r="D392" s="286" t="s">
        <v>11325</v>
      </c>
      <c r="E392" s="285" t="s">
        <v>6921</v>
      </c>
      <c r="F392" s="285" t="s">
        <v>11326</v>
      </c>
      <c r="G392" s="285" t="s">
        <v>11327</v>
      </c>
      <c r="H392" s="296"/>
      <c r="I392" s="296"/>
      <c r="J392" s="285" t="s">
        <v>5012</v>
      </c>
      <c r="K392" s="285" t="s">
        <v>5760</v>
      </c>
      <c r="L392" s="285" t="s">
        <v>9692</v>
      </c>
      <c r="M392" s="285" t="s">
        <v>9383</v>
      </c>
      <c r="N392" s="287" t="str">
        <f>IFERROR(
    IF(
        AND(
            VLOOKUP(B392, 'รายชื่อพนักงานลาออกพ้นสภาพ'!B:I, 8, FALSE)&lt;&gt;"ยกเลิกลาออก",
            VLOOKUP(B392, 'รายชื่อพนักงานลาออกพ้นสภาพ'!B:I, 7, FALSE)&lt;=TODAY()
        ),
        "ลาออกแล้ว",
        ""
    ),
"")</f>
        <v/>
      </c>
      <c r="O392" s="292" t="str">
        <f t="array" ref="O392">IFERROR(INDEX(PCRent!C:D, MATCH(F392 &amp; " " &amp; G392, PCRent!A:A &amp; " " &amp; PCRent!B:B, 0)), "")</f>
        <v/>
      </c>
      <c r="P392" s="293"/>
      <c r="Q392" s="294" t="str">
        <f t="array" ref="Q392">IFERROR(INDEX(MonitorRent!C:D, MATCH(F392 &amp; " " &amp; G392, MonitorRent!A:A &amp; " " &amp; MonitorRent!B:B, 0)), "")</f>
        <v/>
      </c>
      <c r="R392" s="295"/>
    </row>
    <row r="393">
      <c r="A393" s="284">
        <v>390.0</v>
      </c>
      <c r="B393" s="285" t="s">
        <v>283</v>
      </c>
      <c r="C393" s="285" t="s">
        <v>10103</v>
      </c>
      <c r="D393" s="286" t="s">
        <v>9399</v>
      </c>
      <c r="E393" s="285" t="s">
        <v>6921</v>
      </c>
      <c r="F393" s="285" t="s">
        <v>11328</v>
      </c>
      <c r="G393" s="285" t="s">
        <v>11329</v>
      </c>
      <c r="H393" s="285" t="s">
        <v>10744</v>
      </c>
      <c r="I393" s="285" t="s">
        <v>285</v>
      </c>
      <c r="J393" s="285" t="s">
        <v>5224</v>
      </c>
      <c r="K393" s="285" t="s">
        <v>9649</v>
      </c>
      <c r="L393" s="285" t="s">
        <v>5805</v>
      </c>
      <c r="M393" s="285" t="s">
        <v>9391</v>
      </c>
      <c r="N393" s="287" t="str">
        <f>IFERROR(
    IF(
        AND(
            VLOOKUP(B393, 'รายชื่อพนักงานลาออกพ้นสภาพ'!B:I, 8, FALSE)&lt;&gt;"ยกเลิกลาออก",
            VLOOKUP(B393, 'รายชื่อพนักงานลาออกพ้นสภาพ'!B:I, 7, FALSE)&lt;=TODAY()
        ),
        "ลาออกแล้ว",
        ""
    ),
"")</f>
        <v>ลาออกแล้ว</v>
      </c>
      <c r="O393" s="292" t="str">
        <f t="array" ref="O393">IFERROR(INDEX(PCRent!C:D, MATCH(F393 &amp; " " &amp; G393, PCRent!A:A &amp; " " &amp; PCRent!B:B, 0)), "")</f>
        <v/>
      </c>
      <c r="P393" s="293"/>
      <c r="Q393" s="294" t="str">
        <f t="array" ref="Q393">IFERROR(INDEX(MonitorRent!C:D, MATCH(F393 &amp; " " &amp; G393, MonitorRent!A:A &amp; " " &amp; MonitorRent!B:B, 0)), "")</f>
        <v/>
      </c>
      <c r="R393" s="295"/>
    </row>
    <row r="394">
      <c r="A394" s="284">
        <v>391.0</v>
      </c>
      <c r="B394" s="285" t="s">
        <v>11330</v>
      </c>
      <c r="C394" s="285" t="s">
        <v>10103</v>
      </c>
      <c r="D394" s="286" t="s">
        <v>9673</v>
      </c>
      <c r="E394" s="285" t="s">
        <v>6933</v>
      </c>
      <c r="F394" s="285" t="s">
        <v>11331</v>
      </c>
      <c r="G394" s="285" t="s">
        <v>11332</v>
      </c>
      <c r="H394" s="285" t="s">
        <v>9380</v>
      </c>
      <c r="I394" s="285" t="s">
        <v>11333</v>
      </c>
      <c r="J394" s="285" t="s">
        <v>5012</v>
      </c>
      <c r="K394" s="285" t="s">
        <v>10114</v>
      </c>
      <c r="L394" s="285" t="s">
        <v>832</v>
      </c>
      <c r="M394" s="285" t="s">
        <v>9383</v>
      </c>
      <c r="N394" s="287" t="str">
        <f>IFERROR(
    IF(
        AND(
            VLOOKUP(B394, 'รายชื่อพนักงานลาออกพ้นสภาพ'!B:I, 8, FALSE)&lt;&gt;"ยกเลิกลาออก",
            VLOOKUP(B394, 'รายชื่อพนักงานลาออกพ้นสภาพ'!B:I, 7, FALSE)&lt;=TODAY()
        ),
        "ลาออกแล้ว",
        ""
    ),
"")</f>
        <v/>
      </c>
      <c r="O394" s="292" t="str">
        <f t="array" ref="O394">IFERROR(INDEX(PCRent!C:D, MATCH(F394 &amp; " " &amp; G394, PCRent!A:A &amp; " " &amp; PCRent!B:B, 0)), "")</f>
        <v/>
      </c>
      <c r="P394" s="293"/>
      <c r="Q394" s="294" t="str">
        <f t="array" ref="Q394">IFERROR(INDEX(MonitorRent!C:D, MATCH(F394 &amp; " " &amp; G394, MonitorRent!A:A &amp; " " &amp; MonitorRent!B:B, 0)), "")</f>
        <v/>
      </c>
      <c r="R394" s="295"/>
    </row>
    <row r="395">
      <c r="A395" s="284">
        <v>392.0</v>
      </c>
      <c r="B395" s="285" t="s">
        <v>11334</v>
      </c>
      <c r="C395" s="285" t="s">
        <v>10103</v>
      </c>
      <c r="D395" s="286" t="s">
        <v>11335</v>
      </c>
      <c r="E395" s="285" t="s">
        <v>6933</v>
      </c>
      <c r="F395" s="285" t="s">
        <v>11336</v>
      </c>
      <c r="G395" s="285" t="s">
        <v>11337</v>
      </c>
      <c r="H395" s="285" t="s">
        <v>11338</v>
      </c>
      <c r="I395" s="285" t="s">
        <v>11339</v>
      </c>
      <c r="J395" s="285" t="s">
        <v>5012</v>
      </c>
      <c r="K395" s="285" t="s">
        <v>5638</v>
      </c>
      <c r="L395" s="285" t="s">
        <v>832</v>
      </c>
      <c r="M395" s="285" t="s">
        <v>9383</v>
      </c>
      <c r="N395" s="287" t="str">
        <f>IFERROR(
    IF(
        AND(
            VLOOKUP(B395, 'รายชื่อพนักงานลาออกพ้นสภาพ'!B:I, 8, FALSE)&lt;&gt;"ยกเลิกลาออก",
            VLOOKUP(B395, 'รายชื่อพนักงานลาออกพ้นสภาพ'!B:I, 7, FALSE)&lt;=TODAY()
        ),
        "ลาออกแล้ว",
        ""
    ),
"")</f>
        <v/>
      </c>
      <c r="O395" s="292" t="str">
        <f t="array" ref="O395">IFERROR(INDEX(PCRent!C:D, MATCH(F395 &amp; " " &amp; G395, PCRent!A:A &amp; " " &amp; PCRent!B:B, 0)), "")</f>
        <v/>
      </c>
      <c r="P395" s="293"/>
      <c r="Q395" s="294" t="str">
        <f t="array" ref="Q395">IFERROR(INDEX(MonitorRent!C:D, MATCH(F395 &amp; " " &amp; G395, MonitorRent!A:A &amp; " " &amp; MonitorRent!B:B, 0)), "")</f>
        <v/>
      </c>
      <c r="R395" s="295"/>
    </row>
    <row r="396">
      <c r="A396" s="284">
        <v>393.0</v>
      </c>
      <c r="B396" s="285" t="s">
        <v>192</v>
      </c>
      <c r="C396" s="285" t="s">
        <v>10103</v>
      </c>
      <c r="D396" s="286" t="s">
        <v>10690</v>
      </c>
      <c r="E396" s="285" t="s">
        <v>6933</v>
      </c>
      <c r="F396" s="285" t="s">
        <v>11340</v>
      </c>
      <c r="G396" s="285" t="s">
        <v>11341</v>
      </c>
      <c r="H396" s="285" t="s">
        <v>10145</v>
      </c>
      <c r="I396" s="285" t="s">
        <v>194</v>
      </c>
      <c r="J396" s="285" t="s">
        <v>5012</v>
      </c>
      <c r="K396" s="285" t="s">
        <v>10114</v>
      </c>
      <c r="L396" s="285" t="s">
        <v>10127</v>
      </c>
      <c r="M396" s="285" t="s">
        <v>9383</v>
      </c>
      <c r="N396" s="287" t="str">
        <f>IFERROR(
    IF(
        AND(
            VLOOKUP(B396, 'รายชื่อพนักงานลาออกพ้นสภาพ'!B:I, 8, FALSE)&lt;&gt;"ยกเลิกลาออก",
            VLOOKUP(B396, 'รายชื่อพนักงานลาออกพ้นสภาพ'!B:I, 7, FALSE)&lt;=TODAY()
        ),
        "ลาออกแล้ว",
        ""
    ),
"")</f>
        <v>ลาออกแล้ว</v>
      </c>
      <c r="O396" s="292" t="str">
        <f t="array" ref="O396">IFERROR(INDEX(PCRent!C:D, MATCH(F396 &amp; " " &amp; G396, PCRent!A:A &amp; " " &amp; PCRent!B:B, 0)), "")</f>
        <v/>
      </c>
      <c r="P396" s="293"/>
      <c r="Q396" s="294" t="str">
        <f t="array" ref="Q396">IFERROR(INDEX(MonitorRent!C:D, MATCH(F396 &amp; " " &amp; G396, MonitorRent!A:A &amp; " " &amp; MonitorRent!B:B, 0)), "")</f>
        <v/>
      </c>
      <c r="R396" s="295"/>
    </row>
    <row r="397">
      <c r="A397" s="284">
        <v>394.0</v>
      </c>
      <c r="B397" s="285" t="s">
        <v>11342</v>
      </c>
      <c r="C397" s="285" t="s">
        <v>10103</v>
      </c>
      <c r="D397" s="286" t="s">
        <v>11343</v>
      </c>
      <c r="E397" s="285" t="s">
        <v>6933</v>
      </c>
      <c r="F397" s="285" t="s">
        <v>11344</v>
      </c>
      <c r="G397" s="285" t="s">
        <v>11345</v>
      </c>
      <c r="H397" s="285" t="s">
        <v>9449</v>
      </c>
      <c r="I397" s="285" t="s">
        <v>11346</v>
      </c>
      <c r="J397" s="285" t="s">
        <v>5012</v>
      </c>
      <c r="K397" s="285" t="s">
        <v>1417</v>
      </c>
      <c r="L397" s="285" t="s">
        <v>832</v>
      </c>
      <c r="M397" s="285" t="s">
        <v>9383</v>
      </c>
      <c r="N397" s="287" t="str">
        <f>IFERROR(
    IF(
        AND(
            VLOOKUP(B397, 'รายชื่อพนักงานลาออกพ้นสภาพ'!B:I, 8, FALSE)&lt;&gt;"ยกเลิกลาออก",
            VLOOKUP(B397, 'รายชื่อพนักงานลาออกพ้นสภาพ'!B:I, 7, FALSE)&lt;=TODAY()
        ),
        "ลาออกแล้ว",
        ""
    ),
"")</f>
        <v/>
      </c>
      <c r="O397" s="292" t="str">
        <f t="array" ref="O397">IFERROR(INDEX(PCRent!C:D, MATCH(F397 &amp; " " &amp; G397, PCRent!A:A &amp; " " &amp; PCRent!B:B, 0)), "")</f>
        <v/>
      </c>
      <c r="P397" s="293"/>
      <c r="Q397" s="294" t="str">
        <f t="array" ref="Q397">IFERROR(INDEX(MonitorRent!C:D, MATCH(F397 &amp; " " &amp; G397, MonitorRent!A:A &amp; " " &amp; MonitorRent!B:B, 0)), "")</f>
        <v/>
      </c>
      <c r="R397" s="295"/>
    </row>
    <row r="398">
      <c r="A398" s="284">
        <v>395.0</v>
      </c>
      <c r="B398" s="285" t="s">
        <v>11347</v>
      </c>
      <c r="C398" s="285" t="s">
        <v>10103</v>
      </c>
      <c r="D398" s="286" t="s">
        <v>11348</v>
      </c>
      <c r="E398" s="285" t="s">
        <v>6921</v>
      </c>
      <c r="F398" s="285" t="s">
        <v>11349</v>
      </c>
      <c r="G398" s="285" t="s">
        <v>11350</v>
      </c>
      <c r="H398" s="285" t="s">
        <v>9747</v>
      </c>
      <c r="I398" s="285" t="s">
        <v>11351</v>
      </c>
      <c r="J398" s="285" t="s">
        <v>5224</v>
      </c>
      <c r="K398" s="285" t="s">
        <v>4749</v>
      </c>
      <c r="L398" s="285" t="s">
        <v>566</v>
      </c>
      <c r="M398" s="285" t="s">
        <v>9383</v>
      </c>
      <c r="N398" s="287" t="str">
        <f>IFERROR(
    IF(
        AND(
            VLOOKUP(B398, 'รายชื่อพนักงานลาออกพ้นสภาพ'!B:I, 8, FALSE)&lt;&gt;"ยกเลิกลาออก",
            VLOOKUP(B398, 'รายชื่อพนักงานลาออกพ้นสภาพ'!B:I, 7, FALSE)&lt;=TODAY()
        ),
        "ลาออกแล้ว",
        ""
    ),
"")</f>
        <v/>
      </c>
      <c r="O398" s="292" t="str">
        <f t="array" ref="O398:P398">IFERROR(INDEX(PCRent!C:D, MATCH(F398 &amp; " " &amp; G398, PCRent!A:A &amp; " " &amp; PCRent!B:B, 0)), "")</f>
        <v>SN:MP2EJ0M1</v>
      </c>
      <c r="P398" s="293" t="s">
        <v>6993</v>
      </c>
      <c r="Q398" s="294" t="str">
        <f t="array" ref="Q398">IFERROR(INDEX(MonitorRent!C:D, MATCH(F398 &amp; " " &amp; G398, MonitorRent!A:A &amp; " " &amp; MonitorRent!B:B, 0)), "")</f>
        <v/>
      </c>
      <c r="R398" s="295"/>
    </row>
    <row r="399">
      <c r="A399" s="284">
        <v>396.0</v>
      </c>
      <c r="B399" s="285" t="s">
        <v>11352</v>
      </c>
      <c r="C399" s="285" t="s">
        <v>10103</v>
      </c>
      <c r="D399" s="286" t="s">
        <v>10608</v>
      </c>
      <c r="E399" s="285" t="s">
        <v>6921</v>
      </c>
      <c r="F399" s="285" t="s">
        <v>11353</v>
      </c>
      <c r="G399" s="285" t="s">
        <v>11354</v>
      </c>
      <c r="H399" s="285" t="s">
        <v>9659</v>
      </c>
      <c r="I399" s="285" t="s">
        <v>11355</v>
      </c>
      <c r="J399" s="285" t="s">
        <v>5224</v>
      </c>
      <c r="K399" s="285" t="s">
        <v>10273</v>
      </c>
      <c r="L399" s="285" t="s">
        <v>10538</v>
      </c>
      <c r="M399" s="285" t="s">
        <v>9391</v>
      </c>
      <c r="N399" s="287" t="str">
        <f>IFERROR(
    IF(
        AND(
            VLOOKUP(B399, 'รายชื่อพนักงานลาออกพ้นสภาพ'!B:I, 8, FALSE)&lt;&gt;"ยกเลิกลาออก",
            VLOOKUP(B399, 'รายชื่อพนักงานลาออกพ้นสภาพ'!B:I, 7, FALSE)&lt;=TODAY()
        ),
        "ลาออกแล้ว",
        ""
    ),
"")</f>
        <v/>
      </c>
      <c r="O399" s="292" t="str">
        <f t="array" ref="O399">IFERROR(INDEX(PCRent!C:D, MATCH(F399 &amp; " " &amp; G399, PCRent!A:A &amp; " " &amp; PCRent!B:B, 0)), "")</f>
        <v/>
      </c>
      <c r="P399" s="293"/>
      <c r="Q399" s="294" t="str">
        <f t="array" ref="Q399">IFERROR(INDEX(MonitorRent!C:D, MATCH(F399 &amp; " " &amp; G399, MonitorRent!A:A &amp; " " &amp; MonitorRent!B:B, 0)), "")</f>
        <v/>
      </c>
      <c r="R399" s="295"/>
    </row>
    <row r="400">
      <c r="A400" s="284">
        <v>397.0</v>
      </c>
      <c r="B400" s="285" t="s">
        <v>727</v>
      </c>
      <c r="C400" s="285" t="s">
        <v>10103</v>
      </c>
      <c r="D400" s="286" t="s">
        <v>9937</v>
      </c>
      <c r="E400" s="285" t="s">
        <v>6933</v>
      </c>
      <c r="F400" s="285" t="s">
        <v>11356</v>
      </c>
      <c r="G400" s="285" t="s">
        <v>11357</v>
      </c>
      <c r="H400" s="285" t="s">
        <v>11358</v>
      </c>
      <c r="I400" s="285" t="s">
        <v>730</v>
      </c>
      <c r="J400" s="285" t="s">
        <v>5012</v>
      </c>
      <c r="K400" s="285" t="s">
        <v>1417</v>
      </c>
      <c r="L400" s="285" t="s">
        <v>10127</v>
      </c>
      <c r="M400" s="285" t="s">
        <v>9383</v>
      </c>
      <c r="N400" s="287" t="str">
        <f>IFERROR(
    IF(
        AND(
            VLOOKUP(B400, 'รายชื่อพนักงานลาออกพ้นสภาพ'!B:I, 8, FALSE)&lt;&gt;"ยกเลิกลาออก",
            VLOOKUP(B400, 'รายชื่อพนักงานลาออกพ้นสภาพ'!B:I, 7, FALSE)&lt;=TODAY()
        ),
        "ลาออกแล้ว",
        ""
    ),
"")</f>
        <v>ลาออกแล้ว</v>
      </c>
      <c r="O400" s="292" t="str">
        <f t="array" ref="O400">IFERROR(INDEX(PCRent!C:D, MATCH(F400 &amp; " " &amp; G400, PCRent!A:A &amp; " " &amp; PCRent!B:B, 0)), "")</f>
        <v/>
      </c>
      <c r="P400" s="293"/>
      <c r="Q400" s="294" t="str">
        <f t="array" ref="Q400">IFERROR(INDEX(MonitorRent!C:D, MATCH(F400 &amp; " " &amp; G400, MonitorRent!A:A &amp; " " &amp; MonitorRent!B:B, 0)), "")</f>
        <v/>
      </c>
      <c r="R400" s="295"/>
    </row>
    <row r="401">
      <c r="A401" s="284">
        <v>398.0</v>
      </c>
      <c r="B401" s="285" t="s">
        <v>11359</v>
      </c>
      <c r="C401" s="285" t="s">
        <v>10103</v>
      </c>
      <c r="D401" s="286" t="s">
        <v>10063</v>
      </c>
      <c r="E401" s="285" t="s">
        <v>6933</v>
      </c>
      <c r="F401" s="285" t="s">
        <v>11360</v>
      </c>
      <c r="G401" s="285" t="s">
        <v>11361</v>
      </c>
      <c r="H401" s="285" t="s">
        <v>11362</v>
      </c>
      <c r="I401" s="285" t="s">
        <v>11363</v>
      </c>
      <c r="J401" s="285" t="s">
        <v>5012</v>
      </c>
      <c r="K401" s="285" t="s">
        <v>5638</v>
      </c>
      <c r="L401" s="285" t="s">
        <v>10127</v>
      </c>
      <c r="M401" s="285" t="s">
        <v>9391</v>
      </c>
      <c r="N401" s="287" t="str">
        <f>IFERROR(
    IF(
        AND(
            VLOOKUP(B401, 'รายชื่อพนักงานลาออกพ้นสภาพ'!B:I, 8, FALSE)&lt;&gt;"ยกเลิกลาออก",
            VLOOKUP(B401, 'รายชื่อพนักงานลาออกพ้นสภาพ'!B:I, 7, FALSE)&lt;=TODAY()
        ),
        "ลาออกแล้ว",
        ""
    ),
"")</f>
        <v/>
      </c>
      <c r="O401" s="292" t="str">
        <f t="array" ref="O401">IFERROR(INDEX(PCRent!C:D, MATCH(F401 &amp; " " &amp; G401, PCRent!A:A &amp; " " &amp; PCRent!B:B, 0)), "")</f>
        <v/>
      </c>
      <c r="P401" s="293"/>
      <c r="Q401" s="294" t="str">
        <f t="array" ref="Q401">IFERROR(INDEX(MonitorRent!C:D, MATCH(F401 &amp; " " &amp; G401, MonitorRent!A:A &amp; " " &amp; MonitorRent!B:B, 0)), "")</f>
        <v/>
      </c>
      <c r="R401" s="295"/>
    </row>
    <row r="402">
      <c r="A402" s="284">
        <v>399.0</v>
      </c>
      <c r="B402" s="285" t="s">
        <v>11364</v>
      </c>
      <c r="C402" s="285" t="s">
        <v>10103</v>
      </c>
      <c r="D402" s="286" t="s">
        <v>10138</v>
      </c>
      <c r="E402" s="285" t="s">
        <v>6933</v>
      </c>
      <c r="F402" s="285" t="s">
        <v>11365</v>
      </c>
      <c r="G402" s="285" t="s">
        <v>11366</v>
      </c>
      <c r="H402" s="285" t="s">
        <v>10672</v>
      </c>
      <c r="I402" s="285" t="s">
        <v>11367</v>
      </c>
      <c r="J402" s="285" t="s">
        <v>5012</v>
      </c>
      <c r="K402" s="285" t="s">
        <v>10114</v>
      </c>
      <c r="L402" s="285" t="s">
        <v>10127</v>
      </c>
      <c r="M402" s="285" t="s">
        <v>9383</v>
      </c>
      <c r="N402" s="287" t="str">
        <f>IFERROR(
    IF(
        AND(
            VLOOKUP(B402, 'รายชื่อพนักงานลาออกพ้นสภาพ'!B:I, 8, FALSE)&lt;&gt;"ยกเลิกลาออก",
            VLOOKUP(B402, 'รายชื่อพนักงานลาออกพ้นสภาพ'!B:I, 7, FALSE)&lt;=TODAY()
        ),
        "ลาออกแล้ว",
        ""
    ),
"")</f>
        <v/>
      </c>
      <c r="O402" s="292" t="str">
        <f t="array" ref="O402">IFERROR(INDEX(PCRent!C:D, MATCH(F402 &amp; " " &amp; G402, PCRent!A:A &amp; " " &amp; PCRent!B:B, 0)), "")</f>
        <v/>
      </c>
      <c r="P402" s="293"/>
      <c r="Q402" s="294" t="str">
        <f t="array" ref="Q402">IFERROR(INDEX(MonitorRent!C:D, MATCH(F402 &amp; " " &amp; G402, MonitorRent!A:A &amp; " " &amp; MonitorRent!B:B, 0)), "")</f>
        <v/>
      </c>
      <c r="R402" s="295"/>
    </row>
    <row r="403">
      <c r="A403" s="284">
        <v>400.0</v>
      </c>
      <c r="B403" s="285" t="s">
        <v>2820</v>
      </c>
      <c r="C403" s="285" t="s">
        <v>10103</v>
      </c>
      <c r="D403" s="286" t="s">
        <v>11368</v>
      </c>
      <c r="E403" s="285" t="s">
        <v>6933</v>
      </c>
      <c r="F403" s="285" t="s">
        <v>11369</v>
      </c>
      <c r="G403" s="285" t="s">
        <v>11370</v>
      </c>
      <c r="H403" s="285" t="s">
        <v>10675</v>
      </c>
      <c r="I403" s="285" t="s">
        <v>6252</v>
      </c>
      <c r="J403" s="285" t="s">
        <v>5012</v>
      </c>
      <c r="K403" s="285" t="s">
        <v>10114</v>
      </c>
      <c r="L403" s="285" t="s">
        <v>832</v>
      </c>
      <c r="M403" s="285" t="s">
        <v>9383</v>
      </c>
      <c r="N403" s="287" t="str">
        <f>IFERROR(
    IF(
        AND(
            VLOOKUP(B403, 'รายชื่อพนักงานลาออกพ้นสภาพ'!B:I, 8, FALSE)&lt;&gt;"ยกเลิกลาออก",
            VLOOKUP(B403, 'รายชื่อพนักงานลาออกพ้นสภาพ'!B:I, 7, FALSE)&lt;=TODAY()
        ),
        "ลาออกแล้ว",
        ""
    ),
"")</f>
        <v/>
      </c>
      <c r="O403" s="292" t="str">
        <f t="array" ref="O403">IFERROR(INDEX(PCRent!C:D, MATCH(F403 &amp; " " &amp; G403, PCRent!A:A &amp; " " &amp; PCRent!B:B, 0)), "")</f>
        <v/>
      </c>
      <c r="P403" s="293"/>
      <c r="Q403" s="294" t="str">
        <f t="array" ref="Q403">IFERROR(INDEX(MonitorRent!C:D, MATCH(F403 &amp; " " &amp; G403, MonitorRent!A:A &amp; " " &amp; MonitorRent!B:B, 0)), "")</f>
        <v/>
      </c>
      <c r="R403" s="295"/>
    </row>
    <row r="404">
      <c r="A404" s="284">
        <v>401.0</v>
      </c>
      <c r="B404" s="285" t="s">
        <v>146</v>
      </c>
      <c r="C404" s="285" t="s">
        <v>10103</v>
      </c>
      <c r="D404" s="286" t="s">
        <v>11371</v>
      </c>
      <c r="E404" s="285" t="s">
        <v>6933</v>
      </c>
      <c r="F404" s="285" t="s">
        <v>11372</v>
      </c>
      <c r="G404" s="285" t="s">
        <v>11373</v>
      </c>
      <c r="H404" s="285" t="s">
        <v>11374</v>
      </c>
      <c r="I404" s="285" t="s">
        <v>149</v>
      </c>
      <c r="J404" s="285" t="s">
        <v>5012</v>
      </c>
      <c r="K404" s="285" t="s">
        <v>10114</v>
      </c>
      <c r="L404" s="285" t="s">
        <v>10127</v>
      </c>
      <c r="M404" s="285" t="s">
        <v>9383</v>
      </c>
      <c r="N404" s="287" t="str">
        <f>IFERROR(
    IF(
        AND(
            VLOOKUP(B404, 'รายชื่อพนักงานลาออกพ้นสภาพ'!B:I, 8, FALSE)&lt;&gt;"ยกเลิกลาออก",
            VLOOKUP(B404, 'รายชื่อพนักงานลาออกพ้นสภาพ'!B:I, 7, FALSE)&lt;=TODAY()
        ),
        "ลาออกแล้ว",
        ""
    ),
"")</f>
        <v/>
      </c>
      <c r="O404" s="292" t="str">
        <f t="array" ref="O404">IFERROR(INDEX(PCRent!C:D, MATCH(F404 &amp; " " &amp; G404, PCRent!A:A &amp; " " &amp; PCRent!B:B, 0)), "")</f>
        <v/>
      </c>
      <c r="P404" s="293"/>
      <c r="Q404" s="294" t="str">
        <f t="array" ref="Q404">IFERROR(INDEX(MonitorRent!C:D, MATCH(F404 &amp; " " &amp; G404, MonitorRent!A:A &amp; " " &amp; MonitorRent!B:B, 0)), "")</f>
        <v/>
      </c>
      <c r="R404" s="295"/>
    </row>
    <row r="405">
      <c r="A405" s="284">
        <v>402.0</v>
      </c>
      <c r="B405" s="285" t="s">
        <v>11375</v>
      </c>
      <c r="C405" s="285" t="s">
        <v>10103</v>
      </c>
      <c r="D405" s="286" t="s">
        <v>10180</v>
      </c>
      <c r="E405" s="285" t="s">
        <v>6933</v>
      </c>
      <c r="F405" s="285" t="s">
        <v>11376</v>
      </c>
      <c r="G405" s="285" t="s">
        <v>11377</v>
      </c>
      <c r="H405" s="285" t="s">
        <v>11378</v>
      </c>
      <c r="I405" s="285" t="s">
        <v>11379</v>
      </c>
      <c r="J405" s="285" t="s">
        <v>5012</v>
      </c>
      <c r="K405" s="285" t="s">
        <v>10114</v>
      </c>
      <c r="L405" s="285" t="s">
        <v>832</v>
      </c>
      <c r="M405" s="285" t="s">
        <v>9383</v>
      </c>
      <c r="N405" s="287" t="str">
        <f>IFERROR(
    IF(
        AND(
            VLOOKUP(B405, 'รายชื่อพนักงานลาออกพ้นสภาพ'!B:I, 8, FALSE)&lt;&gt;"ยกเลิกลาออก",
            VLOOKUP(B405, 'รายชื่อพนักงานลาออกพ้นสภาพ'!B:I, 7, FALSE)&lt;=TODAY()
        ),
        "ลาออกแล้ว",
        ""
    ),
"")</f>
        <v/>
      </c>
      <c r="O405" s="292" t="str">
        <f t="array" ref="O405">IFERROR(INDEX(PCRent!C:D, MATCH(F405 &amp; " " &amp; G405, PCRent!A:A &amp; " " &amp; PCRent!B:B, 0)), "")</f>
        <v/>
      </c>
      <c r="P405" s="293"/>
      <c r="Q405" s="294" t="str">
        <f t="array" ref="Q405">IFERROR(INDEX(MonitorRent!C:D, MATCH(F405 &amp; " " &amp; G405, MonitorRent!A:A &amp; " " &amp; MonitorRent!B:B, 0)), "")</f>
        <v/>
      </c>
      <c r="R405" s="295"/>
    </row>
    <row r="406">
      <c r="A406" s="284">
        <v>403.0</v>
      </c>
      <c r="B406" s="285" t="s">
        <v>11380</v>
      </c>
      <c r="C406" s="285" t="s">
        <v>10103</v>
      </c>
      <c r="D406" s="286" t="s">
        <v>11381</v>
      </c>
      <c r="E406" s="285" t="s">
        <v>6933</v>
      </c>
      <c r="F406" s="285" t="s">
        <v>11382</v>
      </c>
      <c r="G406" s="285" t="s">
        <v>11383</v>
      </c>
      <c r="H406" s="285" t="s">
        <v>9827</v>
      </c>
      <c r="I406" s="285" t="s">
        <v>11384</v>
      </c>
      <c r="J406" s="285" t="s">
        <v>5224</v>
      </c>
      <c r="K406" s="285" t="s">
        <v>4835</v>
      </c>
      <c r="L406" s="285" t="s">
        <v>832</v>
      </c>
      <c r="M406" s="285" t="s">
        <v>9383</v>
      </c>
      <c r="N406" s="287" t="str">
        <f>IFERROR(
    IF(
        AND(
            VLOOKUP(B406, 'รายชื่อพนักงานลาออกพ้นสภาพ'!B:I, 8, FALSE)&lt;&gt;"ยกเลิกลาออก",
            VLOOKUP(B406, 'รายชื่อพนักงานลาออกพ้นสภาพ'!B:I, 7, FALSE)&lt;=TODAY()
        ),
        "ลาออกแล้ว",
        ""
    ),
"")</f>
        <v/>
      </c>
      <c r="O406" s="292" t="str">
        <f t="array" ref="O406">IFERROR(INDEX(PCRent!C:D, MATCH(F406 &amp; " " &amp; G406, PCRent!A:A &amp; " " &amp; PCRent!B:B, 0)), "")</f>
        <v/>
      </c>
      <c r="P406" s="293"/>
      <c r="Q406" s="294" t="str">
        <f t="array" ref="Q406">IFERROR(INDEX(MonitorRent!C:D, MATCH(F406 &amp; " " &amp; G406, MonitorRent!A:A &amp; " " &amp; MonitorRent!B:B, 0)), "")</f>
        <v/>
      </c>
      <c r="R406" s="295"/>
    </row>
    <row r="407">
      <c r="A407" s="284">
        <v>404.0</v>
      </c>
      <c r="B407" s="285" t="s">
        <v>11385</v>
      </c>
      <c r="C407" s="285" t="s">
        <v>10103</v>
      </c>
      <c r="D407" s="286" t="s">
        <v>9606</v>
      </c>
      <c r="E407" s="285" t="s">
        <v>6921</v>
      </c>
      <c r="F407" s="285" t="s">
        <v>11386</v>
      </c>
      <c r="G407" s="285" t="s">
        <v>11387</v>
      </c>
      <c r="H407" s="285" t="s">
        <v>9849</v>
      </c>
      <c r="I407" s="285" t="s">
        <v>11388</v>
      </c>
      <c r="J407" s="285" t="s">
        <v>5012</v>
      </c>
      <c r="K407" s="285" t="s">
        <v>1417</v>
      </c>
      <c r="L407" s="285" t="s">
        <v>832</v>
      </c>
      <c r="M407" s="285" t="s">
        <v>9383</v>
      </c>
      <c r="N407" s="287" t="str">
        <f>IFERROR(
    IF(
        AND(
            VLOOKUP(B407, 'รายชื่อพนักงานลาออกพ้นสภาพ'!B:I, 8, FALSE)&lt;&gt;"ยกเลิกลาออก",
            VLOOKUP(B407, 'รายชื่อพนักงานลาออกพ้นสภาพ'!B:I, 7, FALSE)&lt;=TODAY()
        ),
        "ลาออกแล้ว",
        ""
    ),
"")</f>
        <v/>
      </c>
      <c r="O407" s="292" t="str">
        <f t="array" ref="O407">IFERROR(INDEX(PCRent!C:D, MATCH(F407 &amp; " " &amp; G407, PCRent!A:A &amp; " " &amp; PCRent!B:B, 0)), "")</f>
        <v/>
      </c>
      <c r="P407" s="293"/>
      <c r="Q407" s="294" t="str">
        <f t="array" ref="Q407">IFERROR(INDEX(MonitorRent!C:D, MATCH(F407 &amp; " " &amp; G407, MonitorRent!A:A &amp; " " &amp; MonitorRent!B:B, 0)), "")</f>
        <v/>
      </c>
      <c r="R407" s="295"/>
    </row>
    <row r="408">
      <c r="A408" s="284">
        <v>405.0</v>
      </c>
      <c r="B408" s="285" t="s">
        <v>11389</v>
      </c>
      <c r="C408" s="285" t="s">
        <v>10103</v>
      </c>
      <c r="D408" s="286" t="s">
        <v>10239</v>
      </c>
      <c r="E408" s="285" t="s">
        <v>6933</v>
      </c>
      <c r="F408" s="285" t="s">
        <v>11390</v>
      </c>
      <c r="G408" s="285" t="s">
        <v>10360</v>
      </c>
      <c r="H408" s="285" t="s">
        <v>10244</v>
      </c>
      <c r="I408" s="285" t="s">
        <v>11391</v>
      </c>
      <c r="J408" s="285" t="s">
        <v>5012</v>
      </c>
      <c r="K408" s="285" t="s">
        <v>10114</v>
      </c>
      <c r="L408" s="285" t="s">
        <v>832</v>
      </c>
      <c r="M408" s="285" t="s">
        <v>9383</v>
      </c>
      <c r="N408" s="287" t="str">
        <f>IFERROR(
    IF(
        AND(
            VLOOKUP(B408, 'รายชื่อพนักงานลาออกพ้นสภาพ'!B:I, 8, FALSE)&lt;&gt;"ยกเลิกลาออก",
            VLOOKUP(B408, 'รายชื่อพนักงานลาออกพ้นสภาพ'!B:I, 7, FALSE)&lt;=TODAY()
        ),
        "ลาออกแล้ว",
        ""
    ),
"")</f>
        <v/>
      </c>
      <c r="O408" s="292" t="str">
        <f t="array" ref="O408">IFERROR(INDEX(PCRent!C:D, MATCH(F408 &amp; " " &amp; G408, PCRent!A:A &amp; " " &amp; PCRent!B:B, 0)), "")</f>
        <v/>
      </c>
      <c r="P408" s="293"/>
      <c r="Q408" s="294" t="str">
        <f t="array" ref="Q408">IFERROR(INDEX(MonitorRent!C:D, MATCH(F408 &amp; " " &amp; G408, MonitorRent!A:A &amp; " " &amp; MonitorRent!B:B, 0)), "")</f>
        <v/>
      </c>
      <c r="R408" s="295"/>
    </row>
    <row r="409">
      <c r="A409" s="284">
        <v>406.0</v>
      </c>
      <c r="B409" s="285" t="s">
        <v>458</v>
      </c>
      <c r="C409" s="285" t="s">
        <v>10103</v>
      </c>
      <c r="D409" s="286" t="s">
        <v>10196</v>
      </c>
      <c r="E409" s="285" t="s">
        <v>6921</v>
      </c>
      <c r="F409" s="285" t="s">
        <v>11392</v>
      </c>
      <c r="G409" s="285" t="s">
        <v>11393</v>
      </c>
      <c r="H409" s="285" t="s">
        <v>11394</v>
      </c>
      <c r="I409" s="285" t="s">
        <v>461</v>
      </c>
      <c r="J409" s="285" t="s">
        <v>5012</v>
      </c>
      <c r="K409" s="285" t="s">
        <v>1492</v>
      </c>
      <c r="L409" s="285" t="s">
        <v>1258</v>
      </c>
      <c r="M409" s="285" t="s">
        <v>9391</v>
      </c>
      <c r="N409" s="287" t="str">
        <f>IFERROR(
    IF(
        AND(
            VLOOKUP(B409, 'รายชื่อพนักงานลาออกพ้นสภาพ'!B:I, 8, FALSE)&lt;&gt;"ยกเลิกลาออก",
            VLOOKUP(B409, 'รายชื่อพนักงานลาออกพ้นสภาพ'!B:I, 7, FALSE)&lt;=TODAY()
        ),
        "ลาออกแล้ว",
        ""
    ),
"")</f>
        <v>ลาออกแล้ว</v>
      </c>
      <c r="O409" s="292" t="str">
        <f t="array" ref="O409">IFERROR(INDEX(PCRent!C:D, MATCH(F409 &amp; " " &amp; G409, PCRent!A:A &amp; " " &amp; PCRent!B:B, 0)), "")</f>
        <v/>
      </c>
      <c r="P409" s="293"/>
      <c r="Q409" s="294" t="str">
        <f t="array" ref="Q409">IFERROR(INDEX(MonitorRent!C:D, MATCH(F409 &amp; " " &amp; G409, MonitorRent!A:A &amp; " " &amp; MonitorRent!B:B, 0)), "")</f>
        <v/>
      </c>
      <c r="R409" s="295"/>
    </row>
    <row r="410">
      <c r="A410" s="284">
        <v>407.0</v>
      </c>
      <c r="B410" s="285" t="s">
        <v>11395</v>
      </c>
      <c r="C410" s="285" t="s">
        <v>10103</v>
      </c>
      <c r="D410" s="286" t="s">
        <v>10526</v>
      </c>
      <c r="E410" s="285" t="s">
        <v>6933</v>
      </c>
      <c r="F410" s="285" t="s">
        <v>11396</v>
      </c>
      <c r="G410" s="285" t="s">
        <v>11397</v>
      </c>
      <c r="H410" s="285" t="s">
        <v>11398</v>
      </c>
      <c r="I410" s="285" t="s">
        <v>11399</v>
      </c>
      <c r="J410" s="285" t="s">
        <v>5012</v>
      </c>
      <c r="K410" s="285" t="s">
        <v>1492</v>
      </c>
      <c r="L410" s="285" t="s">
        <v>1258</v>
      </c>
      <c r="M410" s="285" t="s">
        <v>9383</v>
      </c>
      <c r="N410" s="287" t="str">
        <f>IFERROR(
    IF(
        AND(
            VLOOKUP(B410, 'รายชื่อพนักงานลาออกพ้นสภาพ'!B:I, 8, FALSE)&lt;&gt;"ยกเลิกลาออก",
            VLOOKUP(B410, 'รายชื่อพนักงานลาออกพ้นสภาพ'!B:I, 7, FALSE)&lt;=TODAY()
        ),
        "ลาออกแล้ว",
        ""
    ),
"")</f>
        <v/>
      </c>
      <c r="O410" s="292" t="str">
        <f t="array" ref="O410">IFERROR(INDEX(PCRent!C:D, MATCH(F410 &amp; " " &amp; G410, PCRent!A:A &amp; " " &amp; PCRent!B:B, 0)), "")</f>
        <v/>
      </c>
      <c r="P410" s="293"/>
      <c r="Q410" s="294" t="str">
        <f t="array" ref="Q410">IFERROR(INDEX(MonitorRent!C:D, MATCH(F410 &amp; " " &amp; G410, MonitorRent!A:A &amp; " " &amp; MonitorRent!B:B, 0)), "")</f>
        <v/>
      </c>
      <c r="R410" s="295"/>
    </row>
    <row r="411">
      <c r="A411" s="284">
        <v>408.0</v>
      </c>
      <c r="B411" s="285" t="s">
        <v>11400</v>
      </c>
      <c r="C411" s="285" t="s">
        <v>10103</v>
      </c>
      <c r="D411" s="286" t="s">
        <v>11401</v>
      </c>
      <c r="E411" s="285" t="s">
        <v>6933</v>
      </c>
      <c r="F411" s="285" t="s">
        <v>11402</v>
      </c>
      <c r="G411" s="285" t="s">
        <v>11403</v>
      </c>
      <c r="H411" s="285" t="s">
        <v>10920</v>
      </c>
      <c r="I411" s="285" t="s">
        <v>11404</v>
      </c>
      <c r="J411" s="285" t="s">
        <v>5012</v>
      </c>
      <c r="K411" s="285" t="s">
        <v>10114</v>
      </c>
      <c r="L411" s="285" t="s">
        <v>832</v>
      </c>
      <c r="M411" s="285" t="s">
        <v>9383</v>
      </c>
      <c r="N411" s="287" t="str">
        <f>IFERROR(
    IF(
        AND(
            VLOOKUP(B411, 'รายชื่อพนักงานลาออกพ้นสภาพ'!B:I, 8, FALSE)&lt;&gt;"ยกเลิกลาออก",
            VLOOKUP(B411, 'รายชื่อพนักงานลาออกพ้นสภาพ'!B:I, 7, FALSE)&lt;=TODAY()
        ),
        "ลาออกแล้ว",
        ""
    ),
"")</f>
        <v/>
      </c>
      <c r="O411" s="292" t="str">
        <f t="array" ref="O411">IFERROR(INDEX(PCRent!C:D, MATCH(F411 &amp; " " &amp; G411, PCRent!A:A &amp; " " &amp; PCRent!B:B, 0)), "")</f>
        <v/>
      </c>
      <c r="P411" s="293"/>
      <c r="Q411" s="294" t="str">
        <f t="array" ref="Q411">IFERROR(INDEX(MonitorRent!C:D, MATCH(F411 &amp; " " &amp; G411, MonitorRent!A:A &amp; " " &amp; MonitorRent!B:B, 0)), "")</f>
        <v/>
      </c>
      <c r="R411" s="295"/>
    </row>
    <row r="412">
      <c r="A412" s="284">
        <v>409.0</v>
      </c>
      <c r="B412" s="285" t="s">
        <v>11405</v>
      </c>
      <c r="C412" s="285" t="s">
        <v>10103</v>
      </c>
      <c r="D412" s="286" t="s">
        <v>9853</v>
      </c>
      <c r="E412" s="285" t="s">
        <v>7239</v>
      </c>
      <c r="F412" s="285" t="s">
        <v>11406</v>
      </c>
      <c r="G412" s="285" t="s">
        <v>11407</v>
      </c>
      <c r="H412" s="285" t="s">
        <v>9998</v>
      </c>
      <c r="I412" s="285" t="s">
        <v>11408</v>
      </c>
      <c r="J412" s="285" t="s">
        <v>5012</v>
      </c>
      <c r="K412" s="285" t="s">
        <v>1417</v>
      </c>
      <c r="L412" s="285" t="s">
        <v>10127</v>
      </c>
      <c r="M412" s="285" t="s">
        <v>9383</v>
      </c>
      <c r="N412" s="287" t="str">
        <f>IFERROR(
    IF(
        AND(
            VLOOKUP(B412, 'รายชื่อพนักงานลาออกพ้นสภาพ'!B:I, 8, FALSE)&lt;&gt;"ยกเลิกลาออก",
            VLOOKUP(B412, 'รายชื่อพนักงานลาออกพ้นสภาพ'!B:I, 7, FALSE)&lt;=TODAY()
        ),
        "ลาออกแล้ว",
        ""
    ),
"")</f>
        <v/>
      </c>
      <c r="O412" s="292" t="str">
        <f t="array" ref="O412">IFERROR(INDEX(PCRent!C:D, MATCH(F412 &amp; " " &amp; G412, PCRent!A:A &amp; " " &amp; PCRent!B:B, 0)), "")</f>
        <v/>
      </c>
      <c r="P412" s="293"/>
      <c r="Q412" s="294" t="str">
        <f t="array" ref="Q412">IFERROR(INDEX(MonitorRent!C:D, MATCH(F412 &amp; " " &amp; G412, MonitorRent!A:A &amp; " " &amp; MonitorRent!B:B, 0)), "")</f>
        <v/>
      </c>
      <c r="R412" s="295"/>
    </row>
    <row r="413">
      <c r="A413" s="284">
        <v>410.0</v>
      </c>
      <c r="B413" s="285" t="s">
        <v>11409</v>
      </c>
      <c r="C413" s="285" t="s">
        <v>10103</v>
      </c>
      <c r="D413" s="286" t="s">
        <v>11410</v>
      </c>
      <c r="E413" s="285" t="s">
        <v>6933</v>
      </c>
      <c r="F413" s="285" t="s">
        <v>11411</v>
      </c>
      <c r="G413" s="285" t="s">
        <v>11412</v>
      </c>
      <c r="H413" s="285" t="s">
        <v>9669</v>
      </c>
      <c r="I413" s="285" t="s">
        <v>11413</v>
      </c>
      <c r="J413" s="285" t="s">
        <v>5012</v>
      </c>
      <c r="K413" s="285" t="s">
        <v>10114</v>
      </c>
      <c r="L413" s="285" t="s">
        <v>10127</v>
      </c>
      <c r="M413" s="285" t="s">
        <v>9383</v>
      </c>
      <c r="N413" s="287" t="str">
        <f>IFERROR(
    IF(
        AND(
            VLOOKUP(B413, 'รายชื่อพนักงานลาออกพ้นสภาพ'!B:I, 8, FALSE)&lt;&gt;"ยกเลิกลาออก",
            VLOOKUP(B413, 'รายชื่อพนักงานลาออกพ้นสภาพ'!B:I, 7, FALSE)&lt;=TODAY()
        ),
        "ลาออกแล้ว",
        ""
    ),
"")</f>
        <v/>
      </c>
      <c r="O413" s="292" t="str">
        <f t="array" ref="O413">IFERROR(INDEX(PCRent!C:D, MATCH(F413 &amp; " " &amp; G413, PCRent!A:A &amp; " " &amp; PCRent!B:B, 0)), "")</f>
        <v/>
      </c>
      <c r="P413" s="293"/>
      <c r="Q413" s="294" t="str">
        <f t="array" ref="Q413">IFERROR(INDEX(MonitorRent!C:D, MATCH(F413 &amp; " " &amp; G413, MonitorRent!A:A &amp; " " &amp; MonitorRent!B:B, 0)), "")</f>
        <v/>
      </c>
      <c r="R413" s="295"/>
    </row>
    <row r="414">
      <c r="A414" s="284">
        <v>411.0</v>
      </c>
      <c r="B414" s="285" t="s">
        <v>11414</v>
      </c>
      <c r="C414" s="285" t="s">
        <v>10103</v>
      </c>
      <c r="D414" s="286" t="s">
        <v>11415</v>
      </c>
      <c r="E414" s="285" t="s">
        <v>6921</v>
      </c>
      <c r="F414" s="285" t="s">
        <v>11416</v>
      </c>
      <c r="G414" s="285" t="s">
        <v>11417</v>
      </c>
      <c r="H414" s="285" t="s">
        <v>9413</v>
      </c>
      <c r="I414" s="285" t="s">
        <v>11418</v>
      </c>
      <c r="J414" s="285" t="s">
        <v>5012</v>
      </c>
      <c r="K414" s="285" t="s">
        <v>1417</v>
      </c>
      <c r="L414" s="285" t="s">
        <v>10127</v>
      </c>
      <c r="M414" s="285" t="s">
        <v>9383</v>
      </c>
      <c r="N414" s="287" t="str">
        <f>IFERROR(
    IF(
        AND(
            VLOOKUP(B414, 'รายชื่อพนักงานลาออกพ้นสภาพ'!B:I, 8, FALSE)&lt;&gt;"ยกเลิกลาออก",
            VLOOKUP(B414, 'รายชื่อพนักงานลาออกพ้นสภาพ'!B:I, 7, FALSE)&lt;=TODAY()
        ),
        "ลาออกแล้ว",
        ""
    ),
"")</f>
        <v/>
      </c>
      <c r="O414" s="292" t="str">
        <f t="array" ref="O414">IFERROR(INDEX(PCRent!C:D, MATCH(F414 &amp; " " &amp; G414, PCRent!A:A &amp; " " &amp; PCRent!B:B, 0)), "")</f>
        <v/>
      </c>
      <c r="P414" s="293"/>
      <c r="Q414" s="294" t="str">
        <f t="array" ref="Q414">IFERROR(INDEX(MonitorRent!C:D, MATCH(F414 &amp; " " &amp; G414, MonitorRent!A:A &amp; " " &amp; MonitorRent!B:B, 0)), "")</f>
        <v/>
      </c>
      <c r="R414" s="295"/>
    </row>
    <row r="415">
      <c r="A415" s="284">
        <v>412.0</v>
      </c>
      <c r="B415" s="285" t="s">
        <v>650</v>
      </c>
      <c r="C415" s="285" t="s">
        <v>10103</v>
      </c>
      <c r="D415" s="286" t="s">
        <v>11057</v>
      </c>
      <c r="E415" s="285" t="s">
        <v>6933</v>
      </c>
      <c r="F415" s="285" t="s">
        <v>11419</v>
      </c>
      <c r="G415" s="285" t="s">
        <v>11420</v>
      </c>
      <c r="H415" s="285" t="s">
        <v>10126</v>
      </c>
      <c r="I415" s="285" t="s">
        <v>652</v>
      </c>
      <c r="J415" s="285" t="s">
        <v>5012</v>
      </c>
      <c r="K415" s="285" t="s">
        <v>10114</v>
      </c>
      <c r="L415" s="285" t="s">
        <v>832</v>
      </c>
      <c r="M415" s="285" t="s">
        <v>9383</v>
      </c>
      <c r="N415" s="287" t="str">
        <f>IFERROR(
    IF(
        AND(
            VLOOKUP(B415, 'รายชื่อพนักงานลาออกพ้นสภาพ'!B:I, 8, FALSE)&lt;&gt;"ยกเลิกลาออก",
            VLOOKUP(B415, 'รายชื่อพนักงานลาออกพ้นสภาพ'!B:I, 7, FALSE)&lt;=TODAY()
        ),
        "ลาออกแล้ว",
        ""
    ),
"")</f>
        <v>ลาออกแล้ว</v>
      </c>
      <c r="O415" s="292" t="str">
        <f t="array" ref="O415">IFERROR(INDEX(PCRent!C:D, MATCH(F415 &amp; " " &amp; G415, PCRent!A:A &amp; " " &amp; PCRent!B:B, 0)), "")</f>
        <v/>
      </c>
      <c r="P415" s="293"/>
      <c r="Q415" s="294" t="str">
        <f t="array" ref="Q415">IFERROR(INDEX(MonitorRent!C:D, MATCH(F415 &amp; " " &amp; G415, MonitorRent!A:A &amp; " " &amp; MonitorRent!B:B, 0)), "")</f>
        <v/>
      </c>
      <c r="R415" s="295"/>
    </row>
    <row r="416">
      <c r="A416" s="284">
        <v>413.0</v>
      </c>
      <c r="B416" s="285" t="s">
        <v>11421</v>
      </c>
      <c r="C416" s="285" t="s">
        <v>10103</v>
      </c>
      <c r="D416" s="286" t="s">
        <v>9937</v>
      </c>
      <c r="E416" s="285" t="s">
        <v>6921</v>
      </c>
      <c r="F416" s="285" t="s">
        <v>11422</v>
      </c>
      <c r="G416" s="285" t="s">
        <v>11423</v>
      </c>
      <c r="H416" s="285" t="s">
        <v>9709</v>
      </c>
      <c r="I416" s="285" t="s">
        <v>11424</v>
      </c>
      <c r="J416" s="285" t="s">
        <v>5012</v>
      </c>
      <c r="K416" s="285" t="s">
        <v>1606</v>
      </c>
      <c r="L416" s="285" t="s">
        <v>832</v>
      </c>
      <c r="M416" s="285" t="s">
        <v>9383</v>
      </c>
      <c r="N416" s="287" t="str">
        <f>IFERROR(
    IF(
        AND(
            VLOOKUP(B416, 'รายชื่อพนักงานลาออกพ้นสภาพ'!B:I, 8, FALSE)&lt;&gt;"ยกเลิกลาออก",
            VLOOKUP(B416, 'รายชื่อพนักงานลาออกพ้นสภาพ'!B:I, 7, FALSE)&lt;=TODAY()
        ),
        "ลาออกแล้ว",
        ""
    ),
"")</f>
        <v/>
      </c>
      <c r="O416" s="292" t="str">
        <f t="array" ref="O416">IFERROR(INDEX(PCRent!C:D, MATCH(F416 &amp; " " &amp; G416, PCRent!A:A &amp; " " &amp; PCRent!B:B, 0)), "")</f>
        <v/>
      </c>
      <c r="P416" s="293"/>
      <c r="Q416" s="294" t="str">
        <f t="array" ref="Q416">IFERROR(INDEX(MonitorRent!C:D, MATCH(F416 &amp; " " &amp; G416, MonitorRent!A:A &amp; " " &amp; MonitorRent!B:B, 0)), "")</f>
        <v/>
      </c>
      <c r="R416" s="295"/>
    </row>
    <row r="417">
      <c r="A417" s="284">
        <v>414.0</v>
      </c>
      <c r="B417" s="285" t="s">
        <v>11425</v>
      </c>
      <c r="C417" s="285" t="s">
        <v>10103</v>
      </c>
      <c r="D417" s="286" t="s">
        <v>11426</v>
      </c>
      <c r="E417" s="285" t="s">
        <v>6921</v>
      </c>
      <c r="F417" s="285" t="s">
        <v>11427</v>
      </c>
      <c r="G417" s="285" t="s">
        <v>11428</v>
      </c>
      <c r="H417" s="285" t="s">
        <v>11429</v>
      </c>
      <c r="I417" s="285" t="s">
        <v>11430</v>
      </c>
      <c r="J417" s="285" t="s">
        <v>5012</v>
      </c>
      <c r="K417" s="285" t="s">
        <v>1492</v>
      </c>
      <c r="L417" s="285" t="s">
        <v>10916</v>
      </c>
      <c r="M417" s="285" t="s">
        <v>9391</v>
      </c>
      <c r="N417" s="287" t="str">
        <f>IFERROR(
    IF(
        AND(
            VLOOKUP(B417, 'รายชื่อพนักงานลาออกพ้นสภาพ'!B:I, 8, FALSE)&lt;&gt;"ยกเลิกลาออก",
            VLOOKUP(B417, 'รายชื่อพนักงานลาออกพ้นสภาพ'!B:I, 7, FALSE)&lt;=TODAY()
        ),
        "ลาออกแล้ว",
        ""
    ),
"")</f>
        <v/>
      </c>
      <c r="O417" s="292" t="str">
        <f t="array" ref="O417">IFERROR(INDEX(PCRent!C:D, MATCH(F417 &amp; " " &amp; G417, PCRent!A:A &amp; " " &amp; PCRent!B:B, 0)), "")</f>
        <v/>
      </c>
      <c r="P417" s="293"/>
      <c r="Q417" s="294" t="str">
        <f t="array" ref="Q417">IFERROR(INDEX(MonitorRent!C:D, MATCH(F417 &amp; " " &amp; G417, MonitorRent!A:A &amp; " " &amp; MonitorRent!B:B, 0)), "")</f>
        <v/>
      </c>
      <c r="R417" s="295"/>
    </row>
    <row r="418">
      <c r="A418" s="284">
        <v>415.0</v>
      </c>
      <c r="B418" s="285" t="s">
        <v>11431</v>
      </c>
      <c r="C418" s="285" t="s">
        <v>10103</v>
      </c>
      <c r="D418" s="286" t="s">
        <v>11432</v>
      </c>
      <c r="E418" s="285" t="s">
        <v>6933</v>
      </c>
      <c r="F418" s="285" t="s">
        <v>11433</v>
      </c>
      <c r="G418" s="285" t="s">
        <v>11434</v>
      </c>
      <c r="H418" s="285" t="s">
        <v>11435</v>
      </c>
      <c r="I418" s="285" t="s">
        <v>11436</v>
      </c>
      <c r="J418" s="285" t="s">
        <v>5012</v>
      </c>
      <c r="K418" s="285" t="s">
        <v>1412</v>
      </c>
      <c r="L418" s="285" t="s">
        <v>10127</v>
      </c>
      <c r="M418" s="285" t="s">
        <v>9383</v>
      </c>
      <c r="N418" s="287" t="str">
        <f>IFERROR(
    IF(
        AND(
            VLOOKUP(B418, 'รายชื่อพนักงานลาออกพ้นสภาพ'!B:I, 8, FALSE)&lt;&gt;"ยกเลิกลาออก",
            VLOOKUP(B418, 'รายชื่อพนักงานลาออกพ้นสภาพ'!B:I, 7, FALSE)&lt;=TODAY()
        ),
        "ลาออกแล้ว",
        ""
    ),
"")</f>
        <v/>
      </c>
      <c r="O418" s="292" t="str">
        <f t="array" ref="O418">IFERROR(INDEX(PCRent!C:D, MATCH(F418 &amp; " " &amp; G418, PCRent!A:A &amp; " " &amp; PCRent!B:B, 0)), "")</f>
        <v/>
      </c>
      <c r="P418" s="293"/>
      <c r="Q418" s="294" t="str">
        <f t="array" ref="Q418">IFERROR(INDEX(MonitorRent!C:D, MATCH(F418 &amp; " " &amp; G418, MonitorRent!A:A &amp; " " &amp; MonitorRent!B:B, 0)), "")</f>
        <v/>
      </c>
      <c r="R418" s="295"/>
    </row>
    <row r="419">
      <c r="A419" s="284">
        <v>416.0</v>
      </c>
      <c r="B419" s="285" t="s">
        <v>11437</v>
      </c>
      <c r="C419" s="285" t="s">
        <v>10103</v>
      </c>
      <c r="D419" s="286" t="s">
        <v>10180</v>
      </c>
      <c r="E419" s="285" t="s">
        <v>6933</v>
      </c>
      <c r="F419" s="285" t="s">
        <v>11438</v>
      </c>
      <c r="G419" s="285" t="s">
        <v>11439</v>
      </c>
      <c r="H419" s="285" t="s">
        <v>11092</v>
      </c>
      <c r="I419" s="285" t="s">
        <v>11440</v>
      </c>
      <c r="J419" s="285" t="s">
        <v>5012</v>
      </c>
      <c r="K419" s="285" t="s">
        <v>10114</v>
      </c>
      <c r="L419" s="285" t="s">
        <v>832</v>
      </c>
      <c r="M419" s="285" t="s">
        <v>9383</v>
      </c>
      <c r="N419" s="287" t="str">
        <f>IFERROR(
    IF(
        AND(
            VLOOKUP(B419, 'รายชื่อพนักงานลาออกพ้นสภาพ'!B:I, 8, FALSE)&lt;&gt;"ยกเลิกลาออก",
            VLOOKUP(B419, 'รายชื่อพนักงานลาออกพ้นสภาพ'!B:I, 7, FALSE)&lt;=TODAY()
        ),
        "ลาออกแล้ว",
        ""
    ),
"")</f>
        <v/>
      </c>
      <c r="O419" s="292" t="str">
        <f t="array" ref="O419">IFERROR(INDEX(PCRent!C:D, MATCH(F419 &amp; " " &amp; G419, PCRent!A:A &amp; " " &amp; PCRent!B:B, 0)), "")</f>
        <v/>
      </c>
      <c r="P419" s="293"/>
      <c r="Q419" s="294" t="str">
        <f t="array" ref="Q419">IFERROR(INDEX(MonitorRent!C:D, MATCH(F419 &amp; " " &amp; G419, MonitorRent!A:A &amp; " " &amp; MonitorRent!B:B, 0)), "")</f>
        <v/>
      </c>
      <c r="R419" s="295"/>
    </row>
    <row r="420">
      <c r="A420" s="284">
        <v>417.0</v>
      </c>
      <c r="B420" s="285" t="s">
        <v>11441</v>
      </c>
      <c r="C420" s="285" t="s">
        <v>10103</v>
      </c>
      <c r="D420" s="286" t="s">
        <v>9576</v>
      </c>
      <c r="E420" s="285" t="s">
        <v>6933</v>
      </c>
      <c r="F420" s="285" t="s">
        <v>11442</v>
      </c>
      <c r="G420" s="285" t="s">
        <v>11443</v>
      </c>
      <c r="H420" s="285" t="s">
        <v>11444</v>
      </c>
      <c r="I420" s="285" t="s">
        <v>11445</v>
      </c>
      <c r="J420" s="285" t="s">
        <v>5012</v>
      </c>
      <c r="K420" s="285" t="s">
        <v>10114</v>
      </c>
      <c r="L420" s="285" t="s">
        <v>832</v>
      </c>
      <c r="M420" s="285" t="s">
        <v>9383</v>
      </c>
      <c r="N420" s="287" t="str">
        <f>IFERROR(
    IF(
        AND(
            VLOOKUP(B420, 'รายชื่อพนักงานลาออกพ้นสภาพ'!B:I, 8, FALSE)&lt;&gt;"ยกเลิกลาออก",
            VLOOKUP(B420, 'รายชื่อพนักงานลาออกพ้นสภาพ'!B:I, 7, FALSE)&lt;=TODAY()
        ),
        "ลาออกแล้ว",
        ""
    ),
"")</f>
        <v/>
      </c>
      <c r="O420" s="292" t="str">
        <f t="array" ref="O420">IFERROR(INDEX(PCRent!C:D, MATCH(F420 &amp; " " &amp; G420, PCRent!A:A &amp; " " &amp; PCRent!B:B, 0)), "")</f>
        <v/>
      </c>
      <c r="P420" s="293"/>
      <c r="Q420" s="294" t="str">
        <f t="array" ref="Q420">IFERROR(INDEX(MonitorRent!C:D, MATCH(F420 &amp; " " &amp; G420, MonitorRent!A:A &amp; " " &amp; MonitorRent!B:B, 0)), "")</f>
        <v/>
      </c>
      <c r="R420" s="295"/>
    </row>
    <row r="421">
      <c r="A421" s="284">
        <v>418.0</v>
      </c>
      <c r="B421" s="285" t="s">
        <v>11446</v>
      </c>
      <c r="C421" s="285" t="s">
        <v>10103</v>
      </c>
      <c r="D421" s="286" t="s">
        <v>10690</v>
      </c>
      <c r="E421" s="285" t="s">
        <v>6933</v>
      </c>
      <c r="F421" s="285" t="s">
        <v>11442</v>
      </c>
      <c r="G421" s="285" t="s">
        <v>11447</v>
      </c>
      <c r="H421" s="285" t="s">
        <v>11448</v>
      </c>
      <c r="I421" s="285" t="s">
        <v>11449</v>
      </c>
      <c r="J421" s="285" t="s">
        <v>5224</v>
      </c>
      <c r="K421" s="285" t="s">
        <v>5760</v>
      </c>
      <c r="L421" s="285" t="s">
        <v>9692</v>
      </c>
      <c r="M421" s="285" t="s">
        <v>9391</v>
      </c>
      <c r="N421" s="287" t="str">
        <f>IFERROR(
    IF(
        AND(
            VLOOKUP(B421, 'รายชื่อพนักงานลาออกพ้นสภาพ'!B:I, 8, FALSE)&lt;&gt;"ยกเลิกลาออก",
            VLOOKUP(B421, 'รายชื่อพนักงานลาออกพ้นสภาพ'!B:I, 7, FALSE)&lt;=TODAY()
        ),
        "ลาออกแล้ว",
        ""
    ),
"")</f>
        <v/>
      </c>
      <c r="O421" s="292" t="str">
        <f t="array" ref="O421">IFERROR(INDEX(PCRent!C:D, MATCH(F421 &amp; " " &amp; G421, PCRent!A:A &amp; " " &amp; PCRent!B:B, 0)), "")</f>
        <v/>
      </c>
      <c r="P421" s="293"/>
      <c r="Q421" s="294" t="str">
        <f t="array" ref="Q421">IFERROR(INDEX(MonitorRent!C:D, MATCH(F421 &amp; " " &amp; G421, MonitorRent!A:A &amp; " " &amp; MonitorRent!B:B, 0)), "")</f>
        <v/>
      </c>
      <c r="R421" s="295"/>
    </row>
    <row r="422">
      <c r="A422" s="284">
        <v>419.0</v>
      </c>
      <c r="B422" s="285" t="s">
        <v>11450</v>
      </c>
      <c r="C422" s="285" t="s">
        <v>10103</v>
      </c>
      <c r="D422" s="286" t="s">
        <v>11451</v>
      </c>
      <c r="E422" s="285" t="s">
        <v>6921</v>
      </c>
      <c r="F422" s="285" t="s">
        <v>11452</v>
      </c>
      <c r="G422" s="285" t="s">
        <v>11453</v>
      </c>
      <c r="H422" s="285" t="s">
        <v>10491</v>
      </c>
      <c r="I422" s="285" t="s">
        <v>11454</v>
      </c>
      <c r="J422" s="285" t="s">
        <v>5012</v>
      </c>
      <c r="K422" s="285" t="s">
        <v>1417</v>
      </c>
      <c r="L422" s="285" t="s">
        <v>832</v>
      </c>
      <c r="M422" s="285" t="s">
        <v>9383</v>
      </c>
      <c r="N422" s="287" t="str">
        <f>IFERROR(
    IF(
        AND(
            VLOOKUP(B422, 'รายชื่อพนักงานลาออกพ้นสภาพ'!B:I, 8, FALSE)&lt;&gt;"ยกเลิกลาออก",
            VLOOKUP(B422, 'รายชื่อพนักงานลาออกพ้นสภาพ'!B:I, 7, FALSE)&lt;=TODAY()
        ),
        "ลาออกแล้ว",
        ""
    ),
"")</f>
        <v/>
      </c>
      <c r="O422" s="292" t="str">
        <f t="array" ref="O422">IFERROR(INDEX(PCRent!C:D, MATCH(F422 &amp; " " &amp; G422, PCRent!A:A &amp; " " &amp; PCRent!B:B, 0)), "")</f>
        <v/>
      </c>
      <c r="P422" s="293"/>
      <c r="Q422" s="294" t="str">
        <f t="array" ref="Q422">IFERROR(INDEX(MonitorRent!C:D, MATCH(F422 &amp; " " &amp; G422, MonitorRent!A:A &amp; " " &amp; MonitorRent!B:B, 0)), "")</f>
        <v/>
      </c>
      <c r="R422" s="295"/>
    </row>
    <row r="423">
      <c r="A423" s="284">
        <v>420.0</v>
      </c>
      <c r="B423" s="285" t="s">
        <v>11455</v>
      </c>
      <c r="C423" s="285" t="s">
        <v>10103</v>
      </c>
      <c r="D423" s="286" t="s">
        <v>11456</v>
      </c>
      <c r="E423" s="285" t="s">
        <v>6933</v>
      </c>
      <c r="F423" s="285" t="s">
        <v>11457</v>
      </c>
      <c r="G423" s="285" t="s">
        <v>11458</v>
      </c>
      <c r="H423" s="285" t="s">
        <v>11457</v>
      </c>
      <c r="I423" s="285" t="s">
        <v>11459</v>
      </c>
      <c r="J423" s="285" t="s">
        <v>5012</v>
      </c>
      <c r="K423" s="285" t="s">
        <v>1417</v>
      </c>
      <c r="L423" s="285" t="s">
        <v>10127</v>
      </c>
      <c r="M423" s="285" t="s">
        <v>9383</v>
      </c>
      <c r="N423" s="287" t="str">
        <f>IFERROR(
    IF(
        AND(
            VLOOKUP(B423, 'รายชื่อพนักงานลาออกพ้นสภาพ'!B:I, 8, FALSE)&lt;&gt;"ยกเลิกลาออก",
            VLOOKUP(B423, 'รายชื่อพนักงานลาออกพ้นสภาพ'!B:I, 7, FALSE)&lt;=TODAY()
        ),
        "ลาออกแล้ว",
        ""
    ),
"")</f>
        <v/>
      </c>
      <c r="O423" s="292" t="str">
        <f t="array" ref="O423">IFERROR(INDEX(PCRent!C:D, MATCH(F423 &amp; " " &amp; G423, PCRent!A:A &amp; " " &amp; PCRent!B:B, 0)), "")</f>
        <v/>
      </c>
      <c r="P423" s="293"/>
      <c r="Q423" s="294" t="str">
        <f t="array" ref="Q423">IFERROR(INDEX(MonitorRent!C:D, MATCH(F423 &amp; " " &amp; G423, MonitorRent!A:A &amp; " " &amp; MonitorRent!B:B, 0)), "")</f>
        <v/>
      </c>
      <c r="R423" s="295"/>
    </row>
    <row r="424">
      <c r="A424" s="284">
        <v>421.0</v>
      </c>
      <c r="B424" s="285" t="s">
        <v>11460</v>
      </c>
      <c r="C424" s="285" t="s">
        <v>10103</v>
      </c>
      <c r="D424" s="286" t="s">
        <v>10090</v>
      </c>
      <c r="E424" s="285" t="s">
        <v>6933</v>
      </c>
      <c r="F424" s="285" t="s">
        <v>11461</v>
      </c>
      <c r="G424" s="285" t="s">
        <v>11462</v>
      </c>
      <c r="H424" s="285" t="s">
        <v>11289</v>
      </c>
      <c r="I424" s="285" t="s">
        <v>11463</v>
      </c>
      <c r="J424" s="285" t="s">
        <v>5012</v>
      </c>
      <c r="K424" s="285" t="s">
        <v>10114</v>
      </c>
      <c r="L424" s="285" t="s">
        <v>832</v>
      </c>
      <c r="M424" s="285" t="s">
        <v>9383</v>
      </c>
      <c r="N424" s="287" t="str">
        <f>IFERROR(
    IF(
        AND(
            VLOOKUP(B424, 'รายชื่อพนักงานลาออกพ้นสภาพ'!B:I, 8, FALSE)&lt;&gt;"ยกเลิกลาออก",
            VLOOKUP(B424, 'รายชื่อพนักงานลาออกพ้นสภาพ'!B:I, 7, FALSE)&lt;=TODAY()
        ),
        "ลาออกแล้ว",
        ""
    ),
"")</f>
        <v/>
      </c>
      <c r="O424" s="292" t="str">
        <f t="array" ref="O424">IFERROR(INDEX(PCRent!C:D, MATCH(F424 &amp; " " &amp; G424, PCRent!A:A &amp; " " &amp; PCRent!B:B, 0)), "")</f>
        <v/>
      </c>
      <c r="P424" s="293"/>
      <c r="Q424" s="294" t="str">
        <f t="array" ref="Q424">IFERROR(INDEX(MonitorRent!C:D, MATCH(F424 &amp; " " &amp; G424, MonitorRent!A:A &amp; " " &amp; MonitorRent!B:B, 0)), "")</f>
        <v/>
      </c>
      <c r="R424" s="295"/>
    </row>
    <row r="425">
      <c r="A425" s="284">
        <v>422.0</v>
      </c>
      <c r="B425" s="285" t="s">
        <v>11464</v>
      </c>
      <c r="C425" s="285" t="s">
        <v>10103</v>
      </c>
      <c r="D425" s="286" t="s">
        <v>10104</v>
      </c>
      <c r="E425" s="285" t="s">
        <v>6933</v>
      </c>
      <c r="F425" s="285" t="s">
        <v>11465</v>
      </c>
      <c r="G425" s="285" t="s">
        <v>11466</v>
      </c>
      <c r="H425" s="285" t="s">
        <v>11467</v>
      </c>
      <c r="I425" s="285" t="s">
        <v>11468</v>
      </c>
      <c r="J425" s="285" t="s">
        <v>5012</v>
      </c>
      <c r="K425" s="285" t="s">
        <v>10114</v>
      </c>
      <c r="L425" s="285" t="s">
        <v>10127</v>
      </c>
      <c r="M425" s="285" t="s">
        <v>9391</v>
      </c>
      <c r="N425" s="287" t="str">
        <f>IFERROR(
    IF(
        AND(
            VLOOKUP(B425, 'รายชื่อพนักงานลาออกพ้นสภาพ'!B:I, 8, FALSE)&lt;&gt;"ยกเลิกลาออก",
            VLOOKUP(B425, 'รายชื่อพนักงานลาออกพ้นสภาพ'!B:I, 7, FALSE)&lt;=TODAY()
        ),
        "ลาออกแล้ว",
        ""
    ),
"")</f>
        <v/>
      </c>
      <c r="O425" s="292" t="str">
        <f t="array" ref="O425">IFERROR(INDEX(PCRent!C:D, MATCH(F425 &amp; " " &amp; G425, PCRent!A:A &amp; " " &amp; PCRent!B:B, 0)), "")</f>
        <v/>
      </c>
      <c r="P425" s="293"/>
      <c r="Q425" s="294" t="str">
        <f t="array" ref="Q425">IFERROR(INDEX(MonitorRent!C:D, MATCH(F425 &amp; " " &amp; G425, MonitorRent!A:A &amp; " " &amp; MonitorRent!B:B, 0)), "")</f>
        <v/>
      </c>
      <c r="R425" s="295"/>
    </row>
    <row r="426">
      <c r="A426" s="284">
        <v>423.0</v>
      </c>
      <c r="B426" s="285" t="s">
        <v>524</v>
      </c>
      <c r="C426" s="285" t="s">
        <v>10103</v>
      </c>
      <c r="D426" s="286" t="s">
        <v>11469</v>
      </c>
      <c r="E426" s="285" t="s">
        <v>6933</v>
      </c>
      <c r="F426" s="285" t="s">
        <v>11470</v>
      </c>
      <c r="G426" s="285" t="s">
        <v>11471</v>
      </c>
      <c r="H426" s="285" t="s">
        <v>9637</v>
      </c>
      <c r="I426" s="285" t="s">
        <v>526</v>
      </c>
      <c r="J426" s="285" t="s">
        <v>5012</v>
      </c>
      <c r="K426" s="285" t="s">
        <v>10114</v>
      </c>
      <c r="L426" s="285" t="s">
        <v>10127</v>
      </c>
      <c r="M426" s="285" t="s">
        <v>9383</v>
      </c>
      <c r="N426" s="287" t="str">
        <f>IFERROR(
    IF(
        AND(
            VLOOKUP(B426, 'รายชื่อพนักงานลาออกพ้นสภาพ'!B:I, 8, FALSE)&lt;&gt;"ยกเลิกลาออก",
            VLOOKUP(B426, 'รายชื่อพนักงานลาออกพ้นสภาพ'!B:I, 7, FALSE)&lt;=TODAY()
        ),
        "ลาออกแล้ว",
        ""
    ),
"")</f>
        <v/>
      </c>
      <c r="O426" s="292" t="str">
        <f t="array" ref="O426">IFERROR(INDEX(PCRent!C:D, MATCH(F426 &amp; " " &amp; G426, PCRent!A:A &amp; " " &amp; PCRent!B:B, 0)), "")</f>
        <v/>
      </c>
      <c r="P426" s="293"/>
      <c r="Q426" s="294" t="str">
        <f t="array" ref="Q426">IFERROR(INDEX(MonitorRent!C:D, MATCH(F426 &amp; " " &amp; G426, MonitorRent!A:A &amp; " " &amp; MonitorRent!B:B, 0)), "")</f>
        <v/>
      </c>
      <c r="R426" s="295"/>
    </row>
    <row r="427">
      <c r="A427" s="284">
        <v>424.0</v>
      </c>
      <c r="B427" s="285" t="s">
        <v>925</v>
      </c>
      <c r="C427" s="285" t="s">
        <v>10103</v>
      </c>
      <c r="D427" s="286" t="s">
        <v>9723</v>
      </c>
      <c r="E427" s="285" t="s">
        <v>6933</v>
      </c>
      <c r="F427" s="285" t="s">
        <v>11472</v>
      </c>
      <c r="G427" s="285" t="s">
        <v>11473</v>
      </c>
      <c r="H427" s="285" t="s">
        <v>11474</v>
      </c>
      <c r="I427" s="285" t="s">
        <v>928</v>
      </c>
      <c r="J427" s="285" t="s">
        <v>5224</v>
      </c>
      <c r="K427" s="285" t="s">
        <v>2062</v>
      </c>
      <c r="L427" s="285" t="s">
        <v>4920</v>
      </c>
      <c r="M427" s="285" t="s">
        <v>9383</v>
      </c>
      <c r="N427" s="287" t="str">
        <f>IFERROR(
    IF(
        AND(
            VLOOKUP(B427, 'รายชื่อพนักงานลาออกพ้นสภาพ'!B:I, 8, FALSE)&lt;&gt;"ยกเลิกลาออก",
            VLOOKUP(B427, 'รายชื่อพนักงานลาออกพ้นสภาพ'!B:I, 7, FALSE)&lt;=TODAY()
        ),
        "ลาออกแล้ว",
        ""
    ),
"")</f>
        <v/>
      </c>
      <c r="O427" s="292" t="str">
        <f t="array" ref="O427">IFERROR(INDEX(PCRent!C:D, MATCH(F427 &amp; " " &amp; G427, PCRent!A:A &amp; " " &amp; PCRent!B:B, 0)), "")</f>
        <v/>
      </c>
      <c r="P427" s="293"/>
      <c r="Q427" s="294" t="str">
        <f t="array" ref="Q427">IFERROR(INDEX(MonitorRent!C:D, MATCH(F427 &amp; " " &amp; G427, MonitorRent!A:A &amp; " " &amp; MonitorRent!B:B, 0)), "")</f>
        <v/>
      </c>
      <c r="R427" s="295"/>
    </row>
    <row r="428">
      <c r="A428" s="284">
        <v>425.0</v>
      </c>
      <c r="B428" s="285" t="s">
        <v>11475</v>
      </c>
      <c r="C428" s="285" t="s">
        <v>10103</v>
      </c>
      <c r="D428" s="286" t="s">
        <v>9723</v>
      </c>
      <c r="E428" s="285" t="s">
        <v>6933</v>
      </c>
      <c r="F428" s="285" t="s">
        <v>11472</v>
      </c>
      <c r="G428" s="285" t="s">
        <v>11473</v>
      </c>
      <c r="H428" s="285" t="s">
        <v>11474</v>
      </c>
      <c r="I428" s="285" t="s">
        <v>4924</v>
      </c>
      <c r="J428" s="285" t="s">
        <v>5224</v>
      </c>
      <c r="K428" s="285" t="s">
        <v>2062</v>
      </c>
      <c r="L428" s="285" t="s">
        <v>4920</v>
      </c>
      <c r="M428" s="285" t="s">
        <v>9383</v>
      </c>
      <c r="N428" s="287" t="str">
        <f>IFERROR(
    IF(
        AND(
            VLOOKUP(B428, 'รายชื่อพนักงานลาออกพ้นสภาพ'!B:I, 8, FALSE)&lt;&gt;"ยกเลิกลาออก",
            VLOOKUP(B428, 'รายชื่อพนักงานลาออกพ้นสภาพ'!B:I, 7, FALSE)&lt;=TODAY()
        ),
        "ลาออกแล้ว",
        ""
    ),
"")</f>
        <v/>
      </c>
      <c r="O428" s="292" t="str">
        <f t="array" ref="O428">IFERROR(INDEX(PCRent!C:D, MATCH(F428 &amp; " " &amp; G428, PCRent!A:A &amp; " " &amp; PCRent!B:B, 0)), "")</f>
        <v/>
      </c>
      <c r="P428" s="293"/>
      <c r="Q428" s="294" t="str">
        <f t="array" ref="Q428">IFERROR(INDEX(MonitorRent!C:D, MATCH(F428 &amp; " " &amp; G428, MonitorRent!A:A &amp; " " &amp; MonitorRent!B:B, 0)), "")</f>
        <v/>
      </c>
      <c r="R428" s="295"/>
    </row>
    <row r="429">
      <c r="A429" s="284">
        <v>426.0</v>
      </c>
      <c r="B429" s="285" t="s">
        <v>11476</v>
      </c>
      <c r="C429" s="285" t="s">
        <v>10103</v>
      </c>
      <c r="D429" s="286" t="s">
        <v>10132</v>
      </c>
      <c r="E429" s="285" t="s">
        <v>6933</v>
      </c>
      <c r="F429" s="285" t="s">
        <v>11477</v>
      </c>
      <c r="G429" s="285" t="s">
        <v>11366</v>
      </c>
      <c r="H429" s="285" t="s">
        <v>9472</v>
      </c>
      <c r="I429" s="285" t="s">
        <v>11478</v>
      </c>
      <c r="J429" s="285" t="s">
        <v>5012</v>
      </c>
      <c r="K429" s="285" t="s">
        <v>10114</v>
      </c>
      <c r="L429" s="285" t="s">
        <v>10127</v>
      </c>
      <c r="M429" s="285" t="s">
        <v>9383</v>
      </c>
      <c r="N429" s="287" t="str">
        <f>IFERROR(
    IF(
        AND(
            VLOOKUP(B429, 'รายชื่อพนักงานลาออกพ้นสภาพ'!B:I, 8, FALSE)&lt;&gt;"ยกเลิกลาออก",
            VLOOKUP(B429, 'รายชื่อพนักงานลาออกพ้นสภาพ'!B:I, 7, FALSE)&lt;=TODAY()
        ),
        "ลาออกแล้ว",
        ""
    ),
"")</f>
        <v/>
      </c>
      <c r="O429" s="292" t="str">
        <f t="array" ref="O429">IFERROR(INDEX(PCRent!C:D, MATCH(F429 &amp; " " &amp; G429, PCRent!A:A &amp; " " &amp; PCRent!B:B, 0)), "")</f>
        <v/>
      </c>
      <c r="P429" s="293"/>
      <c r="Q429" s="294" t="str">
        <f t="array" ref="Q429">IFERROR(INDEX(MonitorRent!C:D, MATCH(F429 &amp; " " &amp; G429, MonitorRent!A:A &amp; " " &amp; MonitorRent!B:B, 0)), "")</f>
        <v/>
      </c>
      <c r="R429" s="295"/>
    </row>
    <row r="430">
      <c r="A430" s="284">
        <v>427.0</v>
      </c>
      <c r="B430" s="285" t="s">
        <v>11479</v>
      </c>
      <c r="C430" s="285" t="s">
        <v>10103</v>
      </c>
      <c r="D430" s="286" t="s">
        <v>10407</v>
      </c>
      <c r="E430" s="285" t="s">
        <v>6921</v>
      </c>
      <c r="F430" s="285" t="s">
        <v>11480</v>
      </c>
      <c r="G430" s="285" t="s">
        <v>11481</v>
      </c>
      <c r="H430" s="285" t="s">
        <v>11482</v>
      </c>
      <c r="I430" s="285" t="s">
        <v>11483</v>
      </c>
      <c r="J430" s="285" t="s">
        <v>5012</v>
      </c>
      <c r="K430" s="285" t="s">
        <v>1606</v>
      </c>
      <c r="L430" s="285" t="s">
        <v>10127</v>
      </c>
      <c r="M430" s="285" t="s">
        <v>9391</v>
      </c>
      <c r="N430" s="287" t="str">
        <f>IFERROR(
    IF(
        AND(
            VLOOKUP(B430, 'รายชื่อพนักงานลาออกพ้นสภาพ'!B:I, 8, FALSE)&lt;&gt;"ยกเลิกลาออก",
            VLOOKUP(B430, 'รายชื่อพนักงานลาออกพ้นสภาพ'!B:I, 7, FALSE)&lt;=TODAY()
        ),
        "ลาออกแล้ว",
        ""
    ),
"")</f>
        <v/>
      </c>
      <c r="O430" s="292" t="str">
        <f t="array" ref="O430">IFERROR(INDEX(PCRent!C:D, MATCH(F430 &amp; " " &amp; G430, PCRent!A:A &amp; " " &amp; PCRent!B:B, 0)), "")</f>
        <v/>
      </c>
      <c r="P430" s="293"/>
      <c r="Q430" s="294" t="str">
        <f t="array" ref="Q430">IFERROR(INDEX(MonitorRent!C:D, MATCH(F430 &amp; " " &amp; G430, MonitorRent!A:A &amp; " " &amp; MonitorRent!B:B, 0)), "")</f>
        <v/>
      </c>
      <c r="R430" s="295"/>
    </row>
    <row r="431">
      <c r="A431" s="284">
        <v>428.0</v>
      </c>
      <c r="B431" s="285" t="s">
        <v>723</v>
      </c>
      <c r="C431" s="285" t="s">
        <v>10103</v>
      </c>
      <c r="D431" s="286" t="s">
        <v>10758</v>
      </c>
      <c r="E431" s="285" t="s">
        <v>6921</v>
      </c>
      <c r="F431" s="285" t="s">
        <v>11484</v>
      </c>
      <c r="G431" s="285" t="s">
        <v>11485</v>
      </c>
      <c r="H431" s="285" t="s">
        <v>10145</v>
      </c>
      <c r="I431" s="285" t="s">
        <v>725</v>
      </c>
      <c r="J431" s="285" t="s">
        <v>5012</v>
      </c>
      <c r="K431" s="285" t="s">
        <v>1417</v>
      </c>
      <c r="L431" s="285" t="s">
        <v>832</v>
      </c>
      <c r="M431" s="285" t="s">
        <v>9383</v>
      </c>
      <c r="N431" s="287" t="str">
        <f>IFERROR(
    IF(
        AND(
            VLOOKUP(B431, 'รายชื่อพนักงานลาออกพ้นสภาพ'!B:I, 8, FALSE)&lt;&gt;"ยกเลิกลาออก",
            VLOOKUP(B431, 'รายชื่อพนักงานลาออกพ้นสภาพ'!B:I, 7, FALSE)&lt;=TODAY()
        ),
        "ลาออกแล้ว",
        ""
    ),
"")</f>
        <v>ลาออกแล้ว</v>
      </c>
      <c r="O431" s="292" t="str">
        <f t="array" ref="O431">IFERROR(INDEX(PCRent!C:D, MATCH(F431 &amp; " " &amp; G431, PCRent!A:A &amp; " " &amp; PCRent!B:B, 0)), "")</f>
        <v/>
      </c>
      <c r="P431" s="293"/>
      <c r="Q431" s="294" t="str">
        <f t="array" ref="Q431">IFERROR(INDEX(MonitorRent!C:D, MATCH(F431 &amp; " " &amp; G431, MonitorRent!A:A &amp; " " &amp; MonitorRent!B:B, 0)), "")</f>
        <v/>
      </c>
      <c r="R431" s="295"/>
    </row>
    <row r="432">
      <c r="A432" s="284">
        <v>429.0</v>
      </c>
      <c r="B432" s="285" t="s">
        <v>224</v>
      </c>
      <c r="C432" s="285" t="s">
        <v>10103</v>
      </c>
      <c r="D432" s="286" t="s">
        <v>11486</v>
      </c>
      <c r="E432" s="285" t="s">
        <v>6921</v>
      </c>
      <c r="F432" s="285" t="s">
        <v>11487</v>
      </c>
      <c r="G432" s="285" t="s">
        <v>11488</v>
      </c>
      <c r="H432" s="285" t="s">
        <v>11489</v>
      </c>
      <c r="I432" s="285" t="s">
        <v>227</v>
      </c>
      <c r="J432" s="285" t="s">
        <v>5012</v>
      </c>
      <c r="K432" s="285" t="s">
        <v>1417</v>
      </c>
      <c r="L432" s="285" t="s">
        <v>832</v>
      </c>
      <c r="M432" s="285" t="s">
        <v>9383</v>
      </c>
      <c r="N432" s="287" t="str">
        <f>IFERROR(
    IF(
        AND(
            VLOOKUP(B432, 'รายชื่อพนักงานลาออกพ้นสภาพ'!B:I, 8, FALSE)&lt;&gt;"ยกเลิกลาออก",
            VLOOKUP(B432, 'รายชื่อพนักงานลาออกพ้นสภาพ'!B:I, 7, FALSE)&lt;=TODAY()
        ),
        "ลาออกแล้ว",
        ""
    ),
"")</f>
        <v>ลาออกแล้ว</v>
      </c>
      <c r="O432" s="292" t="str">
        <f t="array" ref="O432">IFERROR(INDEX(PCRent!C:D, MATCH(F432 &amp; " " &amp; G432, PCRent!A:A &amp; " " &amp; PCRent!B:B, 0)), "")</f>
        <v/>
      </c>
      <c r="P432" s="293"/>
      <c r="Q432" s="294" t="str">
        <f t="array" ref="Q432">IFERROR(INDEX(MonitorRent!C:D, MATCH(F432 &amp; " " &amp; G432, MonitorRent!A:A &amp; " " &amp; MonitorRent!B:B, 0)), "")</f>
        <v/>
      </c>
      <c r="R432" s="295"/>
    </row>
    <row r="433">
      <c r="A433" s="284">
        <v>430.0</v>
      </c>
      <c r="B433" s="285" t="s">
        <v>11490</v>
      </c>
      <c r="C433" s="285" t="s">
        <v>10103</v>
      </c>
      <c r="D433" s="286" t="s">
        <v>10456</v>
      </c>
      <c r="E433" s="285" t="s">
        <v>6933</v>
      </c>
      <c r="F433" s="285" t="s">
        <v>11491</v>
      </c>
      <c r="G433" s="285" t="s">
        <v>11492</v>
      </c>
      <c r="H433" s="285" t="s">
        <v>11493</v>
      </c>
      <c r="I433" s="285" t="s">
        <v>11494</v>
      </c>
      <c r="J433" s="285" t="s">
        <v>5012</v>
      </c>
      <c r="K433" s="285" t="s">
        <v>1412</v>
      </c>
      <c r="L433" s="285" t="s">
        <v>10127</v>
      </c>
      <c r="M433" s="285" t="s">
        <v>9383</v>
      </c>
      <c r="N433" s="287" t="str">
        <f>IFERROR(
    IF(
        AND(
            VLOOKUP(B433, 'รายชื่อพนักงานลาออกพ้นสภาพ'!B:I, 8, FALSE)&lt;&gt;"ยกเลิกลาออก",
            VLOOKUP(B433, 'รายชื่อพนักงานลาออกพ้นสภาพ'!B:I, 7, FALSE)&lt;=TODAY()
        ),
        "ลาออกแล้ว",
        ""
    ),
"")</f>
        <v/>
      </c>
      <c r="O433" s="292" t="str">
        <f t="array" ref="O433">IFERROR(INDEX(PCRent!C:D, MATCH(F433 &amp; " " &amp; G433, PCRent!A:A &amp; " " &amp; PCRent!B:B, 0)), "")</f>
        <v/>
      </c>
      <c r="P433" s="293"/>
      <c r="Q433" s="294" t="str">
        <f t="array" ref="Q433">IFERROR(INDEX(MonitorRent!C:D, MATCH(F433 &amp; " " &amp; G433, MonitorRent!A:A &amp; " " &amp; MonitorRent!B:B, 0)), "")</f>
        <v/>
      </c>
      <c r="R433" s="295"/>
    </row>
    <row r="434">
      <c r="A434" s="284">
        <v>431.0</v>
      </c>
      <c r="B434" s="285" t="s">
        <v>11495</v>
      </c>
      <c r="C434" s="285" t="s">
        <v>10103</v>
      </c>
      <c r="D434" s="286" t="s">
        <v>10090</v>
      </c>
      <c r="E434" s="285" t="s">
        <v>6933</v>
      </c>
      <c r="F434" s="285" t="s">
        <v>11491</v>
      </c>
      <c r="G434" s="285" t="s">
        <v>11496</v>
      </c>
      <c r="H434" s="285" t="s">
        <v>11497</v>
      </c>
      <c r="I434" s="285" t="s">
        <v>11498</v>
      </c>
      <c r="J434" s="285" t="s">
        <v>5012</v>
      </c>
      <c r="K434" s="285" t="s">
        <v>10114</v>
      </c>
      <c r="L434" s="285" t="s">
        <v>832</v>
      </c>
      <c r="M434" s="285" t="s">
        <v>9391</v>
      </c>
      <c r="N434" s="287" t="str">
        <f>IFERROR(
    IF(
        AND(
            VLOOKUP(B434, 'รายชื่อพนักงานลาออกพ้นสภาพ'!B:I, 8, FALSE)&lt;&gt;"ยกเลิกลาออก",
            VLOOKUP(B434, 'รายชื่อพนักงานลาออกพ้นสภาพ'!B:I, 7, FALSE)&lt;=TODAY()
        ),
        "ลาออกแล้ว",
        ""
    ),
"")</f>
        <v/>
      </c>
      <c r="O434" s="292" t="str">
        <f t="array" ref="O434">IFERROR(INDEX(PCRent!C:D, MATCH(F434 &amp; " " &amp; G434, PCRent!A:A &amp; " " &amp; PCRent!B:B, 0)), "")</f>
        <v/>
      </c>
      <c r="P434" s="293"/>
      <c r="Q434" s="294" t="str">
        <f t="array" ref="Q434">IFERROR(INDEX(MonitorRent!C:D, MATCH(F434 &amp; " " &amp; G434, MonitorRent!A:A &amp; " " &amp; MonitorRent!B:B, 0)), "")</f>
        <v/>
      </c>
      <c r="R434" s="295"/>
    </row>
    <row r="435">
      <c r="A435" s="284">
        <v>432.0</v>
      </c>
      <c r="B435" s="285" t="s">
        <v>11499</v>
      </c>
      <c r="C435" s="285" t="s">
        <v>10103</v>
      </c>
      <c r="D435" s="286" t="s">
        <v>11500</v>
      </c>
      <c r="E435" s="285" t="s">
        <v>6933</v>
      </c>
      <c r="F435" s="285" t="s">
        <v>11501</v>
      </c>
      <c r="G435" s="285" t="s">
        <v>11502</v>
      </c>
      <c r="H435" s="285" t="s">
        <v>11503</v>
      </c>
      <c r="I435" s="285" t="s">
        <v>11504</v>
      </c>
      <c r="J435" s="285" t="s">
        <v>5012</v>
      </c>
      <c r="K435" s="285" t="s">
        <v>1412</v>
      </c>
      <c r="L435" s="285" t="s">
        <v>10127</v>
      </c>
      <c r="M435" s="285" t="s">
        <v>9383</v>
      </c>
      <c r="N435" s="287" t="str">
        <f>IFERROR(
    IF(
        AND(
            VLOOKUP(B435, 'รายชื่อพนักงานลาออกพ้นสภาพ'!B:I, 8, FALSE)&lt;&gt;"ยกเลิกลาออก",
            VLOOKUP(B435, 'รายชื่อพนักงานลาออกพ้นสภาพ'!B:I, 7, FALSE)&lt;=TODAY()
        ),
        "ลาออกแล้ว",
        ""
    ),
"")</f>
        <v/>
      </c>
      <c r="O435" s="292" t="str">
        <f t="array" ref="O435">IFERROR(INDEX(PCRent!C:D, MATCH(F435 &amp; " " &amp; G435, PCRent!A:A &amp; " " &amp; PCRent!B:B, 0)), "")</f>
        <v/>
      </c>
      <c r="P435" s="293"/>
      <c r="Q435" s="294" t="str">
        <f t="array" ref="Q435">IFERROR(INDEX(MonitorRent!C:D, MATCH(F435 &amp; " " &amp; G435, MonitorRent!A:A &amp; " " &amp; MonitorRent!B:B, 0)), "")</f>
        <v/>
      </c>
      <c r="R435" s="295"/>
    </row>
    <row r="436">
      <c r="A436" s="284">
        <v>433.0</v>
      </c>
      <c r="B436" s="285" t="s">
        <v>11505</v>
      </c>
      <c r="C436" s="285" t="s">
        <v>10103</v>
      </c>
      <c r="D436" s="286" t="s">
        <v>10625</v>
      </c>
      <c r="E436" s="285" t="s">
        <v>7239</v>
      </c>
      <c r="F436" s="285" t="s">
        <v>11506</v>
      </c>
      <c r="G436" s="285" t="s">
        <v>11507</v>
      </c>
      <c r="H436" s="285" t="s">
        <v>11508</v>
      </c>
      <c r="I436" s="285" t="s">
        <v>11509</v>
      </c>
      <c r="J436" s="285" t="s">
        <v>5224</v>
      </c>
      <c r="K436" s="285" t="s">
        <v>4835</v>
      </c>
      <c r="L436" s="285" t="s">
        <v>832</v>
      </c>
      <c r="M436" s="285" t="s">
        <v>9383</v>
      </c>
      <c r="N436" s="287" t="str">
        <f>IFERROR(
    IF(
        AND(
            VLOOKUP(B436, 'รายชื่อพนักงานลาออกพ้นสภาพ'!B:I, 8, FALSE)&lt;&gt;"ยกเลิกลาออก",
            VLOOKUP(B436, 'รายชื่อพนักงานลาออกพ้นสภาพ'!B:I, 7, FALSE)&lt;=TODAY()
        ),
        "ลาออกแล้ว",
        ""
    ),
"")</f>
        <v/>
      </c>
      <c r="O436" s="292" t="str">
        <f t="array" ref="O436:P436">IFERROR(INDEX(PCRent!C:D, MATCH(F436 &amp; " " &amp; G436, PCRent!A:A &amp; " " &amp; PCRent!B:B, 0)), "")</f>
        <v>SN:MP283D2M</v>
      </c>
      <c r="P436" s="293" t="s">
        <v>6993</v>
      </c>
      <c r="Q436" s="294" t="str">
        <f t="array" ref="Q436">IFERROR(INDEX(MonitorRent!C:D, MATCH(F436 &amp; " " &amp; G436, MonitorRent!A:A &amp; " " &amp; MonitorRent!B:B, 0)), "")</f>
        <v/>
      </c>
      <c r="R436" s="295"/>
    </row>
    <row r="437">
      <c r="A437" s="284">
        <v>434.0</v>
      </c>
      <c r="B437" s="285" t="s">
        <v>412</v>
      </c>
      <c r="C437" s="285" t="s">
        <v>10103</v>
      </c>
      <c r="D437" s="286" t="s">
        <v>11510</v>
      </c>
      <c r="E437" s="285" t="s">
        <v>6933</v>
      </c>
      <c r="F437" s="285" t="s">
        <v>11511</v>
      </c>
      <c r="G437" s="285" t="s">
        <v>11512</v>
      </c>
      <c r="H437" s="285" t="s">
        <v>9732</v>
      </c>
      <c r="I437" s="285" t="s">
        <v>416</v>
      </c>
      <c r="J437" s="285" t="s">
        <v>5012</v>
      </c>
      <c r="K437" s="285" t="s">
        <v>1412</v>
      </c>
      <c r="L437" s="285" t="s">
        <v>10127</v>
      </c>
      <c r="M437" s="285" t="s">
        <v>9383</v>
      </c>
      <c r="N437" s="287" t="str">
        <f>IFERROR(
    IF(
        AND(
            VLOOKUP(B437, 'รายชื่อพนักงานลาออกพ้นสภาพ'!B:I, 8, FALSE)&lt;&gt;"ยกเลิกลาออก",
            VLOOKUP(B437, 'รายชื่อพนักงานลาออกพ้นสภาพ'!B:I, 7, FALSE)&lt;=TODAY()
        ),
        "ลาออกแล้ว",
        ""
    ),
"")</f>
        <v>ลาออกแล้ว</v>
      </c>
      <c r="O437" s="292" t="str">
        <f t="array" ref="O437">IFERROR(INDEX(PCRent!C:D, MATCH(F437 &amp; " " &amp; G437, PCRent!A:A &amp; " " &amp; PCRent!B:B, 0)), "")</f>
        <v/>
      </c>
      <c r="P437" s="293"/>
      <c r="Q437" s="294" t="str">
        <f t="array" ref="Q437">IFERROR(INDEX(MonitorRent!C:D, MATCH(F437 &amp; " " &amp; G437, MonitorRent!A:A &amp; " " &amp; MonitorRent!B:B, 0)), "")</f>
        <v/>
      </c>
      <c r="R437" s="295"/>
    </row>
    <row r="438">
      <c r="A438" s="284">
        <v>435.0</v>
      </c>
      <c r="B438" s="285" t="s">
        <v>11513</v>
      </c>
      <c r="C438" s="285" t="s">
        <v>10103</v>
      </c>
      <c r="D438" s="286" t="s">
        <v>10934</v>
      </c>
      <c r="E438" s="285" t="s">
        <v>6921</v>
      </c>
      <c r="F438" s="285" t="s">
        <v>11514</v>
      </c>
      <c r="G438" s="285" t="s">
        <v>11515</v>
      </c>
      <c r="H438" s="285" t="s">
        <v>10048</v>
      </c>
      <c r="I438" s="285" t="s">
        <v>11516</v>
      </c>
      <c r="J438" s="285" t="s">
        <v>5012</v>
      </c>
      <c r="K438" s="285" t="s">
        <v>1417</v>
      </c>
      <c r="L438" s="285" t="s">
        <v>832</v>
      </c>
      <c r="M438" s="285" t="s">
        <v>9383</v>
      </c>
      <c r="N438" s="287" t="str">
        <f>IFERROR(
    IF(
        AND(
            VLOOKUP(B438, 'รายชื่อพนักงานลาออกพ้นสภาพ'!B:I, 8, FALSE)&lt;&gt;"ยกเลิกลาออก",
            VLOOKUP(B438, 'รายชื่อพนักงานลาออกพ้นสภาพ'!B:I, 7, FALSE)&lt;=TODAY()
        ),
        "ลาออกแล้ว",
        ""
    ),
"")</f>
        <v/>
      </c>
      <c r="O438" s="292" t="str">
        <f t="array" ref="O438">IFERROR(INDEX(PCRent!C:D, MATCH(F438 &amp; " " &amp; G438, PCRent!A:A &amp; " " &amp; PCRent!B:B, 0)), "")</f>
        <v/>
      </c>
      <c r="P438" s="293"/>
      <c r="Q438" s="294" t="str">
        <f t="array" ref="Q438">IFERROR(INDEX(MonitorRent!C:D, MATCH(F438 &amp; " " &amp; G438, MonitorRent!A:A &amp; " " &amp; MonitorRent!B:B, 0)), "")</f>
        <v/>
      </c>
      <c r="R438" s="295"/>
    </row>
    <row r="439">
      <c r="A439" s="284">
        <v>436.0</v>
      </c>
      <c r="B439" s="285" t="s">
        <v>11517</v>
      </c>
      <c r="C439" s="285" t="s">
        <v>10103</v>
      </c>
      <c r="D439" s="286" t="s">
        <v>9888</v>
      </c>
      <c r="E439" s="285" t="s">
        <v>6933</v>
      </c>
      <c r="F439" s="285" t="s">
        <v>11518</v>
      </c>
      <c r="G439" s="285" t="s">
        <v>11519</v>
      </c>
      <c r="H439" s="285" t="s">
        <v>11520</v>
      </c>
      <c r="I439" s="285" t="s">
        <v>11521</v>
      </c>
      <c r="J439" s="285" t="s">
        <v>5012</v>
      </c>
      <c r="K439" s="285" t="s">
        <v>5341</v>
      </c>
      <c r="L439" s="285" t="s">
        <v>10843</v>
      </c>
      <c r="M439" s="285" t="s">
        <v>9383</v>
      </c>
      <c r="N439" s="287" t="str">
        <f>IFERROR(
    IF(
        AND(
            VLOOKUP(B439, 'รายชื่อพนักงานลาออกพ้นสภาพ'!B:I, 8, FALSE)&lt;&gt;"ยกเลิกลาออก",
            VLOOKUP(B439, 'รายชื่อพนักงานลาออกพ้นสภาพ'!B:I, 7, FALSE)&lt;=TODAY()
        ),
        "ลาออกแล้ว",
        ""
    ),
"")</f>
        <v/>
      </c>
      <c r="O439" s="292" t="str">
        <f t="array" ref="O439">IFERROR(INDEX(PCRent!C:D, MATCH(F439 &amp; " " &amp; G439, PCRent!A:A &amp; " " &amp; PCRent!B:B, 0)), "")</f>
        <v/>
      </c>
      <c r="P439" s="293"/>
      <c r="Q439" s="294" t="str">
        <f t="array" ref="Q439">IFERROR(INDEX(MonitorRent!C:D, MATCH(F439 &amp; " " &amp; G439, MonitorRent!A:A &amp; " " &amp; MonitorRent!B:B, 0)), "")</f>
        <v/>
      </c>
      <c r="R439" s="295"/>
    </row>
    <row r="440">
      <c r="A440" s="284">
        <v>437.0</v>
      </c>
      <c r="B440" s="285" t="s">
        <v>11522</v>
      </c>
      <c r="C440" s="285" t="s">
        <v>10103</v>
      </c>
      <c r="D440" s="286" t="s">
        <v>9718</v>
      </c>
      <c r="E440" s="285" t="s">
        <v>6921</v>
      </c>
      <c r="F440" s="285" t="s">
        <v>11523</v>
      </c>
      <c r="G440" s="285" t="s">
        <v>11524</v>
      </c>
      <c r="H440" s="285" t="s">
        <v>11525</v>
      </c>
      <c r="I440" s="285" t="s">
        <v>11526</v>
      </c>
      <c r="J440" s="285" t="s">
        <v>5012</v>
      </c>
      <c r="K440" s="285" t="s">
        <v>1606</v>
      </c>
      <c r="L440" s="285" t="s">
        <v>10127</v>
      </c>
      <c r="M440" s="285" t="s">
        <v>9391</v>
      </c>
      <c r="N440" s="287" t="str">
        <f>IFERROR(
    IF(
        AND(
            VLOOKUP(B440, 'รายชื่อพนักงานลาออกพ้นสภาพ'!B:I, 8, FALSE)&lt;&gt;"ยกเลิกลาออก",
            VLOOKUP(B440, 'รายชื่อพนักงานลาออกพ้นสภาพ'!B:I, 7, FALSE)&lt;=TODAY()
        ),
        "ลาออกแล้ว",
        ""
    ),
"")</f>
        <v/>
      </c>
      <c r="O440" s="292" t="str">
        <f t="array" ref="O440">IFERROR(INDEX(PCRent!C:D, MATCH(F440 &amp; " " &amp; G440, PCRent!A:A &amp; " " &amp; PCRent!B:B, 0)), "")</f>
        <v/>
      </c>
      <c r="P440" s="293"/>
      <c r="Q440" s="294" t="str">
        <f t="array" ref="Q440">IFERROR(INDEX(MonitorRent!C:D, MATCH(F440 &amp; " " &amp; G440, MonitorRent!A:A &amp; " " &amp; MonitorRent!B:B, 0)), "")</f>
        <v/>
      </c>
      <c r="R440" s="295"/>
    </row>
    <row r="441">
      <c r="A441" s="284">
        <v>438.0</v>
      </c>
      <c r="B441" s="285" t="s">
        <v>11527</v>
      </c>
      <c r="C441" s="285" t="s">
        <v>10103</v>
      </c>
      <c r="D441" s="286" t="s">
        <v>9489</v>
      </c>
      <c r="E441" s="285" t="s">
        <v>6921</v>
      </c>
      <c r="F441" s="285" t="s">
        <v>11528</v>
      </c>
      <c r="G441" s="285" t="s">
        <v>11529</v>
      </c>
      <c r="H441" s="285" t="s">
        <v>9388</v>
      </c>
      <c r="I441" s="285" t="s">
        <v>11530</v>
      </c>
      <c r="J441" s="285" t="s">
        <v>5012</v>
      </c>
      <c r="K441" s="285" t="s">
        <v>3000</v>
      </c>
      <c r="L441" s="285" t="s">
        <v>9692</v>
      </c>
      <c r="M441" s="285" t="s">
        <v>9383</v>
      </c>
      <c r="N441" s="287" t="str">
        <f>IFERROR(
    IF(
        AND(
            VLOOKUP(B441, 'รายชื่อพนักงานลาออกพ้นสภาพ'!B:I, 8, FALSE)&lt;&gt;"ยกเลิกลาออก",
            VLOOKUP(B441, 'รายชื่อพนักงานลาออกพ้นสภาพ'!B:I, 7, FALSE)&lt;=TODAY()
        ),
        "ลาออกแล้ว",
        ""
    ),
"")</f>
        <v/>
      </c>
      <c r="O441" s="292" t="str">
        <f t="array" ref="O441">IFERROR(INDEX(PCRent!C:D, MATCH(F441 &amp; " " &amp; G441, PCRent!A:A &amp; " " &amp; PCRent!B:B, 0)), "")</f>
        <v/>
      </c>
      <c r="P441" s="293"/>
      <c r="Q441" s="294" t="str">
        <f t="array" ref="Q441">IFERROR(INDEX(MonitorRent!C:D, MATCH(F441 &amp; " " &amp; G441, MonitorRent!A:A &amp; " " &amp; MonitorRent!B:B, 0)), "")</f>
        <v/>
      </c>
      <c r="R441" s="295"/>
    </row>
    <row r="442">
      <c r="A442" s="284">
        <v>439.0</v>
      </c>
      <c r="B442" s="285" t="s">
        <v>590</v>
      </c>
      <c r="C442" s="285" t="s">
        <v>10103</v>
      </c>
      <c r="D442" s="286" t="s">
        <v>10109</v>
      </c>
      <c r="E442" s="285" t="s">
        <v>6933</v>
      </c>
      <c r="F442" s="285" t="s">
        <v>11531</v>
      </c>
      <c r="G442" s="285" t="s">
        <v>11532</v>
      </c>
      <c r="H442" s="285" t="s">
        <v>11533</v>
      </c>
      <c r="I442" s="285" t="s">
        <v>592</v>
      </c>
      <c r="J442" s="285" t="s">
        <v>5012</v>
      </c>
      <c r="K442" s="285" t="s">
        <v>10114</v>
      </c>
      <c r="L442" s="285" t="s">
        <v>10127</v>
      </c>
      <c r="M442" s="285" t="s">
        <v>9383</v>
      </c>
      <c r="N442" s="287" t="str">
        <f>IFERROR(
    IF(
        AND(
            VLOOKUP(B442, 'รายชื่อพนักงานลาออกพ้นสภาพ'!B:I, 8, FALSE)&lt;&gt;"ยกเลิกลาออก",
            VLOOKUP(B442, 'รายชื่อพนักงานลาออกพ้นสภาพ'!B:I, 7, FALSE)&lt;=TODAY()
        ),
        "ลาออกแล้ว",
        ""
    ),
"")</f>
        <v>ลาออกแล้ว</v>
      </c>
      <c r="O442" s="292" t="str">
        <f t="array" ref="O442">IFERROR(INDEX(PCRent!C:D, MATCH(F442 &amp; " " &amp; G442, PCRent!A:A &amp; " " &amp; PCRent!B:B, 0)), "")</f>
        <v/>
      </c>
      <c r="P442" s="293"/>
      <c r="Q442" s="294" t="str">
        <f t="array" ref="Q442">IFERROR(INDEX(MonitorRent!C:D, MATCH(F442 &amp; " " &amp; G442, MonitorRent!A:A &amp; " " &amp; MonitorRent!B:B, 0)), "")</f>
        <v/>
      </c>
      <c r="R442" s="295"/>
    </row>
    <row r="443">
      <c r="A443" s="284">
        <v>440.0</v>
      </c>
      <c r="B443" s="285" t="s">
        <v>11534</v>
      </c>
      <c r="C443" s="285" t="s">
        <v>10103</v>
      </c>
      <c r="D443" s="286" t="s">
        <v>11535</v>
      </c>
      <c r="E443" s="285" t="s">
        <v>6921</v>
      </c>
      <c r="F443" s="285" t="s">
        <v>11536</v>
      </c>
      <c r="G443" s="285" t="s">
        <v>11537</v>
      </c>
      <c r="H443" s="285" t="s">
        <v>9805</v>
      </c>
      <c r="I443" s="285" t="s">
        <v>11538</v>
      </c>
      <c r="J443" s="285" t="s">
        <v>5012</v>
      </c>
      <c r="K443" s="285" t="s">
        <v>1417</v>
      </c>
      <c r="L443" s="285" t="s">
        <v>10127</v>
      </c>
      <c r="M443" s="285" t="s">
        <v>9383</v>
      </c>
      <c r="N443" s="287" t="str">
        <f>IFERROR(
    IF(
        AND(
            VLOOKUP(B443, 'รายชื่อพนักงานลาออกพ้นสภาพ'!B:I, 8, FALSE)&lt;&gt;"ยกเลิกลาออก",
            VLOOKUP(B443, 'รายชื่อพนักงานลาออกพ้นสภาพ'!B:I, 7, FALSE)&lt;=TODAY()
        ),
        "ลาออกแล้ว",
        ""
    ),
"")</f>
        <v/>
      </c>
      <c r="O443" s="292" t="str">
        <f t="array" ref="O443">IFERROR(INDEX(PCRent!C:D, MATCH(F443 &amp; " " &amp; G443, PCRent!A:A &amp; " " &amp; PCRent!B:B, 0)), "")</f>
        <v/>
      </c>
      <c r="P443" s="293"/>
      <c r="Q443" s="294" t="str">
        <f t="array" ref="Q443">IFERROR(INDEX(MonitorRent!C:D, MATCH(F443 &amp; " " &amp; G443, MonitorRent!A:A &amp; " " &amp; MonitorRent!B:B, 0)), "")</f>
        <v/>
      </c>
      <c r="R443" s="295"/>
    </row>
    <row r="444">
      <c r="A444" s="284">
        <v>441.0</v>
      </c>
      <c r="B444" s="285" t="s">
        <v>11539</v>
      </c>
      <c r="C444" s="285" t="s">
        <v>10103</v>
      </c>
      <c r="D444" s="286" t="s">
        <v>10996</v>
      </c>
      <c r="E444" s="285" t="s">
        <v>6933</v>
      </c>
      <c r="F444" s="285" t="s">
        <v>11540</v>
      </c>
      <c r="G444" s="285" t="s">
        <v>11541</v>
      </c>
      <c r="H444" s="285" t="s">
        <v>11525</v>
      </c>
      <c r="I444" s="285" t="s">
        <v>11542</v>
      </c>
      <c r="J444" s="285" t="s">
        <v>5012</v>
      </c>
      <c r="K444" s="285" t="s">
        <v>10114</v>
      </c>
      <c r="L444" s="285" t="s">
        <v>10127</v>
      </c>
      <c r="M444" s="285" t="s">
        <v>9391</v>
      </c>
      <c r="N444" s="287" t="str">
        <f>IFERROR(
    IF(
        AND(
            VLOOKUP(B444, 'รายชื่อพนักงานลาออกพ้นสภาพ'!B:I, 8, FALSE)&lt;&gt;"ยกเลิกลาออก",
            VLOOKUP(B444, 'รายชื่อพนักงานลาออกพ้นสภาพ'!B:I, 7, FALSE)&lt;=TODAY()
        ),
        "ลาออกแล้ว",
        ""
    ),
"")</f>
        <v/>
      </c>
      <c r="O444" s="292" t="str">
        <f t="array" ref="O444">IFERROR(INDEX(PCRent!C:D, MATCH(F444 &amp; " " &amp; G444, PCRent!A:A &amp; " " &amp; PCRent!B:B, 0)), "")</f>
        <v/>
      </c>
      <c r="P444" s="293"/>
      <c r="Q444" s="294" t="str">
        <f t="array" ref="Q444">IFERROR(INDEX(MonitorRent!C:D, MATCH(F444 &amp; " " &amp; G444, MonitorRent!A:A &amp; " " &amp; MonitorRent!B:B, 0)), "")</f>
        <v/>
      </c>
      <c r="R444" s="295"/>
    </row>
    <row r="445">
      <c r="A445" s="284">
        <v>442.0</v>
      </c>
      <c r="B445" s="285" t="s">
        <v>11543</v>
      </c>
      <c r="C445" s="285" t="s">
        <v>10103</v>
      </c>
      <c r="D445" s="286" t="s">
        <v>11240</v>
      </c>
      <c r="E445" s="285" t="s">
        <v>6933</v>
      </c>
      <c r="F445" s="285" t="s">
        <v>11544</v>
      </c>
      <c r="G445" s="285" t="s">
        <v>11545</v>
      </c>
      <c r="H445" s="285" t="s">
        <v>11546</v>
      </c>
      <c r="I445" s="285" t="s">
        <v>11547</v>
      </c>
      <c r="J445" s="285" t="s">
        <v>5012</v>
      </c>
      <c r="K445" s="285" t="s">
        <v>10114</v>
      </c>
      <c r="L445" s="285" t="s">
        <v>832</v>
      </c>
      <c r="M445" s="285" t="s">
        <v>9383</v>
      </c>
      <c r="N445" s="287" t="str">
        <f>IFERROR(
    IF(
        AND(
            VLOOKUP(B445, 'รายชื่อพนักงานลาออกพ้นสภาพ'!B:I, 8, FALSE)&lt;&gt;"ยกเลิกลาออก",
            VLOOKUP(B445, 'รายชื่อพนักงานลาออกพ้นสภาพ'!B:I, 7, FALSE)&lt;=TODAY()
        ),
        "ลาออกแล้ว",
        ""
    ),
"")</f>
        <v/>
      </c>
      <c r="O445" s="292" t="str">
        <f t="array" ref="O445">IFERROR(INDEX(PCRent!C:D, MATCH(F445 &amp; " " &amp; G445, PCRent!A:A &amp; " " &amp; PCRent!B:B, 0)), "")</f>
        <v/>
      </c>
      <c r="P445" s="293"/>
      <c r="Q445" s="294" t="str">
        <f t="array" ref="Q445">IFERROR(INDEX(MonitorRent!C:D, MATCH(F445 &amp; " " &amp; G445, MonitorRent!A:A &amp; " " &amp; MonitorRent!B:B, 0)), "")</f>
        <v/>
      </c>
      <c r="R445" s="295"/>
    </row>
    <row r="446">
      <c r="A446" s="284">
        <v>443.0</v>
      </c>
      <c r="B446" s="285" t="s">
        <v>11548</v>
      </c>
      <c r="C446" s="285" t="s">
        <v>10103</v>
      </c>
      <c r="D446" s="286" t="s">
        <v>9853</v>
      </c>
      <c r="E446" s="285" t="s">
        <v>6933</v>
      </c>
      <c r="F446" s="285" t="s">
        <v>11549</v>
      </c>
      <c r="G446" s="285" t="s">
        <v>11550</v>
      </c>
      <c r="H446" s="285" t="s">
        <v>11551</v>
      </c>
      <c r="I446" s="285" t="s">
        <v>11552</v>
      </c>
      <c r="J446" s="285" t="s">
        <v>5012</v>
      </c>
      <c r="K446" s="285" t="s">
        <v>10114</v>
      </c>
      <c r="L446" s="285" t="s">
        <v>10843</v>
      </c>
      <c r="M446" s="285" t="s">
        <v>9383</v>
      </c>
      <c r="N446" s="287" t="str">
        <f>IFERROR(
    IF(
        AND(
            VLOOKUP(B446, 'รายชื่อพนักงานลาออกพ้นสภาพ'!B:I, 8, FALSE)&lt;&gt;"ยกเลิกลาออก",
            VLOOKUP(B446, 'รายชื่อพนักงานลาออกพ้นสภาพ'!B:I, 7, FALSE)&lt;=TODAY()
        ),
        "ลาออกแล้ว",
        ""
    ),
"")</f>
        <v/>
      </c>
      <c r="O446" s="292" t="str">
        <f t="array" ref="O446">IFERROR(INDEX(PCRent!C:D, MATCH(F446 &amp; " " &amp; G446, PCRent!A:A &amp; " " &amp; PCRent!B:B, 0)), "")</f>
        <v/>
      </c>
      <c r="P446" s="293"/>
      <c r="Q446" s="294" t="str">
        <f t="array" ref="Q446">IFERROR(INDEX(MonitorRent!C:D, MATCH(F446 &amp; " " &amp; G446, MonitorRent!A:A &amp; " " &amp; MonitorRent!B:B, 0)), "")</f>
        <v/>
      </c>
      <c r="R446" s="295"/>
    </row>
    <row r="447">
      <c r="A447" s="284">
        <v>444.0</v>
      </c>
      <c r="B447" s="285" t="s">
        <v>11553</v>
      </c>
      <c r="C447" s="285" t="s">
        <v>10103</v>
      </c>
      <c r="D447" s="286" t="s">
        <v>11554</v>
      </c>
      <c r="E447" s="285" t="s">
        <v>6921</v>
      </c>
      <c r="F447" s="285" t="s">
        <v>11555</v>
      </c>
      <c r="G447" s="285" t="s">
        <v>11556</v>
      </c>
      <c r="H447" s="285" t="s">
        <v>9586</v>
      </c>
      <c r="I447" s="285" t="s">
        <v>11557</v>
      </c>
      <c r="J447" s="285" t="s">
        <v>5012</v>
      </c>
      <c r="K447" s="285" t="s">
        <v>1417</v>
      </c>
      <c r="L447" s="285" t="s">
        <v>10843</v>
      </c>
      <c r="M447" s="285" t="s">
        <v>9383</v>
      </c>
      <c r="N447" s="287" t="str">
        <f>IFERROR(
    IF(
        AND(
            VLOOKUP(B447, 'รายชื่อพนักงานลาออกพ้นสภาพ'!B:I, 8, FALSE)&lt;&gt;"ยกเลิกลาออก",
            VLOOKUP(B447, 'รายชื่อพนักงานลาออกพ้นสภาพ'!B:I, 7, FALSE)&lt;=TODAY()
        ),
        "ลาออกแล้ว",
        ""
    ),
"")</f>
        <v/>
      </c>
      <c r="O447" s="292" t="str">
        <f t="array" ref="O447:P447">IFERROR(INDEX(PCRent!C:D, MATCH(F447 &amp; " " &amp; G447, PCRent!A:A &amp; " " &amp; PCRent!B:B, 0)), "")</f>
        <v>SN:HQT2CZ3</v>
      </c>
      <c r="P447" s="293" t="s">
        <v>7048</v>
      </c>
      <c r="Q447" s="294" t="str">
        <f t="array" ref="Q447:R447">IFERROR(INDEX(MonitorRent!C:D, MATCH(F447 &amp; " " &amp; G447, MonitorRent!A:A &amp; " " &amp; MonitorRent!B:B, 0)), "")</f>
        <v>SN:DL1G8X3</v>
      </c>
      <c r="R447" s="295" t="s">
        <v>7050</v>
      </c>
    </row>
    <row r="448">
      <c r="A448" s="284">
        <v>445.0</v>
      </c>
      <c r="B448" s="285" t="s">
        <v>156</v>
      </c>
      <c r="C448" s="285" t="s">
        <v>10103</v>
      </c>
      <c r="D448" s="286" t="s">
        <v>10329</v>
      </c>
      <c r="E448" s="285" t="s">
        <v>6933</v>
      </c>
      <c r="F448" s="285" t="s">
        <v>11558</v>
      </c>
      <c r="G448" s="285" t="s">
        <v>11559</v>
      </c>
      <c r="H448" s="285" t="s">
        <v>11560</v>
      </c>
      <c r="I448" s="285" t="s">
        <v>159</v>
      </c>
      <c r="J448" s="285" t="s">
        <v>5012</v>
      </c>
      <c r="K448" s="285" t="s">
        <v>10114</v>
      </c>
      <c r="L448" s="285" t="s">
        <v>832</v>
      </c>
      <c r="M448" s="285" t="s">
        <v>9391</v>
      </c>
      <c r="N448" s="287" t="str">
        <f>IFERROR(
    IF(
        AND(
            VLOOKUP(B448, 'รายชื่อพนักงานลาออกพ้นสภาพ'!B:I, 8, FALSE)&lt;&gt;"ยกเลิกลาออก",
            VLOOKUP(B448, 'รายชื่อพนักงานลาออกพ้นสภาพ'!B:I, 7, FALSE)&lt;=TODAY()
        ),
        "ลาออกแล้ว",
        ""
    ),
"")</f>
        <v>ลาออกแล้ว</v>
      </c>
      <c r="O448" s="292" t="str">
        <f t="array" ref="O448">IFERROR(INDEX(PCRent!C:D, MATCH(F448 &amp; " " &amp; G448, PCRent!A:A &amp; " " &amp; PCRent!B:B, 0)), "")</f>
        <v/>
      </c>
      <c r="P448" s="293"/>
      <c r="Q448" s="294" t="str">
        <f t="array" ref="Q448">IFERROR(INDEX(MonitorRent!C:D, MATCH(F448 &amp; " " &amp; G448, MonitorRent!A:A &amp; " " &amp; MonitorRent!B:B, 0)), "")</f>
        <v/>
      </c>
      <c r="R448" s="295"/>
    </row>
    <row r="449">
      <c r="A449" s="284">
        <v>446.0</v>
      </c>
      <c r="B449" s="285" t="s">
        <v>897</v>
      </c>
      <c r="C449" s="285" t="s">
        <v>10103</v>
      </c>
      <c r="D449" s="286" t="s">
        <v>10063</v>
      </c>
      <c r="E449" s="285" t="s">
        <v>6921</v>
      </c>
      <c r="F449" s="285" t="s">
        <v>11561</v>
      </c>
      <c r="G449" s="285" t="s">
        <v>11562</v>
      </c>
      <c r="H449" s="285" t="s">
        <v>11563</v>
      </c>
      <c r="I449" s="285" t="s">
        <v>899</v>
      </c>
      <c r="J449" s="285" t="s">
        <v>5012</v>
      </c>
      <c r="K449" s="285" t="s">
        <v>1606</v>
      </c>
      <c r="L449" s="285" t="s">
        <v>10163</v>
      </c>
      <c r="M449" s="285" t="s">
        <v>9391</v>
      </c>
      <c r="N449" s="287" t="str">
        <f>IFERROR(
    IF(
        AND(
            VLOOKUP(B449, 'รายชื่อพนักงานลาออกพ้นสภาพ'!B:I, 8, FALSE)&lt;&gt;"ยกเลิกลาออก",
            VLOOKUP(B449, 'รายชื่อพนักงานลาออกพ้นสภาพ'!B:I, 7, FALSE)&lt;=TODAY()
        ),
        "ลาออกแล้ว",
        ""
    ),
"")</f>
        <v>ลาออกแล้ว</v>
      </c>
      <c r="O449" s="292" t="str">
        <f t="array" ref="O449">IFERROR(INDEX(PCRent!C:D, MATCH(F449 &amp; " " &amp; G449, PCRent!A:A &amp; " " &amp; PCRent!B:B, 0)), "")</f>
        <v/>
      </c>
      <c r="P449" s="293"/>
      <c r="Q449" s="294" t="str">
        <f t="array" ref="Q449">IFERROR(INDEX(MonitorRent!C:D, MATCH(F449 &amp; " " &amp; G449, MonitorRent!A:A &amp; " " &amp; MonitorRent!B:B, 0)), "")</f>
        <v/>
      </c>
      <c r="R449" s="295"/>
    </row>
    <row r="450">
      <c r="A450" s="284">
        <v>447.0</v>
      </c>
      <c r="B450" s="285" t="s">
        <v>892</v>
      </c>
      <c r="C450" s="285" t="s">
        <v>10103</v>
      </c>
      <c r="D450" s="286" t="s">
        <v>10358</v>
      </c>
      <c r="E450" s="285" t="s">
        <v>6921</v>
      </c>
      <c r="F450" s="285" t="s">
        <v>11564</v>
      </c>
      <c r="G450" s="285" t="s">
        <v>11565</v>
      </c>
      <c r="H450" s="285" t="s">
        <v>11566</v>
      </c>
      <c r="I450" s="285" t="s">
        <v>895</v>
      </c>
      <c r="J450" s="285" t="s">
        <v>5012</v>
      </c>
      <c r="K450" s="285" t="s">
        <v>1484</v>
      </c>
      <c r="L450" s="285" t="s">
        <v>10127</v>
      </c>
      <c r="M450" s="285" t="s">
        <v>9383</v>
      </c>
      <c r="N450" s="287" t="str">
        <f>IFERROR(
    IF(
        AND(
            VLOOKUP(B450, 'รายชื่อพนักงานลาออกพ้นสภาพ'!B:I, 8, FALSE)&lt;&gt;"ยกเลิกลาออก",
            VLOOKUP(B450, 'รายชื่อพนักงานลาออกพ้นสภาพ'!B:I, 7, FALSE)&lt;=TODAY()
        ),
        "ลาออกแล้ว",
        ""
    ),
"")</f>
        <v/>
      </c>
      <c r="O450" s="292" t="str">
        <f t="array" ref="O450">IFERROR(INDEX(PCRent!C:D, MATCH(F450 &amp; " " &amp; G450, PCRent!A:A &amp; " " &amp; PCRent!B:B, 0)), "")</f>
        <v/>
      </c>
      <c r="P450" s="293"/>
      <c r="Q450" s="294" t="str">
        <f t="array" ref="Q450">IFERROR(INDEX(MonitorRent!C:D, MATCH(F450 &amp; " " &amp; G450, MonitorRent!A:A &amp; " " &amp; MonitorRent!B:B, 0)), "")</f>
        <v/>
      </c>
      <c r="R450" s="295"/>
    </row>
    <row r="451">
      <c r="A451" s="284">
        <v>448.0</v>
      </c>
      <c r="B451" s="285" t="s">
        <v>11567</v>
      </c>
      <c r="C451" s="285" t="s">
        <v>10103</v>
      </c>
      <c r="D451" s="286" t="s">
        <v>9882</v>
      </c>
      <c r="E451" s="285" t="s">
        <v>6921</v>
      </c>
      <c r="F451" s="285" t="s">
        <v>9830</v>
      </c>
      <c r="G451" s="285" t="s">
        <v>11568</v>
      </c>
      <c r="H451" s="285" t="s">
        <v>9501</v>
      </c>
      <c r="I451" s="285" t="s">
        <v>11569</v>
      </c>
      <c r="J451" s="285" t="s">
        <v>5012</v>
      </c>
      <c r="K451" s="285" t="s">
        <v>5341</v>
      </c>
      <c r="L451" s="285" t="s">
        <v>10127</v>
      </c>
      <c r="M451" s="285" t="s">
        <v>9383</v>
      </c>
      <c r="N451" s="287" t="str">
        <f>IFERROR(
    IF(
        AND(
            VLOOKUP(B451, 'รายชื่อพนักงานลาออกพ้นสภาพ'!B:I, 8, FALSE)&lt;&gt;"ยกเลิกลาออก",
            VLOOKUP(B451, 'รายชื่อพนักงานลาออกพ้นสภาพ'!B:I, 7, FALSE)&lt;=TODAY()
        ),
        "ลาออกแล้ว",
        ""
    ),
"")</f>
        <v/>
      </c>
      <c r="O451" s="292" t="str">
        <f t="array" ref="O451">IFERROR(INDEX(PCRent!C:D, MATCH(F451 &amp; " " &amp; G451, PCRent!A:A &amp; " " &amp; PCRent!B:B, 0)), "")</f>
        <v/>
      </c>
      <c r="P451" s="293"/>
      <c r="Q451" s="294" t="str">
        <f t="array" ref="Q451">IFERROR(INDEX(MonitorRent!C:D, MATCH(F451 &amp; " " &amp; G451, MonitorRent!A:A &amp; " " &amp; MonitorRent!B:B, 0)), "")</f>
        <v/>
      </c>
      <c r="R451" s="295"/>
    </row>
    <row r="452">
      <c r="A452" s="284">
        <v>449.0</v>
      </c>
      <c r="B452" s="285" t="s">
        <v>11570</v>
      </c>
      <c r="C452" s="285" t="s">
        <v>10103</v>
      </c>
      <c r="D452" s="286" t="s">
        <v>11571</v>
      </c>
      <c r="E452" s="285" t="s">
        <v>6921</v>
      </c>
      <c r="F452" s="285" t="s">
        <v>11572</v>
      </c>
      <c r="G452" s="285" t="s">
        <v>11573</v>
      </c>
      <c r="H452" s="285" t="s">
        <v>11574</v>
      </c>
      <c r="I452" s="285" t="s">
        <v>11575</v>
      </c>
      <c r="J452" s="285" t="s">
        <v>5012</v>
      </c>
      <c r="K452" s="285" t="s">
        <v>1417</v>
      </c>
      <c r="L452" s="285" t="s">
        <v>10127</v>
      </c>
      <c r="M452" s="285" t="s">
        <v>9383</v>
      </c>
      <c r="N452" s="287" t="str">
        <f>IFERROR(
    IF(
        AND(
            VLOOKUP(B452, 'รายชื่อพนักงานลาออกพ้นสภาพ'!B:I, 8, FALSE)&lt;&gt;"ยกเลิกลาออก",
            VLOOKUP(B452, 'รายชื่อพนักงานลาออกพ้นสภาพ'!B:I, 7, FALSE)&lt;=TODAY()
        ),
        "ลาออกแล้ว",
        ""
    ),
"")</f>
        <v/>
      </c>
      <c r="O452" s="292" t="str">
        <f t="array" ref="O452">IFERROR(INDEX(PCRent!C:D, MATCH(F452 &amp; " " &amp; G452, PCRent!A:A &amp; " " &amp; PCRent!B:B, 0)), "")</f>
        <v/>
      </c>
      <c r="P452" s="293"/>
      <c r="Q452" s="294" t="str">
        <f t="array" ref="Q452">IFERROR(INDEX(MonitorRent!C:D, MATCH(F452 &amp; " " &amp; G452, MonitorRent!A:A &amp; " " &amp; MonitorRent!B:B, 0)), "")</f>
        <v/>
      </c>
      <c r="R452" s="295"/>
    </row>
    <row r="453">
      <c r="A453" s="284">
        <v>450.0</v>
      </c>
      <c r="B453" s="285" t="s">
        <v>568</v>
      </c>
      <c r="C453" s="285" t="s">
        <v>10103</v>
      </c>
      <c r="D453" s="286" t="s">
        <v>9829</v>
      </c>
      <c r="E453" s="285" t="s">
        <v>6933</v>
      </c>
      <c r="F453" s="285" t="s">
        <v>11576</v>
      </c>
      <c r="G453" s="285" t="s">
        <v>11577</v>
      </c>
      <c r="H453" s="285" t="s">
        <v>10079</v>
      </c>
      <c r="I453" s="285" t="s">
        <v>570</v>
      </c>
      <c r="J453" s="285" t="s">
        <v>5012</v>
      </c>
      <c r="K453" s="285" t="s">
        <v>10114</v>
      </c>
      <c r="L453" s="285" t="s">
        <v>10127</v>
      </c>
      <c r="M453" s="285" t="s">
        <v>9391</v>
      </c>
      <c r="N453" s="287" t="str">
        <f>IFERROR(
    IF(
        AND(
            VLOOKUP(B453, 'รายชื่อพนักงานลาออกพ้นสภาพ'!B:I, 8, FALSE)&lt;&gt;"ยกเลิกลาออก",
            VLOOKUP(B453, 'รายชื่อพนักงานลาออกพ้นสภาพ'!B:I, 7, FALSE)&lt;=TODAY()
        ),
        "ลาออกแล้ว",
        ""
    ),
"")</f>
        <v>ลาออกแล้ว</v>
      </c>
      <c r="O453" s="292" t="str">
        <f t="array" ref="O453">IFERROR(INDEX(PCRent!C:D, MATCH(F453 &amp; " " &amp; G453, PCRent!A:A &amp; " " &amp; PCRent!B:B, 0)), "")</f>
        <v/>
      </c>
      <c r="P453" s="293"/>
      <c r="Q453" s="294" t="str">
        <f t="array" ref="Q453">IFERROR(INDEX(MonitorRent!C:D, MATCH(F453 &amp; " " &amp; G453, MonitorRent!A:A &amp; " " &amp; MonitorRent!B:B, 0)), "")</f>
        <v/>
      </c>
      <c r="R453" s="295"/>
    </row>
    <row r="454">
      <c r="A454" s="284">
        <v>451.0</v>
      </c>
      <c r="B454" s="285" t="s">
        <v>11578</v>
      </c>
      <c r="C454" s="285" t="s">
        <v>10103</v>
      </c>
      <c r="D454" s="286" t="s">
        <v>10354</v>
      </c>
      <c r="E454" s="285" t="s">
        <v>6933</v>
      </c>
      <c r="F454" s="285" t="s">
        <v>11579</v>
      </c>
      <c r="G454" s="285" t="s">
        <v>11580</v>
      </c>
      <c r="H454" s="285" t="s">
        <v>11581</v>
      </c>
      <c r="I454" s="285" t="s">
        <v>11582</v>
      </c>
      <c r="J454" s="285" t="s">
        <v>5012</v>
      </c>
      <c r="K454" s="285" t="s">
        <v>1492</v>
      </c>
      <c r="L454" s="285" t="s">
        <v>1258</v>
      </c>
      <c r="M454" s="285" t="s">
        <v>9383</v>
      </c>
      <c r="N454" s="287" t="str">
        <f>IFERROR(
    IF(
        AND(
            VLOOKUP(B454, 'รายชื่อพนักงานลาออกพ้นสภาพ'!B:I, 8, FALSE)&lt;&gt;"ยกเลิกลาออก",
            VLOOKUP(B454, 'รายชื่อพนักงานลาออกพ้นสภาพ'!B:I, 7, FALSE)&lt;=TODAY()
        ),
        "ลาออกแล้ว",
        ""
    ),
"")</f>
        <v/>
      </c>
      <c r="O454" s="292" t="str">
        <f t="array" ref="O454">IFERROR(INDEX(PCRent!C:D, MATCH(F454 &amp; " " &amp; G454, PCRent!A:A &amp; " " &amp; PCRent!B:B, 0)), "")</f>
        <v/>
      </c>
      <c r="P454" s="293"/>
      <c r="Q454" s="294" t="str">
        <f t="array" ref="Q454">IFERROR(INDEX(MonitorRent!C:D, MATCH(F454 &amp; " " &amp; G454, MonitorRent!A:A &amp; " " &amp; MonitorRent!B:B, 0)), "")</f>
        <v/>
      </c>
      <c r="R454" s="295"/>
    </row>
    <row r="455">
      <c r="A455" s="284">
        <v>452.0</v>
      </c>
      <c r="B455" s="285" t="s">
        <v>1046</v>
      </c>
      <c r="C455" s="285" t="s">
        <v>10103</v>
      </c>
      <c r="D455" s="286" t="s">
        <v>10274</v>
      </c>
      <c r="E455" s="285" t="s">
        <v>6921</v>
      </c>
      <c r="F455" s="285" t="s">
        <v>11583</v>
      </c>
      <c r="G455" s="285" t="s">
        <v>11584</v>
      </c>
      <c r="H455" s="285" t="s">
        <v>11585</v>
      </c>
      <c r="I455" s="285" t="s">
        <v>1048</v>
      </c>
      <c r="J455" s="285" t="s">
        <v>5012</v>
      </c>
      <c r="K455" s="285" t="s">
        <v>1606</v>
      </c>
      <c r="L455" s="285" t="s">
        <v>832</v>
      </c>
      <c r="M455" s="285" t="s">
        <v>9383</v>
      </c>
      <c r="N455" s="287" t="str">
        <f>IFERROR(
    IF(
        AND(
            VLOOKUP(B455, 'รายชื่อพนักงานลาออกพ้นสภาพ'!B:I, 8, FALSE)&lt;&gt;"ยกเลิกลาออก",
            VLOOKUP(B455, 'รายชื่อพนักงานลาออกพ้นสภาพ'!B:I, 7, FALSE)&lt;=TODAY()
        ),
        "ลาออกแล้ว",
        ""
    ),
"")</f>
        <v/>
      </c>
      <c r="O455" s="292" t="str">
        <f t="array" ref="O455">IFERROR(INDEX(PCRent!C:D, MATCH(F455 &amp; " " &amp; G455, PCRent!A:A &amp; " " &amp; PCRent!B:B, 0)), "")</f>
        <v/>
      </c>
      <c r="P455" s="293"/>
      <c r="Q455" s="294" t="str">
        <f t="array" ref="Q455">IFERROR(INDEX(MonitorRent!C:D, MATCH(F455 &amp; " " &amp; G455, MonitorRent!A:A &amp; " " &amp; MonitorRent!B:B, 0)), "")</f>
        <v/>
      </c>
      <c r="R455" s="295"/>
    </row>
    <row r="456">
      <c r="A456" s="284">
        <v>453.0</v>
      </c>
      <c r="B456" s="285" t="s">
        <v>732</v>
      </c>
      <c r="C456" s="285" t="s">
        <v>10103</v>
      </c>
      <c r="D456" s="286" t="s">
        <v>11586</v>
      </c>
      <c r="E456" s="285" t="s">
        <v>6921</v>
      </c>
      <c r="F456" s="285" t="s">
        <v>11587</v>
      </c>
      <c r="G456" s="285" t="s">
        <v>11588</v>
      </c>
      <c r="H456" s="285" t="s">
        <v>9435</v>
      </c>
      <c r="I456" s="285" t="s">
        <v>735</v>
      </c>
      <c r="J456" s="285" t="s">
        <v>5012</v>
      </c>
      <c r="K456" s="285" t="s">
        <v>1456</v>
      </c>
      <c r="L456" s="285" t="s">
        <v>10127</v>
      </c>
      <c r="M456" s="285" t="s">
        <v>9383</v>
      </c>
      <c r="N456" s="287" t="str">
        <f>IFERROR(
    IF(
        AND(
            VLOOKUP(B456, 'รายชื่อพนักงานลาออกพ้นสภาพ'!B:I, 8, FALSE)&lt;&gt;"ยกเลิกลาออก",
            VLOOKUP(B456, 'รายชื่อพนักงานลาออกพ้นสภาพ'!B:I, 7, FALSE)&lt;=TODAY()
        ),
        "ลาออกแล้ว",
        ""
    ),
"")</f>
        <v>ลาออกแล้ว</v>
      </c>
      <c r="O456" s="292" t="str">
        <f t="array" ref="O456">IFERROR(INDEX(PCRent!C:D, MATCH(F456 &amp; " " &amp; G456, PCRent!A:A &amp; " " &amp; PCRent!B:B, 0)), "")</f>
        <v/>
      </c>
      <c r="P456" s="293"/>
      <c r="Q456" s="294" t="str">
        <f t="array" ref="Q456">IFERROR(INDEX(MonitorRent!C:D, MATCH(F456 &amp; " " &amp; G456, MonitorRent!A:A &amp; " " &amp; MonitorRent!B:B, 0)), "")</f>
        <v/>
      </c>
      <c r="R456" s="295"/>
    </row>
    <row r="457">
      <c r="A457" s="284">
        <v>454.0</v>
      </c>
      <c r="B457" s="285" t="s">
        <v>11589</v>
      </c>
      <c r="C457" s="285" t="s">
        <v>10103</v>
      </c>
      <c r="D457" s="286" t="s">
        <v>11057</v>
      </c>
      <c r="E457" s="285" t="s">
        <v>6921</v>
      </c>
      <c r="F457" s="285" t="s">
        <v>11590</v>
      </c>
      <c r="G457" s="285" t="s">
        <v>11591</v>
      </c>
      <c r="H457" s="285" t="s">
        <v>9388</v>
      </c>
      <c r="I457" s="285" t="s">
        <v>11592</v>
      </c>
      <c r="J457" s="285" t="s">
        <v>5012</v>
      </c>
      <c r="K457" s="285" t="s">
        <v>1606</v>
      </c>
      <c r="L457" s="285" t="s">
        <v>10127</v>
      </c>
      <c r="M457" s="285" t="s">
        <v>9383</v>
      </c>
      <c r="N457" s="287" t="str">
        <f>IFERROR(
    IF(
        AND(
            VLOOKUP(B457, 'รายชื่อพนักงานลาออกพ้นสภาพ'!B:I, 8, FALSE)&lt;&gt;"ยกเลิกลาออก",
            VLOOKUP(B457, 'รายชื่อพนักงานลาออกพ้นสภาพ'!B:I, 7, FALSE)&lt;=TODAY()
        ),
        "ลาออกแล้ว",
        ""
    ),
"")</f>
        <v/>
      </c>
      <c r="O457" s="292" t="str">
        <f t="array" ref="O457">IFERROR(INDEX(PCRent!C:D, MATCH(F457 &amp; " " &amp; G457, PCRent!A:A &amp; " " &amp; PCRent!B:B, 0)), "")</f>
        <v/>
      </c>
      <c r="P457" s="293"/>
      <c r="Q457" s="294" t="str">
        <f t="array" ref="Q457">IFERROR(INDEX(MonitorRent!C:D, MATCH(F457 &amp; " " &amp; G457, MonitorRent!A:A &amp; " " &amp; MonitorRent!B:B, 0)), "")</f>
        <v/>
      </c>
      <c r="R457" s="295"/>
    </row>
    <row r="458">
      <c r="A458" s="284">
        <v>455.0</v>
      </c>
      <c r="B458" s="285" t="s">
        <v>11593</v>
      </c>
      <c r="C458" s="285" t="s">
        <v>10103</v>
      </c>
      <c r="D458" s="286" t="s">
        <v>10239</v>
      </c>
      <c r="E458" s="285" t="s">
        <v>6933</v>
      </c>
      <c r="F458" s="285" t="s">
        <v>11594</v>
      </c>
      <c r="G458" s="285" t="s">
        <v>11595</v>
      </c>
      <c r="H458" s="285" t="s">
        <v>11596</v>
      </c>
      <c r="I458" s="285" t="s">
        <v>11597</v>
      </c>
      <c r="J458" s="285" t="s">
        <v>5012</v>
      </c>
      <c r="K458" s="285" t="s">
        <v>1417</v>
      </c>
      <c r="L458" s="285" t="s">
        <v>10127</v>
      </c>
      <c r="M458" s="285" t="s">
        <v>9383</v>
      </c>
      <c r="N458" s="287" t="str">
        <f>IFERROR(
    IF(
        AND(
            VLOOKUP(B458, 'รายชื่อพนักงานลาออกพ้นสภาพ'!B:I, 8, FALSE)&lt;&gt;"ยกเลิกลาออก",
            VLOOKUP(B458, 'รายชื่อพนักงานลาออกพ้นสภาพ'!B:I, 7, FALSE)&lt;=TODAY()
        ),
        "ลาออกแล้ว",
        ""
    ),
"")</f>
        <v/>
      </c>
      <c r="O458" s="292" t="str">
        <f t="array" ref="O458">IFERROR(INDEX(PCRent!C:D, MATCH(F458 &amp; " " &amp; G458, PCRent!A:A &amp; " " &amp; PCRent!B:B, 0)), "")</f>
        <v/>
      </c>
      <c r="P458" s="293"/>
      <c r="Q458" s="294" t="str">
        <f t="array" ref="Q458">IFERROR(INDEX(MonitorRent!C:D, MATCH(F458 &amp; " " &amp; G458, MonitorRent!A:A &amp; " " &amp; MonitorRent!B:B, 0)), "")</f>
        <v/>
      </c>
      <c r="R458" s="295"/>
    </row>
    <row r="459">
      <c r="A459" s="284">
        <v>456.0</v>
      </c>
      <c r="B459" s="285" t="s">
        <v>11598</v>
      </c>
      <c r="C459" s="285" t="s">
        <v>10103</v>
      </c>
      <c r="D459" s="286" t="s">
        <v>11140</v>
      </c>
      <c r="E459" s="285" t="s">
        <v>6933</v>
      </c>
      <c r="F459" s="285" t="s">
        <v>11599</v>
      </c>
      <c r="G459" s="285" t="s">
        <v>11600</v>
      </c>
      <c r="H459" s="285" t="s">
        <v>11601</v>
      </c>
      <c r="I459" s="285" t="s">
        <v>11602</v>
      </c>
      <c r="J459" s="285" t="s">
        <v>5012</v>
      </c>
      <c r="K459" s="285" t="s">
        <v>10114</v>
      </c>
      <c r="L459" s="285" t="s">
        <v>832</v>
      </c>
      <c r="M459" s="285" t="s">
        <v>9391</v>
      </c>
      <c r="N459" s="287" t="str">
        <f>IFERROR(
    IF(
        AND(
            VLOOKUP(B459, 'รายชื่อพนักงานลาออกพ้นสภาพ'!B:I, 8, FALSE)&lt;&gt;"ยกเลิกลาออก",
            VLOOKUP(B459, 'รายชื่อพนักงานลาออกพ้นสภาพ'!B:I, 7, FALSE)&lt;=TODAY()
        ),
        "ลาออกแล้ว",
        ""
    ),
"")</f>
        <v/>
      </c>
      <c r="O459" s="292" t="str">
        <f t="array" ref="O459">IFERROR(INDEX(PCRent!C:D, MATCH(F459 &amp; " " &amp; G459, PCRent!A:A &amp; " " &amp; PCRent!B:B, 0)), "")</f>
        <v/>
      </c>
      <c r="P459" s="293"/>
      <c r="Q459" s="294" t="str">
        <f t="array" ref="Q459">IFERROR(INDEX(MonitorRent!C:D, MATCH(F459 &amp; " " &amp; G459, MonitorRent!A:A &amp; " " &amp; MonitorRent!B:B, 0)), "")</f>
        <v/>
      </c>
      <c r="R459" s="295"/>
    </row>
    <row r="460">
      <c r="A460" s="284">
        <v>457.0</v>
      </c>
      <c r="B460" s="285" t="s">
        <v>1016</v>
      </c>
      <c r="C460" s="285" t="s">
        <v>10103</v>
      </c>
      <c r="D460" s="286" t="s">
        <v>10501</v>
      </c>
      <c r="E460" s="285" t="s">
        <v>6933</v>
      </c>
      <c r="F460" s="285" t="s">
        <v>11603</v>
      </c>
      <c r="G460" s="285" t="s">
        <v>11604</v>
      </c>
      <c r="H460" s="285" t="s">
        <v>10020</v>
      </c>
      <c r="I460" s="285" t="s">
        <v>1018</v>
      </c>
      <c r="J460" s="285" t="s">
        <v>5012</v>
      </c>
      <c r="K460" s="285" t="s">
        <v>1417</v>
      </c>
      <c r="L460" s="285" t="s">
        <v>10127</v>
      </c>
      <c r="M460" s="285" t="s">
        <v>9383</v>
      </c>
      <c r="N460" s="287" t="str">
        <f>IFERROR(
    IF(
        AND(
            VLOOKUP(B460, 'รายชื่อพนักงานลาออกพ้นสภาพ'!B:I, 8, FALSE)&lt;&gt;"ยกเลิกลาออก",
            VLOOKUP(B460, 'รายชื่อพนักงานลาออกพ้นสภาพ'!B:I, 7, FALSE)&lt;=TODAY()
        ),
        "ลาออกแล้ว",
        ""
    ),
"")</f>
        <v/>
      </c>
      <c r="O460" s="292" t="str">
        <f t="array" ref="O460">IFERROR(INDEX(PCRent!C:D, MATCH(F460 &amp; " " &amp; G460, PCRent!A:A &amp; " " &amp; PCRent!B:B, 0)), "")</f>
        <v/>
      </c>
      <c r="P460" s="293"/>
      <c r="Q460" s="294" t="str">
        <f t="array" ref="Q460">IFERROR(INDEX(MonitorRent!C:D, MATCH(F460 &amp; " " &amp; G460, MonitorRent!A:A &amp; " " &amp; MonitorRent!B:B, 0)), "")</f>
        <v/>
      </c>
      <c r="R460" s="295"/>
    </row>
    <row r="461">
      <c r="A461" s="284">
        <v>458.0</v>
      </c>
      <c r="B461" s="285" t="s">
        <v>11605</v>
      </c>
      <c r="C461" s="285" t="s">
        <v>10103</v>
      </c>
      <c r="D461" s="286" t="s">
        <v>10058</v>
      </c>
      <c r="E461" s="285" t="s">
        <v>6933</v>
      </c>
      <c r="F461" s="285" t="s">
        <v>11606</v>
      </c>
      <c r="G461" s="285" t="s">
        <v>11607</v>
      </c>
      <c r="H461" s="285" t="s">
        <v>9805</v>
      </c>
      <c r="I461" s="285" t="s">
        <v>11608</v>
      </c>
      <c r="J461" s="285" t="s">
        <v>5012</v>
      </c>
      <c r="K461" s="285" t="s">
        <v>10114</v>
      </c>
      <c r="L461" s="285" t="s">
        <v>10127</v>
      </c>
      <c r="M461" s="285" t="s">
        <v>9391</v>
      </c>
      <c r="N461" s="287" t="str">
        <f>IFERROR(
    IF(
        AND(
            VLOOKUP(B461, 'รายชื่อพนักงานลาออกพ้นสภาพ'!B:I, 8, FALSE)&lt;&gt;"ยกเลิกลาออก",
            VLOOKUP(B461, 'รายชื่อพนักงานลาออกพ้นสภาพ'!B:I, 7, FALSE)&lt;=TODAY()
        ),
        "ลาออกแล้ว",
        ""
    ),
"")</f>
        <v/>
      </c>
      <c r="O461" s="292" t="str">
        <f t="array" ref="O461">IFERROR(INDEX(PCRent!C:D, MATCH(F461 &amp; " " &amp; G461, PCRent!A:A &amp; " " &amp; PCRent!B:B, 0)), "")</f>
        <v/>
      </c>
      <c r="P461" s="293"/>
      <c r="Q461" s="294" t="str">
        <f t="array" ref="Q461">IFERROR(INDEX(MonitorRent!C:D, MATCH(F461 &amp; " " &amp; G461, MonitorRent!A:A &amp; " " &amp; MonitorRent!B:B, 0)), "")</f>
        <v/>
      </c>
      <c r="R461" s="295"/>
    </row>
    <row r="462">
      <c r="A462" s="284">
        <v>459.0</v>
      </c>
      <c r="B462" s="285" t="s">
        <v>11609</v>
      </c>
      <c r="C462" s="285" t="s">
        <v>10103</v>
      </c>
      <c r="D462" s="286" t="s">
        <v>11610</v>
      </c>
      <c r="E462" s="285" t="s">
        <v>6933</v>
      </c>
      <c r="F462" s="285" t="s">
        <v>11606</v>
      </c>
      <c r="G462" s="285" t="s">
        <v>11611</v>
      </c>
      <c r="H462" s="285" t="s">
        <v>11101</v>
      </c>
      <c r="I462" s="285" t="s">
        <v>11612</v>
      </c>
      <c r="J462" s="285" t="s">
        <v>5012</v>
      </c>
      <c r="K462" s="285" t="s">
        <v>10114</v>
      </c>
      <c r="L462" s="285" t="s">
        <v>832</v>
      </c>
      <c r="M462" s="285" t="s">
        <v>9383</v>
      </c>
      <c r="N462" s="287" t="str">
        <f>IFERROR(
    IF(
        AND(
            VLOOKUP(B462, 'รายชื่อพนักงานลาออกพ้นสภาพ'!B:I, 8, FALSE)&lt;&gt;"ยกเลิกลาออก",
            VLOOKUP(B462, 'รายชื่อพนักงานลาออกพ้นสภาพ'!B:I, 7, FALSE)&lt;=TODAY()
        ),
        "ลาออกแล้ว",
        ""
    ),
"")</f>
        <v/>
      </c>
      <c r="O462" s="292" t="str">
        <f t="array" ref="O462">IFERROR(INDEX(PCRent!C:D, MATCH(F462 &amp; " " &amp; G462, PCRent!A:A &amp; " " &amp; PCRent!B:B, 0)), "")</f>
        <v/>
      </c>
      <c r="P462" s="293"/>
      <c r="Q462" s="294" t="str">
        <f t="array" ref="Q462">IFERROR(INDEX(MonitorRent!C:D, MATCH(F462 &amp; " " &amp; G462, MonitorRent!A:A &amp; " " &amp; MonitorRent!B:B, 0)), "")</f>
        <v/>
      </c>
      <c r="R462" s="295"/>
    </row>
    <row r="463">
      <c r="A463" s="284">
        <v>460.0</v>
      </c>
      <c r="B463" s="285" t="s">
        <v>11613</v>
      </c>
      <c r="C463" s="285" t="s">
        <v>10103</v>
      </c>
      <c r="D463" s="286" t="s">
        <v>10070</v>
      </c>
      <c r="E463" s="285" t="s">
        <v>6933</v>
      </c>
      <c r="F463" s="285" t="s">
        <v>11606</v>
      </c>
      <c r="G463" s="285" t="s">
        <v>11614</v>
      </c>
      <c r="H463" s="285" t="s">
        <v>11615</v>
      </c>
      <c r="I463" s="285" t="s">
        <v>11616</v>
      </c>
      <c r="J463" s="285" t="s">
        <v>5012</v>
      </c>
      <c r="K463" s="285" t="s">
        <v>10114</v>
      </c>
      <c r="L463" s="285" t="s">
        <v>832</v>
      </c>
      <c r="M463" s="285" t="s">
        <v>9383</v>
      </c>
      <c r="N463" s="287" t="str">
        <f>IFERROR(
    IF(
        AND(
            VLOOKUP(B463, 'รายชื่อพนักงานลาออกพ้นสภาพ'!B:I, 8, FALSE)&lt;&gt;"ยกเลิกลาออก",
            VLOOKUP(B463, 'รายชื่อพนักงานลาออกพ้นสภาพ'!B:I, 7, FALSE)&lt;=TODAY()
        ),
        "ลาออกแล้ว",
        ""
    ),
"")</f>
        <v/>
      </c>
      <c r="O463" s="292" t="str">
        <f t="array" ref="O463">IFERROR(INDEX(PCRent!C:D, MATCH(F463 &amp; " " &amp; G463, PCRent!A:A &amp; " " &amp; PCRent!B:B, 0)), "")</f>
        <v/>
      </c>
      <c r="P463" s="293"/>
      <c r="Q463" s="294" t="str">
        <f t="array" ref="Q463">IFERROR(INDEX(MonitorRent!C:D, MATCH(F463 &amp; " " &amp; G463, MonitorRent!A:A &amp; " " &amp; MonitorRent!B:B, 0)), "")</f>
        <v/>
      </c>
      <c r="R463" s="295"/>
    </row>
    <row r="464">
      <c r="A464" s="284">
        <v>461.0</v>
      </c>
      <c r="B464" s="285" t="s">
        <v>556</v>
      </c>
      <c r="C464" s="285" t="s">
        <v>10103</v>
      </c>
      <c r="D464" s="286" t="s">
        <v>9415</v>
      </c>
      <c r="E464" s="285" t="s">
        <v>6921</v>
      </c>
      <c r="F464" s="285" t="s">
        <v>11617</v>
      </c>
      <c r="G464" s="285" t="s">
        <v>11618</v>
      </c>
      <c r="H464" s="285" t="s">
        <v>10079</v>
      </c>
      <c r="I464" s="285" t="s">
        <v>559</v>
      </c>
      <c r="J464" s="285" t="s">
        <v>5012</v>
      </c>
      <c r="K464" s="285" t="s">
        <v>1606</v>
      </c>
      <c r="L464" s="285" t="s">
        <v>1258</v>
      </c>
      <c r="M464" s="285" t="s">
        <v>9383</v>
      </c>
      <c r="N464" s="287" t="str">
        <f>IFERROR(
    IF(
        AND(
            VLOOKUP(B464, 'รายชื่อพนักงานลาออกพ้นสภาพ'!B:I, 8, FALSE)&lt;&gt;"ยกเลิกลาออก",
            VLOOKUP(B464, 'รายชื่อพนักงานลาออกพ้นสภาพ'!B:I, 7, FALSE)&lt;=TODAY()
        ),
        "ลาออกแล้ว",
        ""
    ),
"")</f>
        <v>ลาออกแล้ว</v>
      </c>
      <c r="O464" s="292" t="str">
        <f t="array" ref="O464">IFERROR(INDEX(PCRent!C:D, MATCH(F464 &amp; " " &amp; G464, PCRent!A:A &amp; " " &amp; PCRent!B:B, 0)), "")</f>
        <v/>
      </c>
      <c r="P464" s="293"/>
      <c r="Q464" s="294" t="str">
        <f t="array" ref="Q464">IFERROR(INDEX(MonitorRent!C:D, MATCH(F464 &amp; " " &amp; G464, MonitorRent!A:A &amp; " " &amp; MonitorRent!B:B, 0)), "")</f>
        <v/>
      </c>
      <c r="R464" s="295"/>
    </row>
    <row r="465">
      <c r="A465" s="284">
        <v>462.0</v>
      </c>
      <c r="B465" s="285" t="s">
        <v>11619</v>
      </c>
      <c r="C465" s="285" t="s">
        <v>10103</v>
      </c>
      <c r="D465" s="286" t="s">
        <v>10996</v>
      </c>
      <c r="E465" s="285" t="s">
        <v>6921</v>
      </c>
      <c r="F465" s="285" t="s">
        <v>11617</v>
      </c>
      <c r="G465" s="285" t="s">
        <v>11620</v>
      </c>
      <c r="H465" s="285" t="s">
        <v>10512</v>
      </c>
      <c r="I465" s="285" t="s">
        <v>11621</v>
      </c>
      <c r="J465" s="285" t="s">
        <v>5012</v>
      </c>
      <c r="K465" s="285" t="s">
        <v>1492</v>
      </c>
      <c r="L465" s="285" t="s">
        <v>1258</v>
      </c>
      <c r="M465" s="285" t="s">
        <v>9383</v>
      </c>
      <c r="N465" s="287" t="str">
        <f>IFERROR(
    IF(
        AND(
            VLOOKUP(B465, 'รายชื่อพนักงานลาออกพ้นสภาพ'!B:I, 8, FALSE)&lt;&gt;"ยกเลิกลาออก",
            VLOOKUP(B465, 'รายชื่อพนักงานลาออกพ้นสภาพ'!B:I, 7, FALSE)&lt;=TODAY()
        ),
        "ลาออกแล้ว",
        ""
    ),
"")</f>
        <v/>
      </c>
      <c r="O465" s="292" t="str">
        <f t="array" ref="O465">IFERROR(INDEX(PCRent!C:D, MATCH(F465 &amp; " " &amp; G465, PCRent!A:A &amp; " " &amp; PCRent!B:B, 0)), "")</f>
        <v/>
      </c>
      <c r="P465" s="293"/>
      <c r="Q465" s="294" t="str">
        <f t="array" ref="Q465">IFERROR(INDEX(MonitorRent!C:D, MATCH(F465 &amp; " " &amp; G465, MonitorRent!A:A &amp; " " &amp; MonitorRent!B:B, 0)), "")</f>
        <v/>
      </c>
      <c r="R465" s="295"/>
    </row>
    <row r="466">
      <c r="A466" s="284">
        <v>463.0</v>
      </c>
      <c r="B466" s="285" t="s">
        <v>11622</v>
      </c>
      <c r="C466" s="285" t="s">
        <v>10103</v>
      </c>
      <c r="D466" s="286" t="s">
        <v>11325</v>
      </c>
      <c r="E466" s="285" t="s">
        <v>6933</v>
      </c>
      <c r="F466" s="285" t="s">
        <v>11623</v>
      </c>
      <c r="G466" s="285" t="s">
        <v>11624</v>
      </c>
      <c r="H466" s="285" t="s">
        <v>10866</v>
      </c>
      <c r="I466" s="285" t="s">
        <v>11625</v>
      </c>
      <c r="J466" s="285" t="s">
        <v>5012</v>
      </c>
      <c r="K466" s="285" t="s">
        <v>1412</v>
      </c>
      <c r="L466" s="285" t="s">
        <v>10127</v>
      </c>
      <c r="M466" s="285" t="s">
        <v>9383</v>
      </c>
      <c r="N466" s="287" t="str">
        <f>IFERROR(
    IF(
        AND(
            VLOOKUP(B466, 'รายชื่อพนักงานลาออกพ้นสภาพ'!B:I, 8, FALSE)&lt;&gt;"ยกเลิกลาออก",
            VLOOKUP(B466, 'รายชื่อพนักงานลาออกพ้นสภาพ'!B:I, 7, FALSE)&lt;=TODAY()
        ),
        "ลาออกแล้ว",
        ""
    ),
"")</f>
        <v/>
      </c>
      <c r="O466" s="292" t="str">
        <f t="array" ref="O466">IFERROR(INDEX(PCRent!C:D, MATCH(F466 &amp; " " &amp; G466, PCRent!A:A &amp; " " &amp; PCRent!B:B, 0)), "")</f>
        <v/>
      </c>
      <c r="P466" s="293"/>
      <c r="Q466" s="294" t="str">
        <f t="array" ref="Q466">IFERROR(INDEX(MonitorRent!C:D, MATCH(F466 &amp; " " &amp; G466, MonitorRent!A:A &amp; " " &amp; MonitorRent!B:B, 0)), "")</f>
        <v/>
      </c>
      <c r="R466" s="295"/>
    </row>
    <row r="467">
      <c r="A467" s="284">
        <v>464.0</v>
      </c>
      <c r="B467" s="285" t="s">
        <v>11626</v>
      </c>
      <c r="C467" s="285" t="s">
        <v>10103</v>
      </c>
      <c r="D467" s="286" t="s">
        <v>9606</v>
      </c>
      <c r="E467" s="285" t="s">
        <v>6933</v>
      </c>
      <c r="F467" s="285" t="s">
        <v>11627</v>
      </c>
      <c r="G467" s="285" t="s">
        <v>11628</v>
      </c>
      <c r="H467" s="285" t="s">
        <v>11629</v>
      </c>
      <c r="I467" s="285" t="s">
        <v>11630</v>
      </c>
      <c r="J467" s="285" t="s">
        <v>5012</v>
      </c>
      <c r="K467" s="285" t="s">
        <v>10114</v>
      </c>
      <c r="L467" s="285" t="s">
        <v>832</v>
      </c>
      <c r="M467" s="285" t="s">
        <v>9383</v>
      </c>
      <c r="N467" s="287" t="str">
        <f>IFERROR(
    IF(
        AND(
            VLOOKUP(B467, 'รายชื่อพนักงานลาออกพ้นสภาพ'!B:I, 8, FALSE)&lt;&gt;"ยกเลิกลาออก",
            VLOOKUP(B467, 'รายชื่อพนักงานลาออกพ้นสภาพ'!B:I, 7, FALSE)&lt;=TODAY()
        ),
        "ลาออกแล้ว",
        ""
    ),
"")</f>
        <v/>
      </c>
      <c r="O467" s="292" t="str">
        <f t="array" ref="O467">IFERROR(INDEX(PCRent!C:D, MATCH(F467 &amp; " " &amp; G467, PCRent!A:A &amp; " " &amp; PCRent!B:B, 0)), "")</f>
        <v/>
      </c>
      <c r="P467" s="293"/>
      <c r="Q467" s="294" t="str">
        <f t="array" ref="Q467">IFERROR(INDEX(MonitorRent!C:D, MATCH(F467 &amp; " " &amp; G467, MonitorRent!A:A &amp; " " &amp; MonitorRent!B:B, 0)), "")</f>
        <v/>
      </c>
      <c r="R467" s="295"/>
    </row>
    <row r="468">
      <c r="A468" s="284">
        <v>465.0</v>
      </c>
      <c r="B468" s="285" t="s">
        <v>11631</v>
      </c>
      <c r="C468" s="285" t="s">
        <v>10103</v>
      </c>
      <c r="D468" s="286" t="s">
        <v>11632</v>
      </c>
      <c r="E468" s="285" t="s">
        <v>6921</v>
      </c>
      <c r="F468" s="285" t="s">
        <v>11633</v>
      </c>
      <c r="G468" s="285" t="s">
        <v>11634</v>
      </c>
      <c r="H468" s="285" t="s">
        <v>11635</v>
      </c>
      <c r="I468" s="285" t="s">
        <v>11636</v>
      </c>
      <c r="J468" s="285" t="s">
        <v>5012</v>
      </c>
      <c r="K468" s="285" t="s">
        <v>1606</v>
      </c>
      <c r="L468" s="285" t="s">
        <v>832</v>
      </c>
      <c r="M468" s="285" t="s">
        <v>9383</v>
      </c>
      <c r="N468" s="287" t="str">
        <f>IFERROR(
    IF(
        AND(
            VLOOKUP(B468, 'รายชื่อพนักงานลาออกพ้นสภาพ'!B:I, 8, FALSE)&lt;&gt;"ยกเลิกลาออก",
            VLOOKUP(B468, 'รายชื่อพนักงานลาออกพ้นสภาพ'!B:I, 7, FALSE)&lt;=TODAY()
        ),
        "ลาออกแล้ว",
        ""
    ),
"")</f>
        <v/>
      </c>
      <c r="O468" s="292" t="str">
        <f t="array" ref="O468">IFERROR(INDEX(PCRent!C:D, MATCH(F468 &amp; " " &amp; G468, PCRent!A:A &amp; " " &amp; PCRent!B:B, 0)), "")</f>
        <v/>
      </c>
      <c r="P468" s="293"/>
      <c r="Q468" s="294" t="str">
        <f t="array" ref="Q468">IFERROR(INDEX(MonitorRent!C:D, MATCH(F468 &amp; " " &amp; G468, MonitorRent!A:A &amp; " " &amp; MonitorRent!B:B, 0)), "")</f>
        <v/>
      </c>
      <c r="R468" s="295"/>
    </row>
    <row r="469">
      <c r="A469" s="284">
        <v>466.0</v>
      </c>
      <c r="B469" s="285" t="s">
        <v>11637</v>
      </c>
      <c r="C469" s="285" t="s">
        <v>10103</v>
      </c>
      <c r="D469" s="286" t="s">
        <v>10509</v>
      </c>
      <c r="E469" s="285" t="s">
        <v>6933</v>
      </c>
      <c r="F469" s="285" t="s">
        <v>11638</v>
      </c>
      <c r="G469" s="285" t="s">
        <v>11639</v>
      </c>
      <c r="H469" s="285" t="s">
        <v>9430</v>
      </c>
      <c r="I469" s="285" t="s">
        <v>11640</v>
      </c>
      <c r="J469" s="285" t="s">
        <v>5224</v>
      </c>
      <c r="K469" s="285" t="s">
        <v>4835</v>
      </c>
      <c r="L469" s="285" t="s">
        <v>10127</v>
      </c>
      <c r="M469" s="285" t="s">
        <v>9383</v>
      </c>
      <c r="N469" s="287" t="str">
        <f>IFERROR(
    IF(
        AND(
            VLOOKUP(B469, 'รายชื่อพนักงานลาออกพ้นสภาพ'!B:I, 8, FALSE)&lt;&gt;"ยกเลิกลาออก",
            VLOOKUP(B469, 'รายชื่อพนักงานลาออกพ้นสภาพ'!B:I, 7, FALSE)&lt;=TODAY()
        ),
        "ลาออกแล้ว",
        ""
    ),
"")</f>
        <v/>
      </c>
      <c r="O469" s="292" t="str">
        <f t="array" ref="O469">IFERROR(INDEX(PCRent!C:D, MATCH(F469 &amp; " " &amp; G469, PCRent!A:A &amp; " " &amp; PCRent!B:B, 0)), "")</f>
        <v/>
      </c>
      <c r="P469" s="293"/>
      <c r="Q469" s="294" t="str">
        <f t="array" ref="Q469">IFERROR(INDEX(MonitorRent!C:D, MATCH(F469 &amp; " " &amp; G469, MonitorRent!A:A &amp; " " &amp; MonitorRent!B:B, 0)), "")</f>
        <v/>
      </c>
      <c r="R469" s="295"/>
    </row>
    <row r="470">
      <c r="A470" s="284">
        <v>467.0</v>
      </c>
      <c r="B470" s="285" t="s">
        <v>11641</v>
      </c>
      <c r="C470" s="285" t="s">
        <v>10103</v>
      </c>
      <c r="D470" s="286" t="s">
        <v>11001</v>
      </c>
      <c r="E470" s="285" t="s">
        <v>11642</v>
      </c>
      <c r="F470" s="285" t="s">
        <v>11643</v>
      </c>
      <c r="G470" s="285" t="s">
        <v>11644</v>
      </c>
      <c r="H470" s="285" t="s">
        <v>11601</v>
      </c>
      <c r="I470" s="285" t="s">
        <v>11645</v>
      </c>
      <c r="J470" s="285" t="s">
        <v>5012</v>
      </c>
      <c r="K470" s="285" t="s">
        <v>1492</v>
      </c>
      <c r="L470" s="285" t="s">
        <v>1258</v>
      </c>
      <c r="M470" s="285" t="s">
        <v>9383</v>
      </c>
      <c r="N470" s="287" t="str">
        <f>IFERROR(
    IF(
        AND(
            VLOOKUP(B470, 'รายชื่อพนักงานลาออกพ้นสภาพ'!B:I, 8, FALSE)&lt;&gt;"ยกเลิกลาออก",
            VLOOKUP(B470, 'รายชื่อพนักงานลาออกพ้นสภาพ'!B:I, 7, FALSE)&lt;=TODAY()
        ),
        "ลาออกแล้ว",
        ""
    ),
"")</f>
        <v/>
      </c>
      <c r="O470" s="292" t="str">
        <f t="array" ref="O470">IFERROR(INDEX(PCRent!C:D, MATCH(F470 &amp; " " &amp; G470, PCRent!A:A &amp; " " &amp; PCRent!B:B, 0)), "")</f>
        <v/>
      </c>
      <c r="P470" s="293"/>
      <c r="Q470" s="294" t="str">
        <f t="array" ref="Q470">IFERROR(INDEX(MonitorRent!C:D, MATCH(F470 &amp; " " &amp; G470, MonitorRent!A:A &amp; " " &amp; MonitorRent!B:B, 0)), "")</f>
        <v/>
      </c>
      <c r="R470" s="295"/>
    </row>
    <row r="471">
      <c r="A471" s="284">
        <v>468.0</v>
      </c>
      <c r="B471" s="285" t="s">
        <v>11646</v>
      </c>
      <c r="C471" s="285" t="s">
        <v>10103</v>
      </c>
      <c r="D471" s="286" t="s">
        <v>9576</v>
      </c>
      <c r="E471" s="285" t="s">
        <v>6933</v>
      </c>
      <c r="F471" s="285" t="s">
        <v>11643</v>
      </c>
      <c r="G471" s="285" t="s">
        <v>11647</v>
      </c>
      <c r="H471" s="285" t="s">
        <v>11648</v>
      </c>
      <c r="I471" s="285" t="s">
        <v>11649</v>
      </c>
      <c r="J471" s="285" t="s">
        <v>5012</v>
      </c>
      <c r="K471" s="285" t="s">
        <v>1484</v>
      </c>
      <c r="L471" s="285" t="s">
        <v>832</v>
      </c>
      <c r="M471" s="285" t="s">
        <v>9383</v>
      </c>
      <c r="N471" s="287" t="str">
        <f>IFERROR(
    IF(
        AND(
            VLOOKUP(B471, 'รายชื่อพนักงานลาออกพ้นสภาพ'!B:I, 8, FALSE)&lt;&gt;"ยกเลิกลาออก",
            VLOOKUP(B471, 'รายชื่อพนักงานลาออกพ้นสภาพ'!B:I, 7, FALSE)&lt;=TODAY()
        ),
        "ลาออกแล้ว",
        ""
    ),
"")</f>
        <v/>
      </c>
      <c r="O471" s="292" t="str">
        <f t="array" ref="O471">IFERROR(INDEX(PCRent!C:D, MATCH(F471 &amp; " " &amp; G471, PCRent!A:A &amp; " " &amp; PCRent!B:B, 0)), "")</f>
        <v/>
      </c>
      <c r="P471" s="293"/>
      <c r="Q471" s="294" t="str">
        <f t="array" ref="Q471">IFERROR(INDEX(MonitorRent!C:D, MATCH(F471 &amp; " " &amp; G471, MonitorRent!A:A &amp; " " &amp; MonitorRent!B:B, 0)), "")</f>
        <v/>
      </c>
      <c r="R471" s="295"/>
    </row>
    <row r="472">
      <c r="A472" s="284">
        <v>469.0</v>
      </c>
      <c r="B472" s="285" t="s">
        <v>775</v>
      </c>
      <c r="C472" s="285" t="s">
        <v>10103</v>
      </c>
      <c r="D472" s="286" t="s">
        <v>9942</v>
      </c>
      <c r="E472" s="285" t="s">
        <v>6933</v>
      </c>
      <c r="F472" s="285" t="s">
        <v>11650</v>
      </c>
      <c r="G472" s="285" t="s">
        <v>11651</v>
      </c>
      <c r="H472" s="285" t="s">
        <v>11652</v>
      </c>
      <c r="I472" s="285" t="s">
        <v>777</v>
      </c>
      <c r="J472" s="285" t="s">
        <v>5012</v>
      </c>
      <c r="K472" s="285" t="s">
        <v>1412</v>
      </c>
      <c r="L472" s="285" t="s">
        <v>10127</v>
      </c>
      <c r="M472" s="285" t="s">
        <v>9383</v>
      </c>
      <c r="N472" s="287" t="str">
        <f>IFERROR(
    IF(
        AND(
            VLOOKUP(B472, 'รายชื่อพนักงานลาออกพ้นสภาพ'!B:I, 8, FALSE)&lt;&gt;"ยกเลิกลาออก",
            VLOOKUP(B472, 'รายชื่อพนักงานลาออกพ้นสภาพ'!B:I, 7, FALSE)&lt;=TODAY()
        ),
        "ลาออกแล้ว",
        ""
    ),
"")</f>
        <v>ลาออกแล้ว</v>
      </c>
      <c r="O472" s="292" t="str">
        <f t="array" ref="O472">IFERROR(INDEX(PCRent!C:D, MATCH(F472 &amp; " " &amp; G472, PCRent!A:A &amp; " " &amp; PCRent!B:B, 0)), "")</f>
        <v/>
      </c>
      <c r="P472" s="293"/>
      <c r="Q472" s="294" t="str">
        <f t="array" ref="Q472">IFERROR(INDEX(MonitorRent!C:D, MATCH(F472 &amp; " " &amp; G472, MonitorRent!A:A &amp; " " &amp; MonitorRent!B:B, 0)), "")</f>
        <v/>
      </c>
      <c r="R472" s="295"/>
    </row>
    <row r="473">
      <c r="A473" s="284">
        <v>470.0</v>
      </c>
      <c r="B473" s="285" t="s">
        <v>11653</v>
      </c>
      <c r="C473" s="285" t="s">
        <v>10103</v>
      </c>
      <c r="D473" s="286" t="s">
        <v>11654</v>
      </c>
      <c r="E473" s="285" t="s">
        <v>6921</v>
      </c>
      <c r="F473" s="285" t="s">
        <v>11655</v>
      </c>
      <c r="G473" s="285" t="s">
        <v>11656</v>
      </c>
      <c r="H473" s="285" t="s">
        <v>10957</v>
      </c>
      <c r="I473" s="285" t="s">
        <v>11657</v>
      </c>
      <c r="J473" s="285" t="s">
        <v>5224</v>
      </c>
      <c r="K473" s="285" t="s">
        <v>4756</v>
      </c>
      <c r="L473" s="285" t="s">
        <v>5805</v>
      </c>
      <c r="M473" s="285" t="s">
        <v>9383</v>
      </c>
      <c r="N473" s="287" t="str">
        <f>IFERROR(
    IF(
        AND(
            VLOOKUP(B473, 'รายชื่อพนักงานลาออกพ้นสภาพ'!B:I, 8, FALSE)&lt;&gt;"ยกเลิกลาออก",
            VLOOKUP(B473, 'รายชื่อพนักงานลาออกพ้นสภาพ'!B:I, 7, FALSE)&lt;=TODAY()
        ),
        "ลาออกแล้ว",
        ""
    ),
"")</f>
        <v/>
      </c>
      <c r="O473" s="292" t="str">
        <f t="array" ref="O473">IFERROR(INDEX(PCRent!C:D, MATCH(F473 &amp; " " &amp; G473, PCRent!A:A &amp; " " &amp; PCRent!B:B, 0)), "")</f>
        <v/>
      </c>
      <c r="P473" s="293"/>
      <c r="Q473" s="294" t="str">
        <f t="array" ref="Q473">IFERROR(INDEX(MonitorRent!C:D, MATCH(F473 &amp; " " &amp; G473, MonitorRent!A:A &amp; " " &amp; MonitorRent!B:B, 0)), "")</f>
        <v/>
      </c>
      <c r="R473" s="295"/>
    </row>
    <row r="474">
      <c r="A474" s="284">
        <v>471.0</v>
      </c>
      <c r="B474" s="285" t="s">
        <v>11658</v>
      </c>
      <c r="C474" s="285" t="s">
        <v>10103</v>
      </c>
      <c r="D474" s="286" t="s">
        <v>11659</v>
      </c>
      <c r="E474" s="285" t="s">
        <v>6933</v>
      </c>
      <c r="F474" s="285" t="s">
        <v>11660</v>
      </c>
      <c r="G474" s="285" t="s">
        <v>11661</v>
      </c>
      <c r="H474" s="285" t="s">
        <v>10499</v>
      </c>
      <c r="I474" s="285" t="s">
        <v>11662</v>
      </c>
      <c r="J474" s="285" t="s">
        <v>5012</v>
      </c>
      <c r="K474" s="285" t="s">
        <v>10114</v>
      </c>
      <c r="L474" s="285" t="s">
        <v>566</v>
      </c>
      <c r="M474" s="285" t="s">
        <v>9383</v>
      </c>
      <c r="N474" s="287" t="str">
        <f>IFERROR(
    IF(
        AND(
            VLOOKUP(B474, 'รายชื่อพนักงานลาออกพ้นสภาพ'!B:I, 8, FALSE)&lt;&gt;"ยกเลิกลาออก",
            VLOOKUP(B474, 'รายชื่อพนักงานลาออกพ้นสภาพ'!B:I, 7, FALSE)&lt;=TODAY()
        ),
        "ลาออกแล้ว",
        ""
    ),
"")</f>
        <v/>
      </c>
      <c r="O474" s="292" t="str">
        <f t="array" ref="O474">IFERROR(INDEX(PCRent!C:D, MATCH(F474 &amp; " " &amp; G474, PCRent!A:A &amp; " " &amp; PCRent!B:B, 0)), "")</f>
        <v/>
      </c>
      <c r="P474" s="293"/>
      <c r="Q474" s="294" t="str">
        <f t="array" ref="Q474">IFERROR(INDEX(MonitorRent!C:D, MATCH(F474 &amp; " " &amp; G474, MonitorRent!A:A &amp; " " &amp; MonitorRent!B:B, 0)), "")</f>
        <v/>
      </c>
      <c r="R474" s="295"/>
    </row>
    <row r="475">
      <c r="A475" s="284">
        <v>472.0</v>
      </c>
      <c r="B475" s="285" t="s">
        <v>11663</v>
      </c>
      <c r="C475" s="285" t="s">
        <v>10103</v>
      </c>
      <c r="D475" s="286" t="s">
        <v>11664</v>
      </c>
      <c r="E475" s="285" t="s">
        <v>6921</v>
      </c>
      <c r="F475" s="285" t="s">
        <v>11665</v>
      </c>
      <c r="G475" s="285" t="s">
        <v>11666</v>
      </c>
      <c r="H475" s="285" t="s">
        <v>9849</v>
      </c>
      <c r="I475" s="285" t="s">
        <v>11667</v>
      </c>
      <c r="J475" s="285" t="s">
        <v>5224</v>
      </c>
      <c r="K475" s="285" t="s">
        <v>4835</v>
      </c>
      <c r="L475" s="285" t="s">
        <v>10438</v>
      </c>
      <c r="M475" s="285" t="s">
        <v>9383</v>
      </c>
      <c r="N475" s="287" t="str">
        <f>IFERROR(
    IF(
        AND(
            VLOOKUP(B475, 'รายชื่อพนักงานลาออกพ้นสภาพ'!B:I, 8, FALSE)&lt;&gt;"ยกเลิกลาออก",
            VLOOKUP(B475, 'รายชื่อพนักงานลาออกพ้นสภาพ'!B:I, 7, FALSE)&lt;=TODAY()
        ),
        "ลาออกแล้ว",
        ""
    ),
"")</f>
        <v/>
      </c>
      <c r="O475" s="292" t="str">
        <f t="array" ref="O475:P475">IFERROR(INDEX(PCRent!C:D, MATCH(F475 &amp; " " &amp; G475, PCRent!A:A &amp; " " &amp; PCRent!B:B, 0)), "")</f>
        <v>SN:MP2M8G9M</v>
      </c>
      <c r="P475" s="293" t="s">
        <v>7248</v>
      </c>
      <c r="Q475" s="294" t="str">
        <f t="array" ref="Q475">IFERROR(INDEX(MonitorRent!C:D, MATCH(F475 &amp; " " &amp; G475, MonitorRent!A:A &amp; " " &amp; MonitorRent!B:B, 0)), "")</f>
        <v/>
      </c>
      <c r="R475" s="295"/>
    </row>
    <row r="476">
      <c r="A476" s="284">
        <v>473.0</v>
      </c>
      <c r="B476" s="285" t="s">
        <v>11668</v>
      </c>
      <c r="C476" s="285" t="s">
        <v>10103</v>
      </c>
      <c r="D476" s="286" t="s">
        <v>10407</v>
      </c>
      <c r="E476" s="285" t="s">
        <v>6921</v>
      </c>
      <c r="F476" s="285" t="s">
        <v>11665</v>
      </c>
      <c r="G476" s="285" t="s">
        <v>11669</v>
      </c>
      <c r="H476" s="285" t="s">
        <v>11670</v>
      </c>
      <c r="I476" s="285" t="s">
        <v>11671</v>
      </c>
      <c r="J476" s="285" t="s">
        <v>5012</v>
      </c>
      <c r="K476" s="285" t="s">
        <v>1606</v>
      </c>
      <c r="L476" s="285" t="s">
        <v>10127</v>
      </c>
      <c r="M476" s="285" t="s">
        <v>9391</v>
      </c>
      <c r="N476" s="287" t="str">
        <f>IFERROR(
    IF(
        AND(
            VLOOKUP(B476, 'รายชื่อพนักงานลาออกพ้นสภาพ'!B:I, 8, FALSE)&lt;&gt;"ยกเลิกลาออก",
            VLOOKUP(B476, 'รายชื่อพนักงานลาออกพ้นสภาพ'!B:I, 7, FALSE)&lt;=TODAY()
        ),
        "ลาออกแล้ว",
        ""
    ),
"")</f>
        <v/>
      </c>
      <c r="O476" s="292" t="str">
        <f t="array" ref="O476">IFERROR(INDEX(PCRent!C:D, MATCH(F476 &amp; " " &amp; G476, PCRent!A:A &amp; " " &amp; PCRent!B:B, 0)), "")</f>
        <v/>
      </c>
      <c r="P476" s="293"/>
      <c r="Q476" s="294" t="str">
        <f t="array" ref="Q476">IFERROR(INDEX(MonitorRent!C:D, MATCH(F476 &amp; " " &amp; G476, MonitorRent!A:A &amp; " " &amp; MonitorRent!B:B, 0)), "")</f>
        <v/>
      </c>
      <c r="R476" s="295"/>
    </row>
    <row r="477">
      <c r="A477" s="284">
        <v>474.0</v>
      </c>
      <c r="B477" s="285" t="s">
        <v>888</v>
      </c>
      <c r="C477" s="285" t="s">
        <v>10103</v>
      </c>
      <c r="D477" s="286" t="s">
        <v>11672</v>
      </c>
      <c r="E477" s="285" t="s">
        <v>6921</v>
      </c>
      <c r="F477" s="285" t="s">
        <v>11673</v>
      </c>
      <c r="G477" s="285" t="s">
        <v>11674</v>
      </c>
      <c r="H477" s="285" t="s">
        <v>11675</v>
      </c>
      <c r="I477" s="285" t="s">
        <v>890</v>
      </c>
      <c r="J477" s="285" t="s">
        <v>5012</v>
      </c>
      <c r="K477" s="285" t="s">
        <v>1417</v>
      </c>
      <c r="L477" s="285" t="s">
        <v>832</v>
      </c>
      <c r="M477" s="285" t="s">
        <v>9383</v>
      </c>
      <c r="N477" s="287" t="str">
        <f>IFERROR(
    IF(
        AND(
            VLOOKUP(B477, 'รายชื่อพนักงานลาออกพ้นสภาพ'!B:I, 8, FALSE)&lt;&gt;"ยกเลิกลาออก",
            VLOOKUP(B477, 'รายชื่อพนักงานลาออกพ้นสภาพ'!B:I, 7, FALSE)&lt;=TODAY()
        ),
        "ลาออกแล้ว",
        ""
    ),
"")</f>
        <v>ลาออกแล้ว</v>
      </c>
      <c r="O477" s="292" t="str">
        <f t="array" ref="O477">IFERROR(INDEX(PCRent!C:D, MATCH(F477 &amp; " " &amp; G477, PCRent!A:A &amp; " " &amp; PCRent!B:B, 0)), "")</f>
        <v/>
      </c>
      <c r="P477" s="293"/>
      <c r="Q477" s="294" t="str">
        <f t="array" ref="Q477">IFERROR(INDEX(MonitorRent!C:D, MATCH(F477 &amp; " " &amp; G477, MonitorRent!A:A &amp; " " &amp; MonitorRent!B:B, 0)), "")</f>
        <v/>
      </c>
      <c r="R477" s="295"/>
    </row>
    <row r="478">
      <c r="A478" s="284">
        <v>475.0</v>
      </c>
      <c r="B478" s="285" t="s">
        <v>11676</v>
      </c>
      <c r="C478" s="285" t="s">
        <v>10103</v>
      </c>
      <c r="D478" s="286" t="s">
        <v>10132</v>
      </c>
      <c r="E478" s="285" t="s">
        <v>6921</v>
      </c>
      <c r="F478" s="285" t="s">
        <v>11673</v>
      </c>
      <c r="G478" s="285" t="s">
        <v>11677</v>
      </c>
      <c r="H478" s="285" t="s">
        <v>10117</v>
      </c>
      <c r="I478" s="285" t="s">
        <v>11678</v>
      </c>
      <c r="J478" s="285" t="s">
        <v>5012</v>
      </c>
      <c r="K478" s="285" t="s">
        <v>1417</v>
      </c>
      <c r="L478" s="285" t="s">
        <v>10163</v>
      </c>
      <c r="M478" s="285" t="s">
        <v>9383</v>
      </c>
      <c r="N478" s="287" t="str">
        <f>IFERROR(
    IF(
        AND(
            VLOOKUP(B478, 'รายชื่อพนักงานลาออกพ้นสภาพ'!B:I, 8, FALSE)&lt;&gt;"ยกเลิกลาออก",
            VLOOKUP(B478, 'รายชื่อพนักงานลาออกพ้นสภาพ'!B:I, 7, FALSE)&lt;=TODAY()
        ),
        "ลาออกแล้ว",
        ""
    ),
"")</f>
        <v/>
      </c>
      <c r="O478" s="292" t="str">
        <f t="array" ref="O478">IFERROR(INDEX(PCRent!C:D, MATCH(F478 &amp; " " &amp; G478, PCRent!A:A &amp; " " &amp; PCRent!B:B, 0)), "")</f>
        <v/>
      </c>
      <c r="P478" s="293"/>
      <c r="Q478" s="294" t="str">
        <f t="array" ref="Q478">IFERROR(INDEX(MonitorRent!C:D, MATCH(F478 &amp; " " &amp; G478, MonitorRent!A:A &amp; " " &amp; MonitorRent!B:B, 0)), "")</f>
        <v/>
      </c>
      <c r="R478" s="295"/>
    </row>
    <row r="479">
      <c r="A479" s="284">
        <v>476.0</v>
      </c>
      <c r="B479" s="285" t="s">
        <v>11679</v>
      </c>
      <c r="C479" s="285" t="s">
        <v>10103</v>
      </c>
      <c r="D479" s="286" t="s">
        <v>11680</v>
      </c>
      <c r="E479" s="285" t="s">
        <v>6921</v>
      </c>
      <c r="F479" s="285" t="s">
        <v>11681</v>
      </c>
      <c r="G479" s="285" t="s">
        <v>11682</v>
      </c>
      <c r="H479" s="285" t="s">
        <v>10079</v>
      </c>
      <c r="I479" s="285" t="s">
        <v>11683</v>
      </c>
      <c r="J479" s="285" t="s">
        <v>5012</v>
      </c>
      <c r="K479" s="285" t="s">
        <v>3000</v>
      </c>
      <c r="L479" s="285" t="s">
        <v>10127</v>
      </c>
      <c r="M479" s="285" t="s">
        <v>9383</v>
      </c>
      <c r="N479" s="287" t="str">
        <f>IFERROR(
    IF(
        AND(
            VLOOKUP(B479, 'รายชื่อพนักงานลาออกพ้นสภาพ'!B:I, 8, FALSE)&lt;&gt;"ยกเลิกลาออก",
            VLOOKUP(B479, 'รายชื่อพนักงานลาออกพ้นสภาพ'!B:I, 7, FALSE)&lt;=TODAY()
        ),
        "ลาออกแล้ว",
        ""
    ),
"")</f>
        <v/>
      </c>
      <c r="O479" s="292" t="str">
        <f t="array" ref="O479">IFERROR(INDEX(PCRent!C:D, MATCH(F479 &amp; " " &amp; G479, PCRent!A:A &amp; " " &amp; PCRent!B:B, 0)), "")</f>
        <v/>
      </c>
      <c r="P479" s="293"/>
      <c r="Q479" s="294" t="str">
        <f t="array" ref="Q479">IFERROR(INDEX(MonitorRent!C:D, MATCH(F479 &amp; " " &amp; G479, MonitorRent!A:A &amp; " " &amp; MonitorRent!B:B, 0)), "")</f>
        <v/>
      </c>
      <c r="R479" s="295"/>
    </row>
    <row r="480">
      <c r="A480" s="284">
        <v>477.0</v>
      </c>
      <c r="B480" s="285" t="s">
        <v>11684</v>
      </c>
      <c r="C480" s="285" t="s">
        <v>10103</v>
      </c>
      <c r="D480" s="286" t="s">
        <v>9656</v>
      </c>
      <c r="E480" s="285" t="s">
        <v>6933</v>
      </c>
      <c r="F480" s="285" t="s">
        <v>11685</v>
      </c>
      <c r="G480" s="285" t="s">
        <v>11686</v>
      </c>
      <c r="H480" s="285" t="s">
        <v>10907</v>
      </c>
      <c r="I480" s="285" t="s">
        <v>11687</v>
      </c>
      <c r="J480" s="285" t="s">
        <v>5224</v>
      </c>
      <c r="K480" s="285" t="s">
        <v>4756</v>
      </c>
      <c r="L480" s="285" t="s">
        <v>10189</v>
      </c>
      <c r="M480" s="285" t="s">
        <v>9383</v>
      </c>
      <c r="N480" s="287" t="str">
        <f>IFERROR(
    IF(
        AND(
            VLOOKUP(B480, 'รายชื่อพนักงานลาออกพ้นสภาพ'!B:I, 8, FALSE)&lt;&gt;"ยกเลิกลาออก",
            VLOOKUP(B480, 'รายชื่อพนักงานลาออกพ้นสภาพ'!B:I, 7, FALSE)&lt;=TODAY()
        ),
        "ลาออกแล้ว",
        ""
    ),
"")</f>
        <v/>
      </c>
      <c r="O480" s="292" t="str">
        <f t="array" ref="O480:P480">IFERROR(INDEX(PCRent!C:D, MATCH(F480 &amp; " " &amp; G480, PCRent!A:A &amp; " " &amp; PCRent!B:B, 0)), "")</f>
        <v>SN:MP2M8GAT</v>
      </c>
      <c r="P480" s="293" t="s">
        <v>7248</v>
      </c>
      <c r="Q480" s="294" t="str">
        <f t="array" ref="Q480">IFERROR(INDEX(MonitorRent!C:D, MATCH(F480 &amp; " " &amp; G480, MonitorRent!A:A &amp; " " &amp; MonitorRent!B:B, 0)), "")</f>
        <v/>
      </c>
      <c r="R480" s="295"/>
    </row>
    <row r="481">
      <c r="A481" s="284">
        <v>478.0</v>
      </c>
      <c r="B481" s="285" t="s">
        <v>11688</v>
      </c>
      <c r="C481" s="285" t="s">
        <v>10103</v>
      </c>
      <c r="D481" s="286" t="s">
        <v>11689</v>
      </c>
      <c r="E481" s="285" t="s">
        <v>6933</v>
      </c>
      <c r="F481" s="285" t="s">
        <v>11690</v>
      </c>
      <c r="G481" s="285" t="s">
        <v>11691</v>
      </c>
      <c r="H481" s="285" t="s">
        <v>11596</v>
      </c>
      <c r="I481" s="285" t="s">
        <v>11692</v>
      </c>
      <c r="J481" s="285" t="s">
        <v>5012</v>
      </c>
      <c r="K481" s="285" t="s">
        <v>10114</v>
      </c>
      <c r="L481" s="285" t="s">
        <v>832</v>
      </c>
      <c r="M481" s="285" t="s">
        <v>9383</v>
      </c>
      <c r="N481" s="287" t="str">
        <f>IFERROR(
    IF(
        AND(
            VLOOKUP(B481, 'รายชื่อพนักงานลาออกพ้นสภาพ'!B:I, 8, FALSE)&lt;&gt;"ยกเลิกลาออก",
            VLOOKUP(B481, 'รายชื่อพนักงานลาออกพ้นสภาพ'!B:I, 7, FALSE)&lt;=TODAY()
        ),
        "ลาออกแล้ว",
        ""
    ),
"")</f>
        <v/>
      </c>
      <c r="O481" s="292" t="str">
        <f t="array" ref="O481">IFERROR(INDEX(PCRent!C:D, MATCH(F481 &amp; " " &amp; G481, PCRent!A:A &amp; " " &amp; PCRent!B:B, 0)), "")</f>
        <v/>
      </c>
      <c r="P481" s="293"/>
      <c r="Q481" s="294" t="str">
        <f t="array" ref="Q481">IFERROR(INDEX(MonitorRent!C:D, MATCH(F481 &amp; " " &amp; G481, MonitorRent!A:A &amp; " " &amp; MonitorRent!B:B, 0)), "")</f>
        <v/>
      </c>
      <c r="R481" s="295"/>
    </row>
    <row r="482">
      <c r="A482" s="284">
        <v>479.0</v>
      </c>
      <c r="B482" s="285" t="s">
        <v>11693</v>
      </c>
      <c r="C482" s="285" t="s">
        <v>10103</v>
      </c>
      <c r="D482" s="286" t="s">
        <v>10613</v>
      </c>
      <c r="E482" s="285" t="s">
        <v>6921</v>
      </c>
      <c r="F482" s="285" t="s">
        <v>11694</v>
      </c>
      <c r="G482" s="285" t="s">
        <v>11695</v>
      </c>
      <c r="H482" s="285" t="s">
        <v>10318</v>
      </c>
      <c r="I482" s="285" t="s">
        <v>11696</v>
      </c>
      <c r="J482" s="285" t="s">
        <v>5012</v>
      </c>
      <c r="K482" s="285" t="s">
        <v>1417</v>
      </c>
      <c r="L482" s="285" t="s">
        <v>832</v>
      </c>
      <c r="M482" s="285" t="s">
        <v>9383</v>
      </c>
      <c r="N482" s="287" t="str">
        <f>IFERROR(
    IF(
        AND(
            VLOOKUP(B482, 'รายชื่อพนักงานลาออกพ้นสภาพ'!B:I, 8, FALSE)&lt;&gt;"ยกเลิกลาออก",
            VLOOKUP(B482, 'รายชื่อพนักงานลาออกพ้นสภาพ'!B:I, 7, FALSE)&lt;=TODAY()
        ),
        "ลาออกแล้ว",
        ""
    ),
"")</f>
        <v/>
      </c>
      <c r="O482" s="292" t="str">
        <f t="array" ref="O482">IFERROR(INDEX(PCRent!C:D, MATCH(F482 &amp; " " &amp; G482, PCRent!A:A &amp; " " &amp; PCRent!B:B, 0)), "")</f>
        <v/>
      </c>
      <c r="P482" s="293"/>
      <c r="Q482" s="294" t="str">
        <f t="array" ref="Q482">IFERROR(INDEX(MonitorRent!C:D, MATCH(F482 &amp; " " &amp; G482, MonitorRent!A:A &amp; " " &amp; MonitorRent!B:B, 0)), "")</f>
        <v/>
      </c>
      <c r="R482" s="295"/>
    </row>
    <row r="483">
      <c r="A483" s="284">
        <v>480.0</v>
      </c>
      <c r="B483" s="285" t="s">
        <v>11697</v>
      </c>
      <c r="C483" s="285" t="s">
        <v>10103</v>
      </c>
      <c r="D483" s="286" t="s">
        <v>11698</v>
      </c>
      <c r="E483" s="285" t="s">
        <v>6933</v>
      </c>
      <c r="F483" s="285" t="s">
        <v>11699</v>
      </c>
      <c r="G483" s="285" t="s">
        <v>11700</v>
      </c>
      <c r="H483" s="285" t="s">
        <v>11701</v>
      </c>
      <c r="I483" s="285" t="s">
        <v>11702</v>
      </c>
      <c r="J483" s="285" t="s">
        <v>5224</v>
      </c>
      <c r="K483" s="285" t="s">
        <v>4835</v>
      </c>
      <c r="L483" s="285" t="s">
        <v>10189</v>
      </c>
      <c r="M483" s="285" t="s">
        <v>9383</v>
      </c>
      <c r="N483" s="287" t="str">
        <f>IFERROR(
    IF(
        AND(
            VLOOKUP(B483, 'รายชื่อพนักงานลาออกพ้นสภาพ'!B:I, 8, FALSE)&lt;&gt;"ยกเลิกลาออก",
            VLOOKUP(B483, 'รายชื่อพนักงานลาออกพ้นสภาพ'!B:I, 7, FALSE)&lt;=TODAY()
        ),
        "ลาออกแล้ว",
        ""
    ),
"")</f>
        <v/>
      </c>
      <c r="O483" s="292" t="str">
        <f t="array" ref="O483:P483">IFERROR(INDEX(PCRent!C:D, MATCH(F483 &amp; " " &amp; G483, PCRent!A:A &amp; " " &amp; PCRent!B:B, 0)), "")</f>
        <v>SN:MP2EHYDB</v>
      </c>
      <c r="P483" s="293" t="s">
        <v>6993</v>
      </c>
      <c r="Q483" s="294" t="str">
        <f t="array" ref="Q483">IFERROR(INDEX(MonitorRent!C:D, MATCH(F483 &amp; " " &amp; G483, MonitorRent!A:A &amp; " " &amp; MonitorRent!B:B, 0)), "")</f>
        <v/>
      </c>
      <c r="R483" s="295"/>
    </row>
    <row r="484">
      <c r="A484" s="284">
        <v>481.0</v>
      </c>
      <c r="B484" s="285" t="s">
        <v>69</v>
      </c>
      <c r="C484" s="285" t="s">
        <v>10103</v>
      </c>
      <c r="D484" s="286" t="s">
        <v>11703</v>
      </c>
      <c r="E484" s="285" t="s">
        <v>6933</v>
      </c>
      <c r="F484" s="285" t="s">
        <v>11704</v>
      </c>
      <c r="G484" s="285" t="s">
        <v>11705</v>
      </c>
      <c r="H484" s="285" t="s">
        <v>11706</v>
      </c>
      <c r="I484" s="285" t="s">
        <v>73</v>
      </c>
      <c r="J484" s="285" t="s">
        <v>5012</v>
      </c>
      <c r="K484" s="285" t="s">
        <v>1412</v>
      </c>
      <c r="L484" s="285" t="s">
        <v>10127</v>
      </c>
      <c r="M484" s="285" t="s">
        <v>9383</v>
      </c>
      <c r="N484" s="287" t="str">
        <f>IFERROR(
    IF(
        AND(
            VLOOKUP(B484, 'รายชื่อพนักงานลาออกพ้นสภาพ'!B:I, 8, FALSE)&lt;&gt;"ยกเลิกลาออก",
            VLOOKUP(B484, 'รายชื่อพนักงานลาออกพ้นสภาพ'!B:I, 7, FALSE)&lt;=TODAY()
        ),
        "ลาออกแล้ว",
        ""
    ),
"")</f>
        <v>ลาออกแล้ว</v>
      </c>
      <c r="O484" s="292" t="str">
        <f t="array" ref="O484">IFERROR(INDEX(PCRent!C:D, MATCH(F484 &amp; " " &amp; G484, PCRent!A:A &amp; " " &amp; PCRent!B:B, 0)), "")</f>
        <v/>
      </c>
      <c r="P484" s="293"/>
      <c r="Q484" s="294" t="str">
        <f t="array" ref="Q484">IFERROR(INDEX(MonitorRent!C:D, MATCH(F484 &amp; " " &amp; G484, MonitorRent!A:A &amp; " " &amp; MonitorRent!B:B, 0)), "")</f>
        <v/>
      </c>
      <c r="R484" s="295"/>
    </row>
    <row r="485">
      <c r="A485" s="284">
        <v>482.0</v>
      </c>
      <c r="B485" s="285" t="s">
        <v>11707</v>
      </c>
      <c r="C485" s="285" t="s">
        <v>10103</v>
      </c>
      <c r="D485" s="286" t="s">
        <v>9713</v>
      </c>
      <c r="E485" s="285" t="s">
        <v>6933</v>
      </c>
      <c r="F485" s="285" t="s">
        <v>11708</v>
      </c>
      <c r="G485" s="285" t="s">
        <v>11709</v>
      </c>
      <c r="H485" s="285" t="s">
        <v>11710</v>
      </c>
      <c r="I485" s="285" t="s">
        <v>11711</v>
      </c>
      <c r="J485" s="285" t="s">
        <v>5012</v>
      </c>
      <c r="K485" s="285" t="s">
        <v>10114</v>
      </c>
      <c r="L485" s="285" t="s">
        <v>832</v>
      </c>
      <c r="M485" s="285" t="s">
        <v>9383</v>
      </c>
      <c r="N485" s="287" t="str">
        <f>IFERROR(
    IF(
        AND(
            VLOOKUP(B485, 'รายชื่อพนักงานลาออกพ้นสภาพ'!B:I, 8, FALSE)&lt;&gt;"ยกเลิกลาออก",
            VLOOKUP(B485, 'รายชื่อพนักงานลาออกพ้นสภาพ'!B:I, 7, FALSE)&lt;=TODAY()
        ),
        "ลาออกแล้ว",
        ""
    ),
"")</f>
        <v/>
      </c>
      <c r="O485" s="292" t="str">
        <f t="array" ref="O485">IFERROR(INDEX(PCRent!C:D, MATCH(F485 &amp; " " &amp; G485, PCRent!A:A &amp; " " &amp; PCRent!B:B, 0)), "")</f>
        <v/>
      </c>
      <c r="P485" s="293"/>
      <c r="Q485" s="294" t="str">
        <f t="array" ref="Q485">IFERROR(INDEX(MonitorRent!C:D, MATCH(F485 &amp; " " &amp; G485, MonitorRent!A:A &amp; " " &amp; MonitorRent!B:B, 0)), "")</f>
        <v/>
      </c>
      <c r="R485" s="295"/>
    </row>
    <row r="486">
      <c r="A486" s="284">
        <v>483.0</v>
      </c>
      <c r="B486" s="285" t="s">
        <v>11712</v>
      </c>
      <c r="C486" s="285" t="s">
        <v>10103</v>
      </c>
      <c r="D486" s="286" t="s">
        <v>11713</v>
      </c>
      <c r="E486" s="285" t="s">
        <v>6933</v>
      </c>
      <c r="F486" s="285" t="s">
        <v>11714</v>
      </c>
      <c r="G486" s="285" t="s">
        <v>11715</v>
      </c>
      <c r="H486" s="285" t="s">
        <v>11716</v>
      </c>
      <c r="I486" s="285" t="s">
        <v>11717</v>
      </c>
      <c r="J486" s="285" t="s">
        <v>5012</v>
      </c>
      <c r="K486" s="285" t="s">
        <v>5638</v>
      </c>
      <c r="L486" s="285" t="s">
        <v>832</v>
      </c>
      <c r="M486" s="285" t="s">
        <v>9383</v>
      </c>
      <c r="N486" s="287" t="str">
        <f>IFERROR(
    IF(
        AND(
            VLOOKUP(B486, 'รายชื่อพนักงานลาออกพ้นสภาพ'!B:I, 8, FALSE)&lt;&gt;"ยกเลิกลาออก",
            VLOOKUP(B486, 'รายชื่อพนักงานลาออกพ้นสภาพ'!B:I, 7, FALSE)&lt;=TODAY()
        ),
        "ลาออกแล้ว",
        ""
    ),
"")</f>
        <v/>
      </c>
      <c r="O486" s="292" t="str">
        <f t="array" ref="O486">IFERROR(INDEX(PCRent!C:D, MATCH(F486 &amp; " " &amp; G486, PCRent!A:A &amp; " " &amp; PCRent!B:B, 0)), "")</f>
        <v/>
      </c>
      <c r="P486" s="293"/>
      <c r="Q486" s="294" t="str">
        <f t="array" ref="Q486">IFERROR(INDEX(MonitorRent!C:D, MATCH(F486 &amp; " " &amp; G486, MonitorRent!A:A &amp; " " &amp; MonitorRent!B:B, 0)), "")</f>
        <v/>
      </c>
      <c r="R486" s="295"/>
    </row>
    <row r="487">
      <c r="A487" s="284">
        <v>484.0</v>
      </c>
      <c r="B487" s="285" t="s">
        <v>11718</v>
      </c>
      <c r="C487" s="285" t="s">
        <v>10103</v>
      </c>
      <c r="D487" s="286" t="s">
        <v>10104</v>
      </c>
      <c r="E487" s="285" t="s">
        <v>6933</v>
      </c>
      <c r="F487" s="285" t="s">
        <v>11719</v>
      </c>
      <c r="G487" s="285" t="s">
        <v>11720</v>
      </c>
      <c r="H487" s="285" t="s">
        <v>11721</v>
      </c>
      <c r="I487" s="285" t="s">
        <v>11722</v>
      </c>
      <c r="J487" s="285" t="s">
        <v>5012</v>
      </c>
      <c r="K487" s="285" t="s">
        <v>10114</v>
      </c>
      <c r="L487" s="285" t="s">
        <v>832</v>
      </c>
      <c r="M487" s="285" t="s">
        <v>9383</v>
      </c>
      <c r="N487" s="287" t="str">
        <f>IFERROR(
    IF(
        AND(
            VLOOKUP(B487, 'รายชื่อพนักงานลาออกพ้นสภาพ'!B:I, 8, FALSE)&lt;&gt;"ยกเลิกลาออก",
            VLOOKUP(B487, 'รายชื่อพนักงานลาออกพ้นสภาพ'!B:I, 7, FALSE)&lt;=TODAY()
        ),
        "ลาออกแล้ว",
        ""
    ),
"")</f>
        <v/>
      </c>
      <c r="O487" s="292" t="str">
        <f t="array" ref="O487">IFERROR(INDEX(PCRent!C:D, MATCH(F487 &amp; " " &amp; G487, PCRent!A:A &amp; " " &amp; PCRent!B:B, 0)), "")</f>
        <v/>
      </c>
      <c r="P487" s="293"/>
      <c r="Q487" s="294" t="str">
        <f t="array" ref="Q487">IFERROR(INDEX(MonitorRent!C:D, MATCH(F487 &amp; " " &amp; G487, MonitorRent!A:A &amp; " " &amp; MonitorRent!B:B, 0)), "")</f>
        <v/>
      </c>
      <c r="R487" s="295"/>
    </row>
    <row r="488">
      <c r="A488" s="284">
        <v>485.0</v>
      </c>
      <c r="B488" s="285" t="s">
        <v>11723</v>
      </c>
      <c r="C488" s="285" t="s">
        <v>10103</v>
      </c>
      <c r="D488" s="286" t="s">
        <v>10138</v>
      </c>
      <c r="E488" s="285" t="s">
        <v>6933</v>
      </c>
      <c r="F488" s="285" t="s">
        <v>11724</v>
      </c>
      <c r="G488" s="285" t="s">
        <v>11725</v>
      </c>
      <c r="H488" s="285" t="s">
        <v>11726</v>
      </c>
      <c r="I488" s="285" t="s">
        <v>11727</v>
      </c>
      <c r="J488" s="285" t="s">
        <v>5012</v>
      </c>
      <c r="K488" s="285" t="s">
        <v>10114</v>
      </c>
      <c r="L488" s="285" t="s">
        <v>10127</v>
      </c>
      <c r="M488" s="285" t="s">
        <v>9391</v>
      </c>
      <c r="N488" s="287" t="str">
        <f>IFERROR(
    IF(
        AND(
            VLOOKUP(B488, 'รายชื่อพนักงานลาออกพ้นสภาพ'!B:I, 8, FALSE)&lt;&gt;"ยกเลิกลาออก",
            VLOOKUP(B488, 'รายชื่อพนักงานลาออกพ้นสภาพ'!B:I, 7, FALSE)&lt;=TODAY()
        ),
        "ลาออกแล้ว",
        ""
    ),
"")</f>
        <v/>
      </c>
      <c r="O488" s="292" t="str">
        <f t="array" ref="O488">IFERROR(INDEX(PCRent!C:D, MATCH(F488 &amp; " " &amp; G488, PCRent!A:A &amp; " " &amp; PCRent!B:B, 0)), "")</f>
        <v/>
      </c>
      <c r="P488" s="293"/>
      <c r="Q488" s="294" t="str">
        <f t="array" ref="Q488">IFERROR(INDEX(MonitorRent!C:D, MATCH(F488 &amp; " " &amp; G488, MonitorRent!A:A &amp; " " &amp; MonitorRent!B:B, 0)), "")</f>
        <v/>
      </c>
      <c r="R488" s="295"/>
    </row>
    <row r="489">
      <c r="A489" s="284">
        <v>486.0</v>
      </c>
      <c r="B489" s="285" t="s">
        <v>166</v>
      </c>
      <c r="C489" s="285" t="s">
        <v>10103</v>
      </c>
      <c r="D489" s="286" t="s">
        <v>11728</v>
      </c>
      <c r="E489" s="285" t="s">
        <v>6921</v>
      </c>
      <c r="F489" s="285" t="s">
        <v>11729</v>
      </c>
      <c r="G489" s="285" t="s">
        <v>11730</v>
      </c>
      <c r="H489" s="285" t="s">
        <v>11731</v>
      </c>
      <c r="I489" s="285" t="s">
        <v>169</v>
      </c>
      <c r="J489" s="285" t="s">
        <v>5012</v>
      </c>
      <c r="K489" s="285" t="s">
        <v>3000</v>
      </c>
      <c r="L489" s="285" t="s">
        <v>10127</v>
      </c>
      <c r="M489" s="285" t="s">
        <v>9383</v>
      </c>
      <c r="N489" s="287" t="str">
        <f>IFERROR(
    IF(
        AND(
            VLOOKUP(B489, 'รายชื่อพนักงานลาออกพ้นสภาพ'!B:I, 8, FALSE)&lt;&gt;"ยกเลิกลาออก",
            VLOOKUP(B489, 'รายชื่อพนักงานลาออกพ้นสภาพ'!B:I, 7, FALSE)&lt;=TODAY()
        ),
        "ลาออกแล้ว",
        ""
    ),
"")</f>
        <v>ลาออกแล้ว</v>
      </c>
      <c r="O489" s="292" t="str">
        <f t="array" ref="O489">IFERROR(INDEX(PCRent!C:D, MATCH(F489 &amp; " " &amp; G489, PCRent!A:A &amp; " " &amp; PCRent!B:B, 0)), "")</f>
        <v/>
      </c>
      <c r="P489" s="293"/>
      <c r="Q489" s="294" t="str">
        <f t="array" ref="Q489">IFERROR(INDEX(MonitorRent!C:D, MATCH(F489 &amp; " " &amp; G489, MonitorRent!A:A &amp; " " &amp; MonitorRent!B:B, 0)), "")</f>
        <v/>
      </c>
      <c r="R489" s="295"/>
    </row>
    <row r="490">
      <c r="A490" s="284">
        <v>487.0</v>
      </c>
      <c r="B490" s="285" t="s">
        <v>11732</v>
      </c>
      <c r="C490" s="285" t="s">
        <v>10103</v>
      </c>
      <c r="D490" s="286" t="s">
        <v>11733</v>
      </c>
      <c r="E490" s="285" t="s">
        <v>6921</v>
      </c>
      <c r="F490" s="285" t="s">
        <v>11734</v>
      </c>
      <c r="G490" s="285" t="s">
        <v>11735</v>
      </c>
      <c r="H490" s="285" t="s">
        <v>10420</v>
      </c>
      <c r="I490" s="285" t="s">
        <v>11736</v>
      </c>
      <c r="J490" s="285" t="s">
        <v>5012</v>
      </c>
      <c r="K490" s="285" t="s">
        <v>10405</v>
      </c>
      <c r="L490" s="285" t="s">
        <v>832</v>
      </c>
      <c r="M490" s="285" t="s">
        <v>9383</v>
      </c>
      <c r="N490" s="287" t="str">
        <f>IFERROR(
    IF(
        AND(
            VLOOKUP(B490, 'รายชื่อพนักงานลาออกพ้นสภาพ'!B:I, 8, FALSE)&lt;&gt;"ยกเลิกลาออก",
            VLOOKUP(B490, 'รายชื่อพนักงานลาออกพ้นสภาพ'!B:I, 7, FALSE)&lt;=TODAY()
        ),
        "ลาออกแล้ว",
        ""
    ),
"")</f>
        <v/>
      </c>
      <c r="O490" s="292" t="str">
        <f t="array" ref="O490">IFERROR(INDEX(PCRent!C:D, MATCH(F490 &amp; " " &amp; G490, PCRent!A:A &amp; " " &amp; PCRent!B:B, 0)), "")</f>
        <v/>
      </c>
      <c r="P490" s="293"/>
      <c r="Q490" s="294" t="str">
        <f t="array" ref="Q490">IFERROR(INDEX(MonitorRent!C:D, MATCH(F490 &amp; " " &amp; G490, MonitorRent!A:A &amp; " " &amp; MonitorRent!B:B, 0)), "")</f>
        <v/>
      </c>
      <c r="R490" s="295"/>
    </row>
    <row r="491">
      <c r="A491" s="284">
        <v>488.0</v>
      </c>
      <c r="B491" s="285" t="s">
        <v>474</v>
      </c>
      <c r="C491" s="285" t="s">
        <v>10103</v>
      </c>
      <c r="D491" s="286" t="s">
        <v>10758</v>
      </c>
      <c r="E491" s="285" t="s">
        <v>6921</v>
      </c>
      <c r="F491" s="285" t="s">
        <v>11737</v>
      </c>
      <c r="G491" s="285" t="s">
        <v>11738</v>
      </c>
      <c r="H491" s="285" t="s">
        <v>9854</v>
      </c>
      <c r="I491" s="285" t="s">
        <v>477</v>
      </c>
      <c r="J491" s="285" t="s">
        <v>5012</v>
      </c>
      <c r="K491" s="285" t="s">
        <v>5341</v>
      </c>
      <c r="L491" s="285" t="s">
        <v>10127</v>
      </c>
      <c r="M491" s="285" t="s">
        <v>9383</v>
      </c>
      <c r="N491" s="287" t="str">
        <f>IFERROR(
    IF(
        AND(
            VLOOKUP(B491, 'รายชื่อพนักงานลาออกพ้นสภาพ'!B:I, 8, FALSE)&lt;&gt;"ยกเลิกลาออก",
            VLOOKUP(B491, 'รายชื่อพนักงานลาออกพ้นสภาพ'!B:I, 7, FALSE)&lt;=TODAY()
        ),
        "ลาออกแล้ว",
        ""
    ),
"")</f>
        <v>ลาออกแล้ว</v>
      </c>
      <c r="O491" s="292" t="str">
        <f t="array" ref="O491">IFERROR(INDEX(PCRent!C:D, MATCH(F491 &amp; " " &amp; G491, PCRent!A:A &amp; " " &amp; PCRent!B:B, 0)), "")</f>
        <v/>
      </c>
      <c r="P491" s="293"/>
      <c r="Q491" s="294" t="str">
        <f t="array" ref="Q491">IFERROR(INDEX(MonitorRent!C:D, MATCH(F491 &amp; " " &amp; G491, MonitorRent!A:A &amp; " " &amp; MonitorRent!B:B, 0)), "")</f>
        <v/>
      </c>
      <c r="R491" s="295"/>
    </row>
    <row r="492">
      <c r="A492" s="284">
        <v>489.0</v>
      </c>
      <c r="B492" s="285" t="s">
        <v>800</v>
      </c>
      <c r="C492" s="285" t="s">
        <v>10103</v>
      </c>
      <c r="D492" s="286" t="s">
        <v>10358</v>
      </c>
      <c r="E492" s="285" t="s">
        <v>6933</v>
      </c>
      <c r="F492" s="285" t="s">
        <v>11739</v>
      </c>
      <c r="G492" s="285" t="s">
        <v>11740</v>
      </c>
      <c r="H492" s="285" t="s">
        <v>11741</v>
      </c>
      <c r="I492" s="285" t="s">
        <v>803</v>
      </c>
      <c r="J492" s="285" t="s">
        <v>5012</v>
      </c>
      <c r="K492" s="285" t="s">
        <v>10114</v>
      </c>
      <c r="L492" s="285" t="s">
        <v>10843</v>
      </c>
      <c r="M492" s="285" t="s">
        <v>9383</v>
      </c>
      <c r="N492" s="287" t="str">
        <f>IFERROR(
    IF(
        AND(
            VLOOKUP(B492, 'รายชื่อพนักงานลาออกพ้นสภาพ'!B:I, 8, FALSE)&lt;&gt;"ยกเลิกลาออก",
            VLOOKUP(B492, 'รายชื่อพนักงานลาออกพ้นสภาพ'!B:I, 7, FALSE)&lt;=TODAY()
        ),
        "ลาออกแล้ว",
        ""
    ),
"")</f>
        <v>ลาออกแล้ว</v>
      </c>
      <c r="O492" s="292" t="str">
        <f t="array" ref="O492">IFERROR(INDEX(PCRent!C:D, MATCH(F492 &amp; " " &amp; G492, PCRent!A:A &amp; " " &amp; PCRent!B:B, 0)), "")</f>
        <v/>
      </c>
      <c r="P492" s="293"/>
      <c r="Q492" s="294" t="str">
        <f t="array" ref="Q492">IFERROR(INDEX(MonitorRent!C:D, MATCH(F492 &amp; " " &amp; G492, MonitorRent!A:A &amp; " " &amp; MonitorRent!B:B, 0)), "")</f>
        <v/>
      </c>
      <c r="R492" s="295"/>
    </row>
    <row r="493">
      <c r="A493" s="284">
        <v>490.0</v>
      </c>
      <c r="B493" s="285" t="s">
        <v>11742</v>
      </c>
      <c r="C493" s="285" t="s">
        <v>10103</v>
      </c>
      <c r="D493" s="286" t="s">
        <v>10058</v>
      </c>
      <c r="E493" s="285" t="s">
        <v>6921</v>
      </c>
      <c r="F493" s="285" t="s">
        <v>11743</v>
      </c>
      <c r="G493" s="285" t="s">
        <v>11744</v>
      </c>
      <c r="H493" s="285" t="s">
        <v>11745</v>
      </c>
      <c r="I493" s="285" t="s">
        <v>11746</v>
      </c>
      <c r="J493" s="285" t="s">
        <v>5012</v>
      </c>
      <c r="K493" s="285" t="s">
        <v>1606</v>
      </c>
      <c r="L493" s="285" t="s">
        <v>10916</v>
      </c>
      <c r="M493" s="285" t="s">
        <v>9383</v>
      </c>
      <c r="N493" s="287" t="str">
        <f>IFERROR(
    IF(
        AND(
            VLOOKUP(B493, 'รายชื่อพนักงานลาออกพ้นสภาพ'!B:I, 8, FALSE)&lt;&gt;"ยกเลิกลาออก",
            VLOOKUP(B493, 'รายชื่อพนักงานลาออกพ้นสภาพ'!B:I, 7, FALSE)&lt;=TODAY()
        ),
        "ลาออกแล้ว",
        ""
    ),
"")</f>
        <v/>
      </c>
      <c r="O493" s="292" t="str">
        <f t="array" ref="O493">IFERROR(INDEX(PCRent!C:D, MATCH(F493 &amp; " " &amp; G493, PCRent!A:A &amp; " " &amp; PCRent!B:B, 0)), "")</f>
        <v/>
      </c>
      <c r="P493" s="293"/>
      <c r="Q493" s="294" t="str">
        <f t="array" ref="Q493">IFERROR(INDEX(MonitorRent!C:D, MATCH(F493 &amp; " " &amp; G493, MonitorRent!A:A &amp; " " &amp; MonitorRent!B:B, 0)), "")</f>
        <v/>
      </c>
      <c r="R493" s="295"/>
    </row>
    <row r="494">
      <c r="A494" s="284">
        <v>491.0</v>
      </c>
      <c r="B494" s="285" t="s">
        <v>906</v>
      </c>
      <c r="C494" s="285" t="s">
        <v>10103</v>
      </c>
      <c r="D494" s="286" t="s">
        <v>11747</v>
      </c>
      <c r="E494" s="285" t="s">
        <v>6933</v>
      </c>
      <c r="F494" s="285" t="s">
        <v>11748</v>
      </c>
      <c r="G494" s="285" t="s">
        <v>11749</v>
      </c>
      <c r="H494" s="285" t="s">
        <v>11750</v>
      </c>
      <c r="I494" s="285" t="s">
        <v>908</v>
      </c>
      <c r="J494" s="285" t="s">
        <v>5012</v>
      </c>
      <c r="K494" s="285" t="s">
        <v>10114</v>
      </c>
      <c r="L494" s="285" t="s">
        <v>832</v>
      </c>
      <c r="M494" s="285" t="s">
        <v>9383</v>
      </c>
      <c r="N494" s="287" t="str">
        <f>IFERROR(
    IF(
        AND(
            VLOOKUP(B494, 'รายชื่อพนักงานลาออกพ้นสภาพ'!B:I, 8, FALSE)&lt;&gt;"ยกเลิกลาออก",
            VLOOKUP(B494, 'รายชื่อพนักงานลาออกพ้นสภาพ'!B:I, 7, FALSE)&lt;=TODAY()
        ),
        "ลาออกแล้ว",
        ""
    ),
"")</f>
        <v>ลาออกแล้ว</v>
      </c>
      <c r="O494" s="292" t="str">
        <f t="array" ref="O494">IFERROR(INDEX(PCRent!C:D, MATCH(F494 &amp; " " &amp; G494, PCRent!A:A &amp; " " &amp; PCRent!B:B, 0)), "")</f>
        <v/>
      </c>
      <c r="P494" s="293"/>
      <c r="Q494" s="294" t="str">
        <f t="array" ref="Q494">IFERROR(INDEX(MonitorRent!C:D, MATCH(F494 &amp; " " &amp; G494, MonitorRent!A:A &amp; " " &amp; MonitorRent!B:B, 0)), "")</f>
        <v/>
      </c>
      <c r="R494" s="295"/>
    </row>
    <row r="495">
      <c r="A495" s="284">
        <v>492.0</v>
      </c>
      <c r="B495" s="285" t="s">
        <v>11751</v>
      </c>
      <c r="C495" s="285" t="s">
        <v>10103</v>
      </c>
      <c r="D495" s="286" t="s">
        <v>10724</v>
      </c>
      <c r="E495" s="285" t="s">
        <v>6933</v>
      </c>
      <c r="F495" s="285" t="s">
        <v>11752</v>
      </c>
      <c r="G495" s="285" t="s">
        <v>11753</v>
      </c>
      <c r="H495" s="285" t="s">
        <v>11754</v>
      </c>
      <c r="I495" s="285" t="s">
        <v>11755</v>
      </c>
      <c r="J495" s="285" t="s">
        <v>5012</v>
      </c>
      <c r="K495" s="285" t="s">
        <v>5638</v>
      </c>
      <c r="L495" s="285" t="s">
        <v>832</v>
      </c>
      <c r="M495" s="285" t="s">
        <v>9383</v>
      </c>
      <c r="N495" s="287" t="str">
        <f>IFERROR(
    IF(
        AND(
            VLOOKUP(B495, 'รายชื่อพนักงานลาออกพ้นสภาพ'!B:I, 8, FALSE)&lt;&gt;"ยกเลิกลาออก",
            VLOOKUP(B495, 'รายชื่อพนักงานลาออกพ้นสภาพ'!B:I, 7, FALSE)&lt;=TODAY()
        ),
        "ลาออกแล้ว",
        ""
    ),
"")</f>
        <v/>
      </c>
      <c r="O495" s="292" t="str">
        <f t="array" ref="O495">IFERROR(INDEX(PCRent!C:D, MATCH(F495 &amp; " " &amp; G495, PCRent!A:A &amp; " " &amp; PCRent!B:B, 0)), "")</f>
        <v/>
      </c>
      <c r="P495" s="293"/>
      <c r="Q495" s="294" t="str">
        <f t="array" ref="Q495">IFERROR(INDEX(MonitorRent!C:D, MATCH(F495 &amp; " " &amp; G495, MonitorRent!A:A &amp; " " &amp; MonitorRent!B:B, 0)), "")</f>
        <v/>
      </c>
      <c r="R495" s="295"/>
    </row>
    <row r="496">
      <c r="A496" s="284">
        <v>493.0</v>
      </c>
      <c r="B496" s="285" t="s">
        <v>2890</v>
      </c>
      <c r="C496" s="285" t="s">
        <v>10103</v>
      </c>
      <c r="D496" s="286" t="s">
        <v>10613</v>
      </c>
      <c r="E496" s="285" t="s">
        <v>6921</v>
      </c>
      <c r="F496" s="285" t="s">
        <v>11756</v>
      </c>
      <c r="G496" s="285" t="s">
        <v>11757</v>
      </c>
      <c r="H496" s="285" t="s">
        <v>9975</v>
      </c>
      <c r="I496" s="285" t="s">
        <v>6282</v>
      </c>
      <c r="J496" s="285" t="s">
        <v>5012</v>
      </c>
      <c r="K496" s="285" t="s">
        <v>1417</v>
      </c>
      <c r="L496" s="285" t="s">
        <v>10127</v>
      </c>
      <c r="M496" s="285" t="s">
        <v>9383</v>
      </c>
      <c r="N496" s="287" t="str">
        <f>IFERROR(
    IF(
        AND(
            VLOOKUP(B496, 'รายชื่อพนักงานลาออกพ้นสภาพ'!B:I, 8, FALSE)&lt;&gt;"ยกเลิกลาออก",
            VLOOKUP(B496, 'รายชื่อพนักงานลาออกพ้นสภาพ'!B:I, 7, FALSE)&lt;=TODAY()
        ),
        "ลาออกแล้ว",
        ""
    ),
"")</f>
        <v/>
      </c>
      <c r="O496" s="292" t="str">
        <f t="array" ref="O496">IFERROR(INDEX(PCRent!C:D, MATCH(F496 &amp; " " &amp; G496, PCRent!A:A &amp; " " &amp; PCRent!B:B, 0)), "")</f>
        <v/>
      </c>
      <c r="P496" s="293"/>
      <c r="Q496" s="294" t="str">
        <f t="array" ref="Q496">IFERROR(INDEX(MonitorRent!C:D, MATCH(F496 &amp; " " &amp; G496, MonitorRent!A:A &amp; " " &amp; MonitorRent!B:B, 0)), "")</f>
        <v/>
      </c>
      <c r="R496" s="295"/>
    </row>
    <row r="497">
      <c r="A497" s="284">
        <v>494.0</v>
      </c>
      <c r="B497" s="285" t="s">
        <v>11758</v>
      </c>
      <c r="C497" s="285" t="s">
        <v>10103</v>
      </c>
      <c r="D497" s="286" t="s">
        <v>10358</v>
      </c>
      <c r="E497" s="285" t="s">
        <v>6933</v>
      </c>
      <c r="F497" s="285" t="s">
        <v>11759</v>
      </c>
      <c r="G497" s="285" t="s">
        <v>11760</v>
      </c>
      <c r="H497" s="285" t="s">
        <v>11294</v>
      </c>
      <c r="I497" s="285" t="s">
        <v>11761</v>
      </c>
      <c r="J497" s="285" t="s">
        <v>5012</v>
      </c>
      <c r="K497" s="285" t="s">
        <v>10114</v>
      </c>
      <c r="L497" s="285" t="s">
        <v>832</v>
      </c>
      <c r="M497" s="285" t="s">
        <v>9391</v>
      </c>
      <c r="N497" s="287" t="str">
        <f>IFERROR(
    IF(
        AND(
            VLOOKUP(B497, 'รายชื่อพนักงานลาออกพ้นสภาพ'!B:I, 8, FALSE)&lt;&gt;"ยกเลิกลาออก",
            VLOOKUP(B497, 'รายชื่อพนักงานลาออกพ้นสภาพ'!B:I, 7, FALSE)&lt;=TODAY()
        ),
        "ลาออกแล้ว",
        ""
    ),
"")</f>
        <v/>
      </c>
      <c r="O497" s="292" t="str">
        <f t="array" ref="O497">IFERROR(INDEX(PCRent!C:D, MATCH(F497 &amp; " " &amp; G497, PCRent!A:A &amp; " " &amp; PCRent!B:B, 0)), "")</f>
        <v/>
      </c>
      <c r="P497" s="293"/>
      <c r="Q497" s="294" t="str">
        <f t="array" ref="Q497">IFERROR(INDEX(MonitorRent!C:D, MATCH(F497 &amp; " " &amp; G497, MonitorRent!A:A &amp; " " &amp; MonitorRent!B:B, 0)), "")</f>
        <v/>
      </c>
      <c r="R497" s="295"/>
    </row>
    <row r="498">
      <c r="A498" s="284">
        <v>495.0</v>
      </c>
      <c r="B498" s="285" t="s">
        <v>11762</v>
      </c>
      <c r="C498" s="285" t="s">
        <v>10103</v>
      </c>
      <c r="D498" s="286" t="s">
        <v>9718</v>
      </c>
      <c r="E498" s="285" t="s">
        <v>6933</v>
      </c>
      <c r="F498" s="285" t="s">
        <v>11763</v>
      </c>
      <c r="G498" s="285" t="s">
        <v>11764</v>
      </c>
      <c r="H498" s="285" t="s">
        <v>11138</v>
      </c>
      <c r="I498" s="285" t="s">
        <v>11765</v>
      </c>
      <c r="J498" s="285" t="s">
        <v>5012</v>
      </c>
      <c r="K498" s="285" t="s">
        <v>5638</v>
      </c>
      <c r="L498" s="285" t="s">
        <v>10127</v>
      </c>
      <c r="M498" s="285" t="s">
        <v>9391</v>
      </c>
      <c r="N498" s="287" t="str">
        <f>IFERROR(
    IF(
        AND(
            VLOOKUP(B498, 'รายชื่อพนักงานลาออกพ้นสภาพ'!B:I, 8, FALSE)&lt;&gt;"ยกเลิกลาออก",
            VLOOKUP(B498, 'รายชื่อพนักงานลาออกพ้นสภาพ'!B:I, 7, FALSE)&lt;=TODAY()
        ),
        "ลาออกแล้ว",
        ""
    ),
"")</f>
        <v/>
      </c>
      <c r="O498" s="292" t="str">
        <f t="array" ref="O498">IFERROR(INDEX(PCRent!C:D, MATCH(F498 &amp; " " &amp; G498, PCRent!A:A &amp; " " &amp; PCRent!B:B, 0)), "")</f>
        <v/>
      </c>
      <c r="P498" s="293"/>
      <c r="Q498" s="294" t="str">
        <f t="array" ref="Q498">IFERROR(INDEX(MonitorRent!C:D, MATCH(F498 &amp; " " &amp; G498, MonitorRent!A:A &amp; " " &amp; MonitorRent!B:B, 0)), "")</f>
        <v/>
      </c>
      <c r="R498" s="295"/>
    </row>
    <row r="499">
      <c r="A499" s="284">
        <v>496.0</v>
      </c>
      <c r="B499" s="285" t="s">
        <v>11766</v>
      </c>
      <c r="C499" s="285" t="s">
        <v>10103</v>
      </c>
      <c r="D499" s="286" t="s">
        <v>11767</v>
      </c>
      <c r="E499" s="285" t="s">
        <v>6933</v>
      </c>
      <c r="F499" s="285" t="s">
        <v>11768</v>
      </c>
      <c r="G499" s="285" t="s">
        <v>11769</v>
      </c>
      <c r="H499" s="285" t="s">
        <v>9538</v>
      </c>
      <c r="I499" s="285" t="s">
        <v>11770</v>
      </c>
      <c r="J499" s="285" t="s">
        <v>5012</v>
      </c>
      <c r="K499" s="285" t="s">
        <v>10114</v>
      </c>
      <c r="L499" s="285" t="s">
        <v>832</v>
      </c>
      <c r="M499" s="285" t="s">
        <v>9383</v>
      </c>
      <c r="N499" s="287" t="str">
        <f>IFERROR(
    IF(
        AND(
            VLOOKUP(B499, 'รายชื่อพนักงานลาออกพ้นสภาพ'!B:I, 8, FALSE)&lt;&gt;"ยกเลิกลาออก",
            VLOOKUP(B499, 'รายชื่อพนักงานลาออกพ้นสภาพ'!B:I, 7, FALSE)&lt;=TODAY()
        ),
        "ลาออกแล้ว",
        ""
    ),
"")</f>
        <v/>
      </c>
      <c r="O499" s="292" t="str">
        <f t="array" ref="O499">IFERROR(INDEX(PCRent!C:D, MATCH(F499 &amp; " " &amp; G499, PCRent!A:A &amp; " " &amp; PCRent!B:B, 0)), "")</f>
        <v/>
      </c>
      <c r="P499" s="293"/>
      <c r="Q499" s="294" t="str">
        <f t="array" ref="Q499">IFERROR(INDEX(MonitorRent!C:D, MATCH(F499 &amp; " " &amp; G499, MonitorRent!A:A &amp; " " &amp; MonitorRent!B:B, 0)), "")</f>
        <v/>
      </c>
      <c r="R499" s="295"/>
    </row>
    <row r="500">
      <c r="A500" s="284">
        <v>497.0</v>
      </c>
      <c r="B500" s="285" t="s">
        <v>11771</v>
      </c>
      <c r="C500" s="285" t="s">
        <v>10103</v>
      </c>
      <c r="D500" s="286" t="s">
        <v>9644</v>
      </c>
      <c r="E500" s="285" t="s">
        <v>6933</v>
      </c>
      <c r="F500" s="285" t="s">
        <v>11772</v>
      </c>
      <c r="G500" s="285" t="s">
        <v>9792</v>
      </c>
      <c r="H500" s="285" t="s">
        <v>9783</v>
      </c>
      <c r="I500" s="285" t="s">
        <v>11773</v>
      </c>
      <c r="J500" s="285" t="s">
        <v>5012</v>
      </c>
      <c r="K500" s="285" t="s">
        <v>10114</v>
      </c>
      <c r="L500" s="285" t="s">
        <v>832</v>
      </c>
      <c r="M500" s="285" t="s">
        <v>9383</v>
      </c>
      <c r="N500" s="287" t="str">
        <f>IFERROR(
    IF(
        AND(
            VLOOKUP(B500, 'รายชื่อพนักงานลาออกพ้นสภาพ'!B:I, 8, FALSE)&lt;&gt;"ยกเลิกลาออก",
            VLOOKUP(B500, 'รายชื่อพนักงานลาออกพ้นสภาพ'!B:I, 7, FALSE)&lt;=TODAY()
        ),
        "ลาออกแล้ว",
        ""
    ),
"")</f>
        <v/>
      </c>
      <c r="O500" s="292" t="str">
        <f t="array" ref="O500">IFERROR(INDEX(PCRent!C:D, MATCH(F500 &amp; " " &amp; G500, PCRent!A:A &amp; " " &amp; PCRent!B:B, 0)), "")</f>
        <v/>
      </c>
      <c r="P500" s="293"/>
      <c r="Q500" s="294" t="str">
        <f t="array" ref="Q500">IFERROR(INDEX(MonitorRent!C:D, MATCH(F500 &amp; " " &amp; G500, MonitorRent!A:A &amp; " " &amp; MonitorRent!B:B, 0)), "")</f>
        <v/>
      </c>
      <c r="R500" s="295"/>
    </row>
    <row r="501">
      <c r="A501" s="284">
        <v>498.0</v>
      </c>
      <c r="B501" s="285" t="s">
        <v>11774</v>
      </c>
      <c r="C501" s="285" t="s">
        <v>10103</v>
      </c>
      <c r="D501" s="286" t="s">
        <v>9713</v>
      </c>
      <c r="E501" s="285" t="s">
        <v>6933</v>
      </c>
      <c r="F501" s="285" t="s">
        <v>11775</v>
      </c>
      <c r="G501" s="285" t="s">
        <v>11776</v>
      </c>
      <c r="H501" s="285" t="s">
        <v>11777</v>
      </c>
      <c r="I501" s="285" t="s">
        <v>11778</v>
      </c>
      <c r="J501" s="285" t="s">
        <v>5012</v>
      </c>
      <c r="K501" s="285" t="s">
        <v>10114</v>
      </c>
      <c r="L501" s="285" t="s">
        <v>566</v>
      </c>
      <c r="M501" s="285" t="s">
        <v>9383</v>
      </c>
      <c r="N501" s="287" t="str">
        <f>IFERROR(
    IF(
        AND(
            VLOOKUP(B501, 'รายชื่อพนักงานลาออกพ้นสภาพ'!B:I, 8, FALSE)&lt;&gt;"ยกเลิกลาออก",
            VLOOKUP(B501, 'รายชื่อพนักงานลาออกพ้นสภาพ'!B:I, 7, FALSE)&lt;=TODAY()
        ),
        "ลาออกแล้ว",
        ""
    ),
"")</f>
        <v/>
      </c>
      <c r="O501" s="292" t="str">
        <f t="array" ref="O501">IFERROR(INDEX(PCRent!C:D, MATCH(F501 &amp; " " &amp; G501, PCRent!A:A &amp; " " &amp; PCRent!B:B, 0)), "")</f>
        <v/>
      </c>
      <c r="P501" s="293"/>
      <c r="Q501" s="294" t="str">
        <f t="array" ref="Q501">IFERROR(INDEX(MonitorRent!C:D, MATCH(F501 &amp; " " &amp; G501, MonitorRent!A:A &amp; " " &amp; MonitorRent!B:B, 0)), "")</f>
        <v/>
      </c>
      <c r="R501" s="295"/>
    </row>
    <row r="502">
      <c r="A502" s="284">
        <v>499.0</v>
      </c>
      <c r="B502" s="285" t="s">
        <v>11779</v>
      </c>
      <c r="C502" s="285" t="s">
        <v>10103</v>
      </c>
      <c r="D502" s="286" t="s">
        <v>9399</v>
      </c>
      <c r="E502" s="285" t="s">
        <v>6933</v>
      </c>
      <c r="F502" s="285" t="s">
        <v>11780</v>
      </c>
      <c r="G502" s="285" t="s">
        <v>11781</v>
      </c>
      <c r="H502" s="285" t="s">
        <v>11782</v>
      </c>
      <c r="I502" s="285" t="s">
        <v>11783</v>
      </c>
      <c r="J502" s="285" t="s">
        <v>5012</v>
      </c>
      <c r="K502" s="285" t="s">
        <v>5638</v>
      </c>
      <c r="L502" s="285" t="s">
        <v>832</v>
      </c>
      <c r="M502" s="285" t="s">
        <v>9391</v>
      </c>
      <c r="N502" s="287" t="str">
        <f>IFERROR(
    IF(
        AND(
            VLOOKUP(B502, 'รายชื่อพนักงานลาออกพ้นสภาพ'!B:I, 8, FALSE)&lt;&gt;"ยกเลิกลาออก",
            VLOOKUP(B502, 'รายชื่อพนักงานลาออกพ้นสภาพ'!B:I, 7, FALSE)&lt;=TODAY()
        ),
        "ลาออกแล้ว",
        ""
    ),
"")</f>
        <v/>
      </c>
      <c r="O502" s="292" t="str">
        <f t="array" ref="O502">IFERROR(INDEX(PCRent!C:D, MATCH(F502 &amp; " " &amp; G502, PCRent!A:A &amp; " " &amp; PCRent!B:B, 0)), "")</f>
        <v/>
      </c>
      <c r="P502" s="293"/>
      <c r="Q502" s="294" t="str">
        <f t="array" ref="Q502">IFERROR(INDEX(MonitorRent!C:D, MATCH(F502 &amp; " " &amp; G502, MonitorRent!A:A &amp; " " &amp; MonitorRent!B:B, 0)), "")</f>
        <v/>
      </c>
      <c r="R502" s="295"/>
    </row>
    <row r="503">
      <c r="A503" s="284">
        <v>500.0</v>
      </c>
      <c r="B503" s="285" t="s">
        <v>11784</v>
      </c>
      <c r="C503" s="285" t="s">
        <v>10103</v>
      </c>
      <c r="D503" s="286" t="s">
        <v>11785</v>
      </c>
      <c r="E503" s="285" t="s">
        <v>6933</v>
      </c>
      <c r="F503" s="285" t="s">
        <v>11786</v>
      </c>
      <c r="G503" s="285" t="s">
        <v>11787</v>
      </c>
      <c r="H503" s="285" t="s">
        <v>11788</v>
      </c>
      <c r="I503" s="285" t="s">
        <v>11789</v>
      </c>
      <c r="J503" s="285" t="s">
        <v>5012</v>
      </c>
      <c r="K503" s="285" t="s">
        <v>11790</v>
      </c>
      <c r="L503" s="285" t="s">
        <v>1258</v>
      </c>
      <c r="M503" s="285" t="s">
        <v>9383</v>
      </c>
      <c r="N503" s="287" t="str">
        <f>IFERROR(
    IF(
        AND(
            VLOOKUP(B503, 'รายชื่อพนักงานลาออกพ้นสภาพ'!B:I, 8, FALSE)&lt;&gt;"ยกเลิกลาออก",
            VLOOKUP(B503, 'รายชื่อพนักงานลาออกพ้นสภาพ'!B:I, 7, FALSE)&lt;=TODAY()
        ),
        "ลาออกแล้ว",
        ""
    ),
"")</f>
        <v/>
      </c>
      <c r="O503" s="292" t="str">
        <f t="array" ref="O503">IFERROR(INDEX(PCRent!C:D, MATCH(F503 &amp; " " &amp; G503, PCRent!A:A &amp; " " &amp; PCRent!B:B, 0)), "")</f>
        <v/>
      </c>
      <c r="P503" s="293"/>
      <c r="Q503" s="294" t="str">
        <f t="array" ref="Q503">IFERROR(INDEX(MonitorRent!C:D, MATCH(F503 &amp; " " &amp; G503, MonitorRent!A:A &amp; " " &amp; MonitorRent!B:B, 0)), "")</f>
        <v/>
      </c>
      <c r="R503" s="295"/>
    </row>
    <row r="504">
      <c r="A504" s="284">
        <v>501.0</v>
      </c>
      <c r="B504" s="285" t="s">
        <v>11791</v>
      </c>
      <c r="C504" s="285" t="s">
        <v>10103</v>
      </c>
      <c r="D504" s="286" t="s">
        <v>11792</v>
      </c>
      <c r="E504" s="285" t="s">
        <v>6933</v>
      </c>
      <c r="F504" s="285" t="s">
        <v>11786</v>
      </c>
      <c r="G504" s="285" t="s">
        <v>11793</v>
      </c>
      <c r="H504" s="285" t="s">
        <v>10765</v>
      </c>
      <c r="I504" s="285" t="s">
        <v>11794</v>
      </c>
      <c r="J504" s="285" t="s">
        <v>5224</v>
      </c>
      <c r="K504" s="285" t="s">
        <v>4749</v>
      </c>
      <c r="L504" s="285" t="s">
        <v>10163</v>
      </c>
      <c r="M504" s="285" t="s">
        <v>9383</v>
      </c>
      <c r="N504" s="287" t="str">
        <f>IFERROR(
    IF(
        AND(
            VLOOKUP(B504, 'รายชื่อพนักงานลาออกพ้นสภาพ'!B:I, 8, FALSE)&lt;&gt;"ยกเลิกลาออก",
            VLOOKUP(B504, 'รายชื่อพนักงานลาออกพ้นสภาพ'!B:I, 7, FALSE)&lt;=TODAY()
        ),
        "ลาออกแล้ว",
        ""
    ),
"")</f>
        <v/>
      </c>
      <c r="O504" s="292" t="str">
        <f t="array" ref="O504">IFERROR(INDEX(PCRent!C:D, MATCH(F504 &amp; " " &amp; G504, PCRent!A:A &amp; " " &amp; PCRent!B:B, 0)), "")</f>
        <v/>
      </c>
      <c r="P504" s="293"/>
      <c r="Q504" s="294" t="str">
        <f t="array" ref="Q504">IFERROR(INDEX(MonitorRent!C:D, MATCH(F504 &amp; " " &amp; G504, MonitorRent!A:A &amp; " " &amp; MonitorRent!B:B, 0)), "")</f>
        <v/>
      </c>
      <c r="R504" s="295"/>
    </row>
    <row r="505">
      <c r="A505" s="284">
        <v>502.0</v>
      </c>
      <c r="B505" s="285" t="s">
        <v>11795</v>
      </c>
      <c r="C505" s="285" t="s">
        <v>10103</v>
      </c>
      <c r="D505" s="286" t="s">
        <v>11796</v>
      </c>
      <c r="E505" s="285" t="s">
        <v>6921</v>
      </c>
      <c r="F505" s="285" t="s">
        <v>11797</v>
      </c>
      <c r="G505" s="285" t="s">
        <v>11798</v>
      </c>
      <c r="H505" s="285" t="s">
        <v>11799</v>
      </c>
      <c r="I505" s="285" t="s">
        <v>11800</v>
      </c>
      <c r="J505" s="285" t="s">
        <v>5012</v>
      </c>
      <c r="K505" s="285" t="s">
        <v>5341</v>
      </c>
      <c r="L505" s="285" t="s">
        <v>832</v>
      </c>
      <c r="M505" s="285" t="s">
        <v>9383</v>
      </c>
      <c r="N505" s="287" t="str">
        <f>IFERROR(
    IF(
        AND(
            VLOOKUP(B505, 'รายชื่อพนักงานลาออกพ้นสภาพ'!B:I, 8, FALSE)&lt;&gt;"ยกเลิกลาออก",
            VLOOKUP(B505, 'รายชื่อพนักงานลาออกพ้นสภาพ'!B:I, 7, FALSE)&lt;=TODAY()
        ),
        "ลาออกแล้ว",
        ""
    ),
"")</f>
        <v/>
      </c>
      <c r="O505" s="292" t="str">
        <f t="array" ref="O505">IFERROR(INDEX(PCRent!C:D, MATCH(F505 &amp; " " &amp; G505, PCRent!A:A &amp; " " &amp; PCRent!B:B, 0)), "")</f>
        <v/>
      </c>
      <c r="P505" s="293"/>
      <c r="Q505" s="294" t="str">
        <f t="array" ref="Q505">IFERROR(INDEX(MonitorRent!C:D, MATCH(F505 &amp; " " &amp; G505, MonitorRent!A:A &amp; " " &amp; MonitorRent!B:B, 0)), "")</f>
        <v/>
      </c>
      <c r="R505" s="295"/>
    </row>
    <row r="506">
      <c r="A506" s="284">
        <v>503.0</v>
      </c>
      <c r="B506" s="285" t="s">
        <v>11801</v>
      </c>
      <c r="C506" s="285" t="s">
        <v>10103</v>
      </c>
      <c r="D506" s="286" t="s">
        <v>10586</v>
      </c>
      <c r="E506" s="285" t="s">
        <v>6933</v>
      </c>
      <c r="F506" s="285" t="s">
        <v>11802</v>
      </c>
      <c r="G506" s="285" t="s">
        <v>11803</v>
      </c>
      <c r="H506" s="285" t="s">
        <v>11804</v>
      </c>
      <c r="I506" s="285" t="s">
        <v>11805</v>
      </c>
      <c r="J506" s="285" t="s">
        <v>5012</v>
      </c>
      <c r="K506" s="285" t="s">
        <v>5638</v>
      </c>
      <c r="L506" s="285" t="s">
        <v>832</v>
      </c>
      <c r="M506" s="285" t="s">
        <v>9383</v>
      </c>
      <c r="N506" s="287" t="str">
        <f>IFERROR(
    IF(
        AND(
            VLOOKUP(B506, 'รายชื่อพนักงานลาออกพ้นสภาพ'!B:I, 8, FALSE)&lt;&gt;"ยกเลิกลาออก",
            VLOOKUP(B506, 'รายชื่อพนักงานลาออกพ้นสภาพ'!B:I, 7, FALSE)&lt;=TODAY()
        ),
        "ลาออกแล้ว",
        ""
    ),
"")</f>
        <v/>
      </c>
      <c r="O506" s="292" t="str">
        <f t="array" ref="O506">IFERROR(INDEX(PCRent!C:D, MATCH(F506 &amp; " " &amp; G506, PCRent!A:A &amp; " " &amp; PCRent!B:B, 0)), "")</f>
        <v/>
      </c>
      <c r="P506" s="293"/>
      <c r="Q506" s="294" t="str">
        <f t="array" ref="Q506">IFERROR(INDEX(MonitorRent!C:D, MATCH(F506 &amp; " " &amp; G506, MonitorRent!A:A &amp; " " &amp; MonitorRent!B:B, 0)), "")</f>
        <v/>
      </c>
      <c r="R506" s="295"/>
    </row>
    <row r="507">
      <c r="A507" s="284">
        <v>504.0</v>
      </c>
      <c r="B507" s="285" t="s">
        <v>11806</v>
      </c>
      <c r="C507" s="285" t="s">
        <v>10103</v>
      </c>
      <c r="D507" s="286" t="s">
        <v>9937</v>
      </c>
      <c r="E507" s="285" t="s">
        <v>6921</v>
      </c>
      <c r="F507" s="285" t="s">
        <v>11807</v>
      </c>
      <c r="G507" s="285" t="s">
        <v>11808</v>
      </c>
      <c r="H507" s="285" t="s">
        <v>11809</v>
      </c>
      <c r="I507" s="285" t="s">
        <v>11810</v>
      </c>
      <c r="J507" s="285" t="s">
        <v>5012</v>
      </c>
      <c r="K507" s="285" t="s">
        <v>1456</v>
      </c>
      <c r="L507" s="285" t="s">
        <v>1258</v>
      </c>
      <c r="M507" s="285" t="s">
        <v>9383</v>
      </c>
      <c r="N507" s="287" t="str">
        <f>IFERROR(
    IF(
        AND(
            VLOOKUP(B507, 'รายชื่อพนักงานลาออกพ้นสภาพ'!B:I, 8, FALSE)&lt;&gt;"ยกเลิกลาออก",
            VLOOKUP(B507, 'รายชื่อพนักงานลาออกพ้นสภาพ'!B:I, 7, FALSE)&lt;=TODAY()
        ),
        "ลาออกแล้ว",
        ""
    ),
"")</f>
        <v/>
      </c>
      <c r="O507" s="292" t="str">
        <f t="array" ref="O507">IFERROR(INDEX(PCRent!C:D, MATCH(F507 &amp; " " &amp; G507, PCRent!A:A &amp; " " &amp; PCRent!B:B, 0)), "")</f>
        <v/>
      </c>
      <c r="P507" s="293"/>
      <c r="Q507" s="294" t="str">
        <f t="array" ref="Q507">IFERROR(INDEX(MonitorRent!C:D, MATCH(F507 &amp; " " &amp; G507, MonitorRent!A:A &amp; " " &amp; MonitorRent!B:B, 0)), "")</f>
        <v/>
      </c>
      <c r="R507" s="295"/>
    </row>
    <row r="508">
      <c r="A508" s="284">
        <v>505.0</v>
      </c>
      <c r="B508" s="285" t="s">
        <v>11811</v>
      </c>
      <c r="C508" s="285" t="s">
        <v>10103</v>
      </c>
      <c r="D508" s="286" t="s">
        <v>11672</v>
      </c>
      <c r="E508" s="285" t="s">
        <v>6933</v>
      </c>
      <c r="F508" s="285" t="s">
        <v>11812</v>
      </c>
      <c r="G508" s="285" t="s">
        <v>11813</v>
      </c>
      <c r="H508" s="285" t="s">
        <v>10323</v>
      </c>
      <c r="I508" s="285" t="s">
        <v>11814</v>
      </c>
      <c r="J508" s="285" t="s">
        <v>5012</v>
      </c>
      <c r="K508" s="285" t="s">
        <v>5638</v>
      </c>
      <c r="L508" s="285" t="s">
        <v>832</v>
      </c>
      <c r="M508" s="285" t="s">
        <v>9383</v>
      </c>
      <c r="N508" s="287" t="str">
        <f>IFERROR(
    IF(
        AND(
            VLOOKUP(B508, 'รายชื่อพนักงานลาออกพ้นสภาพ'!B:I, 8, FALSE)&lt;&gt;"ยกเลิกลาออก",
            VLOOKUP(B508, 'รายชื่อพนักงานลาออกพ้นสภาพ'!B:I, 7, FALSE)&lt;=TODAY()
        ),
        "ลาออกแล้ว",
        ""
    ),
"")</f>
        <v/>
      </c>
      <c r="O508" s="292" t="str">
        <f t="array" ref="O508">IFERROR(INDEX(PCRent!C:D, MATCH(F508 &amp; " " &amp; G508, PCRent!A:A &amp; " " &amp; PCRent!B:B, 0)), "")</f>
        <v/>
      </c>
      <c r="P508" s="293"/>
      <c r="Q508" s="294" t="str">
        <f t="array" ref="Q508">IFERROR(INDEX(MonitorRent!C:D, MATCH(F508 &amp; " " &amp; G508, MonitorRent!A:A &amp; " " &amp; MonitorRent!B:B, 0)), "")</f>
        <v/>
      </c>
      <c r="R508" s="295"/>
    </row>
    <row r="509">
      <c r="A509" s="284">
        <v>506.0</v>
      </c>
      <c r="B509" s="285" t="s">
        <v>11815</v>
      </c>
      <c r="C509" s="285" t="s">
        <v>10103</v>
      </c>
      <c r="D509" s="286" t="s">
        <v>11816</v>
      </c>
      <c r="E509" s="285" t="s">
        <v>6921</v>
      </c>
      <c r="F509" s="285" t="s">
        <v>11817</v>
      </c>
      <c r="G509" s="285" t="s">
        <v>11818</v>
      </c>
      <c r="H509" s="285" t="s">
        <v>9669</v>
      </c>
      <c r="I509" s="285" t="s">
        <v>11819</v>
      </c>
      <c r="J509" s="285" t="s">
        <v>5012</v>
      </c>
      <c r="K509" s="285" t="s">
        <v>1417</v>
      </c>
      <c r="L509" s="285" t="s">
        <v>10127</v>
      </c>
      <c r="M509" s="285" t="s">
        <v>9383</v>
      </c>
      <c r="N509" s="287" t="str">
        <f>IFERROR(
    IF(
        AND(
            VLOOKUP(B509, 'รายชื่อพนักงานลาออกพ้นสภาพ'!B:I, 8, FALSE)&lt;&gt;"ยกเลิกลาออก",
            VLOOKUP(B509, 'รายชื่อพนักงานลาออกพ้นสภาพ'!B:I, 7, FALSE)&lt;=TODAY()
        ),
        "ลาออกแล้ว",
        ""
    ),
"")</f>
        <v/>
      </c>
      <c r="O509" s="292" t="str">
        <f t="array" ref="O509">IFERROR(INDEX(PCRent!C:D, MATCH(F509 &amp; " " &amp; G509, PCRent!A:A &amp; " " &amp; PCRent!B:B, 0)), "")</f>
        <v/>
      </c>
      <c r="P509" s="293"/>
      <c r="Q509" s="294" t="str">
        <f t="array" ref="Q509">IFERROR(INDEX(MonitorRent!C:D, MATCH(F509 &amp; " " &amp; G509, MonitorRent!A:A &amp; " " &amp; MonitorRent!B:B, 0)), "")</f>
        <v/>
      </c>
      <c r="R509" s="295"/>
    </row>
    <row r="510">
      <c r="A510" s="284">
        <v>507.0</v>
      </c>
      <c r="B510" s="285" t="s">
        <v>11820</v>
      </c>
      <c r="C510" s="285" t="s">
        <v>10103</v>
      </c>
      <c r="D510" s="286" t="s">
        <v>9399</v>
      </c>
      <c r="E510" s="285" t="s">
        <v>6921</v>
      </c>
      <c r="F510" s="285" t="s">
        <v>11821</v>
      </c>
      <c r="G510" s="285" t="s">
        <v>11822</v>
      </c>
      <c r="H510" s="285" t="s">
        <v>11823</v>
      </c>
      <c r="I510" s="285" t="s">
        <v>11824</v>
      </c>
      <c r="J510" s="285" t="s">
        <v>5012</v>
      </c>
      <c r="K510" s="285" t="s">
        <v>1417</v>
      </c>
      <c r="L510" s="285" t="s">
        <v>832</v>
      </c>
      <c r="M510" s="285" t="s">
        <v>9391</v>
      </c>
      <c r="N510" s="287" t="str">
        <f>IFERROR(
    IF(
        AND(
            VLOOKUP(B510, 'รายชื่อพนักงานลาออกพ้นสภาพ'!B:I, 8, FALSE)&lt;&gt;"ยกเลิกลาออก",
            VLOOKUP(B510, 'รายชื่อพนักงานลาออกพ้นสภาพ'!B:I, 7, FALSE)&lt;=TODAY()
        ),
        "ลาออกแล้ว",
        ""
    ),
"")</f>
        <v/>
      </c>
      <c r="O510" s="292" t="str">
        <f t="array" ref="O510">IFERROR(INDEX(PCRent!C:D, MATCH(F510 &amp; " " &amp; G510, PCRent!A:A &amp; " " &amp; PCRent!B:B, 0)), "")</f>
        <v/>
      </c>
      <c r="P510" s="293"/>
      <c r="Q510" s="294" t="str">
        <f t="array" ref="Q510">IFERROR(INDEX(MonitorRent!C:D, MATCH(F510 &amp; " " &amp; G510, MonitorRent!A:A &amp; " " &amp; MonitorRent!B:B, 0)), "")</f>
        <v/>
      </c>
      <c r="R510" s="295"/>
    </row>
    <row r="511">
      <c r="A511" s="284">
        <v>508.0</v>
      </c>
      <c r="B511" s="285" t="s">
        <v>1020</v>
      </c>
      <c r="C511" s="285" t="s">
        <v>10103</v>
      </c>
      <c r="D511" s="286" t="s">
        <v>11104</v>
      </c>
      <c r="E511" s="285" t="s">
        <v>6921</v>
      </c>
      <c r="F511" s="285" t="s">
        <v>11825</v>
      </c>
      <c r="G511" s="285" t="s">
        <v>11826</v>
      </c>
      <c r="H511" s="285" t="s">
        <v>11827</v>
      </c>
      <c r="I511" s="285" t="s">
        <v>1023</v>
      </c>
      <c r="J511" s="285" t="s">
        <v>5224</v>
      </c>
      <c r="K511" s="285" t="s">
        <v>10273</v>
      </c>
      <c r="L511" s="285" t="s">
        <v>10538</v>
      </c>
      <c r="M511" s="285" t="s">
        <v>9383</v>
      </c>
      <c r="N511" s="287" t="str">
        <f>IFERROR(
    IF(
        AND(
            VLOOKUP(B511, 'รายชื่อพนักงานลาออกพ้นสภาพ'!B:I, 8, FALSE)&lt;&gt;"ยกเลิกลาออก",
            VLOOKUP(B511, 'รายชื่อพนักงานลาออกพ้นสภาพ'!B:I, 7, FALSE)&lt;=TODAY()
        ),
        "ลาออกแล้ว",
        ""
    ),
"")</f>
        <v>ลาออกแล้ว</v>
      </c>
      <c r="O511" s="292" t="str">
        <f t="array" ref="O511">IFERROR(INDEX(PCRent!C:D, MATCH(F511 &amp; " " &amp; G511, PCRent!A:A &amp; " " &amp; PCRent!B:B, 0)), "")</f>
        <v/>
      </c>
      <c r="P511" s="293"/>
      <c r="Q511" s="294" t="str">
        <f t="array" ref="Q511">IFERROR(INDEX(MonitorRent!C:D, MATCH(F511 &amp; " " &amp; G511, MonitorRent!A:A &amp; " " &amp; MonitorRent!B:B, 0)), "")</f>
        <v/>
      </c>
      <c r="R511" s="295"/>
    </row>
    <row r="512">
      <c r="A512" s="284">
        <v>509.0</v>
      </c>
      <c r="B512" s="285" t="s">
        <v>584</v>
      </c>
      <c r="C512" s="285" t="s">
        <v>10103</v>
      </c>
      <c r="D512" s="286" t="s">
        <v>10109</v>
      </c>
      <c r="E512" s="285" t="s">
        <v>6933</v>
      </c>
      <c r="F512" s="285" t="s">
        <v>11828</v>
      </c>
      <c r="G512" s="285" t="s">
        <v>11829</v>
      </c>
      <c r="H512" s="285" t="s">
        <v>11830</v>
      </c>
      <c r="I512" s="285" t="s">
        <v>586</v>
      </c>
      <c r="J512" s="285" t="s">
        <v>5012</v>
      </c>
      <c r="K512" s="285" t="s">
        <v>10114</v>
      </c>
      <c r="L512" s="285" t="s">
        <v>10127</v>
      </c>
      <c r="M512" s="285" t="s">
        <v>9383</v>
      </c>
      <c r="N512" s="287" t="str">
        <f>IFERROR(
    IF(
        AND(
            VLOOKUP(B512, 'รายชื่อพนักงานลาออกพ้นสภาพ'!B:I, 8, FALSE)&lt;&gt;"ยกเลิกลาออก",
            VLOOKUP(B512, 'รายชื่อพนักงานลาออกพ้นสภาพ'!B:I, 7, FALSE)&lt;=TODAY()
        ),
        "ลาออกแล้ว",
        ""
    ),
"")</f>
        <v>ลาออกแล้ว</v>
      </c>
      <c r="O512" s="292" t="str">
        <f t="array" ref="O512">IFERROR(INDEX(PCRent!C:D, MATCH(F512 &amp; " " &amp; G512, PCRent!A:A &amp; " " &amp; PCRent!B:B, 0)), "")</f>
        <v/>
      </c>
      <c r="P512" s="293"/>
      <c r="Q512" s="294" t="str">
        <f t="array" ref="Q512">IFERROR(INDEX(MonitorRent!C:D, MATCH(F512 &amp; " " &amp; G512, MonitorRent!A:A &amp; " " &amp; MonitorRent!B:B, 0)), "")</f>
        <v/>
      </c>
      <c r="R512" s="295"/>
    </row>
    <row r="513">
      <c r="A513" s="284">
        <v>510.0</v>
      </c>
      <c r="B513" s="285" t="s">
        <v>11831</v>
      </c>
      <c r="C513" s="285" t="s">
        <v>10103</v>
      </c>
      <c r="D513" s="286" t="s">
        <v>10923</v>
      </c>
      <c r="E513" s="285" t="s">
        <v>6933</v>
      </c>
      <c r="F513" s="285" t="s">
        <v>11828</v>
      </c>
      <c r="G513" s="285" t="s">
        <v>11832</v>
      </c>
      <c r="H513" s="285" t="s">
        <v>11833</v>
      </c>
      <c r="I513" s="285" t="s">
        <v>11834</v>
      </c>
      <c r="J513" s="285" t="s">
        <v>5012</v>
      </c>
      <c r="K513" s="285" t="s">
        <v>10114</v>
      </c>
      <c r="L513" s="285" t="s">
        <v>832</v>
      </c>
      <c r="M513" s="285" t="s">
        <v>9391</v>
      </c>
      <c r="N513" s="287" t="str">
        <f>IFERROR(
    IF(
        AND(
            VLOOKUP(B513, 'รายชื่อพนักงานลาออกพ้นสภาพ'!B:I, 8, FALSE)&lt;&gt;"ยกเลิกลาออก",
            VLOOKUP(B513, 'รายชื่อพนักงานลาออกพ้นสภาพ'!B:I, 7, FALSE)&lt;=TODAY()
        ),
        "ลาออกแล้ว",
        ""
    ),
"")</f>
        <v/>
      </c>
      <c r="O513" s="292" t="str">
        <f t="array" ref="O513">IFERROR(INDEX(PCRent!C:D, MATCH(F513 &amp; " " &amp; G513, PCRent!A:A &amp; " " &amp; PCRent!B:B, 0)), "")</f>
        <v/>
      </c>
      <c r="P513" s="293"/>
      <c r="Q513" s="294" t="str">
        <f t="array" ref="Q513">IFERROR(INDEX(MonitorRent!C:D, MATCH(F513 &amp; " " &amp; G513, MonitorRent!A:A &amp; " " &amp; MonitorRent!B:B, 0)), "")</f>
        <v/>
      </c>
      <c r="R513" s="295"/>
    </row>
    <row r="514">
      <c r="A514" s="284">
        <v>511.0</v>
      </c>
      <c r="B514" s="285" t="s">
        <v>11835</v>
      </c>
      <c r="C514" s="285" t="s">
        <v>10103</v>
      </c>
      <c r="D514" s="286" t="s">
        <v>10180</v>
      </c>
      <c r="E514" s="285" t="s">
        <v>6921</v>
      </c>
      <c r="F514" s="285" t="s">
        <v>11836</v>
      </c>
      <c r="G514" s="285" t="s">
        <v>11837</v>
      </c>
      <c r="H514" s="285" t="s">
        <v>11838</v>
      </c>
      <c r="I514" s="285" t="s">
        <v>11839</v>
      </c>
      <c r="J514" s="285" t="s">
        <v>5012</v>
      </c>
      <c r="K514" s="285" t="s">
        <v>1492</v>
      </c>
      <c r="L514" s="285" t="s">
        <v>10916</v>
      </c>
      <c r="M514" s="285" t="s">
        <v>9383</v>
      </c>
      <c r="N514" s="287" t="str">
        <f>IFERROR(
    IF(
        AND(
            VLOOKUP(B514, 'รายชื่อพนักงานลาออกพ้นสภาพ'!B:I, 8, FALSE)&lt;&gt;"ยกเลิกลาออก",
            VLOOKUP(B514, 'รายชื่อพนักงานลาออกพ้นสภาพ'!B:I, 7, FALSE)&lt;=TODAY()
        ),
        "ลาออกแล้ว",
        ""
    ),
"")</f>
        <v/>
      </c>
      <c r="O514" s="292" t="str">
        <f t="array" ref="O514">IFERROR(INDEX(PCRent!C:D, MATCH(F514 &amp; " " &amp; G514, PCRent!A:A &amp; " " &amp; PCRent!B:B, 0)), "")</f>
        <v/>
      </c>
      <c r="P514" s="293"/>
      <c r="Q514" s="294" t="str">
        <f t="array" ref="Q514">IFERROR(INDEX(MonitorRent!C:D, MATCH(F514 &amp; " " &amp; G514, MonitorRent!A:A &amp; " " &amp; MonitorRent!B:B, 0)), "")</f>
        <v/>
      </c>
      <c r="R514" s="295"/>
    </row>
    <row r="515">
      <c r="A515" s="284">
        <v>512.0</v>
      </c>
      <c r="B515" s="285" t="s">
        <v>11840</v>
      </c>
      <c r="C515" s="285" t="s">
        <v>10103</v>
      </c>
      <c r="D515" s="286" t="s">
        <v>10104</v>
      </c>
      <c r="E515" s="285" t="s">
        <v>6921</v>
      </c>
      <c r="F515" s="285" t="s">
        <v>11836</v>
      </c>
      <c r="G515" s="285" t="s">
        <v>11841</v>
      </c>
      <c r="H515" s="285" t="s">
        <v>11842</v>
      </c>
      <c r="I515" s="285" t="s">
        <v>11843</v>
      </c>
      <c r="J515" s="285" t="s">
        <v>5012</v>
      </c>
      <c r="K515" s="285" t="s">
        <v>1417</v>
      </c>
      <c r="L515" s="285" t="s">
        <v>832</v>
      </c>
      <c r="M515" s="285" t="s">
        <v>9383</v>
      </c>
      <c r="N515" s="287" t="str">
        <f>IFERROR(
    IF(
        AND(
            VLOOKUP(B515, 'รายชื่อพนักงานลาออกพ้นสภาพ'!B:I, 8, FALSE)&lt;&gt;"ยกเลิกลาออก",
            VLOOKUP(B515, 'รายชื่อพนักงานลาออกพ้นสภาพ'!B:I, 7, FALSE)&lt;=TODAY()
        ),
        "ลาออกแล้ว",
        ""
    ),
"")</f>
        <v/>
      </c>
      <c r="O515" s="292" t="str">
        <f t="array" ref="O515">IFERROR(INDEX(PCRent!C:D, MATCH(F515 &amp; " " &amp; G515, PCRent!A:A &amp; " " &amp; PCRent!B:B, 0)), "")</f>
        <v/>
      </c>
      <c r="P515" s="293"/>
      <c r="Q515" s="294" t="str">
        <f t="array" ref="Q515">IFERROR(INDEX(MonitorRent!C:D, MATCH(F515 &amp; " " &amp; G515, MonitorRent!A:A &amp; " " &amp; MonitorRent!B:B, 0)), "")</f>
        <v/>
      </c>
      <c r="R515" s="295"/>
    </row>
    <row r="516">
      <c r="A516" s="284">
        <v>513.0</v>
      </c>
      <c r="B516" s="285" t="s">
        <v>187</v>
      </c>
      <c r="C516" s="285" t="s">
        <v>10103</v>
      </c>
      <c r="D516" s="286" t="s">
        <v>10533</v>
      </c>
      <c r="E516" s="285" t="s">
        <v>6921</v>
      </c>
      <c r="F516" s="285" t="s">
        <v>11844</v>
      </c>
      <c r="G516" s="285" t="s">
        <v>11845</v>
      </c>
      <c r="H516" s="285" t="s">
        <v>11846</v>
      </c>
      <c r="I516" s="285" t="s">
        <v>190</v>
      </c>
      <c r="J516" s="285" t="s">
        <v>5012</v>
      </c>
      <c r="K516" s="285" t="s">
        <v>1606</v>
      </c>
      <c r="L516" s="285" t="s">
        <v>832</v>
      </c>
      <c r="M516" s="285" t="s">
        <v>9383</v>
      </c>
      <c r="N516" s="287" t="str">
        <f>IFERROR(
    IF(
        AND(
            VLOOKUP(B516, 'รายชื่อพนักงานลาออกพ้นสภาพ'!B:I, 8, FALSE)&lt;&gt;"ยกเลิกลาออก",
            VLOOKUP(B516, 'รายชื่อพนักงานลาออกพ้นสภาพ'!B:I, 7, FALSE)&lt;=TODAY()
        ),
        "ลาออกแล้ว",
        ""
    ),
"")</f>
        <v>ลาออกแล้ว</v>
      </c>
      <c r="O516" s="292" t="str">
        <f t="array" ref="O516">IFERROR(INDEX(PCRent!C:D, MATCH(F516 &amp; " " &amp; G516, PCRent!A:A &amp; " " &amp; PCRent!B:B, 0)), "")</f>
        <v/>
      </c>
      <c r="P516" s="293"/>
      <c r="Q516" s="294" t="str">
        <f t="array" ref="Q516">IFERROR(INDEX(MonitorRent!C:D, MATCH(F516 &amp; " " &amp; G516, MonitorRent!A:A &amp; " " &amp; MonitorRent!B:B, 0)), "")</f>
        <v/>
      </c>
      <c r="R516" s="295"/>
    </row>
    <row r="517">
      <c r="A517" s="284">
        <v>514.0</v>
      </c>
      <c r="B517" s="285" t="s">
        <v>11847</v>
      </c>
      <c r="C517" s="285" t="s">
        <v>10103</v>
      </c>
      <c r="D517" s="286" t="s">
        <v>9699</v>
      </c>
      <c r="E517" s="285" t="s">
        <v>6921</v>
      </c>
      <c r="F517" s="285" t="s">
        <v>11848</v>
      </c>
      <c r="G517" s="285" t="s">
        <v>11849</v>
      </c>
      <c r="H517" s="285" t="s">
        <v>11850</v>
      </c>
      <c r="I517" s="285" t="s">
        <v>11851</v>
      </c>
      <c r="J517" s="285" t="s">
        <v>5012</v>
      </c>
      <c r="K517" s="285" t="s">
        <v>1492</v>
      </c>
      <c r="L517" s="285" t="s">
        <v>1258</v>
      </c>
      <c r="M517" s="285" t="s">
        <v>9383</v>
      </c>
      <c r="N517" s="287" t="str">
        <f>IFERROR(
    IF(
        AND(
            VLOOKUP(B517, 'รายชื่อพนักงานลาออกพ้นสภาพ'!B:I, 8, FALSE)&lt;&gt;"ยกเลิกลาออก",
            VLOOKUP(B517, 'รายชื่อพนักงานลาออกพ้นสภาพ'!B:I, 7, FALSE)&lt;=TODAY()
        ),
        "ลาออกแล้ว",
        ""
    ),
"")</f>
        <v/>
      </c>
      <c r="O517" s="292" t="str">
        <f t="array" ref="O517">IFERROR(INDEX(PCRent!C:D, MATCH(F517 &amp; " " &amp; G517, PCRent!A:A &amp; " " &amp; PCRent!B:B, 0)), "")</f>
        <v/>
      </c>
      <c r="P517" s="293"/>
      <c r="Q517" s="294" t="str">
        <f t="array" ref="Q517">IFERROR(INDEX(MonitorRent!C:D, MATCH(F517 &amp; " " &amp; G517, MonitorRent!A:A &amp; " " &amp; MonitorRent!B:B, 0)), "")</f>
        <v/>
      </c>
      <c r="R517" s="295"/>
    </row>
    <row r="518">
      <c r="A518" s="284">
        <v>515.0</v>
      </c>
      <c r="B518" s="285" t="s">
        <v>184</v>
      </c>
      <c r="C518" s="285" t="s">
        <v>10103</v>
      </c>
      <c r="D518" s="286" t="s">
        <v>9718</v>
      </c>
      <c r="E518" s="285" t="s">
        <v>6933</v>
      </c>
      <c r="F518" s="285" t="s">
        <v>11852</v>
      </c>
      <c r="G518" s="285" t="s">
        <v>11853</v>
      </c>
      <c r="H518" s="285" t="s">
        <v>11854</v>
      </c>
      <c r="I518" s="285" t="s">
        <v>186</v>
      </c>
      <c r="J518" s="285" t="s">
        <v>5012</v>
      </c>
      <c r="K518" s="285" t="s">
        <v>10114</v>
      </c>
      <c r="L518" s="285" t="s">
        <v>10127</v>
      </c>
      <c r="M518" s="285" t="s">
        <v>9391</v>
      </c>
      <c r="N518" s="287" t="str">
        <f>IFERROR(
    IF(
        AND(
            VLOOKUP(B518, 'รายชื่อพนักงานลาออกพ้นสภาพ'!B:I, 8, FALSE)&lt;&gt;"ยกเลิกลาออก",
            VLOOKUP(B518, 'รายชื่อพนักงานลาออกพ้นสภาพ'!B:I, 7, FALSE)&lt;=TODAY()
        ),
        "ลาออกแล้ว",
        ""
    ),
"")</f>
        <v>ลาออกแล้ว</v>
      </c>
      <c r="O518" s="292" t="str">
        <f t="array" ref="O518">IFERROR(INDEX(PCRent!C:D, MATCH(F518 &amp; " " &amp; G518, PCRent!A:A &amp; " " &amp; PCRent!B:B, 0)), "")</f>
        <v/>
      </c>
      <c r="P518" s="293"/>
      <c r="Q518" s="294" t="str">
        <f t="array" ref="Q518">IFERROR(INDEX(MonitorRent!C:D, MATCH(F518 &amp; " " &amp; G518, MonitorRent!A:A &amp; " " &amp; MonitorRent!B:B, 0)), "")</f>
        <v/>
      </c>
      <c r="R518" s="295"/>
    </row>
    <row r="519">
      <c r="A519" s="284">
        <v>516.0</v>
      </c>
      <c r="B519" s="285" t="s">
        <v>11855</v>
      </c>
      <c r="C519" s="285" t="s">
        <v>10103</v>
      </c>
      <c r="D519" s="286" t="s">
        <v>9547</v>
      </c>
      <c r="E519" s="285" t="s">
        <v>6933</v>
      </c>
      <c r="F519" s="285" t="s">
        <v>11856</v>
      </c>
      <c r="G519" s="285" t="s">
        <v>11857</v>
      </c>
      <c r="H519" s="285" t="s">
        <v>10249</v>
      </c>
      <c r="I519" s="285" t="s">
        <v>11858</v>
      </c>
      <c r="J519" s="285" t="s">
        <v>5012</v>
      </c>
      <c r="K519" s="285" t="s">
        <v>10114</v>
      </c>
      <c r="L519" s="285" t="s">
        <v>10127</v>
      </c>
      <c r="M519" s="285" t="s">
        <v>9391</v>
      </c>
      <c r="N519" s="287" t="str">
        <f>IFERROR(
    IF(
        AND(
            VLOOKUP(B519, 'รายชื่อพนักงานลาออกพ้นสภาพ'!B:I, 8, FALSE)&lt;&gt;"ยกเลิกลาออก",
            VLOOKUP(B519, 'รายชื่อพนักงานลาออกพ้นสภาพ'!B:I, 7, FALSE)&lt;=TODAY()
        ),
        "ลาออกแล้ว",
        ""
    ),
"")</f>
        <v/>
      </c>
      <c r="O519" s="292" t="str">
        <f t="array" ref="O519">IFERROR(INDEX(PCRent!C:D, MATCH(F519 &amp; " " &amp; G519, PCRent!A:A &amp; " " &amp; PCRent!B:B, 0)), "")</f>
        <v/>
      </c>
      <c r="P519" s="293"/>
      <c r="Q519" s="294" t="str">
        <f t="array" ref="Q519">IFERROR(INDEX(MonitorRent!C:D, MATCH(F519 &amp; " " &amp; G519, MonitorRent!A:A &amp; " " &amp; MonitorRent!B:B, 0)), "")</f>
        <v/>
      </c>
      <c r="R519" s="295"/>
    </row>
    <row r="520">
      <c r="A520" s="284">
        <v>517.0</v>
      </c>
      <c r="B520" s="285" t="s">
        <v>11859</v>
      </c>
      <c r="C520" s="285" t="s">
        <v>10103</v>
      </c>
      <c r="D520" s="286" t="s">
        <v>10996</v>
      </c>
      <c r="E520" s="285" t="s">
        <v>7097</v>
      </c>
      <c r="F520" s="285" t="s">
        <v>11856</v>
      </c>
      <c r="G520" s="285" t="s">
        <v>10696</v>
      </c>
      <c r="H520" s="285" t="s">
        <v>10920</v>
      </c>
      <c r="I520" s="285" t="s">
        <v>11860</v>
      </c>
      <c r="J520" s="285" t="s">
        <v>5012</v>
      </c>
      <c r="K520" s="285" t="s">
        <v>10114</v>
      </c>
      <c r="L520" s="285" t="s">
        <v>832</v>
      </c>
      <c r="M520" s="285" t="s">
        <v>9391</v>
      </c>
      <c r="N520" s="287" t="str">
        <f>IFERROR(
    IF(
        AND(
            VLOOKUP(B520, 'รายชื่อพนักงานลาออกพ้นสภาพ'!B:I, 8, FALSE)&lt;&gt;"ยกเลิกลาออก",
            VLOOKUP(B520, 'รายชื่อพนักงานลาออกพ้นสภาพ'!B:I, 7, FALSE)&lt;=TODAY()
        ),
        "ลาออกแล้ว",
        ""
    ),
"")</f>
        <v/>
      </c>
      <c r="O520" s="292" t="str">
        <f t="array" ref="O520">IFERROR(INDEX(PCRent!C:D, MATCH(F520 &amp; " " &amp; G520, PCRent!A:A &amp; " " &amp; PCRent!B:B, 0)), "")</f>
        <v/>
      </c>
      <c r="P520" s="293"/>
      <c r="Q520" s="294" t="str">
        <f t="array" ref="Q520">IFERROR(INDEX(MonitorRent!C:D, MATCH(F520 &amp; " " &amp; G520, MonitorRent!A:A &amp; " " &amp; MonitorRent!B:B, 0)), "")</f>
        <v/>
      </c>
      <c r="R520" s="295"/>
    </row>
    <row r="521">
      <c r="A521" s="284">
        <v>518.0</v>
      </c>
      <c r="B521" s="285" t="s">
        <v>120</v>
      </c>
      <c r="C521" s="285" t="s">
        <v>10103</v>
      </c>
      <c r="D521" s="286" t="s">
        <v>10138</v>
      </c>
      <c r="E521" s="285" t="s">
        <v>6933</v>
      </c>
      <c r="F521" s="285" t="s">
        <v>11861</v>
      </c>
      <c r="G521" s="285" t="s">
        <v>11862</v>
      </c>
      <c r="H521" s="285" t="s">
        <v>10770</v>
      </c>
      <c r="I521" s="285" t="s">
        <v>124</v>
      </c>
      <c r="J521" s="285" t="s">
        <v>5012</v>
      </c>
      <c r="K521" s="285" t="s">
        <v>10114</v>
      </c>
      <c r="L521" s="285" t="s">
        <v>832</v>
      </c>
      <c r="M521" s="285" t="s">
        <v>9383</v>
      </c>
      <c r="N521" s="287" t="str">
        <f>IFERROR(
    IF(
        AND(
            VLOOKUP(B521, 'รายชื่อพนักงานลาออกพ้นสภาพ'!B:I, 8, FALSE)&lt;&gt;"ยกเลิกลาออก",
            VLOOKUP(B521, 'รายชื่อพนักงานลาออกพ้นสภาพ'!B:I, 7, FALSE)&lt;=TODAY()
        ),
        "ลาออกแล้ว",
        ""
    ),
"")</f>
        <v>ลาออกแล้ว</v>
      </c>
      <c r="O521" s="292" t="str">
        <f t="array" ref="O521">IFERROR(INDEX(PCRent!C:D, MATCH(F521 &amp; " " &amp; G521, PCRent!A:A &amp; " " &amp; PCRent!B:B, 0)), "")</f>
        <v/>
      </c>
      <c r="P521" s="293"/>
      <c r="Q521" s="294" t="str">
        <f t="array" ref="Q521">IFERROR(INDEX(MonitorRent!C:D, MATCH(F521 &amp; " " &amp; G521, MonitorRent!A:A &amp; " " &amp; MonitorRent!B:B, 0)), "")</f>
        <v/>
      </c>
      <c r="R521" s="295"/>
    </row>
    <row r="522">
      <c r="A522" s="284">
        <v>519.0</v>
      </c>
      <c r="B522" s="285" t="s">
        <v>767</v>
      </c>
      <c r="C522" s="285" t="s">
        <v>10103</v>
      </c>
      <c r="D522" s="286" t="s">
        <v>11863</v>
      </c>
      <c r="E522" s="285" t="s">
        <v>6933</v>
      </c>
      <c r="F522" s="285" t="s">
        <v>11864</v>
      </c>
      <c r="G522" s="285" t="s">
        <v>11865</v>
      </c>
      <c r="H522" s="285" t="s">
        <v>11866</v>
      </c>
      <c r="I522" s="285" t="s">
        <v>769</v>
      </c>
      <c r="J522" s="285" t="s">
        <v>5012</v>
      </c>
      <c r="K522" s="285" t="s">
        <v>1412</v>
      </c>
      <c r="L522" s="285" t="s">
        <v>10127</v>
      </c>
      <c r="M522" s="285" t="s">
        <v>9383</v>
      </c>
      <c r="N522" s="287" t="str">
        <f>IFERROR(
    IF(
        AND(
            VLOOKUP(B522, 'รายชื่อพนักงานลาออกพ้นสภาพ'!B:I, 8, FALSE)&lt;&gt;"ยกเลิกลาออก",
            VLOOKUP(B522, 'รายชื่อพนักงานลาออกพ้นสภาพ'!B:I, 7, FALSE)&lt;=TODAY()
        ),
        "ลาออกแล้ว",
        ""
    ),
"")</f>
        <v>ลาออกแล้ว</v>
      </c>
      <c r="O522" s="292" t="str">
        <f t="array" ref="O522">IFERROR(INDEX(PCRent!C:D, MATCH(F522 &amp; " " &amp; G522, PCRent!A:A &amp; " " &amp; PCRent!B:B, 0)), "")</f>
        <v/>
      </c>
      <c r="P522" s="293"/>
      <c r="Q522" s="294" t="str">
        <f t="array" ref="Q522">IFERROR(INDEX(MonitorRent!C:D, MATCH(F522 &amp; " " &amp; G522, MonitorRent!A:A &amp; " " &amp; MonitorRent!B:B, 0)), "")</f>
        <v/>
      </c>
      <c r="R522" s="295"/>
    </row>
    <row r="523">
      <c r="A523" s="284">
        <v>520.0</v>
      </c>
      <c r="B523" s="285" t="s">
        <v>11867</v>
      </c>
      <c r="C523" s="285" t="s">
        <v>10103</v>
      </c>
      <c r="D523" s="286" t="s">
        <v>9415</v>
      </c>
      <c r="E523" s="285" t="s">
        <v>6921</v>
      </c>
      <c r="F523" s="285" t="s">
        <v>11868</v>
      </c>
      <c r="G523" s="285" t="s">
        <v>11869</v>
      </c>
      <c r="H523" s="285" t="s">
        <v>11870</v>
      </c>
      <c r="I523" s="285" t="s">
        <v>11871</v>
      </c>
      <c r="J523" s="285" t="s">
        <v>5012</v>
      </c>
      <c r="K523" s="285" t="s">
        <v>1606</v>
      </c>
      <c r="L523" s="285" t="s">
        <v>832</v>
      </c>
      <c r="M523" s="285" t="s">
        <v>9383</v>
      </c>
      <c r="N523" s="287" t="str">
        <f>IFERROR(
    IF(
        AND(
            VLOOKUP(B523, 'รายชื่อพนักงานลาออกพ้นสภาพ'!B:I, 8, FALSE)&lt;&gt;"ยกเลิกลาออก",
            VLOOKUP(B523, 'รายชื่อพนักงานลาออกพ้นสภาพ'!B:I, 7, FALSE)&lt;=TODAY()
        ),
        "ลาออกแล้ว",
        ""
    ),
"")</f>
        <v/>
      </c>
      <c r="O523" s="292" t="str">
        <f t="array" ref="O523">IFERROR(INDEX(PCRent!C:D, MATCH(F523 &amp; " " &amp; G523, PCRent!A:A &amp; " " &amp; PCRent!B:B, 0)), "")</f>
        <v/>
      </c>
      <c r="P523" s="293"/>
      <c r="Q523" s="294" t="str">
        <f t="array" ref="Q523">IFERROR(INDEX(MonitorRent!C:D, MATCH(F523 &amp; " " &amp; G523, MonitorRent!A:A &amp; " " &amp; MonitorRent!B:B, 0)), "")</f>
        <v/>
      </c>
      <c r="R523" s="295"/>
    </row>
    <row r="524">
      <c r="A524" s="284">
        <v>521.0</v>
      </c>
      <c r="B524" s="285" t="s">
        <v>11872</v>
      </c>
      <c r="C524" s="285" t="s">
        <v>10103</v>
      </c>
      <c r="D524" s="286" t="s">
        <v>10613</v>
      </c>
      <c r="E524" s="285" t="s">
        <v>6933</v>
      </c>
      <c r="F524" s="285" t="s">
        <v>11873</v>
      </c>
      <c r="G524" s="285" t="s">
        <v>11874</v>
      </c>
      <c r="H524" s="285" t="s">
        <v>11782</v>
      </c>
      <c r="I524" s="285" t="s">
        <v>11875</v>
      </c>
      <c r="J524" s="285" t="s">
        <v>5012</v>
      </c>
      <c r="K524" s="285" t="s">
        <v>5638</v>
      </c>
      <c r="L524" s="285" t="s">
        <v>832</v>
      </c>
      <c r="M524" s="285" t="s">
        <v>9383</v>
      </c>
      <c r="N524" s="287" t="str">
        <f>IFERROR(
    IF(
        AND(
            VLOOKUP(B524, 'รายชื่อพนักงานลาออกพ้นสภาพ'!B:I, 8, FALSE)&lt;&gt;"ยกเลิกลาออก",
            VLOOKUP(B524, 'รายชื่อพนักงานลาออกพ้นสภาพ'!B:I, 7, FALSE)&lt;=TODAY()
        ),
        "ลาออกแล้ว",
        ""
    ),
"")</f>
        <v/>
      </c>
      <c r="O524" s="292" t="str">
        <f t="array" ref="O524">IFERROR(INDEX(PCRent!C:D, MATCH(F524 &amp; " " &amp; G524, PCRent!A:A &amp; " " &amp; PCRent!B:B, 0)), "")</f>
        <v/>
      </c>
      <c r="P524" s="293"/>
      <c r="Q524" s="294" t="str">
        <f t="array" ref="Q524">IFERROR(INDEX(MonitorRent!C:D, MATCH(F524 &amp; " " &amp; G524, MonitorRent!A:A &amp; " " &amp; MonitorRent!B:B, 0)), "")</f>
        <v/>
      </c>
      <c r="R524" s="295"/>
    </row>
    <row r="525">
      <c r="A525" s="284">
        <v>522.0</v>
      </c>
      <c r="B525" s="285" t="s">
        <v>11876</v>
      </c>
      <c r="C525" s="285" t="s">
        <v>10103</v>
      </c>
      <c r="D525" s="286" t="s">
        <v>11877</v>
      </c>
      <c r="E525" s="285" t="s">
        <v>6933</v>
      </c>
      <c r="F525" s="285" t="s">
        <v>11878</v>
      </c>
      <c r="G525" s="285" t="s">
        <v>11879</v>
      </c>
      <c r="H525" s="285" t="s">
        <v>11880</v>
      </c>
      <c r="I525" s="285" t="s">
        <v>11881</v>
      </c>
      <c r="J525" s="285" t="s">
        <v>5012</v>
      </c>
      <c r="K525" s="285" t="s">
        <v>11882</v>
      </c>
      <c r="L525" s="285" t="s">
        <v>10127</v>
      </c>
      <c r="M525" s="285" t="s">
        <v>9383</v>
      </c>
      <c r="N525" s="287" t="str">
        <f>IFERROR(
    IF(
        AND(
            VLOOKUP(B525, 'รายชื่อพนักงานลาออกพ้นสภาพ'!B:I, 8, FALSE)&lt;&gt;"ยกเลิกลาออก",
            VLOOKUP(B525, 'รายชื่อพนักงานลาออกพ้นสภาพ'!B:I, 7, FALSE)&lt;=TODAY()
        ),
        "ลาออกแล้ว",
        ""
    ),
"")</f>
        <v/>
      </c>
      <c r="O525" s="292" t="str">
        <f t="array" ref="O525">IFERROR(INDEX(PCRent!C:D, MATCH(F525 &amp; " " &amp; G525, PCRent!A:A &amp; " " &amp; PCRent!B:B, 0)), "")</f>
        <v/>
      </c>
      <c r="P525" s="293"/>
      <c r="Q525" s="294" t="str">
        <f t="array" ref="Q525">IFERROR(INDEX(MonitorRent!C:D, MATCH(F525 &amp; " " &amp; G525, MonitorRent!A:A &amp; " " &amp; MonitorRent!B:B, 0)), "")</f>
        <v/>
      </c>
      <c r="R525" s="295"/>
    </row>
    <row r="526">
      <c r="A526" s="284">
        <v>523.0</v>
      </c>
      <c r="B526" s="285" t="s">
        <v>11883</v>
      </c>
      <c r="C526" s="285" t="s">
        <v>10103</v>
      </c>
      <c r="D526" s="286" t="s">
        <v>10063</v>
      </c>
      <c r="E526" s="285" t="s">
        <v>6921</v>
      </c>
      <c r="F526" s="285" t="s">
        <v>11884</v>
      </c>
      <c r="G526" s="285" t="s">
        <v>11885</v>
      </c>
      <c r="H526" s="285" t="s">
        <v>11886</v>
      </c>
      <c r="I526" s="285" t="s">
        <v>11887</v>
      </c>
      <c r="J526" s="285" t="s">
        <v>5012</v>
      </c>
      <c r="K526" s="285" t="s">
        <v>1417</v>
      </c>
      <c r="L526" s="285" t="s">
        <v>832</v>
      </c>
      <c r="M526" s="285" t="s">
        <v>9391</v>
      </c>
      <c r="N526" s="287" t="str">
        <f>IFERROR(
    IF(
        AND(
            VLOOKUP(B526, 'รายชื่อพนักงานลาออกพ้นสภาพ'!B:I, 8, FALSE)&lt;&gt;"ยกเลิกลาออก",
            VLOOKUP(B526, 'รายชื่อพนักงานลาออกพ้นสภาพ'!B:I, 7, FALSE)&lt;=TODAY()
        ),
        "ลาออกแล้ว",
        ""
    ),
"")</f>
        <v/>
      </c>
      <c r="O526" s="292" t="str">
        <f t="array" ref="O526">IFERROR(INDEX(PCRent!C:D, MATCH(F526 &amp; " " &amp; G526, PCRent!A:A &amp; " " &amp; PCRent!B:B, 0)), "")</f>
        <v/>
      </c>
      <c r="P526" s="293"/>
      <c r="Q526" s="294" t="str">
        <f t="array" ref="Q526">IFERROR(INDEX(MonitorRent!C:D, MATCH(F526 &amp; " " &amp; G526, MonitorRent!A:A &amp; " " &amp; MonitorRent!B:B, 0)), "")</f>
        <v/>
      </c>
      <c r="R526" s="295"/>
    </row>
    <row r="527">
      <c r="A527" s="284">
        <v>524.0</v>
      </c>
      <c r="B527" s="285" t="s">
        <v>11888</v>
      </c>
      <c r="C527" s="285" t="s">
        <v>10103</v>
      </c>
      <c r="D527" s="286" t="s">
        <v>10996</v>
      </c>
      <c r="E527" s="285" t="s">
        <v>6933</v>
      </c>
      <c r="F527" s="285" t="s">
        <v>11889</v>
      </c>
      <c r="G527" s="285" t="s">
        <v>11890</v>
      </c>
      <c r="H527" s="285" t="s">
        <v>9579</v>
      </c>
      <c r="I527" s="285" t="s">
        <v>11891</v>
      </c>
      <c r="J527" s="285" t="s">
        <v>5012</v>
      </c>
      <c r="K527" s="285" t="s">
        <v>10114</v>
      </c>
      <c r="L527" s="285" t="s">
        <v>10127</v>
      </c>
      <c r="M527" s="285" t="s">
        <v>9391</v>
      </c>
      <c r="N527" s="287" t="str">
        <f>IFERROR(
    IF(
        AND(
            VLOOKUP(B527, 'รายชื่อพนักงานลาออกพ้นสภาพ'!B:I, 8, FALSE)&lt;&gt;"ยกเลิกลาออก",
            VLOOKUP(B527, 'รายชื่อพนักงานลาออกพ้นสภาพ'!B:I, 7, FALSE)&lt;=TODAY()
        ),
        "ลาออกแล้ว",
        ""
    ),
"")</f>
        <v/>
      </c>
      <c r="O527" s="292" t="str">
        <f t="array" ref="O527">IFERROR(INDEX(PCRent!C:D, MATCH(F527 &amp; " " &amp; G527, PCRent!A:A &amp; " " &amp; PCRent!B:B, 0)), "")</f>
        <v/>
      </c>
      <c r="P527" s="293"/>
      <c r="Q527" s="294" t="str">
        <f t="array" ref="Q527">IFERROR(INDEX(MonitorRent!C:D, MATCH(F527 &amp; " " &amp; G527, MonitorRent!A:A &amp; " " &amp; MonitorRent!B:B, 0)), "")</f>
        <v/>
      </c>
      <c r="R527" s="295"/>
    </row>
    <row r="528">
      <c r="A528" s="284">
        <v>525.0</v>
      </c>
      <c r="B528" s="285" t="s">
        <v>11892</v>
      </c>
      <c r="C528" s="285" t="s">
        <v>10103</v>
      </c>
      <c r="D528" s="286" t="s">
        <v>11893</v>
      </c>
      <c r="E528" s="285" t="s">
        <v>6921</v>
      </c>
      <c r="F528" s="285" t="s">
        <v>11894</v>
      </c>
      <c r="G528" s="285" t="s">
        <v>11895</v>
      </c>
      <c r="H528" s="285" t="s">
        <v>11896</v>
      </c>
      <c r="I528" s="285" t="s">
        <v>11897</v>
      </c>
      <c r="J528" s="285" t="s">
        <v>5012</v>
      </c>
      <c r="K528" s="285" t="s">
        <v>1606</v>
      </c>
      <c r="L528" s="285" t="s">
        <v>832</v>
      </c>
      <c r="M528" s="285" t="s">
        <v>9391</v>
      </c>
      <c r="N528" s="287" t="str">
        <f>IFERROR(
    IF(
        AND(
            VLOOKUP(B528, 'รายชื่อพนักงานลาออกพ้นสภาพ'!B:I, 8, FALSE)&lt;&gt;"ยกเลิกลาออก",
            VLOOKUP(B528, 'รายชื่อพนักงานลาออกพ้นสภาพ'!B:I, 7, FALSE)&lt;=TODAY()
        ),
        "ลาออกแล้ว",
        ""
    ),
"")</f>
        <v/>
      </c>
      <c r="O528" s="292" t="str">
        <f t="array" ref="O528">IFERROR(INDEX(PCRent!C:D, MATCH(F528 &amp; " " &amp; G528, PCRent!A:A &amp; " " &amp; PCRent!B:B, 0)), "")</f>
        <v/>
      </c>
      <c r="P528" s="293"/>
      <c r="Q528" s="294" t="str">
        <f t="array" ref="Q528">IFERROR(INDEX(MonitorRent!C:D, MATCH(F528 &amp; " " &amp; G528, MonitorRent!A:A &amp; " " &amp; MonitorRent!B:B, 0)), "")</f>
        <v/>
      </c>
      <c r="R528" s="295"/>
    </row>
    <row r="529">
      <c r="A529" s="284">
        <v>526.0</v>
      </c>
      <c r="B529" s="285" t="s">
        <v>11898</v>
      </c>
      <c r="C529" s="285" t="s">
        <v>10103</v>
      </c>
      <c r="D529" s="286" t="s">
        <v>10863</v>
      </c>
      <c r="E529" s="285" t="s">
        <v>6933</v>
      </c>
      <c r="F529" s="285" t="s">
        <v>11899</v>
      </c>
      <c r="G529" s="285" t="s">
        <v>11793</v>
      </c>
      <c r="H529" s="285" t="s">
        <v>11900</v>
      </c>
      <c r="I529" s="285" t="s">
        <v>11901</v>
      </c>
      <c r="J529" s="285" t="s">
        <v>5224</v>
      </c>
      <c r="K529" s="285" t="s">
        <v>10028</v>
      </c>
      <c r="L529" s="285" t="s">
        <v>10538</v>
      </c>
      <c r="M529" s="285" t="s">
        <v>9391</v>
      </c>
      <c r="N529" s="287" t="str">
        <f>IFERROR(
    IF(
        AND(
            VLOOKUP(B529, 'รายชื่อพนักงานลาออกพ้นสภาพ'!B:I, 8, FALSE)&lt;&gt;"ยกเลิกลาออก",
            VLOOKUP(B529, 'รายชื่อพนักงานลาออกพ้นสภาพ'!B:I, 7, FALSE)&lt;=TODAY()
        ),
        "ลาออกแล้ว",
        ""
    ),
"")</f>
        <v/>
      </c>
      <c r="O529" s="292" t="str">
        <f t="array" ref="O529">IFERROR(INDEX(PCRent!C:D, MATCH(F529 &amp; " " &amp; G529, PCRent!A:A &amp; " " &amp; PCRent!B:B, 0)), "")</f>
        <v/>
      </c>
      <c r="P529" s="293"/>
      <c r="Q529" s="294" t="str">
        <f t="array" ref="Q529">IFERROR(INDEX(MonitorRent!C:D, MATCH(F529 &amp; " " &amp; G529, MonitorRent!A:A &amp; " " &amp; MonitorRent!B:B, 0)), "")</f>
        <v/>
      </c>
      <c r="R529" s="295"/>
    </row>
    <row r="530">
      <c r="A530" s="284">
        <v>527.0</v>
      </c>
      <c r="B530" s="285" t="s">
        <v>11902</v>
      </c>
      <c r="C530" s="285" t="s">
        <v>10103</v>
      </c>
      <c r="D530" s="286" t="s">
        <v>11903</v>
      </c>
      <c r="E530" s="285" t="s">
        <v>6933</v>
      </c>
      <c r="F530" s="285" t="s">
        <v>11904</v>
      </c>
      <c r="G530" s="285" t="s">
        <v>11905</v>
      </c>
      <c r="H530" s="285" t="s">
        <v>11906</v>
      </c>
      <c r="I530" s="285" t="s">
        <v>11907</v>
      </c>
      <c r="J530" s="285" t="s">
        <v>5224</v>
      </c>
      <c r="K530" s="285" t="s">
        <v>4835</v>
      </c>
      <c r="L530" s="285" t="s">
        <v>10189</v>
      </c>
      <c r="M530" s="285" t="s">
        <v>9383</v>
      </c>
      <c r="N530" s="287" t="str">
        <f>IFERROR(
    IF(
        AND(
            VLOOKUP(B530, 'รายชื่อพนักงานลาออกพ้นสภาพ'!B:I, 8, FALSE)&lt;&gt;"ยกเลิกลาออก",
            VLOOKUP(B530, 'รายชื่อพนักงานลาออกพ้นสภาพ'!B:I, 7, FALSE)&lt;=TODAY()
        ),
        "ลาออกแล้ว",
        ""
    ),
"")</f>
        <v/>
      </c>
      <c r="O530" s="292" t="str">
        <f t="array" ref="O530:P530">IFERROR(INDEX(PCRent!C:D, MATCH(F530 &amp; " " &amp; G530, PCRent!A:A &amp; " " &amp; PCRent!B:B, 0)), "")</f>
        <v>SN:MP2M8JN1</v>
      </c>
      <c r="P530" s="293" t="s">
        <v>7248</v>
      </c>
      <c r="Q530" s="294" t="str">
        <f t="array" ref="Q530">IFERROR(INDEX(MonitorRent!C:D, MATCH(F530 &amp; " " &amp; G530, MonitorRent!A:A &amp; " " &amp; MonitorRent!B:B, 0)), "")</f>
        <v/>
      </c>
      <c r="R530" s="295"/>
    </row>
    <row r="531">
      <c r="A531" s="284">
        <v>528.0</v>
      </c>
      <c r="B531" s="285" t="s">
        <v>11908</v>
      </c>
      <c r="C531" s="285" t="s">
        <v>10103</v>
      </c>
      <c r="D531" s="286" t="s">
        <v>10690</v>
      </c>
      <c r="E531" s="285" t="s">
        <v>6933</v>
      </c>
      <c r="F531" s="285" t="s">
        <v>11909</v>
      </c>
      <c r="G531" s="285" t="s">
        <v>11910</v>
      </c>
      <c r="H531" s="285" t="s">
        <v>11911</v>
      </c>
      <c r="I531" s="285" t="s">
        <v>11912</v>
      </c>
      <c r="J531" s="285" t="s">
        <v>5012</v>
      </c>
      <c r="K531" s="285" t="s">
        <v>10114</v>
      </c>
      <c r="L531" s="285" t="s">
        <v>832</v>
      </c>
      <c r="M531" s="285" t="s">
        <v>9391</v>
      </c>
      <c r="N531" s="287" t="str">
        <f>IFERROR(
    IF(
        AND(
            VLOOKUP(B531, 'รายชื่อพนักงานลาออกพ้นสภาพ'!B:I, 8, FALSE)&lt;&gt;"ยกเลิกลาออก",
            VLOOKUP(B531, 'รายชื่อพนักงานลาออกพ้นสภาพ'!B:I, 7, FALSE)&lt;=TODAY()
        ),
        "ลาออกแล้ว",
        ""
    ),
"")</f>
        <v/>
      </c>
      <c r="O531" s="292" t="str">
        <f t="array" ref="O531">IFERROR(INDEX(PCRent!C:D, MATCH(F531 &amp; " " &amp; G531, PCRent!A:A &amp; " " &amp; PCRent!B:B, 0)), "")</f>
        <v/>
      </c>
      <c r="P531" s="293"/>
      <c r="Q531" s="294" t="str">
        <f t="array" ref="Q531">IFERROR(INDEX(MonitorRent!C:D, MATCH(F531 &amp; " " &amp; G531, MonitorRent!A:A &amp; " " &amp; MonitorRent!B:B, 0)), "")</f>
        <v/>
      </c>
      <c r="R531" s="295"/>
    </row>
    <row r="532">
      <c r="A532" s="284">
        <v>529.0</v>
      </c>
      <c r="B532" s="285" t="s">
        <v>4485</v>
      </c>
      <c r="C532" s="285" t="s">
        <v>10103</v>
      </c>
      <c r="D532" s="286" t="s">
        <v>11913</v>
      </c>
      <c r="E532" s="285" t="s">
        <v>6921</v>
      </c>
      <c r="F532" s="285" t="s">
        <v>11914</v>
      </c>
      <c r="G532" s="285" t="s">
        <v>11915</v>
      </c>
      <c r="H532" s="285" t="s">
        <v>11916</v>
      </c>
      <c r="I532" s="285" t="s">
        <v>6885</v>
      </c>
      <c r="J532" s="285" t="s">
        <v>5224</v>
      </c>
      <c r="K532" s="285" t="s">
        <v>10273</v>
      </c>
      <c r="L532" s="285" t="s">
        <v>10538</v>
      </c>
      <c r="M532" s="285" t="s">
        <v>9383</v>
      </c>
      <c r="N532" s="287" t="str">
        <f>IFERROR(
    IF(
        AND(
            VLOOKUP(B532, 'รายชื่อพนักงานลาออกพ้นสภาพ'!B:I, 8, FALSE)&lt;&gt;"ยกเลิกลาออก",
            VLOOKUP(B532, 'รายชื่อพนักงานลาออกพ้นสภาพ'!B:I, 7, FALSE)&lt;=TODAY()
        ),
        "ลาออกแล้ว",
        ""
    ),
"")</f>
        <v/>
      </c>
      <c r="O532" s="292" t="str">
        <f t="array" ref="O532:P532">IFERROR(INDEX(PCRent!C:D, MATCH(F532 &amp; " " &amp; G532, PCRent!A:A &amp; " " &amp; PCRent!B:B, 0)), "")</f>
        <v>SN:BPT2CZ3</v>
      </c>
      <c r="P532" s="293" t="s">
        <v>7048</v>
      </c>
      <c r="Q532" s="294" t="str">
        <f t="array" ref="Q532:R532">IFERROR(INDEX(MonitorRent!C:D, MATCH(F532 &amp; " " &amp; G532, MonitorRent!A:A &amp; " " &amp; MonitorRent!B:B, 0)), "")</f>
        <v>SN:9W452Y3</v>
      </c>
      <c r="R532" s="295" t="s">
        <v>7050</v>
      </c>
    </row>
    <row r="533">
      <c r="A533" s="284">
        <v>530.0</v>
      </c>
      <c r="B533" s="285" t="s">
        <v>5047</v>
      </c>
      <c r="C533" s="285" t="s">
        <v>10103</v>
      </c>
      <c r="D533" s="286" t="s">
        <v>10303</v>
      </c>
      <c r="E533" s="285" t="s">
        <v>6933</v>
      </c>
      <c r="F533" s="285" t="s">
        <v>11917</v>
      </c>
      <c r="G533" s="285" t="s">
        <v>11918</v>
      </c>
      <c r="H533" s="285" t="s">
        <v>11457</v>
      </c>
      <c r="I533" s="285" t="s">
        <v>5048</v>
      </c>
      <c r="J533" s="285" t="s">
        <v>5012</v>
      </c>
      <c r="K533" s="285" t="s">
        <v>5638</v>
      </c>
      <c r="L533" s="285" t="s">
        <v>832</v>
      </c>
      <c r="M533" s="285" t="s">
        <v>9383</v>
      </c>
      <c r="N533" s="287" t="str">
        <f>IFERROR(
    IF(
        AND(
            VLOOKUP(B533, 'รายชื่อพนักงานลาออกพ้นสภาพ'!B:I, 8, FALSE)&lt;&gt;"ยกเลิกลาออก",
            VLOOKUP(B533, 'รายชื่อพนักงานลาออกพ้นสภาพ'!B:I, 7, FALSE)&lt;=TODAY()
        ),
        "ลาออกแล้ว",
        ""
    ),
"")</f>
        <v/>
      </c>
      <c r="O533" s="292" t="str">
        <f t="array" ref="O533:P533">IFERROR(INDEX(PCRent!C:D, MATCH(F533 &amp; " " &amp; G533, PCRent!A:A &amp; " " &amp; PCRent!B:B, 0)), "")</f>
        <v>SN:MP2EHW2F</v>
      </c>
      <c r="P533" s="293" t="s">
        <v>6993</v>
      </c>
      <c r="Q533" s="294" t="str">
        <f t="array" ref="Q533">IFERROR(INDEX(MonitorRent!C:D, MATCH(F533 &amp; " " &amp; G533, MonitorRent!A:A &amp; " " &amp; MonitorRent!B:B, 0)), "")</f>
        <v/>
      </c>
      <c r="R533" s="295"/>
    </row>
    <row r="534">
      <c r="A534" s="284">
        <v>531.0</v>
      </c>
      <c r="B534" s="285" t="s">
        <v>615</v>
      </c>
      <c r="C534" s="285" t="s">
        <v>10103</v>
      </c>
      <c r="D534" s="286" t="s">
        <v>11919</v>
      </c>
      <c r="E534" s="285" t="s">
        <v>6933</v>
      </c>
      <c r="F534" s="285" t="s">
        <v>11920</v>
      </c>
      <c r="G534" s="285" t="s">
        <v>11921</v>
      </c>
      <c r="H534" s="285" t="s">
        <v>9691</v>
      </c>
      <c r="I534" s="285" t="s">
        <v>618</v>
      </c>
      <c r="J534" s="285" t="s">
        <v>5012</v>
      </c>
      <c r="K534" s="285" t="s">
        <v>10114</v>
      </c>
      <c r="L534" s="285" t="s">
        <v>10127</v>
      </c>
      <c r="M534" s="285" t="s">
        <v>9391</v>
      </c>
      <c r="N534" s="287" t="str">
        <f>IFERROR(
    IF(
        AND(
            VLOOKUP(B534, 'รายชื่อพนักงานลาออกพ้นสภาพ'!B:I, 8, FALSE)&lt;&gt;"ยกเลิกลาออก",
            VLOOKUP(B534, 'รายชื่อพนักงานลาออกพ้นสภาพ'!B:I, 7, FALSE)&lt;=TODAY()
        ),
        "ลาออกแล้ว",
        ""
    ),
"")</f>
        <v>ลาออกแล้ว</v>
      </c>
      <c r="O534" s="292" t="str">
        <f t="array" ref="O534">IFERROR(INDEX(PCRent!C:D, MATCH(F534 &amp; " " &amp; G534, PCRent!A:A &amp; " " &amp; PCRent!B:B, 0)), "")</f>
        <v/>
      </c>
      <c r="P534" s="293"/>
      <c r="Q534" s="294" t="str">
        <f t="array" ref="Q534">IFERROR(INDEX(MonitorRent!C:D, MATCH(F534 &amp; " " &amp; G534, MonitorRent!A:A &amp; " " &amp; MonitorRent!B:B, 0)), "")</f>
        <v/>
      </c>
      <c r="R534" s="295"/>
    </row>
    <row r="535">
      <c r="A535" s="284">
        <v>532.0</v>
      </c>
      <c r="B535" s="285" t="s">
        <v>11922</v>
      </c>
      <c r="C535" s="285" t="s">
        <v>10103</v>
      </c>
      <c r="D535" s="286" t="s">
        <v>10396</v>
      </c>
      <c r="E535" s="285" t="s">
        <v>6933</v>
      </c>
      <c r="F535" s="285" t="s">
        <v>11920</v>
      </c>
      <c r="G535" s="285" t="s">
        <v>11923</v>
      </c>
      <c r="H535" s="285" t="s">
        <v>9879</v>
      </c>
      <c r="I535" s="285" t="s">
        <v>11924</v>
      </c>
      <c r="J535" s="285" t="s">
        <v>5012</v>
      </c>
      <c r="K535" s="285" t="s">
        <v>10114</v>
      </c>
      <c r="L535" s="285" t="s">
        <v>10127</v>
      </c>
      <c r="M535" s="285" t="s">
        <v>9383</v>
      </c>
      <c r="N535" s="287" t="str">
        <f>IFERROR(
    IF(
        AND(
            VLOOKUP(B535, 'รายชื่อพนักงานลาออกพ้นสภาพ'!B:I, 8, FALSE)&lt;&gt;"ยกเลิกลาออก",
            VLOOKUP(B535, 'รายชื่อพนักงานลาออกพ้นสภาพ'!B:I, 7, FALSE)&lt;=TODAY()
        ),
        "ลาออกแล้ว",
        ""
    ),
"")</f>
        <v/>
      </c>
      <c r="O535" s="292" t="str">
        <f t="array" ref="O535">IFERROR(INDEX(PCRent!C:D, MATCH(F535 &amp; " " &amp; G535, PCRent!A:A &amp; " " &amp; PCRent!B:B, 0)), "")</f>
        <v/>
      </c>
      <c r="P535" s="293"/>
      <c r="Q535" s="294" t="str">
        <f t="array" ref="Q535">IFERROR(INDEX(MonitorRent!C:D, MATCH(F535 &amp; " " &amp; G535, MonitorRent!A:A &amp; " " &amp; MonitorRent!B:B, 0)), "")</f>
        <v/>
      </c>
      <c r="R535" s="295"/>
    </row>
    <row r="536">
      <c r="A536" s="284">
        <v>533.0</v>
      </c>
      <c r="B536" s="285" t="s">
        <v>11925</v>
      </c>
      <c r="C536" s="285" t="s">
        <v>10103</v>
      </c>
      <c r="D536" s="286" t="s">
        <v>11926</v>
      </c>
      <c r="E536" s="285" t="s">
        <v>6933</v>
      </c>
      <c r="F536" s="285" t="s">
        <v>11927</v>
      </c>
      <c r="G536" s="285" t="s">
        <v>11928</v>
      </c>
      <c r="H536" s="285" t="s">
        <v>10323</v>
      </c>
      <c r="I536" s="285" t="s">
        <v>11929</v>
      </c>
      <c r="J536" s="285" t="s">
        <v>5012</v>
      </c>
      <c r="K536" s="285" t="s">
        <v>5638</v>
      </c>
      <c r="L536" s="285" t="s">
        <v>832</v>
      </c>
      <c r="M536" s="285" t="s">
        <v>9383</v>
      </c>
      <c r="N536" s="287" t="str">
        <f>IFERROR(
    IF(
        AND(
            VLOOKUP(B536, 'รายชื่อพนักงานลาออกพ้นสภาพ'!B:I, 8, FALSE)&lt;&gt;"ยกเลิกลาออก",
            VLOOKUP(B536, 'รายชื่อพนักงานลาออกพ้นสภาพ'!B:I, 7, FALSE)&lt;=TODAY()
        ),
        "ลาออกแล้ว",
        ""
    ),
"")</f>
        <v/>
      </c>
      <c r="O536" s="292" t="str">
        <f t="array" ref="O536">IFERROR(INDEX(PCRent!C:D, MATCH(F536 &amp; " " &amp; G536, PCRent!A:A &amp; " " &amp; PCRent!B:B, 0)), "")</f>
        <v/>
      </c>
      <c r="P536" s="293"/>
      <c r="Q536" s="294" t="str">
        <f t="array" ref="Q536">IFERROR(INDEX(MonitorRent!C:D, MATCH(F536 &amp; " " &amp; G536, MonitorRent!A:A &amp; " " &amp; MonitorRent!B:B, 0)), "")</f>
        <v/>
      </c>
      <c r="R536" s="295"/>
    </row>
    <row r="537">
      <c r="A537" s="284">
        <v>534.0</v>
      </c>
      <c r="B537" s="285" t="s">
        <v>11930</v>
      </c>
      <c r="C537" s="285" t="s">
        <v>10103</v>
      </c>
      <c r="D537" s="286" t="s">
        <v>11796</v>
      </c>
      <c r="E537" s="285" t="s">
        <v>6933</v>
      </c>
      <c r="F537" s="285" t="s">
        <v>11931</v>
      </c>
      <c r="G537" s="285" t="s">
        <v>11932</v>
      </c>
      <c r="H537" s="285" t="s">
        <v>10629</v>
      </c>
      <c r="I537" s="285" t="s">
        <v>11933</v>
      </c>
      <c r="J537" s="285" t="s">
        <v>5012</v>
      </c>
      <c r="K537" s="285" t="s">
        <v>10114</v>
      </c>
      <c r="L537" s="285" t="s">
        <v>832</v>
      </c>
      <c r="M537" s="285" t="s">
        <v>9383</v>
      </c>
      <c r="N537" s="287" t="str">
        <f>IFERROR(
    IF(
        AND(
            VLOOKUP(B537, 'รายชื่อพนักงานลาออกพ้นสภาพ'!B:I, 8, FALSE)&lt;&gt;"ยกเลิกลาออก",
            VLOOKUP(B537, 'รายชื่อพนักงานลาออกพ้นสภาพ'!B:I, 7, FALSE)&lt;=TODAY()
        ),
        "ลาออกแล้ว",
        ""
    ),
"")</f>
        <v/>
      </c>
      <c r="O537" s="292" t="str">
        <f t="array" ref="O537">IFERROR(INDEX(PCRent!C:D, MATCH(F537 &amp; " " &amp; G537, PCRent!A:A &amp; " " &amp; PCRent!B:B, 0)), "")</f>
        <v/>
      </c>
      <c r="P537" s="293"/>
      <c r="Q537" s="294" t="str">
        <f t="array" ref="Q537">IFERROR(INDEX(MonitorRent!C:D, MATCH(F537 &amp; " " &amp; G537, MonitorRent!A:A &amp; " " &amp; MonitorRent!B:B, 0)), "")</f>
        <v/>
      </c>
      <c r="R537" s="295"/>
    </row>
    <row r="538">
      <c r="A538" s="284">
        <v>535.0</v>
      </c>
      <c r="B538" s="285" t="s">
        <v>930</v>
      </c>
      <c r="C538" s="285" t="s">
        <v>10103</v>
      </c>
      <c r="D538" s="286" t="s">
        <v>11571</v>
      </c>
      <c r="E538" s="285" t="s">
        <v>6933</v>
      </c>
      <c r="F538" s="285" t="s">
        <v>11934</v>
      </c>
      <c r="G538" s="285" t="s">
        <v>11935</v>
      </c>
      <c r="H538" s="285" t="s">
        <v>11936</v>
      </c>
      <c r="I538" s="285" t="s">
        <v>933</v>
      </c>
      <c r="J538" s="285" t="s">
        <v>5224</v>
      </c>
      <c r="K538" s="285" t="s">
        <v>4756</v>
      </c>
      <c r="L538" s="285" t="s">
        <v>10189</v>
      </c>
      <c r="M538" s="285" t="s">
        <v>9383</v>
      </c>
      <c r="N538" s="287" t="str">
        <f>IFERROR(
    IF(
        AND(
            VLOOKUP(B538, 'รายชื่อพนักงานลาออกพ้นสภาพ'!B:I, 8, FALSE)&lt;&gt;"ยกเลิกลาออก",
            VLOOKUP(B538, 'รายชื่อพนักงานลาออกพ้นสภาพ'!B:I, 7, FALSE)&lt;=TODAY()
        ),
        "ลาออกแล้ว",
        ""
    ),
"")</f>
        <v/>
      </c>
      <c r="O538" s="292" t="str">
        <f t="array" ref="O538">IFERROR(INDEX(PCRent!C:D, MATCH(F538 &amp; " " &amp; G538, PCRent!A:A &amp; " " &amp; PCRent!B:B, 0)), "")</f>
        <v/>
      </c>
      <c r="P538" s="293"/>
      <c r="Q538" s="294" t="str">
        <f t="array" ref="Q538">IFERROR(INDEX(MonitorRent!C:D, MATCH(F538 &amp; " " &amp; G538, MonitorRent!A:A &amp; " " &amp; MonitorRent!B:B, 0)), "")</f>
        <v/>
      </c>
      <c r="R538" s="295"/>
    </row>
    <row r="539">
      <c r="A539" s="284">
        <v>536.0</v>
      </c>
      <c r="B539" s="285" t="s">
        <v>301</v>
      </c>
      <c r="C539" s="285" t="s">
        <v>10103</v>
      </c>
      <c r="D539" s="286" t="s">
        <v>11937</v>
      </c>
      <c r="E539" s="285" t="s">
        <v>6921</v>
      </c>
      <c r="F539" s="285" t="s">
        <v>11938</v>
      </c>
      <c r="G539" s="285" t="s">
        <v>11939</v>
      </c>
      <c r="H539" s="285" t="s">
        <v>10086</v>
      </c>
      <c r="I539" s="285" t="s">
        <v>305</v>
      </c>
      <c r="J539" s="285" t="s">
        <v>5012</v>
      </c>
      <c r="K539" s="285" t="s">
        <v>11940</v>
      </c>
      <c r="L539" s="285" t="s">
        <v>10127</v>
      </c>
      <c r="M539" s="285" t="s">
        <v>9383</v>
      </c>
      <c r="N539" s="287" t="str">
        <f>IFERROR(
    IF(
        AND(
            VLOOKUP(B539, 'รายชื่อพนักงานลาออกพ้นสภาพ'!B:I, 8, FALSE)&lt;&gt;"ยกเลิกลาออก",
            VLOOKUP(B539, 'รายชื่อพนักงานลาออกพ้นสภาพ'!B:I, 7, FALSE)&lt;=TODAY()
        ),
        "ลาออกแล้ว",
        ""
    ),
"")</f>
        <v>ลาออกแล้ว</v>
      </c>
      <c r="O539" s="292" t="str">
        <f t="array" ref="O539">IFERROR(INDEX(PCRent!C:D, MATCH(F539 &amp; " " &amp; G539, PCRent!A:A &amp; " " &amp; PCRent!B:B, 0)), "")</f>
        <v/>
      </c>
      <c r="P539" s="293"/>
      <c r="Q539" s="294" t="str">
        <f t="array" ref="Q539">IFERROR(INDEX(MonitorRent!C:D, MATCH(F539 &amp; " " &amp; G539, MonitorRent!A:A &amp; " " &amp; MonitorRent!B:B, 0)), "")</f>
        <v/>
      </c>
      <c r="R539" s="295"/>
    </row>
    <row r="540">
      <c r="A540" s="284">
        <v>537.0</v>
      </c>
      <c r="B540" s="285" t="s">
        <v>180</v>
      </c>
      <c r="C540" s="285" t="s">
        <v>10103</v>
      </c>
      <c r="D540" s="286" t="s">
        <v>9718</v>
      </c>
      <c r="E540" s="285" t="s">
        <v>6933</v>
      </c>
      <c r="F540" s="285" t="s">
        <v>11941</v>
      </c>
      <c r="G540" s="285" t="s">
        <v>11942</v>
      </c>
      <c r="H540" s="285" t="s">
        <v>11943</v>
      </c>
      <c r="I540" s="285" t="s">
        <v>182</v>
      </c>
      <c r="J540" s="285" t="s">
        <v>5012</v>
      </c>
      <c r="K540" s="285" t="s">
        <v>10114</v>
      </c>
      <c r="L540" s="285" t="s">
        <v>10127</v>
      </c>
      <c r="M540" s="285" t="s">
        <v>9391</v>
      </c>
      <c r="N540" s="287" t="str">
        <f>IFERROR(
    IF(
        AND(
            VLOOKUP(B540, 'รายชื่อพนักงานลาออกพ้นสภาพ'!B:I, 8, FALSE)&lt;&gt;"ยกเลิกลาออก",
            VLOOKUP(B540, 'รายชื่อพนักงานลาออกพ้นสภาพ'!B:I, 7, FALSE)&lt;=TODAY()
        ),
        "ลาออกแล้ว",
        ""
    ),
"")</f>
        <v>ลาออกแล้ว</v>
      </c>
      <c r="O540" s="292" t="str">
        <f t="array" ref="O540">IFERROR(INDEX(PCRent!C:D, MATCH(F540 &amp; " " &amp; G540, PCRent!A:A &amp; " " &amp; PCRent!B:B, 0)), "")</f>
        <v/>
      </c>
      <c r="P540" s="293"/>
      <c r="Q540" s="294" t="str">
        <f t="array" ref="Q540">IFERROR(INDEX(MonitorRent!C:D, MATCH(F540 &amp; " " &amp; G540, MonitorRent!A:A &amp; " " &amp; MonitorRent!B:B, 0)), "")</f>
        <v/>
      </c>
      <c r="R540" s="295"/>
    </row>
    <row r="541">
      <c r="A541" s="284">
        <v>538.0</v>
      </c>
      <c r="B541" s="285" t="s">
        <v>11944</v>
      </c>
      <c r="C541" s="285" t="s">
        <v>10103</v>
      </c>
      <c r="D541" s="286" t="s">
        <v>10690</v>
      </c>
      <c r="E541" s="285" t="s">
        <v>6933</v>
      </c>
      <c r="F541" s="285" t="s">
        <v>11941</v>
      </c>
      <c r="G541" s="285" t="s">
        <v>11945</v>
      </c>
      <c r="H541" s="285" t="s">
        <v>11946</v>
      </c>
      <c r="I541" s="285" t="s">
        <v>11947</v>
      </c>
      <c r="J541" s="285" t="s">
        <v>5012</v>
      </c>
      <c r="K541" s="285" t="s">
        <v>10114</v>
      </c>
      <c r="L541" s="285" t="s">
        <v>832</v>
      </c>
      <c r="M541" s="285" t="s">
        <v>9383</v>
      </c>
      <c r="N541" s="287" t="str">
        <f>IFERROR(
    IF(
        AND(
            VLOOKUP(B541, 'รายชื่อพนักงานลาออกพ้นสภาพ'!B:I, 8, FALSE)&lt;&gt;"ยกเลิกลาออก",
            VLOOKUP(B541, 'รายชื่อพนักงานลาออกพ้นสภาพ'!B:I, 7, FALSE)&lt;=TODAY()
        ),
        "ลาออกแล้ว",
        ""
    ),
"")</f>
        <v/>
      </c>
      <c r="O541" s="292" t="str">
        <f t="array" ref="O541">IFERROR(INDEX(PCRent!C:D, MATCH(F541 &amp; " " &amp; G541, PCRent!A:A &amp; " " &amp; PCRent!B:B, 0)), "")</f>
        <v/>
      </c>
      <c r="P541" s="293"/>
      <c r="Q541" s="294" t="str">
        <f t="array" ref="Q541">IFERROR(INDEX(MonitorRent!C:D, MATCH(F541 &amp; " " &amp; G541, MonitorRent!A:A &amp; " " &amp; MonitorRent!B:B, 0)), "")</f>
        <v/>
      </c>
      <c r="R541" s="295"/>
    </row>
    <row r="542">
      <c r="A542" s="284">
        <v>539.0</v>
      </c>
      <c r="B542" s="285" t="s">
        <v>2630</v>
      </c>
      <c r="C542" s="285" t="s">
        <v>10103</v>
      </c>
      <c r="D542" s="286" t="s">
        <v>11948</v>
      </c>
      <c r="E542" s="285" t="s">
        <v>6921</v>
      </c>
      <c r="F542" s="285" t="s">
        <v>11949</v>
      </c>
      <c r="G542" s="285" t="s">
        <v>11950</v>
      </c>
      <c r="H542" s="285" t="s">
        <v>10048</v>
      </c>
      <c r="I542" s="285" t="s">
        <v>6183</v>
      </c>
      <c r="J542" s="285" t="s">
        <v>5012</v>
      </c>
      <c r="K542" s="285" t="s">
        <v>3000</v>
      </c>
      <c r="L542" s="285" t="s">
        <v>10127</v>
      </c>
      <c r="M542" s="285" t="s">
        <v>9383</v>
      </c>
      <c r="N542" s="287" t="str">
        <f>IFERROR(
    IF(
        AND(
            VLOOKUP(B542, 'รายชื่อพนักงานลาออกพ้นสภาพ'!B:I, 8, FALSE)&lt;&gt;"ยกเลิกลาออก",
            VLOOKUP(B542, 'รายชื่อพนักงานลาออกพ้นสภาพ'!B:I, 7, FALSE)&lt;=TODAY()
        ),
        "ลาออกแล้ว",
        ""
    ),
"")</f>
        <v/>
      </c>
      <c r="O542" s="292" t="str">
        <f t="array" ref="O542">IFERROR(INDEX(PCRent!C:D, MATCH(F542 &amp; " " &amp; G542, PCRent!A:A &amp; " " &amp; PCRent!B:B, 0)), "")</f>
        <v/>
      </c>
      <c r="P542" s="293"/>
      <c r="Q542" s="294" t="str">
        <f t="array" ref="Q542">IFERROR(INDEX(MonitorRent!C:D, MATCH(F542 &amp; " " &amp; G542, MonitorRent!A:A &amp; " " &amp; MonitorRent!B:B, 0)), "")</f>
        <v/>
      </c>
      <c r="R542" s="295"/>
    </row>
    <row r="543">
      <c r="A543" s="284">
        <v>540.0</v>
      </c>
      <c r="B543" s="285" t="s">
        <v>11951</v>
      </c>
      <c r="C543" s="285" t="s">
        <v>10103</v>
      </c>
      <c r="D543" s="286" t="s">
        <v>11057</v>
      </c>
      <c r="E543" s="285" t="s">
        <v>6921</v>
      </c>
      <c r="F543" s="285" t="s">
        <v>11952</v>
      </c>
      <c r="G543" s="285" t="s">
        <v>11953</v>
      </c>
      <c r="H543" s="285" t="s">
        <v>11954</v>
      </c>
      <c r="I543" s="285" t="s">
        <v>11955</v>
      </c>
      <c r="J543" s="285" t="s">
        <v>5012</v>
      </c>
      <c r="K543" s="285" t="s">
        <v>1606</v>
      </c>
      <c r="L543" s="285" t="s">
        <v>10127</v>
      </c>
      <c r="M543" s="285" t="s">
        <v>9391</v>
      </c>
      <c r="N543" s="287" t="str">
        <f>IFERROR(
    IF(
        AND(
            VLOOKUP(B543, 'รายชื่อพนักงานลาออกพ้นสภาพ'!B:I, 8, FALSE)&lt;&gt;"ยกเลิกลาออก",
            VLOOKUP(B543, 'รายชื่อพนักงานลาออกพ้นสภาพ'!B:I, 7, FALSE)&lt;=TODAY()
        ),
        "ลาออกแล้ว",
        ""
    ),
"")</f>
        <v/>
      </c>
      <c r="O543" s="292" t="str">
        <f t="array" ref="O543">IFERROR(INDEX(PCRent!C:D, MATCH(F543 &amp; " " &amp; G543, PCRent!A:A &amp; " " &amp; PCRent!B:B, 0)), "")</f>
        <v/>
      </c>
      <c r="P543" s="293"/>
      <c r="Q543" s="294" t="str">
        <f t="array" ref="Q543">IFERROR(INDEX(MonitorRent!C:D, MATCH(F543 &amp; " " &amp; G543, MonitorRent!A:A &amp; " " &amp; MonitorRent!B:B, 0)), "")</f>
        <v/>
      </c>
      <c r="R543" s="295"/>
    </row>
    <row r="544">
      <c r="A544" s="284">
        <v>541.0</v>
      </c>
      <c r="B544" s="285" t="s">
        <v>11956</v>
      </c>
      <c r="C544" s="285" t="s">
        <v>10103</v>
      </c>
      <c r="D544" s="286" t="s">
        <v>9718</v>
      </c>
      <c r="E544" s="285" t="s">
        <v>6921</v>
      </c>
      <c r="F544" s="285" t="s">
        <v>11957</v>
      </c>
      <c r="G544" s="285" t="s">
        <v>11958</v>
      </c>
      <c r="H544" s="285" t="s">
        <v>9526</v>
      </c>
      <c r="I544" s="285" t="s">
        <v>11959</v>
      </c>
      <c r="J544" s="285" t="s">
        <v>5012</v>
      </c>
      <c r="K544" s="285" t="s">
        <v>1606</v>
      </c>
      <c r="L544" s="285" t="s">
        <v>10127</v>
      </c>
      <c r="M544" s="285" t="s">
        <v>9391</v>
      </c>
      <c r="N544" s="287" t="str">
        <f>IFERROR(
    IF(
        AND(
            VLOOKUP(B544, 'รายชื่อพนักงานลาออกพ้นสภาพ'!B:I, 8, FALSE)&lt;&gt;"ยกเลิกลาออก",
            VLOOKUP(B544, 'รายชื่อพนักงานลาออกพ้นสภาพ'!B:I, 7, FALSE)&lt;=TODAY()
        ),
        "ลาออกแล้ว",
        ""
    ),
"")</f>
        <v/>
      </c>
      <c r="O544" s="292" t="str">
        <f t="array" ref="O544">IFERROR(INDEX(PCRent!C:D, MATCH(F544 &amp; " " &amp; G544, PCRent!A:A &amp; " " &amp; PCRent!B:B, 0)), "")</f>
        <v/>
      </c>
      <c r="P544" s="293"/>
      <c r="Q544" s="294" t="str">
        <f t="array" ref="Q544">IFERROR(INDEX(MonitorRent!C:D, MATCH(F544 &amp; " " &amp; G544, MonitorRent!A:A &amp; " " &amp; MonitorRent!B:B, 0)), "")</f>
        <v/>
      </c>
      <c r="R544" s="295"/>
    </row>
    <row r="545">
      <c r="A545" s="284">
        <v>542.0</v>
      </c>
      <c r="B545" s="285" t="s">
        <v>11960</v>
      </c>
      <c r="C545" s="285" t="s">
        <v>10103</v>
      </c>
      <c r="D545" s="286" t="s">
        <v>10090</v>
      </c>
      <c r="E545" s="285" t="s">
        <v>6921</v>
      </c>
      <c r="F545" s="285" t="s">
        <v>11961</v>
      </c>
      <c r="G545" s="285" t="s">
        <v>11962</v>
      </c>
      <c r="H545" s="285" t="s">
        <v>9526</v>
      </c>
      <c r="I545" s="285" t="s">
        <v>11963</v>
      </c>
      <c r="J545" s="285" t="s">
        <v>5012</v>
      </c>
      <c r="K545" s="285" t="s">
        <v>1606</v>
      </c>
      <c r="L545" s="285" t="s">
        <v>832</v>
      </c>
      <c r="M545" s="285" t="s">
        <v>9383</v>
      </c>
      <c r="N545" s="287" t="str">
        <f>IFERROR(
    IF(
        AND(
            VLOOKUP(B545, 'รายชื่อพนักงานลาออกพ้นสภาพ'!B:I, 8, FALSE)&lt;&gt;"ยกเลิกลาออก",
            VLOOKUP(B545, 'รายชื่อพนักงานลาออกพ้นสภาพ'!B:I, 7, FALSE)&lt;=TODAY()
        ),
        "ลาออกแล้ว",
        ""
    ),
"")</f>
        <v/>
      </c>
      <c r="O545" s="292" t="str">
        <f t="array" ref="O545">IFERROR(INDEX(PCRent!C:D, MATCH(F545 &amp; " " &amp; G545, PCRent!A:A &amp; " " &amp; PCRent!B:B, 0)), "")</f>
        <v/>
      </c>
      <c r="P545" s="293"/>
      <c r="Q545" s="294" t="str">
        <f t="array" ref="Q545">IFERROR(INDEX(MonitorRent!C:D, MATCH(F545 &amp; " " &amp; G545, MonitorRent!A:A &amp; " " &amp; MonitorRent!B:B, 0)), "")</f>
        <v/>
      </c>
      <c r="R545" s="295"/>
    </row>
    <row r="546">
      <c r="A546" s="284">
        <v>543.0</v>
      </c>
      <c r="B546" s="285" t="s">
        <v>11964</v>
      </c>
      <c r="C546" s="285" t="s">
        <v>10103</v>
      </c>
      <c r="D546" s="286" t="s">
        <v>11965</v>
      </c>
      <c r="E546" s="285" t="s">
        <v>6921</v>
      </c>
      <c r="F546" s="285" t="s">
        <v>11966</v>
      </c>
      <c r="G546" s="285" t="s">
        <v>11967</v>
      </c>
      <c r="H546" s="285" t="s">
        <v>11968</v>
      </c>
      <c r="I546" s="285" t="s">
        <v>11969</v>
      </c>
      <c r="J546" s="285" t="s">
        <v>5012</v>
      </c>
      <c r="K546" s="285" t="s">
        <v>10405</v>
      </c>
      <c r="L546" s="285" t="s">
        <v>832</v>
      </c>
      <c r="M546" s="285" t="s">
        <v>9383</v>
      </c>
      <c r="N546" s="287" t="str">
        <f>IFERROR(
    IF(
        AND(
            VLOOKUP(B546, 'รายชื่อพนักงานลาออกพ้นสภาพ'!B:I, 8, FALSE)&lt;&gt;"ยกเลิกลาออก",
            VLOOKUP(B546, 'รายชื่อพนักงานลาออกพ้นสภาพ'!B:I, 7, FALSE)&lt;=TODAY()
        ),
        "ลาออกแล้ว",
        ""
    ),
"")</f>
        <v/>
      </c>
      <c r="O546" s="292" t="str">
        <f t="array" ref="O546">IFERROR(INDEX(PCRent!C:D, MATCH(F546 &amp; " " &amp; G546, PCRent!A:A &amp; " " &amp; PCRent!B:B, 0)), "")</f>
        <v/>
      </c>
      <c r="P546" s="293"/>
      <c r="Q546" s="294" t="str">
        <f t="array" ref="Q546">IFERROR(INDEX(MonitorRent!C:D, MATCH(F546 &amp; " " &amp; G546, MonitorRent!A:A &amp; " " &amp; MonitorRent!B:B, 0)), "")</f>
        <v/>
      </c>
      <c r="R546" s="295"/>
    </row>
    <row r="547">
      <c r="A547" s="284">
        <v>544.0</v>
      </c>
      <c r="B547" s="285" t="s">
        <v>11970</v>
      </c>
      <c r="C547" s="285" t="s">
        <v>10103</v>
      </c>
      <c r="D547" s="286" t="s">
        <v>9824</v>
      </c>
      <c r="E547" s="285" t="s">
        <v>6921</v>
      </c>
      <c r="F547" s="285" t="s">
        <v>11971</v>
      </c>
      <c r="G547" s="285" t="s">
        <v>11154</v>
      </c>
      <c r="H547" s="285" t="s">
        <v>9566</v>
      </c>
      <c r="I547" s="285" t="s">
        <v>11972</v>
      </c>
      <c r="J547" s="285" t="s">
        <v>5012</v>
      </c>
      <c r="K547" s="285" t="s">
        <v>3000</v>
      </c>
      <c r="L547" s="285" t="s">
        <v>10127</v>
      </c>
      <c r="M547" s="285" t="s">
        <v>9383</v>
      </c>
      <c r="N547" s="287" t="str">
        <f>IFERROR(
    IF(
        AND(
            VLOOKUP(B547, 'รายชื่อพนักงานลาออกพ้นสภาพ'!B:I, 8, FALSE)&lt;&gt;"ยกเลิกลาออก",
            VLOOKUP(B547, 'รายชื่อพนักงานลาออกพ้นสภาพ'!B:I, 7, FALSE)&lt;=TODAY()
        ),
        "ลาออกแล้ว",
        ""
    ),
"")</f>
        <v/>
      </c>
      <c r="O547" s="292" t="str">
        <f t="array" ref="O547">IFERROR(INDEX(PCRent!C:D, MATCH(F547 &amp; " " &amp; G547, PCRent!A:A &amp; " " &amp; PCRent!B:B, 0)), "")</f>
        <v/>
      </c>
      <c r="P547" s="293"/>
      <c r="Q547" s="294" t="str">
        <f t="array" ref="Q547">IFERROR(INDEX(MonitorRent!C:D, MATCH(F547 &amp; " " &amp; G547, MonitorRent!A:A &amp; " " &amp; MonitorRent!B:B, 0)), "")</f>
        <v/>
      </c>
      <c r="R547" s="295"/>
    </row>
    <row r="548">
      <c r="A548" s="284">
        <v>545.0</v>
      </c>
      <c r="B548" s="285" t="s">
        <v>11973</v>
      </c>
      <c r="C548" s="285" t="s">
        <v>10103</v>
      </c>
      <c r="D548" s="286" t="s">
        <v>10063</v>
      </c>
      <c r="E548" s="285" t="s">
        <v>6921</v>
      </c>
      <c r="F548" s="285" t="s">
        <v>11974</v>
      </c>
      <c r="G548" s="285" t="s">
        <v>11975</v>
      </c>
      <c r="H548" s="285" t="s">
        <v>9975</v>
      </c>
      <c r="I548" s="285" t="s">
        <v>11976</v>
      </c>
      <c r="J548" s="285" t="s">
        <v>5224</v>
      </c>
      <c r="K548" s="285" t="s">
        <v>10273</v>
      </c>
      <c r="L548" s="285" t="s">
        <v>10538</v>
      </c>
      <c r="M548" s="285" t="s">
        <v>9383</v>
      </c>
      <c r="N548" s="287" t="str">
        <f>IFERROR(
    IF(
        AND(
            VLOOKUP(B548, 'รายชื่อพนักงานลาออกพ้นสภาพ'!B:I, 8, FALSE)&lt;&gt;"ยกเลิกลาออก",
            VLOOKUP(B548, 'รายชื่อพนักงานลาออกพ้นสภาพ'!B:I, 7, FALSE)&lt;=TODAY()
        ),
        "ลาออกแล้ว",
        ""
    ),
"")</f>
        <v/>
      </c>
      <c r="O548" s="292" t="str">
        <f t="array" ref="O548">IFERROR(INDEX(PCRent!C:D, MATCH(F548 &amp; " " &amp; G548, PCRent!A:A &amp; " " &amp; PCRent!B:B, 0)), "")</f>
        <v/>
      </c>
      <c r="P548" s="293"/>
      <c r="Q548" s="294" t="str">
        <f t="array" ref="Q548">IFERROR(INDEX(MonitorRent!C:D, MATCH(F548 &amp; " " &amp; G548, MonitorRent!A:A &amp; " " &amp; MonitorRent!B:B, 0)), "")</f>
        <v/>
      </c>
      <c r="R548" s="295"/>
    </row>
    <row r="549">
      <c r="A549" s="284">
        <v>546.0</v>
      </c>
      <c r="B549" s="285" t="s">
        <v>11977</v>
      </c>
      <c r="C549" s="285" t="s">
        <v>10103</v>
      </c>
      <c r="D549" s="286" t="s">
        <v>10690</v>
      </c>
      <c r="E549" s="285" t="s">
        <v>6921</v>
      </c>
      <c r="F549" s="285" t="s">
        <v>11978</v>
      </c>
      <c r="G549" s="285" t="s">
        <v>11979</v>
      </c>
      <c r="H549" s="285" t="s">
        <v>10003</v>
      </c>
      <c r="I549" s="285" t="s">
        <v>11980</v>
      </c>
      <c r="J549" s="285" t="s">
        <v>5224</v>
      </c>
      <c r="K549" s="285" t="s">
        <v>11981</v>
      </c>
      <c r="L549" s="285" t="s">
        <v>566</v>
      </c>
      <c r="M549" s="285" t="s">
        <v>9383</v>
      </c>
      <c r="N549" s="287" t="str">
        <f>IFERROR(
    IF(
        AND(
            VLOOKUP(B549, 'รายชื่อพนักงานลาออกพ้นสภาพ'!B:I, 8, FALSE)&lt;&gt;"ยกเลิกลาออก",
            VLOOKUP(B549, 'รายชื่อพนักงานลาออกพ้นสภาพ'!B:I, 7, FALSE)&lt;=TODAY()
        ),
        "ลาออกแล้ว",
        ""
    ),
"")</f>
        <v/>
      </c>
      <c r="O549" s="292" t="str">
        <f t="array" ref="O549">IFERROR(INDEX(PCRent!C:D, MATCH(F549 &amp; " " &amp; G549, PCRent!A:A &amp; " " &amp; PCRent!B:B, 0)), "")</f>
        <v/>
      </c>
      <c r="P549" s="293"/>
      <c r="Q549" s="294" t="str">
        <f t="array" ref="Q549">IFERROR(INDEX(MonitorRent!C:D, MATCH(F549 &amp; " " &amp; G549, MonitorRent!A:A &amp; " " &amp; MonitorRent!B:B, 0)), "")</f>
        <v/>
      </c>
      <c r="R549" s="295"/>
    </row>
    <row r="550">
      <c r="A550" s="284">
        <v>547.0</v>
      </c>
      <c r="B550" s="285" t="s">
        <v>11982</v>
      </c>
      <c r="C550" s="285" t="s">
        <v>10103</v>
      </c>
      <c r="D550" s="286" t="s">
        <v>11983</v>
      </c>
      <c r="E550" s="285" t="s">
        <v>6933</v>
      </c>
      <c r="F550" s="285" t="s">
        <v>11984</v>
      </c>
      <c r="G550" s="285" t="s">
        <v>11985</v>
      </c>
      <c r="H550" s="285" t="s">
        <v>9885</v>
      </c>
      <c r="I550" s="285" t="s">
        <v>11986</v>
      </c>
      <c r="J550" s="285" t="s">
        <v>5224</v>
      </c>
      <c r="K550" s="285" t="s">
        <v>4749</v>
      </c>
      <c r="L550" s="285" t="s">
        <v>1258</v>
      </c>
      <c r="M550" s="285" t="s">
        <v>9383</v>
      </c>
      <c r="N550" s="287" t="str">
        <f>IFERROR(
    IF(
        AND(
            VLOOKUP(B550, 'รายชื่อพนักงานลาออกพ้นสภาพ'!B:I, 8, FALSE)&lt;&gt;"ยกเลิกลาออก",
            VLOOKUP(B550, 'รายชื่อพนักงานลาออกพ้นสภาพ'!B:I, 7, FALSE)&lt;=TODAY()
        ),
        "ลาออกแล้ว",
        ""
    ),
"")</f>
        <v/>
      </c>
      <c r="O550" s="292" t="str">
        <f t="array" ref="O550:P550">IFERROR(INDEX(PCRent!C:D, MATCH(F550 &amp; " " &amp; G550, PCRent!A:A &amp; " " &amp; PCRent!B:B, 0)), "")</f>
        <v>SN:MP2M8G9P</v>
      </c>
      <c r="P550" s="293" t="s">
        <v>7248</v>
      </c>
      <c r="Q550" s="294" t="str">
        <f t="array" ref="Q550">IFERROR(INDEX(MonitorRent!C:D, MATCH(F550 &amp; " " &amp; G550, MonitorRent!A:A &amp; " " &amp; MonitorRent!B:B, 0)), "")</f>
        <v/>
      </c>
      <c r="R550" s="295"/>
    </row>
    <row r="551">
      <c r="A551" s="284">
        <v>548.0</v>
      </c>
      <c r="B551" s="285" t="s">
        <v>11987</v>
      </c>
      <c r="C551" s="285" t="s">
        <v>10103</v>
      </c>
      <c r="D551" s="286" t="s">
        <v>10256</v>
      </c>
      <c r="E551" s="285" t="s">
        <v>6933</v>
      </c>
      <c r="F551" s="285" t="s">
        <v>11988</v>
      </c>
      <c r="G551" s="285" t="s">
        <v>11989</v>
      </c>
      <c r="H551" s="285" t="s">
        <v>10249</v>
      </c>
      <c r="I551" s="285" t="s">
        <v>11990</v>
      </c>
      <c r="J551" s="285" t="s">
        <v>5012</v>
      </c>
      <c r="K551" s="285" t="s">
        <v>10114</v>
      </c>
      <c r="L551" s="285" t="s">
        <v>10127</v>
      </c>
      <c r="M551" s="285" t="s">
        <v>9391</v>
      </c>
      <c r="N551" s="287" t="str">
        <f>IFERROR(
    IF(
        AND(
            VLOOKUP(B551, 'รายชื่อพนักงานลาออกพ้นสภาพ'!B:I, 8, FALSE)&lt;&gt;"ยกเลิกลาออก",
            VLOOKUP(B551, 'รายชื่อพนักงานลาออกพ้นสภาพ'!B:I, 7, FALSE)&lt;=TODAY()
        ),
        "ลาออกแล้ว",
        ""
    ),
"")</f>
        <v/>
      </c>
      <c r="O551" s="292" t="str">
        <f t="array" ref="O551">IFERROR(INDEX(PCRent!C:D, MATCH(F551 &amp; " " &amp; G551, PCRent!A:A &amp; " " &amp; PCRent!B:B, 0)), "")</f>
        <v/>
      </c>
      <c r="P551" s="293"/>
      <c r="Q551" s="294" t="str">
        <f t="array" ref="Q551">IFERROR(INDEX(MonitorRent!C:D, MATCH(F551 &amp; " " &amp; G551, MonitorRent!A:A &amp; " " &amp; MonitorRent!B:B, 0)), "")</f>
        <v/>
      </c>
      <c r="R551" s="295"/>
    </row>
    <row r="552">
      <c r="A552" s="284">
        <v>549.0</v>
      </c>
      <c r="B552" s="285" t="s">
        <v>841</v>
      </c>
      <c r="C552" s="285" t="s">
        <v>10103</v>
      </c>
      <c r="D552" s="286" t="s">
        <v>9606</v>
      </c>
      <c r="E552" s="285" t="s">
        <v>6933</v>
      </c>
      <c r="F552" s="285" t="s">
        <v>11991</v>
      </c>
      <c r="G552" s="285" t="s">
        <v>11992</v>
      </c>
      <c r="H552" s="285" t="s">
        <v>11993</v>
      </c>
      <c r="I552" s="285" t="s">
        <v>843</v>
      </c>
      <c r="J552" s="285" t="s">
        <v>5012</v>
      </c>
      <c r="K552" s="285" t="s">
        <v>10114</v>
      </c>
      <c r="L552" s="285" t="s">
        <v>10127</v>
      </c>
      <c r="M552" s="285" t="s">
        <v>9383</v>
      </c>
      <c r="N552" s="287" t="str">
        <f>IFERROR(
    IF(
        AND(
            VLOOKUP(B552, 'รายชื่อพนักงานลาออกพ้นสภาพ'!B:I, 8, FALSE)&lt;&gt;"ยกเลิกลาออก",
            VLOOKUP(B552, 'รายชื่อพนักงานลาออกพ้นสภาพ'!B:I, 7, FALSE)&lt;=TODAY()
        ),
        "ลาออกแล้ว",
        ""
    ),
"")</f>
        <v/>
      </c>
      <c r="O552" s="292" t="str">
        <f t="array" ref="O552">IFERROR(INDEX(PCRent!C:D, MATCH(F552 &amp; " " &amp; G552, PCRent!A:A &amp; " " &amp; PCRent!B:B, 0)), "")</f>
        <v/>
      </c>
      <c r="P552" s="293"/>
      <c r="Q552" s="294" t="str">
        <f t="array" ref="Q552">IFERROR(INDEX(MonitorRent!C:D, MATCH(F552 &amp; " " &amp; G552, MonitorRent!A:A &amp; " " &amp; MonitorRent!B:B, 0)), "")</f>
        <v/>
      </c>
      <c r="R552" s="295"/>
    </row>
    <row r="553">
      <c r="A553" s="284">
        <v>550.0</v>
      </c>
      <c r="B553" s="285" t="s">
        <v>11994</v>
      </c>
      <c r="C553" s="285" t="s">
        <v>10103</v>
      </c>
      <c r="D553" s="286" t="s">
        <v>11995</v>
      </c>
      <c r="E553" s="285" t="s">
        <v>6933</v>
      </c>
      <c r="F553" s="285" t="s">
        <v>11996</v>
      </c>
      <c r="G553" s="285" t="s">
        <v>11997</v>
      </c>
      <c r="H553" s="285" t="s">
        <v>10323</v>
      </c>
      <c r="I553" s="285" t="s">
        <v>11998</v>
      </c>
      <c r="J553" s="285" t="s">
        <v>5012</v>
      </c>
      <c r="K553" s="285" t="s">
        <v>5638</v>
      </c>
      <c r="L553" s="285" t="s">
        <v>10127</v>
      </c>
      <c r="M553" s="285" t="s">
        <v>9383</v>
      </c>
      <c r="N553" s="287" t="str">
        <f>IFERROR(
    IF(
        AND(
            VLOOKUP(B553, 'รายชื่อพนักงานลาออกพ้นสภาพ'!B:I, 8, FALSE)&lt;&gt;"ยกเลิกลาออก",
            VLOOKUP(B553, 'รายชื่อพนักงานลาออกพ้นสภาพ'!B:I, 7, FALSE)&lt;=TODAY()
        ),
        "ลาออกแล้ว",
        ""
    ),
"")</f>
        <v/>
      </c>
      <c r="O553" s="292" t="str">
        <f t="array" ref="O553">IFERROR(INDEX(PCRent!C:D, MATCH(F553 &amp; " " &amp; G553, PCRent!A:A &amp; " " &amp; PCRent!B:B, 0)), "")</f>
        <v/>
      </c>
      <c r="P553" s="293"/>
      <c r="Q553" s="294" t="str">
        <f t="array" ref="Q553">IFERROR(INDEX(MonitorRent!C:D, MATCH(F553 &amp; " " &amp; G553, MonitorRent!A:A &amp; " " &amp; MonitorRent!B:B, 0)), "")</f>
        <v/>
      </c>
      <c r="R553" s="295"/>
    </row>
    <row r="554">
      <c r="A554" s="284">
        <v>551.0</v>
      </c>
      <c r="B554" s="285" t="s">
        <v>11999</v>
      </c>
      <c r="C554" s="285" t="s">
        <v>10103</v>
      </c>
      <c r="D554" s="286" t="s">
        <v>12000</v>
      </c>
      <c r="E554" s="285" t="s">
        <v>6921</v>
      </c>
      <c r="F554" s="285" t="s">
        <v>12001</v>
      </c>
      <c r="G554" s="285" t="s">
        <v>12002</v>
      </c>
      <c r="H554" s="285" t="s">
        <v>10048</v>
      </c>
      <c r="I554" s="285" t="s">
        <v>12003</v>
      </c>
      <c r="J554" s="285" t="s">
        <v>5224</v>
      </c>
      <c r="K554" s="285" t="s">
        <v>9851</v>
      </c>
      <c r="L554" s="285" t="s">
        <v>54</v>
      </c>
      <c r="M554" s="285" t="s">
        <v>9383</v>
      </c>
      <c r="N554" s="287" t="str">
        <f>IFERROR(
    IF(
        AND(
            VLOOKUP(B554, 'รายชื่อพนักงานลาออกพ้นสภาพ'!B:I, 8, FALSE)&lt;&gt;"ยกเลิกลาออก",
            VLOOKUP(B554, 'รายชื่อพนักงานลาออกพ้นสภาพ'!B:I, 7, FALSE)&lt;=TODAY()
        ),
        "ลาออกแล้ว",
        ""
    ),
"")</f>
        <v/>
      </c>
      <c r="O554" s="292" t="str">
        <f t="array" ref="O554">IFERROR(INDEX(PCRent!C:D, MATCH(F554 &amp; " " &amp; G554, PCRent!A:A &amp; " " &amp; PCRent!B:B, 0)), "")</f>
        <v/>
      </c>
      <c r="P554" s="293"/>
      <c r="Q554" s="294" t="str">
        <f t="array" ref="Q554">IFERROR(INDEX(MonitorRent!C:D, MATCH(F554 &amp; " " &amp; G554, MonitorRent!A:A &amp; " " &amp; MonitorRent!B:B, 0)), "")</f>
        <v/>
      </c>
      <c r="R554" s="295"/>
    </row>
    <row r="555">
      <c r="A555" s="284">
        <v>552.0</v>
      </c>
      <c r="B555" s="285" t="s">
        <v>3444</v>
      </c>
      <c r="C555" s="285" t="s">
        <v>10103</v>
      </c>
      <c r="D555" s="286" t="s">
        <v>12004</v>
      </c>
      <c r="E555" s="285" t="s">
        <v>6921</v>
      </c>
      <c r="F555" s="285" t="s">
        <v>12005</v>
      </c>
      <c r="G555" s="285" t="s">
        <v>12006</v>
      </c>
      <c r="H555" s="285" t="s">
        <v>12007</v>
      </c>
      <c r="I555" s="285" t="s">
        <v>6505</v>
      </c>
      <c r="J555" s="285" t="s">
        <v>5012</v>
      </c>
      <c r="K555" s="285" t="s">
        <v>1417</v>
      </c>
      <c r="L555" s="285" t="s">
        <v>832</v>
      </c>
      <c r="M555" s="285" t="s">
        <v>9383</v>
      </c>
      <c r="N555" s="287" t="str">
        <f>IFERROR(
    IF(
        AND(
            VLOOKUP(B555, 'รายชื่อพนักงานลาออกพ้นสภาพ'!B:I, 8, FALSE)&lt;&gt;"ยกเลิกลาออก",
            VLOOKUP(B555, 'รายชื่อพนักงานลาออกพ้นสภาพ'!B:I, 7, FALSE)&lt;=TODAY()
        ),
        "ลาออกแล้ว",
        ""
    ),
"")</f>
        <v/>
      </c>
      <c r="O555" s="292" t="str">
        <f t="array" ref="O555">IFERROR(INDEX(PCRent!C:D, MATCH(F555 &amp; " " &amp; G555, PCRent!A:A &amp; " " &amp; PCRent!B:B, 0)), "")</f>
        <v/>
      </c>
      <c r="P555" s="293"/>
      <c r="Q555" s="294" t="str">
        <f t="array" ref="Q555">IFERROR(INDEX(MonitorRent!C:D, MATCH(F555 &amp; " " &amp; G555, MonitorRent!A:A &amp; " " &amp; MonitorRent!B:B, 0)), "")</f>
        <v/>
      </c>
      <c r="R555" s="295"/>
    </row>
    <row r="556">
      <c r="A556" s="284">
        <v>553.0</v>
      </c>
      <c r="B556" s="285" t="s">
        <v>834</v>
      </c>
      <c r="C556" s="285" t="s">
        <v>10103</v>
      </c>
      <c r="D556" s="286" t="s">
        <v>12008</v>
      </c>
      <c r="E556" s="285" t="s">
        <v>6921</v>
      </c>
      <c r="F556" s="285" t="s">
        <v>12009</v>
      </c>
      <c r="G556" s="285" t="s">
        <v>12010</v>
      </c>
      <c r="H556" s="285" t="s">
        <v>12011</v>
      </c>
      <c r="I556" s="285" t="s">
        <v>836</v>
      </c>
      <c r="J556" s="285" t="s">
        <v>5224</v>
      </c>
      <c r="K556" s="285" t="s">
        <v>4835</v>
      </c>
      <c r="L556" s="285" t="s">
        <v>832</v>
      </c>
      <c r="M556" s="285" t="s">
        <v>9383</v>
      </c>
      <c r="N556" s="287" t="str">
        <f>IFERROR(
    IF(
        AND(
            VLOOKUP(B556, 'รายชื่อพนักงานลาออกพ้นสภาพ'!B:I, 8, FALSE)&lt;&gt;"ยกเลิกลาออก",
            VLOOKUP(B556, 'รายชื่อพนักงานลาออกพ้นสภาพ'!B:I, 7, FALSE)&lt;=TODAY()
        ),
        "ลาออกแล้ว",
        ""
    ),
"")</f>
        <v>ลาออกแล้ว</v>
      </c>
      <c r="O556" s="292" t="str">
        <f t="array" ref="O556:P556">IFERROR(INDEX(PCRent!C:D, MATCH(F556 &amp; " " &amp; G556, PCRent!A:A &amp; " " &amp; PCRent!B:B, 0)), "")</f>
        <v>SN:MP2E0P7K</v>
      </c>
      <c r="P556" s="293" t="s">
        <v>6993</v>
      </c>
      <c r="Q556" s="294" t="str">
        <f t="array" ref="Q556">IFERROR(INDEX(MonitorRent!C:D, MATCH(F556 &amp; " " &amp; G556, MonitorRent!A:A &amp; " " &amp; MonitorRent!B:B, 0)), "")</f>
        <v/>
      </c>
      <c r="R556" s="295"/>
    </row>
    <row r="557">
      <c r="A557" s="284">
        <v>554.0</v>
      </c>
      <c r="B557" s="285" t="s">
        <v>12012</v>
      </c>
      <c r="C557" s="285" t="s">
        <v>10103</v>
      </c>
      <c r="D557" s="286" t="s">
        <v>12013</v>
      </c>
      <c r="E557" s="285" t="s">
        <v>6933</v>
      </c>
      <c r="F557" s="285" t="s">
        <v>12014</v>
      </c>
      <c r="G557" s="285" t="s">
        <v>12015</v>
      </c>
      <c r="H557" s="285" t="s">
        <v>10812</v>
      </c>
      <c r="I557" s="285" t="s">
        <v>12016</v>
      </c>
      <c r="J557" s="285" t="s">
        <v>5012</v>
      </c>
      <c r="K557" s="285" t="s">
        <v>1412</v>
      </c>
      <c r="L557" s="285" t="s">
        <v>10127</v>
      </c>
      <c r="M557" s="285" t="s">
        <v>9383</v>
      </c>
      <c r="N557" s="287" t="str">
        <f>IFERROR(
    IF(
        AND(
            VLOOKUP(B557, 'รายชื่อพนักงานลาออกพ้นสภาพ'!B:I, 8, FALSE)&lt;&gt;"ยกเลิกลาออก",
            VLOOKUP(B557, 'รายชื่อพนักงานลาออกพ้นสภาพ'!B:I, 7, FALSE)&lt;=TODAY()
        ),
        "ลาออกแล้ว",
        ""
    ),
"")</f>
        <v/>
      </c>
      <c r="O557" s="292" t="str">
        <f t="array" ref="O557">IFERROR(INDEX(PCRent!C:D, MATCH(F557 &amp; " " &amp; G557, PCRent!A:A &amp; " " &amp; PCRent!B:B, 0)), "")</f>
        <v/>
      </c>
      <c r="P557" s="293"/>
      <c r="Q557" s="294" t="str">
        <f t="array" ref="Q557">IFERROR(INDEX(MonitorRent!C:D, MATCH(F557 &amp; " " &amp; G557, MonitorRent!A:A &amp; " " &amp; MonitorRent!B:B, 0)), "")</f>
        <v/>
      </c>
      <c r="R557" s="295"/>
    </row>
    <row r="558">
      <c r="A558" s="284">
        <v>555.0</v>
      </c>
      <c r="B558" s="285" t="s">
        <v>12017</v>
      </c>
      <c r="C558" s="285" t="s">
        <v>10103</v>
      </c>
      <c r="D558" s="286" t="s">
        <v>10758</v>
      </c>
      <c r="E558" s="285" t="s">
        <v>6921</v>
      </c>
      <c r="F558" s="285" t="s">
        <v>12018</v>
      </c>
      <c r="G558" s="285" t="s">
        <v>12019</v>
      </c>
      <c r="H558" s="285" t="s">
        <v>10957</v>
      </c>
      <c r="I558" s="285" t="s">
        <v>12020</v>
      </c>
      <c r="J558" s="285" t="s">
        <v>5224</v>
      </c>
      <c r="K558" s="285" t="s">
        <v>1456</v>
      </c>
      <c r="L558" s="285" t="s">
        <v>10163</v>
      </c>
      <c r="M558" s="285" t="s">
        <v>9383</v>
      </c>
      <c r="N558" s="287" t="str">
        <f>IFERROR(
    IF(
        AND(
            VLOOKUP(B558, 'รายชื่อพนักงานลาออกพ้นสภาพ'!B:I, 8, FALSE)&lt;&gt;"ยกเลิกลาออก",
            VLOOKUP(B558, 'รายชื่อพนักงานลาออกพ้นสภาพ'!B:I, 7, FALSE)&lt;=TODAY()
        ),
        "ลาออกแล้ว",
        ""
    ),
"")</f>
        <v/>
      </c>
      <c r="O558" s="292" t="str">
        <f t="array" ref="O558">IFERROR(INDEX(PCRent!C:D, MATCH(F558 &amp; " " &amp; G558, PCRent!A:A &amp; " " &amp; PCRent!B:B, 0)), "")</f>
        <v/>
      </c>
      <c r="P558" s="293"/>
      <c r="Q558" s="294" t="str">
        <f t="array" ref="Q558">IFERROR(INDEX(MonitorRent!C:D, MATCH(F558 &amp; " " &amp; G558, MonitorRent!A:A &amp; " " &amp; MonitorRent!B:B, 0)), "")</f>
        <v/>
      </c>
      <c r="R558" s="295"/>
    </row>
    <row r="559">
      <c r="A559" s="284">
        <v>556.0</v>
      </c>
      <c r="B559" s="285" t="s">
        <v>12021</v>
      </c>
      <c r="C559" s="285" t="s">
        <v>10103</v>
      </c>
      <c r="D559" s="286" t="s">
        <v>12022</v>
      </c>
      <c r="E559" s="285" t="s">
        <v>6921</v>
      </c>
      <c r="F559" s="285" t="s">
        <v>12023</v>
      </c>
      <c r="G559" s="285" t="s">
        <v>12024</v>
      </c>
      <c r="H559" s="285" t="s">
        <v>12025</v>
      </c>
      <c r="I559" s="285" t="s">
        <v>12026</v>
      </c>
      <c r="J559" s="285" t="s">
        <v>5012</v>
      </c>
      <c r="K559" s="285" t="s">
        <v>4835</v>
      </c>
      <c r="L559" s="285" t="s">
        <v>566</v>
      </c>
      <c r="M559" s="285" t="s">
        <v>9383</v>
      </c>
      <c r="N559" s="287" t="str">
        <f>IFERROR(
    IF(
        AND(
            VLOOKUP(B559, 'รายชื่อพนักงานลาออกพ้นสภาพ'!B:I, 8, FALSE)&lt;&gt;"ยกเลิกลาออก",
            VLOOKUP(B559, 'รายชื่อพนักงานลาออกพ้นสภาพ'!B:I, 7, FALSE)&lt;=TODAY()
        ),
        "ลาออกแล้ว",
        ""
    ),
"")</f>
        <v/>
      </c>
      <c r="O559" s="292" t="str">
        <f t="array" ref="O559">IFERROR(INDEX(PCRent!C:D, MATCH(F559 &amp; " " &amp; G559, PCRent!A:A &amp; " " &amp; PCRent!B:B, 0)), "")</f>
        <v/>
      </c>
      <c r="P559" s="293"/>
      <c r="Q559" s="294" t="str">
        <f t="array" ref="Q559">IFERROR(INDEX(MonitorRent!C:D, MATCH(F559 &amp; " " &amp; G559, MonitorRent!A:A &amp; " " &amp; MonitorRent!B:B, 0)), "")</f>
        <v/>
      </c>
      <c r="R559" s="295"/>
    </row>
    <row r="560">
      <c r="A560" s="284">
        <v>557.0</v>
      </c>
      <c r="B560" s="285" t="s">
        <v>12027</v>
      </c>
      <c r="C560" s="285" t="s">
        <v>10103</v>
      </c>
      <c r="D560" s="286" t="s">
        <v>10594</v>
      </c>
      <c r="E560" s="285" t="s">
        <v>6921</v>
      </c>
      <c r="F560" s="285" t="s">
        <v>12028</v>
      </c>
      <c r="G560" s="285" t="s">
        <v>12029</v>
      </c>
      <c r="H560" s="285" t="s">
        <v>12030</v>
      </c>
      <c r="I560" s="285" t="s">
        <v>12031</v>
      </c>
      <c r="J560" s="285" t="s">
        <v>5224</v>
      </c>
      <c r="K560" s="285" t="s">
        <v>1392</v>
      </c>
      <c r="L560" s="285" t="s">
        <v>12032</v>
      </c>
      <c r="M560" s="285" t="s">
        <v>9383</v>
      </c>
      <c r="N560" s="287" t="str">
        <f>IFERROR(
    IF(
        AND(
            VLOOKUP(B560, 'รายชื่อพนักงานลาออกพ้นสภาพ'!B:I, 8, FALSE)&lt;&gt;"ยกเลิกลาออก",
            VLOOKUP(B560, 'รายชื่อพนักงานลาออกพ้นสภาพ'!B:I, 7, FALSE)&lt;=TODAY()
        ),
        "ลาออกแล้ว",
        ""
    ),
"")</f>
        <v/>
      </c>
      <c r="O560" s="292" t="str">
        <f t="array" ref="O560:P560">IFERROR(INDEX(PCRent!C:D, MATCH(F560 &amp; " " &amp; G560, PCRent!A:A &amp; " " &amp; PCRent!B:B, 0)), "")</f>
        <v>SN:MP2M8G9A</v>
      </c>
      <c r="P560" s="293" t="s">
        <v>7248</v>
      </c>
      <c r="Q560" s="294" t="str">
        <f t="array" ref="Q560">IFERROR(INDEX(MonitorRent!C:D, MATCH(F560 &amp; " " &amp; G560, MonitorRent!A:A &amp; " " &amp; MonitorRent!B:B, 0)), "")</f>
        <v/>
      </c>
      <c r="R560" s="295"/>
    </row>
    <row r="561">
      <c r="A561" s="284">
        <v>558.0</v>
      </c>
      <c r="B561" s="285" t="s">
        <v>12033</v>
      </c>
      <c r="C561" s="285" t="s">
        <v>10103</v>
      </c>
      <c r="D561" s="286" t="s">
        <v>12034</v>
      </c>
      <c r="E561" s="285" t="s">
        <v>6921</v>
      </c>
      <c r="F561" s="285" t="s">
        <v>12035</v>
      </c>
      <c r="G561" s="285" t="s">
        <v>12036</v>
      </c>
      <c r="H561" s="285" t="s">
        <v>12037</v>
      </c>
      <c r="I561" s="285" t="s">
        <v>12038</v>
      </c>
      <c r="J561" s="285" t="s">
        <v>5012</v>
      </c>
      <c r="K561" s="285" t="s">
        <v>10405</v>
      </c>
      <c r="L561" s="285" t="s">
        <v>832</v>
      </c>
      <c r="M561" s="285" t="s">
        <v>9383</v>
      </c>
      <c r="N561" s="287" t="str">
        <f>IFERROR(
    IF(
        AND(
            VLOOKUP(B561, 'รายชื่อพนักงานลาออกพ้นสภาพ'!B:I, 8, FALSE)&lt;&gt;"ยกเลิกลาออก",
            VLOOKUP(B561, 'รายชื่อพนักงานลาออกพ้นสภาพ'!B:I, 7, FALSE)&lt;=TODAY()
        ),
        "ลาออกแล้ว",
        ""
    ),
"")</f>
        <v/>
      </c>
      <c r="O561" s="292" t="str">
        <f t="array" ref="O561">IFERROR(INDEX(PCRent!C:D, MATCH(F561 &amp; " " &amp; G561, PCRent!A:A &amp; " " &amp; PCRent!B:B, 0)), "")</f>
        <v/>
      </c>
      <c r="P561" s="293"/>
      <c r="Q561" s="294" t="str">
        <f t="array" ref="Q561">IFERROR(INDEX(MonitorRent!C:D, MATCH(F561 &amp; " " &amp; G561, MonitorRent!A:A &amp; " " &amp; MonitorRent!B:B, 0)), "")</f>
        <v/>
      </c>
      <c r="R561" s="295"/>
    </row>
    <row r="562">
      <c r="A562" s="284">
        <v>559.0</v>
      </c>
      <c r="B562" s="285" t="s">
        <v>12039</v>
      </c>
      <c r="C562" s="285" t="s">
        <v>10103</v>
      </c>
      <c r="D562" s="286" t="s">
        <v>12040</v>
      </c>
      <c r="E562" s="285" t="s">
        <v>6921</v>
      </c>
      <c r="F562" s="285" t="s">
        <v>12041</v>
      </c>
      <c r="G562" s="285" t="s">
        <v>12042</v>
      </c>
      <c r="H562" s="285" t="s">
        <v>9413</v>
      </c>
      <c r="I562" s="285" t="s">
        <v>12043</v>
      </c>
      <c r="J562" s="285" t="s">
        <v>5224</v>
      </c>
      <c r="K562" s="285" t="s">
        <v>4749</v>
      </c>
      <c r="L562" s="285" t="s">
        <v>10127</v>
      </c>
      <c r="M562" s="285" t="s">
        <v>9383</v>
      </c>
      <c r="N562" s="287" t="str">
        <f>IFERROR(
    IF(
        AND(
            VLOOKUP(B562, 'รายชื่อพนักงานลาออกพ้นสภาพ'!B:I, 8, FALSE)&lt;&gt;"ยกเลิกลาออก",
            VLOOKUP(B562, 'รายชื่อพนักงานลาออกพ้นสภาพ'!B:I, 7, FALSE)&lt;=TODAY()
        ),
        "ลาออกแล้ว",
        ""
    ),
"")</f>
        <v/>
      </c>
      <c r="O562" s="292" t="str">
        <f t="array" ref="O562">IFERROR(INDEX(PCRent!C:D, MATCH(F562 &amp; " " &amp; G562, PCRent!A:A &amp; " " &amp; PCRent!B:B, 0)), "")</f>
        <v/>
      </c>
      <c r="P562" s="293"/>
      <c r="Q562" s="294" t="str">
        <f t="array" ref="Q562">IFERROR(INDEX(MonitorRent!C:D, MATCH(F562 &amp; " " &amp; G562, MonitorRent!A:A &amp; " " &amp; MonitorRent!B:B, 0)), "")</f>
        <v/>
      </c>
      <c r="R562" s="295"/>
    </row>
    <row r="563">
      <c r="A563" s="284">
        <v>560.0</v>
      </c>
      <c r="B563" s="285" t="s">
        <v>12044</v>
      </c>
      <c r="C563" s="285" t="s">
        <v>10103</v>
      </c>
      <c r="D563" s="286" t="s">
        <v>9606</v>
      </c>
      <c r="E563" s="285" t="s">
        <v>6921</v>
      </c>
      <c r="F563" s="285" t="s">
        <v>12045</v>
      </c>
      <c r="G563" s="285" t="s">
        <v>12046</v>
      </c>
      <c r="H563" s="285" t="s">
        <v>10536</v>
      </c>
      <c r="I563" s="285" t="s">
        <v>12047</v>
      </c>
      <c r="J563" s="285" t="s">
        <v>5224</v>
      </c>
      <c r="K563" s="285" t="s">
        <v>10273</v>
      </c>
      <c r="L563" s="285" t="s">
        <v>5805</v>
      </c>
      <c r="M563" s="285" t="s">
        <v>9383</v>
      </c>
      <c r="N563" s="287" t="str">
        <f>IFERROR(
    IF(
        AND(
            VLOOKUP(B563, 'รายชื่อพนักงานลาออกพ้นสภาพ'!B:I, 8, FALSE)&lt;&gt;"ยกเลิกลาออก",
            VLOOKUP(B563, 'รายชื่อพนักงานลาออกพ้นสภาพ'!B:I, 7, FALSE)&lt;=TODAY()
        ),
        "ลาออกแล้ว",
        ""
    ),
"")</f>
        <v/>
      </c>
      <c r="O563" s="292" t="str">
        <f t="array" ref="O563">IFERROR(INDEX(PCRent!C:D, MATCH(F563 &amp; " " &amp; G563, PCRent!A:A &amp; " " &amp; PCRent!B:B, 0)), "")</f>
        <v/>
      </c>
      <c r="P563" s="293"/>
      <c r="Q563" s="294" t="str">
        <f t="array" ref="Q563">IFERROR(INDEX(MonitorRent!C:D, MATCH(F563 &amp; " " &amp; G563, MonitorRent!A:A &amp; " " &amp; MonitorRent!B:B, 0)), "")</f>
        <v/>
      </c>
      <c r="R563" s="295"/>
    </row>
    <row r="564">
      <c r="A564" s="284">
        <v>561.0</v>
      </c>
      <c r="B564" s="285" t="s">
        <v>511</v>
      </c>
      <c r="C564" s="285" t="s">
        <v>10103</v>
      </c>
      <c r="D564" s="286" t="s">
        <v>9399</v>
      </c>
      <c r="E564" s="285" t="s">
        <v>6933</v>
      </c>
      <c r="F564" s="285" t="s">
        <v>12048</v>
      </c>
      <c r="G564" s="285" t="s">
        <v>12049</v>
      </c>
      <c r="H564" s="285" t="s">
        <v>12050</v>
      </c>
      <c r="I564" s="285" t="s">
        <v>513</v>
      </c>
      <c r="J564" s="285" t="s">
        <v>5012</v>
      </c>
      <c r="K564" s="285" t="s">
        <v>1417</v>
      </c>
      <c r="L564" s="285" t="s">
        <v>832</v>
      </c>
      <c r="M564" s="285" t="s">
        <v>9391</v>
      </c>
      <c r="N564" s="287" t="str">
        <f>IFERROR(
    IF(
        AND(
            VLOOKUP(B564, 'รายชื่อพนักงานลาออกพ้นสภาพ'!B:I, 8, FALSE)&lt;&gt;"ยกเลิกลาออก",
            VLOOKUP(B564, 'รายชื่อพนักงานลาออกพ้นสภาพ'!B:I, 7, FALSE)&lt;=TODAY()
        ),
        "ลาออกแล้ว",
        ""
    ),
"")</f>
        <v>ลาออกแล้ว</v>
      </c>
      <c r="O564" s="292" t="str">
        <f t="array" ref="O564">IFERROR(INDEX(PCRent!C:D, MATCH(F564 &amp; " " &amp; G564, PCRent!A:A &amp; " " &amp; PCRent!B:B, 0)), "")</f>
        <v/>
      </c>
      <c r="P564" s="293"/>
      <c r="Q564" s="294" t="str">
        <f t="array" ref="Q564">IFERROR(INDEX(MonitorRent!C:D, MATCH(F564 &amp; " " &amp; G564, MonitorRent!A:A &amp; " " &amp; MonitorRent!B:B, 0)), "")</f>
        <v/>
      </c>
      <c r="R564" s="295"/>
    </row>
    <row r="565">
      <c r="A565" s="284">
        <v>562.0</v>
      </c>
      <c r="B565" s="285" t="s">
        <v>12051</v>
      </c>
      <c r="C565" s="285" t="s">
        <v>10103</v>
      </c>
      <c r="D565" s="286" t="s">
        <v>12052</v>
      </c>
      <c r="E565" s="285" t="s">
        <v>6933</v>
      </c>
      <c r="F565" s="285" t="s">
        <v>12053</v>
      </c>
      <c r="G565" s="285" t="s">
        <v>12054</v>
      </c>
      <c r="H565" s="285" t="s">
        <v>12055</v>
      </c>
      <c r="I565" s="285" t="s">
        <v>12056</v>
      </c>
      <c r="J565" s="285" t="s">
        <v>5224</v>
      </c>
      <c r="K565" s="285" t="s">
        <v>4749</v>
      </c>
      <c r="L565" s="285" t="s">
        <v>10438</v>
      </c>
      <c r="M565" s="285" t="s">
        <v>9383</v>
      </c>
      <c r="N565" s="287" t="str">
        <f>IFERROR(
    IF(
        AND(
            VLOOKUP(B565, 'รายชื่อพนักงานลาออกพ้นสภาพ'!B:I, 8, FALSE)&lt;&gt;"ยกเลิกลาออก",
            VLOOKUP(B565, 'รายชื่อพนักงานลาออกพ้นสภาพ'!B:I, 7, FALSE)&lt;=TODAY()
        ),
        "ลาออกแล้ว",
        ""
    ),
"")</f>
        <v/>
      </c>
      <c r="O565" s="292" t="str">
        <f t="array" ref="O565:P565">IFERROR(INDEX(PCRent!C:D, MATCH(F565 &amp; " " &amp; G565, PCRent!A:A &amp; " " &amp; PCRent!B:B, 0)), "")</f>
        <v>SN:MP2E0ETV</v>
      </c>
      <c r="P565" s="293" t="s">
        <v>6993</v>
      </c>
      <c r="Q565" s="294" t="str">
        <f t="array" ref="Q565">IFERROR(INDEX(MonitorRent!C:D, MATCH(F565 &amp; " " &amp; G565, MonitorRent!A:A &amp; " " &amp; MonitorRent!B:B, 0)), "")</f>
        <v/>
      </c>
      <c r="R565" s="295"/>
    </row>
    <row r="566">
      <c r="A566" s="284">
        <v>563.0</v>
      </c>
      <c r="B566" s="285" t="s">
        <v>12057</v>
      </c>
      <c r="C566" s="285" t="s">
        <v>10103</v>
      </c>
      <c r="D566" s="286" t="s">
        <v>12058</v>
      </c>
      <c r="E566" s="285" t="s">
        <v>6933</v>
      </c>
      <c r="F566" s="285" t="s">
        <v>12053</v>
      </c>
      <c r="G566" s="285" t="s">
        <v>12059</v>
      </c>
      <c r="H566" s="285" t="s">
        <v>12060</v>
      </c>
      <c r="I566" s="285" t="s">
        <v>12061</v>
      </c>
      <c r="J566" s="285" t="s">
        <v>5012</v>
      </c>
      <c r="K566" s="285" t="s">
        <v>1412</v>
      </c>
      <c r="L566" s="285" t="s">
        <v>10127</v>
      </c>
      <c r="M566" s="285" t="s">
        <v>9383</v>
      </c>
      <c r="N566" s="287" t="str">
        <f>IFERROR(
    IF(
        AND(
            VLOOKUP(B566, 'รายชื่อพนักงานลาออกพ้นสภาพ'!B:I, 8, FALSE)&lt;&gt;"ยกเลิกลาออก",
            VLOOKUP(B566, 'รายชื่อพนักงานลาออกพ้นสภาพ'!B:I, 7, FALSE)&lt;=TODAY()
        ),
        "ลาออกแล้ว",
        ""
    ),
"")</f>
        <v/>
      </c>
      <c r="O566" s="292" t="str">
        <f t="array" ref="O566">IFERROR(INDEX(PCRent!C:D, MATCH(F566 &amp; " " &amp; G566, PCRent!A:A &amp; " " &amp; PCRent!B:B, 0)), "")</f>
        <v/>
      </c>
      <c r="P566" s="293"/>
      <c r="Q566" s="294" t="str">
        <f t="array" ref="Q566">IFERROR(INDEX(MonitorRent!C:D, MATCH(F566 &amp; " " &amp; G566, MonitorRent!A:A &amp; " " &amp; MonitorRent!B:B, 0)), "")</f>
        <v/>
      </c>
      <c r="R566" s="295"/>
    </row>
    <row r="567">
      <c r="A567" s="284">
        <v>564.0</v>
      </c>
      <c r="B567" s="285" t="s">
        <v>12062</v>
      </c>
      <c r="C567" s="285" t="s">
        <v>10103</v>
      </c>
      <c r="D567" s="286" t="s">
        <v>10329</v>
      </c>
      <c r="E567" s="285" t="s">
        <v>6933</v>
      </c>
      <c r="F567" s="285" t="s">
        <v>12053</v>
      </c>
      <c r="G567" s="285" t="s">
        <v>12063</v>
      </c>
      <c r="H567" s="285" t="s">
        <v>12064</v>
      </c>
      <c r="I567" s="285" t="s">
        <v>12065</v>
      </c>
      <c r="J567" s="285" t="s">
        <v>5012</v>
      </c>
      <c r="K567" s="285" t="s">
        <v>1606</v>
      </c>
      <c r="L567" s="285" t="s">
        <v>832</v>
      </c>
      <c r="M567" s="285" t="s">
        <v>9383</v>
      </c>
      <c r="N567" s="287" t="str">
        <f>IFERROR(
    IF(
        AND(
            VLOOKUP(B567, 'รายชื่อพนักงานลาออกพ้นสภาพ'!B:I, 8, FALSE)&lt;&gt;"ยกเลิกลาออก",
            VLOOKUP(B567, 'รายชื่อพนักงานลาออกพ้นสภาพ'!B:I, 7, FALSE)&lt;=TODAY()
        ),
        "ลาออกแล้ว",
        ""
    ),
"")</f>
        <v/>
      </c>
      <c r="O567" s="292" t="str">
        <f t="array" ref="O567">IFERROR(INDEX(PCRent!C:D, MATCH(F567 &amp; " " &amp; G567, PCRent!A:A &amp; " " &amp; PCRent!B:B, 0)), "")</f>
        <v/>
      </c>
      <c r="P567" s="293"/>
      <c r="Q567" s="294" t="str">
        <f t="array" ref="Q567">IFERROR(INDEX(MonitorRent!C:D, MATCH(F567 &amp; " " &amp; G567, MonitorRent!A:A &amp; " " &amp; MonitorRent!B:B, 0)), "")</f>
        <v/>
      </c>
      <c r="R567" s="295"/>
    </row>
    <row r="568">
      <c r="A568" s="284">
        <v>565.0</v>
      </c>
      <c r="B568" s="285" t="s">
        <v>12066</v>
      </c>
      <c r="C568" s="285" t="s">
        <v>10103</v>
      </c>
      <c r="D568" s="286" t="s">
        <v>10206</v>
      </c>
      <c r="E568" s="285" t="s">
        <v>6921</v>
      </c>
      <c r="F568" s="285" t="s">
        <v>12067</v>
      </c>
      <c r="G568" s="285" t="s">
        <v>12068</v>
      </c>
      <c r="H568" s="285" t="s">
        <v>9956</v>
      </c>
      <c r="I568" s="285" t="s">
        <v>12069</v>
      </c>
      <c r="J568" s="285" t="s">
        <v>5012</v>
      </c>
      <c r="K568" s="285" t="s">
        <v>10273</v>
      </c>
      <c r="L568" s="285" t="s">
        <v>10538</v>
      </c>
      <c r="M568" s="285" t="s">
        <v>9391</v>
      </c>
      <c r="N568" s="287" t="str">
        <f>IFERROR(
    IF(
        AND(
            VLOOKUP(B568, 'รายชื่อพนักงานลาออกพ้นสภาพ'!B:I, 8, FALSE)&lt;&gt;"ยกเลิกลาออก",
            VLOOKUP(B568, 'รายชื่อพนักงานลาออกพ้นสภาพ'!B:I, 7, FALSE)&lt;=TODAY()
        ),
        "ลาออกแล้ว",
        ""
    ),
"")</f>
        <v/>
      </c>
      <c r="O568" s="292" t="str">
        <f t="array" ref="O568">IFERROR(INDEX(PCRent!C:D, MATCH(F568 &amp; " " &amp; G568, PCRent!A:A &amp; " " &amp; PCRent!B:B, 0)), "")</f>
        <v/>
      </c>
      <c r="P568" s="293"/>
      <c r="Q568" s="294" t="str">
        <f t="array" ref="Q568">IFERROR(INDEX(MonitorRent!C:D, MATCH(F568 &amp; " " &amp; G568, MonitorRent!A:A &amp; " " &amp; MonitorRent!B:B, 0)), "")</f>
        <v/>
      </c>
      <c r="R568" s="295"/>
    </row>
    <row r="569">
      <c r="A569" s="284">
        <v>566.0</v>
      </c>
      <c r="B569" s="285" t="s">
        <v>3364</v>
      </c>
      <c r="C569" s="285" t="s">
        <v>10103</v>
      </c>
      <c r="D569" s="286" t="s">
        <v>12070</v>
      </c>
      <c r="E569" s="285" t="s">
        <v>6921</v>
      </c>
      <c r="F569" s="285" t="s">
        <v>12071</v>
      </c>
      <c r="G569" s="285" t="s">
        <v>12072</v>
      </c>
      <c r="H569" s="285" t="s">
        <v>10203</v>
      </c>
      <c r="I569" s="285" t="s">
        <v>6471</v>
      </c>
      <c r="J569" s="285" t="s">
        <v>5012</v>
      </c>
      <c r="K569" s="285" t="s">
        <v>3000</v>
      </c>
      <c r="L569" s="285" t="s">
        <v>10127</v>
      </c>
      <c r="M569" s="285" t="s">
        <v>9383</v>
      </c>
      <c r="N569" s="287" t="str">
        <f>IFERROR(
    IF(
        AND(
            VLOOKUP(B569, 'รายชื่อพนักงานลาออกพ้นสภาพ'!B:I, 8, FALSE)&lt;&gt;"ยกเลิกลาออก",
            VLOOKUP(B569, 'รายชื่อพนักงานลาออกพ้นสภาพ'!B:I, 7, FALSE)&lt;=TODAY()
        ),
        "ลาออกแล้ว",
        ""
    ),
"")</f>
        <v/>
      </c>
      <c r="O569" s="292" t="str">
        <f t="array" ref="O569">IFERROR(INDEX(PCRent!C:D, MATCH(F569 &amp; " " &amp; G569, PCRent!A:A &amp; " " &amp; PCRent!B:B, 0)), "")</f>
        <v/>
      </c>
      <c r="P569" s="293"/>
      <c r="Q569" s="294" t="str">
        <f t="array" ref="Q569">IFERROR(INDEX(MonitorRent!C:D, MATCH(F569 &amp; " " &amp; G569, MonitorRent!A:A &amp; " " &amp; MonitorRent!B:B, 0)), "")</f>
        <v/>
      </c>
      <c r="R569" s="295"/>
    </row>
    <row r="570">
      <c r="A570" s="284">
        <v>567.0</v>
      </c>
      <c r="B570" s="285" t="s">
        <v>611</v>
      </c>
      <c r="C570" s="285" t="s">
        <v>10103</v>
      </c>
      <c r="D570" s="286" t="s">
        <v>12073</v>
      </c>
      <c r="E570" s="285" t="s">
        <v>6921</v>
      </c>
      <c r="F570" s="285" t="s">
        <v>12074</v>
      </c>
      <c r="G570" s="285" t="s">
        <v>12075</v>
      </c>
      <c r="H570" s="285" t="s">
        <v>11546</v>
      </c>
      <c r="I570" s="285" t="s">
        <v>614</v>
      </c>
      <c r="J570" s="285" t="s">
        <v>5012</v>
      </c>
      <c r="K570" s="285" t="s">
        <v>1606</v>
      </c>
      <c r="L570" s="285" t="s">
        <v>10127</v>
      </c>
      <c r="M570" s="285" t="s">
        <v>9383</v>
      </c>
      <c r="N570" s="287" t="str">
        <f>IFERROR(
    IF(
        AND(
            VLOOKUP(B570, 'รายชื่อพนักงานลาออกพ้นสภาพ'!B:I, 8, FALSE)&lt;&gt;"ยกเลิกลาออก",
            VLOOKUP(B570, 'รายชื่อพนักงานลาออกพ้นสภาพ'!B:I, 7, FALSE)&lt;=TODAY()
        ),
        "ลาออกแล้ว",
        ""
    ),
"")</f>
        <v>ลาออกแล้ว</v>
      </c>
      <c r="O570" s="292" t="str">
        <f t="array" ref="O570">IFERROR(INDEX(PCRent!C:D, MATCH(F570 &amp; " " &amp; G570, PCRent!A:A &amp; " " &amp; PCRent!B:B, 0)), "")</f>
        <v/>
      </c>
      <c r="P570" s="293"/>
      <c r="Q570" s="294" t="str">
        <f t="array" ref="Q570">IFERROR(INDEX(MonitorRent!C:D, MATCH(F570 &amp; " " &amp; G570, MonitorRent!A:A &amp; " " &amp; MonitorRent!B:B, 0)), "")</f>
        <v/>
      </c>
      <c r="R570" s="295"/>
    </row>
    <row r="571">
      <c r="A571" s="284">
        <v>568.0</v>
      </c>
      <c r="B571" s="285" t="s">
        <v>12076</v>
      </c>
      <c r="C571" s="285" t="s">
        <v>10103</v>
      </c>
      <c r="D571" s="286" t="s">
        <v>12077</v>
      </c>
      <c r="E571" s="285" t="s">
        <v>6933</v>
      </c>
      <c r="F571" s="285" t="s">
        <v>11584</v>
      </c>
      <c r="G571" s="285" t="s">
        <v>12078</v>
      </c>
      <c r="H571" s="285" t="s">
        <v>12079</v>
      </c>
      <c r="I571" s="285" t="s">
        <v>12080</v>
      </c>
      <c r="J571" s="285" t="s">
        <v>5224</v>
      </c>
      <c r="K571" s="285" t="s">
        <v>4835</v>
      </c>
      <c r="L571" s="285" t="s">
        <v>1258</v>
      </c>
      <c r="M571" s="285" t="s">
        <v>9383</v>
      </c>
      <c r="N571" s="287" t="str">
        <f>IFERROR(
    IF(
        AND(
            VLOOKUP(B571, 'รายชื่อพนักงานลาออกพ้นสภาพ'!B:I, 8, FALSE)&lt;&gt;"ยกเลิกลาออก",
            VLOOKUP(B571, 'รายชื่อพนักงานลาออกพ้นสภาพ'!B:I, 7, FALSE)&lt;=TODAY()
        ),
        "ลาออกแล้ว",
        ""
    ),
"")</f>
        <v/>
      </c>
      <c r="O571" s="292" t="str">
        <f t="array" ref="O571:P571">IFERROR(INDEX(PCRent!C:D, MATCH(F571 &amp; " " &amp; G571, PCRent!A:A &amp; " " &amp; PCRent!B:B, 0)), "")</f>
        <v>SN:MP2M8G9N</v>
      </c>
      <c r="P571" s="293" t="s">
        <v>7248</v>
      </c>
      <c r="Q571" s="294" t="str">
        <f t="array" ref="Q571">IFERROR(INDEX(MonitorRent!C:D, MATCH(F571 &amp; " " &amp; G571, MonitorRent!A:A &amp; " " &amp; MonitorRent!B:B, 0)), "")</f>
        <v/>
      </c>
      <c r="R571" s="295"/>
    </row>
    <row r="572">
      <c r="A572" s="284">
        <v>569.0</v>
      </c>
      <c r="B572" s="285" t="s">
        <v>12081</v>
      </c>
      <c r="C572" s="285" t="s">
        <v>10103</v>
      </c>
      <c r="D572" s="286" t="s">
        <v>11121</v>
      </c>
      <c r="E572" s="285" t="s">
        <v>6933</v>
      </c>
      <c r="F572" s="285" t="s">
        <v>12082</v>
      </c>
      <c r="G572" s="285" t="s">
        <v>12083</v>
      </c>
      <c r="H572" s="285" t="s">
        <v>12084</v>
      </c>
      <c r="I572" s="285" t="s">
        <v>12085</v>
      </c>
      <c r="J572" s="285" t="s">
        <v>5012</v>
      </c>
      <c r="K572" s="285" t="s">
        <v>10114</v>
      </c>
      <c r="L572" s="285" t="s">
        <v>10127</v>
      </c>
      <c r="M572" s="285" t="s">
        <v>9391</v>
      </c>
      <c r="N572" s="287" t="str">
        <f>IFERROR(
    IF(
        AND(
            VLOOKUP(B572, 'รายชื่อพนักงานลาออกพ้นสภาพ'!B:I, 8, FALSE)&lt;&gt;"ยกเลิกลาออก",
            VLOOKUP(B572, 'รายชื่อพนักงานลาออกพ้นสภาพ'!B:I, 7, FALSE)&lt;=TODAY()
        ),
        "ลาออกแล้ว",
        ""
    ),
"")</f>
        <v/>
      </c>
      <c r="O572" s="292" t="str">
        <f t="array" ref="O572">IFERROR(INDEX(PCRent!C:D, MATCH(F572 &amp; " " &amp; G572, PCRent!A:A &amp; " " &amp; PCRent!B:B, 0)), "")</f>
        <v/>
      </c>
      <c r="P572" s="293"/>
      <c r="Q572" s="294" t="str">
        <f t="array" ref="Q572">IFERROR(INDEX(MonitorRent!C:D, MATCH(F572 &amp; " " &amp; G572, MonitorRent!A:A &amp; " " &amp; MonitorRent!B:B, 0)), "")</f>
        <v/>
      </c>
      <c r="R572" s="295"/>
    </row>
    <row r="573">
      <c r="A573" s="284">
        <v>570.0</v>
      </c>
      <c r="B573" s="285" t="s">
        <v>12086</v>
      </c>
      <c r="C573" s="285" t="s">
        <v>10103</v>
      </c>
      <c r="D573" s="286" t="s">
        <v>12087</v>
      </c>
      <c r="E573" s="285" t="s">
        <v>6921</v>
      </c>
      <c r="F573" s="285" t="s">
        <v>12088</v>
      </c>
      <c r="G573" s="285" t="s">
        <v>12089</v>
      </c>
      <c r="H573" s="285" t="s">
        <v>12030</v>
      </c>
      <c r="I573" s="285" t="s">
        <v>12090</v>
      </c>
      <c r="J573" s="285" t="s">
        <v>5224</v>
      </c>
      <c r="K573" s="285" t="s">
        <v>9851</v>
      </c>
      <c r="L573" s="285" t="s">
        <v>54</v>
      </c>
      <c r="M573" s="285" t="s">
        <v>9383</v>
      </c>
      <c r="N573" s="287" t="str">
        <f>IFERROR(
    IF(
        AND(
            VLOOKUP(B573, 'รายชื่อพนักงานลาออกพ้นสภาพ'!B:I, 8, FALSE)&lt;&gt;"ยกเลิกลาออก",
            VLOOKUP(B573, 'รายชื่อพนักงานลาออกพ้นสภาพ'!B:I, 7, FALSE)&lt;=TODAY()
        ),
        "ลาออกแล้ว",
        ""
    ),
"")</f>
        <v/>
      </c>
      <c r="O573" s="292" t="str">
        <f t="array" ref="O573">IFERROR(INDEX(PCRent!C:D, MATCH(F573 &amp; " " &amp; G573, PCRent!A:A &amp; " " &amp; PCRent!B:B, 0)), "")</f>
        <v/>
      </c>
      <c r="P573" s="293"/>
      <c r="Q573" s="294" t="str">
        <f t="array" ref="Q573">IFERROR(INDEX(MonitorRent!C:D, MATCH(F573 &amp; " " &amp; G573, MonitorRent!A:A &amp; " " &amp; MonitorRent!B:B, 0)), "")</f>
        <v/>
      </c>
      <c r="R573" s="295"/>
    </row>
    <row r="574">
      <c r="A574" s="284">
        <v>571.0</v>
      </c>
      <c r="B574" s="285" t="s">
        <v>12091</v>
      </c>
      <c r="C574" s="285" t="s">
        <v>10103</v>
      </c>
      <c r="D574" s="286" t="s">
        <v>10325</v>
      </c>
      <c r="E574" s="285" t="s">
        <v>6921</v>
      </c>
      <c r="F574" s="285" t="s">
        <v>12092</v>
      </c>
      <c r="G574" s="285" t="s">
        <v>12093</v>
      </c>
      <c r="H574" s="285" t="s">
        <v>12094</v>
      </c>
      <c r="I574" s="285" t="s">
        <v>12095</v>
      </c>
      <c r="J574" s="285" t="s">
        <v>5012</v>
      </c>
      <c r="K574" s="285" t="s">
        <v>10405</v>
      </c>
      <c r="L574" s="285" t="s">
        <v>832</v>
      </c>
      <c r="M574" s="285" t="s">
        <v>9383</v>
      </c>
      <c r="N574" s="287" t="str">
        <f>IFERROR(
    IF(
        AND(
            VLOOKUP(B574, 'รายชื่อพนักงานลาออกพ้นสภาพ'!B:I, 8, FALSE)&lt;&gt;"ยกเลิกลาออก",
            VLOOKUP(B574, 'รายชื่อพนักงานลาออกพ้นสภาพ'!B:I, 7, FALSE)&lt;=TODAY()
        ),
        "ลาออกแล้ว",
        ""
    ),
"")</f>
        <v/>
      </c>
      <c r="O574" s="292" t="str">
        <f t="array" ref="O574">IFERROR(INDEX(PCRent!C:D, MATCH(F574 &amp; " " &amp; G574, PCRent!A:A &amp; " " &amp; PCRent!B:B, 0)), "")</f>
        <v/>
      </c>
      <c r="P574" s="293"/>
      <c r="Q574" s="294" t="str">
        <f t="array" ref="Q574">IFERROR(INDEX(MonitorRent!C:D, MATCH(F574 &amp; " " &amp; G574, MonitorRent!A:A &amp; " " &amp; MonitorRent!B:B, 0)), "")</f>
        <v/>
      </c>
      <c r="R574" s="295"/>
    </row>
    <row r="575">
      <c r="A575" s="284">
        <v>572.0</v>
      </c>
      <c r="B575" s="285" t="s">
        <v>12096</v>
      </c>
      <c r="C575" s="285" t="s">
        <v>10103</v>
      </c>
      <c r="D575" s="286" t="s">
        <v>9995</v>
      </c>
      <c r="E575" s="285" t="s">
        <v>6933</v>
      </c>
      <c r="F575" s="285" t="s">
        <v>12097</v>
      </c>
      <c r="G575" s="285" t="s">
        <v>12098</v>
      </c>
      <c r="H575" s="285" t="s">
        <v>12099</v>
      </c>
      <c r="I575" s="285" t="s">
        <v>12100</v>
      </c>
      <c r="J575" s="285" t="s">
        <v>5012</v>
      </c>
      <c r="K575" s="285" t="s">
        <v>1412</v>
      </c>
      <c r="L575" s="285" t="s">
        <v>10127</v>
      </c>
      <c r="M575" s="285" t="s">
        <v>9383</v>
      </c>
      <c r="N575" s="287" t="str">
        <f>IFERROR(
    IF(
        AND(
            VLOOKUP(B575, 'รายชื่อพนักงานลาออกพ้นสภาพ'!B:I, 8, FALSE)&lt;&gt;"ยกเลิกลาออก",
            VLOOKUP(B575, 'รายชื่อพนักงานลาออกพ้นสภาพ'!B:I, 7, FALSE)&lt;=TODAY()
        ),
        "ลาออกแล้ว",
        ""
    ),
"")</f>
        <v/>
      </c>
      <c r="O575" s="292" t="str">
        <f t="array" ref="O575">IFERROR(INDEX(PCRent!C:D, MATCH(F575 &amp; " " &amp; G575, PCRent!A:A &amp; " " &amp; PCRent!B:B, 0)), "")</f>
        <v/>
      </c>
      <c r="P575" s="293"/>
      <c r="Q575" s="294" t="str">
        <f t="array" ref="Q575">IFERROR(INDEX(MonitorRent!C:D, MATCH(F575 &amp; " " &amp; G575, MonitorRent!A:A &amp; " " &amp; MonitorRent!B:B, 0)), "")</f>
        <v/>
      </c>
      <c r="R575" s="295"/>
    </row>
    <row r="576">
      <c r="A576" s="284">
        <v>573.0</v>
      </c>
      <c r="B576" s="285" t="s">
        <v>12101</v>
      </c>
      <c r="C576" s="285" t="s">
        <v>10103</v>
      </c>
      <c r="D576" s="286" t="s">
        <v>12102</v>
      </c>
      <c r="E576" s="285" t="s">
        <v>6921</v>
      </c>
      <c r="F576" s="285" t="s">
        <v>10007</v>
      </c>
      <c r="G576" s="285" t="s">
        <v>12103</v>
      </c>
      <c r="H576" s="285" t="s">
        <v>10441</v>
      </c>
      <c r="I576" s="285" t="s">
        <v>12104</v>
      </c>
      <c r="J576" s="285" t="s">
        <v>5012</v>
      </c>
      <c r="K576" s="285" t="s">
        <v>10902</v>
      </c>
      <c r="L576" s="285" t="s">
        <v>566</v>
      </c>
      <c r="M576" s="285" t="s">
        <v>9383</v>
      </c>
      <c r="N576" s="287" t="str">
        <f>IFERROR(
    IF(
        AND(
            VLOOKUP(B576, 'รายชื่อพนักงานลาออกพ้นสภาพ'!B:I, 8, FALSE)&lt;&gt;"ยกเลิกลาออก",
            VLOOKUP(B576, 'รายชื่อพนักงานลาออกพ้นสภาพ'!B:I, 7, FALSE)&lt;=TODAY()
        ),
        "ลาออกแล้ว",
        ""
    ),
"")</f>
        <v/>
      </c>
      <c r="O576" s="292" t="str">
        <f t="array" ref="O576">IFERROR(INDEX(PCRent!C:D, MATCH(F576 &amp; " " &amp; G576, PCRent!A:A &amp; " " &amp; PCRent!B:B, 0)), "")</f>
        <v/>
      </c>
      <c r="P576" s="293"/>
      <c r="Q576" s="294" t="str">
        <f t="array" ref="Q576">IFERROR(INDEX(MonitorRent!C:D, MATCH(F576 &amp; " " &amp; G576, MonitorRent!A:A &amp; " " &amp; MonitorRent!B:B, 0)), "")</f>
        <v/>
      </c>
      <c r="R576" s="295"/>
    </row>
    <row r="577">
      <c r="A577" s="284">
        <v>574.0</v>
      </c>
      <c r="B577" s="285" t="s">
        <v>12105</v>
      </c>
      <c r="C577" s="285" t="s">
        <v>10103</v>
      </c>
      <c r="D577" s="286" t="s">
        <v>11275</v>
      </c>
      <c r="E577" s="285" t="s">
        <v>6921</v>
      </c>
      <c r="F577" s="285" t="s">
        <v>10007</v>
      </c>
      <c r="G577" s="285" t="s">
        <v>12106</v>
      </c>
      <c r="H577" s="285" t="s">
        <v>10435</v>
      </c>
      <c r="I577" s="285" t="s">
        <v>12107</v>
      </c>
      <c r="J577" s="285" t="s">
        <v>5012</v>
      </c>
      <c r="K577" s="285" t="s">
        <v>1606</v>
      </c>
      <c r="L577" s="285" t="s">
        <v>10163</v>
      </c>
      <c r="M577" s="285" t="s">
        <v>9391</v>
      </c>
      <c r="N577" s="287" t="str">
        <f>IFERROR(
    IF(
        AND(
            VLOOKUP(B577, 'รายชื่อพนักงานลาออกพ้นสภาพ'!B:I, 8, FALSE)&lt;&gt;"ยกเลิกลาออก",
            VLOOKUP(B577, 'รายชื่อพนักงานลาออกพ้นสภาพ'!B:I, 7, FALSE)&lt;=TODAY()
        ),
        "ลาออกแล้ว",
        ""
    ),
"")</f>
        <v/>
      </c>
      <c r="O577" s="292" t="str">
        <f t="array" ref="O577">IFERROR(INDEX(PCRent!C:D, MATCH(F577 &amp; " " &amp; G577, PCRent!A:A &amp; " " &amp; PCRent!B:B, 0)), "")</f>
        <v/>
      </c>
      <c r="P577" s="293"/>
      <c r="Q577" s="294" t="str">
        <f t="array" ref="Q577">IFERROR(INDEX(MonitorRent!C:D, MATCH(F577 &amp; " " &amp; G577, MonitorRent!A:A &amp; " " &amp; MonitorRent!B:B, 0)), "")</f>
        <v/>
      </c>
      <c r="R577" s="295"/>
    </row>
    <row r="578">
      <c r="A578" s="284">
        <v>575.0</v>
      </c>
      <c r="B578" s="285" t="s">
        <v>12108</v>
      </c>
      <c r="C578" s="285" t="s">
        <v>10103</v>
      </c>
      <c r="D578" s="286" t="s">
        <v>10138</v>
      </c>
      <c r="E578" s="285" t="s">
        <v>6933</v>
      </c>
      <c r="F578" s="285" t="s">
        <v>12109</v>
      </c>
      <c r="G578" s="285" t="s">
        <v>12110</v>
      </c>
      <c r="H578" s="285" t="s">
        <v>10507</v>
      </c>
      <c r="I578" s="285" t="s">
        <v>12111</v>
      </c>
      <c r="J578" s="285" t="s">
        <v>5012</v>
      </c>
      <c r="K578" s="285" t="s">
        <v>10114</v>
      </c>
      <c r="L578" s="285" t="s">
        <v>832</v>
      </c>
      <c r="M578" s="285" t="s">
        <v>9383</v>
      </c>
      <c r="N578" s="287" t="str">
        <f>IFERROR(
    IF(
        AND(
            VLOOKUP(B578, 'รายชื่อพนักงานลาออกพ้นสภาพ'!B:I, 8, FALSE)&lt;&gt;"ยกเลิกลาออก",
            VLOOKUP(B578, 'รายชื่อพนักงานลาออกพ้นสภาพ'!B:I, 7, FALSE)&lt;=TODAY()
        ),
        "ลาออกแล้ว",
        ""
    ),
"")</f>
        <v/>
      </c>
      <c r="O578" s="292" t="str">
        <f t="array" ref="O578">IFERROR(INDEX(PCRent!C:D, MATCH(F578 &amp; " " &amp; G578, PCRent!A:A &amp; " " &amp; PCRent!B:B, 0)), "")</f>
        <v/>
      </c>
      <c r="P578" s="293"/>
      <c r="Q578" s="294" t="str">
        <f t="array" ref="Q578">IFERROR(INDEX(MonitorRent!C:D, MATCH(F578 &amp; " " &amp; G578, MonitorRent!A:A &amp; " " &amp; MonitorRent!B:B, 0)), "")</f>
        <v/>
      </c>
      <c r="R578" s="295"/>
    </row>
    <row r="579">
      <c r="A579" s="284">
        <v>576.0</v>
      </c>
      <c r="B579" s="285" t="s">
        <v>12112</v>
      </c>
      <c r="C579" s="285" t="s">
        <v>10103</v>
      </c>
      <c r="D579" s="286" t="s">
        <v>12113</v>
      </c>
      <c r="E579" s="285" t="s">
        <v>6933</v>
      </c>
      <c r="F579" s="285" t="s">
        <v>12114</v>
      </c>
      <c r="G579" s="285" t="s">
        <v>12115</v>
      </c>
      <c r="H579" s="285" t="s">
        <v>12116</v>
      </c>
      <c r="I579" s="285" t="s">
        <v>12117</v>
      </c>
      <c r="J579" s="285" t="s">
        <v>5224</v>
      </c>
      <c r="K579" s="285" t="s">
        <v>12118</v>
      </c>
      <c r="L579" s="285" t="s">
        <v>12119</v>
      </c>
      <c r="M579" s="285" t="s">
        <v>9383</v>
      </c>
      <c r="N579" s="287" t="str">
        <f>IFERROR(
    IF(
        AND(
            VLOOKUP(B579, 'รายชื่อพนักงานลาออกพ้นสภาพ'!B:I, 8, FALSE)&lt;&gt;"ยกเลิกลาออก",
            VLOOKUP(B579, 'รายชื่อพนักงานลาออกพ้นสภาพ'!B:I, 7, FALSE)&lt;=TODAY()
        ),
        "ลาออกแล้ว",
        ""
    ),
"")</f>
        <v/>
      </c>
      <c r="O579" s="292" t="str">
        <f t="array" ref="O579">IFERROR(INDEX(PCRent!C:D, MATCH(F579 &amp; " " &amp; G579, PCRent!A:A &amp; " " &amp; PCRent!B:B, 0)), "")</f>
        <v/>
      </c>
      <c r="P579" s="293"/>
      <c r="Q579" s="294" t="str">
        <f t="array" ref="Q579">IFERROR(INDEX(MonitorRent!C:D, MATCH(F579 &amp; " " &amp; G579, MonitorRent!A:A &amp; " " &amp; MonitorRent!B:B, 0)), "")</f>
        <v/>
      </c>
      <c r="R579" s="295"/>
    </row>
    <row r="580">
      <c r="A580" s="284">
        <v>577.0</v>
      </c>
      <c r="B580" s="285" t="s">
        <v>12120</v>
      </c>
      <c r="C580" s="285" t="s">
        <v>10103</v>
      </c>
      <c r="D580" s="286" t="s">
        <v>12121</v>
      </c>
      <c r="E580" s="285" t="s">
        <v>6933</v>
      </c>
      <c r="F580" s="285" t="s">
        <v>12122</v>
      </c>
      <c r="G580" s="285" t="s">
        <v>12123</v>
      </c>
      <c r="H580" s="285" t="s">
        <v>9909</v>
      </c>
      <c r="I580" s="285" t="s">
        <v>12124</v>
      </c>
      <c r="J580" s="285" t="s">
        <v>5012</v>
      </c>
      <c r="K580" s="285" t="s">
        <v>5341</v>
      </c>
      <c r="L580" s="285" t="s">
        <v>10127</v>
      </c>
      <c r="M580" s="285" t="s">
        <v>9383</v>
      </c>
      <c r="N580" s="287" t="str">
        <f>IFERROR(
    IF(
        AND(
            VLOOKUP(B580, 'รายชื่อพนักงานลาออกพ้นสภาพ'!B:I, 8, FALSE)&lt;&gt;"ยกเลิกลาออก",
            VLOOKUP(B580, 'รายชื่อพนักงานลาออกพ้นสภาพ'!B:I, 7, FALSE)&lt;=TODAY()
        ),
        "ลาออกแล้ว",
        ""
    ),
"")</f>
        <v/>
      </c>
      <c r="O580" s="292" t="str">
        <f t="array" ref="O580">IFERROR(INDEX(PCRent!C:D, MATCH(F580 &amp; " " &amp; G580, PCRent!A:A &amp; " " &amp; PCRent!B:B, 0)), "")</f>
        <v/>
      </c>
      <c r="P580" s="293"/>
      <c r="Q580" s="294" t="str">
        <f t="array" ref="Q580">IFERROR(INDEX(MonitorRent!C:D, MATCH(F580 &amp; " " &amp; G580, MonitorRent!A:A &amp; " " &amp; MonitorRent!B:B, 0)), "")</f>
        <v/>
      </c>
      <c r="R580" s="295"/>
    </row>
    <row r="581">
      <c r="A581" s="284">
        <v>578.0</v>
      </c>
      <c r="B581" s="285" t="s">
        <v>12125</v>
      </c>
      <c r="C581" s="285" t="s">
        <v>10103</v>
      </c>
      <c r="D581" s="286" t="s">
        <v>10427</v>
      </c>
      <c r="E581" s="285" t="s">
        <v>6933</v>
      </c>
      <c r="F581" s="285" t="s">
        <v>12126</v>
      </c>
      <c r="G581" s="285" t="s">
        <v>12127</v>
      </c>
      <c r="H581" s="285" t="s">
        <v>12128</v>
      </c>
      <c r="I581" s="285" t="s">
        <v>12129</v>
      </c>
      <c r="J581" s="285" t="s">
        <v>5012</v>
      </c>
      <c r="K581" s="285" t="s">
        <v>1412</v>
      </c>
      <c r="L581" s="285" t="s">
        <v>10127</v>
      </c>
      <c r="M581" s="285" t="s">
        <v>9383</v>
      </c>
      <c r="N581" s="287" t="str">
        <f>IFERROR(
    IF(
        AND(
            VLOOKUP(B581, 'รายชื่อพนักงานลาออกพ้นสภาพ'!B:I, 8, FALSE)&lt;&gt;"ยกเลิกลาออก",
            VLOOKUP(B581, 'รายชื่อพนักงานลาออกพ้นสภาพ'!B:I, 7, FALSE)&lt;=TODAY()
        ),
        "ลาออกแล้ว",
        ""
    ),
"")</f>
        <v/>
      </c>
      <c r="O581" s="292" t="str">
        <f t="array" ref="O581">IFERROR(INDEX(PCRent!C:D, MATCH(F581 &amp; " " &amp; G581, PCRent!A:A &amp; " " &amp; PCRent!B:B, 0)), "")</f>
        <v/>
      </c>
      <c r="P581" s="293"/>
      <c r="Q581" s="294" t="str">
        <f t="array" ref="Q581">IFERROR(INDEX(MonitorRent!C:D, MATCH(F581 &amp; " " &amp; G581, MonitorRent!A:A &amp; " " &amp; MonitorRent!B:B, 0)), "")</f>
        <v/>
      </c>
      <c r="R581" s="295"/>
    </row>
    <row r="582">
      <c r="A582" s="284">
        <v>579.0</v>
      </c>
      <c r="B582" s="285" t="s">
        <v>527</v>
      </c>
      <c r="C582" s="285" t="s">
        <v>10103</v>
      </c>
      <c r="D582" s="286" t="s">
        <v>10501</v>
      </c>
      <c r="E582" s="285" t="s">
        <v>6933</v>
      </c>
      <c r="F582" s="285" t="s">
        <v>12130</v>
      </c>
      <c r="G582" s="285" t="s">
        <v>12131</v>
      </c>
      <c r="H582" s="285" t="s">
        <v>11317</v>
      </c>
      <c r="I582" s="285" t="s">
        <v>530</v>
      </c>
      <c r="J582" s="285" t="s">
        <v>5012</v>
      </c>
      <c r="K582" s="285" t="s">
        <v>1412</v>
      </c>
      <c r="L582" s="285" t="s">
        <v>10127</v>
      </c>
      <c r="M582" s="285" t="s">
        <v>9383</v>
      </c>
      <c r="N582" s="287" t="str">
        <f>IFERROR(
    IF(
        AND(
            VLOOKUP(B582, 'รายชื่อพนักงานลาออกพ้นสภาพ'!B:I, 8, FALSE)&lt;&gt;"ยกเลิกลาออก",
            VLOOKUP(B582, 'รายชื่อพนักงานลาออกพ้นสภาพ'!B:I, 7, FALSE)&lt;=TODAY()
        ),
        "ลาออกแล้ว",
        ""
    ),
"")</f>
        <v/>
      </c>
      <c r="O582" s="292" t="str">
        <f t="array" ref="O582">IFERROR(INDEX(PCRent!C:D, MATCH(F582 &amp; " " &amp; G582, PCRent!A:A &amp; " " &amp; PCRent!B:B, 0)), "")</f>
        <v/>
      </c>
      <c r="P582" s="293"/>
      <c r="Q582" s="294" t="str">
        <f t="array" ref="Q582">IFERROR(INDEX(MonitorRent!C:D, MATCH(F582 &amp; " " &amp; G582, MonitorRent!A:A &amp; " " &amp; MonitorRent!B:B, 0)), "")</f>
        <v/>
      </c>
      <c r="R582" s="295"/>
    </row>
    <row r="583">
      <c r="A583" s="284">
        <v>580.0</v>
      </c>
      <c r="B583" s="285" t="s">
        <v>12132</v>
      </c>
      <c r="C583" s="285" t="s">
        <v>10103</v>
      </c>
      <c r="D583" s="286" t="s">
        <v>12133</v>
      </c>
      <c r="E583" s="285" t="s">
        <v>6933</v>
      </c>
      <c r="F583" s="285" t="s">
        <v>12134</v>
      </c>
      <c r="G583" s="285" t="s">
        <v>12135</v>
      </c>
      <c r="H583" s="285" t="s">
        <v>12136</v>
      </c>
      <c r="I583" s="285" t="s">
        <v>12137</v>
      </c>
      <c r="J583" s="285" t="s">
        <v>5012</v>
      </c>
      <c r="K583" s="285" t="s">
        <v>10114</v>
      </c>
      <c r="L583" s="285" t="s">
        <v>832</v>
      </c>
      <c r="M583" s="285" t="s">
        <v>9383</v>
      </c>
      <c r="N583" s="287" t="str">
        <f>IFERROR(
    IF(
        AND(
            VLOOKUP(B583, 'รายชื่อพนักงานลาออกพ้นสภาพ'!B:I, 8, FALSE)&lt;&gt;"ยกเลิกลาออก",
            VLOOKUP(B583, 'รายชื่อพนักงานลาออกพ้นสภาพ'!B:I, 7, FALSE)&lt;=TODAY()
        ),
        "ลาออกแล้ว",
        ""
    ),
"")</f>
        <v/>
      </c>
      <c r="O583" s="292" t="str">
        <f t="array" ref="O583">IFERROR(INDEX(PCRent!C:D, MATCH(F583 &amp; " " &amp; G583, PCRent!A:A &amp; " " &amp; PCRent!B:B, 0)), "")</f>
        <v/>
      </c>
      <c r="P583" s="293"/>
      <c r="Q583" s="294" t="str">
        <f t="array" ref="Q583">IFERROR(INDEX(MonitorRent!C:D, MATCH(F583 &amp; " " &amp; G583, MonitorRent!A:A &amp; " " &amp; MonitorRent!B:B, 0)), "")</f>
        <v/>
      </c>
      <c r="R583" s="295"/>
    </row>
    <row r="584">
      <c r="A584" s="284">
        <v>581.0</v>
      </c>
      <c r="B584" s="285" t="s">
        <v>12138</v>
      </c>
      <c r="C584" s="285" t="s">
        <v>10103</v>
      </c>
      <c r="D584" s="286" t="s">
        <v>11571</v>
      </c>
      <c r="E584" s="285" t="s">
        <v>6933</v>
      </c>
      <c r="F584" s="285" t="s">
        <v>12139</v>
      </c>
      <c r="G584" s="285" t="s">
        <v>12140</v>
      </c>
      <c r="H584" s="285" t="s">
        <v>11358</v>
      </c>
      <c r="I584" s="285" t="s">
        <v>12141</v>
      </c>
      <c r="J584" s="285" t="s">
        <v>5012</v>
      </c>
      <c r="K584" s="285" t="s">
        <v>1412</v>
      </c>
      <c r="L584" s="285" t="s">
        <v>10127</v>
      </c>
      <c r="M584" s="285" t="s">
        <v>9383</v>
      </c>
      <c r="N584" s="287" t="str">
        <f>IFERROR(
    IF(
        AND(
            VLOOKUP(B584, 'รายชื่อพนักงานลาออกพ้นสภาพ'!B:I, 8, FALSE)&lt;&gt;"ยกเลิกลาออก",
            VLOOKUP(B584, 'รายชื่อพนักงานลาออกพ้นสภาพ'!B:I, 7, FALSE)&lt;=TODAY()
        ),
        "ลาออกแล้ว",
        ""
    ),
"")</f>
        <v/>
      </c>
      <c r="O584" s="292" t="str">
        <f t="array" ref="O584">IFERROR(INDEX(PCRent!C:D, MATCH(F584 &amp; " " &amp; G584, PCRent!A:A &amp; " " &amp; PCRent!B:B, 0)), "")</f>
        <v/>
      </c>
      <c r="P584" s="293"/>
      <c r="Q584" s="294" t="str">
        <f t="array" ref="Q584">IFERROR(INDEX(MonitorRent!C:D, MATCH(F584 &amp; " " &amp; G584, MonitorRent!A:A &amp; " " &amp; MonitorRent!B:B, 0)), "")</f>
        <v/>
      </c>
      <c r="R584" s="295"/>
    </row>
    <row r="585">
      <c r="A585" s="284">
        <v>582.0</v>
      </c>
      <c r="B585" s="285" t="s">
        <v>12142</v>
      </c>
      <c r="C585" s="285" t="s">
        <v>10103</v>
      </c>
      <c r="D585" s="286" t="s">
        <v>12143</v>
      </c>
      <c r="E585" s="285" t="s">
        <v>6933</v>
      </c>
      <c r="F585" s="285" t="s">
        <v>12144</v>
      </c>
      <c r="G585" s="285" t="s">
        <v>12145</v>
      </c>
      <c r="H585" s="285" t="s">
        <v>12146</v>
      </c>
      <c r="I585" s="285" t="s">
        <v>12147</v>
      </c>
      <c r="J585" s="285" t="s">
        <v>5224</v>
      </c>
      <c r="K585" s="285" t="s">
        <v>4756</v>
      </c>
      <c r="L585" s="285" t="s">
        <v>10189</v>
      </c>
      <c r="M585" s="285" t="s">
        <v>9383</v>
      </c>
      <c r="N585" s="287" t="str">
        <f>IFERROR(
    IF(
        AND(
            VLOOKUP(B585, 'รายชื่อพนักงานลาออกพ้นสภาพ'!B:I, 8, FALSE)&lt;&gt;"ยกเลิกลาออก",
            VLOOKUP(B585, 'รายชื่อพนักงานลาออกพ้นสภาพ'!B:I, 7, FALSE)&lt;=TODAY()
        ),
        "ลาออกแล้ว",
        ""
    ),
"")</f>
        <v/>
      </c>
      <c r="O585" s="292" t="str">
        <f t="array" ref="O585">IFERROR(INDEX(PCRent!C:D, MATCH(F585 &amp; " " &amp; G585, PCRent!A:A &amp; " " &amp; PCRent!B:B, 0)), "")</f>
        <v/>
      </c>
      <c r="P585" s="293"/>
      <c r="Q585" s="294" t="str">
        <f t="array" ref="Q585">IFERROR(INDEX(MonitorRent!C:D, MATCH(F585 &amp; " " &amp; G585, MonitorRent!A:A &amp; " " &amp; MonitorRent!B:B, 0)), "")</f>
        <v/>
      </c>
      <c r="R585" s="295"/>
    </row>
    <row r="586">
      <c r="A586" s="284">
        <v>583.0</v>
      </c>
      <c r="B586" s="285" t="s">
        <v>884</v>
      </c>
      <c r="C586" s="285" t="s">
        <v>10103</v>
      </c>
      <c r="D586" s="286" t="s">
        <v>10608</v>
      </c>
      <c r="E586" s="285" t="s">
        <v>6933</v>
      </c>
      <c r="F586" s="285" t="s">
        <v>12148</v>
      </c>
      <c r="G586" s="285" t="s">
        <v>12149</v>
      </c>
      <c r="H586" s="285" t="s">
        <v>12150</v>
      </c>
      <c r="I586" s="285" t="s">
        <v>886</v>
      </c>
      <c r="J586" s="285" t="s">
        <v>5012</v>
      </c>
      <c r="K586" s="285" t="s">
        <v>10114</v>
      </c>
      <c r="L586" s="285" t="s">
        <v>832</v>
      </c>
      <c r="M586" s="285" t="s">
        <v>9383</v>
      </c>
      <c r="N586" s="287" t="str">
        <f>IFERROR(
    IF(
        AND(
            VLOOKUP(B586, 'รายชื่อพนักงานลาออกพ้นสภาพ'!B:I, 8, FALSE)&lt;&gt;"ยกเลิกลาออก",
            VLOOKUP(B586, 'รายชื่อพนักงานลาออกพ้นสภาพ'!B:I, 7, FALSE)&lt;=TODAY()
        ),
        "ลาออกแล้ว",
        ""
    ),
"")</f>
        <v/>
      </c>
      <c r="O586" s="292" t="str">
        <f t="array" ref="O586">IFERROR(INDEX(PCRent!C:D, MATCH(F586 &amp; " " &amp; G586, PCRent!A:A &amp; " " &amp; PCRent!B:B, 0)), "")</f>
        <v/>
      </c>
      <c r="P586" s="293"/>
      <c r="Q586" s="294" t="str">
        <f t="array" ref="Q586">IFERROR(INDEX(MonitorRent!C:D, MATCH(F586 &amp; " " &amp; G586, MonitorRent!A:A &amp; " " &amp; MonitorRent!B:B, 0)), "")</f>
        <v/>
      </c>
      <c r="R586" s="295"/>
    </row>
    <row r="587">
      <c r="A587" s="284">
        <v>584.0</v>
      </c>
      <c r="B587" s="285" t="s">
        <v>12151</v>
      </c>
      <c r="C587" s="285" t="s">
        <v>10103</v>
      </c>
      <c r="D587" s="286" t="s">
        <v>9718</v>
      </c>
      <c r="E587" s="285" t="s">
        <v>6921</v>
      </c>
      <c r="F587" s="285" t="s">
        <v>12152</v>
      </c>
      <c r="G587" s="285" t="s">
        <v>12153</v>
      </c>
      <c r="H587" s="285" t="s">
        <v>11896</v>
      </c>
      <c r="I587" s="285" t="s">
        <v>12154</v>
      </c>
      <c r="J587" s="285" t="s">
        <v>5012</v>
      </c>
      <c r="K587" s="285" t="s">
        <v>1606</v>
      </c>
      <c r="L587" s="285" t="s">
        <v>10127</v>
      </c>
      <c r="M587" s="285" t="s">
        <v>9391</v>
      </c>
      <c r="N587" s="287" t="str">
        <f>IFERROR(
    IF(
        AND(
            VLOOKUP(B587, 'รายชื่อพนักงานลาออกพ้นสภาพ'!B:I, 8, FALSE)&lt;&gt;"ยกเลิกลาออก",
            VLOOKUP(B587, 'รายชื่อพนักงานลาออกพ้นสภาพ'!B:I, 7, FALSE)&lt;=TODAY()
        ),
        "ลาออกแล้ว",
        ""
    ),
"")</f>
        <v/>
      </c>
      <c r="O587" s="292" t="str">
        <f t="array" ref="O587">IFERROR(INDEX(PCRent!C:D, MATCH(F587 &amp; " " &amp; G587, PCRent!A:A &amp; " " &amp; PCRent!B:B, 0)), "")</f>
        <v/>
      </c>
      <c r="P587" s="293"/>
      <c r="Q587" s="294" t="str">
        <f t="array" ref="Q587">IFERROR(INDEX(MonitorRent!C:D, MATCH(F587 &amp; " " &amp; G587, MonitorRent!A:A &amp; " " &amp; MonitorRent!B:B, 0)), "")</f>
        <v/>
      </c>
      <c r="R587" s="295"/>
    </row>
    <row r="588">
      <c r="A588" s="284">
        <v>585.0</v>
      </c>
      <c r="B588" s="285" t="s">
        <v>12155</v>
      </c>
      <c r="C588" s="285" t="s">
        <v>10103</v>
      </c>
      <c r="D588" s="286" t="s">
        <v>10132</v>
      </c>
      <c r="E588" s="285" t="s">
        <v>6933</v>
      </c>
      <c r="F588" s="285" t="s">
        <v>12156</v>
      </c>
      <c r="G588" s="285" t="s">
        <v>12157</v>
      </c>
      <c r="H588" s="285" t="s">
        <v>12158</v>
      </c>
      <c r="I588" s="285" t="s">
        <v>12159</v>
      </c>
      <c r="J588" s="285" t="s">
        <v>5012</v>
      </c>
      <c r="K588" s="285" t="s">
        <v>10114</v>
      </c>
      <c r="L588" s="285" t="s">
        <v>832</v>
      </c>
      <c r="M588" s="285" t="s">
        <v>9383</v>
      </c>
      <c r="N588" s="287" t="str">
        <f>IFERROR(
    IF(
        AND(
            VLOOKUP(B588, 'รายชื่อพนักงานลาออกพ้นสภาพ'!B:I, 8, FALSE)&lt;&gt;"ยกเลิกลาออก",
            VLOOKUP(B588, 'รายชื่อพนักงานลาออกพ้นสภาพ'!B:I, 7, FALSE)&lt;=TODAY()
        ),
        "ลาออกแล้ว",
        ""
    ),
"")</f>
        <v/>
      </c>
      <c r="O588" s="292" t="str">
        <f t="array" ref="O588">IFERROR(INDEX(PCRent!C:D, MATCH(F588 &amp; " " &amp; G588, PCRent!A:A &amp; " " &amp; PCRent!B:B, 0)), "")</f>
        <v/>
      </c>
      <c r="P588" s="293"/>
      <c r="Q588" s="294" t="str">
        <f t="array" ref="Q588">IFERROR(INDEX(MonitorRent!C:D, MATCH(F588 &amp; " " &amp; G588, MonitorRent!A:A &amp; " " &amp; MonitorRent!B:B, 0)), "")</f>
        <v/>
      </c>
      <c r="R588" s="295"/>
    </row>
    <row r="589">
      <c r="A589" s="284">
        <v>586.0</v>
      </c>
      <c r="B589" s="285" t="s">
        <v>12160</v>
      </c>
      <c r="C589" s="285" t="s">
        <v>10103</v>
      </c>
      <c r="D589" s="286" t="s">
        <v>10058</v>
      </c>
      <c r="E589" s="285" t="s">
        <v>6921</v>
      </c>
      <c r="F589" s="285" t="s">
        <v>12161</v>
      </c>
      <c r="G589" s="285" t="s">
        <v>12162</v>
      </c>
      <c r="H589" s="285" t="s">
        <v>12163</v>
      </c>
      <c r="I589" s="285" t="s">
        <v>12164</v>
      </c>
      <c r="J589" s="285" t="s">
        <v>5012</v>
      </c>
      <c r="K589" s="285" t="s">
        <v>1606</v>
      </c>
      <c r="L589" s="285" t="s">
        <v>10127</v>
      </c>
      <c r="M589" s="285" t="s">
        <v>9383</v>
      </c>
      <c r="N589" s="287" t="str">
        <f>IFERROR(
    IF(
        AND(
            VLOOKUP(B589, 'รายชื่อพนักงานลาออกพ้นสภาพ'!B:I, 8, FALSE)&lt;&gt;"ยกเลิกลาออก",
            VLOOKUP(B589, 'รายชื่อพนักงานลาออกพ้นสภาพ'!B:I, 7, FALSE)&lt;=TODAY()
        ),
        "ลาออกแล้ว",
        ""
    ),
"")</f>
        <v/>
      </c>
      <c r="O589" s="292" t="str">
        <f t="array" ref="O589">IFERROR(INDEX(PCRent!C:D, MATCH(F589 &amp; " " &amp; G589, PCRent!A:A &amp; " " &amp; PCRent!B:B, 0)), "")</f>
        <v/>
      </c>
      <c r="P589" s="293"/>
      <c r="Q589" s="294" t="str">
        <f t="array" ref="Q589">IFERROR(INDEX(MonitorRent!C:D, MATCH(F589 &amp; " " &amp; G589, MonitorRent!A:A &amp; " " &amp; MonitorRent!B:B, 0)), "")</f>
        <v/>
      </c>
      <c r="R589" s="295"/>
    </row>
    <row r="590">
      <c r="A590" s="284">
        <v>587.0</v>
      </c>
      <c r="B590" s="285" t="s">
        <v>12165</v>
      </c>
      <c r="C590" s="285" t="s">
        <v>10103</v>
      </c>
      <c r="D590" s="286" t="s">
        <v>10868</v>
      </c>
      <c r="E590" s="285" t="s">
        <v>6921</v>
      </c>
      <c r="F590" s="285" t="s">
        <v>12166</v>
      </c>
      <c r="G590" s="285" t="s">
        <v>12167</v>
      </c>
      <c r="H590" s="285" t="s">
        <v>12168</v>
      </c>
      <c r="I590" s="285" t="s">
        <v>12169</v>
      </c>
      <c r="J590" s="285" t="s">
        <v>5224</v>
      </c>
      <c r="K590" s="285" t="s">
        <v>10056</v>
      </c>
      <c r="L590" s="285" t="s">
        <v>10438</v>
      </c>
      <c r="M590" s="285" t="s">
        <v>9383</v>
      </c>
      <c r="N590" s="287" t="str">
        <f>IFERROR(
    IF(
        AND(
            VLOOKUP(B590, 'รายชื่อพนักงานลาออกพ้นสภาพ'!B:I, 8, FALSE)&lt;&gt;"ยกเลิกลาออก",
            VLOOKUP(B590, 'รายชื่อพนักงานลาออกพ้นสภาพ'!B:I, 7, FALSE)&lt;=TODAY()
        ),
        "ลาออกแล้ว",
        ""
    ),
"")</f>
        <v/>
      </c>
      <c r="O590" s="292" t="str">
        <f t="array" ref="O590">IFERROR(INDEX(PCRent!C:D, MATCH(F590 &amp; " " &amp; G590, PCRent!A:A &amp; " " &amp; PCRent!B:B, 0)), "")</f>
        <v/>
      </c>
      <c r="P590" s="293"/>
      <c r="Q590" s="294" t="str">
        <f t="array" ref="Q590">IFERROR(INDEX(MonitorRent!C:D, MATCH(F590 &amp; " " &amp; G590, MonitorRent!A:A &amp; " " &amp; MonitorRent!B:B, 0)), "")</f>
        <v/>
      </c>
      <c r="R590" s="295"/>
    </row>
    <row r="591">
      <c r="A591" s="284">
        <v>588.0</v>
      </c>
      <c r="B591" s="285" t="s">
        <v>12170</v>
      </c>
      <c r="C591" s="285" t="s">
        <v>10103</v>
      </c>
      <c r="D591" s="286" t="s">
        <v>11075</v>
      </c>
      <c r="E591" s="285" t="s">
        <v>6933</v>
      </c>
      <c r="F591" s="285" t="s">
        <v>10018</v>
      </c>
      <c r="G591" s="285" t="s">
        <v>12171</v>
      </c>
      <c r="H591" s="285" t="s">
        <v>12172</v>
      </c>
      <c r="I591" s="285" t="s">
        <v>12173</v>
      </c>
      <c r="J591" s="285" t="s">
        <v>5012</v>
      </c>
      <c r="K591" s="285" t="s">
        <v>10114</v>
      </c>
      <c r="L591" s="285" t="s">
        <v>832</v>
      </c>
      <c r="M591" s="285" t="s">
        <v>9383</v>
      </c>
      <c r="N591" s="287" t="str">
        <f>IFERROR(
    IF(
        AND(
            VLOOKUP(B591, 'รายชื่อพนักงานลาออกพ้นสภาพ'!B:I, 8, FALSE)&lt;&gt;"ยกเลิกลาออก",
            VLOOKUP(B591, 'รายชื่อพนักงานลาออกพ้นสภาพ'!B:I, 7, FALSE)&lt;=TODAY()
        ),
        "ลาออกแล้ว",
        ""
    ),
"")</f>
        <v/>
      </c>
      <c r="O591" s="292" t="str">
        <f t="array" ref="O591">IFERROR(INDEX(PCRent!C:D, MATCH(F591 &amp; " " &amp; G591, PCRent!A:A &amp; " " &amp; PCRent!B:B, 0)), "")</f>
        <v/>
      </c>
      <c r="P591" s="293"/>
      <c r="Q591" s="294" t="str">
        <f t="array" ref="Q591">IFERROR(INDEX(MonitorRent!C:D, MATCH(F591 &amp; " " &amp; G591, MonitorRent!A:A &amp; " " &amp; MonitorRent!B:B, 0)), "")</f>
        <v/>
      </c>
      <c r="R591" s="295"/>
    </row>
    <row r="592">
      <c r="A592" s="284">
        <v>589.0</v>
      </c>
      <c r="B592" s="285" t="s">
        <v>12174</v>
      </c>
      <c r="C592" s="285" t="s">
        <v>10103</v>
      </c>
      <c r="D592" s="286" t="s">
        <v>10960</v>
      </c>
      <c r="E592" s="285" t="s">
        <v>6933</v>
      </c>
      <c r="F592" s="285" t="s">
        <v>12175</v>
      </c>
      <c r="G592" s="285" t="s">
        <v>12176</v>
      </c>
      <c r="H592" s="285" t="s">
        <v>9783</v>
      </c>
      <c r="I592" s="285" t="s">
        <v>12177</v>
      </c>
      <c r="J592" s="285" t="s">
        <v>5012</v>
      </c>
      <c r="K592" s="285" t="s">
        <v>10114</v>
      </c>
      <c r="L592" s="285" t="s">
        <v>832</v>
      </c>
      <c r="M592" s="285" t="s">
        <v>9383</v>
      </c>
      <c r="N592" s="287" t="str">
        <f>IFERROR(
    IF(
        AND(
            VLOOKUP(B592, 'รายชื่อพนักงานลาออกพ้นสภาพ'!B:I, 8, FALSE)&lt;&gt;"ยกเลิกลาออก",
            VLOOKUP(B592, 'รายชื่อพนักงานลาออกพ้นสภาพ'!B:I, 7, FALSE)&lt;=TODAY()
        ),
        "ลาออกแล้ว",
        ""
    ),
"")</f>
        <v/>
      </c>
      <c r="O592" s="292" t="str">
        <f t="array" ref="O592">IFERROR(INDEX(PCRent!C:D, MATCH(F592 &amp; " " &amp; G592, PCRent!A:A &amp; " " &amp; PCRent!B:B, 0)), "")</f>
        <v/>
      </c>
      <c r="P592" s="293"/>
      <c r="Q592" s="294" t="str">
        <f t="array" ref="Q592">IFERROR(INDEX(MonitorRent!C:D, MATCH(F592 &amp; " " &amp; G592, MonitorRent!A:A &amp; " " &amp; MonitorRent!B:B, 0)), "")</f>
        <v/>
      </c>
      <c r="R592" s="295"/>
    </row>
    <row r="593">
      <c r="A593" s="284">
        <v>590.0</v>
      </c>
      <c r="B593" s="285" t="s">
        <v>12178</v>
      </c>
      <c r="C593" s="285" t="s">
        <v>10103</v>
      </c>
      <c r="D593" s="286" t="s">
        <v>10058</v>
      </c>
      <c r="E593" s="285" t="s">
        <v>6933</v>
      </c>
      <c r="F593" s="285" t="s">
        <v>12179</v>
      </c>
      <c r="G593" s="285" t="s">
        <v>12180</v>
      </c>
      <c r="H593" s="285" t="s">
        <v>12181</v>
      </c>
      <c r="I593" s="285" t="s">
        <v>12182</v>
      </c>
      <c r="J593" s="285" t="s">
        <v>5012</v>
      </c>
      <c r="K593" s="285" t="s">
        <v>10114</v>
      </c>
      <c r="L593" s="285" t="s">
        <v>10127</v>
      </c>
      <c r="M593" s="285" t="s">
        <v>9391</v>
      </c>
      <c r="N593" s="287" t="str">
        <f>IFERROR(
    IF(
        AND(
            VLOOKUP(B593, 'รายชื่อพนักงานลาออกพ้นสภาพ'!B:I, 8, FALSE)&lt;&gt;"ยกเลิกลาออก",
            VLOOKUP(B593, 'รายชื่อพนักงานลาออกพ้นสภาพ'!B:I, 7, FALSE)&lt;=TODAY()
        ),
        "ลาออกแล้ว",
        ""
    ),
"")</f>
        <v/>
      </c>
      <c r="O593" s="292" t="str">
        <f t="array" ref="O593">IFERROR(INDEX(PCRent!C:D, MATCH(F593 &amp; " " &amp; G593, PCRent!A:A &amp; " " &amp; PCRent!B:B, 0)), "")</f>
        <v/>
      </c>
      <c r="P593" s="293"/>
      <c r="Q593" s="294" t="str">
        <f t="array" ref="Q593">IFERROR(INDEX(MonitorRent!C:D, MATCH(F593 &amp; " " &amp; G593, MonitorRent!A:A &amp; " " &amp; MonitorRent!B:B, 0)), "")</f>
        <v/>
      </c>
      <c r="R593" s="295"/>
    </row>
    <row r="594">
      <c r="A594" s="284">
        <v>591.0</v>
      </c>
      <c r="B594" s="285" t="s">
        <v>261</v>
      </c>
      <c r="C594" s="285" t="s">
        <v>10103</v>
      </c>
      <c r="D594" s="286" t="s">
        <v>10256</v>
      </c>
      <c r="E594" s="285" t="s">
        <v>6933</v>
      </c>
      <c r="F594" s="285" t="s">
        <v>12183</v>
      </c>
      <c r="G594" s="285" t="s">
        <v>12184</v>
      </c>
      <c r="H594" s="285" t="s">
        <v>12183</v>
      </c>
      <c r="I594" s="285" t="s">
        <v>263</v>
      </c>
      <c r="J594" s="285" t="s">
        <v>5012</v>
      </c>
      <c r="K594" s="285" t="s">
        <v>5638</v>
      </c>
      <c r="L594" s="285" t="s">
        <v>10127</v>
      </c>
      <c r="M594" s="285" t="s">
        <v>9391</v>
      </c>
      <c r="N594" s="287" t="str">
        <f>IFERROR(
    IF(
        AND(
            VLOOKUP(B594, 'รายชื่อพนักงานลาออกพ้นสภาพ'!B:I, 8, FALSE)&lt;&gt;"ยกเลิกลาออก",
            VLOOKUP(B594, 'รายชื่อพนักงานลาออกพ้นสภาพ'!B:I, 7, FALSE)&lt;=TODAY()
        ),
        "ลาออกแล้ว",
        ""
    ),
"")</f>
        <v>ลาออกแล้ว</v>
      </c>
      <c r="O594" s="292" t="str">
        <f t="array" ref="O594">IFERROR(INDEX(PCRent!C:D, MATCH(F594 &amp; " " &amp; G594, PCRent!A:A &amp; " " &amp; PCRent!B:B, 0)), "")</f>
        <v/>
      </c>
      <c r="P594" s="293"/>
      <c r="Q594" s="294" t="str">
        <f t="array" ref="Q594">IFERROR(INDEX(MonitorRent!C:D, MATCH(F594 &amp; " " &amp; G594, MonitorRent!A:A &amp; " " &amp; MonitorRent!B:B, 0)), "")</f>
        <v/>
      </c>
      <c r="R594" s="295"/>
    </row>
    <row r="595">
      <c r="A595" s="284">
        <v>592.0</v>
      </c>
      <c r="B595" s="285" t="s">
        <v>12185</v>
      </c>
      <c r="C595" s="285" t="s">
        <v>10103</v>
      </c>
      <c r="D595" s="286" t="s">
        <v>9718</v>
      </c>
      <c r="E595" s="285" t="s">
        <v>6933</v>
      </c>
      <c r="F595" s="285" t="s">
        <v>12186</v>
      </c>
      <c r="G595" s="285" t="s">
        <v>12187</v>
      </c>
      <c r="H595" s="285" t="s">
        <v>12188</v>
      </c>
      <c r="I595" s="285" t="s">
        <v>12189</v>
      </c>
      <c r="J595" s="285" t="s">
        <v>5012</v>
      </c>
      <c r="K595" s="285" t="s">
        <v>10114</v>
      </c>
      <c r="L595" s="285" t="s">
        <v>10127</v>
      </c>
      <c r="M595" s="285" t="s">
        <v>9391</v>
      </c>
      <c r="N595" s="287" t="str">
        <f>IFERROR(
    IF(
        AND(
            VLOOKUP(B595, 'รายชื่อพนักงานลาออกพ้นสภาพ'!B:I, 8, FALSE)&lt;&gt;"ยกเลิกลาออก",
            VLOOKUP(B595, 'รายชื่อพนักงานลาออกพ้นสภาพ'!B:I, 7, FALSE)&lt;=TODAY()
        ),
        "ลาออกแล้ว",
        ""
    ),
"")</f>
        <v/>
      </c>
      <c r="O595" s="292" t="str">
        <f t="array" ref="O595">IFERROR(INDEX(PCRent!C:D, MATCH(F595 &amp; " " &amp; G595, PCRent!A:A &amp; " " &amp; PCRent!B:B, 0)), "")</f>
        <v/>
      </c>
      <c r="P595" s="293"/>
      <c r="Q595" s="294" t="str">
        <f t="array" ref="Q595">IFERROR(INDEX(MonitorRent!C:D, MATCH(F595 &amp; " " &amp; G595, MonitorRent!A:A &amp; " " &amp; MonitorRent!B:B, 0)), "")</f>
        <v/>
      </c>
      <c r="R595" s="295"/>
    </row>
    <row r="596">
      <c r="A596" s="284">
        <v>593.0</v>
      </c>
      <c r="B596" s="285" t="s">
        <v>12190</v>
      </c>
      <c r="C596" s="285" t="s">
        <v>10103</v>
      </c>
      <c r="D596" s="286" t="s">
        <v>12191</v>
      </c>
      <c r="E596" s="285" t="s">
        <v>6921</v>
      </c>
      <c r="F596" s="285" t="s">
        <v>12192</v>
      </c>
      <c r="G596" s="285" t="s">
        <v>12193</v>
      </c>
      <c r="H596" s="285" t="s">
        <v>10749</v>
      </c>
      <c r="I596" s="285" t="s">
        <v>12194</v>
      </c>
      <c r="J596" s="285" t="s">
        <v>5012</v>
      </c>
      <c r="K596" s="285" t="s">
        <v>1417</v>
      </c>
      <c r="L596" s="285" t="s">
        <v>10127</v>
      </c>
      <c r="M596" s="285" t="s">
        <v>9383</v>
      </c>
      <c r="N596" s="287" t="str">
        <f>IFERROR(
    IF(
        AND(
            VLOOKUP(B596, 'รายชื่อพนักงานลาออกพ้นสภาพ'!B:I, 8, FALSE)&lt;&gt;"ยกเลิกลาออก",
            VLOOKUP(B596, 'รายชื่อพนักงานลาออกพ้นสภาพ'!B:I, 7, FALSE)&lt;=TODAY()
        ),
        "ลาออกแล้ว",
        ""
    ),
"")</f>
        <v/>
      </c>
      <c r="O596" s="292" t="str">
        <f t="array" ref="O596">IFERROR(INDEX(PCRent!C:D, MATCH(F596 &amp; " " &amp; G596, PCRent!A:A &amp; " " &amp; PCRent!B:B, 0)), "")</f>
        <v/>
      </c>
      <c r="P596" s="293"/>
      <c r="Q596" s="294" t="str">
        <f t="array" ref="Q596">IFERROR(INDEX(MonitorRent!C:D, MATCH(F596 &amp; " " &amp; G596, MonitorRent!A:A &amp; " " &amp; MonitorRent!B:B, 0)), "")</f>
        <v/>
      </c>
      <c r="R596" s="295"/>
    </row>
    <row r="597">
      <c r="A597" s="284">
        <v>594.0</v>
      </c>
      <c r="B597" s="285" t="s">
        <v>12195</v>
      </c>
      <c r="C597" s="285" t="s">
        <v>10103</v>
      </c>
      <c r="D597" s="286" t="s">
        <v>12196</v>
      </c>
      <c r="E597" s="285" t="s">
        <v>6921</v>
      </c>
      <c r="F597" s="285" t="s">
        <v>12197</v>
      </c>
      <c r="G597" s="285" t="s">
        <v>12198</v>
      </c>
      <c r="H597" s="285" t="s">
        <v>10998</v>
      </c>
      <c r="I597" s="285" t="s">
        <v>12199</v>
      </c>
      <c r="J597" s="285" t="s">
        <v>5224</v>
      </c>
      <c r="K597" s="285" t="s">
        <v>10056</v>
      </c>
      <c r="L597" s="285" t="s">
        <v>10538</v>
      </c>
      <c r="M597" s="285" t="s">
        <v>9383</v>
      </c>
      <c r="N597" s="287" t="str">
        <f>IFERROR(
    IF(
        AND(
            VLOOKUP(B597, 'รายชื่อพนักงานลาออกพ้นสภาพ'!B:I, 8, FALSE)&lt;&gt;"ยกเลิกลาออก",
            VLOOKUP(B597, 'รายชื่อพนักงานลาออกพ้นสภาพ'!B:I, 7, FALSE)&lt;=TODAY()
        ),
        "ลาออกแล้ว",
        ""
    ),
"")</f>
        <v/>
      </c>
      <c r="O597" s="292" t="str">
        <f t="array" ref="O597">IFERROR(INDEX(PCRent!C:D, MATCH(F597 &amp; " " &amp; G597, PCRent!A:A &amp; " " &amp; PCRent!B:B, 0)), "")</f>
        <v/>
      </c>
      <c r="P597" s="293"/>
      <c r="Q597" s="294" t="str">
        <f t="array" ref="Q597">IFERROR(INDEX(MonitorRent!C:D, MATCH(F597 &amp; " " &amp; G597, MonitorRent!A:A &amp; " " &amp; MonitorRent!B:B, 0)), "")</f>
        <v/>
      </c>
      <c r="R597" s="295"/>
    </row>
    <row r="598">
      <c r="A598" s="284">
        <v>595.0</v>
      </c>
      <c r="B598" s="285" t="s">
        <v>12200</v>
      </c>
      <c r="C598" s="285" t="s">
        <v>10103</v>
      </c>
      <c r="D598" s="286" t="s">
        <v>10109</v>
      </c>
      <c r="E598" s="285" t="s">
        <v>6921</v>
      </c>
      <c r="F598" s="285" t="s">
        <v>12201</v>
      </c>
      <c r="G598" s="285" t="s">
        <v>12202</v>
      </c>
      <c r="H598" s="285" t="s">
        <v>12203</v>
      </c>
      <c r="I598" s="285" t="s">
        <v>12204</v>
      </c>
      <c r="J598" s="285" t="s">
        <v>5224</v>
      </c>
      <c r="K598" s="285" t="s">
        <v>4749</v>
      </c>
      <c r="L598" s="285" t="s">
        <v>10127</v>
      </c>
      <c r="M598" s="285" t="s">
        <v>9383</v>
      </c>
      <c r="N598" s="287" t="str">
        <f>IFERROR(
    IF(
        AND(
            VLOOKUP(B598, 'รายชื่อพนักงานลาออกพ้นสภาพ'!B:I, 8, FALSE)&lt;&gt;"ยกเลิกลาออก",
            VLOOKUP(B598, 'รายชื่อพนักงานลาออกพ้นสภาพ'!B:I, 7, FALSE)&lt;=TODAY()
        ),
        "ลาออกแล้ว",
        ""
    ),
"")</f>
        <v/>
      </c>
      <c r="O598" s="292" t="str">
        <f t="array" ref="O598:P598">IFERROR(INDEX(PCRent!C:D, MATCH(F598 &amp; " " &amp; G598, PCRent!A:A &amp; " " &amp; PCRent!B:B, 0)), "")</f>
        <v>SN:PF39G62N</v>
      </c>
      <c r="P598" s="293" t="s">
        <v>7005</v>
      </c>
      <c r="Q598" s="294" t="str">
        <f t="array" ref="Q598">IFERROR(INDEX(MonitorRent!C:D, MATCH(F598 &amp; " " &amp; G598, MonitorRent!A:A &amp; " " &amp; MonitorRent!B:B, 0)), "")</f>
        <v/>
      </c>
      <c r="R598" s="295"/>
    </row>
    <row r="599">
      <c r="A599" s="284">
        <v>596.0</v>
      </c>
      <c r="B599" s="285" t="s">
        <v>12205</v>
      </c>
      <c r="C599" s="285" t="s">
        <v>10103</v>
      </c>
      <c r="D599" s="286" t="s">
        <v>9718</v>
      </c>
      <c r="E599" s="285" t="s">
        <v>6933</v>
      </c>
      <c r="F599" s="285" t="s">
        <v>12206</v>
      </c>
      <c r="G599" s="285" t="s">
        <v>12207</v>
      </c>
      <c r="H599" s="285" t="s">
        <v>10079</v>
      </c>
      <c r="I599" s="285" t="s">
        <v>12208</v>
      </c>
      <c r="J599" s="285" t="s">
        <v>5012</v>
      </c>
      <c r="K599" s="285" t="s">
        <v>10114</v>
      </c>
      <c r="L599" s="285" t="s">
        <v>10127</v>
      </c>
      <c r="M599" s="285" t="s">
        <v>9391</v>
      </c>
      <c r="N599" s="287" t="str">
        <f>IFERROR(
    IF(
        AND(
            VLOOKUP(B599, 'รายชื่อพนักงานลาออกพ้นสภาพ'!B:I, 8, FALSE)&lt;&gt;"ยกเลิกลาออก",
            VLOOKUP(B599, 'รายชื่อพนักงานลาออกพ้นสภาพ'!B:I, 7, FALSE)&lt;=TODAY()
        ),
        "ลาออกแล้ว",
        ""
    ),
"")</f>
        <v/>
      </c>
      <c r="O599" s="292" t="str">
        <f t="array" ref="O599">IFERROR(INDEX(PCRent!C:D, MATCH(F599 &amp; " " &amp; G599, PCRent!A:A &amp; " " &amp; PCRent!B:B, 0)), "")</f>
        <v/>
      </c>
      <c r="P599" s="293"/>
      <c r="Q599" s="294" t="str">
        <f t="array" ref="Q599">IFERROR(INDEX(MonitorRent!C:D, MATCH(F599 &amp; " " &amp; G599, MonitorRent!A:A &amp; " " &amp; MonitorRent!B:B, 0)), "")</f>
        <v/>
      </c>
      <c r="R599" s="295"/>
    </row>
    <row r="600">
      <c r="A600" s="284">
        <v>597.0</v>
      </c>
      <c r="B600" s="285" t="s">
        <v>12209</v>
      </c>
      <c r="C600" s="285" t="s">
        <v>10103</v>
      </c>
      <c r="D600" s="286" t="s">
        <v>10473</v>
      </c>
      <c r="E600" s="285" t="s">
        <v>6921</v>
      </c>
      <c r="F600" s="285" t="s">
        <v>12210</v>
      </c>
      <c r="G600" s="285" t="s">
        <v>12211</v>
      </c>
      <c r="H600" s="285" t="s">
        <v>12212</v>
      </c>
      <c r="I600" s="285" t="s">
        <v>12213</v>
      </c>
      <c r="J600" s="285" t="s">
        <v>5012</v>
      </c>
      <c r="K600" s="285" t="s">
        <v>10405</v>
      </c>
      <c r="L600" s="285" t="s">
        <v>832</v>
      </c>
      <c r="M600" s="285" t="s">
        <v>9383</v>
      </c>
      <c r="N600" s="287" t="str">
        <f>IFERROR(
    IF(
        AND(
            VLOOKUP(B600, 'รายชื่อพนักงานลาออกพ้นสภาพ'!B:I, 8, FALSE)&lt;&gt;"ยกเลิกลาออก",
            VLOOKUP(B600, 'รายชื่อพนักงานลาออกพ้นสภาพ'!B:I, 7, FALSE)&lt;=TODAY()
        ),
        "ลาออกแล้ว",
        ""
    ),
"")</f>
        <v/>
      </c>
      <c r="O600" s="292" t="str">
        <f t="array" ref="O600">IFERROR(INDEX(PCRent!C:D, MATCH(F600 &amp; " " &amp; G600, PCRent!A:A &amp; " " &amp; PCRent!B:B, 0)), "")</f>
        <v/>
      </c>
      <c r="P600" s="293"/>
      <c r="Q600" s="294" t="str">
        <f t="array" ref="Q600">IFERROR(INDEX(MonitorRent!C:D, MATCH(F600 &amp; " " &amp; G600, MonitorRent!A:A &amp; " " &amp; MonitorRent!B:B, 0)), "")</f>
        <v/>
      </c>
      <c r="R600" s="295"/>
    </row>
    <row r="601">
      <c r="A601" s="284">
        <v>598.0</v>
      </c>
      <c r="B601" s="285" t="s">
        <v>12214</v>
      </c>
      <c r="C601" s="285" t="s">
        <v>10103</v>
      </c>
      <c r="D601" s="286" t="s">
        <v>10180</v>
      </c>
      <c r="E601" s="285" t="s">
        <v>6933</v>
      </c>
      <c r="F601" s="285" t="s">
        <v>12215</v>
      </c>
      <c r="G601" s="285" t="s">
        <v>12216</v>
      </c>
      <c r="H601" s="285" t="s">
        <v>12217</v>
      </c>
      <c r="I601" s="285" t="s">
        <v>12218</v>
      </c>
      <c r="J601" s="285" t="s">
        <v>5012</v>
      </c>
      <c r="K601" s="285" t="s">
        <v>10114</v>
      </c>
      <c r="L601" s="285" t="s">
        <v>10127</v>
      </c>
      <c r="M601" s="285" t="s">
        <v>9391</v>
      </c>
      <c r="N601" s="287" t="str">
        <f>IFERROR(
    IF(
        AND(
            VLOOKUP(B601, 'รายชื่อพนักงานลาออกพ้นสภาพ'!B:I, 8, FALSE)&lt;&gt;"ยกเลิกลาออก",
            VLOOKUP(B601, 'รายชื่อพนักงานลาออกพ้นสภาพ'!B:I, 7, FALSE)&lt;=TODAY()
        ),
        "ลาออกแล้ว",
        ""
    ),
"")</f>
        <v/>
      </c>
      <c r="O601" s="292" t="str">
        <f t="array" ref="O601">IFERROR(INDEX(PCRent!C:D, MATCH(F601 &amp; " " &amp; G601, PCRent!A:A &amp; " " &amp; PCRent!B:B, 0)), "")</f>
        <v/>
      </c>
      <c r="P601" s="293"/>
      <c r="Q601" s="294" t="str">
        <f t="array" ref="Q601">IFERROR(INDEX(MonitorRent!C:D, MATCH(F601 &amp; " " &amp; G601, MonitorRent!A:A &amp; " " &amp; MonitorRent!B:B, 0)), "")</f>
        <v/>
      </c>
      <c r="R601" s="295"/>
    </row>
    <row r="602">
      <c r="A602" s="284">
        <v>599.0</v>
      </c>
      <c r="B602" s="285" t="s">
        <v>12219</v>
      </c>
      <c r="C602" s="285" t="s">
        <v>10103</v>
      </c>
      <c r="D602" s="286" t="s">
        <v>12220</v>
      </c>
      <c r="E602" s="285" t="s">
        <v>6921</v>
      </c>
      <c r="F602" s="285" t="s">
        <v>12221</v>
      </c>
      <c r="G602" s="285" t="s">
        <v>12222</v>
      </c>
      <c r="H602" s="285" t="s">
        <v>9817</v>
      </c>
      <c r="I602" s="285" t="s">
        <v>12223</v>
      </c>
      <c r="J602" s="285" t="s">
        <v>5012</v>
      </c>
      <c r="K602" s="285" t="s">
        <v>1606</v>
      </c>
      <c r="L602" s="285" t="s">
        <v>832</v>
      </c>
      <c r="M602" s="285" t="s">
        <v>9383</v>
      </c>
      <c r="N602" s="287" t="str">
        <f>IFERROR(
    IF(
        AND(
            VLOOKUP(B602, 'รายชื่อพนักงานลาออกพ้นสภาพ'!B:I, 8, FALSE)&lt;&gt;"ยกเลิกลาออก",
            VLOOKUP(B602, 'รายชื่อพนักงานลาออกพ้นสภาพ'!B:I, 7, FALSE)&lt;=TODAY()
        ),
        "ลาออกแล้ว",
        ""
    ),
"")</f>
        <v/>
      </c>
      <c r="O602" s="292" t="str">
        <f t="array" ref="O602">IFERROR(INDEX(PCRent!C:D, MATCH(F602 &amp; " " &amp; G602, PCRent!A:A &amp; " " &amp; PCRent!B:B, 0)), "")</f>
        <v/>
      </c>
      <c r="P602" s="293"/>
      <c r="Q602" s="294" t="str">
        <f t="array" ref="Q602">IFERROR(INDEX(MonitorRent!C:D, MATCH(F602 &amp; " " &amp; G602, MonitorRent!A:A &amp; " " &amp; MonitorRent!B:B, 0)), "")</f>
        <v/>
      </c>
      <c r="R602" s="295"/>
    </row>
    <row r="603">
      <c r="A603" s="284">
        <v>600.0</v>
      </c>
      <c r="B603" s="285" t="s">
        <v>12224</v>
      </c>
      <c r="C603" s="285" t="s">
        <v>10103</v>
      </c>
      <c r="D603" s="286" t="s">
        <v>12225</v>
      </c>
      <c r="E603" s="285" t="s">
        <v>6921</v>
      </c>
      <c r="F603" s="285" t="s">
        <v>12226</v>
      </c>
      <c r="G603" s="285" t="s">
        <v>12227</v>
      </c>
      <c r="H603" s="285" t="s">
        <v>9558</v>
      </c>
      <c r="I603" s="285" t="s">
        <v>12228</v>
      </c>
      <c r="J603" s="285" t="s">
        <v>5012</v>
      </c>
      <c r="K603" s="285" t="s">
        <v>1606</v>
      </c>
      <c r="L603" s="285" t="s">
        <v>10127</v>
      </c>
      <c r="M603" s="285" t="s">
        <v>9383</v>
      </c>
      <c r="N603" s="287" t="str">
        <f>IFERROR(
    IF(
        AND(
            VLOOKUP(B603, 'รายชื่อพนักงานลาออกพ้นสภาพ'!B:I, 8, FALSE)&lt;&gt;"ยกเลิกลาออก",
            VLOOKUP(B603, 'รายชื่อพนักงานลาออกพ้นสภาพ'!B:I, 7, FALSE)&lt;=TODAY()
        ),
        "ลาออกแล้ว",
        ""
    ),
"")</f>
        <v/>
      </c>
      <c r="O603" s="292" t="str">
        <f t="array" ref="O603">IFERROR(INDEX(PCRent!C:D, MATCH(F603 &amp; " " &amp; G603, PCRent!A:A &amp; " " &amp; PCRent!B:B, 0)), "")</f>
        <v/>
      </c>
      <c r="P603" s="293"/>
      <c r="Q603" s="294" t="str">
        <f t="array" ref="Q603">IFERROR(INDEX(MonitorRent!C:D, MATCH(F603 &amp; " " &amp; G603, MonitorRent!A:A &amp; " " &amp; MonitorRent!B:B, 0)), "")</f>
        <v/>
      </c>
      <c r="R603" s="295"/>
    </row>
    <row r="604">
      <c r="A604" s="284">
        <v>601.0</v>
      </c>
      <c r="B604" s="285" t="s">
        <v>12229</v>
      </c>
      <c r="C604" s="285" t="s">
        <v>10103</v>
      </c>
      <c r="D604" s="286" t="s">
        <v>12230</v>
      </c>
      <c r="E604" s="285" t="s">
        <v>6933</v>
      </c>
      <c r="F604" s="285" t="s">
        <v>12231</v>
      </c>
      <c r="G604" s="285" t="s">
        <v>12232</v>
      </c>
      <c r="H604" s="285" t="s">
        <v>10483</v>
      </c>
      <c r="I604" s="285" t="s">
        <v>12233</v>
      </c>
      <c r="J604" s="285" t="s">
        <v>5224</v>
      </c>
      <c r="K604" s="285" t="s">
        <v>4749</v>
      </c>
      <c r="L604" s="285" t="s">
        <v>832</v>
      </c>
      <c r="M604" s="285" t="s">
        <v>9383</v>
      </c>
      <c r="N604" s="287" t="str">
        <f>IFERROR(
    IF(
        AND(
            VLOOKUP(B604, 'รายชื่อพนักงานลาออกพ้นสภาพ'!B:I, 8, FALSE)&lt;&gt;"ยกเลิกลาออก",
            VLOOKUP(B604, 'รายชื่อพนักงานลาออกพ้นสภาพ'!B:I, 7, FALSE)&lt;=TODAY()
        ),
        "ลาออกแล้ว",
        ""
    ),
"")</f>
        <v/>
      </c>
      <c r="O604" s="292" t="str">
        <f t="array" ref="O604:P604">IFERROR(INDEX(PCRent!C:D, MATCH(F604 &amp; " " &amp; G604, PCRent!A:A &amp; " " &amp; PCRent!B:B, 0)), "")</f>
        <v>SN:MP2EHCMH</v>
      </c>
      <c r="P604" s="293" t="s">
        <v>6993</v>
      </c>
      <c r="Q604" s="294" t="str">
        <f t="array" ref="Q604">IFERROR(INDEX(MonitorRent!C:D, MATCH(F604 &amp; " " &amp; G604, MonitorRent!A:A &amp; " " &amp; MonitorRent!B:B, 0)), "")</f>
        <v/>
      </c>
      <c r="R604" s="295"/>
    </row>
    <row r="605">
      <c r="A605" s="284">
        <v>602.0</v>
      </c>
      <c r="B605" s="285" t="s">
        <v>12234</v>
      </c>
      <c r="C605" s="285" t="s">
        <v>10103</v>
      </c>
      <c r="D605" s="286" t="s">
        <v>12235</v>
      </c>
      <c r="E605" s="285" t="s">
        <v>6933</v>
      </c>
      <c r="F605" s="285" t="s">
        <v>12236</v>
      </c>
      <c r="G605" s="285" t="s">
        <v>12237</v>
      </c>
      <c r="H605" s="285" t="s">
        <v>12238</v>
      </c>
      <c r="I605" s="285" t="s">
        <v>12239</v>
      </c>
      <c r="J605" s="285" t="s">
        <v>5012</v>
      </c>
      <c r="K605" s="285" t="s">
        <v>1412</v>
      </c>
      <c r="L605" s="285" t="s">
        <v>10127</v>
      </c>
      <c r="M605" s="285" t="s">
        <v>9383</v>
      </c>
      <c r="N605" s="287" t="str">
        <f>IFERROR(
    IF(
        AND(
            VLOOKUP(B605, 'รายชื่อพนักงานลาออกพ้นสภาพ'!B:I, 8, FALSE)&lt;&gt;"ยกเลิกลาออก",
            VLOOKUP(B605, 'รายชื่อพนักงานลาออกพ้นสภาพ'!B:I, 7, FALSE)&lt;=TODAY()
        ),
        "ลาออกแล้ว",
        ""
    ),
"")</f>
        <v/>
      </c>
      <c r="O605" s="292" t="str">
        <f t="array" ref="O605">IFERROR(INDEX(PCRent!C:D, MATCH(F605 &amp; " " &amp; G605, PCRent!A:A &amp; " " &amp; PCRent!B:B, 0)), "")</f>
        <v/>
      </c>
      <c r="P605" s="293"/>
      <c r="Q605" s="294" t="str">
        <f t="array" ref="Q605">IFERROR(INDEX(MonitorRent!C:D, MATCH(F605 &amp; " " &amp; G605, MonitorRent!A:A &amp; " " &amp; MonitorRent!B:B, 0)), "")</f>
        <v/>
      </c>
      <c r="R605" s="295"/>
    </row>
    <row r="606">
      <c r="A606" s="284">
        <v>603.0</v>
      </c>
      <c r="B606" s="285" t="s">
        <v>108</v>
      </c>
      <c r="C606" s="285" t="s">
        <v>10103</v>
      </c>
      <c r="D606" s="286" t="s">
        <v>10358</v>
      </c>
      <c r="E606" s="285" t="s">
        <v>6933</v>
      </c>
      <c r="F606" s="285" t="s">
        <v>12240</v>
      </c>
      <c r="G606" s="285" t="s">
        <v>12241</v>
      </c>
      <c r="H606" s="285" t="s">
        <v>10827</v>
      </c>
      <c r="I606" s="285" t="s">
        <v>112</v>
      </c>
      <c r="J606" s="285" t="s">
        <v>5012</v>
      </c>
      <c r="K606" s="285" t="s">
        <v>5638</v>
      </c>
      <c r="L606" s="285" t="s">
        <v>10127</v>
      </c>
      <c r="M606" s="285" t="s">
        <v>9383</v>
      </c>
      <c r="N606" s="287" t="str">
        <f>IFERROR(
    IF(
        AND(
            VLOOKUP(B606, 'รายชื่อพนักงานลาออกพ้นสภาพ'!B:I, 8, FALSE)&lt;&gt;"ยกเลิกลาออก",
            VLOOKUP(B606, 'รายชื่อพนักงานลาออกพ้นสภาพ'!B:I, 7, FALSE)&lt;=TODAY()
        ),
        "ลาออกแล้ว",
        ""
    ),
"")</f>
        <v>ลาออกแล้ว</v>
      </c>
      <c r="O606" s="292" t="str">
        <f t="array" ref="O606">IFERROR(INDEX(PCRent!C:D, MATCH(F606 &amp; " " &amp; G606, PCRent!A:A &amp; " " &amp; PCRent!B:B, 0)), "")</f>
        <v/>
      </c>
      <c r="P606" s="293"/>
      <c r="Q606" s="294" t="str">
        <f t="array" ref="Q606">IFERROR(INDEX(MonitorRent!C:D, MATCH(F606 &amp; " " &amp; G606, MonitorRent!A:A &amp; " " &amp; MonitorRent!B:B, 0)), "")</f>
        <v/>
      </c>
      <c r="R606" s="295"/>
    </row>
    <row r="607">
      <c r="A607" s="284">
        <v>604.0</v>
      </c>
      <c r="B607" s="285" t="s">
        <v>12242</v>
      </c>
      <c r="C607" s="285" t="s">
        <v>10103</v>
      </c>
      <c r="D607" s="286" t="s">
        <v>12243</v>
      </c>
      <c r="E607" s="285" t="s">
        <v>6933</v>
      </c>
      <c r="F607" s="285" t="s">
        <v>12240</v>
      </c>
      <c r="G607" s="285" t="s">
        <v>12244</v>
      </c>
      <c r="H607" s="285" t="s">
        <v>9951</v>
      </c>
      <c r="I607" s="285" t="s">
        <v>12245</v>
      </c>
      <c r="J607" s="285" t="s">
        <v>5224</v>
      </c>
      <c r="K607" s="285" t="s">
        <v>4756</v>
      </c>
      <c r="L607" s="285" t="s">
        <v>10189</v>
      </c>
      <c r="M607" s="285" t="s">
        <v>9383</v>
      </c>
      <c r="N607" s="287" t="str">
        <f>IFERROR(
    IF(
        AND(
            VLOOKUP(B607, 'รายชื่อพนักงานลาออกพ้นสภาพ'!B:I, 8, FALSE)&lt;&gt;"ยกเลิกลาออก",
            VLOOKUP(B607, 'รายชื่อพนักงานลาออกพ้นสภาพ'!B:I, 7, FALSE)&lt;=TODAY()
        ),
        "ลาออกแล้ว",
        ""
    ),
"")</f>
        <v/>
      </c>
      <c r="O607" s="292" t="str">
        <f t="array" ref="O607:P607">IFERROR(INDEX(PCRent!C:D, MATCH(F607 &amp; " " &amp; G607, PCRent!A:A &amp; " " &amp; PCRent!B:B, 0)), "")</f>
        <v>SN:MP2M8JK2</v>
      </c>
      <c r="P607" s="293" t="s">
        <v>7248</v>
      </c>
      <c r="Q607" s="294" t="str">
        <f t="array" ref="Q607">IFERROR(INDEX(MonitorRent!C:D, MATCH(F607 &amp; " " &amp; G607, MonitorRent!A:A &amp; " " &amp; MonitorRent!B:B, 0)), "")</f>
        <v/>
      </c>
      <c r="R607" s="295"/>
    </row>
    <row r="608">
      <c r="A608" s="284">
        <v>605.0</v>
      </c>
      <c r="B608" s="285" t="s">
        <v>12246</v>
      </c>
      <c r="C608" s="285" t="s">
        <v>10103</v>
      </c>
      <c r="D608" s="286" t="s">
        <v>12247</v>
      </c>
      <c r="E608" s="285" t="s">
        <v>6933</v>
      </c>
      <c r="F608" s="285" t="s">
        <v>12248</v>
      </c>
      <c r="G608" s="285" t="s">
        <v>12249</v>
      </c>
      <c r="H608" s="285" t="s">
        <v>11092</v>
      </c>
      <c r="I608" s="285" t="s">
        <v>12250</v>
      </c>
      <c r="J608" s="285" t="s">
        <v>5012</v>
      </c>
      <c r="K608" s="285" t="s">
        <v>10114</v>
      </c>
      <c r="L608" s="285" t="s">
        <v>832</v>
      </c>
      <c r="M608" s="285" t="s">
        <v>9383</v>
      </c>
      <c r="N608" s="287" t="str">
        <f>IFERROR(
    IF(
        AND(
            VLOOKUP(B608, 'รายชื่อพนักงานลาออกพ้นสภาพ'!B:I, 8, FALSE)&lt;&gt;"ยกเลิกลาออก",
            VLOOKUP(B608, 'รายชื่อพนักงานลาออกพ้นสภาพ'!B:I, 7, FALSE)&lt;=TODAY()
        ),
        "ลาออกแล้ว",
        ""
    ),
"")</f>
        <v/>
      </c>
      <c r="O608" s="292" t="str">
        <f t="array" ref="O608">IFERROR(INDEX(PCRent!C:D, MATCH(F608 &amp; " " &amp; G608, PCRent!A:A &amp; " " &amp; PCRent!B:B, 0)), "")</f>
        <v/>
      </c>
      <c r="P608" s="293"/>
      <c r="Q608" s="294" t="str">
        <f t="array" ref="Q608">IFERROR(INDEX(MonitorRent!C:D, MATCH(F608 &amp; " " &amp; G608, MonitorRent!A:A &amp; " " &amp; MonitorRent!B:B, 0)), "")</f>
        <v/>
      </c>
      <c r="R608" s="295"/>
    </row>
    <row r="609">
      <c r="A609" s="284">
        <v>606.0</v>
      </c>
      <c r="B609" s="285" t="s">
        <v>317</v>
      </c>
      <c r="C609" s="285" t="s">
        <v>10103</v>
      </c>
      <c r="D609" s="286" t="s">
        <v>12230</v>
      </c>
      <c r="E609" s="285" t="s">
        <v>6933</v>
      </c>
      <c r="F609" s="285" t="s">
        <v>12251</v>
      </c>
      <c r="G609" s="285" t="s">
        <v>12252</v>
      </c>
      <c r="H609" s="285" t="s">
        <v>12253</v>
      </c>
      <c r="I609" s="285" t="s">
        <v>320</v>
      </c>
      <c r="J609" s="285" t="s">
        <v>5012</v>
      </c>
      <c r="K609" s="285" t="s">
        <v>10114</v>
      </c>
      <c r="L609" s="285" t="s">
        <v>832</v>
      </c>
      <c r="M609" s="285" t="s">
        <v>9383</v>
      </c>
      <c r="N609" s="287" t="str">
        <f>IFERROR(
    IF(
        AND(
            VLOOKUP(B609, 'รายชื่อพนักงานลาออกพ้นสภาพ'!B:I, 8, FALSE)&lt;&gt;"ยกเลิกลาออก",
            VLOOKUP(B609, 'รายชื่อพนักงานลาออกพ้นสภาพ'!B:I, 7, FALSE)&lt;=TODAY()
        ),
        "ลาออกแล้ว",
        ""
    ),
"")</f>
        <v>ลาออกแล้ว</v>
      </c>
      <c r="O609" s="292" t="str">
        <f t="array" ref="O609">IFERROR(INDEX(PCRent!C:D, MATCH(F609 &amp; " " &amp; G609, PCRent!A:A &amp; " " &amp; PCRent!B:B, 0)), "")</f>
        <v/>
      </c>
      <c r="P609" s="293"/>
      <c r="Q609" s="294" t="str">
        <f t="array" ref="Q609">IFERROR(INDEX(MonitorRent!C:D, MATCH(F609 &amp; " " &amp; G609, MonitorRent!A:A &amp; " " &amp; MonitorRent!B:B, 0)), "")</f>
        <v/>
      </c>
      <c r="R609" s="295"/>
    </row>
    <row r="610">
      <c r="A610" s="284">
        <v>607.0</v>
      </c>
      <c r="B610" s="285" t="s">
        <v>506</v>
      </c>
      <c r="C610" s="285" t="s">
        <v>10103</v>
      </c>
      <c r="D610" s="286" t="s">
        <v>11170</v>
      </c>
      <c r="E610" s="285" t="s">
        <v>6921</v>
      </c>
      <c r="F610" s="285" t="s">
        <v>12254</v>
      </c>
      <c r="G610" s="285" t="s">
        <v>12255</v>
      </c>
      <c r="H610" s="285" t="s">
        <v>12256</v>
      </c>
      <c r="I610" s="285" t="s">
        <v>509</v>
      </c>
      <c r="J610" s="285" t="s">
        <v>5012</v>
      </c>
      <c r="K610" s="285" t="s">
        <v>1606</v>
      </c>
      <c r="L610" s="285" t="s">
        <v>10127</v>
      </c>
      <c r="M610" s="285" t="s">
        <v>9391</v>
      </c>
      <c r="N610" s="287" t="str">
        <f>IFERROR(
    IF(
        AND(
            VLOOKUP(B610, 'รายชื่อพนักงานลาออกพ้นสภาพ'!B:I, 8, FALSE)&lt;&gt;"ยกเลิกลาออก",
            VLOOKUP(B610, 'รายชื่อพนักงานลาออกพ้นสภาพ'!B:I, 7, FALSE)&lt;=TODAY()
        ),
        "ลาออกแล้ว",
        ""
    ),
"")</f>
        <v>ลาออกแล้ว</v>
      </c>
      <c r="O610" s="292" t="str">
        <f t="array" ref="O610">IFERROR(INDEX(PCRent!C:D, MATCH(F610 &amp; " " &amp; G610, PCRent!A:A &amp; " " &amp; PCRent!B:B, 0)), "")</f>
        <v/>
      </c>
      <c r="P610" s="293"/>
      <c r="Q610" s="294" t="str">
        <f t="array" ref="Q610">IFERROR(INDEX(MonitorRent!C:D, MATCH(F610 &amp; " " &amp; G610, MonitorRent!A:A &amp; " " &amp; MonitorRent!B:B, 0)), "")</f>
        <v/>
      </c>
      <c r="R610" s="295"/>
    </row>
    <row r="611">
      <c r="A611" s="284">
        <v>608.0</v>
      </c>
      <c r="B611" s="285" t="s">
        <v>12257</v>
      </c>
      <c r="C611" s="285" t="s">
        <v>10103</v>
      </c>
      <c r="D611" s="286" t="s">
        <v>9399</v>
      </c>
      <c r="E611" s="285" t="s">
        <v>6921</v>
      </c>
      <c r="F611" s="285" t="s">
        <v>12258</v>
      </c>
      <c r="G611" s="285" t="s">
        <v>12259</v>
      </c>
      <c r="H611" s="285" t="s">
        <v>12260</v>
      </c>
      <c r="I611" s="285" t="s">
        <v>12261</v>
      </c>
      <c r="J611" s="285" t="s">
        <v>5012</v>
      </c>
      <c r="K611" s="285" t="s">
        <v>1606</v>
      </c>
      <c r="L611" s="285" t="s">
        <v>832</v>
      </c>
      <c r="M611" s="285" t="s">
        <v>9391</v>
      </c>
      <c r="N611" s="287" t="str">
        <f>IFERROR(
    IF(
        AND(
            VLOOKUP(B611, 'รายชื่อพนักงานลาออกพ้นสภาพ'!B:I, 8, FALSE)&lt;&gt;"ยกเลิกลาออก",
            VLOOKUP(B611, 'รายชื่อพนักงานลาออกพ้นสภาพ'!B:I, 7, FALSE)&lt;=TODAY()
        ),
        "ลาออกแล้ว",
        ""
    ),
"")</f>
        <v/>
      </c>
      <c r="O611" s="292" t="str">
        <f t="array" ref="O611">IFERROR(INDEX(PCRent!C:D, MATCH(F611 &amp; " " &amp; G611, PCRent!A:A &amp; " " &amp; PCRent!B:B, 0)), "")</f>
        <v/>
      </c>
      <c r="P611" s="293"/>
      <c r="Q611" s="294" t="str">
        <f t="array" ref="Q611">IFERROR(INDEX(MonitorRent!C:D, MATCH(F611 &amp; " " &amp; G611, MonitorRent!A:A &amp; " " &amp; MonitorRent!B:B, 0)), "")</f>
        <v/>
      </c>
      <c r="R611" s="295"/>
    </row>
    <row r="612">
      <c r="A612" s="284">
        <v>609.0</v>
      </c>
      <c r="B612" s="285" t="s">
        <v>12262</v>
      </c>
      <c r="C612" s="285" t="s">
        <v>10103</v>
      </c>
      <c r="D612" s="286" t="s">
        <v>12263</v>
      </c>
      <c r="E612" s="285" t="s">
        <v>6933</v>
      </c>
      <c r="F612" s="285" t="s">
        <v>12264</v>
      </c>
      <c r="G612" s="285" t="s">
        <v>12265</v>
      </c>
      <c r="H612" s="285" t="s">
        <v>12266</v>
      </c>
      <c r="I612" s="285" t="s">
        <v>12267</v>
      </c>
      <c r="J612" s="285" t="s">
        <v>5012</v>
      </c>
      <c r="K612" s="285" t="s">
        <v>1412</v>
      </c>
      <c r="L612" s="285" t="s">
        <v>10127</v>
      </c>
      <c r="M612" s="285" t="s">
        <v>9383</v>
      </c>
      <c r="N612" s="287" t="str">
        <f>IFERROR(
    IF(
        AND(
            VLOOKUP(B612, 'รายชื่อพนักงานลาออกพ้นสภาพ'!B:I, 8, FALSE)&lt;&gt;"ยกเลิกลาออก",
            VLOOKUP(B612, 'รายชื่อพนักงานลาออกพ้นสภาพ'!B:I, 7, FALSE)&lt;=TODAY()
        ),
        "ลาออกแล้ว",
        ""
    ),
"")</f>
        <v/>
      </c>
      <c r="O612" s="292" t="str">
        <f t="array" ref="O612">IFERROR(INDEX(PCRent!C:D, MATCH(F612 &amp; " " &amp; G612, PCRent!A:A &amp; " " &amp; PCRent!B:B, 0)), "")</f>
        <v/>
      </c>
      <c r="P612" s="293"/>
      <c r="Q612" s="294" t="str">
        <f t="array" ref="Q612">IFERROR(INDEX(MonitorRent!C:D, MATCH(F612 &amp; " " &amp; G612, MonitorRent!A:A &amp; " " &amp; MonitorRent!B:B, 0)), "")</f>
        <v/>
      </c>
      <c r="R612" s="295"/>
    </row>
    <row r="613">
      <c r="A613" s="284">
        <v>610.0</v>
      </c>
      <c r="B613" s="285" t="s">
        <v>12268</v>
      </c>
      <c r="C613" s="285" t="s">
        <v>10103</v>
      </c>
      <c r="D613" s="286" t="s">
        <v>12269</v>
      </c>
      <c r="E613" s="285" t="s">
        <v>6933</v>
      </c>
      <c r="F613" s="285" t="s">
        <v>10036</v>
      </c>
      <c r="G613" s="285" t="s">
        <v>12270</v>
      </c>
      <c r="H613" s="285" t="s">
        <v>12271</v>
      </c>
      <c r="I613" s="285" t="s">
        <v>12272</v>
      </c>
      <c r="J613" s="285" t="s">
        <v>5012</v>
      </c>
      <c r="K613" s="285" t="s">
        <v>1417</v>
      </c>
      <c r="L613" s="285" t="s">
        <v>10127</v>
      </c>
      <c r="M613" s="285" t="s">
        <v>9383</v>
      </c>
      <c r="N613" s="287" t="str">
        <f>IFERROR(
    IF(
        AND(
            VLOOKUP(B613, 'รายชื่อพนักงานลาออกพ้นสภาพ'!B:I, 8, FALSE)&lt;&gt;"ยกเลิกลาออก",
            VLOOKUP(B613, 'รายชื่อพนักงานลาออกพ้นสภาพ'!B:I, 7, FALSE)&lt;=TODAY()
        ),
        "ลาออกแล้ว",
        ""
    ),
"")</f>
        <v/>
      </c>
      <c r="O613" s="292" t="str">
        <f t="array" ref="O613">IFERROR(INDEX(PCRent!C:D, MATCH(F613 &amp; " " &amp; G613, PCRent!A:A &amp; " " &amp; PCRent!B:B, 0)), "")</f>
        <v/>
      </c>
      <c r="P613" s="293"/>
      <c r="Q613" s="294" t="str">
        <f t="array" ref="Q613">IFERROR(INDEX(MonitorRent!C:D, MATCH(F613 &amp; " " &amp; G613, MonitorRent!A:A &amp; " " &amp; MonitorRent!B:B, 0)), "")</f>
        <v/>
      </c>
      <c r="R613" s="295"/>
    </row>
    <row r="614">
      <c r="A614" s="284">
        <v>611.0</v>
      </c>
      <c r="B614" s="285" t="s">
        <v>12273</v>
      </c>
      <c r="C614" s="285" t="s">
        <v>10103</v>
      </c>
      <c r="D614" s="286" t="s">
        <v>10252</v>
      </c>
      <c r="E614" s="285" t="s">
        <v>6933</v>
      </c>
      <c r="F614" s="285" t="s">
        <v>12274</v>
      </c>
      <c r="G614" s="285" t="s">
        <v>12275</v>
      </c>
      <c r="H614" s="285" t="s">
        <v>11051</v>
      </c>
      <c r="I614" s="285" t="s">
        <v>12276</v>
      </c>
      <c r="J614" s="285" t="s">
        <v>5012</v>
      </c>
      <c r="K614" s="285" t="s">
        <v>10114</v>
      </c>
      <c r="L614" s="285" t="s">
        <v>832</v>
      </c>
      <c r="M614" s="285" t="s">
        <v>9391</v>
      </c>
      <c r="N614" s="287" t="str">
        <f>IFERROR(
    IF(
        AND(
            VLOOKUP(B614, 'รายชื่อพนักงานลาออกพ้นสภาพ'!B:I, 8, FALSE)&lt;&gt;"ยกเลิกลาออก",
            VLOOKUP(B614, 'รายชื่อพนักงานลาออกพ้นสภาพ'!B:I, 7, FALSE)&lt;=TODAY()
        ),
        "ลาออกแล้ว",
        ""
    ),
"")</f>
        <v/>
      </c>
      <c r="O614" s="292" t="str">
        <f t="array" ref="O614">IFERROR(INDEX(PCRent!C:D, MATCH(F614 &amp; " " &amp; G614, PCRent!A:A &amp; " " &amp; PCRent!B:B, 0)), "")</f>
        <v/>
      </c>
      <c r="P614" s="293"/>
      <c r="Q614" s="294" t="str">
        <f t="array" ref="Q614">IFERROR(INDEX(MonitorRent!C:D, MATCH(F614 &amp; " " &amp; G614, MonitorRent!A:A &amp; " " &amp; MonitorRent!B:B, 0)), "")</f>
        <v/>
      </c>
      <c r="R614" s="295"/>
    </row>
    <row r="615">
      <c r="A615" s="284">
        <v>612.0</v>
      </c>
      <c r="B615" s="285" t="s">
        <v>5003</v>
      </c>
      <c r="C615" s="285" t="s">
        <v>10103</v>
      </c>
      <c r="D615" s="286" t="s">
        <v>10501</v>
      </c>
      <c r="E615" s="285" t="s">
        <v>6933</v>
      </c>
      <c r="F615" s="285" t="s">
        <v>12274</v>
      </c>
      <c r="G615" s="285" t="s">
        <v>12277</v>
      </c>
      <c r="H615" s="285" t="s">
        <v>12278</v>
      </c>
      <c r="I615" s="285" t="s">
        <v>5005</v>
      </c>
      <c r="J615" s="285" t="s">
        <v>5224</v>
      </c>
      <c r="K615" s="285" t="s">
        <v>4756</v>
      </c>
      <c r="L615" s="285" t="s">
        <v>10189</v>
      </c>
      <c r="M615" s="285" t="s">
        <v>9383</v>
      </c>
      <c r="N615" s="287" t="str">
        <f>IFERROR(
    IF(
        AND(
            VLOOKUP(B615, 'รายชื่อพนักงานลาออกพ้นสภาพ'!B:I, 8, FALSE)&lt;&gt;"ยกเลิกลาออก",
            VLOOKUP(B615, 'รายชื่อพนักงานลาออกพ้นสภาพ'!B:I, 7, FALSE)&lt;=TODAY()
        ),
        "ลาออกแล้ว",
        ""
    ),
"")</f>
        <v/>
      </c>
      <c r="O615" s="292" t="str">
        <f t="array" ref="O615">IFERROR(INDEX(PCRent!C:D, MATCH(F615 &amp; " " &amp; G615, PCRent!A:A &amp; " " &amp; PCRent!B:B, 0)), "")</f>
        <v/>
      </c>
      <c r="P615" s="293"/>
      <c r="Q615" s="294" t="str">
        <f t="array" ref="Q615">IFERROR(INDEX(MonitorRent!C:D, MATCH(F615 &amp; " " &amp; G615, MonitorRent!A:A &amp; " " &amp; MonitorRent!B:B, 0)), "")</f>
        <v/>
      </c>
      <c r="R615" s="295"/>
    </row>
    <row r="616">
      <c r="A616" s="284">
        <v>613.0</v>
      </c>
      <c r="B616" s="285" t="s">
        <v>12279</v>
      </c>
      <c r="C616" s="285" t="s">
        <v>10103</v>
      </c>
      <c r="D616" s="286" t="s">
        <v>12280</v>
      </c>
      <c r="E616" s="285" t="s">
        <v>6933</v>
      </c>
      <c r="F616" s="285" t="s">
        <v>12274</v>
      </c>
      <c r="G616" s="285" t="s">
        <v>12281</v>
      </c>
      <c r="H616" s="285" t="s">
        <v>10709</v>
      </c>
      <c r="I616" s="285" t="s">
        <v>12282</v>
      </c>
      <c r="J616" s="285" t="s">
        <v>5224</v>
      </c>
      <c r="K616" s="285" t="s">
        <v>4756</v>
      </c>
      <c r="L616" s="285" t="s">
        <v>10189</v>
      </c>
      <c r="M616" s="285" t="s">
        <v>9383</v>
      </c>
      <c r="N616" s="287" t="str">
        <f>IFERROR(
    IF(
        AND(
            VLOOKUP(B616, 'รายชื่อพนักงานลาออกพ้นสภาพ'!B:I, 8, FALSE)&lt;&gt;"ยกเลิกลาออก",
            VLOOKUP(B616, 'รายชื่อพนักงานลาออกพ้นสภาพ'!B:I, 7, FALSE)&lt;=TODAY()
        ),
        "ลาออกแล้ว",
        ""
    ),
"")</f>
        <v/>
      </c>
      <c r="O616" s="292" t="str">
        <f t="array" ref="O616">IFERROR(INDEX(PCRent!C:D, MATCH(F616 &amp; " " &amp; G616, PCRent!A:A &amp; " " &amp; PCRent!B:B, 0)), "")</f>
        <v/>
      </c>
      <c r="P616" s="293"/>
      <c r="Q616" s="294" t="str">
        <f t="array" ref="Q616">IFERROR(INDEX(MonitorRent!C:D, MATCH(F616 &amp; " " &amp; G616, MonitorRent!A:A &amp; " " &amp; MonitorRent!B:B, 0)), "")</f>
        <v/>
      </c>
      <c r="R616" s="295"/>
    </row>
    <row r="617">
      <c r="A617" s="284">
        <v>614.0</v>
      </c>
      <c r="B617" s="285" t="s">
        <v>564</v>
      </c>
      <c r="C617" s="285" t="s">
        <v>10103</v>
      </c>
      <c r="D617" s="286" t="s">
        <v>10206</v>
      </c>
      <c r="E617" s="285" t="s">
        <v>6921</v>
      </c>
      <c r="F617" s="285" t="s">
        <v>12283</v>
      </c>
      <c r="G617" s="285" t="s">
        <v>12284</v>
      </c>
      <c r="H617" s="285" t="s">
        <v>11533</v>
      </c>
      <c r="I617" s="285" t="s">
        <v>567</v>
      </c>
      <c r="J617" s="285" t="s">
        <v>5012</v>
      </c>
      <c r="K617" s="285" t="s">
        <v>1456</v>
      </c>
      <c r="L617" s="285" t="s">
        <v>566</v>
      </c>
      <c r="M617" s="285" t="s">
        <v>9391</v>
      </c>
      <c r="N617" s="287" t="str">
        <f>IFERROR(
    IF(
        AND(
            VLOOKUP(B617, 'รายชื่อพนักงานลาออกพ้นสภาพ'!B:I, 8, FALSE)&lt;&gt;"ยกเลิกลาออก",
            VLOOKUP(B617, 'รายชื่อพนักงานลาออกพ้นสภาพ'!B:I, 7, FALSE)&lt;=TODAY()
        ),
        "ลาออกแล้ว",
        ""
    ),
"")</f>
        <v>ลาออกแล้ว</v>
      </c>
      <c r="O617" s="292" t="str">
        <f t="array" ref="O617">IFERROR(INDEX(PCRent!C:D, MATCH(F617 &amp; " " &amp; G617, PCRent!A:A &amp; " " &amp; PCRent!B:B, 0)), "")</f>
        <v/>
      </c>
      <c r="P617" s="293"/>
      <c r="Q617" s="294" t="str">
        <f t="array" ref="Q617">IFERROR(INDEX(MonitorRent!C:D, MATCH(F617 &amp; " " &amp; G617, MonitorRent!A:A &amp; " " &amp; MonitorRent!B:B, 0)), "")</f>
        <v/>
      </c>
      <c r="R617" s="295"/>
    </row>
    <row r="618">
      <c r="A618" s="284">
        <v>615.0</v>
      </c>
      <c r="B618" s="285" t="s">
        <v>983</v>
      </c>
      <c r="C618" s="285" t="s">
        <v>10103</v>
      </c>
      <c r="D618" s="286" t="s">
        <v>12285</v>
      </c>
      <c r="E618" s="285" t="s">
        <v>6933</v>
      </c>
      <c r="F618" s="285" t="s">
        <v>12286</v>
      </c>
      <c r="G618" s="285" t="s">
        <v>12287</v>
      </c>
      <c r="H618" s="285" t="s">
        <v>12288</v>
      </c>
      <c r="I618" s="285" t="s">
        <v>985</v>
      </c>
      <c r="J618" s="285" t="s">
        <v>5012</v>
      </c>
      <c r="K618" s="285" t="s">
        <v>10114</v>
      </c>
      <c r="L618" s="285" t="s">
        <v>10127</v>
      </c>
      <c r="M618" s="285" t="s">
        <v>9383</v>
      </c>
      <c r="N618" s="287" t="str">
        <f>IFERROR(
    IF(
        AND(
            VLOOKUP(B618, 'รายชื่อพนักงานลาออกพ้นสภาพ'!B:I, 8, FALSE)&lt;&gt;"ยกเลิกลาออก",
            VLOOKUP(B618, 'รายชื่อพนักงานลาออกพ้นสภาพ'!B:I, 7, FALSE)&lt;=TODAY()
        ),
        "ลาออกแล้ว",
        ""
    ),
"")</f>
        <v/>
      </c>
      <c r="O618" s="292" t="str">
        <f t="array" ref="O618">IFERROR(INDEX(PCRent!C:D, MATCH(F618 &amp; " " &amp; G618, PCRent!A:A &amp; " " &amp; PCRent!B:B, 0)), "")</f>
        <v/>
      </c>
      <c r="P618" s="293"/>
      <c r="Q618" s="294" t="str">
        <f t="array" ref="Q618">IFERROR(INDEX(MonitorRent!C:D, MATCH(F618 &amp; " " &amp; G618, MonitorRent!A:A &amp; " " &amp; MonitorRent!B:B, 0)), "")</f>
        <v/>
      </c>
      <c r="R618" s="295"/>
    </row>
    <row r="619">
      <c r="A619" s="284">
        <v>616.0</v>
      </c>
      <c r="B619" s="285" t="s">
        <v>12289</v>
      </c>
      <c r="C619" s="285" t="s">
        <v>10103</v>
      </c>
      <c r="D619" s="286" t="s">
        <v>12290</v>
      </c>
      <c r="E619" s="285" t="s">
        <v>6921</v>
      </c>
      <c r="F619" s="285" t="s">
        <v>12291</v>
      </c>
      <c r="G619" s="285" t="s">
        <v>12292</v>
      </c>
      <c r="H619" s="285" t="s">
        <v>9915</v>
      </c>
      <c r="I619" s="285" t="s">
        <v>12293</v>
      </c>
      <c r="J619" s="285" t="s">
        <v>5224</v>
      </c>
      <c r="K619" s="285" t="s">
        <v>1456</v>
      </c>
      <c r="L619" s="285" t="s">
        <v>566</v>
      </c>
      <c r="M619" s="285" t="s">
        <v>9383</v>
      </c>
      <c r="N619" s="287" t="str">
        <f>IFERROR(
    IF(
        AND(
            VLOOKUP(B619, 'รายชื่อพนักงานลาออกพ้นสภาพ'!B:I, 8, FALSE)&lt;&gt;"ยกเลิกลาออก",
            VLOOKUP(B619, 'รายชื่อพนักงานลาออกพ้นสภาพ'!B:I, 7, FALSE)&lt;=TODAY()
        ),
        "ลาออกแล้ว",
        ""
    ),
"")</f>
        <v/>
      </c>
      <c r="O619" s="292" t="str">
        <f t="array" ref="O619">IFERROR(INDEX(PCRent!C:D, MATCH(F619 &amp; " " &amp; G619, PCRent!A:A &amp; " " &amp; PCRent!B:B, 0)), "")</f>
        <v/>
      </c>
      <c r="P619" s="293"/>
      <c r="Q619" s="294" t="str">
        <f t="array" ref="Q619">IFERROR(INDEX(MonitorRent!C:D, MATCH(F619 &amp; " " &amp; G619, MonitorRent!A:A &amp; " " &amp; MonitorRent!B:B, 0)), "")</f>
        <v/>
      </c>
      <c r="R619" s="295"/>
    </row>
    <row r="620">
      <c r="A620" s="284">
        <v>617.0</v>
      </c>
      <c r="B620" s="285" t="s">
        <v>704</v>
      </c>
      <c r="C620" s="285" t="s">
        <v>10103</v>
      </c>
      <c r="D620" s="286" t="s">
        <v>10138</v>
      </c>
      <c r="E620" s="285" t="s">
        <v>6921</v>
      </c>
      <c r="F620" s="285" t="s">
        <v>12294</v>
      </c>
      <c r="G620" s="285" t="s">
        <v>12295</v>
      </c>
      <c r="H620" s="285" t="s">
        <v>12296</v>
      </c>
      <c r="I620" s="285" t="s">
        <v>707</v>
      </c>
      <c r="J620" s="285" t="s">
        <v>5224</v>
      </c>
      <c r="K620" s="285" t="s">
        <v>9390</v>
      </c>
      <c r="L620" s="285" t="s">
        <v>54</v>
      </c>
      <c r="M620" s="285" t="s">
        <v>9383</v>
      </c>
      <c r="N620" s="287" t="str">
        <f>IFERROR(
    IF(
        AND(
            VLOOKUP(B620, 'รายชื่อพนักงานลาออกพ้นสภาพ'!B:I, 8, FALSE)&lt;&gt;"ยกเลิกลาออก",
            VLOOKUP(B620, 'รายชื่อพนักงานลาออกพ้นสภาพ'!B:I, 7, FALSE)&lt;=TODAY()
        ),
        "ลาออกแล้ว",
        ""
    ),
"")</f>
        <v/>
      </c>
      <c r="O620" s="292" t="str">
        <f t="array" ref="O620">IFERROR(INDEX(PCRent!C:D, MATCH(F620 &amp; " " &amp; G620, PCRent!A:A &amp; " " &amp; PCRent!B:B, 0)), "")</f>
        <v/>
      </c>
      <c r="P620" s="293"/>
      <c r="Q620" s="294" t="str">
        <f t="array" ref="Q620">IFERROR(INDEX(MonitorRent!C:D, MATCH(F620 &amp; " " &amp; G620, MonitorRent!A:A &amp; " " &amp; MonitorRent!B:B, 0)), "")</f>
        <v/>
      </c>
      <c r="R620" s="295"/>
    </row>
    <row r="621">
      <c r="A621" s="284">
        <v>618.0</v>
      </c>
      <c r="B621" s="285" t="s">
        <v>137</v>
      </c>
      <c r="C621" s="285" t="s">
        <v>10103</v>
      </c>
      <c r="D621" s="286" t="s">
        <v>9606</v>
      </c>
      <c r="E621" s="285" t="s">
        <v>6933</v>
      </c>
      <c r="F621" s="285" t="s">
        <v>12297</v>
      </c>
      <c r="G621" s="285" t="s">
        <v>12298</v>
      </c>
      <c r="H621" s="285" t="s">
        <v>10214</v>
      </c>
      <c r="I621" s="285" t="s">
        <v>140</v>
      </c>
      <c r="J621" s="285" t="s">
        <v>5012</v>
      </c>
      <c r="K621" s="285" t="s">
        <v>10114</v>
      </c>
      <c r="L621" s="285" t="s">
        <v>10127</v>
      </c>
      <c r="M621" s="285" t="s">
        <v>9391</v>
      </c>
      <c r="N621" s="287" t="str">
        <f>IFERROR(
    IF(
        AND(
            VLOOKUP(B621, 'รายชื่อพนักงานลาออกพ้นสภาพ'!B:I, 8, FALSE)&lt;&gt;"ยกเลิกลาออก",
            VLOOKUP(B621, 'รายชื่อพนักงานลาออกพ้นสภาพ'!B:I, 7, FALSE)&lt;=TODAY()
        ),
        "ลาออกแล้ว",
        ""
    ),
"")</f>
        <v>ลาออกแล้ว</v>
      </c>
      <c r="O621" s="292" t="str">
        <f t="array" ref="O621">IFERROR(INDEX(PCRent!C:D, MATCH(F621 &amp; " " &amp; G621, PCRent!A:A &amp; " " &amp; PCRent!B:B, 0)), "")</f>
        <v/>
      </c>
      <c r="P621" s="293"/>
      <c r="Q621" s="294" t="str">
        <f t="array" ref="Q621">IFERROR(INDEX(MonitorRent!C:D, MATCH(F621 &amp; " " &amp; G621, MonitorRent!A:A &amp; " " &amp; MonitorRent!B:B, 0)), "")</f>
        <v/>
      </c>
      <c r="R621" s="295"/>
    </row>
    <row r="622">
      <c r="A622" s="284">
        <v>619.0</v>
      </c>
      <c r="B622" s="285" t="s">
        <v>12299</v>
      </c>
      <c r="C622" s="285" t="s">
        <v>10103</v>
      </c>
      <c r="D622" s="286" t="s">
        <v>10631</v>
      </c>
      <c r="E622" s="285" t="s">
        <v>6933</v>
      </c>
      <c r="F622" s="285" t="s">
        <v>12300</v>
      </c>
      <c r="G622" s="285" t="s">
        <v>12301</v>
      </c>
      <c r="H622" s="285" t="s">
        <v>11025</v>
      </c>
      <c r="I622" s="285" t="s">
        <v>12302</v>
      </c>
      <c r="J622" s="285" t="s">
        <v>5012</v>
      </c>
      <c r="K622" s="285" t="s">
        <v>1412</v>
      </c>
      <c r="L622" s="285" t="s">
        <v>10127</v>
      </c>
      <c r="M622" s="285" t="s">
        <v>9383</v>
      </c>
      <c r="N622" s="287" t="str">
        <f>IFERROR(
    IF(
        AND(
            VLOOKUP(B622, 'รายชื่อพนักงานลาออกพ้นสภาพ'!B:I, 8, FALSE)&lt;&gt;"ยกเลิกลาออก",
            VLOOKUP(B622, 'รายชื่อพนักงานลาออกพ้นสภาพ'!B:I, 7, FALSE)&lt;=TODAY()
        ),
        "ลาออกแล้ว",
        ""
    ),
"")</f>
        <v/>
      </c>
      <c r="O622" s="292" t="str">
        <f t="array" ref="O622">IFERROR(INDEX(PCRent!C:D, MATCH(F622 &amp; " " &amp; G622, PCRent!A:A &amp; " " &amp; PCRent!B:B, 0)), "")</f>
        <v/>
      </c>
      <c r="P622" s="293"/>
      <c r="Q622" s="294" t="str">
        <f t="array" ref="Q622">IFERROR(INDEX(MonitorRent!C:D, MATCH(F622 &amp; " " &amp; G622, MonitorRent!A:A &amp; " " &amp; MonitorRent!B:B, 0)), "")</f>
        <v/>
      </c>
      <c r="R622" s="295"/>
    </row>
    <row r="623">
      <c r="A623" s="284">
        <v>620.0</v>
      </c>
      <c r="B623" s="285" t="s">
        <v>12303</v>
      </c>
      <c r="C623" s="285" t="s">
        <v>10103</v>
      </c>
      <c r="D623" s="286" t="s">
        <v>10636</v>
      </c>
      <c r="E623" s="285" t="s">
        <v>6933</v>
      </c>
      <c r="F623" s="285" t="s">
        <v>12304</v>
      </c>
      <c r="G623" s="285" t="s">
        <v>12305</v>
      </c>
      <c r="H623" s="285" t="s">
        <v>10145</v>
      </c>
      <c r="I623" s="285" t="s">
        <v>12306</v>
      </c>
      <c r="J623" s="285" t="s">
        <v>5012</v>
      </c>
      <c r="K623" s="285" t="s">
        <v>10114</v>
      </c>
      <c r="L623" s="285" t="s">
        <v>10127</v>
      </c>
      <c r="M623" s="285" t="s">
        <v>9383</v>
      </c>
      <c r="N623" s="287" t="str">
        <f>IFERROR(
    IF(
        AND(
            VLOOKUP(B623, 'รายชื่อพนักงานลาออกพ้นสภาพ'!B:I, 8, FALSE)&lt;&gt;"ยกเลิกลาออก",
            VLOOKUP(B623, 'รายชื่อพนักงานลาออกพ้นสภาพ'!B:I, 7, FALSE)&lt;=TODAY()
        ),
        "ลาออกแล้ว",
        ""
    ),
"")</f>
        <v/>
      </c>
      <c r="O623" s="292" t="str">
        <f t="array" ref="O623">IFERROR(INDEX(PCRent!C:D, MATCH(F623 &amp; " " &amp; G623, PCRent!A:A &amp; " " &amp; PCRent!B:B, 0)), "")</f>
        <v/>
      </c>
      <c r="P623" s="293"/>
      <c r="Q623" s="294" t="str">
        <f t="array" ref="Q623">IFERROR(INDEX(MonitorRent!C:D, MATCH(F623 &amp; " " &amp; G623, MonitorRent!A:A &amp; " " &amp; MonitorRent!B:B, 0)), "")</f>
        <v/>
      </c>
      <c r="R623" s="295"/>
    </row>
    <row r="624">
      <c r="A624" s="284">
        <v>621.0</v>
      </c>
      <c r="B624" s="285" t="s">
        <v>12307</v>
      </c>
      <c r="C624" s="285" t="s">
        <v>10103</v>
      </c>
      <c r="D624" s="286" t="s">
        <v>10325</v>
      </c>
      <c r="E624" s="285" t="s">
        <v>6921</v>
      </c>
      <c r="F624" s="285" t="s">
        <v>12308</v>
      </c>
      <c r="G624" s="285" t="s">
        <v>12309</v>
      </c>
      <c r="H624" s="285" t="s">
        <v>10749</v>
      </c>
      <c r="I624" s="285" t="s">
        <v>12310</v>
      </c>
      <c r="J624" s="285" t="s">
        <v>5012</v>
      </c>
      <c r="K624" s="285" t="s">
        <v>1606</v>
      </c>
      <c r="L624" s="285" t="s">
        <v>832</v>
      </c>
      <c r="M624" s="285" t="s">
        <v>9383</v>
      </c>
      <c r="N624" s="287" t="str">
        <f>IFERROR(
    IF(
        AND(
            VLOOKUP(B624, 'รายชื่อพนักงานลาออกพ้นสภาพ'!B:I, 8, FALSE)&lt;&gt;"ยกเลิกลาออก",
            VLOOKUP(B624, 'รายชื่อพนักงานลาออกพ้นสภาพ'!B:I, 7, FALSE)&lt;=TODAY()
        ),
        "ลาออกแล้ว",
        ""
    ),
"")</f>
        <v/>
      </c>
      <c r="O624" s="292" t="str">
        <f t="array" ref="O624">IFERROR(INDEX(PCRent!C:D, MATCH(F624 &amp; " " &amp; G624, PCRent!A:A &amp; " " &amp; PCRent!B:B, 0)), "")</f>
        <v/>
      </c>
      <c r="P624" s="293"/>
      <c r="Q624" s="294" t="str">
        <f t="array" ref="Q624">IFERROR(INDEX(MonitorRent!C:D, MATCH(F624 &amp; " " &amp; G624, MonitorRent!A:A &amp; " " &amp; MonitorRent!B:B, 0)), "")</f>
        <v/>
      </c>
      <c r="R624" s="295"/>
    </row>
    <row r="625">
      <c r="A625" s="284">
        <v>622.0</v>
      </c>
      <c r="B625" s="285" t="s">
        <v>5087</v>
      </c>
      <c r="C625" s="285" t="s">
        <v>7505</v>
      </c>
      <c r="D625" s="286" t="s">
        <v>12311</v>
      </c>
      <c r="E625" s="285" t="s">
        <v>6921</v>
      </c>
      <c r="F625" s="285" t="s">
        <v>12312</v>
      </c>
      <c r="G625" s="285" t="s">
        <v>12313</v>
      </c>
      <c r="H625" s="285" t="s">
        <v>10244</v>
      </c>
      <c r="I625" s="285" t="s">
        <v>5089</v>
      </c>
      <c r="J625" s="285" t="s">
        <v>5012</v>
      </c>
      <c r="K625" s="285" t="s">
        <v>12314</v>
      </c>
      <c r="L625" s="285" t="s">
        <v>12315</v>
      </c>
      <c r="M625" s="285" t="s">
        <v>9383</v>
      </c>
      <c r="N625" s="287" t="str">
        <f>IFERROR(
    IF(
        AND(
            VLOOKUP(B625, 'รายชื่อพนักงานลาออกพ้นสภาพ'!B:I, 8, FALSE)&lt;&gt;"ยกเลิกลาออก",
            VLOOKUP(B625, 'รายชื่อพนักงานลาออกพ้นสภาพ'!B:I, 7, FALSE)&lt;=TODAY()
        ),
        "ลาออกแล้ว",
        ""
    ),
"")</f>
        <v/>
      </c>
      <c r="O625" s="292" t="str">
        <f t="array" ref="O625">IFERROR(INDEX(PCRent!C:D, MATCH(F625 &amp; " " &amp; G625, PCRent!A:A &amp; " " &amp; PCRent!B:B, 0)), "")</f>
        <v/>
      </c>
      <c r="P625" s="293"/>
      <c r="Q625" s="294" t="str">
        <f t="array" ref="Q625">IFERROR(INDEX(MonitorRent!C:D, MATCH(F625 &amp; " " &amp; G625, MonitorRent!A:A &amp; " " &amp; MonitorRent!B:B, 0)), "")</f>
        <v/>
      </c>
      <c r="R625" s="295"/>
    </row>
    <row r="626">
      <c r="A626" s="284">
        <v>623.0</v>
      </c>
      <c r="B626" s="285" t="s">
        <v>12316</v>
      </c>
      <c r="C626" s="285" t="s">
        <v>7505</v>
      </c>
      <c r="D626" s="286" t="s">
        <v>12317</v>
      </c>
      <c r="E626" s="285" t="s">
        <v>9496</v>
      </c>
      <c r="F626" s="285" t="s">
        <v>12318</v>
      </c>
      <c r="G626" s="285" t="s">
        <v>12319</v>
      </c>
      <c r="H626" s="285" t="s">
        <v>10244</v>
      </c>
      <c r="I626" s="285" t="s">
        <v>12320</v>
      </c>
      <c r="J626" s="285" t="s">
        <v>5224</v>
      </c>
      <c r="K626" s="285" t="s">
        <v>12321</v>
      </c>
      <c r="L626" s="285" t="s">
        <v>8609</v>
      </c>
      <c r="M626" s="285" t="s">
        <v>9383</v>
      </c>
      <c r="N626" s="287" t="str">
        <f>IFERROR(
    IF(
        AND(
            VLOOKUP(B626, 'รายชื่อพนักงานลาออกพ้นสภาพ'!B:I, 8, FALSE)&lt;&gt;"ยกเลิกลาออก",
            VLOOKUP(B626, 'รายชื่อพนักงานลาออกพ้นสภาพ'!B:I, 7, FALSE)&lt;=TODAY()
        ),
        "ลาออกแล้ว",
        ""
    ),
"")</f>
        <v/>
      </c>
      <c r="O626" s="292" t="str">
        <f t="array" ref="O626">IFERROR(INDEX(PCRent!C:D, MATCH(F626 &amp; " " &amp; G626, PCRent!A:A &amp; " " &amp; PCRent!B:B, 0)), "")</f>
        <v/>
      </c>
      <c r="P626" s="293"/>
      <c r="Q626" s="294" t="str">
        <f t="array" ref="Q626">IFERROR(INDEX(MonitorRent!C:D, MATCH(F626 &amp; " " &amp; G626, MonitorRent!A:A &amp; " " &amp; MonitorRent!B:B, 0)), "")</f>
        <v/>
      </c>
      <c r="R626" s="295"/>
    </row>
    <row r="627">
      <c r="A627" s="284">
        <v>624.0</v>
      </c>
      <c r="B627" s="285" t="s">
        <v>5103</v>
      </c>
      <c r="C627" s="285" t="s">
        <v>7505</v>
      </c>
      <c r="D627" s="286" t="s">
        <v>12322</v>
      </c>
      <c r="E627" s="285" t="s">
        <v>6933</v>
      </c>
      <c r="F627" s="285" t="s">
        <v>12323</v>
      </c>
      <c r="G627" s="285" t="s">
        <v>12324</v>
      </c>
      <c r="H627" s="285" t="s">
        <v>11581</v>
      </c>
      <c r="I627" s="285" t="s">
        <v>5105</v>
      </c>
      <c r="J627" s="285" t="s">
        <v>5012</v>
      </c>
      <c r="K627" s="285" t="s">
        <v>12325</v>
      </c>
      <c r="L627" s="285" t="s">
        <v>12315</v>
      </c>
      <c r="M627" s="285" t="s">
        <v>9383</v>
      </c>
      <c r="N627" s="287" t="str">
        <f>IFERROR(
    IF(
        AND(
            VLOOKUP(B627, 'รายชื่อพนักงานลาออกพ้นสภาพ'!B:I, 8, FALSE)&lt;&gt;"ยกเลิกลาออก",
            VLOOKUP(B627, 'รายชื่อพนักงานลาออกพ้นสภาพ'!B:I, 7, FALSE)&lt;=TODAY()
        ),
        "ลาออกแล้ว",
        ""
    ),
"")</f>
        <v/>
      </c>
      <c r="O627" s="292" t="str">
        <f t="array" ref="O627">IFERROR(INDEX(PCRent!C:D, MATCH(F627 &amp; " " &amp; G627, PCRent!A:A &amp; " " &amp; PCRent!B:B, 0)), "")</f>
        <v/>
      </c>
      <c r="P627" s="293"/>
      <c r="Q627" s="294" t="str">
        <f t="array" ref="Q627">IFERROR(INDEX(MonitorRent!C:D, MATCH(F627 &amp; " " &amp; G627, MonitorRent!A:A &amp; " " &amp; MonitorRent!B:B, 0)), "")</f>
        <v/>
      </c>
      <c r="R627" s="295"/>
    </row>
    <row r="628">
      <c r="A628" s="284">
        <v>625.0</v>
      </c>
      <c r="B628" s="285" t="s">
        <v>5067</v>
      </c>
      <c r="C628" s="285" t="s">
        <v>7505</v>
      </c>
      <c r="D628" s="286" t="s">
        <v>12326</v>
      </c>
      <c r="E628" s="285" t="s">
        <v>7239</v>
      </c>
      <c r="F628" s="285" t="s">
        <v>9564</v>
      </c>
      <c r="G628" s="285" t="s">
        <v>12327</v>
      </c>
      <c r="H628" s="285" t="s">
        <v>12328</v>
      </c>
      <c r="I628" s="285" t="s">
        <v>5071</v>
      </c>
      <c r="J628" s="285" t="s">
        <v>5224</v>
      </c>
      <c r="K628" s="285" t="s">
        <v>4805</v>
      </c>
      <c r="L628" s="285" t="s">
        <v>5069</v>
      </c>
      <c r="M628" s="285" t="s">
        <v>9383</v>
      </c>
      <c r="N628" s="287" t="str">
        <f>IFERROR(
    IF(
        AND(
            VLOOKUP(B628, 'รายชื่อพนักงานลาออกพ้นสภาพ'!B:I, 8, FALSE)&lt;&gt;"ยกเลิกลาออก",
            VLOOKUP(B628, 'รายชื่อพนักงานลาออกพ้นสภาพ'!B:I, 7, FALSE)&lt;=TODAY()
        ),
        "ลาออกแล้ว",
        ""
    ),
"")</f>
        <v/>
      </c>
      <c r="O628" s="292" t="str">
        <f t="array" ref="O628:P628">IFERROR(INDEX(PCRent!C:D, MATCH(F628 &amp; " " &amp; G628, PCRent!A:A &amp; " " &amp; PCRent!B:B, 0)), "")</f>
        <v>SN:PF39H4S5</v>
      </c>
      <c r="P628" s="293" t="s">
        <v>7005</v>
      </c>
      <c r="Q628" s="294" t="str">
        <f t="array" ref="Q628">IFERROR(INDEX(MonitorRent!C:D, MATCH(F628 &amp; " " &amp; G628, MonitorRent!A:A &amp; " " &amp; MonitorRent!B:B, 0)), "")</f>
        <v/>
      </c>
      <c r="R628" s="295"/>
    </row>
    <row r="629">
      <c r="A629" s="284">
        <v>626.0</v>
      </c>
      <c r="B629" s="285" t="s">
        <v>5093</v>
      </c>
      <c r="C629" s="285" t="s">
        <v>7505</v>
      </c>
      <c r="D629" s="286" t="s">
        <v>12329</v>
      </c>
      <c r="E629" s="285" t="s">
        <v>6921</v>
      </c>
      <c r="F629" s="285" t="s">
        <v>12330</v>
      </c>
      <c r="G629" s="285" t="s">
        <v>12331</v>
      </c>
      <c r="H629" s="285" t="s">
        <v>12332</v>
      </c>
      <c r="I629" s="285" t="s">
        <v>5095</v>
      </c>
      <c r="J629" s="285" t="s">
        <v>5012</v>
      </c>
      <c r="K629" s="285" t="s">
        <v>12314</v>
      </c>
      <c r="L629" s="285" t="s">
        <v>12315</v>
      </c>
      <c r="M629" s="285" t="s">
        <v>9383</v>
      </c>
      <c r="N629" s="287" t="str">
        <f>IFERROR(
    IF(
        AND(
            VLOOKUP(B629, 'รายชื่อพนักงานลาออกพ้นสภาพ'!B:I, 8, FALSE)&lt;&gt;"ยกเลิกลาออก",
            VLOOKUP(B629, 'รายชื่อพนักงานลาออกพ้นสภาพ'!B:I, 7, FALSE)&lt;=TODAY()
        ),
        "ลาออกแล้ว",
        ""
    ),
"")</f>
        <v/>
      </c>
      <c r="O629" s="292" t="str">
        <f t="array" ref="O629">IFERROR(INDEX(PCRent!C:D, MATCH(F629 &amp; " " &amp; G629, PCRent!A:A &amp; " " &amp; PCRent!B:B, 0)), "")</f>
        <v/>
      </c>
      <c r="P629" s="293"/>
      <c r="Q629" s="294" t="str">
        <f t="array" ref="Q629">IFERROR(INDEX(MonitorRent!C:D, MATCH(F629 &amp; " " &amp; G629, MonitorRent!A:A &amp; " " &amp; MonitorRent!B:B, 0)), "")</f>
        <v/>
      </c>
      <c r="R629" s="295"/>
    </row>
    <row r="630">
      <c r="A630" s="284">
        <v>627.0</v>
      </c>
      <c r="B630" s="285" t="s">
        <v>5074</v>
      </c>
      <c r="C630" s="285" t="s">
        <v>7505</v>
      </c>
      <c r="D630" s="286" t="s">
        <v>10804</v>
      </c>
      <c r="E630" s="285" t="s">
        <v>6921</v>
      </c>
      <c r="F630" s="285" t="s">
        <v>12333</v>
      </c>
      <c r="G630" s="285" t="s">
        <v>12334</v>
      </c>
      <c r="H630" s="285" t="s">
        <v>12335</v>
      </c>
      <c r="I630" s="285" t="s">
        <v>5078</v>
      </c>
      <c r="J630" s="285" t="s">
        <v>5012</v>
      </c>
      <c r="K630" s="285" t="s">
        <v>12336</v>
      </c>
      <c r="L630" s="285" t="s">
        <v>12315</v>
      </c>
      <c r="M630" s="285" t="s">
        <v>9383</v>
      </c>
      <c r="N630" s="287" t="str">
        <f>IFERROR(
    IF(
        AND(
            VLOOKUP(B630, 'รายชื่อพนักงานลาออกพ้นสภาพ'!B:I, 8, FALSE)&lt;&gt;"ยกเลิกลาออก",
            VLOOKUP(B630, 'รายชื่อพนักงานลาออกพ้นสภาพ'!B:I, 7, FALSE)&lt;=TODAY()
        ),
        "ลาออกแล้ว",
        ""
    ),
"")</f>
        <v/>
      </c>
      <c r="O630" s="292" t="str">
        <f t="array" ref="O630">IFERROR(INDEX(PCRent!C:D, MATCH(F630 &amp; " " &amp; G630, PCRent!A:A &amp; " " &amp; PCRent!B:B, 0)), "")</f>
        <v/>
      </c>
      <c r="P630" s="293"/>
      <c r="Q630" s="294" t="str">
        <f t="array" ref="Q630">IFERROR(INDEX(MonitorRent!C:D, MATCH(F630 &amp; " " &amp; G630, MonitorRent!A:A &amp; " " &amp; MonitorRent!B:B, 0)), "")</f>
        <v/>
      </c>
      <c r="R630" s="295"/>
    </row>
    <row r="631">
      <c r="A631" s="284">
        <v>628.0</v>
      </c>
      <c r="B631" s="285" t="s">
        <v>5098</v>
      </c>
      <c r="C631" s="285" t="s">
        <v>7505</v>
      </c>
      <c r="D631" s="286" t="s">
        <v>12337</v>
      </c>
      <c r="E631" s="285" t="s">
        <v>6921</v>
      </c>
      <c r="F631" s="285" t="s">
        <v>12338</v>
      </c>
      <c r="G631" s="285" t="s">
        <v>12339</v>
      </c>
      <c r="H631" s="285" t="s">
        <v>11850</v>
      </c>
      <c r="I631" s="285" t="s">
        <v>5100</v>
      </c>
      <c r="J631" s="285" t="s">
        <v>5012</v>
      </c>
      <c r="K631" s="285" t="s">
        <v>9588</v>
      </c>
      <c r="L631" s="285" t="s">
        <v>12315</v>
      </c>
      <c r="M631" s="285" t="s">
        <v>9383</v>
      </c>
      <c r="N631" s="287" t="str">
        <f>IFERROR(
    IF(
        AND(
            VLOOKUP(B631, 'รายชื่อพนักงานลาออกพ้นสภาพ'!B:I, 8, FALSE)&lt;&gt;"ยกเลิกลาออก",
            VLOOKUP(B631, 'รายชื่อพนักงานลาออกพ้นสภาพ'!B:I, 7, FALSE)&lt;=TODAY()
        ),
        "ลาออกแล้ว",
        ""
    ),
"")</f>
        <v/>
      </c>
      <c r="O631" s="292" t="str">
        <f t="array" ref="O631">IFERROR(INDEX(PCRent!C:D, MATCH(F631 &amp; " " &amp; G631, PCRent!A:A &amp; " " &amp; PCRent!B:B, 0)), "")</f>
        <v/>
      </c>
      <c r="P631" s="293"/>
      <c r="Q631" s="294" t="str">
        <f t="array" ref="Q631">IFERROR(INDEX(MonitorRent!C:D, MATCH(F631 &amp; " " &amp; G631, MonitorRent!A:A &amp; " " &amp; MonitorRent!B:B, 0)), "")</f>
        <v/>
      </c>
      <c r="R631" s="295"/>
    </row>
    <row r="632">
      <c r="A632" s="284">
        <v>629.0</v>
      </c>
      <c r="B632" s="285" t="s">
        <v>5081</v>
      </c>
      <c r="C632" s="285" t="s">
        <v>7505</v>
      </c>
      <c r="D632" s="286" t="s">
        <v>12340</v>
      </c>
      <c r="E632" s="285" t="s">
        <v>6933</v>
      </c>
      <c r="F632" s="285" t="s">
        <v>12341</v>
      </c>
      <c r="G632" s="285" t="s">
        <v>12342</v>
      </c>
      <c r="H632" s="285" t="s">
        <v>9538</v>
      </c>
      <c r="I632" s="285" t="s">
        <v>5084</v>
      </c>
      <c r="J632" s="285" t="s">
        <v>5012</v>
      </c>
      <c r="K632" s="285" t="s">
        <v>12314</v>
      </c>
      <c r="L632" s="285" t="s">
        <v>12315</v>
      </c>
      <c r="M632" s="285" t="s">
        <v>9383</v>
      </c>
      <c r="N632" s="287" t="str">
        <f>IFERROR(
    IF(
        AND(
            VLOOKUP(B632, 'รายชื่อพนักงานลาออกพ้นสภาพ'!B:I, 8, FALSE)&lt;&gt;"ยกเลิกลาออก",
            VLOOKUP(B632, 'รายชื่อพนักงานลาออกพ้นสภาพ'!B:I, 7, FALSE)&lt;=TODAY()
        ),
        "ลาออกแล้ว",
        ""
    ),
"")</f>
        <v/>
      </c>
      <c r="O632" s="292" t="str">
        <f t="array" ref="O632">IFERROR(INDEX(PCRent!C:D, MATCH(F632 &amp; " " &amp; G632, PCRent!A:A &amp; " " &amp; PCRent!B:B, 0)), "")</f>
        <v/>
      </c>
      <c r="P632" s="293"/>
      <c r="Q632" s="294" t="str">
        <f t="array" ref="Q632">IFERROR(INDEX(MonitorRent!C:D, MATCH(F632 &amp; " " &amp; G632, MonitorRent!A:A &amp; " " &amp; MonitorRent!B:B, 0)), "")</f>
        <v/>
      </c>
      <c r="R632" s="295"/>
    </row>
    <row r="633">
      <c r="A633" s="284">
        <v>630.0</v>
      </c>
      <c r="B633" s="285" t="s">
        <v>9158</v>
      </c>
      <c r="C633" s="285" t="s">
        <v>9157</v>
      </c>
      <c r="D633" s="286" t="s">
        <v>12343</v>
      </c>
      <c r="E633" s="285" t="s">
        <v>6933</v>
      </c>
      <c r="F633" s="285" t="s">
        <v>12344</v>
      </c>
      <c r="G633" s="285" t="s">
        <v>12345</v>
      </c>
      <c r="H633" s="285" t="s">
        <v>12094</v>
      </c>
      <c r="I633" s="285" t="s">
        <v>12346</v>
      </c>
      <c r="J633" s="285" t="s">
        <v>5224</v>
      </c>
      <c r="K633" s="285" t="s">
        <v>10056</v>
      </c>
      <c r="L633" s="285" t="s">
        <v>12347</v>
      </c>
      <c r="M633" s="285" t="s">
        <v>9383</v>
      </c>
      <c r="N633" s="287" t="str">
        <f>IFERROR(
    IF(
        AND(
            VLOOKUP(B633, 'รายชื่อพนักงานลาออกพ้นสภาพ'!B:I, 8, FALSE)&lt;&gt;"ยกเลิกลาออก",
            VLOOKUP(B633, 'รายชื่อพนักงานลาออกพ้นสภาพ'!B:I, 7, FALSE)&lt;=TODAY()
        ),
        "ลาออกแล้ว",
        ""
    ),
"")</f>
        <v/>
      </c>
      <c r="O633" s="292" t="str">
        <f t="array" ref="O633">IFERROR(INDEX(PCRent!C:D, MATCH(F633 &amp; " " &amp; G633, PCRent!A:A &amp; " " &amp; PCRent!B:B, 0)), "")</f>
        <v/>
      </c>
      <c r="P633" s="293"/>
      <c r="Q633" s="294" t="str">
        <f t="array" ref="Q633">IFERROR(INDEX(MonitorRent!C:D, MATCH(F633 &amp; " " &amp; G633, MonitorRent!A:A &amp; " " &amp; MonitorRent!B:B, 0)), "")</f>
        <v/>
      </c>
      <c r="R633" s="295"/>
    </row>
    <row r="634">
      <c r="A634" s="284">
        <v>631.0</v>
      </c>
      <c r="B634" s="285" t="s">
        <v>9167</v>
      </c>
      <c r="C634" s="285" t="s">
        <v>9157</v>
      </c>
      <c r="D634" s="286" t="s">
        <v>10934</v>
      </c>
      <c r="E634" s="285" t="s">
        <v>6933</v>
      </c>
      <c r="F634" s="285" t="s">
        <v>12348</v>
      </c>
      <c r="G634" s="285" t="s">
        <v>12349</v>
      </c>
      <c r="H634" s="285" t="s">
        <v>12350</v>
      </c>
      <c r="I634" s="285" t="s">
        <v>12351</v>
      </c>
      <c r="J634" s="285" t="s">
        <v>5224</v>
      </c>
      <c r="K634" s="285" t="s">
        <v>4818</v>
      </c>
      <c r="L634" s="285" t="s">
        <v>12347</v>
      </c>
      <c r="M634" s="285" t="s">
        <v>9383</v>
      </c>
      <c r="N634" s="287" t="str">
        <f>IFERROR(
    IF(
        AND(
            VLOOKUP(B634, 'รายชื่อพนักงานลาออกพ้นสภาพ'!B:I, 8, FALSE)&lt;&gt;"ยกเลิกลาออก",
            VLOOKUP(B634, 'รายชื่อพนักงานลาออกพ้นสภาพ'!B:I, 7, FALSE)&lt;=TODAY()
        ),
        "ลาออกแล้ว",
        ""
    ),
"")</f>
        <v/>
      </c>
      <c r="O634" s="292" t="str">
        <f t="array" ref="O634:P634">IFERROR(INDEX(PCRent!C:D, MATCH(F634 &amp; " " &amp; G634, PCRent!A:A &amp; " " &amp; PCRent!B:B, 0)), "")</f>
        <v>SN:MP2E0G9D</v>
      </c>
      <c r="P634" s="293" t="s">
        <v>6993</v>
      </c>
      <c r="Q634" s="294" t="str">
        <f t="array" ref="Q634">IFERROR(INDEX(MonitorRent!C:D, MATCH(F634 &amp; " " &amp; G634, MonitorRent!A:A &amp; " " &amp; MonitorRent!B:B, 0)), "")</f>
        <v/>
      </c>
      <c r="R634" s="295"/>
    </row>
    <row r="635">
      <c r="A635" s="284">
        <v>632.0</v>
      </c>
      <c r="B635" s="285" t="s">
        <v>9175</v>
      </c>
      <c r="C635" s="285" t="s">
        <v>9157</v>
      </c>
      <c r="D635" s="286" t="s">
        <v>12352</v>
      </c>
      <c r="E635" s="285" t="s">
        <v>6921</v>
      </c>
      <c r="F635" s="285" t="s">
        <v>12353</v>
      </c>
      <c r="G635" s="285" t="s">
        <v>12354</v>
      </c>
      <c r="H635" s="285" t="s">
        <v>9659</v>
      </c>
      <c r="I635" s="285" t="s">
        <v>12355</v>
      </c>
      <c r="J635" s="285" t="s">
        <v>5224</v>
      </c>
      <c r="K635" s="285" t="s">
        <v>10437</v>
      </c>
      <c r="L635" s="285" t="s">
        <v>12347</v>
      </c>
      <c r="M635" s="285" t="s">
        <v>9383</v>
      </c>
      <c r="N635" s="287" t="str">
        <f>IFERROR(
    IF(
        AND(
            VLOOKUP(B635, 'รายชื่อพนักงานลาออกพ้นสภาพ'!B:I, 8, FALSE)&lt;&gt;"ยกเลิกลาออก",
            VLOOKUP(B635, 'รายชื่อพนักงานลาออกพ้นสภาพ'!B:I, 7, FALSE)&lt;=TODAY()
        ),
        "ลาออกแล้ว",
        ""
    ),
"")</f>
        <v/>
      </c>
      <c r="O635" s="292" t="str">
        <f t="array" ref="O635">IFERROR(INDEX(PCRent!C:D, MATCH(F635 &amp; " " &amp; G635, PCRent!A:A &amp; " " &amp; PCRent!B:B, 0)), "")</f>
        <v/>
      </c>
      <c r="P635" s="293"/>
      <c r="Q635" s="294" t="str">
        <f t="array" ref="Q635">IFERROR(INDEX(MonitorRent!C:D, MATCH(F635 &amp; " " &amp; G635, MonitorRent!A:A &amp; " " &amp; MonitorRent!B:B, 0)), "")</f>
        <v/>
      </c>
      <c r="R635" s="295"/>
    </row>
    <row r="636">
      <c r="A636" s="284">
        <v>633.0</v>
      </c>
      <c r="B636" s="285" t="s">
        <v>9171</v>
      </c>
      <c r="C636" s="285" t="s">
        <v>9157</v>
      </c>
      <c r="D636" s="286" t="s">
        <v>12356</v>
      </c>
      <c r="E636" s="285" t="s">
        <v>6933</v>
      </c>
      <c r="F636" s="285" t="s">
        <v>9577</v>
      </c>
      <c r="G636" s="285" t="s">
        <v>12357</v>
      </c>
      <c r="H636" s="285" t="s">
        <v>11014</v>
      </c>
      <c r="I636" s="285" t="s">
        <v>12358</v>
      </c>
      <c r="J636" s="285" t="s">
        <v>5224</v>
      </c>
      <c r="K636" s="285" t="s">
        <v>12359</v>
      </c>
      <c r="L636" s="285" t="s">
        <v>12347</v>
      </c>
      <c r="M636" s="285" t="s">
        <v>9383</v>
      </c>
      <c r="N636" s="287" t="str">
        <f>IFERROR(
    IF(
        AND(
            VLOOKUP(B636, 'รายชื่อพนักงานลาออกพ้นสภาพ'!B:I, 8, FALSE)&lt;&gt;"ยกเลิกลาออก",
            VLOOKUP(B636, 'รายชื่อพนักงานลาออกพ้นสภาพ'!B:I, 7, FALSE)&lt;=TODAY()
        ),
        "ลาออกแล้ว",
        ""
    ),
"")</f>
        <v/>
      </c>
      <c r="O636" s="292" t="str">
        <f t="array" ref="O636:P636">IFERROR(INDEX(PCRent!C:D, MATCH(F636 &amp; " " &amp; G636, PCRent!A:A &amp; " " &amp; PCRent!B:B, 0)), "")</f>
        <v>SN:82QD314</v>
      </c>
      <c r="P636" s="293" t="s">
        <v>7048</v>
      </c>
      <c r="Q636" s="294" t="str">
        <f t="array" ref="Q636:R636">IFERROR(INDEX(MonitorRent!C:D, MATCH(F636 &amp; " " &amp; G636, MonitorRent!A:A &amp; " " &amp; MonitorRent!B:B, 0)), "")</f>
        <v>SN:7PXVGZ3</v>
      </c>
      <c r="R636" s="295" t="s">
        <v>9397</v>
      </c>
    </row>
    <row r="637">
      <c r="A637" s="284">
        <v>634.0</v>
      </c>
      <c r="B637" s="285" t="s">
        <v>12360</v>
      </c>
      <c r="C637" s="285" t="s">
        <v>9157</v>
      </c>
      <c r="D637" s="286" t="s">
        <v>12008</v>
      </c>
      <c r="E637" s="285" t="s">
        <v>6933</v>
      </c>
      <c r="F637" s="285" t="s">
        <v>12361</v>
      </c>
      <c r="G637" s="285" t="s">
        <v>12345</v>
      </c>
      <c r="H637" s="285" t="s">
        <v>12362</v>
      </c>
      <c r="I637" s="285" t="s">
        <v>12363</v>
      </c>
      <c r="J637" s="285" t="s">
        <v>5012</v>
      </c>
      <c r="K637" s="285" t="s">
        <v>9451</v>
      </c>
      <c r="L637" s="285" t="s">
        <v>12347</v>
      </c>
      <c r="M637" s="285" t="s">
        <v>9383</v>
      </c>
      <c r="N637" s="287" t="str">
        <f>IFERROR(
    IF(
        AND(
            VLOOKUP(B637, 'รายชื่อพนักงานลาออกพ้นสภาพ'!B:I, 8, FALSE)&lt;&gt;"ยกเลิกลาออก",
            VLOOKUP(B637, 'รายชื่อพนักงานลาออกพ้นสภาพ'!B:I, 7, FALSE)&lt;=TODAY()
        ),
        "ลาออกแล้ว",
        ""
    ),
"")</f>
        <v/>
      </c>
      <c r="O637" s="292" t="str">
        <f t="array" ref="O637">IFERROR(INDEX(PCRent!C:D, MATCH(F637 &amp; " " &amp; G637, PCRent!A:A &amp; " " &amp; PCRent!B:B, 0)), "")</f>
        <v/>
      </c>
      <c r="P637" s="293"/>
      <c r="Q637" s="294" t="str">
        <f t="array" ref="Q637">IFERROR(INDEX(MonitorRent!C:D, MATCH(F637 &amp; " " &amp; G637, MonitorRent!A:A &amp; " " &amp; MonitorRent!B:B, 0)), "")</f>
        <v/>
      </c>
      <c r="R637" s="295"/>
    </row>
    <row r="638">
      <c r="A638" s="284">
        <v>635.0</v>
      </c>
      <c r="B638" s="285" t="s">
        <v>12364</v>
      </c>
      <c r="C638" s="285" t="s">
        <v>9157</v>
      </c>
      <c r="D638" s="286" t="s">
        <v>12365</v>
      </c>
      <c r="E638" s="285" t="s">
        <v>6933</v>
      </c>
      <c r="F638" s="285" t="s">
        <v>9694</v>
      </c>
      <c r="G638" s="285" t="s">
        <v>12366</v>
      </c>
      <c r="H638" s="285" t="s">
        <v>9694</v>
      </c>
      <c r="I638" s="285" t="s">
        <v>12367</v>
      </c>
      <c r="J638" s="285" t="s">
        <v>5012</v>
      </c>
      <c r="K638" s="285" t="s">
        <v>12368</v>
      </c>
      <c r="L638" s="285" t="s">
        <v>12347</v>
      </c>
      <c r="M638" s="285" t="s">
        <v>9383</v>
      </c>
      <c r="N638" s="287" t="str">
        <f>IFERROR(
    IF(
        AND(
            VLOOKUP(B638, 'รายชื่อพนักงานลาออกพ้นสภาพ'!B:I, 8, FALSE)&lt;&gt;"ยกเลิกลาออก",
            VLOOKUP(B638, 'รายชื่อพนักงานลาออกพ้นสภาพ'!B:I, 7, FALSE)&lt;=TODAY()
        ),
        "ลาออกแล้ว",
        ""
    ),
"")</f>
        <v/>
      </c>
      <c r="O638" s="292" t="str">
        <f t="array" ref="O638">IFERROR(INDEX(PCRent!C:D, MATCH(F638 &amp; " " &amp; G638, PCRent!A:A &amp; " " &amp; PCRent!B:B, 0)), "")</f>
        <v/>
      </c>
      <c r="P638" s="293"/>
      <c r="Q638" s="294" t="str">
        <f t="array" ref="Q638">IFERROR(INDEX(MonitorRent!C:D, MATCH(F638 &amp; " " &amp; G638, MonitorRent!A:A &amp; " " &amp; MonitorRent!B:B, 0)), "")</f>
        <v/>
      </c>
      <c r="R638" s="295"/>
    </row>
    <row r="639">
      <c r="A639" s="284">
        <v>636.0</v>
      </c>
      <c r="B639" s="285" t="s">
        <v>9180</v>
      </c>
      <c r="C639" s="285" t="s">
        <v>9157</v>
      </c>
      <c r="D639" s="286" t="s">
        <v>11371</v>
      </c>
      <c r="E639" s="285" t="s">
        <v>6933</v>
      </c>
      <c r="F639" s="285" t="s">
        <v>12369</v>
      </c>
      <c r="G639" s="285" t="s">
        <v>12370</v>
      </c>
      <c r="H639" s="285" t="s">
        <v>10145</v>
      </c>
      <c r="I639" s="285" t="s">
        <v>12371</v>
      </c>
      <c r="J639" s="285" t="s">
        <v>5012</v>
      </c>
      <c r="K639" s="285" t="s">
        <v>12359</v>
      </c>
      <c r="L639" s="285" t="s">
        <v>12347</v>
      </c>
      <c r="M639" s="285" t="s">
        <v>9383</v>
      </c>
      <c r="N639" s="287" t="str">
        <f>IFERROR(
    IF(
        AND(
            VLOOKUP(B639, 'รายชื่อพนักงานลาออกพ้นสภาพ'!B:I, 8, FALSE)&lt;&gt;"ยกเลิกลาออก",
            VLOOKUP(B639, 'รายชื่อพนักงานลาออกพ้นสภาพ'!B:I, 7, FALSE)&lt;=TODAY()
        ),
        "ลาออกแล้ว",
        ""
    ),
"")</f>
        <v/>
      </c>
      <c r="O639" s="292" t="str">
        <f t="array" ref="O639:P639">IFERROR(INDEX(PCRent!C:D, MATCH(F639 &amp; " " &amp; G639, PCRent!A:A &amp; " " &amp; PCRent!B:B, 0)), "")</f>
        <v>SN:MP2ESXMW</v>
      </c>
      <c r="P639" s="293" t="s">
        <v>7070</v>
      </c>
      <c r="Q639" s="294" t="str">
        <f t="array" ref="Q639">IFERROR(INDEX(MonitorRent!C:D, MATCH(F639 &amp; " " &amp; G639, MonitorRent!A:A &amp; " " &amp; MonitorRent!B:B, 0)), "")</f>
        <v/>
      </c>
      <c r="R639" s="295"/>
    </row>
    <row r="640">
      <c r="A640" s="284">
        <v>637.0</v>
      </c>
      <c r="B640" s="285" t="s">
        <v>788</v>
      </c>
      <c r="C640" s="285" t="s">
        <v>9157</v>
      </c>
      <c r="D640" s="286" t="s">
        <v>12372</v>
      </c>
      <c r="E640" s="285" t="s">
        <v>6933</v>
      </c>
      <c r="F640" s="285" t="s">
        <v>11442</v>
      </c>
      <c r="G640" s="285" t="s">
        <v>12345</v>
      </c>
      <c r="H640" s="285" t="s">
        <v>11560</v>
      </c>
      <c r="I640" s="285" t="s">
        <v>792</v>
      </c>
      <c r="J640" s="285" t="s">
        <v>5224</v>
      </c>
      <c r="K640" s="285" t="s">
        <v>12373</v>
      </c>
      <c r="L640" s="285" t="s">
        <v>12347</v>
      </c>
      <c r="M640" s="285" t="s">
        <v>9383</v>
      </c>
      <c r="N640" s="287" t="str">
        <f>IFERROR(
    IF(
        AND(
            VLOOKUP(B640, 'รายชื่อพนักงานลาออกพ้นสภาพ'!B:I, 8, FALSE)&lt;&gt;"ยกเลิกลาออก",
            VLOOKUP(B640, 'รายชื่อพนักงานลาออกพ้นสภาพ'!B:I, 7, FALSE)&lt;=TODAY()
        ),
        "ลาออกแล้ว",
        ""
    ),
"")</f>
        <v>ลาออกแล้ว</v>
      </c>
      <c r="O640" s="292" t="str">
        <f t="array" ref="O640">IFERROR(INDEX(PCRent!C:D, MATCH(F640 &amp; " " &amp; G640, PCRent!A:A &amp; " " &amp; PCRent!B:B, 0)), "")</f>
        <v/>
      </c>
      <c r="P640" s="293"/>
      <c r="Q640" s="294" t="str">
        <f t="array" ref="Q640">IFERROR(INDEX(MonitorRent!C:D, MATCH(F640 &amp; " " &amp; G640, MonitorRent!A:A &amp; " " &amp; MonitorRent!B:B, 0)), "")</f>
        <v/>
      </c>
      <c r="R640" s="295"/>
    </row>
    <row r="641">
      <c r="A641" s="284">
        <v>638.0</v>
      </c>
      <c r="B641" s="285" t="s">
        <v>12374</v>
      </c>
      <c r="C641" s="285" t="s">
        <v>9157</v>
      </c>
      <c r="D641" s="286" t="s">
        <v>11401</v>
      </c>
      <c r="E641" s="285" t="s">
        <v>6933</v>
      </c>
      <c r="F641" s="285" t="s">
        <v>12375</v>
      </c>
      <c r="G641" s="285" t="s">
        <v>12376</v>
      </c>
      <c r="H641" s="285" t="s">
        <v>12377</v>
      </c>
      <c r="I641" s="285" t="s">
        <v>12378</v>
      </c>
      <c r="J641" s="285" t="s">
        <v>5012</v>
      </c>
      <c r="K641" s="285" t="s">
        <v>12379</v>
      </c>
      <c r="L641" s="285" t="s">
        <v>12347</v>
      </c>
      <c r="M641" s="285" t="s">
        <v>9383</v>
      </c>
      <c r="N641" s="287" t="str">
        <f>IFERROR(
    IF(
        AND(
            VLOOKUP(B641, 'รายชื่อพนักงานลาออกพ้นสภาพ'!B:I, 8, FALSE)&lt;&gt;"ยกเลิกลาออก",
            VLOOKUP(B641, 'รายชื่อพนักงานลาออกพ้นสภาพ'!B:I, 7, FALSE)&lt;=TODAY()
        ),
        "ลาออกแล้ว",
        ""
    ),
"")</f>
        <v/>
      </c>
      <c r="O641" s="292" t="str">
        <f t="array" ref="O641">IFERROR(INDEX(PCRent!C:D, MATCH(F641 &amp; " " &amp; G641, PCRent!A:A &amp; " " &amp; PCRent!B:B, 0)), "")</f>
        <v/>
      </c>
      <c r="P641" s="293"/>
      <c r="Q641" s="294" t="str">
        <f t="array" ref="Q641">IFERROR(INDEX(MonitorRent!C:D, MATCH(F641 &amp; " " &amp; G641, MonitorRent!A:A &amp; " " &amp; MonitorRent!B:B, 0)), "")</f>
        <v/>
      </c>
      <c r="R641" s="295"/>
    </row>
    <row r="642">
      <c r="A642" s="284">
        <v>639.0</v>
      </c>
      <c r="B642" s="285" t="s">
        <v>9162</v>
      </c>
      <c r="C642" s="285" t="s">
        <v>9157</v>
      </c>
      <c r="D642" s="286" t="s">
        <v>12380</v>
      </c>
      <c r="E642" s="285" t="s">
        <v>6933</v>
      </c>
      <c r="F642" s="285" t="s">
        <v>12381</v>
      </c>
      <c r="G642" s="285" t="s">
        <v>12382</v>
      </c>
      <c r="H642" s="285" t="s">
        <v>12383</v>
      </c>
      <c r="I642" s="285" t="s">
        <v>12384</v>
      </c>
      <c r="J642" s="285" t="s">
        <v>5012</v>
      </c>
      <c r="K642" s="285" t="s">
        <v>12385</v>
      </c>
      <c r="L642" s="285" t="s">
        <v>12347</v>
      </c>
      <c r="M642" s="285" t="s">
        <v>9383</v>
      </c>
      <c r="N642" s="287" t="str">
        <f>IFERROR(
    IF(
        AND(
            VLOOKUP(B642, 'รายชื่อพนักงานลาออกพ้นสภาพ'!B:I, 8, FALSE)&lt;&gt;"ยกเลิกลาออก",
            VLOOKUP(B642, 'รายชื่อพนักงานลาออกพ้นสภาพ'!B:I, 7, FALSE)&lt;=TODAY()
        ),
        "ลาออกแล้ว",
        ""
    ),
"")</f>
        <v/>
      </c>
      <c r="O642" s="292" t="str">
        <f t="array" ref="O642">IFERROR(INDEX(PCRent!C:D, MATCH(F642 &amp; " " &amp; G642, PCRent!A:A &amp; " " &amp; PCRent!B:B, 0)), "")</f>
        <v/>
      </c>
      <c r="P642" s="293"/>
      <c r="Q642" s="294" t="str">
        <f t="array" ref="Q642">IFERROR(INDEX(MonitorRent!C:D, MATCH(F642 &amp; " " &amp; G642, MonitorRent!A:A &amp; " " &amp; MonitorRent!B:B, 0)), "")</f>
        <v/>
      </c>
      <c r="R642" s="295"/>
    </row>
    <row r="643">
      <c r="A643" s="284">
        <v>640.0</v>
      </c>
      <c r="B643" s="285" t="s">
        <v>12386</v>
      </c>
      <c r="C643" s="285" t="s">
        <v>9157</v>
      </c>
      <c r="D643" s="286" t="s">
        <v>12387</v>
      </c>
      <c r="E643" s="285" t="s">
        <v>6933</v>
      </c>
      <c r="F643" s="285" t="s">
        <v>12388</v>
      </c>
      <c r="G643" s="285" t="s">
        <v>12345</v>
      </c>
      <c r="H643" s="285" t="s">
        <v>10311</v>
      </c>
      <c r="I643" s="285" t="s">
        <v>12389</v>
      </c>
      <c r="J643" s="285" t="s">
        <v>5012</v>
      </c>
      <c r="K643" s="285" t="s">
        <v>9451</v>
      </c>
      <c r="L643" s="285" t="s">
        <v>12347</v>
      </c>
      <c r="M643" s="285" t="s">
        <v>9383</v>
      </c>
      <c r="N643" s="287" t="str">
        <f>IFERROR(
    IF(
        AND(
            VLOOKUP(B643, 'รายชื่อพนักงานลาออกพ้นสภาพ'!B:I, 8, FALSE)&lt;&gt;"ยกเลิกลาออก",
            VLOOKUP(B643, 'รายชื่อพนักงานลาออกพ้นสภาพ'!B:I, 7, FALSE)&lt;=TODAY()
        ),
        "ลาออกแล้ว",
        ""
    ),
"")</f>
        <v/>
      </c>
      <c r="O643" s="292" t="str">
        <f t="array" ref="O643">IFERROR(INDEX(PCRent!C:D, MATCH(F643 &amp; " " &amp; G643, PCRent!A:A &amp; " " &amp; PCRent!B:B, 0)), "")</f>
        <v/>
      </c>
      <c r="P643" s="293"/>
      <c r="Q643" s="294" t="str">
        <f t="array" ref="Q643">IFERROR(INDEX(MonitorRent!C:D, MATCH(F643 &amp; " " &amp; G643, MonitorRent!A:A &amp; " " &amp; MonitorRent!B:B, 0)), "")</f>
        <v/>
      </c>
      <c r="R643" s="295"/>
    </row>
    <row r="644">
      <c r="A644" s="284">
        <v>641.0</v>
      </c>
      <c r="B644" s="285" t="s">
        <v>12390</v>
      </c>
      <c r="C644" s="285" t="s">
        <v>9157</v>
      </c>
      <c r="D644" s="286" t="s">
        <v>12391</v>
      </c>
      <c r="E644" s="285" t="s">
        <v>6933</v>
      </c>
      <c r="F644" s="285" t="s">
        <v>12392</v>
      </c>
      <c r="G644" s="285" t="s">
        <v>12393</v>
      </c>
      <c r="H644" s="285" t="s">
        <v>12394</v>
      </c>
      <c r="I644" s="285" t="s">
        <v>12395</v>
      </c>
      <c r="J644" s="285" t="s">
        <v>5224</v>
      </c>
      <c r="K644" s="285" t="s">
        <v>2062</v>
      </c>
      <c r="L644" s="285" t="s">
        <v>12396</v>
      </c>
      <c r="M644" s="285" t="s">
        <v>9383</v>
      </c>
      <c r="N644" s="287" t="str">
        <f>IFERROR(
    IF(
        AND(
            VLOOKUP(B644, 'รายชื่อพนักงานลาออกพ้นสภาพ'!B:I, 8, FALSE)&lt;&gt;"ยกเลิกลาออก",
            VLOOKUP(B644, 'รายชื่อพนักงานลาออกพ้นสภาพ'!B:I, 7, FALSE)&lt;=TODAY()
        ),
        "ลาออกแล้ว",
        ""
    ),
"")</f>
        <v/>
      </c>
      <c r="O644" s="292" t="str">
        <f t="array" ref="O644">IFERROR(INDEX(PCRent!C:D, MATCH(F644 &amp; " " &amp; G644, PCRent!A:A &amp; " " &amp; PCRent!B:B, 0)), "")</f>
        <v/>
      </c>
      <c r="P644" s="293"/>
      <c r="Q644" s="294" t="str">
        <f t="array" ref="Q644">IFERROR(INDEX(MonitorRent!C:D, MATCH(F644 &amp; " " &amp; G644, MonitorRent!A:A &amp; " " &amp; MonitorRent!B:B, 0)), "")</f>
        <v/>
      </c>
      <c r="R644" s="295"/>
    </row>
    <row r="645">
      <c r="A645" s="284">
        <v>642.0</v>
      </c>
      <c r="B645" s="285" t="s">
        <v>5018</v>
      </c>
      <c r="C645" s="285" t="s">
        <v>9157</v>
      </c>
      <c r="D645" s="286" t="s">
        <v>12397</v>
      </c>
      <c r="E645" s="285" t="s">
        <v>6933</v>
      </c>
      <c r="F645" s="285" t="s">
        <v>12398</v>
      </c>
      <c r="G645" s="285" t="s">
        <v>12399</v>
      </c>
      <c r="H645" s="285" t="s">
        <v>12400</v>
      </c>
      <c r="I645" s="285" t="s">
        <v>5017</v>
      </c>
      <c r="J645" s="285" t="s">
        <v>5012</v>
      </c>
      <c r="K645" s="285" t="s">
        <v>12401</v>
      </c>
      <c r="L645" s="285" t="s">
        <v>12347</v>
      </c>
      <c r="M645" s="285" t="s">
        <v>9383</v>
      </c>
      <c r="N645" s="287" t="str">
        <f>IFERROR(
    IF(
        AND(
            VLOOKUP(B645, 'รายชื่อพนักงานลาออกพ้นสภาพ'!B:I, 8, FALSE)&lt;&gt;"ยกเลิกลาออก",
            VLOOKUP(B645, 'รายชื่อพนักงานลาออกพ้นสภาพ'!B:I, 7, FALSE)&lt;=TODAY()
        ),
        "ลาออกแล้ว",
        ""
    ),
"")</f>
        <v/>
      </c>
      <c r="O645" s="292" t="str">
        <f t="array" ref="O645">IFERROR(INDEX(PCRent!C:D, MATCH(F645 &amp; " " &amp; G645, PCRent!A:A &amp; " " &amp; PCRent!B:B, 0)), "")</f>
        <v/>
      </c>
      <c r="P645" s="293"/>
      <c r="Q645" s="294" t="str">
        <f t="array" ref="Q645">IFERROR(INDEX(MonitorRent!C:D, MATCH(F645 &amp; " " &amp; G645, MonitorRent!A:A &amp; " " &amp; MonitorRent!B:B, 0)), "")</f>
        <v/>
      </c>
      <c r="R645" s="295"/>
    </row>
    <row r="646">
      <c r="A646" s="284">
        <v>643.0</v>
      </c>
      <c r="B646" s="285" t="s">
        <v>7537</v>
      </c>
      <c r="C646" s="285" t="s">
        <v>7523</v>
      </c>
      <c r="D646" s="286" t="s">
        <v>12402</v>
      </c>
      <c r="E646" s="285" t="s">
        <v>6921</v>
      </c>
      <c r="F646" s="285" t="s">
        <v>10845</v>
      </c>
      <c r="G646" s="285" t="s">
        <v>12403</v>
      </c>
      <c r="H646" s="285" t="s">
        <v>12404</v>
      </c>
      <c r="I646" s="285" t="s">
        <v>12405</v>
      </c>
      <c r="J646" s="285" t="s">
        <v>5224</v>
      </c>
      <c r="K646" s="285" t="s">
        <v>4756</v>
      </c>
      <c r="L646" s="285" t="s">
        <v>7264</v>
      </c>
      <c r="M646" s="285" t="s">
        <v>9383</v>
      </c>
      <c r="N646" s="287" t="str">
        <f>IFERROR(
    IF(
        AND(
            VLOOKUP(B646, 'รายชื่อพนักงานลาออกพ้นสภาพ'!B:I, 8, FALSE)&lt;&gt;"ยกเลิกลาออก",
            VLOOKUP(B646, 'รายชื่อพนักงานลาออกพ้นสภาพ'!B:I, 7, FALSE)&lt;=TODAY()
        ),
        "ลาออกแล้ว",
        ""
    ),
"")</f>
        <v/>
      </c>
      <c r="O646" s="292" t="str">
        <f t="array" ref="O646">IFERROR(INDEX(PCRent!C:D, MATCH(F646 &amp; " " &amp; G646, PCRent!A:A &amp; " " &amp; PCRent!B:B, 0)), "")</f>
        <v/>
      </c>
      <c r="P646" s="293"/>
      <c r="Q646" s="294" t="str">
        <f t="array" ref="Q646">IFERROR(INDEX(MonitorRent!C:D, MATCH(F646 &amp; " " &amp; G646, MonitorRent!A:A &amp; " " &amp; MonitorRent!B:B, 0)), "")</f>
        <v/>
      </c>
      <c r="R646" s="295"/>
    </row>
    <row r="647">
      <c r="A647" s="284">
        <v>644.0</v>
      </c>
      <c r="B647" s="285" t="s">
        <v>7525</v>
      </c>
      <c r="C647" s="285" t="s">
        <v>7523</v>
      </c>
      <c r="D647" s="286" t="s">
        <v>12406</v>
      </c>
      <c r="E647" s="285" t="s">
        <v>6921</v>
      </c>
      <c r="F647" s="285" t="s">
        <v>12407</v>
      </c>
      <c r="G647" s="285" t="s">
        <v>12408</v>
      </c>
      <c r="H647" s="285" t="s">
        <v>12409</v>
      </c>
      <c r="I647" s="285" t="s">
        <v>12410</v>
      </c>
      <c r="J647" s="285" t="s">
        <v>5224</v>
      </c>
      <c r="K647" s="285" t="s">
        <v>4835</v>
      </c>
      <c r="L647" s="285" t="s">
        <v>7264</v>
      </c>
      <c r="M647" s="285" t="s">
        <v>9383</v>
      </c>
      <c r="N647" s="287" t="str">
        <f>IFERROR(
    IF(
        AND(
            VLOOKUP(B647, 'รายชื่อพนักงานลาออกพ้นสภาพ'!B:I, 8, FALSE)&lt;&gt;"ยกเลิกลาออก",
            VLOOKUP(B647, 'รายชื่อพนักงานลาออกพ้นสภาพ'!B:I, 7, FALSE)&lt;=TODAY()
        ),
        "ลาออกแล้ว",
        ""
    ),
"")</f>
        <v/>
      </c>
      <c r="O647" s="292" t="str">
        <f t="array" ref="O647">IFERROR(INDEX(PCRent!C:D, MATCH(F647 &amp; " " &amp; G647, PCRent!A:A &amp; " " &amp; PCRent!B:B, 0)), "")</f>
        <v/>
      </c>
      <c r="P647" s="293"/>
      <c r="Q647" s="294" t="str">
        <f t="array" ref="Q647">IFERROR(INDEX(MonitorRent!C:D, MATCH(F647 &amp; " " &amp; G647, MonitorRent!A:A &amp; " " &amp; MonitorRent!B:B, 0)), "")</f>
        <v/>
      </c>
      <c r="R647" s="295"/>
    </row>
    <row r="648">
      <c r="A648" s="284">
        <v>645.0</v>
      </c>
      <c r="B648" s="285" t="s">
        <v>7529</v>
      </c>
      <c r="C648" s="285" t="s">
        <v>7523</v>
      </c>
      <c r="D648" s="286" t="s">
        <v>12411</v>
      </c>
      <c r="E648" s="285" t="s">
        <v>6921</v>
      </c>
      <c r="F648" s="285" t="s">
        <v>11961</v>
      </c>
      <c r="G648" s="285" t="s">
        <v>12412</v>
      </c>
      <c r="H648" s="285" t="s">
        <v>9915</v>
      </c>
      <c r="I648" s="285" t="s">
        <v>12413</v>
      </c>
      <c r="J648" s="285" t="s">
        <v>5224</v>
      </c>
      <c r="K648" s="285" t="s">
        <v>12414</v>
      </c>
      <c r="L648" s="285" t="s">
        <v>7264</v>
      </c>
      <c r="M648" s="285" t="s">
        <v>9383</v>
      </c>
      <c r="N648" s="287" t="str">
        <f>IFERROR(
    IF(
        AND(
            VLOOKUP(B648, 'รายชื่อพนักงานลาออกพ้นสภาพ'!B:I, 8, FALSE)&lt;&gt;"ยกเลิกลาออก",
            VLOOKUP(B648, 'รายชื่อพนักงานลาออกพ้นสภาพ'!B:I, 7, FALSE)&lt;=TODAY()
        ),
        "ลาออกแล้ว",
        ""
    ),
"")</f>
        <v/>
      </c>
      <c r="O648" s="292" t="str">
        <f t="array" ref="O648">IFERROR(INDEX(PCRent!C:D, MATCH(F648 &amp; " " &amp; G648, PCRent!A:A &amp; " " &amp; PCRent!B:B, 0)), "")</f>
        <v/>
      </c>
      <c r="P648" s="293"/>
      <c r="Q648" s="294" t="str">
        <f t="array" ref="Q648">IFERROR(INDEX(MonitorRent!C:D, MATCH(F648 &amp; " " &amp; G648, MonitorRent!A:A &amp; " " &amp; MonitorRent!B:B, 0)), "")</f>
        <v/>
      </c>
      <c r="R648" s="295"/>
    </row>
    <row r="649">
      <c r="A649" s="284">
        <v>646.0</v>
      </c>
      <c r="B649" s="285" t="s">
        <v>7533</v>
      </c>
      <c r="C649" s="285" t="s">
        <v>7523</v>
      </c>
      <c r="D649" s="286" t="s">
        <v>12415</v>
      </c>
      <c r="E649" s="285" t="s">
        <v>6921</v>
      </c>
      <c r="F649" s="285" t="s">
        <v>12416</v>
      </c>
      <c r="G649" s="285" t="s">
        <v>12417</v>
      </c>
      <c r="H649" s="285" t="s">
        <v>10441</v>
      </c>
      <c r="I649" s="285" t="s">
        <v>12418</v>
      </c>
      <c r="J649" s="285" t="s">
        <v>5224</v>
      </c>
      <c r="K649" s="285" t="s">
        <v>4756</v>
      </c>
      <c r="L649" s="285" t="s">
        <v>7264</v>
      </c>
      <c r="M649" s="285" t="s">
        <v>9383</v>
      </c>
      <c r="N649" s="287" t="str">
        <f>IFERROR(
    IF(
        AND(
            VLOOKUP(B649, 'รายชื่อพนักงานลาออกพ้นสภาพ'!B:I, 8, FALSE)&lt;&gt;"ยกเลิกลาออก",
            VLOOKUP(B649, 'รายชื่อพนักงานลาออกพ้นสภาพ'!B:I, 7, FALSE)&lt;=TODAY()
        ),
        "ลาออกแล้ว",
        ""
    ),
"")</f>
        <v/>
      </c>
      <c r="O649" s="292" t="str">
        <f t="array" ref="O649">IFERROR(INDEX(PCRent!C:D, MATCH(F649 &amp; " " &amp; G649, PCRent!A:A &amp; " " &amp; PCRent!B:B, 0)), "")</f>
        <v/>
      </c>
      <c r="P649" s="293"/>
      <c r="Q649" s="294" t="str">
        <f t="array" ref="Q649">IFERROR(INDEX(MonitorRent!C:D, MATCH(F649 &amp; " " &amp; G649, MonitorRent!A:A &amp; " " &amp; MonitorRent!B:B, 0)), "")</f>
        <v/>
      </c>
      <c r="R649" s="295"/>
    </row>
    <row r="650">
      <c r="A650" s="284">
        <v>647.0</v>
      </c>
      <c r="B650" s="285" t="s">
        <v>12419</v>
      </c>
      <c r="C650" s="285" t="s">
        <v>12420</v>
      </c>
      <c r="D650" s="286" t="s">
        <v>12421</v>
      </c>
      <c r="E650" s="285" t="s">
        <v>6933</v>
      </c>
      <c r="F650" s="285" t="s">
        <v>9483</v>
      </c>
      <c r="G650" s="285" t="s">
        <v>12422</v>
      </c>
      <c r="H650" s="285" t="s">
        <v>11374</v>
      </c>
      <c r="I650" s="285" t="s">
        <v>12423</v>
      </c>
      <c r="J650" s="285" t="s">
        <v>5224</v>
      </c>
      <c r="K650" s="285" t="s">
        <v>9703</v>
      </c>
      <c r="L650" s="285" t="s">
        <v>12424</v>
      </c>
      <c r="M650" s="285" t="s">
        <v>9383</v>
      </c>
      <c r="N650" s="287" t="str">
        <f>IFERROR(
    IF(
        AND(
            VLOOKUP(B650, 'รายชื่อพนักงานลาออกพ้นสภาพ'!B:I, 8, FALSE)&lt;&gt;"ยกเลิกลาออก",
            VLOOKUP(B650, 'รายชื่อพนักงานลาออกพ้นสภาพ'!B:I, 7, FALSE)&lt;=TODAY()
        ),
        "ลาออกแล้ว",
        ""
    ),
"")</f>
        <v/>
      </c>
      <c r="O650" s="292" t="str">
        <f t="array" ref="O650:P650">IFERROR(INDEX(PCRent!C:D, MATCH(F650 &amp; " " &amp; G650, PCRent!A:A &amp; " " &amp; PCRent!B:B, 0)), "")</f>
        <v>SN:PF37V7Y1</v>
      </c>
      <c r="P650" s="293" t="s">
        <v>7005</v>
      </c>
      <c r="Q650" s="294" t="str">
        <f t="array" ref="Q650">IFERROR(INDEX(MonitorRent!C:D, MATCH(F650 &amp; " " &amp; G650, MonitorRent!A:A &amp; " " &amp; MonitorRent!B:B, 0)), "")</f>
        <v/>
      </c>
      <c r="R650" s="295"/>
    </row>
    <row r="651">
      <c r="A651" s="284">
        <v>648.0</v>
      </c>
      <c r="B651" s="285" t="s">
        <v>12425</v>
      </c>
      <c r="C651" s="285" t="s">
        <v>12420</v>
      </c>
      <c r="D651" s="286" t="s">
        <v>12426</v>
      </c>
      <c r="E651" s="285" t="s">
        <v>6933</v>
      </c>
      <c r="F651" s="285" t="s">
        <v>12427</v>
      </c>
      <c r="G651" s="285" t="s">
        <v>12428</v>
      </c>
      <c r="H651" s="285" t="s">
        <v>10441</v>
      </c>
      <c r="I651" s="285" t="s">
        <v>5124</v>
      </c>
      <c r="J651" s="285" t="s">
        <v>5224</v>
      </c>
      <c r="K651" s="285" t="s">
        <v>4749</v>
      </c>
      <c r="L651" s="285" t="s">
        <v>5834</v>
      </c>
      <c r="M651" s="285" t="s">
        <v>9383</v>
      </c>
      <c r="N651" s="287" t="str">
        <f>IFERROR(
    IF(
        AND(
            VLOOKUP(B651, 'รายชื่อพนักงานลาออกพ้นสภาพ'!B:I, 8, FALSE)&lt;&gt;"ยกเลิกลาออก",
            VLOOKUP(B651, 'รายชื่อพนักงานลาออกพ้นสภาพ'!B:I, 7, FALSE)&lt;=TODAY()
        ),
        "ลาออกแล้ว",
        ""
    ),
"")</f>
        <v/>
      </c>
      <c r="O651" s="292" t="str">
        <f t="array" ref="O651:P651">IFERROR(INDEX(PCRent!C:D, MATCH(F651 &amp; " " &amp; G651, PCRent!A:A &amp; " " &amp; PCRent!B:B, 0)), "")</f>
        <v>SN:C02K5082125F</v>
      </c>
      <c r="P651" s="293" t="s">
        <v>8070</v>
      </c>
      <c r="Q651" s="294" t="str">
        <f t="array" ref="Q651">IFERROR(INDEX(MonitorRent!C:D, MATCH(F651 &amp; " " &amp; G651, MonitorRent!A:A &amp; " " &amp; MonitorRent!B:B, 0)), "")</f>
        <v/>
      </c>
      <c r="R651" s="295"/>
    </row>
    <row r="652">
      <c r="A652" s="284">
        <v>649.0</v>
      </c>
      <c r="B652" s="285" t="s">
        <v>12429</v>
      </c>
      <c r="C652" s="285" t="s">
        <v>12420</v>
      </c>
      <c r="D652" s="286" t="s">
        <v>9814</v>
      </c>
      <c r="E652" s="285" t="s">
        <v>6933</v>
      </c>
      <c r="F652" s="285" t="s">
        <v>12430</v>
      </c>
      <c r="G652" s="285" t="s">
        <v>12431</v>
      </c>
      <c r="H652" s="285" t="s">
        <v>12432</v>
      </c>
      <c r="I652" s="285" t="s">
        <v>12433</v>
      </c>
      <c r="J652" s="285" t="s">
        <v>5224</v>
      </c>
      <c r="K652" s="285" t="s">
        <v>4818</v>
      </c>
      <c r="L652" s="285" t="s">
        <v>12434</v>
      </c>
      <c r="M652" s="285" t="s">
        <v>9383</v>
      </c>
      <c r="N652" s="287" t="str">
        <f>IFERROR(
    IF(
        AND(
            VLOOKUP(B652, 'รายชื่อพนักงานลาออกพ้นสภาพ'!B:I, 8, FALSE)&lt;&gt;"ยกเลิกลาออก",
            VLOOKUP(B652, 'รายชื่อพนักงานลาออกพ้นสภาพ'!B:I, 7, FALSE)&lt;=TODAY()
        ),
        "ลาออกแล้ว",
        ""
    ),
"")</f>
        <v/>
      </c>
      <c r="O652" s="292" t="str">
        <f t="array" ref="O652:P652">IFERROR(INDEX(PCRent!C:D, MATCH(F652 &amp; " " &amp; G652, PCRent!A:A &amp; " " &amp; PCRent!B:B, 0)), "")</f>
        <v>SN:2HZFFX3</v>
      </c>
      <c r="P652" s="293" t="s">
        <v>7299</v>
      </c>
      <c r="Q652" s="294" t="str">
        <f t="array" ref="Q652">IFERROR(INDEX(MonitorRent!C:D, MATCH(F652 &amp; " " &amp; G652, MonitorRent!A:A &amp; " " &amp; MonitorRent!B:B, 0)), "")</f>
        <v/>
      </c>
      <c r="R652" s="295"/>
    </row>
    <row r="653">
      <c r="A653" s="284">
        <v>650.0</v>
      </c>
      <c r="B653" s="285" t="s">
        <v>12435</v>
      </c>
      <c r="C653" s="285" t="s">
        <v>12420</v>
      </c>
      <c r="D653" s="286" t="s">
        <v>10690</v>
      </c>
      <c r="E653" s="285" t="s">
        <v>6921</v>
      </c>
      <c r="F653" s="285" t="s">
        <v>12436</v>
      </c>
      <c r="G653" s="285" t="s">
        <v>12437</v>
      </c>
      <c r="H653" s="285" t="s">
        <v>10852</v>
      </c>
      <c r="I653" s="285" t="s">
        <v>12438</v>
      </c>
      <c r="J653" s="285" t="s">
        <v>5224</v>
      </c>
      <c r="K653" s="285" t="s">
        <v>9458</v>
      </c>
      <c r="L653" s="285" t="s">
        <v>2047</v>
      </c>
      <c r="M653" s="285" t="s">
        <v>9383</v>
      </c>
      <c r="N653" s="287" t="str">
        <f>IFERROR(
    IF(
        AND(
            VLOOKUP(B653, 'รายชื่อพนักงานลาออกพ้นสภาพ'!B:I, 8, FALSE)&lt;&gt;"ยกเลิกลาออก",
            VLOOKUP(B653, 'รายชื่อพนักงานลาออกพ้นสภาพ'!B:I, 7, FALSE)&lt;=TODAY()
        ),
        "ลาออกแล้ว",
        ""
    ),
"")</f>
        <v/>
      </c>
      <c r="O653" s="292" t="str">
        <f t="array" ref="O653:P653">IFERROR(INDEX(PCRent!C:D, MATCH(F653 &amp; " " &amp; G653, PCRent!A:A &amp; " " &amp; PCRent!B:B, 0)), "")</f>
        <v>SN:MP2E2YHS</v>
      </c>
      <c r="P653" s="293" t="s">
        <v>6993</v>
      </c>
      <c r="Q653" s="294" t="str">
        <f t="array" ref="Q653">IFERROR(INDEX(MonitorRent!C:D, MATCH(F653 &amp; " " &amp; G653, MonitorRent!A:A &amp; " " &amp; MonitorRent!B:B, 0)), "")</f>
        <v/>
      </c>
      <c r="R653" s="295"/>
    </row>
    <row r="654">
      <c r="A654" s="284">
        <v>651.0</v>
      </c>
      <c r="B654" s="285" t="s">
        <v>12439</v>
      </c>
      <c r="C654" s="285" t="s">
        <v>12420</v>
      </c>
      <c r="D654" s="286" t="s">
        <v>12440</v>
      </c>
      <c r="E654" s="285" t="s">
        <v>6933</v>
      </c>
      <c r="F654" s="285" t="s">
        <v>12441</v>
      </c>
      <c r="G654" s="285" t="s">
        <v>12442</v>
      </c>
      <c r="H654" s="285" t="s">
        <v>9380</v>
      </c>
      <c r="I654" s="285" t="s">
        <v>12443</v>
      </c>
      <c r="J654" s="285" t="s">
        <v>5224</v>
      </c>
      <c r="K654" s="285" t="s">
        <v>12325</v>
      </c>
      <c r="L654" s="285" t="s">
        <v>12444</v>
      </c>
      <c r="M654" s="285" t="s">
        <v>9383</v>
      </c>
      <c r="N654" s="287" t="str">
        <f>IFERROR(
    IF(
        AND(
            VLOOKUP(B654, 'รายชื่อพนักงานลาออกพ้นสภาพ'!B:I, 8, FALSE)&lt;&gt;"ยกเลิกลาออก",
            VLOOKUP(B654, 'รายชื่อพนักงานลาออกพ้นสภาพ'!B:I, 7, FALSE)&lt;=TODAY()
        ),
        "ลาออกแล้ว",
        ""
    ),
"")</f>
        <v/>
      </c>
      <c r="O654" s="292" t="str">
        <f t="array" ref="O654:P654">IFERROR(INDEX(PCRent!C:D, MATCH(F654 &amp; " " &amp; G654, PCRent!A:A &amp; " " &amp; PCRent!B:B, 0)), "")</f>
        <v>SN:MP2M8JN5</v>
      </c>
      <c r="P654" s="293" t="s">
        <v>7248</v>
      </c>
      <c r="Q654" s="294" t="str">
        <f t="array" ref="Q654">IFERROR(INDEX(MonitorRent!C:D, MATCH(F654 &amp; " " &amp; G654, MonitorRent!A:A &amp; " " &amp; MonitorRent!B:B, 0)), "")</f>
        <v/>
      </c>
      <c r="R654" s="295"/>
    </row>
    <row r="655">
      <c r="A655" s="284">
        <v>652.0</v>
      </c>
      <c r="B655" s="285" t="s">
        <v>12445</v>
      </c>
      <c r="C655" s="285" t="s">
        <v>12420</v>
      </c>
      <c r="D655" s="286" t="s">
        <v>12446</v>
      </c>
      <c r="E655" s="285" t="s">
        <v>6921</v>
      </c>
      <c r="F655" s="285" t="s">
        <v>12447</v>
      </c>
      <c r="G655" s="285" t="s">
        <v>12448</v>
      </c>
      <c r="H655" s="285" t="s">
        <v>10679</v>
      </c>
      <c r="I655" s="285" t="s">
        <v>12449</v>
      </c>
      <c r="J655" s="285" t="s">
        <v>5224</v>
      </c>
      <c r="K655" s="285" t="s">
        <v>10056</v>
      </c>
      <c r="L655" s="285" t="s">
        <v>12444</v>
      </c>
      <c r="M655" s="285" t="s">
        <v>9383</v>
      </c>
      <c r="N655" s="287" t="str">
        <f>IFERROR(
    IF(
        AND(
            VLOOKUP(B655, 'รายชื่อพนักงานลาออกพ้นสภาพ'!B:I, 8, FALSE)&lt;&gt;"ยกเลิกลาออก",
            VLOOKUP(B655, 'รายชื่อพนักงานลาออกพ้นสภาพ'!B:I, 7, FALSE)&lt;=TODAY()
        ),
        "ลาออกแล้ว",
        ""
    ),
"")</f>
        <v/>
      </c>
      <c r="O655" s="292" t="str">
        <f t="array" ref="O655:P655">IFERROR(INDEX(PCRent!C:D, MATCH(F655 &amp; " " &amp; G655, PCRent!A:A &amp; " " &amp; PCRent!B:B, 0)), "")</f>
        <v>SN:MP2M8GAH</v>
      </c>
      <c r="P655" s="293" t="s">
        <v>7248</v>
      </c>
      <c r="Q655" s="294" t="str">
        <f t="array" ref="Q655">IFERROR(INDEX(MonitorRent!C:D, MATCH(F655 &amp; " " &amp; G655, MonitorRent!A:A &amp; " " &amp; MonitorRent!B:B, 0)), "")</f>
        <v/>
      </c>
      <c r="R655" s="295"/>
    </row>
    <row r="656">
      <c r="A656" s="284">
        <v>653.0</v>
      </c>
      <c r="B656" s="285" t="s">
        <v>12450</v>
      </c>
      <c r="C656" s="285" t="s">
        <v>12420</v>
      </c>
      <c r="D656" s="286" t="s">
        <v>12034</v>
      </c>
      <c r="E656" s="285" t="s">
        <v>6933</v>
      </c>
      <c r="F656" s="285" t="s">
        <v>12451</v>
      </c>
      <c r="G656" s="285" t="s">
        <v>12452</v>
      </c>
      <c r="H656" s="285" t="s">
        <v>10866</v>
      </c>
      <c r="I656" s="285" t="s">
        <v>12453</v>
      </c>
      <c r="J656" s="285" t="s">
        <v>5224</v>
      </c>
      <c r="K656" s="285" t="s">
        <v>4756</v>
      </c>
      <c r="L656" s="285" t="s">
        <v>12444</v>
      </c>
      <c r="M656" s="285" t="s">
        <v>9383</v>
      </c>
      <c r="N656" s="287" t="str">
        <f>IFERROR(
    IF(
        AND(
            VLOOKUP(B656, 'รายชื่อพนักงานลาออกพ้นสภาพ'!B:I, 8, FALSE)&lt;&gt;"ยกเลิกลาออก",
            VLOOKUP(B656, 'รายชื่อพนักงานลาออกพ้นสภาพ'!B:I, 7, FALSE)&lt;=TODAY()
        ),
        "ลาออกแล้ว",
        ""
    ),
"")</f>
        <v/>
      </c>
      <c r="O656" s="292" t="str">
        <f t="array" ref="O656:P656">IFERROR(INDEX(PCRent!C:D, MATCH(F656 &amp; " " &amp; G656, PCRent!A:A &amp; " " &amp; PCRent!B:B, 0)), "")</f>
        <v>SN:MP2M8GBJ</v>
      </c>
      <c r="P656" s="293" t="s">
        <v>7248</v>
      </c>
      <c r="Q656" s="294" t="str">
        <f t="array" ref="Q656">IFERROR(INDEX(MonitorRent!C:D, MATCH(F656 &amp; " " &amp; G656, MonitorRent!A:A &amp; " " &amp; MonitorRent!B:B, 0)), "")</f>
        <v/>
      </c>
      <c r="R656" s="295"/>
    </row>
    <row r="657">
      <c r="A657" s="284">
        <v>654.0</v>
      </c>
      <c r="B657" s="285" t="s">
        <v>12454</v>
      </c>
      <c r="C657" s="285" t="s">
        <v>12420</v>
      </c>
      <c r="D657" s="286" t="s">
        <v>12455</v>
      </c>
      <c r="E657" s="285" t="s">
        <v>6921</v>
      </c>
      <c r="F657" s="285" t="s">
        <v>12456</v>
      </c>
      <c r="G657" s="285" t="s">
        <v>12457</v>
      </c>
      <c r="H657" s="285" t="s">
        <v>10009</v>
      </c>
      <c r="I657" s="285" t="s">
        <v>12458</v>
      </c>
      <c r="J657" s="285" t="s">
        <v>5224</v>
      </c>
      <c r="K657" s="285" t="s">
        <v>4805</v>
      </c>
      <c r="L657" s="285" t="s">
        <v>12459</v>
      </c>
      <c r="M657" s="285" t="s">
        <v>9383</v>
      </c>
      <c r="N657" s="287" t="str">
        <f>IFERROR(
    IF(
        AND(
            VLOOKUP(B657, 'รายชื่อพนักงานลาออกพ้นสภาพ'!B:I, 8, FALSE)&lt;&gt;"ยกเลิกลาออก",
            VLOOKUP(B657, 'รายชื่อพนักงานลาออกพ้นสภาพ'!B:I, 7, FALSE)&lt;=TODAY()
        ),
        "ลาออกแล้ว",
        ""
    ),
"")</f>
        <v/>
      </c>
      <c r="O657" s="292" t="str">
        <f t="array" ref="O657">IFERROR(INDEX(PCRent!C:D, MATCH(F657 &amp; " " &amp; G657, PCRent!A:A &amp; " " &amp; PCRent!B:B, 0)), "")</f>
        <v/>
      </c>
      <c r="P657" s="293"/>
      <c r="Q657" s="294" t="str">
        <f t="array" ref="Q657">IFERROR(INDEX(MonitorRent!C:D, MATCH(F657 &amp; " " &amp; G657, MonitorRent!A:A &amp; " " &amp; MonitorRent!B:B, 0)), "")</f>
        <v/>
      </c>
      <c r="R657" s="295"/>
    </row>
    <row r="658">
      <c r="A658" s="284">
        <v>655.0</v>
      </c>
      <c r="B658" s="285" t="s">
        <v>12460</v>
      </c>
      <c r="C658" s="285" t="s">
        <v>12420</v>
      </c>
      <c r="D658" s="286" t="s">
        <v>10978</v>
      </c>
      <c r="E658" s="285" t="s">
        <v>6933</v>
      </c>
      <c r="F658" s="285" t="s">
        <v>10622</v>
      </c>
      <c r="G658" s="285" t="s">
        <v>12461</v>
      </c>
      <c r="H658" s="285" t="s">
        <v>12462</v>
      </c>
      <c r="I658" s="285" t="s">
        <v>12463</v>
      </c>
      <c r="J658" s="285" t="s">
        <v>5012</v>
      </c>
      <c r="K658" s="285" t="s">
        <v>10114</v>
      </c>
      <c r="L658" s="285" t="s">
        <v>12444</v>
      </c>
      <c r="M658" s="285" t="s">
        <v>9383</v>
      </c>
      <c r="N658" s="287" t="str">
        <f>IFERROR(
    IF(
        AND(
            VLOOKUP(B658, 'รายชื่อพนักงานลาออกพ้นสภาพ'!B:I, 8, FALSE)&lt;&gt;"ยกเลิกลาออก",
            VLOOKUP(B658, 'รายชื่อพนักงานลาออกพ้นสภาพ'!B:I, 7, FALSE)&lt;=TODAY()
        ),
        "ลาออกแล้ว",
        ""
    ),
"")</f>
        <v/>
      </c>
      <c r="O658" s="292" t="str">
        <f t="array" ref="O658">IFERROR(INDEX(PCRent!C:D, MATCH(F658 &amp; " " &amp; G658, PCRent!A:A &amp; " " &amp; PCRent!B:B, 0)), "")</f>
        <v/>
      </c>
      <c r="P658" s="293"/>
      <c r="Q658" s="294" t="str">
        <f t="array" ref="Q658">IFERROR(INDEX(MonitorRent!C:D, MATCH(F658 &amp; " " &amp; G658, MonitorRent!A:A &amp; " " &amp; MonitorRent!B:B, 0)), "")</f>
        <v/>
      </c>
      <c r="R658" s="295"/>
    </row>
    <row r="659">
      <c r="A659" s="284">
        <v>656.0</v>
      </c>
      <c r="B659" s="285" t="s">
        <v>12464</v>
      </c>
      <c r="C659" s="285" t="s">
        <v>12420</v>
      </c>
      <c r="D659" s="286" t="s">
        <v>12465</v>
      </c>
      <c r="E659" s="285" t="s">
        <v>6921</v>
      </c>
      <c r="F659" s="285" t="s">
        <v>12466</v>
      </c>
      <c r="G659" s="285" t="s">
        <v>12467</v>
      </c>
      <c r="H659" s="285" t="s">
        <v>11482</v>
      </c>
      <c r="I659" s="285" t="s">
        <v>12468</v>
      </c>
      <c r="J659" s="285" t="s">
        <v>5224</v>
      </c>
      <c r="K659" s="285" t="s">
        <v>10056</v>
      </c>
      <c r="L659" s="285" t="s">
        <v>12469</v>
      </c>
      <c r="M659" s="285" t="s">
        <v>9383</v>
      </c>
      <c r="N659" s="287" t="str">
        <f>IFERROR(
    IF(
        AND(
            VLOOKUP(B659, 'รายชื่อพนักงานลาออกพ้นสภาพ'!B:I, 8, FALSE)&lt;&gt;"ยกเลิกลาออก",
            VLOOKUP(B659, 'รายชื่อพนักงานลาออกพ้นสภาพ'!B:I, 7, FALSE)&lt;=TODAY()
        ),
        "ลาออกแล้ว",
        ""
    ),
"")</f>
        <v/>
      </c>
      <c r="O659" s="292" t="str">
        <f t="array" ref="O659">IFERROR(INDEX(PCRent!C:D, MATCH(F659 &amp; " " &amp; G659, PCRent!A:A &amp; " " &amp; PCRent!B:B, 0)), "")</f>
        <v/>
      </c>
      <c r="P659" s="293"/>
      <c r="Q659" s="294" t="str">
        <f t="array" ref="Q659">IFERROR(INDEX(MonitorRent!C:D, MATCH(F659 &amp; " " &amp; G659, MonitorRent!A:A &amp; " " &amp; MonitorRent!B:B, 0)), "")</f>
        <v/>
      </c>
      <c r="R659" s="295"/>
    </row>
    <row r="660">
      <c r="A660" s="284">
        <v>657.0</v>
      </c>
      <c r="B660" s="285" t="s">
        <v>12470</v>
      </c>
      <c r="C660" s="285" t="s">
        <v>12420</v>
      </c>
      <c r="D660" s="286" t="s">
        <v>9718</v>
      </c>
      <c r="E660" s="285" t="s">
        <v>6921</v>
      </c>
      <c r="F660" s="285" t="s">
        <v>11180</v>
      </c>
      <c r="G660" s="285" t="s">
        <v>11181</v>
      </c>
      <c r="H660" s="285" t="s">
        <v>9526</v>
      </c>
      <c r="I660" s="285" t="s">
        <v>11182</v>
      </c>
      <c r="J660" s="285" t="s">
        <v>5224</v>
      </c>
      <c r="K660" s="285" t="s">
        <v>1456</v>
      </c>
      <c r="L660" s="285" t="s">
        <v>10163</v>
      </c>
      <c r="M660" s="285" t="s">
        <v>9391</v>
      </c>
      <c r="N660" s="287" t="str">
        <f>IFERROR(
    IF(
        AND(
            VLOOKUP(B660, 'รายชื่อพนักงานลาออกพ้นสภาพ'!B:I, 8, FALSE)&lt;&gt;"ยกเลิกลาออก",
            VLOOKUP(B660, 'รายชื่อพนักงานลาออกพ้นสภาพ'!B:I, 7, FALSE)&lt;=TODAY()
        ),
        "ลาออกแล้ว",
        ""
    ),
"")</f>
        <v/>
      </c>
      <c r="O660" s="292" t="str">
        <f t="array" ref="O660">IFERROR(INDEX(PCRent!C:D, MATCH(F660 &amp; " " &amp; G660, PCRent!A:A &amp; " " &amp; PCRent!B:B, 0)), "")</f>
        <v/>
      </c>
      <c r="P660" s="293"/>
      <c r="Q660" s="294" t="str">
        <f t="array" ref="Q660">IFERROR(INDEX(MonitorRent!C:D, MATCH(F660 &amp; " " &amp; G660, MonitorRent!A:A &amp; " " &amp; MonitorRent!B:B, 0)), "")</f>
        <v/>
      </c>
      <c r="R660" s="295"/>
    </row>
    <row r="661">
      <c r="A661" s="284">
        <v>658.0</v>
      </c>
      <c r="B661" s="285" t="s">
        <v>12471</v>
      </c>
      <c r="C661" s="285" t="s">
        <v>12420</v>
      </c>
      <c r="D661" s="286" t="s">
        <v>12472</v>
      </c>
      <c r="E661" s="285" t="s">
        <v>6933</v>
      </c>
      <c r="F661" s="285" t="s">
        <v>12473</v>
      </c>
      <c r="G661" s="285" t="s">
        <v>12474</v>
      </c>
      <c r="H661" s="285" t="s">
        <v>10812</v>
      </c>
      <c r="I661" s="285" t="s">
        <v>12475</v>
      </c>
      <c r="J661" s="285" t="s">
        <v>5224</v>
      </c>
      <c r="K661" s="285" t="s">
        <v>4756</v>
      </c>
      <c r="L661" s="285" t="s">
        <v>12444</v>
      </c>
      <c r="M661" s="285" t="s">
        <v>9383</v>
      </c>
      <c r="N661" s="287" t="str">
        <f>IFERROR(
    IF(
        AND(
            VLOOKUP(B661, 'รายชื่อพนักงานลาออกพ้นสภาพ'!B:I, 8, FALSE)&lt;&gt;"ยกเลิกลาออก",
            VLOOKUP(B661, 'รายชื่อพนักงานลาออกพ้นสภาพ'!B:I, 7, FALSE)&lt;=TODAY()
        ),
        "ลาออกแล้ว",
        ""
    ),
"")</f>
        <v/>
      </c>
      <c r="O661" s="292" t="str">
        <f t="array" ref="O661:P661">IFERROR(INDEX(PCRent!C:D, MATCH(F661 &amp; " " &amp; G661, PCRent!A:A &amp; " " &amp; PCRent!B:B, 0)), "")</f>
        <v>SN:MP2M8GBL</v>
      </c>
      <c r="P661" s="293" t="s">
        <v>7248</v>
      </c>
      <c r="Q661" s="294" t="str">
        <f t="array" ref="Q661">IFERROR(INDEX(MonitorRent!C:D, MATCH(F661 &amp; " " &amp; G661, MonitorRent!A:A &amp; " " &amp; MonitorRent!B:B, 0)), "")</f>
        <v/>
      </c>
      <c r="R661" s="295"/>
    </row>
    <row r="662">
      <c r="A662" s="284">
        <v>659.0</v>
      </c>
      <c r="B662" s="285" t="s">
        <v>12476</v>
      </c>
      <c r="C662" s="285" t="s">
        <v>12420</v>
      </c>
      <c r="D662" s="286" t="s">
        <v>10978</v>
      </c>
      <c r="E662" s="285" t="s">
        <v>6933</v>
      </c>
      <c r="F662" s="285" t="s">
        <v>12477</v>
      </c>
      <c r="G662" s="285" t="s">
        <v>12478</v>
      </c>
      <c r="H662" s="285" t="s">
        <v>11563</v>
      </c>
      <c r="I662" s="285" t="s">
        <v>12479</v>
      </c>
      <c r="J662" s="285" t="s">
        <v>5012</v>
      </c>
      <c r="K662" s="285" t="s">
        <v>10114</v>
      </c>
      <c r="L662" s="285" t="s">
        <v>12444</v>
      </c>
      <c r="M662" s="285" t="s">
        <v>9383</v>
      </c>
      <c r="N662" s="287" t="str">
        <f>IFERROR(
    IF(
        AND(
            VLOOKUP(B662, 'รายชื่อพนักงานลาออกพ้นสภาพ'!B:I, 8, FALSE)&lt;&gt;"ยกเลิกลาออก",
            VLOOKUP(B662, 'รายชื่อพนักงานลาออกพ้นสภาพ'!B:I, 7, FALSE)&lt;=TODAY()
        ),
        "ลาออกแล้ว",
        ""
    ),
"")</f>
        <v/>
      </c>
      <c r="O662" s="292" t="str">
        <f t="array" ref="O662">IFERROR(INDEX(PCRent!C:D, MATCH(F662 &amp; " " &amp; G662, PCRent!A:A &amp; " " &amp; PCRent!B:B, 0)), "")</f>
        <v/>
      </c>
      <c r="P662" s="293"/>
      <c r="Q662" s="294" t="str">
        <f t="array" ref="Q662">IFERROR(INDEX(MonitorRent!C:D, MATCH(F662 &amp; " " &amp; G662, MonitorRent!A:A &amp; " " &amp; MonitorRent!B:B, 0)), "")</f>
        <v/>
      </c>
      <c r="R662" s="295"/>
    </row>
    <row r="663">
      <c r="A663" s="284">
        <v>660.0</v>
      </c>
      <c r="B663" s="285" t="s">
        <v>12480</v>
      </c>
      <c r="C663" s="285" t="s">
        <v>12420</v>
      </c>
      <c r="D663" s="286" t="s">
        <v>10058</v>
      </c>
      <c r="E663" s="285" t="s">
        <v>6921</v>
      </c>
      <c r="F663" s="285" t="s">
        <v>12481</v>
      </c>
      <c r="G663" s="285" t="s">
        <v>12482</v>
      </c>
      <c r="H663" s="285" t="s">
        <v>10365</v>
      </c>
      <c r="I663" s="285" t="s">
        <v>12483</v>
      </c>
      <c r="J663" s="285" t="s">
        <v>5224</v>
      </c>
      <c r="K663" s="285" t="s">
        <v>4835</v>
      </c>
      <c r="L663" s="285" t="s">
        <v>2047</v>
      </c>
      <c r="M663" s="285" t="s">
        <v>9383</v>
      </c>
      <c r="N663" s="287" t="str">
        <f>IFERROR(
    IF(
        AND(
            VLOOKUP(B663, 'รายชื่อพนักงานลาออกพ้นสภาพ'!B:I, 8, FALSE)&lt;&gt;"ยกเลิกลาออก",
            VLOOKUP(B663, 'รายชื่อพนักงานลาออกพ้นสภาพ'!B:I, 7, FALSE)&lt;=TODAY()
        ),
        "ลาออกแล้ว",
        ""
    ),
"")</f>
        <v/>
      </c>
      <c r="O663" s="292" t="str">
        <f t="array" ref="O663:P663">IFERROR(INDEX(PCRent!C:D, MATCH(F663 &amp; " " &amp; G663, PCRent!A:A &amp; " " &amp; PCRent!B:B, 0)), "")</f>
        <v>SN:MP2ET010</v>
      </c>
      <c r="P663" s="293" t="s">
        <v>7070</v>
      </c>
      <c r="Q663" s="294" t="str">
        <f t="array" ref="Q663">IFERROR(INDEX(MonitorRent!C:D, MATCH(F663 &amp; " " &amp; G663, MonitorRent!A:A &amp; " " &amp; MonitorRent!B:B, 0)), "")</f>
        <v/>
      </c>
      <c r="R663" s="295"/>
    </row>
    <row r="664">
      <c r="A664" s="284">
        <v>661.0</v>
      </c>
      <c r="B664" s="285" t="s">
        <v>12484</v>
      </c>
      <c r="C664" s="285" t="s">
        <v>12420</v>
      </c>
      <c r="D664" s="286" t="s">
        <v>10608</v>
      </c>
      <c r="E664" s="285" t="s">
        <v>6933</v>
      </c>
      <c r="F664" s="285" t="s">
        <v>11627</v>
      </c>
      <c r="G664" s="285" t="s">
        <v>12485</v>
      </c>
      <c r="H664" s="285" t="s">
        <v>10150</v>
      </c>
      <c r="I664" s="285" t="s">
        <v>12486</v>
      </c>
      <c r="J664" s="285" t="s">
        <v>5224</v>
      </c>
      <c r="K664" s="285" t="s">
        <v>12487</v>
      </c>
      <c r="L664" s="285" t="s">
        <v>12444</v>
      </c>
      <c r="M664" s="285" t="s">
        <v>9383</v>
      </c>
      <c r="N664" s="287" t="str">
        <f>IFERROR(
    IF(
        AND(
            VLOOKUP(B664, 'รายชื่อพนักงานลาออกพ้นสภาพ'!B:I, 8, FALSE)&lt;&gt;"ยกเลิกลาออก",
            VLOOKUP(B664, 'รายชื่อพนักงานลาออกพ้นสภาพ'!B:I, 7, FALSE)&lt;=TODAY()
        ),
        "ลาออกแล้ว",
        ""
    ),
"")</f>
        <v/>
      </c>
      <c r="O664" s="292" t="str">
        <f t="array" ref="O664">IFERROR(INDEX(PCRent!C:D, MATCH(F664 &amp; " " &amp; G664, PCRent!A:A &amp; " " &amp; PCRent!B:B, 0)), "")</f>
        <v/>
      </c>
      <c r="P664" s="293"/>
      <c r="Q664" s="294" t="str">
        <f t="array" ref="Q664">IFERROR(INDEX(MonitorRent!C:D, MATCH(F664 &amp; " " &amp; G664, MonitorRent!A:A &amp; " " &amp; MonitorRent!B:B, 0)), "")</f>
        <v/>
      </c>
      <c r="R664" s="295"/>
    </row>
    <row r="665">
      <c r="A665" s="284">
        <v>662.0</v>
      </c>
      <c r="B665" s="285" t="s">
        <v>214</v>
      </c>
      <c r="C665" s="285" t="s">
        <v>12420</v>
      </c>
      <c r="D665" s="286" t="s">
        <v>9589</v>
      </c>
      <c r="E665" s="285" t="s">
        <v>6921</v>
      </c>
      <c r="F665" s="285" t="s">
        <v>12488</v>
      </c>
      <c r="G665" s="285" t="s">
        <v>12489</v>
      </c>
      <c r="H665" s="285" t="s">
        <v>12490</v>
      </c>
      <c r="I665" s="285" t="s">
        <v>218</v>
      </c>
      <c r="J665" s="285" t="s">
        <v>5224</v>
      </c>
      <c r="K665" s="285" t="s">
        <v>10549</v>
      </c>
      <c r="L665" s="285" t="s">
        <v>12491</v>
      </c>
      <c r="M665" s="285" t="s">
        <v>9383</v>
      </c>
      <c r="N665" s="287" t="str">
        <f>IFERROR(
    IF(
        AND(
            VLOOKUP(B665, 'รายชื่อพนักงานลาออกพ้นสภาพ'!B:I, 8, FALSE)&lt;&gt;"ยกเลิกลาออก",
            VLOOKUP(B665, 'รายชื่อพนักงานลาออกพ้นสภาพ'!B:I, 7, FALSE)&lt;=TODAY()
        ),
        "ลาออกแล้ว",
        ""
    ),
"")</f>
        <v>ลาออกแล้ว</v>
      </c>
      <c r="O665" s="292" t="str">
        <f t="array" ref="O665:P665">IFERROR(INDEX(PCRent!C:D, MATCH(F665 &amp; " " &amp; G665, PCRent!A:A &amp; " " &amp; PCRent!B:B, 0)), "")</f>
        <v>SN:MP2EHW2K</v>
      </c>
      <c r="P665" s="293" t="s">
        <v>6993</v>
      </c>
      <c r="Q665" s="294" t="str">
        <f t="array" ref="Q665">IFERROR(INDEX(MonitorRent!C:D, MATCH(F665 &amp; " " &amp; G665, MonitorRent!A:A &amp; " " &amp; MonitorRent!B:B, 0)), "")</f>
        <v/>
      </c>
      <c r="R665" s="295"/>
    </row>
    <row r="666">
      <c r="A666" s="284">
        <v>663.0</v>
      </c>
      <c r="B666" s="285" t="s">
        <v>12492</v>
      </c>
      <c r="C666" s="285" t="s">
        <v>12420</v>
      </c>
      <c r="D666" s="286" t="s">
        <v>12493</v>
      </c>
      <c r="E666" s="285" t="s">
        <v>6933</v>
      </c>
      <c r="F666" s="285" t="s">
        <v>12248</v>
      </c>
      <c r="G666" s="285" t="s">
        <v>12494</v>
      </c>
      <c r="H666" s="285" t="s">
        <v>12495</v>
      </c>
      <c r="I666" s="285" t="s">
        <v>12496</v>
      </c>
      <c r="J666" s="285" t="s">
        <v>5224</v>
      </c>
      <c r="K666" s="285" t="s">
        <v>12325</v>
      </c>
      <c r="L666" s="285" t="s">
        <v>12444</v>
      </c>
      <c r="M666" s="285" t="s">
        <v>9383</v>
      </c>
      <c r="N666" s="287" t="str">
        <f>IFERROR(
    IF(
        AND(
            VLOOKUP(B666, 'รายชื่อพนักงานลาออกพ้นสภาพ'!B:I, 8, FALSE)&lt;&gt;"ยกเลิกลาออก",
            VLOOKUP(B666, 'รายชื่อพนักงานลาออกพ้นสภาพ'!B:I, 7, FALSE)&lt;=TODAY()
        ),
        "ลาออกแล้ว",
        ""
    ),
"")</f>
        <v/>
      </c>
      <c r="O666" s="292" t="str">
        <f t="array" ref="O666:P666">IFERROR(INDEX(PCRent!C:D, MATCH(F666 &amp; " " &amp; G666, PCRent!A:A &amp; " " &amp; PCRent!B:B, 0)), "")</f>
        <v>SN:MP2M8GAQ</v>
      </c>
      <c r="P666" s="293" t="s">
        <v>7248</v>
      </c>
      <c r="Q666" s="294" t="str">
        <f t="array" ref="Q666">IFERROR(INDEX(MonitorRent!C:D, MATCH(F666 &amp; " " &amp; G666, MonitorRent!A:A &amp; " " &amp; MonitorRent!B:B, 0)), "")</f>
        <v/>
      </c>
      <c r="R666" s="295"/>
    </row>
    <row r="667">
      <c r="A667" s="284">
        <v>664.0</v>
      </c>
      <c r="B667" s="285" t="s">
        <v>12497</v>
      </c>
      <c r="C667" s="285" t="s">
        <v>12420</v>
      </c>
      <c r="D667" s="286" t="s">
        <v>11654</v>
      </c>
      <c r="E667" s="285" t="s">
        <v>6933</v>
      </c>
      <c r="F667" s="285" t="s">
        <v>12498</v>
      </c>
      <c r="G667" s="285" t="s">
        <v>12499</v>
      </c>
      <c r="H667" s="285" t="s">
        <v>10244</v>
      </c>
      <c r="I667" s="285" t="s">
        <v>12500</v>
      </c>
      <c r="J667" s="285" t="s">
        <v>5224</v>
      </c>
      <c r="K667" s="285" t="s">
        <v>2062</v>
      </c>
      <c r="L667" s="285" t="s">
        <v>12469</v>
      </c>
      <c r="M667" s="285" t="s">
        <v>9383</v>
      </c>
      <c r="N667" s="287" t="str">
        <f>IFERROR(
    IF(
        AND(
            VLOOKUP(B667, 'รายชื่อพนักงานลาออกพ้นสภาพ'!B:I, 8, FALSE)&lt;&gt;"ยกเลิกลาออก",
            VLOOKUP(B667, 'รายชื่อพนักงานลาออกพ้นสภาพ'!B:I, 7, FALSE)&lt;=TODAY()
        ),
        "ลาออกแล้ว",
        ""
    ),
"")</f>
        <v/>
      </c>
      <c r="O667" s="292" t="str">
        <f t="array" ref="O667:P667">IFERROR(INDEX(PCRent!C:D, MATCH(F667 &amp; " " &amp; G667, PCRent!A:A &amp; " " &amp; PCRent!B:B, 0)), "")</f>
        <v>SN:9YYNPY3</v>
      </c>
      <c r="P667" s="293" t="s">
        <v>7048</v>
      </c>
      <c r="Q667" s="294" t="str">
        <f t="array" ref="Q667:R667">IFERROR(INDEX(MonitorRent!C:D, MATCH(F667 &amp; " " &amp; G667, MonitorRent!A:A &amp; " " &amp; MonitorRent!B:B, 0)), "")</f>
        <v>SN:DQZ4ZV3</v>
      </c>
      <c r="R667" s="295" t="s">
        <v>7050</v>
      </c>
    </row>
    <row r="668">
      <c r="A668" s="284">
        <v>665.0</v>
      </c>
      <c r="B668" s="285" t="s">
        <v>7890</v>
      </c>
      <c r="C668" s="285" t="s">
        <v>7889</v>
      </c>
      <c r="D668" s="286" t="s">
        <v>12501</v>
      </c>
      <c r="E668" s="285" t="s">
        <v>6933</v>
      </c>
      <c r="F668" s="285" t="s">
        <v>12502</v>
      </c>
      <c r="G668" s="285" t="s">
        <v>12503</v>
      </c>
      <c r="H668" s="285" t="s">
        <v>12504</v>
      </c>
      <c r="I668" s="285" t="s">
        <v>12505</v>
      </c>
      <c r="J668" s="285" t="s">
        <v>5224</v>
      </c>
      <c r="K668" s="285" t="s">
        <v>12506</v>
      </c>
      <c r="L668" s="285" t="s">
        <v>4549</v>
      </c>
      <c r="M668" s="285" t="s">
        <v>9383</v>
      </c>
      <c r="N668" s="287" t="str">
        <f>IFERROR(
    IF(
        AND(
            VLOOKUP(B668, 'รายชื่อพนักงานลาออกพ้นสภาพ'!B:I, 8, FALSE)&lt;&gt;"ยกเลิกลาออก",
            VLOOKUP(B668, 'รายชื่อพนักงานลาออกพ้นสภาพ'!B:I, 7, FALSE)&lt;=TODAY()
        ),
        "ลาออกแล้ว",
        ""
    ),
"")</f>
        <v/>
      </c>
      <c r="O668" s="292" t="str">
        <f t="array" ref="O668">IFERROR(INDEX(PCRent!C:D, MATCH(F668 &amp; " " &amp; G668, PCRent!A:A &amp; " " &amp; PCRent!B:B, 0)), "")</f>
        <v/>
      </c>
      <c r="P668" s="293"/>
      <c r="Q668" s="294" t="str">
        <f t="array" ref="Q668">IFERROR(INDEX(MonitorRent!C:D, MATCH(F668 &amp; " " &amp; G668, MonitorRent!A:A &amp; " " &amp; MonitorRent!B:B, 0)), "")</f>
        <v/>
      </c>
      <c r="R668" s="295"/>
    </row>
    <row r="669">
      <c r="A669" s="284">
        <v>666.0</v>
      </c>
      <c r="B669" s="285" t="s">
        <v>12507</v>
      </c>
      <c r="C669" s="285" t="s">
        <v>1652</v>
      </c>
      <c r="D669" s="286" t="s">
        <v>9399</v>
      </c>
      <c r="E669" s="285" t="s">
        <v>6921</v>
      </c>
      <c r="F669" s="285" t="s">
        <v>12508</v>
      </c>
      <c r="G669" s="285" t="s">
        <v>12509</v>
      </c>
      <c r="H669" s="285" t="s">
        <v>12510</v>
      </c>
      <c r="I669" s="285" t="s">
        <v>12511</v>
      </c>
      <c r="J669" s="285" t="s">
        <v>5012</v>
      </c>
      <c r="K669" s="285" t="s">
        <v>4749</v>
      </c>
      <c r="L669" s="285" t="s">
        <v>3773</v>
      </c>
      <c r="M669" s="285" t="s">
        <v>9391</v>
      </c>
      <c r="N669" s="287" t="str">
        <f>IFERROR(
    IF(
        AND(
            VLOOKUP(B669, 'รายชื่อพนักงานลาออกพ้นสภาพ'!B:I, 8, FALSE)&lt;&gt;"ยกเลิกลาออก",
            VLOOKUP(B669, 'รายชื่อพนักงานลาออกพ้นสภาพ'!B:I, 7, FALSE)&lt;=TODAY()
        ),
        "ลาออกแล้ว",
        ""
    ),
"")</f>
        <v/>
      </c>
      <c r="O669" s="292" t="str">
        <f t="array" ref="O669">IFERROR(INDEX(PCRent!C:D, MATCH(F669 &amp; " " &amp; G669, PCRent!A:A &amp; " " &amp; PCRent!B:B, 0)), "")</f>
        <v/>
      </c>
      <c r="P669" s="293"/>
      <c r="Q669" s="294" t="str">
        <f t="array" ref="Q669">IFERROR(INDEX(MonitorRent!C:D, MATCH(F669 &amp; " " &amp; G669, MonitorRent!A:A &amp; " " &amp; MonitorRent!B:B, 0)), "")</f>
        <v/>
      </c>
      <c r="R669" s="295"/>
    </row>
    <row r="670">
      <c r="A670" s="284">
        <v>667.0</v>
      </c>
      <c r="B670" s="285" t="s">
        <v>365</v>
      </c>
      <c r="C670" s="285" t="s">
        <v>1652</v>
      </c>
      <c r="D670" s="286" t="s">
        <v>10206</v>
      </c>
      <c r="E670" s="285" t="s">
        <v>6921</v>
      </c>
      <c r="F670" s="285" t="s">
        <v>10622</v>
      </c>
      <c r="G670" s="285" t="s">
        <v>12512</v>
      </c>
      <c r="H670" s="285" t="s">
        <v>11520</v>
      </c>
      <c r="I670" s="285" t="s">
        <v>369</v>
      </c>
      <c r="J670" s="285" t="s">
        <v>5012</v>
      </c>
      <c r="K670" s="285" t="s">
        <v>12513</v>
      </c>
      <c r="L670" s="285" t="s">
        <v>368</v>
      </c>
      <c r="M670" s="285" t="s">
        <v>9391</v>
      </c>
      <c r="N670" s="287" t="str">
        <f>IFERROR(
    IF(
        AND(
            VLOOKUP(B670, 'รายชื่อพนักงานลาออกพ้นสภาพ'!B:I, 8, FALSE)&lt;&gt;"ยกเลิกลาออก",
            VLOOKUP(B670, 'รายชื่อพนักงานลาออกพ้นสภาพ'!B:I, 7, FALSE)&lt;=TODAY()
        ),
        "ลาออกแล้ว",
        ""
    ),
"")</f>
        <v>ลาออกแล้ว</v>
      </c>
      <c r="O670" s="292" t="str">
        <f t="array" ref="O670">IFERROR(INDEX(PCRent!C:D, MATCH(F670 &amp; " " &amp; G670, PCRent!A:A &amp; " " &amp; PCRent!B:B, 0)), "")</f>
        <v/>
      </c>
      <c r="P670" s="293"/>
      <c r="Q670" s="294" t="str">
        <f t="array" ref="Q670">IFERROR(INDEX(MonitorRent!C:D, MATCH(F670 &amp; " " &amp; G670, MonitorRent!A:A &amp; " " &amp; MonitorRent!B:B, 0)), "")</f>
        <v/>
      </c>
      <c r="R670" s="295"/>
    </row>
    <row r="671">
      <c r="A671" s="284">
        <v>668.0</v>
      </c>
      <c r="B671" s="285" t="s">
        <v>12514</v>
      </c>
      <c r="C671" s="285" t="s">
        <v>1652</v>
      </c>
      <c r="D671" s="286" t="s">
        <v>11125</v>
      </c>
      <c r="E671" s="285" t="s">
        <v>6933</v>
      </c>
      <c r="F671" s="285" t="s">
        <v>12515</v>
      </c>
      <c r="G671" s="285" t="s">
        <v>12516</v>
      </c>
      <c r="H671" s="285" t="s">
        <v>9526</v>
      </c>
      <c r="I671" s="285" t="s">
        <v>12517</v>
      </c>
      <c r="J671" s="285" t="s">
        <v>5012</v>
      </c>
      <c r="K671" s="285" t="s">
        <v>4749</v>
      </c>
      <c r="L671" s="285" t="s">
        <v>4319</v>
      </c>
      <c r="M671" s="285" t="s">
        <v>9383</v>
      </c>
      <c r="N671" s="287" t="str">
        <f>IFERROR(
    IF(
        AND(
            VLOOKUP(B671, 'รายชื่อพนักงานลาออกพ้นสภาพ'!B:I, 8, FALSE)&lt;&gt;"ยกเลิกลาออก",
            VLOOKUP(B671, 'รายชื่อพนักงานลาออกพ้นสภาพ'!B:I, 7, FALSE)&lt;=TODAY()
        ),
        "ลาออกแล้ว",
        ""
    ),
"")</f>
        <v/>
      </c>
      <c r="O671" s="292" t="str">
        <f t="array" ref="O671:P671">IFERROR(INDEX(PCRent!C:D, MATCH(F671 &amp; " " &amp; G671, PCRent!A:A &amp; " " &amp; PCRent!B:B, 0)), "")</f>
        <v>SN:MP2ELNMQ</v>
      </c>
      <c r="P671" s="293" t="s">
        <v>6993</v>
      </c>
      <c r="Q671" s="294" t="str">
        <f t="array" ref="Q671">IFERROR(INDEX(MonitorRent!C:D, MATCH(F671 &amp; " " &amp; G671, MonitorRent!A:A &amp; " " &amp; MonitorRent!B:B, 0)), "")</f>
        <v/>
      </c>
      <c r="R671" s="295"/>
    </row>
    <row r="672">
      <c r="A672" s="284">
        <v>669.0</v>
      </c>
      <c r="B672" s="285" t="s">
        <v>12518</v>
      </c>
      <c r="C672" s="285" t="s">
        <v>1652</v>
      </c>
      <c r="D672" s="286" t="s">
        <v>9547</v>
      </c>
      <c r="E672" s="285" t="s">
        <v>6933</v>
      </c>
      <c r="F672" s="285" t="s">
        <v>12519</v>
      </c>
      <c r="G672" s="285" t="s">
        <v>12520</v>
      </c>
      <c r="H672" s="285" t="s">
        <v>12521</v>
      </c>
      <c r="I672" s="285" t="s">
        <v>12522</v>
      </c>
      <c r="J672" s="285" t="s">
        <v>5012</v>
      </c>
      <c r="K672" s="285" t="s">
        <v>12523</v>
      </c>
      <c r="L672" s="285" t="s">
        <v>368</v>
      </c>
      <c r="M672" s="285" t="s">
        <v>9391</v>
      </c>
      <c r="N672" s="287" t="str">
        <f>IFERROR(
    IF(
        AND(
            VLOOKUP(B672, 'รายชื่อพนักงานลาออกพ้นสภาพ'!B:I, 8, FALSE)&lt;&gt;"ยกเลิกลาออก",
            VLOOKUP(B672, 'รายชื่อพนักงานลาออกพ้นสภาพ'!B:I, 7, FALSE)&lt;=TODAY()
        ),
        "ลาออกแล้ว",
        ""
    ),
"")</f>
        <v/>
      </c>
      <c r="O672" s="292" t="str">
        <f t="array" ref="O672:P672">IFERROR(INDEX(PCRent!C:D, MATCH(F672 &amp; " " &amp; G672, PCRent!A:A &amp; " " &amp; PCRent!B:B, 0)), "")</f>
        <v>SN:MP2EHAEM</v>
      </c>
      <c r="P672" s="293" t="s">
        <v>6993</v>
      </c>
      <c r="Q672" s="294" t="str">
        <f t="array" ref="Q672">IFERROR(INDEX(MonitorRent!C:D, MATCH(F672 &amp; " " &amp; G672, MonitorRent!A:A &amp; " " &amp; MonitorRent!B:B, 0)), "")</f>
        <v/>
      </c>
      <c r="R672" s="295"/>
    </row>
    <row r="673">
      <c r="A673" s="284">
        <v>670.0</v>
      </c>
      <c r="B673" s="285" t="s">
        <v>12524</v>
      </c>
      <c r="C673" s="285" t="s">
        <v>1652</v>
      </c>
      <c r="D673" s="286" t="s">
        <v>9415</v>
      </c>
      <c r="E673" s="285" t="s">
        <v>6933</v>
      </c>
      <c r="F673" s="285" t="s">
        <v>12525</v>
      </c>
      <c r="G673" s="285" t="s">
        <v>12526</v>
      </c>
      <c r="H673" s="285" t="s">
        <v>9637</v>
      </c>
      <c r="I673" s="285" t="s">
        <v>12527</v>
      </c>
      <c r="J673" s="285" t="s">
        <v>5012</v>
      </c>
      <c r="K673" s="285" t="s">
        <v>4749</v>
      </c>
      <c r="L673" s="285" t="s">
        <v>3773</v>
      </c>
      <c r="M673" s="285" t="s">
        <v>9383</v>
      </c>
      <c r="N673" s="287" t="str">
        <f>IFERROR(
    IF(
        AND(
            VLOOKUP(B673, 'รายชื่อพนักงานลาออกพ้นสภาพ'!B:I, 8, FALSE)&lt;&gt;"ยกเลิกลาออก",
            VLOOKUP(B673, 'รายชื่อพนักงานลาออกพ้นสภาพ'!B:I, 7, FALSE)&lt;=TODAY()
        ),
        "ลาออกแล้ว",
        ""
    ),
"")</f>
        <v/>
      </c>
      <c r="O673" s="292" t="str">
        <f t="array" ref="O673:P673">IFERROR(INDEX(PCRent!C:D, MATCH(F673 &amp; " " &amp; G673, PCRent!A:A &amp; " " &amp; PCRent!B:B, 0)), "")</f>
        <v>SN:MP2E0ADV</v>
      </c>
      <c r="P673" s="293" t="s">
        <v>6993</v>
      </c>
      <c r="Q673" s="294" t="str">
        <f t="array" ref="Q673">IFERROR(INDEX(MonitorRent!C:D, MATCH(F673 &amp; " " &amp; G673, MonitorRent!A:A &amp; " " &amp; MonitorRent!B:B, 0)), "")</f>
        <v/>
      </c>
      <c r="R673" s="295"/>
    </row>
    <row r="674">
      <c r="A674" s="284">
        <v>671.0</v>
      </c>
      <c r="B674" s="285" t="s">
        <v>12528</v>
      </c>
      <c r="C674" s="285" t="s">
        <v>1652</v>
      </c>
      <c r="D674" s="286" t="s">
        <v>12529</v>
      </c>
      <c r="E674" s="285" t="s">
        <v>6933</v>
      </c>
      <c r="F674" s="285" t="s">
        <v>9674</v>
      </c>
      <c r="G674" s="285" t="s">
        <v>12530</v>
      </c>
      <c r="H674" s="285" t="s">
        <v>12531</v>
      </c>
      <c r="I674" s="285" t="s">
        <v>12532</v>
      </c>
      <c r="J674" s="285" t="s">
        <v>5012</v>
      </c>
      <c r="K674" s="285" t="s">
        <v>12523</v>
      </c>
      <c r="L674" s="285" t="s">
        <v>368</v>
      </c>
      <c r="M674" s="285" t="s">
        <v>9383</v>
      </c>
      <c r="N674" s="287" t="str">
        <f>IFERROR(
    IF(
        AND(
            VLOOKUP(B674, 'รายชื่อพนักงานลาออกพ้นสภาพ'!B:I, 8, FALSE)&lt;&gt;"ยกเลิกลาออก",
            VLOOKUP(B674, 'รายชื่อพนักงานลาออกพ้นสภาพ'!B:I, 7, FALSE)&lt;=TODAY()
        ),
        "ลาออกแล้ว",
        ""
    ),
"")</f>
        <v/>
      </c>
      <c r="O674" s="292" t="str">
        <f t="array" ref="O674:P674">IFERROR(INDEX(PCRent!C:D, MATCH(F674 &amp; " " &amp; G674, PCRent!A:A &amp; " " &amp; PCRent!B:B, 0)), "")</f>
        <v>SN:4XYNPY3</v>
      </c>
      <c r="P674" s="293" t="s">
        <v>7048</v>
      </c>
      <c r="Q674" s="294" t="str">
        <f t="array" ref="Q674:R674">IFERROR(INDEX(MonitorRent!C:D, MATCH(F674 &amp; " " &amp; G674, MonitorRent!A:A &amp; " " &amp; MonitorRent!B:B, 0)), "")</f>
        <v>SN:C7CNYV3</v>
      </c>
      <c r="R674" s="295" t="s">
        <v>7050</v>
      </c>
    </row>
    <row r="675">
      <c r="A675" s="284">
        <v>672.0</v>
      </c>
      <c r="B675" s="285" t="s">
        <v>12533</v>
      </c>
      <c r="C675" s="285" t="s">
        <v>1652</v>
      </c>
      <c r="D675" s="286" t="s">
        <v>11301</v>
      </c>
      <c r="E675" s="285" t="s">
        <v>6921</v>
      </c>
      <c r="F675" s="285" t="s">
        <v>12534</v>
      </c>
      <c r="G675" s="285" t="s">
        <v>12535</v>
      </c>
      <c r="H675" s="285" t="s">
        <v>12536</v>
      </c>
      <c r="I675" s="285" t="s">
        <v>12537</v>
      </c>
      <c r="J675" s="285" t="s">
        <v>5012</v>
      </c>
      <c r="K675" s="285" t="s">
        <v>4835</v>
      </c>
      <c r="L675" s="285" t="s">
        <v>368</v>
      </c>
      <c r="M675" s="285" t="s">
        <v>9383</v>
      </c>
      <c r="N675" s="287" t="str">
        <f>IFERROR(
    IF(
        AND(
            VLOOKUP(B675, 'รายชื่อพนักงานลาออกพ้นสภาพ'!B:I, 8, FALSE)&lt;&gt;"ยกเลิกลาออก",
            VLOOKUP(B675, 'รายชื่อพนักงานลาออกพ้นสภาพ'!B:I, 7, FALSE)&lt;=TODAY()
        ),
        "ลาออกแล้ว",
        ""
    ),
"")</f>
        <v/>
      </c>
      <c r="O675" s="292" t="str">
        <f t="array" ref="O675:P675">IFERROR(INDEX(PCRent!C:D, MATCH(F675 &amp; " " &amp; G675, PCRent!A:A &amp; " " &amp; PCRent!B:B, 0)), "")</f>
        <v>SN:PF39FX48</v>
      </c>
      <c r="P675" s="293" t="s">
        <v>7005</v>
      </c>
      <c r="Q675" s="294" t="str">
        <f t="array" ref="Q675">IFERROR(INDEX(MonitorRent!C:D, MATCH(F675 &amp; " " &amp; G675, MonitorRent!A:A &amp; " " &amp; MonitorRent!B:B, 0)), "")</f>
        <v/>
      </c>
      <c r="R675" s="295"/>
    </row>
    <row r="676">
      <c r="A676" s="284">
        <v>673.0</v>
      </c>
      <c r="B676" s="285" t="s">
        <v>12538</v>
      </c>
      <c r="C676" s="285" t="s">
        <v>1652</v>
      </c>
      <c r="D676" s="286" t="s">
        <v>12539</v>
      </c>
      <c r="E676" s="285" t="s">
        <v>6921</v>
      </c>
      <c r="F676" s="285" t="s">
        <v>12540</v>
      </c>
      <c r="G676" s="285" t="s">
        <v>12541</v>
      </c>
      <c r="H676" s="285" t="s">
        <v>9669</v>
      </c>
      <c r="I676" s="285" t="s">
        <v>12542</v>
      </c>
      <c r="J676" s="285" t="s">
        <v>5012</v>
      </c>
      <c r="K676" s="285" t="s">
        <v>10088</v>
      </c>
      <c r="L676" s="285" t="s">
        <v>3773</v>
      </c>
      <c r="M676" s="285" t="s">
        <v>9383</v>
      </c>
      <c r="N676" s="287" t="str">
        <f>IFERROR(
    IF(
        AND(
            VLOOKUP(B676, 'รายชื่อพนักงานลาออกพ้นสภาพ'!B:I, 8, FALSE)&lt;&gt;"ยกเลิกลาออก",
            VLOOKUP(B676, 'รายชื่อพนักงานลาออกพ้นสภาพ'!B:I, 7, FALSE)&lt;=TODAY()
        ),
        "ลาออกแล้ว",
        ""
    ),
"")</f>
        <v/>
      </c>
      <c r="O676" s="292" t="str">
        <f t="array" ref="O676">IFERROR(INDEX(PCRent!C:D, MATCH(F676 &amp; " " &amp; G676, PCRent!A:A &amp; " " &amp; PCRent!B:B, 0)), "")</f>
        <v/>
      </c>
      <c r="P676" s="293"/>
      <c r="Q676" s="294" t="str">
        <f t="array" ref="Q676">IFERROR(INDEX(MonitorRent!C:D, MATCH(F676 &amp; " " &amp; G676, MonitorRent!A:A &amp; " " &amp; MonitorRent!B:B, 0)), "")</f>
        <v/>
      </c>
      <c r="R676" s="295"/>
    </row>
    <row r="677">
      <c r="A677" s="284">
        <v>674.0</v>
      </c>
      <c r="B677" s="285" t="s">
        <v>4551</v>
      </c>
      <c r="C677" s="285" t="s">
        <v>1652</v>
      </c>
      <c r="D677" s="286" t="s">
        <v>12543</v>
      </c>
      <c r="E677" s="285" t="s">
        <v>6933</v>
      </c>
      <c r="F677" s="285" t="s">
        <v>12544</v>
      </c>
      <c r="G677" s="285" t="s">
        <v>12545</v>
      </c>
      <c r="H677" s="285" t="s">
        <v>10770</v>
      </c>
      <c r="I677" s="285" t="s">
        <v>6907</v>
      </c>
      <c r="J677" s="285" t="s">
        <v>5012</v>
      </c>
      <c r="K677" s="285" t="s">
        <v>12546</v>
      </c>
      <c r="L677" s="285" t="s">
        <v>4319</v>
      </c>
      <c r="M677" s="285" t="s">
        <v>9391</v>
      </c>
      <c r="N677" s="287" t="str">
        <f>IFERROR(
    IF(
        AND(
            VLOOKUP(B677, 'รายชื่อพนักงานลาออกพ้นสภาพ'!B:I, 8, FALSE)&lt;&gt;"ยกเลิกลาออก",
            VLOOKUP(B677, 'รายชื่อพนักงานลาออกพ้นสภาพ'!B:I, 7, FALSE)&lt;=TODAY()
        ),
        "ลาออกแล้ว",
        ""
    ),
"")</f>
        <v/>
      </c>
      <c r="O677" s="292" t="str">
        <f t="array" ref="O677">IFERROR(INDEX(PCRent!C:D, MATCH(F677 &amp; " " &amp; G677, PCRent!A:A &amp; " " &amp; PCRent!B:B, 0)), "")</f>
        <v/>
      </c>
      <c r="P677" s="293"/>
      <c r="Q677" s="294" t="str">
        <f t="array" ref="Q677">IFERROR(INDEX(MonitorRent!C:D, MATCH(F677 &amp; " " &amp; G677, MonitorRent!A:A &amp; " " &amp; MonitorRent!B:B, 0)), "")</f>
        <v/>
      </c>
      <c r="R677" s="295"/>
    </row>
    <row r="678">
      <c r="A678" s="284">
        <v>675.0</v>
      </c>
      <c r="B678" s="285" t="s">
        <v>12547</v>
      </c>
      <c r="C678" s="285" t="s">
        <v>1652</v>
      </c>
      <c r="D678" s="286" t="s">
        <v>9399</v>
      </c>
      <c r="E678" s="285" t="s">
        <v>7239</v>
      </c>
      <c r="F678" s="285" t="s">
        <v>12548</v>
      </c>
      <c r="G678" s="285" t="s">
        <v>12549</v>
      </c>
      <c r="H678" s="285" t="s">
        <v>9586</v>
      </c>
      <c r="I678" s="285" t="s">
        <v>12550</v>
      </c>
      <c r="J678" s="285" t="s">
        <v>5012</v>
      </c>
      <c r="K678" s="285" t="s">
        <v>10088</v>
      </c>
      <c r="L678" s="285" t="s">
        <v>3773</v>
      </c>
      <c r="M678" s="285" t="s">
        <v>9391</v>
      </c>
      <c r="N678" s="287" t="str">
        <f>IFERROR(
    IF(
        AND(
            VLOOKUP(B678, 'รายชื่อพนักงานลาออกพ้นสภาพ'!B:I, 8, FALSE)&lt;&gt;"ยกเลิกลาออก",
            VLOOKUP(B678, 'รายชื่อพนักงานลาออกพ้นสภาพ'!B:I, 7, FALSE)&lt;=TODAY()
        ),
        "ลาออกแล้ว",
        ""
    ),
"")</f>
        <v/>
      </c>
      <c r="O678" s="292" t="str">
        <f t="array" ref="O678">IFERROR(INDEX(PCRent!C:D, MATCH(F678 &amp; " " &amp; G678, PCRent!A:A &amp; " " &amp; PCRent!B:B, 0)), "")</f>
        <v/>
      </c>
      <c r="P678" s="293"/>
      <c r="Q678" s="294" t="str">
        <f t="array" ref="Q678">IFERROR(INDEX(MonitorRent!C:D, MATCH(F678 &amp; " " &amp; G678, MonitorRent!A:A &amp; " " &amp; MonitorRent!B:B, 0)), "")</f>
        <v/>
      </c>
      <c r="R678" s="295"/>
    </row>
    <row r="679">
      <c r="A679" s="284">
        <v>676.0</v>
      </c>
      <c r="B679" s="285" t="s">
        <v>12551</v>
      </c>
      <c r="C679" s="285" t="s">
        <v>1652</v>
      </c>
      <c r="D679" s="286" t="s">
        <v>12552</v>
      </c>
      <c r="E679" s="285" t="s">
        <v>6933</v>
      </c>
      <c r="F679" s="285" t="s">
        <v>12553</v>
      </c>
      <c r="G679" s="285" t="s">
        <v>12554</v>
      </c>
      <c r="H679" s="285" t="s">
        <v>12555</v>
      </c>
      <c r="I679" s="285" t="s">
        <v>12556</v>
      </c>
      <c r="J679" s="285" t="s">
        <v>5224</v>
      </c>
      <c r="K679" s="285" t="s">
        <v>9425</v>
      </c>
      <c r="L679" s="285" t="s">
        <v>12557</v>
      </c>
      <c r="M679" s="285" t="s">
        <v>9383</v>
      </c>
      <c r="N679" s="287" t="str">
        <f>IFERROR(
    IF(
        AND(
            VLOOKUP(B679, 'รายชื่อพนักงานลาออกพ้นสภาพ'!B:I, 8, FALSE)&lt;&gt;"ยกเลิกลาออก",
            VLOOKUP(B679, 'รายชื่อพนักงานลาออกพ้นสภาพ'!B:I, 7, FALSE)&lt;=TODAY()
        ),
        "ลาออกแล้ว",
        ""
    ),
"")</f>
        <v/>
      </c>
      <c r="O679" s="292" t="str">
        <f t="array" ref="O679:P679">IFERROR(INDEX(PCRent!C:D, MATCH(F679 &amp; " " &amp; G679, PCRent!A:A &amp; " " &amp; PCRent!B:B, 0)), "")</f>
        <v>SN:MP2E0ENX</v>
      </c>
      <c r="P679" s="293" t="s">
        <v>7357</v>
      </c>
      <c r="Q679" s="294" t="str">
        <f t="array" ref="Q679">IFERROR(INDEX(MonitorRent!C:D, MATCH(F679 &amp; " " &amp; G679, MonitorRent!A:A &amp; " " &amp; MonitorRent!B:B, 0)), "")</f>
        <v/>
      </c>
      <c r="R679" s="295"/>
    </row>
    <row r="680">
      <c r="A680" s="284">
        <v>677.0</v>
      </c>
      <c r="B680" s="285" t="s">
        <v>12558</v>
      </c>
      <c r="C680" s="285" t="s">
        <v>1652</v>
      </c>
      <c r="D680" s="286" t="s">
        <v>10636</v>
      </c>
      <c r="E680" s="285" t="s">
        <v>6933</v>
      </c>
      <c r="F680" s="285" t="s">
        <v>11491</v>
      </c>
      <c r="G680" s="285" t="s">
        <v>12559</v>
      </c>
      <c r="H680" s="285" t="s">
        <v>11467</v>
      </c>
      <c r="I680" s="285" t="s">
        <v>12560</v>
      </c>
      <c r="J680" s="285" t="s">
        <v>5012</v>
      </c>
      <c r="K680" s="285" t="s">
        <v>12546</v>
      </c>
      <c r="L680" s="285" t="s">
        <v>4319</v>
      </c>
      <c r="M680" s="285" t="s">
        <v>9383</v>
      </c>
      <c r="N680" s="287" t="str">
        <f>IFERROR(
    IF(
        AND(
            VLOOKUP(B680, 'รายชื่อพนักงานลาออกพ้นสภาพ'!B:I, 8, FALSE)&lt;&gt;"ยกเลิกลาออก",
            VLOOKUP(B680, 'รายชื่อพนักงานลาออกพ้นสภาพ'!B:I, 7, FALSE)&lt;=TODAY()
        ),
        "ลาออกแล้ว",
        ""
    ),
"")</f>
        <v/>
      </c>
      <c r="O680" s="292" t="str">
        <f t="array" ref="O680">IFERROR(INDEX(PCRent!C:D, MATCH(F680 &amp; " " &amp; G680, PCRent!A:A &amp; " " &amp; PCRent!B:B, 0)), "")</f>
        <v/>
      </c>
      <c r="P680" s="293"/>
      <c r="Q680" s="294" t="str">
        <f t="array" ref="Q680">IFERROR(INDEX(MonitorRent!C:D, MATCH(F680 &amp; " " &amp; G680, MonitorRent!A:A &amp; " " &amp; MonitorRent!B:B, 0)), "")</f>
        <v/>
      </c>
      <c r="R680" s="295"/>
    </row>
    <row r="681">
      <c r="A681" s="284">
        <v>678.0</v>
      </c>
      <c r="B681" s="285" t="s">
        <v>287</v>
      </c>
      <c r="C681" s="285" t="s">
        <v>1652</v>
      </c>
      <c r="D681" s="286" t="s">
        <v>10138</v>
      </c>
      <c r="E681" s="285" t="s">
        <v>6933</v>
      </c>
      <c r="F681" s="285" t="s">
        <v>12561</v>
      </c>
      <c r="G681" s="285" t="s">
        <v>12562</v>
      </c>
      <c r="H681" s="285" t="s">
        <v>12563</v>
      </c>
      <c r="I681" s="285" t="s">
        <v>291</v>
      </c>
      <c r="J681" s="285" t="s">
        <v>5012</v>
      </c>
      <c r="K681" s="285" t="s">
        <v>10088</v>
      </c>
      <c r="L681" s="285" t="s">
        <v>3773</v>
      </c>
      <c r="M681" s="285" t="s">
        <v>9383</v>
      </c>
      <c r="N681" s="287" t="str">
        <f>IFERROR(
    IF(
        AND(
            VLOOKUP(B681, 'รายชื่อพนักงานลาออกพ้นสภาพ'!B:I, 8, FALSE)&lt;&gt;"ยกเลิกลาออก",
            VLOOKUP(B681, 'รายชื่อพนักงานลาออกพ้นสภาพ'!B:I, 7, FALSE)&lt;=TODAY()
        ),
        "ลาออกแล้ว",
        ""
    ),
"")</f>
        <v>ลาออกแล้ว</v>
      </c>
      <c r="O681" s="292" t="str">
        <f t="array" ref="O681">IFERROR(INDEX(PCRent!C:D, MATCH(F681 &amp; " " &amp; G681, PCRent!A:A &amp; " " &amp; PCRent!B:B, 0)), "")</f>
        <v/>
      </c>
      <c r="P681" s="293"/>
      <c r="Q681" s="294" t="str">
        <f t="array" ref="Q681">IFERROR(INDEX(MonitorRent!C:D, MATCH(F681 &amp; " " &amp; G681, MonitorRent!A:A &amp; " " &amp; MonitorRent!B:B, 0)), "")</f>
        <v/>
      </c>
      <c r="R681" s="295"/>
    </row>
    <row r="682">
      <c r="A682" s="284">
        <v>679.0</v>
      </c>
      <c r="B682" s="285" t="s">
        <v>12564</v>
      </c>
      <c r="C682" s="285" t="s">
        <v>1652</v>
      </c>
      <c r="D682" s="286" t="s">
        <v>9547</v>
      </c>
      <c r="E682" s="285" t="s">
        <v>6933</v>
      </c>
      <c r="F682" s="285" t="s">
        <v>12565</v>
      </c>
      <c r="G682" s="285" t="s">
        <v>12566</v>
      </c>
      <c r="H682" s="285" t="s">
        <v>12567</v>
      </c>
      <c r="I682" s="285" t="s">
        <v>12568</v>
      </c>
      <c r="J682" s="285" t="s">
        <v>5012</v>
      </c>
      <c r="K682" s="285" t="s">
        <v>12546</v>
      </c>
      <c r="L682" s="285" t="s">
        <v>4319</v>
      </c>
      <c r="M682" s="285" t="s">
        <v>9391</v>
      </c>
      <c r="N682" s="287" t="str">
        <f>IFERROR(
    IF(
        AND(
            VLOOKUP(B682, 'รายชื่อพนักงานลาออกพ้นสภาพ'!B:I, 8, FALSE)&lt;&gt;"ยกเลิกลาออก",
            VLOOKUP(B682, 'รายชื่อพนักงานลาออกพ้นสภาพ'!B:I, 7, FALSE)&lt;=TODAY()
        ),
        "ลาออกแล้ว",
        ""
    ),
"")</f>
        <v/>
      </c>
      <c r="O682" s="292" t="str">
        <f t="array" ref="O682">IFERROR(INDEX(PCRent!C:D, MATCH(F682 &amp; " " &amp; G682, PCRent!A:A &amp; " " &amp; PCRent!B:B, 0)), "")</f>
        <v/>
      </c>
      <c r="P682" s="293"/>
      <c r="Q682" s="294" t="str">
        <f t="array" ref="Q682">IFERROR(INDEX(MonitorRent!C:D, MATCH(F682 &amp; " " &amp; G682, MonitorRent!A:A &amp; " " &amp; MonitorRent!B:B, 0)), "")</f>
        <v/>
      </c>
      <c r="R682" s="295"/>
    </row>
    <row r="683">
      <c r="A683" s="284">
        <v>680.0</v>
      </c>
      <c r="B683" s="285" t="s">
        <v>12569</v>
      </c>
      <c r="C683" s="285" t="s">
        <v>1652</v>
      </c>
      <c r="D683" s="286" t="s">
        <v>10063</v>
      </c>
      <c r="E683" s="285" t="s">
        <v>6933</v>
      </c>
      <c r="F683" s="285" t="s">
        <v>12570</v>
      </c>
      <c r="G683" s="285" t="s">
        <v>12571</v>
      </c>
      <c r="H683" s="285" t="s">
        <v>12572</v>
      </c>
      <c r="I683" s="285" t="s">
        <v>12573</v>
      </c>
      <c r="J683" s="285" t="s">
        <v>5012</v>
      </c>
      <c r="K683" s="285" t="s">
        <v>12574</v>
      </c>
      <c r="L683" s="285" t="s">
        <v>368</v>
      </c>
      <c r="M683" s="285" t="s">
        <v>9391</v>
      </c>
      <c r="N683" s="287" t="str">
        <f>IFERROR(
    IF(
        AND(
            VLOOKUP(B683, 'รายชื่อพนักงานลาออกพ้นสภาพ'!B:I, 8, FALSE)&lt;&gt;"ยกเลิกลาออก",
            VLOOKUP(B683, 'รายชื่อพนักงานลาออกพ้นสภาพ'!B:I, 7, FALSE)&lt;=TODAY()
        ),
        "ลาออกแล้ว",
        ""
    ),
"")</f>
        <v/>
      </c>
      <c r="O683" s="292" t="str">
        <f t="array" ref="O683:P683">IFERROR(INDEX(PCRent!C:D, MATCH(F683 &amp; " " &amp; G683, PCRent!A:A &amp; " " &amp; PCRent!B:B, 0)), "")</f>
        <v>SN:MP283454</v>
      </c>
      <c r="P683" s="293" t="s">
        <v>6993</v>
      </c>
      <c r="Q683" s="294" t="str">
        <f t="array" ref="Q683">IFERROR(INDEX(MonitorRent!C:D, MATCH(F683 &amp; " " &amp; G683, MonitorRent!A:A &amp; " " &amp; MonitorRent!B:B, 0)), "")</f>
        <v/>
      </c>
      <c r="R683" s="295"/>
    </row>
    <row r="684">
      <c r="A684" s="284">
        <v>681.0</v>
      </c>
      <c r="B684" s="285" t="s">
        <v>12575</v>
      </c>
      <c r="C684" s="285" t="s">
        <v>1652</v>
      </c>
      <c r="D684" s="286" t="s">
        <v>12529</v>
      </c>
      <c r="E684" s="285" t="s">
        <v>6921</v>
      </c>
      <c r="F684" s="285" t="s">
        <v>12576</v>
      </c>
      <c r="G684" s="285" t="s">
        <v>12577</v>
      </c>
      <c r="H684" s="285" t="s">
        <v>12578</v>
      </c>
      <c r="I684" s="285" t="s">
        <v>12579</v>
      </c>
      <c r="J684" s="285" t="s">
        <v>5012</v>
      </c>
      <c r="K684" s="285" t="s">
        <v>12580</v>
      </c>
      <c r="L684" s="285" t="s">
        <v>368</v>
      </c>
      <c r="M684" s="285" t="s">
        <v>9383</v>
      </c>
      <c r="N684" s="287" t="str">
        <f>IFERROR(
    IF(
        AND(
            VLOOKUP(B684, 'รายชื่อพนักงานลาออกพ้นสภาพ'!B:I, 8, FALSE)&lt;&gt;"ยกเลิกลาออก",
            VLOOKUP(B684, 'รายชื่อพนักงานลาออกพ้นสภาพ'!B:I, 7, FALSE)&lt;=TODAY()
        ),
        "ลาออกแล้ว",
        ""
    ),
"")</f>
        <v/>
      </c>
      <c r="O684" s="292" t="str">
        <f t="array" ref="O684:P684">IFERROR(INDEX(PCRent!C:D, MATCH(F684 &amp; " " &amp; G684, PCRent!A:A &amp; " " &amp; PCRent!B:B, 0)), "")</f>
        <v>SN:3ZYNPY3</v>
      </c>
      <c r="P684" s="293" t="s">
        <v>7048</v>
      </c>
      <c r="Q684" s="294" t="str">
        <f t="array" ref="Q684:R684">IFERROR(INDEX(MonitorRent!C:D, MATCH(F684 &amp; " " &amp; G684, MonitorRent!A:A &amp; " " &amp; MonitorRent!B:B, 0)), "")</f>
        <v>SN:DQW5ZV3</v>
      </c>
      <c r="R684" s="295" t="s">
        <v>7050</v>
      </c>
    </row>
    <row r="685">
      <c r="A685" s="284">
        <v>682.0</v>
      </c>
      <c r="B685" s="285" t="s">
        <v>12581</v>
      </c>
      <c r="C685" s="285" t="s">
        <v>1652</v>
      </c>
      <c r="D685" s="286" t="s">
        <v>10690</v>
      </c>
      <c r="E685" s="285" t="s">
        <v>6921</v>
      </c>
      <c r="F685" s="285" t="s">
        <v>12582</v>
      </c>
      <c r="G685" s="285" t="s">
        <v>12583</v>
      </c>
      <c r="H685" s="285" t="s">
        <v>12007</v>
      </c>
      <c r="I685" s="285" t="s">
        <v>12584</v>
      </c>
      <c r="J685" s="285" t="s">
        <v>5012</v>
      </c>
      <c r="K685" s="285" t="s">
        <v>4749</v>
      </c>
      <c r="L685" s="285" t="s">
        <v>2047</v>
      </c>
      <c r="M685" s="285" t="s">
        <v>9391</v>
      </c>
      <c r="N685" s="287" t="str">
        <f>IFERROR(
    IF(
        AND(
            VLOOKUP(B685, 'รายชื่อพนักงานลาออกพ้นสภาพ'!B:I, 8, FALSE)&lt;&gt;"ยกเลิกลาออก",
            VLOOKUP(B685, 'รายชื่อพนักงานลาออกพ้นสภาพ'!B:I, 7, FALSE)&lt;=TODAY()
        ),
        "ลาออกแล้ว",
        ""
    ),
"")</f>
        <v/>
      </c>
      <c r="O685" s="292" t="str">
        <f t="array" ref="O685">IFERROR(INDEX(PCRent!C:D, MATCH(F685 &amp; " " &amp; G685, PCRent!A:A &amp; " " &amp; PCRent!B:B, 0)), "")</f>
        <v/>
      </c>
      <c r="P685" s="293"/>
      <c r="Q685" s="294" t="str">
        <f t="array" ref="Q685">IFERROR(INDEX(MonitorRent!C:D, MATCH(F685 &amp; " " &amp; G685, MonitorRent!A:A &amp; " " &amp; MonitorRent!B:B, 0)), "")</f>
        <v/>
      </c>
      <c r="R685" s="295"/>
    </row>
    <row r="686">
      <c r="A686" s="284">
        <v>683.0</v>
      </c>
      <c r="B686" s="285" t="s">
        <v>948</v>
      </c>
      <c r="C686" s="285" t="s">
        <v>7124</v>
      </c>
      <c r="D686" s="286" t="s">
        <v>9583</v>
      </c>
      <c r="E686" s="285" t="s">
        <v>6933</v>
      </c>
      <c r="F686" s="285" t="s">
        <v>12585</v>
      </c>
      <c r="G686" s="285" t="s">
        <v>12586</v>
      </c>
      <c r="H686" s="285" t="s">
        <v>11289</v>
      </c>
      <c r="I686" s="285" t="s">
        <v>952</v>
      </c>
      <c r="J686" s="285" t="s">
        <v>5224</v>
      </c>
      <c r="K686" s="285" t="s">
        <v>12587</v>
      </c>
      <c r="L686" s="285" t="s">
        <v>7514</v>
      </c>
      <c r="M686" s="285" t="s">
        <v>9383</v>
      </c>
      <c r="N686" s="287" t="str">
        <f>IFERROR(
    IF(
        AND(
            VLOOKUP(B686, 'รายชื่อพนักงานลาออกพ้นสภาพ'!B:I, 8, FALSE)&lt;&gt;"ยกเลิกลาออก",
            VLOOKUP(B686, 'รายชื่อพนักงานลาออกพ้นสภาพ'!B:I, 7, FALSE)&lt;=TODAY()
        ),
        "ลาออกแล้ว",
        ""
    ),
"")</f>
        <v/>
      </c>
      <c r="O686" s="292" t="str">
        <f t="array" ref="O686:P686">IFERROR(INDEX(PCRent!C:D, MATCH(F686 &amp; " " &amp; G686, PCRent!A:A &amp; " " &amp; PCRent!B:B, 0)), "")</f>
        <v>SN:MP2ETFC2</v>
      </c>
      <c r="P686" s="293" t="s">
        <v>7070</v>
      </c>
      <c r="Q686" s="294" t="str">
        <f t="array" ref="Q686">IFERROR(INDEX(MonitorRent!C:D, MATCH(F686 &amp; " " &amp; G686, MonitorRent!A:A &amp; " " &amp; MonitorRent!B:B, 0)), "")</f>
        <v/>
      </c>
      <c r="R686" s="295"/>
    </row>
    <row r="687">
      <c r="A687" s="284">
        <v>684.0</v>
      </c>
      <c r="B687" s="285" t="s">
        <v>3450</v>
      </c>
      <c r="C687" s="285" t="s">
        <v>7124</v>
      </c>
      <c r="D687" s="286" t="s">
        <v>9688</v>
      </c>
      <c r="E687" s="285" t="s">
        <v>6921</v>
      </c>
      <c r="F687" s="285" t="s">
        <v>12588</v>
      </c>
      <c r="G687" s="285" t="s">
        <v>12589</v>
      </c>
      <c r="H687" s="285" t="s">
        <v>9754</v>
      </c>
      <c r="I687" s="285" t="s">
        <v>6507</v>
      </c>
      <c r="J687" s="285" t="s">
        <v>5224</v>
      </c>
      <c r="K687" s="285" t="s">
        <v>2062</v>
      </c>
      <c r="L687" s="285" t="s">
        <v>7514</v>
      </c>
      <c r="M687" s="285" t="s">
        <v>9383</v>
      </c>
      <c r="N687" s="287" t="str">
        <f>IFERROR(
    IF(
        AND(
            VLOOKUP(B687, 'รายชื่อพนักงานลาออกพ้นสภาพ'!B:I, 8, FALSE)&lt;&gt;"ยกเลิกลาออก",
            VLOOKUP(B687, 'รายชื่อพนักงานลาออกพ้นสภาพ'!B:I, 7, FALSE)&lt;=TODAY()
        ),
        "ลาออกแล้ว",
        ""
    ),
"")</f>
        <v/>
      </c>
      <c r="O687" s="292" t="str">
        <f t="array" ref="O687:P687">IFERROR(INDEX(PCRent!C:D, MATCH(F687 &amp; " " &amp; G687, PCRent!A:A &amp; " " &amp; PCRent!B:B, 0)), "")</f>
        <v>SN:MP2ESVKP</v>
      </c>
      <c r="P687" s="293" t="s">
        <v>7070</v>
      </c>
      <c r="Q687" s="294" t="str">
        <f t="array" ref="Q687">IFERROR(INDEX(MonitorRent!C:D, MATCH(F687 &amp; " " &amp; G687, MonitorRent!A:A &amp; " " &amp; MonitorRent!B:B, 0)), "")</f>
        <v/>
      </c>
      <c r="R687" s="295"/>
    </row>
    <row r="688">
      <c r="A688" s="284">
        <v>685.0</v>
      </c>
      <c r="B688" s="285" t="s">
        <v>12590</v>
      </c>
      <c r="C688" s="285" t="s">
        <v>7124</v>
      </c>
      <c r="D688" s="286" t="s">
        <v>9495</v>
      </c>
      <c r="E688" s="285" t="s">
        <v>9496</v>
      </c>
      <c r="F688" s="285" t="s">
        <v>9497</v>
      </c>
      <c r="G688" s="285" t="s">
        <v>9498</v>
      </c>
      <c r="H688" s="296"/>
      <c r="I688" s="296"/>
      <c r="J688" s="285" t="s">
        <v>5224</v>
      </c>
      <c r="K688" s="285" t="s">
        <v>9425</v>
      </c>
      <c r="L688" s="285" t="s">
        <v>8655</v>
      </c>
      <c r="M688" s="285" t="s">
        <v>9383</v>
      </c>
      <c r="N688" s="287" t="str">
        <f>IFERROR(
    IF(
        AND(
            VLOOKUP(B688, 'รายชื่อพนักงานลาออกพ้นสภาพ'!B:I, 8, FALSE)&lt;&gt;"ยกเลิกลาออก",
            VLOOKUP(B688, 'รายชื่อพนักงานลาออกพ้นสภาพ'!B:I, 7, FALSE)&lt;=TODAY()
        ),
        "ลาออกแล้ว",
        ""
    ),
"")</f>
        <v/>
      </c>
      <c r="O688" s="292" t="str">
        <f t="array" ref="O688">IFERROR(INDEX(PCRent!C:D, MATCH(F688 &amp; " " &amp; G688, PCRent!A:A &amp; " " &amp; PCRent!B:B, 0)), "")</f>
        <v/>
      </c>
      <c r="P688" s="293"/>
      <c r="Q688" s="294" t="str">
        <f t="array" ref="Q688">IFERROR(INDEX(MonitorRent!C:D, MATCH(F688 &amp; " " &amp; G688, MonitorRent!A:A &amp; " " &amp; MonitorRent!B:B, 0)), "")</f>
        <v/>
      </c>
      <c r="R688" s="295"/>
    </row>
    <row r="689">
      <c r="A689" s="284">
        <v>686.0</v>
      </c>
      <c r="B689" s="285" t="s">
        <v>12591</v>
      </c>
      <c r="C689" s="285" t="s">
        <v>7124</v>
      </c>
      <c r="D689" s="286" t="s">
        <v>12592</v>
      </c>
      <c r="E689" s="285" t="s">
        <v>6921</v>
      </c>
      <c r="F689" s="285" t="s">
        <v>12593</v>
      </c>
      <c r="G689" s="285" t="s">
        <v>12594</v>
      </c>
      <c r="H689" s="285" t="s">
        <v>12595</v>
      </c>
      <c r="I689" s="285" t="s">
        <v>12596</v>
      </c>
      <c r="J689" s="285" t="s">
        <v>5224</v>
      </c>
      <c r="K689" s="285" t="s">
        <v>1386</v>
      </c>
      <c r="L689" s="285" t="s">
        <v>7264</v>
      </c>
      <c r="M689" s="285" t="s">
        <v>9391</v>
      </c>
      <c r="N689" s="287" t="str">
        <f>IFERROR(
    IF(
        AND(
            VLOOKUP(B689, 'รายชื่อพนักงานลาออกพ้นสภาพ'!B:I, 8, FALSE)&lt;&gt;"ยกเลิกลาออก",
            VLOOKUP(B689, 'รายชื่อพนักงานลาออกพ้นสภาพ'!B:I, 7, FALSE)&lt;=TODAY()
        ),
        "ลาออกแล้ว",
        ""
    ),
"")</f>
        <v/>
      </c>
      <c r="O689" s="292" t="str">
        <f t="array" ref="O689">IFERROR(INDEX(PCRent!C:D, MATCH(F689 &amp; " " &amp; G689, PCRent!A:A &amp; " " &amp; PCRent!B:B, 0)), "")</f>
        <v/>
      </c>
      <c r="P689" s="293"/>
      <c r="Q689" s="294" t="str">
        <f t="array" ref="Q689">IFERROR(INDEX(MonitorRent!C:D, MATCH(F689 &amp; " " &amp; G689, MonitorRent!A:A &amp; " " &amp; MonitorRent!B:B, 0)), "")</f>
        <v/>
      </c>
      <c r="R689" s="295"/>
    </row>
    <row r="690">
      <c r="A690" s="284">
        <v>687.0</v>
      </c>
      <c r="B690" s="285" t="s">
        <v>12597</v>
      </c>
      <c r="C690" s="285" t="s">
        <v>7124</v>
      </c>
      <c r="D690" s="286" t="s">
        <v>12598</v>
      </c>
      <c r="E690" s="285" t="s">
        <v>6921</v>
      </c>
      <c r="F690" s="285" t="s">
        <v>12599</v>
      </c>
      <c r="G690" s="285" t="s">
        <v>12600</v>
      </c>
      <c r="H690" s="285" t="s">
        <v>12601</v>
      </c>
      <c r="I690" s="285" t="s">
        <v>12602</v>
      </c>
      <c r="J690" s="285" t="s">
        <v>5224</v>
      </c>
      <c r="K690" s="285" t="s">
        <v>9649</v>
      </c>
      <c r="L690" s="285" t="s">
        <v>7264</v>
      </c>
      <c r="M690" s="285" t="s">
        <v>9391</v>
      </c>
      <c r="N690" s="287" t="str">
        <f>IFERROR(
    IF(
        AND(
            VLOOKUP(B690, 'รายชื่อพนักงานลาออกพ้นสภาพ'!B:I, 8, FALSE)&lt;&gt;"ยกเลิกลาออก",
            VLOOKUP(B690, 'รายชื่อพนักงานลาออกพ้นสภาพ'!B:I, 7, FALSE)&lt;=TODAY()
        ),
        "ลาออกแล้ว",
        ""
    ),
"")</f>
        <v/>
      </c>
      <c r="O690" s="292" t="str">
        <f t="array" ref="O690:P690">IFERROR(INDEX(PCRent!C:D, MATCH(F690 &amp; " " &amp; G690, PCRent!A:A &amp; " " &amp; PCRent!B:B, 0)), "")</f>
        <v>SN:55RD314</v>
      </c>
      <c r="P690" s="293" t="s">
        <v>7048</v>
      </c>
      <c r="Q690" s="294" t="str">
        <f t="array" ref="Q690:R690">IFERROR(INDEX(MonitorRent!C:D, MATCH(F690 &amp; " " &amp; G690, MonitorRent!A:A &amp; " " &amp; MonitorRent!B:B, 0)), "")</f>
        <v>SN:7PSVGZ3</v>
      </c>
      <c r="R690" s="295" t="s">
        <v>9397</v>
      </c>
    </row>
    <row r="691">
      <c r="A691" s="284">
        <v>688.0</v>
      </c>
      <c r="B691" s="285" t="s">
        <v>7347</v>
      </c>
      <c r="C691" s="285" t="s">
        <v>7124</v>
      </c>
      <c r="D691" s="286" t="s">
        <v>12603</v>
      </c>
      <c r="E691" s="285" t="s">
        <v>6921</v>
      </c>
      <c r="F691" s="285" t="s">
        <v>12604</v>
      </c>
      <c r="G691" s="285" t="s">
        <v>12605</v>
      </c>
      <c r="H691" s="285" t="s">
        <v>10765</v>
      </c>
      <c r="I691" s="285" t="s">
        <v>12606</v>
      </c>
      <c r="J691" s="285" t="s">
        <v>5224</v>
      </c>
      <c r="K691" s="285" t="s">
        <v>4835</v>
      </c>
      <c r="L691" s="285" t="s">
        <v>7264</v>
      </c>
      <c r="M691" s="285" t="s">
        <v>9383</v>
      </c>
      <c r="N691" s="287" t="str">
        <f>IFERROR(
    IF(
        AND(
            VLOOKUP(B691, 'รายชื่อพนักงานลาออกพ้นสภาพ'!B:I, 8, FALSE)&lt;&gt;"ยกเลิกลาออก",
            VLOOKUP(B691, 'รายชื่อพนักงานลาออกพ้นสภาพ'!B:I, 7, FALSE)&lt;=TODAY()
        ),
        "ลาออกแล้ว",
        ""
    ),
"")</f>
        <v/>
      </c>
      <c r="O691" s="292" t="str">
        <f t="array" ref="O691:P691">IFERROR(INDEX(PCRent!C:D, MATCH(F691 &amp; " " &amp; G691, PCRent!A:A &amp; " " &amp; PCRent!B:B, 0)), "")</f>
        <v>SN:C1QD314</v>
      </c>
      <c r="P691" s="293" t="s">
        <v>7048</v>
      </c>
      <c r="Q691" s="294" t="str">
        <f t="array" ref="Q691:R691">IFERROR(INDEX(MonitorRent!C:D, MATCH(F691 &amp; " " &amp; G691, MonitorRent!A:A &amp; " " &amp; MonitorRent!B:B, 0)), "")</f>
        <v>SN:7PMVGZ3</v>
      </c>
      <c r="R691" s="295" t="s">
        <v>9397</v>
      </c>
    </row>
    <row r="692">
      <c r="A692" s="284">
        <v>689.0</v>
      </c>
      <c r="B692" s="285" t="s">
        <v>12607</v>
      </c>
      <c r="C692" s="285" t="s">
        <v>7124</v>
      </c>
      <c r="D692" s="286" t="s">
        <v>10690</v>
      </c>
      <c r="E692" s="285" t="s">
        <v>6921</v>
      </c>
      <c r="F692" s="285" t="s">
        <v>12608</v>
      </c>
      <c r="G692" s="285" t="s">
        <v>12609</v>
      </c>
      <c r="H692" s="285" t="s">
        <v>12610</v>
      </c>
      <c r="I692" s="285" t="s">
        <v>12611</v>
      </c>
      <c r="J692" s="285" t="s">
        <v>5224</v>
      </c>
      <c r="K692" s="285" t="s">
        <v>9649</v>
      </c>
      <c r="L692" s="285" t="s">
        <v>7264</v>
      </c>
      <c r="M692" s="285" t="s">
        <v>9391</v>
      </c>
      <c r="N692" s="287" t="str">
        <f>IFERROR(
    IF(
        AND(
            VLOOKUP(B692, 'รายชื่อพนักงานลาออกพ้นสภาพ'!B:I, 8, FALSE)&lt;&gt;"ยกเลิกลาออก",
            VLOOKUP(B692, 'รายชื่อพนักงานลาออกพ้นสภาพ'!B:I, 7, FALSE)&lt;=TODAY()
        ),
        "ลาออกแล้ว",
        ""
    ),
"")</f>
        <v/>
      </c>
      <c r="O692" s="292" t="str">
        <f t="array" ref="O692:P692">IFERROR(INDEX(PCRent!C:D, MATCH(F692 &amp; " " &amp; G692, PCRent!A:A &amp; " " &amp; PCRent!B:B, 0)), "")</f>
        <v>SN:GJT2CZ3</v>
      </c>
      <c r="P692" s="293" t="s">
        <v>7048</v>
      </c>
      <c r="Q692" s="294" t="str">
        <f t="array" ref="Q692:R692">IFERROR(INDEX(MonitorRent!C:D, MATCH(F692 &amp; " " &amp; G692, MonitorRent!A:A &amp; " " &amp; MonitorRent!B:B, 0)), "")</f>
        <v>SN:DL0J8X3</v>
      </c>
      <c r="R692" s="295" t="s">
        <v>7050</v>
      </c>
    </row>
    <row r="693">
      <c r="A693" s="284">
        <v>690.0</v>
      </c>
      <c r="B693" s="285" t="s">
        <v>7337</v>
      </c>
      <c r="C693" s="285" t="s">
        <v>7124</v>
      </c>
      <c r="D693" s="286" t="s">
        <v>12612</v>
      </c>
      <c r="E693" s="285" t="s">
        <v>6921</v>
      </c>
      <c r="F693" s="285" t="s">
        <v>12045</v>
      </c>
      <c r="G693" s="285" t="s">
        <v>12613</v>
      </c>
      <c r="H693" s="285" t="s">
        <v>10749</v>
      </c>
      <c r="I693" s="285" t="s">
        <v>12614</v>
      </c>
      <c r="J693" s="285" t="s">
        <v>5224</v>
      </c>
      <c r="K693" s="285" t="s">
        <v>4835</v>
      </c>
      <c r="L693" s="285" t="s">
        <v>1167</v>
      </c>
      <c r="M693" s="285" t="s">
        <v>9383</v>
      </c>
      <c r="N693" s="287" t="str">
        <f>IFERROR(
    IF(
        AND(
            VLOOKUP(B693, 'รายชื่อพนักงานลาออกพ้นสภาพ'!B:I, 8, FALSE)&lt;&gt;"ยกเลิกลาออก",
            VLOOKUP(B693, 'รายชื่อพนักงานลาออกพ้นสภาพ'!B:I, 7, FALSE)&lt;=TODAY()
        ),
        "ลาออกแล้ว",
        ""
    ),
"")</f>
        <v/>
      </c>
      <c r="O693" s="292" t="str">
        <f t="array" ref="O693:P693">IFERROR(INDEX(PCRent!C:D, MATCH(F693 &amp; " " &amp; G693, PCRent!A:A &amp; " " &amp; PCRent!B:B, 0)), "")</f>
        <v>SN:MP2EJ2WV</v>
      </c>
      <c r="P693" s="293" t="s">
        <v>6993</v>
      </c>
      <c r="Q693" s="294" t="str">
        <f t="array" ref="Q693">IFERROR(INDEX(MonitorRent!C:D, MATCH(F693 &amp; " " &amp; G693, MonitorRent!A:A &amp; " " &amp; MonitorRent!B:B, 0)), "")</f>
        <v/>
      </c>
      <c r="R693" s="295"/>
    </row>
    <row r="694">
      <c r="A694" s="284">
        <v>691.0</v>
      </c>
      <c r="B694" s="285" t="s">
        <v>7262</v>
      </c>
      <c r="C694" s="285" t="s">
        <v>7124</v>
      </c>
      <c r="D694" s="286" t="s">
        <v>12615</v>
      </c>
      <c r="E694" s="285" t="s">
        <v>6921</v>
      </c>
      <c r="F694" s="285" t="s">
        <v>12616</v>
      </c>
      <c r="G694" s="285" t="s">
        <v>12617</v>
      </c>
      <c r="H694" s="285" t="s">
        <v>9501</v>
      </c>
      <c r="I694" s="285" t="s">
        <v>12618</v>
      </c>
      <c r="J694" s="285" t="s">
        <v>5224</v>
      </c>
      <c r="K694" s="285" t="s">
        <v>4749</v>
      </c>
      <c r="L694" s="285" t="s">
        <v>7264</v>
      </c>
      <c r="M694" s="285" t="s">
        <v>9383</v>
      </c>
      <c r="N694" s="287" t="str">
        <f>IFERROR(
    IF(
        AND(
            VLOOKUP(B694, 'รายชื่อพนักงานลาออกพ้นสภาพ'!B:I, 8, FALSE)&lt;&gt;"ยกเลิกลาออก",
            VLOOKUP(B694, 'รายชื่อพนักงานลาออกพ้นสภาพ'!B:I, 7, FALSE)&lt;=TODAY()
        ),
        "ลาออกแล้ว",
        ""
    ),
"")</f>
        <v/>
      </c>
      <c r="O694" s="292" t="str">
        <f t="array" ref="O694:P694">IFERROR(INDEX(PCRent!C:D, MATCH(F694 &amp; " " &amp; G694, PCRent!A:A &amp; " " &amp; PCRent!B:B, 0)), "")</f>
        <v>SN:PF3A18G4</v>
      </c>
      <c r="P694" s="293" t="s">
        <v>7005</v>
      </c>
      <c r="Q694" s="294" t="str">
        <f t="array" ref="Q694">IFERROR(INDEX(MonitorRent!C:D, MATCH(F694 &amp; " " &amp; G694, MonitorRent!A:A &amp; " " &amp; MonitorRent!B:B, 0)), "")</f>
        <v/>
      </c>
      <c r="R694" s="295"/>
    </row>
    <row r="695">
      <c r="A695" s="284">
        <v>692.0</v>
      </c>
      <c r="B695" s="285" t="s">
        <v>7273</v>
      </c>
      <c r="C695" s="285" t="s">
        <v>7124</v>
      </c>
      <c r="D695" s="286" t="s">
        <v>11125</v>
      </c>
      <c r="E695" s="285" t="s">
        <v>6921</v>
      </c>
      <c r="F695" s="285" t="s">
        <v>12619</v>
      </c>
      <c r="G695" s="285" t="s">
        <v>12620</v>
      </c>
      <c r="H695" s="285" t="s">
        <v>9586</v>
      </c>
      <c r="I695" s="285" t="s">
        <v>12621</v>
      </c>
      <c r="J695" s="285" t="s">
        <v>5224</v>
      </c>
      <c r="K695" s="285" t="s">
        <v>12414</v>
      </c>
      <c r="L695" s="285" t="s">
        <v>7264</v>
      </c>
      <c r="M695" s="285" t="s">
        <v>9383</v>
      </c>
      <c r="N695" s="287" t="str">
        <f>IFERROR(
    IF(
        AND(
            VLOOKUP(B695, 'รายชื่อพนักงานลาออกพ้นสภาพ'!B:I, 8, FALSE)&lt;&gt;"ยกเลิกลาออก",
            VLOOKUP(B695, 'รายชื่อพนักงานลาออกพ้นสภาพ'!B:I, 7, FALSE)&lt;=TODAY()
        ),
        "ลาออกแล้ว",
        ""
    ),
"")</f>
        <v/>
      </c>
      <c r="O695" s="292" t="str">
        <f t="array" ref="O695:P695">IFERROR(INDEX(PCRent!C:D, MATCH(F695 &amp; " " &amp; G695, PCRent!A:A &amp; " " &amp; PCRent!B:B, 0)), "")</f>
        <v>SN:BRRKQ04</v>
      </c>
      <c r="P695" s="293" t="s">
        <v>7048</v>
      </c>
      <c r="Q695" s="294" t="str">
        <f t="array" ref="Q695:R695">IFERROR(INDEX(MonitorRent!C:D, MATCH(F695 &amp; " " &amp; G695, MonitorRent!A:A &amp; " " &amp; MonitorRent!B:B, 0)), "")</f>
        <v>SN:91X6XY3</v>
      </c>
      <c r="R695" s="295" t="s">
        <v>9397</v>
      </c>
    </row>
    <row r="696">
      <c r="A696" s="284">
        <v>693.0</v>
      </c>
      <c r="B696" s="285" t="s">
        <v>349</v>
      </c>
      <c r="C696" s="285" t="s">
        <v>7277</v>
      </c>
      <c r="D696" s="286" t="s">
        <v>11125</v>
      </c>
      <c r="E696" s="285" t="s">
        <v>6933</v>
      </c>
      <c r="F696" s="285" t="s">
        <v>10247</v>
      </c>
      <c r="G696" s="285" t="s">
        <v>12622</v>
      </c>
      <c r="H696" s="285" t="s">
        <v>12623</v>
      </c>
      <c r="I696" s="285" t="s">
        <v>353</v>
      </c>
      <c r="J696" s="285" t="s">
        <v>5224</v>
      </c>
      <c r="K696" s="285" t="s">
        <v>12624</v>
      </c>
      <c r="L696" s="285" t="s">
        <v>352</v>
      </c>
      <c r="M696" s="285" t="s">
        <v>9383</v>
      </c>
      <c r="N696" s="287" t="str">
        <f>IFERROR(
    IF(
        AND(
            VLOOKUP(B696, 'รายชื่อพนักงานลาออกพ้นสภาพ'!B:I, 8, FALSE)&lt;&gt;"ยกเลิกลาออก",
            VLOOKUP(B696, 'รายชื่อพนักงานลาออกพ้นสภาพ'!B:I, 7, FALSE)&lt;=TODAY()
        ),
        "ลาออกแล้ว",
        ""
    ),
"")</f>
        <v>ลาออกแล้ว</v>
      </c>
      <c r="O696" s="292" t="str">
        <f t="array" ref="O696">IFERROR(INDEX(PCRent!C:D, MATCH(F696 &amp; " " &amp; G696, PCRent!A:A &amp; " " &amp; PCRent!B:B, 0)), "")</f>
        <v/>
      </c>
      <c r="P696" s="293"/>
      <c r="Q696" s="294" t="str">
        <f t="array" ref="Q696">IFERROR(INDEX(MonitorRent!C:D, MATCH(F696 &amp; " " &amp; G696, MonitorRent!A:A &amp; " " &amp; MonitorRent!B:B, 0)), "")</f>
        <v/>
      </c>
      <c r="R696" s="295"/>
    </row>
    <row r="697">
      <c r="A697" s="284">
        <v>694.0</v>
      </c>
      <c r="B697" s="285" t="s">
        <v>494</v>
      </c>
      <c r="C697" s="285" t="s">
        <v>7277</v>
      </c>
      <c r="D697" s="286" t="s">
        <v>12625</v>
      </c>
      <c r="E697" s="285" t="s">
        <v>6933</v>
      </c>
      <c r="F697" s="285" t="s">
        <v>3158</v>
      </c>
      <c r="G697" s="285" t="s">
        <v>12626</v>
      </c>
      <c r="H697" s="285" t="s">
        <v>12563</v>
      </c>
      <c r="I697" s="285" t="s">
        <v>497</v>
      </c>
      <c r="J697" s="285" t="s">
        <v>5224</v>
      </c>
      <c r="K697" s="285" t="s">
        <v>1412</v>
      </c>
      <c r="L697" s="285" t="s">
        <v>496</v>
      </c>
      <c r="M697" s="285" t="s">
        <v>9383</v>
      </c>
      <c r="N697" s="287" t="str">
        <f>IFERROR(
    IF(
        AND(
            VLOOKUP(B697, 'รายชื่อพนักงานลาออกพ้นสภาพ'!B:I, 8, FALSE)&lt;&gt;"ยกเลิกลาออก",
            VLOOKUP(B697, 'รายชื่อพนักงานลาออกพ้นสภาพ'!B:I, 7, FALSE)&lt;=TODAY()
        ),
        "ลาออกแล้ว",
        ""
    ),
"")</f>
        <v>ลาออกแล้ว</v>
      </c>
      <c r="O697" s="292" t="str">
        <f t="array" ref="O697">IFERROR(INDEX(PCRent!C:D, MATCH(F697 &amp; " " &amp; G697, PCRent!A:A &amp; " " &amp; PCRent!B:B, 0)), "")</f>
        <v/>
      </c>
      <c r="P697" s="293"/>
      <c r="Q697" s="294" t="str">
        <f t="array" ref="Q697">IFERROR(INDEX(MonitorRent!C:D, MATCH(F697 &amp; " " &amp; G697, MonitorRent!A:A &amp; " " &amp; MonitorRent!B:B, 0)), "")</f>
        <v/>
      </c>
      <c r="R697" s="295"/>
    </row>
    <row r="698">
      <c r="A698" s="284">
        <v>695.0</v>
      </c>
      <c r="B698" s="285" t="s">
        <v>12627</v>
      </c>
      <c r="C698" s="285" t="s">
        <v>7277</v>
      </c>
      <c r="D698" s="286" t="s">
        <v>12539</v>
      </c>
      <c r="E698" s="285" t="s">
        <v>6933</v>
      </c>
      <c r="F698" s="285" t="s">
        <v>12628</v>
      </c>
      <c r="G698" s="285" t="s">
        <v>10696</v>
      </c>
      <c r="H698" s="285" t="s">
        <v>9388</v>
      </c>
      <c r="I698" s="285" t="s">
        <v>5852</v>
      </c>
      <c r="J698" s="285" t="s">
        <v>5224</v>
      </c>
      <c r="K698" s="285" t="s">
        <v>1363</v>
      </c>
      <c r="L698" s="285" t="s">
        <v>496</v>
      </c>
      <c r="M698" s="285" t="s">
        <v>9383</v>
      </c>
      <c r="N698" s="287" t="str">
        <f>IFERROR(
    IF(
        AND(
            VLOOKUP(B698, 'รายชื่อพนักงานลาออกพ้นสภาพ'!B:I, 8, FALSE)&lt;&gt;"ยกเลิกลาออก",
            VLOOKUP(B698, 'รายชื่อพนักงานลาออกพ้นสภาพ'!B:I, 7, FALSE)&lt;=TODAY()
        ),
        "ลาออกแล้ว",
        ""
    ),
"")</f>
        <v/>
      </c>
      <c r="O698" s="292" t="str">
        <f t="array" ref="O698">IFERROR(INDEX(PCRent!C:D, MATCH(F698 &amp; " " &amp; G698, PCRent!A:A &amp; " " &amp; PCRent!B:B, 0)), "")</f>
        <v/>
      </c>
      <c r="P698" s="293"/>
      <c r="Q698" s="294" t="str">
        <f t="array" ref="Q698">IFERROR(INDEX(MonitorRent!C:D, MATCH(F698 &amp; " " &amp; G698, MonitorRent!A:A &amp; " " &amp; MonitorRent!B:B, 0)), "")</f>
        <v/>
      </c>
      <c r="R698" s="295"/>
    </row>
    <row r="699">
      <c r="A699" s="284">
        <v>696.0</v>
      </c>
      <c r="B699" s="285" t="s">
        <v>12629</v>
      </c>
      <c r="C699" s="285" t="s">
        <v>7277</v>
      </c>
      <c r="D699" s="286" t="s">
        <v>12630</v>
      </c>
      <c r="E699" s="285" t="s">
        <v>6933</v>
      </c>
      <c r="F699" s="285" t="s">
        <v>12631</v>
      </c>
      <c r="G699" s="285" t="s">
        <v>12632</v>
      </c>
      <c r="H699" s="285" t="s">
        <v>12633</v>
      </c>
      <c r="I699" s="285" t="s">
        <v>6355</v>
      </c>
      <c r="J699" s="285" t="s">
        <v>5224</v>
      </c>
      <c r="K699" s="285" t="s">
        <v>4749</v>
      </c>
      <c r="L699" s="285" t="s">
        <v>290</v>
      </c>
      <c r="M699" s="285" t="s">
        <v>9383</v>
      </c>
      <c r="N699" s="287" t="str">
        <f>IFERROR(
    IF(
        AND(
            VLOOKUP(B699, 'รายชื่อพนักงานลาออกพ้นสภาพ'!B:I, 8, FALSE)&lt;&gt;"ยกเลิกลาออก",
            VLOOKUP(B699, 'รายชื่อพนักงานลาออกพ้นสภาพ'!B:I, 7, FALSE)&lt;=TODAY()
        ),
        "ลาออกแล้ว",
        ""
    ),
"")</f>
        <v/>
      </c>
      <c r="O699" s="292" t="str">
        <f t="array" ref="O699">IFERROR(INDEX(PCRent!C:D, MATCH(F699 &amp; " " &amp; G699, PCRent!A:A &amp; " " &amp; PCRent!B:B, 0)), "")</f>
        <v/>
      </c>
      <c r="P699" s="293"/>
      <c r="Q699" s="294" t="str">
        <f t="array" ref="Q699">IFERROR(INDEX(MonitorRent!C:D, MATCH(F699 &amp; " " &amp; G699, MonitorRent!A:A &amp; " " &amp; MonitorRent!B:B, 0)), "")</f>
        <v/>
      </c>
      <c r="R699" s="295"/>
    </row>
    <row r="700">
      <c r="A700" s="284">
        <v>697.0</v>
      </c>
      <c r="B700" s="285" t="s">
        <v>12634</v>
      </c>
      <c r="C700" s="285" t="s">
        <v>7277</v>
      </c>
      <c r="D700" s="286" t="s">
        <v>10949</v>
      </c>
      <c r="E700" s="285" t="s">
        <v>6933</v>
      </c>
      <c r="F700" s="285" t="s">
        <v>10376</v>
      </c>
      <c r="G700" s="285" t="s">
        <v>12635</v>
      </c>
      <c r="H700" s="285" t="s">
        <v>12531</v>
      </c>
      <c r="I700" s="285" t="s">
        <v>12636</v>
      </c>
      <c r="J700" s="285" t="s">
        <v>5224</v>
      </c>
      <c r="K700" s="285" t="s">
        <v>12624</v>
      </c>
      <c r="L700" s="285" t="s">
        <v>352</v>
      </c>
      <c r="M700" s="285" t="s">
        <v>9383</v>
      </c>
      <c r="N700" s="287" t="str">
        <f>IFERROR(
    IF(
        AND(
            VLOOKUP(B700, 'รายชื่อพนักงานลาออกพ้นสภาพ'!B:I, 8, FALSE)&lt;&gt;"ยกเลิกลาออก",
            VLOOKUP(B700, 'รายชื่อพนักงานลาออกพ้นสภาพ'!B:I, 7, FALSE)&lt;=TODAY()
        ),
        "ลาออกแล้ว",
        ""
    ),
"")</f>
        <v/>
      </c>
      <c r="O700" s="292" t="str">
        <f t="array" ref="O700">IFERROR(INDEX(PCRent!C:D, MATCH(F700 &amp; " " &amp; G700, PCRent!A:A &amp; " " &amp; PCRent!B:B, 0)), "")</f>
        <v/>
      </c>
      <c r="P700" s="293"/>
      <c r="Q700" s="294" t="str">
        <f t="array" ref="Q700">IFERROR(INDEX(MonitorRent!C:D, MATCH(F700 &amp; " " &amp; G700, MonitorRent!A:A &amp; " " &amp; MonitorRent!B:B, 0)), "")</f>
        <v/>
      </c>
      <c r="R700" s="295"/>
    </row>
    <row r="701">
      <c r="A701" s="284">
        <v>698.0</v>
      </c>
      <c r="B701" s="285" t="s">
        <v>7320</v>
      </c>
      <c r="C701" s="285" t="s">
        <v>7277</v>
      </c>
      <c r="D701" s="286" t="s">
        <v>11381</v>
      </c>
      <c r="E701" s="285" t="s">
        <v>6921</v>
      </c>
      <c r="F701" s="285" t="s">
        <v>12637</v>
      </c>
      <c r="G701" s="285" t="s">
        <v>12638</v>
      </c>
      <c r="H701" s="285" t="s">
        <v>11710</v>
      </c>
      <c r="I701" s="285" t="s">
        <v>12639</v>
      </c>
      <c r="J701" s="285" t="s">
        <v>5224</v>
      </c>
      <c r="K701" s="285" t="s">
        <v>12640</v>
      </c>
      <c r="L701" s="285" t="s">
        <v>2919</v>
      </c>
      <c r="M701" s="285" t="s">
        <v>9383</v>
      </c>
      <c r="N701" s="287" t="str">
        <f>IFERROR(
    IF(
        AND(
            VLOOKUP(B701, 'รายชื่อพนักงานลาออกพ้นสภาพ'!B:I, 8, FALSE)&lt;&gt;"ยกเลิกลาออก",
            VLOOKUP(B701, 'รายชื่อพนักงานลาออกพ้นสภาพ'!B:I, 7, FALSE)&lt;=TODAY()
        ),
        "ลาออกแล้ว",
        ""
    ),
"")</f>
        <v/>
      </c>
      <c r="O701" s="292" t="str">
        <f t="array" ref="O701">IFERROR(INDEX(PCRent!C:D, MATCH(F701 &amp; " " &amp; G701, PCRent!A:A &amp; " " &amp; PCRent!B:B, 0)), "")</f>
        <v/>
      </c>
      <c r="P701" s="293"/>
      <c r="Q701" s="294" t="str">
        <f t="array" ref="Q701">IFERROR(INDEX(MonitorRent!C:D, MATCH(F701 &amp; " " &amp; G701, MonitorRent!A:A &amp; " " &amp; MonitorRent!B:B, 0)), "")</f>
        <v/>
      </c>
      <c r="R701" s="295"/>
    </row>
    <row r="702">
      <c r="A702" s="284">
        <v>699.0</v>
      </c>
      <c r="B702" s="285" t="s">
        <v>12641</v>
      </c>
      <c r="C702" s="285" t="s">
        <v>7277</v>
      </c>
      <c r="D702" s="286" t="s">
        <v>9594</v>
      </c>
      <c r="E702" s="285" t="s">
        <v>6933</v>
      </c>
      <c r="F702" s="285" t="s">
        <v>12642</v>
      </c>
      <c r="G702" s="285" t="s">
        <v>12643</v>
      </c>
      <c r="H702" s="285" t="s">
        <v>9430</v>
      </c>
      <c r="I702" s="285" t="s">
        <v>5906</v>
      </c>
      <c r="J702" s="285" t="s">
        <v>5224</v>
      </c>
      <c r="K702" s="285" t="s">
        <v>4818</v>
      </c>
      <c r="L702" s="285" t="s">
        <v>5834</v>
      </c>
      <c r="M702" s="285" t="s">
        <v>9383</v>
      </c>
      <c r="N702" s="287" t="str">
        <f>IFERROR(
    IF(
        AND(
            VLOOKUP(B702, 'รายชื่อพนักงานลาออกพ้นสภาพ'!B:I, 8, FALSE)&lt;&gt;"ยกเลิกลาออก",
            VLOOKUP(B702, 'รายชื่อพนักงานลาออกพ้นสภาพ'!B:I, 7, FALSE)&lt;=TODAY()
        ),
        "ลาออกแล้ว",
        ""
    ),
"")</f>
        <v/>
      </c>
      <c r="O702" s="292" t="str">
        <f t="array" ref="O702">IFERROR(INDEX(PCRent!C:D, MATCH(F702 &amp; " " &amp; G702, PCRent!A:A &amp; " " &amp; PCRent!B:B, 0)), "")</f>
        <v/>
      </c>
      <c r="P702" s="293"/>
      <c r="Q702" s="294" t="str">
        <f t="array" ref="Q702">IFERROR(INDEX(MonitorRent!C:D, MATCH(F702 &amp; " " &amp; G702, MonitorRent!A:A &amp; " " &amp; MonitorRent!B:B, 0)), "")</f>
        <v/>
      </c>
      <c r="R702" s="295"/>
    </row>
    <row r="703">
      <c r="A703" s="284">
        <v>700.0</v>
      </c>
      <c r="B703" s="285" t="s">
        <v>12644</v>
      </c>
      <c r="C703" s="285" t="s">
        <v>7277</v>
      </c>
      <c r="D703" s="286" t="s">
        <v>10758</v>
      </c>
      <c r="E703" s="285" t="s">
        <v>6933</v>
      </c>
      <c r="F703" s="285" t="s">
        <v>10905</v>
      </c>
      <c r="G703" s="285" t="s">
        <v>12645</v>
      </c>
      <c r="H703" s="285" t="s">
        <v>10374</v>
      </c>
      <c r="I703" s="285" t="s">
        <v>12646</v>
      </c>
      <c r="J703" s="285" t="s">
        <v>5224</v>
      </c>
      <c r="K703" s="285" t="s">
        <v>12624</v>
      </c>
      <c r="L703" s="285" t="s">
        <v>352</v>
      </c>
      <c r="M703" s="285" t="s">
        <v>9383</v>
      </c>
      <c r="N703" s="287" t="str">
        <f>IFERROR(
    IF(
        AND(
            VLOOKUP(B703, 'รายชื่อพนักงานลาออกพ้นสภาพ'!B:I, 8, FALSE)&lt;&gt;"ยกเลิกลาออก",
            VLOOKUP(B703, 'รายชื่อพนักงานลาออกพ้นสภาพ'!B:I, 7, FALSE)&lt;=TODAY()
        ),
        "ลาออกแล้ว",
        ""
    ),
"")</f>
        <v/>
      </c>
      <c r="O703" s="292" t="str">
        <f t="array" ref="O703">IFERROR(INDEX(PCRent!C:D, MATCH(F703 &amp; " " &amp; G703, PCRent!A:A &amp; " " &amp; PCRent!B:B, 0)), "")</f>
        <v/>
      </c>
      <c r="P703" s="293"/>
      <c r="Q703" s="294" t="str">
        <f t="array" ref="Q703">IFERROR(INDEX(MonitorRent!C:D, MATCH(F703 &amp; " " &amp; G703, MonitorRent!A:A &amp; " " &amp; MonitorRent!B:B, 0)), "")</f>
        <v/>
      </c>
      <c r="R703" s="295"/>
    </row>
    <row r="704">
      <c r="A704" s="284">
        <v>701.0</v>
      </c>
      <c r="B704" s="285" t="s">
        <v>12647</v>
      </c>
      <c r="C704" s="285" t="s">
        <v>7277</v>
      </c>
      <c r="D704" s="286" t="s">
        <v>10354</v>
      </c>
      <c r="E704" s="285" t="s">
        <v>6933</v>
      </c>
      <c r="F704" s="285" t="s">
        <v>12648</v>
      </c>
      <c r="G704" s="285" t="s">
        <v>12649</v>
      </c>
      <c r="H704" s="285" t="s">
        <v>12650</v>
      </c>
      <c r="I704" s="285" t="s">
        <v>12651</v>
      </c>
      <c r="J704" s="285" t="s">
        <v>5224</v>
      </c>
      <c r="K704" s="285" t="s">
        <v>12624</v>
      </c>
      <c r="L704" s="285" t="s">
        <v>352</v>
      </c>
      <c r="M704" s="285" t="s">
        <v>9383</v>
      </c>
      <c r="N704" s="287" t="str">
        <f>IFERROR(
    IF(
        AND(
            VLOOKUP(B704, 'รายชื่อพนักงานลาออกพ้นสภาพ'!B:I, 8, FALSE)&lt;&gt;"ยกเลิกลาออก",
            VLOOKUP(B704, 'รายชื่อพนักงานลาออกพ้นสภาพ'!B:I, 7, FALSE)&lt;=TODAY()
        ),
        "ลาออกแล้ว",
        ""
    ),
"")</f>
        <v/>
      </c>
      <c r="O704" s="292" t="str">
        <f t="array" ref="O704:P704">IFERROR(INDEX(PCRent!C:D, MATCH(F704 &amp; " " &amp; G704, PCRent!A:A &amp; " " &amp; PCRent!B:B, 0)), "")</f>
        <v>SN:MP2EJ2XV</v>
      </c>
      <c r="P704" s="293" t="s">
        <v>6993</v>
      </c>
      <c r="Q704" s="294" t="str">
        <f t="array" ref="Q704">IFERROR(INDEX(MonitorRent!C:D, MATCH(F704 &amp; " " &amp; G704, MonitorRent!A:A &amp; " " &amp; MonitorRent!B:B, 0)), "")</f>
        <v/>
      </c>
      <c r="R704" s="295"/>
    </row>
    <row r="705">
      <c r="A705" s="284">
        <v>702.0</v>
      </c>
      <c r="B705" s="285" t="s">
        <v>12652</v>
      </c>
      <c r="C705" s="285" t="s">
        <v>7277</v>
      </c>
      <c r="D705" s="286" t="s">
        <v>9415</v>
      </c>
      <c r="E705" s="285" t="s">
        <v>6933</v>
      </c>
      <c r="F705" s="285" t="s">
        <v>12653</v>
      </c>
      <c r="G705" s="285" t="s">
        <v>12654</v>
      </c>
      <c r="H705" s="285" t="s">
        <v>10741</v>
      </c>
      <c r="I705" s="285" t="s">
        <v>5859</v>
      </c>
      <c r="J705" s="285" t="s">
        <v>5224</v>
      </c>
      <c r="K705" s="285" t="s">
        <v>1363</v>
      </c>
      <c r="L705" s="285" t="s">
        <v>3769</v>
      </c>
      <c r="M705" s="285" t="s">
        <v>9383</v>
      </c>
      <c r="N705" s="287" t="str">
        <f>IFERROR(
    IF(
        AND(
            VLOOKUP(B705, 'รายชื่อพนักงานลาออกพ้นสภาพ'!B:I, 8, FALSE)&lt;&gt;"ยกเลิกลาออก",
            VLOOKUP(B705, 'รายชื่อพนักงานลาออกพ้นสภาพ'!B:I, 7, FALSE)&lt;=TODAY()
        ),
        "ลาออกแล้ว",
        ""
    ),
"")</f>
        <v/>
      </c>
      <c r="O705" s="292" t="str">
        <f t="array" ref="O705">IFERROR(INDEX(PCRent!C:D, MATCH(F705 &amp; " " &amp; G705, PCRent!A:A &amp; " " &amp; PCRent!B:B, 0)), "")</f>
        <v/>
      </c>
      <c r="P705" s="293"/>
      <c r="Q705" s="294" t="str">
        <f t="array" ref="Q705">IFERROR(INDEX(MonitorRent!C:D, MATCH(F705 &amp; " " &amp; G705, MonitorRent!A:A &amp; " " &amp; MonitorRent!B:B, 0)), "")</f>
        <v/>
      </c>
      <c r="R705" s="295"/>
    </row>
    <row r="706">
      <c r="A706" s="284">
        <v>703.0</v>
      </c>
      <c r="B706" s="285" t="s">
        <v>12655</v>
      </c>
      <c r="C706" s="285" t="s">
        <v>7277</v>
      </c>
      <c r="D706" s="286" t="s">
        <v>10485</v>
      </c>
      <c r="E706" s="285" t="s">
        <v>6921</v>
      </c>
      <c r="F706" s="285" t="s">
        <v>12656</v>
      </c>
      <c r="G706" s="285" t="s">
        <v>12657</v>
      </c>
      <c r="H706" s="285" t="s">
        <v>10817</v>
      </c>
      <c r="I706" s="285" t="s">
        <v>5869</v>
      </c>
      <c r="J706" s="285" t="s">
        <v>5224</v>
      </c>
      <c r="K706" s="285" t="s">
        <v>10068</v>
      </c>
      <c r="L706" s="285" t="s">
        <v>2915</v>
      </c>
      <c r="M706" s="285" t="s">
        <v>9383</v>
      </c>
      <c r="N706" s="287" t="str">
        <f>IFERROR(
    IF(
        AND(
            VLOOKUP(B706, 'รายชื่อพนักงานลาออกพ้นสภาพ'!B:I, 8, FALSE)&lt;&gt;"ยกเลิกลาออก",
            VLOOKUP(B706, 'รายชื่อพนักงานลาออกพ้นสภาพ'!B:I, 7, FALSE)&lt;=TODAY()
        ),
        "ลาออกแล้ว",
        ""
    ),
"")</f>
        <v/>
      </c>
      <c r="O706" s="292" t="str">
        <f t="array" ref="O706">IFERROR(INDEX(PCRent!C:D, MATCH(F706 &amp; " " &amp; G706, PCRent!A:A &amp; " " &amp; PCRent!B:B, 0)), "")</f>
        <v/>
      </c>
      <c r="P706" s="293"/>
      <c r="Q706" s="294" t="str">
        <f t="array" ref="Q706">IFERROR(INDEX(MonitorRent!C:D, MATCH(F706 &amp; " " &amp; G706, MonitorRent!A:A &amp; " " &amp; MonitorRent!B:B, 0)), "")</f>
        <v/>
      </c>
      <c r="R706" s="295"/>
    </row>
    <row r="707">
      <c r="A707" s="284">
        <v>704.0</v>
      </c>
      <c r="B707" s="285" t="s">
        <v>12658</v>
      </c>
      <c r="C707" s="285" t="s">
        <v>7277</v>
      </c>
      <c r="D707" s="286" t="s">
        <v>10329</v>
      </c>
      <c r="E707" s="285" t="s">
        <v>6921</v>
      </c>
      <c r="F707" s="285" t="s">
        <v>12659</v>
      </c>
      <c r="G707" s="285" t="s">
        <v>12660</v>
      </c>
      <c r="H707" s="285" t="s">
        <v>12661</v>
      </c>
      <c r="I707" s="285" t="s">
        <v>12662</v>
      </c>
      <c r="J707" s="285" t="s">
        <v>5224</v>
      </c>
      <c r="K707" s="285" t="s">
        <v>12663</v>
      </c>
      <c r="L707" s="285" t="s">
        <v>2919</v>
      </c>
      <c r="M707" s="285" t="s">
        <v>9391</v>
      </c>
      <c r="N707" s="287" t="str">
        <f>IFERROR(
    IF(
        AND(
            VLOOKUP(B707, 'รายชื่อพนักงานลาออกพ้นสภาพ'!B:I, 8, FALSE)&lt;&gt;"ยกเลิกลาออก",
            VLOOKUP(B707, 'รายชื่อพนักงานลาออกพ้นสภาพ'!B:I, 7, FALSE)&lt;=TODAY()
        ),
        "ลาออกแล้ว",
        ""
    ),
"")</f>
        <v/>
      </c>
      <c r="O707" s="292" t="str">
        <f t="array" ref="O707">IFERROR(INDEX(PCRent!C:D, MATCH(F707 &amp; " " &amp; G707, PCRent!A:A &amp; " " &amp; PCRent!B:B, 0)), "")</f>
        <v/>
      </c>
      <c r="P707" s="293"/>
      <c r="Q707" s="294" t="str">
        <f t="array" ref="Q707">IFERROR(INDEX(MonitorRent!C:D, MATCH(F707 &amp; " " &amp; G707, MonitorRent!A:A &amp; " " &amp; MonitorRent!B:B, 0)), "")</f>
        <v/>
      </c>
      <c r="R707" s="295"/>
    </row>
    <row r="708">
      <c r="A708" s="284">
        <v>705.0</v>
      </c>
      <c r="B708" s="285" t="s">
        <v>12664</v>
      </c>
      <c r="C708" s="285" t="s">
        <v>7277</v>
      </c>
      <c r="D708" s="286" t="s">
        <v>11224</v>
      </c>
      <c r="E708" s="285" t="s">
        <v>6921</v>
      </c>
      <c r="F708" s="285" t="s">
        <v>9667</v>
      </c>
      <c r="G708" s="285" t="s">
        <v>12665</v>
      </c>
      <c r="H708" s="285" t="s">
        <v>11101</v>
      </c>
      <c r="I708" s="285" t="s">
        <v>5863</v>
      </c>
      <c r="J708" s="285" t="s">
        <v>5224</v>
      </c>
      <c r="K708" s="285" t="s">
        <v>9761</v>
      </c>
      <c r="L708" s="285" t="s">
        <v>5862</v>
      </c>
      <c r="M708" s="285" t="s">
        <v>9383</v>
      </c>
      <c r="N708" s="287" t="str">
        <f>IFERROR(
    IF(
        AND(
            VLOOKUP(B708, 'รายชื่อพนักงานลาออกพ้นสภาพ'!B:I, 8, FALSE)&lt;&gt;"ยกเลิกลาออก",
            VLOOKUP(B708, 'รายชื่อพนักงานลาออกพ้นสภาพ'!B:I, 7, FALSE)&lt;=TODAY()
        ),
        "ลาออกแล้ว",
        ""
    ),
"")</f>
        <v/>
      </c>
      <c r="O708" s="292" t="str">
        <f t="array" ref="O708">IFERROR(INDEX(PCRent!C:D, MATCH(F708 &amp; " " &amp; G708, PCRent!A:A &amp; " " &amp; PCRent!B:B, 0)), "")</f>
        <v/>
      </c>
      <c r="P708" s="293"/>
      <c r="Q708" s="294" t="str">
        <f t="array" ref="Q708">IFERROR(INDEX(MonitorRent!C:D, MATCH(F708 &amp; " " &amp; G708, MonitorRent!A:A &amp; " " &amp; MonitorRent!B:B, 0)), "")</f>
        <v/>
      </c>
      <c r="R708" s="295"/>
    </row>
    <row r="709">
      <c r="A709" s="284">
        <v>706.0</v>
      </c>
      <c r="B709" s="285" t="s">
        <v>12666</v>
      </c>
      <c r="C709" s="285" t="s">
        <v>7277</v>
      </c>
      <c r="D709" s="286" t="s">
        <v>11296</v>
      </c>
      <c r="E709" s="285" t="s">
        <v>6933</v>
      </c>
      <c r="F709" s="285" t="s">
        <v>11192</v>
      </c>
      <c r="G709" s="285" t="s">
        <v>12667</v>
      </c>
      <c r="H709" s="285" t="s">
        <v>10709</v>
      </c>
      <c r="I709" s="285" t="s">
        <v>5866</v>
      </c>
      <c r="J709" s="285" t="s">
        <v>5224</v>
      </c>
      <c r="K709" s="285" t="s">
        <v>12668</v>
      </c>
      <c r="L709" s="285" t="s">
        <v>290</v>
      </c>
      <c r="M709" s="285" t="s">
        <v>9383</v>
      </c>
      <c r="N709" s="287" t="str">
        <f>IFERROR(
    IF(
        AND(
            VLOOKUP(B709, 'รายชื่อพนักงานลาออกพ้นสภาพ'!B:I, 8, FALSE)&lt;&gt;"ยกเลิกลาออก",
            VLOOKUP(B709, 'รายชื่อพนักงานลาออกพ้นสภาพ'!B:I, 7, FALSE)&lt;=TODAY()
        ),
        "ลาออกแล้ว",
        ""
    ),
"")</f>
        <v/>
      </c>
      <c r="O709" s="292" t="str">
        <f t="array" ref="O709">IFERROR(INDEX(PCRent!C:D, MATCH(F709 &amp; " " &amp; G709, PCRent!A:A &amp; " " &amp; PCRent!B:B, 0)), "")</f>
        <v/>
      </c>
      <c r="P709" s="293"/>
      <c r="Q709" s="294" t="str">
        <f t="array" ref="Q709">IFERROR(INDEX(MonitorRent!C:D, MATCH(F709 &amp; " " &amp; G709, MonitorRent!A:A &amp; " " &amp; MonitorRent!B:B, 0)), "")</f>
        <v/>
      </c>
      <c r="R709" s="295"/>
    </row>
    <row r="710">
      <c r="A710" s="284">
        <v>707.0</v>
      </c>
      <c r="B710" s="285" t="s">
        <v>12669</v>
      </c>
      <c r="C710" s="285" t="s">
        <v>7277</v>
      </c>
      <c r="D710" s="286" t="s">
        <v>12670</v>
      </c>
      <c r="E710" s="285" t="s">
        <v>6933</v>
      </c>
      <c r="F710" s="285" t="s">
        <v>12671</v>
      </c>
      <c r="G710" s="285" t="s">
        <v>12672</v>
      </c>
      <c r="H710" s="285" t="s">
        <v>10770</v>
      </c>
      <c r="I710" s="285" t="s">
        <v>12673</v>
      </c>
      <c r="J710" s="285" t="s">
        <v>5224</v>
      </c>
      <c r="K710" s="285" t="s">
        <v>1363</v>
      </c>
      <c r="L710" s="285" t="s">
        <v>496</v>
      </c>
      <c r="M710" s="285" t="s">
        <v>9391</v>
      </c>
      <c r="N710" s="287" t="str">
        <f>IFERROR(
    IF(
        AND(
            VLOOKUP(B710, 'รายชื่อพนักงานลาออกพ้นสภาพ'!B:I, 8, FALSE)&lt;&gt;"ยกเลิกลาออก",
            VLOOKUP(B710, 'รายชื่อพนักงานลาออกพ้นสภาพ'!B:I, 7, FALSE)&lt;=TODAY()
        ),
        "ลาออกแล้ว",
        ""
    ),
"")</f>
        <v/>
      </c>
      <c r="O710" s="292" t="str">
        <f t="array" ref="O710:P710">IFERROR(INDEX(PCRent!C:D, MATCH(F710 &amp; " " &amp; G710, PCRent!A:A &amp; " " &amp; PCRent!B:B, 0)), "")</f>
        <v>SN:JXBHKZ3</v>
      </c>
      <c r="P710" s="293" t="s">
        <v>8739</v>
      </c>
      <c r="Q710" s="294" t="str">
        <f t="array" ref="Q710:R710">IFERROR(INDEX(MonitorRent!C:D, MATCH(F710 &amp; " " &amp; G710, MonitorRent!A:A &amp; " " &amp; MonitorRent!B:B, 0)), "")</f>
        <v>SN:20YM7P3</v>
      </c>
      <c r="R710" s="295" t="s">
        <v>6995</v>
      </c>
    </row>
    <row r="711">
      <c r="A711" s="284">
        <v>708.0</v>
      </c>
      <c r="B711" s="285" t="s">
        <v>3783</v>
      </c>
      <c r="C711" s="285" t="s">
        <v>7277</v>
      </c>
      <c r="D711" s="286" t="s">
        <v>12674</v>
      </c>
      <c r="E711" s="285" t="s">
        <v>6933</v>
      </c>
      <c r="F711" s="285" t="s">
        <v>12675</v>
      </c>
      <c r="G711" s="285" t="s">
        <v>12676</v>
      </c>
      <c r="H711" s="285" t="s">
        <v>12677</v>
      </c>
      <c r="I711" s="285" t="s">
        <v>6654</v>
      </c>
      <c r="J711" s="285" t="s">
        <v>5224</v>
      </c>
      <c r="K711" s="285" t="s">
        <v>12678</v>
      </c>
      <c r="L711" s="285" t="s">
        <v>3786</v>
      </c>
      <c r="M711" s="285" t="s">
        <v>9383</v>
      </c>
      <c r="N711" s="287" t="str">
        <f>IFERROR(
    IF(
        AND(
            VLOOKUP(B711, 'รายชื่อพนักงานลาออกพ้นสภาพ'!B:I, 8, FALSE)&lt;&gt;"ยกเลิกลาออก",
            VLOOKUP(B711, 'รายชื่อพนักงานลาออกพ้นสภาพ'!B:I, 7, FALSE)&lt;=TODAY()
        ),
        "ลาออกแล้ว",
        ""
    ),
"")</f>
        <v/>
      </c>
      <c r="O711" s="292" t="str">
        <f t="array" ref="O711">IFERROR(INDEX(PCRent!C:D, MATCH(F711 &amp; " " &amp; G711, PCRent!A:A &amp; " " &amp; PCRent!B:B, 0)), "")</f>
        <v/>
      </c>
      <c r="P711" s="293"/>
      <c r="Q711" s="294" t="str">
        <f t="array" ref="Q711">IFERROR(INDEX(MonitorRent!C:D, MATCH(F711 &amp; " " &amp; G711, MonitorRent!A:A &amp; " " &amp; MonitorRent!B:B, 0)), "")</f>
        <v/>
      </c>
      <c r="R711" s="295"/>
    </row>
    <row r="712">
      <c r="A712" s="284">
        <v>709.0</v>
      </c>
      <c r="B712" s="285" t="s">
        <v>12679</v>
      </c>
      <c r="C712" s="285" t="s">
        <v>7277</v>
      </c>
      <c r="D712" s="286" t="s">
        <v>9876</v>
      </c>
      <c r="E712" s="285" t="s">
        <v>6933</v>
      </c>
      <c r="F712" s="285" t="s">
        <v>12680</v>
      </c>
      <c r="G712" s="285" t="s">
        <v>12681</v>
      </c>
      <c r="H712" s="285" t="s">
        <v>12682</v>
      </c>
      <c r="I712" s="285" t="s">
        <v>12683</v>
      </c>
      <c r="J712" s="285" t="s">
        <v>5224</v>
      </c>
      <c r="K712" s="285" t="s">
        <v>1363</v>
      </c>
      <c r="L712" s="285" t="s">
        <v>1827</v>
      </c>
      <c r="M712" s="285" t="s">
        <v>9383</v>
      </c>
      <c r="N712" s="287" t="str">
        <f>IFERROR(
    IF(
        AND(
            VLOOKUP(B712, 'รายชื่อพนักงานลาออกพ้นสภาพ'!B:I, 8, FALSE)&lt;&gt;"ยกเลิกลาออก",
            VLOOKUP(B712, 'รายชื่อพนักงานลาออกพ้นสภาพ'!B:I, 7, FALSE)&lt;=TODAY()
        ),
        "ลาออกแล้ว",
        ""
    ),
"")</f>
        <v/>
      </c>
      <c r="O712" s="292" t="str">
        <f t="array" ref="O712">IFERROR(INDEX(PCRent!C:D, MATCH(F712 &amp; " " &amp; G712, PCRent!A:A &amp; " " &amp; PCRent!B:B, 0)), "")</f>
        <v/>
      </c>
      <c r="P712" s="293"/>
      <c r="Q712" s="294" t="str">
        <f t="array" ref="Q712">IFERROR(INDEX(MonitorRent!C:D, MATCH(F712 &amp; " " &amp; G712, MonitorRent!A:A &amp; " " &amp; MonitorRent!B:B, 0)), "")</f>
        <v/>
      </c>
      <c r="R712" s="295"/>
    </row>
    <row r="713">
      <c r="A713" s="284">
        <v>710.0</v>
      </c>
      <c r="B713" s="285" t="s">
        <v>12684</v>
      </c>
      <c r="C713" s="285" t="s">
        <v>7277</v>
      </c>
      <c r="D713" s="286" t="s">
        <v>10934</v>
      </c>
      <c r="E713" s="285" t="s">
        <v>6921</v>
      </c>
      <c r="F713" s="285" t="s">
        <v>11282</v>
      </c>
      <c r="G713" s="285" t="s">
        <v>12685</v>
      </c>
      <c r="H713" s="285" t="s">
        <v>10536</v>
      </c>
      <c r="I713" s="285" t="s">
        <v>5855</v>
      </c>
      <c r="J713" s="285" t="s">
        <v>5224</v>
      </c>
      <c r="K713" s="285" t="s">
        <v>12686</v>
      </c>
      <c r="L713" s="285" t="s">
        <v>5834</v>
      </c>
      <c r="M713" s="285" t="s">
        <v>9383</v>
      </c>
      <c r="N713" s="287" t="str">
        <f>IFERROR(
    IF(
        AND(
            VLOOKUP(B713, 'รายชื่อพนักงานลาออกพ้นสภาพ'!B:I, 8, FALSE)&lt;&gt;"ยกเลิกลาออก",
            VLOOKUP(B713, 'รายชื่อพนักงานลาออกพ้นสภาพ'!B:I, 7, FALSE)&lt;=TODAY()
        ),
        "ลาออกแล้ว",
        ""
    ),
"")</f>
        <v/>
      </c>
      <c r="O713" s="292" t="str">
        <f t="array" ref="O713">IFERROR(INDEX(PCRent!C:D, MATCH(F713 &amp; " " &amp; G713, PCRent!A:A &amp; " " &amp; PCRent!B:B, 0)), "")</f>
        <v/>
      </c>
      <c r="P713" s="293"/>
      <c r="Q713" s="294" t="str">
        <f t="array" ref="Q713">IFERROR(INDEX(MonitorRent!C:D, MATCH(F713 &amp; " " &amp; G713, MonitorRent!A:A &amp; " " &amp; MonitorRent!B:B, 0)), "")</f>
        <v/>
      </c>
      <c r="R713" s="295"/>
    </row>
    <row r="714">
      <c r="A714" s="284">
        <v>711.0</v>
      </c>
      <c r="B714" s="285" t="s">
        <v>12687</v>
      </c>
      <c r="C714" s="285" t="s">
        <v>7277</v>
      </c>
      <c r="D714" s="286" t="s">
        <v>12688</v>
      </c>
      <c r="E714" s="285" t="s">
        <v>6921</v>
      </c>
      <c r="F714" s="285" t="s">
        <v>12689</v>
      </c>
      <c r="G714" s="285" t="s">
        <v>12690</v>
      </c>
      <c r="H714" s="285" t="s">
        <v>12691</v>
      </c>
      <c r="I714" s="285" t="s">
        <v>12692</v>
      </c>
      <c r="J714" s="285" t="s">
        <v>5224</v>
      </c>
      <c r="K714" s="285" t="s">
        <v>12693</v>
      </c>
      <c r="L714" s="285" t="s">
        <v>2915</v>
      </c>
      <c r="M714" s="285" t="s">
        <v>9383</v>
      </c>
      <c r="N714" s="287" t="str">
        <f>IFERROR(
    IF(
        AND(
            VLOOKUP(B714, 'รายชื่อพนักงานลาออกพ้นสภาพ'!B:I, 8, FALSE)&lt;&gt;"ยกเลิกลาออก",
            VLOOKUP(B714, 'รายชื่อพนักงานลาออกพ้นสภาพ'!B:I, 7, FALSE)&lt;=TODAY()
        ),
        "ลาออกแล้ว",
        ""
    ),
"")</f>
        <v/>
      </c>
      <c r="O714" s="292" t="str">
        <f t="array" ref="O714">IFERROR(INDEX(PCRent!C:D, MATCH(F714 &amp; " " &amp; G714, PCRent!A:A &amp; " " &amp; PCRent!B:B, 0)), "")</f>
        <v/>
      </c>
      <c r="P714" s="293"/>
      <c r="Q714" s="294" t="str">
        <f t="array" ref="Q714">IFERROR(INDEX(MonitorRent!C:D, MATCH(F714 &amp; " " &amp; G714, MonitorRent!A:A &amp; " " &amp; MonitorRent!B:B, 0)), "")</f>
        <v/>
      </c>
      <c r="R714" s="295"/>
    </row>
    <row r="715">
      <c r="A715" s="284">
        <v>712.0</v>
      </c>
      <c r="B715" s="285" t="s">
        <v>12694</v>
      </c>
      <c r="C715" s="285" t="s">
        <v>7277</v>
      </c>
      <c r="D715" s="286" t="s">
        <v>12695</v>
      </c>
      <c r="E715" s="285" t="s">
        <v>6933</v>
      </c>
      <c r="F715" s="285" t="s">
        <v>12696</v>
      </c>
      <c r="G715" s="285" t="s">
        <v>12697</v>
      </c>
      <c r="H715" s="285" t="s">
        <v>9827</v>
      </c>
      <c r="I715" s="285" t="s">
        <v>6292</v>
      </c>
      <c r="J715" s="285" t="s">
        <v>5224</v>
      </c>
      <c r="K715" s="285" t="s">
        <v>9425</v>
      </c>
      <c r="L715" s="285" t="s">
        <v>2915</v>
      </c>
      <c r="M715" s="285" t="s">
        <v>9383</v>
      </c>
      <c r="N715" s="287" t="str">
        <f>IFERROR(
    IF(
        AND(
            VLOOKUP(B715, 'รายชื่อพนักงานลาออกพ้นสภาพ'!B:I, 8, FALSE)&lt;&gt;"ยกเลิกลาออก",
            VLOOKUP(B715, 'รายชื่อพนักงานลาออกพ้นสภาพ'!B:I, 7, FALSE)&lt;=TODAY()
        ),
        "ลาออกแล้ว",
        ""
    ),
"")</f>
        <v/>
      </c>
      <c r="O715" s="292" t="str">
        <f t="array" ref="O715">IFERROR(INDEX(PCRent!C:D, MATCH(F715 &amp; " " &amp; G715, PCRent!A:A &amp; " " &amp; PCRent!B:B, 0)), "")</f>
        <v/>
      </c>
      <c r="P715" s="293"/>
      <c r="Q715" s="294" t="str">
        <f t="array" ref="Q715">IFERROR(INDEX(MonitorRent!C:D, MATCH(F715 &amp; " " &amp; G715, MonitorRent!A:A &amp; " " &amp; MonitorRent!B:B, 0)), "")</f>
        <v/>
      </c>
      <c r="R715" s="295"/>
    </row>
    <row r="716">
      <c r="A716" s="284">
        <v>713.0</v>
      </c>
      <c r="B716" s="285" t="s">
        <v>901</v>
      </c>
      <c r="C716" s="285" t="s">
        <v>7277</v>
      </c>
      <c r="D716" s="286" t="s">
        <v>12698</v>
      </c>
      <c r="E716" s="285" t="s">
        <v>6933</v>
      </c>
      <c r="F716" s="285" t="s">
        <v>12699</v>
      </c>
      <c r="G716" s="285" t="s">
        <v>12700</v>
      </c>
      <c r="H716" s="285" t="s">
        <v>12701</v>
      </c>
      <c r="I716" s="285" t="s">
        <v>905</v>
      </c>
      <c r="J716" s="285" t="s">
        <v>5224</v>
      </c>
      <c r="K716" s="285" t="s">
        <v>12702</v>
      </c>
      <c r="L716" s="285" t="s">
        <v>2919</v>
      </c>
      <c r="M716" s="285" t="s">
        <v>9383</v>
      </c>
      <c r="N716" s="287" t="str">
        <f>IFERROR(
    IF(
        AND(
            VLOOKUP(B716, 'รายชื่อพนักงานลาออกพ้นสภาพ'!B:I, 8, FALSE)&lt;&gt;"ยกเลิกลาออก",
            VLOOKUP(B716, 'รายชื่อพนักงานลาออกพ้นสภาพ'!B:I, 7, FALSE)&lt;=TODAY()
        ),
        "ลาออกแล้ว",
        ""
    ),
"")</f>
        <v/>
      </c>
      <c r="O716" s="292" t="str">
        <f t="array" ref="O716:P716">IFERROR(INDEX(PCRent!C:D, MATCH(F716 &amp; " " &amp; G716, PCRent!A:A &amp; " " &amp; PCRent!B:B, 0)), "")</f>
        <v>SN:MP2EHMN1</v>
      </c>
      <c r="P716" s="293" t="s">
        <v>6993</v>
      </c>
      <c r="Q716" s="294" t="str">
        <f t="array" ref="Q716">IFERROR(INDEX(MonitorRent!C:D, MATCH(F716 &amp; " " &amp; G716, MonitorRent!A:A &amp; " " &amp; MonitorRent!B:B, 0)), "")</f>
        <v/>
      </c>
      <c r="R716" s="295"/>
    </row>
    <row r="717">
      <c r="A717" s="284">
        <v>714.0</v>
      </c>
      <c r="B717" s="285" t="s">
        <v>7354</v>
      </c>
      <c r="C717" s="285" t="s">
        <v>7277</v>
      </c>
      <c r="D717" s="286" t="s">
        <v>12703</v>
      </c>
      <c r="E717" s="285" t="s">
        <v>6933</v>
      </c>
      <c r="F717" s="285" t="s">
        <v>12704</v>
      </c>
      <c r="G717" s="285" t="s">
        <v>12705</v>
      </c>
      <c r="H717" s="285" t="s">
        <v>12706</v>
      </c>
      <c r="I717" s="285" t="s">
        <v>12707</v>
      </c>
      <c r="J717" s="285" t="s">
        <v>5224</v>
      </c>
      <c r="K717" s="285" t="s">
        <v>1363</v>
      </c>
      <c r="L717" s="285" t="s">
        <v>3786</v>
      </c>
      <c r="M717" s="285" t="s">
        <v>9383</v>
      </c>
      <c r="N717" s="287" t="str">
        <f>IFERROR(
    IF(
        AND(
            VLOOKUP(B717, 'รายชื่อพนักงานลาออกพ้นสภาพ'!B:I, 8, FALSE)&lt;&gt;"ยกเลิกลาออก",
            VLOOKUP(B717, 'รายชื่อพนักงานลาออกพ้นสภาพ'!B:I, 7, FALSE)&lt;=TODAY()
        ),
        "ลาออกแล้ว",
        ""
    ),
"")</f>
        <v/>
      </c>
      <c r="O717" s="292" t="str">
        <f t="array" ref="O717:P717">IFERROR(INDEX(PCRent!C:D, MATCH(F717 &amp; " " &amp; G717, PCRent!A:A &amp; " " &amp; PCRent!B:B, 0)), "")</f>
        <v>SN:MP2E0P8R</v>
      </c>
      <c r="P717" s="293" t="s">
        <v>7357</v>
      </c>
      <c r="Q717" s="294" t="str">
        <f t="array" ref="Q717">IFERROR(INDEX(MonitorRent!C:D, MATCH(F717 &amp; " " &amp; G717, MonitorRent!A:A &amp; " " &amp; MonitorRent!B:B, 0)), "")</f>
        <v/>
      </c>
      <c r="R717" s="295"/>
    </row>
    <row r="718">
      <c r="A718" s="284">
        <v>715.0</v>
      </c>
      <c r="B718" s="285" t="s">
        <v>576</v>
      </c>
      <c r="C718" s="285" t="s">
        <v>7277</v>
      </c>
      <c r="D718" s="286" t="s">
        <v>10509</v>
      </c>
      <c r="E718" s="285" t="s">
        <v>6933</v>
      </c>
      <c r="F718" s="285" t="s">
        <v>10091</v>
      </c>
      <c r="G718" s="285" t="s">
        <v>11390</v>
      </c>
      <c r="H718" s="285" t="s">
        <v>12708</v>
      </c>
      <c r="I718" s="285" t="s">
        <v>579</v>
      </c>
      <c r="J718" s="285" t="s">
        <v>5224</v>
      </c>
      <c r="K718" s="285" t="s">
        <v>4805</v>
      </c>
      <c r="L718" s="285" t="s">
        <v>578</v>
      </c>
      <c r="M718" s="285" t="s">
        <v>9391</v>
      </c>
      <c r="N718" s="287" t="str">
        <f>IFERROR(
    IF(
        AND(
            VLOOKUP(B718, 'รายชื่อพนักงานลาออกพ้นสภาพ'!B:I, 8, FALSE)&lt;&gt;"ยกเลิกลาออก",
            VLOOKUP(B718, 'รายชื่อพนักงานลาออกพ้นสภาพ'!B:I, 7, FALSE)&lt;=TODAY()
        ),
        "ลาออกแล้ว",
        ""
    ),
"")</f>
        <v/>
      </c>
      <c r="O718" s="292" t="str">
        <f t="array" ref="O718:P718">IFERROR(INDEX(PCRent!C:D, MATCH(F718 &amp; " " &amp; G718, PCRent!A:A &amp; " " &amp; PCRent!B:B, 0)), "")</f>
        <v>SN:MP2EJ7LT</v>
      </c>
      <c r="P718" s="293" t="s">
        <v>6993</v>
      </c>
      <c r="Q718" s="294" t="str">
        <f t="array" ref="Q718">IFERROR(INDEX(MonitorRent!C:D, MATCH(F718 &amp; " " &amp; G718, MonitorRent!A:A &amp; " " &amp; MonitorRent!B:B, 0)), "")</f>
        <v/>
      </c>
      <c r="R718" s="295"/>
    </row>
    <row r="719">
      <c r="A719" s="284">
        <v>716.0</v>
      </c>
      <c r="B719" s="285" t="s">
        <v>7304</v>
      </c>
      <c r="C719" s="285" t="s">
        <v>7277</v>
      </c>
      <c r="D719" s="286" t="s">
        <v>12709</v>
      </c>
      <c r="E719" s="285" t="s">
        <v>6933</v>
      </c>
      <c r="F719" s="285" t="s">
        <v>12710</v>
      </c>
      <c r="G719" s="285" t="s">
        <v>12711</v>
      </c>
      <c r="H719" s="285" t="s">
        <v>11911</v>
      </c>
      <c r="I719" s="285" t="s">
        <v>12712</v>
      </c>
      <c r="J719" s="285" t="s">
        <v>5224</v>
      </c>
      <c r="K719" s="285" t="s">
        <v>4749</v>
      </c>
      <c r="L719" s="285" t="s">
        <v>2919</v>
      </c>
      <c r="M719" s="285" t="s">
        <v>9383</v>
      </c>
      <c r="N719" s="287" t="str">
        <f>IFERROR(
    IF(
        AND(
            VLOOKUP(B719, 'รายชื่อพนักงานลาออกพ้นสภาพ'!B:I, 8, FALSE)&lt;&gt;"ยกเลิกลาออก",
            VLOOKUP(B719, 'รายชื่อพนักงานลาออกพ้นสภาพ'!B:I, 7, FALSE)&lt;=TODAY()
        ),
        "ลาออกแล้ว",
        ""
    ),
"")</f>
        <v/>
      </c>
      <c r="O719" s="292" t="str">
        <f t="array" ref="O719:P719">IFERROR(INDEX(PCRent!C:D, MATCH(F719 &amp; " " &amp; G719, PCRent!A:A &amp; " " &amp; PCRent!B:B, 0)), "")</f>
        <v>SN:MP2EHK7L</v>
      </c>
      <c r="P719" s="293" t="s">
        <v>6993</v>
      </c>
      <c r="Q719" s="294" t="str">
        <f t="array" ref="Q719">IFERROR(INDEX(MonitorRent!C:D, MATCH(F719 &amp; " " &amp; G719, MonitorRent!A:A &amp; " " &amp; MonitorRent!B:B, 0)), "")</f>
        <v/>
      </c>
      <c r="R719" s="295"/>
    </row>
    <row r="720">
      <c r="A720" s="284">
        <v>717.0</v>
      </c>
      <c r="B720" s="285" t="s">
        <v>7316</v>
      </c>
      <c r="C720" s="285" t="s">
        <v>7277</v>
      </c>
      <c r="D720" s="286" t="s">
        <v>10729</v>
      </c>
      <c r="E720" s="285" t="s">
        <v>6933</v>
      </c>
      <c r="F720" s="285" t="s">
        <v>12713</v>
      </c>
      <c r="G720" s="285" t="s">
        <v>12714</v>
      </c>
      <c r="H720" s="285" t="s">
        <v>12715</v>
      </c>
      <c r="I720" s="285" t="s">
        <v>12716</v>
      </c>
      <c r="J720" s="285" t="s">
        <v>5224</v>
      </c>
      <c r="K720" s="285" t="s">
        <v>12717</v>
      </c>
      <c r="L720" s="285" t="s">
        <v>2919</v>
      </c>
      <c r="M720" s="285" t="s">
        <v>9383</v>
      </c>
      <c r="N720" s="287" t="str">
        <f>IFERROR(
    IF(
        AND(
            VLOOKUP(B720, 'รายชื่อพนักงานลาออกพ้นสภาพ'!B:I, 8, FALSE)&lt;&gt;"ยกเลิกลาออก",
            VLOOKUP(B720, 'รายชื่อพนักงานลาออกพ้นสภาพ'!B:I, 7, FALSE)&lt;=TODAY()
        ),
        "ลาออกแล้ว",
        ""
    ),
"")</f>
        <v/>
      </c>
      <c r="O720" s="292" t="str">
        <f t="array" ref="O720:P720">IFERROR(INDEX(PCRent!C:D, MATCH(F720 &amp; " " &amp; G720, PCRent!A:A &amp; " " &amp; PCRent!B:B, 0)), "")</f>
        <v>SN:FDD0HY3</v>
      </c>
      <c r="P720" s="293" t="s">
        <v>7048</v>
      </c>
      <c r="Q720" s="294" t="str">
        <f t="array" ref="Q720:R720">IFERROR(INDEX(MonitorRent!C:D, MATCH(F720 &amp; " " &amp; G720, MonitorRent!A:A &amp; " " &amp; MonitorRent!B:B, 0)), "")</f>
        <v>SN:C7FNYV3</v>
      </c>
      <c r="R720" s="295" t="s">
        <v>7050</v>
      </c>
    </row>
    <row r="721">
      <c r="A721" s="284">
        <v>718.0</v>
      </c>
      <c r="B721" s="285" t="s">
        <v>7296</v>
      </c>
      <c r="C721" s="285" t="s">
        <v>7277</v>
      </c>
      <c r="D721" s="286" t="s">
        <v>12718</v>
      </c>
      <c r="E721" s="285" t="s">
        <v>6933</v>
      </c>
      <c r="F721" s="285" t="s">
        <v>12719</v>
      </c>
      <c r="G721" s="285" t="s">
        <v>12720</v>
      </c>
      <c r="H721" s="285" t="s">
        <v>10507</v>
      </c>
      <c r="I721" s="285" t="s">
        <v>12721</v>
      </c>
      <c r="J721" s="285" t="s">
        <v>5224</v>
      </c>
      <c r="K721" s="285" t="s">
        <v>1363</v>
      </c>
      <c r="L721" s="285" t="s">
        <v>5055</v>
      </c>
      <c r="M721" s="285" t="s">
        <v>9383</v>
      </c>
      <c r="N721" s="287" t="str">
        <f>IFERROR(
    IF(
        AND(
            VLOOKUP(B721, 'รายชื่อพนักงานลาออกพ้นสภาพ'!B:I, 8, FALSE)&lt;&gt;"ยกเลิกลาออก",
            VLOOKUP(B721, 'รายชื่อพนักงานลาออกพ้นสภาพ'!B:I, 7, FALSE)&lt;=TODAY()
        ),
        "ลาออกแล้ว",
        ""
    ),
"")</f>
        <v/>
      </c>
      <c r="O721" s="292" t="str">
        <f t="array" ref="O721:P721">IFERROR(INDEX(PCRent!C:D, MATCH(F721 &amp; " " &amp; G721, PCRent!A:A &amp; " " &amp; PCRent!B:B, 0)), "")</f>
        <v>SN:16F7LS3</v>
      </c>
      <c r="P721" s="293" t="s">
        <v>7299</v>
      </c>
      <c r="Q721" s="294" t="str">
        <f t="array" ref="Q721">IFERROR(INDEX(MonitorRent!C:D, MATCH(F721 &amp; " " &amp; G721, MonitorRent!A:A &amp; " " &amp; MonitorRent!B:B, 0)), "")</f>
        <v/>
      </c>
      <c r="R721" s="295"/>
    </row>
    <row r="722">
      <c r="A722" s="284">
        <v>719.0</v>
      </c>
      <c r="B722" s="285" t="s">
        <v>7309</v>
      </c>
      <c r="C722" s="285" t="s">
        <v>7277</v>
      </c>
      <c r="D722" s="286" t="s">
        <v>12722</v>
      </c>
      <c r="E722" s="285" t="s">
        <v>6921</v>
      </c>
      <c r="F722" s="285" t="s">
        <v>12723</v>
      </c>
      <c r="G722" s="285" t="s">
        <v>12724</v>
      </c>
      <c r="H722" s="285" t="s">
        <v>9827</v>
      </c>
      <c r="I722" s="285" t="s">
        <v>12725</v>
      </c>
      <c r="J722" s="285" t="s">
        <v>5224</v>
      </c>
      <c r="K722" s="285" t="s">
        <v>12663</v>
      </c>
      <c r="L722" s="285" t="s">
        <v>2919</v>
      </c>
      <c r="M722" s="285" t="s">
        <v>9383</v>
      </c>
      <c r="N722" s="287" t="str">
        <f>IFERROR(
    IF(
        AND(
            VLOOKUP(B722, 'รายชื่อพนักงานลาออกพ้นสภาพ'!B:I, 8, FALSE)&lt;&gt;"ยกเลิกลาออก",
            VLOOKUP(B722, 'รายชื่อพนักงานลาออกพ้นสภาพ'!B:I, 7, FALSE)&lt;=TODAY()
        ),
        "ลาออกแล้ว",
        ""
    ),
"")</f>
        <v/>
      </c>
      <c r="O722" s="292" t="str">
        <f t="array" ref="O722:P722">IFERROR(INDEX(PCRent!C:D, MATCH(F722 &amp; " " &amp; G722, PCRent!A:A &amp; " " &amp; PCRent!B:B, 0)), "")</f>
        <v>SN:MP2EHQ29</v>
      </c>
      <c r="P722" s="293" t="s">
        <v>6993</v>
      </c>
      <c r="Q722" s="294" t="str">
        <f t="array" ref="Q722">IFERROR(INDEX(MonitorRent!C:D, MATCH(F722 &amp; " " &amp; G722, MonitorRent!A:A &amp; " " &amp; MonitorRent!B:B, 0)), "")</f>
        <v/>
      </c>
      <c r="R722" s="295"/>
    </row>
    <row r="723">
      <c r="A723" s="284">
        <v>720.0</v>
      </c>
      <c r="B723" s="285" t="s">
        <v>7327</v>
      </c>
      <c r="C723" s="285" t="s">
        <v>7277</v>
      </c>
      <c r="D723" s="286" t="s">
        <v>9673</v>
      </c>
      <c r="E723" s="285" t="s">
        <v>6933</v>
      </c>
      <c r="F723" s="285" t="s">
        <v>12726</v>
      </c>
      <c r="G723" s="285" t="s">
        <v>12727</v>
      </c>
      <c r="H723" s="285" t="s">
        <v>12728</v>
      </c>
      <c r="I723" s="285" t="s">
        <v>12729</v>
      </c>
      <c r="J723" s="285" t="s">
        <v>5224</v>
      </c>
      <c r="K723" s="285" t="s">
        <v>1363</v>
      </c>
      <c r="L723" s="285" t="s">
        <v>496</v>
      </c>
      <c r="M723" s="285" t="s">
        <v>9383</v>
      </c>
      <c r="N723" s="287" t="str">
        <f>IFERROR(
    IF(
        AND(
            VLOOKUP(B723, 'รายชื่อพนักงานลาออกพ้นสภาพ'!B:I, 8, FALSE)&lt;&gt;"ยกเลิกลาออก",
            VLOOKUP(B723, 'รายชื่อพนักงานลาออกพ้นสภาพ'!B:I, 7, FALSE)&lt;=TODAY()
        ),
        "ลาออกแล้ว",
        ""
    ),
"")</f>
        <v/>
      </c>
      <c r="O723" s="292" t="str">
        <f t="array" ref="O723">IFERROR(INDEX(PCRent!C:D, MATCH(F723 &amp; " " &amp; G723, PCRent!A:A &amp; " " &amp; PCRent!B:B, 0)), "")</f>
        <v/>
      </c>
      <c r="P723" s="293"/>
      <c r="Q723" s="294" t="str">
        <f t="array" ref="Q723">IFERROR(INDEX(MonitorRent!C:D, MATCH(F723 &amp; " " &amp; G723, MonitorRent!A:A &amp; " " &amp; MonitorRent!B:B, 0)), "")</f>
        <v/>
      </c>
      <c r="R723" s="295"/>
    </row>
    <row r="724">
      <c r="A724" s="284">
        <v>721.0</v>
      </c>
      <c r="B724" s="285" t="s">
        <v>7292</v>
      </c>
      <c r="C724" s="285" t="s">
        <v>7277</v>
      </c>
      <c r="D724" s="286" t="s">
        <v>12730</v>
      </c>
      <c r="E724" s="285" t="s">
        <v>6933</v>
      </c>
      <c r="F724" s="285" t="s">
        <v>12731</v>
      </c>
      <c r="G724" s="285" t="s">
        <v>12732</v>
      </c>
      <c r="H724" s="285" t="s">
        <v>11520</v>
      </c>
      <c r="I724" s="285" t="s">
        <v>12733</v>
      </c>
      <c r="J724" s="285" t="s">
        <v>5224</v>
      </c>
      <c r="K724" s="285" t="s">
        <v>4749</v>
      </c>
      <c r="L724" s="285" t="s">
        <v>3786</v>
      </c>
      <c r="M724" s="285" t="s">
        <v>9383</v>
      </c>
      <c r="N724" s="287" t="str">
        <f>IFERROR(
    IF(
        AND(
            VLOOKUP(B724, 'รายชื่อพนักงานลาออกพ้นสภาพ'!B:I, 8, FALSE)&lt;&gt;"ยกเลิกลาออก",
            VLOOKUP(B724, 'รายชื่อพนักงานลาออกพ้นสภาพ'!B:I, 7, FALSE)&lt;=TODAY()
        ),
        "ลาออกแล้ว",
        ""
    ),
"")</f>
        <v/>
      </c>
      <c r="O724" s="292" t="str">
        <f t="array" ref="O724">IFERROR(INDEX(PCRent!C:D, MATCH(F724 &amp; " " &amp; G724, PCRent!A:A &amp; " " &amp; PCRent!B:B, 0)), "")</f>
        <v/>
      </c>
      <c r="P724" s="293"/>
      <c r="Q724" s="294" t="str">
        <f t="array" ref="Q724">IFERROR(INDEX(MonitorRent!C:D, MATCH(F724 &amp; " " &amp; G724, MonitorRent!A:A &amp; " " &amp; MonitorRent!B:B, 0)), "")</f>
        <v/>
      </c>
      <c r="R724" s="295"/>
    </row>
    <row r="725">
      <c r="A725" s="284">
        <v>722.0</v>
      </c>
      <c r="B725" s="285" t="s">
        <v>7282</v>
      </c>
      <c r="C725" s="285" t="s">
        <v>7277</v>
      </c>
      <c r="D725" s="286" t="s">
        <v>12734</v>
      </c>
      <c r="E725" s="285" t="s">
        <v>6933</v>
      </c>
      <c r="F725" s="285" t="s">
        <v>10036</v>
      </c>
      <c r="G725" s="285" t="s">
        <v>12735</v>
      </c>
      <c r="H725" s="285" t="s">
        <v>10038</v>
      </c>
      <c r="I725" s="285" t="s">
        <v>5889</v>
      </c>
      <c r="J725" s="285" t="s">
        <v>5224</v>
      </c>
      <c r="K725" s="285" t="s">
        <v>4749</v>
      </c>
      <c r="L725" s="285" t="s">
        <v>3786</v>
      </c>
      <c r="M725" s="285" t="s">
        <v>9383</v>
      </c>
      <c r="N725" s="287" t="str">
        <f>IFERROR(
    IF(
        AND(
            VLOOKUP(B725, 'รายชื่อพนักงานลาออกพ้นสภาพ'!B:I, 8, FALSE)&lt;&gt;"ยกเลิกลาออก",
            VLOOKUP(B725, 'รายชื่อพนักงานลาออกพ้นสภาพ'!B:I, 7, FALSE)&lt;=TODAY()
        ),
        "ลาออกแล้ว",
        ""
    ),
"")</f>
        <v/>
      </c>
      <c r="O725" s="292" t="str">
        <f t="array" ref="O725">IFERROR(INDEX(PCRent!C:D, MATCH(F725 &amp; " " &amp; G725, PCRent!A:A &amp; " " &amp; PCRent!B:B, 0)), "")</f>
        <v/>
      </c>
      <c r="P725" s="293"/>
      <c r="Q725" s="294" t="str">
        <f t="array" ref="Q725">IFERROR(INDEX(MonitorRent!C:D, MATCH(F725 &amp; " " &amp; G725, MonitorRent!A:A &amp; " " &amp; MonitorRent!B:B, 0)), "")</f>
        <v/>
      </c>
      <c r="R725" s="295"/>
    </row>
    <row r="726">
      <c r="A726" s="284">
        <v>723.0</v>
      </c>
      <c r="B726" s="285" t="s">
        <v>12736</v>
      </c>
      <c r="C726" s="285" t="s">
        <v>7277</v>
      </c>
      <c r="D726" s="286" t="s">
        <v>12737</v>
      </c>
      <c r="E726" s="285" t="s">
        <v>6933</v>
      </c>
      <c r="F726" s="285" t="s">
        <v>12738</v>
      </c>
      <c r="G726" s="285" t="s">
        <v>12739</v>
      </c>
      <c r="H726" s="285" t="s">
        <v>9538</v>
      </c>
      <c r="I726" s="285" t="s">
        <v>5878</v>
      </c>
      <c r="J726" s="285" t="s">
        <v>5224</v>
      </c>
      <c r="K726" s="285" t="s">
        <v>1363</v>
      </c>
      <c r="L726" s="285" t="s">
        <v>1827</v>
      </c>
      <c r="M726" s="285" t="s">
        <v>9383</v>
      </c>
      <c r="N726" s="287" t="str">
        <f>IFERROR(
    IF(
        AND(
            VLOOKUP(B726, 'รายชื่อพนักงานลาออกพ้นสภาพ'!B:I, 8, FALSE)&lt;&gt;"ยกเลิกลาออก",
            VLOOKUP(B726, 'รายชื่อพนักงานลาออกพ้นสภาพ'!B:I, 7, FALSE)&lt;=TODAY()
        ),
        "ลาออกแล้ว",
        ""
    ),
"")</f>
        <v/>
      </c>
      <c r="O726" s="292" t="str">
        <f t="array" ref="O726">IFERROR(INDEX(PCRent!C:D, MATCH(F726 &amp; " " &amp; G726, PCRent!A:A &amp; " " &amp; PCRent!B:B, 0)), "")</f>
        <v/>
      </c>
      <c r="P726" s="293"/>
      <c r="Q726" s="294" t="str">
        <f t="array" ref="Q726">IFERROR(INDEX(MonitorRent!C:D, MATCH(F726 &amp; " " &amp; G726, MonitorRent!A:A &amp; " " &amp; MonitorRent!B:B, 0)), "")</f>
        <v/>
      </c>
      <c r="R726" s="295"/>
    </row>
    <row r="727">
      <c r="A727" s="284">
        <v>724.0</v>
      </c>
      <c r="B727" s="285" t="s">
        <v>12740</v>
      </c>
      <c r="C727" s="285" t="s">
        <v>12741</v>
      </c>
      <c r="D727" s="286" t="s">
        <v>12742</v>
      </c>
      <c r="E727" s="285" t="s">
        <v>6933</v>
      </c>
      <c r="F727" s="285" t="s">
        <v>12743</v>
      </c>
      <c r="G727" s="285" t="s">
        <v>12744</v>
      </c>
      <c r="H727" s="285" t="s">
        <v>12745</v>
      </c>
      <c r="I727" s="285" t="s">
        <v>12746</v>
      </c>
      <c r="J727" s="285" t="s">
        <v>5012</v>
      </c>
      <c r="K727" s="285" t="s">
        <v>4805</v>
      </c>
      <c r="L727" s="285" t="s">
        <v>12747</v>
      </c>
      <c r="M727" s="285" t="s">
        <v>9383</v>
      </c>
      <c r="N727" s="287" t="str">
        <f>IFERROR(
    IF(
        AND(
            VLOOKUP(B727, 'รายชื่อพนักงานลาออกพ้นสภาพ'!B:I, 8, FALSE)&lt;&gt;"ยกเลิกลาออก",
            VLOOKUP(B727, 'รายชื่อพนักงานลาออกพ้นสภาพ'!B:I, 7, FALSE)&lt;=TODAY()
        ),
        "ลาออกแล้ว",
        ""
    ),
"")</f>
        <v/>
      </c>
      <c r="O727" s="292" t="str">
        <f t="array" ref="O727:P727">IFERROR(INDEX(PCRent!C:D, MATCH(F727 &amp; " " &amp; G727, PCRent!A:A &amp; " " &amp; PCRent!B:B, 0)), "")</f>
        <v>SN:PF39FJT1</v>
      </c>
      <c r="P727" s="293" t="s">
        <v>7005</v>
      </c>
      <c r="Q727" s="294" t="str">
        <f t="array" ref="Q727">IFERROR(INDEX(MonitorRent!C:D, MATCH(F727 &amp; " " &amp; G727, MonitorRent!A:A &amp; " " &amp; MonitorRent!B:B, 0)), "")</f>
        <v/>
      </c>
      <c r="R727" s="295"/>
    </row>
    <row r="728">
      <c r="A728" s="284">
        <v>725.0</v>
      </c>
      <c r="B728" s="285" t="s">
        <v>12748</v>
      </c>
      <c r="C728" s="285" t="s">
        <v>9195</v>
      </c>
      <c r="D728" s="286" t="s">
        <v>10063</v>
      </c>
      <c r="E728" s="285" t="s">
        <v>6933</v>
      </c>
      <c r="F728" s="285" t="s">
        <v>12749</v>
      </c>
      <c r="G728" s="285" t="s">
        <v>12750</v>
      </c>
      <c r="H728" s="285" t="s">
        <v>10225</v>
      </c>
      <c r="I728" s="285" t="s">
        <v>12751</v>
      </c>
      <c r="J728" s="285" t="s">
        <v>5224</v>
      </c>
      <c r="K728" s="285" t="s">
        <v>10549</v>
      </c>
      <c r="L728" s="285" t="s">
        <v>2919</v>
      </c>
      <c r="M728" s="285" t="s">
        <v>9391</v>
      </c>
      <c r="N728" s="287" t="str">
        <f>IFERROR(
    IF(
        AND(
            VLOOKUP(B728, 'รายชื่อพนักงานลาออกพ้นสภาพ'!B:I, 8, FALSE)&lt;&gt;"ยกเลิกลาออก",
            VLOOKUP(B728, 'รายชื่อพนักงานลาออกพ้นสภาพ'!B:I, 7, FALSE)&lt;=TODAY()
        ),
        "ลาออกแล้ว",
        ""
    ),
"")</f>
        <v/>
      </c>
      <c r="O728" s="292" t="str">
        <f t="array" ref="O728">IFERROR(INDEX(PCRent!C:D, MATCH(F728 &amp; " " &amp; G728, PCRent!A:A &amp; " " &amp; PCRent!B:B, 0)), "")</f>
        <v/>
      </c>
      <c r="P728" s="293"/>
      <c r="Q728" s="294" t="str">
        <f t="array" ref="Q728">IFERROR(INDEX(MonitorRent!C:D, MATCH(F728 &amp; " " &amp; G728, MonitorRent!A:A &amp; " " &amp; MonitorRent!B:B, 0)), "")</f>
        <v/>
      </c>
      <c r="R728" s="295"/>
    </row>
    <row r="729">
      <c r="A729" s="284">
        <v>726.0</v>
      </c>
      <c r="B729" s="285" t="s">
        <v>9197</v>
      </c>
      <c r="C729" s="285" t="s">
        <v>9195</v>
      </c>
      <c r="D729" s="286" t="s">
        <v>10303</v>
      </c>
      <c r="E729" s="285" t="s">
        <v>6933</v>
      </c>
      <c r="F729" s="285" t="s">
        <v>12752</v>
      </c>
      <c r="G729" s="285" t="s">
        <v>12753</v>
      </c>
      <c r="H729" s="285" t="s">
        <v>9388</v>
      </c>
      <c r="I729" s="285" t="s">
        <v>12754</v>
      </c>
      <c r="J729" s="285" t="s">
        <v>5224</v>
      </c>
      <c r="K729" s="285" t="s">
        <v>4818</v>
      </c>
      <c r="L729" s="285" t="s">
        <v>9199</v>
      </c>
      <c r="M729" s="285" t="s">
        <v>9383</v>
      </c>
      <c r="N729" s="287" t="str">
        <f>IFERROR(
    IF(
        AND(
            VLOOKUP(B729, 'รายชื่อพนักงานลาออกพ้นสภาพ'!B:I, 8, FALSE)&lt;&gt;"ยกเลิกลาออก",
            VLOOKUP(B729, 'รายชื่อพนักงานลาออกพ้นสภาพ'!B:I, 7, FALSE)&lt;=TODAY()
        ),
        "ลาออกแล้ว",
        ""
    ),
"")</f>
        <v/>
      </c>
      <c r="O729" s="292" t="str">
        <f t="array" ref="O729:P729">IFERROR(INDEX(PCRent!C:D, MATCH(F729 &amp; " " &amp; G729, PCRent!A:A &amp; " " &amp; PCRent!B:B, 0)), "")</f>
        <v>SN:PF39FC22</v>
      </c>
      <c r="P729" s="293" t="s">
        <v>7005</v>
      </c>
      <c r="Q729" s="294" t="str">
        <f t="array" ref="Q729">IFERROR(INDEX(MonitorRent!C:D, MATCH(F729 &amp; " " &amp; G729, MonitorRent!A:A &amp; " " &amp; MonitorRent!B:B, 0)), "")</f>
        <v/>
      </c>
      <c r="R729" s="295"/>
    </row>
    <row r="730">
      <c r="A730" s="284">
        <v>727.0</v>
      </c>
      <c r="B730" s="285" t="s">
        <v>9201</v>
      </c>
      <c r="C730" s="285" t="s">
        <v>9195</v>
      </c>
      <c r="D730" s="286" t="s">
        <v>11371</v>
      </c>
      <c r="E730" s="285" t="s">
        <v>6933</v>
      </c>
      <c r="F730" s="285" t="s">
        <v>12755</v>
      </c>
      <c r="G730" s="285" t="s">
        <v>12756</v>
      </c>
      <c r="H730" s="285" t="s">
        <v>12757</v>
      </c>
      <c r="I730" s="285" t="s">
        <v>12758</v>
      </c>
      <c r="J730" s="285" t="s">
        <v>5224</v>
      </c>
      <c r="K730" s="285" t="s">
        <v>4749</v>
      </c>
      <c r="L730" s="285" t="s">
        <v>9199</v>
      </c>
      <c r="M730" s="285" t="s">
        <v>9383</v>
      </c>
      <c r="N730" s="287" t="str">
        <f>IFERROR(
    IF(
        AND(
            VLOOKUP(B730, 'รายชื่อพนักงานลาออกพ้นสภาพ'!B:I, 8, FALSE)&lt;&gt;"ยกเลิกลาออก",
            VLOOKUP(B730, 'รายชื่อพนักงานลาออกพ้นสภาพ'!B:I, 7, FALSE)&lt;=TODAY()
        ),
        "ลาออกแล้ว",
        ""
    ),
"")</f>
        <v/>
      </c>
      <c r="O730" s="292" t="str">
        <f t="array" ref="O730:P730">IFERROR(INDEX(PCRent!C:D, MATCH(F730 &amp; " " &amp; G730, PCRent!A:A &amp; " " &amp; PCRent!B:B, 0)), "")</f>
        <v>SN:MP2ESVJ3</v>
      </c>
      <c r="P730" s="293" t="s">
        <v>7070</v>
      </c>
      <c r="Q730" s="294" t="str">
        <f t="array" ref="Q730">IFERROR(INDEX(MonitorRent!C:D, MATCH(F730 &amp; " " &amp; G730, MonitorRent!A:A &amp; " " &amp; MonitorRent!B:B, 0)), "")</f>
        <v/>
      </c>
      <c r="R730" s="295"/>
    </row>
    <row r="731">
      <c r="A731" s="284">
        <v>728.0</v>
      </c>
      <c r="B731" s="285" t="s">
        <v>12759</v>
      </c>
      <c r="C731" s="285" t="s">
        <v>7546</v>
      </c>
      <c r="D731" s="286" t="s">
        <v>12760</v>
      </c>
      <c r="E731" s="285" t="s">
        <v>6933</v>
      </c>
      <c r="F731" s="285" t="s">
        <v>12761</v>
      </c>
      <c r="G731" s="285" t="s">
        <v>12762</v>
      </c>
      <c r="H731" s="285" t="s">
        <v>11525</v>
      </c>
      <c r="I731" s="285" t="s">
        <v>12763</v>
      </c>
      <c r="J731" s="285" t="s">
        <v>5224</v>
      </c>
      <c r="K731" s="285" t="s">
        <v>10028</v>
      </c>
      <c r="L731" s="285" t="s">
        <v>3096</v>
      </c>
      <c r="M731" s="285" t="s">
        <v>9391</v>
      </c>
      <c r="N731" s="287" t="str">
        <f>IFERROR(
    IF(
        AND(
            VLOOKUP(B731, 'รายชื่อพนักงานลาออกพ้นสภาพ'!B:I, 8, FALSE)&lt;&gt;"ยกเลิกลาออก",
            VLOOKUP(B731, 'รายชื่อพนักงานลาออกพ้นสภาพ'!B:I, 7, FALSE)&lt;=TODAY()
        ),
        "ลาออกแล้ว",
        ""
    ),
"")</f>
        <v/>
      </c>
      <c r="O731" s="292" t="str">
        <f t="array" ref="O731">IFERROR(INDEX(PCRent!C:D, MATCH(F731 &amp; " " &amp; G731, PCRent!A:A &amp; " " &amp; PCRent!B:B, 0)), "")</f>
        <v/>
      </c>
      <c r="P731" s="293"/>
      <c r="Q731" s="294" t="str">
        <f t="array" ref="Q731">IFERROR(INDEX(MonitorRent!C:D, MATCH(F731 &amp; " " &amp; G731, MonitorRent!A:A &amp; " " &amp; MonitorRent!B:B, 0)), "")</f>
        <v/>
      </c>
      <c r="R731" s="295"/>
    </row>
    <row r="732">
      <c r="A732" s="284">
        <v>729.0</v>
      </c>
      <c r="B732" s="285" t="s">
        <v>12764</v>
      </c>
      <c r="C732" s="285" t="s">
        <v>12765</v>
      </c>
      <c r="D732" s="286" t="s">
        <v>9846</v>
      </c>
      <c r="E732" s="285" t="s">
        <v>6921</v>
      </c>
      <c r="F732" s="285" t="s">
        <v>12766</v>
      </c>
      <c r="G732" s="285" t="s">
        <v>12767</v>
      </c>
      <c r="H732" s="285" t="s">
        <v>12768</v>
      </c>
      <c r="I732" s="285" t="s">
        <v>12769</v>
      </c>
      <c r="J732" s="285" t="s">
        <v>5224</v>
      </c>
      <c r="K732" s="285" t="s">
        <v>4805</v>
      </c>
      <c r="L732" s="285" t="s">
        <v>7550</v>
      </c>
      <c r="M732" s="285" t="s">
        <v>9383</v>
      </c>
      <c r="N732" s="287" t="str">
        <f>IFERROR(
    IF(
        AND(
            VLOOKUP(B732, 'รายชื่อพนักงานลาออกพ้นสภาพ'!B:I, 8, FALSE)&lt;&gt;"ยกเลิกลาออก",
            VLOOKUP(B732, 'รายชื่อพนักงานลาออกพ้นสภาพ'!B:I, 7, FALSE)&lt;=TODAY()
        ),
        "ลาออกแล้ว",
        ""
    ),
"")</f>
        <v/>
      </c>
      <c r="O732" s="292" t="str">
        <f t="array" ref="O732">IFERROR(INDEX(PCRent!C:D, MATCH(F732 &amp; " " &amp; G732, PCRent!A:A &amp; " " &amp; PCRent!B:B, 0)), "")</f>
        <v/>
      </c>
      <c r="P732" s="293"/>
      <c r="Q732" s="294" t="str">
        <f t="array" ref="Q732">IFERROR(INDEX(MonitorRent!C:D, MATCH(F732 &amp; " " &amp; G732, MonitorRent!A:A &amp; " " &amp; MonitorRent!B:B, 0)), "")</f>
        <v/>
      </c>
      <c r="R732" s="295"/>
    </row>
    <row r="733">
      <c r="A733" s="284">
        <v>730.0</v>
      </c>
      <c r="B733" s="285" t="s">
        <v>12770</v>
      </c>
      <c r="C733" s="285" t="s">
        <v>12765</v>
      </c>
      <c r="D733" s="286" t="s">
        <v>12771</v>
      </c>
      <c r="E733" s="285" t="s">
        <v>6921</v>
      </c>
      <c r="F733" s="285" t="s">
        <v>12772</v>
      </c>
      <c r="G733" s="285" t="s">
        <v>12773</v>
      </c>
      <c r="H733" s="285" t="s">
        <v>12774</v>
      </c>
      <c r="I733" s="285" t="s">
        <v>12775</v>
      </c>
      <c r="J733" s="285" t="s">
        <v>5224</v>
      </c>
      <c r="K733" s="285" t="s">
        <v>4756</v>
      </c>
      <c r="L733" s="285" t="s">
        <v>12776</v>
      </c>
      <c r="M733" s="285" t="s">
        <v>9383</v>
      </c>
      <c r="N733" s="287" t="str">
        <f>IFERROR(
    IF(
        AND(
            VLOOKUP(B733, 'รายชื่อพนักงานลาออกพ้นสภาพ'!B:I, 8, FALSE)&lt;&gt;"ยกเลิกลาออก",
            VLOOKUP(B733, 'รายชื่อพนักงานลาออกพ้นสภาพ'!B:I, 7, FALSE)&lt;=TODAY()
        ),
        "ลาออกแล้ว",
        ""
    ),
"")</f>
        <v/>
      </c>
      <c r="O733" s="292" t="str">
        <f t="array" ref="O733">IFERROR(INDEX(PCRent!C:D, MATCH(F733 &amp; " " &amp; G733, PCRent!A:A &amp; " " &amp; PCRent!B:B, 0)), "")</f>
        <v/>
      </c>
      <c r="P733" s="293"/>
      <c r="Q733" s="294" t="str">
        <f t="array" ref="Q733">IFERROR(INDEX(MonitorRent!C:D, MATCH(F733 &amp; " " &amp; G733, MonitorRent!A:A &amp; " " &amp; MonitorRent!B:B, 0)), "")</f>
        <v/>
      </c>
      <c r="R733" s="295"/>
    </row>
    <row r="734">
      <c r="A734" s="284">
        <v>731.0</v>
      </c>
      <c r="B734" s="285" t="s">
        <v>12777</v>
      </c>
      <c r="C734" s="285" t="s">
        <v>12765</v>
      </c>
      <c r="D734" s="286" t="s">
        <v>12778</v>
      </c>
      <c r="E734" s="285" t="s">
        <v>6933</v>
      </c>
      <c r="F734" s="285" t="s">
        <v>10339</v>
      </c>
      <c r="G734" s="285" t="s">
        <v>12779</v>
      </c>
      <c r="H734" s="285" t="s">
        <v>12578</v>
      </c>
      <c r="I734" s="285" t="s">
        <v>12780</v>
      </c>
      <c r="J734" s="285" t="s">
        <v>5224</v>
      </c>
      <c r="K734" s="285" t="s">
        <v>4756</v>
      </c>
      <c r="L734" s="285" t="s">
        <v>7626</v>
      </c>
      <c r="M734" s="285" t="s">
        <v>9383</v>
      </c>
      <c r="N734" s="287" t="str">
        <f>IFERROR(
    IF(
        AND(
            VLOOKUP(B734, 'รายชื่อพนักงานลาออกพ้นสภาพ'!B:I, 8, FALSE)&lt;&gt;"ยกเลิกลาออก",
            VLOOKUP(B734, 'รายชื่อพนักงานลาออกพ้นสภาพ'!B:I, 7, FALSE)&lt;=TODAY()
        ),
        "ลาออกแล้ว",
        ""
    ),
"")</f>
        <v/>
      </c>
      <c r="O734" s="292" t="str">
        <f t="array" ref="O734">IFERROR(INDEX(PCRent!C:D, MATCH(F734 &amp; " " &amp; G734, PCRent!A:A &amp; " " &amp; PCRent!B:B, 0)), "")</f>
        <v/>
      </c>
      <c r="P734" s="293"/>
      <c r="Q734" s="294" t="str">
        <f t="array" ref="Q734">IFERROR(INDEX(MonitorRent!C:D, MATCH(F734 &amp; " " &amp; G734, MonitorRent!A:A &amp; " " &amp; MonitorRent!B:B, 0)), "")</f>
        <v/>
      </c>
      <c r="R734" s="295"/>
    </row>
    <row r="735">
      <c r="A735" s="284">
        <v>732.0</v>
      </c>
      <c r="B735" s="285" t="s">
        <v>12781</v>
      </c>
      <c r="C735" s="285" t="s">
        <v>12765</v>
      </c>
      <c r="D735" s="286" t="s">
        <v>12625</v>
      </c>
      <c r="E735" s="285" t="s">
        <v>6921</v>
      </c>
      <c r="F735" s="285" t="s">
        <v>12782</v>
      </c>
      <c r="G735" s="285" t="s">
        <v>12783</v>
      </c>
      <c r="H735" s="285" t="s">
        <v>12784</v>
      </c>
      <c r="I735" s="285" t="s">
        <v>12785</v>
      </c>
      <c r="J735" s="285" t="s">
        <v>5224</v>
      </c>
      <c r="K735" s="285" t="s">
        <v>12414</v>
      </c>
      <c r="L735" s="285" t="s">
        <v>7626</v>
      </c>
      <c r="M735" s="285" t="s">
        <v>9383</v>
      </c>
      <c r="N735" s="287" t="str">
        <f>IFERROR(
    IF(
        AND(
            VLOOKUP(B735, 'รายชื่อพนักงานลาออกพ้นสภาพ'!B:I, 8, FALSE)&lt;&gt;"ยกเลิกลาออก",
            VLOOKUP(B735, 'รายชื่อพนักงานลาออกพ้นสภาพ'!B:I, 7, FALSE)&lt;=TODAY()
        ),
        "ลาออกแล้ว",
        ""
    ),
"")</f>
        <v/>
      </c>
      <c r="O735" s="292" t="str">
        <f t="array" ref="O735">IFERROR(INDEX(PCRent!C:D, MATCH(F735 &amp; " " &amp; G735, PCRent!A:A &amp; " " &amp; PCRent!B:B, 0)), "")</f>
        <v/>
      </c>
      <c r="P735" s="293"/>
      <c r="Q735" s="294" t="str">
        <f t="array" ref="Q735">IFERROR(INDEX(MonitorRent!C:D, MATCH(F735 &amp; " " &amp; G735, MonitorRent!A:A &amp; " " &amp; MonitorRent!B:B, 0)), "")</f>
        <v/>
      </c>
      <c r="R735" s="295"/>
    </row>
    <row r="736">
      <c r="A736" s="284">
        <v>733.0</v>
      </c>
      <c r="B736" s="285" t="s">
        <v>340</v>
      </c>
      <c r="C736" s="285" t="s">
        <v>12765</v>
      </c>
      <c r="D736" s="286" t="s">
        <v>10012</v>
      </c>
      <c r="E736" s="285" t="s">
        <v>6921</v>
      </c>
      <c r="F736" s="285" t="s">
        <v>12786</v>
      </c>
      <c r="G736" s="285" t="s">
        <v>12787</v>
      </c>
      <c r="H736" s="285" t="s">
        <v>10003</v>
      </c>
      <c r="I736" s="285" t="s">
        <v>343</v>
      </c>
      <c r="J736" s="285" t="s">
        <v>5224</v>
      </c>
      <c r="K736" s="285" t="s">
        <v>4835</v>
      </c>
      <c r="L736" s="285" t="s">
        <v>10538</v>
      </c>
      <c r="M736" s="285" t="s">
        <v>9383</v>
      </c>
      <c r="N736" s="287" t="str">
        <f>IFERROR(
    IF(
        AND(
            VLOOKUP(B736, 'รายชื่อพนักงานลาออกพ้นสภาพ'!B:I, 8, FALSE)&lt;&gt;"ยกเลิกลาออก",
            VLOOKUP(B736, 'รายชื่อพนักงานลาออกพ้นสภาพ'!B:I, 7, FALSE)&lt;=TODAY()
        ),
        "ลาออกแล้ว",
        ""
    ),
"")</f>
        <v/>
      </c>
      <c r="O736" s="292" t="str">
        <f t="array" ref="O736">IFERROR(INDEX(PCRent!C:D, MATCH(F736 &amp; " " &amp; G736, PCRent!A:A &amp; " " &amp; PCRent!B:B, 0)), "")</f>
        <v/>
      </c>
      <c r="P736" s="293"/>
      <c r="Q736" s="294" t="str">
        <f t="array" ref="Q736">IFERROR(INDEX(MonitorRent!C:D, MATCH(F736 &amp; " " &amp; G736, MonitorRent!A:A &amp; " " &amp; MonitorRent!B:B, 0)), "")</f>
        <v/>
      </c>
      <c r="R736" s="295"/>
    </row>
    <row r="737">
      <c r="A737" s="284">
        <v>734.0</v>
      </c>
      <c r="B737" s="285" t="s">
        <v>12788</v>
      </c>
      <c r="C737" s="285" t="s">
        <v>12765</v>
      </c>
      <c r="D737" s="286" t="s">
        <v>9583</v>
      </c>
      <c r="E737" s="285" t="s">
        <v>6921</v>
      </c>
      <c r="F737" s="285" t="s">
        <v>12789</v>
      </c>
      <c r="G737" s="285" t="s">
        <v>12790</v>
      </c>
      <c r="H737" s="285" t="s">
        <v>12791</v>
      </c>
      <c r="I737" s="285" t="s">
        <v>12792</v>
      </c>
      <c r="J737" s="285" t="s">
        <v>5224</v>
      </c>
      <c r="K737" s="285" t="s">
        <v>9503</v>
      </c>
      <c r="L737" s="285" t="s">
        <v>10538</v>
      </c>
      <c r="M737" s="285" t="s">
        <v>9383</v>
      </c>
      <c r="N737" s="287" t="str">
        <f>IFERROR(
    IF(
        AND(
            VLOOKUP(B737, 'รายชื่อพนักงานลาออกพ้นสภาพ'!B:I, 8, FALSE)&lt;&gt;"ยกเลิกลาออก",
            VLOOKUP(B737, 'รายชื่อพนักงานลาออกพ้นสภาพ'!B:I, 7, FALSE)&lt;=TODAY()
        ),
        "ลาออกแล้ว",
        ""
    ),
"")</f>
        <v/>
      </c>
      <c r="O737" s="292" t="str">
        <f t="array" ref="O737">IFERROR(INDEX(PCRent!C:D, MATCH(F737 &amp; " " &amp; G737, PCRent!A:A &amp; " " &amp; PCRent!B:B, 0)), "")</f>
        <v/>
      </c>
      <c r="P737" s="293"/>
      <c r="Q737" s="294" t="str">
        <f t="array" ref="Q737">IFERROR(INDEX(MonitorRent!C:D, MATCH(F737 &amp; " " &amp; G737, MonitorRent!A:A &amp; " " &amp; MonitorRent!B:B, 0)), "")</f>
        <v/>
      </c>
      <c r="R737" s="295"/>
    </row>
    <row r="738">
      <c r="A738" s="284">
        <v>735.0</v>
      </c>
      <c r="B738" s="285" t="s">
        <v>12793</v>
      </c>
      <c r="C738" s="285" t="s">
        <v>12765</v>
      </c>
      <c r="D738" s="286" t="s">
        <v>12794</v>
      </c>
      <c r="E738" s="285" t="s">
        <v>6933</v>
      </c>
      <c r="F738" s="285" t="s">
        <v>12795</v>
      </c>
      <c r="G738" s="285" t="s">
        <v>12796</v>
      </c>
      <c r="H738" s="285" t="s">
        <v>11467</v>
      </c>
      <c r="I738" s="285" t="s">
        <v>12797</v>
      </c>
      <c r="J738" s="285" t="s">
        <v>5224</v>
      </c>
      <c r="K738" s="285" t="s">
        <v>10028</v>
      </c>
      <c r="L738" s="285" t="s">
        <v>3096</v>
      </c>
      <c r="M738" s="285" t="s">
        <v>9383</v>
      </c>
      <c r="N738" s="287" t="str">
        <f>IFERROR(
    IF(
        AND(
            VLOOKUP(B738, 'รายชื่อพนักงานลาออกพ้นสภาพ'!B:I, 8, FALSE)&lt;&gt;"ยกเลิกลาออก",
            VLOOKUP(B738, 'รายชื่อพนักงานลาออกพ้นสภาพ'!B:I, 7, FALSE)&lt;=TODAY()
        ),
        "ลาออกแล้ว",
        ""
    ),
"")</f>
        <v/>
      </c>
      <c r="O738" s="292" t="str">
        <f t="array" ref="O738">IFERROR(INDEX(PCRent!C:D, MATCH(F738 &amp; " " &amp; G738, PCRent!A:A &amp; " " &amp; PCRent!B:B, 0)), "")</f>
        <v/>
      </c>
      <c r="P738" s="293"/>
      <c r="Q738" s="294" t="str">
        <f t="array" ref="Q738">IFERROR(INDEX(MonitorRent!C:D, MATCH(F738 &amp; " " &amp; G738, MonitorRent!A:A &amp; " " &amp; MonitorRent!B:B, 0)), "")</f>
        <v/>
      </c>
      <c r="R738" s="295"/>
    </row>
    <row r="739">
      <c r="A739" s="284">
        <v>736.0</v>
      </c>
      <c r="B739" s="285" t="s">
        <v>12798</v>
      </c>
      <c r="C739" s="285" t="s">
        <v>12765</v>
      </c>
      <c r="D739" s="286" t="s">
        <v>12799</v>
      </c>
      <c r="E739" s="285" t="s">
        <v>6921</v>
      </c>
      <c r="F739" s="285" t="s">
        <v>12800</v>
      </c>
      <c r="G739" s="285" t="s">
        <v>11628</v>
      </c>
      <c r="H739" s="285" t="s">
        <v>12801</v>
      </c>
      <c r="I739" s="285" t="s">
        <v>12802</v>
      </c>
      <c r="J739" s="285" t="s">
        <v>5224</v>
      </c>
      <c r="K739" s="285" t="s">
        <v>2300</v>
      </c>
      <c r="L739" s="285" t="s">
        <v>10538</v>
      </c>
      <c r="M739" s="285" t="s">
        <v>9383</v>
      </c>
      <c r="N739" s="287" t="str">
        <f>IFERROR(
    IF(
        AND(
            VLOOKUP(B739, 'รายชื่อพนักงานลาออกพ้นสภาพ'!B:I, 8, FALSE)&lt;&gt;"ยกเลิกลาออก",
            VLOOKUP(B739, 'รายชื่อพนักงานลาออกพ้นสภาพ'!B:I, 7, FALSE)&lt;=TODAY()
        ),
        "ลาออกแล้ว",
        ""
    ),
"")</f>
        <v/>
      </c>
      <c r="O739" s="292" t="str">
        <f t="array" ref="O739">IFERROR(INDEX(PCRent!C:D, MATCH(F739 &amp; " " &amp; G739, PCRent!A:A &amp; " " &amp; PCRent!B:B, 0)), "")</f>
        <v/>
      </c>
      <c r="P739" s="293"/>
      <c r="Q739" s="294" t="str">
        <f t="array" ref="Q739">IFERROR(INDEX(MonitorRent!C:D, MATCH(F739 &amp; " " &amp; G739, MonitorRent!A:A &amp; " " &amp; MonitorRent!B:B, 0)), "")</f>
        <v/>
      </c>
      <c r="R739" s="295"/>
    </row>
    <row r="740">
      <c r="A740" s="284">
        <v>737.0</v>
      </c>
      <c r="B740" s="285" t="s">
        <v>12803</v>
      </c>
      <c r="C740" s="285" t="s">
        <v>12765</v>
      </c>
      <c r="D740" s="286" t="s">
        <v>12794</v>
      </c>
      <c r="E740" s="285" t="s">
        <v>6933</v>
      </c>
      <c r="F740" s="285" t="s">
        <v>10666</v>
      </c>
      <c r="G740" s="285" t="s">
        <v>12804</v>
      </c>
      <c r="H740" s="285" t="s">
        <v>9637</v>
      </c>
      <c r="I740" s="285" t="s">
        <v>12805</v>
      </c>
      <c r="J740" s="285" t="s">
        <v>5224</v>
      </c>
      <c r="K740" s="285" t="s">
        <v>10028</v>
      </c>
      <c r="L740" s="285" t="s">
        <v>3096</v>
      </c>
      <c r="M740" s="285" t="s">
        <v>9383</v>
      </c>
      <c r="N740" s="287" t="str">
        <f>IFERROR(
    IF(
        AND(
            VLOOKUP(B740, 'รายชื่อพนักงานลาออกพ้นสภาพ'!B:I, 8, FALSE)&lt;&gt;"ยกเลิกลาออก",
            VLOOKUP(B740, 'รายชื่อพนักงานลาออกพ้นสภาพ'!B:I, 7, FALSE)&lt;=TODAY()
        ),
        "ลาออกแล้ว",
        ""
    ),
"")</f>
        <v/>
      </c>
      <c r="O740" s="292" t="str">
        <f t="array" ref="O740">IFERROR(INDEX(PCRent!C:D, MATCH(F740 &amp; " " &amp; G740, PCRent!A:A &amp; " " &amp; PCRent!B:B, 0)), "")</f>
        <v/>
      </c>
      <c r="P740" s="293"/>
      <c r="Q740" s="294" t="str">
        <f t="array" ref="Q740">IFERROR(INDEX(MonitorRent!C:D, MATCH(F740 &amp; " " &amp; G740, MonitorRent!A:A &amp; " " &amp; MonitorRent!B:B, 0)), "")</f>
        <v/>
      </c>
      <c r="R740" s="295"/>
    </row>
    <row r="741">
      <c r="A741" s="284">
        <v>738.0</v>
      </c>
      <c r="B741" s="285" t="s">
        <v>12806</v>
      </c>
      <c r="C741" s="285" t="s">
        <v>12765</v>
      </c>
      <c r="D741" s="286" t="s">
        <v>12807</v>
      </c>
      <c r="E741" s="285" t="s">
        <v>6933</v>
      </c>
      <c r="F741" s="285" t="s">
        <v>10834</v>
      </c>
      <c r="G741" s="285" t="s">
        <v>12808</v>
      </c>
      <c r="H741" s="285" t="s">
        <v>10866</v>
      </c>
      <c r="I741" s="285" t="s">
        <v>12809</v>
      </c>
      <c r="J741" s="285" t="s">
        <v>5224</v>
      </c>
      <c r="K741" s="285" t="s">
        <v>2062</v>
      </c>
      <c r="L741" s="285" t="s">
        <v>12776</v>
      </c>
      <c r="M741" s="285" t="s">
        <v>9383</v>
      </c>
      <c r="N741" s="287" t="str">
        <f>IFERROR(
    IF(
        AND(
            VLOOKUP(B741, 'รายชื่อพนักงานลาออกพ้นสภาพ'!B:I, 8, FALSE)&lt;&gt;"ยกเลิกลาออก",
            VLOOKUP(B741, 'รายชื่อพนักงานลาออกพ้นสภาพ'!B:I, 7, FALSE)&lt;=TODAY()
        ),
        "ลาออกแล้ว",
        ""
    ),
"")</f>
        <v/>
      </c>
      <c r="O741" s="292" t="str">
        <f t="array" ref="O741">IFERROR(INDEX(PCRent!C:D, MATCH(F741 &amp; " " &amp; G741, PCRent!A:A &amp; " " &amp; PCRent!B:B, 0)), "")</f>
        <v/>
      </c>
      <c r="P741" s="293"/>
      <c r="Q741" s="294" t="str">
        <f t="array" ref="Q741">IFERROR(INDEX(MonitorRent!C:D, MATCH(F741 &amp; " " &amp; G741, MonitorRent!A:A &amp; " " &amp; MonitorRent!B:B, 0)), "")</f>
        <v/>
      </c>
      <c r="R741" s="295"/>
    </row>
    <row r="742">
      <c r="A742" s="284">
        <v>739.0</v>
      </c>
      <c r="B742" s="285" t="s">
        <v>12810</v>
      </c>
      <c r="C742" s="285" t="s">
        <v>12765</v>
      </c>
      <c r="D742" s="286" t="s">
        <v>10729</v>
      </c>
      <c r="E742" s="285" t="s">
        <v>6921</v>
      </c>
      <c r="F742" s="285" t="s">
        <v>12811</v>
      </c>
      <c r="G742" s="285" t="s">
        <v>12812</v>
      </c>
      <c r="H742" s="285" t="s">
        <v>10168</v>
      </c>
      <c r="I742" s="285" t="s">
        <v>12813</v>
      </c>
      <c r="J742" s="285" t="s">
        <v>5224</v>
      </c>
      <c r="K742" s="285" t="s">
        <v>2300</v>
      </c>
      <c r="L742" s="285" t="s">
        <v>10538</v>
      </c>
      <c r="M742" s="285" t="s">
        <v>9383</v>
      </c>
      <c r="N742" s="287" t="str">
        <f>IFERROR(
    IF(
        AND(
            VLOOKUP(B742, 'รายชื่อพนักงานลาออกพ้นสภาพ'!B:I, 8, FALSE)&lt;&gt;"ยกเลิกลาออก",
            VLOOKUP(B742, 'รายชื่อพนักงานลาออกพ้นสภาพ'!B:I, 7, FALSE)&lt;=TODAY()
        ),
        "ลาออกแล้ว",
        ""
    ),
"")</f>
        <v/>
      </c>
      <c r="O742" s="292" t="str">
        <f t="array" ref="O742">IFERROR(INDEX(PCRent!C:D, MATCH(F742 &amp; " " &amp; G742, PCRent!A:A &amp; " " &amp; PCRent!B:B, 0)), "")</f>
        <v/>
      </c>
      <c r="P742" s="293"/>
      <c r="Q742" s="294" t="str">
        <f t="array" ref="Q742">IFERROR(INDEX(MonitorRent!C:D, MATCH(F742 &amp; " " &amp; G742, MonitorRent!A:A &amp; " " &amp; MonitorRent!B:B, 0)), "")</f>
        <v/>
      </c>
      <c r="R742" s="295"/>
    </row>
    <row r="743">
      <c r="A743" s="284">
        <v>740.0</v>
      </c>
      <c r="B743" s="285" t="s">
        <v>12814</v>
      </c>
      <c r="C743" s="285" t="s">
        <v>12765</v>
      </c>
      <c r="D743" s="286" t="s">
        <v>9594</v>
      </c>
      <c r="E743" s="285" t="s">
        <v>6921</v>
      </c>
      <c r="F743" s="285" t="s">
        <v>12815</v>
      </c>
      <c r="G743" s="285" t="s">
        <v>12816</v>
      </c>
      <c r="H743" s="285" t="s">
        <v>12817</v>
      </c>
      <c r="I743" s="285" t="s">
        <v>5671</v>
      </c>
      <c r="J743" s="285" t="s">
        <v>5224</v>
      </c>
      <c r="K743" s="285" t="s">
        <v>10118</v>
      </c>
      <c r="L743" s="285" t="s">
        <v>3096</v>
      </c>
      <c r="M743" s="285" t="s">
        <v>9383</v>
      </c>
      <c r="N743" s="287" t="str">
        <f>IFERROR(
    IF(
        AND(
            VLOOKUP(B743, 'รายชื่อพนักงานลาออกพ้นสภาพ'!B:I, 8, FALSE)&lt;&gt;"ยกเลิกลาออก",
            VLOOKUP(B743, 'รายชื่อพนักงานลาออกพ้นสภาพ'!B:I, 7, FALSE)&lt;=TODAY()
        ),
        "ลาออกแล้ว",
        ""
    ),
"")</f>
        <v/>
      </c>
      <c r="O743" s="292" t="str">
        <f t="array" ref="O743">IFERROR(INDEX(PCRent!C:D, MATCH(F743 &amp; " " &amp; G743, PCRent!A:A &amp; " " &amp; PCRent!B:B, 0)), "")</f>
        <v/>
      </c>
      <c r="P743" s="293"/>
      <c r="Q743" s="294" t="str">
        <f t="array" ref="Q743">IFERROR(INDEX(MonitorRent!C:D, MATCH(F743 &amp; " " &amp; G743, MonitorRent!A:A &amp; " " &amp; MonitorRent!B:B, 0)), "")</f>
        <v/>
      </c>
      <c r="R743" s="295"/>
    </row>
    <row r="744">
      <c r="A744" s="284">
        <v>741.0</v>
      </c>
      <c r="B744" s="285" t="s">
        <v>12818</v>
      </c>
      <c r="C744" s="285" t="s">
        <v>12765</v>
      </c>
      <c r="D744" s="286" t="s">
        <v>10063</v>
      </c>
      <c r="E744" s="285" t="s">
        <v>6921</v>
      </c>
      <c r="F744" s="285" t="s">
        <v>12819</v>
      </c>
      <c r="G744" s="285" t="s">
        <v>12820</v>
      </c>
      <c r="H744" s="285" t="s">
        <v>11164</v>
      </c>
      <c r="I744" s="285" t="s">
        <v>12821</v>
      </c>
      <c r="J744" s="285" t="s">
        <v>5224</v>
      </c>
      <c r="K744" s="285" t="s">
        <v>10028</v>
      </c>
      <c r="L744" s="285" t="s">
        <v>3096</v>
      </c>
      <c r="M744" s="285" t="s">
        <v>9391</v>
      </c>
      <c r="N744" s="287" t="str">
        <f>IFERROR(
    IF(
        AND(
            VLOOKUP(B744, 'รายชื่อพนักงานลาออกพ้นสภาพ'!B:I, 8, FALSE)&lt;&gt;"ยกเลิกลาออก",
            VLOOKUP(B744, 'รายชื่อพนักงานลาออกพ้นสภาพ'!B:I, 7, FALSE)&lt;=TODAY()
        ),
        "ลาออกแล้ว",
        ""
    ),
"")</f>
        <v/>
      </c>
      <c r="O744" s="292" t="str">
        <f t="array" ref="O744">IFERROR(INDEX(PCRent!C:D, MATCH(F744 &amp; " " &amp; G744, PCRent!A:A &amp; " " &amp; PCRent!B:B, 0)), "")</f>
        <v/>
      </c>
      <c r="P744" s="293"/>
      <c r="Q744" s="294" t="str">
        <f t="array" ref="Q744">IFERROR(INDEX(MonitorRent!C:D, MATCH(F744 &amp; " " &amp; G744, MonitorRent!A:A &amp; " " &amp; MonitorRent!B:B, 0)), "")</f>
        <v/>
      </c>
      <c r="R744" s="295"/>
    </row>
    <row r="745">
      <c r="A745" s="284">
        <v>742.0</v>
      </c>
      <c r="B745" s="285" t="s">
        <v>12822</v>
      </c>
      <c r="C745" s="285" t="s">
        <v>12765</v>
      </c>
      <c r="D745" s="286" t="s">
        <v>12823</v>
      </c>
      <c r="E745" s="285" t="s">
        <v>6921</v>
      </c>
      <c r="F745" s="285" t="s">
        <v>12824</v>
      </c>
      <c r="G745" s="285" t="s">
        <v>12825</v>
      </c>
      <c r="H745" s="285" t="s">
        <v>9669</v>
      </c>
      <c r="I745" s="285" t="s">
        <v>12826</v>
      </c>
      <c r="J745" s="285" t="s">
        <v>5224</v>
      </c>
      <c r="K745" s="285" t="s">
        <v>1386</v>
      </c>
      <c r="L745" s="285" t="s">
        <v>2603</v>
      </c>
      <c r="M745" s="285" t="s">
        <v>9383</v>
      </c>
      <c r="N745" s="287" t="str">
        <f>IFERROR(
    IF(
        AND(
            VLOOKUP(B745, 'รายชื่อพนักงานลาออกพ้นสภาพ'!B:I, 8, FALSE)&lt;&gt;"ยกเลิกลาออก",
            VLOOKUP(B745, 'รายชื่อพนักงานลาออกพ้นสภาพ'!B:I, 7, FALSE)&lt;=TODAY()
        ),
        "ลาออกแล้ว",
        ""
    ),
"")</f>
        <v/>
      </c>
      <c r="O745" s="292" t="str">
        <f t="array" ref="O745">IFERROR(INDEX(PCRent!C:D, MATCH(F745 &amp; " " &amp; G745, PCRent!A:A &amp; " " &amp; PCRent!B:B, 0)), "")</f>
        <v/>
      </c>
      <c r="P745" s="293"/>
      <c r="Q745" s="294" t="str">
        <f t="array" ref="Q745">IFERROR(INDEX(MonitorRent!C:D, MATCH(F745 &amp; " " &amp; G745, MonitorRent!A:A &amp; " " &amp; MonitorRent!B:B, 0)), "")</f>
        <v/>
      </c>
      <c r="R745" s="295"/>
    </row>
    <row r="746">
      <c r="A746" s="284">
        <v>743.0</v>
      </c>
      <c r="B746" s="285" t="s">
        <v>12827</v>
      </c>
      <c r="C746" s="285" t="s">
        <v>12765</v>
      </c>
      <c r="D746" s="286" t="s">
        <v>11632</v>
      </c>
      <c r="E746" s="285" t="s">
        <v>6921</v>
      </c>
      <c r="F746" s="285" t="s">
        <v>12828</v>
      </c>
      <c r="G746" s="285" t="s">
        <v>12829</v>
      </c>
      <c r="H746" s="285" t="s">
        <v>10345</v>
      </c>
      <c r="I746" s="285" t="s">
        <v>12830</v>
      </c>
      <c r="J746" s="285" t="s">
        <v>5224</v>
      </c>
      <c r="K746" s="285" t="s">
        <v>9390</v>
      </c>
      <c r="L746" s="285" t="s">
        <v>3096</v>
      </c>
      <c r="M746" s="285" t="s">
        <v>9383</v>
      </c>
      <c r="N746" s="287" t="str">
        <f>IFERROR(
    IF(
        AND(
            VLOOKUP(B746, 'รายชื่อพนักงานลาออกพ้นสภาพ'!B:I, 8, FALSE)&lt;&gt;"ยกเลิกลาออก",
            VLOOKUP(B746, 'รายชื่อพนักงานลาออกพ้นสภาพ'!B:I, 7, FALSE)&lt;=TODAY()
        ),
        "ลาออกแล้ว",
        ""
    ),
"")</f>
        <v/>
      </c>
      <c r="O746" s="292" t="str">
        <f t="array" ref="O746:P746">IFERROR(INDEX(PCRent!C:D, MATCH(F746 &amp; " " &amp; G746, PCRent!A:A &amp; " " &amp; PCRent!B:B, 0)), "")</f>
        <v>SN:6WRKQ04</v>
      </c>
      <c r="P746" s="293" t="s">
        <v>7048</v>
      </c>
      <c r="Q746" s="294" t="str">
        <f t="array" ref="Q746:R746">IFERROR(INDEX(MonitorRent!C:D, MATCH(F746 &amp; " " &amp; G746, MonitorRent!A:A &amp; " " &amp; MonitorRent!B:B, 0)), "")</f>
        <v>SN:91X8XY3</v>
      </c>
      <c r="R746" s="295" t="s">
        <v>9397</v>
      </c>
    </row>
    <row r="747">
      <c r="A747" s="284">
        <v>744.0</v>
      </c>
      <c r="B747" s="285" t="s">
        <v>12831</v>
      </c>
      <c r="C747" s="285" t="s">
        <v>12765</v>
      </c>
      <c r="D747" s="286" t="s">
        <v>12832</v>
      </c>
      <c r="E747" s="285" t="s">
        <v>6921</v>
      </c>
      <c r="F747" s="285" t="s">
        <v>12833</v>
      </c>
      <c r="G747" s="285" t="s">
        <v>12834</v>
      </c>
      <c r="H747" s="285" t="s">
        <v>12037</v>
      </c>
      <c r="I747" s="285" t="s">
        <v>12835</v>
      </c>
      <c r="J747" s="285" t="s">
        <v>5224</v>
      </c>
      <c r="K747" s="285" t="s">
        <v>10056</v>
      </c>
      <c r="L747" s="285" t="s">
        <v>2603</v>
      </c>
      <c r="M747" s="285" t="s">
        <v>9383</v>
      </c>
      <c r="N747" s="287" t="str">
        <f>IFERROR(
    IF(
        AND(
            VLOOKUP(B747, 'รายชื่อพนักงานลาออกพ้นสภาพ'!B:I, 8, FALSE)&lt;&gt;"ยกเลิกลาออก",
            VLOOKUP(B747, 'รายชื่อพนักงานลาออกพ้นสภาพ'!B:I, 7, FALSE)&lt;=TODAY()
        ),
        "ลาออกแล้ว",
        ""
    ),
"")</f>
        <v/>
      </c>
      <c r="O747" s="292" t="str">
        <f t="array" ref="O747">IFERROR(INDEX(PCRent!C:D, MATCH(F747 &amp; " " &amp; G747, PCRent!A:A &amp; " " &amp; PCRent!B:B, 0)), "")</f>
        <v/>
      </c>
      <c r="P747" s="293"/>
      <c r="Q747" s="294" t="str">
        <f t="array" ref="Q747">IFERROR(INDEX(MonitorRent!C:D, MATCH(F747 &amp; " " &amp; G747, MonitorRent!A:A &amp; " " &amp; MonitorRent!B:B, 0)), "")</f>
        <v/>
      </c>
      <c r="R747" s="295"/>
    </row>
    <row r="748">
      <c r="A748" s="284">
        <v>745.0</v>
      </c>
      <c r="B748" s="285" t="s">
        <v>12836</v>
      </c>
      <c r="C748" s="285" t="s">
        <v>12765</v>
      </c>
      <c r="D748" s="286" t="s">
        <v>12837</v>
      </c>
      <c r="E748" s="285" t="s">
        <v>6921</v>
      </c>
      <c r="F748" s="285" t="s">
        <v>12838</v>
      </c>
      <c r="G748" s="285" t="s">
        <v>12839</v>
      </c>
      <c r="H748" s="285" t="s">
        <v>12025</v>
      </c>
      <c r="I748" s="285" t="s">
        <v>12840</v>
      </c>
      <c r="J748" s="285" t="s">
        <v>5224</v>
      </c>
      <c r="K748" s="285" t="s">
        <v>10056</v>
      </c>
      <c r="L748" s="285" t="s">
        <v>7626</v>
      </c>
      <c r="M748" s="285" t="s">
        <v>9383</v>
      </c>
      <c r="N748" s="287" t="str">
        <f>IFERROR(
    IF(
        AND(
            VLOOKUP(B748, 'รายชื่อพนักงานลาออกพ้นสภาพ'!B:I, 8, FALSE)&lt;&gt;"ยกเลิกลาออก",
            VLOOKUP(B748, 'รายชื่อพนักงานลาออกพ้นสภาพ'!B:I, 7, FALSE)&lt;=TODAY()
        ),
        "ลาออกแล้ว",
        ""
    ),
"")</f>
        <v/>
      </c>
      <c r="O748" s="292" t="str">
        <f t="array" ref="O748">IFERROR(INDEX(PCRent!C:D, MATCH(F748 &amp; " " &amp; G748, PCRent!A:A &amp; " " &amp; PCRent!B:B, 0)), "")</f>
        <v/>
      </c>
      <c r="P748" s="293"/>
      <c r="Q748" s="294" t="str">
        <f t="array" ref="Q748">IFERROR(INDEX(MonitorRent!C:D, MATCH(F748 &amp; " " &amp; G748, MonitorRent!A:A &amp; " " &amp; MonitorRent!B:B, 0)), "")</f>
        <v/>
      </c>
      <c r="R748" s="295"/>
    </row>
    <row r="749">
      <c r="A749" s="284">
        <v>746.0</v>
      </c>
      <c r="B749" s="285" t="s">
        <v>12841</v>
      </c>
      <c r="C749" s="285" t="s">
        <v>12765</v>
      </c>
      <c r="D749" s="286" t="s">
        <v>9876</v>
      </c>
      <c r="E749" s="285" t="s">
        <v>6921</v>
      </c>
      <c r="F749" s="285" t="s">
        <v>12842</v>
      </c>
      <c r="G749" s="285" t="s">
        <v>12843</v>
      </c>
      <c r="H749" s="285" t="s">
        <v>10744</v>
      </c>
      <c r="I749" s="285" t="s">
        <v>12844</v>
      </c>
      <c r="J749" s="285" t="s">
        <v>5224</v>
      </c>
      <c r="K749" s="285" t="s">
        <v>12845</v>
      </c>
      <c r="L749" s="285" t="s">
        <v>7626</v>
      </c>
      <c r="M749" s="285" t="s">
        <v>9383</v>
      </c>
      <c r="N749" s="287" t="str">
        <f>IFERROR(
    IF(
        AND(
            VLOOKUP(B749, 'รายชื่อพนักงานลาออกพ้นสภาพ'!B:I, 8, FALSE)&lt;&gt;"ยกเลิกลาออก",
            VLOOKUP(B749, 'รายชื่อพนักงานลาออกพ้นสภาพ'!B:I, 7, FALSE)&lt;=TODAY()
        ),
        "ลาออกแล้ว",
        ""
    ),
"")</f>
        <v/>
      </c>
      <c r="O749" s="292" t="str">
        <f t="array" ref="O749">IFERROR(INDEX(PCRent!C:D, MATCH(F749 &amp; " " &amp; G749, PCRent!A:A &amp; " " &amp; PCRent!B:B, 0)), "")</f>
        <v/>
      </c>
      <c r="P749" s="293"/>
      <c r="Q749" s="294" t="str">
        <f t="array" ref="Q749">IFERROR(INDEX(MonitorRent!C:D, MATCH(F749 &amp; " " &amp; G749, MonitorRent!A:A &amp; " " &amp; MonitorRent!B:B, 0)), "")</f>
        <v/>
      </c>
      <c r="R749" s="295"/>
    </row>
    <row r="750">
      <c r="A750" s="284">
        <v>747.0</v>
      </c>
      <c r="B750" s="285" t="s">
        <v>12846</v>
      </c>
      <c r="C750" s="285" t="s">
        <v>12765</v>
      </c>
      <c r="D750" s="286" t="s">
        <v>12847</v>
      </c>
      <c r="E750" s="285" t="s">
        <v>6933</v>
      </c>
      <c r="F750" s="285" t="s">
        <v>12848</v>
      </c>
      <c r="G750" s="285" t="s">
        <v>12849</v>
      </c>
      <c r="H750" s="285" t="s">
        <v>12850</v>
      </c>
      <c r="I750" s="285" t="s">
        <v>12851</v>
      </c>
      <c r="J750" s="285" t="s">
        <v>5224</v>
      </c>
      <c r="K750" s="285" t="s">
        <v>10056</v>
      </c>
      <c r="L750" s="285" t="s">
        <v>12776</v>
      </c>
      <c r="M750" s="285" t="s">
        <v>9383</v>
      </c>
      <c r="N750" s="287" t="str">
        <f>IFERROR(
    IF(
        AND(
            VLOOKUP(B750, 'รายชื่อพนักงานลาออกพ้นสภาพ'!B:I, 8, FALSE)&lt;&gt;"ยกเลิกลาออก",
            VLOOKUP(B750, 'รายชื่อพนักงานลาออกพ้นสภาพ'!B:I, 7, FALSE)&lt;=TODAY()
        ),
        "ลาออกแล้ว",
        ""
    ),
"")</f>
        <v/>
      </c>
      <c r="O750" s="292" t="str">
        <f t="array" ref="O750">IFERROR(INDEX(PCRent!C:D, MATCH(F750 &amp; " " &amp; G750, PCRent!A:A &amp; " " &amp; PCRent!B:B, 0)), "")</f>
        <v/>
      </c>
      <c r="P750" s="293"/>
      <c r="Q750" s="294" t="str">
        <f t="array" ref="Q750">IFERROR(INDEX(MonitorRent!C:D, MATCH(F750 &amp; " " &amp; G750, MonitorRent!A:A &amp; " " &amp; MonitorRent!B:B, 0)), "")</f>
        <v/>
      </c>
      <c r="R750" s="295"/>
    </row>
    <row r="751">
      <c r="A751" s="284">
        <v>748.0</v>
      </c>
      <c r="B751" s="285" t="s">
        <v>12852</v>
      </c>
      <c r="C751" s="285" t="s">
        <v>12765</v>
      </c>
      <c r="D751" s="286" t="s">
        <v>9427</v>
      </c>
      <c r="E751" s="285" t="s">
        <v>6921</v>
      </c>
      <c r="F751" s="285" t="s">
        <v>12853</v>
      </c>
      <c r="G751" s="285" t="s">
        <v>12854</v>
      </c>
      <c r="H751" s="285" t="s">
        <v>12855</v>
      </c>
      <c r="I751" s="285" t="s">
        <v>12856</v>
      </c>
      <c r="J751" s="285" t="s">
        <v>5224</v>
      </c>
      <c r="K751" s="285" t="s">
        <v>12857</v>
      </c>
      <c r="L751" s="285" t="s">
        <v>10538</v>
      </c>
      <c r="M751" s="285" t="s">
        <v>9383</v>
      </c>
      <c r="N751" s="287" t="str">
        <f>IFERROR(
    IF(
        AND(
            VLOOKUP(B751, 'รายชื่อพนักงานลาออกพ้นสภาพ'!B:I, 8, FALSE)&lt;&gt;"ยกเลิกลาออก",
            VLOOKUP(B751, 'รายชื่อพนักงานลาออกพ้นสภาพ'!B:I, 7, FALSE)&lt;=TODAY()
        ),
        "ลาออกแล้ว",
        ""
    ),
"")</f>
        <v/>
      </c>
      <c r="O751" s="292" t="str">
        <f t="array" ref="O751">IFERROR(INDEX(PCRent!C:D, MATCH(F751 &amp; " " &amp; G751, PCRent!A:A &amp; " " &amp; PCRent!B:B, 0)), "")</f>
        <v/>
      </c>
      <c r="P751" s="293"/>
      <c r="Q751" s="294" t="str">
        <f t="array" ref="Q751">IFERROR(INDEX(MonitorRent!C:D, MATCH(F751 &amp; " " &amp; G751, MonitorRent!A:A &amp; " " &amp; MonitorRent!B:B, 0)), "")</f>
        <v/>
      </c>
      <c r="R751" s="295"/>
    </row>
    <row r="752">
      <c r="A752" s="284">
        <v>749.0</v>
      </c>
      <c r="B752" s="285" t="s">
        <v>12858</v>
      </c>
      <c r="C752" s="285" t="s">
        <v>12765</v>
      </c>
      <c r="D752" s="286" t="s">
        <v>10501</v>
      </c>
      <c r="E752" s="285" t="s">
        <v>6921</v>
      </c>
      <c r="F752" s="285" t="s">
        <v>12859</v>
      </c>
      <c r="G752" s="285" t="s">
        <v>12860</v>
      </c>
      <c r="H752" s="296"/>
      <c r="I752" s="285" t="s">
        <v>12861</v>
      </c>
      <c r="J752" s="285" t="s">
        <v>5224</v>
      </c>
      <c r="K752" s="285" t="s">
        <v>1386</v>
      </c>
      <c r="L752" s="285" t="s">
        <v>2603</v>
      </c>
      <c r="M752" s="285" t="s">
        <v>9383</v>
      </c>
      <c r="N752" s="287" t="str">
        <f>IFERROR(
    IF(
        AND(
            VLOOKUP(B752, 'รายชื่อพนักงานลาออกพ้นสภาพ'!B:I, 8, FALSE)&lt;&gt;"ยกเลิกลาออก",
            VLOOKUP(B752, 'รายชื่อพนักงานลาออกพ้นสภาพ'!B:I, 7, FALSE)&lt;=TODAY()
        ),
        "ลาออกแล้ว",
        ""
    ),
"")</f>
        <v/>
      </c>
      <c r="O752" s="292" t="str">
        <f t="array" ref="O752">IFERROR(INDEX(PCRent!C:D, MATCH(F752 &amp; " " &amp; G752, PCRent!A:A &amp; " " &amp; PCRent!B:B, 0)), "")</f>
        <v/>
      </c>
      <c r="P752" s="293"/>
      <c r="Q752" s="294" t="str">
        <f t="array" ref="Q752">IFERROR(INDEX(MonitorRent!C:D, MATCH(F752 &amp; " " &amp; G752, MonitorRent!A:A &amp; " " &amp; MonitorRent!B:B, 0)), "")</f>
        <v/>
      </c>
      <c r="R752" s="295"/>
    </row>
    <row r="753">
      <c r="A753" s="284">
        <v>750.0</v>
      </c>
      <c r="B753" s="285" t="s">
        <v>12862</v>
      </c>
      <c r="C753" s="285" t="s">
        <v>12765</v>
      </c>
      <c r="D753" s="286" t="s">
        <v>12863</v>
      </c>
      <c r="E753" s="285" t="s">
        <v>6921</v>
      </c>
      <c r="F753" s="285" t="s">
        <v>12864</v>
      </c>
      <c r="G753" s="285" t="s">
        <v>12865</v>
      </c>
      <c r="H753" s="285" t="s">
        <v>9637</v>
      </c>
      <c r="I753" s="285" t="s">
        <v>12866</v>
      </c>
      <c r="J753" s="285" t="s">
        <v>5224</v>
      </c>
      <c r="K753" s="285" t="s">
        <v>4835</v>
      </c>
      <c r="L753" s="285" t="s">
        <v>7626</v>
      </c>
      <c r="M753" s="285" t="s">
        <v>9383</v>
      </c>
      <c r="N753" s="287" t="str">
        <f>IFERROR(
    IF(
        AND(
            VLOOKUP(B753, 'รายชื่อพนักงานลาออกพ้นสภาพ'!B:I, 8, FALSE)&lt;&gt;"ยกเลิกลาออก",
            VLOOKUP(B753, 'รายชื่อพนักงานลาออกพ้นสภาพ'!B:I, 7, FALSE)&lt;=TODAY()
        ),
        "ลาออกแล้ว",
        ""
    ),
"")</f>
        <v/>
      </c>
      <c r="O753" s="292" t="str">
        <f t="array" ref="O753">IFERROR(INDEX(PCRent!C:D, MATCH(F753 &amp; " " &amp; G753, PCRent!A:A &amp; " " &amp; PCRent!B:B, 0)), "")</f>
        <v/>
      </c>
      <c r="P753" s="293"/>
      <c r="Q753" s="294" t="str">
        <f t="array" ref="Q753">IFERROR(INDEX(MonitorRent!C:D, MATCH(F753 &amp; " " &amp; G753, MonitorRent!A:A &amp; " " &amp; MonitorRent!B:B, 0)), "")</f>
        <v/>
      </c>
      <c r="R753" s="295"/>
    </row>
    <row r="754">
      <c r="A754" s="284">
        <v>751.0</v>
      </c>
      <c r="B754" s="285" t="s">
        <v>12867</v>
      </c>
      <c r="C754" s="285" t="s">
        <v>12765</v>
      </c>
      <c r="D754" s="286" t="s">
        <v>10690</v>
      </c>
      <c r="E754" s="285" t="s">
        <v>6933</v>
      </c>
      <c r="F754" s="285" t="s">
        <v>12868</v>
      </c>
      <c r="G754" s="285" t="s">
        <v>12869</v>
      </c>
      <c r="H754" s="285" t="s">
        <v>9696</v>
      </c>
      <c r="I754" s="285" t="s">
        <v>12870</v>
      </c>
      <c r="J754" s="285" t="s">
        <v>5224</v>
      </c>
      <c r="K754" s="285" t="s">
        <v>10028</v>
      </c>
      <c r="L754" s="285" t="s">
        <v>3096</v>
      </c>
      <c r="M754" s="285" t="s">
        <v>9383</v>
      </c>
      <c r="N754" s="287" t="str">
        <f>IFERROR(
    IF(
        AND(
            VLOOKUP(B754, 'รายชื่อพนักงานลาออกพ้นสภาพ'!B:I, 8, FALSE)&lt;&gt;"ยกเลิกลาออก",
            VLOOKUP(B754, 'รายชื่อพนักงานลาออกพ้นสภาพ'!B:I, 7, FALSE)&lt;=TODAY()
        ),
        "ลาออกแล้ว",
        ""
    ),
"")</f>
        <v/>
      </c>
      <c r="O754" s="292" t="str">
        <f t="array" ref="O754">IFERROR(INDEX(PCRent!C:D, MATCH(F754 &amp; " " &amp; G754, PCRent!A:A &amp; " " &amp; PCRent!B:B, 0)), "")</f>
        <v/>
      </c>
      <c r="P754" s="293"/>
      <c r="Q754" s="294" t="str">
        <f t="array" ref="Q754">IFERROR(INDEX(MonitorRent!C:D, MATCH(F754 &amp; " " &amp; G754, MonitorRent!A:A &amp; " " &amp; MonitorRent!B:B, 0)), "")</f>
        <v/>
      </c>
      <c r="R754" s="295"/>
    </row>
    <row r="755">
      <c r="A755" s="284">
        <v>752.0</v>
      </c>
      <c r="B755" s="285" t="s">
        <v>12871</v>
      </c>
      <c r="C755" s="285" t="s">
        <v>12765</v>
      </c>
      <c r="D755" s="286" t="s">
        <v>12872</v>
      </c>
      <c r="E755" s="285" t="s">
        <v>6921</v>
      </c>
      <c r="F755" s="285" t="s">
        <v>12873</v>
      </c>
      <c r="G755" s="285" t="s">
        <v>12874</v>
      </c>
      <c r="H755" s="285" t="s">
        <v>12875</v>
      </c>
      <c r="I755" s="285" t="s">
        <v>12876</v>
      </c>
      <c r="J755" s="285" t="s">
        <v>5224</v>
      </c>
      <c r="K755" s="285" t="s">
        <v>9649</v>
      </c>
      <c r="L755" s="285" t="s">
        <v>10538</v>
      </c>
      <c r="M755" s="285" t="s">
        <v>9383</v>
      </c>
      <c r="N755" s="287" t="str">
        <f>IFERROR(
    IF(
        AND(
            VLOOKUP(B755, 'รายชื่อพนักงานลาออกพ้นสภาพ'!B:I, 8, FALSE)&lt;&gt;"ยกเลิกลาออก",
            VLOOKUP(B755, 'รายชื่อพนักงานลาออกพ้นสภาพ'!B:I, 7, FALSE)&lt;=TODAY()
        ),
        "ลาออกแล้ว",
        ""
    ),
"")</f>
        <v/>
      </c>
      <c r="O755" s="292" t="str">
        <f t="array" ref="O755">IFERROR(INDEX(PCRent!C:D, MATCH(F755 &amp; " " &amp; G755, PCRent!A:A &amp; " " &amp; PCRent!B:B, 0)), "")</f>
        <v/>
      </c>
      <c r="P755" s="293"/>
      <c r="Q755" s="294" t="str">
        <f t="array" ref="Q755">IFERROR(INDEX(MonitorRent!C:D, MATCH(F755 &amp; " " &amp; G755, MonitorRent!A:A &amp; " " &amp; MonitorRent!B:B, 0)), "")</f>
        <v/>
      </c>
      <c r="R755" s="295"/>
    </row>
    <row r="756">
      <c r="A756" s="284">
        <v>753.0</v>
      </c>
      <c r="B756" s="285" t="s">
        <v>12877</v>
      </c>
      <c r="C756" s="285" t="s">
        <v>12765</v>
      </c>
      <c r="D756" s="286" t="s">
        <v>12878</v>
      </c>
      <c r="E756" s="285" t="s">
        <v>6921</v>
      </c>
      <c r="F756" s="285" t="s">
        <v>12879</v>
      </c>
      <c r="G756" s="285" t="s">
        <v>12880</v>
      </c>
      <c r="H756" s="285" t="s">
        <v>10420</v>
      </c>
      <c r="I756" s="285" t="s">
        <v>12881</v>
      </c>
      <c r="J756" s="285" t="s">
        <v>5224</v>
      </c>
      <c r="K756" s="285" t="s">
        <v>4805</v>
      </c>
      <c r="L756" s="285" t="s">
        <v>7621</v>
      </c>
      <c r="M756" s="285" t="s">
        <v>9383</v>
      </c>
      <c r="N756" s="287" t="str">
        <f>IFERROR(
    IF(
        AND(
            VLOOKUP(B756, 'รายชื่อพนักงานลาออกพ้นสภาพ'!B:I, 8, FALSE)&lt;&gt;"ยกเลิกลาออก",
            VLOOKUP(B756, 'รายชื่อพนักงานลาออกพ้นสภาพ'!B:I, 7, FALSE)&lt;=TODAY()
        ),
        "ลาออกแล้ว",
        ""
    ),
"")</f>
        <v/>
      </c>
      <c r="O756" s="292" t="str">
        <f t="array" ref="O756:P756">IFERROR(INDEX(PCRent!C:D, MATCH(F756 &amp; " " &amp; G756, PCRent!A:A &amp; " " &amp; PCRent!B:B, 0)), "")</f>
        <v>SN:BQT2CZ3</v>
      </c>
      <c r="P756" s="293" t="s">
        <v>7048</v>
      </c>
      <c r="Q756" s="294" t="str">
        <f t="array" ref="Q756:R756">IFERROR(INDEX(MonitorRent!C:D, MATCH(F756 &amp; " " &amp; G756, MonitorRent!A:A &amp; " " &amp; MonitorRent!B:B, 0)), "")</f>
        <v>SN:GH6F8T3</v>
      </c>
      <c r="R756" s="295" t="s">
        <v>6995</v>
      </c>
    </row>
    <row r="757">
      <c r="A757" s="284">
        <v>754.0</v>
      </c>
      <c r="B757" s="285" t="s">
        <v>12882</v>
      </c>
      <c r="C757" s="285" t="s">
        <v>12765</v>
      </c>
      <c r="D757" s="286" t="s">
        <v>10485</v>
      </c>
      <c r="E757" s="285" t="s">
        <v>6921</v>
      </c>
      <c r="F757" s="285" t="s">
        <v>12883</v>
      </c>
      <c r="G757" s="285" t="s">
        <v>12884</v>
      </c>
      <c r="H757" s="285" t="s">
        <v>12885</v>
      </c>
      <c r="I757" s="285" t="s">
        <v>12886</v>
      </c>
      <c r="J757" s="285" t="s">
        <v>5224</v>
      </c>
      <c r="K757" s="285" t="s">
        <v>2300</v>
      </c>
      <c r="L757" s="285" t="s">
        <v>12776</v>
      </c>
      <c r="M757" s="285" t="s">
        <v>9383</v>
      </c>
      <c r="N757" s="287" t="str">
        <f>IFERROR(
    IF(
        AND(
            VLOOKUP(B757, 'รายชื่อพนักงานลาออกพ้นสภาพ'!B:I, 8, FALSE)&lt;&gt;"ยกเลิกลาออก",
            VLOOKUP(B757, 'รายชื่อพนักงานลาออกพ้นสภาพ'!B:I, 7, FALSE)&lt;=TODAY()
        ),
        "ลาออกแล้ว",
        ""
    ),
"")</f>
        <v/>
      </c>
      <c r="O757" s="292" t="str">
        <f t="array" ref="O757">IFERROR(INDEX(PCRent!C:D, MATCH(F757 &amp; " " &amp; G757, PCRent!A:A &amp; " " &amp; PCRent!B:B, 0)), "")</f>
        <v/>
      </c>
      <c r="P757" s="293"/>
      <c r="Q757" s="294" t="str">
        <f t="array" ref="Q757">IFERROR(INDEX(MonitorRent!C:D, MATCH(F757 &amp; " " &amp; G757, MonitorRent!A:A &amp; " " &amp; MonitorRent!B:B, 0)), "")</f>
        <v/>
      </c>
      <c r="R757" s="295"/>
    </row>
    <row r="758">
      <c r="A758" s="284">
        <v>755.0</v>
      </c>
      <c r="B758" s="285" t="s">
        <v>12887</v>
      </c>
      <c r="C758" s="285" t="s">
        <v>12765</v>
      </c>
      <c r="D758" s="286" t="s">
        <v>12888</v>
      </c>
      <c r="E758" s="285" t="s">
        <v>6921</v>
      </c>
      <c r="F758" s="285" t="s">
        <v>12889</v>
      </c>
      <c r="G758" s="285" t="s">
        <v>12890</v>
      </c>
      <c r="H758" s="285" t="s">
        <v>12891</v>
      </c>
      <c r="I758" s="285" t="s">
        <v>12892</v>
      </c>
      <c r="J758" s="285" t="s">
        <v>5224</v>
      </c>
      <c r="K758" s="285" t="s">
        <v>12857</v>
      </c>
      <c r="L758" s="285" t="s">
        <v>2603</v>
      </c>
      <c r="M758" s="285" t="s">
        <v>9383</v>
      </c>
      <c r="N758" s="287" t="str">
        <f>IFERROR(
    IF(
        AND(
            VLOOKUP(B758, 'รายชื่อพนักงานลาออกพ้นสภาพ'!B:I, 8, FALSE)&lt;&gt;"ยกเลิกลาออก",
            VLOOKUP(B758, 'รายชื่อพนักงานลาออกพ้นสภาพ'!B:I, 7, FALSE)&lt;=TODAY()
        ),
        "ลาออกแล้ว",
        ""
    ),
"")</f>
        <v/>
      </c>
      <c r="O758" s="292" t="str">
        <f t="array" ref="O758">IFERROR(INDEX(PCRent!C:D, MATCH(F758 &amp; " " &amp; G758, PCRent!A:A &amp; " " &amp; PCRent!B:B, 0)), "")</f>
        <v/>
      </c>
      <c r="P758" s="293"/>
      <c r="Q758" s="294" t="str">
        <f t="array" ref="Q758">IFERROR(INDEX(MonitorRent!C:D, MATCH(F758 &amp; " " &amp; G758, MonitorRent!A:A &amp; " " &amp; MonitorRent!B:B, 0)), "")</f>
        <v/>
      </c>
      <c r="R758" s="295"/>
    </row>
    <row r="759">
      <c r="A759" s="284">
        <v>756.0</v>
      </c>
      <c r="B759" s="285" t="s">
        <v>12893</v>
      </c>
      <c r="C759" s="285" t="s">
        <v>12765</v>
      </c>
      <c r="D759" s="286" t="s">
        <v>10012</v>
      </c>
      <c r="E759" s="285" t="s">
        <v>6933</v>
      </c>
      <c r="F759" s="285" t="s">
        <v>11852</v>
      </c>
      <c r="G759" s="285" t="s">
        <v>12894</v>
      </c>
      <c r="H759" s="285" t="s">
        <v>9691</v>
      </c>
      <c r="I759" s="285" t="s">
        <v>12895</v>
      </c>
      <c r="J759" s="285" t="s">
        <v>5224</v>
      </c>
      <c r="K759" s="285" t="s">
        <v>12896</v>
      </c>
      <c r="L759" s="285" t="s">
        <v>7626</v>
      </c>
      <c r="M759" s="285" t="s">
        <v>9383</v>
      </c>
      <c r="N759" s="287" t="str">
        <f>IFERROR(
    IF(
        AND(
            VLOOKUP(B759, 'รายชื่อพนักงานลาออกพ้นสภาพ'!B:I, 8, FALSE)&lt;&gt;"ยกเลิกลาออก",
            VLOOKUP(B759, 'รายชื่อพนักงานลาออกพ้นสภาพ'!B:I, 7, FALSE)&lt;=TODAY()
        ),
        "ลาออกแล้ว",
        ""
    ),
"")</f>
        <v/>
      </c>
      <c r="O759" s="292" t="str">
        <f t="array" ref="O759">IFERROR(INDEX(PCRent!C:D, MATCH(F759 &amp; " " &amp; G759, PCRent!A:A &amp; " " &amp; PCRent!B:B, 0)), "")</f>
        <v/>
      </c>
      <c r="P759" s="293"/>
      <c r="Q759" s="294" t="str">
        <f t="array" ref="Q759">IFERROR(INDEX(MonitorRent!C:D, MATCH(F759 &amp; " " &amp; G759, MonitorRent!A:A &amp; " " &amp; MonitorRent!B:B, 0)), "")</f>
        <v/>
      </c>
      <c r="R759" s="295"/>
    </row>
    <row r="760">
      <c r="A760" s="284">
        <v>757.0</v>
      </c>
      <c r="B760" s="285" t="s">
        <v>12897</v>
      </c>
      <c r="C760" s="285" t="s">
        <v>12765</v>
      </c>
      <c r="D760" s="286" t="s">
        <v>12898</v>
      </c>
      <c r="E760" s="285" t="s">
        <v>6921</v>
      </c>
      <c r="F760" s="285" t="s">
        <v>12899</v>
      </c>
      <c r="G760" s="285" t="s">
        <v>12900</v>
      </c>
      <c r="H760" s="285" t="s">
        <v>9659</v>
      </c>
      <c r="I760" s="285" t="s">
        <v>6660</v>
      </c>
      <c r="J760" s="285" t="s">
        <v>5224</v>
      </c>
      <c r="K760" s="285" t="s">
        <v>9533</v>
      </c>
      <c r="L760" s="285" t="s">
        <v>10538</v>
      </c>
      <c r="M760" s="285" t="s">
        <v>9383</v>
      </c>
      <c r="N760" s="287" t="str">
        <f>IFERROR(
    IF(
        AND(
            VLOOKUP(B760, 'รายชื่อพนักงานลาออกพ้นสภาพ'!B:I, 8, FALSE)&lt;&gt;"ยกเลิกลาออก",
            VLOOKUP(B760, 'รายชื่อพนักงานลาออกพ้นสภาพ'!B:I, 7, FALSE)&lt;=TODAY()
        ),
        "ลาออกแล้ว",
        ""
    ),
"")</f>
        <v/>
      </c>
      <c r="O760" s="292" t="str">
        <f t="array" ref="O760">IFERROR(INDEX(PCRent!C:D, MATCH(F760 &amp; " " &amp; G760, PCRent!A:A &amp; " " &amp; PCRent!B:B, 0)), "")</f>
        <v/>
      </c>
      <c r="P760" s="293"/>
      <c r="Q760" s="294" t="str">
        <f t="array" ref="Q760">IFERROR(INDEX(MonitorRent!C:D, MATCH(F760 &amp; " " &amp; G760, MonitorRent!A:A &amp; " " &amp; MonitorRent!B:B, 0)), "")</f>
        <v/>
      </c>
      <c r="R760" s="295"/>
    </row>
    <row r="761">
      <c r="A761" s="284">
        <v>758.0</v>
      </c>
      <c r="B761" s="285" t="s">
        <v>12901</v>
      </c>
      <c r="C761" s="285" t="s">
        <v>12765</v>
      </c>
      <c r="D761" s="286" t="s">
        <v>11610</v>
      </c>
      <c r="E761" s="285" t="s">
        <v>6921</v>
      </c>
      <c r="F761" s="285" t="s">
        <v>9967</v>
      </c>
      <c r="G761" s="285" t="s">
        <v>12902</v>
      </c>
      <c r="H761" s="285" t="s">
        <v>9934</v>
      </c>
      <c r="I761" s="285" t="s">
        <v>12903</v>
      </c>
      <c r="J761" s="285" t="s">
        <v>5224</v>
      </c>
      <c r="K761" s="285" t="s">
        <v>12904</v>
      </c>
      <c r="L761" s="285" t="s">
        <v>7626</v>
      </c>
      <c r="M761" s="285" t="s">
        <v>9383</v>
      </c>
      <c r="N761" s="287" t="str">
        <f>IFERROR(
    IF(
        AND(
            VLOOKUP(B761, 'รายชื่อพนักงานลาออกพ้นสภาพ'!B:I, 8, FALSE)&lt;&gt;"ยกเลิกลาออก",
            VLOOKUP(B761, 'รายชื่อพนักงานลาออกพ้นสภาพ'!B:I, 7, FALSE)&lt;=TODAY()
        ),
        "ลาออกแล้ว",
        ""
    ),
"")</f>
        <v/>
      </c>
      <c r="O761" s="292" t="str">
        <f t="array" ref="O761">IFERROR(INDEX(PCRent!C:D, MATCH(F761 &amp; " " &amp; G761, PCRent!A:A &amp; " " &amp; PCRent!B:B, 0)), "")</f>
        <v/>
      </c>
      <c r="P761" s="293"/>
      <c r="Q761" s="294" t="str">
        <f t="array" ref="Q761">IFERROR(INDEX(MonitorRent!C:D, MATCH(F761 &amp; " " &amp; G761, MonitorRent!A:A &amp; " " &amp; MonitorRent!B:B, 0)), "")</f>
        <v/>
      </c>
      <c r="R761" s="295"/>
    </row>
    <row r="762">
      <c r="A762" s="284">
        <v>759.0</v>
      </c>
      <c r="B762" s="285" t="s">
        <v>12905</v>
      </c>
      <c r="C762" s="285" t="s">
        <v>12765</v>
      </c>
      <c r="D762" s="286" t="s">
        <v>12906</v>
      </c>
      <c r="E762" s="285" t="s">
        <v>6921</v>
      </c>
      <c r="F762" s="285" t="s">
        <v>12907</v>
      </c>
      <c r="G762" s="285" t="s">
        <v>12908</v>
      </c>
      <c r="H762" s="285" t="s">
        <v>10765</v>
      </c>
      <c r="I762" s="285" t="s">
        <v>12909</v>
      </c>
      <c r="J762" s="285" t="s">
        <v>5224</v>
      </c>
      <c r="K762" s="285" t="s">
        <v>12910</v>
      </c>
      <c r="L762" s="285" t="s">
        <v>10538</v>
      </c>
      <c r="M762" s="285" t="s">
        <v>9383</v>
      </c>
      <c r="N762" s="287" t="str">
        <f>IFERROR(
    IF(
        AND(
            VLOOKUP(B762, 'รายชื่อพนักงานลาออกพ้นสภาพ'!B:I, 8, FALSE)&lt;&gt;"ยกเลิกลาออก",
            VLOOKUP(B762, 'รายชื่อพนักงานลาออกพ้นสภาพ'!B:I, 7, FALSE)&lt;=TODAY()
        ),
        "ลาออกแล้ว",
        ""
    ),
"")</f>
        <v/>
      </c>
      <c r="O762" s="292" t="str">
        <f t="array" ref="O762">IFERROR(INDEX(PCRent!C:D, MATCH(F762 &amp; " " &amp; G762, PCRent!A:A &amp; " " &amp; PCRent!B:B, 0)), "")</f>
        <v/>
      </c>
      <c r="P762" s="293"/>
      <c r="Q762" s="294" t="str">
        <f t="array" ref="Q762">IFERROR(INDEX(MonitorRent!C:D, MATCH(F762 &amp; " " &amp; G762, MonitorRent!A:A &amp; " " &amp; MonitorRent!B:B, 0)), "")</f>
        <v/>
      </c>
      <c r="R762" s="295"/>
    </row>
    <row r="763">
      <c r="A763" s="284">
        <v>760.0</v>
      </c>
      <c r="B763" s="285" t="s">
        <v>12911</v>
      </c>
      <c r="C763" s="285" t="s">
        <v>12765</v>
      </c>
      <c r="D763" s="286" t="s">
        <v>12912</v>
      </c>
      <c r="E763" s="285" t="s">
        <v>6921</v>
      </c>
      <c r="F763" s="285" t="s">
        <v>12071</v>
      </c>
      <c r="G763" s="285" t="s">
        <v>12913</v>
      </c>
      <c r="H763" s="285" t="s">
        <v>12914</v>
      </c>
      <c r="I763" s="285" t="s">
        <v>12915</v>
      </c>
      <c r="J763" s="285" t="s">
        <v>5224</v>
      </c>
      <c r="K763" s="285" t="s">
        <v>12414</v>
      </c>
      <c r="L763" s="285" t="s">
        <v>7626</v>
      </c>
      <c r="M763" s="285" t="s">
        <v>9383</v>
      </c>
      <c r="N763" s="287" t="str">
        <f>IFERROR(
    IF(
        AND(
            VLOOKUP(B763, 'รายชื่อพนักงานลาออกพ้นสภาพ'!B:I, 8, FALSE)&lt;&gt;"ยกเลิกลาออก",
            VLOOKUP(B763, 'รายชื่อพนักงานลาออกพ้นสภาพ'!B:I, 7, FALSE)&lt;=TODAY()
        ),
        "ลาออกแล้ว",
        ""
    ),
"")</f>
        <v/>
      </c>
      <c r="O763" s="292" t="str">
        <f t="array" ref="O763">IFERROR(INDEX(PCRent!C:D, MATCH(F763 &amp; " " &amp; G763, PCRent!A:A &amp; " " &amp; PCRent!B:B, 0)), "")</f>
        <v/>
      </c>
      <c r="P763" s="293"/>
      <c r="Q763" s="294" t="str">
        <f t="array" ref="Q763">IFERROR(INDEX(MonitorRent!C:D, MATCH(F763 &amp; " " &amp; G763, MonitorRent!A:A &amp; " " &amp; MonitorRent!B:B, 0)), "")</f>
        <v/>
      </c>
      <c r="R763" s="295"/>
    </row>
    <row r="764">
      <c r="A764" s="284">
        <v>761.0</v>
      </c>
      <c r="B764" s="285" t="s">
        <v>12916</v>
      </c>
      <c r="C764" s="285" t="s">
        <v>12765</v>
      </c>
      <c r="D764" s="286" t="s">
        <v>10690</v>
      </c>
      <c r="E764" s="285" t="s">
        <v>6921</v>
      </c>
      <c r="F764" s="285" t="s">
        <v>12917</v>
      </c>
      <c r="G764" s="285" t="s">
        <v>12918</v>
      </c>
      <c r="H764" s="285" t="s">
        <v>12919</v>
      </c>
      <c r="I764" s="285" t="s">
        <v>12920</v>
      </c>
      <c r="J764" s="285" t="s">
        <v>5224</v>
      </c>
      <c r="K764" s="285" t="s">
        <v>10028</v>
      </c>
      <c r="L764" s="285" t="s">
        <v>3096</v>
      </c>
      <c r="M764" s="285" t="s">
        <v>9383</v>
      </c>
      <c r="N764" s="287" t="str">
        <f>IFERROR(
    IF(
        AND(
            VLOOKUP(B764, 'รายชื่อพนักงานลาออกพ้นสภาพ'!B:I, 8, FALSE)&lt;&gt;"ยกเลิกลาออก",
            VLOOKUP(B764, 'รายชื่อพนักงานลาออกพ้นสภาพ'!B:I, 7, FALSE)&lt;=TODAY()
        ),
        "ลาออกแล้ว",
        ""
    ),
"")</f>
        <v/>
      </c>
      <c r="O764" s="292" t="str">
        <f t="array" ref="O764">IFERROR(INDEX(PCRent!C:D, MATCH(F764 &amp; " " &amp; G764, PCRent!A:A &amp; " " &amp; PCRent!B:B, 0)), "")</f>
        <v/>
      </c>
      <c r="P764" s="293"/>
      <c r="Q764" s="294" t="str">
        <f t="array" ref="Q764">IFERROR(INDEX(MonitorRent!C:D, MATCH(F764 &amp; " " &amp; G764, MonitorRent!A:A &amp; " " &amp; MonitorRent!B:B, 0)), "")</f>
        <v/>
      </c>
      <c r="R764" s="295"/>
    </row>
    <row r="765">
      <c r="A765" s="284">
        <v>762.0</v>
      </c>
      <c r="B765" s="285" t="s">
        <v>12921</v>
      </c>
      <c r="C765" s="285" t="s">
        <v>12765</v>
      </c>
      <c r="D765" s="286" t="s">
        <v>9842</v>
      </c>
      <c r="E765" s="285" t="s">
        <v>6921</v>
      </c>
      <c r="F765" s="285" t="s">
        <v>12922</v>
      </c>
      <c r="G765" s="285" t="s">
        <v>12923</v>
      </c>
      <c r="H765" s="285" t="s">
        <v>10244</v>
      </c>
      <c r="I765" s="285" t="s">
        <v>5146</v>
      </c>
      <c r="J765" s="285" t="s">
        <v>5224</v>
      </c>
      <c r="K765" s="285" t="s">
        <v>4835</v>
      </c>
      <c r="L765" s="285" t="s">
        <v>10538</v>
      </c>
      <c r="M765" s="285" t="s">
        <v>9383</v>
      </c>
      <c r="N765" s="287" t="str">
        <f>IFERROR(
    IF(
        AND(
            VLOOKUP(B765, 'รายชื่อพนักงานลาออกพ้นสภาพ'!B:I, 8, FALSE)&lt;&gt;"ยกเลิกลาออก",
            VLOOKUP(B765, 'รายชื่อพนักงานลาออกพ้นสภาพ'!B:I, 7, FALSE)&lt;=TODAY()
        ),
        "ลาออกแล้ว",
        ""
    ),
"")</f>
        <v/>
      </c>
      <c r="O765" s="292" t="str">
        <f t="array" ref="O765:P765">IFERROR(INDEX(PCRent!C:D, MATCH(F765 &amp; " " &amp; G765, PCRent!A:A &amp; " " &amp; PCRent!B:B, 0)), "")</f>
        <v>SN:6ZYNPY3</v>
      </c>
      <c r="P765" s="293" t="s">
        <v>7048</v>
      </c>
      <c r="Q765" s="294" t="str">
        <f t="array" ref="Q765:R765">IFERROR(INDEX(MonitorRent!C:D, MATCH(F765 &amp; " " &amp; G765, MonitorRent!A:A &amp; " " &amp; MonitorRent!B:B, 0)), "")</f>
        <v>SN:C7LNYV3</v>
      </c>
      <c r="R765" s="295" t="s">
        <v>7050</v>
      </c>
    </row>
    <row r="766">
      <c r="A766" s="284">
        <v>763.0</v>
      </c>
      <c r="B766" s="285" t="s">
        <v>622</v>
      </c>
      <c r="C766" s="285" t="s">
        <v>12765</v>
      </c>
      <c r="D766" s="286" t="s">
        <v>11170</v>
      </c>
      <c r="E766" s="285" t="s">
        <v>6921</v>
      </c>
      <c r="F766" s="285" t="s">
        <v>12924</v>
      </c>
      <c r="G766" s="285" t="s">
        <v>12925</v>
      </c>
      <c r="H766" s="285" t="s">
        <v>9998</v>
      </c>
      <c r="I766" s="285" t="s">
        <v>625</v>
      </c>
      <c r="J766" s="285" t="s">
        <v>5224</v>
      </c>
      <c r="K766" s="285" t="s">
        <v>9649</v>
      </c>
      <c r="L766" s="285" t="s">
        <v>10538</v>
      </c>
      <c r="M766" s="285" t="s">
        <v>9391</v>
      </c>
      <c r="N766" s="287" t="str">
        <f>IFERROR(
    IF(
        AND(
            VLOOKUP(B766, 'รายชื่อพนักงานลาออกพ้นสภาพ'!B:I, 8, FALSE)&lt;&gt;"ยกเลิกลาออก",
            VLOOKUP(B766, 'รายชื่อพนักงานลาออกพ้นสภาพ'!B:I, 7, FALSE)&lt;=TODAY()
        ),
        "ลาออกแล้ว",
        ""
    ),
"")</f>
        <v>ลาออกแล้ว</v>
      </c>
      <c r="O766" s="292" t="str">
        <f t="array" ref="O766">IFERROR(INDEX(PCRent!C:D, MATCH(F766 &amp; " " &amp; G766, PCRent!A:A &amp; " " &amp; PCRent!B:B, 0)), "")</f>
        <v/>
      </c>
      <c r="P766" s="293"/>
      <c r="Q766" s="294" t="str">
        <f t="array" ref="Q766">IFERROR(INDEX(MonitorRent!C:D, MATCH(F766 &amp; " " &amp; G766, MonitorRent!A:A &amp; " " &amp; MonitorRent!B:B, 0)), "")</f>
        <v/>
      </c>
      <c r="R766" s="295"/>
    </row>
    <row r="767">
      <c r="A767" s="284">
        <v>764.0</v>
      </c>
      <c r="B767" s="285" t="s">
        <v>12926</v>
      </c>
      <c r="C767" s="285" t="s">
        <v>12765</v>
      </c>
      <c r="D767" s="286" t="s">
        <v>10738</v>
      </c>
      <c r="E767" s="285" t="s">
        <v>6921</v>
      </c>
      <c r="F767" s="285" t="s">
        <v>12927</v>
      </c>
      <c r="G767" s="285" t="s">
        <v>12928</v>
      </c>
      <c r="H767" s="285" t="s">
        <v>10852</v>
      </c>
      <c r="I767" s="285" t="s">
        <v>12929</v>
      </c>
      <c r="J767" s="285" t="s">
        <v>5224</v>
      </c>
      <c r="K767" s="285" t="s">
        <v>10028</v>
      </c>
      <c r="L767" s="285" t="s">
        <v>3096</v>
      </c>
      <c r="M767" s="285" t="s">
        <v>9383</v>
      </c>
      <c r="N767" s="287" t="str">
        <f>IFERROR(
    IF(
        AND(
            VLOOKUP(B767, 'รายชื่อพนักงานลาออกพ้นสภาพ'!B:I, 8, FALSE)&lt;&gt;"ยกเลิกลาออก",
            VLOOKUP(B767, 'รายชื่อพนักงานลาออกพ้นสภาพ'!B:I, 7, FALSE)&lt;=TODAY()
        ),
        "ลาออกแล้ว",
        ""
    ),
"")</f>
        <v/>
      </c>
      <c r="O767" s="292" t="str">
        <f t="array" ref="O767">IFERROR(INDEX(PCRent!C:D, MATCH(F767 &amp; " " &amp; G767, PCRent!A:A &amp; " " &amp; PCRent!B:B, 0)), "")</f>
        <v/>
      </c>
      <c r="P767" s="293"/>
      <c r="Q767" s="294" t="str">
        <f t="array" ref="Q767">IFERROR(INDEX(MonitorRent!C:D, MATCH(F767 &amp; " " &amp; G767, MonitorRent!A:A &amp; " " &amp; MonitorRent!B:B, 0)), "")</f>
        <v/>
      </c>
      <c r="R767" s="295"/>
    </row>
    <row r="768">
      <c r="A768" s="284">
        <v>765.0</v>
      </c>
      <c r="B768" s="285" t="s">
        <v>12930</v>
      </c>
      <c r="C768" s="285" t="s">
        <v>12765</v>
      </c>
      <c r="D768" s="286" t="s">
        <v>10724</v>
      </c>
      <c r="E768" s="285" t="s">
        <v>6921</v>
      </c>
      <c r="F768" s="285" t="s">
        <v>12931</v>
      </c>
      <c r="G768" s="285" t="s">
        <v>12932</v>
      </c>
      <c r="H768" s="285" t="s">
        <v>12933</v>
      </c>
      <c r="I768" s="285" t="s">
        <v>12934</v>
      </c>
      <c r="J768" s="285" t="s">
        <v>5224</v>
      </c>
      <c r="K768" s="285" t="s">
        <v>2300</v>
      </c>
      <c r="L768" s="285" t="s">
        <v>10538</v>
      </c>
      <c r="M768" s="285" t="s">
        <v>9383</v>
      </c>
      <c r="N768" s="287" t="str">
        <f>IFERROR(
    IF(
        AND(
            VLOOKUP(B768, 'รายชื่อพนักงานลาออกพ้นสภาพ'!B:I, 8, FALSE)&lt;&gt;"ยกเลิกลาออก",
            VLOOKUP(B768, 'รายชื่อพนักงานลาออกพ้นสภาพ'!B:I, 7, FALSE)&lt;=TODAY()
        ),
        "ลาออกแล้ว",
        ""
    ),
"")</f>
        <v/>
      </c>
      <c r="O768" s="292" t="str">
        <f t="array" ref="O768">IFERROR(INDEX(PCRent!C:D, MATCH(F768 &amp; " " &amp; G768, PCRent!A:A &amp; " " &amp; PCRent!B:B, 0)), "")</f>
        <v/>
      </c>
      <c r="P768" s="293"/>
      <c r="Q768" s="294" t="str">
        <f t="array" ref="Q768">IFERROR(INDEX(MonitorRent!C:D, MATCH(F768 &amp; " " &amp; G768, MonitorRent!A:A &amp; " " &amp; MonitorRent!B:B, 0)), "")</f>
        <v/>
      </c>
      <c r="R768" s="295"/>
    </row>
    <row r="769">
      <c r="A769" s="284">
        <v>766.0</v>
      </c>
      <c r="B769" s="285" t="s">
        <v>12935</v>
      </c>
      <c r="C769" s="285" t="s">
        <v>12765</v>
      </c>
      <c r="D769" s="286" t="s">
        <v>10904</v>
      </c>
      <c r="E769" s="285" t="s">
        <v>6933</v>
      </c>
      <c r="F769" s="285" t="s">
        <v>12936</v>
      </c>
      <c r="G769" s="285" t="s">
        <v>12937</v>
      </c>
      <c r="H769" s="285" t="s">
        <v>10311</v>
      </c>
      <c r="I769" s="285" t="s">
        <v>12938</v>
      </c>
      <c r="J769" s="285" t="s">
        <v>5224</v>
      </c>
      <c r="K769" s="285" t="s">
        <v>9503</v>
      </c>
      <c r="L769" s="285" t="s">
        <v>10538</v>
      </c>
      <c r="M769" s="285" t="s">
        <v>9383</v>
      </c>
      <c r="N769" s="287" t="str">
        <f>IFERROR(
    IF(
        AND(
            VLOOKUP(B769, 'รายชื่อพนักงานลาออกพ้นสภาพ'!B:I, 8, FALSE)&lt;&gt;"ยกเลิกลาออก",
            VLOOKUP(B769, 'รายชื่อพนักงานลาออกพ้นสภาพ'!B:I, 7, FALSE)&lt;=TODAY()
        ),
        "ลาออกแล้ว",
        ""
    ),
"")</f>
        <v/>
      </c>
      <c r="O769" s="292" t="str">
        <f t="array" ref="O769">IFERROR(INDEX(PCRent!C:D, MATCH(F769 &amp; " " &amp; G769, PCRent!A:A &amp; " " &amp; PCRent!B:B, 0)), "")</f>
        <v/>
      </c>
      <c r="P769" s="293"/>
      <c r="Q769" s="294" t="str">
        <f t="array" ref="Q769">IFERROR(INDEX(MonitorRent!C:D, MATCH(F769 &amp; " " &amp; G769, MonitorRent!A:A &amp; " " &amp; MonitorRent!B:B, 0)), "")</f>
        <v/>
      </c>
      <c r="R769" s="295"/>
    </row>
    <row r="770">
      <c r="A770" s="284">
        <v>767.0</v>
      </c>
      <c r="B770" s="285" t="s">
        <v>12939</v>
      </c>
      <c r="C770" s="285" t="s">
        <v>12765</v>
      </c>
      <c r="D770" s="286" t="s">
        <v>10493</v>
      </c>
      <c r="E770" s="285" t="s">
        <v>6933</v>
      </c>
      <c r="F770" s="285" t="s">
        <v>12940</v>
      </c>
      <c r="G770" s="285" t="s">
        <v>12941</v>
      </c>
      <c r="H770" s="285" t="s">
        <v>12942</v>
      </c>
      <c r="I770" s="285" t="s">
        <v>12943</v>
      </c>
      <c r="J770" s="285" t="s">
        <v>5224</v>
      </c>
      <c r="K770" s="285" t="s">
        <v>12944</v>
      </c>
      <c r="L770" s="285" t="s">
        <v>7550</v>
      </c>
      <c r="M770" s="285" t="s">
        <v>9383</v>
      </c>
      <c r="N770" s="287" t="str">
        <f>IFERROR(
    IF(
        AND(
            VLOOKUP(B770, 'รายชื่อพนักงานลาออกพ้นสภาพ'!B:I, 8, FALSE)&lt;&gt;"ยกเลิกลาออก",
            VLOOKUP(B770, 'รายชื่อพนักงานลาออกพ้นสภาพ'!B:I, 7, FALSE)&lt;=TODAY()
        ),
        "ลาออกแล้ว",
        ""
    ),
"")</f>
        <v/>
      </c>
      <c r="O770" s="292" t="str">
        <f t="array" ref="O770">IFERROR(INDEX(PCRent!C:D, MATCH(F770 &amp; " " &amp; G770, PCRent!A:A &amp; " " &amp; PCRent!B:B, 0)), "")</f>
        <v/>
      </c>
      <c r="P770" s="293"/>
      <c r="Q770" s="294" t="str">
        <f t="array" ref="Q770">IFERROR(INDEX(MonitorRent!C:D, MATCH(F770 &amp; " " &amp; G770, MonitorRent!A:A &amp; " " &amp; MonitorRent!B:B, 0)), "")</f>
        <v/>
      </c>
      <c r="R770" s="295"/>
    </row>
    <row r="771">
      <c r="A771" s="284">
        <v>768.0</v>
      </c>
      <c r="B771" s="285" t="s">
        <v>12945</v>
      </c>
      <c r="C771" s="285" t="s">
        <v>12765</v>
      </c>
      <c r="D771" s="286" t="s">
        <v>10825</v>
      </c>
      <c r="E771" s="285" t="s">
        <v>6933</v>
      </c>
      <c r="F771" s="285" t="s">
        <v>12731</v>
      </c>
      <c r="G771" s="285" t="s">
        <v>12946</v>
      </c>
      <c r="H771" s="285" t="s">
        <v>12947</v>
      </c>
      <c r="I771" s="285" t="s">
        <v>12948</v>
      </c>
      <c r="J771" s="285" t="s">
        <v>5224</v>
      </c>
      <c r="K771" s="285" t="s">
        <v>12896</v>
      </c>
      <c r="L771" s="285" t="s">
        <v>7626</v>
      </c>
      <c r="M771" s="285" t="s">
        <v>9383</v>
      </c>
      <c r="N771" s="287" t="str">
        <f>IFERROR(
    IF(
        AND(
            VLOOKUP(B771, 'รายชื่อพนักงานลาออกพ้นสภาพ'!B:I, 8, FALSE)&lt;&gt;"ยกเลิกลาออก",
            VLOOKUP(B771, 'รายชื่อพนักงานลาออกพ้นสภาพ'!B:I, 7, FALSE)&lt;=TODAY()
        ),
        "ลาออกแล้ว",
        ""
    ),
"")</f>
        <v/>
      </c>
      <c r="O771" s="292" t="str">
        <f t="array" ref="O771">IFERROR(INDEX(PCRent!C:D, MATCH(F771 &amp; " " &amp; G771, PCRent!A:A &amp; " " &amp; PCRent!B:B, 0)), "")</f>
        <v/>
      </c>
      <c r="P771" s="293"/>
      <c r="Q771" s="294" t="str">
        <f t="array" ref="Q771">IFERROR(INDEX(MonitorRent!C:D, MATCH(F771 &amp; " " &amp; G771, MonitorRent!A:A &amp; " " &amp; MonitorRent!B:B, 0)), "")</f>
        <v/>
      </c>
      <c r="R771" s="295"/>
    </row>
    <row r="772">
      <c r="A772" s="284">
        <v>769.0</v>
      </c>
      <c r="B772" s="285" t="s">
        <v>12949</v>
      </c>
      <c r="C772" s="285" t="s">
        <v>6918</v>
      </c>
      <c r="D772" s="286" t="s">
        <v>10303</v>
      </c>
      <c r="E772" s="285" t="s">
        <v>6921</v>
      </c>
      <c r="F772" s="285" t="s">
        <v>12950</v>
      </c>
      <c r="G772" s="285" t="s">
        <v>12951</v>
      </c>
      <c r="H772" s="285" t="s">
        <v>9531</v>
      </c>
      <c r="I772" s="285" t="s">
        <v>12952</v>
      </c>
      <c r="J772" s="285" t="s">
        <v>5012</v>
      </c>
      <c r="K772" s="285" t="s">
        <v>9560</v>
      </c>
      <c r="L772" s="285" t="s">
        <v>12953</v>
      </c>
      <c r="M772" s="285" t="s">
        <v>9383</v>
      </c>
      <c r="N772" s="287" t="str">
        <f>IFERROR(
    IF(
        AND(
            VLOOKUP(B772, 'รายชื่อพนักงานลาออกพ้นสภาพ'!B:I, 8, FALSE)&lt;&gt;"ยกเลิกลาออก",
            VLOOKUP(B772, 'รายชื่อพนักงานลาออกพ้นสภาพ'!B:I, 7, FALSE)&lt;=TODAY()
        ),
        "ลาออกแล้ว",
        ""
    ),
"")</f>
        <v/>
      </c>
      <c r="O772" s="292" t="str">
        <f t="array" ref="O772">IFERROR(INDEX(PCRent!C:D, MATCH(F772 &amp; " " &amp; G772, PCRent!A:A &amp; " " &amp; PCRent!B:B, 0)), "")</f>
        <v/>
      </c>
      <c r="P772" s="293"/>
      <c r="Q772" s="294" t="str">
        <f t="array" ref="Q772">IFERROR(INDEX(MonitorRent!C:D, MATCH(F772 &amp; " " &amp; G772, MonitorRent!A:A &amp; " " &amp; MonitorRent!B:B, 0)), "")</f>
        <v/>
      </c>
      <c r="R772" s="295"/>
    </row>
    <row r="773">
      <c r="A773" s="284">
        <v>770.0</v>
      </c>
      <c r="B773" s="285" t="s">
        <v>9073</v>
      </c>
      <c r="C773" s="285" t="s">
        <v>6918</v>
      </c>
      <c r="D773" s="286" t="s">
        <v>12954</v>
      </c>
      <c r="E773" s="285" t="s">
        <v>6921</v>
      </c>
      <c r="F773" s="285" t="s">
        <v>12955</v>
      </c>
      <c r="G773" s="285" t="s">
        <v>12956</v>
      </c>
      <c r="H773" s="285" t="s">
        <v>12957</v>
      </c>
      <c r="I773" s="285" t="s">
        <v>12958</v>
      </c>
      <c r="J773" s="285" t="s">
        <v>5224</v>
      </c>
      <c r="K773" s="285" t="s">
        <v>12717</v>
      </c>
      <c r="L773" s="285" t="s">
        <v>2508</v>
      </c>
      <c r="M773" s="285" t="s">
        <v>9383</v>
      </c>
      <c r="N773" s="287" t="str">
        <f>IFERROR(
    IF(
        AND(
            VLOOKUP(B773, 'รายชื่อพนักงานลาออกพ้นสภาพ'!B:I, 8, FALSE)&lt;&gt;"ยกเลิกลาออก",
            VLOOKUP(B773, 'รายชื่อพนักงานลาออกพ้นสภาพ'!B:I, 7, FALSE)&lt;=TODAY()
        ),
        "ลาออกแล้ว",
        ""
    ),
"")</f>
        <v/>
      </c>
      <c r="O773" s="292" t="str">
        <f t="array" ref="O773">IFERROR(INDEX(PCRent!C:D, MATCH(F773 &amp; " " &amp; G773, PCRent!A:A &amp; " " &amp; PCRent!B:B, 0)), "")</f>
        <v/>
      </c>
      <c r="P773" s="293"/>
      <c r="Q773" s="294" t="str">
        <f t="array" ref="Q773">IFERROR(INDEX(MonitorRent!C:D, MATCH(F773 &amp; " " &amp; G773, MonitorRent!A:A &amp; " " &amp; MonitorRent!B:B, 0)), "")</f>
        <v/>
      </c>
      <c r="R773" s="295"/>
    </row>
    <row r="774">
      <c r="A774" s="284">
        <v>771.0</v>
      </c>
      <c r="B774" s="285" t="s">
        <v>8863</v>
      </c>
      <c r="C774" s="285" t="s">
        <v>6918</v>
      </c>
      <c r="D774" s="286" t="s">
        <v>12959</v>
      </c>
      <c r="E774" s="285" t="s">
        <v>6921</v>
      </c>
      <c r="F774" s="285" t="s">
        <v>12960</v>
      </c>
      <c r="G774" s="285" t="s">
        <v>12961</v>
      </c>
      <c r="H774" s="285" t="s">
        <v>11025</v>
      </c>
      <c r="I774" s="285" t="s">
        <v>12962</v>
      </c>
      <c r="J774" s="285" t="s">
        <v>5224</v>
      </c>
      <c r="K774" s="285" t="s">
        <v>12963</v>
      </c>
      <c r="L774" s="285" t="s">
        <v>8850</v>
      </c>
      <c r="M774" s="285" t="s">
        <v>9383</v>
      </c>
      <c r="N774" s="287" t="str">
        <f>IFERROR(
    IF(
        AND(
            VLOOKUP(B774, 'รายชื่อพนักงานลาออกพ้นสภาพ'!B:I, 8, FALSE)&lt;&gt;"ยกเลิกลาออก",
            VLOOKUP(B774, 'รายชื่อพนักงานลาออกพ้นสภาพ'!B:I, 7, FALSE)&lt;=TODAY()
        ),
        "ลาออกแล้ว",
        ""
    ),
"")</f>
        <v/>
      </c>
      <c r="O774" s="292" t="str">
        <f t="array" ref="O774">IFERROR(INDEX(PCRent!C:D, MATCH(F774 &amp; " " &amp; G774, PCRent!A:A &amp; " " &amp; PCRent!B:B, 0)), "")</f>
        <v/>
      </c>
      <c r="P774" s="293"/>
      <c r="Q774" s="294" t="str">
        <f t="array" ref="Q774">IFERROR(INDEX(MonitorRent!C:D, MATCH(F774 &amp; " " &amp; G774, MonitorRent!A:A &amp; " " &amp; MonitorRent!B:B, 0)), "")</f>
        <v/>
      </c>
      <c r="R774" s="295"/>
    </row>
    <row r="775">
      <c r="A775" s="284">
        <v>772.0</v>
      </c>
      <c r="B775" s="285" t="s">
        <v>12964</v>
      </c>
      <c r="C775" s="285" t="s">
        <v>6918</v>
      </c>
      <c r="D775" s="286" t="s">
        <v>9979</v>
      </c>
      <c r="E775" s="285" t="s">
        <v>6921</v>
      </c>
      <c r="F775" s="285" t="s">
        <v>12965</v>
      </c>
      <c r="G775" s="285" t="s">
        <v>12966</v>
      </c>
      <c r="H775" s="285" t="s">
        <v>9573</v>
      </c>
      <c r="I775" s="285" t="s">
        <v>12967</v>
      </c>
      <c r="J775" s="285" t="s">
        <v>5224</v>
      </c>
      <c r="K775" s="285" t="s">
        <v>4749</v>
      </c>
      <c r="L775" s="285" t="s">
        <v>12968</v>
      </c>
      <c r="M775" s="285" t="s">
        <v>9383</v>
      </c>
      <c r="N775" s="287" t="str">
        <f>IFERROR(
    IF(
        AND(
            VLOOKUP(B775, 'รายชื่อพนักงานลาออกพ้นสภาพ'!B:I, 8, FALSE)&lt;&gt;"ยกเลิกลาออก",
            VLOOKUP(B775, 'รายชื่อพนักงานลาออกพ้นสภาพ'!B:I, 7, FALSE)&lt;=TODAY()
        ),
        "ลาออกแล้ว",
        ""
    ),
"")</f>
        <v/>
      </c>
      <c r="O775" s="292" t="str">
        <f t="array" ref="O775">IFERROR(INDEX(PCRent!C:D, MATCH(F775 &amp; " " &amp; G775, PCRent!A:A &amp; " " &amp; PCRent!B:B, 0)), "")</f>
        <v/>
      </c>
      <c r="P775" s="293"/>
      <c r="Q775" s="294" t="str">
        <f t="array" ref="Q775">IFERROR(INDEX(MonitorRent!C:D, MATCH(F775 &amp; " " &amp; G775, MonitorRent!A:A &amp; " " &amp; MonitorRent!B:B, 0)), "")</f>
        <v/>
      </c>
      <c r="R775" s="295"/>
    </row>
    <row r="776">
      <c r="A776" s="284">
        <v>773.0</v>
      </c>
      <c r="B776" s="285" t="s">
        <v>12969</v>
      </c>
      <c r="C776" s="285" t="s">
        <v>6918</v>
      </c>
      <c r="D776" s="286" t="s">
        <v>12411</v>
      </c>
      <c r="E776" s="285" t="s">
        <v>6921</v>
      </c>
      <c r="F776" s="285" t="s">
        <v>12970</v>
      </c>
      <c r="G776" s="285" t="s">
        <v>12971</v>
      </c>
      <c r="H776" s="285" t="s">
        <v>12030</v>
      </c>
      <c r="I776" s="285" t="s">
        <v>12972</v>
      </c>
      <c r="J776" s="285" t="s">
        <v>5012</v>
      </c>
      <c r="K776" s="285" t="s">
        <v>12973</v>
      </c>
      <c r="L776" s="285" t="s">
        <v>117</v>
      </c>
      <c r="M776" s="285" t="s">
        <v>9383</v>
      </c>
      <c r="N776" s="287" t="str">
        <f>IFERROR(
    IF(
        AND(
            VLOOKUP(B776, 'รายชื่อพนักงานลาออกพ้นสภาพ'!B:I, 8, FALSE)&lt;&gt;"ยกเลิกลาออก",
            VLOOKUP(B776, 'รายชื่อพนักงานลาออกพ้นสภาพ'!B:I, 7, FALSE)&lt;=TODAY()
        ),
        "ลาออกแล้ว",
        ""
    ),
"")</f>
        <v/>
      </c>
      <c r="O776" s="292" t="str">
        <f t="array" ref="O776:P776">IFERROR(INDEX(PCRent!C:D, MATCH(F776 &amp; " " &amp; G776, PCRent!A:A &amp; " " &amp; PCRent!B:B, 0)), "")</f>
        <v>SN:PF39FE6C</v>
      </c>
      <c r="P776" s="293" t="s">
        <v>7005</v>
      </c>
      <c r="Q776" s="294" t="str">
        <f t="array" ref="Q776">IFERROR(INDEX(MonitorRent!C:D, MATCH(F776 &amp; " " &amp; G776, MonitorRent!A:A &amp; " " &amp; MonitorRent!B:B, 0)), "")</f>
        <v/>
      </c>
      <c r="R776" s="295"/>
    </row>
    <row r="777">
      <c r="A777" s="284">
        <v>774.0</v>
      </c>
      <c r="B777" s="285" t="s">
        <v>688</v>
      </c>
      <c r="C777" s="285" t="s">
        <v>6918</v>
      </c>
      <c r="D777" s="286" t="s">
        <v>12974</v>
      </c>
      <c r="E777" s="285" t="s">
        <v>6921</v>
      </c>
      <c r="F777" s="285" t="s">
        <v>9386</v>
      </c>
      <c r="G777" s="285" t="s">
        <v>12975</v>
      </c>
      <c r="H777" s="285" t="s">
        <v>12976</v>
      </c>
      <c r="I777" s="285" t="s">
        <v>691</v>
      </c>
      <c r="J777" s="285" t="s">
        <v>5224</v>
      </c>
      <c r="K777" s="285" t="s">
        <v>4756</v>
      </c>
      <c r="L777" s="285" t="s">
        <v>8486</v>
      </c>
      <c r="M777" s="285" t="s">
        <v>9383</v>
      </c>
      <c r="N777" s="287" t="str">
        <f>IFERROR(
    IF(
        AND(
            VLOOKUP(B777, 'รายชื่อพนักงานลาออกพ้นสภาพ'!B:I, 8, FALSE)&lt;&gt;"ยกเลิกลาออก",
            VLOOKUP(B777, 'รายชื่อพนักงานลาออกพ้นสภาพ'!B:I, 7, FALSE)&lt;=TODAY()
        ),
        "ลาออกแล้ว",
        ""
    ),
"")</f>
        <v>ลาออกแล้ว</v>
      </c>
      <c r="O777" s="292" t="str">
        <f t="array" ref="O777">IFERROR(INDEX(PCRent!C:D, MATCH(F777 &amp; " " &amp; G777, PCRent!A:A &amp; " " &amp; PCRent!B:B, 0)), "")</f>
        <v/>
      </c>
      <c r="P777" s="293"/>
      <c r="Q777" s="294" t="str">
        <f t="array" ref="Q777">IFERROR(INDEX(MonitorRent!C:D, MATCH(F777 &amp; " " &amp; G777, MonitorRent!A:A &amp; " " &amp; MonitorRent!B:B, 0)), "")</f>
        <v/>
      </c>
      <c r="R777" s="295"/>
    </row>
    <row r="778">
      <c r="A778" s="284">
        <v>775.0</v>
      </c>
      <c r="B778" s="285" t="s">
        <v>7372</v>
      </c>
      <c r="C778" s="285" t="s">
        <v>6918</v>
      </c>
      <c r="D778" s="286" t="s">
        <v>10520</v>
      </c>
      <c r="E778" s="285" t="s">
        <v>6933</v>
      </c>
      <c r="F778" s="285" t="s">
        <v>12977</v>
      </c>
      <c r="G778" s="285" t="s">
        <v>12978</v>
      </c>
      <c r="H778" s="285" t="s">
        <v>12979</v>
      </c>
      <c r="I778" s="285" t="s">
        <v>12980</v>
      </c>
      <c r="J778" s="285" t="s">
        <v>5224</v>
      </c>
      <c r="K778" s="285" t="s">
        <v>12981</v>
      </c>
      <c r="L778" s="285" t="s">
        <v>12776</v>
      </c>
      <c r="M778" s="285" t="s">
        <v>9383</v>
      </c>
      <c r="N778" s="287" t="str">
        <f>IFERROR(
    IF(
        AND(
            VLOOKUP(B778, 'รายชื่อพนักงานลาออกพ้นสภาพ'!B:I, 8, FALSE)&lt;&gt;"ยกเลิกลาออก",
            VLOOKUP(B778, 'รายชื่อพนักงานลาออกพ้นสภาพ'!B:I, 7, FALSE)&lt;=TODAY()
        ),
        "ลาออกแล้ว",
        ""
    ),
"")</f>
        <v/>
      </c>
      <c r="O778" s="292" t="str">
        <f t="array" ref="O778">IFERROR(INDEX(PCRent!C:D, MATCH(F778 &amp; " " &amp; G778, PCRent!A:A &amp; " " &amp; PCRent!B:B, 0)), "")</f>
        <v/>
      </c>
      <c r="P778" s="293"/>
      <c r="Q778" s="294" t="str">
        <f t="array" ref="Q778">IFERROR(INDEX(MonitorRent!C:D, MATCH(F778 &amp; " " &amp; G778, MonitorRent!A:A &amp; " " &amp; MonitorRent!B:B, 0)), "")</f>
        <v/>
      </c>
      <c r="R778" s="295"/>
    </row>
    <row r="779">
      <c r="A779" s="284">
        <v>776.0</v>
      </c>
      <c r="B779" s="285" t="s">
        <v>8954</v>
      </c>
      <c r="C779" s="285" t="s">
        <v>6918</v>
      </c>
      <c r="D779" s="286" t="s">
        <v>12982</v>
      </c>
      <c r="E779" s="285" t="s">
        <v>6921</v>
      </c>
      <c r="F779" s="285" t="s">
        <v>12983</v>
      </c>
      <c r="G779" s="285" t="s">
        <v>10327</v>
      </c>
      <c r="H779" s="285" t="s">
        <v>10420</v>
      </c>
      <c r="I779" s="285" t="s">
        <v>12984</v>
      </c>
      <c r="J779" s="285" t="s">
        <v>5224</v>
      </c>
      <c r="K779" s="285" t="s">
        <v>11222</v>
      </c>
      <c r="L779" s="285" t="s">
        <v>9912</v>
      </c>
      <c r="M779" s="285" t="s">
        <v>9383</v>
      </c>
      <c r="N779" s="287" t="str">
        <f>IFERROR(
    IF(
        AND(
            VLOOKUP(B779, 'รายชื่อพนักงานลาออกพ้นสภาพ'!B:I, 8, FALSE)&lt;&gt;"ยกเลิกลาออก",
            VLOOKUP(B779, 'รายชื่อพนักงานลาออกพ้นสภาพ'!B:I, 7, FALSE)&lt;=TODAY()
        ),
        "ลาออกแล้ว",
        ""
    ),
"")</f>
        <v/>
      </c>
      <c r="O779" s="292" t="str">
        <f t="array" ref="O779">IFERROR(INDEX(PCRent!C:D, MATCH(F779 &amp; " " &amp; G779, PCRent!A:A &amp; " " &amp; PCRent!B:B, 0)), "")</f>
        <v/>
      </c>
      <c r="P779" s="293"/>
      <c r="Q779" s="294" t="str">
        <f t="array" ref="Q779">IFERROR(INDEX(MonitorRent!C:D, MATCH(F779 &amp; " " &amp; G779, MonitorRent!A:A &amp; " " &amp; MonitorRent!B:B, 0)), "")</f>
        <v/>
      </c>
      <c r="R779" s="295"/>
    </row>
    <row r="780">
      <c r="A780" s="284">
        <v>777.0</v>
      </c>
      <c r="B780" s="285" t="s">
        <v>8618</v>
      </c>
      <c r="C780" s="285" t="s">
        <v>6918</v>
      </c>
      <c r="D780" s="286" t="s">
        <v>12985</v>
      </c>
      <c r="E780" s="285" t="s">
        <v>6921</v>
      </c>
      <c r="F780" s="285" t="s">
        <v>10121</v>
      </c>
      <c r="G780" s="285" t="s">
        <v>12986</v>
      </c>
      <c r="H780" s="285" t="s">
        <v>12987</v>
      </c>
      <c r="I780" s="285" t="s">
        <v>12988</v>
      </c>
      <c r="J780" s="285" t="s">
        <v>5224</v>
      </c>
      <c r="K780" s="285" t="s">
        <v>12989</v>
      </c>
      <c r="L780" s="285" t="s">
        <v>8609</v>
      </c>
      <c r="M780" s="285" t="s">
        <v>9383</v>
      </c>
      <c r="N780" s="287" t="str">
        <f>IFERROR(
    IF(
        AND(
            VLOOKUP(B780, 'รายชื่อพนักงานลาออกพ้นสภาพ'!B:I, 8, FALSE)&lt;&gt;"ยกเลิกลาออก",
            VLOOKUP(B780, 'รายชื่อพนักงานลาออกพ้นสภาพ'!B:I, 7, FALSE)&lt;=TODAY()
        ),
        "ลาออกแล้ว",
        ""
    ),
"")</f>
        <v/>
      </c>
      <c r="O780" s="292" t="str">
        <f t="array" ref="O780">IFERROR(INDEX(PCRent!C:D, MATCH(F780 &amp; " " &amp; G780, PCRent!A:A &amp; " " &amp; PCRent!B:B, 0)), "")</f>
        <v/>
      </c>
      <c r="P780" s="293"/>
      <c r="Q780" s="294" t="str">
        <f t="array" ref="Q780">IFERROR(INDEX(MonitorRent!C:D, MATCH(F780 &amp; " " &amp; G780, MonitorRent!A:A &amp; " " &amp; MonitorRent!B:B, 0)), "")</f>
        <v/>
      </c>
      <c r="R780" s="295"/>
    </row>
    <row r="781">
      <c r="A781" s="284">
        <v>778.0</v>
      </c>
      <c r="B781" s="285" t="s">
        <v>8410</v>
      </c>
      <c r="C781" s="285" t="s">
        <v>6918</v>
      </c>
      <c r="D781" s="286" t="s">
        <v>12990</v>
      </c>
      <c r="E781" s="285" t="s">
        <v>6921</v>
      </c>
      <c r="F781" s="285" t="s">
        <v>12991</v>
      </c>
      <c r="G781" s="285" t="s">
        <v>12992</v>
      </c>
      <c r="H781" s="285" t="s">
        <v>11155</v>
      </c>
      <c r="I781" s="285" t="s">
        <v>12993</v>
      </c>
      <c r="J781" s="285" t="s">
        <v>5224</v>
      </c>
      <c r="K781" s="285" t="s">
        <v>10056</v>
      </c>
      <c r="L781" s="285" t="s">
        <v>8398</v>
      </c>
      <c r="M781" s="285" t="s">
        <v>9383</v>
      </c>
      <c r="N781" s="287" t="str">
        <f>IFERROR(
    IF(
        AND(
            VLOOKUP(B781, 'รายชื่อพนักงานลาออกพ้นสภาพ'!B:I, 8, FALSE)&lt;&gt;"ยกเลิกลาออก",
            VLOOKUP(B781, 'รายชื่อพนักงานลาออกพ้นสภาพ'!B:I, 7, FALSE)&lt;=TODAY()
        ),
        "ลาออกแล้ว",
        ""
    ),
"")</f>
        <v/>
      </c>
      <c r="O781" s="292" t="str">
        <f t="array" ref="O781">IFERROR(INDEX(PCRent!C:D, MATCH(F781 &amp; " " &amp; G781, PCRent!A:A &amp; " " &amp; PCRent!B:B, 0)), "")</f>
        <v/>
      </c>
      <c r="P781" s="293"/>
      <c r="Q781" s="294" t="str">
        <f t="array" ref="Q781">IFERROR(INDEX(MonitorRent!C:D, MATCH(F781 &amp; " " &amp; G781, MonitorRent!A:A &amp; " " &amp; MonitorRent!B:B, 0)), "")</f>
        <v/>
      </c>
      <c r="R781" s="295"/>
    </row>
    <row r="782">
      <c r="A782" s="284">
        <v>779.0</v>
      </c>
      <c r="B782" s="285" t="s">
        <v>12994</v>
      </c>
      <c r="C782" s="285" t="s">
        <v>6918</v>
      </c>
      <c r="D782" s="286" t="s">
        <v>10303</v>
      </c>
      <c r="E782" s="285" t="s">
        <v>6933</v>
      </c>
      <c r="F782" s="285" t="s">
        <v>10135</v>
      </c>
      <c r="G782" s="285" t="s">
        <v>12995</v>
      </c>
      <c r="H782" s="285" t="s">
        <v>10203</v>
      </c>
      <c r="I782" s="285" t="s">
        <v>12996</v>
      </c>
      <c r="J782" s="285" t="s">
        <v>5012</v>
      </c>
      <c r="K782" s="285" t="s">
        <v>9633</v>
      </c>
      <c r="L782" s="285" t="s">
        <v>3857</v>
      </c>
      <c r="M782" s="285" t="s">
        <v>9383</v>
      </c>
      <c r="N782" s="287" t="str">
        <f>IFERROR(
    IF(
        AND(
            VLOOKUP(B782, 'รายชื่อพนักงานลาออกพ้นสภาพ'!B:I, 8, FALSE)&lt;&gt;"ยกเลิกลาออก",
            VLOOKUP(B782, 'รายชื่อพนักงานลาออกพ้นสภาพ'!B:I, 7, FALSE)&lt;=TODAY()
        ),
        "ลาออกแล้ว",
        ""
    ),
"")</f>
        <v/>
      </c>
      <c r="O782" s="292" t="str">
        <f t="array" ref="O782">IFERROR(INDEX(PCRent!C:D, MATCH(F782 &amp; " " &amp; G782, PCRent!A:A &amp; " " &amp; PCRent!B:B, 0)), "")</f>
        <v/>
      </c>
      <c r="P782" s="293"/>
      <c r="Q782" s="294" t="str">
        <f t="array" ref="Q782">IFERROR(INDEX(MonitorRent!C:D, MATCH(F782 &amp; " " &amp; G782, MonitorRent!A:A &amp; " " &amp; MonitorRent!B:B, 0)), "")</f>
        <v/>
      </c>
      <c r="R782" s="295"/>
    </row>
    <row r="783">
      <c r="A783" s="284">
        <v>780.0</v>
      </c>
      <c r="B783" s="285" t="s">
        <v>12997</v>
      </c>
      <c r="C783" s="285" t="s">
        <v>6918</v>
      </c>
      <c r="D783" s="286" t="s">
        <v>10063</v>
      </c>
      <c r="E783" s="285" t="s">
        <v>6933</v>
      </c>
      <c r="F783" s="285" t="s">
        <v>12998</v>
      </c>
      <c r="G783" s="285" t="s">
        <v>12999</v>
      </c>
      <c r="H783" s="285" t="s">
        <v>10770</v>
      </c>
      <c r="I783" s="285" t="s">
        <v>13000</v>
      </c>
      <c r="J783" s="285" t="s">
        <v>5224</v>
      </c>
      <c r="K783" s="285" t="s">
        <v>9458</v>
      </c>
      <c r="L783" s="285" t="s">
        <v>13001</v>
      </c>
      <c r="M783" s="285" t="s">
        <v>9391</v>
      </c>
      <c r="N783" s="287" t="str">
        <f>IFERROR(
    IF(
        AND(
            VLOOKUP(B783, 'รายชื่อพนักงานลาออกพ้นสภาพ'!B:I, 8, FALSE)&lt;&gt;"ยกเลิกลาออก",
            VLOOKUP(B783, 'รายชื่อพนักงานลาออกพ้นสภาพ'!B:I, 7, FALSE)&lt;=TODAY()
        ),
        "ลาออกแล้ว",
        ""
    ),
"")</f>
        <v/>
      </c>
      <c r="O783" s="292" t="str">
        <f t="array" ref="O783">IFERROR(INDEX(PCRent!C:D, MATCH(F783 &amp; " " &amp; G783, PCRent!A:A &amp; " " &amp; PCRent!B:B, 0)), "")</f>
        <v/>
      </c>
      <c r="P783" s="293"/>
      <c r="Q783" s="294" t="str">
        <f t="array" ref="Q783">IFERROR(INDEX(MonitorRent!C:D, MATCH(F783 &amp; " " &amp; G783, MonitorRent!A:A &amp; " " &amp; MonitorRent!B:B, 0)), "")</f>
        <v/>
      </c>
      <c r="R783" s="295"/>
    </row>
    <row r="784">
      <c r="A784" s="284">
        <v>781.0</v>
      </c>
      <c r="B784" s="285" t="s">
        <v>13002</v>
      </c>
      <c r="C784" s="285" t="s">
        <v>6918</v>
      </c>
      <c r="D784" s="286" t="s">
        <v>9718</v>
      </c>
      <c r="E784" s="285" t="s">
        <v>6921</v>
      </c>
      <c r="F784" s="285" t="s">
        <v>13003</v>
      </c>
      <c r="G784" s="285" t="s">
        <v>13004</v>
      </c>
      <c r="H784" s="285" t="s">
        <v>9874</v>
      </c>
      <c r="I784" s="285" t="s">
        <v>13005</v>
      </c>
      <c r="J784" s="285" t="s">
        <v>5224</v>
      </c>
      <c r="K784" s="285" t="s">
        <v>13006</v>
      </c>
      <c r="L784" s="285" t="s">
        <v>2730</v>
      </c>
      <c r="M784" s="285" t="s">
        <v>9391</v>
      </c>
      <c r="N784" s="287" t="str">
        <f>IFERROR(
    IF(
        AND(
            VLOOKUP(B784, 'รายชื่อพนักงานลาออกพ้นสภาพ'!B:I, 8, FALSE)&lt;&gt;"ยกเลิกลาออก",
            VLOOKUP(B784, 'รายชื่อพนักงานลาออกพ้นสภาพ'!B:I, 7, FALSE)&lt;=TODAY()
        ),
        "ลาออกแล้ว",
        ""
    ),
"")</f>
        <v/>
      </c>
      <c r="O784" s="292" t="str">
        <f t="array" ref="O784">IFERROR(INDEX(PCRent!C:D, MATCH(F784 &amp; " " &amp; G784, PCRent!A:A &amp; " " &amp; PCRent!B:B, 0)), "")</f>
        <v/>
      </c>
      <c r="P784" s="293"/>
      <c r="Q784" s="294" t="str">
        <f t="array" ref="Q784">IFERROR(INDEX(MonitorRent!C:D, MATCH(F784 &amp; " " &amp; G784, MonitorRent!A:A &amp; " " &amp; MonitorRent!B:B, 0)), "")</f>
        <v/>
      </c>
      <c r="R784" s="295"/>
    </row>
    <row r="785">
      <c r="A785" s="284">
        <v>782.0</v>
      </c>
      <c r="B785" s="285" t="s">
        <v>9045</v>
      </c>
      <c r="C785" s="285" t="s">
        <v>6918</v>
      </c>
      <c r="D785" s="286" t="s">
        <v>13007</v>
      </c>
      <c r="E785" s="285" t="s">
        <v>6933</v>
      </c>
      <c r="F785" s="285" t="s">
        <v>13008</v>
      </c>
      <c r="G785" s="285" t="s">
        <v>13009</v>
      </c>
      <c r="H785" s="285" t="s">
        <v>10020</v>
      </c>
      <c r="I785" s="285" t="s">
        <v>13010</v>
      </c>
      <c r="J785" s="285" t="s">
        <v>5224</v>
      </c>
      <c r="K785" s="285" t="s">
        <v>9382</v>
      </c>
      <c r="L785" s="285" t="s">
        <v>3041</v>
      </c>
      <c r="M785" s="285" t="s">
        <v>9383</v>
      </c>
      <c r="N785" s="287" t="str">
        <f>IFERROR(
    IF(
        AND(
            VLOOKUP(B785, 'รายชื่อพนักงานลาออกพ้นสภาพ'!B:I, 8, FALSE)&lt;&gt;"ยกเลิกลาออก",
            VLOOKUP(B785, 'รายชื่อพนักงานลาออกพ้นสภาพ'!B:I, 7, FALSE)&lt;=TODAY()
        ),
        "ลาออกแล้ว",
        ""
    ),
"")</f>
        <v/>
      </c>
      <c r="O785" s="292" t="str">
        <f t="array" ref="O785">IFERROR(INDEX(PCRent!C:D, MATCH(F785 &amp; " " &amp; G785, PCRent!A:A &amp; " " &amp; PCRent!B:B, 0)), "")</f>
        <v/>
      </c>
      <c r="P785" s="293"/>
      <c r="Q785" s="294" t="str">
        <f t="array" ref="Q785">IFERROR(INDEX(MonitorRent!C:D, MATCH(F785 &amp; " " &amp; G785, MonitorRent!A:A &amp; " " &amp; MonitorRent!B:B, 0)), "")</f>
        <v/>
      </c>
      <c r="R785" s="295"/>
    </row>
    <row r="786">
      <c r="A786" s="284">
        <v>783.0</v>
      </c>
      <c r="B786" s="285" t="s">
        <v>13011</v>
      </c>
      <c r="C786" s="285" t="s">
        <v>6918</v>
      </c>
      <c r="D786" s="286" t="s">
        <v>12004</v>
      </c>
      <c r="E786" s="285" t="s">
        <v>6921</v>
      </c>
      <c r="F786" s="285" t="s">
        <v>13012</v>
      </c>
      <c r="G786" s="285" t="s">
        <v>13013</v>
      </c>
      <c r="H786" s="285" t="s">
        <v>6933</v>
      </c>
      <c r="I786" s="285" t="s">
        <v>13014</v>
      </c>
      <c r="J786" s="285" t="s">
        <v>5224</v>
      </c>
      <c r="K786" s="285" t="s">
        <v>1392</v>
      </c>
      <c r="L786" s="285" t="s">
        <v>13015</v>
      </c>
      <c r="M786" s="285" t="s">
        <v>9383</v>
      </c>
      <c r="N786" s="287" t="str">
        <f>IFERROR(
    IF(
        AND(
            VLOOKUP(B786, 'รายชื่อพนักงานลาออกพ้นสภาพ'!B:I, 8, FALSE)&lt;&gt;"ยกเลิกลาออก",
            VLOOKUP(B786, 'รายชื่อพนักงานลาออกพ้นสภาพ'!B:I, 7, FALSE)&lt;=TODAY()
        ),
        "ลาออกแล้ว",
        ""
    ),
"")</f>
        <v/>
      </c>
      <c r="O786" s="292" t="str">
        <f t="array" ref="O786:P786">IFERROR(INDEX(PCRent!C:D, MATCH(F786 &amp; " " &amp; G786, PCRent!A:A &amp; " " &amp; PCRent!B:B, 0)), "")</f>
        <v>SN:MP2E09KS</v>
      </c>
      <c r="P786" s="293" t="s">
        <v>7357</v>
      </c>
      <c r="Q786" s="294" t="str">
        <f t="array" ref="Q786">IFERROR(INDEX(MonitorRent!C:D, MATCH(F786 &amp; " " &amp; G786, MonitorRent!A:A &amp; " " &amp; MonitorRent!B:B, 0)), "")</f>
        <v/>
      </c>
      <c r="R786" s="295"/>
    </row>
    <row r="787">
      <c r="A787" s="284">
        <v>784.0</v>
      </c>
      <c r="B787" s="285" t="s">
        <v>13016</v>
      </c>
      <c r="C787" s="285" t="s">
        <v>6918</v>
      </c>
      <c r="D787" s="286" t="s">
        <v>11296</v>
      </c>
      <c r="E787" s="285" t="s">
        <v>6933</v>
      </c>
      <c r="F787" s="285" t="s">
        <v>13017</v>
      </c>
      <c r="G787" s="285" t="s">
        <v>13018</v>
      </c>
      <c r="H787" s="285" t="s">
        <v>13017</v>
      </c>
      <c r="I787" s="285" t="s">
        <v>13019</v>
      </c>
      <c r="J787" s="285" t="s">
        <v>5012</v>
      </c>
      <c r="K787" s="285" t="s">
        <v>9521</v>
      </c>
      <c r="L787" s="285" t="s">
        <v>13020</v>
      </c>
      <c r="M787" s="285" t="s">
        <v>9383</v>
      </c>
      <c r="N787" s="287" t="str">
        <f>IFERROR(
    IF(
        AND(
            VLOOKUP(B787, 'รายชื่อพนักงานลาออกพ้นสภาพ'!B:I, 8, FALSE)&lt;&gt;"ยกเลิกลาออก",
            VLOOKUP(B787, 'รายชื่อพนักงานลาออกพ้นสภาพ'!B:I, 7, FALSE)&lt;=TODAY()
        ),
        "ลาออกแล้ว",
        ""
    ),
"")</f>
        <v/>
      </c>
      <c r="O787" s="292" t="str">
        <f t="array" ref="O787:P787">IFERROR(INDEX(PCRent!C:D, MATCH(F787 &amp; " " &amp; G787, PCRent!A:A &amp; " " &amp; PCRent!B:B, 0)), "")</f>
        <v>SN:MP2ET281</v>
      </c>
      <c r="P787" s="293" t="s">
        <v>7070</v>
      </c>
      <c r="Q787" s="294" t="str">
        <f t="array" ref="Q787">IFERROR(INDEX(MonitorRent!C:D, MATCH(F787 &amp; " " &amp; G787, MonitorRent!A:A &amp; " " &amp; MonitorRent!B:B, 0)), "")</f>
        <v/>
      </c>
      <c r="R787" s="295"/>
    </row>
    <row r="788">
      <c r="A788" s="284">
        <v>785.0</v>
      </c>
      <c r="B788" s="285" t="s">
        <v>8867</v>
      </c>
      <c r="C788" s="285" t="s">
        <v>6918</v>
      </c>
      <c r="D788" s="286" t="s">
        <v>13021</v>
      </c>
      <c r="E788" s="285" t="s">
        <v>6921</v>
      </c>
      <c r="F788" s="285" t="s">
        <v>13022</v>
      </c>
      <c r="G788" s="285" t="s">
        <v>13023</v>
      </c>
      <c r="H788" s="285" t="s">
        <v>11799</v>
      </c>
      <c r="I788" s="285" t="s">
        <v>13024</v>
      </c>
      <c r="J788" s="285" t="s">
        <v>5224</v>
      </c>
      <c r="K788" s="285" t="s">
        <v>13025</v>
      </c>
      <c r="L788" s="285" t="s">
        <v>8850</v>
      </c>
      <c r="M788" s="285" t="s">
        <v>9383</v>
      </c>
      <c r="N788" s="287" t="str">
        <f>IFERROR(
    IF(
        AND(
            VLOOKUP(B788, 'รายชื่อพนักงานลาออกพ้นสภาพ'!B:I, 8, FALSE)&lt;&gt;"ยกเลิกลาออก",
            VLOOKUP(B788, 'รายชื่อพนักงานลาออกพ้นสภาพ'!B:I, 7, FALSE)&lt;=TODAY()
        ),
        "ลาออกแล้ว",
        ""
    ),
"")</f>
        <v/>
      </c>
      <c r="O788" s="292" t="str">
        <f t="array" ref="O788">IFERROR(INDEX(PCRent!C:D, MATCH(F788 &amp; " " &amp; G788, PCRent!A:A &amp; " " &amp; PCRent!B:B, 0)), "")</f>
        <v/>
      </c>
      <c r="P788" s="293"/>
      <c r="Q788" s="294" t="str">
        <f t="array" ref="Q788">IFERROR(INDEX(MonitorRent!C:D, MATCH(F788 &amp; " " &amp; G788, MonitorRent!A:A &amp; " " &amp; MonitorRent!B:B, 0)), "")</f>
        <v/>
      </c>
      <c r="R788" s="295"/>
    </row>
    <row r="789">
      <c r="A789" s="284">
        <v>786.0</v>
      </c>
      <c r="B789" s="285" t="s">
        <v>8197</v>
      </c>
      <c r="C789" s="285" t="s">
        <v>6918</v>
      </c>
      <c r="D789" s="286" t="s">
        <v>9453</v>
      </c>
      <c r="E789" s="285" t="s">
        <v>6933</v>
      </c>
      <c r="F789" s="285" t="s">
        <v>13026</v>
      </c>
      <c r="G789" s="285" t="s">
        <v>13027</v>
      </c>
      <c r="H789" s="285" t="s">
        <v>10812</v>
      </c>
      <c r="I789" s="285" t="s">
        <v>13028</v>
      </c>
      <c r="J789" s="285" t="s">
        <v>5224</v>
      </c>
      <c r="K789" s="285" t="s">
        <v>13029</v>
      </c>
      <c r="L789" s="285" t="s">
        <v>13030</v>
      </c>
      <c r="M789" s="285" t="s">
        <v>9383</v>
      </c>
      <c r="N789" s="287" t="str">
        <f>IFERROR(
    IF(
        AND(
            VLOOKUP(B789, 'รายชื่อพนักงานลาออกพ้นสภาพ'!B:I, 8, FALSE)&lt;&gt;"ยกเลิกลาออก",
            VLOOKUP(B789, 'รายชื่อพนักงานลาออกพ้นสภาพ'!B:I, 7, FALSE)&lt;=TODAY()
        ),
        "ลาออกแล้ว",
        ""
    ),
"")</f>
        <v/>
      </c>
      <c r="O789" s="292" t="str">
        <f t="array" ref="O789:P789">IFERROR(INDEX(PCRent!C:D, MATCH(F789 &amp; " " &amp; G789, PCRent!A:A &amp; " " &amp; PCRent!B:B, 0)), "")</f>
        <v>SN:MP2EHH21</v>
      </c>
      <c r="P789" s="293" t="s">
        <v>6993</v>
      </c>
      <c r="Q789" s="294" t="str">
        <f t="array" ref="Q789">IFERROR(INDEX(MonitorRent!C:D, MATCH(F789 &amp; " " &amp; G789, MonitorRent!A:A &amp; " " &amp; MonitorRent!B:B, 0)), "")</f>
        <v/>
      </c>
      <c r="R789" s="295"/>
    </row>
    <row r="790">
      <c r="A790" s="284">
        <v>787.0</v>
      </c>
      <c r="B790" s="285" t="s">
        <v>8526</v>
      </c>
      <c r="C790" s="285" t="s">
        <v>6918</v>
      </c>
      <c r="D790" s="286" t="s">
        <v>13031</v>
      </c>
      <c r="E790" s="285" t="s">
        <v>6933</v>
      </c>
      <c r="F790" s="285" t="s">
        <v>13032</v>
      </c>
      <c r="G790" s="285" t="s">
        <v>13033</v>
      </c>
      <c r="H790" s="285" t="s">
        <v>13034</v>
      </c>
      <c r="I790" s="285" t="s">
        <v>13035</v>
      </c>
      <c r="J790" s="285" t="s">
        <v>5224</v>
      </c>
      <c r="K790" s="285" t="s">
        <v>10056</v>
      </c>
      <c r="L790" s="285" t="s">
        <v>2081</v>
      </c>
      <c r="M790" s="285" t="s">
        <v>9383</v>
      </c>
      <c r="N790" s="287" t="str">
        <f>IFERROR(
    IF(
        AND(
            VLOOKUP(B790, 'รายชื่อพนักงานลาออกพ้นสภาพ'!B:I, 8, FALSE)&lt;&gt;"ยกเลิกลาออก",
            VLOOKUP(B790, 'รายชื่อพนักงานลาออกพ้นสภาพ'!B:I, 7, FALSE)&lt;=TODAY()
        ),
        "ลาออกแล้ว",
        ""
    ),
"")</f>
        <v/>
      </c>
      <c r="O790" s="292" t="str">
        <f t="array" ref="O790:P790">IFERROR(INDEX(PCRent!C:D, MATCH(F790 &amp; " " &amp; G790, PCRent!A:A &amp; " " &amp; PCRent!B:B, 0)), "")</f>
        <v>SN:JGZFFX3</v>
      </c>
      <c r="P790" s="293" t="s">
        <v>7299</v>
      </c>
      <c r="Q790" s="294" t="str">
        <f t="array" ref="Q790">IFERROR(INDEX(MonitorRent!C:D, MATCH(F790 &amp; " " &amp; G790, MonitorRent!A:A &amp; " " &amp; MonitorRent!B:B, 0)), "")</f>
        <v/>
      </c>
      <c r="R790" s="295"/>
    </row>
    <row r="791">
      <c r="A791" s="284">
        <v>788.0</v>
      </c>
      <c r="B791" s="285" t="s">
        <v>8496</v>
      </c>
      <c r="C791" s="285" t="s">
        <v>6918</v>
      </c>
      <c r="D791" s="286" t="s">
        <v>13036</v>
      </c>
      <c r="E791" s="285" t="s">
        <v>6933</v>
      </c>
      <c r="F791" s="285" t="s">
        <v>13037</v>
      </c>
      <c r="G791" s="285" t="s">
        <v>13038</v>
      </c>
      <c r="H791" s="285" t="s">
        <v>11648</v>
      </c>
      <c r="I791" s="285" t="s">
        <v>13039</v>
      </c>
      <c r="J791" s="285" t="s">
        <v>5224</v>
      </c>
      <c r="K791" s="285" t="s">
        <v>10056</v>
      </c>
      <c r="L791" s="285" t="s">
        <v>8486</v>
      </c>
      <c r="M791" s="285" t="s">
        <v>9383</v>
      </c>
      <c r="N791" s="287" t="str">
        <f>IFERROR(
    IF(
        AND(
            VLOOKUP(B791, 'รายชื่อพนักงานลาออกพ้นสภาพ'!B:I, 8, FALSE)&lt;&gt;"ยกเลิกลาออก",
            VLOOKUP(B791, 'รายชื่อพนักงานลาออกพ้นสภาพ'!B:I, 7, FALSE)&lt;=TODAY()
        ),
        "ลาออกแล้ว",
        ""
    ),
"")</f>
        <v/>
      </c>
      <c r="O791" s="292" t="str">
        <f t="array" ref="O791">IFERROR(INDEX(PCRent!C:D, MATCH(F791 &amp; " " &amp; G791, PCRent!A:A &amp; " " &amp; PCRent!B:B, 0)), "")</f>
        <v/>
      </c>
      <c r="P791" s="293"/>
      <c r="Q791" s="294" t="str">
        <f t="array" ref="Q791">IFERROR(INDEX(MonitorRent!C:D, MATCH(F791 &amp; " " &amp; G791, MonitorRent!A:A &amp; " " &amp; MonitorRent!B:B, 0)), "")</f>
        <v/>
      </c>
      <c r="R791" s="295"/>
    </row>
    <row r="792">
      <c r="A792" s="284">
        <v>789.0</v>
      </c>
      <c r="B792" s="285" t="s">
        <v>8224</v>
      </c>
      <c r="C792" s="285" t="s">
        <v>6918</v>
      </c>
      <c r="D792" s="286" t="s">
        <v>13040</v>
      </c>
      <c r="E792" s="285" t="s">
        <v>6933</v>
      </c>
      <c r="F792" s="285" t="s">
        <v>13041</v>
      </c>
      <c r="G792" s="285" t="s">
        <v>13042</v>
      </c>
      <c r="H792" s="285" t="s">
        <v>13043</v>
      </c>
      <c r="I792" s="285" t="s">
        <v>13044</v>
      </c>
      <c r="J792" s="285" t="s">
        <v>5224</v>
      </c>
      <c r="K792" s="285" t="s">
        <v>4756</v>
      </c>
      <c r="L792" s="285" t="s">
        <v>13045</v>
      </c>
      <c r="M792" s="285" t="s">
        <v>9383</v>
      </c>
      <c r="N792" s="287" t="str">
        <f>IFERROR(
    IF(
        AND(
            VLOOKUP(B792, 'รายชื่อพนักงานลาออกพ้นสภาพ'!B:I, 8, FALSE)&lt;&gt;"ยกเลิกลาออก",
            VLOOKUP(B792, 'รายชื่อพนักงานลาออกพ้นสภาพ'!B:I, 7, FALSE)&lt;=TODAY()
        ),
        "ลาออกแล้ว",
        ""
    ),
"")</f>
        <v/>
      </c>
      <c r="O792" s="292" t="str">
        <f t="array" ref="O792">IFERROR(INDEX(PCRent!C:D, MATCH(F792 &amp; " " &amp; G792, PCRent!A:A &amp; " " &amp; PCRent!B:B, 0)), "")</f>
        <v/>
      </c>
      <c r="P792" s="293"/>
      <c r="Q792" s="294" t="str">
        <f t="array" ref="Q792">IFERROR(INDEX(MonitorRent!C:D, MATCH(F792 &amp; " " &amp; G792, MonitorRent!A:A &amp; " " &amp; MonitorRent!B:B, 0)), "")</f>
        <v/>
      </c>
      <c r="R792" s="295"/>
    </row>
    <row r="793">
      <c r="A793" s="284">
        <v>790.0</v>
      </c>
      <c r="B793" s="285" t="s">
        <v>13046</v>
      </c>
      <c r="C793" s="285" t="s">
        <v>6918</v>
      </c>
      <c r="D793" s="286" t="s">
        <v>11301</v>
      </c>
      <c r="E793" s="285" t="s">
        <v>6921</v>
      </c>
      <c r="F793" s="285" t="s">
        <v>13047</v>
      </c>
      <c r="G793" s="285" t="s">
        <v>13048</v>
      </c>
      <c r="H793" s="285" t="s">
        <v>9975</v>
      </c>
      <c r="I793" s="285" t="s">
        <v>13049</v>
      </c>
      <c r="J793" s="285" t="s">
        <v>5012</v>
      </c>
      <c r="K793" s="285" t="s">
        <v>13050</v>
      </c>
      <c r="L793" s="285" t="s">
        <v>1888</v>
      </c>
      <c r="M793" s="285" t="s">
        <v>9383</v>
      </c>
      <c r="N793" s="287" t="str">
        <f>IFERROR(
    IF(
        AND(
            VLOOKUP(B793, 'รายชื่อพนักงานลาออกพ้นสภาพ'!B:I, 8, FALSE)&lt;&gt;"ยกเลิกลาออก",
            VLOOKUP(B793, 'รายชื่อพนักงานลาออกพ้นสภาพ'!B:I, 7, FALSE)&lt;=TODAY()
        ),
        "ลาออกแล้ว",
        ""
    ),
"")</f>
        <v/>
      </c>
      <c r="O793" s="292" t="str">
        <f t="array" ref="O793:P793">IFERROR(INDEX(PCRent!C:D, MATCH(F793 &amp; " " &amp; G793, PCRent!A:A &amp; " " &amp; PCRent!B:B, 0)), "")</f>
        <v>SN:6XYNPY3</v>
      </c>
      <c r="P793" s="293" t="s">
        <v>7048</v>
      </c>
      <c r="Q793" s="294" t="str">
        <f t="array" ref="Q793:R793">IFERROR(INDEX(MonitorRent!C:D, MATCH(F793 &amp; " " &amp; G793, MonitorRent!A:A &amp; " " &amp; MonitorRent!B:B, 0)), "")</f>
        <v>SN:C7LLYV3</v>
      </c>
      <c r="R793" s="295" t="s">
        <v>7050</v>
      </c>
    </row>
    <row r="794">
      <c r="A794" s="284">
        <v>791.0</v>
      </c>
      <c r="B794" s="285" t="s">
        <v>13051</v>
      </c>
      <c r="C794" s="285" t="s">
        <v>6918</v>
      </c>
      <c r="D794" s="286" t="s">
        <v>13052</v>
      </c>
      <c r="E794" s="285" t="s">
        <v>6933</v>
      </c>
      <c r="F794" s="285" t="s">
        <v>13053</v>
      </c>
      <c r="G794" s="285" t="s">
        <v>13054</v>
      </c>
      <c r="H794" s="285" t="s">
        <v>13055</v>
      </c>
      <c r="I794" s="285" t="s">
        <v>13056</v>
      </c>
      <c r="J794" s="285" t="s">
        <v>5012</v>
      </c>
      <c r="K794" s="285" t="s">
        <v>4835</v>
      </c>
      <c r="L794" s="285" t="s">
        <v>13057</v>
      </c>
      <c r="M794" s="285" t="s">
        <v>9383</v>
      </c>
      <c r="N794" s="287" t="str">
        <f>IFERROR(
    IF(
        AND(
            VLOOKUP(B794, 'รายชื่อพนักงานลาออกพ้นสภาพ'!B:I, 8, FALSE)&lt;&gt;"ยกเลิกลาออก",
            VLOOKUP(B794, 'รายชื่อพนักงานลาออกพ้นสภาพ'!B:I, 7, FALSE)&lt;=TODAY()
        ),
        "ลาออกแล้ว",
        ""
    ),
"")</f>
        <v/>
      </c>
      <c r="O794" s="292" t="str">
        <f t="array" ref="O794:P794">IFERROR(INDEX(PCRent!C:D, MATCH(F794 &amp; " " &amp; G794, PCRent!A:A &amp; " " &amp; PCRent!B:B, 0)), "")</f>
        <v>SN:MP2EJ2WM</v>
      </c>
      <c r="P794" s="293" t="s">
        <v>6993</v>
      </c>
      <c r="Q794" s="294" t="str">
        <f t="array" ref="Q794">IFERROR(INDEX(MonitorRent!C:D, MATCH(F794 &amp; " " &amp; G794, MonitorRent!A:A &amp; " " &amp; MonitorRent!B:B, 0)), "")</f>
        <v/>
      </c>
      <c r="R794" s="295"/>
    </row>
    <row r="795">
      <c r="A795" s="284">
        <v>792.0</v>
      </c>
      <c r="B795" s="285" t="s">
        <v>16</v>
      </c>
      <c r="C795" s="285" t="s">
        <v>6918</v>
      </c>
      <c r="D795" s="286" t="s">
        <v>12625</v>
      </c>
      <c r="E795" s="285" t="s">
        <v>6933</v>
      </c>
      <c r="F795" s="285" t="s">
        <v>13058</v>
      </c>
      <c r="G795" s="285" t="s">
        <v>13059</v>
      </c>
      <c r="H795" s="285" t="s">
        <v>13060</v>
      </c>
      <c r="I795" s="285" t="s">
        <v>20</v>
      </c>
      <c r="J795" s="285" t="s">
        <v>5224</v>
      </c>
      <c r="K795" s="285" t="s">
        <v>13061</v>
      </c>
      <c r="L795" s="285" t="s">
        <v>3041</v>
      </c>
      <c r="M795" s="285" t="s">
        <v>9383</v>
      </c>
      <c r="N795" s="287" t="str">
        <f>IFERROR(
    IF(
        AND(
            VLOOKUP(B795, 'รายชื่อพนักงานลาออกพ้นสภาพ'!B:I, 8, FALSE)&lt;&gt;"ยกเลิกลาออก",
            VLOOKUP(B795, 'รายชื่อพนักงานลาออกพ้นสภาพ'!B:I, 7, FALSE)&lt;=TODAY()
        ),
        "ลาออกแล้ว",
        ""
    ),
"")</f>
        <v/>
      </c>
      <c r="O795" s="292" t="str">
        <f t="array" ref="O795">IFERROR(INDEX(PCRent!C:D, MATCH(F795 &amp; " " &amp; G795, PCRent!A:A &amp; " " &amp; PCRent!B:B, 0)), "")</f>
        <v/>
      </c>
      <c r="P795" s="293"/>
      <c r="Q795" s="294" t="str">
        <f t="array" ref="Q795">IFERROR(INDEX(MonitorRent!C:D, MATCH(F795 &amp; " " &amp; G795, MonitorRent!A:A &amp; " " &amp; MonitorRent!B:B, 0)), "")</f>
        <v/>
      </c>
      <c r="R795" s="295"/>
    </row>
    <row r="796">
      <c r="A796" s="284">
        <v>793.0</v>
      </c>
      <c r="B796" s="285" t="s">
        <v>13062</v>
      </c>
      <c r="C796" s="285" t="s">
        <v>6918</v>
      </c>
      <c r="D796" s="286" t="s">
        <v>13063</v>
      </c>
      <c r="E796" s="285" t="s">
        <v>6933</v>
      </c>
      <c r="F796" s="285" t="s">
        <v>13064</v>
      </c>
      <c r="G796" s="285" t="s">
        <v>13065</v>
      </c>
      <c r="H796" s="285" t="s">
        <v>9472</v>
      </c>
      <c r="I796" s="285" t="s">
        <v>13066</v>
      </c>
      <c r="J796" s="285" t="s">
        <v>5012</v>
      </c>
      <c r="K796" s="285" t="s">
        <v>9474</v>
      </c>
      <c r="L796" s="285" t="s">
        <v>13067</v>
      </c>
      <c r="M796" s="285" t="s">
        <v>9383</v>
      </c>
      <c r="N796" s="287" t="str">
        <f>IFERROR(
    IF(
        AND(
            VLOOKUP(B796, 'รายชื่อพนักงานลาออกพ้นสภาพ'!B:I, 8, FALSE)&lt;&gt;"ยกเลิกลาออก",
            VLOOKUP(B796, 'รายชื่อพนักงานลาออกพ้นสภาพ'!B:I, 7, FALSE)&lt;=TODAY()
        ),
        "ลาออกแล้ว",
        ""
    ),
"")</f>
        <v/>
      </c>
      <c r="O796" s="292" t="str">
        <f t="array" ref="O796">IFERROR(INDEX(PCRent!C:D, MATCH(F796 &amp; " " &amp; G796, PCRent!A:A &amp; " " &amp; PCRent!B:B, 0)), "")</f>
        <v/>
      </c>
      <c r="P796" s="293"/>
      <c r="Q796" s="294" t="str">
        <f t="array" ref="Q796">IFERROR(INDEX(MonitorRent!C:D, MATCH(F796 &amp; " " &amp; G796, MonitorRent!A:A &amp; " " &amp; MonitorRent!B:B, 0)), "")</f>
        <v/>
      </c>
      <c r="R796" s="295"/>
    </row>
    <row r="797">
      <c r="A797" s="284">
        <v>794.0</v>
      </c>
      <c r="B797" s="285" t="s">
        <v>13068</v>
      </c>
      <c r="C797" s="285" t="s">
        <v>6918</v>
      </c>
      <c r="D797" s="286" t="s">
        <v>10412</v>
      </c>
      <c r="E797" s="285" t="s">
        <v>6921</v>
      </c>
      <c r="F797" s="285" t="s">
        <v>13069</v>
      </c>
      <c r="G797" s="285" t="s">
        <v>13070</v>
      </c>
      <c r="H797" s="285" t="s">
        <v>9874</v>
      </c>
      <c r="I797" s="285" t="s">
        <v>13071</v>
      </c>
      <c r="J797" s="285" t="s">
        <v>5012</v>
      </c>
      <c r="K797" s="285" t="s">
        <v>9560</v>
      </c>
      <c r="L797" s="285" t="s">
        <v>9704</v>
      </c>
      <c r="M797" s="285" t="s">
        <v>9391</v>
      </c>
      <c r="N797" s="287" t="str">
        <f>IFERROR(
    IF(
        AND(
            VLOOKUP(B797, 'รายชื่อพนักงานลาออกพ้นสภาพ'!B:I, 8, FALSE)&lt;&gt;"ยกเลิกลาออก",
            VLOOKUP(B797, 'รายชื่อพนักงานลาออกพ้นสภาพ'!B:I, 7, FALSE)&lt;=TODAY()
        ),
        "ลาออกแล้ว",
        ""
    ),
"")</f>
        <v/>
      </c>
      <c r="O797" s="292" t="str">
        <f t="array" ref="O797">IFERROR(INDEX(PCRent!C:D, MATCH(F797 &amp; " " &amp; G797, PCRent!A:A &amp; " " &amp; PCRent!B:B, 0)), "")</f>
        <v/>
      </c>
      <c r="P797" s="293"/>
      <c r="Q797" s="294" t="str">
        <f t="array" ref="Q797">IFERROR(INDEX(MonitorRent!C:D, MATCH(F797 &amp; " " &amp; G797, MonitorRent!A:A &amp; " " &amp; MonitorRent!B:B, 0)), "")</f>
        <v/>
      </c>
      <c r="R797" s="295"/>
    </row>
    <row r="798">
      <c r="A798" s="284">
        <v>795.0</v>
      </c>
      <c r="B798" s="285" t="s">
        <v>238</v>
      </c>
      <c r="C798" s="285" t="s">
        <v>6918</v>
      </c>
      <c r="D798" s="286" t="s">
        <v>13072</v>
      </c>
      <c r="E798" s="285" t="s">
        <v>6921</v>
      </c>
      <c r="F798" s="285" t="s">
        <v>13073</v>
      </c>
      <c r="G798" s="285" t="s">
        <v>13074</v>
      </c>
      <c r="H798" s="285" t="s">
        <v>13075</v>
      </c>
      <c r="I798" s="285" t="s">
        <v>242</v>
      </c>
      <c r="J798" s="285" t="s">
        <v>5012</v>
      </c>
      <c r="K798" s="285" t="s">
        <v>13076</v>
      </c>
      <c r="L798" s="285" t="s">
        <v>9561</v>
      </c>
      <c r="M798" s="285" t="s">
        <v>9383</v>
      </c>
      <c r="N798" s="287" t="str">
        <f>IFERROR(
    IF(
        AND(
            VLOOKUP(B798, 'รายชื่อพนักงานลาออกพ้นสภาพ'!B:I, 8, FALSE)&lt;&gt;"ยกเลิกลาออก",
            VLOOKUP(B798, 'รายชื่อพนักงานลาออกพ้นสภาพ'!B:I, 7, FALSE)&lt;=TODAY()
        ),
        "ลาออกแล้ว",
        ""
    ),
"")</f>
        <v>ลาออกแล้ว</v>
      </c>
      <c r="O798" s="292" t="str">
        <f t="array" ref="O798:P798">IFERROR(INDEX(PCRent!C:D, MATCH(F798 &amp; " " &amp; G798, PCRent!A:A &amp; " " &amp; PCRent!B:B, 0)), "")</f>
        <v>SN:93ZNPY3</v>
      </c>
      <c r="P798" s="293" t="s">
        <v>7048</v>
      </c>
      <c r="Q798" s="294" t="str">
        <f t="array" ref="Q798:R798">IFERROR(INDEX(MonitorRent!C:D, MATCH(F798 &amp; " " &amp; G798, MonitorRent!A:A &amp; " " &amp; MonitorRent!B:B, 0)), "")</f>
        <v>SN:DJD6ZV3</v>
      </c>
      <c r="R798" s="295" t="s">
        <v>7050</v>
      </c>
    </row>
    <row r="799">
      <c r="A799" s="284">
        <v>796.0</v>
      </c>
      <c r="B799" s="285" t="s">
        <v>13077</v>
      </c>
      <c r="C799" s="285" t="s">
        <v>6918</v>
      </c>
      <c r="D799" s="286" t="s">
        <v>13078</v>
      </c>
      <c r="E799" s="285" t="s">
        <v>6921</v>
      </c>
      <c r="F799" s="285" t="s">
        <v>10176</v>
      </c>
      <c r="G799" s="285" t="s">
        <v>13079</v>
      </c>
      <c r="H799" s="285" t="s">
        <v>10079</v>
      </c>
      <c r="I799" s="285" t="s">
        <v>13080</v>
      </c>
      <c r="J799" s="285" t="s">
        <v>5012</v>
      </c>
      <c r="K799" s="285" t="s">
        <v>9703</v>
      </c>
      <c r="L799" s="285" t="s">
        <v>13081</v>
      </c>
      <c r="M799" s="285" t="s">
        <v>9383</v>
      </c>
      <c r="N799" s="287" t="str">
        <f>IFERROR(
    IF(
        AND(
            VLOOKUP(B799, 'รายชื่อพนักงานลาออกพ้นสภาพ'!B:I, 8, FALSE)&lt;&gt;"ยกเลิกลาออก",
            VLOOKUP(B799, 'รายชื่อพนักงานลาออกพ้นสภาพ'!B:I, 7, FALSE)&lt;=TODAY()
        ),
        "ลาออกแล้ว",
        ""
    ),
"")</f>
        <v/>
      </c>
      <c r="O799" s="292" t="str">
        <f t="array" ref="O799:P799">IFERROR(INDEX(PCRent!C:D, MATCH(F799 &amp; " " &amp; G799, PCRent!A:A &amp; " " &amp; PCRent!B:B, 0)), "")</f>
        <v>SN:MP2DGHXK</v>
      </c>
      <c r="P799" s="293" t="s">
        <v>7149</v>
      </c>
      <c r="Q799" s="294" t="str">
        <f t="array" ref="Q799">IFERROR(INDEX(MonitorRent!C:D, MATCH(F799 &amp; " " &amp; G799, MonitorRent!A:A &amp; " " &amp; MonitorRent!B:B, 0)), "")</f>
        <v/>
      </c>
      <c r="R799" s="295"/>
    </row>
    <row r="800">
      <c r="A800" s="284">
        <v>797.0</v>
      </c>
      <c r="B800" s="285" t="s">
        <v>9115</v>
      </c>
      <c r="C800" s="285" t="s">
        <v>6918</v>
      </c>
      <c r="D800" s="286" t="s">
        <v>13082</v>
      </c>
      <c r="E800" s="285" t="s">
        <v>6933</v>
      </c>
      <c r="F800" s="285" t="s">
        <v>13083</v>
      </c>
      <c r="G800" s="285" t="s">
        <v>13084</v>
      </c>
      <c r="H800" s="285" t="s">
        <v>13085</v>
      </c>
      <c r="I800" s="285" t="s">
        <v>13086</v>
      </c>
      <c r="J800" s="285" t="s">
        <v>5224</v>
      </c>
      <c r="K800" s="285" t="s">
        <v>13087</v>
      </c>
      <c r="L800" s="285" t="s">
        <v>4323</v>
      </c>
      <c r="M800" s="285" t="s">
        <v>9383</v>
      </c>
      <c r="N800" s="287" t="str">
        <f>IFERROR(
    IF(
        AND(
            VLOOKUP(B800, 'รายชื่อพนักงานลาออกพ้นสภาพ'!B:I, 8, FALSE)&lt;&gt;"ยกเลิกลาออก",
            VLOOKUP(B800, 'รายชื่อพนักงานลาออกพ้นสภาพ'!B:I, 7, FALSE)&lt;=TODAY()
        ),
        "ลาออกแล้ว",
        ""
    ),
"")</f>
        <v/>
      </c>
      <c r="O800" s="292" t="str">
        <f t="array" ref="O800">IFERROR(INDEX(PCRent!C:D, MATCH(F800 &amp; " " &amp; G800, PCRent!A:A &amp; " " &amp; PCRent!B:B, 0)), "")</f>
        <v/>
      </c>
      <c r="P800" s="293"/>
      <c r="Q800" s="294" t="str">
        <f t="array" ref="Q800">IFERROR(INDEX(MonitorRent!C:D, MATCH(F800 &amp; " " &amp; G800, MonitorRent!A:A &amp; " " &amp; MonitorRent!B:B, 0)), "")</f>
        <v/>
      </c>
      <c r="R800" s="295"/>
    </row>
    <row r="801">
      <c r="A801" s="284">
        <v>798.0</v>
      </c>
      <c r="B801" s="285" t="s">
        <v>7119</v>
      </c>
      <c r="C801" s="285" t="s">
        <v>6918</v>
      </c>
      <c r="D801" s="286" t="s">
        <v>13088</v>
      </c>
      <c r="E801" s="285" t="s">
        <v>6921</v>
      </c>
      <c r="F801" s="285" t="s">
        <v>10197</v>
      </c>
      <c r="G801" s="285" t="s">
        <v>13089</v>
      </c>
      <c r="H801" s="285" t="s">
        <v>13090</v>
      </c>
      <c r="I801" s="285" t="s">
        <v>13091</v>
      </c>
      <c r="J801" s="285" t="s">
        <v>5224</v>
      </c>
      <c r="K801" s="285" t="s">
        <v>4737</v>
      </c>
      <c r="L801" s="285" t="s">
        <v>7015</v>
      </c>
      <c r="M801" s="285" t="s">
        <v>9383</v>
      </c>
      <c r="N801" s="287" t="str">
        <f>IFERROR(
    IF(
        AND(
            VLOOKUP(B801, 'รายชื่อพนักงานลาออกพ้นสภาพ'!B:I, 8, FALSE)&lt;&gt;"ยกเลิกลาออก",
            VLOOKUP(B801, 'รายชื่อพนักงานลาออกพ้นสภาพ'!B:I, 7, FALSE)&lt;=TODAY()
        ),
        "ลาออกแล้ว",
        ""
    ),
"")</f>
        <v/>
      </c>
      <c r="O801" s="292" t="str">
        <f t="array" ref="O801:P801">IFERROR(INDEX(PCRent!C:D, MATCH(F801 &amp; " " &amp; G801, PCRent!A:A &amp; " " &amp; PCRent!B:B, 0)), "")</f>
        <v>SN:2V8BXW3</v>
      </c>
      <c r="P801" s="293" t="s">
        <v>7048</v>
      </c>
      <c r="Q801" s="294" t="str">
        <f t="array" ref="Q801:R801">IFERROR(INDEX(MonitorRent!C:D, MATCH(F801 &amp; " " &amp; G801, MonitorRent!A:A &amp; " " &amp; MonitorRent!B:B, 0)), "")</f>
        <v>SN:FYM6KT3</v>
      </c>
      <c r="R801" s="295" t="s">
        <v>7050</v>
      </c>
    </row>
    <row r="802">
      <c r="A802" s="284">
        <v>799.0</v>
      </c>
      <c r="B802" s="285" t="s">
        <v>8718</v>
      </c>
      <c r="C802" s="285" t="s">
        <v>6918</v>
      </c>
      <c r="D802" s="286" t="s">
        <v>13092</v>
      </c>
      <c r="E802" s="285" t="s">
        <v>6921</v>
      </c>
      <c r="F802" s="285" t="s">
        <v>13093</v>
      </c>
      <c r="G802" s="285" t="s">
        <v>13094</v>
      </c>
      <c r="H802" s="285" t="s">
        <v>10048</v>
      </c>
      <c r="I802" s="285" t="s">
        <v>13095</v>
      </c>
      <c r="J802" s="285" t="s">
        <v>5224</v>
      </c>
      <c r="K802" s="285" t="s">
        <v>3000</v>
      </c>
      <c r="L802" s="285" t="s">
        <v>8850</v>
      </c>
      <c r="M802" s="285" t="s">
        <v>9383</v>
      </c>
      <c r="N802" s="287" t="str">
        <f>IFERROR(
    IF(
        AND(
            VLOOKUP(B802, 'รายชื่อพนักงานลาออกพ้นสภาพ'!B:I, 8, FALSE)&lt;&gt;"ยกเลิกลาออก",
            VLOOKUP(B802, 'รายชื่อพนักงานลาออกพ้นสภาพ'!B:I, 7, FALSE)&lt;=TODAY()
        ),
        "ลาออกแล้ว",
        ""
    ),
"")</f>
        <v/>
      </c>
      <c r="O802" s="292" t="str">
        <f t="array" ref="O802">IFERROR(INDEX(PCRent!C:D, MATCH(F802 &amp; " " &amp; G802, PCRent!A:A &amp; " " &amp; PCRent!B:B, 0)), "")</f>
        <v/>
      </c>
      <c r="P802" s="293"/>
      <c r="Q802" s="294" t="str">
        <f t="array" ref="Q802">IFERROR(INDEX(MonitorRent!C:D, MATCH(F802 &amp; " " &amp; G802, MonitorRent!A:A &amp; " " &amp; MonitorRent!B:B, 0)), "")</f>
        <v/>
      </c>
      <c r="R802" s="295"/>
    </row>
    <row r="803">
      <c r="A803" s="284">
        <v>800.0</v>
      </c>
      <c r="B803" s="285" t="s">
        <v>7879</v>
      </c>
      <c r="C803" s="285" t="s">
        <v>6918</v>
      </c>
      <c r="D803" s="286" t="s">
        <v>9876</v>
      </c>
      <c r="E803" s="285" t="s">
        <v>6921</v>
      </c>
      <c r="F803" s="285" t="s">
        <v>13096</v>
      </c>
      <c r="G803" s="285" t="s">
        <v>13097</v>
      </c>
      <c r="H803" s="285" t="s">
        <v>13098</v>
      </c>
      <c r="I803" s="285" t="s">
        <v>13099</v>
      </c>
      <c r="J803" s="285" t="s">
        <v>5224</v>
      </c>
      <c r="K803" s="285" t="s">
        <v>13025</v>
      </c>
      <c r="L803" s="285" t="s">
        <v>7857</v>
      </c>
      <c r="M803" s="285" t="s">
        <v>9383</v>
      </c>
      <c r="N803" s="287" t="str">
        <f>IFERROR(
    IF(
        AND(
            VLOOKUP(B803, 'รายชื่อพนักงานลาออกพ้นสภาพ'!B:I, 8, FALSE)&lt;&gt;"ยกเลิกลาออก",
            VLOOKUP(B803, 'รายชื่อพนักงานลาออกพ้นสภาพ'!B:I, 7, FALSE)&lt;=TODAY()
        ),
        "ลาออกแล้ว",
        ""
    ),
"")</f>
        <v/>
      </c>
      <c r="O803" s="292" t="str">
        <f t="array" ref="O803">IFERROR(INDEX(PCRent!C:D, MATCH(F803 &amp; " " &amp; G803, PCRent!A:A &amp; " " &amp; PCRent!B:B, 0)), "")</f>
        <v/>
      </c>
      <c r="P803" s="293"/>
      <c r="Q803" s="294" t="str">
        <f t="array" ref="Q803">IFERROR(INDEX(MonitorRent!C:D, MATCH(F803 &amp; " " &amp; G803, MonitorRent!A:A &amp; " " &amp; MonitorRent!B:B, 0)), "")</f>
        <v/>
      </c>
      <c r="R803" s="295"/>
    </row>
    <row r="804">
      <c r="A804" s="284">
        <v>801.0</v>
      </c>
      <c r="B804" s="285" t="s">
        <v>1834</v>
      </c>
      <c r="C804" s="285" t="s">
        <v>6918</v>
      </c>
      <c r="D804" s="286" t="s">
        <v>13100</v>
      </c>
      <c r="E804" s="285" t="s">
        <v>6921</v>
      </c>
      <c r="F804" s="285" t="s">
        <v>13096</v>
      </c>
      <c r="G804" s="285" t="s">
        <v>13101</v>
      </c>
      <c r="H804" s="285" t="s">
        <v>10009</v>
      </c>
      <c r="I804" s="285" t="s">
        <v>5797</v>
      </c>
      <c r="J804" s="285" t="s">
        <v>5224</v>
      </c>
      <c r="K804" s="285" t="s">
        <v>12668</v>
      </c>
      <c r="L804" s="285" t="s">
        <v>13102</v>
      </c>
      <c r="M804" s="285" t="s">
        <v>9383</v>
      </c>
      <c r="N804" s="287" t="str">
        <f>IFERROR(
    IF(
        AND(
            VLOOKUP(B804, 'รายชื่อพนักงานลาออกพ้นสภาพ'!B:I, 8, FALSE)&lt;&gt;"ยกเลิกลาออก",
            VLOOKUP(B804, 'รายชื่อพนักงานลาออกพ้นสภาพ'!B:I, 7, FALSE)&lt;=TODAY()
        ),
        "ลาออกแล้ว",
        ""
    ),
"")</f>
        <v/>
      </c>
      <c r="O804" s="292" t="str">
        <f t="array" ref="O804">IFERROR(INDEX(PCRent!C:D, MATCH(F804 &amp; " " &amp; G804, PCRent!A:A &amp; " " &amp; PCRent!B:B, 0)), "")</f>
        <v/>
      </c>
      <c r="P804" s="293"/>
      <c r="Q804" s="294" t="str">
        <f t="array" ref="Q804">IFERROR(INDEX(MonitorRent!C:D, MATCH(F804 &amp; " " &amp; G804, MonitorRent!A:A &amp; " " &amp; MonitorRent!B:B, 0)), "")</f>
        <v/>
      </c>
      <c r="R804" s="295"/>
    </row>
    <row r="805">
      <c r="A805" s="284">
        <v>802.0</v>
      </c>
      <c r="B805" s="285" t="s">
        <v>7803</v>
      </c>
      <c r="C805" s="285" t="s">
        <v>6918</v>
      </c>
      <c r="D805" s="286" t="s">
        <v>10308</v>
      </c>
      <c r="E805" s="285" t="s">
        <v>7239</v>
      </c>
      <c r="F805" s="285" t="s">
        <v>13096</v>
      </c>
      <c r="G805" s="285" t="s">
        <v>13103</v>
      </c>
      <c r="H805" s="285" t="s">
        <v>13104</v>
      </c>
      <c r="I805" s="285" t="s">
        <v>13105</v>
      </c>
      <c r="J805" s="285" t="s">
        <v>5224</v>
      </c>
      <c r="K805" s="285" t="s">
        <v>2062</v>
      </c>
      <c r="L805" s="285" t="s">
        <v>7805</v>
      </c>
      <c r="M805" s="285" t="s">
        <v>9383</v>
      </c>
      <c r="N805" s="287" t="str">
        <f>IFERROR(
    IF(
        AND(
            VLOOKUP(B805, 'รายชื่อพนักงานลาออกพ้นสภาพ'!B:I, 8, FALSE)&lt;&gt;"ยกเลิกลาออก",
            VLOOKUP(B805, 'รายชื่อพนักงานลาออกพ้นสภาพ'!B:I, 7, FALSE)&lt;=TODAY()
        ),
        "ลาออกแล้ว",
        ""
    ),
"")</f>
        <v/>
      </c>
      <c r="O805" s="292" t="str">
        <f t="array" ref="O805">IFERROR(INDEX(PCRent!C:D, MATCH(F805 &amp; " " &amp; G805, PCRent!A:A &amp; " " &amp; PCRent!B:B, 0)), "")</f>
        <v/>
      </c>
      <c r="P805" s="293"/>
      <c r="Q805" s="294" t="str">
        <f t="array" ref="Q805">IFERROR(INDEX(MonitorRent!C:D, MATCH(F805 &amp; " " &amp; G805, MonitorRent!A:A &amp; " " &amp; MonitorRent!B:B, 0)), "")</f>
        <v/>
      </c>
      <c r="R805" s="295"/>
    </row>
    <row r="806">
      <c r="A806" s="284">
        <v>803.0</v>
      </c>
      <c r="B806" s="285" t="s">
        <v>7954</v>
      </c>
      <c r="C806" s="285" t="s">
        <v>6918</v>
      </c>
      <c r="D806" s="286" t="s">
        <v>13106</v>
      </c>
      <c r="E806" s="285" t="s">
        <v>6933</v>
      </c>
      <c r="F806" s="285" t="s">
        <v>13107</v>
      </c>
      <c r="G806" s="285" t="s">
        <v>13108</v>
      </c>
      <c r="H806" s="285" t="s">
        <v>10483</v>
      </c>
      <c r="I806" s="285" t="s">
        <v>13109</v>
      </c>
      <c r="J806" s="285" t="s">
        <v>5224</v>
      </c>
      <c r="K806" s="285" t="s">
        <v>13110</v>
      </c>
      <c r="L806" s="285" t="s">
        <v>3179</v>
      </c>
      <c r="M806" s="285" t="s">
        <v>9383</v>
      </c>
      <c r="N806" s="287" t="str">
        <f>IFERROR(
    IF(
        AND(
            VLOOKUP(B806, 'รายชื่อพนักงานลาออกพ้นสภาพ'!B:I, 8, FALSE)&lt;&gt;"ยกเลิกลาออก",
            VLOOKUP(B806, 'รายชื่อพนักงานลาออกพ้นสภาพ'!B:I, 7, FALSE)&lt;=TODAY()
        ),
        "ลาออกแล้ว",
        ""
    ),
"")</f>
        <v/>
      </c>
      <c r="O806" s="292" t="str">
        <f t="array" ref="O806">IFERROR(INDEX(PCRent!C:D, MATCH(F806 &amp; " " &amp; G806, PCRent!A:A &amp; " " &amp; PCRent!B:B, 0)), "")</f>
        <v/>
      </c>
      <c r="P806" s="293"/>
      <c r="Q806" s="294" t="str">
        <f t="array" ref="Q806">IFERROR(INDEX(MonitorRent!C:D, MATCH(F806 &amp; " " &amp; G806, MonitorRent!A:A &amp; " " &amp; MonitorRent!B:B, 0)), "")</f>
        <v/>
      </c>
      <c r="R806" s="295"/>
    </row>
    <row r="807">
      <c r="A807" s="284">
        <v>804.0</v>
      </c>
      <c r="B807" s="285" t="s">
        <v>13111</v>
      </c>
      <c r="C807" s="285" t="s">
        <v>6918</v>
      </c>
      <c r="D807" s="286" t="s">
        <v>13112</v>
      </c>
      <c r="E807" s="285" t="s">
        <v>6933</v>
      </c>
      <c r="F807" s="285" t="s">
        <v>13113</v>
      </c>
      <c r="G807" s="285" t="s">
        <v>13114</v>
      </c>
      <c r="H807" s="285" t="s">
        <v>11025</v>
      </c>
      <c r="I807" s="285" t="s">
        <v>13115</v>
      </c>
      <c r="J807" s="285" t="s">
        <v>5224</v>
      </c>
      <c r="K807" s="285" t="s">
        <v>2062</v>
      </c>
      <c r="L807" s="285" t="s">
        <v>13116</v>
      </c>
      <c r="M807" s="285" t="s">
        <v>9383</v>
      </c>
      <c r="N807" s="287" t="str">
        <f>IFERROR(
    IF(
        AND(
            VLOOKUP(B807, 'รายชื่อพนักงานลาออกพ้นสภาพ'!B:I, 8, FALSE)&lt;&gt;"ยกเลิกลาออก",
            VLOOKUP(B807, 'รายชื่อพนักงานลาออกพ้นสภาพ'!B:I, 7, FALSE)&lt;=TODAY()
        ),
        "ลาออกแล้ว",
        ""
    ),
"")</f>
        <v/>
      </c>
      <c r="O807" s="292" t="str">
        <f t="array" ref="O807:P807">IFERROR(INDEX(PCRent!C:D, MATCH(F807 &amp; " " &amp; G807, PCRent!A:A &amp; " " &amp; PCRent!B:B, 0)), "")</f>
        <v>SN:PF39GCY2</v>
      </c>
      <c r="P807" s="293" t="s">
        <v>7005</v>
      </c>
      <c r="Q807" s="294" t="str">
        <f t="array" ref="Q807">IFERROR(INDEX(MonitorRent!C:D, MATCH(F807 &amp; " " &amp; G807, MonitorRent!A:A &amp; " " &amp; MonitorRent!B:B, 0)), "")</f>
        <v/>
      </c>
      <c r="R807" s="295"/>
    </row>
    <row r="808">
      <c r="A808" s="284">
        <v>805.0</v>
      </c>
      <c r="B808" s="285" t="s">
        <v>8584</v>
      </c>
      <c r="C808" s="285" t="s">
        <v>6918</v>
      </c>
      <c r="D808" s="286" t="s">
        <v>10978</v>
      </c>
      <c r="E808" s="285" t="s">
        <v>6933</v>
      </c>
      <c r="F808" s="285" t="s">
        <v>13117</v>
      </c>
      <c r="G808" s="285" t="s">
        <v>13118</v>
      </c>
      <c r="H808" s="285" t="s">
        <v>10491</v>
      </c>
      <c r="I808" s="285" t="s">
        <v>13119</v>
      </c>
      <c r="J808" s="285" t="s">
        <v>5224</v>
      </c>
      <c r="K808" s="285" t="s">
        <v>4835</v>
      </c>
      <c r="L808" s="285" t="s">
        <v>1896</v>
      </c>
      <c r="M808" s="285" t="s">
        <v>9383</v>
      </c>
      <c r="N808" s="287" t="str">
        <f>IFERROR(
    IF(
        AND(
            VLOOKUP(B808, 'รายชื่อพนักงานลาออกพ้นสภาพ'!B:I, 8, FALSE)&lt;&gt;"ยกเลิกลาออก",
            VLOOKUP(B808, 'รายชื่อพนักงานลาออกพ้นสภาพ'!B:I, 7, FALSE)&lt;=TODAY()
        ),
        "ลาออกแล้ว",
        ""
    ),
"")</f>
        <v/>
      </c>
      <c r="O808" s="292" t="str">
        <f t="array" ref="O808">IFERROR(INDEX(PCRent!C:D, MATCH(F808 &amp; " " &amp; G808, PCRent!A:A &amp; " " &amp; PCRent!B:B, 0)), "")</f>
        <v/>
      </c>
      <c r="P808" s="293"/>
      <c r="Q808" s="294" t="str">
        <f t="array" ref="Q808">IFERROR(INDEX(MonitorRent!C:D, MATCH(F808 &amp; " " &amp; G808, MonitorRent!A:A &amp; " " &amp; MonitorRent!B:B, 0)), "")</f>
        <v/>
      </c>
      <c r="R808" s="295"/>
    </row>
    <row r="809">
      <c r="A809" s="284">
        <v>806.0</v>
      </c>
      <c r="B809" s="285" t="s">
        <v>8216</v>
      </c>
      <c r="C809" s="285" t="s">
        <v>6918</v>
      </c>
      <c r="D809" s="286" t="s">
        <v>9415</v>
      </c>
      <c r="E809" s="285" t="s">
        <v>6933</v>
      </c>
      <c r="F809" s="285" t="s">
        <v>13120</v>
      </c>
      <c r="G809" s="285" t="s">
        <v>13121</v>
      </c>
      <c r="H809" s="285" t="s">
        <v>10831</v>
      </c>
      <c r="I809" s="285" t="s">
        <v>13122</v>
      </c>
      <c r="J809" s="285" t="s">
        <v>5224</v>
      </c>
      <c r="K809" s="285" t="s">
        <v>13123</v>
      </c>
      <c r="L809" s="285" t="s">
        <v>13030</v>
      </c>
      <c r="M809" s="285" t="s">
        <v>9383</v>
      </c>
      <c r="N809" s="287" t="str">
        <f>IFERROR(
    IF(
        AND(
            VLOOKUP(B809, 'รายชื่อพนักงานลาออกพ้นสภาพ'!B:I, 8, FALSE)&lt;&gt;"ยกเลิกลาออก",
            VLOOKUP(B809, 'รายชื่อพนักงานลาออกพ้นสภาพ'!B:I, 7, FALSE)&lt;=TODAY()
        ),
        "ลาออกแล้ว",
        ""
    ),
"")</f>
        <v/>
      </c>
      <c r="O809" s="292" t="str">
        <f t="array" ref="O809:P809">IFERROR(INDEX(PCRent!C:D, MATCH(F809 &amp; " " &amp; G809, PCRent!A:A &amp; " " &amp; PCRent!B:B, 0)), "")</f>
        <v>SN:MP2E0CE2</v>
      </c>
      <c r="P809" s="293" t="s">
        <v>7357</v>
      </c>
      <c r="Q809" s="294" t="str">
        <f t="array" ref="Q809">IFERROR(INDEX(MonitorRent!C:D, MATCH(F809 &amp; " " &amp; G809, MonitorRent!A:A &amp; " " &amp; MonitorRent!B:B, 0)), "")</f>
        <v/>
      </c>
      <c r="R809" s="295"/>
    </row>
    <row r="810">
      <c r="A810" s="284">
        <v>807.0</v>
      </c>
      <c r="B810" s="285" t="s">
        <v>8801</v>
      </c>
      <c r="C810" s="285" t="s">
        <v>6918</v>
      </c>
      <c r="D810" s="286" t="s">
        <v>13124</v>
      </c>
      <c r="E810" s="285" t="s">
        <v>6933</v>
      </c>
      <c r="F810" s="285" t="s">
        <v>13125</v>
      </c>
      <c r="G810" s="285" t="s">
        <v>13126</v>
      </c>
      <c r="H810" s="285" t="s">
        <v>13127</v>
      </c>
      <c r="I810" s="285" t="s">
        <v>13128</v>
      </c>
      <c r="J810" s="285" t="s">
        <v>5012</v>
      </c>
      <c r="K810" s="285" t="s">
        <v>4805</v>
      </c>
      <c r="L810" s="285" t="s">
        <v>4044</v>
      </c>
      <c r="M810" s="285" t="s">
        <v>9383</v>
      </c>
      <c r="N810" s="287" t="str">
        <f>IFERROR(
    IF(
        AND(
            VLOOKUP(B810, 'รายชื่อพนักงานลาออกพ้นสภาพ'!B:I, 8, FALSE)&lt;&gt;"ยกเลิกลาออก",
            VLOOKUP(B810, 'รายชื่อพนักงานลาออกพ้นสภาพ'!B:I, 7, FALSE)&lt;=TODAY()
        ),
        "ลาออกแล้ว",
        ""
    ),
"")</f>
        <v/>
      </c>
      <c r="O810" s="292" t="str">
        <f t="array" ref="O810">IFERROR(INDEX(PCRent!C:D, MATCH(F810 &amp; " " &amp; G810, PCRent!A:A &amp; " " &amp; PCRent!B:B, 0)), "")</f>
        <v/>
      </c>
      <c r="P810" s="293"/>
      <c r="Q810" s="294" t="str">
        <f t="array" ref="Q810">IFERROR(INDEX(MonitorRent!C:D, MATCH(F810 &amp; " " &amp; G810, MonitorRent!A:A &amp; " " &amp; MonitorRent!B:B, 0)), "")</f>
        <v/>
      </c>
      <c r="R810" s="295"/>
    </row>
    <row r="811">
      <c r="A811" s="284">
        <v>808.0</v>
      </c>
      <c r="B811" s="285" t="s">
        <v>13129</v>
      </c>
      <c r="C811" s="285" t="s">
        <v>6918</v>
      </c>
      <c r="D811" s="286" t="s">
        <v>10063</v>
      </c>
      <c r="E811" s="285" t="s">
        <v>6933</v>
      </c>
      <c r="F811" s="285" t="s">
        <v>13130</v>
      </c>
      <c r="G811" s="285" t="s">
        <v>13131</v>
      </c>
      <c r="H811" s="285" t="s">
        <v>13132</v>
      </c>
      <c r="I811" s="285" t="s">
        <v>13133</v>
      </c>
      <c r="J811" s="285" t="s">
        <v>5224</v>
      </c>
      <c r="K811" s="285" t="s">
        <v>4756</v>
      </c>
      <c r="L811" s="285" t="s">
        <v>7133</v>
      </c>
      <c r="M811" s="285" t="s">
        <v>9391</v>
      </c>
      <c r="N811" s="287" t="str">
        <f>IFERROR(
    IF(
        AND(
            VLOOKUP(B811, 'รายชื่อพนักงานลาออกพ้นสภาพ'!B:I, 8, FALSE)&lt;&gt;"ยกเลิกลาออก",
            VLOOKUP(B811, 'รายชื่อพนักงานลาออกพ้นสภาพ'!B:I, 7, FALSE)&lt;=TODAY()
        ),
        "ลาออกแล้ว",
        ""
    ),
"")</f>
        <v/>
      </c>
      <c r="O811" s="292" t="str">
        <f t="array" ref="O811">IFERROR(INDEX(PCRent!C:D, MATCH(F811 &amp; " " &amp; G811, PCRent!A:A &amp; " " &amp; PCRent!B:B, 0)), "")</f>
        <v/>
      </c>
      <c r="P811" s="293"/>
      <c r="Q811" s="294" t="str">
        <f t="array" ref="Q811">IFERROR(INDEX(MonitorRent!C:D, MATCH(F811 &amp; " " &amp; G811, MonitorRent!A:A &amp; " " &amp; MonitorRent!B:B, 0)), "")</f>
        <v/>
      </c>
      <c r="R811" s="295"/>
    </row>
    <row r="812">
      <c r="A812" s="284">
        <v>809.0</v>
      </c>
      <c r="B812" s="285" t="s">
        <v>171</v>
      </c>
      <c r="C812" s="285" t="s">
        <v>6918</v>
      </c>
      <c r="D812" s="286" t="s">
        <v>9829</v>
      </c>
      <c r="E812" s="285" t="s">
        <v>6921</v>
      </c>
      <c r="F812" s="285" t="s">
        <v>13134</v>
      </c>
      <c r="G812" s="285" t="s">
        <v>13135</v>
      </c>
      <c r="H812" s="285" t="s">
        <v>13136</v>
      </c>
      <c r="I812" s="285" t="s">
        <v>175</v>
      </c>
      <c r="J812" s="285" t="s">
        <v>5012</v>
      </c>
      <c r="K812" s="285" t="s">
        <v>9560</v>
      </c>
      <c r="L812" s="285" t="s">
        <v>13137</v>
      </c>
      <c r="M812" s="285" t="s">
        <v>9391</v>
      </c>
      <c r="N812" s="287" t="str">
        <f>IFERROR(
    IF(
        AND(
            VLOOKUP(B812, 'รายชื่อพนักงานลาออกพ้นสภาพ'!B:I, 8, FALSE)&lt;&gt;"ยกเลิกลาออก",
            VLOOKUP(B812, 'รายชื่อพนักงานลาออกพ้นสภาพ'!B:I, 7, FALSE)&lt;=TODAY()
        ),
        "ลาออกแล้ว",
        ""
    ),
"")</f>
        <v>ลาออกแล้ว</v>
      </c>
      <c r="O812" s="292" t="str">
        <f t="array" ref="O812">IFERROR(INDEX(PCRent!C:D, MATCH(F812 &amp; " " &amp; G812, PCRent!A:A &amp; " " &amp; PCRent!B:B, 0)), "")</f>
        <v/>
      </c>
      <c r="P812" s="293"/>
      <c r="Q812" s="294" t="str">
        <f t="array" ref="Q812">IFERROR(INDEX(MonitorRent!C:D, MATCH(F812 &amp; " " &amp; G812, MonitorRent!A:A &amp; " " &amp; MonitorRent!B:B, 0)), "")</f>
        <v/>
      </c>
      <c r="R812" s="295"/>
    </row>
    <row r="813">
      <c r="A813" s="284">
        <v>810.0</v>
      </c>
      <c r="B813" s="285" t="s">
        <v>13138</v>
      </c>
      <c r="C813" s="285" t="s">
        <v>6918</v>
      </c>
      <c r="D813" s="286" t="s">
        <v>9819</v>
      </c>
      <c r="E813" s="285" t="s">
        <v>6933</v>
      </c>
      <c r="F813" s="285" t="s">
        <v>3158</v>
      </c>
      <c r="G813" s="285" t="s">
        <v>13139</v>
      </c>
      <c r="H813" s="285" t="s">
        <v>13140</v>
      </c>
      <c r="I813" s="285" t="s">
        <v>5693</v>
      </c>
      <c r="J813" s="285" t="s">
        <v>5012</v>
      </c>
      <c r="K813" s="285" t="s">
        <v>9521</v>
      </c>
      <c r="L813" s="285" t="s">
        <v>8919</v>
      </c>
      <c r="M813" s="285" t="s">
        <v>9383</v>
      </c>
      <c r="N813" s="287" t="str">
        <f>IFERROR(
    IF(
        AND(
            VLOOKUP(B813, 'รายชื่อพนักงานลาออกพ้นสภาพ'!B:I, 8, FALSE)&lt;&gt;"ยกเลิกลาออก",
            VLOOKUP(B813, 'รายชื่อพนักงานลาออกพ้นสภาพ'!B:I, 7, FALSE)&lt;=TODAY()
        ),
        "ลาออกแล้ว",
        ""
    ),
"")</f>
        <v/>
      </c>
      <c r="O813" s="292" t="str">
        <f t="array" ref="O813:P813">IFERROR(INDEX(PCRent!C:D, MATCH(F813 &amp; " " &amp; G813, PCRent!A:A &amp; " " &amp; PCRent!B:B, 0)), "")</f>
        <v>SN:MP2E2VSH</v>
      </c>
      <c r="P813" s="293" t="s">
        <v>6993</v>
      </c>
      <c r="Q813" s="294" t="str">
        <f t="array" ref="Q813">IFERROR(INDEX(MonitorRent!C:D, MATCH(F813 &amp; " " &amp; G813, MonitorRent!A:A &amp; " " &amp; MonitorRent!B:B, 0)), "")</f>
        <v/>
      </c>
      <c r="R813" s="295"/>
    </row>
    <row r="814">
      <c r="A814" s="284">
        <v>811.0</v>
      </c>
      <c r="B814" s="285" t="s">
        <v>8727</v>
      </c>
      <c r="C814" s="285" t="s">
        <v>6918</v>
      </c>
      <c r="D814" s="286" t="s">
        <v>13100</v>
      </c>
      <c r="E814" s="285" t="s">
        <v>6921</v>
      </c>
      <c r="F814" s="285" t="s">
        <v>13141</v>
      </c>
      <c r="G814" s="285" t="s">
        <v>13142</v>
      </c>
      <c r="H814" s="285" t="s">
        <v>10048</v>
      </c>
      <c r="I814" s="285" t="s">
        <v>13143</v>
      </c>
      <c r="J814" s="285" t="s">
        <v>5224</v>
      </c>
      <c r="K814" s="285" t="s">
        <v>13144</v>
      </c>
      <c r="L814" s="285" t="s">
        <v>456</v>
      </c>
      <c r="M814" s="285" t="s">
        <v>9383</v>
      </c>
      <c r="N814" s="287" t="str">
        <f>IFERROR(
    IF(
        AND(
            VLOOKUP(B814, 'รายชื่อพนักงานลาออกพ้นสภาพ'!B:I, 8, FALSE)&lt;&gt;"ยกเลิกลาออก",
            VLOOKUP(B814, 'รายชื่อพนักงานลาออกพ้นสภาพ'!B:I, 7, FALSE)&lt;=TODAY()
        ),
        "ลาออกแล้ว",
        ""
    ),
"")</f>
        <v/>
      </c>
      <c r="O814" s="292" t="str">
        <f t="array" ref="O814">IFERROR(INDEX(PCRent!C:D, MATCH(F814 &amp; " " &amp; G814, PCRent!A:A &amp; " " &amp; PCRent!B:B, 0)), "")</f>
        <v/>
      </c>
      <c r="P814" s="293"/>
      <c r="Q814" s="294" t="str">
        <f t="array" ref="Q814">IFERROR(INDEX(MonitorRent!C:D, MATCH(F814 &amp; " " &amp; G814, MonitorRent!A:A &amp; " " &amp; MonitorRent!B:B, 0)), "")</f>
        <v/>
      </c>
      <c r="R814" s="295"/>
    </row>
    <row r="815">
      <c r="A815" s="284">
        <v>812.0</v>
      </c>
      <c r="B815" s="285" t="s">
        <v>13145</v>
      </c>
      <c r="C815" s="285" t="s">
        <v>6918</v>
      </c>
      <c r="D815" s="286" t="s">
        <v>13146</v>
      </c>
      <c r="E815" s="285" t="s">
        <v>6921</v>
      </c>
      <c r="F815" s="285" t="s">
        <v>13147</v>
      </c>
      <c r="G815" s="285" t="s">
        <v>13148</v>
      </c>
      <c r="H815" s="285" t="s">
        <v>13149</v>
      </c>
      <c r="I815" s="285" t="s">
        <v>13150</v>
      </c>
      <c r="J815" s="285" t="s">
        <v>5012</v>
      </c>
      <c r="K815" s="285" t="s">
        <v>9560</v>
      </c>
      <c r="L815" s="285" t="s">
        <v>117</v>
      </c>
      <c r="M815" s="285" t="s">
        <v>9383</v>
      </c>
      <c r="N815" s="287" t="str">
        <f>IFERROR(
    IF(
        AND(
            VLOOKUP(B815, 'รายชื่อพนักงานลาออกพ้นสภาพ'!B:I, 8, FALSE)&lt;&gt;"ยกเลิกลาออก",
            VLOOKUP(B815, 'รายชื่อพนักงานลาออกพ้นสภาพ'!B:I, 7, FALSE)&lt;=TODAY()
        ),
        "ลาออกแล้ว",
        ""
    ),
"")</f>
        <v/>
      </c>
      <c r="O815" s="292" t="str">
        <f t="array" ref="O815">IFERROR(INDEX(PCRent!C:D, MATCH(F815 &amp; " " &amp; G815, PCRent!A:A &amp; " " &amp; PCRent!B:B, 0)), "")</f>
        <v/>
      </c>
      <c r="P815" s="293"/>
      <c r="Q815" s="294" t="str">
        <f t="array" ref="Q815">IFERROR(INDEX(MonitorRent!C:D, MATCH(F815 &amp; " " &amp; G815, MonitorRent!A:A &amp; " " &amp; MonitorRent!B:B, 0)), "")</f>
        <v/>
      </c>
      <c r="R815" s="295"/>
    </row>
    <row r="816">
      <c r="A816" s="284">
        <v>813.0</v>
      </c>
      <c r="B816" s="285" t="s">
        <v>13151</v>
      </c>
      <c r="C816" s="285" t="s">
        <v>6918</v>
      </c>
      <c r="D816" s="286" t="s">
        <v>13152</v>
      </c>
      <c r="E816" s="285" t="s">
        <v>6933</v>
      </c>
      <c r="F816" s="285" t="s">
        <v>11563</v>
      </c>
      <c r="G816" s="285" t="s">
        <v>13153</v>
      </c>
      <c r="H816" s="285" t="s">
        <v>11563</v>
      </c>
      <c r="I816" s="285" t="s">
        <v>13154</v>
      </c>
      <c r="J816" s="285" t="s">
        <v>5012</v>
      </c>
      <c r="K816" s="285" t="s">
        <v>13155</v>
      </c>
      <c r="L816" s="285" t="s">
        <v>3041</v>
      </c>
      <c r="M816" s="285" t="s">
        <v>9383</v>
      </c>
      <c r="N816" s="287" t="str">
        <f>IFERROR(
    IF(
        AND(
            VLOOKUP(B816, 'รายชื่อพนักงานลาออกพ้นสภาพ'!B:I, 8, FALSE)&lt;&gt;"ยกเลิกลาออก",
            VLOOKUP(B816, 'รายชื่อพนักงานลาออกพ้นสภาพ'!B:I, 7, FALSE)&lt;=TODAY()
        ),
        "ลาออกแล้ว",
        ""
    ),
"")</f>
        <v/>
      </c>
      <c r="O816" s="292" t="str">
        <f t="array" ref="O816">IFERROR(INDEX(PCRent!C:D, MATCH(F816 &amp; " " &amp; G816, PCRent!A:A &amp; " " &amp; PCRent!B:B, 0)), "")</f>
        <v/>
      </c>
      <c r="P816" s="293"/>
      <c r="Q816" s="294" t="str">
        <f t="array" ref="Q816">IFERROR(INDEX(MonitorRent!C:D, MATCH(F816 &amp; " " &amp; G816, MonitorRent!A:A &amp; " " &amp; MonitorRent!B:B, 0)), "")</f>
        <v/>
      </c>
      <c r="R816" s="295"/>
    </row>
    <row r="817">
      <c r="A817" s="284">
        <v>814.0</v>
      </c>
      <c r="B817" s="285" t="s">
        <v>4855</v>
      </c>
      <c r="C817" s="285" t="s">
        <v>6918</v>
      </c>
      <c r="D817" s="286" t="s">
        <v>10586</v>
      </c>
      <c r="E817" s="285" t="s">
        <v>6933</v>
      </c>
      <c r="F817" s="285" t="s">
        <v>13156</v>
      </c>
      <c r="G817" s="285" t="s">
        <v>13157</v>
      </c>
      <c r="H817" s="285" t="s">
        <v>13158</v>
      </c>
      <c r="I817" s="285" t="s">
        <v>4856</v>
      </c>
      <c r="J817" s="285" t="s">
        <v>5224</v>
      </c>
      <c r="K817" s="285" t="s">
        <v>4853</v>
      </c>
      <c r="L817" s="285" t="s">
        <v>2177</v>
      </c>
      <c r="M817" s="285" t="s">
        <v>9383</v>
      </c>
      <c r="N817" s="287" t="str">
        <f>IFERROR(
    IF(
        AND(
            VLOOKUP(B817, 'รายชื่อพนักงานลาออกพ้นสภาพ'!B:I, 8, FALSE)&lt;&gt;"ยกเลิกลาออก",
            VLOOKUP(B817, 'รายชื่อพนักงานลาออกพ้นสภาพ'!B:I, 7, FALSE)&lt;=TODAY()
        ),
        "ลาออกแล้ว",
        ""
    ),
"")</f>
        <v/>
      </c>
      <c r="O817" s="292" t="str">
        <f t="array" ref="O817">IFERROR(INDEX(PCRent!C:D, MATCH(F817 &amp; " " &amp; G817, PCRent!A:A &amp; " " &amp; PCRent!B:B, 0)), "")</f>
        <v/>
      </c>
      <c r="P817" s="293"/>
      <c r="Q817" s="294" t="str">
        <f t="array" ref="Q817">IFERROR(INDEX(MonitorRent!C:D, MATCH(F817 &amp; " " &amp; G817, MonitorRent!A:A &amp; " " &amp; MonitorRent!B:B, 0)), "")</f>
        <v/>
      </c>
      <c r="R817" s="295"/>
    </row>
    <row r="818">
      <c r="A818" s="284">
        <v>815.0</v>
      </c>
      <c r="B818" s="285" t="s">
        <v>4872</v>
      </c>
      <c r="C818" s="285" t="s">
        <v>6918</v>
      </c>
      <c r="D818" s="286" t="s">
        <v>9942</v>
      </c>
      <c r="E818" s="285" t="s">
        <v>6921</v>
      </c>
      <c r="F818" s="285" t="s">
        <v>13159</v>
      </c>
      <c r="G818" s="285" t="s">
        <v>11793</v>
      </c>
      <c r="H818" s="285" t="s">
        <v>13160</v>
      </c>
      <c r="I818" s="285" t="s">
        <v>4873</v>
      </c>
      <c r="J818" s="285" t="s">
        <v>5224</v>
      </c>
      <c r="K818" s="285" t="s">
        <v>4853</v>
      </c>
      <c r="L818" s="285" t="s">
        <v>2177</v>
      </c>
      <c r="M818" s="285" t="s">
        <v>9383</v>
      </c>
      <c r="N818" s="287" t="str">
        <f>IFERROR(
    IF(
        AND(
            VLOOKUP(B818, 'รายชื่อพนักงานลาออกพ้นสภาพ'!B:I, 8, FALSE)&lt;&gt;"ยกเลิกลาออก",
            VLOOKUP(B818, 'รายชื่อพนักงานลาออกพ้นสภาพ'!B:I, 7, FALSE)&lt;=TODAY()
        ),
        "ลาออกแล้ว",
        ""
    ),
"")</f>
        <v/>
      </c>
      <c r="O818" s="292" t="str">
        <f t="array" ref="O818">IFERROR(INDEX(PCRent!C:D, MATCH(F818 &amp; " " &amp; G818, PCRent!A:A &amp; " " &amp; PCRent!B:B, 0)), "")</f>
        <v/>
      </c>
      <c r="P818" s="293"/>
      <c r="Q818" s="294" t="str">
        <f t="array" ref="Q818">IFERROR(INDEX(MonitorRent!C:D, MATCH(F818 &amp; " " &amp; G818, MonitorRent!A:A &amp; " " &amp; MonitorRent!B:B, 0)), "")</f>
        <v/>
      </c>
      <c r="R818" s="295"/>
    </row>
    <row r="819">
      <c r="A819" s="284">
        <v>816.0</v>
      </c>
      <c r="B819" s="285" t="s">
        <v>13161</v>
      </c>
      <c r="C819" s="285" t="s">
        <v>6918</v>
      </c>
      <c r="D819" s="286" t="s">
        <v>9495</v>
      </c>
      <c r="E819" s="285" t="s">
        <v>9496</v>
      </c>
      <c r="F819" s="285" t="s">
        <v>9497</v>
      </c>
      <c r="G819" s="285" t="s">
        <v>9498</v>
      </c>
      <c r="H819" s="285" t="s">
        <v>9566</v>
      </c>
      <c r="I819" s="296"/>
      <c r="J819" s="285" t="s">
        <v>5224</v>
      </c>
      <c r="K819" s="285" t="s">
        <v>9425</v>
      </c>
      <c r="L819" s="285" t="s">
        <v>8655</v>
      </c>
      <c r="M819" s="285" t="s">
        <v>9383</v>
      </c>
      <c r="N819" s="287" t="str">
        <f>IFERROR(
    IF(
        AND(
            VLOOKUP(B819, 'รายชื่อพนักงานลาออกพ้นสภาพ'!B:I, 8, FALSE)&lt;&gt;"ยกเลิกลาออก",
            VLOOKUP(B819, 'รายชื่อพนักงานลาออกพ้นสภาพ'!B:I, 7, FALSE)&lt;=TODAY()
        ),
        "ลาออกแล้ว",
        ""
    ),
"")</f>
        <v/>
      </c>
      <c r="O819" s="292" t="str">
        <f t="array" ref="O819">IFERROR(INDEX(PCRent!C:D, MATCH(F819 &amp; " " &amp; G819, PCRent!A:A &amp; " " &amp; PCRent!B:B, 0)), "")</f>
        <v/>
      </c>
      <c r="P819" s="293"/>
      <c r="Q819" s="294" t="str">
        <f t="array" ref="Q819">IFERROR(INDEX(MonitorRent!C:D, MATCH(F819 &amp; " " &amp; G819, MonitorRent!A:A &amp; " " &amp; MonitorRent!B:B, 0)), "")</f>
        <v/>
      </c>
      <c r="R819" s="295"/>
    </row>
    <row r="820">
      <c r="A820" s="284">
        <v>817.0</v>
      </c>
      <c r="B820" s="285" t="s">
        <v>8913</v>
      </c>
      <c r="C820" s="285" t="s">
        <v>6918</v>
      </c>
      <c r="D820" s="286" t="s">
        <v>13162</v>
      </c>
      <c r="E820" s="285" t="s">
        <v>6933</v>
      </c>
      <c r="F820" s="285" t="s">
        <v>13163</v>
      </c>
      <c r="G820" s="285" t="s">
        <v>13164</v>
      </c>
      <c r="H820" s="285" t="s">
        <v>9472</v>
      </c>
      <c r="I820" s="285" t="s">
        <v>13165</v>
      </c>
      <c r="J820" s="285" t="s">
        <v>5012</v>
      </c>
      <c r="K820" s="285" t="s">
        <v>13166</v>
      </c>
      <c r="L820" s="285" t="s">
        <v>2196</v>
      </c>
      <c r="M820" s="285" t="s">
        <v>9383</v>
      </c>
      <c r="N820" s="287" t="str">
        <f>IFERROR(
    IF(
        AND(
            VLOOKUP(B820, 'รายชื่อพนักงานลาออกพ้นสภาพ'!B:I, 8, FALSE)&lt;&gt;"ยกเลิกลาออก",
            VLOOKUP(B820, 'รายชื่อพนักงานลาออกพ้นสภาพ'!B:I, 7, FALSE)&lt;=TODAY()
        ),
        "ลาออกแล้ว",
        ""
    ),
"")</f>
        <v/>
      </c>
      <c r="O820" s="292" t="str">
        <f t="array" ref="O820">IFERROR(INDEX(PCRent!C:D, MATCH(F820 &amp; " " &amp; G820, PCRent!A:A &amp; " " &amp; PCRent!B:B, 0)), "")</f>
        <v/>
      </c>
      <c r="P820" s="293"/>
      <c r="Q820" s="294" t="str">
        <f t="array" ref="Q820">IFERROR(INDEX(MonitorRent!C:D, MATCH(F820 &amp; " " &amp; G820, MonitorRent!A:A &amp; " " &amp; MonitorRent!B:B, 0)), "")</f>
        <v/>
      </c>
      <c r="R820" s="295"/>
    </row>
    <row r="821">
      <c r="A821" s="284">
        <v>818.0</v>
      </c>
      <c r="B821" s="285" t="s">
        <v>13167</v>
      </c>
      <c r="C821" s="285" t="s">
        <v>6918</v>
      </c>
      <c r="D821" s="286" t="s">
        <v>10045</v>
      </c>
      <c r="E821" s="285" t="s">
        <v>6933</v>
      </c>
      <c r="F821" s="285" t="s">
        <v>13168</v>
      </c>
      <c r="G821" s="285" t="s">
        <v>13169</v>
      </c>
      <c r="H821" s="285" t="s">
        <v>13170</v>
      </c>
      <c r="I821" s="285" t="s">
        <v>13171</v>
      </c>
      <c r="J821" s="285" t="s">
        <v>5012</v>
      </c>
      <c r="K821" s="285" t="s">
        <v>9633</v>
      </c>
      <c r="L821" s="285" t="s">
        <v>13172</v>
      </c>
      <c r="M821" s="285" t="s">
        <v>9383</v>
      </c>
      <c r="N821" s="287" t="str">
        <f>IFERROR(
    IF(
        AND(
            VLOOKUP(B821, 'รายชื่อพนักงานลาออกพ้นสภาพ'!B:I, 8, FALSE)&lt;&gt;"ยกเลิกลาออก",
            VLOOKUP(B821, 'รายชื่อพนักงานลาออกพ้นสภาพ'!B:I, 7, FALSE)&lt;=TODAY()
        ),
        "ลาออกแล้ว",
        ""
    ),
"")</f>
        <v/>
      </c>
      <c r="O821" s="292" t="str">
        <f t="array" ref="O821:P821">IFERROR(INDEX(PCRent!C:D, MATCH(F821 &amp; " " &amp; G821, PCRent!A:A &amp; " " &amp; PCRent!B:B, 0)), "")</f>
        <v>SN:MP2EJ7KH</v>
      </c>
      <c r="P821" s="293" t="s">
        <v>6993</v>
      </c>
      <c r="Q821" s="294" t="str">
        <f t="array" ref="Q821">IFERROR(INDEX(MonitorRent!C:D, MATCH(F821 &amp; " " &amp; G821, MonitorRent!A:A &amp; " " &amp; MonitorRent!B:B, 0)), "")</f>
        <v/>
      </c>
      <c r="R821" s="295"/>
    </row>
    <row r="822">
      <c r="A822" s="284">
        <v>819.0</v>
      </c>
      <c r="B822" s="285" t="s">
        <v>7700</v>
      </c>
      <c r="C822" s="285" t="s">
        <v>6918</v>
      </c>
      <c r="D822" s="286" t="s">
        <v>10372</v>
      </c>
      <c r="E822" s="285" t="s">
        <v>6933</v>
      </c>
      <c r="F822" s="285" t="s">
        <v>13173</v>
      </c>
      <c r="G822" s="285" t="s">
        <v>13174</v>
      </c>
      <c r="H822" s="285" t="s">
        <v>10420</v>
      </c>
      <c r="I822" s="285" t="s">
        <v>13175</v>
      </c>
      <c r="J822" s="285" t="s">
        <v>5224</v>
      </c>
      <c r="K822" s="285" t="s">
        <v>4756</v>
      </c>
      <c r="L822" s="285" t="s">
        <v>7688</v>
      </c>
      <c r="M822" s="285" t="s">
        <v>9383</v>
      </c>
      <c r="N822" s="287" t="str">
        <f>IFERROR(
    IF(
        AND(
            VLOOKUP(B822, 'รายชื่อพนักงานลาออกพ้นสภาพ'!B:I, 8, FALSE)&lt;&gt;"ยกเลิกลาออก",
            VLOOKUP(B822, 'รายชื่อพนักงานลาออกพ้นสภาพ'!B:I, 7, FALSE)&lt;=TODAY()
        ),
        "ลาออกแล้ว",
        ""
    ),
"")</f>
        <v/>
      </c>
      <c r="O822" s="292" t="str">
        <f t="array" ref="O822">IFERROR(INDEX(PCRent!C:D, MATCH(F822 &amp; " " &amp; G822, PCRent!A:A &amp; " " &amp; PCRent!B:B, 0)), "")</f>
        <v/>
      </c>
      <c r="P822" s="293"/>
      <c r="Q822" s="294" t="str">
        <f t="array" ref="Q822">IFERROR(INDEX(MonitorRent!C:D, MATCH(F822 &amp; " " &amp; G822, MonitorRent!A:A &amp; " " &amp; MonitorRent!B:B, 0)), "")</f>
        <v/>
      </c>
      <c r="R822" s="295"/>
    </row>
    <row r="823">
      <c r="A823" s="284">
        <v>820.0</v>
      </c>
      <c r="B823" s="285" t="s">
        <v>8458</v>
      </c>
      <c r="C823" s="285" t="s">
        <v>6918</v>
      </c>
      <c r="D823" s="286" t="s">
        <v>13176</v>
      </c>
      <c r="E823" s="285" t="s">
        <v>6933</v>
      </c>
      <c r="F823" s="285" t="s">
        <v>13177</v>
      </c>
      <c r="G823" s="285" t="s">
        <v>13178</v>
      </c>
      <c r="H823" s="285" t="s">
        <v>13179</v>
      </c>
      <c r="I823" s="285" t="s">
        <v>13180</v>
      </c>
      <c r="J823" s="285" t="s">
        <v>5224</v>
      </c>
      <c r="K823" s="285" t="s">
        <v>13181</v>
      </c>
      <c r="L823" s="285" t="s">
        <v>277</v>
      </c>
      <c r="M823" s="285" t="s">
        <v>9383</v>
      </c>
      <c r="N823" s="287" t="str">
        <f>IFERROR(
    IF(
        AND(
            VLOOKUP(B823, 'รายชื่อพนักงานลาออกพ้นสภาพ'!B:I, 8, FALSE)&lt;&gt;"ยกเลิกลาออก",
            VLOOKUP(B823, 'รายชื่อพนักงานลาออกพ้นสภาพ'!B:I, 7, FALSE)&lt;=TODAY()
        ),
        "ลาออกแล้ว",
        ""
    ),
"")</f>
        <v/>
      </c>
      <c r="O823" s="292" t="str">
        <f t="array" ref="O823:P823">IFERROR(INDEX(PCRent!C:D, MATCH(F823 &amp; " " &amp; G823, PCRent!A:A &amp; " " &amp; PCRent!B:B, 0)), "")</f>
        <v>SN:PF39G64R</v>
      </c>
      <c r="P823" s="293" t="s">
        <v>7005</v>
      </c>
      <c r="Q823" s="294" t="str">
        <f t="array" ref="Q823">IFERROR(INDEX(MonitorRent!C:D, MATCH(F823 &amp; " " &amp; G823, MonitorRent!A:A &amp; " " &amp; MonitorRent!B:B, 0)), "")</f>
        <v/>
      </c>
      <c r="R823" s="295"/>
    </row>
    <row r="824">
      <c r="A824" s="284">
        <v>821.0</v>
      </c>
      <c r="B824" s="285" t="s">
        <v>13182</v>
      </c>
      <c r="C824" s="285" t="s">
        <v>6918</v>
      </c>
      <c r="D824" s="286" t="s">
        <v>9718</v>
      </c>
      <c r="E824" s="285" t="s">
        <v>6921</v>
      </c>
      <c r="F824" s="285" t="s">
        <v>13183</v>
      </c>
      <c r="G824" s="285" t="s">
        <v>13184</v>
      </c>
      <c r="H824" s="285" t="s">
        <v>9975</v>
      </c>
      <c r="I824" s="285" t="s">
        <v>13185</v>
      </c>
      <c r="J824" s="285" t="s">
        <v>5224</v>
      </c>
      <c r="K824" s="285" t="s">
        <v>13186</v>
      </c>
      <c r="L824" s="285" t="s">
        <v>13187</v>
      </c>
      <c r="M824" s="285" t="s">
        <v>9391</v>
      </c>
      <c r="N824" s="287" t="str">
        <f>IFERROR(
    IF(
        AND(
            VLOOKUP(B824, 'รายชื่อพนักงานลาออกพ้นสภาพ'!B:I, 8, FALSE)&lt;&gt;"ยกเลิกลาออก",
            VLOOKUP(B824, 'รายชื่อพนักงานลาออกพ้นสภาพ'!B:I, 7, FALSE)&lt;=TODAY()
        ),
        "ลาออกแล้ว",
        ""
    ),
"")</f>
        <v/>
      </c>
      <c r="O824" s="292" t="str">
        <f t="array" ref="O824">IFERROR(INDEX(PCRent!C:D, MATCH(F824 &amp; " " &amp; G824, PCRent!A:A &amp; " " &amp; PCRent!B:B, 0)), "")</f>
        <v/>
      </c>
      <c r="P824" s="293"/>
      <c r="Q824" s="294" t="str">
        <f t="array" ref="Q824">IFERROR(INDEX(MonitorRent!C:D, MATCH(F824 &amp; " " &amp; G824, MonitorRent!A:A &amp; " " &amp; MonitorRent!B:B, 0)), "")</f>
        <v/>
      </c>
      <c r="R824" s="295"/>
    </row>
    <row r="825">
      <c r="A825" s="284">
        <v>822.0</v>
      </c>
      <c r="B825" s="285" t="s">
        <v>7178</v>
      </c>
      <c r="C825" s="285" t="s">
        <v>6918</v>
      </c>
      <c r="D825" s="286" t="s">
        <v>13188</v>
      </c>
      <c r="E825" s="285" t="s">
        <v>6921</v>
      </c>
      <c r="F825" s="285" t="s">
        <v>13183</v>
      </c>
      <c r="G825" s="285" t="s">
        <v>13189</v>
      </c>
      <c r="H825" s="285" t="s">
        <v>10420</v>
      </c>
      <c r="I825" s="285" t="s">
        <v>13190</v>
      </c>
      <c r="J825" s="285" t="s">
        <v>5224</v>
      </c>
      <c r="K825" s="285" t="s">
        <v>4835</v>
      </c>
      <c r="L825" s="285" t="s">
        <v>1602</v>
      </c>
      <c r="M825" s="285" t="s">
        <v>9383</v>
      </c>
      <c r="N825" s="287" t="str">
        <f>IFERROR(
    IF(
        AND(
            VLOOKUP(B825, 'รายชื่อพนักงานลาออกพ้นสภาพ'!B:I, 8, FALSE)&lt;&gt;"ยกเลิกลาออก",
            VLOOKUP(B825, 'รายชื่อพนักงานลาออกพ้นสภาพ'!B:I, 7, FALSE)&lt;=TODAY()
        ),
        "ลาออกแล้ว",
        ""
    ),
"")</f>
        <v/>
      </c>
      <c r="O825" s="292" t="str">
        <f t="array" ref="O825">IFERROR(INDEX(PCRent!C:D, MATCH(F825 &amp; " " &amp; G825, PCRent!A:A &amp; " " &amp; PCRent!B:B, 0)), "")</f>
        <v/>
      </c>
      <c r="P825" s="293"/>
      <c r="Q825" s="294" t="str">
        <f t="array" ref="Q825">IFERROR(INDEX(MonitorRent!C:D, MATCH(F825 &amp; " " &amp; G825, MonitorRent!A:A &amp; " " &amp; MonitorRent!B:B, 0)), "")</f>
        <v/>
      </c>
      <c r="R825" s="295"/>
    </row>
    <row r="826">
      <c r="A826" s="284">
        <v>823.0</v>
      </c>
      <c r="B826" s="285" t="s">
        <v>87</v>
      </c>
      <c r="C826" s="285" t="s">
        <v>6918</v>
      </c>
      <c r="D826" s="286" t="s">
        <v>13191</v>
      </c>
      <c r="E826" s="285" t="s">
        <v>6921</v>
      </c>
      <c r="F826" s="285" t="s">
        <v>13192</v>
      </c>
      <c r="G826" s="285" t="s">
        <v>13193</v>
      </c>
      <c r="H826" s="285" t="s">
        <v>13194</v>
      </c>
      <c r="I826" s="285" t="s">
        <v>91</v>
      </c>
      <c r="J826" s="285" t="s">
        <v>5012</v>
      </c>
      <c r="K826" s="285" t="s">
        <v>9671</v>
      </c>
      <c r="L826" s="285" t="s">
        <v>3857</v>
      </c>
      <c r="M826" s="285" t="s">
        <v>9383</v>
      </c>
      <c r="N826" s="287" t="str">
        <f>IFERROR(
    IF(
        AND(
            VLOOKUP(B826, 'รายชื่อพนักงานลาออกพ้นสภาพ'!B:I, 8, FALSE)&lt;&gt;"ยกเลิกลาออก",
            VLOOKUP(B826, 'รายชื่อพนักงานลาออกพ้นสภาพ'!B:I, 7, FALSE)&lt;=TODAY()
        ),
        "ลาออกแล้ว",
        ""
    ),
"")</f>
        <v>ลาออกแล้ว</v>
      </c>
      <c r="O826" s="292" t="str">
        <f t="array" ref="O826:P826">IFERROR(INDEX(PCRent!C:D, MATCH(F826 &amp; " " &amp; G826, PCRent!A:A &amp; " " &amp; PCRent!B:B, 0)), "")</f>
        <v>SN:HTYNPY3</v>
      </c>
      <c r="P826" s="293" t="s">
        <v>7048</v>
      </c>
      <c r="Q826" s="294" t="str">
        <f t="array" ref="Q826:R826">IFERROR(INDEX(MonitorRent!C:D, MATCH(F826 &amp; " " &amp; G826, MonitorRent!A:A &amp; " " &amp; MonitorRent!B:B, 0)), "")</f>
        <v>SN:DMZF8X3</v>
      </c>
      <c r="R826" s="295" t="s">
        <v>7050</v>
      </c>
    </row>
    <row r="827">
      <c r="A827" s="284">
        <v>824.0</v>
      </c>
      <c r="B827" s="285" t="s">
        <v>13195</v>
      </c>
      <c r="C827" s="285" t="s">
        <v>6918</v>
      </c>
      <c r="D827" s="286" t="s">
        <v>9718</v>
      </c>
      <c r="E827" s="285" t="s">
        <v>6921</v>
      </c>
      <c r="F827" s="285" t="s">
        <v>13196</v>
      </c>
      <c r="G827" s="285" t="s">
        <v>13197</v>
      </c>
      <c r="H827" s="285" t="s">
        <v>13198</v>
      </c>
      <c r="I827" s="285" t="s">
        <v>13199</v>
      </c>
      <c r="J827" s="285" t="s">
        <v>5012</v>
      </c>
      <c r="K827" s="285" t="s">
        <v>6322</v>
      </c>
      <c r="L827" s="285" t="s">
        <v>941</v>
      </c>
      <c r="M827" s="285" t="s">
        <v>9391</v>
      </c>
      <c r="N827" s="287" t="str">
        <f>IFERROR(
    IF(
        AND(
            VLOOKUP(B827, 'รายชื่อพนักงานลาออกพ้นสภาพ'!B:I, 8, FALSE)&lt;&gt;"ยกเลิกลาออก",
            VLOOKUP(B827, 'รายชื่อพนักงานลาออกพ้นสภาพ'!B:I, 7, FALSE)&lt;=TODAY()
        ),
        "ลาออกแล้ว",
        ""
    ),
"")</f>
        <v/>
      </c>
      <c r="O827" s="292" t="str">
        <f t="array" ref="O827:P827">IFERROR(INDEX(PCRent!C:D, MATCH(F827 &amp; " " &amp; G827, PCRent!A:A &amp; " " &amp; PCRent!B:B, 0)), "")</f>
        <v>SN:MP2AN2CA</v>
      </c>
      <c r="P827" s="293" t="s">
        <v>9562</v>
      </c>
      <c r="Q827" s="294" t="str">
        <f t="array" ref="Q827">IFERROR(INDEX(MonitorRent!C:D, MATCH(F827 &amp; " " &amp; G827, MonitorRent!A:A &amp; " " &amp; MonitorRent!B:B, 0)), "")</f>
        <v/>
      </c>
      <c r="R827" s="295"/>
    </row>
    <row r="828">
      <c r="A828" s="284">
        <v>825.0</v>
      </c>
      <c r="B828" s="285" t="s">
        <v>13200</v>
      </c>
      <c r="C828" s="285" t="s">
        <v>6918</v>
      </c>
      <c r="D828" s="286" t="s">
        <v>9718</v>
      </c>
      <c r="E828" s="285" t="s">
        <v>6921</v>
      </c>
      <c r="F828" s="285" t="s">
        <v>13201</v>
      </c>
      <c r="G828" s="285" t="s">
        <v>13202</v>
      </c>
      <c r="H828" s="285" t="s">
        <v>10749</v>
      </c>
      <c r="I828" s="285" t="s">
        <v>13203</v>
      </c>
      <c r="J828" s="285" t="s">
        <v>5224</v>
      </c>
      <c r="K828" s="285" t="s">
        <v>13204</v>
      </c>
      <c r="L828" s="285" t="s">
        <v>13205</v>
      </c>
      <c r="M828" s="285" t="s">
        <v>9391</v>
      </c>
      <c r="N828" s="287" t="str">
        <f>IFERROR(
    IF(
        AND(
            VLOOKUP(B828, 'รายชื่อพนักงานลาออกพ้นสภาพ'!B:I, 8, FALSE)&lt;&gt;"ยกเลิกลาออก",
            VLOOKUP(B828, 'รายชื่อพนักงานลาออกพ้นสภาพ'!B:I, 7, FALSE)&lt;=TODAY()
        ),
        "ลาออกแล้ว",
        ""
    ),
"")</f>
        <v/>
      </c>
      <c r="O828" s="292" t="str">
        <f t="array" ref="O828:P828">IFERROR(INDEX(PCRent!C:D, MATCH(F828 &amp; " " &amp; G828, PCRent!A:A &amp; " " &amp; PCRent!B:B, 0)), "")</f>
        <v>SN:PF37TTAK</v>
      </c>
      <c r="P828" s="293" t="s">
        <v>7005</v>
      </c>
      <c r="Q828" s="294" t="str">
        <f t="array" ref="Q828">IFERROR(INDEX(MonitorRent!C:D, MATCH(F828 &amp; " " &amp; G828, MonitorRent!A:A &amp; " " &amp; MonitorRent!B:B, 0)), "")</f>
        <v/>
      </c>
      <c r="R828" s="295"/>
    </row>
    <row r="829">
      <c r="A829" s="284">
        <v>826.0</v>
      </c>
      <c r="B829" s="285" t="s">
        <v>234</v>
      </c>
      <c r="C829" s="285" t="s">
        <v>6918</v>
      </c>
      <c r="D829" s="286" t="s">
        <v>11296</v>
      </c>
      <c r="E829" s="285" t="s">
        <v>6933</v>
      </c>
      <c r="F829" s="285" t="s">
        <v>13206</v>
      </c>
      <c r="G829" s="285" t="s">
        <v>13207</v>
      </c>
      <c r="H829" s="285" t="s">
        <v>13208</v>
      </c>
      <c r="I829" s="285" t="s">
        <v>237</v>
      </c>
      <c r="J829" s="285" t="s">
        <v>5012</v>
      </c>
      <c r="K829" s="285" t="s">
        <v>9560</v>
      </c>
      <c r="L829" s="285" t="s">
        <v>13209</v>
      </c>
      <c r="M829" s="285" t="s">
        <v>9383</v>
      </c>
      <c r="N829" s="287" t="str">
        <f>IFERROR(
    IF(
        AND(
            VLOOKUP(B829, 'รายชื่อพนักงานลาออกพ้นสภาพ'!B:I, 8, FALSE)&lt;&gt;"ยกเลิกลาออก",
            VLOOKUP(B829, 'รายชื่อพนักงานลาออกพ้นสภาพ'!B:I, 7, FALSE)&lt;=TODAY()
        ),
        "ลาออกแล้ว",
        ""
    ),
"")</f>
        <v>ลาออกแล้ว</v>
      </c>
      <c r="O829" s="292" t="str">
        <f t="array" ref="O829">IFERROR(INDEX(PCRent!C:D, MATCH(F829 &amp; " " &amp; G829, PCRent!A:A &amp; " " &amp; PCRent!B:B, 0)), "")</f>
        <v/>
      </c>
      <c r="P829" s="293"/>
      <c r="Q829" s="294" t="str">
        <f t="array" ref="Q829">IFERROR(INDEX(MonitorRent!C:D, MATCH(F829 &amp; " " &amp; G829, MonitorRent!A:A &amp; " " &amp; MonitorRent!B:B, 0)), "")</f>
        <v/>
      </c>
      <c r="R829" s="295"/>
    </row>
    <row r="830">
      <c r="A830" s="284">
        <v>827.0</v>
      </c>
      <c r="B830" s="285" t="s">
        <v>13210</v>
      </c>
      <c r="C830" s="285" t="s">
        <v>6918</v>
      </c>
      <c r="D830" s="286" t="s">
        <v>9865</v>
      </c>
      <c r="E830" s="285" t="s">
        <v>6933</v>
      </c>
      <c r="F830" s="285" t="s">
        <v>13211</v>
      </c>
      <c r="G830" s="285" t="s">
        <v>13212</v>
      </c>
      <c r="H830" s="285" t="s">
        <v>11374</v>
      </c>
      <c r="I830" s="285" t="s">
        <v>13213</v>
      </c>
      <c r="J830" s="285" t="s">
        <v>5224</v>
      </c>
      <c r="K830" s="285" t="s">
        <v>12359</v>
      </c>
      <c r="L830" s="285" t="s">
        <v>1837</v>
      </c>
      <c r="M830" s="285" t="s">
        <v>9383</v>
      </c>
      <c r="N830" s="287" t="str">
        <f>IFERROR(
    IF(
        AND(
            VLOOKUP(B830, 'รายชื่อพนักงานลาออกพ้นสภาพ'!B:I, 8, FALSE)&lt;&gt;"ยกเลิกลาออก",
            VLOOKUP(B830, 'รายชื่อพนักงานลาออกพ้นสภาพ'!B:I, 7, FALSE)&lt;=TODAY()
        ),
        "ลาออกแล้ว",
        ""
    ),
"")</f>
        <v/>
      </c>
      <c r="O830" s="292" t="str">
        <f t="array" ref="O830:P830">IFERROR(INDEX(PCRent!C:D, MATCH(F830 &amp; " " &amp; G830, PCRent!A:A &amp; " " &amp; PCRent!B:B, 0)), "")</f>
        <v>SN:3V8BXW3</v>
      </c>
      <c r="P830" s="293" t="s">
        <v>7048</v>
      </c>
      <c r="Q830" s="294" t="str">
        <f t="array" ref="Q830:R830">IFERROR(INDEX(MonitorRent!C:D, MATCH(F830 &amp; " " &amp; G830, MonitorRent!A:A &amp; " " &amp; MonitorRent!B:B, 0)), "")</f>
        <v>SN:7CRHYV3</v>
      </c>
      <c r="R830" s="295" t="s">
        <v>7050</v>
      </c>
    </row>
    <row r="831">
      <c r="A831" s="284">
        <v>828.0</v>
      </c>
      <c r="B831" s="285" t="s">
        <v>8636</v>
      </c>
      <c r="C831" s="285" t="s">
        <v>6918</v>
      </c>
      <c r="D831" s="286" t="s">
        <v>13214</v>
      </c>
      <c r="E831" s="285" t="s">
        <v>6921</v>
      </c>
      <c r="F831" s="285" t="s">
        <v>13215</v>
      </c>
      <c r="G831" s="285" t="s">
        <v>13216</v>
      </c>
      <c r="H831" s="285" t="s">
        <v>11916</v>
      </c>
      <c r="I831" s="285" t="s">
        <v>13217</v>
      </c>
      <c r="J831" s="285" t="s">
        <v>5224</v>
      </c>
      <c r="K831" s="285" t="s">
        <v>9767</v>
      </c>
      <c r="L831" s="285" t="s">
        <v>5805</v>
      </c>
      <c r="M831" s="285" t="s">
        <v>9383</v>
      </c>
      <c r="N831" s="287" t="str">
        <f>IFERROR(
    IF(
        AND(
            VLOOKUP(B831, 'รายชื่อพนักงานลาออกพ้นสภาพ'!B:I, 8, FALSE)&lt;&gt;"ยกเลิกลาออก",
            VLOOKUP(B831, 'รายชื่อพนักงานลาออกพ้นสภาพ'!B:I, 7, FALSE)&lt;=TODAY()
        ),
        "ลาออกแล้ว",
        ""
    ),
"")</f>
        <v/>
      </c>
      <c r="O831" s="292" t="str">
        <f t="array" ref="O831:P831">IFERROR(INDEX(PCRent!C:D, MATCH(F831 &amp; " " &amp; G831, PCRent!A:A &amp; " " &amp; PCRent!B:B, 0)), "")</f>
        <v>SN:BSRKQ04</v>
      </c>
      <c r="P831" s="293" t="s">
        <v>7048</v>
      </c>
      <c r="Q831" s="294" t="str">
        <f t="array" ref="Q831:R831">IFERROR(INDEX(MonitorRent!C:D, MATCH(F831 &amp; " " &amp; G831, MonitorRent!A:A &amp; " " &amp; MonitorRent!B:B, 0)), "")</f>
        <v>SN:8ZY7XY3</v>
      </c>
      <c r="R831" s="295" t="s">
        <v>9397</v>
      </c>
    </row>
    <row r="832">
      <c r="A832" s="284">
        <v>829.0</v>
      </c>
      <c r="B832" s="285" t="s">
        <v>7704</v>
      </c>
      <c r="C832" s="285" t="s">
        <v>6918</v>
      </c>
      <c r="D832" s="286" t="s">
        <v>13218</v>
      </c>
      <c r="E832" s="285" t="s">
        <v>6933</v>
      </c>
      <c r="F832" s="285" t="s">
        <v>13219</v>
      </c>
      <c r="G832" s="285" t="s">
        <v>13220</v>
      </c>
      <c r="H832" s="285" t="s">
        <v>11911</v>
      </c>
      <c r="I832" s="285" t="s">
        <v>13221</v>
      </c>
      <c r="J832" s="285" t="s">
        <v>5224</v>
      </c>
      <c r="K832" s="285" t="s">
        <v>4818</v>
      </c>
      <c r="L832" s="285" t="s">
        <v>2716</v>
      </c>
      <c r="M832" s="285" t="s">
        <v>9383</v>
      </c>
      <c r="N832" s="287" t="str">
        <f>IFERROR(
    IF(
        AND(
            VLOOKUP(B832, 'รายชื่อพนักงานลาออกพ้นสภาพ'!B:I, 8, FALSE)&lt;&gt;"ยกเลิกลาออก",
            VLOOKUP(B832, 'รายชื่อพนักงานลาออกพ้นสภาพ'!B:I, 7, FALSE)&lt;=TODAY()
        ),
        "ลาออกแล้ว",
        ""
    ),
"")</f>
        <v/>
      </c>
      <c r="O832" s="292" t="str">
        <f t="array" ref="O832">IFERROR(INDEX(PCRent!C:D, MATCH(F832 &amp; " " &amp; G832, PCRent!A:A &amp; " " &amp; PCRent!B:B, 0)), "")</f>
        <v/>
      </c>
      <c r="P832" s="293"/>
      <c r="Q832" s="294" t="str">
        <f t="array" ref="Q832">IFERROR(INDEX(MonitorRent!C:D, MATCH(F832 &amp; " " &amp; G832, MonitorRent!A:A &amp; " " &amp; MonitorRent!B:B, 0)), "")</f>
        <v/>
      </c>
      <c r="R832" s="295"/>
    </row>
    <row r="833">
      <c r="A833" s="284">
        <v>830.0</v>
      </c>
      <c r="B833" s="285" t="s">
        <v>8588</v>
      </c>
      <c r="C833" s="285" t="s">
        <v>6918</v>
      </c>
      <c r="D833" s="286" t="s">
        <v>10657</v>
      </c>
      <c r="E833" s="285" t="s">
        <v>6933</v>
      </c>
      <c r="F833" s="285" t="s">
        <v>13222</v>
      </c>
      <c r="G833" s="285" t="s">
        <v>13223</v>
      </c>
      <c r="H833" s="285" t="s">
        <v>13224</v>
      </c>
      <c r="I833" s="285" t="s">
        <v>13225</v>
      </c>
      <c r="J833" s="285" t="s">
        <v>5224</v>
      </c>
      <c r="K833" s="285" t="s">
        <v>10056</v>
      </c>
      <c r="L833" s="285" t="s">
        <v>1896</v>
      </c>
      <c r="M833" s="285" t="s">
        <v>9383</v>
      </c>
      <c r="N833" s="287" t="str">
        <f>IFERROR(
    IF(
        AND(
            VLOOKUP(B833, 'รายชื่อพนักงานลาออกพ้นสภาพ'!B:I, 8, FALSE)&lt;&gt;"ยกเลิกลาออก",
            VLOOKUP(B833, 'รายชื่อพนักงานลาออกพ้นสภาพ'!B:I, 7, FALSE)&lt;=TODAY()
        ),
        "ลาออกแล้ว",
        ""
    ),
"")</f>
        <v/>
      </c>
      <c r="O833" s="292" t="str">
        <f t="array" ref="O833">IFERROR(INDEX(PCRent!C:D, MATCH(F833 &amp; " " &amp; G833, PCRent!A:A &amp; " " &amp; PCRent!B:B, 0)), "")</f>
        <v/>
      </c>
      <c r="P833" s="293"/>
      <c r="Q833" s="294" t="str">
        <f t="array" ref="Q833">IFERROR(INDEX(MonitorRent!C:D, MATCH(F833 &amp; " " &amp; G833, MonitorRent!A:A &amp; " " &amp; MonitorRent!B:B, 0)), "")</f>
        <v/>
      </c>
      <c r="R833" s="295"/>
    </row>
    <row r="834">
      <c r="A834" s="284">
        <v>831.0</v>
      </c>
      <c r="B834" s="285" t="s">
        <v>13226</v>
      </c>
      <c r="C834" s="285" t="s">
        <v>6918</v>
      </c>
      <c r="D834" s="286" t="s">
        <v>13227</v>
      </c>
      <c r="E834" s="285" t="s">
        <v>6921</v>
      </c>
      <c r="F834" s="285" t="s">
        <v>13228</v>
      </c>
      <c r="G834" s="285" t="s">
        <v>13229</v>
      </c>
      <c r="H834" s="285" t="s">
        <v>9456</v>
      </c>
      <c r="I834" s="285" t="s">
        <v>13230</v>
      </c>
      <c r="J834" s="285" t="s">
        <v>5012</v>
      </c>
      <c r="K834" s="285" t="s">
        <v>3000</v>
      </c>
      <c r="L834" s="285" t="s">
        <v>13172</v>
      </c>
      <c r="M834" s="285" t="s">
        <v>9383</v>
      </c>
      <c r="N834" s="287" t="str">
        <f>IFERROR(
    IF(
        AND(
            VLOOKUP(B834, 'รายชื่อพนักงานลาออกพ้นสภาพ'!B:I, 8, FALSE)&lt;&gt;"ยกเลิกลาออก",
            VLOOKUP(B834, 'รายชื่อพนักงานลาออกพ้นสภาพ'!B:I, 7, FALSE)&lt;=TODAY()
        ),
        "ลาออกแล้ว",
        ""
    ),
"")</f>
        <v/>
      </c>
      <c r="O834" s="292" t="str">
        <f t="array" ref="O834">IFERROR(INDEX(PCRent!C:D, MATCH(F834 &amp; " " &amp; G834, PCRent!A:A &amp; " " &amp; PCRent!B:B, 0)), "")</f>
        <v/>
      </c>
      <c r="P834" s="293"/>
      <c r="Q834" s="294" t="str">
        <f t="array" ref="Q834">IFERROR(INDEX(MonitorRent!C:D, MATCH(F834 &amp; " " &amp; G834, MonitorRent!A:A &amp; " " &amp; MonitorRent!B:B, 0)), "")</f>
        <v/>
      </c>
      <c r="R834" s="295"/>
    </row>
    <row r="835">
      <c r="A835" s="284">
        <v>832.0</v>
      </c>
      <c r="B835" s="285" t="s">
        <v>6920</v>
      </c>
      <c r="C835" s="285" t="s">
        <v>6918</v>
      </c>
      <c r="D835" s="286" t="s">
        <v>12113</v>
      </c>
      <c r="E835" s="285" t="s">
        <v>6921</v>
      </c>
      <c r="F835" s="285" t="s">
        <v>13231</v>
      </c>
      <c r="G835" s="285" t="s">
        <v>13232</v>
      </c>
      <c r="H835" s="285" t="s">
        <v>10100</v>
      </c>
      <c r="I835" s="285" t="s">
        <v>13233</v>
      </c>
      <c r="J835" s="285" t="s">
        <v>5224</v>
      </c>
      <c r="K835" s="285" t="s">
        <v>13234</v>
      </c>
      <c r="L835" s="285" t="s">
        <v>3041</v>
      </c>
      <c r="M835" s="285" t="s">
        <v>9383</v>
      </c>
      <c r="N835" s="287" t="str">
        <f>IFERROR(
    IF(
        AND(
            VLOOKUP(B835, 'รายชื่อพนักงานลาออกพ้นสภาพ'!B:I, 8, FALSE)&lt;&gt;"ยกเลิกลาออก",
            VLOOKUP(B835, 'รายชื่อพนักงานลาออกพ้นสภาพ'!B:I, 7, FALSE)&lt;=TODAY()
        ),
        "ลาออกแล้ว",
        ""
    ),
"")</f>
        <v/>
      </c>
      <c r="O835" s="292" t="str">
        <f t="array" ref="O835">IFERROR(INDEX(PCRent!C:D, MATCH(F835 &amp; " " &amp; G835, PCRent!A:A &amp; " " &amp; PCRent!B:B, 0)), "")</f>
        <v/>
      </c>
      <c r="P835" s="293"/>
      <c r="Q835" s="294" t="str">
        <f t="array" ref="Q835">IFERROR(INDEX(MonitorRent!C:D, MATCH(F835 &amp; " " &amp; G835, MonitorRent!A:A &amp; " " &amp; MonitorRent!B:B, 0)), "")</f>
        <v/>
      </c>
      <c r="R835" s="295"/>
    </row>
    <row r="836">
      <c r="A836" s="284">
        <v>833.0</v>
      </c>
      <c r="B836" s="285" t="s">
        <v>7045</v>
      </c>
      <c r="C836" s="285" t="s">
        <v>6918</v>
      </c>
      <c r="D836" s="286" t="s">
        <v>11343</v>
      </c>
      <c r="E836" s="285" t="s">
        <v>6933</v>
      </c>
      <c r="F836" s="285" t="s">
        <v>13235</v>
      </c>
      <c r="G836" s="285" t="s">
        <v>13236</v>
      </c>
      <c r="H836" s="285" t="s">
        <v>11177</v>
      </c>
      <c r="I836" s="285" t="s">
        <v>13237</v>
      </c>
      <c r="J836" s="285" t="s">
        <v>5224</v>
      </c>
      <c r="K836" s="285" t="s">
        <v>9784</v>
      </c>
      <c r="L836" s="285" t="s">
        <v>7015</v>
      </c>
      <c r="M836" s="285" t="s">
        <v>9383</v>
      </c>
      <c r="N836" s="287" t="str">
        <f>IFERROR(
    IF(
        AND(
            VLOOKUP(B836, 'รายชื่อพนักงานลาออกพ้นสภาพ'!B:I, 8, FALSE)&lt;&gt;"ยกเลิกลาออก",
            VLOOKUP(B836, 'รายชื่อพนักงานลาออกพ้นสภาพ'!B:I, 7, FALSE)&lt;=TODAY()
        ),
        "ลาออกแล้ว",
        ""
    ),
"")</f>
        <v/>
      </c>
      <c r="O836" s="292" t="str">
        <f t="array" ref="O836:P836">IFERROR(INDEX(PCRent!C:D, MATCH(F836 &amp; " " &amp; G836, PCRent!A:A &amp; " " &amp; PCRent!B:B, 0)), "")</f>
        <v>SN:FCD0HY3</v>
      </c>
      <c r="P836" s="293" t="s">
        <v>7048</v>
      </c>
      <c r="Q836" s="294" t="str">
        <f t="array" ref="Q836:R836">IFERROR(INDEX(MonitorRent!C:D, MATCH(F836 &amp; " " &amp; G836, MonitorRent!A:A &amp; " " &amp; MonitorRent!B:B, 0)), "")</f>
        <v>SN:C7GNYV3</v>
      </c>
      <c r="R836" s="295" t="s">
        <v>7050</v>
      </c>
    </row>
    <row r="837">
      <c r="A837" s="284">
        <v>834.0</v>
      </c>
      <c r="B837" s="285" t="s">
        <v>9063</v>
      </c>
      <c r="C837" s="285" t="s">
        <v>6918</v>
      </c>
      <c r="D837" s="286" t="s">
        <v>13238</v>
      </c>
      <c r="E837" s="285" t="s">
        <v>6921</v>
      </c>
      <c r="F837" s="285" t="s">
        <v>13239</v>
      </c>
      <c r="G837" s="285" t="s">
        <v>13240</v>
      </c>
      <c r="H837" s="285" t="s">
        <v>13241</v>
      </c>
      <c r="I837" s="285" t="s">
        <v>13242</v>
      </c>
      <c r="J837" s="285" t="s">
        <v>5224</v>
      </c>
      <c r="K837" s="285" t="s">
        <v>4756</v>
      </c>
      <c r="L837" s="285" t="s">
        <v>2508</v>
      </c>
      <c r="M837" s="285" t="s">
        <v>9383</v>
      </c>
      <c r="N837" s="287" t="str">
        <f>IFERROR(
    IF(
        AND(
            VLOOKUP(B837, 'รายชื่อพนักงานลาออกพ้นสภาพ'!B:I, 8, FALSE)&lt;&gt;"ยกเลิกลาออก",
            VLOOKUP(B837, 'รายชื่อพนักงานลาออกพ้นสภาพ'!B:I, 7, FALSE)&lt;=TODAY()
        ),
        "ลาออกแล้ว",
        ""
    ),
"")</f>
        <v/>
      </c>
      <c r="O837" s="292" t="str">
        <f t="array" ref="O837">IFERROR(INDEX(PCRent!C:D, MATCH(F837 &amp; " " &amp; G837, PCRent!A:A &amp; " " &amp; PCRent!B:B, 0)), "")</f>
        <v/>
      </c>
      <c r="P837" s="293"/>
      <c r="Q837" s="294" t="str">
        <f t="array" ref="Q837">IFERROR(INDEX(MonitorRent!C:D, MATCH(F837 &amp; " " &amp; G837, MonitorRent!A:A &amp; " " &amp; MonitorRent!B:B, 0)), "")</f>
        <v/>
      </c>
      <c r="R837" s="295"/>
    </row>
    <row r="838">
      <c r="A838" s="284">
        <v>835.0</v>
      </c>
      <c r="B838" s="285" t="s">
        <v>8811</v>
      </c>
      <c r="C838" s="285" t="s">
        <v>6918</v>
      </c>
      <c r="D838" s="286" t="s">
        <v>10070</v>
      </c>
      <c r="E838" s="285" t="s">
        <v>7239</v>
      </c>
      <c r="F838" s="285" t="s">
        <v>13243</v>
      </c>
      <c r="G838" s="285" t="s">
        <v>13244</v>
      </c>
      <c r="H838" s="285" t="s">
        <v>10761</v>
      </c>
      <c r="I838" s="285" t="s">
        <v>13245</v>
      </c>
      <c r="J838" s="285" t="s">
        <v>5224</v>
      </c>
      <c r="K838" s="285" t="s">
        <v>1392</v>
      </c>
      <c r="L838" s="285" t="s">
        <v>363</v>
      </c>
      <c r="M838" s="285" t="s">
        <v>9383</v>
      </c>
      <c r="N838" s="287" t="str">
        <f>IFERROR(
    IF(
        AND(
            VLOOKUP(B838, 'รายชื่อพนักงานลาออกพ้นสภาพ'!B:I, 8, FALSE)&lt;&gt;"ยกเลิกลาออก",
            VLOOKUP(B838, 'รายชื่อพนักงานลาออกพ้นสภาพ'!B:I, 7, FALSE)&lt;=TODAY()
        ),
        "ลาออกแล้ว",
        ""
    ),
"")</f>
        <v/>
      </c>
      <c r="O838" s="292" t="str">
        <f t="array" ref="O838:P838">IFERROR(INDEX(PCRent!C:D, MATCH(F838 &amp; " " &amp; G838, PCRent!A:A &amp; " " &amp; PCRent!B:B, 0)), "")</f>
        <v>SN:MP2ESVK1</v>
      </c>
      <c r="P838" s="293" t="s">
        <v>7070</v>
      </c>
      <c r="Q838" s="294" t="str">
        <f t="array" ref="Q838">IFERROR(INDEX(MonitorRent!C:D, MATCH(F838 &amp; " " &amp; G838, MonitorRent!A:A &amp; " " &amp; MonitorRent!B:B, 0)), "")</f>
        <v/>
      </c>
      <c r="R838" s="295"/>
    </row>
    <row r="839">
      <c r="A839" s="284">
        <v>836.0</v>
      </c>
      <c r="B839" s="285" t="s">
        <v>8480</v>
      </c>
      <c r="C839" s="285" t="s">
        <v>6918</v>
      </c>
      <c r="D839" s="286" t="s">
        <v>9888</v>
      </c>
      <c r="E839" s="285" t="s">
        <v>6921</v>
      </c>
      <c r="F839" s="285" t="s">
        <v>13246</v>
      </c>
      <c r="G839" s="285" t="s">
        <v>13247</v>
      </c>
      <c r="H839" s="285" t="s">
        <v>10086</v>
      </c>
      <c r="I839" s="285" t="s">
        <v>13248</v>
      </c>
      <c r="J839" s="285" t="s">
        <v>5224</v>
      </c>
      <c r="K839" s="285" t="s">
        <v>9836</v>
      </c>
      <c r="L839" s="285" t="s">
        <v>1602</v>
      </c>
      <c r="M839" s="285" t="s">
        <v>9383</v>
      </c>
      <c r="N839" s="287" t="str">
        <f>IFERROR(
    IF(
        AND(
            VLOOKUP(B839, 'รายชื่อพนักงานลาออกพ้นสภาพ'!B:I, 8, FALSE)&lt;&gt;"ยกเลิกลาออก",
            VLOOKUP(B839, 'รายชื่อพนักงานลาออกพ้นสภาพ'!B:I, 7, FALSE)&lt;=TODAY()
        ),
        "ลาออกแล้ว",
        ""
    ),
"")</f>
        <v/>
      </c>
      <c r="O839" s="292" t="str">
        <f t="array" ref="O839">IFERROR(INDEX(PCRent!C:D, MATCH(F839 &amp; " " &amp; G839, PCRent!A:A &amp; " " &amp; PCRent!B:B, 0)), "")</f>
        <v/>
      </c>
      <c r="P839" s="293"/>
      <c r="Q839" s="294" t="str">
        <f t="array" ref="Q839">IFERROR(INDEX(MonitorRent!C:D, MATCH(F839 &amp; " " &amp; G839, MonitorRent!A:A &amp; " " &amp; MonitorRent!B:B, 0)), "")</f>
        <v/>
      </c>
      <c r="R839" s="295"/>
    </row>
    <row r="840">
      <c r="A840" s="284">
        <v>837.0</v>
      </c>
      <c r="B840" s="285" t="s">
        <v>7920</v>
      </c>
      <c r="C840" s="285" t="s">
        <v>6918</v>
      </c>
      <c r="D840" s="286" t="s">
        <v>13249</v>
      </c>
      <c r="E840" s="285" t="s">
        <v>6921</v>
      </c>
      <c r="F840" s="285" t="s">
        <v>13246</v>
      </c>
      <c r="G840" s="285" t="s">
        <v>13250</v>
      </c>
      <c r="H840" s="285" t="s">
        <v>13251</v>
      </c>
      <c r="I840" s="285" t="s">
        <v>13252</v>
      </c>
      <c r="J840" s="285" t="s">
        <v>5224</v>
      </c>
      <c r="K840" s="285" t="s">
        <v>9533</v>
      </c>
      <c r="L840" s="285" t="s">
        <v>7913</v>
      </c>
      <c r="M840" s="285" t="s">
        <v>9383</v>
      </c>
      <c r="N840" s="287" t="str">
        <f>IFERROR(
    IF(
        AND(
            VLOOKUP(B840, 'รายชื่อพนักงานลาออกพ้นสภาพ'!B:I, 8, FALSE)&lt;&gt;"ยกเลิกลาออก",
            VLOOKUP(B840, 'รายชื่อพนักงานลาออกพ้นสภาพ'!B:I, 7, FALSE)&lt;=TODAY()
        ),
        "ลาออกแล้ว",
        ""
    ),
"")</f>
        <v/>
      </c>
      <c r="O840" s="292" t="str">
        <f t="array" ref="O840:P840">IFERROR(INDEX(PCRent!C:D, MATCH(F840 &amp; " " &amp; G840, PCRent!A:A &amp; " " &amp; PCRent!B:B, 0)), "")</f>
        <v>SN:MP2ET25J</v>
      </c>
      <c r="P840" s="293" t="s">
        <v>7070</v>
      </c>
      <c r="Q840" s="294" t="str">
        <f t="array" ref="Q840">IFERROR(INDEX(MonitorRent!C:D, MATCH(F840 &amp; " " &amp; G840, MonitorRent!A:A &amp; " " &amp; MonitorRent!B:B, 0)), "")</f>
        <v/>
      </c>
      <c r="R840" s="295"/>
    </row>
    <row r="841">
      <c r="A841" s="284">
        <v>838.0</v>
      </c>
      <c r="B841" s="285" t="s">
        <v>9152</v>
      </c>
      <c r="C841" s="285" t="s">
        <v>6918</v>
      </c>
      <c r="D841" s="286" t="s">
        <v>13253</v>
      </c>
      <c r="E841" s="285" t="s">
        <v>6933</v>
      </c>
      <c r="F841" s="285" t="s">
        <v>13254</v>
      </c>
      <c r="G841" s="285" t="s">
        <v>13255</v>
      </c>
      <c r="H841" s="285" t="s">
        <v>9696</v>
      </c>
      <c r="I841" s="285" t="s">
        <v>13256</v>
      </c>
      <c r="J841" s="285" t="s">
        <v>5224</v>
      </c>
      <c r="K841" s="285" t="s">
        <v>12373</v>
      </c>
      <c r="L841" s="285" t="s">
        <v>4323</v>
      </c>
      <c r="M841" s="285" t="s">
        <v>9383</v>
      </c>
      <c r="N841" s="287" t="str">
        <f>IFERROR(
    IF(
        AND(
            VLOOKUP(B841, 'รายชื่อพนักงานลาออกพ้นสภาพ'!B:I, 8, FALSE)&lt;&gt;"ยกเลิกลาออก",
            VLOOKUP(B841, 'รายชื่อพนักงานลาออกพ้นสภาพ'!B:I, 7, FALSE)&lt;=TODAY()
        ),
        "ลาออกแล้ว",
        ""
    ),
"")</f>
        <v/>
      </c>
      <c r="O841" s="292" t="str">
        <f t="array" ref="O841:P841">IFERROR(INDEX(PCRent!C:D, MATCH(F841 &amp; " " &amp; G841, PCRent!A:A &amp; " " &amp; PCRent!B:B, 0)), "")</f>
        <v>SN:MP2M8JL6</v>
      </c>
      <c r="P841" s="293" t="s">
        <v>7248</v>
      </c>
      <c r="Q841" s="294" t="str">
        <f t="array" ref="Q841">IFERROR(INDEX(MonitorRent!C:D, MATCH(F841 &amp; " " &amp; G841, MonitorRent!A:A &amp; " " &amp; MonitorRent!B:B, 0)), "")</f>
        <v/>
      </c>
      <c r="R841" s="295"/>
    </row>
    <row r="842">
      <c r="A842" s="284">
        <v>839.0</v>
      </c>
      <c r="B842" s="285" t="s">
        <v>13257</v>
      </c>
      <c r="C842" s="285" t="s">
        <v>6918</v>
      </c>
      <c r="D842" s="286" t="s">
        <v>9814</v>
      </c>
      <c r="E842" s="285" t="s">
        <v>6933</v>
      </c>
      <c r="F842" s="285" t="s">
        <v>13258</v>
      </c>
      <c r="G842" s="285" t="s">
        <v>13259</v>
      </c>
      <c r="H842" s="285" t="s">
        <v>13260</v>
      </c>
      <c r="I842" s="285" t="s">
        <v>13261</v>
      </c>
      <c r="J842" s="285" t="s">
        <v>5012</v>
      </c>
      <c r="K842" s="285" t="s">
        <v>9474</v>
      </c>
      <c r="L842" s="285" t="s">
        <v>9540</v>
      </c>
      <c r="M842" s="285" t="s">
        <v>9383</v>
      </c>
      <c r="N842" s="287" t="str">
        <f>IFERROR(
    IF(
        AND(
            VLOOKUP(B842, 'รายชื่อพนักงานลาออกพ้นสภาพ'!B:I, 8, FALSE)&lt;&gt;"ยกเลิกลาออก",
            VLOOKUP(B842, 'รายชื่อพนักงานลาออกพ้นสภาพ'!B:I, 7, FALSE)&lt;=TODAY()
        ),
        "ลาออกแล้ว",
        ""
    ),
"")</f>
        <v/>
      </c>
      <c r="O842" s="292" t="str">
        <f t="array" ref="O842">IFERROR(INDEX(PCRent!C:D, MATCH(F842 &amp; " " &amp; G842, PCRent!A:A &amp; " " &amp; PCRent!B:B, 0)), "")</f>
        <v/>
      </c>
      <c r="P842" s="293"/>
      <c r="Q842" s="294" t="str">
        <f t="array" ref="Q842">IFERROR(INDEX(MonitorRent!C:D, MATCH(F842 &amp; " " &amp; G842, MonitorRent!A:A &amp; " " &amp; MonitorRent!B:B, 0)), "")</f>
        <v/>
      </c>
      <c r="R842" s="295"/>
    </row>
    <row r="843">
      <c r="A843" s="284">
        <v>840.0</v>
      </c>
      <c r="B843" s="285" t="s">
        <v>9132</v>
      </c>
      <c r="C843" s="285" t="s">
        <v>6918</v>
      </c>
      <c r="D843" s="286" t="s">
        <v>13262</v>
      </c>
      <c r="E843" s="285" t="s">
        <v>6933</v>
      </c>
      <c r="F843" s="285" t="s">
        <v>13263</v>
      </c>
      <c r="G843" s="285" t="s">
        <v>13264</v>
      </c>
      <c r="H843" s="285" t="s">
        <v>9691</v>
      </c>
      <c r="I843" s="285" t="s">
        <v>13265</v>
      </c>
      <c r="J843" s="285" t="s">
        <v>5224</v>
      </c>
      <c r="K843" s="285" t="s">
        <v>13266</v>
      </c>
      <c r="L843" s="285" t="s">
        <v>4323</v>
      </c>
      <c r="M843" s="285" t="s">
        <v>9383</v>
      </c>
      <c r="N843" s="287" t="str">
        <f>IFERROR(
    IF(
        AND(
            VLOOKUP(B843, 'รายชื่อพนักงานลาออกพ้นสภาพ'!B:I, 8, FALSE)&lt;&gt;"ยกเลิกลาออก",
            VLOOKUP(B843, 'รายชื่อพนักงานลาออกพ้นสภาพ'!B:I, 7, FALSE)&lt;=TODAY()
        ),
        "ลาออกแล้ว",
        ""
    ),
"")</f>
        <v/>
      </c>
      <c r="O843" s="292" t="str">
        <f t="array" ref="O843">IFERROR(INDEX(PCRent!C:D, MATCH(F843 &amp; " " &amp; G843, PCRent!A:A &amp; " " &amp; PCRent!B:B, 0)), "")</f>
        <v/>
      </c>
      <c r="P843" s="293"/>
      <c r="Q843" s="294" t="str">
        <f t="array" ref="Q843">IFERROR(INDEX(MonitorRent!C:D, MATCH(F843 &amp; " " &amp; G843, MonitorRent!A:A &amp; " " &amp; MonitorRent!B:B, 0)), "")</f>
        <v/>
      </c>
      <c r="R843" s="295"/>
    </row>
    <row r="844">
      <c r="A844" s="284">
        <v>841.0</v>
      </c>
      <c r="B844" s="285" t="s">
        <v>13267</v>
      </c>
      <c r="C844" s="285" t="s">
        <v>6918</v>
      </c>
      <c r="D844" s="286" t="s">
        <v>13268</v>
      </c>
      <c r="E844" s="285" t="s">
        <v>6933</v>
      </c>
      <c r="F844" s="285" t="s">
        <v>13269</v>
      </c>
      <c r="G844" s="285" t="s">
        <v>13270</v>
      </c>
      <c r="H844" s="285" t="s">
        <v>13271</v>
      </c>
      <c r="I844" s="285" t="s">
        <v>13272</v>
      </c>
      <c r="J844" s="285" t="s">
        <v>5012</v>
      </c>
      <c r="K844" s="285" t="s">
        <v>9474</v>
      </c>
      <c r="L844" s="285" t="s">
        <v>13273</v>
      </c>
      <c r="M844" s="285" t="s">
        <v>9383</v>
      </c>
      <c r="N844" s="287" t="str">
        <f>IFERROR(
    IF(
        AND(
            VLOOKUP(B844, 'รายชื่อพนักงานลาออกพ้นสภาพ'!B:I, 8, FALSE)&lt;&gt;"ยกเลิกลาออก",
            VLOOKUP(B844, 'รายชื่อพนักงานลาออกพ้นสภาพ'!B:I, 7, FALSE)&lt;=TODAY()
        ),
        "ลาออกแล้ว",
        ""
    ),
"")</f>
        <v/>
      </c>
      <c r="O844" s="292" t="str">
        <f t="array" ref="O844">IFERROR(INDEX(PCRent!C:D, MATCH(F844 &amp; " " &amp; G844, PCRent!A:A &amp; " " &amp; PCRent!B:B, 0)), "")</f>
        <v/>
      </c>
      <c r="P844" s="293"/>
      <c r="Q844" s="294" t="str">
        <f t="array" ref="Q844">IFERROR(INDEX(MonitorRent!C:D, MATCH(F844 &amp; " " &amp; G844, MonitorRent!A:A &amp; " " &amp; MonitorRent!B:B, 0)), "")</f>
        <v/>
      </c>
      <c r="R844" s="295"/>
    </row>
    <row r="845">
      <c r="A845" s="284">
        <v>842.0</v>
      </c>
      <c r="B845" s="285" t="s">
        <v>4910</v>
      </c>
      <c r="C845" s="285" t="s">
        <v>6918</v>
      </c>
      <c r="D845" s="286" t="s">
        <v>13274</v>
      </c>
      <c r="E845" s="285" t="s">
        <v>6933</v>
      </c>
      <c r="F845" s="285" t="s">
        <v>13275</v>
      </c>
      <c r="G845" s="285" t="s">
        <v>13276</v>
      </c>
      <c r="H845" s="285" t="s">
        <v>13277</v>
      </c>
      <c r="I845" s="285" t="s">
        <v>4909</v>
      </c>
      <c r="J845" s="285" t="s">
        <v>5224</v>
      </c>
      <c r="K845" s="285" t="s">
        <v>4898</v>
      </c>
      <c r="L845" s="285" t="s">
        <v>2177</v>
      </c>
      <c r="M845" s="285" t="s">
        <v>9383</v>
      </c>
      <c r="N845" s="287" t="str">
        <f>IFERROR(
    IF(
        AND(
            VLOOKUP(B845, 'รายชื่อพนักงานลาออกพ้นสภาพ'!B:I, 8, FALSE)&lt;&gt;"ยกเลิกลาออก",
            VLOOKUP(B845, 'รายชื่อพนักงานลาออกพ้นสภาพ'!B:I, 7, FALSE)&lt;=TODAY()
        ),
        "ลาออกแล้ว",
        ""
    ),
"")</f>
        <v/>
      </c>
      <c r="O845" s="292" t="str">
        <f t="array" ref="O845:P845">IFERROR(INDEX(PCRent!C:D, MATCH(F845 &amp; " " &amp; G845, PCRent!A:A &amp; " " &amp; PCRent!B:B, 0)), "")</f>
        <v>SN:CG7PFQC3HK</v>
      </c>
      <c r="P845" s="293" t="s">
        <v>8070</v>
      </c>
      <c r="Q845" s="294" t="str">
        <f t="array" ref="Q845">IFERROR(INDEX(MonitorRent!C:D, MATCH(F845 &amp; " " &amp; G845, MonitorRent!A:A &amp; " " &amp; MonitorRent!B:B, 0)), "")</f>
        <v/>
      </c>
      <c r="R845" s="295"/>
    </row>
    <row r="846">
      <c r="A846" s="284">
        <v>843.0</v>
      </c>
      <c r="B846" s="285" t="s">
        <v>13278</v>
      </c>
      <c r="C846" s="285" t="s">
        <v>6918</v>
      </c>
      <c r="D846" s="286" t="s">
        <v>13279</v>
      </c>
      <c r="E846" s="285" t="s">
        <v>6933</v>
      </c>
      <c r="F846" s="285" t="s">
        <v>13280</v>
      </c>
      <c r="G846" s="285" t="s">
        <v>13281</v>
      </c>
      <c r="H846" s="285" t="s">
        <v>13282</v>
      </c>
      <c r="I846" s="285" t="s">
        <v>13283</v>
      </c>
      <c r="J846" s="285" t="s">
        <v>5224</v>
      </c>
      <c r="K846" s="285" t="s">
        <v>13061</v>
      </c>
      <c r="L846" s="285" t="s">
        <v>3041</v>
      </c>
      <c r="M846" s="285" t="s">
        <v>9383</v>
      </c>
      <c r="N846" s="287" t="str">
        <f>IFERROR(
    IF(
        AND(
            VLOOKUP(B846, 'รายชื่อพนักงานลาออกพ้นสภาพ'!B:I, 8, FALSE)&lt;&gt;"ยกเลิกลาออก",
            VLOOKUP(B846, 'รายชื่อพนักงานลาออกพ้นสภาพ'!B:I, 7, FALSE)&lt;=TODAY()
        ),
        "ลาออกแล้ว",
        ""
    ),
"")</f>
        <v/>
      </c>
      <c r="O846" s="292" t="str">
        <f t="array" ref="O846">IFERROR(INDEX(PCRent!C:D, MATCH(F846 &amp; " " &amp; G846, PCRent!A:A &amp; " " &amp; PCRent!B:B, 0)), "")</f>
        <v/>
      </c>
      <c r="P846" s="293"/>
      <c r="Q846" s="294" t="str">
        <f t="array" ref="Q846">IFERROR(INDEX(MonitorRent!C:D, MATCH(F846 &amp; " " &amp; G846, MonitorRent!A:A &amp; " " &amp; MonitorRent!B:B, 0)), "")</f>
        <v/>
      </c>
      <c r="R846" s="295"/>
    </row>
    <row r="847">
      <c r="A847" s="284">
        <v>844.0</v>
      </c>
      <c r="B847" s="285" t="s">
        <v>13284</v>
      </c>
      <c r="C847" s="285" t="s">
        <v>6918</v>
      </c>
      <c r="D847" s="286" t="s">
        <v>13285</v>
      </c>
      <c r="E847" s="285" t="s">
        <v>7239</v>
      </c>
      <c r="F847" s="285" t="s">
        <v>13286</v>
      </c>
      <c r="G847" s="285" t="s">
        <v>13287</v>
      </c>
      <c r="H847" s="285" t="s">
        <v>13288</v>
      </c>
      <c r="I847" s="285" t="s">
        <v>13289</v>
      </c>
      <c r="J847" s="285" t="s">
        <v>5012</v>
      </c>
      <c r="K847" s="285" t="s">
        <v>9588</v>
      </c>
      <c r="L847" s="285" t="s">
        <v>9540</v>
      </c>
      <c r="M847" s="285" t="s">
        <v>9383</v>
      </c>
      <c r="N847" s="287" t="str">
        <f>IFERROR(
    IF(
        AND(
            VLOOKUP(B847, 'รายชื่อพนักงานลาออกพ้นสภาพ'!B:I, 8, FALSE)&lt;&gt;"ยกเลิกลาออก",
            VLOOKUP(B847, 'รายชื่อพนักงานลาออกพ้นสภาพ'!B:I, 7, FALSE)&lt;=TODAY()
        ),
        "ลาออกแล้ว",
        ""
    ),
"")</f>
        <v/>
      </c>
      <c r="O847" s="292" t="str">
        <f t="array" ref="O847">IFERROR(INDEX(PCRent!C:D, MATCH(F847 &amp; " " &amp; G847, PCRent!A:A &amp; " " &amp; PCRent!B:B, 0)), "")</f>
        <v/>
      </c>
      <c r="P847" s="293"/>
      <c r="Q847" s="294" t="str">
        <f t="array" ref="Q847">IFERROR(INDEX(MonitorRent!C:D, MATCH(F847 &amp; " " &amp; G847, MonitorRent!A:A &amp; " " &amp; MonitorRent!B:B, 0)), "")</f>
        <v/>
      </c>
      <c r="R847" s="295"/>
    </row>
    <row r="848">
      <c r="A848" s="284">
        <v>845.0</v>
      </c>
      <c r="B848" s="285" t="s">
        <v>8601</v>
      </c>
      <c r="C848" s="285" t="s">
        <v>6918</v>
      </c>
      <c r="D848" s="286" t="s">
        <v>9814</v>
      </c>
      <c r="E848" s="285" t="s">
        <v>6933</v>
      </c>
      <c r="F848" s="285" t="s">
        <v>13290</v>
      </c>
      <c r="G848" s="285" t="s">
        <v>13291</v>
      </c>
      <c r="H848" s="285" t="s">
        <v>10507</v>
      </c>
      <c r="I848" s="285" t="s">
        <v>13292</v>
      </c>
      <c r="J848" s="285" t="s">
        <v>5224</v>
      </c>
      <c r="K848" s="285" t="s">
        <v>4805</v>
      </c>
      <c r="L848" s="285" t="s">
        <v>8603</v>
      </c>
      <c r="M848" s="285" t="s">
        <v>9383</v>
      </c>
      <c r="N848" s="287" t="str">
        <f>IFERROR(
    IF(
        AND(
            VLOOKUP(B848, 'รายชื่อพนักงานลาออกพ้นสภาพ'!B:I, 8, FALSE)&lt;&gt;"ยกเลิกลาออก",
            VLOOKUP(B848, 'รายชื่อพนักงานลาออกพ้นสภาพ'!B:I, 7, FALSE)&lt;=TODAY()
        ),
        "ลาออกแล้ว",
        ""
    ),
"")</f>
        <v/>
      </c>
      <c r="O848" s="292" t="str">
        <f t="array" ref="O848:P848">IFERROR(INDEX(PCRent!C:D, MATCH(F848 &amp; " " &amp; G848, PCRent!A:A &amp; " " &amp; PCRent!B:B, 0)), "")</f>
        <v>SN:1HZFFX3</v>
      </c>
      <c r="P848" s="293" t="s">
        <v>7299</v>
      </c>
      <c r="Q848" s="294" t="str">
        <f t="array" ref="Q848">IFERROR(INDEX(MonitorRent!C:D, MATCH(F848 &amp; " " &amp; G848, MonitorRent!A:A &amp; " " &amp; MonitorRent!B:B, 0)), "")</f>
        <v/>
      </c>
      <c r="R848" s="295"/>
    </row>
    <row r="849">
      <c r="A849" s="284">
        <v>846.0</v>
      </c>
      <c r="B849" s="285" t="s">
        <v>13293</v>
      </c>
      <c r="C849" s="285" t="s">
        <v>6918</v>
      </c>
      <c r="D849" s="286" t="s">
        <v>10354</v>
      </c>
      <c r="E849" s="285" t="s">
        <v>6921</v>
      </c>
      <c r="F849" s="285" t="s">
        <v>13294</v>
      </c>
      <c r="G849" s="285" t="s">
        <v>13295</v>
      </c>
      <c r="H849" s="285" t="s">
        <v>13296</v>
      </c>
      <c r="I849" s="285" t="s">
        <v>13297</v>
      </c>
      <c r="J849" s="285" t="s">
        <v>5012</v>
      </c>
      <c r="K849" s="285" t="s">
        <v>9560</v>
      </c>
      <c r="L849" s="285" t="s">
        <v>13137</v>
      </c>
      <c r="M849" s="285" t="s">
        <v>9383</v>
      </c>
      <c r="N849" s="287" t="str">
        <f>IFERROR(
    IF(
        AND(
            VLOOKUP(B849, 'รายชื่อพนักงานลาออกพ้นสภาพ'!B:I, 8, FALSE)&lt;&gt;"ยกเลิกลาออก",
            VLOOKUP(B849, 'รายชื่อพนักงานลาออกพ้นสภาพ'!B:I, 7, FALSE)&lt;=TODAY()
        ),
        "ลาออกแล้ว",
        ""
    ),
"")</f>
        <v/>
      </c>
      <c r="O849" s="292" t="str">
        <f t="array" ref="O849:P849">IFERROR(INDEX(PCRent!C:D, MATCH(F849 &amp; " " &amp; G849, PCRent!A:A &amp; " " &amp; PCRent!B:B, 0)), "")</f>
        <v>SN:MP2AN2C4</v>
      </c>
      <c r="P849" s="293" t="s">
        <v>9562</v>
      </c>
      <c r="Q849" s="294" t="str">
        <f t="array" ref="Q849">IFERROR(INDEX(MonitorRent!C:D, MATCH(F849 &amp; " " &amp; G849, MonitorRent!A:A &amp; " " &amp; MonitorRent!B:B, 0)), "")</f>
        <v/>
      </c>
      <c r="R849" s="295"/>
    </row>
    <row r="850">
      <c r="A850" s="284">
        <v>847.0</v>
      </c>
      <c r="B850" s="285" t="s">
        <v>8701</v>
      </c>
      <c r="C850" s="285" t="s">
        <v>6918</v>
      </c>
      <c r="D850" s="286" t="s">
        <v>13298</v>
      </c>
      <c r="E850" s="285" t="s">
        <v>6921</v>
      </c>
      <c r="F850" s="285" t="s">
        <v>13299</v>
      </c>
      <c r="G850" s="285" t="s">
        <v>13300</v>
      </c>
      <c r="H850" s="285" t="s">
        <v>13301</v>
      </c>
      <c r="I850" s="285" t="s">
        <v>13302</v>
      </c>
      <c r="J850" s="285" t="s">
        <v>5224</v>
      </c>
      <c r="K850" s="285" t="s">
        <v>9858</v>
      </c>
      <c r="L850" s="285" t="s">
        <v>3041</v>
      </c>
      <c r="M850" s="285" t="s">
        <v>9383</v>
      </c>
      <c r="N850" s="287" t="str">
        <f>IFERROR(
    IF(
        AND(
            VLOOKUP(B850, 'รายชื่อพนักงานลาออกพ้นสภาพ'!B:I, 8, FALSE)&lt;&gt;"ยกเลิกลาออก",
            VLOOKUP(B850, 'รายชื่อพนักงานลาออกพ้นสภาพ'!B:I, 7, FALSE)&lt;=TODAY()
        ),
        "ลาออกแล้ว",
        ""
    ),
"")</f>
        <v/>
      </c>
      <c r="O850" s="292" t="str">
        <f t="array" ref="O850:P850">IFERROR(INDEX(PCRent!C:D, MATCH(F850 &amp; " " &amp; G850, PCRent!A:A &amp; " " &amp; PCRent!B:B, 0)), "")</f>
        <v>SN:FFD0HY3</v>
      </c>
      <c r="P850" s="293" t="s">
        <v>7048</v>
      </c>
      <c r="Q850" s="294" t="str">
        <f t="array" ref="Q850:R850">IFERROR(INDEX(MonitorRent!C:D, MATCH(F850 &amp; " " &amp; G850, MonitorRent!A:A &amp; " " &amp; MonitorRent!B:B, 0)), "")</f>
        <v>SN:C7HNYV3</v>
      </c>
      <c r="R850" s="295" t="s">
        <v>7050</v>
      </c>
    </row>
    <row r="851">
      <c r="A851" s="284">
        <v>848.0</v>
      </c>
      <c r="B851" s="285" t="s">
        <v>8010</v>
      </c>
      <c r="C851" s="285" t="s">
        <v>6918</v>
      </c>
      <c r="D851" s="286" t="s">
        <v>13303</v>
      </c>
      <c r="E851" s="285" t="s">
        <v>6921</v>
      </c>
      <c r="F851" s="285" t="s">
        <v>13304</v>
      </c>
      <c r="G851" s="285" t="s">
        <v>13305</v>
      </c>
      <c r="H851" s="285" t="s">
        <v>13306</v>
      </c>
      <c r="I851" s="285" t="s">
        <v>13307</v>
      </c>
      <c r="J851" s="285" t="s">
        <v>5224</v>
      </c>
      <c r="K851" s="285" t="s">
        <v>12414</v>
      </c>
      <c r="L851" s="285" t="s">
        <v>2603</v>
      </c>
      <c r="M851" s="285" t="s">
        <v>9383</v>
      </c>
      <c r="N851" s="287" t="str">
        <f>IFERROR(
    IF(
        AND(
            VLOOKUP(B851, 'รายชื่อพนักงานลาออกพ้นสภาพ'!B:I, 8, FALSE)&lt;&gt;"ยกเลิกลาออก",
            VLOOKUP(B851, 'รายชื่อพนักงานลาออกพ้นสภาพ'!B:I, 7, FALSE)&lt;=TODAY()
        ),
        "ลาออกแล้ว",
        ""
    ),
"")</f>
        <v/>
      </c>
      <c r="O851" s="292" t="str">
        <f t="array" ref="O851">IFERROR(INDEX(PCRent!C:D, MATCH(F851 &amp; " " &amp; G851, PCRent!A:A &amp; " " &amp; PCRent!B:B, 0)), "")</f>
        <v/>
      </c>
      <c r="P851" s="293"/>
      <c r="Q851" s="294" t="str">
        <f t="array" ref="Q851">IFERROR(INDEX(MonitorRent!C:D, MATCH(F851 &amp; " " &amp; G851, MonitorRent!A:A &amp; " " &amp; MonitorRent!B:B, 0)), "")</f>
        <v/>
      </c>
      <c r="R851" s="295"/>
    </row>
    <row r="852">
      <c r="A852" s="284">
        <v>849.0</v>
      </c>
      <c r="B852" s="285" t="s">
        <v>8350</v>
      </c>
      <c r="C852" s="285" t="s">
        <v>6918</v>
      </c>
      <c r="D852" s="286" t="s">
        <v>9876</v>
      </c>
      <c r="E852" s="285" t="s">
        <v>6921</v>
      </c>
      <c r="F852" s="285" t="s">
        <v>13308</v>
      </c>
      <c r="G852" s="285" t="s">
        <v>13309</v>
      </c>
      <c r="H852" s="285" t="s">
        <v>13310</v>
      </c>
      <c r="I852" s="285" t="s">
        <v>13311</v>
      </c>
      <c r="J852" s="285" t="s">
        <v>5224</v>
      </c>
      <c r="K852" s="285" t="s">
        <v>13312</v>
      </c>
      <c r="L852" s="285" t="s">
        <v>8331</v>
      </c>
      <c r="M852" s="285" t="s">
        <v>9383</v>
      </c>
      <c r="N852" s="287" t="str">
        <f>IFERROR(
    IF(
        AND(
            VLOOKUP(B852, 'รายชื่อพนักงานลาออกพ้นสภาพ'!B:I, 8, FALSE)&lt;&gt;"ยกเลิกลาออก",
            VLOOKUP(B852, 'รายชื่อพนักงานลาออกพ้นสภาพ'!B:I, 7, FALSE)&lt;=TODAY()
        ),
        "ลาออกแล้ว",
        ""
    ),
"")</f>
        <v/>
      </c>
      <c r="O852" s="292" t="str">
        <f t="array" ref="O852">IFERROR(INDEX(PCRent!C:D, MATCH(F852 &amp; " " &amp; G852, PCRent!A:A &amp; " " &amp; PCRent!B:B, 0)), "")</f>
        <v/>
      </c>
      <c r="P852" s="293"/>
      <c r="Q852" s="294" t="str">
        <f t="array" ref="Q852">IFERROR(INDEX(MonitorRent!C:D, MATCH(F852 &amp; " " &amp; G852, MonitorRent!A:A &amp; " " &amp; MonitorRent!B:B, 0)), "")</f>
        <v/>
      </c>
      <c r="R852" s="295"/>
    </row>
    <row r="853">
      <c r="A853" s="284">
        <v>850.0</v>
      </c>
      <c r="B853" s="285" t="s">
        <v>13313</v>
      </c>
      <c r="C853" s="285" t="s">
        <v>6918</v>
      </c>
      <c r="D853" s="286" t="s">
        <v>13314</v>
      </c>
      <c r="E853" s="285" t="s">
        <v>6921</v>
      </c>
      <c r="F853" s="285" t="s">
        <v>13315</v>
      </c>
      <c r="G853" s="285" t="s">
        <v>13316</v>
      </c>
      <c r="H853" s="285" t="s">
        <v>10761</v>
      </c>
      <c r="I853" s="285" t="s">
        <v>13317</v>
      </c>
      <c r="J853" s="285" t="s">
        <v>5012</v>
      </c>
      <c r="K853" s="285" t="s">
        <v>9560</v>
      </c>
      <c r="L853" s="285" t="s">
        <v>4114</v>
      </c>
      <c r="M853" s="285" t="s">
        <v>9383</v>
      </c>
      <c r="N853" s="287" t="str">
        <f>IFERROR(
    IF(
        AND(
            VLOOKUP(B853, 'รายชื่อพนักงานลาออกพ้นสภาพ'!B:I, 8, FALSE)&lt;&gt;"ยกเลิกลาออก",
            VLOOKUP(B853, 'รายชื่อพนักงานลาออกพ้นสภาพ'!B:I, 7, FALSE)&lt;=TODAY()
        ),
        "ลาออกแล้ว",
        ""
    ),
"")</f>
        <v/>
      </c>
      <c r="O853" s="292" t="str">
        <f t="array" ref="O853:P853">IFERROR(INDEX(PCRent!C:D, MATCH(F853 &amp; " " &amp; G853, PCRent!A:A &amp; " " &amp; PCRent!B:B, 0)), "")</f>
        <v>SN:MP2AN2CK</v>
      </c>
      <c r="P853" s="293" t="s">
        <v>9562</v>
      </c>
      <c r="Q853" s="294" t="str">
        <f t="array" ref="Q853">IFERROR(INDEX(MonitorRent!C:D, MATCH(F853 &amp; " " &amp; G853, MonitorRent!A:A &amp; " " &amp; MonitorRent!B:B, 0)), "")</f>
        <v/>
      </c>
      <c r="R853" s="295"/>
    </row>
    <row r="854">
      <c r="A854" s="284">
        <v>851.0</v>
      </c>
      <c r="B854" s="285" t="s">
        <v>13318</v>
      </c>
      <c r="C854" s="285" t="s">
        <v>6918</v>
      </c>
      <c r="D854" s="286" t="s">
        <v>13319</v>
      </c>
      <c r="E854" s="285" t="s">
        <v>6933</v>
      </c>
      <c r="F854" s="285" t="s">
        <v>13320</v>
      </c>
      <c r="G854" s="285" t="s">
        <v>13321</v>
      </c>
      <c r="H854" s="285" t="s">
        <v>10831</v>
      </c>
      <c r="I854" s="285" t="s">
        <v>13322</v>
      </c>
      <c r="J854" s="285" t="s">
        <v>5012</v>
      </c>
      <c r="K854" s="285" t="s">
        <v>4835</v>
      </c>
      <c r="L854" s="285" t="s">
        <v>13137</v>
      </c>
      <c r="M854" s="285" t="s">
        <v>9383</v>
      </c>
      <c r="N854" s="287" t="str">
        <f>IFERROR(
    IF(
        AND(
            VLOOKUP(B854, 'รายชื่อพนักงานลาออกพ้นสภาพ'!B:I, 8, FALSE)&lt;&gt;"ยกเลิกลาออก",
            VLOOKUP(B854, 'รายชื่อพนักงานลาออกพ้นสภาพ'!B:I, 7, FALSE)&lt;=TODAY()
        ),
        "ลาออกแล้ว",
        ""
    ),
"")</f>
        <v/>
      </c>
      <c r="O854" s="292" t="str">
        <f t="array" ref="O854:P854">IFERROR(INDEX(PCRent!C:D, MATCH(F854 &amp; " " &amp; G854, PCRent!A:A &amp; " " &amp; PCRent!B:B, 0)), "")</f>
        <v>SN:MP2EJ0N2</v>
      </c>
      <c r="P854" s="293" t="s">
        <v>6993</v>
      </c>
      <c r="Q854" s="294" t="str">
        <f t="array" ref="Q854">IFERROR(INDEX(MonitorRent!C:D, MATCH(F854 &amp; " " &amp; G854, MonitorRent!A:A &amp; " " &amp; MonitorRent!B:B, 0)), "")</f>
        <v/>
      </c>
      <c r="R854" s="295"/>
    </row>
    <row r="855">
      <c r="A855" s="284">
        <v>852.0</v>
      </c>
      <c r="B855" s="285" t="s">
        <v>692</v>
      </c>
      <c r="C855" s="285" t="s">
        <v>6918</v>
      </c>
      <c r="D855" s="286" t="s">
        <v>13323</v>
      </c>
      <c r="E855" s="285" t="s">
        <v>6933</v>
      </c>
      <c r="F855" s="285" t="s">
        <v>13324</v>
      </c>
      <c r="G855" s="285" t="s">
        <v>13325</v>
      </c>
      <c r="H855" s="285" t="s">
        <v>10920</v>
      </c>
      <c r="I855" s="285" t="s">
        <v>694</v>
      </c>
      <c r="J855" s="285" t="s">
        <v>5012</v>
      </c>
      <c r="K855" s="285" t="s">
        <v>9626</v>
      </c>
      <c r="L855" s="285" t="s">
        <v>5932</v>
      </c>
      <c r="M855" s="285" t="s">
        <v>9383</v>
      </c>
      <c r="N855" s="287" t="str">
        <f>IFERROR(
    IF(
        AND(
            VLOOKUP(B855, 'รายชื่อพนักงานลาออกพ้นสภาพ'!B:I, 8, FALSE)&lt;&gt;"ยกเลิกลาออก",
            VLOOKUP(B855, 'รายชื่อพนักงานลาออกพ้นสภาพ'!B:I, 7, FALSE)&lt;=TODAY()
        ),
        "ลาออกแล้ว",
        ""
    ),
"")</f>
        <v>ลาออกแล้ว</v>
      </c>
      <c r="O855" s="292" t="str">
        <f t="array" ref="O855">IFERROR(INDEX(PCRent!C:D, MATCH(F855 &amp; " " &amp; G855, PCRent!A:A &amp; " " &amp; PCRent!B:B, 0)), "")</f>
        <v/>
      </c>
      <c r="P855" s="293"/>
      <c r="Q855" s="294" t="str">
        <f t="array" ref="Q855">IFERROR(INDEX(MonitorRent!C:D, MATCH(F855 &amp; " " &amp; G855, MonitorRent!A:A &amp; " " &amp; MonitorRent!B:B, 0)), "")</f>
        <v/>
      </c>
      <c r="R855" s="295"/>
    </row>
    <row r="856">
      <c r="A856" s="284">
        <v>853.0</v>
      </c>
      <c r="B856" s="285" t="s">
        <v>13326</v>
      </c>
      <c r="C856" s="285" t="s">
        <v>6918</v>
      </c>
      <c r="D856" s="286" t="s">
        <v>10242</v>
      </c>
      <c r="E856" s="285" t="s">
        <v>6933</v>
      </c>
      <c r="F856" s="285" t="s">
        <v>13327</v>
      </c>
      <c r="G856" s="285" t="s">
        <v>13328</v>
      </c>
      <c r="H856" s="285" t="s">
        <v>10499</v>
      </c>
      <c r="I856" s="285" t="s">
        <v>13329</v>
      </c>
      <c r="J856" s="285" t="s">
        <v>5012</v>
      </c>
      <c r="K856" s="285" t="s">
        <v>5760</v>
      </c>
      <c r="L856" s="285" t="s">
        <v>3041</v>
      </c>
      <c r="M856" s="285" t="s">
        <v>9383</v>
      </c>
      <c r="N856" s="287" t="str">
        <f>IFERROR(
    IF(
        AND(
            VLOOKUP(B856, 'รายชื่อพนักงานลาออกพ้นสภาพ'!B:I, 8, FALSE)&lt;&gt;"ยกเลิกลาออก",
            VLOOKUP(B856, 'รายชื่อพนักงานลาออกพ้นสภาพ'!B:I, 7, FALSE)&lt;=TODAY()
        ),
        "ลาออกแล้ว",
        ""
    ),
"")</f>
        <v/>
      </c>
      <c r="O856" s="292" t="str">
        <f t="array" ref="O856">IFERROR(INDEX(PCRent!C:D, MATCH(F856 &amp; " " &amp; G856, PCRent!A:A &amp; " " &amp; PCRent!B:B, 0)), "")</f>
        <v/>
      </c>
      <c r="P856" s="293"/>
      <c r="Q856" s="294" t="str">
        <f t="array" ref="Q856">IFERROR(INDEX(MonitorRent!C:D, MATCH(F856 &amp; " " &amp; G856, MonitorRent!A:A &amp; " " &amp; MonitorRent!B:B, 0)), "")</f>
        <v/>
      </c>
      <c r="R856" s="295"/>
    </row>
    <row r="857">
      <c r="A857" s="284">
        <v>854.0</v>
      </c>
      <c r="B857" s="285" t="s">
        <v>13330</v>
      </c>
      <c r="C857" s="285" t="s">
        <v>6918</v>
      </c>
      <c r="D857" s="286" t="s">
        <v>13331</v>
      </c>
      <c r="E857" s="285" t="s">
        <v>6933</v>
      </c>
      <c r="F857" s="285" t="s">
        <v>13332</v>
      </c>
      <c r="G857" s="285" t="s">
        <v>13333</v>
      </c>
      <c r="H857" s="285" t="s">
        <v>13288</v>
      </c>
      <c r="I857" s="285" t="s">
        <v>13334</v>
      </c>
      <c r="J857" s="285" t="s">
        <v>5012</v>
      </c>
      <c r="K857" s="285" t="s">
        <v>9671</v>
      </c>
      <c r="L857" s="285" t="s">
        <v>13067</v>
      </c>
      <c r="M857" s="285" t="s">
        <v>9383</v>
      </c>
      <c r="N857" s="287" t="str">
        <f>IFERROR(
    IF(
        AND(
            VLOOKUP(B857, 'รายชื่อพนักงานลาออกพ้นสภาพ'!B:I, 8, FALSE)&lt;&gt;"ยกเลิกลาออก",
            VLOOKUP(B857, 'รายชื่อพนักงานลาออกพ้นสภาพ'!B:I, 7, FALSE)&lt;=TODAY()
        ),
        "ลาออกแล้ว",
        ""
    ),
"")</f>
        <v/>
      </c>
      <c r="O857" s="292" t="str">
        <f t="array" ref="O857">IFERROR(INDEX(PCRent!C:D, MATCH(F857 &amp; " " &amp; G857, PCRent!A:A &amp; " " &amp; PCRent!B:B, 0)), "")</f>
        <v/>
      </c>
      <c r="P857" s="293"/>
      <c r="Q857" s="294" t="str">
        <f t="array" ref="Q857">IFERROR(INDEX(MonitorRent!C:D, MATCH(F857 &amp; " " &amp; G857, MonitorRent!A:A &amp; " " &amp; MonitorRent!B:B, 0)), "")</f>
        <v/>
      </c>
      <c r="R857" s="295"/>
    </row>
    <row r="858">
      <c r="A858" s="284">
        <v>855.0</v>
      </c>
      <c r="B858" s="285" t="s">
        <v>13335</v>
      </c>
      <c r="C858" s="285" t="s">
        <v>6918</v>
      </c>
      <c r="D858" s="286" t="s">
        <v>13146</v>
      </c>
      <c r="E858" s="285" t="s">
        <v>6921</v>
      </c>
      <c r="F858" s="285" t="s">
        <v>13336</v>
      </c>
      <c r="G858" s="285" t="s">
        <v>13337</v>
      </c>
      <c r="H858" s="285" t="s">
        <v>13338</v>
      </c>
      <c r="I858" s="285" t="s">
        <v>13339</v>
      </c>
      <c r="J858" s="285" t="s">
        <v>5012</v>
      </c>
      <c r="K858" s="285" t="s">
        <v>9588</v>
      </c>
      <c r="L858" s="285" t="s">
        <v>3857</v>
      </c>
      <c r="M858" s="285" t="s">
        <v>9383</v>
      </c>
      <c r="N858" s="287" t="str">
        <f>IFERROR(
    IF(
        AND(
            VLOOKUP(B858, 'รายชื่อพนักงานลาออกพ้นสภาพ'!B:I, 8, FALSE)&lt;&gt;"ยกเลิกลาออก",
            VLOOKUP(B858, 'รายชื่อพนักงานลาออกพ้นสภาพ'!B:I, 7, FALSE)&lt;=TODAY()
        ),
        "ลาออกแล้ว",
        ""
    ),
"")</f>
        <v/>
      </c>
      <c r="O858" s="292" t="str">
        <f t="array" ref="O858:P858">IFERROR(INDEX(PCRent!C:D, MATCH(F858 &amp; " " &amp; G858, PCRent!A:A &amp; " " &amp; PCRent!B:B, 0)), "")</f>
        <v>SN:70QD314</v>
      </c>
      <c r="P858" s="293" t="s">
        <v>7048</v>
      </c>
      <c r="Q858" s="294" t="str">
        <f t="array" ref="Q858:R858">IFERROR(INDEX(MonitorRent!C:D, MATCH(F858 &amp; " " &amp; G858, MonitorRent!A:A &amp; " " &amp; MonitorRent!B:B, 0)), "")</f>
        <v>SN:7PTVGZ3</v>
      </c>
      <c r="R858" s="295" t="s">
        <v>9397</v>
      </c>
    </row>
    <row r="859">
      <c r="A859" s="284">
        <v>856.0</v>
      </c>
      <c r="B859" s="285" t="s">
        <v>7807</v>
      </c>
      <c r="C859" s="285" t="s">
        <v>6918</v>
      </c>
      <c r="D859" s="286" t="s">
        <v>13340</v>
      </c>
      <c r="E859" s="285" t="s">
        <v>7239</v>
      </c>
      <c r="F859" s="285" t="s">
        <v>13341</v>
      </c>
      <c r="G859" s="285" t="s">
        <v>13342</v>
      </c>
      <c r="H859" s="285" t="s">
        <v>13343</v>
      </c>
      <c r="I859" s="285" t="s">
        <v>13344</v>
      </c>
      <c r="J859" s="285" t="s">
        <v>5224</v>
      </c>
      <c r="K859" s="285" t="s">
        <v>12506</v>
      </c>
      <c r="L859" s="285" t="s">
        <v>7809</v>
      </c>
      <c r="M859" s="285" t="s">
        <v>9383</v>
      </c>
      <c r="N859" s="287" t="str">
        <f>IFERROR(
    IF(
        AND(
            VLOOKUP(B859, 'รายชื่อพนักงานลาออกพ้นสภาพ'!B:I, 8, FALSE)&lt;&gt;"ยกเลิกลาออก",
            VLOOKUP(B859, 'รายชื่อพนักงานลาออกพ้นสภาพ'!B:I, 7, FALSE)&lt;=TODAY()
        ),
        "ลาออกแล้ว",
        ""
    ),
"")</f>
        <v/>
      </c>
      <c r="O859" s="292" t="str">
        <f t="array" ref="O859:P859">IFERROR(INDEX(PCRent!C:D, MATCH(F859 &amp; " " &amp; G859, PCRent!A:A &amp; " " &amp; PCRent!B:B, 0)), "")</f>
        <v>SN:81QD314</v>
      </c>
      <c r="P859" s="293" t="s">
        <v>7048</v>
      </c>
      <c r="Q859" s="294" t="str">
        <f t="array" ref="Q859:R859">IFERROR(INDEX(MonitorRent!C:D, MATCH(F859 &amp; " " &amp; G859, MonitorRent!A:A &amp; " " &amp; MonitorRent!B:B, 0)), "")</f>
        <v>SN:7NFWGZ3</v>
      </c>
      <c r="R859" s="295" t="s">
        <v>9397</v>
      </c>
    </row>
    <row r="860">
      <c r="A860" s="284">
        <v>857.0</v>
      </c>
      <c r="B860" s="285" t="s">
        <v>13345</v>
      </c>
      <c r="C860" s="285" t="s">
        <v>6918</v>
      </c>
      <c r="D860" s="286" t="s">
        <v>9699</v>
      </c>
      <c r="E860" s="285" t="s">
        <v>6921</v>
      </c>
      <c r="F860" s="285" t="s">
        <v>13346</v>
      </c>
      <c r="G860" s="285" t="s">
        <v>13347</v>
      </c>
      <c r="H860" s="285" t="s">
        <v>13198</v>
      </c>
      <c r="I860" s="285" t="s">
        <v>13348</v>
      </c>
      <c r="J860" s="285" t="s">
        <v>5012</v>
      </c>
      <c r="K860" s="285" t="s">
        <v>6322</v>
      </c>
      <c r="L860" s="285" t="s">
        <v>795</v>
      </c>
      <c r="M860" s="285" t="s">
        <v>9383</v>
      </c>
      <c r="N860" s="287" t="str">
        <f>IFERROR(
    IF(
        AND(
            VLOOKUP(B860, 'รายชื่อพนักงานลาออกพ้นสภาพ'!B:I, 8, FALSE)&lt;&gt;"ยกเลิกลาออก",
            VLOOKUP(B860, 'รายชื่อพนักงานลาออกพ้นสภาพ'!B:I, 7, FALSE)&lt;=TODAY()
        ),
        "ลาออกแล้ว",
        ""
    ),
"")</f>
        <v/>
      </c>
      <c r="O860" s="292" t="str">
        <f t="array" ref="O860">IFERROR(INDEX(PCRent!C:D, MATCH(F860 &amp; " " &amp; G860, PCRent!A:A &amp; " " &amp; PCRent!B:B, 0)), "")</f>
        <v/>
      </c>
      <c r="P860" s="293"/>
      <c r="Q860" s="294" t="str">
        <f t="array" ref="Q860">IFERROR(INDEX(MonitorRent!C:D, MATCH(F860 &amp; " " &amp; G860, MonitorRent!A:A &amp; " " &amp; MonitorRent!B:B, 0)), "")</f>
        <v/>
      </c>
      <c r="R860" s="295"/>
    </row>
    <row r="861">
      <c r="A861" s="284">
        <v>858.0</v>
      </c>
      <c r="B861" s="285" t="s">
        <v>670</v>
      </c>
      <c r="C861" s="285" t="s">
        <v>6918</v>
      </c>
      <c r="D861" s="286" t="s">
        <v>10729</v>
      </c>
      <c r="E861" s="285" t="s">
        <v>6921</v>
      </c>
      <c r="F861" s="285" t="s">
        <v>13349</v>
      </c>
      <c r="G861" s="285" t="s">
        <v>13350</v>
      </c>
      <c r="H861" s="285" t="s">
        <v>13351</v>
      </c>
      <c r="I861" s="285" t="s">
        <v>674</v>
      </c>
      <c r="J861" s="285" t="s">
        <v>5224</v>
      </c>
      <c r="K861" s="285" t="s">
        <v>13352</v>
      </c>
      <c r="L861" s="285" t="s">
        <v>2081</v>
      </c>
      <c r="M861" s="285" t="s">
        <v>9383</v>
      </c>
      <c r="N861" s="287" t="str">
        <f>IFERROR(
    IF(
        AND(
            VLOOKUP(B861, 'รายชื่อพนักงานลาออกพ้นสภาพ'!B:I, 8, FALSE)&lt;&gt;"ยกเลิกลาออก",
            VLOOKUP(B861, 'รายชื่อพนักงานลาออกพ้นสภาพ'!B:I, 7, FALSE)&lt;=TODAY()
        ),
        "ลาออกแล้ว",
        ""
    ),
"")</f>
        <v>ลาออกแล้ว</v>
      </c>
      <c r="O861" s="292" t="str">
        <f t="array" ref="O861">IFERROR(INDEX(PCRent!C:D, MATCH(F861 &amp; " " &amp; G861, PCRent!A:A &amp; " " &amp; PCRent!B:B, 0)), "")</f>
        <v/>
      </c>
      <c r="P861" s="293"/>
      <c r="Q861" s="294" t="str">
        <f t="array" ref="Q861">IFERROR(INDEX(MonitorRent!C:D, MATCH(F861 &amp; " " &amp; G861, MonitorRent!A:A &amp; " " &amp; MonitorRent!B:B, 0)), "")</f>
        <v/>
      </c>
      <c r="R861" s="295"/>
    </row>
    <row r="862">
      <c r="A862" s="284">
        <v>859.0</v>
      </c>
      <c r="B862" s="285" t="s">
        <v>8414</v>
      </c>
      <c r="C862" s="285" t="s">
        <v>6918</v>
      </c>
      <c r="D862" s="286" t="s">
        <v>13353</v>
      </c>
      <c r="E862" s="285" t="s">
        <v>6921</v>
      </c>
      <c r="F862" s="285" t="s">
        <v>13354</v>
      </c>
      <c r="G862" s="285" t="s">
        <v>13355</v>
      </c>
      <c r="H862" s="285" t="s">
        <v>13356</v>
      </c>
      <c r="I862" s="285" t="s">
        <v>13357</v>
      </c>
      <c r="J862" s="285" t="s">
        <v>5224</v>
      </c>
      <c r="K862" s="285" t="s">
        <v>10056</v>
      </c>
      <c r="L862" s="285" t="s">
        <v>8398</v>
      </c>
      <c r="M862" s="285" t="s">
        <v>9383</v>
      </c>
      <c r="N862" s="287" t="str">
        <f>IFERROR(
    IF(
        AND(
            VLOOKUP(B862, 'รายชื่อพนักงานลาออกพ้นสภาพ'!B:I, 8, FALSE)&lt;&gt;"ยกเลิกลาออก",
            VLOOKUP(B862, 'รายชื่อพนักงานลาออกพ้นสภาพ'!B:I, 7, FALSE)&lt;=TODAY()
        ),
        "ลาออกแล้ว",
        ""
    ),
"")</f>
        <v/>
      </c>
      <c r="O862" s="292" t="str">
        <f t="array" ref="O862">IFERROR(INDEX(PCRent!C:D, MATCH(F862 &amp; " " &amp; G862, PCRent!A:A &amp; " " &amp; PCRent!B:B, 0)), "")</f>
        <v/>
      </c>
      <c r="P862" s="293"/>
      <c r="Q862" s="294" t="str">
        <f t="array" ref="Q862">IFERROR(INDEX(MonitorRent!C:D, MATCH(F862 &amp; " " &amp; G862, MonitorRent!A:A &amp; " " &amp; MonitorRent!B:B, 0)), "")</f>
        <v/>
      </c>
      <c r="R862" s="295"/>
    </row>
    <row r="863">
      <c r="A863" s="284">
        <v>860.0</v>
      </c>
      <c r="B863" s="285" t="s">
        <v>8514</v>
      </c>
      <c r="C863" s="285" t="s">
        <v>6918</v>
      </c>
      <c r="D863" s="286" t="s">
        <v>10724</v>
      </c>
      <c r="E863" s="285" t="s">
        <v>6921</v>
      </c>
      <c r="F863" s="285" t="s">
        <v>13358</v>
      </c>
      <c r="G863" s="285" t="s">
        <v>13359</v>
      </c>
      <c r="H863" s="285" t="s">
        <v>13360</v>
      </c>
      <c r="I863" s="285" t="s">
        <v>13361</v>
      </c>
      <c r="J863" s="285" t="s">
        <v>5224</v>
      </c>
      <c r="K863" s="285" t="s">
        <v>13362</v>
      </c>
      <c r="L863" s="285" t="s">
        <v>13363</v>
      </c>
      <c r="M863" s="285" t="s">
        <v>9383</v>
      </c>
      <c r="N863" s="287" t="str">
        <f>IFERROR(
    IF(
        AND(
            VLOOKUP(B863, 'รายชื่อพนักงานลาออกพ้นสภาพ'!B:I, 8, FALSE)&lt;&gt;"ยกเลิกลาออก",
            VLOOKUP(B863, 'รายชื่อพนักงานลาออกพ้นสภาพ'!B:I, 7, FALSE)&lt;=TODAY()
        ),
        "ลาออกแล้ว",
        ""
    ),
"")</f>
        <v/>
      </c>
      <c r="O863" s="292" t="str">
        <f t="array" ref="O863">IFERROR(INDEX(PCRent!C:D, MATCH(F863 &amp; " " &amp; G863, PCRent!A:A &amp; " " &amp; PCRent!B:B, 0)), "")</f>
        <v/>
      </c>
      <c r="P863" s="293"/>
      <c r="Q863" s="294" t="str">
        <f t="array" ref="Q863">IFERROR(INDEX(MonitorRent!C:D, MATCH(F863 &amp; " " &amp; G863, MonitorRent!A:A &amp; " " &amp; MonitorRent!B:B, 0)), "")</f>
        <v/>
      </c>
      <c r="R863" s="295"/>
    </row>
    <row r="864">
      <c r="A864" s="284">
        <v>861.0</v>
      </c>
      <c r="B864" s="285" t="s">
        <v>7713</v>
      </c>
      <c r="C864" s="285" t="s">
        <v>6918</v>
      </c>
      <c r="D864" s="286" t="s">
        <v>12340</v>
      </c>
      <c r="E864" s="285" t="s">
        <v>6921</v>
      </c>
      <c r="F864" s="285" t="s">
        <v>13358</v>
      </c>
      <c r="G864" s="285" t="s">
        <v>13364</v>
      </c>
      <c r="H864" s="285" t="s">
        <v>11482</v>
      </c>
      <c r="I864" s="285" t="s">
        <v>13365</v>
      </c>
      <c r="J864" s="285" t="s">
        <v>5224</v>
      </c>
      <c r="K864" s="285" t="s">
        <v>12717</v>
      </c>
      <c r="L864" s="285" t="s">
        <v>2716</v>
      </c>
      <c r="M864" s="285" t="s">
        <v>9383</v>
      </c>
      <c r="N864" s="287" t="str">
        <f>IFERROR(
    IF(
        AND(
            VLOOKUP(B864, 'รายชื่อพนักงานลาออกพ้นสภาพ'!B:I, 8, FALSE)&lt;&gt;"ยกเลิกลาออก",
            VLOOKUP(B864, 'รายชื่อพนักงานลาออกพ้นสภาพ'!B:I, 7, FALSE)&lt;=TODAY()
        ),
        "ลาออกแล้ว",
        ""
    ),
"")</f>
        <v/>
      </c>
      <c r="O864" s="292" t="str">
        <f t="array" ref="O864">IFERROR(INDEX(PCRent!C:D, MATCH(F864 &amp; " " &amp; G864, PCRent!A:A &amp; " " &amp; PCRent!B:B, 0)), "")</f>
        <v/>
      </c>
      <c r="P864" s="293"/>
      <c r="Q864" s="294" t="str">
        <f t="array" ref="Q864">IFERROR(INDEX(MonitorRent!C:D, MATCH(F864 &amp; " " &amp; G864, MonitorRent!A:A &amp; " " &amp; MonitorRent!B:B, 0)), "")</f>
        <v/>
      </c>
      <c r="R864" s="295"/>
    </row>
    <row r="865">
      <c r="A865" s="284">
        <v>862.0</v>
      </c>
      <c r="B865" s="285" t="s">
        <v>4894</v>
      </c>
      <c r="C865" s="285" t="s">
        <v>6918</v>
      </c>
      <c r="D865" s="286" t="s">
        <v>13366</v>
      </c>
      <c r="E865" s="285" t="s">
        <v>6921</v>
      </c>
      <c r="F865" s="285" t="s">
        <v>9512</v>
      </c>
      <c r="G865" s="285" t="s">
        <v>13367</v>
      </c>
      <c r="H865" s="285" t="s">
        <v>11202</v>
      </c>
      <c r="I865" s="285" t="s">
        <v>4895</v>
      </c>
      <c r="J865" s="285" t="s">
        <v>5224</v>
      </c>
      <c r="K865" s="285" t="s">
        <v>4876</v>
      </c>
      <c r="L865" s="285" t="s">
        <v>13368</v>
      </c>
      <c r="M865" s="285" t="s">
        <v>9383</v>
      </c>
      <c r="N865" s="287" t="str">
        <f>IFERROR(
    IF(
        AND(
            VLOOKUP(B865, 'รายชื่อพนักงานลาออกพ้นสภาพ'!B:I, 8, FALSE)&lt;&gt;"ยกเลิกลาออก",
            VLOOKUP(B865, 'รายชื่อพนักงานลาออกพ้นสภาพ'!B:I, 7, FALSE)&lt;=TODAY()
        ),
        "ลาออกแล้ว",
        ""
    ),
"")</f>
        <v/>
      </c>
      <c r="O865" s="292" t="str">
        <f t="array" ref="O865:P865">IFERROR(INDEX(PCRent!C:D, MATCH(F865 &amp; " " &amp; G865, PCRent!A:A &amp; " " &amp; PCRent!B:B, 0)), "")</f>
        <v>SN:MP2E2SYJ</v>
      </c>
      <c r="P865" s="293" t="s">
        <v>6993</v>
      </c>
      <c r="Q865" s="294" t="str">
        <f t="array" ref="Q865">IFERROR(INDEX(MonitorRent!C:D, MATCH(F865 &amp; " " &amp; G865, MonitorRent!A:A &amp; " " &amp; MonitorRent!B:B, 0)), "")</f>
        <v/>
      </c>
      <c r="R865" s="295"/>
    </row>
    <row r="866">
      <c r="A866" s="284">
        <v>863.0</v>
      </c>
      <c r="B866" s="285" t="s">
        <v>13369</v>
      </c>
      <c r="C866" s="285" t="s">
        <v>6918</v>
      </c>
      <c r="D866" s="286" t="s">
        <v>9461</v>
      </c>
      <c r="E866" s="285" t="s">
        <v>6921</v>
      </c>
      <c r="F866" s="285" t="s">
        <v>9512</v>
      </c>
      <c r="G866" s="285" t="s">
        <v>13370</v>
      </c>
      <c r="H866" s="285" t="s">
        <v>11448</v>
      </c>
      <c r="I866" s="285" t="s">
        <v>13371</v>
      </c>
      <c r="J866" s="285" t="s">
        <v>5012</v>
      </c>
      <c r="K866" s="285" t="s">
        <v>9588</v>
      </c>
      <c r="L866" s="285" t="s">
        <v>13372</v>
      </c>
      <c r="M866" s="285" t="s">
        <v>9383</v>
      </c>
      <c r="N866" s="287" t="str">
        <f>IFERROR(
    IF(
        AND(
            VLOOKUP(B866, 'รายชื่อพนักงานลาออกพ้นสภาพ'!B:I, 8, FALSE)&lt;&gt;"ยกเลิกลาออก",
            VLOOKUP(B866, 'รายชื่อพนักงานลาออกพ้นสภาพ'!B:I, 7, FALSE)&lt;=TODAY()
        ),
        "ลาออกแล้ว",
        ""
    ),
"")</f>
        <v/>
      </c>
      <c r="O866" s="292" t="str">
        <f t="array" ref="O866">IFERROR(INDEX(PCRent!C:D, MATCH(F866 &amp; " " &amp; G866, PCRent!A:A &amp; " " &amp; PCRent!B:B, 0)), "")</f>
        <v/>
      </c>
      <c r="P866" s="293"/>
      <c r="Q866" s="294" t="str">
        <f t="array" ref="Q866">IFERROR(INDEX(MonitorRent!C:D, MATCH(F866 &amp; " " &amp; G866, MonitorRent!A:A &amp; " " &amp; MonitorRent!B:B, 0)), "")</f>
        <v/>
      </c>
      <c r="R866" s="295"/>
    </row>
    <row r="867">
      <c r="A867" s="284">
        <v>864.0</v>
      </c>
      <c r="B867" s="285" t="s">
        <v>8279</v>
      </c>
      <c r="C867" s="285" t="s">
        <v>6918</v>
      </c>
      <c r="D867" s="286" t="s">
        <v>13124</v>
      </c>
      <c r="E867" s="285" t="s">
        <v>6921</v>
      </c>
      <c r="F867" s="285" t="s">
        <v>13373</v>
      </c>
      <c r="G867" s="285" t="s">
        <v>13374</v>
      </c>
      <c r="H867" s="285" t="s">
        <v>11101</v>
      </c>
      <c r="I867" s="285" t="s">
        <v>13375</v>
      </c>
      <c r="J867" s="285" t="s">
        <v>5224</v>
      </c>
      <c r="K867" s="285" t="s">
        <v>13006</v>
      </c>
      <c r="L867" s="285" t="s">
        <v>2730</v>
      </c>
      <c r="M867" s="285" t="s">
        <v>9383</v>
      </c>
      <c r="N867" s="287" t="str">
        <f>IFERROR(
    IF(
        AND(
            VLOOKUP(B867, 'รายชื่อพนักงานลาออกพ้นสภาพ'!B:I, 8, FALSE)&lt;&gt;"ยกเลิกลาออก",
            VLOOKUP(B867, 'รายชื่อพนักงานลาออกพ้นสภาพ'!B:I, 7, FALSE)&lt;=TODAY()
        ),
        "ลาออกแล้ว",
        ""
    ),
"")</f>
        <v/>
      </c>
      <c r="O867" s="292" t="str">
        <f t="array" ref="O867">IFERROR(INDEX(PCRent!C:D, MATCH(F867 &amp; " " &amp; G867, PCRent!A:A &amp; " " &amp; PCRent!B:B, 0)), "")</f>
        <v/>
      </c>
      <c r="P867" s="293"/>
      <c r="Q867" s="294" t="str">
        <f t="array" ref="Q867">IFERROR(INDEX(MonitorRent!C:D, MATCH(F867 &amp; " " &amp; G867, MonitorRent!A:A &amp; " " &amp; MonitorRent!B:B, 0)), "")</f>
        <v/>
      </c>
      <c r="R867" s="295"/>
    </row>
    <row r="868">
      <c r="A868" s="284">
        <v>865.0</v>
      </c>
      <c r="B868" s="285" t="s">
        <v>13376</v>
      </c>
      <c r="C868" s="285" t="s">
        <v>6918</v>
      </c>
      <c r="D868" s="286" t="s">
        <v>10986</v>
      </c>
      <c r="E868" s="285" t="s">
        <v>6921</v>
      </c>
      <c r="F868" s="285" t="s">
        <v>9529</v>
      </c>
      <c r="G868" s="285" t="s">
        <v>13377</v>
      </c>
      <c r="H868" s="285" t="s">
        <v>13378</v>
      </c>
      <c r="I868" s="285" t="s">
        <v>13379</v>
      </c>
      <c r="J868" s="285" t="s">
        <v>5224</v>
      </c>
      <c r="K868" s="285" t="s">
        <v>9911</v>
      </c>
      <c r="L868" s="285" t="s">
        <v>4114</v>
      </c>
      <c r="M868" s="285" t="s">
        <v>9383</v>
      </c>
      <c r="N868" s="287" t="str">
        <f>IFERROR(
    IF(
        AND(
            VLOOKUP(B868, 'รายชื่อพนักงานลาออกพ้นสภาพ'!B:I, 8, FALSE)&lt;&gt;"ยกเลิกลาออก",
            VLOOKUP(B868, 'รายชื่อพนักงานลาออกพ้นสภาพ'!B:I, 7, FALSE)&lt;=TODAY()
        ),
        "ลาออกแล้ว",
        ""
    ),
"")</f>
        <v/>
      </c>
      <c r="O868" s="292" t="str">
        <f t="array" ref="O868">IFERROR(INDEX(PCRent!C:D, MATCH(F868 &amp; " " &amp; G868, PCRent!A:A &amp; " " &amp; PCRent!B:B, 0)), "")</f>
        <v/>
      </c>
      <c r="P868" s="293"/>
      <c r="Q868" s="294" t="str">
        <f t="array" ref="Q868">IFERROR(INDEX(MonitorRent!C:D, MATCH(F868 &amp; " " &amp; G868, MonitorRent!A:A &amp; " " &amp; MonitorRent!B:B, 0)), "")</f>
        <v/>
      </c>
      <c r="R868" s="295"/>
    </row>
    <row r="869">
      <c r="A869" s="284">
        <v>866.0</v>
      </c>
      <c r="B869" s="285" t="s">
        <v>13380</v>
      </c>
      <c r="C869" s="285" t="s">
        <v>6918</v>
      </c>
      <c r="D869" s="286" t="s">
        <v>9876</v>
      </c>
      <c r="E869" s="285" t="s">
        <v>6933</v>
      </c>
      <c r="F869" s="285" t="s">
        <v>13381</v>
      </c>
      <c r="G869" s="285" t="s">
        <v>13382</v>
      </c>
      <c r="H869" s="285" t="s">
        <v>10499</v>
      </c>
      <c r="I869" s="285" t="s">
        <v>13383</v>
      </c>
      <c r="J869" s="285" t="s">
        <v>5012</v>
      </c>
      <c r="K869" s="285" t="s">
        <v>9521</v>
      </c>
      <c r="L869" s="285" t="s">
        <v>13020</v>
      </c>
      <c r="M869" s="285" t="s">
        <v>9383</v>
      </c>
      <c r="N869" s="287" t="str">
        <f>IFERROR(
    IF(
        AND(
            VLOOKUP(B869, 'รายชื่อพนักงานลาออกพ้นสภาพ'!B:I, 8, FALSE)&lt;&gt;"ยกเลิกลาออก",
            VLOOKUP(B869, 'รายชื่อพนักงานลาออกพ้นสภาพ'!B:I, 7, FALSE)&lt;=TODAY()
        ),
        "ลาออกแล้ว",
        ""
    ),
"")</f>
        <v/>
      </c>
      <c r="O869" s="292" t="str">
        <f t="array" ref="O869">IFERROR(INDEX(PCRent!C:D, MATCH(F869 &amp; " " &amp; G869, PCRent!A:A &amp; " " &amp; PCRent!B:B, 0)), "")</f>
        <v/>
      </c>
      <c r="P869" s="293"/>
      <c r="Q869" s="294" t="str">
        <f t="array" ref="Q869">IFERROR(INDEX(MonitorRent!C:D, MATCH(F869 &amp; " " &amp; G869, MonitorRent!A:A &amp; " " &amp; MonitorRent!B:B, 0)), "")</f>
        <v/>
      </c>
      <c r="R869" s="295"/>
    </row>
    <row r="870">
      <c r="A870" s="284">
        <v>867.0</v>
      </c>
      <c r="B870" s="285" t="s">
        <v>7735</v>
      </c>
      <c r="C870" s="285" t="s">
        <v>6918</v>
      </c>
      <c r="D870" s="286" t="s">
        <v>13384</v>
      </c>
      <c r="E870" s="285" t="s">
        <v>6933</v>
      </c>
      <c r="F870" s="285" t="s">
        <v>9536</v>
      </c>
      <c r="G870" s="285" t="s">
        <v>13385</v>
      </c>
      <c r="H870" s="285" t="s">
        <v>10866</v>
      </c>
      <c r="I870" s="285" t="s">
        <v>13386</v>
      </c>
      <c r="J870" s="285" t="s">
        <v>5224</v>
      </c>
      <c r="K870" s="285" t="s">
        <v>4749</v>
      </c>
      <c r="L870" s="285" t="s">
        <v>2117</v>
      </c>
      <c r="M870" s="285" t="s">
        <v>9383</v>
      </c>
      <c r="N870" s="287" t="str">
        <f>IFERROR(
    IF(
        AND(
            VLOOKUP(B870, 'รายชื่อพนักงานลาออกพ้นสภาพ'!B:I, 8, FALSE)&lt;&gt;"ยกเลิกลาออก",
            VLOOKUP(B870, 'รายชื่อพนักงานลาออกพ้นสภาพ'!B:I, 7, FALSE)&lt;=TODAY()
        ),
        "ลาออกแล้ว",
        ""
    ),
"")</f>
        <v/>
      </c>
      <c r="O870" s="292" t="str">
        <f t="array" ref="O870:P870">IFERROR(INDEX(PCRent!C:D, MATCH(F870 &amp; " " &amp; G870, PCRent!A:A &amp; " " &amp; PCRent!B:B, 0)), "")</f>
        <v>SN:PF39GXZD</v>
      </c>
      <c r="P870" s="293" t="s">
        <v>7005</v>
      </c>
      <c r="Q870" s="294" t="str">
        <f t="array" ref="Q870">IFERROR(INDEX(MonitorRent!C:D, MATCH(F870 &amp; " " &amp; G870, MonitorRent!A:A &amp; " " &amp; MonitorRent!B:B, 0)), "")</f>
        <v/>
      </c>
      <c r="R870" s="295"/>
    </row>
    <row r="871">
      <c r="A871" s="284">
        <v>868.0</v>
      </c>
      <c r="B871" s="285" t="s">
        <v>13387</v>
      </c>
      <c r="C871" s="285" t="s">
        <v>6918</v>
      </c>
      <c r="D871" s="286" t="s">
        <v>11610</v>
      </c>
      <c r="E871" s="285" t="s">
        <v>6933</v>
      </c>
      <c r="F871" s="285" t="s">
        <v>9536</v>
      </c>
      <c r="G871" s="285" t="s">
        <v>13388</v>
      </c>
      <c r="H871" s="285" t="s">
        <v>10323</v>
      </c>
      <c r="I871" s="285" t="s">
        <v>13389</v>
      </c>
      <c r="J871" s="285" t="s">
        <v>5012</v>
      </c>
      <c r="K871" s="285" t="s">
        <v>9474</v>
      </c>
      <c r="L871" s="285" t="s">
        <v>13390</v>
      </c>
      <c r="M871" s="285" t="s">
        <v>9383</v>
      </c>
      <c r="N871" s="287" t="str">
        <f>IFERROR(
    IF(
        AND(
            VLOOKUP(B871, 'รายชื่อพนักงานลาออกพ้นสภาพ'!B:I, 8, FALSE)&lt;&gt;"ยกเลิกลาออก",
            VLOOKUP(B871, 'รายชื่อพนักงานลาออกพ้นสภาพ'!B:I, 7, FALSE)&lt;=TODAY()
        ),
        "ลาออกแล้ว",
        ""
    ),
"")</f>
        <v/>
      </c>
      <c r="O871" s="292" t="str">
        <f t="array" ref="O871">IFERROR(INDEX(PCRent!C:D, MATCH(F871 &amp; " " &amp; G871, PCRent!A:A &amp; " " &amp; PCRent!B:B, 0)), "")</f>
        <v/>
      </c>
      <c r="P871" s="293"/>
      <c r="Q871" s="294" t="str">
        <f t="array" ref="Q871">IFERROR(INDEX(MonitorRent!C:D, MATCH(F871 &amp; " " &amp; G871, MonitorRent!A:A &amp; " " &amp; MonitorRent!B:B, 0)), "")</f>
        <v/>
      </c>
      <c r="R871" s="295"/>
    </row>
    <row r="872">
      <c r="A872" s="284">
        <v>869.0</v>
      </c>
      <c r="B872" s="285" t="s">
        <v>13391</v>
      </c>
      <c r="C872" s="285" t="s">
        <v>6918</v>
      </c>
      <c r="D872" s="286" t="s">
        <v>12529</v>
      </c>
      <c r="E872" s="285" t="s">
        <v>6921</v>
      </c>
      <c r="F872" s="285" t="s">
        <v>13392</v>
      </c>
      <c r="G872" s="285" t="s">
        <v>10588</v>
      </c>
      <c r="H872" s="285" t="s">
        <v>9413</v>
      </c>
      <c r="I872" s="285" t="s">
        <v>13393</v>
      </c>
      <c r="J872" s="285" t="s">
        <v>5012</v>
      </c>
      <c r="K872" s="285" t="s">
        <v>9560</v>
      </c>
      <c r="L872" s="285" t="s">
        <v>13137</v>
      </c>
      <c r="M872" s="285" t="s">
        <v>9383</v>
      </c>
      <c r="N872" s="287" t="str">
        <f>IFERROR(
    IF(
        AND(
            VLOOKUP(B872, 'รายชื่อพนักงานลาออกพ้นสภาพ'!B:I, 8, FALSE)&lt;&gt;"ยกเลิกลาออก",
            VLOOKUP(B872, 'รายชื่อพนักงานลาออกพ้นสภาพ'!B:I, 7, FALSE)&lt;=TODAY()
        ),
        "ลาออกแล้ว",
        ""
    ),
"")</f>
        <v/>
      </c>
      <c r="O872" s="292" t="str">
        <f t="array" ref="O872:P872">IFERROR(INDEX(PCRent!C:D, MATCH(F872 &amp; " " &amp; G872, PCRent!A:A &amp; " " &amp; PCRent!B:B, 0)), "")</f>
        <v>SN:MP2DGHZR</v>
      </c>
      <c r="P872" s="293" t="s">
        <v>13394</v>
      </c>
      <c r="Q872" s="294" t="str">
        <f t="array" ref="Q872">IFERROR(INDEX(MonitorRent!C:D, MATCH(F872 &amp; " " &amp; G872, MonitorRent!A:A &amp; " " &amp; MonitorRent!B:B, 0)), "")</f>
        <v/>
      </c>
      <c r="R872" s="295"/>
    </row>
    <row r="873">
      <c r="A873" s="284">
        <v>870.0</v>
      </c>
      <c r="B873" s="285" t="s">
        <v>8874</v>
      </c>
      <c r="C873" s="285" t="s">
        <v>6918</v>
      </c>
      <c r="D873" s="286" t="s">
        <v>9882</v>
      </c>
      <c r="E873" s="285" t="s">
        <v>6921</v>
      </c>
      <c r="F873" s="285" t="s">
        <v>13395</v>
      </c>
      <c r="G873" s="285" t="s">
        <v>13396</v>
      </c>
      <c r="H873" s="285" t="s">
        <v>13351</v>
      </c>
      <c r="I873" s="285" t="s">
        <v>13397</v>
      </c>
      <c r="J873" s="285" t="s">
        <v>5224</v>
      </c>
      <c r="K873" s="285" t="s">
        <v>13398</v>
      </c>
      <c r="L873" s="285" t="s">
        <v>8850</v>
      </c>
      <c r="M873" s="285" t="s">
        <v>9383</v>
      </c>
      <c r="N873" s="287" t="str">
        <f>IFERROR(
    IF(
        AND(
            VLOOKUP(B873, 'รายชื่อพนักงานลาออกพ้นสภาพ'!B:I, 8, FALSE)&lt;&gt;"ยกเลิกลาออก",
            VLOOKUP(B873, 'รายชื่อพนักงานลาออกพ้นสภาพ'!B:I, 7, FALSE)&lt;=TODAY()
        ),
        "ลาออกแล้ว",
        ""
    ),
"")</f>
        <v/>
      </c>
      <c r="O873" s="292" t="str">
        <f t="array" ref="O873">IFERROR(INDEX(PCRent!C:D, MATCH(F873 &amp; " " &amp; G873, PCRent!A:A &amp; " " &amp; PCRent!B:B, 0)), "")</f>
        <v/>
      </c>
      <c r="P873" s="293"/>
      <c r="Q873" s="294" t="str">
        <f t="array" ref="Q873">IFERROR(INDEX(MonitorRent!C:D, MATCH(F873 &amp; " " &amp; G873, MonitorRent!A:A &amp; " " &amp; MonitorRent!B:B, 0)), "")</f>
        <v/>
      </c>
      <c r="R873" s="295"/>
    </row>
    <row r="874">
      <c r="A874" s="284">
        <v>871.0</v>
      </c>
      <c r="B874" s="285" t="s">
        <v>4814</v>
      </c>
      <c r="C874" s="285" t="s">
        <v>6918</v>
      </c>
      <c r="D874" s="286" t="s">
        <v>9504</v>
      </c>
      <c r="E874" s="285" t="s">
        <v>6933</v>
      </c>
      <c r="F874" s="285" t="s">
        <v>13399</v>
      </c>
      <c r="G874" s="285" t="s">
        <v>13400</v>
      </c>
      <c r="H874" s="285" t="s">
        <v>13401</v>
      </c>
      <c r="I874" s="285" t="s">
        <v>4815</v>
      </c>
      <c r="J874" s="285" t="s">
        <v>5224</v>
      </c>
      <c r="K874" s="285" t="s">
        <v>2062</v>
      </c>
      <c r="L874" s="285" t="s">
        <v>13402</v>
      </c>
      <c r="M874" s="285" t="s">
        <v>9383</v>
      </c>
      <c r="N874" s="287" t="str">
        <f>IFERROR(
    IF(
        AND(
            VLOOKUP(B874, 'รายชื่อพนักงานลาออกพ้นสภาพ'!B:I, 8, FALSE)&lt;&gt;"ยกเลิกลาออก",
            VLOOKUP(B874, 'รายชื่อพนักงานลาออกพ้นสภาพ'!B:I, 7, FALSE)&lt;=TODAY()
        ),
        "ลาออกแล้ว",
        ""
    ),
"")</f>
        <v/>
      </c>
      <c r="O874" s="292" t="str">
        <f t="array" ref="O874:P874">IFERROR(INDEX(PCRent!C:D, MATCH(F874 &amp; " " &amp; G874, PCRent!A:A &amp; " " &amp; PCRent!B:B, 0)), "")</f>
        <v>SN:MP2E0MCC</v>
      </c>
      <c r="P874" s="293" t="s">
        <v>7357</v>
      </c>
      <c r="Q874" s="294" t="str">
        <f t="array" ref="Q874">IFERROR(INDEX(MonitorRent!C:D, MATCH(F874 &amp; " " &amp; G874, MonitorRent!A:A &amp; " " &amp; MonitorRent!B:B, 0)), "")</f>
        <v/>
      </c>
      <c r="R874" s="295"/>
    </row>
    <row r="875">
      <c r="A875" s="284">
        <v>872.0</v>
      </c>
      <c r="B875" s="285" t="s">
        <v>8581</v>
      </c>
      <c r="C875" s="285" t="s">
        <v>6918</v>
      </c>
      <c r="D875" s="286" t="s">
        <v>9876</v>
      </c>
      <c r="E875" s="285" t="s">
        <v>6933</v>
      </c>
      <c r="F875" s="285" t="s">
        <v>13399</v>
      </c>
      <c r="G875" s="285" t="s">
        <v>13403</v>
      </c>
      <c r="H875" s="285" t="s">
        <v>10765</v>
      </c>
      <c r="I875" s="285" t="s">
        <v>13404</v>
      </c>
      <c r="J875" s="285" t="s">
        <v>5224</v>
      </c>
      <c r="K875" s="285" t="s">
        <v>4818</v>
      </c>
      <c r="L875" s="285" t="s">
        <v>1896</v>
      </c>
      <c r="M875" s="285" t="s">
        <v>9383</v>
      </c>
      <c r="N875" s="287" t="str">
        <f>IFERROR(
    IF(
        AND(
            VLOOKUP(B875, 'รายชื่อพนักงานลาออกพ้นสภาพ'!B:I, 8, FALSE)&lt;&gt;"ยกเลิกลาออก",
            VLOOKUP(B875, 'รายชื่อพนักงานลาออกพ้นสภาพ'!B:I, 7, FALSE)&lt;=TODAY()
        ),
        "ลาออกแล้ว",
        ""
    ),
"")</f>
        <v/>
      </c>
      <c r="O875" s="292" t="str">
        <f t="array" ref="O875">IFERROR(INDEX(PCRent!C:D, MATCH(F875 &amp; " " &amp; G875, PCRent!A:A &amp; " " &amp; PCRent!B:B, 0)), "")</f>
        <v/>
      </c>
      <c r="P875" s="293"/>
      <c r="Q875" s="294" t="str">
        <f t="array" ref="Q875">IFERROR(INDEX(MonitorRent!C:D, MATCH(F875 &amp; " " &amp; G875, MonitorRent!A:A &amp; " " &amp; MonitorRent!B:B, 0)), "")</f>
        <v/>
      </c>
      <c r="R875" s="295"/>
    </row>
    <row r="876">
      <c r="A876" s="284">
        <v>873.0</v>
      </c>
      <c r="B876" s="285" t="s">
        <v>13405</v>
      </c>
      <c r="C876" s="285" t="s">
        <v>6918</v>
      </c>
      <c r="D876" s="286" t="s">
        <v>11371</v>
      </c>
      <c r="E876" s="285" t="s">
        <v>6933</v>
      </c>
      <c r="F876" s="285" t="s">
        <v>13399</v>
      </c>
      <c r="G876" s="285" t="s">
        <v>13406</v>
      </c>
      <c r="H876" s="285" t="s">
        <v>13407</v>
      </c>
      <c r="I876" s="285" t="s">
        <v>13408</v>
      </c>
      <c r="J876" s="285" t="s">
        <v>5224</v>
      </c>
      <c r="K876" s="285" t="s">
        <v>13398</v>
      </c>
      <c r="L876" s="285" t="s">
        <v>456</v>
      </c>
      <c r="M876" s="285" t="s">
        <v>9383</v>
      </c>
      <c r="N876" s="287" t="str">
        <f>IFERROR(
    IF(
        AND(
            VLOOKUP(B876, 'รายชื่อพนักงานลาออกพ้นสภาพ'!B:I, 8, FALSE)&lt;&gt;"ยกเลิกลาออก",
            VLOOKUP(B876, 'รายชื่อพนักงานลาออกพ้นสภาพ'!B:I, 7, FALSE)&lt;=TODAY()
        ),
        "ลาออกแล้ว",
        ""
    ),
"")</f>
        <v/>
      </c>
      <c r="O876" s="292" t="str">
        <f t="array" ref="O876:P876">IFERROR(INDEX(PCRent!C:D, MATCH(F876 &amp; " " &amp; G876, PCRent!A:A &amp; " " &amp; PCRent!B:B, 0)), "")</f>
        <v>SN:MP2ETHGH</v>
      </c>
      <c r="P876" s="293" t="s">
        <v>7070</v>
      </c>
      <c r="Q876" s="294" t="str">
        <f t="array" ref="Q876">IFERROR(INDEX(MonitorRent!C:D, MATCH(F876 &amp; " " &amp; G876, MonitorRent!A:A &amp; " " &amp; MonitorRent!B:B, 0)), "")</f>
        <v/>
      </c>
      <c r="R876" s="295"/>
    </row>
    <row r="877">
      <c r="A877" s="284">
        <v>874.0</v>
      </c>
      <c r="B877" s="285" t="s">
        <v>606</v>
      </c>
      <c r="C877" s="285" t="s">
        <v>6918</v>
      </c>
      <c r="D877" s="286" t="s">
        <v>10986</v>
      </c>
      <c r="E877" s="285" t="s">
        <v>6933</v>
      </c>
      <c r="F877" s="285" t="s">
        <v>13409</v>
      </c>
      <c r="G877" s="285" t="s">
        <v>13410</v>
      </c>
      <c r="H877" s="285" t="s">
        <v>9669</v>
      </c>
      <c r="I877" s="285" t="s">
        <v>610</v>
      </c>
      <c r="J877" s="285" t="s">
        <v>5012</v>
      </c>
      <c r="K877" s="285" t="s">
        <v>13411</v>
      </c>
      <c r="L877" s="285" t="s">
        <v>13020</v>
      </c>
      <c r="M877" s="285" t="s">
        <v>9383</v>
      </c>
      <c r="N877" s="287" t="str">
        <f>IFERROR(
    IF(
        AND(
            VLOOKUP(B877, 'รายชื่อพนักงานลาออกพ้นสภาพ'!B:I, 8, FALSE)&lt;&gt;"ยกเลิกลาออก",
            VLOOKUP(B877, 'รายชื่อพนักงานลาออกพ้นสภาพ'!B:I, 7, FALSE)&lt;=TODAY()
        ),
        "ลาออกแล้ว",
        ""
    ),
"")</f>
        <v>ลาออกแล้ว</v>
      </c>
      <c r="O877" s="292" t="str">
        <f t="array" ref="O877">IFERROR(INDEX(PCRent!C:D, MATCH(F877 &amp; " " &amp; G877, PCRent!A:A &amp; " " &amp; PCRent!B:B, 0)), "")</f>
        <v/>
      </c>
      <c r="P877" s="293"/>
      <c r="Q877" s="294" t="str">
        <f t="array" ref="Q877">IFERROR(INDEX(MonitorRent!C:D, MATCH(F877 &amp; " " &amp; G877, MonitorRent!A:A &amp; " " &amp; MonitorRent!B:B, 0)), "")</f>
        <v/>
      </c>
      <c r="R877" s="295"/>
    </row>
    <row r="878">
      <c r="A878" s="284">
        <v>875.0</v>
      </c>
      <c r="B878" s="285" t="s">
        <v>709</v>
      </c>
      <c r="C878" s="285" t="s">
        <v>6918</v>
      </c>
      <c r="D878" s="286" t="s">
        <v>11371</v>
      </c>
      <c r="E878" s="285" t="s">
        <v>6933</v>
      </c>
      <c r="F878" s="285" t="s">
        <v>13412</v>
      </c>
      <c r="G878" s="285" t="s">
        <v>13413</v>
      </c>
      <c r="H878" s="285" t="s">
        <v>9579</v>
      </c>
      <c r="I878" s="285" t="s">
        <v>713</v>
      </c>
      <c r="J878" s="285" t="s">
        <v>5012</v>
      </c>
      <c r="K878" s="285" t="s">
        <v>9796</v>
      </c>
      <c r="L878" s="285" t="s">
        <v>13414</v>
      </c>
      <c r="M878" s="285" t="s">
        <v>9383</v>
      </c>
      <c r="N878" s="287" t="str">
        <f>IFERROR(
    IF(
        AND(
            VLOOKUP(B878, 'รายชื่อพนักงานลาออกพ้นสภาพ'!B:I, 8, FALSE)&lt;&gt;"ยกเลิกลาออก",
            VLOOKUP(B878, 'รายชื่อพนักงานลาออกพ้นสภาพ'!B:I, 7, FALSE)&lt;=TODAY()
        ),
        "ลาออกแล้ว",
        ""
    ),
"")</f>
        <v/>
      </c>
      <c r="O878" s="292" t="str">
        <f t="array" ref="O878:P878">IFERROR(INDEX(PCRent!C:D, MATCH(F878 &amp; " " &amp; G878, PCRent!A:A &amp; " " &amp; PCRent!B:B, 0)), "")</f>
        <v>SN:MP2ESVBT</v>
      </c>
      <c r="P878" s="293" t="s">
        <v>7070</v>
      </c>
      <c r="Q878" s="294" t="str">
        <f t="array" ref="Q878">IFERROR(INDEX(MonitorRent!C:D, MATCH(F878 &amp; " " &amp; G878, MonitorRent!A:A &amp; " " &amp; MonitorRent!B:B, 0)), "")</f>
        <v/>
      </c>
      <c r="R878" s="295"/>
    </row>
    <row r="879">
      <c r="A879" s="284">
        <v>876.0</v>
      </c>
      <c r="B879" s="285" t="s">
        <v>13415</v>
      </c>
      <c r="C879" s="285" t="s">
        <v>6918</v>
      </c>
      <c r="D879" s="286" t="s">
        <v>13416</v>
      </c>
      <c r="E879" s="285" t="s">
        <v>6921</v>
      </c>
      <c r="F879" s="285" t="s">
        <v>13417</v>
      </c>
      <c r="G879" s="285" t="s">
        <v>13418</v>
      </c>
      <c r="H879" s="285" t="s">
        <v>13419</v>
      </c>
      <c r="I879" s="285" t="s">
        <v>13420</v>
      </c>
      <c r="J879" s="285" t="s">
        <v>5012</v>
      </c>
      <c r="K879" s="285" t="s">
        <v>9703</v>
      </c>
      <c r="L879" s="285" t="s">
        <v>9704</v>
      </c>
      <c r="M879" s="285" t="s">
        <v>9383</v>
      </c>
      <c r="N879" s="287" t="str">
        <f>IFERROR(
    IF(
        AND(
            VLOOKUP(B879, 'รายชื่อพนักงานลาออกพ้นสภาพ'!B:I, 8, FALSE)&lt;&gt;"ยกเลิกลาออก",
            VLOOKUP(B879, 'รายชื่อพนักงานลาออกพ้นสภาพ'!B:I, 7, FALSE)&lt;=TODAY()
        ),
        "ลาออกแล้ว",
        ""
    ),
"")</f>
        <v/>
      </c>
      <c r="O879" s="292" t="str">
        <f t="array" ref="O879:P879">IFERROR(INDEX(PCRent!C:D, MATCH(F879 &amp; " " &amp; G879, PCRent!A:A &amp; " " &amp; PCRent!B:B, 0)), "")</f>
        <v>SN:MP2DGHWE</v>
      </c>
      <c r="P879" s="293" t="s">
        <v>7149</v>
      </c>
      <c r="Q879" s="294" t="str">
        <f t="array" ref="Q879">IFERROR(INDEX(MonitorRent!C:D, MATCH(F879 &amp; " " &amp; G879, MonitorRent!A:A &amp; " " &amp; MonitorRent!B:B, 0)), "")</f>
        <v/>
      </c>
      <c r="R879" s="295"/>
    </row>
    <row r="880">
      <c r="A880" s="284">
        <v>877.0</v>
      </c>
      <c r="B880" s="285" t="s">
        <v>9142</v>
      </c>
      <c r="C880" s="285" t="s">
        <v>6918</v>
      </c>
      <c r="D880" s="286" t="s">
        <v>13176</v>
      </c>
      <c r="E880" s="285" t="s">
        <v>6933</v>
      </c>
      <c r="F880" s="285" t="s">
        <v>13421</v>
      </c>
      <c r="G880" s="285" t="s">
        <v>13422</v>
      </c>
      <c r="H880" s="285" t="s">
        <v>13423</v>
      </c>
      <c r="I880" s="285" t="s">
        <v>13424</v>
      </c>
      <c r="J880" s="285" t="s">
        <v>5224</v>
      </c>
      <c r="K880" s="285" t="s">
        <v>4737</v>
      </c>
      <c r="L880" s="285" t="s">
        <v>2265</v>
      </c>
      <c r="M880" s="285" t="s">
        <v>9383</v>
      </c>
      <c r="N880" s="287" t="str">
        <f>IFERROR(
    IF(
        AND(
            VLOOKUP(B880, 'รายชื่อพนักงานลาออกพ้นสภาพ'!B:I, 8, FALSE)&lt;&gt;"ยกเลิกลาออก",
            VLOOKUP(B880, 'รายชื่อพนักงานลาออกพ้นสภาพ'!B:I, 7, FALSE)&lt;=TODAY()
        ),
        "ลาออกแล้ว",
        ""
    ),
"")</f>
        <v/>
      </c>
      <c r="O880" s="292" t="str">
        <f t="array" ref="O880">IFERROR(INDEX(PCRent!C:D, MATCH(F880 &amp; " " &amp; G880, PCRent!A:A &amp; " " &amp; PCRent!B:B, 0)), "")</f>
        <v/>
      </c>
      <c r="P880" s="293"/>
      <c r="Q880" s="294" t="str">
        <f t="array" ref="Q880">IFERROR(INDEX(MonitorRent!C:D, MATCH(F880 &amp; " " &amp; G880, MonitorRent!A:A &amp; " " &amp; MonitorRent!B:B, 0)), "")</f>
        <v/>
      </c>
      <c r="R880" s="295"/>
    </row>
    <row r="881">
      <c r="A881" s="284">
        <v>878.0</v>
      </c>
      <c r="B881" s="285" t="s">
        <v>13425</v>
      </c>
      <c r="C881" s="285" t="s">
        <v>6918</v>
      </c>
      <c r="D881" s="286" t="s">
        <v>9829</v>
      </c>
      <c r="E881" s="285" t="s">
        <v>6921</v>
      </c>
      <c r="F881" s="285" t="s">
        <v>13426</v>
      </c>
      <c r="G881" s="285" t="s">
        <v>13427</v>
      </c>
      <c r="H881" s="285" t="s">
        <v>13428</v>
      </c>
      <c r="I881" s="285" t="s">
        <v>6486</v>
      </c>
      <c r="J881" s="285" t="s">
        <v>5012</v>
      </c>
      <c r="K881" s="285" t="s">
        <v>9560</v>
      </c>
      <c r="L881" s="285" t="s">
        <v>13429</v>
      </c>
      <c r="M881" s="285" t="s">
        <v>9391</v>
      </c>
      <c r="N881" s="287" t="str">
        <f>IFERROR(
    IF(
        AND(
            VLOOKUP(B881, 'รายชื่อพนักงานลาออกพ้นสภาพ'!B:I, 8, FALSE)&lt;&gt;"ยกเลิกลาออก",
            VLOOKUP(B881, 'รายชื่อพนักงานลาออกพ้นสภาพ'!B:I, 7, FALSE)&lt;=TODAY()
        ),
        "ลาออกแล้ว",
        ""
    ),
"")</f>
        <v/>
      </c>
      <c r="O881" s="292" t="str">
        <f t="array" ref="O881">IFERROR(INDEX(PCRent!C:D, MATCH(F881 &amp; " " &amp; G881, PCRent!A:A &amp; " " &amp; PCRent!B:B, 0)), "")</f>
        <v/>
      </c>
      <c r="P881" s="293"/>
      <c r="Q881" s="294" t="str">
        <f t="array" ref="Q881">IFERROR(INDEX(MonitorRent!C:D, MATCH(F881 &amp; " " &amp; G881, MonitorRent!A:A &amp; " " &amp; MonitorRent!B:B, 0)), "")</f>
        <v/>
      </c>
      <c r="R881" s="295"/>
    </row>
    <row r="882">
      <c r="A882" s="284">
        <v>879.0</v>
      </c>
      <c r="B882" s="285" t="s">
        <v>815</v>
      </c>
      <c r="C882" s="285" t="s">
        <v>6918</v>
      </c>
      <c r="D882" s="286" t="s">
        <v>9461</v>
      </c>
      <c r="E882" s="285" t="s">
        <v>6933</v>
      </c>
      <c r="F882" s="285" t="s">
        <v>13430</v>
      </c>
      <c r="G882" s="285" t="s">
        <v>13431</v>
      </c>
      <c r="H882" s="285" t="s">
        <v>13432</v>
      </c>
      <c r="I882" s="285" t="s">
        <v>817</v>
      </c>
      <c r="J882" s="285" t="s">
        <v>5224</v>
      </c>
      <c r="K882" s="285" t="s">
        <v>13061</v>
      </c>
      <c r="L882" s="285" t="s">
        <v>3041</v>
      </c>
      <c r="M882" s="285" t="s">
        <v>9383</v>
      </c>
      <c r="N882" s="287" t="str">
        <f>IFERROR(
    IF(
        AND(
            VLOOKUP(B882, 'รายชื่อพนักงานลาออกพ้นสภาพ'!B:I, 8, FALSE)&lt;&gt;"ยกเลิกลาออก",
            VLOOKUP(B882, 'รายชื่อพนักงานลาออกพ้นสภาพ'!B:I, 7, FALSE)&lt;=TODAY()
        ),
        "ลาออกแล้ว",
        ""
    ),
"")</f>
        <v>ลาออกแล้ว</v>
      </c>
      <c r="O882" s="292" t="str">
        <f t="array" ref="O882">IFERROR(INDEX(PCRent!C:D, MATCH(F882 &amp; " " &amp; G882, PCRent!A:A &amp; " " &amp; PCRent!B:B, 0)), "")</f>
        <v/>
      </c>
      <c r="P882" s="293"/>
      <c r="Q882" s="294" t="str">
        <f t="array" ref="Q882">IFERROR(INDEX(MonitorRent!C:D, MATCH(F882 &amp; " " &amp; G882, MonitorRent!A:A &amp; " " &amp; MonitorRent!B:B, 0)), "")</f>
        <v/>
      </c>
      <c r="R882" s="295"/>
    </row>
    <row r="883">
      <c r="A883" s="284">
        <v>880.0</v>
      </c>
      <c r="B883" s="285" t="s">
        <v>8615</v>
      </c>
      <c r="C883" s="285" t="s">
        <v>6918</v>
      </c>
      <c r="D883" s="286" t="s">
        <v>13433</v>
      </c>
      <c r="E883" s="285" t="s">
        <v>6921</v>
      </c>
      <c r="F883" s="285" t="s">
        <v>13434</v>
      </c>
      <c r="G883" s="285" t="s">
        <v>13435</v>
      </c>
      <c r="H883" s="285" t="s">
        <v>9669</v>
      </c>
      <c r="I883" s="285" t="s">
        <v>13436</v>
      </c>
      <c r="J883" s="285" t="s">
        <v>5224</v>
      </c>
      <c r="K883" s="285" t="s">
        <v>13437</v>
      </c>
      <c r="L883" s="285" t="s">
        <v>8609</v>
      </c>
      <c r="M883" s="285" t="s">
        <v>9383</v>
      </c>
      <c r="N883" s="287" t="str">
        <f>IFERROR(
    IF(
        AND(
            VLOOKUP(B883, 'รายชื่อพนักงานลาออกพ้นสภาพ'!B:I, 8, FALSE)&lt;&gt;"ยกเลิกลาออก",
            VLOOKUP(B883, 'รายชื่อพนักงานลาออกพ้นสภาพ'!B:I, 7, FALSE)&lt;=TODAY()
        ),
        "ลาออกแล้ว",
        ""
    ),
"")</f>
        <v/>
      </c>
      <c r="O883" s="292" t="str">
        <f t="array" ref="O883">IFERROR(INDEX(PCRent!C:D, MATCH(F883 &amp; " " &amp; G883, PCRent!A:A &amp; " " &amp; PCRent!B:B, 0)), "")</f>
        <v/>
      </c>
      <c r="P883" s="293"/>
      <c r="Q883" s="294" t="str">
        <f t="array" ref="Q883">IFERROR(INDEX(MonitorRent!C:D, MATCH(F883 &amp; " " &amp; G883, MonitorRent!A:A &amp; " " &amp; MonitorRent!B:B, 0)), "")</f>
        <v/>
      </c>
      <c r="R883" s="295"/>
    </row>
    <row r="884">
      <c r="A884" s="284">
        <v>881.0</v>
      </c>
      <c r="B884" s="285" t="s">
        <v>8232</v>
      </c>
      <c r="C884" s="285" t="s">
        <v>6918</v>
      </c>
      <c r="D884" s="286" t="s">
        <v>13438</v>
      </c>
      <c r="E884" s="285" t="s">
        <v>6933</v>
      </c>
      <c r="F884" s="285" t="s">
        <v>13439</v>
      </c>
      <c r="G884" s="285" t="s">
        <v>13440</v>
      </c>
      <c r="H884" s="285" t="s">
        <v>13439</v>
      </c>
      <c r="I884" s="285" t="s">
        <v>13441</v>
      </c>
      <c r="J884" s="285" t="s">
        <v>5224</v>
      </c>
      <c r="K884" s="285" t="s">
        <v>4756</v>
      </c>
      <c r="L884" s="285" t="s">
        <v>13045</v>
      </c>
      <c r="M884" s="285" t="s">
        <v>9383</v>
      </c>
      <c r="N884" s="287" t="str">
        <f>IFERROR(
    IF(
        AND(
            VLOOKUP(B884, 'รายชื่อพนักงานลาออกพ้นสภาพ'!B:I, 8, FALSE)&lt;&gt;"ยกเลิกลาออก",
            VLOOKUP(B884, 'รายชื่อพนักงานลาออกพ้นสภาพ'!B:I, 7, FALSE)&lt;=TODAY()
        ),
        "ลาออกแล้ว",
        ""
    ),
"")</f>
        <v/>
      </c>
      <c r="O884" s="292" t="str">
        <f t="array" ref="O884:P884">IFERROR(INDEX(PCRent!C:D, MATCH(F884 &amp; " " &amp; G884, PCRent!A:A &amp; " " &amp; PCRent!B:B, 0)), "")</f>
        <v>SN:MP2EJ0PH</v>
      </c>
      <c r="P884" s="293" t="s">
        <v>6993</v>
      </c>
      <c r="Q884" s="294" t="str">
        <f t="array" ref="Q884">IFERROR(INDEX(MonitorRent!C:D, MATCH(F884 &amp; " " &amp; G884, MonitorRent!A:A &amp; " " &amp; MonitorRent!B:B, 0)), "")</f>
        <v/>
      </c>
      <c r="R884" s="295"/>
    </row>
    <row r="885">
      <c r="A885" s="284">
        <v>882.0</v>
      </c>
      <c r="B885" s="285" t="s">
        <v>8355</v>
      </c>
      <c r="C885" s="285" t="s">
        <v>6918</v>
      </c>
      <c r="D885" s="286" t="s">
        <v>12906</v>
      </c>
      <c r="E885" s="285" t="s">
        <v>6933</v>
      </c>
      <c r="F885" s="285" t="s">
        <v>13442</v>
      </c>
      <c r="G885" s="285" t="s">
        <v>13443</v>
      </c>
      <c r="H885" s="285" t="s">
        <v>13444</v>
      </c>
      <c r="I885" s="285" t="s">
        <v>13445</v>
      </c>
      <c r="J885" s="285" t="s">
        <v>5224</v>
      </c>
      <c r="K885" s="285" t="s">
        <v>13312</v>
      </c>
      <c r="L885" s="285" t="s">
        <v>8331</v>
      </c>
      <c r="M885" s="285" t="s">
        <v>9383</v>
      </c>
      <c r="N885" s="287" t="str">
        <f>IFERROR(
    IF(
        AND(
            VLOOKUP(B885, 'รายชื่อพนักงานลาออกพ้นสภาพ'!B:I, 8, FALSE)&lt;&gt;"ยกเลิกลาออก",
            VLOOKUP(B885, 'รายชื่อพนักงานลาออกพ้นสภาพ'!B:I, 7, FALSE)&lt;=TODAY()
        ),
        "ลาออกแล้ว",
        ""
    ),
"")</f>
        <v/>
      </c>
      <c r="O885" s="292" t="str">
        <f t="array" ref="O885">IFERROR(INDEX(PCRent!C:D, MATCH(F885 &amp; " " &amp; G885, PCRent!A:A &amp; " " &amp; PCRent!B:B, 0)), "")</f>
        <v/>
      </c>
      <c r="P885" s="293"/>
      <c r="Q885" s="294" t="str">
        <f t="array" ref="Q885">IFERROR(INDEX(MonitorRent!C:D, MATCH(F885 &amp; " " &amp; G885, MonitorRent!A:A &amp; " " &amp; MonitorRent!B:B, 0)), "")</f>
        <v/>
      </c>
      <c r="R885" s="295"/>
    </row>
    <row r="886">
      <c r="A886" s="284">
        <v>883.0</v>
      </c>
      <c r="B886" s="285" t="s">
        <v>520</v>
      </c>
      <c r="C886" s="285" t="s">
        <v>6918</v>
      </c>
      <c r="D886" s="286" t="s">
        <v>13446</v>
      </c>
      <c r="E886" s="285" t="s">
        <v>6921</v>
      </c>
      <c r="F886" s="285" t="s">
        <v>13447</v>
      </c>
      <c r="G886" s="285" t="s">
        <v>13448</v>
      </c>
      <c r="H886" s="285" t="s">
        <v>13449</v>
      </c>
      <c r="I886" s="285" t="s">
        <v>523</v>
      </c>
      <c r="J886" s="285" t="s">
        <v>5012</v>
      </c>
      <c r="K886" s="285" t="s">
        <v>6322</v>
      </c>
      <c r="L886" s="285" t="s">
        <v>941</v>
      </c>
      <c r="M886" s="285" t="s">
        <v>9391</v>
      </c>
      <c r="N886" s="287" t="str">
        <f>IFERROR(
    IF(
        AND(
            VLOOKUP(B886, 'รายชื่อพนักงานลาออกพ้นสภาพ'!B:I, 8, FALSE)&lt;&gt;"ยกเลิกลาออก",
            VLOOKUP(B886, 'รายชื่อพนักงานลาออกพ้นสภาพ'!B:I, 7, FALSE)&lt;=TODAY()
        ),
        "ลาออกแล้ว",
        ""
    ),
"")</f>
        <v>ลาออกแล้ว</v>
      </c>
      <c r="O886" s="292" t="str">
        <f t="array" ref="O886">IFERROR(INDEX(PCRent!C:D, MATCH(F886 &amp; " " &amp; G886, PCRent!A:A &amp; " " &amp; PCRent!B:B, 0)), "")</f>
        <v/>
      </c>
      <c r="P886" s="293"/>
      <c r="Q886" s="294" t="str">
        <f t="array" ref="Q886">IFERROR(INDEX(MonitorRent!C:D, MATCH(F886 &amp; " " &amp; G886, MonitorRent!A:A &amp; " " &amp; MonitorRent!B:B, 0)), "")</f>
        <v/>
      </c>
      <c r="R886" s="295"/>
    </row>
    <row r="887">
      <c r="A887" s="284">
        <v>884.0</v>
      </c>
      <c r="B887" s="285" t="s">
        <v>13450</v>
      </c>
      <c r="C887" s="285" t="s">
        <v>6918</v>
      </c>
      <c r="D887" s="286" t="s">
        <v>10329</v>
      </c>
      <c r="E887" s="285" t="s">
        <v>6921</v>
      </c>
      <c r="F887" s="285" t="s">
        <v>13451</v>
      </c>
      <c r="G887" s="285" t="s">
        <v>13452</v>
      </c>
      <c r="H887" s="285" t="s">
        <v>10048</v>
      </c>
      <c r="I887" s="285" t="s">
        <v>13453</v>
      </c>
      <c r="J887" s="285" t="s">
        <v>5224</v>
      </c>
      <c r="K887" s="285" t="s">
        <v>9552</v>
      </c>
      <c r="L887" s="285" t="s">
        <v>9977</v>
      </c>
      <c r="M887" s="285" t="s">
        <v>9383</v>
      </c>
      <c r="N887" s="287" t="str">
        <f>IFERROR(
    IF(
        AND(
            VLOOKUP(B887, 'รายชื่อพนักงานลาออกพ้นสภาพ'!B:I, 8, FALSE)&lt;&gt;"ยกเลิกลาออก",
            VLOOKUP(B887, 'รายชื่อพนักงานลาออกพ้นสภาพ'!B:I, 7, FALSE)&lt;=TODAY()
        ),
        "ลาออกแล้ว",
        ""
    ),
"")</f>
        <v/>
      </c>
      <c r="O887" s="292" t="str">
        <f t="array" ref="O887">IFERROR(INDEX(PCRent!C:D, MATCH(F887 &amp; " " &amp; G887, PCRent!A:A &amp; " " &amp; PCRent!B:B, 0)), "")</f>
        <v/>
      </c>
      <c r="P887" s="293"/>
      <c r="Q887" s="294" t="str">
        <f t="array" ref="Q887">IFERROR(INDEX(MonitorRent!C:D, MATCH(F887 &amp; " " &amp; G887, MonitorRent!A:A &amp; " " &amp; MonitorRent!B:B, 0)), "")</f>
        <v/>
      </c>
      <c r="R887" s="295"/>
    </row>
    <row r="888">
      <c r="A888" s="284">
        <v>885.0</v>
      </c>
      <c r="B888" s="285" t="s">
        <v>13454</v>
      </c>
      <c r="C888" s="285" t="s">
        <v>6918</v>
      </c>
      <c r="D888" s="286" t="s">
        <v>13455</v>
      </c>
      <c r="E888" s="285" t="s">
        <v>6921</v>
      </c>
      <c r="F888" s="285" t="s">
        <v>13456</v>
      </c>
      <c r="G888" s="285" t="s">
        <v>13457</v>
      </c>
      <c r="H888" s="285" t="s">
        <v>13458</v>
      </c>
      <c r="I888" s="285" t="s">
        <v>13459</v>
      </c>
      <c r="J888" s="285" t="s">
        <v>5012</v>
      </c>
      <c r="K888" s="285" t="s">
        <v>3000</v>
      </c>
      <c r="L888" s="285" t="s">
        <v>13067</v>
      </c>
      <c r="M888" s="285" t="s">
        <v>9383</v>
      </c>
      <c r="N888" s="287" t="str">
        <f>IFERROR(
    IF(
        AND(
            VLOOKUP(B888, 'รายชื่อพนักงานลาออกพ้นสภาพ'!B:I, 8, FALSE)&lt;&gt;"ยกเลิกลาออก",
            VLOOKUP(B888, 'รายชื่อพนักงานลาออกพ้นสภาพ'!B:I, 7, FALSE)&lt;=TODAY()
        ),
        "ลาออกแล้ว",
        ""
    ),
"")</f>
        <v/>
      </c>
      <c r="O888" s="292" t="str">
        <f t="array" ref="O888">IFERROR(INDEX(PCRent!C:D, MATCH(F888 &amp; " " &amp; G888, PCRent!A:A &amp; " " &amp; PCRent!B:B, 0)), "")</f>
        <v/>
      </c>
      <c r="P888" s="293"/>
      <c r="Q888" s="294" t="str">
        <f t="array" ref="Q888">IFERROR(INDEX(MonitorRent!C:D, MATCH(F888 &amp; " " &amp; G888, MonitorRent!A:A &amp; " " &amp; MonitorRent!B:B, 0)), "")</f>
        <v/>
      </c>
      <c r="R888" s="295"/>
    </row>
    <row r="889">
      <c r="A889" s="284">
        <v>886.0</v>
      </c>
      <c r="B889" s="285" t="s">
        <v>7075</v>
      </c>
      <c r="C889" s="285" t="s">
        <v>6918</v>
      </c>
      <c r="D889" s="286" t="s">
        <v>13460</v>
      </c>
      <c r="E889" s="285" t="s">
        <v>6933</v>
      </c>
      <c r="F889" s="285" t="s">
        <v>13461</v>
      </c>
      <c r="G889" s="285" t="s">
        <v>13462</v>
      </c>
      <c r="H889" s="285" t="s">
        <v>13463</v>
      </c>
      <c r="I889" s="285" t="s">
        <v>13464</v>
      </c>
      <c r="J889" s="285" t="s">
        <v>5224</v>
      </c>
      <c r="K889" s="285" t="s">
        <v>13465</v>
      </c>
      <c r="L889" s="285" t="s">
        <v>7060</v>
      </c>
      <c r="M889" s="285" t="s">
        <v>9383</v>
      </c>
      <c r="N889" s="287" t="str">
        <f>IFERROR(
    IF(
        AND(
            VLOOKUP(B889, 'รายชื่อพนักงานลาออกพ้นสภาพ'!B:I, 8, FALSE)&lt;&gt;"ยกเลิกลาออก",
            VLOOKUP(B889, 'รายชื่อพนักงานลาออกพ้นสภาพ'!B:I, 7, FALSE)&lt;=TODAY()
        ),
        "ลาออกแล้ว",
        ""
    ),
"")</f>
        <v/>
      </c>
      <c r="O889" s="292" t="str">
        <f t="array" ref="O889:P889">IFERROR(INDEX(PCRent!C:D, MATCH(F889 &amp; " " &amp; G889, PCRent!A:A &amp; " " &amp; PCRent!B:B, 0)), "")</f>
        <v>SN:P3KP62F25T</v>
      </c>
      <c r="P889" s="293" t="s">
        <v>7062</v>
      </c>
      <c r="Q889" s="294" t="str">
        <f t="array" ref="Q889">IFERROR(INDEX(MonitorRent!C:D, MATCH(F889 &amp; " " &amp; G889, MonitorRent!A:A &amp; " " &amp; MonitorRent!B:B, 0)), "")</f>
        <v/>
      </c>
      <c r="R889" s="295"/>
    </row>
    <row r="890">
      <c r="A890" s="284">
        <v>887.0</v>
      </c>
      <c r="B890" s="285" t="s">
        <v>7032</v>
      </c>
      <c r="C890" s="285" t="s">
        <v>6918</v>
      </c>
      <c r="D890" s="286" t="s">
        <v>13466</v>
      </c>
      <c r="E890" s="285" t="s">
        <v>6933</v>
      </c>
      <c r="F890" s="285" t="s">
        <v>13467</v>
      </c>
      <c r="G890" s="285" t="s">
        <v>13468</v>
      </c>
      <c r="H890" s="285" t="s">
        <v>9827</v>
      </c>
      <c r="I890" s="285" t="s">
        <v>13469</v>
      </c>
      <c r="J890" s="285" t="s">
        <v>5224</v>
      </c>
      <c r="K890" s="285" t="s">
        <v>13470</v>
      </c>
      <c r="L890" s="285" t="s">
        <v>7015</v>
      </c>
      <c r="M890" s="285" t="s">
        <v>9383</v>
      </c>
      <c r="N890" s="287" t="str">
        <f>IFERROR(
    IF(
        AND(
            VLOOKUP(B890, 'รายชื่อพนักงานลาออกพ้นสภาพ'!B:I, 8, FALSE)&lt;&gt;"ยกเลิกลาออก",
            VLOOKUP(B890, 'รายชื่อพนักงานลาออกพ้นสภาพ'!B:I, 7, FALSE)&lt;=TODAY()
        ),
        "ลาออกแล้ว",
        ""
    ),
"")</f>
        <v/>
      </c>
      <c r="O890" s="292" t="str">
        <f t="array" ref="O890">IFERROR(INDEX(PCRent!C:D, MATCH(F890 &amp; " " &amp; G890, PCRent!A:A &amp; " " &amp; PCRent!B:B, 0)), "")</f>
        <v/>
      </c>
      <c r="P890" s="293"/>
      <c r="Q890" s="294" t="str">
        <f t="array" ref="Q890">IFERROR(INDEX(MonitorRent!C:D, MATCH(F890 &amp; " " &amp; G890, MonitorRent!A:A &amp; " " &amp; MonitorRent!B:B, 0)), "")</f>
        <v/>
      </c>
      <c r="R890" s="295"/>
    </row>
    <row r="891">
      <c r="A891" s="284">
        <v>888.0</v>
      </c>
      <c r="B891" s="285" t="s">
        <v>4862</v>
      </c>
      <c r="C891" s="285" t="s">
        <v>6918</v>
      </c>
      <c r="D891" s="286" t="s">
        <v>13471</v>
      </c>
      <c r="E891" s="285" t="s">
        <v>6933</v>
      </c>
      <c r="F891" s="285" t="s">
        <v>13472</v>
      </c>
      <c r="G891" s="285" t="s">
        <v>13473</v>
      </c>
      <c r="H891" s="285" t="s">
        <v>10183</v>
      </c>
      <c r="I891" s="285" t="s">
        <v>4863</v>
      </c>
      <c r="J891" s="285" t="s">
        <v>5224</v>
      </c>
      <c r="K891" s="285" t="s">
        <v>4853</v>
      </c>
      <c r="L891" s="285" t="s">
        <v>2177</v>
      </c>
      <c r="M891" s="285" t="s">
        <v>9383</v>
      </c>
      <c r="N891" s="287" t="str">
        <f>IFERROR(
    IF(
        AND(
            VLOOKUP(B891, 'รายชื่อพนักงานลาออกพ้นสภาพ'!B:I, 8, FALSE)&lt;&gt;"ยกเลิกลาออก",
            VLOOKUP(B891, 'รายชื่อพนักงานลาออกพ้นสภาพ'!B:I, 7, FALSE)&lt;=TODAY()
        ),
        "ลาออกแล้ว",
        ""
    ),
"")</f>
        <v/>
      </c>
      <c r="O891" s="292" t="str">
        <f t="array" ref="O891">IFERROR(INDEX(PCRent!C:D, MATCH(F891 &amp; " " &amp; G891, PCRent!A:A &amp; " " &amp; PCRent!B:B, 0)), "")</f>
        <v/>
      </c>
      <c r="P891" s="293"/>
      <c r="Q891" s="294" t="str">
        <f t="array" ref="Q891">IFERROR(INDEX(MonitorRent!C:D, MATCH(F891 &amp; " " &amp; G891, MonitorRent!A:A &amp; " " &amp; MonitorRent!B:B, 0)), "")</f>
        <v/>
      </c>
      <c r="R891" s="295"/>
    </row>
    <row r="892">
      <c r="A892" s="284">
        <v>889.0</v>
      </c>
      <c r="B892" s="285" t="s">
        <v>8396</v>
      </c>
      <c r="C892" s="285" t="s">
        <v>6918</v>
      </c>
      <c r="D892" s="286" t="s">
        <v>13474</v>
      </c>
      <c r="E892" s="285" t="s">
        <v>6921</v>
      </c>
      <c r="F892" s="285" t="s">
        <v>10433</v>
      </c>
      <c r="G892" s="285" t="s">
        <v>13475</v>
      </c>
      <c r="H892" s="285" t="s">
        <v>10749</v>
      </c>
      <c r="I892" s="285" t="s">
        <v>13476</v>
      </c>
      <c r="J892" s="285" t="s">
        <v>5224</v>
      </c>
      <c r="K892" s="285" t="s">
        <v>4818</v>
      </c>
      <c r="L892" s="285" t="s">
        <v>8398</v>
      </c>
      <c r="M892" s="285" t="s">
        <v>9383</v>
      </c>
      <c r="N892" s="287" t="str">
        <f>IFERROR(
    IF(
        AND(
            VLOOKUP(B892, 'รายชื่อพนักงานลาออกพ้นสภาพ'!B:I, 8, FALSE)&lt;&gt;"ยกเลิกลาออก",
            VLOOKUP(B892, 'รายชื่อพนักงานลาออกพ้นสภาพ'!B:I, 7, FALSE)&lt;=TODAY()
        ),
        "ลาออกแล้ว",
        ""
    ),
"")</f>
        <v/>
      </c>
      <c r="O892" s="292" t="str">
        <f t="array" ref="O892">IFERROR(INDEX(PCRent!C:D, MATCH(F892 &amp; " " &amp; G892, PCRent!A:A &amp; " " &amp; PCRent!B:B, 0)), "")</f>
        <v/>
      </c>
      <c r="P892" s="293"/>
      <c r="Q892" s="294" t="str">
        <f t="array" ref="Q892:R892">IFERROR(INDEX(MonitorRent!C:D, MATCH(F892 &amp; " " &amp; G892, MonitorRent!A:A &amp; " " &amp; MonitorRent!B:B, 0)), "")</f>
        <v>SN:6YQD7P3</v>
      </c>
      <c r="R892" s="295" t="s">
        <v>6995</v>
      </c>
    </row>
    <row r="893">
      <c r="A893" s="284">
        <v>890.0</v>
      </c>
      <c r="B893" s="285" t="s">
        <v>7924</v>
      </c>
      <c r="C893" s="285" t="s">
        <v>6918</v>
      </c>
      <c r="D893" s="286" t="s">
        <v>9739</v>
      </c>
      <c r="E893" s="285" t="s">
        <v>6921</v>
      </c>
      <c r="F893" s="285" t="s">
        <v>13477</v>
      </c>
      <c r="G893" s="285" t="s">
        <v>13478</v>
      </c>
      <c r="H893" s="285" t="s">
        <v>10318</v>
      </c>
      <c r="I893" s="285" t="s">
        <v>13479</v>
      </c>
      <c r="J893" s="285" t="s">
        <v>5224</v>
      </c>
      <c r="K893" s="285" t="s">
        <v>9649</v>
      </c>
      <c r="L893" s="285" t="s">
        <v>7913</v>
      </c>
      <c r="M893" s="285" t="s">
        <v>9383</v>
      </c>
      <c r="N893" s="287" t="str">
        <f>IFERROR(
    IF(
        AND(
            VLOOKUP(B893, 'รายชื่อพนักงานลาออกพ้นสภาพ'!B:I, 8, FALSE)&lt;&gt;"ยกเลิกลาออก",
            VLOOKUP(B893, 'รายชื่อพนักงานลาออกพ้นสภาพ'!B:I, 7, FALSE)&lt;=TODAY()
        ),
        "ลาออกแล้ว",
        ""
    ),
"")</f>
        <v/>
      </c>
      <c r="O893" s="292" t="str">
        <f t="array" ref="O893">IFERROR(INDEX(PCRent!C:D, MATCH(F893 &amp; " " &amp; G893, PCRent!A:A &amp; " " &amp; PCRent!B:B, 0)), "")</f>
        <v/>
      </c>
      <c r="P893" s="293"/>
      <c r="Q893" s="294" t="str">
        <f t="array" ref="Q893">IFERROR(INDEX(MonitorRent!C:D, MATCH(F893 &amp; " " &amp; G893, MonitorRent!A:A &amp; " " &amp; MonitorRent!B:B, 0)), "")</f>
        <v/>
      </c>
      <c r="R893" s="295"/>
    </row>
    <row r="894">
      <c r="A894" s="284">
        <v>891.0</v>
      </c>
      <c r="B894" s="285" t="s">
        <v>8854</v>
      </c>
      <c r="C894" s="285" t="s">
        <v>6918</v>
      </c>
      <c r="D894" s="286" t="s">
        <v>13480</v>
      </c>
      <c r="E894" s="285" t="s">
        <v>6921</v>
      </c>
      <c r="F894" s="285" t="s">
        <v>9548</v>
      </c>
      <c r="G894" s="285" t="s">
        <v>13481</v>
      </c>
      <c r="H894" s="285" t="s">
        <v>11155</v>
      </c>
      <c r="I894" s="285" t="s">
        <v>13482</v>
      </c>
      <c r="J894" s="285" t="s">
        <v>5224</v>
      </c>
      <c r="K894" s="285" t="s">
        <v>4756</v>
      </c>
      <c r="L894" s="285" t="s">
        <v>8850</v>
      </c>
      <c r="M894" s="285" t="s">
        <v>9383</v>
      </c>
      <c r="N894" s="287" t="str">
        <f>IFERROR(
    IF(
        AND(
            VLOOKUP(B894, 'รายชื่อพนักงานลาออกพ้นสภาพ'!B:I, 8, FALSE)&lt;&gt;"ยกเลิกลาออก",
            VLOOKUP(B894, 'รายชื่อพนักงานลาออกพ้นสภาพ'!B:I, 7, FALSE)&lt;=TODAY()
        ),
        "ลาออกแล้ว",
        ""
    ),
"")</f>
        <v/>
      </c>
      <c r="O894" s="292" t="str">
        <f t="array" ref="O894">IFERROR(INDEX(PCRent!C:D, MATCH(F894 &amp; " " &amp; G894, PCRent!A:A &amp; " " &amp; PCRent!B:B, 0)), "")</f>
        <v/>
      </c>
      <c r="P894" s="293"/>
      <c r="Q894" s="294" t="str">
        <f t="array" ref="Q894">IFERROR(INDEX(MonitorRent!C:D, MATCH(F894 &amp; " " &amp; G894, MonitorRent!A:A &amp; " " &amp; MonitorRent!B:B, 0)), "")</f>
        <v/>
      </c>
      <c r="R894" s="295"/>
    </row>
    <row r="895">
      <c r="A895" s="284">
        <v>892.0</v>
      </c>
      <c r="B895" s="285" t="s">
        <v>13483</v>
      </c>
      <c r="C895" s="285" t="s">
        <v>6918</v>
      </c>
      <c r="D895" s="286" t="s">
        <v>9688</v>
      </c>
      <c r="E895" s="285" t="s">
        <v>6933</v>
      </c>
      <c r="F895" s="285" t="s">
        <v>13484</v>
      </c>
      <c r="G895" s="285" t="s">
        <v>13485</v>
      </c>
      <c r="H895" s="285" t="s">
        <v>9538</v>
      </c>
      <c r="I895" s="296"/>
      <c r="J895" s="285" t="s">
        <v>5012</v>
      </c>
      <c r="K895" s="285" t="s">
        <v>5760</v>
      </c>
      <c r="L895" s="285" t="s">
        <v>3041</v>
      </c>
      <c r="M895" s="285" t="s">
        <v>9383</v>
      </c>
      <c r="N895" s="287" t="str">
        <f>IFERROR(
    IF(
        AND(
            VLOOKUP(B895, 'รายชื่อพนักงานลาออกพ้นสภาพ'!B:I, 8, FALSE)&lt;&gt;"ยกเลิกลาออก",
            VLOOKUP(B895, 'รายชื่อพนักงานลาออกพ้นสภาพ'!B:I, 7, FALSE)&lt;=TODAY()
        ),
        "ลาออกแล้ว",
        ""
    ),
"")</f>
        <v/>
      </c>
      <c r="O895" s="292" t="str">
        <f t="array" ref="O895">IFERROR(INDEX(PCRent!C:D, MATCH(F895 &amp; " " &amp; G895, PCRent!A:A &amp; " " &amp; PCRent!B:B, 0)), "")</f>
        <v/>
      </c>
      <c r="P895" s="293"/>
      <c r="Q895" s="294" t="str">
        <f t="array" ref="Q895">IFERROR(INDEX(MonitorRent!C:D, MATCH(F895 &amp; " " &amp; G895, MonitorRent!A:A &amp; " " &amp; MonitorRent!B:B, 0)), "")</f>
        <v/>
      </c>
      <c r="R895" s="295"/>
    </row>
    <row r="896">
      <c r="A896" s="284">
        <v>893.0</v>
      </c>
      <c r="B896" s="285" t="s">
        <v>13486</v>
      </c>
      <c r="C896" s="285" t="s">
        <v>6918</v>
      </c>
      <c r="D896" s="286" t="s">
        <v>11335</v>
      </c>
      <c r="E896" s="285" t="s">
        <v>7239</v>
      </c>
      <c r="F896" s="285" t="s">
        <v>13487</v>
      </c>
      <c r="G896" s="285" t="s">
        <v>13488</v>
      </c>
      <c r="H896" s="285" t="s">
        <v>11014</v>
      </c>
      <c r="I896" s="285" t="s">
        <v>13489</v>
      </c>
      <c r="J896" s="285" t="s">
        <v>5012</v>
      </c>
      <c r="K896" s="285" t="s">
        <v>9588</v>
      </c>
      <c r="L896" s="285" t="s">
        <v>13490</v>
      </c>
      <c r="M896" s="285" t="s">
        <v>9383</v>
      </c>
      <c r="N896" s="287" t="str">
        <f>IFERROR(
    IF(
        AND(
            VLOOKUP(B896, 'รายชื่อพนักงานลาออกพ้นสภาพ'!B:I, 8, FALSE)&lt;&gt;"ยกเลิกลาออก",
            VLOOKUP(B896, 'รายชื่อพนักงานลาออกพ้นสภาพ'!B:I, 7, FALSE)&lt;=TODAY()
        ),
        "ลาออกแล้ว",
        ""
    ),
"")</f>
        <v/>
      </c>
      <c r="O896" s="292" t="str">
        <f t="array" ref="O896">IFERROR(INDEX(PCRent!C:D, MATCH(F896 &amp; " " &amp; G896, PCRent!A:A &amp; " " &amp; PCRent!B:B, 0)), "")</f>
        <v/>
      </c>
      <c r="P896" s="293"/>
      <c r="Q896" s="294" t="str">
        <f t="array" ref="Q896">IFERROR(INDEX(MonitorRent!C:D, MATCH(F896 &amp; " " &amp; G896, MonitorRent!A:A &amp; " " &amp; MonitorRent!B:B, 0)), "")</f>
        <v/>
      </c>
      <c r="R896" s="295"/>
    </row>
    <row r="897">
      <c r="A897" s="284">
        <v>894.0</v>
      </c>
      <c r="B897" s="285" t="s">
        <v>13491</v>
      </c>
      <c r="C897" s="285" t="s">
        <v>6918</v>
      </c>
      <c r="D897" s="286" t="s">
        <v>13492</v>
      </c>
      <c r="E897" s="285" t="s">
        <v>6921</v>
      </c>
      <c r="F897" s="285" t="s">
        <v>13493</v>
      </c>
      <c r="G897" s="285" t="s">
        <v>13494</v>
      </c>
      <c r="H897" s="285" t="s">
        <v>13495</v>
      </c>
      <c r="I897" s="285" t="s">
        <v>13496</v>
      </c>
      <c r="J897" s="285" t="s">
        <v>5012</v>
      </c>
      <c r="K897" s="285" t="s">
        <v>9560</v>
      </c>
      <c r="L897" s="285" t="s">
        <v>3680</v>
      </c>
      <c r="M897" s="285" t="s">
        <v>9383</v>
      </c>
      <c r="N897" s="287" t="str">
        <f>IFERROR(
    IF(
        AND(
            VLOOKUP(B897, 'รายชื่อพนักงานลาออกพ้นสภาพ'!B:I, 8, FALSE)&lt;&gt;"ยกเลิกลาออก",
            VLOOKUP(B897, 'รายชื่อพนักงานลาออกพ้นสภาพ'!B:I, 7, FALSE)&lt;=TODAY()
        ),
        "ลาออกแล้ว",
        ""
    ),
"")</f>
        <v/>
      </c>
      <c r="O897" s="292" t="str">
        <f t="array" ref="O897:P897">IFERROR(INDEX(PCRent!C:D, MATCH(F897 &amp; " " &amp; G897, PCRent!A:A &amp; " " &amp; PCRent!B:B, 0)), "")</f>
        <v>SN:MP2AN2CR</v>
      </c>
      <c r="P897" s="293" t="s">
        <v>9562</v>
      </c>
      <c r="Q897" s="294" t="str">
        <f t="array" ref="Q897">IFERROR(INDEX(MonitorRent!C:D, MATCH(F897 &amp; " " &amp; G897, MonitorRent!A:A &amp; " " &amp; MonitorRent!B:B, 0)), "")</f>
        <v/>
      </c>
      <c r="R897" s="295"/>
    </row>
    <row r="898">
      <c r="A898" s="284">
        <v>895.0</v>
      </c>
      <c r="B898" s="285" t="s">
        <v>13497</v>
      </c>
      <c r="C898" s="285" t="s">
        <v>6918</v>
      </c>
      <c r="D898" s="286" t="s">
        <v>13319</v>
      </c>
      <c r="E898" s="285" t="s">
        <v>6933</v>
      </c>
      <c r="F898" s="285" t="s">
        <v>13498</v>
      </c>
      <c r="G898" s="285" t="s">
        <v>13499</v>
      </c>
      <c r="H898" s="285" t="s">
        <v>6925</v>
      </c>
      <c r="I898" s="285" t="s">
        <v>13500</v>
      </c>
      <c r="J898" s="285" t="s">
        <v>5012</v>
      </c>
      <c r="K898" s="285" t="s">
        <v>9521</v>
      </c>
      <c r="L898" s="285" t="s">
        <v>13501</v>
      </c>
      <c r="M898" s="285" t="s">
        <v>9383</v>
      </c>
      <c r="N898" s="287" t="str">
        <f>IFERROR(
    IF(
        AND(
            VLOOKUP(B898, 'รายชื่อพนักงานลาออกพ้นสภาพ'!B:I, 8, FALSE)&lt;&gt;"ยกเลิกลาออก",
            VLOOKUP(B898, 'รายชื่อพนักงานลาออกพ้นสภาพ'!B:I, 7, FALSE)&lt;=TODAY()
        ),
        "ลาออกแล้ว",
        ""
    ),
"")</f>
        <v/>
      </c>
      <c r="O898" s="292" t="str">
        <f t="array" ref="O898:P898">IFERROR(INDEX(PCRent!C:D, MATCH(F898 &amp; " " &amp; G898, PCRent!A:A &amp; " " &amp; PCRent!B:B, 0)), "")</f>
        <v>SN:BTYNPY3</v>
      </c>
      <c r="P898" s="293" t="s">
        <v>7048</v>
      </c>
      <c r="Q898" s="294" t="str">
        <f t="array" ref="Q898:R898">IFERROR(INDEX(MonitorRent!C:D, MATCH(F898 &amp; " " &amp; G898, MonitorRent!A:A &amp; " " &amp; MonitorRent!B:B, 0)), "")</f>
        <v>SN:DMZH8X3</v>
      </c>
      <c r="R898" s="295" t="s">
        <v>7050</v>
      </c>
    </row>
    <row r="899">
      <c r="A899" s="284">
        <v>896.0</v>
      </c>
      <c r="B899" s="285" t="s">
        <v>13502</v>
      </c>
      <c r="C899" s="285" t="s">
        <v>6918</v>
      </c>
      <c r="D899" s="286" t="s">
        <v>13503</v>
      </c>
      <c r="E899" s="285" t="s">
        <v>6933</v>
      </c>
      <c r="F899" s="285" t="s">
        <v>13504</v>
      </c>
      <c r="G899" s="285" t="s">
        <v>13505</v>
      </c>
      <c r="H899" s="285" t="s">
        <v>13506</v>
      </c>
      <c r="I899" s="285" t="s">
        <v>13507</v>
      </c>
      <c r="J899" s="285" t="s">
        <v>5012</v>
      </c>
      <c r="K899" s="285" t="s">
        <v>4835</v>
      </c>
      <c r="L899" s="285" t="s">
        <v>9540</v>
      </c>
      <c r="M899" s="285" t="s">
        <v>9383</v>
      </c>
      <c r="N899" s="287" t="str">
        <f>IFERROR(
    IF(
        AND(
            VLOOKUP(B899, 'รายชื่อพนักงานลาออกพ้นสภาพ'!B:I, 8, FALSE)&lt;&gt;"ยกเลิกลาออก",
            VLOOKUP(B899, 'รายชื่อพนักงานลาออกพ้นสภาพ'!B:I, 7, FALSE)&lt;=TODAY()
        ),
        "ลาออกแล้ว",
        ""
    ),
"")</f>
        <v/>
      </c>
      <c r="O899" s="292" t="str">
        <f t="array" ref="O899">IFERROR(INDEX(PCRent!C:D, MATCH(F899 &amp; " " &amp; G899, PCRent!A:A &amp; " " &amp; PCRent!B:B, 0)), "")</f>
        <v/>
      </c>
      <c r="P899" s="293"/>
      <c r="Q899" s="294" t="str">
        <f t="array" ref="Q899">IFERROR(INDEX(MonitorRent!C:D, MATCH(F899 &amp; " " &amp; G899, MonitorRent!A:A &amp; " " &amp; MonitorRent!B:B, 0)), "")</f>
        <v/>
      </c>
      <c r="R899" s="295"/>
    </row>
    <row r="900">
      <c r="A900" s="284">
        <v>897.0</v>
      </c>
      <c r="B900" s="285" t="s">
        <v>9017</v>
      </c>
      <c r="C900" s="285" t="s">
        <v>6918</v>
      </c>
      <c r="D900" s="286" t="s">
        <v>13092</v>
      </c>
      <c r="E900" s="285" t="s">
        <v>6933</v>
      </c>
      <c r="F900" s="285" t="s">
        <v>10481</v>
      </c>
      <c r="G900" s="285" t="s">
        <v>13508</v>
      </c>
      <c r="H900" s="285" t="s">
        <v>11294</v>
      </c>
      <c r="I900" s="285" t="s">
        <v>13509</v>
      </c>
      <c r="J900" s="285" t="s">
        <v>5224</v>
      </c>
      <c r="K900" s="285" t="s">
        <v>13510</v>
      </c>
      <c r="L900" s="285" t="s">
        <v>3041</v>
      </c>
      <c r="M900" s="285" t="s">
        <v>9383</v>
      </c>
      <c r="N900" s="287" t="str">
        <f>IFERROR(
    IF(
        AND(
            VLOOKUP(B900, 'รายชื่อพนักงานลาออกพ้นสภาพ'!B:I, 8, FALSE)&lt;&gt;"ยกเลิกลาออก",
            VLOOKUP(B900, 'รายชื่อพนักงานลาออกพ้นสภาพ'!B:I, 7, FALSE)&lt;=TODAY()
        ),
        "ลาออกแล้ว",
        ""
    ),
"")</f>
        <v/>
      </c>
      <c r="O900" s="292" t="str">
        <f t="array" ref="O900">IFERROR(INDEX(PCRent!C:D, MATCH(F900 &amp; " " &amp; G900, PCRent!A:A &amp; " " &amp; PCRent!B:B, 0)), "")</f>
        <v/>
      </c>
      <c r="P900" s="293"/>
      <c r="Q900" s="294" t="str">
        <f t="array" ref="Q900">IFERROR(INDEX(MonitorRent!C:D, MATCH(F900 &amp; " " &amp; G900, MonitorRent!A:A &amp; " " &amp; MonitorRent!B:B, 0)), "")</f>
        <v/>
      </c>
      <c r="R900" s="295"/>
    </row>
    <row r="901">
      <c r="A901" s="284">
        <v>898.0</v>
      </c>
      <c r="B901" s="285" t="s">
        <v>13511</v>
      </c>
      <c r="C901" s="285" t="s">
        <v>6918</v>
      </c>
      <c r="D901" s="286" t="s">
        <v>9415</v>
      </c>
      <c r="E901" s="285" t="s">
        <v>6933</v>
      </c>
      <c r="F901" s="285" t="s">
        <v>13512</v>
      </c>
      <c r="G901" s="285" t="s">
        <v>13513</v>
      </c>
      <c r="H901" s="285" t="s">
        <v>13514</v>
      </c>
      <c r="I901" s="285" t="s">
        <v>13515</v>
      </c>
      <c r="J901" s="285" t="s">
        <v>5012</v>
      </c>
      <c r="K901" s="285" t="s">
        <v>6322</v>
      </c>
      <c r="L901" s="285" t="s">
        <v>13516</v>
      </c>
      <c r="M901" s="285" t="s">
        <v>9383</v>
      </c>
      <c r="N901" s="287" t="str">
        <f>IFERROR(
    IF(
        AND(
            VLOOKUP(B901, 'รายชื่อพนักงานลาออกพ้นสภาพ'!B:I, 8, FALSE)&lt;&gt;"ยกเลิกลาออก",
            VLOOKUP(B901, 'รายชื่อพนักงานลาออกพ้นสภาพ'!B:I, 7, FALSE)&lt;=TODAY()
        ),
        "ลาออกแล้ว",
        ""
    ),
"")</f>
        <v/>
      </c>
      <c r="O901" s="292" t="str">
        <f t="array" ref="O901">IFERROR(INDEX(PCRent!C:D, MATCH(F901 &amp; " " &amp; G901, PCRent!A:A &amp; " " &amp; PCRent!B:B, 0)), "")</f>
        <v/>
      </c>
      <c r="P901" s="293"/>
      <c r="Q901" s="294" t="str">
        <f t="array" ref="Q901">IFERROR(INDEX(MonitorRent!C:D, MATCH(F901 &amp; " " &amp; G901, MonitorRent!A:A &amp; " " &amp; MonitorRent!B:B, 0)), "")</f>
        <v/>
      </c>
      <c r="R901" s="295"/>
    </row>
    <row r="902">
      <c r="A902" s="284">
        <v>899.0</v>
      </c>
      <c r="B902" s="285" t="s">
        <v>13517</v>
      </c>
      <c r="C902" s="285" t="s">
        <v>6918</v>
      </c>
      <c r="D902" s="286" t="s">
        <v>12196</v>
      </c>
      <c r="E902" s="285" t="s">
        <v>6921</v>
      </c>
      <c r="F902" s="285" t="s">
        <v>13518</v>
      </c>
      <c r="G902" s="285" t="s">
        <v>13519</v>
      </c>
      <c r="H902" s="285" t="s">
        <v>9669</v>
      </c>
      <c r="I902" s="285" t="s">
        <v>13520</v>
      </c>
      <c r="J902" s="285" t="s">
        <v>5012</v>
      </c>
      <c r="K902" s="285" t="s">
        <v>9703</v>
      </c>
      <c r="L902" s="285" t="s">
        <v>9711</v>
      </c>
      <c r="M902" s="285" t="s">
        <v>9383</v>
      </c>
      <c r="N902" s="287" t="str">
        <f>IFERROR(
    IF(
        AND(
            VLOOKUP(B902, 'รายชื่อพนักงานลาออกพ้นสภาพ'!B:I, 8, FALSE)&lt;&gt;"ยกเลิกลาออก",
            VLOOKUP(B902, 'รายชื่อพนักงานลาออกพ้นสภาพ'!B:I, 7, FALSE)&lt;=TODAY()
        ),
        "ลาออกแล้ว",
        ""
    ),
"")</f>
        <v/>
      </c>
      <c r="O902" s="292" t="str">
        <f t="array" ref="O902:P902">IFERROR(INDEX(PCRent!C:D, MATCH(F902 &amp; " " &amp; G902, PCRent!A:A &amp; " " &amp; PCRent!B:B, 0)), "")</f>
        <v>SN:MP2AN2CS</v>
      </c>
      <c r="P902" s="293" t="s">
        <v>9562</v>
      </c>
      <c r="Q902" s="294" t="str">
        <f t="array" ref="Q902">IFERROR(INDEX(MonitorRent!C:D, MATCH(F902 &amp; " " &amp; G902, MonitorRent!A:A &amp; " " &amp; MonitorRent!B:B, 0)), "")</f>
        <v/>
      </c>
      <c r="R902" s="295"/>
    </row>
    <row r="903">
      <c r="A903" s="284">
        <v>900.0</v>
      </c>
      <c r="B903" s="285" t="s">
        <v>13521</v>
      </c>
      <c r="C903" s="285" t="s">
        <v>6918</v>
      </c>
      <c r="D903" s="286" t="s">
        <v>13522</v>
      </c>
      <c r="E903" s="285" t="s">
        <v>6933</v>
      </c>
      <c r="F903" s="285" t="s">
        <v>10489</v>
      </c>
      <c r="G903" s="285" t="s">
        <v>13523</v>
      </c>
      <c r="H903" s="285" t="s">
        <v>13524</v>
      </c>
      <c r="I903" s="285" t="s">
        <v>13525</v>
      </c>
      <c r="J903" s="285" t="s">
        <v>5012</v>
      </c>
      <c r="K903" s="285" t="s">
        <v>12973</v>
      </c>
      <c r="L903" s="285" t="s">
        <v>3680</v>
      </c>
      <c r="M903" s="285" t="s">
        <v>9383</v>
      </c>
      <c r="N903" s="287" t="str">
        <f>IFERROR(
    IF(
        AND(
            VLOOKUP(B903, 'รายชื่อพนักงานลาออกพ้นสภาพ'!B:I, 8, FALSE)&lt;&gt;"ยกเลิกลาออก",
            VLOOKUP(B903, 'รายชื่อพนักงานลาออกพ้นสภาพ'!B:I, 7, FALSE)&lt;=TODAY()
        ),
        "ลาออกแล้ว",
        ""
    ),
"")</f>
        <v/>
      </c>
      <c r="O903" s="292" t="str">
        <f t="array" ref="O903:P903">IFERROR(INDEX(PCRent!C:D, MATCH(F903 &amp; " " &amp; G903, PCRent!A:A &amp; " " &amp; PCRent!B:B, 0)), "")</f>
        <v>SN:MP24V5Q2</v>
      </c>
      <c r="P903" s="293" t="s">
        <v>7149</v>
      </c>
      <c r="Q903" s="294" t="str">
        <f t="array" ref="Q903">IFERROR(INDEX(MonitorRent!C:D, MATCH(F903 &amp; " " &amp; G903, MonitorRent!A:A &amp; " " &amp; MonitorRent!B:B, 0)), "")</f>
        <v/>
      </c>
      <c r="R903" s="295"/>
    </row>
    <row r="904">
      <c r="A904" s="284">
        <v>901.0</v>
      </c>
      <c r="B904" s="285" t="s">
        <v>8153</v>
      </c>
      <c r="C904" s="285" t="s">
        <v>6918</v>
      </c>
      <c r="D904" s="286" t="s">
        <v>13526</v>
      </c>
      <c r="E904" s="285" t="s">
        <v>6933</v>
      </c>
      <c r="F904" s="285" t="s">
        <v>13527</v>
      </c>
      <c r="G904" s="285" t="s">
        <v>9498</v>
      </c>
      <c r="H904" s="285" t="s">
        <v>13528</v>
      </c>
      <c r="I904" s="285" t="s">
        <v>13529</v>
      </c>
      <c r="J904" s="285" t="s">
        <v>5224</v>
      </c>
      <c r="K904" s="285" t="s">
        <v>1392</v>
      </c>
      <c r="L904" s="285" t="s">
        <v>8155</v>
      </c>
      <c r="M904" s="285" t="s">
        <v>9383</v>
      </c>
      <c r="N904" s="287" t="str">
        <f>IFERROR(
    IF(
        AND(
            VLOOKUP(B904, 'รายชื่อพนักงานลาออกพ้นสภาพ'!B:I, 8, FALSE)&lt;&gt;"ยกเลิกลาออก",
            VLOOKUP(B904, 'รายชื่อพนักงานลาออกพ้นสภาพ'!B:I, 7, FALSE)&lt;=TODAY()
        ),
        "ลาออกแล้ว",
        ""
    ),
"")</f>
        <v/>
      </c>
      <c r="O904" s="292" t="str">
        <f t="array" ref="O904">IFERROR(INDEX(PCRent!C:D, MATCH(F904 &amp; " " &amp; G904, PCRent!A:A &amp; " " &amp; PCRent!B:B, 0)), "")</f>
        <v/>
      </c>
      <c r="P904" s="293"/>
      <c r="Q904" s="294" t="str">
        <f t="array" ref="Q904">IFERROR(INDEX(MonitorRent!C:D, MATCH(F904 &amp; " " &amp; G904, MonitorRent!A:A &amp; " " &amp; MonitorRent!B:B, 0)), "")</f>
        <v/>
      </c>
      <c r="R904" s="295"/>
    </row>
    <row r="905">
      <c r="A905" s="284">
        <v>902.0</v>
      </c>
      <c r="B905" s="285" t="s">
        <v>7041</v>
      </c>
      <c r="C905" s="285" t="s">
        <v>6918</v>
      </c>
      <c r="D905" s="286" t="s">
        <v>12906</v>
      </c>
      <c r="E905" s="285" t="s">
        <v>6933</v>
      </c>
      <c r="F905" s="285" t="s">
        <v>13530</v>
      </c>
      <c r="G905" s="285" t="s">
        <v>13531</v>
      </c>
      <c r="H905" s="285" t="s">
        <v>9380</v>
      </c>
      <c r="I905" s="285" t="s">
        <v>13532</v>
      </c>
      <c r="J905" s="285" t="s">
        <v>5224</v>
      </c>
      <c r="K905" s="285" t="s">
        <v>9784</v>
      </c>
      <c r="L905" s="285" t="s">
        <v>7015</v>
      </c>
      <c r="M905" s="285" t="s">
        <v>9383</v>
      </c>
      <c r="N905" s="287" t="str">
        <f>IFERROR(
    IF(
        AND(
            VLOOKUP(B905, 'รายชื่อพนักงานลาออกพ้นสภาพ'!B:I, 8, FALSE)&lt;&gt;"ยกเลิกลาออก",
            VLOOKUP(B905, 'รายชื่อพนักงานลาออกพ้นสภาพ'!B:I, 7, FALSE)&lt;=TODAY()
        ),
        "ลาออกแล้ว",
        ""
    ),
"")</f>
        <v/>
      </c>
      <c r="O905" s="292" t="str">
        <f t="array" ref="O905">IFERROR(INDEX(PCRent!C:D, MATCH(F905 &amp; " " &amp; G905, PCRent!A:A &amp; " " &amp; PCRent!B:B, 0)), "")</f>
        <v/>
      </c>
      <c r="P905" s="293"/>
      <c r="Q905" s="294" t="str">
        <f t="array" ref="Q905">IFERROR(INDEX(MonitorRent!C:D, MATCH(F905 &amp; " " &amp; G905, MonitorRent!A:A &amp; " " &amp; MonitorRent!B:B, 0)), "")</f>
        <v/>
      </c>
      <c r="R905" s="295"/>
    </row>
    <row r="906">
      <c r="A906" s="284">
        <v>903.0</v>
      </c>
      <c r="B906" s="285" t="s">
        <v>13533</v>
      </c>
      <c r="C906" s="285" t="s">
        <v>6918</v>
      </c>
      <c r="D906" s="286" t="s">
        <v>13534</v>
      </c>
      <c r="E906" s="285" t="s">
        <v>6921</v>
      </c>
      <c r="F906" s="285" t="s">
        <v>13535</v>
      </c>
      <c r="G906" s="285" t="s">
        <v>13536</v>
      </c>
      <c r="H906" s="285" t="s">
        <v>9659</v>
      </c>
      <c r="I906" s="285" t="s">
        <v>13537</v>
      </c>
      <c r="J906" s="285" t="s">
        <v>5012</v>
      </c>
      <c r="K906" s="285" t="s">
        <v>12973</v>
      </c>
      <c r="L906" s="285" t="s">
        <v>1027</v>
      </c>
      <c r="M906" s="285" t="s">
        <v>9383</v>
      </c>
      <c r="N906" s="287" t="str">
        <f>IFERROR(
    IF(
        AND(
            VLOOKUP(B906, 'รายชื่อพนักงานลาออกพ้นสภาพ'!B:I, 8, FALSE)&lt;&gt;"ยกเลิกลาออก",
            VLOOKUP(B906, 'รายชื่อพนักงานลาออกพ้นสภาพ'!B:I, 7, FALSE)&lt;=TODAY()
        ),
        "ลาออกแล้ว",
        ""
    ),
"")</f>
        <v/>
      </c>
      <c r="O906" s="292" t="str">
        <f t="array" ref="O906">IFERROR(INDEX(PCRent!C:D, MATCH(F906 &amp; " " &amp; G906, PCRent!A:A &amp; " " &amp; PCRent!B:B, 0)), "")</f>
        <v/>
      </c>
      <c r="P906" s="293"/>
      <c r="Q906" s="294" t="str">
        <f t="array" ref="Q906">IFERROR(INDEX(MonitorRent!C:D, MATCH(F906 &amp; " " &amp; G906, MonitorRent!A:A &amp; " " &amp; MonitorRent!B:B, 0)), "")</f>
        <v/>
      </c>
      <c r="R906" s="295"/>
    </row>
    <row r="907">
      <c r="A907" s="284">
        <v>904.0</v>
      </c>
      <c r="B907" s="285" t="s">
        <v>953</v>
      </c>
      <c r="C907" s="285" t="s">
        <v>6918</v>
      </c>
      <c r="D907" s="286" t="s">
        <v>13538</v>
      </c>
      <c r="E907" s="285" t="s">
        <v>6921</v>
      </c>
      <c r="F907" s="285" t="s">
        <v>13539</v>
      </c>
      <c r="G907" s="285" t="s">
        <v>13540</v>
      </c>
      <c r="H907" s="285" t="s">
        <v>13541</v>
      </c>
      <c r="I907" s="285" t="s">
        <v>956</v>
      </c>
      <c r="J907" s="285" t="s">
        <v>5012</v>
      </c>
      <c r="K907" s="285" t="s">
        <v>9703</v>
      </c>
      <c r="L907" s="285" t="s">
        <v>13057</v>
      </c>
      <c r="M907" s="285" t="s">
        <v>9383</v>
      </c>
      <c r="N907" s="287" t="str">
        <f>IFERROR(
    IF(
        AND(
            VLOOKUP(B907, 'รายชื่อพนักงานลาออกพ้นสภาพ'!B:I, 8, FALSE)&lt;&gt;"ยกเลิกลาออก",
            VLOOKUP(B907, 'รายชื่อพนักงานลาออกพ้นสภาพ'!B:I, 7, FALSE)&lt;=TODAY()
        ),
        "ลาออกแล้ว",
        ""
    ),
"")</f>
        <v>ลาออกแล้ว</v>
      </c>
      <c r="O907" s="292" t="str">
        <f t="array" ref="O907">IFERROR(INDEX(PCRent!C:D, MATCH(F907 &amp; " " &amp; G907, PCRent!A:A &amp; " " &amp; PCRent!B:B, 0)), "")</f>
        <v/>
      </c>
      <c r="P907" s="293"/>
      <c r="Q907" s="294" t="str">
        <f t="array" ref="Q907">IFERROR(INDEX(MonitorRent!C:D, MATCH(F907 &amp; " " &amp; G907, MonitorRent!A:A &amp; " " &amp; MonitorRent!B:B, 0)), "")</f>
        <v/>
      </c>
      <c r="R907" s="295"/>
    </row>
    <row r="908">
      <c r="A908" s="284">
        <v>905.0</v>
      </c>
      <c r="B908" s="285" t="s">
        <v>9029</v>
      </c>
      <c r="C908" s="285" t="s">
        <v>6918</v>
      </c>
      <c r="D908" s="286" t="s">
        <v>13176</v>
      </c>
      <c r="E908" s="285" t="s">
        <v>6921</v>
      </c>
      <c r="F908" s="285" t="s">
        <v>13542</v>
      </c>
      <c r="G908" s="285" t="s">
        <v>13543</v>
      </c>
      <c r="H908" s="285" t="s">
        <v>13198</v>
      </c>
      <c r="I908" s="285" t="s">
        <v>13544</v>
      </c>
      <c r="J908" s="285" t="s">
        <v>5224</v>
      </c>
      <c r="K908" s="285" t="s">
        <v>10549</v>
      </c>
      <c r="L908" s="285" t="s">
        <v>13545</v>
      </c>
      <c r="M908" s="285" t="s">
        <v>9383</v>
      </c>
      <c r="N908" s="287" t="str">
        <f>IFERROR(
    IF(
        AND(
            VLOOKUP(B908, 'รายชื่อพนักงานลาออกพ้นสภาพ'!B:I, 8, FALSE)&lt;&gt;"ยกเลิกลาออก",
            VLOOKUP(B908, 'รายชื่อพนักงานลาออกพ้นสภาพ'!B:I, 7, FALSE)&lt;=TODAY()
        ),
        "ลาออกแล้ว",
        ""
    ),
"")</f>
        <v/>
      </c>
      <c r="O908" s="292" t="str">
        <f t="array" ref="O908">IFERROR(INDEX(PCRent!C:D, MATCH(F908 &amp; " " &amp; G908, PCRent!A:A &amp; " " &amp; PCRent!B:B, 0)), "")</f>
        <v/>
      </c>
      <c r="P908" s="293"/>
      <c r="Q908" s="294" t="str">
        <f t="array" ref="Q908">IFERROR(INDEX(MonitorRent!C:D, MATCH(F908 &amp; " " &amp; G908, MonitorRent!A:A &amp; " " &amp; MonitorRent!B:B, 0)), "")</f>
        <v/>
      </c>
      <c r="R908" s="295"/>
    </row>
    <row r="909">
      <c r="A909" s="284">
        <v>906.0</v>
      </c>
      <c r="B909" s="285" t="s">
        <v>13546</v>
      </c>
      <c r="C909" s="285" t="s">
        <v>6918</v>
      </c>
      <c r="D909" s="286" t="s">
        <v>11205</v>
      </c>
      <c r="E909" s="285" t="s">
        <v>6933</v>
      </c>
      <c r="F909" s="285" t="s">
        <v>13547</v>
      </c>
      <c r="G909" s="285" t="s">
        <v>13548</v>
      </c>
      <c r="H909" s="285" t="s">
        <v>13549</v>
      </c>
      <c r="I909" s="285" t="s">
        <v>13550</v>
      </c>
      <c r="J909" s="285" t="s">
        <v>5224</v>
      </c>
      <c r="K909" s="285" t="s">
        <v>13155</v>
      </c>
      <c r="L909" s="285" t="s">
        <v>3041</v>
      </c>
      <c r="M909" s="285" t="s">
        <v>9383</v>
      </c>
      <c r="N909" s="287" t="str">
        <f>IFERROR(
    IF(
        AND(
            VLOOKUP(B909, 'รายชื่อพนักงานลาออกพ้นสภาพ'!B:I, 8, FALSE)&lt;&gt;"ยกเลิกลาออก",
            VLOOKUP(B909, 'รายชื่อพนักงานลาออกพ้นสภาพ'!B:I, 7, FALSE)&lt;=TODAY()
        ),
        "ลาออกแล้ว",
        ""
    ),
"")</f>
        <v/>
      </c>
      <c r="O909" s="292" t="str">
        <f t="array" ref="O909">IFERROR(INDEX(PCRent!C:D, MATCH(F909 &amp; " " &amp; G909, PCRent!A:A &amp; " " &amp; PCRent!B:B, 0)), "")</f>
        <v/>
      </c>
      <c r="P909" s="293"/>
      <c r="Q909" s="294" t="str">
        <f t="array" ref="Q909">IFERROR(INDEX(MonitorRent!C:D, MATCH(F909 &amp; " " &amp; G909, MonitorRent!A:A &amp; " " &amp; MonitorRent!B:B, 0)), "")</f>
        <v/>
      </c>
      <c r="R909" s="295"/>
    </row>
    <row r="910">
      <c r="A910" s="284">
        <v>907.0</v>
      </c>
      <c r="B910" s="285" t="s">
        <v>8949</v>
      </c>
      <c r="C910" s="285" t="s">
        <v>6918</v>
      </c>
      <c r="D910" s="286" t="s">
        <v>13551</v>
      </c>
      <c r="E910" s="285" t="s">
        <v>6921</v>
      </c>
      <c r="F910" s="285" t="s">
        <v>13552</v>
      </c>
      <c r="G910" s="285" t="s">
        <v>13553</v>
      </c>
      <c r="H910" s="285" t="s">
        <v>11585</v>
      </c>
      <c r="I910" s="285" t="s">
        <v>13554</v>
      </c>
      <c r="J910" s="285" t="s">
        <v>5224</v>
      </c>
      <c r="K910" s="285" t="s">
        <v>4818</v>
      </c>
      <c r="L910" s="285" t="s">
        <v>13555</v>
      </c>
      <c r="M910" s="285" t="s">
        <v>9383</v>
      </c>
      <c r="N910" s="287" t="str">
        <f>IFERROR(
    IF(
        AND(
            VLOOKUP(B910, 'รายชื่อพนักงานลาออกพ้นสภาพ'!B:I, 8, FALSE)&lt;&gt;"ยกเลิกลาออก",
            VLOOKUP(B910, 'รายชื่อพนักงานลาออกพ้นสภาพ'!B:I, 7, FALSE)&lt;=TODAY()
        ),
        "ลาออกแล้ว",
        ""
    ),
"")</f>
        <v/>
      </c>
      <c r="O910" s="292" t="str">
        <f t="array" ref="O910">IFERROR(INDEX(PCRent!C:D, MATCH(F910 &amp; " " &amp; G910, PCRent!A:A &amp; " " &amp; PCRent!B:B, 0)), "")</f>
        <v/>
      </c>
      <c r="P910" s="293"/>
      <c r="Q910" s="294" t="str">
        <f t="array" ref="Q910">IFERROR(INDEX(MonitorRent!C:D, MATCH(F910 &amp; " " &amp; G910, MonitorRent!A:A &amp; " " &amp; MonitorRent!B:B, 0)), "")</f>
        <v/>
      </c>
      <c r="R910" s="295"/>
    </row>
    <row r="911">
      <c r="A911" s="284">
        <v>908.0</v>
      </c>
      <c r="B911" s="285" t="s">
        <v>7696</v>
      </c>
      <c r="C911" s="285" t="s">
        <v>6918</v>
      </c>
      <c r="D911" s="286" t="s">
        <v>13556</v>
      </c>
      <c r="E911" s="285" t="s">
        <v>6933</v>
      </c>
      <c r="F911" s="285" t="s">
        <v>13557</v>
      </c>
      <c r="G911" s="285" t="s">
        <v>13558</v>
      </c>
      <c r="H911" s="285" t="s">
        <v>11374</v>
      </c>
      <c r="I911" s="285" t="s">
        <v>13559</v>
      </c>
      <c r="J911" s="285" t="s">
        <v>5224</v>
      </c>
      <c r="K911" s="285" t="s">
        <v>12717</v>
      </c>
      <c r="L911" s="285" t="s">
        <v>7688</v>
      </c>
      <c r="M911" s="285" t="s">
        <v>9383</v>
      </c>
      <c r="N911" s="287" t="str">
        <f>IFERROR(
    IF(
        AND(
            VLOOKUP(B911, 'รายชื่อพนักงานลาออกพ้นสภาพ'!B:I, 8, FALSE)&lt;&gt;"ยกเลิกลาออก",
            VLOOKUP(B911, 'รายชื่อพนักงานลาออกพ้นสภาพ'!B:I, 7, FALSE)&lt;=TODAY()
        ),
        "ลาออกแล้ว",
        ""
    ),
"")</f>
        <v/>
      </c>
      <c r="O911" s="292" t="str">
        <f t="array" ref="O911">IFERROR(INDEX(PCRent!C:D, MATCH(F911 &amp; " " &amp; G911, PCRent!A:A &amp; " " &amp; PCRent!B:B, 0)), "")</f>
        <v/>
      </c>
      <c r="P911" s="293"/>
      <c r="Q911" s="294" t="str">
        <f t="array" ref="Q911">IFERROR(INDEX(MonitorRent!C:D, MATCH(F911 &amp; " " &amp; G911, MonitorRent!A:A &amp; " " &amp; MonitorRent!B:B, 0)), "")</f>
        <v/>
      </c>
      <c r="R911" s="295"/>
    </row>
    <row r="912">
      <c r="A912" s="284">
        <v>909.0</v>
      </c>
      <c r="B912" s="285" t="s">
        <v>7169</v>
      </c>
      <c r="C912" s="285" t="s">
        <v>6918</v>
      </c>
      <c r="D912" s="286" t="s">
        <v>13560</v>
      </c>
      <c r="E912" s="285" t="s">
        <v>6921</v>
      </c>
      <c r="F912" s="285" t="s">
        <v>13561</v>
      </c>
      <c r="G912" s="285" t="s">
        <v>13562</v>
      </c>
      <c r="H912" s="285" t="s">
        <v>9669</v>
      </c>
      <c r="I912" s="285" t="s">
        <v>13563</v>
      </c>
      <c r="J912" s="285" t="s">
        <v>5224</v>
      </c>
      <c r="K912" s="285" t="s">
        <v>4818</v>
      </c>
      <c r="L912" s="285" t="s">
        <v>1602</v>
      </c>
      <c r="M912" s="285" t="s">
        <v>9383</v>
      </c>
      <c r="N912" s="287" t="str">
        <f>IFERROR(
    IF(
        AND(
            VLOOKUP(B912, 'รายชื่อพนักงานลาออกพ้นสภาพ'!B:I, 8, FALSE)&lt;&gt;"ยกเลิกลาออก",
            VLOOKUP(B912, 'รายชื่อพนักงานลาออกพ้นสภาพ'!B:I, 7, FALSE)&lt;=TODAY()
        ),
        "ลาออกแล้ว",
        ""
    ),
"")</f>
        <v/>
      </c>
      <c r="O912" s="292" t="str">
        <f t="array" ref="O912">IFERROR(INDEX(PCRent!C:D, MATCH(F912 &amp; " " &amp; G912, PCRent!A:A &amp; " " &amp; PCRent!B:B, 0)), "")</f>
        <v/>
      </c>
      <c r="P912" s="293"/>
      <c r="Q912" s="294" t="str">
        <f t="array" ref="Q912">IFERROR(INDEX(MonitorRent!C:D, MATCH(F912 &amp; " " &amp; G912, MonitorRent!A:A &amp; " " &amp; MonitorRent!B:B, 0)), "")</f>
        <v/>
      </c>
      <c r="R912" s="295"/>
    </row>
    <row r="913">
      <c r="A913" s="284">
        <v>910.0</v>
      </c>
      <c r="B913" s="285" t="s">
        <v>7137</v>
      </c>
      <c r="C913" s="285" t="s">
        <v>6918</v>
      </c>
      <c r="D913" s="286" t="s">
        <v>9594</v>
      </c>
      <c r="E913" s="285" t="s">
        <v>6933</v>
      </c>
      <c r="F913" s="285" t="s">
        <v>13564</v>
      </c>
      <c r="G913" s="285" t="s">
        <v>13565</v>
      </c>
      <c r="H913" s="285" t="s">
        <v>13566</v>
      </c>
      <c r="I913" s="285" t="s">
        <v>13567</v>
      </c>
      <c r="J913" s="285" t="s">
        <v>5224</v>
      </c>
      <c r="K913" s="285" t="s">
        <v>4835</v>
      </c>
      <c r="L913" s="285" t="s">
        <v>7133</v>
      </c>
      <c r="M913" s="285" t="s">
        <v>9383</v>
      </c>
      <c r="N913" s="287" t="str">
        <f>IFERROR(
    IF(
        AND(
            VLOOKUP(B913, 'รายชื่อพนักงานลาออกพ้นสภาพ'!B:I, 8, FALSE)&lt;&gt;"ยกเลิกลาออก",
            VLOOKUP(B913, 'รายชื่อพนักงานลาออกพ้นสภาพ'!B:I, 7, FALSE)&lt;=TODAY()
        ),
        "ลาออกแล้ว",
        ""
    ),
"")</f>
        <v/>
      </c>
      <c r="O913" s="292" t="str">
        <f t="array" ref="O913">IFERROR(INDEX(PCRent!C:D, MATCH(F913 &amp; " " &amp; G913, PCRent!A:A &amp; " " &amp; PCRent!B:B, 0)), "")</f>
        <v/>
      </c>
      <c r="P913" s="293"/>
      <c r="Q913" s="294" t="str">
        <f t="array" ref="Q913">IFERROR(INDEX(MonitorRent!C:D, MATCH(F913 &amp; " " &amp; G913, MonitorRent!A:A &amp; " " &amp; MonitorRent!B:B, 0)), "")</f>
        <v/>
      </c>
      <c r="R913" s="295"/>
    </row>
    <row r="914">
      <c r="A914" s="284">
        <v>911.0</v>
      </c>
      <c r="B914" s="285" t="s">
        <v>13568</v>
      </c>
      <c r="C914" s="285" t="s">
        <v>6918</v>
      </c>
      <c r="D914" s="286" t="s">
        <v>13569</v>
      </c>
      <c r="E914" s="285" t="s">
        <v>6933</v>
      </c>
      <c r="F914" s="285" t="s">
        <v>13570</v>
      </c>
      <c r="G914" s="285" t="s">
        <v>13571</v>
      </c>
      <c r="H914" s="285" t="s">
        <v>13572</v>
      </c>
      <c r="I914" s="285" t="s">
        <v>13573</v>
      </c>
      <c r="J914" s="285" t="s">
        <v>5224</v>
      </c>
      <c r="K914" s="285" t="s">
        <v>13574</v>
      </c>
      <c r="L914" s="285" t="s">
        <v>3041</v>
      </c>
      <c r="M914" s="285" t="s">
        <v>9383</v>
      </c>
      <c r="N914" s="287" t="str">
        <f>IFERROR(
    IF(
        AND(
            VLOOKUP(B914, 'รายชื่อพนักงานลาออกพ้นสภาพ'!B:I, 8, FALSE)&lt;&gt;"ยกเลิกลาออก",
            VLOOKUP(B914, 'รายชื่อพนักงานลาออกพ้นสภาพ'!B:I, 7, FALSE)&lt;=TODAY()
        ),
        "ลาออกแล้ว",
        ""
    ),
"")</f>
        <v/>
      </c>
      <c r="O914" s="292" t="str">
        <f t="array" ref="O914">IFERROR(INDEX(PCRent!C:D, MATCH(F914 &amp; " " &amp; G914, PCRent!A:A &amp; " " &amp; PCRent!B:B, 0)), "")</f>
        <v/>
      </c>
      <c r="P914" s="293"/>
      <c r="Q914" s="294" t="str">
        <f t="array" ref="Q914">IFERROR(INDEX(MonitorRent!C:D, MATCH(F914 &amp; " " &amp; G914, MonitorRent!A:A &amp; " " &amp; MonitorRent!B:B, 0)), "")</f>
        <v/>
      </c>
      <c r="R914" s="295"/>
    </row>
    <row r="915">
      <c r="A915" s="284">
        <v>912.0</v>
      </c>
      <c r="B915" s="285" t="s">
        <v>269</v>
      </c>
      <c r="C915" s="285" t="s">
        <v>6918</v>
      </c>
      <c r="D915" s="286" t="s">
        <v>11672</v>
      </c>
      <c r="E915" s="285" t="s">
        <v>6921</v>
      </c>
      <c r="F915" s="285" t="s">
        <v>13575</v>
      </c>
      <c r="G915" s="285" t="s">
        <v>10295</v>
      </c>
      <c r="H915" s="285" t="s">
        <v>13576</v>
      </c>
      <c r="I915" s="285" t="s">
        <v>273</v>
      </c>
      <c r="J915" s="285" t="s">
        <v>5224</v>
      </c>
      <c r="K915" s="285" t="s">
        <v>13577</v>
      </c>
      <c r="L915" s="285" t="s">
        <v>272</v>
      </c>
      <c r="M915" s="285" t="s">
        <v>9383</v>
      </c>
      <c r="N915" s="287" t="str">
        <f>IFERROR(
    IF(
        AND(
            VLOOKUP(B915, 'รายชื่อพนักงานลาออกพ้นสภาพ'!B:I, 8, FALSE)&lt;&gt;"ยกเลิกลาออก",
            VLOOKUP(B915, 'รายชื่อพนักงานลาออกพ้นสภาพ'!B:I, 7, FALSE)&lt;=TODAY()
        ),
        "ลาออกแล้ว",
        ""
    ),
"")</f>
        <v>ลาออกแล้ว</v>
      </c>
      <c r="O915" s="292" t="str">
        <f t="array" ref="O915">IFERROR(INDEX(PCRent!C:D, MATCH(F915 &amp; " " &amp; G915, PCRent!A:A &amp; " " &amp; PCRent!B:B, 0)), "")</f>
        <v/>
      </c>
      <c r="P915" s="293"/>
      <c r="Q915" s="294" t="str">
        <f t="array" ref="Q915">IFERROR(INDEX(MonitorRent!C:D, MATCH(F915 &amp; " " &amp; G915, MonitorRent!A:A &amp; " " &amp; MonitorRent!B:B, 0)), "")</f>
        <v/>
      </c>
      <c r="R915" s="295"/>
    </row>
    <row r="916">
      <c r="A916" s="284">
        <v>913.0</v>
      </c>
      <c r="B916" s="285" t="s">
        <v>13578</v>
      </c>
      <c r="C916" s="285" t="s">
        <v>6918</v>
      </c>
      <c r="D916" s="286" t="s">
        <v>13579</v>
      </c>
      <c r="E916" s="285" t="s">
        <v>6933</v>
      </c>
      <c r="F916" s="285" t="s">
        <v>13580</v>
      </c>
      <c r="G916" s="285" t="s">
        <v>13581</v>
      </c>
      <c r="H916" s="285" t="s">
        <v>12146</v>
      </c>
      <c r="I916" s="285" t="s">
        <v>13582</v>
      </c>
      <c r="J916" s="285" t="s">
        <v>5012</v>
      </c>
      <c r="K916" s="285" t="s">
        <v>9626</v>
      </c>
      <c r="L916" s="285" t="s">
        <v>13501</v>
      </c>
      <c r="M916" s="285" t="s">
        <v>9383</v>
      </c>
      <c r="N916" s="287" t="str">
        <f>IFERROR(
    IF(
        AND(
            VLOOKUP(B916, 'รายชื่อพนักงานลาออกพ้นสภาพ'!B:I, 8, FALSE)&lt;&gt;"ยกเลิกลาออก",
            VLOOKUP(B916, 'รายชื่อพนักงานลาออกพ้นสภาพ'!B:I, 7, FALSE)&lt;=TODAY()
        ),
        "ลาออกแล้ว",
        ""
    ),
"")</f>
        <v/>
      </c>
      <c r="O916" s="292" t="str">
        <f t="array" ref="O916">IFERROR(INDEX(PCRent!C:D, MATCH(F916 &amp; " " &amp; G916, PCRent!A:A &amp; " " &amp; PCRent!B:B, 0)), "")</f>
        <v/>
      </c>
      <c r="P916" s="293"/>
      <c r="Q916" s="294" t="str">
        <f t="array" ref="Q916">IFERROR(INDEX(MonitorRent!C:D, MATCH(F916 &amp; " " &amp; G916, MonitorRent!A:A &amp; " " &amp; MonitorRent!B:B, 0)), "")</f>
        <v/>
      </c>
      <c r="R916" s="295"/>
    </row>
    <row r="917">
      <c r="A917" s="284">
        <v>914.0</v>
      </c>
      <c r="B917" s="285" t="s">
        <v>8643</v>
      </c>
      <c r="C917" s="285" t="s">
        <v>6918</v>
      </c>
      <c r="D917" s="286" t="s">
        <v>10613</v>
      </c>
      <c r="E917" s="285" t="s">
        <v>6921</v>
      </c>
      <c r="F917" s="285" t="s">
        <v>13583</v>
      </c>
      <c r="G917" s="285" t="s">
        <v>13584</v>
      </c>
      <c r="H917" s="285" t="s">
        <v>13566</v>
      </c>
      <c r="I917" s="285" t="s">
        <v>13585</v>
      </c>
      <c r="J917" s="285" t="s">
        <v>5224</v>
      </c>
      <c r="K917" s="285" t="s">
        <v>2300</v>
      </c>
      <c r="L917" s="285" t="s">
        <v>5805</v>
      </c>
      <c r="M917" s="285" t="s">
        <v>9383</v>
      </c>
      <c r="N917" s="287" t="str">
        <f>IFERROR(
    IF(
        AND(
            VLOOKUP(B917, 'รายชื่อพนักงานลาออกพ้นสภาพ'!B:I, 8, FALSE)&lt;&gt;"ยกเลิกลาออก",
            VLOOKUP(B917, 'รายชื่อพนักงานลาออกพ้นสภาพ'!B:I, 7, FALSE)&lt;=TODAY()
        ),
        "ลาออกแล้ว",
        ""
    ),
"")</f>
        <v/>
      </c>
      <c r="O917" s="292" t="str">
        <f t="array" ref="O917:P917">IFERROR(INDEX(PCRent!C:D, MATCH(F917 &amp; " " &amp; G917, PCRent!A:A &amp; " " &amp; PCRent!B:B, 0)), "")</f>
        <v>SN:CVYNPY3</v>
      </c>
      <c r="P917" s="293" t="s">
        <v>7048</v>
      </c>
      <c r="Q917" s="294" t="str">
        <f t="array" ref="Q917:R917">IFERROR(INDEX(MonitorRent!C:D, MATCH(F917 &amp; " " &amp; G917, MonitorRent!A:A &amp; " " &amp; MonitorRent!B:B, 0)), "")</f>
        <v>SN:DMVH8X3</v>
      </c>
      <c r="R917" s="295" t="s">
        <v>7050</v>
      </c>
    </row>
    <row r="918">
      <c r="A918" s="284">
        <v>915.0</v>
      </c>
      <c r="B918" s="285" t="s">
        <v>7113</v>
      </c>
      <c r="C918" s="285" t="s">
        <v>6918</v>
      </c>
      <c r="D918" s="286" t="s">
        <v>13586</v>
      </c>
      <c r="E918" s="285" t="s">
        <v>6933</v>
      </c>
      <c r="F918" s="285" t="s">
        <v>13587</v>
      </c>
      <c r="G918" s="285" t="s">
        <v>13588</v>
      </c>
      <c r="H918" s="285" t="s">
        <v>9579</v>
      </c>
      <c r="I918" s="285" t="s">
        <v>13589</v>
      </c>
      <c r="J918" s="285" t="s">
        <v>5224</v>
      </c>
      <c r="K918" s="285" t="s">
        <v>4756</v>
      </c>
      <c r="L918" s="285" t="s">
        <v>13187</v>
      </c>
      <c r="M918" s="285" t="s">
        <v>9383</v>
      </c>
      <c r="N918" s="287" t="str">
        <f>IFERROR(
    IF(
        AND(
            VLOOKUP(B918, 'รายชื่อพนักงานลาออกพ้นสภาพ'!B:I, 8, FALSE)&lt;&gt;"ยกเลิกลาออก",
            VLOOKUP(B918, 'รายชื่อพนักงานลาออกพ้นสภาพ'!B:I, 7, FALSE)&lt;=TODAY()
        ),
        "ลาออกแล้ว",
        ""
    ),
"")</f>
        <v/>
      </c>
      <c r="O918" s="292" t="str">
        <f t="array" ref="O918:P918">IFERROR(INDEX(PCRent!C:D, MATCH(F918 &amp; " " &amp; G918, PCRent!A:A &amp; " " &amp; PCRent!B:B, 0)), "")</f>
        <v>SN:MP2EJ7K5</v>
      </c>
      <c r="P918" s="293" t="s">
        <v>6993</v>
      </c>
      <c r="Q918" s="294" t="str">
        <f t="array" ref="Q918">IFERROR(INDEX(MonitorRent!C:D, MATCH(F918 &amp; " " &amp; G918, MonitorRent!A:A &amp; " " &amp; MonitorRent!B:B, 0)), "")</f>
        <v/>
      </c>
      <c r="R918" s="295"/>
    </row>
    <row r="919">
      <c r="A919" s="284">
        <v>916.0</v>
      </c>
      <c r="B919" s="285" t="s">
        <v>13590</v>
      </c>
      <c r="C919" s="285" t="s">
        <v>6918</v>
      </c>
      <c r="D919" s="286" t="s">
        <v>13591</v>
      </c>
      <c r="E919" s="285" t="s">
        <v>6933</v>
      </c>
      <c r="F919" s="285" t="s">
        <v>13587</v>
      </c>
      <c r="G919" s="285" t="s">
        <v>13588</v>
      </c>
      <c r="H919" s="285" t="s">
        <v>13592</v>
      </c>
      <c r="I919" s="285" t="s">
        <v>13593</v>
      </c>
      <c r="J919" s="296"/>
      <c r="K919" s="285" t="s">
        <v>1392</v>
      </c>
      <c r="L919" s="285" t="s">
        <v>13594</v>
      </c>
      <c r="M919" s="285" t="s">
        <v>9391</v>
      </c>
      <c r="N919" s="287" t="str">
        <f>IFERROR(
    IF(
        AND(
            VLOOKUP(B919, 'รายชื่อพนักงานลาออกพ้นสภาพ'!B:I, 8, FALSE)&lt;&gt;"ยกเลิกลาออก",
            VLOOKUP(B919, 'รายชื่อพนักงานลาออกพ้นสภาพ'!B:I, 7, FALSE)&lt;=TODAY()
        ),
        "ลาออกแล้ว",
        ""
    ),
"")</f>
        <v/>
      </c>
      <c r="O919" s="292" t="str">
        <f t="array" ref="O919:P919">IFERROR(INDEX(PCRent!C:D, MATCH(F919 &amp; " " &amp; G919, PCRent!A:A &amp; " " &amp; PCRent!B:B, 0)), "")</f>
        <v>SN:MP2EJ7K5</v>
      </c>
      <c r="P919" s="293" t="s">
        <v>6993</v>
      </c>
      <c r="Q919" s="294" t="str">
        <f t="array" ref="Q919">IFERROR(INDEX(MonitorRent!C:D, MATCH(F919 &amp; " " &amp; G919, MonitorRent!A:A &amp; " " &amp; MonitorRent!B:B, 0)), "")</f>
        <v/>
      </c>
      <c r="R919" s="295"/>
    </row>
    <row r="920">
      <c r="A920" s="284">
        <v>917.0</v>
      </c>
      <c r="B920" s="285" t="s">
        <v>13595</v>
      </c>
      <c r="C920" s="285" t="s">
        <v>6918</v>
      </c>
      <c r="D920" s="286" t="s">
        <v>13596</v>
      </c>
      <c r="E920" s="285" t="s">
        <v>6933</v>
      </c>
      <c r="F920" s="285" t="s">
        <v>13587</v>
      </c>
      <c r="G920" s="285" t="s">
        <v>13588</v>
      </c>
      <c r="H920" s="285" t="s">
        <v>13592</v>
      </c>
      <c r="I920" s="285" t="s">
        <v>13593</v>
      </c>
      <c r="J920" s="297"/>
      <c r="K920" s="285" t="s">
        <v>1392</v>
      </c>
      <c r="L920" s="285" t="s">
        <v>13594</v>
      </c>
      <c r="M920" s="285" t="s">
        <v>9391</v>
      </c>
      <c r="N920" s="287" t="str">
        <f>IFERROR(
    IF(
        AND(
            VLOOKUP(B920, 'รายชื่อพนักงานลาออกพ้นสภาพ'!B:I, 8, FALSE)&lt;&gt;"ยกเลิกลาออก",
            VLOOKUP(B920, 'รายชื่อพนักงานลาออกพ้นสภาพ'!B:I, 7, FALSE)&lt;=TODAY()
        ),
        "ลาออกแล้ว",
        ""
    ),
"")</f>
        <v/>
      </c>
      <c r="O920" s="292" t="str">
        <f t="array" ref="O920:P920">IFERROR(INDEX(PCRent!C:D, MATCH(F920 &amp; " " &amp; G920, PCRent!A:A &amp; " " &amp; PCRent!B:B, 0)), "")</f>
        <v>SN:MP2EJ7K5</v>
      </c>
      <c r="P920" s="293" t="s">
        <v>6993</v>
      </c>
      <c r="Q920" s="294" t="str">
        <f t="array" ref="Q920">IFERROR(INDEX(MonitorRent!C:D, MATCH(F920 &amp; " " &amp; G920, MonitorRent!A:A &amp; " " &amp; MonitorRent!B:B, 0)), "")</f>
        <v/>
      </c>
      <c r="R920" s="295"/>
    </row>
    <row r="921">
      <c r="A921" s="284">
        <v>918.0</v>
      </c>
      <c r="B921" s="285" t="s">
        <v>7437</v>
      </c>
      <c r="C921" s="285" t="s">
        <v>6918</v>
      </c>
      <c r="D921" s="286" t="s">
        <v>10233</v>
      </c>
      <c r="E921" s="285" t="s">
        <v>6933</v>
      </c>
      <c r="F921" s="285" t="s">
        <v>13597</v>
      </c>
      <c r="G921" s="285" t="s">
        <v>9764</v>
      </c>
      <c r="H921" s="285" t="s">
        <v>13598</v>
      </c>
      <c r="I921" s="285" t="s">
        <v>13599</v>
      </c>
      <c r="J921" s="285" t="s">
        <v>5224</v>
      </c>
      <c r="K921" s="285" t="s">
        <v>9930</v>
      </c>
      <c r="L921" s="285" t="s">
        <v>13600</v>
      </c>
      <c r="M921" s="285" t="s">
        <v>9383</v>
      </c>
      <c r="N921" s="287" t="str">
        <f>IFERROR(
    IF(
        AND(
            VLOOKUP(B921, 'รายชื่อพนักงานลาออกพ้นสภาพ'!B:I, 8, FALSE)&lt;&gt;"ยกเลิกลาออก",
            VLOOKUP(B921, 'รายชื่อพนักงานลาออกพ้นสภาพ'!B:I, 7, FALSE)&lt;=TODAY()
        ),
        "ลาออกแล้ว",
        ""
    ),
"")</f>
        <v/>
      </c>
      <c r="O921" s="292" t="str">
        <f t="array" ref="O921">IFERROR(INDEX(PCRent!C:D, MATCH(F921 &amp; " " &amp; G921, PCRent!A:A &amp; " " &amp; PCRent!B:B, 0)), "")</f>
        <v/>
      </c>
      <c r="P921" s="293"/>
      <c r="Q921" s="294" t="str">
        <f t="array" ref="Q921">IFERROR(INDEX(MonitorRent!C:D, MATCH(F921 &amp; " " &amp; G921, MonitorRent!A:A &amp; " " &amp; MonitorRent!B:B, 0)), "")</f>
        <v/>
      </c>
      <c r="R921" s="295"/>
    </row>
    <row r="922">
      <c r="A922" s="284">
        <v>919.0</v>
      </c>
      <c r="B922" s="285" t="s">
        <v>331</v>
      </c>
      <c r="C922" s="285" t="s">
        <v>6918</v>
      </c>
      <c r="D922" s="286" t="s">
        <v>13601</v>
      </c>
      <c r="E922" s="285" t="s">
        <v>6921</v>
      </c>
      <c r="F922" s="285" t="s">
        <v>13602</v>
      </c>
      <c r="G922" s="285" t="s">
        <v>13603</v>
      </c>
      <c r="H922" s="285" t="s">
        <v>13604</v>
      </c>
      <c r="I922" s="285" t="s">
        <v>335</v>
      </c>
      <c r="J922" s="285" t="s">
        <v>5012</v>
      </c>
      <c r="K922" s="285" t="s">
        <v>12973</v>
      </c>
      <c r="L922" s="285" t="s">
        <v>13605</v>
      </c>
      <c r="M922" s="285" t="s">
        <v>9383</v>
      </c>
      <c r="N922" s="287" t="str">
        <f>IFERROR(
    IF(
        AND(
            VLOOKUP(B922, 'รายชื่อพนักงานลาออกพ้นสภาพ'!B:I, 8, FALSE)&lt;&gt;"ยกเลิกลาออก",
            VLOOKUP(B922, 'รายชื่อพนักงานลาออกพ้นสภาพ'!B:I, 7, FALSE)&lt;=TODAY()
        ),
        "ลาออกแล้ว",
        ""
    ),
"")</f>
        <v>ลาออกแล้ว</v>
      </c>
      <c r="O922" s="292" t="str">
        <f t="array" ref="O922:P922">IFERROR(INDEX(PCRent!C:D, MATCH(F922 &amp; " " &amp; G922, PCRent!A:A &amp; " " &amp; PCRent!B:B, 0)), "")</f>
        <v>SN:MP2DGHYQ</v>
      </c>
      <c r="P922" s="293" t="s">
        <v>9562</v>
      </c>
      <c r="Q922" s="294" t="str">
        <f t="array" ref="Q922">IFERROR(INDEX(MonitorRent!C:D, MATCH(F922 &amp; " " &amp; G922, MonitorRent!A:A &amp; " " &amp; MonitorRent!B:B, 0)), "")</f>
        <v/>
      </c>
      <c r="R922" s="295"/>
    </row>
    <row r="923">
      <c r="A923" s="284">
        <v>920.0</v>
      </c>
      <c r="B923" s="285" t="s">
        <v>7096</v>
      </c>
      <c r="C923" s="285" t="s">
        <v>6918</v>
      </c>
      <c r="D923" s="286" t="s">
        <v>13606</v>
      </c>
      <c r="E923" s="285" t="s">
        <v>7097</v>
      </c>
      <c r="F923" s="285" t="s">
        <v>13607</v>
      </c>
      <c r="G923" s="285" t="s">
        <v>13608</v>
      </c>
      <c r="H923" s="285" t="s">
        <v>13609</v>
      </c>
      <c r="I923" s="285" t="s">
        <v>13610</v>
      </c>
      <c r="J923" s="285" t="s">
        <v>5224</v>
      </c>
      <c r="K923" s="285" t="s">
        <v>10056</v>
      </c>
      <c r="L923" s="285" t="s">
        <v>9553</v>
      </c>
      <c r="M923" s="285" t="s">
        <v>9383</v>
      </c>
      <c r="N923" s="287" t="str">
        <f>IFERROR(
    IF(
        AND(
            VLOOKUP(B923, 'รายชื่อพนักงานลาออกพ้นสภาพ'!B:I, 8, FALSE)&lt;&gt;"ยกเลิกลาออก",
            VLOOKUP(B923, 'รายชื่อพนักงานลาออกพ้นสภาพ'!B:I, 7, FALSE)&lt;=TODAY()
        ),
        "ลาออกแล้ว",
        ""
    ),
"")</f>
        <v/>
      </c>
      <c r="O923" s="292" t="str">
        <f t="array" ref="O923">IFERROR(INDEX(PCRent!C:D, MATCH(F923 &amp; " " &amp; G923, PCRent!A:A &amp; " " &amp; PCRent!B:B, 0)), "")</f>
        <v/>
      </c>
      <c r="P923" s="293"/>
      <c r="Q923" s="294" t="str">
        <f t="array" ref="Q923">IFERROR(INDEX(MonitorRent!C:D, MATCH(F923 &amp; " " &amp; G923, MonitorRent!A:A &amp; " " &amp; MonitorRent!B:B, 0)), "")</f>
        <v/>
      </c>
      <c r="R923" s="295"/>
    </row>
    <row r="924">
      <c r="A924" s="284">
        <v>921.0</v>
      </c>
      <c r="B924" s="285" t="s">
        <v>13611</v>
      </c>
      <c r="C924" s="285" t="s">
        <v>6918</v>
      </c>
      <c r="D924" s="286" t="s">
        <v>13612</v>
      </c>
      <c r="E924" s="285" t="s">
        <v>6933</v>
      </c>
      <c r="F924" s="285" t="s">
        <v>13613</v>
      </c>
      <c r="G924" s="285" t="s">
        <v>13614</v>
      </c>
      <c r="H924" s="285" t="s">
        <v>9579</v>
      </c>
      <c r="I924" s="285" t="s">
        <v>13615</v>
      </c>
      <c r="J924" s="285" t="s">
        <v>5012</v>
      </c>
      <c r="K924" s="285" t="s">
        <v>9521</v>
      </c>
      <c r="L924" s="285" t="s">
        <v>13273</v>
      </c>
      <c r="M924" s="285" t="s">
        <v>9383</v>
      </c>
      <c r="N924" s="287" t="str">
        <f>IFERROR(
    IF(
        AND(
            VLOOKUP(B924, 'รายชื่อพนักงานลาออกพ้นสภาพ'!B:I, 8, FALSE)&lt;&gt;"ยกเลิกลาออก",
            VLOOKUP(B924, 'รายชื่อพนักงานลาออกพ้นสภาพ'!B:I, 7, FALSE)&lt;=TODAY()
        ),
        "ลาออกแล้ว",
        ""
    ),
"")</f>
        <v/>
      </c>
      <c r="O924" s="292" t="str">
        <f t="array" ref="O924:P924">IFERROR(INDEX(PCRent!C:D, MATCH(F924 &amp; " " &amp; G924, PCRent!A:A &amp; " " &amp; PCRent!B:B, 0)), "")</f>
        <v>SN:MP2E2VW4</v>
      </c>
      <c r="P924" s="293" t="s">
        <v>6993</v>
      </c>
      <c r="Q924" s="294" t="str">
        <f t="array" ref="Q924">IFERROR(INDEX(MonitorRent!C:D, MATCH(F924 &amp; " " &amp; G924, MonitorRent!A:A &amp; " " &amp; MonitorRent!B:B, 0)), "")</f>
        <v/>
      </c>
      <c r="R924" s="295"/>
    </row>
    <row r="925">
      <c r="A925" s="284">
        <v>922.0</v>
      </c>
      <c r="B925" s="285" t="s">
        <v>8653</v>
      </c>
      <c r="C925" s="285" t="s">
        <v>6918</v>
      </c>
      <c r="D925" s="286" t="s">
        <v>9504</v>
      </c>
      <c r="E925" s="285" t="s">
        <v>6921</v>
      </c>
      <c r="F925" s="285" t="s">
        <v>13616</v>
      </c>
      <c r="G925" s="285" t="s">
        <v>13617</v>
      </c>
      <c r="H925" s="285" t="s">
        <v>13618</v>
      </c>
      <c r="I925" s="285" t="s">
        <v>13619</v>
      </c>
      <c r="J925" s="285" t="s">
        <v>5224</v>
      </c>
      <c r="K925" s="285" t="s">
        <v>13620</v>
      </c>
      <c r="L925" s="285" t="s">
        <v>8655</v>
      </c>
      <c r="M925" s="285" t="s">
        <v>9383</v>
      </c>
      <c r="N925" s="287" t="str">
        <f>IFERROR(
    IF(
        AND(
            VLOOKUP(B925, 'รายชื่อพนักงานลาออกพ้นสภาพ'!B:I, 8, FALSE)&lt;&gt;"ยกเลิกลาออก",
            VLOOKUP(B925, 'รายชื่อพนักงานลาออกพ้นสภาพ'!B:I, 7, FALSE)&lt;=TODAY()
        ),
        "ลาออกแล้ว",
        ""
    ),
"")</f>
        <v/>
      </c>
      <c r="O925" s="292" t="str">
        <f t="array" ref="O925:P925">IFERROR(INDEX(PCRent!C:D, MATCH(F925 &amp; " " &amp; G925, PCRent!A:A &amp; " " &amp; PCRent!B:B, 0)), "")</f>
        <v>SN:MSAF83N4S0102947</v>
      </c>
      <c r="P925" s="293" t="s">
        <v>13621</v>
      </c>
      <c r="Q925" s="294" t="str">
        <f t="array" ref="Q925">IFERROR(INDEX(MonitorRent!C:D, MATCH(F925 &amp; " " &amp; G925, MonitorRent!A:A &amp; " " &amp; MonitorRent!B:B, 0)), "")</f>
        <v/>
      </c>
      <c r="R925" s="295"/>
    </row>
    <row r="926">
      <c r="A926" s="284">
        <v>923.0</v>
      </c>
      <c r="B926" s="285" t="s">
        <v>13622</v>
      </c>
      <c r="C926" s="285" t="s">
        <v>6918</v>
      </c>
      <c r="D926" s="286" t="s">
        <v>9489</v>
      </c>
      <c r="E926" s="285" t="s">
        <v>6933</v>
      </c>
      <c r="F926" s="285" t="s">
        <v>13623</v>
      </c>
      <c r="G926" s="285" t="s">
        <v>13624</v>
      </c>
      <c r="H926" s="285" t="s">
        <v>13625</v>
      </c>
      <c r="I926" s="285" t="s">
        <v>13626</v>
      </c>
      <c r="J926" s="285" t="s">
        <v>5224</v>
      </c>
      <c r="K926" s="285" t="s">
        <v>13155</v>
      </c>
      <c r="L926" s="285" t="s">
        <v>3041</v>
      </c>
      <c r="M926" s="285" t="s">
        <v>9383</v>
      </c>
      <c r="N926" s="287" t="str">
        <f>IFERROR(
    IF(
        AND(
            VLOOKUP(B926, 'รายชื่อพนักงานลาออกพ้นสภาพ'!B:I, 8, FALSE)&lt;&gt;"ยกเลิกลาออก",
            VLOOKUP(B926, 'รายชื่อพนักงานลาออกพ้นสภาพ'!B:I, 7, FALSE)&lt;=TODAY()
        ),
        "ลาออกแล้ว",
        ""
    ),
"")</f>
        <v/>
      </c>
      <c r="O926" s="292" t="str">
        <f t="array" ref="O926">IFERROR(INDEX(PCRent!C:D, MATCH(F926 &amp; " " &amp; G926, PCRent!A:A &amp; " " &amp; PCRent!B:B, 0)), "")</f>
        <v/>
      </c>
      <c r="P926" s="293"/>
      <c r="Q926" s="294" t="str">
        <f t="array" ref="Q926">IFERROR(INDEX(MonitorRent!C:D, MATCH(F926 &amp; " " &amp; G926, MonitorRent!A:A &amp; " " &amp; MonitorRent!B:B, 0)), "")</f>
        <v/>
      </c>
      <c r="R926" s="295"/>
    </row>
    <row r="927">
      <c r="A927" s="284">
        <v>924.0</v>
      </c>
      <c r="B927" s="285" t="s">
        <v>13627</v>
      </c>
      <c r="C927" s="285" t="s">
        <v>6918</v>
      </c>
      <c r="D927" s="286" t="s">
        <v>13628</v>
      </c>
      <c r="E927" s="285" t="s">
        <v>6921</v>
      </c>
      <c r="F927" s="285" t="s">
        <v>13629</v>
      </c>
      <c r="G927" s="285" t="s">
        <v>13630</v>
      </c>
      <c r="H927" s="285" t="s">
        <v>11788</v>
      </c>
      <c r="I927" s="285" t="s">
        <v>13631</v>
      </c>
      <c r="J927" s="285" t="s">
        <v>5012</v>
      </c>
      <c r="K927" s="285" t="s">
        <v>9703</v>
      </c>
      <c r="L927" s="285" t="s">
        <v>13081</v>
      </c>
      <c r="M927" s="285" t="s">
        <v>9383</v>
      </c>
      <c r="N927" s="287" t="str">
        <f>IFERROR(
    IF(
        AND(
            VLOOKUP(B927, 'รายชื่อพนักงานลาออกพ้นสภาพ'!B:I, 8, FALSE)&lt;&gt;"ยกเลิกลาออก",
            VLOOKUP(B927, 'รายชื่อพนักงานลาออกพ้นสภาพ'!B:I, 7, FALSE)&lt;=TODAY()
        ),
        "ลาออกแล้ว",
        ""
    ),
"")</f>
        <v/>
      </c>
      <c r="O927" s="292" t="str">
        <f t="array" ref="O927:P927">IFERROR(INDEX(PCRent!C:D, MATCH(F927 &amp; " " &amp; G927, PCRent!A:A &amp; " " &amp; PCRent!B:B, 0)), "")</f>
        <v>SN:MP2AN2CG</v>
      </c>
      <c r="P927" s="293" t="s">
        <v>9562</v>
      </c>
      <c r="Q927" s="294" t="str">
        <f t="array" ref="Q927">IFERROR(INDEX(MonitorRent!C:D, MATCH(F927 &amp; " " &amp; G927, MonitorRent!A:A &amp; " " &amp; MonitorRent!B:B, 0)), "")</f>
        <v/>
      </c>
      <c r="R927" s="295"/>
    </row>
    <row r="928">
      <c r="A928" s="284">
        <v>925.0</v>
      </c>
      <c r="B928" s="285" t="s">
        <v>13632</v>
      </c>
      <c r="C928" s="285" t="s">
        <v>6918</v>
      </c>
      <c r="D928" s="286" t="s">
        <v>9547</v>
      </c>
      <c r="E928" s="285" t="s">
        <v>6921</v>
      </c>
      <c r="F928" s="285" t="s">
        <v>13633</v>
      </c>
      <c r="G928" s="285" t="s">
        <v>13634</v>
      </c>
      <c r="H928" s="285" t="s">
        <v>11489</v>
      </c>
      <c r="I928" s="285" t="s">
        <v>13635</v>
      </c>
      <c r="J928" s="285" t="s">
        <v>5012</v>
      </c>
      <c r="K928" s="285" t="s">
        <v>4749</v>
      </c>
      <c r="L928" s="285" t="s">
        <v>329</v>
      </c>
      <c r="M928" s="285" t="s">
        <v>9391</v>
      </c>
      <c r="N928" s="287" t="str">
        <f>IFERROR(
    IF(
        AND(
            VLOOKUP(B928, 'รายชื่อพนักงานลาออกพ้นสภาพ'!B:I, 8, FALSE)&lt;&gt;"ยกเลิกลาออก",
            VLOOKUP(B928, 'รายชื่อพนักงานลาออกพ้นสภาพ'!B:I, 7, FALSE)&lt;=TODAY()
        ),
        "ลาออกแล้ว",
        ""
    ),
"")</f>
        <v/>
      </c>
      <c r="O928" s="292" t="str">
        <f t="array" ref="O928:P928">IFERROR(INDEX(PCRent!C:D, MATCH(F928 &amp; " " &amp; G928, PCRent!A:A &amp; " " &amp; PCRent!B:B, 0)), "")</f>
        <v>SN:MP2ETWNN</v>
      </c>
      <c r="P928" s="293" t="s">
        <v>7070</v>
      </c>
      <c r="Q928" s="294" t="str">
        <f t="array" ref="Q928">IFERROR(INDEX(MonitorRent!C:D, MATCH(F928 &amp; " " &amp; G928, MonitorRent!A:A &amp; " " &amp; MonitorRent!B:B, 0)), "")</f>
        <v/>
      </c>
      <c r="R928" s="295"/>
    </row>
    <row r="929">
      <c r="A929" s="284">
        <v>926.0</v>
      </c>
      <c r="B929" s="285" t="s">
        <v>548</v>
      </c>
      <c r="C929" s="285" t="s">
        <v>6918</v>
      </c>
      <c r="D929" s="286" t="s">
        <v>10690</v>
      </c>
      <c r="E929" s="285" t="s">
        <v>6933</v>
      </c>
      <c r="F929" s="285" t="s">
        <v>10587</v>
      </c>
      <c r="G929" s="285" t="s">
        <v>13636</v>
      </c>
      <c r="H929" s="285" t="s">
        <v>11497</v>
      </c>
      <c r="I929" s="285" t="s">
        <v>551</v>
      </c>
      <c r="J929" s="285" t="s">
        <v>5012</v>
      </c>
      <c r="K929" s="285" t="s">
        <v>6322</v>
      </c>
      <c r="L929" s="285" t="s">
        <v>13605</v>
      </c>
      <c r="M929" s="285" t="s">
        <v>9391</v>
      </c>
      <c r="N929" s="287" t="str">
        <f>IFERROR(
    IF(
        AND(
            VLOOKUP(B929, 'รายชื่อพนักงานลาออกพ้นสภาพ'!B:I, 8, FALSE)&lt;&gt;"ยกเลิกลาออก",
            VLOOKUP(B929, 'รายชื่อพนักงานลาออกพ้นสภาพ'!B:I, 7, FALSE)&lt;=TODAY()
        ),
        "ลาออกแล้ว",
        ""
    ),
"")</f>
        <v>ลาออกแล้ว</v>
      </c>
      <c r="O929" s="292" t="str">
        <f t="array" ref="O929:P929">IFERROR(INDEX(PCRent!C:D, MATCH(F929 &amp; " " &amp; G929, PCRent!A:A &amp; " " &amp; PCRent!B:B, 0)), "")</f>
        <v>SN:MP2AN2C5</v>
      </c>
      <c r="P929" s="293" t="s">
        <v>9562</v>
      </c>
      <c r="Q929" s="294" t="str">
        <f t="array" ref="Q929">IFERROR(INDEX(MonitorRent!C:D, MATCH(F929 &amp; " " &amp; G929, MonitorRent!A:A &amp; " " &amp; MonitorRent!B:B, 0)), "")</f>
        <v/>
      </c>
      <c r="R929" s="295"/>
    </row>
    <row r="930">
      <c r="A930" s="284">
        <v>927.0</v>
      </c>
      <c r="B930" s="285" t="s">
        <v>8597</v>
      </c>
      <c r="C930" s="285" t="s">
        <v>6918</v>
      </c>
      <c r="D930" s="286" t="s">
        <v>11733</v>
      </c>
      <c r="E930" s="285" t="s">
        <v>6933</v>
      </c>
      <c r="F930" s="285" t="s">
        <v>13637</v>
      </c>
      <c r="G930" s="285" t="s">
        <v>13638</v>
      </c>
      <c r="H930" s="285" t="s">
        <v>10765</v>
      </c>
      <c r="I930" s="285" t="s">
        <v>13639</v>
      </c>
      <c r="J930" s="285" t="s">
        <v>5224</v>
      </c>
      <c r="K930" s="285" t="s">
        <v>13640</v>
      </c>
      <c r="L930" s="285" t="s">
        <v>1896</v>
      </c>
      <c r="M930" s="285" t="s">
        <v>9383</v>
      </c>
      <c r="N930" s="287" t="str">
        <f>IFERROR(
    IF(
        AND(
            VLOOKUP(B930, 'รายชื่อพนักงานลาออกพ้นสภาพ'!B:I, 8, FALSE)&lt;&gt;"ยกเลิกลาออก",
            VLOOKUP(B930, 'รายชื่อพนักงานลาออกพ้นสภาพ'!B:I, 7, FALSE)&lt;=TODAY()
        ),
        "ลาออกแล้ว",
        ""
    ),
"")</f>
        <v/>
      </c>
      <c r="O930" s="292" t="str">
        <f t="array" ref="O930">IFERROR(INDEX(PCRent!C:D, MATCH(F930 &amp; " " &amp; G930, PCRent!A:A &amp; " " &amp; PCRent!B:B, 0)), "")</f>
        <v/>
      </c>
      <c r="P930" s="293"/>
      <c r="Q930" s="294" t="str">
        <f t="array" ref="Q930">IFERROR(INDEX(MonitorRent!C:D, MATCH(F930 &amp; " " &amp; G930, MonitorRent!A:A &amp; " " &amp; MonitorRent!B:B, 0)), "")</f>
        <v/>
      </c>
      <c r="R930" s="295"/>
    </row>
    <row r="931">
      <c r="A931" s="284">
        <v>928.0</v>
      </c>
      <c r="B931" s="285" t="s">
        <v>8758</v>
      </c>
      <c r="C931" s="285" t="s">
        <v>6918</v>
      </c>
      <c r="D931" s="286" t="s">
        <v>9415</v>
      </c>
      <c r="E931" s="285" t="s">
        <v>6933</v>
      </c>
      <c r="F931" s="285" t="s">
        <v>10595</v>
      </c>
      <c r="G931" s="285" t="s">
        <v>13641</v>
      </c>
      <c r="H931" s="285" t="s">
        <v>13642</v>
      </c>
      <c r="I931" s="285" t="s">
        <v>13643</v>
      </c>
      <c r="J931" s="285" t="s">
        <v>5012</v>
      </c>
      <c r="K931" s="285" t="s">
        <v>10056</v>
      </c>
      <c r="L931" s="285" t="s">
        <v>8850</v>
      </c>
      <c r="M931" s="285" t="s">
        <v>9383</v>
      </c>
      <c r="N931" s="287" t="str">
        <f>IFERROR(
    IF(
        AND(
            VLOOKUP(B931, 'รายชื่อพนักงานลาออกพ้นสภาพ'!B:I, 8, FALSE)&lt;&gt;"ยกเลิกลาออก",
            VLOOKUP(B931, 'รายชื่อพนักงานลาออกพ้นสภาพ'!B:I, 7, FALSE)&lt;=TODAY()
        ),
        "ลาออกแล้ว",
        ""
    ),
"")</f>
        <v/>
      </c>
      <c r="O931" s="292" t="str">
        <f t="array" ref="O931">IFERROR(INDEX(PCRent!C:D, MATCH(F931 &amp; " " &amp; G931, PCRent!A:A &amp; " " &amp; PCRent!B:B, 0)), "")</f>
        <v/>
      </c>
      <c r="P931" s="293"/>
      <c r="Q931" s="294" t="str">
        <f t="array" ref="Q931">IFERROR(INDEX(MonitorRent!C:D, MATCH(F931 &amp; " " &amp; G931, MonitorRent!A:A &amp; " " &amp; MonitorRent!B:B, 0)), "")</f>
        <v/>
      </c>
      <c r="R931" s="295"/>
    </row>
    <row r="932">
      <c r="A932" s="284">
        <v>929.0</v>
      </c>
      <c r="B932" s="285" t="s">
        <v>8780</v>
      </c>
      <c r="C932" s="285" t="s">
        <v>6918</v>
      </c>
      <c r="D932" s="286" t="s">
        <v>13644</v>
      </c>
      <c r="E932" s="285" t="s">
        <v>6921</v>
      </c>
      <c r="F932" s="285" t="s">
        <v>13645</v>
      </c>
      <c r="G932" s="285" t="s">
        <v>13646</v>
      </c>
      <c r="H932" s="285" t="s">
        <v>10048</v>
      </c>
      <c r="I932" s="285" t="s">
        <v>13647</v>
      </c>
      <c r="J932" s="285" t="s">
        <v>5224</v>
      </c>
      <c r="K932" s="285" t="s">
        <v>13025</v>
      </c>
      <c r="L932" s="285" t="s">
        <v>4044</v>
      </c>
      <c r="M932" s="285" t="s">
        <v>9383</v>
      </c>
      <c r="N932" s="287" t="str">
        <f>IFERROR(
    IF(
        AND(
            VLOOKUP(B932, 'รายชื่อพนักงานลาออกพ้นสภาพ'!B:I, 8, FALSE)&lt;&gt;"ยกเลิกลาออก",
            VLOOKUP(B932, 'รายชื่อพนักงานลาออกพ้นสภาพ'!B:I, 7, FALSE)&lt;=TODAY()
        ),
        "ลาออกแล้ว",
        ""
    ),
"")</f>
        <v/>
      </c>
      <c r="O932" s="292" t="str">
        <f t="array" ref="O932">IFERROR(INDEX(PCRent!C:D, MATCH(F932 &amp; " " &amp; G932, PCRent!A:A &amp; " " &amp; PCRent!B:B, 0)), "")</f>
        <v/>
      </c>
      <c r="P932" s="293"/>
      <c r="Q932" s="294" t="str">
        <f t="array" ref="Q932">IFERROR(INDEX(MonitorRent!C:D, MATCH(F932 &amp; " " &amp; G932, MonitorRent!A:A &amp; " " &amp; MonitorRent!B:B, 0)), "")</f>
        <v/>
      </c>
      <c r="R932" s="295"/>
    </row>
    <row r="933">
      <c r="A933" s="284">
        <v>930.0</v>
      </c>
      <c r="B933" s="285" t="s">
        <v>13648</v>
      </c>
      <c r="C933" s="285" t="s">
        <v>6918</v>
      </c>
      <c r="D933" s="286" t="s">
        <v>12539</v>
      </c>
      <c r="E933" s="285" t="s">
        <v>6921</v>
      </c>
      <c r="F933" s="285" t="s">
        <v>13649</v>
      </c>
      <c r="G933" s="285" t="s">
        <v>13650</v>
      </c>
      <c r="H933" s="285" t="s">
        <v>12595</v>
      </c>
      <c r="I933" s="285" t="s">
        <v>13651</v>
      </c>
      <c r="J933" s="285" t="s">
        <v>5012</v>
      </c>
      <c r="K933" s="285" t="s">
        <v>9703</v>
      </c>
      <c r="L933" s="285" t="s">
        <v>13605</v>
      </c>
      <c r="M933" s="285" t="s">
        <v>9383</v>
      </c>
      <c r="N933" s="287" t="str">
        <f>IFERROR(
    IF(
        AND(
            VLOOKUP(B933, 'รายชื่อพนักงานลาออกพ้นสภาพ'!B:I, 8, FALSE)&lt;&gt;"ยกเลิกลาออก",
            VLOOKUP(B933, 'รายชื่อพนักงานลาออกพ้นสภาพ'!B:I, 7, FALSE)&lt;=TODAY()
        ),
        "ลาออกแล้ว",
        ""
    ),
"")</f>
        <v/>
      </c>
      <c r="O933" s="292" t="str">
        <f t="array" ref="O933:P933">IFERROR(INDEX(PCRent!C:D, MATCH(F933 &amp; " " &amp; G933, PCRent!A:A &amp; " " &amp; PCRent!B:B, 0)), "")</f>
        <v>SN:MP2ARVM6</v>
      </c>
      <c r="P933" s="293" t="s">
        <v>7149</v>
      </c>
      <c r="Q933" s="294" t="str">
        <f t="array" ref="Q933">IFERROR(INDEX(MonitorRent!C:D, MATCH(F933 &amp; " " &amp; G933, MonitorRent!A:A &amp; " " &amp; MonitorRent!B:B, 0)), "")</f>
        <v/>
      </c>
      <c r="R933" s="295"/>
    </row>
    <row r="934">
      <c r="A934" s="284">
        <v>931.0</v>
      </c>
      <c r="B934" s="285" t="s">
        <v>8621</v>
      </c>
      <c r="C934" s="285" t="s">
        <v>6918</v>
      </c>
      <c r="D934" s="286" t="s">
        <v>13652</v>
      </c>
      <c r="E934" s="285" t="s">
        <v>6921</v>
      </c>
      <c r="F934" s="285" t="s">
        <v>13653</v>
      </c>
      <c r="G934" s="285" t="s">
        <v>13654</v>
      </c>
      <c r="H934" s="285" t="s">
        <v>13655</v>
      </c>
      <c r="I934" s="285" t="s">
        <v>13656</v>
      </c>
      <c r="J934" s="285" t="s">
        <v>5224</v>
      </c>
      <c r="K934" s="285" t="s">
        <v>13657</v>
      </c>
      <c r="L934" s="285" t="s">
        <v>8609</v>
      </c>
      <c r="M934" s="285" t="s">
        <v>9383</v>
      </c>
      <c r="N934" s="287" t="str">
        <f>IFERROR(
    IF(
        AND(
            VLOOKUP(B934, 'รายชื่อพนักงานลาออกพ้นสภาพ'!B:I, 8, FALSE)&lt;&gt;"ยกเลิกลาออก",
            VLOOKUP(B934, 'รายชื่อพนักงานลาออกพ้นสภาพ'!B:I, 7, FALSE)&lt;=TODAY()
        ),
        "ลาออกแล้ว",
        ""
    ),
"")</f>
        <v/>
      </c>
      <c r="O934" s="292" t="str">
        <f t="array" ref="O934">IFERROR(INDEX(PCRent!C:D, MATCH(F934 &amp; " " &amp; G934, PCRent!A:A &amp; " " &amp; PCRent!B:B, 0)), "")</f>
        <v/>
      </c>
      <c r="P934" s="293"/>
      <c r="Q934" s="294" t="str">
        <f t="array" ref="Q934">IFERROR(INDEX(MonitorRent!C:D, MATCH(F934 &amp; " " &amp; G934, MonitorRent!A:A &amp; " " &amp; MonitorRent!B:B, 0)), "")</f>
        <v/>
      </c>
      <c r="R934" s="295"/>
    </row>
    <row r="935">
      <c r="A935" s="284">
        <v>932.0</v>
      </c>
      <c r="B935" s="285" t="s">
        <v>13658</v>
      </c>
      <c r="C935" s="285" t="s">
        <v>6918</v>
      </c>
      <c r="D935" s="286" t="s">
        <v>10329</v>
      </c>
      <c r="E935" s="285" t="s">
        <v>6921</v>
      </c>
      <c r="F935" s="285" t="s">
        <v>13653</v>
      </c>
      <c r="G935" s="285" t="s">
        <v>13659</v>
      </c>
      <c r="H935" s="285" t="s">
        <v>13660</v>
      </c>
      <c r="I935" s="285" t="s">
        <v>13661</v>
      </c>
      <c r="J935" s="285" t="s">
        <v>5012</v>
      </c>
      <c r="K935" s="285" t="s">
        <v>13662</v>
      </c>
      <c r="L935" s="285" t="s">
        <v>9704</v>
      </c>
      <c r="M935" s="285" t="s">
        <v>9391</v>
      </c>
      <c r="N935" s="287" t="str">
        <f>IFERROR(
    IF(
        AND(
            VLOOKUP(B935, 'รายชื่อพนักงานลาออกพ้นสภาพ'!B:I, 8, FALSE)&lt;&gt;"ยกเลิกลาออก",
            VLOOKUP(B935, 'รายชื่อพนักงานลาออกพ้นสภาพ'!B:I, 7, FALSE)&lt;=TODAY()
        ),
        "ลาออกแล้ว",
        ""
    ),
"")</f>
        <v/>
      </c>
      <c r="O935" s="292" t="str">
        <f t="array" ref="O935:P935">IFERROR(INDEX(PCRent!C:D, MATCH(F935 &amp; " " &amp; G935, PCRent!A:A &amp; " " &amp; PCRent!B:B, 0)), "")</f>
        <v>SN:MP2DGHX4</v>
      </c>
      <c r="P935" s="293" t="s">
        <v>9562</v>
      </c>
      <c r="Q935" s="294" t="str">
        <f t="array" ref="Q935">IFERROR(INDEX(MonitorRent!C:D, MATCH(F935 &amp; " " &amp; G935, MonitorRent!A:A &amp; " " &amp; MonitorRent!B:B, 0)), "")</f>
        <v/>
      </c>
      <c r="R935" s="295"/>
    </row>
    <row r="936">
      <c r="A936" s="284">
        <v>933.0</v>
      </c>
      <c r="B936" s="285" t="s">
        <v>8982</v>
      </c>
      <c r="C936" s="285" t="s">
        <v>6918</v>
      </c>
      <c r="D936" s="286" t="s">
        <v>10729</v>
      </c>
      <c r="E936" s="285" t="s">
        <v>6921</v>
      </c>
      <c r="F936" s="285" t="s">
        <v>13663</v>
      </c>
      <c r="G936" s="285" t="s">
        <v>13664</v>
      </c>
      <c r="H936" s="285" t="s">
        <v>13665</v>
      </c>
      <c r="I936" s="285" t="s">
        <v>13666</v>
      </c>
      <c r="J936" s="285" t="s">
        <v>5012</v>
      </c>
      <c r="K936" s="285" t="s">
        <v>4835</v>
      </c>
      <c r="L936" s="285" t="s">
        <v>9581</v>
      </c>
      <c r="M936" s="285" t="s">
        <v>9383</v>
      </c>
      <c r="N936" s="287" t="str">
        <f>IFERROR(
    IF(
        AND(
            VLOOKUP(B936, 'รายชื่อพนักงานลาออกพ้นสภาพ'!B:I, 8, FALSE)&lt;&gt;"ยกเลิกลาออก",
            VLOOKUP(B936, 'รายชื่อพนักงานลาออกพ้นสภาพ'!B:I, 7, FALSE)&lt;=TODAY()
        ),
        "ลาออกแล้ว",
        ""
    ),
"")</f>
        <v/>
      </c>
      <c r="O936" s="292" t="str">
        <f t="array" ref="O936:P936">IFERROR(INDEX(PCRent!C:D, MATCH(F936 &amp; " " &amp; G936, PCRent!A:A &amp; " " &amp; PCRent!B:B, 0)), "")</f>
        <v>SN:MP2EHRVQ</v>
      </c>
      <c r="P936" s="293" t="s">
        <v>6993</v>
      </c>
      <c r="Q936" s="294" t="str">
        <f t="array" ref="Q936">IFERROR(INDEX(MonitorRent!C:D, MATCH(F936 &amp; " " &amp; G936, MonitorRent!A:A &amp; " " &amp; MonitorRent!B:B, 0)), "")</f>
        <v/>
      </c>
      <c r="R936" s="295"/>
    </row>
    <row r="937">
      <c r="A937" s="284">
        <v>934.0</v>
      </c>
      <c r="B937" s="285" t="s">
        <v>7480</v>
      </c>
      <c r="C937" s="285" t="s">
        <v>6918</v>
      </c>
      <c r="D937" s="286" t="s">
        <v>9415</v>
      </c>
      <c r="E937" s="285" t="s">
        <v>6921</v>
      </c>
      <c r="F937" s="285" t="s">
        <v>13667</v>
      </c>
      <c r="G937" s="285" t="s">
        <v>13668</v>
      </c>
      <c r="H937" s="285" t="s">
        <v>12610</v>
      </c>
      <c r="I937" s="285" t="s">
        <v>13669</v>
      </c>
      <c r="J937" s="285" t="s">
        <v>5224</v>
      </c>
      <c r="K937" s="285" t="s">
        <v>12963</v>
      </c>
      <c r="L937" s="285" t="s">
        <v>13670</v>
      </c>
      <c r="M937" s="285" t="s">
        <v>9383</v>
      </c>
      <c r="N937" s="287" t="str">
        <f>IFERROR(
    IF(
        AND(
            VLOOKUP(B937, 'รายชื่อพนักงานลาออกพ้นสภาพ'!B:I, 8, FALSE)&lt;&gt;"ยกเลิกลาออก",
            VLOOKUP(B937, 'รายชื่อพนักงานลาออกพ้นสภาพ'!B:I, 7, FALSE)&lt;=TODAY()
        ),
        "ลาออกแล้ว",
        ""
    ),
"")</f>
        <v/>
      </c>
      <c r="O937" s="292" t="str">
        <f t="array" ref="O937:P937">IFERROR(INDEX(PCRent!C:D, MATCH(F937 &amp; " " &amp; G937, PCRent!A:A &amp; " " &amp; PCRent!B:B, 0)), "")</f>
        <v>SN:DNT2CZ3</v>
      </c>
      <c r="P937" s="293" t="s">
        <v>7048</v>
      </c>
      <c r="Q937" s="294" t="str">
        <f t="array" ref="Q937:R937">IFERROR(INDEX(MonitorRent!C:D, MATCH(F937 &amp; " " &amp; G937, MonitorRent!A:A &amp; " " &amp; MonitorRent!B:B, 0)), "")</f>
        <v>SN:9X742Y3</v>
      </c>
      <c r="R937" s="295" t="s">
        <v>7050</v>
      </c>
    </row>
    <row r="938">
      <c r="A938" s="284">
        <v>935.0</v>
      </c>
      <c r="B938" s="285" t="s">
        <v>13671</v>
      </c>
      <c r="C938" s="285" t="s">
        <v>6918</v>
      </c>
      <c r="D938" s="286" t="s">
        <v>11301</v>
      </c>
      <c r="E938" s="285" t="s">
        <v>6933</v>
      </c>
      <c r="F938" s="285" t="s">
        <v>10675</v>
      </c>
      <c r="G938" s="285" t="s">
        <v>13672</v>
      </c>
      <c r="H938" s="285" t="s">
        <v>11398</v>
      </c>
      <c r="I938" s="285" t="s">
        <v>13673</v>
      </c>
      <c r="J938" s="285" t="s">
        <v>5012</v>
      </c>
      <c r="K938" s="285" t="s">
        <v>9466</v>
      </c>
      <c r="L938" s="285" t="s">
        <v>2316</v>
      </c>
      <c r="M938" s="285" t="s">
        <v>9383</v>
      </c>
      <c r="N938" s="287" t="str">
        <f>IFERROR(
    IF(
        AND(
            VLOOKUP(B938, 'รายชื่อพนักงานลาออกพ้นสภาพ'!B:I, 8, FALSE)&lt;&gt;"ยกเลิกลาออก",
            VLOOKUP(B938, 'รายชื่อพนักงานลาออกพ้นสภาพ'!B:I, 7, FALSE)&lt;=TODAY()
        ),
        "ลาออกแล้ว",
        ""
    ),
"")</f>
        <v/>
      </c>
      <c r="O938" s="292" t="str">
        <f t="array" ref="O938:P938">IFERROR(INDEX(PCRent!C:D, MATCH(F938 &amp; " " &amp; G938, PCRent!A:A &amp; " " &amp; PCRent!B:B, 0)), "")</f>
        <v>SN:PF37V5Q5</v>
      </c>
      <c r="P938" s="293" t="s">
        <v>7005</v>
      </c>
      <c r="Q938" s="294" t="str">
        <f t="array" ref="Q938">IFERROR(INDEX(MonitorRent!C:D, MATCH(F938 &amp; " " &amp; G938, MonitorRent!A:A &amp; " " &amp; MonitorRent!B:B, 0)), "")</f>
        <v/>
      </c>
      <c r="R938" s="295"/>
    </row>
    <row r="939">
      <c r="A939" s="284">
        <v>936.0</v>
      </c>
      <c r="B939" s="285" t="s">
        <v>8147</v>
      </c>
      <c r="C939" s="285" t="s">
        <v>6918</v>
      </c>
      <c r="D939" s="286" t="s">
        <v>9713</v>
      </c>
      <c r="E939" s="285" t="s">
        <v>6921</v>
      </c>
      <c r="F939" s="285" t="s">
        <v>13674</v>
      </c>
      <c r="G939" s="285" t="s">
        <v>13675</v>
      </c>
      <c r="H939" s="285" t="s">
        <v>13676</v>
      </c>
      <c r="I939" s="285" t="s">
        <v>13677</v>
      </c>
      <c r="J939" s="285" t="s">
        <v>5224</v>
      </c>
      <c r="K939" s="285" t="s">
        <v>13398</v>
      </c>
      <c r="L939" s="285" t="s">
        <v>8136</v>
      </c>
      <c r="M939" s="285" t="s">
        <v>9383</v>
      </c>
      <c r="N939" s="287" t="str">
        <f>IFERROR(
    IF(
        AND(
            VLOOKUP(B939, 'รายชื่อพนักงานลาออกพ้นสภาพ'!B:I, 8, FALSE)&lt;&gt;"ยกเลิกลาออก",
            VLOOKUP(B939, 'รายชื่อพนักงานลาออกพ้นสภาพ'!B:I, 7, FALSE)&lt;=TODAY()
        ),
        "ลาออกแล้ว",
        ""
    ),
"")</f>
        <v/>
      </c>
      <c r="O939" s="292" t="str">
        <f t="array" ref="O939:P939">IFERROR(INDEX(PCRent!C:D, MATCH(F939 &amp; " " &amp; G939, PCRent!A:A &amp; " " &amp; PCRent!B:B, 0)), "")</f>
        <v>SN:PF37TYWV</v>
      </c>
      <c r="P939" s="293" t="s">
        <v>7005</v>
      </c>
      <c r="Q939" s="294" t="str">
        <f t="array" ref="Q939">IFERROR(INDEX(MonitorRent!C:D, MATCH(F939 &amp; " " &amp; G939, MonitorRent!A:A &amp; " " &amp; MonitorRent!B:B, 0)), "")</f>
        <v/>
      </c>
      <c r="R939" s="295"/>
    </row>
    <row r="940">
      <c r="A940" s="284">
        <v>937.0</v>
      </c>
      <c r="B940" s="285" t="s">
        <v>13678</v>
      </c>
      <c r="C940" s="285" t="s">
        <v>6918</v>
      </c>
      <c r="D940" s="286" t="s">
        <v>10978</v>
      </c>
      <c r="E940" s="285" t="s">
        <v>6921</v>
      </c>
      <c r="F940" s="285" t="s">
        <v>13679</v>
      </c>
      <c r="G940" s="285" t="s">
        <v>13680</v>
      </c>
      <c r="H940" s="285" t="s">
        <v>12706</v>
      </c>
      <c r="I940" s="285" t="s">
        <v>13681</v>
      </c>
      <c r="J940" s="285" t="s">
        <v>5224</v>
      </c>
      <c r="K940" s="285" t="s">
        <v>1456</v>
      </c>
      <c r="L940" s="285" t="s">
        <v>13682</v>
      </c>
      <c r="M940" s="285" t="s">
        <v>9383</v>
      </c>
      <c r="N940" s="287" t="str">
        <f>IFERROR(
    IF(
        AND(
            VLOOKUP(B940, 'รายชื่อพนักงานลาออกพ้นสภาพ'!B:I, 8, FALSE)&lt;&gt;"ยกเลิกลาออก",
            VLOOKUP(B940, 'รายชื่อพนักงานลาออกพ้นสภาพ'!B:I, 7, FALSE)&lt;=TODAY()
        ),
        "ลาออกแล้ว",
        ""
    ),
"")</f>
        <v/>
      </c>
      <c r="O940" s="292" t="str">
        <f t="array" ref="O940">IFERROR(INDEX(PCRent!C:D, MATCH(F940 &amp; " " &amp; G940, PCRent!A:A &amp; " " &amp; PCRent!B:B, 0)), "")</f>
        <v/>
      </c>
      <c r="P940" s="293"/>
      <c r="Q940" s="294" t="str">
        <f t="array" ref="Q940">IFERROR(INDEX(MonitorRent!C:D, MATCH(F940 &amp; " " &amp; G940, MonitorRent!A:A &amp; " " &amp; MonitorRent!B:B, 0)), "")</f>
        <v/>
      </c>
      <c r="R940" s="295"/>
    </row>
    <row r="941">
      <c r="A941" s="284">
        <v>938.0</v>
      </c>
      <c r="B941" s="285" t="s">
        <v>13683</v>
      </c>
      <c r="C941" s="285" t="s">
        <v>6918</v>
      </c>
      <c r="D941" s="286" t="s">
        <v>10724</v>
      </c>
      <c r="E941" s="285" t="s">
        <v>6933</v>
      </c>
      <c r="F941" s="285" t="s">
        <v>10642</v>
      </c>
      <c r="G941" s="285" t="s">
        <v>13684</v>
      </c>
      <c r="H941" s="285" t="s">
        <v>13685</v>
      </c>
      <c r="I941" s="285" t="s">
        <v>13686</v>
      </c>
      <c r="J941" s="285" t="s">
        <v>5012</v>
      </c>
      <c r="K941" s="285" t="s">
        <v>4749</v>
      </c>
      <c r="L941" s="285" t="s">
        <v>13209</v>
      </c>
      <c r="M941" s="285" t="s">
        <v>9383</v>
      </c>
      <c r="N941" s="287" t="str">
        <f>IFERROR(
    IF(
        AND(
            VLOOKUP(B941, 'รายชื่อพนักงานลาออกพ้นสภาพ'!B:I, 8, FALSE)&lt;&gt;"ยกเลิกลาออก",
            VLOOKUP(B941, 'รายชื่อพนักงานลาออกพ้นสภาพ'!B:I, 7, FALSE)&lt;=TODAY()
        ),
        "ลาออกแล้ว",
        ""
    ),
"")</f>
        <v/>
      </c>
      <c r="O941" s="292" t="str">
        <f t="array" ref="O941">IFERROR(INDEX(PCRent!C:D, MATCH(F941 &amp; " " &amp; G941, PCRent!A:A &amp; " " &amp; PCRent!B:B, 0)), "")</f>
        <v/>
      </c>
      <c r="P941" s="293"/>
      <c r="Q941" s="294" t="str">
        <f t="array" ref="Q941">IFERROR(INDEX(MonitorRent!C:D, MATCH(F941 &amp; " " &amp; G941, MonitorRent!A:A &amp; " " &amp; MonitorRent!B:B, 0)), "")</f>
        <v/>
      </c>
      <c r="R941" s="295"/>
    </row>
    <row r="942">
      <c r="A942" s="284">
        <v>939.0</v>
      </c>
      <c r="B942" s="285" t="s">
        <v>8791</v>
      </c>
      <c r="C942" s="285" t="s">
        <v>6918</v>
      </c>
      <c r="D942" s="286" t="s">
        <v>13687</v>
      </c>
      <c r="E942" s="285" t="s">
        <v>6921</v>
      </c>
      <c r="F942" s="285" t="s">
        <v>13688</v>
      </c>
      <c r="G942" s="285" t="s">
        <v>13689</v>
      </c>
      <c r="H942" s="285" t="s">
        <v>12079</v>
      </c>
      <c r="I942" s="285" t="s">
        <v>13690</v>
      </c>
      <c r="J942" s="285" t="s">
        <v>5224</v>
      </c>
      <c r="K942" s="285" t="s">
        <v>13398</v>
      </c>
      <c r="L942" s="285" t="s">
        <v>4044</v>
      </c>
      <c r="M942" s="285" t="s">
        <v>9383</v>
      </c>
      <c r="N942" s="287" t="str">
        <f>IFERROR(
    IF(
        AND(
            VLOOKUP(B942, 'รายชื่อพนักงานลาออกพ้นสภาพ'!B:I, 8, FALSE)&lt;&gt;"ยกเลิกลาออก",
            VLOOKUP(B942, 'รายชื่อพนักงานลาออกพ้นสภาพ'!B:I, 7, FALSE)&lt;=TODAY()
        ),
        "ลาออกแล้ว",
        ""
    ),
"")</f>
        <v/>
      </c>
      <c r="O942" s="292" t="str">
        <f t="array" ref="O942">IFERROR(INDEX(PCRent!C:D, MATCH(F942 &amp; " " &amp; G942, PCRent!A:A &amp; " " &amp; PCRent!B:B, 0)), "")</f>
        <v/>
      </c>
      <c r="P942" s="293"/>
      <c r="Q942" s="294" t="str">
        <f t="array" ref="Q942">IFERROR(INDEX(MonitorRent!C:D, MATCH(F942 &amp; " " &amp; G942, MonitorRent!A:A &amp; " " &amp; MonitorRent!B:B, 0)), "")</f>
        <v/>
      </c>
      <c r="R942" s="295"/>
    </row>
    <row r="943">
      <c r="A943" s="284">
        <v>940.0</v>
      </c>
      <c r="B943" s="285" t="s">
        <v>13691</v>
      </c>
      <c r="C943" s="285" t="s">
        <v>6918</v>
      </c>
      <c r="D943" s="286" t="s">
        <v>13692</v>
      </c>
      <c r="E943" s="285" t="s">
        <v>6921</v>
      </c>
      <c r="F943" s="285" t="s">
        <v>13693</v>
      </c>
      <c r="G943" s="285" t="s">
        <v>13694</v>
      </c>
      <c r="H943" s="285" t="s">
        <v>9754</v>
      </c>
      <c r="I943" s="285" t="s">
        <v>13695</v>
      </c>
      <c r="J943" s="285" t="s">
        <v>5012</v>
      </c>
      <c r="K943" s="285" t="s">
        <v>12973</v>
      </c>
      <c r="L943" s="285" t="s">
        <v>13081</v>
      </c>
      <c r="M943" s="285" t="s">
        <v>9383</v>
      </c>
      <c r="N943" s="287" t="str">
        <f>IFERROR(
    IF(
        AND(
            VLOOKUP(B943, 'รายชื่อพนักงานลาออกพ้นสภาพ'!B:I, 8, FALSE)&lt;&gt;"ยกเลิกลาออก",
            VLOOKUP(B943, 'รายชื่อพนักงานลาออกพ้นสภาพ'!B:I, 7, FALSE)&lt;=TODAY()
        ),
        "ลาออกแล้ว",
        ""
    ),
"")</f>
        <v/>
      </c>
      <c r="O943" s="292" t="str">
        <f t="array" ref="O943">IFERROR(INDEX(PCRent!C:D, MATCH(F943 &amp; " " &amp; G943, PCRent!A:A &amp; " " &amp; PCRent!B:B, 0)), "")</f>
        <v/>
      </c>
      <c r="P943" s="293"/>
      <c r="Q943" s="294" t="str">
        <f t="array" ref="Q943">IFERROR(INDEX(MonitorRent!C:D, MATCH(F943 &amp; " " &amp; G943, MonitorRent!A:A &amp; " " &amp; MonitorRent!B:B, 0)), "")</f>
        <v/>
      </c>
      <c r="R943" s="295"/>
    </row>
    <row r="944">
      <c r="A944" s="284">
        <v>941.0</v>
      </c>
      <c r="B944" s="285" t="s">
        <v>6985</v>
      </c>
      <c r="C944" s="285" t="s">
        <v>6918</v>
      </c>
      <c r="D944" s="286" t="s">
        <v>9583</v>
      </c>
      <c r="E944" s="285" t="s">
        <v>6933</v>
      </c>
      <c r="F944" s="285" t="s">
        <v>13696</v>
      </c>
      <c r="G944" s="285" t="s">
        <v>13697</v>
      </c>
      <c r="H944" s="285" t="s">
        <v>10495</v>
      </c>
      <c r="I944" s="285" t="s">
        <v>13698</v>
      </c>
      <c r="J944" s="285" t="s">
        <v>5224</v>
      </c>
      <c r="K944" s="285" t="s">
        <v>4818</v>
      </c>
      <c r="L944" s="285" t="s">
        <v>13699</v>
      </c>
      <c r="M944" s="285" t="s">
        <v>9383</v>
      </c>
      <c r="N944" s="287" t="str">
        <f>IFERROR(
    IF(
        AND(
            VLOOKUP(B944, 'รายชื่อพนักงานลาออกพ้นสภาพ'!B:I, 8, FALSE)&lt;&gt;"ยกเลิกลาออก",
            VLOOKUP(B944, 'รายชื่อพนักงานลาออกพ้นสภาพ'!B:I, 7, FALSE)&lt;=TODAY()
        ),
        "ลาออกแล้ว",
        ""
    ),
"")</f>
        <v/>
      </c>
      <c r="O944" s="292" t="str">
        <f t="array" ref="O944">IFERROR(INDEX(PCRent!C:D, MATCH(F944 &amp; " " &amp; G944, PCRent!A:A &amp; " " &amp; PCRent!B:B, 0)), "")</f>
        <v/>
      </c>
      <c r="P944" s="293"/>
      <c r="Q944" s="294" t="str">
        <f t="array" ref="Q944">IFERROR(INDEX(MonitorRent!C:D, MATCH(F944 &amp; " " &amp; G944, MonitorRent!A:A &amp; " " &amp; MonitorRent!B:B, 0)), "")</f>
        <v/>
      </c>
      <c r="R944" s="295"/>
    </row>
    <row r="945">
      <c r="A945" s="284">
        <v>942.0</v>
      </c>
      <c r="B945" s="285" t="s">
        <v>8369</v>
      </c>
      <c r="C945" s="285" t="s">
        <v>6918</v>
      </c>
      <c r="D945" s="286" t="s">
        <v>13700</v>
      </c>
      <c r="E945" s="285" t="s">
        <v>6933</v>
      </c>
      <c r="F945" s="285" t="s">
        <v>13696</v>
      </c>
      <c r="G945" s="285" t="s">
        <v>13701</v>
      </c>
      <c r="H945" s="285" t="s">
        <v>12490</v>
      </c>
      <c r="I945" s="285" t="s">
        <v>13702</v>
      </c>
      <c r="J945" s="285" t="s">
        <v>5224</v>
      </c>
      <c r="K945" s="285" t="s">
        <v>10056</v>
      </c>
      <c r="L945" s="285" t="s">
        <v>8362</v>
      </c>
      <c r="M945" s="285" t="s">
        <v>9383</v>
      </c>
      <c r="N945" s="287" t="str">
        <f>IFERROR(
    IF(
        AND(
            VLOOKUP(B945, 'รายชื่อพนักงานลาออกพ้นสภาพ'!B:I, 8, FALSE)&lt;&gt;"ยกเลิกลาออก",
            VLOOKUP(B945, 'รายชื่อพนักงานลาออกพ้นสภาพ'!B:I, 7, FALSE)&lt;=TODAY()
        ),
        "ลาออกแล้ว",
        ""
    ),
"")</f>
        <v/>
      </c>
      <c r="O945" s="292" t="str">
        <f t="array" ref="O945">IFERROR(INDEX(PCRent!C:D, MATCH(F945 &amp; " " &amp; G945, PCRent!A:A &amp; " " &amp; PCRent!B:B, 0)), "")</f>
        <v/>
      </c>
      <c r="P945" s="293"/>
      <c r="Q945" s="294" t="str">
        <f t="array" ref="Q945">IFERROR(INDEX(MonitorRent!C:D, MATCH(F945 &amp; " " &amp; G945, MonitorRent!A:A &amp; " " &amp; MonitorRent!B:B, 0)), "")</f>
        <v/>
      </c>
      <c r="R945" s="295"/>
    </row>
    <row r="946">
      <c r="A946" s="284">
        <v>943.0</v>
      </c>
      <c r="B946" s="285" t="s">
        <v>7782</v>
      </c>
      <c r="C946" s="285" t="s">
        <v>6918</v>
      </c>
      <c r="D946" s="286" t="s">
        <v>10109</v>
      </c>
      <c r="E946" s="285" t="s">
        <v>6933</v>
      </c>
      <c r="F946" s="285" t="s">
        <v>9577</v>
      </c>
      <c r="G946" s="285" t="s">
        <v>13703</v>
      </c>
      <c r="H946" s="285" t="s">
        <v>9579</v>
      </c>
      <c r="I946" s="285" t="s">
        <v>13704</v>
      </c>
      <c r="J946" s="285" t="s">
        <v>5224</v>
      </c>
      <c r="K946" s="285" t="s">
        <v>4756</v>
      </c>
      <c r="L946" s="285" t="s">
        <v>5890</v>
      </c>
      <c r="M946" s="285" t="s">
        <v>9383</v>
      </c>
      <c r="N946" s="287" t="str">
        <f>IFERROR(
    IF(
        AND(
            VLOOKUP(B946, 'รายชื่อพนักงานลาออกพ้นสภาพ'!B:I, 8, FALSE)&lt;&gt;"ยกเลิกลาออก",
            VLOOKUP(B946, 'รายชื่อพนักงานลาออกพ้นสภาพ'!B:I, 7, FALSE)&lt;=TODAY()
        ),
        "ลาออกแล้ว",
        ""
    ),
"")</f>
        <v/>
      </c>
      <c r="O946" s="292" t="str">
        <f t="array" ref="O946:P946">IFERROR(INDEX(PCRent!C:D, MATCH(F946 &amp; " " &amp; G946, PCRent!A:A &amp; " " &amp; PCRent!B:B, 0)), "")</f>
        <v>SN:PF39GSJK</v>
      </c>
      <c r="P946" s="293" t="s">
        <v>7005</v>
      </c>
      <c r="Q946" s="294" t="str">
        <f t="array" ref="Q946">IFERROR(INDEX(MonitorRent!C:D, MATCH(F946 &amp; " " &amp; G946, MonitorRent!A:A &amp; " " &amp; MonitorRent!B:B, 0)), "")</f>
        <v/>
      </c>
      <c r="R946" s="295"/>
    </row>
    <row r="947">
      <c r="A947" s="284">
        <v>944.0</v>
      </c>
      <c r="B947" s="285" t="s">
        <v>13705</v>
      </c>
      <c r="C947" s="285" t="s">
        <v>6918</v>
      </c>
      <c r="D947" s="286" t="s">
        <v>10045</v>
      </c>
      <c r="E947" s="285" t="s">
        <v>6933</v>
      </c>
      <c r="F947" s="285" t="s">
        <v>10666</v>
      </c>
      <c r="G947" s="285" t="s">
        <v>13706</v>
      </c>
      <c r="H947" s="285" t="s">
        <v>13707</v>
      </c>
      <c r="I947" s="285" t="s">
        <v>13708</v>
      </c>
      <c r="J947" s="285" t="s">
        <v>5012</v>
      </c>
      <c r="K947" s="285" t="s">
        <v>9633</v>
      </c>
      <c r="L947" s="285" t="s">
        <v>13501</v>
      </c>
      <c r="M947" s="285" t="s">
        <v>9383</v>
      </c>
      <c r="N947" s="287" t="str">
        <f>IFERROR(
    IF(
        AND(
            VLOOKUP(B947, 'รายชื่อพนักงานลาออกพ้นสภาพ'!B:I, 8, FALSE)&lt;&gt;"ยกเลิกลาออก",
            VLOOKUP(B947, 'รายชื่อพนักงานลาออกพ้นสภาพ'!B:I, 7, FALSE)&lt;=TODAY()
        ),
        "ลาออกแล้ว",
        ""
    ),
"")</f>
        <v/>
      </c>
      <c r="O947" s="292" t="str">
        <f t="array" ref="O947:P947">IFERROR(INDEX(PCRent!C:D, MATCH(F947 &amp; " " &amp; G947, PCRent!A:A &amp; " " &amp; PCRent!B:B, 0)), "")</f>
        <v>SN:MP2E2SY3</v>
      </c>
      <c r="P947" s="293" t="s">
        <v>6993</v>
      </c>
      <c r="Q947" s="294" t="str">
        <f t="array" ref="Q947">IFERROR(INDEX(MonitorRent!C:D, MATCH(F947 &amp; " " &amp; G947, MonitorRent!A:A &amp; " " &amp; MonitorRent!B:B, 0)), "")</f>
        <v/>
      </c>
      <c r="R947" s="295"/>
    </row>
    <row r="948">
      <c r="A948" s="284">
        <v>945.0</v>
      </c>
      <c r="B948" s="285" t="s">
        <v>13709</v>
      </c>
      <c r="C948" s="285" t="s">
        <v>6918</v>
      </c>
      <c r="D948" s="286" t="s">
        <v>10923</v>
      </c>
      <c r="E948" s="285" t="s">
        <v>6933</v>
      </c>
      <c r="F948" s="285" t="s">
        <v>10666</v>
      </c>
      <c r="G948" s="285" t="s">
        <v>13710</v>
      </c>
      <c r="H948" s="285" t="s">
        <v>9579</v>
      </c>
      <c r="I948" s="285" t="s">
        <v>13711</v>
      </c>
      <c r="J948" s="285" t="s">
        <v>5224</v>
      </c>
      <c r="K948" s="285" t="s">
        <v>13006</v>
      </c>
      <c r="L948" s="285" t="s">
        <v>2730</v>
      </c>
      <c r="M948" s="285" t="s">
        <v>9391</v>
      </c>
      <c r="N948" s="287" t="str">
        <f>IFERROR(
    IF(
        AND(
            VLOOKUP(B948, 'รายชื่อพนักงานลาออกพ้นสภาพ'!B:I, 8, FALSE)&lt;&gt;"ยกเลิกลาออก",
            VLOOKUP(B948, 'รายชื่อพนักงานลาออกพ้นสภาพ'!B:I, 7, FALSE)&lt;=TODAY()
        ),
        "ลาออกแล้ว",
        ""
    ),
"")</f>
        <v/>
      </c>
      <c r="O948" s="292" t="str">
        <f t="array" ref="O948">IFERROR(INDEX(PCRent!C:D, MATCH(F948 &amp; " " &amp; G948, PCRent!A:A &amp; " " &amp; PCRent!B:B, 0)), "")</f>
        <v/>
      </c>
      <c r="P948" s="293"/>
      <c r="Q948" s="294" t="str">
        <f t="array" ref="Q948">IFERROR(INDEX(MonitorRent!C:D, MATCH(F948 &amp; " " &amp; G948, MonitorRent!A:A &amp; " " &amp; MonitorRent!B:B, 0)), "")</f>
        <v/>
      </c>
      <c r="R948" s="295"/>
    </row>
    <row r="949">
      <c r="A949" s="284">
        <v>946.0</v>
      </c>
      <c r="B949" s="285" t="s">
        <v>13712</v>
      </c>
      <c r="C949" s="285" t="s">
        <v>6918</v>
      </c>
      <c r="D949" s="286" t="s">
        <v>9853</v>
      </c>
      <c r="E949" s="285" t="s">
        <v>6921</v>
      </c>
      <c r="F949" s="285" t="s">
        <v>13713</v>
      </c>
      <c r="G949" s="285" t="s">
        <v>13714</v>
      </c>
      <c r="H949" s="285" t="s">
        <v>13715</v>
      </c>
      <c r="I949" s="285" t="s">
        <v>13716</v>
      </c>
      <c r="J949" s="285" t="s">
        <v>5012</v>
      </c>
      <c r="K949" s="285" t="s">
        <v>9560</v>
      </c>
      <c r="L949" s="285" t="s">
        <v>117</v>
      </c>
      <c r="M949" s="285" t="s">
        <v>9383</v>
      </c>
      <c r="N949" s="287" t="str">
        <f>IFERROR(
    IF(
        AND(
            VLOOKUP(B949, 'รายชื่อพนักงานลาออกพ้นสภาพ'!B:I, 8, FALSE)&lt;&gt;"ยกเลิกลาออก",
            VLOOKUP(B949, 'รายชื่อพนักงานลาออกพ้นสภาพ'!B:I, 7, FALSE)&lt;=TODAY()
        ),
        "ลาออกแล้ว",
        ""
    ),
"")</f>
        <v/>
      </c>
      <c r="O949" s="292" t="str">
        <f t="array" ref="O949:P949">IFERROR(INDEX(PCRent!C:D, MATCH(F949 &amp; " " &amp; G949, PCRent!A:A &amp; " " &amp; PCRent!B:B, 0)), "")</f>
        <v>SN:MP2AN2CD</v>
      </c>
      <c r="P949" s="293" t="s">
        <v>9562</v>
      </c>
      <c r="Q949" s="294" t="str">
        <f t="array" ref="Q949">IFERROR(INDEX(MonitorRent!C:D, MATCH(F949 &amp; " " &amp; G949, MonitorRent!A:A &amp; " " &amp; MonitorRent!B:B, 0)), "")</f>
        <v/>
      </c>
      <c r="R949" s="295"/>
    </row>
    <row r="950">
      <c r="A950" s="284">
        <v>947.0</v>
      </c>
      <c r="B950" s="285" t="s">
        <v>865</v>
      </c>
      <c r="C950" s="285" t="s">
        <v>6918</v>
      </c>
      <c r="D950" s="286" t="s">
        <v>10996</v>
      </c>
      <c r="E950" s="285" t="s">
        <v>6933</v>
      </c>
      <c r="F950" s="285" t="s">
        <v>13717</v>
      </c>
      <c r="G950" s="285" t="s">
        <v>13718</v>
      </c>
      <c r="H950" s="285" t="s">
        <v>13719</v>
      </c>
      <c r="I950" s="285" t="s">
        <v>868</v>
      </c>
      <c r="J950" s="285" t="s">
        <v>5012</v>
      </c>
      <c r="K950" s="285" t="s">
        <v>6322</v>
      </c>
      <c r="L950" s="285" t="s">
        <v>9711</v>
      </c>
      <c r="M950" s="285" t="s">
        <v>9391</v>
      </c>
      <c r="N950" s="287" t="str">
        <f>IFERROR(
    IF(
        AND(
            VLOOKUP(B950, 'รายชื่อพนักงานลาออกพ้นสภาพ'!B:I, 8, FALSE)&lt;&gt;"ยกเลิกลาออก",
            VLOOKUP(B950, 'รายชื่อพนักงานลาออกพ้นสภาพ'!B:I, 7, FALSE)&lt;=TODAY()
        ),
        "ลาออกแล้ว",
        ""
    ),
"")</f>
        <v>ลาออกแล้ว</v>
      </c>
      <c r="O950" s="292" t="str">
        <f t="array" ref="O950">IFERROR(INDEX(PCRent!C:D, MATCH(F950 &amp; " " &amp; G950, PCRent!A:A &amp; " " &amp; PCRent!B:B, 0)), "")</f>
        <v/>
      </c>
      <c r="P950" s="293"/>
      <c r="Q950" s="294" t="str">
        <f t="array" ref="Q950">IFERROR(INDEX(MonitorRent!C:D, MATCH(F950 &amp; " " &amp; G950, MonitorRent!A:A &amp; " " &amp; MonitorRent!B:B, 0)), "")</f>
        <v/>
      </c>
      <c r="R950" s="295"/>
    </row>
    <row r="951">
      <c r="A951" s="284">
        <v>948.0</v>
      </c>
      <c r="B951" s="285" t="s">
        <v>9221</v>
      </c>
      <c r="C951" s="285" t="s">
        <v>6918</v>
      </c>
      <c r="D951" s="286" t="s">
        <v>13720</v>
      </c>
      <c r="E951" s="285" t="s">
        <v>6933</v>
      </c>
      <c r="F951" s="285" t="s">
        <v>13721</v>
      </c>
      <c r="G951" s="285" t="s">
        <v>13722</v>
      </c>
      <c r="H951" s="285" t="s">
        <v>10812</v>
      </c>
      <c r="I951" s="285" t="s">
        <v>13723</v>
      </c>
      <c r="J951" s="285" t="s">
        <v>5224</v>
      </c>
      <c r="K951" s="285" t="s">
        <v>13087</v>
      </c>
      <c r="L951" s="285" t="s">
        <v>13699</v>
      </c>
      <c r="M951" s="285" t="s">
        <v>9383</v>
      </c>
      <c r="N951" s="287" t="str">
        <f>IFERROR(
    IF(
        AND(
            VLOOKUP(B951, 'รายชื่อพนักงานลาออกพ้นสภาพ'!B:I, 8, FALSE)&lt;&gt;"ยกเลิกลาออก",
            VLOOKUP(B951, 'รายชื่อพนักงานลาออกพ้นสภาพ'!B:I, 7, FALSE)&lt;=TODAY()
        ),
        "ลาออกแล้ว",
        ""
    ),
"")</f>
        <v/>
      </c>
      <c r="O951" s="292" t="str">
        <f t="array" ref="O951:P951">IFERROR(INDEX(PCRent!C:D, MATCH(F951 &amp; " " &amp; G951, PCRent!A:A &amp; " " &amp; PCRent!B:B, 0)), "")</f>
        <v>SN:8S4XMX3</v>
      </c>
      <c r="P951" s="293" t="s">
        <v>8146</v>
      </c>
      <c r="Q951" s="294" t="str">
        <f t="array" ref="Q951">IFERROR(INDEX(MonitorRent!C:D, MATCH(F951 &amp; " " &amp; G951, MonitorRent!A:A &amp; " " &amp; MonitorRent!B:B, 0)), "")</f>
        <v/>
      </c>
      <c r="R951" s="295"/>
    </row>
    <row r="952">
      <c r="A952" s="284">
        <v>949.0</v>
      </c>
      <c r="B952" s="285" t="s">
        <v>9069</v>
      </c>
      <c r="C952" s="285" t="s">
        <v>6918</v>
      </c>
      <c r="D952" s="286" t="s">
        <v>11610</v>
      </c>
      <c r="E952" s="285" t="s">
        <v>6933</v>
      </c>
      <c r="F952" s="285" t="s">
        <v>13721</v>
      </c>
      <c r="G952" s="285" t="s">
        <v>13724</v>
      </c>
      <c r="H952" s="285" t="s">
        <v>12633</v>
      </c>
      <c r="I952" s="285" t="s">
        <v>13725</v>
      </c>
      <c r="J952" s="285" t="s">
        <v>5224</v>
      </c>
      <c r="K952" s="285" t="s">
        <v>13726</v>
      </c>
      <c r="L952" s="285" t="s">
        <v>2508</v>
      </c>
      <c r="M952" s="285" t="s">
        <v>9383</v>
      </c>
      <c r="N952" s="287" t="str">
        <f>IFERROR(
    IF(
        AND(
            VLOOKUP(B952, 'รายชื่อพนักงานลาออกพ้นสภาพ'!B:I, 8, FALSE)&lt;&gt;"ยกเลิกลาออก",
            VLOOKUP(B952, 'รายชื่อพนักงานลาออกพ้นสภาพ'!B:I, 7, FALSE)&lt;=TODAY()
        ),
        "ลาออกแล้ว",
        ""
    ),
"")</f>
        <v/>
      </c>
      <c r="O952" s="292" t="str">
        <f t="array" ref="O952">IFERROR(INDEX(PCRent!C:D, MATCH(F952 &amp; " " &amp; G952, PCRent!A:A &amp; " " &amp; PCRent!B:B, 0)), "")</f>
        <v/>
      </c>
      <c r="P952" s="293"/>
      <c r="Q952" s="294" t="str">
        <f t="array" ref="Q952">IFERROR(INDEX(MonitorRent!C:D, MATCH(F952 &amp; " " &amp; G952, MonitorRent!A:A &amp; " " &amp; MonitorRent!B:B, 0)), "")</f>
        <v/>
      </c>
      <c r="R952" s="295"/>
    </row>
    <row r="953">
      <c r="A953" s="284">
        <v>950.0</v>
      </c>
      <c r="B953" s="285" t="s">
        <v>13727</v>
      </c>
      <c r="C953" s="285" t="s">
        <v>6918</v>
      </c>
      <c r="D953" s="286" t="s">
        <v>13728</v>
      </c>
      <c r="E953" s="285" t="s">
        <v>6933</v>
      </c>
      <c r="F953" s="285" t="s">
        <v>13721</v>
      </c>
      <c r="G953" s="285" t="s">
        <v>13729</v>
      </c>
      <c r="H953" s="285" t="s">
        <v>10770</v>
      </c>
      <c r="I953" s="285" t="s">
        <v>13730</v>
      </c>
      <c r="J953" s="285" t="s">
        <v>5012</v>
      </c>
      <c r="K953" s="285" t="s">
        <v>1363</v>
      </c>
      <c r="L953" s="285" t="s">
        <v>232</v>
      </c>
      <c r="M953" s="285" t="s">
        <v>9383</v>
      </c>
      <c r="N953" s="287" t="str">
        <f>IFERROR(
    IF(
        AND(
            VLOOKUP(B953, 'รายชื่อพนักงานลาออกพ้นสภาพ'!B:I, 8, FALSE)&lt;&gt;"ยกเลิกลาออก",
            VLOOKUP(B953, 'รายชื่อพนักงานลาออกพ้นสภาพ'!B:I, 7, FALSE)&lt;=TODAY()
        ),
        "ลาออกแล้ว",
        ""
    ),
"")</f>
        <v/>
      </c>
      <c r="O953" s="292" t="str">
        <f t="array" ref="O953">IFERROR(INDEX(PCRent!C:D, MATCH(F953 &amp; " " &amp; G953, PCRent!A:A &amp; " " &amp; PCRent!B:B, 0)), "")</f>
        <v/>
      </c>
      <c r="P953" s="293"/>
      <c r="Q953" s="294" t="str">
        <f t="array" ref="Q953">IFERROR(INDEX(MonitorRent!C:D, MATCH(F953 &amp; " " &amp; G953, MonitorRent!A:A &amp; " " &amp; MonitorRent!B:B, 0)), "")</f>
        <v/>
      </c>
      <c r="R953" s="295"/>
    </row>
    <row r="954">
      <c r="A954" s="284">
        <v>951.0</v>
      </c>
      <c r="B954" s="285" t="s">
        <v>13731</v>
      </c>
      <c r="C954" s="285" t="s">
        <v>6918</v>
      </c>
      <c r="D954" s="286" t="s">
        <v>10342</v>
      </c>
      <c r="E954" s="285" t="s">
        <v>6933</v>
      </c>
      <c r="F954" s="285" t="s">
        <v>13732</v>
      </c>
      <c r="G954" s="285" t="s">
        <v>13733</v>
      </c>
      <c r="H954" s="285" t="s">
        <v>13734</v>
      </c>
      <c r="I954" s="285" t="s">
        <v>13735</v>
      </c>
      <c r="J954" s="285" t="s">
        <v>5012</v>
      </c>
      <c r="K954" s="285" t="s">
        <v>9588</v>
      </c>
      <c r="L954" s="285" t="s">
        <v>13020</v>
      </c>
      <c r="M954" s="285" t="s">
        <v>9383</v>
      </c>
      <c r="N954" s="287" t="str">
        <f>IFERROR(
    IF(
        AND(
            VLOOKUP(B954, 'รายชื่อพนักงานลาออกพ้นสภาพ'!B:I, 8, FALSE)&lt;&gt;"ยกเลิกลาออก",
            VLOOKUP(B954, 'รายชื่อพนักงานลาออกพ้นสภาพ'!B:I, 7, FALSE)&lt;=TODAY()
        ),
        "ลาออกแล้ว",
        ""
    ),
"")</f>
        <v/>
      </c>
      <c r="O954" s="292" t="str">
        <f t="array" ref="O954">IFERROR(INDEX(PCRent!C:D, MATCH(F954 &amp; " " &amp; G954, PCRent!A:A &amp; " " &amp; PCRent!B:B, 0)), "")</f>
        <v/>
      </c>
      <c r="P954" s="293"/>
      <c r="Q954" s="294" t="str">
        <f t="array" ref="Q954">IFERROR(INDEX(MonitorRent!C:D, MATCH(F954 &amp; " " &amp; G954, MonitorRent!A:A &amp; " " &amp; MonitorRent!B:B, 0)), "")</f>
        <v/>
      </c>
      <c r="R954" s="295"/>
    </row>
    <row r="955">
      <c r="A955" s="284">
        <v>952.0</v>
      </c>
      <c r="B955" s="285" t="s">
        <v>13736</v>
      </c>
      <c r="C955" s="285" t="s">
        <v>6918</v>
      </c>
      <c r="D955" s="286" t="s">
        <v>10109</v>
      </c>
      <c r="E955" s="285" t="s">
        <v>6933</v>
      </c>
      <c r="F955" s="285" t="s">
        <v>13737</v>
      </c>
      <c r="G955" s="285" t="s">
        <v>13738</v>
      </c>
      <c r="H955" s="285" t="s">
        <v>11113</v>
      </c>
      <c r="I955" s="285" t="s">
        <v>13739</v>
      </c>
      <c r="J955" s="285" t="s">
        <v>5224</v>
      </c>
      <c r="K955" s="285" t="s">
        <v>9458</v>
      </c>
      <c r="L955" s="285" t="s">
        <v>2836</v>
      </c>
      <c r="M955" s="285" t="s">
        <v>9383</v>
      </c>
      <c r="N955" s="287" t="str">
        <f>IFERROR(
    IF(
        AND(
            VLOOKUP(B955, 'รายชื่อพนักงานลาออกพ้นสภาพ'!B:I, 8, FALSE)&lt;&gt;"ยกเลิกลาออก",
            VLOOKUP(B955, 'รายชื่อพนักงานลาออกพ้นสภาพ'!B:I, 7, FALSE)&lt;=TODAY()
        ),
        "ลาออกแล้ว",
        ""
    ),
"")</f>
        <v/>
      </c>
      <c r="O955" s="292" t="str">
        <f t="array" ref="O955">IFERROR(INDEX(PCRent!C:D, MATCH(F955 &amp; " " &amp; G955, PCRent!A:A &amp; " " &amp; PCRent!B:B, 0)), "")</f>
        <v/>
      </c>
      <c r="P955" s="293"/>
      <c r="Q955" s="294" t="str">
        <f t="array" ref="Q955">IFERROR(INDEX(MonitorRent!C:D, MATCH(F955 &amp; " " &amp; G955, MonitorRent!A:A &amp; " " &amp; MonitorRent!B:B, 0)), "")</f>
        <v/>
      </c>
      <c r="R955" s="295"/>
    </row>
    <row r="956">
      <c r="A956" s="284">
        <v>953.0</v>
      </c>
      <c r="B956" s="285" t="s">
        <v>4838</v>
      </c>
      <c r="C956" s="285" t="s">
        <v>6918</v>
      </c>
      <c r="D956" s="286" t="s">
        <v>10045</v>
      </c>
      <c r="E956" s="285" t="s">
        <v>6921</v>
      </c>
      <c r="F956" s="285" t="s">
        <v>13740</v>
      </c>
      <c r="G956" s="285" t="s">
        <v>13741</v>
      </c>
      <c r="H956" s="285" t="s">
        <v>13742</v>
      </c>
      <c r="I956" s="285" t="s">
        <v>4839</v>
      </c>
      <c r="J956" s="285" t="s">
        <v>5224</v>
      </c>
      <c r="K956" s="285" t="s">
        <v>4835</v>
      </c>
      <c r="L956" s="285" t="s">
        <v>13402</v>
      </c>
      <c r="M956" s="285" t="s">
        <v>9383</v>
      </c>
      <c r="N956" s="287" t="str">
        <f>IFERROR(
    IF(
        AND(
            VLOOKUP(B956, 'รายชื่อพนักงานลาออกพ้นสภาพ'!B:I, 8, FALSE)&lt;&gt;"ยกเลิกลาออก",
            VLOOKUP(B956, 'รายชื่อพนักงานลาออกพ้นสภาพ'!B:I, 7, FALSE)&lt;=TODAY()
        ),
        "ลาออกแล้ว",
        ""
    ),
"")</f>
        <v/>
      </c>
      <c r="O956" s="292" t="str">
        <f t="array" ref="O956:P956">IFERROR(INDEX(PCRent!C:D, MATCH(F956 &amp; " " &amp; G956, PCRent!A:A &amp; " " &amp; PCRent!B:B, 0)), "")</f>
        <v>SN:MP2E0NAJ</v>
      </c>
      <c r="P956" s="293" t="s">
        <v>7357</v>
      </c>
      <c r="Q956" s="294" t="str">
        <f t="array" ref="Q956">IFERROR(INDEX(MonitorRent!C:D, MATCH(F956 &amp; " " &amp; G956, MonitorRent!A:A &amp; " " &amp; MonitorRent!B:B, 0)), "")</f>
        <v/>
      </c>
      <c r="R956" s="295"/>
    </row>
    <row r="957">
      <c r="A957" s="284">
        <v>954.0</v>
      </c>
      <c r="B957" s="285" t="s">
        <v>8658</v>
      </c>
      <c r="C957" s="285" t="s">
        <v>6918</v>
      </c>
      <c r="D957" s="286" t="s">
        <v>13743</v>
      </c>
      <c r="E957" s="285" t="s">
        <v>6921</v>
      </c>
      <c r="F957" s="285" t="s">
        <v>13744</v>
      </c>
      <c r="G957" s="285" t="s">
        <v>13745</v>
      </c>
      <c r="H957" s="285" t="s">
        <v>10100</v>
      </c>
      <c r="I957" s="285" t="s">
        <v>13746</v>
      </c>
      <c r="J957" s="285" t="s">
        <v>5224</v>
      </c>
      <c r="K957" s="285" t="s">
        <v>13620</v>
      </c>
      <c r="L957" s="285" t="s">
        <v>8655</v>
      </c>
      <c r="M957" s="285" t="s">
        <v>9383</v>
      </c>
      <c r="N957" s="287" t="str">
        <f>IFERROR(
    IF(
        AND(
            VLOOKUP(B957, 'รายชื่อพนักงานลาออกพ้นสภาพ'!B:I, 8, FALSE)&lt;&gt;"ยกเลิกลาออก",
            VLOOKUP(B957, 'รายชื่อพนักงานลาออกพ้นสภาพ'!B:I, 7, FALSE)&lt;=TODAY()
        ),
        "ลาออกแล้ว",
        ""
    ),
"")</f>
        <v/>
      </c>
      <c r="O957" s="292" t="str">
        <f t="array" ref="O957">IFERROR(INDEX(PCRent!C:D, MATCH(F957 &amp; " " &amp; G957, PCRent!A:A &amp; " " &amp; PCRent!B:B, 0)), "")</f>
        <v/>
      </c>
      <c r="P957" s="293"/>
      <c r="Q957" s="294" t="str">
        <f t="array" ref="Q957">IFERROR(INDEX(MonitorRent!C:D, MATCH(F957 &amp; " " &amp; G957, MonitorRent!A:A &amp; " " &amp; MonitorRent!B:B, 0)), "")</f>
        <v/>
      </c>
      <c r="R957" s="295"/>
    </row>
    <row r="958">
      <c r="A958" s="284">
        <v>955.0</v>
      </c>
      <c r="B958" s="285" t="s">
        <v>13747</v>
      </c>
      <c r="C958" s="285" t="s">
        <v>6918</v>
      </c>
      <c r="D958" s="286" t="s">
        <v>9713</v>
      </c>
      <c r="E958" s="285" t="s">
        <v>6921</v>
      </c>
      <c r="F958" s="285" t="s">
        <v>13748</v>
      </c>
      <c r="G958" s="285" t="s">
        <v>13749</v>
      </c>
      <c r="H958" s="285" t="s">
        <v>13750</v>
      </c>
      <c r="I958" s="285" t="s">
        <v>6297</v>
      </c>
      <c r="J958" s="285" t="s">
        <v>5012</v>
      </c>
      <c r="K958" s="285" t="s">
        <v>9560</v>
      </c>
      <c r="L958" s="285" t="s">
        <v>13751</v>
      </c>
      <c r="M958" s="285" t="s">
        <v>9383</v>
      </c>
      <c r="N958" s="287" t="str">
        <f>IFERROR(
    IF(
        AND(
            VLOOKUP(B958, 'รายชื่อพนักงานลาออกพ้นสภาพ'!B:I, 8, FALSE)&lt;&gt;"ยกเลิกลาออก",
            VLOOKUP(B958, 'รายชื่อพนักงานลาออกพ้นสภาพ'!B:I, 7, FALSE)&lt;=TODAY()
        ),
        "ลาออกแล้ว",
        ""
    ),
"")</f>
        <v/>
      </c>
      <c r="O958" s="292" t="str">
        <f t="array" ref="O958:P958">IFERROR(INDEX(PCRent!C:D, MATCH(F958 &amp; " " &amp; G958, PCRent!A:A &amp; " " &amp; PCRent!B:B, 0)), "")</f>
        <v>SN:7TYNPY3</v>
      </c>
      <c r="P958" s="293" t="s">
        <v>7048</v>
      </c>
      <c r="Q958" s="294" t="str">
        <f t="array" ref="Q958:R958">IFERROR(INDEX(MonitorRent!C:D, MATCH(F958 &amp; " " &amp; G958, MonitorRent!A:A &amp; " " &amp; MonitorRent!B:B, 0)), "")</f>
        <v>SN:DL1H8X3</v>
      </c>
      <c r="R958" s="295" t="s">
        <v>7050</v>
      </c>
    </row>
    <row r="959">
      <c r="A959" s="284">
        <v>956.0</v>
      </c>
      <c r="B959" s="285" t="s">
        <v>45</v>
      </c>
      <c r="C959" s="285" t="s">
        <v>6918</v>
      </c>
      <c r="D959" s="286" t="s">
        <v>9453</v>
      </c>
      <c r="E959" s="285" t="s">
        <v>6933</v>
      </c>
      <c r="F959" s="285" t="s">
        <v>13752</v>
      </c>
      <c r="G959" s="285" t="s">
        <v>13753</v>
      </c>
      <c r="H959" s="285" t="s">
        <v>6933</v>
      </c>
      <c r="I959" s="285" t="s">
        <v>49</v>
      </c>
      <c r="J959" s="285" t="s">
        <v>5012</v>
      </c>
      <c r="K959" s="285" t="s">
        <v>1363</v>
      </c>
      <c r="L959" s="285" t="s">
        <v>13501</v>
      </c>
      <c r="M959" s="285" t="s">
        <v>9383</v>
      </c>
      <c r="N959" s="287" t="str">
        <f>IFERROR(
    IF(
        AND(
            VLOOKUP(B959, 'รายชื่อพนักงานลาออกพ้นสภาพ'!B:I, 8, FALSE)&lt;&gt;"ยกเลิกลาออก",
            VLOOKUP(B959, 'รายชื่อพนักงานลาออกพ้นสภาพ'!B:I, 7, FALSE)&lt;=TODAY()
        ),
        "ลาออกแล้ว",
        ""
    ),
"")</f>
        <v>ลาออกแล้ว</v>
      </c>
      <c r="O959" s="292" t="str">
        <f t="array" ref="O959">IFERROR(INDEX(PCRent!C:D, MATCH(F959 &amp; " " &amp; G959, PCRent!A:A &amp; " " &amp; PCRent!B:B, 0)), "")</f>
        <v/>
      </c>
      <c r="P959" s="293"/>
      <c r="Q959" s="294" t="str">
        <f t="array" ref="Q959">IFERROR(INDEX(MonitorRent!C:D, MATCH(F959 &amp; " " &amp; G959, MonitorRent!A:A &amp; " " &amp; MonitorRent!B:B, 0)), "")</f>
        <v/>
      </c>
      <c r="R959" s="295"/>
    </row>
    <row r="960">
      <c r="A960" s="284">
        <v>957.0</v>
      </c>
      <c r="B960" s="285" t="s">
        <v>8895</v>
      </c>
      <c r="C960" s="285" t="s">
        <v>6918</v>
      </c>
      <c r="D960" s="286" t="s">
        <v>12446</v>
      </c>
      <c r="E960" s="285" t="s">
        <v>6933</v>
      </c>
      <c r="F960" s="285" t="s">
        <v>13754</v>
      </c>
      <c r="G960" s="285" t="s">
        <v>13755</v>
      </c>
      <c r="H960" s="285" t="s">
        <v>13756</v>
      </c>
      <c r="I960" s="285" t="s">
        <v>13757</v>
      </c>
      <c r="J960" s="285" t="s">
        <v>5224</v>
      </c>
      <c r="K960" s="285" t="s">
        <v>9626</v>
      </c>
      <c r="L960" s="285" t="s">
        <v>8901</v>
      </c>
      <c r="M960" s="285" t="s">
        <v>9383</v>
      </c>
      <c r="N960" s="287" t="str">
        <f>IFERROR(
    IF(
        AND(
            VLOOKUP(B960, 'รายชื่อพนักงานลาออกพ้นสภาพ'!B:I, 8, FALSE)&lt;&gt;"ยกเลิกลาออก",
            VLOOKUP(B960, 'รายชื่อพนักงานลาออกพ้นสภาพ'!B:I, 7, FALSE)&lt;=TODAY()
        ),
        "ลาออกแล้ว",
        ""
    ),
"")</f>
        <v/>
      </c>
      <c r="O960" s="292" t="str">
        <f t="array" ref="O960:P960">IFERROR(INDEX(PCRent!C:D, MATCH(F960 &amp; " " &amp; G960, PCRent!A:A &amp; " " &amp; PCRent!B:B, 0)), "")</f>
        <v>SN:MP2EHAF4</v>
      </c>
      <c r="P960" s="293" t="s">
        <v>6993</v>
      </c>
      <c r="Q960" s="294" t="str">
        <f t="array" ref="Q960">IFERROR(INDEX(MonitorRent!C:D, MATCH(F960 &amp; " " &amp; G960, MonitorRent!A:A &amp; " " &amp; MonitorRent!B:B, 0)), "")</f>
        <v/>
      </c>
      <c r="R960" s="295"/>
    </row>
    <row r="961">
      <c r="A961" s="284">
        <v>958.0</v>
      </c>
      <c r="B961" s="285" t="s">
        <v>13758</v>
      </c>
      <c r="C961" s="285" t="s">
        <v>6918</v>
      </c>
      <c r="D961" s="286" t="s">
        <v>13759</v>
      </c>
      <c r="E961" s="285" t="s">
        <v>6921</v>
      </c>
      <c r="F961" s="285" t="s">
        <v>13760</v>
      </c>
      <c r="G961" s="285" t="s">
        <v>13761</v>
      </c>
      <c r="H961" s="285" t="s">
        <v>9663</v>
      </c>
      <c r="I961" s="285" t="s">
        <v>13762</v>
      </c>
      <c r="J961" s="285" t="s">
        <v>5012</v>
      </c>
      <c r="K961" s="285" t="s">
        <v>9560</v>
      </c>
      <c r="L961" s="285" t="s">
        <v>941</v>
      </c>
      <c r="M961" s="285" t="s">
        <v>9383</v>
      </c>
      <c r="N961" s="287" t="str">
        <f>IFERROR(
    IF(
        AND(
            VLOOKUP(B961, 'รายชื่อพนักงานลาออกพ้นสภาพ'!B:I, 8, FALSE)&lt;&gt;"ยกเลิกลาออก",
            VLOOKUP(B961, 'รายชื่อพนักงานลาออกพ้นสภาพ'!B:I, 7, FALSE)&lt;=TODAY()
        ),
        "ลาออกแล้ว",
        ""
    ),
"")</f>
        <v/>
      </c>
      <c r="O961" s="292" t="str">
        <f t="array" ref="O961:P961">IFERROR(INDEX(PCRent!C:D, MATCH(F961 &amp; " " &amp; G961, PCRent!A:A &amp; " " &amp; PCRent!B:B, 0)), "")</f>
        <v>SN:MP2AN2CC</v>
      </c>
      <c r="P961" s="293" t="s">
        <v>9562</v>
      </c>
      <c r="Q961" s="294" t="str">
        <f t="array" ref="Q961">IFERROR(INDEX(MonitorRent!C:D, MATCH(F961 &amp; " " &amp; G961, MonitorRent!A:A &amp; " " &amp; MonitorRent!B:B, 0)), "")</f>
        <v/>
      </c>
      <c r="R961" s="295"/>
    </row>
    <row r="962">
      <c r="A962" s="284">
        <v>959.0</v>
      </c>
      <c r="B962" s="285" t="s">
        <v>201</v>
      </c>
      <c r="C962" s="285" t="s">
        <v>6918</v>
      </c>
      <c r="D962" s="286" t="s">
        <v>13460</v>
      </c>
      <c r="E962" s="285" t="s">
        <v>6921</v>
      </c>
      <c r="F962" s="285" t="s">
        <v>13763</v>
      </c>
      <c r="G962" s="285" t="s">
        <v>13764</v>
      </c>
      <c r="H962" s="285" t="s">
        <v>13765</v>
      </c>
      <c r="I962" s="285" t="s">
        <v>204</v>
      </c>
      <c r="J962" s="285" t="s">
        <v>5012</v>
      </c>
      <c r="K962" s="285" t="s">
        <v>3000</v>
      </c>
      <c r="L962" s="285" t="s">
        <v>9467</v>
      </c>
      <c r="M962" s="285" t="s">
        <v>9383</v>
      </c>
      <c r="N962" s="287" t="str">
        <f>IFERROR(
    IF(
        AND(
            VLOOKUP(B962, 'รายชื่อพนักงานลาออกพ้นสภาพ'!B:I, 8, FALSE)&lt;&gt;"ยกเลิกลาออก",
            VLOOKUP(B962, 'รายชื่อพนักงานลาออกพ้นสภาพ'!B:I, 7, FALSE)&lt;=TODAY()
        ),
        "ลาออกแล้ว",
        ""
    ),
"")</f>
        <v>ลาออกแล้ว</v>
      </c>
      <c r="O962" s="292" t="str">
        <f t="array" ref="O962">IFERROR(INDEX(PCRent!C:D, MATCH(F962 &amp; " " &amp; G962, PCRent!A:A &amp; " " &amp; PCRent!B:B, 0)), "")</f>
        <v/>
      </c>
      <c r="P962" s="293"/>
      <c r="Q962" s="294" t="str">
        <f t="array" ref="Q962">IFERROR(INDEX(MonitorRent!C:D, MATCH(F962 &amp; " " &amp; G962, MonitorRent!A:A &amp; " " &amp; MonitorRent!B:B, 0)), "")</f>
        <v/>
      </c>
      <c r="R962" s="295"/>
    </row>
    <row r="963">
      <c r="A963" s="284">
        <v>960.0</v>
      </c>
      <c r="B963" s="285" t="s">
        <v>13766</v>
      </c>
      <c r="C963" s="285" t="s">
        <v>6918</v>
      </c>
      <c r="D963" s="286" t="s">
        <v>10303</v>
      </c>
      <c r="E963" s="285" t="s">
        <v>7239</v>
      </c>
      <c r="F963" s="285" t="s">
        <v>12928</v>
      </c>
      <c r="G963" s="285" t="s">
        <v>13767</v>
      </c>
      <c r="H963" s="285" t="s">
        <v>11968</v>
      </c>
      <c r="I963" s="285" t="s">
        <v>13768</v>
      </c>
      <c r="J963" s="285" t="s">
        <v>5224</v>
      </c>
      <c r="K963" s="285" t="s">
        <v>13769</v>
      </c>
      <c r="L963" s="285" t="s">
        <v>3041</v>
      </c>
      <c r="M963" s="285" t="s">
        <v>9383</v>
      </c>
      <c r="N963" s="287" t="str">
        <f>IFERROR(
    IF(
        AND(
            VLOOKUP(B963, 'รายชื่อพนักงานลาออกพ้นสภาพ'!B:I, 8, FALSE)&lt;&gt;"ยกเลิกลาออก",
            VLOOKUP(B963, 'รายชื่อพนักงานลาออกพ้นสภาพ'!B:I, 7, FALSE)&lt;=TODAY()
        ),
        "ลาออกแล้ว",
        ""
    ),
"")</f>
        <v/>
      </c>
      <c r="O963" s="292" t="str">
        <f t="array" ref="O963">IFERROR(INDEX(PCRent!C:D, MATCH(F963 &amp; " " &amp; G963, PCRent!A:A &amp; " " &amp; PCRent!B:B, 0)), "")</f>
        <v/>
      </c>
      <c r="P963" s="293"/>
      <c r="Q963" s="294" t="str">
        <f t="array" ref="Q963">IFERROR(INDEX(MonitorRent!C:D, MATCH(F963 &amp; " " &amp; G963, MonitorRent!A:A &amp; " " &amp; MonitorRent!B:B, 0)), "")</f>
        <v/>
      </c>
      <c r="R963" s="295"/>
    </row>
    <row r="964">
      <c r="A964" s="284">
        <v>961.0</v>
      </c>
      <c r="B964" s="285" t="s">
        <v>13770</v>
      </c>
      <c r="C964" s="285" t="s">
        <v>6918</v>
      </c>
      <c r="D964" s="286" t="s">
        <v>13771</v>
      </c>
      <c r="E964" s="285" t="s">
        <v>6933</v>
      </c>
      <c r="F964" s="285" t="s">
        <v>13772</v>
      </c>
      <c r="G964" s="285" t="s">
        <v>13773</v>
      </c>
      <c r="H964" s="285" t="s">
        <v>12037</v>
      </c>
      <c r="I964" s="285" t="s">
        <v>13774</v>
      </c>
      <c r="J964" s="285" t="s">
        <v>5012</v>
      </c>
      <c r="K964" s="285" t="s">
        <v>12379</v>
      </c>
      <c r="L964" s="285" t="s">
        <v>13172</v>
      </c>
      <c r="M964" s="285" t="s">
        <v>9383</v>
      </c>
      <c r="N964" s="287" t="str">
        <f>IFERROR(
    IF(
        AND(
            VLOOKUP(B964, 'รายชื่อพนักงานลาออกพ้นสภาพ'!B:I, 8, FALSE)&lt;&gt;"ยกเลิกลาออก",
            VLOOKUP(B964, 'รายชื่อพนักงานลาออกพ้นสภาพ'!B:I, 7, FALSE)&lt;=TODAY()
        ),
        "ลาออกแล้ว",
        ""
    ),
"")</f>
        <v/>
      </c>
      <c r="O964" s="292" t="str">
        <f t="array" ref="O964">IFERROR(INDEX(PCRent!C:D, MATCH(F964 &amp; " " &amp; G964, PCRent!A:A &amp; " " &amp; PCRent!B:B, 0)), "")</f>
        <v/>
      </c>
      <c r="P964" s="293"/>
      <c r="Q964" s="294" t="str">
        <f t="array" ref="Q964">IFERROR(INDEX(MonitorRent!C:D, MATCH(F964 &amp; " " &amp; G964, MonitorRent!A:A &amp; " " &amp; MonitorRent!B:B, 0)), "")</f>
        <v/>
      </c>
      <c r="R964" s="295"/>
    </row>
    <row r="965">
      <c r="A965" s="284">
        <v>962.0</v>
      </c>
      <c r="B965" s="285" t="s">
        <v>8839</v>
      </c>
      <c r="C965" s="285" t="s">
        <v>6918</v>
      </c>
      <c r="D965" s="286" t="s">
        <v>13775</v>
      </c>
      <c r="E965" s="285" t="s">
        <v>6933</v>
      </c>
      <c r="F965" s="285" t="s">
        <v>13776</v>
      </c>
      <c r="G965" s="285" t="s">
        <v>13777</v>
      </c>
      <c r="H965" s="285" t="s">
        <v>13778</v>
      </c>
      <c r="I965" s="285" t="s">
        <v>13779</v>
      </c>
      <c r="J965" s="285" t="s">
        <v>5012</v>
      </c>
      <c r="K965" s="285" t="s">
        <v>9466</v>
      </c>
      <c r="L965" s="285" t="s">
        <v>13501</v>
      </c>
      <c r="M965" s="285" t="s">
        <v>9383</v>
      </c>
      <c r="N965" s="287" t="str">
        <f>IFERROR(
    IF(
        AND(
            VLOOKUP(B965, 'รายชื่อพนักงานลาออกพ้นสภาพ'!B:I, 8, FALSE)&lt;&gt;"ยกเลิกลาออก",
            VLOOKUP(B965, 'รายชื่อพนักงานลาออกพ้นสภาพ'!B:I, 7, FALSE)&lt;=TODAY()
        ),
        "ลาออกแล้ว",
        ""
    ),
"")</f>
        <v/>
      </c>
      <c r="O965" s="292" t="str">
        <f t="array" ref="O965">IFERROR(INDEX(PCRent!C:D, MATCH(F965 &amp; " " &amp; G965, PCRent!A:A &amp; " " &amp; PCRent!B:B, 0)), "")</f>
        <v/>
      </c>
      <c r="P965" s="293"/>
      <c r="Q965" s="294" t="str">
        <f t="array" ref="Q965">IFERROR(INDEX(MonitorRent!C:D, MATCH(F965 &amp; " " &amp; G965, MonitorRent!A:A &amp; " " &amp; MonitorRent!B:B, 0)), "")</f>
        <v/>
      </c>
      <c r="R965" s="295"/>
    </row>
    <row r="966">
      <c r="A966" s="284">
        <v>963.0</v>
      </c>
      <c r="B966" s="285" t="s">
        <v>13780</v>
      </c>
      <c r="C966" s="285" t="s">
        <v>6918</v>
      </c>
      <c r="D966" s="286" t="s">
        <v>10724</v>
      </c>
      <c r="E966" s="285" t="s">
        <v>6933</v>
      </c>
      <c r="F966" s="285" t="s">
        <v>13781</v>
      </c>
      <c r="G966" s="285" t="s">
        <v>13782</v>
      </c>
      <c r="H966" s="285" t="s">
        <v>13783</v>
      </c>
      <c r="I966" s="285" t="s">
        <v>13784</v>
      </c>
      <c r="J966" s="285" t="s">
        <v>5012</v>
      </c>
      <c r="K966" s="285" t="s">
        <v>9626</v>
      </c>
      <c r="L966" s="285" t="s">
        <v>13490</v>
      </c>
      <c r="M966" s="285" t="s">
        <v>9383</v>
      </c>
      <c r="N966" s="287" t="str">
        <f>IFERROR(
    IF(
        AND(
            VLOOKUP(B966, 'รายชื่อพนักงานลาออกพ้นสภาพ'!B:I, 8, FALSE)&lt;&gt;"ยกเลิกลาออก",
            VLOOKUP(B966, 'รายชื่อพนักงานลาออกพ้นสภาพ'!B:I, 7, FALSE)&lt;=TODAY()
        ),
        "ลาออกแล้ว",
        ""
    ),
"")</f>
        <v/>
      </c>
      <c r="O966" s="292" t="str">
        <f t="array" ref="O966">IFERROR(INDEX(PCRent!C:D, MATCH(F966 &amp; " " &amp; G966, PCRent!A:A &amp; " " &amp; PCRent!B:B, 0)), "")</f>
        <v/>
      </c>
      <c r="P966" s="293"/>
      <c r="Q966" s="294" t="str">
        <f t="array" ref="Q966">IFERROR(INDEX(MonitorRent!C:D, MATCH(F966 &amp; " " &amp; G966, MonitorRent!A:A &amp; " " &amp; MonitorRent!B:B, 0)), "")</f>
        <v/>
      </c>
      <c r="R966" s="295"/>
    </row>
    <row r="967">
      <c r="A967" s="284">
        <v>964.0</v>
      </c>
      <c r="B967" s="285" t="s">
        <v>8192</v>
      </c>
      <c r="C967" s="285" t="s">
        <v>6918</v>
      </c>
      <c r="D967" s="286" t="s">
        <v>13319</v>
      </c>
      <c r="E967" s="285" t="s">
        <v>6933</v>
      </c>
      <c r="F967" s="285" t="s">
        <v>13785</v>
      </c>
      <c r="G967" s="285" t="s">
        <v>13786</v>
      </c>
      <c r="H967" s="285" t="s">
        <v>10812</v>
      </c>
      <c r="I967" s="285" t="s">
        <v>13787</v>
      </c>
      <c r="J967" s="285" t="s">
        <v>5224</v>
      </c>
      <c r="K967" s="285" t="s">
        <v>4756</v>
      </c>
      <c r="L967" s="285" t="s">
        <v>13030</v>
      </c>
      <c r="M967" s="285" t="s">
        <v>9383</v>
      </c>
      <c r="N967" s="287" t="str">
        <f>IFERROR(
    IF(
        AND(
            VLOOKUP(B967, 'รายชื่อพนักงานลาออกพ้นสภาพ'!B:I, 8, FALSE)&lt;&gt;"ยกเลิกลาออก",
            VLOOKUP(B967, 'รายชื่อพนักงานลาออกพ้นสภาพ'!B:I, 7, FALSE)&lt;=TODAY()
        ),
        "ลาออกแล้ว",
        ""
    ),
"")</f>
        <v/>
      </c>
      <c r="O967" s="292" t="str">
        <f t="array" ref="O967:P967">IFERROR(INDEX(PCRent!C:D, MATCH(F967 &amp; " " &amp; G967, PCRent!A:A &amp; " " &amp; PCRent!B:B, 0)), "")</f>
        <v>SN:MP2EJ0NH</v>
      </c>
      <c r="P967" s="293" t="s">
        <v>6993</v>
      </c>
      <c r="Q967" s="294" t="str">
        <f t="array" ref="Q967">IFERROR(INDEX(MonitorRent!C:D, MATCH(F967 &amp; " " &amp; G967, MonitorRent!A:A &amp; " " &amp; MonitorRent!B:B, 0)), "")</f>
        <v/>
      </c>
      <c r="R967" s="295"/>
    </row>
    <row r="968">
      <c r="A968" s="284">
        <v>965.0</v>
      </c>
      <c r="B968" s="285" t="s">
        <v>13788</v>
      </c>
      <c r="C968" s="285" t="s">
        <v>6918</v>
      </c>
      <c r="D968" s="286" t="s">
        <v>9995</v>
      </c>
      <c r="E968" s="285" t="s">
        <v>6933</v>
      </c>
      <c r="F968" s="285" t="s">
        <v>13789</v>
      </c>
      <c r="G968" s="285" t="s">
        <v>13790</v>
      </c>
      <c r="H968" s="285" t="s">
        <v>11911</v>
      </c>
      <c r="I968" s="285" t="s">
        <v>13791</v>
      </c>
      <c r="J968" s="285" t="s">
        <v>5012</v>
      </c>
      <c r="K968" s="285" t="s">
        <v>9626</v>
      </c>
      <c r="L968" s="285" t="s">
        <v>8906</v>
      </c>
      <c r="M968" s="285" t="s">
        <v>9383</v>
      </c>
      <c r="N968" s="287" t="str">
        <f>IFERROR(
    IF(
        AND(
            VLOOKUP(B968, 'รายชื่อพนักงานลาออกพ้นสภาพ'!B:I, 8, FALSE)&lt;&gt;"ยกเลิกลาออก",
            VLOOKUP(B968, 'รายชื่อพนักงานลาออกพ้นสภาพ'!B:I, 7, FALSE)&lt;=TODAY()
        ),
        "ลาออกแล้ว",
        ""
    ),
"")</f>
        <v/>
      </c>
      <c r="O968" s="292" t="str">
        <f t="array" ref="O968">IFERROR(INDEX(PCRent!C:D, MATCH(F968 &amp; " " &amp; G968, PCRent!A:A &amp; " " &amp; PCRent!B:B, 0)), "")</f>
        <v/>
      </c>
      <c r="P968" s="293"/>
      <c r="Q968" s="294" t="str">
        <f t="array" ref="Q968">IFERROR(INDEX(MonitorRent!C:D, MATCH(F968 &amp; " " &amp; G968, MonitorRent!A:A &amp; " " &amp; MonitorRent!B:B, 0)), "")</f>
        <v/>
      </c>
      <c r="R968" s="295"/>
    </row>
    <row r="969">
      <c r="A969" s="284">
        <v>966.0</v>
      </c>
      <c r="B969" s="285" t="s">
        <v>8295</v>
      </c>
      <c r="C969" s="285" t="s">
        <v>6918</v>
      </c>
      <c r="D969" s="286" t="s">
        <v>11937</v>
      </c>
      <c r="E969" s="285" t="s">
        <v>6921</v>
      </c>
      <c r="F969" s="285" t="s">
        <v>13792</v>
      </c>
      <c r="G969" s="285" t="s">
        <v>13793</v>
      </c>
      <c r="H969" s="285" t="s">
        <v>13794</v>
      </c>
      <c r="I969" s="285" t="s">
        <v>13795</v>
      </c>
      <c r="J969" s="285" t="s">
        <v>5224</v>
      </c>
      <c r="K969" s="285" t="s">
        <v>13006</v>
      </c>
      <c r="L969" s="285" t="s">
        <v>2730</v>
      </c>
      <c r="M969" s="285" t="s">
        <v>9383</v>
      </c>
      <c r="N969" s="287" t="str">
        <f>IFERROR(
    IF(
        AND(
            VLOOKUP(B969, 'รายชื่อพนักงานลาออกพ้นสภาพ'!B:I, 8, FALSE)&lt;&gt;"ยกเลิกลาออก",
            VLOOKUP(B969, 'รายชื่อพนักงานลาออกพ้นสภาพ'!B:I, 7, FALSE)&lt;=TODAY()
        ),
        "ลาออกแล้ว",
        ""
    ),
"")</f>
        <v/>
      </c>
      <c r="O969" s="292" t="str">
        <f t="array" ref="O969">IFERROR(INDEX(PCRent!C:D, MATCH(F969 &amp; " " &amp; G969, PCRent!A:A &amp; " " &amp; PCRent!B:B, 0)), "")</f>
        <v/>
      </c>
      <c r="P969" s="293"/>
      <c r="Q969" s="294" t="str">
        <f t="array" ref="Q969">IFERROR(INDEX(MonitorRent!C:D, MATCH(F969 &amp; " " &amp; G969, MonitorRent!A:A &amp; " " &amp; MonitorRent!B:B, 0)), "")</f>
        <v/>
      </c>
      <c r="R969" s="295"/>
    </row>
    <row r="970">
      <c r="A970" s="284">
        <v>967.0</v>
      </c>
      <c r="B970" s="285" t="s">
        <v>13796</v>
      </c>
      <c r="C970" s="285" t="s">
        <v>6918</v>
      </c>
      <c r="D970" s="286" t="s">
        <v>10051</v>
      </c>
      <c r="E970" s="285" t="s">
        <v>6933</v>
      </c>
      <c r="F970" s="285" t="s">
        <v>13797</v>
      </c>
      <c r="G970" s="285" t="s">
        <v>13798</v>
      </c>
      <c r="H970" s="296"/>
      <c r="I970" s="296"/>
      <c r="J970" s="285" t="s">
        <v>5224</v>
      </c>
      <c r="K970" s="285" t="s">
        <v>4805</v>
      </c>
      <c r="L970" s="285" t="s">
        <v>13799</v>
      </c>
      <c r="M970" s="285" t="s">
        <v>9383</v>
      </c>
      <c r="N970" s="287" t="str">
        <f>IFERROR(
    IF(
        AND(
            VLOOKUP(B970, 'รายชื่อพนักงานลาออกพ้นสภาพ'!B:I, 8, FALSE)&lt;&gt;"ยกเลิกลาออก",
            VLOOKUP(B970, 'รายชื่อพนักงานลาออกพ้นสภาพ'!B:I, 7, FALSE)&lt;=TODAY()
        ),
        "ลาออกแล้ว",
        ""
    ),
"")</f>
        <v/>
      </c>
      <c r="O970" s="292" t="str">
        <f t="array" ref="O970">IFERROR(INDEX(PCRent!C:D, MATCH(F970 &amp; " " &amp; G970, PCRent!A:A &amp; " " &amp; PCRent!B:B, 0)), "")</f>
        <v/>
      </c>
      <c r="P970" s="293"/>
      <c r="Q970" s="294" t="str">
        <f t="array" ref="Q970">IFERROR(INDEX(MonitorRent!C:D, MATCH(F970 &amp; " " &amp; G970, MonitorRent!A:A &amp; " " &amp; MonitorRent!B:B, 0)), "")</f>
        <v/>
      </c>
      <c r="R970" s="295"/>
    </row>
    <row r="971">
      <c r="A971" s="284">
        <v>968.0</v>
      </c>
      <c r="B971" s="285" t="s">
        <v>7072</v>
      </c>
      <c r="C971" s="285" t="s">
        <v>6918</v>
      </c>
      <c r="D971" s="286" t="s">
        <v>9489</v>
      </c>
      <c r="E971" s="285" t="s">
        <v>6933</v>
      </c>
      <c r="F971" s="285" t="s">
        <v>10774</v>
      </c>
      <c r="G971" s="285" t="s">
        <v>13800</v>
      </c>
      <c r="H971" s="285" t="s">
        <v>10476</v>
      </c>
      <c r="I971" s="285" t="s">
        <v>13801</v>
      </c>
      <c r="J971" s="285" t="s">
        <v>5224</v>
      </c>
      <c r="K971" s="285" t="s">
        <v>13802</v>
      </c>
      <c r="L971" s="285" t="s">
        <v>7060</v>
      </c>
      <c r="M971" s="285" t="s">
        <v>9383</v>
      </c>
      <c r="N971" s="287" t="str">
        <f>IFERROR(
    IF(
        AND(
            VLOOKUP(B971, 'รายชื่อพนักงานลาออกพ้นสภาพ'!B:I, 8, FALSE)&lt;&gt;"ยกเลิกลาออก",
            VLOOKUP(B971, 'รายชื่อพนักงานลาออกพ้นสภาพ'!B:I, 7, FALSE)&lt;=TODAY()
        ),
        "ลาออกแล้ว",
        ""
    ),
"")</f>
        <v/>
      </c>
      <c r="O971" s="292" t="str">
        <f t="array" ref="O971:P971">IFERROR(INDEX(PCRent!C:D, MATCH(F971 &amp; " " &amp; G971, PCRent!A:A &amp; " " &amp; PCRent!B:B, 0)), "")</f>
        <v>SN:MP2ESVB1</v>
      </c>
      <c r="P971" s="293" t="s">
        <v>7070</v>
      </c>
      <c r="Q971" s="294" t="str">
        <f t="array" ref="Q971">IFERROR(INDEX(MonitorRent!C:D, MATCH(F971 &amp; " " &amp; G971, MonitorRent!A:A &amp; " " &amp; MonitorRent!B:B, 0)), "")</f>
        <v/>
      </c>
      <c r="R971" s="295"/>
    </row>
    <row r="972">
      <c r="A972" s="284">
        <v>969.0</v>
      </c>
      <c r="B972" s="285" t="s">
        <v>13803</v>
      </c>
      <c r="C972" s="285" t="s">
        <v>6918</v>
      </c>
      <c r="D972" s="286" t="s">
        <v>13804</v>
      </c>
      <c r="E972" s="285" t="s">
        <v>6933</v>
      </c>
      <c r="F972" s="285" t="s">
        <v>10784</v>
      </c>
      <c r="G972" s="285" t="s">
        <v>13805</v>
      </c>
      <c r="H972" s="285" t="s">
        <v>10374</v>
      </c>
      <c r="I972" s="285" t="s">
        <v>13806</v>
      </c>
      <c r="J972" s="285" t="s">
        <v>5012</v>
      </c>
      <c r="K972" s="285" t="s">
        <v>9521</v>
      </c>
      <c r="L972" s="285" t="s">
        <v>13067</v>
      </c>
      <c r="M972" s="285" t="s">
        <v>9383</v>
      </c>
      <c r="N972" s="287" t="str">
        <f>IFERROR(
    IF(
        AND(
            VLOOKUP(B972, 'รายชื่อพนักงานลาออกพ้นสภาพ'!B:I, 8, FALSE)&lt;&gt;"ยกเลิกลาออก",
            VLOOKUP(B972, 'รายชื่อพนักงานลาออกพ้นสภาพ'!B:I, 7, FALSE)&lt;=TODAY()
        ),
        "ลาออกแล้ว",
        ""
    ),
"")</f>
        <v/>
      </c>
      <c r="O972" s="292" t="str">
        <f t="array" ref="O972">IFERROR(INDEX(PCRent!C:D, MATCH(F972 &amp; " " &amp; G972, PCRent!A:A &amp; " " &amp; PCRent!B:B, 0)), "")</f>
        <v/>
      </c>
      <c r="P972" s="293"/>
      <c r="Q972" s="294" t="str">
        <f t="array" ref="Q972">IFERROR(INDEX(MonitorRent!C:D, MATCH(F972 &amp; " " &amp; G972, MonitorRent!A:A &amp; " " &amp; MonitorRent!B:B, 0)), "")</f>
        <v/>
      </c>
      <c r="R972" s="295"/>
    </row>
    <row r="973">
      <c r="A973" s="284">
        <v>970.0</v>
      </c>
      <c r="B973" s="285" t="s">
        <v>4889</v>
      </c>
      <c r="C973" s="285" t="s">
        <v>6918</v>
      </c>
      <c r="D973" s="286" t="s">
        <v>13807</v>
      </c>
      <c r="E973" s="285" t="s">
        <v>6933</v>
      </c>
      <c r="F973" s="285" t="s">
        <v>13808</v>
      </c>
      <c r="G973" s="285" t="s">
        <v>13809</v>
      </c>
      <c r="H973" s="285" t="s">
        <v>10831</v>
      </c>
      <c r="I973" s="285" t="s">
        <v>4890</v>
      </c>
      <c r="J973" s="285" t="s">
        <v>5224</v>
      </c>
      <c r="K973" s="285" t="s">
        <v>4876</v>
      </c>
      <c r="L973" s="285" t="s">
        <v>13368</v>
      </c>
      <c r="M973" s="285" t="s">
        <v>9383</v>
      </c>
      <c r="N973" s="287" t="str">
        <f>IFERROR(
    IF(
        AND(
            VLOOKUP(B973, 'รายชื่อพนักงานลาออกพ้นสภาพ'!B:I, 8, FALSE)&lt;&gt;"ยกเลิกลาออก",
            VLOOKUP(B973, 'รายชื่อพนักงานลาออกพ้นสภาพ'!B:I, 7, FALSE)&lt;=TODAY()
        ),
        "ลาออกแล้ว",
        ""
    ),
"")</f>
        <v/>
      </c>
      <c r="O973" s="292" t="str">
        <f t="array" ref="O973">IFERROR(INDEX(PCRent!C:D, MATCH(F973 &amp; " " &amp; G973, PCRent!A:A &amp; " " &amp; PCRent!B:B, 0)), "")</f>
        <v/>
      </c>
      <c r="P973" s="293"/>
      <c r="Q973" s="294" t="str">
        <f t="array" ref="Q973">IFERROR(INDEX(MonitorRent!C:D, MATCH(F973 &amp; " " &amp; G973, MonitorRent!A:A &amp; " " &amp; MonitorRent!B:B, 0)), "")</f>
        <v/>
      </c>
      <c r="R973" s="295"/>
    </row>
    <row r="974">
      <c r="A974" s="284">
        <v>971.0</v>
      </c>
      <c r="B974" s="285" t="s">
        <v>7445</v>
      </c>
      <c r="C974" s="285" t="s">
        <v>6918</v>
      </c>
      <c r="D974" s="286" t="s">
        <v>10303</v>
      </c>
      <c r="E974" s="285" t="s">
        <v>6921</v>
      </c>
      <c r="F974" s="285" t="s">
        <v>13810</v>
      </c>
      <c r="G974" s="285" t="s">
        <v>13811</v>
      </c>
      <c r="H974" s="285" t="s">
        <v>10193</v>
      </c>
      <c r="I974" s="285" t="s">
        <v>13812</v>
      </c>
      <c r="J974" s="285" t="s">
        <v>5224</v>
      </c>
      <c r="K974" s="285" t="s">
        <v>13813</v>
      </c>
      <c r="L974" s="285" t="s">
        <v>7434</v>
      </c>
      <c r="M974" s="285" t="s">
        <v>9383</v>
      </c>
      <c r="N974" s="287" t="str">
        <f>IFERROR(
    IF(
        AND(
            VLOOKUP(B974, 'รายชื่อพนักงานลาออกพ้นสภาพ'!B:I, 8, FALSE)&lt;&gt;"ยกเลิกลาออก",
            VLOOKUP(B974, 'รายชื่อพนักงานลาออกพ้นสภาพ'!B:I, 7, FALSE)&lt;=TODAY()
        ),
        "ลาออกแล้ว",
        ""
    ),
"")</f>
        <v/>
      </c>
      <c r="O974" s="292" t="str">
        <f t="array" ref="O974">IFERROR(INDEX(PCRent!C:D, MATCH(F974 &amp; " " &amp; G974, PCRent!A:A &amp; " " &amp; PCRent!B:B, 0)), "")</f>
        <v/>
      </c>
      <c r="P974" s="293"/>
      <c r="Q974" s="294" t="str">
        <f t="array" ref="Q974">IFERROR(INDEX(MonitorRent!C:D, MATCH(F974 &amp; " " &amp; G974, MonitorRent!A:A &amp; " " &amp; MonitorRent!B:B, 0)), "")</f>
        <v/>
      </c>
      <c r="R974" s="295"/>
    </row>
    <row r="975">
      <c r="A975" s="284">
        <v>972.0</v>
      </c>
      <c r="B975" s="285" t="s">
        <v>7940</v>
      </c>
      <c r="C975" s="285" t="s">
        <v>6918</v>
      </c>
      <c r="D975" s="286" t="s">
        <v>13072</v>
      </c>
      <c r="E975" s="285" t="s">
        <v>6933</v>
      </c>
      <c r="F975" s="285" t="s">
        <v>13814</v>
      </c>
      <c r="G975" s="285" t="s">
        <v>13815</v>
      </c>
      <c r="H975" s="285" t="s">
        <v>9402</v>
      </c>
      <c r="I975" s="285" t="s">
        <v>13816</v>
      </c>
      <c r="J975" s="285" t="s">
        <v>5224</v>
      </c>
      <c r="K975" s="285" t="s">
        <v>10118</v>
      </c>
      <c r="L975" s="285" t="s">
        <v>3096</v>
      </c>
      <c r="M975" s="285" t="s">
        <v>9383</v>
      </c>
      <c r="N975" s="287" t="str">
        <f>IFERROR(
    IF(
        AND(
            VLOOKUP(B975, 'รายชื่อพนักงานลาออกพ้นสภาพ'!B:I, 8, FALSE)&lt;&gt;"ยกเลิกลาออก",
            VLOOKUP(B975, 'รายชื่อพนักงานลาออกพ้นสภาพ'!B:I, 7, FALSE)&lt;=TODAY()
        ),
        "ลาออกแล้ว",
        ""
    ),
"")</f>
        <v/>
      </c>
      <c r="O975" s="292" t="str">
        <f t="array" ref="O975">IFERROR(INDEX(PCRent!C:D, MATCH(F975 &amp; " " &amp; G975, PCRent!A:A &amp; " " &amp; PCRent!B:B, 0)), "")</f>
        <v/>
      </c>
      <c r="P975" s="293"/>
      <c r="Q975" s="294" t="str">
        <f t="array" ref="Q975">IFERROR(INDEX(MonitorRent!C:D, MATCH(F975 &amp; " " &amp; G975, MonitorRent!A:A &amp; " " &amp; MonitorRent!B:B, 0)), "")</f>
        <v/>
      </c>
      <c r="R975" s="295"/>
    </row>
    <row r="976">
      <c r="A976" s="284">
        <v>973.0</v>
      </c>
      <c r="B976" s="285" t="s">
        <v>13817</v>
      </c>
      <c r="C976" s="285" t="s">
        <v>6918</v>
      </c>
      <c r="D976" s="286" t="s">
        <v>10456</v>
      </c>
      <c r="E976" s="285" t="s">
        <v>6921</v>
      </c>
      <c r="F976" s="285" t="s">
        <v>13818</v>
      </c>
      <c r="G976" s="285" t="s">
        <v>13819</v>
      </c>
      <c r="H976" s="285" t="s">
        <v>11194</v>
      </c>
      <c r="I976" s="285" t="s">
        <v>13820</v>
      </c>
      <c r="J976" s="285" t="s">
        <v>5012</v>
      </c>
      <c r="K976" s="285" t="s">
        <v>9560</v>
      </c>
      <c r="L976" s="285" t="s">
        <v>1027</v>
      </c>
      <c r="M976" s="285" t="s">
        <v>9383</v>
      </c>
      <c r="N976" s="287" t="str">
        <f>IFERROR(
    IF(
        AND(
            VLOOKUP(B976, 'รายชื่อพนักงานลาออกพ้นสภาพ'!B:I, 8, FALSE)&lt;&gt;"ยกเลิกลาออก",
            VLOOKUP(B976, 'รายชื่อพนักงานลาออกพ้นสภาพ'!B:I, 7, FALSE)&lt;=TODAY()
        ),
        "ลาออกแล้ว",
        ""
    ),
"")</f>
        <v/>
      </c>
      <c r="O976" s="292" t="str">
        <f t="array" ref="O976">IFERROR(INDEX(PCRent!C:D, MATCH(F976 &amp; " " &amp; G976, PCRent!A:A &amp; " " &amp; PCRent!B:B, 0)), "")</f>
        <v/>
      </c>
      <c r="P976" s="293"/>
      <c r="Q976" s="294" t="str">
        <f t="array" ref="Q976">IFERROR(INDEX(MonitorRent!C:D, MATCH(F976 &amp; " " &amp; G976, MonitorRent!A:A &amp; " " &amp; MonitorRent!B:B, 0)), "")</f>
        <v/>
      </c>
      <c r="R976" s="295"/>
    </row>
    <row r="977">
      <c r="A977" s="284">
        <v>974.0</v>
      </c>
      <c r="B977" s="285" t="s">
        <v>13821</v>
      </c>
      <c r="C977" s="285" t="s">
        <v>6918</v>
      </c>
      <c r="D977" s="286" t="s">
        <v>12539</v>
      </c>
      <c r="E977" s="285" t="s">
        <v>6933</v>
      </c>
      <c r="F977" s="285" t="s">
        <v>13822</v>
      </c>
      <c r="G977" s="285" t="s">
        <v>13823</v>
      </c>
      <c r="H977" s="285" t="s">
        <v>10801</v>
      </c>
      <c r="I977" s="285" t="s">
        <v>13824</v>
      </c>
      <c r="J977" s="285" t="s">
        <v>5012</v>
      </c>
      <c r="K977" s="285" t="s">
        <v>9626</v>
      </c>
      <c r="L977" s="285" t="s">
        <v>3857</v>
      </c>
      <c r="M977" s="285" t="s">
        <v>9383</v>
      </c>
      <c r="N977" s="287" t="str">
        <f>IFERROR(
    IF(
        AND(
            VLOOKUP(B977, 'รายชื่อพนักงานลาออกพ้นสภาพ'!B:I, 8, FALSE)&lt;&gt;"ยกเลิกลาออก",
            VLOOKUP(B977, 'รายชื่อพนักงานลาออกพ้นสภาพ'!B:I, 7, FALSE)&lt;=TODAY()
        ),
        "ลาออกแล้ว",
        ""
    ),
"")</f>
        <v/>
      </c>
      <c r="O977" s="292" t="str">
        <f t="array" ref="O977">IFERROR(INDEX(PCRent!C:D, MATCH(F977 &amp; " " &amp; G977, PCRent!A:A &amp; " " &amp; PCRent!B:B, 0)), "")</f>
        <v/>
      </c>
      <c r="P977" s="293"/>
      <c r="Q977" s="294" t="str">
        <f t="array" ref="Q977">IFERROR(INDEX(MonitorRent!C:D, MATCH(F977 &amp; " " &amp; G977, MonitorRent!A:A &amp; " " &amp; MonitorRent!B:B, 0)), "")</f>
        <v/>
      </c>
      <c r="R977" s="295"/>
    </row>
    <row r="978">
      <c r="A978" s="284">
        <v>975.0</v>
      </c>
      <c r="B978" s="285" t="s">
        <v>4808</v>
      </c>
      <c r="C978" s="285" t="s">
        <v>6918</v>
      </c>
      <c r="D978" s="286" t="s">
        <v>10012</v>
      </c>
      <c r="E978" s="285" t="s">
        <v>6921</v>
      </c>
      <c r="F978" s="285" t="s">
        <v>13825</v>
      </c>
      <c r="G978" s="285" t="s">
        <v>13826</v>
      </c>
      <c r="H978" s="285" t="s">
        <v>13827</v>
      </c>
      <c r="I978" s="285" t="s">
        <v>4809</v>
      </c>
      <c r="J978" s="285" t="s">
        <v>5224</v>
      </c>
      <c r="K978" s="285" t="s">
        <v>4805</v>
      </c>
      <c r="L978" s="285" t="s">
        <v>13828</v>
      </c>
      <c r="M978" s="285" t="s">
        <v>9383</v>
      </c>
      <c r="N978" s="287" t="str">
        <f>IFERROR(
    IF(
        AND(
            VLOOKUP(B978, 'รายชื่อพนักงานลาออกพ้นสภาพ'!B:I, 8, FALSE)&lt;&gt;"ยกเลิกลาออก",
            VLOOKUP(B978, 'รายชื่อพนักงานลาออกพ้นสภาพ'!B:I, 7, FALSE)&lt;=TODAY()
        ),
        "ลาออกแล้ว",
        ""
    ),
"")</f>
        <v/>
      </c>
      <c r="O978" s="292" t="str">
        <f t="array" ref="O978:P978">IFERROR(INDEX(PCRent!C:D, MATCH(F978 &amp; " " &amp; G978, PCRent!A:A &amp; " " &amp; PCRent!B:B, 0)), "")</f>
        <v>SN:MP2EJ0NV</v>
      </c>
      <c r="P978" s="293" t="s">
        <v>6993</v>
      </c>
      <c r="Q978" s="294" t="str">
        <f t="array" ref="Q978">IFERROR(INDEX(MonitorRent!C:D, MATCH(F978 &amp; " " &amp; G978, MonitorRent!A:A &amp; " " &amp; MonitorRent!B:B, 0)), "")</f>
        <v/>
      </c>
      <c r="R978" s="295"/>
    </row>
    <row r="979">
      <c r="A979" s="284">
        <v>976.0</v>
      </c>
      <c r="B979" s="285" t="s">
        <v>8436</v>
      </c>
      <c r="C979" s="285" t="s">
        <v>6918</v>
      </c>
      <c r="D979" s="286" t="s">
        <v>9601</v>
      </c>
      <c r="E979" s="285" t="s">
        <v>6933</v>
      </c>
      <c r="F979" s="285" t="s">
        <v>9602</v>
      </c>
      <c r="G979" s="285" t="s">
        <v>9603</v>
      </c>
      <c r="H979" s="285" t="s">
        <v>9637</v>
      </c>
      <c r="I979" s="285" t="s">
        <v>13829</v>
      </c>
      <c r="J979" s="285" t="s">
        <v>5224</v>
      </c>
      <c r="K979" s="285" t="s">
        <v>9604</v>
      </c>
      <c r="L979" s="285" t="s">
        <v>1393</v>
      </c>
      <c r="M979" s="285" t="s">
        <v>9383</v>
      </c>
      <c r="N979" s="287" t="str">
        <f>IFERROR(
    IF(
        AND(
            VLOOKUP(B979, 'รายชื่อพนักงานลาออกพ้นสภาพ'!B:I, 8, FALSE)&lt;&gt;"ยกเลิกลาออก",
            VLOOKUP(B979, 'รายชื่อพนักงานลาออกพ้นสภาพ'!B:I, 7, FALSE)&lt;=TODAY()
        ),
        "ลาออกแล้ว",
        ""
    ),
"")</f>
        <v/>
      </c>
      <c r="O979" s="292" t="str">
        <f t="array" ref="O979">IFERROR(INDEX(PCRent!C:D, MATCH(F979 &amp; " " &amp; G979, PCRent!A:A &amp; " " &amp; PCRent!B:B, 0)), "")</f>
        <v/>
      </c>
      <c r="P979" s="293"/>
      <c r="Q979" s="294" t="str">
        <f t="array" ref="Q979">IFERROR(INDEX(MonitorRent!C:D, MATCH(F979 &amp; " " &amp; G979, MonitorRent!A:A &amp; " " &amp; MonitorRent!B:B, 0)), "")</f>
        <v/>
      </c>
      <c r="R979" s="295"/>
    </row>
    <row r="980">
      <c r="A980" s="284">
        <v>977.0</v>
      </c>
      <c r="B980" s="285" t="s">
        <v>7163</v>
      </c>
      <c r="C980" s="285" t="s">
        <v>6918</v>
      </c>
      <c r="D980" s="286" t="s">
        <v>13830</v>
      </c>
      <c r="E980" s="285" t="s">
        <v>6933</v>
      </c>
      <c r="F980" s="285" t="s">
        <v>9602</v>
      </c>
      <c r="G980" s="285" t="s">
        <v>13831</v>
      </c>
      <c r="H980" s="285" t="s">
        <v>11113</v>
      </c>
      <c r="I980" s="285" t="s">
        <v>13832</v>
      </c>
      <c r="J980" s="285" t="s">
        <v>5224</v>
      </c>
      <c r="K980" s="285" t="s">
        <v>2062</v>
      </c>
      <c r="L980" s="285" t="s">
        <v>7165</v>
      </c>
      <c r="M980" s="285" t="s">
        <v>9383</v>
      </c>
      <c r="N980" s="287" t="str">
        <f>IFERROR(
    IF(
        AND(
            VLOOKUP(B980, 'รายชื่อพนักงานลาออกพ้นสภาพ'!B:I, 8, FALSE)&lt;&gt;"ยกเลิกลาออก",
            VLOOKUP(B980, 'รายชื่อพนักงานลาออกพ้นสภาพ'!B:I, 7, FALSE)&lt;=TODAY()
        ),
        "ลาออกแล้ว",
        ""
    ),
"")</f>
        <v/>
      </c>
      <c r="O980" s="292" t="str">
        <f t="array" ref="O980">IFERROR(INDEX(PCRent!C:D, MATCH(F980 &amp; " " &amp; G980, PCRent!A:A &amp; " " &amp; PCRent!B:B, 0)), "")</f>
        <v/>
      </c>
      <c r="P980" s="293"/>
      <c r="Q980" s="294" t="str">
        <f t="array" ref="Q980">IFERROR(INDEX(MonitorRent!C:D, MATCH(F980 &amp; " " &amp; G980, MonitorRent!A:A &amp; " " &amp; MonitorRent!B:B, 0)), "")</f>
        <v/>
      </c>
      <c r="R980" s="295"/>
    </row>
    <row r="981">
      <c r="A981" s="284">
        <v>978.0</v>
      </c>
      <c r="B981" s="285" t="s">
        <v>13833</v>
      </c>
      <c r="C981" s="285" t="s">
        <v>6918</v>
      </c>
      <c r="D981" s="286" t="s">
        <v>10138</v>
      </c>
      <c r="E981" s="285" t="s">
        <v>6921</v>
      </c>
      <c r="F981" s="285" t="s">
        <v>13834</v>
      </c>
      <c r="G981" s="285" t="s">
        <v>13835</v>
      </c>
      <c r="H981" s="285" t="s">
        <v>11846</v>
      </c>
      <c r="I981" s="285" t="s">
        <v>13836</v>
      </c>
      <c r="J981" s="285" t="s">
        <v>5224</v>
      </c>
      <c r="K981" s="285" t="s">
        <v>13837</v>
      </c>
      <c r="L981" s="285" t="s">
        <v>2508</v>
      </c>
      <c r="M981" s="285" t="s">
        <v>9383</v>
      </c>
      <c r="N981" s="287" t="str">
        <f>IFERROR(
    IF(
        AND(
            VLOOKUP(B981, 'รายชื่อพนักงานลาออกพ้นสภาพ'!B:I, 8, FALSE)&lt;&gt;"ยกเลิกลาออก",
            VLOOKUP(B981, 'รายชื่อพนักงานลาออกพ้นสภาพ'!B:I, 7, FALSE)&lt;=TODAY()
        ),
        "ลาออกแล้ว",
        ""
    ),
"")</f>
        <v/>
      </c>
      <c r="O981" s="292" t="str">
        <f t="array" ref="O981:P981">IFERROR(INDEX(PCRent!C:D, MATCH(F981 &amp; " " &amp; G981, PCRent!A:A &amp; " " &amp; PCRent!B:B, 0)), "")</f>
        <v>SN:4MT2CZ3</v>
      </c>
      <c r="P981" s="293" t="s">
        <v>7048</v>
      </c>
      <c r="Q981" s="294" t="str">
        <f t="array" ref="Q981:R981">IFERROR(INDEX(MonitorRent!C:D, MATCH(F981 &amp; " " &amp; G981, MonitorRent!A:A &amp; " " &amp; MonitorRent!B:B, 0)), "")</f>
        <v>SN:B3732Y3</v>
      </c>
      <c r="R981" s="295" t="s">
        <v>7050</v>
      </c>
    </row>
    <row r="982">
      <c r="A982" s="284">
        <v>979.0</v>
      </c>
      <c r="B982" s="285" t="s">
        <v>9056</v>
      </c>
      <c r="C982" s="285" t="s">
        <v>6918</v>
      </c>
      <c r="D982" s="286" t="s">
        <v>13838</v>
      </c>
      <c r="E982" s="285" t="s">
        <v>6933</v>
      </c>
      <c r="F982" s="285" t="s">
        <v>13839</v>
      </c>
      <c r="G982" s="285" t="s">
        <v>13840</v>
      </c>
      <c r="H982" s="285" t="s">
        <v>13841</v>
      </c>
      <c r="I982" s="285" t="s">
        <v>13842</v>
      </c>
      <c r="J982" s="285" t="s">
        <v>5224</v>
      </c>
      <c r="K982" s="285" t="s">
        <v>4818</v>
      </c>
      <c r="L982" s="285" t="s">
        <v>2508</v>
      </c>
      <c r="M982" s="285" t="s">
        <v>9383</v>
      </c>
      <c r="N982" s="287" t="str">
        <f>IFERROR(
    IF(
        AND(
            VLOOKUP(B982, 'รายชื่อพนักงานลาออกพ้นสภาพ'!B:I, 8, FALSE)&lt;&gt;"ยกเลิกลาออก",
            VLOOKUP(B982, 'รายชื่อพนักงานลาออกพ้นสภาพ'!B:I, 7, FALSE)&lt;=TODAY()
        ),
        "ลาออกแล้ว",
        ""
    ),
"")</f>
        <v/>
      </c>
      <c r="O982" s="292" t="str">
        <f t="array" ref="O982">IFERROR(INDEX(PCRent!C:D, MATCH(F982 &amp; " " &amp; G982, PCRent!A:A &amp; " " &amp; PCRent!B:B, 0)), "")</f>
        <v/>
      </c>
      <c r="P982" s="293"/>
      <c r="Q982" s="294" t="str">
        <f t="array" ref="Q982">IFERROR(INDEX(MonitorRent!C:D, MATCH(F982 &amp; " " &amp; G982, MonitorRent!A:A &amp; " " &amp; MonitorRent!B:B, 0)), "")</f>
        <v/>
      </c>
      <c r="R982" s="295"/>
    </row>
    <row r="983">
      <c r="A983" s="284">
        <v>980.0</v>
      </c>
      <c r="B983" s="285" t="s">
        <v>13843</v>
      </c>
      <c r="C983" s="285" t="s">
        <v>6918</v>
      </c>
      <c r="D983" s="286" t="s">
        <v>13844</v>
      </c>
      <c r="E983" s="285" t="s">
        <v>6933</v>
      </c>
      <c r="F983" s="285" t="s">
        <v>13839</v>
      </c>
      <c r="G983" s="285" t="s">
        <v>13845</v>
      </c>
      <c r="H983" s="285" t="s">
        <v>13846</v>
      </c>
      <c r="I983" s="285" t="s">
        <v>13847</v>
      </c>
      <c r="J983" s="285" t="s">
        <v>5012</v>
      </c>
      <c r="K983" s="285" t="s">
        <v>9633</v>
      </c>
      <c r="L983" s="285" t="s">
        <v>1888</v>
      </c>
      <c r="M983" s="285" t="s">
        <v>9383</v>
      </c>
      <c r="N983" s="287" t="str">
        <f>IFERROR(
    IF(
        AND(
            VLOOKUP(B983, 'รายชื่อพนักงานลาออกพ้นสภาพ'!B:I, 8, FALSE)&lt;&gt;"ยกเลิกลาออก",
            VLOOKUP(B983, 'รายชื่อพนักงานลาออกพ้นสภาพ'!B:I, 7, FALSE)&lt;=TODAY()
        ),
        "ลาออกแล้ว",
        ""
    ),
"")</f>
        <v/>
      </c>
      <c r="O983" s="292" t="str">
        <f t="array" ref="O983:P983">IFERROR(INDEX(PCRent!C:D, MATCH(F983 &amp; " " &amp; G983, PCRent!A:A &amp; " " &amp; PCRent!B:B, 0)), "")</f>
        <v>SN:MP2E2VRS</v>
      </c>
      <c r="P983" s="293" t="s">
        <v>6993</v>
      </c>
      <c r="Q983" s="294" t="str">
        <f t="array" ref="Q983">IFERROR(INDEX(MonitorRent!C:D, MATCH(F983 &amp; " " &amp; G983, MonitorRent!A:A &amp; " " &amp; MonitorRent!B:B, 0)), "")</f>
        <v/>
      </c>
      <c r="R983" s="295"/>
    </row>
    <row r="984">
      <c r="A984" s="284">
        <v>981.0</v>
      </c>
      <c r="B984" s="285" t="s">
        <v>7976</v>
      </c>
      <c r="C984" s="285" t="s">
        <v>6918</v>
      </c>
      <c r="D984" s="286" t="s">
        <v>13848</v>
      </c>
      <c r="E984" s="285" t="s">
        <v>6921</v>
      </c>
      <c r="F984" s="285" t="s">
        <v>13849</v>
      </c>
      <c r="G984" s="285" t="s">
        <v>13850</v>
      </c>
      <c r="H984" s="285" t="s">
        <v>12030</v>
      </c>
      <c r="I984" s="285" t="s">
        <v>13851</v>
      </c>
      <c r="J984" s="285" t="s">
        <v>5224</v>
      </c>
      <c r="K984" s="285" t="s">
        <v>10056</v>
      </c>
      <c r="L984" s="285" t="s">
        <v>7626</v>
      </c>
      <c r="M984" s="285" t="s">
        <v>9383</v>
      </c>
      <c r="N984" s="287" t="str">
        <f>IFERROR(
    IF(
        AND(
            VLOOKUP(B984, 'รายชื่อพนักงานลาออกพ้นสภาพ'!B:I, 8, FALSE)&lt;&gt;"ยกเลิกลาออก",
            VLOOKUP(B984, 'รายชื่อพนักงานลาออกพ้นสภาพ'!B:I, 7, FALSE)&lt;=TODAY()
        ),
        "ลาออกแล้ว",
        ""
    ),
"")</f>
        <v/>
      </c>
      <c r="O984" s="292" t="str">
        <f t="array" ref="O984">IFERROR(INDEX(PCRent!C:D, MATCH(F984 &amp; " " &amp; G984, PCRent!A:A &amp; " " &amp; PCRent!B:B, 0)), "")</f>
        <v/>
      </c>
      <c r="P984" s="293"/>
      <c r="Q984" s="294" t="str">
        <f t="array" ref="Q984">IFERROR(INDEX(MonitorRent!C:D, MATCH(F984 &amp; " " &amp; G984, MonitorRent!A:A &amp; " " &amp; MonitorRent!B:B, 0)), "")</f>
        <v/>
      </c>
      <c r="R984" s="295"/>
    </row>
    <row r="985">
      <c r="A985" s="284">
        <v>982.0</v>
      </c>
      <c r="B985" s="285" t="s">
        <v>13852</v>
      </c>
      <c r="C985" s="285" t="s">
        <v>6918</v>
      </c>
      <c r="D985" s="286" t="s">
        <v>13853</v>
      </c>
      <c r="E985" s="285" t="s">
        <v>6933</v>
      </c>
      <c r="F985" s="285" t="s">
        <v>13854</v>
      </c>
      <c r="G985" s="285" t="s">
        <v>13855</v>
      </c>
      <c r="H985" s="285" t="s">
        <v>13856</v>
      </c>
      <c r="I985" s="285" t="s">
        <v>13857</v>
      </c>
      <c r="J985" s="285" t="s">
        <v>5012</v>
      </c>
      <c r="K985" s="285" t="s">
        <v>9474</v>
      </c>
      <c r="L985" s="285" t="s">
        <v>13067</v>
      </c>
      <c r="M985" s="285" t="s">
        <v>9383</v>
      </c>
      <c r="N985" s="287" t="str">
        <f>IFERROR(
    IF(
        AND(
            VLOOKUP(B985, 'รายชื่อพนักงานลาออกพ้นสภาพ'!B:I, 8, FALSE)&lt;&gt;"ยกเลิกลาออก",
            VLOOKUP(B985, 'รายชื่อพนักงานลาออกพ้นสภาพ'!B:I, 7, FALSE)&lt;=TODAY()
        ),
        "ลาออกแล้ว",
        ""
    ),
"")</f>
        <v/>
      </c>
      <c r="O985" s="292" t="str">
        <f t="array" ref="O985">IFERROR(INDEX(PCRent!C:D, MATCH(F985 &amp; " " &amp; G985, PCRent!A:A &amp; " " &amp; PCRent!B:B, 0)), "")</f>
        <v/>
      </c>
      <c r="P985" s="293"/>
      <c r="Q985" s="294" t="str">
        <f t="array" ref="Q985">IFERROR(INDEX(MonitorRent!C:D, MATCH(F985 &amp; " " &amp; G985, MonitorRent!A:A &amp; " " &amp; MonitorRent!B:B, 0)), "")</f>
        <v/>
      </c>
      <c r="R985" s="295"/>
    </row>
    <row r="986">
      <c r="A986" s="284">
        <v>983.0</v>
      </c>
      <c r="B986" s="285" t="s">
        <v>8925</v>
      </c>
      <c r="C986" s="285" t="s">
        <v>6918</v>
      </c>
      <c r="D986" s="286" t="s">
        <v>10045</v>
      </c>
      <c r="E986" s="285" t="s">
        <v>6933</v>
      </c>
      <c r="F986" s="285" t="s">
        <v>12515</v>
      </c>
      <c r="G986" s="285" t="s">
        <v>13858</v>
      </c>
      <c r="H986" s="285" t="s">
        <v>11092</v>
      </c>
      <c r="I986" s="285" t="s">
        <v>13859</v>
      </c>
      <c r="J986" s="285" t="s">
        <v>5012</v>
      </c>
      <c r="K986" s="285" t="s">
        <v>9466</v>
      </c>
      <c r="L986" s="285" t="s">
        <v>5932</v>
      </c>
      <c r="M986" s="285" t="s">
        <v>9383</v>
      </c>
      <c r="N986" s="287" t="str">
        <f>IFERROR(
    IF(
        AND(
            VLOOKUP(B986, 'รายชื่อพนักงานลาออกพ้นสภาพ'!B:I, 8, FALSE)&lt;&gt;"ยกเลิกลาออก",
            VLOOKUP(B986, 'รายชื่อพนักงานลาออกพ้นสภาพ'!B:I, 7, FALSE)&lt;=TODAY()
        ),
        "ลาออกแล้ว",
        ""
    ),
"")</f>
        <v/>
      </c>
      <c r="O986" s="292" t="str">
        <f t="array" ref="O986:P986">IFERROR(INDEX(PCRent!C:D, MATCH(F986 &amp; " " &amp; G986, PCRent!A:A &amp; " " &amp; PCRent!B:B, 0)), "")</f>
        <v>SN:MP2EJ0M6</v>
      </c>
      <c r="P986" s="293" t="s">
        <v>6993</v>
      </c>
      <c r="Q986" s="294" t="str">
        <f t="array" ref="Q986">IFERROR(INDEX(MonitorRent!C:D, MATCH(F986 &amp; " " &amp; G986, MonitorRent!A:A &amp; " " &amp; MonitorRent!B:B, 0)), "")</f>
        <v/>
      </c>
      <c r="R986" s="295"/>
    </row>
    <row r="987">
      <c r="A987" s="284">
        <v>984.0</v>
      </c>
      <c r="B987" s="285" t="s">
        <v>13860</v>
      </c>
      <c r="C987" s="285" t="s">
        <v>6918</v>
      </c>
      <c r="D987" s="286" t="s">
        <v>13455</v>
      </c>
      <c r="E987" s="285" t="s">
        <v>6933</v>
      </c>
      <c r="F987" s="285" t="s">
        <v>13861</v>
      </c>
      <c r="G987" s="285" t="s">
        <v>13862</v>
      </c>
      <c r="H987" s="285" t="s">
        <v>9538</v>
      </c>
      <c r="I987" s="285" t="s">
        <v>13863</v>
      </c>
      <c r="J987" s="285" t="s">
        <v>5012</v>
      </c>
      <c r="K987" s="285" t="s">
        <v>12401</v>
      </c>
      <c r="L987" s="285" t="s">
        <v>13020</v>
      </c>
      <c r="M987" s="285" t="s">
        <v>9383</v>
      </c>
      <c r="N987" s="287" t="str">
        <f>IFERROR(
    IF(
        AND(
            VLOOKUP(B987, 'รายชื่อพนักงานลาออกพ้นสภาพ'!B:I, 8, FALSE)&lt;&gt;"ยกเลิกลาออก",
            VLOOKUP(B987, 'รายชื่อพนักงานลาออกพ้นสภาพ'!B:I, 7, FALSE)&lt;=TODAY()
        ),
        "ลาออกแล้ว",
        ""
    ),
"")</f>
        <v/>
      </c>
      <c r="O987" s="292" t="str">
        <f t="array" ref="O987">IFERROR(INDEX(PCRent!C:D, MATCH(F987 &amp; " " &amp; G987, PCRent!A:A &amp; " " &amp; PCRent!B:B, 0)), "")</f>
        <v/>
      </c>
      <c r="P987" s="293"/>
      <c r="Q987" s="294" t="str">
        <f t="array" ref="Q987">IFERROR(INDEX(MonitorRent!C:D, MATCH(F987 &amp; " " &amp; G987, MonitorRent!A:A &amp; " " &amp; MonitorRent!B:B, 0)), "")</f>
        <v/>
      </c>
      <c r="R987" s="295"/>
    </row>
    <row r="988">
      <c r="A988" s="284">
        <v>985.0</v>
      </c>
      <c r="B988" s="285" t="s">
        <v>13864</v>
      </c>
      <c r="C988" s="285" t="s">
        <v>6918</v>
      </c>
      <c r="D988" s="286" t="s">
        <v>9819</v>
      </c>
      <c r="E988" s="285" t="s">
        <v>6933</v>
      </c>
      <c r="F988" s="285" t="s">
        <v>13865</v>
      </c>
      <c r="G988" s="285" t="s">
        <v>13866</v>
      </c>
      <c r="H988" s="285" t="s">
        <v>13867</v>
      </c>
      <c r="I988" s="285" t="s">
        <v>13868</v>
      </c>
      <c r="J988" s="285" t="s">
        <v>5012</v>
      </c>
      <c r="K988" s="285" t="s">
        <v>9521</v>
      </c>
      <c r="L988" s="285" t="s">
        <v>13869</v>
      </c>
      <c r="M988" s="285" t="s">
        <v>9383</v>
      </c>
      <c r="N988" s="287" t="str">
        <f>IFERROR(
    IF(
        AND(
            VLOOKUP(B988, 'รายชื่อพนักงานลาออกพ้นสภาพ'!B:I, 8, FALSE)&lt;&gt;"ยกเลิกลาออก",
            VLOOKUP(B988, 'รายชื่อพนักงานลาออกพ้นสภาพ'!B:I, 7, FALSE)&lt;=TODAY()
        ),
        "ลาออกแล้ว",
        ""
    ),
"")</f>
        <v/>
      </c>
      <c r="O988" s="292" t="str">
        <f t="array" ref="O988">IFERROR(INDEX(PCRent!C:D, MATCH(F988 &amp; " " &amp; G988, PCRent!A:A &amp; " " &amp; PCRent!B:B, 0)), "")</f>
        <v/>
      </c>
      <c r="P988" s="293"/>
      <c r="Q988" s="294" t="str">
        <f t="array" ref="Q988">IFERROR(INDEX(MonitorRent!C:D, MATCH(F988 &amp; " " &amp; G988, MonitorRent!A:A &amp; " " &amp; MonitorRent!B:B, 0)), "")</f>
        <v/>
      </c>
      <c r="R988" s="295"/>
    </row>
    <row r="989">
      <c r="A989" s="284">
        <v>986.0</v>
      </c>
      <c r="B989" s="285" t="s">
        <v>7764</v>
      </c>
      <c r="C989" s="285" t="s">
        <v>6918</v>
      </c>
      <c r="D989" s="286" t="s">
        <v>13870</v>
      </c>
      <c r="E989" s="285" t="s">
        <v>6921</v>
      </c>
      <c r="F989" s="285" t="s">
        <v>13871</v>
      </c>
      <c r="G989" s="285" t="s">
        <v>13872</v>
      </c>
      <c r="H989" s="285" t="s">
        <v>10435</v>
      </c>
      <c r="I989" s="285" t="s">
        <v>13873</v>
      </c>
      <c r="J989" s="285" t="s">
        <v>5224</v>
      </c>
      <c r="K989" s="285" t="s">
        <v>9404</v>
      </c>
      <c r="L989" s="285" t="s">
        <v>3170</v>
      </c>
      <c r="M989" s="285" t="s">
        <v>9383</v>
      </c>
      <c r="N989" s="287" t="str">
        <f>IFERROR(
    IF(
        AND(
            VLOOKUP(B989, 'รายชื่อพนักงานลาออกพ้นสภาพ'!B:I, 8, FALSE)&lt;&gt;"ยกเลิกลาออก",
            VLOOKUP(B989, 'รายชื่อพนักงานลาออกพ้นสภาพ'!B:I, 7, FALSE)&lt;=TODAY()
        ),
        "ลาออกแล้ว",
        ""
    ),
"")</f>
        <v/>
      </c>
      <c r="O989" s="292" t="str">
        <f t="array" ref="O989">IFERROR(INDEX(PCRent!C:D, MATCH(F989 &amp; " " &amp; G989, PCRent!A:A &amp; " " &amp; PCRent!B:B, 0)), "")</f>
        <v/>
      </c>
      <c r="P989" s="293"/>
      <c r="Q989" s="294" t="str">
        <f t="array" ref="Q989">IFERROR(INDEX(MonitorRent!C:D, MATCH(F989 &amp; " " &amp; G989, MonitorRent!A:A &amp; " " &amp; MonitorRent!B:B, 0)), "")</f>
        <v/>
      </c>
      <c r="R989" s="295"/>
    </row>
    <row r="990">
      <c r="A990" s="284">
        <v>987.0</v>
      </c>
      <c r="B990" s="285" t="s">
        <v>6980</v>
      </c>
      <c r="C990" s="285" t="s">
        <v>6918</v>
      </c>
      <c r="D990" s="286" t="s">
        <v>13844</v>
      </c>
      <c r="E990" s="285" t="s">
        <v>6933</v>
      </c>
      <c r="F990" s="285" t="s">
        <v>13874</v>
      </c>
      <c r="G990" s="285" t="s">
        <v>13875</v>
      </c>
      <c r="H990" s="285" t="s">
        <v>13432</v>
      </c>
      <c r="I990" s="285" t="s">
        <v>13876</v>
      </c>
      <c r="J990" s="285" t="s">
        <v>5224</v>
      </c>
      <c r="K990" s="285" t="s">
        <v>12506</v>
      </c>
      <c r="L990" s="285" t="s">
        <v>13699</v>
      </c>
      <c r="M990" s="285" t="s">
        <v>9383</v>
      </c>
      <c r="N990" s="287" t="str">
        <f>IFERROR(
    IF(
        AND(
            VLOOKUP(B990, 'รายชื่อพนักงานลาออกพ้นสภาพ'!B:I, 8, FALSE)&lt;&gt;"ยกเลิกลาออก",
            VLOOKUP(B990, 'รายชื่อพนักงานลาออกพ้นสภาพ'!B:I, 7, FALSE)&lt;=TODAY()
        ),
        "ลาออกแล้ว",
        ""
    ),
"")</f>
        <v/>
      </c>
      <c r="O990" s="292" t="str">
        <f t="array" ref="O990">IFERROR(INDEX(PCRent!C:D, MATCH(F990 &amp; " " &amp; G990, PCRent!A:A &amp; " " &amp; PCRent!B:B, 0)), "")</f>
        <v/>
      </c>
      <c r="P990" s="293"/>
      <c r="Q990" s="294" t="str">
        <f t="array" ref="Q990">IFERROR(INDEX(MonitorRent!C:D, MATCH(F990 &amp; " " &amp; G990, MonitorRent!A:A &amp; " " &amp; MonitorRent!B:B, 0)), "")</f>
        <v/>
      </c>
      <c r="R990" s="295"/>
    </row>
    <row r="991">
      <c r="A991" s="284">
        <v>988.0</v>
      </c>
      <c r="B991" s="285" t="s">
        <v>9136</v>
      </c>
      <c r="C991" s="285" t="s">
        <v>6918</v>
      </c>
      <c r="D991" s="286" t="s">
        <v>9594</v>
      </c>
      <c r="E991" s="285" t="s">
        <v>6933</v>
      </c>
      <c r="F991" s="285" t="s">
        <v>13877</v>
      </c>
      <c r="G991" s="285" t="s">
        <v>13878</v>
      </c>
      <c r="H991" s="285" t="s">
        <v>10323</v>
      </c>
      <c r="I991" s="285" t="s">
        <v>13879</v>
      </c>
      <c r="J991" s="285" t="s">
        <v>5224</v>
      </c>
      <c r="K991" s="285" t="s">
        <v>13266</v>
      </c>
      <c r="L991" s="285" t="s">
        <v>4323</v>
      </c>
      <c r="M991" s="285" t="s">
        <v>9383</v>
      </c>
      <c r="N991" s="287" t="str">
        <f>IFERROR(
    IF(
        AND(
            VLOOKUP(B991, 'รายชื่อพนักงานลาออกพ้นสภาพ'!B:I, 8, FALSE)&lt;&gt;"ยกเลิกลาออก",
            VLOOKUP(B991, 'รายชื่อพนักงานลาออกพ้นสภาพ'!B:I, 7, FALSE)&lt;=TODAY()
        ),
        "ลาออกแล้ว",
        ""
    ),
"")</f>
        <v/>
      </c>
      <c r="O991" s="292" t="str">
        <f t="array" ref="O991:P991">IFERROR(INDEX(PCRent!C:D, MATCH(F991 &amp; " " &amp; G991, PCRent!A:A &amp; " " &amp; PCRent!B:B, 0)), "")</f>
        <v>SN:PF37TWKT</v>
      </c>
      <c r="P991" s="293" t="s">
        <v>7005</v>
      </c>
      <c r="Q991" s="294" t="str">
        <f t="array" ref="Q991">IFERROR(INDEX(MonitorRent!C:D, MATCH(F991 &amp; " " &amp; G991, MonitorRent!A:A &amp; " " &amp; MonitorRent!B:B, 0)), "")</f>
        <v/>
      </c>
      <c r="R991" s="295"/>
    </row>
    <row r="992">
      <c r="A992" s="284">
        <v>989.0</v>
      </c>
      <c r="B992" s="285" t="s">
        <v>13880</v>
      </c>
      <c r="C992" s="285" t="s">
        <v>6918</v>
      </c>
      <c r="D992" s="286" t="s">
        <v>13881</v>
      </c>
      <c r="E992" s="285" t="s">
        <v>6933</v>
      </c>
      <c r="F992" s="285" t="s">
        <v>10869</v>
      </c>
      <c r="G992" s="285" t="s">
        <v>13882</v>
      </c>
      <c r="H992" s="285" t="s">
        <v>11563</v>
      </c>
      <c r="I992" s="285" t="s">
        <v>13883</v>
      </c>
      <c r="J992" s="285" t="s">
        <v>5012</v>
      </c>
      <c r="K992" s="285" t="s">
        <v>9474</v>
      </c>
      <c r="L992" s="285" t="s">
        <v>13273</v>
      </c>
      <c r="M992" s="285" t="s">
        <v>9383</v>
      </c>
      <c r="N992" s="287" t="str">
        <f>IFERROR(
    IF(
        AND(
            VLOOKUP(B992, 'รายชื่อพนักงานลาออกพ้นสภาพ'!B:I, 8, FALSE)&lt;&gt;"ยกเลิกลาออก",
            VLOOKUP(B992, 'รายชื่อพนักงานลาออกพ้นสภาพ'!B:I, 7, FALSE)&lt;=TODAY()
        ),
        "ลาออกแล้ว",
        ""
    ),
"")</f>
        <v/>
      </c>
      <c r="O992" s="292" t="str">
        <f t="array" ref="O992">IFERROR(INDEX(PCRent!C:D, MATCH(F992 &amp; " " &amp; G992, PCRent!A:A &amp; " " &amp; PCRent!B:B, 0)), "")</f>
        <v/>
      </c>
      <c r="P992" s="293"/>
      <c r="Q992" s="294" t="str">
        <f t="array" ref="Q992">IFERROR(INDEX(MonitorRent!C:D, MATCH(F992 &amp; " " &amp; G992, MonitorRent!A:A &amp; " " &amp; MonitorRent!B:B, 0)), "")</f>
        <v/>
      </c>
      <c r="R992" s="295"/>
    </row>
    <row r="993">
      <c r="A993" s="284">
        <v>990.0</v>
      </c>
      <c r="B993" s="285" t="s">
        <v>8016</v>
      </c>
      <c r="C993" s="285" t="s">
        <v>6918</v>
      </c>
      <c r="D993" s="286" t="s">
        <v>12411</v>
      </c>
      <c r="E993" s="285" t="s">
        <v>6921</v>
      </c>
      <c r="F993" s="285" t="s">
        <v>13884</v>
      </c>
      <c r="G993" s="285" t="s">
        <v>13885</v>
      </c>
      <c r="H993" s="285" t="s">
        <v>11073</v>
      </c>
      <c r="I993" s="285" t="s">
        <v>13886</v>
      </c>
      <c r="J993" s="285" t="s">
        <v>5224</v>
      </c>
      <c r="K993" s="285" t="s">
        <v>9649</v>
      </c>
      <c r="L993" s="285" t="s">
        <v>7913</v>
      </c>
      <c r="M993" s="285" t="s">
        <v>9383</v>
      </c>
      <c r="N993" s="287" t="str">
        <f>IFERROR(
    IF(
        AND(
            VLOOKUP(B993, 'รายชื่อพนักงานลาออกพ้นสภาพ'!B:I, 8, FALSE)&lt;&gt;"ยกเลิกลาออก",
            VLOOKUP(B993, 'รายชื่อพนักงานลาออกพ้นสภาพ'!B:I, 7, FALSE)&lt;=TODAY()
        ),
        "ลาออกแล้ว",
        ""
    ),
"")</f>
        <v/>
      </c>
      <c r="O993" s="292" t="str">
        <f t="array" ref="O993:P993">IFERROR(INDEX(PCRent!C:D, MATCH(F993 &amp; " " &amp; G993, PCRent!A:A &amp; " " &amp; PCRent!B:B, 0)), "")</f>
        <v>SN:MP2M8GBG</v>
      </c>
      <c r="P993" s="293" t="s">
        <v>7248</v>
      </c>
      <c r="Q993" s="294" t="str">
        <f t="array" ref="Q993">IFERROR(INDEX(MonitorRent!C:D, MATCH(F993 &amp; " " &amp; G993, MonitorRent!A:A &amp; " " &amp; MonitorRent!B:B, 0)), "")</f>
        <v/>
      </c>
      <c r="R993" s="295"/>
    </row>
    <row r="994">
      <c r="A994" s="284">
        <v>991.0</v>
      </c>
      <c r="B994" s="285" t="s">
        <v>13887</v>
      </c>
      <c r="C994" s="285" t="s">
        <v>6918</v>
      </c>
      <c r="D994" s="286" t="s">
        <v>10485</v>
      </c>
      <c r="E994" s="285" t="s">
        <v>6921</v>
      </c>
      <c r="F994" s="285" t="s">
        <v>13888</v>
      </c>
      <c r="G994" s="285" t="s">
        <v>13889</v>
      </c>
      <c r="H994" s="285" t="s">
        <v>13890</v>
      </c>
      <c r="I994" s="285" t="s">
        <v>5552</v>
      </c>
      <c r="J994" s="285" t="s">
        <v>5012</v>
      </c>
      <c r="K994" s="285" t="s">
        <v>9703</v>
      </c>
      <c r="L994" s="285" t="s">
        <v>1027</v>
      </c>
      <c r="M994" s="285" t="s">
        <v>9383</v>
      </c>
      <c r="N994" s="287" t="str">
        <f>IFERROR(
    IF(
        AND(
            VLOOKUP(B994, 'รายชื่อพนักงานลาออกพ้นสภาพ'!B:I, 8, FALSE)&lt;&gt;"ยกเลิกลาออก",
            VLOOKUP(B994, 'รายชื่อพนักงานลาออกพ้นสภาพ'!B:I, 7, FALSE)&lt;=TODAY()
        ),
        "ลาออกแล้ว",
        ""
    ),
"")</f>
        <v/>
      </c>
      <c r="O994" s="292" t="str">
        <f t="array" ref="O994:P994">IFERROR(INDEX(PCRent!C:D, MATCH(F994 &amp; " " &amp; G994, PCRent!A:A &amp; " " &amp; PCRent!B:B, 0)), "")</f>
        <v>SN:MP2DGJFW</v>
      </c>
      <c r="P994" s="293" t="s">
        <v>9562</v>
      </c>
      <c r="Q994" s="294" t="str">
        <f t="array" ref="Q994">IFERROR(INDEX(MonitorRent!C:D, MATCH(F994 &amp; " " &amp; G994, MonitorRent!A:A &amp; " " &amp; MonitorRent!B:B, 0)), "")</f>
        <v/>
      </c>
      <c r="R994" s="295"/>
    </row>
    <row r="995">
      <c r="A995" s="284">
        <v>992.0</v>
      </c>
      <c r="B995" s="285" t="s">
        <v>13891</v>
      </c>
      <c r="C995" s="285" t="s">
        <v>6918</v>
      </c>
      <c r="D995" s="286" t="s">
        <v>13188</v>
      </c>
      <c r="E995" s="285" t="s">
        <v>6933</v>
      </c>
      <c r="F995" s="285" t="s">
        <v>13892</v>
      </c>
      <c r="G995" s="285" t="s">
        <v>13893</v>
      </c>
      <c r="H995" s="285" t="s">
        <v>13894</v>
      </c>
      <c r="I995" s="285" t="s">
        <v>13895</v>
      </c>
      <c r="J995" s="285" t="s">
        <v>5012</v>
      </c>
      <c r="K995" s="285" t="s">
        <v>9474</v>
      </c>
      <c r="L995" s="285" t="s">
        <v>13896</v>
      </c>
      <c r="M995" s="285" t="s">
        <v>9383</v>
      </c>
      <c r="N995" s="287" t="str">
        <f>IFERROR(
    IF(
        AND(
            VLOOKUP(B995, 'รายชื่อพนักงานลาออกพ้นสภาพ'!B:I, 8, FALSE)&lt;&gt;"ยกเลิกลาออก",
            VLOOKUP(B995, 'รายชื่อพนักงานลาออกพ้นสภาพ'!B:I, 7, FALSE)&lt;=TODAY()
        ),
        "ลาออกแล้ว",
        ""
    ),
"")</f>
        <v/>
      </c>
      <c r="O995" s="292" t="str">
        <f t="array" ref="O995">IFERROR(INDEX(PCRent!C:D, MATCH(F995 &amp; " " &amp; G995, PCRent!A:A &amp; " " &amp; PCRent!B:B, 0)), "")</f>
        <v/>
      </c>
      <c r="P995" s="293"/>
      <c r="Q995" s="294" t="str">
        <f t="array" ref="Q995">IFERROR(INDEX(MonitorRent!C:D, MATCH(F995 &amp; " " &amp; G995, MonitorRent!A:A &amp; " " &amp; MonitorRent!B:B, 0)), "")</f>
        <v/>
      </c>
      <c r="R995" s="295"/>
    </row>
    <row r="996">
      <c r="A996" s="284">
        <v>993.0</v>
      </c>
      <c r="B996" s="285" t="s">
        <v>7944</v>
      </c>
      <c r="C996" s="285" t="s">
        <v>6918</v>
      </c>
      <c r="D996" s="286" t="s">
        <v>9681</v>
      </c>
      <c r="E996" s="285" t="s">
        <v>6933</v>
      </c>
      <c r="F996" s="285" t="s">
        <v>13897</v>
      </c>
      <c r="G996" s="285" t="s">
        <v>13898</v>
      </c>
      <c r="H996" s="285" t="s">
        <v>9579</v>
      </c>
      <c r="I996" s="285" t="s">
        <v>13899</v>
      </c>
      <c r="J996" s="285" t="s">
        <v>5224</v>
      </c>
      <c r="K996" s="285" t="s">
        <v>2300</v>
      </c>
      <c r="L996" s="285" t="s">
        <v>3096</v>
      </c>
      <c r="M996" s="285" t="s">
        <v>9383</v>
      </c>
      <c r="N996" s="287" t="str">
        <f>IFERROR(
    IF(
        AND(
            VLOOKUP(B996, 'รายชื่อพนักงานลาออกพ้นสภาพ'!B:I, 8, FALSE)&lt;&gt;"ยกเลิกลาออก",
            VLOOKUP(B996, 'รายชื่อพนักงานลาออกพ้นสภาพ'!B:I, 7, FALSE)&lt;=TODAY()
        ),
        "ลาออกแล้ว",
        ""
    ),
"")</f>
        <v/>
      </c>
      <c r="O996" s="292" t="str">
        <f t="array" ref="O996">IFERROR(INDEX(PCRent!C:D, MATCH(F996 &amp; " " &amp; G996, PCRent!A:A &amp; " " &amp; PCRent!B:B, 0)), "")</f>
        <v/>
      </c>
      <c r="P996" s="293"/>
      <c r="Q996" s="294" t="str">
        <f t="array" ref="Q996">IFERROR(INDEX(MonitorRent!C:D, MATCH(F996 &amp; " " &amp; G996, MonitorRent!A:A &amp; " " &amp; MonitorRent!B:B, 0)), "")</f>
        <v/>
      </c>
      <c r="R996" s="295"/>
    </row>
    <row r="997">
      <c r="A997" s="284">
        <v>994.0</v>
      </c>
      <c r="B997" s="285" t="s">
        <v>13900</v>
      </c>
      <c r="C997" s="285" t="s">
        <v>6918</v>
      </c>
      <c r="D997" s="286" t="s">
        <v>9594</v>
      </c>
      <c r="E997" s="285" t="s">
        <v>6933</v>
      </c>
      <c r="F997" s="285" t="s">
        <v>13901</v>
      </c>
      <c r="G997" s="285" t="s">
        <v>13902</v>
      </c>
      <c r="H997" s="285" t="s">
        <v>10907</v>
      </c>
      <c r="I997" s="285" t="s">
        <v>13903</v>
      </c>
      <c r="J997" s="285" t="s">
        <v>5012</v>
      </c>
      <c r="K997" s="285" t="s">
        <v>9633</v>
      </c>
      <c r="L997" s="285" t="s">
        <v>8927</v>
      </c>
      <c r="M997" s="285" t="s">
        <v>9383</v>
      </c>
      <c r="N997" s="287" t="str">
        <f>IFERROR(
    IF(
        AND(
            VLOOKUP(B997, 'รายชื่อพนักงานลาออกพ้นสภาพ'!B:I, 8, FALSE)&lt;&gt;"ยกเลิกลาออก",
            VLOOKUP(B997, 'รายชื่อพนักงานลาออกพ้นสภาพ'!B:I, 7, FALSE)&lt;=TODAY()
        ),
        "ลาออกแล้ว",
        ""
    ),
"")</f>
        <v/>
      </c>
      <c r="O997" s="292" t="str">
        <f t="array" ref="O997">IFERROR(INDEX(PCRent!C:D, MATCH(F997 &amp; " " &amp; G997, PCRent!A:A &amp; " " &amp; PCRent!B:B, 0)), "")</f>
        <v/>
      </c>
      <c r="P997" s="293"/>
      <c r="Q997" s="294" t="str">
        <f t="array" ref="Q997">IFERROR(INDEX(MonitorRent!C:D, MATCH(F997 &amp; " " &amp; G997, MonitorRent!A:A &amp; " " &amp; MonitorRent!B:B, 0)), "")</f>
        <v/>
      </c>
      <c r="R997" s="295"/>
    </row>
    <row r="998">
      <c r="A998" s="284">
        <v>995.0</v>
      </c>
      <c r="B998" s="285" t="s">
        <v>9344</v>
      </c>
      <c r="C998" s="285" t="s">
        <v>6918</v>
      </c>
      <c r="D998" s="286" t="s">
        <v>10485</v>
      </c>
      <c r="E998" s="285" t="s">
        <v>6933</v>
      </c>
      <c r="F998" s="285" t="s">
        <v>13901</v>
      </c>
      <c r="G998" s="285" t="s">
        <v>13904</v>
      </c>
      <c r="H998" s="285" t="s">
        <v>13905</v>
      </c>
      <c r="I998" s="285" t="s">
        <v>13906</v>
      </c>
      <c r="J998" s="285" t="s">
        <v>5224</v>
      </c>
      <c r="K998" s="285" t="s">
        <v>13907</v>
      </c>
      <c r="L998" s="285" t="s">
        <v>13908</v>
      </c>
      <c r="M998" s="285" t="s">
        <v>9383</v>
      </c>
      <c r="N998" s="287" t="str">
        <f>IFERROR(
    IF(
        AND(
            VLOOKUP(B998, 'รายชื่อพนักงานลาออกพ้นสภาพ'!B:I, 8, FALSE)&lt;&gt;"ยกเลิกลาออก",
            VLOOKUP(B998, 'รายชื่อพนักงานลาออกพ้นสภาพ'!B:I, 7, FALSE)&lt;=TODAY()
        ),
        "ลาออกแล้ว",
        ""
    ),
"")</f>
        <v/>
      </c>
      <c r="O998" s="292" t="str">
        <f t="array" ref="O998:P998">IFERROR(INDEX(PCRent!C:D, MATCH(F998 &amp; " " &amp; G998, PCRent!A:A &amp; " " &amp; PCRent!B:B, 0)), "")</f>
        <v>SN:8D6MBZ3</v>
      </c>
      <c r="P998" s="293" t="s">
        <v>7048</v>
      </c>
      <c r="Q998" s="294" t="str">
        <f t="array" ref="Q998:R998">IFERROR(INDEX(MonitorRent!C:D, MATCH(F998 &amp; " " &amp; G998, MonitorRent!A:A &amp; " " &amp; MonitorRent!B:B, 0)), "")</f>
        <v>SN:9W352Y3</v>
      </c>
      <c r="R998" s="295" t="s">
        <v>7050</v>
      </c>
    </row>
    <row r="999">
      <c r="A999" s="284">
        <v>996.0</v>
      </c>
      <c r="B999" s="285" t="s">
        <v>4933</v>
      </c>
      <c r="C999" s="285" t="s">
        <v>6918</v>
      </c>
      <c r="D999" s="286" t="s">
        <v>13188</v>
      </c>
      <c r="E999" s="285" t="s">
        <v>6933</v>
      </c>
      <c r="F999" s="285" t="s">
        <v>13901</v>
      </c>
      <c r="G999" s="285" t="s">
        <v>13909</v>
      </c>
      <c r="H999" s="285" t="s">
        <v>10504</v>
      </c>
      <c r="I999" s="285" t="s">
        <v>4935</v>
      </c>
      <c r="J999" s="285" t="s">
        <v>5224</v>
      </c>
      <c r="K999" s="285" t="s">
        <v>13910</v>
      </c>
      <c r="L999" s="285" t="s">
        <v>13911</v>
      </c>
      <c r="M999" s="285" t="s">
        <v>9383</v>
      </c>
      <c r="N999" s="287" t="str">
        <f>IFERROR(
    IF(
        AND(
            VLOOKUP(B999, 'รายชื่อพนักงานลาออกพ้นสภาพ'!B:I, 8, FALSE)&lt;&gt;"ยกเลิกลาออก",
            VLOOKUP(B999, 'รายชื่อพนักงานลาออกพ้นสภาพ'!B:I, 7, FALSE)&lt;=TODAY()
        ),
        "ลาออกแล้ว",
        ""
    ),
"")</f>
        <v/>
      </c>
      <c r="O999" s="292" t="str">
        <f t="array" ref="O999:P999">IFERROR(INDEX(PCRent!C:D, MATCH(F999 &amp; " " &amp; G999, PCRent!A:A &amp; " " &amp; PCRent!B:B, 0)), "")</f>
        <v>SN:7S4XMX3</v>
      </c>
      <c r="P999" s="293" t="s">
        <v>8146</v>
      </c>
      <c r="Q999" s="294" t="str">
        <f t="array" ref="Q999">IFERROR(INDEX(MonitorRent!C:D, MATCH(F999 &amp; " " &amp; G999, MonitorRent!A:A &amp; " " &amp; MonitorRent!B:B, 0)), "")</f>
        <v/>
      </c>
      <c r="R999" s="295"/>
    </row>
    <row r="1000">
      <c r="A1000" s="284">
        <v>997.0</v>
      </c>
      <c r="B1000" s="285" t="s">
        <v>13912</v>
      </c>
      <c r="C1000" s="285" t="s">
        <v>6918</v>
      </c>
      <c r="D1000" s="286" t="s">
        <v>10996</v>
      </c>
      <c r="E1000" s="285" t="s">
        <v>6933</v>
      </c>
      <c r="F1000" s="285" t="s">
        <v>13913</v>
      </c>
      <c r="G1000" s="285" t="s">
        <v>13914</v>
      </c>
      <c r="H1000" s="285" t="s">
        <v>13915</v>
      </c>
      <c r="I1000" s="285" t="s">
        <v>13916</v>
      </c>
      <c r="J1000" s="285" t="s">
        <v>5224</v>
      </c>
      <c r="K1000" s="285" t="s">
        <v>13917</v>
      </c>
      <c r="L1000" s="285" t="s">
        <v>7133</v>
      </c>
      <c r="M1000" s="285" t="s">
        <v>9391</v>
      </c>
      <c r="N1000" s="287" t="str">
        <f>IFERROR(
    IF(
        AND(
            VLOOKUP(B1000, 'รายชื่อพนักงานลาออกพ้นสภาพ'!B:I, 8, FALSE)&lt;&gt;"ยกเลิกลาออก",
            VLOOKUP(B1000, 'รายชื่อพนักงานลาออกพ้นสภาพ'!B:I, 7, FALSE)&lt;=TODAY()
        ),
        "ลาออกแล้ว",
        ""
    ),
"")</f>
        <v/>
      </c>
      <c r="O1000" s="292" t="str">
        <f t="array" ref="O1000">IFERROR(INDEX(PCRent!C:D, MATCH(F1000 &amp; " " &amp; G1000, PCRent!A:A &amp; " " &amp; PCRent!B:B, 0)), "")</f>
        <v/>
      </c>
      <c r="P1000" s="293"/>
      <c r="Q1000" s="294" t="str">
        <f t="array" ref="Q1000">IFERROR(INDEX(MonitorRent!C:D, MATCH(F1000 &amp; " " &amp; G1000, MonitorRent!A:A &amp; " " &amp; MonitorRent!B:B, 0)), "")</f>
        <v/>
      </c>
      <c r="R1000" s="295"/>
    </row>
    <row r="1001">
      <c r="A1001" s="284">
        <v>998.0</v>
      </c>
      <c r="B1001" s="285" t="s">
        <v>8310</v>
      </c>
      <c r="C1001" s="285" t="s">
        <v>6918</v>
      </c>
      <c r="D1001" s="286" t="s">
        <v>13918</v>
      </c>
      <c r="E1001" s="285" t="s">
        <v>6933</v>
      </c>
      <c r="F1001" s="285" t="s">
        <v>13919</v>
      </c>
      <c r="G1001" s="285" t="s">
        <v>13920</v>
      </c>
      <c r="H1001" s="285" t="s">
        <v>13921</v>
      </c>
      <c r="I1001" s="285" t="s">
        <v>13922</v>
      </c>
      <c r="J1001" s="285" t="s">
        <v>5224</v>
      </c>
      <c r="K1001" s="285" t="s">
        <v>13923</v>
      </c>
      <c r="L1001" s="285" t="s">
        <v>2730</v>
      </c>
      <c r="M1001" s="285" t="s">
        <v>9383</v>
      </c>
      <c r="N1001" s="287" t="str">
        <f>IFERROR(
    IF(
        AND(
            VLOOKUP(B1001, 'รายชื่อพนักงานลาออกพ้นสภาพ'!B:I, 8, FALSE)&lt;&gt;"ยกเลิกลาออก",
            VLOOKUP(B1001, 'รายชื่อพนักงานลาออกพ้นสภาพ'!B:I, 7, FALSE)&lt;=TODAY()
        ),
        "ลาออกแล้ว",
        ""
    ),
"")</f>
        <v/>
      </c>
      <c r="O1001" s="292" t="str">
        <f t="array" ref="O1001">IFERROR(INDEX(PCRent!C:D, MATCH(F1001 &amp; " " &amp; G1001, PCRent!A:A &amp; " " &amp; PCRent!B:B, 0)), "")</f>
        <v/>
      </c>
      <c r="P1001" s="293"/>
      <c r="Q1001" s="294" t="str">
        <f t="array" ref="Q1001">IFERROR(INDEX(MonitorRent!C:D, MATCH(F1001 &amp; " " &amp; G1001, MonitorRent!A:A &amp; " " &amp; MonitorRent!B:B, 0)), "")</f>
        <v/>
      </c>
      <c r="R1001" s="295"/>
    </row>
    <row r="1002">
      <c r="A1002" s="284">
        <v>999.0</v>
      </c>
      <c r="B1002" s="285" t="s">
        <v>7855</v>
      </c>
      <c r="C1002" s="285" t="s">
        <v>6918</v>
      </c>
      <c r="D1002" s="286" t="s">
        <v>11610</v>
      </c>
      <c r="E1002" s="285" t="s">
        <v>6933</v>
      </c>
      <c r="F1002" s="285" t="s">
        <v>13924</v>
      </c>
      <c r="G1002" s="285" t="s">
        <v>13925</v>
      </c>
      <c r="H1002" s="285" t="s">
        <v>10311</v>
      </c>
      <c r="I1002" s="285" t="s">
        <v>13926</v>
      </c>
      <c r="J1002" s="285" t="s">
        <v>5012</v>
      </c>
      <c r="K1002" s="285" t="s">
        <v>4835</v>
      </c>
      <c r="L1002" s="285" t="s">
        <v>7857</v>
      </c>
      <c r="M1002" s="285" t="s">
        <v>9383</v>
      </c>
      <c r="N1002" s="287" t="str">
        <f>IFERROR(
    IF(
        AND(
            VLOOKUP(B1002, 'รายชื่อพนักงานลาออกพ้นสภาพ'!B:I, 8, FALSE)&lt;&gt;"ยกเลิกลาออก",
            VLOOKUP(B1002, 'รายชื่อพนักงานลาออกพ้นสภาพ'!B:I, 7, FALSE)&lt;=TODAY()
        ),
        "ลาออกแล้ว",
        ""
    ),
"")</f>
        <v/>
      </c>
      <c r="O1002" s="292" t="str">
        <f t="array" ref="O1002">IFERROR(INDEX(PCRent!C:D, MATCH(F1002 &amp; " " &amp; G1002, PCRent!A:A &amp; " " &amp; PCRent!B:B, 0)), "")</f>
        <v/>
      </c>
      <c r="P1002" s="293"/>
      <c r="Q1002" s="294" t="str">
        <f t="array" ref="Q1002">IFERROR(INDEX(MonitorRent!C:D, MATCH(F1002 &amp; " " &amp; G1002, MonitorRent!A:A &amp; " " &amp; MonitorRent!B:B, 0)), "")</f>
        <v/>
      </c>
      <c r="R1002" s="295"/>
    </row>
    <row r="1003">
      <c r="A1003" s="284">
        <v>1000.0</v>
      </c>
      <c r="B1003" s="285" t="s">
        <v>7756</v>
      </c>
      <c r="C1003" s="285" t="s">
        <v>6918</v>
      </c>
      <c r="D1003" s="286" t="s">
        <v>12113</v>
      </c>
      <c r="E1003" s="285" t="s">
        <v>6921</v>
      </c>
      <c r="F1003" s="285" t="s">
        <v>13927</v>
      </c>
      <c r="G1003" s="285" t="s">
        <v>13928</v>
      </c>
      <c r="H1003" s="285" t="s">
        <v>13929</v>
      </c>
      <c r="I1003" s="285" t="s">
        <v>13930</v>
      </c>
      <c r="J1003" s="285" t="s">
        <v>5224</v>
      </c>
      <c r="K1003" s="285" t="s">
        <v>13931</v>
      </c>
      <c r="L1003" s="285" t="s">
        <v>3170</v>
      </c>
      <c r="M1003" s="285" t="s">
        <v>9383</v>
      </c>
      <c r="N1003" s="287" t="str">
        <f>IFERROR(
    IF(
        AND(
            VLOOKUP(B1003, 'รายชื่อพนักงานลาออกพ้นสภาพ'!B:I, 8, FALSE)&lt;&gt;"ยกเลิกลาออก",
            VLOOKUP(B1003, 'รายชื่อพนักงานลาออกพ้นสภาพ'!B:I, 7, FALSE)&lt;=TODAY()
        ),
        "ลาออกแล้ว",
        ""
    ),
"")</f>
        <v/>
      </c>
      <c r="O1003" s="292" t="str">
        <f t="array" ref="O1003">IFERROR(INDEX(PCRent!C:D, MATCH(F1003 &amp; " " &amp; G1003, PCRent!A:A &amp; " " &amp; PCRent!B:B, 0)), "")</f>
        <v/>
      </c>
      <c r="P1003" s="293"/>
      <c r="Q1003" s="294" t="str">
        <f t="array" ref="Q1003">IFERROR(INDEX(MonitorRent!C:D, MATCH(F1003 &amp; " " &amp; G1003, MonitorRent!A:A &amp; " " &amp; MonitorRent!B:B, 0)), "")</f>
        <v/>
      </c>
      <c r="R1003" s="295"/>
    </row>
    <row r="1004">
      <c r="A1004" s="284">
        <v>1001.0</v>
      </c>
      <c r="B1004" s="285" t="s">
        <v>13932</v>
      </c>
      <c r="C1004" s="285" t="s">
        <v>6918</v>
      </c>
      <c r="D1004" s="286" t="s">
        <v>12402</v>
      </c>
      <c r="E1004" s="285" t="s">
        <v>6933</v>
      </c>
      <c r="F1004" s="285" t="s">
        <v>13933</v>
      </c>
      <c r="G1004" s="285" t="s">
        <v>13934</v>
      </c>
      <c r="H1004" s="285" t="s">
        <v>13935</v>
      </c>
      <c r="I1004" s="285" t="s">
        <v>13936</v>
      </c>
      <c r="J1004" s="285" t="s">
        <v>5012</v>
      </c>
      <c r="K1004" s="285" t="s">
        <v>13937</v>
      </c>
      <c r="L1004" s="285" t="s">
        <v>9467</v>
      </c>
      <c r="M1004" s="285" t="s">
        <v>9383</v>
      </c>
      <c r="N1004" s="287" t="str">
        <f>IFERROR(
    IF(
        AND(
            VLOOKUP(B1004, 'รายชื่อพนักงานลาออกพ้นสภาพ'!B:I, 8, FALSE)&lt;&gt;"ยกเลิกลาออก",
            VLOOKUP(B1004, 'รายชื่อพนักงานลาออกพ้นสภาพ'!B:I, 7, FALSE)&lt;=TODAY()
        ),
        "ลาออกแล้ว",
        ""
    ),
"")</f>
        <v/>
      </c>
      <c r="O1004" s="292" t="str">
        <f t="array" ref="O1004">IFERROR(INDEX(PCRent!C:D, MATCH(F1004 &amp; " " &amp; G1004, PCRent!A:A &amp; " " &amp; PCRent!B:B, 0)), "")</f>
        <v/>
      </c>
      <c r="P1004" s="293"/>
      <c r="Q1004" s="294" t="str">
        <f t="array" ref="Q1004">IFERROR(INDEX(MonitorRent!C:D, MATCH(F1004 &amp; " " &amp; G1004, MonitorRent!A:A &amp; " " &amp; MonitorRent!B:B, 0)), "")</f>
        <v/>
      </c>
      <c r="R1004" s="295"/>
    </row>
    <row r="1005">
      <c r="A1005" s="284">
        <v>1002.0</v>
      </c>
      <c r="B1005" s="285" t="s">
        <v>6970</v>
      </c>
      <c r="C1005" s="285" t="s">
        <v>6918</v>
      </c>
      <c r="D1005" s="286" t="s">
        <v>11610</v>
      </c>
      <c r="E1005" s="285" t="s">
        <v>6933</v>
      </c>
      <c r="F1005" s="285" t="s">
        <v>13938</v>
      </c>
      <c r="G1005" s="285" t="s">
        <v>13939</v>
      </c>
      <c r="H1005" s="285" t="s">
        <v>11398</v>
      </c>
      <c r="I1005" s="285" t="s">
        <v>13940</v>
      </c>
      <c r="J1005" s="285" t="s">
        <v>5224</v>
      </c>
      <c r="K1005" s="285" t="s">
        <v>13941</v>
      </c>
      <c r="L1005" s="285" t="s">
        <v>6961</v>
      </c>
      <c r="M1005" s="285" t="s">
        <v>9383</v>
      </c>
      <c r="N1005" s="287" t="str">
        <f>IFERROR(
    IF(
        AND(
            VLOOKUP(B1005, 'รายชื่อพนักงานลาออกพ้นสภาพ'!B:I, 8, FALSE)&lt;&gt;"ยกเลิกลาออก",
            VLOOKUP(B1005, 'รายชื่อพนักงานลาออกพ้นสภาพ'!B:I, 7, FALSE)&lt;=TODAY()
        ),
        "ลาออกแล้ว",
        ""
    ),
"")</f>
        <v/>
      </c>
      <c r="O1005" s="292" t="str">
        <f t="array" ref="O1005">IFERROR(INDEX(PCRent!C:D, MATCH(F1005 &amp; " " &amp; G1005, PCRent!A:A &amp; " " &amp; PCRent!B:B, 0)), "")</f>
        <v/>
      </c>
      <c r="P1005" s="293"/>
      <c r="Q1005" s="294" t="str">
        <f t="array" ref="Q1005">IFERROR(INDEX(MonitorRent!C:D, MATCH(F1005 &amp; " " &amp; G1005, MonitorRent!A:A &amp; " " &amp; MonitorRent!B:B, 0)), "")</f>
        <v/>
      </c>
      <c r="R1005" s="295"/>
    </row>
    <row r="1006">
      <c r="A1006" s="284">
        <v>1003.0</v>
      </c>
      <c r="B1006" s="285" t="s">
        <v>8442</v>
      </c>
      <c r="C1006" s="285" t="s">
        <v>6918</v>
      </c>
      <c r="D1006" s="286" t="s">
        <v>11486</v>
      </c>
      <c r="E1006" s="285" t="s">
        <v>6933</v>
      </c>
      <c r="F1006" s="285" t="s">
        <v>13942</v>
      </c>
      <c r="G1006" s="285" t="s">
        <v>13943</v>
      </c>
      <c r="H1006" s="285" t="s">
        <v>13944</v>
      </c>
      <c r="I1006" s="285" t="s">
        <v>13945</v>
      </c>
      <c r="J1006" s="285" t="s">
        <v>5224</v>
      </c>
      <c r="K1006" s="285" t="s">
        <v>1392</v>
      </c>
      <c r="L1006" s="285" t="s">
        <v>277</v>
      </c>
      <c r="M1006" s="285" t="s">
        <v>9383</v>
      </c>
      <c r="N1006" s="287" t="str">
        <f>IFERROR(
    IF(
        AND(
            VLOOKUP(B1006, 'รายชื่อพนักงานลาออกพ้นสภาพ'!B:I, 8, FALSE)&lt;&gt;"ยกเลิกลาออก",
            VLOOKUP(B1006, 'รายชื่อพนักงานลาออกพ้นสภาพ'!B:I, 7, FALSE)&lt;=TODAY()
        ),
        "ลาออกแล้ว",
        ""
    ),
"")</f>
        <v/>
      </c>
      <c r="O1006" s="292" t="str">
        <f t="array" ref="O1006">IFERROR(INDEX(PCRent!C:D, MATCH(F1006 &amp; " " &amp; G1006, PCRent!A:A &amp; " " &amp; PCRent!B:B, 0)), "")</f>
        <v/>
      </c>
      <c r="P1006" s="293"/>
      <c r="Q1006" s="294" t="str">
        <f t="array" ref="Q1006">IFERROR(INDEX(MonitorRent!C:D, MATCH(F1006 &amp; " " &amp; G1006, MonitorRent!A:A &amp; " " &amp; MonitorRent!B:B, 0)), "")</f>
        <v/>
      </c>
      <c r="R1006" s="295"/>
    </row>
    <row r="1007">
      <c r="A1007" s="284">
        <v>1004.0</v>
      </c>
      <c r="B1007" s="285" t="s">
        <v>13946</v>
      </c>
      <c r="C1007" s="285" t="s">
        <v>6918</v>
      </c>
      <c r="D1007" s="286" t="s">
        <v>10493</v>
      </c>
      <c r="E1007" s="285" t="s">
        <v>6933</v>
      </c>
      <c r="F1007" s="285" t="s">
        <v>13947</v>
      </c>
      <c r="G1007" s="285" t="s">
        <v>13948</v>
      </c>
      <c r="H1007" s="285" t="s">
        <v>13949</v>
      </c>
      <c r="I1007" s="285" t="s">
        <v>13950</v>
      </c>
      <c r="J1007" s="285" t="s">
        <v>5224</v>
      </c>
      <c r="K1007" s="285" t="s">
        <v>13061</v>
      </c>
      <c r="L1007" s="285" t="s">
        <v>3041</v>
      </c>
      <c r="M1007" s="285" t="s">
        <v>9383</v>
      </c>
      <c r="N1007" s="287" t="str">
        <f>IFERROR(
    IF(
        AND(
            VLOOKUP(B1007, 'รายชื่อพนักงานลาออกพ้นสภาพ'!B:I, 8, FALSE)&lt;&gt;"ยกเลิกลาออก",
            VLOOKUP(B1007, 'รายชื่อพนักงานลาออกพ้นสภาพ'!B:I, 7, FALSE)&lt;=TODAY()
        ),
        "ลาออกแล้ว",
        ""
    ),
"")</f>
        <v/>
      </c>
      <c r="O1007" s="292" t="str">
        <f t="array" ref="O1007">IFERROR(INDEX(PCRent!C:D, MATCH(F1007 &amp; " " &amp; G1007, PCRent!A:A &amp; " " &amp; PCRent!B:B, 0)), "")</f>
        <v/>
      </c>
      <c r="P1007" s="293"/>
      <c r="Q1007" s="294" t="str">
        <f t="array" ref="Q1007">IFERROR(INDEX(MonitorRent!C:D, MATCH(F1007 &amp; " " &amp; G1007, MonitorRent!A:A &amp; " " &amp; MonitorRent!B:B, 0)), "")</f>
        <v/>
      </c>
      <c r="R1007" s="295"/>
    </row>
    <row r="1008">
      <c r="A1008" s="284">
        <v>1005.0</v>
      </c>
      <c r="B1008" s="285" t="s">
        <v>7063</v>
      </c>
      <c r="C1008" s="285" t="s">
        <v>6918</v>
      </c>
      <c r="D1008" s="286" t="s">
        <v>9942</v>
      </c>
      <c r="E1008" s="285" t="s">
        <v>6933</v>
      </c>
      <c r="F1008" s="285" t="s">
        <v>13951</v>
      </c>
      <c r="G1008" s="285" t="s">
        <v>13952</v>
      </c>
      <c r="H1008" s="285" t="s">
        <v>10214</v>
      </c>
      <c r="I1008" s="285" t="s">
        <v>13953</v>
      </c>
      <c r="J1008" s="285" t="s">
        <v>5224</v>
      </c>
      <c r="K1008" s="285" t="s">
        <v>4818</v>
      </c>
      <c r="L1008" s="285" t="s">
        <v>7060</v>
      </c>
      <c r="M1008" s="285" t="s">
        <v>9383</v>
      </c>
      <c r="N1008" s="287" t="str">
        <f>IFERROR(
    IF(
        AND(
            VLOOKUP(B1008, 'รายชื่อพนักงานลาออกพ้นสภาพ'!B:I, 8, FALSE)&lt;&gt;"ยกเลิกลาออก",
            VLOOKUP(B1008, 'รายชื่อพนักงานลาออกพ้นสภาพ'!B:I, 7, FALSE)&lt;=TODAY()
        ),
        "ลาออกแล้ว",
        ""
    ),
"")</f>
        <v/>
      </c>
      <c r="O1008" s="292" t="str">
        <f t="array" ref="O1008:P1008">IFERROR(INDEX(PCRent!C:D, MATCH(F1008 &amp; " " &amp; G1008, PCRent!A:A &amp; " " &amp; PCRent!B:B, 0)), "")</f>
        <v>SN:MP2E0NAA</v>
      </c>
      <c r="P1008" s="293" t="s">
        <v>6993</v>
      </c>
      <c r="Q1008" s="294" t="str">
        <f t="array" ref="Q1008">IFERROR(INDEX(MonitorRent!C:D, MATCH(F1008 &amp; " " &amp; G1008, MonitorRent!A:A &amp; " " &amp; MonitorRent!B:B, 0)), "")</f>
        <v/>
      </c>
      <c r="R1008" s="295"/>
    </row>
    <row r="1009">
      <c r="A1009" s="284">
        <v>1006.0</v>
      </c>
      <c r="B1009" s="285" t="s">
        <v>7146</v>
      </c>
      <c r="C1009" s="285" t="s">
        <v>6918</v>
      </c>
      <c r="D1009" s="286" t="s">
        <v>10986</v>
      </c>
      <c r="E1009" s="285" t="s">
        <v>6933</v>
      </c>
      <c r="F1009" s="285" t="s">
        <v>13954</v>
      </c>
      <c r="G1009" s="285" t="s">
        <v>13955</v>
      </c>
      <c r="H1009" s="285" t="s">
        <v>11467</v>
      </c>
      <c r="I1009" s="285" t="s">
        <v>13956</v>
      </c>
      <c r="J1009" s="285" t="s">
        <v>5224</v>
      </c>
      <c r="K1009" s="285" t="s">
        <v>13957</v>
      </c>
      <c r="L1009" s="285" t="s">
        <v>7133</v>
      </c>
      <c r="M1009" s="285" t="s">
        <v>9383</v>
      </c>
      <c r="N1009" s="287" t="str">
        <f>IFERROR(
    IF(
        AND(
            VLOOKUP(B1009, 'รายชื่อพนักงานลาออกพ้นสภาพ'!B:I, 8, FALSE)&lt;&gt;"ยกเลิกลาออก",
            VLOOKUP(B1009, 'รายชื่อพนักงานลาออกพ้นสภาพ'!B:I, 7, FALSE)&lt;=TODAY()
        ),
        "ลาออกแล้ว",
        ""
    ),
"")</f>
        <v/>
      </c>
      <c r="O1009" s="292" t="str">
        <f t="array" ref="O1009">IFERROR(INDEX(PCRent!C:D, MATCH(F1009 &amp; " " &amp; G1009, PCRent!A:A &amp; " " &amp; PCRent!B:B, 0)), "")</f>
        <v/>
      </c>
      <c r="P1009" s="293"/>
      <c r="Q1009" s="294" t="str">
        <f t="array" ref="Q1009">IFERROR(INDEX(MonitorRent!C:D, MATCH(F1009 &amp; " " &amp; G1009, MonitorRent!A:A &amp; " " &amp; MonitorRent!B:B, 0)), "")</f>
        <v/>
      </c>
      <c r="R1009" s="295"/>
    </row>
    <row r="1010">
      <c r="A1010" s="284">
        <v>1007.0</v>
      </c>
      <c r="B1010" s="285" t="s">
        <v>7796</v>
      </c>
      <c r="C1010" s="285" t="s">
        <v>6918</v>
      </c>
      <c r="D1010" s="286" t="s">
        <v>10613</v>
      </c>
      <c r="E1010" s="285" t="s">
        <v>6933</v>
      </c>
      <c r="F1010" s="285" t="s">
        <v>13958</v>
      </c>
      <c r="G1010" s="285" t="s">
        <v>13959</v>
      </c>
      <c r="H1010" s="285" t="s">
        <v>13179</v>
      </c>
      <c r="I1010" s="285" t="s">
        <v>13960</v>
      </c>
      <c r="J1010" s="285" t="s">
        <v>5224</v>
      </c>
      <c r="K1010" s="285" t="s">
        <v>9404</v>
      </c>
      <c r="L1010" s="285" t="s">
        <v>5890</v>
      </c>
      <c r="M1010" s="285" t="s">
        <v>9383</v>
      </c>
      <c r="N1010" s="287" t="str">
        <f>IFERROR(
    IF(
        AND(
            VLOOKUP(B1010, 'รายชื่อพนักงานลาออกพ้นสภาพ'!B:I, 8, FALSE)&lt;&gt;"ยกเลิกลาออก",
            VLOOKUP(B1010, 'รายชื่อพนักงานลาออกพ้นสภาพ'!B:I, 7, FALSE)&lt;=TODAY()
        ),
        "ลาออกแล้ว",
        ""
    ),
"")</f>
        <v/>
      </c>
      <c r="O1010" s="292" t="str">
        <f t="array" ref="O1010">IFERROR(INDEX(PCRent!C:D, MATCH(F1010 &amp; " " &amp; G1010, PCRent!A:A &amp; " " &amp; PCRent!B:B, 0)), "")</f>
        <v/>
      </c>
      <c r="P1010" s="293"/>
      <c r="Q1010" s="294" t="str">
        <f t="array" ref="Q1010">IFERROR(INDEX(MonitorRent!C:D, MATCH(F1010 &amp; " " &amp; G1010, MonitorRent!A:A &amp; " " &amp; MonitorRent!B:B, 0)), "")</f>
        <v/>
      </c>
      <c r="R1010" s="295"/>
    </row>
    <row r="1011">
      <c r="A1011" s="284">
        <v>1008.0</v>
      </c>
      <c r="B1011" s="285" t="s">
        <v>13961</v>
      </c>
      <c r="C1011" s="285" t="s">
        <v>6918</v>
      </c>
      <c r="D1011" s="286" t="s">
        <v>13962</v>
      </c>
      <c r="E1011" s="285" t="s">
        <v>6933</v>
      </c>
      <c r="F1011" s="285" t="s">
        <v>10905</v>
      </c>
      <c r="G1011" s="285" t="s">
        <v>13963</v>
      </c>
      <c r="H1011" s="285" t="s">
        <v>11701</v>
      </c>
      <c r="I1011" s="285" t="s">
        <v>13964</v>
      </c>
      <c r="J1011" s="285" t="s">
        <v>5012</v>
      </c>
      <c r="K1011" s="285" t="s">
        <v>13937</v>
      </c>
      <c r="L1011" s="285" t="s">
        <v>13390</v>
      </c>
      <c r="M1011" s="285" t="s">
        <v>9383</v>
      </c>
      <c r="N1011" s="287" t="str">
        <f>IFERROR(
    IF(
        AND(
            VLOOKUP(B1011, 'รายชื่อพนักงานลาออกพ้นสภาพ'!B:I, 8, FALSE)&lt;&gt;"ยกเลิกลาออก",
            VLOOKUP(B1011, 'รายชื่อพนักงานลาออกพ้นสภาพ'!B:I, 7, FALSE)&lt;=TODAY()
        ),
        "ลาออกแล้ว",
        ""
    ),
"")</f>
        <v/>
      </c>
      <c r="O1011" s="292" t="str">
        <f t="array" ref="O1011">IFERROR(INDEX(PCRent!C:D, MATCH(F1011 &amp; " " &amp; G1011, PCRent!A:A &amp; " " &amp; PCRent!B:B, 0)), "")</f>
        <v/>
      </c>
      <c r="P1011" s="293"/>
      <c r="Q1011" s="294" t="str">
        <f t="array" ref="Q1011">IFERROR(INDEX(MonitorRent!C:D, MATCH(F1011 &amp; " " &amp; G1011, MonitorRent!A:A &amp; " " &amp; MonitorRent!B:B, 0)), "")</f>
        <v/>
      </c>
      <c r="R1011" s="295"/>
    </row>
    <row r="1012">
      <c r="A1012" s="284">
        <v>1009.0</v>
      </c>
      <c r="B1012" s="285" t="s">
        <v>8323</v>
      </c>
      <c r="C1012" s="285" t="s">
        <v>6918</v>
      </c>
      <c r="D1012" s="286" t="s">
        <v>13644</v>
      </c>
      <c r="E1012" s="285" t="s">
        <v>6933</v>
      </c>
      <c r="F1012" s="285" t="s">
        <v>10905</v>
      </c>
      <c r="G1012" s="285" t="s">
        <v>13965</v>
      </c>
      <c r="H1012" s="285" t="s">
        <v>9691</v>
      </c>
      <c r="I1012" s="285" t="s">
        <v>13966</v>
      </c>
      <c r="J1012" s="285" t="s">
        <v>5224</v>
      </c>
      <c r="K1012" s="285" t="s">
        <v>13006</v>
      </c>
      <c r="L1012" s="285" t="s">
        <v>2730</v>
      </c>
      <c r="M1012" s="285" t="s">
        <v>9383</v>
      </c>
      <c r="N1012" s="287" t="str">
        <f>IFERROR(
    IF(
        AND(
            VLOOKUP(B1012, 'รายชื่อพนักงานลาออกพ้นสภาพ'!B:I, 8, FALSE)&lt;&gt;"ยกเลิกลาออก",
            VLOOKUP(B1012, 'รายชื่อพนักงานลาออกพ้นสภาพ'!B:I, 7, FALSE)&lt;=TODAY()
        ),
        "ลาออกแล้ว",
        ""
    ),
"")</f>
        <v/>
      </c>
      <c r="O1012" s="292" t="str">
        <f t="array" ref="O1012">IFERROR(INDEX(PCRent!C:D, MATCH(F1012 &amp; " " &amp; G1012, PCRent!A:A &amp; " " &amp; PCRent!B:B, 0)), "")</f>
        <v/>
      </c>
      <c r="P1012" s="293"/>
      <c r="Q1012" s="294" t="str">
        <f t="array" ref="Q1012">IFERROR(INDEX(MonitorRent!C:D, MATCH(F1012 &amp; " " &amp; G1012, MonitorRent!A:A &amp; " " &amp; MonitorRent!B:B, 0)), "")</f>
        <v/>
      </c>
      <c r="R1012" s="295"/>
    </row>
    <row r="1013">
      <c r="A1013" s="284">
        <v>1010.0</v>
      </c>
      <c r="B1013" s="285" t="s">
        <v>13967</v>
      </c>
      <c r="C1013" s="285" t="s">
        <v>6918</v>
      </c>
      <c r="D1013" s="286" t="s">
        <v>13807</v>
      </c>
      <c r="E1013" s="285" t="s">
        <v>6933</v>
      </c>
      <c r="F1013" s="285" t="s">
        <v>13968</v>
      </c>
      <c r="G1013" s="285" t="s">
        <v>13969</v>
      </c>
      <c r="H1013" s="285" t="s">
        <v>13970</v>
      </c>
      <c r="I1013" s="285" t="s">
        <v>13971</v>
      </c>
      <c r="J1013" s="285" t="s">
        <v>5012</v>
      </c>
      <c r="K1013" s="285" t="s">
        <v>9703</v>
      </c>
      <c r="L1013" s="285" t="s">
        <v>13429</v>
      </c>
      <c r="M1013" s="285" t="s">
        <v>9383</v>
      </c>
      <c r="N1013" s="287" t="str">
        <f>IFERROR(
    IF(
        AND(
            VLOOKUP(B1013, 'รายชื่อพนักงานลาออกพ้นสภาพ'!B:I, 8, FALSE)&lt;&gt;"ยกเลิกลาออก",
            VLOOKUP(B1013, 'รายชื่อพนักงานลาออกพ้นสภาพ'!B:I, 7, FALSE)&lt;=TODAY()
        ),
        "ลาออกแล้ว",
        ""
    ),
"")</f>
        <v/>
      </c>
      <c r="O1013" s="292" t="str">
        <f t="array" ref="O1013:P1013">IFERROR(INDEX(PCRent!C:D, MATCH(F1013 &amp; " " &amp; G1013, PCRent!A:A &amp; " " &amp; PCRent!B:B, 0)), "")</f>
        <v>SN:MP2DGHZ5</v>
      </c>
      <c r="P1013" s="293" t="s">
        <v>7149</v>
      </c>
      <c r="Q1013" s="294" t="str">
        <f t="array" ref="Q1013">IFERROR(INDEX(MonitorRent!C:D, MATCH(F1013 &amp; " " &amp; G1013, MonitorRent!A:A &amp; " " &amp; MonitorRent!B:B, 0)), "")</f>
        <v/>
      </c>
      <c r="R1013" s="295"/>
    </row>
    <row r="1014">
      <c r="A1014" s="284">
        <v>1011.0</v>
      </c>
      <c r="B1014" s="285" t="s">
        <v>8878</v>
      </c>
      <c r="C1014" s="285" t="s">
        <v>6918</v>
      </c>
      <c r="D1014" s="286" t="s">
        <v>10501</v>
      </c>
      <c r="E1014" s="285" t="s">
        <v>6921</v>
      </c>
      <c r="F1014" s="285" t="s">
        <v>13972</v>
      </c>
      <c r="G1014" s="285" t="s">
        <v>13973</v>
      </c>
      <c r="H1014" s="285" t="s">
        <v>10100</v>
      </c>
      <c r="I1014" s="285" t="s">
        <v>13974</v>
      </c>
      <c r="J1014" s="285" t="s">
        <v>5224</v>
      </c>
      <c r="K1014" s="285" t="s">
        <v>13398</v>
      </c>
      <c r="L1014" s="285" t="s">
        <v>8850</v>
      </c>
      <c r="M1014" s="285" t="s">
        <v>9383</v>
      </c>
      <c r="N1014" s="287" t="str">
        <f>IFERROR(
    IF(
        AND(
            VLOOKUP(B1014, 'รายชื่อพนักงานลาออกพ้นสภาพ'!B:I, 8, FALSE)&lt;&gt;"ยกเลิกลาออก",
            VLOOKUP(B1014, 'รายชื่อพนักงานลาออกพ้นสภาพ'!B:I, 7, FALSE)&lt;=TODAY()
        ),
        "ลาออกแล้ว",
        ""
    ),
"")</f>
        <v/>
      </c>
      <c r="O1014" s="292" t="str">
        <f t="array" ref="O1014:P1014">IFERROR(INDEX(PCRent!C:D, MATCH(F1014 &amp; " " &amp; G1014, PCRent!A:A &amp; " " &amp; PCRent!B:B, 0)), "")</f>
        <v>SN:MP2EHH0D</v>
      </c>
      <c r="P1014" s="293" t="s">
        <v>6993</v>
      </c>
      <c r="Q1014" s="294" t="str">
        <f t="array" ref="Q1014">IFERROR(INDEX(MonitorRent!C:D, MATCH(F1014 &amp; " " &amp; G1014, MonitorRent!A:A &amp; " " &amp; MonitorRent!B:B, 0)), "")</f>
        <v/>
      </c>
      <c r="R1014" s="295"/>
    </row>
    <row r="1015">
      <c r="A1015" s="284">
        <v>1012.0</v>
      </c>
      <c r="B1015" s="285" t="s">
        <v>9003</v>
      </c>
      <c r="C1015" s="285" t="s">
        <v>6918</v>
      </c>
      <c r="D1015" s="286" t="s">
        <v>13975</v>
      </c>
      <c r="E1015" s="285" t="s">
        <v>6933</v>
      </c>
      <c r="F1015" s="285" t="s">
        <v>13976</v>
      </c>
      <c r="G1015" s="285" t="s">
        <v>13977</v>
      </c>
      <c r="H1015" s="285" t="s">
        <v>13978</v>
      </c>
      <c r="I1015" s="285" t="s">
        <v>13979</v>
      </c>
      <c r="J1015" s="285" t="s">
        <v>5224</v>
      </c>
      <c r="K1015" s="285" t="s">
        <v>4805</v>
      </c>
      <c r="L1015" s="285" t="s">
        <v>13980</v>
      </c>
      <c r="M1015" s="285" t="s">
        <v>9383</v>
      </c>
      <c r="N1015" s="287" t="str">
        <f>IFERROR(
    IF(
        AND(
            VLOOKUP(B1015, 'รายชื่อพนักงานลาออกพ้นสภาพ'!B:I, 8, FALSE)&lt;&gt;"ยกเลิกลาออก",
            VLOOKUP(B1015, 'รายชื่อพนักงานลาออกพ้นสภาพ'!B:I, 7, FALSE)&lt;=TODAY()
        ),
        "ลาออกแล้ว",
        ""
    ),
"")</f>
        <v/>
      </c>
      <c r="O1015" s="292" t="str">
        <f t="array" ref="O1015">IFERROR(INDEX(PCRent!C:D, MATCH(F1015 &amp; " " &amp; G1015, PCRent!A:A &amp; " " &amp; PCRent!B:B, 0)), "")</f>
        <v/>
      </c>
      <c r="P1015" s="293"/>
      <c r="Q1015" s="294" t="str">
        <f t="array" ref="Q1015">IFERROR(INDEX(MonitorRent!C:D, MATCH(F1015 &amp; " " &amp; G1015, MonitorRent!A:A &amp; " " &amp; MonitorRent!B:B, 0)), "")</f>
        <v/>
      </c>
      <c r="R1015" s="295"/>
    </row>
    <row r="1016">
      <c r="A1016" s="284">
        <v>1013.0</v>
      </c>
      <c r="B1016" s="285" t="s">
        <v>13981</v>
      </c>
      <c r="C1016" s="285" t="s">
        <v>6918</v>
      </c>
      <c r="D1016" s="286" t="s">
        <v>10978</v>
      </c>
      <c r="E1016" s="285" t="s">
        <v>6921</v>
      </c>
      <c r="F1016" s="285" t="s">
        <v>13982</v>
      </c>
      <c r="G1016" s="285" t="s">
        <v>13983</v>
      </c>
      <c r="H1016" s="285" t="s">
        <v>10989</v>
      </c>
      <c r="I1016" s="285" t="s">
        <v>13984</v>
      </c>
      <c r="J1016" s="285" t="s">
        <v>5012</v>
      </c>
      <c r="K1016" s="285" t="s">
        <v>9560</v>
      </c>
      <c r="L1016" s="285" t="s">
        <v>13209</v>
      </c>
      <c r="M1016" s="285" t="s">
        <v>9383</v>
      </c>
      <c r="N1016" s="287" t="str">
        <f>IFERROR(
    IF(
        AND(
            VLOOKUP(B1016, 'รายชื่อพนักงานลาออกพ้นสภาพ'!B:I, 8, FALSE)&lt;&gt;"ยกเลิกลาออก",
            VLOOKUP(B1016, 'รายชื่อพนักงานลาออกพ้นสภาพ'!B:I, 7, FALSE)&lt;=TODAY()
        ),
        "ลาออกแล้ว",
        ""
    ),
"")</f>
        <v/>
      </c>
      <c r="O1016" s="292" t="str">
        <f t="array" ref="O1016:P1016">IFERROR(INDEX(PCRent!C:D, MATCH(F1016 &amp; " " &amp; G1016, PCRent!A:A &amp; " " &amp; PCRent!B:B, 0)), "")</f>
        <v>SN:MSAF83N4S0102931</v>
      </c>
      <c r="P1016" s="293" t="s">
        <v>13621</v>
      </c>
      <c r="Q1016" s="294" t="str">
        <f t="array" ref="Q1016">IFERROR(INDEX(MonitorRent!C:D, MATCH(F1016 &amp; " " &amp; G1016, MonitorRent!A:A &amp; " " &amp; MonitorRent!B:B, 0)), "")</f>
        <v/>
      </c>
      <c r="R1016" s="295"/>
    </row>
    <row r="1017">
      <c r="A1017" s="284">
        <v>1014.0</v>
      </c>
      <c r="B1017" s="285" t="s">
        <v>3980</v>
      </c>
      <c r="C1017" s="285" t="s">
        <v>6918</v>
      </c>
      <c r="D1017" s="286" t="s">
        <v>9639</v>
      </c>
      <c r="E1017" s="285" t="s">
        <v>6933</v>
      </c>
      <c r="F1017" s="285" t="s">
        <v>13985</v>
      </c>
      <c r="G1017" s="285" t="s">
        <v>13986</v>
      </c>
      <c r="H1017" s="285" t="s">
        <v>13987</v>
      </c>
      <c r="I1017" s="285" t="s">
        <v>6724</v>
      </c>
      <c r="J1017" s="285" t="s">
        <v>5012</v>
      </c>
      <c r="K1017" s="285" t="s">
        <v>9474</v>
      </c>
      <c r="L1017" s="285" t="s">
        <v>9467</v>
      </c>
      <c r="M1017" s="285" t="s">
        <v>9383</v>
      </c>
      <c r="N1017" s="287" t="str">
        <f>IFERROR(
    IF(
        AND(
            VLOOKUP(B1017, 'รายชื่อพนักงานลาออกพ้นสภาพ'!B:I, 8, FALSE)&lt;&gt;"ยกเลิกลาออก",
            VLOOKUP(B1017, 'รายชื่อพนักงานลาออกพ้นสภาพ'!B:I, 7, FALSE)&lt;=TODAY()
        ),
        "ลาออกแล้ว",
        ""
    ),
"")</f>
        <v/>
      </c>
      <c r="O1017" s="292" t="str">
        <f t="array" ref="O1017">IFERROR(INDEX(PCRent!C:D, MATCH(F1017 &amp; " " &amp; G1017, PCRent!A:A &amp; " " &amp; PCRent!B:B, 0)), "")</f>
        <v/>
      </c>
      <c r="P1017" s="293"/>
      <c r="Q1017" s="294" t="str">
        <f t="array" ref="Q1017">IFERROR(INDEX(MonitorRent!C:D, MATCH(F1017 &amp; " " &amp; G1017, MonitorRent!A:A &amp; " " &amp; MonitorRent!B:B, 0)), "")</f>
        <v/>
      </c>
      <c r="R1017" s="295"/>
    </row>
    <row r="1018">
      <c r="A1018" s="284">
        <v>1015.0</v>
      </c>
      <c r="B1018" s="285" t="s">
        <v>7078</v>
      </c>
      <c r="C1018" s="285" t="s">
        <v>6918</v>
      </c>
      <c r="D1018" s="286" t="s">
        <v>13988</v>
      </c>
      <c r="E1018" s="285" t="s">
        <v>6933</v>
      </c>
      <c r="F1018" s="285" t="s">
        <v>13989</v>
      </c>
      <c r="G1018" s="285" t="s">
        <v>13990</v>
      </c>
      <c r="H1018" s="285" t="s">
        <v>10425</v>
      </c>
      <c r="I1018" s="285" t="s">
        <v>13991</v>
      </c>
      <c r="J1018" s="285" t="s">
        <v>5012</v>
      </c>
      <c r="K1018" s="285" t="s">
        <v>4805</v>
      </c>
      <c r="L1018" s="285" t="s">
        <v>13992</v>
      </c>
      <c r="M1018" s="285" t="s">
        <v>9383</v>
      </c>
      <c r="N1018" s="287" t="str">
        <f>IFERROR(
    IF(
        AND(
            VLOOKUP(B1018, 'รายชื่อพนักงานลาออกพ้นสภาพ'!B:I, 8, FALSE)&lt;&gt;"ยกเลิกลาออก",
            VLOOKUP(B1018, 'รายชื่อพนักงานลาออกพ้นสภาพ'!B:I, 7, FALSE)&lt;=TODAY()
        ),
        "ลาออกแล้ว",
        ""
    ),
"")</f>
        <v/>
      </c>
      <c r="O1018" s="292" t="str">
        <f t="array" ref="O1018">IFERROR(INDEX(PCRent!C:D, MATCH(F1018 &amp; " " &amp; G1018, PCRent!A:A &amp; " " &amp; PCRent!B:B, 0)), "")</f>
        <v/>
      </c>
      <c r="P1018" s="293"/>
      <c r="Q1018" s="294" t="str">
        <f t="array" ref="Q1018">IFERROR(INDEX(MonitorRent!C:D, MATCH(F1018 &amp; " " &amp; G1018, MonitorRent!A:A &amp; " " &amp; MonitorRent!B:B, 0)), "")</f>
        <v/>
      </c>
      <c r="R1018" s="295"/>
    </row>
    <row r="1019">
      <c r="A1019" s="284">
        <v>1016.0</v>
      </c>
      <c r="B1019" s="285" t="s">
        <v>8139</v>
      </c>
      <c r="C1019" s="285" t="s">
        <v>6918</v>
      </c>
      <c r="D1019" s="286" t="s">
        <v>13993</v>
      </c>
      <c r="E1019" s="285" t="s">
        <v>6921</v>
      </c>
      <c r="F1019" s="285" t="s">
        <v>13994</v>
      </c>
      <c r="G1019" s="285" t="s">
        <v>13995</v>
      </c>
      <c r="H1019" s="285" t="s">
        <v>9805</v>
      </c>
      <c r="I1019" s="285" t="s">
        <v>13996</v>
      </c>
      <c r="J1019" s="285" t="s">
        <v>5224</v>
      </c>
      <c r="K1019" s="285" t="s">
        <v>13997</v>
      </c>
      <c r="L1019" s="285" t="s">
        <v>8136</v>
      </c>
      <c r="M1019" s="285" t="s">
        <v>9383</v>
      </c>
      <c r="N1019" s="287" t="str">
        <f>IFERROR(
    IF(
        AND(
            VLOOKUP(B1019, 'รายชื่อพนักงานลาออกพ้นสภาพ'!B:I, 8, FALSE)&lt;&gt;"ยกเลิกลาออก",
            VLOOKUP(B1019, 'รายชื่อพนักงานลาออกพ้นสภาพ'!B:I, 7, FALSE)&lt;=TODAY()
        ),
        "ลาออกแล้ว",
        ""
    ),
"")</f>
        <v/>
      </c>
      <c r="O1019" s="292" t="str">
        <f t="array" ref="O1019">IFERROR(INDEX(PCRent!C:D, MATCH(F1019 &amp; " " &amp; G1019, PCRent!A:A &amp; " " &amp; PCRent!B:B, 0)), "")</f>
        <v/>
      </c>
      <c r="P1019" s="293"/>
      <c r="Q1019" s="294" t="str">
        <f t="array" ref="Q1019">IFERROR(INDEX(MonitorRent!C:D, MATCH(F1019 &amp; " " &amp; G1019, MonitorRent!A:A &amp; " " &amp; MonitorRent!B:B, 0)), "")</f>
        <v/>
      </c>
      <c r="R1019" s="295"/>
    </row>
    <row r="1020">
      <c r="A1020" s="284">
        <v>1017.0</v>
      </c>
      <c r="B1020" s="285" t="s">
        <v>8318</v>
      </c>
      <c r="C1020" s="285" t="s">
        <v>6918</v>
      </c>
      <c r="D1020" s="286" t="s">
        <v>13998</v>
      </c>
      <c r="E1020" s="285" t="s">
        <v>6933</v>
      </c>
      <c r="F1020" s="285" t="s">
        <v>13994</v>
      </c>
      <c r="G1020" s="285" t="s">
        <v>13999</v>
      </c>
      <c r="H1020" s="285" t="s">
        <v>14000</v>
      </c>
      <c r="I1020" s="285" t="s">
        <v>14001</v>
      </c>
      <c r="J1020" s="285" t="s">
        <v>5224</v>
      </c>
      <c r="K1020" s="285" t="s">
        <v>14002</v>
      </c>
      <c r="L1020" s="285" t="s">
        <v>2730</v>
      </c>
      <c r="M1020" s="285" t="s">
        <v>9383</v>
      </c>
      <c r="N1020" s="287" t="str">
        <f>IFERROR(
    IF(
        AND(
            VLOOKUP(B1020, 'รายชื่อพนักงานลาออกพ้นสภาพ'!B:I, 8, FALSE)&lt;&gt;"ยกเลิกลาออก",
            VLOOKUP(B1020, 'รายชื่อพนักงานลาออกพ้นสภาพ'!B:I, 7, FALSE)&lt;=TODAY()
        ),
        "ลาออกแล้ว",
        ""
    ),
"")</f>
        <v/>
      </c>
      <c r="O1020" s="292" t="str">
        <f t="array" ref="O1020">IFERROR(INDEX(PCRent!C:D, MATCH(F1020 &amp; " " &amp; G1020, PCRent!A:A &amp; " " &amp; PCRent!B:B, 0)), "")</f>
        <v/>
      </c>
      <c r="P1020" s="293"/>
      <c r="Q1020" s="294" t="str">
        <f t="array" ref="Q1020">IFERROR(INDEX(MonitorRent!C:D, MATCH(F1020 &amp; " " &amp; G1020, MonitorRent!A:A &amp; " " &amp; MonitorRent!B:B, 0)), "")</f>
        <v/>
      </c>
      <c r="R1020" s="295"/>
    </row>
    <row r="1021">
      <c r="A1021" s="284">
        <v>1018.0</v>
      </c>
      <c r="B1021" s="285" t="s">
        <v>8551</v>
      </c>
      <c r="C1021" s="285" t="s">
        <v>6918</v>
      </c>
      <c r="D1021" s="286" t="s">
        <v>10729</v>
      </c>
      <c r="E1021" s="285" t="s">
        <v>6933</v>
      </c>
      <c r="F1021" s="285" t="s">
        <v>14003</v>
      </c>
      <c r="G1021" s="285" t="s">
        <v>14004</v>
      </c>
      <c r="H1021" s="285" t="s">
        <v>14005</v>
      </c>
      <c r="I1021" s="285" t="s">
        <v>14006</v>
      </c>
      <c r="J1021" s="285" t="s">
        <v>5224</v>
      </c>
      <c r="K1021" s="285" t="s">
        <v>14007</v>
      </c>
      <c r="L1021" s="285" t="s">
        <v>2081</v>
      </c>
      <c r="M1021" s="285" t="s">
        <v>9383</v>
      </c>
      <c r="N1021" s="287" t="str">
        <f>IFERROR(
    IF(
        AND(
            VLOOKUP(B1021, 'รายชื่อพนักงานลาออกพ้นสภาพ'!B:I, 8, FALSE)&lt;&gt;"ยกเลิกลาออก",
            VLOOKUP(B1021, 'รายชื่อพนักงานลาออกพ้นสภาพ'!B:I, 7, FALSE)&lt;=TODAY()
        ),
        "ลาออกแล้ว",
        ""
    ),
"")</f>
        <v/>
      </c>
      <c r="O1021" s="292" t="str">
        <f t="array" ref="O1021">IFERROR(INDEX(PCRent!C:D, MATCH(F1021 &amp; " " &amp; G1021, PCRent!A:A &amp; " " &amp; PCRent!B:B, 0)), "")</f>
        <v/>
      </c>
      <c r="P1021" s="293"/>
      <c r="Q1021" s="294" t="str">
        <f t="array" ref="Q1021">IFERROR(INDEX(MonitorRent!C:D, MATCH(F1021 &amp; " " &amp; G1021, MonitorRent!A:A &amp; " " &amp; MonitorRent!B:B, 0)), "")</f>
        <v/>
      </c>
      <c r="R1021" s="295"/>
    </row>
    <row r="1022">
      <c r="A1022" s="284">
        <v>1019.0</v>
      </c>
      <c r="B1022" s="285" t="s">
        <v>7932</v>
      </c>
      <c r="C1022" s="285" t="s">
        <v>6918</v>
      </c>
      <c r="D1022" s="286" t="s">
        <v>14008</v>
      </c>
      <c r="E1022" s="285" t="s">
        <v>6921</v>
      </c>
      <c r="F1022" s="285" t="s">
        <v>9614</v>
      </c>
      <c r="G1022" s="285" t="s">
        <v>14009</v>
      </c>
      <c r="H1022" s="285" t="s">
        <v>9669</v>
      </c>
      <c r="I1022" s="285" t="s">
        <v>14010</v>
      </c>
      <c r="J1022" s="285" t="s">
        <v>5224</v>
      </c>
      <c r="K1022" s="285" t="s">
        <v>4835</v>
      </c>
      <c r="L1022" s="285" t="s">
        <v>3096</v>
      </c>
      <c r="M1022" s="285" t="s">
        <v>9383</v>
      </c>
      <c r="N1022" s="287" t="str">
        <f>IFERROR(
    IF(
        AND(
            VLOOKUP(B1022, 'รายชื่อพนักงานลาออกพ้นสภาพ'!B:I, 8, FALSE)&lt;&gt;"ยกเลิกลาออก",
            VLOOKUP(B1022, 'รายชื่อพนักงานลาออกพ้นสภาพ'!B:I, 7, FALSE)&lt;=TODAY()
        ),
        "ลาออกแล้ว",
        ""
    ),
"")</f>
        <v/>
      </c>
      <c r="O1022" s="292" t="str">
        <f t="array" ref="O1022">IFERROR(INDEX(PCRent!C:D, MATCH(F1022 &amp; " " &amp; G1022, PCRent!A:A &amp; " " &amp; PCRent!B:B, 0)), "")</f>
        <v/>
      </c>
      <c r="P1022" s="293"/>
      <c r="Q1022" s="294" t="str">
        <f t="array" ref="Q1022">IFERROR(INDEX(MonitorRent!C:D, MATCH(F1022 &amp; " " &amp; G1022, MonitorRent!A:A &amp; " " &amp; MonitorRent!B:B, 0)), "")</f>
        <v/>
      </c>
      <c r="R1022" s="295"/>
    </row>
    <row r="1023">
      <c r="A1023" s="284">
        <v>1020.0</v>
      </c>
      <c r="B1023" s="285" t="s">
        <v>8776</v>
      </c>
      <c r="C1023" s="285" t="s">
        <v>6918</v>
      </c>
      <c r="D1023" s="286" t="s">
        <v>12625</v>
      </c>
      <c r="E1023" s="285" t="s">
        <v>6921</v>
      </c>
      <c r="F1023" s="285" t="s">
        <v>9614</v>
      </c>
      <c r="G1023" s="285" t="s">
        <v>14011</v>
      </c>
      <c r="H1023" s="285" t="s">
        <v>12536</v>
      </c>
      <c r="I1023" s="285" t="s">
        <v>14012</v>
      </c>
      <c r="J1023" s="285" t="s">
        <v>5224</v>
      </c>
      <c r="K1023" s="285" t="s">
        <v>13025</v>
      </c>
      <c r="L1023" s="285" t="s">
        <v>4044</v>
      </c>
      <c r="M1023" s="285" t="s">
        <v>9383</v>
      </c>
      <c r="N1023" s="287" t="str">
        <f>IFERROR(
    IF(
        AND(
            VLOOKUP(B1023, 'รายชื่อพนักงานลาออกพ้นสภาพ'!B:I, 8, FALSE)&lt;&gt;"ยกเลิกลาออก",
            VLOOKUP(B1023, 'รายชื่อพนักงานลาออกพ้นสภาพ'!B:I, 7, FALSE)&lt;=TODAY()
        ),
        "ลาออกแล้ว",
        ""
    ),
"")</f>
        <v/>
      </c>
      <c r="O1023" s="292" t="str">
        <f t="array" ref="O1023">IFERROR(INDEX(PCRent!C:D, MATCH(F1023 &amp; " " &amp; G1023, PCRent!A:A &amp; " " &amp; PCRent!B:B, 0)), "")</f>
        <v/>
      </c>
      <c r="P1023" s="293"/>
      <c r="Q1023" s="294" t="str">
        <f t="array" ref="Q1023">IFERROR(INDEX(MonitorRent!C:D, MATCH(F1023 &amp; " " &amp; G1023, MonitorRent!A:A &amp; " " &amp; MonitorRent!B:B, 0)), "")</f>
        <v/>
      </c>
      <c r="R1023" s="295"/>
    </row>
    <row r="1024">
      <c r="A1024" s="284">
        <v>1021.0</v>
      </c>
      <c r="B1024" s="285" t="s">
        <v>8221</v>
      </c>
      <c r="C1024" s="285" t="s">
        <v>6918</v>
      </c>
      <c r="D1024" s="286" t="s">
        <v>12539</v>
      </c>
      <c r="E1024" s="285" t="s">
        <v>6933</v>
      </c>
      <c r="F1024" s="285" t="s">
        <v>14013</v>
      </c>
      <c r="G1024" s="285" t="s">
        <v>14014</v>
      </c>
      <c r="H1024" s="285" t="s">
        <v>9592</v>
      </c>
      <c r="I1024" s="285" t="s">
        <v>14015</v>
      </c>
      <c r="J1024" s="285" t="s">
        <v>5224</v>
      </c>
      <c r="K1024" s="285" t="s">
        <v>13029</v>
      </c>
      <c r="L1024" s="285" t="s">
        <v>13045</v>
      </c>
      <c r="M1024" s="285" t="s">
        <v>9383</v>
      </c>
      <c r="N1024" s="287" t="str">
        <f>IFERROR(
    IF(
        AND(
            VLOOKUP(B1024, 'รายชื่อพนักงานลาออกพ้นสภาพ'!B:I, 8, FALSE)&lt;&gt;"ยกเลิกลาออก",
            VLOOKUP(B1024, 'รายชื่อพนักงานลาออกพ้นสภาพ'!B:I, 7, FALSE)&lt;=TODAY()
        ),
        "ลาออกแล้ว",
        ""
    ),
"")</f>
        <v/>
      </c>
      <c r="O1024" s="292" t="str">
        <f t="array" ref="O1024:P1024">IFERROR(INDEX(PCRent!C:D, MATCH(F1024 &amp; " " &amp; G1024, PCRent!A:A &amp; " " &amp; PCRent!B:B, 0)), "")</f>
        <v>SN:MP2ET28E</v>
      </c>
      <c r="P1024" s="293" t="s">
        <v>7070</v>
      </c>
      <c r="Q1024" s="294" t="str">
        <f t="array" ref="Q1024">IFERROR(INDEX(MonitorRent!C:D, MATCH(F1024 &amp; " " &amp; G1024, MonitorRent!A:A &amp; " " &amp; MonitorRent!B:B, 0)), "")</f>
        <v/>
      </c>
      <c r="R1024" s="295"/>
    </row>
    <row r="1025">
      <c r="A1025" s="284">
        <v>1022.0</v>
      </c>
      <c r="B1025" s="285" t="s">
        <v>8235</v>
      </c>
      <c r="C1025" s="285" t="s">
        <v>6918</v>
      </c>
      <c r="D1025" s="286" t="s">
        <v>11486</v>
      </c>
      <c r="E1025" s="285" t="s">
        <v>6933</v>
      </c>
      <c r="F1025" s="285" t="s">
        <v>14016</v>
      </c>
      <c r="G1025" s="285" t="s">
        <v>14017</v>
      </c>
      <c r="H1025" s="285" t="s">
        <v>14018</v>
      </c>
      <c r="I1025" s="285" t="s">
        <v>14019</v>
      </c>
      <c r="J1025" s="285" t="s">
        <v>5224</v>
      </c>
      <c r="K1025" s="285" t="s">
        <v>14020</v>
      </c>
      <c r="L1025" s="285" t="s">
        <v>13045</v>
      </c>
      <c r="M1025" s="285" t="s">
        <v>9383</v>
      </c>
      <c r="N1025" s="287" t="str">
        <f>IFERROR(
    IF(
        AND(
            VLOOKUP(B1025, 'รายชื่อพนักงานลาออกพ้นสภาพ'!B:I, 8, FALSE)&lt;&gt;"ยกเลิกลาออก",
            VLOOKUP(B1025, 'รายชื่อพนักงานลาออกพ้นสภาพ'!B:I, 7, FALSE)&lt;=TODAY()
        ),
        "ลาออกแล้ว",
        ""
    ),
"")</f>
        <v/>
      </c>
      <c r="O1025" s="292" t="str">
        <f t="array" ref="O1025:P1025">IFERROR(INDEX(PCRent!C:D, MATCH(F1025 &amp; " " &amp; G1025, PCRent!A:A &amp; " " &amp; PCRent!B:B, 0)), "")</f>
        <v>SN:MP2EJ0M4</v>
      </c>
      <c r="P1025" s="293" t="s">
        <v>6993</v>
      </c>
      <c r="Q1025" s="294" t="str">
        <f t="array" ref="Q1025">IFERROR(INDEX(MonitorRent!C:D, MATCH(F1025 &amp; " " &amp; G1025, MonitorRent!A:A &amp; " " &amp; MonitorRent!B:B, 0)), "")</f>
        <v/>
      </c>
      <c r="R1025" s="295"/>
    </row>
    <row r="1026">
      <c r="A1026" s="284">
        <v>1023.0</v>
      </c>
      <c r="B1026" s="285" t="s">
        <v>14021</v>
      </c>
      <c r="C1026" s="285" t="s">
        <v>6918</v>
      </c>
      <c r="D1026" s="286" t="s">
        <v>10354</v>
      </c>
      <c r="E1026" s="285" t="s">
        <v>6933</v>
      </c>
      <c r="F1026" s="285" t="s">
        <v>14022</v>
      </c>
      <c r="G1026" s="285" t="s">
        <v>14023</v>
      </c>
      <c r="H1026" s="285" t="s">
        <v>14024</v>
      </c>
      <c r="I1026" s="285" t="s">
        <v>14025</v>
      </c>
      <c r="J1026" s="285" t="s">
        <v>5012</v>
      </c>
      <c r="K1026" s="285" t="s">
        <v>9626</v>
      </c>
      <c r="L1026" s="285" t="s">
        <v>13020</v>
      </c>
      <c r="M1026" s="285" t="s">
        <v>9383</v>
      </c>
      <c r="N1026" s="287" t="str">
        <f>IFERROR(
    IF(
        AND(
            VLOOKUP(B1026, 'รายชื่อพนักงานลาออกพ้นสภาพ'!B:I, 8, FALSE)&lt;&gt;"ยกเลิกลาออก",
            VLOOKUP(B1026, 'รายชื่อพนักงานลาออกพ้นสภาพ'!B:I, 7, FALSE)&lt;=TODAY()
        ),
        "ลาออกแล้ว",
        ""
    ),
"")</f>
        <v/>
      </c>
      <c r="O1026" s="292" t="str">
        <f t="array" ref="O1026">IFERROR(INDEX(PCRent!C:D, MATCH(F1026 &amp; " " &amp; G1026, PCRent!A:A &amp; " " &amp; PCRent!B:B, 0)), "")</f>
        <v/>
      </c>
      <c r="P1026" s="293"/>
      <c r="Q1026" s="294" t="str">
        <f t="array" ref="Q1026">IFERROR(INDEX(MonitorRent!C:D, MATCH(F1026 &amp; " " &amp; G1026, MonitorRent!A:A &amp; " " &amp; MonitorRent!B:B, 0)), "")</f>
        <v/>
      </c>
      <c r="R1026" s="295"/>
    </row>
    <row r="1027">
      <c r="A1027" s="284">
        <v>1024.0</v>
      </c>
      <c r="B1027" s="285" t="s">
        <v>8500</v>
      </c>
      <c r="C1027" s="285" t="s">
        <v>6918</v>
      </c>
      <c r="D1027" s="286" t="s">
        <v>9681</v>
      </c>
      <c r="E1027" s="285" t="s">
        <v>6933</v>
      </c>
      <c r="F1027" s="285" t="s">
        <v>14026</v>
      </c>
      <c r="G1027" s="285" t="s">
        <v>14027</v>
      </c>
      <c r="H1027" s="285" t="s">
        <v>10536</v>
      </c>
      <c r="I1027" s="285" t="s">
        <v>14028</v>
      </c>
      <c r="J1027" s="285" t="s">
        <v>5224</v>
      </c>
      <c r="K1027" s="285" t="s">
        <v>4756</v>
      </c>
      <c r="L1027" s="285" t="s">
        <v>8486</v>
      </c>
      <c r="M1027" s="285" t="s">
        <v>9383</v>
      </c>
      <c r="N1027" s="287" t="str">
        <f>IFERROR(
    IF(
        AND(
            VLOOKUP(B1027, 'รายชื่อพนักงานลาออกพ้นสภาพ'!B:I, 8, FALSE)&lt;&gt;"ยกเลิกลาออก",
            VLOOKUP(B1027, 'รายชื่อพนักงานลาออกพ้นสภาพ'!B:I, 7, FALSE)&lt;=TODAY()
        ),
        "ลาออกแล้ว",
        ""
    ),
"")</f>
        <v/>
      </c>
      <c r="O1027" s="292" t="str">
        <f t="array" ref="O1027">IFERROR(INDEX(PCRent!C:D, MATCH(F1027 &amp; " " &amp; G1027, PCRent!A:A &amp; " " &amp; PCRent!B:B, 0)), "")</f>
        <v/>
      </c>
      <c r="P1027" s="293"/>
      <c r="Q1027" s="294" t="str">
        <f t="array" ref="Q1027">IFERROR(INDEX(MonitorRent!C:D, MATCH(F1027 &amp; " " &amp; G1027, MonitorRent!A:A &amp; " " &amp; MonitorRent!B:B, 0)), "")</f>
        <v/>
      </c>
      <c r="R1027" s="295"/>
    </row>
    <row r="1028">
      <c r="A1028" s="284">
        <v>1025.0</v>
      </c>
      <c r="B1028" s="285" t="s">
        <v>8360</v>
      </c>
      <c r="C1028" s="285" t="s">
        <v>6918</v>
      </c>
      <c r="D1028" s="286" t="s">
        <v>9842</v>
      </c>
      <c r="E1028" s="285" t="s">
        <v>6933</v>
      </c>
      <c r="F1028" s="285" t="s">
        <v>14026</v>
      </c>
      <c r="G1028" s="285" t="s">
        <v>14029</v>
      </c>
      <c r="H1028" s="285" t="s">
        <v>14030</v>
      </c>
      <c r="I1028" s="285" t="s">
        <v>14031</v>
      </c>
      <c r="J1028" s="285" t="s">
        <v>5224</v>
      </c>
      <c r="K1028" s="285" t="s">
        <v>4749</v>
      </c>
      <c r="L1028" s="285" t="s">
        <v>8362</v>
      </c>
      <c r="M1028" s="285" t="s">
        <v>9383</v>
      </c>
      <c r="N1028" s="287" t="str">
        <f>IFERROR(
    IF(
        AND(
            VLOOKUP(B1028, 'รายชื่อพนักงานลาออกพ้นสภาพ'!B:I, 8, FALSE)&lt;&gt;"ยกเลิกลาออก",
            VLOOKUP(B1028, 'รายชื่อพนักงานลาออกพ้นสภาพ'!B:I, 7, FALSE)&lt;=TODAY()
        ),
        "ลาออกแล้ว",
        ""
    ),
"")</f>
        <v/>
      </c>
      <c r="O1028" s="292" t="str">
        <f t="array" ref="O1028">IFERROR(INDEX(PCRent!C:D, MATCH(F1028 &amp; " " &amp; G1028, PCRent!A:A &amp; " " &amp; PCRent!B:B, 0)), "")</f>
        <v/>
      </c>
      <c r="P1028" s="293"/>
      <c r="Q1028" s="294" t="str">
        <f t="array" ref="Q1028">IFERROR(INDEX(MonitorRent!C:D, MATCH(F1028 &amp; " " &amp; G1028, MonitorRent!A:A &amp; " " &amp; MonitorRent!B:B, 0)), "")</f>
        <v/>
      </c>
      <c r="R1028" s="295"/>
    </row>
    <row r="1029">
      <c r="A1029" s="284">
        <v>1026.0</v>
      </c>
      <c r="B1029" s="285" t="s">
        <v>8607</v>
      </c>
      <c r="C1029" s="285" t="s">
        <v>6918</v>
      </c>
      <c r="D1029" s="286" t="s">
        <v>14032</v>
      </c>
      <c r="E1029" s="285" t="s">
        <v>6933</v>
      </c>
      <c r="F1029" s="285" t="s">
        <v>10967</v>
      </c>
      <c r="G1029" s="285" t="s">
        <v>9498</v>
      </c>
      <c r="H1029" s="296"/>
      <c r="I1029" s="285" t="s">
        <v>14033</v>
      </c>
      <c r="J1029" s="285" t="s">
        <v>5224</v>
      </c>
      <c r="K1029" s="285" t="s">
        <v>14034</v>
      </c>
      <c r="L1029" s="285" t="s">
        <v>8609</v>
      </c>
      <c r="M1029" s="285" t="s">
        <v>9383</v>
      </c>
      <c r="N1029" s="287" t="str">
        <f>IFERROR(
    IF(
        AND(
            VLOOKUP(B1029, 'รายชื่อพนักงานลาออกพ้นสภาพ'!B:I, 8, FALSE)&lt;&gt;"ยกเลิกลาออก",
            VLOOKUP(B1029, 'รายชื่อพนักงานลาออกพ้นสภาพ'!B:I, 7, FALSE)&lt;=TODAY()
        ),
        "ลาออกแล้ว",
        ""
    ),
"")</f>
        <v/>
      </c>
      <c r="O1029" s="292" t="str">
        <f t="array" ref="O1029">IFERROR(INDEX(PCRent!C:D, MATCH(F1029 &amp; " " &amp; G1029, PCRent!A:A &amp; " " &amp; PCRent!B:B, 0)), "")</f>
        <v/>
      </c>
      <c r="P1029" s="293"/>
      <c r="Q1029" s="294" t="str">
        <f t="array" ref="Q1029">IFERROR(INDEX(MonitorRent!C:D, MATCH(F1029 &amp; " " &amp; G1029, MonitorRent!A:A &amp; " " &amp; MonitorRent!B:B, 0)), "")</f>
        <v/>
      </c>
      <c r="R1029" s="295"/>
    </row>
    <row r="1030">
      <c r="A1030" s="284">
        <v>1027.0</v>
      </c>
      <c r="B1030" s="285" t="s">
        <v>14035</v>
      </c>
      <c r="C1030" s="285" t="s">
        <v>6918</v>
      </c>
      <c r="D1030" s="286" t="s">
        <v>10501</v>
      </c>
      <c r="E1030" s="285" t="s">
        <v>6933</v>
      </c>
      <c r="F1030" s="285" t="s">
        <v>14036</v>
      </c>
      <c r="G1030" s="285" t="s">
        <v>14037</v>
      </c>
      <c r="H1030" s="285" t="s">
        <v>12947</v>
      </c>
      <c r="I1030" s="285" t="s">
        <v>6333</v>
      </c>
      <c r="J1030" s="285" t="s">
        <v>5224</v>
      </c>
      <c r="K1030" s="285" t="s">
        <v>9458</v>
      </c>
      <c r="L1030" s="285" t="s">
        <v>14038</v>
      </c>
      <c r="M1030" s="285" t="s">
        <v>9383</v>
      </c>
      <c r="N1030" s="287" t="str">
        <f>IFERROR(
    IF(
        AND(
            VLOOKUP(B1030, 'รายชื่อพนักงานลาออกพ้นสภาพ'!B:I, 8, FALSE)&lt;&gt;"ยกเลิกลาออก",
            VLOOKUP(B1030, 'รายชื่อพนักงานลาออกพ้นสภาพ'!B:I, 7, FALSE)&lt;=TODAY()
        ),
        "ลาออกแล้ว",
        ""
    ),
"")</f>
        <v/>
      </c>
      <c r="O1030" s="292" t="str">
        <f t="array" ref="O1030">IFERROR(INDEX(PCRent!C:D, MATCH(F1030 &amp; " " &amp; G1030, PCRent!A:A &amp; " " &amp; PCRent!B:B, 0)), "")</f>
        <v/>
      </c>
      <c r="P1030" s="293"/>
      <c r="Q1030" s="294" t="str">
        <f t="array" ref="Q1030">IFERROR(INDEX(MonitorRent!C:D, MATCH(F1030 &amp; " " &amp; G1030, MonitorRent!A:A &amp; " " &amp; MonitorRent!B:B, 0)), "")</f>
        <v/>
      </c>
      <c r="R1030" s="295"/>
    </row>
    <row r="1031">
      <c r="A1031" s="284">
        <v>1028.0</v>
      </c>
      <c r="B1031" s="285" t="s">
        <v>14039</v>
      </c>
      <c r="C1031" s="285" t="s">
        <v>6918</v>
      </c>
      <c r="D1031" s="286" t="s">
        <v>9688</v>
      </c>
      <c r="E1031" s="285" t="s">
        <v>6933</v>
      </c>
      <c r="F1031" s="285" t="s">
        <v>14040</v>
      </c>
      <c r="G1031" s="285" t="s">
        <v>14041</v>
      </c>
      <c r="H1031" s="285" t="s">
        <v>9696</v>
      </c>
      <c r="I1031" s="285" t="s">
        <v>14042</v>
      </c>
      <c r="J1031" s="285" t="s">
        <v>5012</v>
      </c>
      <c r="K1031" s="285" t="s">
        <v>9626</v>
      </c>
      <c r="L1031" s="285" t="s">
        <v>232</v>
      </c>
      <c r="M1031" s="285" t="s">
        <v>9383</v>
      </c>
      <c r="N1031" s="287" t="str">
        <f>IFERROR(
    IF(
        AND(
            VLOOKUP(B1031, 'รายชื่อพนักงานลาออกพ้นสภาพ'!B:I, 8, FALSE)&lt;&gt;"ยกเลิกลาออก",
            VLOOKUP(B1031, 'รายชื่อพนักงานลาออกพ้นสภาพ'!B:I, 7, FALSE)&lt;=TODAY()
        ),
        "ลาออกแล้ว",
        ""
    ),
"")</f>
        <v/>
      </c>
      <c r="O1031" s="292" t="str">
        <f t="array" ref="O1031">IFERROR(INDEX(PCRent!C:D, MATCH(F1031 &amp; " " &amp; G1031, PCRent!A:A &amp; " " &amp; PCRent!B:B, 0)), "")</f>
        <v/>
      </c>
      <c r="P1031" s="293"/>
      <c r="Q1031" s="294" t="str">
        <f t="array" ref="Q1031">IFERROR(INDEX(MonitorRent!C:D, MATCH(F1031 &amp; " " &amp; G1031, MonitorRent!A:A &amp; " " &amp; MonitorRent!B:B, 0)), "")</f>
        <v/>
      </c>
      <c r="R1031" s="295"/>
    </row>
    <row r="1032">
      <c r="A1032" s="284">
        <v>1029.0</v>
      </c>
      <c r="B1032" s="285" t="s">
        <v>8423</v>
      </c>
      <c r="C1032" s="285" t="s">
        <v>6918</v>
      </c>
      <c r="D1032" s="286" t="s">
        <v>9594</v>
      </c>
      <c r="E1032" s="285" t="s">
        <v>6933</v>
      </c>
      <c r="F1032" s="285" t="s">
        <v>14040</v>
      </c>
      <c r="G1032" s="285" t="s">
        <v>14043</v>
      </c>
      <c r="H1032" s="285" t="s">
        <v>14044</v>
      </c>
      <c r="I1032" s="285" t="s">
        <v>14045</v>
      </c>
      <c r="J1032" s="285" t="s">
        <v>5224</v>
      </c>
      <c r="K1032" s="285" t="s">
        <v>4805</v>
      </c>
      <c r="L1032" s="285" t="s">
        <v>1837</v>
      </c>
      <c r="M1032" s="285" t="s">
        <v>9383</v>
      </c>
      <c r="N1032" s="287" t="str">
        <f>IFERROR(
    IF(
        AND(
            VLOOKUP(B1032, 'รายชื่อพนักงานลาออกพ้นสภาพ'!B:I, 8, FALSE)&lt;&gt;"ยกเลิกลาออก",
            VLOOKUP(B1032, 'รายชื่อพนักงานลาออกพ้นสภาพ'!B:I, 7, FALSE)&lt;=TODAY()
        ),
        "ลาออกแล้ว",
        ""
    ),
"")</f>
        <v/>
      </c>
      <c r="O1032" s="292" t="str">
        <f t="array" ref="O1032">IFERROR(INDEX(PCRent!C:D, MATCH(F1032 &amp; " " &amp; G1032, PCRent!A:A &amp; " " &amp; PCRent!B:B, 0)), "")</f>
        <v/>
      </c>
      <c r="P1032" s="293"/>
      <c r="Q1032" s="294" t="str">
        <f t="array" ref="Q1032">IFERROR(INDEX(MonitorRent!C:D, MATCH(F1032 &amp; " " &amp; G1032, MonitorRent!A:A &amp; " " &amp; MonitorRent!B:B, 0)), "")</f>
        <v/>
      </c>
      <c r="R1032" s="295"/>
    </row>
    <row r="1033">
      <c r="A1033" s="284">
        <v>1030.0</v>
      </c>
      <c r="B1033" s="285" t="s">
        <v>4547</v>
      </c>
      <c r="C1033" s="285" t="s">
        <v>6918</v>
      </c>
      <c r="D1033" s="286" t="s">
        <v>14046</v>
      </c>
      <c r="E1033" s="285" t="s">
        <v>6933</v>
      </c>
      <c r="F1033" s="285" t="s">
        <v>14047</v>
      </c>
      <c r="G1033" s="285" t="s">
        <v>14048</v>
      </c>
      <c r="H1033" s="285" t="s">
        <v>14018</v>
      </c>
      <c r="I1033" s="285" t="s">
        <v>6906</v>
      </c>
      <c r="J1033" s="285" t="s">
        <v>5012</v>
      </c>
      <c r="K1033" s="285" t="s">
        <v>4749</v>
      </c>
      <c r="L1033" s="285" t="s">
        <v>4549</v>
      </c>
      <c r="M1033" s="285" t="s">
        <v>9383</v>
      </c>
      <c r="N1033" s="287" t="str">
        <f>IFERROR(
    IF(
        AND(
            VLOOKUP(B1033, 'รายชื่อพนักงานลาออกพ้นสภาพ'!B:I, 8, FALSE)&lt;&gt;"ยกเลิกลาออก",
            VLOOKUP(B1033, 'รายชื่อพนักงานลาออกพ้นสภาพ'!B:I, 7, FALSE)&lt;=TODAY()
        ),
        "ลาออกแล้ว",
        ""
    ),
"")</f>
        <v/>
      </c>
      <c r="O1033" s="292" t="str">
        <f t="array" ref="O1033:P1033">IFERROR(INDEX(PCRent!C:D, MATCH(F1033 &amp; " " &amp; G1033, PCRent!A:A &amp; " " &amp; PCRent!B:B, 0)), "")</f>
        <v>SN:MP2EJ2X8</v>
      </c>
      <c r="P1033" s="293" t="s">
        <v>6993</v>
      </c>
      <c r="Q1033" s="294" t="str">
        <f t="array" ref="Q1033">IFERROR(INDEX(MonitorRent!C:D, MATCH(F1033 &amp; " " &amp; G1033, MonitorRent!A:A &amp; " " &amp; MonitorRent!B:B, 0)), "")</f>
        <v/>
      </c>
      <c r="R1033" s="295"/>
    </row>
    <row r="1034">
      <c r="A1034" s="284">
        <v>1031.0</v>
      </c>
      <c r="B1034" s="285" t="s">
        <v>14049</v>
      </c>
      <c r="C1034" s="285" t="s">
        <v>6918</v>
      </c>
      <c r="D1034" s="286" t="s">
        <v>10303</v>
      </c>
      <c r="E1034" s="285" t="s">
        <v>6933</v>
      </c>
      <c r="F1034" s="285" t="s">
        <v>14050</v>
      </c>
      <c r="G1034" s="285" t="s">
        <v>14051</v>
      </c>
      <c r="H1034" s="285" t="s">
        <v>11563</v>
      </c>
      <c r="I1034" s="285" t="s">
        <v>14052</v>
      </c>
      <c r="J1034" s="285" t="s">
        <v>5012</v>
      </c>
      <c r="K1034" s="285" t="s">
        <v>9626</v>
      </c>
      <c r="L1034" s="285" t="s">
        <v>9540</v>
      </c>
      <c r="M1034" s="285" t="s">
        <v>9383</v>
      </c>
      <c r="N1034" s="287" t="str">
        <f>IFERROR(
    IF(
        AND(
            VLOOKUP(B1034, 'รายชื่อพนักงานลาออกพ้นสภาพ'!B:I, 8, FALSE)&lt;&gt;"ยกเลิกลาออก",
            VLOOKUP(B1034, 'รายชื่อพนักงานลาออกพ้นสภาพ'!B:I, 7, FALSE)&lt;=TODAY()
        ),
        "ลาออกแล้ว",
        ""
    ),
"")</f>
        <v/>
      </c>
      <c r="O1034" s="292" t="str">
        <f t="array" ref="O1034">IFERROR(INDEX(PCRent!C:D, MATCH(F1034 &amp; " " &amp; G1034, PCRent!A:A &amp; " " &amp; PCRent!B:B, 0)), "")</f>
        <v/>
      </c>
      <c r="P1034" s="293"/>
      <c r="Q1034" s="294" t="str">
        <f t="array" ref="Q1034">IFERROR(INDEX(MonitorRent!C:D, MATCH(F1034 &amp; " " &amp; G1034, MonitorRent!A:A &amp; " " &amp; MonitorRent!B:B, 0)), "")</f>
        <v/>
      </c>
      <c r="R1034" s="295"/>
    </row>
    <row r="1035">
      <c r="A1035" s="284">
        <v>1032.0</v>
      </c>
      <c r="B1035" s="285" t="s">
        <v>4905</v>
      </c>
      <c r="C1035" s="285" t="s">
        <v>6918</v>
      </c>
      <c r="D1035" s="286" t="s">
        <v>9656</v>
      </c>
      <c r="E1035" s="285" t="s">
        <v>6933</v>
      </c>
      <c r="F1035" s="285" t="s">
        <v>14053</v>
      </c>
      <c r="G1035" s="285" t="s">
        <v>14054</v>
      </c>
      <c r="H1035" s="285" t="s">
        <v>10249</v>
      </c>
      <c r="I1035" s="285" t="s">
        <v>4906</v>
      </c>
      <c r="J1035" s="285" t="s">
        <v>5224</v>
      </c>
      <c r="K1035" s="285" t="s">
        <v>4898</v>
      </c>
      <c r="L1035" s="285" t="s">
        <v>2177</v>
      </c>
      <c r="M1035" s="285" t="s">
        <v>9383</v>
      </c>
      <c r="N1035" s="287" t="str">
        <f>IFERROR(
    IF(
        AND(
            VLOOKUP(B1035, 'รายชื่อพนักงานลาออกพ้นสภาพ'!B:I, 8, FALSE)&lt;&gt;"ยกเลิกลาออก",
            VLOOKUP(B1035, 'รายชื่อพนักงานลาออกพ้นสภาพ'!B:I, 7, FALSE)&lt;=TODAY()
        ),
        "ลาออกแล้ว",
        ""
    ),
"")</f>
        <v/>
      </c>
      <c r="O1035" s="292" t="str">
        <f t="array" ref="O1035">IFERROR(INDEX(PCRent!C:D, MATCH(F1035 &amp; " " &amp; G1035, PCRent!A:A &amp; " " &amp; PCRent!B:B, 0)), "")</f>
        <v/>
      </c>
      <c r="P1035" s="293"/>
      <c r="Q1035" s="294" t="str">
        <f t="array" ref="Q1035">IFERROR(INDEX(MonitorRent!C:D, MATCH(F1035 &amp; " " &amp; G1035, MonitorRent!A:A &amp; " " &amp; MonitorRent!B:B, 0)), "")</f>
        <v/>
      </c>
      <c r="R1035" s="295"/>
    </row>
    <row r="1036">
      <c r="A1036" s="284">
        <v>1033.0</v>
      </c>
      <c r="B1036" s="285" t="s">
        <v>9191</v>
      </c>
      <c r="C1036" s="285" t="s">
        <v>6918</v>
      </c>
      <c r="D1036" s="286" t="s">
        <v>9415</v>
      </c>
      <c r="E1036" s="285" t="s">
        <v>6921</v>
      </c>
      <c r="F1036" s="285" t="s">
        <v>14055</v>
      </c>
      <c r="G1036" s="285" t="s">
        <v>14056</v>
      </c>
      <c r="H1036" s="285" t="s">
        <v>11596</v>
      </c>
      <c r="I1036" s="285" t="s">
        <v>14057</v>
      </c>
      <c r="J1036" s="285" t="s">
        <v>5224</v>
      </c>
      <c r="K1036" s="285" t="s">
        <v>12359</v>
      </c>
      <c r="L1036" s="285" t="s">
        <v>8850</v>
      </c>
      <c r="M1036" s="285" t="s">
        <v>9383</v>
      </c>
      <c r="N1036" s="287" t="str">
        <f>IFERROR(
    IF(
        AND(
            VLOOKUP(B1036, 'รายชื่อพนักงานลาออกพ้นสภาพ'!B:I, 8, FALSE)&lt;&gt;"ยกเลิกลาออก",
            VLOOKUP(B1036, 'รายชื่อพนักงานลาออกพ้นสภาพ'!B:I, 7, FALSE)&lt;=TODAY()
        ),
        "ลาออกแล้ว",
        ""
    ),
"")</f>
        <v/>
      </c>
      <c r="O1036" s="292" t="str">
        <f t="array" ref="O1036:P1036">IFERROR(INDEX(PCRent!C:D, MATCH(F1036 &amp; " " &amp; G1036, PCRent!A:A &amp; " " &amp; PCRent!B:B, 0)), "")</f>
        <v>SN:6KBJ904</v>
      </c>
      <c r="P1036" s="293" t="s">
        <v>8739</v>
      </c>
      <c r="Q1036" s="294" t="str">
        <f t="array" ref="Q1036:R1036">IFERROR(INDEX(MonitorRent!C:D, MATCH(F1036 &amp; " " &amp; G1036, MonitorRent!A:A &amp; " " &amp; MonitorRent!B:B, 0)), "")</f>
        <v>SN:CVMZ8P3</v>
      </c>
      <c r="R1036" s="295" t="s">
        <v>6995</v>
      </c>
    </row>
    <row r="1037">
      <c r="A1037" s="284">
        <v>1034.0</v>
      </c>
      <c r="B1037" s="285" t="s">
        <v>14058</v>
      </c>
      <c r="C1037" s="285" t="s">
        <v>6918</v>
      </c>
      <c r="D1037" s="286" t="s">
        <v>12529</v>
      </c>
      <c r="E1037" s="285" t="s">
        <v>6933</v>
      </c>
      <c r="F1037" s="285" t="s">
        <v>11002</v>
      </c>
      <c r="G1037" s="285" t="s">
        <v>14059</v>
      </c>
      <c r="H1037" s="285" t="s">
        <v>9430</v>
      </c>
      <c r="I1037" s="285" t="s">
        <v>14060</v>
      </c>
      <c r="J1037" s="285" t="s">
        <v>5012</v>
      </c>
      <c r="K1037" s="285" t="s">
        <v>9474</v>
      </c>
      <c r="L1037" s="285" t="s">
        <v>13501</v>
      </c>
      <c r="M1037" s="285" t="s">
        <v>9383</v>
      </c>
      <c r="N1037" s="287" t="str">
        <f>IFERROR(
    IF(
        AND(
            VLOOKUP(B1037, 'รายชื่อพนักงานลาออกพ้นสภาพ'!B:I, 8, FALSE)&lt;&gt;"ยกเลิกลาออก",
            VLOOKUP(B1037, 'รายชื่อพนักงานลาออกพ้นสภาพ'!B:I, 7, FALSE)&lt;=TODAY()
        ),
        "ลาออกแล้ว",
        ""
    ),
"")</f>
        <v/>
      </c>
      <c r="O1037" s="292" t="str">
        <f t="array" ref="O1037">IFERROR(INDEX(PCRent!C:D, MATCH(F1037 &amp; " " &amp; G1037, PCRent!A:A &amp; " " &amp; PCRent!B:B, 0)), "")</f>
        <v/>
      </c>
      <c r="P1037" s="293"/>
      <c r="Q1037" s="294" t="str">
        <f t="array" ref="Q1037">IFERROR(INDEX(MonitorRent!C:D, MATCH(F1037 &amp; " " &amp; G1037, MonitorRent!A:A &amp; " " &amp; MonitorRent!B:B, 0)), "")</f>
        <v/>
      </c>
      <c r="R1037" s="295"/>
    </row>
    <row r="1038">
      <c r="A1038" s="284">
        <v>1035.0</v>
      </c>
      <c r="B1038" s="285" t="s">
        <v>8593</v>
      </c>
      <c r="C1038" s="285" t="s">
        <v>6918</v>
      </c>
      <c r="D1038" s="286" t="s">
        <v>14061</v>
      </c>
      <c r="E1038" s="285" t="s">
        <v>6933</v>
      </c>
      <c r="F1038" s="285" t="s">
        <v>11002</v>
      </c>
      <c r="G1038" s="285" t="s">
        <v>14062</v>
      </c>
      <c r="H1038" s="285" t="s">
        <v>14063</v>
      </c>
      <c r="I1038" s="285" t="s">
        <v>14064</v>
      </c>
      <c r="J1038" s="285" t="s">
        <v>5224</v>
      </c>
      <c r="K1038" s="285" t="s">
        <v>12668</v>
      </c>
      <c r="L1038" s="285" t="s">
        <v>1896</v>
      </c>
      <c r="M1038" s="285" t="s">
        <v>9383</v>
      </c>
      <c r="N1038" s="287" t="str">
        <f>IFERROR(
    IF(
        AND(
            VLOOKUP(B1038, 'รายชื่อพนักงานลาออกพ้นสภาพ'!B:I, 8, FALSE)&lt;&gt;"ยกเลิกลาออก",
            VLOOKUP(B1038, 'รายชื่อพนักงานลาออกพ้นสภาพ'!B:I, 7, FALSE)&lt;=TODAY()
        ),
        "ลาออกแล้ว",
        ""
    ),
"")</f>
        <v/>
      </c>
      <c r="O1038" s="292" t="str">
        <f t="array" ref="O1038">IFERROR(INDEX(PCRent!C:D, MATCH(F1038 &amp; " " &amp; G1038, PCRent!A:A &amp; " " &amp; PCRent!B:B, 0)), "")</f>
        <v/>
      </c>
      <c r="P1038" s="293"/>
      <c r="Q1038" s="294" t="str">
        <f t="array" ref="Q1038">IFERROR(INDEX(MonitorRent!C:D, MATCH(F1038 &amp; " " &amp; G1038, MonitorRent!A:A &amp; " " &amp; MonitorRent!B:B, 0)), "")</f>
        <v/>
      </c>
      <c r="R1038" s="295"/>
    </row>
    <row r="1039">
      <c r="A1039" s="284">
        <v>1036.0</v>
      </c>
      <c r="B1039" s="285" t="s">
        <v>7816</v>
      </c>
      <c r="C1039" s="285" t="s">
        <v>6918</v>
      </c>
      <c r="D1039" s="286" t="s">
        <v>14065</v>
      </c>
      <c r="E1039" s="285" t="s">
        <v>6921</v>
      </c>
      <c r="F1039" s="285" t="s">
        <v>14066</v>
      </c>
      <c r="G1039" s="285" t="s">
        <v>12750</v>
      </c>
      <c r="H1039" s="285" t="s">
        <v>9435</v>
      </c>
      <c r="I1039" s="285" t="s">
        <v>14067</v>
      </c>
      <c r="J1039" s="285" t="s">
        <v>5224</v>
      </c>
      <c r="K1039" s="285" t="s">
        <v>4756</v>
      </c>
      <c r="L1039" s="285" t="s">
        <v>7809</v>
      </c>
      <c r="M1039" s="285" t="s">
        <v>9383</v>
      </c>
      <c r="N1039" s="287" t="str">
        <f>IFERROR(
    IF(
        AND(
            VLOOKUP(B1039, 'รายชื่อพนักงานลาออกพ้นสภาพ'!B:I, 8, FALSE)&lt;&gt;"ยกเลิกลาออก",
            VLOOKUP(B1039, 'รายชื่อพนักงานลาออกพ้นสภาพ'!B:I, 7, FALSE)&lt;=TODAY()
        ),
        "ลาออกแล้ว",
        ""
    ),
"")</f>
        <v/>
      </c>
      <c r="O1039" s="292" t="str">
        <f t="array" ref="O1039">IFERROR(INDEX(PCRent!C:D, MATCH(F1039 &amp; " " &amp; G1039, PCRent!A:A &amp; " " &amp; PCRent!B:B, 0)), "")</f>
        <v/>
      </c>
      <c r="P1039" s="293"/>
      <c r="Q1039" s="294" t="str">
        <f t="array" ref="Q1039">IFERROR(INDEX(MonitorRent!C:D, MATCH(F1039 &amp; " " &amp; G1039, MonitorRent!A:A &amp; " " &amp; MonitorRent!B:B, 0)), "")</f>
        <v/>
      </c>
      <c r="R1039" s="295"/>
    </row>
    <row r="1040">
      <c r="A1040" s="284">
        <v>1037.0</v>
      </c>
      <c r="B1040" s="285" t="s">
        <v>7828</v>
      </c>
      <c r="C1040" s="285" t="s">
        <v>6918</v>
      </c>
      <c r="D1040" s="286" t="s">
        <v>12709</v>
      </c>
      <c r="E1040" s="285" t="s">
        <v>6921</v>
      </c>
      <c r="F1040" s="285" t="s">
        <v>14068</v>
      </c>
      <c r="G1040" s="285" t="s">
        <v>14069</v>
      </c>
      <c r="H1040" s="285" t="s">
        <v>10444</v>
      </c>
      <c r="I1040" s="285" t="s">
        <v>14070</v>
      </c>
      <c r="J1040" s="285" t="s">
        <v>5224</v>
      </c>
      <c r="K1040" s="285" t="s">
        <v>4756</v>
      </c>
      <c r="L1040" s="285" t="s">
        <v>7809</v>
      </c>
      <c r="M1040" s="285" t="s">
        <v>9383</v>
      </c>
      <c r="N1040" s="287" t="str">
        <f>IFERROR(
    IF(
        AND(
            VLOOKUP(B1040, 'รายชื่อพนักงานลาออกพ้นสภาพ'!B:I, 8, FALSE)&lt;&gt;"ยกเลิกลาออก",
            VLOOKUP(B1040, 'รายชื่อพนักงานลาออกพ้นสภาพ'!B:I, 7, FALSE)&lt;=TODAY()
        ),
        "ลาออกแล้ว",
        ""
    ),
"")</f>
        <v/>
      </c>
      <c r="O1040" s="292" t="str">
        <f t="array" ref="O1040">IFERROR(INDEX(PCRent!C:D, MATCH(F1040 &amp; " " &amp; G1040, PCRent!A:A &amp; " " &amp; PCRent!B:B, 0)), "")</f>
        <v/>
      </c>
      <c r="P1040" s="293"/>
      <c r="Q1040" s="294" t="str">
        <f t="array" ref="Q1040">IFERROR(INDEX(MonitorRent!C:D, MATCH(F1040 &amp; " " &amp; G1040, MonitorRent!A:A &amp; " " &amp; MonitorRent!B:B, 0)), "")</f>
        <v/>
      </c>
      <c r="R1040" s="295"/>
    </row>
    <row r="1041">
      <c r="A1041" s="284">
        <v>1038.0</v>
      </c>
      <c r="B1041" s="285" t="s">
        <v>14071</v>
      </c>
      <c r="C1041" s="285" t="s">
        <v>6918</v>
      </c>
      <c r="D1041" s="286" t="s">
        <v>10810</v>
      </c>
      <c r="E1041" s="285" t="s">
        <v>6921</v>
      </c>
      <c r="F1041" s="285" t="s">
        <v>14072</v>
      </c>
      <c r="G1041" s="285" t="s">
        <v>14073</v>
      </c>
      <c r="H1041" s="285" t="s">
        <v>11014</v>
      </c>
      <c r="I1041" s="285" t="s">
        <v>14074</v>
      </c>
      <c r="J1041" s="285" t="s">
        <v>5012</v>
      </c>
      <c r="K1041" s="285" t="s">
        <v>12973</v>
      </c>
      <c r="L1041" s="285" t="s">
        <v>13057</v>
      </c>
      <c r="M1041" s="285" t="s">
        <v>9383</v>
      </c>
      <c r="N1041" s="287" t="str">
        <f>IFERROR(
    IF(
        AND(
            VLOOKUP(B1041, 'รายชื่อพนักงานลาออกพ้นสภาพ'!B:I, 8, FALSE)&lt;&gt;"ยกเลิกลาออก",
            VLOOKUP(B1041, 'รายชื่อพนักงานลาออกพ้นสภาพ'!B:I, 7, FALSE)&lt;=TODAY()
        ),
        "ลาออกแล้ว",
        ""
    ),
"")</f>
        <v/>
      </c>
      <c r="O1041" s="292" t="str">
        <f t="array" ref="O1041">IFERROR(INDEX(PCRent!C:D, MATCH(F1041 &amp; " " &amp; G1041, PCRent!A:A &amp; " " &amp; PCRent!B:B, 0)), "")</f>
        <v/>
      </c>
      <c r="P1041" s="293"/>
      <c r="Q1041" s="294" t="str">
        <f t="array" ref="Q1041">IFERROR(INDEX(MonitorRent!C:D, MATCH(F1041 &amp; " " &amp; G1041, MonitorRent!A:A &amp; " " &amp; MonitorRent!B:B, 0)), "")</f>
        <v/>
      </c>
      <c r="R1041" s="295"/>
    </row>
    <row r="1042">
      <c r="A1042" s="284">
        <v>1039.0</v>
      </c>
      <c r="B1042" s="285" t="s">
        <v>14075</v>
      </c>
      <c r="C1042" s="285" t="s">
        <v>6918</v>
      </c>
      <c r="D1042" s="286" t="s">
        <v>10045</v>
      </c>
      <c r="E1042" s="285" t="s">
        <v>6921</v>
      </c>
      <c r="F1042" s="285" t="s">
        <v>14076</v>
      </c>
      <c r="G1042" s="285" t="s">
        <v>14077</v>
      </c>
      <c r="H1042" s="285" t="s">
        <v>10495</v>
      </c>
      <c r="I1042" s="285" t="s">
        <v>14078</v>
      </c>
      <c r="J1042" s="285" t="s">
        <v>5224</v>
      </c>
      <c r="K1042" s="285" t="s">
        <v>13204</v>
      </c>
      <c r="L1042" s="285" t="s">
        <v>14079</v>
      </c>
      <c r="M1042" s="285" t="s">
        <v>9383</v>
      </c>
      <c r="N1042" s="287" t="str">
        <f>IFERROR(
    IF(
        AND(
            VLOOKUP(B1042, 'รายชื่อพนักงานลาออกพ้นสภาพ'!B:I, 8, FALSE)&lt;&gt;"ยกเลิกลาออก",
            VLOOKUP(B1042, 'รายชื่อพนักงานลาออกพ้นสภาพ'!B:I, 7, FALSE)&lt;=TODAY()
        ),
        "ลาออกแล้ว",
        ""
    ),
"")</f>
        <v/>
      </c>
      <c r="O1042" s="292" t="str">
        <f t="array" ref="O1042:P1042">IFERROR(INDEX(PCRent!C:D, MATCH(F1042 &amp; " " &amp; G1042, PCRent!A:A &amp; " " &amp; PCRent!B:B, 0)), "")</f>
        <v>SN:MP2EJ7HR</v>
      </c>
      <c r="P1042" s="293" t="s">
        <v>6993</v>
      </c>
      <c r="Q1042" s="294" t="str">
        <f t="array" ref="Q1042">IFERROR(INDEX(MonitorRent!C:D, MATCH(F1042 &amp; " " &amp; G1042, MonitorRent!A:A &amp; " " &amp; MonitorRent!B:B, 0)), "")</f>
        <v/>
      </c>
      <c r="R1042" s="295"/>
    </row>
    <row r="1043">
      <c r="A1043" s="284">
        <v>1040.0</v>
      </c>
      <c r="B1043" s="285" t="s">
        <v>14080</v>
      </c>
      <c r="C1043" s="285" t="s">
        <v>6918</v>
      </c>
      <c r="D1043" s="286" t="s">
        <v>9656</v>
      </c>
      <c r="E1043" s="285" t="s">
        <v>6921</v>
      </c>
      <c r="F1043" s="285" t="s">
        <v>14081</v>
      </c>
      <c r="G1043" s="285" t="s">
        <v>14082</v>
      </c>
      <c r="H1043" s="285" t="s">
        <v>9754</v>
      </c>
      <c r="I1043" s="285" t="s">
        <v>14083</v>
      </c>
      <c r="J1043" s="285" t="s">
        <v>5012</v>
      </c>
      <c r="K1043" s="285" t="s">
        <v>6322</v>
      </c>
      <c r="L1043" s="285" t="s">
        <v>9711</v>
      </c>
      <c r="M1043" s="285" t="s">
        <v>9383</v>
      </c>
      <c r="N1043" s="287" t="str">
        <f>IFERROR(
    IF(
        AND(
            VLOOKUP(B1043, 'รายชื่อพนักงานลาออกพ้นสภาพ'!B:I, 8, FALSE)&lt;&gt;"ยกเลิกลาออก",
            VLOOKUP(B1043, 'รายชื่อพนักงานลาออกพ้นสภาพ'!B:I, 7, FALSE)&lt;=TODAY()
        ),
        "ลาออกแล้ว",
        ""
    ),
"")</f>
        <v/>
      </c>
      <c r="O1043" s="292" t="str">
        <f t="array" ref="O1043">IFERROR(INDEX(PCRent!C:D, MATCH(F1043 &amp; " " &amp; G1043, PCRent!A:A &amp; " " &amp; PCRent!B:B, 0)), "")</f>
        <v/>
      </c>
      <c r="P1043" s="293"/>
      <c r="Q1043" s="294" t="str">
        <f t="array" ref="Q1043">IFERROR(INDEX(MonitorRent!C:D, MATCH(F1043 &amp; " " &amp; G1043, MonitorRent!A:A &amp; " " &amp; MonitorRent!B:B, 0)), "")</f>
        <v/>
      </c>
      <c r="R1043" s="295"/>
    </row>
    <row r="1044">
      <c r="A1044" s="284">
        <v>1041.0</v>
      </c>
      <c r="B1044" s="285" t="s">
        <v>7980</v>
      </c>
      <c r="C1044" s="285" t="s">
        <v>6918</v>
      </c>
      <c r="D1044" s="286" t="s">
        <v>10159</v>
      </c>
      <c r="E1044" s="285" t="s">
        <v>6921</v>
      </c>
      <c r="F1044" s="285" t="s">
        <v>14084</v>
      </c>
      <c r="G1044" s="285" t="s">
        <v>14085</v>
      </c>
      <c r="H1044" s="285" t="s">
        <v>14086</v>
      </c>
      <c r="I1044" s="285" t="s">
        <v>14087</v>
      </c>
      <c r="J1044" s="285" t="s">
        <v>5224</v>
      </c>
      <c r="K1044" s="285" t="s">
        <v>4756</v>
      </c>
      <c r="L1044" s="285" t="s">
        <v>7626</v>
      </c>
      <c r="M1044" s="285" t="s">
        <v>9383</v>
      </c>
      <c r="N1044" s="287" t="str">
        <f>IFERROR(
    IF(
        AND(
            VLOOKUP(B1044, 'รายชื่อพนักงานลาออกพ้นสภาพ'!B:I, 8, FALSE)&lt;&gt;"ยกเลิกลาออก",
            VLOOKUP(B1044, 'รายชื่อพนักงานลาออกพ้นสภาพ'!B:I, 7, FALSE)&lt;=TODAY()
        ),
        "ลาออกแล้ว",
        ""
    ),
"")</f>
        <v/>
      </c>
      <c r="O1044" s="292" t="str">
        <f t="array" ref="O1044">IFERROR(INDEX(PCRent!C:D, MATCH(F1044 &amp; " " &amp; G1044, PCRent!A:A &amp; " " &amp; PCRent!B:B, 0)), "")</f>
        <v/>
      </c>
      <c r="P1044" s="293"/>
      <c r="Q1044" s="294" t="str">
        <f t="array" ref="Q1044">IFERROR(INDEX(MonitorRent!C:D, MATCH(F1044 &amp; " " &amp; G1044, MonitorRent!A:A &amp; " " &amp; MonitorRent!B:B, 0)), "")</f>
        <v/>
      </c>
      <c r="R1044" s="295"/>
    </row>
    <row r="1045">
      <c r="A1045" s="284">
        <v>1042.0</v>
      </c>
      <c r="B1045" s="285" t="s">
        <v>14088</v>
      </c>
      <c r="C1045" s="285" t="s">
        <v>6918</v>
      </c>
      <c r="D1045" s="286" t="s">
        <v>13100</v>
      </c>
      <c r="E1045" s="285" t="s">
        <v>6921</v>
      </c>
      <c r="F1045" s="285" t="s">
        <v>14084</v>
      </c>
      <c r="G1045" s="285" t="s">
        <v>14089</v>
      </c>
      <c r="H1045" s="285" t="s">
        <v>10957</v>
      </c>
      <c r="I1045" s="285" t="s">
        <v>14090</v>
      </c>
      <c r="J1045" s="285" t="s">
        <v>5224</v>
      </c>
      <c r="K1045" s="285" t="s">
        <v>9911</v>
      </c>
      <c r="L1045" s="285" t="s">
        <v>4114</v>
      </c>
      <c r="M1045" s="285" t="s">
        <v>9383</v>
      </c>
      <c r="N1045" s="287" t="str">
        <f>IFERROR(
    IF(
        AND(
            VLOOKUP(B1045, 'รายชื่อพนักงานลาออกพ้นสภาพ'!B:I, 8, FALSE)&lt;&gt;"ยกเลิกลาออก",
            VLOOKUP(B1045, 'รายชื่อพนักงานลาออกพ้นสภาพ'!B:I, 7, FALSE)&lt;=TODAY()
        ),
        "ลาออกแล้ว",
        ""
    ),
"")</f>
        <v/>
      </c>
      <c r="O1045" s="292" t="str">
        <f t="array" ref="O1045">IFERROR(INDEX(PCRent!C:D, MATCH(F1045 &amp; " " &amp; G1045, PCRent!A:A &amp; " " &amp; PCRent!B:B, 0)), "")</f>
        <v/>
      </c>
      <c r="P1045" s="293"/>
      <c r="Q1045" s="294" t="str">
        <f t="array" ref="Q1045">IFERROR(INDEX(MonitorRent!C:D, MATCH(F1045 &amp; " " &amp; G1045, MonitorRent!A:A &amp; " " &amp; MonitorRent!B:B, 0)), "")</f>
        <v/>
      </c>
      <c r="R1045" s="295"/>
    </row>
    <row r="1046">
      <c r="A1046" s="284">
        <v>1043.0</v>
      </c>
      <c r="B1046" s="285" t="s">
        <v>7188</v>
      </c>
      <c r="C1046" s="285" t="s">
        <v>6918</v>
      </c>
      <c r="D1046" s="286" t="s">
        <v>9601</v>
      </c>
      <c r="E1046" s="285" t="s">
        <v>6921</v>
      </c>
      <c r="F1046" s="285" t="s">
        <v>14091</v>
      </c>
      <c r="G1046" s="285" t="s">
        <v>14092</v>
      </c>
      <c r="H1046" s="285" t="s">
        <v>13194</v>
      </c>
      <c r="I1046" s="285" t="s">
        <v>14093</v>
      </c>
      <c r="J1046" s="285" t="s">
        <v>5224</v>
      </c>
      <c r="K1046" s="285" t="s">
        <v>9836</v>
      </c>
      <c r="L1046" s="285" t="s">
        <v>1602</v>
      </c>
      <c r="M1046" s="285" t="s">
        <v>9383</v>
      </c>
      <c r="N1046" s="287" t="str">
        <f>IFERROR(
    IF(
        AND(
            VLOOKUP(B1046, 'รายชื่อพนักงานลาออกพ้นสภาพ'!B:I, 8, FALSE)&lt;&gt;"ยกเลิกลาออก",
            VLOOKUP(B1046, 'รายชื่อพนักงานลาออกพ้นสภาพ'!B:I, 7, FALSE)&lt;=TODAY()
        ),
        "ลาออกแล้ว",
        ""
    ),
"")</f>
        <v/>
      </c>
      <c r="O1046" s="292" t="str">
        <f t="array" ref="O1046">IFERROR(INDEX(PCRent!C:D, MATCH(F1046 &amp; " " &amp; G1046, PCRent!A:A &amp; " " &amp; PCRent!B:B, 0)), "")</f>
        <v/>
      </c>
      <c r="P1046" s="293"/>
      <c r="Q1046" s="294" t="str">
        <f t="array" ref="Q1046">IFERROR(INDEX(MonitorRent!C:D, MATCH(F1046 &amp; " " &amp; G1046, MonitorRent!A:A &amp; " " &amp; MonitorRent!B:B, 0)), "")</f>
        <v/>
      </c>
      <c r="R1046" s="295"/>
    </row>
    <row r="1047">
      <c r="A1047" s="284">
        <v>1044.0</v>
      </c>
      <c r="B1047" s="285" t="s">
        <v>14094</v>
      </c>
      <c r="C1047" s="285" t="s">
        <v>6918</v>
      </c>
      <c r="D1047" s="286" t="s">
        <v>9688</v>
      </c>
      <c r="E1047" s="285" t="s">
        <v>6933</v>
      </c>
      <c r="F1047" s="285" t="s">
        <v>14095</v>
      </c>
      <c r="G1047" s="285" t="s">
        <v>14096</v>
      </c>
      <c r="H1047" s="285" t="s">
        <v>9637</v>
      </c>
      <c r="I1047" s="296"/>
      <c r="J1047" s="285" t="s">
        <v>5012</v>
      </c>
      <c r="K1047" s="285" t="s">
        <v>5760</v>
      </c>
      <c r="L1047" s="285" t="s">
        <v>3041</v>
      </c>
      <c r="M1047" s="285" t="s">
        <v>9383</v>
      </c>
      <c r="N1047" s="287" t="str">
        <f>IFERROR(
    IF(
        AND(
            VLOOKUP(B1047, 'รายชื่อพนักงานลาออกพ้นสภาพ'!B:I, 8, FALSE)&lt;&gt;"ยกเลิกลาออก",
            VLOOKUP(B1047, 'รายชื่อพนักงานลาออกพ้นสภาพ'!B:I, 7, FALSE)&lt;=TODAY()
        ),
        "ลาออกแล้ว",
        ""
    ),
"")</f>
        <v/>
      </c>
      <c r="O1047" s="292" t="str">
        <f t="array" ref="O1047">IFERROR(INDEX(PCRent!C:D, MATCH(F1047 &amp; " " &amp; G1047, PCRent!A:A &amp; " " &amp; PCRent!B:B, 0)), "")</f>
        <v/>
      </c>
      <c r="P1047" s="293"/>
      <c r="Q1047" s="294" t="str">
        <f t="array" ref="Q1047">IFERROR(INDEX(MonitorRent!C:D, MATCH(F1047 &amp; " " &amp; G1047, MonitorRent!A:A &amp; " " &amp; MonitorRent!B:B, 0)), "")</f>
        <v/>
      </c>
      <c r="R1047" s="295"/>
    </row>
    <row r="1048">
      <c r="A1048" s="284">
        <v>1045.0</v>
      </c>
      <c r="B1048" s="285" t="s">
        <v>14097</v>
      </c>
      <c r="C1048" s="285" t="s">
        <v>6918</v>
      </c>
      <c r="D1048" s="286" t="s">
        <v>14098</v>
      </c>
      <c r="E1048" s="285" t="s">
        <v>6933</v>
      </c>
      <c r="F1048" s="285" t="s">
        <v>14099</v>
      </c>
      <c r="G1048" s="285" t="s">
        <v>9498</v>
      </c>
      <c r="H1048" s="285" t="s">
        <v>14100</v>
      </c>
      <c r="I1048" s="297"/>
      <c r="J1048" s="285" t="s">
        <v>5224</v>
      </c>
      <c r="K1048" s="285" t="s">
        <v>14101</v>
      </c>
      <c r="L1048" s="296"/>
      <c r="M1048" s="285" t="s">
        <v>9383</v>
      </c>
      <c r="N1048" s="287" t="str">
        <f>IFERROR(
    IF(
        AND(
            VLOOKUP(B1048, 'รายชื่อพนักงานลาออกพ้นสภาพ'!B:I, 8, FALSE)&lt;&gt;"ยกเลิกลาออก",
            VLOOKUP(B1048, 'รายชื่อพนักงานลาออกพ้นสภาพ'!B:I, 7, FALSE)&lt;=TODAY()
        ),
        "ลาออกแล้ว",
        ""
    ),
"")</f>
        <v/>
      </c>
      <c r="O1048" s="292" t="str">
        <f t="array" ref="O1048">IFERROR(INDEX(PCRent!C:D, MATCH(F1048 &amp; " " &amp; G1048, PCRent!A:A &amp; " " &amp; PCRent!B:B, 0)), "")</f>
        <v/>
      </c>
      <c r="P1048" s="293"/>
      <c r="Q1048" s="294" t="str">
        <f t="array" ref="Q1048">IFERROR(INDEX(MonitorRent!C:D, MATCH(F1048 &amp; " " &amp; G1048, MonitorRent!A:A &amp; " " &amp; MonitorRent!B:B, 0)), "")</f>
        <v/>
      </c>
      <c r="R1048" s="295"/>
    </row>
    <row r="1049">
      <c r="A1049" s="284">
        <v>1046.0</v>
      </c>
      <c r="B1049" s="285" t="s">
        <v>14102</v>
      </c>
      <c r="C1049" s="285" t="s">
        <v>6918</v>
      </c>
      <c r="D1049" s="286" t="s">
        <v>10303</v>
      </c>
      <c r="E1049" s="285" t="s">
        <v>6933</v>
      </c>
      <c r="F1049" s="285" t="s">
        <v>14103</v>
      </c>
      <c r="G1049" s="285" t="s">
        <v>14104</v>
      </c>
      <c r="H1049" s="285" t="s">
        <v>14105</v>
      </c>
      <c r="I1049" s="285" t="s">
        <v>14106</v>
      </c>
      <c r="J1049" s="285" t="s">
        <v>5012</v>
      </c>
      <c r="K1049" s="285" t="s">
        <v>9633</v>
      </c>
      <c r="L1049" s="285" t="s">
        <v>13501</v>
      </c>
      <c r="M1049" s="285" t="s">
        <v>9383</v>
      </c>
      <c r="N1049" s="287" t="str">
        <f>IFERROR(
    IF(
        AND(
            VLOOKUP(B1049, 'รายชื่อพนักงานลาออกพ้นสภาพ'!B:I, 8, FALSE)&lt;&gt;"ยกเลิกลาออก",
            VLOOKUP(B1049, 'รายชื่อพนักงานลาออกพ้นสภาพ'!B:I, 7, FALSE)&lt;=TODAY()
        ),
        "ลาออกแล้ว",
        ""
    ),
"")</f>
        <v/>
      </c>
      <c r="O1049" s="292" t="str">
        <f t="array" ref="O1049:P1049">IFERROR(INDEX(PCRent!C:D, MATCH(F1049 &amp; " " &amp; G1049, PCRent!A:A &amp; " " &amp; PCRent!B:B, 0)), "")</f>
        <v>SN:HXYNPY3</v>
      </c>
      <c r="P1049" s="293" t="s">
        <v>7048</v>
      </c>
      <c r="Q1049" s="294" t="str">
        <f t="array" ref="Q1049:R1049">IFERROR(INDEX(MonitorRent!C:D, MATCH(F1049 &amp; " " &amp; G1049, MonitorRent!A:A &amp; " " &amp; MonitorRent!B:B, 0)), "")</f>
        <v>SN:C7QLYV3</v>
      </c>
      <c r="R1049" s="295" t="s">
        <v>7050</v>
      </c>
    </row>
    <row r="1050">
      <c r="A1050" s="284">
        <v>1047.0</v>
      </c>
      <c r="B1050" s="285" t="s">
        <v>14107</v>
      </c>
      <c r="C1050" s="285" t="s">
        <v>6918</v>
      </c>
      <c r="D1050" s="286" t="s">
        <v>12243</v>
      </c>
      <c r="E1050" s="285" t="s">
        <v>7097</v>
      </c>
      <c r="F1050" s="285" t="s">
        <v>11023</v>
      </c>
      <c r="G1050" s="285" t="s">
        <v>14108</v>
      </c>
      <c r="H1050" s="285" t="s">
        <v>9430</v>
      </c>
      <c r="I1050" s="285" t="s">
        <v>14109</v>
      </c>
      <c r="J1050" s="285" t="s">
        <v>5012</v>
      </c>
      <c r="K1050" s="285" t="s">
        <v>9474</v>
      </c>
      <c r="L1050" s="285" t="s">
        <v>3857</v>
      </c>
      <c r="M1050" s="285" t="s">
        <v>9383</v>
      </c>
      <c r="N1050" s="287" t="str">
        <f>IFERROR(
    IF(
        AND(
            VLOOKUP(B1050, 'รายชื่อพนักงานลาออกพ้นสภาพ'!B:I, 8, FALSE)&lt;&gt;"ยกเลิกลาออก",
            VLOOKUP(B1050, 'รายชื่อพนักงานลาออกพ้นสภาพ'!B:I, 7, FALSE)&lt;=TODAY()
        ),
        "ลาออกแล้ว",
        ""
    ),
"")</f>
        <v/>
      </c>
      <c r="O1050" s="292" t="str">
        <f t="array" ref="O1050">IFERROR(INDEX(PCRent!C:D, MATCH(F1050 &amp; " " &amp; G1050, PCRent!A:A &amp; " " &amp; PCRent!B:B, 0)), "")</f>
        <v/>
      </c>
      <c r="P1050" s="293"/>
      <c r="Q1050" s="294" t="str">
        <f t="array" ref="Q1050">IFERROR(INDEX(MonitorRent!C:D, MATCH(F1050 &amp; " " &amp; G1050, MonitorRent!A:A &amp; " " &amp; MonitorRent!B:B, 0)), "")</f>
        <v/>
      </c>
      <c r="R1050" s="295"/>
    </row>
    <row r="1051">
      <c r="A1051" s="284">
        <v>1048.0</v>
      </c>
      <c r="B1051" s="285" t="s">
        <v>7207</v>
      </c>
      <c r="C1051" s="285" t="s">
        <v>6918</v>
      </c>
      <c r="D1051" s="286" t="s">
        <v>9846</v>
      </c>
      <c r="E1051" s="285" t="s">
        <v>6921</v>
      </c>
      <c r="F1051" s="285" t="s">
        <v>14110</v>
      </c>
      <c r="G1051" s="285" t="s">
        <v>14111</v>
      </c>
      <c r="H1051" s="285" t="s">
        <v>14112</v>
      </c>
      <c r="I1051" s="285" t="s">
        <v>14113</v>
      </c>
      <c r="J1051" s="285" t="s">
        <v>5224</v>
      </c>
      <c r="K1051" s="285" t="s">
        <v>9836</v>
      </c>
      <c r="L1051" s="285" t="s">
        <v>1602</v>
      </c>
      <c r="M1051" s="285" t="s">
        <v>9383</v>
      </c>
      <c r="N1051" s="287" t="str">
        <f>IFERROR(
    IF(
        AND(
            VLOOKUP(B1051, 'รายชื่อพนักงานลาออกพ้นสภาพ'!B:I, 8, FALSE)&lt;&gt;"ยกเลิกลาออก",
            VLOOKUP(B1051, 'รายชื่อพนักงานลาออกพ้นสภาพ'!B:I, 7, FALSE)&lt;=TODAY()
        ),
        "ลาออกแล้ว",
        ""
    ),
"")</f>
        <v/>
      </c>
      <c r="O1051" s="292" t="str">
        <f t="array" ref="O1051">IFERROR(INDEX(PCRent!C:D, MATCH(F1051 &amp; " " &amp; G1051, PCRent!A:A &amp; " " &amp; PCRent!B:B, 0)), "")</f>
        <v/>
      </c>
      <c r="P1051" s="293"/>
      <c r="Q1051" s="294" t="str">
        <f t="array" ref="Q1051">IFERROR(INDEX(MonitorRent!C:D, MATCH(F1051 &amp; " " &amp; G1051, MonitorRent!A:A &amp; " " &amp; MonitorRent!B:B, 0)), "")</f>
        <v/>
      </c>
      <c r="R1051" s="295"/>
    </row>
    <row r="1052">
      <c r="A1052" s="284">
        <v>1049.0</v>
      </c>
      <c r="B1052" s="285" t="s">
        <v>14114</v>
      </c>
      <c r="C1052" s="285" t="s">
        <v>6918</v>
      </c>
      <c r="D1052" s="286" t="s">
        <v>14115</v>
      </c>
      <c r="E1052" s="285" t="s">
        <v>6921</v>
      </c>
      <c r="F1052" s="285" t="s">
        <v>14110</v>
      </c>
      <c r="G1052" s="285" t="s">
        <v>14116</v>
      </c>
      <c r="H1052" s="285" t="s">
        <v>14117</v>
      </c>
      <c r="I1052" s="285" t="s">
        <v>14118</v>
      </c>
      <c r="J1052" s="285" t="s">
        <v>5224</v>
      </c>
      <c r="K1052" s="285" t="s">
        <v>4749</v>
      </c>
      <c r="L1052" s="285" t="s">
        <v>3690</v>
      </c>
      <c r="M1052" s="285" t="s">
        <v>9391</v>
      </c>
      <c r="N1052" s="287" t="str">
        <f>IFERROR(
    IF(
        AND(
            VLOOKUP(B1052, 'รายชื่อพนักงานลาออกพ้นสภาพ'!B:I, 8, FALSE)&lt;&gt;"ยกเลิกลาออก",
            VLOOKUP(B1052, 'รายชื่อพนักงานลาออกพ้นสภาพ'!B:I, 7, FALSE)&lt;=TODAY()
        ),
        "ลาออกแล้ว",
        ""
    ),
"")</f>
        <v/>
      </c>
      <c r="O1052" s="292" t="str">
        <f t="array" ref="O1052:P1052">IFERROR(INDEX(PCRent!C:D, MATCH(F1052 &amp; " " &amp; G1052, PCRent!A:A &amp; " " &amp; PCRent!B:B, 0)), "")</f>
        <v>SN:MP2EHCMN</v>
      </c>
      <c r="P1052" s="293" t="s">
        <v>6993</v>
      </c>
      <c r="Q1052" s="294" t="str">
        <f t="array" ref="Q1052">IFERROR(INDEX(MonitorRent!C:D, MATCH(F1052 &amp; " " &amp; G1052, MonitorRent!A:A &amp; " " &amp; MonitorRent!B:B, 0)), "")</f>
        <v/>
      </c>
      <c r="R1052" s="295"/>
    </row>
    <row r="1053">
      <c r="A1053" s="284">
        <v>1050.0</v>
      </c>
      <c r="B1053" s="285" t="s">
        <v>14119</v>
      </c>
      <c r="C1053" s="285" t="s">
        <v>6918</v>
      </c>
      <c r="D1053" s="286" t="s">
        <v>14120</v>
      </c>
      <c r="E1053" s="285" t="s">
        <v>6933</v>
      </c>
      <c r="F1053" s="285" t="s">
        <v>14121</v>
      </c>
      <c r="G1053" s="285" t="s">
        <v>14122</v>
      </c>
      <c r="H1053" s="285" t="s">
        <v>13432</v>
      </c>
      <c r="I1053" s="285" t="s">
        <v>14123</v>
      </c>
      <c r="J1053" s="285" t="s">
        <v>5012</v>
      </c>
      <c r="K1053" s="285" t="s">
        <v>9466</v>
      </c>
      <c r="L1053" s="285" t="s">
        <v>9475</v>
      </c>
      <c r="M1053" s="285" t="s">
        <v>9383</v>
      </c>
      <c r="N1053" s="287" t="str">
        <f>IFERROR(
    IF(
        AND(
            VLOOKUP(B1053, 'รายชื่อพนักงานลาออกพ้นสภาพ'!B:I, 8, FALSE)&lt;&gt;"ยกเลิกลาออก",
            VLOOKUP(B1053, 'รายชื่อพนักงานลาออกพ้นสภาพ'!B:I, 7, FALSE)&lt;=TODAY()
        ),
        "ลาออกแล้ว",
        ""
    ),
"")</f>
        <v/>
      </c>
      <c r="O1053" s="292" t="str">
        <f t="array" ref="O1053">IFERROR(INDEX(PCRent!C:D, MATCH(F1053 &amp; " " &amp; G1053, PCRent!A:A &amp; " " &amp; PCRent!B:B, 0)), "")</f>
        <v/>
      </c>
      <c r="P1053" s="293"/>
      <c r="Q1053" s="294" t="str">
        <f t="array" ref="Q1053">IFERROR(INDEX(MonitorRent!C:D, MATCH(F1053 &amp; " " &amp; G1053, MonitorRent!A:A &amp; " " &amp; MonitorRent!B:B, 0)), "")</f>
        <v/>
      </c>
      <c r="R1053" s="295"/>
    </row>
    <row r="1054">
      <c r="A1054" s="284">
        <v>1051.0</v>
      </c>
      <c r="B1054" s="285" t="s">
        <v>14124</v>
      </c>
      <c r="C1054" s="285" t="s">
        <v>6918</v>
      </c>
      <c r="D1054" s="286" t="s">
        <v>13644</v>
      </c>
      <c r="E1054" s="285" t="s">
        <v>6933</v>
      </c>
      <c r="F1054" s="285" t="s">
        <v>14125</v>
      </c>
      <c r="G1054" s="285" t="s">
        <v>14126</v>
      </c>
      <c r="H1054" s="285" t="s">
        <v>10038</v>
      </c>
      <c r="I1054" s="285" t="s">
        <v>14127</v>
      </c>
      <c r="J1054" s="285" t="s">
        <v>5012</v>
      </c>
      <c r="K1054" s="285" t="s">
        <v>9474</v>
      </c>
      <c r="L1054" s="285" t="s">
        <v>1888</v>
      </c>
      <c r="M1054" s="285" t="s">
        <v>9383</v>
      </c>
      <c r="N1054" s="287" t="str">
        <f>IFERROR(
    IF(
        AND(
            VLOOKUP(B1054, 'รายชื่อพนักงานลาออกพ้นสภาพ'!B:I, 8, FALSE)&lt;&gt;"ยกเลิกลาออก",
            VLOOKUP(B1054, 'รายชื่อพนักงานลาออกพ้นสภาพ'!B:I, 7, FALSE)&lt;=TODAY()
        ),
        "ลาออกแล้ว",
        ""
    ),
"")</f>
        <v/>
      </c>
      <c r="O1054" s="292" t="str">
        <f t="array" ref="O1054">IFERROR(INDEX(PCRent!C:D, MATCH(F1054 &amp; " " &amp; G1054, PCRent!A:A &amp; " " &amp; PCRent!B:B, 0)), "")</f>
        <v/>
      </c>
      <c r="P1054" s="293"/>
      <c r="Q1054" s="294" t="str">
        <f t="array" ref="Q1054">IFERROR(INDEX(MonitorRent!C:D, MATCH(F1054 &amp; " " &amp; G1054, MonitorRent!A:A &amp; " " &amp; MonitorRent!B:B, 0)), "")</f>
        <v/>
      </c>
      <c r="R1054" s="295"/>
    </row>
    <row r="1055">
      <c r="A1055" s="284">
        <v>1052.0</v>
      </c>
      <c r="B1055" s="285" t="s">
        <v>7812</v>
      </c>
      <c r="C1055" s="285" t="s">
        <v>6918</v>
      </c>
      <c r="D1055" s="286" t="s">
        <v>14128</v>
      </c>
      <c r="E1055" s="285" t="s">
        <v>6921</v>
      </c>
      <c r="F1055" s="285" t="s">
        <v>14129</v>
      </c>
      <c r="G1055" s="285" t="s">
        <v>14130</v>
      </c>
      <c r="H1055" s="285" t="s">
        <v>9849</v>
      </c>
      <c r="I1055" s="285" t="s">
        <v>14131</v>
      </c>
      <c r="J1055" s="285" t="s">
        <v>5224</v>
      </c>
      <c r="K1055" s="285" t="s">
        <v>4749</v>
      </c>
      <c r="L1055" s="285" t="s">
        <v>1635</v>
      </c>
      <c r="M1055" s="285" t="s">
        <v>9383</v>
      </c>
      <c r="N1055" s="287" t="str">
        <f>IFERROR(
    IF(
        AND(
            VLOOKUP(B1055, 'รายชื่อพนักงานลาออกพ้นสภาพ'!B:I, 8, FALSE)&lt;&gt;"ยกเลิกลาออก",
            VLOOKUP(B1055, 'รายชื่อพนักงานลาออกพ้นสภาพ'!B:I, 7, FALSE)&lt;=TODAY()
        ),
        "ลาออกแล้ว",
        ""
    ),
"")</f>
        <v/>
      </c>
      <c r="O1055" s="292" t="str">
        <f t="array" ref="O1055:P1055">IFERROR(INDEX(PCRent!C:D, MATCH(F1055 &amp; " " &amp; G1055, PCRent!A:A &amp; " " &amp; PCRent!B:B, 0)), "")</f>
        <v>SN:1V8BXW3</v>
      </c>
      <c r="P1055" s="293" t="s">
        <v>7048</v>
      </c>
      <c r="Q1055" s="294" t="str">
        <f t="array" ref="Q1055:R1055">IFERROR(INDEX(MonitorRent!C:D, MATCH(F1055 &amp; " " &amp; G1055, MonitorRent!A:A &amp; " " &amp; MonitorRent!B:B, 0)), "")</f>
        <v>SN:39DNJT3</v>
      </c>
      <c r="R1055" s="295" t="s">
        <v>7050</v>
      </c>
    </row>
    <row r="1056">
      <c r="A1056" s="284">
        <v>1053.0</v>
      </c>
      <c r="B1056" s="285" t="s">
        <v>4758</v>
      </c>
      <c r="C1056" s="285" t="s">
        <v>6918</v>
      </c>
      <c r="D1056" s="286" t="s">
        <v>14132</v>
      </c>
      <c r="E1056" s="285" t="s">
        <v>6921</v>
      </c>
      <c r="F1056" s="285" t="s">
        <v>14133</v>
      </c>
      <c r="G1056" s="285" t="s">
        <v>14134</v>
      </c>
      <c r="H1056" s="285" t="s">
        <v>9849</v>
      </c>
      <c r="I1056" s="285" t="s">
        <v>4759</v>
      </c>
      <c r="J1056" s="285" t="s">
        <v>5224</v>
      </c>
      <c r="K1056" s="285" t="s">
        <v>4756</v>
      </c>
      <c r="L1056" s="285" t="s">
        <v>14135</v>
      </c>
      <c r="M1056" s="285" t="s">
        <v>9383</v>
      </c>
      <c r="N1056" s="287" t="str">
        <f>IFERROR(
    IF(
        AND(
            VLOOKUP(B1056, 'รายชื่อพนักงานลาออกพ้นสภาพ'!B:I, 8, FALSE)&lt;&gt;"ยกเลิกลาออก",
            VLOOKUP(B1056, 'รายชื่อพนักงานลาออกพ้นสภาพ'!B:I, 7, FALSE)&lt;=TODAY()
        ),
        "ลาออกแล้ว",
        ""
    ),
"")</f>
        <v/>
      </c>
      <c r="O1056" s="292" t="str">
        <f t="array" ref="O1056">IFERROR(INDEX(PCRent!C:D, MATCH(F1056 &amp; " " &amp; G1056, PCRent!A:A &amp; " " &amp; PCRent!B:B, 0)), "")</f>
        <v/>
      </c>
      <c r="P1056" s="293"/>
      <c r="Q1056" s="294" t="str">
        <f t="array" ref="Q1056">IFERROR(INDEX(MonitorRent!C:D, MATCH(F1056 &amp; " " &amp; G1056, MonitorRent!A:A &amp; " " &amp; MonitorRent!B:B, 0)), "")</f>
        <v/>
      </c>
      <c r="R1056" s="295"/>
    </row>
    <row r="1057">
      <c r="A1057" s="284">
        <v>1054.0</v>
      </c>
      <c r="B1057" s="285" t="s">
        <v>8746</v>
      </c>
      <c r="C1057" s="285" t="s">
        <v>6918</v>
      </c>
      <c r="D1057" s="286" t="s">
        <v>13268</v>
      </c>
      <c r="E1057" s="285" t="s">
        <v>6933</v>
      </c>
      <c r="F1057" s="285" t="s">
        <v>14136</v>
      </c>
      <c r="G1057" s="285" t="s">
        <v>11599</v>
      </c>
      <c r="H1057" s="285" t="s">
        <v>14137</v>
      </c>
      <c r="I1057" s="285" t="s">
        <v>14138</v>
      </c>
      <c r="J1057" s="285" t="s">
        <v>5012</v>
      </c>
      <c r="K1057" s="285" t="s">
        <v>9466</v>
      </c>
      <c r="L1057" s="285" t="s">
        <v>14139</v>
      </c>
      <c r="M1057" s="285" t="s">
        <v>9383</v>
      </c>
      <c r="N1057" s="287" t="str">
        <f>IFERROR(
    IF(
        AND(
            VLOOKUP(B1057, 'รายชื่อพนักงานลาออกพ้นสภาพ'!B:I, 8, FALSE)&lt;&gt;"ยกเลิกลาออก",
            VLOOKUP(B1057, 'รายชื่อพนักงานลาออกพ้นสภาพ'!B:I, 7, FALSE)&lt;=TODAY()
        ),
        "ลาออกแล้ว",
        ""
    ),
"")</f>
        <v/>
      </c>
      <c r="O1057" s="292" t="str">
        <f t="array" ref="O1057">IFERROR(INDEX(PCRent!C:D, MATCH(F1057 &amp; " " &amp; G1057, PCRent!A:A &amp; " " &amp; PCRent!B:B, 0)), "")</f>
        <v/>
      </c>
      <c r="P1057" s="293"/>
      <c r="Q1057" s="294" t="str">
        <f t="array" ref="Q1057">IFERROR(INDEX(MonitorRent!C:D, MATCH(F1057 &amp; " " &amp; G1057, MonitorRent!A:A &amp; " " &amp; MonitorRent!B:B, 0)), "")</f>
        <v/>
      </c>
      <c r="R1057" s="295"/>
    </row>
    <row r="1058">
      <c r="A1058" s="284">
        <v>1055.0</v>
      </c>
      <c r="B1058" s="285" t="s">
        <v>14140</v>
      </c>
      <c r="C1058" s="285" t="s">
        <v>6918</v>
      </c>
      <c r="D1058" s="286" t="s">
        <v>10923</v>
      </c>
      <c r="E1058" s="285" t="s">
        <v>6933</v>
      </c>
      <c r="F1058" s="285" t="s">
        <v>11053</v>
      </c>
      <c r="G1058" s="285" t="s">
        <v>14141</v>
      </c>
      <c r="H1058" s="285" t="s">
        <v>11900</v>
      </c>
      <c r="I1058" s="285" t="s">
        <v>14142</v>
      </c>
      <c r="J1058" s="285" t="s">
        <v>5012</v>
      </c>
      <c r="K1058" s="285" t="s">
        <v>6322</v>
      </c>
      <c r="L1058" s="285" t="s">
        <v>13081</v>
      </c>
      <c r="M1058" s="285" t="s">
        <v>9391</v>
      </c>
      <c r="N1058" s="287" t="str">
        <f>IFERROR(
    IF(
        AND(
            VLOOKUP(B1058, 'รายชื่อพนักงานลาออกพ้นสภาพ'!B:I, 8, FALSE)&lt;&gt;"ยกเลิกลาออก",
            VLOOKUP(B1058, 'รายชื่อพนักงานลาออกพ้นสภาพ'!B:I, 7, FALSE)&lt;=TODAY()
        ),
        "ลาออกแล้ว",
        ""
    ),
"")</f>
        <v/>
      </c>
      <c r="O1058" s="292" t="str">
        <f t="array" ref="O1058">IFERROR(INDEX(PCRent!C:D, MATCH(F1058 &amp; " " &amp; G1058, PCRent!A:A &amp; " " &amp; PCRent!B:B, 0)), "")</f>
        <v/>
      </c>
      <c r="P1058" s="293"/>
      <c r="Q1058" s="294" t="str">
        <f t="array" ref="Q1058">IFERROR(INDEX(MonitorRent!C:D, MATCH(F1058 &amp; " " &amp; G1058, MonitorRent!A:A &amp; " " &amp; MonitorRent!B:B, 0)), "")</f>
        <v/>
      </c>
      <c r="R1058" s="295"/>
    </row>
    <row r="1059">
      <c r="A1059" s="284">
        <v>1056.0</v>
      </c>
      <c r="B1059" s="285" t="s">
        <v>14143</v>
      </c>
      <c r="C1059" s="285" t="s">
        <v>6918</v>
      </c>
      <c r="D1059" s="286" t="s">
        <v>9469</v>
      </c>
      <c r="E1059" s="285" t="s">
        <v>6933</v>
      </c>
      <c r="F1059" s="285" t="s">
        <v>14144</v>
      </c>
      <c r="G1059" s="285" t="s">
        <v>14145</v>
      </c>
      <c r="H1059" s="285" t="s">
        <v>10345</v>
      </c>
      <c r="I1059" s="285" t="s">
        <v>14146</v>
      </c>
      <c r="J1059" s="285" t="s">
        <v>5012</v>
      </c>
      <c r="K1059" s="285" t="s">
        <v>5760</v>
      </c>
      <c r="L1059" s="285" t="s">
        <v>3041</v>
      </c>
      <c r="M1059" s="285" t="s">
        <v>9383</v>
      </c>
      <c r="N1059" s="287" t="str">
        <f>IFERROR(
    IF(
        AND(
            VLOOKUP(B1059, 'รายชื่อพนักงานลาออกพ้นสภาพ'!B:I, 8, FALSE)&lt;&gt;"ยกเลิกลาออก",
            VLOOKUP(B1059, 'รายชื่อพนักงานลาออกพ้นสภาพ'!B:I, 7, FALSE)&lt;=TODAY()
        ),
        "ลาออกแล้ว",
        ""
    ),
"")</f>
        <v/>
      </c>
      <c r="O1059" s="292" t="str">
        <f t="array" ref="O1059">IFERROR(INDEX(PCRent!C:D, MATCH(F1059 &amp; " " &amp; G1059, PCRent!A:A &amp; " " &amp; PCRent!B:B, 0)), "")</f>
        <v/>
      </c>
      <c r="P1059" s="293"/>
      <c r="Q1059" s="294" t="str">
        <f t="array" ref="Q1059">IFERROR(INDEX(MonitorRent!C:D, MATCH(F1059 &amp; " " &amp; G1059, MonitorRent!A:A &amp; " " &amp; MonitorRent!B:B, 0)), "")</f>
        <v/>
      </c>
      <c r="R1059" s="295"/>
    </row>
    <row r="1060">
      <c r="A1060" s="284">
        <v>1057.0</v>
      </c>
      <c r="B1060" s="285" t="s">
        <v>7760</v>
      </c>
      <c r="C1060" s="285" t="s">
        <v>6918</v>
      </c>
      <c r="D1060" s="286" t="s">
        <v>14147</v>
      </c>
      <c r="E1060" s="285" t="s">
        <v>6921</v>
      </c>
      <c r="F1060" s="285" t="s">
        <v>11067</v>
      </c>
      <c r="G1060" s="285" t="s">
        <v>14148</v>
      </c>
      <c r="H1060" s="285" t="s">
        <v>10020</v>
      </c>
      <c r="I1060" s="285" t="s">
        <v>14149</v>
      </c>
      <c r="J1060" s="285" t="s">
        <v>5224</v>
      </c>
      <c r="K1060" s="285" t="s">
        <v>4756</v>
      </c>
      <c r="L1060" s="285" t="s">
        <v>5890</v>
      </c>
      <c r="M1060" s="285" t="s">
        <v>9383</v>
      </c>
      <c r="N1060" s="287" t="str">
        <f>IFERROR(
    IF(
        AND(
            VLOOKUP(B1060, 'รายชื่อพนักงานลาออกพ้นสภาพ'!B:I, 8, FALSE)&lt;&gt;"ยกเลิกลาออก",
            VLOOKUP(B1060, 'รายชื่อพนักงานลาออกพ้นสภาพ'!B:I, 7, FALSE)&lt;=TODAY()
        ),
        "ลาออกแล้ว",
        ""
    ),
"")</f>
        <v/>
      </c>
      <c r="O1060" s="292" t="str">
        <f t="array" ref="O1060:P1060">IFERROR(INDEX(PCRent!C:D, MATCH(F1060 &amp; " " &amp; G1060, PCRent!A:A &amp; " " &amp; PCRent!B:B, 0)), "")</f>
        <v>SN:PF39GSHZ</v>
      </c>
      <c r="P1060" s="293" t="s">
        <v>7005</v>
      </c>
      <c r="Q1060" s="294" t="str">
        <f t="array" ref="Q1060">IFERROR(INDEX(MonitorRent!C:D, MATCH(F1060 &amp; " " &amp; G1060, MonitorRent!A:A &amp; " " &amp; MonitorRent!B:B, 0)), "")</f>
        <v/>
      </c>
      <c r="R1060" s="295"/>
    </row>
    <row r="1061">
      <c r="A1061" s="284">
        <v>1058.0</v>
      </c>
      <c r="B1061" s="285" t="s">
        <v>7452</v>
      </c>
      <c r="C1061" s="285" t="s">
        <v>6918</v>
      </c>
      <c r="D1061" s="286" t="s">
        <v>14150</v>
      </c>
      <c r="E1061" s="285" t="s">
        <v>7239</v>
      </c>
      <c r="F1061" s="285" t="s">
        <v>14151</v>
      </c>
      <c r="G1061" s="285" t="s">
        <v>14152</v>
      </c>
      <c r="H1061" s="285" t="s">
        <v>11107</v>
      </c>
      <c r="I1061" s="285" t="s">
        <v>14153</v>
      </c>
      <c r="J1061" s="285" t="s">
        <v>5224</v>
      </c>
      <c r="K1061" s="285" t="s">
        <v>1392</v>
      </c>
      <c r="L1061" s="285" t="s">
        <v>7454</v>
      </c>
      <c r="M1061" s="285" t="s">
        <v>9383</v>
      </c>
      <c r="N1061" s="287" t="str">
        <f>IFERROR(
    IF(
        AND(
            VLOOKUP(B1061, 'รายชื่อพนักงานลาออกพ้นสภาพ'!B:I, 8, FALSE)&lt;&gt;"ยกเลิกลาออก",
            VLOOKUP(B1061, 'รายชื่อพนักงานลาออกพ้นสภาพ'!B:I, 7, FALSE)&lt;=TODAY()
        ),
        "ลาออกแล้ว",
        ""
    ),
"")</f>
        <v/>
      </c>
      <c r="O1061" s="292" t="str">
        <f t="array" ref="O1061">IFERROR(INDEX(PCRent!C:D, MATCH(F1061 &amp; " " &amp; G1061, PCRent!A:A &amp; " " &amp; PCRent!B:B, 0)), "")</f>
        <v/>
      </c>
      <c r="P1061" s="293"/>
      <c r="Q1061" s="294" t="str">
        <f t="array" ref="Q1061">IFERROR(INDEX(MonitorRent!C:D, MATCH(F1061 &amp; " " &amp; G1061, MonitorRent!A:A &amp; " " &amp; MonitorRent!B:B, 0)), "")</f>
        <v/>
      </c>
      <c r="R1061" s="295"/>
    </row>
    <row r="1062">
      <c r="A1062" s="284">
        <v>1059.0</v>
      </c>
      <c r="B1062" s="285" t="s">
        <v>57</v>
      </c>
      <c r="C1062" s="285" t="s">
        <v>6918</v>
      </c>
      <c r="D1062" s="286" t="s">
        <v>10724</v>
      </c>
      <c r="E1062" s="285" t="s">
        <v>6921</v>
      </c>
      <c r="F1062" s="285" t="s">
        <v>14154</v>
      </c>
      <c r="G1062" s="285" t="s">
        <v>14155</v>
      </c>
      <c r="H1062" s="285" t="s">
        <v>14156</v>
      </c>
      <c r="I1062" s="285" t="s">
        <v>61</v>
      </c>
      <c r="J1062" s="285" t="s">
        <v>5012</v>
      </c>
      <c r="K1062" s="285" t="s">
        <v>3000</v>
      </c>
      <c r="L1062" s="285" t="s">
        <v>232</v>
      </c>
      <c r="M1062" s="285" t="s">
        <v>9383</v>
      </c>
      <c r="N1062" s="287" t="str">
        <f>IFERROR(
    IF(
        AND(
            VLOOKUP(B1062, 'รายชื่อพนักงานลาออกพ้นสภาพ'!B:I, 8, FALSE)&lt;&gt;"ยกเลิกลาออก",
            VLOOKUP(B1062, 'รายชื่อพนักงานลาออกพ้นสภาพ'!B:I, 7, FALSE)&lt;=TODAY()
        ),
        "ลาออกแล้ว",
        ""
    ),
"")</f>
        <v>ลาออกแล้ว</v>
      </c>
      <c r="O1062" s="292" t="str">
        <f t="array" ref="O1062">IFERROR(INDEX(PCRent!C:D, MATCH(F1062 &amp; " " &amp; G1062, PCRent!A:A &amp; " " &amp; PCRent!B:B, 0)), "")</f>
        <v/>
      </c>
      <c r="P1062" s="293"/>
      <c r="Q1062" s="294" t="str">
        <f t="array" ref="Q1062">IFERROR(INDEX(MonitorRent!C:D, MATCH(F1062 &amp; " " &amp; G1062, MonitorRent!A:A &amp; " " &amp; MonitorRent!B:B, 0)), "")</f>
        <v/>
      </c>
      <c r="R1062" s="295"/>
    </row>
    <row r="1063">
      <c r="A1063" s="284">
        <v>1060.0</v>
      </c>
      <c r="B1063" s="285" t="s">
        <v>14157</v>
      </c>
      <c r="C1063" s="285" t="s">
        <v>6918</v>
      </c>
      <c r="D1063" s="286" t="s">
        <v>14158</v>
      </c>
      <c r="E1063" s="285" t="s">
        <v>6921</v>
      </c>
      <c r="F1063" s="285" t="s">
        <v>14159</v>
      </c>
      <c r="G1063" s="285" t="s">
        <v>14160</v>
      </c>
      <c r="H1063" s="285" t="s">
        <v>14161</v>
      </c>
      <c r="I1063" s="285" t="s">
        <v>14162</v>
      </c>
      <c r="J1063" s="285" t="s">
        <v>5012</v>
      </c>
      <c r="K1063" s="285" t="s">
        <v>9560</v>
      </c>
      <c r="L1063" s="285" t="s">
        <v>12953</v>
      </c>
      <c r="M1063" s="285" t="s">
        <v>9383</v>
      </c>
      <c r="N1063" s="287" t="str">
        <f>IFERROR(
    IF(
        AND(
            VLOOKUP(B1063, 'รายชื่อพนักงานลาออกพ้นสภาพ'!B:I, 8, FALSE)&lt;&gt;"ยกเลิกลาออก",
            VLOOKUP(B1063, 'รายชื่อพนักงานลาออกพ้นสภาพ'!B:I, 7, FALSE)&lt;=TODAY()
        ),
        "ลาออกแล้ว",
        ""
    ),
"")</f>
        <v/>
      </c>
      <c r="O1063" s="292" t="str">
        <f t="array" ref="O1063">IFERROR(INDEX(PCRent!C:D, MATCH(F1063 &amp; " " &amp; G1063, PCRent!A:A &amp; " " &amp; PCRent!B:B, 0)), "")</f>
        <v/>
      </c>
      <c r="P1063" s="293"/>
      <c r="Q1063" s="294" t="str">
        <f t="array" ref="Q1063">IFERROR(INDEX(MonitorRent!C:D, MATCH(F1063 &amp; " " &amp; G1063, MonitorRent!A:A &amp; " " &amp; MonitorRent!B:B, 0)), "")</f>
        <v/>
      </c>
      <c r="R1063" s="295"/>
    </row>
    <row r="1064">
      <c r="A1064" s="284">
        <v>1061.0</v>
      </c>
      <c r="B1064" s="285" t="s">
        <v>14163</v>
      </c>
      <c r="C1064" s="285" t="s">
        <v>6918</v>
      </c>
      <c r="D1064" s="286" t="s">
        <v>10329</v>
      </c>
      <c r="E1064" s="285" t="s">
        <v>6921</v>
      </c>
      <c r="F1064" s="285" t="s">
        <v>14164</v>
      </c>
      <c r="G1064" s="285" t="s">
        <v>14165</v>
      </c>
      <c r="H1064" s="285" t="s">
        <v>10389</v>
      </c>
      <c r="I1064" s="285" t="s">
        <v>14166</v>
      </c>
      <c r="J1064" s="285" t="s">
        <v>5224</v>
      </c>
      <c r="K1064" s="285" t="s">
        <v>4749</v>
      </c>
      <c r="L1064" s="285" t="s">
        <v>14079</v>
      </c>
      <c r="M1064" s="285" t="s">
        <v>9383</v>
      </c>
      <c r="N1064" s="287" t="str">
        <f>IFERROR(
    IF(
        AND(
            VLOOKUP(B1064, 'รายชื่อพนักงานลาออกพ้นสภาพ'!B:I, 8, FALSE)&lt;&gt;"ยกเลิกลาออก",
            VLOOKUP(B1064, 'รายชื่อพนักงานลาออกพ้นสภาพ'!B:I, 7, FALSE)&lt;=TODAY()
        ),
        "ลาออกแล้ว",
        ""
    ),
"")</f>
        <v/>
      </c>
      <c r="O1064" s="292" t="str">
        <f t="array" ref="O1064:P1064">IFERROR(INDEX(PCRent!C:D, MATCH(F1064 &amp; " " &amp; G1064, PCRent!A:A &amp; " " &amp; PCRent!B:B, 0)), "")</f>
        <v>SN:MP2E0N3P</v>
      </c>
      <c r="P1064" s="293" t="s">
        <v>6993</v>
      </c>
      <c r="Q1064" s="294" t="str">
        <f t="array" ref="Q1064">IFERROR(INDEX(MonitorRent!C:D, MATCH(F1064 &amp; " " &amp; G1064, MonitorRent!A:A &amp; " " &amp; MonitorRent!B:B, 0)), "")</f>
        <v/>
      </c>
      <c r="R1064" s="295"/>
    </row>
    <row r="1065">
      <c r="A1065" s="284">
        <v>1062.0</v>
      </c>
      <c r="B1065" s="285" t="s">
        <v>14167</v>
      </c>
      <c r="C1065" s="285" t="s">
        <v>6918</v>
      </c>
      <c r="D1065" s="286" t="s">
        <v>14168</v>
      </c>
      <c r="E1065" s="285" t="s">
        <v>6921</v>
      </c>
      <c r="F1065" s="285" t="s">
        <v>14169</v>
      </c>
      <c r="G1065" s="285" t="s">
        <v>14170</v>
      </c>
      <c r="H1065" s="285" t="s">
        <v>13288</v>
      </c>
      <c r="I1065" s="285" t="s">
        <v>14171</v>
      </c>
      <c r="J1065" s="285" t="s">
        <v>5012</v>
      </c>
      <c r="K1065" s="285" t="s">
        <v>9560</v>
      </c>
      <c r="L1065" s="285" t="s">
        <v>12953</v>
      </c>
      <c r="M1065" s="285" t="s">
        <v>9383</v>
      </c>
      <c r="N1065" s="287" t="str">
        <f>IFERROR(
    IF(
        AND(
            VLOOKUP(B1065, 'รายชื่อพนักงานลาออกพ้นสภาพ'!B:I, 8, FALSE)&lt;&gt;"ยกเลิกลาออก",
            VLOOKUP(B1065, 'รายชื่อพนักงานลาออกพ้นสภาพ'!B:I, 7, FALSE)&lt;=TODAY()
        ),
        "ลาออกแล้ว",
        ""
    ),
"")</f>
        <v/>
      </c>
      <c r="O1065" s="292" t="str">
        <f t="array" ref="O1065:P1065">IFERROR(INDEX(PCRent!C:D, MATCH(F1065 &amp; " " &amp; G1065, PCRent!A:A &amp; " " &amp; PCRent!B:B, 0)), "")</f>
        <v>SN:MP2AN2CP</v>
      </c>
      <c r="P1065" s="293" t="s">
        <v>9562</v>
      </c>
      <c r="Q1065" s="294" t="str">
        <f t="array" ref="Q1065">IFERROR(INDEX(MonitorRent!C:D, MATCH(F1065 &amp; " " &amp; G1065, MonitorRent!A:A &amp; " " &amp; MonitorRent!B:B, 0)), "")</f>
        <v/>
      </c>
      <c r="R1065" s="295"/>
    </row>
    <row r="1066">
      <c r="A1066" s="284">
        <v>1063.0</v>
      </c>
      <c r="B1066" s="285" t="s">
        <v>14172</v>
      </c>
      <c r="C1066" s="285" t="s">
        <v>6918</v>
      </c>
      <c r="D1066" s="286" t="s">
        <v>14173</v>
      </c>
      <c r="E1066" s="285" t="s">
        <v>6921</v>
      </c>
      <c r="F1066" s="285" t="s">
        <v>14174</v>
      </c>
      <c r="G1066" s="285" t="s">
        <v>14175</v>
      </c>
      <c r="H1066" s="296"/>
      <c r="I1066" s="296"/>
      <c r="J1066" s="285" t="s">
        <v>5224</v>
      </c>
      <c r="K1066" s="285" t="s">
        <v>12321</v>
      </c>
      <c r="L1066" s="285" t="s">
        <v>8655</v>
      </c>
      <c r="M1066" s="285" t="s">
        <v>9383</v>
      </c>
      <c r="N1066" s="287" t="str">
        <f>IFERROR(
    IF(
        AND(
            VLOOKUP(B1066, 'รายชื่อพนักงานลาออกพ้นสภาพ'!B:I, 8, FALSE)&lt;&gt;"ยกเลิกลาออก",
            VLOOKUP(B1066, 'รายชื่อพนักงานลาออกพ้นสภาพ'!B:I, 7, FALSE)&lt;=TODAY()
        ),
        "ลาออกแล้ว",
        ""
    ),
"")</f>
        <v/>
      </c>
      <c r="O1066" s="292" t="str">
        <f t="array" ref="O1066">IFERROR(INDEX(PCRent!C:D, MATCH(F1066 &amp; " " &amp; G1066, PCRent!A:A &amp; " " &amp; PCRent!B:B, 0)), "")</f>
        <v/>
      </c>
      <c r="P1066" s="293"/>
      <c r="Q1066" s="294" t="str">
        <f t="array" ref="Q1066">IFERROR(INDEX(MonitorRent!C:D, MATCH(F1066 &amp; " " &amp; G1066, MonitorRent!A:A &amp; " " &amp; MonitorRent!B:B, 0)), "")</f>
        <v/>
      </c>
      <c r="R1066" s="295"/>
    </row>
    <row r="1067">
      <c r="A1067" s="284">
        <v>1064.0</v>
      </c>
      <c r="B1067" s="285" t="s">
        <v>8210</v>
      </c>
      <c r="C1067" s="285" t="s">
        <v>6918</v>
      </c>
      <c r="D1067" s="286" t="s">
        <v>9405</v>
      </c>
      <c r="E1067" s="285" t="s">
        <v>6933</v>
      </c>
      <c r="F1067" s="285" t="s">
        <v>14176</v>
      </c>
      <c r="G1067" s="285" t="s">
        <v>14177</v>
      </c>
      <c r="H1067" s="285" t="s">
        <v>9691</v>
      </c>
      <c r="I1067" s="285" t="s">
        <v>14178</v>
      </c>
      <c r="J1067" s="285" t="s">
        <v>5224</v>
      </c>
      <c r="K1067" s="285" t="s">
        <v>13029</v>
      </c>
      <c r="L1067" s="285" t="s">
        <v>13045</v>
      </c>
      <c r="M1067" s="285" t="s">
        <v>9383</v>
      </c>
      <c r="N1067" s="287" t="str">
        <f>IFERROR(
    IF(
        AND(
            VLOOKUP(B1067, 'รายชื่อพนักงานลาออกพ้นสภาพ'!B:I, 8, FALSE)&lt;&gt;"ยกเลิกลาออก",
            VLOOKUP(B1067, 'รายชื่อพนักงานลาออกพ้นสภาพ'!B:I, 7, FALSE)&lt;=TODAY()
        ),
        "ลาออกแล้ว",
        ""
    ),
"")</f>
        <v/>
      </c>
      <c r="O1067" s="292" t="str">
        <f t="array" ref="O1067:P1067">IFERROR(INDEX(PCRent!C:D, MATCH(F1067 &amp; " " &amp; G1067, PCRent!A:A &amp; " " &amp; PCRent!B:B, 0)), "")</f>
        <v>SN:MP2EJ2WP</v>
      </c>
      <c r="P1067" s="293" t="s">
        <v>6993</v>
      </c>
      <c r="Q1067" s="294" t="str">
        <f t="array" ref="Q1067">IFERROR(INDEX(MonitorRent!C:D, MATCH(F1067 &amp; " " &amp; G1067, MonitorRent!A:A &amp; " " &amp; MonitorRent!B:B, 0)), "")</f>
        <v/>
      </c>
      <c r="R1067" s="295"/>
    </row>
    <row r="1068">
      <c r="A1068" s="284">
        <v>1065.0</v>
      </c>
      <c r="B1068" s="285" t="s">
        <v>14179</v>
      </c>
      <c r="C1068" s="285" t="s">
        <v>6918</v>
      </c>
      <c r="D1068" s="286" t="s">
        <v>9739</v>
      </c>
      <c r="E1068" s="285" t="s">
        <v>6933</v>
      </c>
      <c r="F1068" s="285" t="s">
        <v>14180</v>
      </c>
      <c r="G1068" s="285" t="s">
        <v>14181</v>
      </c>
      <c r="H1068" s="285" t="s">
        <v>14182</v>
      </c>
      <c r="I1068" s="285" t="s">
        <v>14183</v>
      </c>
      <c r="J1068" s="285" t="s">
        <v>5012</v>
      </c>
      <c r="K1068" s="285" t="s">
        <v>9626</v>
      </c>
      <c r="L1068" s="285" t="s">
        <v>13020</v>
      </c>
      <c r="M1068" s="285" t="s">
        <v>9383</v>
      </c>
      <c r="N1068" s="287" t="str">
        <f>IFERROR(
    IF(
        AND(
            VLOOKUP(B1068, 'รายชื่อพนักงานลาออกพ้นสภาพ'!B:I, 8, FALSE)&lt;&gt;"ยกเลิกลาออก",
            VLOOKUP(B1068, 'รายชื่อพนักงานลาออกพ้นสภาพ'!B:I, 7, FALSE)&lt;=TODAY()
        ),
        "ลาออกแล้ว",
        ""
    ),
"")</f>
        <v/>
      </c>
      <c r="O1068" s="292" t="str">
        <f t="array" ref="O1068">IFERROR(INDEX(PCRent!C:D, MATCH(F1068 &amp; " " &amp; G1068, PCRent!A:A &amp; " " &amp; PCRent!B:B, 0)), "")</f>
        <v/>
      </c>
      <c r="P1068" s="293"/>
      <c r="Q1068" s="294" t="str">
        <f t="array" ref="Q1068">IFERROR(INDEX(MonitorRent!C:D, MATCH(F1068 &amp; " " &amp; G1068, MonitorRent!A:A &amp; " " &amp; MonitorRent!B:B, 0)), "")</f>
        <v/>
      </c>
      <c r="R1068" s="295"/>
    </row>
    <row r="1069">
      <c r="A1069" s="284">
        <v>1066.0</v>
      </c>
      <c r="B1069" s="285" t="s">
        <v>229</v>
      </c>
      <c r="C1069" s="285" t="s">
        <v>6918</v>
      </c>
      <c r="D1069" s="286" t="s">
        <v>10303</v>
      </c>
      <c r="E1069" s="285" t="s">
        <v>6933</v>
      </c>
      <c r="F1069" s="285" t="s">
        <v>14184</v>
      </c>
      <c r="G1069" s="285" t="s">
        <v>14185</v>
      </c>
      <c r="H1069" s="285" t="s">
        <v>11138</v>
      </c>
      <c r="I1069" s="285" t="s">
        <v>233</v>
      </c>
      <c r="J1069" s="285" t="s">
        <v>5012</v>
      </c>
      <c r="K1069" s="285" t="s">
        <v>9466</v>
      </c>
      <c r="L1069" s="285" t="s">
        <v>232</v>
      </c>
      <c r="M1069" s="285" t="s">
        <v>9383</v>
      </c>
      <c r="N1069" s="287" t="str">
        <f>IFERROR(
    IF(
        AND(
            VLOOKUP(B1069, 'รายชื่อพนักงานลาออกพ้นสภาพ'!B:I, 8, FALSE)&lt;&gt;"ยกเลิกลาออก",
            VLOOKUP(B1069, 'รายชื่อพนักงานลาออกพ้นสภาพ'!B:I, 7, FALSE)&lt;=TODAY()
        ),
        "ลาออกแล้ว",
        ""
    ),
"")</f>
        <v>ลาออกแล้ว</v>
      </c>
      <c r="O1069" s="292" t="str">
        <f t="array" ref="O1069:P1069">IFERROR(INDEX(PCRent!C:D, MATCH(F1069 &amp; " " &amp; G1069, PCRent!A:A &amp; " " &amp; PCRent!B:B, 0)), "")</f>
        <v>SN:MP2EHAFC</v>
      </c>
      <c r="P1069" s="293" t="s">
        <v>6993</v>
      </c>
      <c r="Q1069" s="294" t="str">
        <f t="array" ref="Q1069">IFERROR(INDEX(MonitorRent!C:D, MATCH(F1069 &amp; " " &amp; G1069, MonitorRent!A:A &amp; " " &amp; MonitorRent!B:B, 0)), "")</f>
        <v/>
      </c>
      <c r="R1069" s="295"/>
    </row>
    <row r="1070">
      <c r="A1070" s="284">
        <v>1067.0</v>
      </c>
      <c r="B1070" s="285" t="s">
        <v>14186</v>
      </c>
      <c r="C1070" s="285" t="s">
        <v>6918</v>
      </c>
      <c r="D1070" s="286" t="s">
        <v>14187</v>
      </c>
      <c r="E1070" s="285" t="s">
        <v>6933</v>
      </c>
      <c r="F1070" s="285" t="s">
        <v>14184</v>
      </c>
      <c r="G1070" s="285" t="s">
        <v>14188</v>
      </c>
      <c r="H1070" s="285" t="s">
        <v>14184</v>
      </c>
      <c r="I1070" s="285" t="s">
        <v>14189</v>
      </c>
      <c r="J1070" s="285" t="s">
        <v>5012</v>
      </c>
      <c r="K1070" s="285" t="s">
        <v>13411</v>
      </c>
      <c r="L1070" s="285" t="s">
        <v>9540</v>
      </c>
      <c r="M1070" s="285" t="s">
        <v>9383</v>
      </c>
      <c r="N1070" s="287" t="str">
        <f>IFERROR(
    IF(
        AND(
            VLOOKUP(B1070, 'รายชื่อพนักงานลาออกพ้นสภาพ'!B:I, 8, FALSE)&lt;&gt;"ยกเลิกลาออก",
            VLOOKUP(B1070, 'รายชื่อพนักงานลาออกพ้นสภาพ'!B:I, 7, FALSE)&lt;=TODAY()
        ),
        "ลาออกแล้ว",
        ""
    ),
"")</f>
        <v/>
      </c>
      <c r="O1070" s="292" t="str">
        <f t="array" ref="O1070">IFERROR(INDEX(PCRent!C:D, MATCH(F1070 &amp; " " &amp; G1070, PCRent!A:A &amp; " " &amp; PCRent!B:B, 0)), "")</f>
        <v/>
      </c>
      <c r="P1070" s="293"/>
      <c r="Q1070" s="294" t="str">
        <f t="array" ref="Q1070">IFERROR(INDEX(MonitorRent!C:D, MATCH(F1070 &amp; " " &amp; G1070, MonitorRent!A:A &amp; " " &amp; MonitorRent!B:B, 0)), "")</f>
        <v/>
      </c>
      <c r="R1070" s="295"/>
    </row>
    <row r="1071">
      <c r="A1071" s="284">
        <v>1068.0</v>
      </c>
      <c r="B1071" s="285" t="s">
        <v>8406</v>
      </c>
      <c r="C1071" s="285" t="s">
        <v>6918</v>
      </c>
      <c r="D1071" s="286" t="s">
        <v>14190</v>
      </c>
      <c r="E1071" s="285" t="s">
        <v>6921</v>
      </c>
      <c r="F1071" s="285" t="s">
        <v>14191</v>
      </c>
      <c r="G1071" s="285" t="s">
        <v>14192</v>
      </c>
      <c r="H1071" s="285" t="s">
        <v>9789</v>
      </c>
      <c r="I1071" s="285" t="s">
        <v>14193</v>
      </c>
      <c r="J1071" s="285" t="s">
        <v>5224</v>
      </c>
      <c r="K1071" s="285" t="s">
        <v>4756</v>
      </c>
      <c r="L1071" s="285" t="s">
        <v>8398</v>
      </c>
      <c r="M1071" s="285" t="s">
        <v>9383</v>
      </c>
      <c r="N1071" s="287" t="str">
        <f>IFERROR(
    IF(
        AND(
            VLOOKUP(B1071, 'รายชื่อพนักงานลาออกพ้นสภาพ'!B:I, 8, FALSE)&lt;&gt;"ยกเลิกลาออก",
            VLOOKUP(B1071, 'รายชื่อพนักงานลาออกพ้นสภาพ'!B:I, 7, FALSE)&lt;=TODAY()
        ),
        "ลาออกแล้ว",
        ""
    ),
"")</f>
        <v/>
      </c>
      <c r="O1071" s="292" t="str">
        <f t="array" ref="O1071">IFERROR(INDEX(PCRent!C:D, MATCH(F1071 &amp; " " &amp; G1071, PCRent!A:A &amp; " " &amp; PCRent!B:B, 0)), "")</f>
        <v/>
      </c>
      <c r="P1071" s="293"/>
      <c r="Q1071" s="294" t="str">
        <f t="array" ref="Q1071">IFERROR(INDEX(MonitorRent!C:D, MATCH(F1071 &amp; " " &amp; G1071, MonitorRent!A:A &amp; " " &amp; MonitorRent!B:B, 0)), "")</f>
        <v/>
      </c>
      <c r="R1071" s="295"/>
    </row>
    <row r="1072">
      <c r="A1072" s="284">
        <v>1069.0</v>
      </c>
      <c r="B1072" s="285" t="s">
        <v>14194</v>
      </c>
      <c r="C1072" s="285" t="s">
        <v>6918</v>
      </c>
      <c r="D1072" s="286" t="s">
        <v>9688</v>
      </c>
      <c r="E1072" s="285" t="s">
        <v>6933</v>
      </c>
      <c r="F1072" s="285" t="s">
        <v>14195</v>
      </c>
      <c r="G1072" s="285" t="s">
        <v>14196</v>
      </c>
      <c r="H1072" s="285" t="s">
        <v>10306</v>
      </c>
      <c r="I1072" s="296"/>
      <c r="J1072" s="285" t="s">
        <v>5012</v>
      </c>
      <c r="K1072" s="285" t="s">
        <v>5760</v>
      </c>
      <c r="L1072" s="285" t="s">
        <v>3041</v>
      </c>
      <c r="M1072" s="285" t="s">
        <v>9383</v>
      </c>
      <c r="N1072" s="287" t="str">
        <f>IFERROR(
    IF(
        AND(
            VLOOKUP(B1072, 'รายชื่อพนักงานลาออกพ้นสภาพ'!B:I, 8, FALSE)&lt;&gt;"ยกเลิกลาออก",
            VLOOKUP(B1072, 'รายชื่อพนักงานลาออกพ้นสภาพ'!B:I, 7, FALSE)&lt;=TODAY()
        ),
        "ลาออกแล้ว",
        ""
    ),
"")</f>
        <v/>
      </c>
      <c r="O1072" s="292" t="str">
        <f t="array" ref="O1072">IFERROR(INDEX(PCRent!C:D, MATCH(F1072 &amp; " " &amp; G1072, PCRent!A:A &amp; " " &amp; PCRent!B:B, 0)), "")</f>
        <v/>
      </c>
      <c r="P1072" s="293"/>
      <c r="Q1072" s="294" t="str">
        <f t="array" ref="Q1072">IFERROR(INDEX(MonitorRent!C:D, MATCH(F1072 &amp; " " &amp; G1072, MonitorRent!A:A &amp; " " &amp; MonitorRent!B:B, 0)), "")</f>
        <v/>
      </c>
      <c r="R1072" s="295"/>
    </row>
    <row r="1073">
      <c r="A1073" s="284">
        <v>1070.0</v>
      </c>
      <c r="B1073" s="285" t="s">
        <v>7426</v>
      </c>
      <c r="C1073" s="285" t="s">
        <v>6918</v>
      </c>
      <c r="D1073" s="286" t="s">
        <v>12472</v>
      </c>
      <c r="E1073" s="285" t="s">
        <v>6921</v>
      </c>
      <c r="F1073" s="285" t="s">
        <v>14197</v>
      </c>
      <c r="G1073" s="285" t="s">
        <v>14198</v>
      </c>
      <c r="H1073" s="285" t="s">
        <v>9840</v>
      </c>
      <c r="I1073" s="285" t="s">
        <v>14199</v>
      </c>
      <c r="J1073" s="285" t="s">
        <v>5224</v>
      </c>
      <c r="K1073" s="285" t="s">
        <v>12963</v>
      </c>
      <c r="L1073" s="285" t="s">
        <v>13670</v>
      </c>
      <c r="M1073" s="285" t="s">
        <v>9383</v>
      </c>
      <c r="N1073" s="287" t="str">
        <f>IFERROR(
    IF(
        AND(
            VLOOKUP(B1073, 'รายชื่อพนักงานลาออกพ้นสภาพ'!B:I, 8, FALSE)&lt;&gt;"ยกเลิกลาออก",
            VLOOKUP(B1073, 'รายชื่อพนักงานลาออกพ้นสภาพ'!B:I, 7, FALSE)&lt;=TODAY()
        ),
        "ลาออกแล้ว",
        ""
    ),
"")</f>
        <v/>
      </c>
      <c r="O1073" s="292" t="str">
        <f t="array" ref="O1073">IFERROR(INDEX(PCRent!C:D, MATCH(F1073 &amp; " " &amp; G1073, PCRent!A:A &amp; " " &amp; PCRent!B:B, 0)), "")</f>
        <v/>
      </c>
      <c r="P1073" s="293"/>
      <c r="Q1073" s="294" t="str">
        <f t="array" ref="Q1073">IFERROR(INDEX(MonitorRent!C:D, MATCH(F1073 &amp; " " &amp; G1073, MonitorRent!A:A &amp; " " &amp; MonitorRent!B:B, 0)), "")</f>
        <v/>
      </c>
      <c r="R1073" s="295"/>
    </row>
    <row r="1074">
      <c r="A1074" s="284">
        <v>1071.0</v>
      </c>
      <c r="B1074" s="285" t="s">
        <v>14200</v>
      </c>
      <c r="C1074" s="285" t="s">
        <v>6918</v>
      </c>
      <c r="D1074" s="286" t="s">
        <v>14201</v>
      </c>
      <c r="E1074" s="285" t="s">
        <v>6933</v>
      </c>
      <c r="F1074" s="285" t="s">
        <v>14202</v>
      </c>
      <c r="G1074" s="285" t="s">
        <v>12366</v>
      </c>
      <c r="H1074" s="285" t="s">
        <v>14203</v>
      </c>
      <c r="I1074" s="285" t="s">
        <v>14204</v>
      </c>
      <c r="J1074" s="285" t="s">
        <v>5012</v>
      </c>
      <c r="K1074" s="285" t="s">
        <v>9626</v>
      </c>
      <c r="L1074" s="285" t="s">
        <v>9475</v>
      </c>
      <c r="M1074" s="285" t="s">
        <v>9383</v>
      </c>
      <c r="N1074" s="287" t="str">
        <f>IFERROR(
    IF(
        AND(
            VLOOKUP(B1074, 'รายชื่อพนักงานลาออกพ้นสภาพ'!B:I, 8, FALSE)&lt;&gt;"ยกเลิกลาออก",
            VLOOKUP(B1074, 'รายชื่อพนักงานลาออกพ้นสภาพ'!B:I, 7, FALSE)&lt;=TODAY()
        ),
        "ลาออกแล้ว",
        ""
    ),
"")</f>
        <v/>
      </c>
      <c r="O1074" s="292" t="str">
        <f t="array" ref="O1074">IFERROR(INDEX(PCRent!C:D, MATCH(F1074 &amp; " " &amp; G1074, PCRent!A:A &amp; " " &amp; PCRent!B:B, 0)), "")</f>
        <v/>
      </c>
      <c r="P1074" s="293"/>
      <c r="Q1074" s="294" t="str">
        <f t="array" ref="Q1074">IFERROR(INDEX(MonitorRent!C:D, MATCH(F1074 &amp; " " &amp; G1074, MonitorRent!A:A &amp; " " &amp; MonitorRent!B:B, 0)), "")</f>
        <v/>
      </c>
      <c r="R1074" s="295"/>
    </row>
    <row r="1075">
      <c r="A1075" s="284">
        <v>1072.0</v>
      </c>
      <c r="B1075" s="285" t="s">
        <v>7234</v>
      </c>
      <c r="C1075" s="285" t="s">
        <v>6918</v>
      </c>
      <c r="D1075" s="286" t="s">
        <v>14205</v>
      </c>
      <c r="E1075" s="285" t="s">
        <v>6921</v>
      </c>
      <c r="F1075" s="285" t="s">
        <v>14206</v>
      </c>
      <c r="G1075" s="285" t="s">
        <v>14207</v>
      </c>
      <c r="H1075" s="285" t="s">
        <v>10225</v>
      </c>
      <c r="I1075" s="285" t="s">
        <v>14208</v>
      </c>
      <c r="J1075" s="285" t="s">
        <v>5224</v>
      </c>
      <c r="K1075" s="285" t="s">
        <v>10056</v>
      </c>
      <c r="L1075" s="285" t="s">
        <v>1602</v>
      </c>
      <c r="M1075" s="285" t="s">
        <v>9383</v>
      </c>
      <c r="N1075" s="287" t="str">
        <f>IFERROR(
    IF(
        AND(
            VLOOKUP(B1075, 'รายชื่อพนักงานลาออกพ้นสภาพ'!B:I, 8, FALSE)&lt;&gt;"ยกเลิกลาออก",
            VLOOKUP(B1075, 'รายชื่อพนักงานลาออกพ้นสภาพ'!B:I, 7, FALSE)&lt;=TODAY()
        ),
        "ลาออกแล้ว",
        ""
    ),
"")</f>
        <v/>
      </c>
      <c r="O1075" s="292" t="str">
        <f t="array" ref="O1075">IFERROR(INDEX(PCRent!C:D, MATCH(F1075 &amp; " " &amp; G1075, PCRent!A:A &amp; " " &amp; PCRent!B:B, 0)), "")</f>
        <v/>
      </c>
      <c r="P1075" s="293"/>
      <c r="Q1075" s="294" t="str">
        <f t="array" ref="Q1075">IFERROR(INDEX(MonitorRent!C:D, MATCH(F1075 &amp; " " &amp; G1075, MonitorRent!A:A &amp; " " &amp; MonitorRent!B:B, 0)), "")</f>
        <v/>
      </c>
      <c r="R1075" s="295"/>
    </row>
    <row r="1076">
      <c r="A1076" s="284">
        <v>1073.0</v>
      </c>
      <c r="B1076" s="285" t="s">
        <v>14209</v>
      </c>
      <c r="C1076" s="285" t="s">
        <v>6918</v>
      </c>
      <c r="D1076" s="286" t="s">
        <v>14210</v>
      </c>
      <c r="E1076" s="285" t="s">
        <v>6921</v>
      </c>
      <c r="F1076" s="285" t="s">
        <v>14211</v>
      </c>
      <c r="G1076" s="285" t="s">
        <v>14212</v>
      </c>
      <c r="H1076" s="285" t="s">
        <v>14213</v>
      </c>
      <c r="I1076" s="285" t="s">
        <v>14214</v>
      </c>
      <c r="J1076" s="285" t="s">
        <v>5224</v>
      </c>
      <c r="K1076" s="285" t="s">
        <v>13769</v>
      </c>
      <c r="L1076" s="285" t="s">
        <v>3041</v>
      </c>
      <c r="M1076" s="285" t="s">
        <v>9383</v>
      </c>
      <c r="N1076" s="287" t="str">
        <f>IFERROR(
    IF(
        AND(
            VLOOKUP(B1076, 'รายชื่อพนักงานลาออกพ้นสภาพ'!B:I, 8, FALSE)&lt;&gt;"ยกเลิกลาออก",
            VLOOKUP(B1076, 'รายชื่อพนักงานลาออกพ้นสภาพ'!B:I, 7, FALSE)&lt;=TODAY()
        ),
        "ลาออกแล้ว",
        ""
    ),
"")</f>
        <v/>
      </c>
      <c r="O1076" s="292" t="str">
        <f t="array" ref="O1076">IFERROR(INDEX(PCRent!C:D, MATCH(F1076 &amp; " " &amp; G1076, PCRent!A:A &amp; " " &amp; PCRent!B:B, 0)), "")</f>
        <v/>
      </c>
      <c r="P1076" s="293"/>
      <c r="Q1076" s="294" t="str">
        <f t="array" ref="Q1076">IFERROR(INDEX(MonitorRent!C:D, MATCH(F1076 &amp; " " &amp; G1076, MonitorRent!A:A &amp; " " &amp; MonitorRent!B:B, 0)), "")</f>
        <v/>
      </c>
      <c r="R1076" s="295"/>
    </row>
    <row r="1077">
      <c r="A1077" s="284">
        <v>1074.0</v>
      </c>
      <c r="B1077" s="285" t="s">
        <v>14215</v>
      </c>
      <c r="C1077" s="285" t="s">
        <v>6918</v>
      </c>
      <c r="D1077" s="286" t="s">
        <v>14216</v>
      </c>
      <c r="E1077" s="285" t="s">
        <v>6921</v>
      </c>
      <c r="F1077" s="285" t="s">
        <v>14217</v>
      </c>
      <c r="G1077" s="285" t="s">
        <v>14218</v>
      </c>
      <c r="H1077" s="285" t="s">
        <v>14219</v>
      </c>
      <c r="I1077" s="285" t="s">
        <v>14220</v>
      </c>
      <c r="J1077" s="285" t="s">
        <v>5012</v>
      </c>
      <c r="K1077" s="285" t="s">
        <v>9588</v>
      </c>
      <c r="L1077" s="285" t="s">
        <v>14139</v>
      </c>
      <c r="M1077" s="285" t="s">
        <v>9383</v>
      </c>
      <c r="N1077" s="287" t="str">
        <f>IFERROR(
    IF(
        AND(
            VLOOKUP(B1077, 'รายชื่อพนักงานลาออกพ้นสภาพ'!B:I, 8, FALSE)&lt;&gt;"ยกเลิกลาออก",
            VLOOKUP(B1077, 'รายชื่อพนักงานลาออกพ้นสภาพ'!B:I, 7, FALSE)&lt;=TODAY()
        ),
        "ลาออกแล้ว",
        ""
    ),
"")</f>
        <v/>
      </c>
      <c r="O1077" s="292" t="str">
        <f t="array" ref="O1077">IFERROR(INDEX(PCRent!C:D, MATCH(F1077 &amp; " " &amp; G1077, PCRent!A:A &amp; " " &amp; PCRent!B:B, 0)), "")</f>
        <v/>
      </c>
      <c r="P1077" s="293"/>
      <c r="Q1077" s="294" t="str">
        <f t="array" ref="Q1077">IFERROR(INDEX(MonitorRent!C:D, MATCH(F1077 &amp; " " &amp; G1077, MonitorRent!A:A &amp; " " &amp; MonitorRent!B:B, 0)), "")</f>
        <v/>
      </c>
      <c r="R1077" s="295"/>
    </row>
    <row r="1078">
      <c r="A1078" s="284">
        <v>1075.0</v>
      </c>
      <c r="B1078" s="285" t="s">
        <v>7174</v>
      </c>
      <c r="C1078" s="285" t="s">
        <v>6918</v>
      </c>
      <c r="D1078" s="286" t="s">
        <v>14221</v>
      </c>
      <c r="E1078" s="285" t="s">
        <v>6933</v>
      </c>
      <c r="F1078" s="285" t="s">
        <v>14222</v>
      </c>
      <c r="G1078" s="285" t="s">
        <v>14223</v>
      </c>
      <c r="H1078" s="285" t="s">
        <v>9538</v>
      </c>
      <c r="I1078" s="285" t="s">
        <v>14224</v>
      </c>
      <c r="J1078" s="285" t="s">
        <v>5224</v>
      </c>
      <c r="K1078" s="285" t="s">
        <v>4835</v>
      </c>
      <c r="L1078" s="285" t="s">
        <v>1602</v>
      </c>
      <c r="M1078" s="285" t="s">
        <v>9383</v>
      </c>
      <c r="N1078" s="287" t="str">
        <f>IFERROR(
    IF(
        AND(
            VLOOKUP(B1078, 'รายชื่อพนักงานลาออกพ้นสภาพ'!B:I, 8, FALSE)&lt;&gt;"ยกเลิกลาออก",
            VLOOKUP(B1078, 'รายชื่อพนักงานลาออกพ้นสภาพ'!B:I, 7, FALSE)&lt;=TODAY()
        ),
        "ลาออกแล้ว",
        ""
    ),
"")</f>
        <v/>
      </c>
      <c r="O1078" s="292" t="str">
        <f t="array" ref="O1078">IFERROR(INDEX(PCRent!C:D, MATCH(F1078 &amp; " " &amp; G1078, PCRent!A:A &amp; " " &amp; PCRent!B:B, 0)), "")</f>
        <v/>
      </c>
      <c r="P1078" s="293"/>
      <c r="Q1078" s="294" t="str">
        <f t="array" ref="Q1078">IFERROR(INDEX(MonitorRent!C:D, MATCH(F1078 &amp; " " &amp; G1078, MonitorRent!A:A &amp; " " &amp; MonitorRent!B:B, 0)), "")</f>
        <v/>
      </c>
      <c r="R1078" s="295"/>
    </row>
    <row r="1079">
      <c r="A1079" s="284">
        <v>1076.0</v>
      </c>
      <c r="B1079" s="285" t="s">
        <v>14225</v>
      </c>
      <c r="C1079" s="285" t="s">
        <v>6918</v>
      </c>
      <c r="D1079" s="286" t="s">
        <v>11325</v>
      </c>
      <c r="E1079" s="285" t="s">
        <v>6933</v>
      </c>
      <c r="F1079" s="285" t="s">
        <v>14226</v>
      </c>
      <c r="G1079" s="285" t="s">
        <v>14227</v>
      </c>
      <c r="H1079" s="285" t="s">
        <v>14228</v>
      </c>
      <c r="I1079" s="285" t="s">
        <v>6294</v>
      </c>
      <c r="J1079" s="285" t="s">
        <v>5012</v>
      </c>
      <c r="K1079" s="285" t="s">
        <v>4835</v>
      </c>
      <c r="L1079" s="285" t="s">
        <v>2513</v>
      </c>
      <c r="M1079" s="285" t="s">
        <v>9383</v>
      </c>
      <c r="N1079" s="287" t="str">
        <f>IFERROR(
    IF(
        AND(
            VLOOKUP(B1079, 'รายชื่อพนักงานลาออกพ้นสภาพ'!B:I, 8, FALSE)&lt;&gt;"ยกเลิกลาออก",
            VLOOKUP(B1079, 'รายชื่อพนักงานลาออกพ้นสภาพ'!B:I, 7, FALSE)&lt;=TODAY()
        ),
        "ลาออกแล้ว",
        ""
    ),
"")</f>
        <v/>
      </c>
      <c r="O1079" s="292" t="str">
        <f t="array" ref="O1079">IFERROR(INDEX(PCRent!C:D, MATCH(F1079 &amp; " " &amp; G1079, PCRent!A:A &amp; " " &amp; PCRent!B:B, 0)), "")</f>
        <v/>
      </c>
      <c r="P1079" s="293"/>
      <c r="Q1079" s="294" t="str">
        <f t="array" ref="Q1079">IFERROR(INDEX(MonitorRent!C:D, MATCH(F1079 &amp; " " &amp; G1079, MonitorRent!A:A &amp; " " &amp; MonitorRent!B:B, 0)), "")</f>
        <v/>
      </c>
      <c r="R1079" s="295"/>
    </row>
    <row r="1080">
      <c r="A1080" s="284">
        <v>1077.0</v>
      </c>
      <c r="B1080" s="285" t="s">
        <v>14229</v>
      </c>
      <c r="C1080" s="285" t="s">
        <v>6918</v>
      </c>
      <c r="D1080" s="286" t="s">
        <v>13100</v>
      </c>
      <c r="E1080" s="285" t="s">
        <v>6921</v>
      </c>
      <c r="F1080" s="285" t="s">
        <v>14230</v>
      </c>
      <c r="G1080" s="285" t="s">
        <v>14231</v>
      </c>
      <c r="H1080" s="285" t="s">
        <v>10145</v>
      </c>
      <c r="I1080" s="285" t="s">
        <v>14232</v>
      </c>
      <c r="J1080" s="285" t="s">
        <v>5012</v>
      </c>
      <c r="K1080" s="285" t="s">
        <v>6322</v>
      </c>
      <c r="L1080" s="285" t="s">
        <v>13057</v>
      </c>
      <c r="M1080" s="285" t="s">
        <v>9383</v>
      </c>
      <c r="N1080" s="287" t="str">
        <f>IFERROR(
    IF(
        AND(
            VLOOKUP(B1080, 'รายชื่อพนักงานลาออกพ้นสภาพ'!B:I, 8, FALSE)&lt;&gt;"ยกเลิกลาออก",
            VLOOKUP(B1080, 'รายชื่อพนักงานลาออกพ้นสภาพ'!B:I, 7, FALSE)&lt;=TODAY()
        ),
        "ลาออกแล้ว",
        ""
    ),
"")</f>
        <v/>
      </c>
      <c r="O1080" s="292" t="str">
        <f t="array" ref="O1080">IFERROR(INDEX(PCRent!C:D, MATCH(F1080 &amp; " " &amp; G1080, PCRent!A:A &amp; " " &amp; PCRent!B:B, 0)), "")</f>
        <v/>
      </c>
      <c r="P1080" s="293"/>
      <c r="Q1080" s="294" t="str">
        <f t="array" ref="Q1080">IFERROR(INDEX(MonitorRent!C:D, MATCH(F1080 &amp; " " &amp; G1080, MonitorRent!A:A &amp; " " &amp; MonitorRent!B:B, 0)), "")</f>
        <v/>
      </c>
      <c r="R1080" s="295"/>
    </row>
    <row r="1081">
      <c r="A1081" s="284">
        <v>1078.0</v>
      </c>
      <c r="B1081" s="285" t="s">
        <v>8186</v>
      </c>
      <c r="C1081" s="285" t="s">
        <v>6918</v>
      </c>
      <c r="D1081" s="286" t="s">
        <v>14233</v>
      </c>
      <c r="E1081" s="285" t="s">
        <v>6933</v>
      </c>
      <c r="F1081" s="285" t="s">
        <v>14234</v>
      </c>
      <c r="G1081" s="285" t="s">
        <v>14235</v>
      </c>
      <c r="H1081" s="285" t="s">
        <v>14236</v>
      </c>
      <c r="I1081" s="285" t="s">
        <v>14237</v>
      </c>
      <c r="J1081" s="285" t="s">
        <v>5224</v>
      </c>
      <c r="K1081" s="285" t="s">
        <v>4756</v>
      </c>
      <c r="L1081" s="285" t="s">
        <v>13030</v>
      </c>
      <c r="M1081" s="285" t="s">
        <v>9383</v>
      </c>
      <c r="N1081" s="287" t="str">
        <f>IFERROR(
    IF(
        AND(
            VLOOKUP(B1081, 'รายชื่อพนักงานลาออกพ้นสภาพ'!B:I, 8, FALSE)&lt;&gt;"ยกเลิกลาออก",
            VLOOKUP(B1081, 'รายชื่อพนักงานลาออกพ้นสภาพ'!B:I, 7, FALSE)&lt;=TODAY()
        ),
        "ลาออกแล้ว",
        ""
    ),
"")</f>
        <v/>
      </c>
      <c r="O1081" s="292" t="str">
        <f t="array" ref="O1081:P1081">IFERROR(INDEX(PCRent!C:D, MATCH(F1081 &amp; " " &amp; G1081, PCRent!A:A &amp; " " &amp; PCRent!B:B, 0)), "")</f>
        <v>SN:MP2EJ2XA</v>
      </c>
      <c r="P1081" s="293" t="s">
        <v>6993</v>
      </c>
      <c r="Q1081" s="294" t="str">
        <f t="array" ref="Q1081">IFERROR(INDEX(MonitorRent!C:D, MATCH(F1081 &amp; " " &amp; G1081, MonitorRent!A:A &amp; " " &amp; MonitorRent!B:B, 0)), "")</f>
        <v/>
      </c>
      <c r="R1081" s="295"/>
    </row>
    <row r="1082">
      <c r="A1082" s="284">
        <v>1079.0</v>
      </c>
      <c r="B1082" s="285" t="s">
        <v>7717</v>
      </c>
      <c r="C1082" s="285" t="s">
        <v>6918</v>
      </c>
      <c r="D1082" s="286" t="s">
        <v>9601</v>
      </c>
      <c r="E1082" s="285" t="s">
        <v>6933</v>
      </c>
      <c r="F1082" s="285" t="s">
        <v>14238</v>
      </c>
      <c r="G1082" s="285" t="s">
        <v>14239</v>
      </c>
      <c r="H1082" s="285" t="s">
        <v>14240</v>
      </c>
      <c r="I1082" s="285" t="s">
        <v>14241</v>
      </c>
      <c r="J1082" s="285" t="s">
        <v>5224</v>
      </c>
      <c r="K1082" s="285" t="s">
        <v>12717</v>
      </c>
      <c r="L1082" s="285" t="s">
        <v>2716</v>
      </c>
      <c r="M1082" s="285" t="s">
        <v>9383</v>
      </c>
      <c r="N1082" s="287" t="str">
        <f>IFERROR(
    IF(
        AND(
            VLOOKUP(B1082, 'รายชื่อพนักงานลาออกพ้นสภาพ'!B:I, 8, FALSE)&lt;&gt;"ยกเลิกลาออก",
            VLOOKUP(B1082, 'รายชื่อพนักงานลาออกพ้นสภาพ'!B:I, 7, FALSE)&lt;=TODAY()
        ),
        "ลาออกแล้ว",
        ""
    ),
"")</f>
        <v/>
      </c>
      <c r="O1082" s="292" t="str">
        <f t="array" ref="O1082:P1082">IFERROR(INDEX(PCRent!C:D, MATCH(F1082 &amp; " " &amp; G1082, PCRent!A:A &amp; " " &amp; PCRent!B:B, 0)), "")</f>
        <v>SN:HW8BXW3</v>
      </c>
      <c r="P1082" s="293" t="s">
        <v>7048</v>
      </c>
      <c r="Q1082" s="294" t="str">
        <f t="array" ref="Q1082:R1082">IFERROR(INDEX(MonitorRent!C:D, MATCH(F1082 &amp; " " &amp; G1082, MonitorRent!A:A &amp; " " &amp; MonitorRent!B:B, 0)), "")</f>
        <v>SN:3YX29V3</v>
      </c>
      <c r="R1082" s="295" t="s">
        <v>7050</v>
      </c>
    </row>
    <row r="1083">
      <c r="A1083" s="284">
        <v>1080.0</v>
      </c>
      <c r="B1083" s="285" t="s">
        <v>14242</v>
      </c>
      <c r="C1083" s="285" t="s">
        <v>6918</v>
      </c>
      <c r="D1083" s="286" t="s">
        <v>12674</v>
      </c>
      <c r="E1083" s="285" t="s">
        <v>6921</v>
      </c>
      <c r="F1083" s="285" t="s">
        <v>9667</v>
      </c>
      <c r="G1083" s="285" t="s">
        <v>14243</v>
      </c>
      <c r="H1083" s="285" t="s">
        <v>9915</v>
      </c>
      <c r="I1083" s="285" t="s">
        <v>14244</v>
      </c>
      <c r="J1083" s="285" t="s">
        <v>5012</v>
      </c>
      <c r="K1083" s="285" t="s">
        <v>4818</v>
      </c>
      <c r="L1083" s="285" t="s">
        <v>13137</v>
      </c>
      <c r="M1083" s="285" t="s">
        <v>9383</v>
      </c>
      <c r="N1083" s="287" t="str">
        <f>IFERROR(
    IF(
        AND(
            VLOOKUP(B1083, 'รายชื่อพนักงานลาออกพ้นสภาพ'!B:I, 8, FALSE)&lt;&gt;"ยกเลิกลาออก",
            VLOOKUP(B1083, 'รายชื่อพนักงานลาออกพ้นสภาพ'!B:I, 7, FALSE)&lt;=TODAY()
        ),
        "ลาออกแล้ว",
        ""
    ),
"")</f>
        <v/>
      </c>
      <c r="O1083" s="292" t="str">
        <f t="array" ref="O1083">IFERROR(INDEX(PCRent!C:D, MATCH(F1083 &amp; " " &amp; G1083, PCRent!A:A &amp; " " &amp; PCRent!B:B, 0)), "")</f>
        <v/>
      </c>
      <c r="P1083" s="293"/>
      <c r="Q1083" s="294" t="str">
        <f t="array" ref="Q1083">IFERROR(INDEX(MonitorRent!C:D, MATCH(F1083 &amp; " " &amp; G1083, MonitorRent!A:A &amp; " " &amp; MonitorRent!B:B, 0)), "")</f>
        <v/>
      </c>
      <c r="R1083" s="295"/>
    </row>
    <row r="1084">
      <c r="A1084" s="284">
        <v>1081.0</v>
      </c>
      <c r="B1084" s="285" t="s">
        <v>14245</v>
      </c>
      <c r="C1084" s="285" t="s">
        <v>6918</v>
      </c>
      <c r="D1084" s="286" t="s">
        <v>9634</v>
      </c>
      <c r="E1084" s="285" t="s">
        <v>6921</v>
      </c>
      <c r="F1084" s="285" t="s">
        <v>14246</v>
      </c>
      <c r="G1084" s="285" t="s">
        <v>14247</v>
      </c>
      <c r="H1084" s="285" t="s">
        <v>9566</v>
      </c>
      <c r="I1084" s="285" t="s">
        <v>14248</v>
      </c>
      <c r="J1084" s="285" t="s">
        <v>5012</v>
      </c>
      <c r="K1084" s="285" t="s">
        <v>9560</v>
      </c>
      <c r="L1084" s="285" t="s">
        <v>1027</v>
      </c>
      <c r="M1084" s="285" t="s">
        <v>9383</v>
      </c>
      <c r="N1084" s="287" t="str">
        <f>IFERROR(
    IF(
        AND(
            VLOOKUP(B1084, 'รายชื่อพนักงานลาออกพ้นสภาพ'!B:I, 8, FALSE)&lt;&gt;"ยกเลิกลาออก",
            VLOOKUP(B1084, 'รายชื่อพนักงานลาออกพ้นสภาพ'!B:I, 7, FALSE)&lt;=TODAY()
        ),
        "ลาออกแล้ว",
        ""
    ),
"")</f>
        <v/>
      </c>
      <c r="O1084" s="292" t="str">
        <f t="array" ref="O1084">IFERROR(INDEX(PCRent!C:D, MATCH(F1084 &amp; " " &amp; G1084, PCRent!A:A &amp; " " &amp; PCRent!B:B, 0)), "")</f>
        <v/>
      </c>
      <c r="P1084" s="293"/>
      <c r="Q1084" s="294" t="str">
        <f t="array" ref="Q1084">IFERROR(INDEX(MonitorRent!C:D, MATCH(F1084 &amp; " " &amp; G1084, MonitorRent!A:A &amp; " " &amp; MonitorRent!B:B, 0)), "")</f>
        <v/>
      </c>
      <c r="R1084" s="295"/>
    </row>
    <row r="1085">
      <c r="A1085" s="284">
        <v>1082.0</v>
      </c>
      <c r="B1085" s="285" t="s">
        <v>8784</v>
      </c>
      <c r="C1085" s="285" t="s">
        <v>6918</v>
      </c>
      <c r="D1085" s="286" t="s">
        <v>11262</v>
      </c>
      <c r="E1085" s="285" t="s">
        <v>6921</v>
      </c>
      <c r="F1085" s="285" t="s">
        <v>14249</v>
      </c>
      <c r="G1085" s="285" t="s">
        <v>14250</v>
      </c>
      <c r="H1085" s="285" t="s">
        <v>10145</v>
      </c>
      <c r="I1085" s="285" t="s">
        <v>14251</v>
      </c>
      <c r="J1085" s="285" t="s">
        <v>5224</v>
      </c>
      <c r="K1085" s="285" t="s">
        <v>13025</v>
      </c>
      <c r="L1085" s="285" t="s">
        <v>8850</v>
      </c>
      <c r="M1085" s="285" t="s">
        <v>9383</v>
      </c>
      <c r="N1085" s="287" t="str">
        <f>IFERROR(
    IF(
        AND(
            VLOOKUP(B1085, 'รายชื่อพนักงานลาออกพ้นสภาพ'!B:I, 8, FALSE)&lt;&gt;"ยกเลิกลาออก",
            VLOOKUP(B1085, 'รายชื่อพนักงานลาออกพ้นสภาพ'!B:I, 7, FALSE)&lt;=TODAY()
        ),
        "ลาออกแล้ว",
        ""
    ),
"")</f>
        <v/>
      </c>
      <c r="O1085" s="292" t="str">
        <f t="array" ref="O1085">IFERROR(INDEX(PCRent!C:D, MATCH(F1085 &amp; " " &amp; G1085, PCRent!A:A &amp; " " &amp; PCRent!B:B, 0)), "")</f>
        <v/>
      </c>
      <c r="P1085" s="293"/>
      <c r="Q1085" s="294" t="str">
        <f t="array" ref="Q1085">IFERROR(INDEX(MonitorRent!C:D, MATCH(F1085 &amp; " " &amp; G1085, MonitorRent!A:A &amp; " " &amp; MonitorRent!B:B, 0)), "")</f>
        <v/>
      </c>
      <c r="R1085" s="295"/>
    </row>
    <row r="1086">
      <c r="A1086" s="284">
        <v>1083.0</v>
      </c>
      <c r="B1086" s="285" t="s">
        <v>8612</v>
      </c>
      <c r="C1086" s="285" t="s">
        <v>6918</v>
      </c>
      <c r="D1086" s="286" t="s">
        <v>14252</v>
      </c>
      <c r="E1086" s="285" t="s">
        <v>6921</v>
      </c>
      <c r="F1086" s="285" t="s">
        <v>14253</v>
      </c>
      <c r="G1086" s="285" t="s">
        <v>9498</v>
      </c>
      <c r="H1086" s="296"/>
      <c r="I1086" s="285" t="s">
        <v>14254</v>
      </c>
      <c r="J1086" s="285" t="s">
        <v>5224</v>
      </c>
      <c r="K1086" s="285" t="s">
        <v>14255</v>
      </c>
      <c r="L1086" s="285" t="s">
        <v>8609</v>
      </c>
      <c r="M1086" s="285" t="s">
        <v>9383</v>
      </c>
      <c r="N1086" s="287" t="str">
        <f>IFERROR(
    IF(
        AND(
            VLOOKUP(B1086, 'รายชื่อพนักงานลาออกพ้นสภาพ'!B:I, 8, FALSE)&lt;&gt;"ยกเลิกลาออก",
            VLOOKUP(B1086, 'รายชื่อพนักงานลาออกพ้นสภาพ'!B:I, 7, FALSE)&lt;=TODAY()
        ),
        "ลาออกแล้ว",
        ""
    ),
"")</f>
        <v/>
      </c>
      <c r="O1086" s="292" t="str">
        <f t="array" ref="O1086">IFERROR(INDEX(PCRent!C:D, MATCH(F1086 &amp; " " &amp; G1086, PCRent!A:A &amp; " " &amp; PCRent!B:B, 0)), "")</f>
        <v/>
      </c>
      <c r="P1086" s="293"/>
      <c r="Q1086" s="294" t="str">
        <f t="array" ref="Q1086">IFERROR(INDEX(MonitorRent!C:D, MATCH(F1086 &amp; " " &amp; G1086, MonitorRent!A:A &amp; " " &amp; MonitorRent!B:B, 0)), "")</f>
        <v/>
      </c>
      <c r="R1086" s="295"/>
    </row>
    <row r="1087">
      <c r="A1087" s="284">
        <v>1084.0</v>
      </c>
      <c r="B1087" s="285" t="s">
        <v>14256</v>
      </c>
      <c r="C1087" s="285" t="s">
        <v>6918</v>
      </c>
      <c r="D1087" s="286" t="s">
        <v>11486</v>
      </c>
      <c r="E1087" s="285" t="s">
        <v>6933</v>
      </c>
      <c r="F1087" s="285" t="s">
        <v>14257</v>
      </c>
      <c r="G1087" s="285" t="s">
        <v>14258</v>
      </c>
      <c r="H1087" s="285" t="s">
        <v>9597</v>
      </c>
      <c r="I1087" s="285" t="s">
        <v>14259</v>
      </c>
      <c r="J1087" s="285" t="s">
        <v>5012</v>
      </c>
      <c r="K1087" s="285" t="s">
        <v>9474</v>
      </c>
      <c r="L1087" s="285" t="s">
        <v>13172</v>
      </c>
      <c r="M1087" s="285" t="s">
        <v>9383</v>
      </c>
      <c r="N1087" s="287" t="str">
        <f>IFERROR(
    IF(
        AND(
            VLOOKUP(B1087, 'รายชื่อพนักงานลาออกพ้นสภาพ'!B:I, 8, FALSE)&lt;&gt;"ยกเลิกลาออก",
            VLOOKUP(B1087, 'รายชื่อพนักงานลาออกพ้นสภาพ'!B:I, 7, FALSE)&lt;=TODAY()
        ),
        "ลาออกแล้ว",
        ""
    ),
"")</f>
        <v/>
      </c>
      <c r="O1087" s="292" t="str">
        <f t="array" ref="O1087">IFERROR(INDEX(PCRent!C:D, MATCH(F1087 &amp; " " &amp; G1087, PCRent!A:A &amp; " " &amp; PCRent!B:B, 0)), "")</f>
        <v/>
      </c>
      <c r="P1087" s="293"/>
      <c r="Q1087" s="294" t="str">
        <f t="array" ref="Q1087">IFERROR(INDEX(MonitorRent!C:D, MATCH(F1087 &amp; " " &amp; G1087, MonitorRent!A:A &amp; " " &amp; MonitorRent!B:B, 0)), "")</f>
        <v/>
      </c>
      <c r="R1087" s="295"/>
    </row>
    <row r="1088">
      <c r="A1088" s="284">
        <v>1085.0</v>
      </c>
      <c r="B1088" s="285" t="s">
        <v>7677</v>
      </c>
      <c r="C1088" s="285" t="s">
        <v>6918</v>
      </c>
      <c r="D1088" s="286" t="s">
        <v>14260</v>
      </c>
      <c r="E1088" s="285" t="s">
        <v>6933</v>
      </c>
      <c r="F1088" s="285" t="s">
        <v>14261</v>
      </c>
      <c r="G1088" s="285" t="s">
        <v>14262</v>
      </c>
      <c r="H1088" s="285" t="s">
        <v>14263</v>
      </c>
      <c r="I1088" s="285" t="s">
        <v>14264</v>
      </c>
      <c r="J1088" s="285" t="s">
        <v>5224</v>
      </c>
      <c r="K1088" s="285" t="s">
        <v>14265</v>
      </c>
      <c r="L1088" s="285" t="s">
        <v>7679</v>
      </c>
      <c r="M1088" s="285" t="s">
        <v>9383</v>
      </c>
      <c r="N1088" s="287" t="str">
        <f>IFERROR(
    IF(
        AND(
            VLOOKUP(B1088, 'รายชื่อพนักงานลาออกพ้นสภาพ'!B:I, 8, FALSE)&lt;&gt;"ยกเลิกลาออก",
            VLOOKUP(B1088, 'รายชื่อพนักงานลาออกพ้นสภาพ'!B:I, 7, FALSE)&lt;=TODAY()
        ),
        "ลาออกแล้ว",
        ""
    ),
"")</f>
        <v/>
      </c>
      <c r="O1088" s="292" t="str">
        <f t="array" ref="O1088">IFERROR(INDEX(PCRent!C:D, MATCH(F1088 &amp; " " &amp; G1088, PCRent!A:A &amp; " " &amp; PCRent!B:B, 0)), "")</f>
        <v/>
      </c>
      <c r="P1088" s="293"/>
      <c r="Q1088" s="294" t="str">
        <f t="array" ref="Q1088">IFERROR(INDEX(MonitorRent!C:D, MATCH(F1088 &amp; " " &amp; G1088, MonitorRent!A:A &amp; " " &amp; MonitorRent!B:B, 0)), "")</f>
        <v/>
      </c>
      <c r="R1088" s="295"/>
    </row>
    <row r="1089">
      <c r="A1089" s="284">
        <v>1086.0</v>
      </c>
      <c r="B1089" s="285" t="s">
        <v>14266</v>
      </c>
      <c r="C1089" s="285" t="s">
        <v>6918</v>
      </c>
      <c r="D1089" s="286" t="s">
        <v>14267</v>
      </c>
      <c r="E1089" s="285" t="s">
        <v>6921</v>
      </c>
      <c r="F1089" s="285" t="s">
        <v>14268</v>
      </c>
      <c r="G1089" s="285" t="s">
        <v>14269</v>
      </c>
      <c r="H1089" s="285" t="s">
        <v>10244</v>
      </c>
      <c r="I1089" s="285" t="s">
        <v>14270</v>
      </c>
      <c r="J1089" s="285" t="s">
        <v>5224</v>
      </c>
      <c r="K1089" s="285" t="s">
        <v>1392</v>
      </c>
      <c r="L1089" s="285" t="s">
        <v>13682</v>
      </c>
      <c r="M1089" s="285" t="s">
        <v>9383</v>
      </c>
      <c r="N1089" s="287" t="str">
        <f>IFERROR(
    IF(
        AND(
            VLOOKUP(B1089, 'รายชื่อพนักงานลาออกพ้นสภาพ'!B:I, 8, FALSE)&lt;&gt;"ยกเลิกลาออก",
            VLOOKUP(B1089, 'รายชื่อพนักงานลาออกพ้นสภาพ'!B:I, 7, FALSE)&lt;=TODAY()
        ),
        "ลาออกแล้ว",
        ""
    ),
"")</f>
        <v/>
      </c>
      <c r="O1089" s="292" t="str">
        <f t="array" ref="O1089:P1089">IFERROR(INDEX(PCRent!C:D, MATCH(F1089 &amp; " " &amp; G1089, PCRent!A:A &amp; " " &amp; PCRent!B:B, 0)), "")</f>
        <v>SN:PF39G1LK</v>
      </c>
      <c r="P1089" s="293" t="s">
        <v>7005</v>
      </c>
      <c r="Q1089" s="294" t="str">
        <f t="array" ref="Q1089">IFERROR(INDEX(MonitorRent!C:D, MATCH(F1089 &amp; " " &amp; G1089, MonitorRent!A:A &amp; " " &amp; MonitorRent!B:B, 0)), "")</f>
        <v/>
      </c>
      <c r="R1089" s="295"/>
    </row>
    <row r="1090">
      <c r="A1090" s="284">
        <v>1087.0</v>
      </c>
      <c r="B1090" s="285" t="s">
        <v>7359</v>
      </c>
      <c r="C1090" s="285" t="s">
        <v>6918</v>
      </c>
      <c r="D1090" s="286" t="s">
        <v>14271</v>
      </c>
      <c r="E1090" s="285" t="s">
        <v>6921</v>
      </c>
      <c r="F1090" s="285" t="s">
        <v>11141</v>
      </c>
      <c r="G1090" s="285" t="s">
        <v>14272</v>
      </c>
      <c r="H1090" s="285" t="s">
        <v>14273</v>
      </c>
      <c r="I1090" s="285" t="s">
        <v>14274</v>
      </c>
      <c r="J1090" s="285" t="s">
        <v>5224</v>
      </c>
      <c r="K1090" s="285" t="s">
        <v>4835</v>
      </c>
      <c r="L1090" s="285" t="s">
        <v>14275</v>
      </c>
      <c r="M1090" s="285" t="s">
        <v>9383</v>
      </c>
      <c r="N1090" s="287" t="str">
        <f>IFERROR(
    IF(
        AND(
            VLOOKUP(B1090, 'รายชื่อพนักงานลาออกพ้นสภาพ'!B:I, 8, FALSE)&lt;&gt;"ยกเลิกลาออก",
            VLOOKUP(B1090, 'รายชื่อพนักงานลาออกพ้นสภาพ'!B:I, 7, FALSE)&lt;=TODAY()
        ),
        "ลาออกแล้ว",
        ""
    ),
"")</f>
        <v/>
      </c>
      <c r="O1090" s="292" t="str">
        <f t="array" ref="O1090">IFERROR(INDEX(PCRent!C:D, MATCH(F1090 &amp; " " &amp; G1090, PCRent!A:A &amp; " " &amp; PCRent!B:B, 0)), "")</f>
        <v/>
      </c>
      <c r="P1090" s="293"/>
      <c r="Q1090" s="294" t="str">
        <f t="array" ref="Q1090">IFERROR(INDEX(MonitorRent!C:D, MATCH(F1090 &amp; " " &amp; G1090, MonitorRent!A:A &amp; " " &amp; MonitorRent!B:B, 0)), "")</f>
        <v/>
      </c>
      <c r="R1090" s="295"/>
    </row>
    <row r="1091">
      <c r="A1091" s="284">
        <v>1088.0</v>
      </c>
      <c r="B1091" s="285" t="s">
        <v>14276</v>
      </c>
      <c r="C1091" s="285" t="s">
        <v>6918</v>
      </c>
      <c r="D1091" s="286" t="s">
        <v>10138</v>
      </c>
      <c r="E1091" s="285" t="s">
        <v>6921</v>
      </c>
      <c r="F1091" s="285" t="s">
        <v>14277</v>
      </c>
      <c r="G1091" s="285" t="s">
        <v>14278</v>
      </c>
      <c r="H1091" s="285" t="s">
        <v>14279</v>
      </c>
      <c r="I1091" s="285" t="s">
        <v>6485</v>
      </c>
      <c r="J1091" s="285" t="s">
        <v>5012</v>
      </c>
      <c r="K1091" s="285" t="s">
        <v>9560</v>
      </c>
      <c r="L1091" s="285" t="s">
        <v>13414</v>
      </c>
      <c r="M1091" s="285" t="s">
        <v>9391</v>
      </c>
      <c r="N1091" s="287" t="str">
        <f>IFERROR(
    IF(
        AND(
            VLOOKUP(B1091, 'รายชื่อพนักงานลาออกพ้นสภาพ'!B:I, 8, FALSE)&lt;&gt;"ยกเลิกลาออก",
            VLOOKUP(B1091, 'รายชื่อพนักงานลาออกพ้นสภาพ'!B:I, 7, FALSE)&lt;=TODAY()
        ),
        "ลาออกแล้ว",
        ""
    ),
"")</f>
        <v/>
      </c>
      <c r="O1091" s="292" t="str">
        <f t="array" ref="O1091">IFERROR(INDEX(PCRent!C:D, MATCH(F1091 &amp; " " &amp; G1091, PCRent!A:A &amp; " " &amp; PCRent!B:B, 0)), "")</f>
        <v/>
      </c>
      <c r="P1091" s="293"/>
      <c r="Q1091" s="294" t="str">
        <f t="array" ref="Q1091">IFERROR(INDEX(MonitorRent!C:D, MATCH(F1091 &amp; " " &amp; G1091, MonitorRent!A:A &amp; " " &amp; MonitorRent!B:B, 0)), "")</f>
        <v/>
      </c>
      <c r="R1091" s="295"/>
    </row>
    <row r="1092">
      <c r="A1092" s="284">
        <v>1089.0</v>
      </c>
      <c r="B1092" s="285" t="s">
        <v>14280</v>
      </c>
      <c r="C1092" s="285" t="s">
        <v>6918</v>
      </c>
      <c r="D1092" s="286" t="s">
        <v>13072</v>
      </c>
      <c r="E1092" s="285" t="s">
        <v>6921</v>
      </c>
      <c r="F1092" s="285" t="s">
        <v>14281</v>
      </c>
      <c r="G1092" s="285" t="s">
        <v>14282</v>
      </c>
      <c r="H1092" s="285" t="s">
        <v>14283</v>
      </c>
      <c r="I1092" s="285" t="s">
        <v>14284</v>
      </c>
      <c r="J1092" s="285" t="s">
        <v>5012</v>
      </c>
      <c r="K1092" s="285" t="s">
        <v>9703</v>
      </c>
      <c r="L1092" s="285" t="s">
        <v>12953</v>
      </c>
      <c r="M1092" s="285" t="s">
        <v>9383</v>
      </c>
      <c r="N1092" s="287" t="str">
        <f>IFERROR(
    IF(
        AND(
            VLOOKUP(B1092, 'รายชื่อพนักงานลาออกพ้นสภาพ'!B:I, 8, FALSE)&lt;&gt;"ยกเลิกลาออก",
            VLOOKUP(B1092, 'รายชื่อพนักงานลาออกพ้นสภาพ'!B:I, 7, FALSE)&lt;=TODAY()
        ),
        "ลาออกแล้ว",
        ""
    ),
"")</f>
        <v/>
      </c>
      <c r="O1092" s="292" t="str">
        <f t="array" ref="O1092">IFERROR(INDEX(PCRent!C:D, MATCH(F1092 &amp; " " &amp; G1092, PCRent!A:A &amp; " " &amp; PCRent!B:B, 0)), "")</f>
        <v/>
      </c>
      <c r="P1092" s="293"/>
      <c r="Q1092" s="294" t="str">
        <f t="array" ref="Q1092">IFERROR(INDEX(MonitorRent!C:D, MATCH(F1092 &amp; " " &amp; G1092, MonitorRent!A:A &amp; " " &amp; MonitorRent!B:B, 0)), "")</f>
        <v/>
      </c>
      <c r="R1092" s="295"/>
    </row>
    <row r="1093">
      <c r="A1093" s="284">
        <v>1090.0</v>
      </c>
      <c r="B1093" s="285" t="s">
        <v>4879</v>
      </c>
      <c r="C1093" s="285" t="s">
        <v>6918</v>
      </c>
      <c r="D1093" s="286" t="s">
        <v>14285</v>
      </c>
      <c r="E1093" s="285" t="s">
        <v>6921</v>
      </c>
      <c r="F1093" s="285" t="s">
        <v>11145</v>
      </c>
      <c r="G1093" s="285" t="s">
        <v>14286</v>
      </c>
      <c r="H1093" s="285" t="s">
        <v>10765</v>
      </c>
      <c r="I1093" s="285" t="s">
        <v>4880</v>
      </c>
      <c r="J1093" s="285" t="s">
        <v>5224</v>
      </c>
      <c r="K1093" s="285" t="s">
        <v>4876</v>
      </c>
      <c r="L1093" s="285" t="s">
        <v>13368</v>
      </c>
      <c r="M1093" s="285" t="s">
        <v>9383</v>
      </c>
      <c r="N1093" s="287" t="str">
        <f>IFERROR(
    IF(
        AND(
            VLOOKUP(B1093, 'รายชื่อพนักงานลาออกพ้นสภาพ'!B:I, 8, FALSE)&lt;&gt;"ยกเลิกลาออก",
            VLOOKUP(B1093, 'รายชื่อพนักงานลาออกพ้นสภาพ'!B:I, 7, FALSE)&lt;=TODAY()
        ),
        "ลาออกแล้ว",
        ""
    ),
"")</f>
        <v/>
      </c>
      <c r="O1093" s="292" t="str">
        <f t="array" ref="O1093">IFERROR(INDEX(PCRent!C:D, MATCH(F1093 &amp; " " &amp; G1093, PCRent!A:A &amp; " " &amp; PCRent!B:B, 0)), "")</f>
        <v/>
      </c>
      <c r="P1093" s="293"/>
      <c r="Q1093" s="294" t="str">
        <f t="array" ref="Q1093">IFERROR(INDEX(MonitorRent!C:D, MATCH(F1093 &amp; " " &amp; G1093, MonitorRent!A:A &amp; " " &amp; MonitorRent!B:B, 0)), "")</f>
        <v/>
      </c>
      <c r="R1093" s="295"/>
    </row>
    <row r="1094">
      <c r="A1094" s="284">
        <v>1091.0</v>
      </c>
      <c r="B1094" s="285" t="s">
        <v>7883</v>
      </c>
      <c r="C1094" s="285" t="s">
        <v>6918</v>
      </c>
      <c r="D1094" s="286" t="s">
        <v>10724</v>
      </c>
      <c r="E1094" s="285" t="s">
        <v>6921</v>
      </c>
      <c r="F1094" s="285" t="s">
        <v>11145</v>
      </c>
      <c r="G1094" s="285" t="s">
        <v>14287</v>
      </c>
      <c r="H1094" s="285" t="s">
        <v>9783</v>
      </c>
      <c r="I1094" s="285" t="s">
        <v>14288</v>
      </c>
      <c r="J1094" s="285" t="s">
        <v>5012</v>
      </c>
      <c r="K1094" s="285" t="s">
        <v>14289</v>
      </c>
      <c r="L1094" s="285" t="s">
        <v>7857</v>
      </c>
      <c r="M1094" s="285" t="s">
        <v>9383</v>
      </c>
      <c r="N1094" s="287" t="str">
        <f>IFERROR(
    IF(
        AND(
            VLOOKUP(B1094, 'รายชื่อพนักงานลาออกพ้นสภาพ'!B:I, 8, FALSE)&lt;&gt;"ยกเลิกลาออก",
            VLOOKUP(B1094, 'รายชื่อพนักงานลาออกพ้นสภาพ'!B:I, 7, FALSE)&lt;=TODAY()
        ),
        "ลาออกแล้ว",
        ""
    ),
"")</f>
        <v/>
      </c>
      <c r="O1094" s="292" t="str">
        <f t="array" ref="O1094:P1094">IFERROR(INDEX(PCRent!C:D, MATCH(F1094 &amp; " " &amp; G1094, PCRent!A:A &amp; " " &amp; PCRent!B:B, 0)), "")</f>
        <v>SN:PF39F4WE</v>
      </c>
      <c r="P1094" s="293" t="s">
        <v>7005</v>
      </c>
      <c r="Q1094" s="294" t="str">
        <f t="array" ref="Q1094">IFERROR(INDEX(MonitorRent!C:D, MATCH(F1094 &amp; " " &amp; G1094, MonitorRent!A:A &amp; " " &amp; MonitorRent!B:B, 0)), "")</f>
        <v/>
      </c>
      <c r="R1094" s="295"/>
    </row>
    <row r="1095">
      <c r="A1095" s="284">
        <v>1092.0</v>
      </c>
      <c r="B1095" s="285" t="s">
        <v>7463</v>
      </c>
      <c r="C1095" s="285" t="s">
        <v>6918</v>
      </c>
      <c r="D1095" s="286" t="s">
        <v>14061</v>
      </c>
      <c r="E1095" s="285" t="s">
        <v>7239</v>
      </c>
      <c r="F1095" s="285" t="s">
        <v>14290</v>
      </c>
      <c r="G1095" s="285" t="s">
        <v>14291</v>
      </c>
      <c r="H1095" s="285" t="s">
        <v>14292</v>
      </c>
      <c r="I1095" s="285" t="s">
        <v>14293</v>
      </c>
      <c r="J1095" s="285" t="s">
        <v>5224</v>
      </c>
      <c r="K1095" s="285" t="s">
        <v>12506</v>
      </c>
      <c r="L1095" s="285" t="s">
        <v>7459</v>
      </c>
      <c r="M1095" s="285" t="s">
        <v>9383</v>
      </c>
      <c r="N1095" s="287" t="str">
        <f>IFERROR(
    IF(
        AND(
            VLOOKUP(B1095, 'รายชื่อพนักงานลาออกพ้นสภาพ'!B:I, 8, FALSE)&lt;&gt;"ยกเลิกลาออก",
            VLOOKUP(B1095, 'รายชื่อพนักงานลาออกพ้นสภาพ'!B:I, 7, FALSE)&lt;=TODAY()
        ),
        "ลาออกแล้ว",
        ""
    ),
"")</f>
        <v/>
      </c>
      <c r="O1095" s="292" t="str">
        <f t="array" ref="O1095">IFERROR(INDEX(PCRent!C:D, MATCH(F1095 &amp; " " &amp; G1095, PCRent!A:A &amp; " " &amp; PCRent!B:B, 0)), "")</f>
        <v/>
      </c>
      <c r="P1095" s="293"/>
      <c r="Q1095" s="294" t="str">
        <f t="array" ref="Q1095">IFERROR(INDEX(MonitorRent!C:D, MATCH(F1095 &amp; " " &amp; G1095, MonitorRent!A:A &amp; " " &amp; MonitorRent!B:B, 0)), "")</f>
        <v/>
      </c>
      <c r="R1095" s="295"/>
    </row>
    <row r="1096">
      <c r="A1096" s="284">
        <v>1093.0</v>
      </c>
      <c r="B1096" s="285" t="s">
        <v>14294</v>
      </c>
      <c r="C1096" s="285" t="s">
        <v>6918</v>
      </c>
      <c r="D1096" s="286" t="s">
        <v>13918</v>
      </c>
      <c r="E1096" s="285" t="s">
        <v>6921</v>
      </c>
      <c r="F1096" s="285" t="s">
        <v>14295</v>
      </c>
      <c r="G1096" s="285" t="s">
        <v>14296</v>
      </c>
      <c r="H1096" s="285" t="s">
        <v>10420</v>
      </c>
      <c r="I1096" s="285" t="s">
        <v>14297</v>
      </c>
      <c r="J1096" s="285" t="s">
        <v>5012</v>
      </c>
      <c r="K1096" s="285" t="s">
        <v>9588</v>
      </c>
      <c r="L1096" s="285" t="s">
        <v>13067</v>
      </c>
      <c r="M1096" s="285" t="s">
        <v>9383</v>
      </c>
      <c r="N1096" s="287" t="str">
        <f>IFERROR(
    IF(
        AND(
            VLOOKUP(B1096, 'รายชื่อพนักงานลาออกพ้นสภาพ'!B:I, 8, FALSE)&lt;&gt;"ยกเลิกลาออก",
            VLOOKUP(B1096, 'รายชื่อพนักงานลาออกพ้นสภาพ'!B:I, 7, FALSE)&lt;=TODAY()
        ),
        "ลาออกแล้ว",
        ""
    ),
"")</f>
        <v/>
      </c>
      <c r="O1096" s="292" t="str">
        <f t="array" ref="O1096">IFERROR(INDEX(PCRent!C:D, MATCH(F1096 &amp; " " &amp; G1096, PCRent!A:A &amp; " " &amp; PCRent!B:B, 0)), "")</f>
        <v/>
      </c>
      <c r="P1096" s="293"/>
      <c r="Q1096" s="294" t="str">
        <f t="array" ref="Q1096">IFERROR(INDEX(MonitorRent!C:D, MATCH(F1096 &amp; " " &amp; G1096, MonitorRent!A:A &amp; " " &amp; MonitorRent!B:B, 0)), "")</f>
        <v/>
      </c>
      <c r="R1096" s="295"/>
    </row>
    <row r="1097">
      <c r="A1097" s="284">
        <v>1094.0</v>
      </c>
      <c r="B1097" s="285" t="s">
        <v>7948</v>
      </c>
      <c r="C1097" s="285" t="s">
        <v>6918</v>
      </c>
      <c r="D1097" s="286" t="s">
        <v>9942</v>
      </c>
      <c r="E1097" s="285" t="s">
        <v>6921</v>
      </c>
      <c r="F1097" s="285" t="s">
        <v>14298</v>
      </c>
      <c r="G1097" s="285" t="s">
        <v>14299</v>
      </c>
      <c r="H1097" s="285" t="s">
        <v>14300</v>
      </c>
      <c r="I1097" s="285" t="s">
        <v>14301</v>
      </c>
      <c r="J1097" s="285" t="s">
        <v>5224</v>
      </c>
      <c r="K1097" s="285" t="s">
        <v>10028</v>
      </c>
      <c r="L1097" s="285" t="s">
        <v>3096</v>
      </c>
      <c r="M1097" s="285" t="s">
        <v>9383</v>
      </c>
      <c r="N1097" s="287" t="str">
        <f>IFERROR(
    IF(
        AND(
            VLOOKUP(B1097, 'รายชื่อพนักงานลาออกพ้นสภาพ'!B:I, 8, FALSE)&lt;&gt;"ยกเลิกลาออก",
            VLOOKUP(B1097, 'รายชื่อพนักงานลาออกพ้นสภาพ'!B:I, 7, FALSE)&lt;=TODAY()
        ),
        "ลาออกแล้ว",
        ""
    ),
"")</f>
        <v/>
      </c>
      <c r="O1097" s="292" t="str">
        <f t="array" ref="O1097">IFERROR(INDEX(PCRent!C:D, MATCH(F1097 &amp; " " &amp; G1097, PCRent!A:A &amp; " " &amp; PCRent!B:B, 0)), "")</f>
        <v/>
      </c>
      <c r="P1097" s="293"/>
      <c r="Q1097" s="294" t="str">
        <f t="array" ref="Q1097">IFERROR(INDEX(MonitorRent!C:D, MATCH(F1097 &amp; " " &amp; G1097, MonitorRent!A:A &amp; " " &amp; MonitorRent!B:B, 0)), "")</f>
        <v/>
      </c>
      <c r="R1097" s="295"/>
    </row>
    <row r="1098">
      <c r="A1098" s="284">
        <v>1095.0</v>
      </c>
      <c r="B1098" s="285" t="s">
        <v>7037</v>
      </c>
      <c r="C1098" s="285" t="s">
        <v>6918</v>
      </c>
      <c r="D1098" s="286" t="s">
        <v>11262</v>
      </c>
      <c r="E1098" s="285" t="s">
        <v>6933</v>
      </c>
      <c r="F1098" s="285" t="s">
        <v>14302</v>
      </c>
      <c r="G1098" s="285" t="s">
        <v>14303</v>
      </c>
      <c r="H1098" s="285" t="s">
        <v>11467</v>
      </c>
      <c r="I1098" s="285" t="s">
        <v>14304</v>
      </c>
      <c r="J1098" s="285" t="s">
        <v>5224</v>
      </c>
      <c r="K1098" s="285" t="s">
        <v>9784</v>
      </c>
      <c r="L1098" s="285" t="s">
        <v>7015</v>
      </c>
      <c r="M1098" s="285" t="s">
        <v>9383</v>
      </c>
      <c r="N1098" s="287" t="str">
        <f>IFERROR(
    IF(
        AND(
            VLOOKUP(B1098, 'รายชื่อพนักงานลาออกพ้นสภาพ'!B:I, 8, FALSE)&lt;&gt;"ยกเลิกลาออก",
            VLOOKUP(B1098, 'รายชื่อพนักงานลาออกพ้นสภาพ'!B:I, 7, FALSE)&lt;=TODAY()
        ),
        "ลาออกแล้ว",
        ""
    ),
"")</f>
        <v/>
      </c>
      <c r="O1098" s="292" t="str">
        <f t="array" ref="O1098">IFERROR(INDEX(PCRent!C:D, MATCH(F1098 &amp; " " &amp; G1098, PCRent!A:A &amp; " " &amp; PCRent!B:B, 0)), "")</f>
        <v/>
      </c>
      <c r="P1098" s="293"/>
      <c r="Q1098" s="294" t="str">
        <f t="array" ref="Q1098">IFERROR(INDEX(MonitorRent!C:D, MATCH(F1098 &amp; " " &amp; G1098, MonitorRent!A:A &amp; " " &amp; MonitorRent!B:B, 0)), "")</f>
        <v/>
      </c>
      <c r="R1098" s="295"/>
    </row>
    <row r="1099">
      <c r="A1099" s="284">
        <v>1096.0</v>
      </c>
      <c r="B1099" s="285" t="s">
        <v>8134</v>
      </c>
      <c r="C1099" s="285" t="s">
        <v>6918</v>
      </c>
      <c r="D1099" s="286" t="s">
        <v>14305</v>
      </c>
      <c r="E1099" s="285" t="s">
        <v>6933</v>
      </c>
      <c r="F1099" s="285" t="s">
        <v>14306</v>
      </c>
      <c r="G1099" s="285" t="s">
        <v>14307</v>
      </c>
      <c r="H1099" s="285" t="s">
        <v>13043</v>
      </c>
      <c r="I1099" s="285" t="s">
        <v>14308</v>
      </c>
      <c r="J1099" s="285" t="s">
        <v>5224</v>
      </c>
      <c r="K1099" s="285" t="s">
        <v>14265</v>
      </c>
      <c r="L1099" s="285" t="s">
        <v>8136</v>
      </c>
      <c r="M1099" s="285" t="s">
        <v>9383</v>
      </c>
      <c r="N1099" s="287" t="str">
        <f>IFERROR(
    IF(
        AND(
            VLOOKUP(B1099, 'รายชื่อพนักงานลาออกพ้นสภาพ'!B:I, 8, FALSE)&lt;&gt;"ยกเลิกลาออก",
            VLOOKUP(B1099, 'รายชื่อพนักงานลาออกพ้นสภาพ'!B:I, 7, FALSE)&lt;=TODAY()
        ),
        "ลาออกแล้ว",
        ""
    ),
"")</f>
        <v/>
      </c>
      <c r="O1099" s="292" t="str">
        <f t="array" ref="O1099">IFERROR(INDEX(PCRent!C:D, MATCH(F1099 &amp; " " &amp; G1099, PCRent!A:A &amp; " " &amp; PCRent!B:B, 0)), "")</f>
        <v/>
      </c>
      <c r="P1099" s="293"/>
      <c r="Q1099" s="294" t="str">
        <f t="array" ref="Q1099">IFERROR(INDEX(MonitorRent!C:D, MATCH(F1099 &amp; " " &amp; G1099, MonitorRent!A:A &amp; " " &amp; MonitorRent!B:B, 0)), "")</f>
        <v/>
      </c>
      <c r="R1099" s="295"/>
    </row>
    <row r="1100">
      <c r="A1100" s="284">
        <v>1097.0</v>
      </c>
      <c r="B1100" s="285" t="s">
        <v>8544</v>
      </c>
      <c r="C1100" s="285" t="s">
        <v>6918</v>
      </c>
      <c r="D1100" s="286" t="s">
        <v>14309</v>
      </c>
      <c r="E1100" s="285" t="s">
        <v>6921</v>
      </c>
      <c r="F1100" s="285" t="s">
        <v>14310</v>
      </c>
      <c r="G1100" s="285" t="s">
        <v>14311</v>
      </c>
      <c r="H1100" s="285" t="s">
        <v>10073</v>
      </c>
      <c r="I1100" s="285" t="s">
        <v>14312</v>
      </c>
      <c r="J1100" s="285" t="s">
        <v>5224</v>
      </c>
      <c r="K1100" s="285" t="s">
        <v>14313</v>
      </c>
      <c r="L1100" s="285" t="s">
        <v>2081</v>
      </c>
      <c r="M1100" s="285" t="s">
        <v>9383</v>
      </c>
      <c r="N1100" s="287" t="str">
        <f>IFERROR(
    IF(
        AND(
            VLOOKUP(B1100, 'รายชื่อพนักงานลาออกพ้นสภาพ'!B:I, 8, FALSE)&lt;&gt;"ยกเลิกลาออก",
            VLOOKUP(B1100, 'รายชื่อพนักงานลาออกพ้นสภาพ'!B:I, 7, FALSE)&lt;=TODAY()
        ),
        "ลาออกแล้ว",
        ""
    ),
"")</f>
        <v/>
      </c>
      <c r="O1100" s="292" t="str">
        <f t="array" ref="O1100">IFERROR(INDEX(PCRent!C:D, MATCH(F1100 &amp; " " &amp; G1100, PCRent!A:A &amp; " " &amp; PCRent!B:B, 0)), "")</f>
        <v/>
      </c>
      <c r="P1100" s="293"/>
      <c r="Q1100" s="294" t="str">
        <f t="array" ref="Q1100">IFERROR(INDEX(MonitorRent!C:D, MATCH(F1100 &amp; " " &amp; G1100, MonitorRent!A:A &amp; " " &amp; MonitorRent!B:B, 0)), "")</f>
        <v/>
      </c>
      <c r="R1100" s="295"/>
    </row>
    <row r="1101">
      <c r="A1101" s="284">
        <v>1098.0</v>
      </c>
      <c r="B1101" s="285" t="s">
        <v>7196</v>
      </c>
      <c r="C1101" s="285" t="s">
        <v>6918</v>
      </c>
      <c r="D1101" s="286" t="s">
        <v>14314</v>
      </c>
      <c r="E1101" s="285" t="s">
        <v>6921</v>
      </c>
      <c r="F1101" s="285" t="s">
        <v>14315</v>
      </c>
      <c r="G1101" s="285" t="s">
        <v>14316</v>
      </c>
      <c r="H1101" s="285" t="s">
        <v>10073</v>
      </c>
      <c r="I1101" s="285" t="s">
        <v>14317</v>
      </c>
      <c r="J1101" s="285" t="s">
        <v>5224</v>
      </c>
      <c r="K1101" s="285" t="s">
        <v>9761</v>
      </c>
      <c r="L1101" s="285" t="s">
        <v>1602</v>
      </c>
      <c r="M1101" s="285" t="s">
        <v>9383</v>
      </c>
      <c r="N1101" s="287" t="str">
        <f>IFERROR(
    IF(
        AND(
            VLOOKUP(B1101, 'รายชื่อพนักงานลาออกพ้นสภาพ'!B:I, 8, FALSE)&lt;&gt;"ยกเลิกลาออก",
            VLOOKUP(B1101, 'รายชื่อพนักงานลาออกพ้นสภาพ'!B:I, 7, FALSE)&lt;=TODAY()
        ),
        "ลาออกแล้ว",
        ""
    ),
"")</f>
        <v/>
      </c>
      <c r="O1101" s="292" t="str">
        <f t="array" ref="O1101">IFERROR(INDEX(PCRent!C:D, MATCH(F1101 &amp; " " &amp; G1101, PCRent!A:A &amp; " " &amp; PCRent!B:B, 0)), "")</f>
        <v/>
      </c>
      <c r="P1101" s="293"/>
      <c r="Q1101" s="294" t="str">
        <f t="array" ref="Q1101">IFERROR(INDEX(MonitorRent!C:D, MATCH(F1101 &amp; " " &amp; G1101, MonitorRent!A:A &amp; " " &amp; MonitorRent!B:B, 0)), "")</f>
        <v/>
      </c>
      <c r="R1101" s="295"/>
    </row>
    <row r="1102">
      <c r="A1102" s="284">
        <v>1099.0</v>
      </c>
      <c r="B1102" s="285" t="s">
        <v>4290</v>
      </c>
      <c r="C1102" s="285" t="s">
        <v>6918</v>
      </c>
      <c r="D1102" s="286" t="s">
        <v>10303</v>
      </c>
      <c r="E1102" s="285" t="s">
        <v>6921</v>
      </c>
      <c r="F1102" s="285" t="s">
        <v>14318</v>
      </c>
      <c r="G1102" s="285" t="s">
        <v>14319</v>
      </c>
      <c r="H1102" s="285" t="s">
        <v>14320</v>
      </c>
      <c r="I1102" s="285" t="s">
        <v>6812</v>
      </c>
      <c r="J1102" s="285" t="s">
        <v>5012</v>
      </c>
      <c r="K1102" s="285" t="s">
        <v>9560</v>
      </c>
      <c r="L1102" s="285" t="s">
        <v>13429</v>
      </c>
      <c r="M1102" s="285" t="s">
        <v>9383</v>
      </c>
      <c r="N1102" s="287" t="str">
        <f>IFERROR(
    IF(
        AND(
            VLOOKUP(B1102, 'รายชื่อพนักงานลาออกพ้นสภาพ'!B:I, 8, FALSE)&lt;&gt;"ยกเลิกลาออก",
            VLOOKUP(B1102, 'รายชื่อพนักงานลาออกพ้นสภาพ'!B:I, 7, FALSE)&lt;=TODAY()
        ),
        "ลาออกแล้ว",
        ""
    ),
"")</f>
        <v/>
      </c>
      <c r="O1102" s="292" t="str">
        <f t="array" ref="O1102:P1102">IFERROR(INDEX(PCRent!C:D, MATCH(F1102 &amp; " " &amp; G1102, PCRent!A:A &amp; " " &amp; PCRent!B:B, 0)), "")</f>
        <v>SN:MP2DM9NZ</v>
      </c>
      <c r="P1102" s="293" t="s">
        <v>9562</v>
      </c>
      <c r="Q1102" s="294" t="str">
        <f t="array" ref="Q1102">IFERROR(INDEX(MonitorRent!C:D, MATCH(F1102 &amp; " " &amp; G1102, MonitorRent!A:A &amp; " " &amp; MonitorRent!B:B, 0)), "")</f>
        <v/>
      </c>
      <c r="R1102" s="295"/>
    </row>
    <row r="1103">
      <c r="A1103" s="284">
        <v>1100.0</v>
      </c>
      <c r="B1103" s="285" t="s">
        <v>8962</v>
      </c>
      <c r="C1103" s="285" t="s">
        <v>6918</v>
      </c>
      <c r="D1103" s="286" t="s">
        <v>14321</v>
      </c>
      <c r="E1103" s="285" t="s">
        <v>6921</v>
      </c>
      <c r="F1103" s="285" t="s">
        <v>14318</v>
      </c>
      <c r="G1103" s="285" t="s">
        <v>14322</v>
      </c>
      <c r="H1103" s="285" t="s">
        <v>10420</v>
      </c>
      <c r="I1103" s="285" t="s">
        <v>14323</v>
      </c>
      <c r="J1103" s="285" t="s">
        <v>5224</v>
      </c>
      <c r="K1103" s="285" t="s">
        <v>2062</v>
      </c>
      <c r="L1103" s="285" t="s">
        <v>9912</v>
      </c>
      <c r="M1103" s="285" t="s">
        <v>9383</v>
      </c>
      <c r="N1103" s="287" t="str">
        <f>IFERROR(
    IF(
        AND(
            VLOOKUP(B1103, 'รายชื่อพนักงานลาออกพ้นสภาพ'!B:I, 8, FALSE)&lt;&gt;"ยกเลิกลาออก",
            VLOOKUP(B1103, 'รายชื่อพนักงานลาออกพ้นสภาพ'!B:I, 7, FALSE)&lt;=TODAY()
        ),
        "ลาออกแล้ว",
        ""
    ),
"")</f>
        <v/>
      </c>
      <c r="O1103" s="292" t="str">
        <f t="array" ref="O1103">IFERROR(INDEX(PCRent!C:D, MATCH(F1103 &amp; " " &amp; G1103, PCRent!A:A &amp; " " &amp; PCRent!B:B, 0)), "")</f>
        <v/>
      </c>
      <c r="P1103" s="293"/>
      <c r="Q1103" s="294" t="str">
        <f t="array" ref="Q1103">IFERROR(INDEX(MonitorRent!C:D, MATCH(F1103 &amp; " " &amp; G1103, MonitorRent!A:A &amp; " " &amp; MonitorRent!B:B, 0)), "")</f>
        <v/>
      </c>
      <c r="R1103" s="295"/>
    </row>
    <row r="1104">
      <c r="A1104" s="284">
        <v>1101.0</v>
      </c>
      <c r="B1104" s="285" t="s">
        <v>8461</v>
      </c>
      <c r="C1104" s="285" t="s">
        <v>6918</v>
      </c>
      <c r="D1104" s="286" t="s">
        <v>14324</v>
      </c>
      <c r="E1104" s="285" t="s">
        <v>6933</v>
      </c>
      <c r="F1104" s="285" t="s">
        <v>14325</v>
      </c>
      <c r="G1104" s="285" t="s">
        <v>14089</v>
      </c>
      <c r="H1104" s="285" t="s">
        <v>14326</v>
      </c>
      <c r="I1104" s="285" t="s">
        <v>14327</v>
      </c>
      <c r="J1104" s="285" t="s">
        <v>5224</v>
      </c>
      <c r="K1104" s="285" t="s">
        <v>14328</v>
      </c>
      <c r="L1104" s="285" t="s">
        <v>1393</v>
      </c>
      <c r="M1104" s="285" t="s">
        <v>9383</v>
      </c>
      <c r="N1104" s="287" t="str">
        <f>IFERROR(
    IF(
        AND(
            VLOOKUP(B1104, 'รายชื่อพนักงานลาออกพ้นสภาพ'!B:I, 8, FALSE)&lt;&gt;"ยกเลิกลาออก",
            VLOOKUP(B1104, 'รายชื่อพนักงานลาออกพ้นสภาพ'!B:I, 7, FALSE)&lt;=TODAY()
        ),
        "ลาออกแล้ว",
        ""
    ),
"")</f>
        <v/>
      </c>
      <c r="O1104" s="292" t="str">
        <f t="array" ref="O1104">IFERROR(INDEX(PCRent!C:D, MATCH(F1104 &amp; " " &amp; G1104, PCRent!A:A &amp; " " &amp; PCRent!B:B, 0)), "")</f>
        <v/>
      </c>
      <c r="P1104" s="293"/>
      <c r="Q1104" s="294" t="str">
        <f t="array" ref="Q1104">IFERROR(INDEX(MonitorRent!C:D, MATCH(F1104 &amp; " " &amp; G1104, MonitorRent!A:A &amp; " " &amp; MonitorRent!B:B, 0)), "")</f>
        <v/>
      </c>
      <c r="R1104" s="295"/>
    </row>
    <row r="1105">
      <c r="A1105" s="284">
        <v>1102.0</v>
      </c>
      <c r="B1105" s="285" t="s">
        <v>8843</v>
      </c>
      <c r="C1105" s="285" t="s">
        <v>6918</v>
      </c>
      <c r="D1105" s="286" t="s">
        <v>10303</v>
      </c>
      <c r="E1105" s="285" t="s">
        <v>6933</v>
      </c>
      <c r="F1105" s="285" t="s">
        <v>14329</v>
      </c>
      <c r="G1105" s="285" t="s">
        <v>10588</v>
      </c>
      <c r="H1105" s="285" t="s">
        <v>14330</v>
      </c>
      <c r="I1105" s="285" t="s">
        <v>14331</v>
      </c>
      <c r="J1105" s="285" t="s">
        <v>5012</v>
      </c>
      <c r="K1105" s="285" t="s">
        <v>9466</v>
      </c>
      <c r="L1105" s="285" t="s">
        <v>1888</v>
      </c>
      <c r="M1105" s="285" t="s">
        <v>9383</v>
      </c>
      <c r="N1105" s="287" t="str">
        <f>IFERROR(
    IF(
        AND(
            VLOOKUP(B1105, 'รายชื่อพนักงานลาออกพ้นสภาพ'!B:I, 8, FALSE)&lt;&gt;"ยกเลิกลาออก",
            VLOOKUP(B1105, 'รายชื่อพนักงานลาออกพ้นสภาพ'!B:I, 7, FALSE)&lt;=TODAY()
        ),
        "ลาออกแล้ว",
        ""
    ),
"")</f>
        <v/>
      </c>
      <c r="O1105" s="292" t="str">
        <f t="array" ref="O1105:P1105">IFERROR(INDEX(PCRent!C:D, MATCH(F1105 &amp; " " &amp; G1105, PCRent!A:A &amp; " " &amp; PCRent!B:B, 0)), "")</f>
        <v>SN:PF3A44EB</v>
      </c>
      <c r="P1105" s="293" t="s">
        <v>7005</v>
      </c>
      <c r="Q1105" s="294" t="str">
        <f t="array" ref="Q1105">IFERROR(INDEX(MonitorRent!C:D, MATCH(F1105 &amp; " " &amp; G1105, MonitorRent!A:A &amp; " " &amp; MonitorRent!B:B, 0)), "")</f>
        <v/>
      </c>
      <c r="R1105" s="295"/>
    </row>
    <row r="1106">
      <c r="A1106" s="284">
        <v>1103.0</v>
      </c>
      <c r="B1106" s="285" t="s">
        <v>14332</v>
      </c>
      <c r="C1106" s="285" t="s">
        <v>6918</v>
      </c>
      <c r="D1106" s="286" t="s">
        <v>14333</v>
      </c>
      <c r="E1106" s="285" t="s">
        <v>6933</v>
      </c>
      <c r="F1106" s="285" t="s">
        <v>14334</v>
      </c>
      <c r="G1106" s="285" t="s">
        <v>14335</v>
      </c>
      <c r="H1106" s="285" t="s">
        <v>14336</v>
      </c>
      <c r="I1106" s="285" t="s">
        <v>14337</v>
      </c>
      <c r="J1106" s="285" t="s">
        <v>5012</v>
      </c>
      <c r="K1106" s="285" t="s">
        <v>9626</v>
      </c>
      <c r="L1106" s="285" t="s">
        <v>1888</v>
      </c>
      <c r="M1106" s="285" t="s">
        <v>9383</v>
      </c>
      <c r="N1106" s="287" t="str">
        <f>IFERROR(
    IF(
        AND(
            VLOOKUP(B1106, 'รายชื่อพนักงานลาออกพ้นสภาพ'!B:I, 8, FALSE)&lt;&gt;"ยกเลิกลาออก",
            VLOOKUP(B1106, 'รายชื่อพนักงานลาออกพ้นสภาพ'!B:I, 7, FALSE)&lt;=TODAY()
        ),
        "ลาออกแล้ว",
        ""
    ),
"")</f>
        <v/>
      </c>
      <c r="O1106" s="292" t="str">
        <f t="array" ref="O1106">IFERROR(INDEX(PCRent!C:D, MATCH(F1106 &amp; " " &amp; G1106, PCRent!A:A &amp; " " &amp; PCRent!B:B, 0)), "")</f>
        <v/>
      </c>
      <c r="P1106" s="293"/>
      <c r="Q1106" s="294" t="str">
        <f t="array" ref="Q1106">IFERROR(INDEX(MonitorRent!C:D, MATCH(F1106 &amp; " " &amp; G1106, MonitorRent!A:A &amp; " " &amp; MonitorRent!B:B, 0)), "")</f>
        <v/>
      </c>
      <c r="R1106" s="295"/>
    </row>
    <row r="1107">
      <c r="A1107" s="284">
        <v>1104.0</v>
      </c>
      <c r="B1107" s="285" t="s">
        <v>8207</v>
      </c>
      <c r="C1107" s="285" t="s">
        <v>6918</v>
      </c>
      <c r="D1107" s="286" t="s">
        <v>9699</v>
      </c>
      <c r="E1107" s="285" t="s">
        <v>6933</v>
      </c>
      <c r="F1107" s="285" t="s">
        <v>11184</v>
      </c>
      <c r="G1107" s="285" t="s">
        <v>14338</v>
      </c>
      <c r="H1107" s="285" t="s">
        <v>13778</v>
      </c>
      <c r="I1107" s="285" t="s">
        <v>14339</v>
      </c>
      <c r="J1107" s="285" t="s">
        <v>5224</v>
      </c>
      <c r="K1107" s="285" t="s">
        <v>13029</v>
      </c>
      <c r="L1107" s="285" t="s">
        <v>13045</v>
      </c>
      <c r="M1107" s="285" t="s">
        <v>9383</v>
      </c>
      <c r="N1107" s="287" t="str">
        <f>IFERROR(
    IF(
        AND(
            VLOOKUP(B1107, 'รายชื่อพนักงานลาออกพ้นสภาพ'!B:I, 8, FALSE)&lt;&gt;"ยกเลิกลาออก",
            VLOOKUP(B1107, 'รายชื่อพนักงานลาออกพ้นสภาพ'!B:I, 7, FALSE)&lt;=TODAY()
        ),
        "ลาออกแล้ว",
        ""
    ),
"")</f>
        <v/>
      </c>
      <c r="O1107" s="292" t="str">
        <f t="array" ref="O1107:P1107">IFERROR(INDEX(PCRent!C:D, MATCH(F1107 &amp; " " &amp; G1107, PCRent!A:A &amp; " " &amp; PCRent!B:B, 0)), "")</f>
        <v>SN:MP2EHYBH</v>
      </c>
      <c r="P1107" s="293" t="s">
        <v>6993</v>
      </c>
      <c r="Q1107" s="294" t="str">
        <f t="array" ref="Q1107">IFERROR(INDEX(MonitorRent!C:D, MATCH(F1107 &amp; " " &amp; G1107, MonitorRent!A:A &amp; " " &amp; MonitorRent!B:B, 0)), "")</f>
        <v/>
      </c>
      <c r="R1107" s="295"/>
    </row>
    <row r="1108">
      <c r="A1108" s="284">
        <v>1105.0</v>
      </c>
      <c r="B1108" s="285" t="s">
        <v>7911</v>
      </c>
      <c r="C1108" s="285" t="s">
        <v>6918</v>
      </c>
      <c r="D1108" s="286" t="s">
        <v>14340</v>
      </c>
      <c r="E1108" s="285" t="s">
        <v>6921</v>
      </c>
      <c r="F1108" s="285" t="s">
        <v>14341</v>
      </c>
      <c r="G1108" s="285" t="s">
        <v>14342</v>
      </c>
      <c r="H1108" s="285" t="s">
        <v>12025</v>
      </c>
      <c r="I1108" s="285" t="s">
        <v>14343</v>
      </c>
      <c r="J1108" s="285" t="s">
        <v>5224</v>
      </c>
      <c r="K1108" s="285" t="s">
        <v>4818</v>
      </c>
      <c r="L1108" s="285" t="s">
        <v>7913</v>
      </c>
      <c r="M1108" s="285" t="s">
        <v>9383</v>
      </c>
      <c r="N1108" s="287" t="str">
        <f>IFERROR(
    IF(
        AND(
            VLOOKUP(B1108, 'รายชื่อพนักงานลาออกพ้นสภาพ'!B:I, 8, FALSE)&lt;&gt;"ยกเลิกลาออก",
            VLOOKUP(B1108, 'รายชื่อพนักงานลาออกพ้นสภาพ'!B:I, 7, FALSE)&lt;=TODAY()
        ),
        "ลาออกแล้ว",
        ""
    ),
"")</f>
        <v/>
      </c>
      <c r="O1108" s="292" t="str">
        <f t="array" ref="O1108">IFERROR(INDEX(PCRent!C:D, MATCH(F1108 &amp; " " &amp; G1108, PCRent!A:A &amp; " " &amp; PCRent!B:B, 0)), "")</f>
        <v/>
      </c>
      <c r="P1108" s="293"/>
      <c r="Q1108" s="294" t="str">
        <f t="array" ref="Q1108">IFERROR(INDEX(MonitorRent!C:D, MATCH(F1108 &amp; " " &amp; G1108, MonitorRent!A:A &amp; " " &amp; MonitorRent!B:B, 0)), "")</f>
        <v/>
      </c>
      <c r="R1108" s="295"/>
    </row>
    <row r="1109">
      <c r="A1109" s="284">
        <v>1106.0</v>
      </c>
      <c r="B1109" s="285" t="s">
        <v>7457</v>
      </c>
      <c r="C1109" s="285" t="s">
        <v>6918</v>
      </c>
      <c r="D1109" s="286" t="s">
        <v>14344</v>
      </c>
      <c r="E1109" s="285" t="s">
        <v>7239</v>
      </c>
      <c r="F1109" s="285" t="s">
        <v>14345</v>
      </c>
      <c r="G1109" s="285" t="s">
        <v>14346</v>
      </c>
      <c r="H1109" s="285" t="s">
        <v>9544</v>
      </c>
      <c r="I1109" s="285" t="s">
        <v>14347</v>
      </c>
      <c r="J1109" s="285" t="s">
        <v>5224</v>
      </c>
      <c r="K1109" s="285" t="s">
        <v>4835</v>
      </c>
      <c r="L1109" s="285" t="s">
        <v>7459</v>
      </c>
      <c r="M1109" s="285" t="s">
        <v>9383</v>
      </c>
      <c r="N1109" s="287" t="str">
        <f>IFERROR(
    IF(
        AND(
            VLOOKUP(B1109, 'รายชื่อพนักงานลาออกพ้นสภาพ'!B:I, 8, FALSE)&lt;&gt;"ยกเลิกลาออก",
            VLOOKUP(B1109, 'รายชื่อพนักงานลาออกพ้นสภาพ'!B:I, 7, FALSE)&lt;=TODAY()
        ),
        "ลาออกแล้ว",
        ""
    ),
"")</f>
        <v/>
      </c>
      <c r="O1109" s="292" t="str">
        <f t="array" ref="O1109">IFERROR(INDEX(PCRent!C:D, MATCH(F1109 &amp; " " &amp; G1109, PCRent!A:A &amp; " " &amp; PCRent!B:B, 0)), "")</f>
        <v/>
      </c>
      <c r="P1109" s="293"/>
      <c r="Q1109" s="294" t="str">
        <f t="array" ref="Q1109">IFERROR(INDEX(MonitorRent!C:D, MATCH(F1109 &amp; " " &amp; G1109, MonitorRent!A:A &amp; " " &amp; MonitorRent!B:B, 0)), "")</f>
        <v/>
      </c>
      <c r="R1109" s="295"/>
    </row>
    <row r="1110">
      <c r="A1110" s="284">
        <v>1107.0</v>
      </c>
      <c r="B1110" s="285" t="s">
        <v>3427</v>
      </c>
      <c r="C1110" s="285" t="s">
        <v>6918</v>
      </c>
      <c r="D1110" s="286" t="s">
        <v>9504</v>
      </c>
      <c r="E1110" s="285" t="s">
        <v>6933</v>
      </c>
      <c r="F1110" s="285" t="s">
        <v>11192</v>
      </c>
      <c r="G1110" s="285" t="s">
        <v>14348</v>
      </c>
      <c r="H1110" s="285" t="s">
        <v>12094</v>
      </c>
      <c r="I1110" s="285" t="s">
        <v>6497</v>
      </c>
      <c r="J1110" s="285" t="s">
        <v>5224</v>
      </c>
      <c r="K1110" s="285" t="s">
        <v>9503</v>
      </c>
      <c r="L1110" s="285" t="s">
        <v>3179</v>
      </c>
      <c r="M1110" s="285" t="s">
        <v>9383</v>
      </c>
      <c r="N1110" s="287" t="str">
        <f>IFERROR(
    IF(
        AND(
            VLOOKUP(B1110, 'รายชื่อพนักงานลาออกพ้นสภาพ'!B:I, 8, FALSE)&lt;&gt;"ยกเลิกลาออก",
            VLOOKUP(B1110, 'รายชื่อพนักงานลาออกพ้นสภาพ'!B:I, 7, FALSE)&lt;=TODAY()
        ),
        "ลาออกแล้ว",
        ""
    ),
"")</f>
        <v/>
      </c>
      <c r="O1110" s="292" t="str">
        <f t="array" ref="O1110">IFERROR(INDEX(PCRent!C:D, MATCH(F1110 &amp; " " &amp; G1110, PCRent!A:A &amp; " " &amp; PCRent!B:B, 0)), "")</f>
        <v/>
      </c>
      <c r="P1110" s="293"/>
      <c r="Q1110" s="294" t="str">
        <f t="array" ref="Q1110">IFERROR(INDEX(MonitorRent!C:D, MATCH(F1110 &amp; " " &amp; G1110, MonitorRent!A:A &amp; " " &amp; MonitorRent!B:B, 0)), "")</f>
        <v/>
      </c>
      <c r="R1110" s="295"/>
    </row>
    <row r="1111">
      <c r="A1111" s="284">
        <v>1108.0</v>
      </c>
      <c r="B1111" s="285" t="s">
        <v>7083</v>
      </c>
      <c r="C1111" s="285" t="s">
        <v>6918</v>
      </c>
      <c r="D1111" s="286" t="s">
        <v>14349</v>
      </c>
      <c r="E1111" s="285" t="s">
        <v>6933</v>
      </c>
      <c r="F1111" s="285" t="s">
        <v>14350</v>
      </c>
      <c r="G1111" s="285" t="s">
        <v>14351</v>
      </c>
      <c r="H1111" s="285" t="s">
        <v>13929</v>
      </c>
      <c r="I1111" s="285" t="s">
        <v>14352</v>
      </c>
      <c r="J1111" s="285" t="s">
        <v>5012</v>
      </c>
      <c r="K1111" s="285" t="s">
        <v>4805</v>
      </c>
      <c r="L1111" s="285" t="s">
        <v>13992</v>
      </c>
      <c r="M1111" s="285" t="s">
        <v>9383</v>
      </c>
      <c r="N1111" s="287" t="str">
        <f>IFERROR(
    IF(
        AND(
            VLOOKUP(B1111, 'รายชื่อพนักงานลาออกพ้นสภาพ'!B:I, 8, FALSE)&lt;&gt;"ยกเลิกลาออก",
            VLOOKUP(B1111, 'รายชื่อพนักงานลาออกพ้นสภาพ'!B:I, 7, FALSE)&lt;=TODAY()
        ),
        "ลาออกแล้ว",
        ""
    ),
"")</f>
        <v/>
      </c>
      <c r="O1111" s="292" t="str">
        <f t="array" ref="O1111">IFERROR(INDEX(PCRent!C:D, MATCH(F1111 &amp; " " &amp; G1111, PCRent!A:A &amp; " " &amp; PCRent!B:B, 0)), "")</f>
        <v/>
      </c>
      <c r="P1111" s="293"/>
      <c r="Q1111" s="294" t="str">
        <f t="array" ref="Q1111">IFERROR(INDEX(MonitorRent!C:D, MATCH(F1111 &amp; " " &amp; G1111, MonitorRent!A:A &amp; " " &amp; MonitorRent!B:B, 0)), "")</f>
        <v/>
      </c>
      <c r="R1111" s="295"/>
    </row>
    <row r="1112">
      <c r="A1112" s="284">
        <v>1109.0</v>
      </c>
      <c r="B1112" s="285" t="s">
        <v>14353</v>
      </c>
      <c r="C1112" s="285" t="s">
        <v>6918</v>
      </c>
      <c r="D1112" s="286" t="s">
        <v>10729</v>
      </c>
      <c r="E1112" s="285" t="s">
        <v>6921</v>
      </c>
      <c r="F1112" s="285" t="s">
        <v>14354</v>
      </c>
      <c r="G1112" s="285" t="s">
        <v>14355</v>
      </c>
      <c r="H1112" s="285" t="s">
        <v>12875</v>
      </c>
      <c r="I1112" s="285" t="s">
        <v>14356</v>
      </c>
      <c r="J1112" s="285" t="s">
        <v>5012</v>
      </c>
      <c r="K1112" s="285" t="s">
        <v>14357</v>
      </c>
      <c r="L1112" s="285" t="s">
        <v>13501</v>
      </c>
      <c r="M1112" s="285" t="s">
        <v>9383</v>
      </c>
      <c r="N1112" s="287" t="str">
        <f>IFERROR(
    IF(
        AND(
            VLOOKUP(B1112, 'รายชื่อพนักงานลาออกพ้นสภาพ'!B:I, 8, FALSE)&lt;&gt;"ยกเลิกลาออก",
            VLOOKUP(B1112, 'รายชื่อพนักงานลาออกพ้นสภาพ'!B:I, 7, FALSE)&lt;=TODAY()
        ),
        "ลาออกแล้ว",
        ""
    ),
"")</f>
        <v/>
      </c>
      <c r="O1112" s="292" t="str">
        <f t="array" ref="O1112:P1112">IFERROR(INDEX(PCRent!C:D, MATCH(F1112 &amp; " " &amp; G1112, PCRent!A:A &amp; " " &amp; PCRent!B:B, 0)), "")</f>
        <v>SN:MP2E2YER</v>
      </c>
      <c r="P1112" s="293" t="s">
        <v>6993</v>
      </c>
      <c r="Q1112" s="294" t="str">
        <f t="array" ref="Q1112">IFERROR(INDEX(MonitorRent!C:D, MATCH(F1112 &amp; " " &amp; G1112, MonitorRent!A:A &amp; " " &amp; MonitorRent!B:B, 0)), "")</f>
        <v/>
      </c>
      <c r="R1112" s="295"/>
    </row>
    <row r="1113">
      <c r="A1113" s="284">
        <v>1110.0</v>
      </c>
      <c r="B1113" s="285" t="s">
        <v>14358</v>
      </c>
      <c r="C1113" s="285" t="s">
        <v>6918</v>
      </c>
      <c r="D1113" s="286" t="s">
        <v>10412</v>
      </c>
      <c r="E1113" s="285" t="s">
        <v>6921</v>
      </c>
      <c r="F1113" s="285" t="s">
        <v>14359</v>
      </c>
      <c r="G1113" s="285" t="s">
        <v>14360</v>
      </c>
      <c r="H1113" s="285" t="s">
        <v>10420</v>
      </c>
      <c r="I1113" s="285" t="s">
        <v>14361</v>
      </c>
      <c r="J1113" s="285" t="s">
        <v>5012</v>
      </c>
      <c r="K1113" s="285" t="s">
        <v>6322</v>
      </c>
      <c r="L1113" s="285" t="s">
        <v>13605</v>
      </c>
      <c r="M1113" s="285" t="s">
        <v>9391</v>
      </c>
      <c r="N1113" s="287" t="str">
        <f>IFERROR(
    IF(
        AND(
            VLOOKUP(B1113, 'รายชื่อพนักงานลาออกพ้นสภาพ'!B:I, 8, FALSE)&lt;&gt;"ยกเลิกลาออก",
            VLOOKUP(B1113, 'รายชื่อพนักงานลาออกพ้นสภาพ'!B:I, 7, FALSE)&lt;=TODAY()
        ),
        "ลาออกแล้ว",
        ""
    ),
"")</f>
        <v/>
      </c>
      <c r="O1113" s="292" t="str">
        <f t="array" ref="O1113:P1113">IFERROR(INDEX(PCRent!C:D, MATCH(F1113 &amp; " " &amp; G1113, PCRent!A:A &amp; " " &amp; PCRent!B:B, 0)), "")</f>
        <v>SN:MP2ARXXB</v>
      </c>
      <c r="P1113" s="293" t="s">
        <v>7149</v>
      </c>
      <c r="Q1113" s="294" t="str">
        <f t="array" ref="Q1113">IFERROR(INDEX(MonitorRent!C:D, MATCH(F1113 &amp; " " &amp; G1113, MonitorRent!A:A &amp; " " &amp; MonitorRent!B:B, 0)), "")</f>
        <v/>
      </c>
      <c r="R1113" s="295"/>
    </row>
    <row r="1114">
      <c r="A1114" s="284">
        <v>1111.0</v>
      </c>
      <c r="B1114" s="285" t="s">
        <v>8342</v>
      </c>
      <c r="C1114" s="285" t="s">
        <v>6918</v>
      </c>
      <c r="D1114" s="286" t="s">
        <v>9427</v>
      </c>
      <c r="E1114" s="285" t="s">
        <v>7239</v>
      </c>
      <c r="F1114" s="285" t="s">
        <v>14362</v>
      </c>
      <c r="G1114" s="285" t="s">
        <v>14363</v>
      </c>
      <c r="H1114" s="285" t="s">
        <v>14364</v>
      </c>
      <c r="I1114" s="285" t="s">
        <v>14365</v>
      </c>
      <c r="J1114" s="285" t="s">
        <v>5224</v>
      </c>
      <c r="K1114" s="285" t="s">
        <v>14366</v>
      </c>
      <c r="L1114" s="285" t="s">
        <v>8331</v>
      </c>
      <c r="M1114" s="285" t="s">
        <v>9383</v>
      </c>
      <c r="N1114" s="287" t="str">
        <f>IFERROR(
    IF(
        AND(
            VLOOKUP(B1114, 'รายชื่อพนักงานลาออกพ้นสภาพ'!B:I, 8, FALSE)&lt;&gt;"ยกเลิกลาออก",
            VLOOKUP(B1114, 'รายชื่อพนักงานลาออกพ้นสภาพ'!B:I, 7, FALSE)&lt;=TODAY()
        ),
        "ลาออกแล้ว",
        ""
    ),
"")</f>
        <v/>
      </c>
      <c r="O1114" s="292" t="str">
        <f t="array" ref="O1114">IFERROR(INDEX(PCRent!C:D, MATCH(F1114 &amp; " " &amp; G1114, PCRent!A:A &amp; " " &amp; PCRent!B:B, 0)), "")</f>
        <v/>
      </c>
      <c r="P1114" s="293"/>
      <c r="Q1114" s="294" t="str">
        <f t="array" ref="Q1114">IFERROR(INDEX(MonitorRent!C:D, MATCH(F1114 &amp; " " &amp; G1114, MonitorRent!A:A &amp; " " &amp; MonitorRent!B:B, 0)), "")</f>
        <v/>
      </c>
      <c r="R1114" s="295"/>
    </row>
    <row r="1115">
      <c r="A1115" s="284">
        <v>1112.0</v>
      </c>
      <c r="B1115" s="285" t="s">
        <v>14367</v>
      </c>
      <c r="C1115" s="285" t="s">
        <v>6918</v>
      </c>
      <c r="D1115" s="286" t="s">
        <v>10868</v>
      </c>
      <c r="E1115" s="285" t="s">
        <v>6921</v>
      </c>
      <c r="F1115" s="285" t="s">
        <v>14368</v>
      </c>
      <c r="G1115" s="285" t="s">
        <v>14369</v>
      </c>
      <c r="H1115" s="285" t="s">
        <v>14370</v>
      </c>
      <c r="I1115" s="285" t="s">
        <v>14371</v>
      </c>
      <c r="J1115" s="285" t="s">
        <v>5012</v>
      </c>
      <c r="K1115" s="285" t="s">
        <v>6322</v>
      </c>
      <c r="L1115" s="285" t="s">
        <v>795</v>
      </c>
      <c r="M1115" s="285" t="s">
        <v>9383</v>
      </c>
      <c r="N1115" s="287" t="str">
        <f>IFERROR(
    IF(
        AND(
            VLOOKUP(B1115, 'รายชื่อพนักงานลาออกพ้นสภาพ'!B:I, 8, FALSE)&lt;&gt;"ยกเลิกลาออก",
            VLOOKUP(B1115, 'รายชื่อพนักงานลาออกพ้นสภาพ'!B:I, 7, FALSE)&lt;=TODAY()
        ),
        "ลาออกแล้ว",
        ""
    ),
"")</f>
        <v/>
      </c>
      <c r="O1115" s="292" t="str">
        <f t="array" ref="O1115:P1115">IFERROR(INDEX(PCRent!C:D, MATCH(F1115 &amp; " " &amp; G1115, PCRent!A:A &amp; " " &amp; PCRent!B:B, 0)), "")</f>
        <v>SN:MP2ARVN8</v>
      </c>
      <c r="P1115" s="293" t="s">
        <v>7149</v>
      </c>
      <c r="Q1115" s="294" t="str">
        <f t="array" ref="Q1115">IFERROR(INDEX(MonitorRent!C:D, MATCH(F1115 &amp; " " &amp; G1115, MonitorRent!A:A &amp; " " &amp; MonitorRent!B:B, 0)), "")</f>
        <v/>
      </c>
      <c r="R1115" s="295"/>
    </row>
    <row r="1116">
      <c r="A1116" s="284">
        <v>1113.0</v>
      </c>
      <c r="B1116" s="285" t="s">
        <v>14372</v>
      </c>
      <c r="C1116" s="285" t="s">
        <v>6918</v>
      </c>
      <c r="D1116" s="286" t="s">
        <v>9814</v>
      </c>
      <c r="E1116" s="285" t="s">
        <v>6921</v>
      </c>
      <c r="F1116" s="285" t="s">
        <v>14373</v>
      </c>
      <c r="G1116" s="285" t="s">
        <v>14374</v>
      </c>
      <c r="H1116" s="285" t="s">
        <v>14375</v>
      </c>
      <c r="I1116" s="285" t="s">
        <v>14376</v>
      </c>
      <c r="J1116" s="285" t="s">
        <v>5012</v>
      </c>
      <c r="K1116" s="285" t="s">
        <v>9560</v>
      </c>
      <c r="L1116" s="285" t="s">
        <v>9561</v>
      </c>
      <c r="M1116" s="285" t="s">
        <v>9383</v>
      </c>
      <c r="N1116" s="287" t="str">
        <f>IFERROR(
    IF(
        AND(
            VLOOKUP(B1116, 'รายชื่อพนักงานลาออกพ้นสภาพ'!B:I, 8, FALSE)&lt;&gt;"ยกเลิกลาออก",
            VLOOKUP(B1116, 'รายชื่อพนักงานลาออกพ้นสภาพ'!B:I, 7, FALSE)&lt;=TODAY()
        ),
        "ลาออกแล้ว",
        ""
    ),
"")</f>
        <v/>
      </c>
      <c r="O1116" s="292" t="str">
        <f t="array" ref="O1116">IFERROR(INDEX(PCRent!C:D, MATCH(F1116 &amp; " " &amp; G1116, PCRent!A:A &amp; " " &amp; PCRent!B:B, 0)), "")</f>
        <v/>
      </c>
      <c r="P1116" s="293"/>
      <c r="Q1116" s="294" t="str">
        <f t="array" ref="Q1116">IFERROR(INDEX(MonitorRent!C:D, MATCH(F1116 &amp; " " &amp; G1116, MonitorRent!A:A &amp; " " &amp; MonitorRent!B:B, 0)), "")</f>
        <v/>
      </c>
      <c r="R1116" s="295"/>
    </row>
    <row r="1117">
      <c r="A1117" s="284">
        <v>1114.0</v>
      </c>
      <c r="B1117" s="285" t="s">
        <v>14377</v>
      </c>
      <c r="C1117" s="285" t="s">
        <v>6918</v>
      </c>
      <c r="D1117" s="286" t="s">
        <v>13455</v>
      </c>
      <c r="E1117" s="285" t="s">
        <v>6933</v>
      </c>
      <c r="F1117" s="285" t="s">
        <v>14378</v>
      </c>
      <c r="G1117" s="285" t="s">
        <v>14379</v>
      </c>
      <c r="H1117" s="285" t="s">
        <v>14378</v>
      </c>
      <c r="I1117" s="285" t="s">
        <v>14380</v>
      </c>
      <c r="J1117" s="285" t="s">
        <v>5012</v>
      </c>
      <c r="K1117" s="285" t="s">
        <v>13937</v>
      </c>
      <c r="L1117" s="285" t="s">
        <v>14139</v>
      </c>
      <c r="M1117" s="285" t="s">
        <v>9383</v>
      </c>
      <c r="N1117" s="287" t="str">
        <f>IFERROR(
    IF(
        AND(
            VLOOKUP(B1117, 'รายชื่อพนักงานลาออกพ้นสภาพ'!B:I, 8, FALSE)&lt;&gt;"ยกเลิกลาออก",
            VLOOKUP(B1117, 'รายชื่อพนักงานลาออกพ้นสภาพ'!B:I, 7, FALSE)&lt;=TODAY()
        ),
        "ลาออกแล้ว",
        ""
    ),
"")</f>
        <v/>
      </c>
      <c r="O1117" s="292" t="str">
        <f t="array" ref="O1117">IFERROR(INDEX(PCRent!C:D, MATCH(F1117 &amp; " " &amp; G1117, PCRent!A:A &amp; " " &amp; PCRent!B:B, 0)), "")</f>
        <v/>
      </c>
      <c r="P1117" s="293"/>
      <c r="Q1117" s="294" t="str">
        <f t="array" ref="Q1117">IFERROR(INDEX(MonitorRent!C:D, MATCH(F1117 &amp; " " &amp; G1117, MonitorRent!A:A &amp; " " &amp; MonitorRent!B:B, 0)), "")</f>
        <v/>
      </c>
      <c r="R1117" s="295"/>
    </row>
    <row r="1118">
      <c r="A1118" s="284">
        <v>1115.0</v>
      </c>
      <c r="B1118" s="285" t="s">
        <v>32</v>
      </c>
      <c r="C1118" s="285" t="s">
        <v>6918</v>
      </c>
      <c r="D1118" s="286" t="s">
        <v>12243</v>
      </c>
      <c r="E1118" s="285" t="s">
        <v>6933</v>
      </c>
      <c r="F1118" s="285" t="s">
        <v>14381</v>
      </c>
      <c r="G1118" s="285" t="s">
        <v>14382</v>
      </c>
      <c r="H1118" s="285" t="s">
        <v>9579</v>
      </c>
      <c r="I1118" s="285" t="s">
        <v>36</v>
      </c>
      <c r="J1118" s="285" t="s">
        <v>5224</v>
      </c>
      <c r="K1118" s="285" t="s">
        <v>14383</v>
      </c>
      <c r="L1118" s="285" t="s">
        <v>14384</v>
      </c>
      <c r="M1118" s="285" t="s">
        <v>9383</v>
      </c>
      <c r="N1118" s="287" t="str">
        <f>IFERROR(
    IF(
        AND(
            VLOOKUP(B1118, 'รายชื่อพนักงานลาออกพ้นสภาพ'!B:I, 8, FALSE)&lt;&gt;"ยกเลิกลาออก",
            VLOOKUP(B1118, 'รายชื่อพนักงานลาออกพ้นสภาพ'!B:I, 7, FALSE)&lt;=TODAY()
        ),
        "ลาออกแล้ว",
        ""
    ),
"")</f>
        <v>ลาออกแล้ว</v>
      </c>
      <c r="O1118" s="292" t="str">
        <f t="array" ref="O1118:P1118">IFERROR(INDEX(PCRent!C:D, MATCH(F1118 &amp; " " &amp; G1118, PCRent!A:A &amp; " " &amp; PCRent!B:B, 0)), "")</f>
        <v>SN:7S9ZVX3</v>
      </c>
      <c r="P1118" s="293" t="s">
        <v>14385</v>
      </c>
      <c r="Q1118" s="294" t="str">
        <f t="array" ref="Q1118:R1118">IFERROR(INDEX(MonitorRent!C:D, MATCH(F1118 &amp; " " &amp; G1118, MonitorRent!A:A &amp; " " &amp; MonitorRent!B:B, 0)), "")</f>
        <v>SN:BSZP3P3</v>
      </c>
      <c r="R1118" s="295" t="s">
        <v>9397</v>
      </c>
    </row>
    <row r="1119">
      <c r="A1119" s="284">
        <v>1116.0</v>
      </c>
      <c r="B1119" s="285" t="s">
        <v>447</v>
      </c>
      <c r="C1119" s="285" t="s">
        <v>6918</v>
      </c>
      <c r="D1119" s="286" t="s">
        <v>9829</v>
      </c>
      <c r="E1119" s="285" t="s">
        <v>6921</v>
      </c>
      <c r="F1119" s="285" t="s">
        <v>14386</v>
      </c>
      <c r="G1119" s="285" t="s">
        <v>14387</v>
      </c>
      <c r="H1119" s="285" t="s">
        <v>14388</v>
      </c>
      <c r="I1119" s="285" t="s">
        <v>450</v>
      </c>
      <c r="J1119" s="285" t="s">
        <v>5012</v>
      </c>
      <c r="K1119" s="285" t="s">
        <v>6322</v>
      </c>
      <c r="L1119" s="285" t="s">
        <v>14389</v>
      </c>
      <c r="M1119" s="285" t="s">
        <v>9391</v>
      </c>
      <c r="N1119" s="287" t="str">
        <f>IFERROR(
    IF(
        AND(
            VLOOKUP(B1119, 'รายชื่อพนักงานลาออกพ้นสภาพ'!B:I, 8, FALSE)&lt;&gt;"ยกเลิกลาออก",
            VLOOKUP(B1119, 'รายชื่อพนักงานลาออกพ้นสภาพ'!B:I, 7, FALSE)&lt;=TODAY()
        ),
        "ลาออกแล้ว",
        ""
    ),
"")</f>
        <v>ลาออกแล้ว</v>
      </c>
      <c r="O1119" s="292" t="str">
        <f t="array" ref="O1119">IFERROR(INDEX(PCRent!C:D, MATCH(F1119 &amp; " " &amp; G1119, PCRent!A:A &amp; " " &amp; PCRent!B:B, 0)), "")</f>
        <v/>
      </c>
      <c r="P1119" s="293"/>
      <c r="Q1119" s="294" t="str">
        <f t="array" ref="Q1119">IFERROR(INDEX(MonitorRent!C:D, MATCH(F1119 &amp; " " &amp; G1119, MonitorRent!A:A &amp; " " &amp; MonitorRent!B:B, 0)), "")</f>
        <v/>
      </c>
      <c r="R1119" s="295"/>
    </row>
    <row r="1120">
      <c r="A1120" s="284">
        <v>1117.0</v>
      </c>
      <c r="B1120" s="285" t="s">
        <v>9076</v>
      </c>
      <c r="C1120" s="285" t="s">
        <v>6918</v>
      </c>
      <c r="D1120" s="286" t="s">
        <v>10485</v>
      </c>
      <c r="E1120" s="285" t="s">
        <v>6933</v>
      </c>
      <c r="F1120" s="285" t="s">
        <v>14390</v>
      </c>
      <c r="G1120" s="285" t="s">
        <v>14391</v>
      </c>
      <c r="H1120" s="285" t="s">
        <v>11900</v>
      </c>
      <c r="I1120" s="285" t="s">
        <v>14392</v>
      </c>
      <c r="J1120" s="285" t="s">
        <v>5224</v>
      </c>
      <c r="K1120" s="285" t="s">
        <v>13726</v>
      </c>
      <c r="L1120" s="285" t="s">
        <v>2508</v>
      </c>
      <c r="M1120" s="285" t="s">
        <v>9383</v>
      </c>
      <c r="N1120" s="287" t="str">
        <f>IFERROR(
    IF(
        AND(
            VLOOKUP(B1120, 'รายชื่อพนักงานลาออกพ้นสภาพ'!B:I, 8, FALSE)&lt;&gt;"ยกเลิกลาออก",
            VLOOKUP(B1120, 'รายชื่อพนักงานลาออกพ้นสภาพ'!B:I, 7, FALSE)&lt;=TODAY()
        ),
        "ลาออกแล้ว",
        ""
    ),
"")</f>
        <v/>
      </c>
      <c r="O1120" s="292" t="str">
        <f t="array" ref="O1120">IFERROR(INDEX(PCRent!C:D, MATCH(F1120 &amp; " " &amp; G1120, PCRent!A:A &amp; " " &amp; PCRent!B:B, 0)), "")</f>
        <v/>
      </c>
      <c r="P1120" s="293"/>
      <c r="Q1120" s="294" t="str">
        <f t="array" ref="Q1120">IFERROR(INDEX(MonitorRent!C:D, MATCH(F1120 &amp; " " &amp; G1120, MonitorRent!A:A &amp; " " &amp; MonitorRent!B:B, 0)), "")</f>
        <v/>
      </c>
      <c r="R1120" s="295"/>
    </row>
    <row r="1121">
      <c r="A1121" s="284">
        <v>1118.0</v>
      </c>
      <c r="B1121" s="285" t="s">
        <v>14393</v>
      </c>
      <c r="C1121" s="285" t="s">
        <v>6918</v>
      </c>
      <c r="D1121" s="286" t="s">
        <v>9547</v>
      </c>
      <c r="E1121" s="285" t="s">
        <v>6921</v>
      </c>
      <c r="F1121" s="285" t="s">
        <v>14394</v>
      </c>
      <c r="G1121" s="285" t="s">
        <v>14395</v>
      </c>
      <c r="H1121" s="285" t="s">
        <v>14396</v>
      </c>
      <c r="I1121" s="285" t="s">
        <v>14397</v>
      </c>
      <c r="J1121" s="285" t="s">
        <v>5224</v>
      </c>
      <c r="K1121" s="285" t="s">
        <v>12379</v>
      </c>
      <c r="L1121" s="285" t="s">
        <v>8362</v>
      </c>
      <c r="M1121" s="285" t="s">
        <v>9391</v>
      </c>
      <c r="N1121" s="287" t="str">
        <f>IFERROR(
    IF(
        AND(
            VLOOKUP(B1121, 'รายชื่อพนักงานลาออกพ้นสภาพ'!B:I, 8, FALSE)&lt;&gt;"ยกเลิกลาออก",
            VLOOKUP(B1121, 'รายชื่อพนักงานลาออกพ้นสภาพ'!B:I, 7, FALSE)&lt;=TODAY()
        ),
        "ลาออกแล้ว",
        ""
    ),
"")</f>
        <v/>
      </c>
      <c r="O1121" s="292" t="str">
        <f t="array" ref="O1121">IFERROR(INDEX(PCRent!C:D, MATCH(F1121 &amp; " " &amp; G1121, PCRent!A:A &amp; " " &amp; PCRent!B:B, 0)), "")</f>
        <v/>
      </c>
      <c r="P1121" s="293"/>
      <c r="Q1121" s="294" t="str">
        <f t="array" ref="Q1121">IFERROR(INDEX(MonitorRent!C:D, MATCH(F1121 &amp; " " &amp; G1121, MonitorRent!A:A &amp; " " &amp; MonitorRent!B:B, 0)), "")</f>
        <v/>
      </c>
      <c r="R1121" s="295"/>
    </row>
    <row r="1122">
      <c r="A1122" s="284">
        <v>1119.0</v>
      </c>
      <c r="B1122" s="285" t="s">
        <v>14398</v>
      </c>
      <c r="C1122" s="285" t="s">
        <v>6918</v>
      </c>
      <c r="D1122" s="286" t="s">
        <v>10978</v>
      </c>
      <c r="E1122" s="285" t="s">
        <v>6921</v>
      </c>
      <c r="F1122" s="285" t="s">
        <v>14399</v>
      </c>
      <c r="G1122" s="285" t="s">
        <v>14400</v>
      </c>
      <c r="H1122" s="285" t="s">
        <v>10672</v>
      </c>
      <c r="I1122" s="285" t="s">
        <v>14401</v>
      </c>
      <c r="J1122" s="285" t="s">
        <v>5224</v>
      </c>
      <c r="K1122" s="285" t="s">
        <v>9626</v>
      </c>
      <c r="L1122" s="285" t="s">
        <v>4323</v>
      </c>
      <c r="M1122" s="285" t="s">
        <v>9383</v>
      </c>
      <c r="N1122" s="287" t="str">
        <f>IFERROR(
    IF(
        AND(
            VLOOKUP(B1122, 'รายชื่อพนักงานลาออกพ้นสภาพ'!B:I, 8, FALSE)&lt;&gt;"ยกเลิกลาออก",
            VLOOKUP(B1122, 'รายชื่อพนักงานลาออกพ้นสภาพ'!B:I, 7, FALSE)&lt;=TODAY()
        ),
        "ลาออกแล้ว",
        ""
    ),
"")</f>
        <v/>
      </c>
      <c r="O1122" s="292" t="str">
        <f t="array" ref="O1122:P1122">IFERROR(INDEX(PCRent!C:D, MATCH(F1122 &amp; " " &amp; G1122, PCRent!A:A &amp; " " &amp; PCRent!B:B, 0)), "")</f>
        <v>SN:MP2EHW3A</v>
      </c>
      <c r="P1122" s="293" t="s">
        <v>6993</v>
      </c>
      <c r="Q1122" s="294" t="str">
        <f t="array" ref="Q1122">IFERROR(INDEX(MonitorRent!C:D, MATCH(F1122 &amp; " " &amp; G1122, MonitorRent!A:A &amp; " " &amp; MonitorRent!B:B, 0)), "")</f>
        <v/>
      </c>
      <c r="R1122" s="295"/>
    </row>
    <row r="1123">
      <c r="A1123" s="284">
        <v>1120.0</v>
      </c>
      <c r="B1123" s="285" t="s">
        <v>810</v>
      </c>
      <c r="C1123" s="285" t="s">
        <v>6918</v>
      </c>
      <c r="D1123" s="286" t="s">
        <v>14402</v>
      </c>
      <c r="E1123" s="285" t="s">
        <v>6933</v>
      </c>
      <c r="F1123" s="285" t="s">
        <v>14403</v>
      </c>
      <c r="G1123" s="285" t="s">
        <v>14239</v>
      </c>
      <c r="H1123" s="285" t="s">
        <v>10269</v>
      </c>
      <c r="I1123" s="285" t="s">
        <v>814</v>
      </c>
      <c r="J1123" s="285" t="s">
        <v>5224</v>
      </c>
      <c r="K1123" s="285" t="s">
        <v>4853</v>
      </c>
      <c r="L1123" s="285" t="s">
        <v>2177</v>
      </c>
      <c r="M1123" s="285" t="s">
        <v>9383</v>
      </c>
      <c r="N1123" s="287" t="str">
        <f>IFERROR(
    IF(
        AND(
            VLOOKUP(B1123, 'รายชื่อพนักงานลาออกพ้นสภาพ'!B:I, 8, FALSE)&lt;&gt;"ยกเลิกลาออก",
            VLOOKUP(B1123, 'รายชื่อพนักงานลาออกพ้นสภาพ'!B:I, 7, FALSE)&lt;=TODAY()
        ),
        "ลาออกแล้ว",
        ""
    ),
"")</f>
        <v>ลาออกแล้ว</v>
      </c>
      <c r="O1123" s="292" t="str">
        <f t="array" ref="O1123">IFERROR(INDEX(PCRent!C:D, MATCH(F1123 &amp; " " &amp; G1123, PCRent!A:A &amp; " " &amp; PCRent!B:B, 0)), "")</f>
        <v/>
      </c>
      <c r="P1123" s="293"/>
      <c r="Q1123" s="294" t="str">
        <f t="array" ref="Q1123">IFERROR(INDEX(MonitorRent!C:D, MATCH(F1123 &amp; " " &amp; G1123, MonitorRent!A:A &amp; " " &amp; MonitorRent!B:B, 0)), "")</f>
        <v/>
      </c>
      <c r="R1123" s="295"/>
    </row>
    <row r="1124">
      <c r="A1124" s="284">
        <v>1121.0</v>
      </c>
      <c r="B1124" s="285" t="s">
        <v>8522</v>
      </c>
      <c r="C1124" s="285" t="s">
        <v>6918</v>
      </c>
      <c r="D1124" s="286" t="s">
        <v>9601</v>
      </c>
      <c r="E1124" s="285" t="s">
        <v>6933</v>
      </c>
      <c r="F1124" s="285" t="s">
        <v>14404</v>
      </c>
      <c r="G1124" s="285" t="s">
        <v>14405</v>
      </c>
      <c r="H1124" s="285" t="s">
        <v>14330</v>
      </c>
      <c r="I1124" s="285" t="s">
        <v>14406</v>
      </c>
      <c r="J1124" s="285" t="s">
        <v>5224</v>
      </c>
      <c r="K1124" s="285" t="s">
        <v>2062</v>
      </c>
      <c r="L1124" s="285" t="s">
        <v>2081</v>
      </c>
      <c r="M1124" s="285" t="s">
        <v>9383</v>
      </c>
      <c r="N1124" s="287" t="str">
        <f>IFERROR(
    IF(
        AND(
            VLOOKUP(B1124, 'รายชื่อพนักงานลาออกพ้นสภาพ'!B:I, 8, FALSE)&lt;&gt;"ยกเลิกลาออก",
            VLOOKUP(B1124, 'รายชื่อพนักงานลาออกพ้นสภาพ'!B:I, 7, FALSE)&lt;=TODAY()
        ),
        "ลาออกแล้ว",
        ""
    ),
"")</f>
        <v/>
      </c>
      <c r="O1124" s="292" t="str">
        <f t="array" ref="O1124">IFERROR(INDEX(PCRent!C:D, MATCH(F1124 &amp; " " &amp; G1124, PCRent!A:A &amp; " " &amp; PCRent!B:B, 0)), "")</f>
        <v/>
      </c>
      <c r="P1124" s="293"/>
      <c r="Q1124" s="294" t="str">
        <f t="array" ref="Q1124">IFERROR(INDEX(MonitorRent!C:D, MATCH(F1124 &amp; " " &amp; G1124, MonitorRent!A:A &amp; " " &amp; MonitorRent!B:B, 0)), "")</f>
        <v/>
      </c>
      <c r="R1124" s="295"/>
    </row>
    <row r="1125">
      <c r="A1125" s="284">
        <v>1122.0</v>
      </c>
      <c r="B1125" s="285" t="s">
        <v>8401</v>
      </c>
      <c r="C1125" s="285" t="s">
        <v>6918</v>
      </c>
      <c r="D1125" s="286" t="s">
        <v>14407</v>
      </c>
      <c r="E1125" s="285" t="s">
        <v>6921</v>
      </c>
      <c r="F1125" s="285" t="s">
        <v>14408</v>
      </c>
      <c r="G1125" s="285" t="s">
        <v>14409</v>
      </c>
      <c r="H1125" s="285" t="s">
        <v>11782</v>
      </c>
      <c r="I1125" s="285" t="s">
        <v>14410</v>
      </c>
      <c r="J1125" s="285" t="s">
        <v>5224</v>
      </c>
      <c r="K1125" s="285" t="s">
        <v>10056</v>
      </c>
      <c r="L1125" s="285" t="s">
        <v>8398</v>
      </c>
      <c r="M1125" s="285" t="s">
        <v>9383</v>
      </c>
      <c r="N1125" s="287" t="str">
        <f>IFERROR(
    IF(
        AND(
            VLOOKUP(B1125, 'รายชื่อพนักงานลาออกพ้นสภาพ'!B:I, 8, FALSE)&lt;&gt;"ยกเลิกลาออก",
            VLOOKUP(B1125, 'รายชื่อพนักงานลาออกพ้นสภาพ'!B:I, 7, FALSE)&lt;=TODAY()
        ),
        "ลาออกแล้ว",
        ""
    ),
"")</f>
        <v/>
      </c>
      <c r="O1125" s="292" t="str">
        <f t="array" ref="O1125">IFERROR(INDEX(PCRent!C:D, MATCH(F1125 &amp; " " &amp; G1125, PCRent!A:A &amp; " " &amp; PCRent!B:B, 0)), "")</f>
        <v/>
      </c>
      <c r="P1125" s="293"/>
      <c r="Q1125" s="294" t="str">
        <f t="array" ref="Q1125">IFERROR(INDEX(MonitorRent!C:D, MATCH(F1125 &amp; " " &amp; G1125, MonitorRent!A:A &amp; " " &amp; MonitorRent!B:B, 0)), "")</f>
        <v/>
      </c>
      <c r="R1125" s="295"/>
    </row>
    <row r="1126">
      <c r="A1126" s="284">
        <v>1123.0</v>
      </c>
      <c r="B1126" s="285" t="s">
        <v>14411</v>
      </c>
      <c r="C1126" s="285" t="s">
        <v>6918</v>
      </c>
      <c r="D1126" s="286" t="s">
        <v>13078</v>
      </c>
      <c r="E1126" s="285" t="s">
        <v>6933</v>
      </c>
      <c r="F1126" s="285" t="s">
        <v>14412</v>
      </c>
      <c r="G1126" s="285" t="s">
        <v>14413</v>
      </c>
      <c r="H1126" s="285" t="s">
        <v>14414</v>
      </c>
      <c r="I1126" s="285" t="s">
        <v>14415</v>
      </c>
      <c r="J1126" s="285" t="s">
        <v>5012</v>
      </c>
      <c r="K1126" s="285" t="s">
        <v>12401</v>
      </c>
      <c r="L1126" s="285" t="s">
        <v>2196</v>
      </c>
      <c r="M1126" s="285" t="s">
        <v>9383</v>
      </c>
      <c r="N1126" s="287" t="str">
        <f>IFERROR(
    IF(
        AND(
            VLOOKUP(B1126, 'รายชื่อพนักงานลาออกพ้นสภาพ'!B:I, 8, FALSE)&lt;&gt;"ยกเลิกลาออก",
            VLOOKUP(B1126, 'รายชื่อพนักงานลาออกพ้นสภาพ'!B:I, 7, FALSE)&lt;=TODAY()
        ),
        "ลาออกแล้ว",
        ""
    ),
"")</f>
        <v/>
      </c>
      <c r="O1126" s="292" t="str">
        <f t="array" ref="O1126">IFERROR(INDEX(PCRent!C:D, MATCH(F1126 &amp; " " &amp; G1126, PCRent!A:A &amp; " " &amp; PCRent!B:B, 0)), "")</f>
        <v/>
      </c>
      <c r="P1126" s="293"/>
      <c r="Q1126" s="294" t="str">
        <f t="array" ref="Q1126">IFERROR(INDEX(MonitorRent!C:D, MATCH(F1126 &amp; " " &amp; G1126, MonitorRent!A:A &amp; " " &amp; MonitorRent!B:B, 0)), "")</f>
        <v/>
      </c>
      <c r="R1126" s="295"/>
    </row>
    <row r="1127">
      <c r="A1127" s="284">
        <v>1124.0</v>
      </c>
      <c r="B1127" s="285" t="s">
        <v>4821</v>
      </c>
      <c r="C1127" s="285" t="s">
        <v>6918</v>
      </c>
      <c r="D1127" s="286" t="s">
        <v>14416</v>
      </c>
      <c r="E1127" s="285" t="s">
        <v>6933</v>
      </c>
      <c r="F1127" s="285" t="s">
        <v>14417</v>
      </c>
      <c r="G1127" s="285" t="s">
        <v>14418</v>
      </c>
      <c r="H1127" s="285" t="s">
        <v>14419</v>
      </c>
      <c r="I1127" s="285" t="s">
        <v>4822</v>
      </c>
      <c r="J1127" s="285" t="s">
        <v>5224</v>
      </c>
      <c r="K1127" s="285" t="s">
        <v>4818</v>
      </c>
      <c r="L1127" s="285" t="s">
        <v>13402</v>
      </c>
      <c r="M1127" s="285" t="s">
        <v>9383</v>
      </c>
      <c r="N1127" s="287" t="str">
        <f>IFERROR(
    IF(
        AND(
            VLOOKUP(B1127, 'รายชื่อพนักงานลาออกพ้นสภาพ'!B:I, 8, FALSE)&lt;&gt;"ยกเลิกลาออก",
            VLOOKUP(B1127, 'รายชื่อพนักงานลาออกพ้นสภาพ'!B:I, 7, FALSE)&lt;=TODAY()
        ),
        "ลาออกแล้ว",
        ""
    ),
"")</f>
        <v/>
      </c>
      <c r="O1127" s="292" t="str">
        <f t="array" ref="O1127:P1127">IFERROR(INDEX(PCRent!C:D, MATCH(F1127 &amp; " " &amp; G1127, PCRent!A:A &amp; " " &amp; PCRent!B:B, 0)), "")</f>
        <v>SN:MP2840QR</v>
      </c>
      <c r="P1127" s="293" t="s">
        <v>6993</v>
      </c>
      <c r="Q1127" s="294" t="str">
        <f t="array" ref="Q1127">IFERROR(INDEX(MonitorRent!C:D, MATCH(F1127 &amp; " " &amp; G1127, MonitorRent!A:A &amp; " " &amp; MonitorRent!B:B, 0)), "")</f>
        <v/>
      </c>
      <c r="R1127" s="295"/>
    </row>
    <row r="1128">
      <c r="A1128" s="284">
        <v>1125.0</v>
      </c>
      <c r="B1128" s="285" t="s">
        <v>7789</v>
      </c>
      <c r="C1128" s="285" t="s">
        <v>6918</v>
      </c>
      <c r="D1128" s="286" t="s">
        <v>14420</v>
      </c>
      <c r="E1128" s="285" t="s">
        <v>6921</v>
      </c>
      <c r="F1128" s="285" t="s">
        <v>14421</v>
      </c>
      <c r="G1128" s="285" t="s">
        <v>14422</v>
      </c>
      <c r="H1128" s="285" t="s">
        <v>10318</v>
      </c>
      <c r="I1128" s="285" t="s">
        <v>14423</v>
      </c>
      <c r="J1128" s="285" t="s">
        <v>5224</v>
      </c>
      <c r="K1128" s="285" t="s">
        <v>10056</v>
      </c>
      <c r="L1128" s="285" t="s">
        <v>5890</v>
      </c>
      <c r="M1128" s="285" t="s">
        <v>9383</v>
      </c>
      <c r="N1128" s="287" t="str">
        <f>IFERROR(
    IF(
        AND(
            VLOOKUP(B1128, 'รายชื่อพนักงานลาออกพ้นสภาพ'!B:I, 8, FALSE)&lt;&gt;"ยกเลิกลาออก",
            VLOOKUP(B1128, 'รายชื่อพนักงานลาออกพ้นสภาพ'!B:I, 7, FALSE)&lt;=TODAY()
        ),
        "ลาออกแล้ว",
        ""
    ),
"")</f>
        <v/>
      </c>
      <c r="O1128" s="292" t="str">
        <f t="array" ref="O1128">IFERROR(INDEX(PCRent!C:D, MATCH(F1128 &amp; " " &amp; G1128, PCRent!A:A &amp; " " &amp; PCRent!B:B, 0)), "")</f>
        <v/>
      </c>
      <c r="P1128" s="293"/>
      <c r="Q1128" s="294" t="str">
        <f t="array" ref="Q1128">IFERROR(INDEX(MonitorRent!C:D, MATCH(F1128 &amp; " " &amp; G1128, MonitorRent!A:A &amp; " " &amp; MonitorRent!B:B, 0)), "")</f>
        <v/>
      </c>
      <c r="R1128" s="295"/>
    </row>
    <row r="1129">
      <c r="A1129" s="284">
        <v>1126.0</v>
      </c>
      <c r="B1129" s="285" t="s">
        <v>484</v>
      </c>
      <c r="C1129" s="285" t="s">
        <v>6918</v>
      </c>
      <c r="D1129" s="286" t="s">
        <v>10206</v>
      </c>
      <c r="E1129" s="285" t="s">
        <v>6921</v>
      </c>
      <c r="F1129" s="285" t="s">
        <v>14424</v>
      </c>
      <c r="G1129" s="285" t="s">
        <v>14425</v>
      </c>
      <c r="H1129" s="285" t="s">
        <v>11968</v>
      </c>
      <c r="I1129" s="285" t="s">
        <v>488</v>
      </c>
      <c r="J1129" s="285" t="s">
        <v>5224</v>
      </c>
      <c r="K1129" s="285" t="s">
        <v>13813</v>
      </c>
      <c r="L1129" s="285" t="s">
        <v>7434</v>
      </c>
      <c r="M1129" s="285" t="s">
        <v>9391</v>
      </c>
      <c r="N1129" s="287" t="str">
        <f>IFERROR(
    IF(
        AND(
            VLOOKUP(B1129, 'รายชื่อพนักงานลาออกพ้นสภาพ'!B:I, 8, FALSE)&lt;&gt;"ยกเลิกลาออก",
            VLOOKUP(B1129, 'รายชื่อพนักงานลาออกพ้นสภาพ'!B:I, 7, FALSE)&lt;=TODAY()
        ),
        "ลาออกแล้ว",
        ""
    ),
"")</f>
        <v>ลาออกแล้ว</v>
      </c>
      <c r="O1129" s="292" t="str">
        <f t="array" ref="O1129">IFERROR(INDEX(PCRent!C:D, MATCH(F1129 &amp; " " &amp; G1129, PCRent!A:A &amp; " " &amp; PCRent!B:B, 0)), "")</f>
        <v/>
      </c>
      <c r="P1129" s="293"/>
      <c r="Q1129" s="294" t="str">
        <f t="array" ref="Q1129">IFERROR(INDEX(MonitorRent!C:D, MATCH(F1129 &amp; " " &amp; G1129, MonitorRent!A:A &amp; " " &amp; MonitorRent!B:B, 0)), "")</f>
        <v/>
      </c>
      <c r="R1129" s="295"/>
    </row>
    <row r="1130">
      <c r="A1130" s="284">
        <v>1127.0</v>
      </c>
      <c r="B1130" s="285" t="s">
        <v>7742</v>
      </c>
      <c r="C1130" s="285" t="s">
        <v>6918</v>
      </c>
      <c r="D1130" s="286" t="s">
        <v>14426</v>
      </c>
      <c r="E1130" s="285" t="s">
        <v>6921</v>
      </c>
      <c r="F1130" s="285" t="s">
        <v>14424</v>
      </c>
      <c r="G1130" s="285" t="s">
        <v>14427</v>
      </c>
      <c r="H1130" s="285" t="s">
        <v>10015</v>
      </c>
      <c r="I1130" s="285" t="s">
        <v>14428</v>
      </c>
      <c r="J1130" s="285" t="s">
        <v>5224</v>
      </c>
      <c r="K1130" s="285" t="s">
        <v>4756</v>
      </c>
      <c r="L1130" s="285" t="s">
        <v>2117</v>
      </c>
      <c r="M1130" s="285" t="s">
        <v>9383</v>
      </c>
      <c r="N1130" s="287" t="str">
        <f>IFERROR(
    IF(
        AND(
            VLOOKUP(B1130, 'รายชื่อพนักงานลาออกพ้นสภาพ'!B:I, 8, FALSE)&lt;&gt;"ยกเลิกลาออก",
            VLOOKUP(B1130, 'รายชื่อพนักงานลาออกพ้นสภาพ'!B:I, 7, FALSE)&lt;=TODAY()
        ),
        "ลาออกแล้ว",
        ""
    ),
"")</f>
        <v/>
      </c>
      <c r="O1130" s="292" t="str">
        <f t="array" ref="O1130">IFERROR(INDEX(PCRent!C:D, MATCH(F1130 &amp; " " &amp; G1130, PCRent!A:A &amp; " " &amp; PCRent!B:B, 0)), "")</f>
        <v/>
      </c>
      <c r="P1130" s="293"/>
      <c r="Q1130" s="294" t="str">
        <f t="array" ref="Q1130">IFERROR(INDEX(MonitorRent!C:D, MATCH(F1130 &amp; " " &amp; G1130, MonitorRent!A:A &amp; " " &amp; MonitorRent!B:B, 0)), "")</f>
        <v/>
      </c>
      <c r="R1130" s="295"/>
    </row>
    <row r="1131">
      <c r="A1131" s="284">
        <v>1128.0</v>
      </c>
      <c r="B1131" s="285" t="s">
        <v>7824</v>
      </c>
      <c r="C1131" s="285" t="s">
        <v>6918</v>
      </c>
      <c r="D1131" s="286" t="s">
        <v>11796</v>
      </c>
      <c r="E1131" s="285" t="s">
        <v>6921</v>
      </c>
      <c r="F1131" s="285" t="s">
        <v>14429</v>
      </c>
      <c r="G1131" s="285" t="s">
        <v>14430</v>
      </c>
      <c r="H1131" s="285" t="s">
        <v>14431</v>
      </c>
      <c r="I1131" s="285" t="s">
        <v>14432</v>
      </c>
      <c r="J1131" s="285" t="s">
        <v>5224</v>
      </c>
      <c r="K1131" s="285" t="s">
        <v>14433</v>
      </c>
      <c r="L1131" s="285" t="s">
        <v>7809</v>
      </c>
      <c r="M1131" s="285" t="s">
        <v>9383</v>
      </c>
      <c r="N1131" s="287" t="str">
        <f>IFERROR(
    IF(
        AND(
            VLOOKUP(B1131, 'รายชื่อพนักงานลาออกพ้นสภาพ'!B:I, 8, FALSE)&lt;&gt;"ยกเลิกลาออก",
            VLOOKUP(B1131, 'รายชื่อพนักงานลาออกพ้นสภาพ'!B:I, 7, FALSE)&lt;=TODAY()
        ),
        "ลาออกแล้ว",
        ""
    ),
"")</f>
        <v/>
      </c>
      <c r="O1131" s="292" t="str">
        <f t="array" ref="O1131">IFERROR(INDEX(PCRent!C:D, MATCH(F1131 &amp; " " &amp; G1131, PCRent!A:A &amp; " " &amp; PCRent!B:B, 0)), "")</f>
        <v/>
      </c>
      <c r="P1131" s="293"/>
      <c r="Q1131" s="294" t="str">
        <f t="array" ref="Q1131">IFERROR(INDEX(MonitorRent!C:D, MATCH(F1131 &amp; " " &amp; G1131, MonitorRent!A:A &amp; " " &amp; MonitorRent!B:B, 0)), "")</f>
        <v/>
      </c>
      <c r="R1131" s="295"/>
    </row>
    <row r="1132">
      <c r="A1132" s="284">
        <v>1129.0</v>
      </c>
      <c r="B1132" s="285" t="s">
        <v>7836</v>
      </c>
      <c r="C1132" s="285" t="s">
        <v>6918</v>
      </c>
      <c r="D1132" s="286" t="s">
        <v>14434</v>
      </c>
      <c r="E1132" s="285" t="s">
        <v>6921</v>
      </c>
      <c r="F1132" s="285" t="s">
        <v>11228</v>
      </c>
      <c r="G1132" s="285" t="s">
        <v>14435</v>
      </c>
      <c r="H1132" s="285" t="s">
        <v>9579</v>
      </c>
      <c r="I1132" s="285" t="s">
        <v>14436</v>
      </c>
      <c r="J1132" s="285" t="s">
        <v>5224</v>
      </c>
      <c r="K1132" s="285" t="s">
        <v>1456</v>
      </c>
      <c r="L1132" s="285" t="s">
        <v>7809</v>
      </c>
      <c r="M1132" s="285" t="s">
        <v>9383</v>
      </c>
      <c r="N1132" s="287" t="str">
        <f>IFERROR(
    IF(
        AND(
            VLOOKUP(B1132, 'รายชื่อพนักงานลาออกพ้นสภาพ'!B:I, 8, FALSE)&lt;&gt;"ยกเลิกลาออก",
            VLOOKUP(B1132, 'รายชื่อพนักงานลาออกพ้นสภาพ'!B:I, 7, FALSE)&lt;=TODAY()
        ),
        "ลาออกแล้ว",
        ""
    ),
"")</f>
        <v/>
      </c>
      <c r="O1132" s="292" t="str">
        <f t="array" ref="O1132">IFERROR(INDEX(PCRent!C:D, MATCH(F1132 &amp; " " &amp; G1132, PCRent!A:A &amp; " " &amp; PCRent!B:B, 0)), "")</f>
        <v/>
      </c>
      <c r="P1132" s="293"/>
      <c r="Q1132" s="294" t="str">
        <f t="array" ref="Q1132">IFERROR(INDEX(MonitorRent!C:D, MATCH(F1132 &amp; " " &amp; G1132, MonitorRent!A:A &amp; " " &amp; MonitorRent!B:B, 0)), "")</f>
        <v/>
      </c>
      <c r="R1132" s="295"/>
    </row>
    <row r="1133">
      <c r="A1133" s="284">
        <v>1130.0</v>
      </c>
      <c r="B1133" s="285" t="s">
        <v>14437</v>
      </c>
      <c r="C1133" s="285" t="s">
        <v>6918</v>
      </c>
      <c r="D1133" s="286" t="s">
        <v>12625</v>
      </c>
      <c r="E1133" s="285" t="s">
        <v>6921</v>
      </c>
      <c r="F1133" s="285" t="s">
        <v>9707</v>
      </c>
      <c r="G1133" s="285" t="s">
        <v>14438</v>
      </c>
      <c r="H1133" s="285" t="s">
        <v>9388</v>
      </c>
      <c r="I1133" s="285" t="s">
        <v>14439</v>
      </c>
      <c r="J1133" s="285" t="s">
        <v>5012</v>
      </c>
      <c r="K1133" s="285" t="s">
        <v>9703</v>
      </c>
      <c r="L1133" s="285" t="s">
        <v>117</v>
      </c>
      <c r="M1133" s="285" t="s">
        <v>9383</v>
      </c>
      <c r="N1133" s="287" t="str">
        <f>IFERROR(
    IF(
        AND(
            VLOOKUP(B1133, 'รายชื่อพนักงานลาออกพ้นสภาพ'!B:I, 8, FALSE)&lt;&gt;"ยกเลิกลาออก",
            VLOOKUP(B1133, 'รายชื่อพนักงานลาออกพ้นสภาพ'!B:I, 7, FALSE)&lt;=TODAY()
        ),
        "ลาออกแล้ว",
        ""
    ),
"")</f>
        <v/>
      </c>
      <c r="O1133" s="292" t="str">
        <f t="array" ref="O1133:P1133">IFERROR(INDEX(PCRent!C:D, MATCH(F1133 &amp; " " &amp; G1133, PCRent!A:A &amp; " " &amp; PCRent!B:B, 0)), "")</f>
        <v>SN:MP2AN2C6</v>
      </c>
      <c r="P1133" s="293" t="s">
        <v>9562</v>
      </c>
      <c r="Q1133" s="294" t="str">
        <f t="array" ref="Q1133">IFERROR(INDEX(MonitorRent!C:D, MATCH(F1133 &amp; " " &amp; G1133, MonitorRent!A:A &amp; " " &amp; MonitorRent!B:B, 0)), "")</f>
        <v/>
      </c>
      <c r="R1133" s="295"/>
    </row>
    <row r="1134">
      <c r="A1134" s="284">
        <v>1131.0</v>
      </c>
      <c r="B1134" s="285" t="s">
        <v>14440</v>
      </c>
      <c r="C1134" s="285" t="s">
        <v>6918</v>
      </c>
      <c r="D1134" s="286" t="s">
        <v>14441</v>
      </c>
      <c r="E1134" s="285" t="s">
        <v>6933</v>
      </c>
      <c r="F1134" s="285" t="s">
        <v>14442</v>
      </c>
      <c r="G1134" s="285" t="s">
        <v>14443</v>
      </c>
      <c r="H1134" s="285" t="s">
        <v>10741</v>
      </c>
      <c r="I1134" s="285" t="s">
        <v>14444</v>
      </c>
      <c r="J1134" s="285" t="s">
        <v>5012</v>
      </c>
      <c r="K1134" s="285" t="s">
        <v>9626</v>
      </c>
      <c r="L1134" s="285" t="s">
        <v>13172</v>
      </c>
      <c r="M1134" s="285" t="s">
        <v>9383</v>
      </c>
      <c r="N1134" s="287" t="str">
        <f>IFERROR(
    IF(
        AND(
            VLOOKUP(B1134, 'รายชื่อพนักงานลาออกพ้นสภาพ'!B:I, 8, FALSE)&lt;&gt;"ยกเลิกลาออก",
            VLOOKUP(B1134, 'รายชื่อพนักงานลาออกพ้นสภาพ'!B:I, 7, FALSE)&lt;=TODAY()
        ),
        "ลาออกแล้ว",
        ""
    ),
"")</f>
        <v/>
      </c>
      <c r="O1134" s="292" t="str">
        <f t="array" ref="O1134">IFERROR(INDEX(PCRent!C:D, MATCH(F1134 &amp; " " &amp; G1134, PCRent!A:A &amp; " " &amp; PCRent!B:B, 0)), "")</f>
        <v/>
      </c>
      <c r="P1134" s="293"/>
      <c r="Q1134" s="294" t="str">
        <f t="array" ref="Q1134">IFERROR(INDEX(MonitorRent!C:D, MATCH(F1134 &amp; " " &amp; G1134, MonitorRent!A:A &amp; " " &amp; MonitorRent!B:B, 0)), "")</f>
        <v/>
      </c>
      <c r="R1134" s="295"/>
    </row>
    <row r="1135">
      <c r="A1135" s="284">
        <v>1132.0</v>
      </c>
      <c r="B1135" s="285" t="s">
        <v>8559</v>
      </c>
      <c r="C1135" s="285" t="s">
        <v>6918</v>
      </c>
      <c r="D1135" s="286" t="s">
        <v>14445</v>
      </c>
      <c r="E1135" s="285" t="s">
        <v>6921</v>
      </c>
      <c r="F1135" s="285" t="s">
        <v>14446</v>
      </c>
      <c r="G1135" s="285" t="s">
        <v>14447</v>
      </c>
      <c r="H1135" s="285" t="s">
        <v>9669</v>
      </c>
      <c r="I1135" s="285" t="s">
        <v>14448</v>
      </c>
      <c r="J1135" s="285" t="s">
        <v>5224</v>
      </c>
      <c r="K1135" s="285" t="s">
        <v>2062</v>
      </c>
      <c r="L1135" s="285" t="s">
        <v>2208</v>
      </c>
      <c r="M1135" s="285" t="s">
        <v>9383</v>
      </c>
      <c r="N1135" s="287" t="str">
        <f>IFERROR(
    IF(
        AND(
            VLOOKUP(B1135, 'รายชื่อพนักงานลาออกพ้นสภาพ'!B:I, 8, FALSE)&lt;&gt;"ยกเลิกลาออก",
            VLOOKUP(B1135, 'รายชื่อพนักงานลาออกพ้นสภาพ'!B:I, 7, FALSE)&lt;=TODAY()
        ),
        "ลาออกแล้ว",
        ""
    ),
"")</f>
        <v/>
      </c>
      <c r="O1135" s="292" t="str">
        <f t="array" ref="O1135">IFERROR(INDEX(PCRent!C:D, MATCH(F1135 &amp; " " &amp; G1135, PCRent!A:A &amp; " " &amp; PCRent!B:B, 0)), "")</f>
        <v/>
      </c>
      <c r="P1135" s="293"/>
      <c r="Q1135" s="294" t="str">
        <f t="array" ref="Q1135">IFERROR(INDEX(MonitorRent!C:D, MATCH(F1135 &amp; " " &amp; G1135, MonitorRent!A:A &amp; " " &amp; MonitorRent!B:B, 0)), "")</f>
        <v/>
      </c>
      <c r="R1135" s="295"/>
    </row>
    <row r="1136">
      <c r="A1136" s="284">
        <v>1133.0</v>
      </c>
      <c r="B1136" s="285" t="s">
        <v>8229</v>
      </c>
      <c r="C1136" s="285" t="s">
        <v>6918</v>
      </c>
      <c r="D1136" s="286" t="s">
        <v>14449</v>
      </c>
      <c r="E1136" s="285" t="s">
        <v>6933</v>
      </c>
      <c r="F1136" s="285" t="s">
        <v>14450</v>
      </c>
      <c r="G1136" s="285" t="s">
        <v>14451</v>
      </c>
      <c r="H1136" s="285" t="s">
        <v>14137</v>
      </c>
      <c r="I1136" s="285" t="s">
        <v>14452</v>
      </c>
      <c r="J1136" s="285" t="s">
        <v>5224</v>
      </c>
      <c r="K1136" s="285" t="s">
        <v>9474</v>
      </c>
      <c r="L1136" s="285" t="s">
        <v>13045</v>
      </c>
      <c r="M1136" s="285" t="s">
        <v>9383</v>
      </c>
      <c r="N1136" s="287" t="str">
        <f>IFERROR(
    IF(
        AND(
            VLOOKUP(B1136, 'รายชื่อพนักงานลาออกพ้นสภาพ'!B:I, 8, FALSE)&lt;&gt;"ยกเลิกลาออก",
            VLOOKUP(B1136, 'รายชื่อพนักงานลาออกพ้นสภาพ'!B:I, 7, FALSE)&lt;=TODAY()
        ),
        "ลาออกแล้ว",
        ""
    ),
"")</f>
        <v/>
      </c>
      <c r="O1136" s="292" t="str">
        <f t="array" ref="O1136:P1136">IFERROR(INDEX(PCRent!C:D, MATCH(F1136 &amp; " " &amp; G1136, PCRent!A:A &amp; " " &amp; PCRent!B:B, 0)), "")</f>
        <v>SN:MP2EJ2ZJ</v>
      </c>
      <c r="P1136" s="293" t="s">
        <v>6993</v>
      </c>
      <c r="Q1136" s="294" t="str">
        <f t="array" ref="Q1136">IFERROR(INDEX(MonitorRent!C:D, MATCH(F1136 &amp; " " &amp; G1136, MonitorRent!A:A &amp; " " &amp; MonitorRent!B:B, 0)), "")</f>
        <v/>
      </c>
      <c r="R1136" s="295"/>
    </row>
    <row r="1137">
      <c r="A1137" s="284">
        <v>1134.0</v>
      </c>
      <c r="B1137" s="285" t="s">
        <v>14453</v>
      </c>
      <c r="C1137" s="285" t="s">
        <v>6918</v>
      </c>
      <c r="D1137" s="286" t="s">
        <v>10045</v>
      </c>
      <c r="E1137" s="285" t="s">
        <v>6921</v>
      </c>
      <c r="F1137" s="285" t="s">
        <v>14454</v>
      </c>
      <c r="G1137" s="285" t="s">
        <v>14455</v>
      </c>
      <c r="H1137" s="285" t="s">
        <v>11574</v>
      </c>
      <c r="I1137" s="285" t="s">
        <v>14456</v>
      </c>
      <c r="J1137" s="285" t="s">
        <v>5012</v>
      </c>
      <c r="K1137" s="285" t="s">
        <v>3000</v>
      </c>
      <c r="L1137" s="285" t="s">
        <v>13390</v>
      </c>
      <c r="M1137" s="285" t="s">
        <v>9383</v>
      </c>
      <c r="N1137" s="287" t="str">
        <f>IFERROR(
    IF(
        AND(
            VLOOKUP(B1137, 'รายชื่อพนักงานลาออกพ้นสภาพ'!B:I, 8, FALSE)&lt;&gt;"ยกเลิกลาออก",
            VLOOKUP(B1137, 'รายชื่อพนักงานลาออกพ้นสภาพ'!B:I, 7, FALSE)&lt;=TODAY()
        ),
        "ลาออกแล้ว",
        ""
    ),
"")</f>
        <v/>
      </c>
      <c r="O1137" s="292" t="str">
        <f t="array" ref="O1137:P1137">IFERROR(INDEX(PCRent!C:D, MATCH(F1137 &amp; " " &amp; G1137, PCRent!A:A &amp; " " &amp; PCRent!B:B, 0)), "")</f>
        <v>SN:CDD0HY3</v>
      </c>
      <c r="P1137" s="293" t="s">
        <v>7048</v>
      </c>
      <c r="Q1137" s="294" t="str">
        <f t="array" ref="Q1137:R1137">IFERROR(INDEX(MonitorRent!C:D, MATCH(F1137 &amp; " " &amp; G1137, MonitorRent!A:A &amp; " " &amp; MonitorRent!B:B, 0)), "")</f>
        <v>SN:C7HLYV3</v>
      </c>
      <c r="R1137" s="295" t="s">
        <v>7050</v>
      </c>
    </row>
    <row r="1138">
      <c r="A1138" s="284">
        <v>1135.0</v>
      </c>
      <c r="B1138" s="285" t="s">
        <v>8476</v>
      </c>
      <c r="C1138" s="285" t="s">
        <v>6918</v>
      </c>
      <c r="D1138" s="286" t="s">
        <v>11937</v>
      </c>
      <c r="E1138" s="285" t="s">
        <v>6921</v>
      </c>
      <c r="F1138" s="285" t="s">
        <v>14457</v>
      </c>
      <c r="G1138" s="285" t="s">
        <v>14458</v>
      </c>
      <c r="H1138" s="285" t="s">
        <v>10048</v>
      </c>
      <c r="I1138" s="285" t="s">
        <v>14459</v>
      </c>
      <c r="J1138" s="285" t="s">
        <v>5224</v>
      </c>
      <c r="K1138" s="285" t="s">
        <v>14460</v>
      </c>
      <c r="L1138" s="285" t="s">
        <v>8472</v>
      </c>
      <c r="M1138" s="285" t="s">
        <v>9383</v>
      </c>
      <c r="N1138" s="287" t="str">
        <f>IFERROR(
    IF(
        AND(
            VLOOKUP(B1138, 'รายชื่อพนักงานลาออกพ้นสภาพ'!B:I, 8, FALSE)&lt;&gt;"ยกเลิกลาออก",
            VLOOKUP(B1138, 'รายชื่อพนักงานลาออกพ้นสภาพ'!B:I, 7, FALSE)&lt;=TODAY()
        ),
        "ลาออกแล้ว",
        ""
    ),
"")</f>
        <v/>
      </c>
      <c r="O1138" s="292" t="str">
        <f t="array" ref="O1138">IFERROR(INDEX(PCRent!C:D, MATCH(F1138 &amp; " " &amp; G1138, PCRent!A:A &amp; " " &amp; PCRent!B:B, 0)), "")</f>
        <v/>
      </c>
      <c r="P1138" s="293"/>
      <c r="Q1138" s="294" t="str">
        <f t="array" ref="Q1138">IFERROR(INDEX(MonitorRent!C:D, MATCH(F1138 &amp; " " &amp; G1138, MonitorRent!A:A &amp; " " &amp; MonitorRent!B:B, 0)), "")</f>
        <v/>
      </c>
      <c r="R1138" s="295"/>
    </row>
    <row r="1139">
      <c r="A1139" s="284">
        <v>1136.0</v>
      </c>
      <c r="B1139" s="285" t="s">
        <v>14461</v>
      </c>
      <c r="C1139" s="285" t="s">
        <v>6918</v>
      </c>
      <c r="D1139" s="286" t="s">
        <v>10485</v>
      </c>
      <c r="E1139" s="285" t="s">
        <v>6933</v>
      </c>
      <c r="F1139" s="285" t="s">
        <v>14462</v>
      </c>
      <c r="G1139" s="285" t="s">
        <v>14463</v>
      </c>
      <c r="H1139" s="285" t="s">
        <v>13778</v>
      </c>
      <c r="I1139" s="285" t="s">
        <v>14464</v>
      </c>
      <c r="J1139" s="285" t="s">
        <v>5012</v>
      </c>
      <c r="K1139" s="285" t="s">
        <v>9521</v>
      </c>
      <c r="L1139" s="285" t="s">
        <v>1888</v>
      </c>
      <c r="M1139" s="285" t="s">
        <v>9383</v>
      </c>
      <c r="N1139" s="287" t="str">
        <f>IFERROR(
    IF(
        AND(
            VLOOKUP(B1139, 'รายชื่อพนักงานลาออกพ้นสภาพ'!B:I, 8, FALSE)&lt;&gt;"ยกเลิกลาออก",
            VLOOKUP(B1139, 'รายชื่อพนักงานลาออกพ้นสภาพ'!B:I, 7, FALSE)&lt;=TODAY()
        ),
        "ลาออกแล้ว",
        ""
    ),
"")</f>
        <v/>
      </c>
      <c r="O1139" s="292" t="str">
        <f t="array" ref="O1139">IFERROR(INDEX(PCRent!C:D, MATCH(F1139 &amp; " " &amp; G1139, PCRent!A:A &amp; " " &amp; PCRent!B:B, 0)), "")</f>
        <v/>
      </c>
      <c r="P1139" s="293"/>
      <c r="Q1139" s="294" t="str">
        <f t="array" ref="Q1139">IFERROR(INDEX(MonitorRent!C:D, MATCH(F1139 &amp; " " &amp; G1139, MonitorRent!A:A &amp; " " &amp; MonitorRent!B:B, 0)), "")</f>
        <v/>
      </c>
      <c r="R1139" s="295"/>
    </row>
    <row r="1140">
      <c r="A1140" s="284">
        <v>1137.0</v>
      </c>
      <c r="B1140" s="285" t="s">
        <v>7799</v>
      </c>
      <c r="C1140" s="285" t="s">
        <v>6918</v>
      </c>
      <c r="D1140" s="286" t="s">
        <v>10613</v>
      </c>
      <c r="E1140" s="285" t="s">
        <v>6921</v>
      </c>
      <c r="F1140" s="285" t="s">
        <v>14465</v>
      </c>
      <c r="G1140" s="285" t="s">
        <v>14466</v>
      </c>
      <c r="H1140" s="285" t="s">
        <v>10073</v>
      </c>
      <c r="I1140" s="285" t="s">
        <v>14467</v>
      </c>
      <c r="J1140" s="285" t="s">
        <v>5224</v>
      </c>
      <c r="K1140" s="285" t="s">
        <v>9404</v>
      </c>
      <c r="L1140" s="285" t="s">
        <v>5890</v>
      </c>
      <c r="M1140" s="285" t="s">
        <v>9383</v>
      </c>
      <c r="N1140" s="287" t="str">
        <f>IFERROR(
    IF(
        AND(
            VLOOKUP(B1140, 'รายชื่อพนักงานลาออกพ้นสภาพ'!B:I, 8, FALSE)&lt;&gt;"ยกเลิกลาออก",
            VLOOKUP(B1140, 'รายชื่อพนักงานลาออกพ้นสภาพ'!B:I, 7, FALSE)&lt;=TODAY()
        ),
        "ลาออกแล้ว",
        ""
    ),
"")</f>
        <v/>
      </c>
      <c r="O1140" s="292" t="str">
        <f t="array" ref="O1140:P1140">IFERROR(INDEX(PCRent!C:D, MATCH(F1140 &amp; " " &amp; G1140, PCRent!A:A &amp; " " &amp; PCRent!B:B, 0)), "")</f>
        <v>SN:PF3A0YSP</v>
      </c>
      <c r="P1140" s="293" t="s">
        <v>7005</v>
      </c>
      <c r="Q1140" s="294" t="str">
        <f t="array" ref="Q1140">IFERROR(INDEX(MonitorRent!C:D, MATCH(F1140 &amp; " " &amp; G1140, MonitorRent!A:A &amp; " " &amp; MonitorRent!B:B, 0)), "")</f>
        <v/>
      </c>
      <c r="R1140" s="295"/>
    </row>
    <row r="1141">
      <c r="A1141" s="284">
        <v>1138.0</v>
      </c>
      <c r="B1141" s="285" t="s">
        <v>8189</v>
      </c>
      <c r="C1141" s="285" t="s">
        <v>6918</v>
      </c>
      <c r="D1141" s="286" t="s">
        <v>11877</v>
      </c>
      <c r="E1141" s="285" t="s">
        <v>6933</v>
      </c>
      <c r="F1141" s="285" t="s">
        <v>14468</v>
      </c>
      <c r="G1141" s="285" t="s">
        <v>14469</v>
      </c>
      <c r="H1141" s="285" t="s">
        <v>14273</v>
      </c>
      <c r="I1141" s="285" t="s">
        <v>14470</v>
      </c>
      <c r="J1141" s="285" t="s">
        <v>5224</v>
      </c>
      <c r="K1141" s="285" t="s">
        <v>4756</v>
      </c>
      <c r="L1141" s="285" t="s">
        <v>13030</v>
      </c>
      <c r="M1141" s="285" t="s">
        <v>9383</v>
      </c>
      <c r="N1141" s="287" t="str">
        <f>IFERROR(
    IF(
        AND(
            VLOOKUP(B1141, 'รายชื่อพนักงานลาออกพ้นสภาพ'!B:I, 8, FALSE)&lt;&gt;"ยกเลิกลาออก",
            VLOOKUP(B1141, 'รายชื่อพนักงานลาออกพ้นสภาพ'!B:I, 7, FALSE)&lt;=TODAY()
        ),
        "ลาออกแล้ว",
        ""
    ),
"")</f>
        <v/>
      </c>
      <c r="O1141" s="292" t="str">
        <f t="array" ref="O1141:P1141">IFERROR(INDEX(PCRent!C:D, MATCH(F1141 &amp; " " &amp; G1141, PCRent!A:A &amp; " " &amp; PCRent!B:B, 0)), "")</f>
        <v>SN:MP2EJ0N0</v>
      </c>
      <c r="P1141" s="293" t="s">
        <v>6993</v>
      </c>
      <c r="Q1141" s="294" t="str">
        <f t="array" ref="Q1141">IFERROR(INDEX(MonitorRent!C:D, MATCH(F1141 &amp; " " &amp; G1141, MonitorRent!A:A &amp; " " &amp; MonitorRent!B:B, 0)), "")</f>
        <v/>
      </c>
      <c r="R1141" s="295"/>
    </row>
    <row r="1142">
      <c r="A1142" s="284">
        <v>1139.0</v>
      </c>
      <c r="B1142" s="285" t="s">
        <v>7182</v>
      </c>
      <c r="C1142" s="285" t="s">
        <v>6918</v>
      </c>
      <c r="D1142" s="286" t="s">
        <v>14471</v>
      </c>
      <c r="E1142" s="285" t="s">
        <v>6921</v>
      </c>
      <c r="F1142" s="285" t="s">
        <v>9719</v>
      </c>
      <c r="G1142" s="285" t="s">
        <v>14472</v>
      </c>
      <c r="H1142" s="285" t="s">
        <v>14473</v>
      </c>
      <c r="I1142" s="285" t="s">
        <v>14474</v>
      </c>
      <c r="J1142" s="285" t="s">
        <v>5224</v>
      </c>
      <c r="K1142" s="285" t="s">
        <v>9836</v>
      </c>
      <c r="L1142" s="285" t="s">
        <v>1602</v>
      </c>
      <c r="M1142" s="285" t="s">
        <v>9383</v>
      </c>
      <c r="N1142" s="287" t="str">
        <f>IFERROR(
    IF(
        AND(
            VLOOKUP(B1142, 'รายชื่อพนักงานลาออกพ้นสภาพ'!B:I, 8, FALSE)&lt;&gt;"ยกเลิกลาออก",
            VLOOKUP(B1142, 'รายชื่อพนักงานลาออกพ้นสภาพ'!B:I, 7, FALSE)&lt;=TODAY()
        ),
        "ลาออกแล้ว",
        ""
    ),
"")</f>
        <v/>
      </c>
      <c r="O1142" s="292" t="str">
        <f t="array" ref="O1142">IFERROR(INDEX(PCRent!C:D, MATCH(F1142 &amp; " " &amp; G1142, PCRent!A:A &amp; " " &amp; PCRent!B:B, 0)), "")</f>
        <v/>
      </c>
      <c r="P1142" s="293"/>
      <c r="Q1142" s="294" t="str">
        <f t="array" ref="Q1142">IFERROR(INDEX(MonitorRent!C:D, MATCH(F1142 &amp; " " &amp; G1142, MonitorRent!A:A &amp; " " &amp; MonitorRent!B:B, 0)), "")</f>
        <v/>
      </c>
      <c r="R1142" s="295"/>
    </row>
    <row r="1143">
      <c r="A1143" s="284">
        <v>1140.0</v>
      </c>
      <c r="B1143" s="285" t="s">
        <v>8518</v>
      </c>
      <c r="C1143" s="285" t="s">
        <v>6918</v>
      </c>
      <c r="D1143" s="286" t="s">
        <v>11371</v>
      </c>
      <c r="E1143" s="285" t="s">
        <v>6921</v>
      </c>
      <c r="F1143" s="285" t="s">
        <v>14475</v>
      </c>
      <c r="G1143" s="285" t="s">
        <v>14476</v>
      </c>
      <c r="H1143" s="285" t="s">
        <v>14477</v>
      </c>
      <c r="I1143" s="285" t="s">
        <v>14478</v>
      </c>
      <c r="J1143" s="285" t="s">
        <v>5224</v>
      </c>
      <c r="K1143" s="285" t="s">
        <v>13362</v>
      </c>
      <c r="L1143" s="285" t="s">
        <v>13363</v>
      </c>
      <c r="M1143" s="285" t="s">
        <v>9383</v>
      </c>
      <c r="N1143" s="287" t="str">
        <f>IFERROR(
    IF(
        AND(
            VLOOKUP(B1143, 'รายชื่อพนักงานลาออกพ้นสภาพ'!B:I, 8, FALSE)&lt;&gt;"ยกเลิกลาออก",
            VLOOKUP(B1143, 'รายชื่อพนักงานลาออกพ้นสภาพ'!B:I, 7, FALSE)&lt;=TODAY()
        ),
        "ลาออกแล้ว",
        ""
    ),
"")</f>
        <v/>
      </c>
      <c r="O1143" s="292" t="str">
        <f t="array" ref="O1143">IFERROR(INDEX(PCRent!C:D, MATCH(F1143 &amp; " " &amp; G1143, PCRent!A:A &amp; " " &amp; PCRent!B:B, 0)), "")</f>
        <v/>
      </c>
      <c r="P1143" s="293"/>
      <c r="Q1143" s="294" t="str">
        <f t="array" ref="Q1143">IFERROR(INDEX(MonitorRent!C:D, MATCH(F1143 &amp; " " &amp; G1143, MonitorRent!A:A &amp; " " &amp; MonitorRent!B:B, 0)), "")</f>
        <v/>
      </c>
      <c r="R1143" s="295"/>
    </row>
    <row r="1144">
      <c r="A1144" s="284">
        <v>1141.0</v>
      </c>
      <c r="B1144" s="285" t="s">
        <v>7395</v>
      </c>
      <c r="C1144" s="285" t="s">
        <v>6918</v>
      </c>
      <c r="D1144" s="286" t="s">
        <v>14479</v>
      </c>
      <c r="E1144" s="285" t="s">
        <v>6921</v>
      </c>
      <c r="F1144" s="285" t="s">
        <v>14480</v>
      </c>
      <c r="G1144" s="285" t="s">
        <v>14481</v>
      </c>
      <c r="H1144" s="285" t="s">
        <v>14482</v>
      </c>
      <c r="I1144" s="285" t="s">
        <v>14483</v>
      </c>
      <c r="J1144" s="285" t="s">
        <v>5224</v>
      </c>
      <c r="K1144" s="285" t="s">
        <v>2300</v>
      </c>
      <c r="L1144" s="285" t="s">
        <v>12776</v>
      </c>
      <c r="M1144" s="285" t="s">
        <v>9383</v>
      </c>
      <c r="N1144" s="287" t="str">
        <f>IFERROR(
    IF(
        AND(
            VLOOKUP(B1144, 'รายชื่อพนักงานลาออกพ้นสภาพ'!B:I, 8, FALSE)&lt;&gt;"ยกเลิกลาออก",
            VLOOKUP(B1144, 'รายชื่อพนักงานลาออกพ้นสภาพ'!B:I, 7, FALSE)&lt;=TODAY()
        ),
        "ลาออกแล้ว",
        ""
    ),
"")</f>
        <v/>
      </c>
      <c r="O1144" s="292" t="str">
        <f t="array" ref="O1144">IFERROR(INDEX(PCRent!C:D, MATCH(F1144 &amp; " " &amp; G1144, PCRent!A:A &amp; " " &amp; PCRent!B:B, 0)), "")</f>
        <v/>
      </c>
      <c r="P1144" s="293"/>
      <c r="Q1144" s="294" t="str">
        <f t="array" ref="Q1144">IFERROR(INDEX(MonitorRent!C:D, MATCH(F1144 &amp; " " &amp; G1144, MonitorRent!A:A &amp; " " &amp; MonitorRent!B:B, 0)), "")</f>
        <v/>
      </c>
      <c r="R1144" s="295"/>
    </row>
    <row r="1145">
      <c r="A1145" s="284">
        <v>1142.0</v>
      </c>
      <c r="B1145" s="285" t="s">
        <v>14484</v>
      </c>
      <c r="C1145" s="285" t="s">
        <v>6918</v>
      </c>
      <c r="D1145" s="286" t="s">
        <v>14485</v>
      </c>
      <c r="E1145" s="285" t="s">
        <v>6933</v>
      </c>
      <c r="F1145" s="285" t="s">
        <v>14486</v>
      </c>
      <c r="G1145" s="285" t="s">
        <v>14487</v>
      </c>
      <c r="H1145" s="296"/>
      <c r="I1145" s="296"/>
      <c r="J1145" s="285" t="s">
        <v>5224</v>
      </c>
      <c r="K1145" s="285" t="s">
        <v>12321</v>
      </c>
      <c r="L1145" s="285" t="s">
        <v>8609</v>
      </c>
      <c r="M1145" s="285" t="s">
        <v>9383</v>
      </c>
      <c r="N1145" s="287" t="str">
        <f>IFERROR(
    IF(
        AND(
            VLOOKUP(B1145, 'รายชื่อพนักงานลาออกพ้นสภาพ'!B:I, 8, FALSE)&lt;&gt;"ยกเลิกลาออก",
            VLOOKUP(B1145, 'รายชื่อพนักงานลาออกพ้นสภาพ'!B:I, 7, FALSE)&lt;=TODAY()
        ),
        "ลาออกแล้ว",
        ""
    ),
"")</f>
        <v/>
      </c>
      <c r="O1145" s="292" t="str">
        <f t="array" ref="O1145">IFERROR(INDEX(PCRent!C:D, MATCH(F1145 &amp; " " &amp; G1145, PCRent!A:A &amp; " " &amp; PCRent!B:B, 0)), "")</f>
        <v/>
      </c>
      <c r="P1145" s="293"/>
      <c r="Q1145" s="294" t="str">
        <f t="array" ref="Q1145">IFERROR(INDEX(MonitorRent!C:D, MATCH(F1145 &amp; " " &amp; G1145, MonitorRent!A:A &amp; " " &amp; MonitorRent!B:B, 0)), "")</f>
        <v/>
      </c>
      <c r="R1145" s="295"/>
    </row>
    <row r="1146">
      <c r="A1146" s="284">
        <v>1143.0</v>
      </c>
      <c r="B1146" s="285" t="s">
        <v>8628</v>
      </c>
      <c r="C1146" s="285" t="s">
        <v>6918</v>
      </c>
      <c r="D1146" s="286" t="s">
        <v>14488</v>
      </c>
      <c r="E1146" s="285" t="s">
        <v>6933</v>
      </c>
      <c r="F1146" s="285" t="s">
        <v>14489</v>
      </c>
      <c r="G1146" s="285" t="s">
        <v>14490</v>
      </c>
      <c r="H1146" s="285" t="s">
        <v>10812</v>
      </c>
      <c r="I1146" s="285" t="s">
        <v>14491</v>
      </c>
      <c r="J1146" s="285" t="s">
        <v>5224</v>
      </c>
      <c r="K1146" s="285" t="s">
        <v>10437</v>
      </c>
      <c r="L1146" s="285" t="s">
        <v>8609</v>
      </c>
      <c r="M1146" s="285" t="s">
        <v>9383</v>
      </c>
      <c r="N1146" s="287" t="str">
        <f>IFERROR(
    IF(
        AND(
            VLOOKUP(B1146, 'รายชื่อพนักงานลาออกพ้นสภาพ'!B:I, 8, FALSE)&lt;&gt;"ยกเลิกลาออก",
            VLOOKUP(B1146, 'รายชื่อพนักงานลาออกพ้นสภาพ'!B:I, 7, FALSE)&lt;=TODAY()
        ),
        "ลาออกแล้ว",
        ""
    ),
"")</f>
        <v/>
      </c>
      <c r="O1146" s="292" t="str">
        <f t="array" ref="O1146">IFERROR(INDEX(PCRent!C:D, MATCH(F1146 &amp; " " &amp; G1146, PCRent!A:A &amp; " " &amp; PCRent!B:B, 0)), "")</f>
        <v/>
      </c>
      <c r="P1146" s="293"/>
      <c r="Q1146" s="294" t="str">
        <f t="array" ref="Q1146">IFERROR(INDEX(MonitorRent!C:D, MATCH(F1146 &amp; " " &amp; G1146, MonitorRent!A:A &amp; " " &amp; MonitorRent!B:B, 0)), "")</f>
        <v/>
      </c>
      <c r="R1146" s="295"/>
    </row>
    <row r="1147">
      <c r="A1147" s="284">
        <v>1144.0</v>
      </c>
      <c r="B1147" s="285" t="s">
        <v>14492</v>
      </c>
      <c r="C1147" s="285" t="s">
        <v>6918</v>
      </c>
      <c r="D1147" s="286" t="s">
        <v>11486</v>
      </c>
      <c r="E1147" s="285" t="s">
        <v>6933</v>
      </c>
      <c r="F1147" s="285" t="s">
        <v>14493</v>
      </c>
      <c r="G1147" s="285" t="s">
        <v>14494</v>
      </c>
      <c r="H1147" s="285" t="s">
        <v>14495</v>
      </c>
      <c r="I1147" s="285" t="s">
        <v>14496</v>
      </c>
      <c r="J1147" s="285" t="s">
        <v>5012</v>
      </c>
      <c r="K1147" s="285" t="s">
        <v>13937</v>
      </c>
      <c r="L1147" s="285" t="s">
        <v>9734</v>
      </c>
      <c r="M1147" s="285" t="s">
        <v>9383</v>
      </c>
      <c r="N1147" s="287" t="str">
        <f>IFERROR(
    IF(
        AND(
            VLOOKUP(B1147, 'รายชื่อพนักงานลาออกพ้นสภาพ'!B:I, 8, FALSE)&lt;&gt;"ยกเลิกลาออก",
            VLOOKUP(B1147, 'รายชื่อพนักงานลาออกพ้นสภาพ'!B:I, 7, FALSE)&lt;=TODAY()
        ),
        "ลาออกแล้ว",
        ""
    ),
"")</f>
        <v/>
      </c>
      <c r="O1147" s="292" t="str">
        <f t="array" ref="O1147">IFERROR(INDEX(PCRent!C:D, MATCH(F1147 &amp; " " &amp; G1147, PCRent!A:A &amp; " " &amp; PCRent!B:B, 0)), "")</f>
        <v/>
      </c>
      <c r="P1147" s="293"/>
      <c r="Q1147" s="294" t="str">
        <f t="array" ref="Q1147">IFERROR(INDEX(MonitorRent!C:D, MATCH(F1147 &amp; " " &amp; G1147, MonitorRent!A:A &amp; " " &amp; MonitorRent!B:B, 0)), "")</f>
        <v/>
      </c>
      <c r="R1147" s="295"/>
    </row>
    <row r="1148">
      <c r="A1148" s="284">
        <v>1145.0</v>
      </c>
      <c r="B1148" s="285" t="s">
        <v>7870</v>
      </c>
      <c r="C1148" s="285" t="s">
        <v>6918</v>
      </c>
      <c r="D1148" s="286" t="s">
        <v>12703</v>
      </c>
      <c r="E1148" s="285" t="s">
        <v>6933</v>
      </c>
      <c r="F1148" s="285" t="s">
        <v>14497</v>
      </c>
      <c r="G1148" s="285" t="s">
        <v>14498</v>
      </c>
      <c r="H1148" s="285" t="s">
        <v>13514</v>
      </c>
      <c r="I1148" s="285" t="s">
        <v>14499</v>
      </c>
      <c r="J1148" s="285" t="s">
        <v>5224</v>
      </c>
      <c r="K1148" s="285" t="s">
        <v>14500</v>
      </c>
      <c r="L1148" s="285" t="s">
        <v>7857</v>
      </c>
      <c r="M1148" s="285" t="s">
        <v>9383</v>
      </c>
      <c r="N1148" s="287" t="str">
        <f>IFERROR(
    IF(
        AND(
            VLOOKUP(B1148, 'รายชื่อพนักงานลาออกพ้นสภาพ'!B:I, 8, FALSE)&lt;&gt;"ยกเลิกลาออก",
            VLOOKUP(B1148, 'รายชื่อพนักงานลาออกพ้นสภาพ'!B:I, 7, FALSE)&lt;=TODAY()
        ),
        "ลาออกแล้ว",
        ""
    ),
"")</f>
        <v/>
      </c>
      <c r="O1148" s="292" t="str">
        <f t="array" ref="O1148">IFERROR(INDEX(PCRent!C:D, MATCH(F1148 &amp; " " &amp; G1148, PCRent!A:A &amp; " " &amp; PCRent!B:B, 0)), "")</f>
        <v/>
      </c>
      <c r="P1148" s="293"/>
      <c r="Q1148" s="294" t="str">
        <f t="array" ref="Q1148">IFERROR(INDEX(MonitorRent!C:D, MATCH(F1148 &amp; " " &amp; G1148, MonitorRent!A:A &amp; " " &amp; MonitorRent!B:B, 0)), "")</f>
        <v/>
      </c>
      <c r="R1148" s="295"/>
    </row>
    <row r="1149">
      <c r="A1149" s="284">
        <v>1146.0</v>
      </c>
      <c r="B1149" s="285" t="s">
        <v>8706</v>
      </c>
      <c r="C1149" s="285" t="s">
        <v>6918</v>
      </c>
      <c r="D1149" s="286" t="s">
        <v>12742</v>
      </c>
      <c r="E1149" s="285" t="s">
        <v>6933</v>
      </c>
      <c r="F1149" s="285" t="s">
        <v>12743</v>
      </c>
      <c r="G1149" s="285" t="s">
        <v>12744</v>
      </c>
      <c r="H1149" s="285" t="s">
        <v>12745</v>
      </c>
      <c r="I1149" s="285" t="s">
        <v>12746</v>
      </c>
      <c r="J1149" s="285" t="s">
        <v>5012</v>
      </c>
      <c r="K1149" s="285" t="s">
        <v>4805</v>
      </c>
      <c r="L1149" s="285" t="s">
        <v>8708</v>
      </c>
      <c r="M1149" s="285" t="s">
        <v>9383</v>
      </c>
      <c r="N1149" s="287" t="str">
        <f>IFERROR(
    IF(
        AND(
            VLOOKUP(B1149, 'รายชื่อพนักงานลาออกพ้นสภาพ'!B:I, 8, FALSE)&lt;&gt;"ยกเลิกลาออก",
            VLOOKUP(B1149, 'รายชื่อพนักงานลาออกพ้นสภาพ'!B:I, 7, FALSE)&lt;=TODAY()
        ),
        "ลาออกแล้ว",
        ""
    ),
"")</f>
        <v/>
      </c>
      <c r="O1149" s="292" t="str">
        <f t="array" ref="O1149:P1149">IFERROR(INDEX(PCRent!C:D, MATCH(F1149 &amp; " " &amp; G1149, PCRent!A:A &amp; " " &amp; PCRent!B:B, 0)), "")</f>
        <v>SN:PF39FJT1</v>
      </c>
      <c r="P1149" s="293" t="s">
        <v>7005</v>
      </c>
      <c r="Q1149" s="294" t="str">
        <f t="array" ref="Q1149">IFERROR(INDEX(MonitorRent!C:D, MATCH(F1149 &amp; " " &amp; G1149, MonitorRent!A:A &amp; " " &amp; MonitorRent!B:B, 0)), "")</f>
        <v/>
      </c>
      <c r="R1149" s="295"/>
    </row>
    <row r="1150">
      <c r="A1150" s="284">
        <v>1147.0</v>
      </c>
      <c r="B1150" s="285" t="s">
        <v>8162</v>
      </c>
      <c r="C1150" s="285" t="s">
        <v>6918</v>
      </c>
      <c r="D1150" s="286" t="s">
        <v>11296</v>
      </c>
      <c r="E1150" s="285" t="s">
        <v>6933</v>
      </c>
      <c r="F1150" s="285" t="s">
        <v>14501</v>
      </c>
      <c r="G1150" s="285" t="s">
        <v>14502</v>
      </c>
      <c r="H1150" s="285" t="s">
        <v>9579</v>
      </c>
      <c r="I1150" s="285" t="s">
        <v>14503</v>
      </c>
      <c r="J1150" s="285" t="s">
        <v>5224</v>
      </c>
      <c r="K1150" s="285" t="s">
        <v>13352</v>
      </c>
      <c r="L1150" s="285" t="s">
        <v>14504</v>
      </c>
      <c r="M1150" s="285" t="s">
        <v>9383</v>
      </c>
      <c r="N1150" s="287" t="str">
        <f>IFERROR(
    IF(
        AND(
            VLOOKUP(B1150, 'รายชื่อพนักงานลาออกพ้นสภาพ'!B:I, 8, FALSE)&lt;&gt;"ยกเลิกลาออก",
            VLOOKUP(B1150, 'รายชื่อพนักงานลาออกพ้นสภาพ'!B:I, 7, FALSE)&lt;=TODAY()
        ),
        "ลาออกแล้ว",
        ""
    ),
"")</f>
        <v/>
      </c>
      <c r="O1150" s="292" t="str">
        <f t="array" ref="O1150">IFERROR(INDEX(PCRent!C:D, MATCH(F1150 &amp; " " &amp; G1150, PCRent!A:A &amp; " " &amp; PCRent!B:B, 0)), "")</f>
        <v/>
      </c>
      <c r="P1150" s="293"/>
      <c r="Q1150" s="294" t="str">
        <f t="array" ref="Q1150">IFERROR(INDEX(MonitorRent!C:D, MATCH(F1150 &amp; " " &amp; G1150, MonitorRent!A:A &amp; " " &amp; MonitorRent!B:B, 0)), "")</f>
        <v/>
      </c>
      <c r="R1150" s="295"/>
    </row>
    <row r="1151">
      <c r="A1151" s="284">
        <v>1148.0</v>
      </c>
      <c r="B1151" s="285" t="s">
        <v>14505</v>
      </c>
      <c r="C1151" s="285" t="s">
        <v>6918</v>
      </c>
      <c r="D1151" s="286" t="s">
        <v>14506</v>
      </c>
      <c r="E1151" s="285" t="s">
        <v>6933</v>
      </c>
      <c r="F1151" s="285" t="s">
        <v>14507</v>
      </c>
      <c r="G1151" s="285" t="s">
        <v>14508</v>
      </c>
      <c r="H1151" s="285" t="s">
        <v>10444</v>
      </c>
      <c r="I1151" s="285" t="s">
        <v>14509</v>
      </c>
      <c r="J1151" s="285" t="s">
        <v>5012</v>
      </c>
      <c r="K1151" s="285" t="s">
        <v>12401</v>
      </c>
      <c r="L1151" s="285" t="s">
        <v>13501</v>
      </c>
      <c r="M1151" s="285" t="s">
        <v>9383</v>
      </c>
      <c r="N1151" s="287" t="str">
        <f>IFERROR(
    IF(
        AND(
            VLOOKUP(B1151, 'รายชื่อพนักงานลาออกพ้นสภาพ'!B:I, 8, FALSE)&lt;&gt;"ยกเลิกลาออก",
            VLOOKUP(B1151, 'รายชื่อพนักงานลาออกพ้นสภาพ'!B:I, 7, FALSE)&lt;=TODAY()
        ),
        "ลาออกแล้ว",
        ""
    ),
"")</f>
        <v/>
      </c>
      <c r="O1151" s="292" t="str">
        <f t="array" ref="O1151">IFERROR(INDEX(PCRent!C:D, MATCH(F1151 &amp; " " &amp; G1151, PCRent!A:A &amp; " " &amp; PCRent!B:B, 0)), "")</f>
        <v/>
      </c>
      <c r="P1151" s="293"/>
      <c r="Q1151" s="294" t="str">
        <f t="array" ref="Q1151">IFERROR(INDEX(MonitorRent!C:D, MATCH(F1151 &amp; " " &amp; G1151, MonitorRent!A:A &amp; " " &amp; MonitorRent!B:B, 0)), "")</f>
        <v/>
      </c>
      <c r="R1151" s="295"/>
    </row>
    <row r="1152">
      <c r="A1152" s="284">
        <v>1149.0</v>
      </c>
      <c r="B1152" s="285" t="s">
        <v>14510</v>
      </c>
      <c r="C1152" s="285" t="s">
        <v>6918</v>
      </c>
      <c r="D1152" s="286" t="s">
        <v>10485</v>
      </c>
      <c r="E1152" s="285" t="s">
        <v>6933</v>
      </c>
      <c r="F1152" s="285" t="s">
        <v>14511</v>
      </c>
      <c r="G1152" s="285" t="s">
        <v>14512</v>
      </c>
      <c r="H1152" s="285" t="s">
        <v>12030</v>
      </c>
      <c r="I1152" s="285" t="s">
        <v>14513</v>
      </c>
      <c r="J1152" s="285" t="s">
        <v>5012</v>
      </c>
      <c r="K1152" s="285" t="s">
        <v>9633</v>
      </c>
      <c r="L1152" s="285" t="s">
        <v>13390</v>
      </c>
      <c r="M1152" s="285" t="s">
        <v>9383</v>
      </c>
      <c r="N1152" s="287" t="str">
        <f>IFERROR(
    IF(
        AND(
            VLOOKUP(B1152, 'รายชื่อพนักงานลาออกพ้นสภาพ'!B:I, 8, FALSE)&lt;&gt;"ยกเลิกลาออก",
            VLOOKUP(B1152, 'รายชื่อพนักงานลาออกพ้นสภาพ'!B:I, 7, FALSE)&lt;=TODAY()
        ),
        "ลาออกแล้ว",
        ""
    ),
"")</f>
        <v/>
      </c>
      <c r="O1152" s="292" t="str">
        <f t="array" ref="O1152:P1152">IFERROR(INDEX(PCRent!C:D, MATCH(F1152 &amp; " " &amp; G1152, PCRent!A:A &amp; " " &amp; PCRent!B:B, 0)), "")</f>
        <v>SN:MP2E319W</v>
      </c>
      <c r="P1152" s="293" t="s">
        <v>6993</v>
      </c>
      <c r="Q1152" s="294" t="str">
        <f t="array" ref="Q1152">IFERROR(INDEX(MonitorRent!C:D, MATCH(F1152 &amp; " " &amp; G1152, MonitorRent!A:A &amp; " " &amp; MonitorRent!B:B, 0)), "")</f>
        <v/>
      </c>
      <c r="R1152" s="295"/>
    </row>
    <row r="1153">
      <c r="A1153" s="284">
        <v>1150.0</v>
      </c>
      <c r="B1153" s="285" t="s">
        <v>14514</v>
      </c>
      <c r="C1153" s="285" t="s">
        <v>6918</v>
      </c>
      <c r="D1153" s="286" t="s">
        <v>10412</v>
      </c>
      <c r="E1153" s="285" t="s">
        <v>6921</v>
      </c>
      <c r="F1153" s="285" t="s">
        <v>14515</v>
      </c>
      <c r="G1153" s="285" t="s">
        <v>13793</v>
      </c>
      <c r="H1153" s="285" t="s">
        <v>9691</v>
      </c>
      <c r="I1153" s="285" t="s">
        <v>14516</v>
      </c>
      <c r="J1153" s="285" t="s">
        <v>5012</v>
      </c>
      <c r="K1153" s="285" t="s">
        <v>6322</v>
      </c>
      <c r="L1153" s="285" t="s">
        <v>9812</v>
      </c>
      <c r="M1153" s="285" t="s">
        <v>9391</v>
      </c>
      <c r="N1153" s="287" t="str">
        <f>IFERROR(
    IF(
        AND(
            VLOOKUP(B1153, 'รายชื่อพนักงานลาออกพ้นสภาพ'!B:I, 8, FALSE)&lt;&gt;"ยกเลิกลาออก",
            VLOOKUP(B1153, 'รายชื่อพนักงานลาออกพ้นสภาพ'!B:I, 7, FALSE)&lt;=TODAY()
        ),
        "ลาออกแล้ว",
        ""
    ),
"")</f>
        <v/>
      </c>
      <c r="O1153" s="292" t="str">
        <f t="array" ref="O1153:P1153">IFERROR(INDEX(PCRent!C:D, MATCH(F1153 &amp; " " &amp; G1153, PCRent!A:A &amp; " " &amp; PCRent!B:B, 0)), "")</f>
        <v>SN:46ZNPY3</v>
      </c>
      <c r="P1153" s="293" t="s">
        <v>7048</v>
      </c>
      <c r="Q1153" s="294" t="str">
        <f t="array" ref="Q1153:R1153">IFERROR(INDEX(MonitorRent!C:D, MATCH(F1153 &amp; " " &amp; G1153, MonitorRent!A:A &amp; " " &amp; MonitorRent!B:B, 0)), "")</f>
        <v>SN:C7DNYV3</v>
      </c>
      <c r="R1153" s="295" t="s">
        <v>7050</v>
      </c>
    </row>
    <row r="1154">
      <c r="A1154" s="284">
        <v>1151.0</v>
      </c>
      <c r="B1154" s="285" t="s">
        <v>14517</v>
      </c>
      <c r="C1154" s="285" t="s">
        <v>6918</v>
      </c>
      <c r="D1154" s="286" t="s">
        <v>10501</v>
      </c>
      <c r="E1154" s="285" t="s">
        <v>6933</v>
      </c>
      <c r="F1154" s="285" t="s">
        <v>14518</v>
      </c>
      <c r="G1154" s="285" t="s">
        <v>14519</v>
      </c>
      <c r="H1154" s="285" t="s">
        <v>9538</v>
      </c>
      <c r="I1154" s="285" t="s">
        <v>14520</v>
      </c>
      <c r="J1154" s="285" t="s">
        <v>5012</v>
      </c>
      <c r="K1154" s="285" t="s">
        <v>14357</v>
      </c>
      <c r="L1154" s="285" t="s">
        <v>232</v>
      </c>
      <c r="M1154" s="285" t="s">
        <v>9383</v>
      </c>
      <c r="N1154" s="287" t="str">
        <f>IFERROR(
    IF(
        AND(
            VLOOKUP(B1154, 'รายชื่อพนักงานลาออกพ้นสภาพ'!B:I, 8, FALSE)&lt;&gt;"ยกเลิกลาออก",
            VLOOKUP(B1154, 'รายชื่อพนักงานลาออกพ้นสภาพ'!B:I, 7, FALSE)&lt;=TODAY()
        ),
        "ลาออกแล้ว",
        ""
    ),
"")</f>
        <v/>
      </c>
      <c r="O1154" s="292" t="str">
        <f t="array" ref="O1154">IFERROR(INDEX(PCRent!C:D, MATCH(F1154 &amp; " " &amp; G1154, PCRent!A:A &amp; " " &amp; PCRent!B:B, 0)), "")</f>
        <v/>
      </c>
      <c r="P1154" s="293"/>
      <c r="Q1154" s="294" t="str">
        <f t="array" ref="Q1154">IFERROR(INDEX(MonitorRent!C:D, MATCH(F1154 &amp; " " &amp; G1154, MonitorRent!A:A &amp; " " &amp; MonitorRent!B:B, 0)), "")</f>
        <v/>
      </c>
      <c r="R1154" s="295"/>
    </row>
    <row r="1155">
      <c r="A1155" s="284">
        <v>1152.0</v>
      </c>
      <c r="B1155" s="285" t="s">
        <v>14521</v>
      </c>
      <c r="C1155" s="285" t="s">
        <v>6918</v>
      </c>
      <c r="D1155" s="286" t="s">
        <v>10501</v>
      </c>
      <c r="E1155" s="285" t="s">
        <v>6921</v>
      </c>
      <c r="F1155" s="285" t="s">
        <v>14522</v>
      </c>
      <c r="G1155" s="285" t="s">
        <v>14523</v>
      </c>
      <c r="H1155" s="285" t="s">
        <v>10441</v>
      </c>
      <c r="I1155" s="285" t="s">
        <v>14524</v>
      </c>
      <c r="J1155" s="285" t="s">
        <v>5224</v>
      </c>
      <c r="K1155" s="285" t="s">
        <v>4749</v>
      </c>
      <c r="L1155" s="285" t="s">
        <v>14525</v>
      </c>
      <c r="M1155" s="285" t="s">
        <v>9383</v>
      </c>
      <c r="N1155" s="287" t="str">
        <f>IFERROR(
    IF(
        AND(
            VLOOKUP(B1155, 'รายชื่อพนักงานลาออกพ้นสภาพ'!B:I, 8, FALSE)&lt;&gt;"ยกเลิกลาออก",
            VLOOKUP(B1155, 'รายชื่อพนักงานลาออกพ้นสภาพ'!B:I, 7, FALSE)&lt;=TODAY()
        ),
        "ลาออกแล้ว",
        ""
    ),
"")</f>
        <v/>
      </c>
      <c r="O1155" s="292" t="str">
        <f t="array" ref="O1155">IFERROR(INDEX(PCRent!C:D, MATCH(F1155 &amp; " " &amp; G1155, PCRent!A:A &amp; " " &amp; PCRent!B:B, 0)), "")</f>
        <v/>
      </c>
      <c r="P1155" s="293"/>
      <c r="Q1155" s="294" t="str">
        <f t="array" ref="Q1155">IFERROR(INDEX(MonitorRent!C:D, MATCH(F1155 &amp; " " &amp; G1155, MonitorRent!A:A &amp; " " &amp; MonitorRent!B:B, 0)), "")</f>
        <v/>
      </c>
      <c r="R1155" s="295"/>
    </row>
    <row r="1156">
      <c r="A1156" s="284">
        <v>1153.0</v>
      </c>
      <c r="B1156" s="285" t="s">
        <v>8540</v>
      </c>
      <c r="C1156" s="285" t="s">
        <v>6918</v>
      </c>
      <c r="D1156" s="286" t="s">
        <v>14526</v>
      </c>
      <c r="E1156" s="285" t="s">
        <v>6921</v>
      </c>
      <c r="F1156" s="285" t="s">
        <v>14527</v>
      </c>
      <c r="G1156" s="285" t="s">
        <v>14528</v>
      </c>
      <c r="H1156" s="285" t="s">
        <v>14529</v>
      </c>
      <c r="I1156" s="285" t="s">
        <v>14530</v>
      </c>
      <c r="J1156" s="285" t="s">
        <v>5224</v>
      </c>
      <c r="K1156" s="285" t="s">
        <v>10056</v>
      </c>
      <c r="L1156" s="285" t="s">
        <v>2081</v>
      </c>
      <c r="M1156" s="285" t="s">
        <v>9383</v>
      </c>
      <c r="N1156" s="287" t="str">
        <f>IFERROR(
    IF(
        AND(
            VLOOKUP(B1156, 'รายชื่อพนักงานลาออกพ้นสภาพ'!B:I, 8, FALSE)&lt;&gt;"ยกเลิกลาออก",
            VLOOKUP(B1156, 'รายชื่อพนักงานลาออกพ้นสภาพ'!B:I, 7, FALSE)&lt;=TODAY()
        ),
        "ลาออกแล้ว",
        ""
    ),
"")</f>
        <v/>
      </c>
      <c r="O1156" s="292" t="str">
        <f t="array" ref="O1156">IFERROR(INDEX(PCRent!C:D, MATCH(F1156 &amp; " " &amp; G1156, PCRent!A:A &amp; " " &amp; PCRent!B:B, 0)), "")</f>
        <v/>
      </c>
      <c r="P1156" s="293"/>
      <c r="Q1156" s="294" t="str">
        <f t="array" ref="Q1156">IFERROR(INDEX(MonitorRent!C:D, MATCH(F1156 &amp; " " &amp; G1156, MonitorRent!A:A &amp; " " &amp; MonitorRent!B:B, 0)), "")</f>
        <v/>
      </c>
      <c r="R1156" s="295"/>
    </row>
    <row r="1157">
      <c r="A1157" s="284">
        <v>1154.0</v>
      </c>
      <c r="B1157" s="285" t="s">
        <v>14531</v>
      </c>
      <c r="C1157" s="285" t="s">
        <v>6918</v>
      </c>
      <c r="D1157" s="286" t="s">
        <v>10493</v>
      </c>
      <c r="E1157" s="285" t="s">
        <v>6933</v>
      </c>
      <c r="F1157" s="285" t="s">
        <v>14532</v>
      </c>
      <c r="G1157" s="285" t="s">
        <v>14533</v>
      </c>
      <c r="H1157" s="285" t="s">
        <v>14534</v>
      </c>
      <c r="I1157" s="285" t="s">
        <v>14535</v>
      </c>
      <c r="J1157" s="285" t="s">
        <v>5012</v>
      </c>
      <c r="K1157" s="285" t="s">
        <v>9560</v>
      </c>
      <c r="L1157" s="285" t="s">
        <v>4114</v>
      </c>
      <c r="M1157" s="285" t="s">
        <v>9383</v>
      </c>
      <c r="N1157" s="287" t="str">
        <f>IFERROR(
    IF(
        AND(
            VLOOKUP(B1157, 'รายชื่อพนักงานลาออกพ้นสภาพ'!B:I, 8, FALSE)&lt;&gt;"ยกเลิกลาออก",
            VLOOKUP(B1157, 'รายชื่อพนักงานลาออกพ้นสภาพ'!B:I, 7, FALSE)&lt;=TODAY()
        ),
        "ลาออกแล้ว",
        ""
    ),
"")</f>
        <v/>
      </c>
      <c r="O1157" s="292" t="str">
        <f t="array" ref="O1157:P1157">IFERROR(INDEX(PCRent!C:D, MATCH(F1157 &amp; " " &amp; G1157, PCRent!A:A &amp; " " &amp; PCRent!B:B, 0)), "")</f>
        <v>SN:MP2AN2C8</v>
      </c>
      <c r="P1157" s="293" t="s">
        <v>9562</v>
      </c>
      <c r="Q1157" s="294" t="str">
        <f t="array" ref="Q1157">IFERROR(INDEX(MonitorRent!C:D, MATCH(F1157 &amp; " " &amp; G1157, MonitorRent!A:A &amp; " " &amp; MonitorRent!B:B, 0)), "")</f>
        <v/>
      </c>
      <c r="R1157" s="295"/>
    </row>
    <row r="1158">
      <c r="A1158" s="284">
        <v>1155.0</v>
      </c>
      <c r="B1158" s="285" t="s">
        <v>4776</v>
      </c>
      <c r="C1158" s="285" t="s">
        <v>6918</v>
      </c>
      <c r="D1158" s="286" t="s">
        <v>9461</v>
      </c>
      <c r="E1158" s="285" t="s">
        <v>6921</v>
      </c>
      <c r="F1158" s="285" t="s">
        <v>11276</v>
      </c>
      <c r="G1158" s="285" t="s">
        <v>14536</v>
      </c>
      <c r="H1158" s="285" t="s">
        <v>10161</v>
      </c>
      <c r="I1158" s="285" t="s">
        <v>4777</v>
      </c>
      <c r="J1158" s="285" t="s">
        <v>5224</v>
      </c>
      <c r="K1158" s="285" t="s">
        <v>4774</v>
      </c>
      <c r="L1158" s="285" t="s">
        <v>14537</v>
      </c>
      <c r="M1158" s="285" t="s">
        <v>9383</v>
      </c>
      <c r="N1158" s="287" t="str">
        <f>IFERROR(
    IF(
        AND(
            VLOOKUP(B1158, 'รายชื่อพนักงานลาออกพ้นสภาพ'!B:I, 8, FALSE)&lt;&gt;"ยกเลิกลาออก",
            VLOOKUP(B1158, 'รายชื่อพนักงานลาออกพ้นสภาพ'!B:I, 7, FALSE)&lt;=TODAY()
        ),
        "ลาออกแล้ว",
        ""
    ),
"")</f>
        <v/>
      </c>
      <c r="O1158" s="292" t="str">
        <f t="array" ref="O1158:P1158">IFERROR(INDEX(PCRent!C:D, MATCH(F1158 &amp; " " &amp; G1158, PCRent!A:A &amp; " " &amp; PCRent!B:B, 0)), "")</f>
        <v>SN:DCBBS64</v>
      </c>
      <c r="P1158" s="293" t="s">
        <v>7299</v>
      </c>
      <c r="Q1158" s="294" t="str">
        <f t="array" ref="Q1158">IFERROR(INDEX(MonitorRent!C:D, MATCH(F1158 &amp; " " &amp; G1158, MonitorRent!A:A &amp; " " &amp; MonitorRent!B:B, 0)), "")</f>
        <v/>
      </c>
      <c r="R1158" s="295"/>
    </row>
    <row r="1159">
      <c r="A1159" s="284">
        <v>1156.0</v>
      </c>
      <c r="B1159" s="285" t="s">
        <v>8448</v>
      </c>
      <c r="C1159" s="285" t="s">
        <v>6918</v>
      </c>
      <c r="D1159" s="286" t="s">
        <v>14538</v>
      </c>
      <c r="E1159" s="285" t="s">
        <v>6921</v>
      </c>
      <c r="F1159" s="285" t="s">
        <v>14539</v>
      </c>
      <c r="G1159" s="285" t="s">
        <v>14540</v>
      </c>
      <c r="H1159" s="285" t="s">
        <v>14541</v>
      </c>
      <c r="I1159" s="285" t="s">
        <v>14542</v>
      </c>
      <c r="J1159" s="285" t="s">
        <v>5224</v>
      </c>
      <c r="K1159" s="285" t="s">
        <v>13181</v>
      </c>
      <c r="L1159" s="285" t="s">
        <v>14543</v>
      </c>
      <c r="M1159" s="285" t="s">
        <v>9383</v>
      </c>
      <c r="N1159" s="287" t="str">
        <f>IFERROR(
    IF(
        AND(
            VLOOKUP(B1159, 'รายชื่อพนักงานลาออกพ้นสภาพ'!B:I, 8, FALSE)&lt;&gt;"ยกเลิกลาออก",
            VLOOKUP(B1159, 'รายชื่อพนักงานลาออกพ้นสภาพ'!B:I, 7, FALSE)&lt;=TODAY()
        ),
        "ลาออกแล้ว",
        ""
    ),
"")</f>
        <v/>
      </c>
      <c r="O1159" s="292" t="str">
        <f t="array" ref="O1159:P1159">IFERROR(INDEX(PCRent!C:D, MATCH(F1159 &amp; " " &amp; G1159, PCRent!A:A &amp; " " &amp; PCRent!B:B, 0)), "")</f>
        <v>SN:PF39GQ6D</v>
      </c>
      <c r="P1159" s="293" t="s">
        <v>7005</v>
      </c>
      <c r="Q1159" s="294" t="str">
        <f t="array" ref="Q1159">IFERROR(INDEX(MonitorRent!C:D, MATCH(F1159 &amp; " " &amp; G1159, MonitorRent!A:A &amp; " " &amp; MonitorRent!B:B, 0)), "")</f>
        <v/>
      </c>
      <c r="R1159" s="295"/>
    </row>
    <row r="1160">
      <c r="A1160" s="284">
        <v>1157.0</v>
      </c>
      <c r="B1160" s="285" t="s">
        <v>7928</v>
      </c>
      <c r="C1160" s="285" t="s">
        <v>6918</v>
      </c>
      <c r="D1160" s="286" t="s">
        <v>14260</v>
      </c>
      <c r="E1160" s="285" t="s">
        <v>6921</v>
      </c>
      <c r="F1160" s="285" t="s">
        <v>14544</v>
      </c>
      <c r="G1160" s="285" t="s">
        <v>14545</v>
      </c>
      <c r="H1160" s="285" t="s">
        <v>11838</v>
      </c>
      <c r="I1160" s="285" t="s">
        <v>14546</v>
      </c>
      <c r="J1160" s="285" t="s">
        <v>5224</v>
      </c>
      <c r="K1160" s="285" t="s">
        <v>4835</v>
      </c>
      <c r="L1160" s="285" t="s">
        <v>3096</v>
      </c>
      <c r="M1160" s="285" t="s">
        <v>9383</v>
      </c>
      <c r="N1160" s="287" t="str">
        <f>IFERROR(
    IF(
        AND(
            VLOOKUP(B1160, 'รายชื่อพนักงานลาออกพ้นสภาพ'!B:I, 8, FALSE)&lt;&gt;"ยกเลิกลาออก",
            VLOOKUP(B1160, 'รายชื่อพนักงานลาออกพ้นสภาพ'!B:I, 7, FALSE)&lt;=TODAY()
        ),
        "ลาออกแล้ว",
        ""
    ),
"")</f>
        <v/>
      </c>
      <c r="O1160" s="292" t="str">
        <f t="array" ref="O1160">IFERROR(INDEX(PCRent!C:D, MATCH(F1160 &amp; " " &amp; G1160, PCRent!A:A &amp; " " &amp; PCRent!B:B, 0)), "")</f>
        <v/>
      </c>
      <c r="P1160" s="293"/>
      <c r="Q1160" s="294" t="str">
        <f t="array" ref="Q1160">IFERROR(INDEX(MonitorRent!C:D, MATCH(F1160 &amp; " " &amp; G1160, MonitorRent!A:A &amp; " " &amp; MonitorRent!B:B, 0)), "")</f>
        <v/>
      </c>
      <c r="R1160" s="295"/>
    </row>
    <row r="1161">
      <c r="A1161" s="284">
        <v>1158.0</v>
      </c>
      <c r="B1161" s="285" t="s">
        <v>14547</v>
      </c>
      <c r="C1161" s="285" t="s">
        <v>6918</v>
      </c>
      <c r="D1161" s="286" t="s">
        <v>14548</v>
      </c>
      <c r="E1161" s="285" t="s">
        <v>6933</v>
      </c>
      <c r="F1161" s="285" t="s">
        <v>14549</v>
      </c>
      <c r="G1161" s="285" t="s">
        <v>14550</v>
      </c>
      <c r="H1161" s="285" t="s">
        <v>11563</v>
      </c>
      <c r="I1161" s="285" t="s">
        <v>14551</v>
      </c>
      <c r="J1161" s="285" t="s">
        <v>5012</v>
      </c>
      <c r="K1161" s="285" t="s">
        <v>13155</v>
      </c>
      <c r="L1161" s="285" t="s">
        <v>3041</v>
      </c>
      <c r="M1161" s="285" t="s">
        <v>9383</v>
      </c>
      <c r="N1161" s="287" t="str">
        <f>IFERROR(
    IF(
        AND(
            VLOOKUP(B1161, 'รายชื่อพนักงานลาออกพ้นสภาพ'!B:I, 8, FALSE)&lt;&gt;"ยกเลิกลาออก",
            VLOOKUP(B1161, 'รายชื่อพนักงานลาออกพ้นสภาพ'!B:I, 7, FALSE)&lt;=TODAY()
        ),
        "ลาออกแล้ว",
        ""
    ),
"")</f>
        <v/>
      </c>
      <c r="O1161" s="292" t="str">
        <f t="array" ref="O1161">IFERROR(INDEX(PCRent!C:D, MATCH(F1161 &amp; " " &amp; G1161, PCRent!A:A &amp; " " &amp; PCRent!B:B, 0)), "")</f>
        <v/>
      </c>
      <c r="P1161" s="293"/>
      <c r="Q1161" s="294" t="str">
        <f t="array" ref="Q1161">IFERROR(INDEX(MonitorRent!C:D, MATCH(F1161 &amp; " " &amp; G1161, MonitorRent!A:A &amp; " " &amp; MonitorRent!B:B, 0)), "")</f>
        <v/>
      </c>
      <c r="R1161" s="295"/>
    </row>
    <row r="1162">
      <c r="A1162" s="284">
        <v>1159.0</v>
      </c>
      <c r="B1162" s="285" t="s">
        <v>14552</v>
      </c>
      <c r="C1162" s="285" t="s">
        <v>6918</v>
      </c>
      <c r="D1162" s="286" t="s">
        <v>10868</v>
      </c>
      <c r="E1162" s="285" t="s">
        <v>6921</v>
      </c>
      <c r="F1162" s="285" t="s">
        <v>14553</v>
      </c>
      <c r="G1162" s="285" t="s">
        <v>14554</v>
      </c>
      <c r="H1162" s="285" t="s">
        <v>14555</v>
      </c>
      <c r="I1162" s="285" t="s">
        <v>14556</v>
      </c>
      <c r="J1162" s="285" t="s">
        <v>5012</v>
      </c>
      <c r="K1162" s="285" t="s">
        <v>9588</v>
      </c>
      <c r="L1162" s="285" t="s">
        <v>13869</v>
      </c>
      <c r="M1162" s="285" t="s">
        <v>9383</v>
      </c>
      <c r="N1162" s="287" t="str">
        <f>IFERROR(
    IF(
        AND(
            VLOOKUP(B1162, 'รายชื่อพนักงานลาออกพ้นสภาพ'!B:I, 8, FALSE)&lt;&gt;"ยกเลิกลาออก",
            VLOOKUP(B1162, 'รายชื่อพนักงานลาออกพ้นสภาพ'!B:I, 7, FALSE)&lt;=TODAY()
        ),
        "ลาออกแล้ว",
        ""
    ),
"")</f>
        <v/>
      </c>
      <c r="O1162" s="292" t="str">
        <f t="array" ref="O1162">IFERROR(INDEX(PCRent!C:D, MATCH(F1162 &amp; " " &amp; G1162, PCRent!A:A &amp; " " &amp; PCRent!B:B, 0)), "")</f>
        <v/>
      </c>
      <c r="P1162" s="293"/>
      <c r="Q1162" s="294" t="str">
        <f t="array" ref="Q1162">IFERROR(INDEX(MonitorRent!C:D, MATCH(F1162 &amp; " " &amp; G1162, MonitorRent!A:A &amp; " " &amp; MonitorRent!B:B, 0)), "")</f>
        <v/>
      </c>
      <c r="R1162" s="295"/>
    </row>
    <row r="1163">
      <c r="A1163" s="284">
        <v>1160.0</v>
      </c>
      <c r="B1163" s="285" t="s">
        <v>7013</v>
      </c>
      <c r="C1163" s="285" t="s">
        <v>6918</v>
      </c>
      <c r="D1163" s="286" t="s">
        <v>14557</v>
      </c>
      <c r="E1163" s="285" t="s">
        <v>6933</v>
      </c>
      <c r="F1163" s="285" t="s">
        <v>14558</v>
      </c>
      <c r="G1163" s="285" t="s">
        <v>14559</v>
      </c>
      <c r="H1163" s="285" t="s">
        <v>10920</v>
      </c>
      <c r="I1163" s="285" t="s">
        <v>14560</v>
      </c>
      <c r="J1163" s="285" t="s">
        <v>5224</v>
      </c>
      <c r="K1163" s="285" t="s">
        <v>2062</v>
      </c>
      <c r="L1163" s="285" t="s">
        <v>7015</v>
      </c>
      <c r="M1163" s="285" t="s">
        <v>9383</v>
      </c>
      <c r="N1163" s="287" t="str">
        <f>IFERROR(
    IF(
        AND(
            VLOOKUP(B1163, 'รายชื่อพนักงานลาออกพ้นสภาพ'!B:I, 8, FALSE)&lt;&gt;"ยกเลิกลาออก",
            VLOOKUP(B1163, 'รายชื่อพนักงานลาออกพ้นสภาพ'!B:I, 7, FALSE)&lt;=TODAY()
        ),
        "ลาออกแล้ว",
        ""
    ),
"")</f>
        <v/>
      </c>
      <c r="O1163" s="292" t="str">
        <f t="array" ref="O1163">IFERROR(INDEX(PCRent!C:D, MATCH(F1163 &amp; " " &amp; G1163, PCRent!A:A &amp; " " &amp; PCRent!B:B, 0)), "")</f>
        <v/>
      </c>
      <c r="P1163" s="293"/>
      <c r="Q1163" s="294" t="str">
        <f t="array" ref="Q1163">IFERROR(INDEX(MonitorRent!C:D, MATCH(F1163 &amp; " " &amp; G1163, MonitorRent!A:A &amp; " " &amp; MonitorRent!B:B, 0)), "")</f>
        <v/>
      </c>
      <c r="R1163" s="295"/>
    </row>
    <row r="1164">
      <c r="A1164" s="284">
        <v>1161.0</v>
      </c>
      <c r="B1164" s="285" t="s">
        <v>14561</v>
      </c>
      <c r="C1164" s="285" t="s">
        <v>6918</v>
      </c>
      <c r="D1164" s="286" t="s">
        <v>11170</v>
      </c>
      <c r="E1164" s="285" t="s">
        <v>6933</v>
      </c>
      <c r="F1164" s="285" t="s">
        <v>14562</v>
      </c>
      <c r="G1164" s="285" t="s">
        <v>14563</v>
      </c>
      <c r="H1164" s="285" t="s">
        <v>10827</v>
      </c>
      <c r="I1164" s="285" t="s">
        <v>14564</v>
      </c>
      <c r="J1164" s="285" t="s">
        <v>5012</v>
      </c>
      <c r="K1164" s="285" t="s">
        <v>6322</v>
      </c>
      <c r="L1164" s="285" t="s">
        <v>13081</v>
      </c>
      <c r="M1164" s="285" t="s">
        <v>9391</v>
      </c>
      <c r="N1164" s="287" t="str">
        <f>IFERROR(
    IF(
        AND(
            VLOOKUP(B1164, 'รายชื่อพนักงานลาออกพ้นสภาพ'!B:I, 8, FALSE)&lt;&gt;"ยกเลิกลาออก",
            VLOOKUP(B1164, 'รายชื่อพนักงานลาออกพ้นสภาพ'!B:I, 7, FALSE)&lt;=TODAY()
        ),
        "ลาออกแล้ว",
        ""
    ),
"")</f>
        <v/>
      </c>
      <c r="O1164" s="292" t="str">
        <f t="array" ref="O1164">IFERROR(INDEX(PCRent!C:D, MATCH(F1164 &amp; " " &amp; G1164, PCRent!A:A &amp; " " &amp; PCRent!B:B, 0)), "")</f>
        <v/>
      </c>
      <c r="P1164" s="293"/>
      <c r="Q1164" s="294" t="str">
        <f t="array" ref="Q1164">IFERROR(INDEX(MonitorRent!C:D, MATCH(F1164 &amp; " " &amp; G1164, MonitorRent!A:A &amp; " " &amp; MonitorRent!B:B, 0)), "")</f>
        <v/>
      </c>
      <c r="R1164" s="295"/>
    </row>
    <row r="1165">
      <c r="A1165" s="284">
        <v>1162.0</v>
      </c>
      <c r="B1165" s="285" t="s">
        <v>8625</v>
      </c>
      <c r="C1165" s="285" t="s">
        <v>6918</v>
      </c>
      <c r="D1165" s="286" t="s">
        <v>14565</v>
      </c>
      <c r="E1165" s="285" t="s">
        <v>6921</v>
      </c>
      <c r="F1165" s="285" t="s">
        <v>14566</v>
      </c>
      <c r="G1165" s="285" t="s">
        <v>14567</v>
      </c>
      <c r="H1165" s="285" t="s">
        <v>14568</v>
      </c>
      <c r="I1165" s="285" t="s">
        <v>14569</v>
      </c>
      <c r="J1165" s="285" t="s">
        <v>5224</v>
      </c>
      <c r="K1165" s="285" t="s">
        <v>4818</v>
      </c>
      <c r="L1165" s="285" t="s">
        <v>8609</v>
      </c>
      <c r="M1165" s="285" t="s">
        <v>9383</v>
      </c>
      <c r="N1165" s="287" t="str">
        <f>IFERROR(
    IF(
        AND(
            VLOOKUP(B1165, 'รายชื่อพนักงานลาออกพ้นสภาพ'!B:I, 8, FALSE)&lt;&gt;"ยกเลิกลาออก",
            VLOOKUP(B1165, 'รายชื่อพนักงานลาออกพ้นสภาพ'!B:I, 7, FALSE)&lt;=TODAY()
        ),
        "ลาออกแล้ว",
        ""
    ),
"")</f>
        <v/>
      </c>
      <c r="O1165" s="292" t="str">
        <f t="array" ref="O1165">IFERROR(INDEX(PCRent!C:D, MATCH(F1165 &amp; " " &amp; G1165, PCRent!A:A &amp; " " &amp; PCRent!B:B, 0)), "")</f>
        <v/>
      </c>
      <c r="P1165" s="293"/>
      <c r="Q1165" s="294" t="str">
        <f t="array" ref="Q1165">IFERROR(INDEX(MonitorRent!C:D, MATCH(F1165 &amp; " " &amp; G1165, MonitorRent!A:A &amp; " " &amp; MonitorRent!B:B, 0)), "")</f>
        <v/>
      </c>
      <c r="R1165" s="295"/>
    </row>
    <row r="1166">
      <c r="A1166" s="284">
        <v>1163.0</v>
      </c>
      <c r="B1166" s="285" t="s">
        <v>7058</v>
      </c>
      <c r="C1166" s="285" t="s">
        <v>6918</v>
      </c>
      <c r="D1166" s="286" t="s">
        <v>12415</v>
      </c>
      <c r="E1166" s="285" t="s">
        <v>6933</v>
      </c>
      <c r="F1166" s="285" t="s">
        <v>14570</v>
      </c>
      <c r="G1166" s="285" t="s">
        <v>14571</v>
      </c>
      <c r="H1166" s="285" t="s">
        <v>11701</v>
      </c>
      <c r="I1166" s="285" t="s">
        <v>14572</v>
      </c>
      <c r="J1166" s="285" t="s">
        <v>5224</v>
      </c>
      <c r="K1166" s="285" t="s">
        <v>4818</v>
      </c>
      <c r="L1166" s="285" t="s">
        <v>7060</v>
      </c>
      <c r="M1166" s="285" t="s">
        <v>9383</v>
      </c>
      <c r="N1166" s="287" t="str">
        <f>IFERROR(
    IF(
        AND(
            VLOOKUP(B1166, 'รายชื่อพนักงานลาออกพ้นสภาพ'!B:I, 8, FALSE)&lt;&gt;"ยกเลิกลาออก",
            VLOOKUP(B1166, 'รายชื่อพนักงานลาออกพ้นสภาพ'!B:I, 7, FALSE)&lt;=TODAY()
        ),
        "ลาออกแล้ว",
        ""
    ),
"")</f>
        <v/>
      </c>
      <c r="O1166" s="292" t="str">
        <f t="array" ref="O1166:P1166">IFERROR(INDEX(PCRent!C:D, MATCH(F1166 &amp; " " &amp; G1166, PCRent!A:A &amp; " " &amp; PCRent!B:B, 0)), "")</f>
        <v>SN:XFKYPXD4DR</v>
      </c>
      <c r="P1166" s="293" t="s">
        <v>7062</v>
      </c>
      <c r="Q1166" s="294" t="str">
        <f t="array" ref="Q1166">IFERROR(INDEX(MonitorRent!C:D, MATCH(F1166 &amp; " " &amp; G1166, MonitorRent!A:A &amp; " " &amp; MonitorRent!B:B, 0)), "")</f>
        <v/>
      </c>
      <c r="R1166" s="295"/>
    </row>
    <row r="1167">
      <c r="A1167" s="284">
        <v>1164.0</v>
      </c>
      <c r="B1167" s="285" t="s">
        <v>9211</v>
      </c>
      <c r="C1167" s="285" t="s">
        <v>6918</v>
      </c>
      <c r="D1167" s="286" t="s">
        <v>12529</v>
      </c>
      <c r="E1167" s="285" t="s">
        <v>6921</v>
      </c>
      <c r="F1167" s="285" t="s">
        <v>14573</v>
      </c>
      <c r="G1167" s="285" t="s">
        <v>14574</v>
      </c>
      <c r="H1167" s="285" t="s">
        <v>14575</v>
      </c>
      <c r="I1167" s="285" t="s">
        <v>14576</v>
      </c>
      <c r="J1167" s="285" t="s">
        <v>5224</v>
      </c>
      <c r="K1167" s="285" t="s">
        <v>13398</v>
      </c>
      <c r="L1167" s="285" t="s">
        <v>8850</v>
      </c>
      <c r="M1167" s="285" t="s">
        <v>9383</v>
      </c>
      <c r="N1167" s="287" t="str">
        <f>IFERROR(
    IF(
        AND(
            VLOOKUP(B1167, 'รายชื่อพนักงานลาออกพ้นสภาพ'!B:I, 8, FALSE)&lt;&gt;"ยกเลิกลาออก",
            VLOOKUP(B1167, 'รายชื่อพนักงานลาออกพ้นสภาพ'!B:I, 7, FALSE)&lt;=TODAY()
        ),
        "ลาออกแล้ว",
        ""
    ),
"")</f>
        <v/>
      </c>
      <c r="O1167" s="292" t="str">
        <f t="array" ref="O1167:P1167">IFERROR(INDEX(PCRent!C:D, MATCH(F1167 &amp; " " &amp; G1167, PCRent!A:A &amp; " " &amp; PCRent!B:B, 0)), "")</f>
        <v>SN:MP2840RN</v>
      </c>
      <c r="P1167" s="293" t="s">
        <v>6993</v>
      </c>
      <c r="Q1167" s="294" t="str">
        <f t="array" ref="Q1167">IFERROR(INDEX(MonitorRent!C:D, MATCH(F1167 &amp; " " &amp; G1167, MonitorRent!A:A &amp; " " &amp; MonitorRent!B:B, 0)), "")</f>
        <v/>
      </c>
      <c r="R1167" s="295"/>
    </row>
    <row r="1168">
      <c r="A1168" s="284">
        <v>1165.0</v>
      </c>
      <c r="B1168" s="285" t="s">
        <v>14577</v>
      </c>
      <c r="C1168" s="285" t="s">
        <v>6918</v>
      </c>
      <c r="D1168" s="286" t="s">
        <v>10412</v>
      </c>
      <c r="E1168" s="285" t="s">
        <v>6921</v>
      </c>
      <c r="F1168" s="285" t="s">
        <v>14578</v>
      </c>
      <c r="G1168" s="285" t="s">
        <v>14579</v>
      </c>
      <c r="H1168" s="285" t="s">
        <v>9754</v>
      </c>
      <c r="I1168" s="285" t="s">
        <v>14580</v>
      </c>
      <c r="J1168" s="285" t="s">
        <v>5012</v>
      </c>
      <c r="K1168" s="285" t="s">
        <v>9560</v>
      </c>
      <c r="L1168" s="285" t="s">
        <v>9812</v>
      </c>
      <c r="M1168" s="285" t="s">
        <v>9391</v>
      </c>
      <c r="N1168" s="287" t="str">
        <f>IFERROR(
    IF(
        AND(
            VLOOKUP(B1168, 'รายชื่อพนักงานลาออกพ้นสภาพ'!B:I, 8, FALSE)&lt;&gt;"ยกเลิกลาออก",
            VLOOKUP(B1168, 'รายชื่อพนักงานลาออกพ้นสภาพ'!B:I, 7, FALSE)&lt;=TODAY()
        ),
        "ลาออกแล้ว",
        ""
    ),
"")</f>
        <v/>
      </c>
      <c r="O1168" s="292" t="str">
        <f t="array" ref="O1168:P1168">IFERROR(INDEX(PCRent!C:D, MATCH(F1168 &amp; " " &amp; G1168, PCRent!A:A &amp; " " &amp; PCRent!B:B, 0)), "")</f>
        <v>SN:7XYNPY3</v>
      </c>
      <c r="P1168" s="293" t="s">
        <v>7048</v>
      </c>
      <c r="Q1168" s="294" t="str">
        <f t="array" ref="Q1168:R1168">IFERROR(INDEX(MonitorRent!C:D, MATCH(F1168 &amp; " " &amp; G1168, MonitorRent!A:A &amp; " " &amp; MonitorRent!B:B, 0)), "")</f>
        <v>SN:458FSS3</v>
      </c>
      <c r="R1168" s="295" t="s">
        <v>7050</v>
      </c>
    </row>
    <row r="1169">
      <c r="A1169" s="284">
        <v>1166.0</v>
      </c>
      <c r="B1169" s="285" t="s">
        <v>7472</v>
      </c>
      <c r="C1169" s="285" t="s">
        <v>6918</v>
      </c>
      <c r="D1169" s="286" t="s">
        <v>11654</v>
      </c>
      <c r="E1169" s="285" t="s">
        <v>6921</v>
      </c>
      <c r="F1169" s="285" t="s">
        <v>9740</v>
      </c>
      <c r="G1169" s="285" t="s">
        <v>9809</v>
      </c>
      <c r="H1169" s="285" t="s">
        <v>11574</v>
      </c>
      <c r="I1169" s="285" t="s">
        <v>14581</v>
      </c>
      <c r="J1169" s="285" t="s">
        <v>5224</v>
      </c>
      <c r="K1169" s="285" t="s">
        <v>10056</v>
      </c>
      <c r="L1169" s="285" t="s">
        <v>7459</v>
      </c>
      <c r="M1169" s="285" t="s">
        <v>9383</v>
      </c>
      <c r="N1169" s="287" t="str">
        <f>IFERROR(
    IF(
        AND(
            VLOOKUP(B1169, 'รายชื่อพนักงานลาออกพ้นสภาพ'!B:I, 8, FALSE)&lt;&gt;"ยกเลิกลาออก",
            VLOOKUP(B1169, 'รายชื่อพนักงานลาออกพ้นสภาพ'!B:I, 7, FALSE)&lt;=TODAY()
        ),
        "ลาออกแล้ว",
        ""
    ),
"")</f>
        <v/>
      </c>
      <c r="O1169" s="292" t="str">
        <f t="array" ref="O1169">IFERROR(INDEX(PCRent!C:D, MATCH(F1169 &amp; " " &amp; G1169, PCRent!A:A &amp; " " &amp; PCRent!B:B, 0)), "")</f>
        <v/>
      </c>
      <c r="P1169" s="293"/>
      <c r="Q1169" s="294" t="str">
        <f t="array" ref="Q1169">IFERROR(INDEX(MonitorRent!C:D, MATCH(F1169 &amp; " " &amp; G1169, MonitorRent!A:A &amp; " " &amp; MonitorRent!B:B, 0)), "")</f>
        <v/>
      </c>
      <c r="R1169" s="295"/>
    </row>
    <row r="1170">
      <c r="A1170" s="284">
        <v>1167.0</v>
      </c>
      <c r="B1170" s="285" t="s">
        <v>8574</v>
      </c>
      <c r="C1170" s="285" t="s">
        <v>6918</v>
      </c>
      <c r="D1170" s="286" t="s">
        <v>9541</v>
      </c>
      <c r="E1170" s="285" t="s">
        <v>7239</v>
      </c>
      <c r="F1170" s="285" t="s">
        <v>9740</v>
      </c>
      <c r="G1170" s="285" t="s">
        <v>14582</v>
      </c>
      <c r="H1170" s="285" t="s">
        <v>9742</v>
      </c>
      <c r="I1170" s="285" t="s">
        <v>14583</v>
      </c>
      <c r="J1170" s="285" t="s">
        <v>5224</v>
      </c>
      <c r="K1170" s="285" t="s">
        <v>4756</v>
      </c>
      <c r="L1170" s="285" t="s">
        <v>2208</v>
      </c>
      <c r="M1170" s="285" t="s">
        <v>9383</v>
      </c>
      <c r="N1170" s="287" t="str">
        <f>IFERROR(
    IF(
        AND(
            VLOOKUP(B1170, 'รายชื่อพนักงานลาออกพ้นสภาพ'!B:I, 8, FALSE)&lt;&gt;"ยกเลิกลาออก",
            VLOOKUP(B1170, 'รายชื่อพนักงานลาออกพ้นสภาพ'!B:I, 7, FALSE)&lt;=TODAY()
        ),
        "ลาออกแล้ว",
        ""
    ),
"")</f>
        <v/>
      </c>
      <c r="O1170" s="292" t="str">
        <f t="array" ref="O1170">IFERROR(INDEX(PCRent!C:D, MATCH(F1170 &amp; " " &amp; G1170, PCRent!A:A &amp; " " &amp; PCRent!B:B, 0)), "")</f>
        <v/>
      </c>
      <c r="P1170" s="293"/>
      <c r="Q1170" s="294" t="str">
        <f t="array" ref="Q1170">IFERROR(INDEX(MonitorRent!C:D, MATCH(F1170 &amp; " " &amp; G1170, MonitorRent!A:A &amp; " " &amp; MonitorRent!B:B, 0)), "")</f>
        <v/>
      </c>
      <c r="R1170" s="295"/>
    </row>
    <row r="1171">
      <c r="A1171" s="284">
        <v>1168.0</v>
      </c>
      <c r="B1171" s="285" t="s">
        <v>914</v>
      </c>
      <c r="C1171" s="285" t="s">
        <v>6918</v>
      </c>
      <c r="D1171" s="286" t="s">
        <v>13031</v>
      </c>
      <c r="E1171" s="285" t="s">
        <v>6921</v>
      </c>
      <c r="F1171" s="285" t="s">
        <v>14584</v>
      </c>
      <c r="G1171" s="285" t="s">
        <v>14585</v>
      </c>
      <c r="H1171" s="285" t="s">
        <v>12601</v>
      </c>
      <c r="I1171" s="285" t="s">
        <v>918</v>
      </c>
      <c r="J1171" s="285" t="s">
        <v>5224</v>
      </c>
      <c r="K1171" s="285" t="s">
        <v>14586</v>
      </c>
      <c r="L1171" s="285" t="s">
        <v>14275</v>
      </c>
      <c r="M1171" s="285" t="s">
        <v>9383</v>
      </c>
      <c r="N1171" s="287" t="str">
        <f>IFERROR(
    IF(
        AND(
            VLOOKUP(B1171, 'รายชื่อพนักงานลาออกพ้นสภาพ'!B:I, 8, FALSE)&lt;&gt;"ยกเลิกลาออก",
            VLOOKUP(B1171, 'รายชื่อพนักงานลาออกพ้นสภาพ'!B:I, 7, FALSE)&lt;=TODAY()
        ),
        "ลาออกแล้ว",
        ""
    ),
"")</f>
        <v>ลาออกแล้ว</v>
      </c>
      <c r="O1171" s="292" t="str">
        <f t="array" ref="O1171">IFERROR(INDEX(PCRent!C:D, MATCH(F1171 &amp; " " &amp; G1171, PCRent!A:A &amp; " " &amp; PCRent!B:B, 0)), "")</f>
        <v/>
      </c>
      <c r="P1171" s="293"/>
      <c r="Q1171" s="294" t="str">
        <f t="array" ref="Q1171">IFERROR(INDEX(MonitorRent!C:D, MATCH(F1171 &amp; " " &amp; G1171, MonitorRent!A:A &amp; " " &amp; MonitorRent!B:B, 0)), "")</f>
        <v/>
      </c>
      <c r="R1171" s="295"/>
    </row>
    <row r="1172">
      <c r="A1172" s="284">
        <v>1169.0</v>
      </c>
      <c r="B1172" s="285" t="s">
        <v>699</v>
      </c>
      <c r="C1172" s="285" t="s">
        <v>6918</v>
      </c>
      <c r="D1172" s="286" t="s">
        <v>10303</v>
      </c>
      <c r="E1172" s="285" t="s">
        <v>6921</v>
      </c>
      <c r="F1172" s="285" t="s">
        <v>14587</v>
      </c>
      <c r="G1172" s="285" t="s">
        <v>14588</v>
      </c>
      <c r="H1172" s="285" t="s">
        <v>11177</v>
      </c>
      <c r="I1172" s="285" t="s">
        <v>703</v>
      </c>
      <c r="J1172" s="285" t="s">
        <v>5012</v>
      </c>
      <c r="K1172" s="285" t="s">
        <v>9633</v>
      </c>
      <c r="L1172" s="285" t="s">
        <v>8919</v>
      </c>
      <c r="M1172" s="285" t="s">
        <v>9383</v>
      </c>
      <c r="N1172" s="287" t="str">
        <f>IFERROR(
    IF(
        AND(
            VLOOKUP(B1172, 'รายชื่อพนักงานลาออกพ้นสภาพ'!B:I, 8, FALSE)&lt;&gt;"ยกเลิกลาออก",
            VLOOKUP(B1172, 'รายชื่อพนักงานลาออกพ้นสภาพ'!B:I, 7, FALSE)&lt;=TODAY()
        ),
        "ลาออกแล้ว",
        ""
    ),
"")</f>
        <v>ลาออกแล้ว</v>
      </c>
      <c r="O1172" s="292" t="str">
        <f t="array" ref="O1172:P1172">IFERROR(INDEX(PCRent!C:D, MATCH(F1172 &amp; " " &amp; G1172, PCRent!A:A &amp; " " &amp; PCRent!B:B, 0)), "")</f>
        <v>SN:PF37VA5K</v>
      </c>
      <c r="P1172" s="293" t="s">
        <v>7005</v>
      </c>
      <c r="Q1172" s="294" t="str">
        <f t="array" ref="Q1172">IFERROR(INDEX(MonitorRent!C:D, MATCH(F1172 &amp; " " &amp; G1172, MonitorRent!A:A &amp; " " &amp; MonitorRent!B:B, 0)), "")</f>
        <v/>
      </c>
      <c r="R1172" s="295"/>
    </row>
    <row r="1173">
      <c r="A1173" s="284">
        <v>1170.0</v>
      </c>
      <c r="B1173" s="285" t="s">
        <v>14589</v>
      </c>
      <c r="C1173" s="285" t="s">
        <v>6918</v>
      </c>
      <c r="D1173" s="286" t="s">
        <v>10354</v>
      </c>
      <c r="E1173" s="285" t="s">
        <v>6921</v>
      </c>
      <c r="F1173" s="285" t="s">
        <v>14590</v>
      </c>
      <c r="G1173" s="285" t="s">
        <v>14591</v>
      </c>
      <c r="H1173" s="285" t="s">
        <v>11014</v>
      </c>
      <c r="I1173" s="285" t="s">
        <v>14592</v>
      </c>
      <c r="J1173" s="285" t="s">
        <v>5012</v>
      </c>
      <c r="K1173" s="285" t="s">
        <v>6322</v>
      </c>
      <c r="L1173" s="285" t="s">
        <v>117</v>
      </c>
      <c r="M1173" s="285" t="s">
        <v>9383</v>
      </c>
      <c r="N1173" s="287" t="str">
        <f>IFERROR(
    IF(
        AND(
            VLOOKUP(B1173, 'รายชื่อพนักงานลาออกพ้นสภาพ'!B:I, 8, FALSE)&lt;&gt;"ยกเลิกลาออก",
            VLOOKUP(B1173, 'รายชื่อพนักงานลาออกพ้นสภาพ'!B:I, 7, FALSE)&lt;=TODAY()
        ),
        "ลาออกแล้ว",
        ""
    ),
"")</f>
        <v/>
      </c>
      <c r="O1173" s="292" t="str">
        <f t="array" ref="O1173:P1173">IFERROR(INDEX(PCRent!C:D, MATCH(F1173 &amp; " " &amp; G1173, PCRent!A:A &amp; " " &amp; PCRent!B:B, 0)), "")</f>
        <v>SN:MP2AN2CH</v>
      </c>
      <c r="P1173" s="293" t="s">
        <v>9562</v>
      </c>
      <c r="Q1173" s="294" t="str">
        <f t="array" ref="Q1173">IFERROR(INDEX(MonitorRent!C:D, MATCH(F1173 &amp; " " &amp; G1173, MonitorRent!A:A &amp; " " &amp; MonitorRent!B:B, 0)), "")</f>
        <v/>
      </c>
      <c r="R1173" s="295"/>
    </row>
    <row r="1174">
      <c r="A1174" s="284">
        <v>1171.0</v>
      </c>
      <c r="B1174" s="285" t="s">
        <v>5057</v>
      </c>
      <c r="C1174" s="285" t="s">
        <v>6918</v>
      </c>
      <c r="D1174" s="286" t="s">
        <v>11426</v>
      </c>
      <c r="E1174" s="285" t="s">
        <v>6933</v>
      </c>
      <c r="F1174" s="285" t="s">
        <v>14593</v>
      </c>
      <c r="G1174" s="285" t="s">
        <v>14594</v>
      </c>
      <c r="H1174" s="285" t="s">
        <v>14595</v>
      </c>
      <c r="I1174" s="285" t="s">
        <v>5059</v>
      </c>
      <c r="J1174" s="285" t="s">
        <v>5224</v>
      </c>
      <c r="K1174" s="285" t="s">
        <v>4737</v>
      </c>
      <c r="L1174" s="285" t="s">
        <v>8609</v>
      </c>
      <c r="M1174" s="285" t="s">
        <v>9383</v>
      </c>
      <c r="N1174" s="287" t="str">
        <f>IFERROR(
    IF(
        AND(
            VLOOKUP(B1174, 'รายชื่อพนักงานลาออกพ้นสภาพ'!B:I, 8, FALSE)&lt;&gt;"ยกเลิกลาออก",
            VLOOKUP(B1174, 'รายชื่อพนักงานลาออกพ้นสภาพ'!B:I, 7, FALSE)&lt;=TODAY()
        ),
        "ลาออกแล้ว",
        ""
    ),
"")</f>
        <v/>
      </c>
      <c r="O1174" s="292" t="str">
        <f t="array" ref="O1174:P1174">IFERROR(INDEX(PCRent!C:D, MATCH(F1174 &amp; " " &amp; G1174, PCRent!A:A &amp; " " &amp; PCRent!B:B, 0)), "")</f>
        <v>SN:MP2E0M2J</v>
      </c>
      <c r="P1174" s="293" t="s">
        <v>7357</v>
      </c>
      <c r="Q1174" s="294" t="str">
        <f t="array" ref="Q1174">IFERROR(INDEX(MonitorRent!C:D, MATCH(F1174 &amp; " " &amp; G1174, MonitorRent!A:A &amp; " " &amp; MonitorRent!B:B, 0)), "")</f>
        <v/>
      </c>
      <c r="R1174" s="295"/>
    </row>
    <row r="1175">
      <c r="A1175" s="284">
        <v>1172.0</v>
      </c>
      <c r="B1175" s="285" t="s">
        <v>14596</v>
      </c>
      <c r="C1175" s="285" t="s">
        <v>6918</v>
      </c>
      <c r="D1175" s="286" t="s">
        <v>12529</v>
      </c>
      <c r="E1175" s="285" t="s">
        <v>6933</v>
      </c>
      <c r="F1175" s="285" t="s">
        <v>14597</v>
      </c>
      <c r="G1175" s="285" t="s">
        <v>14598</v>
      </c>
      <c r="H1175" s="285" t="s">
        <v>14599</v>
      </c>
      <c r="I1175" s="285" t="s">
        <v>14600</v>
      </c>
      <c r="J1175" s="285" t="s">
        <v>5012</v>
      </c>
      <c r="K1175" s="285" t="s">
        <v>9626</v>
      </c>
      <c r="L1175" s="285" t="s">
        <v>232</v>
      </c>
      <c r="M1175" s="285" t="s">
        <v>9383</v>
      </c>
      <c r="N1175" s="287" t="str">
        <f>IFERROR(
    IF(
        AND(
            VLOOKUP(B1175, 'รายชื่อพนักงานลาออกพ้นสภาพ'!B:I, 8, FALSE)&lt;&gt;"ยกเลิกลาออก",
            VLOOKUP(B1175, 'รายชื่อพนักงานลาออกพ้นสภาพ'!B:I, 7, FALSE)&lt;=TODAY()
        ),
        "ลาออกแล้ว",
        ""
    ),
"")</f>
        <v/>
      </c>
      <c r="O1175" s="292" t="str">
        <f t="array" ref="O1175">IFERROR(INDEX(PCRent!C:D, MATCH(F1175 &amp; " " &amp; G1175, PCRent!A:A &amp; " " &amp; PCRent!B:B, 0)), "")</f>
        <v/>
      </c>
      <c r="P1175" s="293"/>
      <c r="Q1175" s="294" t="str">
        <f t="array" ref="Q1175">IFERROR(INDEX(MonitorRent!C:D, MATCH(F1175 &amp; " " &amp; G1175, MonitorRent!A:A &amp; " " &amp; MonitorRent!B:B, 0)), "")</f>
        <v/>
      </c>
      <c r="R1175" s="295"/>
    </row>
    <row r="1176">
      <c r="A1176" s="284">
        <v>1173.0</v>
      </c>
      <c r="B1176" s="285" t="s">
        <v>8804</v>
      </c>
      <c r="C1176" s="285" t="s">
        <v>6918</v>
      </c>
      <c r="D1176" s="286" t="s">
        <v>14601</v>
      </c>
      <c r="E1176" s="285" t="s">
        <v>6933</v>
      </c>
      <c r="F1176" s="285" t="s">
        <v>14602</v>
      </c>
      <c r="G1176" s="285" t="s">
        <v>14603</v>
      </c>
      <c r="H1176" s="285" t="s">
        <v>13778</v>
      </c>
      <c r="I1176" s="285" t="s">
        <v>14604</v>
      </c>
      <c r="J1176" s="285" t="s">
        <v>5224</v>
      </c>
      <c r="K1176" s="285" t="s">
        <v>9604</v>
      </c>
      <c r="L1176" s="285" t="s">
        <v>8806</v>
      </c>
      <c r="M1176" s="285" t="s">
        <v>9383</v>
      </c>
      <c r="N1176" s="287" t="str">
        <f>IFERROR(
    IF(
        AND(
            VLOOKUP(B1176, 'รายชื่อพนักงานลาออกพ้นสภาพ'!B:I, 8, FALSE)&lt;&gt;"ยกเลิกลาออก",
            VLOOKUP(B1176, 'รายชื่อพนักงานลาออกพ้นสภาพ'!B:I, 7, FALSE)&lt;=TODAY()
        ),
        "ลาออกแล้ว",
        ""
    ),
"")</f>
        <v/>
      </c>
      <c r="O1176" s="292" t="str">
        <f t="array" ref="O1176:P1176">IFERROR(INDEX(PCRent!C:D, MATCH(F1176 &amp; " " &amp; G1176, PCRent!A:A &amp; " " &amp; PCRent!B:B, 0)), "")</f>
        <v>SN:JKT2CZ3</v>
      </c>
      <c r="P1176" s="293" t="s">
        <v>7048</v>
      </c>
      <c r="Q1176" s="294" t="str">
        <f t="array" ref="Q1176:R1176">IFERROR(INDEX(MonitorRent!C:D, MATCH(F1176 &amp; " " &amp; G1176, MonitorRent!A:A &amp; " " &amp; MonitorRent!B:B, 0)), "")</f>
        <v>SN:366K1L3</v>
      </c>
      <c r="R1176" s="295" t="s">
        <v>6995</v>
      </c>
    </row>
    <row r="1177">
      <c r="A1177" s="284">
        <v>1174.0</v>
      </c>
      <c r="B1177" s="285" t="s">
        <v>63</v>
      </c>
      <c r="C1177" s="285" t="s">
        <v>6918</v>
      </c>
      <c r="D1177" s="286" t="s">
        <v>10063</v>
      </c>
      <c r="E1177" s="285" t="s">
        <v>6933</v>
      </c>
      <c r="F1177" s="285" t="s">
        <v>14605</v>
      </c>
      <c r="G1177" s="285" t="s">
        <v>14606</v>
      </c>
      <c r="H1177" s="285" t="s">
        <v>14607</v>
      </c>
      <c r="I1177" s="285" t="s">
        <v>67</v>
      </c>
      <c r="J1177" s="285" t="s">
        <v>5012</v>
      </c>
      <c r="K1177" s="285" t="s">
        <v>6322</v>
      </c>
      <c r="L1177" s="285" t="s">
        <v>941</v>
      </c>
      <c r="M1177" s="285" t="s">
        <v>9383</v>
      </c>
      <c r="N1177" s="287" t="str">
        <f>IFERROR(
    IF(
        AND(
            VLOOKUP(B1177, 'รายชื่อพนักงานลาออกพ้นสภาพ'!B:I, 8, FALSE)&lt;&gt;"ยกเลิกลาออก",
            VLOOKUP(B1177, 'รายชื่อพนักงานลาออกพ้นสภาพ'!B:I, 7, FALSE)&lt;=TODAY()
        ),
        "ลาออกแล้ว",
        ""
    ),
"")</f>
        <v>ลาออกแล้ว</v>
      </c>
      <c r="O1177" s="292" t="str">
        <f t="array" ref="O1177">IFERROR(INDEX(PCRent!C:D, MATCH(F1177 &amp; " " &amp; G1177, PCRent!A:A &amp; " " &amp; PCRent!B:B, 0)), "")</f>
        <v/>
      </c>
      <c r="P1177" s="293"/>
      <c r="Q1177" s="294" t="str">
        <f t="array" ref="Q1177">IFERROR(INDEX(MonitorRent!C:D, MATCH(F1177 &amp; " " &amp; G1177, MonitorRent!A:A &amp; " " &amp; MonitorRent!B:B, 0)), "")</f>
        <v/>
      </c>
      <c r="R1177" s="295"/>
    </row>
    <row r="1178">
      <c r="A1178" s="284">
        <v>1175.0</v>
      </c>
      <c r="B1178" s="285" t="s">
        <v>4831</v>
      </c>
      <c r="C1178" s="285" t="s">
        <v>6918</v>
      </c>
      <c r="D1178" s="286" t="s">
        <v>11325</v>
      </c>
      <c r="E1178" s="285" t="s">
        <v>6921</v>
      </c>
      <c r="F1178" s="285" t="s">
        <v>14608</v>
      </c>
      <c r="G1178" s="285" t="s">
        <v>14609</v>
      </c>
      <c r="H1178" s="285" t="s">
        <v>11243</v>
      </c>
      <c r="I1178" s="285" t="s">
        <v>4832</v>
      </c>
      <c r="J1178" s="285" t="s">
        <v>5224</v>
      </c>
      <c r="K1178" s="285" t="s">
        <v>4749</v>
      </c>
      <c r="L1178" s="285" t="s">
        <v>13368</v>
      </c>
      <c r="M1178" s="285" t="s">
        <v>9383</v>
      </c>
      <c r="N1178" s="287" t="str">
        <f>IFERROR(
    IF(
        AND(
            VLOOKUP(B1178, 'รายชื่อพนักงานลาออกพ้นสภาพ'!B:I, 8, FALSE)&lt;&gt;"ยกเลิกลาออก",
            VLOOKUP(B1178, 'รายชื่อพนักงานลาออกพ้นสภาพ'!B:I, 7, FALSE)&lt;=TODAY()
        ),
        "ลาออกแล้ว",
        ""
    ),
"")</f>
        <v/>
      </c>
      <c r="O1178" s="292" t="str">
        <f t="array" ref="O1178:P1178">IFERROR(INDEX(PCRent!C:D, MATCH(F1178 &amp; " " &amp; G1178, PCRent!A:A &amp; " " &amp; PCRent!B:B, 0)), "")</f>
        <v>SN:MP283D3Q</v>
      </c>
      <c r="P1178" s="293" t="s">
        <v>6993</v>
      </c>
      <c r="Q1178" s="294" t="str">
        <f t="array" ref="Q1178">IFERROR(INDEX(MonitorRent!C:D, MATCH(F1178 &amp; " " &amp; G1178, MonitorRent!A:A &amp; " " &amp; MonitorRent!B:B, 0)), "")</f>
        <v/>
      </c>
      <c r="R1178" s="295"/>
    </row>
    <row r="1179">
      <c r="A1179" s="284">
        <v>1176.0</v>
      </c>
      <c r="B1179" s="285" t="s">
        <v>209</v>
      </c>
      <c r="C1179" s="285" t="s">
        <v>6918</v>
      </c>
      <c r="D1179" s="286" t="s">
        <v>14610</v>
      </c>
      <c r="E1179" s="285" t="s">
        <v>6933</v>
      </c>
      <c r="F1179" s="285" t="s">
        <v>14611</v>
      </c>
      <c r="G1179" s="285" t="s">
        <v>14612</v>
      </c>
      <c r="H1179" s="285" t="s">
        <v>14613</v>
      </c>
      <c r="I1179" s="285" t="s">
        <v>212</v>
      </c>
      <c r="J1179" s="285" t="s">
        <v>5012</v>
      </c>
      <c r="K1179" s="285" t="s">
        <v>6322</v>
      </c>
      <c r="L1179" s="285" t="s">
        <v>13081</v>
      </c>
      <c r="M1179" s="285" t="s">
        <v>9391</v>
      </c>
      <c r="N1179" s="287" t="str">
        <f>IFERROR(
    IF(
        AND(
            VLOOKUP(B1179, 'รายชื่อพนักงานลาออกพ้นสภาพ'!B:I, 8, FALSE)&lt;&gt;"ยกเลิกลาออก",
            VLOOKUP(B1179, 'รายชื่อพนักงานลาออกพ้นสภาพ'!B:I, 7, FALSE)&lt;=TODAY()
        ),
        "ลาออกแล้ว",
        ""
    ),
"")</f>
        <v>ลาออกแล้ว</v>
      </c>
      <c r="O1179" s="292" t="str">
        <f t="array" ref="O1179">IFERROR(INDEX(PCRent!C:D, MATCH(F1179 &amp; " " &amp; G1179, PCRent!A:A &amp; " " &amp; PCRent!B:B, 0)), "")</f>
        <v/>
      </c>
      <c r="P1179" s="293"/>
      <c r="Q1179" s="294" t="str">
        <f t="array" ref="Q1179">IFERROR(INDEX(MonitorRent!C:D, MATCH(F1179 &amp; " " &amp; G1179, MonitorRent!A:A &amp; " " &amp; MonitorRent!B:B, 0)), "")</f>
        <v/>
      </c>
      <c r="R1179" s="295"/>
    </row>
    <row r="1180">
      <c r="A1180" s="284">
        <v>1177.0</v>
      </c>
      <c r="B1180" s="285" t="s">
        <v>8267</v>
      </c>
      <c r="C1180" s="285" t="s">
        <v>6918</v>
      </c>
      <c r="D1180" s="286" t="s">
        <v>10729</v>
      </c>
      <c r="E1180" s="285" t="s">
        <v>6921</v>
      </c>
      <c r="F1180" s="285" t="s">
        <v>14614</v>
      </c>
      <c r="G1180" s="285" t="s">
        <v>14615</v>
      </c>
      <c r="H1180" s="285" t="s">
        <v>14616</v>
      </c>
      <c r="I1180" s="285" t="s">
        <v>14617</v>
      </c>
      <c r="J1180" s="285" t="s">
        <v>5224</v>
      </c>
      <c r="K1180" s="285" t="s">
        <v>13006</v>
      </c>
      <c r="L1180" s="285" t="s">
        <v>2730</v>
      </c>
      <c r="M1180" s="285" t="s">
        <v>9383</v>
      </c>
      <c r="N1180" s="287" t="str">
        <f>IFERROR(
    IF(
        AND(
            VLOOKUP(B1180, 'รายชื่อพนักงานลาออกพ้นสภาพ'!B:I, 8, FALSE)&lt;&gt;"ยกเลิกลาออก",
            VLOOKUP(B1180, 'รายชื่อพนักงานลาออกพ้นสภาพ'!B:I, 7, FALSE)&lt;=TODAY()
        ),
        "ลาออกแล้ว",
        ""
    ),
"")</f>
        <v/>
      </c>
      <c r="O1180" s="292" t="str">
        <f t="array" ref="O1180">IFERROR(INDEX(PCRent!C:D, MATCH(F1180 &amp; " " &amp; G1180, PCRent!A:A &amp; " " &amp; PCRent!B:B, 0)), "")</f>
        <v/>
      </c>
      <c r="P1180" s="293"/>
      <c r="Q1180" s="294" t="str">
        <f t="array" ref="Q1180">IFERROR(INDEX(MonitorRent!C:D, MATCH(F1180 &amp; " " &amp; G1180, MonitorRent!A:A &amp; " " &amp; MonitorRent!B:B, 0)), "")</f>
        <v/>
      </c>
      <c r="R1180" s="295"/>
    </row>
    <row r="1181">
      <c r="A1181" s="284">
        <v>1178.0</v>
      </c>
      <c r="B1181" s="285" t="s">
        <v>4849</v>
      </c>
      <c r="C1181" s="285" t="s">
        <v>6918</v>
      </c>
      <c r="D1181" s="286" t="s">
        <v>14618</v>
      </c>
      <c r="E1181" s="285" t="s">
        <v>6933</v>
      </c>
      <c r="F1181" s="285" t="s">
        <v>14619</v>
      </c>
      <c r="G1181" s="285" t="s">
        <v>14620</v>
      </c>
      <c r="H1181" s="285" t="s">
        <v>14621</v>
      </c>
      <c r="I1181" s="285" t="s">
        <v>4850</v>
      </c>
      <c r="J1181" s="285" t="s">
        <v>5224</v>
      </c>
      <c r="K1181" s="285" t="s">
        <v>4756</v>
      </c>
      <c r="L1181" s="285" t="s">
        <v>2177</v>
      </c>
      <c r="M1181" s="285" t="s">
        <v>9383</v>
      </c>
      <c r="N1181" s="287" t="str">
        <f>IFERROR(
    IF(
        AND(
            VLOOKUP(B1181, 'รายชื่อพนักงานลาออกพ้นสภาพ'!B:I, 8, FALSE)&lt;&gt;"ยกเลิกลาออก",
            VLOOKUP(B1181, 'รายชื่อพนักงานลาออกพ้นสภาพ'!B:I, 7, FALSE)&lt;=TODAY()
        ),
        "ลาออกแล้ว",
        ""
    ),
"")</f>
        <v/>
      </c>
      <c r="O1181" s="292" t="str">
        <f t="array" ref="O1181">IFERROR(INDEX(PCRent!C:D, MATCH(F1181 &amp; " " &amp; G1181, PCRent!A:A &amp; " " &amp; PCRent!B:B, 0)), "")</f>
        <v/>
      </c>
      <c r="P1181" s="293"/>
      <c r="Q1181" s="294" t="str">
        <f t="array" ref="Q1181">IFERROR(INDEX(MonitorRent!C:D, MATCH(F1181 &amp; " " &amp; G1181, MonitorRent!A:A &amp; " " &amp; MonitorRent!B:B, 0)), "")</f>
        <v/>
      </c>
      <c r="R1181" s="295"/>
    </row>
    <row r="1182">
      <c r="A1182" s="284">
        <v>1179.0</v>
      </c>
      <c r="B1182" s="285" t="s">
        <v>8834</v>
      </c>
      <c r="C1182" s="285" t="s">
        <v>6918</v>
      </c>
      <c r="D1182" s="286" t="s">
        <v>14622</v>
      </c>
      <c r="E1182" s="285" t="s">
        <v>6933</v>
      </c>
      <c r="F1182" s="285" t="s">
        <v>14623</v>
      </c>
      <c r="G1182" s="285" t="s">
        <v>14624</v>
      </c>
      <c r="H1182" s="285" t="s">
        <v>10952</v>
      </c>
      <c r="I1182" s="285" t="s">
        <v>14625</v>
      </c>
      <c r="J1182" s="285" t="s">
        <v>5224</v>
      </c>
      <c r="K1182" s="285" t="s">
        <v>4756</v>
      </c>
      <c r="L1182" s="285" t="s">
        <v>14626</v>
      </c>
      <c r="M1182" s="285" t="s">
        <v>9383</v>
      </c>
      <c r="N1182" s="287" t="str">
        <f>IFERROR(
    IF(
        AND(
            VLOOKUP(B1182, 'รายชื่อพนักงานลาออกพ้นสภาพ'!B:I, 8, FALSE)&lt;&gt;"ยกเลิกลาออก",
            VLOOKUP(B1182, 'รายชื่อพนักงานลาออกพ้นสภาพ'!B:I, 7, FALSE)&lt;=TODAY()
        ),
        "ลาออกแล้ว",
        ""
    ),
"")</f>
        <v/>
      </c>
      <c r="O1182" s="292" t="str">
        <f t="array" ref="O1182">IFERROR(INDEX(PCRent!C:D, MATCH(F1182 &amp; " " &amp; G1182, PCRent!A:A &amp; " " &amp; PCRent!B:B, 0)), "")</f>
        <v/>
      </c>
      <c r="P1182" s="293"/>
      <c r="Q1182" s="294" t="str">
        <f t="array" ref="Q1182">IFERROR(INDEX(MonitorRent!C:D, MATCH(F1182 &amp; " " &amp; G1182, MonitorRent!A:A &amp; " " &amp; MonitorRent!B:B, 0)), "")</f>
        <v/>
      </c>
      <c r="R1182" s="295"/>
    </row>
    <row r="1183">
      <c r="A1183" s="284">
        <v>1180.0</v>
      </c>
      <c r="B1183" s="285" t="s">
        <v>14627</v>
      </c>
      <c r="C1183" s="285" t="s">
        <v>6918</v>
      </c>
      <c r="D1183" s="286" t="s">
        <v>14628</v>
      </c>
      <c r="E1183" s="285" t="s">
        <v>6933</v>
      </c>
      <c r="F1183" s="285" t="s">
        <v>11677</v>
      </c>
      <c r="G1183" s="285" t="s">
        <v>14629</v>
      </c>
      <c r="H1183" s="285" t="s">
        <v>14630</v>
      </c>
      <c r="I1183" s="285" t="s">
        <v>14631</v>
      </c>
      <c r="J1183" s="285" t="s">
        <v>5012</v>
      </c>
      <c r="K1183" s="285" t="s">
        <v>13937</v>
      </c>
      <c r="L1183" s="285" t="s">
        <v>13501</v>
      </c>
      <c r="M1183" s="285" t="s">
        <v>9383</v>
      </c>
      <c r="N1183" s="287" t="str">
        <f>IFERROR(
    IF(
        AND(
            VLOOKUP(B1183, 'รายชื่อพนักงานลาออกพ้นสภาพ'!B:I, 8, FALSE)&lt;&gt;"ยกเลิกลาออก",
            VLOOKUP(B1183, 'รายชื่อพนักงานลาออกพ้นสภาพ'!B:I, 7, FALSE)&lt;=TODAY()
        ),
        "ลาออกแล้ว",
        ""
    ),
"")</f>
        <v/>
      </c>
      <c r="O1183" s="292" t="str">
        <f t="array" ref="O1183">IFERROR(INDEX(PCRent!C:D, MATCH(F1183 &amp; " " &amp; G1183, PCRent!A:A &amp; " " &amp; PCRent!B:B, 0)), "")</f>
        <v/>
      </c>
      <c r="P1183" s="293"/>
      <c r="Q1183" s="294" t="str">
        <f t="array" ref="Q1183">IFERROR(INDEX(MonitorRent!C:D, MATCH(F1183 &amp; " " &amp; G1183, MonitorRent!A:A &amp; " " &amp; MonitorRent!B:B, 0)), "")</f>
        <v/>
      </c>
      <c r="R1183" s="295"/>
    </row>
    <row r="1184">
      <c r="A1184" s="284">
        <v>1181.0</v>
      </c>
      <c r="B1184" s="285" t="s">
        <v>14632</v>
      </c>
      <c r="C1184" s="285" t="s">
        <v>6918</v>
      </c>
      <c r="D1184" s="286" t="s">
        <v>14633</v>
      </c>
      <c r="E1184" s="285" t="s">
        <v>6921</v>
      </c>
      <c r="F1184" s="285" t="s">
        <v>14634</v>
      </c>
      <c r="G1184" s="285" t="s">
        <v>14635</v>
      </c>
      <c r="H1184" s="285" t="s">
        <v>14636</v>
      </c>
      <c r="I1184" s="285" t="s">
        <v>14637</v>
      </c>
      <c r="J1184" s="285" t="s">
        <v>5224</v>
      </c>
      <c r="K1184" s="285" t="s">
        <v>4818</v>
      </c>
      <c r="L1184" s="285" t="s">
        <v>272</v>
      </c>
      <c r="M1184" s="285" t="s">
        <v>9383</v>
      </c>
      <c r="N1184" s="287" t="str">
        <f>IFERROR(
    IF(
        AND(
            VLOOKUP(B1184, 'รายชื่อพนักงานลาออกพ้นสภาพ'!B:I, 8, FALSE)&lt;&gt;"ยกเลิกลาออก",
            VLOOKUP(B1184, 'รายชื่อพนักงานลาออกพ้นสภาพ'!B:I, 7, FALSE)&lt;=TODAY()
        ),
        "ลาออกแล้ว",
        ""
    ),
"")</f>
        <v/>
      </c>
      <c r="O1184" s="292" t="str">
        <f t="array" ref="O1184">IFERROR(INDEX(PCRent!C:D, MATCH(F1184 &amp; " " &amp; G1184, PCRent!A:A &amp; " " &amp; PCRent!B:B, 0)), "")</f>
        <v/>
      </c>
      <c r="P1184" s="293"/>
      <c r="Q1184" s="294" t="str">
        <f t="array" ref="Q1184">IFERROR(INDEX(MonitorRent!C:D, MATCH(F1184 &amp; " " &amp; G1184, MonitorRent!A:A &amp; " " &amp; MonitorRent!B:B, 0)), "")</f>
        <v/>
      </c>
      <c r="R1184" s="295"/>
    </row>
    <row r="1185">
      <c r="A1185" s="284">
        <v>1182.0</v>
      </c>
      <c r="B1185" s="285" t="s">
        <v>14638</v>
      </c>
      <c r="C1185" s="285" t="s">
        <v>6918</v>
      </c>
      <c r="D1185" s="286" t="s">
        <v>10138</v>
      </c>
      <c r="E1185" s="285" t="s">
        <v>6921</v>
      </c>
      <c r="F1185" s="285" t="s">
        <v>14639</v>
      </c>
      <c r="G1185" s="285" t="s">
        <v>14640</v>
      </c>
      <c r="H1185" s="285" t="s">
        <v>9747</v>
      </c>
      <c r="I1185" s="285" t="s">
        <v>14641</v>
      </c>
      <c r="J1185" s="285" t="s">
        <v>5012</v>
      </c>
      <c r="K1185" s="285" t="s">
        <v>6322</v>
      </c>
      <c r="L1185" s="285" t="s">
        <v>13057</v>
      </c>
      <c r="M1185" s="285" t="s">
        <v>9383</v>
      </c>
      <c r="N1185" s="287" t="str">
        <f>IFERROR(
    IF(
        AND(
            VLOOKUP(B1185, 'รายชื่อพนักงานลาออกพ้นสภาพ'!B:I, 8, FALSE)&lt;&gt;"ยกเลิกลาออก",
            VLOOKUP(B1185, 'รายชื่อพนักงานลาออกพ้นสภาพ'!B:I, 7, FALSE)&lt;=TODAY()
        ),
        "ลาออกแล้ว",
        ""
    ),
"")</f>
        <v/>
      </c>
      <c r="O1185" s="292" t="str">
        <f t="array" ref="O1185">IFERROR(INDEX(PCRent!C:D, MATCH(F1185 &amp; " " &amp; G1185, PCRent!A:A &amp; " " &amp; PCRent!B:B, 0)), "")</f>
        <v/>
      </c>
      <c r="P1185" s="293"/>
      <c r="Q1185" s="294" t="str">
        <f t="array" ref="Q1185">IFERROR(INDEX(MonitorRent!C:D, MATCH(F1185 &amp; " " &amp; G1185, MonitorRent!A:A &amp; " " &amp; MonitorRent!B:B, 0)), "")</f>
        <v/>
      </c>
      <c r="R1185" s="295"/>
    </row>
    <row r="1186">
      <c r="A1186" s="284">
        <v>1183.0</v>
      </c>
      <c r="B1186" s="285" t="s">
        <v>8158</v>
      </c>
      <c r="C1186" s="285" t="s">
        <v>6918</v>
      </c>
      <c r="D1186" s="286" t="s">
        <v>14642</v>
      </c>
      <c r="E1186" s="285" t="s">
        <v>6921</v>
      </c>
      <c r="F1186" s="285" t="s">
        <v>14643</v>
      </c>
      <c r="G1186" s="285" t="s">
        <v>14644</v>
      </c>
      <c r="H1186" s="285" t="s">
        <v>11870</v>
      </c>
      <c r="I1186" s="285" t="s">
        <v>14645</v>
      </c>
      <c r="J1186" s="285" t="s">
        <v>5224</v>
      </c>
      <c r="K1186" s="285" t="s">
        <v>4756</v>
      </c>
      <c r="L1186" s="285" t="s">
        <v>14504</v>
      </c>
      <c r="M1186" s="285" t="s">
        <v>9383</v>
      </c>
      <c r="N1186" s="287" t="str">
        <f>IFERROR(
    IF(
        AND(
            VLOOKUP(B1186, 'รายชื่อพนักงานลาออกพ้นสภาพ'!B:I, 8, FALSE)&lt;&gt;"ยกเลิกลาออก",
            VLOOKUP(B1186, 'รายชื่อพนักงานลาออกพ้นสภาพ'!B:I, 7, FALSE)&lt;=TODAY()
        ),
        "ลาออกแล้ว",
        ""
    ),
"")</f>
        <v/>
      </c>
      <c r="O1186" s="292" t="str">
        <f t="array" ref="O1186">IFERROR(INDEX(PCRent!C:D, MATCH(F1186 &amp; " " &amp; G1186, PCRent!A:A &amp; " " &amp; PCRent!B:B, 0)), "")</f>
        <v/>
      </c>
      <c r="P1186" s="293"/>
      <c r="Q1186" s="294" t="str">
        <f t="array" ref="Q1186">IFERROR(INDEX(MonitorRent!C:D, MATCH(F1186 &amp; " " &amp; G1186, MonitorRent!A:A &amp; " " &amp; MonitorRent!B:B, 0)), "")</f>
        <v/>
      </c>
      <c r="R1186" s="295"/>
    </row>
    <row r="1187">
      <c r="A1187" s="284">
        <v>1184.0</v>
      </c>
      <c r="B1187" s="285" t="s">
        <v>8213</v>
      </c>
      <c r="C1187" s="285" t="s">
        <v>6918</v>
      </c>
      <c r="D1187" s="286" t="s">
        <v>10729</v>
      </c>
      <c r="E1187" s="285" t="s">
        <v>6933</v>
      </c>
      <c r="F1187" s="285" t="s">
        <v>14646</v>
      </c>
      <c r="G1187" s="285" t="s">
        <v>14647</v>
      </c>
      <c r="H1187" s="285" t="s">
        <v>9691</v>
      </c>
      <c r="I1187" s="285" t="s">
        <v>14648</v>
      </c>
      <c r="J1187" s="285" t="s">
        <v>5224</v>
      </c>
      <c r="K1187" s="285" t="s">
        <v>13123</v>
      </c>
      <c r="L1187" s="285" t="s">
        <v>13030</v>
      </c>
      <c r="M1187" s="285" t="s">
        <v>9383</v>
      </c>
      <c r="N1187" s="287" t="str">
        <f>IFERROR(
    IF(
        AND(
            VLOOKUP(B1187, 'รายชื่อพนักงานลาออกพ้นสภาพ'!B:I, 8, FALSE)&lt;&gt;"ยกเลิกลาออก",
            VLOOKUP(B1187, 'รายชื่อพนักงานลาออกพ้นสภาพ'!B:I, 7, FALSE)&lt;=TODAY()
        ),
        "ลาออกแล้ว",
        ""
    ),
"")</f>
        <v/>
      </c>
      <c r="O1187" s="292" t="str">
        <f t="array" ref="O1187:P1187">IFERROR(INDEX(PCRent!C:D, MATCH(F1187 &amp; " " &amp; G1187, PCRent!A:A &amp; " " &amp; PCRent!B:B, 0)), "")</f>
        <v>SN:MP2EHRWH</v>
      </c>
      <c r="P1187" s="293" t="s">
        <v>6993</v>
      </c>
      <c r="Q1187" s="294" t="str">
        <f t="array" ref="Q1187">IFERROR(INDEX(MonitorRent!C:D, MATCH(F1187 &amp; " " &amp; G1187, MonitorRent!A:A &amp; " " &amp; MonitorRent!B:B, 0)), "")</f>
        <v/>
      </c>
      <c r="R1187" s="295"/>
    </row>
    <row r="1188">
      <c r="A1188" s="284">
        <v>1185.0</v>
      </c>
      <c r="B1188" s="285" t="s">
        <v>9123</v>
      </c>
      <c r="C1188" s="285" t="s">
        <v>6918</v>
      </c>
      <c r="D1188" s="286" t="s">
        <v>14649</v>
      </c>
      <c r="E1188" s="285" t="s">
        <v>6933</v>
      </c>
      <c r="F1188" s="285" t="s">
        <v>11356</v>
      </c>
      <c r="G1188" s="285" t="s">
        <v>14650</v>
      </c>
      <c r="H1188" s="285" t="s">
        <v>10629</v>
      </c>
      <c r="I1188" s="285" t="s">
        <v>14651</v>
      </c>
      <c r="J1188" s="285" t="s">
        <v>5224</v>
      </c>
      <c r="K1188" s="285" t="s">
        <v>13266</v>
      </c>
      <c r="L1188" s="285" t="s">
        <v>14652</v>
      </c>
      <c r="M1188" s="285" t="s">
        <v>9383</v>
      </c>
      <c r="N1188" s="287" t="str">
        <f>IFERROR(
    IF(
        AND(
            VLOOKUP(B1188, 'รายชื่อพนักงานลาออกพ้นสภาพ'!B:I, 8, FALSE)&lt;&gt;"ยกเลิกลาออก",
            VLOOKUP(B1188, 'รายชื่อพนักงานลาออกพ้นสภาพ'!B:I, 7, FALSE)&lt;=TODAY()
        ),
        "ลาออกแล้ว",
        ""
    ),
"")</f>
        <v/>
      </c>
      <c r="O1188" s="292" t="str">
        <f t="array" ref="O1188:P1188">IFERROR(INDEX(PCRent!C:D, MATCH(F1188 &amp; " " &amp; G1188, PCRent!A:A &amp; " " &amp; PCRent!B:B, 0)), "")</f>
        <v>SN:PF39F0BT</v>
      </c>
      <c r="P1188" s="293" t="s">
        <v>7005</v>
      </c>
      <c r="Q1188" s="294" t="str">
        <f t="array" ref="Q1188">IFERROR(INDEX(MonitorRent!C:D, MATCH(F1188 &amp; " " &amp; G1188, MonitorRent!A:A &amp; " " &amp; MonitorRent!B:B, 0)), "")</f>
        <v/>
      </c>
      <c r="R1188" s="295"/>
    </row>
    <row r="1189">
      <c r="A1189" s="284">
        <v>1186.0</v>
      </c>
      <c r="B1189" s="285" t="s">
        <v>14653</v>
      </c>
      <c r="C1189" s="285" t="s">
        <v>6918</v>
      </c>
      <c r="D1189" s="286" t="s">
        <v>14305</v>
      </c>
      <c r="E1189" s="285" t="s">
        <v>6933</v>
      </c>
      <c r="F1189" s="285" t="s">
        <v>14654</v>
      </c>
      <c r="G1189" s="285" t="s">
        <v>14655</v>
      </c>
      <c r="H1189" s="285" t="s">
        <v>11378</v>
      </c>
      <c r="I1189" s="285" t="s">
        <v>14656</v>
      </c>
      <c r="J1189" s="285" t="s">
        <v>5012</v>
      </c>
      <c r="K1189" s="285" t="s">
        <v>12401</v>
      </c>
      <c r="L1189" s="285" t="s">
        <v>13501</v>
      </c>
      <c r="M1189" s="285" t="s">
        <v>9383</v>
      </c>
      <c r="N1189" s="287" t="str">
        <f>IFERROR(
    IF(
        AND(
            VLOOKUP(B1189, 'รายชื่อพนักงานลาออกพ้นสภาพ'!B:I, 8, FALSE)&lt;&gt;"ยกเลิกลาออก",
            VLOOKUP(B1189, 'รายชื่อพนักงานลาออกพ้นสภาพ'!B:I, 7, FALSE)&lt;=TODAY()
        ),
        "ลาออกแล้ว",
        ""
    ),
"")</f>
        <v/>
      </c>
      <c r="O1189" s="292" t="str">
        <f t="array" ref="O1189">IFERROR(INDEX(PCRent!C:D, MATCH(F1189 &amp; " " &amp; G1189, PCRent!A:A &amp; " " &amp; PCRent!B:B, 0)), "")</f>
        <v/>
      </c>
      <c r="P1189" s="293"/>
      <c r="Q1189" s="294" t="str">
        <f t="array" ref="Q1189">IFERROR(INDEX(MonitorRent!C:D, MATCH(F1189 &amp; " " &amp; G1189, MonitorRent!A:A &amp; " " &amp; MonitorRent!B:B, 0)), "")</f>
        <v/>
      </c>
      <c r="R1189" s="295"/>
    </row>
    <row r="1190">
      <c r="A1190" s="284">
        <v>1187.0</v>
      </c>
      <c r="B1190" s="285" t="s">
        <v>821</v>
      </c>
      <c r="C1190" s="285" t="s">
        <v>6918</v>
      </c>
      <c r="D1190" s="286" t="s">
        <v>14657</v>
      </c>
      <c r="E1190" s="285" t="s">
        <v>6933</v>
      </c>
      <c r="F1190" s="285" t="s">
        <v>11369</v>
      </c>
      <c r="G1190" s="285" t="s">
        <v>14658</v>
      </c>
      <c r="H1190" s="285" t="s">
        <v>9909</v>
      </c>
      <c r="I1190" s="285" t="s">
        <v>824</v>
      </c>
      <c r="J1190" s="285" t="s">
        <v>5224</v>
      </c>
      <c r="K1190" s="285" t="s">
        <v>9458</v>
      </c>
      <c r="L1190" s="285" t="s">
        <v>14659</v>
      </c>
      <c r="M1190" s="285" t="s">
        <v>9383</v>
      </c>
      <c r="N1190" s="287" t="str">
        <f>IFERROR(
    IF(
        AND(
            VLOOKUP(B1190, 'รายชื่อพนักงานลาออกพ้นสภาพ'!B:I, 8, FALSE)&lt;&gt;"ยกเลิกลาออก",
            VLOOKUP(B1190, 'รายชื่อพนักงานลาออกพ้นสภาพ'!B:I, 7, FALSE)&lt;=TODAY()
        ),
        "ลาออกแล้ว",
        ""
    ),
"")</f>
        <v>ลาออกแล้ว</v>
      </c>
      <c r="O1190" s="292" t="str">
        <f t="array" ref="O1190">IFERROR(INDEX(PCRent!C:D, MATCH(F1190 &amp; " " &amp; G1190, PCRent!A:A &amp; " " &amp; PCRent!B:B, 0)), "")</f>
        <v/>
      </c>
      <c r="P1190" s="293"/>
      <c r="Q1190" s="294" t="str">
        <f t="array" ref="Q1190">IFERROR(INDEX(MonitorRent!C:D, MATCH(F1190 &amp; " " &amp; G1190, MonitorRent!A:A &amp; " " &amp; MonitorRent!B:B, 0)), "")</f>
        <v/>
      </c>
      <c r="R1190" s="295"/>
    </row>
    <row r="1191">
      <c r="A1191" s="284">
        <v>1188.0</v>
      </c>
      <c r="B1191" s="285" t="s">
        <v>14660</v>
      </c>
      <c r="C1191" s="285" t="s">
        <v>6918</v>
      </c>
      <c r="D1191" s="286" t="s">
        <v>11371</v>
      </c>
      <c r="E1191" s="285" t="s">
        <v>6933</v>
      </c>
      <c r="F1191" s="285" t="s">
        <v>14661</v>
      </c>
      <c r="G1191" s="285" t="s">
        <v>14662</v>
      </c>
      <c r="H1191" s="285" t="s">
        <v>11374</v>
      </c>
      <c r="I1191" s="285" t="s">
        <v>14663</v>
      </c>
      <c r="J1191" s="285" t="s">
        <v>5012</v>
      </c>
      <c r="K1191" s="285" t="s">
        <v>9626</v>
      </c>
      <c r="L1191" s="285" t="s">
        <v>14139</v>
      </c>
      <c r="M1191" s="285" t="s">
        <v>9383</v>
      </c>
      <c r="N1191" s="287" t="str">
        <f>IFERROR(
    IF(
        AND(
            VLOOKUP(B1191, 'รายชื่อพนักงานลาออกพ้นสภาพ'!B:I, 8, FALSE)&lt;&gt;"ยกเลิกลาออก",
            VLOOKUP(B1191, 'รายชื่อพนักงานลาออกพ้นสภาพ'!B:I, 7, FALSE)&lt;=TODAY()
        ),
        "ลาออกแล้ว",
        ""
    ),
"")</f>
        <v/>
      </c>
      <c r="O1191" s="292" t="str">
        <f t="array" ref="O1191">IFERROR(INDEX(PCRent!C:D, MATCH(F1191 &amp; " " &amp; G1191, PCRent!A:A &amp; " " &amp; PCRent!B:B, 0)), "")</f>
        <v/>
      </c>
      <c r="P1191" s="293"/>
      <c r="Q1191" s="294" t="str">
        <f t="array" ref="Q1191">IFERROR(INDEX(MonitorRent!C:D, MATCH(F1191 &amp; " " &amp; G1191, MonitorRent!A:A &amp; " " &amp; MonitorRent!B:B, 0)), "")</f>
        <v/>
      </c>
      <c r="R1191" s="295"/>
    </row>
    <row r="1192">
      <c r="A1192" s="284">
        <v>1189.0</v>
      </c>
      <c r="B1192" s="285" t="s">
        <v>7916</v>
      </c>
      <c r="C1192" s="285" t="s">
        <v>6918</v>
      </c>
      <c r="D1192" s="286" t="s">
        <v>14664</v>
      </c>
      <c r="E1192" s="285" t="s">
        <v>6921</v>
      </c>
      <c r="F1192" s="285" t="s">
        <v>14665</v>
      </c>
      <c r="G1192" s="285" t="s">
        <v>14666</v>
      </c>
      <c r="H1192" s="285" t="s">
        <v>11896</v>
      </c>
      <c r="I1192" s="285" t="s">
        <v>14667</v>
      </c>
      <c r="J1192" s="285" t="s">
        <v>5224</v>
      </c>
      <c r="K1192" s="285" t="s">
        <v>4835</v>
      </c>
      <c r="L1192" s="285" t="s">
        <v>7913</v>
      </c>
      <c r="M1192" s="285" t="s">
        <v>9383</v>
      </c>
      <c r="N1192" s="287" t="str">
        <f>IFERROR(
    IF(
        AND(
            VLOOKUP(B1192, 'รายชื่อพนักงานลาออกพ้นสภาพ'!B:I, 8, FALSE)&lt;&gt;"ยกเลิกลาออก",
            VLOOKUP(B1192, 'รายชื่อพนักงานลาออกพ้นสภาพ'!B:I, 7, FALSE)&lt;=TODAY()
        ),
        "ลาออกแล้ว",
        ""
    ),
"")</f>
        <v/>
      </c>
      <c r="O1192" s="292" t="str">
        <f t="array" ref="O1192:P1192">IFERROR(INDEX(PCRent!C:D, MATCH(F1192 &amp; " " &amp; G1192, PCRent!A:A &amp; " " &amp; PCRent!B:B, 0)), "")</f>
        <v>SN:HQRKQ04</v>
      </c>
      <c r="P1192" s="293" t="s">
        <v>7048</v>
      </c>
      <c r="Q1192" s="294" t="str">
        <f t="array" ref="Q1192:R1192">IFERROR(INDEX(MonitorRent!C:D, MATCH(F1192 &amp; " " &amp; G1192, MonitorRent!A:A &amp; " " &amp; MonitorRent!B:B, 0)), "")</f>
        <v>SN:8ZZ6XY3</v>
      </c>
      <c r="R1192" s="295" t="s">
        <v>9397</v>
      </c>
    </row>
    <row r="1193">
      <c r="A1193" s="284">
        <v>1190.0</v>
      </c>
      <c r="B1193" s="285" t="s">
        <v>14668</v>
      </c>
      <c r="C1193" s="285" t="s">
        <v>6918</v>
      </c>
      <c r="D1193" s="286" t="s">
        <v>14669</v>
      </c>
      <c r="E1193" s="285" t="s">
        <v>6933</v>
      </c>
      <c r="F1193" s="285" t="s">
        <v>14670</v>
      </c>
      <c r="G1193" s="285" t="s">
        <v>14671</v>
      </c>
      <c r="H1193" s="285" t="s">
        <v>14672</v>
      </c>
      <c r="I1193" s="285" t="s">
        <v>5970</v>
      </c>
      <c r="J1193" s="285" t="s">
        <v>5012</v>
      </c>
      <c r="K1193" s="285" t="s">
        <v>9796</v>
      </c>
      <c r="L1193" s="285" t="s">
        <v>13869</v>
      </c>
      <c r="M1193" s="285" t="s">
        <v>9383</v>
      </c>
      <c r="N1193" s="287" t="str">
        <f>IFERROR(
    IF(
        AND(
            VLOOKUP(B1193, 'รายชื่อพนักงานลาออกพ้นสภาพ'!B:I, 8, FALSE)&lt;&gt;"ยกเลิกลาออก",
            VLOOKUP(B1193, 'รายชื่อพนักงานลาออกพ้นสภาพ'!B:I, 7, FALSE)&lt;=TODAY()
        ),
        "ลาออกแล้ว",
        ""
    ),
"")</f>
        <v/>
      </c>
      <c r="O1193" s="292" t="str">
        <f t="array" ref="O1193">IFERROR(INDEX(PCRent!C:D, MATCH(F1193 &amp; " " &amp; G1193, PCRent!A:A &amp; " " &amp; PCRent!B:B, 0)), "")</f>
        <v/>
      </c>
      <c r="P1193" s="293"/>
      <c r="Q1193" s="294" t="str">
        <f t="array" ref="Q1193">IFERROR(INDEX(MonitorRent!C:D, MATCH(F1193 &amp; " " &amp; G1193, MonitorRent!A:A &amp; " " &amp; MonitorRent!B:B, 0)), "")</f>
        <v/>
      </c>
      <c r="R1193" s="295"/>
    </row>
    <row r="1194">
      <c r="A1194" s="284">
        <v>1191.0</v>
      </c>
      <c r="B1194" s="285" t="s">
        <v>9155</v>
      </c>
      <c r="C1194" s="285" t="s">
        <v>6918</v>
      </c>
      <c r="D1194" s="286" t="s">
        <v>10978</v>
      </c>
      <c r="E1194" s="285" t="s">
        <v>6933</v>
      </c>
      <c r="F1194" s="285" t="s">
        <v>14673</v>
      </c>
      <c r="G1194" s="285" t="s">
        <v>14674</v>
      </c>
      <c r="H1194" s="285" t="s">
        <v>10644</v>
      </c>
      <c r="I1194" s="285" t="s">
        <v>14675</v>
      </c>
      <c r="J1194" s="285" t="s">
        <v>5224</v>
      </c>
      <c r="K1194" s="285" t="s">
        <v>9474</v>
      </c>
      <c r="L1194" s="285" t="s">
        <v>14652</v>
      </c>
      <c r="M1194" s="285" t="s">
        <v>9383</v>
      </c>
      <c r="N1194" s="287" t="str">
        <f>IFERROR(
    IF(
        AND(
            VLOOKUP(B1194, 'รายชื่อพนักงานลาออกพ้นสภาพ'!B:I, 8, FALSE)&lt;&gt;"ยกเลิกลาออก",
            VLOOKUP(B1194, 'รายชื่อพนักงานลาออกพ้นสภาพ'!B:I, 7, FALSE)&lt;=TODAY()
        ),
        "ลาออกแล้ว",
        ""
    ),
"")</f>
        <v/>
      </c>
      <c r="O1194" s="292" t="str">
        <f t="array" ref="O1194">IFERROR(INDEX(PCRent!C:D, MATCH(F1194 &amp; " " &amp; G1194, PCRent!A:A &amp; " " &amp; PCRent!B:B, 0)), "")</f>
        <v/>
      </c>
      <c r="P1194" s="293"/>
      <c r="Q1194" s="294" t="str">
        <f t="array" ref="Q1194">IFERROR(INDEX(MonitorRent!C:D, MATCH(F1194 &amp; " " &amp; G1194, MonitorRent!A:A &amp; " " &amp; MonitorRent!B:B, 0)), "")</f>
        <v/>
      </c>
      <c r="R1194" s="295"/>
    </row>
    <row r="1195">
      <c r="A1195" s="284">
        <v>1192.0</v>
      </c>
      <c r="B1195" s="285" t="s">
        <v>8858</v>
      </c>
      <c r="C1195" s="285" t="s">
        <v>6918</v>
      </c>
      <c r="D1195" s="286" t="s">
        <v>11036</v>
      </c>
      <c r="E1195" s="285" t="s">
        <v>6921</v>
      </c>
      <c r="F1195" s="285" t="s">
        <v>14676</v>
      </c>
      <c r="G1195" s="285" t="s">
        <v>14677</v>
      </c>
      <c r="H1195" s="285" t="s">
        <v>10749</v>
      </c>
      <c r="I1195" s="285" t="s">
        <v>14678</v>
      </c>
      <c r="J1195" s="285" t="s">
        <v>5224</v>
      </c>
      <c r="K1195" s="285" t="s">
        <v>12963</v>
      </c>
      <c r="L1195" s="285" t="s">
        <v>8850</v>
      </c>
      <c r="M1195" s="285" t="s">
        <v>9383</v>
      </c>
      <c r="N1195" s="287" t="str">
        <f>IFERROR(
    IF(
        AND(
            VLOOKUP(B1195, 'รายชื่อพนักงานลาออกพ้นสภาพ'!B:I, 8, FALSE)&lt;&gt;"ยกเลิกลาออก",
            VLOOKUP(B1195, 'รายชื่อพนักงานลาออกพ้นสภาพ'!B:I, 7, FALSE)&lt;=TODAY()
        ),
        "ลาออกแล้ว",
        ""
    ),
"")</f>
        <v/>
      </c>
      <c r="O1195" s="292" t="str">
        <f t="array" ref="O1195">IFERROR(INDEX(PCRent!C:D, MATCH(F1195 &amp; " " &amp; G1195, PCRent!A:A &amp; " " &amp; PCRent!B:B, 0)), "")</f>
        <v/>
      </c>
      <c r="P1195" s="293"/>
      <c r="Q1195" s="294" t="str">
        <f t="array" ref="Q1195">IFERROR(INDEX(MonitorRent!C:D, MATCH(F1195 &amp; " " &amp; G1195, MonitorRent!A:A &amp; " " &amp; MonitorRent!B:B, 0)), "")</f>
        <v/>
      </c>
      <c r="R1195" s="295"/>
    </row>
    <row r="1196">
      <c r="A1196" s="284">
        <v>1193.0</v>
      </c>
      <c r="B1196" s="285" t="s">
        <v>454</v>
      </c>
      <c r="C1196" s="285" t="s">
        <v>6918</v>
      </c>
      <c r="D1196" s="286" t="s">
        <v>10493</v>
      </c>
      <c r="E1196" s="285" t="s">
        <v>6933</v>
      </c>
      <c r="F1196" s="285" t="s">
        <v>14679</v>
      </c>
      <c r="G1196" s="285" t="s">
        <v>14680</v>
      </c>
      <c r="H1196" s="285" t="s">
        <v>14681</v>
      </c>
      <c r="I1196" s="285" t="s">
        <v>457</v>
      </c>
      <c r="J1196" s="285" t="s">
        <v>5012</v>
      </c>
      <c r="K1196" s="285" t="s">
        <v>4805</v>
      </c>
      <c r="L1196" s="285" t="s">
        <v>456</v>
      </c>
      <c r="M1196" s="285" t="s">
        <v>9383</v>
      </c>
      <c r="N1196" s="287" t="str">
        <f>IFERROR(
    IF(
        AND(
            VLOOKUP(B1196, 'รายชื่อพนักงานลาออกพ้นสภาพ'!B:I, 8, FALSE)&lt;&gt;"ยกเลิกลาออก",
            VLOOKUP(B1196, 'รายชื่อพนักงานลาออกพ้นสภาพ'!B:I, 7, FALSE)&lt;=TODAY()
        ),
        "ลาออกแล้ว",
        ""
    ),
"")</f>
        <v>ลาออกแล้ว</v>
      </c>
      <c r="O1196" s="292" t="str">
        <f t="array" ref="O1196">IFERROR(INDEX(PCRent!C:D, MATCH(F1196 &amp; " " &amp; G1196, PCRent!A:A &amp; " " &amp; PCRent!B:B, 0)), "")</f>
        <v/>
      </c>
      <c r="P1196" s="293"/>
      <c r="Q1196" s="294" t="str">
        <f t="array" ref="Q1196">IFERROR(INDEX(MonitorRent!C:D, MATCH(F1196 &amp; " " &amp; G1196, MonitorRent!A:A &amp; " " &amp; MonitorRent!B:B, 0)), "")</f>
        <v/>
      </c>
      <c r="R1196" s="295"/>
    </row>
    <row r="1197">
      <c r="A1197" s="284">
        <v>1194.0</v>
      </c>
      <c r="B1197" s="285" t="s">
        <v>8662</v>
      </c>
      <c r="C1197" s="285" t="s">
        <v>6918</v>
      </c>
      <c r="D1197" s="286" t="s">
        <v>14682</v>
      </c>
      <c r="E1197" s="285" t="s">
        <v>6921</v>
      </c>
      <c r="F1197" s="285" t="s">
        <v>14683</v>
      </c>
      <c r="G1197" s="285" t="s">
        <v>14684</v>
      </c>
      <c r="H1197" s="285" t="s">
        <v>9501</v>
      </c>
      <c r="I1197" s="285" t="s">
        <v>14685</v>
      </c>
      <c r="J1197" s="285" t="s">
        <v>5224</v>
      </c>
      <c r="K1197" s="285" t="s">
        <v>13620</v>
      </c>
      <c r="L1197" s="285" t="s">
        <v>8655</v>
      </c>
      <c r="M1197" s="285" t="s">
        <v>9383</v>
      </c>
      <c r="N1197" s="287" t="str">
        <f>IFERROR(
    IF(
        AND(
            VLOOKUP(B1197, 'รายชื่อพนักงานลาออกพ้นสภาพ'!B:I, 8, FALSE)&lt;&gt;"ยกเลิกลาออก",
            VLOOKUP(B1197, 'รายชื่อพนักงานลาออกพ้นสภาพ'!B:I, 7, FALSE)&lt;=TODAY()
        ),
        "ลาออกแล้ว",
        ""
    ),
"")</f>
        <v/>
      </c>
      <c r="O1197" s="292" t="str">
        <f t="array" ref="O1197">IFERROR(INDEX(PCRent!C:D, MATCH(F1197 &amp; " " &amp; G1197, PCRent!A:A &amp; " " &amp; PCRent!B:B, 0)), "")</f>
        <v/>
      </c>
      <c r="P1197" s="293"/>
      <c r="Q1197" s="294" t="str">
        <f t="array" ref="Q1197">IFERROR(INDEX(MonitorRent!C:D, MATCH(F1197 &amp; " " &amp; G1197, MonitorRent!A:A &amp; " " &amp; MonitorRent!B:B, 0)), "")</f>
        <v/>
      </c>
      <c r="R1197" s="295"/>
    </row>
    <row r="1198">
      <c r="A1198" s="284">
        <v>1195.0</v>
      </c>
      <c r="B1198" s="285" t="s">
        <v>14686</v>
      </c>
      <c r="C1198" s="285" t="s">
        <v>6918</v>
      </c>
      <c r="D1198" s="286" t="s">
        <v>13455</v>
      </c>
      <c r="E1198" s="285" t="s">
        <v>6921</v>
      </c>
      <c r="F1198" s="285" t="s">
        <v>14687</v>
      </c>
      <c r="G1198" s="285" t="s">
        <v>14688</v>
      </c>
      <c r="H1198" s="285" t="s">
        <v>9934</v>
      </c>
      <c r="I1198" s="285" t="s">
        <v>14689</v>
      </c>
      <c r="J1198" s="285" t="s">
        <v>5012</v>
      </c>
      <c r="K1198" s="285" t="s">
        <v>3000</v>
      </c>
      <c r="L1198" s="285" t="s">
        <v>13372</v>
      </c>
      <c r="M1198" s="285" t="s">
        <v>9383</v>
      </c>
      <c r="N1198" s="287" t="str">
        <f>IFERROR(
    IF(
        AND(
            VLOOKUP(B1198, 'รายชื่อพนักงานลาออกพ้นสภาพ'!B:I, 8, FALSE)&lt;&gt;"ยกเลิกลาออก",
            VLOOKUP(B1198, 'รายชื่อพนักงานลาออกพ้นสภาพ'!B:I, 7, FALSE)&lt;=TODAY()
        ),
        "ลาออกแล้ว",
        ""
    ),
"")</f>
        <v/>
      </c>
      <c r="O1198" s="292" t="str">
        <f t="array" ref="O1198">IFERROR(INDEX(PCRent!C:D, MATCH(F1198 &amp; " " &amp; G1198, PCRent!A:A &amp; " " &amp; PCRent!B:B, 0)), "")</f>
        <v/>
      </c>
      <c r="P1198" s="293"/>
      <c r="Q1198" s="294" t="str">
        <f t="array" ref="Q1198">IFERROR(INDEX(MonitorRent!C:D, MATCH(F1198 &amp; " " &amp; G1198, MonitorRent!A:A &amp; " " &amp; MonitorRent!B:B, 0)), "")</f>
        <v/>
      </c>
      <c r="R1198" s="295"/>
    </row>
    <row r="1199">
      <c r="A1199" s="284">
        <v>1196.0</v>
      </c>
      <c r="B1199" s="285" t="s">
        <v>14690</v>
      </c>
      <c r="C1199" s="285" t="s">
        <v>6918</v>
      </c>
      <c r="D1199" s="286" t="s">
        <v>9942</v>
      </c>
      <c r="E1199" s="285" t="s">
        <v>7239</v>
      </c>
      <c r="F1199" s="285" t="s">
        <v>14691</v>
      </c>
      <c r="G1199" s="285" t="s">
        <v>14692</v>
      </c>
      <c r="H1199" s="285" t="s">
        <v>14693</v>
      </c>
      <c r="I1199" s="285" t="s">
        <v>6295</v>
      </c>
      <c r="J1199" s="285" t="s">
        <v>5224</v>
      </c>
      <c r="K1199" s="285" t="s">
        <v>2062</v>
      </c>
      <c r="L1199" s="285" t="s">
        <v>2926</v>
      </c>
      <c r="M1199" s="285" t="s">
        <v>9383</v>
      </c>
      <c r="N1199" s="287" t="str">
        <f>IFERROR(
    IF(
        AND(
            VLOOKUP(B1199, 'รายชื่อพนักงานลาออกพ้นสภาพ'!B:I, 8, FALSE)&lt;&gt;"ยกเลิกลาออก",
            VLOOKUP(B1199, 'รายชื่อพนักงานลาออกพ้นสภาพ'!B:I, 7, FALSE)&lt;=TODAY()
        ),
        "ลาออกแล้ว",
        ""
    ),
"")</f>
        <v/>
      </c>
      <c r="O1199" s="292" t="str">
        <f t="array" ref="O1199">IFERROR(INDEX(PCRent!C:D, MATCH(F1199 &amp; " " &amp; G1199, PCRent!A:A &amp; " " &amp; PCRent!B:B, 0)), "")</f>
        <v/>
      </c>
      <c r="P1199" s="293"/>
      <c r="Q1199" s="294" t="str">
        <f t="array" ref="Q1199">IFERROR(INDEX(MonitorRent!C:D, MATCH(F1199 &amp; " " &amp; G1199, MonitorRent!A:A &amp; " " &amp; MonitorRent!B:B, 0)), "")</f>
        <v/>
      </c>
      <c r="R1199" s="295"/>
    </row>
    <row r="1200">
      <c r="A1200" s="284">
        <v>1197.0</v>
      </c>
      <c r="B1200" s="285" t="s">
        <v>14694</v>
      </c>
      <c r="C1200" s="285" t="s">
        <v>6918</v>
      </c>
      <c r="D1200" s="286" t="s">
        <v>9814</v>
      </c>
      <c r="E1200" s="285" t="s">
        <v>6921</v>
      </c>
      <c r="F1200" s="285" t="s">
        <v>14695</v>
      </c>
      <c r="G1200" s="285" t="s">
        <v>14696</v>
      </c>
      <c r="H1200" s="285" t="s">
        <v>10749</v>
      </c>
      <c r="I1200" s="285" t="s">
        <v>14697</v>
      </c>
      <c r="J1200" s="285" t="s">
        <v>5012</v>
      </c>
      <c r="K1200" s="285" t="s">
        <v>4749</v>
      </c>
      <c r="L1200" s="285" t="s">
        <v>13429</v>
      </c>
      <c r="M1200" s="285" t="s">
        <v>9383</v>
      </c>
      <c r="N1200" s="287" t="str">
        <f>IFERROR(
    IF(
        AND(
            VLOOKUP(B1200, 'รายชื่อพนักงานลาออกพ้นสภาพ'!B:I, 8, FALSE)&lt;&gt;"ยกเลิกลาออก",
            VLOOKUP(B1200, 'รายชื่อพนักงานลาออกพ้นสภาพ'!B:I, 7, FALSE)&lt;=TODAY()
        ),
        "ลาออกแล้ว",
        ""
    ),
"")</f>
        <v/>
      </c>
      <c r="O1200" s="292" t="str">
        <f t="array" ref="O1200:P1200">IFERROR(INDEX(PCRent!C:D, MATCH(F1200 &amp; " " &amp; G1200, PCRent!A:A &amp; " " &amp; PCRent!B:B, 0)), "")</f>
        <v>SN:MP24V5Q9</v>
      </c>
      <c r="P1200" s="293" t="s">
        <v>9562</v>
      </c>
      <c r="Q1200" s="294" t="str">
        <f t="array" ref="Q1200">IFERROR(INDEX(MonitorRent!C:D, MATCH(F1200 &amp; " " &amp; G1200, MonitorRent!A:A &amp; " " &amp; MonitorRent!B:B, 0)), "")</f>
        <v/>
      </c>
      <c r="R1200" s="295"/>
    </row>
    <row r="1201">
      <c r="A1201" s="284">
        <v>1198.0</v>
      </c>
      <c r="B1201" s="285" t="s">
        <v>8418</v>
      </c>
      <c r="C1201" s="285" t="s">
        <v>6918</v>
      </c>
      <c r="D1201" s="286" t="s">
        <v>14216</v>
      </c>
      <c r="E1201" s="285" t="s">
        <v>7239</v>
      </c>
      <c r="F1201" s="285" t="s">
        <v>14698</v>
      </c>
      <c r="G1201" s="285" t="s">
        <v>14699</v>
      </c>
      <c r="H1201" s="285" t="s">
        <v>11155</v>
      </c>
      <c r="I1201" s="285" t="s">
        <v>14700</v>
      </c>
      <c r="J1201" s="285" t="s">
        <v>5224</v>
      </c>
      <c r="K1201" s="285" t="s">
        <v>4756</v>
      </c>
      <c r="L1201" s="285" t="s">
        <v>8398</v>
      </c>
      <c r="M1201" s="285" t="s">
        <v>9383</v>
      </c>
      <c r="N1201" s="287" t="str">
        <f>IFERROR(
    IF(
        AND(
            VLOOKUP(B1201, 'รายชื่อพนักงานลาออกพ้นสภาพ'!B:I, 8, FALSE)&lt;&gt;"ยกเลิกลาออก",
            VLOOKUP(B1201, 'รายชื่อพนักงานลาออกพ้นสภาพ'!B:I, 7, FALSE)&lt;=TODAY()
        ),
        "ลาออกแล้ว",
        ""
    ),
"")</f>
        <v/>
      </c>
      <c r="O1201" s="292" t="str">
        <f t="array" ref="O1201">IFERROR(INDEX(PCRent!C:D, MATCH(F1201 &amp; " " &amp; G1201, PCRent!A:A &amp; " " &amp; PCRent!B:B, 0)), "")</f>
        <v/>
      </c>
      <c r="P1201" s="293"/>
      <c r="Q1201" s="294" t="str">
        <f t="array" ref="Q1201">IFERROR(INDEX(MonitorRent!C:D, MATCH(F1201 &amp; " " &amp; G1201, MonitorRent!A:A &amp; " " &amp; MonitorRent!B:B, 0)), "")</f>
        <v/>
      </c>
      <c r="R1201" s="295"/>
    </row>
    <row r="1202">
      <c r="A1202" s="284">
        <v>1199.0</v>
      </c>
      <c r="B1202" s="285" t="s">
        <v>14701</v>
      </c>
      <c r="C1202" s="285" t="s">
        <v>6918</v>
      </c>
      <c r="D1202" s="286" t="s">
        <v>9942</v>
      </c>
      <c r="E1202" s="285" t="s">
        <v>6933</v>
      </c>
      <c r="F1202" s="285" t="s">
        <v>14702</v>
      </c>
      <c r="G1202" s="285" t="s">
        <v>14703</v>
      </c>
      <c r="H1202" s="285" t="s">
        <v>14704</v>
      </c>
      <c r="I1202" s="285" t="s">
        <v>14705</v>
      </c>
      <c r="J1202" s="285" t="s">
        <v>5012</v>
      </c>
      <c r="K1202" s="285" t="s">
        <v>9560</v>
      </c>
      <c r="L1202" s="285" t="s">
        <v>12953</v>
      </c>
      <c r="M1202" s="285" t="s">
        <v>9383</v>
      </c>
      <c r="N1202" s="287" t="str">
        <f>IFERROR(
    IF(
        AND(
            VLOOKUP(B1202, 'รายชื่อพนักงานลาออกพ้นสภาพ'!B:I, 8, FALSE)&lt;&gt;"ยกเลิกลาออก",
            VLOOKUP(B1202, 'รายชื่อพนักงานลาออกพ้นสภาพ'!B:I, 7, FALSE)&lt;=TODAY()
        ),
        "ลาออกแล้ว",
        ""
    ),
"")</f>
        <v/>
      </c>
      <c r="O1202" s="292" t="str">
        <f t="array" ref="O1202">IFERROR(INDEX(PCRent!C:D, MATCH(F1202 &amp; " " &amp; G1202, PCRent!A:A &amp; " " &amp; PCRent!B:B, 0)), "")</f>
        <v/>
      </c>
      <c r="P1202" s="293"/>
      <c r="Q1202" s="294" t="str">
        <f t="array" ref="Q1202">IFERROR(INDEX(MonitorRent!C:D, MATCH(F1202 &amp; " " &amp; G1202, MonitorRent!A:A &amp; " " &amp; MonitorRent!B:B, 0)), "")</f>
        <v/>
      </c>
      <c r="R1202" s="295"/>
    </row>
    <row r="1203">
      <c r="A1203" s="284">
        <v>1200.0</v>
      </c>
      <c r="B1203" s="285" t="s">
        <v>7203</v>
      </c>
      <c r="C1203" s="285" t="s">
        <v>6918</v>
      </c>
      <c r="D1203" s="286" t="s">
        <v>9814</v>
      </c>
      <c r="E1203" s="285" t="s">
        <v>6921</v>
      </c>
      <c r="F1203" s="285" t="s">
        <v>14706</v>
      </c>
      <c r="G1203" s="285" t="s">
        <v>14707</v>
      </c>
      <c r="H1203" s="285" t="s">
        <v>9586</v>
      </c>
      <c r="I1203" s="285" t="s">
        <v>14708</v>
      </c>
      <c r="J1203" s="285" t="s">
        <v>5224</v>
      </c>
      <c r="K1203" s="285" t="s">
        <v>9836</v>
      </c>
      <c r="L1203" s="285" t="s">
        <v>1602</v>
      </c>
      <c r="M1203" s="285" t="s">
        <v>9383</v>
      </c>
      <c r="N1203" s="287" t="str">
        <f>IFERROR(
    IF(
        AND(
            VLOOKUP(B1203, 'รายชื่อพนักงานลาออกพ้นสภาพ'!B:I, 8, FALSE)&lt;&gt;"ยกเลิกลาออก",
            VLOOKUP(B1203, 'รายชื่อพนักงานลาออกพ้นสภาพ'!B:I, 7, FALSE)&lt;=TODAY()
        ),
        "ลาออกแล้ว",
        ""
    ),
"")</f>
        <v/>
      </c>
      <c r="O1203" s="292" t="str">
        <f t="array" ref="O1203">IFERROR(INDEX(PCRent!C:D, MATCH(F1203 &amp; " " &amp; G1203, PCRent!A:A &amp; " " &amp; PCRent!B:B, 0)), "")</f>
        <v/>
      </c>
      <c r="P1203" s="293"/>
      <c r="Q1203" s="294" t="str">
        <f t="array" ref="Q1203">IFERROR(INDEX(MonitorRent!C:D, MATCH(F1203 &amp; " " &amp; G1203, MonitorRent!A:A &amp; " " &amp; MonitorRent!B:B, 0)), "")</f>
        <v/>
      </c>
      <c r="R1203" s="295"/>
    </row>
    <row r="1204">
      <c r="A1204" s="284">
        <v>1201.0</v>
      </c>
      <c r="B1204" s="285" t="s">
        <v>7961</v>
      </c>
      <c r="C1204" s="285" t="s">
        <v>6918</v>
      </c>
      <c r="D1204" s="286" t="s">
        <v>9576</v>
      </c>
      <c r="E1204" s="285" t="s">
        <v>6921</v>
      </c>
      <c r="F1204" s="285" t="s">
        <v>14709</v>
      </c>
      <c r="G1204" s="285" t="s">
        <v>14710</v>
      </c>
      <c r="H1204" s="285" t="s">
        <v>9961</v>
      </c>
      <c r="I1204" s="285" t="s">
        <v>14711</v>
      </c>
      <c r="J1204" s="285" t="s">
        <v>5224</v>
      </c>
      <c r="K1204" s="285" t="s">
        <v>9390</v>
      </c>
      <c r="L1204" s="285" t="s">
        <v>3179</v>
      </c>
      <c r="M1204" s="285" t="s">
        <v>9383</v>
      </c>
      <c r="N1204" s="287" t="str">
        <f>IFERROR(
    IF(
        AND(
            VLOOKUP(B1204, 'รายชื่อพนักงานลาออกพ้นสภาพ'!B:I, 8, FALSE)&lt;&gt;"ยกเลิกลาออก",
            VLOOKUP(B1204, 'รายชื่อพนักงานลาออกพ้นสภาพ'!B:I, 7, FALSE)&lt;=TODAY()
        ),
        "ลาออกแล้ว",
        ""
    ),
"")</f>
        <v/>
      </c>
      <c r="O1204" s="292" t="str">
        <f t="array" ref="O1204">IFERROR(INDEX(PCRent!C:D, MATCH(F1204 &amp; " " &amp; G1204, PCRent!A:A &amp; " " &amp; PCRent!B:B, 0)), "")</f>
        <v/>
      </c>
      <c r="P1204" s="293"/>
      <c r="Q1204" s="294" t="str">
        <f t="array" ref="Q1204">IFERROR(INDEX(MonitorRent!C:D, MATCH(F1204 &amp; " " &amp; G1204, MonitorRent!A:A &amp; " " &amp; MonitorRent!B:B, 0)), "")</f>
        <v/>
      </c>
      <c r="R1204" s="295"/>
    </row>
    <row r="1205">
      <c r="A1205" s="284">
        <v>1202.0</v>
      </c>
      <c r="B1205" s="285" t="s">
        <v>14712</v>
      </c>
      <c r="C1205" s="285" t="s">
        <v>6918</v>
      </c>
      <c r="D1205" s="286" t="s">
        <v>10501</v>
      </c>
      <c r="E1205" s="285" t="s">
        <v>6933</v>
      </c>
      <c r="F1205" s="285" t="s">
        <v>11419</v>
      </c>
      <c r="G1205" s="285" t="s">
        <v>14713</v>
      </c>
      <c r="H1205" s="285" t="s">
        <v>10528</v>
      </c>
      <c r="I1205" s="285" t="s">
        <v>14714</v>
      </c>
      <c r="J1205" s="285" t="s">
        <v>5224</v>
      </c>
      <c r="K1205" s="285" t="s">
        <v>12359</v>
      </c>
      <c r="L1205" s="285" t="s">
        <v>14715</v>
      </c>
      <c r="M1205" s="285" t="s">
        <v>9383</v>
      </c>
      <c r="N1205" s="287" t="str">
        <f>IFERROR(
    IF(
        AND(
            VLOOKUP(B1205, 'รายชื่อพนักงานลาออกพ้นสภาพ'!B:I, 8, FALSE)&lt;&gt;"ยกเลิกลาออก",
            VLOOKUP(B1205, 'รายชื่อพนักงานลาออกพ้นสภาพ'!B:I, 7, FALSE)&lt;=TODAY()
        ),
        "ลาออกแล้ว",
        ""
    ),
"")</f>
        <v/>
      </c>
      <c r="O1205" s="292" t="str">
        <f t="array" ref="O1205">IFERROR(INDEX(PCRent!C:D, MATCH(F1205 &amp; " " &amp; G1205, PCRent!A:A &amp; " " &amp; PCRent!B:B, 0)), "")</f>
        <v/>
      </c>
      <c r="P1205" s="293"/>
      <c r="Q1205" s="294" t="str">
        <f t="array" ref="Q1205">IFERROR(INDEX(MonitorRent!C:D, MATCH(F1205 &amp; " " &amp; G1205, MonitorRent!A:A &amp; " " &amp; MonitorRent!B:B, 0)), "")</f>
        <v/>
      </c>
      <c r="R1205" s="295"/>
    </row>
    <row r="1206">
      <c r="A1206" s="284">
        <v>1203.0</v>
      </c>
      <c r="B1206" s="285" t="s">
        <v>4745</v>
      </c>
      <c r="C1206" s="285" t="s">
        <v>6918</v>
      </c>
      <c r="D1206" s="286" t="s">
        <v>10729</v>
      </c>
      <c r="E1206" s="285" t="s">
        <v>6933</v>
      </c>
      <c r="F1206" s="285" t="s">
        <v>14716</v>
      </c>
      <c r="G1206" s="285" t="s">
        <v>14717</v>
      </c>
      <c r="H1206" s="285" t="s">
        <v>10236</v>
      </c>
      <c r="I1206" s="285" t="s">
        <v>4746</v>
      </c>
      <c r="J1206" s="285" t="s">
        <v>5224</v>
      </c>
      <c r="K1206" s="285" t="s">
        <v>1392</v>
      </c>
      <c r="L1206" s="285" t="s">
        <v>3322</v>
      </c>
      <c r="M1206" s="285" t="s">
        <v>9383</v>
      </c>
      <c r="N1206" s="287" t="str">
        <f>IFERROR(
    IF(
        AND(
            VLOOKUP(B1206, 'รายชื่อพนักงานลาออกพ้นสภาพ'!B:I, 8, FALSE)&lt;&gt;"ยกเลิกลาออก",
            VLOOKUP(B1206, 'รายชื่อพนักงานลาออกพ้นสภาพ'!B:I, 7, FALSE)&lt;=TODAY()
        ),
        "ลาออกแล้ว",
        ""
    ),
"")</f>
        <v/>
      </c>
      <c r="O1206" s="292" t="str">
        <f t="array" ref="O1206">IFERROR(INDEX(PCRent!C:D, MATCH(F1206 &amp; " " &amp; G1206, PCRent!A:A &amp; " " &amp; PCRent!B:B, 0)), "")</f>
        <v/>
      </c>
      <c r="P1206" s="293"/>
      <c r="Q1206" s="294" t="str">
        <f t="array" ref="Q1206">IFERROR(INDEX(MonitorRent!C:D, MATCH(F1206 &amp; " " &amp; G1206, MonitorRent!A:A &amp; " " &amp; MonitorRent!B:B, 0)), "")</f>
        <v/>
      </c>
      <c r="R1206" s="295"/>
    </row>
    <row r="1207">
      <c r="A1207" s="284">
        <v>1204.0</v>
      </c>
      <c r="B1207" s="285" t="s">
        <v>14718</v>
      </c>
      <c r="C1207" s="285" t="s">
        <v>6918</v>
      </c>
      <c r="D1207" s="286" t="s">
        <v>9405</v>
      </c>
      <c r="E1207" s="285" t="s">
        <v>6933</v>
      </c>
      <c r="F1207" s="285" t="s">
        <v>14719</v>
      </c>
      <c r="G1207" s="285" t="s">
        <v>14720</v>
      </c>
      <c r="H1207" s="285" t="s">
        <v>9721</v>
      </c>
      <c r="I1207" s="285" t="s">
        <v>14721</v>
      </c>
      <c r="J1207" s="285" t="s">
        <v>5012</v>
      </c>
      <c r="K1207" s="285" t="s">
        <v>9633</v>
      </c>
      <c r="L1207" s="285" t="s">
        <v>232</v>
      </c>
      <c r="M1207" s="285" t="s">
        <v>9383</v>
      </c>
      <c r="N1207" s="287" t="str">
        <f>IFERROR(
    IF(
        AND(
            VLOOKUP(B1207, 'รายชื่อพนักงานลาออกพ้นสภาพ'!B:I, 8, FALSE)&lt;&gt;"ยกเลิกลาออก",
            VLOOKUP(B1207, 'รายชื่อพนักงานลาออกพ้นสภาพ'!B:I, 7, FALSE)&lt;=TODAY()
        ),
        "ลาออกแล้ว",
        ""
    ),
"")</f>
        <v/>
      </c>
      <c r="O1207" s="292" t="str">
        <f t="array" ref="O1207:P1207">IFERROR(INDEX(PCRent!C:D, MATCH(F1207 &amp; " " &amp; G1207, PCRent!A:A &amp; " " &amp; PCRent!B:B, 0)), "")</f>
        <v>SN:MP2E2VRV</v>
      </c>
      <c r="P1207" s="293" t="s">
        <v>6993</v>
      </c>
      <c r="Q1207" s="294" t="str">
        <f t="array" ref="Q1207">IFERROR(INDEX(MonitorRent!C:D, MATCH(F1207 &amp; " " &amp; G1207, MonitorRent!A:A &amp; " " &amp; MonitorRent!B:B, 0)), "")</f>
        <v/>
      </c>
      <c r="R1207" s="295"/>
    </row>
    <row r="1208">
      <c r="A1208" s="284">
        <v>1205.0</v>
      </c>
      <c r="B1208" s="285" t="s">
        <v>7731</v>
      </c>
      <c r="C1208" s="285" t="s">
        <v>6918</v>
      </c>
      <c r="D1208" s="286" t="s">
        <v>14722</v>
      </c>
      <c r="E1208" s="285" t="s">
        <v>7239</v>
      </c>
      <c r="F1208" s="285" t="s">
        <v>14723</v>
      </c>
      <c r="G1208" s="285" t="s">
        <v>12503</v>
      </c>
      <c r="H1208" s="285" t="s">
        <v>10178</v>
      </c>
      <c r="I1208" s="285" t="s">
        <v>14724</v>
      </c>
      <c r="J1208" s="285" t="s">
        <v>5224</v>
      </c>
      <c r="K1208" s="285" t="s">
        <v>2062</v>
      </c>
      <c r="L1208" s="285" t="s">
        <v>1228</v>
      </c>
      <c r="M1208" s="285" t="s">
        <v>9383</v>
      </c>
      <c r="N1208" s="287" t="str">
        <f>IFERROR(
    IF(
        AND(
            VLOOKUP(B1208, 'รายชื่อพนักงานลาออกพ้นสภาพ'!B:I, 8, FALSE)&lt;&gt;"ยกเลิกลาออก",
            VLOOKUP(B1208, 'รายชื่อพนักงานลาออกพ้นสภาพ'!B:I, 7, FALSE)&lt;=TODAY()
        ),
        "ลาออกแล้ว",
        ""
    ),
"")</f>
        <v/>
      </c>
      <c r="O1208" s="292" t="str">
        <f t="array" ref="O1208">IFERROR(INDEX(PCRent!C:D, MATCH(F1208 &amp; " " &amp; G1208, PCRent!A:A &amp; " " &amp; PCRent!B:B, 0)), "")</f>
        <v/>
      </c>
      <c r="P1208" s="293"/>
      <c r="Q1208" s="294" t="str">
        <f t="array" ref="Q1208">IFERROR(INDEX(MonitorRent!C:D, MATCH(F1208 &amp; " " &amp; G1208, MonitorRent!A:A &amp; " " &amp; MonitorRent!B:B, 0)), "")</f>
        <v/>
      </c>
      <c r="R1208" s="295"/>
    </row>
    <row r="1209">
      <c r="A1209" s="284">
        <v>1206.0</v>
      </c>
      <c r="B1209" s="285" t="s">
        <v>7131</v>
      </c>
      <c r="C1209" s="285" t="s">
        <v>6918</v>
      </c>
      <c r="D1209" s="286" t="s">
        <v>14725</v>
      </c>
      <c r="E1209" s="285" t="s">
        <v>6921</v>
      </c>
      <c r="F1209" s="285" t="s">
        <v>14726</v>
      </c>
      <c r="G1209" s="285" t="s">
        <v>14727</v>
      </c>
      <c r="H1209" s="285" t="s">
        <v>14728</v>
      </c>
      <c r="I1209" s="285" t="s">
        <v>14729</v>
      </c>
      <c r="J1209" s="285" t="s">
        <v>5224</v>
      </c>
      <c r="K1209" s="285" t="s">
        <v>4818</v>
      </c>
      <c r="L1209" s="285" t="s">
        <v>7133</v>
      </c>
      <c r="M1209" s="285" t="s">
        <v>9383</v>
      </c>
      <c r="N1209" s="287" t="str">
        <f>IFERROR(
    IF(
        AND(
            VLOOKUP(B1209, 'รายชื่อพนักงานลาออกพ้นสภาพ'!B:I, 8, FALSE)&lt;&gt;"ยกเลิกลาออก",
            VLOOKUP(B1209, 'รายชื่อพนักงานลาออกพ้นสภาพ'!B:I, 7, FALSE)&lt;=TODAY()
        ),
        "ลาออกแล้ว",
        ""
    ),
"")</f>
        <v/>
      </c>
      <c r="O1209" s="292" t="str">
        <f t="array" ref="O1209:P1209">IFERROR(INDEX(PCRent!C:D, MATCH(F1209 &amp; " " &amp; G1209, PCRent!A:A &amp; " " &amp; PCRent!B:B, 0)), "")</f>
        <v>SN:MP2ET3QQ</v>
      </c>
      <c r="P1209" s="293" t="s">
        <v>7070</v>
      </c>
      <c r="Q1209" s="294" t="str">
        <f t="array" ref="Q1209">IFERROR(INDEX(MonitorRent!C:D, MATCH(F1209 &amp; " " &amp; G1209, MonitorRent!A:A &amp; " " &amp; MonitorRent!B:B, 0)), "")</f>
        <v/>
      </c>
      <c r="R1209" s="295"/>
    </row>
    <row r="1210">
      <c r="A1210" s="284">
        <v>1207.0</v>
      </c>
      <c r="B1210" s="285" t="s">
        <v>7151</v>
      </c>
      <c r="C1210" s="285" t="s">
        <v>6918</v>
      </c>
      <c r="D1210" s="286" t="s">
        <v>9744</v>
      </c>
      <c r="E1210" s="285" t="s">
        <v>6933</v>
      </c>
      <c r="F1210" s="285" t="s">
        <v>14730</v>
      </c>
      <c r="G1210" s="285" t="s">
        <v>14731</v>
      </c>
      <c r="H1210" s="285" t="s">
        <v>14732</v>
      </c>
      <c r="I1210" s="285" t="s">
        <v>14733</v>
      </c>
      <c r="J1210" s="285" t="s">
        <v>5224</v>
      </c>
      <c r="K1210" s="285" t="s">
        <v>14734</v>
      </c>
      <c r="L1210" s="285" t="s">
        <v>7133</v>
      </c>
      <c r="M1210" s="285" t="s">
        <v>9383</v>
      </c>
      <c r="N1210" s="287" t="str">
        <f>IFERROR(
    IF(
        AND(
            VLOOKUP(B1210, 'รายชื่อพนักงานลาออกพ้นสภาพ'!B:I, 8, FALSE)&lt;&gt;"ยกเลิกลาออก",
            VLOOKUP(B1210, 'รายชื่อพนักงานลาออกพ้นสภาพ'!B:I, 7, FALSE)&lt;=TODAY()
        ),
        "ลาออกแล้ว",
        ""
    ),
"")</f>
        <v/>
      </c>
      <c r="O1210" s="292" t="str">
        <f t="array" ref="O1210">IFERROR(INDEX(PCRent!C:D, MATCH(F1210 &amp; " " &amp; G1210, PCRent!A:A &amp; " " &amp; PCRent!B:B, 0)), "")</f>
        <v/>
      </c>
      <c r="P1210" s="293"/>
      <c r="Q1210" s="294" t="str">
        <f t="array" ref="Q1210">IFERROR(INDEX(MonitorRent!C:D, MATCH(F1210 &amp; " " &amp; G1210, MonitorRent!A:A &amp; " " &amp; MonitorRent!B:B, 0)), "")</f>
        <v/>
      </c>
      <c r="R1210" s="295"/>
    </row>
    <row r="1211">
      <c r="A1211" s="284">
        <v>1208.0</v>
      </c>
      <c r="B1211" s="285" t="s">
        <v>7850</v>
      </c>
      <c r="C1211" s="285" t="s">
        <v>6918</v>
      </c>
      <c r="D1211" s="286" t="s">
        <v>13353</v>
      </c>
      <c r="E1211" s="285" t="s">
        <v>6921</v>
      </c>
      <c r="F1211" s="285" t="s">
        <v>14735</v>
      </c>
      <c r="G1211" s="285" t="s">
        <v>14736</v>
      </c>
      <c r="H1211" s="285" t="s">
        <v>14737</v>
      </c>
      <c r="I1211" s="285" t="s">
        <v>14738</v>
      </c>
      <c r="J1211" s="285" t="s">
        <v>5224</v>
      </c>
      <c r="K1211" s="285" t="s">
        <v>1392</v>
      </c>
      <c r="L1211" s="285" t="s">
        <v>7846</v>
      </c>
      <c r="M1211" s="285" t="s">
        <v>9383</v>
      </c>
      <c r="N1211" s="287" t="str">
        <f>IFERROR(
    IF(
        AND(
            VLOOKUP(B1211, 'รายชื่อพนักงานลาออกพ้นสภาพ'!B:I, 8, FALSE)&lt;&gt;"ยกเลิกลาออก",
            VLOOKUP(B1211, 'รายชื่อพนักงานลาออกพ้นสภาพ'!B:I, 7, FALSE)&lt;=TODAY()
        ),
        "ลาออกแล้ว",
        ""
    ),
"")</f>
        <v/>
      </c>
      <c r="O1211" s="292" t="str">
        <f t="array" ref="O1211">IFERROR(INDEX(PCRent!C:D, MATCH(F1211 &amp; " " &amp; G1211, PCRent!A:A &amp; " " &amp; PCRent!B:B, 0)), "")</f>
        <v/>
      </c>
      <c r="P1211" s="293"/>
      <c r="Q1211" s="294" t="str">
        <f t="array" ref="Q1211">IFERROR(INDEX(MonitorRent!C:D, MATCH(F1211 &amp; " " &amp; G1211, MonitorRent!A:A &amp; " " &amp; MonitorRent!B:B, 0)), "")</f>
        <v/>
      </c>
      <c r="R1211" s="295"/>
    </row>
    <row r="1212">
      <c r="A1212" s="284">
        <v>1209.0</v>
      </c>
      <c r="B1212" s="285" t="s">
        <v>14739</v>
      </c>
      <c r="C1212" s="285" t="s">
        <v>6918</v>
      </c>
      <c r="D1212" s="286" t="s">
        <v>9405</v>
      </c>
      <c r="E1212" s="285" t="s">
        <v>6933</v>
      </c>
      <c r="F1212" s="285" t="s">
        <v>14740</v>
      </c>
      <c r="G1212" s="285" t="s">
        <v>14741</v>
      </c>
      <c r="H1212" s="285" t="s">
        <v>14742</v>
      </c>
      <c r="I1212" s="285" t="s">
        <v>14743</v>
      </c>
      <c r="J1212" s="285" t="s">
        <v>5012</v>
      </c>
      <c r="K1212" s="285" t="s">
        <v>14357</v>
      </c>
      <c r="L1212" s="285" t="s">
        <v>13414</v>
      </c>
      <c r="M1212" s="285" t="s">
        <v>9383</v>
      </c>
      <c r="N1212" s="287" t="str">
        <f>IFERROR(
    IF(
        AND(
            VLOOKUP(B1212, 'รายชื่อพนักงานลาออกพ้นสภาพ'!B:I, 8, FALSE)&lt;&gt;"ยกเลิกลาออก",
            VLOOKUP(B1212, 'รายชื่อพนักงานลาออกพ้นสภาพ'!B:I, 7, FALSE)&lt;=TODAY()
        ),
        "ลาออกแล้ว",
        ""
    ),
"")</f>
        <v/>
      </c>
      <c r="O1212" s="292" t="str">
        <f t="array" ref="O1212">IFERROR(INDEX(PCRent!C:D, MATCH(F1212 &amp; " " &amp; G1212, PCRent!A:A &amp; " " &amp; PCRent!B:B, 0)), "")</f>
        <v/>
      </c>
      <c r="P1212" s="293"/>
      <c r="Q1212" s="294" t="str">
        <f t="array" ref="Q1212">IFERROR(INDEX(MonitorRent!C:D, MATCH(F1212 &amp; " " &amp; G1212, MonitorRent!A:A &amp; " " &amp; MonitorRent!B:B, 0)), "")</f>
        <v/>
      </c>
      <c r="R1212" s="295"/>
    </row>
    <row r="1213">
      <c r="A1213" s="284">
        <v>1210.0</v>
      </c>
      <c r="B1213" s="285" t="s">
        <v>14744</v>
      </c>
      <c r="C1213" s="285" t="s">
        <v>6918</v>
      </c>
      <c r="D1213" s="286" t="s">
        <v>10729</v>
      </c>
      <c r="E1213" s="285" t="s">
        <v>6933</v>
      </c>
      <c r="F1213" s="285" t="s">
        <v>14740</v>
      </c>
      <c r="G1213" s="285" t="s">
        <v>14745</v>
      </c>
      <c r="H1213" s="285" t="s">
        <v>14746</v>
      </c>
      <c r="I1213" s="285" t="s">
        <v>14747</v>
      </c>
      <c r="J1213" s="285" t="s">
        <v>5012</v>
      </c>
      <c r="K1213" s="285" t="s">
        <v>9626</v>
      </c>
      <c r="L1213" s="285" t="s">
        <v>1888</v>
      </c>
      <c r="M1213" s="285" t="s">
        <v>9383</v>
      </c>
      <c r="N1213" s="287" t="str">
        <f>IFERROR(
    IF(
        AND(
            VLOOKUP(B1213, 'รายชื่อพนักงานลาออกพ้นสภาพ'!B:I, 8, FALSE)&lt;&gt;"ยกเลิกลาออก",
            VLOOKUP(B1213, 'รายชื่อพนักงานลาออกพ้นสภาพ'!B:I, 7, FALSE)&lt;=TODAY()
        ),
        "ลาออกแล้ว",
        ""
    ),
"")</f>
        <v/>
      </c>
      <c r="O1213" s="292" t="str">
        <f t="array" ref="O1213">IFERROR(INDEX(PCRent!C:D, MATCH(F1213 &amp; " " &amp; G1213, PCRent!A:A &amp; " " &amp; PCRent!B:B, 0)), "")</f>
        <v/>
      </c>
      <c r="P1213" s="293"/>
      <c r="Q1213" s="294" t="str">
        <f t="array" ref="Q1213">IFERROR(INDEX(MonitorRent!C:D, MATCH(F1213 &amp; " " &amp; G1213, MonitorRent!A:A &amp; " " &amp; MonitorRent!B:B, 0)), "")</f>
        <v/>
      </c>
      <c r="R1213" s="295"/>
    </row>
    <row r="1214">
      <c r="A1214" s="284">
        <v>1211.0</v>
      </c>
      <c r="B1214" s="285" t="s">
        <v>14748</v>
      </c>
      <c r="C1214" s="285" t="s">
        <v>6918</v>
      </c>
      <c r="D1214" s="286" t="s">
        <v>12709</v>
      </c>
      <c r="E1214" s="285" t="s">
        <v>6933</v>
      </c>
      <c r="F1214" s="285" t="s">
        <v>14749</v>
      </c>
      <c r="G1214" s="285" t="s">
        <v>14750</v>
      </c>
      <c r="H1214" s="285" t="s">
        <v>10020</v>
      </c>
      <c r="I1214" s="285" t="s">
        <v>14751</v>
      </c>
      <c r="J1214" s="285" t="s">
        <v>5012</v>
      </c>
      <c r="K1214" s="285" t="s">
        <v>9474</v>
      </c>
      <c r="L1214" s="285" t="s">
        <v>1888</v>
      </c>
      <c r="M1214" s="285" t="s">
        <v>9383</v>
      </c>
      <c r="N1214" s="287" t="str">
        <f>IFERROR(
    IF(
        AND(
            VLOOKUP(B1214, 'รายชื่อพนักงานลาออกพ้นสภาพ'!B:I, 8, FALSE)&lt;&gt;"ยกเลิกลาออก",
            VLOOKUP(B1214, 'รายชื่อพนักงานลาออกพ้นสภาพ'!B:I, 7, FALSE)&lt;=TODAY()
        ),
        "ลาออกแล้ว",
        ""
    ),
"")</f>
        <v/>
      </c>
      <c r="O1214" s="292" t="str">
        <f t="array" ref="O1214">IFERROR(INDEX(PCRent!C:D, MATCH(F1214 &amp; " " &amp; G1214, PCRent!A:A &amp; " " &amp; PCRent!B:B, 0)), "")</f>
        <v/>
      </c>
      <c r="P1214" s="293"/>
      <c r="Q1214" s="294" t="str">
        <f t="array" ref="Q1214">IFERROR(INDEX(MonitorRent!C:D, MATCH(F1214 &amp; " " &amp; G1214, MonitorRent!A:A &amp; " " &amp; MonitorRent!B:B, 0)), "")</f>
        <v/>
      </c>
      <c r="R1214" s="295"/>
    </row>
    <row r="1215">
      <c r="A1215" s="284">
        <v>1212.0</v>
      </c>
      <c r="B1215" s="285" t="s">
        <v>14752</v>
      </c>
      <c r="C1215" s="285" t="s">
        <v>6918</v>
      </c>
      <c r="D1215" s="286" t="s">
        <v>13644</v>
      </c>
      <c r="E1215" s="285" t="s">
        <v>6933</v>
      </c>
      <c r="F1215" s="285" t="s">
        <v>14753</v>
      </c>
      <c r="G1215" s="285" t="s">
        <v>14754</v>
      </c>
      <c r="H1215" s="285" t="s">
        <v>9430</v>
      </c>
      <c r="I1215" s="285" t="s">
        <v>14755</v>
      </c>
      <c r="J1215" s="285" t="s">
        <v>5012</v>
      </c>
      <c r="K1215" s="285" t="s">
        <v>12401</v>
      </c>
      <c r="L1215" s="285" t="s">
        <v>4077</v>
      </c>
      <c r="M1215" s="285" t="s">
        <v>9383</v>
      </c>
      <c r="N1215" s="287" t="str">
        <f>IFERROR(
    IF(
        AND(
            VLOOKUP(B1215, 'รายชื่อพนักงานลาออกพ้นสภาพ'!B:I, 8, FALSE)&lt;&gt;"ยกเลิกลาออก",
            VLOOKUP(B1215, 'รายชื่อพนักงานลาออกพ้นสภาพ'!B:I, 7, FALSE)&lt;=TODAY()
        ),
        "ลาออกแล้ว",
        ""
    ),
"")</f>
        <v/>
      </c>
      <c r="O1215" s="292" t="str">
        <f t="array" ref="O1215">IFERROR(INDEX(PCRent!C:D, MATCH(F1215 &amp; " " &amp; G1215, PCRent!A:A &amp; " " &amp; PCRent!B:B, 0)), "")</f>
        <v/>
      </c>
      <c r="P1215" s="293"/>
      <c r="Q1215" s="294" t="str">
        <f t="array" ref="Q1215">IFERROR(INDEX(MonitorRent!C:D, MATCH(F1215 &amp; " " &amp; G1215, MonitorRent!A:A &amp; " " &amp; MonitorRent!B:B, 0)), "")</f>
        <v/>
      </c>
      <c r="R1215" s="295"/>
    </row>
    <row r="1216">
      <c r="A1216" s="284">
        <v>1213.0</v>
      </c>
      <c r="B1216" s="285" t="s">
        <v>14756</v>
      </c>
      <c r="C1216" s="285" t="s">
        <v>6918</v>
      </c>
      <c r="D1216" s="286" t="s">
        <v>11937</v>
      </c>
      <c r="E1216" s="285" t="s">
        <v>6933</v>
      </c>
      <c r="F1216" s="285" t="s">
        <v>14757</v>
      </c>
      <c r="G1216" s="285" t="s">
        <v>14758</v>
      </c>
      <c r="H1216" s="285" t="s">
        <v>13524</v>
      </c>
      <c r="I1216" s="285" t="s">
        <v>14759</v>
      </c>
      <c r="J1216" s="285" t="s">
        <v>5012</v>
      </c>
      <c r="K1216" s="285" t="s">
        <v>9626</v>
      </c>
      <c r="L1216" s="285" t="s">
        <v>2196</v>
      </c>
      <c r="M1216" s="285" t="s">
        <v>9383</v>
      </c>
      <c r="N1216" s="287" t="str">
        <f>IFERROR(
    IF(
        AND(
            VLOOKUP(B1216, 'รายชื่อพนักงานลาออกพ้นสภาพ'!B:I, 8, FALSE)&lt;&gt;"ยกเลิกลาออก",
            VLOOKUP(B1216, 'รายชื่อพนักงานลาออกพ้นสภาพ'!B:I, 7, FALSE)&lt;=TODAY()
        ),
        "ลาออกแล้ว",
        ""
    ),
"")</f>
        <v/>
      </c>
      <c r="O1216" s="292" t="str">
        <f t="array" ref="O1216">IFERROR(INDEX(PCRent!C:D, MATCH(F1216 &amp; " " &amp; G1216, PCRent!A:A &amp; " " &amp; PCRent!B:B, 0)), "")</f>
        <v/>
      </c>
      <c r="P1216" s="293"/>
      <c r="Q1216" s="294" t="str">
        <f t="array" ref="Q1216">IFERROR(INDEX(MonitorRent!C:D, MATCH(F1216 &amp; " " &amp; G1216, MonitorRent!A:A &amp; " " &amp; MonitorRent!B:B, 0)), "")</f>
        <v/>
      </c>
      <c r="R1216" s="295"/>
    </row>
    <row r="1217">
      <c r="A1217" s="284">
        <v>1214.0</v>
      </c>
      <c r="B1217" s="285" t="s">
        <v>8909</v>
      </c>
      <c r="C1217" s="285" t="s">
        <v>6918</v>
      </c>
      <c r="D1217" s="286" t="s">
        <v>12742</v>
      </c>
      <c r="E1217" s="285" t="s">
        <v>6921</v>
      </c>
      <c r="F1217" s="285" t="s">
        <v>14760</v>
      </c>
      <c r="G1217" s="285" t="s">
        <v>14761</v>
      </c>
      <c r="H1217" s="285" t="s">
        <v>9586</v>
      </c>
      <c r="I1217" s="285" t="s">
        <v>14762</v>
      </c>
      <c r="J1217" s="285" t="s">
        <v>5224</v>
      </c>
      <c r="K1217" s="285" t="s">
        <v>14763</v>
      </c>
      <c r="L1217" s="285" t="s">
        <v>4114</v>
      </c>
      <c r="M1217" s="285" t="s">
        <v>9383</v>
      </c>
      <c r="N1217" s="287" t="str">
        <f>IFERROR(
    IF(
        AND(
            VLOOKUP(B1217, 'รายชื่อพนักงานลาออกพ้นสภาพ'!B:I, 8, FALSE)&lt;&gt;"ยกเลิกลาออก",
            VLOOKUP(B1217, 'รายชื่อพนักงานลาออกพ้นสภาพ'!B:I, 7, FALSE)&lt;=TODAY()
        ),
        "ลาออกแล้ว",
        ""
    ),
"")</f>
        <v/>
      </c>
      <c r="O1217" s="292" t="str">
        <f t="array" ref="O1217">IFERROR(INDEX(PCRent!C:D, MATCH(F1217 &amp; " " &amp; G1217, PCRent!A:A &amp; " " &amp; PCRent!B:B, 0)), "")</f>
        <v/>
      </c>
      <c r="P1217" s="293"/>
      <c r="Q1217" s="294" t="str">
        <f t="array" ref="Q1217">IFERROR(INDEX(MonitorRent!C:D, MATCH(F1217 &amp; " " &amp; G1217, MonitorRent!A:A &amp; " " &amp; MonitorRent!B:B, 0)), "")</f>
        <v/>
      </c>
      <c r="R1217" s="295"/>
    </row>
    <row r="1218">
      <c r="A1218" s="284">
        <v>1215.0</v>
      </c>
      <c r="B1218" s="285" t="s">
        <v>9037</v>
      </c>
      <c r="C1218" s="285" t="s">
        <v>6918</v>
      </c>
      <c r="D1218" s="286" t="s">
        <v>10798</v>
      </c>
      <c r="E1218" s="285" t="s">
        <v>6933</v>
      </c>
      <c r="F1218" s="285" t="s">
        <v>14764</v>
      </c>
      <c r="G1218" s="285" t="s">
        <v>14765</v>
      </c>
      <c r="H1218" s="285" t="s">
        <v>11444</v>
      </c>
      <c r="I1218" s="285" t="s">
        <v>14766</v>
      </c>
      <c r="J1218" s="285" t="s">
        <v>5224</v>
      </c>
      <c r="K1218" s="285" t="s">
        <v>14763</v>
      </c>
      <c r="L1218" s="285" t="s">
        <v>3041</v>
      </c>
      <c r="M1218" s="285" t="s">
        <v>9383</v>
      </c>
      <c r="N1218" s="287" t="str">
        <f>IFERROR(
    IF(
        AND(
            VLOOKUP(B1218, 'รายชื่อพนักงานลาออกพ้นสภาพ'!B:I, 8, FALSE)&lt;&gt;"ยกเลิกลาออก",
            VLOOKUP(B1218, 'รายชื่อพนักงานลาออกพ้นสภาพ'!B:I, 7, FALSE)&lt;=TODAY()
        ),
        "ลาออกแล้ว",
        ""
    ),
"")</f>
        <v/>
      </c>
      <c r="O1218" s="292" t="str">
        <f t="array" ref="O1218">IFERROR(INDEX(PCRent!C:D, MATCH(F1218 &amp; " " &amp; G1218, PCRent!A:A &amp; " " &amp; PCRent!B:B, 0)), "")</f>
        <v/>
      </c>
      <c r="P1218" s="293"/>
      <c r="Q1218" s="294" t="str">
        <f t="array" ref="Q1218">IFERROR(INDEX(MonitorRent!C:D, MATCH(F1218 &amp; " " &amp; G1218, MonitorRent!A:A &amp; " " &amp; MonitorRent!B:B, 0)), "")</f>
        <v/>
      </c>
      <c r="R1218" s="295"/>
    </row>
    <row r="1219">
      <c r="A1219" s="284">
        <v>1216.0</v>
      </c>
      <c r="B1219" s="285" t="s">
        <v>4884</v>
      </c>
      <c r="C1219" s="285" t="s">
        <v>6918</v>
      </c>
      <c r="D1219" s="286" t="s">
        <v>14767</v>
      </c>
      <c r="E1219" s="285" t="s">
        <v>7239</v>
      </c>
      <c r="F1219" s="285" t="s">
        <v>14768</v>
      </c>
      <c r="G1219" s="285" t="s">
        <v>14769</v>
      </c>
      <c r="H1219" s="285" t="s">
        <v>14770</v>
      </c>
      <c r="I1219" s="285" t="s">
        <v>4885</v>
      </c>
      <c r="J1219" s="285" t="s">
        <v>5224</v>
      </c>
      <c r="K1219" s="285" t="s">
        <v>4876</v>
      </c>
      <c r="L1219" s="285" t="s">
        <v>13368</v>
      </c>
      <c r="M1219" s="285" t="s">
        <v>9383</v>
      </c>
      <c r="N1219" s="287" t="str">
        <f>IFERROR(
    IF(
        AND(
            VLOOKUP(B1219, 'รายชื่อพนักงานลาออกพ้นสภาพ'!B:I, 8, FALSE)&lt;&gt;"ยกเลิกลาออก",
            VLOOKUP(B1219, 'รายชื่อพนักงานลาออกพ้นสภาพ'!B:I, 7, FALSE)&lt;=TODAY()
        ),
        "ลาออกแล้ว",
        ""
    ),
"")</f>
        <v/>
      </c>
      <c r="O1219" s="292" t="str">
        <f t="array" ref="O1219">IFERROR(INDEX(PCRent!C:D, MATCH(F1219 &amp; " " &amp; G1219, PCRent!A:A &amp; " " &amp; PCRent!B:B, 0)), "")</f>
        <v/>
      </c>
      <c r="P1219" s="293"/>
      <c r="Q1219" s="294" t="str">
        <f t="array" ref="Q1219">IFERROR(INDEX(MonitorRent!C:D, MATCH(F1219 &amp; " " &amp; G1219, MonitorRent!A:A &amp; " " &amp; MonitorRent!B:B, 0)), "")</f>
        <v/>
      </c>
      <c r="R1219" s="295"/>
    </row>
    <row r="1220">
      <c r="A1220" s="284">
        <v>1217.0</v>
      </c>
      <c r="B1220" s="285" t="s">
        <v>14771</v>
      </c>
      <c r="C1220" s="285" t="s">
        <v>6918</v>
      </c>
      <c r="D1220" s="286" t="s">
        <v>9723</v>
      </c>
      <c r="E1220" s="285" t="s">
        <v>6933</v>
      </c>
      <c r="F1220" s="285" t="s">
        <v>11491</v>
      </c>
      <c r="G1220" s="285" t="s">
        <v>14772</v>
      </c>
      <c r="H1220" s="285" t="s">
        <v>11491</v>
      </c>
      <c r="I1220" s="285" t="s">
        <v>14773</v>
      </c>
      <c r="J1220" s="285" t="s">
        <v>5012</v>
      </c>
      <c r="K1220" s="285" t="s">
        <v>9626</v>
      </c>
      <c r="L1220" s="285" t="s">
        <v>13501</v>
      </c>
      <c r="M1220" s="285" t="s">
        <v>9383</v>
      </c>
      <c r="N1220" s="287" t="str">
        <f>IFERROR(
    IF(
        AND(
            VLOOKUP(B1220, 'รายชื่อพนักงานลาออกพ้นสภาพ'!B:I, 8, FALSE)&lt;&gt;"ยกเลิกลาออก",
            VLOOKUP(B1220, 'รายชื่อพนักงานลาออกพ้นสภาพ'!B:I, 7, FALSE)&lt;=TODAY()
        ),
        "ลาออกแล้ว",
        ""
    ),
"")</f>
        <v/>
      </c>
      <c r="O1220" s="292" t="str">
        <f t="array" ref="O1220">IFERROR(INDEX(PCRent!C:D, MATCH(F1220 &amp; " " &amp; G1220, PCRent!A:A &amp; " " &amp; PCRent!B:B, 0)), "")</f>
        <v/>
      </c>
      <c r="P1220" s="293"/>
      <c r="Q1220" s="294" t="str">
        <f t="array" ref="Q1220">IFERROR(INDEX(MonitorRent!C:D, MATCH(F1220 &amp; " " &amp; G1220, MonitorRent!A:A &amp; " " &amp; MonitorRent!B:B, 0)), "")</f>
        <v/>
      </c>
      <c r="R1220" s="295"/>
    </row>
    <row r="1221">
      <c r="A1221" s="284">
        <v>1218.0</v>
      </c>
      <c r="B1221" s="285" t="s">
        <v>14774</v>
      </c>
      <c r="C1221" s="285" t="s">
        <v>6918</v>
      </c>
      <c r="D1221" s="286" t="s">
        <v>10242</v>
      </c>
      <c r="E1221" s="285" t="s">
        <v>6933</v>
      </c>
      <c r="F1221" s="285" t="s">
        <v>14775</v>
      </c>
      <c r="G1221" s="285" t="s">
        <v>14776</v>
      </c>
      <c r="H1221" s="285" t="s">
        <v>12462</v>
      </c>
      <c r="I1221" s="285" t="s">
        <v>14777</v>
      </c>
      <c r="J1221" s="285" t="s">
        <v>5012</v>
      </c>
      <c r="K1221" s="285" t="s">
        <v>5760</v>
      </c>
      <c r="L1221" s="285" t="s">
        <v>3041</v>
      </c>
      <c r="M1221" s="285" t="s">
        <v>9383</v>
      </c>
      <c r="N1221" s="287" t="str">
        <f>IFERROR(
    IF(
        AND(
            VLOOKUP(B1221, 'รายชื่อพนักงานลาออกพ้นสภาพ'!B:I, 8, FALSE)&lt;&gt;"ยกเลิกลาออก",
            VLOOKUP(B1221, 'รายชื่อพนักงานลาออกพ้นสภาพ'!B:I, 7, FALSE)&lt;=TODAY()
        ),
        "ลาออกแล้ว",
        ""
    ),
"")</f>
        <v/>
      </c>
      <c r="O1221" s="292" t="str">
        <f t="array" ref="O1221">IFERROR(INDEX(PCRent!C:D, MATCH(F1221 &amp; " " &amp; G1221, PCRent!A:A &amp; " " &amp; PCRent!B:B, 0)), "")</f>
        <v/>
      </c>
      <c r="P1221" s="293"/>
      <c r="Q1221" s="294" t="str">
        <f t="array" ref="Q1221">IFERROR(INDEX(MonitorRent!C:D, MATCH(F1221 &amp; " " &amp; G1221, MonitorRent!A:A &amp; " " &amp; MonitorRent!B:B, 0)), "")</f>
        <v/>
      </c>
      <c r="R1221" s="295"/>
    </row>
    <row r="1222">
      <c r="A1222" s="284">
        <v>1219.0</v>
      </c>
      <c r="B1222" s="285" t="s">
        <v>14778</v>
      </c>
      <c r="C1222" s="285" t="s">
        <v>6918</v>
      </c>
      <c r="D1222" s="286" t="s">
        <v>9541</v>
      </c>
      <c r="E1222" s="285" t="s">
        <v>6933</v>
      </c>
      <c r="F1222" s="285" t="s">
        <v>14779</v>
      </c>
      <c r="G1222" s="285" t="s">
        <v>14780</v>
      </c>
      <c r="H1222" s="285" t="s">
        <v>11482</v>
      </c>
      <c r="I1222" s="285" t="s">
        <v>14781</v>
      </c>
      <c r="J1222" s="285" t="s">
        <v>5012</v>
      </c>
      <c r="K1222" s="285" t="s">
        <v>9633</v>
      </c>
      <c r="L1222" s="285" t="s">
        <v>2173</v>
      </c>
      <c r="M1222" s="285" t="s">
        <v>9383</v>
      </c>
      <c r="N1222" s="287" t="str">
        <f>IFERROR(
    IF(
        AND(
            VLOOKUP(B1222, 'รายชื่อพนักงานลาออกพ้นสภาพ'!B:I, 8, FALSE)&lt;&gt;"ยกเลิกลาออก",
            VLOOKUP(B1222, 'รายชื่อพนักงานลาออกพ้นสภาพ'!B:I, 7, FALSE)&lt;=TODAY()
        ),
        "ลาออกแล้ว",
        ""
    ),
"")</f>
        <v/>
      </c>
      <c r="O1222" s="292" t="str">
        <f t="array" ref="O1222">IFERROR(INDEX(PCRent!C:D, MATCH(F1222 &amp; " " &amp; G1222, PCRent!A:A &amp; " " &amp; PCRent!B:B, 0)), "")</f>
        <v/>
      </c>
      <c r="P1222" s="293"/>
      <c r="Q1222" s="294" t="str">
        <f t="array" ref="Q1222">IFERROR(INDEX(MonitorRent!C:D, MATCH(F1222 &amp; " " &amp; G1222, MonitorRent!A:A &amp; " " &amp; MonitorRent!B:B, 0)), "")</f>
        <v/>
      </c>
      <c r="R1222" s="295"/>
    </row>
    <row r="1223">
      <c r="A1223" s="284">
        <v>1220.0</v>
      </c>
      <c r="B1223" s="285" t="s">
        <v>4739</v>
      </c>
      <c r="C1223" s="285" t="s">
        <v>6918</v>
      </c>
      <c r="D1223" s="286" t="s">
        <v>9979</v>
      </c>
      <c r="E1223" s="285" t="s">
        <v>6921</v>
      </c>
      <c r="F1223" s="285" t="s">
        <v>14782</v>
      </c>
      <c r="G1223" s="285" t="s">
        <v>14783</v>
      </c>
      <c r="H1223" s="285" t="s">
        <v>14784</v>
      </c>
      <c r="I1223" s="285" t="s">
        <v>4740</v>
      </c>
      <c r="J1223" s="285" t="s">
        <v>5224</v>
      </c>
      <c r="K1223" s="285" t="s">
        <v>4737</v>
      </c>
      <c r="L1223" s="285" t="s">
        <v>8037</v>
      </c>
      <c r="M1223" s="285" t="s">
        <v>9383</v>
      </c>
      <c r="N1223" s="287" t="str">
        <f>IFERROR(
    IF(
        AND(
            VLOOKUP(B1223, 'รายชื่อพนักงานลาออกพ้นสภาพ'!B:I, 8, FALSE)&lt;&gt;"ยกเลิกลาออก",
            VLOOKUP(B1223, 'รายชื่อพนักงานลาออกพ้นสภาพ'!B:I, 7, FALSE)&lt;=TODAY()
        ),
        "ลาออกแล้ว",
        ""
    ),
"")</f>
        <v/>
      </c>
      <c r="O1223" s="292" t="str">
        <f t="array" ref="O1223">IFERROR(INDEX(PCRent!C:D, MATCH(F1223 &amp; " " &amp; G1223, PCRent!A:A &amp; " " &amp; PCRent!B:B, 0)), "")</f>
        <v/>
      </c>
      <c r="P1223" s="293"/>
      <c r="Q1223" s="294" t="str">
        <f t="array" ref="Q1223">IFERROR(INDEX(MonitorRent!C:D, MATCH(F1223 &amp; " " &amp; G1223, MonitorRent!A:A &amp; " " &amp; MonitorRent!B:B, 0)), "")</f>
        <v/>
      </c>
      <c r="R1223" s="295"/>
    </row>
    <row r="1224">
      <c r="A1224" s="284">
        <v>1221.0</v>
      </c>
      <c r="B1224" s="285" t="s">
        <v>6941</v>
      </c>
      <c r="C1224" s="285" t="s">
        <v>6918</v>
      </c>
      <c r="D1224" s="286" t="s">
        <v>9453</v>
      </c>
      <c r="E1224" s="285" t="s">
        <v>6933</v>
      </c>
      <c r="F1224" s="285" t="s">
        <v>14785</v>
      </c>
      <c r="G1224" s="285" t="s">
        <v>14786</v>
      </c>
      <c r="H1224" s="285" t="s">
        <v>9891</v>
      </c>
      <c r="I1224" s="285" t="s">
        <v>14787</v>
      </c>
      <c r="J1224" s="285" t="s">
        <v>5224</v>
      </c>
      <c r="K1224" s="285" t="s">
        <v>4805</v>
      </c>
      <c r="L1224" s="285" t="s">
        <v>6935</v>
      </c>
      <c r="M1224" s="285" t="s">
        <v>9383</v>
      </c>
      <c r="N1224" s="287" t="str">
        <f>IFERROR(
    IF(
        AND(
            VLOOKUP(B1224, 'รายชื่อพนักงานลาออกพ้นสภาพ'!B:I, 8, FALSE)&lt;&gt;"ยกเลิกลาออก",
            VLOOKUP(B1224, 'รายชื่อพนักงานลาออกพ้นสภาพ'!B:I, 7, FALSE)&lt;=TODAY()
        ),
        "ลาออกแล้ว",
        ""
    ),
"")</f>
        <v/>
      </c>
      <c r="O1224" s="292" t="str">
        <f t="array" ref="O1224">IFERROR(INDEX(PCRent!C:D, MATCH(F1224 &amp; " " &amp; G1224, PCRent!A:A &amp; " " &amp; PCRent!B:B, 0)), "")</f>
        <v/>
      </c>
      <c r="P1224" s="293"/>
      <c r="Q1224" s="294" t="str">
        <f t="array" ref="Q1224">IFERROR(INDEX(MonitorRent!C:D, MATCH(F1224 &amp; " " &amp; G1224, MonitorRent!A:A &amp; " " &amp; MonitorRent!B:B, 0)), "")</f>
        <v/>
      </c>
      <c r="R1224" s="295"/>
    </row>
    <row r="1225">
      <c r="A1225" s="284">
        <v>1222.0</v>
      </c>
      <c r="B1225" s="285" t="s">
        <v>8764</v>
      </c>
      <c r="C1225" s="285" t="s">
        <v>6918</v>
      </c>
      <c r="D1225" s="286" t="s">
        <v>12703</v>
      </c>
      <c r="E1225" s="285" t="s">
        <v>6921</v>
      </c>
      <c r="F1225" s="285" t="s">
        <v>14788</v>
      </c>
      <c r="G1225" s="285" t="s">
        <v>14789</v>
      </c>
      <c r="H1225" s="285" t="s">
        <v>10761</v>
      </c>
      <c r="I1225" s="285" t="s">
        <v>14790</v>
      </c>
      <c r="J1225" s="285" t="s">
        <v>5224</v>
      </c>
      <c r="K1225" s="285" t="s">
        <v>4756</v>
      </c>
      <c r="L1225" s="285" t="s">
        <v>8850</v>
      </c>
      <c r="M1225" s="285" t="s">
        <v>9383</v>
      </c>
      <c r="N1225" s="287" t="str">
        <f>IFERROR(
    IF(
        AND(
            VLOOKUP(B1225, 'รายชื่อพนักงานลาออกพ้นสภาพ'!B:I, 8, FALSE)&lt;&gt;"ยกเลิกลาออก",
            VLOOKUP(B1225, 'รายชื่อพนักงานลาออกพ้นสภาพ'!B:I, 7, FALSE)&lt;=TODAY()
        ),
        "ลาออกแล้ว",
        ""
    ),
"")</f>
        <v/>
      </c>
      <c r="O1225" s="292" t="str">
        <f t="array" ref="O1225">IFERROR(INDEX(PCRent!C:D, MATCH(F1225 &amp; " " &amp; G1225, PCRent!A:A &amp; " " &amp; PCRent!B:B, 0)), "")</f>
        <v/>
      </c>
      <c r="P1225" s="293"/>
      <c r="Q1225" s="294" t="str">
        <f t="array" ref="Q1225">IFERROR(INDEX(MonitorRent!C:D, MATCH(F1225 &amp; " " &amp; G1225, MonitorRent!A:A &amp; " " &amp; MonitorRent!B:B, 0)), "")</f>
        <v/>
      </c>
      <c r="R1225" s="295"/>
    </row>
    <row r="1226">
      <c r="A1226" s="284">
        <v>1223.0</v>
      </c>
      <c r="B1226" s="285" t="s">
        <v>14791</v>
      </c>
      <c r="C1226" s="285" t="s">
        <v>6918</v>
      </c>
      <c r="D1226" s="286" t="s">
        <v>14792</v>
      </c>
      <c r="E1226" s="285" t="s">
        <v>6921</v>
      </c>
      <c r="F1226" s="285" t="s">
        <v>14793</v>
      </c>
      <c r="G1226" s="285" t="s">
        <v>14794</v>
      </c>
      <c r="H1226" s="285" t="s">
        <v>14793</v>
      </c>
      <c r="I1226" s="285" t="s">
        <v>14795</v>
      </c>
      <c r="J1226" s="285" t="s">
        <v>5012</v>
      </c>
      <c r="K1226" s="285" t="s">
        <v>4835</v>
      </c>
      <c r="L1226" s="285" t="s">
        <v>12953</v>
      </c>
      <c r="M1226" s="285" t="s">
        <v>9383</v>
      </c>
      <c r="N1226" s="287" t="str">
        <f>IFERROR(
    IF(
        AND(
            VLOOKUP(B1226, 'รายชื่อพนักงานลาออกพ้นสภาพ'!B:I, 8, FALSE)&lt;&gt;"ยกเลิกลาออก",
            VLOOKUP(B1226, 'รายชื่อพนักงานลาออกพ้นสภาพ'!B:I, 7, FALSE)&lt;=TODAY()
        ),
        "ลาออกแล้ว",
        ""
    ),
"")</f>
        <v/>
      </c>
      <c r="O1226" s="292" t="str">
        <f t="array" ref="O1226:P1226">IFERROR(INDEX(PCRent!C:D, MATCH(F1226 &amp; " " &amp; G1226, PCRent!A:A &amp; " " &amp; PCRent!B:B, 0)), "")</f>
        <v>SN:9FD0HY3</v>
      </c>
      <c r="P1226" s="293" t="s">
        <v>7048</v>
      </c>
      <c r="Q1226" s="294" t="str">
        <f t="array" ref="Q1226:R1226">IFERROR(INDEX(MonitorRent!C:D, MATCH(F1226 &amp; " " &amp; G1226, MonitorRent!A:A &amp; " " &amp; MonitorRent!B:B, 0)), "")</f>
        <v>SN:C7FMYV3</v>
      </c>
      <c r="R1226" s="295" t="s">
        <v>7050</v>
      </c>
    </row>
    <row r="1227">
      <c r="A1227" s="284">
        <v>1224.0</v>
      </c>
      <c r="B1227" s="285" t="s">
        <v>7683</v>
      </c>
      <c r="C1227" s="285" t="s">
        <v>6918</v>
      </c>
      <c r="D1227" s="286" t="s">
        <v>14796</v>
      </c>
      <c r="E1227" s="285" t="s">
        <v>7239</v>
      </c>
      <c r="F1227" s="285" t="s">
        <v>14797</v>
      </c>
      <c r="G1227" s="285" t="s">
        <v>14798</v>
      </c>
      <c r="H1227" s="285" t="s">
        <v>11574</v>
      </c>
      <c r="I1227" s="285" t="s">
        <v>14799</v>
      </c>
      <c r="J1227" s="285" t="s">
        <v>5224</v>
      </c>
      <c r="K1227" s="285" t="s">
        <v>13997</v>
      </c>
      <c r="L1227" s="285" t="s">
        <v>7679</v>
      </c>
      <c r="M1227" s="285" t="s">
        <v>9383</v>
      </c>
      <c r="N1227" s="287" t="str">
        <f>IFERROR(
    IF(
        AND(
            VLOOKUP(B1227, 'รายชื่อพนักงานลาออกพ้นสภาพ'!B:I, 8, FALSE)&lt;&gt;"ยกเลิกลาออก",
            VLOOKUP(B1227, 'รายชื่อพนักงานลาออกพ้นสภาพ'!B:I, 7, FALSE)&lt;=TODAY()
        ),
        "ลาออกแล้ว",
        ""
    ),
"")</f>
        <v/>
      </c>
      <c r="O1227" s="292" t="str">
        <f t="array" ref="O1227">IFERROR(INDEX(PCRent!C:D, MATCH(F1227 &amp; " " &amp; G1227, PCRent!A:A &amp; " " &amp; PCRent!B:B, 0)), "")</f>
        <v/>
      </c>
      <c r="P1227" s="293"/>
      <c r="Q1227" s="294" t="str">
        <f t="array" ref="Q1227">IFERROR(INDEX(MonitorRent!C:D, MATCH(F1227 &amp; " " &amp; G1227, MonitorRent!A:A &amp; " " &amp; MonitorRent!B:B, 0)), "")</f>
        <v/>
      </c>
      <c r="R1227" s="295"/>
    </row>
    <row r="1228">
      <c r="A1228" s="284">
        <v>1225.0</v>
      </c>
      <c r="B1228" s="285" t="s">
        <v>8577</v>
      </c>
      <c r="C1228" s="285" t="s">
        <v>6918</v>
      </c>
      <c r="D1228" s="286" t="s">
        <v>14800</v>
      </c>
      <c r="E1228" s="285" t="s">
        <v>6933</v>
      </c>
      <c r="F1228" s="285" t="s">
        <v>12561</v>
      </c>
      <c r="G1228" s="285" t="s">
        <v>11705</v>
      </c>
      <c r="H1228" s="285" t="s">
        <v>14801</v>
      </c>
      <c r="I1228" s="285" t="s">
        <v>14802</v>
      </c>
      <c r="J1228" s="285" t="s">
        <v>5224</v>
      </c>
      <c r="K1228" s="285" t="s">
        <v>14002</v>
      </c>
      <c r="L1228" s="285" t="s">
        <v>2208</v>
      </c>
      <c r="M1228" s="285" t="s">
        <v>9383</v>
      </c>
      <c r="N1228" s="287" t="str">
        <f>IFERROR(
    IF(
        AND(
            VLOOKUP(B1228, 'รายชื่อพนักงานลาออกพ้นสภาพ'!B:I, 8, FALSE)&lt;&gt;"ยกเลิกลาออก",
            VLOOKUP(B1228, 'รายชื่อพนักงานลาออกพ้นสภาพ'!B:I, 7, FALSE)&lt;=TODAY()
        ),
        "ลาออกแล้ว",
        ""
    ),
"")</f>
        <v/>
      </c>
      <c r="O1228" s="292" t="str">
        <f t="array" ref="O1228">IFERROR(INDEX(PCRent!C:D, MATCH(F1228 &amp; " " &amp; G1228, PCRent!A:A &amp; " " &amp; PCRent!B:B, 0)), "")</f>
        <v/>
      </c>
      <c r="P1228" s="293"/>
      <c r="Q1228" s="294" t="str">
        <f t="array" ref="Q1228">IFERROR(INDEX(MonitorRent!C:D, MATCH(F1228 &amp; " " &amp; G1228, MonitorRent!A:A &amp; " " &amp; MonitorRent!B:B, 0)), "")</f>
        <v/>
      </c>
      <c r="R1228" s="295"/>
    </row>
    <row r="1229">
      <c r="A1229" s="284">
        <v>1226.0</v>
      </c>
      <c r="B1229" s="285" t="s">
        <v>14803</v>
      </c>
      <c r="C1229" s="285" t="s">
        <v>6918</v>
      </c>
      <c r="D1229" s="286" t="s">
        <v>13176</v>
      </c>
      <c r="E1229" s="285" t="s">
        <v>6933</v>
      </c>
      <c r="F1229" s="285" t="s">
        <v>11501</v>
      </c>
      <c r="G1229" s="285" t="s">
        <v>14804</v>
      </c>
      <c r="H1229" s="285" t="s">
        <v>11648</v>
      </c>
      <c r="I1229" s="285" t="s">
        <v>14805</v>
      </c>
      <c r="J1229" s="285" t="s">
        <v>5224</v>
      </c>
      <c r="K1229" s="285" t="s">
        <v>12118</v>
      </c>
      <c r="L1229" s="285" t="s">
        <v>3041</v>
      </c>
      <c r="M1229" s="285" t="s">
        <v>9383</v>
      </c>
      <c r="N1229" s="287" t="str">
        <f>IFERROR(
    IF(
        AND(
            VLOOKUP(B1229, 'รายชื่อพนักงานลาออกพ้นสภาพ'!B:I, 8, FALSE)&lt;&gt;"ยกเลิกลาออก",
            VLOOKUP(B1229, 'รายชื่อพนักงานลาออกพ้นสภาพ'!B:I, 7, FALSE)&lt;=TODAY()
        ),
        "ลาออกแล้ว",
        ""
    ),
"")</f>
        <v/>
      </c>
      <c r="O1229" s="292" t="str">
        <f t="array" ref="O1229">IFERROR(INDEX(PCRent!C:D, MATCH(F1229 &amp; " " &amp; G1229, PCRent!A:A &amp; " " &amp; PCRent!B:B, 0)), "")</f>
        <v/>
      </c>
      <c r="P1229" s="293"/>
      <c r="Q1229" s="294" t="str">
        <f t="array" ref="Q1229">IFERROR(INDEX(MonitorRent!C:D, MATCH(F1229 &amp; " " &amp; G1229, MonitorRent!A:A &amp; " " &amp; MonitorRent!B:B, 0)), "")</f>
        <v/>
      </c>
      <c r="R1229" s="295"/>
    </row>
    <row r="1230">
      <c r="A1230" s="284">
        <v>1227.0</v>
      </c>
      <c r="B1230" s="285" t="s">
        <v>6990</v>
      </c>
      <c r="C1230" s="285" t="s">
        <v>6918</v>
      </c>
      <c r="D1230" s="286" t="s">
        <v>10729</v>
      </c>
      <c r="E1230" s="285" t="s">
        <v>6933</v>
      </c>
      <c r="F1230" s="285" t="s">
        <v>14806</v>
      </c>
      <c r="G1230" s="285" t="s">
        <v>14807</v>
      </c>
      <c r="H1230" s="285" t="s">
        <v>14808</v>
      </c>
      <c r="I1230" s="285" t="s">
        <v>14809</v>
      </c>
      <c r="J1230" s="285" t="s">
        <v>5224</v>
      </c>
      <c r="K1230" s="285" t="s">
        <v>13181</v>
      </c>
      <c r="L1230" s="285" t="s">
        <v>13699</v>
      </c>
      <c r="M1230" s="285" t="s">
        <v>9383</v>
      </c>
      <c r="N1230" s="287" t="str">
        <f>IFERROR(
    IF(
        AND(
            VLOOKUP(B1230, 'รายชื่อพนักงานลาออกพ้นสภาพ'!B:I, 8, FALSE)&lt;&gt;"ยกเลิกลาออก",
            VLOOKUP(B1230, 'รายชื่อพนักงานลาออกพ้นสภาพ'!B:I, 7, FALSE)&lt;=TODAY()
        ),
        "ลาออกแล้ว",
        ""
    ),
"")</f>
        <v/>
      </c>
      <c r="O1230" s="292" t="str">
        <f t="array" ref="O1230:P1230">IFERROR(INDEX(PCRent!C:D, MATCH(F1230 &amp; " " &amp; G1230, PCRent!A:A &amp; " " &amp; PCRent!B:B, 0)), "")</f>
        <v>SN:MP2EHAD9</v>
      </c>
      <c r="P1230" s="293" t="s">
        <v>6993</v>
      </c>
      <c r="Q1230" s="294" t="str">
        <f t="array" ref="Q1230:R1230">IFERROR(INDEX(MonitorRent!C:D, MATCH(F1230 &amp; " " &amp; G1230, MonitorRent!A:A &amp; " " &amp; MonitorRent!B:B, 0)), "")</f>
        <v>SN:9XQD7P3</v>
      </c>
      <c r="R1230" s="295" t="s">
        <v>6995</v>
      </c>
    </row>
    <row r="1231">
      <c r="A1231" s="284">
        <v>1228.0</v>
      </c>
      <c r="B1231" s="285" t="s">
        <v>14810</v>
      </c>
      <c r="C1231" s="285" t="s">
        <v>6918</v>
      </c>
      <c r="D1231" s="286" t="s">
        <v>14811</v>
      </c>
      <c r="E1231" s="285" t="s">
        <v>7239</v>
      </c>
      <c r="F1231" s="285" t="s">
        <v>14812</v>
      </c>
      <c r="G1231" s="285" t="s">
        <v>14813</v>
      </c>
      <c r="H1231" s="285" t="s">
        <v>14812</v>
      </c>
      <c r="I1231" s="285" t="s">
        <v>14814</v>
      </c>
      <c r="J1231" s="285" t="s">
        <v>5224</v>
      </c>
      <c r="K1231" s="285" t="s">
        <v>14815</v>
      </c>
      <c r="L1231" s="285" t="s">
        <v>3041</v>
      </c>
      <c r="M1231" s="285" t="s">
        <v>9383</v>
      </c>
      <c r="N1231" s="287" t="str">
        <f>IFERROR(
    IF(
        AND(
            VLOOKUP(B1231, 'รายชื่อพนักงานลาออกพ้นสภาพ'!B:I, 8, FALSE)&lt;&gt;"ยกเลิกลาออก",
            VLOOKUP(B1231, 'รายชื่อพนักงานลาออกพ้นสภาพ'!B:I, 7, FALSE)&lt;=TODAY()
        ),
        "ลาออกแล้ว",
        ""
    ),
"")</f>
        <v/>
      </c>
      <c r="O1231" s="292" t="str">
        <f t="array" ref="O1231">IFERROR(INDEX(PCRent!C:D, MATCH(F1231 &amp; " " &amp; G1231, PCRent!A:A &amp; " " &amp; PCRent!B:B, 0)), "")</f>
        <v/>
      </c>
      <c r="P1231" s="293"/>
      <c r="Q1231" s="294" t="str">
        <f t="array" ref="Q1231">IFERROR(INDEX(MonitorRent!C:D, MATCH(F1231 &amp; " " &amp; G1231, MonitorRent!A:A &amp; " " &amp; MonitorRent!B:B, 0)), "")</f>
        <v/>
      </c>
      <c r="R1231" s="295"/>
    </row>
    <row r="1232">
      <c r="A1232" s="284">
        <v>1229.0</v>
      </c>
      <c r="B1232" s="285" t="s">
        <v>939</v>
      </c>
      <c r="C1232" s="285" t="s">
        <v>6918</v>
      </c>
      <c r="D1232" s="286" t="s">
        <v>14816</v>
      </c>
      <c r="E1232" s="285" t="s">
        <v>6921</v>
      </c>
      <c r="F1232" s="285" t="s">
        <v>14817</v>
      </c>
      <c r="G1232" s="285" t="s">
        <v>14818</v>
      </c>
      <c r="H1232" s="285" t="s">
        <v>14529</v>
      </c>
      <c r="I1232" s="285" t="s">
        <v>942</v>
      </c>
      <c r="J1232" s="285" t="s">
        <v>5012</v>
      </c>
      <c r="K1232" s="285" t="s">
        <v>4749</v>
      </c>
      <c r="L1232" s="285" t="s">
        <v>941</v>
      </c>
      <c r="M1232" s="285" t="s">
        <v>9383</v>
      </c>
      <c r="N1232" s="287" t="str">
        <f>IFERROR(
    IF(
        AND(
            VLOOKUP(B1232, 'รายชื่อพนักงานลาออกพ้นสภาพ'!B:I, 8, FALSE)&lt;&gt;"ยกเลิกลาออก",
            VLOOKUP(B1232, 'รายชื่อพนักงานลาออกพ้นสภาพ'!B:I, 7, FALSE)&lt;=TODAY()
        ),
        "ลาออกแล้ว",
        ""
    ),
"")</f>
        <v/>
      </c>
      <c r="O1232" s="292" t="str">
        <f t="array" ref="O1232:P1232">IFERROR(INDEX(PCRent!C:D, MATCH(F1232 &amp; " " &amp; G1232, PCRent!A:A &amp; " " &amp; PCRent!B:B, 0)), "")</f>
        <v>SN:MP2ELJEP</v>
      </c>
      <c r="P1232" s="293" t="s">
        <v>6993</v>
      </c>
      <c r="Q1232" s="294" t="str">
        <f t="array" ref="Q1232">IFERROR(INDEX(MonitorRent!C:D, MATCH(F1232 &amp; " " &amp; G1232, MonitorRent!A:A &amp; " " &amp; MonitorRent!B:B, 0)), "")</f>
        <v/>
      </c>
      <c r="R1232" s="295"/>
    </row>
    <row r="1233">
      <c r="A1233" s="284">
        <v>1230.0</v>
      </c>
      <c r="B1233" s="285" t="s">
        <v>8334</v>
      </c>
      <c r="C1233" s="285" t="s">
        <v>6918</v>
      </c>
      <c r="D1233" s="286" t="s">
        <v>14819</v>
      </c>
      <c r="E1233" s="285" t="s">
        <v>6921</v>
      </c>
      <c r="F1233" s="285" t="s">
        <v>14820</v>
      </c>
      <c r="G1233" s="285" t="s">
        <v>14821</v>
      </c>
      <c r="H1233" s="285" t="s">
        <v>14822</v>
      </c>
      <c r="I1233" s="285" t="s">
        <v>14823</v>
      </c>
      <c r="J1233" s="285" t="s">
        <v>5224</v>
      </c>
      <c r="K1233" s="285" t="s">
        <v>4749</v>
      </c>
      <c r="L1233" s="285" t="s">
        <v>8331</v>
      </c>
      <c r="M1233" s="285" t="s">
        <v>9383</v>
      </c>
      <c r="N1233" s="287" t="str">
        <f>IFERROR(
    IF(
        AND(
            VLOOKUP(B1233, 'รายชื่อพนักงานลาออกพ้นสภาพ'!B:I, 8, FALSE)&lt;&gt;"ยกเลิกลาออก",
            VLOOKUP(B1233, 'รายชื่อพนักงานลาออกพ้นสภาพ'!B:I, 7, FALSE)&lt;=TODAY()
        ),
        "ลาออกแล้ว",
        ""
    ),
"")</f>
        <v/>
      </c>
      <c r="O1233" s="292" t="str">
        <f t="array" ref="O1233">IFERROR(INDEX(PCRent!C:D, MATCH(F1233 &amp; " " &amp; G1233, PCRent!A:A &amp; " " &amp; PCRent!B:B, 0)), "")</f>
        <v/>
      </c>
      <c r="P1233" s="293"/>
      <c r="Q1233" s="294" t="str">
        <f t="array" ref="Q1233">IFERROR(INDEX(MonitorRent!C:D, MATCH(F1233 &amp; " " &amp; G1233, MonitorRent!A:A &amp; " " &amp; MonitorRent!B:B, 0)), "")</f>
        <v/>
      </c>
      <c r="R1233" s="295"/>
    </row>
    <row r="1234">
      <c r="A1234" s="284">
        <v>1231.0</v>
      </c>
      <c r="B1234" s="285" t="s">
        <v>14824</v>
      </c>
      <c r="C1234" s="285" t="s">
        <v>6918</v>
      </c>
      <c r="D1234" s="286" t="s">
        <v>10501</v>
      </c>
      <c r="E1234" s="285" t="s">
        <v>6921</v>
      </c>
      <c r="F1234" s="285" t="s">
        <v>14825</v>
      </c>
      <c r="G1234" s="285" t="s">
        <v>14826</v>
      </c>
      <c r="H1234" s="285" t="s">
        <v>14827</v>
      </c>
      <c r="I1234" s="285" t="s">
        <v>14828</v>
      </c>
      <c r="J1234" s="285" t="s">
        <v>5012</v>
      </c>
      <c r="K1234" s="285" t="s">
        <v>4749</v>
      </c>
      <c r="L1234" s="285" t="s">
        <v>13516</v>
      </c>
      <c r="M1234" s="285" t="s">
        <v>9383</v>
      </c>
      <c r="N1234" s="287" t="str">
        <f>IFERROR(
    IF(
        AND(
            VLOOKUP(B1234, 'รายชื่อพนักงานลาออกพ้นสภาพ'!B:I, 8, FALSE)&lt;&gt;"ยกเลิกลาออก",
            VLOOKUP(B1234, 'รายชื่อพนักงานลาออกพ้นสภาพ'!B:I, 7, FALSE)&lt;=TODAY()
        ),
        "ลาออกแล้ว",
        ""
    ),
"")</f>
        <v/>
      </c>
      <c r="O1234" s="292" t="str">
        <f t="array" ref="O1234">IFERROR(INDEX(PCRent!C:D, MATCH(F1234 &amp; " " &amp; G1234, PCRent!A:A &amp; " " &amp; PCRent!B:B, 0)), "")</f>
        <v/>
      </c>
      <c r="P1234" s="293"/>
      <c r="Q1234" s="294" t="str">
        <f t="array" ref="Q1234">IFERROR(INDEX(MonitorRent!C:D, MATCH(F1234 &amp; " " &amp; G1234, MonitorRent!A:A &amp; " " &amp; MonitorRent!B:B, 0)), "")</f>
        <v/>
      </c>
      <c r="R1234" s="295"/>
    </row>
    <row r="1235">
      <c r="A1235" s="284">
        <v>1232.0</v>
      </c>
      <c r="B1235" s="285" t="s">
        <v>14829</v>
      </c>
      <c r="C1235" s="285" t="s">
        <v>6918</v>
      </c>
      <c r="D1235" s="286" t="s">
        <v>14830</v>
      </c>
      <c r="E1235" s="285" t="s">
        <v>6933</v>
      </c>
      <c r="F1235" s="285" t="s">
        <v>10709</v>
      </c>
      <c r="G1235" s="285" t="s">
        <v>14831</v>
      </c>
      <c r="H1235" s="285" t="s">
        <v>10709</v>
      </c>
      <c r="I1235" s="285" t="s">
        <v>14832</v>
      </c>
      <c r="J1235" s="285" t="s">
        <v>5012</v>
      </c>
      <c r="K1235" s="285" t="s">
        <v>9626</v>
      </c>
      <c r="L1235" s="285" t="s">
        <v>13067</v>
      </c>
      <c r="M1235" s="285" t="s">
        <v>9383</v>
      </c>
      <c r="N1235" s="287" t="str">
        <f>IFERROR(
    IF(
        AND(
            VLOOKUP(B1235, 'รายชื่อพนักงานลาออกพ้นสภาพ'!B:I, 8, FALSE)&lt;&gt;"ยกเลิกลาออก",
            VLOOKUP(B1235, 'รายชื่อพนักงานลาออกพ้นสภาพ'!B:I, 7, FALSE)&lt;=TODAY()
        ),
        "ลาออกแล้ว",
        ""
    ),
"")</f>
        <v/>
      </c>
      <c r="O1235" s="292" t="str">
        <f t="array" ref="O1235">IFERROR(INDEX(PCRent!C:D, MATCH(F1235 &amp; " " &amp; G1235, PCRent!A:A &amp; " " &amp; PCRent!B:B, 0)), "")</f>
        <v/>
      </c>
      <c r="P1235" s="293"/>
      <c r="Q1235" s="294" t="str">
        <f t="array" ref="Q1235">IFERROR(INDEX(MonitorRent!C:D, MATCH(F1235 &amp; " " &amp; G1235, MonitorRent!A:A &amp; " " &amp; MonitorRent!B:B, 0)), "")</f>
        <v/>
      </c>
      <c r="R1235" s="295"/>
    </row>
    <row r="1236">
      <c r="A1236" s="284">
        <v>1233.0</v>
      </c>
      <c r="B1236" s="285" t="s">
        <v>14833</v>
      </c>
      <c r="C1236" s="285" t="s">
        <v>6918</v>
      </c>
      <c r="D1236" s="286" t="s">
        <v>9576</v>
      </c>
      <c r="E1236" s="285" t="s">
        <v>6921</v>
      </c>
      <c r="F1236" s="285" t="s">
        <v>14834</v>
      </c>
      <c r="G1236" s="285" t="s">
        <v>14835</v>
      </c>
      <c r="H1236" s="285" t="s">
        <v>10749</v>
      </c>
      <c r="I1236" s="285" t="s">
        <v>14836</v>
      </c>
      <c r="J1236" s="285" t="s">
        <v>5012</v>
      </c>
      <c r="K1236" s="285" t="s">
        <v>9560</v>
      </c>
      <c r="L1236" s="285" t="s">
        <v>13516</v>
      </c>
      <c r="M1236" s="285" t="s">
        <v>9383</v>
      </c>
      <c r="N1236" s="287" t="str">
        <f>IFERROR(
    IF(
        AND(
            VLOOKUP(B1236, 'รายชื่อพนักงานลาออกพ้นสภาพ'!B:I, 8, FALSE)&lt;&gt;"ยกเลิกลาออก",
            VLOOKUP(B1236, 'รายชื่อพนักงานลาออกพ้นสภาพ'!B:I, 7, FALSE)&lt;=TODAY()
        ),
        "ลาออกแล้ว",
        ""
    ),
"")</f>
        <v/>
      </c>
      <c r="O1236" s="292" t="str">
        <f t="array" ref="O1236">IFERROR(INDEX(PCRent!C:D, MATCH(F1236 &amp; " " &amp; G1236, PCRent!A:A &amp; " " &amp; PCRent!B:B, 0)), "")</f>
        <v/>
      </c>
      <c r="P1236" s="293"/>
      <c r="Q1236" s="294" t="str">
        <f t="array" ref="Q1236">IFERROR(INDEX(MonitorRent!C:D, MATCH(F1236 &amp; " " &amp; G1236, MonitorRent!A:A &amp; " " &amp; MonitorRent!B:B, 0)), "")</f>
        <v/>
      </c>
      <c r="R1236" s="295"/>
    </row>
    <row r="1237">
      <c r="A1237" s="284">
        <v>1234.0</v>
      </c>
      <c r="B1237" s="285" t="s">
        <v>14837</v>
      </c>
      <c r="C1237" s="285" t="s">
        <v>6918</v>
      </c>
      <c r="D1237" s="286" t="s">
        <v>10501</v>
      </c>
      <c r="E1237" s="285" t="s">
        <v>6933</v>
      </c>
      <c r="F1237" s="285" t="s">
        <v>14838</v>
      </c>
      <c r="G1237" s="285" t="s">
        <v>14839</v>
      </c>
      <c r="H1237" s="285" t="s">
        <v>14840</v>
      </c>
      <c r="I1237" s="285" t="s">
        <v>14841</v>
      </c>
      <c r="J1237" s="285" t="s">
        <v>5012</v>
      </c>
      <c r="K1237" s="285" t="s">
        <v>6322</v>
      </c>
      <c r="L1237" s="285" t="s">
        <v>13137</v>
      </c>
      <c r="M1237" s="285" t="s">
        <v>9383</v>
      </c>
      <c r="N1237" s="287" t="str">
        <f>IFERROR(
    IF(
        AND(
            VLOOKUP(B1237, 'รายชื่อพนักงานลาออกพ้นสภาพ'!B:I, 8, FALSE)&lt;&gt;"ยกเลิกลาออก",
            VLOOKUP(B1237, 'รายชื่อพนักงานลาออกพ้นสภาพ'!B:I, 7, FALSE)&lt;=TODAY()
        ),
        "ลาออกแล้ว",
        ""
    ),
"")</f>
        <v/>
      </c>
      <c r="O1237" s="292" t="str">
        <f t="array" ref="O1237">IFERROR(INDEX(PCRent!C:D, MATCH(F1237 &amp; " " &amp; G1237, PCRent!A:A &amp; " " &amp; PCRent!B:B, 0)), "")</f>
        <v/>
      </c>
      <c r="P1237" s="293"/>
      <c r="Q1237" s="294" t="str">
        <f t="array" ref="Q1237">IFERROR(INDEX(MonitorRent!C:D, MATCH(F1237 &amp; " " &amp; G1237, MonitorRent!A:A &amp; " " &amp; MonitorRent!B:B, 0)), "")</f>
        <v/>
      </c>
      <c r="R1237" s="295"/>
    </row>
    <row r="1238">
      <c r="A1238" s="284">
        <v>1235.0</v>
      </c>
      <c r="B1238" s="285" t="s">
        <v>14842</v>
      </c>
      <c r="C1238" s="285" t="s">
        <v>6918</v>
      </c>
      <c r="D1238" s="286" t="s">
        <v>14843</v>
      </c>
      <c r="E1238" s="285" t="s">
        <v>7239</v>
      </c>
      <c r="F1238" s="285" t="s">
        <v>14844</v>
      </c>
      <c r="G1238" s="285" t="s">
        <v>14845</v>
      </c>
      <c r="H1238" s="285" t="s">
        <v>11155</v>
      </c>
      <c r="I1238" s="285" t="s">
        <v>14846</v>
      </c>
      <c r="J1238" s="285" t="s">
        <v>5012</v>
      </c>
      <c r="K1238" s="285" t="s">
        <v>3000</v>
      </c>
      <c r="L1238" s="285" t="s">
        <v>13372</v>
      </c>
      <c r="M1238" s="285" t="s">
        <v>9383</v>
      </c>
      <c r="N1238" s="287" t="str">
        <f>IFERROR(
    IF(
        AND(
            VLOOKUP(B1238, 'รายชื่อพนักงานลาออกพ้นสภาพ'!B:I, 8, FALSE)&lt;&gt;"ยกเลิกลาออก",
            VLOOKUP(B1238, 'รายชื่อพนักงานลาออกพ้นสภาพ'!B:I, 7, FALSE)&lt;=TODAY()
        ),
        "ลาออกแล้ว",
        ""
    ),
"")</f>
        <v/>
      </c>
      <c r="O1238" s="292" t="str">
        <f t="array" ref="O1238">IFERROR(INDEX(PCRent!C:D, MATCH(F1238 &amp; " " &amp; G1238, PCRent!A:A &amp; " " &amp; PCRent!B:B, 0)), "")</f>
        <v/>
      </c>
      <c r="P1238" s="293"/>
      <c r="Q1238" s="294" t="str">
        <f t="array" ref="Q1238">IFERROR(INDEX(MonitorRent!C:D, MATCH(F1238 &amp; " " &amp; G1238, MonitorRent!A:A &amp; " " &amp; MonitorRent!B:B, 0)), "")</f>
        <v/>
      </c>
      <c r="R1238" s="295"/>
    </row>
    <row r="1239">
      <c r="A1239" s="284">
        <v>1236.0</v>
      </c>
      <c r="B1239" s="285" t="s">
        <v>14847</v>
      </c>
      <c r="C1239" s="285" t="s">
        <v>6918</v>
      </c>
      <c r="D1239" s="286" t="s">
        <v>9882</v>
      </c>
      <c r="E1239" s="285" t="s">
        <v>6933</v>
      </c>
      <c r="F1239" s="285" t="s">
        <v>14848</v>
      </c>
      <c r="G1239" s="285" t="s">
        <v>14849</v>
      </c>
      <c r="H1239" s="285" t="s">
        <v>10389</v>
      </c>
      <c r="I1239" s="285" t="s">
        <v>14850</v>
      </c>
      <c r="J1239" s="285" t="s">
        <v>5012</v>
      </c>
      <c r="K1239" s="285" t="s">
        <v>9474</v>
      </c>
      <c r="L1239" s="285" t="s">
        <v>232</v>
      </c>
      <c r="M1239" s="285" t="s">
        <v>9383</v>
      </c>
      <c r="N1239" s="287" t="str">
        <f>IFERROR(
    IF(
        AND(
            VLOOKUP(B1239, 'รายชื่อพนักงานลาออกพ้นสภาพ'!B:I, 8, FALSE)&lt;&gt;"ยกเลิกลาออก",
            VLOOKUP(B1239, 'รายชื่อพนักงานลาออกพ้นสภาพ'!B:I, 7, FALSE)&lt;=TODAY()
        ),
        "ลาออกแล้ว",
        ""
    ),
"")</f>
        <v/>
      </c>
      <c r="O1239" s="292" t="str">
        <f t="array" ref="O1239">IFERROR(INDEX(PCRent!C:D, MATCH(F1239 &amp; " " &amp; G1239, PCRent!A:A &amp; " " &amp; PCRent!B:B, 0)), "")</f>
        <v/>
      </c>
      <c r="P1239" s="293"/>
      <c r="Q1239" s="294" t="str">
        <f t="array" ref="Q1239">IFERROR(INDEX(MonitorRent!C:D, MATCH(F1239 &amp; " " &amp; G1239, MonitorRent!A:A &amp; " " &amp; MonitorRent!B:B, 0)), "")</f>
        <v/>
      </c>
      <c r="R1239" s="295"/>
    </row>
    <row r="1240">
      <c r="A1240" s="284">
        <v>1237.0</v>
      </c>
      <c r="B1240" s="285" t="s">
        <v>3203</v>
      </c>
      <c r="C1240" s="285" t="s">
        <v>6918</v>
      </c>
      <c r="D1240" s="286" t="s">
        <v>14851</v>
      </c>
      <c r="E1240" s="285" t="s">
        <v>6933</v>
      </c>
      <c r="F1240" s="285" t="s">
        <v>14852</v>
      </c>
      <c r="G1240" s="285" t="s">
        <v>14853</v>
      </c>
      <c r="H1240" s="285" t="s">
        <v>10812</v>
      </c>
      <c r="I1240" s="285" t="s">
        <v>6404</v>
      </c>
      <c r="J1240" s="285" t="s">
        <v>5224</v>
      </c>
      <c r="K1240" s="285" t="s">
        <v>9917</v>
      </c>
      <c r="L1240" s="285" t="s">
        <v>2952</v>
      </c>
      <c r="M1240" s="285" t="s">
        <v>9383</v>
      </c>
      <c r="N1240" s="287" t="str">
        <f>IFERROR(
    IF(
        AND(
            VLOOKUP(B1240, 'รายชื่อพนักงานลาออกพ้นสภาพ'!B:I, 8, FALSE)&lt;&gt;"ยกเลิกลาออก",
            VLOOKUP(B1240, 'รายชื่อพนักงานลาออกพ้นสภาพ'!B:I, 7, FALSE)&lt;=TODAY()
        ),
        "ลาออกแล้ว",
        ""
    ),
"")</f>
        <v/>
      </c>
      <c r="O1240" s="292" t="str">
        <f t="array" ref="O1240">IFERROR(INDEX(PCRent!C:D, MATCH(F1240 &amp; " " &amp; G1240, PCRent!A:A &amp; " " &amp; PCRent!B:B, 0)), "")</f>
        <v/>
      </c>
      <c r="P1240" s="293"/>
      <c r="Q1240" s="294" t="str">
        <f t="array" ref="Q1240">IFERROR(INDEX(MonitorRent!C:D, MATCH(F1240 &amp; " " &amp; G1240, MonitorRent!A:A &amp; " " &amp; MonitorRent!B:B, 0)), "")</f>
        <v/>
      </c>
      <c r="R1240" s="295"/>
    </row>
    <row r="1241">
      <c r="A1241" s="284">
        <v>1238.0</v>
      </c>
      <c r="B1241" s="285" t="s">
        <v>14854</v>
      </c>
      <c r="C1241" s="285" t="s">
        <v>6918</v>
      </c>
      <c r="D1241" s="286" t="s">
        <v>14855</v>
      </c>
      <c r="E1241" s="285" t="s">
        <v>14856</v>
      </c>
      <c r="F1241" s="285" t="s">
        <v>14857</v>
      </c>
      <c r="G1241" s="285" t="s">
        <v>14858</v>
      </c>
      <c r="H1241" s="285" t="s">
        <v>14213</v>
      </c>
      <c r="I1241" s="285" t="s">
        <v>14859</v>
      </c>
      <c r="J1241" s="285" t="s">
        <v>5012</v>
      </c>
      <c r="K1241" s="285" t="s">
        <v>9474</v>
      </c>
      <c r="L1241" s="285" t="s">
        <v>13896</v>
      </c>
      <c r="M1241" s="285" t="s">
        <v>9383</v>
      </c>
      <c r="N1241" s="287" t="str">
        <f>IFERROR(
    IF(
        AND(
            VLOOKUP(B1241, 'รายชื่อพนักงานลาออกพ้นสภาพ'!B:I, 8, FALSE)&lt;&gt;"ยกเลิกลาออก",
            VLOOKUP(B1241, 'รายชื่อพนักงานลาออกพ้นสภาพ'!B:I, 7, FALSE)&lt;=TODAY()
        ),
        "ลาออกแล้ว",
        ""
    ),
"")</f>
        <v/>
      </c>
      <c r="O1241" s="292" t="str">
        <f t="array" ref="O1241">IFERROR(INDEX(PCRent!C:D, MATCH(F1241 &amp; " " &amp; G1241, PCRent!A:A &amp; " " &amp; PCRent!B:B, 0)), "")</f>
        <v/>
      </c>
      <c r="P1241" s="293"/>
      <c r="Q1241" s="294" t="str">
        <f t="array" ref="Q1241">IFERROR(INDEX(MonitorRent!C:D, MATCH(F1241 &amp; " " &amp; G1241, MonitorRent!A:A &amp; " " &amp; MonitorRent!B:B, 0)), "")</f>
        <v/>
      </c>
      <c r="R1241" s="295"/>
    </row>
    <row r="1242">
      <c r="A1242" s="284">
        <v>1239.0</v>
      </c>
      <c r="B1242" s="285" t="s">
        <v>1222</v>
      </c>
      <c r="C1242" s="285" t="s">
        <v>6918</v>
      </c>
      <c r="D1242" s="286" t="s">
        <v>9576</v>
      </c>
      <c r="E1242" s="285" t="s">
        <v>6921</v>
      </c>
      <c r="F1242" s="285" t="s">
        <v>14860</v>
      </c>
      <c r="G1242" s="285" t="s">
        <v>14861</v>
      </c>
      <c r="H1242" s="285" t="s">
        <v>14862</v>
      </c>
      <c r="I1242" s="285" t="s">
        <v>14863</v>
      </c>
      <c r="J1242" s="285" t="s">
        <v>5224</v>
      </c>
      <c r="K1242" s="285" t="s">
        <v>4737</v>
      </c>
      <c r="L1242" s="285" t="s">
        <v>14715</v>
      </c>
      <c r="M1242" s="285" t="s">
        <v>9383</v>
      </c>
      <c r="N1242" s="287" t="str">
        <f>IFERROR(
    IF(
        AND(
            VLOOKUP(B1242, 'รายชื่อพนักงานลาออกพ้นสภาพ'!B:I, 8, FALSE)&lt;&gt;"ยกเลิกลาออก",
            VLOOKUP(B1242, 'รายชื่อพนักงานลาออกพ้นสภาพ'!B:I, 7, FALSE)&lt;=TODAY()
        ),
        "ลาออกแล้ว",
        ""
    ),
"")</f>
        <v/>
      </c>
      <c r="O1242" s="292" t="str">
        <f t="array" ref="O1242">IFERROR(INDEX(PCRent!C:D, MATCH(F1242 &amp; " " &amp; G1242, PCRent!A:A &amp; " " &amp; PCRent!B:B, 0)), "")</f>
        <v/>
      </c>
      <c r="P1242" s="293"/>
      <c r="Q1242" s="294" t="str">
        <f t="array" ref="Q1242">IFERROR(INDEX(MonitorRent!C:D, MATCH(F1242 &amp; " " &amp; G1242, MonitorRent!A:A &amp; " " &amp; MonitorRent!B:B, 0)), "")</f>
        <v/>
      </c>
      <c r="R1242" s="295"/>
    </row>
    <row r="1243">
      <c r="A1243" s="284">
        <v>1240.0</v>
      </c>
      <c r="B1243" s="285" t="s">
        <v>7495</v>
      </c>
      <c r="C1243" s="285" t="s">
        <v>6918</v>
      </c>
      <c r="D1243" s="286" t="s">
        <v>14864</v>
      </c>
      <c r="E1243" s="285" t="s">
        <v>6921</v>
      </c>
      <c r="F1243" s="285" t="s">
        <v>14865</v>
      </c>
      <c r="G1243" s="285" t="s">
        <v>14866</v>
      </c>
      <c r="H1243" s="285" t="s">
        <v>14867</v>
      </c>
      <c r="I1243" s="285" t="s">
        <v>14868</v>
      </c>
      <c r="J1243" s="285" t="s">
        <v>5224</v>
      </c>
      <c r="K1243" s="285" t="s">
        <v>4756</v>
      </c>
      <c r="L1243" s="285" t="s">
        <v>14869</v>
      </c>
      <c r="M1243" s="285" t="s">
        <v>9383</v>
      </c>
      <c r="N1243" s="287" t="str">
        <f>IFERROR(
    IF(
        AND(
            VLOOKUP(B1243, 'รายชื่อพนักงานลาออกพ้นสภาพ'!B:I, 8, FALSE)&lt;&gt;"ยกเลิกลาออก",
            VLOOKUP(B1243, 'รายชื่อพนักงานลาออกพ้นสภาพ'!B:I, 7, FALSE)&lt;=TODAY()
        ),
        "ลาออกแล้ว",
        ""
    ),
"")</f>
        <v/>
      </c>
      <c r="O1243" s="292" t="str">
        <f t="array" ref="O1243">IFERROR(INDEX(PCRent!C:D, MATCH(F1243 &amp; " " &amp; G1243, PCRent!A:A &amp; " " &amp; PCRent!B:B, 0)), "")</f>
        <v/>
      </c>
      <c r="P1243" s="293"/>
      <c r="Q1243" s="294" t="str">
        <f t="array" ref="Q1243">IFERROR(INDEX(MonitorRent!C:D, MATCH(F1243 &amp; " " &amp; G1243, MonitorRent!A:A &amp; " " &amp; MonitorRent!B:B, 0)), "")</f>
        <v/>
      </c>
      <c r="R1243" s="295"/>
    </row>
    <row r="1244">
      <c r="A1244" s="284">
        <v>1241.0</v>
      </c>
      <c r="B1244" s="285" t="s">
        <v>14870</v>
      </c>
      <c r="C1244" s="285" t="s">
        <v>6918</v>
      </c>
      <c r="D1244" s="286" t="s">
        <v>14871</v>
      </c>
      <c r="E1244" s="285" t="s">
        <v>6921</v>
      </c>
      <c r="F1244" s="285" t="s">
        <v>14872</v>
      </c>
      <c r="G1244" s="285" t="s">
        <v>14873</v>
      </c>
      <c r="H1244" s="285" t="s">
        <v>10236</v>
      </c>
      <c r="I1244" s="285" t="s">
        <v>14874</v>
      </c>
      <c r="J1244" s="285" t="s">
        <v>5012</v>
      </c>
      <c r="K1244" s="285" t="s">
        <v>6322</v>
      </c>
      <c r="L1244" s="285" t="s">
        <v>13429</v>
      </c>
      <c r="M1244" s="285" t="s">
        <v>9383</v>
      </c>
      <c r="N1244" s="287" t="str">
        <f>IFERROR(
    IF(
        AND(
            VLOOKUP(B1244, 'รายชื่อพนักงานลาออกพ้นสภาพ'!B:I, 8, FALSE)&lt;&gt;"ยกเลิกลาออก",
            VLOOKUP(B1244, 'รายชื่อพนักงานลาออกพ้นสภาพ'!B:I, 7, FALSE)&lt;=TODAY()
        ),
        "ลาออกแล้ว",
        ""
    ),
"")</f>
        <v/>
      </c>
      <c r="O1244" s="292" t="str">
        <f t="array" ref="O1244:P1244">IFERROR(INDEX(PCRent!C:D, MATCH(F1244 &amp; " " &amp; G1244, PCRent!A:A &amp; " " &amp; PCRent!B:B, 0)), "")</f>
        <v>SN:MP2DGHYA</v>
      </c>
      <c r="P1244" s="293" t="s">
        <v>7149</v>
      </c>
      <c r="Q1244" s="294" t="str">
        <f t="array" ref="Q1244">IFERROR(INDEX(MonitorRent!C:D, MATCH(F1244 &amp; " " &amp; G1244, MonitorRent!A:A &amp; " " &amp; MonitorRent!B:B, 0)), "")</f>
        <v/>
      </c>
      <c r="R1244" s="295"/>
    </row>
    <row r="1245">
      <c r="A1245" s="284">
        <v>1242.0</v>
      </c>
      <c r="B1245" s="285" t="s">
        <v>14875</v>
      </c>
      <c r="C1245" s="285" t="s">
        <v>6918</v>
      </c>
      <c r="D1245" s="286" t="s">
        <v>14173</v>
      </c>
      <c r="E1245" s="285" t="s">
        <v>7239</v>
      </c>
      <c r="F1245" s="285" t="s">
        <v>14876</v>
      </c>
      <c r="G1245" s="285" t="s">
        <v>14877</v>
      </c>
      <c r="H1245" s="296"/>
      <c r="I1245" s="296"/>
      <c r="J1245" s="285" t="s">
        <v>5224</v>
      </c>
      <c r="K1245" s="285" t="s">
        <v>12321</v>
      </c>
      <c r="L1245" s="285" t="s">
        <v>8655</v>
      </c>
      <c r="M1245" s="285" t="s">
        <v>9383</v>
      </c>
      <c r="N1245" s="287" t="str">
        <f>IFERROR(
    IF(
        AND(
            VLOOKUP(B1245, 'รายชื่อพนักงานลาออกพ้นสภาพ'!B:I, 8, FALSE)&lt;&gt;"ยกเลิกลาออก",
            VLOOKUP(B1245, 'รายชื่อพนักงานลาออกพ้นสภาพ'!B:I, 7, FALSE)&lt;=TODAY()
        ),
        "ลาออกแล้ว",
        ""
    ),
"")</f>
        <v/>
      </c>
      <c r="O1245" s="292" t="str">
        <f t="array" ref="O1245">IFERROR(INDEX(PCRent!C:D, MATCH(F1245 &amp; " " &amp; G1245, PCRent!A:A &amp; " " &amp; PCRent!B:B, 0)), "")</f>
        <v/>
      </c>
      <c r="P1245" s="293"/>
      <c r="Q1245" s="294" t="str">
        <f t="array" ref="Q1245">IFERROR(INDEX(MonitorRent!C:D, MATCH(F1245 &amp; " " &amp; G1245, MonitorRent!A:A &amp; " " &amp; MonitorRent!B:B, 0)), "")</f>
        <v/>
      </c>
      <c r="R1245" s="295"/>
    </row>
    <row r="1246">
      <c r="A1246" s="284">
        <v>1243.0</v>
      </c>
      <c r="B1246" s="285" t="s">
        <v>14878</v>
      </c>
      <c r="C1246" s="285" t="s">
        <v>6918</v>
      </c>
      <c r="D1246" s="286" t="s">
        <v>10729</v>
      </c>
      <c r="E1246" s="285" t="s">
        <v>6933</v>
      </c>
      <c r="F1246" s="285" t="s">
        <v>14879</v>
      </c>
      <c r="G1246" s="285" t="s">
        <v>14880</v>
      </c>
      <c r="H1246" s="285" t="s">
        <v>14879</v>
      </c>
      <c r="I1246" s="285" t="s">
        <v>14881</v>
      </c>
      <c r="J1246" s="285" t="s">
        <v>5012</v>
      </c>
      <c r="K1246" s="285" t="s">
        <v>9626</v>
      </c>
      <c r="L1246" s="285" t="s">
        <v>232</v>
      </c>
      <c r="M1246" s="285" t="s">
        <v>9383</v>
      </c>
      <c r="N1246" s="287" t="str">
        <f>IFERROR(
    IF(
        AND(
            VLOOKUP(B1246, 'รายชื่อพนักงานลาออกพ้นสภาพ'!B:I, 8, FALSE)&lt;&gt;"ยกเลิกลาออก",
            VLOOKUP(B1246, 'รายชื่อพนักงานลาออกพ้นสภาพ'!B:I, 7, FALSE)&lt;=TODAY()
        ),
        "ลาออกแล้ว",
        ""
    ),
"")</f>
        <v/>
      </c>
      <c r="O1246" s="292" t="str">
        <f t="array" ref="O1246">IFERROR(INDEX(PCRent!C:D, MATCH(F1246 &amp; " " &amp; G1246, PCRent!A:A &amp; " " &amp; PCRent!B:B, 0)), "")</f>
        <v/>
      </c>
      <c r="P1246" s="293"/>
      <c r="Q1246" s="294" t="str">
        <f t="array" ref="Q1246">IFERROR(INDEX(MonitorRent!C:D, MATCH(F1246 &amp; " " &amp; G1246, MonitorRent!A:A &amp; " " &amp; MonitorRent!B:B, 0)), "")</f>
        <v/>
      </c>
      <c r="R1246" s="295"/>
    </row>
    <row r="1247">
      <c r="A1247" s="284">
        <v>1244.0</v>
      </c>
      <c r="B1247" s="285" t="s">
        <v>14882</v>
      </c>
      <c r="C1247" s="285" t="s">
        <v>6918</v>
      </c>
      <c r="D1247" s="286" t="s">
        <v>13021</v>
      </c>
      <c r="E1247" s="285" t="s">
        <v>6933</v>
      </c>
      <c r="F1247" s="285" t="s">
        <v>14883</v>
      </c>
      <c r="G1247" s="285" t="s">
        <v>14884</v>
      </c>
      <c r="H1247" s="285" t="s">
        <v>9597</v>
      </c>
      <c r="I1247" s="285" t="s">
        <v>14885</v>
      </c>
      <c r="J1247" s="285" t="s">
        <v>5012</v>
      </c>
      <c r="K1247" s="285" t="s">
        <v>9474</v>
      </c>
      <c r="L1247" s="285" t="s">
        <v>9467</v>
      </c>
      <c r="M1247" s="285" t="s">
        <v>9383</v>
      </c>
      <c r="N1247" s="287" t="str">
        <f>IFERROR(
    IF(
        AND(
            VLOOKUP(B1247, 'รายชื่อพนักงานลาออกพ้นสภาพ'!B:I, 8, FALSE)&lt;&gt;"ยกเลิกลาออก",
            VLOOKUP(B1247, 'รายชื่อพนักงานลาออกพ้นสภาพ'!B:I, 7, FALSE)&lt;=TODAY()
        ),
        "ลาออกแล้ว",
        ""
    ),
"")</f>
        <v/>
      </c>
      <c r="O1247" s="292" t="str">
        <f t="array" ref="O1247">IFERROR(INDEX(PCRent!C:D, MATCH(F1247 &amp; " " &amp; G1247, PCRent!A:A &amp; " " &amp; PCRent!B:B, 0)), "")</f>
        <v/>
      </c>
      <c r="P1247" s="293"/>
      <c r="Q1247" s="294" t="str">
        <f t="array" ref="Q1247">IFERROR(INDEX(MonitorRent!C:D, MATCH(F1247 &amp; " " &amp; G1247, MonitorRent!A:A &amp; " " &amp; MonitorRent!B:B, 0)), "")</f>
        <v/>
      </c>
      <c r="R1247" s="295"/>
    </row>
    <row r="1248">
      <c r="A1248" s="284">
        <v>1245.0</v>
      </c>
      <c r="B1248" s="285" t="s">
        <v>8566</v>
      </c>
      <c r="C1248" s="285" t="s">
        <v>6918</v>
      </c>
      <c r="D1248" s="286" t="s">
        <v>14886</v>
      </c>
      <c r="E1248" s="285" t="s">
        <v>6933</v>
      </c>
      <c r="F1248" s="285" t="s">
        <v>14887</v>
      </c>
      <c r="G1248" s="285" t="s">
        <v>14888</v>
      </c>
      <c r="H1248" s="285" t="s">
        <v>9597</v>
      </c>
      <c r="I1248" s="285" t="s">
        <v>14889</v>
      </c>
      <c r="J1248" s="285" t="s">
        <v>5224</v>
      </c>
      <c r="K1248" s="285" t="s">
        <v>14002</v>
      </c>
      <c r="L1248" s="285" t="s">
        <v>2208</v>
      </c>
      <c r="M1248" s="285" t="s">
        <v>9383</v>
      </c>
      <c r="N1248" s="287" t="str">
        <f>IFERROR(
    IF(
        AND(
            VLOOKUP(B1248, 'รายชื่อพนักงานลาออกพ้นสภาพ'!B:I, 8, FALSE)&lt;&gt;"ยกเลิกลาออก",
            VLOOKUP(B1248, 'รายชื่อพนักงานลาออกพ้นสภาพ'!B:I, 7, FALSE)&lt;=TODAY()
        ),
        "ลาออกแล้ว",
        ""
    ),
"")</f>
        <v/>
      </c>
      <c r="O1248" s="292" t="str">
        <f t="array" ref="O1248">IFERROR(INDEX(PCRent!C:D, MATCH(F1248 &amp; " " &amp; G1248, PCRent!A:A &amp; " " &amp; PCRent!B:B, 0)), "")</f>
        <v/>
      </c>
      <c r="P1248" s="293"/>
      <c r="Q1248" s="294" t="str">
        <f t="array" ref="Q1248">IFERROR(INDEX(MonitorRent!C:D, MATCH(F1248 &amp; " " &amp; G1248, MonitorRent!A:A &amp; " " &amp; MonitorRent!B:B, 0)), "")</f>
        <v/>
      </c>
      <c r="R1248" s="295"/>
    </row>
    <row r="1249">
      <c r="A1249" s="284">
        <v>1246.0</v>
      </c>
      <c r="B1249" s="285" t="s">
        <v>14890</v>
      </c>
      <c r="C1249" s="285" t="s">
        <v>6918</v>
      </c>
      <c r="D1249" s="286" t="s">
        <v>14158</v>
      </c>
      <c r="E1249" s="285" t="s">
        <v>6933</v>
      </c>
      <c r="F1249" s="285" t="s">
        <v>14891</v>
      </c>
      <c r="G1249" s="285" t="s">
        <v>14892</v>
      </c>
      <c r="H1249" s="285" t="s">
        <v>10528</v>
      </c>
      <c r="I1249" s="285" t="s">
        <v>14893</v>
      </c>
      <c r="J1249" s="285" t="s">
        <v>5012</v>
      </c>
      <c r="K1249" s="285" t="s">
        <v>9466</v>
      </c>
      <c r="L1249" s="285" t="s">
        <v>13067</v>
      </c>
      <c r="M1249" s="285" t="s">
        <v>9383</v>
      </c>
      <c r="N1249" s="287" t="str">
        <f>IFERROR(
    IF(
        AND(
            VLOOKUP(B1249, 'รายชื่อพนักงานลาออกพ้นสภาพ'!B:I, 8, FALSE)&lt;&gt;"ยกเลิกลาออก",
            VLOOKUP(B1249, 'รายชื่อพนักงานลาออกพ้นสภาพ'!B:I, 7, FALSE)&lt;=TODAY()
        ),
        "ลาออกแล้ว",
        ""
    ),
"")</f>
        <v/>
      </c>
      <c r="O1249" s="292" t="str">
        <f t="array" ref="O1249">IFERROR(INDEX(PCRent!C:D, MATCH(F1249 &amp; " " &amp; G1249, PCRent!A:A &amp; " " &amp; PCRent!B:B, 0)), "")</f>
        <v/>
      </c>
      <c r="P1249" s="293"/>
      <c r="Q1249" s="294" t="str">
        <f t="array" ref="Q1249">IFERROR(INDEX(MonitorRent!C:D, MATCH(F1249 &amp; " " &amp; G1249, MonitorRent!A:A &amp; " " &amp; MonitorRent!B:B, 0)), "")</f>
        <v/>
      </c>
      <c r="R1249" s="295"/>
    </row>
    <row r="1250">
      <c r="A1250" s="284">
        <v>1247.0</v>
      </c>
      <c r="B1250" s="285" t="s">
        <v>9183</v>
      </c>
      <c r="C1250" s="285" t="s">
        <v>6918</v>
      </c>
      <c r="D1250" s="286" t="s">
        <v>14894</v>
      </c>
      <c r="E1250" s="285" t="s">
        <v>6921</v>
      </c>
      <c r="F1250" s="285" t="s">
        <v>12864</v>
      </c>
      <c r="G1250" s="285" t="s">
        <v>14895</v>
      </c>
      <c r="H1250" s="285" t="s">
        <v>14896</v>
      </c>
      <c r="I1250" s="285" t="s">
        <v>14897</v>
      </c>
      <c r="J1250" s="285" t="s">
        <v>5224</v>
      </c>
      <c r="K1250" s="285" t="s">
        <v>10056</v>
      </c>
      <c r="L1250" s="285" t="s">
        <v>2265</v>
      </c>
      <c r="M1250" s="285" t="s">
        <v>9383</v>
      </c>
      <c r="N1250" s="287" t="str">
        <f>IFERROR(
    IF(
        AND(
            VLOOKUP(B1250, 'รายชื่อพนักงานลาออกพ้นสภาพ'!B:I, 8, FALSE)&lt;&gt;"ยกเลิกลาออก",
            VLOOKUP(B1250, 'รายชื่อพนักงานลาออกพ้นสภาพ'!B:I, 7, FALSE)&lt;=TODAY()
        ),
        "ลาออกแล้ว",
        ""
    ),
"")</f>
        <v/>
      </c>
      <c r="O1250" s="292" t="str">
        <f t="array" ref="O1250:P1250">IFERROR(INDEX(PCRent!C:D, MATCH(F1250 &amp; " " &amp; G1250, PCRent!A:A &amp; " " &amp; PCRent!B:B, 0)), "")</f>
        <v>SN:2TYNPY3</v>
      </c>
      <c r="P1250" s="293" t="s">
        <v>7048</v>
      </c>
      <c r="Q1250" s="294" t="str">
        <f t="array" ref="Q1250:R1250">IFERROR(INDEX(MonitorRent!C:D, MATCH(F1250 &amp; " " &amp; G1250, MonitorRent!A:A &amp; " " &amp; MonitorRent!B:B, 0)), "")</f>
        <v>SN:B3Z32Y3</v>
      </c>
      <c r="R1250" s="295" t="s">
        <v>7050</v>
      </c>
    </row>
    <row r="1251">
      <c r="A1251" s="284">
        <v>1248.0</v>
      </c>
      <c r="B1251" s="285" t="s">
        <v>8288</v>
      </c>
      <c r="C1251" s="285" t="s">
        <v>6918</v>
      </c>
      <c r="D1251" s="286" t="s">
        <v>11877</v>
      </c>
      <c r="E1251" s="285" t="s">
        <v>7239</v>
      </c>
      <c r="F1251" s="285" t="s">
        <v>14898</v>
      </c>
      <c r="G1251" s="285" t="s">
        <v>14899</v>
      </c>
      <c r="H1251" s="285" t="s">
        <v>14900</v>
      </c>
      <c r="I1251" s="285" t="s">
        <v>14901</v>
      </c>
      <c r="J1251" s="285" t="s">
        <v>5224</v>
      </c>
      <c r="K1251" s="285" t="s">
        <v>4835</v>
      </c>
      <c r="L1251" s="285" t="s">
        <v>2730</v>
      </c>
      <c r="M1251" s="285" t="s">
        <v>9383</v>
      </c>
      <c r="N1251" s="287" t="str">
        <f>IFERROR(
    IF(
        AND(
            VLOOKUP(B1251, 'รายชื่อพนักงานลาออกพ้นสภาพ'!B:I, 8, FALSE)&lt;&gt;"ยกเลิกลาออก",
            VLOOKUP(B1251, 'รายชื่อพนักงานลาออกพ้นสภาพ'!B:I, 7, FALSE)&lt;=TODAY()
        ),
        "ลาออกแล้ว",
        ""
    ),
"")</f>
        <v/>
      </c>
      <c r="O1251" s="292" t="str">
        <f t="array" ref="O1251">IFERROR(INDEX(PCRent!C:D, MATCH(F1251 &amp; " " &amp; G1251, PCRent!A:A &amp; " " &amp; PCRent!B:B, 0)), "")</f>
        <v/>
      </c>
      <c r="P1251" s="293"/>
      <c r="Q1251" s="294" t="str">
        <f t="array" ref="Q1251">IFERROR(INDEX(MonitorRent!C:D, MATCH(F1251 &amp; " " &amp; G1251, MonitorRent!A:A &amp; " " &amp; MonitorRent!B:B, 0)), "")</f>
        <v/>
      </c>
      <c r="R1251" s="295"/>
    </row>
    <row r="1252">
      <c r="A1252" s="284">
        <v>1249.0</v>
      </c>
      <c r="B1252" s="285" t="s">
        <v>8571</v>
      </c>
      <c r="C1252" s="285" t="s">
        <v>6918</v>
      </c>
      <c r="D1252" s="286" t="s">
        <v>14902</v>
      </c>
      <c r="E1252" s="285" t="s">
        <v>6933</v>
      </c>
      <c r="F1252" s="285" t="s">
        <v>14903</v>
      </c>
      <c r="G1252" s="285" t="s">
        <v>14904</v>
      </c>
      <c r="H1252" s="285" t="s">
        <v>9637</v>
      </c>
      <c r="I1252" s="285" t="s">
        <v>14905</v>
      </c>
      <c r="J1252" s="285" t="s">
        <v>5224</v>
      </c>
      <c r="K1252" s="285" t="s">
        <v>10056</v>
      </c>
      <c r="L1252" s="285" t="s">
        <v>2208</v>
      </c>
      <c r="M1252" s="285" t="s">
        <v>9383</v>
      </c>
      <c r="N1252" s="287" t="str">
        <f>IFERROR(
    IF(
        AND(
            VLOOKUP(B1252, 'รายชื่อพนักงานลาออกพ้นสภาพ'!B:I, 8, FALSE)&lt;&gt;"ยกเลิกลาออก",
            VLOOKUP(B1252, 'รายชื่อพนักงานลาออกพ้นสภาพ'!B:I, 7, FALSE)&lt;=TODAY()
        ),
        "ลาออกแล้ว",
        ""
    ),
"")</f>
        <v/>
      </c>
      <c r="O1252" s="292" t="str">
        <f t="array" ref="O1252">IFERROR(INDEX(PCRent!C:D, MATCH(F1252 &amp; " " &amp; G1252, PCRent!A:A &amp; " " &amp; PCRent!B:B, 0)), "")</f>
        <v/>
      </c>
      <c r="P1252" s="293"/>
      <c r="Q1252" s="294" t="str">
        <f t="array" ref="Q1252">IFERROR(INDEX(MonitorRent!C:D, MATCH(F1252 &amp; " " &amp; G1252, MonitorRent!A:A &amp; " " &amp; MonitorRent!B:B, 0)), "")</f>
        <v/>
      </c>
      <c r="R1252" s="295"/>
    </row>
    <row r="1253">
      <c r="A1253" s="284">
        <v>1250.0</v>
      </c>
      <c r="B1253" s="285" t="s">
        <v>6974</v>
      </c>
      <c r="C1253" s="285" t="s">
        <v>6918</v>
      </c>
      <c r="D1253" s="286" t="s">
        <v>13106</v>
      </c>
      <c r="E1253" s="285" t="s">
        <v>6921</v>
      </c>
      <c r="F1253" s="285" t="s">
        <v>14906</v>
      </c>
      <c r="G1253" s="285" t="s">
        <v>14907</v>
      </c>
      <c r="H1253" s="285" t="s">
        <v>9659</v>
      </c>
      <c r="I1253" s="285" t="s">
        <v>14908</v>
      </c>
      <c r="J1253" s="285" t="s">
        <v>5224</v>
      </c>
      <c r="K1253" s="285" t="s">
        <v>13087</v>
      </c>
      <c r="L1253" s="285" t="s">
        <v>13699</v>
      </c>
      <c r="M1253" s="285" t="s">
        <v>9383</v>
      </c>
      <c r="N1253" s="287" t="str">
        <f>IFERROR(
    IF(
        AND(
            VLOOKUP(B1253, 'รายชื่อพนักงานลาออกพ้นสภาพ'!B:I, 8, FALSE)&lt;&gt;"ยกเลิกลาออก",
            VLOOKUP(B1253, 'รายชื่อพนักงานลาออกพ้นสภาพ'!B:I, 7, FALSE)&lt;=TODAY()
        ),
        "ลาออกแล้ว",
        ""
    ),
"")</f>
        <v/>
      </c>
      <c r="O1253" s="292" t="str">
        <f t="array" ref="O1253:P1253">IFERROR(INDEX(PCRent!C:D, MATCH(F1253 &amp; " " &amp; G1253, PCRent!A:A &amp; " " &amp; PCRent!B:B, 0)), "")</f>
        <v>SN:MP2EJ7GW</v>
      </c>
      <c r="P1253" s="293" t="s">
        <v>6993</v>
      </c>
      <c r="Q1253" s="294" t="str">
        <f t="array" ref="Q1253">IFERROR(INDEX(MonitorRent!C:D, MATCH(F1253 &amp; " " &amp; G1253, MonitorRent!A:A &amp; " " &amp; MonitorRent!B:B, 0)), "")</f>
        <v/>
      </c>
      <c r="R1253" s="295"/>
    </row>
    <row r="1254">
      <c r="A1254" s="284">
        <v>1251.0</v>
      </c>
      <c r="B1254" s="285" t="s">
        <v>14909</v>
      </c>
      <c r="C1254" s="285" t="s">
        <v>6918</v>
      </c>
      <c r="D1254" s="286" t="s">
        <v>11048</v>
      </c>
      <c r="E1254" s="285" t="s">
        <v>6921</v>
      </c>
      <c r="F1254" s="285" t="s">
        <v>14910</v>
      </c>
      <c r="G1254" s="285" t="s">
        <v>14911</v>
      </c>
      <c r="H1254" s="285" t="s">
        <v>9413</v>
      </c>
      <c r="I1254" s="285" t="s">
        <v>14912</v>
      </c>
      <c r="J1254" s="285" t="s">
        <v>5012</v>
      </c>
      <c r="K1254" s="285" t="s">
        <v>6322</v>
      </c>
      <c r="L1254" s="285" t="s">
        <v>13209</v>
      </c>
      <c r="M1254" s="285" t="s">
        <v>9383</v>
      </c>
      <c r="N1254" s="287" t="str">
        <f>IFERROR(
    IF(
        AND(
            VLOOKUP(B1254, 'รายชื่อพนักงานลาออกพ้นสภาพ'!B:I, 8, FALSE)&lt;&gt;"ยกเลิกลาออก",
            VLOOKUP(B1254, 'รายชื่อพนักงานลาออกพ้นสภาพ'!B:I, 7, FALSE)&lt;=TODAY()
        ),
        "ลาออกแล้ว",
        ""
    ),
"")</f>
        <v/>
      </c>
      <c r="O1254" s="292" t="str">
        <f t="array" ref="O1254">IFERROR(INDEX(PCRent!C:D, MATCH(F1254 &amp; " " &amp; G1254, PCRent!A:A &amp; " " &amp; PCRent!B:B, 0)), "")</f>
        <v/>
      </c>
      <c r="P1254" s="293"/>
      <c r="Q1254" s="294" t="str">
        <f t="array" ref="Q1254">IFERROR(INDEX(MonitorRent!C:D, MATCH(F1254 &amp; " " &amp; G1254, MonitorRent!A:A &amp; " " &amp; MonitorRent!B:B, 0)), "")</f>
        <v/>
      </c>
      <c r="R1254" s="295"/>
    </row>
    <row r="1255">
      <c r="A1255" s="284">
        <v>1252.0</v>
      </c>
      <c r="B1255" s="285" t="s">
        <v>8031</v>
      </c>
      <c r="C1255" s="285" t="s">
        <v>6918</v>
      </c>
      <c r="D1255" s="286" t="s">
        <v>12703</v>
      </c>
      <c r="E1255" s="285" t="s">
        <v>6921</v>
      </c>
      <c r="F1255" s="285" t="s">
        <v>14913</v>
      </c>
      <c r="G1255" s="285" t="s">
        <v>14914</v>
      </c>
      <c r="H1255" s="285" t="s">
        <v>10879</v>
      </c>
      <c r="I1255" s="285" t="s">
        <v>14915</v>
      </c>
      <c r="J1255" s="285" t="s">
        <v>5224</v>
      </c>
      <c r="K1255" s="285" t="s">
        <v>14916</v>
      </c>
      <c r="L1255" s="285" t="s">
        <v>2165</v>
      </c>
      <c r="M1255" s="285" t="s">
        <v>9383</v>
      </c>
      <c r="N1255" s="287" t="str">
        <f>IFERROR(
    IF(
        AND(
            VLOOKUP(B1255, 'รายชื่อพนักงานลาออกพ้นสภาพ'!B:I, 8, FALSE)&lt;&gt;"ยกเลิกลาออก",
            VLOOKUP(B1255, 'รายชื่อพนักงานลาออกพ้นสภาพ'!B:I, 7, FALSE)&lt;=TODAY()
        ),
        "ลาออกแล้ว",
        ""
    ),
"")</f>
        <v/>
      </c>
      <c r="O1255" s="292" t="str">
        <f t="array" ref="O1255">IFERROR(INDEX(PCRent!C:D, MATCH(F1255 &amp; " " &amp; G1255, PCRent!A:A &amp; " " &amp; PCRent!B:B, 0)), "")</f>
        <v/>
      </c>
      <c r="P1255" s="293"/>
      <c r="Q1255" s="294" t="str">
        <f t="array" ref="Q1255">IFERROR(INDEX(MonitorRent!C:D, MATCH(F1255 &amp; " " &amp; G1255, MonitorRent!A:A &amp; " " &amp; MonitorRent!B:B, 0)), "")</f>
        <v/>
      </c>
      <c r="R1255" s="295"/>
    </row>
    <row r="1256">
      <c r="A1256" s="284">
        <v>1253.0</v>
      </c>
      <c r="B1256" s="285" t="s">
        <v>151</v>
      </c>
      <c r="C1256" s="285" t="s">
        <v>6918</v>
      </c>
      <c r="D1256" s="286" t="s">
        <v>12411</v>
      </c>
      <c r="E1256" s="285" t="s">
        <v>6921</v>
      </c>
      <c r="F1256" s="285" t="s">
        <v>14917</v>
      </c>
      <c r="G1256" s="285" t="s">
        <v>14918</v>
      </c>
      <c r="H1256" s="285" t="s">
        <v>7239</v>
      </c>
      <c r="I1256" s="285" t="s">
        <v>155</v>
      </c>
      <c r="J1256" s="285" t="s">
        <v>5224</v>
      </c>
      <c r="K1256" s="285" t="s">
        <v>10028</v>
      </c>
      <c r="L1256" s="285" t="s">
        <v>3179</v>
      </c>
      <c r="M1256" s="285" t="s">
        <v>9383</v>
      </c>
      <c r="N1256" s="287" t="str">
        <f>IFERROR(
    IF(
        AND(
            VLOOKUP(B1256, 'รายชื่อพนักงานลาออกพ้นสภาพ'!B:I, 8, FALSE)&lt;&gt;"ยกเลิกลาออก",
            VLOOKUP(B1256, 'รายชื่อพนักงานลาออกพ้นสภาพ'!B:I, 7, FALSE)&lt;=TODAY()
        ),
        "ลาออกแล้ว",
        ""
    ),
"")</f>
        <v>ลาออกแล้ว</v>
      </c>
      <c r="O1256" s="292" t="str">
        <f t="array" ref="O1256:P1256">IFERROR(INDEX(PCRent!C:D, MATCH(F1256 &amp; " " &amp; G1256, PCRent!A:A &amp; " " &amp; PCRent!B:B, 0)), "")</f>
        <v>SN:4BSY6X3</v>
      </c>
      <c r="P1256" s="293" t="s">
        <v>7048</v>
      </c>
      <c r="Q1256" s="294" t="str">
        <f t="array" ref="Q1256:R1256">IFERROR(INDEX(MonitorRent!C:D, MATCH(F1256 &amp; " " &amp; G1256, MonitorRent!A:A &amp; " " &amp; MonitorRent!B:B, 0)), "")</f>
        <v>SN:F0Q6ZV3</v>
      </c>
      <c r="R1256" s="295" t="s">
        <v>7050</v>
      </c>
    </row>
    <row r="1257">
      <c r="A1257" s="284">
        <v>1254.0</v>
      </c>
      <c r="B1257" s="285" t="s">
        <v>8204</v>
      </c>
      <c r="C1257" s="285" t="s">
        <v>6918</v>
      </c>
      <c r="D1257" s="286" t="s">
        <v>9405</v>
      </c>
      <c r="E1257" s="285" t="s">
        <v>6933</v>
      </c>
      <c r="F1257" s="285" t="s">
        <v>14919</v>
      </c>
      <c r="G1257" s="285" t="s">
        <v>14920</v>
      </c>
      <c r="H1257" s="285" t="s">
        <v>10491</v>
      </c>
      <c r="I1257" s="285" t="s">
        <v>14921</v>
      </c>
      <c r="J1257" s="285" t="s">
        <v>5224</v>
      </c>
      <c r="K1257" s="285" t="s">
        <v>13029</v>
      </c>
      <c r="L1257" s="285" t="s">
        <v>13045</v>
      </c>
      <c r="M1257" s="285" t="s">
        <v>9383</v>
      </c>
      <c r="N1257" s="287" t="str">
        <f>IFERROR(
    IF(
        AND(
            VLOOKUP(B1257, 'รายชื่อพนักงานลาออกพ้นสภาพ'!B:I, 8, FALSE)&lt;&gt;"ยกเลิกลาออก",
            VLOOKUP(B1257, 'รายชื่อพนักงานลาออกพ้นสภาพ'!B:I, 7, FALSE)&lt;=TODAY()
        ),
        "ลาออกแล้ว",
        ""
    ),
"")</f>
        <v/>
      </c>
      <c r="O1257" s="292" t="str">
        <f t="array" ref="O1257:P1257">IFERROR(INDEX(PCRent!C:D, MATCH(F1257 &amp; " " &amp; G1257, PCRent!A:A &amp; " " &amp; PCRent!B:B, 0)), "")</f>
        <v>SN:MP2EHYAQ</v>
      </c>
      <c r="P1257" s="293" t="s">
        <v>6993</v>
      </c>
      <c r="Q1257" s="294" t="str">
        <f t="array" ref="Q1257">IFERROR(INDEX(MonitorRent!C:D, MATCH(F1257 &amp; " " &amp; G1257, MonitorRent!A:A &amp; " " &amp; MonitorRent!B:B, 0)), "")</f>
        <v/>
      </c>
      <c r="R1257" s="295"/>
    </row>
    <row r="1258">
      <c r="A1258" s="284">
        <v>1255.0</v>
      </c>
      <c r="B1258" s="285" t="s">
        <v>14922</v>
      </c>
      <c r="C1258" s="285" t="s">
        <v>6918</v>
      </c>
      <c r="D1258" s="286" t="s">
        <v>10729</v>
      </c>
      <c r="E1258" s="285" t="s">
        <v>6933</v>
      </c>
      <c r="F1258" s="285" t="s">
        <v>14923</v>
      </c>
      <c r="G1258" s="285" t="s">
        <v>14924</v>
      </c>
      <c r="H1258" s="285" t="s">
        <v>10491</v>
      </c>
      <c r="I1258" s="285" t="s">
        <v>14925</v>
      </c>
      <c r="J1258" s="285" t="s">
        <v>5012</v>
      </c>
      <c r="K1258" s="285" t="s">
        <v>9474</v>
      </c>
      <c r="L1258" s="285" t="s">
        <v>13372</v>
      </c>
      <c r="M1258" s="285" t="s">
        <v>9383</v>
      </c>
      <c r="N1258" s="287" t="str">
        <f>IFERROR(
    IF(
        AND(
            VLOOKUP(B1258, 'รายชื่อพนักงานลาออกพ้นสภาพ'!B:I, 8, FALSE)&lt;&gt;"ยกเลิกลาออก",
            VLOOKUP(B1258, 'รายชื่อพนักงานลาออกพ้นสภาพ'!B:I, 7, FALSE)&lt;=TODAY()
        ),
        "ลาออกแล้ว",
        ""
    ),
"")</f>
        <v/>
      </c>
      <c r="O1258" s="292" t="str">
        <f t="array" ref="O1258">IFERROR(INDEX(PCRent!C:D, MATCH(F1258 &amp; " " &amp; G1258, PCRent!A:A &amp; " " &amp; PCRent!B:B, 0)), "")</f>
        <v/>
      </c>
      <c r="P1258" s="293"/>
      <c r="Q1258" s="294" t="str">
        <f t="array" ref="Q1258">IFERROR(INDEX(MonitorRent!C:D, MATCH(F1258 &amp; " " &amp; G1258, MonitorRent!A:A &amp; " " &amp; MonitorRent!B:B, 0)), "")</f>
        <v/>
      </c>
      <c r="R1258" s="295"/>
    </row>
    <row r="1259">
      <c r="A1259" s="284">
        <v>1256.0</v>
      </c>
      <c r="B1259" s="285" t="s">
        <v>8904</v>
      </c>
      <c r="C1259" s="285" t="s">
        <v>6918</v>
      </c>
      <c r="D1259" s="286" t="s">
        <v>14926</v>
      </c>
      <c r="E1259" s="285" t="s">
        <v>6933</v>
      </c>
      <c r="F1259" s="285" t="s">
        <v>14927</v>
      </c>
      <c r="G1259" s="285" t="s">
        <v>14928</v>
      </c>
      <c r="H1259" s="285" t="s">
        <v>14929</v>
      </c>
      <c r="I1259" s="285" t="s">
        <v>14930</v>
      </c>
      <c r="J1259" s="285" t="s">
        <v>5012</v>
      </c>
      <c r="K1259" s="285" t="s">
        <v>2062</v>
      </c>
      <c r="L1259" s="285" t="s">
        <v>8906</v>
      </c>
      <c r="M1259" s="285" t="s">
        <v>9383</v>
      </c>
      <c r="N1259" s="287" t="str">
        <f>IFERROR(
    IF(
        AND(
            VLOOKUP(B1259, 'รายชื่อพนักงานลาออกพ้นสภาพ'!B:I, 8, FALSE)&lt;&gt;"ยกเลิกลาออก",
            VLOOKUP(B1259, 'รายชื่อพนักงานลาออกพ้นสภาพ'!B:I, 7, FALSE)&lt;=TODAY()
        ),
        "ลาออกแล้ว",
        ""
    ),
"")</f>
        <v/>
      </c>
      <c r="O1259" s="292" t="str">
        <f t="array" ref="O1259:P1259">IFERROR(INDEX(PCRent!C:D, MATCH(F1259 &amp; " " &amp; G1259, PCRent!A:A &amp; " " &amp; PCRent!B:B, 0)), "")</f>
        <v>SN:MP2EJ2XY</v>
      </c>
      <c r="P1259" s="293" t="s">
        <v>6993</v>
      </c>
      <c r="Q1259" s="294" t="str">
        <f t="array" ref="Q1259">IFERROR(INDEX(MonitorRent!C:D, MATCH(F1259 &amp; " " &amp; G1259, MonitorRent!A:A &amp; " " &amp; MonitorRent!B:B, 0)), "")</f>
        <v/>
      </c>
      <c r="R1259" s="295"/>
    </row>
    <row r="1260">
      <c r="A1260" s="284">
        <v>1257.0</v>
      </c>
      <c r="B1260" s="285" t="s">
        <v>4782</v>
      </c>
      <c r="C1260" s="285" t="s">
        <v>6918</v>
      </c>
      <c r="D1260" s="286" t="s">
        <v>10485</v>
      </c>
      <c r="E1260" s="285" t="s">
        <v>6921</v>
      </c>
      <c r="F1260" s="285" t="s">
        <v>14931</v>
      </c>
      <c r="G1260" s="285" t="s">
        <v>14932</v>
      </c>
      <c r="H1260" s="285" t="s">
        <v>10086</v>
      </c>
      <c r="I1260" s="285" t="s">
        <v>4783</v>
      </c>
      <c r="J1260" s="285" t="s">
        <v>5224</v>
      </c>
      <c r="K1260" s="285" t="s">
        <v>4780</v>
      </c>
      <c r="L1260" s="285" t="s">
        <v>14135</v>
      </c>
      <c r="M1260" s="285" t="s">
        <v>9383</v>
      </c>
      <c r="N1260" s="287" t="str">
        <f>IFERROR(
    IF(
        AND(
            VLOOKUP(B1260, 'รายชื่อพนักงานลาออกพ้นสภาพ'!B:I, 8, FALSE)&lt;&gt;"ยกเลิกลาออก",
            VLOOKUP(B1260, 'รายชื่อพนักงานลาออกพ้นสภาพ'!B:I, 7, FALSE)&lt;=TODAY()
        ),
        "ลาออกแล้ว",
        ""
    ),
"")</f>
        <v/>
      </c>
      <c r="O1260" s="292" t="str">
        <f t="array" ref="O1260">IFERROR(INDEX(PCRent!C:D, MATCH(F1260 &amp; " " &amp; G1260, PCRent!A:A &amp; " " &amp; PCRent!B:B, 0)), "")</f>
        <v/>
      </c>
      <c r="P1260" s="293"/>
      <c r="Q1260" s="294" t="str">
        <f t="array" ref="Q1260">IFERROR(INDEX(MonitorRent!C:D, MATCH(F1260 &amp; " " &amp; G1260, MonitorRent!A:A &amp; " " &amp; MonitorRent!B:B, 0)), "")</f>
        <v/>
      </c>
      <c r="R1260" s="295"/>
    </row>
    <row r="1261">
      <c r="A1261" s="284">
        <v>1258.0</v>
      </c>
      <c r="B1261" s="285" t="s">
        <v>14933</v>
      </c>
      <c r="C1261" s="285" t="s">
        <v>6918</v>
      </c>
      <c r="D1261" s="286" t="s">
        <v>14934</v>
      </c>
      <c r="E1261" s="285" t="s">
        <v>6921</v>
      </c>
      <c r="F1261" s="285" t="s">
        <v>14935</v>
      </c>
      <c r="G1261" s="285" t="s">
        <v>14936</v>
      </c>
      <c r="H1261" s="285" t="s">
        <v>13789</v>
      </c>
      <c r="I1261" s="285" t="s">
        <v>14937</v>
      </c>
      <c r="J1261" s="285" t="s">
        <v>5012</v>
      </c>
      <c r="K1261" s="285" t="s">
        <v>13076</v>
      </c>
      <c r="L1261" s="285" t="s">
        <v>9812</v>
      </c>
      <c r="M1261" s="285" t="s">
        <v>9391</v>
      </c>
      <c r="N1261" s="287" t="str">
        <f>IFERROR(
    IF(
        AND(
            VLOOKUP(B1261, 'รายชื่อพนักงานลาออกพ้นสภาพ'!B:I, 8, FALSE)&lt;&gt;"ยกเลิกลาออก",
            VLOOKUP(B1261, 'รายชื่อพนักงานลาออกพ้นสภาพ'!B:I, 7, FALSE)&lt;=TODAY()
        ),
        "ลาออกแล้ว",
        ""
    ),
"")</f>
        <v/>
      </c>
      <c r="O1261" s="292" t="str">
        <f t="array" ref="O1261:P1261">IFERROR(INDEX(PCRent!C:D, MATCH(F1261 &amp; " " &amp; G1261, PCRent!A:A &amp; " " &amp; PCRent!B:B, 0)), "")</f>
        <v>SN:5DD0HY3</v>
      </c>
      <c r="P1261" s="293" t="s">
        <v>7048</v>
      </c>
      <c r="Q1261" s="294" t="str">
        <f t="array" ref="Q1261:R1261">IFERROR(INDEX(MonitorRent!C:D, MATCH(F1261 &amp; " " &amp; G1261, MonitorRent!A:A &amp; " " &amp; MonitorRent!B:B, 0)), "")</f>
        <v>SN:72MKYV3</v>
      </c>
      <c r="R1261" s="295" t="s">
        <v>7050</v>
      </c>
    </row>
    <row r="1262">
      <c r="A1262" s="284">
        <v>1259.0</v>
      </c>
      <c r="B1262" s="285" t="s">
        <v>6964</v>
      </c>
      <c r="C1262" s="285" t="s">
        <v>6918</v>
      </c>
      <c r="D1262" s="286" t="s">
        <v>14938</v>
      </c>
      <c r="E1262" s="285" t="s">
        <v>6921</v>
      </c>
      <c r="F1262" s="285" t="s">
        <v>14939</v>
      </c>
      <c r="G1262" s="285" t="s">
        <v>14940</v>
      </c>
      <c r="H1262" s="285" t="s">
        <v>9413</v>
      </c>
      <c r="I1262" s="285" t="s">
        <v>14941</v>
      </c>
      <c r="J1262" s="285" t="s">
        <v>5224</v>
      </c>
      <c r="K1262" s="285" t="s">
        <v>14942</v>
      </c>
      <c r="L1262" s="285" t="s">
        <v>6935</v>
      </c>
      <c r="M1262" s="285" t="s">
        <v>9383</v>
      </c>
      <c r="N1262" s="287" t="str">
        <f>IFERROR(
    IF(
        AND(
            VLOOKUP(B1262, 'รายชื่อพนักงานลาออกพ้นสภาพ'!B:I, 8, FALSE)&lt;&gt;"ยกเลิกลาออก",
            VLOOKUP(B1262, 'รายชื่อพนักงานลาออกพ้นสภาพ'!B:I, 7, FALSE)&lt;=TODAY()
        ),
        "ลาออกแล้ว",
        ""
    ),
"")</f>
        <v/>
      </c>
      <c r="O1262" s="292" t="str">
        <f t="array" ref="O1262:P1262">IFERROR(INDEX(PCRent!C:D, MATCH(F1262 &amp; " " &amp; G1262, PCRent!A:A &amp; " " &amp; PCRent!B:B, 0)), "")</f>
        <v>SN:MP2E2VRW</v>
      </c>
      <c r="P1262" s="293" t="s">
        <v>6993</v>
      </c>
      <c r="Q1262" s="294" t="str">
        <f t="array" ref="Q1262">IFERROR(INDEX(MonitorRent!C:D, MATCH(F1262 &amp; " " &amp; G1262, MonitorRent!A:A &amp; " " &amp; MonitorRent!B:B, 0)), "")</f>
        <v/>
      </c>
      <c r="R1262" s="295"/>
    </row>
    <row r="1263">
      <c r="A1263" s="284">
        <v>1260.0</v>
      </c>
      <c r="B1263" s="285" t="s">
        <v>14943</v>
      </c>
      <c r="C1263" s="285" t="s">
        <v>6918</v>
      </c>
      <c r="D1263" s="286" t="s">
        <v>11371</v>
      </c>
      <c r="E1263" s="285" t="s">
        <v>6933</v>
      </c>
      <c r="F1263" s="285" t="s">
        <v>14944</v>
      </c>
      <c r="G1263" s="285" t="s">
        <v>14945</v>
      </c>
      <c r="H1263" s="285" t="s">
        <v>14946</v>
      </c>
      <c r="I1263" s="285" t="s">
        <v>14947</v>
      </c>
      <c r="J1263" s="285" t="s">
        <v>5012</v>
      </c>
      <c r="K1263" s="285" t="s">
        <v>1363</v>
      </c>
      <c r="L1263" s="285" t="s">
        <v>14139</v>
      </c>
      <c r="M1263" s="285" t="s">
        <v>9383</v>
      </c>
      <c r="N1263" s="287" t="str">
        <f>IFERROR(
    IF(
        AND(
            VLOOKUP(B1263, 'รายชื่อพนักงานลาออกพ้นสภาพ'!B:I, 8, FALSE)&lt;&gt;"ยกเลิกลาออก",
            VLOOKUP(B1263, 'รายชื่อพนักงานลาออกพ้นสภาพ'!B:I, 7, FALSE)&lt;=TODAY()
        ),
        "ลาออกแล้ว",
        ""
    ),
"")</f>
        <v/>
      </c>
      <c r="O1263" s="292" t="str">
        <f t="array" ref="O1263:P1263">IFERROR(INDEX(PCRent!C:D, MATCH(F1263 &amp; " " &amp; G1263, PCRent!A:A &amp; " " &amp; PCRent!B:B, 0)), "")</f>
        <v>SN:MP2ESXTM</v>
      </c>
      <c r="P1263" s="293" t="s">
        <v>7070</v>
      </c>
      <c r="Q1263" s="294" t="str">
        <f t="array" ref="Q1263">IFERROR(INDEX(MonitorRent!C:D, MATCH(F1263 &amp; " " &amp; G1263, MonitorRent!A:A &amp; " " &amp; MonitorRent!B:B, 0)), "")</f>
        <v/>
      </c>
      <c r="R1263" s="295"/>
    </row>
    <row r="1264">
      <c r="A1264" s="284">
        <v>1261.0</v>
      </c>
      <c r="B1264" s="285" t="s">
        <v>14948</v>
      </c>
      <c r="C1264" s="285" t="s">
        <v>6918</v>
      </c>
      <c r="D1264" s="286" t="s">
        <v>13021</v>
      </c>
      <c r="E1264" s="285" t="s">
        <v>6921</v>
      </c>
      <c r="F1264" s="285" t="s">
        <v>14949</v>
      </c>
      <c r="G1264" s="285" t="s">
        <v>14950</v>
      </c>
      <c r="H1264" s="285" t="s">
        <v>14951</v>
      </c>
      <c r="I1264" s="285" t="s">
        <v>14952</v>
      </c>
      <c r="J1264" s="285" t="s">
        <v>5012</v>
      </c>
      <c r="K1264" s="285" t="s">
        <v>9560</v>
      </c>
      <c r="L1264" s="285" t="s">
        <v>13057</v>
      </c>
      <c r="M1264" s="285" t="s">
        <v>9383</v>
      </c>
      <c r="N1264" s="287" t="str">
        <f>IFERROR(
    IF(
        AND(
            VLOOKUP(B1264, 'รายชื่อพนักงานลาออกพ้นสภาพ'!B:I, 8, FALSE)&lt;&gt;"ยกเลิกลาออก",
            VLOOKUP(B1264, 'รายชื่อพนักงานลาออกพ้นสภาพ'!B:I, 7, FALSE)&lt;=TODAY()
        ),
        "ลาออกแล้ว",
        ""
    ),
"")</f>
        <v/>
      </c>
      <c r="O1264" s="292" t="str">
        <f t="array" ref="O1264">IFERROR(INDEX(PCRent!C:D, MATCH(F1264 &amp; " " &amp; G1264, PCRent!A:A &amp; " " &amp; PCRent!B:B, 0)), "")</f>
        <v/>
      </c>
      <c r="P1264" s="293"/>
      <c r="Q1264" s="294" t="str">
        <f t="array" ref="Q1264">IFERROR(INDEX(MonitorRent!C:D, MATCH(F1264 &amp; " " &amp; G1264, MonitorRent!A:A &amp; " " &amp; MonitorRent!B:B, 0)), "")</f>
        <v/>
      </c>
      <c r="R1264" s="295"/>
    </row>
    <row r="1265">
      <c r="A1265" s="284">
        <v>1262.0</v>
      </c>
      <c r="B1265" s="285" t="s">
        <v>114</v>
      </c>
      <c r="C1265" s="285" t="s">
        <v>6918</v>
      </c>
      <c r="D1265" s="286" t="s">
        <v>14953</v>
      </c>
      <c r="E1265" s="285" t="s">
        <v>6921</v>
      </c>
      <c r="F1265" s="285" t="s">
        <v>14954</v>
      </c>
      <c r="G1265" s="285" t="s">
        <v>14955</v>
      </c>
      <c r="H1265" s="285" t="s">
        <v>14956</v>
      </c>
      <c r="I1265" s="285" t="s">
        <v>118</v>
      </c>
      <c r="J1265" s="285" t="s">
        <v>5224</v>
      </c>
      <c r="K1265" s="285" t="s">
        <v>4749</v>
      </c>
      <c r="L1265" s="285" t="s">
        <v>117</v>
      </c>
      <c r="M1265" s="285" t="s">
        <v>9383</v>
      </c>
      <c r="N1265" s="287" t="str">
        <f>IFERROR(
    IF(
        AND(
            VLOOKUP(B1265, 'รายชื่อพนักงานลาออกพ้นสภาพ'!B:I, 8, FALSE)&lt;&gt;"ยกเลิกลาออก",
            VLOOKUP(B1265, 'รายชื่อพนักงานลาออกพ้นสภาพ'!B:I, 7, FALSE)&lt;=TODAY()
        ),
        "ลาออกแล้ว",
        ""
    ),
"")</f>
        <v>ลาออกแล้ว</v>
      </c>
      <c r="O1265" s="292" t="str">
        <f t="array" ref="O1265">IFERROR(INDEX(PCRent!C:D, MATCH(F1265 &amp; " " &amp; G1265, PCRent!A:A &amp; " " &amp; PCRent!B:B, 0)), "")</f>
        <v/>
      </c>
      <c r="P1265" s="293"/>
      <c r="Q1265" s="294" t="str">
        <f t="array" ref="Q1265">IFERROR(INDEX(MonitorRent!C:D, MATCH(F1265 &amp; " " &amp; G1265, MonitorRent!A:A &amp; " " &amp; MonitorRent!B:B, 0)), "")</f>
        <v/>
      </c>
      <c r="R1265" s="295"/>
    </row>
    <row r="1266">
      <c r="A1266" s="284">
        <v>1263.0</v>
      </c>
      <c r="B1266" s="285" t="s">
        <v>8555</v>
      </c>
      <c r="C1266" s="285" t="s">
        <v>6918</v>
      </c>
      <c r="D1266" s="286" t="s">
        <v>14957</v>
      </c>
      <c r="E1266" s="285" t="s">
        <v>6921</v>
      </c>
      <c r="F1266" s="285" t="s">
        <v>14958</v>
      </c>
      <c r="G1266" s="285" t="s">
        <v>14959</v>
      </c>
      <c r="H1266" s="285" t="s">
        <v>14320</v>
      </c>
      <c r="I1266" s="285" t="s">
        <v>14960</v>
      </c>
      <c r="J1266" s="285" t="s">
        <v>5224</v>
      </c>
      <c r="K1266" s="285" t="s">
        <v>4835</v>
      </c>
      <c r="L1266" s="285" t="s">
        <v>2208</v>
      </c>
      <c r="M1266" s="285" t="s">
        <v>9383</v>
      </c>
      <c r="N1266" s="287" t="str">
        <f>IFERROR(
    IF(
        AND(
            VLOOKUP(B1266, 'รายชื่อพนักงานลาออกพ้นสภาพ'!B:I, 8, FALSE)&lt;&gt;"ยกเลิกลาออก",
            VLOOKUP(B1266, 'รายชื่อพนักงานลาออกพ้นสภาพ'!B:I, 7, FALSE)&lt;=TODAY()
        ),
        "ลาออกแล้ว",
        ""
    ),
"")</f>
        <v/>
      </c>
      <c r="O1266" s="292" t="str">
        <f t="array" ref="O1266">IFERROR(INDEX(PCRent!C:D, MATCH(F1266 &amp; " " &amp; G1266, PCRent!A:A &amp; " " &amp; PCRent!B:B, 0)), "")</f>
        <v/>
      </c>
      <c r="P1266" s="293"/>
      <c r="Q1266" s="294" t="str">
        <f t="array" ref="Q1266">IFERROR(INDEX(MonitorRent!C:D, MATCH(F1266 &amp; " " &amp; G1266, MonitorRent!A:A &amp; " " &amp; MonitorRent!B:B, 0)), "")</f>
        <v/>
      </c>
      <c r="R1266" s="295"/>
    </row>
    <row r="1267">
      <c r="A1267" s="284">
        <v>1264.0</v>
      </c>
      <c r="B1267" s="285" t="s">
        <v>14961</v>
      </c>
      <c r="C1267" s="285" t="s">
        <v>6918</v>
      </c>
      <c r="D1267" s="286" t="s">
        <v>10138</v>
      </c>
      <c r="E1267" s="285" t="s">
        <v>6921</v>
      </c>
      <c r="F1267" s="285" t="s">
        <v>14962</v>
      </c>
      <c r="G1267" s="285" t="s">
        <v>14963</v>
      </c>
      <c r="H1267" s="285" t="s">
        <v>9856</v>
      </c>
      <c r="I1267" s="285" t="s">
        <v>14964</v>
      </c>
      <c r="J1267" s="285" t="s">
        <v>5012</v>
      </c>
      <c r="K1267" s="285" t="s">
        <v>6322</v>
      </c>
      <c r="L1267" s="285" t="s">
        <v>13516</v>
      </c>
      <c r="M1267" s="285" t="s">
        <v>9383</v>
      </c>
      <c r="N1267" s="287" t="str">
        <f>IFERROR(
    IF(
        AND(
            VLOOKUP(B1267, 'รายชื่อพนักงานลาออกพ้นสภาพ'!B:I, 8, FALSE)&lt;&gt;"ยกเลิกลาออก",
            VLOOKUP(B1267, 'รายชื่อพนักงานลาออกพ้นสภาพ'!B:I, 7, FALSE)&lt;=TODAY()
        ),
        "ลาออกแล้ว",
        ""
    ),
"")</f>
        <v/>
      </c>
      <c r="O1267" s="292" t="str">
        <f t="array" ref="O1267">IFERROR(INDEX(PCRent!C:D, MATCH(F1267 &amp; " " &amp; G1267, PCRent!A:A &amp; " " &amp; PCRent!B:B, 0)), "")</f>
        <v/>
      </c>
      <c r="P1267" s="293"/>
      <c r="Q1267" s="294" t="str">
        <f t="array" ref="Q1267">IFERROR(INDEX(MonitorRent!C:D, MATCH(F1267 &amp; " " &amp; G1267, MonitorRent!A:A &amp; " " &amp; MonitorRent!B:B, 0)), "")</f>
        <v/>
      </c>
      <c r="R1267" s="295"/>
    </row>
    <row r="1268">
      <c r="A1268" s="284">
        <v>1265.0</v>
      </c>
      <c r="B1268" s="285" t="s">
        <v>8271</v>
      </c>
      <c r="C1268" s="285" t="s">
        <v>6918</v>
      </c>
      <c r="D1268" s="286" t="s">
        <v>11240</v>
      </c>
      <c r="E1268" s="285" t="s">
        <v>6921</v>
      </c>
      <c r="F1268" s="285" t="s">
        <v>9830</v>
      </c>
      <c r="G1268" s="285" t="s">
        <v>14965</v>
      </c>
      <c r="H1268" s="285" t="s">
        <v>14966</v>
      </c>
      <c r="I1268" s="285" t="s">
        <v>14967</v>
      </c>
      <c r="J1268" s="285" t="s">
        <v>5224</v>
      </c>
      <c r="K1268" s="285" t="s">
        <v>14763</v>
      </c>
      <c r="L1268" s="285" t="s">
        <v>2730</v>
      </c>
      <c r="M1268" s="285" t="s">
        <v>9383</v>
      </c>
      <c r="N1268" s="287" t="str">
        <f>IFERROR(
    IF(
        AND(
            VLOOKUP(B1268, 'รายชื่อพนักงานลาออกพ้นสภาพ'!B:I, 8, FALSE)&lt;&gt;"ยกเลิกลาออก",
            VLOOKUP(B1268, 'รายชื่อพนักงานลาออกพ้นสภาพ'!B:I, 7, FALSE)&lt;=TODAY()
        ),
        "ลาออกแล้ว",
        ""
    ),
"")</f>
        <v/>
      </c>
      <c r="O1268" s="292" t="str">
        <f t="array" ref="O1268:P1268">IFERROR(INDEX(PCRent!C:D, MATCH(F1268 &amp; " " &amp; G1268, PCRent!A:A &amp; " " &amp; PCRent!B:B, 0)), "")</f>
        <v>SN:DZYNPY3</v>
      </c>
      <c r="P1268" s="293" t="s">
        <v>7048</v>
      </c>
      <c r="Q1268" s="294" t="str">
        <f t="array" ref="Q1268:R1268">IFERROR(INDEX(MonitorRent!C:D, MATCH(F1268 &amp; " " &amp; G1268, MonitorRent!A:A &amp; " " &amp; MonitorRent!B:B, 0)), "")</f>
        <v>SN:DQY4ZV3</v>
      </c>
      <c r="R1268" s="295" t="s">
        <v>7050</v>
      </c>
    </row>
    <row r="1269">
      <c r="A1269" s="284">
        <v>1266.0</v>
      </c>
      <c r="B1269" s="285" t="s">
        <v>7793</v>
      </c>
      <c r="C1269" s="285" t="s">
        <v>6918</v>
      </c>
      <c r="D1269" s="286" t="s">
        <v>11937</v>
      </c>
      <c r="E1269" s="285" t="s">
        <v>6921</v>
      </c>
      <c r="F1269" s="285" t="s">
        <v>14968</v>
      </c>
      <c r="G1269" s="285" t="s">
        <v>14969</v>
      </c>
      <c r="H1269" s="285" t="s">
        <v>14970</v>
      </c>
      <c r="I1269" s="285" t="s">
        <v>14971</v>
      </c>
      <c r="J1269" s="285" t="s">
        <v>5224</v>
      </c>
      <c r="K1269" s="285" t="s">
        <v>9404</v>
      </c>
      <c r="L1269" s="285" t="s">
        <v>5890</v>
      </c>
      <c r="M1269" s="285" t="s">
        <v>9383</v>
      </c>
      <c r="N1269" s="287" t="str">
        <f>IFERROR(
    IF(
        AND(
            VLOOKUP(B1269, 'รายชื่อพนักงานลาออกพ้นสภาพ'!B:I, 8, FALSE)&lt;&gt;"ยกเลิกลาออก",
            VLOOKUP(B1269, 'รายชื่อพนักงานลาออกพ้นสภาพ'!B:I, 7, FALSE)&lt;=TODAY()
        ),
        "ลาออกแล้ว",
        ""
    ),
"")</f>
        <v/>
      </c>
      <c r="O1269" s="292" t="str">
        <f t="array" ref="O1269">IFERROR(INDEX(PCRent!C:D, MATCH(F1269 &amp; " " &amp; G1269, PCRent!A:A &amp; " " &amp; PCRent!B:B, 0)), "")</f>
        <v/>
      </c>
      <c r="P1269" s="293"/>
      <c r="Q1269" s="294" t="str">
        <f t="array" ref="Q1269">IFERROR(INDEX(MonitorRent!C:D, MATCH(F1269 &amp; " " &amp; G1269, MonitorRent!A:A &amp; " " &amp; MonitorRent!B:B, 0)), "")</f>
        <v/>
      </c>
      <c r="R1269" s="295"/>
    </row>
    <row r="1270">
      <c r="A1270" s="284">
        <v>1267.0</v>
      </c>
      <c r="B1270" s="285" t="s">
        <v>14972</v>
      </c>
      <c r="C1270" s="285" t="s">
        <v>6918</v>
      </c>
      <c r="D1270" s="286" t="s">
        <v>12974</v>
      </c>
      <c r="E1270" s="285" t="s">
        <v>6921</v>
      </c>
      <c r="F1270" s="285" t="s">
        <v>14973</v>
      </c>
      <c r="G1270" s="285" t="s">
        <v>14974</v>
      </c>
      <c r="H1270" s="285" t="s">
        <v>12791</v>
      </c>
      <c r="I1270" s="285" t="s">
        <v>14975</v>
      </c>
      <c r="J1270" s="285" t="s">
        <v>5012</v>
      </c>
      <c r="K1270" s="285" t="s">
        <v>9588</v>
      </c>
      <c r="L1270" s="285" t="s">
        <v>9540</v>
      </c>
      <c r="M1270" s="285" t="s">
        <v>9383</v>
      </c>
      <c r="N1270" s="287" t="str">
        <f>IFERROR(
    IF(
        AND(
            VLOOKUP(B1270, 'รายชื่อพนักงานลาออกพ้นสภาพ'!B:I, 8, FALSE)&lt;&gt;"ยกเลิกลาออก",
            VLOOKUP(B1270, 'รายชื่อพนักงานลาออกพ้นสภาพ'!B:I, 7, FALSE)&lt;=TODAY()
        ),
        "ลาออกแล้ว",
        ""
    ),
"")</f>
        <v/>
      </c>
      <c r="O1270" s="292" t="str">
        <f t="array" ref="O1270:P1270">IFERROR(INDEX(PCRent!C:D, MATCH(F1270 &amp; " " &amp; G1270, PCRent!A:A &amp; " " &amp; PCRent!B:B, 0)), "")</f>
        <v>SN:21QD314</v>
      </c>
      <c r="P1270" s="293" t="s">
        <v>7048</v>
      </c>
      <c r="Q1270" s="294" t="str">
        <f t="array" ref="Q1270:R1270">IFERROR(INDEX(MonitorRent!C:D, MATCH(F1270 &amp; " " &amp; G1270, MonitorRent!A:A &amp; " " &amp; MonitorRent!B:B, 0)), "")</f>
        <v>SN:7S0WGZ3</v>
      </c>
      <c r="R1270" s="295" t="s">
        <v>9397</v>
      </c>
    </row>
    <row r="1271">
      <c r="A1271" s="284">
        <v>1268.0</v>
      </c>
      <c r="B1271" s="285" t="s">
        <v>7988</v>
      </c>
      <c r="C1271" s="285" t="s">
        <v>6918</v>
      </c>
      <c r="D1271" s="286" t="s">
        <v>14976</v>
      </c>
      <c r="E1271" s="285" t="s">
        <v>6921</v>
      </c>
      <c r="F1271" s="285" t="s">
        <v>14977</v>
      </c>
      <c r="G1271" s="285" t="s">
        <v>14978</v>
      </c>
      <c r="H1271" s="285" t="s">
        <v>12007</v>
      </c>
      <c r="I1271" s="285" t="s">
        <v>14979</v>
      </c>
      <c r="J1271" s="285" t="s">
        <v>5224</v>
      </c>
      <c r="K1271" s="285" t="s">
        <v>4756</v>
      </c>
      <c r="L1271" s="285" t="s">
        <v>7626</v>
      </c>
      <c r="M1271" s="285" t="s">
        <v>9383</v>
      </c>
      <c r="N1271" s="287" t="str">
        <f>IFERROR(
    IF(
        AND(
            VLOOKUP(B1271, 'รายชื่อพนักงานลาออกพ้นสภาพ'!B:I, 8, FALSE)&lt;&gt;"ยกเลิกลาออก",
            VLOOKUP(B1271, 'รายชื่อพนักงานลาออกพ้นสภาพ'!B:I, 7, FALSE)&lt;=TODAY()
        ),
        "ลาออกแล้ว",
        ""
    ),
"")</f>
        <v/>
      </c>
      <c r="O1271" s="292" t="str">
        <f t="array" ref="O1271">IFERROR(INDEX(PCRent!C:D, MATCH(F1271 &amp; " " &amp; G1271, PCRent!A:A &amp; " " &amp; PCRent!B:B, 0)), "")</f>
        <v/>
      </c>
      <c r="P1271" s="293"/>
      <c r="Q1271" s="294" t="str">
        <f t="array" ref="Q1271">IFERROR(INDEX(MonitorRent!C:D, MATCH(F1271 &amp; " " &amp; G1271, MonitorRent!A:A &amp; " " &amp; MonitorRent!B:B, 0)), "")</f>
        <v/>
      </c>
      <c r="R1271" s="295"/>
    </row>
    <row r="1272">
      <c r="A1272" s="284">
        <v>1269.0</v>
      </c>
      <c r="B1272" s="285" t="s">
        <v>7216</v>
      </c>
      <c r="C1272" s="285" t="s">
        <v>6918</v>
      </c>
      <c r="D1272" s="286" t="s">
        <v>9699</v>
      </c>
      <c r="E1272" s="285" t="s">
        <v>6921</v>
      </c>
      <c r="F1272" s="285" t="s">
        <v>14980</v>
      </c>
      <c r="G1272" s="285" t="s">
        <v>14981</v>
      </c>
      <c r="H1272" s="285" t="s">
        <v>14982</v>
      </c>
      <c r="I1272" s="285" t="s">
        <v>14983</v>
      </c>
      <c r="J1272" s="285" t="s">
        <v>5224</v>
      </c>
      <c r="K1272" s="285" t="s">
        <v>9761</v>
      </c>
      <c r="L1272" s="285" t="s">
        <v>1602</v>
      </c>
      <c r="M1272" s="285" t="s">
        <v>9383</v>
      </c>
      <c r="N1272" s="287" t="str">
        <f>IFERROR(
    IF(
        AND(
            VLOOKUP(B1272, 'รายชื่อพนักงานลาออกพ้นสภาพ'!B:I, 8, FALSE)&lt;&gt;"ยกเลิกลาออก",
            VLOOKUP(B1272, 'รายชื่อพนักงานลาออกพ้นสภาพ'!B:I, 7, FALSE)&lt;=TODAY()
        ),
        "ลาออกแล้ว",
        ""
    ),
"")</f>
        <v/>
      </c>
      <c r="O1272" s="292" t="str">
        <f t="array" ref="O1272">IFERROR(INDEX(PCRent!C:D, MATCH(F1272 &amp; " " &amp; G1272, PCRent!A:A &amp; " " &amp; PCRent!B:B, 0)), "")</f>
        <v/>
      </c>
      <c r="P1272" s="293"/>
      <c r="Q1272" s="294" t="str">
        <f t="array" ref="Q1272">IFERROR(INDEX(MonitorRent!C:D, MATCH(F1272 &amp; " " &amp; G1272, MonitorRent!A:A &amp; " " &amp; MonitorRent!B:B, 0)), "")</f>
        <v/>
      </c>
      <c r="R1272" s="295"/>
    </row>
    <row r="1273">
      <c r="A1273" s="284">
        <v>1270.0</v>
      </c>
      <c r="B1273" s="285" t="s">
        <v>7832</v>
      </c>
      <c r="C1273" s="285" t="s">
        <v>6918</v>
      </c>
      <c r="D1273" s="286" t="s">
        <v>11571</v>
      </c>
      <c r="E1273" s="285" t="s">
        <v>6921</v>
      </c>
      <c r="F1273" s="285" t="s">
        <v>14980</v>
      </c>
      <c r="G1273" s="285" t="s">
        <v>14984</v>
      </c>
      <c r="H1273" s="285" t="s">
        <v>14985</v>
      </c>
      <c r="I1273" s="285" t="s">
        <v>14986</v>
      </c>
      <c r="J1273" s="285" t="s">
        <v>5224</v>
      </c>
      <c r="K1273" s="285" t="s">
        <v>14987</v>
      </c>
      <c r="L1273" s="285" t="s">
        <v>7809</v>
      </c>
      <c r="M1273" s="285" t="s">
        <v>9383</v>
      </c>
      <c r="N1273" s="287" t="str">
        <f>IFERROR(
    IF(
        AND(
            VLOOKUP(B1273, 'รายชื่อพนักงานลาออกพ้นสภาพ'!B:I, 8, FALSE)&lt;&gt;"ยกเลิกลาออก",
            VLOOKUP(B1273, 'รายชื่อพนักงานลาออกพ้นสภาพ'!B:I, 7, FALSE)&lt;=TODAY()
        ),
        "ลาออกแล้ว",
        ""
    ),
"")</f>
        <v/>
      </c>
      <c r="O1273" s="292" t="str">
        <f t="array" ref="O1273:P1273">IFERROR(INDEX(PCRent!C:D, MATCH(F1273 &amp; " " &amp; G1273, PCRent!A:A &amp; " " &amp; PCRent!B:B, 0)), "")</f>
        <v>SN:60QD314</v>
      </c>
      <c r="P1273" s="293" t="s">
        <v>7048</v>
      </c>
      <c r="Q1273" s="294" t="str">
        <f t="array" ref="Q1273:R1273">IFERROR(INDEX(MonitorRent!C:D, MATCH(F1273 &amp; " " &amp; G1273, MonitorRent!A:A &amp; " " &amp; MonitorRent!B:B, 0)), "")</f>
        <v>SN:7PQXGZ3</v>
      </c>
      <c r="R1273" s="295" t="s">
        <v>9397</v>
      </c>
    </row>
    <row r="1274">
      <c r="A1274" s="284">
        <v>1271.0</v>
      </c>
      <c r="B1274" s="285" t="s">
        <v>684</v>
      </c>
      <c r="C1274" s="285" t="s">
        <v>6918</v>
      </c>
      <c r="D1274" s="286" t="s">
        <v>10222</v>
      </c>
      <c r="E1274" s="285" t="s">
        <v>6921</v>
      </c>
      <c r="F1274" s="285" t="s">
        <v>14988</v>
      </c>
      <c r="G1274" s="285" t="s">
        <v>14989</v>
      </c>
      <c r="H1274" s="285" t="s">
        <v>13742</v>
      </c>
      <c r="I1274" s="285" t="s">
        <v>687</v>
      </c>
      <c r="J1274" s="285" t="s">
        <v>5224</v>
      </c>
      <c r="K1274" s="285" t="s">
        <v>4756</v>
      </c>
      <c r="L1274" s="285" t="s">
        <v>7626</v>
      </c>
      <c r="M1274" s="285" t="s">
        <v>9383</v>
      </c>
      <c r="N1274" s="287" t="str">
        <f>IFERROR(
    IF(
        AND(
            VLOOKUP(B1274, 'รายชื่อพนักงานลาออกพ้นสภาพ'!B:I, 8, FALSE)&lt;&gt;"ยกเลิกลาออก",
            VLOOKUP(B1274, 'รายชื่อพนักงานลาออกพ้นสภาพ'!B:I, 7, FALSE)&lt;=TODAY()
        ),
        "ลาออกแล้ว",
        ""
    ),
"")</f>
        <v>ลาออกแล้ว</v>
      </c>
      <c r="O1274" s="292" t="str">
        <f t="array" ref="O1274">IFERROR(INDEX(PCRent!C:D, MATCH(F1274 &amp; " " &amp; G1274, PCRent!A:A &amp; " " &amp; PCRent!B:B, 0)), "")</f>
        <v/>
      </c>
      <c r="P1274" s="293"/>
      <c r="Q1274" s="294" t="str">
        <f t="array" ref="Q1274">IFERROR(INDEX(MonitorRent!C:D, MATCH(F1274 &amp; " " &amp; G1274, MonitorRent!A:A &amp; " " &amp; MonitorRent!B:B, 0)), "")</f>
        <v/>
      </c>
      <c r="R1274" s="295"/>
    </row>
    <row r="1275">
      <c r="A1275" s="284">
        <v>1272.0</v>
      </c>
      <c r="B1275" s="285" t="s">
        <v>7230</v>
      </c>
      <c r="C1275" s="285" t="s">
        <v>6918</v>
      </c>
      <c r="D1275" s="286" t="s">
        <v>9876</v>
      </c>
      <c r="E1275" s="285" t="s">
        <v>6921</v>
      </c>
      <c r="F1275" s="285" t="s">
        <v>14990</v>
      </c>
      <c r="G1275" s="285" t="s">
        <v>14991</v>
      </c>
      <c r="H1275" s="285" t="s">
        <v>9592</v>
      </c>
      <c r="I1275" s="285" t="s">
        <v>14992</v>
      </c>
      <c r="J1275" s="285" t="s">
        <v>5224</v>
      </c>
      <c r="K1275" s="285" t="s">
        <v>9761</v>
      </c>
      <c r="L1275" s="285" t="s">
        <v>1602</v>
      </c>
      <c r="M1275" s="285" t="s">
        <v>9383</v>
      </c>
      <c r="N1275" s="287" t="str">
        <f>IFERROR(
    IF(
        AND(
            VLOOKUP(B1275, 'รายชื่อพนักงานลาออกพ้นสภาพ'!B:I, 8, FALSE)&lt;&gt;"ยกเลิกลาออก",
            VLOOKUP(B1275, 'รายชื่อพนักงานลาออกพ้นสภาพ'!B:I, 7, FALSE)&lt;=TODAY()
        ),
        "ลาออกแล้ว",
        ""
    ),
"")</f>
        <v/>
      </c>
      <c r="O1275" s="292" t="str">
        <f t="array" ref="O1275">IFERROR(INDEX(PCRent!C:D, MATCH(F1275 &amp; " " &amp; G1275, PCRent!A:A &amp; " " &amp; PCRent!B:B, 0)), "")</f>
        <v/>
      </c>
      <c r="P1275" s="293"/>
      <c r="Q1275" s="294" t="str">
        <f t="array" ref="Q1275">IFERROR(INDEX(MonitorRent!C:D, MATCH(F1275 &amp; " " &amp; G1275, MonitorRent!A:A &amp; " " &amp; MonitorRent!B:B, 0)), "")</f>
        <v/>
      </c>
      <c r="R1275" s="295"/>
    </row>
    <row r="1276">
      <c r="A1276" s="284">
        <v>1273.0</v>
      </c>
      <c r="B1276" s="285" t="s">
        <v>14993</v>
      </c>
      <c r="C1276" s="285" t="s">
        <v>6918</v>
      </c>
      <c r="D1276" s="286" t="s">
        <v>14994</v>
      </c>
      <c r="E1276" s="285" t="s">
        <v>6933</v>
      </c>
      <c r="F1276" s="285" t="s">
        <v>14995</v>
      </c>
      <c r="G1276" s="285" t="s">
        <v>14996</v>
      </c>
      <c r="H1276" s="285" t="s">
        <v>14997</v>
      </c>
      <c r="I1276" s="285" t="s">
        <v>14998</v>
      </c>
      <c r="J1276" s="285" t="s">
        <v>5012</v>
      </c>
      <c r="K1276" s="285" t="s">
        <v>14999</v>
      </c>
      <c r="L1276" s="285" t="s">
        <v>4297</v>
      </c>
      <c r="M1276" s="285" t="s">
        <v>9383</v>
      </c>
      <c r="N1276" s="287" t="str">
        <f>IFERROR(
    IF(
        AND(
            VLOOKUP(B1276, 'รายชื่อพนักงานลาออกพ้นสภาพ'!B:I, 8, FALSE)&lt;&gt;"ยกเลิกลาออก",
            VLOOKUP(B1276, 'รายชื่อพนักงานลาออกพ้นสภาพ'!B:I, 7, FALSE)&lt;=TODAY()
        ),
        "ลาออกแล้ว",
        ""
    ),
"")</f>
        <v/>
      </c>
      <c r="O1276" s="292" t="str">
        <f t="array" ref="O1276">IFERROR(INDEX(PCRent!C:D, MATCH(F1276 &amp; " " &amp; G1276, PCRent!A:A &amp; " " &amp; PCRent!B:B, 0)), "")</f>
        <v/>
      </c>
      <c r="P1276" s="293"/>
      <c r="Q1276" s="294" t="str">
        <f t="array" ref="Q1276">IFERROR(INDEX(MonitorRent!C:D, MATCH(F1276 &amp; " " &amp; G1276, MonitorRent!A:A &amp; " " &amp; MonitorRent!B:B, 0)), "")</f>
        <v/>
      </c>
      <c r="R1276" s="295"/>
    </row>
    <row r="1277">
      <c r="A1277" s="284">
        <v>1274.0</v>
      </c>
      <c r="B1277" s="285" t="s">
        <v>8248</v>
      </c>
      <c r="C1277" s="285" t="s">
        <v>6918</v>
      </c>
      <c r="D1277" s="286" t="s">
        <v>14344</v>
      </c>
      <c r="E1277" s="285" t="s">
        <v>6933</v>
      </c>
      <c r="F1277" s="285" t="s">
        <v>15000</v>
      </c>
      <c r="G1277" s="285" t="s">
        <v>15001</v>
      </c>
      <c r="H1277" s="285" t="s">
        <v>15002</v>
      </c>
      <c r="I1277" s="285" t="s">
        <v>15003</v>
      </c>
      <c r="J1277" s="285" t="s">
        <v>5224</v>
      </c>
      <c r="K1277" s="285" t="s">
        <v>4835</v>
      </c>
      <c r="L1277" s="285" t="s">
        <v>2730</v>
      </c>
      <c r="M1277" s="285" t="s">
        <v>9383</v>
      </c>
      <c r="N1277" s="287" t="str">
        <f>IFERROR(
    IF(
        AND(
            VLOOKUP(B1277, 'รายชื่อพนักงานลาออกพ้นสภาพ'!B:I, 8, FALSE)&lt;&gt;"ยกเลิกลาออก",
            VLOOKUP(B1277, 'รายชื่อพนักงานลาออกพ้นสภาพ'!B:I, 7, FALSE)&lt;=TODAY()
        ),
        "ลาออกแล้ว",
        ""
    ),
"")</f>
        <v/>
      </c>
      <c r="O1277" s="292" t="str">
        <f t="array" ref="O1277">IFERROR(INDEX(PCRent!C:D, MATCH(F1277 &amp; " " &amp; G1277, PCRent!A:A &amp; " " &amp; PCRent!B:B, 0)), "")</f>
        <v/>
      </c>
      <c r="P1277" s="293"/>
      <c r="Q1277" s="294" t="str">
        <f t="array" ref="Q1277">IFERROR(INDEX(MonitorRent!C:D, MATCH(F1277 &amp; " " &amp; G1277, MonitorRent!A:A &amp; " " &amp; MonitorRent!B:B, 0)), "")</f>
        <v/>
      </c>
      <c r="R1277" s="295"/>
    </row>
    <row r="1278">
      <c r="A1278" s="284">
        <v>1275.0</v>
      </c>
      <c r="B1278" s="285" t="s">
        <v>8257</v>
      </c>
      <c r="C1278" s="285" t="s">
        <v>6918</v>
      </c>
      <c r="D1278" s="286" t="s">
        <v>15004</v>
      </c>
      <c r="E1278" s="285" t="s">
        <v>6933</v>
      </c>
      <c r="F1278" s="285" t="s">
        <v>9860</v>
      </c>
      <c r="G1278" s="285" t="s">
        <v>15005</v>
      </c>
      <c r="H1278" s="285" t="s">
        <v>9800</v>
      </c>
      <c r="I1278" s="285" t="s">
        <v>15006</v>
      </c>
      <c r="J1278" s="285" t="s">
        <v>5224</v>
      </c>
      <c r="K1278" s="285" t="s">
        <v>2062</v>
      </c>
      <c r="L1278" s="285" t="s">
        <v>2730</v>
      </c>
      <c r="M1278" s="285" t="s">
        <v>9383</v>
      </c>
      <c r="N1278" s="287" t="str">
        <f>IFERROR(
    IF(
        AND(
            VLOOKUP(B1278, 'รายชื่อพนักงานลาออกพ้นสภาพ'!B:I, 8, FALSE)&lt;&gt;"ยกเลิกลาออก",
            VLOOKUP(B1278, 'รายชื่อพนักงานลาออกพ้นสภาพ'!B:I, 7, FALSE)&lt;=TODAY()
        ),
        "ลาออกแล้ว",
        ""
    ),
"")</f>
        <v/>
      </c>
      <c r="O1278" s="292" t="str">
        <f t="array" ref="O1278">IFERROR(INDEX(PCRent!C:D, MATCH(F1278 &amp; " " &amp; G1278, PCRent!A:A &amp; " " &amp; PCRent!B:B, 0)), "")</f>
        <v/>
      </c>
      <c r="P1278" s="293"/>
      <c r="Q1278" s="294" t="str">
        <f t="array" ref="Q1278">IFERROR(INDEX(MonitorRent!C:D, MATCH(F1278 &amp; " " &amp; G1278, MonitorRent!A:A &amp; " " &amp; MonitorRent!B:B, 0)), "")</f>
        <v/>
      </c>
      <c r="R1278" s="295"/>
    </row>
    <row r="1279">
      <c r="A1279" s="284">
        <v>1276.0</v>
      </c>
      <c r="B1279" s="285" t="s">
        <v>4801</v>
      </c>
      <c r="C1279" s="285" t="s">
        <v>6918</v>
      </c>
      <c r="D1279" s="286" t="s">
        <v>10978</v>
      </c>
      <c r="E1279" s="285" t="s">
        <v>6921</v>
      </c>
      <c r="F1279" s="285" t="s">
        <v>15007</v>
      </c>
      <c r="G1279" s="285" t="s">
        <v>15008</v>
      </c>
      <c r="H1279" s="285" t="s">
        <v>12007</v>
      </c>
      <c r="I1279" s="285" t="s">
        <v>4802</v>
      </c>
      <c r="J1279" s="285" t="s">
        <v>5224</v>
      </c>
      <c r="K1279" s="285" t="s">
        <v>4799</v>
      </c>
      <c r="L1279" s="285" t="s">
        <v>14537</v>
      </c>
      <c r="M1279" s="285" t="s">
        <v>9383</v>
      </c>
      <c r="N1279" s="287" t="str">
        <f>IFERROR(
    IF(
        AND(
            VLOOKUP(B1279, 'รายชื่อพนักงานลาออกพ้นสภาพ'!B:I, 8, FALSE)&lt;&gt;"ยกเลิกลาออก",
            VLOOKUP(B1279, 'รายชื่อพนักงานลาออกพ้นสภาพ'!B:I, 7, FALSE)&lt;=TODAY()
        ),
        "ลาออกแล้ว",
        ""
    ),
"")</f>
        <v/>
      </c>
      <c r="O1279" s="292" t="str">
        <f t="array" ref="O1279:P1279">IFERROR(INDEX(PCRent!C:D, MATCH(F1279 &amp; " " &amp; G1279, PCRent!A:A &amp; " " &amp; PCRent!B:B, 0)), "")</f>
        <v>SN:FCBBS64</v>
      </c>
      <c r="P1279" s="293" t="s">
        <v>7299</v>
      </c>
      <c r="Q1279" s="294" t="str">
        <f t="array" ref="Q1279">IFERROR(INDEX(MonitorRent!C:D, MATCH(F1279 &amp; " " &amp; G1279, MonitorRent!A:A &amp; " " &amp; MonitorRent!B:B, 0)), "")</f>
        <v/>
      </c>
      <c r="R1279" s="295"/>
    </row>
    <row r="1280">
      <c r="A1280" s="284">
        <v>1277.0</v>
      </c>
      <c r="B1280" s="285" t="s">
        <v>8006</v>
      </c>
      <c r="C1280" s="285" t="s">
        <v>6918</v>
      </c>
      <c r="D1280" s="286" t="s">
        <v>12529</v>
      </c>
      <c r="E1280" s="285" t="s">
        <v>6921</v>
      </c>
      <c r="F1280" s="285" t="s">
        <v>15007</v>
      </c>
      <c r="G1280" s="285" t="s">
        <v>15009</v>
      </c>
      <c r="H1280" s="285" t="s">
        <v>10168</v>
      </c>
      <c r="I1280" s="285" t="s">
        <v>15010</v>
      </c>
      <c r="J1280" s="285" t="s">
        <v>5224</v>
      </c>
      <c r="K1280" s="285" t="s">
        <v>12414</v>
      </c>
      <c r="L1280" s="285" t="s">
        <v>2603</v>
      </c>
      <c r="M1280" s="285" t="s">
        <v>9383</v>
      </c>
      <c r="N1280" s="287" t="str">
        <f>IFERROR(
    IF(
        AND(
            VLOOKUP(B1280, 'รายชื่อพนักงานลาออกพ้นสภาพ'!B:I, 8, FALSE)&lt;&gt;"ยกเลิกลาออก",
            VLOOKUP(B1280, 'รายชื่อพนักงานลาออกพ้นสภาพ'!B:I, 7, FALSE)&lt;=TODAY()
        ),
        "ลาออกแล้ว",
        ""
    ),
"")</f>
        <v/>
      </c>
      <c r="O1280" s="292" t="str">
        <f t="array" ref="O1280:P1280">IFERROR(INDEX(PCRent!C:D, MATCH(F1280 &amp; " " &amp; G1280, PCRent!A:A &amp; " " &amp; PCRent!B:B, 0)), "")</f>
        <v>SN:DD6MBZ3</v>
      </c>
      <c r="P1280" s="293" t="s">
        <v>7048</v>
      </c>
      <c r="Q1280" s="294" t="str">
        <f t="array" ref="Q1280:R1280">IFERROR(INDEX(MonitorRent!C:D, MATCH(F1280 &amp; " " &amp; G1280, MonitorRent!A:A &amp; " " &amp; MonitorRent!B:B, 0)), "")</f>
        <v>SN:9X762Y3</v>
      </c>
      <c r="R1280" s="295" t="s">
        <v>7050</v>
      </c>
    </row>
    <row r="1281">
      <c r="A1281" s="284">
        <v>1278.0</v>
      </c>
      <c r="B1281" s="285" t="s">
        <v>370</v>
      </c>
      <c r="C1281" s="285" t="s">
        <v>6918</v>
      </c>
      <c r="D1281" s="286" t="s">
        <v>12411</v>
      </c>
      <c r="E1281" s="285" t="s">
        <v>6921</v>
      </c>
      <c r="F1281" s="285" t="s">
        <v>15011</v>
      </c>
      <c r="G1281" s="285" t="s">
        <v>15012</v>
      </c>
      <c r="H1281" s="285" t="s">
        <v>10732</v>
      </c>
      <c r="I1281" s="285" t="s">
        <v>374</v>
      </c>
      <c r="J1281" s="285" t="s">
        <v>5224</v>
      </c>
      <c r="K1281" s="285" t="s">
        <v>10068</v>
      </c>
      <c r="L1281" s="285" t="s">
        <v>373</v>
      </c>
      <c r="M1281" s="285" t="s">
        <v>9383</v>
      </c>
      <c r="N1281" s="287" t="str">
        <f>IFERROR(
    IF(
        AND(
            VLOOKUP(B1281, 'รายชื่อพนักงานลาออกพ้นสภาพ'!B:I, 8, FALSE)&lt;&gt;"ยกเลิกลาออก",
            VLOOKUP(B1281, 'รายชื่อพนักงานลาออกพ้นสภาพ'!B:I, 7, FALSE)&lt;=TODAY()
        ),
        "ลาออกแล้ว",
        ""
    ),
"")</f>
        <v>ลาออกแล้ว</v>
      </c>
      <c r="O1281" s="292" t="str">
        <f t="array" ref="O1281">IFERROR(INDEX(PCRent!C:D, MATCH(F1281 &amp; " " &amp; G1281, PCRent!A:A &amp; " " &amp; PCRent!B:B, 0)), "")</f>
        <v/>
      </c>
      <c r="P1281" s="293"/>
      <c r="Q1281" s="294" t="str">
        <f t="array" ref="Q1281">IFERROR(INDEX(MonitorRent!C:D, MATCH(F1281 &amp; " " &amp; G1281, MonitorRent!A:A &amp; " " &amp; MonitorRent!B:B, 0)), "")</f>
        <v/>
      </c>
      <c r="R1281" s="295"/>
    </row>
    <row r="1282">
      <c r="A1282" s="284">
        <v>1279.0</v>
      </c>
      <c r="B1282" s="285" t="s">
        <v>15013</v>
      </c>
      <c r="C1282" s="285" t="s">
        <v>6918</v>
      </c>
      <c r="D1282" s="286" t="s">
        <v>15014</v>
      </c>
      <c r="E1282" s="285" t="s">
        <v>6933</v>
      </c>
      <c r="F1282" s="285" t="s">
        <v>15015</v>
      </c>
      <c r="G1282" s="285" t="s">
        <v>15016</v>
      </c>
      <c r="H1282" s="285" t="s">
        <v>15017</v>
      </c>
      <c r="I1282" s="285" t="s">
        <v>6332</v>
      </c>
      <c r="J1282" s="285" t="s">
        <v>5012</v>
      </c>
      <c r="K1282" s="285" t="s">
        <v>9521</v>
      </c>
      <c r="L1282" s="285" t="s">
        <v>15018</v>
      </c>
      <c r="M1282" s="285" t="s">
        <v>9383</v>
      </c>
      <c r="N1282" s="287" t="str">
        <f>IFERROR(
    IF(
        AND(
            VLOOKUP(B1282, 'รายชื่อพนักงานลาออกพ้นสภาพ'!B:I, 8, FALSE)&lt;&gt;"ยกเลิกลาออก",
            VLOOKUP(B1282, 'รายชื่อพนักงานลาออกพ้นสภาพ'!B:I, 7, FALSE)&lt;=TODAY()
        ),
        "ลาออกแล้ว",
        ""
    ),
"")</f>
        <v/>
      </c>
      <c r="O1282" s="292" t="str">
        <f t="array" ref="O1282">IFERROR(INDEX(PCRent!C:D, MATCH(F1282 &amp; " " &amp; G1282, PCRent!A:A &amp; " " &amp; PCRent!B:B, 0)), "")</f>
        <v/>
      </c>
      <c r="P1282" s="293"/>
      <c r="Q1282" s="294" t="str">
        <f t="array" ref="Q1282">IFERROR(INDEX(MonitorRent!C:D, MATCH(F1282 &amp; " " &amp; G1282, MonitorRent!A:A &amp; " " &amp; MonitorRent!B:B, 0)), "")</f>
        <v/>
      </c>
      <c r="R1282" s="295"/>
    </row>
    <row r="1283">
      <c r="A1283" s="284">
        <v>1280.0</v>
      </c>
      <c r="B1283" s="285" t="s">
        <v>7691</v>
      </c>
      <c r="C1283" s="285" t="s">
        <v>6918</v>
      </c>
      <c r="D1283" s="286" t="s">
        <v>12365</v>
      </c>
      <c r="E1283" s="285" t="s">
        <v>6921</v>
      </c>
      <c r="F1283" s="285" t="s">
        <v>15019</v>
      </c>
      <c r="G1283" s="285" t="s">
        <v>15020</v>
      </c>
      <c r="H1283" s="285" t="s">
        <v>14801</v>
      </c>
      <c r="I1283" s="285" t="s">
        <v>15021</v>
      </c>
      <c r="J1283" s="285" t="s">
        <v>5224</v>
      </c>
      <c r="K1283" s="285" t="s">
        <v>11222</v>
      </c>
      <c r="L1283" s="285" t="s">
        <v>7688</v>
      </c>
      <c r="M1283" s="285" t="s">
        <v>9383</v>
      </c>
      <c r="N1283" s="287" t="str">
        <f>IFERROR(
    IF(
        AND(
            VLOOKUP(B1283, 'รายชื่อพนักงานลาออกพ้นสภาพ'!B:I, 8, FALSE)&lt;&gt;"ยกเลิกลาออก",
            VLOOKUP(B1283, 'รายชื่อพนักงานลาออกพ้นสภาพ'!B:I, 7, FALSE)&lt;=TODAY()
        ),
        "ลาออกแล้ว",
        ""
    ),
"")</f>
        <v/>
      </c>
      <c r="O1283" s="292" t="str">
        <f t="array" ref="O1283">IFERROR(INDEX(PCRent!C:D, MATCH(F1283 &amp; " " &amp; G1283, PCRent!A:A &amp; " " &amp; PCRent!B:B, 0)), "")</f>
        <v/>
      </c>
      <c r="P1283" s="293"/>
      <c r="Q1283" s="294" t="str">
        <f t="array" ref="Q1283">IFERROR(INDEX(MonitorRent!C:D, MATCH(F1283 &amp; " " &amp; G1283, MonitorRent!A:A &amp; " " &amp; MonitorRent!B:B, 0)), "")</f>
        <v/>
      </c>
      <c r="R1283" s="295"/>
    </row>
    <row r="1284">
      <c r="A1284" s="284">
        <v>1281.0</v>
      </c>
      <c r="B1284" s="285" t="s">
        <v>15022</v>
      </c>
      <c r="C1284" s="285" t="s">
        <v>6918</v>
      </c>
      <c r="D1284" s="286" t="s">
        <v>11486</v>
      </c>
      <c r="E1284" s="285" t="s">
        <v>6921</v>
      </c>
      <c r="F1284" s="285" t="s">
        <v>15023</v>
      </c>
      <c r="G1284" s="285" t="s">
        <v>15024</v>
      </c>
      <c r="H1284" s="285" t="s">
        <v>15025</v>
      </c>
      <c r="I1284" s="285" t="s">
        <v>15026</v>
      </c>
      <c r="J1284" s="285" t="s">
        <v>5012</v>
      </c>
      <c r="K1284" s="285" t="s">
        <v>3000</v>
      </c>
      <c r="L1284" s="285" t="s">
        <v>13992</v>
      </c>
      <c r="M1284" s="285" t="s">
        <v>9383</v>
      </c>
      <c r="N1284" s="287" t="str">
        <f>IFERROR(
    IF(
        AND(
            VLOOKUP(B1284, 'รายชื่อพนักงานลาออกพ้นสภาพ'!B:I, 8, FALSE)&lt;&gt;"ยกเลิกลาออก",
            VLOOKUP(B1284, 'รายชื่อพนักงานลาออกพ้นสภาพ'!B:I, 7, FALSE)&lt;=TODAY()
        ),
        "ลาออกแล้ว",
        ""
    ),
"")</f>
        <v/>
      </c>
      <c r="O1284" s="292" t="str">
        <f t="array" ref="O1284">IFERROR(INDEX(PCRent!C:D, MATCH(F1284 &amp; " " &amp; G1284, PCRent!A:A &amp; " " &amp; PCRent!B:B, 0)), "")</f>
        <v/>
      </c>
      <c r="P1284" s="293"/>
      <c r="Q1284" s="294" t="str">
        <f t="array" ref="Q1284">IFERROR(INDEX(MonitorRent!C:D, MATCH(F1284 &amp; " " &amp; G1284, MonitorRent!A:A &amp; " " &amp; MonitorRent!B:B, 0)), "")</f>
        <v/>
      </c>
      <c r="R1284" s="295"/>
    </row>
    <row r="1285">
      <c r="A1285" s="284">
        <v>1282.0</v>
      </c>
      <c r="B1285" s="285" t="s">
        <v>7212</v>
      </c>
      <c r="C1285" s="285" t="s">
        <v>6918</v>
      </c>
      <c r="D1285" s="286" t="s">
        <v>10563</v>
      </c>
      <c r="E1285" s="285" t="s">
        <v>6933</v>
      </c>
      <c r="F1285" s="285" t="s">
        <v>15027</v>
      </c>
      <c r="G1285" s="285" t="s">
        <v>15028</v>
      </c>
      <c r="H1285" s="285" t="s">
        <v>15029</v>
      </c>
      <c r="I1285" s="285" t="s">
        <v>15030</v>
      </c>
      <c r="J1285" s="285" t="s">
        <v>5224</v>
      </c>
      <c r="K1285" s="285" t="s">
        <v>10056</v>
      </c>
      <c r="L1285" s="285" t="s">
        <v>1602</v>
      </c>
      <c r="M1285" s="285" t="s">
        <v>9383</v>
      </c>
      <c r="N1285" s="287" t="str">
        <f>IFERROR(
    IF(
        AND(
            VLOOKUP(B1285, 'รายชื่อพนักงานลาออกพ้นสภาพ'!B:I, 8, FALSE)&lt;&gt;"ยกเลิกลาออก",
            VLOOKUP(B1285, 'รายชื่อพนักงานลาออกพ้นสภาพ'!B:I, 7, FALSE)&lt;=TODAY()
        ),
        "ลาออกแล้ว",
        ""
    ),
"")</f>
        <v/>
      </c>
      <c r="O1285" s="292" t="str">
        <f t="array" ref="O1285">IFERROR(INDEX(PCRent!C:D, MATCH(F1285 &amp; " " &amp; G1285, PCRent!A:A &amp; " " &amp; PCRent!B:B, 0)), "")</f>
        <v/>
      </c>
      <c r="P1285" s="293"/>
      <c r="Q1285" s="294" t="str">
        <f t="array" ref="Q1285">IFERROR(INDEX(MonitorRent!C:D, MATCH(F1285 &amp; " " &amp; G1285, MonitorRent!A:A &amp; " " &amp; MonitorRent!B:B, 0)), "")</f>
        <v/>
      </c>
      <c r="R1285" s="295"/>
    </row>
    <row r="1286">
      <c r="A1286" s="284">
        <v>1283.0</v>
      </c>
      <c r="B1286" s="285" t="s">
        <v>8933</v>
      </c>
      <c r="C1286" s="285" t="s">
        <v>6918</v>
      </c>
      <c r="D1286" s="286" t="s">
        <v>11036</v>
      </c>
      <c r="E1286" s="285" t="s">
        <v>6921</v>
      </c>
      <c r="F1286" s="285" t="s">
        <v>15031</v>
      </c>
      <c r="G1286" s="285" t="s">
        <v>15032</v>
      </c>
      <c r="H1286" s="285" t="s">
        <v>11585</v>
      </c>
      <c r="I1286" s="285" t="s">
        <v>15033</v>
      </c>
      <c r="J1286" s="285" t="s">
        <v>5224</v>
      </c>
      <c r="K1286" s="285" t="s">
        <v>13577</v>
      </c>
      <c r="L1286" s="285" t="s">
        <v>13555</v>
      </c>
      <c r="M1286" s="285" t="s">
        <v>9383</v>
      </c>
      <c r="N1286" s="287" t="str">
        <f>IFERROR(
    IF(
        AND(
            VLOOKUP(B1286, 'รายชื่อพนักงานลาออกพ้นสภาพ'!B:I, 8, FALSE)&lt;&gt;"ยกเลิกลาออก",
            VLOOKUP(B1286, 'รายชื่อพนักงานลาออกพ้นสภาพ'!B:I, 7, FALSE)&lt;=TODAY()
        ),
        "ลาออกแล้ว",
        ""
    ),
"")</f>
        <v/>
      </c>
      <c r="O1286" s="292" t="str">
        <f t="array" ref="O1286">IFERROR(INDEX(PCRent!C:D, MATCH(F1286 &amp; " " &amp; G1286, PCRent!A:A &amp; " " &amp; PCRent!B:B, 0)), "")</f>
        <v/>
      </c>
      <c r="P1286" s="293"/>
      <c r="Q1286" s="294" t="str">
        <f t="array" ref="Q1286">IFERROR(INDEX(MonitorRent!C:D, MATCH(F1286 &amp; " " &amp; G1286, MonitorRent!A:A &amp; " " &amp; MonitorRent!B:B, 0)), "")</f>
        <v/>
      </c>
      <c r="R1286" s="295"/>
    </row>
    <row r="1287">
      <c r="A1287" s="284">
        <v>1284.0</v>
      </c>
      <c r="B1287" s="285" t="s">
        <v>7768</v>
      </c>
      <c r="C1287" s="285" t="s">
        <v>6918</v>
      </c>
      <c r="D1287" s="286" t="s">
        <v>13844</v>
      </c>
      <c r="E1287" s="285" t="s">
        <v>6921</v>
      </c>
      <c r="F1287" s="285" t="s">
        <v>15034</v>
      </c>
      <c r="G1287" s="285" t="s">
        <v>15035</v>
      </c>
      <c r="H1287" s="285" t="s">
        <v>11194</v>
      </c>
      <c r="I1287" s="285" t="s">
        <v>15036</v>
      </c>
      <c r="J1287" s="285" t="s">
        <v>5224</v>
      </c>
      <c r="K1287" s="285" t="s">
        <v>9404</v>
      </c>
      <c r="L1287" s="285" t="s">
        <v>3170</v>
      </c>
      <c r="M1287" s="285" t="s">
        <v>9383</v>
      </c>
      <c r="N1287" s="287" t="str">
        <f>IFERROR(
    IF(
        AND(
            VLOOKUP(B1287, 'รายชื่อพนักงานลาออกพ้นสภาพ'!B:I, 8, FALSE)&lt;&gt;"ยกเลิกลาออก",
            VLOOKUP(B1287, 'รายชื่อพนักงานลาออกพ้นสภาพ'!B:I, 7, FALSE)&lt;=TODAY()
        ),
        "ลาออกแล้ว",
        ""
    ),
"")</f>
        <v/>
      </c>
      <c r="O1287" s="292" t="str">
        <f t="array" ref="O1287">IFERROR(INDEX(PCRent!C:D, MATCH(F1287 &amp; " " &amp; G1287, PCRent!A:A &amp; " " &amp; PCRent!B:B, 0)), "")</f>
        <v/>
      </c>
      <c r="P1287" s="293"/>
      <c r="Q1287" s="294" t="str">
        <f t="array" ref="Q1287">IFERROR(INDEX(MonitorRent!C:D, MATCH(F1287 &amp; " " &amp; G1287, MonitorRent!A:A &amp; " " &amp; MonitorRent!B:B, 0)), "")</f>
        <v/>
      </c>
      <c r="R1287" s="295"/>
    </row>
    <row r="1288">
      <c r="A1288" s="284">
        <v>1285.0</v>
      </c>
      <c r="B1288" s="285" t="s">
        <v>8958</v>
      </c>
      <c r="C1288" s="285" t="s">
        <v>6918</v>
      </c>
      <c r="D1288" s="286" t="s">
        <v>15037</v>
      </c>
      <c r="E1288" s="285" t="s">
        <v>6921</v>
      </c>
      <c r="F1288" s="285" t="s">
        <v>15034</v>
      </c>
      <c r="G1288" s="285" t="s">
        <v>15038</v>
      </c>
      <c r="H1288" s="285" t="s">
        <v>11243</v>
      </c>
      <c r="I1288" s="285" t="s">
        <v>15039</v>
      </c>
      <c r="J1288" s="285" t="s">
        <v>5224</v>
      </c>
      <c r="K1288" s="285" t="s">
        <v>11222</v>
      </c>
      <c r="L1288" s="285" t="s">
        <v>15040</v>
      </c>
      <c r="M1288" s="285" t="s">
        <v>9383</v>
      </c>
      <c r="N1288" s="287" t="str">
        <f>IFERROR(
    IF(
        AND(
            VLOOKUP(B1288, 'รายชื่อพนักงานลาออกพ้นสภาพ'!B:I, 8, FALSE)&lt;&gt;"ยกเลิกลาออก",
            VLOOKUP(B1288, 'รายชื่อพนักงานลาออกพ้นสภาพ'!B:I, 7, FALSE)&lt;=TODAY()
        ),
        "ลาออกแล้ว",
        ""
    ),
"")</f>
        <v/>
      </c>
      <c r="O1288" s="292" t="str">
        <f t="array" ref="O1288">IFERROR(INDEX(PCRent!C:D, MATCH(F1288 &amp; " " &amp; G1288, PCRent!A:A &amp; " " &amp; PCRent!B:B, 0)), "")</f>
        <v/>
      </c>
      <c r="P1288" s="293"/>
      <c r="Q1288" s="294" t="str">
        <f t="array" ref="Q1288">IFERROR(INDEX(MonitorRent!C:D, MATCH(F1288 &amp; " " &amp; G1288, MonitorRent!A:A &amp; " " &amp; MonitorRent!B:B, 0)), "")</f>
        <v/>
      </c>
      <c r="R1288" s="295"/>
    </row>
    <row r="1289">
      <c r="A1289" s="284">
        <v>1286.0</v>
      </c>
      <c r="B1289" s="285" t="s">
        <v>9033</v>
      </c>
      <c r="C1289" s="285" t="s">
        <v>6918</v>
      </c>
      <c r="D1289" s="286" t="s">
        <v>14601</v>
      </c>
      <c r="E1289" s="285" t="s">
        <v>6921</v>
      </c>
      <c r="F1289" s="285" t="s">
        <v>15041</v>
      </c>
      <c r="G1289" s="285" t="s">
        <v>15042</v>
      </c>
      <c r="H1289" s="285" t="s">
        <v>9501</v>
      </c>
      <c r="I1289" s="285" t="s">
        <v>15043</v>
      </c>
      <c r="J1289" s="285" t="s">
        <v>5224</v>
      </c>
      <c r="K1289" s="285" t="s">
        <v>4756</v>
      </c>
      <c r="L1289" s="285" t="s">
        <v>3041</v>
      </c>
      <c r="M1289" s="285" t="s">
        <v>9383</v>
      </c>
      <c r="N1289" s="287" t="str">
        <f>IFERROR(
    IF(
        AND(
            VLOOKUP(B1289, 'รายชื่อพนักงานลาออกพ้นสภาพ'!B:I, 8, FALSE)&lt;&gt;"ยกเลิกลาออก",
            VLOOKUP(B1289, 'รายชื่อพนักงานลาออกพ้นสภาพ'!B:I, 7, FALSE)&lt;=TODAY()
        ),
        "ลาออกแล้ว",
        ""
    ),
"")</f>
        <v/>
      </c>
      <c r="O1289" s="292" t="str">
        <f t="array" ref="O1289">IFERROR(INDEX(PCRent!C:D, MATCH(F1289 &amp; " " &amp; G1289, PCRent!A:A &amp; " " &amp; PCRent!B:B, 0)), "")</f>
        <v/>
      </c>
      <c r="P1289" s="293"/>
      <c r="Q1289" s="294" t="str">
        <f t="array" ref="Q1289">IFERROR(INDEX(MonitorRent!C:D, MATCH(F1289 &amp; " " &amp; G1289, MonitorRent!A:A &amp; " " &amp; MonitorRent!B:B, 0)), "")</f>
        <v/>
      </c>
      <c r="R1289" s="295"/>
    </row>
    <row r="1290">
      <c r="A1290" s="284">
        <v>1287.0</v>
      </c>
      <c r="B1290" s="285" t="s">
        <v>9008</v>
      </c>
      <c r="C1290" s="285" t="s">
        <v>6918</v>
      </c>
      <c r="D1290" s="286" t="s">
        <v>12391</v>
      </c>
      <c r="E1290" s="285" t="s">
        <v>7239</v>
      </c>
      <c r="F1290" s="285" t="s">
        <v>15044</v>
      </c>
      <c r="G1290" s="285" t="s">
        <v>15045</v>
      </c>
      <c r="H1290" s="285" t="s">
        <v>10073</v>
      </c>
      <c r="I1290" s="285" t="s">
        <v>15046</v>
      </c>
      <c r="J1290" s="285" t="s">
        <v>5224</v>
      </c>
      <c r="K1290" s="285" t="s">
        <v>4749</v>
      </c>
      <c r="L1290" s="285" t="s">
        <v>3041</v>
      </c>
      <c r="M1290" s="285" t="s">
        <v>9383</v>
      </c>
      <c r="N1290" s="287" t="str">
        <f>IFERROR(
    IF(
        AND(
            VLOOKUP(B1290, 'รายชื่อพนักงานลาออกพ้นสภาพ'!B:I, 8, FALSE)&lt;&gt;"ยกเลิกลาออก",
            VLOOKUP(B1290, 'รายชื่อพนักงานลาออกพ้นสภาพ'!B:I, 7, FALSE)&lt;=TODAY()
        ),
        "ลาออกแล้ว",
        ""
    ),
"")</f>
        <v/>
      </c>
      <c r="O1290" s="292" t="str">
        <f t="array" ref="O1290">IFERROR(INDEX(PCRent!C:D, MATCH(F1290 &amp; " " &amp; G1290, PCRent!A:A &amp; " " &amp; PCRent!B:B, 0)), "")</f>
        <v/>
      </c>
      <c r="P1290" s="293"/>
      <c r="Q1290" s="294" t="str">
        <f t="array" ref="Q1290">IFERROR(INDEX(MonitorRent!C:D, MATCH(F1290 &amp; " " &amp; G1290, MonitorRent!A:A &amp; " " &amp; MonitorRent!B:B, 0)), "")</f>
        <v/>
      </c>
      <c r="R1290" s="295"/>
    </row>
    <row r="1291">
      <c r="A1291" s="284">
        <v>1288.0</v>
      </c>
      <c r="B1291" s="285" t="s">
        <v>943</v>
      </c>
      <c r="C1291" s="285" t="s">
        <v>6918</v>
      </c>
      <c r="D1291" s="286" t="s">
        <v>15047</v>
      </c>
      <c r="E1291" s="285" t="s">
        <v>6921</v>
      </c>
      <c r="F1291" s="285" t="s">
        <v>15044</v>
      </c>
      <c r="G1291" s="285" t="s">
        <v>9746</v>
      </c>
      <c r="H1291" s="285" t="s">
        <v>10744</v>
      </c>
      <c r="I1291" s="285" t="s">
        <v>947</v>
      </c>
      <c r="J1291" s="285" t="s">
        <v>5224</v>
      </c>
      <c r="K1291" s="285" t="s">
        <v>12845</v>
      </c>
      <c r="L1291" s="285" t="s">
        <v>2603</v>
      </c>
      <c r="M1291" s="285" t="s">
        <v>9383</v>
      </c>
      <c r="N1291" s="287" t="str">
        <f>IFERROR(
    IF(
        AND(
            VLOOKUP(B1291, 'รายชื่อพนักงานลาออกพ้นสภาพ'!B:I, 8, FALSE)&lt;&gt;"ยกเลิกลาออก",
            VLOOKUP(B1291, 'รายชื่อพนักงานลาออกพ้นสภาพ'!B:I, 7, FALSE)&lt;=TODAY()
        ),
        "ลาออกแล้ว",
        ""
    ),
"")</f>
        <v/>
      </c>
      <c r="O1291" s="292" t="str">
        <f t="array" ref="O1291:P1291">IFERROR(INDEX(PCRent!C:D, MATCH(F1291 &amp; " " &amp; G1291, PCRent!A:A &amp; " " &amp; PCRent!B:B, 0)), "")</f>
        <v>SN:J85MR04</v>
      </c>
      <c r="P1291" s="293" t="s">
        <v>7048</v>
      </c>
      <c r="Q1291" s="294" t="str">
        <f t="array" ref="Q1291:R1291">IFERROR(INDEX(MonitorRent!C:D, MATCH(F1291 &amp; " " &amp; G1291, MonitorRent!A:A &amp; " " &amp; MonitorRent!B:B, 0)), "")</f>
        <v>SN:DVTRL24</v>
      </c>
      <c r="R1291" s="295" t="s">
        <v>9397</v>
      </c>
    </row>
    <row r="1292">
      <c r="A1292" s="284">
        <v>1289.0</v>
      </c>
      <c r="B1292" s="285" t="s">
        <v>7027</v>
      </c>
      <c r="C1292" s="285" t="s">
        <v>6918</v>
      </c>
      <c r="D1292" s="286" t="s">
        <v>15048</v>
      </c>
      <c r="E1292" s="285" t="s">
        <v>6933</v>
      </c>
      <c r="F1292" s="285" t="s">
        <v>15049</v>
      </c>
      <c r="G1292" s="285" t="s">
        <v>15045</v>
      </c>
      <c r="H1292" s="285" t="s">
        <v>11533</v>
      </c>
      <c r="I1292" s="285" t="s">
        <v>15050</v>
      </c>
      <c r="J1292" s="285" t="s">
        <v>5224</v>
      </c>
      <c r="K1292" s="285" t="s">
        <v>13470</v>
      </c>
      <c r="L1292" s="285" t="s">
        <v>7015</v>
      </c>
      <c r="M1292" s="285" t="s">
        <v>9383</v>
      </c>
      <c r="N1292" s="287" t="str">
        <f>IFERROR(
    IF(
        AND(
            VLOOKUP(B1292, 'รายชื่อพนักงานลาออกพ้นสภาพ'!B:I, 8, FALSE)&lt;&gt;"ยกเลิกลาออก",
            VLOOKUP(B1292, 'รายชื่อพนักงานลาออกพ้นสภาพ'!B:I, 7, FALSE)&lt;=TODAY()
        ),
        "ลาออกแล้ว",
        ""
    ),
"")</f>
        <v/>
      </c>
      <c r="O1292" s="292" t="str">
        <f t="array" ref="O1292">IFERROR(INDEX(PCRent!C:D, MATCH(F1292 &amp; " " &amp; G1292, PCRent!A:A &amp; " " &amp; PCRent!B:B, 0)), "")</f>
        <v/>
      </c>
      <c r="P1292" s="293"/>
      <c r="Q1292" s="294" t="str">
        <f t="array" ref="Q1292">IFERROR(INDEX(MonitorRent!C:D, MATCH(F1292 &amp; " " &amp; G1292, MonitorRent!A:A &amp; " " &amp; MonitorRent!B:B, 0)), "")</f>
        <v/>
      </c>
      <c r="R1292" s="295"/>
    </row>
    <row r="1293">
      <c r="A1293" s="284">
        <v>1290.0</v>
      </c>
      <c r="B1293" s="285" t="s">
        <v>7416</v>
      </c>
      <c r="C1293" s="285" t="s">
        <v>6918</v>
      </c>
      <c r="D1293" s="286" t="s">
        <v>15051</v>
      </c>
      <c r="E1293" s="285" t="s">
        <v>7239</v>
      </c>
      <c r="F1293" s="285" t="s">
        <v>15052</v>
      </c>
      <c r="G1293" s="285" t="s">
        <v>15053</v>
      </c>
      <c r="H1293" s="285" t="s">
        <v>15054</v>
      </c>
      <c r="I1293" s="285" t="s">
        <v>15055</v>
      </c>
      <c r="J1293" s="285" t="s">
        <v>5224</v>
      </c>
      <c r="K1293" s="285" t="s">
        <v>14265</v>
      </c>
      <c r="L1293" s="285" t="s">
        <v>7418</v>
      </c>
      <c r="M1293" s="285" t="s">
        <v>9383</v>
      </c>
      <c r="N1293" s="287" t="str">
        <f>IFERROR(
    IF(
        AND(
            VLOOKUP(B1293, 'รายชื่อพนักงานลาออกพ้นสภาพ'!B:I, 8, FALSE)&lt;&gt;"ยกเลิกลาออก",
            VLOOKUP(B1293, 'รายชื่อพนักงานลาออกพ้นสภาพ'!B:I, 7, FALSE)&lt;=TODAY()
        ),
        "ลาออกแล้ว",
        ""
    ),
"")</f>
        <v/>
      </c>
      <c r="O1293" s="292" t="str">
        <f t="array" ref="O1293">IFERROR(INDEX(PCRent!C:D, MATCH(F1293 &amp; " " &amp; G1293, PCRent!A:A &amp; " " &amp; PCRent!B:B, 0)), "")</f>
        <v/>
      </c>
      <c r="P1293" s="293"/>
      <c r="Q1293" s="294" t="str">
        <f t="array" ref="Q1293">IFERROR(INDEX(MonitorRent!C:D, MATCH(F1293 &amp; " " &amp; G1293, MonitorRent!A:A &amp; " " &amp; MonitorRent!B:B, 0)), "")</f>
        <v/>
      </c>
      <c r="R1293" s="295"/>
    </row>
    <row r="1294">
      <c r="A1294" s="284">
        <v>1291.0</v>
      </c>
      <c r="B1294" s="285" t="s">
        <v>7441</v>
      </c>
      <c r="C1294" s="285" t="s">
        <v>6918</v>
      </c>
      <c r="D1294" s="286" t="s">
        <v>9723</v>
      </c>
      <c r="E1294" s="285" t="s">
        <v>7239</v>
      </c>
      <c r="F1294" s="285" t="s">
        <v>15056</v>
      </c>
      <c r="G1294" s="285" t="s">
        <v>15057</v>
      </c>
      <c r="H1294" s="285" t="s">
        <v>10086</v>
      </c>
      <c r="I1294" s="285" t="s">
        <v>15058</v>
      </c>
      <c r="J1294" s="285" t="s">
        <v>5224</v>
      </c>
      <c r="K1294" s="285" t="s">
        <v>4756</v>
      </c>
      <c r="L1294" s="285" t="s">
        <v>7434</v>
      </c>
      <c r="M1294" s="285" t="s">
        <v>9383</v>
      </c>
      <c r="N1294" s="287" t="str">
        <f>IFERROR(
    IF(
        AND(
            VLOOKUP(B1294, 'รายชื่อพนักงานลาออกพ้นสภาพ'!B:I, 8, FALSE)&lt;&gt;"ยกเลิกลาออก",
            VLOOKUP(B1294, 'รายชื่อพนักงานลาออกพ้นสภาพ'!B:I, 7, FALSE)&lt;=TODAY()
        ),
        "ลาออกแล้ว",
        ""
    ),
"")</f>
        <v/>
      </c>
      <c r="O1294" s="292" t="str">
        <f t="array" ref="O1294">IFERROR(INDEX(PCRent!C:D, MATCH(F1294 &amp; " " &amp; G1294, PCRent!A:A &amp; " " &amp; PCRent!B:B, 0)), "")</f>
        <v/>
      </c>
      <c r="P1294" s="293"/>
      <c r="Q1294" s="294" t="str">
        <f t="array" ref="Q1294">IFERROR(INDEX(MonitorRent!C:D, MATCH(F1294 &amp; " " &amp; G1294, MonitorRent!A:A &amp; " " &amp; MonitorRent!B:B, 0)), "")</f>
        <v/>
      </c>
      <c r="R1294" s="295"/>
    </row>
    <row r="1295">
      <c r="A1295" s="284">
        <v>1292.0</v>
      </c>
      <c r="B1295" s="285" t="s">
        <v>8986</v>
      </c>
      <c r="C1295" s="285" t="s">
        <v>6918</v>
      </c>
      <c r="D1295" s="286" t="s">
        <v>10613</v>
      </c>
      <c r="E1295" s="285" t="s">
        <v>6933</v>
      </c>
      <c r="F1295" s="285" t="s">
        <v>11603</v>
      </c>
      <c r="G1295" s="285" t="s">
        <v>15059</v>
      </c>
      <c r="H1295" s="285" t="s">
        <v>12055</v>
      </c>
      <c r="I1295" s="285" t="s">
        <v>15060</v>
      </c>
      <c r="J1295" s="285" t="s">
        <v>5224</v>
      </c>
      <c r="K1295" s="285" t="s">
        <v>4749</v>
      </c>
      <c r="L1295" s="285" t="s">
        <v>13001</v>
      </c>
      <c r="M1295" s="285" t="s">
        <v>9383</v>
      </c>
      <c r="N1295" s="287" t="str">
        <f>IFERROR(
    IF(
        AND(
            VLOOKUP(B1295, 'รายชื่อพนักงานลาออกพ้นสภาพ'!B:I, 8, FALSE)&lt;&gt;"ยกเลิกลาออก",
            VLOOKUP(B1295, 'รายชื่อพนักงานลาออกพ้นสภาพ'!B:I, 7, FALSE)&lt;=TODAY()
        ),
        "ลาออกแล้ว",
        ""
    ),
"")</f>
        <v/>
      </c>
      <c r="O1295" s="292" t="str">
        <f t="array" ref="O1295:P1295">IFERROR(INDEX(PCRent!C:D, MATCH(F1295 &amp; " " &amp; G1295, PCRent!A:A &amp; " " &amp; PCRent!B:B, 0)), "")</f>
        <v>SN:PF39F750</v>
      </c>
      <c r="P1295" s="293" t="s">
        <v>7005</v>
      </c>
      <c r="Q1295" s="294" t="str">
        <f t="array" ref="Q1295">IFERROR(INDEX(MonitorRent!C:D, MATCH(F1295 &amp; " " &amp; G1295, MonitorRent!A:A &amp; " " &amp; MonitorRent!B:B, 0)), "")</f>
        <v/>
      </c>
      <c r="R1295" s="295"/>
    </row>
    <row r="1296">
      <c r="A1296" s="284">
        <v>1293.0</v>
      </c>
      <c r="B1296" s="285" t="s">
        <v>15061</v>
      </c>
      <c r="C1296" s="285" t="s">
        <v>6918</v>
      </c>
      <c r="D1296" s="286" t="s">
        <v>15062</v>
      </c>
      <c r="E1296" s="285" t="s">
        <v>6933</v>
      </c>
      <c r="F1296" s="285" t="s">
        <v>11606</v>
      </c>
      <c r="G1296" s="285" t="s">
        <v>15063</v>
      </c>
      <c r="H1296" s="285" t="s">
        <v>15064</v>
      </c>
      <c r="I1296" s="285" t="s">
        <v>15065</v>
      </c>
      <c r="J1296" s="285" t="s">
        <v>5012</v>
      </c>
      <c r="K1296" s="285" t="s">
        <v>9626</v>
      </c>
      <c r="L1296" s="285" t="s">
        <v>3857</v>
      </c>
      <c r="M1296" s="285" t="s">
        <v>9383</v>
      </c>
      <c r="N1296" s="287" t="str">
        <f>IFERROR(
    IF(
        AND(
            VLOOKUP(B1296, 'รายชื่อพนักงานลาออกพ้นสภาพ'!B:I, 8, FALSE)&lt;&gt;"ยกเลิกลาออก",
            VLOOKUP(B1296, 'รายชื่อพนักงานลาออกพ้นสภาพ'!B:I, 7, FALSE)&lt;=TODAY()
        ),
        "ลาออกแล้ว",
        ""
    ),
"")</f>
        <v/>
      </c>
      <c r="O1296" s="292" t="str">
        <f t="array" ref="O1296">IFERROR(INDEX(PCRent!C:D, MATCH(F1296 &amp; " " &amp; G1296, PCRent!A:A &amp; " " &amp; PCRent!B:B, 0)), "")</f>
        <v/>
      </c>
      <c r="P1296" s="293"/>
      <c r="Q1296" s="294" t="str">
        <f t="array" ref="Q1296">IFERROR(INDEX(MonitorRent!C:D, MATCH(F1296 &amp; " " &amp; G1296, MonitorRent!A:A &amp; " " &amp; MonitorRent!B:B, 0)), "")</f>
        <v/>
      </c>
      <c r="R1296" s="295"/>
    </row>
    <row r="1297">
      <c r="A1297" s="284">
        <v>1294.0</v>
      </c>
      <c r="B1297" s="285" t="s">
        <v>6932</v>
      </c>
      <c r="C1297" s="285" t="s">
        <v>6918</v>
      </c>
      <c r="D1297" s="286" t="s">
        <v>12280</v>
      </c>
      <c r="E1297" s="285" t="s">
        <v>6933</v>
      </c>
      <c r="F1297" s="285" t="s">
        <v>11606</v>
      </c>
      <c r="G1297" s="285" t="s">
        <v>15066</v>
      </c>
      <c r="H1297" s="285" t="s">
        <v>15067</v>
      </c>
      <c r="I1297" s="285" t="s">
        <v>15068</v>
      </c>
      <c r="J1297" s="285" t="s">
        <v>5224</v>
      </c>
      <c r="K1297" s="285" t="s">
        <v>1392</v>
      </c>
      <c r="L1297" s="285" t="s">
        <v>6935</v>
      </c>
      <c r="M1297" s="285" t="s">
        <v>9383</v>
      </c>
      <c r="N1297" s="287" t="str">
        <f>IFERROR(
    IF(
        AND(
            VLOOKUP(B1297, 'รายชื่อพนักงานลาออกพ้นสภาพ'!B:I, 8, FALSE)&lt;&gt;"ยกเลิกลาออก",
            VLOOKUP(B1297, 'รายชื่อพนักงานลาออกพ้นสภาพ'!B:I, 7, FALSE)&lt;=TODAY()
        ),
        "ลาออกแล้ว",
        ""
    ),
"")</f>
        <v/>
      </c>
      <c r="O1297" s="292" t="str">
        <f t="array" ref="O1297">IFERROR(INDEX(PCRent!C:D, MATCH(F1297 &amp; " " &amp; G1297, PCRent!A:A &amp; " " &amp; PCRent!B:B, 0)), "")</f>
        <v/>
      </c>
      <c r="P1297" s="293"/>
      <c r="Q1297" s="294" t="str">
        <f t="array" ref="Q1297">IFERROR(INDEX(MonitorRent!C:D, MATCH(F1297 &amp; " " &amp; G1297, MonitorRent!A:A &amp; " " &amp; MonitorRent!B:B, 0)), "")</f>
        <v/>
      </c>
      <c r="R1297" s="295"/>
    </row>
    <row r="1298">
      <c r="A1298" s="284">
        <v>1295.0</v>
      </c>
      <c r="B1298" s="285" t="s">
        <v>675</v>
      </c>
      <c r="C1298" s="285" t="s">
        <v>6918</v>
      </c>
      <c r="D1298" s="286" t="s">
        <v>9819</v>
      </c>
      <c r="E1298" s="285" t="s">
        <v>6921</v>
      </c>
      <c r="F1298" s="285" t="s">
        <v>15069</v>
      </c>
      <c r="G1298" s="285" t="s">
        <v>15070</v>
      </c>
      <c r="H1298" s="285" t="s">
        <v>14482</v>
      </c>
      <c r="I1298" s="285" t="s">
        <v>679</v>
      </c>
      <c r="J1298" s="285" t="s">
        <v>5224</v>
      </c>
      <c r="K1298" s="285" t="s">
        <v>15071</v>
      </c>
      <c r="L1298" s="285" t="s">
        <v>2208</v>
      </c>
      <c r="M1298" s="285" t="s">
        <v>9383</v>
      </c>
      <c r="N1298" s="287" t="str">
        <f>IFERROR(
    IF(
        AND(
            VLOOKUP(B1298, 'รายชื่อพนักงานลาออกพ้นสภาพ'!B:I, 8, FALSE)&lt;&gt;"ยกเลิกลาออก",
            VLOOKUP(B1298, 'รายชื่อพนักงานลาออกพ้นสภาพ'!B:I, 7, FALSE)&lt;=TODAY()
        ),
        "ลาออกแล้ว",
        ""
    ),
"")</f>
        <v>ลาออกแล้ว</v>
      </c>
      <c r="O1298" s="292" t="str">
        <f t="array" ref="O1298">IFERROR(INDEX(PCRent!C:D, MATCH(F1298 &amp; " " &amp; G1298, PCRent!A:A &amp; " " &amp; PCRent!B:B, 0)), "")</f>
        <v/>
      </c>
      <c r="P1298" s="293"/>
      <c r="Q1298" s="294" t="str">
        <f t="array" ref="Q1298">IFERROR(INDEX(MonitorRent!C:D, MATCH(F1298 &amp; " " &amp; G1298, MonitorRent!A:A &amp; " " &amp; MonitorRent!B:B, 0)), "")</f>
        <v/>
      </c>
      <c r="R1298" s="295"/>
    </row>
    <row r="1299">
      <c r="A1299" s="284">
        <v>1296.0</v>
      </c>
      <c r="B1299" s="285" t="s">
        <v>15072</v>
      </c>
      <c r="C1299" s="285" t="s">
        <v>6918</v>
      </c>
      <c r="D1299" s="286" t="s">
        <v>9718</v>
      </c>
      <c r="E1299" s="285" t="s">
        <v>6921</v>
      </c>
      <c r="F1299" s="285" t="s">
        <v>15073</v>
      </c>
      <c r="G1299" s="285" t="s">
        <v>15074</v>
      </c>
      <c r="H1299" s="285" t="s">
        <v>9558</v>
      </c>
      <c r="I1299" s="285" t="s">
        <v>15075</v>
      </c>
      <c r="J1299" s="285" t="s">
        <v>5012</v>
      </c>
      <c r="K1299" s="285" t="s">
        <v>6322</v>
      </c>
      <c r="L1299" s="285" t="s">
        <v>3680</v>
      </c>
      <c r="M1299" s="285" t="s">
        <v>9391</v>
      </c>
      <c r="N1299" s="287" t="str">
        <f>IFERROR(
    IF(
        AND(
            VLOOKUP(B1299, 'รายชื่อพนักงานลาออกพ้นสภาพ'!B:I, 8, FALSE)&lt;&gt;"ยกเลิกลาออก",
            VLOOKUP(B1299, 'รายชื่อพนักงานลาออกพ้นสภาพ'!B:I, 7, FALSE)&lt;=TODAY()
        ),
        "ลาออกแล้ว",
        ""
    ),
"")</f>
        <v/>
      </c>
      <c r="O1299" s="292" t="str">
        <f t="array" ref="O1299">IFERROR(INDEX(PCRent!C:D, MATCH(F1299 &amp; " " &amp; G1299, PCRent!A:A &amp; " " &amp; PCRent!B:B, 0)), "")</f>
        <v/>
      </c>
      <c r="P1299" s="293"/>
      <c r="Q1299" s="294" t="str">
        <f t="array" ref="Q1299">IFERROR(INDEX(MonitorRent!C:D, MATCH(F1299 &amp; " " &amp; G1299, MonitorRent!A:A &amp; " " &amp; MonitorRent!B:B, 0)), "")</f>
        <v/>
      </c>
      <c r="R1299" s="295"/>
    </row>
    <row r="1300">
      <c r="A1300" s="284">
        <v>1297.0</v>
      </c>
      <c r="B1300" s="285" t="s">
        <v>8143</v>
      </c>
      <c r="C1300" s="285" t="s">
        <v>6918</v>
      </c>
      <c r="D1300" s="286" t="s">
        <v>13775</v>
      </c>
      <c r="E1300" s="285" t="s">
        <v>6921</v>
      </c>
      <c r="F1300" s="285" t="s">
        <v>15076</v>
      </c>
      <c r="G1300" s="285" t="s">
        <v>11298</v>
      </c>
      <c r="H1300" s="285" t="s">
        <v>15077</v>
      </c>
      <c r="I1300" s="285" t="s">
        <v>15078</v>
      </c>
      <c r="J1300" s="285" t="s">
        <v>5224</v>
      </c>
      <c r="K1300" s="285" t="s">
        <v>13144</v>
      </c>
      <c r="L1300" s="285" t="s">
        <v>8136</v>
      </c>
      <c r="M1300" s="285" t="s">
        <v>9383</v>
      </c>
      <c r="N1300" s="287" t="str">
        <f>IFERROR(
    IF(
        AND(
            VLOOKUP(B1300, 'รายชื่อพนักงานลาออกพ้นสภาพ'!B:I, 8, FALSE)&lt;&gt;"ยกเลิกลาออก",
            VLOOKUP(B1300, 'รายชื่อพนักงานลาออกพ้นสภาพ'!B:I, 7, FALSE)&lt;=TODAY()
        ),
        "ลาออกแล้ว",
        ""
    ),
"")</f>
        <v/>
      </c>
      <c r="O1300" s="292" t="str">
        <f t="array" ref="O1300:P1300">IFERROR(INDEX(PCRent!C:D, MATCH(F1300 &amp; " " &amp; G1300, PCRent!A:A &amp; " " &amp; PCRent!B:B, 0)), "")</f>
        <v>SN:5S4XMX3</v>
      </c>
      <c r="P1300" s="293" t="s">
        <v>8146</v>
      </c>
      <c r="Q1300" s="294" t="str">
        <f t="array" ref="Q1300">IFERROR(INDEX(MonitorRent!C:D, MATCH(F1300 &amp; " " &amp; G1300, MonitorRent!A:A &amp; " " &amp; MonitorRent!B:B, 0)), "")</f>
        <v/>
      </c>
      <c r="R1300" s="295"/>
    </row>
    <row r="1301">
      <c r="A1301" s="284">
        <v>1298.0</v>
      </c>
      <c r="B1301" s="285" t="s">
        <v>9040</v>
      </c>
      <c r="C1301" s="285" t="s">
        <v>6918</v>
      </c>
      <c r="D1301" s="286" t="s">
        <v>15079</v>
      </c>
      <c r="E1301" s="285" t="s">
        <v>9041</v>
      </c>
      <c r="F1301" s="285" t="s">
        <v>15076</v>
      </c>
      <c r="G1301" s="285" t="s">
        <v>15080</v>
      </c>
      <c r="H1301" s="285" t="s">
        <v>14320</v>
      </c>
      <c r="I1301" s="285" t="s">
        <v>15081</v>
      </c>
      <c r="J1301" s="285" t="s">
        <v>5224</v>
      </c>
      <c r="K1301" s="285" t="s">
        <v>1456</v>
      </c>
      <c r="L1301" s="285" t="s">
        <v>8850</v>
      </c>
      <c r="M1301" s="285" t="s">
        <v>9383</v>
      </c>
      <c r="N1301" s="287" t="str">
        <f>IFERROR(
    IF(
        AND(
            VLOOKUP(B1301, 'รายชื่อพนักงานลาออกพ้นสภาพ'!B:I, 8, FALSE)&lt;&gt;"ยกเลิกลาออก",
            VLOOKUP(B1301, 'รายชื่อพนักงานลาออกพ้นสภาพ'!B:I, 7, FALSE)&lt;=TODAY()
        ),
        "ลาออกแล้ว",
        ""
    ),
"")</f>
        <v/>
      </c>
      <c r="O1301" s="292" t="str">
        <f t="array" ref="O1301">IFERROR(INDEX(PCRent!C:D, MATCH(F1301 &amp; " " &amp; G1301, PCRent!A:A &amp; " " &amp; PCRent!B:B, 0)), "")</f>
        <v/>
      </c>
      <c r="P1301" s="293"/>
      <c r="Q1301" s="294" t="str">
        <f t="array" ref="Q1301">IFERROR(INDEX(MonitorRent!C:D, MATCH(F1301 &amp; " " &amp; G1301, MonitorRent!A:A &amp; " " &amp; MonitorRent!B:B, 0)), "")</f>
        <v/>
      </c>
      <c r="R1301" s="295"/>
    </row>
    <row r="1302">
      <c r="A1302" s="284">
        <v>1299.0</v>
      </c>
      <c r="B1302" s="285" t="s">
        <v>7476</v>
      </c>
      <c r="C1302" s="285" t="s">
        <v>6918</v>
      </c>
      <c r="D1302" s="286" t="s">
        <v>11296</v>
      </c>
      <c r="E1302" s="285" t="s">
        <v>6921</v>
      </c>
      <c r="F1302" s="285" t="s">
        <v>15082</v>
      </c>
      <c r="G1302" s="285" t="s">
        <v>15083</v>
      </c>
      <c r="H1302" s="285" t="s">
        <v>15084</v>
      </c>
      <c r="I1302" s="285" t="s">
        <v>15085</v>
      </c>
      <c r="J1302" s="285" t="s">
        <v>5224</v>
      </c>
      <c r="K1302" s="285" t="s">
        <v>13025</v>
      </c>
      <c r="L1302" s="285" t="s">
        <v>7459</v>
      </c>
      <c r="M1302" s="285" t="s">
        <v>9383</v>
      </c>
      <c r="N1302" s="287" t="str">
        <f>IFERROR(
    IF(
        AND(
            VLOOKUP(B1302, 'รายชื่อพนักงานลาออกพ้นสภาพ'!B:I, 8, FALSE)&lt;&gt;"ยกเลิกลาออก",
            VLOOKUP(B1302, 'รายชื่อพนักงานลาออกพ้นสภาพ'!B:I, 7, FALSE)&lt;=TODAY()
        ),
        "ลาออกแล้ว",
        ""
    ),
"")</f>
        <v/>
      </c>
      <c r="O1302" s="292" t="str">
        <f t="array" ref="O1302">IFERROR(INDEX(PCRent!C:D, MATCH(F1302 &amp; " " &amp; G1302, PCRent!A:A &amp; " " &amp; PCRent!B:B, 0)), "")</f>
        <v/>
      </c>
      <c r="P1302" s="293"/>
      <c r="Q1302" s="294" t="str">
        <f t="array" ref="Q1302">IFERROR(INDEX(MonitorRent!C:D, MATCH(F1302 &amp; " " &amp; G1302, MonitorRent!A:A &amp; " " &amp; MonitorRent!B:B, 0)), "")</f>
        <v/>
      </c>
      <c r="R1302" s="295"/>
    </row>
    <row r="1303">
      <c r="A1303" s="284">
        <v>1300.0</v>
      </c>
      <c r="B1303" s="285" t="s">
        <v>8373</v>
      </c>
      <c r="C1303" s="285" t="s">
        <v>6918</v>
      </c>
      <c r="D1303" s="286" t="s">
        <v>11401</v>
      </c>
      <c r="E1303" s="285" t="s">
        <v>6921</v>
      </c>
      <c r="F1303" s="285" t="s">
        <v>15086</v>
      </c>
      <c r="G1303" s="285" t="s">
        <v>15087</v>
      </c>
      <c r="H1303" s="285" t="s">
        <v>15088</v>
      </c>
      <c r="I1303" s="285" t="s">
        <v>15089</v>
      </c>
      <c r="J1303" s="285" t="s">
        <v>5224</v>
      </c>
      <c r="K1303" s="285" t="s">
        <v>4756</v>
      </c>
      <c r="L1303" s="285" t="s">
        <v>8362</v>
      </c>
      <c r="M1303" s="285" t="s">
        <v>9383</v>
      </c>
      <c r="N1303" s="287" t="str">
        <f>IFERROR(
    IF(
        AND(
            VLOOKUP(B1303, 'รายชื่อพนักงานลาออกพ้นสภาพ'!B:I, 8, FALSE)&lt;&gt;"ยกเลิกลาออก",
            VLOOKUP(B1303, 'รายชื่อพนักงานลาออกพ้นสภาพ'!B:I, 7, FALSE)&lt;=TODAY()
        ),
        "ลาออกแล้ว",
        ""
    ),
"")</f>
        <v/>
      </c>
      <c r="O1303" s="292" t="str">
        <f t="array" ref="O1303">IFERROR(INDEX(PCRent!C:D, MATCH(F1303 &amp; " " &amp; G1303, PCRent!A:A &amp; " " &amp; PCRent!B:B, 0)), "")</f>
        <v/>
      </c>
      <c r="P1303" s="293"/>
      <c r="Q1303" s="294" t="str">
        <f t="array" ref="Q1303">IFERROR(INDEX(MonitorRent!C:D, MATCH(F1303 &amp; " " &amp; G1303, MonitorRent!A:A &amp; " " &amp; MonitorRent!B:B, 0)), "")</f>
        <v/>
      </c>
      <c r="R1303" s="295"/>
    </row>
    <row r="1304">
      <c r="A1304" s="284">
        <v>1301.0</v>
      </c>
      <c r="B1304" s="285" t="s">
        <v>15090</v>
      </c>
      <c r="C1304" s="285" t="s">
        <v>6918</v>
      </c>
      <c r="D1304" s="286" t="s">
        <v>14610</v>
      </c>
      <c r="E1304" s="285" t="s">
        <v>6933</v>
      </c>
      <c r="F1304" s="285" t="s">
        <v>15091</v>
      </c>
      <c r="G1304" s="285" t="s">
        <v>15092</v>
      </c>
      <c r="H1304" s="285" t="s">
        <v>15093</v>
      </c>
      <c r="I1304" s="285" t="s">
        <v>15094</v>
      </c>
      <c r="J1304" s="285" t="s">
        <v>5224</v>
      </c>
      <c r="K1304" s="285" t="s">
        <v>9458</v>
      </c>
      <c r="L1304" s="285" t="s">
        <v>14659</v>
      </c>
      <c r="M1304" s="285" t="s">
        <v>9391</v>
      </c>
      <c r="N1304" s="287" t="str">
        <f>IFERROR(
    IF(
        AND(
            VLOOKUP(B1304, 'รายชื่อพนักงานลาออกพ้นสภาพ'!B:I, 8, FALSE)&lt;&gt;"ยกเลิกลาออก",
            VLOOKUP(B1304, 'รายชื่อพนักงานลาออกพ้นสภาพ'!B:I, 7, FALSE)&lt;=TODAY()
        ),
        "ลาออกแล้ว",
        ""
    ),
"")</f>
        <v/>
      </c>
      <c r="O1304" s="292" t="str">
        <f t="array" ref="O1304">IFERROR(INDEX(PCRent!C:D, MATCH(F1304 &amp; " " &amp; G1304, PCRent!A:A &amp; " " &amp; PCRent!B:B, 0)), "")</f>
        <v/>
      </c>
      <c r="P1304" s="293"/>
      <c r="Q1304" s="294" t="str">
        <f t="array" ref="Q1304">IFERROR(INDEX(MonitorRent!C:D, MATCH(F1304 &amp; " " &amp; G1304, MonitorRent!A:A &amp; " " &amp; MonitorRent!B:B, 0)), "")</f>
        <v/>
      </c>
      <c r="R1304" s="295"/>
    </row>
    <row r="1305">
      <c r="A1305" s="284">
        <v>1302.0</v>
      </c>
      <c r="B1305" s="285" t="s">
        <v>7973</v>
      </c>
      <c r="C1305" s="285" t="s">
        <v>6918</v>
      </c>
      <c r="D1305" s="286" t="s">
        <v>15095</v>
      </c>
      <c r="E1305" s="285" t="s">
        <v>6921</v>
      </c>
      <c r="F1305" s="285" t="s">
        <v>15096</v>
      </c>
      <c r="G1305" s="285" t="s">
        <v>15097</v>
      </c>
      <c r="H1305" s="285" t="s">
        <v>15098</v>
      </c>
      <c r="I1305" s="285" t="s">
        <v>15099</v>
      </c>
      <c r="J1305" s="285" t="s">
        <v>5224</v>
      </c>
      <c r="K1305" s="285" t="s">
        <v>4818</v>
      </c>
      <c r="L1305" s="285" t="s">
        <v>7626</v>
      </c>
      <c r="M1305" s="285" t="s">
        <v>9383</v>
      </c>
      <c r="N1305" s="287" t="str">
        <f>IFERROR(
    IF(
        AND(
            VLOOKUP(B1305, 'รายชื่อพนักงานลาออกพ้นสภาพ'!B:I, 8, FALSE)&lt;&gt;"ยกเลิกลาออก",
            VLOOKUP(B1305, 'รายชื่อพนักงานลาออกพ้นสภาพ'!B:I, 7, FALSE)&lt;=TODAY()
        ),
        "ลาออกแล้ว",
        ""
    ),
"")</f>
        <v/>
      </c>
      <c r="O1305" s="292" t="str">
        <f t="array" ref="O1305:P1305">IFERROR(INDEX(PCRent!C:D, MATCH(F1305 &amp; " " &amp; G1305, PCRent!A:A &amp; " " &amp; PCRent!B:B, 0)), "")</f>
        <v>SN:MP2ESEYZ</v>
      </c>
      <c r="P1305" s="293" t="s">
        <v>7070</v>
      </c>
      <c r="Q1305" s="294" t="str">
        <f t="array" ref="Q1305">IFERROR(INDEX(MonitorRent!C:D, MATCH(F1305 &amp; " " &amp; G1305, MonitorRent!A:A &amp; " " &amp; MonitorRent!B:B, 0)), "")</f>
        <v/>
      </c>
      <c r="R1305" s="295"/>
    </row>
    <row r="1306">
      <c r="A1306" s="284">
        <v>1303.0</v>
      </c>
      <c r="B1306" s="285" t="s">
        <v>8262</v>
      </c>
      <c r="C1306" s="285" t="s">
        <v>6918</v>
      </c>
      <c r="D1306" s="286" t="s">
        <v>15100</v>
      </c>
      <c r="E1306" s="285" t="s">
        <v>6933</v>
      </c>
      <c r="F1306" s="285" t="s">
        <v>15101</v>
      </c>
      <c r="G1306" s="285" t="s">
        <v>15102</v>
      </c>
      <c r="H1306" s="285" t="s">
        <v>10269</v>
      </c>
      <c r="I1306" s="285" t="s">
        <v>15103</v>
      </c>
      <c r="J1306" s="285" t="s">
        <v>5224</v>
      </c>
      <c r="K1306" s="285" t="s">
        <v>4749</v>
      </c>
      <c r="L1306" s="285" t="s">
        <v>2730</v>
      </c>
      <c r="M1306" s="285" t="s">
        <v>9383</v>
      </c>
      <c r="N1306" s="287" t="str">
        <f>IFERROR(
    IF(
        AND(
            VLOOKUP(B1306, 'รายชื่อพนักงานลาออกพ้นสภาพ'!B:I, 8, FALSE)&lt;&gt;"ยกเลิกลาออก",
            VLOOKUP(B1306, 'รายชื่อพนักงานลาออกพ้นสภาพ'!B:I, 7, FALSE)&lt;=TODAY()
        ),
        "ลาออกแล้ว",
        ""
    ),
"")</f>
        <v/>
      </c>
      <c r="O1306" s="292" t="str">
        <f t="array" ref="O1306">IFERROR(INDEX(PCRent!C:D, MATCH(F1306 &amp; " " &amp; G1306, PCRent!A:A &amp; " " &amp; PCRent!B:B, 0)), "")</f>
        <v/>
      </c>
      <c r="P1306" s="293"/>
      <c r="Q1306" s="294" t="str">
        <f t="array" ref="Q1306">IFERROR(INDEX(MonitorRent!C:D, MATCH(F1306 &amp; " " &amp; G1306, MonitorRent!A:A &amp; " " &amp; MonitorRent!B:B, 0)), "")</f>
        <v/>
      </c>
      <c r="R1306" s="295"/>
    </row>
    <row r="1307">
      <c r="A1307" s="284">
        <v>1304.0</v>
      </c>
      <c r="B1307" s="285" t="s">
        <v>8387</v>
      </c>
      <c r="C1307" s="285" t="s">
        <v>6918</v>
      </c>
      <c r="D1307" s="286" t="s">
        <v>11296</v>
      </c>
      <c r="E1307" s="285" t="s">
        <v>6933</v>
      </c>
      <c r="F1307" s="285" t="s">
        <v>15104</v>
      </c>
      <c r="G1307" s="285" t="s">
        <v>15105</v>
      </c>
      <c r="H1307" s="285" t="s">
        <v>15106</v>
      </c>
      <c r="I1307" s="285" t="s">
        <v>15107</v>
      </c>
      <c r="J1307" s="285" t="s">
        <v>5224</v>
      </c>
      <c r="K1307" s="285" t="s">
        <v>15108</v>
      </c>
      <c r="L1307" s="285" t="s">
        <v>8362</v>
      </c>
      <c r="M1307" s="285" t="s">
        <v>9383</v>
      </c>
      <c r="N1307" s="287" t="str">
        <f>IFERROR(
    IF(
        AND(
            VLOOKUP(B1307, 'รายชื่อพนักงานลาออกพ้นสภาพ'!B:I, 8, FALSE)&lt;&gt;"ยกเลิกลาออก",
            VLOOKUP(B1307, 'รายชื่อพนักงานลาออกพ้นสภาพ'!B:I, 7, FALSE)&lt;=TODAY()
        ),
        "ลาออกแล้ว",
        ""
    ),
"")</f>
        <v/>
      </c>
      <c r="O1307" s="292" t="str">
        <f t="array" ref="O1307:P1307">IFERROR(INDEX(PCRent!C:D, MATCH(F1307 &amp; " " &amp; G1307, PCRent!A:A &amp; " " &amp; PCRent!B:B, 0)), "")</f>
        <v>SN:BJT2CZ3</v>
      </c>
      <c r="P1307" s="293" t="s">
        <v>7048</v>
      </c>
      <c r="Q1307" s="294" t="str">
        <f t="array" ref="Q1307:R1307">IFERROR(INDEX(MonitorRent!C:D, MATCH(F1307 &amp; " " &amp; G1307, MonitorRent!A:A &amp; " " &amp; MonitorRent!B:B, 0)), "")</f>
        <v>SN:92W9XY3</v>
      </c>
      <c r="R1307" s="295" t="s">
        <v>7050</v>
      </c>
    </row>
    <row r="1308">
      <c r="A1308" s="284">
        <v>1305.0</v>
      </c>
      <c r="B1308" s="285" t="s">
        <v>15109</v>
      </c>
      <c r="C1308" s="285" t="s">
        <v>6918</v>
      </c>
      <c r="D1308" s="286" t="s">
        <v>11301</v>
      </c>
      <c r="E1308" s="285" t="s">
        <v>6933</v>
      </c>
      <c r="F1308" s="285" t="s">
        <v>15110</v>
      </c>
      <c r="G1308" s="285" t="s">
        <v>15111</v>
      </c>
      <c r="H1308" s="285" t="s">
        <v>13890</v>
      </c>
      <c r="I1308" s="285" t="s">
        <v>15112</v>
      </c>
      <c r="J1308" s="285" t="s">
        <v>5012</v>
      </c>
      <c r="K1308" s="285" t="s">
        <v>9626</v>
      </c>
      <c r="L1308" s="285" t="s">
        <v>232</v>
      </c>
      <c r="M1308" s="285" t="s">
        <v>9383</v>
      </c>
      <c r="N1308" s="287" t="str">
        <f>IFERROR(
    IF(
        AND(
            VLOOKUP(B1308, 'รายชื่อพนักงานลาออกพ้นสภาพ'!B:I, 8, FALSE)&lt;&gt;"ยกเลิกลาออก",
            VLOOKUP(B1308, 'รายชื่อพนักงานลาออกพ้นสภาพ'!B:I, 7, FALSE)&lt;=TODAY()
        ),
        "ลาออกแล้ว",
        ""
    ),
"")</f>
        <v/>
      </c>
      <c r="O1308" s="292" t="str">
        <f t="array" ref="O1308">IFERROR(INDEX(PCRent!C:D, MATCH(F1308 &amp; " " &amp; G1308, PCRent!A:A &amp; " " &amp; PCRent!B:B, 0)), "")</f>
        <v/>
      </c>
      <c r="P1308" s="293"/>
      <c r="Q1308" s="294" t="str">
        <f t="array" ref="Q1308">IFERROR(INDEX(MonitorRent!C:D, MATCH(F1308 &amp; " " &amp; G1308, MonitorRent!A:A &amp; " " &amp; MonitorRent!B:B, 0)), "")</f>
        <v/>
      </c>
      <c r="R1308" s="295"/>
    </row>
    <row r="1309">
      <c r="A1309" s="284">
        <v>1306.0</v>
      </c>
      <c r="B1309" s="285" t="s">
        <v>8253</v>
      </c>
      <c r="C1309" s="285" t="s">
        <v>6918</v>
      </c>
      <c r="D1309" s="286" t="s">
        <v>15113</v>
      </c>
      <c r="E1309" s="285" t="s">
        <v>6933</v>
      </c>
      <c r="F1309" s="285" t="s">
        <v>15110</v>
      </c>
      <c r="G1309" s="285" t="s">
        <v>15114</v>
      </c>
      <c r="H1309" s="285" t="s">
        <v>13179</v>
      </c>
      <c r="I1309" s="285" t="s">
        <v>15115</v>
      </c>
      <c r="J1309" s="285" t="s">
        <v>5224</v>
      </c>
      <c r="K1309" s="285" t="s">
        <v>4749</v>
      </c>
      <c r="L1309" s="285" t="s">
        <v>2730</v>
      </c>
      <c r="M1309" s="285" t="s">
        <v>9383</v>
      </c>
      <c r="N1309" s="287" t="str">
        <f>IFERROR(
    IF(
        AND(
            VLOOKUP(B1309, 'รายชื่อพนักงานลาออกพ้นสภาพ'!B:I, 8, FALSE)&lt;&gt;"ยกเลิกลาออก",
            VLOOKUP(B1309, 'รายชื่อพนักงานลาออกพ้นสภาพ'!B:I, 7, FALSE)&lt;=TODAY()
        ),
        "ลาออกแล้ว",
        ""
    ),
"")</f>
        <v/>
      </c>
      <c r="O1309" s="292" t="str">
        <f t="array" ref="O1309">IFERROR(INDEX(PCRent!C:D, MATCH(F1309 &amp; " " &amp; G1309, PCRent!A:A &amp; " " &amp; PCRent!B:B, 0)), "")</f>
        <v/>
      </c>
      <c r="P1309" s="293"/>
      <c r="Q1309" s="294" t="str">
        <f t="array" ref="Q1309">IFERROR(INDEX(MonitorRent!C:D, MATCH(F1309 &amp; " " &amp; G1309, MonitorRent!A:A &amp; " " &amp; MonitorRent!B:B, 0)), "")</f>
        <v/>
      </c>
      <c r="R1309" s="295"/>
    </row>
    <row r="1310">
      <c r="A1310" s="284">
        <v>1307.0</v>
      </c>
      <c r="B1310" s="285" t="s">
        <v>15116</v>
      </c>
      <c r="C1310" s="285" t="s">
        <v>6918</v>
      </c>
      <c r="D1310" s="286" t="s">
        <v>10493</v>
      </c>
      <c r="E1310" s="285" t="s">
        <v>6933</v>
      </c>
      <c r="F1310" s="285" t="s">
        <v>15117</v>
      </c>
      <c r="G1310" s="285" t="s">
        <v>15118</v>
      </c>
      <c r="H1310" s="285" t="s">
        <v>15119</v>
      </c>
      <c r="I1310" s="285" t="s">
        <v>15120</v>
      </c>
      <c r="J1310" s="285" t="s">
        <v>5012</v>
      </c>
      <c r="K1310" s="285" t="s">
        <v>9626</v>
      </c>
      <c r="L1310" s="285" t="s">
        <v>13869</v>
      </c>
      <c r="M1310" s="285" t="s">
        <v>9383</v>
      </c>
      <c r="N1310" s="287" t="str">
        <f>IFERROR(
    IF(
        AND(
            VLOOKUP(B1310, 'รายชื่อพนักงานลาออกพ้นสภาพ'!B:I, 8, FALSE)&lt;&gt;"ยกเลิกลาออก",
            VLOOKUP(B1310, 'รายชื่อพนักงานลาออกพ้นสภาพ'!B:I, 7, FALSE)&lt;=TODAY()
        ),
        "ลาออกแล้ว",
        ""
    ),
"")</f>
        <v/>
      </c>
      <c r="O1310" s="292" t="str">
        <f t="array" ref="O1310">IFERROR(INDEX(PCRent!C:D, MATCH(F1310 &amp; " " &amp; G1310, PCRent!A:A &amp; " " &amp; PCRent!B:B, 0)), "")</f>
        <v/>
      </c>
      <c r="P1310" s="293"/>
      <c r="Q1310" s="294" t="str">
        <f t="array" ref="Q1310">IFERROR(INDEX(MonitorRent!C:D, MATCH(F1310 &amp; " " &amp; G1310, MonitorRent!A:A &amp; " " &amp; MonitorRent!B:B, 0)), "")</f>
        <v/>
      </c>
      <c r="R1310" s="295"/>
    </row>
    <row r="1311">
      <c r="A1311" s="284">
        <v>1308.0</v>
      </c>
      <c r="B1311" s="285" t="s">
        <v>7008</v>
      </c>
      <c r="C1311" s="285" t="s">
        <v>6918</v>
      </c>
      <c r="D1311" s="286" t="s">
        <v>10485</v>
      </c>
      <c r="E1311" s="285" t="s">
        <v>6921</v>
      </c>
      <c r="F1311" s="285" t="s">
        <v>11638</v>
      </c>
      <c r="G1311" s="285" t="s">
        <v>15121</v>
      </c>
      <c r="H1311" s="285" t="s">
        <v>15122</v>
      </c>
      <c r="I1311" s="285" t="s">
        <v>15123</v>
      </c>
      <c r="J1311" s="285" t="s">
        <v>5224</v>
      </c>
      <c r="K1311" s="285" t="s">
        <v>15124</v>
      </c>
      <c r="L1311" s="285" t="s">
        <v>13699</v>
      </c>
      <c r="M1311" s="285" t="s">
        <v>9383</v>
      </c>
      <c r="N1311" s="287" t="str">
        <f>IFERROR(
    IF(
        AND(
            VLOOKUP(B1311, 'รายชื่อพนักงานลาออกพ้นสภาพ'!B:I, 8, FALSE)&lt;&gt;"ยกเลิกลาออก",
            VLOOKUP(B1311, 'รายชื่อพนักงานลาออกพ้นสภาพ'!B:I, 7, FALSE)&lt;=TODAY()
        ),
        "ลาออกแล้ว",
        ""
    ),
"")</f>
        <v/>
      </c>
      <c r="O1311" s="292" t="str">
        <f t="array" ref="O1311:P1311">IFERROR(INDEX(PCRent!C:D, MATCH(F1311 &amp; " " &amp; G1311, PCRent!A:A &amp; " " &amp; PCRent!B:B, 0)), "")</f>
        <v>SN:MP2EJ0P7</v>
      </c>
      <c r="P1311" s="293" t="s">
        <v>6993</v>
      </c>
      <c r="Q1311" s="294" t="str">
        <f t="array" ref="Q1311:R1311">IFERROR(INDEX(MonitorRent!C:D, MATCH(F1311 &amp; " " &amp; G1311, MonitorRent!A:A &amp; " " &amp; MonitorRent!B:B, 0)), "")</f>
        <v>SN:6M6W3P3</v>
      </c>
      <c r="R1311" s="295" t="s">
        <v>9397</v>
      </c>
    </row>
    <row r="1312">
      <c r="A1312" s="284">
        <v>1309.0</v>
      </c>
      <c r="B1312" s="285" t="s">
        <v>15125</v>
      </c>
      <c r="C1312" s="285" t="s">
        <v>6918</v>
      </c>
      <c r="D1312" s="286" t="s">
        <v>15126</v>
      </c>
      <c r="E1312" s="285" t="s">
        <v>6933</v>
      </c>
      <c r="F1312" s="285" t="s">
        <v>11638</v>
      </c>
      <c r="G1312" s="285" t="s">
        <v>15127</v>
      </c>
      <c r="H1312" s="285" t="s">
        <v>11638</v>
      </c>
      <c r="I1312" s="285" t="s">
        <v>15128</v>
      </c>
      <c r="J1312" s="285" t="s">
        <v>5224</v>
      </c>
      <c r="K1312" s="285" t="s">
        <v>12118</v>
      </c>
      <c r="L1312" s="285" t="s">
        <v>3041</v>
      </c>
      <c r="M1312" s="285" t="s">
        <v>9383</v>
      </c>
      <c r="N1312" s="287" t="str">
        <f>IFERROR(
    IF(
        AND(
            VLOOKUP(B1312, 'รายชื่อพนักงานลาออกพ้นสภาพ'!B:I, 8, FALSE)&lt;&gt;"ยกเลิกลาออก",
            VLOOKUP(B1312, 'รายชื่อพนักงานลาออกพ้นสภาพ'!B:I, 7, FALSE)&lt;=TODAY()
        ),
        "ลาออกแล้ว",
        ""
    ),
"")</f>
        <v/>
      </c>
      <c r="O1312" s="292" t="str">
        <f t="array" ref="O1312">IFERROR(INDEX(PCRent!C:D, MATCH(F1312 &amp; " " &amp; G1312, PCRent!A:A &amp; " " &amp; PCRent!B:B, 0)), "")</f>
        <v/>
      </c>
      <c r="P1312" s="293"/>
      <c r="Q1312" s="294" t="str">
        <f t="array" ref="Q1312">IFERROR(INDEX(MonitorRent!C:D, MATCH(F1312 &amp; " " &amp; G1312, MonitorRent!A:A &amp; " " &amp; MonitorRent!B:B, 0)), "")</f>
        <v/>
      </c>
      <c r="R1312" s="295"/>
    </row>
    <row r="1313">
      <c r="A1313" s="284">
        <v>1310.0</v>
      </c>
      <c r="B1313" s="285" t="s">
        <v>8445</v>
      </c>
      <c r="C1313" s="285" t="s">
        <v>6918</v>
      </c>
      <c r="D1313" s="286" t="s">
        <v>11486</v>
      </c>
      <c r="E1313" s="285" t="s">
        <v>6933</v>
      </c>
      <c r="F1313" s="285" t="s">
        <v>15129</v>
      </c>
      <c r="G1313" s="285" t="s">
        <v>15130</v>
      </c>
      <c r="H1313" s="285" t="s">
        <v>9430</v>
      </c>
      <c r="I1313" s="285" t="s">
        <v>15131</v>
      </c>
      <c r="J1313" s="285" t="s">
        <v>5224</v>
      </c>
      <c r="K1313" s="285" t="s">
        <v>4805</v>
      </c>
      <c r="L1313" s="285" t="s">
        <v>15132</v>
      </c>
      <c r="M1313" s="285" t="s">
        <v>9383</v>
      </c>
      <c r="N1313" s="287" t="str">
        <f>IFERROR(
    IF(
        AND(
            VLOOKUP(B1313, 'รายชื่อพนักงานลาออกพ้นสภาพ'!B:I, 8, FALSE)&lt;&gt;"ยกเลิกลาออก",
            VLOOKUP(B1313, 'รายชื่อพนักงานลาออกพ้นสภาพ'!B:I, 7, FALSE)&lt;=TODAY()
        ),
        "ลาออกแล้ว",
        ""
    ),
"")</f>
        <v/>
      </c>
      <c r="O1313" s="292" t="str">
        <f t="array" ref="O1313">IFERROR(INDEX(PCRent!C:D, MATCH(F1313 &amp; " " &amp; G1313, PCRent!A:A &amp; " " &amp; PCRent!B:B, 0)), "")</f>
        <v/>
      </c>
      <c r="P1313" s="293"/>
      <c r="Q1313" s="294" t="str">
        <f t="array" ref="Q1313">IFERROR(INDEX(MonitorRent!C:D, MATCH(F1313 &amp; " " &amp; G1313, MonitorRent!A:A &amp; " " &amp; MonitorRent!B:B, 0)), "")</f>
        <v/>
      </c>
      <c r="R1313" s="295"/>
    </row>
    <row r="1314">
      <c r="A1314" s="284">
        <v>1311.0</v>
      </c>
      <c r="B1314" s="285" t="s">
        <v>15133</v>
      </c>
      <c r="C1314" s="285" t="s">
        <v>6918</v>
      </c>
      <c r="D1314" s="286" t="s">
        <v>9882</v>
      </c>
      <c r="E1314" s="285" t="s">
        <v>7097</v>
      </c>
      <c r="F1314" s="285" t="s">
        <v>15134</v>
      </c>
      <c r="G1314" s="285" t="s">
        <v>15135</v>
      </c>
      <c r="H1314" s="285" t="s">
        <v>13432</v>
      </c>
      <c r="I1314" s="285" t="s">
        <v>15136</v>
      </c>
      <c r="J1314" s="285" t="s">
        <v>5012</v>
      </c>
      <c r="K1314" s="285" t="s">
        <v>9474</v>
      </c>
      <c r="L1314" s="285" t="s">
        <v>232</v>
      </c>
      <c r="M1314" s="285" t="s">
        <v>9383</v>
      </c>
      <c r="N1314" s="287" t="str">
        <f>IFERROR(
    IF(
        AND(
            VLOOKUP(B1314, 'รายชื่อพนักงานลาออกพ้นสภาพ'!B:I, 8, FALSE)&lt;&gt;"ยกเลิกลาออก",
            VLOOKUP(B1314, 'รายชื่อพนักงานลาออกพ้นสภาพ'!B:I, 7, FALSE)&lt;=TODAY()
        ),
        "ลาออกแล้ว",
        ""
    ),
"")</f>
        <v/>
      </c>
      <c r="O1314" s="292" t="str">
        <f t="array" ref="O1314:P1314">IFERROR(INDEX(PCRent!C:D, MATCH(F1314 &amp; " " &amp; G1314, PCRent!A:A &amp; " " &amp; PCRent!B:B, 0)), "")</f>
        <v>SN:67J3QY3</v>
      </c>
      <c r="P1314" s="293" t="s">
        <v>8739</v>
      </c>
      <c r="Q1314" s="294" t="str">
        <f t="array" ref="Q1314:R1314">IFERROR(INDEX(MonitorRent!C:D, MATCH(F1314 &amp; " " &amp; G1314, MonitorRent!A:A &amp; " " &amp; MonitorRent!B:B, 0)), "")</f>
        <v>SN:5VTT4P3</v>
      </c>
      <c r="R1314" s="295" t="s">
        <v>9397</v>
      </c>
    </row>
    <row r="1315">
      <c r="A1315" s="284">
        <v>1312.0</v>
      </c>
      <c r="B1315" s="285" t="s">
        <v>15137</v>
      </c>
      <c r="C1315" s="285" t="s">
        <v>6918</v>
      </c>
      <c r="D1315" s="286" t="s">
        <v>13188</v>
      </c>
      <c r="E1315" s="285" t="s">
        <v>6933</v>
      </c>
      <c r="F1315" s="285" t="s">
        <v>11643</v>
      </c>
      <c r="G1315" s="285" t="s">
        <v>15138</v>
      </c>
      <c r="H1315" s="285" t="s">
        <v>10644</v>
      </c>
      <c r="I1315" s="285" t="s">
        <v>15139</v>
      </c>
      <c r="J1315" s="285" t="s">
        <v>5012</v>
      </c>
      <c r="K1315" s="285" t="s">
        <v>9466</v>
      </c>
      <c r="L1315" s="285" t="s">
        <v>9686</v>
      </c>
      <c r="M1315" s="285" t="s">
        <v>9383</v>
      </c>
      <c r="N1315" s="287" t="str">
        <f>IFERROR(
    IF(
        AND(
            VLOOKUP(B1315, 'รายชื่อพนักงานลาออกพ้นสภาพ'!B:I, 8, FALSE)&lt;&gt;"ยกเลิกลาออก",
            VLOOKUP(B1315, 'รายชื่อพนักงานลาออกพ้นสภาพ'!B:I, 7, FALSE)&lt;=TODAY()
        ),
        "ลาออกแล้ว",
        ""
    ),
"")</f>
        <v/>
      </c>
      <c r="O1315" s="292" t="str">
        <f t="array" ref="O1315:P1315">IFERROR(INDEX(PCRent!C:D, MATCH(F1315 &amp; " " &amp; G1315, PCRent!A:A &amp; " " &amp; PCRent!B:B, 0)), "")</f>
        <v>SN:MP283HSA</v>
      </c>
      <c r="P1315" s="293" t="s">
        <v>6993</v>
      </c>
      <c r="Q1315" s="294" t="str">
        <f t="array" ref="Q1315">IFERROR(INDEX(MonitorRent!C:D, MATCH(F1315 &amp; " " &amp; G1315, MonitorRent!A:A &amp; " " &amp; MonitorRent!B:B, 0)), "")</f>
        <v/>
      </c>
      <c r="R1315" s="295"/>
    </row>
    <row r="1316">
      <c r="A1316" s="284">
        <v>1313.0</v>
      </c>
      <c r="B1316" s="285" t="s">
        <v>7249</v>
      </c>
      <c r="C1316" s="285" t="s">
        <v>6918</v>
      </c>
      <c r="D1316" s="286" t="s">
        <v>15140</v>
      </c>
      <c r="E1316" s="285" t="s">
        <v>6933</v>
      </c>
      <c r="F1316" s="285" t="s">
        <v>11650</v>
      </c>
      <c r="G1316" s="285" t="s">
        <v>15141</v>
      </c>
      <c r="H1316" s="285" t="s">
        <v>11650</v>
      </c>
      <c r="I1316" s="285" t="s">
        <v>15142</v>
      </c>
      <c r="J1316" s="285" t="s">
        <v>5224</v>
      </c>
      <c r="K1316" s="285" t="s">
        <v>4749</v>
      </c>
      <c r="L1316" s="285" t="s">
        <v>13545</v>
      </c>
      <c r="M1316" s="285" t="s">
        <v>9383</v>
      </c>
      <c r="N1316" s="287" t="str">
        <f>IFERROR(
    IF(
        AND(
            VLOOKUP(B1316, 'รายชื่อพนักงานลาออกพ้นสภาพ'!B:I, 8, FALSE)&lt;&gt;"ยกเลิกลาออก",
            VLOOKUP(B1316, 'รายชื่อพนักงานลาออกพ้นสภาพ'!B:I, 7, FALSE)&lt;=TODAY()
        ),
        "ลาออกแล้ว",
        ""
    ),
"")</f>
        <v/>
      </c>
      <c r="O1316" s="292" t="str">
        <f t="array" ref="O1316">IFERROR(INDEX(PCRent!C:D, MATCH(F1316 &amp; " " &amp; G1316, PCRent!A:A &amp; " " &amp; PCRent!B:B, 0)), "")</f>
        <v/>
      </c>
      <c r="P1316" s="293"/>
      <c r="Q1316" s="294" t="str">
        <f t="array" ref="Q1316">IFERROR(INDEX(MonitorRent!C:D, MATCH(F1316 &amp; " " &amp; G1316, MonitorRent!A:A &amp; " " &amp; MonitorRent!B:B, 0)), "")</f>
        <v/>
      </c>
      <c r="R1316" s="295"/>
    </row>
    <row r="1317">
      <c r="A1317" s="284">
        <v>1314.0</v>
      </c>
      <c r="B1317" s="285" t="s">
        <v>15143</v>
      </c>
      <c r="C1317" s="285" t="s">
        <v>6918</v>
      </c>
      <c r="D1317" s="286" t="s">
        <v>10456</v>
      </c>
      <c r="E1317" s="285" t="s">
        <v>6933</v>
      </c>
      <c r="F1317" s="285" t="s">
        <v>15144</v>
      </c>
      <c r="G1317" s="285" t="s">
        <v>15145</v>
      </c>
      <c r="H1317" s="285" t="s">
        <v>10644</v>
      </c>
      <c r="I1317" s="285" t="s">
        <v>15146</v>
      </c>
      <c r="J1317" s="285" t="s">
        <v>5012</v>
      </c>
      <c r="K1317" s="285" t="s">
        <v>9474</v>
      </c>
      <c r="L1317" s="285" t="s">
        <v>13992</v>
      </c>
      <c r="M1317" s="285" t="s">
        <v>9383</v>
      </c>
      <c r="N1317" s="287" t="str">
        <f>IFERROR(
    IF(
        AND(
            VLOOKUP(B1317, 'รายชื่อพนักงานลาออกพ้นสภาพ'!B:I, 8, FALSE)&lt;&gt;"ยกเลิกลาออก",
            VLOOKUP(B1317, 'รายชื่อพนักงานลาออกพ้นสภาพ'!B:I, 7, FALSE)&lt;=TODAY()
        ),
        "ลาออกแล้ว",
        ""
    ),
"")</f>
        <v/>
      </c>
      <c r="O1317" s="292" t="str">
        <f t="array" ref="O1317">IFERROR(INDEX(PCRent!C:D, MATCH(F1317 &amp; " " &amp; G1317, PCRent!A:A &amp; " " &amp; PCRent!B:B, 0)), "")</f>
        <v/>
      </c>
      <c r="P1317" s="293"/>
      <c r="Q1317" s="294" t="str">
        <f t="array" ref="Q1317">IFERROR(INDEX(MonitorRent!C:D, MATCH(F1317 &amp; " " &amp; G1317, MonitorRent!A:A &amp; " " &amp; MonitorRent!B:B, 0)), "")</f>
        <v/>
      </c>
      <c r="R1317" s="295"/>
    </row>
    <row r="1318">
      <c r="A1318" s="284">
        <v>1315.0</v>
      </c>
      <c r="B1318" s="285" t="s">
        <v>15147</v>
      </c>
      <c r="C1318" s="285" t="s">
        <v>6918</v>
      </c>
      <c r="D1318" s="286" t="s">
        <v>10934</v>
      </c>
      <c r="E1318" s="285" t="s">
        <v>6921</v>
      </c>
      <c r="F1318" s="285" t="s">
        <v>11655</v>
      </c>
      <c r="G1318" s="285" t="s">
        <v>15148</v>
      </c>
      <c r="H1318" s="285" t="s">
        <v>12030</v>
      </c>
      <c r="I1318" s="285" t="s">
        <v>15149</v>
      </c>
      <c r="J1318" s="285" t="s">
        <v>5012</v>
      </c>
      <c r="K1318" s="285" t="s">
        <v>6322</v>
      </c>
      <c r="L1318" s="285" t="s">
        <v>941</v>
      </c>
      <c r="M1318" s="285" t="s">
        <v>9383</v>
      </c>
      <c r="N1318" s="287" t="str">
        <f>IFERROR(
    IF(
        AND(
            VLOOKUP(B1318, 'รายชื่อพนักงานลาออกพ้นสภาพ'!B:I, 8, FALSE)&lt;&gt;"ยกเลิกลาออก",
            VLOOKUP(B1318, 'รายชื่อพนักงานลาออกพ้นสภาพ'!B:I, 7, FALSE)&lt;=TODAY()
        ),
        "ลาออกแล้ว",
        ""
    ),
"")</f>
        <v/>
      </c>
      <c r="O1318" s="292" t="str">
        <f t="array" ref="O1318:P1318">IFERROR(INDEX(PCRent!C:D, MATCH(F1318 &amp; " " &amp; G1318, PCRent!A:A &amp; " " &amp; PCRent!B:B, 0)), "")</f>
        <v>SN:MP2DGHXT</v>
      </c>
      <c r="P1318" s="293" t="s">
        <v>7149</v>
      </c>
      <c r="Q1318" s="294" t="str">
        <f t="array" ref="Q1318">IFERROR(INDEX(MonitorRent!C:D, MATCH(F1318 &amp; " " &amp; G1318, MonitorRent!A:A &amp; " " &amp; MonitorRent!B:B, 0)), "")</f>
        <v/>
      </c>
      <c r="R1318" s="295"/>
    </row>
    <row r="1319">
      <c r="A1319" s="284">
        <v>1316.0</v>
      </c>
      <c r="B1319" s="285" t="s">
        <v>15150</v>
      </c>
      <c r="C1319" s="285" t="s">
        <v>6918</v>
      </c>
      <c r="D1319" s="286" t="s">
        <v>15151</v>
      </c>
      <c r="E1319" s="285" t="s">
        <v>6933</v>
      </c>
      <c r="F1319" s="285" t="s">
        <v>15152</v>
      </c>
      <c r="G1319" s="285" t="s">
        <v>15153</v>
      </c>
      <c r="H1319" s="285" t="s">
        <v>9550</v>
      </c>
      <c r="I1319" s="285" t="s">
        <v>15154</v>
      </c>
      <c r="J1319" s="285" t="s">
        <v>5012</v>
      </c>
      <c r="K1319" s="285" t="s">
        <v>12973</v>
      </c>
      <c r="L1319" s="285" t="s">
        <v>117</v>
      </c>
      <c r="M1319" s="285" t="s">
        <v>9383</v>
      </c>
      <c r="N1319" s="287" t="str">
        <f>IFERROR(
    IF(
        AND(
            VLOOKUP(B1319, 'รายชื่อพนักงานลาออกพ้นสภาพ'!B:I, 8, FALSE)&lt;&gt;"ยกเลิกลาออก",
            VLOOKUP(B1319, 'รายชื่อพนักงานลาออกพ้นสภาพ'!B:I, 7, FALSE)&lt;=TODAY()
        ),
        "ลาออกแล้ว",
        ""
    ),
"")</f>
        <v/>
      </c>
      <c r="O1319" s="292" t="str">
        <f t="array" ref="O1319">IFERROR(INDEX(PCRent!C:D, MATCH(F1319 &amp; " " &amp; G1319, PCRent!A:A &amp; " " &amp; PCRent!B:B, 0)), "")</f>
        <v/>
      </c>
      <c r="P1319" s="293"/>
      <c r="Q1319" s="294" t="str">
        <f t="array" ref="Q1319">IFERROR(INDEX(MonitorRent!C:D, MATCH(F1319 &amp; " " &amp; G1319, MonitorRent!A:A &amp; " " &amp; MonitorRent!B:B, 0)), "")</f>
        <v/>
      </c>
      <c r="R1319" s="295"/>
    </row>
    <row r="1320">
      <c r="A1320" s="284">
        <v>1317.0</v>
      </c>
      <c r="B1320" s="285" t="s">
        <v>793</v>
      </c>
      <c r="C1320" s="285" t="s">
        <v>6918</v>
      </c>
      <c r="D1320" s="286" t="s">
        <v>15155</v>
      </c>
      <c r="E1320" s="285" t="s">
        <v>7239</v>
      </c>
      <c r="F1320" s="285" t="s">
        <v>15156</v>
      </c>
      <c r="G1320" s="285" t="s">
        <v>15157</v>
      </c>
      <c r="H1320" s="285" t="s">
        <v>9975</v>
      </c>
      <c r="I1320" s="285" t="s">
        <v>796</v>
      </c>
      <c r="J1320" s="285" t="s">
        <v>5012</v>
      </c>
      <c r="K1320" s="285" t="s">
        <v>4818</v>
      </c>
      <c r="L1320" s="285" t="s">
        <v>795</v>
      </c>
      <c r="M1320" s="285" t="s">
        <v>9383</v>
      </c>
      <c r="N1320" s="287" t="str">
        <f>IFERROR(
    IF(
        AND(
            VLOOKUP(B1320, 'รายชื่อพนักงานลาออกพ้นสภาพ'!B:I, 8, FALSE)&lt;&gt;"ยกเลิกลาออก",
            VLOOKUP(B1320, 'รายชื่อพนักงานลาออกพ้นสภาพ'!B:I, 7, FALSE)&lt;=TODAY()
        ),
        "ลาออกแล้ว",
        ""
    ),
"")</f>
        <v>ลาออกแล้ว</v>
      </c>
      <c r="O1320" s="292" t="str">
        <f t="array" ref="O1320:P1320">IFERROR(INDEX(PCRent!C:D, MATCH(F1320 &amp; " " &amp; G1320, PCRent!A:A &amp; " " &amp; PCRent!B:B, 0)), "")</f>
        <v>SN:PF39G3TZ</v>
      </c>
      <c r="P1320" s="293" t="s">
        <v>7005</v>
      </c>
      <c r="Q1320" s="294" t="str">
        <f t="array" ref="Q1320">IFERROR(INDEX(MonitorRent!C:D, MATCH(F1320 &amp; " " &amp; G1320, MonitorRent!A:A &amp; " " &amp; MonitorRent!B:B, 0)), "")</f>
        <v/>
      </c>
      <c r="R1320" s="295"/>
    </row>
    <row r="1321">
      <c r="A1321" s="284">
        <v>1318.0</v>
      </c>
      <c r="B1321" s="285" t="s">
        <v>8730</v>
      </c>
      <c r="C1321" s="285" t="s">
        <v>6918</v>
      </c>
      <c r="D1321" s="286" t="s">
        <v>9427</v>
      </c>
      <c r="E1321" s="285" t="s">
        <v>7239</v>
      </c>
      <c r="F1321" s="285" t="s">
        <v>15158</v>
      </c>
      <c r="G1321" s="285" t="s">
        <v>15159</v>
      </c>
      <c r="H1321" s="285" t="s">
        <v>10318</v>
      </c>
      <c r="I1321" s="285" t="s">
        <v>15160</v>
      </c>
      <c r="J1321" s="285" t="s">
        <v>5224</v>
      </c>
      <c r="K1321" s="285" t="s">
        <v>12963</v>
      </c>
      <c r="L1321" s="285" t="s">
        <v>456</v>
      </c>
      <c r="M1321" s="285" t="s">
        <v>9383</v>
      </c>
      <c r="N1321" s="287" t="str">
        <f>IFERROR(
    IF(
        AND(
            VLOOKUP(B1321, 'รายชื่อพนักงานลาออกพ้นสภาพ'!B:I, 8, FALSE)&lt;&gt;"ยกเลิกลาออก",
            VLOOKUP(B1321, 'รายชื่อพนักงานลาออกพ้นสภาพ'!B:I, 7, FALSE)&lt;=TODAY()
        ),
        "ลาออกแล้ว",
        ""
    ),
"")</f>
        <v/>
      </c>
      <c r="O1321" s="292" t="str">
        <f t="array" ref="O1321">IFERROR(INDEX(PCRent!C:D, MATCH(F1321 &amp; " " &amp; G1321, PCRent!A:A &amp; " " &amp; PCRent!B:B, 0)), "")</f>
        <v/>
      </c>
      <c r="P1321" s="293"/>
      <c r="Q1321" s="294" t="str">
        <f t="array" ref="Q1321">IFERROR(INDEX(MonitorRent!C:D, MATCH(F1321 &amp; " " &amp; G1321, MonitorRent!A:A &amp; " " &amp; MonitorRent!B:B, 0)), "")</f>
        <v/>
      </c>
      <c r="R1321" s="295"/>
    </row>
    <row r="1322">
      <c r="A1322" s="284">
        <v>1319.0</v>
      </c>
      <c r="B1322" s="285" t="s">
        <v>7421</v>
      </c>
      <c r="C1322" s="285" t="s">
        <v>6918</v>
      </c>
      <c r="D1322" s="286" t="s">
        <v>15161</v>
      </c>
      <c r="E1322" s="285" t="s">
        <v>6921</v>
      </c>
      <c r="F1322" s="285" t="s">
        <v>11673</v>
      </c>
      <c r="G1322" s="285" t="s">
        <v>15162</v>
      </c>
      <c r="H1322" s="285" t="s">
        <v>9789</v>
      </c>
      <c r="I1322" s="285" t="s">
        <v>15163</v>
      </c>
      <c r="J1322" s="285" t="s">
        <v>5224</v>
      </c>
      <c r="K1322" s="285" t="s">
        <v>15164</v>
      </c>
      <c r="L1322" s="285" t="s">
        <v>7418</v>
      </c>
      <c r="M1322" s="285" t="s">
        <v>9383</v>
      </c>
      <c r="N1322" s="287" t="str">
        <f>IFERROR(
    IF(
        AND(
            VLOOKUP(B1322, 'รายชื่อพนักงานลาออกพ้นสภาพ'!B:I, 8, FALSE)&lt;&gt;"ยกเลิกลาออก",
            VLOOKUP(B1322, 'รายชื่อพนักงานลาออกพ้นสภาพ'!B:I, 7, FALSE)&lt;=TODAY()
        ),
        "ลาออกแล้ว",
        ""
    ),
"")</f>
        <v/>
      </c>
      <c r="O1322" s="292" t="str">
        <f t="array" ref="O1322">IFERROR(INDEX(PCRent!C:D, MATCH(F1322 &amp; " " &amp; G1322, PCRent!A:A &amp; " " &amp; PCRent!B:B, 0)), "")</f>
        <v/>
      </c>
      <c r="P1322" s="293"/>
      <c r="Q1322" s="294" t="str">
        <f t="array" ref="Q1322">IFERROR(INDEX(MonitorRent!C:D, MATCH(F1322 &amp; " " &amp; G1322, MonitorRent!A:A &amp; " " &amp; MonitorRent!B:B, 0)), "")</f>
        <v/>
      </c>
      <c r="R1322" s="295"/>
    </row>
    <row r="1323">
      <c r="A1323" s="284">
        <v>1320.0</v>
      </c>
      <c r="B1323" s="285" t="s">
        <v>15165</v>
      </c>
      <c r="C1323" s="285" t="s">
        <v>6918</v>
      </c>
      <c r="D1323" s="286" t="s">
        <v>10303</v>
      </c>
      <c r="E1323" s="285" t="s">
        <v>6921</v>
      </c>
      <c r="F1323" s="285" t="s">
        <v>11673</v>
      </c>
      <c r="G1323" s="285" t="s">
        <v>15166</v>
      </c>
      <c r="H1323" s="285" t="s">
        <v>15167</v>
      </c>
      <c r="I1323" s="285" t="s">
        <v>15168</v>
      </c>
      <c r="J1323" s="285" t="s">
        <v>5224</v>
      </c>
      <c r="K1323" s="285" t="s">
        <v>10068</v>
      </c>
      <c r="L1323" s="285" t="s">
        <v>15169</v>
      </c>
      <c r="M1323" s="285" t="s">
        <v>9383</v>
      </c>
      <c r="N1323" s="287" t="str">
        <f>IFERROR(
    IF(
        AND(
            VLOOKUP(B1323, 'รายชื่อพนักงานลาออกพ้นสภาพ'!B:I, 8, FALSE)&lt;&gt;"ยกเลิกลาออก",
            VLOOKUP(B1323, 'รายชื่อพนักงานลาออกพ้นสภาพ'!B:I, 7, FALSE)&lt;=TODAY()
        ),
        "ลาออกแล้ว",
        ""
    ),
"")</f>
        <v/>
      </c>
      <c r="O1323" s="292" t="str">
        <f t="array" ref="O1323">IFERROR(INDEX(PCRent!C:D, MATCH(F1323 &amp; " " &amp; G1323, PCRent!A:A &amp; " " &amp; PCRent!B:B, 0)), "")</f>
        <v/>
      </c>
      <c r="P1323" s="293"/>
      <c r="Q1323" s="294" t="str">
        <f t="array" ref="Q1323">IFERROR(INDEX(MonitorRent!C:D, MATCH(F1323 &amp; " " &amp; G1323, MonitorRent!A:A &amp; " " &amp; MonitorRent!B:B, 0)), "")</f>
        <v/>
      </c>
      <c r="R1323" s="295"/>
    </row>
    <row r="1324">
      <c r="A1324" s="284">
        <v>1321.0</v>
      </c>
      <c r="B1324" s="285" t="s">
        <v>15170</v>
      </c>
      <c r="C1324" s="285" t="s">
        <v>6918</v>
      </c>
      <c r="D1324" s="286" t="s">
        <v>15171</v>
      </c>
      <c r="E1324" s="285" t="s">
        <v>6933</v>
      </c>
      <c r="F1324" s="285" t="s">
        <v>15172</v>
      </c>
      <c r="G1324" s="285" t="s">
        <v>15173</v>
      </c>
      <c r="H1324" s="285" t="s">
        <v>10263</v>
      </c>
      <c r="I1324" s="285" t="s">
        <v>15174</v>
      </c>
      <c r="J1324" s="285" t="s">
        <v>5012</v>
      </c>
      <c r="K1324" s="285" t="s">
        <v>9474</v>
      </c>
      <c r="L1324" s="285" t="s">
        <v>3857</v>
      </c>
      <c r="M1324" s="285" t="s">
        <v>9383</v>
      </c>
      <c r="N1324" s="287" t="str">
        <f>IFERROR(
    IF(
        AND(
            VLOOKUP(B1324, 'รายชื่อพนักงานลาออกพ้นสภาพ'!B:I, 8, FALSE)&lt;&gt;"ยกเลิกลาออก",
            VLOOKUP(B1324, 'รายชื่อพนักงานลาออกพ้นสภาพ'!B:I, 7, FALSE)&lt;=TODAY()
        ),
        "ลาออกแล้ว",
        ""
    ),
"")</f>
        <v/>
      </c>
      <c r="O1324" s="292" t="str">
        <f t="array" ref="O1324">IFERROR(INDEX(PCRent!C:D, MATCH(F1324 &amp; " " &amp; G1324, PCRent!A:A &amp; " " &amp; PCRent!B:B, 0)), "")</f>
        <v/>
      </c>
      <c r="P1324" s="293"/>
      <c r="Q1324" s="294" t="str">
        <f t="array" ref="Q1324">IFERROR(INDEX(MonitorRent!C:D, MATCH(F1324 &amp; " " &amp; G1324, MonitorRent!A:A &amp; " " &amp; MonitorRent!B:B, 0)), "")</f>
        <v/>
      </c>
      <c r="R1324" s="295"/>
    </row>
    <row r="1325">
      <c r="A1325" s="284">
        <v>1322.0</v>
      </c>
      <c r="B1325" s="285" t="s">
        <v>15175</v>
      </c>
      <c r="C1325" s="285" t="s">
        <v>6918</v>
      </c>
      <c r="D1325" s="286" t="s">
        <v>10631</v>
      </c>
      <c r="E1325" s="285" t="s">
        <v>6921</v>
      </c>
      <c r="F1325" s="285" t="s">
        <v>15176</v>
      </c>
      <c r="G1325" s="285" t="s">
        <v>15177</v>
      </c>
      <c r="H1325" s="285" t="s">
        <v>10817</v>
      </c>
      <c r="I1325" s="285" t="s">
        <v>15178</v>
      </c>
      <c r="J1325" s="285" t="s">
        <v>5012</v>
      </c>
      <c r="K1325" s="285" t="s">
        <v>9703</v>
      </c>
      <c r="L1325" s="285" t="s">
        <v>12953</v>
      </c>
      <c r="M1325" s="285" t="s">
        <v>9383</v>
      </c>
      <c r="N1325" s="287" t="str">
        <f>IFERROR(
    IF(
        AND(
            VLOOKUP(B1325, 'รายชื่อพนักงานลาออกพ้นสภาพ'!B:I, 8, FALSE)&lt;&gt;"ยกเลิกลาออก",
            VLOOKUP(B1325, 'รายชื่อพนักงานลาออกพ้นสภาพ'!B:I, 7, FALSE)&lt;=TODAY()
        ),
        "ลาออกแล้ว",
        ""
    ),
"")</f>
        <v/>
      </c>
      <c r="O1325" s="292" t="str">
        <f t="array" ref="O1325">IFERROR(INDEX(PCRent!C:D, MATCH(F1325 &amp; " " &amp; G1325, PCRent!A:A &amp; " " &amp; PCRent!B:B, 0)), "")</f>
        <v/>
      </c>
      <c r="P1325" s="293"/>
      <c r="Q1325" s="294" t="str">
        <f t="array" ref="Q1325">IFERROR(INDEX(MonitorRent!C:D, MATCH(F1325 &amp; " " &amp; G1325, MonitorRent!A:A &amp; " " &amp; MonitorRent!B:B, 0)), "")</f>
        <v/>
      </c>
      <c r="R1325" s="295"/>
    </row>
    <row r="1326">
      <c r="A1326" s="284">
        <v>1323.0</v>
      </c>
      <c r="B1326" s="285" t="s">
        <v>8365</v>
      </c>
      <c r="C1326" s="285" t="s">
        <v>6918</v>
      </c>
      <c r="D1326" s="286" t="s">
        <v>10485</v>
      </c>
      <c r="E1326" s="285" t="s">
        <v>6921</v>
      </c>
      <c r="F1326" s="285" t="s">
        <v>11694</v>
      </c>
      <c r="G1326" s="285" t="s">
        <v>15179</v>
      </c>
      <c r="H1326" s="285" t="s">
        <v>10183</v>
      </c>
      <c r="I1326" s="285" t="s">
        <v>15180</v>
      </c>
      <c r="J1326" s="285" t="s">
        <v>5224</v>
      </c>
      <c r="K1326" s="285" t="s">
        <v>15108</v>
      </c>
      <c r="L1326" s="285" t="s">
        <v>8362</v>
      </c>
      <c r="M1326" s="285" t="s">
        <v>9383</v>
      </c>
      <c r="N1326" s="287" t="str">
        <f>IFERROR(
    IF(
        AND(
            VLOOKUP(B1326, 'รายชื่อพนักงานลาออกพ้นสภาพ'!B:I, 8, FALSE)&lt;&gt;"ยกเลิกลาออก",
            VLOOKUP(B1326, 'รายชื่อพนักงานลาออกพ้นสภาพ'!B:I, 7, FALSE)&lt;=TODAY()
        ),
        "ลาออกแล้ว",
        ""
    ),
"")</f>
        <v/>
      </c>
      <c r="O1326" s="292" t="str">
        <f t="array" ref="O1326">IFERROR(INDEX(PCRent!C:D, MATCH(F1326 &amp; " " &amp; G1326, PCRent!A:A &amp; " " &amp; PCRent!B:B, 0)), "")</f>
        <v/>
      </c>
      <c r="P1326" s="293"/>
      <c r="Q1326" s="294" t="str">
        <f t="array" ref="Q1326">IFERROR(INDEX(MonitorRent!C:D, MATCH(F1326 &amp; " " &amp; G1326, MonitorRent!A:A &amp; " " &amp; MonitorRent!B:B, 0)), "")</f>
        <v/>
      </c>
      <c r="R1326" s="295"/>
    </row>
    <row r="1327">
      <c r="A1327" s="284">
        <v>1324.0</v>
      </c>
      <c r="B1327" s="285" t="s">
        <v>6959</v>
      </c>
      <c r="C1327" s="285" t="s">
        <v>6918</v>
      </c>
      <c r="D1327" s="286" t="s">
        <v>15181</v>
      </c>
      <c r="E1327" s="285" t="s">
        <v>6933</v>
      </c>
      <c r="F1327" s="285" t="s">
        <v>15182</v>
      </c>
      <c r="G1327" s="285" t="s">
        <v>15183</v>
      </c>
      <c r="H1327" s="285" t="s">
        <v>15184</v>
      </c>
      <c r="I1327" s="285" t="s">
        <v>15185</v>
      </c>
      <c r="J1327" s="285" t="s">
        <v>5224</v>
      </c>
      <c r="K1327" s="285" t="s">
        <v>4818</v>
      </c>
      <c r="L1327" s="285" t="s">
        <v>6961</v>
      </c>
      <c r="M1327" s="285" t="s">
        <v>9383</v>
      </c>
      <c r="N1327" s="287" t="str">
        <f>IFERROR(
    IF(
        AND(
            VLOOKUP(B1327, 'รายชื่อพนักงานลาออกพ้นสภาพ'!B:I, 8, FALSE)&lt;&gt;"ยกเลิกลาออก",
            VLOOKUP(B1327, 'รายชื่อพนักงานลาออกพ้นสภาพ'!B:I, 7, FALSE)&lt;=TODAY()
        ),
        "ลาออกแล้ว",
        ""
    ),
"")</f>
        <v/>
      </c>
      <c r="O1327" s="292" t="str">
        <f t="array" ref="O1327">IFERROR(INDEX(PCRent!C:D, MATCH(F1327 &amp; " " &amp; G1327, PCRent!A:A &amp; " " &amp; PCRent!B:B, 0)), "")</f>
        <v/>
      </c>
      <c r="P1327" s="293"/>
      <c r="Q1327" s="294" t="str">
        <f t="array" ref="Q1327">IFERROR(INDEX(MonitorRent!C:D, MATCH(F1327 &amp; " " &amp; G1327, MonitorRent!A:A &amp; " " &amp; MonitorRent!B:B, 0)), "")</f>
        <v/>
      </c>
      <c r="R1327" s="295"/>
    </row>
    <row r="1328">
      <c r="A1328" s="284">
        <v>1325.0</v>
      </c>
      <c r="B1328" s="285" t="s">
        <v>8768</v>
      </c>
      <c r="C1328" s="285" t="s">
        <v>6918</v>
      </c>
      <c r="D1328" s="286" t="s">
        <v>12888</v>
      </c>
      <c r="E1328" s="285" t="s">
        <v>6933</v>
      </c>
      <c r="F1328" s="285" t="s">
        <v>11708</v>
      </c>
      <c r="G1328" s="285" t="s">
        <v>15186</v>
      </c>
      <c r="H1328" s="285" t="s">
        <v>13778</v>
      </c>
      <c r="I1328" s="285" t="s">
        <v>15187</v>
      </c>
      <c r="J1328" s="285" t="s">
        <v>5012</v>
      </c>
      <c r="K1328" s="285" t="s">
        <v>4756</v>
      </c>
      <c r="L1328" s="285" t="s">
        <v>8850</v>
      </c>
      <c r="M1328" s="285" t="s">
        <v>9383</v>
      </c>
      <c r="N1328" s="287" t="str">
        <f>IFERROR(
    IF(
        AND(
            VLOOKUP(B1328, 'รายชื่อพนักงานลาออกพ้นสภาพ'!B:I, 8, FALSE)&lt;&gt;"ยกเลิกลาออก",
            VLOOKUP(B1328, 'รายชื่อพนักงานลาออกพ้นสภาพ'!B:I, 7, FALSE)&lt;=TODAY()
        ),
        "ลาออกแล้ว",
        ""
    ),
"")</f>
        <v/>
      </c>
      <c r="O1328" s="292" t="str">
        <f t="array" ref="O1328">IFERROR(INDEX(PCRent!C:D, MATCH(F1328 &amp; " " &amp; G1328, PCRent!A:A &amp; " " &amp; PCRent!B:B, 0)), "")</f>
        <v/>
      </c>
      <c r="P1328" s="293"/>
      <c r="Q1328" s="294" t="str">
        <f t="array" ref="Q1328">IFERROR(INDEX(MonitorRent!C:D, MATCH(F1328 &amp; " " &amp; G1328, MonitorRent!A:A &amp; " " &amp; MonitorRent!B:B, 0)), "")</f>
        <v/>
      </c>
      <c r="R1328" s="295"/>
    </row>
    <row r="1329">
      <c r="A1329" s="284">
        <v>1326.0</v>
      </c>
      <c r="B1329" s="285" t="s">
        <v>26</v>
      </c>
      <c r="C1329" s="285" t="s">
        <v>6918</v>
      </c>
      <c r="D1329" s="286" t="s">
        <v>9865</v>
      </c>
      <c r="E1329" s="285" t="s">
        <v>6933</v>
      </c>
      <c r="F1329" s="285" t="s">
        <v>11708</v>
      </c>
      <c r="G1329" s="285" t="s">
        <v>15188</v>
      </c>
      <c r="H1329" s="285" t="s">
        <v>11265</v>
      </c>
      <c r="I1329" s="285" t="s">
        <v>30</v>
      </c>
      <c r="J1329" s="285" t="s">
        <v>5012</v>
      </c>
      <c r="K1329" s="285" t="s">
        <v>9626</v>
      </c>
      <c r="L1329" s="285" t="s">
        <v>2316</v>
      </c>
      <c r="M1329" s="285" t="s">
        <v>9383</v>
      </c>
      <c r="N1329" s="287" t="str">
        <f>IFERROR(
    IF(
        AND(
            VLOOKUP(B1329, 'รายชื่อพนักงานลาออกพ้นสภาพ'!B:I, 8, FALSE)&lt;&gt;"ยกเลิกลาออก",
            VLOOKUP(B1329, 'รายชื่อพนักงานลาออกพ้นสภาพ'!B:I, 7, FALSE)&lt;=TODAY()
        ),
        "ลาออกแล้ว",
        ""
    ),
"")</f>
        <v>ลาออกแล้ว</v>
      </c>
      <c r="O1329" s="292" t="str">
        <f t="array" ref="O1329:P1329">IFERROR(INDEX(PCRent!C:D, MATCH(F1329 &amp; " " &amp; G1329, PCRent!A:A &amp; " " &amp; PCRent!B:B, 0)), "")</f>
        <v>SN:PF39G1MG</v>
      </c>
      <c r="P1329" s="293" t="s">
        <v>7005</v>
      </c>
      <c r="Q1329" s="294" t="str">
        <f t="array" ref="Q1329">IFERROR(INDEX(MonitorRent!C:D, MATCH(F1329 &amp; " " &amp; G1329, MonitorRent!A:A &amp; " " &amp; MonitorRent!B:B, 0)), "")</f>
        <v/>
      </c>
      <c r="R1329" s="295"/>
    </row>
    <row r="1330">
      <c r="A1330" s="284">
        <v>1327.0</v>
      </c>
      <c r="B1330" s="285" t="s">
        <v>15189</v>
      </c>
      <c r="C1330" s="285" t="s">
        <v>6918</v>
      </c>
      <c r="D1330" s="286" t="s">
        <v>15190</v>
      </c>
      <c r="E1330" s="285" t="s">
        <v>6933</v>
      </c>
      <c r="F1330" s="285" t="s">
        <v>11708</v>
      </c>
      <c r="G1330" s="285" t="s">
        <v>15191</v>
      </c>
      <c r="H1330" s="285" t="s">
        <v>15192</v>
      </c>
      <c r="I1330" s="285" t="s">
        <v>5670</v>
      </c>
      <c r="J1330" s="285" t="s">
        <v>5012</v>
      </c>
      <c r="K1330" s="285" t="s">
        <v>9796</v>
      </c>
      <c r="L1330" s="285" t="s">
        <v>13390</v>
      </c>
      <c r="M1330" s="285" t="s">
        <v>9383</v>
      </c>
      <c r="N1330" s="287" t="str">
        <f>IFERROR(
    IF(
        AND(
            VLOOKUP(B1330, 'รายชื่อพนักงานลาออกพ้นสภาพ'!B:I, 8, FALSE)&lt;&gt;"ยกเลิกลาออก",
            VLOOKUP(B1330, 'รายชื่อพนักงานลาออกพ้นสภาพ'!B:I, 7, FALSE)&lt;=TODAY()
        ),
        "ลาออกแล้ว",
        ""
    ),
"")</f>
        <v/>
      </c>
      <c r="O1330" s="292" t="str">
        <f t="array" ref="O1330:P1330">IFERROR(INDEX(PCRent!C:D, MATCH(F1330 &amp; " " &amp; G1330, PCRent!A:A &amp; " " &amp; PCRent!B:B, 0)), "")</f>
        <v>SN:MP2ESZXW</v>
      </c>
      <c r="P1330" s="293" t="s">
        <v>7070</v>
      </c>
      <c r="Q1330" s="294" t="str">
        <f t="array" ref="Q1330">IFERROR(INDEX(MonitorRent!C:D, MATCH(F1330 &amp; " " &amp; G1330, MonitorRent!A:A &amp; " " &amp; MonitorRent!B:B, 0)), "")</f>
        <v/>
      </c>
      <c r="R1330" s="295"/>
    </row>
    <row r="1331">
      <c r="A1331" s="284">
        <v>1328.0</v>
      </c>
      <c r="B1331" s="285" t="s">
        <v>8275</v>
      </c>
      <c r="C1331" s="285" t="s">
        <v>6918</v>
      </c>
      <c r="D1331" s="286" t="s">
        <v>10070</v>
      </c>
      <c r="E1331" s="285" t="s">
        <v>6933</v>
      </c>
      <c r="F1331" s="285" t="s">
        <v>11708</v>
      </c>
      <c r="G1331" s="285" t="s">
        <v>15193</v>
      </c>
      <c r="H1331" s="285" t="s">
        <v>9430</v>
      </c>
      <c r="I1331" s="285" t="s">
        <v>15194</v>
      </c>
      <c r="J1331" s="285" t="s">
        <v>5224</v>
      </c>
      <c r="K1331" s="285" t="s">
        <v>4749</v>
      </c>
      <c r="L1331" s="285" t="s">
        <v>2730</v>
      </c>
      <c r="M1331" s="285" t="s">
        <v>9383</v>
      </c>
      <c r="N1331" s="287" t="str">
        <f>IFERROR(
    IF(
        AND(
            VLOOKUP(B1331, 'รายชื่อพนักงานลาออกพ้นสภาพ'!B:I, 8, FALSE)&lt;&gt;"ยกเลิกลาออก",
            VLOOKUP(B1331, 'รายชื่อพนักงานลาออกพ้นสภาพ'!B:I, 7, FALSE)&lt;=TODAY()
        ),
        "ลาออกแล้ว",
        ""
    ),
"")</f>
        <v/>
      </c>
      <c r="O1331" s="292" t="str">
        <f t="array" ref="O1331">IFERROR(INDEX(PCRent!C:D, MATCH(F1331 &amp; " " &amp; G1331, PCRent!A:A &amp; " " &amp; PCRent!B:B, 0)), "")</f>
        <v/>
      </c>
      <c r="P1331" s="293"/>
      <c r="Q1331" s="294" t="str">
        <f t="array" ref="Q1331">IFERROR(INDEX(MonitorRent!C:D, MATCH(F1331 &amp; " " &amp; G1331, MonitorRent!A:A &amp; " " &amp; MonitorRent!B:B, 0)), "")</f>
        <v/>
      </c>
      <c r="R1331" s="295"/>
    </row>
    <row r="1332">
      <c r="A1332" s="284">
        <v>1329.0</v>
      </c>
      <c r="B1332" s="285" t="s">
        <v>15195</v>
      </c>
      <c r="C1332" s="285" t="s">
        <v>6918</v>
      </c>
      <c r="D1332" s="286" t="s">
        <v>9634</v>
      </c>
      <c r="E1332" s="285" t="s">
        <v>6933</v>
      </c>
      <c r="F1332" s="285" t="s">
        <v>11714</v>
      </c>
      <c r="G1332" s="285" t="s">
        <v>15196</v>
      </c>
      <c r="H1332" s="285" t="s">
        <v>15197</v>
      </c>
      <c r="I1332" s="285" t="s">
        <v>15198</v>
      </c>
      <c r="J1332" s="285" t="s">
        <v>5012</v>
      </c>
      <c r="K1332" s="285" t="s">
        <v>9626</v>
      </c>
      <c r="L1332" s="285" t="s">
        <v>13020</v>
      </c>
      <c r="M1332" s="285" t="s">
        <v>9383</v>
      </c>
      <c r="N1332" s="287" t="str">
        <f>IFERROR(
    IF(
        AND(
            VLOOKUP(B1332, 'รายชื่อพนักงานลาออกพ้นสภาพ'!B:I, 8, FALSE)&lt;&gt;"ยกเลิกลาออก",
            VLOOKUP(B1332, 'รายชื่อพนักงานลาออกพ้นสภาพ'!B:I, 7, FALSE)&lt;=TODAY()
        ),
        "ลาออกแล้ว",
        ""
    ),
"")</f>
        <v/>
      </c>
      <c r="O1332" s="292" t="str">
        <f t="array" ref="O1332">IFERROR(INDEX(PCRent!C:D, MATCH(F1332 &amp; " " &amp; G1332, PCRent!A:A &amp; " " &amp; PCRent!B:B, 0)), "")</f>
        <v/>
      </c>
      <c r="P1332" s="293"/>
      <c r="Q1332" s="294" t="str">
        <f t="array" ref="Q1332">IFERROR(INDEX(MonitorRent!C:D, MATCH(F1332 &amp; " " &amp; G1332, MonitorRent!A:A &amp; " " &amp; MonitorRent!B:B, 0)), "")</f>
        <v/>
      </c>
      <c r="R1332" s="295"/>
    </row>
    <row r="1333">
      <c r="A1333" s="284">
        <v>1330.0</v>
      </c>
      <c r="B1333" s="285" t="s">
        <v>15199</v>
      </c>
      <c r="C1333" s="285" t="s">
        <v>6918</v>
      </c>
      <c r="D1333" s="286" t="s">
        <v>15200</v>
      </c>
      <c r="E1333" s="285" t="s">
        <v>6933</v>
      </c>
      <c r="F1333" s="285" t="s">
        <v>15201</v>
      </c>
      <c r="G1333" s="285" t="s">
        <v>15202</v>
      </c>
      <c r="H1333" s="285" t="s">
        <v>11563</v>
      </c>
      <c r="I1333" s="285" t="s">
        <v>15203</v>
      </c>
      <c r="J1333" s="285" t="s">
        <v>5012</v>
      </c>
      <c r="K1333" s="285" t="s">
        <v>9474</v>
      </c>
      <c r="L1333" s="285" t="s">
        <v>13067</v>
      </c>
      <c r="M1333" s="285" t="s">
        <v>9383</v>
      </c>
      <c r="N1333" s="287" t="str">
        <f>IFERROR(
    IF(
        AND(
            VLOOKUP(B1333, 'รายชื่อพนักงานลาออกพ้นสภาพ'!B:I, 8, FALSE)&lt;&gt;"ยกเลิกลาออก",
            VLOOKUP(B1333, 'รายชื่อพนักงานลาออกพ้นสภาพ'!B:I, 7, FALSE)&lt;=TODAY()
        ),
        "ลาออกแล้ว",
        ""
    ),
"")</f>
        <v/>
      </c>
      <c r="O1333" s="292" t="str">
        <f t="array" ref="O1333">IFERROR(INDEX(PCRent!C:D, MATCH(F1333 &amp; " " &amp; G1333, PCRent!A:A &amp; " " &amp; PCRent!B:B, 0)), "")</f>
        <v/>
      </c>
      <c r="P1333" s="293"/>
      <c r="Q1333" s="294" t="str">
        <f t="array" ref="Q1333">IFERROR(INDEX(MonitorRent!C:D, MATCH(F1333 &amp; " " &amp; G1333, MonitorRent!A:A &amp; " " &amp; MonitorRent!B:B, 0)), "")</f>
        <v/>
      </c>
      <c r="R1333" s="295"/>
    </row>
    <row r="1334">
      <c r="A1334" s="284">
        <v>1331.0</v>
      </c>
      <c r="B1334" s="285" t="s">
        <v>7245</v>
      </c>
      <c r="C1334" s="285" t="s">
        <v>6918</v>
      </c>
      <c r="D1334" s="286" t="s">
        <v>13601</v>
      </c>
      <c r="E1334" s="285" t="s">
        <v>6933</v>
      </c>
      <c r="F1334" s="285" t="s">
        <v>15201</v>
      </c>
      <c r="G1334" s="285" t="s">
        <v>15204</v>
      </c>
      <c r="H1334" s="285" t="s">
        <v>13524</v>
      </c>
      <c r="I1334" s="285" t="s">
        <v>15205</v>
      </c>
      <c r="J1334" s="285" t="s">
        <v>5224</v>
      </c>
      <c r="K1334" s="285" t="s">
        <v>4835</v>
      </c>
      <c r="L1334" s="285" t="s">
        <v>14715</v>
      </c>
      <c r="M1334" s="285" t="s">
        <v>9383</v>
      </c>
      <c r="N1334" s="287" t="str">
        <f>IFERROR(
    IF(
        AND(
            VLOOKUP(B1334, 'รายชื่อพนักงานลาออกพ้นสภาพ'!B:I, 8, FALSE)&lt;&gt;"ยกเลิกลาออก",
            VLOOKUP(B1334, 'รายชื่อพนักงานลาออกพ้นสภาพ'!B:I, 7, FALSE)&lt;=TODAY()
        ),
        "ลาออกแล้ว",
        ""
    ),
"")</f>
        <v/>
      </c>
      <c r="O1334" s="292" t="str">
        <f t="array" ref="O1334:P1334">IFERROR(INDEX(PCRent!C:D, MATCH(F1334 &amp; " " &amp; G1334, PCRent!A:A &amp; " " &amp; PCRent!B:B, 0)), "")</f>
        <v>SN:MP2M8JL3</v>
      </c>
      <c r="P1334" s="293" t="s">
        <v>7248</v>
      </c>
      <c r="Q1334" s="294" t="str">
        <f t="array" ref="Q1334">IFERROR(INDEX(MonitorRent!C:D, MATCH(F1334 &amp; " " &amp; G1334, MonitorRent!A:A &amp; " " &amp; MonitorRent!B:B, 0)), "")</f>
        <v/>
      </c>
      <c r="R1334" s="295"/>
    </row>
    <row r="1335">
      <c r="A1335" s="284">
        <v>1332.0</v>
      </c>
      <c r="B1335" s="285" t="s">
        <v>15206</v>
      </c>
      <c r="C1335" s="285" t="s">
        <v>6918</v>
      </c>
      <c r="D1335" s="286" t="s">
        <v>12529</v>
      </c>
      <c r="E1335" s="285" t="s">
        <v>6933</v>
      </c>
      <c r="F1335" s="285" t="s">
        <v>15207</v>
      </c>
      <c r="G1335" s="285" t="s">
        <v>15208</v>
      </c>
      <c r="H1335" s="285" t="s">
        <v>14263</v>
      </c>
      <c r="I1335" s="285" t="s">
        <v>15209</v>
      </c>
      <c r="J1335" s="285" t="s">
        <v>5012</v>
      </c>
      <c r="K1335" s="285" t="s">
        <v>9474</v>
      </c>
      <c r="L1335" s="285" t="s">
        <v>1888</v>
      </c>
      <c r="M1335" s="285" t="s">
        <v>9383</v>
      </c>
      <c r="N1335" s="287" t="str">
        <f>IFERROR(
    IF(
        AND(
            VLOOKUP(B1335, 'รายชื่อพนักงานลาออกพ้นสภาพ'!B:I, 8, FALSE)&lt;&gt;"ยกเลิกลาออก",
            VLOOKUP(B1335, 'รายชื่อพนักงานลาออกพ้นสภาพ'!B:I, 7, FALSE)&lt;=TODAY()
        ),
        "ลาออกแล้ว",
        ""
    ),
"")</f>
        <v/>
      </c>
      <c r="O1335" s="292" t="str">
        <f t="array" ref="O1335">IFERROR(INDEX(PCRent!C:D, MATCH(F1335 &amp; " " &amp; G1335, PCRent!A:A &amp; " " &amp; PCRent!B:B, 0)), "")</f>
        <v/>
      </c>
      <c r="P1335" s="293"/>
      <c r="Q1335" s="294" t="str">
        <f t="array" ref="Q1335">IFERROR(INDEX(MonitorRent!C:D, MATCH(F1335 &amp; " " &amp; G1335, MonitorRent!A:A &amp; " " &amp; MonitorRent!B:B, 0)), "")</f>
        <v/>
      </c>
      <c r="R1335" s="295"/>
    </row>
    <row r="1336">
      <c r="A1336" s="284">
        <v>1333.0</v>
      </c>
      <c r="B1336" s="285" t="s">
        <v>15210</v>
      </c>
      <c r="C1336" s="285" t="s">
        <v>6918</v>
      </c>
      <c r="D1336" s="286" t="s">
        <v>13455</v>
      </c>
      <c r="E1336" s="285" t="s">
        <v>6933</v>
      </c>
      <c r="F1336" s="285" t="s">
        <v>15211</v>
      </c>
      <c r="G1336" s="285" t="s">
        <v>15212</v>
      </c>
      <c r="H1336" s="285" t="s">
        <v>10425</v>
      </c>
      <c r="I1336" s="285" t="s">
        <v>15213</v>
      </c>
      <c r="J1336" s="285" t="s">
        <v>5012</v>
      </c>
      <c r="K1336" s="285" t="s">
        <v>9474</v>
      </c>
      <c r="L1336" s="285" t="s">
        <v>3857</v>
      </c>
      <c r="M1336" s="285" t="s">
        <v>9383</v>
      </c>
      <c r="N1336" s="287" t="str">
        <f>IFERROR(
    IF(
        AND(
            VLOOKUP(B1336, 'รายชื่อพนักงานลาออกพ้นสภาพ'!B:I, 8, FALSE)&lt;&gt;"ยกเลิกลาออก",
            VLOOKUP(B1336, 'รายชื่อพนักงานลาออกพ้นสภาพ'!B:I, 7, FALSE)&lt;=TODAY()
        ),
        "ลาออกแล้ว",
        ""
    ),
"")</f>
        <v/>
      </c>
      <c r="O1336" s="292" t="str">
        <f t="array" ref="O1336">IFERROR(INDEX(PCRent!C:D, MATCH(F1336 &amp; " " &amp; G1336, PCRent!A:A &amp; " " &amp; PCRent!B:B, 0)), "")</f>
        <v/>
      </c>
      <c r="P1336" s="293"/>
      <c r="Q1336" s="294" t="str">
        <f t="array" ref="Q1336">IFERROR(INDEX(MonitorRent!C:D, MATCH(F1336 &amp; " " &amp; G1336, MonitorRent!A:A &amp; " " &amp; MonitorRent!B:B, 0)), "")</f>
        <v/>
      </c>
      <c r="R1336" s="295"/>
    </row>
    <row r="1337">
      <c r="A1337" s="284">
        <v>1334.0</v>
      </c>
      <c r="B1337" s="285" t="s">
        <v>7238</v>
      </c>
      <c r="C1337" s="285" t="s">
        <v>6918</v>
      </c>
      <c r="D1337" s="286" t="s">
        <v>11381</v>
      </c>
      <c r="E1337" s="285" t="s">
        <v>7239</v>
      </c>
      <c r="F1337" s="285" t="s">
        <v>15214</v>
      </c>
      <c r="G1337" s="285" t="s">
        <v>15215</v>
      </c>
      <c r="H1337" s="285" t="s">
        <v>15216</v>
      </c>
      <c r="I1337" s="285" t="s">
        <v>15217</v>
      </c>
      <c r="J1337" s="285" t="s">
        <v>5224</v>
      </c>
      <c r="K1337" s="285" t="s">
        <v>4818</v>
      </c>
      <c r="L1337" s="285" t="s">
        <v>14715</v>
      </c>
      <c r="M1337" s="285" t="s">
        <v>9383</v>
      </c>
      <c r="N1337" s="287" t="str">
        <f>IFERROR(
    IF(
        AND(
            VLOOKUP(B1337, 'รายชื่อพนักงานลาออกพ้นสภาพ'!B:I, 8, FALSE)&lt;&gt;"ยกเลิกลาออก",
            VLOOKUP(B1337, 'รายชื่อพนักงานลาออกพ้นสภาพ'!B:I, 7, FALSE)&lt;=TODAY()
        ),
        "ลาออกแล้ว",
        ""
    ),
"")</f>
        <v/>
      </c>
      <c r="O1337" s="292" t="str">
        <f t="array" ref="O1337:P1337">IFERROR(INDEX(PCRent!C:D, MATCH(F1337 &amp; " " &amp; G1337, PCRent!A:A &amp; " " &amp; PCRent!B:B, 0)), "")</f>
        <v>SN:MP2ET64A</v>
      </c>
      <c r="P1337" s="293" t="s">
        <v>7070</v>
      </c>
      <c r="Q1337" s="294" t="str">
        <f t="array" ref="Q1337">IFERROR(INDEX(MonitorRent!C:D, MATCH(F1337 &amp; " " &amp; G1337, MonitorRent!A:A &amp; " " &amp; MonitorRent!B:B, 0)), "")</f>
        <v/>
      </c>
      <c r="R1337" s="295"/>
    </row>
    <row r="1338">
      <c r="A1338" s="284">
        <v>1335.0</v>
      </c>
      <c r="B1338" s="285" t="s">
        <v>8921</v>
      </c>
      <c r="C1338" s="285" t="s">
        <v>6918</v>
      </c>
      <c r="D1338" s="286" t="s">
        <v>13238</v>
      </c>
      <c r="E1338" s="285" t="s">
        <v>6933</v>
      </c>
      <c r="F1338" s="285" t="s">
        <v>15218</v>
      </c>
      <c r="G1338" s="285" t="s">
        <v>15219</v>
      </c>
      <c r="H1338" s="285" t="s">
        <v>15220</v>
      </c>
      <c r="I1338" s="285" t="s">
        <v>15221</v>
      </c>
      <c r="J1338" s="285" t="s">
        <v>5012</v>
      </c>
      <c r="K1338" s="285" t="s">
        <v>9466</v>
      </c>
      <c r="L1338" s="285" t="s">
        <v>8906</v>
      </c>
      <c r="M1338" s="285" t="s">
        <v>9383</v>
      </c>
      <c r="N1338" s="287" t="str">
        <f>IFERROR(
    IF(
        AND(
            VLOOKUP(B1338, 'รายชื่อพนักงานลาออกพ้นสภาพ'!B:I, 8, FALSE)&lt;&gt;"ยกเลิกลาออก",
            VLOOKUP(B1338, 'รายชื่อพนักงานลาออกพ้นสภาพ'!B:I, 7, FALSE)&lt;=TODAY()
        ),
        "ลาออกแล้ว",
        ""
    ),
"")</f>
        <v/>
      </c>
      <c r="O1338" s="292" t="str">
        <f t="array" ref="O1338">IFERROR(INDEX(PCRent!C:D, MATCH(F1338 &amp; " " &amp; G1338, PCRent!A:A &amp; " " &amp; PCRent!B:B, 0)), "")</f>
        <v/>
      </c>
      <c r="P1338" s="293"/>
      <c r="Q1338" s="294" t="str">
        <f t="array" ref="Q1338">IFERROR(INDEX(MonitorRent!C:D, MATCH(F1338 &amp; " " &amp; G1338, MonitorRent!A:A &amp; " " &amp; MonitorRent!B:B, 0)), "")</f>
        <v/>
      </c>
      <c r="R1338" s="295"/>
    </row>
    <row r="1339">
      <c r="A1339" s="284">
        <v>1336.0</v>
      </c>
      <c r="B1339" s="285" t="s">
        <v>7708</v>
      </c>
      <c r="C1339" s="285" t="s">
        <v>6918</v>
      </c>
      <c r="D1339" s="286" t="s">
        <v>15222</v>
      </c>
      <c r="E1339" s="285" t="s">
        <v>6933</v>
      </c>
      <c r="F1339" s="285" t="s">
        <v>15223</v>
      </c>
      <c r="G1339" s="285" t="s">
        <v>15224</v>
      </c>
      <c r="H1339" s="285" t="s">
        <v>10812</v>
      </c>
      <c r="I1339" s="285" t="s">
        <v>15225</v>
      </c>
      <c r="J1339" s="285" t="s">
        <v>5224</v>
      </c>
      <c r="K1339" s="285" t="s">
        <v>10056</v>
      </c>
      <c r="L1339" s="285" t="s">
        <v>2716</v>
      </c>
      <c r="M1339" s="285" t="s">
        <v>9383</v>
      </c>
      <c r="N1339" s="287" t="str">
        <f>IFERROR(
    IF(
        AND(
            VLOOKUP(B1339, 'รายชื่อพนักงานลาออกพ้นสภาพ'!B:I, 8, FALSE)&lt;&gt;"ยกเลิกลาออก",
            VLOOKUP(B1339, 'รายชื่อพนักงานลาออกพ้นสภาพ'!B:I, 7, FALSE)&lt;=TODAY()
        ),
        "ลาออกแล้ว",
        ""
    ),
"")</f>
        <v/>
      </c>
      <c r="O1339" s="292" t="str">
        <f t="array" ref="O1339">IFERROR(INDEX(PCRent!C:D, MATCH(F1339 &amp; " " &amp; G1339, PCRent!A:A &amp; " " &amp; PCRent!B:B, 0)), "")</f>
        <v/>
      </c>
      <c r="P1339" s="293"/>
      <c r="Q1339" s="294" t="str">
        <f t="array" ref="Q1339">IFERROR(INDEX(MonitorRent!C:D, MATCH(F1339 &amp; " " &amp; G1339, MonitorRent!A:A &amp; " " &amp; MonitorRent!B:B, 0)), "")</f>
        <v/>
      </c>
      <c r="R1339" s="295"/>
    </row>
    <row r="1340">
      <c r="A1340" s="284">
        <v>1337.0</v>
      </c>
      <c r="B1340" s="285" t="s">
        <v>15226</v>
      </c>
      <c r="C1340" s="285" t="s">
        <v>6918</v>
      </c>
      <c r="D1340" s="286" t="s">
        <v>13152</v>
      </c>
      <c r="E1340" s="285" t="s">
        <v>6933</v>
      </c>
      <c r="F1340" s="285" t="s">
        <v>15227</v>
      </c>
      <c r="G1340" s="285" t="s">
        <v>15228</v>
      </c>
      <c r="H1340" s="285" t="s">
        <v>15227</v>
      </c>
      <c r="I1340" s="285" t="s">
        <v>15229</v>
      </c>
      <c r="J1340" s="285" t="s">
        <v>5012</v>
      </c>
      <c r="K1340" s="285" t="s">
        <v>15230</v>
      </c>
      <c r="L1340" s="285" t="s">
        <v>13501</v>
      </c>
      <c r="M1340" s="285" t="s">
        <v>9383</v>
      </c>
      <c r="N1340" s="287" t="str">
        <f>IFERROR(
    IF(
        AND(
            VLOOKUP(B1340, 'รายชื่อพนักงานลาออกพ้นสภาพ'!B:I, 8, FALSE)&lt;&gt;"ยกเลิกลาออก",
            VLOOKUP(B1340, 'รายชื่อพนักงานลาออกพ้นสภาพ'!B:I, 7, FALSE)&lt;=TODAY()
        ),
        "ลาออกแล้ว",
        ""
    ),
"")</f>
        <v/>
      </c>
      <c r="O1340" s="292" t="str">
        <f t="array" ref="O1340">IFERROR(INDEX(PCRent!C:D, MATCH(F1340 &amp; " " &amp; G1340, PCRent!A:A &amp; " " &amp; PCRent!B:B, 0)), "")</f>
        <v/>
      </c>
      <c r="P1340" s="293"/>
      <c r="Q1340" s="294" t="str">
        <f t="array" ref="Q1340">IFERROR(INDEX(MonitorRent!C:D, MATCH(F1340 &amp; " " &amp; G1340, MonitorRent!A:A &amp; " " &amp; MonitorRent!B:B, 0)), "")</f>
        <v/>
      </c>
      <c r="R1340" s="295"/>
    </row>
    <row r="1341">
      <c r="A1341" s="284">
        <v>1338.0</v>
      </c>
      <c r="B1341" s="285" t="s">
        <v>15231</v>
      </c>
      <c r="C1341" s="285" t="s">
        <v>6918</v>
      </c>
      <c r="D1341" s="286" t="s">
        <v>10045</v>
      </c>
      <c r="E1341" s="285" t="s">
        <v>6933</v>
      </c>
      <c r="F1341" s="285" t="s">
        <v>15232</v>
      </c>
      <c r="G1341" s="285" t="s">
        <v>15233</v>
      </c>
      <c r="H1341" s="285" t="s">
        <v>12633</v>
      </c>
      <c r="I1341" s="285" t="s">
        <v>15234</v>
      </c>
      <c r="J1341" s="285" t="s">
        <v>5012</v>
      </c>
      <c r="K1341" s="285" t="s">
        <v>15235</v>
      </c>
      <c r="L1341" s="285" t="s">
        <v>4549</v>
      </c>
      <c r="M1341" s="285" t="s">
        <v>9383</v>
      </c>
      <c r="N1341" s="287" t="str">
        <f>IFERROR(
    IF(
        AND(
            VLOOKUP(B1341, 'รายชื่อพนักงานลาออกพ้นสภาพ'!B:I, 8, FALSE)&lt;&gt;"ยกเลิกลาออก",
            VLOOKUP(B1341, 'รายชื่อพนักงานลาออกพ้นสภาพ'!B:I, 7, FALSE)&lt;=TODAY()
        ),
        "ลาออกแล้ว",
        ""
    ),
"")</f>
        <v/>
      </c>
      <c r="O1341" s="292" t="str">
        <f t="array" ref="O1341:P1341">IFERROR(INDEX(PCRent!C:D, MATCH(F1341 &amp; " " &amp; G1341, PCRent!A:A &amp; " " &amp; PCRent!B:B, 0)), "")</f>
        <v>SN:2YYNPY3</v>
      </c>
      <c r="P1341" s="293" t="s">
        <v>7048</v>
      </c>
      <c r="Q1341" s="294" t="str">
        <f t="array" ref="Q1341:R1341">IFERROR(INDEX(MonitorRent!C:D, MATCH(F1341 &amp; " " &amp; G1341, MonitorRent!A:A &amp; " " &amp; MonitorRent!B:B, 0)), "")</f>
        <v>SN:DLT3ZV3</v>
      </c>
      <c r="R1341" s="295" t="s">
        <v>7050</v>
      </c>
    </row>
    <row r="1342">
      <c r="A1342" s="284">
        <v>1339.0</v>
      </c>
      <c r="B1342" s="285" t="s">
        <v>15236</v>
      </c>
      <c r="C1342" s="285" t="s">
        <v>6918</v>
      </c>
      <c r="D1342" s="286" t="s">
        <v>10485</v>
      </c>
      <c r="E1342" s="285" t="s">
        <v>6933</v>
      </c>
      <c r="F1342" s="285" t="s">
        <v>15232</v>
      </c>
      <c r="G1342" s="285" t="s">
        <v>15237</v>
      </c>
      <c r="H1342" s="285" t="s">
        <v>9754</v>
      </c>
      <c r="I1342" s="285" t="s">
        <v>15238</v>
      </c>
      <c r="J1342" s="285" t="s">
        <v>5012</v>
      </c>
      <c r="K1342" s="285" t="s">
        <v>9474</v>
      </c>
      <c r="L1342" s="285" t="s">
        <v>8906</v>
      </c>
      <c r="M1342" s="285" t="s">
        <v>9383</v>
      </c>
      <c r="N1342" s="287" t="str">
        <f>IFERROR(
    IF(
        AND(
            VLOOKUP(B1342, 'รายชื่อพนักงานลาออกพ้นสภาพ'!B:I, 8, FALSE)&lt;&gt;"ยกเลิกลาออก",
            VLOOKUP(B1342, 'รายชื่อพนักงานลาออกพ้นสภาพ'!B:I, 7, FALSE)&lt;=TODAY()
        ),
        "ลาออกแล้ว",
        ""
    ),
"")</f>
        <v/>
      </c>
      <c r="O1342" s="292" t="str">
        <f t="array" ref="O1342">IFERROR(INDEX(PCRent!C:D, MATCH(F1342 &amp; " " &amp; G1342, PCRent!A:A &amp; " " &amp; PCRent!B:B, 0)), "")</f>
        <v/>
      </c>
      <c r="P1342" s="293"/>
      <c r="Q1342" s="294" t="str">
        <f t="array" ref="Q1342">IFERROR(INDEX(MonitorRent!C:D, MATCH(F1342 &amp; " " &amp; G1342, MonitorRent!A:A &amp; " " &amp; MonitorRent!B:B, 0)), "")</f>
        <v/>
      </c>
      <c r="R1342" s="295"/>
    </row>
    <row r="1343">
      <c r="A1343" s="284">
        <v>1340.0</v>
      </c>
      <c r="B1343" s="285" t="s">
        <v>15239</v>
      </c>
      <c r="C1343" s="285" t="s">
        <v>6918</v>
      </c>
      <c r="D1343" s="286" t="s">
        <v>15240</v>
      </c>
      <c r="E1343" s="285" t="s">
        <v>6921</v>
      </c>
      <c r="F1343" s="285" t="s">
        <v>15241</v>
      </c>
      <c r="G1343" s="285" t="s">
        <v>15242</v>
      </c>
      <c r="H1343" s="285" t="s">
        <v>9413</v>
      </c>
      <c r="I1343" s="285" t="s">
        <v>15243</v>
      </c>
      <c r="J1343" s="285" t="s">
        <v>5012</v>
      </c>
      <c r="K1343" s="285" t="s">
        <v>9560</v>
      </c>
      <c r="L1343" s="285" t="s">
        <v>941</v>
      </c>
      <c r="M1343" s="285" t="s">
        <v>9383</v>
      </c>
      <c r="N1343" s="287" t="str">
        <f>IFERROR(
    IF(
        AND(
            VLOOKUP(B1343, 'รายชื่อพนักงานลาออกพ้นสภาพ'!B:I, 8, FALSE)&lt;&gt;"ยกเลิกลาออก",
            VLOOKUP(B1343, 'รายชื่อพนักงานลาออกพ้นสภาพ'!B:I, 7, FALSE)&lt;=TODAY()
        ),
        "ลาออกแล้ว",
        ""
    ),
"")</f>
        <v/>
      </c>
      <c r="O1343" s="292" t="str">
        <f t="array" ref="O1343:P1343">IFERROR(INDEX(PCRent!C:D, MATCH(F1343 &amp; " " &amp; G1343, PCRent!A:A &amp; " " &amp; PCRent!B:B, 0)), "")</f>
        <v>SN:MP2AN2CM</v>
      </c>
      <c r="P1343" s="293" t="s">
        <v>9562</v>
      </c>
      <c r="Q1343" s="294" t="str">
        <f t="array" ref="Q1343">IFERROR(INDEX(MonitorRent!C:D, MATCH(F1343 &amp; " " &amp; G1343, MonitorRent!A:A &amp; " " &amp; MonitorRent!B:B, 0)), "")</f>
        <v/>
      </c>
      <c r="R1343" s="295"/>
    </row>
    <row r="1344">
      <c r="A1344" s="284">
        <v>1341.0</v>
      </c>
      <c r="B1344" s="285" t="s">
        <v>7785</v>
      </c>
      <c r="C1344" s="285" t="s">
        <v>6918</v>
      </c>
      <c r="D1344" s="286" t="s">
        <v>15244</v>
      </c>
      <c r="E1344" s="285" t="s">
        <v>6921</v>
      </c>
      <c r="F1344" s="285" t="s">
        <v>15241</v>
      </c>
      <c r="G1344" s="285" t="s">
        <v>15245</v>
      </c>
      <c r="H1344" s="285" t="s">
        <v>14575</v>
      </c>
      <c r="I1344" s="285" t="s">
        <v>15246</v>
      </c>
      <c r="J1344" s="285" t="s">
        <v>5224</v>
      </c>
      <c r="K1344" s="285" t="s">
        <v>13931</v>
      </c>
      <c r="L1344" s="285" t="s">
        <v>5890</v>
      </c>
      <c r="M1344" s="285" t="s">
        <v>9383</v>
      </c>
      <c r="N1344" s="287" t="str">
        <f>IFERROR(
    IF(
        AND(
            VLOOKUP(B1344, 'รายชื่อพนักงานลาออกพ้นสภาพ'!B:I, 8, FALSE)&lt;&gt;"ยกเลิกลาออก",
            VLOOKUP(B1344, 'รายชื่อพนักงานลาออกพ้นสภาพ'!B:I, 7, FALSE)&lt;=TODAY()
        ),
        "ลาออกแล้ว",
        ""
    ),
"")</f>
        <v/>
      </c>
      <c r="O1344" s="292" t="str">
        <f t="array" ref="O1344">IFERROR(INDEX(PCRent!C:D, MATCH(F1344 &amp; " " &amp; G1344, PCRent!A:A &amp; " " &amp; PCRent!B:B, 0)), "")</f>
        <v/>
      </c>
      <c r="P1344" s="293"/>
      <c r="Q1344" s="294" t="str">
        <f t="array" ref="Q1344">IFERROR(INDEX(MonitorRent!C:D, MATCH(F1344 &amp; " " &amp; G1344, MonitorRent!A:A &amp; " " &amp; MonitorRent!B:B, 0)), "")</f>
        <v/>
      </c>
      <c r="R1344" s="295"/>
    </row>
    <row r="1345">
      <c r="A1345" s="284">
        <v>1342.0</v>
      </c>
      <c r="B1345" s="285" t="s">
        <v>3152</v>
      </c>
      <c r="C1345" s="285" t="s">
        <v>6918</v>
      </c>
      <c r="D1345" s="286" t="s">
        <v>15247</v>
      </c>
      <c r="E1345" s="285" t="s">
        <v>6921</v>
      </c>
      <c r="F1345" s="285" t="s">
        <v>15248</v>
      </c>
      <c r="G1345" s="285" t="s">
        <v>15249</v>
      </c>
      <c r="H1345" s="285" t="s">
        <v>12957</v>
      </c>
      <c r="I1345" s="285" t="s">
        <v>6434</v>
      </c>
      <c r="J1345" s="285" t="s">
        <v>5224</v>
      </c>
      <c r="K1345" s="285" t="s">
        <v>10056</v>
      </c>
      <c r="L1345" s="285" t="s">
        <v>9977</v>
      </c>
      <c r="M1345" s="285" t="s">
        <v>9383</v>
      </c>
      <c r="N1345" s="287" t="str">
        <f>IFERROR(
    IF(
        AND(
            VLOOKUP(B1345, 'รายชื่อพนักงานลาออกพ้นสภาพ'!B:I, 8, FALSE)&lt;&gt;"ยกเลิกลาออก",
            VLOOKUP(B1345, 'รายชื่อพนักงานลาออกพ้นสภาพ'!B:I, 7, FALSE)&lt;=TODAY()
        ),
        "ลาออกแล้ว",
        ""
    ),
"")</f>
        <v/>
      </c>
      <c r="O1345" s="292" t="str">
        <f t="array" ref="O1345:P1345">IFERROR(INDEX(PCRent!C:D, MATCH(F1345 &amp; " " &amp; G1345, PCRent!A:A &amp; " " &amp; PCRent!B:B, 0)), "")</f>
        <v>SN:DB6MBZ3</v>
      </c>
      <c r="P1345" s="293" t="s">
        <v>7048</v>
      </c>
      <c r="Q1345" s="294" t="str">
        <f t="array" ref="Q1345:R1345">IFERROR(INDEX(MonitorRent!C:D, MATCH(F1345 &amp; " " &amp; G1345, MonitorRent!A:A &amp; " " &amp; MonitorRent!B:B, 0)), "")</f>
        <v>SN:DKZH8Y3</v>
      </c>
      <c r="R1345" s="295" t="s">
        <v>7050</v>
      </c>
    </row>
    <row r="1346">
      <c r="A1346" s="284">
        <v>1343.0</v>
      </c>
      <c r="B1346" s="285" t="s">
        <v>8488</v>
      </c>
      <c r="C1346" s="285" t="s">
        <v>6918</v>
      </c>
      <c r="D1346" s="286" t="s">
        <v>15250</v>
      </c>
      <c r="E1346" s="285" t="s">
        <v>6921</v>
      </c>
      <c r="F1346" s="285" t="s">
        <v>15251</v>
      </c>
      <c r="G1346" s="285" t="s">
        <v>15252</v>
      </c>
      <c r="H1346" s="285" t="s">
        <v>9835</v>
      </c>
      <c r="I1346" s="285" t="s">
        <v>15253</v>
      </c>
      <c r="J1346" s="285" t="s">
        <v>5224</v>
      </c>
      <c r="K1346" s="285" t="s">
        <v>4835</v>
      </c>
      <c r="L1346" s="285" t="s">
        <v>8486</v>
      </c>
      <c r="M1346" s="285" t="s">
        <v>9383</v>
      </c>
      <c r="N1346" s="287" t="str">
        <f>IFERROR(
    IF(
        AND(
            VLOOKUP(B1346, 'รายชื่อพนักงานลาออกพ้นสภาพ'!B:I, 8, FALSE)&lt;&gt;"ยกเลิกลาออก",
            VLOOKUP(B1346, 'รายชื่อพนักงานลาออกพ้นสภาพ'!B:I, 7, FALSE)&lt;=TODAY()
        ),
        "ลาออกแล้ว",
        ""
    ),
"")</f>
        <v/>
      </c>
      <c r="O1346" s="292" t="str">
        <f t="array" ref="O1346">IFERROR(INDEX(PCRent!C:D, MATCH(F1346 &amp; " " &amp; G1346, PCRent!A:A &amp; " " &amp; PCRent!B:B, 0)), "")</f>
        <v/>
      </c>
      <c r="P1346" s="293"/>
      <c r="Q1346" s="294" t="str">
        <f t="array" ref="Q1346">IFERROR(INDEX(MonitorRent!C:D, MATCH(F1346 &amp; " " &amp; G1346, MonitorRent!A:A &amp; " " &amp; MonitorRent!B:B, 0)), "")</f>
        <v/>
      </c>
      <c r="R1346" s="295"/>
    </row>
    <row r="1347">
      <c r="A1347" s="284">
        <v>1344.0</v>
      </c>
      <c r="B1347" s="285" t="s">
        <v>8741</v>
      </c>
      <c r="C1347" s="285" t="s">
        <v>6918</v>
      </c>
      <c r="D1347" s="286" t="s">
        <v>9865</v>
      </c>
      <c r="E1347" s="285" t="s">
        <v>6933</v>
      </c>
      <c r="F1347" s="285" t="s">
        <v>15254</v>
      </c>
      <c r="G1347" s="285" t="s">
        <v>15255</v>
      </c>
      <c r="H1347" s="285" t="s">
        <v>11358</v>
      </c>
      <c r="I1347" s="285" t="s">
        <v>15256</v>
      </c>
      <c r="J1347" s="285" t="s">
        <v>5012</v>
      </c>
      <c r="K1347" s="285" t="s">
        <v>14002</v>
      </c>
      <c r="L1347" s="285" t="s">
        <v>456</v>
      </c>
      <c r="M1347" s="285" t="s">
        <v>9383</v>
      </c>
      <c r="N1347" s="287" t="str">
        <f>IFERROR(
    IF(
        AND(
            VLOOKUP(B1347, 'รายชื่อพนักงานลาออกพ้นสภาพ'!B:I, 8, FALSE)&lt;&gt;"ยกเลิกลาออก",
            VLOOKUP(B1347, 'รายชื่อพนักงานลาออกพ้นสภาพ'!B:I, 7, FALSE)&lt;=TODAY()
        ),
        "ลาออกแล้ว",
        ""
    ),
"")</f>
        <v/>
      </c>
      <c r="O1347" s="292" t="str">
        <f t="array" ref="O1347">IFERROR(INDEX(PCRent!C:D, MATCH(F1347 &amp; " " &amp; G1347, PCRent!A:A &amp; " " &amp; PCRent!B:B, 0)), "")</f>
        <v/>
      </c>
      <c r="P1347" s="293"/>
      <c r="Q1347" s="294" t="str">
        <f t="array" ref="Q1347">IFERROR(INDEX(MonitorRent!C:D, MATCH(F1347 &amp; " " &amp; G1347, MonitorRent!A:A &amp; " " &amp; MonitorRent!B:B, 0)), "")</f>
        <v/>
      </c>
      <c r="R1347" s="295"/>
    </row>
    <row r="1348">
      <c r="A1348" s="284">
        <v>1345.0</v>
      </c>
      <c r="B1348" s="285" t="s">
        <v>15257</v>
      </c>
      <c r="C1348" s="285" t="s">
        <v>6918</v>
      </c>
      <c r="D1348" s="286" t="s">
        <v>9583</v>
      </c>
      <c r="E1348" s="285" t="s">
        <v>6933</v>
      </c>
      <c r="F1348" s="285" t="s">
        <v>15258</v>
      </c>
      <c r="G1348" s="285" t="s">
        <v>15259</v>
      </c>
      <c r="H1348" s="285" t="s">
        <v>15119</v>
      </c>
      <c r="I1348" s="285" t="s">
        <v>15260</v>
      </c>
      <c r="J1348" s="285" t="s">
        <v>5012</v>
      </c>
      <c r="K1348" s="285" t="s">
        <v>9633</v>
      </c>
      <c r="L1348" s="285" t="s">
        <v>13067</v>
      </c>
      <c r="M1348" s="285" t="s">
        <v>9383</v>
      </c>
      <c r="N1348" s="287" t="str">
        <f>IFERROR(
    IF(
        AND(
            VLOOKUP(B1348, 'รายชื่อพนักงานลาออกพ้นสภาพ'!B:I, 8, FALSE)&lt;&gt;"ยกเลิกลาออก",
            VLOOKUP(B1348, 'รายชื่อพนักงานลาออกพ้นสภาพ'!B:I, 7, FALSE)&lt;=TODAY()
        ),
        "ลาออกแล้ว",
        ""
    ),
"")</f>
        <v/>
      </c>
      <c r="O1348" s="292" t="str">
        <f t="array" ref="O1348">IFERROR(INDEX(PCRent!C:D, MATCH(F1348 &amp; " " &amp; G1348, PCRent!A:A &amp; " " &amp; PCRent!B:B, 0)), "")</f>
        <v/>
      </c>
      <c r="P1348" s="293"/>
      <c r="Q1348" s="294" t="str">
        <f t="array" ref="Q1348">IFERROR(INDEX(MonitorRent!C:D, MATCH(F1348 &amp; " " &amp; G1348, MonitorRent!A:A &amp; " " &amp; MonitorRent!B:B, 0)), "")</f>
        <v/>
      </c>
      <c r="R1348" s="295"/>
    </row>
    <row r="1349">
      <c r="A1349" s="284">
        <v>1346.0</v>
      </c>
      <c r="B1349" s="285" t="s">
        <v>15261</v>
      </c>
      <c r="C1349" s="285" t="s">
        <v>6918</v>
      </c>
      <c r="D1349" s="286" t="s">
        <v>9882</v>
      </c>
      <c r="E1349" s="285" t="s">
        <v>6933</v>
      </c>
      <c r="F1349" s="285" t="s">
        <v>15262</v>
      </c>
      <c r="G1349" s="285" t="s">
        <v>15263</v>
      </c>
      <c r="H1349" s="285" t="s">
        <v>15264</v>
      </c>
      <c r="I1349" s="285" t="s">
        <v>15265</v>
      </c>
      <c r="J1349" s="285" t="s">
        <v>5012</v>
      </c>
      <c r="K1349" s="285" t="s">
        <v>9626</v>
      </c>
      <c r="L1349" s="285" t="s">
        <v>13869</v>
      </c>
      <c r="M1349" s="285" t="s">
        <v>9383</v>
      </c>
      <c r="N1349" s="287" t="str">
        <f>IFERROR(
    IF(
        AND(
            VLOOKUP(B1349, 'รายชื่อพนักงานลาออกพ้นสภาพ'!B:I, 8, FALSE)&lt;&gt;"ยกเลิกลาออก",
            VLOOKUP(B1349, 'รายชื่อพนักงานลาออกพ้นสภาพ'!B:I, 7, FALSE)&lt;=TODAY()
        ),
        "ลาออกแล้ว",
        ""
    ),
"")</f>
        <v/>
      </c>
      <c r="O1349" s="292" t="str">
        <f t="array" ref="O1349">IFERROR(INDEX(PCRent!C:D, MATCH(F1349 &amp; " " &amp; G1349, PCRent!A:A &amp; " " &amp; PCRent!B:B, 0)), "")</f>
        <v/>
      </c>
      <c r="P1349" s="293"/>
      <c r="Q1349" s="294" t="str">
        <f t="array" ref="Q1349">IFERROR(INDEX(MonitorRent!C:D, MATCH(F1349 &amp; " " &amp; G1349, MonitorRent!A:A &amp; " " &amp; MonitorRent!B:B, 0)), "")</f>
        <v/>
      </c>
      <c r="R1349" s="295"/>
    </row>
    <row r="1350">
      <c r="A1350" s="284">
        <v>1347.0</v>
      </c>
      <c r="B1350" s="285" t="s">
        <v>7896</v>
      </c>
      <c r="C1350" s="285" t="s">
        <v>6918</v>
      </c>
      <c r="D1350" s="286" t="s">
        <v>15266</v>
      </c>
      <c r="E1350" s="285" t="s">
        <v>7239</v>
      </c>
      <c r="F1350" s="285" t="s">
        <v>15267</v>
      </c>
      <c r="G1350" s="285" t="s">
        <v>15268</v>
      </c>
      <c r="H1350" s="285" t="s">
        <v>11754</v>
      </c>
      <c r="I1350" s="285" t="s">
        <v>15269</v>
      </c>
      <c r="J1350" s="285" t="s">
        <v>5224</v>
      </c>
      <c r="K1350" s="285" t="s">
        <v>14265</v>
      </c>
      <c r="L1350" s="285" t="s">
        <v>7898</v>
      </c>
      <c r="M1350" s="285" t="s">
        <v>9383</v>
      </c>
      <c r="N1350" s="287" t="str">
        <f>IFERROR(
    IF(
        AND(
            VLOOKUP(B1350, 'รายชื่อพนักงานลาออกพ้นสภาพ'!B:I, 8, FALSE)&lt;&gt;"ยกเลิกลาออก",
            VLOOKUP(B1350, 'รายชื่อพนักงานลาออกพ้นสภาพ'!B:I, 7, FALSE)&lt;=TODAY()
        ),
        "ลาออกแล้ว",
        ""
    ),
"")</f>
        <v/>
      </c>
      <c r="O1350" s="292" t="str">
        <f t="array" ref="O1350">IFERROR(INDEX(PCRent!C:D, MATCH(F1350 &amp; " " &amp; G1350, PCRent!A:A &amp; " " &amp; PCRent!B:B, 0)), "")</f>
        <v/>
      </c>
      <c r="P1350" s="293"/>
      <c r="Q1350" s="294" t="str">
        <f t="array" ref="Q1350">IFERROR(INDEX(MonitorRent!C:D, MATCH(F1350 &amp; " " &amp; G1350, MonitorRent!A:A &amp; " " &amp; MonitorRent!B:B, 0)), "")</f>
        <v/>
      </c>
      <c r="R1350" s="295"/>
    </row>
    <row r="1351">
      <c r="A1351" s="284">
        <v>1348.0</v>
      </c>
      <c r="B1351" s="285" t="s">
        <v>7752</v>
      </c>
      <c r="C1351" s="285" t="s">
        <v>6918</v>
      </c>
      <c r="D1351" s="286" t="s">
        <v>15270</v>
      </c>
      <c r="E1351" s="285" t="s">
        <v>7239</v>
      </c>
      <c r="F1351" s="285" t="s">
        <v>15271</v>
      </c>
      <c r="G1351" s="285" t="s">
        <v>15272</v>
      </c>
      <c r="H1351" s="285" t="s">
        <v>10435</v>
      </c>
      <c r="I1351" s="285" t="s">
        <v>15273</v>
      </c>
      <c r="J1351" s="285" t="s">
        <v>5224</v>
      </c>
      <c r="K1351" s="285" t="s">
        <v>4818</v>
      </c>
      <c r="L1351" s="285" t="s">
        <v>3170</v>
      </c>
      <c r="M1351" s="285" t="s">
        <v>9383</v>
      </c>
      <c r="N1351" s="287" t="str">
        <f>IFERROR(
    IF(
        AND(
            VLOOKUP(B1351, 'รายชื่อพนักงานลาออกพ้นสภาพ'!B:I, 8, FALSE)&lt;&gt;"ยกเลิกลาออก",
            VLOOKUP(B1351, 'รายชื่อพนักงานลาออกพ้นสภาพ'!B:I, 7, FALSE)&lt;=TODAY()
        ),
        "ลาออกแล้ว",
        ""
    ),
"")</f>
        <v/>
      </c>
      <c r="O1351" s="292" t="str">
        <f t="array" ref="O1351:P1351">IFERROR(INDEX(PCRent!C:D, MATCH(F1351 &amp; " " &amp; G1351, PCRent!A:A &amp; " " &amp; PCRent!B:B, 0)), "")</f>
        <v>SN:PF39GVS5</v>
      </c>
      <c r="P1351" s="293" t="s">
        <v>7005</v>
      </c>
      <c r="Q1351" s="294" t="str">
        <f t="array" ref="Q1351">IFERROR(INDEX(MonitorRent!C:D, MATCH(F1351 &amp; " " &amp; G1351, MonitorRent!A:A &amp; " " &amp; MonitorRent!B:B, 0)), "")</f>
        <v/>
      </c>
      <c r="R1351" s="295"/>
    </row>
    <row r="1352">
      <c r="A1352" s="284">
        <v>1349.0</v>
      </c>
      <c r="B1352" s="285" t="s">
        <v>15274</v>
      </c>
      <c r="C1352" s="285" t="s">
        <v>6918</v>
      </c>
      <c r="D1352" s="286" t="s">
        <v>10012</v>
      </c>
      <c r="E1352" s="285" t="s">
        <v>6933</v>
      </c>
      <c r="F1352" s="285" t="s">
        <v>11772</v>
      </c>
      <c r="G1352" s="285" t="s">
        <v>15275</v>
      </c>
      <c r="H1352" s="285" t="s">
        <v>15276</v>
      </c>
      <c r="I1352" s="285" t="s">
        <v>15277</v>
      </c>
      <c r="J1352" s="285" t="s">
        <v>5012</v>
      </c>
      <c r="K1352" s="285" t="s">
        <v>6322</v>
      </c>
      <c r="L1352" s="285" t="s">
        <v>117</v>
      </c>
      <c r="M1352" s="285" t="s">
        <v>9383</v>
      </c>
      <c r="N1352" s="287" t="str">
        <f>IFERROR(
    IF(
        AND(
            VLOOKUP(B1352, 'รายชื่อพนักงานลาออกพ้นสภาพ'!B:I, 8, FALSE)&lt;&gt;"ยกเลิกลาออก",
            VLOOKUP(B1352, 'รายชื่อพนักงานลาออกพ้นสภาพ'!B:I, 7, FALSE)&lt;=TODAY()
        ),
        "ลาออกแล้ว",
        ""
    ),
"")</f>
        <v/>
      </c>
      <c r="O1352" s="292" t="str">
        <f t="array" ref="O1352">IFERROR(INDEX(PCRent!C:D, MATCH(F1352 &amp; " " &amp; G1352, PCRent!A:A &amp; " " &amp; PCRent!B:B, 0)), "")</f>
        <v/>
      </c>
      <c r="P1352" s="293"/>
      <c r="Q1352" s="294" t="str">
        <f t="array" ref="Q1352">IFERROR(INDEX(MonitorRent!C:D, MATCH(F1352 &amp; " " &amp; G1352, MonitorRent!A:A &amp; " " &amp; MonitorRent!B:B, 0)), "")</f>
        <v/>
      </c>
      <c r="R1352" s="295"/>
    </row>
    <row r="1353">
      <c r="A1353" s="284">
        <v>1350.0</v>
      </c>
      <c r="B1353" s="285" t="s">
        <v>5116</v>
      </c>
      <c r="C1353" s="285" t="s">
        <v>6918</v>
      </c>
      <c r="D1353" s="286" t="s">
        <v>13838</v>
      </c>
      <c r="E1353" s="285" t="s">
        <v>6933</v>
      </c>
      <c r="F1353" s="285" t="s">
        <v>11772</v>
      </c>
      <c r="G1353" s="285" t="s">
        <v>15278</v>
      </c>
      <c r="H1353" s="285" t="s">
        <v>11151</v>
      </c>
      <c r="I1353" s="285" t="s">
        <v>5118</v>
      </c>
      <c r="J1353" s="285" t="s">
        <v>5012</v>
      </c>
      <c r="K1353" s="285" t="s">
        <v>1363</v>
      </c>
      <c r="L1353" s="285" t="s">
        <v>13896</v>
      </c>
      <c r="M1353" s="285" t="s">
        <v>9383</v>
      </c>
      <c r="N1353" s="287" t="str">
        <f>IFERROR(
    IF(
        AND(
            VLOOKUP(B1353, 'รายชื่อพนักงานลาออกพ้นสภาพ'!B:I, 8, FALSE)&lt;&gt;"ยกเลิกลาออก",
            VLOOKUP(B1353, 'รายชื่อพนักงานลาออกพ้นสภาพ'!B:I, 7, FALSE)&lt;=TODAY()
        ),
        "ลาออกแล้ว",
        ""
    ),
"")</f>
        <v/>
      </c>
      <c r="O1353" s="292" t="str">
        <f t="array" ref="O1353">IFERROR(INDEX(PCRent!C:D, MATCH(F1353 &amp; " " &amp; G1353, PCRent!A:A &amp; " " &amp; PCRent!B:B, 0)), "")</f>
        <v/>
      </c>
      <c r="P1353" s="293"/>
      <c r="Q1353" s="294" t="str">
        <f t="array" ref="Q1353">IFERROR(INDEX(MonitorRent!C:D, MATCH(F1353 &amp; " " &amp; G1353, MonitorRent!A:A &amp; " " &amp; MonitorRent!B:B, 0)), "")</f>
        <v/>
      </c>
      <c r="R1353" s="295"/>
    </row>
    <row r="1354">
      <c r="A1354" s="284">
        <v>1351.0</v>
      </c>
      <c r="B1354" s="285" t="s">
        <v>15279</v>
      </c>
      <c r="C1354" s="285" t="s">
        <v>6918</v>
      </c>
      <c r="D1354" s="286" t="s">
        <v>9876</v>
      </c>
      <c r="E1354" s="285" t="s">
        <v>7097</v>
      </c>
      <c r="F1354" s="285" t="s">
        <v>11772</v>
      </c>
      <c r="G1354" s="285" t="s">
        <v>15280</v>
      </c>
      <c r="H1354" s="285" t="s">
        <v>11563</v>
      </c>
      <c r="I1354" s="285" t="s">
        <v>15281</v>
      </c>
      <c r="J1354" s="285" t="s">
        <v>5012</v>
      </c>
      <c r="K1354" s="285" t="s">
        <v>1363</v>
      </c>
      <c r="L1354" s="285" t="s">
        <v>13390</v>
      </c>
      <c r="M1354" s="285" t="s">
        <v>9383</v>
      </c>
      <c r="N1354" s="287" t="str">
        <f>IFERROR(
    IF(
        AND(
            VLOOKUP(B1354, 'รายชื่อพนักงานลาออกพ้นสภาพ'!B:I, 8, FALSE)&lt;&gt;"ยกเลิกลาออก",
            VLOOKUP(B1354, 'รายชื่อพนักงานลาออกพ้นสภาพ'!B:I, 7, FALSE)&lt;=TODAY()
        ),
        "ลาออกแล้ว",
        ""
    ),
"")</f>
        <v/>
      </c>
      <c r="O1354" s="292" t="str">
        <f t="array" ref="O1354:P1354">IFERROR(INDEX(PCRent!C:D, MATCH(F1354 &amp; " " &amp; G1354, PCRent!A:A &amp; " " &amp; PCRent!B:B, 0)), "")</f>
        <v>SN:MP2E2SWE</v>
      </c>
      <c r="P1354" s="293" t="s">
        <v>6993</v>
      </c>
      <c r="Q1354" s="294" t="str">
        <f t="array" ref="Q1354">IFERROR(INDEX(MonitorRent!C:D, MATCH(F1354 &amp; " " &amp; G1354, MonitorRent!A:A &amp; " " &amp; MonitorRent!B:B, 0)), "")</f>
        <v/>
      </c>
      <c r="R1354" s="295"/>
    </row>
    <row r="1355">
      <c r="A1355" s="284">
        <v>1352.0</v>
      </c>
      <c r="B1355" s="285" t="s">
        <v>15282</v>
      </c>
      <c r="C1355" s="285" t="s">
        <v>6918</v>
      </c>
      <c r="D1355" s="286" t="s">
        <v>9769</v>
      </c>
      <c r="E1355" s="285" t="s">
        <v>6933</v>
      </c>
      <c r="F1355" s="285" t="s">
        <v>11772</v>
      </c>
      <c r="G1355" s="285" t="s">
        <v>15283</v>
      </c>
      <c r="H1355" s="285" t="s">
        <v>15284</v>
      </c>
      <c r="I1355" s="285" t="s">
        <v>15285</v>
      </c>
      <c r="J1355" s="285" t="s">
        <v>5012</v>
      </c>
      <c r="K1355" s="285" t="s">
        <v>9474</v>
      </c>
      <c r="L1355" s="285" t="s">
        <v>13020</v>
      </c>
      <c r="M1355" s="285" t="s">
        <v>9383</v>
      </c>
      <c r="N1355" s="287" t="str">
        <f>IFERROR(
    IF(
        AND(
            VLOOKUP(B1355, 'รายชื่อพนักงานลาออกพ้นสภาพ'!B:I, 8, FALSE)&lt;&gt;"ยกเลิกลาออก",
            VLOOKUP(B1355, 'รายชื่อพนักงานลาออกพ้นสภาพ'!B:I, 7, FALSE)&lt;=TODAY()
        ),
        "ลาออกแล้ว",
        ""
    ),
"")</f>
        <v/>
      </c>
      <c r="O1355" s="292" t="str">
        <f t="array" ref="O1355">IFERROR(INDEX(PCRent!C:D, MATCH(F1355 &amp; " " &amp; G1355, PCRent!A:A &amp; " " &amp; PCRent!B:B, 0)), "")</f>
        <v/>
      </c>
      <c r="P1355" s="293"/>
      <c r="Q1355" s="294" t="str">
        <f t="array" ref="Q1355">IFERROR(INDEX(MonitorRent!C:D, MATCH(F1355 &amp; " " &amp; G1355, MonitorRent!A:A &amp; " " &amp; MonitorRent!B:B, 0)), "")</f>
        <v/>
      </c>
      <c r="R1355" s="295"/>
    </row>
    <row r="1356">
      <c r="A1356" s="284">
        <v>1353.0</v>
      </c>
      <c r="B1356" s="285" t="s">
        <v>15286</v>
      </c>
      <c r="C1356" s="285" t="s">
        <v>6918</v>
      </c>
      <c r="D1356" s="286" t="s">
        <v>13838</v>
      </c>
      <c r="E1356" s="285" t="s">
        <v>6933</v>
      </c>
      <c r="F1356" s="285" t="s">
        <v>11772</v>
      </c>
      <c r="G1356" s="285" t="s">
        <v>15287</v>
      </c>
      <c r="H1356" s="285" t="s">
        <v>9696</v>
      </c>
      <c r="I1356" s="285" t="s">
        <v>15288</v>
      </c>
      <c r="J1356" s="285" t="s">
        <v>5012</v>
      </c>
      <c r="K1356" s="285" t="s">
        <v>9474</v>
      </c>
      <c r="L1356" s="285" t="s">
        <v>8906</v>
      </c>
      <c r="M1356" s="285" t="s">
        <v>9383</v>
      </c>
      <c r="N1356" s="287" t="str">
        <f>IFERROR(
    IF(
        AND(
            VLOOKUP(B1356, 'รายชื่อพนักงานลาออกพ้นสภาพ'!B:I, 8, FALSE)&lt;&gt;"ยกเลิกลาออก",
            VLOOKUP(B1356, 'รายชื่อพนักงานลาออกพ้นสภาพ'!B:I, 7, FALSE)&lt;=TODAY()
        ),
        "ลาออกแล้ว",
        ""
    ),
"")</f>
        <v/>
      </c>
      <c r="O1356" s="292" t="str">
        <f t="array" ref="O1356">IFERROR(INDEX(PCRent!C:D, MATCH(F1356 &amp; " " &amp; G1356, PCRent!A:A &amp; " " &amp; PCRent!B:B, 0)), "")</f>
        <v/>
      </c>
      <c r="P1356" s="293"/>
      <c r="Q1356" s="294" t="str">
        <f t="array" ref="Q1356">IFERROR(INDEX(MonitorRent!C:D, MATCH(F1356 &amp; " " &amp; G1356, MonitorRent!A:A &amp; " " &amp; MonitorRent!B:B, 0)), "")</f>
        <v/>
      </c>
      <c r="R1356" s="295"/>
    </row>
    <row r="1357">
      <c r="A1357" s="284">
        <v>1354.0</v>
      </c>
      <c r="B1357" s="285" t="s">
        <v>15289</v>
      </c>
      <c r="C1357" s="285" t="s">
        <v>6918</v>
      </c>
      <c r="D1357" s="286" t="s">
        <v>15290</v>
      </c>
      <c r="E1357" s="285" t="s">
        <v>6933</v>
      </c>
      <c r="F1357" s="285" t="s">
        <v>15291</v>
      </c>
      <c r="G1357" s="285" t="s">
        <v>15292</v>
      </c>
      <c r="H1357" s="285" t="s">
        <v>15293</v>
      </c>
      <c r="I1357" s="285" t="s">
        <v>15294</v>
      </c>
      <c r="J1357" s="285" t="s">
        <v>5012</v>
      </c>
      <c r="K1357" s="285" t="s">
        <v>9474</v>
      </c>
      <c r="L1357" s="285" t="s">
        <v>232</v>
      </c>
      <c r="M1357" s="285" t="s">
        <v>9383</v>
      </c>
      <c r="N1357" s="287" t="str">
        <f>IFERROR(
    IF(
        AND(
            VLOOKUP(B1357, 'รายชื่อพนักงานลาออกพ้นสภาพ'!B:I, 8, FALSE)&lt;&gt;"ยกเลิกลาออก",
            VLOOKUP(B1357, 'รายชื่อพนักงานลาออกพ้นสภาพ'!B:I, 7, FALSE)&lt;=TODAY()
        ),
        "ลาออกแล้ว",
        ""
    ),
"")</f>
        <v/>
      </c>
      <c r="O1357" s="292" t="str">
        <f t="array" ref="O1357">IFERROR(INDEX(PCRent!C:D, MATCH(F1357 &amp; " " &amp; G1357, PCRent!A:A &amp; " " &amp; PCRent!B:B, 0)), "")</f>
        <v/>
      </c>
      <c r="P1357" s="293"/>
      <c r="Q1357" s="294" t="str">
        <f t="array" ref="Q1357">IFERROR(INDEX(MonitorRent!C:D, MATCH(F1357 &amp; " " &amp; G1357, MonitorRent!A:A &amp; " " &amp; MonitorRent!B:B, 0)), "")</f>
        <v/>
      </c>
      <c r="R1357" s="295"/>
    </row>
    <row r="1358">
      <c r="A1358" s="284">
        <v>1355.0</v>
      </c>
      <c r="B1358" s="285" t="s">
        <v>15295</v>
      </c>
      <c r="C1358" s="285" t="s">
        <v>6918</v>
      </c>
      <c r="D1358" s="286" t="s">
        <v>9688</v>
      </c>
      <c r="E1358" s="285" t="s">
        <v>6933</v>
      </c>
      <c r="F1358" s="285" t="s">
        <v>15296</v>
      </c>
      <c r="G1358" s="285" t="s">
        <v>15297</v>
      </c>
      <c r="H1358" s="285" t="s">
        <v>13136</v>
      </c>
      <c r="I1358" s="285" t="s">
        <v>15298</v>
      </c>
      <c r="J1358" s="285" t="s">
        <v>5012</v>
      </c>
      <c r="K1358" s="285" t="s">
        <v>9633</v>
      </c>
      <c r="L1358" s="285" t="s">
        <v>14139</v>
      </c>
      <c r="M1358" s="285" t="s">
        <v>9383</v>
      </c>
      <c r="N1358" s="287" t="str">
        <f>IFERROR(
    IF(
        AND(
            VLOOKUP(B1358, 'รายชื่อพนักงานลาออกพ้นสภาพ'!B:I, 8, FALSE)&lt;&gt;"ยกเลิกลาออก",
            VLOOKUP(B1358, 'รายชื่อพนักงานลาออกพ้นสภาพ'!B:I, 7, FALSE)&lt;=TODAY()
        ),
        "ลาออกแล้ว",
        ""
    ),
"")</f>
        <v/>
      </c>
      <c r="O1358" s="292" t="str">
        <f t="array" ref="O1358:P1358">IFERROR(INDEX(PCRent!C:D, MATCH(F1358 &amp; " " &amp; G1358, PCRent!A:A &amp; " " &amp; PCRent!B:B, 0)), "")</f>
        <v>SN:MP2ETWRC</v>
      </c>
      <c r="P1358" s="293" t="s">
        <v>7070</v>
      </c>
      <c r="Q1358" s="294" t="str">
        <f t="array" ref="Q1358">IFERROR(INDEX(MonitorRent!C:D, MATCH(F1358 &amp; " " &amp; G1358, MonitorRent!A:A &amp; " " &amp; MonitorRent!B:B, 0)), "")</f>
        <v/>
      </c>
      <c r="R1358" s="295"/>
    </row>
    <row r="1359">
      <c r="A1359" s="284">
        <v>1356.0</v>
      </c>
      <c r="B1359" s="285" t="s">
        <v>8940</v>
      </c>
      <c r="C1359" s="285" t="s">
        <v>6918</v>
      </c>
      <c r="D1359" s="286" t="s">
        <v>10603</v>
      </c>
      <c r="E1359" s="285" t="s">
        <v>6921</v>
      </c>
      <c r="F1359" s="285" t="s">
        <v>15299</v>
      </c>
      <c r="G1359" s="285" t="s">
        <v>15300</v>
      </c>
      <c r="H1359" s="285" t="s">
        <v>9956</v>
      </c>
      <c r="I1359" s="285" t="s">
        <v>15301</v>
      </c>
      <c r="J1359" s="285" t="s">
        <v>5224</v>
      </c>
      <c r="K1359" s="285" t="s">
        <v>13577</v>
      </c>
      <c r="L1359" s="285" t="s">
        <v>13555</v>
      </c>
      <c r="M1359" s="285" t="s">
        <v>9383</v>
      </c>
      <c r="N1359" s="287" t="str">
        <f>IFERROR(
    IF(
        AND(
            VLOOKUP(B1359, 'รายชื่อพนักงานลาออกพ้นสภาพ'!B:I, 8, FALSE)&lt;&gt;"ยกเลิกลาออก",
            VLOOKUP(B1359, 'รายชื่อพนักงานลาออกพ้นสภาพ'!B:I, 7, FALSE)&lt;=TODAY()
        ),
        "ลาออกแล้ว",
        ""
    ),
"")</f>
        <v/>
      </c>
      <c r="O1359" s="292" t="str">
        <f t="array" ref="O1359:P1359">IFERROR(INDEX(PCRent!C:D, MATCH(F1359 &amp; " " &amp; G1359, PCRent!A:A &amp; " " &amp; PCRent!B:B, 0)), "")</f>
        <v>SN:MP2M8JLT</v>
      </c>
      <c r="P1359" s="293" t="s">
        <v>7248</v>
      </c>
      <c r="Q1359" s="294" t="str">
        <f t="array" ref="Q1359">IFERROR(INDEX(MonitorRent!C:D, MATCH(F1359 &amp; " " &amp; G1359, MonitorRent!A:A &amp; " " &amp; MonitorRent!B:B, 0)), "")</f>
        <v/>
      </c>
      <c r="R1359" s="295"/>
    </row>
    <row r="1360">
      <c r="A1360" s="284">
        <v>1357.0</v>
      </c>
      <c r="B1360" s="285" t="s">
        <v>15302</v>
      </c>
      <c r="C1360" s="285" t="s">
        <v>6918</v>
      </c>
      <c r="D1360" s="286" t="s">
        <v>9713</v>
      </c>
      <c r="E1360" s="285" t="s">
        <v>6933</v>
      </c>
      <c r="F1360" s="285" t="s">
        <v>11802</v>
      </c>
      <c r="G1360" s="285" t="s">
        <v>15303</v>
      </c>
      <c r="H1360" s="285" t="s">
        <v>11615</v>
      </c>
      <c r="I1360" s="285" t="s">
        <v>15304</v>
      </c>
      <c r="J1360" s="285" t="s">
        <v>5012</v>
      </c>
      <c r="K1360" s="285" t="s">
        <v>15305</v>
      </c>
      <c r="L1360" s="285" t="s">
        <v>1888</v>
      </c>
      <c r="M1360" s="285" t="s">
        <v>9383</v>
      </c>
      <c r="N1360" s="287" t="str">
        <f>IFERROR(
    IF(
        AND(
            VLOOKUP(B1360, 'รายชื่อพนักงานลาออกพ้นสภาพ'!B:I, 8, FALSE)&lt;&gt;"ยกเลิกลาออก",
            VLOOKUP(B1360, 'รายชื่อพนักงานลาออกพ้นสภาพ'!B:I, 7, FALSE)&lt;=TODAY()
        ),
        "ลาออกแล้ว",
        ""
    ),
"")</f>
        <v/>
      </c>
      <c r="O1360" s="292" t="str">
        <f t="array" ref="O1360">IFERROR(INDEX(PCRent!C:D, MATCH(F1360 &amp; " " &amp; G1360, PCRent!A:A &amp; " " &amp; PCRent!B:B, 0)), "")</f>
        <v/>
      </c>
      <c r="P1360" s="293"/>
      <c r="Q1360" s="294" t="str">
        <f t="array" ref="Q1360">IFERROR(INDEX(MonitorRent!C:D, MATCH(F1360 &amp; " " &amp; G1360, MonitorRent!A:A &amp; " " &amp; MonitorRent!B:B, 0)), "")</f>
        <v/>
      </c>
      <c r="R1360" s="295"/>
    </row>
    <row r="1361">
      <c r="A1361" s="284">
        <v>1358.0</v>
      </c>
      <c r="B1361" s="285" t="s">
        <v>8470</v>
      </c>
      <c r="C1361" s="285" t="s">
        <v>6918</v>
      </c>
      <c r="D1361" s="286" t="s">
        <v>11654</v>
      </c>
      <c r="E1361" s="285" t="s">
        <v>6921</v>
      </c>
      <c r="F1361" s="285" t="s">
        <v>15306</v>
      </c>
      <c r="G1361" s="285" t="s">
        <v>9498</v>
      </c>
      <c r="H1361" s="285" t="s">
        <v>9435</v>
      </c>
      <c r="I1361" s="285" t="s">
        <v>15307</v>
      </c>
      <c r="J1361" s="285" t="s">
        <v>5224</v>
      </c>
      <c r="K1361" s="285" t="s">
        <v>1392</v>
      </c>
      <c r="L1361" s="285" t="s">
        <v>8472</v>
      </c>
      <c r="M1361" s="285" t="s">
        <v>9383</v>
      </c>
      <c r="N1361" s="287" t="str">
        <f>IFERROR(
    IF(
        AND(
            VLOOKUP(B1361, 'รายชื่อพนักงานลาออกพ้นสภาพ'!B:I, 8, FALSE)&lt;&gt;"ยกเลิกลาออก",
            VLOOKUP(B1361, 'รายชื่อพนักงานลาออกพ้นสภาพ'!B:I, 7, FALSE)&lt;=TODAY()
        ),
        "ลาออกแล้ว",
        ""
    ),
"")</f>
        <v/>
      </c>
      <c r="O1361" s="292" t="str">
        <f t="array" ref="O1361">IFERROR(INDEX(PCRent!C:D, MATCH(F1361 &amp; " " &amp; G1361, PCRent!A:A &amp; " " &amp; PCRent!B:B, 0)), "")</f>
        <v/>
      </c>
      <c r="P1361" s="293"/>
      <c r="Q1361" s="294" t="str">
        <f t="array" ref="Q1361">IFERROR(INDEX(MonitorRent!C:D, MATCH(F1361 &amp; " " &amp; G1361, MonitorRent!A:A &amp; " " &amp; MonitorRent!B:B, 0)), "")</f>
        <v/>
      </c>
      <c r="R1361" s="295"/>
    </row>
    <row r="1362">
      <c r="A1362" s="284">
        <v>1359.0</v>
      </c>
      <c r="B1362" s="285" t="s">
        <v>15308</v>
      </c>
      <c r="C1362" s="285" t="s">
        <v>6918</v>
      </c>
      <c r="D1362" s="286" t="s">
        <v>9415</v>
      </c>
      <c r="E1362" s="285" t="s">
        <v>6921</v>
      </c>
      <c r="F1362" s="285" t="s">
        <v>15309</v>
      </c>
      <c r="G1362" s="285" t="s">
        <v>15310</v>
      </c>
      <c r="H1362" s="285" t="s">
        <v>11194</v>
      </c>
      <c r="I1362" s="285" t="s">
        <v>15311</v>
      </c>
      <c r="J1362" s="285" t="s">
        <v>5224</v>
      </c>
      <c r="K1362" s="285" t="s">
        <v>10068</v>
      </c>
      <c r="L1362" s="285" t="s">
        <v>13682</v>
      </c>
      <c r="M1362" s="285" t="s">
        <v>9383</v>
      </c>
      <c r="N1362" s="287" t="str">
        <f>IFERROR(
    IF(
        AND(
            VLOOKUP(B1362, 'รายชื่อพนักงานลาออกพ้นสภาพ'!B:I, 8, FALSE)&lt;&gt;"ยกเลิกลาออก",
            VLOOKUP(B1362, 'รายชื่อพนักงานลาออกพ้นสภาพ'!B:I, 7, FALSE)&lt;=TODAY()
        ),
        "ลาออกแล้ว",
        ""
    ),
"")</f>
        <v/>
      </c>
      <c r="O1362" s="292" t="str">
        <f t="array" ref="O1362:P1362">IFERROR(INDEX(PCRent!C:D, MATCH(F1362 &amp; " " &amp; G1362, PCRent!A:A &amp; " " &amp; PCRent!B:B, 0)), "")</f>
        <v>SN:3TYNPY3</v>
      </c>
      <c r="P1362" s="293" t="s">
        <v>7048</v>
      </c>
      <c r="Q1362" s="294" t="str">
        <f t="array" ref="Q1362:R1362">IFERROR(INDEX(MonitorRent!C:D, MATCH(F1362 &amp; " " &amp; G1362, MonitorRent!A:A &amp; " " &amp; MonitorRent!B:B, 0)), "")</f>
        <v>SN:9W832Y3</v>
      </c>
      <c r="R1362" s="295" t="s">
        <v>7050</v>
      </c>
    </row>
    <row r="1363">
      <c r="A1363" s="284">
        <v>1360.0</v>
      </c>
      <c r="B1363" s="285" t="s">
        <v>8974</v>
      </c>
      <c r="C1363" s="285" t="s">
        <v>6918</v>
      </c>
      <c r="D1363" s="286" t="s">
        <v>15312</v>
      </c>
      <c r="E1363" s="285" t="s">
        <v>6921</v>
      </c>
      <c r="F1363" s="285" t="s">
        <v>15313</v>
      </c>
      <c r="G1363" s="285" t="s">
        <v>15314</v>
      </c>
      <c r="H1363" s="285" t="s">
        <v>15315</v>
      </c>
      <c r="I1363" s="285" t="s">
        <v>15316</v>
      </c>
      <c r="J1363" s="285" t="s">
        <v>5224</v>
      </c>
      <c r="K1363" s="285" t="s">
        <v>1392</v>
      </c>
      <c r="L1363" s="285" t="s">
        <v>15040</v>
      </c>
      <c r="M1363" s="285" t="s">
        <v>9383</v>
      </c>
      <c r="N1363" s="287" t="str">
        <f>IFERROR(
    IF(
        AND(
            VLOOKUP(B1363, 'รายชื่อพนักงานลาออกพ้นสภาพ'!B:I, 8, FALSE)&lt;&gt;"ยกเลิกลาออก",
            VLOOKUP(B1363, 'รายชื่อพนักงานลาออกพ้นสภาพ'!B:I, 7, FALSE)&lt;=TODAY()
        ),
        "ลาออกแล้ว",
        ""
    ),
"")</f>
        <v/>
      </c>
      <c r="O1363" s="292" t="str">
        <f t="array" ref="O1363">IFERROR(INDEX(PCRent!C:D, MATCH(F1363 &amp; " " &amp; G1363, PCRent!A:A &amp; " " &amp; PCRent!B:B, 0)), "")</f>
        <v/>
      </c>
      <c r="P1363" s="293"/>
      <c r="Q1363" s="294" t="str">
        <f t="array" ref="Q1363">IFERROR(INDEX(MonitorRent!C:D, MATCH(F1363 &amp; " " &amp; G1363, MonitorRent!A:A &amp; " " &amp; MonitorRent!B:B, 0)), "")</f>
        <v/>
      </c>
      <c r="R1363" s="295"/>
    </row>
    <row r="1364">
      <c r="A1364" s="284">
        <v>1361.0</v>
      </c>
      <c r="B1364" s="285" t="s">
        <v>15317</v>
      </c>
      <c r="C1364" s="285" t="s">
        <v>6918</v>
      </c>
      <c r="D1364" s="286" t="s">
        <v>9718</v>
      </c>
      <c r="E1364" s="285" t="s">
        <v>6921</v>
      </c>
      <c r="F1364" s="285" t="s">
        <v>15318</v>
      </c>
      <c r="G1364" s="285" t="s">
        <v>15319</v>
      </c>
      <c r="H1364" s="285" t="s">
        <v>15320</v>
      </c>
      <c r="I1364" s="285" t="s">
        <v>15321</v>
      </c>
      <c r="J1364" s="285" t="s">
        <v>5224</v>
      </c>
      <c r="K1364" s="285" t="s">
        <v>9552</v>
      </c>
      <c r="L1364" s="285" t="s">
        <v>9977</v>
      </c>
      <c r="M1364" s="285" t="s">
        <v>9391</v>
      </c>
      <c r="N1364" s="287" t="str">
        <f>IFERROR(
    IF(
        AND(
            VLOOKUP(B1364, 'รายชื่อพนักงานลาออกพ้นสภาพ'!B:I, 8, FALSE)&lt;&gt;"ยกเลิกลาออก",
            VLOOKUP(B1364, 'รายชื่อพนักงานลาออกพ้นสภาพ'!B:I, 7, FALSE)&lt;=TODAY()
        ),
        "ลาออกแล้ว",
        ""
    ),
"")</f>
        <v/>
      </c>
      <c r="O1364" s="292" t="str">
        <f t="array" ref="O1364">IFERROR(INDEX(PCRent!C:D, MATCH(F1364 &amp; " " &amp; G1364, PCRent!A:A &amp; " " &amp; PCRent!B:B, 0)), "")</f>
        <v/>
      </c>
      <c r="P1364" s="293"/>
      <c r="Q1364" s="294" t="str">
        <f t="array" ref="Q1364">IFERROR(INDEX(MonitorRent!C:D, MATCH(F1364 &amp; " " &amp; G1364, MonitorRent!A:A &amp; " " &amp; MonitorRent!B:B, 0)), "")</f>
        <v/>
      </c>
      <c r="R1364" s="295"/>
    </row>
    <row r="1365">
      <c r="A1365" s="284">
        <v>1362.0</v>
      </c>
      <c r="B1365" s="285" t="s">
        <v>15322</v>
      </c>
      <c r="C1365" s="285" t="s">
        <v>6918</v>
      </c>
      <c r="D1365" s="286" t="s">
        <v>11371</v>
      </c>
      <c r="E1365" s="285" t="s">
        <v>6921</v>
      </c>
      <c r="F1365" s="285" t="s">
        <v>15323</v>
      </c>
      <c r="G1365" s="285" t="s">
        <v>15324</v>
      </c>
      <c r="H1365" s="285" t="s">
        <v>11164</v>
      </c>
      <c r="I1365" s="285" t="s">
        <v>15325</v>
      </c>
      <c r="J1365" s="285" t="s">
        <v>5224</v>
      </c>
      <c r="K1365" s="285" t="s">
        <v>13577</v>
      </c>
      <c r="L1365" s="285" t="s">
        <v>272</v>
      </c>
      <c r="M1365" s="285" t="s">
        <v>9383</v>
      </c>
      <c r="N1365" s="287" t="str">
        <f>IFERROR(
    IF(
        AND(
            VLOOKUP(B1365, 'รายชื่อพนักงานลาออกพ้นสภาพ'!B:I, 8, FALSE)&lt;&gt;"ยกเลิกลาออก",
            VLOOKUP(B1365, 'รายชื่อพนักงานลาออกพ้นสภาพ'!B:I, 7, FALSE)&lt;=TODAY()
        ),
        "ลาออกแล้ว",
        ""
    ),
"")</f>
        <v/>
      </c>
      <c r="O1365" s="292" t="str">
        <f t="array" ref="O1365:P1365">IFERROR(INDEX(PCRent!C:D, MATCH(F1365 &amp; " " &amp; G1365, PCRent!A:A &amp; " " &amp; PCRent!B:B, 0)), "")</f>
        <v>SN:MP2EJ2X3</v>
      </c>
      <c r="P1365" s="293" t="s">
        <v>6993</v>
      </c>
      <c r="Q1365" s="294" t="str">
        <f t="array" ref="Q1365">IFERROR(INDEX(MonitorRent!C:D, MATCH(F1365 &amp; " " &amp; G1365, MonitorRent!A:A &amp; " " &amp; MonitorRent!B:B, 0)), "")</f>
        <v/>
      </c>
      <c r="R1365" s="295"/>
    </row>
    <row r="1366">
      <c r="A1366" s="284">
        <v>1363.0</v>
      </c>
      <c r="B1366" s="285" t="s">
        <v>8772</v>
      </c>
      <c r="C1366" s="285" t="s">
        <v>6918</v>
      </c>
      <c r="D1366" s="286" t="s">
        <v>10724</v>
      </c>
      <c r="E1366" s="285" t="s">
        <v>6933</v>
      </c>
      <c r="F1366" s="285" t="s">
        <v>11812</v>
      </c>
      <c r="G1366" s="285" t="s">
        <v>15326</v>
      </c>
      <c r="H1366" s="285" t="s">
        <v>12007</v>
      </c>
      <c r="I1366" s="285" t="s">
        <v>15327</v>
      </c>
      <c r="J1366" s="285" t="s">
        <v>5012</v>
      </c>
      <c r="K1366" s="285" t="s">
        <v>14002</v>
      </c>
      <c r="L1366" s="285" t="s">
        <v>8850</v>
      </c>
      <c r="M1366" s="285" t="s">
        <v>9383</v>
      </c>
      <c r="N1366" s="287" t="str">
        <f>IFERROR(
    IF(
        AND(
            VLOOKUP(B1366, 'รายชื่อพนักงานลาออกพ้นสภาพ'!B:I, 8, FALSE)&lt;&gt;"ยกเลิกลาออก",
            VLOOKUP(B1366, 'รายชื่อพนักงานลาออกพ้นสภาพ'!B:I, 7, FALSE)&lt;=TODAY()
        ),
        "ลาออกแล้ว",
        ""
    ),
"")</f>
        <v/>
      </c>
      <c r="O1366" s="292" t="str">
        <f t="array" ref="O1366">IFERROR(INDEX(PCRent!C:D, MATCH(F1366 &amp; " " &amp; G1366, PCRent!A:A &amp; " " &amp; PCRent!B:B, 0)), "")</f>
        <v/>
      </c>
      <c r="P1366" s="293"/>
      <c r="Q1366" s="294" t="str">
        <f t="array" ref="Q1366">IFERROR(INDEX(MonitorRent!C:D, MATCH(F1366 &amp; " " &amp; G1366, MonitorRent!A:A &amp; " " &amp; MonitorRent!B:B, 0)), "")</f>
        <v/>
      </c>
      <c r="R1366" s="295"/>
    </row>
    <row r="1367">
      <c r="A1367" s="284">
        <v>1364.0</v>
      </c>
      <c r="B1367" s="285" t="s">
        <v>8167</v>
      </c>
      <c r="C1367" s="285" t="s">
        <v>6918</v>
      </c>
      <c r="D1367" s="286" t="s">
        <v>15328</v>
      </c>
      <c r="E1367" s="285" t="s">
        <v>6933</v>
      </c>
      <c r="F1367" s="285" t="s">
        <v>11812</v>
      </c>
      <c r="G1367" s="285" t="s">
        <v>15329</v>
      </c>
      <c r="H1367" s="285" t="s">
        <v>9418</v>
      </c>
      <c r="I1367" s="285" t="s">
        <v>15330</v>
      </c>
      <c r="J1367" s="285" t="s">
        <v>5224</v>
      </c>
      <c r="K1367" s="285" t="s">
        <v>4835</v>
      </c>
      <c r="L1367" s="285" t="s">
        <v>13030</v>
      </c>
      <c r="M1367" s="285" t="s">
        <v>9383</v>
      </c>
      <c r="N1367" s="287" t="str">
        <f>IFERROR(
    IF(
        AND(
            VLOOKUP(B1367, 'รายชื่อพนักงานลาออกพ้นสภาพ'!B:I, 8, FALSE)&lt;&gt;"ยกเลิกลาออก",
            VLOOKUP(B1367, 'รายชื่อพนักงานลาออกพ้นสภาพ'!B:I, 7, FALSE)&lt;=TODAY()
        ),
        "ลาออกแล้ว",
        ""
    ),
"")</f>
        <v/>
      </c>
      <c r="O1367" s="292" t="str">
        <f t="array" ref="O1367">IFERROR(INDEX(PCRent!C:D, MATCH(F1367 &amp; " " &amp; G1367, PCRent!A:A &amp; " " &amp; PCRent!B:B, 0)), "")</f>
        <v/>
      </c>
      <c r="P1367" s="293"/>
      <c r="Q1367" s="294" t="str">
        <f t="array" ref="Q1367">IFERROR(INDEX(MonitorRent!C:D, MATCH(F1367 &amp; " " &amp; G1367, MonitorRent!A:A &amp; " " &amp; MonitorRent!B:B, 0)), "")</f>
        <v/>
      </c>
      <c r="R1367" s="295"/>
    </row>
    <row r="1368">
      <c r="A1368" s="284">
        <v>1365.0</v>
      </c>
      <c r="B1368" s="285" t="s">
        <v>8347</v>
      </c>
      <c r="C1368" s="285" t="s">
        <v>6918</v>
      </c>
      <c r="D1368" s="286" t="s">
        <v>10485</v>
      </c>
      <c r="E1368" s="285" t="s">
        <v>6933</v>
      </c>
      <c r="F1368" s="285" t="s">
        <v>15331</v>
      </c>
      <c r="G1368" s="285" t="s">
        <v>15332</v>
      </c>
      <c r="H1368" s="285" t="s">
        <v>14156</v>
      </c>
      <c r="I1368" s="285" t="s">
        <v>15333</v>
      </c>
      <c r="J1368" s="285" t="s">
        <v>5224</v>
      </c>
      <c r="K1368" s="285" t="s">
        <v>13312</v>
      </c>
      <c r="L1368" s="285" t="s">
        <v>8331</v>
      </c>
      <c r="M1368" s="285" t="s">
        <v>9383</v>
      </c>
      <c r="N1368" s="287" t="str">
        <f>IFERROR(
    IF(
        AND(
            VLOOKUP(B1368, 'รายชื่อพนักงานลาออกพ้นสภาพ'!B:I, 8, FALSE)&lt;&gt;"ยกเลิกลาออก",
            VLOOKUP(B1368, 'รายชื่อพนักงานลาออกพ้นสภาพ'!B:I, 7, FALSE)&lt;=TODAY()
        ),
        "ลาออกแล้ว",
        ""
    ),
"")</f>
        <v/>
      </c>
      <c r="O1368" s="292" t="str">
        <f t="array" ref="O1368">IFERROR(INDEX(PCRent!C:D, MATCH(F1368 &amp; " " &amp; G1368, PCRent!A:A &amp; " " &amp; PCRent!B:B, 0)), "")</f>
        <v/>
      </c>
      <c r="P1368" s="293"/>
      <c r="Q1368" s="294" t="str">
        <f t="array" ref="Q1368">IFERROR(INDEX(MonitorRent!C:D, MATCH(F1368 &amp; " " &amp; G1368, MonitorRent!A:A &amp; " " &amp; MonitorRent!B:B, 0)), "")</f>
        <v/>
      </c>
      <c r="R1368" s="295"/>
    </row>
    <row r="1369">
      <c r="A1369" s="284">
        <v>1366.0</v>
      </c>
      <c r="B1369" s="285" t="s">
        <v>252</v>
      </c>
      <c r="C1369" s="285" t="s">
        <v>6918</v>
      </c>
      <c r="D1369" s="286" t="s">
        <v>9681</v>
      </c>
      <c r="E1369" s="285" t="s">
        <v>6933</v>
      </c>
      <c r="F1369" s="285" t="s">
        <v>15334</v>
      </c>
      <c r="G1369" s="285" t="s">
        <v>15335</v>
      </c>
      <c r="H1369" s="285" t="s">
        <v>14607</v>
      </c>
      <c r="I1369" s="285" t="s">
        <v>256</v>
      </c>
      <c r="J1369" s="285" t="s">
        <v>5224</v>
      </c>
      <c r="K1369" s="285" t="s">
        <v>15336</v>
      </c>
      <c r="L1369" s="285" t="s">
        <v>3041</v>
      </c>
      <c r="M1369" s="285" t="s">
        <v>9383</v>
      </c>
      <c r="N1369" s="287" t="str">
        <f>IFERROR(
    IF(
        AND(
            VLOOKUP(B1369, 'รายชื่อพนักงานลาออกพ้นสภาพ'!B:I, 8, FALSE)&lt;&gt;"ยกเลิกลาออก",
            VLOOKUP(B1369, 'รายชื่อพนักงานลาออกพ้นสภาพ'!B:I, 7, FALSE)&lt;=TODAY()
        ),
        "ลาออกแล้ว",
        ""
    ),
"")</f>
        <v>ลาออกแล้ว</v>
      </c>
      <c r="O1369" s="292" t="str">
        <f t="array" ref="O1369">IFERROR(INDEX(PCRent!C:D, MATCH(F1369 &amp; " " &amp; G1369, PCRent!A:A &amp; " " &amp; PCRent!B:B, 0)), "")</f>
        <v/>
      </c>
      <c r="P1369" s="293"/>
      <c r="Q1369" s="294" t="str">
        <f t="array" ref="Q1369">IFERROR(INDEX(MonitorRent!C:D, MATCH(F1369 &amp; " " &amp; G1369, MonitorRent!A:A &amp; " " &amp; MonitorRent!B:B, 0)), "")</f>
        <v/>
      </c>
      <c r="R1369" s="295"/>
    </row>
    <row r="1370">
      <c r="A1370" s="284">
        <v>1367.0</v>
      </c>
      <c r="B1370" s="285" t="s">
        <v>15337</v>
      </c>
      <c r="C1370" s="285" t="s">
        <v>6918</v>
      </c>
      <c r="D1370" s="286" t="s">
        <v>9876</v>
      </c>
      <c r="E1370" s="285" t="s">
        <v>6933</v>
      </c>
      <c r="F1370" s="285" t="s">
        <v>15338</v>
      </c>
      <c r="G1370" s="285" t="s">
        <v>15339</v>
      </c>
      <c r="H1370" s="285" t="s">
        <v>10770</v>
      </c>
      <c r="I1370" s="285" t="s">
        <v>15340</v>
      </c>
      <c r="J1370" s="285" t="s">
        <v>5012</v>
      </c>
      <c r="K1370" s="285" t="s">
        <v>9466</v>
      </c>
      <c r="L1370" s="285" t="s">
        <v>13896</v>
      </c>
      <c r="M1370" s="285" t="s">
        <v>9383</v>
      </c>
      <c r="N1370" s="287" t="str">
        <f>IFERROR(
    IF(
        AND(
            VLOOKUP(B1370, 'รายชื่อพนักงานลาออกพ้นสภาพ'!B:I, 8, FALSE)&lt;&gt;"ยกเลิกลาออก",
            VLOOKUP(B1370, 'รายชื่อพนักงานลาออกพ้นสภาพ'!B:I, 7, FALSE)&lt;=TODAY()
        ),
        "ลาออกแล้ว",
        ""
    ),
"")</f>
        <v/>
      </c>
      <c r="O1370" s="292" t="str">
        <f t="array" ref="O1370">IFERROR(INDEX(PCRent!C:D, MATCH(F1370 &amp; " " &amp; G1370, PCRent!A:A &amp; " " &amp; PCRent!B:B, 0)), "")</f>
        <v/>
      </c>
      <c r="P1370" s="293"/>
      <c r="Q1370" s="294" t="str">
        <f t="array" ref="Q1370">IFERROR(INDEX(MonitorRent!C:D, MATCH(F1370 &amp; " " &amp; G1370, MonitorRent!A:A &amp; " " &amp; MonitorRent!B:B, 0)), "")</f>
        <v/>
      </c>
      <c r="R1370" s="295"/>
    </row>
    <row r="1371">
      <c r="A1371" s="284">
        <v>1368.0</v>
      </c>
      <c r="B1371" s="285" t="s">
        <v>8484</v>
      </c>
      <c r="C1371" s="285" t="s">
        <v>6918</v>
      </c>
      <c r="D1371" s="286" t="s">
        <v>15341</v>
      </c>
      <c r="E1371" s="285" t="s">
        <v>6921</v>
      </c>
      <c r="F1371" s="285" t="s">
        <v>15342</v>
      </c>
      <c r="G1371" s="285" t="s">
        <v>15343</v>
      </c>
      <c r="H1371" s="285" t="s">
        <v>15344</v>
      </c>
      <c r="I1371" s="285" t="s">
        <v>15345</v>
      </c>
      <c r="J1371" s="285" t="s">
        <v>5224</v>
      </c>
      <c r="K1371" s="285" t="s">
        <v>2062</v>
      </c>
      <c r="L1371" s="285" t="s">
        <v>8486</v>
      </c>
      <c r="M1371" s="285" t="s">
        <v>9383</v>
      </c>
      <c r="N1371" s="287" t="str">
        <f>IFERROR(
    IF(
        AND(
            VLOOKUP(B1371, 'รายชื่อพนักงานลาออกพ้นสภาพ'!B:I, 8, FALSE)&lt;&gt;"ยกเลิกลาออก",
            VLOOKUP(B1371, 'รายชื่อพนักงานลาออกพ้นสภาพ'!B:I, 7, FALSE)&lt;=TODAY()
        ),
        "ลาออกแล้ว",
        ""
    ),
"")</f>
        <v/>
      </c>
      <c r="O1371" s="292" t="str">
        <f t="array" ref="O1371">IFERROR(INDEX(PCRent!C:D, MATCH(F1371 &amp; " " &amp; G1371, PCRent!A:A &amp; " " &amp; PCRent!B:B, 0)), "")</f>
        <v/>
      </c>
      <c r="P1371" s="293"/>
      <c r="Q1371" s="294" t="str">
        <f t="array" ref="Q1371">IFERROR(INDEX(MonitorRent!C:D, MATCH(F1371 &amp; " " &amp; G1371, MonitorRent!A:A &amp; " " &amp; MonitorRent!B:B, 0)), "")</f>
        <v/>
      </c>
      <c r="R1371" s="295"/>
    </row>
    <row r="1372">
      <c r="A1372" s="284">
        <v>1369.0</v>
      </c>
      <c r="B1372" s="285" t="s">
        <v>8178</v>
      </c>
      <c r="C1372" s="285" t="s">
        <v>6918</v>
      </c>
      <c r="D1372" s="286" t="s">
        <v>15346</v>
      </c>
      <c r="E1372" s="285" t="s">
        <v>6921</v>
      </c>
      <c r="F1372" s="285" t="s">
        <v>15347</v>
      </c>
      <c r="G1372" s="285" t="s">
        <v>15339</v>
      </c>
      <c r="H1372" s="285" t="s">
        <v>9526</v>
      </c>
      <c r="I1372" s="285" t="s">
        <v>15348</v>
      </c>
      <c r="J1372" s="285" t="s">
        <v>5224</v>
      </c>
      <c r="K1372" s="285" t="s">
        <v>1456</v>
      </c>
      <c r="L1372" s="285" t="s">
        <v>13045</v>
      </c>
      <c r="M1372" s="285" t="s">
        <v>9383</v>
      </c>
      <c r="N1372" s="287" t="str">
        <f>IFERROR(
    IF(
        AND(
            VLOOKUP(B1372, 'รายชื่อพนักงานลาออกพ้นสภาพ'!B:I, 8, FALSE)&lt;&gt;"ยกเลิกลาออก",
            VLOOKUP(B1372, 'รายชื่อพนักงานลาออกพ้นสภาพ'!B:I, 7, FALSE)&lt;=TODAY()
        ),
        "ลาออกแล้ว",
        ""
    ),
"")</f>
        <v/>
      </c>
      <c r="O1372" s="292" t="str">
        <f t="array" ref="O1372">IFERROR(INDEX(PCRent!C:D, MATCH(F1372 &amp; " " &amp; G1372, PCRent!A:A &amp; " " &amp; PCRent!B:B, 0)), "")</f>
        <v/>
      </c>
      <c r="P1372" s="293"/>
      <c r="Q1372" s="294" t="str">
        <f t="array" ref="Q1372">IFERROR(INDEX(MonitorRent!C:D, MATCH(F1372 &amp; " " &amp; G1372, MonitorRent!A:A &amp; " " &amp; MonitorRent!B:B, 0)), "")</f>
        <v/>
      </c>
      <c r="R1372" s="295"/>
    </row>
    <row r="1373">
      <c r="A1373" s="284">
        <v>1370.0</v>
      </c>
      <c r="B1373" s="285" t="s">
        <v>7192</v>
      </c>
      <c r="C1373" s="285" t="s">
        <v>6918</v>
      </c>
      <c r="D1373" s="286" t="s">
        <v>12742</v>
      </c>
      <c r="E1373" s="285" t="s">
        <v>6921</v>
      </c>
      <c r="F1373" s="285" t="s">
        <v>15349</v>
      </c>
      <c r="G1373" s="285" t="s">
        <v>15350</v>
      </c>
      <c r="H1373" s="285" t="s">
        <v>9915</v>
      </c>
      <c r="I1373" s="285" t="s">
        <v>15351</v>
      </c>
      <c r="J1373" s="285" t="s">
        <v>5224</v>
      </c>
      <c r="K1373" s="285" t="s">
        <v>14763</v>
      </c>
      <c r="L1373" s="285" t="s">
        <v>1602</v>
      </c>
      <c r="M1373" s="285" t="s">
        <v>9383</v>
      </c>
      <c r="N1373" s="287" t="str">
        <f>IFERROR(
    IF(
        AND(
            VLOOKUP(B1373, 'รายชื่อพนักงานลาออกพ้นสภาพ'!B:I, 8, FALSE)&lt;&gt;"ยกเลิกลาออก",
            VLOOKUP(B1373, 'รายชื่อพนักงานลาออกพ้นสภาพ'!B:I, 7, FALSE)&lt;=TODAY()
        ),
        "ลาออกแล้ว",
        ""
    ),
"")</f>
        <v/>
      </c>
      <c r="O1373" s="292" t="str">
        <f t="array" ref="O1373">IFERROR(INDEX(PCRent!C:D, MATCH(F1373 &amp; " " &amp; G1373, PCRent!A:A &amp; " " &amp; PCRent!B:B, 0)), "")</f>
        <v/>
      </c>
      <c r="P1373" s="293"/>
      <c r="Q1373" s="294" t="str">
        <f t="array" ref="Q1373">IFERROR(INDEX(MonitorRent!C:D, MATCH(F1373 &amp; " " &amp; G1373, MonitorRent!A:A &amp; " " &amp; MonitorRent!B:B, 0)), "")</f>
        <v/>
      </c>
      <c r="R1373" s="295"/>
    </row>
    <row r="1374">
      <c r="A1374" s="284">
        <v>1371.0</v>
      </c>
      <c r="B1374" s="285" t="s">
        <v>7051</v>
      </c>
      <c r="C1374" s="285" t="s">
        <v>6918</v>
      </c>
      <c r="D1374" s="286" t="s">
        <v>9656</v>
      </c>
      <c r="E1374" s="285" t="s">
        <v>6921</v>
      </c>
      <c r="F1374" s="285" t="s">
        <v>11836</v>
      </c>
      <c r="G1374" s="285" t="s">
        <v>15352</v>
      </c>
      <c r="H1374" s="285" t="s">
        <v>10441</v>
      </c>
      <c r="I1374" s="285" t="s">
        <v>15353</v>
      </c>
      <c r="J1374" s="285" t="s">
        <v>5224</v>
      </c>
      <c r="K1374" s="285" t="s">
        <v>9784</v>
      </c>
      <c r="L1374" s="285" t="s">
        <v>7015</v>
      </c>
      <c r="M1374" s="285" t="s">
        <v>9383</v>
      </c>
      <c r="N1374" s="287" t="str">
        <f>IFERROR(
    IF(
        AND(
            VLOOKUP(B1374, 'รายชื่อพนักงานลาออกพ้นสภาพ'!B:I, 8, FALSE)&lt;&gt;"ยกเลิกลาออก",
            VLOOKUP(B1374, 'รายชื่อพนักงานลาออกพ้นสภาพ'!B:I, 7, FALSE)&lt;=TODAY()
        ),
        "ลาออกแล้ว",
        ""
    ),
"")</f>
        <v/>
      </c>
      <c r="O1374" s="292" t="str">
        <f t="array" ref="O1374">IFERROR(INDEX(PCRent!C:D, MATCH(F1374 &amp; " " &amp; G1374, PCRent!A:A &amp; " " &amp; PCRent!B:B, 0)), "")</f>
        <v/>
      </c>
      <c r="P1374" s="293"/>
      <c r="Q1374" s="294" t="str">
        <f t="array" ref="Q1374">IFERROR(INDEX(MonitorRent!C:D, MATCH(F1374 &amp; " " &amp; G1374, MonitorRent!A:A &amp; " " &amp; MonitorRent!B:B, 0)), "")</f>
        <v/>
      </c>
      <c r="R1374" s="295"/>
    </row>
    <row r="1375">
      <c r="A1375" s="284">
        <v>1372.0</v>
      </c>
      <c r="B1375" s="285" t="s">
        <v>15354</v>
      </c>
      <c r="C1375" s="285" t="s">
        <v>6918</v>
      </c>
      <c r="D1375" s="286" t="s">
        <v>10412</v>
      </c>
      <c r="E1375" s="285" t="s">
        <v>6921</v>
      </c>
      <c r="F1375" s="285" t="s">
        <v>11836</v>
      </c>
      <c r="G1375" s="285" t="s">
        <v>15355</v>
      </c>
      <c r="H1375" s="285" t="s">
        <v>9526</v>
      </c>
      <c r="I1375" s="285" t="s">
        <v>15356</v>
      </c>
      <c r="J1375" s="285" t="s">
        <v>5012</v>
      </c>
      <c r="K1375" s="285" t="s">
        <v>6322</v>
      </c>
      <c r="L1375" s="285" t="s">
        <v>3680</v>
      </c>
      <c r="M1375" s="285" t="s">
        <v>9383</v>
      </c>
      <c r="N1375" s="287" t="str">
        <f>IFERROR(
    IF(
        AND(
            VLOOKUP(B1375, 'รายชื่อพนักงานลาออกพ้นสภาพ'!B:I, 8, FALSE)&lt;&gt;"ยกเลิกลาออก",
            VLOOKUP(B1375, 'รายชื่อพนักงานลาออกพ้นสภาพ'!B:I, 7, FALSE)&lt;=TODAY()
        ),
        "ลาออกแล้ว",
        ""
    ),
"")</f>
        <v/>
      </c>
      <c r="O1375" s="292" t="str">
        <f t="array" ref="O1375">IFERROR(INDEX(PCRent!C:D, MATCH(F1375 &amp; " " &amp; G1375, PCRent!A:A &amp; " " &amp; PCRent!B:B, 0)), "")</f>
        <v/>
      </c>
      <c r="P1375" s="293"/>
      <c r="Q1375" s="294" t="str">
        <f t="array" ref="Q1375">IFERROR(INDEX(MonitorRent!C:D, MATCH(F1375 &amp; " " &amp; G1375, MonitorRent!A:A &amp; " " &amp; MonitorRent!B:B, 0)), "")</f>
        <v/>
      </c>
      <c r="R1375" s="295"/>
    </row>
    <row r="1376">
      <c r="A1376" s="284">
        <v>1373.0</v>
      </c>
      <c r="B1376" s="285" t="s">
        <v>4844</v>
      </c>
      <c r="C1376" s="285" t="s">
        <v>6918</v>
      </c>
      <c r="D1376" s="286" t="s">
        <v>10354</v>
      </c>
      <c r="E1376" s="285" t="s">
        <v>6921</v>
      </c>
      <c r="F1376" s="285" t="s">
        <v>15357</v>
      </c>
      <c r="G1376" s="285" t="s">
        <v>15358</v>
      </c>
      <c r="H1376" s="285" t="s">
        <v>9827</v>
      </c>
      <c r="I1376" s="285" t="s">
        <v>4845</v>
      </c>
      <c r="J1376" s="285" t="s">
        <v>5224</v>
      </c>
      <c r="K1376" s="285" t="s">
        <v>4835</v>
      </c>
      <c r="L1376" s="285" t="s">
        <v>13368</v>
      </c>
      <c r="M1376" s="285" t="s">
        <v>9383</v>
      </c>
      <c r="N1376" s="287" t="str">
        <f>IFERROR(
    IF(
        AND(
            VLOOKUP(B1376, 'รายชื่อพนักงานลาออกพ้นสภาพ'!B:I, 8, FALSE)&lt;&gt;"ยกเลิกลาออก",
            VLOOKUP(B1376, 'รายชื่อพนักงานลาออกพ้นสภาพ'!B:I, 7, FALSE)&lt;=TODAY()
        ),
        "ลาออกแล้ว",
        ""
    ),
"")</f>
        <v/>
      </c>
      <c r="O1376" s="292" t="str">
        <f t="array" ref="O1376:P1376">IFERROR(INDEX(PCRent!C:D, MATCH(F1376 &amp; " " &amp; G1376, PCRent!A:A &amp; " " &amp; PCRent!B:B, 0)), "")</f>
        <v>SN:MP2E2SYC</v>
      </c>
      <c r="P1376" s="293" t="s">
        <v>6993</v>
      </c>
      <c r="Q1376" s="294" t="str">
        <f t="array" ref="Q1376">IFERROR(INDEX(MonitorRent!C:D, MATCH(F1376 &amp; " " &amp; G1376, MonitorRent!A:A &amp; " " &amp; MonitorRent!B:B, 0)), "")</f>
        <v/>
      </c>
      <c r="R1376" s="295"/>
    </row>
    <row r="1377">
      <c r="A1377" s="284">
        <v>1374.0</v>
      </c>
      <c r="B1377" s="285" t="s">
        <v>7467</v>
      </c>
      <c r="C1377" s="285" t="s">
        <v>6918</v>
      </c>
      <c r="D1377" s="286" t="s">
        <v>15359</v>
      </c>
      <c r="E1377" s="285" t="s">
        <v>6921</v>
      </c>
      <c r="F1377" s="285" t="s">
        <v>15357</v>
      </c>
      <c r="G1377" s="285" t="s">
        <v>15360</v>
      </c>
      <c r="H1377" s="285" t="s">
        <v>9669</v>
      </c>
      <c r="I1377" s="285" t="s">
        <v>15361</v>
      </c>
      <c r="J1377" s="285" t="s">
        <v>5224</v>
      </c>
      <c r="K1377" s="285" t="s">
        <v>4756</v>
      </c>
      <c r="L1377" s="285" t="s">
        <v>7459</v>
      </c>
      <c r="M1377" s="285" t="s">
        <v>9383</v>
      </c>
      <c r="N1377" s="287" t="str">
        <f>IFERROR(
    IF(
        AND(
            VLOOKUP(B1377, 'รายชื่อพนักงานลาออกพ้นสภาพ'!B:I, 8, FALSE)&lt;&gt;"ยกเลิกลาออก",
            VLOOKUP(B1377, 'รายชื่อพนักงานลาออกพ้นสภาพ'!B:I, 7, FALSE)&lt;=TODAY()
        ),
        "ลาออกแล้ว",
        ""
    ),
"")</f>
        <v/>
      </c>
      <c r="O1377" s="292" t="str">
        <f t="array" ref="O1377">IFERROR(INDEX(PCRent!C:D, MATCH(F1377 &amp; " " &amp; G1377, PCRent!A:A &amp; " " &amp; PCRent!B:B, 0)), "")</f>
        <v/>
      </c>
      <c r="P1377" s="293"/>
      <c r="Q1377" s="294" t="str">
        <f t="array" ref="Q1377">IFERROR(INDEX(MonitorRent!C:D, MATCH(F1377 &amp; " " &amp; G1377, MonitorRent!A:A &amp; " " &amp; MonitorRent!B:B, 0)), "")</f>
        <v/>
      </c>
      <c r="R1377" s="295"/>
    </row>
    <row r="1378">
      <c r="A1378" s="284">
        <v>1375.0</v>
      </c>
      <c r="B1378" s="285" t="s">
        <v>7224</v>
      </c>
      <c r="C1378" s="285" t="s">
        <v>6918</v>
      </c>
      <c r="D1378" s="286" t="s">
        <v>15362</v>
      </c>
      <c r="E1378" s="285" t="s">
        <v>6921</v>
      </c>
      <c r="F1378" s="285" t="s">
        <v>12883</v>
      </c>
      <c r="G1378" s="285" t="s">
        <v>15363</v>
      </c>
      <c r="H1378" s="285" t="s">
        <v>11788</v>
      </c>
      <c r="I1378" s="285" t="s">
        <v>15364</v>
      </c>
      <c r="J1378" s="285" t="s">
        <v>5224</v>
      </c>
      <c r="K1378" s="285" t="s">
        <v>9836</v>
      </c>
      <c r="L1378" s="285" t="s">
        <v>1602</v>
      </c>
      <c r="M1378" s="285" t="s">
        <v>9383</v>
      </c>
      <c r="N1378" s="287" t="str">
        <f>IFERROR(
    IF(
        AND(
            VLOOKUP(B1378, 'รายชื่อพนักงานลาออกพ้นสภาพ'!B:I, 8, FALSE)&lt;&gt;"ยกเลิกลาออก",
            VLOOKUP(B1378, 'รายชื่อพนักงานลาออกพ้นสภาพ'!B:I, 7, FALSE)&lt;=TODAY()
        ),
        "ลาออกแล้ว",
        ""
    ),
"")</f>
        <v/>
      </c>
      <c r="O1378" s="292" t="str">
        <f t="array" ref="O1378">IFERROR(INDEX(PCRent!C:D, MATCH(F1378 &amp; " " &amp; G1378, PCRent!A:A &amp; " " &amp; PCRent!B:B, 0)), "")</f>
        <v/>
      </c>
      <c r="P1378" s="293"/>
      <c r="Q1378" s="294" t="str">
        <f t="array" ref="Q1378">IFERROR(INDEX(MonitorRent!C:D, MATCH(F1378 &amp; " " &amp; G1378, MonitorRent!A:A &amp; " " &amp; MonitorRent!B:B, 0)), "")</f>
        <v/>
      </c>
      <c r="R1378" s="295"/>
    </row>
    <row r="1379">
      <c r="A1379" s="284">
        <v>1376.0</v>
      </c>
      <c r="B1379" s="285" t="s">
        <v>15365</v>
      </c>
      <c r="C1379" s="285" t="s">
        <v>6918</v>
      </c>
      <c r="D1379" s="286" t="s">
        <v>10724</v>
      </c>
      <c r="E1379" s="285" t="s">
        <v>6921</v>
      </c>
      <c r="F1379" s="285" t="s">
        <v>12883</v>
      </c>
      <c r="G1379" s="285" t="s">
        <v>15366</v>
      </c>
      <c r="H1379" s="285" t="s">
        <v>13351</v>
      </c>
      <c r="I1379" s="285" t="s">
        <v>15367</v>
      </c>
      <c r="J1379" s="285" t="s">
        <v>5012</v>
      </c>
      <c r="K1379" s="285" t="s">
        <v>9671</v>
      </c>
      <c r="L1379" s="285" t="s">
        <v>1888</v>
      </c>
      <c r="M1379" s="285" t="s">
        <v>9383</v>
      </c>
      <c r="N1379" s="287" t="str">
        <f>IFERROR(
    IF(
        AND(
            VLOOKUP(B1379, 'รายชื่อพนักงานลาออกพ้นสภาพ'!B:I, 8, FALSE)&lt;&gt;"ยกเลิกลาออก",
            VLOOKUP(B1379, 'รายชื่อพนักงานลาออกพ้นสภาพ'!B:I, 7, FALSE)&lt;=TODAY()
        ),
        "ลาออกแล้ว",
        ""
    ),
"")</f>
        <v/>
      </c>
      <c r="O1379" s="292" t="str">
        <f t="array" ref="O1379">IFERROR(INDEX(PCRent!C:D, MATCH(F1379 &amp; " " &amp; G1379, PCRent!A:A &amp; " " &amp; PCRent!B:B, 0)), "")</f>
        <v/>
      </c>
      <c r="P1379" s="293"/>
      <c r="Q1379" s="294" t="str">
        <f t="array" ref="Q1379">IFERROR(INDEX(MonitorRent!C:D, MATCH(F1379 &amp; " " &amp; G1379, MonitorRent!A:A &amp; " " &amp; MonitorRent!B:B, 0)), "")</f>
        <v/>
      </c>
      <c r="R1379" s="295"/>
    </row>
    <row r="1380">
      <c r="A1380" s="284">
        <v>1377.0</v>
      </c>
      <c r="B1380" s="285" t="s">
        <v>783</v>
      </c>
      <c r="C1380" s="285" t="s">
        <v>6918</v>
      </c>
      <c r="D1380" s="286" t="s">
        <v>9819</v>
      </c>
      <c r="E1380" s="285" t="s">
        <v>6921</v>
      </c>
      <c r="F1380" s="285" t="s">
        <v>12883</v>
      </c>
      <c r="G1380" s="285" t="s">
        <v>15368</v>
      </c>
      <c r="H1380" s="285" t="s">
        <v>15369</v>
      </c>
      <c r="I1380" s="285" t="s">
        <v>787</v>
      </c>
      <c r="J1380" s="285" t="s">
        <v>5224</v>
      </c>
      <c r="K1380" s="285" t="s">
        <v>4737</v>
      </c>
      <c r="L1380" s="285" t="s">
        <v>2265</v>
      </c>
      <c r="M1380" s="285" t="s">
        <v>9383</v>
      </c>
      <c r="N1380" s="287" t="str">
        <f>IFERROR(
    IF(
        AND(
            VLOOKUP(B1380, 'รายชื่อพนักงานลาออกพ้นสภาพ'!B:I, 8, FALSE)&lt;&gt;"ยกเลิกลาออก",
            VLOOKUP(B1380, 'รายชื่อพนักงานลาออกพ้นสภาพ'!B:I, 7, FALSE)&lt;=TODAY()
        ),
        "ลาออกแล้ว",
        ""
    ),
"")</f>
        <v>ลาออกแล้ว</v>
      </c>
      <c r="O1380" s="292" t="str">
        <f t="array" ref="O1380">IFERROR(INDEX(PCRent!C:D, MATCH(F1380 &amp; " " &amp; G1380, PCRent!A:A &amp; " " &amp; PCRent!B:B, 0)), "")</f>
        <v/>
      </c>
      <c r="P1380" s="293"/>
      <c r="Q1380" s="294" t="str">
        <f t="array" ref="Q1380">IFERROR(INDEX(MonitorRent!C:D, MATCH(F1380 &amp; " " &amp; G1380, MonitorRent!A:A &amp; " " &amp; MonitorRent!B:B, 0)), "")</f>
        <v/>
      </c>
      <c r="R1380" s="295"/>
    </row>
    <row r="1381">
      <c r="A1381" s="284">
        <v>1378.0</v>
      </c>
      <c r="B1381" s="285" t="s">
        <v>8861</v>
      </c>
      <c r="C1381" s="285" t="s">
        <v>6918</v>
      </c>
      <c r="D1381" s="286" t="s">
        <v>11610</v>
      </c>
      <c r="E1381" s="285" t="s">
        <v>6921</v>
      </c>
      <c r="F1381" s="285" t="s">
        <v>15370</v>
      </c>
      <c r="G1381" s="285" t="s">
        <v>15371</v>
      </c>
      <c r="H1381" s="285" t="s">
        <v>15372</v>
      </c>
      <c r="I1381" s="285" t="s">
        <v>5113</v>
      </c>
      <c r="J1381" s="285" t="s">
        <v>5224</v>
      </c>
      <c r="K1381" s="285" t="s">
        <v>12963</v>
      </c>
      <c r="L1381" s="285" t="s">
        <v>8850</v>
      </c>
      <c r="M1381" s="285" t="s">
        <v>9383</v>
      </c>
      <c r="N1381" s="287" t="str">
        <f>IFERROR(
    IF(
        AND(
            VLOOKUP(B1381, 'รายชื่อพนักงานลาออกพ้นสภาพ'!B:I, 8, FALSE)&lt;&gt;"ยกเลิกลาออก",
            VLOOKUP(B1381, 'รายชื่อพนักงานลาออกพ้นสภาพ'!B:I, 7, FALSE)&lt;=TODAY()
        ),
        "ลาออกแล้ว",
        ""
    ),
"")</f>
        <v/>
      </c>
      <c r="O1381" s="292" t="str">
        <f t="array" ref="O1381">IFERROR(INDEX(PCRent!C:D, MATCH(F1381 &amp; " " &amp; G1381, PCRent!A:A &amp; " " &amp; PCRent!B:B, 0)), "")</f>
        <v/>
      </c>
      <c r="P1381" s="293"/>
      <c r="Q1381" s="294" t="str">
        <f t="array" ref="Q1381">IFERROR(INDEX(MonitorRent!C:D, MATCH(F1381 &amp; " " &amp; G1381, MonitorRent!A:A &amp; " " &amp; MonitorRent!B:B, 0)), "")</f>
        <v/>
      </c>
      <c r="R1381" s="295"/>
    </row>
    <row r="1382">
      <c r="A1382" s="284">
        <v>1379.0</v>
      </c>
      <c r="B1382" s="285" t="s">
        <v>658</v>
      </c>
      <c r="C1382" s="285" t="s">
        <v>6918</v>
      </c>
      <c r="D1382" s="286" t="s">
        <v>10303</v>
      </c>
      <c r="E1382" s="285" t="s">
        <v>6933</v>
      </c>
      <c r="F1382" s="285" t="s">
        <v>15373</v>
      </c>
      <c r="G1382" s="285" t="s">
        <v>15374</v>
      </c>
      <c r="H1382" s="285" t="s">
        <v>11155</v>
      </c>
      <c r="I1382" s="285" t="s">
        <v>661</v>
      </c>
      <c r="J1382" s="285" t="s">
        <v>5224</v>
      </c>
      <c r="K1382" s="285" t="s">
        <v>15375</v>
      </c>
      <c r="L1382" s="285" t="s">
        <v>13545</v>
      </c>
      <c r="M1382" s="285" t="s">
        <v>9383</v>
      </c>
      <c r="N1382" s="287" t="str">
        <f>IFERROR(
    IF(
        AND(
            VLOOKUP(B1382, 'รายชื่อพนักงานลาออกพ้นสภาพ'!B:I, 8, FALSE)&lt;&gt;"ยกเลิกลาออก",
            VLOOKUP(B1382, 'รายชื่อพนักงานลาออกพ้นสภาพ'!B:I, 7, FALSE)&lt;=TODAY()
        ),
        "ลาออกแล้ว",
        ""
    ),
"")</f>
        <v>ลาออกแล้ว</v>
      </c>
      <c r="O1382" s="292" t="str">
        <f t="array" ref="O1382">IFERROR(INDEX(PCRent!C:D, MATCH(F1382 &amp; " " &amp; G1382, PCRent!A:A &amp; " " &amp; PCRent!B:B, 0)), "")</f>
        <v/>
      </c>
      <c r="P1382" s="293"/>
      <c r="Q1382" s="294" t="str">
        <f t="array" ref="Q1382">IFERROR(INDEX(MonitorRent!C:D, MATCH(F1382 &amp; " " &amp; G1382, MonitorRent!A:A &amp; " " &amp; MonitorRent!B:B, 0)), "")</f>
        <v/>
      </c>
      <c r="R1382" s="295"/>
    </row>
    <row r="1383">
      <c r="A1383" s="284">
        <v>1380.0</v>
      </c>
      <c r="B1383" s="285" t="s">
        <v>7541</v>
      </c>
      <c r="C1383" s="285" t="s">
        <v>6918</v>
      </c>
      <c r="D1383" s="286" t="s">
        <v>15376</v>
      </c>
      <c r="E1383" s="285" t="s">
        <v>6921</v>
      </c>
      <c r="F1383" s="285" t="s">
        <v>9933</v>
      </c>
      <c r="G1383" s="285" t="s">
        <v>9498</v>
      </c>
      <c r="H1383" s="285" t="s">
        <v>9934</v>
      </c>
      <c r="I1383" s="285" t="s">
        <v>15377</v>
      </c>
      <c r="J1383" s="285" t="s">
        <v>5224</v>
      </c>
      <c r="K1383" s="285" t="s">
        <v>4805</v>
      </c>
      <c r="L1383" s="285" t="s">
        <v>7543</v>
      </c>
      <c r="M1383" s="285" t="s">
        <v>9383</v>
      </c>
      <c r="N1383" s="287" t="str">
        <f>IFERROR(
    IF(
        AND(
            VLOOKUP(B1383, 'รายชื่อพนักงานลาออกพ้นสภาพ'!B:I, 8, FALSE)&lt;&gt;"ยกเลิกลาออก",
            VLOOKUP(B1383, 'รายชื่อพนักงานลาออกพ้นสภาพ'!B:I, 7, FALSE)&lt;=TODAY()
        ),
        "ลาออกแล้ว",
        ""
    ),
"")</f>
        <v/>
      </c>
      <c r="O1383" s="292" t="str">
        <f t="array" ref="O1383:P1383">IFERROR(INDEX(PCRent!C:D, MATCH(F1383 &amp; " " &amp; G1383, PCRent!A:A &amp; " " &amp; PCRent!B:B, 0)), "")</f>
        <v>SN:0F0069D23383BF</v>
      </c>
      <c r="P1383" s="293" t="s">
        <v>7545</v>
      </c>
      <c r="Q1383" s="294" t="str">
        <f t="array" ref="Q1383">IFERROR(INDEX(MonitorRent!C:D, MATCH(F1383 &amp; " " &amp; G1383, MonitorRent!A:A &amp; " " &amp; MonitorRent!B:B, 0)), "")</f>
        <v/>
      </c>
      <c r="R1383" s="295"/>
    </row>
    <row r="1384">
      <c r="A1384" s="284">
        <v>1381.0</v>
      </c>
      <c r="B1384" s="285" t="s">
        <v>9022</v>
      </c>
      <c r="C1384" s="285" t="s">
        <v>6918</v>
      </c>
      <c r="D1384" s="286" t="s">
        <v>10303</v>
      </c>
      <c r="E1384" s="285" t="s">
        <v>6933</v>
      </c>
      <c r="F1384" s="285" t="s">
        <v>15378</v>
      </c>
      <c r="G1384" s="285" t="s">
        <v>15379</v>
      </c>
      <c r="H1384" s="285" t="s">
        <v>13140</v>
      </c>
      <c r="I1384" s="285" t="s">
        <v>15380</v>
      </c>
      <c r="J1384" s="285" t="s">
        <v>5224</v>
      </c>
      <c r="K1384" s="285" t="s">
        <v>15375</v>
      </c>
      <c r="L1384" s="285" t="s">
        <v>13545</v>
      </c>
      <c r="M1384" s="285" t="s">
        <v>9383</v>
      </c>
      <c r="N1384" s="287" t="str">
        <f>IFERROR(
    IF(
        AND(
            VLOOKUP(B1384, 'รายชื่อพนักงานลาออกพ้นสภาพ'!B:I, 8, FALSE)&lt;&gt;"ยกเลิกลาออก",
            VLOOKUP(B1384, 'รายชื่อพนักงานลาออกพ้นสภาพ'!B:I, 7, FALSE)&lt;=TODAY()
        ),
        "ลาออกแล้ว",
        ""
    ),
"")</f>
        <v/>
      </c>
      <c r="O1384" s="292" t="str">
        <f t="array" ref="O1384">IFERROR(INDEX(PCRent!C:D, MATCH(F1384 &amp; " " &amp; G1384, PCRent!A:A &amp; " " &amp; PCRent!B:B, 0)), "")</f>
        <v/>
      </c>
      <c r="P1384" s="293"/>
      <c r="Q1384" s="294" t="str">
        <f t="array" ref="Q1384">IFERROR(INDEX(MonitorRent!C:D, MATCH(F1384 &amp; " " &amp; G1384, MonitorRent!A:A &amp; " " &amp; MonitorRent!B:B, 0)), "")</f>
        <v/>
      </c>
      <c r="R1384" s="295"/>
    </row>
    <row r="1385">
      <c r="A1385" s="284">
        <v>1382.0</v>
      </c>
      <c r="B1385" s="285" t="s">
        <v>15381</v>
      </c>
      <c r="C1385" s="285" t="s">
        <v>6918</v>
      </c>
      <c r="D1385" s="286" t="s">
        <v>10329</v>
      </c>
      <c r="E1385" s="285" t="s">
        <v>6921</v>
      </c>
      <c r="F1385" s="285" t="s">
        <v>15382</v>
      </c>
      <c r="G1385" s="285" t="s">
        <v>15383</v>
      </c>
      <c r="H1385" s="285" t="s">
        <v>15384</v>
      </c>
      <c r="I1385" s="285" t="s">
        <v>15385</v>
      </c>
      <c r="J1385" s="285" t="s">
        <v>5012</v>
      </c>
      <c r="K1385" s="285" t="s">
        <v>6322</v>
      </c>
      <c r="L1385" s="285" t="s">
        <v>15386</v>
      </c>
      <c r="M1385" s="285" t="s">
        <v>9391</v>
      </c>
      <c r="N1385" s="287" t="str">
        <f>IFERROR(
    IF(
        AND(
            VLOOKUP(B1385, 'รายชื่อพนักงานลาออกพ้นสภาพ'!B:I, 8, FALSE)&lt;&gt;"ยกเลิกลาออก",
            VLOOKUP(B1385, 'รายชื่อพนักงานลาออกพ้นสภาพ'!B:I, 7, FALSE)&lt;=TODAY()
        ),
        "ลาออกแล้ว",
        ""
    ),
"")</f>
        <v/>
      </c>
      <c r="O1385" s="292" t="str">
        <f t="array" ref="O1385">IFERROR(INDEX(PCRent!C:D, MATCH(F1385 &amp; " " &amp; G1385, PCRent!A:A &amp; " " &amp; PCRent!B:B, 0)), "")</f>
        <v/>
      </c>
      <c r="P1385" s="293"/>
      <c r="Q1385" s="294" t="str">
        <f t="array" ref="Q1385">IFERROR(INDEX(MonitorRent!C:D, MATCH(F1385 &amp; " " &amp; G1385, MonitorRent!A:A &amp; " " &amp; MonitorRent!B:B, 0)), "")</f>
        <v/>
      </c>
      <c r="R1385" s="295"/>
    </row>
    <row r="1386">
      <c r="A1386" s="284">
        <v>1383.0</v>
      </c>
      <c r="B1386" s="285" t="s">
        <v>15387</v>
      </c>
      <c r="C1386" s="285" t="s">
        <v>6918</v>
      </c>
      <c r="D1386" s="286" t="s">
        <v>9427</v>
      </c>
      <c r="E1386" s="285" t="s">
        <v>6933</v>
      </c>
      <c r="F1386" s="285" t="s">
        <v>11852</v>
      </c>
      <c r="G1386" s="285" t="s">
        <v>15388</v>
      </c>
      <c r="H1386" s="285" t="s">
        <v>10866</v>
      </c>
      <c r="I1386" s="285" t="s">
        <v>15389</v>
      </c>
      <c r="J1386" s="285" t="s">
        <v>5012</v>
      </c>
      <c r="K1386" s="285" t="s">
        <v>9626</v>
      </c>
      <c r="L1386" s="285" t="s">
        <v>13067</v>
      </c>
      <c r="M1386" s="285" t="s">
        <v>9383</v>
      </c>
      <c r="N1386" s="287" t="str">
        <f>IFERROR(
    IF(
        AND(
            VLOOKUP(B1386, 'รายชื่อพนักงานลาออกพ้นสภาพ'!B:I, 8, FALSE)&lt;&gt;"ยกเลิกลาออก",
            VLOOKUP(B1386, 'รายชื่อพนักงานลาออกพ้นสภาพ'!B:I, 7, FALSE)&lt;=TODAY()
        ),
        "ลาออกแล้ว",
        ""
    ),
"")</f>
        <v/>
      </c>
      <c r="O1386" s="292" t="str">
        <f t="array" ref="O1386">IFERROR(INDEX(PCRent!C:D, MATCH(F1386 &amp; " " &amp; G1386, PCRent!A:A &amp; " " &amp; PCRent!B:B, 0)), "")</f>
        <v/>
      </c>
      <c r="P1386" s="293"/>
      <c r="Q1386" s="294" t="str">
        <f t="array" ref="Q1386">IFERROR(INDEX(MonitorRent!C:D, MATCH(F1386 &amp; " " &amp; G1386, MonitorRent!A:A &amp; " " &amp; MonitorRent!B:B, 0)), "")</f>
        <v/>
      </c>
      <c r="R1386" s="295"/>
    </row>
    <row r="1387">
      <c r="A1387" s="284">
        <v>1384.0</v>
      </c>
      <c r="B1387" s="285" t="s">
        <v>7001</v>
      </c>
      <c r="C1387" s="285" t="s">
        <v>6918</v>
      </c>
      <c r="D1387" s="286" t="s">
        <v>12472</v>
      </c>
      <c r="E1387" s="285" t="s">
        <v>6933</v>
      </c>
      <c r="F1387" s="285" t="s">
        <v>11856</v>
      </c>
      <c r="G1387" s="285" t="s">
        <v>14198</v>
      </c>
      <c r="H1387" s="285" t="s">
        <v>11482</v>
      </c>
      <c r="I1387" s="285" t="s">
        <v>15390</v>
      </c>
      <c r="J1387" s="285" t="s">
        <v>5224</v>
      </c>
      <c r="K1387" s="285" t="s">
        <v>4756</v>
      </c>
      <c r="L1387" s="285" t="s">
        <v>13699</v>
      </c>
      <c r="M1387" s="285" t="s">
        <v>9383</v>
      </c>
      <c r="N1387" s="287" t="str">
        <f>IFERROR(
    IF(
        AND(
            VLOOKUP(B1387, 'รายชื่อพนักงานลาออกพ้นสภาพ'!B:I, 8, FALSE)&lt;&gt;"ยกเลิกลาออก",
            VLOOKUP(B1387, 'รายชื่อพนักงานลาออกพ้นสภาพ'!B:I, 7, FALSE)&lt;=TODAY()
        ),
        "ลาออกแล้ว",
        ""
    ),
"")</f>
        <v/>
      </c>
      <c r="O1387" s="292" t="str">
        <f t="array" ref="O1387:P1387">IFERROR(INDEX(PCRent!C:D, MATCH(F1387 &amp; " " &amp; G1387, PCRent!A:A &amp; " " &amp; PCRent!B:B, 0)), "")</f>
        <v>SN:PF39GMY4</v>
      </c>
      <c r="P1387" s="293" t="s">
        <v>7005</v>
      </c>
      <c r="Q1387" s="294" t="str">
        <f t="array" ref="Q1387">IFERROR(INDEX(MonitorRent!C:D, MATCH(F1387 &amp; " " &amp; G1387, MonitorRent!A:A &amp; " " &amp; MonitorRent!B:B, 0)), "")</f>
        <v/>
      </c>
      <c r="R1387" s="295"/>
    </row>
    <row r="1388">
      <c r="A1388" s="284">
        <v>1385.0</v>
      </c>
      <c r="B1388" s="285" t="s">
        <v>15391</v>
      </c>
      <c r="C1388" s="285" t="s">
        <v>6918</v>
      </c>
      <c r="D1388" s="286" t="s">
        <v>14657</v>
      </c>
      <c r="E1388" s="285" t="s">
        <v>6921</v>
      </c>
      <c r="F1388" s="285" t="s">
        <v>15392</v>
      </c>
      <c r="G1388" s="285" t="s">
        <v>15393</v>
      </c>
      <c r="H1388" s="285" t="s">
        <v>15394</v>
      </c>
      <c r="I1388" s="285" t="s">
        <v>5138</v>
      </c>
      <c r="J1388" s="285" t="s">
        <v>5012</v>
      </c>
      <c r="K1388" s="285" t="s">
        <v>6322</v>
      </c>
      <c r="L1388" s="285" t="s">
        <v>12953</v>
      </c>
      <c r="M1388" s="285" t="s">
        <v>9383</v>
      </c>
      <c r="N1388" s="287" t="str">
        <f>IFERROR(
    IF(
        AND(
            VLOOKUP(B1388, 'รายชื่อพนักงานลาออกพ้นสภาพ'!B:I, 8, FALSE)&lt;&gt;"ยกเลิกลาออก",
            VLOOKUP(B1388, 'รายชื่อพนักงานลาออกพ้นสภาพ'!B:I, 7, FALSE)&lt;=TODAY()
        ),
        "ลาออกแล้ว",
        ""
    ),
"")</f>
        <v/>
      </c>
      <c r="O1388" s="292" t="str">
        <f t="array" ref="O1388:P1388">IFERROR(INDEX(PCRent!C:D, MATCH(F1388 &amp; " " &amp; G1388, PCRent!A:A &amp; " " &amp; PCRent!B:B, 0)), "")</f>
        <v>SN:MSAF83N4S0102944</v>
      </c>
      <c r="P1388" s="293" t="s">
        <v>13621</v>
      </c>
      <c r="Q1388" s="294" t="str">
        <f t="array" ref="Q1388">IFERROR(INDEX(MonitorRent!C:D, MATCH(F1388 &amp; " " &amp; G1388, MonitorRent!A:A &amp; " " &amp; MonitorRent!B:B, 0)), "")</f>
        <v/>
      </c>
      <c r="R1388" s="295"/>
    </row>
    <row r="1389">
      <c r="A1389" s="284">
        <v>1386.0</v>
      </c>
      <c r="B1389" s="285" t="s">
        <v>15395</v>
      </c>
      <c r="C1389" s="285" t="s">
        <v>6918</v>
      </c>
      <c r="D1389" s="286" t="s">
        <v>9405</v>
      </c>
      <c r="E1389" s="285" t="s">
        <v>6933</v>
      </c>
      <c r="F1389" s="285" t="s">
        <v>12392</v>
      </c>
      <c r="G1389" s="285" t="s">
        <v>15396</v>
      </c>
      <c r="H1389" s="285" t="s">
        <v>11147</v>
      </c>
      <c r="I1389" s="285" t="s">
        <v>15397</v>
      </c>
      <c r="J1389" s="285" t="s">
        <v>5012</v>
      </c>
      <c r="K1389" s="285" t="s">
        <v>9466</v>
      </c>
      <c r="L1389" s="285" t="s">
        <v>13372</v>
      </c>
      <c r="M1389" s="285" t="s">
        <v>9383</v>
      </c>
      <c r="N1389" s="287" t="str">
        <f>IFERROR(
    IF(
        AND(
            VLOOKUP(B1389, 'รายชื่อพนักงานลาออกพ้นสภาพ'!B:I, 8, FALSE)&lt;&gt;"ยกเลิกลาออก",
            VLOOKUP(B1389, 'รายชื่อพนักงานลาออกพ้นสภาพ'!B:I, 7, FALSE)&lt;=TODAY()
        ),
        "ลาออกแล้ว",
        ""
    ),
"")</f>
        <v/>
      </c>
      <c r="O1389" s="292" t="str">
        <f t="array" ref="O1389">IFERROR(INDEX(PCRent!C:D, MATCH(F1389 &amp; " " &amp; G1389, PCRent!A:A &amp; " " &amp; PCRent!B:B, 0)), "")</f>
        <v/>
      </c>
      <c r="P1389" s="293"/>
      <c r="Q1389" s="294" t="str">
        <f t="array" ref="Q1389">IFERROR(INDEX(MonitorRent!C:D, MATCH(F1389 &amp; " " &amp; G1389, MonitorRent!A:A &amp; " " &amp; MonitorRent!B:B, 0)), "")</f>
        <v/>
      </c>
      <c r="R1389" s="295"/>
    </row>
    <row r="1390">
      <c r="A1390" s="284">
        <v>1387.0</v>
      </c>
      <c r="B1390" s="285" t="s">
        <v>15398</v>
      </c>
      <c r="C1390" s="285" t="s">
        <v>6918</v>
      </c>
      <c r="D1390" s="286" t="s">
        <v>12625</v>
      </c>
      <c r="E1390" s="285" t="s">
        <v>6933</v>
      </c>
      <c r="F1390" s="285" t="s">
        <v>15399</v>
      </c>
      <c r="G1390" s="285" t="s">
        <v>15400</v>
      </c>
      <c r="H1390" s="285" t="s">
        <v>11563</v>
      </c>
      <c r="I1390" s="296"/>
      <c r="J1390" s="285" t="s">
        <v>5012</v>
      </c>
      <c r="K1390" s="285" t="s">
        <v>5760</v>
      </c>
      <c r="L1390" s="285" t="s">
        <v>3041</v>
      </c>
      <c r="M1390" s="285" t="s">
        <v>9383</v>
      </c>
      <c r="N1390" s="287" t="str">
        <f>IFERROR(
    IF(
        AND(
            VLOOKUP(B1390, 'รายชื่อพนักงานลาออกพ้นสภาพ'!B:I, 8, FALSE)&lt;&gt;"ยกเลิกลาออก",
            VLOOKUP(B1390, 'รายชื่อพนักงานลาออกพ้นสภาพ'!B:I, 7, FALSE)&lt;=TODAY()
        ),
        "ลาออกแล้ว",
        ""
    ),
"")</f>
        <v/>
      </c>
      <c r="O1390" s="292" t="str">
        <f t="array" ref="O1390">IFERROR(INDEX(PCRent!C:D, MATCH(F1390 &amp; " " &amp; G1390, PCRent!A:A &amp; " " &amp; PCRent!B:B, 0)), "")</f>
        <v/>
      </c>
      <c r="P1390" s="293"/>
      <c r="Q1390" s="294" t="str">
        <f t="array" ref="Q1390">IFERROR(INDEX(MonitorRent!C:D, MATCH(F1390 &amp; " " &amp; G1390, MonitorRent!A:A &amp; " " &amp; MonitorRent!B:B, 0)), "")</f>
        <v/>
      </c>
      <c r="R1390" s="295"/>
    </row>
    <row r="1391">
      <c r="A1391" s="284">
        <v>1388.0</v>
      </c>
      <c r="B1391" s="285" t="s">
        <v>15401</v>
      </c>
      <c r="C1391" s="285" t="s">
        <v>6918</v>
      </c>
      <c r="D1391" s="286" t="s">
        <v>10978</v>
      </c>
      <c r="E1391" s="285" t="s">
        <v>6933</v>
      </c>
      <c r="F1391" s="285" t="s">
        <v>15402</v>
      </c>
      <c r="G1391" s="285" t="s">
        <v>15403</v>
      </c>
      <c r="H1391" s="285" t="s">
        <v>11900</v>
      </c>
      <c r="I1391" s="285" t="s">
        <v>15404</v>
      </c>
      <c r="J1391" s="285" t="s">
        <v>5012</v>
      </c>
      <c r="K1391" s="285" t="s">
        <v>9560</v>
      </c>
      <c r="L1391" s="285" t="s">
        <v>13137</v>
      </c>
      <c r="M1391" s="285" t="s">
        <v>9383</v>
      </c>
      <c r="N1391" s="287" t="str">
        <f>IFERROR(
    IF(
        AND(
            VLOOKUP(B1391, 'รายชื่อพนักงานลาออกพ้นสภาพ'!B:I, 8, FALSE)&lt;&gt;"ยกเลิกลาออก",
            VLOOKUP(B1391, 'รายชื่อพนักงานลาออกพ้นสภาพ'!B:I, 7, FALSE)&lt;=TODAY()
        ),
        "ลาออกแล้ว",
        ""
    ),
"")</f>
        <v/>
      </c>
      <c r="O1391" s="292" t="str">
        <f t="array" ref="O1391:P1391">IFERROR(INDEX(PCRent!C:D, MATCH(F1391 &amp; " " &amp; G1391, PCRent!A:A &amp; " " &amp; PCRent!B:B, 0)), "")</f>
        <v>SN:MP2AN2C9</v>
      </c>
      <c r="P1391" s="293" t="s">
        <v>9562</v>
      </c>
      <c r="Q1391" s="294" t="str">
        <f t="array" ref="Q1391">IFERROR(INDEX(MonitorRent!C:D, MATCH(F1391 &amp; " " &amp; G1391, MonitorRent!A:A &amp; " " &amp; MonitorRent!B:B, 0)), "")</f>
        <v/>
      </c>
      <c r="R1391" s="295"/>
    </row>
    <row r="1392">
      <c r="A1392" s="284">
        <v>1389.0</v>
      </c>
      <c r="B1392" s="285" t="s">
        <v>9012</v>
      </c>
      <c r="C1392" s="285" t="s">
        <v>6918</v>
      </c>
      <c r="D1392" s="286" t="s">
        <v>15405</v>
      </c>
      <c r="E1392" s="285" t="s">
        <v>6933</v>
      </c>
      <c r="F1392" s="285" t="s">
        <v>15406</v>
      </c>
      <c r="G1392" s="285" t="s">
        <v>15407</v>
      </c>
      <c r="H1392" s="285" t="s">
        <v>11289</v>
      </c>
      <c r="I1392" s="285" t="s">
        <v>15408</v>
      </c>
      <c r="J1392" s="285" t="s">
        <v>5224</v>
      </c>
      <c r="K1392" s="285" t="s">
        <v>15409</v>
      </c>
      <c r="L1392" s="285" t="s">
        <v>13545</v>
      </c>
      <c r="M1392" s="285" t="s">
        <v>9383</v>
      </c>
      <c r="N1392" s="287" t="str">
        <f>IFERROR(
    IF(
        AND(
            VLOOKUP(B1392, 'รายชื่อพนักงานลาออกพ้นสภาพ'!B:I, 8, FALSE)&lt;&gt;"ยกเลิกลาออก",
            VLOOKUP(B1392, 'รายชื่อพนักงานลาออกพ้นสภาพ'!B:I, 7, FALSE)&lt;=TODAY()
        ),
        "ลาออกแล้ว",
        ""
    ),
"")</f>
        <v/>
      </c>
      <c r="O1392" s="292" t="str">
        <f t="array" ref="O1392">IFERROR(INDEX(PCRent!C:D, MATCH(F1392 &amp; " " &amp; G1392, PCRent!A:A &amp; " " &amp; PCRent!B:B, 0)), "")</f>
        <v/>
      </c>
      <c r="P1392" s="293"/>
      <c r="Q1392" s="294" t="str">
        <f t="array" ref="Q1392">IFERROR(INDEX(MonitorRent!C:D, MATCH(F1392 &amp; " " &amp; G1392, MonitorRent!A:A &amp; " " &amp; MonitorRent!B:B, 0)), "")</f>
        <v/>
      </c>
      <c r="R1392" s="295"/>
    </row>
    <row r="1393">
      <c r="A1393" s="284">
        <v>1390.0</v>
      </c>
      <c r="B1393" s="285" t="s">
        <v>8383</v>
      </c>
      <c r="C1393" s="285" t="s">
        <v>6918</v>
      </c>
      <c r="D1393" s="286" t="s">
        <v>9405</v>
      </c>
      <c r="E1393" s="285" t="s">
        <v>6921</v>
      </c>
      <c r="F1393" s="285" t="s">
        <v>15410</v>
      </c>
      <c r="G1393" s="285" t="s">
        <v>15411</v>
      </c>
      <c r="H1393" s="285" t="s">
        <v>15412</v>
      </c>
      <c r="I1393" s="285" t="s">
        <v>15413</v>
      </c>
      <c r="J1393" s="285" t="s">
        <v>5224</v>
      </c>
      <c r="K1393" s="285" t="s">
        <v>12379</v>
      </c>
      <c r="L1393" s="285" t="s">
        <v>8362</v>
      </c>
      <c r="M1393" s="285" t="s">
        <v>9383</v>
      </c>
      <c r="N1393" s="287" t="str">
        <f>IFERROR(
    IF(
        AND(
            VLOOKUP(B1393, 'รายชื่อพนักงานลาออกพ้นสภาพ'!B:I, 8, FALSE)&lt;&gt;"ยกเลิกลาออก",
            VLOOKUP(B1393, 'รายชื่อพนักงานลาออกพ้นสภาพ'!B:I, 7, FALSE)&lt;=TODAY()
        ),
        "ลาออกแล้ว",
        ""
    ),
"")</f>
        <v/>
      </c>
      <c r="O1393" s="292" t="str">
        <f t="array" ref="O1393">IFERROR(INDEX(PCRent!C:D, MATCH(F1393 &amp; " " &amp; G1393, PCRent!A:A &amp; " " &amp; PCRent!B:B, 0)), "")</f>
        <v/>
      </c>
      <c r="P1393" s="293"/>
      <c r="Q1393" s="294" t="str">
        <f t="array" ref="Q1393">IFERROR(INDEX(MonitorRent!C:D, MATCH(F1393 &amp; " " &amp; G1393, MonitorRent!A:A &amp; " " &amp; MonitorRent!B:B, 0)), "")</f>
        <v/>
      </c>
      <c r="R1393" s="295"/>
    </row>
    <row r="1394">
      <c r="A1394" s="284">
        <v>1391.0</v>
      </c>
      <c r="B1394" s="285" t="s">
        <v>7992</v>
      </c>
      <c r="C1394" s="285" t="s">
        <v>6918</v>
      </c>
      <c r="D1394" s="286" t="s">
        <v>15414</v>
      </c>
      <c r="E1394" s="285" t="s">
        <v>6921</v>
      </c>
      <c r="F1394" s="285" t="s">
        <v>15415</v>
      </c>
      <c r="G1394" s="285" t="s">
        <v>15416</v>
      </c>
      <c r="H1394" s="285" t="s">
        <v>15417</v>
      </c>
      <c r="I1394" s="285" t="s">
        <v>15418</v>
      </c>
      <c r="J1394" s="285" t="s">
        <v>5224</v>
      </c>
      <c r="K1394" s="285" t="s">
        <v>13907</v>
      </c>
      <c r="L1394" s="285" t="s">
        <v>13908</v>
      </c>
      <c r="M1394" s="285" t="s">
        <v>9383</v>
      </c>
      <c r="N1394" s="287" t="str">
        <f>IFERROR(
    IF(
        AND(
            VLOOKUP(B1394, 'รายชื่อพนักงานลาออกพ้นสภาพ'!B:I, 8, FALSE)&lt;&gt;"ยกเลิกลาออก",
            VLOOKUP(B1394, 'รายชื่อพนักงานลาออกพ้นสภาพ'!B:I, 7, FALSE)&lt;=TODAY()
        ),
        "ลาออกแล้ว",
        ""
    ),
"")</f>
        <v/>
      </c>
      <c r="O1394" s="292" t="str">
        <f t="array" ref="O1394:P1394">IFERROR(INDEX(PCRent!C:D, MATCH(F1394 &amp; " " &amp; G1394, PCRent!A:A &amp; " " &amp; PCRent!B:B, 0)), "")</f>
        <v>SN:9GT2CZ3</v>
      </c>
      <c r="P1394" s="293" t="s">
        <v>7048</v>
      </c>
      <c r="Q1394" s="294" t="str">
        <f t="array" ref="Q1394:R1394">IFERROR(INDEX(MonitorRent!C:D, MATCH(F1394 &amp; " " &amp; G1394, MonitorRent!A:A &amp; " " &amp; MonitorRent!B:B, 0)), "")</f>
        <v>SN:8Z87XY3</v>
      </c>
      <c r="R1394" s="295" t="s">
        <v>7050</v>
      </c>
    </row>
    <row r="1395">
      <c r="A1395" s="284">
        <v>1392.0</v>
      </c>
      <c r="B1395" s="285" t="s">
        <v>1633</v>
      </c>
      <c r="C1395" s="285" t="s">
        <v>6918</v>
      </c>
      <c r="D1395" s="286" t="s">
        <v>15419</v>
      </c>
      <c r="E1395" s="285" t="s">
        <v>6933</v>
      </c>
      <c r="F1395" s="285" t="s">
        <v>15420</v>
      </c>
      <c r="G1395" s="285" t="s">
        <v>14481</v>
      </c>
      <c r="H1395" s="285" t="s">
        <v>15421</v>
      </c>
      <c r="I1395" s="285" t="s">
        <v>15422</v>
      </c>
      <c r="J1395" s="285" t="s">
        <v>5224</v>
      </c>
      <c r="K1395" s="285" t="s">
        <v>4818</v>
      </c>
      <c r="L1395" s="285" t="s">
        <v>7688</v>
      </c>
      <c r="M1395" s="285" t="s">
        <v>9383</v>
      </c>
      <c r="N1395" s="287" t="str">
        <f>IFERROR(
    IF(
        AND(
            VLOOKUP(B1395, 'รายชื่อพนักงานลาออกพ้นสภาพ'!B:I, 8, FALSE)&lt;&gt;"ยกเลิกลาออก",
            VLOOKUP(B1395, 'รายชื่อพนักงานลาออกพ้นสภาพ'!B:I, 7, FALSE)&lt;=TODAY()
        ),
        "ลาออกแล้ว",
        ""
    ),
"")</f>
        <v/>
      </c>
      <c r="O1395" s="292" t="str">
        <f t="array" ref="O1395">IFERROR(INDEX(PCRent!C:D, MATCH(F1395 &amp; " " &amp; G1395, PCRent!A:A &amp; " " &amp; PCRent!B:B, 0)), "")</f>
        <v/>
      </c>
      <c r="P1395" s="293"/>
      <c r="Q1395" s="294" t="str">
        <f t="array" ref="Q1395">IFERROR(INDEX(MonitorRent!C:D, MATCH(F1395 &amp; " " &amp; G1395, MonitorRent!A:A &amp; " " &amp; MonitorRent!B:B, 0)), "")</f>
        <v/>
      </c>
      <c r="R1395" s="295"/>
    </row>
    <row r="1396">
      <c r="A1396" s="284">
        <v>1393.0</v>
      </c>
      <c r="B1396" s="285" t="s">
        <v>15423</v>
      </c>
      <c r="C1396" s="285" t="s">
        <v>6918</v>
      </c>
      <c r="D1396" s="286" t="s">
        <v>15424</v>
      </c>
      <c r="E1396" s="285" t="s">
        <v>6921</v>
      </c>
      <c r="F1396" s="285" t="s">
        <v>15425</v>
      </c>
      <c r="G1396" s="285" t="s">
        <v>15426</v>
      </c>
      <c r="H1396" s="285" t="s">
        <v>11520</v>
      </c>
      <c r="I1396" s="285" t="s">
        <v>15427</v>
      </c>
      <c r="J1396" s="285" t="s">
        <v>5012</v>
      </c>
      <c r="K1396" s="285" t="s">
        <v>6322</v>
      </c>
      <c r="L1396" s="285" t="s">
        <v>9581</v>
      </c>
      <c r="M1396" s="285" t="s">
        <v>9383</v>
      </c>
      <c r="N1396" s="287" t="str">
        <f>IFERROR(
    IF(
        AND(
            VLOOKUP(B1396, 'รายชื่อพนักงานลาออกพ้นสภาพ'!B:I, 8, FALSE)&lt;&gt;"ยกเลิกลาออก",
            VLOOKUP(B1396, 'รายชื่อพนักงานลาออกพ้นสภาพ'!B:I, 7, FALSE)&lt;=TODAY()
        ),
        "ลาออกแล้ว",
        ""
    ),
"")</f>
        <v/>
      </c>
      <c r="O1396" s="292" t="str">
        <f t="array" ref="O1396">IFERROR(INDEX(PCRent!C:D, MATCH(F1396 &amp; " " &amp; G1396, PCRent!A:A &amp; " " &amp; PCRent!B:B, 0)), "")</f>
        <v/>
      </c>
      <c r="P1396" s="293"/>
      <c r="Q1396" s="294" t="str">
        <f t="array" ref="Q1396">IFERROR(INDEX(MonitorRent!C:D, MATCH(F1396 &amp; " " &amp; G1396, MonitorRent!A:A &amp; " " &amp; MonitorRent!B:B, 0)), "")</f>
        <v/>
      </c>
      <c r="R1396" s="295"/>
    </row>
    <row r="1397">
      <c r="A1397" s="284">
        <v>1394.0</v>
      </c>
      <c r="B1397" s="285" t="s">
        <v>15428</v>
      </c>
      <c r="C1397" s="285" t="s">
        <v>6918</v>
      </c>
      <c r="D1397" s="286" t="s">
        <v>13268</v>
      </c>
      <c r="E1397" s="285" t="s">
        <v>6933</v>
      </c>
      <c r="F1397" s="285" t="s">
        <v>15429</v>
      </c>
      <c r="G1397" s="285" t="s">
        <v>15430</v>
      </c>
      <c r="H1397" s="285" t="s">
        <v>15431</v>
      </c>
      <c r="I1397" s="285" t="s">
        <v>15432</v>
      </c>
      <c r="J1397" s="285" t="s">
        <v>5012</v>
      </c>
      <c r="K1397" s="285" t="s">
        <v>15433</v>
      </c>
      <c r="L1397" s="285" t="s">
        <v>13067</v>
      </c>
      <c r="M1397" s="285" t="s">
        <v>9383</v>
      </c>
      <c r="N1397" s="287" t="str">
        <f>IFERROR(
    IF(
        AND(
            VLOOKUP(B1397, 'รายชื่อพนักงานลาออกพ้นสภาพ'!B:I, 8, FALSE)&lt;&gt;"ยกเลิกลาออก",
            VLOOKUP(B1397, 'รายชื่อพนักงานลาออกพ้นสภาพ'!B:I, 7, FALSE)&lt;=TODAY()
        ),
        "ลาออกแล้ว",
        ""
    ),
"")</f>
        <v/>
      </c>
      <c r="O1397" s="292" t="str">
        <f t="array" ref="O1397">IFERROR(INDEX(PCRent!C:D, MATCH(F1397 &amp; " " &amp; G1397, PCRent!A:A &amp; " " &amp; PCRent!B:B, 0)), "")</f>
        <v/>
      </c>
      <c r="P1397" s="293"/>
      <c r="Q1397" s="294" t="str">
        <f t="array" ref="Q1397">IFERROR(INDEX(MonitorRent!C:D, MATCH(F1397 &amp; " " &amp; G1397, MonitorRent!A:A &amp; " " &amp; MonitorRent!B:B, 0)), "")</f>
        <v/>
      </c>
      <c r="R1397" s="295"/>
    </row>
    <row r="1398">
      <c r="A1398" s="284">
        <v>1395.0</v>
      </c>
      <c r="B1398" s="285" t="s">
        <v>15434</v>
      </c>
      <c r="C1398" s="285" t="s">
        <v>6918</v>
      </c>
      <c r="D1398" s="286" t="s">
        <v>15435</v>
      </c>
      <c r="E1398" s="285" t="s">
        <v>6933</v>
      </c>
      <c r="F1398" s="285" t="s">
        <v>15436</v>
      </c>
      <c r="G1398" s="285" t="s">
        <v>15437</v>
      </c>
      <c r="H1398" s="285" t="s">
        <v>15438</v>
      </c>
      <c r="I1398" s="285" t="s">
        <v>15439</v>
      </c>
      <c r="J1398" s="285" t="s">
        <v>5224</v>
      </c>
      <c r="K1398" s="285" t="s">
        <v>4835</v>
      </c>
      <c r="L1398" s="285" t="s">
        <v>14659</v>
      </c>
      <c r="M1398" s="285" t="s">
        <v>9383</v>
      </c>
      <c r="N1398" s="287" t="str">
        <f>IFERROR(
    IF(
        AND(
            VLOOKUP(B1398, 'รายชื่อพนักงานลาออกพ้นสภาพ'!B:I, 8, FALSE)&lt;&gt;"ยกเลิกลาออก",
            VLOOKUP(B1398, 'รายชื่อพนักงานลาออกพ้นสภาพ'!B:I, 7, FALSE)&lt;=TODAY()
        ),
        "ลาออกแล้ว",
        ""
    ),
"")</f>
        <v/>
      </c>
      <c r="O1398" s="292" t="str">
        <f t="array" ref="O1398">IFERROR(INDEX(PCRent!C:D, MATCH(F1398 &amp; " " &amp; G1398, PCRent!A:A &amp; " " &amp; PCRent!B:B, 0)), "")</f>
        <v/>
      </c>
      <c r="P1398" s="293"/>
      <c r="Q1398" s="294" t="str">
        <f t="array" ref="Q1398">IFERROR(INDEX(MonitorRent!C:D, MATCH(F1398 &amp; " " &amp; G1398, MonitorRent!A:A &amp; " " &amp; MonitorRent!B:B, 0)), "")</f>
        <v/>
      </c>
      <c r="R1398" s="295"/>
    </row>
    <row r="1399">
      <c r="A1399" s="284">
        <v>1396.0</v>
      </c>
      <c r="B1399" s="285" t="s">
        <v>7090</v>
      </c>
      <c r="C1399" s="285" t="s">
        <v>6918</v>
      </c>
      <c r="D1399" s="286" t="s">
        <v>9504</v>
      </c>
      <c r="E1399" s="285" t="s">
        <v>6921</v>
      </c>
      <c r="F1399" s="285" t="s">
        <v>15440</v>
      </c>
      <c r="G1399" s="285" t="s">
        <v>15441</v>
      </c>
      <c r="H1399" s="285" t="s">
        <v>15442</v>
      </c>
      <c r="I1399" s="285" t="s">
        <v>15443</v>
      </c>
      <c r="J1399" s="285" t="s">
        <v>5224</v>
      </c>
      <c r="K1399" s="285" t="s">
        <v>13186</v>
      </c>
      <c r="L1399" s="285" t="s">
        <v>13187</v>
      </c>
      <c r="M1399" s="285" t="s">
        <v>9383</v>
      </c>
      <c r="N1399" s="287" t="str">
        <f>IFERROR(
    IF(
        AND(
            VLOOKUP(B1399, 'รายชื่อพนักงานลาออกพ้นสภาพ'!B:I, 8, FALSE)&lt;&gt;"ยกเลิกลาออก",
            VLOOKUP(B1399, 'รายชื่อพนักงานลาออกพ้นสภาพ'!B:I, 7, FALSE)&lt;=TODAY()
        ),
        "ลาออกแล้ว",
        ""
    ),
"")</f>
        <v/>
      </c>
      <c r="O1399" s="292" t="str">
        <f t="array" ref="O1399">IFERROR(INDEX(PCRent!C:D, MATCH(F1399 &amp; " " &amp; G1399, PCRent!A:A &amp; " " &amp; PCRent!B:B, 0)), "")</f>
        <v/>
      </c>
      <c r="P1399" s="293"/>
      <c r="Q1399" s="294" t="str">
        <f t="array" ref="Q1399">IFERROR(INDEX(MonitorRent!C:D, MATCH(F1399 &amp; " " &amp; G1399, MonitorRent!A:A &amp; " " &amp; MonitorRent!B:B, 0)), "")</f>
        <v/>
      </c>
      <c r="R1399" s="295"/>
    </row>
    <row r="1400">
      <c r="A1400" s="284">
        <v>1397.0</v>
      </c>
      <c r="B1400" s="285" t="s">
        <v>7199</v>
      </c>
      <c r="C1400" s="285" t="s">
        <v>6918</v>
      </c>
      <c r="D1400" s="286" t="s">
        <v>11301</v>
      </c>
      <c r="E1400" s="285" t="s">
        <v>6921</v>
      </c>
      <c r="F1400" s="285" t="s">
        <v>11884</v>
      </c>
      <c r="G1400" s="285" t="s">
        <v>15444</v>
      </c>
      <c r="H1400" s="285" t="s">
        <v>9934</v>
      </c>
      <c r="I1400" s="285" t="s">
        <v>15445</v>
      </c>
      <c r="J1400" s="285" t="s">
        <v>5224</v>
      </c>
      <c r="K1400" s="285" t="s">
        <v>9761</v>
      </c>
      <c r="L1400" s="285" t="s">
        <v>1602</v>
      </c>
      <c r="M1400" s="285" t="s">
        <v>9383</v>
      </c>
      <c r="N1400" s="287" t="str">
        <f>IFERROR(
    IF(
        AND(
            VLOOKUP(B1400, 'รายชื่อพนักงานลาออกพ้นสภาพ'!B:I, 8, FALSE)&lt;&gt;"ยกเลิกลาออก",
            VLOOKUP(B1400, 'รายชื่อพนักงานลาออกพ้นสภาพ'!B:I, 7, FALSE)&lt;=TODAY()
        ),
        "ลาออกแล้ว",
        ""
    ),
"")</f>
        <v/>
      </c>
      <c r="O1400" s="292" t="str">
        <f t="array" ref="O1400">IFERROR(INDEX(PCRent!C:D, MATCH(F1400 &amp; " " &amp; G1400, PCRent!A:A &amp; " " &amp; PCRent!B:B, 0)), "")</f>
        <v/>
      </c>
      <c r="P1400" s="293"/>
      <c r="Q1400" s="294" t="str">
        <f t="array" ref="Q1400">IFERROR(INDEX(MonitorRent!C:D, MATCH(F1400 &amp; " " &amp; G1400, MonitorRent!A:A &amp; " " &amp; MonitorRent!B:B, 0)), "")</f>
        <v/>
      </c>
      <c r="R1400" s="295"/>
    </row>
    <row r="1401">
      <c r="A1401" s="284">
        <v>1398.0</v>
      </c>
      <c r="B1401" s="285" t="s">
        <v>15446</v>
      </c>
      <c r="C1401" s="285" t="s">
        <v>6918</v>
      </c>
      <c r="D1401" s="286" t="s">
        <v>13323</v>
      </c>
      <c r="E1401" s="285" t="s">
        <v>6933</v>
      </c>
      <c r="F1401" s="285" t="s">
        <v>15447</v>
      </c>
      <c r="G1401" s="285" t="s">
        <v>13287</v>
      </c>
      <c r="H1401" s="285" t="s">
        <v>12745</v>
      </c>
      <c r="I1401" s="285" t="s">
        <v>15448</v>
      </c>
      <c r="J1401" s="285" t="s">
        <v>5012</v>
      </c>
      <c r="K1401" s="285" t="s">
        <v>9474</v>
      </c>
      <c r="L1401" s="285" t="s">
        <v>9540</v>
      </c>
      <c r="M1401" s="285" t="s">
        <v>9383</v>
      </c>
      <c r="N1401" s="287" t="str">
        <f>IFERROR(
    IF(
        AND(
            VLOOKUP(B1401, 'รายชื่อพนักงานลาออกพ้นสภาพ'!B:I, 8, FALSE)&lt;&gt;"ยกเลิกลาออก",
            VLOOKUP(B1401, 'รายชื่อพนักงานลาออกพ้นสภาพ'!B:I, 7, FALSE)&lt;=TODAY()
        ),
        "ลาออกแล้ว",
        ""
    ),
"")</f>
        <v/>
      </c>
      <c r="O1401" s="292" t="str">
        <f t="array" ref="O1401">IFERROR(INDEX(PCRent!C:D, MATCH(F1401 &amp; " " &amp; G1401, PCRent!A:A &amp; " " &amp; PCRent!B:B, 0)), "")</f>
        <v/>
      </c>
      <c r="P1401" s="293"/>
      <c r="Q1401" s="294" t="str">
        <f t="array" ref="Q1401">IFERROR(INDEX(MonitorRent!C:D, MATCH(F1401 &amp; " " &amp; G1401, MonitorRent!A:A &amp; " " &amp; MonitorRent!B:B, 0)), "")</f>
        <v/>
      </c>
      <c r="R1401" s="295"/>
    </row>
    <row r="1402">
      <c r="A1402" s="284">
        <v>1399.0</v>
      </c>
      <c r="B1402" s="285" t="s">
        <v>8171</v>
      </c>
      <c r="C1402" s="285" t="s">
        <v>6918</v>
      </c>
      <c r="D1402" s="286" t="s">
        <v>15449</v>
      </c>
      <c r="E1402" s="285" t="s">
        <v>6933</v>
      </c>
      <c r="F1402" s="285" t="s">
        <v>15450</v>
      </c>
      <c r="G1402" s="285" t="s">
        <v>15451</v>
      </c>
      <c r="H1402" s="285" t="s">
        <v>10765</v>
      </c>
      <c r="I1402" s="285" t="s">
        <v>15452</v>
      </c>
      <c r="J1402" s="285" t="s">
        <v>5224</v>
      </c>
      <c r="K1402" s="285" t="s">
        <v>2062</v>
      </c>
      <c r="L1402" s="285" t="s">
        <v>15453</v>
      </c>
      <c r="M1402" s="285" t="s">
        <v>9383</v>
      </c>
      <c r="N1402" s="287" t="str">
        <f>IFERROR(
    IF(
        AND(
            VLOOKUP(B1402, 'รายชื่อพนักงานลาออกพ้นสภาพ'!B:I, 8, FALSE)&lt;&gt;"ยกเลิกลาออก",
            VLOOKUP(B1402, 'รายชื่อพนักงานลาออกพ้นสภาพ'!B:I, 7, FALSE)&lt;=TODAY()
        ),
        "ลาออกแล้ว",
        ""
    ),
"")</f>
        <v/>
      </c>
      <c r="O1402" s="292" t="str">
        <f t="array" ref="O1402">IFERROR(INDEX(PCRent!C:D, MATCH(F1402 &amp; " " &amp; G1402, PCRent!A:A &amp; " " &amp; PCRent!B:B, 0)), "")</f>
        <v/>
      </c>
      <c r="P1402" s="293"/>
      <c r="Q1402" s="294" t="str">
        <f t="array" ref="Q1402">IFERROR(INDEX(MonitorRent!C:D, MATCH(F1402 &amp; " " &amp; G1402, MonitorRent!A:A &amp; " " &amp; MonitorRent!B:B, 0)), "")</f>
        <v/>
      </c>
      <c r="R1402" s="295"/>
    </row>
    <row r="1403">
      <c r="A1403" s="284">
        <v>1400.0</v>
      </c>
      <c r="B1403" s="285" t="s">
        <v>8028</v>
      </c>
      <c r="C1403" s="285" t="s">
        <v>6918</v>
      </c>
      <c r="D1403" s="286" t="s">
        <v>14150</v>
      </c>
      <c r="E1403" s="285" t="s">
        <v>6921</v>
      </c>
      <c r="F1403" s="285" t="s">
        <v>15454</v>
      </c>
      <c r="G1403" s="285" t="s">
        <v>15455</v>
      </c>
      <c r="H1403" s="285" t="s">
        <v>15456</v>
      </c>
      <c r="I1403" s="285" t="s">
        <v>15457</v>
      </c>
      <c r="J1403" s="285" t="s">
        <v>5224</v>
      </c>
      <c r="K1403" s="285" t="s">
        <v>9604</v>
      </c>
      <c r="L1403" s="285" t="s">
        <v>2165</v>
      </c>
      <c r="M1403" s="285" t="s">
        <v>9383</v>
      </c>
      <c r="N1403" s="287" t="str">
        <f>IFERROR(
    IF(
        AND(
            VLOOKUP(B1403, 'รายชื่อพนักงานลาออกพ้นสภาพ'!B:I, 8, FALSE)&lt;&gt;"ยกเลิกลาออก",
            VLOOKUP(B1403, 'รายชื่อพนักงานลาออกพ้นสภาพ'!B:I, 7, FALSE)&lt;=TODAY()
        ),
        "ลาออกแล้ว",
        ""
    ),
"")</f>
        <v/>
      </c>
      <c r="O1403" s="292" t="str">
        <f t="array" ref="O1403">IFERROR(INDEX(PCRent!C:D, MATCH(F1403 &amp; " " &amp; G1403, PCRent!A:A &amp; " " &amp; PCRent!B:B, 0)), "")</f>
        <v/>
      </c>
      <c r="P1403" s="293"/>
      <c r="Q1403" s="294" t="str">
        <f t="array" ref="Q1403">IFERROR(INDEX(MonitorRent!C:D, MATCH(F1403 &amp; " " &amp; G1403, MonitorRent!A:A &amp; " " &amp; MonitorRent!B:B, 0)), "")</f>
        <v/>
      </c>
      <c r="R1403" s="295"/>
    </row>
    <row r="1404">
      <c r="A1404" s="284">
        <v>1401.0</v>
      </c>
      <c r="B1404" s="285" t="s">
        <v>8899</v>
      </c>
      <c r="C1404" s="285" t="s">
        <v>6918</v>
      </c>
      <c r="D1404" s="286" t="s">
        <v>13870</v>
      </c>
      <c r="E1404" s="285" t="s">
        <v>6933</v>
      </c>
      <c r="F1404" s="285" t="s">
        <v>15458</v>
      </c>
      <c r="G1404" s="285" t="s">
        <v>15459</v>
      </c>
      <c r="H1404" s="285" t="s">
        <v>15460</v>
      </c>
      <c r="I1404" s="285" t="s">
        <v>15461</v>
      </c>
      <c r="J1404" s="285" t="s">
        <v>5012</v>
      </c>
      <c r="K1404" s="285" t="s">
        <v>2062</v>
      </c>
      <c r="L1404" s="285" t="s">
        <v>8901</v>
      </c>
      <c r="M1404" s="285" t="s">
        <v>9383</v>
      </c>
      <c r="N1404" s="287" t="str">
        <f>IFERROR(
    IF(
        AND(
            VLOOKUP(B1404, 'รายชื่อพนักงานลาออกพ้นสภาพ'!B:I, 8, FALSE)&lt;&gt;"ยกเลิกลาออก",
            VLOOKUP(B1404, 'รายชื่อพนักงานลาออกพ้นสภาพ'!B:I, 7, FALSE)&lt;=TODAY()
        ),
        "ลาออกแล้ว",
        ""
    ),
"")</f>
        <v/>
      </c>
      <c r="O1404" s="292" t="str">
        <f t="array" ref="O1404">IFERROR(INDEX(PCRent!C:D, MATCH(F1404 &amp; " " &amp; G1404, PCRent!A:A &amp; " " &amp; PCRent!B:B, 0)), "")</f>
        <v/>
      </c>
      <c r="P1404" s="293"/>
      <c r="Q1404" s="294" t="str">
        <f t="array" ref="Q1404">IFERROR(INDEX(MonitorRent!C:D, MATCH(F1404 &amp; " " &amp; G1404, MonitorRent!A:A &amp; " " &amp; MonitorRent!B:B, 0)), "")</f>
        <v/>
      </c>
      <c r="R1404" s="295"/>
    </row>
    <row r="1405">
      <c r="A1405" s="284">
        <v>1402.0</v>
      </c>
      <c r="B1405" s="285" t="s">
        <v>15462</v>
      </c>
      <c r="C1405" s="285" t="s">
        <v>6918</v>
      </c>
      <c r="D1405" s="286" t="s">
        <v>10729</v>
      </c>
      <c r="E1405" s="285" t="s">
        <v>6933</v>
      </c>
      <c r="F1405" s="285" t="s">
        <v>15463</v>
      </c>
      <c r="G1405" s="285" t="s">
        <v>15464</v>
      </c>
      <c r="H1405" s="285" t="s">
        <v>15465</v>
      </c>
      <c r="I1405" s="285" t="s">
        <v>15466</v>
      </c>
      <c r="J1405" s="285" t="s">
        <v>5012</v>
      </c>
      <c r="K1405" s="285" t="s">
        <v>9474</v>
      </c>
      <c r="L1405" s="285" t="s">
        <v>13501</v>
      </c>
      <c r="M1405" s="285" t="s">
        <v>9383</v>
      </c>
      <c r="N1405" s="287" t="str">
        <f>IFERROR(
    IF(
        AND(
            VLOOKUP(B1405, 'รายชื่อพนักงานลาออกพ้นสภาพ'!B:I, 8, FALSE)&lt;&gt;"ยกเลิกลาออก",
            VLOOKUP(B1405, 'รายชื่อพนักงานลาออกพ้นสภาพ'!B:I, 7, FALSE)&lt;=TODAY()
        ),
        "ลาออกแล้ว",
        ""
    ),
"")</f>
        <v/>
      </c>
      <c r="O1405" s="292" t="str">
        <f t="array" ref="O1405">IFERROR(INDEX(PCRent!C:D, MATCH(F1405 &amp; " " &amp; G1405, PCRent!A:A &amp; " " &amp; PCRent!B:B, 0)), "")</f>
        <v/>
      </c>
      <c r="P1405" s="293"/>
      <c r="Q1405" s="294" t="str">
        <f t="array" ref="Q1405">IFERROR(INDEX(MonitorRent!C:D, MATCH(F1405 &amp; " " &amp; G1405, MonitorRent!A:A &amp; " " &amp; MonitorRent!B:B, 0)), "")</f>
        <v/>
      </c>
      <c r="R1405" s="295"/>
    </row>
    <row r="1406">
      <c r="A1406" s="284">
        <v>1403.0</v>
      </c>
      <c r="B1406" s="285" t="s">
        <v>8563</v>
      </c>
      <c r="C1406" s="285" t="s">
        <v>6918</v>
      </c>
      <c r="D1406" s="286" t="s">
        <v>15467</v>
      </c>
      <c r="E1406" s="285" t="s">
        <v>7239</v>
      </c>
      <c r="F1406" s="285" t="s">
        <v>15468</v>
      </c>
      <c r="G1406" s="285" t="s">
        <v>15469</v>
      </c>
      <c r="H1406" s="285" t="s">
        <v>15470</v>
      </c>
      <c r="I1406" s="285" t="s">
        <v>15471</v>
      </c>
      <c r="J1406" s="285" t="s">
        <v>5224</v>
      </c>
      <c r="K1406" s="285" t="s">
        <v>4835</v>
      </c>
      <c r="L1406" s="285" t="s">
        <v>2208</v>
      </c>
      <c r="M1406" s="285" t="s">
        <v>9383</v>
      </c>
      <c r="N1406" s="287" t="str">
        <f>IFERROR(
    IF(
        AND(
            VLOOKUP(B1406, 'รายชื่อพนักงานลาออกพ้นสภาพ'!B:I, 8, FALSE)&lt;&gt;"ยกเลิกลาออก",
            VLOOKUP(B1406, 'รายชื่อพนักงานลาออกพ้นสภาพ'!B:I, 7, FALSE)&lt;=TODAY()
        ),
        "ลาออกแล้ว",
        ""
    ),
"")</f>
        <v/>
      </c>
      <c r="O1406" s="292" t="str">
        <f t="array" ref="O1406">IFERROR(INDEX(PCRent!C:D, MATCH(F1406 &amp; " " &amp; G1406, PCRent!A:A &amp; " " &amp; PCRent!B:B, 0)), "")</f>
        <v/>
      </c>
      <c r="P1406" s="293"/>
      <c r="Q1406" s="294" t="str">
        <f t="array" ref="Q1406">IFERROR(INDEX(MonitorRent!C:D, MATCH(F1406 &amp; " " &amp; G1406, MonitorRent!A:A &amp; " " &amp; MonitorRent!B:B, 0)), "")</f>
        <v/>
      </c>
      <c r="R1406" s="295"/>
    </row>
    <row r="1407">
      <c r="A1407" s="284">
        <v>1404.0</v>
      </c>
      <c r="B1407" s="285" t="s">
        <v>15472</v>
      </c>
      <c r="C1407" s="285" t="s">
        <v>6918</v>
      </c>
      <c r="D1407" s="286" t="s">
        <v>15473</v>
      </c>
      <c r="E1407" s="285" t="s">
        <v>6933</v>
      </c>
      <c r="F1407" s="285" t="s">
        <v>15474</v>
      </c>
      <c r="G1407" s="285" t="s">
        <v>15475</v>
      </c>
      <c r="H1407" s="285" t="s">
        <v>9909</v>
      </c>
      <c r="I1407" s="285" t="s">
        <v>15476</v>
      </c>
      <c r="J1407" s="285" t="s">
        <v>5224</v>
      </c>
      <c r="K1407" s="285" t="s">
        <v>9451</v>
      </c>
      <c r="L1407" s="285" t="s">
        <v>4323</v>
      </c>
      <c r="M1407" s="285" t="s">
        <v>9383</v>
      </c>
      <c r="N1407" s="287" t="str">
        <f>IFERROR(
    IF(
        AND(
            VLOOKUP(B1407, 'รายชื่อพนักงานลาออกพ้นสภาพ'!B:I, 8, FALSE)&lt;&gt;"ยกเลิกลาออก",
            VLOOKUP(B1407, 'รายชื่อพนักงานลาออกพ้นสภาพ'!B:I, 7, FALSE)&lt;=TODAY()
        ),
        "ลาออกแล้ว",
        ""
    ),
"")</f>
        <v/>
      </c>
      <c r="O1407" s="292" t="str">
        <f t="array" ref="O1407">IFERROR(INDEX(PCRent!C:D, MATCH(F1407 &amp; " " &amp; G1407, PCRent!A:A &amp; " " &amp; PCRent!B:B, 0)), "")</f>
        <v/>
      </c>
      <c r="P1407" s="293"/>
      <c r="Q1407" s="294" t="str">
        <f t="array" ref="Q1407">IFERROR(INDEX(MonitorRent!C:D, MATCH(F1407 &amp; " " &amp; G1407, MonitorRent!A:A &amp; " " &amp; MonitorRent!B:B, 0)), "")</f>
        <v/>
      </c>
      <c r="R1407" s="295"/>
    </row>
    <row r="1408">
      <c r="A1408" s="284">
        <v>1405.0</v>
      </c>
      <c r="B1408" s="285" t="s">
        <v>15477</v>
      </c>
      <c r="C1408" s="285" t="s">
        <v>6918</v>
      </c>
      <c r="D1408" s="286" t="s">
        <v>15478</v>
      </c>
      <c r="E1408" s="285" t="s">
        <v>6933</v>
      </c>
      <c r="F1408" s="285" t="s">
        <v>15479</v>
      </c>
      <c r="G1408" s="285" t="s">
        <v>15480</v>
      </c>
      <c r="H1408" s="285" t="s">
        <v>15479</v>
      </c>
      <c r="I1408" s="285" t="s">
        <v>15481</v>
      </c>
      <c r="J1408" s="285" t="s">
        <v>5012</v>
      </c>
      <c r="K1408" s="285" t="s">
        <v>13937</v>
      </c>
      <c r="L1408" s="285" t="s">
        <v>13501</v>
      </c>
      <c r="M1408" s="285" t="s">
        <v>9383</v>
      </c>
      <c r="N1408" s="287" t="str">
        <f>IFERROR(
    IF(
        AND(
            VLOOKUP(B1408, 'รายชื่อพนักงานลาออกพ้นสภาพ'!B:I, 8, FALSE)&lt;&gt;"ยกเลิกลาออก",
            VLOOKUP(B1408, 'รายชื่อพนักงานลาออกพ้นสภาพ'!B:I, 7, FALSE)&lt;=TODAY()
        ),
        "ลาออกแล้ว",
        ""
    ),
"")</f>
        <v/>
      </c>
      <c r="O1408" s="292" t="str">
        <f t="array" ref="O1408">IFERROR(INDEX(PCRent!C:D, MATCH(F1408 &amp; " " &amp; G1408, PCRent!A:A &amp; " " &amp; PCRent!B:B, 0)), "")</f>
        <v/>
      </c>
      <c r="P1408" s="293"/>
      <c r="Q1408" s="294" t="str">
        <f t="array" ref="Q1408">IFERROR(INDEX(MonitorRent!C:D, MATCH(F1408 &amp; " " &amp; G1408, MonitorRent!A:A &amp; " " &amp; MonitorRent!B:B, 0)), "")</f>
        <v/>
      </c>
      <c r="R1408" s="295"/>
    </row>
    <row r="1409">
      <c r="A1409" s="284">
        <v>1406.0</v>
      </c>
      <c r="B1409" s="285" t="s">
        <v>7066</v>
      </c>
      <c r="C1409" s="285" t="s">
        <v>6918</v>
      </c>
      <c r="D1409" s="286" t="s">
        <v>12539</v>
      </c>
      <c r="E1409" s="285" t="s">
        <v>6921</v>
      </c>
      <c r="F1409" s="285" t="s">
        <v>15482</v>
      </c>
      <c r="G1409" s="285" t="s">
        <v>15483</v>
      </c>
      <c r="H1409" s="285" t="s">
        <v>15484</v>
      </c>
      <c r="I1409" s="285" t="s">
        <v>15485</v>
      </c>
      <c r="J1409" s="285" t="s">
        <v>5224</v>
      </c>
      <c r="K1409" s="285" t="s">
        <v>10549</v>
      </c>
      <c r="L1409" s="285" t="s">
        <v>7060</v>
      </c>
      <c r="M1409" s="285" t="s">
        <v>9383</v>
      </c>
      <c r="N1409" s="287" t="str">
        <f>IFERROR(
    IF(
        AND(
            VLOOKUP(B1409, 'รายชื่อพนักงานลาออกพ้นสภาพ'!B:I, 8, FALSE)&lt;&gt;"ยกเลิกลาออก",
            VLOOKUP(B1409, 'รายชื่อพนักงานลาออกพ้นสภาพ'!B:I, 7, FALSE)&lt;=TODAY()
        ),
        "ลาออกแล้ว",
        ""
    ),
"")</f>
        <v/>
      </c>
      <c r="O1409" s="292" t="str">
        <f t="array" ref="O1409:P1409">IFERROR(INDEX(PCRent!C:D, MATCH(F1409 &amp; " " &amp; G1409, PCRent!A:A &amp; " " &amp; PCRent!B:B, 0)), "")</f>
        <v>SN:MP2ET26N</v>
      </c>
      <c r="P1409" s="293" t="s">
        <v>7070</v>
      </c>
      <c r="Q1409" s="294" t="str">
        <f t="array" ref="Q1409">IFERROR(INDEX(MonitorRent!C:D, MATCH(F1409 &amp; " " &amp; G1409, MonitorRent!A:A &amp; " " &amp; MonitorRent!B:B, 0)), "")</f>
        <v/>
      </c>
      <c r="R1409" s="295"/>
    </row>
    <row r="1410">
      <c r="A1410" s="284">
        <v>1407.0</v>
      </c>
      <c r="B1410" s="285" t="s">
        <v>15486</v>
      </c>
      <c r="C1410" s="285" t="s">
        <v>6918</v>
      </c>
      <c r="D1410" s="286" t="s">
        <v>14926</v>
      </c>
      <c r="E1410" s="285" t="s">
        <v>6921</v>
      </c>
      <c r="F1410" s="285" t="s">
        <v>15487</v>
      </c>
      <c r="G1410" s="285" t="s">
        <v>15488</v>
      </c>
      <c r="H1410" s="285" t="s">
        <v>11289</v>
      </c>
      <c r="I1410" s="285" t="s">
        <v>15489</v>
      </c>
      <c r="J1410" s="285" t="s">
        <v>5012</v>
      </c>
      <c r="K1410" s="285" t="s">
        <v>6322</v>
      </c>
      <c r="L1410" s="285" t="s">
        <v>13057</v>
      </c>
      <c r="M1410" s="285" t="s">
        <v>9383</v>
      </c>
      <c r="N1410" s="287" t="str">
        <f>IFERROR(
    IF(
        AND(
            VLOOKUP(B1410, 'รายชื่อพนักงานลาออกพ้นสภาพ'!B:I, 8, FALSE)&lt;&gt;"ยกเลิกลาออก",
            VLOOKUP(B1410, 'รายชื่อพนักงานลาออกพ้นสภาพ'!B:I, 7, FALSE)&lt;=TODAY()
        ),
        "ลาออกแล้ว",
        ""
    ),
"")</f>
        <v/>
      </c>
      <c r="O1410" s="292" t="str">
        <f t="array" ref="O1410">IFERROR(INDEX(PCRent!C:D, MATCH(F1410 &amp; " " &amp; G1410, PCRent!A:A &amp; " " &amp; PCRent!B:B, 0)), "")</f>
        <v/>
      </c>
      <c r="P1410" s="293"/>
      <c r="Q1410" s="294" t="str">
        <f t="array" ref="Q1410">IFERROR(INDEX(MonitorRent!C:D, MATCH(F1410 &amp; " " &amp; G1410, MonitorRent!A:A &amp; " " &amp; MonitorRent!B:B, 0)), "")</f>
        <v/>
      </c>
      <c r="R1410" s="295"/>
    </row>
    <row r="1411">
      <c r="A1411" s="284">
        <v>1408.0</v>
      </c>
      <c r="B1411" s="285" t="s">
        <v>15490</v>
      </c>
      <c r="C1411" s="285" t="s">
        <v>6918</v>
      </c>
      <c r="D1411" s="286" t="s">
        <v>15014</v>
      </c>
      <c r="E1411" s="285" t="s">
        <v>6933</v>
      </c>
      <c r="F1411" s="285" t="s">
        <v>11909</v>
      </c>
      <c r="G1411" s="285" t="s">
        <v>15491</v>
      </c>
      <c r="H1411" s="285" t="s">
        <v>10491</v>
      </c>
      <c r="I1411" s="285" t="s">
        <v>15492</v>
      </c>
      <c r="J1411" s="285" t="s">
        <v>5012</v>
      </c>
      <c r="K1411" s="285" t="s">
        <v>9474</v>
      </c>
      <c r="L1411" s="285" t="s">
        <v>13273</v>
      </c>
      <c r="M1411" s="285" t="s">
        <v>9383</v>
      </c>
      <c r="N1411" s="287" t="str">
        <f>IFERROR(
    IF(
        AND(
            VLOOKUP(B1411, 'รายชื่อพนักงานลาออกพ้นสภาพ'!B:I, 8, FALSE)&lt;&gt;"ยกเลิกลาออก",
            VLOOKUP(B1411, 'รายชื่อพนักงานลาออกพ้นสภาพ'!B:I, 7, FALSE)&lt;=TODAY()
        ),
        "ลาออกแล้ว",
        ""
    ),
"")</f>
        <v/>
      </c>
      <c r="O1411" s="292" t="str">
        <f t="array" ref="O1411">IFERROR(INDEX(PCRent!C:D, MATCH(F1411 &amp; " " &amp; G1411, PCRent!A:A &amp; " " &amp; PCRent!B:B, 0)), "")</f>
        <v/>
      </c>
      <c r="P1411" s="293"/>
      <c r="Q1411" s="294" t="str">
        <f t="array" ref="Q1411">IFERROR(INDEX(MonitorRent!C:D, MATCH(F1411 &amp; " " &amp; G1411, MonitorRent!A:A &amp; " " &amp; MonitorRent!B:B, 0)), "")</f>
        <v/>
      </c>
      <c r="R1411" s="295"/>
    </row>
    <row r="1412">
      <c r="A1412" s="284">
        <v>1409.0</v>
      </c>
      <c r="B1412" s="285" t="s">
        <v>15493</v>
      </c>
      <c r="C1412" s="285" t="s">
        <v>6918</v>
      </c>
      <c r="D1412" s="286" t="s">
        <v>10758</v>
      </c>
      <c r="E1412" s="285" t="s">
        <v>6933</v>
      </c>
      <c r="F1412" s="285" t="s">
        <v>15494</v>
      </c>
      <c r="G1412" s="285" t="s">
        <v>15495</v>
      </c>
      <c r="H1412" s="285" t="s">
        <v>9691</v>
      </c>
      <c r="I1412" s="285" t="s">
        <v>15496</v>
      </c>
      <c r="J1412" s="285" t="s">
        <v>5012</v>
      </c>
      <c r="K1412" s="285" t="s">
        <v>9560</v>
      </c>
      <c r="L1412" s="285" t="s">
        <v>3680</v>
      </c>
      <c r="M1412" s="285" t="s">
        <v>9383</v>
      </c>
      <c r="N1412" s="287" t="str">
        <f>IFERROR(
    IF(
        AND(
            VLOOKUP(B1412, 'รายชื่อพนักงานลาออกพ้นสภาพ'!B:I, 8, FALSE)&lt;&gt;"ยกเลิกลาออก",
            VLOOKUP(B1412, 'รายชื่อพนักงานลาออกพ้นสภาพ'!B:I, 7, FALSE)&lt;=TODAY()
        ),
        "ลาออกแล้ว",
        ""
    ),
"")</f>
        <v/>
      </c>
      <c r="O1412" s="292" t="str">
        <f t="array" ref="O1412">IFERROR(INDEX(PCRent!C:D, MATCH(F1412 &amp; " " &amp; G1412, PCRent!A:A &amp; " " &amp; PCRent!B:B, 0)), "")</f>
        <v/>
      </c>
      <c r="P1412" s="293"/>
      <c r="Q1412" s="294" t="str">
        <f t="array" ref="Q1412">IFERROR(INDEX(MonitorRent!C:D, MATCH(F1412 &amp; " " &amp; G1412, MonitorRent!A:A &amp; " " &amp; MonitorRent!B:B, 0)), "")</f>
        <v/>
      </c>
      <c r="R1412" s="295"/>
    </row>
    <row r="1413">
      <c r="A1413" s="284">
        <v>1410.0</v>
      </c>
      <c r="B1413" s="285" t="s">
        <v>7724</v>
      </c>
      <c r="C1413" s="285" t="s">
        <v>6918</v>
      </c>
      <c r="D1413" s="286" t="s">
        <v>15497</v>
      </c>
      <c r="E1413" s="285" t="s">
        <v>7097</v>
      </c>
      <c r="F1413" s="285" t="s">
        <v>15498</v>
      </c>
      <c r="G1413" s="285" t="s">
        <v>15499</v>
      </c>
      <c r="H1413" s="285" t="s">
        <v>15498</v>
      </c>
      <c r="I1413" s="285" t="s">
        <v>15500</v>
      </c>
      <c r="J1413" s="285" t="s">
        <v>5224</v>
      </c>
      <c r="K1413" s="285" t="s">
        <v>4756</v>
      </c>
      <c r="L1413" s="285" t="s">
        <v>15501</v>
      </c>
      <c r="M1413" s="285" t="s">
        <v>9383</v>
      </c>
      <c r="N1413" s="287" t="str">
        <f>IFERROR(
    IF(
        AND(
            VLOOKUP(B1413, 'รายชื่อพนักงานลาออกพ้นสภาพ'!B:I, 8, FALSE)&lt;&gt;"ยกเลิกลาออก",
            VLOOKUP(B1413, 'รายชื่อพนักงานลาออกพ้นสภาพ'!B:I, 7, FALSE)&lt;=TODAY()
        ),
        "ลาออกแล้ว",
        ""
    ),
"")</f>
        <v/>
      </c>
      <c r="O1413" s="292" t="str">
        <f t="array" ref="O1413">IFERROR(INDEX(PCRent!C:D, MATCH(F1413 &amp; " " &amp; G1413, PCRent!A:A &amp; " " &amp; PCRent!B:B, 0)), "")</f>
        <v/>
      </c>
      <c r="P1413" s="293"/>
      <c r="Q1413" s="294" t="str">
        <f t="array" ref="Q1413">IFERROR(INDEX(MonitorRent!C:D, MATCH(F1413 &amp; " " &amp; G1413, MonitorRent!A:A &amp; " " &amp; MonitorRent!B:B, 0)), "")</f>
        <v/>
      </c>
      <c r="R1413" s="295"/>
    </row>
    <row r="1414">
      <c r="A1414" s="284">
        <v>1411.0</v>
      </c>
      <c r="B1414" s="285" t="s">
        <v>15502</v>
      </c>
      <c r="C1414" s="285" t="s">
        <v>6918</v>
      </c>
      <c r="D1414" s="286" t="s">
        <v>13176</v>
      </c>
      <c r="E1414" s="285" t="s">
        <v>6933</v>
      </c>
      <c r="F1414" s="285" t="s">
        <v>11920</v>
      </c>
      <c r="G1414" s="285" t="s">
        <v>15503</v>
      </c>
      <c r="H1414" s="285" t="s">
        <v>15504</v>
      </c>
      <c r="I1414" s="285" t="s">
        <v>15505</v>
      </c>
      <c r="J1414" s="285" t="s">
        <v>5012</v>
      </c>
      <c r="K1414" s="285" t="s">
        <v>15305</v>
      </c>
      <c r="L1414" s="285" t="s">
        <v>13067</v>
      </c>
      <c r="M1414" s="285" t="s">
        <v>9383</v>
      </c>
      <c r="N1414" s="287" t="str">
        <f>IFERROR(
    IF(
        AND(
            VLOOKUP(B1414, 'รายชื่อพนักงานลาออกพ้นสภาพ'!B:I, 8, FALSE)&lt;&gt;"ยกเลิกลาออก",
            VLOOKUP(B1414, 'รายชื่อพนักงานลาออกพ้นสภาพ'!B:I, 7, FALSE)&lt;=TODAY()
        ),
        "ลาออกแล้ว",
        ""
    ),
"")</f>
        <v/>
      </c>
      <c r="O1414" s="292" t="str">
        <f t="array" ref="O1414">IFERROR(INDEX(PCRent!C:D, MATCH(F1414 &amp; " " &amp; G1414, PCRent!A:A &amp; " " &amp; PCRent!B:B, 0)), "")</f>
        <v/>
      </c>
      <c r="P1414" s="293"/>
      <c r="Q1414" s="294" t="str">
        <f t="array" ref="Q1414">IFERROR(INDEX(MonitorRent!C:D, MATCH(F1414 &amp; " " &amp; G1414, MonitorRent!A:A &amp; " " &amp; MonitorRent!B:B, 0)), "")</f>
        <v/>
      </c>
      <c r="R1414" s="295"/>
    </row>
    <row r="1415">
      <c r="A1415" s="284">
        <v>1412.0</v>
      </c>
      <c r="B1415" s="285" t="s">
        <v>7720</v>
      </c>
      <c r="C1415" s="285" t="s">
        <v>6918</v>
      </c>
      <c r="D1415" s="286" t="s">
        <v>10303</v>
      </c>
      <c r="E1415" s="285" t="s">
        <v>6933</v>
      </c>
      <c r="F1415" s="285" t="s">
        <v>11920</v>
      </c>
      <c r="G1415" s="285" t="s">
        <v>15506</v>
      </c>
      <c r="H1415" s="285" t="s">
        <v>10732</v>
      </c>
      <c r="I1415" s="285" t="s">
        <v>15507</v>
      </c>
      <c r="J1415" s="285" t="s">
        <v>5224</v>
      </c>
      <c r="K1415" s="285" t="s">
        <v>12717</v>
      </c>
      <c r="L1415" s="285" t="s">
        <v>2716</v>
      </c>
      <c r="M1415" s="285" t="s">
        <v>9383</v>
      </c>
      <c r="N1415" s="287" t="str">
        <f>IFERROR(
    IF(
        AND(
            VLOOKUP(B1415, 'รายชื่อพนักงานลาออกพ้นสภาพ'!B:I, 8, FALSE)&lt;&gt;"ยกเลิกลาออก",
            VLOOKUP(B1415, 'รายชื่อพนักงานลาออกพ้นสภาพ'!B:I, 7, FALSE)&lt;=TODAY()
        ),
        "ลาออกแล้ว",
        ""
    ),
"")</f>
        <v/>
      </c>
      <c r="O1415" s="292" t="str">
        <f t="array" ref="O1415">IFERROR(INDEX(PCRent!C:D, MATCH(F1415 &amp; " " &amp; G1415, PCRent!A:A &amp; " " &amp; PCRent!B:B, 0)), "")</f>
        <v/>
      </c>
      <c r="P1415" s="293"/>
      <c r="Q1415" s="294" t="str">
        <f t="array" ref="Q1415">IFERROR(INDEX(MonitorRent!C:D, MATCH(F1415 &amp; " " &amp; G1415, MonitorRent!A:A &amp; " " &amp; MonitorRent!B:B, 0)), "")</f>
        <v/>
      </c>
      <c r="R1415" s="295"/>
    </row>
    <row r="1416">
      <c r="A1416" s="284">
        <v>1413.0</v>
      </c>
      <c r="B1416" s="285" t="s">
        <v>15508</v>
      </c>
      <c r="C1416" s="285" t="s">
        <v>6918</v>
      </c>
      <c r="D1416" s="286" t="s">
        <v>10978</v>
      </c>
      <c r="E1416" s="285" t="s">
        <v>6933</v>
      </c>
      <c r="F1416" s="285" t="s">
        <v>15509</v>
      </c>
      <c r="G1416" s="285" t="s">
        <v>15510</v>
      </c>
      <c r="H1416" s="285" t="s">
        <v>11474</v>
      </c>
      <c r="I1416" s="285" t="s">
        <v>15511</v>
      </c>
      <c r="J1416" s="285" t="s">
        <v>5012</v>
      </c>
      <c r="K1416" s="285" t="s">
        <v>9474</v>
      </c>
      <c r="L1416" s="285" t="s">
        <v>9734</v>
      </c>
      <c r="M1416" s="285" t="s">
        <v>9383</v>
      </c>
      <c r="N1416" s="287" t="str">
        <f>IFERROR(
    IF(
        AND(
            VLOOKUP(B1416, 'รายชื่อพนักงานลาออกพ้นสภาพ'!B:I, 8, FALSE)&lt;&gt;"ยกเลิกลาออก",
            VLOOKUP(B1416, 'รายชื่อพนักงานลาออกพ้นสภาพ'!B:I, 7, FALSE)&lt;=TODAY()
        ),
        "ลาออกแล้ว",
        ""
    ),
"")</f>
        <v/>
      </c>
      <c r="O1416" s="292" t="str">
        <f t="array" ref="O1416">IFERROR(INDEX(PCRent!C:D, MATCH(F1416 &amp; " " &amp; G1416, PCRent!A:A &amp; " " &amp; PCRent!B:B, 0)), "")</f>
        <v/>
      </c>
      <c r="P1416" s="293"/>
      <c r="Q1416" s="294" t="str">
        <f t="array" ref="Q1416">IFERROR(INDEX(MonitorRent!C:D, MATCH(F1416 &amp; " " &amp; G1416, MonitorRent!A:A &amp; " " &amp; MonitorRent!B:B, 0)), "")</f>
        <v/>
      </c>
      <c r="R1416" s="295"/>
    </row>
    <row r="1417">
      <c r="A1417" s="284">
        <v>1414.0</v>
      </c>
      <c r="B1417" s="285" t="s">
        <v>15512</v>
      </c>
      <c r="C1417" s="285" t="s">
        <v>6918</v>
      </c>
      <c r="D1417" s="286" t="s">
        <v>15513</v>
      </c>
      <c r="E1417" s="285" t="s">
        <v>6921</v>
      </c>
      <c r="F1417" s="285" t="s">
        <v>15514</v>
      </c>
      <c r="G1417" s="285" t="s">
        <v>15515</v>
      </c>
      <c r="H1417" s="285" t="s">
        <v>15516</v>
      </c>
      <c r="I1417" s="285" t="s">
        <v>15517</v>
      </c>
      <c r="J1417" s="285" t="s">
        <v>5224</v>
      </c>
      <c r="K1417" s="285" t="s">
        <v>13769</v>
      </c>
      <c r="L1417" s="285" t="s">
        <v>3041</v>
      </c>
      <c r="M1417" s="285" t="s">
        <v>9383</v>
      </c>
      <c r="N1417" s="287" t="str">
        <f>IFERROR(
    IF(
        AND(
            VLOOKUP(B1417, 'รายชื่อพนักงานลาออกพ้นสภาพ'!B:I, 8, FALSE)&lt;&gt;"ยกเลิกลาออก",
            VLOOKUP(B1417, 'รายชื่อพนักงานลาออกพ้นสภาพ'!B:I, 7, FALSE)&lt;=TODAY()
        ),
        "ลาออกแล้ว",
        ""
    ),
"")</f>
        <v/>
      </c>
      <c r="O1417" s="292" t="str">
        <f t="array" ref="O1417">IFERROR(INDEX(PCRent!C:D, MATCH(F1417 &amp; " " &amp; G1417, PCRent!A:A &amp; " " &amp; PCRent!B:B, 0)), "")</f>
        <v/>
      </c>
      <c r="P1417" s="293"/>
      <c r="Q1417" s="294" t="str">
        <f t="array" ref="Q1417">IFERROR(INDEX(MonitorRent!C:D, MATCH(F1417 &amp; " " &amp; G1417, MonitorRent!A:A &amp; " " &amp; MonitorRent!B:B, 0)), "")</f>
        <v/>
      </c>
      <c r="R1417" s="295"/>
    </row>
    <row r="1418">
      <c r="A1418" s="284">
        <v>1415.0</v>
      </c>
      <c r="B1418" s="285" t="s">
        <v>15518</v>
      </c>
      <c r="C1418" s="285" t="s">
        <v>6918</v>
      </c>
      <c r="D1418" s="286" t="s">
        <v>10729</v>
      </c>
      <c r="E1418" s="285" t="s">
        <v>6921</v>
      </c>
      <c r="F1418" s="285" t="s">
        <v>15514</v>
      </c>
      <c r="G1418" s="285" t="s">
        <v>15519</v>
      </c>
      <c r="H1418" s="285" t="s">
        <v>15516</v>
      </c>
      <c r="I1418" s="285" t="s">
        <v>5248</v>
      </c>
      <c r="J1418" s="285" t="s">
        <v>5012</v>
      </c>
      <c r="K1418" s="285" t="s">
        <v>6322</v>
      </c>
      <c r="L1418" s="285" t="s">
        <v>795</v>
      </c>
      <c r="M1418" s="285" t="s">
        <v>9383</v>
      </c>
      <c r="N1418" s="287" t="str">
        <f>IFERROR(
    IF(
        AND(
            VLOOKUP(B1418, 'รายชื่อพนักงานลาออกพ้นสภาพ'!B:I, 8, FALSE)&lt;&gt;"ยกเลิกลาออก",
            VLOOKUP(B1418, 'รายชื่อพนักงานลาออกพ้นสภาพ'!B:I, 7, FALSE)&lt;=TODAY()
        ),
        "ลาออกแล้ว",
        ""
    ),
"")</f>
        <v/>
      </c>
      <c r="O1418" s="292" t="str">
        <f t="array" ref="O1418:P1418">IFERROR(INDEX(PCRent!C:D, MATCH(F1418 &amp; " " &amp; G1418, PCRent!A:A &amp; " " &amp; PCRent!B:B, 0)), "")</f>
        <v>SN:MP2DGHYP</v>
      </c>
      <c r="P1418" s="293" t="s">
        <v>13394</v>
      </c>
      <c r="Q1418" s="294" t="str">
        <f t="array" ref="Q1418">IFERROR(INDEX(MonitorRent!C:D, MATCH(F1418 &amp; " " &amp; G1418, MonitorRent!A:A &amp; " " &amp; MonitorRent!B:B, 0)), "")</f>
        <v/>
      </c>
      <c r="R1418" s="295"/>
    </row>
    <row r="1419">
      <c r="A1419" s="284">
        <v>1416.0</v>
      </c>
      <c r="B1419" s="285" t="s">
        <v>4867</v>
      </c>
      <c r="C1419" s="285" t="s">
        <v>6918</v>
      </c>
      <c r="D1419" s="286" t="s">
        <v>10303</v>
      </c>
      <c r="E1419" s="285" t="s">
        <v>6933</v>
      </c>
      <c r="F1419" s="285" t="s">
        <v>15520</v>
      </c>
      <c r="G1419" s="285" t="s">
        <v>15521</v>
      </c>
      <c r="H1419" s="285" t="s">
        <v>10952</v>
      </c>
      <c r="I1419" s="285" t="s">
        <v>4868</v>
      </c>
      <c r="J1419" s="285" t="s">
        <v>5224</v>
      </c>
      <c r="K1419" s="285" t="s">
        <v>4853</v>
      </c>
      <c r="L1419" s="285" t="s">
        <v>2177</v>
      </c>
      <c r="M1419" s="285" t="s">
        <v>9383</v>
      </c>
      <c r="N1419" s="287" t="str">
        <f>IFERROR(
    IF(
        AND(
            VLOOKUP(B1419, 'รายชื่อพนักงานลาออกพ้นสภาพ'!B:I, 8, FALSE)&lt;&gt;"ยกเลิกลาออก",
            VLOOKUP(B1419, 'รายชื่อพนักงานลาออกพ้นสภาพ'!B:I, 7, FALSE)&lt;=TODAY()
        ),
        "ลาออกแล้ว",
        ""
    ),
"")</f>
        <v/>
      </c>
      <c r="O1419" s="292" t="str">
        <f t="array" ref="O1419">IFERROR(INDEX(PCRent!C:D, MATCH(F1419 &amp; " " &amp; G1419, PCRent!A:A &amp; " " &amp; PCRent!B:B, 0)), "")</f>
        <v/>
      </c>
      <c r="P1419" s="293"/>
      <c r="Q1419" s="294" t="str">
        <f t="array" ref="Q1419">IFERROR(INDEX(MonitorRent!C:D, MATCH(F1419 &amp; " " &amp; G1419, MonitorRent!A:A &amp; " " &amp; MonitorRent!B:B, 0)), "")</f>
        <v/>
      </c>
      <c r="R1419" s="295"/>
    </row>
    <row r="1420">
      <c r="A1420" s="284">
        <v>1417.0</v>
      </c>
      <c r="B1420" s="285" t="s">
        <v>15522</v>
      </c>
      <c r="C1420" s="285" t="s">
        <v>6918</v>
      </c>
      <c r="D1420" s="286" t="s">
        <v>13146</v>
      </c>
      <c r="E1420" s="285" t="s">
        <v>6921</v>
      </c>
      <c r="F1420" s="285" t="s">
        <v>10098</v>
      </c>
      <c r="G1420" s="285" t="s">
        <v>15523</v>
      </c>
      <c r="H1420" s="285" t="s">
        <v>9654</v>
      </c>
      <c r="I1420" s="285" t="s">
        <v>15524</v>
      </c>
      <c r="J1420" s="285" t="s">
        <v>5012</v>
      </c>
      <c r="K1420" s="285" t="s">
        <v>9703</v>
      </c>
      <c r="L1420" s="285" t="s">
        <v>795</v>
      </c>
      <c r="M1420" s="285" t="s">
        <v>9383</v>
      </c>
      <c r="N1420" s="287" t="str">
        <f>IFERROR(
    IF(
        AND(
            VLOOKUP(B1420, 'รายชื่อพนักงานลาออกพ้นสภาพ'!B:I, 8, FALSE)&lt;&gt;"ยกเลิกลาออก",
            VLOOKUP(B1420, 'รายชื่อพนักงานลาออกพ้นสภาพ'!B:I, 7, FALSE)&lt;=TODAY()
        ),
        "ลาออกแล้ว",
        ""
    ),
"")</f>
        <v/>
      </c>
      <c r="O1420" s="292" t="str">
        <f t="array" ref="O1420:P1420">IFERROR(INDEX(PCRent!C:D, MATCH(F1420 &amp; " " &amp; G1420, PCRent!A:A &amp; " " &amp; PCRent!B:B, 0)), "")</f>
        <v>SN:MP2E0P88</v>
      </c>
      <c r="P1420" s="293" t="s">
        <v>7357</v>
      </c>
      <c r="Q1420" s="294" t="str">
        <f t="array" ref="Q1420">IFERROR(INDEX(MonitorRent!C:D, MATCH(F1420 &amp; " " &amp; G1420, MonitorRent!A:A &amp; " " &amp; MonitorRent!B:B, 0)), "")</f>
        <v/>
      </c>
      <c r="R1420" s="295"/>
    </row>
    <row r="1421">
      <c r="A1421" s="284">
        <v>1418.0</v>
      </c>
      <c r="B1421" s="285" t="s">
        <v>15525</v>
      </c>
      <c r="C1421" s="285" t="s">
        <v>6918</v>
      </c>
      <c r="D1421" s="286" t="s">
        <v>10063</v>
      </c>
      <c r="E1421" s="285" t="s">
        <v>6921</v>
      </c>
      <c r="F1421" s="285" t="s">
        <v>10098</v>
      </c>
      <c r="G1421" s="285" t="s">
        <v>15526</v>
      </c>
      <c r="H1421" s="285" t="s">
        <v>12025</v>
      </c>
      <c r="I1421" s="285" t="s">
        <v>15527</v>
      </c>
      <c r="J1421" s="285" t="s">
        <v>5224</v>
      </c>
      <c r="K1421" s="285" t="s">
        <v>4749</v>
      </c>
      <c r="L1421" s="285" t="s">
        <v>13682</v>
      </c>
      <c r="M1421" s="285" t="s">
        <v>9391</v>
      </c>
      <c r="N1421" s="287" t="str">
        <f>IFERROR(
    IF(
        AND(
            VLOOKUP(B1421, 'รายชื่อพนักงานลาออกพ้นสภาพ'!B:I, 8, FALSE)&lt;&gt;"ยกเลิกลาออก",
            VLOOKUP(B1421, 'รายชื่อพนักงานลาออกพ้นสภาพ'!B:I, 7, FALSE)&lt;=TODAY()
        ),
        "ลาออกแล้ว",
        ""
    ),
"")</f>
        <v/>
      </c>
      <c r="O1421" s="292" t="str">
        <f t="array" ref="O1421:P1421">IFERROR(INDEX(PCRent!C:D, MATCH(F1421 &amp; " " &amp; G1421, PCRent!A:A &amp; " " &amp; PCRent!B:B, 0)), "")</f>
        <v>SN:MP2EHH34</v>
      </c>
      <c r="P1421" s="293" t="s">
        <v>6993</v>
      </c>
      <c r="Q1421" s="294" t="str">
        <f t="array" ref="Q1421">IFERROR(INDEX(MonitorRent!C:D, MATCH(F1421 &amp; " " &amp; G1421, MonitorRent!A:A &amp; " " &amp; MonitorRent!B:B, 0)), "")</f>
        <v/>
      </c>
      <c r="R1421" s="295"/>
    </row>
    <row r="1422">
      <c r="A1422" s="284">
        <v>1419.0</v>
      </c>
      <c r="B1422" s="285" t="s">
        <v>9091</v>
      </c>
      <c r="C1422" s="285" t="s">
        <v>6918</v>
      </c>
      <c r="D1422" s="286" t="s">
        <v>11767</v>
      </c>
      <c r="E1422" s="285" t="s">
        <v>6921</v>
      </c>
      <c r="F1422" s="285" t="s">
        <v>15528</v>
      </c>
      <c r="G1422" s="285" t="s">
        <v>15529</v>
      </c>
      <c r="H1422" s="285" t="s">
        <v>13310</v>
      </c>
      <c r="I1422" s="285" t="s">
        <v>15530</v>
      </c>
      <c r="J1422" s="285" t="s">
        <v>5224</v>
      </c>
      <c r="K1422" s="285" t="s">
        <v>4749</v>
      </c>
      <c r="L1422" s="285" t="s">
        <v>15531</v>
      </c>
      <c r="M1422" s="285" t="s">
        <v>9383</v>
      </c>
      <c r="N1422" s="287" t="str">
        <f>IFERROR(
    IF(
        AND(
            VLOOKUP(B1422, 'รายชื่อพนักงานลาออกพ้นสภาพ'!B:I, 8, FALSE)&lt;&gt;"ยกเลิกลาออก",
            VLOOKUP(B1422, 'รายชื่อพนักงานลาออกพ้นสภาพ'!B:I, 7, FALSE)&lt;=TODAY()
        ),
        "ลาออกแล้ว",
        ""
    ),
"")</f>
        <v/>
      </c>
      <c r="O1422" s="292" t="str">
        <f t="array" ref="O1422:P1422">IFERROR(INDEX(PCRent!C:D, MATCH(F1422 &amp; " " &amp; G1422, PCRent!A:A &amp; " " &amp; PCRent!B:B, 0)), "")</f>
        <v>SN:MP2EJ0MN</v>
      </c>
      <c r="P1422" s="293" t="s">
        <v>6993</v>
      </c>
      <c r="Q1422" s="294" t="str">
        <f t="array" ref="Q1422">IFERROR(INDEX(MonitorRent!C:D, MATCH(F1422 &amp; " " &amp; G1422, MonitorRent!A:A &amp; " " &amp; MonitorRent!B:B, 0)), "")</f>
        <v/>
      </c>
      <c r="R1422" s="295"/>
    </row>
    <row r="1423">
      <c r="A1423" s="284">
        <v>1420.0</v>
      </c>
      <c r="B1423" s="285" t="s">
        <v>4966</v>
      </c>
      <c r="C1423" s="285" t="s">
        <v>6918</v>
      </c>
      <c r="D1423" s="286" t="s">
        <v>15532</v>
      </c>
      <c r="E1423" s="285" t="s">
        <v>6933</v>
      </c>
      <c r="F1423" s="285" t="s">
        <v>15533</v>
      </c>
      <c r="G1423" s="285" t="s">
        <v>15534</v>
      </c>
      <c r="H1423" s="285" t="s">
        <v>11101</v>
      </c>
      <c r="I1423" s="285" t="s">
        <v>4967</v>
      </c>
      <c r="J1423" s="285" t="s">
        <v>5224</v>
      </c>
      <c r="K1423" s="285" t="s">
        <v>2062</v>
      </c>
      <c r="L1423" s="285" t="s">
        <v>1349</v>
      </c>
      <c r="M1423" s="285" t="s">
        <v>9383</v>
      </c>
      <c r="N1423" s="287" t="str">
        <f>IFERROR(
    IF(
        AND(
            VLOOKUP(B1423, 'รายชื่อพนักงานลาออกพ้นสภาพ'!B:I, 8, FALSE)&lt;&gt;"ยกเลิกลาออก",
            VLOOKUP(B1423, 'รายชื่อพนักงานลาออกพ้นสภาพ'!B:I, 7, FALSE)&lt;=TODAY()
        ),
        "ลาออกแล้ว",
        ""
    ),
"")</f>
        <v/>
      </c>
      <c r="O1423" s="292" t="str">
        <f t="array" ref="O1423:P1423">IFERROR(INDEX(PCRent!C:D, MATCH(F1423 &amp; " " &amp; G1423, PCRent!A:A &amp; " " &amp; PCRent!B:B, 0)), "")</f>
        <v>SN:MP2ESZZ5</v>
      </c>
      <c r="P1423" s="293" t="s">
        <v>7070</v>
      </c>
      <c r="Q1423" s="294" t="str">
        <f t="array" ref="Q1423">IFERROR(INDEX(MonitorRent!C:D, MATCH(F1423 &amp; " " &amp; G1423, MonitorRent!A:A &amp; " " &amp; MonitorRent!B:B, 0)), "")</f>
        <v/>
      </c>
      <c r="R1423" s="295"/>
    </row>
    <row r="1424">
      <c r="A1424" s="284">
        <v>1421.0</v>
      </c>
      <c r="B1424" s="285" t="s">
        <v>8305</v>
      </c>
      <c r="C1424" s="285" t="s">
        <v>6918</v>
      </c>
      <c r="D1424" s="286" t="s">
        <v>10553</v>
      </c>
      <c r="E1424" s="285" t="s">
        <v>6933</v>
      </c>
      <c r="F1424" s="285" t="s">
        <v>15535</v>
      </c>
      <c r="G1424" s="285" t="s">
        <v>15536</v>
      </c>
      <c r="H1424" s="285" t="s">
        <v>15537</v>
      </c>
      <c r="I1424" s="285" t="s">
        <v>15538</v>
      </c>
      <c r="J1424" s="285" t="s">
        <v>5224</v>
      </c>
      <c r="K1424" s="285" t="s">
        <v>1363</v>
      </c>
      <c r="L1424" s="285" t="s">
        <v>2730</v>
      </c>
      <c r="M1424" s="285" t="s">
        <v>9383</v>
      </c>
      <c r="N1424" s="287" t="str">
        <f>IFERROR(
    IF(
        AND(
            VLOOKUP(B1424, 'รายชื่อพนักงานลาออกพ้นสภาพ'!B:I, 8, FALSE)&lt;&gt;"ยกเลิกลาออก",
            VLOOKUP(B1424, 'รายชื่อพนักงานลาออกพ้นสภาพ'!B:I, 7, FALSE)&lt;=TODAY()
        ),
        "ลาออกแล้ว",
        ""
    ),
"")</f>
        <v/>
      </c>
      <c r="O1424" s="292" t="str">
        <f t="array" ref="O1424">IFERROR(INDEX(PCRent!C:D, MATCH(F1424 &amp; " " &amp; G1424, PCRent!A:A &amp; " " &amp; PCRent!B:B, 0)), "")</f>
        <v/>
      </c>
      <c r="P1424" s="293"/>
      <c r="Q1424" s="294" t="str">
        <f t="array" ref="Q1424">IFERROR(INDEX(MonitorRent!C:D, MATCH(F1424 &amp; " " &amp; G1424, MonitorRent!A:A &amp; " " &amp; MonitorRent!B:B, 0)), "")</f>
        <v/>
      </c>
      <c r="R1424" s="295"/>
    </row>
    <row r="1425">
      <c r="A1425" s="284">
        <v>1422.0</v>
      </c>
      <c r="B1425" s="285" t="s">
        <v>6953</v>
      </c>
      <c r="C1425" s="285" t="s">
        <v>6918</v>
      </c>
      <c r="D1425" s="286" t="s">
        <v>12365</v>
      </c>
      <c r="E1425" s="285" t="s">
        <v>6933</v>
      </c>
      <c r="F1425" s="285" t="s">
        <v>15535</v>
      </c>
      <c r="G1425" s="285" t="s">
        <v>15539</v>
      </c>
      <c r="H1425" s="285" t="s">
        <v>11916</v>
      </c>
      <c r="I1425" s="285" t="s">
        <v>15540</v>
      </c>
      <c r="J1425" s="285" t="s">
        <v>5224</v>
      </c>
      <c r="K1425" s="285" t="s">
        <v>15541</v>
      </c>
      <c r="L1425" s="285" t="s">
        <v>6949</v>
      </c>
      <c r="M1425" s="285" t="s">
        <v>9383</v>
      </c>
      <c r="N1425" s="287" t="str">
        <f>IFERROR(
    IF(
        AND(
            VLOOKUP(B1425, 'รายชื่อพนักงานลาออกพ้นสภาพ'!B:I, 8, FALSE)&lt;&gt;"ยกเลิกลาออก",
            VLOOKUP(B1425, 'รายชื่อพนักงานลาออกพ้นสภาพ'!B:I, 7, FALSE)&lt;=TODAY()
        ),
        "ลาออกแล้ว",
        ""
    ),
"")</f>
        <v/>
      </c>
      <c r="O1425" s="292" t="str">
        <f t="array" ref="O1425:P1425">IFERROR(INDEX(PCRent!C:D, MATCH(F1425 &amp; " " &amp; G1425, PCRent!A:A &amp; " " &amp; PCRent!B:B, 0)), "")</f>
        <v>SN:7RNJKX3</v>
      </c>
      <c r="P1425" s="293" t="s">
        <v>7299</v>
      </c>
      <c r="Q1425" s="294" t="str">
        <f t="array" ref="Q1425">IFERROR(INDEX(MonitorRent!C:D, MATCH(F1425 &amp; " " &amp; G1425, MonitorRent!A:A &amp; " " &amp; MonitorRent!B:B, 0)), "")</f>
        <v/>
      </c>
      <c r="R1425" s="295"/>
    </row>
    <row r="1426">
      <c r="A1426" s="284">
        <v>1423.0</v>
      </c>
      <c r="B1426" s="285" t="s">
        <v>15542</v>
      </c>
      <c r="C1426" s="285" t="s">
        <v>6918</v>
      </c>
      <c r="D1426" s="286" t="s">
        <v>15543</v>
      </c>
      <c r="E1426" s="285" t="s">
        <v>6933</v>
      </c>
      <c r="F1426" s="285" t="s">
        <v>11934</v>
      </c>
      <c r="G1426" s="285" t="s">
        <v>15544</v>
      </c>
      <c r="H1426" s="285" t="s">
        <v>10323</v>
      </c>
      <c r="I1426" s="285" t="s">
        <v>15545</v>
      </c>
      <c r="J1426" s="285" t="s">
        <v>5012</v>
      </c>
      <c r="K1426" s="285" t="s">
        <v>9633</v>
      </c>
      <c r="L1426" s="285" t="s">
        <v>13020</v>
      </c>
      <c r="M1426" s="285" t="s">
        <v>9383</v>
      </c>
      <c r="N1426" s="287" t="str">
        <f>IFERROR(
    IF(
        AND(
            VLOOKUP(B1426, 'รายชื่อพนักงานลาออกพ้นสภาพ'!B:I, 8, FALSE)&lt;&gt;"ยกเลิกลาออก",
            VLOOKUP(B1426, 'รายชื่อพนักงานลาออกพ้นสภาพ'!B:I, 7, FALSE)&lt;=TODAY()
        ),
        "ลาออกแล้ว",
        ""
    ),
"")</f>
        <v/>
      </c>
      <c r="O1426" s="292" t="str">
        <f t="array" ref="O1426:P1426">IFERROR(INDEX(PCRent!C:D, MATCH(F1426 &amp; " " &amp; G1426, PCRent!A:A &amp; " " &amp; PCRent!B:B, 0)), "")</f>
        <v>SN:PF39FJR0</v>
      </c>
      <c r="P1426" s="293" t="s">
        <v>7005</v>
      </c>
      <c r="Q1426" s="294" t="str">
        <f t="array" ref="Q1426">IFERROR(INDEX(MonitorRent!C:D, MATCH(F1426 &amp; " " &amp; G1426, MonitorRent!A:A &amp; " " &amp; MonitorRent!B:B, 0)), "")</f>
        <v/>
      </c>
      <c r="R1426" s="295"/>
    </row>
    <row r="1427">
      <c r="A1427" s="284">
        <v>1424.0</v>
      </c>
      <c r="B1427" s="285" t="s">
        <v>9217</v>
      </c>
      <c r="C1427" s="285" t="s">
        <v>6918</v>
      </c>
      <c r="D1427" s="286" t="s">
        <v>12529</v>
      </c>
      <c r="E1427" s="285" t="s">
        <v>6933</v>
      </c>
      <c r="F1427" s="285" t="s">
        <v>15546</v>
      </c>
      <c r="G1427" s="285" t="s">
        <v>15547</v>
      </c>
      <c r="H1427" s="285" t="s">
        <v>15548</v>
      </c>
      <c r="I1427" s="285" t="s">
        <v>15549</v>
      </c>
      <c r="J1427" s="285" t="s">
        <v>5224</v>
      </c>
      <c r="K1427" s="285" t="s">
        <v>10437</v>
      </c>
      <c r="L1427" s="285" t="s">
        <v>8850</v>
      </c>
      <c r="M1427" s="285" t="s">
        <v>9383</v>
      </c>
      <c r="N1427" s="287" t="str">
        <f>IFERROR(
    IF(
        AND(
            VLOOKUP(B1427, 'รายชื่อพนักงานลาออกพ้นสภาพ'!B:I, 8, FALSE)&lt;&gt;"ยกเลิกลาออก",
            VLOOKUP(B1427, 'รายชื่อพนักงานลาออกพ้นสภาพ'!B:I, 7, FALSE)&lt;=TODAY()
        ),
        "ลาออกแล้ว",
        ""
    ),
"")</f>
        <v/>
      </c>
      <c r="O1427" s="292" t="str">
        <f t="array" ref="O1427">IFERROR(INDEX(PCRent!C:D, MATCH(F1427 &amp; " " &amp; G1427, PCRent!A:A &amp; " " &amp; PCRent!B:B, 0)), "")</f>
        <v/>
      </c>
      <c r="P1427" s="293"/>
      <c r="Q1427" s="294" t="str">
        <f t="array" ref="Q1427">IFERROR(INDEX(MonitorRent!C:D, MATCH(F1427 &amp; " " &amp; G1427, MonitorRent!A:A &amp; " " &amp; MonitorRent!B:B, 0)), "")</f>
        <v/>
      </c>
      <c r="R1427" s="295"/>
    </row>
    <row r="1428">
      <c r="A1428" s="284">
        <v>1425.0</v>
      </c>
      <c r="B1428" s="285" t="s">
        <v>4764</v>
      </c>
      <c r="C1428" s="285" t="s">
        <v>6918</v>
      </c>
      <c r="D1428" s="286" t="s">
        <v>10051</v>
      </c>
      <c r="E1428" s="285" t="s">
        <v>6921</v>
      </c>
      <c r="F1428" s="285" t="s">
        <v>15550</v>
      </c>
      <c r="G1428" s="285" t="s">
        <v>15551</v>
      </c>
      <c r="H1428" s="285" t="s">
        <v>15552</v>
      </c>
      <c r="I1428" s="285" t="s">
        <v>4765</v>
      </c>
      <c r="J1428" s="285" t="s">
        <v>5224</v>
      </c>
      <c r="K1428" s="285" t="s">
        <v>4756</v>
      </c>
      <c r="L1428" s="285" t="s">
        <v>15553</v>
      </c>
      <c r="M1428" s="285" t="s">
        <v>9383</v>
      </c>
      <c r="N1428" s="287" t="str">
        <f>IFERROR(
    IF(
        AND(
            VLOOKUP(B1428, 'รายชื่อพนักงานลาออกพ้นสภาพ'!B:I, 8, FALSE)&lt;&gt;"ยกเลิกลาออก",
            VLOOKUP(B1428, 'รายชื่อพนักงานลาออกพ้นสภาพ'!B:I, 7, FALSE)&lt;=TODAY()
        ),
        "ลาออกแล้ว",
        ""
    ),
"")</f>
        <v/>
      </c>
      <c r="O1428" s="292" t="str">
        <f t="array" ref="O1428:P1428">IFERROR(INDEX(PCRent!C:D, MATCH(F1428 &amp; " " &amp; G1428, PCRent!A:A &amp; " " &amp; PCRent!B:B, 0)), "")</f>
        <v>SN:MP2ET265</v>
      </c>
      <c r="P1428" s="293" t="s">
        <v>7070</v>
      </c>
      <c r="Q1428" s="294" t="str">
        <f t="array" ref="Q1428">IFERROR(INDEX(MonitorRent!C:D, MATCH(F1428 &amp; " " &amp; G1428, MonitorRent!A:A &amp; " " &amp; MonitorRent!B:B, 0)), "")</f>
        <v/>
      </c>
      <c r="R1428" s="295"/>
    </row>
    <row r="1429">
      <c r="A1429" s="284">
        <v>1426.0</v>
      </c>
      <c r="B1429" s="285" t="s">
        <v>15554</v>
      </c>
      <c r="C1429" s="285" t="s">
        <v>6918</v>
      </c>
      <c r="D1429" s="286" t="s">
        <v>9814</v>
      </c>
      <c r="E1429" s="285" t="s">
        <v>6921</v>
      </c>
      <c r="F1429" s="285" t="s">
        <v>15555</v>
      </c>
      <c r="G1429" s="285" t="s">
        <v>15556</v>
      </c>
      <c r="H1429" s="285" t="s">
        <v>10048</v>
      </c>
      <c r="I1429" s="285" t="s">
        <v>15557</v>
      </c>
      <c r="J1429" s="285" t="s">
        <v>5012</v>
      </c>
      <c r="K1429" s="285" t="s">
        <v>9703</v>
      </c>
      <c r="L1429" s="285" t="s">
        <v>13137</v>
      </c>
      <c r="M1429" s="285" t="s">
        <v>9383</v>
      </c>
      <c r="N1429" s="287" t="str">
        <f>IFERROR(
    IF(
        AND(
            VLOOKUP(B1429, 'รายชื่อพนักงานลาออกพ้นสภาพ'!B:I, 8, FALSE)&lt;&gt;"ยกเลิกลาออก",
            VLOOKUP(B1429, 'รายชื่อพนักงานลาออกพ้นสภาพ'!B:I, 7, FALSE)&lt;=TODAY()
        ),
        "ลาออกแล้ว",
        ""
    ),
"")</f>
        <v/>
      </c>
      <c r="O1429" s="292" t="str">
        <f t="array" ref="O1429:P1429">IFERROR(INDEX(PCRent!C:D, MATCH(F1429 &amp; " " &amp; G1429, PCRent!A:A &amp; " " &amp; PCRent!B:B, 0)), "")</f>
        <v>SN:MP2DGJFL</v>
      </c>
      <c r="P1429" s="293" t="s">
        <v>9562</v>
      </c>
      <c r="Q1429" s="294" t="str">
        <f t="array" ref="Q1429">IFERROR(INDEX(MonitorRent!C:D, MATCH(F1429 &amp; " " &amp; G1429, MonitorRent!A:A &amp; " " &amp; MonitorRent!B:B, 0)), "")</f>
        <v/>
      </c>
      <c r="R1429" s="295"/>
    </row>
    <row r="1430">
      <c r="A1430" s="284">
        <v>1427.0</v>
      </c>
      <c r="B1430" s="285" t="s">
        <v>8453</v>
      </c>
      <c r="C1430" s="285" t="s">
        <v>6918</v>
      </c>
      <c r="D1430" s="286" t="s">
        <v>15558</v>
      </c>
      <c r="E1430" s="285" t="s">
        <v>6933</v>
      </c>
      <c r="F1430" s="285" t="s">
        <v>15559</v>
      </c>
      <c r="G1430" s="285" t="s">
        <v>15560</v>
      </c>
      <c r="H1430" s="285" t="s">
        <v>9579</v>
      </c>
      <c r="I1430" s="285" t="s">
        <v>15561</v>
      </c>
      <c r="J1430" s="285" t="s">
        <v>5224</v>
      </c>
      <c r="K1430" s="285" t="s">
        <v>12506</v>
      </c>
      <c r="L1430" s="285" t="s">
        <v>277</v>
      </c>
      <c r="M1430" s="285" t="s">
        <v>9383</v>
      </c>
      <c r="N1430" s="287" t="str">
        <f>IFERROR(
    IF(
        AND(
            VLOOKUP(B1430, 'รายชื่อพนักงานลาออกพ้นสภาพ'!B:I, 8, FALSE)&lt;&gt;"ยกเลิกลาออก",
            VLOOKUP(B1430, 'รายชื่อพนักงานลาออกพ้นสภาพ'!B:I, 7, FALSE)&lt;=TODAY()
        ),
        "ลาออกแล้ว",
        ""
    ),
"")</f>
        <v/>
      </c>
      <c r="O1430" s="292" t="str">
        <f t="array" ref="O1430">IFERROR(INDEX(PCRent!C:D, MATCH(F1430 &amp; " " &amp; G1430, PCRent!A:A &amp; " " &amp; PCRent!B:B, 0)), "")</f>
        <v/>
      </c>
      <c r="P1430" s="293"/>
      <c r="Q1430" s="294" t="str">
        <f t="array" ref="Q1430">IFERROR(INDEX(MonitorRent!C:D, MATCH(F1430 &amp; " " &amp; G1430, MonitorRent!A:A &amp; " " &amp; MonitorRent!B:B, 0)), "")</f>
        <v/>
      </c>
      <c r="R1430" s="295"/>
    </row>
    <row r="1431">
      <c r="A1431" s="284">
        <v>1428.0</v>
      </c>
      <c r="B1431" s="285" t="s">
        <v>8966</v>
      </c>
      <c r="C1431" s="285" t="s">
        <v>6918</v>
      </c>
      <c r="D1431" s="286" t="s">
        <v>15562</v>
      </c>
      <c r="E1431" s="285" t="s">
        <v>7239</v>
      </c>
      <c r="F1431" s="285" t="s">
        <v>11961</v>
      </c>
      <c r="G1431" s="285" t="s">
        <v>14319</v>
      </c>
      <c r="H1431" s="285" t="s">
        <v>15563</v>
      </c>
      <c r="I1431" s="285" t="s">
        <v>15564</v>
      </c>
      <c r="J1431" s="285" t="s">
        <v>5224</v>
      </c>
      <c r="K1431" s="285" t="s">
        <v>4818</v>
      </c>
      <c r="L1431" s="285" t="s">
        <v>14384</v>
      </c>
      <c r="M1431" s="285" t="s">
        <v>9383</v>
      </c>
      <c r="N1431" s="287" t="str">
        <f>IFERROR(
    IF(
        AND(
            VLOOKUP(B1431, 'รายชื่อพนักงานลาออกพ้นสภาพ'!B:I, 8, FALSE)&lt;&gt;"ยกเลิกลาออก",
            VLOOKUP(B1431, 'รายชื่อพนักงานลาออกพ้นสภาพ'!B:I, 7, FALSE)&lt;=TODAY()
        ),
        "ลาออกแล้ว",
        ""
    ),
"")</f>
        <v/>
      </c>
      <c r="O1431" s="292" t="str">
        <f t="array" ref="O1431:P1431">IFERROR(INDEX(PCRent!C:D, MATCH(F1431 &amp; " " &amp; G1431, PCRent!A:A &amp; " " &amp; PCRent!B:B, 0)), "")</f>
        <v>SN:MP2EHW4S</v>
      </c>
      <c r="P1431" s="293" t="s">
        <v>6993</v>
      </c>
      <c r="Q1431" s="294" t="str">
        <f t="array" ref="Q1431">IFERROR(INDEX(MonitorRent!C:D, MATCH(F1431 &amp; " " &amp; G1431, MonitorRent!A:A &amp; " " &amp; MonitorRent!B:B, 0)), "")</f>
        <v/>
      </c>
      <c r="R1431" s="295"/>
    </row>
    <row r="1432">
      <c r="A1432" s="284">
        <v>1429.0</v>
      </c>
      <c r="B1432" s="285" t="s">
        <v>15565</v>
      </c>
      <c r="C1432" s="285" t="s">
        <v>6918</v>
      </c>
      <c r="D1432" s="286" t="s">
        <v>15048</v>
      </c>
      <c r="E1432" s="285" t="s">
        <v>6921</v>
      </c>
      <c r="F1432" s="285" t="s">
        <v>11961</v>
      </c>
      <c r="G1432" s="285" t="s">
        <v>15566</v>
      </c>
      <c r="H1432" s="285" t="s">
        <v>10311</v>
      </c>
      <c r="I1432" s="285" t="s">
        <v>15567</v>
      </c>
      <c r="J1432" s="285" t="s">
        <v>5012</v>
      </c>
      <c r="K1432" s="285" t="s">
        <v>6322</v>
      </c>
      <c r="L1432" s="285" t="s">
        <v>795</v>
      </c>
      <c r="M1432" s="285" t="s">
        <v>9383</v>
      </c>
      <c r="N1432" s="287" t="str">
        <f>IFERROR(
    IF(
        AND(
            VLOOKUP(B1432, 'รายชื่อพนักงานลาออกพ้นสภาพ'!B:I, 8, FALSE)&lt;&gt;"ยกเลิกลาออก",
            VLOOKUP(B1432, 'รายชื่อพนักงานลาออกพ้นสภาพ'!B:I, 7, FALSE)&lt;=TODAY()
        ),
        "ลาออกแล้ว",
        ""
    ),
"")</f>
        <v/>
      </c>
      <c r="O1432" s="292" t="str">
        <f t="array" ref="O1432:P1432">IFERROR(INDEX(PCRent!C:D, MATCH(F1432 &amp; " " &amp; G1432, PCRent!A:A &amp; " " &amp; PCRent!B:B, 0)), "")</f>
        <v>SN:MP2DGHWL</v>
      </c>
      <c r="P1432" s="293" t="s">
        <v>13394</v>
      </c>
      <c r="Q1432" s="294" t="str">
        <f t="array" ref="Q1432">IFERROR(INDEX(MonitorRent!C:D, MATCH(F1432 &amp; " " &amp; G1432, MonitorRent!A:A &amp; " " &amp; MonitorRent!B:B, 0)), "")</f>
        <v/>
      </c>
      <c r="R1432" s="295"/>
    </row>
    <row r="1433">
      <c r="A1433" s="284">
        <v>1430.0</v>
      </c>
      <c r="B1433" s="285" t="s">
        <v>15568</v>
      </c>
      <c r="C1433" s="285" t="s">
        <v>6918</v>
      </c>
      <c r="D1433" s="286" t="s">
        <v>10256</v>
      </c>
      <c r="E1433" s="285" t="s">
        <v>6921</v>
      </c>
      <c r="F1433" s="285" t="s">
        <v>11961</v>
      </c>
      <c r="G1433" s="285" t="s">
        <v>15569</v>
      </c>
      <c r="H1433" s="285" t="s">
        <v>10749</v>
      </c>
      <c r="I1433" s="285" t="s">
        <v>15570</v>
      </c>
      <c r="J1433" s="285" t="s">
        <v>5224</v>
      </c>
      <c r="K1433" s="285" t="s">
        <v>13577</v>
      </c>
      <c r="L1433" s="285" t="s">
        <v>14659</v>
      </c>
      <c r="M1433" s="285" t="s">
        <v>9391</v>
      </c>
      <c r="N1433" s="287" t="str">
        <f>IFERROR(
    IF(
        AND(
            VLOOKUP(B1433, 'รายชื่อพนักงานลาออกพ้นสภาพ'!B:I, 8, FALSE)&lt;&gt;"ยกเลิกลาออก",
            VLOOKUP(B1433, 'รายชื่อพนักงานลาออกพ้นสภาพ'!B:I, 7, FALSE)&lt;=TODAY()
        ),
        "ลาออกแล้ว",
        ""
    ),
"")</f>
        <v/>
      </c>
      <c r="O1433" s="292" t="str">
        <f t="array" ref="O1433">IFERROR(INDEX(PCRent!C:D, MATCH(F1433 &amp; " " &amp; G1433, PCRent!A:A &amp; " " &amp; PCRent!B:B, 0)), "")</f>
        <v/>
      </c>
      <c r="P1433" s="293"/>
      <c r="Q1433" s="294" t="str">
        <f t="array" ref="Q1433">IFERROR(INDEX(MonitorRent!C:D, MATCH(F1433 &amp; " " &amp; G1433, MonitorRent!A:A &amp; " " &amp; MonitorRent!B:B, 0)), "")</f>
        <v/>
      </c>
      <c r="R1433" s="295"/>
    </row>
    <row r="1434">
      <c r="A1434" s="284">
        <v>1431.0</v>
      </c>
      <c r="B1434" s="285" t="s">
        <v>7020</v>
      </c>
      <c r="C1434" s="285" t="s">
        <v>6918</v>
      </c>
      <c r="D1434" s="286" t="s">
        <v>14426</v>
      </c>
      <c r="E1434" s="285" t="s">
        <v>6933</v>
      </c>
      <c r="F1434" s="285" t="s">
        <v>15571</v>
      </c>
      <c r="G1434" s="285" t="s">
        <v>15572</v>
      </c>
      <c r="H1434" s="285" t="s">
        <v>10441</v>
      </c>
      <c r="I1434" s="285" t="s">
        <v>15573</v>
      </c>
      <c r="J1434" s="285" t="s">
        <v>5224</v>
      </c>
      <c r="K1434" s="285" t="s">
        <v>4756</v>
      </c>
      <c r="L1434" s="285" t="s">
        <v>7015</v>
      </c>
      <c r="M1434" s="285" t="s">
        <v>9383</v>
      </c>
      <c r="N1434" s="287" t="str">
        <f>IFERROR(
    IF(
        AND(
            VLOOKUP(B1434, 'รายชื่อพนักงานลาออกพ้นสภาพ'!B:I, 8, FALSE)&lt;&gt;"ยกเลิกลาออก",
            VLOOKUP(B1434, 'รายชื่อพนักงานลาออกพ้นสภาพ'!B:I, 7, FALSE)&lt;=TODAY()
        ),
        "ลาออกแล้ว",
        ""
    ),
"")</f>
        <v/>
      </c>
      <c r="O1434" s="292" t="str">
        <f t="array" ref="O1434">IFERROR(INDEX(PCRent!C:D, MATCH(F1434 &amp; " " &amp; G1434, PCRent!A:A &amp; " " &amp; PCRent!B:B, 0)), "")</f>
        <v/>
      </c>
      <c r="P1434" s="293"/>
      <c r="Q1434" s="294" t="str">
        <f t="array" ref="Q1434">IFERROR(INDEX(MonitorRent!C:D, MATCH(F1434 &amp; " " &amp; G1434, MonitorRent!A:A &amp; " " &amp; MonitorRent!B:B, 0)), "")</f>
        <v/>
      </c>
      <c r="R1434" s="295"/>
    </row>
    <row r="1435">
      <c r="A1435" s="284">
        <v>1432.0</v>
      </c>
      <c r="B1435" s="285" t="s">
        <v>7432</v>
      </c>
      <c r="C1435" s="285" t="s">
        <v>6918</v>
      </c>
      <c r="D1435" s="286" t="s">
        <v>15574</v>
      </c>
      <c r="E1435" s="285" t="s">
        <v>6921</v>
      </c>
      <c r="F1435" s="285" t="s">
        <v>15575</v>
      </c>
      <c r="G1435" s="285" t="s">
        <v>15576</v>
      </c>
      <c r="H1435" s="285" t="s">
        <v>10126</v>
      </c>
      <c r="I1435" s="285" t="s">
        <v>15577</v>
      </c>
      <c r="J1435" s="285" t="s">
        <v>5224</v>
      </c>
      <c r="K1435" s="285" t="s">
        <v>4818</v>
      </c>
      <c r="L1435" s="285" t="s">
        <v>7434</v>
      </c>
      <c r="M1435" s="285" t="s">
        <v>9383</v>
      </c>
      <c r="N1435" s="287" t="str">
        <f>IFERROR(
    IF(
        AND(
            VLOOKUP(B1435, 'รายชื่อพนักงานลาออกพ้นสภาพ'!B:I, 8, FALSE)&lt;&gt;"ยกเลิกลาออก",
            VLOOKUP(B1435, 'รายชื่อพนักงานลาออกพ้นสภาพ'!B:I, 7, FALSE)&lt;=TODAY()
        ),
        "ลาออกแล้ว",
        ""
    ),
"")</f>
        <v/>
      </c>
      <c r="O1435" s="292" t="str">
        <f t="array" ref="O1435">IFERROR(INDEX(PCRent!C:D, MATCH(F1435 &amp; " " &amp; G1435, PCRent!A:A &amp; " " &amp; PCRent!B:B, 0)), "")</f>
        <v/>
      </c>
      <c r="P1435" s="293"/>
      <c r="Q1435" s="294" t="str">
        <f t="array" ref="Q1435">IFERROR(INDEX(MonitorRent!C:D, MATCH(F1435 &amp; " " &amp; G1435, MonitorRent!A:A &amp; " " &amp; MonitorRent!B:B, 0)), "")</f>
        <v/>
      </c>
      <c r="R1435" s="295"/>
    </row>
    <row r="1436">
      <c r="A1436" s="284">
        <v>1433.0</v>
      </c>
      <c r="B1436" s="285" t="s">
        <v>15578</v>
      </c>
      <c r="C1436" s="285" t="s">
        <v>6918</v>
      </c>
      <c r="D1436" s="286" t="s">
        <v>10104</v>
      </c>
      <c r="E1436" s="285" t="s">
        <v>6921</v>
      </c>
      <c r="F1436" s="285" t="s">
        <v>15579</v>
      </c>
      <c r="G1436" s="285" t="s">
        <v>15580</v>
      </c>
      <c r="H1436" s="285" t="s">
        <v>10749</v>
      </c>
      <c r="I1436" s="285" t="s">
        <v>15581</v>
      </c>
      <c r="J1436" s="285" t="s">
        <v>5012</v>
      </c>
      <c r="K1436" s="285" t="s">
        <v>4749</v>
      </c>
      <c r="L1436" s="285" t="s">
        <v>1027</v>
      </c>
      <c r="M1436" s="285" t="s">
        <v>9383</v>
      </c>
      <c r="N1436" s="287" t="str">
        <f>IFERROR(
    IF(
        AND(
            VLOOKUP(B1436, 'รายชื่อพนักงานลาออกพ้นสภาพ'!B:I, 8, FALSE)&lt;&gt;"ยกเลิกลาออก",
            VLOOKUP(B1436, 'รายชื่อพนักงานลาออกพ้นสภาพ'!B:I, 7, FALSE)&lt;=TODAY()
        ),
        "ลาออกแล้ว",
        ""
    ),
"")</f>
        <v/>
      </c>
      <c r="O1436" s="292" t="str">
        <f t="array" ref="O1436:P1436">IFERROR(INDEX(PCRent!C:D, MATCH(F1436 &amp; " " &amp; G1436, PCRent!A:A &amp; " " &amp; PCRent!B:B, 0)), "")</f>
        <v>SN:MP2EJ2Y5</v>
      </c>
      <c r="P1436" s="293" t="s">
        <v>6993</v>
      </c>
      <c r="Q1436" s="294" t="str">
        <f t="array" ref="Q1436">IFERROR(INDEX(MonitorRent!C:D, MATCH(F1436 &amp; " " &amp; G1436, MonitorRent!A:A &amp; " " &amp; MonitorRent!B:B, 0)), "")</f>
        <v/>
      </c>
      <c r="R1436" s="295"/>
    </row>
    <row r="1437">
      <c r="A1437" s="284">
        <v>1434.0</v>
      </c>
      <c r="B1437" s="285" t="s">
        <v>8284</v>
      </c>
      <c r="C1437" s="285" t="s">
        <v>6918</v>
      </c>
      <c r="D1437" s="286" t="s">
        <v>10501</v>
      </c>
      <c r="E1437" s="285" t="s">
        <v>6921</v>
      </c>
      <c r="F1437" s="285" t="s">
        <v>15582</v>
      </c>
      <c r="G1437" s="285" t="s">
        <v>15583</v>
      </c>
      <c r="H1437" s="285" t="s">
        <v>11968</v>
      </c>
      <c r="I1437" s="285" t="s">
        <v>15584</v>
      </c>
      <c r="J1437" s="285" t="s">
        <v>5224</v>
      </c>
      <c r="K1437" s="285" t="s">
        <v>13006</v>
      </c>
      <c r="L1437" s="285" t="s">
        <v>2730</v>
      </c>
      <c r="M1437" s="285" t="s">
        <v>9383</v>
      </c>
      <c r="N1437" s="287" t="str">
        <f>IFERROR(
    IF(
        AND(
            VLOOKUP(B1437, 'รายชื่อพนักงานลาออกพ้นสภาพ'!B:I, 8, FALSE)&lt;&gt;"ยกเลิกลาออก",
            VLOOKUP(B1437, 'รายชื่อพนักงานลาออกพ้นสภาพ'!B:I, 7, FALSE)&lt;=TODAY()
        ),
        "ลาออกแล้ว",
        ""
    ),
"")</f>
        <v/>
      </c>
      <c r="O1437" s="292" t="str">
        <f t="array" ref="O1437">IFERROR(INDEX(PCRent!C:D, MATCH(F1437 &amp; " " &amp; G1437, PCRent!A:A &amp; " " &amp; PCRent!B:B, 0)), "")</f>
        <v/>
      </c>
      <c r="P1437" s="293"/>
      <c r="Q1437" s="294" t="str">
        <f t="array" ref="Q1437">IFERROR(INDEX(MonitorRent!C:D, MATCH(F1437 &amp; " " &amp; G1437, MonitorRent!A:A &amp; " " &amp; MonitorRent!B:B, 0)), "")</f>
        <v/>
      </c>
      <c r="R1437" s="295"/>
    </row>
    <row r="1438">
      <c r="A1438" s="284">
        <v>1435.0</v>
      </c>
      <c r="B1438" s="285" t="s">
        <v>15585</v>
      </c>
      <c r="C1438" s="285" t="s">
        <v>6918</v>
      </c>
      <c r="D1438" s="286" t="s">
        <v>15586</v>
      </c>
      <c r="E1438" s="285" t="s">
        <v>6921</v>
      </c>
      <c r="F1438" s="285" t="s">
        <v>15587</v>
      </c>
      <c r="G1438" s="285" t="s">
        <v>15588</v>
      </c>
      <c r="H1438" s="285" t="s">
        <v>9805</v>
      </c>
      <c r="I1438" s="285" t="s">
        <v>15589</v>
      </c>
      <c r="J1438" s="285" t="s">
        <v>5224</v>
      </c>
      <c r="K1438" s="285" t="s">
        <v>2062</v>
      </c>
      <c r="L1438" s="285" t="s">
        <v>3253</v>
      </c>
      <c r="M1438" s="285" t="s">
        <v>9383</v>
      </c>
      <c r="N1438" s="287" t="str">
        <f>IFERROR(
    IF(
        AND(
            VLOOKUP(B1438, 'รายชื่อพนักงานลาออกพ้นสภาพ'!B:I, 8, FALSE)&lt;&gt;"ยกเลิกลาออก",
            VLOOKUP(B1438, 'รายชื่อพนักงานลาออกพ้นสภาพ'!B:I, 7, FALSE)&lt;=TODAY()
        ),
        "ลาออกแล้ว",
        ""
    ),
"")</f>
        <v/>
      </c>
      <c r="O1438" s="292" t="str">
        <f t="array" ref="O1438:P1438">IFERROR(INDEX(PCRent!C:D, MATCH(F1438 &amp; " " &amp; G1438, PCRent!A:A &amp; " " &amp; PCRent!B:B, 0)), "")</f>
        <v>SN:MP2EJ0NQ</v>
      </c>
      <c r="P1438" s="293" t="s">
        <v>6993</v>
      </c>
      <c r="Q1438" s="294" t="str">
        <f t="array" ref="Q1438">IFERROR(INDEX(MonitorRent!C:D, MATCH(F1438 &amp; " " &amp; G1438, MonitorRent!A:A &amp; " " &amp; MonitorRent!B:B, 0)), "")</f>
        <v/>
      </c>
      <c r="R1438" s="295"/>
    </row>
    <row r="1439">
      <c r="A1439" s="284">
        <v>1436.0</v>
      </c>
      <c r="B1439" s="285" t="s">
        <v>15590</v>
      </c>
      <c r="C1439" s="285" t="s">
        <v>6918</v>
      </c>
      <c r="D1439" s="286" t="s">
        <v>13176</v>
      </c>
      <c r="E1439" s="285" t="s">
        <v>6921</v>
      </c>
      <c r="F1439" s="285" t="s">
        <v>15591</v>
      </c>
      <c r="G1439" s="285" t="s">
        <v>15592</v>
      </c>
      <c r="H1439" s="285" t="s">
        <v>9654</v>
      </c>
      <c r="I1439" s="285" t="s">
        <v>15593</v>
      </c>
      <c r="J1439" s="285" t="s">
        <v>5224</v>
      </c>
      <c r="K1439" s="285" t="s">
        <v>9911</v>
      </c>
      <c r="L1439" s="285" t="s">
        <v>12968</v>
      </c>
      <c r="M1439" s="285" t="s">
        <v>9383</v>
      </c>
      <c r="N1439" s="287" t="str">
        <f>IFERROR(
    IF(
        AND(
            VLOOKUP(B1439, 'รายชื่อพนักงานลาออกพ้นสภาพ'!B:I, 8, FALSE)&lt;&gt;"ยกเลิกลาออก",
            VLOOKUP(B1439, 'รายชื่อพนักงานลาออกพ้นสภาพ'!B:I, 7, FALSE)&lt;=TODAY()
        ),
        "ลาออกแล้ว",
        ""
    ),
"")</f>
        <v/>
      </c>
      <c r="O1439" s="292" t="str">
        <f t="array" ref="O1439">IFERROR(INDEX(PCRent!C:D, MATCH(F1439 &amp; " " &amp; G1439, PCRent!A:A &amp; " " &amp; PCRent!B:B, 0)), "")</f>
        <v/>
      </c>
      <c r="P1439" s="293"/>
      <c r="Q1439" s="294" t="str">
        <f t="array" ref="Q1439">IFERROR(INDEX(MonitorRent!C:D, MATCH(F1439 &amp; " " &amp; G1439, MonitorRent!A:A &amp; " " &amp; MonitorRent!B:B, 0)), "")</f>
        <v/>
      </c>
      <c r="R1439" s="295"/>
    </row>
    <row r="1440">
      <c r="A1440" s="284">
        <v>1437.0</v>
      </c>
      <c r="B1440" s="285" t="s">
        <v>15594</v>
      </c>
      <c r="C1440" s="285" t="s">
        <v>6918</v>
      </c>
      <c r="D1440" s="286" t="s">
        <v>12794</v>
      </c>
      <c r="E1440" s="285" t="s">
        <v>6921</v>
      </c>
      <c r="F1440" s="285" t="s">
        <v>11974</v>
      </c>
      <c r="G1440" s="285" t="s">
        <v>15595</v>
      </c>
      <c r="H1440" s="285" t="s">
        <v>9840</v>
      </c>
      <c r="I1440" s="285" t="s">
        <v>15596</v>
      </c>
      <c r="J1440" s="285" t="s">
        <v>5224</v>
      </c>
      <c r="K1440" s="285" t="s">
        <v>4794</v>
      </c>
      <c r="L1440" s="285" t="s">
        <v>15553</v>
      </c>
      <c r="M1440" s="285" t="s">
        <v>9383</v>
      </c>
      <c r="N1440" s="287" t="str">
        <f>IFERROR(
    IF(
        AND(
            VLOOKUP(B1440, 'รายชื่อพนักงานลาออกพ้นสภาพ'!B:I, 8, FALSE)&lt;&gt;"ยกเลิกลาออก",
            VLOOKUP(B1440, 'รายชื่อพนักงานลาออกพ้นสภาพ'!B:I, 7, FALSE)&lt;=TODAY()
        ),
        "ลาออกแล้ว",
        ""
    ),
"")</f>
        <v/>
      </c>
      <c r="O1440" s="292" t="str">
        <f t="array" ref="O1440">IFERROR(INDEX(PCRent!C:D, MATCH(F1440 &amp; " " &amp; G1440, PCRent!A:A &amp; " " &amp; PCRent!B:B, 0)), "")</f>
        <v/>
      </c>
      <c r="P1440" s="293"/>
      <c r="Q1440" s="294" t="str">
        <f t="array" ref="Q1440">IFERROR(INDEX(MonitorRent!C:D, MATCH(F1440 &amp; " " &amp; G1440, MonitorRent!A:A &amp; " " &amp; MonitorRent!B:B, 0)), "")</f>
        <v/>
      </c>
      <c r="R1440" s="295"/>
    </row>
    <row r="1441">
      <c r="A1441" s="284">
        <v>1438.0</v>
      </c>
      <c r="B1441" s="285" t="s">
        <v>15597</v>
      </c>
      <c r="C1441" s="285" t="s">
        <v>6918</v>
      </c>
      <c r="D1441" s="286" t="s">
        <v>12912</v>
      </c>
      <c r="E1441" s="285" t="s">
        <v>6921</v>
      </c>
      <c r="F1441" s="285" t="s">
        <v>11974</v>
      </c>
      <c r="G1441" s="285" t="s">
        <v>15598</v>
      </c>
      <c r="H1441" s="285" t="s">
        <v>11585</v>
      </c>
      <c r="I1441" s="285" t="s">
        <v>15599</v>
      </c>
      <c r="J1441" s="285" t="s">
        <v>5012</v>
      </c>
      <c r="K1441" s="285" t="s">
        <v>6322</v>
      </c>
      <c r="L1441" s="285" t="s">
        <v>9711</v>
      </c>
      <c r="M1441" s="285" t="s">
        <v>9383</v>
      </c>
      <c r="N1441" s="287" t="str">
        <f>IFERROR(
    IF(
        AND(
            VLOOKUP(B1441, 'รายชื่อพนักงานลาออกพ้นสภาพ'!B:I, 8, FALSE)&lt;&gt;"ยกเลิกลาออก",
            VLOOKUP(B1441, 'รายชื่อพนักงานลาออกพ้นสภาพ'!B:I, 7, FALSE)&lt;=TODAY()
        ),
        "ลาออกแล้ว",
        ""
    ),
"")</f>
        <v/>
      </c>
      <c r="O1441" s="292" t="str">
        <f t="array" ref="O1441:P1441">IFERROR(INDEX(PCRent!C:D, MATCH(F1441 &amp; " " &amp; G1441, PCRent!A:A &amp; " " &amp; PCRent!B:B, 0)), "")</f>
        <v>SN:MP2AN2CW</v>
      </c>
      <c r="P1441" s="293" t="s">
        <v>9562</v>
      </c>
      <c r="Q1441" s="294" t="str">
        <f t="array" ref="Q1441">IFERROR(INDEX(MonitorRent!C:D, MATCH(F1441 &amp; " " &amp; G1441, MonitorRent!A:A &amp; " " &amp; MonitorRent!B:B, 0)), "")</f>
        <v/>
      </c>
      <c r="R1441" s="295"/>
    </row>
    <row r="1442">
      <c r="A1442" s="284">
        <v>1439.0</v>
      </c>
      <c r="B1442" s="285" t="s">
        <v>15600</v>
      </c>
      <c r="C1442" s="285" t="s">
        <v>6918</v>
      </c>
      <c r="D1442" s="286" t="s">
        <v>11937</v>
      </c>
      <c r="E1442" s="285" t="s">
        <v>6921</v>
      </c>
      <c r="F1442" s="285" t="s">
        <v>11974</v>
      </c>
      <c r="G1442" s="285" t="s">
        <v>15601</v>
      </c>
      <c r="H1442" s="285" t="s">
        <v>11782</v>
      </c>
      <c r="I1442" s="285" t="s">
        <v>15602</v>
      </c>
      <c r="J1442" s="285" t="s">
        <v>5012</v>
      </c>
      <c r="K1442" s="285" t="s">
        <v>14357</v>
      </c>
      <c r="L1442" s="285" t="s">
        <v>9734</v>
      </c>
      <c r="M1442" s="285" t="s">
        <v>9383</v>
      </c>
      <c r="N1442" s="287" t="str">
        <f>IFERROR(
    IF(
        AND(
            VLOOKUP(B1442, 'รายชื่อพนักงานลาออกพ้นสภาพ'!B:I, 8, FALSE)&lt;&gt;"ยกเลิกลาออก",
            VLOOKUP(B1442, 'รายชื่อพนักงานลาออกพ้นสภาพ'!B:I, 7, FALSE)&lt;=TODAY()
        ),
        "ลาออกแล้ว",
        ""
    ),
"")</f>
        <v/>
      </c>
      <c r="O1442" s="292" t="str">
        <f t="array" ref="O1442">IFERROR(INDEX(PCRent!C:D, MATCH(F1442 &amp; " " &amp; G1442, PCRent!A:A &amp; " " &amp; PCRent!B:B, 0)), "")</f>
        <v/>
      </c>
      <c r="P1442" s="293"/>
      <c r="Q1442" s="294" t="str">
        <f t="array" ref="Q1442">IFERROR(INDEX(MonitorRent!C:D, MATCH(F1442 &amp; " " &amp; G1442, MonitorRent!A:A &amp; " " &amp; MonitorRent!B:B, 0)), "")</f>
        <v/>
      </c>
      <c r="R1442" s="295"/>
    </row>
    <row r="1443">
      <c r="A1443" s="284">
        <v>1440.0</v>
      </c>
      <c r="B1443" s="285" t="s">
        <v>407</v>
      </c>
      <c r="C1443" s="285" t="s">
        <v>6918</v>
      </c>
      <c r="D1443" s="286" t="s">
        <v>12529</v>
      </c>
      <c r="E1443" s="285" t="s">
        <v>6933</v>
      </c>
      <c r="F1443" s="285" t="s">
        <v>15603</v>
      </c>
      <c r="G1443" s="285" t="s">
        <v>15604</v>
      </c>
      <c r="H1443" s="285" t="s">
        <v>11581</v>
      </c>
      <c r="I1443" s="285" t="s">
        <v>411</v>
      </c>
      <c r="J1443" s="285" t="s">
        <v>5012</v>
      </c>
      <c r="K1443" s="285" t="s">
        <v>14002</v>
      </c>
      <c r="L1443" s="285" t="s">
        <v>456</v>
      </c>
      <c r="M1443" s="285" t="s">
        <v>9383</v>
      </c>
      <c r="N1443" s="287" t="str">
        <f>IFERROR(
    IF(
        AND(
            VLOOKUP(B1443, 'รายชื่อพนักงานลาออกพ้นสภาพ'!B:I, 8, FALSE)&lt;&gt;"ยกเลิกลาออก",
            VLOOKUP(B1443, 'รายชื่อพนักงานลาออกพ้นสภาพ'!B:I, 7, FALSE)&lt;=TODAY()
        ),
        "ลาออกแล้ว",
        ""
    ),
"")</f>
        <v>ลาออกแล้ว</v>
      </c>
      <c r="O1443" s="292" t="str">
        <f t="array" ref="O1443:P1443">IFERROR(INDEX(PCRent!C:D, MATCH(F1443 &amp; " " &amp; G1443, PCRent!A:A &amp; " " &amp; PCRent!B:B, 0)), "")</f>
        <v>SN:57J3QY3</v>
      </c>
      <c r="P1443" s="293" t="s">
        <v>8739</v>
      </c>
      <c r="Q1443" s="294" t="str">
        <f t="array" ref="Q1443:R1443">IFERROR(INDEX(MonitorRent!C:D, MATCH(F1443 &amp; " " &amp; G1443, MonitorRent!A:A &amp; " " &amp; MonitorRent!B:B, 0)), "")</f>
        <v>SN:4VTT4P3</v>
      </c>
      <c r="R1443" s="295" t="s">
        <v>9397</v>
      </c>
    </row>
    <row r="1444">
      <c r="A1444" s="284">
        <v>1441.0</v>
      </c>
      <c r="B1444" s="285" t="s">
        <v>9107</v>
      </c>
      <c r="C1444" s="285" t="s">
        <v>6918</v>
      </c>
      <c r="D1444" s="286" t="s">
        <v>15605</v>
      </c>
      <c r="E1444" s="285" t="s">
        <v>6933</v>
      </c>
      <c r="F1444" s="285" t="s">
        <v>15606</v>
      </c>
      <c r="G1444" s="285" t="s">
        <v>15607</v>
      </c>
      <c r="H1444" s="285" t="s">
        <v>10592</v>
      </c>
      <c r="I1444" s="285" t="s">
        <v>15608</v>
      </c>
      <c r="J1444" s="285" t="s">
        <v>5224</v>
      </c>
      <c r="K1444" s="285" t="s">
        <v>11981</v>
      </c>
      <c r="L1444" s="285" t="s">
        <v>15531</v>
      </c>
      <c r="M1444" s="285" t="s">
        <v>9383</v>
      </c>
      <c r="N1444" s="287" t="str">
        <f>IFERROR(
    IF(
        AND(
            VLOOKUP(B1444, 'รายชื่อพนักงานลาออกพ้นสภาพ'!B:I, 8, FALSE)&lt;&gt;"ยกเลิกลาออก",
            VLOOKUP(B1444, 'รายชื่อพนักงานลาออกพ้นสภาพ'!B:I, 7, FALSE)&lt;=TODAY()
        ),
        "ลาออกแล้ว",
        ""
    ),
"")</f>
        <v/>
      </c>
      <c r="O1444" s="292" t="str">
        <f t="array" ref="O1444:P1444">IFERROR(INDEX(PCRent!C:D, MATCH(F1444 &amp; " " &amp; G1444, PCRent!A:A &amp; " " &amp; PCRent!B:B, 0)), "")</f>
        <v>SN:D1QD314</v>
      </c>
      <c r="P1444" s="293" t="s">
        <v>7048</v>
      </c>
      <c r="Q1444" s="294" t="str">
        <f t="array" ref="Q1444:R1444">IFERROR(INDEX(MonitorRent!C:D, MATCH(F1444 &amp; " " &amp; G1444, MonitorRent!A:A &amp; " " &amp; MonitorRent!B:B, 0)), "")</f>
        <v>SN:7PVVGZ3</v>
      </c>
      <c r="R1444" s="295" t="s">
        <v>9397</v>
      </c>
    </row>
    <row r="1445">
      <c r="A1445" s="284">
        <v>1442.0</v>
      </c>
      <c r="B1445" s="285" t="s">
        <v>15609</v>
      </c>
      <c r="C1445" s="285" t="s">
        <v>6918</v>
      </c>
      <c r="D1445" s="286" t="s">
        <v>13124</v>
      </c>
      <c r="E1445" s="285" t="s">
        <v>6933</v>
      </c>
      <c r="F1445" s="285" t="s">
        <v>15610</v>
      </c>
      <c r="G1445" s="285" t="s">
        <v>15611</v>
      </c>
      <c r="H1445" s="285" t="s">
        <v>15612</v>
      </c>
      <c r="I1445" s="285" t="s">
        <v>15613</v>
      </c>
      <c r="J1445" s="285" t="s">
        <v>5012</v>
      </c>
      <c r="K1445" s="285" t="s">
        <v>12401</v>
      </c>
      <c r="L1445" s="285" t="s">
        <v>3857</v>
      </c>
      <c r="M1445" s="285" t="s">
        <v>9383</v>
      </c>
      <c r="N1445" s="287" t="str">
        <f>IFERROR(
    IF(
        AND(
            VLOOKUP(B1445, 'รายชื่อพนักงานลาออกพ้นสภาพ'!B:I, 8, FALSE)&lt;&gt;"ยกเลิกลาออก",
            VLOOKUP(B1445, 'รายชื่อพนักงานลาออกพ้นสภาพ'!B:I, 7, FALSE)&lt;=TODAY()
        ),
        "ลาออกแล้ว",
        ""
    ),
"")</f>
        <v/>
      </c>
      <c r="O1445" s="292" t="str">
        <f t="array" ref="O1445">IFERROR(INDEX(PCRent!C:D, MATCH(F1445 &amp; " " &amp; G1445, PCRent!A:A &amp; " " &amp; PCRent!B:B, 0)), "")</f>
        <v/>
      </c>
      <c r="P1445" s="293"/>
      <c r="Q1445" s="294" t="str">
        <f t="array" ref="Q1445">IFERROR(INDEX(MonitorRent!C:D, MATCH(F1445 &amp; " " &amp; G1445, MonitorRent!A:A &amp; " " &amp; MonitorRent!B:B, 0)), "")</f>
        <v/>
      </c>
      <c r="R1445" s="295"/>
    </row>
    <row r="1446">
      <c r="A1446" s="284">
        <v>1443.0</v>
      </c>
      <c r="B1446" s="285" t="s">
        <v>15614</v>
      </c>
      <c r="C1446" s="285" t="s">
        <v>6918</v>
      </c>
      <c r="D1446" s="286" t="s">
        <v>11129</v>
      </c>
      <c r="E1446" s="285" t="s">
        <v>6933</v>
      </c>
      <c r="F1446" s="285" t="s">
        <v>11996</v>
      </c>
      <c r="G1446" s="285" t="s">
        <v>13531</v>
      </c>
      <c r="H1446" s="285" t="s">
        <v>14024</v>
      </c>
      <c r="I1446" s="285" t="s">
        <v>15615</v>
      </c>
      <c r="J1446" s="285" t="s">
        <v>5012</v>
      </c>
      <c r="K1446" s="285" t="s">
        <v>9474</v>
      </c>
      <c r="L1446" s="285" t="s">
        <v>13372</v>
      </c>
      <c r="M1446" s="285" t="s">
        <v>9383</v>
      </c>
      <c r="N1446" s="287" t="str">
        <f>IFERROR(
    IF(
        AND(
            VLOOKUP(B1446, 'รายชื่อพนักงานลาออกพ้นสภาพ'!B:I, 8, FALSE)&lt;&gt;"ยกเลิกลาออก",
            VLOOKUP(B1446, 'รายชื่อพนักงานลาออกพ้นสภาพ'!B:I, 7, FALSE)&lt;=TODAY()
        ),
        "ลาออกแล้ว",
        ""
    ),
"")</f>
        <v/>
      </c>
      <c r="O1446" s="292" t="str">
        <f t="array" ref="O1446">IFERROR(INDEX(PCRent!C:D, MATCH(F1446 &amp; " " &amp; G1446, PCRent!A:A &amp; " " &amp; PCRent!B:B, 0)), "")</f>
        <v/>
      </c>
      <c r="P1446" s="293"/>
      <c r="Q1446" s="294" t="str">
        <f t="array" ref="Q1446">IFERROR(INDEX(MonitorRent!C:D, MATCH(F1446 &amp; " " &amp; G1446, MonitorRent!A:A &amp; " " &amp; MonitorRent!B:B, 0)), "")</f>
        <v/>
      </c>
      <c r="R1446" s="295"/>
    </row>
    <row r="1447">
      <c r="A1447" s="284">
        <v>1444.0</v>
      </c>
      <c r="B1447" s="285" t="s">
        <v>15616</v>
      </c>
      <c r="C1447" s="285" t="s">
        <v>6918</v>
      </c>
      <c r="D1447" s="286" t="s">
        <v>15617</v>
      </c>
      <c r="E1447" s="285" t="s">
        <v>6933</v>
      </c>
      <c r="F1447" s="285" t="s">
        <v>11996</v>
      </c>
      <c r="G1447" s="285" t="s">
        <v>15618</v>
      </c>
      <c r="H1447" s="285" t="s">
        <v>14024</v>
      </c>
      <c r="I1447" s="285" t="s">
        <v>15619</v>
      </c>
      <c r="J1447" s="285" t="s">
        <v>5012</v>
      </c>
      <c r="K1447" s="285" t="s">
        <v>12401</v>
      </c>
      <c r="L1447" s="285" t="s">
        <v>13067</v>
      </c>
      <c r="M1447" s="285" t="s">
        <v>9383</v>
      </c>
      <c r="N1447" s="287" t="str">
        <f>IFERROR(
    IF(
        AND(
            VLOOKUP(B1447, 'รายชื่อพนักงานลาออกพ้นสภาพ'!B:I, 8, FALSE)&lt;&gt;"ยกเลิกลาออก",
            VLOOKUP(B1447, 'รายชื่อพนักงานลาออกพ้นสภาพ'!B:I, 7, FALSE)&lt;=TODAY()
        ),
        "ลาออกแล้ว",
        ""
    ),
"")</f>
        <v/>
      </c>
      <c r="O1447" s="292" t="str">
        <f t="array" ref="O1447">IFERROR(INDEX(PCRent!C:D, MATCH(F1447 &amp; " " &amp; G1447, PCRent!A:A &amp; " " &amp; PCRent!B:B, 0)), "")</f>
        <v/>
      </c>
      <c r="P1447" s="293"/>
      <c r="Q1447" s="294" t="str">
        <f t="array" ref="Q1447">IFERROR(INDEX(MonitorRent!C:D, MATCH(F1447 &amp; " " &amp; G1447, MonitorRent!A:A &amp; " " &amp; MonitorRent!B:B, 0)), "")</f>
        <v/>
      </c>
      <c r="R1447" s="295"/>
    </row>
    <row r="1448">
      <c r="A1448" s="284">
        <v>1445.0</v>
      </c>
      <c r="B1448" s="285" t="s">
        <v>15620</v>
      </c>
      <c r="C1448" s="285" t="s">
        <v>6918</v>
      </c>
      <c r="D1448" s="286" t="s">
        <v>13569</v>
      </c>
      <c r="E1448" s="285" t="s">
        <v>6921</v>
      </c>
      <c r="F1448" s="285" t="s">
        <v>15621</v>
      </c>
      <c r="G1448" s="285" t="s">
        <v>15622</v>
      </c>
      <c r="H1448" s="285" t="s">
        <v>9456</v>
      </c>
      <c r="I1448" s="285" t="s">
        <v>15623</v>
      </c>
      <c r="J1448" s="285" t="s">
        <v>5012</v>
      </c>
      <c r="K1448" s="285" t="s">
        <v>3000</v>
      </c>
      <c r="L1448" s="285" t="s">
        <v>3857</v>
      </c>
      <c r="M1448" s="285" t="s">
        <v>9383</v>
      </c>
      <c r="N1448" s="287" t="str">
        <f>IFERROR(
    IF(
        AND(
            VLOOKUP(B1448, 'รายชื่อพนักงานลาออกพ้นสภาพ'!B:I, 8, FALSE)&lt;&gt;"ยกเลิกลาออก",
            VLOOKUP(B1448, 'รายชื่อพนักงานลาออกพ้นสภาพ'!B:I, 7, FALSE)&lt;=TODAY()
        ),
        "ลาออกแล้ว",
        ""
    ),
"")</f>
        <v/>
      </c>
      <c r="O1448" s="292" t="str">
        <f t="array" ref="O1448:P1448">IFERROR(INDEX(PCRent!C:D, MATCH(F1448 &amp; " " &amp; G1448, PCRent!A:A &amp; " " &amp; PCRent!B:B, 0)), "")</f>
        <v>SN:DTYNPY3</v>
      </c>
      <c r="P1448" s="293" t="s">
        <v>7048</v>
      </c>
      <c r="Q1448" s="294" t="str">
        <f t="array" ref="Q1448:R1448">IFERROR(INDEX(MonitorRent!C:D, MATCH(F1448 &amp; " " &amp; G1448, MonitorRent!A:A &amp; " " &amp; MonitorRent!B:B, 0)), "")</f>
        <v>SN:DL3G8X3</v>
      </c>
      <c r="R1448" s="295" t="s">
        <v>7050</v>
      </c>
    </row>
    <row r="1449">
      <c r="A1449" s="284">
        <v>1446.0</v>
      </c>
      <c r="B1449" s="285" t="s">
        <v>15624</v>
      </c>
      <c r="C1449" s="285" t="s">
        <v>6918</v>
      </c>
      <c r="D1449" s="286" t="s">
        <v>10636</v>
      </c>
      <c r="E1449" s="285" t="s">
        <v>6921</v>
      </c>
      <c r="F1449" s="285" t="s">
        <v>15625</v>
      </c>
      <c r="G1449" s="285" t="s">
        <v>15626</v>
      </c>
      <c r="H1449" s="285" t="s">
        <v>10852</v>
      </c>
      <c r="I1449" s="285" t="s">
        <v>6723</v>
      </c>
      <c r="J1449" s="285" t="s">
        <v>5012</v>
      </c>
      <c r="K1449" s="285" t="s">
        <v>6322</v>
      </c>
      <c r="L1449" s="285" t="s">
        <v>13414</v>
      </c>
      <c r="M1449" s="285" t="s">
        <v>9391</v>
      </c>
      <c r="N1449" s="287" t="str">
        <f>IFERROR(
    IF(
        AND(
            VLOOKUP(B1449, 'รายชื่อพนักงานลาออกพ้นสภาพ'!B:I, 8, FALSE)&lt;&gt;"ยกเลิกลาออก",
            VLOOKUP(B1449, 'รายชื่อพนักงานลาออกพ้นสภาพ'!B:I, 7, FALSE)&lt;=TODAY()
        ),
        "ลาออกแล้ว",
        ""
    ),
"")</f>
        <v/>
      </c>
      <c r="O1449" s="292" t="str">
        <f t="array" ref="O1449:P1449">IFERROR(INDEX(PCRent!C:D, MATCH(F1449 &amp; " " &amp; G1449, PCRent!A:A &amp; " " &amp; PCRent!B:B, 0)), "")</f>
        <v>SN:MP2DGHWG</v>
      </c>
      <c r="P1449" s="293" t="s">
        <v>7149</v>
      </c>
      <c r="Q1449" s="294" t="str">
        <f t="array" ref="Q1449">IFERROR(INDEX(MonitorRent!C:D, MATCH(F1449 &amp; " " &amp; G1449, MonitorRent!A:A &amp; " " &amp; MonitorRent!B:B, 0)), "")</f>
        <v/>
      </c>
      <c r="R1449" s="295"/>
    </row>
    <row r="1450">
      <c r="A1450" s="284">
        <v>1447.0</v>
      </c>
      <c r="B1450" s="285" t="s">
        <v>15627</v>
      </c>
      <c r="C1450" s="285" t="s">
        <v>6918</v>
      </c>
      <c r="D1450" s="286" t="s">
        <v>15628</v>
      </c>
      <c r="E1450" s="285" t="s">
        <v>6921</v>
      </c>
      <c r="F1450" s="285" t="s">
        <v>15629</v>
      </c>
      <c r="G1450" s="285" t="s">
        <v>15630</v>
      </c>
      <c r="H1450" s="285" t="s">
        <v>10744</v>
      </c>
      <c r="I1450" s="285" t="s">
        <v>15631</v>
      </c>
      <c r="J1450" s="285" t="s">
        <v>5012</v>
      </c>
      <c r="K1450" s="285" t="s">
        <v>9588</v>
      </c>
      <c r="L1450" s="285" t="s">
        <v>13501</v>
      </c>
      <c r="M1450" s="285" t="s">
        <v>9383</v>
      </c>
      <c r="N1450" s="287" t="str">
        <f>IFERROR(
    IF(
        AND(
            VLOOKUP(B1450, 'รายชื่อพนักงานลาออกพ้นสภาพ'!B:I, 8, FALSE)&lt;&gt;"ยกเลิกลาออก",
            VLOOKUP(B1450, 'รายชื่อพนักงานลาออกพ้นสภาพ'!B:I, 7, FALSE)&lt;=TODAY()
        ),
        "ลาออกแล้ว",
        ""
    ),
"")</f>
        <v/>
      </c>
      <c r="O1450" s="292" t="str">
        <f t="array" ref="O1450:P1450">IFERROR(INDEX(PCRent!C:D, MATCH(F1450 &amp; " " &amp; G1450, PCRent!A:A &amp; " " &amp; PCRent!B:B, 0)), "")</f>
        <v>SN:BZYNPY3</v>
      </c>
      <c r="P1450" s="293" t="s">
        <v>7048</v>
      </c>
      <c r="Q1450" s="294" t="str">
        <f t="array" ref="Q1450:R1450">IFERROR(INDEX(MonitorRent!C:D, MATCH(F1450 &amp; " " &amp; G1450, MonitorRent!A:A &amp; " " &amp; MonitorRent!B:B, 0)), "")</f>
        <v>SN:C7QMYV3</v>
      </c>
      <c r="R1450" s="295" t="s">
        <v>7050</v>
      </c>
    </row>
    <row r="1451">
      <c r="A1451" s="284">
        <v>1448.0</v>
      </c>
      <c r="B1451" s="285" t="s">
        <v>82</v>
      </c>
      <c r="C1451" s="285" t="s">
        <v>6918</v>
      </c>
      <c r="D1451" s="286" t="s">
        <v>10553</v>
      </c>
      <c r="E1451" s="285" t="s">
        <v>6921</v>
      </c>
      <c r="F1451" s="285" t="s">
        <v>15632</v>
      </c>
      <c r="G1451" s="285" t="s">
        <v>15633</v>
      </c>
      <c r="H1451" s="285" t="s">
        <v>11014</v>
      </c>
      <c r="I1451" s="285" t="s">
        <v>85</v>
      </c>
      <c r="J1451" s="285" t="s">
        <v>5012</v>
      </c>
      <c r="K1451" s="285" t="s">
        <v>3000</v>
      </c>
      <c r="L1451" s="285" t="s">
        <v>13020</v>
      </c>
      <c r="M1451" s="285" t="s">
        <v>9383</v>
      </c>
      <c r="N1451" s="287" t="str">
        <f>IFERROR(
    IF(
        AND(
            VLOOKUP(B1451, 'รายชื่อพนักงานลาออกพ้นสภาพ'!B:I, 8, FALSE)&lt;&gt;"ยกเลิกลาออก",
            VLOOKUP(B1451, 'รายชื่อพนักงานลาออกพ้นสภาพ'!B:I, 7, FALSE)&lt;=TODAY()
        ),
        "ลาออกแล้ว",
        ""
    ),
"")</f>
        <v>ลาออกแล้ว</v>
      </c>
      <c r="O1451" s="292" t="str">
        <f t="array" ref="O1451">IFERROR(INDEX(PCRent!C:D, MATCH(F1451 &amp; " " &amp; G1451, PCRent!A:A &amp; " " &amp; PCRent!B:B, 0)), "")</f>
        <v/>
      </c>
      <c r="P1451" s="293"/>
      <c r="Q1451" s="294" t="str">
        <f t="array" ref="Q1451">IFERROR(INDEX(MonitorRent!C:D, MATCH(F1451 &amp; " " &amp; G1451, MonitorRent!A:A &amp; " " &amp; MonitorRent!B:B, 0)), "")</f>
        <v/>
      </c>
      <c r="R1451" s="295"/>
    </row>
    <row r="1452">
      <c r="A1452" s="284">
        <v>1449.0</v>
      </c>
      <c r="B1452" s="285" t="s">
        <v>8943</v>
      </c>
      <c r="C1452" s="285" t="s">
        <v>6918</v>
      </c>
      <c r="D1452" s="286" t="s">
        <v>12674</v>
      </c>
      <c r="E1452" s="285" t="s">
        <v>6921</v>
      </c>
      <c r="F1452" s="285" t="s">
        <v>9967</v>
      </c>
      <c r="G1452" s="285" t="s">
        <v>15634</v>
      </c>
      <c r="H1452" s="285" t="s">
        <v>10884</v>
      </c>
      <c r="I1452" s="285" t="s">
        <v>15635</v>
      </c>
      <c r="J1452" s="285" t="s">
        <v>5224</v>
      </c>
      <c r="K1452" s="285" t="s">
        <v>13577</v>
      </c>
      <c r="L1452" s="285" t="s">
        <v>13555</v>
      </c>
      <c r="M1452" s="285" t="s">
        <v>9383</v>
      </c>
      <c r="N1452" s="287" t="str">
        <f>IFERROR(
    IF(
        AND(
            VLOOKUP(B1452, 'รายชื่อพนักงานลาออกพ้นสภาพ'!B:I, 8, FALSE)&lt;&gt;"ยกเลิกลาออก",
            VLOOKUP(B1452, 'รายชื่อพนักงานลาออกพ้นสภาพ'!B:I, 7, FALSE)&lt;=TODAY()
        ),
        "ลาออกแล้ว",
        ""
    ),
"")</f>
        <v/>
      </c>
      <c r="O1452" s="292" t="str">
        <f t="array" ref="O1452:P1452">IFERROR(INDEX(PCRent!C:D, MATCH(F1452 &amp; " " &amp; G1452, PCRent!A:A &amp; " " &amp; PCRent!B:B, 0)), "")</f>
        <v>SN:PF3A446S</v>
      </c>
      <c r="P1452" s="293" t="s">
        <v>7005</v>
      </c>
      <c r="Q1452" s="294" t="str">
        <f t="array" ref="Q1452">IFERROR(INDEX(MonitorRent!C:D, MATCH(F1452 &amp; " " &amp; G1452, MonitorRent!A:A &amp; " " &amp; MonitorRent!B:B, 0)), "")</f>
        <v/>
      </c>
      <c r="R1452" s="295"/>
    </row>
    <row r="1453">
      <c r="A1453" s="284">
        <v>1450.0</v>
      </c>
      <c r="B1453" s="285" t="s">
        <v>8239</v>
      </c>
      <c r="C1453" s="285" t="s">
        <v>6918</v>
      </c>
      <c r="D1453" s="286" t="s">
        <v>15636</v>
      </c>
      <c r="E1453" s="285" t="s">
        <v>6933</v>
      </c>
      <c r="F1453" s="285" t="s">
        <v>15637</v>
      </c>
      <c r="G1453" s="285" t="s">
        <v>15638</v>
      </c>
      <c r="H1453" s="285" t="s">
        <v>15639</v>
      </c>
      <c r="I1453" s="285" t="s">
        <v>15640</v>
      </c>
      <c r="J1453" s="285" t="s">
        <v>5224</v>
      </c>
      <c r="K1453" s="285" t="s">
        <v>9604</v>
      </c>
      <c r="L1453" s="285" t="s">
        <v>1311</v>
      </c>
      <c r="M1453" s="285" t="s">
        <v>9383</v>
      </c>
      <c r="N1453" s="287" t="str">
        <f>IFERROR(
    IF(
        AND(
            VLOOKUP(B1453, 'รายชื่อพนักงานลาออกพ้นสภาพ'!B:I, 8, FALSE)&lt;&gt;"ยกเลิกลาออก",
            VLOOKUP(B1453, 'รายชื่อพนักงานลาออกพ้นสภาพ'!B:I, 7, FALSE)&lt;=TODAY()
        ),
        "ลาออกแล้ว",
        ""
    ),
"")</f>
        <v/>
      </c>
      <c r="O1453" s="292" t="str">
        <f t="array" ref="O1453:P1453">IFERROR(INDEX(PCRent!C:D, MATCH(F1453 &amp; " " &amp; G1453, PCRent!A:A &amp; " " &amp; PCRent!B:B, 0)), "")</f>
        <v>SN:5YGG754</v>
      </c>
      <c r="P1453" s="293" t="s">
        <v>7299</v>
      </c>
      <c r="Q1453" s="294" t="str">
        <f t="array" ref="Q1453">IFERROR(INDEX(MonitorRent!C:D, MATCH(F1453 &amp; " " &amp; G1453, MonitorRent!A:A &amp; " " &amp; MonitorRent!B:B, 0)), "")</f>
        <v/>
      </c>
      <c r="R1453" s="295"/>
    </row>
    <row r="1454">
      <c r="A1454" s="284">
        <v>1451.0</v>
      </c>
      <c r="B1454" s="285" t="s">
        <v>818</v>
      </c>
      <c r="C1454" s="285" t="s">
        <v>6918</v>
      </c>
      <c r="D1454" s="286" t="s">
        <v>10729</v>
      </c>
      <c r="E1454" s="285" t="s">
        <v>6921</v>
      </c>
      <c r="F1454" s="285" t="s">
        <v>9433</v>
      </c>
      <c r="G1454" s="285" t="s">
        <v>14435</v>
      </c>
      <c r="H1454" s="285" t="s">
        <v>9659</v>
      </c>
      <c r="I1454" s="285" t="s">
        <v>820</v>
      </c>
      <c r="J1454" s="285" t="s">
        <v>5012</v>
      </c>
      <c r="K1454" s="285" t="s">
        <v>3000</v>
      </c>
      <c r="L1454" s="285" t="s">
        <v>9467</v>
      </c>
      <c r="M1454" s="285" t="s">
        <v>9383</v>
      </c>
      <c r="N1454" s="287" t="str">
        <f>IFERROR(
    IF(
        AND(
            VLOOKUP(B1454, 'รายชื่อพนักงานลาออกพ้นสภาพ'!B:I, 8, FALSE)&lt;&gt;"ยกเลิกลาออก",
            VLOOKUP(B1454, 'รายชื่อพนักงานลาออกพ้นสภาพ'!B:I, 7, FALSE)&lt;=TODAY()
        ),
        "ลาออกแล้ว",
        ""
    ),
"")</f>
        <v>ลาออกแล้ว</v>
      </c>
      <c r="O1454" s="292" t="str">
        <f t="array" ref="O1454">IFERROR(INDEX(PCRent!C:D, MATCH(F1454 &amp; " " &amp; G1454, PCRent!A:A &amp; " " &amp; PCRent!B:B, 0)), "")</f>
        <v/>
      </c>
      <c r="P1454" s="293"/>
      <c r="Q1454" s="294" t="str">
        <f t="array" ref="Q1454">IFERROR(INDEX(MonitorRent!C:D, MATCH(F1454 &amp; " " &amp; G1454, MonitorRent!A:A &amp; " " &amp; MonitorRent!B:B, 0)), "")</f>
        <v/>
      </c>
      <c r="R1454" s="295"/>
    </row>
    <row r="1455">
      <c r="A1455" s="284">
        <v>1452.0</v>
      </c>
      <c r="B1455" s="285" t="s">
        <v>15641</v>
      </c>
      <c r="C1455" s="285" t="s">
        <v>6918</v>
      </c>
      <c r="D1455" s="286" t="s">
        <v>15642</v>
      </c>
      <c r="E1455" s="285" t="s">
        <v>6933</v>
      </c>
      <c r="F1455" s="285" t="s">
        <v>15643</v>
      </c>
      <c r="G1455" s="285" t="s">
        <v>15644</v>
      </c>
      <c r="H1455" s="285" t="s">
        <v>9637</v>
      </c>
      <c r="I1455" s="285" t="s">
        <v>15645</v>
      </c>
      <c r="J1455" s="285" t="s">
        <v>5224</v>
      </c>
      <c r="K1455" s="285" t="s">
        <v>2062</v>
      </c>
      <c r="L1455" s="285" t="s">
        <v>363</v>
      </c>
      <c r="M1455" s="285" t="s">
        <v>9391</v>
      </c>
      <c r="N1455" s="287" t="str">
        <f>IFERROR(
    IF(
        AND(
            VLOOKUP(B1455, 'รายชื่อพนักงานลาออกพ้นสภาพ'!B:I, 8, FALSE)&lt;&gt;"ยกเลิกลาออก",
            VLOOKUP(B1455, 'รายชื่อพนักงานลาออกพ้นสภาพ'!B:I, 7, FALSE)&lt;=TODAY()
        ),
        "ลาออกแล้ว",
        ""
    ),
"")</f>
        <v/>
      </c>
      <c r="O1455" s="292" t="str">
        <f t="array" ref="O1455">IFERROR(INDEX(PCRent!C:D, MATCH(F1455 &amp; " " &amp; G1455, PCRent!A:A &amp; " " &amp; PCRent!B:B, 0)), "")</f>
        <v/>
      </c>
      <c r="P1455" s="293"/>
      <c r="Q1455" s="294" t="str">
        <f t="array" ref="Q1455">IFERROR(INDEX(MonitorRent!C:D, MATCH(F1455 &amp; " " &amp; G1455, MonitorRent!A:A &amp; " " &amp; MonitorRent!B:B, 0)), "")</f>
        <v/>
      </c>
      <c r="R1455" s="295"/>
    </row>
    <row r="1456">
      <c r="A1456" s="284">
        <v>1453.0</v>
      </c>
      <c r="B1456" s="285" t="s">
        <v>15646</v>
      </c>
      <c r="C1456" s="285" t="s">
        <v>6918</v>
      </c>
      <c r="D1456" s="286" t="s">
        <v>15647</v>
      </c>
      <c r="E1456" s="285" t="s">
        <v>6921</v>
      </c>
      <c r="F1456" s="285" t="s">
        <v>15648</v>
      </c>
      <c r="G1456" s="285" t="s">
        <v>15649</v>
      </c>
      <c r="H1456" s="285" t="s">
        <v>10749</v>
      </c>
      <c r="I1456" s="285" t="s">
        <v>15650</v>
      </c>
      <c r="J1456" s="285" t="s">
        <v>5012</v>
      </c>
      <c r="K1456" s="285" t="s">
        <v>9588</v>
      </c>
      <c r="L1456" s="285" t="s">
        <v>13390</v>
      </c>
      <c r="M1456" s="285" t="s">
        <v>9383</v>
      </c>
      <c r="N1456" s="287" t="str">
        <f>IFERROR(
    IF(
        AND(
            VLOOKUP(B1456, 'รายชื่อพนักงานลาออกพ้นสภาพ'!B:I, 8, FALSE)&lt;&gt;"ยกเลิกลาออก",
            VLOOKUP(B1456, 'รายชื่อพนักงานลาออกพ้นสภาพ'!B:I, 7, FALSE)&lt;=TODAY()
        ),
        "ลาออกแล้ว",
        ""
    ),
"")</f>
        <v/>
      </c>
      <c r="O1456" s="292" t="str">
        <f t="array" ref="O1456:P1456">IFERROR(INDEX(PCRent!C:D, MATCH(F1456 &amp; " " &amp; G1456, PCRent!A:A &amp; " " &amp; PCRent!B:B, 0)), "")</f>
        <v>SN:7X8BXW3</v>
      </c>
      <c r="P1456" s="293" t="s">
        <v>7048</v>
      </c>
      <c r="Q1456" s="294" t="str">
        <f t="array" ref="Q1456:R1456">IFERROR(INDEX(MonitorRent!C:D, MATCH(F1456 &amp; " " &amp; G1456, MonitorRent!A:A &amp; " " &amp; MonitorRent!B:B, 0)), "")</f>
        <v>SN:FYK8KT3</v>
      </c>
      <c r="R1456" s="295" t="s">
        <v>7050</v>
      </c>
    </row>
    <row r="1457">
      <c r="A1457" s="284">
        <v>1454.0</v>
      </c>
      <c r="B1457" s="285" t="s">
        <v>15651</v>
      </c>
      <c r="C1457" s="285" t="s">
        <v>6918</v>
      </c>
      <c r="D1457" s="286" t="s">
        <v>15652</v>
      </c>
      <c r="E1457" s="285" t="s">
        <v>7239</v>
      </c>
      <c r="F1457" s="285" t="s">
        <v>12398</v>
      </c>
      <c r="G1457" s="285" t="s">
        <v>15653</v>
      </c>
      <c r="H1457" s="285" t="s">
        <v>9456</v>
      </c>
      <c r="I1457" s="285" t="s">
        <v>15654</v>
      </c>
      <c r="J1457" s="285" t="s">
        <v>5224</v>
      </c>
      <c r="K1457" s="285" t="s">
        <v>13769</v>
      </c>
      <c r="L1457" s="285" t="s">
        <v>3041</v>
      </c>
      <c r="M1457" s="285" t="s">
        <v>9383</v>
      </c>
      <c r="N1457" s="287" t="str">
        <f>IFERROR(
    IF(
        AND(
            VLOOKUP(B1457, 'รายชื่อพนักงานลาออกพ้นสภาพ'!B:I, 8, FALSE)&lt;&gt;"ยกเลิกลาออก",
            VLOOKUP(B1457, 'รายชื่อพนักงานลาออกพ้นสภาพ'!B:I, 7, FALSE)&lt;=TODAY()
        ),
        "ลาออกแล้ว",
        ""
    ),
"")</f>
        <v/>
      </c>
      <c r="O1457" s="292" t="str">
        <f t="array" ref="O1457">IFERROR(INDEX(PCRent!C:D, MATCH(F1457 &amp; " " &amp; G1457, PCRent!A:A &amp; " " &amp; PCRent!B:B, 0)), "")</f>
        <v/>
      </c>
      <c r="P1457" s="293"/>
      <c r="Q1457" s="294" t="str">
        <f t="array" ref="Q1457">IFERROR(INDEX(MonitorRent!C:D, MATCH(F1457 &amp; " " &amp; G1457, MonitorRent!A:A &amp; " " &amp; MonitorRent!B:B, 0)), "")</f>
        <v/>
      </c>
      <c r="R1457" s="295"/>
    </row>
    <row r="1458">
      <c r="A1458" s="284">
        <v>1455.0</v>
      </c>
      <c r="B1458" s="285" t="s">
        <v>7864</v>
      </c>
      <c r="C1458" s="285" t="s">
        <v>6918</v>
      </c>
      <c r="D1458" s="286" t="s">
        <v>10222</v>
      </c>
      <c r="E1458" s="285" t="s">
        <v>6921</v>
      </c>
      <c r="F1458" s="285" t="s">
        <v>12041</v>
      </c>
      <c r="G1458" s="285" t="s">
        <v>13333</v>
      </c>
      <c r="H1458" s="285" t="s">
        <v>10086</v>
      </c>
      <c r="I1458" s="285" t="s">
        <v>15655</v>
      </c>
      <c r="J1458" s="285" t="s">
        <v>5224</v>
      </c>
      <c r="K1458" s="285" t="s">
        <v>12963</v>
      </c>
      <c r="L1458" s="285" t="s">
        <v>7857</v>
      </c>
      <c r="M1458" s="285" t="s">
        <v>9383</v>
      </c>
      <c r="N1458" s="287" t="str">
        <f>IFERROR(
    IF(
        AND(
            VLOOKUP(B1458, 'รายชื่อพนักงานลาออกพ้นสภาพ'!B:I, 8, FALSE)&lt;&gt;"ยกเลิกลาออก",
            VLOOKUP(B1458, 'รายชื่อพนักงานลาออกพ้นสภาพ'!B:I, 7, FALSE)&lt;=TODAY()
        ),
        "ลาออกแล้ว",
        ""
    ),
"")</f>
        <v/>
      </c>
      <c r="O1458" s="292" t="str">
        <f t="array" ref="O1458:P1458">IFERROR(INDEX(PCRent!C:D, MATCH(F1458 &amp; " " &amp; G1458, PCRent!A:A &amp; " " &amp; PCRent!B:B, 0)), "")</f>
        <v>SN:MP2ELLW0</v>
      </c>
      <c r="P1458" s="293" t="s">
        <v>6993</v>
      </c>
      <c r="Q1458" s="294" t="str">
        <f t="array" ref="Q1458">IFERROR(INDEX(MonitorRent!C:D, MATCH(F1458 &amp; " " &amp; G1458, MonitorRent!A:A &amp; " " &amp; MonitorRent!B:B, 0)), "")</f>
        <v/>
      </c>
      <c r="R1458" s="295"/>
    </row>
    <row r="1459">
      <c r="A1459" s="284">
        <v>1456.0</v>
      </c>
      <c r="B1459" s="285" t="s">
        <v>15656</v>
      </c>
      <c r="C1459" s="285" t="s">
        <v>6918</v>
      </c>
      <c r="D1459" s="286" t="s">
        <v>15657</v>
      </c>
      <c r="E1459" s="285" t="s">
        <v>6921</v>
      </c>
      <c r="F1459" s="285" t="s">
        <v>12041</v>
      </c>
      <c r="G1459" s="285" t="s">
        <v>15658</v>
      </c>
      <c r="H1459" s="285" t="s">
        <v>9956</v>
      </c>
      <c r="I1459" s="285" t="s">
        <v>15659</v>
      </c>
      <c r="J1459" s="285" t="s">
        <v>5012</v>
      </c>
      <c r="K1459" s="285" t="s">
        <v>4818</v>
      </c>
      <c r="L1459" s="285" t="s">
        <v>9812</v>
      </c>
      <c r="M1459" s="285" t="s">
        <v>9383</v>
      </c>
      <c r="N1459" s="287" t="str">
        <f>IFERROR(
    IF(
        AND(
            VLOOKUP(B1459, 'รายชื่อพนักงานลาออกพ้นสภาพ'!B:I, 8, FALSE)&lt;&gt;"ยกเลิกลาออก",
            VLOOKUP(B1459, 'รายชื่อพนักงานลาออกพ้นสภาพ'!B:I, 7, FALSE)&lt;=TODAY()
        ),
        "ลาออกแล้ว",
        ""
    ),
"")</f>
        <v/>
      </c>
      <c r="O1459" s="292" t="str">
        <f t="array" ref="O1459:P1459">IFERROR(INDEX(PCRent!C:D, MATCH(F1459 &amp; " " &amp; G1459, PCRent!A:A &amp; " " &amp; PCRent!B:B, 0)), "")</f>
        <v>SN:MP2M8JMC</v>
      </c>
      <c r="P1459" s="293" t="s">
        <v>7248</v>
      </c>
      <c r="Q1459" s="294" t="str">
        <f t="array" ref="Q1459">IFERROR(INDEX(MonitorRent!C:D, MATCH(F1459 &amp; " " &amp; G1459, MonitorRent!A:A &amp; " " &amp; MonitorRent!B:B, 0)), "")</f>
        <v/>
      </c>
      <c r="R1459" s="295"/>
    </row>
    <row r="1460">
      <c r="A1460" s="284">
        <v>1457.0</v>
      </c>
      <c r="B1460" s="285" t="s">
        <v>360</v>
      </c>
      <c r="C1460" s="285" t="s">
        <v>6918</v>
      </c>
      <c r="D1460" s="286" t="s">
        <v>14506</v>
      </c>
      <c r="E1460" s="285" t="s">
        <v>6921</v>
      </c>
      <c r="F1460" s="285" t="s">
        <v>12041</v>
      </c>
      <c r="G1460" s="285" t="s">
        <v>15660</v>
      </c>
      <c r="H1460" s="285" t="s">
        <v>15661</v>
      </c>
      <c r="I1460" s="285" t="s">
        <v>364</v>
      </c>
      <c r="J1460" s="285" t="s">
        <v>5224</v>
      </c>
      <c r="K1460" s="285" t="s">
        <v>9458</v>
      </c>
      <c r="L1460" s="285" t="s">
        <v>363</v>
      </c>
      <c r="M1460" s="285" t="s">
        <v>9383</v>
      </c>
      <c r="N1460" s="287" t="str">
        <f>IFERROR(
    IF(
        AND(
            VLOOKUP(B1460, 'รายชื่อพนักงานลาออกพ้นสภาพ'!B:I, 8, FALSE)&lt;&gt;"ยกเลิกลาออก",
            VLOOKUP(B1460, 'รายชื่อพนักงานลาออกพ้นสภาพ'!B:I, 7, FALSE)&lt;=TODAY()
        ),
        "ลาออกแล้ว",
        ""
    ),
"")</f>
        <v>ลาออกแล้ว</v>
      </c>
      <c r="O1460" s="292" t="str">
        <f t="array" ref="O1460:P1460">IFERROR(INDEX(PCRent!C:D, MATCH(F1460 &amp; " " &amp; G1460, PCRent!A:A &amp; " " &amp; PCRent!B:B, 0)), "")</f>
        <v>SN:PF39FPCB</v>
      </c>
      <c r="P1460" s="293" t="s">
        <v>7005</v>
      </c>
      <c r="Q1460" s="294" t="str">
        <f t="array" ref="Q1460">IFERROR(INDEX(MonitorRent!C:D, MATCH(F1460 &amp; " " &amp; G1460, MonitorRent!A:A &amp; " " &amp; MonitorRent!B:B, 0)), "")</f>
        <v/>
      </c>
      <c r="R1460" s="295"/>
    </row>
    <row r="1461">
      <c r="A1461" s="284">
        <v>1458.0</v>
      </c>
      <c r="B1461" s="285" t="s">
        <v>7103</v>
      </c>
      <c r="C1461" s="285" t="s">
        <v>6918</v>
      </c>
      <c r="D1461" s="286" t="s">
        <v>15662</v>
      </c>
      <c r="E1461" s="285" t="s">
        <v>6921</v>
      </c>
      <c r="F1461" s="285" t="s">
        <v>9980</v>
      </c>
      <c r="G1461" s="285" t="s">
        <v>15663</v>
      </c>
      <c r="H1461" s="285" t="s">
        <v>9754</v>
      </c>
      <c r="I1461" s="285" t="s">
        <v>15664</v>
      </c>
      <c r="J1461" s="285" t="s">
        <v>5224</v>
      </c>
      <c r="K1461" s="285" t="s">
        <v>4756</v>
      </c>
      <c r="L1461" s="285" t="s">
        <v>13600</v>
      </c>
      <c r="M1461" s="285" t="s">
        <v>9383</v>
      </c>
      <c r="N1461" s="287" t="str">
        <f>IFERROR(
    IF(
        AND(
            VLOOKUP(B1461, 'รายชื่อพนักงานลาออกพ้นสภาพ'!B:I, 8, FALSE)&lt;&gt;"ยกเลิกลาออก",
            VLOOKUP(B1461, 'รายชื่อพนักงานลาออกพ้นสภาพ'!B:I, 7, FALSE)&lt;=TODAY()
        ),
        "ลาออกแล้ว",
        ""
    ),
"")</f>
        <v/>
      </c>
      <c r="O1461" s="292" t="str">
        <f t="array" ref="O1461:P1461">IFERROR(INDEX(PCRent!C:D, MATCH(F1461 &amp; " " &amp; G1461, PCRent!A:A &amp; " " &amp; PCRent!B:B, 0)), "")</f>
        <v>SN:MP2ET69Z</v>
      </c>
      <c r="P1461" s="293" t="s">
        <v>7070</v>
      </c>
      <c r="Q1461" s="294" t="str">
        <f t="array" ref="Q1461">IFERROR(INDEX(MonitorRent!C:D, MATCH(F1461 &amp; " " &amp; G1461, MonitorRent!A:A &amp; " " &amp; MonitorRent!B:B, 0)), "")</f>
        <v/>
      </c>
      <c r="R1461" s="295"/>
    </row>
    <row r="1462">
      <c r="A1462" s="284">
        <v>1459.0</v>
      </c>
      <c r="B1462" s="285" t="s">
        <v>8510</v>
      </c>
      <c r="C1462" s="285" t="s">
        <v>6918</v>
      </c>
      <c r="D1462" s="286" t="s">
        <v>13124</v>
      </c>
      <c r="E1462" s="285" t="s">
        <v>6921</v>
      </c>
      <c r="F1462" s="285" t="s">
        <v>12045</v>
      </c>
      <c r="G1462" s="285" t="s">
        <v>15665</v>
      </c>
      <c r="H1462" s="285" t="s">
        <v>10345</v>
      </c>
      <c r="I1462" s="285" t="s">
        <v>15666</v>
      </c>
      <c r="J1462" s="285" t="s">
        <v>5224</v>
      </c>
      <c r="K1462" s="285" t="s">
        <v>15667</v>
      </c>
      <c r="L1462" s="285" t="s">
        <v>13363</v>
      </c>
      <c r="M1462" s="285" t="s">
        <v>9383</v>
      </c>
      <c r="N1462" s="287" t="str">
        <f>IFERROR(
    IF(
        AND(
            VLOOKUP(B1462, 'รายชื่อพนักงานลาออกพ้นสภาพ'!B:I, 8, FALSE)&lt;&gt;"ยกเลิกลาออก",
            VLOOKUP(B1462, 'รายชื่อพนักงานลาออกพ้นสภาพ'!B:I, 7, FALSE)&lt;=TODAY()
        ),
        "ลาออกแล้ว",
        ""
    ),
"")</f>
        <v/>
      </c>
      <c r="O1462" s="292" t="str">
        <f t="array" ref="O1462">IFERROR(INDEX(PCRent!C:D, MATCH(F1462 &amp; " " &amp; G1462, PCRent!A:A &amp; " " &amp; PCRent!B:B, 0)), "")</f>
        <v/>
      </c>
      <c r="P1462" s="293"/>
      <c r="Q1462" s="294" t="str">
        <f t="array" ref="Q1462">IFERROR(INDEX(MonitorRent!C:D, MATCH(F1462 &amp; " " &amp; G1462, MonitorRent!A:A &amp; " " &amp; MonitorRent!B:B, 0)), "")</f>
        <v/>
      </c>
      <c r="R1462" s="295"/>
    </row>
    <row r="1463">
      <c r="A1463" s="284">
        <v>1460.0</v>
      </c>
      <c r="B1463" s="285" t="s">
        <v>7886</v>
      </c>
      <c r="C1463" s="285" t="s">
        <v>6918</v>
      </c>
      <c r="D1463" s="286" t="s">
        <v>10012</v>
      </c>
      <c r="E1463" s="285" t="s">
        <v>6921</v>
      </c>
      <c r="F1463" s="285" t="s">
        <v>12045</v>
      </c>
      <c r="G1463" s="285" t="s">
        <v>15668</v>
      </c>
      <c r="H1463" s="285" t="s">
        <v>15669</v>
      </c>
      <c r="I1463" s="285" t="s">
        <v>15670</v>
      </c>
      <c r="J1463" s="285" t="s">
        <v>5012</v>
      </c>
      <c r="K1463" s="285" t="s">
        <v>14289</v>
      </c>
      <c r="L1463" s="285" t="s">
        <v>7857</v>
      </c>
      <c r="M1463" s="285" t="s">
        <v>9383</v>
      </c>
      <c r="N1463" s="287" t="str">
        <f>IFERROR(
    IF(
        AND(
            VLOOKUP(B1463, 'รายชื่อพนักงานลาออกพ้นสภาพ'!B:I, 8, FALSE)&lt;&gt;"ยกเลิกลาออก",
            VLOOKUP(B1463, 'รายชื่อพนักงานลาออกพ้นสภาพ'!B:I, 7, FALSE)&lt;=TODAY()
        ),
        "ลาออกแล้ว",
        ""
    ),
"")</f>
        <v/>
      </c>
      <c r="O1463" s="292" t="str">
        <f t="array" ref="O1463:P1463">IFERROR(INDEX(PCRent!C:D, MATCH(F1463 &amp; " " &amp; G1463, PCRent!A:A &amp; " " &amp; PCRent!B:B, 0)), "")</f>
        <v>SN:PF3A482W</v>
      </c>
      <c r="P1463" s="293" t="s">
        <v>7005</v>
      </c>
      <c r="Q1463" s="294" t="str">
        <f t="array" ref="Q1463">IFERROR(INDEX(MonitorRent!C:D, MATCH(F1463 &amp; " " &amp; G1463, MonitorRent!A:A &amp; " " &amp; MonitorRent!B:B, 0)), "")</f>
        <v/>
      </c>
      <c r="R1463" s="295"/>
    </row>
    <row r="1464">
      <c r="A1464" s="284">
        <v>1461.0</v>
      </c>
      <c r="B1464" s="285" t="s">
        <v>7902</v>
      </c>
      <c r="C1464" s="285" t="s">
        <v>6918</v>
      </c>
      <c r="D1464" s="286" t="s">
        <v>15671</v>
      </c>
      <c r="E1464" s="285" t="s">
        <v>6921</v>
      </c>
      <c r="F1464" s="285" t="s">
        <v>15672</v>
      </c>
      <c r="G1464" s="285" t="s">
        <v>15673</v>
      </c>
      <c r="H1464" s="285" t="s">
        <v>11493</v>
      </c>
      <c r="I1464" s="285" t="s">
        <v>15674</v>
      </c>
      <c r="J1464" s="285" t="s">
        <v>5224</v>
      </c>
      <c r="K1464" s="285" t="s">
        <v>4749</v>
      </c>
      <c r="L1464" s="285" t="s">
        <v>5805</v>
      </c>
      <c r="M1464" s="285" t="s">
        <v>9383</v>
      </c>
      <c r="N1464" s="287" t="str">
        <f>IFERROR(
    IF(
        AND(
            VLOOKUP(B1464, 'รายชื่อพนักงานลาออกพ้นสภาพ'!B:I, 8, FALSE)&lt;&gt;"ยกเลิกลาออก",
            VLOOKUP(B1464, 'รายชื่อพนักงานลาออกพ้นสภาพ'!B:I, 7, FALSE)&lt;=TODAY()
        ),
        "ลาออกแล้ว",
        ""
    ),
"")</f>
        <v/>
      </c>
      <c r="O1464" s="292" t="str">
        <f t="array" ref="O1464">IFERROR(INDEX(PCRent!C:D, MATCH(F1464 &amp; " " &amp; G1464, PCRent!A:A &amp; " " &amp; PCRent!B:B, 0)), "")</f>
        <v/>
      </c>
      <c r="P1464" s="293"/>
      <c r="Q1464" s="294" t="str">
        <f t="array" ref="Q1464">IFERROR(INDEX(MonitorRent!C:D, MATCH(F1464 &amp; " " &amp; G1464, MonitorRent!A:A &amp; " " &amp; MonitorRent!B:B, 0)), "")</f>
        <v/>
      </c>
      <c r="R1464" s="295"/>
    </row>
    <row r="1465">
      <c r="A1465" s="284">
        <v>1462.0</v>
      </c>
      <c r="B1465" s="285" t="s">
        <v>15675</v>
      </c>
      <c r="C1465" s="285" t="s">
        <v>6918</v>
      </c>
      <c r="D1465" s="286" t="s">
        <v>13092</v>
      </c>
      <c r="E1465" s="285" t="s">
        <v>6933</v>
      </c>
      <c r="F1465" s="285" t="s">
        <v>15676</v>
      </c>
      <c r="G1465" s="285" t="s">
        <v>15677</v>
      </c>
      <c r="H1465" s="285" t="s">
        <v>9456</v>
      </c>
      <c r="I1465" s="285" t="s">
        <v>15678</v>
      </c>
      <c r="J1465" s="285" t="s">
        <v>5012</v>
      </c>
      <c r="K1465" s="285" t="s">
        <v>9474</v>
      </c>
      <c r="L1465" s="285" t="s">
        <v>4077</v>
      </c>
      <c r="M1465" s="285" t="s">
        <v>9383</v>
      </c>
      <c r="N1465" s="287" t="str">
        <f>IFERROR(
    IF(
        AND(
            VLOOKUP(B1465, 'รายชื่อพนักงานลาออกพ้นสภาพ'!B:I, 8, FALSE)&lt;&gt;"ยกเลิกลาออก",
            VLOOKUP(B1465, 'รายชื่อพนักงานลาออกพ้นสภาพ'!B:I, 7, FALSE)&lt;=TODAY()
        ),
        "ลาออกแล้ว",
        ""
    ),
"")</f>
        <v/>
      </c>
      <c r="O1465" s="292" t="str">
        <f t="array" ref="O1465">IFERROR(INDEX(PCRent!C:D, MATCH(F1465 &amp; " " &amp; G1465, PCRent!A:A &amp; " " &amp; PCRent!B:B, 0)), "")</f>
        <v/>
      </c>
      <c r="P1465" s="293"/>
      <c r="Q1465" s="294" t="str">
        <f t="array" ref="Q1465">IFERROR(INDEX(MonitorRent!C:D, MATCH(F1465 &amp; " " &amp; G1465, MonitorRent!A:A &amp; " " &amp; MonitorRent!B:B, 0)), "")</f>
        <v/>
      </c>
      <c r="R1465" s="295"/>
    </row>
    <row r="1466">
      <c r="A1466" s="284">
        <v>1463.0</v>
      </c>
      <c r="B1466" s="285" t="s">
        <v>205</v>
      </c>
      <c r="C1466" s="285" t="s">
        <v>6918</v>
      </c>
      <c r="D1466" s="286" t="s">
        <v>13314</v>
      </c>
      <c r="E1466" s="285" t="s">
        <v>6933</v>
      </c>
      <c r="F1466" s="285" t="s">
        <v>15679</v>
      </c>
      <c r="G1466" s="285" t="s">
        <v>15680</v>
      </c>
      <c r="H1466" s="285" t="s">
        <v>11777</v>
      </c>
      <c r="I1466" s="285" t="s">
        <v>208</v>
      </c>
      <c r="J1466" s="285" t="s">
        <v>5012</v>
      </c>
      <c r="K1466" s="285" t="s">
        <v>9521</v>
      </c>
      <c r="L1466" s="285" t="s">
        <v>13501</v>
      </c>
      <c r="M1466" s="285" t="s">
        <v>9383</v>
      </c>
      <c r="N1466" s="287" t="str">
        <f>IFERROR(
    IF(
        AND(
            VLOOKUP(B1466, 'รายชื่อพนักงานลาออกพ้นสภาพ'!B:I, 8, FALSE)&lt;&gt;"ยกเลิกลาออก",
            VLOOKUP(B1466, 'รายชื่อพนักงานลาออกพ้นสภาพ'!B:I, 7, FALSE)&lt;=TODAY()
        ),
        "ลาออกแล้ว",
        ""
    ),
"")</f>
        <v>ลาออกแล้ว</v>
      </c>
      <c r="O1466" s="292" t="str">
        <f t="array" ref="O1466">IFERROR(INDEX(PCRent!C:D, MATCH(F1466 &amp; " " &amp; G1466, PCRent!A:A &amp; " " &amp; PCRent!B:B, 0)), "")</f>
        <v/>
      </c>
      <c r="P1466" s="293"/>
      <c r="Q1466" s="294" t="str">
        <f t="array" ref="Q1466">IFERROR(INDEX(MonitorRent!C:D, MATCH(F1466 &amp; " " &amp; G1466, MonitorRent!A:A &amp; " " &amp; MonitorRent!B:B, 0)), "")</f>
        <v/>
      </c>
      <c r="R1466" s="295"/>
    </row>
    <row r="1467">
      <c r="A1467" s="284">
        <v>1464.0</v>
      </c>
      <c r="B1467" s="285" t="s">
        <v>4770</v>
      </c>
      <c r="C1467" s="285" t="s">
        <v>6918</v>
      </c>
      <c r="D1467" s="286" t="s">
        <v>10868</v>
      </c>
      <c r="E1467" s="285" t="s">
        <v>6933</v>
      </c>
      <c r="F1467" s="285" t="s">
        <v>15681</v>
      </c>
      <c r="G1467" s="285" t="s">
        <v>15682</v>
      </c>
      <c r="H1467" s="285" t="s">
        <v>9538</v>
      </c>
      <c r="I1467" s="285" t="s">
        <v>4771</v>
      </c>
      <c r="J1467" s="285" t="s">
        <v>5224</v>
      </c>
      <c r="K1467" s="285" t="s">
        <v>4756</v>
      </c>
      <c r="L1467" s="285" t="s">
        <v>14537</v>
      </c>
      <c r="M1467" s="285" t="s">
        <v>9383</v>
      </c>
      <c r="N1467" s="287" t="str">
        <f>IFERROR(
    IF(
        AND(
            VLOOKUP(B1467, 'รายชื่อพนักงานลาออกพ้นสภาพ'!B:I, 8, FALSE)&lt;&gt;"ยกเลิกลาออก",
            VLOOKUP(B1467, 'รายชื่อพนักงานลาออกพ้นสภาพ'!B:I, 7, FALSE)&lt;=TODAY()
        ),
        "ลาออกแล้ว",
        ""
    ),
"")</f>
        <v/>
      </c>
      <c r="O1467" s="292" t="str">
        <f t="array" ref="O1467:P1467">IFERROR(INDEX(PCRent!C:D, MATCH(F1467 &amp; " " &amp; G1467, PCRent!A:A &amp; " " &amp; PCRent!B:B, 0)), "")</f>
        <v>SN:CCBBS64</v>
      </c>
      <c r="P1467" s="293" t="s">
        <v>7299</v>
      </c>
      <c r="Q1467" s="294" t="str">
        <f t="array" ref="Q1467">IFERROR(INDEX(MonitorRent!C:D, MATCH(F1467 &amp; " " &amp; G1467, MonitorRent!A:A &amp; " " &amp; MonitorRent!B:B, 0)), "")</f>
        <v/>
      </c>
      <c r="R1467" s="295"/>
    </row>
    <row r="1468">
      <c r="A1468" s="284">
        <v>1465.0</v>
      </c>
      <c r="B1468" s="285" t="s">
        <v>15683</v>
      </c>
      <c r="C1468" s="285" t="s">
        <v>6918</v>
      </c>
      <c r="D1468" s="286" t="s">
        <v>15684</v>
      </c>
      <c r="E1468" s="285" t="s">
        <v>6933</v>
      </c>
      <c r="F1468" s="285" t="s">
        <v>12048</v>
      </c>
      <c r="G1468" s="285" t="s">
        <v>15685</v>
      </c>
      <c r="H1468" s="285" t="s">
        <v>15686</v>
      </c>
      <c r="I1468" s="285" t="s">
        <v>15687</v>
      </c>
      <c r="J1468" s="285" t="s">
        <v>5012</v>
      </c>
      <c r="K1468" s="285" t="s">
        <v>9796</v>
      </c>
      <c r="L1468" s="285" t="s">
        <v>13172</v>
      </c>
      <c r="M1468" s="285" t="s">
        <v>9383</v>
      </c>
      <c r="N1468" s="287" t="str">
        <f>IFERROR(
    IF(
        AND(
            VLOOKUP(B1468, 'รายชื่อพนักงานลาออกพ้นสภาพ'!B:I, 8, FALSE)&lt;&gt;"ยกเลิกลาออก",
            VLOOKUP(B1468, 'รายชื่อพนักงานลาออกพ้นสภาพ'!B:I, 7, FALSE)&lt;=TODAY()
        ),
        "ลาออกแล้ว",
        ""
    ),
"")</f>
        <v/>
      </c>
      <c r="O1468" s="292" t="str">
        <f t="array" ref="O1468">IFERROR(INDEX(PCRent!C:D, MATCH(F1468 &amp; " " &amp; G1468, PCRent!A:A &amp; " " &amp; PCRent!B:B, 0)), "")</f>
        <v/>
      </c>
      <c r="P1468" s="293"/>
      <c r="Q1468" s="294" t="str">
        <f t="array" ref="Q1468">IFERROR(INDEX(MonitorRent!C:D, MATCH(F1468 &amp; " " &amp; G1468, MonitorRent!A:A &amp; " " &amp; MonitorRent!B:B, 0)), "")</f>
        <v/>
      </c>
      <c r="R1468" s="295"/>
    </row>
    <row r="1469">
      <c r="A1469" s="284">
        <v>1466.0</v>
      </c>
      <c r="B1469" s="285" t="s">
        <v>7876</v>
      </c>
      <c r="C1469" s="285" t="s">
        <v>6918</v>
      </c>
      <c r="D1469" s="286" t="s">
        <v>11937</v>
      </c>
      <c r="E1469" s="285" t="s">
        <v>6933</v>
      </c>
      <c r="F1469" s="285" t="s">
        <v>12053</v>
      </c>
      <c r="G1469" s="285" t="s">
        <v>15688</v>
      </c>
      <c r="H1469" s="285" t="s">
        <v>10920</v>
      </c>
      <c r="I1469" s="285" t="s">
        <v>15689</v>
      </c>
      <c r="J1469" s="285" t="s">
        <v>5012</v>
      </c>
      <c r="K1469" s="285" t="s">
        <v>14289</v>
      </c>
      <c r="L1469" s="285" t="s">
        <v>7857</v>
      </c>
      <c r="M1469" s="285" t="s">
        <v>9383</v>
      </c>
      <c r="N1469" s="287" t="str">
        <f>IFERROR(
    IF(
        AND(
            VLOOKUP(B1469, 'รายชื่อพนักงานลาออกพ้นสภาพ'!B:I, 8, FALSE)&lt;&gt;"ยกเลิกลาออก",
            VLOOKUP(B1469, 'รายชื่อพนักงานลาออกพ้นสภาพ'!B:I, 7, FALSE)&lt;=TODAY()
        ),
        "ลาออกแล้ว",
        ""
    ),
"")</f>
        <v/>
      </c>
      <c r="O1469" s="292" t="str">
        <f t="array" ref="O1469:P1469">IFERROR(INDEX(PCRent!C:D, MATCH(F1469 &amp; " " &amp; G1469, PCRent!A:A &amp; " " &amp; PCRent!B:B, 0)), "")</f>
        <v>SN:PF37TR31</v>
      </c>
      <c r="P1469" s="293" t="s">
        <v>7005</v>
      </c>
      <c r="Q1469" s="294" t="str">
        <f t="array" ref="Q1469">IFERROR(INDEX(MonitorRent!C:D, MATCH(F1469 &amp; " " &amp; G1469, MonitorRent!A:A &amp; " " &amp; MonitorRent!B:B, 0)), "")</f>
        <v/>
      </c>
      <c r="R1469" s="295"/>
    </row>
    <row r="1470">
      <c r="A1470" s="284">
        <v>1467.0</v>
      </c>
      <c r="B1470" s="285" t="s">
        <v>8822</v>
      </c>
      <c r="C1470" s="285" t="s">
        <v>6918</v>
      </c>
      <c r="D1470" s="286" t="s">
        <v>9634</v>
      </c>
      <c r="E1470" s="285" t="s">
        <v>6921</v>
      </c>
      <c r="F1470" s="285" t="s">
        <v>15690</v>
      </c>
      <c r="G1470" s="285" t="s">
        <v>15691</v>
      </c>
      <c r="H1470" s="285" t="s">
        <v>12578</v>
      </c>
      <c r="I1470" s="285" t="s">
        <v>15692</v>
      </c>
      <c r="J1470" s="285" t="s">
        <v>5224</v>
      </c>
      <c r="K1470" s="285" t="s">
        <v>1456</v>
      </c>
      <c r="L1470" s="285" t="s">
        <v>363</v>
      </c>
      <c r="M1470" s="285" t="s">
        <v>9383</v>
      </c>
      <c r="N1470" s="287" t="str">
        <f>IFERROR(
    IF(
        AND(
            VLOOKUP(B1470, 'รายชื่อพนักงานลาออกพ้นสภาพ'!B:I, 8, FALSE)&lt;&gt;"ยกเลิกลาออก",
            VLOOKUP(B1470, 'รายชื่อพนักงานลาออกพ้นสภาพ'!B:I, 7, FALSE)&lt;=TODAY()
        ),
        "ลาออกแล้ว",
        ""
    ),
"")</f>
        <v/>
      </c>
      <c r="O1470" s="292" t="str">
        <f t="array" ref="O1470">IFERROR(INDEX(PCRent!C:D, MATCH(F1470 &amp; " " &amp; G1470, PCRent!A:A &amp; " " &amp; PCRent!B:B, 0)), "")</f>
        <v/>
      </c>
      <c r="P1470" s="293"/>
      <c r="Q1470" s="294" t="str">
        <f t="array" ref="Q1470">IFERROR(INDEX(MonitorRent!C:D, MATCH(F1470 &amp; " " &amp; G1470, MonitorRent!A:A &amp; " " &amp; MonitorRent!B:B, 0)), "")</f>
        <v/>
      </c>
      <c r="R1470" s="295"/>
    </row>
    <row r="1471">
      <c r="A1471" s="284">
        <v>1468.0</v>
      </c>
      <c r="B1471" s="285" t="s">
        <v>7491</v>
      </c>
      <c r="C1471" s="285" t="s">
        <v>6918</v>
      </c>
      <c r="D1471" s="286" t="s">
        <v>10501</v>
      </c>
      <c r="E1471" s="285" t="s">
        <v>6921</v>
      </c>
      <c r="F1471" s="285" t="s">
        <v>15693</v>
      </c>
      <c r="G1471" s="285" t="s">
        <v>15694</v>
      </c>
      <c r="H1471" s="285" t="s">
        <v>13160</v>
      </c>
      <c r="I1471" s="285" t="s">
        <v>15695</v>
      </c>
      <c r="J1471" s="285" t="s">
        <v>5224</v>
      </c>
      <c r="K1471" s="285" t="s">
        <v>15696</v>
      </c>
      <c r="L1471" s="285" t="s">
        <v>14869</v>
      </c>
      <c r="M1471" s="285" t="s">
        <v>9383</v>
      </c>
      <c r="N1471" s="287" t="str">
        <f>IFERROR(
    IF(
        AND(
            VLOOKUP(B1471, 'รายชื่อพนักงานลาออกพ้นสภาพ'!B:I, 8, FALSE)&lt;&gt;"ยกเลิกลาออก",
            VLOOKUP(B1471, 'รายชื่อพนักงานลาออกพ้นสภาพ'!B:I, 7, FALSE)&lt;=TODAY()
        ),
        "ลาออกแล้ว",
        ""
    ),
"")</f>
        <v/>
      </c>
      <c r="O1471" s="292" t="str">
        <f t="array" ref="O1471:P1471">IFERROR(INDEX(PCRent!C:D, MATCH(F1471 &amp; " " &amp; G1471, PCRent!A:A &amp; " " &amp; PCRent!B:B, 0)), "")</f>
        <v>SN:6FD0HY3</v>
      </c>
      <c r="P1471" s="293" t="s">
        <v>7048</v>
      </c>
      <c r="Q1471" s="294" t="str">
        <f t="array" ref="Q1471:R1471">IFERROR(INDEX(MonitorRent!C:D, MATCH(F1471 &amp; " " &amp; G1471, MonitorRent!A:A &amp; " " &amp; MonitorRent!B:B, 0)), "")</f>
        <v>SN:753KYV3</v>
      </c>
      <c r="R1471" s="295" t="s">
        <v>7050</v>
      </c>
    </row>
    <row r="1472">
      <c r="A1472" s="284">
        <v>1469.0</v>
      </c>
      <c r="B1472" s="285" t="s">
        <v>7141</v>
      </c>
      <c r="C1472" s="285" t="s">
        <v>6918</v>
      </c>
      <c r="D1472" s="286" t="s">
        <v>10986</v>
      </c>
      <c r="E1472" s="285" t="s">
        <v>6921</v>
      </c>
      <c r="F1472" s="285" t="s">
        <v>12074</v>
      </c>
      <c r="G1472" s="285" t="s">
        <v>15697</v>
      </c>
      <c r="H1472" s="285" t="s">
        <v>9413</v>
      </c>
      <c r="I1472" s="285" t="s">
        <v>15698</v>
      </c>
      <c r="J1472" s="285" t="s">
        <v>5224</v>
      </c>
      <c r="K1472" s="285" t="s">
        <v>14734</v>
      </c>
      <c r="L1472" s="285" t="s">
        <v>7133</v>
      </c>
      <c r="M1472" s="285" t="s">
        <v>9383</v>
      </c>
      <c r="N1472" s="287" t="str">
        <f>IFERROR(
    IF(
        AND(
            VLOOKUP(B1472, 'รายชื่อพนักงานลาออกพ้นสภาพ'!B:I, 8, FALSE)&lt;&gt;"ยกเลิกลาออก",
            VLOOKUP(B1472, 'รายชื่อพนักงานลาออกพ้นสภาพ'!B:I, 7, FALSE)&lt;=TODAY()
        ),
        "ลาออกแล้ว",
        ""
    ),
"")</f>
        <v/>
      </c>
      <c r="O1472" s="292" t="str">
        <f t="array" ref="O1472">IFERROR(INDEX(PCRent!C:D, MATCH(F1472 &amp; " " &amp; G1472, PCRent!A:A &amp; " " &amp; PCRent!B:B, 0)), "")</f>
        <v/>
      </c>
      <c r="P1472" s="293"/>
      <c r="Q1472" s="294" t="str">
        <f t="array" ref="Q1472">IFERROR(INDEX(MonitorRent!C:D, MATCH(F1472 &amp; " " &amp; G1472, MonitorRent!A:A &amp; " " &amp; MonitorRent!B:B, 0)), "")</f>
        <v/>
      </c>
      <c r="R1472" s="295"/>
    </row>
    <row r="1473">
      <c r="A1473" s="284">
        <v>1470.0</v>
      </c>
      <c r="B1473" s="285" t="s">
        <v>7484</v>
      </c>
      <c r="C1473" s="285" t="s">
        <v>6918</v>
      </c>
      <c r="D1473" s="286" t="s">
        <v>15699</v>
      </c>
      <c r="E1473" s="285" t="s">
        <v>6921</v>
      </c>
      <c r="F1473" s="285" t="s">
        <v>15700</v>
      </c>
      <c r="G1473" s="285" t="s">
        <v>15701</v>
      </c>
      <c r="H1473" s="285" t="s">
        <v>9659</v>
      </c>
      <c r="I1473" s="285" t="s">
        <v>15702</v>
      </c>
      <c r="J1473" s="285" t="s">
        <v>5224</v>
      </c>
      <c r="K1473" s="285" t="s">
        <v>10056</v>
      </c>
      <c r="L1473" s="285" t="s">
        <v>14869</v>
      </c>
      <c r="M1473" s="285" t="s">
        <v>9383</v>
      </c>
      <c r="N1473" s="287" t="str">
        <f>IFERROR(
    IF(
        AND(
            VLOOKUP(B1473, 'รายชื่อพนักงานลาออกพ้นสภาพ'!B:I, 8, FALSE)&lt;&gt;"ยกเลิกลาออก",
            VLOOKUP(B1473, 'รายชื่อพนักงานลาออกพ้นสภาพ'!B:I, 7, FALSE)&lt;=TODAY()
        ),
        "ลาออกแล้ว",
        ""
    ),
"")</f>
        <v/>
      </c>
      <c r="O1473" s="292" t="str">
        <f t="array" ref="O1473:P1473">IFERROR(INDEX(PCRent!C:D, MATCH(F1473 &amp; " " &amp; G1473, PCRent!A:A &amp; " " &amp; PCRent!B:B, 0)), "")</f>
        <v>SN:MP2EHYDL</v>
      </c>
      <c r="P1473" s="293" t="s">
        <v>6993</v>
      </c>
      <c r="Q1473" s="294" t="str">
        <f t="array" ref="Q1473">IFERROR(INDEX(MonitorRent!C:D, MATCH(F1473 &amp; " " &amp; G1473, MonitorRent!A:A &amp; " " &amp; MonitorRent!B:B, 0)), "")</f>
        <v/>
      </c>
      <c r="R1473" s="295"/>
    </row>
    <row r="1474">
      <c r="A1474" s="284">
        <v>1471.0</v>
      </c>
      <c r="B1474" s="285" t="s">
        <v>15703</v>
      </c>
      <c r="C1474" s="285" t="s">
        <v>6918</v>
      </c>
      <c r="D1474" s="286" t="s">
        <v>13253</v>
      </c>
      <c r="E1474" s="285" t="s">
        <v>6933</v>
      </c>
      <c r="F1474" s="285" t="s">
        <v>15704</v>
      </c>
      <c r="G1474" s="285" t="s">
        <v>15705</v>
      </c>
      <c r="H1474" s="285" t="s">
        <v>10311</v>
      </c>
      <c r="I1474" s="285" t="s">
        <v>15706</v>
      </c>
      <c r="J1474" s="285" t="s">
        <v>5012</v>
      </c>
      <c r="K1474" s="285" t="s">
        <v>9474</v>
      </c>
      <c r="L1474" s="285" t="s">
        <v>13372</v>
      </c>
      <c r="M1474" s="285" t="s">
        <v>9383</v>
      </c>
      <c r="N1474" s="287" t="str">
        <f>IFERROR(
    IF(
        AND(
            VLOOKUP(B1474, 'รายชื่อพนักงานลาออกพ้นสภาพ'!B:I, 8, FALSE)&lt;&gt;"ยกเลิกลาออก",
            VLOOKUP(B1474, 'รายชื่อพนักงานลาออกพ้นสภาพ'!B:I, 7, FALSE)&lt;=TODAY()
        ),
        "ลาออกแล้ว",
        ""
    ),
"")</f>
        <v/>
      </c>
      <c r="O1474" s="292" t="str">
        <f t="array" ref="O1474">IFERROR(INDEX(PCRent!C:D, MATCH(F1474 &amp; " " &amp; G1474, PCRent!A:A &amp; " " &amp; PCRent!B:B, 0)), "")</f>
        <v/>
      </c>
      <c r="P1474" s="293"/>
      <c r="Q1474" s="294" t="str">
        <f t="array" ref="Q1474">IFERROR(INDEX(MonitorRent!C:D, MATCH(F1474 &amp; " " &amp; G1474, MonitorRent!A:A &amp; " " &amp; MonitorRent!B:B, 0)), "")</f>
        <v/>
      </c>
      <c r="R1474" s="295"/>
    </row>
    <row r="1475">
      <c r="A1475" s="284">
        <v>1472.0</v>
      </c>
      <c r="B1475" s="285" t="s">
        <v>7984</v>
      </c>
      <c r="C1475" s="285" t="s">
        <v>6918</v>
      </c>
      <c r="D1475" s="286" t="s">
        <v>15707</v>
      </c>
      <c r="E1475" s="285" t="s">
        <v>6933</v>
      </c>
      <c r="F1475" s="285" t="s">
        <v>15704</v>
      </c>
      <c r="G1475" s="285" t="s">
        <v>15708</v>
      </c>
      <c r="H1475" s="285" t="s">
        <v>9696</v>
      </c>
      <c r="I1475" s="285" t="s">
        <v>15709</v>
      </c>
      <c r="J1475" s="285" t="s">
        <v>5224</v>
      </c>
      <c r="K1475" s="285" t="s">
        <v>4835</v>
      </c>
      <c r="L1475" s="285" t="s">
        <v>7626</v>
      </c>
      <c r="M1475" s="285" t="s">
        <v>9383</v>
      </c>
      <c r="N1475" s="287" t="str">
        <f>IFERROR(
    IF(
        AND(
            VLOOKUP(B1475, 'รายชื่อพนักงานลาออกพ้นสภาพ'!B:I, 8, FALSE)&lt;&gt;"ยกเลิกลาออก",
            VLOOKUP(B1475, 'รายชื่อพนักงานลาออกพ้นสภาพ'!B:I, 7, FALSE)&lt;=TODAY()
        ),
        "ลาออกแล้ว",
        ""
    ),
"")</f>
        <v/>
      </c>
      <c r="O1475" s="292" t="str">
        <f t="array" ref="O1475:P1475">IFERROR(INDEX(PCRent!C:D, MATCH(F1475 &amp; " " &amp; G1475, PCRent!A:A &amp; " " &amp; PCRent!B:B, 0)), "")</f>
        <v>SN:9GSY6X3</v>
      </c>
      <c r="P1475" s="293" t="s">
        <v>7048</v>
      </c>
      <c r="Q1475" s="294" t="str">
        <f t="array" ref="Q1475:R1475">IFERROR(INDEX(MonitorRent!C:D, MATCH(F1475 &amp; " " &amp; G1475, MonitorRent!A:A &amp; " " &amp; MonitorRent!B:B, 0)), "")</f>
        <v>SN:F0Y6ZV3</v>
      </c>
      <c r="R1475" s="295" t="s">
        <v>7050</v>
      </c>
    </row>
    <row r="1476">
      <c r="A1476" s="284">
        <v>1473.0</v>
      </c>
      <c r="B1476" s="285" t="s">
        <v>15710</v>
      </c>
      <c r="C1476" s="285" t="s">
        <v>6918</v>
      </c>
      <c r="D1476" s="286" t="s">
        <v>15711</v>
      </c>
      <c r="E1476" s="285" t="s">
        <v>6933</v>
      </c>
      <c r="F1476" s="285" t="s">
        <v>15712</v>
      </c>
      <c r="G1476" s="285" t="s">
        <v>15713</v>
      </c>
      <c r="H1476" s="285" t="s">
        <v>13524</v>
      </c>
      <c r="I1476" s="285" t="s">
        <v>15714</v>
      </c>
      <c r="J1476" s="285" t="s">
        <v>5012</v>
      </c>
      <c r="K1476" s="285" t="s">
        <v>9466</v>
      </c>
      <c r="L1476" s="285" t="s">
        <v>13273</v>
      </c>
      <c r="M1476" s="285" t="s">
        <v>9383</v>
      </c>
      <c r="N1476" s="287" t="str">
        <f>IFERROR(
    IF(
        AND(
            VLOOKUP(B1476, 'รายชื่อพนักงานลาออกพ้นสภาพ'!B:I, 8, FALSE)&lt;&gt;"ยกเลิกลาออก",
            VLOOKUP(B1476, 'รายชื่อพนักงานลาออกพ้นสภาพ'!B:I, 7, FALSE)&lt;=TODAY()
        ),
        "ลาออกแล้ว",
        ""
    ),
"")</f>
        <v/>
      </c>
      <c r="O1476" s="292" t="str">
        <f t="array" ref="O1476">IFERROR(INDEX(PCRent!C:D, MATCH(F1476 &amp; " " &amp; G1476, PCRent!A:A &amp; " " &amp; PCRent!B:B, 0)), "")</f>
        <v/>
      </c>
      <c r="P1476" s="293"/>
      <c r="Q1476" s="294" t="str">
        <f t="array" ref="Q1476">IFERROR(INDEX(MonitorRent!C:D, MATCH(F1476 &amp; " " &amp; G1476, MonitorRent!A:A &amp; " " &amp; MonitorRent!B:B, 0)), "")</f>
        <v/>
      </c>
      <c r="R1476" s="295"/>
    </row>
    <row r="1477">
      <c r="A1477" s="284">
        <v>1474.0</v>
      </c>
      <c r="B1477" s="285" t="s">
        <v>15715</v>
      </c>
      <c r="C1477" s="285" t="s">
        <v>6918</v>
      </c>
      <c r="D1477" s="286" t="s">
        <v>10012</v>
      </c>
      <c r="E1477" s="285" t="s">
        <v>6933</v>
      </c>
      <c r="F1477" s="285" t="s">
        <v>15716</v>
      </c>
      <c r="G1477" s="285" t="s">
        <v>15717</v>
      </c>
      <c r="H1477" s="285" t="s">
        <v>15718</v>
      </c>
      <c r="I1477" s="285" t="s">
        <v>15719</v>
      </c>
      <c r="J1477" s="285" t="s">
        <v>5012</v>
      </c>
      <c r="K1477" s="285" t="s">
        <v>9626</v>
      </c>
      <c r="L1477" s="285" t="s">
        <v>13390</v>
      </c>
      <c r="M1477" s="285" t="s">
        <v>9383</v>
      </c>
      <c r="N1477" s="287" t="str">
        <f>IFERROR(
    IF(
        AND(
            VLOOKUP(B1477, 'รายชื่อพนักงานลาออกพ้นสภาพ'!B:I, 8, FALSE)&lt;&gt;"ยกเลิกลาออก",
            VLOOKUP(B1477, 'รายชื่อพนักงานลาออกพ้นสภาพ'!B:I, 7, FALSE)&lt;=TODAY()
        ),
        "ลาออกแล้ว",
        ""
    ),
"")</f>
        <v/>
      </c>
      <c r="O1477" s="292" t="str">
        <f t="array" ref="O1477">IFERROR(INDEX(PCRent!C:D, MATCH(F1477 &amp; " " &amp; G1477, PCRent!A:A &amp; " " &amp; PCRent!B:B, 0)), "")</f>
        <v/>
      </c>
      <c r="P1477" s="293"/>
      <c r="Q1477" s="294" t="str">
        <f t="array" ref="Q1477">IFERROR(INDEX(MonitorRent!C:D, MATCH(F1477 &amp; " " &amp; G1477, MonitorRent!A:A &amp; " " &amp; MonitorRent!B:B, 0)), "")</f>
        <v/>
      </c>
      <c r="R1477" s="295"/>
    </row>
    <row r="1478">
      <c r="A1478" s="284">
        <v>1475.0</v>
      </c>
      <c r="B1478" s="285" t="s">
        <v>15720</v>
      </c>
      <c r="C1478" s="285" t="s">
        <v>6918</v>
      </c>
      <c r="D1478" s="286" t="s">
        <v>15721</v>
      </c>
      <c r="E1478" s="285" t="s">
        <v>6921</v>
      </c>
      <c r="F1478" s="285" t="s">
        <v>15722</v>
      </c>
      <c r="G1478" s="285" t="s">
        <v>15723</v>
      </c>
      <c r="H1478" s="285" t="s">
        <v>15724</v>
      </c>
      <c r="I1478" s="285" t="s">
        <v>15725</v>
      </c>
      <c r="J1478" s="285" t="s">
        <v>5012</v>
      </c>
      <c r="K1478" s="285" t="s">
        <v>12973</v>
      </c>
      <c r="L1478" s="285" t="s">
        <v>941</v>
      </c>
      <c r="M1478" s="285" t="s">
        <v>9383</v>
      </c>
      <c r="N1478" s="287" t="str">
        <f>IFERROR(
    IF(
        AND(
            VLOOKUP(B1478, 'รายชื่อพนักงานลาออกพ้นสภาพ'!B:I, 8, FALSE)&lt;&gt;"ยกเลิกลาออก",
            VLOOKUP(B1478, 'รายชื่อพนักงานลาออกพ้นสภาพ'!B:I, 7, FALSE)&lt;=TODAY()
        ),
        "ลาออกแล้ว",
        ""
    ),
"")</f>
        <v/>
      </c>
      <c r="O1478" s="292" t="str">
        <f t="array" ref="O1478:P1478">IFERROR(INDEX(PCRent!C:D, MATCH(F1478 &amp; " " &amp; G1478, PCRent!A:A &amp; " " &amp; PCRent!B:B, 0)), "")</f>
        <v>SN:MP2DM9MN</v>
      </c>
      <c r="P1478" s="293" t="s">
        <v>7149</v>
      </c>
      <c r="Q1478" s="294" t="str">
        <f t="array" ref="Q1478">IFERROR(INDEX(MonitorRent!C:D, MATCH(F1478 &amp; " " &amp; G1478, MonitorRent!A:A &amp; " " &amp; MonitorRent!B:B, 0)), "")</f>
        <v/>
      </c>
      <c r="R1478" s="295"/>
    </row>
    <row r="1479">
      <c r="A1479" s="284">
        <v>1476.0</v>
      </c>
      <c r="B1479" s="285" t="s">
        <v>8329</v>
      </c>
      <c r="C1479" s="285" t="s">
        <v>6918</v>
      </c>
      <c r="D1479" s="286" t="s">
        <v>15726</v>
      </c>
      <c r="E1479" s="285" t="s">
        <v>6921</v>
      </c>
      <c r="F1479" s="285" t="s">
        <v>15727</v>
      </c>
      <c r="G1479" s="285" t="s">
        <v>15728</v>
      </c>
      <c r="H1479" s="285" t="s">
        <v>9975</v>
      </c>
      <c r="I1479" s="285" t="s">
        <v>15729</v>
      </c>
      <c r="J1479" s="285" t="s">
        <v>5224</v>
      </c>
      <c r="K1479" s="285" t="s">
        <v>10437</v>
      </c>
      <c r="L1479" s="285" t="s">
        <v>8331</v>
      </c>
      <c r="M1479" s="285" t="s">
        <v>9383</v>
      </c>
      <c r="N1479" s="287" t="str">
        <f>IFERROR(
    IF(
        AND(
            VLOOKUP(B1479, 'รายชื่อพนักงานลาออกพ้นสภาพ'!B:I, 8, FALSE)&lt;&gt;"ยกเลิกลาออก",
            VLOOKUP(B1479, 'รายชื่อพนักงานลาออกพ้นสภาพ'!B:I, 7, FALSE)&lt;=TODAY()
        ),
        "ลาออกแล้ว",
        ""
    ),
"")</f>
        <v/>
      </c>
      <c r="O1479" s="292" t="str">
        <f t="array" ref="O1479">IFERROR(INDEX(PCRent!C:D, MATCH(F1479 &amp; " " &amp; G1479, PCRent!A:A &amp; " " &amp; PCRent!B:B, 0)), "")</f>
        <v/>
      </c>
      <c r="P1479" s="293"/>
      <c r="Q1479" s="294" t="str">
        <f t="array" ref="Q1479">IFERROR(INDEX(MonitorRent!C:D, MATCH(F1479 &amp; " " &amp; G1479, MonitorRent!A:A &amp; " " &amp; MonitorRent!B:B, 0)), "")</f>
        <v/>
      </c>
      <c r="R1479" s="295"/>
    </row>
    <row r="1480">
      <c r="A1480" s="284">
        <v>1477.0</v>
      </c>
      <c r="B1480" s="285" t="s">
        <v>15730</v>
      </c>
      <c r="C1480" s="285" t="s">
        <v>6918</v>
      </c>
      <c r="D1480" s="286" t="s">
        <v>10485</v>
      </c>
      <c r="E1480" s="285" t="s">
        <v>6921</v>
      </c>
      <c r="F1480" s="285" t="s">
        <v>15731</v>
      </c>
      <c r="G1480" s="285" t="s">
        <v>15732</v>
      </c>
      <c r="H1480" s="285" t="s">
        <v>9573</v>
      </c>
      <c r="I1480" s="285" t="s">
        <v>15733</v>
      </c>
      <c r="J1480" s="285" t="s">
        <v>5012</v>
      </c>
      <c r="K1480" s="285" t="s">
        <v>3000</v>
      </c>
      <c r="L1480" s="285" t="s">
        <v>13067</v>
      </c>
      <c r="M1480" s="285" t="s">
        <v>9383</v>
      </c>
      <c r="N1480" s="287" t="str">
        <f>IFERROR(
    IF(
        AND(
            VLOOKUP(B1480, 'รายชื่อพนักงานลาออกพ้นสภาพ'!B:I, 8, FALSE)&lt;&gt;"ยกเลิกลาออก",
            VLOOKUP(B1480, 'รายชื่อพนักงานลาออกพ้นสภาพ'!B:I, 7, FALSE)&lt;=TODAY()
        ),
        "ลาออกแล้ว",
        ""
    ),
"")</f>
        <v/>
      </c>
      <c r="O1480" s="292" t="str">
        <f t="array" ref="O1480">IFERROR(INDEX(PCRent!C:D, MATCH(F1480 &amp; " " &amp; G1480, PCRent!A:A &amp; " " &amp; PCRent!B:B, 0)), "")</f>
        <v/>
      </c>
      <c r="P1480" s="293"/>
      <c r="Q1480" s="294" t="str">
        <f t="array" ref="Q1480">IFERROR(INDEX(MonitorRent!C:D, MATCH(F1480 &amp; " " &amp; G1480, MonitorRent!A:A &amp; " " &amp; MonitorRent!B:B, 0)), "")</f>
        <v/>
      </c>
      <c r="R1480" s="295"/>
    </row>
    <row r="1481">
      <c r="A1481" s="284">
        <v>1478.0</v>
      </c>
      <c r="B1481" s="285" t="s">
        <v>9148</v>
      </c>
      <c r="C1481" s="285" t="s">
        <v>6918</v>
      </c>
      <c r="D1481" s="286" t="s">
        <v>9713</v>
      </c>
      <c r="E1481" s="285" t="s">
        <v>6921</v>
      </c>
      <c r="F1481" s="285" t="s">
        <v>15734</v>
      </c>
      <c r="G1481" s="285" t="s">
        <v>15735</v>
      </c>
      <c r="H1481" s="285" t="s">
        <v>15736</v>
      </c>
      <c r="I1481" s="285" t="s">
        <v>15737</v>
      </c>
      <c r="J1481" s="285" t="s">
        <v>5224</v>
      </c>
      <c r="K1481" s="285" t="s">
        <v>4737</v>
      </c>
      <c r="L1481" s="285" t="s">
        <v>2265</v>
      </c>
      <c r="M1481" s="285" t="s">
        <v>9383</v>
      </c>
      <c r="N1481" s="287" t="str">
        <f>IFERROR(
    IF(
        AND(
            VLOOKUP(B1481, 'รายชื่อพนักงานลาออกพ้นสภาพ'!B:I, 8, FALSE)&lt;&gt;"ยกเลิกลาออก",
            VLOOKUP(B1481, 'รายชื่อพนักงานลาออกพ้นสภาพ'!B:I, 7, FALSE)&lt;=TODAY()
        ),
        "ลาออกแล้ว",
        ""
    ),
"")</f>
        <v/>
      </c>
      <c r="O1481" s="292" t="str">
        <f t="array" ref="O1481">IFERROR(INDEX(PCRent!C:D, MATCH(F1481 &amp; " " &amp; G1481, PCRent!A:A &amp; " " &amp; PCRent!B:B, 0)), "")</f>
        <v/>
      </c>
      <c r="P1481" s="293"/>
      <c r="Q1481" s="294" t="str">
        <f t="array" ref="Q1481">IFERROR(INDEX(MonitorRent!C:D, MATCH(F1481 &amp; " " &amp; G1481, MonitorRent!A:A &amp; " " &amp; MonitorRent!B:B, 0)), "")</f>
        <v/>
      </c>
      <c r="R1481" s="295"/>
    </row>
    <row r="1482">
      <c r="A1482" s="284">
        <v>1479.0</v>
      </c>
      <c r="B1482" s="285" t="s">
        <v>15738</v>
      </c>
      <c r="C1482" s="285" t="s">
        <v>6918</v>
      </c>
      <c r="D1482" s="286" t="s">
        <v>9547</v>
      </c>
      <c r="E1482" s="285" t="s">
        <v>6921</v>
      </c>
      <c r="F1482" s="285" t="s">
        <v>15734</v>
      </c>
      <c r="G1482" s="285" t="s">
        <v>9498</v>
      </c>
      <c r="H1482" s="285" t="s">
        <v>15739</v>
      </c>
      <c r="I1482" s="285" t="s">
        <v>15740</v>
      </c>
      <c r="J1482" s="285" t="s">
        <v>5224</v>
      </c>
      <c r="K1482" s="285" t="s">
        <v>2062</v>
      </c>
      <c r="L1482" s="285" t="s">
        <v>1349</v>
      </c>
      <c r="M1482" s="285" t="s">
        <v>9391</v>
      </c>
      <c r="N1482" s="287" t="str">
        <f>IFERROR(
    IF(
        AND(
            VLOOKUP(B1482, 'รายชื่อพนักงานลาออกพ้นสภาพ'!B:I, 8, FALSE)&lt;&gt;"ยกเลิกลาออก",
            VLOOKUP(B1482, 'รายชื่อพนักงานลาออกพ้นสภาพ'!B:I, 7, FALSE)&lt;=TODAY()
        ),
        "ลาออกแล้ว",
        ""
    ),
"")</f>
        <v/>
      </c>
      <c r="O1482" s="292" t="str">
        <f t="array" ref="O1482:P1482">IFERROR(INDEX(PCRent!C:D, MATCH(F1482 &amp; " " &amp; G1482, PCRent!A:A &amp; " " &amp; PCRent!B:B, 0)), "")</f>
        <v>SN:MP2EHRWP</v>
      </c>
      <c r="P1482" s="293" t="s">
        <v>6993</v>
      </c>
      <c r="Q1482" s="294" t="str">
        <f t="array" ref="Q1482">IFERROR(INDEX(MonitorRent!C:D, MATCH(F1482 &amp; " " &amp; G1482, MonitorRent!A:A &amp; " " &amp; MonitorRent!B:B, 0)), "")</f>
        <v/>
      </c>
      <c r="R1482" s="295"/>
    </row>
    <row r="1483">
      <c r="A1483" s="284">
        <v>1480.0</v>
      </c>
      <c r="B1483" s="285" t="s">
        <v>15741</v>
      </c>
      <c r="C1483" s="285" t="s">
        <v>6918</v>
      </c>
      <c r="D1483" s="286" t="s">
        <v>15742</v>
      </c>
      <c r="E1483" s="285" t="s">
        <v>6921</v>
      </c>
      <c r="F1483" s="285" t="s">
        <v>15743</v>
      </c>
      <c r="G1483" s="285" t="s">
        <v>15744</v>
      </c>
      <c r="H1483" s="285" t="s">
        <v>15745</v>
      </c>
      <c r="I1483" s="285" t="s">
        <v>15746</v>
      </c>
      <c r="J1483" s="285" t="s">
        <v>5012</v>
      </c>
      <c r="K1483" s="285" t="s">
        <v>12973</v>
      </c>
      <c r="L1483" s="285" t="s">
        <v>3680</v>
      </c>
      <c r="M1483" s="285" t="s">
        <v>9383</v>
      </c>
      <c r="N1483" s="287" t="str">
        <f>IFERROR(
    IF(
        AND(
            VLOOKUP(B1483, 'รายชื่อพนักงานลาออกพ้นสภาพ'!B:I, 8, FALSE)&lt;&gt;"ยกเลิกลาออก",
            VLOOKUP(B1483, 'รายชื่อพนักงานลาออกพ้นสภาพ'!B:I, 7, FALSE)&lt;=TODAY()
        ),
        "ลาออกแล้ว",
        ""
    ),
"")</f>
        <v/>
      </c>
      <c r="O1483" s="292" t="str">
        <f t="array" ref="O1483:P1483">IFERROR(INDEX(PCRent!C:D, MATCH(F1483 &amp; " " &amp; G1483, PCRent!A:A &amp; " " &amp; PCRent!B:B, 0)), "")</f>
        <v>SN:MP2AN2CE</v>
      </c>
      <c r="P1483" s="293" t="s">
        <v>9562</v>
      </c>
      <c r="Q1483" s="294" t="str">
        <f t="array" ref="Q1483">IFERROR(INDEX(MonitorRent!C:D, MATCH(F1483 &amp; " " &amp; G1483, MonitorRent!A:A &amp; " " &amp; MonitorRent!B:B, 0)), "")</f>
        <v/>
      </c>
      <c r="R1483" s="295"/>
    </row>
    <row r="1484">
      <c r="A1484" s="284">
        <v>1481.0</v>
      </c>
      <c r="B1484" s="285" t="s">
        <v>15747</v>
      </c>
      <c r="C1484" s="285" t="s">
        <v>6918</v>
      </c>
      <c r="D1484" s="286" t="s">
        <v>9576</v>
      </c>
      <c r="E1484" s="285" t="s">
        <v>6921</v>
      </c>
      <c r="F1484" s="285" t="s">
        <v>15748</v>
      </c>
      <c r="G1484" s="285" t="s">
        <v>15749</v>
      </c>
      <c r="H1484" s="285" t="s">
        <v>9586</v>
      </c>
      <c r="I1484" s="285" t="s">
        <v>15750</v>
      </c>
      <c r="J1484" s="285" t="s">
        <v>5012</v>
      </c>
      <c r="K1484" s="285" t="s">
        <v>4749</v>
      </c>
      <c r="L1484" s="285" t="s">
        <v>13605</v>
      </c>
      <c r="M1484" s="285" t="s">
        <v>9383</v>
      </c>
      <c r="N1484" s="287" t="str">
        <f>IFERROR(
    IF(
        AND(
            VLOOKUP(B1484, 'รายชื่อพนักงานลาออกพ้นสภาพ'!B:I, 8, FALSE)&lt;&gt;"ยกเลิกลาออก",
            VLOOKUP(B1484, 'รายชื่อพนักงานลาออกพ้นสภาพ'!B:I, 7, FALSE)&lt;=TODAY()
        ),
        "ลาออกแล้ว",
        ""
    ),
"")</f>
        <v/>
      </c>
      <c r="O1484" s="292" t="str">
        <f t="array" ref="O1484:P1484">IFERROR(INDEX(PCRent!C:D, MATCH(F1484 &amp; " " &amp; G1484, PCRent!A:A &amp; " " &amp; PCRent!B:B, 0)), "")</f>
        <v>SN:MP2DGHZ0</v>
      </c>
      <c r="P1484" s="293" t="s">
        <v>9562</v>
      </c>
      <c r="Q1484" s="294" t="str">
        <f t="array" ref="Q1484">IFERROR(INDEX(MonitorRent!C:D, MATCH(F1484 &amp; " " &amp; G1484, MonitorRent!A:A &amp; " " &amp; MonitorRent!B:B, 0)), "")</f>
        <v/>
      </c>
      <c r="R1484" s="295"/>
    </row>
    <row r="1485">
      <c r="A1485" s="284">
        <v>1482.0</v>
      </c>
      <c r="B1485" s="285" t="s">
        <v>8997</v>
      </c>
      <c r="C1485" s="285" t="s">
        <v>6918</v>
      </c>
      <c r="D1485" s="286" t="s">
        <v>9576</v>
      </c>
      <c r="E1485" s="285" t="s">
        <v>6921</v>
      </c>
      <c r="F1485" s="285" t="s">
        <v>15751</v>
      </c>
      <c r="G1485" s="285" t="s">
        <v>15752</v>
      </c>
      <c r="H1485" s="285" t="s">
        <v>11533</v>
      </c>
      <c r="I1485" s="285" t="s">
        <v>15753</v>
      </c>
      <c r="J1485" s="285" t="s">
        <v>5224</v>
      </c>
      <c r="K1485" s="285" t="s">
        <v>10068</v>
      </c>
      <c r="L1485" s="285" t="s">
        <v>363</v>
      </c>
      <c r="M1485" s="285" t="s">
        <v>9383</v>
      </c>
      <c r="N1485" s="287" t="str">
        <f>IFERROR(
    IF(
        AND(
            VLOOKUP(B1485, 'รายชื่อพนักงานลาออกพ้นสภาพ'!B:I, 8, FALSE)&lt;&gt;"ยกเลิกลาออก",
            VLOOKUP(B1485, 'รายชื่อพนักงานลาออกพ้นสภาพ'!B:I, 7, FALSE)&lt;=TODAY()
        ),
        "ลาออกแล้ว",
        ""
    ),
"")</f>
        <v/>
      </c>
      <c r="O1485" s="292" t="str">
        <f t="array" ref="O1485">IFERROR(INDEX(PCRent!C:D, MATCH(F1485 &amp; " " &amp; G1485, PCRent!A:A &amp; " " &amp; PCRent!B:B, 0)), "")</f>
        <v/>
      </c>
      <c r="P1485" s="293"/>
      <c r="Q1485" s="294" t="str">
        <f t="array" ref="Q1485">IFERROR(INDEX(MonitorRent!C:D, MATCH(F1485 &amp; " " &amp; G1485, MonitorRent!A:A &amp; " " &amp; MonitorRent!B:B, 0)), "")</f>
        <v/>
      </c>
      <c r="R1485" s="295"/>
    </row>
    <row r="1486">
      <c r="A1486" s="284">
        <v>1483.0</v>
      </c>
      <c r="B1486" s="285" t="s">
        <v>8632</v>
      </c>
      <c r="C1486" s="285" t="s">
        <v>6918</v>
      </c>
      <c r="D1486" s="286" t="s">
        <v>15754</v>
      </c>
      <c r="E1486" s="285" t="s">
        <v>6921</v>
      </c>
      <c r="F1486" s="285" t="s">
        <v>15755</v>
      </c>
      <c r="G1486" s="285" t="s">
        <v>15756</v>
      </c>
      <c r="H1486" s="285" t="s">
        <v>9709</v>
      </c>
      <c r="I1486" s="285" t="s">
        <v>15757</v>
      </c>
      <c r="J1486" s="285" t="s">
        <v>5224</v>
      </c>
      <c r="K1486" s="285" t="s">
        <v>12506</v>
      </c>
      <c r="L1486" s="285" t="s">
        <v>5805</v>
      </c>
      <c r="M1486" s="285" t="s">
        <v>9383</v>
      </c>
      <c r="N1486" s="287" t="str">
        <f>IFERROR(
    IF(
        AND(
            VLOOKUP(B1486, 'รายชื่อพนักงานลาออกพ้นสภาพ'!B:I, 8, FALSE)&lt;&gt;"ยกเลิกลาออก",
            VLOOKUP(B1486, 'รายชื่อพนักงานลาออกพ้นสภาพ'!B:I, 7, FALSE)&lt;=TODAY()
        ),
        "ลาออกแล้ว",
        ""
    ),
"")</f>
        <v/>
      </c>
      <c r="O1486" s="292" t="str">
        <f t="array" ref="O1486">IFERROR(INDEX(PCRent!C:D, MATCH(F1486 &amp; " " &amp; G1486, PCRent!A:A &amp; " " &amp; PCRent!B:B, 0)), "")</f>
        <v/>
      </c>
      <c r="P1486" s="293"/>
      <c r="Q1486" s="294" t="str">
        <f t="array" ref="Q1486">IFERROR(INDEX(MonitorRent!C:D, MATCH(F1486 &amp; " " &amp; G1486, MonitorRent!A:A &amp; " " &amp; MonitorRent!B:B, 0)), "")</f>
        <v/>
      </c>
      <c r="R1486" s="295"/>
    </row>
    <row r="1487">
      <c r="A1487" s="284">
        <v>1484.0</v>
      </c>
      <c r="B1487" s="285" t="s">
        <v>7936</v>
      </c>
      <c r="C1487" s="285" t="s">
        <v>6918</v>
      </c>
      <c r="D1487" s="286" t="s">
        <v>15758</v>
      </c>
      <c r="E1487" s="285" t="s">
        <v>6921</v>
      </c>
      <c r="F1487" s="285" t="s">
        <v>15759</v>
      </c>
      <c r="G1487" s="285" t="s">
        <v>15760</v>
      </c>
      <c r="H1487" s="285" t="s">
        <v>9501</v>
      </c>
      <c r="I1487" s="285" t="s">
        <v>15761</v>
      </c>
      <c r="J1487" s="285" t="s">
        <v>5224</v>
      </c>
      <c r="K1487" s="285" t="s">
        <v>4756</v>
      </c>
      <c r="L1487" s="285" t="s">
        <v>3096</v>
      </c>
      <c r="M1487" s="285" t="s">
        <v>9383</v>
      </c>
      <c r="N1487" s="287" t="str">
        <f>IFERROR(
    IF(
        AND(
            VLOOKUP(B1487, 'รายชื่อพนักงานลาออกพ้นสภาพ'!B:I, 8, FALSE)&lt;&gt;"ยกเลิกลาออก",
            VLOOKUP(B1487, 'รายชื่อพนักงานลาออกพ้นสภาพ'!B:I, 7, FALSE)&lt;=TODAY()
        ),
        "ลาออกแล้ว",
        ""
    ),
"")</f>
        <v/>
      </c>
      <c r="O1487" s="292" t="str">
        <f t="array" ref="O1487">IFERROR(INDEX(PCRent!C:D, MATCH(F1487 &amp; " " &amp; G1487, PCRent!A:A &amp; " " &amp; PCRent!B:B, 0)), "")</f>
        <v/>
      </c>
      <c r="P1487" s="293"/>
      <c r="Q1487" s="294" t="str">
        <f t="array" ref="Q1487">IFERROR(INDEX(MonitorRent!C:D, MATCH(F1487 &amp; " " &amp; G1487, MonitorRent!A:A &amp; " " &amp; MonitorRent!B:B, 0)), "")</f>
        <v/>
      </c>
      <c r="R1487" s="295"/>
    </row>
    <row r="1488">
      <c r="A1488" s="284">
        <v>1485.0</v>
      </c>
      <c r="B1488" s="285" t="s">
        <v>9059</v>
      </c>
      <c r="C1488" s="285" t="s">
        <v>6918</v>
      </c>
      <c r="D1488" s="286" t="s">
        <v>13881</v>
      </c>
      <c r="E1488" s="285" t="s">
        <v>6921</v>
      </c>
      <c r="F1488" s="285" t="s">
        <v>15762</v>
      </c>
      <c r="G1488" s="285" t="s">
        <v>15763</v>
      </c>
      <c r="H1488" s="285" t="s">
        <v>12007</v>
      </c>
      <c r="I1488" s="285" t="s">
        <v>15764</v>
      </c>
      <c r="J1488" s="285" t="s">
        <v>5224</v>
      </c>
      <c r="K1488" s="285" t="s">
        <v>11222</v>
      </c>
      <c r="L1488" s="285" t="s">
        <v>2508</v>
      </c>
      <c r="M1488" s="285" t="s">
        <v>9383</v>
      </c>
      <c r="N1488" s="287" t="str">
        <f>IFERROR(
    IF(
        AND(
            VLOOKUP(B1488, 'รายชื่อพนักงานลาออกพ้นสภาพ'!B:I, 8, FALSE)&lt;&gt;"ยกเลิกลาออก",
            VLOOKUP(B1488, 'รายชื่อพนักงานลาออกพ้นสภาพ'!B:I, 7, FALSE)&lt;=TODAY()
        ),
        "ลาออกแล้ว",
        ""
    ),
"")</f>
        <v/>
      </c>
      <c r="O1488" s="292" t="str">
        <f t="array" ref="O1488">IFERROR(INDEX(PCRent!C:D, MATCH(F1488 &amp; " " &amp; G1488, PCRent!A:A &amp; " " &amp; PCRent!B:B, 0)), "")</f>
        <v/>
      </c>
      <c r="P1488" s="293"/>
      <c r="Q1488" s="294" t="str">
        <f t="array" ref="Q1488">IFERROR(INDEX(MonitorRent!C:D, MATCH(F1488 &amp; " " &amp; G1488, MonitorRent!A:A &amp; " " &amp; MonitorRent!B:B, 0)), "")</f>
        <v/>
      </c>
      <c r="R1488" s="295"/>
    </row>
    <row r="1489">
      <c r="A1489" s="284">
        <v>1486.0</v>
      </c>
      <c r="B1489" s="285" t="s">
        <v>15765</v>
      </c>
      <c r="C1489" s="285" t="s">
        <v>6918</v>
      </c>
      <c r="D1489" s="286" t="s">
        <v>15766</v>
      </c>
      <c r="E1489" s="285" t="s">
        <v>6933</v>
      </c>
      <c r="F1489" s="285" t="s">
        <v>15767</v>
      </c>
      <c r="G1489" s="285" t="s">
        <v>15768</v>
      </c>
      <c r="H1489" s="285" t="s">
        <v>15769</v>
      </c>
      <c r="I1489" s="285" t="s">
        <v>15770</v>
      </c>
      <c r="J1489" s="285" t="s">
        <v>5012</v>
      </c>
      <c r="K1489" s="285" t="s">
        <v>15771</v>
      </c>
      <c r="L1489" s="285" t="s">
        <v>13390</v>
      </c>
      <c r="M1489" s="285" t="s">
        <v>9383</v>
      </c>
      <c r="N1489" s="287" t="str">
        <f>IFERROR(
    IF(
        AND(
            VLOOKUP(B1489, 'รายชื่อพนักงานลาออกพ้นสภาพ'!B:I, 8, FALSE)&lt;&gt;"ยกเลิกลาออก",
            VLOOKUP(B1489, 'รายชื่อพนักงานลาออกพ้นสภาพ'!B:I, 7, FALSE)&lt;=TODAY()
        ),
        "ลาออกแล้ว",
        ""
    ),
"")</f>
        <v/>
      </c>
      <c r="O1489" s="292" t="str">
        <f t="array" ref="O1489">IFERROR(INDEX(PCRent!C:D, MATCH(F1489 &amp; " " &amp; G1489, PCRent!A:A &amp; " " &amp; PCRent!B:B, 0)), "")</f>
        <v/>
      </c>
      <c r="P1489" s="293"/>
      <c r="Q1489" s="294" t="str">
        <f t="array" ref="Q1489">IFERROR(INDEX(MonitorRent!C:D, MATCH(F1489 &amp; " " &amp; G1489, MonitorRent!A:A &amp; " " &amp; MonitorRent!B:B, 0)), "")</f>
        <v/>
      </c>
      <c r="R1489" s="295"/>
    </row>
    <row r="1490">
      <c r="A1490" s="284">
        <v>1487.0</v>
      </c>
      <c r="B1490" s="285" t="s">
        <v>779</v>
      </c>
      <c r="C1490" s="285" t="s">
        <v>6918</v>
      </c>
      <c r="D1490" s="286" t="s">
        <v>10012</v>
      </c>
      <c r="E1490" s="285" t="s">
        <v>6921</v>
      </c>
      <c r="F1490" s="285" t="s">
        <v>15772</v>
      </c>
      <c r="G1490" s="285" t="s">
        <v>15773</v>
      </c>
      <c r="H1490" s="285" t="s">
        <v>15774</v>
      </c>
      <c r="I1490" s="285" t="s">
        <v>782</v>
      </c>
      <c r="J1490" s="285" t="s">
        <v>5224</v>
      </c>
      <c r="K1490" s="285" t="s">
        <v>13577</v>
      </c>
      <c r="L1490" s="285" t="s">
        <v>14626</v>
      </c>
      <c r="M1490" s="285" t="s">
        <v>9383</v>
      </c>
      <c r="N1490" s="287" t="str">
        <f>IFERROR(
    IF(
        AND(
            VLOOKUP(B1490, 'รายชื่อพนักงานลาออกพ้นสภาพ'!B:I, 8, FALSE)&lt;&gt;"ยกเลิกลาออก",
            VLOOKUP(B1490, 'รายชื่อพนักงานลาออกพ้นสภาพ'!B:I, 7, FALSE)&lt;=TODAY()
        ),
        "ลาออกแล้ว",
        ""
    ),
"")</f>
        <v>ลาออกแล้ว</v>
      </c>
      <c r="O1490" s="292" t="str">
        <f t="array" ref="O1490:P1490">IFERROR(INDEX(PCRent!C:D, MATCH(F1490 &amp; " " &amp; G1490, PCRent!A:A &amp; " " &amp; PCRent!B:B, 0)), "")</f>
        <v>SN:MP2EJ7JM</v>
      </c>
      <c r="P1490" s="293" t="s">
        <v>6993</v>
      </c>
      <c r="Q1490" s="294" t="str">
        <f t="array" ref="Q1490">IFERROR(INDEX(MonitorRent!C:D, MATCH(F1490 &amp; " " &amp; G1490, MonitorRent!A:A &amp; " " &amp; MonitorRent!B:B, 0)), "")</f>
        <v/>
      </c>
      <c r="R1490" s="295"/>
    </row>
    <row r="1491">
      <c r="A1491" s="284">
        <v>1488.0</v>
      </c>
      <c r="B1491" s="285" t="s">
        <v>957</v>
      </c>
      <c r="C1491" s="285" t="s">
        <v>6918</v>
      </c>
      <c r="D1491" s="286" t="s">
        <v>15775</v>
      </c>
      <c r="E1491" s="285" t="s">
        <v>6933</v>
      </c>
      <c r="F1491" s="285" t="s">
        <v>15776</v>
      </c>
      <c r="G1491" s="285" t="s">
        <v>15777</v>
      </c>
      <c r="H1491" s="285" t="s">
        <v>10812</v>
      </c>
      <c r="I1491" s="285" t="s">
        <v>959</v>
      </c>
      <c r="J1491" s="285" t="s">
        <v>5224</v>
      </c>
      <c r="K1491" s="285" t="s">
        <v>13061</v>
      </c>
      <c r="L1491" s="285" t="s">
        <v>3041</v>
      </c>
      <c r="M1491" s="285" t="s">
        <v>9383</v>
      </c>
      <c r="N1491" s="287" t="str">
        <f>IFERROR(
    IF(
        AND(
            VLOOKUP(B1491, 'รายชื่อพนักงานลาออกพ้นสภาพ'!B:I, 8, FALSE)&lt;&gt;"ยกเลิกลาออก",
            VLOOKUP(B1491, 'รายชื่อพนักงานลาออกพ้นสภาพ'!B:I, 7, FALSE)&lt;=TODAY()
        ),
        "ลาออกแล้ว",
        ""
    ),
"")</f>
        <v/>
      </c>
      <c r="O1491" s="292" t="str">
        <f t="array" ref="O1491">IFERROR(INDEX(PCRent!C:D, MATCH(F1491 &amp; " " &amp; G1491, PCRent!A:A &amp; " " &amp; PCRent!B:B, 0)), "")</f>
        <v/>
      </c>
      <c r="P1491" s="293"/>
      <c r="Q1491" s="294" t="str">
        <f t="array" ref="Q1491">IFERROR(INDEX(MonitorRent!C:D, MATCH(F1491 &amp; " " &amp; G1491, MonitorRent!A:A &amp; " " &amp; MonitorRent!B:B, 0)), "")</f>
        <v/>
      </c>
      <c r="R1491" s="295"/>
    </row>
    <row r="1492">
      <c r="A1492" s="284">
        <v>1489.0</v>
      </c>
      <c r="B1492" s="285" t="s">
        <v>6997</v>
      </c>
      <c r="C1492" s="285" t="s">
        <v>6918</v>
      </c>
      <c r="D1492" s="286" t="s">
        <v>9415</v>
      </c>
      <c r="E1492" s="285" t="s">
        <v>6933</v>
      </c>
      <c r="F1492" s="285" t="s">
        <v>15778</v>
      </c>
      <c r="G1492" s="285" t="s">
        <v>15779</v>
      </c>
      <c r="H1492" s="285" t="s">
        <v>15780</v>
      </c>
      <c r="I1492" s="285" t="s">
        <v>15781</v>
      </c>
      <c r="J1492" s="285" t="s">
        <v>5224</v>
      </c>
      <c r="K1492" s="285" t="s">
        <v>13087</v>
      </c>
      <c r="L1492" s="285" t="s">
        <v>13699</v>
      </c>
      <c r="M1492" s="285" t="s">
        <v>9383</v>
      </c>
      <c r="N1492" s="287" t="str">
        <f>IFERROR(
    IF(
        AND(
            VLOOKUP(B1492, 'รายชื่อพนักงานลาออกพ้นสภาพ'!B:I, 8, FALSE)&lt;&gt;"ยกเลิกลาออก",
            VLOOKUP(B1492, 'รายชื่อพนักงานลาออกพ้นสภาพ'!B:I, 7, FALSE)&lt;=TODAY()
        ),
        "ลาออกแล้ว",
        ""
    ),
"")</f>
        <v/>
      </c>
      <c r="O1492" s="292" t="str">
        <f t="array" ref="O1492:P1492">IFERROR(INDEX(PCRent!C:D, MATCH(F1492 &amp; " " &amp; G1492, PCRent!A:A &amp; " " &amp; PCRent!B:B, 0)), "")</f>
        <v>SN:MP2EHW11</v>
      </c>
      <c r="P1492" s="293" t="s">
        <v>6993</v>
      </c>
      <c r="Q1492" s="294" t="str">
        <f t="array" ref="Q1492">IFERROR(INDEX(MonitorRent!C:D, MATCH(F1492 &amp; " " &amp; G1492, MonitorRent!A:A &amp; " " &amp; MonitorRent!B:B, 0)), "")</f>
        <v/>
      </c>
      <c r="R1492" s="295"/>
    </row>
    <row r="1493">
      <c r="A1493" s="284">
        <v>1490.0</v>
      </c>
      <c r="B1493" s="285" t="s">
        <v>15782</v>
      </c>
      <c r="C1493" s="285" t="s">
        <v>6918</v>
      </c>
      <c r="D1493" s="286" t="s">
        <v>9594</v>
      </c>
      <c r="E1493" s="285" t="s">
        <v>6933</v>
      </c>
      <c r="F1493" s="285" t="s">
        <v>15783</v>
      </c>
      <c r="G1493" s="285" t="s">
        <v>15784</v>
      </c>
      <c r="H1493" s="285" t="s">
        <v>15686</v>
      </c>
      <c r="I1493" s="285" t="s">
        <v>15785</v>
      </c>
      <c r="J1493" s="285" t="s">
        <v>5012</v>
      </c>
      <c r="K1493" s="285" t="s">
        <v>9703</v>
      </c>
      <c r="L1493" s="285" t="s">
        <v>9812</v>
      </c>
      <c r="M1493" s="285" t="s">
        <v>9383</v>
      </c>
      <c r="N1493" s="287" t="str">
        <f>IFERROR(
    IF(
        AND(
            VLOOKUP(B1493, 'รายชื่อพนักงานลาออกพ้นสภาพ'!B:I, 8, FALSE)&lt;&gt;"ยกเลิกลาออก",
            VLOOKUP(B1493, 'รายชื่อพนักงานลาออกพ้นสภาพ'!B:I, 7, FALSE)&lt;=TODAY()
        ),
        "ลาออกแล้ว",
        ""
    ),
"")</f>
        <v/>
      </c>
      <c r="O1493" s="292" t="str">
        <f t="array" ref="O1493">IFERROR(INDEX(PCRent!C:D, MATCH(F1493 &amp; " " &amp; G1493, PCRent!A:A &amp; " " &amp; PCRent!B:B, 0)), "")</f>
        <v/>
      </c>
      <c r="P1493" s="293"/>
      <c r="Q1493" s="294" t="str">
        <f t="array" ref="Q1493">IFERROR(INDEX(MonitorRent!C:D, MATCH(F1493 &amp; " " &amp; G1493, MonitorRent!A:A &amp; " " &amp; MonitorRent!B:B, 0)), "")</f>
        <v/>
      </c>
      <c r="R1493" s="295"/>
    </row>
    <row r="1494">
      <c r="A1494" s="284">
        <v>1491.0</v>
      </c>
      <c r="B1494" s="285" t="s">
        <v>15786</v>
      </c>
      <c r="C1494" s="285" t="s">
        <v>6918</v>
      </c>
      <c r="D1494" s="286" t="s">
        <v>15787</v>
      </c>
      <c r="E1494" s="285" t="s">
        <v>6933</v>
      </c>
      <c r="F1494" s="285" t="s">
        <v>15788</v>
      </c>
      <c r="G1494" s="285" t="s">
        <v>15789</v>
      </c>
      <c r="H1494" s="285" t="s">
        <v>13778</v>
      </c>
      <c r="I1494" s="285" t="s">
        <v>15790</v>
      </c>
      <c r="J1494" s="285" t="s">
        <v>5224</v>
      </c>
      <c r="K1494" s="285" t="s">
        <v>13061</v>
      </c>
      <c r="L1494" s="285" t="s">
        <v>3041</v>
      </c>
      <c r="M1494" s="285" t="s">
        <v>9383</v>
      </c>
      <c r="N1494" s="287" t="str">
        <f>IFERROR(
    IF(
        AND(
            VLOOKUP(B1494, 'รายชื่อพนักงานลาออกพ้นสภาพ'!B:I, 8, FALSE)&lt;&gt;"ยกเลิกลาออก",
            VLOOKUP(B1494, 'รายชื่อพนักงานลาออกพ้นสภาพ'!B:I, 7, FALSE)&lt;=TODAY()
        ),
        "ลาออกแล้ว",
        ""
    ),
"")</f>
        <v/>
      </c>
      <c r="O1494" s="292" t="str">
        <f t="array" ref="O1494">IFERROR(INDEX(PCRent!C:D, MATCH(F1494 &amp; " " &amp; G1494, PCRent!A:A &amp; " " &amp; PCRent!B:B, 0)), "")</f>
        <v/>
      </c>
      <c r="P1494" s="293"/>
      <c r="Q1494" s="294" t="str">
        <f t="array" ref="Q1494">IFERROR(INDEX(MonitorRent!C:D, MATCH(F1494 &amp; " " &amp; G1494, MonitorRent!A:A &amp; " " &amp; MonitorRent!B:B, 0)), "")</f>
        <v/>
      </c>
      <c r="R1494" s="295"/>
    </row>
    <row r="1495">
      <c r="A1495" s="284">
        <v>1492.0</v>
      </c>
      <c r="B1495" s="285" t="s">
        <v>7367</v>
      </c>
      <c r="C1495" s="285" t="s">
        <v>6918</v>
      </c>
      <c r="D1495" s="286" t="s">
        <v>15791</v>
      </c>
      <c r="E1495" s="285" t="s">
        <v>6921</v>
      </c>
      <c r="F1495" s="285" t="s">
        <v>15792</v>
      </c>
      <c r="G1495" s="285" t="s">
        <v>15793</v>
      </c>
      <c r="H1495" s="285" t="s">
        <v>12404</v>
      </c>
      <c r="I1495" s="285" t="s">
        <v>15794</v>
      </c>
      <c r="J1495" s="285" t="s">
        <v>5224</v>
      </c>
      <c r="K1495" s="285" t="s">
        <v>9604</v>
      </c>
      <c r="L1495" s="285" t="s">
        <v>15795</v>
      </c>
      <c r="M1495" s="285" t="s">
        <v>9383</v>
      </c>
      <c r="N1495" s="287" t="str">
        <f>IFERROR(
    IF(
        AND(
            VLOOKUP(B1495, 'รายชื่อพนักงานลาออกพ้นสภาพ'!B:I, 8, FALSE)&lt;&gt;"ยกเลิกลาออก",
            VLOOKUP(B1495, 'รายชื่อพนักงานลาออกพ้นสภาพ'!B:I, 7, FALSE)&lt;=TODAY()
        ),
        "ลาออกแล้ว",
        ""
    ),
"")</f>
        <v/>
      </c>
      <c r="O1495" s="292" t="str">
        <f t="array" ref="O1495">IFERROR(INDEX(PCRent!C:D, MATCH(F1495 &amp; " " &amp; G1495, PCRent!A:A &amp; " " &amp; PCRent!B:B, 0)), "")</f>
        <v/>
      </c>
      <c r="P1495" s="293"/>
      <c r="Q1495" s="294" t="str">
        <f t="array" ref="Q1495">IFERROR(INDEX(MonitorRent!C:D, MATCH(F1495 &amp; " " &amp; G1495, MonitorRent!A:A &amp; " " &amp; MonitorRent!B:B, 0)), "")</f>
        <v/>
      </c>
      <c r="R1495" s="295"/>
    </row>
    <row r="1496">
      <c r="A1496" s="284">
        <v>1493.0</v>
      </c>
      <c r="B1496" s="285" t="s">
        <v>4940</v>
      </c>
      <c r="C1496" s="285" t="s">
        <v>6918</v>
      </c>
      <c r="D1496" s="286" t="s">
        <v>9876</v>
      </c>
      <c r="E1496" s="285" t="s">
        <v>6933</v>
      </c>
      <c r="F1496" s="285" t="s">
        <v>15796</v>
      </c>
      <c r="G1496" s="285" t="s">
        <v>15797</v>
      </c>
      <c r="H1496" s="285" t="s">
        <v>10831</v>
      </c>
      <c r="I1496" s="285" t="s">
        <v>4941</v>
      </c>
      <c r="J1496" s="285" t="s">
        <v>5224</v>
      </c>
      <c r="K1496" s="285" t="s">
        <v>15798</v>
      </c>
      <c r="L1496" s="285" t="s">
        <v>13911</v>
      </c>
      <c r="M1496" s="285" t="s">
        <v>9383</v>
      </c>
      <c r="N1496" s="287" t="str">
        <f>IFERROR(
    IF(
        AND(
            VLOOKUP(B1496, 'รายชื่อพนักงานลาออกพ้นสภาพ'!B:I, 8, FALSE)&lt;&gt;"ยกเลิกลาออก",
            VLOOKUP(B1496, 'รายชื่อพนักงานลาออกพ้นสภาพ'!B:I, 7, FALSE)&lt;=TODAY()
        ),
        "ลาออกแล้ว",
        ""
    ),
"")</f>
        <v/>
      </c>
      <c r="O1496" s="292" t="str">
        <f t="array" ref="O1496:P1496">IFERROR(INDEX(PCRent!C:D, MATCH(F1496 &amp; " " &amp; G1496, PCRent!A:A &amp; " " &amp; PCRent!B:B, 0)), "")</f>
        <v>SN:5KBJ904</v>
      </c>
      <c r="P1496" s="293" t="s">
        <v>8739</v>
      </c>
      <c r="Q1496" s="294" t="str">
        <f t="array" ref="Q1496:R1496">IFERROR(INDEX(MonitorRent!C:D, MATCH(F1496 &amp; " " &amp; G1496, MonitorRent!A:A &amp; " " &amp; MonitorRent!B:B, 0)), "")</f>
        <v>SN:9VMZ8P3</v>
      </c>
      <c r="R1496" s="295" t="s">
        <v>6995</v>
      </c>
    </row>
    <row r="1497">
      <c r="A1497" s="284">
        <v>1494.0</v>
      </c>
      <c r="B1497" s="285" t="s">
        <v>7820</v>
      </c>
      <c r="C1497" s="285" t="s">
        <v>6918</v>
      </c>
      <c r="D1497" s="286" t="s">
        <v>15799</v>
      </c>
      <c r="E1497" s="285" t="s">
        <v>6933</v>
      </c>
      <c r="F1497" s="285" t="s">
        <v>15800</v>
      </c>
      <c r="G1497" s="285" t="s">
        <v>14427</v>
      </c>
      <c r="H1497" s="285" t="s">
        <v>9418</v>
      </c>
      <c r="I1497" s="285" t="s">
        <v>15801</v>
      </c>
      <c r="J1497" s="285" t="s">
        <v>5224</v>
      </c>
      <c r="K1497" s="285" t="s">
        <v>10056</v>
      </c>
      <c r="L1497" s="285" t="s">
        <v>7809</v>
      </c>
      <c r="M1497" s="285" t="s">
        <v>9383</v>
      </c>
      <c r="N1497" s="287" t="str">
        <f>IFERROR(
    IF(
        AND(
            VLOOKUP(B1497, 'รายชื่อพนักงานลาออกพ้นสภาพ'!B:I, 8, FALSE)&lt;&gt;"ยกเลิกลาออก",
            VLOOKUP(B1497, 'รายชื่อพนักงานลาออกพ้นสภาพ'!B:I, 7, FALSE)&lt;=TODAY()
        ),
        "ลาออกแล้ว",
        ""
    ),
"")</f>
        <v/>
      </c>
      <c r="O1497" s="292" t="str">
        <f t="array" ref="O1497:P1497">IFERROR(INDEX(PCRent!C:D, MATCH(F1497 &amp; " " &amp; G1497, PCRent!A:A &amp; " " &amp; PCRent!B:B, 0)), "")</f>
        <v>SN:HZPD314</v>
      </c>
      <c r="P1497" s="293" t="s">
        <v>7048</v>
      </c>
      <c r="Q1497" s="294" t="str">
        <f t="array" ref="Q1497:R1497">IFERROR(INDEX(MonitorRent!C:D, MATCH(F1497 &amp; " " &amp; G1497, MonitorRent!A:A &amp; " " &amp; MonitorRent!B:B, 0)), "")</f>
        <v>SN:7RYVGZ3</v>
      </c>
      <c r="R1497" s="295" t="s">
        <v>9397</v>
      </c>
    </row>
    <row r="1498">
      <c r="A1498" s="284">
        <v>1495.0</v>
      </c>
      <c r="B1498" s="285" t="s">
        <v>3807</v>
      </c>
      <c r="C1498" s="285" t="s">
        <v>6918</v>
      </c>
      <c r="D1498" s="286" t="s">
        <v>9583</v>
      </c>
      <c r="E1498" s="285" t="s">
        <v>6921</v>
      </c>
      <c r="F1498" s="285" t="s">
        <v>15802</v>
      </c>
      <c r="G1498" s="285" t="s">
        <v>15803</v>
      </c>
      <c r="H1498" s="285" t="s">
        <v>12601</v>
      </c>
      <c r="I1498" s="285" t="s">
        <v>6665</v>
      </c>
      <c r="J1498" s="285" t="s">
        <v>5224</v>
      </c>
      <c r="K1498" s="285" t="s">
        <v>14734</v>
      </c>
      <c r="L1498" s="285" t="s">
        <v>7133</v>
      </c>
      <c r="M1498" s="285" t="s">
        <v>9383</v>
      </c>
      <c r="N1498" s="287" t="str">
        <f>IFERROR(
    IF(
        AND(
            VLOOKUP(B1498, 'รายชื่อพนักงานลาออกพ้นสภาพ'!B:I, 8, FALSE)&lt;&gt;"ยกเลิกลาออก",
            VLOOKUP(B1498, 'รายชื่อพนักงานลาออกพ้นสภาพ'!B:I, 7, FALSE)&lt;=TODAY()
        ),
        "ลาออกแล้ว",
        ""
    ),
"")</f>
        <v/>
      </c>
      <c r="O1498" s="292" t="str">
        <f t="array" ref="O1498">IFERROR(INDEX(PCRent!C:D, MATCH(F1498 &amp; " " &amp; G1498, PCRent!A:A &amp; " " &amp; PCRent!B:B, 0)), "")</f>
        <v/>
      </c>
      <c r="P1498" s="293"/>
      <c r="Q1498" s="294" t="str">
        <f t="array" ref="Q1498">IFERROR(INDEX(MonitorRent!C:D, MATCH(F1498 &amp; " " &amp; G1498, MonitorRent!A:A &amp; " " &amp; MonitorRent!B:B, 0)), "")</f>
        <v/>
      </c>
      <c r="R1498" s="295"/>
    </row>
    <row r="1499">
      <c r="A1499" s="284">
        <v>1496.0</v>
      </c>
      <c r="B1499" s="285" t="s">
        <v>7747</v>
      </c>
      <c r="C1499" s="285" t="s">
        <v>6918</v>
      </c>
      <c r="D1499" s="286" t="s">
        <v>13644</v>
      </c>
      <c r="E1499" s="285" t="s">
        <v>6933</v>
      </c>
      <c r="F1499" s="285" t="s">
        <v>15804</v>
      </c>
      <c r="G1499" s="285" t="s">
        <v>15805</v>
      </c>
      <c r="H1499" s="285" t="s">
        <v>9951</v>
      </c>
      <c r="I1499" s="285" t="s">
        <v>15806</v>
      </c>
      <c r="J1499" s="285" t="s">
        <v>5224</v>
      </c>
      <c r="K1499" s="285" t="s">
        <v>15807</v>
      </c>
      <c r="L1499" s="285" t="s">
        <v>2117</v>
      </c>
      <c r="M1499" s="285" t="s">
        <v>9383</v>
      </c>
      <c r="N1499" s="287" t="str">
        <f>IFERROR(
    IF(
        AND(
            VLOOKUP(B1499, 'รายชื่อพนักงานลาออกพ้นสภาพ'!B:I, 8, FALSE)&lt;&gt;"ยกเลิกลาออก",
            VLOOKUP(B1499, 'รายชื่อพนักงานลาออกพ้นสภาพ'!B:I, 7, FALSE)&lt;=TODAY()
        ),
        "ลาออกแล้ว",
        ""
    ),
"")</f>
        <v/>
      </c>
      <c r="O1499" s="292" t="str">
        <f t="array" ref="O1499">IFERROR(INDEX(PCRent!C:D, MATCH(F1499 &amp; " " &amp; G1499, PCRent!A:A &amp; " " &amp; PCRent!B:B, 0)), "")</f>
        <v/>
      </c>
      <c r="P1499" s="293"/>
      <c r="Q1499" s="294" t="str">
        <f t="array" ref="Q1499">IFERROR(INDEX(MonitorRent!C:D, MATCH(F1499 &amp; " " &amp; G1499, MonitorRent!A:A &amp; " " &amp; MonitorRent!B:B, 0)), "")</f>
        <v/>
      </c>
      <c r="R1499" s="295"/>
    </row>
    <row r="1500">
      <c r="A1500" s="284">
        <v>1497.0</v>
      </c>
      <c r="B1500" s="285" t="s">
        <v>15808</v>
      </c>
      <c r="C1500" s="285" t="s">
        <v>6918</v>
      </c>
      <c r="D1500" s="286" t="s">
        <v>9547</v>
      </c>
      <c r="E1500" s="285" t="s">
        <v>6921</v>
      </c>
      <c r="F1500" s="285" t="s">
        <v>10013</v>
      </c>
      <c r="G1500" s="285" t="s">
        <v>15809</v>
      </c>
      <c r="H1500" s="285" t="s">
        <v>15810</v>
      </c>
      <c r="I1500" s="285" t="s">
        <v>15811</v>
      </c>
      <c r="J1500" s="285" t="s">
        <v>5012</v>
      </c>
      <c r="K1500" s="285" t="s">
        <v>6322</v>
      </c>
      <c r="L1500" s="285" t="s">
        <v>9812</v>
      </c>
      <c r="M1500" s="285" t="s">
        <v>9391</v>
      </c>
      <c r="N1500" s="287" t="str">
        <f>IFERROR(
    IF(
        AND(
            VLOOKUP(B1500, 'รายชื่อพนักงานลาออกพ้นสภาพ'!B:I, 8, FALSE)&lt;&gt;"ยกเลิกลาออก",
            VLOOKUP(B1500, 'รายชื่อพนักงานลาออกพ้นสภาพ'!B:I, 7, FALSE)&lt;=TODAY()
        ),
        "ลาออกแล้ว",
        ""
    ),
"")</f>
        <v/>
      </c>
      <c r="O1500" s="292" t="str">
        <f t="array" ref="O1500">IFERROR(INDEX(PCRent!C:D, MATCH(F1500 &amp; " " &amp; G1500, PCRent!A:A &amp; " " &amp; PCRent!B:B, 0)), "")</f>
        <v/>
      </c>
      <c r="P1500" s="293"/>
      <c r="Q1500" s="294" t="str">
        <f t="array" ref="Q1500">IFERROR(INDEX(MonitorRent!C:D, MATCH(F1500 &amp; " " &amp; G1500, MonitorRent!A:A &amp; " " &amp; MonitorRent!B:B, 0)), "")</f>
        <v/>
      </c>
      <c r="R1500" s="295"/>
    </row>
    <row r="1501">
      <c r="A1501" s="284">
        <v>1498.0</v>
      </c>
      <c r="B1501" s="285" t="s">
        <v>76</v>
      </c>
      <c r="C1501" s="285" t="s">
        <v>6918</v>
      </c>
      <c r="D1501" s="286" t="s">
        <v>15812</v>
      </c>
      <c r="E1501" s="285" t="s">
        <v>6921</v>
      </c>
      <c r="F1501" s="285" t="s">
        <v>15813</v>
      </c>
      <c r="G1501" s="285" t="s">
        <v>15814</v>
      </c>
      <c r="H1501" s="285" t="s">
        <v>10168</v>
      </c>
      <c r="I1501" s="285" t="s">
        <v>80</v>
      </c>
      <c r="J1501" s="285" t="s">
        <v>5224</v>
      </c>
      <c r="K1501" s="285" t="s">
        <v>15815</v>
      </c>
      <c r="L1501" s="285" t="s">
        <v>2730</v>
      </c>
      <c r="M1501" s="285" t="s">
        <v>9383</v>
      </c>
      <c r="N1501" s="287" t="str">
        <f>IFERROR(
    IF(
        AND(
            VLOOKUP(B1501, 'รายชื่อพนักงานลาออกพ้นสภาพ'!B:I, 8, FALSE)&lt;&gt;"ยกเลิกลาออก",
            VLOOKUP(B1501, 'รายชื่อพนักงานลาออกพ้นสภาพ'!B:I, 7, FALSE)&lt;=TODAY()
        ),
        "ลาออกแล้ว",
        ""
    ),
"")</f>
        <v>ลาออกแล้ว</v>
      </c>
      <c r="O1501" s="292" t="str">
        <f t="array" ref="O1501">IFERROR(INDEX(PCRent!C:D, MATCH(F1501 &amp; " " &amp; G1501, PCRent!A:A &amp; " " &amp; PCRent!B:B, 0)), "")</f>
        <v/>
      </c>
      <c r="P1501" s="293"/>
      <c r="Q1501" s="294" t="str">
        <f t="array" ref="Q1501">IFERROR(INDEX(MonitorRent!C:D, MATCH(F1501 &amp; " " &amp; G1501, MonitorRent!A:A &amp; " " &amp; MonitorRent!B:B, 0)), "")</f>
        <v/>
      </c>
      <c r="R1501" s="295"/>
    </row>
    <row r="1502">
      <c r="A1502" s="284">
        <v>1499.0</v>
      </c>
      <c r="B1502" s="285" t="s">
        <v>7381</v>
      </c>
      <c r="C1502" s="285" t="s">
        <v>6918</v>
      </c>
      <c r="D1502" s="286" t="s">
        <v>15816</v>
      </c>
      <c r="E1502" s="285" t="s">
        <v>6921</v>
      </c>
      <c r="F1502" s="285" t="s">
        <v>15817</v>
      </c>
      <c r="G1502" s="285" t="s">
        <v>15818</v>
      </c>
      <c r="H1502" s="285" t="s">
        <v>15819</v>
      </c>
      <c r="I1502" s="285" t="s">
        <v>5553</v>
      </c>
      <c r="J1502" s="285" t="s">
        <v>5224</v>
      </c>
      <c r="K1502" s="285" t="s">
        <v>13181</v>
      </c>
      <c r="L1502" s="285" t="s">
        <v>15820</v>
      </c>
      <c r="M1502" s="285" t="s">
        <v>9383</v>
      </c>
      <c r="N1502" s="287" t="str">
        <f>IFERROR(
    IF(
        AND(
            VLOOKUP(B1502, 'รายชื่อพนักงานลาออกพ้นสภาพ'!B:I, 8, FALSE)&lt;&gt;"ยกเลิกลาออก",
            VLOOKUP(B1502, 'รายชื่อพนักงานลาออกพ้นสภาพ'!B:I, 7, FALSE)&lt;=TODAY()
        ),
        "ลาออกแล้ว",
        ""
    ),
"")</f>
        <v/>
      </c>
      <c r="O1502" s="292" t="str">
        <f t="array" ref="O1502">IFERROR(INDEX(PCRent!C:D, MATCH(F1502 &amp; " " &amp; G1502, PCRent!A:A &amp; " " &amp; PCRent!B:B, 0)), "")</f>
        <v/>
      </c>
      <c r="P1502" s="293"/>
      <c r="Q1502" s="294" t="str">
        <f t="array" ref="Q1502">IFERROR(INDEX(MonitorRent!C:D, MATCH(F1502 &amp; " " &amp; G1502, MonitorRent!A:A &amp; " " &amp; MonitorRent!B:B, 0)), "")</f>
        <v/>
      </c>
      <c r="R1502" s="295"/>
    </row>
    <row r="1503">
      <c r="A1503" s="284">
        <v>1500.0</v>
      </c>
      <c r="B1503" s="285" t="s">
        <v>2431</v>
      </c>
      <c r="C1503" s="285" t="s">
        <v>6918</v>
      </c>
      <c r="D1503" s="286" t="s">
        <v>9489</v>
      </c>
      <c r="E1503" s="285" t="s">
        <v>6933</v>
      </c>
      <c r="F1503" s="285" t="s">
        <v>12570</v>
      </c>
      <c r="G1503" s="285" t="s">
        <v>15821</v>
      </c>
      <c r="H1503" s="285" t="s">
        <v>15822</v>
      </c>
      <c r="I1503" s="285" t="s">
        <v>6171</v>
      </c>
      <c r="J1503" s="285" t="s">
        <v>5012</v>
      </c>
      <c r="K1503" s="285" t="s">
        <v>9552</v>
      </c>
      <c r="L1503" s="285" t="s">
        <v>13600</v>
      </c>
      <c r="M1503" s="285" t="s">
        <v>9383</v>
      </c>
      <c r="N1503" s="287" t="str">
        <f>IFERROR(
    IF(
        AND(
            VLOOKUP(B1503, 'รายชื่อพนักงานลาออกพ้นสภาพ'!B:I, 8, FALSE)&lt;&gt;"ยกเลิกลาออก",
            VLOOKUP(B1503, 'รายชื่อพนักงานลาออกพ้นสภาพ'!B:I, 7, FALSE)&lt;=TODAY()
        ),
        "ลาออกแล้ว",
        ""
    ),
"")</f>
        <v/>
      </c>
      <c r="O1503" s="292" t="str">
        <f t="array" ref="O1503:P1503">IFERROR(INDEX(PCRent!C:D, MATCH(F1503 &amp; " " &amp; G1503, PCRent!A:A &amp; " " &amp; PCRent!B:B, 0)), "")</f>
        <v>SN:7QRKQ04</v>
      </c>
      <c r="P1503" s="293" t="s">
        <v>7048</v>
      </c>
      <c r="Q1503" s="294" t="str">
        <f t="array" ref="Q1503:R1503">IFERROR(INDEX(MonitorRent!C:D, MATCH(F1503 &amp; " " &amp; G1503, MonitorRent!A:A &amp; " " &amp; MonitorRent!B:B, 0)), "")</f>
        <v>SN:9F27XY3</v>
      </c>
      <c r="R1503" s="295" t="s">
        <v>9397</v>
      </c>
    </row>
    <row r="1504">
      <c r="A1504" s="284">
        <v>1501.0</v>
      </c>
      <c r="B1504" s="285" t="s">
        <v>7220</v>
      </c>
      <c r="C1504" s="285" t="s">
        <v>6918</v>
      </c>
      <c r="D1504" s="286" t="s">
        <v>15823</v>
      </c>
      <c r="E1504" s="285" t="s">
        <v>6921</v>
      </c>
      <c r="F1504" s="285" t="s">
        <v>15824</v>
      </c>
      <c r="G1504" s="285" t="s">
        <v>15162</v>
      </c>
      <c r="H1504" s="285" t="s">
        <v>11107</v>
      </c>
      <c r="I1504" s="285" t="s">
        <v>15825</v>
      </c>
      <c r="J1504" s="285" t="s">
        <v>5224</v>
      </c>
      <c r="K1504" s="285" t="s">
        <v>9836</v>
      </c>
      <c r="L1504" s="285" t="s">
        <v>1602</v>
      </c>
      <c r="M1504" s="285" t="s">
        <v>9383</v>
      </c>
      <c r="N1504" s="287" t="str">
        <f>IFERROR(
    IF(
        AND(
            VLOOKUP(B1504, 'รายชื่อพนักงานลาออกพ้นสภาพ'!B:I, 8, FALSE)&lt;&gt;"ยกเลิกลาออก",
            VLOOKUP(B1504, 'รายชื่อพนักงานลาออกพ้นสภาพ'!B:I, 7, FALSE)&lt;=TODAY()
        ),
        "ลาออกแล้ว",
        ""
    ),
"")</f>
        <v/>
      </c>
      <c r="O1504" s="292" t="str">
        <f t="array" ref="O1504">IFERROR(INDEX(PCRent!C:D, MATCH(F1504 &amp; " " &amp; G1504, PCRent!A:A &amp; " " &amp; PCRent!B:B, 0)), "")</f>
        <v/>
      </c>
      <c r="P1504" s="293"/>
      <c r="Q1504" s="294" t="str">
        <f t="array" ref="Q1504">IFERROR(INDEX(MonitorRent!C:D, MATCH(F1504 &amp; " " &amp; G1504, MonitorRent!A:A &amp; " " &amp; MonitorRent!B:B, 0)), "")</f>
        <v/>
      </c>
      <c r="R1504" s="295"/>
    </row>
    <row r="1505">
      <c r="A1505" s="284">
        <v>1502.0</v>
      </c>
      <c r="B1505" s="285" t="s">
        <v>9087</v>
      </c>
      <c r="C1505" s="285" t="s">
        <v>6918</v>
      </c>
      <c r="D1505" s="286" t="s">
        <v>15826</v>
      </c>
      <c r="E1505" s="285" t="s">
        <v>6933</v>
      </c>
      <c r="F1505" s="285" t="s">
        <v>15827</v>
      </c>
      <c r="G1505" s="285" t="s">
        <v>15828</v>
      </c>
      <c r="H1505" s="285" t="s">
        <v>13524</v>
      </c>
      <c r="I1505" s="285" t="s">
        <v>15829</v>
      </c>
      <c r="J1505" s="285" t="s">
        <v>5012</v>
      </c>
      <c r="K1505" s="285" t="s">
        <v>4749</v>
      </c>
      <c r="L1505" s="285" t="s">
        <v>14652</v>
      </c>
      <c r="M1505" s="285" t="s">
        <v>9383</v>
      </c>
      <c r="N1505" s="287" t="str">
        <f>IFERROR(
    IF(
        AND(
            VLOOKUP(B1505, 'รายชื่อพนักงานลาออกพ้นสภาพ'!B:I, 8, FALSE)&lt;&gt;"ยกเลิกลาออก",
            VLOOKUP(B1505, 'รายชื่อพนักงานลาออกพ้นสภาพ'!B:I, 7, FALSE)&lt;=TODAY()
        ),
        "ลาออกแล้ว",
        ""
    ),
"")</f>
        <v/>
      </c>
      <c r="O1505" s="292" t="str">
        <f t="array" ref="O1505">IFERROR(INDEX(PCRent!C:D, MATCH(F1505 &amp; " " &amp; G1505, PCRent!A:A &amp; " " &amp; PCRent!B:B, 0)), "")</f>
        <v/>
      </c>
      <c r="P1505" s="293"/>
      <c r="Q1505" s="294" t="str">
        <f t="array" ref="Q1505">IFERROR(INDEX(MonitorRent!C:D, MATCH(F1505 &amp; " " &amp; G1505, MonitorRent!A:A &amp; " " &amp; MonitorRent!B:B, 0)), "")</f>
        <v/>
      </c>
      <c r="R1505" s="295"/>
    </row>
    <row r="1506">
      <c r="A1506" s="284">
        <v>1503.0</v>
      </c>
      <c r="B1506" s="285" t="s">
        <v>9103</v>
      </c>
      <c r="C1506" s="285" t="s">
        <v>6918</v>
      </c>
      <c r="D1506" s="286" t="s">
        <v>15830</v>
      </c>
      <c r="E1506" s="285" t="s">
        <v>6921</v>
      </c>
      <c r="F1506" s="285" t="s">
        <v>15831</v>
      </c>
      <c r="G1506" s="285" t="s">
        <v>15832</v>
      </c>
      <c r="H1506" s="285" t="s">
        <v>13288</v>
      </c>
      <c r="I1506" s="285" t="s">
        <v>15833</v>
      </c>
      <c r="J1506" s="285" t="s">
        <v>5224</v>
      </c>
      <c r="K1506" s="285" t="s">
        <v>15834</v>
      </c>
      <c r="L1506" s="285" t="s">
        <v>15531</v>
      </c>
      <c r="M1506" s="285" t="s">
        <v>9383</v>
      </c>
      <c r="N1506" s="287" t="str">
        <f>IFERROR(
    IF(
        AND(
            VLOOKUP(B1506, 'รายชื่อพนักงานลาออกพ้นสภาพ'!B:I, 8, FALSE)&lt;&gt;"ยกเลิกลาออก",
            VLOOKUP(B1506, 'รายชื่อพนักงานลาออกพ้นสภาพ'!B:I, 7, FALSE)&lt;=TODAY()
        ),
        "ลาออกแล้ว",
        ""
    ),
"")</f>
        <v/>
      </c>
      <c r="O1506" s="292" t="str">
        <f t="array" ref="O1506">IFERROR(INDEX(PCRent!C:D, MATCH(F1506 &amp; " " &amp; G1506, PCRent!A:A &amp; " " &amp; PCRent!B:B, 0)), "")</f>
        <v/>
      </c>
      <c r="P1506" s="293"/>
      <c r="Q1506" s="294" t="str">
        <f t="array" ref="Q1506">IFERROR(INDEX(MonitorRent!C:D, MATCH(F1506 &amp; " " &amp; G1506, MonitorRent!A:A &amp; " " &amp; MonitorRent!B:B, 0)), "")</f>
        <v/>
      </c>
      <c r="R1506" s="295"/>
    </row>
    <row r="1507">
      <c r="A1507" s="284">
        <v>1504.0</v>
      </c>
      <c r="B1507" s="285" t="s">
        <v>695</v>
      </c>
      <c r="C1507" s="285" t="s">
        <v>6918</v>
      </c>
      <c r="D1507" s="286" t="s">
        <v>10412</v>
      </c>
      <c r="E1507" s="285" t="s">
        <v>6921</v>
      </c>
      <c r="F1507" s="285" t="s">
        <v>15835</v>
      </c>
      <c r="G1507" s="285" t="s">
        <v>15836</v>
      </c>
      <c r="H1507" s="285" t="s">
        <v>15837</v>
      </c>
      <c r="I1507" s="285" t="s">
        <v>698</v>
      </c>
      <c r="J1507" s="285" t="s">
        <v>5224</v>
      </c>
      <c r="K1507" s="285" t="s">
        <v>2062</v>
      </c>
      <c r="L1507" s="285" t="s">
        <v>363</v>
      </c>
      <c r="M1507" s="285" t="s">
        <v>9383</v>
      </c>
      <c r="N1507" s="287" t="str">
        <f>IFERROR(
    IF(
        AND(
            VLOOKUP(B1507, 'รายชื่อพนักงานลาออกพ้นสภาพ'!B:I, 8, FALSE)&lt;&gt;"ยกเลิกลาออก",
            VLOOKUP(B1507, 'รายชื่อพนักงานลาออกพ้นสภาพ'!B:I, 7, FALSE)&lt;=TODAY()
        ),
        "ลาออกแล้ว",
        ""
    ),
"")</f>
        <v>ลาออกแล้ว</v>
      </c>
      <c r="O1507" s="292" t="str">
        <f t="array" ref="O1507:P1507">IFERROR(INDEX(PCRent!C:D, MATCH(F1507 &amp; " " &amp; G1507, PCRent!A:A &amp; " " &amp; PCRent!B:B, 0)), "")</f>
        <v>SN:MP2M8G9E</v>
      </c>
      <c r="P1507" s="293" t="s">
        <v>7248</v>
      </c>
      <c r="Q1507" s="294" t="str">
        <f t="array" ref="Q1507">IFERROR(INDEX(MonitorRent!C:D, MATCH(F1507 &amp; " " &amp; G1507, MonitorRent!A:A &amp; " " &amp; MonitorRent!B:B, 0)), "")</f>
        <v/>
      </c>
      <c r="R1507" s="295"/>
    </row>
    <row r="1508">
      <c r="A1508" s="284">
        <v>1505.0</v>
      </c>
      <c r="B1508" s="285" t="s">
        <v>15838</v>
      </c>
      <c r="C1508" s="285" t="s">
        <v>6918</v>
      </c>
      <c r="D1508" s="286" t="s">
        <v>12974</v>
      </c>
      <c r="E1508" s="285" t="s">
        <v>6933</v>
      </c>
      <c r="F1508" s="285" t="s">
        <v>15839</v>
      </c>
      <c r="G1508" s="285" t="s">
        <v>15840</v>
      </c>
      <c r="H1508" s="285" t="s">
        <v>9637</v>
      </c>
      <c r="I1508" s="285" t="s">
        <v>15841</v>
      </c>
      <c r="J1508" s="285" t="s">
        <v>5012</v>
      </c>
      <c r="K1508" s="285" t="s">
        <v>13937</v>
      </c>
      <c r="L1508" s="285" t="s">
        <v>9540</v>
      </c>
      <c r="M1508" s="285" t="s">
        <v>9383</v>
      </c>
      <c r="N1508" s="287" t="str">
        <f>IFERROR(
    IF(
        AND(
            VLOOKUP(B1508, 'รายชื่อพนักงานลาออกพ้นสภาพ'!B:I, 8, FALSE)&lt;&gt;"ยกเลิกลาออก",
            VLOOKUP(B1508, 'รายชื่อพนักงานลาออกพ้นสภาพ'!B:I, 7, FALSE)&lt;=TODAY()
        ),
        "ลาออกแล้ว",
        ""
    ),
"")</f>
        <v/>
      </c>
      <c r="O1508" s="292" t="str">
        <f t="array" ref="O1508">IFERROR(INDEX(PCRent!C:D, MATCH(F1508 &amp; " " &amp; G1508, PCRent!A:A &amp; " " &amp; PCRent!B:B, 0)), "")</f>
        <v/>
      </c>
      <c r="P1508" s="293"/>
      <c r="Q1508" s="294" t="str">
        <f t="array" ref="Q1508">IFERROR(INDEX(MonitorRent!C:D, MATCH(F1508 &amp; " " &amp; G1508, MonitorRent!A:A &amp; " " &amp; MonitorRent!B:B, 0)), "")</f>
        <v/>
      </c>
      <c r="R1508" s="295"/>
    </row>
    <row r="1509">
      <c r="A1509" s="284">
        <v>1506.0</v>
      </c>
      <c r="B1509" s="285" t="s">
        <v>15842</v>
      </c>
      <c r="C1509" s="285" t="s">
        <v>6918</v>
      </c>
      <c r="D1509" s="286" t="s">
        <v>10045</v>
      </c>
      <c r="E1509" s="285" t="s">
        <v>6921</v>
      </c>
      <c r="F1509" s="285" t="s">
        <v>12924</v>
      </c>
      <c r="G1509" s="285" t="s">
        <v>15843</v>
      </c>
      <c r="H1509" s="285" t="s">
        <v>15844</v>
      </c>
      <c r="I1509" s="285" t="s">
        <v>15845</v>
      </c>
      <c r="J1509" s="285" t="s">
        <v>5012</v>
      </c>
      <c r="K1509" s="285" t="s">
        <v>9588</v>
      </c>
      <c r="L1509" s="285" t="s">
        <v>13501</v>
      </c>
      <c r="M1509" s="285" t="s">
        <v>9383</v>
      </c>
      <c r="N1509" s="287" t="str">
        <f>IFERROR(
    IF(
        AND(
            VLOOKUP(B1509, 'รายชื่อพนักงานลาออกพ้นสภาพ'!B:I, 8, FALSE)&lt;&gt;"ยกเลิกลาออก",
            VLOOKUP(B1509, 'รายชื่อพนักงานลาออกพ้นสภาพ'!B:I, 7, FALSE)&lt;=TODAY()
        ),
        "ลาออกแล้ว",
        ""
    ),
"")</f>
        <v/>
      </c>
      <c r="O1509" s="292" t="str">
        <f t="array" ref="O1509:P1509">IFERROR(INDEX(PCRent!C:D, MATCH(F1509 &amp; " " &amp; G1509, PCRent!A:A &amp; " " &amp; PCRent!B:B, 0)), "")</f>
        <v>SN:HV8BXW3</v>
      </c>
      <c r="P1509" s="293" t="s">
        <v>7048</v>
      </c>
      <c r="Q1509" s="294" t="str">
        <f t="array" ref="Q1509:R1509">IFERROR(INDEX(MonitorRent!C:D, MATCH(F1509 &amp; " " &amp; G1509, MonitorRent!A:A &amp; " " &amp; MonitorRent!B:B, 0)), "")</f>
        <v>SN:GDB7KT3</v>
      </c>
      <c r="R1509" s="295" t="s">
        <v>7050</v>
      </c>
    </row>
    <row r="1510">
      <c r="A1510" s="284">
        <v>1507.0</v>
      </c>
      <c r="B1510" s="285" t="s">
        <v>8755</v>
      </c>
      <c r="C1510" s="285" t="s">
        <v>6918</v>
      </c>
      <c r="D1510" s="286" t="s">
        <v>9984</v>
      </c>
      <c r="E1510" s="285" t="s">
        <v>6933</v>
      </c>
      <c r="F1510" s="285" t="s">
        <v>15846</v>
      </c>
      <c r="G1510" s="285" t="s">
        <v>15847</v>
      </c>
      <c r="H1510" s="285" t="s">
        <v>10389</v>
      </c>
      <c r="I1510" s="285" t="s">
        <v>15848</v>
      </c>
      <c r="J1510" s="285" t="s">
        <v>5012</v>
      </c>
      <c r="K1510" s="285" t="s">
        <v>9466</v>
      </c>
      <c r="L1510" s="285" t="s">
        <v>9918</v>
      </c>
      <c r="M1510" s="285" t="s">
        <v>9383</v>
      </c>
      <c r="N1510" s="287" t="str">
        <f>IFERROR(
    IF(
        AND(
            VLOOKUP(B1510, 'รายชื่อพนักงานลาออกพ้นสภาพ'!B:I, 8, FALSE)&lt;&gt;"ยกเลิกลาออก",
            VLOOKUP(B1510, 'รายชื่อพนักงานลาออกพ้นสภาพ'!B:I, 7, FALSE)&lt;=TODAY()
        ),
        "ลาออกแล้ว",
        ""
    ),
"")</f>
        <v/>
      </c>
      <c r="O1510" s="292" t="str">
        <f t="array" ref="O1510">IFERROR(INDEX(PCRent!C:D, MATCH(F1510 &amp; " " &amp; G1510, PCRent!A:A &amp; " " &amp; PCRent!B:B, 0)), "")</f>
        <v/>
      </c>
      <c r="P1510" s="293"/>
      <c r="Q1510" s="294" t="str">
        <f t="array" ref="Q1510">IFERROR(INDEX(MonitorRent!C:D, MATCH(F1510 &amp; " " &amp; G1510, MonitorRent!A:A &amp; " " &amp; MonitorRent!B:B, 0)), "")</f>
        <v/>
      </c>
      <c r="R1510" s="295"/>
    </row>
    <row r="1511">
      <c r="A1511" s="284">
        <v>1508.0</v>
      </c>
      <c r="B1511" s="285" t="s">
        <v>15849</v>
      </c>
      <c r="C1511" s="285" t="s">
        <v>6918</v>
      </c>
      <c r="D1511" s="286" t="s">
        <v>15543</v>
      </c>
      <c r="E1511" s="285" t="s">
        <v>6921</v>
      </c>
      <c r="F1511" s="285" t="s">
        <v>15850</v>
      </c>
      <c r="G1511" s="285" t="s">
        <v>15851</v>
      </c>
      <c r="H1511" s="285" t="s">
        <v>11533</v>
      </c>
      <c r="I1511" s="285" t="s">
        <v>15852</v>
      </c>
      <c r="J1511" s="285" t="s">
        <v>5012</v>
      </c>
      <c r="K1511" s="285" t="s">
        <v>9560</v>
      </c>
      <c r="L1511" s="285" t="s">
        <v>13137</v>
      </c>
      <c r="M1511" s="285" t="s">
        <v>9383</v>
      </c>
      <c r="N1511" s="287" t="str">
        <f>IFERROR(
    IF(
        AND(
            VLOOKUP(B1511, 'รายชื่อพนักงานลาออกพ้นสภาพ'!B:I, 8, FALSE)&lt;&gt;"ยกเลิกลาออก",
            VLOOKUP(B1511, 'รายชื่อพนักงานลาออกพ้นสภาพ'!B:I, 7, FALSE)&lt;=TODAY()
        ),
        "ลาออกแล้ว",
        ""
    ),
"")</f>
        <v/>
      </c>
      <c r="O1511" s="292" t="str">
        <f t="array" ref="O1511">IFERROR(INDEX(PCRent!C:D, MATCH(F1511 &amp; " " &amp; G1511, PCRent!A:A &amp; " " &amp; PCRent!B:B, 0)), "")</f>
        <v/>
      </c>
      <c r="P1511" s="293"/>
      <c r="Q1511" s="294" t="str">
        <f t="array" ref="Q1511">IFERROR(INDEX(MonitorRent!C:D, MATCH(F1511 &amp; " " &amp; G1511, MonitorRent!A:A &amp; " " &amp; MonitorRent!B:B, 0)), "")</f>
        <v/>
      </c>
      <c r="R1511" s="295"/>
    </row>
    <row r="1512">
      <c r="A1512" s="284">
        <v>1509.0</v>
      </c>
      <c r="B1512" s="285" t="s">
        <v>7778</v>
      </c>
      <c r="C1512" s="285" t="s">
        <v>6918</v>
      </c>
      <c r="D1512" s="286" t="s">
        <v>12703</v>
      </c>
      <c r="E1512" s="285" t="s">
        <v>6921</v>
      </c>
      <c r="F1512" s="285" t="s">
        <v>15853</v>
      </c>
      <c r="G1512" s="285" t="s">
        <v>15854</v>
      </c>
      <c r="H1512" s="285" t="s">
        <v>9573</v>
      </c>
      <c r="I1512" s="285" t="s">
        <v>15855</v>
      </c>
      <c r="J1512" s="285" t="s">
        <v>5224</v>
      </c>
      <c r="K1512" s="285" t="s">
        <v>4818</v>
      </c>
      <c r="L1512" s="285" t="s">
        <v>5890</v>
      </c>
      <c r="M1512" s="285" t="s">
        <v>9383</v>
      </c>
      <c r="N1512" s="287" t="str">
        <f>IFERROR(
    IF(
        AND(
            VLOOKUP(B1512, 'รายชื่อพนักงานลาออกพ้นสภาพ'!B:I, 8, FALSE)&lt;&gt;"ยกเลิกลาออก",
            VLOOKUP(B1512, 'รายชื่อพนักงานลาออกพ้นสภาพ'!B:I, 7, FALSE)&lt;=TODAY()
        ),
        "ลาออกแล้ว",
        ""
    ),
"")</f>
        <v/>
      </c>
      <c r="O1512" s="292" t="str">
        <f t="array" ref="O1512">IFERROR(INDEX(PCRent!C:D, MATCH(F1512 &amp; " " &amp; G1512, PCRent!A:A &amp; " " &amp; PCRent!B:B, 0)), "")</f>
        <v/>
      </c>
      <c r="P1512" s="293"/>
      <c r="Q1512" s="294" t="str">
        <f t="array" ref="Q1512">IFERROR(INDEX(MonitorRent!C:D, MATCH(F1512 &amp; " " &amp; G1512, MonitorRent!A:A &amp; " " &amp; MonitorRent!B:B, 0)), "")</f>
        <v/>
      </c>
      <c r="R1512" s="295"/>
    </row>
    <row r="1513">
      <c r="A1513" s="284">
        <v>1510.0</v>
      </c>
      <c r="B1513" s="285" t="s">
        <v>15856</v>
      </c>
      <c r="C1513" s="285" t="s">
        <v>6918</v>
      </c>
      <c r="D1513" s="286" t="s">
        <v>15857</v>
      </c>
      <c r="E1513" s="285" t="s">
        <v>6921</v>
      </c>
      <c r="F1513" s="285" t="s">
        <v>15858</v>
      </c>
      <c r="G1513" s="285" t="s">
        <v>15859</v>
      </c>
      <c r="H1513" s="285" t="s">
        <v>15860</v>
      </c>
      <c r="I1513" s="285" t="s">
        <v>15861</v>
      </c>
      <c r="J1513" s="285" t="s">
        <v>5012</v>
      </c>
      <c r="K1513" s="285" t="s">
        <v>12973</v>
      </c>
      <c r="L1513" s="285" t="s">
        <v>941</v>
      </c>
      <c r="M1513" s="285" t="s">
        <v>9383</v>
      </c>
      <c r="N1513" s="287" t="str">
        <f>IFERROR(
    IF(
        AND(
            VLOOKUP(B1513, 'รายชื่อพนักงานลาออกพ้นสภาพ'!B:I, 8, FALSE)&lt;&gt;"ยกเลิกลาออก",
            VLOOKUP(B1513, 'รายชื่อพนักงานลาออกพ้นสภาพ'!B:I, 7, FALSE)&lt;=TODAY()
        ),
        "ลาออกแล้ว",
        ""
    ),
"")</f>
        <v/>
      </c>
      <c r="O1513" s="292" t="str">
        <f t="array" ref="O1513">IFERROR(INDEX(PCRent!C:D, MATCH(F1513 &amp; " " &amp; G1513, PCRent!A:A &amp; " " &amp; PCRent!B:B, 0)), "")</f>
        <v/>
      </c>
      <c r="P1513" s="293"/>
      <c r="Q1513" s="294" t="str">
        <f t="array" ref="Q1513">IFERROR(INDEX(MonitorRent!C:D, MATCH(F1513 &amp; " " &amp; G1513, MonitorRent!A:A &amp; " " &amp; MonitorRent!B:B, 0)), "")</f>
        <v/>
      </c>
      <c r="R1513" s="295"/>
    </row>
    <row r="1514">
      <c r="A1514" s="284">
        <v>1511.0</v>
      </c>
      <c r="B1514" s="285" t="s">
        <v>8722</v>
      </c>
      <c r="C1514" s="285" t="s">
        <v>6918</v>
      </c>
      <c r="D1514" s="286" t="s">
        <v>9786</v>
      </c>
      <c r="E1514" s="285" t="s">
        <v>6921</v>
      </c>
      <c r="F1514" s="285" t="s">
        <v>15862</v>
      </c>
      <c r="G1514" s="285" t="s">
        <v>15863</v>
      </c>
      <c r="H1514" s="285" t="s">
        <v>11916</v>
      </c>
      <c r="I1514" s="285" t="s">
        <v>15864</v>
      </c>
      <c r="J1514" s="285" t="s">
        <v>5224</v>
      </c>
      <c r="K1514" s="285" t="s">
        <v>15865</v>
      </c>
      <c r="L1514" s="285" t="s">
        <v>456</v>
      </c>
      <c r="M1514" s="285" t="s">
        <v>9383</v>
      </c>
      <c r="N1514" s="287" t="str">
        <f>IFERROR(
    IF(
        AND(
            VLOOKUP(B1514, 'รายชื่อพนักงานลาออกพ้นสภาพ'!B:I, 8, FALSE)&lt;&gt;"ยกเลิกลาออก",
            VLOOKUP(B1514, 'รายชื่อพนักงานลาออกพ้นสภาพ'!B:I, 7, FALSE)&lt;=TODAY()
        ),
        "ลาออกแล้ว",
        ""
    ),
"")</f>
        <v/>
      </c>
      <c r="O1514" s="292" t="str">
        <f t="array" ref="O1514">IFERROR(INDEX(PCRent!C:D, MATCH(F1514 &amp; " " &amp; G1514, PCRent!A:A &amp; " " &amp; PCRent!B:B, 0)), "")</f>
        <v/>
      </c>
      <c r="P1514" s="293"/>
      <c r="Q1514" s="294" t="str">
        <f t="array" ref="Q1514">IFERROR(INDEX(MonitorRent!C:D, MATCH(F1514 &amp; " " &amp; G1514, MonitorRent!A:A &amp; " " &amp; MonitorRent!B:B, 0)), "")</f>
        <v/>
      </c>
      <c r="R1514" s="295"/>
    </row>
    <row r="1515">
      <c r="A1515" s="284">
        <v>1512.0</v>
      </c>
      <c r="B1515" s="285" t="s">
        <v>7087</v>
      </c>
      <c r="C1515" s="285" t="s">
        <v>6918</v>
      </c>
      <c r="D1515" s="286" t="s">
        <v>9942</v>
      </c>
      <c r="E1515" s="285" t="s">
        <v>6933</v>
      </c>
      <c r="F1515" s="285" t="s">
        <v>12179</v>
      </c>
      <c r="G1515" s="285" t="s">
        <v>15866</v>
      </c>
      <c r="H1515" s="285" t="s">
        <v>15867</v>
      </c>
      <c r="I1515" s="285" t="s">
        <v>15868</v>
      </c>
      <c r="J1515" s="285" t="s">
        <v>5224</v>
      </c>
      <c r="K1515" s="285" t="s">
        <v>4805</v>
      </c>
      <c r="L1515" s="285" t="s">
        <v>1349</v>
      </c>
      <c r="M1515" s="285" t="s">
        <v>9383</v>
      </c>
      <c r="N1515" s="287" t="str">
        <f>IFERROR(
    IF(
        AND(
            VLOOKUP(B1515, 'รายชื่อพนักงานลาออกพ้นสภาพ'!B:I, 8, FALSE)&lt;&gt;"ยกเลิกลาออก",
            VLOOKUP(B1515, 'รายชื่อพนักงานลาออกพ้นสภาพ'!B:I, 7, FALSE)&lt;=TODAY()
        ),
        "ลาออกแล้ว",
        ""
    ),
"")</f>
        <v/>
      </c>
      <c r="O1515" s="292" t="str">
        <f t="array" ref="O1515:P1515">IFERROR(INDEX(PCRent!C:D, MATCH(F1515 &amp; " " &amp; G1515, PCRent!A:A &amp; " " &amp; PCRent!B:B, 0)), "")</f>
        <v>SN:MP2831NN</v>
      </c>
      <c r="P1515" s="293" t="s">
        <v>6993</v>
      </c>
      <c r="Q1515" s="294" t="str">
        <f t="array" ref="Q1515">IFERROR(INDEX(MonitorRent!C:D, MATCH(F1515 &amp; " " &amp; G1515, MonitorRent!A:A &amp; " " &amp; MonitorRent!B:B, 0)), "")</f>
        <v/>
      </c>
      <c r="R1515" s="295"/>
    </row>
    <row r="1516">
      <c r="A1516" s="284">
        <v>1513.0</v>
      </c>
      <c r="B1516" s="285" t="s">
        <v>9099</v>
      </c>
      <c r="C1516" s="285" t="s">
        <v>6918</v>
      </c>
      <c r="D1516" s="286" t="s">
        <v>15869</v>
      </c>
      <c r="E1516" s="285" t="s">
        <v>6921</v>
      </c>
      <c r="F1516" s="285" t="s">
        <v>12192</v>
      </c>
      <c r="G1516" s="285" t="s">
        <v>15870</v>
      </c>
      <c r="H1516" s="285" t="s">
        <v>10003</v>
      </c>
      <c r="I1516" s="285" t="s">
        <v>15871</v>
      </c>
      <c r="J1516" s="285" t="s">
        <v>5224</v>
      </c>
      <c r="K1516" s="285" t="s">
        <v>4756</v>
      </c>
      <c r="L1516" s="285" t="s">
        <v>15531</v>
      </c>
      <c r="M1516" s="285" t="s">
        <v>9383</v>
      </c>
      <c r="N1516" s="287" t="str">
        <f>IFERROR(
    IF(
        AND(
            VLOOKUP(B1516, 'รายชื่อพนักงานลาออกพ้นสภาพ'!B:I, 8, FALSE)&lt;&gt;"ยกเลิกลาออก",
            VLOOKUP(B1516, 'รายชื่อพนักงานลาออกพ้นสภาพ'!B:I, 7, FALSE)&lt;=TODAY()
        ),
        "ลาออกแล้ว",
        ""
    ),
"")</f>
        <v/>
      </c>
      <c r="O1516" s="292" t="str">
        <f t="array" ref="O1516">IFERROR(INDEX(PCRent!C:D, MATCH(F1516 &amp; " " &amp; G1516, PCRent!A:A &amp; " " &amp; PCRent!B:B, 0)), "")</f>
        <v/>
      </c>
      <c r="P1516" s="293"/>
      <c r="Q1516" s="294" t="str">
        <f t="array" ref="Q1516">IFERROR(INDEX(MonitorRent!C:D, MATCH(F1516 &amp; " " &amp; G1516, MonitorRent!A:A &amp; " " &amp; MonitorRent!B:B, 0)), "")</f>
        <v/>
      </c>
      <c r="R1516" s="295"/>
    </row>
    <row r="1517">
      <c r="A1517" s="284">
        <v>1514.0</v>
      </c>
      <c r="B1517" s="285" t="s">
        <v>9146</v>
      </c>
      <c r="C1517" s="285" t="s">
        <v>6918</v>
      </c>
      <c r="D1517" s="286" t="s">
        <v>13176</v>
      </c>
      <c r="E1517" s="285" t="s">
        <v>6933</v>
      </c>
      <c r="F1517" s="285" t="s">
        <v>15872</v>
      </c>
      <c r="G1517" s="285" t="s">
        <v>15873</v>
      </c>
      <c r="H1517" s="285" t="s">
        <v>15874</v>
      </c>
      <c r="I1517" s="285" t="s">
        <v>15875</v>
      </c>
      <c r="J1517" s="285" t="s">
        <v>5224</v>
      </c>
      <c r="K1517" s="285" t="s">
        <v>12373</v>
      </c>
      <c r="L1517" s="285" t="s">
        <v>4323</v>
      </c>
      <c r="M1517" s="285" t="s">
        <v>9383</v>
      </c>
      <c r="N1517" s="287" t="str">
        <f>IFERROR(
    IF(
        AND(
            VLOOKUP(B1517, 'รายชื่อพนักงานลาออกพ้นสภาพ'!B:I, 8, FALSE)&lt;&gt;"ยกเลิกลาออก",
            VLOOKUP(B1517, 'รายชื่อพนักงานลาออกพ้นสภาพ'!B:I, 7, FALSE)&lt;=TODAY()
        ),
        "ลาออกแล้ว",
        ""
    ),
"")</f>
        <v/>
      </c>
      <c r="O1517" s="292" t="str">
        <f t="array" ref="O1517">IFERROR(INDEX(PCRent!C:D, MATCH(F1517 &amp; " " &amp; G1517, PCRent!A:A &amp; " " &amp; PCRent!B:B, 0)), "")</f>
        <v/>
      </c>
      <c r="P1517" s="293"/>
      <c r="Q1517" s="294" t="str">
        <f t="array" ref="Q1517">IFERROR(INDEX(MonitorRent!C:D, MATCH(F1517 &amp; " " &amp; G1517, MonitorRent!A:A &amp; " " &amp; MonitorRent!B:B, 0)), "")</f>
        <v/>
      </c>
      <c r="R1517" s="295"/>
    </row>
    <row r="1518">
      <c r="A1518" s="284">
        <v>1515.0</v>
      </c>
      <c r="B1518" s="285" t="s">
        <v>4900</v>
      </c>
      <c r="C1518" s="285" t="s">
        <v>6918</v>
      </c>
      <c r="D1518" s="286" t="s">
        <v>13314</v>
      </c>
      <c r="E1518" s="285" t="s">
        <v>6921</v>
      </c>
      <c r="F1518" s="285" t="s">
        <v>15876</v>
      </c>
      <c r="G1518" s="285" t="s">
        <v>15877</v>
      </c>
      <c r="H1518" s="285" t="s">
        <v>9413</v>
      </c>
      <c r="I1518" s="285" t="s">
        <v>4901</v>
      </c>
      <c r="J1518" s="285" t="s">
        <v>5224</v>
      </c>
      <c r="K1518" s="285" t="s">
        <v>4898</v>
      </c>
      <c r="L1518" s="285" t="s">
        <v>2177</v>
      </c>
      <c r="M1518" s="285" t="s">
        <v>9383</v>
      </c>
      <c r="N1518" s="287" t="str">
        <f>IFERROR(
    IF(
        AND(
            VLOOKUP(B1518, 'รายชื่อพนักงานลาออกพ้นสภาพ'!B:I, 8, FALSE)&lt;&gt;"ยกเลิกลาออก",
            VLOOKUP(B1518, 'รายชื่อพนักงานลาออกพ้นสภาพ'!B:I, 7, FALSE)&lt;=TODAY()
        ),
        "ลาออกแล้ว",
        ""
    ),
"")</f>
        <v/>
      </c>
      <c r="O1518" s="292" t="str">
        <f t="array" ref="O1518">IFERROR(INDEX(PCRent!C:D, MATCH(F1518 &amp; " " &amp; G1518, PCRent!A:A &amp; " " &amp; PCRent!B:B, 0)), "")</f>
        <v/>
      </c>
      <c r="P1518" s="293"/>
      <c r="Q1518" s="294" t="str">
        <f t="array" ref="Q1518">IFERROR(INDEX(MonitorRent!C:D, MATCH(F1518 &amp; " " &amp; G1518, MonitorRent!A:A &amp; " " &amp; MonitorRent!B:B, 0)), "")</f>
        <v/>
      </c>
      <c r="R1518" s="295"/>
    </row>
    <row r="1519">
      <c r="A1519" s="284">
        <v>1516.0</v>
      </c>
      <c r="B1519" s="285" t="s">
        <v>479</v>
      </c>
      <c r="C1519" s="285" t="s">
        <v>6918</v>
      </c>
      <c r="D1519" s="286" t="s">
        <v>10206</v>
      </c>
      <c r="E1519" s="285" t="s">
        <v>6921</v>
      </c>
      <c r="F1519" s="285" t="s">
        <v>15878</v>
      </c>
      <c r="G1519" s="285" t="s">
        <v>15879</v>
      </c>
      <c r="H1519" s="285" t="s">
        <v>15880</v>
      </c>
      <c r="I1519" s="285" t="s">
        <v>483</v>
      </c>
      <c r="J1519" s="285" t="s">
        <v>5012</v>
      </c>
      <c r="K1519" s="285" t="s">
        <v>4818</v>
      </c>
      <c r="L1519" s="285" t="s">
        <v>3680</v>
      </c>
      <c r="M1519" s="285" t="s">
        <v>9391</v>
      </c>
      <c r="N1519" s="287" t="str">
        <f>IFERROR(
    IF(
        AND(
            VLOOKUP(B1519, 'รายชื่อพนักงานลาออกพ้นสภาพ'!B:I, 8, FALSE)&lt;&gt;"ยกเลิกลาออก",
            VLOOKUP(B1519, 'รายชื่อพนักงานลาออกพ้นสภาพ'!B:I, 7, FALSE)&lt;=TODAY()
        ),
        "ลาออกแล้ว",
        ""
    ),
"")</f>
        <v>ลาออกแล้ว</v>
      </c>
      <c r="O1519" s="292" t="str">
        <f t="array" ref="O1519">IFERROR(INDEX(PCRent!C:D, MATCH(F1519 &amp; " " &amp; G1519, PCRent!A:A &amp; " " &amp; PCRent!B:B, 0)), "")</f>
        <v/>
      </c>
      <c r="P1519" s="293"/>
      <c r="Q1519" s="294" t="str">
        <f t="array" ref="Q1519">IFERROR(INDEX(MonitorRent!C:D, MATCH(F1519 &amp; " " &amp; G1519, MonitorRent!A:A &amp; " " &amp; MonitorRent!B:B, 0)), "")</f>
        <v/>
      </c>
      <c r="R1519" s="295"/>
    </row>
    <row r="1520">
      <c r="A1520" s="284">
        <v>1517.0</v>
      </c>
      <c r="B1520" s="285" t="s">
        <v>15881</v>
      </c>
      <c r="C1520" s="285" t="s">
        <v>6918</v>
      </c>
      <c r="D1520" s="286" t="s">
        <v>9882</v>
      </c>
      <c r="E1520" s="285" t="s">
        <v>6933</v>
      </c>
      <c r="F1520" s="285" t="s">
        <v>15882</v>
      </c>
      <c r="G1520" s="285" t="s">
        <v>15883</v>
      </c>
      <c r="H1520" s="285" t="s">
        <v>10920</v>
      </c>
      <c r="I1520" s="285" t="s">
        <v>15884</v>
      </c>
      <c r="J1520" s="285" t="s">
        <v>5012</v>
      </c>
      <c r="K1520" s="285" t="s">
        <v>9466</v>
      </c>
      <c r="L1520" s="285" t="s">
        <v>13020</v>
      </c>
      <c r="M1520" s="285" t="s">
        <v>9383</v>
      </c>
      <c r="N1520" s="287" t="str">
        <f>IFERROR(
    IF(
        AND(
            VLOOKUP(B1520, 'รายชื่อพนักงานลาออกพ้นสภาพ'!B:I, 8, FALSE)&lt;&gt;"ยกเลิกลาออก",
            VLOOKUP(B1520, 'รายชื่อพนักงานลาออกพ้นสภาพ'!B:I, 7, FALSE)&lt;=TODAY()
        ),
        "ลาออกแล้ว",
        ""
    ),
"")</f>
        <v/>
      </c>
      <c r="O1520" s="292" t="str">
        <f t="array" ref="O1520">IFERROR(INDEX(PCRent!C:D, MATCH(F1520 &amp; " " &amp; G1520, PCRent!A:A &amp; " " &amp; PCRent!B:B, 0)), "")</f>
        <v/>
      </c>
      <c r="P1520" s="293"/>
      <c r="Q1520" s="294" t="str">
        <f t="array" ref="Q1520">IFERROR(INDEX(MonitorRent!C:D, MATCH(F1520 &amp; " " &amp; G1520, MonitorRent!A:A &amp; " " &amp; MonitorRent!B:B, 0)), "")</f>
        <v/>
      </c>
      <c r="R1520" s="295"/>
    </row>
    <row r="1521">
      <c r="A1521" s="284">
        <v>1518.0</v>
      </c>
      <c r="B1521" s="285" t="s">
        <v>15885</v>
      </c>
      <c r="C1521" s="285" t="s">
        <v>6918</v>
      </c>
      <c r="D1521" s="286" t="s">
        <v>10493</v>
      </c>
      <c r="E1521" s="285" t="s">
        <v>6933</v>
      </c>
      <c r="F1521" s="285" t="s">
        <v>15886</v>
      </c>
      <c r="G1521" s="285" t="s">
        <v>15887</v>
      </c>
      <c r="H1521" s="285" t="s">
        <v>15888</v>
      </c>
      <c r="I1521" s="285" t="s">
        <v>15889</v>
      </c>
      <c r="J1521" s="285" t="s">
        <v>5224</v>
      </c>
      <c r="K1521" s="285" t="s">
        <v>14020</v>
      </c>
      <c r="L1521" s="285" t="s">
        <v>13045</v>
      </c>
      <c r="M1521" s="285" t="s">
        <v>9383</v>
      </c>
      <c r="N1521" s="287" t="str">
        <f>IFERROR(
    IF(
        AND(
            VLOOKUP(B1521, 'รายชื่อพนักงานลาออกพ้นสภาพ'!B:I, 8, FALSE)&lt;&gt;"ยกเลิกลาออก",
            VLOOKUP(B1521, 'รายชื่อพนักงานลาออกพ้นสภาพ'!B:I, 7, FALSE)&lt;=TODAY()
        ),
        "ลาออกแล้ว",
        ""
    ),
"")</f>
        <v/>
      </c>
      <c r="O1521" s="292" t="str">
        <f t="array" ref="O1521">IFERROR(INDEX(PCRent!C:D, MATCH(F1521 &amp; " " &amp; G1521, PCRent!A:A &amp; " " &amp; PCRent!B:B, 0)), "")</f>
        <v/>
      </c>
      <c r="P1521" s="293"/>
      <c r="Q1521" s="294" t="str">
        <f t="array" ref="Q1521">IFERROR(INDEX(MonitorRent!C:D, MATCH(F1521 &amp; " " &amp; G1521, MonitorRent!A:A &amp; " " &amp; MonitorRent!B:B, 0)), "")</f>
        <v/>
      </c>
      <c r="R1521" s="295"/>
    </row>
    <row r="1522">
      <c r="A1522" s="284">
        <v>1519.0</v>
      </c>
      <c r="B1522" s="285" t="s">
        <v>15890</v>
      </c>
      <c r="C1522" s="285" t="s">
        <v>6918</v>
      </c>
      <c r="D1522" s="286" t="s">
        <v>15891</v>
      </c>
      <c r="E1522" s="285" t="s">
        <v>6933</v>
      </c>
      <c r="F1522" s="285" t="s">
        <v>15892</v>
      </c>
      <c r="G1522" s="285" t="s">
        <v>15893</v>
      </c>
      <c r="H1522" s="285" t="s">
        <v>15894</v>
      </c>
      <c r="I1522" s="285" t="s">
        <v>15895</v>
      </c>
      <c r="J1522" s="285" t="s">
        <v>5012</v>
      </c>
      <c r="K1522" s="285" t="s">
        <v>9474</v>
      </c>
      <c r="L1522" s="285" t="s">
        <v>13414</v>
      </c>
      <c r="M1522" s="285" t="s">
        <v>9383</v>
      </c>
      <c r="N1522" s="287" t="str">
        <f>IFERROR(
    IF(
        AND(
            VLOOKUP(B1522, 'รายชื่อพนักงานลาออกพ้นสภาพ'!B:I, 8, FALSE)&lt;&gt;"ยกเลิกลาออก",
            VLOOKUP(B1522, 'รายชื่อพนักงานลาออกพ้นสภาพ'!B:I, 7, FALSE)&lt;=TODAY()
        ),
        "ลาออกแล้ว",
        ""
    ),
"")</f>
        <v/>
      </c>
      <c r="O1522" s="292" t="str">
        <f t="array" ref="O1522">IFERROR(INDEX(PCRent!C:D, MATCH(F1522 &amp; " " &amp; G1522, PCRent!A:A &amp; " " &amp; PCRent!B:B, 0)), "")</f>
        <v/>
      </c>
      <c r="P1522" s="293"/>
      <c r="Q1522" s="294" t="str">
        <f t="array" ref="Q1522">IFERROR(INDEX(MonitorRent!C:D, MATCH(F1522 &amp; " " &amp; G1522, MonitorRent!A:A &amp; " " &amp; MonitorRent!B:B, 0)), "")</f>
        <v/>
      </c>
      <c r="R1522" s="295"/>
    </row>
    <row r="1523">
      <c r="A1523" s="284">
        <v>1520.0</v>
      </c>
      <c r="B1523" s="285" t="s">
        <v>15896</v>
      </c>
      <c r="C1523" s="285" t="s">
        <v>6918</v>
      </c>
      <c r="D1523" s="286" t="s">
        <v>13466</v>
      </c>
      <c r="E1523" s="285" t="s">
        <v>6921</v>
      </c>
      <c r="F1523" s="285" t="s">
        <v>15897</v>
      </c>
      <c r="G1523" s="285" t="s">
        <v>15898</v>
      </c>
      <c r="H1523" s="285" t="s">
        <v>15899</v>
      </c>
      <c r="I1523" s="285" t="s">
        <v>15900</v>
      </c>
      <c r="J1523" s="285" t="s">
        <v>5012</v>
      </c>
      <c r="K1523" s="285" t="s">
        <v>12973</v>
      </c>
      <c r="L1523" s="285" t="s">
        <v>12953</v>
      </c>
      <c r="M1523" s="285" t="s">
        <v>9383</v>
      </c>
      <c r="N1523" s="287" t="str">
        <f>IFERROR(
    IF(
        AND(
            VLOOKUP(B1523, 'รายชื่อพนักงานลาออกพ้นสภาพ'!B:I, 8, FALSE)&lt;&gt;"ยกเลิกลาออก",
            VLOOKUP(B1523, 'รายชื่อพนักงานลาออกพ้นสภาพ'!B:I, 7, FALSE)&lt;=TODAY()
        ),
        "ลาออกแล้ว",
        ""
    ),
"")</f>
        <v/>
      </c>
      <c r="O1523" s="292" t="str">
        <f t="array" ref="O1523">IFERROR(INDEX(PCRent!C:D, MATCH(F1523 &amp; " " &amp; G1523, PCRent!A:A &amp; " " &amp; PCRent!B:B, 0)), "")</f>
        <v/>
      </c>
      <c r="P1523" s="293"/>
      <c r="Q1523" s="294" t="str">
        <f t="array" ref="Q1523">IFERROR(INDEX(MonitorRent!C:D, MATCH(F1523 &amp; " " &amp; G1523, MonitorRent!A:A &amp; " " &amp; MonitorRent!B:B, 0)), "")</f>
        <v/>
      </c>
      <c r="R1523" s="295"/>
    </row>
    <row r="1524">
      <c r="A1524" s="284">
        <v>1521.0</v>
      </c>
      <c r="B1524" s="285" t="s">
        <v>8391</v>
      </c>
      <c r="C1524" s="285" t="s">
        <v>6918</v>
      </c>
      <c r="D1524" s="286" t="s">
        <v>9576</v>
      </c>
      <c r="E1524" s="285" t="s">
        <v>6921</v>
      </c>
      <c r="F1524" s="285" t="s">
        <v>15901</v>
      </c>
      <c r="G1524" s="285" t="s">
        <v>15902</v>
      </c>
      <c r="H1524" s="285" t="s">
        <v>11574</v>
      </c>
      <c r="I1524" s="285" t="s">
        <v>15903</v>
      </c>
      <c r="J1524" s="285" t="s">
        <v>5224</v>
      </c>
      <c r="K1524" s="285" t="s">
        <v>15904</v>
      </c>
      <c r="L1524" s="285" t="s">
        <v>8362</v>
      </c>
      <c r="M1524" s="285" t="s">
        <v>9383</v>
      </c>
      <c r="N1524" s="287" t="str">
        <f>IFERROR(
    IF(
        AND(
            VLOOKUP(B1524, 'รายชื่อพนักงานลาออกพ้นสภาพ'!B:I, 8, FALSE)&lt;&gt;"ยกเลิกลาออก",
            VLOOKUP(B1524, 'รายชื่อพนักงานลาออกพ้นสภาพ'!B:I, 7, FALSE)&lt;=TODAY()
        ),
        "ลาออกแล้ว",
        ""
    ),
"")</f>
        <v/>
      </c>
      <c r="O1524" s="292" t="str">
        <f t="array" ref="O1524">IFERROR(INDEX(PCRent!C:D, MATCH(F1524 &amp; " " &amp; G1524, PCRent!A:A &amp; " " &amp; PCRent!B:B, 0)), "")</f>
        <v/>
      </c>
      <c r="P1524" s="293"/>
      <c r="Q1524" s="294" t="str">
        <f t="array" ref="Q1524">IFERROR(INDEX(MonitorRent!C:D, MATCH(F1524 &amp; " " &amp; G1524, MonitorRent!A:A &amp; " " &amp; MonitorRent!B:B, 0)), "")</f>
        <v/>
      </c>
      <c r="R1524" s="295"/>
    </row>
    <row r="1525">
      <c r="A1525" s="284">
        <v>1522.0</v>
      </c>
      <c r="B1525" s="285" t="s">
        <v>7873</v>
      </c>
      <c r="C1525" s="285" t="s">
        <v>6918</v>
      </c>
      <c r="D1525" s="286" t="s">
        <v>12243</v>
      </c>
      <c r="E1525" s="285" t="s">
        <v>6921</v>
      </c>
      <c r="F1525" s="285" t="s">
        <v>15905</v>
      </c>
      <c r="G1525" s="285" t="s">
        <v>15906</v>
      </c>
      <c r="H1525" s="285" t="s">
        <v>10993</v>
      </c>
      <c r="I1525" s="285" t="s">
        <v>15907</v>
      </c>
      <c r="J1525" s="285" t="s">
        <v>5012</v>
      </c>
      <c r="K1525" s="285" t="s">
        <v>14289</v>
      </c>
      <c r="L1525" s="285" t="s">
        <v>7857</v>
      </c>
      <c r="M1525" s="285" t="s">
        <v>9383</v>
      </c>
      <c r="N1525" s="287" t="str">
        <f>IFERROR(
    IF(
        AND(
            VLOOKUP(B1525, 'รายชื่อพนักงานลาออกพ้นสภาพ'!B:I, 8, FALSE)&lt;&gt;"ยกเลิกลาออก",
            VLOOKUP(B1525, 'รายชื่อพนักงานลาออกพ้นสภาพ'!B:I, 7, FALSE)&lt;=TODAY()
        ),
        "ลาออกแล้ว",
        ""
    ),
"")</f>
        <v/>
      </c>
      <c r="O1525" s="292" t="str">
        <f t="array" ref="O1525:P1525">IFERROR(INDEX(PCRent!C:D, MATCH(F1525 &amp; " " &amp; G1525, PCRent!A:A &amp; " " &amp; PCRent!B:B, 0)), "")</f>
        <v>SN:PF39GY0V</v>
      </c>
      <c r="P1525" s="293" t="s">
        <v>7005</v>
      </c>
      <c r="Q1525" s="294" t="str">
        <f t="array" ref="Q1525">IFERROR(INDEX(MonitorRent!C:D, MATCH(F1525 &amp; " " &amp; G1525, MonitorRent!A:A &amp; " " &amp; MonitorRent!B:B, 0)), "")</f>
        <v/>
      </c>
      <c r="R1525" s="295"/>
    </row>
    <row r="1526">
      <c r="A1526" s="284">
        <v>1523.0</v>
      </c>
      <c r="B1526" s="285" t="s">
        <v>8338</v>
      </c>
      <c r="C1526" s="285" t="s">
        <v>6918</v>
      </c>
      <c r="D1526" s="286" t="s">
        <v>11012</v>
      </c>
      <c r="E1526" s="285" t="s">
        <v>6921</v>
      </c>
      <c r="F1526" s="285" t="s">
        <v>15908</v>
      </c>
      <c r="G1526" s="285" t="s">
        <v>15909</v>
      </c>
      <c r="H1526" s="285" t="s">
        <v>15724</v>
      </c>
      <c r="I1526" s="285" t="s">
        <v>15910</v>
      </c>
      <c r="J1526" s="285" t="s">
        <v>5224</v>
      </c>
      <c r="K1526" s="285" t="s">
        <v>4749</v>
      </c>
      <c r="L1526" s="285" t="s">
        <v>8331</v>
      </c>
      <c r="M1526" s="285" t="s">
        <v>9383</v>
      </c>
      <c r="N1526" s="287" t="str">
        <f>IFERROR(
    IF(
        AND(
            VLOOKUP(B1526, 'รายชื่อพนักงานลาออกพ้นสภาพ'!B:I, 8, FALSE)&lt;&gt;"ยกเลิกลาออก",
            VLOOKUP(B1526, 'รายชื่อพนักงานลาออกพ้นสภาพ'!B:I, 7, FALSE)&lt;=TODAY()
        ),
        "ลาออกแล้ว",
        ""
    ),
"")</f>
        <v/>
      </c>
      <c r="O1526" s="292" t="str">
        <f t="array" ref="O1526">IFERROR(INDEX(PCRent!C:D, MATCH(F1526 &amp; " " &amp; G1526, PCRent!A:A &amp; " " &amp; PCRent!B:B, 0)), "")</f>
        <v/>
      </c>
      <c r="P1526" s="293"/>
      <c r="Q1526" s="294" t="str">
        <f t="array" ref="Q1526">IFERROR(INDEX(MonitorRent!C:D, MATCH(F1526 &amp; " " &amp; G1526, MonitorRent!A:A &amp; " " &amp; MonitorRent!B:B, 0)), "")</f>
        <v/>
      </c>
      <c r="R1526" s="295"/>
    </row>
    <row r="1527">
      <c r="A1527" s="284">
        <v>1524.0</v>
      </c>
      <c r="B1527" s="285" t="s">
        <v>8993</v>
      </c>
      <c r="C1527" s="285" t="s">
        <v>6918</v>
      </c>
      <c r="D1527" s="286" t="s">
        <v>15911</v>
      </c>
      <c r="E1527" s="285" t="s">
        <v>7239</v>
      </c>
      <c r="F1527" s="285" t="s">
        <v>15908</v>
      </c>
      <c r="G1527" s="285" t="s">
        <v>15912</v>
      </c>
      <c r="H1527" s="285" t="s">
        <v>9754</v>
      </c>
      <c r="I1527" s="285" t="s">
        <v>15913</v>
      </c>
      <c r="J1527" s="285" t="s">
        <v>5224</v>
      </c>
      <c r="K1527" s="285" t="s">
        <v>4805</v>
      </c>
      <c r="L1527" s="285" t="s">
        <v>9459</v>
      </c>
      <c r="M1527" s="285" t="s">
        <v>9383</v>
      </c>
      <c r="N1527" s="287" t="str">
        <f>IFERROR(
    IF(
        AND(
            VLOOKUP(B1527, 'รายชื่อพนักงานลาออกพ้นสภาพ'!B:I, 8, FALSE)&lt;&gt;"ยกเลิกลาออก",
            VLOOKUP(B1527, 'รายชื่อพนักงานลาออกพ้นสภาพ'!B:I, 7, FALSE)&lt;=TODAY()
        ),
        "ลาออกแล้ว",
        ""
    ),
"")</f>
        <v/>
      </c>
      <c r="O1527" s="292" t="str">
        <f t="array" ref="O1527">IFERROR(INDEX(PCRent!C:D, MATCH(F1527 &amp; " " &amp; G1527, PCRent!A:A &amp; " " &amp; PCRent!B:B, 0)), "")</f>
        <v/>
      </c>
      <c r="P1527" s="293"/>
      <c r="Q1527" s="294" t="str">
        <f t="array" ref="Q1527">IFERROR(INDEX(MonitorRent!C:D, MATCH(F1527 &amp; " " &amp; G1527, MonitorRent!A:A &amp; " " &amp; MonitorRent!B:B, 0)), "")</f>
        <v/>
      </c>
      <c r="R1527" s="295"/>
    </row>
    <row r="1528">
      <c r="A1528" s="284">
        <v>1525.0</v>
      </c>
      <c r="B1528" s="285" t="s">
        <v>15914</v>
      </c>
      <c r="C1528" s="285" t="s">
        <v>6918</v>
      </c>
      <c r="D1528" s="286" t="s">
        <v>10501</v>
      </c>
      <c r="E1528" s="285" t="s">
        <v>6921</v>
      </c>
      <c r="F1528" s="285" t="s">
        <v>15915</v>
      </c>
      <c r="G1528" s="285" t="s">
        <v>15916</v>
      </c>
      <c r="H1528" s="285" t="s">
        <v>11164</v>
      </c>
      <c r="I1528" s="285" t="s">
        <v>15917</v>
      </c>
      <c r="J1528" s="285" t="s">
        <v>5012</v>
      </c>
      <c r="K1528" s="285" t="s">
        <v>12973</v>
      </c>
      <c r="L1528" s="285" t="s">
        <v>13516</v>
      </c>
      <c r="M1528" s="285" t="s">
        <v>9383</v>
      </c>
      <c r="N1528" s="287" t="str">
        <f>IFERROR(
    IF(
        AND(
            VLOOKUP(B1528, 'รายชื่อพนักงานลาออกพ้นสภาพ'!B:I, 8, FALSE)&lt;&gt;"ยกเลิกลาออก",
            VLOOKUP(B1528, 'รายชื่อพนักงานลาออกพ้นสภาพ'!B:I, 7, FALSE)&lt;=TODAY()
        ),
        "ลาออกแล้ว",
        ""
    ),
"")</f>
        <v/>
      </c>
      <c r="O1528" s="292" t="str">
        <f t="array" ref="O1528:P1528">IFERROR(INDEX(PCRent!C:D, MATCH(F1528 &amp; " " &amp; G1528, PCRent!A:A &amp; " " &amp; PCRent!B:B, 0)), "")</f>
        <v>SN:MP2E0LDC</v>
      </c>
      <c r="P1528" s="293" t="s">
        <v>7357</v>
      </c>
      <c r="Q1528" s="294" t="str">
        <f t="array" ref="Q1528">IFERROR(INDEX(MonitorRent!C:D, MATCH(F1528 &amp; " " &amp; G1528, MonitorRent!A:A &amp; " " &amp; MonitorRent!B:B, 0)), "")</f>
        <v/>
      </c>
      <c r="R1528" s="295"/>
    </row>
    <row r="1529">
      <c r="A1529" s="284">
        <v>1526.0</v>
      </c>
      <c r="B1529" s="285" t="s">
        <v>8243</v>
      </c>
      <c r="C1529" s="285" t="s">
        <v>6918</v>
      </c>
      <c r="D1529" s="286" t="s">
        <v>10012</v>
      </c>
      <c r="E1529" s="285" t="s">
        <v>6921</v>
      </c>
      <c r="F1529" s="285" t="s">
        <v>15918</v>
      </c>
      <c r="G1529" s="285" t="s">
        <v>15919</v>
      </c>
      <c r="H1529" s="285" t="s">
        <v>15920</v>
      </c>
      <c r="I1529" s="285" t="s">
        <v>15921</v>
      </c>
      <c r="J1529" s="285" t="s">
        <v>5224</v>
      </c>
      <c r="K1529" s="285" t="s">
        <v>14460</v>
      </c>
      <c r="L1529" s="285" t="s">
        <v>1311</v>
      </c>
      <c r="M1529" s="285" t="s">
        <v>9383</v>
      </c>
      <c r="N1529" s="287" t="str">
        <f>IFERROR(
    IF(
        AND(
            VLOOKUP(B1529, 'รายชื่อพนักงานลาออกพ้นสภาพ'!B:I, 8, FALSE)&lt;&gt;"ยกเลิกลาออก",
            VLOOKUP(B1529, 'รายชื่อพนักงานลาออกพ้นสภาพ'!B:I, 7, FALSE)&lt;=TODAY()
        ),
        "ลาออกแล้ว",
        ""
    ),
"")</f>
        <v/>
      </c>
      <c r="O1529" s="292" t="str">
        <f t="array" ref="O1529">IFERROR(INDEX(PCRent!C:D, MATCH(F1529 &amp; " " &amp; G1529, PCRent!A:A &amp; " " &amp; PCRent!B:B, 0)), "")</f>
        <v/>
      </c>
      <c r="P1529" s="293"/>
      <c r="Q1529" s="294" t="str">
        <f t="array" ref="Q1529">IFERROR(INDEX(MonitorRent!C:D, MATCH(F1529 &amp; " " &amp; G1529, MonitorRent!A:A &amp; " " &amp; MonitorRent!B:B, 0)), "")</f>
        <v/>
      </c>
      <c r="R1529" s="295"/>
    </row>
    <row r="1530">
      <c r="A1530" s="284">
        <v>1527.0</v>
      </c>
      <c r="B1530" s="285" t="s">
        <v>326</v>
      </c>
      <c r="C1530" s="285" t="s">
        <v>6918</v>
      </c>
      <c r="D1530" s="286" t="s">
        <v>13416</v>
      </c>
      <c r="E1530" s="285" t="s">
        <v>6921</v>
      </c>
      <c r="F1530" s="285" t="s">
        <v>15922</v>
      </c>
      <c r="G1530" s="285" t="s">
        <v>15923</v>
      </c>
      <c r="H1530" s="285" t="s">
        <v>15924</v>
      </c>
      <c r="I1530" s="285" t="s">
        <v>330</v>
      </c>
      <c r="J1530" s="285" t="s">
        <v>5224</v>
      </c>
      <c r="K1530" s="285" t="s">
        <v>4805</v>
      </c>
      <c r="L1530" s="285" t="s">
        <v>329</v>
      </c>
      <c r="M1530" s="285" t="s">
        <v>9383</v>
      </c>
      <c r="N1530" s="287" t="str">
        <f>IFERROR(
    IF(
        AND(
            VLOOKUP(B1530, 'รายชื่อพนักงานลาออกพ้นสภาพ'!B:I, 8, FALSE)&lt;&gt;"ยกเลิกลาออก",
            VLOOKUP(B1530, 'รายชื่อพนักงานลาออกพ้นสภาพ'!B:I, 7, FALSE)&lt;=TODAY()
        ),
        "ลาออกแล้ว",
        ""
    ),
"")</f>
        <v>ลาออกแล้ว</v>
      </c>
      <c r="O1530" s="292" t="str">
        <f t="array" ref="O1530:P1530">IFERROR(INDEX(PCRent!C:D, MATCH(F1530 &amp; " " &amp; G1530, PCRent!A:A &amp; " " &amp; PCRent!B:B, 0)), "")</f>
        <v>SN:MP2ETWQZ</v>
      </c>
      <c r="P1530" s="293" t="s">
        <v>7070</v>
      </c>
      <c r="Q1530" s="294" t="str">
        <f t="array" ref="Q1530">IFERROR(INDEX(MonitorRent!C:D, MATCH(F1530 &amp; " " &amp; G1530, MonitorRent!A:A &amp; " " &amp; MonitorRent!B:B, 0)), "")</f>
        <v/>
      </c>
      <c r="R1530" s="295"/>
    </row>
    <row r="1531">
      <c r="A1531" s="284">
        <v>1528.0</v>
      </c>
      <c r="B1531" s="285" t="s">
        <v>274</v>
      </c>
      <c r="C1531" s="285" t="s">
        <v>6918</v>
      </c>
      <c r="D1531" s="286" t="s">
        <v>10303</v>
      </c>
      <c r="E1531" s="285" t="s">
        <v>6933</v>
      </c>
      <c r="F1531" s="285" t="s">
        <v>15925</v>
      </c>
      <c r="G1531" s="285" t="s">
        <v>15926</v>
      </c>
      <c r="H1531" s="285" t="s">
        <v>15927</v>
      </c>
      <c r="I1531" s="285" t="s">
        <v>278</v>
      </c>
      <c r="J1531" s="285" t="s">
        <v>5224</v>
      </c>
      <c r="K1531" s="285" t="s">
        <v>13087</v>
      </c>
      <c r="L1531" s="285" t="s">
        <v>277</v>
      </c>
      <c r="M1531" s="285" t="s">
        <v>9383</v>
      </c>
      <c r="N1531" s="287" t="str">
        <f>IFERROR(
    IF(
        AND(
            VLOOKUP(B1531, 'รายชื่อพนักงานลาออกพ้นสภาพ'!B:I, 8, FALSE)&lt;&gt;"ยกเลิกลาออก",
            VLOOKUP(B1531, 'รายชื่อพนักงานลาออกพ้นสภาพ'!B:I, 7, FALSE)&lt;=TODAY()
        ),
        "ลาออกแล้ว",
        ""
    ),
"")</f>
        <v>ลาออกแล้ว</v>
      </c>
      <c r="O1531" s="292" t="str">
        <f t="array" ref="O1531">IFERROR(INDEX(PCRent!C:D, MATCH(F1531 &amp; " " &amp; G1531, PCRent!A:A &amp; " " &amp; PCRent!B:B, 0)), "")</f>
        <v/>
      </c>
      <c r="P1531" s="293"/>
      <c r="Q1531" s="294" t="str">
        <f t="array" ref="Q1531">IFERROR(INDEX(MonitorRent!C:D, MATCH(F1531 &amp; " " &amp; G1531, MonitorRent!A:A &amp; " " &amp; MonitorRent!B:B, 0)), "")</f>
        <v/>
      </c>
      <c r="R1531" s="295"/>
    </row>
    <row r="1532">
      <c r="A1532" s="284">
        <v>1529.0</v>
      </c>
      <c r="B1532" s="285" t="s">
        <v>15928</v>
      </c>
      <c r="C1532" s="285" t="s">
        <v>6918</v>
      </c>
      <c r="D1532" s="286" t="s">
        <v>10636</v>
      </c>
      <c r="E1532" s="285" t="s">
        <v>6921</v>
      </c>
      <c r="F1532" s="285" t="s">
        <v>15929</v>
      </c>
      <c r="G1532" s="285" t="s">
        <v>15930</v>
      </c>
      <c r="H1532" s="285" t="s">
        <v>13419</v>
      </c>
      <c r="I1532" s="285" t="s">
        <v>15931</v>
      </c>
      <c r="J1532" s="285" t="s">
        <v>5012</v>
      </c>
      <c r="K1532" s="285" t="s">
        <v>9703</v>
      </c>
      <c r="L1532" s="285" t="s">
        <v>4114</v>
      </c>
      <c r="M1532" s="285" t="s">
        <v>9383</v>
      </c>
      <c r="N1532" s="287" t="str">
        <f>IFERROR(
    IF(
        AND(
            VLOOKUP(B1532, 'รายชื่อพนักงานลาออกพ้นสภาพ'!B:I, 8, FALSE)&lt;&gt;"ยกเลิกลาออก",
            VLOOKUP(B1532, 'รายชื่อพนักงานลาออกพ้นสภาพ'!B:I, 7, FALSE)&lt;=TODAY()
        ),
        "ลาออกแล้ว",
        ""
    ),
"")</f>
        <v/>
      </c>
      <c r="O1532" s="292" t="str">
        <f t="array" ref="O1532:P1532">IFERROR(INDEX(PCRent!C:D, MATCH(F1532 &amp; " " &amp; G1532, PCRent!A:A &amp; " " &amp; PCRent!B:B, 0)), "")</f>
        <v>SN:MP2AN2C2</v>
      </c>
      <c r="P1532" s="293" t="s">
        <v>9562</v>
      </c>
      <c r="Q1532" s="294" t="str">
        <f t="array" ref="Q1532">IFERROR(INDEX(MonitorRent!C:D, MATCH(F1532 &amp; " " &amp; G1532, MonitorRent!A:A &amp; " " &amp; MonitorRent!B:B, 0)), "")</f>
        <v/>
      </c>
      <c r="R1532" s="295"/>
    </row>
    <row r="1533">
      <c r="A1533" s="284">
        <v>1530.0</v>
      </c>
      <c r="B1533" s="285" t="s">
        <v>15932</v>
      </c>
      <c r="C1533" s="285" t="s">
        <v>6918</v>
      </c>
      <c r="D1533" s="286" t="s">
        <v>13323</v>
      </c>
      <c r="E1533" s="285" t="s">
        <v>6933</v>
      </c>
      <c r="F1533" s="285" t="s">
        <v>15933</v>
      </c>
      <c r="G1533" s="285" t="s">
        <v>15934</v>
      </c>
      <c r="H1533" s="285" t="s">
        <v>14956</v>
      </c>
      <c r="I1533" s="285" t="s">
        <v>15935</v>
      </c>
      <c r="J1533" s="285" t="s">
        <v>5012</v>
      </c>
      <c r="K1533" s="285" t="s">
        <v>9626</v>
      </c>
      <c r="L1533" s="285" t="s">
        <v>13896</v>
      </c>
      <c r="M1533" s="285" t="s">
        <v>9383</v>
      </c>
      <c r="N1533" s="287" t="str">
        <f>IFERROR(
    IF(
        AND(
            VLOOKUP(B1533, 'รายชื่อพนักงานลาออกพ้นสภาพ'!B:I, 8, FALSE)&lt;&gt;"ยกเลิกลาออก",
            VLOOKUP(B1533, 'รายชื่อพนักงานลาออกพ้นสภาพ'!B:I, 7, FALSE)&lt;=TODAY()
        ),
        "ลาออกแล้ว",
        ""
    ),
"")</f>
        <v/>
      </c>
      <c r="O1533" s="292" t="str">
        <f t="array" ref="O1533">IFERROR(INDEX(PCRent!C:D, MATCH(F1533 &amp; " " &amp; G1533, PCRent!A:A &amp; " " &amp; PCRent!B:B, 0)), "")</f>
        <v/>
      </c>
      <c r="P1533" s="293"/>
      <c r="Q1533" s="294" t="str">
        <f t="array" ref="Q1533">IFERROR(INDEX(MonitorRent!C:D, MATCH(F1533 &amp; " " &amp; G1533, MonitorRent!A:A &amp; " " &amp; MonitorRent!B:B, 0)), "")</f>
        <v/>
      </c>
      <c r="R1533" s="295"/>
    </row>
    <row r="1534">
      <c r="A1534" s="284">
        <v>1531.0</v>
      </c>
      <c r="B1534" s="285" t="s">
        <v>15936</v>
      </c>
      <c r="C1534" s="285" t="s">
        <v>6918</v>
      </c>
      <c r="D1534" s="286" t="s">
        <v>9469</v>
      </c>
      <c r="E1534" s="285" t="s">
        <v>6933</v>
      </c>
      <c r="F1534" s="285" t="s">
        <v>15937</v>
      </c>
      <c r="G1534" s="285" t="s">
        <v>15938</v>
      </c>
      <c r="H1534" s="285" t="s">
        <v>10679</v>
      </c>
      <c r="I1534" s="285" t="s">
        <v>15939</v>
      </c>
      <c r="J1534" s="285" t="s">
        <v>5012</v>
      </c>
      <c r="K1534" s="285" t="s">
        <v>5760</v>
      </c>
      <c r="L1534" s="285" t="s">
        <v>3041</v>
      </c>
      <c r="M1534" s="285" t="s">
        <v>9383</v>
      </c>
      <c r="N1534" s="287" t="str">
        <f>IFERROR(
    IF(
        AND(
            VLOOKUP(B1534, 'รายชื่อพนักงานลาออกพ้นสภาพ'!B:I, 8, FALSE)&lt;&gt;"ยกเลิกลาออก",
            VLOOKUP(B1534, 'รายชื่อพนักงานลาออกพ้นสภาพ'!B:I, 7, FALSE)&lt;=TODAY()
        ),
        "ลาออกแล้ว",
        ""
    ),
"")</f>
        <v/>
      </c>
      <c r="O1534" s="292" t="str">
        <f t="array" ref="O1534">IFERROR(INDEX(PCRent!C:D, MATCH(F1534 &amp; " " &amp; G1534, PCRent!A:A &amp; " " &amp; PCRent!B:B, 0)), "")</f>
        <v/>
      </c>
      <c r="P1534" s="293"/>
      <c r="Q1534" s="294" t="str">
        <f t="array" ref="Q1534">IFERROR(INDEX(MonitorRent!C:D, MATCH(F1534 &amp; " " &amp; G1534, MonitorRent!A:A &amp; " " &amp; MonitorRent!B:B, 0)), "")</f>
        <v/>
      </c>
      <c r="R1534" s="295"/>
    </row>
    <row r="1535">
      <c r="A1535" s="284">
        <v>1532.0</v>
      </c>
      <c r="B1535" s="285" t="s">
        <v>960</v>
      </c>
      <c r="C1535" s="285" t="s">
        <v>6918</v>
      </c>
      <c r="D1535" s="286" t="s">
        <v>12625</v>
      </c>
      <c r="E1535" s="285" t="s">
        <v>6921</v>
      </c>
      <c r="F1535" s="285" t="s">
        <v>15940</v>
      </c>
      <c r="G1535" s="285" t="s">
        <v>15941</v>
      </c>
      <c r="H1535" s="285" t="s">
        <v>15942</v>
      </c>
      <c r="I1535" s="285" t="s">
        <v>963</v>
      </c>
      <c r="J1535" s="285" t="s">
        <v>5224</v>
      </c>
      <c r="K1535" s="285" t="s">
        <v>1456</v>
      </c>
      <c r="L1535" s="285" t="s">
        <v>15943</v>
      </c>
      <c r="M1535" s="285" t="s">
        <v>9383</v>
      </c>
      <c r="N1535" s="287" t="str">
        <f>IFERROR(
    IF(
        AND(
            VLOOKUP(B1535, 'รายชื่อพนักงานลาออกพ้นสภาพ'!B:I, 8, FALSE)&lt;&gt;"ยกเลิกลาออก",
            VLOOKUP(B1535, 'รายชื่อพนักงานลาออกพ้นสภาพ'!B:I, 7, FALSE)&lt;=TODAY()
        ),
        "ลาออกแล้ว",
        ""
    ),
"")</f>
        <v/>
      </c>
      <c r="O1535" s="292" t="str">
        <f t="array" ref="O1535">IFERROR(INDEX(PCRent!C:D, MATCH(F1535 &amp; " " &amp; G1535, PCRent!A:A &amp; " " &amp; PCRent!B:B, 0)), "")</f>
        <v/>
      </c>
      <c r="P1535" s="293"/>
      <c r="Q1535" s="294" t="str">
        <f t="array" ref="Q1535">IFERROR(INDEX(MonitorRent!C:D, MATCH(F1535 &amp; " " &amp; G1535, MonitorRent!A:A &amp; " " &amp; MonitorRent!B:B, 0)), "")</f>
        <v/>
      </c>
      <c r="R1535" s="295"/>
    </row>
    <row r="1536">
      <c r="A1536" s="284">
        <v>1533.0</v>
      </c>
      <c r="B1536" s="285" t="s">
        <v>8848</v>
      </c>
      <c r="C1536" s="285" t="s">
        <v>6918</v>
      </c>
      <c r="D1536" s="286" t="s">
        <v>15944</v>
      </c>
      <c r="E1536" s="285" t="s">
        <v>6921</v>
      </c>
      <c r="F1536" s="285" t="s">
        <v>15945</v>
      </c>
      <c r="G1536" s="285" t="s">
        <v>15946</v>
      </c>
      <c r="H1536" s="285" t="s">
        <v>15947</v>
      </c>
      <c r="I1536" s="285" t="s">
        <v>15948</v>
      </c>
      <c r="J1536" s="285" t="s">
        <v>5224</v>
      </c>
      <c r="K1536" s="285" t="s">
        <v>4835</v>
      </c>
      <c r="L1536" s="285" t="s">
        <v>8850</v>
      </c>
      <c r="M1536" s="285" t="s">
        <v>9383</v>
      </c>
      <c r="N1536" s="287" t="str">
        <f>IFERROR(
    IF(
        AND(
            VLOOKUP(B1536, 'รายชื่อพนักงานลาออกพ้นสภาพ'!B:I, 8, FALSE)&lt;&gt;"ยกเลิกลาออก",
            VLOOKUP(B1536, 'รายชื่อพนักงานลาออกพ้นสภาพ'!B:I, 7, FALSE)&lt;=TODAY()
        ),
        "ลาออกแล้ว",
        ""
    ),
"")</f>
        <v/>
      </c>
      <c r="O1536" s="292" t="str">
        <f t="array" ref="O1536:P1536">IFERROR(INDEX(PCRent!C:D, MATCH(F1536 &amp; " " &amp; G1536, PCRent!A:A &amp; " " &amp; PCRent!B:B, 0)), "")</f>
        <v>SN:MP2EHYDW</v>
      </c>
      <c r="P1536" s="293" t="s">
        <v>6993</v>
      </c>
      <c r="Q1536" s="294" t="str">
        <f t="array" ref="Q1536">IFERROR(INDEX(MonitorRent!C:D, MATCH(F1536 &amp; " " &amp; G1536, MonitorRent!A:A &amp; " " &amp; MonitorRent!B:B, 0)), "")</f>
        <v/>
      </c>
      <c r="R1536" s="295"/>
    </row>
    <row r="1537">
      <c r="A1537" s="284">
        <v>1534.0</v>
      </c>
      <c r="B1537" s="285" t="s">
        <v>680</v>
      </c>
      <c r="C1537" s="285" t="s">
        <v>6918</v>
      </c>
      <c r="D1537" s="286" t="s">
        <v>15949</v>
      </c>
      <c r="E1537" s="285" t="s">
        <v>6921</v>
      </c>
      <c r="F1537" s="285" t="s">
        <v>15945</v>
      </c>
      <c r="G1537" s="285" t="s">
        <v>15950</v>
      </c>
      <c r="H1537" s="285" t="s">
        <v>14370</v>
      </c>
      <c r="I1537" s="285" t="s">
        <v>683</v>
      </c>
      <c r="J1537" s="285" t="s">
        <v>5224</v>
      </c>
      <c r="K1537" s="285" t="s">
        <v>4756</v>
      </c>
      <c r="L1537" s="285" t="s">
        <v>15531</v>
      </c>
      <c r="M1537" s="285" t="s">
        <v>9383</v>
      </c>
      <c r="N1537" s="287" t="str">
        <f>IFERROR(
    IF(
        AND(
            VLOOKUP(B1537, 'รายชื่อพนักงานลาออกพ้นสภาพ'!B:I, 8, FALSE)&lt;&gt;"ยกเลิกลาออก",
            VLOOKUP(B1537, 'รายชื่อพนักงานลาออกพ้นสภาพ'!B:I, 7, FALSE)&lt;=TODAY()
        ),
        "ลาออกแล้ว",
        ""
    ),
"")</f>
        <v>ลาออกแล้ว</v>
      </c>
      <c r="O1537" s="292" t="str">
        <f t="array" ref="O1537">IFERROR(INDEX(PCRent!C:D, MATCH(F1537 &amp; " " &amp; G1537, PCRent!A:A &amp; " " &amp; PCRent!B:B, 0)), "")</f>
        <v/>
      </c>
      <c r="P1537" s="293"/>
      <c r="Q1537" s="294" t="str">
        <f t="array" ref="Q1537">IFERROR(INDEX(MonitorRent!C:D, MATCH(F1537 &amp; " " &amp; G1537, MonitorRent!A:A &amp; " " &amp; MonitorRent!B:B, 0)), "")</f>
        <v/>
      </c>
      <c r="R1537" s="295"/>
    </row>
    <row r="1538">
      <c r="A1538" s="284">
        <v>1535.0</v>
      </c>
      <c r="B1538" s="285" t="s">
        <v>15951</v>
      </c>
      <c r="C1538" s="285" t="s">
        <v>6918</v>
      </c>
      <c r="D1538" s="286" t="s">
        <v>9547</v>
      </c>
      <c r="E1538" s="285" t="s">
        <v>6921</v>
      </c>
      <c r="F1538" s="285" t="s">
        <v>15945</v>
      </c>
      <c r="G1538" s="285" t="s">
        <v>15952</v>
      </c>
      <c r="H1538" s="285" t="s">
        <v>9783</v>
      </c>
      <c r="I1538" s="285" t="s">
        <v>15953</v>
      </c>
      <c r="J1538" s="285" t="s">
        <v>5012</v>
      </c>
      <c r="K1538" s="285" t="s">
        <v>6322</v>
      </c>
      <c r="L1538" s="285" t="s">
        <v>13605</v>
      </c>
      <c r="M1538" s="285" t="s">
        <v>9391</v>
      </c>
      <c r="N1538" s="287" t="str">
        <f>IFERROR(
    IF(
        AND(
            VLOOKUP(B1538, 'รายชื่อพนักงานลาออกพ้นสภาพ'!B:I, 8, FALSE)&lt;&gt;"ยกเลิกลาออก",
            VLOOKUP(B1538, 'รายชื่อพนักงานลาออกพ้นสภาพ'!B:I, 7, FALSE)&lt;=TODAY()
        ),
        "ลาออกแล้ว",
        ""
    ),
"")</f>
        <v/>
      </c>
      <c r="O1538" s="292" t="str">
        <f t="array" ref="O1538">IFERROR(INDEX(PCRent!C:D, MATCH(F1538 &amp; " " &amp; G1538, PCRent!A:A &amp; " " &amp; PCRent!B:B, 0)), "")</f>
        <v/>
      </c>
      <c r="P1538" s="293"/>
      <c r="Q1538" s="294" t="str">
        <f t="array" ref="Q1538">IFERROR(INDEX(MonitorRent!C:D, MATCH(F1538 &amp; " " &amp; G1538, MonitorRent!A:A &amp; " " &amp; MonitorRent!B:B, 0)), "")</f>
        <v/>
      </c>
      <c r="R1538" s="295"/>
    </row>
    <row r="1539">
      <c r="A1539" s="284">
        <v>1536.0</v>
      </c>
      <c r="B1539" s="285" t="s">
        <v>15954</v>
      </c>
      <c r="C1539" s="285" t="s">
        <v>6918</v>
      </c>
      <c r="D1539" s="286" t="s">
        <v>15955</v>
      </c>
      <c r="E1539" s="285" t="s">
        <v>6921</v>
      </c>
      <c r="F1539" s="285" t="s">
        <v>15945</v>
      </c>
      <c r="G1539" s="285" t="s">
        <v>15956</v>
      </c>
      <c r="H1539" s="285" t="s">
        <v>15957</v>
      </c>
      <c r="I1539" s="285" t="s">
        <v>15958</v>
      </c>
      <c r="J1539" s="285" t="s">
        <v>5012</v>
      </c>
      <c r="K1539" s="285" t="s">
        <v>3000</v>
      </c>
      <c r="L1539" s="285" t="s">
        <v>1888</v>
      </c>
      <c r="M1539" s="285" t="s">
        <v>9383</v>
      </c>
      <c r="N1539" s="287" t="str">
        <f>IFERROR(
    IF(
        AND(
            VLOOKUP(B1539, 'รายชื่อพนักงานลาออกพ้นสภาพ'!B:I, 8, FALSE)&lt;&gt;"ยกเลิกลาออก",
            VLOOKUP(B1539, 'รายชื่อพนักงานลาออกพ้นสภาพ'!B:I, 7, FALSE)&lt;=TODAY()
        ),
        "ลาออกแล้ว",
        ""
    ),
"")</f>
        <v/>
      </c>
      <c r="O1539" s="292" t="str">
        <f t="array" ref="O1539">IFERROR(INDEX(PCRent!C:D, MATCH(F1539 &amp; " " &amp; G1539, PCRent!A:A &amp; " " &amp; PCRent!B:B, 0)), "")</f>
        <v/>
      </c>
      <c r="P1539" s="293"/>
      <c r="Q1539" s="294" t="str">
        <f t="array" ref="Q1539">IFERROR(INDEX(MonitorRent!C:D, MATCH(F1539 &amp; " " &amp; G1539, MonitorRent!A:A &amp; " " &amp; MonitorRent!B:B, 0)), "")</f>
        <v/>
      </c>
      <c r="R1539" s="295"/>
    </row>
    <row r="1540">
      <c r="A1540" s="284">
        <v>1537.0</v>
      </c>
      <c r="B1540" s="285" t="s">
        <v>15959</v>
      </c>
      <c r="C1540" s="285" t="s">
        <v>6918</v>
      </c>
      <c r="D1540" s="286" t="s">
        <v>9713</v>
      </c>
      <c r="E1540" s="285" t="s">
        <v>6933</v>
      </c>
      <c r="F1540" s="285" t="s">
        <v>12240</v>
      </c>
      <c r="G1540" s="285" t="s">
        <v>15960</v>
      </c>
      <c r="H1540" s="285" t="s">
        <v>15961</v>
      </c>
      <c r="I1540" s="285" t="s">
        <v>15962</v>
      </c>
      <c r="J1540" s="285" t="s">
        <v>5012</v>
      </c>
      <c r="K1540" s="285" t="s">
        <v>9633</v>
      </c>
      <c r="L1540" s="285" t="s">
        <v>13501</v>
      </c>
      <c r="M1540" s="285" t="s">
        <v>9383</v>
      </c>
      <c r="N1540" s="287" t="str">
        <f>IFERROR(
    IF(
        AND(
            VLOOKUP(B1540, 'รายชื่อพนักงานลาออกพ้นสภาพ'!B:I, 8, FALSE)&lt;&gt;"ยกเลิกลาออก",
            VLOOKUP(B1540, 'รายชื่อพนักงานลาออกพ้นสภาพ'!B:I, 7, FALSE)&lt;=TODAY()
        ),
        "ลาออกแล้ว",
        ""
    ),
"")</f>
        <v/>
      </c>
      <c r="O1540" s="292" t="str">
        <f t="array" ref="O1540:P1540">IFERROR(INDEX(PCRent!C:D, MATCH(F1540 &amp; " " &amp; G1540, PCRent!A:A &amp; " " &amp; PCRent!B:B, 0)), "")</f>
        <v>SN:8XYNPY3</v>
      </c>
      <c r="P1540" s="293" t="s">
        <v>7048</v>
      </c>
      <c r="Q1540" s="294" t="str">
        <f t="array" ref="Q1540:R1540">IFERROR(INDEX(MonitorRent!C:D, MATCH(F1540 &amp; " " &amp; G1540, MonitorRent!A:A &amp; " " &amp; MonitorRent!B:B, 0)), "")</f>
        <v>SN:C7JLYV3</v>
      </c>
      <c r="R1540" s="295" t="s">
        <v>7050</v>
      </c>
    </row>
    <row r="1541">
      <c r="A1541" s="284">
        <v>1538.0</v>
      </c>
      <c r="B1541" s="285" t="s">
        <v>15963</v>
      </c>
      <c r="C1541" s="285" t="s">
        <v>6918</v>
      </c>
      <c r="D1541" s="286" t="s">
        <v>10242</v>
      </c>
      <c r="E1541" s="285" t="s">
        <v>6921</v>
      </c>
      <c r="F1541" s="285" t="s">
        <v>15964</v>
      </c>
      <c r="G1541" s="285" t="s">
        <v>10243</v>
      </c>
      <c r="H1541" s="285" t="s">
        <v>15965</v>
      </c>
      <c r="I1541" s="285" t="s">
        <v>15966</v>
      </c>
      <c r="J1541" s="285" t="s">
        <v>5012</v>
      </c>
      <c r="K1541" s="285" t="s">
        <v>5760</v>
      </c>
      <c r="L1541" s="285" t="s">
        <v>3041</v>
      </c>
      <c r="M1541" s="285" t="s">
        <v>9383</v>
      </c>
      <c r="N1541" s="287" t="str">
        <f>IFERROR(
    IF(
        AND(
            VLOOKUP(B1541, 'รายชื่อพนักงานลาออกพ้นสภาพ'!B:I, 8, FALSE)&lt;&gt;"ยกเลิกลาออก",
            VLOOKUP(B1541, 'รายชื่อพนักงานลาออกพ้นสภาพ'!B:I, 7, FALSE)&lt;=TODAY()
        ),
        "ลาออกแล้ว",
        ""
    ),
"")</f>
        <v/>
      </c>
      <c r="O1541" s="292" t="str">
        <f t="array" ref="O1541">IFERROR(INDEX(PCRent!C:D, MATCH(F1541 &amp; " " &amp; G1541, PCRent!A:A &amp; " " &amp; PCRent!B:B, 0)), "")</f>
        <v/>
      </c>
      <c r="P1541" s="293"/>
      <c r="Q1541" s="294" t="str">
        <f t="array" ref="Q1541">IFERROR(INDEX(MonitorRent!C:D, MATCH(F1541 &amp; " " &amp; G1541, MonitorRent!A:A &amp; " " &amp; MonitorRent!B:B, 0)), "")</f>
        <v/>
      </c>
      <c r="R1541" s="295"/>
    </row>
    <row r="1542">
      <c r="A1542" s="284">
        <v>1539.0</v>
      </c>
      <c r="B1542" s="285" t="s">
        <v>15967</v>
      </c>
      <c r="C1542" s="285" t="s">
        <v>6918</v>
      </c>
      <c r="D1542" s="286" t="s">
        <v>9882</v>
      </c>
      <c r="E1542" s="285" t="s">
        <v>6933</v>
      </c>
      <c r="F1542" s="285" t="s">
        <v>15968</v>
      </c>
      <c r="G1542" s="285" t="s">
        <v>15969</v>
      </c>
      <c r="H1542" s="285" t="s">
        <v>15968</v>
      </c>
      <c r="I1542" s="285" t="s">
        <v>15970</v>
      </c>
      <c r="J1542" s="285" t="s">
        <v>5012</v>
      </c>
      <c r="K1542" s="285" t="s">
        <v>9474</v>
      </c>
      <c r="L1542" s="285" t="s">
        <v>13390</v>
      </c>
      <c r="M1542" s="285" t="s">
        <v>9383</v>
      </c>
      <c r="N1542" s="287" t="str">
        <f>IFERROR(
    IF(
        AND(
            VLOOKUP(B1542, 'รายชื่อพนักงานลาออกพ้นสภาพ'!B:I, 8, FALSE)&lt;&gt;"ยกเลิกลาออก",
            VLOOKUP(B1542, 'รายชื่อพนักงานลาออกพ้นสภาพ'!B:I, 7, FALSE)&lt;=TODAY()
        ),
        "ลาออกแล้ว",
        ""
    ),
"")</f>
        <v/>
      </c>
      <c r="O1542" s="292" t="str">
        <f t="array" ref="O1542">IFERROR(INDEX(PCRent!C:D, MATCH(F1542 &amp; " " &amp; G1542, PCRent!A:A &amp; " " &amp; PCRent!B:B, 0)), "")</f>
        <v/>
      </c>
      <c r="P1542" s="293"/>
      <c r="Q1542" s="294" t="str">
        <f t="array" ref="Q1542">IFERROR(INDEX(MonitorRent!C:D, MATCH(F1542 &amp; " " &amp; G1542, MonitorRent!A:A &amp; " " &amp; MonitorRent!B:B, 0)), "")</f>
        <v/>
      </c>
      <c r="R1542" s="295"/>
    </row>
    <row r="1543">
      <c r="A1543" s="284">
        <v>1540.0</v>
      </c>
      <c r="B1543" s="285" t="s">
        <v>9111</v>
      </c>
      <c r="C1543" s="285" t="s">
        <v>6918</v>
      </c>
      <c r="D1543" s="286" t="s">
        <v>11325</v>
      </c>
      <c r="E1543" s="285" t="s">
        <v>6933</v>
      </c>
      <c r="F1543" s="285" t="s">
        <v>15971</v>
      </c>
      <c r="G1543" s="285" t="s">
        <v>15972</v>
      </c>
      <c r="H1543" s="285" t="s">
        <v>10915</v>
      </c>
      <c r="I1543" s="285" t="s">
        <v>15973</v>
      </c>
      <c r="J1543" s="285" t="s">
        <v>5224</v>
      </c>
      <c r="K1543" s="285" t="s">
        <v>11981</v>
      </c>
      <c r="L1543" s="285" t="s">
        <v>15531</v>
      </c>
      <c r="M1543" s="285" t="s">
        <v>9383</v>
      </c>
      <c r="N1543" s="287" t="str">
        <f>IFERROR(
    IF(
        AND(
            VLOOKUP(B1543, 'รายชื่อพนักงานลาออกพ้นสภาพ'!B:I, 8, FALSE)&lt;&gt;"ยกเลิกลาออก",
            VLOOKUP(B1543, 'รายชื่อพนักงานลาออกพ้นสภาพ'!B:I, 7, FALSE)&lt;=TODAY()
        ),
        "ลาออกแล้ว",
        ""
    ),
"")</f>
        <v/>
      </c>
      <c r="O1543" s="292" t="str">
        <f t="array" ref="O1543:P1543">IFERROR(INDEX(PCRent!C:D, MATCH(F1543 &amp; " " &amp; G1543, PCRent!A:A &amp; " " &amp; PCRent!B:B, 0)), "")</f>
        <v>SN:20QD314</v>
      </c>
      <c r="P1543" s="293" t="s">
        <v>7048</v>
      </c>
      <c r="Q1543" s="294" t="str">
        <f t="array" ref="Q1543:R1543">IFERROR(INDEX(MonitorRent!C:D, MATCH(F1543 &amp; " " &amp; G1543, MonitorRent!A:A &amp; " " &amp; MonitorRent!B:B, 0)), "")</f>
        <v>SN:81M3904</v>
      </c>
      <c r="R1543" s="295" t="s">
        <v>9397</v>
      </c>
    </row>
    <row r="1544">
      <c r="A1544" s="284">
        <v>1541.0</v>
      </c>
      <c r="B1544" s="285" t="s">
        <v>4752</v>
      </c>
      <c r="C1544" s="285" t="s">
        <v>6918</v>
      </c>
      <c r="D1544" s="286" t="s">
        <v>9837</v>
      </c>
      <c r="E1544" s="285" t="s">
        <v>6921</v>
      </c>
      <c r="F1544" s="285" t="s">
        <v>15974</v>
      </c>
      <c r="G1544" s="285" t="s">
        <v>15975</v>
      </c>
      <c r="H1544" s="285" t="s">
        <v>15976</v>
      </c>
      <c r="I1544" s="285" t="s">
        <v>4753</v>
      </c>
      <c r="J1544" s="285" t="s">
        <v>5224</v>
      </c>
      <c r="K1544" s="285" t="s">
        <v>4749</v>
      </c>
      <c r="L1544" s="285" t="s">
        <v>4750</v>
      </c>
      <c r="M1544" s="285" t="s">
        <v>9383</v>
      </c>
      <c r="N1544" s="287" t="str">
        <f>IFERROR(
    IF(
        AND(
            VLOOKUP(B1544, 'รายชื่อพนักงานลาออกพ้นสภาพ'!B:I, 8, FALSE)&lt;&gt;"ยกเลิกลาออก",
            VLOOKUP(B1544, 'รายชื่อพนักงานลาออกพ้นสภาพ'!B:I, 7, FALSE)&lt;=TODAY()
        ),
        "ลาออกแล้ว",
        ""
    ),
"")</f>
        <v/>
      </c>
      <c r="O1544" s="292" t="str">
        <f t="array" ref="O1544:P1544">IFERROR(INDEX(PCRent!C:D, MATCH(F1544 &amp; " " &amp; G1544, PCRent!A:A &amp; " " &amp; PCRent!B:B, 0)), "")</f>
        <v>SN:PF39GVPA</v>
      </c>
      <c r="P1544" s="293" t="s">
        <v>7005</v>
      </c>
      <c r="Q1544" s="294" t="str">
        <f t="array" ref="Q1544">IFERROR(INDEX(MonitorRent!C:D, MATCH(F1544 &amp; " " &amp; G1544, MonitorRent!A:A &amp; " " &amp; MonitorRent!B:B, 0)), "")</f>
        <v/>
      </c>
      <c r="R1544" s="295"/>
    </row>
    <row r="1545">
      <c r="A1545" s="284">
        <v>1542.0</v>
      </c>
      <c r="B1545" s="285" t="s">
        <v>7500</v>
      </c>
      <c r="C1545" s="285" t="s">
        <v>6918</v>
      </c>
      <c r="D1545" s="286" t="s">
        <v>15341</v>
      </c>
      <c r="E1545" s="285" t="s">
        <v>6921</v>
      </c>
      <c r="F1545" s="285" t="s">
        <v>15977</v>
      </c>
      <c r="G1545" s="285" t="s">
        <v>15978</v>
      </c>
      <c r="H1545" s="285" t="s">
        <v>15979</v>
      </c>
      <c r="I1545" s="285" t="s">
        <v>15980</v>
      </c>
      <c r="J1545" s="285" t="s">
        <v>5224</v>
      </c>
      <c r="K1545" s="285" t="s">
        <v>4835</v>
      </c>
      <c r="L1545" s="285" t="s">
        <v>7502</v>
      </c>
      <c r="M1545" s="285" t="s">
        <v>9383</v>
      </c>
      <c r="N1545" s="287" t="str">
        <f>IFERROR(
    IF(
        AND(
            VLOOKUP(B1545, 'รายชื่อพนักงานลาออกพ้นสภาพ'!B:I, 8, FALSE)&lt;&gt;"ยกเลิกลาออก",
            VLOOKUP(B1545, 'รายชื่อพนักงานลาออกพ้นสภาพ'!B:I, 7, FALSE)&lt;=TODAY()
        ),
        "ลาออกแล้ว",
        ""
    ),
"")</f>
        <v/>
      </c>
      <c r="O1545" s="292" t="str">
        <f t="array" ref="O1545">IFERROR(INDEX(PCRent!C:D, MATCH(F1545 &amp; " " &amp; G1545, PCRent!A:A &amp; " " &amp; PCRent!B:B, 0)), "")</f>
        <v/>
      </c>
      <c r="P1545" s="293"/>
      <c r="Q1545" s="294" t="str">
        <f t="array" ref="Q1545">IFERROR(INDEX(MonitorRent!C:D, MATCH(F1545 &amp; " " &amp; G1545, MonitorRent!A:A &amp; " " &amp; MonitorRent!B:B, 0)), "")</f>
        <v/>
      </c>
      <c r="R1545" s="295"/>
    </row>
    <row r="1546">
      <c r="A1546" s="284">
        <v>1543.0</v>
      </c>
      <c r="B1546" s="285" t="s">
        <v>7999</v>
      </c>
      <c r="C1546" s="285" t="s">
        <v>6918</v>
      </c>
      <c r="D1546" s="286" t="s">
        <v>15981</v>
      </c>
      <c r="E1546" s="285" t="s">
        <v>6921</v>
      </c>
      <c r="F1546" s="285" t="s">
        <v>15977</v>
      </c>
      <c r="G1546" s="285" t="s">
        <v>15982</v>
      </c>
      <c r="H1546" s="285" t="s">
        <v>12212</v>
      </c>
      <c r="I1546" s="285" t="s">
        <v>15983</v>
      </c>
      <c r="J1546" s="285" t="s">
        <v>5224</v>
      </c>
      <c r="K1546" s="285" t="s">
        <v>12414</v>
      </c>
      <c r="L1546" s="285" t="s">
        <v>2603</v>
      </c>
      <c r="M1546" s="285" t="s">
        <v>9383</v>
      </c>
      <c r="N1546" s="287" t="str">
        <f>IFERROR(
    IF(
        AND(
            VLOOKUP(B1546, 'รายชื่อพนักงานลาออกพ้นสภาพ'!B:I, 8, FALSE)&lt;&gt;"ยกเลิกลาออก",
            VLOOKUP(B1546, 'รายชื่อพนักงานลาออกพ้นสภาพ'!B:I, 7, FALSE)&lt;=TODAY()
        ),
        "ลาออกแล้ว",
        ""
    ),
"")</f>
        <v/>
      </c>
      <c r="O1546" s="292" t="str">
        <f t="array" ref="O1546">IFERROR(INDEX(PCRent!C:D, MATCH(F1546 &amp; " " &amp; G1546, PCRent!A:A &amp; " " &amp; PCRent!B:B, 0)), "")</f>
        <v/>
      </c>
      <c r="P1546" s="293"/>
      <c r="Q1546" s="294" t="str">
        <f t="array" ref="Q1546">IFERROR(INDEX(MonitorRent!C:D, MATCH(F1546 &amp; " " &amp; G1546, MonitorRent!A:A &amp; " " &amp; MonitorRent!B:B, 0)), "")</f>
        <v/>
      </c>
      <c r="R1546" s="295"/>
    </row>
    <row r="1547">
      <c r="A1547" s="284">
        <v>1544.0</v>
      </c>
      <c r="B1547" s="285" t="s">
        <v>15984</v>
      </c>
      <c r="C1547" s="285" t="s">
        <v>6918</v>
      </c>
      <c r="D1547" s="286" t="s">
        <v>13319</v>
      </c>
      <c r="E1547" s="285" t="s">
        <v>6921</v>
      </c>
      <c r="F1547" s="285" t="s">
        <v>15977</v>
      </c>
      <c r="G1547" s="285" t="s">
        <v>15985</v>
      </c>
      <c r="H1547" s="285" t="s">
        <v>10311</v>
      </c>
      <c r="I1547" s="285" t="s">
        <v>15986</v>
      </c>
      <c r="J1547" s="285" t="s">
        <v>5224</v>
      </c>
      <c r="K1547" s="285" t="s">
        <v>11222</v>
      </c>
      <c r="L1547" s="285" t="s">
        <v>13682</v>
      </c>
      <c r="M1547" s="285" t="s">
        <v>9383</v>
      </c>
      <c r="N1547" s="287" t="str">
        <f>IFERROR(
    IF(
        AND(
            VLOOKUP(B1547, 'รายชื่อพนักงานลาออกพ้นสภาพ'!B:I, 8, FALSE)&lt;&gt;"ยกเลิกลาออก",
            VLOOKUP(B1547, 'รายชื่อพนักงานลาออกพ้นสภาพ'!B:I, 7, FALSE)&lt;=TODAY()
        ),
        "ลาออกแล้ว",
        ""
    ),
"")</f>
        <v/>
      </c>
      <c r="O1547" s="292" t="str">
        <f t="array" ref="O1547">IFERROR(INDEX(PCRent!C:D, MATCH(F1547 &amp; " " &amp; G1547, PCRent!A:A &amp; " " &amp; PCRent!B:B, 0)), "")</f>
        <v/>
      </c>
      <c r="P1547" s="293"/>
      <c r="Q1547" s="294" t="str">
        <f t="array" ref="Q1547">IFERROR(INDEX(MonitorRent!C:D, MATCH(F1547 &amp; " " &amp; G1547, MonitorRent!A:A &amp; " " &amp; MonitorRent!B:B, 0)), "")</f>
        <v/>
      </c>
      <c r="R1547" s="295"/>
    </row>
    <row r="1548">
      <c r="A1548" s="284">
        <v>1545.0</v>
      </c>
      <c r="B1548" s="285" t="s">
        <v>15987</v>
      </c>
      <c r="C1548" s="285" t="s">
        <v>6918</v>
      </c>
      <c r="D1548" s="286" t="s">
        <v>12529</v>
      </c>
      <c r="E1548" s="285" t="s">
        <v>6933</v>
      </c>
      <c r="F1548" s="285" t="s">
        <v>15988</v>
      </c>
      <c r="G1548" s="285" t="s">
        <v>15989</v>
      </c>
      <c r="H1548" s="285" t="s">
        <v>15990</v>
      </c>
      <c r="I1548" s="285" t="s">
        <v>15991</v>
      </c>
      <c r="J1548" s="285" t="s">
        <v>5012</v>
      </c>
      <c r="K1548" s="285" t="s">
        <v>14357</v>
      </c>
      <c r="L1548" s="285" t="s">
        <v>13390</v>
      </c>
      <c r="M1548" s="285" t="s">
        <v>9383</v>
      </c>
      <c r="N1548" s="287" t="str">
        <f>IFERROR(
    IF(
        AND(
            VLOOKUP(B1548, 'รายชื่อพนักงานลาออกพ้นสภาพ'!B:I, 8, FALSE)&lt;&gt;"ยกเลิกลาออก",
            VLOOKUP(B1548, 'รายชื่อพนักงานลาออกพ้นสภาพ'!B:I, 7, FALSE)&lt;=TODAY()
        ),
        "ลาออกแล้ว",
        ""
    ),
"")</f>
        <v/>
      </c>
      <c r="O1548" s="292" t="str">
        <f t="array" ref="O1548:P1548">IFERROR(INDEX(PCRent!C:D, MATCH(F1548 &amp; " " &amp; G1548, PCRent!A:A &amp; " " &amp; PCRent!B:B, 0)), "")</f>
        <v>SN:MP2840QK</v>
      </c>
      <c r="P1548" s="293" t="s">
        <v>6993</v>
      </c>
      <c r="Q1548" s="294" t="str">
        <f t="array" ref="Q1548">IFERROR(INDEX(MonitorRent!C:D, MATCH(F1548 &amp; " " &amp; G1548, MonitorRent!A:A &amp; " " &amp; MonitorRent!B:B, 0)), "")</f>
        <v/>
      </c>
      <c r="R1548" s="295"/>
    </row>
    <row r="1549">
      <c r="A1549" s="284">
        <v>1546.0</v>
      </c>
      <c r="B1549" s="285" t="s">
        <v>15992</v>
      </c>
      <c r="C1549" s="285" t="s">
        <v>6918</v>
      </c>
      <c r="D1549" s="286" t="s">
        <v>15993</v>
      </c>
      <c r="E1549" s="285" t="s">
        <v>6933</v>
      </c>
      <c r="F1549" s="285" t="s">
        <v>15994</v>
      </c>
      <c r="G1549" s="285" t="s">
        <v>15995</v>
      </c>
      <c r="H1549" s="285" t="s">
        <v>15996</v>
      </c>
      <c r="I1549" s="285" t="s">
        <v>15997</v>
      </c>
      <c r="J1549" s="285" t="s">
        <v>5224</v>
      </c>
      <c r="K1549" s="285" t="s">
        <v>12118</v>
      </c>
      <c r="L1549" s="285" t="s">
        <v>3041</v>
      </c>
      <c r="M1549" s="285" t="s">
        <v>9383</v>
      </c>
      <c r="N1549" s="287" t="str">
        <f>IFERROR(
    IF(
        AND(
            VLOOKUP(B1549, 'รายชื่อพนักงานลาออกพ้นสภาพ'!B:I, 8, FALSE)&lt;&gt;"ยกเลิกลาออก",
            VLOOKUP(B1549, 'รายชื่อพนักงานลาออกพ้นสภาพ'!B:I, 7, FALSE)&lt;=TODAY()
        ),
        "ลาออกแล้ว",
        ""
    ),
"")</f>
        <v/>
      </c>
      <c r="O1549" s="292" t="str">
        <f t="array" ref="O1549">IFERROR(INDEX(PCRent!C:D, MATCH(F1549 &amp; " " &amp; G1549, PCRent!A:A &amp; " " &amp; PCRent!B:B, 0)), "")</f>
        <v/>
      </c>
      <c r="P1549" s="293"/>
      <c r="Q1549" s="294" t="str">
        <f t="array" ref="Q1549">IFERROR(INDEX(MonitorRent!C:D, MATCH(F1549 &amp; " " &amp; G1549, MonitorRent!A:A &amp; " " &amp; MonitorRent!B:B, 0)), "")</f>
        <v/>
      </c>
      <c r="R1549" s="295"/>
    </row>
    <row r="1550">
      <c r="A1550" s="284">
        <v>1547.0</v>
      </c>
      <c r="B1550" s="285" t="s">
        <v>7844</v>
      </c>
      <c r="C1550" s="285" t="s">
        <v>6918</v>
      </c>
      <c r="D1550" s="286" t="s">
        <v>13384</v>
      </c>
      <c r="E1550" s="285" t="s">
        <v>6933</v>
      </c>
      <c r="F1550" s="285" t="s">
        <v>12297</v>
      </c>
      <c r="G1550" s="285" t="s">
        <v>15998</v>
      </c>
      <c r="H1550" s="285" t="s">
        <v>12146</v>
      </c>
      <c r="I1550" s="285" t="s">
        <v>15999</v>
      </c>
      <c r="J1550" s="285" t="s">
        <v>5224</v>
      </c>
      <c r="K1550" s="285" t="s">
        <v>4805</v>
      </c>
      <c r="L1550" s="285" t="s">
        <v>7846</v>
      </c>
      <c r="M1550" s="285" t="s">
        <v>9383</v>
      </c>
      <c r="N1550" s="287" t="str">
        <f>IFERROR(
    IF(
        AND(
            VLOOKUP(B1550, 'รายชื่อพนักงานลาออกพ้นสภาพ'!B:I, 8, FALSE)&lt;&gt;"ยกเลิกลาออก",
            VLOOKUP(B1550, 'รายชื่อพนักงานลาออกพ้นสภาพ'!B:I, 7, FALSE)&lt;=TODAY()
        ),
        "ลาออกแล้ว",
        ""
    ),
"")</f>
        <v/>
      </c>
      <c r="O1550" s="292" t="str">
        <f t="array" ref="O1550">IFERROR(INDEX(PCRent!C:D, MATCH(F1550 &amp; " " &amp; G1550, PCRent!A:A &amp; " " &amp; PCRent!B:B, 0)), "")</f>
        <v/>
      </c>
      <c r="P1550" s="293"/>
      <c r="Q1550" s="294" t="str">
        <f t="array" ref="Q1550">IFERROR(INDEX(MonitorRent!C:D, MATCH(F1550 &amp; " " &amp; G1550, MonitorRent!A:A &amp; " " &amp; MonitorRent!B:B, 0)), "")</f>
        <v/>
      </c>
      <c r="R1550" s="295"/>
    </row>
    <row r="1551">
      <c r="A1551" s="284">
        <v>1548.0</v>
      </c>
      <c r="B1551" s="285" t="s">
        <v>8917</v>
      </c>
      <c r="C1551" s="285" t="s">
        <v>6918</v>
      </c>
      <c r="D1551" s="286" t="s">
        <v>9865</v>
      </c>
      <c r="E1551" s="285" t="s">
        <v>6933</v>
      </c>
      <c r="F1551" s="285" t="s">
        <v>16000</v>
      </c>
      <c r="G1551" s="285" t="s">
        <v>16001</v>
      </c>
      <c r="H1551" s="285" t="s">
        <v>14575</v>
      </c>
      <c r="I1551" s="285" t="s">
        <v>16002</v>
      </c>
      <c r="J1551" s="285" t="s">
        <v>5012</v>
      </c>
      <c r="K1551" s="285" t="s">
        <v>9466</v>
      </c>
      <c r="L1551" s="285" t="s">
        <v>8919</v>
      </c>
      <c r="M1551" s="285" t="s">
        <v>9383</v>
      </c>
      <c r="N1551" s="287" t="str">
        <f>IFERROR(
    IF(
        AND(
            VLOOKUP(B1551, 'รายชื่อพนักงานลาออกพ้นสภาพ'!B:I, 8, FALSE)&lt;&gt;"ยกเลิกลาออก",
            VLOOKUP(B1551, 'รายชื่อพนักงานลาออกพ้นสภาพ'!B:I, 7, FALSE)&lt;=TODAY()
        ),
        "ลาออกแล้ว",
        ""
    ),
"")</f>
        <v/>
      </c>
      <c r="O1551" s="292" t="str">
        <f t="array" ref="O1551:P1551">IFERROR(INDEX(PCRent!C:D, MATCH(F1551 &amp; " " &amp; G1551, PCRent!A:A &amp; " " &amp; PCRent!B:B, 0)), "")</f>
        <v>SN:PF39FBZ9</v>
      </c>
      <c r="P1551" s="293" t="s">
        <v>7005</v>
      </c>
      <c r="Q1551" s="294" t="str">
        <f t="array" ref="Q1551">IFERROR(INDEX(MonitorRent!C:D, MATCH(F1551 &amp; " " &amp; G1551, MonitorRent!A:A &amp; " " &amp; MonitorRent!B:B, 0)), "")</f>
        <v/>
      </c>
      <c r="R1551" s="295"/>
    </row>
    <row r="1552">
      <c r="A1552" s="284">
        <v>1549.0</v>
      </c>
      <c r="B1552" s="285" t="s">
        <v>4732</v>
      </c>
      <c r="C1552" s="285" t="s">
        <v>6918</v>
      </c>
      <c r="D1552" s="286" t="s">
        <v>16003</v>
      </c>
      <c r="E1552" s="285" t="s">
        <v>6921</v>
      </c>
      <c r="F1552" s="285" t="s">
        <v>12582</v>
      </c>
      <c r="G1552" s="285" t="s">
        <v>9498</v>
      </c>
      <c r="H1552" s="285" t="s">
        <v>15979</v>
      </c>
      <c r="I1552" s="285" t="s">
        <v>4734</v>
      </c>
      <c r="J1552" s="285" t="s">
        <v>5224</v>
      </c>
      <c r="K1552" s="285" t="s">
        <v>1392</v>
      </c>
      <c r="L1552" s="285" t="s">
        <v>8037</v>
      </c>
      <c r="M1552" s="285" t="s">
        <v>9383</v>
      </c>
      <c r="N1552" s="287" t="str">
        <f>IFERROR(
    IF(
        AND(
            VLOOKUP(B1552, 'รายชื่อพนักงานลาออกพ้นสภาพ'!B:I, 8, FALSE)&lt;&gt;"ยกเลิกลาออก",
            VLOOKUP(B1552, 'รายชื่อพนักงานลาออกพ้นสภาพ'!B:I, 7, FALSE)&lt;=TODAY()
        ),
        "ลาออกแล้ว",
        ""
    ),
"")</f>
        <v/>
      </c>
      <c r="O1552" s="292" t="str">
        <f t="array" ref="O1552">IFERROR(INDEX(PCRent!C:D, MATCH(F1552 &amp; " " &amp; G1552, PCRent!A:A &amp; " " &amp; PCRent!B:B, 0)), "")</f>
        <v/>
      </c>
      <c r="P1552" s="293"/>
      <c r="Q1552" s="294" t="str">
        <f t="array" ref="Q1552">IFERROR(INDEX(MonitorRent!C:D, MATCH(F1552 &amp; " " &amp; G1552, MonitorRent!A:A &amp; " " &amp; MonitorRent!B:B, 0)), "")</f>
        <v/>
      </c>
      <c r="R1552" s="295"/>
    </row>
    <row r="1553">
      <c r="A1553" s="284">
        <v>1550.0</v>
      </c>
      <c r="B1553" s="285" t="s">
        <v>7907</v>
      </c>
      <c r="C1553" s="285" t="s">
        <v>6918</v>
      </c>
      <c r="D1553" s="286" t="s">
        <v>16004</v>
      </c>
      <c r="E1553" s="285" t="s">
        <v>6921</v>
      </c>
      <c r="F1553" s="285" t="s">
        <v>16005</v>
      </c>
      <c r="G1553" s="285" t="s">
        <v>16006</v>
      </c>
      <c r="H1553" s="285" t="s">
        <v>16007</v>
      </c>
      <c r="I1553" s="285" t="s">
        <v>16008</v>
      </c>
      <c r="J1553" s="285" t="s">
        <v>5224</v>
      </c>
      <c r="K1553" s="285" t="s">
        <v>1392</v>
      </c>
      <c r="L1553" s="285" t="s">
        <v>2127</v>
      </c>
      <c r="M1553" s="285" t="s">
        <v>9383</v>
      </c>
      <c r="N1553" s="287" t="str">
        <f>IFERROR(
    IF(
        AND(
            VLOOKUP(B1553, 'รายชื่อพนักงานลาออกพ้นสภาพ'!B:I, 8, FALSE)&lt;&gt;"ยกเลิกลาออก",
            VLOOKUP(B1553, 'รายชื่อพนักงานลาออกพ้นสภาพ'!B:I, 7, FALSE)&lt;=TODAY()
        ),
        "ลาออกแล้ว",
        ""
    ),
"")</f>
        <v/>
      </c>
      <c r="O1553" s="292" t="str">
        <f t="array" ref="O1553">IFERROR(INDEX(PCRent!C:D, MATCH(F1553 &amp; " " &amp; G1553, PCRent!A:A &amp; " " &amp; PCRent!B:B, 0)), "")</f>
        <v/>
      </c>
      <c r="P1553" s="293"/>
      <c r="Q1553" s="294" t="str">
        <f t="array" ref="Q1553">IFERROR(INDEX(MonitorRent!C:D, MATCH(F1553 &amp; " " &amp; G1553, MonitorRent!A:A &amp; " " &amp; MonitorRent!B:B, 0)), "")</f>
        <v/>
      </c>
      <c r="R1553" s="295"/>
    </row>
    <row r="1554">
      <c r="A1554" s="284">
        <v>1551.0</v>
      </c>
      <c r="B1554" s="285" t="s">
        <v>7860</v>
      </c>
      <c r="C1554" s="285" t="s">
        <v>6918</v>
      </c>
      <c r="D1554" s="286" t="s">
        <v>14205</v>
      </c>
      <c r="E1554" s="285" t="s">
        <v>6933</v>
      </c>
      <c r="F1554" s="285" t="s">
        <v>16009</v>
      </c>
      <c r="G1554" s="285" t="s">
        <v>16010</v>
      </c>
      <c r="H1554" s="285" t="s">
        <v>11503</v>
      </c>
      <c r="I1554" s="285" t="s">
        <v>16011</v>
      </c>
      <c r="J1554" s="285" t="s">
        <v>5224</v>
      </c>
      <c r="K1554" s="285" t="s">
        <v>10056</v>
      </c>
      <c r="L1554" s="285" t="s">
        <v>7857</v>
      </c>
      <c r="M1554" s="285" t="s">
        <v>9383</v>
      </c>
      <c r="N1554" s="287" t="str">
        <f>IFERROR(
    IF(
        AND(
            VLOOKUP(B1554, 'รายชื่อพนักงานลาออกพ้นสภาพ'!B:I, 8, FALSE)&lt;&gt;"ยกเลิกลาออก",
            VLOOKUP(B1554, 'รายชื่อพนักงานลาออกพ้นสภาพ'!B:I, 7, FALSE)&lt;=TODAY()
        ),
        "ลาออกแล้ว",
        ""
    ),
"")</f>
        <v/>
      </c>
      <c r="O1554" s="292" t="str">
        <f t="array" ref="O1554:P1554">IFERROR(INDEX(PCRent!C:D, MATCH(F1554 &amp; " " &amp; G1554, PCRent!A:A &amp; " " &amp; PCRent!B:B, 0)), "")</f>
        <v>SN:PF39HLLP</v>
      </c>
      <c r="P1554" s="293" t="s">
        <v>7005</v>
      </c>
      <c r="Q1554" s="294" t="str">
        <f t="array" ref="Q1554">IFERROR(INDEX(MonitorRent!C:D, MATCH(F1554 &amp; " " &amp; G1554, MonitorRent!A:A &amp; " " &amp; MonitorRent!B:B, 0)), "")</f>
        <v/>
      </c>
      <c r="R1554" s="295"/>
    </row>
    <row r="1555">
      <c r="A1555" s="284">
        <v>1552.0</v>
      </c>
      <c r="B1555" s="285" t="s">
        <v>8989</v>
      </c>
      <c r="C1555" s="285" t="s">
        <v>6918</v>
      </c>
      <c r="D1555" s="286" t="s">
        <v>9576</v>
      </c>
      <c r="E1555" s="285" t="s">
        <v>6933</v>
      </c>
      <c r="F1555" s="285" t="s">
        <v>16012</v>
      </c>
      <c r="G1555" s="285" t="s">
        <v>16013</v>
      </c>
      <c r="H1555" s="285" t="s">
        <v>9538</v>
      </c>
      <c r="I1555" s="285" t="s">
        <v>16014</v>
      </c>
      <c r="J1555" s="285" t="s">
        <v>5224</v>
      </c>
      <c r="K1555" s="285" t="s">
        <v>1392</v>
      </c>
      <c r="L1555" s="285" t="s">
        <v>9459</v>
      </c>
      <c r="M1555" s="285" t="s">
        <v>9383</v>
      </c>
      <c r="N1555" s="287" t="str">
        <f>IFERROR(
    IF(
        AND(
            VLOOKUP(B1555, 'รายชื่อพนักงานลาออกพ้นสภาพ'!B:I, 8, FALSE)&lt;&gt;"ยกเลิกลาออก",
            VLOOKUP(B1555, 'รายชื่อพนักงานลาออกพ้นสภาพ'!B:I, 7, FALSE)&lt;=TODAY()
        ),
        "ลาออกแล้ว",
        ""
    ),
"")</f>
        <v/>
      </c>
      <c r="O1555" s="292" t="str">
        <f t="array" ref="O1555:P1555">IFERROR(INDEX(PCRent!C:D, MATCH(F1555 &amp; " " &amp; G1555, PCRent!A:A &amp; " " &amp; PCRent!B:B, 0)), "")</f>
        <v>SN:MP283D3P</v>
      </c>
      <c r="P1555" s="293" t="s">
        <v>6993</v>
      </c>
      <c r="Q1555" s="294" t="str">
        <f t="array" ref="Q1555">IFERROR(INDEX(MonitorRent!C:D, MATCH(F1555 &amp; " " &amp; G1555, MonitorRent!A:A &amp; " " &amp; MonitorRent!B:B, 0)), "")</f>
        <v/>
      </c>
      <c r="R1555" s="295"/>
    </row>
    <row r="1556">
      <c r="A1556" s="284">
        <v>1553.0</v>
      </c>
      <c r="B1556" s="285" t="s">
        <v>16015</v>
      </c>
      <c r="C1556" s="285" t="s">
        <v>6918</v>
      </c>
      <c r="D1556" s="286" t="s">
        <v>9639</v>
      </c>
      <c r="E1556" s="285" t="s">
        <v>6933</v>
      </c>
      <c r="F1556" s="285" t="s">
        <v>16016</v>
      </c>
      <c r="G1556" s="285" t="s">
        <v>10687</v>
      </c>
      <c r="H1556" s="285" t="s">
        <v>16017</v>
      </c>
      <c r="I1556" s="285" t="s">
        <v>16018</v>
      </c>
      <c r="J1556" s="285" t="s">
        <v>5012</v>
      </c>
      <c r="K1556" s="285" t="s">
        <v>9626</v>
      </c>
      <c r="L1556" s="285" t="s">
        <v>4297</v>
      </c>
      <c r="M1556" s="285" t="s">
        <v>9383</v>
      </c>
      <c r="N1556" s="287" t="str">
        <f>IFERROR(
    IF(
        AND(
            VLOOKUP(B1556, 'รายชื่อพนักงานลาออกพ้นสภาพ'!B:I, 8, FALSE)&lt;&gt;"ยกเลิกลาออก",
            VLOOKUP(B1556, 'รายชื่อพนักงานลาออกพ้นสภาพ'!B:I, 7, FALSE)&lt;=TODAY()
        ),
        "ลาออกแล้ว",
        ""
    ),
"")</f>
        <v/>
      </c>
      <c r="O1556" s="292" t="str">
        <f t="array" ref="O1556">IFERROR(INDEX(PCRent!C:D, MATCH(F1556 &amp; " " &amp; G1556, PCRent!A:A &amp; " " &amp; PCRent!B:B, 0)), "")</f>
        <v/>
      </c>
      <c r="P1556" s="293"/>
      <c r="Q1556" s="294" t="str">
        <f t="array" ref="Q1556">IFERROR(INDEX(MonitorRent!C:D, MATCH(F1556 &amp; " " &amp; G1556, MonitorRent!A:A &amp; " " &amp; MonitorRent!B:B, 0)), "")</f>
        <v/>
      </c>
      <c r="R1556" s="295"/>
    </row>
    <row r="1557">
      <c r="A1557" s="284">
        <v>1554.0</v>
      </c>
      <c r="B1557" s="285" t="s">
        <v>8506</v>
      </c>
      <c r="C1557" s="285" t="s">
        <v>6918</v>
      </c>
      <c r="D1557" s="286" t="s">
        <v>12674</v>
      </c>
      <c r="E1557" s="285" t="s">
        <v>6933</v>
      </c>
      <c r="F1557" s="285" t="s">
        <v>12304</v>
      </c>
      <c r="G1557" s="285" t="s">
        <v>16019</v>
      </c>
      <c r="H1557" s="285" t="s">
        <v>9538</v>
      </c>
      <c r="I1557" s="285" t="s">
        <v>16020</v>
      </c>
      <c r="J1557" s="285" t="s">
        <v>5224</v>
      </c>
      <c r="K1557" s="285" t="s">
        <v>4756</v>
      </c>
      <c r="L1557" s="285" t="s">
        <v>13363</v>
      </c>
      <c r="M1557" s="285" t="s">
        <v>9383</v>
      </c>
      <c r="N1557" s="287" t="str">
        <f>IFERROR(
    IF(
        AND(
            VLOOKUP(B1557, 'รายชื่อพนักงานลาออกพ้นสภาพ'!B:I, 8, FALSE)&lt;&gt;"ยกเลิกลาออก",
            VLOOKUP(B1557, 'รายชื่อพนักงานลาออกพ้นสภาพ'!B:I, 7, FALSE)&lt;=TODAY()
        ),
        "ลาออกแล้ว",
        ""
    ),
"")</f>
        <v/>
      </c>
      <c r="O1557" s="292" t="str">
        <f t="array" ref="O1557">IFERROR(INDEX(PCRent!C:D, MATCH(F1557 &amp; " " &amp; G1557, PCRent!A:A &amp; " " &amp; PCRent!B:B, 0)), "")</f>
        <v/>
      </c>
      <c r="P1557" s="293"/>
      <c r="Q1557" s="294" t="str">
        <f t="array" ref="Q1557">IFERROR(INDEX(MonitorRent!C:D, MATCH(F1557 &amp; " " &amp; G1557, MonitorRent!A:A &amp; " " &amp; MonitorRent!B:B, 0)), "")</f>
        <v/>
      </c>
      <c r="R1557" s="295"/>
    </row>
    <row r="1558">
      <c r="A1558" s="284">
        <v>1555.0</v>
      </c>
      <c r="B1558" s="285" t="s">
        <v>6947</v>
      </c>
      <c r="C1558" s="285" t="s">
        <v>6918</v>
      </c>
      <c r="D1558" s="286" t="s">
        <v>16021</v>
      </c>
      <c r="E1558" s="285" t="s">
        <v>6933</v>
      </c>
      <c r="F1558" s="285" t="s">
        <v>12738</v>
      </c>
      <c r="G1558" s="285" t="s">
        <v>16022</v>
      </c>
      <c r="H1558" s="285" t="s">
        <v>10629</v>
      </c>
      <c r="I1558" s="285" t="s">
        <v>16023</v>
      </c>
      <c r="J1558" s="285" t="s">
        <v>5224</v>
      </c>
      <c r="K1558" s="285" t="s">
        <v>4818</v>
      </c>
      <c r="L1558" s="285" t="s">
        <v>6949</v>
      </c>
      <c r="M1558" s="285" t="s">
        <v>9383</v>
      </c>
      <c r="N1558" s="287" t="str">
        <f>IFERROR(
    IF(
        AND(
            VLOOKUP(B1558, 'รายชื่อพนักงานลาออกพ้นสภาพ'!B:I, 8, FALSE)&lt;&gt;"ยกเลิกลาออก",
            VLOOKUP(B1558, 'รายชื่อพนักงานลาออกพ้นสภาพ'!B:I, 7, FALSE)&lt;=TODAY()
        ),
        "ลาออกแล้ว",
        ""
    ),
"")</f>
        <v/>
      </c>
      <c r="O1558" s="292" t="str">
        <f t="array" ref="O1558">IFERROR(INDEX(PCRent!C:D, MATCH(F1558 &amp; " " &amp; G1558, PCRent!A:A &amp; " " &amp; PCRent!B:B, 0)), "")</f>
        <v/>
      </c>
      <c r="P1558" s="293"/>
      <c r="Q1558" s="294" t="str">
        <f t="array" ref="Q1558">IFERROR(INDEX(MonitorRent!C:D, MATCH(F1558 &amp; " " &amp; G1558, MonitorRent!A:A &amp; " " &amp; MonitorRent!B:B, 0)), "")</f>
        <v/>
      </c>
      <c r="R1558" s="295"/>
    </row>
    <row r="1559">
      <c r="A1559" s="284">
        <v>1556.0</v>
      </c>
      <c r="B1559" s="285" t="s">
        <v>16024</v>
      </c>
      <c r="C1559" s="285" t="s">
        <v>6918</v>
      </c>
      <c r="D1559" s="286" t="s">
        <v>11262</v>
      </c>
      <c r="E1559" s="285" t="s">
        <v>6933</v>
      </c>
      <c r="F1559" s="285" t="s">
        <v>10860</v>
      </c>
      <c r="G1559" s="285" t="s">
        <v>16025</v>
      </c>
      <c r="H1559" s="285" t="s">
        <v>9538</v>
      </c>
      <c r="I1559" s="285" t="s">
        <v>16026</v>
      </c>
      <c r="J1559" s="285" t="s">
        <v>5012</v>
      </c>
      <c r="K1559" s="285" t="s">
        <v>9521</v>
      </c>
      <c r="L1559" s="285" t="s">
        <v>13067</v>
      </c>
      <c r="M1559" s="285" t="s">
        <v>9383</v>
      </c>
      <c r="N1559" s="287" t="str">
        <f>IFERROR(
    IF(
        AND(
            VLOOKUP(B1559, 'รายชื่อพนักงานลาออกพ้นสภาพ'!B:I, 8, FALSE)&lt;&gt;"ยกเลิกลาออก",
            VLOOKUP(B1559, 'รายชื่อพนักงานลาออกพ้นสภาพ'!B:I, 7, FALSE)&lt;=TODAY()
        ),
        "ลาออกแล้ว",
        ""
    ),
"")</f>
        <v/>
      </c>
      <c r="O1559" s="292" t="str">
        <f t="array" ref="O1559">IFERROR(INDEX(PCRent!C:D, MATCH(F1559 &amp; " " &amp; G1559, PCRent!A:A &amp; " " &amp; PCRent!B:B, 0)), "")</f>
        <v/>
      </c>
      <c r="P1559" s="293"/>
      <c r="Q1559" s="294" t="str">
        <f t="array" ref="Q1559">IFERROR(INDEX(MonitorRent!C:D, MATCH(F1559 &amp; " " &amp; G1559, MonitorRent!A:A &amp; " " &amp; MonitorRent!B:B, 0)), "")</f>
        <v/>
      </c>
      <c r="R1559" s="295"/>
    </row>
    <row r="1560">
      <c r="A1560" s="284">
        <v>1557.0</v>
      </c>
      <c r="B1560" s="285" t="s">
        <v>16027</v>
      </c>
      <c r="C1560" s="285" t="s">
        <v>6918</v>
      </c>
      <c r="D1560" s="286" t="s">
        <v>9576</v>
      </c>
      <c r="E1560" s="285" t="s">
        <v>6933</v>
      </c>
      <c r="F1560" s="285" t="s">
        <v>16028</v>
      </c>
      <c r="G1560" s="285" t="s">
        <v>16029</v>
      </c>
      <c r="H1560" s="285" t="s">
        <v>9456</v>
      </c>
      <c r="I1560" s="285" t="s">
        <v>16030</v>
      </c>
      <c r="J1560" s="285" t="s">
        <v>5012</v>
      </c>
      <c r="K1560" s="285" t="s">
        <v>9626</v>
      </c>
      <c r="L1560" s="285" t="s">
        <v>3857</v>
      </c>
      <c r="M1560" s="285" t="s">
        <v>9383</v>
      </c>
      <c r="N1560" s="287" t="str">
        <f>IFERROR(
    IF(
        AND(
            VLOOKUP(B1560, 'รายชื่อพนักงานลาออกพ้นสภาพ'!B:I, 8, FALSE)&lt;&gt;"ยกเลิกลาออก",
            VLOOKUP(B1560, 'รายชื่อพนักงานลาออกพ้นสภาพ'!B:I, 7, FALSE)&lt;=TODAY()
        ),
        "ลาออกแล้ว",
        ""
    ),
"")</f>
        <v/>
      </c>
      <c r="O1560" s="292" t="str">
        <f t="array" ref="O1560">IFERROR(INDEX(PCRent!C:D, MATCH(F1560 &amp; " " &amp; G1560, PCRent!A:A &amp; " " &amp; PCRent!B:B, 0)), "")</f>
        <v/>
      </c>
      <c r="P1560" s="293"/>
      <c r="Q1560" s="294" t="str">
        <f t="array" ref="Q1560">IFERROR(INDEX(MonitorRent!C:D, MATCH(F1560 &amp; " " &amp; G1560, MonitorRent!A:A &amp; " " &amp; MonitorRent!B:B, 0)), "")</f>
        <v/>
      </c>
      <c r="R1560" s="295"/>
    </row>
    <row r="1561">
      <c r="A1561" s="284">
        <v>1558.0</v>
      </c>
      <c r="B1561" s="285" t="s">
        <v>8547</v>
      </c>
      <c r="C1561" s="285" t="s">
        <v>6918</v>
      </c>
      <c r="D1561" s="286" t="s">
        <v>15155</v>
      </c>
      <c r="E1561" s="285" t="s">
        <v>6933</v>
      </c>
      <c r="F1561" s="285" t="s">
        <v>16031</v>
      </c>
      <c r="G1561" s="285" t="s">
        <v>16032</v>
      </c>
      <c r="H1561" s="285" t="s">
        <v>11563</v>
      </c>
      <c r="I1561" s="285" t="s">
        <v>16033</v>
      </c>
      <c r="J1561" s="285" t="s">
        <v>5224</v>
      </c>
      <c r="K1561" s="285" t="s">
        <v>4835</v>
      </c>
      <c r="L1561" s="285" t="s">
        <v>2081</v>
      </c>
      <c r="M1561" s="285" t="s">
        <v>9383</v>
      </c>
      <c r="N1561" s="287" t="str">
        <f>IFERROR(
    IF(
        AND(
            VLOOKUP(B1561, 'รายชื่อพนักงานลาออกพ้นสภาพ'!B:I, 8, FALSE)&lt;&gt;"ยกเลิกลาออก",
            VLOOKUP(B1561, 'รายชื่อพนักงานลาออกพ้นสภาพ'!B:I, 7, FALSE)&lt;=TODAY()
        ),
        "ลาออกแล้ว",
        ""
    ),
"")</f>
        <v/>
      </c>
      <c r="O1561" s="292" t="str">
        <f t="array" ref="O1561">IFERROR(INDEX(PCRent!C:D, MATCH(F1561 &amp; " " &amp; G1561, PCRent!A:A &amp; " " &amp; PCRent!B:B, 0)), "")</f>
        <v/>
      </c>
      <c r="P1561" s="293"/>
      <c r="Q1561" s="294" t="str">
        <f t="array" ref="Q1561">IFERROR(INDEX(MonitorRent!C:D, MATCH(F1561 &amp; " " &amp; G1561, MonitorRent!A:A &amp; " " &amp; MonitorRent!B:B, 0)), "")</f>
        <v/>
      </c>
      <c r="R1561" s="295"/>
    </row>
    <row r="1562">
      <c r="A1562" s="284">
        <v>1559.0</v>
      </c>
      <c r="B1562" s="285" t="s">
        <v>16034</v>
      </c>
      <c r="C1562" s="285" t="s">
        <v>6918</v>
      </c>
      <c r="D1562" s="286" t="s">
        <v>9504</v>
      </c>
      <c r="E1562" s="285" t="s">
        <v>6933</v>
      </c>
      <c r="F1562" s="285" t="s">
        <v>16035</v>
      </c>
      <c r="G1562" s="285" t="s">
        <v>16036</v>
      </c>
      <c r="H1562" s="285" t="s">
        <v>9538</v>
      </c>
      <c r="I1562" s="285" t="s">
        <v>16037</v>
      </c>
      <c r="J1562" s="285" t="s">
        <v>5012</v>
      </c>
      <c r="K1562" s="285" t="s">
        <v>14002</v>
      </c>
      <c r="L1562" s="285" t="s">
        <v>8850</v>
      </c>
      <c r="M1562" s="285" t="s">
        <v>9383</v>
      </c>
      <c r="N1562" s="287" t="str">
        <f>IFERROR(
    IF(
        AND(
            VLOOKUP(B1562, 'รายชื่อพนักงานลาออกพ้นสภาพ'!B:I, 8, FALSE)&lt;&gt;"ยกเลิกลาออก",
            VLOOKUP(B1562, 'รายชื่อพนักงานลาออกพ้นสภาพ'!B:I, 7, FALSE)&lt;=TODAY()
        ),
        "ลาออกแล้ว",
        ""
    ),
"")</f>
        <v/>
      </c>
      <c r="O1562" s="292" t="str">
        <f t="array" ref="O1562">IFERROR(INDEX(PCRent!C:D, MATCH(F1562 &amp; " " &amp; G1562, PCRent!A:A &amp; " " &amp; PCRent!B:B, 0)), "")</f>
        <v/>
      </c>
      <c r="P1562" s="293"/>
      <c r="Q1562" s="294" t="str">
        <f t="array" ref="Q1562">IFERROR(INDEX(MonitorRent!C:D, MATCH(F1562 &amp; " " &amp; G1562, MonitorRent!A:A &amp; " " &amp; MonitorRent!B:B, 0)), "")</f>
        <v/>
      </c>
      <c r="R1562" s="295"/>
    </row>
    <row r="1563">
      <c r="A1563" s="284">
        <v>1560.0</v>
      </c>
      <c r="B1563" s="285" t="s">
        <v>16038</v>
      </c>
      <c r="C1563" s="285" t="s">
        <v>6918</v>
      </c>
      <c r="D1563" s="286" t="s">
        <v>10012</v>
      </c>
      <c r="E1563" s="285" t="s">
        <v>6921</v>
      </c>
      <c r="F1563" s="285" t="s">
        <v>16039</v>
      </c>
      <c r="G1563" s="285" t="s">
        <v>16040</v>
      </c>
      <c r="H1563" s="285" t="s">
        <v>16041</v>
      </c>
      <c r="I1563" s="285" t="s">
        <v>16042</v>
      </c>
      <c r="J1563" s="285" t="s">
        <v>5012</v>
      </c>
      <c r="K1563" s="285" t="s">
        <v>3000</v>
      </c>
      <c r="L1563" s="285" t="s">
        <v>13273</v>
      </c>
      <c r="M1563" s="285" t="s">
        <v>9383</v>
      </c>
      <c r="N1563" s="287" t="str">
        <f>IFERROR(
    IF(
        AND(
            VLOOKUP(B1563, 'รายชื่อพนักงานลาออกพ้นสภาพ'!B:I, 8, FALSE)&lt;&gt;"ยกเลิกลาออก",
            VLOOKUP(B1563, 'รายชื่อพนักงานลาออกพ้นสภาพ'!B:I, 7, FALSE)&lt;=TODAY()
        ),
        "ลาออกแล้ว",
        ""
    ),
"")</f>
        <v/>
      </c>
      <c r="O1563" s="292" t="str">
        <f t="array" ref="O1563">IFERROR(INDEX(PCRent!C:D, MATCH(F1563 &amp; " " &amp; G1563, PCRent!A:A &amp; " " &amp; PCRent!B:B, 0)), "")</f>
        <v/>
      </c>
      <c r="P1563" s="293"/>
      <c r="Q1563" s="294" t="str">
        <f t="array" ref="Q1563">IFERROR(INDEX(MonitorRent!C:D, MATCH(F1563 &amp; " " &amp; G1563, MonitorRent!A:A &amp; " " &amp; MonitorRent!B:B, 0)), "")</f>
        <v/>
      </c>
      <c r="R1563" s="295"/>
    </row>
    <row r="1564">
      <c r="A1564" s="284">
        <v>1561.0</v>
      </c>
      <c r="B1564" s="285" t="s">
        <v>16043</v>
      </c>
      <c r="C1564" s="285" t="s">
        <v>6918</v>
      </c>
      <c r="D1564" s="286" t="s">
        <v>9415</v>
      </c>
      <c r="E1564" s="285" t="s">
        <v>6921</v>
      </c>
      <c r="F1564" s="285" t="s">
        <v>16044</v>
      </c>
      <c r="G1564" s="285" t="s">
        <v>16045</v>
      </c>
      <c r="H1564" s="285" t="s">
        <v>11635</v>
      </c>
      <c r="I1564" s="285" t="s">
        <v>16046</v>
      </c>
      <c r="J1564" s="285" t="s">
        <v>5012</v>
      </c>
      <c r="K1564" s="285" t="s">
        <v>15235</v>
      </c>
      <c r="L1564" s="285" t="s">
        <v>13501</v>
      </c>
      <c r="M1564" s="285" t="s">
        <v>9383</v>
      </c>
      <c r="N1564" s="287" t="str">
        <f>IFERROR(
    IF(
        AND(
            VLOOKUP(B1564, 'รายชื่อพนักงานลาออกพ้นสภาพ'!B:I, 8, FALSE)&lt;&gt;"ยกเลิกลาออก",
            VLOOKUP(B1564, 'รายชื่อพนักงานลาออกพ้นสภาพ'!B:I, 7, FALSE)&lt;=TODAY()
        ),
        "ลาออกแล้ว",
        ""
    ),
"")</f>
        <v/>
      </c>
      <c r="O1564" s="292" t="str">
        <f t="array" ref="O1564:P1564">IFERROR(INDEX(PCRent!C:D, MATCH(F1564 &amp; " " &amp; G1564, PCRent!A:A &amp; " " &amp; PCRent!B:B, 0)), "")</f>
        <v>SN:F96MBZ3</v>
      </c>
      <c r="P1564" s="293" t="s">
        <v>7048</v>
      </c>
      <c r="Q1564" s="294" t="str">
        <f t="array" ref="Q1564:R1564">IFERROR(INDEX(MonitorRent!C:D, MATCH(F1564 &amp; " " &amp; G1564, MonitorRent!A:A &amp; " " &amp; MonitorRent!B:B, 0)), "")</f>
        <v>SN:B3862Y3</v>
      </c>
      <c r="R1564" s="295" t="s">
        <v>7050</v>
      </c>
    </row>
    <row r="1565">
      <c r="A1565" s="284">
        <v>1562.0</v>
      </c>
      <c r="B1565" s="285" t="s">
        <v>16047</v>
      </c>
      <c r="C1565" s="285" t="s">
        <v>16048</v>
      </c>
      <c r="D1565" s="286" t="s">
        <v>10132</v>
      </c>
      <c r="E1565" s="285" t="s">
        <v>6933</v>
      </c>
      <c r="F1565" s="285" t="s">
        <v>16049</v>
      </c>
      <c r="G1565" s="285" t="s">
        <v>16050</v>
      </c>
      <c r="H1565" s="285" t="s">
        <v>14213</v>
      </c>
      <c r="I1565" s="296"/>
      <c r="J1565" s="285" t="s">
        <v>5012</v>
      </c>
      <c r="K1565" s="285" t="s">
        <v>16051</v>
      </c>
      <c r="L1565" s="285" t="s">
        <v>16052</v>
      </c>
      <c r="M1565" s="285" t="s">
        <v>9383</v>
      </c>
      <c r="N1565" s="287" t="str">
        <f>IFERROR(
    IF(
        AND(
            VLOOKUP(B1565, 'รายชื่อพนักงานลาออกพ้นสภาพ'!B:I, 8, FALSE)&lt;&gt;"ยกเลิกลาออก",
            VLOOKUP(B1565, 'รายชื่อพนักงานลาออกพ้นสภาพ'!B:I, 7, FALSE)&lt;=TODAY()
        ),
        "ลาออกแล้ว",
        ""
    ),
"")</f>
        <v/>
      </c>
      <c r="O1565" s="292" t="str">
        <f t="array" ref="O1565">IFERROR(INDEX(PCRent!C:D, MATCH(F1565 &amp; " " &amp; G1565, PCRent!A:A &amp; " " &amp; PCRent!B:B, 0)), "")</f>
        <v/>
      </c>
      <c r="P1565" s="293"/>
      <c r="Q1565" s="294" t="str">
        <f t="array" ref="Q1565">IFERROR(INDEX(MonitorRent!C:D, MATCH(F1565 &amp; " " &amp; G1565, MonitorRent!A:A &amp; " " &amp; MonitorRent!B:B, 0)), "")</f>
        <v/>
      </c>
      <c r="R1565" s="295"/>
    </row>
    <row r="1566">
      <c r="A1566" s="284">
        <v>1563.0</v>
      </c>
      <c r="B1566" s="285" t="s">
        <v>16053</v>
      </c>
      <c r="C1566" s="285" t="s">
        <v>16048</v>
      </c>
      <c r="D1566" s="286" t="s">
        <v>9415</v>
      </c>
      <c r="E1566" s="285" t="s">
        <v>6933</v>
      </c>
      <c r="F1566" s="285" t="s">
        <v>16054</v>
      </c>
      <c r="G1566" s="285" t="s">
        <v>16055</v>
      </c>
      <c r="H1566" s="285" t="s">
        <v>13856</v>
      </c>
      <c r="I1566" s="297"/>
      <c r="J1566" s="285" t="s">
        <v>5012</v>
      </c>
      <c r="K1566" s="285" t="s">
        <v>16056</v>
      </c>
      <c r="L1566" s="285" t="s">
        <v>16057</v>
      </c>
      <c r="M1566" s="285" t="s">
        <v>9383</v>
      </c>
      <c r="N1566" s="287" t="str">
        <f>IFERROR(
    IF(
        AND(
            VLOOKUP(B1566, 'รายชื่อพนักงานลาออกพ้นสภาพ'!B:I, 8, FALSE)&lt;&gt;"ยกเลิกลาออก",
            VLOOKUP(B1566, 'รายชื่อพนักงานลาออกพ้นสภาพ'!B:I, 7, FALSE)&lt;=TODAY()
        ),
        "ลาออกแล้ว",
        ""
    ),
"")</f>
        <v/>
      </c>
      <c r="O1566" s="292" t="str">
        <f t="array" ref="O1566">IFERROR(INDEX(PCRent!C:D, MATCH(F1566 &amp; " " &amp; G1566, PCRent!A:A &amp; " " &amp; PCRent!B:B, 0)), "")</f>
        <v/>
      </c>
      <c r="P1566" s="293"/>
      <c r="Q1566" s="294" t="str">
        <f t="array" ref="Q1566">IFERROR(INDEX(MonitorRent!C:D, MATCH(F1566 &amp; " " &amp; G1566, MonitorRent!A:A &amp; " " &amp; MonitorRent!B:B, 0)), "")</f>
        <v/>
      </c>
      <c r="R1566" s="295"/>
    </row>
    <row r="1567">
      <c r="A1567" s="284">
        <v>1564.0</v>
      </c>
      <c r="B1567" s="285" t="s">
        <v>16058</v>
      </c>
      <c r="C1567" s="285" t="s">
        <v>16048</v>
      </c>
      <c r="D1567" s="286" t="s">
        <v>16059</v>
      </c>
      <c r="E1567" s="285" t="s">
        <v>7239</v>
      </c>
      <c r="F1567" s="285" t="s">
        <v>16060</v>
      </c>
      <c r="G1567" s="285" t="s">
        <v>16061</v>
      </c>
      <c r="H1567" s="285" t="s">
        <v>10732</v>
      </c>
      <c r="I1567" s="297"/>
      <c r="J1567" s="285" t="s">
        <v>5012</v>
      </c>
      <c r="K1567" s="285" t="s">
        <v>16056</v>
      </c>
      <c r="L1567" s="285" t="s">
        <v>16057</v>
      </c>
      <c r="M1567" s="285" t="s">
        <v>9383</v>
      </c>
      <c r="N1567" s="287" t="str">
        <f>IFERROR(
    IF(
        AND(
            VLOOKUP(B1567, 'รายชื่อพนักงานลาออกพ้นสภาพ'!B:I, 8, FALSE)&lt;&gt;"ยกเลิกลาออก",
            VLOOKUP(B1567, 'รายชื่อพนักงานลาออกพ้นสภาพ'!B:I, 7, FALSE)&lt;=TODAY()
        ),
        "ลาออกแล้ว",
        ""
    ),
"")</f>
        <v/>
      </c>
      <c r="O1567" s="292" t="str">
        <f t="array" ref="O1567">IFERROR(INDEX(PCRent!C:D, MATCH(F1567 &amp; " " &amp; G1567, PCRent!A:A &amp; " " &amp; PCRent!B:B, 0)), "")</f>
        <v/>
      </c>
      <c r="P1567" s="293"/>
      <c r="Q1567" s="294" t="str">
        <f t="array" ref="Q1567">IFERROR(INDEX(MonitorRent!C:D, MATCH(F1567 &amp; " " &amp; G1567, MonitorRent!A:A &amp; " " &amp; MonitorRent!B:B, 0)), "")</f>
        <v/>
      </c>
      <c r="R1567" s="295"/>
    </row>
    <row r="1568">
      <c r="A1568" s="284">
        <v>1565.0</v>
      </c>
      <c r="B1568" s="285" t="s">
        <v>16062</v>
      </c>
      <c r="C1568" s="285" t="s">
        <v>16048</v>
      </c>
      <c r="D1568" s="286" t="s">
        <v>12974</v>
      </c>
      <c r="E1568" s="285" t="s">
        <v>7239</v>
      </c>
      <c r="F1568" s="285" t="s">
        <v>16063</v>
      </c>
      <c r="G1568" s="285" t="s">
        <v>16064</v>
      </c>
      <c r="H1568" s="285" t="s">
        <v>12037</v>
      </c>
      <c r="I1568" s="297"/>
      <c r="J1568" s="285" t="s">
        <v>5012</v>
      </c>
      <c r="K1568" s="285" t="s">
        <v>16065</v>
      </c>
      <c r="L1568" s="285" t="s">
        <v>16066</v>
      </c>
      <c r="M1568" s="285" t="s">
        <v>9383</v>
      </c>
      <c r="N1568" s="287" t="str">
        <f>IFERROR(
    IF(
        AND(
            VLOOKUP(B1568, 'รายชื่อพนักงานลาออกพ้นสภาพ'!B:I, 8, FALSE)&lt;&gt;"ยกเลิกลาออก",
            VLOOKUP(B1568, 'รายชื่อพนักงานลาออกพ้นสภาพ'!B:I, 7, FALSE)&lt;=TODAY()
        ),
        "ลาออกแล้ว",
        ""
    ),
"")</f>
        <v/>
      </c>
      <c r="O1568" s="292" t="str">
        <f t="array" ref="O1568">IFERROR(INDEX(PCRent!C:D, MATCH(F1568 &amp; " " &amp; G1568, PCRent!A:A &amp; " " &amp; PCRent!B:B, 0)), "")</f>
        <v/>
      </c>
      <c r="P1568" s="293"/>
      <c r="Q1568" s="294" t="str">
        <f t="array" ref="Q1568">IFERROR(INDEX(MonitorRent!C:D, MATCH(F1568 &amp; " " &amp; G1568, MonitorRent!A:A &amp; " " &amp; MonitorRent!B:B, 0)), "")</f>
        <v/>
      </c>
      <c r="R1568" s="295"/>
    </row>
    <row r="1569">
      <c r="A1569" s="284">
        <v>1566.0</v>
      </c>
      <c r="B1569" s="285" t="s">
        <v>16067</v>
      </c>
      <c r="C1569" s="285" t="s">
        <v>16048</v>
      </c>
      <c r="D1569" s="286" t="s">
        <v>10138</v>
      </c>
      <c r="E1569" s="285" t="s">
        <v>6933</v>
      </c>
      <c r="F1569" s="285" t="s">
        <v>16068</v>
      </c>
      <c r="G1569" s="285" t="s">
        <v>16069</v>
      </c>
      <c r="H1569" s="285" t="s">
        <v>16070</v>
      </c>
      <c r="I1569" s="297"/>
      <c r="J1569" s="285" t="s">
        <v>5012</v>
      </c>
      <c r="K1569" s="285" t="s">
        <v>16056</v>
      </c>
      <c r="L1569" s="285" t="s">
        <v>16057</v>
      </c>
      <c r="M1569" s="285" t="s">
        <v>9383</v>
      </c>
      <c r="N1569" s="287" t="str">
        <f>IFERROR(
    IF(
        AND(
            VLOOKUP(B1569, 'รายชื่อพนักงานลาออกพ้นสภาพ'!B:I, 8, FALSE)&lt;&gt;"ยกเลิกลาออก",
            VLOOKUP(B1569, 'รายชื่อพนักงานลาออกพ้นสภาพ'!B:I, 7, FALSE)&lt;=TODAY()
        ),
        "ลาออกแล้ว",
        ""
    ),
"")</f>
        <v/>
      </c>
      <c r="O1569" s="292" t="str">
        <f t="array" ref="O1569">IFERROR(INDEX(PCRent!C:D, MATCH(F1569 &amp; " " &amp; G1569, PCRent!A:A &amp; " " &amp; PCRent!B:B, 0)), "")</f>
        <v/>
      </c>
      <c r="P1569" s="293"/>
      <c r="Q1569" s="294" t="str">
        <f t="array" ref="Q1569">IFERROR(INDEX(MonitorRent!C:D, MATCH(F1569 &amp; " " &amp; G1569, MonitorRent!A:A &amp; " " &amp; MonitorRent!B:B, 0)), "")</f>
        <v/>
      </c>
      <c r="R1569" s="295"/>
    </row>
    <row r="1570">
      <c r="A1570" s="284">
        <v>1567.0</v>
      </c>
      <c r="B1570" s="285" t="s">
        <v>16071</v>
      </c>
      <c r="C1570" s="285" t="s">
        <v>16048</v>
      </c>
      <c r="D1570" s="286" t="s">
        <v>16072</v>
      </c>
      <c r="E1570" s="285" t="s">
        <v>6933</v>
      </c>
      <c r="F1570" s="285" t="s">
        <v>16073</v>
      </c>
      <c r="G1570" s="285" t="s">
        <v>16074</v>
      </c>
      <c r="H1570" s="285" t="s">
        <v>16075</v>
      </c>
      <c r="I1570" s="297"/>
      <c r="J1570" s="285" t="s">
        <v>5012</v>
      </c>
      <c r="K1570" s="285" t="s">
        <v>16076</v>
      </c>
      <c r="L1570" s="285" t="s">
        <v>16052</v>
      </c>
      <c r="M1570" s="285" t="s">
        <v>9383</v>
      </c>
      <c r="N1570" s="287" t="str">
        <f>IFERROR(
    IF(
        AND(
            VLOOKUP(B1570, 'รายชื่อพนักงานลาออกพ้นสภาพ'!B:I, 8, FALSE)&lt;&gt;"ยกเลิกลาออก",
            VLOOKUP(B1570, 'รายชื่อพนักงานลาออกพ้นสภาพ'!B:I, 7, FALSE)&lt;=TODAY()
        ),
        "ลาออกแล้ว",
        ""
    ),
"")</f>
        <v/>
      </c>
      <c r="O1570" s="292" t="str">
        <f t="array" ref="O1570">IFERROR(INDEX(PCRent!C:D, MATCH(F1570 &amp; " " &amp; G1570, PCRent!A:A &amp; " " &amp; PCRent!B:B, 0)), "")</f>
        <v/>
      </c>
      <c r="P1570" s="293"/>
      <c r="Q1570" s="294" t="str">
        <f t="array" ref="Q1570">IFERROR(INDEX(MonitorRent!C:D, MATCH(F1570 &amp; " " &amp; G1570, MonitorRent!A:A &amp; " " &amp; MonitorRent!B:B, 0)), "")</f>
        <v/>
      </c>
      <c r="R1570" s="295"/>
    </row>
    <row r="1571">
      <c r="A1571" s="284">
        <v>1568.0</v>
      </c>
      <c r="B1571" s="285" t="s">
        <v>16077</v>
      </c>
      <c r="C1571" s="285" t="s">
        <v>16048</v>
      </c>
      <c r="D1571" s="286" t="s">
        <v>16059</v>
      </c>
      <c r="E1571" s="285" t="s">
        <v>6933</v>
      </c>
      <c r="F1571" s="285" t="s">
        <v>16078</v>
      </c>
      <c r="G1571" s="285" t="s">
        <v>16079</v>
      </c>
      <c r="H1571" s="285" t="s">
        <v>16080</v>
      </c>
      <c r="I1571" s="297"/>
      <c r="J1571" s="285" t="s">
        <v>5012</v>
      </c>
      <c r="K1571" s="285" t="s">
        <v>16056</v>
      </c>
      <c r="L1571" s="285" t="s">
        <v>16057</v>
      </c>
      <c r="M1571" s="285" t="s">
        <v>9383</v>
      </c>
      <c r="N1571" s="287" t="str">
        <f>IFERROR(
    IF(
        AND(
            VLOOKUP(B1571, 'รายชื่อพนักงานลาออกพ้นสภาพ'!B:I, 8, FALSE)&lt;&gt;"ยกเลิกลาออก",
            VLOOKUP(B1571, 'รายชื่อพนักงานลาออกพ้นสภาพ'!B:I, 7, FALSE)&lt;=TODAY()
        ),
        "ลาออกแล้ว",
        ""
    ),
"")</f>
        <v/>
      </c>
      <c r="O1571" s="292" t="str">
        <f t="array" ref="O1571">IFERROR(INDEX(PCRent!C:D, MATCH(F1571 &amp; " " &amp; G1571, PCRent!A:A &amp; " " &amp; PCRent!B:B, 0)), "")</f>
        <v/>
      </c>
      <c r="P1571" s="293"/>
      <c r="Q1571" s="294" t="str">
        <f t="array" ref="Q1571">IFERROR(INDEX(MonitorRent!C:D, MATCH(F1571 &amp; " " &amp; G1571, MonitorRent!A:A &amp; " " &amp; MonitorRent!B:B, 0)), "")</f>
        <v/>
      </c>
      <c r="R1571" s="295"/>
    </row>
    <row r="1572">
      <c r="A1572" s="284">
        <v>1569.0</v>
      </c>
      <c r="B1572" s="285" t="s">
        <v>16081</v>
      </c>
      <c r="C1572" s="285" t="s">
        <v>16048</v>
      </c>
      <c r="D1572" s="286" t="s">
        <v>16072</v>
      </c>
      <c r="E1572" s="285" t="s">
        <v>6933</v>
      </c>
      <c r="F1572" s="285" t="s">
        <v>16082</v>
      </c>
      <c r="G1572" s="285" t="s">
        <v>16083</v>
      </c>
      <c r="H1572" s="285" t="s">
        <v>16084</v>
      </c>
      <c r="I1572" s="297"/>
      <c r="J1572" s="285" t="s">
        <v>5012</v>
      </c>
      <c r="K1572" s="285" t="s">
        <v>16085</v>
      </c>
      <c r="L1572" s="285" t="s">
        <v>16052</v>
      </c>
      <c r="M1572" s="285" t="s">
        <v>9383</v>
      </c>
      <c r="N1572" s="287" t="str">
        <f>IFERROR(
    IF(
        AND(
            VLOOKUP(B1572, 'รายชื่อพนักงานลาออกพ้นสภาพ'!B:I, 8, FALSE)&lt;&gt;"ยกเลิกลาออก",
            VLOOKUP(B1572, 'รายชื่อพนักงานลาออกพ้นสภาพ'!B:I, 7, FALSE)&lt;=TODAY()
        ),
        "ลาออกแล้ว",
        ""
    ),
"")</f>
        <v/>
      </c>
      <c r="O1572" s="292" t="str">
        <f t="array" ref="O1572">IFERROR(INDEX(PCRent!C:D, MATCH(F1572 &amp; " " &amp; G1572, PCRent!A:A &amp; " " &amp; PCRent!B:B, 0)), "")</f>
        <v/>
      </c>
      <c r="P1572" s="293"/>
      <c r="Q1572" s="294" t="str">
        <f t="array" ref="Q1572">IFERROR(INDEX(MonitorRent!C:D, MATCH(F1572 &amp; " " &amp; G1572, MonitorRent!A:A &amp; " " &amp; MonitorRent!B:B, 0)), "")</f>
        <v/>
      </c>
      <c r="R1572" s="295"/>
    </row>
    <row r="1573">
      <c r="A1573" s="284">
        <v>1570.0</v>
      </c>
      <c r="B1573" s="285" t="s">
        <v>16086</v>
      </c>
      <c r="C1573" s="285" t="s">
        <v>16048</v>
      </c>
      <c r="D1573" s="286" t="s">
        <v>16072</v>
      </c>
      <c r="E1573" s="285" t="s">
        <v>6933</v>
      </c>
      <c r="F1573" s="285" t="s">
        <v>16087</v>
      </c>
      <c r="G1573" s="285" t="s">
        <v>16088</v>
      </c>
      <c r="H1573" s="285" t="s">
        <v>16089</v>
      </c>
      <c r="I1573" s="297"/>
      <c r="J1573" s="285" t="s">
        <v>5012</v>
      </c>
      <c r="K1573" s="285" t="s">
        <v>16076</v>
      </c>
      <c r="L1573" s="285" t="s">
        <v>16052</v>
      </c>
      <c r="M1573" s="285" t="s">
        <v>9383</v>
      </c>
      <c r="N1573" s="287" t="str">
        <f>IFERROR(
    IF(
        AND(
            VLOOKUP(B1573, 'รายชื่อพนักงานลาออกพ้นสภาพ'!B:I, 8, FALSE)&lt;&gt;"ยกเลิกลาออก",
            VLOOKUP(B1573, 'รายชื่อพนักงานลาออกพ้นสภาพ'!B:I, 7, FALSE)&lt;=TODAY()
        ),
        "ลาออกแล้ว",
        ""
    ),
"")</f>
        <v/>
      </c>
      <c r="O1573" s="292" t="str">
        <f t="array" ref="O1573">IFERROR(INDEX(PCRent!C:D, MATCH(F1573 &amp; " " &amp; G1573, PCRent!A:A &amp; " " &amp; PCRent!B:B, 0)), "")</f>
        <v/>
      </c>
      <c r="P1573" s="293"/>
      <c r="Q1573" s="294" t="str">
        <f t="array" ref="Q1573">IFERROR(INDEX(MonitorRent!C:D, MATCH(F1573 &amp; " " &amp; G1573, MonitorRent!A:A &amp; " " &amp; MonitorRent!B:B, 0)), "")</f>
        <v/>
      </c>
      <c r="R1573" s="295"/>
    </row>
    <row r="1574">
      <c r="A1574" s="284">
        <v>1571.0</v>
      </c>
      <c r="B1574" s="285" t="s">
        <v>16090</v>
      </c>
      <c r="C1574" s="285" t="s">
        <v>16048</v>
      </c>
      <c r="D1574" s="286" t="s">
        <v>16072</v>
      </c>
      <c r="E1574" s="285" t="s">
        <v>6933</v>
      </c>
      <c r="F1574" s="285" t="s">
        <v>16091</v>
      </c>
      <c r="G1574" s="285" t="s">
        <v>16092</v>
      </c>
      <c r="H1574" s="285" t="s">
        <v>9956</v>
      </c>
      <c r="I1574" s="297"/>
      <c r="J1574" s="285" t="s">
        <v>5012</v>
      </c>
      <c r="K1574" s="285" t="s">
        <v>16093</v>
      </c>
      <c r="L1574" s="285" t="s">
        <v>16057</v>
      </c>
      <c r="M1574" s="285" t="s">
        <v>9383</v>
      </c>
      <c r="N1574" s="287" t="str">
        <f>IFERROR(
    IF(
        AND(
            VLOOKUP(B1574, 'รายชื่อพนักงานลาออกพ้นสภาพ'!B:I, 8, FALSE)&lt;&gt;"ยกเลิกลาออก",
            VLOOKUP(B1574, 'รายชื่อพนักงานลาออกพ้นสภาพ'!B:I, 7, FALSE)&lt;=TODAY()
        ),
        "ลาออกแล้ว",
        ""
    ),
"")</f>
        <v/>
      </c>
      <c r="O1574" s="292" t="str">
        <f t="array" ref="O1574">IFERROR(INDEX(PCRent!C:D, MATCH(F1574 &amp; " " &amp; G1574, PCRent!A:A &amp; " " &amp; PCRent!B:B, 0)), "")</f>
        <v/>
      </c>
      <c r="P1574" s="293"/>
      <c r="Q1574" s="294" t="str">
        <f t="array" ref="Q1574">IFERROR(INDEX(MonitorRent!C:D, MATCH(F1574 &amp; " " &amp; G1574, MonitorRent!A:A &amp; " " &amp; MonitorRent!B:B, 0)), "")</f>
        <v/>
      </c>
      <c r="R1574" s="295"/>
    </row>
    <row r="1575">
      <c r="A1575" s="284">
        <v>1572.0</v>
      </c>
      <c r="B1575" s="285" t="s">
        <v>16094</v>
      </c>
      <c r="C1575" s="285" t="s">
        <v>16048</v>
      </c>
      <c r="D1575" s="286" t="s">
        <v>9415</v>
      </c>
      <c r="E1575" s="285" t="s">
        <v>6933</v>
      </c>
      <c r="F1575" s="285" t="s">
        <v>16095</v>
      </c>
      <c r="G1575" s="285" t="s">
        <v>16096</v>
      </c>
      <c r="H1575" s="285" t="s">
        <v>16097</v>
      </c>
      <c r="I1575" s="297"/>
      <c r="J1575" s="285" t="s">
        <v>5012</v>
      </c>
      <c r="K1575" s="285" t="s">
        <v>16098</v>
      </c>
      <c r="L1575" s="285" t="s">
        <v>16057</v>
      </c>
      <c r="M1575" s="285" t="s">
        <v>9383</v>
      </c>
      <c r="N1575" s="287" t="str">
        <f>IFERROR(
    IF(
        AND(
            VLOOKUP(B1575, 'รายชื่อพนักงานลาออกพ้นสภาพ'!B:I, 8, FALSE)&lt;&gt;"ยกเลิกลาออก",
            VLOOKUP(B1575, 'รายชื่อพนักงานลาออกพ้นสภาพ'!B:I, 7, FALSE)&lt;=TODAY()
        ),
        "ลาออกแล้ว",
        ""
    ),
"")</f>
        <v/>
      </c>
      <c r="O1575" s="292" t="str">
        <f t="array" ref="O1575">IFERROR(INDEX(PCRent!C:D, MATCH(F1575 &amp; " " &amp; G1575, PCRent!A:A &amp; " " &amp; PCRent!B:B, 0)), "")</f>
        <v/>
      </c>
      <c r="P1575" s="293"/>
      <c r="Q1575" s="294" t="str">
        <f t="array" ref="Q1575">IFERROR(INDEX(MonitorRent!C:D, MATCH(F1575 &amp; " " &amp; G1575, MonitorRent!A:A &amp; " " &amp; MonitorRent!B:B, 0)), "")</f>
        <v/>
      </c>
      <c r="R1575" s="295"/>
    </row>
    <row r="1576">
      <c r="A1576" s="284">
        <v>1573.0</v>
      </c>
      <c r="B1576" s="285" t="s">
        <v>16099</v>
      </c>
      <c r="C1576" s="285" t="s">
        <v>16048</v>
      </c>
      <c r="D1576" s="286" t="s">
        <v>12552</v>
      </c>
      <c r="E1576" s="285" t="s">
        <v>6921</v>
      </c>
      <c r="F1576" s="285" t="s">
        <v>16100</v>
      </c>
      <c r="G1576" s="285" t="s">
        <v>16101</v>
      </c>
      <c r="H1576" s="285" t="s">
        <v>16102</v>
      </c>
      <c r="I1576" s="297"/>
      <c r="J1576" s="285" t="s">
        <v>5012</v>
      </c>
      <c r="K1576" s="285" t="s">
        <v>16103</v>
      </c>
      <c r="L1576" s="285" t="s">
        <v>16066</v>
      </c>
      <c r="M1576" s="285" t="s">
        <v>9383</v>
      </c>
      <c r="N1576" s="287" t="str">
        <f>IFERROR(
    IF(
        AND(
            VLOOKUP(B1576, 'รายชื่อพนักงานลาออกพ้นสภาพ'!B:I, 8, FALSE)&lt;&gt;"ยกเลิกลาออก",
            VLOOKUP(B1576, 'รายชื่อพนักงานลาออกพ้นสภาพ'!B:I, 7, FALSE)&lt;=TODAY()
        ),
        "ลาออกแล้ว",
        ""
    ),
"")</f>
        <v/>
      </c>
      <c r="O1576" s="292" t="str">
        <f t="array" ref="O1576">IFERROR(INDEX(PCRent!C:D, MATCH(F1576 &amp; " " &amp; G1576, PCRent!A:A &amp; " " &amp; PCRent!B:B, 0)), "")</f>
        <v/>
      </c>
      <c r="P1576" s="293"/>
      <c r="Q1576" s="294" t="str">
        <f t="array" ref="Q1576">IFERROR(INDEX(MonitorRent!C:D, MATCH(F1576 &amp; " " &amp; G1576, MonitorRent!A:A &amp; " " &amp; MonitorRent!B:B, 0)), "")</f>
        <v/>
      </c>
      <c r="R1576" s="295"/>
    </row>
    <row r="1577">
      <c r="A1577" s="284">
        <v>1574.0</v>
      </c>
      <c r="B1577" s="285" t="s">
        <v>16104</v>
      </c>
      <c r="C1577" s="285" t="s">
        <v>16048</v>
      </c>
      <c r="D1577" s="286" t="s">
        <v>16072</v>
      </c>
      <c r="E1577" s="285" t="s">
        <v>6933</v>
      </c>
      <c r="F1577" s="285" t="s">
        <v>16105</v>
      </c>
      <c r="G1577" s="285" t="s">
        <v>16106</v>
      </c>
      <c r="H1577" s="285" t="s">
        <v>16107</v>
      </c>
      <c r="I1577" s="297"/>
      <c r="J1577" s="285" t="s">
        <v>5012</v>
      </c>
      <c r="K1577" s="285" t="s">
        <v>16076</v>
      </c>
      <c r="L1577" s="285" t="s">
        <v>16052</v>
      </c>
      <c r="M1577" s="285" t="s">
        <v>9383</v>
      </c>
      <c r="N1577" s="287" t="str">
        <f>IFERROR(
    IF(
        AND(
            VLOOKUP(B1577, 'รายชื่อพนักงานลาออกพ้นสภาพ'!B:I, 8, FALSE)&lt;&gt;"ยกเลิกลาออก",
            VLOOKUP(B1577, 'รายชื่อพนักงานลาออกพ้นสภาพ'!B:I, 7, FALSE)&lt;=TODAY()
        ),
        "ลาออกแล้ว",
        ""
    ),
"")</f>
        <v/>
      </c>
      <c r="O1577" s="292" t="str">
        <f t="array" ref="O1577">IFERROR(INDEX(PCRent!C:D, MATCH(F1577 &amp; " " &amp; G1577, PCRent!A:A &amp; " " &amp; PCRent!B:B, 0)), "")</f>
        <v/>
      </c>
      <c r="P1577" s="293"/>
      <c r="Q1577" s="294" t="str">
        <f t="array" ref="Q1577">IFERROR(INDEX(MonitorRent!C:D, MATCH(F1577 &amp; " " &amp; G1577, MonitorRent!A:A &amp; " " &amp; MonitorRent!B:B, 0)), "")</f>
        <v/>
      </c>
      <c r="R1577" s="295"/>
    </row>
    <row r="1578">
      <c r="A1578" s="284">
        <v>1575.0</v>
      </c>
      <c r="B1578" s="285" t="s">
        <v>16108</v>
      </c>
      <c r="C1578" s="285" t="s">
        <v>16048</v>
      </c>
      <c r="D1578" s="286" t="s">
        <v>9644</v>
      </c>
      <c r="E1578" s="285" t="s">
        <v>6933</v>
      </c>
      <c r="F1578" s="285" t="s">
        <v>13037</v>
      </c>
      <c r="G1578" s="285" t="s">
        <v>16109</v>
      </c>
      <c r="H1578" s="285" t="s">
        <v>9879</v>
      </c>
      <c r="I1578" s="297"/>
      <c r="J1578" s="285" t="s">
        <v>5012</v>
      </c>
      <c r="K1578" s="285" t="s">
        <v>16110</v>
      </c>
      <c r="L1578" s="285" t="s">
        <v>16052</v>
      </c>
      <c r="M1578" s="285" t="s">
        <v>9383</v>
      </c>
      <c r="N1578" s="287" t="str">
        <f>IFERROR(
    IF(
        AND(
            VLOOKUP(B1578, 'รายชื่อพนักงานลาออกพ้นสภาพ'!B:I, 8, FALSE)&lt;&gt;"ยกเลิกลาออก",
            VLOOKUP(B1578, 'รายชื่อพนักงานลาออกพ้นสภาพ'!B:I, 7, FALSE)&lt;=TODAY()
        ),
        "ลาออกแล้ว",
        ""
    ),
"")</f>
        <v/>
      </c>
      <c r="O1578" s="292" t="str">
        <f t="array" ref="O1578">IFERROR(INDEX(PCRent!C:D, MATCH(F1578 &amp; " " &amp; G1578, PCRent!A:A &amp; " " &amp; PCRent!B:B, 0)), "")</f>
        <v/>
      </c>
      <c r="P1578" s="293"/>
      <c r="Q1578" s="294" t="str">
        <f t="array" ref="Q1578">IFERROR(INDEX(MonitorRent!C:D, MATCH(F1578 &amp; " " &amp; G1578, MonitorRent!A:A &amp; " " &amp; MonitorRent!B:B, 0)), "")</f>
        <v/>
      </c>
      <c r="R1578" s="295"/>
    </row>
    <row r="1579">
      <c r="A1579" s="284">
        <v>1576.0</v>
      </c>
      <c r="B1579" s="285" t="s">
        <v>16111</v>
      </c>
      <c r="C1579" s="285" t="s">
        <v>16048</v>
      </c>
      <c r="D1579" s="286" t="s">
        <v>16112</v>
      </c>
      <c r="E1579" s="285" t="s">
        <v>6933</v>
      </c>
      <c r="F1579" s="285" t="s">
        <v>9691</v>
      </c>
      <c r="G1579" s="285" t="s">
        <v>16113</v>
      </c>
      <c r="H1579" s="285" t="s">
        <v>9691</v>
      </c>
      <c r="I1579" s="297"/>
      <c r="J1579" s="285" t="s">
        <v>5012</v>
      </c>
      <c r="K1579" s="285" t="s">
        <v>16114</v>
      </c>
      <c r="L1579" s="285" t="s">
        <v>16115</v>
      </c>
      <c r="M1579" s="285" t="s">
        <v>9383</v>
      </c>
      <c r="N1579" s="287" t="str">
        <f>IFERROR(
    IF(
        AND(
            VLOOKUP(B1579, 'รายชื่อพนักงานลาออกพ้นสภาพ'!B:I, 8, FALSE)&lt;&gt;"ยกเลิกลาออก",
            VLOOKUP(B1579, 'รายชื่อพนักงานลาออกพ้นสภาพ'!B:I, 7, FALSE)&lt;=TODAY()
        ),
        "ลาออกแล้ว",
        ""
    ),
"")</f>
        <v/>
      </c>
      <c r="O1579" s="292" t="str">
        <f t="array" ref="O1579">IFERROR(INDEX(PCRent!C:D, MATCH(F1579 &amp; " " &amp; G1579, PCRent!A:A &amp; " " &amp; PCRent!B:B, 0)), "")</f>
        <v/>
      </c>
      <c r="P1579" s="293"/>
      <c r="Q1579" s="294" t="str">
        <f t="array" ref="Q1579">IFERROR(INDEX(MonitorRent!C:D, MATCH(F1579 &amp; " " &amp; G1579, MonitorRent!A:A &amp; " " &amp; MonitorRent!B:B, 0)), "")</f>
        <v/>
      </c>
      <c r="R1579" s="295"/>
    </row>
    <row r="1580">
      <c r="A1580" s="284">
        <v>1577.0</v>
      </c>
      <c r="B1580" s="285" t="s">
        <v>16116</v>
      </c>
      <c r="C1580" s="285" t="s">
        <v>16048</v>
      </c>
      <c r="D1580" s="286" t="s">
        <v>16117</v>
      </c>
      <c r="E1580" s="285" t="s">
        <v>6921</v>
      </c>
      <c r="F1580" s="285" t="s">
        <v>16118</v>
      </c>
      <c r="G1580" s="285" t="s">
        <v>16119</v>
      </c>
      <c r="H1580" s="285" t="s">
        <v>16120</v>
      </c>
      <c r="I1580" s="285" t="s">
        <v>16121</v>
      </c>
      <c r="J1580" s="285" t="s">
        <v>5012</v>
      </c>
      <c r="K1580" s="285" t="s">
        <v>16122</v>
      </c>
      <c r="L1580" s="285" t="s">
        <v>16066</v>
      </c>
      <c r="M1580" s="285" t="s">
        <v>9383</v>
      </c>
      <c r="N1580" s="287" t="str">
        <f>IFERROR(
    IF(
        AND(
            VLOOKUP(B1580, 'รายชื่อพนักงานลาออกพ้นสภาพ'!B:I, 8, FALSE)&lt;&gt;"ยกเลิกลาออก",
            VLOOKUP(B1580, 'รายชื่อพนักงานลาออกพ้นสภาพ'!B:I, 7, FALSE)&lt;=TODAY()
        ),
        "ลาออกแล้ว",
        ""
    ),
"")</f>
        <v/>
      </c>
      <c r="O1580" s="292" t="str">
        <f t="array" ref="O1580">IFERROR(INDEX(PCRent!C:D, MATCH(F1580 &amp; " " &amp; G1580, PCRent!A:A &amp; " " &amp; PCRent!B:B, 0)), "")</f>
        <v/>
      </c>
      <c r="P1580" s="293"/>
      <c r="Q1580" s="294" t="str">
        <f t="array" ref="Q1580">IFERROR(INDEX(MonitorRent!C:D, MATCH(F1580 &amp; " " &amp; G1580, MonitorRent!A:A &amp; " " &amp; MonitorRent!B:B, 0)), "")</f>
        <v/>
      </c>
      <c r="R1580" s="295"/>
    </row>
    <row r="1581">
      <c r="A1581" s="284">
        <v>1578.0</v>
      </c>
      <c r="B1581" s="285" t="s">
        <v>16123</v>
      </c>
      <c r="C1581" s="285" t="s">
        <v>16048</v>
      </c>
      <c r="D1581" s="286" t="s">
        <v>9621</v>
      </c>
      <c r="E1581" s="285" t="s">
        <v>6933</v>
      </c>
      <c r="F1581" s="285" t="s">
        <v>16124</v>
      </c>
      <c r="G1581" s="285" t="s">
        <v>16125</v>
      </c>
      <c r="H1581" s="285" t="s">
        <v>14840</v>
      </c>
      <c r="I1581" s="296"/>
      <c r="J1581" s="285" t="s">
        <v>5012</v>
      </c>
      <c r="K1581" s="285" t="s">
        <v>16126</v>
      </c>
      <c r="L1581" s="285" t="s">
        <v>16066</v>
      </c>
      <c r="M1581" s="285" t="s">
        <v>9383</v>
      </c>
      <c r="N1581" s="287" t="str">
        <f>IFERROR(
    IF(
        AND(
            VLOOKUP(B1581, 'รายชื่อพนักงานลาออกพ้นสภาพ'!B:I, 8, FALSE)&lt;&gt;"ยกเลิกลาออก",
            VLOOKUP(B1581, 'รายชื่อพนักงานลาออกพ้นสภาพ'!B:I, 7, FALSE)&lt;=TODAY()
        ),
        "ลาออกแล้ว",
        ""
    ),
"")</f>
        <v/>
      </c>
      <c r="O1581" s="292" t="str">
        <f t="array" ref="O1581">IFERROR(INDEX(PCRent!C:D, MATCH(F1581 &amp; " " &amp; G1581, PCRent!A:A &amp; " " &amp; PCRent!B:B, 0)), "")</f>
        <v/>
      </c>
      <c r="P1581" s="293"/>
      <c r="Q1581" s="294" t="str">
        <f t="array" ref="Q1581">IFERROR(INDEX(MonitorRent!C:D, MATCH(F1581 &amp; " " &amp; G1581, MonitorRent!A:A &amp; " " &amp; MonitorRent!B:B, 0)), "")</f>
        <v/>
      </c>
      <c r="R1581" s="295"/>
    </row>
    <row r="1582">
      <c r="A1582" s="284">
        <v>1579.0</v>
      </c>
      <c r="B1582" s="285" t="s">
        <v>16127</v>
      </c>
      <c r="C1582" s="285" t="s">
        <v>16048</v>
      </c>
      <c r="D1582" s="286" t="s">
        <v>16128</v>
      </c>
      <c r="E1582" s="285" t="s">
        <v>7239</v>
      </c>
      <c r="F1582" s="285" t="s">
        <v>16129</v>
      </c>
      <c r="G1582" s="285" t="s">
        <v>16130</v>
      </c>
      <c r="H1582" s="285" t="s">
        <v>16131</v>
      </c>
      <c r="I1582" s="297"/>
      <c r="J1582" s="285" t="s">
        <v>5012</v>
      </c>
      <c r="K1582" s="285" t="s">
        <v>16132</v>
      </c>
      <c r="L1582" s="285" t="s">
        <v>16066</v>
      </c>
      <c r="M1582" s="285" t="s">
        <v>9383</v>
      </c>
      <c r="N1582" s="287" t="str">
        <f>IFERROR(
    IF(
        AND(
            VLOOKUP(B1582, 'รายชื่อพนักงานลาออกพ้นสภาพ'!B:I, 8, FALSE)&lt;&gt;"ยกเลิกลาออก",
            VLOOKUP(B1582, 'รายชื่อพนักงานลาออกพ้นสภาพ'!B:I, 7, FALSE)&lt;=TODAY()
        ),
        "ลาออกแล้ว",
        ""
    ),
"")</f>
        <v/>
      </c>
      <c r="O1582" s="292" t="str">
        <f t="array" ref="O1582">IFERROR(INDEX(PCRent!C:D, MATCH(F1582 &amp; " " &amp; G1582, PCRent!A:A &amp; " " &amp; PCRent!B:B, 0)), "")</f>
        <v/>
      </c>
      <c r="P1582" s="293"/>
      <c r="Q1582" s="294" t="str">
        <f t="array" ref="Q1582">IFERROR(INDEX(MonitorRent!C:D, MATCH(F1582 &amp; " " &amp; G1582, MonitorRent!A:A &amp; " " &amp; MonitorRent!B:B, 0)), "")</f>
        <v/>
      </c>
      <c r="R1582" s="295"/>
    </row>
    <row r="1583">
      <c r="A1583" s="284">
        <v>1580.0</v>
      </c>
      <c r="B1583" s="285" t="s">
        <v>16133</v>
      </c>
      <c r="C1583" s="285" t="s">
        <v>16048</v>
      </c>
      <c r="D1583" s="286" t="s">
        <v>13112</v>
      </c>
      <c r="E1583" s="285" t="s">
        <v>6933</v>
      </c>
      <c r="F1583" s="285" t="s">
        <v>16134</v>
      </c>
      <c r="G1583" s="285" t="s">
        <v>16135</v>
      </c>
      <c r="H1583" s="285" t="s">
        <v>16136</v>
      </c>
      <c r="I1583" s="297"/>
      <c r="J1583" s="285" t="s">
        <v>5012</v>
      </c>
      <c r="K1583" s="285" t="s">
        <v>16137</v>
      </c>
      <c r="L1583" s="285" t="s">
        <v>16052</v>
      </c>
      <c r="M1583" s="285" t="s">
        <v>9383</v>
      </c>
      <c r="N1583" s="287" t="str">
        <f>IFERROR(
    IF(
        AND(
            VLOOKUP(B1583, 'รายชื่อพนักงานลาออกพ้นสภาพ'!B:I, 8, FALSE)&lt;&gt;"ยกเลิกลาออก",
            VLOOKUP(B1583, 'รายชื่อพนักงานลาออกพ้นสภาพ'!B:I, 7, FALSE)&lt;=TODAY()
        ),
        "ลาออกแล้ว",
        ""
    ),
"")</f>
        <v/>
      </c>
      <c r="O1583" s="292" t="str">
        <f t="array" ref="O1583">IFERROR(INDEX(PCRent!C:D, MATCH(F1583 &amp; " " &amp; G1583, PCRent!A:A &amp; " " &amp; PCRent!B:B, 0)), "")</f>
        <v/>
      </c>
      <c r="P1583" s="293"/>
      <c r="Q1583" s="294" t="str">
        <f t="array" ref="Q1583">IFERROR(INDEX(MonitorRent!C:D, MATCH(F1583 &amp; " " &amp; G1583, MonitorRent!A:A &amp; " " &amp; MonitorRent!B:B, 0)), "")</f>
        <v/>
      </c>
      <c r="R1583" s="295"/>
    </row>
    <row r="1584">
      <c r="A1584" s="284">
        <v>1581.0</v>
      </c>
      <c r="B1584" s="285" t="s">
        <v>16138</v>
      </c>
      <c r="C1584" s="285" t="s">
        <v>16048</v>
      </c>
      <c r="D1584" s="286" t="s">
        <v>16139</v>
      </c>
      <c r="E1584" s="285" t="s">
        <v>6921</v>
      </c>
      <c r="F1584" s="285" t="s">
        <v>16140</v>
      </c>
      <c r="G1584" s="285" t="s">
        <v>16141</v>
      </c>
      <c r="H1584" s="285" t="s">
        <v>14063</v>
      </c>
      <c r="I1584" s="297"/>
      <c r="J1584" s="285" t="s">
        <v>5012</v>
      </c>
      <c r="K1584" s="285" t="s">
        <v>16142</v>
      </c>
      <c r="L1584" s="285" t="s">
        <v>16066</v>
      </c>
      <c r="M1584" s="285" t="s">
        <v>9383</v>
      </c>
      <c r="N1584" s="287" t="str">
        <f>IFERROR(
    IF(
        AND(
            VLOOKUP(B1584, 'รายชื่อพนักงานลาออกพ้นสภาพ'!B:I, 8, FALSE)&lt;&gt;"ยกเลิกลาออก",
            VLOOKUP(B1584, 'รายชื่อพนักงานลาออกพ้นสภาพ'!B:I, 7, FALSE)&lt;=TODAY()
        ),
        "ลาออกแล้ว",
        ""
    ),
"")</f>
        <v/>
      </c>
      <c r="O1584" s="292" t="str">
        <f t="array" ref="O1584">IFERROR(INDEX(PCRent!C:D, MATCH(F1584 &amp; " " &amp; G1584, PCRent!A:A &amp; " " &amp; PCRent!B:B, 0)), "")</f>
        <v/>
      </c>
      <c r="P1584" s="293"/>
      <c r="Q1584" s="294" t="str">
        <f t="array" ref="Q1584">IFERROR(INDEX(MonitorRent!C:D, MATCH(F1584 &amp; " " &amp; G1584, MonitorRent!A:A &amp; " " &amp; MonitorRent!B:B, 0)), "")</f>
        <v/>
      </c>
      <c r="R1584" s="295"/>
    </row>
    <row r="1585">
      <c r="A1585" s="284">
        <v>1582.0</v>
      </c>
      <c r="B1585" s="285" t="s">
        <v>16143</v>
      </c>
      <c r="C1585" s="285" t="s">
        <v>16048</v>
      </c>
      <c r="D1585" s="286" t="s">
        <v>10613</v>
      </c>
      <c r="E1585" s="285" t="s">
        <v>7239</v>
      </c>
      <c r="F1585" s="285" t="s">
        <v>16144</v>
      </c>
      <c r="G1585" s="285" t="s">
        <v>10223</v>
      </c>
      <c r="H1585" s="285" t="s">
        <v>7239</v>
      </c>
      <c r="I1585" s="297"/>
      <c r="J1585" s="285" t="s">
        <v>5012</v>
      </c>
      <c r="K1585" s="285" t="s">
        <v>16145</v>
      </c>
      <c r="L1585" s="285" t="s">
        <v>16066</v>
      </c>
      <c r="M1585" s="285" t="s">
        <v>9383</v>
      </c>
      <c r="N1585" s="287" t="str">
        <f>IFERROR(
    IF(
        AND(
            VLOOKUP(B1585, 'รายชื่อพนักงานลาออกพ้นสภาพ'!B:I, 8, FALSE)&lt;&gt;"ยกเลิกลาออก",
            VLOOKUP(B1585, 'รายชื่อพนักงานลาออกพ้นสภาพ'!B:I, 7, FALSE)&lt;=TODAY()
        ),
        "ลาออกแล้ว",
        ""
    ),
"")</f>
        <v/>
      </c>
      <c r="O1585" s="292" t="str">
        <f t="array" ref="O1585">IFERROR(INDEX(PCRent!C:D, MATCH(F1585 &amp; " " &amp; G1585, PCRent!A:A &amp; " " &amp; PCRent!B:B, 0)), "")</f>
        <v/>
      </c>
      <c r="P1585" s="293"/>
      <c r="Q1585" s="294" t="str">
        <f t="array" ref="Q1585">IFERROR(INDEX(MonitorRent!C:D, MATCH(F1585 &amp; " " &amp; G1585, MonitorRent!A:A &amp; " " &amp; MonitorRent!B:B, 0)), "")</f>
        <v/>
      </c>
      <c r="R1585" s="295"/>
    </row>
    <row r="1586">
      <c r="A1586" s="284">
        <v>1583.0</v>
      </c>
      <c r="B1586" s="285" t="s">
        <v>16146</v>
      </c>
      <c r="C1586" s="285" t="s">
        <v>16048</v>
      </c>
      <c r="D1586" s="286" t="s">
        <v>11001</v>
      </c>
      <c r="E1586" s="285" t="s">
        <v>6933</v>
      </c>
      <c r="F1586" s="285" t="s">
        <v>16147</v>
      </c>
      <c r="G1586" s="285" t="s">
        <v>16148</v>
      </c>
      <c r="H1586" s="285" t="s">
        <v>10453</v>
      </c>
      <c r="I1586" s="297"/>
      <c r="J1586" s="285" t="s">
        <v>5012</v>
      </c>
      <c r="K1586" s="285" t="s">
        <v>16149</v>
      </c>
      <c r="L1586" s="285" t="s">
        <v>54</v>
      </c>
      <c r="M1586" s="285" t="s">
        <v>9383</v>
      </c>
      <c r="N1586" s="287" t="str">
        <f>IFERROR(
    IF(
        AND(
            VLOOKUP(B1586, 'รายชื่อพนักงานลาออกพ้นสภาพ'!B:I, 8, FALSE)&lt;&gt;"ยกเลิกลาออก",
            VLOOKUP(B1586, 'รายชื่อพนักงานลาออกพ้นสภาพ'!B:I, 7, FALSE)&lt;=TODAY()
        ),
        "ลาออกแล้ว",
        ""
    ),
"")</f>
        <v/>
      </c>
      <c r="O1586" s="292" t="str">
        <f t="array" ref="O1586">IFERROR(INDEX(PCRent!C:D, MATCH(F1586 &amp; " " &amp; G1586, PCRent!A:A &amp; " " &amp; PCRent!B:B, 0)), "")</f>
        <v/>
      </c>
      <c r="P1586" s="293"/>
      <c r="Q1586" s="294" t="str">
        <f t="array" ref="Q1586">IFERROR(INDEX(MonitorRent!C:D, MATCH(F1586 &amp; " " &amp; G1586, MonitorRent!A:A &amp; " " &amp; MonitorRent!B:B, 0)), "")</f>
        <v/>
      </c>
      <c r="R1586" s="295"/>
    </row>
    <row r="1587">
      <c r="A1587" s="284">
        <v>1584.0</v>
      </c>
      <c r="B1587" s="285" t="s">
        <v>16150</v>
      </c>
      <c r="C1587" s="285" t="s">
        <v>16048</v>
      </c>
      <c r="D1587" s="286" t="s">
        <v>9469</v>
      </c>
      <c r="E1587" s="285" t="s">
        <v>7239</v>
      </c>
      <c r="F1587" s="285" t="s">
        <v>16151</v>
      </c>
      <c r="G1587" s="285" t="s">
        <v>16152</v>
      </c>
      <c r="H1587" s="285" t="s">
        <v>9849</v>
      </c>
      <c r="I1587" s="297"/>
      <c r="J1587" s="285" t="s">
        <v>5012</v>
      </c>
      <c r="K1587" s="285" t="s">
        <v>16103</v>
      </c>
      <c r="L1587" s="285" t="s">
        <v>16066</v>
      </c>
      <c r="M1587" s="285" t="s">
        <v>9383</v>
      </c>
      <c r="N1587" s="287" t="str">
        <f>IFERROR(
    IF(
        AND(
            VLOOKUP(B1587, 'รายชื่อพนักงานลาออกพ้นสภาพ'!B:I, 8, FALSE)&lt;&gt;"ยกเลิกลาออก",
            VLOOKUP(B1587, 'รายชื่อพนักงานลาออกพ้นสภาพ'!B:I, 7, FALSE)&lt;=TODAY()
        ),
        "ลาออกแล้ว",
        ""
    ),
"")</f>
        <v/>
      </c>
      <c r="O1587" s="292" t="str">
        <f t="array" ref="O1587">IFERROR(INDEX(PCRent!C:D, MATCH(F1587 &amp; " " &amp; G1587, PCRent!A:A &amp; " " &amp; PCRent!B:B, 0)), "")</f>
        <v/>
      </c>
      <c r="P1587" s="293"/>
      <c r="Q1587" s="294" t="str">
        <f t="array" ref="Q1587">IFERROR(INDEX(MonitorRent!C:D, MATCH(F1587 &amp; " " &amp; G1587, MonitorRent!A:A &amp; " " &amp; MonitorRent!B:B, 0)), "")</f>
        <v/>
      </c>
      <c r="R1587" s="295"/>
    </row>
    <row r="1588">
      <c r="A1588" s="284">
        <v>1585.0</v>
      </c>
      <c r="B1588" s="285" t="s">
        <v>16153</v>
      </c>
      <c r="C1588" s="285" t="s">
        <v>16048</v>
      </c>
      <c r="D1588" s="286" t="s">
        <v>16154</v>
      </c>
      <c r="E1588" s="285" t="s">
        <v>7239</v>
      </c>
      <c r="F1588" s="285" t="s">
        <v>16151</v>
      </c>
      <c r="G1588" s="285" t="s">
        <v>16155</v>
      </c>
      <c r="H1588" s="285" t="s">
        <v>16156</v>
      </c>
      <c r="I1588" s="297"/>
      <c r="J1588" s="285" t="s">
        <v>5012</v>
      </c>
      <c r="K1588" s="285" t="s">
        <v>16103</v>
      </c>
      <c r="L1588" s="285" t="s">
        <v>16066</v>
      </c>
      <c r="M1588" s="285" t="s">
        <v>9383</v>
      </c>
      <c r="N1588" s="287" t="str">
        <f>IFERROR(
    IF(
        AND(
            VLOOKUP(B1588, 'รายชื่อพนักงานลาออกพ้นสภาพ'!B:I, 8, FALSE)&lt;&gt;"ยกเลิกลาออก",
            VLOOKUP(B1588, 'รายชื่อพนักงานลาออกพ้นสภาพ'!B:I, 7, FALSE)&lt;=TODAY()
        ),
        "ลาออกแล้ว",
        ""
    ),
"")</f>
        <v/>
      </c>
      <c r="O1588" s="292" t="str">
        <f t="array" ref="O1588">IFERROR(INDEX(PCRent!C:D, MATCH(F1588 &amp; " " &amp; G1588, PCRent!A:A &amp; " " &amp; PCRent!B:B, 0)), "")</f>
        <v/>
      </c>
      <c r="P1588" s="293"/>
      <c r="Q1588" s="294" t="str">
        <f t="array" ref="Q1588">IFERROR(INDEX(MonitorRent!C:D, MATCH(F1588 &amp; " " &amp; G1588, MonitorRent!A:A &amp; " " &amp; MonitorRent!B:B, 0)), "")</f>
        <v/>
      </c>
      <c r="R1588" s="295"/>
    </row>
    <row r="1589">
      <c r="A1589" s="284">
        <v>1586.0</v>
      </c>
      <c r="B1589" s="285" t="s">
        <v>16157</v>
      </c>
      <c r="C1589" s="285" t="s">
        <v>16048</v>
      </c>
      <c r="D1589" s="286" t="s">
        <v>11001</v>
      </c>
      <c r="E1589" s="285" t="s">
        <v>6921</v>
      </c>
      <c r="F1589" s="285" t="s">
        <v>16158</v>
      </c>
      <c r="G1589" s="285" t="s">
        <v>16159</v>
      </c>
      <c r="H1589" s="285" t="s">
        <v>10592</v>
      </c>
      <c r="I1589" s="297"/>
      <c r="J1589" s="285" t="s">
        <v>5012</v>
      </c>
      <c r="K1589" s="285" t="s">
        <v>16065</v>
      </c>
      <c r="L1589" s="285" t="s">
        <v>16066</v>
      </c>
      <c r="M1589" s="285" t="s">
        <v>9383</v>
      </c>
      <c r="N1589" s="287" t="str">
        <f>IFERROR(
    IF(
        AND(
            VLOOKUP(B1589, 'รายชื่อพนักงานลาออกพ้นสภาพ'!B:I, 8, FALSE)&lt;&gt;"ยกเลิกลาออก",
            VLOOKUP(B1589, 'รายชื่อพนักงานลาออกพ้นสภาพ'!B:I, 7, FALSE)&lt;=TODAY()
        ),
        "ลาออกแล้ว",
        ""
    ),
"")</f>
        <v/>
      </c>
      <c r="O1589" s="292" t="str">
        <f t="array" ref="O1589">IFERROR(INDEX(PCRent!C:D, MATCH(F1589 &amp; " " &amp; G1589, PCRent!A:A &amp; " " &amp; PCRent!B:B, 0)), "")</f>
        <v/>
      </c>
      <c r="P1589" s="293"/>
      <c r="Q1589" s="294" t="str">
        <f t="array" ref="Q1589">IFERROR(INDEX(MonitorRent!C:D, MATCH(F1589 &amp; " " &amp; G1589, MonitorRent!A:A &amp; " " &amp; MonitorRent!B:B, 0)), "")</f>
        <v/>
      </c>
      <c r="R1589" s="295"/>
    </row>
    <row r="1590">
      <c r="A1590" s="284">
        <v>1587.0</v>
      </c>
      <c r="B1590" s="285" t="s">
        <v>16160</v>
      </c>
      <c r="C1590" s="285" t="s">
        <v>16048</v>
      </c>
      <c r="D1590" s="286" t="s">
        <v>10621</v>
      </c>
      <c r="E1590" s="285" t="s">
        <v>6921</v>
      </c>
      <c r="F1590" s="285" t="s">
        <v>16161</v>
      </c>
      <c r="G1590" s="285" t="s">
        <v>16162</v>
      </c>
      <c r="H1590" s="285" t="s">
        <v>16163</v>
      </c>
      <c r="I1590" s="297"/>
      <c r="J1590" s="285" t="s">
        <v>5012</v>
      </c>
      <c r="K1590" s="285" t="s">
        <v>16164</v>
      </c>
      <c r="L1590" s="285" t="s">
        <v>16057</v>
      </c>
      <c r="M1590" s="285" t="s">
        <v>9383</v>
      </c>
      <c r="N1590" s="287" t="str">
        <f>IFERROR(
    IF(
        AND(
            VLOOKUP(B1590, 'รายชื่อพนักงานลาออกพ้นสภาพ'!B:I, 8, FALSE)&lt;&gt;"ยกเลิกลาออก",
            VLOOKUP(B1590, 'รายชื่อพนักงานลาออกพ้นสภาพ'!B:I, 7, FALSE)&lt;=TODAY()
        ),
        "ลาออกแล้ว",
        ""
    ),
"")</f>
        <v/>
      </c>
      <c r="O1590" s="292" t="str">
        <f t="array" ref="O1590">IFERROR(INDEX(PCRent!C:D, MATCH(F1590 &amp; " " &amp; G1590, PCRent!A:A &amp; " " &amp; PCRent!B:B, 0)), "")</f>
        <v/>
      </c>
      <c r="P1590" s="293"/>
      <c r="Q1590" s="294" t="str">
        <f t="array" ref="Q1590">IFERROR(INDEX(MonitorRent!C:D, MATCH(F1590 &amp; " " &amp; G1590, MonitorRent!A:A &amp; " " &amp; MonitorRent!B:B, 0)), "")</f>
        <v/>
      </c>
      <c r="R1590" s="295"/>
    </row>
    <row r="1591">
      <c r="A1591" s="284">
        <v>1588.0</v>
      </c>
      <c r="B1591" s="285" t="s">
        <v>16165</v>
      </c>
      <c r="C1591" s="285" t="s">
        <v>16048</v>
      </c>
      <c r="D1591" s="286" t="s">
        <v>16166</v>
      </c>
      <c r="E1591" s="285" t="s">
        <v>6933</v>
      </c>
      <c r="F1591" s="285" t="s">
        <v>16167</v>
      </c>
      <c r="G1591" s="285" t="s">
        <v>16168</v>
      </c>
      <c r="H1591" s="285" t="s">
        <v>16169</v>
      </c>
      <c r="I1591" s="297"/>
      <c r="J1591" s="285" t="s">
        <v>5012</v>
      </c>
      <c r="K1591" s="285" t="s">
        <v>16170</v>
      </c>
      <c r="L1591" s="285" t="s">
        <v>54</v>
      </c>
      <c r="M1591" s="285" t="s">
        <v>9383</v>
      </c>
      <c r="N1591" s="287" t="str">
        <f>IFERROR(
    IF(
        AND(
            VLOOKUP(B1591, 'รายชื่อพนักงานลาออกพ้นสภาพ'!B:I, 8, FALSE)&lt;&gt;"ยกเลิกลาออก",
            VLOOKUP(B1591, 'รายชื่อพนักงานลาออกพ้นสภาพ'!B:I, 7, FALSE)&lt;=TODAY()
        ),
        "ลาออกแล้ว",
        ""
    ),
"")</f>
        <v/>
      </c>
      <c r="O1591" s="292" t="str">
        <f t="array" ref="O1591">IFERROR(INDEX(PCRent!C:D, MATCH(F1591 &amp; " " &amp; G1591, PCRent!A:A &amp; " " &amp; PCRent!B:B, 0)), "")</f>
        <v/>
      </c>
      <c r="P1591" s="293"/>
      <c r="Q1591" s="294" t="str">
        <f t="array" ref="Q1591">IFERROR(INDEX(MonitorRent!C:D, MATCH(F1591 &amp; " " &amp; G1591, MonitorRent!A:A &amp; " " &amp; MonitorRent!B:B, 0)), "")</f>
        <v/>
      </c>
      <c r="R1591" s="295"/>
    </row>
    <row r="1592">
      <c r="A1592" s="284">
        <v>1589.0</v>
      </c>
      <c r="B1592" s="285" t="s">
        <v>16171</v>
      </c>
      <c r="C1592" s="285" t="s">
        <v>16048</v>
      </c>
      <c r="D1592" s="286" t="s">
        <v>12285</v>
      </c>
      <c r="E1592" s="285" t="s">
        <v>6933</v>
      </c>
      <c r="F1592" s="285" t="s">
        <v>13637</v>
      </c>
      <c r="G1592" s="285" t="s">
        <v>16172</v>
      </c>
      <c r="H1592" s="285" t="s">
        <v>10323</v>
      </c>
      <c r="I1592" s="297"/>
      <c r="J1592" s="285" t="s">
        <v>5012</v>
      </c>
      <c r="K1592" s="285" t="s">
        <v>10989</v>
      </c>
      <c r="L1592" s="285" t="s">
        <v>16066</v>
      </c>
      <c r="M1592" s="285" t="s">
        <v>9383</v>
      </c>
      <c r="N1592" s="287" t="str">
        <f>IFERROR(
    IF(
        AND(
            VLOOKUP(B1592, 'รายชื่อพนักงานลาออกพ้นสภาพ'!B:I, 8, FALSE)&lt;&gt;"ยกเลิกลาออก",
            VLOOKUP(B1592, 'รายชื่อพนักงานลาออกพ้นสภาพ'!B:I, 7, FALSE)&lt;=TODAY()
        ),
        "ลาออกแล้ว",
        ""
    ),
"")</f>
        <v/>
      </c>
      <c r="O1592" s="292" t="str">
        <f t="array" ref="O1592">IFERROR(INDEX(PCRent!C:D, MATCH(F1592 &amp; " " &amp; G1592, PCRent!A:A &amp; " " &amp; PCRent!B:B, 0)), "")</f>
        <v/>
      </c>
      <c r="P1592" s="293"/>
      <c r="Q1592" s="294" t="str">
        <f t="array" ref="Q1592">IFERROR(INDEX(MonitorRent!C:D, MATCH(F1592 &amp; " " &amp; G1592, MonitorRent!A:A &amp; " " &amp; MonitorRent!B:B, 0)), "")</f>
        <v/>
      </c>
      <c r="R1592" s="295"/>
    </row>
    <row r="1593">
      <c r="A1593" s="284">
        <v>1590.0</v>
      </c>
      <c r="B1593" s="285" t="s">
        <v>16173</v>
      </c>
      <c r="C1593" s="285" t="s">
        <v>16048</v>
      </c>
      <c r="D1593" s="286" t="s">
        <v>16174</v>
      </c>
      <c r="E1593" s="285" t="s">
        <v>6921</v>
      </c>
      <c r="F1593" s="285" t="s">
        <v>9564</v>
      </c>
      <c r="G1593" s="285" t="s">
        <v>9498</v>
      </c>
      <c r="H1593" s="285" t="s">
        <v>16175</v>
      </c>
      <c r="I1593" s="285" t="s">
        <v>16176</v>
      </c>
      <c r="J1593" s="285" t="s">
        <v>5012</v>
      </c>
      <c r="K1593" s="285" t="s">
        <v>4805</v>
      </c>
      <c r="L1593" s="285" t="s">
        <v>16048</v>
      </c>
      <c r="M1593" s="285" t="s">
        <v>9383</v>
      </c>
      <c r="N1593" s="287" t="str">
        <f>IFERROR(
    IF(
        AND(
            VLOOKUP(B1593, 'รายชื่อพนักงานลาออกพ้นสภาพ'!B:I, 8, FALSE)&lt;&gt;"ยกเลิกลาออก",
            VLOOKUP(B1593, 'รายชื่อพนักงานลาออกพ้นสภาพ'!B:I, 7, FALSE)&lt;=TODAY()
        ),
        "ลาออกแล้ว",
        ""
    ),
"")</f>
        <v/>
      </c>
      <c r="O1593" s="292" t="str">
        <f t="array" ref="O1593">IFERROR(INDEX(PCRent!C:D, MATCH(F1593 &amp; " " &amp; G1593, PCRent!A:A &amp; " " &amp; PCRent!B:B, 0)), "")</f>
        <v/>
      </c>
      <c r="P1593" s="293"/>
      <c r="Q1593" s="294" t="str">
        <f t="array" ref="Q1593">IFERROR(INDEX(MonitorRent!C:D, MATCH(F1593 &amp; " " &amp; G1593, MonitorRent!A:A &amp; " " &amp; MonitorRent!B:B, 0)), "")</f>
        <v/>
      </c>
      <c r="R1593" s="295"/>
    </row>
    <row r="1594">
      <c r="A1594" s="284">
        <v>1591.0</v>
      </c>
      <c r="B1594" s="285" t="s">
        <v>16177</v>
      </c>
      <c r="C1594" s="285" t="s">
        <v>16048</v>
      </c>
      <c r="D1594" s="286" t="s">
        <v>12243</v>
      </c>
      <c r="E1594" s="285" t="s">
        <v>6933</v>
      </c>
      <c r="F1594" s="285" t="s">
        <v>13765</v>
      </c>
      <c r="G1594" s="285" t="s">
        <v>16178</v>
      </c>
      <c r="H1594" s="285" t="s">
        <v>13765</v>
      </c>
      <c r="I1594" s="296"/>
      <c r="J1594" s="285" t="s">
        <v>5012</v>
      </c>
      <c r="K1594" s="285" t="s">
        <v>16076</v>
      </c>
      <c r="L1594" s="285" t="s">
        <v>16052</v>
      </c>
      <c r="M1594" s="285" t="s">
        <v>9383</v>
      </c>
      <c r="N1594" s="287" t="str">
        <f>IFERROR(
    IF(
        AND(
            VLOOKUP(B1594, 'รายชื่อพนักงานลาออกพ้นสภาพ'!B:I, 8, FALSE)&lt;&gt;"ยกเลิกลาออก",
            VLOOKUP(B1594, 'รายชื่อพนักงานลาออกพ้นสภาพ'!B:I, 7, FALSE)&lt;=TODAY()
        ),
        "ลาออกแล้ว",
        ""
    ),
"")</f>
        <v/>
      </c>
      <c r="O1594" s="292" t="str">
        <f t="array" ref="O1594">IFERROR(INDEX(PCRent!C:D, MATCH(F1594 &amp; " " &amp; G1594, PCRent!A:A &amp; " " &amp; PCRent!B:B, 0)), "")</f>
        <v/>
      </c>
      <c r="P1594" s="293"/>
      <c r="Q1594" s="294" t="str">
        <f t="array" ref="Q1594">IFERROR(INDEX(MonitorRent!C:D, MATCH(F1594 &amp; " " &amp; G1594, MonitorRent!A:A &amp; " " &amp; MonitorRent!B:B, 0)), "")</f>
        <v/>
      </c>
      <c r="R1594" s="295"/>
    </row>
    <row r="1595">
      <c r="A1595" s="284">
        <v>1592.0</v>
      </c>
      <c r="B1595" s="285" t="s">
        <v>16179</v>
      </c>
      <c r="C1595" s="285" t="s">
        <v>16048</v>
      </c>
      <c r="D1595" s="286" t="s">
        <v>16180</v>
      </c>
      <c r="E1595" s="285" t="s">
        <v>6933</v>
      </c>
      <c r="F1595" s="285" t="s">
        <v>16181</v>
      </c>
      <c r="G1595" s="285" t="s">
        <v>16182</v>
      </c>
      <c r="H1595" s="285" t="s">
        <v>14024</v>
      </c>
      <c r="I1595" s="285" t="s">
        <v>16183</v>
      </c>
      <c r="J1595" s="285" t="s">
        <v>5012</v>
      </c>
      <c r="K1595" s="285" t="s">
        <v>16184</v>
      </c>
      <c r="L1595" s="285" t="s">
        <v>16185</v>
      </c>
      <c r="M1595" s="285" t="s">
        <v>9383</v>
      </c>
      <c r="N1595" s="287" t="str">
        <f>IFERROR(
    IF(
        AND(
            VLOOKUP(B1595, 'รายชื่อพนักงานลาออกพ้นสภาพ'!B:I, 8, FALSE)&lt;&gt;"ยกเลิกลาออก",
            VLOOKUP(B1595, 'รายชื่อพนักงานลาออกพ้นสภาพ'!B:I, 7, FALSE)&lt;=TODAY()
        ),
        "ลาออกแล้ว",
        ""
    ),
"")</f>
        <v/>
      </c>
      <c r="O1595" s="292" t="str">
        <f t="array" ref="O1595">IFERROR(INDEX(PCRent!C:D, MATCH(F1595 &amp; " " &amp; G1595, PCRent!A:A &amp; " " &amp; PCRent!B:B, 0)), "")</f>
        <v/>
      </c>
      <c r="P1595" s="293"/>
      <c r="Q1595" s="294" t="str">
        <f t="array" ref="Q1595">IFERROR(INDEX(MonitorRent!C:D, MATCH(F1595 &amp; " " &amp; G1595, MonitorRent!A:A &amp; " " &amp; MonitorRent!B:B, 0)), "")</f>
        <v/>
      </c>
      <c r="R1595" s="295"/>
    </row>
    <row r="1596">
      <c r="A1596" s="284">
        <v>1593.0</v>
      </c>
      <c r="B1596" s="285" t="s">
        <v>16186</v>
      </c>
      <c r="C1596" s="285" t="s">
        <v>16048</v>
      </c>
      <c r="D1596" s="286" t="s">
        <v>16187</v>
      </c>
      <c r="E1596" s="285" t="s">
        <v>6921</v>
      </c>
      <c r="F1596" s="285" t="s">
        <v>10873</v>
      </c>
      <c r="G1596" s="285" t="s">
        <v>16188</v>
      </c>
      <c r="H1596" s="285" t="s">
        <v>16189</v>
      </c>
      <c r="I1596" s="296"/>
      <c r="J1596" s="285" t="s">
        <v>5012</v>
      </c>
      <c r="K1596" s="285" t="s">
        <v>16190</v>
      </c>
      <c r="L1596" s="285" t="s">
        <v>16066</v>
      </c>
      <c r="M1596" s="285" t="s">
        <v>9383</v>
      </c>
      <c r="N1596" s="287" t="str">
        <f>IFERROR(
    IF(
        AND(
            VLOOKUP(B1596, 'รายชื่อพนักงานลาออกพ้นสภาพ'!B:I, 8, FALSE)&lt;&gt;"ยกเลิกลาออก",
            VLOOKUP(B1596, 'รายชื่อพนักงานลาออกพ้นสภาพ'!B:I, 7, FALSE)&lt;=TODAY()
        ),
        "ลาออกแล้ว",
        ""
    ),
"")</f>
        <v/>
      </c>
      <c r="O1596" s="292" t="str">
        <f t="array" ref="O1596">IFERROR(INDEX(PCRent!C:D, MATCH(F1596 &amp; " " &amp; G1596, PCRent!A:A &amp; " " &amp; PCRent!B:B, 0)), "")</f>
        <v/>
      </c>
      <c r="P1596" s="293"/>
      <c r="Q1596" s="294" t="str">
        <f t="array" ref="Q1596">IFERROR(INDEX(MonitorRent!C:D, MATCH(F1596 &amp; " " &amp; G1596, MonitorRent!A:A &amp; " " &amp; MonitorRent!B:B, 0)), "")</f>
        <v/>
      </c>
      <c r="R1596" s="295"/>
    </row>
    <row r="1597">
      <c r="A1597" s="284">
        <v>1594.0</v>
      </c>
      <c r="B1597" s="285" t="s">
        <v>16191</v>
      </c>
      <c r="C1597" s="285" t="s">
        <v>16048</v>
      </c>
      <c r="D1597" s="286" t="s">
        <v>13962</v>
      </c>
      <c r="E1597" s="285" t="s">
        <v>6933</v>
      </c>
      <c r="F1597" s="285" t="s">
        <v>13901</v>
      </c>
      <c r="G1597" s="285" t="s">
        <v>16192</v>
      </c>
      <c r="H1597" s="285" t="s">
        <v>11467</v>
      </c>
      <c r="I1597" s="297"/>
      <c r="J1597" s="285" t="s">
        <v>5012</v>
      </c>
      <c r="K1597" s="285" t="s">
        <v>16114</v>
      </c>
      <c r="L1597" s="285" t="s">
        <v>16115</v>
      </c>
      <c r="M1597" s="285" t="s">
        <v>9383</v>
      </c>
      <c r="N1597" s="287" t="str">
        <f>IFERROR(
    IF(
        AND(
            VLOOKUP(B1597, 'รายชื่อพนักงานลาออกพ้นสภาพ'!B:I, 8, FALSE)&lt;&gt;"ยกเลิกลาออก",
            VLOOKUP(B1597, 'รายชื่อพนักงานลาออกพ้นสภาพ'!B:I, 7, FALSE)&lt;=TODAY()
        ),
        "ลาออกแล้ว",
        ""
    ),
"")</f>
        <v/>
      </c>
      <c r="O1597" s="292" t="str">
        <f t="array" ref="O1597">IFERROR(INDEX(PCRent!C:D, MATCH(F1597 &amp; " " &amp; G1597, PCRent!A:A &amp; " " &amp; PCRent!B:B, 0)), "")</f>
        <v/>
      </c>
      <c r="P1597" s="293"/>
      <c r="Q1597" s="294" t="str">
        <f t="array" ref="Q1597">IFERROR(INDEX(MonitorRent!C:D, MATCH(F1597 &amp; " " &amp; G1597, MonitorRent!A:A &amp; " " &amp; MonitorRent!B:B, 0)), "")</f>
        <v/>
      </c>
      <c r="R1597" s="295"/>
    </row>
    <row r="1598">
      <c r="A1598" s="284">
        <v>1595.0</v>
      </c>
      <c r="B1598" s="285" t="s">
        <v>16193</v>
      </c>
      <c r="C1598" s="285" t="s">
        <v>16048</v>
      </c>
      <c r="D1598" s="286" t="s">
        <v>9723</v>
      </c>
      <c r="E1598" s="285" t="s">
        <v>6933</v>
      </c>
      <c r="F1598" s="285" t="s">
        <v>16194</v>
      </c>
      <c r="G1598" s="285" t="s">
        <v>16195</v>
      </c>
      <c r="H1598" s="285" t="s">
        <v>16196</v>
      </c>
      <c r="I1598" s="285" t="s">
        <v>16197</v>
      </c>
      <c r="J1598" s="285" t="s">
        <v>5012</v>
      </c>
      <c r="K1598" s="285" t="s">
        <v>16198</v>
      </c>
      <c r="L1598" s="285" t="s">
        <v>16066</v>
      </c>
      <c r="M1598" s="285" t="s">
        <v>9383</v>
      </c>
      <c r="N1598" s="287" t="str">
        <f>IFERROR(
    IF(
        AND(
            VLOOKUP(B1598, 'รายชื่อพนักงานลาออกพ้นสภาพ'!B:I, 8, FALSE)&lt;&gt;"ยกเลิกลาออก",
            VLOOKUP(B1598, 'รายชื่อพนักงานลาออกพ้นสภาพ'!B:I, 7, FALSE)&lt;=TODAY()
        ),
        "ลาออกแล้ว",
        ""
    ),
"")</f>
        <v/>
      </c>
      <c r="O1598" s="292" t="str">
        <f t="array" ref="O1598">IFERROR(INDEX(PCRent!C:D, MATCH(F1598 &amp; " " &amp; G1598, PCRent!A:A &amp; " " &amp; PCRent!B:B, 0)), "")</f>
        <v/>
      </c>
      <c r="P1598" s="293"/>
      <c r="Q1598" s="294" t="str">
        <f t="array" ref="Q1598">IFERROR(INDEX(MonitorRent!C:D, MATCH(F1598 &amp; " " &amp; G1598, MonitorRent!A:A &amp; " " &amp; MonitorRent!B:B, 0)), "")</f>
        <v/>
      </c>
      <c r="R1598" s="295"/>
    </row>
    <row r="1599">
      <c r="A1599" s="284">
        <v>1596.0</v>
      </c>
      <c r="B1599" s="285" t="s">
        <v>16199</v>
      </c>
      <c r="C1599" s="285" t="s">
        <v>16048</v>
      </c>
      <c r="D1599" s="286" t="s">
        <v>16200</v>
      </c>
      <c r="E1599" s="285" t="s">
        <v>6933</v>
      </c>
      <c r="F1599" s="285" t="s">
        <v>16201</v>
      </c>
      <c r="G1599" s="285" t="s">
        <v>16202</v>
      </c>
      <c r="H1599" s="285" t="s">
        <v>16203</v>
      </c>
      <c r="I1599" s="285" t="s">
        <v>16204</v>
      </c>
      <c r="J1599" s="285" t="s">
        <v>5012</v>
      </c>
      <c r="K1599" s="285" t="s">
        <v>9466</v>
      </c>
      <c r="L1599" s="285" t="s">
        <v>16057</v>
      </c>
      <c r="M1599" s="285" t="s">
        <v>9383</v>
      </c>
      <c r="N1599" s="287" t="str">
        <f>IFERROR(
    IF(
        AND(
            VLOOKUP(B1599, 'รายชื่อพนักงานลาออกพ้นสภาพ'!B:I, 8, FALSE)&lt;&gt;"ยกเลิกลาออก",
            VLOOKUP(B1599, 'รายชื่อพนักงานลาออกพ้นสภาพ'!B:I, 7, FALSE)&lt;=TODAY()
        ),
        "ลาออกแล้ว",
        ""
    ),
"")</f>
        <v/>
      </c>
      <c r="O1599" s="292" t="str">
        <f t="array" ref="O1599">IFERROR(INDEX(PCRent!C:D, MATCH(F1599 &amp; " " &amp; G1599, PCRent!A:A &amp; " " &amp; PCRent!B:B, 0)), "")</f>
        <v/>
      </c>
      <c r="P1599" s="293"/>
      <c r="Q1599" s="294" t="str">
        <f t="array" ref="Q1599">IFERROR(INDEX(MonitorRent!C:D, MATCH(F1599 &amp; " " &amp; G1599, MonitorRent!A:A &amp; " " &amp; MonitorRent!B:B, 0)), "")</f>
        <v/>
      </c>
      <c r="R1599" s="295"/>
    </row>
    <row r="1600">
      <c r="A1600" s="284">
        <v>1597.0</v>
      </c>
      <c r="B1600" s="285" t="s">
        <v>16205</v>
      </c>
      <c r="C1600" s="285" t="s">
        <v>16048</v>
      </c>
      <c r="D1600" s="286" t="s">
        <v>16206</v>
      </c>
      <c r="E1600" s="285" t="s">
        <v>6921</v>
      </c>
      <c r="F1600" s="285" t="s">
        <v>16207</v>
      </c>
      <c r="G1600" s="285" t="s">
        <v>16208</v>
      </c>
      <c r="H1600" s="285" t="s">
        <v>10015</v>
      </c>
      <c r="I1600" s="296"/>
      <c r="J1600" s="285" t="s">
        <v>5012</v>
      </c>
      <c r="K1600" s="285" t="s">
        <v>16065</v>
      </c>
      <c r="L1600" s="285" t="s">
        <v>16066</v>
      </c>
      <c r="M1600" s="285" t="s">
        <v>9383</v>
      </c>
      <c r="N1600" s="287" t="str">
        <f>IFERROR(
    IF(
        AND(
            VLOOKUP(B1600, 'รายชื่อพนักงานลาออกพ้นสภาพ'!B:I, 8, FALSE)&lt;&gt;"ยกเลิกลาออก",
            VLOOKUP(B1600, 'รายชื่อพนักงานลาออกพ้นสภาพ'!B:I, 7, FALSE)&lt;=TODAY()
        ),
        "ลาออกแล้ว",
        ""
    ),
"")</f>
        <v/>
      </c>
      <c r="O1600" s="292" t="str">
        <f t="array" ref="O1600">IFERROR(INDEX(PCRent!C:D, MATCH(F1600 &amp; " " &amp; G1600, PCRent!A:A &amp; " " &amp; PCRent!B:B, 0)), "")</f>
        <v/>
      </c>
      <c r="P1600" s="293"/>
      <c r="Q1600" s="294" t="str">
        <f t="array" ref="Q1600">IFERROR(INDEX(MonitorRent!C:D, MATCH(F1600 &amp; " " &amp; G1600, MonitorRent!A:A &amp; " " &amp; MonitorRent!B:B, 0)), "")</f>
        <v/>
      </c>
      <c r="R1600" s="295"/>
    </row>
    <row r="1601">
      <c r="A1601" s="284">
        <v>1598.0</v>
      </c>
      <c r="B1601" s="285" t="s">
        <v>16209</v>
      </c>
      <c r="C1601" s="285" t="s">
        <v>16048</v>
      </c>
      <c r="D1601" s="286" t="s">
        <v>16210</v>
      </c>
      <c r="E1601" s="285" t="s">
        <v>6933</v>
      </c>
      <c r="F1601" s="285" t="s">
        <v>16211</v>
      </c>
      <c r="G1601" s="285" t="s">
        <v>16212</v>
      </c>
      <c r="H1601" s="285" t="s">
        <v>16213</v>
      </c>
      <c r="I1601" s="297"/>
      <c r="J1601" s="285" t="s">
        <v>5012</v>
      </c>
      <c r="K1601" s="285" t="s">
        <v>16214</v>
      </c>
      <c r="L1601" s="285" t="s">
        <v>16052</v>
      </c>
      <c r="M1601" s="285" t="s">
        <v>9383</v>
      </c>
      <c r="N1601" s="287" t="str">
        <f>IFERROR(
    IF(
        AND(
            VLOOKUP(B1601, 'รายชื่อพนักงานลาออกพ้นสภาพ'!B:I, 8, FALSE)&lt;&gt;"ยกเลิกลาออก",
            VLOOKUP(B1601, 'รายชื่อพนักงานลาออกพ้นสภาพ'!B:I, 7, FALSE)&lt;=TODAY()
        ),
        "ลาออกแล้ว",
        ""
    ),
"")</f>
        <v/>
      </c>
      <c r="O1601" s="292" t="str">
        <f t="array" ref="O1601">IFERROR(INDEX(PCRent!C:D, MATCH(F1601 &amp; " " &amp; G1601, PCRent!A:A &amp; " " &amp; PCRent!B:B, 0)), "")</f>
        <v/>
      </c>
      <c r="P1601" s="293"/>
      <c r="Q1601" s="294" t="str">
        <f t="array" ref="Q1601">IFERROR(INDEX(MonitorRent!C:D, MATCH(F1601 &amp; " " &amp; G1601, MonitorRent!A:A &amp; " " &amp; MonitorRent!B:B, 0)), "")</f>
        <v/>
      </c>
      <c r="R1601" s="295"/>
    </row>
    <row r="1602">
      <c r="A1602" s="284">
        <v>1599.0</v>
      </c>
      <c r="B1602" s="285" t="s">
        <v>16215</v>
      </c>
      <c r="C1602" s="285" t="s">
        <v>16048</v>
      </c>
      <c r="D1602" s="286" t="s">
        <v>16128</v>
      </c>
      <c r="E1602" s="285" t="s">
        <v>6921</v>
      </c>
      <c r="F1602" s="285" t="s">
        <v>14169</v>
      </c>
      <c r="G1602" s="285" t="s">
        <v>16216</v>
      </c>
      <c r="H1602" s="285" t="s">
        <v>9566</v>
      </c>
      <c r="I1602" s="297"/>
      <c r="J1602" s="285" t="s">
        <v>5012</v>
      </c>
      <c r="K1602" s="285" t="s">
        <v>16164</v>
      </c>
      <c r="L1602" s="285" t="s">
        <v>16057</v>
      </c>
      <c r="M1602" s="285" t="s">
        <v>9383</v>
      </c>
      <c r="N1602" s="287" t="str">
        <f>IFERROR(
    IF(
        AND(
            VLOOKUP(B1602, 'รายชื่อพนักงานลาออกพ้นสภาพ'!B:I, 8, FALSE)&lt;&gt;"ยกเลิกลาออก",
            VLOOKUP(B1602, 'รายชื่อพนักงานลาออกพ้นสภาพ'!B:I, 7, FALSE)&lt;=TODAY()
        ),
        "ลาออกแล้ว",
        ""
    ),
"")</f>
        <v/>
      </c>
      <c r="O1602" s="292" t="str">
        <f t="array" ref="O1602">IFERROR(INDEX(PCRent!C:D, MATCH(F1602 &amp; " " &amp; G1602, PCRent!A:A &amp; " " &amp; PCRent!B:B, 0)), "")</f>
        <v/>
      </c>
      <c r="P1602" s="293"/>
      <c r="Q1602" s="294" t="str">
        <f t="array" ref="Q1602">IFERROR(INDEX(MonitorRent!C:D, MATCH(F1602 &amp; " " &amp; G1602, MonitorRent!A:A &amp; " " &amp; MonitorRent!B:B, 0)), "")</f>
        <v/>
      </c>
      <c r="R1602" s="295"/>
    </row>
    <row r="1603">
      <c r="A1603" s="284">
        <v>1600.0</v>
      </c>
      <c r="B1603" s="285" t="s">
        <v>16217</v>
      </c>
      <c r="C1603" s="285" t="s">
        <v>16048</v>
      </c>
      <c r="D1603" s="286" t="s">
        <v>16218</v>
      </c>
      <c r="E1603" s="285" t="s">
        <v>6921</v>
      </c>
      <c r="F1603" s="285" t="s">
        <v>14169</v>
      </c>
      <c r="G1603" s="285" t="s">
        <v>16219</v>
      </c>
      <c r="H1603" s="285" t="s">
        <v>16220</v>
      </c>
      <c r="I1603" s="297"/>
      <c r="J1603" s="285" t="s">
        <v>5012</v>
      </c>
      <c r="K1603" s="285" t="s">
        <v>16221</v>
      </c>
      <c r="L1603" s="285" t="s">
        <v>54</v>
      </c>
      <c r="M1603" s="285" t="s">
        <v>9383</v>
      </c>
      <c r="N1603" s="287" t="str">
        <f>IFERROR(
    IF(
        AND(
            VLOOKUP(B1603, 'รายชื่อพนักงานลาออกพ้นสภาพ'!B:I, 8, FALSE)&lt;&gt;"ยกเลิกลาออก",
            VLOOKUP(B1603, 'รายชื่อพนักงานลาออกพ้นสภาพ'!B:I, 7, FALSE)&lt;=TODAY()
        ),
        "ลาออกแล้ว",
        ""
    ),
"")</f>
        <v/>
      </c>
      <c r="O1603" s="292" t="str">
        <f t="array" ref="O1603">IFERROR(INDEX(PCRent!C:D, MATCH(F1603 &amp; " " &amp; G1603, PCRent!A:A &amp; " " &amp; PCRent!B:B, 0)), "")</f>
        <v/>
      </c>
      <c r="P1603" s="293"/>
      <c r="Q1603" s="294" t="str">
        <f t="array" ref="Q1603">IFERROR(INDEX(MonitorRent!C:D, MATCH(F1603 &amp; " " &amp; G1603, MonitorRent!A:A &amp; " " &amp; MonitorRent!B:B, 0)), "")</f>
        <v/>
      </c>
      <c r="R1603" s="295"/>
    </row>
    <row r="1604">
      <c r="A1604" s="284">
        <v>1601.0</v>
      </c>
      <c r="B1604" s="285" t="s">
        <v>16222</v>
      </c>
      <c r="C1604" s="285" t="s">
        <v>16048</v>
      </c>
      <c r="D1604" s="286" t="s">
        <v>16223</v>
      </c>
      <c r="E1604" s="285" t="s">
        <v>6921</v>
      </c>
      <c r="F1604" s="285" t="s">
        <v>16224</v>
      </c>
      <c r="G1604" s="285" t="s">
        <v>16225</v>
      </c>
      <c r="H1604" s="285" t="s">
        <v>16226</v>
      </c>
      <c r="I1604" s="285" t="s">
        <v>16227</v>
      </c>
      <c r="J1604" s="285" t="s">
        <v>5012</v>
      </c>
      <c r="K1604" s="285" t="s">
        <v>16228</v>
      </c>
      <c r="L1604" s="285" t="s">
        <v>54</v>
      </c>
      <c r="M1604" s="285" t="s">
        <v>9383</v>
      </c>
      <c r="N1604" s="287" t="str">
        <f>IFERROR(
    IF(
        AND(
            VLOOKUP(B1604, 'รายชื่อพนักงานลาออกพ้นสภาพ'!B:I, 8, FALSE)&lt;&gt;"ยกเลิกลาออก",
            VLOOKUP(B1604, 'รายชื่อพนักงานลาออกพ้นสภาพ'!B:I, 7, FALSE)&lt;=TODAY()
        ),
        "ลาออกแล้ว",
        ""
    ),
"")</f>
        <v/>
      </c>
      <c r="O1604" s="292" t="str">
        <f t="array" ref="O1604">IFERROR(INDEX(PCRent!C:D, MATCH(F1604 &amp; " " &amp; G1604, PCRent!A:A &amp; " " &amp; PCRent!B:B, 0)), "")</f>
        <v/>
      </c>
      <c r="P1604" s="293"/>
      <c r="Q1604" s="294" t="str">
        <f t="array" ref="Q1604">IFERROR(INDEX(MonitorRent!C:D, MATCH(F1604 &amp; " " &amp; G1604, MonitorRent!A:A &amp; " " &amp; MonitorRent!B:B, 0)), "")</f>
        <v/>
      </c>
      <c r="R1604" s="295"/>
    </row>
    <row r="1605">
      <c r="A1605" s="284">
        <v>1602.0</v>
      </c>
      <c r="B1605" s="285" t="s">
        <v>16229</v>
      </c>
      <c r="C1605" s="285" t="s">
        <v>16048</v>
      </c>
      <c r="D1605" s="286" t="s">
        <v>16128</v>
      </c>
      <c r="E1605" s="285" t="s">
        <v>7239</v>
      </c>
      <c r="F1605" s="285" t="s">
        <v>16230</v>
      </c>
      <c r="G1605" s="285" t="s">
        <v>16231</v>
      </c>
      <c r="H1605" s="285" t="s">
        <v>14801</v>
      </c>
      <c r="I1605" s="285" t="s">
        <v>16232</v>
      </c>
      <c r="J1605" s="285" t="s">
        <v>5012</v>
      </c>
      <c r="K1605" s="285" t="s">
        <v>12506</v>
      </c>
      <c r="L1605" s="285" t="s">
        <v>54</v>
      </c>
      <c r="M1605" s="285" t="s">
        <v>9383</v>
      </c>
      <c r="N1605" s="287" t="str">
        <f>IFERROR(
    IF(
        AND(
            VLOOKUP(B1605, 'รายชื่อพนักงานลาออกพ้นสภาพ'!B:I, 8, FALSE)&lt;&gt;"ยกเลิกลาออก",
            VLOOKUP(B1605, 'รายชื่อพนักงานลาออกพ้นสภาพ'!B:I, 7, FALSE)&lt;=TODAY()
        ),
        "ลาออกแล้ว",
        ""
    ),
"")</f>
        <v/>
      </c>
      <c r="O1605" s="292" t="str">
        <f t="array" ref="O1605">IFERROR(INDEX(PCRent!C:D, MATCH(F1605 &amp; " " &amp; G1605, PCRent!A:A &amp; " " &amp; PCRent!B:B, 0)), "")</f>
        <v/>
      </c>
      <c r="P1605" s="293"/>
      <c r="Q1605" s="294" t="str">
        <f t="array" ref="Q1605">IFERROR(INDEX(MonitorRent!C:D, MATCH(F1605 &amp; " " &amp; G1605, MonitorRent!A:A &amp; " " &amp; MonitorRent!B:B, 0)), "")</f>
        <v/>
      </c>
      <c r="R1605" s="295"/>
    </row>
    <row r="1606">
      <c r="A1606" s="284">
        <v>1603.0</v>
      </c>
      <c r="B1606" s="285" t="s">
        <v>16233</v>
      </c>
      <c r="C1606" s="285" t="s">
        <v>16048</v>
      </c>
      <c r="D1606" s="286" t="s">
        <v>12472</v>
      </c>
      <c r="E1606" s="285" t="s">
        <v>6921</v>
      </c>
      <c r="F1606" s="285" t="s">
        <v>16234</v>
      </c>
      <c r="G1606" s="285" t="s">
        <v>16235</v>
      </c>
      <c r="H1606" s="285" t="s">
        <v>16236</v>
      </c>
      <c r="I1606" s="296"/>
      <c r="J1606" s="285" t="s">
        <v>5012</v>
      </c>
      <c r="K1606" s="285" t="s">
        <v>15235</v>
      </c>
      <c r="L1606" s="285" t="s">
        <v>16185</v>
      </c>
      <c r="M1606" s="285" t="s">
        <v>9383</v>
      </c>
      <c r="N1606" s="287" t="str">
        <f>IFERROR(
    IF(
        AND(
            VLOOKUP(B1606, 'รายชื่อพนักงานลาออกพ้นสภาพ'!B:I, 8, FALSE)&lt;&gt;"ยกเลิกลาออก",
            VLOOKUP(B1606, 'รายชื่อพนักงานลาออกพ้นสภาพ'!B:I, 7, FALSE)&lt;=TODAY()
        ),
        "ลาออกแล้ว",
        ""
    ),
"")</f>
        <v/>
      </c>
      <c r="O1606" s="292" t="str">
        <f t="array" ref="O1606">IFERROR(INDEX(PCRent!C:D, MATCH(F1606 &amp; " " &amp; G1606, PCRent!A:A &amp; " " &amp; PCRent!B:B, 0)), "")</f>
        <v/>
      </c>
      <c r="P1606" s="293"/>
      <c r="Q1606" s="294" t="str">
        <f t="array" ref="Q1606">IFERROR(INDEX(MonitorRent!C:D, MATCH(F1606 &amp; " " &amp; G1606, MonitorRent!A:A &amp; " " &amp; MonitorRent!B:B, 0)), "")</f>
        <v/>
      </c>
      <c r="R1606" s="295"/>
    </row>
    <row r="1607">
      <c r="A1607" s="284">
        <v>1604.0</v>
      </c>
      <c r="B1607" s="285" t="s">
        <v>16237</v>
      </c>
      <c r="C1607" s="285" t="s">
        <v>16048</v>
      </c>
      <c r="D1607" s="286" t="s">
        <v>10132</v>
      </c>
      <c r="E1607" s="285" t="s">
        <v>6921</v>
      </c>
      <c r="F1607" s="285" t="s">
        <v>16238</v>
      </c>
      <c r="G1607" s="285" t="s">
        <v>16239</v>
      </c>
      <c r="H1607" s="285" t="s">
        <v>16238</v>
      </c>
      <c r="I1607" s="297"/>
      <c r="J1607" s="285" t="s">
        <v>5012</v>
      </c>
      <c r="K1607" s="285" t="s">
        <v>16065</v>
      </c>
      <c r="L1607" s="285" t="s">
        <v>16066</v>
      </c>
      <c r="M1607" s="285" t="s">
        <v>9383</v>
      </c>
      <c r="N1607" s="287" t="str">
        <f>IFERROR(
    IF(
        AND(
            VLOOKUP(B1607, 'รายชื่อพนักงานลาออกพ้นสภาพ'!B:I, 8, FALSE)&lt;&gt;"ยกเลิกลาออก",
            VLOOKUP(B1607, 'รายชื่อพนักงานลาออกพ้นสภาพ'!B:I, 7, FALSE)&lt;=TODAY()
        ),
        "ลาออกแล้ว",
        ""
    ),
"")</f>
        <v/>
      </c>
      <c r="O1607" s="292" t="str">
        <f t="array" ref="O1607">IFERROR(INDEX(PCRent!C:D, MATCH(F1607 &amp; " " &amp; G1607, PCRent!A:A &amp; " " &amp; PCRent!B:B, 0)), "")</f>
        <v/>
      </c>
      <c r="P1607" s="293"/>
      <c r="Q1607" s="294" t="str">
        <f t="array" ref="Q1607">IFERROR(INDEX(MonitorRent!C:D, MATCH(F1607 &amp; " " &amp; G1607, MonitorRent!A:A &amp; " " &amp; MonitorRent!B:B, 0)), "")</f>
        <v/>
      </c>
      <c r="R1607" s="295"/>
    </row>
    <row r="1608">
      <c r="A1608" s="284">
        <v>1605.0</v>
      </c>
      <c r="B1608" s="285" t="s">
        <v>16240</v>
      </c>
      <c r="C1608" s="285" t="s">
        <v>16048</v>
      </c>
      <c r="D1608" s="286" t="s">
        <v>16128</v>
      </c>
      <c r="E1608" s="285" t="s">
        <v>6921</v>
      </c>
      <c r="F1608" s="285" t="s">
        <v>16241</v>
      </c>
      <c r="G1608" s="285" t="s">
        <v>16242</v>
      </c>
      <c r="H1608" s="285" t="s">
        <v>16243</v>
      </c>
      <c r="I1608" s="297"/>
      <c r="J1608" s="285" t="s">
        <v>5012</v>
      </c>
      <c r="K1608" s="285" t="s">
        <v>16145</v>
      </c>
      <c r="L1608" s="285" t="s">
        <v>16066</v>
      </c>
      <c r="M1608" s="285" t="s">
        <v>9383</v>
      </c>
      <c r="N1608" s="287" t="str">
        <f>IFERROR(
    IF(
        AND(
            VLOOKUP(B1608, 'รายชื่อพนักงานลาออกพ้นสภาพ'!B:I, 8, FALSE)&lt;&gt;"ยกเลิกลาออก",
            VLOOKUP(B1608, 'รายชื่อพนักงานลาออกพ้นสภาพ'!B:I, 7, FALSE)&lt;=TODAY()
        ),
        "ลาออกแล้ว",
        ""
    ),
"")</f>
        <v/>
      </c>
      <c r="O1608" s="292" t="str">
        <f t="array" ref="O1608">IFERROR(INDEX(PCRent!C:D, MATCH(F1608 &amp; " " &amp; G1608, PCRent!A:A &amp; " " &amp; PCRent!B:B, 0)), "")</f>
        <v/>
      </c>
      <c r="P1608" s="293"/>
      <c r="Q1608" s="294" t="str">
        <f t="array" ref="Q1608">IFERROR(INDEX(MonitorRent!C:D, MATCH(F1608 &amp; " " &amp; G1608, MonitorRent!A:A &amp; " " &amp; MonitorRent!B:B, 0)), "")</f>
        <v/>
      </c>
      <c r="R1608" s="295"/>
    </row>
    <row r="1609">
      <c r="A1609" s="284">
        <v>1606.0</v>
      </c>
      <c r="B1609" s="285" t="s">
        <v>16244</v>
      </c>
      <c r="C1609" s="285" t="s">
        <v>16048</v>
      </c>
      <c r="D1609" s="286" t="s">
        <v>16059</v>
      </c>
      <c r="E1609" s="285" t="s">
        <v>6933</v>
      </c>
      <c r="F1609" s="285" t="s">
        <v>16245</v>
      </c>
      <c r="G1609" s="285" t="s">
        <v>16246</v>
      </c>
      <c r="H1609" s="285" t="s">
        <v>16245</v>
      </c>
      <c r="I1609" s="297"/>
      <c r="J1609" s="285" t="s">
        <v>5012</v>
      </c>
      <c r="K1609" s="285" t="s">
        <v>16056</v>
      </c>
      <c r="L1609" s="285" t="s">
        <v>16057</v>
      </c>
      <c r="M1609" s="285" t="s">
        <v>9383</v>
      </c>
      <c r="N1609" s="287" t="str">
        <f>IFERROR(
    IF(
        AND(
            VLOOKUP(B1609, 'รายชื่อพนักงานลาออกพ้นสภาพ'!B:I, 8, FALSE)&lt;&gt;"ยกเลิกลาออก",
            VLOOKUP(B1609, 'รายชื่อพนักงานลาออกพ้นสภาพ'!B:I, 7, FALSE)&lt;=TODAY()
        ),
        "ลาออกแล้ว",
        ""
    ),
"")</f>
        <v/>
      </c>
      <c r="O1609" s="292" t="str">
        <f t="array" ref="O1609">IFERROR(INDEX(PCRent!C:D, MATCH(F1609 &amp; " " &amp; G1609, PCRent!A:A &amp; " " &amp; PCRent!B:B, 0)), "")</f>
        <v/>
      </c>
      <c r="P1609" s="293"/>
      <c r="Q1609" s="294" t="str">
        <f t="array" ref="Q1609">IFERROR(INDEX(MonitorRent!C:D, MATCH(F1609 &amp; " " &amp; G1609, MonitorRent!A:A &amp; " " &amp; MonitorRent!B:B, 0)), "")</f>
        <v/>
      </c>
      <c r="R1609" s="295"/>
    </row>
    <row r="1610">
      <c r="A1610" s="284">
        <v>1607.0</v>
      </c>
      <c r="B1610" s="285" t="s">
        <v>16247</v>
      </c>
      <c r="C1610" s="285" t="s">
        <v>16048</v>
      </c>
      <c r="D1610" s="286" t="s">
        <v>9405</v>
      </c>
      <c r="E1610" s="285" t="s">
        <v>6921</v>
      </c>
      <c r="F1610" s="285" t="s">
        <v>9667</v>
      </c>
      <c r="G1610" s="285" t="s">
        <v>16248</v>
      </c>
      <c r="H1610" s="285" t="s">
        <v>13655</v>
      </c>
      <c r="I1610" s="297"/>
      <c r="J1610" s="285" t="s">
        <v>5012</v>
      </c>
      <c r="K1610" s="285" t="s">
        <v>16170</v>
      </c>
      <c r="L1610" s="285" t="s">
        <v>54</v>
      </c>
      <c r="M1610" s="285" t="s">
        <v>9383</v>
      </c>
      <c r="N1610" s="287" t="str">
        <f>IFERROR(
    IF(
        AND(
            VLOOKUP(B1610, 'รายชื่อพนักงานลาออกพ้นสภาพ'!B:I, 8, FALSE)&lt;&gt;"ยกเลิกลาออก",
            VLOOKUP(B1610, 'รายชื่อพนักงานลาออกพ้นสภาพ'!B:I, 7, FALSE)&lt;=TODAY()
        ),
        "ลาออกแล้ว",
        ""
    ),
"")</f>
        <v/>
      </c>
      <c r="O1610" s="292" t="str">
        <f t="array" ref="O1610">IFERROR(INDEX(PCRent!C:D, MATCH(F1610 &amp; " " &amp; G1610, PCRent!A:A &amp; " " &amp; PCRent!B:B, 0)), "")</f>
        <v/>
      </c>
      <c r="P1610" s="293"/>
      <c r="Q1610" s="294" t="str">
        <f t="array" ref="Q1610">IFERROR(INDEX(MonitorRent!C:D, MATCH(F1610 &amp; " " &amp; G1610, MonitorRent!A:A &amp; " " &amp; MonitorRent!B:B, 0)), "")</f>
        <v/>
      </c>
      <c r="R1610" s="295"/>
    </row>
    <row r="1611">
      <c r="A1611" s="284">
        <v>1608.0</v>
      </c>
      <c r="B1611" s="285" t="s">
        <v>16249</v>
      </c>
      <c r="C1611" s="285" t="s">
        <v>16048</v>
      </c>
      <c r="D1611" s="286" t="s">
        <v>16250</v>
      </c>
      <c r="E1611" s="285" t="s">
        <v>6933</v>
      </c>
      <c r="F1611" s="285" t="s">
        <v>16251</v>
      </c>
      <c r="G1611" s="285" t="s">
        <v>9498</v>
      </c>
      <c r="H1611" s="285" t="s">
        <v>16252</v>
      </c>
      <c r="I1611" s="285" t="s">
        <v>16253</v>
      </c>
      <c r="J1611" s="285" t="s">
        <v>5012</v>
      </c>
      <c r="K1611" s="285" t="s">
        <v>16254</v>
      </c>
      <c r="L1611" s="285" t="s">
        <v>16255</v>
      </c>
      <c r="M1611" s="285" t="s">
        <v>9383</v>
      </c>
      <c r="N1611" s="287" t="str">
        <f>IFERROR(
    IF(
        AND(
            VLOOKUP(B1611, 'รายชื่อพนักงานลาออกพ้นสภาพ'!B:I, 8, FALSE)&lt;&gt;"ยกเลิกลาออก",
            VLOOKUP(B1611, 'รายชื่อพนักงานลาออกพ้นสภาพ'!B:I, 7, FALSE)&lt;=TODAY()
        ),
        "ลาออกแล้ว",
        ""
    ),
"")</f>
        <v/>
      </c>
      <c r="O1611" s="292" t="str">
        <f t="array" ref="O1611">IFERROR(INDEX(PCRent!C:D, MATCH(F1611 &amp; " " &amp; G1611, PCRent!A:A &amp; " " &amp; PCRent!B:B, 0)), "")</f>
        <v/>
      </c>
      <c r="P1611" s="293"/>
      <c r="Q1611" s="294" t="str">
        <f t="array" ref="Q1611">IFERROR(INDEX(MonitorRent!C:D, MATCH(F1611 &amp; " " &amp; G1611, MonitorRent!A:A &amp; " " &amp; MonitorRent!B:B, 0)), "")</f>
        <v/>
      </c>
      <c r="R1611" s="295"/>
    </row>
    <row r="1612">
      <c r="A1612" s="284">
        <v>1609.0</v>
      </c>
      <c r="B1612" s="285" t="s">
        <v>16256</v>
      </c>
      <c r="C1612" s="285" t="s">
        <v>16048</v>
      </c>
      <c r="D1612" s="286" t="s">
        <v>9932</v>
      </c>
      <c r="E1612" s="285" t="s">
        <v>6933</v>
      </c>
      <c r="F1612" s="285" t="s">
        <v>16257</v>
      </c>
      <c r="G1612" s="285" t="s">
        <v>16258</v>
      </c>
      <c r="H1612" s="285" t="s">
        <v>16259</v>
      </c>
      <c r="I1612" s="296"/>
      <c r="J1612" s="285" t="s">
        <v>5012</v>
      </c>
      <c r="K1612" s="285" t="s">
        <v>16114</v>
      </c>
      <c r="L1612" s="285" t="s">
        <v>16115</v>
      </c>
      <c r="M1612" s="285" t="s">
        <v>9383</v>
      </c>
      <c r="N1612" s="287" t="str">
        <f>IFERROR(
    IF(
        AND(
            VLOOKUP(B1612, 'รายชื่อพนักงานลาออกพ้นสภาพ'!B:I, 8, FALSE)&lt;&gt;"ยกเลิกลาออก",
            VLOOKUP(B1612, 'รายชื่อพนักงานลาออกพ้นสภาพ'!B:I, 7, FALSE)&lt;=TODAY()
        ),
        "ลาออกแล้ว",
        ""
    ),
"")</f>
        <v/>
      </c>
      <c r="O1612" s="292" t="str">
        <f t="array" ref="O1612">IFERROR(INDEX(PCRent!C:D, MATCH(F1612 &amp; " " &amp; G1612, PCRent!A:A &amp; " " &amp; PCRent!B:B, 0)), "")</f>
        <v/>
      </c>
      <c r="P1612" s="293"/>
      <c r="Q1612" s="294" t="str">
        <f t="array" ref="Q1612">IFERROR(INDEX(MonitorRent!C:D, MATCH(F1612 &amp; " " &amp; G1612, MonitorRent!A:A &amp; " " &amp; MonitorRent!B:B, 0)), "")</f>
        <v/>
      </c>
      <c r="R1612" s="295"/>
    </row>
    <row r="1613">
      <c r="A1613" s="284">
        <v>1610.0</v>
      </c>
      <c r="B1613" s="285" t="s">
        <v>16260</v>
      </c>
      <c r="C1613" s="285" t="s">
        <v>16048</v>
      </c>
      <c r="D1613" s="286" t="s">
        <v>16261</v>
      </c>
      <c r="E1613" s="285" t="s">
        <v>6921</v>
      </c>
      <c r="F1613" s="285" t="s">
        <v>16262</v>
      </c>
      <c r="G1613" s="285" t="s">
        <v>16263</v>
      </c>
      <c r="H1613" s="285" t="s">
        <v>16264</v>
      </c>
      <c r="I1613" s="285" t="s">
        <v>16265</v>
      </c>
      <c r="J1613" s="285" t="s">
        <v>5012</v>
      </c>
      <c r="K1613" s="285" t="s">
        <v>16266</v>
      </c>
      <c r="L1613" s="285" t="s">
        <v>16185</v>
      </c>
      <c r="M1613" s="285" t="s">
        <v>9383</v>
      </c>
      <c r="N1613" s="287" t="str">
        <f>IFERROR(
    IF(
        AND(
            VLOOKUP(B1613, 'รายชื่อพนักงานลาออกพ้นสภาพ'!B:I, 8, FALSE)&lt;&gt;"ยกเลิกลาออก",
            VLOOKUP(B1613, 'รายชื่อพนักงานลาออกพ้นสภาพ'!B:I, 7, FALSE)&lt;=TODAY()
        ),
        "ลาออกแล้ว",
        ""
    ),
"")</f>
        <v/>
      </c>
      <c r="O1613" s="292" t="str">
        <f t="array" ref="O1613">IFERROR(INDEX(PCRent!C:D, MATCH(F1613 &amp; " " &amp; G1613, PCRent!A:A &amp; " " &amp; PCRent!B:B, 0)), "")</f>
        <v/>
      </c>
      <c r="P1613" s="293"/>
      <c r="Q1613" s="294" t="str">
        <f t="array" ref="Q1613">IFERROR(INDEX(MonitorRent!C:D, MATCH(F1613 &amp; " " &amp; G1613, MonitorRent!A:A &amp; " " &amp; MonitorRent!B:B, 0)), "")</f>
        <v/>
      </c>
      <c r="R1613" s="295"/>
    </row>
    <row r="1614">
      <c r="A1614" s="284">
        <v>1611.0</v>
      </c>
      <c r="B1614" s="285" t="s">
        <v>16267</v>
      </c>
      <c r="C1614" s="285" t="s">
        <v>16048</v>
      </c>
      <c r="D1614" s="286" t="s">
        <v>12625</v>
      </c>
      <c r="E1614" s="285" t="s">
        <v>6933</v>
      </c>
      <c r="F1614" s="285" t="s">
        <v>16268</v>
      </c>
      <c r="G1614" s="285" t="s">
        <v>12193</v>
      </c>
      <c r="H1614" s="285" t="s">
        <v>9472</v>
      </c>
      <c r="I1614" s="296"/>
      <c r="J1614" s="285" t="s">
        <v>5012</v>
      </c>
      <c r="K1614" s="285" t="s">
        <v>16051</v>
      </c>
      <c r="L1614" s="285" t="s">
        <v>16052</v>
      </c>
      <c r="M1614" s="285" t="s">
        <v>9383</v>
      </c>
      <c r="N1614" s="287" t="str">
        <f>IFERROR(
    IF(
        AND(
            VLOOKUP(B1614, 'รายชื่อพนักงานลาออกพ้นสภาพ'!B:I, 8, FALSE)&lt;&gt;"ยกเลิกลาออก",
            VLOOKUP(B1614, 'รายชื่อพนักงานลาออกพ้นสภาพ'!B:I, 7, FALSE)&lt;=TODAY()
        ),
        "ลาออกแล้ว",
        ""
    ),
"")</f>
        <v/>
      </c>
      <c r="O1614" s="292" t="str">
        <f t="array" ref="O1614">IFERROR(INDEX(PCRent!C:D, MATCH(F1614 &amp; " " &amp; G1614, PCRent!A:A &amp; " " &amp; PCRent!B:B, 0)), "")</f>
        <v/>
      </c>
      <c r="P1614" s="293"/>
      <c r="Q1614" s="294" t="str">
        <f t="array" ref="Q1614">IFERROR(INDEX(MonitorRent!C:D, MATCH(F1614 &amp; " " &amp; G1614, MonitorRent!A:A &amp; " " &amp; MonitorRent!B:B, 0)), "")</f>
        <v/>
      </c>
      <c r="R1614" s="295"/>
    </row>
    <row r="1615">
      <c r="A1615" s="284">
        <v>1612.0</v>
      </c>
      <c r="B1615" s="285" t="s">
        <v>16269</v>
      </c>
      <c r="C1615" s="285" t="s">
        <v>16048</v>
      </c>
      <c r="D1615" s="286" t="s">
        <v>11125</v>
      </c>
      <c r="E1615" s="285" t="s">
        <v>6921</v>
      </c>
      <c r="F1615" s="285" t="s">
        <v>16270</v>
      </c>
      <c r="G1615" s="285" t="s">
        <v>16271</v>
      </c>
      <c r="H1615" s="285" t="s">
        <v>12030</v>
      </c>
      <c r="I1615" s="285" t="s">
        <v>16272</v>
      </c>
      <c r="J1615" s="285" t="s">
        <v>5012</v>
      </c>
      <c r="K1615" s="285" t="s">
        <v>9552</v>
      </c>
      <c r="L1615" s="285" t="s">
        <v>16185</v>
      </c>
      <c r="M1615" s="285" t="s">
        <v>9383</v>
      </c>
      <c r="N1615" s="287" t="str">
        <f>IFERROR(
    IF(
        AND(
            VLOOKUP(B1615, 'รายชื่อพนักงานลาออกพ้นสภาพ'!B:I, 8, FALSE)&lt;&gt;"ยกเลิกลาออก",
            VLOOKUP(B1615, 'รายชื่อพนักงานลาออกพ้นสภาพ'!B:I, 7, FALSE)&lt;=TODAY()
        ),
        "ลาออกแล้ว",
        ""
    ),
"")</f>
        <v/>
      </c>
      <c r="O1615" s="292" t="str">
        <f t="array" ref="O1615">IFERROR(INDEX(PCRent!C:D, MATCH(F1615 &amp; " " &amp; G1615, PCRent!A:A &amp; " " &amp; PCRent!B:B, 0)), "")</f>
        <v/>
      </c>
      <c r="P1615" s="293"/>
      <c r="Q1615" s="294" t="str">
        <f t="array" ref="Q1615">IFERROR(INDEX(MonitorRent!C:D, MATCH(F1615 &amp; " " &amp; G1615, MonitorRent!A:A &amp; " " &amp; MonitorRent!B:B, 0)), "")</f>
        <v/>
      </c>
      <c r="R1615" s="295"/>
    </row>
    <row r="1616">
      <c r="A1616" s="284">
        <v>1613.0</v>
      </c>
      <c r="B1616" s="285" t="s">
        <v>16273</v>
      </c>
      <c r="C1616" s="285" t="s">
        <v>16048</v>
      </c>
      <c r="D1616" s="286" t="s">
        <v>16274</v>
      </c>
      <c r="E1616" s="285" t="s">
        <v>6933</v>
      </c>
      <c r="F1616" s="285" t="s">
        <v>16275</v>
      </c>
      <c r="G1616" s="285" t="s">
        <v>16276</v>
      </c>
      <c r="H1616" s="285" t="s">
        <v>10420</v>
      </c>
      <c r="I1616" s="296"/>
      <c r="J1616" s="285" t="s">
        <v>5012</v>
      </c>
      <c r="K1616" s="285" t="s">
        <v>16277</v>
      </c>
      <c r="L1616" s="285" t="s">
        <v>16057</v>
      </c>
      <c r="M1616" s="285" t="s">
        <v>9383</v>
      </c>
      <c r="N1616" s="287" t="str">
        <f>IFERROR(
    IF(
        AND(
            VLOOKUP(B1616, 'รายชื่อพนักงานลาออกพ้นสภาพ'!B:I, 8, FALSE)&lt;&gt;"ยกเลิกลาออก",
            VLOOKUP(B1616, 'รายชื่อพนักงานลาออกพ้นสภาพ'!B:I, 7, FALSE)&lt;=TODAY()
        ),
        "ลาออกแล้ว",
        ""
    ),
"")</f>
        <v/>
      </c>
      <c r="O1616" s="292" t="str">
        <f t="array" ref="O1616">IFERROR(INDEX(PCRent!C:D, MATCH(F1616 &amp; " " &amp; G1616, PCRent!A:A &amp; " " &amp; PCRent!B:B, 0)), "")</f>
        <v/>
      </c>
      <c r="P1616" s="293"/>
      <c r="Q1616" s="294" t="str">
        <f t="array" ref="Q1616">IFERROR(INDEX(MonitorRent!C:D, MATCH(F1616 &amp; " " &amp; G1616, MonitorRent!A:A &amp; " " &amp; MonitorRent!B:B, 0)), "")</f>
        <v/>
      </c>
      <c r="R1616" s="295"/>
    </row>
    <row r="1617">
      <c r="A1617" s="284">
        <v>1614.0</v>
      </c>
      <c r="B1617" s="285" t="s">
        <v>16278</v>
      </c>
      <c r="C1617" s="285" t="s">
        <v>16048</v>
      </c>
      <c r="D1617" s="286" t="s">
        <v>9489</v>
      </c>
      <c r="E1617" s="285" t="s">
        <v>6933</v>
      </c>
      <c r="F1617" s="285" t="s">
        <v>16279</v>
      </c>
      <c r="G1617" s="285" t="s">
        <v>16280</v>
      </c>
      <c r="H1617" s="285" t="s">
        <v>16281</v>
      </c>
      <c r="I1617" s="297"/>
      <c r="J1617" s="285" t="s">
        <v>5012</v>
      </c>
      <c r="K1617" s="285" t="s">
        <v>16056</v>
      </c>
      <c r="L1617" s="285" t="s">
        <v>16057</v>
      </c>
      <c r="M1617" s="285" t="s">
        <v>9383</v>
      </c>
      <c r="N1617" s="287" t="str">
        <f>IFERROR(
    IF(
        AND(
            VLOOKUP(B1617, 'รายชื่อพนักงานลาออกพ้นสภาพ'!B:I, 8, FALSE)&lt;&gt;"ยกเลิกลาออก",
            VLOOKUP(B1617, 'รายชื่อพนักงานลาออกพ้นสภาพ'!B:I, 7, FALSE)&lt;=TODAY()
        ),
        "ลาออกแล้ว",
        ""
    ),
"")</f>
        <v/>
      </c>
      <c r="O1617" s="292" t="str">
        <f t="array" ref="O1617">IFERROR(INDEX(PCRent!C:D, MATCH(F1617 &amp; " " &amp; G1617, PCRent!A:A &amp; " " &amp; PCRent!B:B, 0)), "")</f>
        <v/>
      </c>
      <c r="P1617" s="293"/>
      <c r="Q1617" s="294" t="str">
        <f t="array" ref="Q1617">IFERROR(INDEX(MonitorRent!C:D, MATCH(F1617 &amp; " " &amp; G1617, MonitorRent!A:A &amp; " " &amp; MonitorRent!B:B, 0)), "")</f>
        <v/>
      </c>
      <c r="R1617" s="295"/>
    </row>
    <row r="1618">
      <c r="A1618" s="284">
        <v>1615.0</v>
      </c>
      <c r="B1618" s="285" t="s">
        <v>16282</v>
      </c>
      <c r="C1618" s="285" t="s">
        <v>16048</v>
      </c>
      <c r="D1618" s="286" t="s">
        <v>16283</v>
      </c>
      <c r="E1618" s="285" t="s">
        <v>7239</v>
      </c>
      <c r="F1618" s="285" t="s">
        <v>11506</v>
      </c>
      <c r="G1618" s="285" t="s">
        <v>16284</v>
      </c>
      <c r="H1618" s="285" t="s">
        <v>16285</v>
      </c>
      <c r="I1618" s="285" t="s">
        <v>16286</v>
      </c>
      <c r="J1618" s="285" t="s">
        <v>5012</v>
      </c>
      <c r="K1618" s="285" t="s">
        <v>16287</v>
      </c>
      <c r="L1618" s="285" t="s">
        <v>16288</v>
      </c>
      <c r="M1618" s="285" t="s">
        <v>9383</v>
      </c>
      <c r="N1618" s="287" t="str">
        <f>IFERROR(
    IF(
        AND(
            VLOOKUP(B1618, 'รายชื่อพนักงานลาออกพ้นสภาพ'!B:I, 8, FALSE)&lt;&gt;"ยกเลิกลาออก",
            VLOOKUP(B1618, 'รายชื่อพนักงานลาออกพ้นสภาพ'!B:I, 7, FALSE)&lt;=TODAY()
        ),
        "ลาออกแล้ว",
        ""
    ),
"")</f>
        <v/>
      </c>
      <c r="O1618" s="292" t="str">
        <f t="array" ref="O1618">IFERROR(INDEX(PCRent!C:D, MATCH(F1618 &amp; " " &amp; G1618, PCRent!A:A &amp; " " &amp; PCRent!B:B, 0)), "")</f>
        <v/>
      </c>
      <c r="P1618" s="293"/>
      <c r="Q1618" s="294" t="str">
        <f t="array" ref="Q1618">IFERROR(INDEX(MonitorRent!C:D, MATCH(F1618 &amp; " " &amp; G1618, MonitorRent!A:A &amp; " " &amp; MonitorRent!B:B, 0)), "")</f>
        <v/>
      </c>
      <c r="R1618" s="295"/>
    </row>
    <row r="1619">
      <c r="A1619" s="284">
        <v>1616.0</v>
      </c>
      <c r="B1619" s="285" t="s">
        <v>16289</v>
      </c>
      <c r="C1619" s="285" t="s">
        <v>16048</v>
      </c>
      <c r="D1619" s="286" t="s">
        <v>16290</v>
      </c>
      <c r="E1619" s="285" t="s">
        <v>6921</v>
      </c>
      <c r="F1619" s="285" t="s">
        <v>16291</v>
      </c>
      <c r="G1619" s="285" t="s">
        <v>16292</v>
      </c>
      <c r="H1619" s="285" t="s">
        <v>12875</v>
      </c>
      <c r="I1619" s="285" t="s">
        <v>16293</v>
      </c>
      <c r="J1619" s="285" t="s">
        <v>5012</v>
      </c>
      <c r="K1619" s="285" t="s">
        <v>16294</v>
      </c>
      <c r="L1619" s="285" t="s">
        <v>5055</v>
      </c>
      <c r="M1619" s="285" t="s">
        <v>9383</v>
      </c>
      <c r="N1619" s="287" t="str">
        <f>IFERROR(
    IF(
        AND(
            VLOOKUP(B1619, 'รายชื่อพนักงานลาออกพ้นสภาพ'!B:I, 8, FALSE)&lt;&gt;"ยกเลิกลาออก",
            VLOOKUP(B1619, 'รายชื่อพนักงานลาออกพ้นสภาพ'!B:I, 7, FALSE)&lt;=TODAY()
        ),
        "ลาออกแล้ว",
        ""
    ),
"")</f>
        <v/>
      </c>
      <c r="O1619" s="292" t="str">
        <f t="array" ref="O1619">IFERROR(INDEX(PCRent!C:D, MATCH(F1619 &amp; " " &amp; G1619, PCRent!A:A &amp; " " &amp; PCRent!B:B, 0)), "")</f>
        <v/>
      </c>
      <c r="P1619" s="293"/>
      <c r="Q1619" s="294" t="str">
        <f t="array" ref="Q1619">IFERROR(INDEX(MonitorRent!C:D, MATCH(F1619 &amp; " " &amp; G1619, MonitorRent!A:A &amp; " " &amp; MonitorRent!B:B, 0)), "")</f>
        <v/>
      </c>
      <c r="R1619" s="295"/>
    </row>
    <row r="1620">
      <c r="A1620" s="284">
        <v>1617.0</v>
      </c>
      <c r="B1620" s="285" t="s">
        <v>16295</v>
      </c>
      <c r="C1620" s="285" t="s">
        <v>16048</v>
      </c>
      <c r="D1620" s="286" t="s">
        <v>12912</v>
      </c>
      <c r="E1620" s="285" t="s">
        <v>6921</v>
      </c>
      <c r="F1620" s="285" t="s">
        <v>11528</v>
      </c>
      <c r="G1620" s="285" t="s">
        <v>16296</v>
      </c>
      <c r="H1620" s="285" t="s">
        <v>14636</v>
      </c>
      <c r="I1620" s="296"/>
      <c r="J1620" s="285" t="s">
        <v>5012</v>
      </c>
      <c r="K1620" s="285" t="s">
        <v>16126</v>
      </c>
      <c r="L1620" s="285" t="s">
        <v>16066</v>
      </c>
      <c r="M1620" s="285" t="s">
        <v>9383</v>
      </c>
      <c r="N1620" s="287" t="str">
        <f>IFERROR(
    IF(
        AND(
            VLOOKUP(B1620, 'รายชื่อพนักงานลาออกพ้นสภาพ'!B:I, 8, FALSE)&lt;&gt;"ยกเลิกลาออก",
            VLOOKUP(B1620, 'รายชื่อพนักงานลาออกพ้นสภาพ'!B:I, 7, FALSE)&lt;=TODAY()
        ),
        "ลาออกแล้ว",
        ""
    ),
"")</f>
        <v/>
      </c>
      <c r="O1620" s="292" t="str">
        <f t="array" ref="O1620">IFERROR(INDEX(PCRent!C:D, MATCH(F1620 &amp; " " &amp; G1620, PCRent!A:A &amp; " " &amp; PCRent!B:B, 0)), "")</f>
        <v/>
      </c>
      <c r="P1620" s="293"/>
      <c r="Q1620" s="294" t="str">
        <f t="array" ref="Q1620">IFERROR(INDEX(MonitorRent!C:D, MATCH(F1620 &amp; " " &amp; G1620, MonitorRent!A:A &amp; " " &amp; MonitorRent!B:B, 0)), "")</f>
        <v/>
      </c>
      <c r="R1620" s="295"/>
    </row>
    <row r="1621">
      <c r="A1621" s="284">
        <v>1618.0</v>
      </c>
      <c r="B1621" s="285" t="s">
        <v>16297</v>
      </c>
      <c r="C1621" s="285" t="s">
        <v>16048</v>
      </c>
      <c r="D1621" s="286" t="s">
        <v>16298</v>
      </c>
      <c r="E1621" s="285" t="s">
        <v>6933</v>
      </c>
      <c r="F1621" s="285" t="s">
        <v>16299</v>
      </c>
      <c r="G1621" s="285" t="s">
        <v>16300</v>
      </c>
      <c r="H1621" s="285" t="s">
        <v>16301</v>
      </c>
      <c r="I1621" s="297"/>
      <c r="J1621" s="285" t="s">
        <v>5012</v>
      </c>
      <c r="K1621" s="285" t="s">
        <v>15235</v>
      </c>
      <c r="L1621" s="285" t="s">
        <v>16185</v>
      </c>
      <c r="M1621" s="285" t="s">
        <v>9383</v>
      </c>
      <c r="N1621" s="287" t="str">
        <f>IFERROR(
    IF(
        AND(
            VLOOKUP(B1621, 'รายชื่อพนักงานลาออกพ้นสภาพ'!B:I, 8, FALSE)&lt;&gt;"ยกเลิกลาออก",
            VLOOKUP(B1621, 'รายชื่อพนักงานลาออกพ้นสภาพ'!B:I, 7, FALSE)&lt;=TODAY()
        ),
        "ลาออกแล้ว",
        ""
    ),
"")</f>
        <v/>
      </c>
      <c r="O1621" s="292" t="str">
        <f t="array" ref="O1621">IFERROR(INDEX(PCRent!C:D, MATCH(F1621 &amp; " " &amp; G1621, PCRent!A:A &amp; " " &amp; PCRent!B:B, 0)), "")</f>
        <v/>
      </c>
      <c r="P1621" s="293"/>
      <c r="Q1621" s="294" t="str">
        <f t="array" ref="Q1621">IFERROR(INDEX(MonitorRent!C:D, MATCH(F1621 &amp; " " &amp; G1621, MonitorRent!A:A &amp; " " &amp; MonitorRent!B:B, 0)), "")</f>
        <v/>
      </c>
      <c r="R1621" s="295"/>
    </row>
    <row r="1622">
      <c r="A1622" s="284">
        <v>1619.0</v>
      </c>
      <c r="B1622" s="285" t="s">
        <v>16302</v>
      </c>
      <c r="C1622" s="285" t="s">
        <v>16048</v>
      </c>
      <c r="D1622" s="286" t="s">
        <v>16303</v>
      </c>
      <c r="E1622" s="285" t="s">
        <v>6921</v>
      </c>
      <c r="F1622" s="285" t="s">
        <v>16304</v>
      </c>
      <c r="G1622" s="285" t="s">
        <v>16305</v>
      </c>
      <c r="H1622" s="285" t="s">
        <v>13655</v>
      </c>
      <c r="I1622" s="297"/>
      <c r="J1622" s="285" t="s">
        <v>5012</v>
      </c>
      <c r="K1622" s="285" t="s">
        <v>16306</v>
      </c>
      <c r="L1622" s="285" t="s">
        <v>16066</v>
      </c>
      <c r="M1622" s="285" t="s">
        <v>9383</v>
      </c>
      <c r="N1622" s="287" t="str">
        <f>IFERROR(
    IF(
        AND(
            VLOOKUP(B1622, 'รายชื่อพนักงานลาออกพ้นสภาพ'!B:I, 8, FALSE)&lt;&gt;"ยกเลิกลาออก",
            VLOOKUP(B1622, 'รายชื่อพนักงานลาออกพ้นสภาพ'!B:I, 7, FALSE)&lt;=TODAY()
        ),
        "ลาออกแล้ว",
        ""
    ),
"")</f>
        <v/>
      </c>
      <c r="O1622" s="292" t="str">
        <f t="array" ref="O1622">IFERROR(INDEX(PCRent!C:D, MATCH(F1622 &amp; " " &amp; G1622, PCRent!A:A &amp; " " &amp; PCRent!B:B, 0)), "")</f>
        <v/>
      </c>
      <c r="P1622" s="293"/>
      <c r="Q1622" s="294" t="str">
        <f t="array" ref="Q1622">IFERROR(INDEX(MonitorRent!C:D, MATCH(F1622 &amp; " " &amp; G1622, MonitorRent!A:A &amp; " " &amp; MonitorRent!B:B, 0)), "")</f>
        <v/>
      </c>
      <c r="R1622" s="295"/>
    </row>
    <row r="1623">
      <c r="A1623" s="284">
        <v>1620.0</v>
      </c>
      <c r="B1623" s="285" t="s">
        <v>16307</v>
      </c>
      <c r="C1623" s="285" t="s">
        <v>16048</v>
      </c>
      <c r="D1623" s="286" t="s">
        <v>16308</v>
      </c>
      <c r="E1623" s="285" t="s">
        <v>6921</v>
      </c>
      <c r="F1623" s="285" t="s">
        <v>16309</v>
      </c>
      <c r="G1623" s="285" t="s">
        <v>16310</v>
      </c>
      <c r="H1623" s="285" t="s">
        <v>12875</v>
      </c>
      <c r="I1623" s="297"/>
      <c r="J1623" s="285" t="s">
        <v>5012</v>
      </c>
      <c r="K1623" s="285" t="s">
        <v>16311</v>
      </c>
      <c r="L1623" s="285" t="s">
        <v>16066</v>
      </c>
      <c r="M1623" s="285" t="s">
        <v>9383</v>
      </c>
      <c r="N1623" s="287" t="str">
        <f>IFERROR(
    IF(
        AND(
            VLOOKUP(B1623, 'รายชื่อพนักงานลาออกพ้นสภาพ'!B:I, 8, FALSE)&lt;&gt;"ยกเลิกลาออก",
            VLOOKUP(B1623, 'รายชื่อพนักงานลาออกพ้นสภาพ'!B:I, 7, FALSE)&lt;=TODAY()
        ),
        "ลาออกแล้ว",
        ""
    ),
"")</f>
        <v/>
      </c>
      <c r="O1623" s="292" t="str">
        <f t="array" ref="O1623">IFERROR(INDEX(PCRent!C:D, MATCH(F1623 &amp; " " &amp; G1623, PCRent!A:A &amp; " " &amp; PCRent!B:B, 0)), "")</f>
        <v/>
      </c>
      <c r="P1623" s="293"/>
      <c r="Q1623" s="294" t="str">
        <f t="array" ref="Q1623">IFERROR(INDEX(MonitorRent!C:D, MATCH(F1623 &amp; " " &amp; G1623, MonitorRent!A:A &amp; " " &amp; MonitorRent!B:B, 0)), "")</f>
        <v/>
      </c>
      <c r="R1623" s="295"/>
    </row>
    <row r="1624">
      <c r="A1624" s="284">
        <v>1621.0</v>
      </c>
      <c r="B1624" s="285" t="s">
        <v>16312</v>
      </c>
      <c r="C1624" s="285" t="s">
        <v>16048</v>
      </c>
      <c r="D1624" s="286" t="s">
        <v>10603</v>
      </c>
      <c r="E1624" s="285" t="s">
        <v>6921</v>
      </c>
      <c r="F1624" s="285" t="s">
        <v>9843</v>
      </c>
      <c r="G1624" s="285" t="s">
        <v>16313</v>
      </c>
      <c r="H1624" s="285" t="s">
        <v>10244</v>
      </c>
      <c r="I1624" s="297"/>
      <c r="J1624" s="285" t="s">
        <v>5012</v>
      </c>
      <c r="K1624" s="285" t="s">
        <v>16314</v>
      </c>
      <c r="L1624" s="285" t="s">
        <v>16115</v>
      </c>
      <c r="M1624" s="285" t="s">
        <v>9383</v>
      </c>
      <c r="N1624" s="287" t="str">
        <f>IFERROR(
    IF(
        AND(
            VLOOKUP(B1624, 'รายชื่อพนักงานลาออกพ้นสภาพ'!B:I, 8, FALSE)&lt;&gt;"ยกเลิกลาออก",
            VLOOKUP(B1624, 'รายชื่อพนักงานลาออกพ้นสภาพ'!B:I, 7, FALSE)&lt;=TODAY()
        ),
        "ลาออกแล้ว",
        ""
    ),
"")</f>
        <v/>
      </c>
      <c r="O1624" s="292" t="str">
        <f t="array" ref="O1624">IFERROR(INDEX(PCRent!C:D, MATCH(F1624 &amp; " " &amp; G1624, PCRent!A:A &amp; " " &amp; PCRent!B:B, 0)), "")</f>
        <v/>
      </c>
      <c r="P1624" s="293"/>
      <c r="Q1624" s="294" t="str">
        <f t="array" ref="Q1624">IFERROR(INDEX(MonitorRent!C:D, MATCH(F1624 &amp; " " &amp; G1624, MonitorRent!A:A &amp; " " &amp; MonitorRent!B:B, 0)), "")</f>
        <v/>
      </c>
      <c r="R1624" s="295"/>
    </row>
    <row r="1625">
      <c r="A1625" s="284">
        <v>1622.0</v>
      </c>
      <c r="B1625" s="285" t="s">
        <v>16315</v>
      </c>
      <c r="C1625" s="285" t="s">
        <v>16048</v>
      </c>
      <c r="D1625" s="286" t="s">
        <v>16316</v>
      </c>
      <c r="E1625" s="285" t="s">
        <v>7239</v>
      </c>
      <c r="F1625" s="285" t="s">
        <v>9854</v>
      </c>
      <c r="G1625" s="285" t="s">
        <v>16317</v>
      </c>
      <c r="H1625" s="285" t="s">
        <v>11916</v>
      </c>
      <c r="I1625" s="285" t="s">
        <v>16318</v>
      </c>
      <c r="J1625" s="285" t="s">
        <v>5012</v>
      </c>
      <c r="K1625" s="285" t="s">
        <v>16319</v>
      </c>
      <c r="L1625" s="285" t="s">
        <v>16115</v>
      </c>
      <c r="M1625" s="285" t="s">
        <v>9383</v>
      </c>
      <c r="N1625" s="287" t="str">
        <f>IFERROR(
    IF(
        AND(
            VLOOKUP(B1625, 'รายชื่อพนักงานลาออกพ้นสภาพ'!B:I, 8, FALSE)&lt;&gt;"ยกเลิกลาออก",
            VLOOKUP(B1625, 'รายชื่อพนักงานลาออกพ้นสภาพ'!B:I, 7, FALSE)&lt;=TODAY()
        ),
        "ลาออกแล้ว",
        ""
    ),
"")</f>
        <v/>
      </c>
      <c r="O1625" s="292" t="str">
        <f t="array" ref="O1625">IFERROR(INDEX(PCRent!C:D, MATCH(F1625 &amp; " " &amp; G1625, PCRent!A:A &amp; " " &amp; PCRent!B:B, 0)), "")</f>
        <v/>
      </c>
      <c r="P1625" s="293"/>
      <c r="Q1625" s="294" t="str">
        <f t="array" ref="Q1625">IFERROR(INDEX(MonitorRent!C:D, MATCH(F1625 &amp; " " &amp; G1625, MonitorRent!A:A &amp; " " &amp; MonitorRent!B:B, 0)), "")</f>
        <v/>
      </c>
      <c r="R1625" s="295"/>
    </row>
    <row r="1626">
      <c r="A1626" s="284">
        <v>1623.0</v>
      </c>
      <c r="B1626" s="285" t="s">
        <v>16320</v>
      </c>
      <c r="C1626" s="285" t="s">
        <v>16048</v>
      </c>
      <c r="D1626" s="286" t="s">
        <v>14426</v>
      </c>
      <c r="E1626" s="285" t="s">
        <v>6921</v>
      </c>
      <c r="F1626" s="285" t="s">
        <v>15019</v>
      </c>
      <c r="G1626" s="285" t="s">
        <v>16321</v>
      </c>
      <c r="H1626" s="285" t="s">
        <v>9754</v>
      </c>
      <c r="I1626" s="296"/>
      <c r="J1626" s="285" t="s">
        <v>5012</v>
      </c>
      <c r="K1626" s="285" t="s">
        <v>16322</v>
      </c>
      <c r="L1626" s="285" t="s">
        <v>16048</v>
      </c>
      <c r="M1626" s="285" t="s">
        <v>9383</v>
      </c>
      <c r="N1626" s="287" t="str">
        <f>IFERROR(
    IF(
        AND(
            VLOOKUP(B1626, 'รายชื่อพนักงานลาออกพ้นสภาพ'!B:I, 8, FALSE)&lt;&gt;"ยกเลิกลาออก",
            VLOOKUP(B1626, 'รายชื่อพนักงานลาออกพ้นสภาพ'!B:I, 7, FALSE)&lt;=TODAY()
        ),
        "ลาออกแล้ว",
        ""
    ),
"")</f>
        <v/>
      </c>
      <c r="O1626" s="292" t="str">
        <f t="array" ref="O1626">IFERROR(INDEX(PCRent!C:D, MATCH(F1626 &amp; " " &amp; G1626, PCRent!A:A &amp; " " &amp; PCRent!B:B, 0)), "")</f>
        <v/>
      </c>
      <c r="P1626" s="293"/>
      <c r="Q1626" s="294" t="str">
        <f t="array" ref="Q1626">IFERROR(INDEX(MonitorRent!C:D, MATCH(F1626 &amp; " " &amp; G1626, MonitorRent!A:A &amp; " " &amp; MonitorRent!B:B, 0)), "")</f>
        <v/>
      </c>
      <c r="R1626" s="295"/>
    </row>
    <row r="1627">
      <c r="A1627" s="284">
        <v>1624.0</v>
      </c>
      <c r="B1627" s="285" t="s">
        <v>16323</v>
      </c>
      <c r="C1627" s="285" t="s">
        <v>16048</v>
      </c>
      <c r="D1627" s="286" t="s">
        <v>16324</v>
      </c>
      <c r="E1627" s="285" t="s">
        <v>6933</v>
      </c>
      <c r="F1627" s="285" t="s">
        <v>11603</v>
      </c>
      <c r="G1627" s="285" t="s">
        <v>16325</v>
      </c>
      <c r="H1627" s="285" t="s">
        <v>16326</v>
      </c>
      <c r="I1627" s="297"/>
      <c r="J1627" s="285" t="s">
        <v>5012</v>
      </c>
      <c r="K1627" s="285" t="s">
        <v>16327</v>
      </c>
      <c r="L1627" s="285" t="s">
        <v>16255</v>
      </c>
      <c r="M1627" s="285" t="s">
        <v>9383</v>
      </c>
      <c r="N1627" s="287" t="str">
        <f>IFERROR(
    IF(
        AND(
            VLOOKUP(B1627, 'รายชื่อพนักงานลาออกพ้นสภาพ'!B:I, 8, FALSE)&lt;&gt;"ยกเลิกลาออก",
            VLOOKUP(B1627, 'รายชื่อพนักงานลาออกพ้นสภาพ'!B:I, 7, FALSE)&lt;=TODAY()
        ),
        "ลาออกแล้ว",
        ""
    ),
"")</f>
        <v/>
      </c>
      <c r="O1627" s="292" t="str">
        <f t="array" ref="O1627">IFERROR(INDEX(PCRent!C:D, MATCH(F1627 &amp; " " &amp; G1627, PCRent!A:A &amp; " " &amp; PCRent!B:B, 0)), "")</f>
        <v/>
      </c>
      <c r="P1627" s="293"/>
      <c r="Q1627" s="294" t="str">
        <f t="array" ref="Q1627">IFERROR(INDEX(MonitorRent!C:D, MATCH(F1627 &amp; " " &amp; G1627, MonitorRent!A:A &amp; " " &amp; MonitorRent!B:B, 0)), "")</f>
        <v/>
      </c>
      <c r="R1627" s="295"/>
    </row>
    <row r="1628">
      <c r="A1628" s="284">
        <v>1625.0</v>
      </c>
      <c r="B1628" s="285" t="s">
        <v>16328</v>
      </c>
      <c r="C1628" s="285" t="s">
        <v>16048</v>
      </c>
      <c r="D1628" s="286" t="s">
        <v>11586</v>
      </c>
      <c r="E1628" s="285" t="s">
        <v>6921</v>
      </c>
      <c r="F1628" s="285" t="s">
        <v>11633</v>
      </c>
      <c r="G1628" s="285" t="s">
        <v>16329</v>
      </c>
      <c r="H1628" s="285" t="s">
        <v>10704</v>
      </c>
      <c r="I1628" s="297"/>
      <c r="J1628" s="285" t="s">
        <v>5012</v>
      </c>
      <c r="K1628" s="285" t="s">
        <v>16228</v>
      </c>
      <c r="L1628" s="285" t="s">
        <v>54</v>
      </c>
      <c r="M1628" s="285" t="s">
        <v>9383</v>
      </c>
      <c r="N1628" s="287" t="str">
        <f>IFERROR(
    IF(
        AND(
            VLOOKUP(B1628, 'รายชื่อพนักงานลาออกพ้นสภาพ'!B:I, 8, FALSE)&lt;&gt;"ยกเลิกลาออก",
            VLOOKUP(B1628, 'รายชื่อพนักงานลาออกพ้นสภาพ'!B:I, 7, FALSE)&lt;=TODAY()
        ),
        "ลาออกแล้ว",
        ""
    ),
"")</f>
        <v/>
      </c>
      <c r="O1628" s="292" t="str">
        <f t="array" ref="O1628">IFERROR(INDEX(PCRent!C:D, MATCH(F1628 &amp; " " &amp; G1628, PCRent!A:A &amp; " " &amp; PCRent!B:B, 0)), "")</f>
        <v/>
      </c>
      <c r="P1628" s="293"/>
      <c r="Q1628" s="294" t="str">
        <f t="array" ref="Q1628">IFERROR(INDEX(MonitorRent!C:D, MATCH(F1628 &amp; " " &amp; G1628, MonitorRent!A:A &amp; " " &amp; MonitorRent!B:B, 0)), "")</f>
        <v/>
      </c>
      <c r="R1628" s="295"/>
    </row>
    <row r="1629">
      <c r="A1629" s="284">
        <v>1626.0</v>
      </c>
      <c r="B1629" s="285" t="s">
        <v>16330</v>
      </c>
      <c r="C1629" s="285" t="s">
        <v>16048</v>
      </c>
      <c r="D1629" s="286" t="s">
        <v>16331</v>
      </c>
      <c r="E1629" s="285" t="s">
        <v>6921</v>
      </c>
      <c r="F1629" s="285" t="s">
        <v>16332</v>
      </c>
      <c r="G1629" s="285" t="s">
        <v>16333</v>
      </c>
      <c r="H1629" s="285" t="s">
        <v>12791</v>
      </c>
      <c r="I1629" s="285" t="s">
        <v>16334</v>
      </c>
      <c r="J1629" s="285" t="s">
        <v>5012</v>
      </c>
      <c r="K1629" s="285" t="s">
        <v>16335</v>
      </c>
      <c r="L1629" s="285" t="s">
        <v>16255</v>
      </c>
      <c r="M1629" s="285" t="s">
        <v>9383</v>
      </c>
      <c r="N1629" s="287" t="str">
        <f>IFERROR(
    IF(
        AND(
            VLOOKUP(B1629, 'รายชื่อพนักงานลาออกพ้นสภาพ'!B:I, 8, FALSE)&lt;&gt;"ยกเลิกลาออก",
            VLOOKUP(B1629, 'รายชื่อพนักงานลาออกพ้นสภาพ'!B:I, 7, FALSE)&lt;=TODAY()
        ),
        "ลาออกแล้ว",
        ""
    ),
"")</f>
        <v/>
      </c>
      <c r="O1629" s="292" t="str">
        <f t="array" ref="O1629">IFERROR(INDEX(PCRent!C:D, MATCH(F1629 &amp; " " &amp; G1629, PCRent!A:A &amp; " " &amp; PCRent!B:B, 0)), "")</f>
        <v/>
      </c>
      <c r="P1629" s="293"/>
      <c r="Q1629" s="294" t="str">
        <f t="array" ref="Q1629">IFERROR(INDEX(MonitorRent!C:D, MATCH(F1629 &amp; " " &amp; G1629, MonitorRent!A:A &amp; " " &amp; MonitorRent!B:B, 0)), "")</f>
        <v/>
      </c>
      <c r="R1629" s="295"/>
    </row>
    <row r="1630">
      <c r="A1630" s="284">
        <v>1627.0</v>
      </c>
      <c r="B1630" s="285" t="s">
        <v>16336</v>
      </c>
      <c r="C1630" s="285" t="s">
        <v>16048</v>
      </c>
      <c r="D1630" s="286" t="s">
        <v>11796</v>
      </c>
      <c r="E1630" s="285" t="s">
        <v>6933</v>
      </c>
      <c r="F1630" s="285" t="s">
        <v>16337</v>
      </c>
      <c r="G1630" s="285" t="s">
        <v>16338</v>
      </c>
      <c r="H1630" s="285" t="s">
        <v>16339</v>
      </c>
      <c r="I1630" s="296"/>
      <c r="J1630" s="285" t="s">
        <v>5012</v>
      </c>
      <c r="K1630" s="285" t="s">
        <v>16340</v>
      </c>
      <c r="L1630" s="285" t="s">
        <v>16115</v>
      </c>
      <c r="M1630" s="285" t="s">
        <v>9383</v>
      </c>
      <c r="N1630" s="287" t="str">
        <f>IFERROR(
    IF(
        AND(
            VLOOKUP(B1630, 'รายชื่อพนักงานลาออกพ้นสภาพ'!B:I, 8, FALSE)&lt;&gt;"ยกเลิกลาออก",
            VLOOKUP(B1630, 'รายชื่อพนักงานลาออกพ้นสภาพ'!B:I, 7, FALSE)&lt;=TODAY()
        ),
        "ลาออกแล้ว",
        ""
    ),
"")</f>
        <v/>
      </c>
      <c r="O1630" s="292" t="str">
        <f t="array" ref="O1630">IFERROR(INDEX(PCRent!C:D, MATCH(F1630 &amp; " " &amp; G1630, PCRent!A:A &amp; " " &amp; PCRent!B:B, 0)), "")</f>
        <v/>
      </c>
      <c r="P1630" s="293"/>
      <c r="Q1630" s="294" t="str">
        <f t="array" ref="Q1630">IFERROR(INDEX(MonitorRent!C:D, MATCH(F1630 &amp; " " &amp; G1630, MonitorRent!A:A &amp; " " &amp; MonitorRent!B:B, 0)), "")</f>
        <v/>
      </c>
      <c r="R1630" s="295"/>
    </row>
    <row r="1631">
      <c r="A1631" s="284">
        <v>1628.0</v>
      </c>
      <c r="B1631" s="285" t="s">
        <v>16341</v>
      </c>
      <c r="C1631" s="285" t="s">
        <v>16048</v>
      </c>
      <c r="D1631" s="286" t="s">
        <v>16342</v>
      </c>
      <c r="E1631" s="285" t="s">
        <v>6933</v>
      </c>
      <c r="F1631" s="285" t="s">
        <v>16343</v>
      </c>
      <c r="G1631" s="285" t="s">
        <v>16344</v>
      </c>
      <c r="H1631" s="285" t="s">
        <v>16345</v>
      </c>
      <c r="I1631" s="297"/>
      <c r="J1631" s="285" t="s">
        <v>5012</v>
      </c>
      <c r="K1631" s="285" t="s">
        <v>16346</v>
      </c>
      <c r="L1631" s="285" t="s">
        <v>16057</v>
      </c>
      <c r="M1631" s="285" t="s">
        <v>9383</v>
      </c>
      <c r="N1631" s="287" t="str">
        <f>IFERROR(
    IF(
        AND(
            VLOOKUP(B1631, 'รายชื่อพนักงานลาออกพ้นสภาพ'!B:I, 8, FALSE)&lt;&gt;"ยกเลิกลาออก",
            VLOOKUP(B1631, 'รายชื่อพนักงานลาออกพ้นสภาพ'!B:I, 7, FALSE)&lt;=TODAY()
        ),
        "ลาออกแล้ว",
        ""
    ),
"")</f>
        <v/>
      </c>
      <c r="O1631" s="292" t="str">
        <f t="array" ref="O1631">IFERROR(INDEX(PCRent!C:D, MATCH(F1631 &amp; " " &amp; G1631, PCRent!A:A &amp; " " &amp; PCRent!B:B, 0)), "")</f>
        <v/>
      </c>
      <c r="P1631" s="293"/>
      <c r="Q1631" s="294" t="str">
        <f t="array" ref="Q1631">IFERROR(INDEX(MonitorRent!C:D, MATCH(F1631 &amp; " " &amp; G1631, MonitorRent!A:A &amp; " " &amp; MonitorRent!B:B, 0)), "")</f>
        <v/>
      </c>
      <c r="R1631" s="295"/>
    </row>
    <row r="1632">
      <c r="A1632" s="284">
        <v>1629.0</v>
      </c>
      <c r="B1632" s="285" t="s">
        <v>16347</v>
      </c>
      <c r="C1632" s="285" t="s">
        <v>16048</v>
      </c>
      <c r="D1632" s="286" t="s">
        <v>16348</v>
      </c>
      <c r="E1632" s="285" t="s">
        <v>6933</v>
      </c>
      <c r="F1632" s="285" t="s">
        <v>16349</v>
      </c>
      <c r="G1632" s="285" t="s">
        <v>16350</v>
      </c>
      <c r="H1632" s="285" t="s">
        <v>10277</v>
      </c>
      <c r="I1632" s="285" t="s">
        <v>16351</v>
      </c>
      <c r="J1632" s="285" t="s">
        <v>5012</v>
      </c>
      <c r="K1632" s="285" t="s">
        <v>4749</v>
      </c>
      <c r="L1632" s="285" t="s">
        <v>16185</v>
      </c>
      <c r="M1632" s="285" t="s">
        <v>9383</v>
      </c>
      <c r="N1632" s="287" t="str">
        <f>IFERROR(
    IF(
        AND(
            VLOOKUP(B1632, 'รายชื่อพนักงานลาออกพ้นสภาพ'!B:I, 8, FALSE)&lt;&gt;"ยกเลิกลาออก",
            VLOOKUP(B1632, 'รายชื่อพนักงานลาออกพ้นสภาพ'!B:I, 7, FALSE)&lt;=TODAY()
        ),
        "ลาออกแล้ว",
        ""
    ),
"")</f>
        <v/>
      </c>
      <c r="O1632" s="292" t="str">
        <f t="array" ref="O1632">IFERROR(INDEX(PCRent!C:D, MATCH(F1632 &amp; " " &amp; G1632, PCRent!A:A &amp; " " &amp; PCRent!B:B, 0)), "")</f>
        <v/>
      </c>
      <c r="P1632" s="293"/>
      <c r="Q1632" s="294" t="str">
        <f t="array" ref="Q1632">IFERROR(INDEX(MonitorRent!C:D, MATCH(F1632 &amp; " " &amp; G1632, MonitorRent!A:A &amp; " " &amp; MonitorRent!B:B, 0)), "")</f>
        <v/>
      </c>
      <c r="R1632" s="295"/>
    </row>
    <row r="1633">
      <c r="A1633" s="284">
        <v>1630.0</v>
      </c>
      <c r="B1633" s="285" t="s">
        <v>16352</v>
      </c>
      <c r="C1633" s="285" t="s">
        <v>16048</v>
      </c>
      <c r="D1633" s="286" t="s">
        <v>16353</v>
      </c>
      <c r="E1633" s="285" t="s">
        <v>6933</v>
      </c>
      <c r="F1633" s="285" t="s">
        <v>13325</v>
      </c>
      <c r="G1633" s="285" t="s">
        <v>16354</v>
      </c>
      <c r="H1633" s="285" t="s">
        <v>16355</v>
      </c>
      <c r="I1633" s="296"/>
      <c r="J1633" s="285" t="s">
        <v>5012</v>
      </c>
      <c r="K1633" s="285" t="s">
        <v>16356</v>
      </c>
      <c r="L1633" s="285" t="s">
        <v>16115</v>
      </c>
      <c r="M1633" s="285" t="s">
        <v>9383</v>
      </c>
      <c r="N1633" s="287" t="str">
        <f>IFERROR(
    IF(
        AND(
            VLOOKUP(B1633, 'รายชื่อพนักงานลาออกพ้นสภาพ'!B:I, 8, FALSE)&lt;&gt;"ยกเลิกลาออก",
            VLOOKUP(B1633, 'รายชื่อพนักงานลาออกพ้นสภาพ'!B:I, 7, FALSE)&lt;=TODAY()
        ),
        "ลาออกแล้ว",
        ""
    ),
"")</f>
        <v/>
      </c>
      <c r="O1633" s="292" t="str">
        <f t="array" ref="O1633">IFERROR(INDEX(PCRent!C:D, MATCH(F1633 &amp; " " &amp; G1633, PCRent!A:A &amp; " " &amp; PCRent!B:B, 0)), "")</f>
        <v/>
      </c>
      <c r="P1633" s="293"/>
      <c r="Q1633" s="294" t="str">
        <f t="array" ref="Q1633">IFERROR(INDEX(MonitorRent!C:D, MATCH(F1633 &amp; " " &amp; G1633, MonitorRent!A:A &amp; " " &amp; MonitorRent!B:B, 0)), "")</f>
        <v/>
      </c>
      <c r="R1633" s="295"/>
    </row>
    <row r="1634">
      <c r="A1634" s="284">
        <v>1631.0</v>
      </c>
      <c r="B1634" s="285" t="s">
        <v>16357</v>
      </c>
      <c r="C1634" s="285" t="s">
        <v>16048</v>
      </c>
      <c r="D1634" s="286" t="s">
        <v>13522</v>
      </c>
      <c r="E1634" s="285" t="s">
        <v>6933</v>
      </c>
      <c r="F1634" s="285" t="s">
        <v>16358</v>
      </c>
      <c r="G1634" s="285" t="s">
        <v>16359</v>
      </c>
      <c r="H1634" s="285" t="s">
        <v>16360</v>
      </c>
      <c r="I1634" s="297"/>
      <c r="J1634" s="285" t="s">
        <v>5012</v>
      </c>
      <c r="K1634" s="285" t="s">
        <v>16361</v>
      </c>
      <c r="L1634" s="285" t="s">
        <v>16185</v>
      </c>
      <c r="M1634" s="285" t="s">
        <v>9383</v>
      </c>
      <c r="N1634" s="287" t="str">
        <f>IFERROR(
    IF(
        AND(
            VLOOKUP(B1634, 'รายชื่อพนักงานลาออกพ้นสภาพ'!B:I, 8, FALSE)&lt;&gt;"ยกเลิกลาออก",
            VLOOKUP(B1634, 'รายชื่อพนักงานลาออกพ้นสภาพ'!B:I, 7, FALSE)&lt;=TODAY()
        ),
        "ลาออกแล้ว",
        ""
    ),
"")</f>
        <v/>
      </c>
      <c r="O1634" s="292" t="str">
        <f t="array" ref="O1634">IFERROR(INDEX(PCRent!C:D, MATCH(F1634 &amp; " " &amp; G1634, PCRent!A:A &amp; " " &amp; PCRent!B:B, 0)), "")</f>
        <v/>
      </c>
      <c r="P1634" s="293"/>
      <c r="Q1634" s="294" t="str">
        <f t="array" ref="Q1634">IFERROR(INDEX(MonitorRent!C:D, MATCH(F1634 &amp; " " &amp; G1634, MonitorRent!A:A &amp; " " &amp; MonitorRent!B:B, 0)), "")</f>
        <v/>
      </c>
      <c r="R1634" s="295"/>
    </row>
    <row r="1635">
      <c r="A1635" s="284">
        <v>1632.0</v>
      </c>
      <c r="B1635" s="285" t="s">
        <v>16362</v>
      </c>
      <c r="C1635" s="285" t="s">
        <v>16048</v>
      </c>
      <c r="D1635" s="286" t="s">
        <v>16363</v>
      </c>
      <c r="E1635" s="285" t="s">
        <v>6921</v>
      </c>
      <c r="F1635" s="285" t="s">
        <v>16364</v>
      </c>
      <c r="G1635" s="285" t="s">
        <v>16365</v>
      </c>
      <c r="H1635" s="285" t="s">
        <v>16366</v>
      </c>
      <c r="I1635" s="285" t="s">
        <v>16367</v>
      </c>
      <c r="J1635" s="285" t="s">
        <v>5012</v>
      </c>
      <c r="K1635" s="285" t="s">
        <v>16368</v>
      </c>
      <c r="L1635" s="285" t="s">
        <v>54</v>
      </c>
      <c r="M1635" s="285" t="s">
        <v>9383</v>
      </c>
      <c r="N1635" s="287" t="str">
        <f>IFERROR(
    IF(
        AND(
            VLOOKUP(B1635, 'รายชื่อพนักงานลาออกพ้นสภาพ'!B:I, 8, FALSE)&lt;&gt;"ยกเลิกลาออก",
            VLOOKUP(B1635, 'รายชื่อพนักงานลาออกพ้นสภาพ'!B:I, 7, FALSE)&lt;=TODAY()
        ),
        "ลาออกแล้ว",
        ""
    ),
"")</f>
        <v/>
      </c>
      <c r="O1635" s="292" t="str">
        <f t="array" ref="O1635">IFERROR(INDEX(PCRent!C:D, MATCH(F1635 &amp; " " &amp; G1635, PCRent!A:A &amp; " " &amp; PCRent!B:B, 0)), "")</f>
        <v/>
      </c>
      <c r="P1635" s="293"/>
      <c r="Q1635" s="294" t="str">
        <f t="array" ref="Q1635">IFERROR(INDEX(MonitorRent!C:D, MATCH(F1635 &amp; " " &amp; G1635, MonitorRent!A:A &amp; " " &amp; MonitorRent!B:B, 0)), "")</f>
        <v/>
      </c>
      <c r="R1635" s="295"/>
    </row>
    <row r="1636">
      <c r="A1636" s="284">
        <v>1633.0</v>
      </c>
      <c r="B1636" s="285" t="s">
        <v>16369</v>
      </c>
      <c r="C1636" s="285" t="s">
        <v>16048</v>
      </c>
      <c r="D1636" s="286" t="s">
        <v>10354</v>
      </c>
      <c r="E1636" s="285" t="s">
        <v>6921</v>
      </c>
      <c r="F1636" s="285" t="s">
        <v>16370</v>
      </c>
      <c r="G1636" s="285" t="s">
        <v>16371</v>
      </c>
      <c r="H1636" s="285" t="s">
        <v>10178</v>
      </c>
      <c r="I1636" s="296"/>
      <c r="J1636" s="285" t="s">
        <v>5012</v>
      </c>
      <c r="K1636" s="285" t="s">
        <v>16145</v>
      </c>
      <c r="L1636" s="285" t="s">
        <v>16066</v>
      </c>
      <c r="M1636" s="285" t="s">
        <v>9383</v>
      </c>
      <c r="N1636" s="287" t="str">
        <f>IFERROR(
    IF(
        AND(
            VLOOKUP(B1636, 'รายชื่อพนักงานลาออกพ้นสภาพ'!B:I, 8, FALSE)&lt;&gt;"ยกเลิกลาออก",
            VLOOKUP(B1636, 'รายชื่อพนักงานลาออกพ้นสภาพ'!B:I, 7, FALSE)&lt;=TODAY()
        ),
        "ลาออกแล้ว",
        ""
    ),
"")</f>
        <v/>
      </c>
      <c r="O1636" s="292" t="str">
        <f t="array" ref="O1636">IFERROR(INDEX(PCRent!C:D, MATCH(F1636 &amp; " " &amp; G1636, PCRent!A:A &amp; " " &amp; PCRent!B:B, 0)), "")</f>
        <v/>
      </c>
      <c r="P1636" s="293"/>
      <c r="Q1636" s="294" t="str">
        <f t="array" ref="Q1636">IFERROR(INDEX(MonitorRent!C:D, MATCH(F1636 &amp; " " &amp; G1636, MonitorRent!A:A &amp; " " &amp; MonitorRent!B:B, 0)), "")</f>
        <v/>
      </c>
      <c r="R1636" s="295"/>
    </row>
    <row r="1637">
      <c r="A1637" s="284">
        <v>1634.0</v>
      </c>
      <c r="B1637" s="285" t="s">
        <v>16372</v>
      </c>
      <c r="C1637" s="285" t="s">
        <v>16048</v>
      </c>
      <c r="D1637" s="286" t="s">
        <v>16298</v>
      </c>
      <c r="E1637" s="285" t="s">
        <v>6933</v>
      </c>
      <c r="F1637" s="285" t="s">
        <v>10660</v>
      </c>
      <c r="G1637" s="285" t="s">
        <v>16373</v>
      </c>
      <c r="H1637" s="285" t="s">
        <v>16374</v>
      </c>
      <c r="I1637" s="297"/>
      <c r="J1637" s="285" t="s">
        <v>5012</v>
      </c>
      <c r="K1637" s="285" t="s">
        <v>16375</v>
      </c>
      <c r="L1637" s="285" t="s">
        <v>16115</v>
      </c>
      <c r="M1637" s="285" t="s">
        <v>9383</v>
      </c>
      <c r="N1637" s="287" t="str">
        <f>IFERROR(
    IF(
        AND(
            VLOOKUP(B1637, 'รายชื่อพนักงานลาออกพ้นสภาพ'!B:I, 8, FALSE)&lt;&gt;"ยกเลิกลาออก",
            VLOOKUP(B1637, 'รายชื่อพนักงานลาออกพ้นสภาพ'!B:I, 7, FALSE)&lt;=TODAY()
        ),
        "ลาออกแล้ว",
        ""
    ),
"")</f>
        <v/>
      </c>
      <c r="O1637" s="292" t="str">
        <f t="array" ref="O1637">IFERROR(INDEX(PCRent!C:D, MATCH(F1637 &amp; " " &amp; G1637, PCRent!A:A &amp; " " &amp; PCRent!B:B, 0)), "")</f>
        <v/>
      </c>
      <c r="P1637" s="293"/>
      <c r="Q1637" s="294" t="str">
        <f t="array" ref="Q1637">IFERROR(INDEX(MonitorRent!C:D, MATCH(F1637 &amp; " " &amp; G1637, MonitorRent!A:A &amp; " " &amp; MonitorRent!B:B, 0)), "")</f>
        <v/>
      </c>
      <c r="R1637" s="295"/>
    </row>
    <row r="1638">
      <c r="A1638" s="284">
        <v>1635.0</v>
      </c>
      <c r="B1638" s="285" t="s">
        <v>16376</v>
      </c>
      <c r="C1638" s="285" t="s">
        <v>16048</v>
      </c>
      <c r="D1638" s="286" t="s">
        <v>10533</v>
      </c>
      <c r="E1638" s="285" t="s">
        <v>6921</v>
      </c>
      <c r="F1638" s="285" t="s">
        <v>16377</v>
      </c>
      <c r="G1638" s="285" t="s">
        <v>16378</v>
      </c>
      <c r="H1638" s="285" t="s">
        <v>14808</v>
      </c>
      <c r="I1638" s="297"/>
      <c r="J1638" s="285" t="s">
        <v>5012</v>
      </c>
      <c r="K1638" s="285" t="s">
        <v>16126</v>
      </c>
      <c r="L1638" s="285" t="s">
        <v>16066</v>
      </c>
      <c r="M1638" s="285" t="s">
        <v>9383</v>
      </c>
      <c r="N1638" s="287" t="str">
        <f>IFERROR(
    IF(
        AND(
            VLOOKUP(B1638, 'รายชื่อพนักงานลาออกพ้นสภาพ'!B:I, 8, FALSE)&lt;&gt;"ยกเลิกลาออก",
            VLOOKUP(B1638, 'รายชื่อพนักงานลาออกพ้นสภาพ'!B:I, 7, FALSE)&lt;=TODAY()
        ),
        "ลาออกแล้ว",
        ""
    ),
"")</f>
        <v/>
      </c>
      <c r="O1638" s="292" t="str">
        <f t="array" ref="O1638">IFERROR(INDEX(PCRent!C:D, MATCH(F1638 &amp; " " &amp; G1638, PCRent!A:A &amp; " " &amp; PCRent!B:B, 0)), "")</f>
        <v/>
      </c>
      <c r="P1638" s="293"/>
      <c r="Q1638" s="294" t="str">
        <f t="array" ref="Q1638">IFERROR(INDEX(MonitorRent!C:D, MATCH(F1638 &amp; " " &amp; G1638, MonitorRent!A:A &amp; " " &amp; MonitorRent!B:B, 0)), "")</f>
        <v/>
      </c>
      <c r="R1638" s="295"/>
    </row>
    <row r="1639">
      <c r="A1639" s="284">
        <v>1636.0</v>
      </c>
      <c r="B1639" s="285" t="s">
        <v>16379</v>
      </c>
      <c r="C1639" s="285" t="s">
        <v>16048</v>
      </c>
      <c r="D1639" s="286" t="s">
        <v>12329</v>
      </c>
      <c r="E1639" s="285" t="s">
        <v>6921</v>
      </c>
      <c r="F1639" s="285" t="s">
        <v>16380</v>
      </c>
      <c r="G1639" s="285" t="s">
        <v>16381</v>
      </c>
      <c r="H1639" s="285" t="s">
        <v>16382</v>
      </c>
      <c r="I1639" s="297"/>
      <c r="J1639" s="285" t="s">
        <v>5012</v>
      </c>
      <c r="K1639" s="285" t="s">
        <v>16383</v>
      </c>
      <c r="L1639" s="285" t="s">
        <v>16115</v>
      </c>
      <c r="M1639" s="285" t="s">
        <v>9383</v>
      </c>
      <c r="N1639" s="287" t="str">
        <f>IFERROR(
    IF(
        AND(
            VLOOKUP(B1639, 'รายชื่อพนักงานลาออกพ้นสภาพ'!B:I, 8, FALSE)&lt;&gt;"ยกเลิกลาออก",
            VLOOKUP(B1639, 'รายชื่อพนักงานลาออกพ้นสภาพ'!B:I, 7, FALSE)&lt;=TODAY()
        ),
        "ลาออกแล้ว",
        ""
    ),
"")</f>
        <v/>
      </c>
      <c r="O1639" s="292" t="str">
        <f t="array" ref="O1639">IFERROR(INDEX(PCRent!C:D, MATCH(F1639 &amp; " " &amp; G1639, PCRent!A:A &amp; " " &amp; PCRent!B:B, 0)), "")</f>
        <v/>
      </c>
      <c r="P1639" s="293"/>
      <c r="Q1639" s="294" t="str">
        <f t="array" ref="Q1639">IFERROR(INDEX(MonitorRent!C:D, MATCH(F1639 &amp; " " &amp; G1639, MonitorRent!A:A &amp; " " &amp; MonitorRent!B:B, 0)), "")</f>
        <v/>
      </c>
      <c r="R1639" s="295"/>
    </row>
    <row r="1640">
      <c r="A1640" s="284">
        <v>1637.0</v>
      </c>
      <c r="B1640" s="285" t="s">
        <v>16384</v>
      </c>
      <c r="C1640" s="285" t="s">
        <v>16048</v>
      </c>
      <c r="D1640" s="286" t="s">
        <v>16385</v>
      </c>
      <c r="E1640" s="285" t="s">
        <v>6933</v>
      </c>
      <c r="F1640" s="285" t="s">
        <v>15535</v>
      </c>
      <c r="G1640" s="285" t="s">
        <v>16386</v>
      </c>
      <c r="H1640" s="285" t="s">
        <v>16387</v>
      </c>
      <c r="I1640" s="297"/>
      <c r="J1640" s="285" t="s">
        <v>5012</v>
      </c>
      <c r="K1640" s="285" t="s">
        <v>16375</v>
      </c>
      <c r="L1640" s="285" t="s">
        <v>16115</v>
      </c>
      <c r="M1640" s="285" t="s">
        <v>9383</v>
      </c>
      <c r="N1640" s="287" t="str">
        <f>IFERROR(
    IF(
        AND(
            VLOOKUP(B1640, 'รายชื่อพนักงานลาออกพ้นสภาพ'!B:I, 8, FALSE)&lt;&gt;"ยกเลิกลาออก",
            VLOOKUP(B1640, 'รายชื่อพนักงานลาออกพ้นสภาพ'!B:I, 7, FALSE)&lt;=TODAY()
        ),
        "ลาออกแล้ว",
        ""
    ),
"")</f>
        <v/>
      </c>
      <c r="O1640" s="292" t="str">
        <f t="array" ref="O1640">IFERROR(INDEX(PCRent!C:D, MATCH(F1640 &amp; " " &amp; G1640, PCRent!A:A &amp; " " &amp; PCRent!B:B, 0)), "")</f>
        <v/>
      </c>
      <c r="P1640" s="293"/>
      <c r="Q1640" s="294" t="str">
        <f t="array" ref="Q1640">IFERROR(INDEX(MonitorRent!C:D, MATCH(F1640 &amp; " " &amp; G1640, MonitorRent!A:A &amp; " " &amp; MonitorRent!B:B, 0)), "")</f>
        <v/>
      </c>
      <c r="R1640" s="295"/>
    </row>
    <row r="1641">
      <c r="A1641" s="284">
        <v>1638.0</v>
      </c>
      <c r="B1641" s="285" t="s">
        <v>16388</v>
      </c>
      <c r="C1641" s="285" t="s">
        <v>16048</v>
      </c>
      <c r="D1641" s="286" t="s">
        <v>9932</v>
      </c>
      <c r="E1641" s="285" t="s">
        <v>6921</v>
      </c>
      <c r="F1641" s="285" t="s">
        <v>16389</v>
      </c>
      <c r="G1641" s="285" t="s">
        <v>16390</v>
      </c>
      <c r="H1641" s="285" t="s">
        <v>9940</v>
      </c>
      <c r="I1641" s="297"/>
      <c r="J1641" s="285" t="s">
        <v>5012</v>
      </c>
      <c r="K1641" s="285" t="s">
        <v>16065</v>
      </c>
      <c r="L1641" s="285" t="s">
        <v>16066</v>
      </c>
      <c r="M1641" s="285" t="s">
        <v>9383</v>
      </c>
      <c r="N1641" s="287" t="str">
        <f>IFERROR(
    IF(
        AND(
            VLOOKUP(B1641, 'รายชื่อพนักงานลาออกพ้นสภาพ'!B:I, 8, FALSE)&lt;&gt;"ยกเลิกลาออก",
            VLOOKUP(B1641, 'รายชื่อพนักงานลาออกพ้นสภาพ'!B:I, 7, FALSE)&lt;=TODAY()
        ),
        "ลาออกแล้ว",
        ""
    ),
"")</f>
        <v/>
      </c>
      <c r="O1641" s="292" t="str">
        <f t="array" ref="O1641">IFERROR(INDEX(PCRent!C:D, MATCH(F1641 &amp; " " &amp; G1641, PCRent!A:A &amp; " " &amp; PCRent!B:B, 0)), "")</f>
        <v/>
      </c>
      <c r="P1641" s="293"/>
      <c r="Q1641" s="294" t="str">
        <f t="array" ref="Q1641">IFERROR(INDEX(MonitorRent!C:D, MATCH(F1641 &amp; " " &amp; G1641, MonitorRent!A:A &amp; " " &amp; MonitorRent!B:B, 0)), "")</f>
        <v/>
      </c>
      <c r="R1641" s="295"/>
    </row>
    <row r="1642">
      <c r="A1642" s="284">
        <v>1639.0</v>
      </c>
      <c r="B1642" s="285" t="s">
        <v>16391</v>
      </c>
      <c r="C1642" s="285" t="s">
        <v>16048</v>
      </c>
      <c r="D1642" s="286" t="s">
        <v>16392</v>
      </c>
      <c r="E1642" s="285" t="s">
        <v>7239</v>
      </c>
      <c r="F1642" s="285" t="s">
        <v>12041</v>
      </c>
      <c r="G1642" s="285" t="s">
        <v>16393</v>
      </c>
      <c r="H1642" s="285" t="s">
        <v>10073</v>
      </c>
      <c r="I1642" s="297"/>
      <c r="J1642" s="285" t="s">
        <v>5012</v>
      </c>
      <c r="K1642" s="285" t="s">
        <v>10989</v>
      </c>
      <c r="L1642" s="285" t="s">
        <v>16066</v>
      </c>
      <c r="M1642" s="285" t="s">
        <v>9383</v>
      </c>
      <c r="N1642" s="287" t="str">
        <f>IFERROR(
    IF(
        AND(
            VLOOKUP(B1642, 'รายชื่อพนักงานลาออกพ้นสภาพ'!B:I, 8, FALSE)&lt;&gt;"ยกเลิกลาออก",
            VLOOKUP(B1642, 'รายชื่อพนักงานลาออกพ้นสภาพ'!B:I, 7, FALSE)&lt;=TODAY()
        ),
        "ลาออกแล้ว",
        ""
    ),
"")</f>
        <v/>
      </c>
      <c r="O1642" s="292" t="str">
        <f t="array" ref="O1642">IFERROR(INDEX(PCRent!C:D, MATCH(F1642 &amp; " " &amp; G1642, PCRent!A:A &amp; " " &amp; PCRent!B:B, 0)), "")</f>
        <v/>
      </c>
      <c r="P1642" s="293"/>
      <c r="Q1642" s="294" t="str">
        <f t="array" ref="Q1642">IFERROR(INDEX(MonitorRent!C:D, MATCH(F1642 &amp; " " &amp; G1642, MonitorRent!A:A &amp; " " &amp; MonitorRent!B:B, 0)), "")</f>
        <v/>
      </c>
      <c r="R1642" s="295"/>
    </row>
    <row r="1643">
      <c r="A1643" s="284">
        <v>1640.0</v>
      </c>
      <c r="B1643" s="285" t="s">
        <v>16394</v>
      </c>
      <c r="C1643" s="285" t="s">
        <v>16048</v>
      </c>
      <c r="D1643" s="286" t="s">
        <v>16128</v>
      </c>
      <c r="E1643" s="285" t="s">
        <v>6921</v>
      </c>
      <c r="F1643" s="285" t="s">
        <v>9980</v>
      </c>
      <c r="G1643" s="285" t="s">
        <v>16395</v>
      </c>
      <c r="H1643" s="285" t="s">
        <v>7239</v>
      </c>
      <c r="I1643" s="297"/>
      <c r="J1643" s="285" t="s">
        <v>5012</v>
      </c>
      <c r="K1643" s="285" t="s">
        <v>16306</v>
      </c>
      <c r="L1643" s="285" t="s">
        <v>16066</v>
      </c>
      <c r="M1643" s="285" t="s">
        <v>9383</v>
      </c>
      <c r="N1643" s="287" t="str">
        <f>IFERROR(
    IF(
        AND(
            VLOOKUP(B1643, 'รายชื่อพนักงานลาออกพ้นสภาพ'!B:I, 8, FALSE)&lt;&gt;"ยกเลิกลาออก",
            VLOOKUP(B1643, 'รายชื่อพนักงานลาออกพ้นสภาพ'!B:I, 7, FALSE)&lt;=TODAY()
        ),
        "ลาออกแล้ว",
        ""
    ),
"")</f>
        <v/>
      </c>
      <c r="O1643" s="292" t="str">
        <f t="array" ref="O1643">IFERROR(INDEX(PCRent!C:D, MATCH(F1643 &amp; " " &amp; G1643, PCRent!A:A &amp; " " &amp; PCRent!B:B, 0)), "")</f>
        <v/>
      </c>
      <c r="P1643" s="293"/>
      <c r="Q1643" s="294" t="str">
        <f t="array" ref="Q1643">IFERROR(INDEX(MonitorRent!C:D, MATCH(F1643 &amp; " " &amp; G1643, MonitorRent!A:A &amp; " " &amp; MonitorRent!B:B, 0)), "")</f>
        <v/>
      </c>
      <c r="R1643" s="295"/>
    </row>
    <row r="1644">
      <c r="A1644" s="284">
        <v>1641.0</v>
      </c>
      <c r="B1644" s="285" t="s">
        <v>16396</v>
      </c>
      <c r="C1644" s="285" t="s">
        <v>16048</v>
      </c>
      <c r="D1644" s="286" t="s">
        <v>16397</v>
      </c>
      <c r="E1644" s="285" t="s">
        <v>6933</v>
      </c>
      <c r="F1644" s="285" t="s">
        <v>16398</v>
      </c>
      <c r="G1644" s="285" t="s">
        <v>16399</v>
      </c>
      <c r="H1644" s="285" t="s">
        <v>16400</v>
      </c>
      <c r="I1644" s="285" t="s">
        <v>16401</v>
      </c>
      <c r="J1644" s="285" t="s">
        <v>5012</v>
      </c>
      <c r="K1644" s="285" t="s">
        <v>16402</v>
      </c>
      <c r="L1644" s="285" t="s">
        <v>5055</v>
      </c>
      <c r="M1644" s="285" t="s">
        <v>9383</v>
      </c>
      <c r="N1644" s="287" t="str">
        <f>IFERROR(
    IF(
        AND(
            VLOOKUP(B1644, 'รายชื่อพนักงานลาออกพ้นสภาพ'!B:I, 8, FALSE)&lt;&gt;"ยกเลิกลาออก",
            VLOOKUP(B1644, 'รายชื่อพนักงานลาออกพ้นสภาพ'!B:I, 7, FALSE)&lt;=TODAY()
        ),
        "ลาออกแล้ว",
        ""
    ),
"")</f>
        <v/>
      </c>
      <c r="O1644" s="292" t="str">
        <f t="array" ref="O1644">IFERROR(INDEX(PCRent!C:D, MATCH(F1644 &amp; " " &amp; G1644, PCRent!A:A &amp; " " &amp; PCRent!B:B, 0)), "")</f>
        <v/>
      </c>
      <c r="P1644" s="293"/>
      <c r="Q1644" s="294" t="str">
        <f t="array" ref="Q1644">IFERROR(INDEX(MonitorRent!C:D, MATCH(F1644 &amp; " " &amp; G1644, MonitorRent!A:A &amp; " " &amp; MonitorRent!B:B, 0)), "")</f>
        <v/>
      </c>
      <c r="R1644" s="295"/>
    </row>
    <row r="1645">
      <c r="A1645" s="284">
        <v>1642.0</v>
      </c>
      <c r="B1645" s="285" t="s">
        <v>16403</v>
      </c>
      <c r="C1645" s="285" t="s">
        <v>16048</v>
      </c>
      <c r="D1645" s="286" t="s">
        <v>10613</v>
      </c>
      <c r="E1645" s="285" t="s">
        <v>7239</v>
      </c>
      <c r="F1645" s="285" t="s">
        <v>16404</v>
      </c>
      <c r="G1645" s="285" t="s">
        <v>16405</v>
      </c>
      <c r="H1645" s="285" t="s">
        <v>10225</v>
      </c>
      <c r="I1645" s="296"/>
      <c r="J1645" s="285" t="s">
        <v>5012</v>
      </c>
      <c r="K1645" s="285" t="s">
        <v>16145</v>
      </c>
      <c r="L1645" s="285" t="s">
        <v>16066</v>
      </c>
      <c r="M1645" s="285" t="s">
        <v>9383</v>
      </c>
      <c r="N1645" s="287" t="str">
        <f>IFERROR(
    IF(
        AND(
            VLOOKUP(B1645, 'รายชื่อพนักงานลาออกพ้นสภาพ'!B:I, 8, FALSE)&lt;&gt;"ยกเลิกลาออก",
            VLOOKUP(B1645, 'รายชื่อพนักงานลาออกพ้นสภาพ'!B:I, 7, FALSE)&lt;=TODAY()
        ),
        "ลาออกแล้ว",
        ""
    ),
"")</f>
        <v/>
      </c>
      <c r="O1645" s="292" t="str">
        <f t="array" ref="O1645">IFERROR(INDEX(PCRent!C:D, MATCH(F1645 &amp; " " &amp; G1645, PCRent!A:A &amp; " " &amp; PCRent!B:B, 0)), "")</f>
        <v/>
      </c>
      <c r="P1645" s="293"/>
      <c r="Q1645" s="294" t="str">
        <f t="array" ref="Q1645">IFERROR(INDEX(MonitorRent!C:D, MATCH(F1645 &amp; " " &amp; G1645, MonitorRent!A:A &amp; " " &amp; MonitorRent!B:B, 0)), "")</f>
        <v/>
      </c>
      <c r="R1645" s="295"/>
    </row>
    <row r="1646">
      <c r="A1646" s="284">
        <v>1643.0</v>
      </c>
      <c r="B1646" s="285" t="s">
        <v>16406</v>
      </c>
      <c r="C1646" s="285" t="s">
        <v>16048</v>
      </c>
      <c r="D1646" s="286" t="s">
        <v>16407</v>
      </c>
      <c r="E1646" s="285" t="s">
        <v>6933</v>
      </c>
      <c r="F1646" s="285" t="s">
        <v>12114</v>
      </c>
      <c r="G1646" s="285" t="s">
        <v>10223</v>
      </c>
      <c r="H1646" s="285" t="s">
        <v>10812</v>
      </c>
      <c r="I1646" s="297"/>
      <c r="J1646" s="285" t="s">
        <v>5012</v>
      </c>
      <c r="K1646" s="285" t="s">
        <v>16314</v>
      </c>
      <c r="L1646" s="285" t="s">
        <v>16115</v>
      </c>
      <c r="M1646" s="285" t="s">
        <v>9383</v>
      </c>
      <c r="N1646" s="287" t="str">
        <f>IFERROR(
    IF(
        AND(
            VLOOKUP(B1646, 'รายชื่อพนักงานลาออกพ้นสภาพ'!B:I, 8, FALSE)&lt;&gt;"ยกเลิกลาออก",
            VLOOKUP(B1646, 'รายชื่อพนักงานลาออกพ้นสภาพ'!B:I, 7, FALSE)&lt;=TODAY()
        ),
        "ลาออกแล้ว",
        ""
    ),
"")</f>
        <v/>
      </c>
      <c r="O1646" s="292" t="str">
        <f t="array" ref="O1646">IFERROR(INDEX(PCRent!C:D, MATCH(F1646 &amp; " " &amp; G1646, PCRent!A:A &amp; " " &amp; PCRent!B:B, 0)), "")</f>
        <v/>
      </c>
      <c r="P1646" s="293"/>
      <c r="Q1646" s="294" t="str">
        <f t="array" ref="Q1646">IFERROR(INDEX(MonitorRent!C:D, MATCH(F1646 &amp; " " &amp; G1646, MonitorRent!A:A &amp; " " &amp; MonitorRent!B:B, 0)), "")</f>
        <v/>
      </c>
      <c r="R1646" s="295"/>
    </row>
    <row r="1647">
      <c r="A1647" s="284">
        <v>1644.0</v>
      </c>
      <c r="B1647" s="285" t="s">
        <v>16408</v>
      </c>
      <c r="C1647" s="285" t="s">
        <v>16048</v>
      </c>
      <c r="D1647" s="286" t="s">
        <v>12954</v>
      </c>
      <c r="E1647" s="285" t="s">
        <v>6921</v>
      </c>
      <c r="F1647" s="285" t="s">
        <v>16409</v>
      </c>
      <c r="G1647" s="285" t="s">
        <v>16410</v>
      </c>
      <c r="H1647" s="285" t="s">
        <v>10721</v>
      </c>
      <c r="I1647" s="285" t="s">
        <v>16411</v>
      </c>
      <c r="J1647" s="285" t="s">
        <v>5012</v>
      </c>
      <c r="K1647" s="285" t="s">
        <v>16412</v>
      </c>
      <c r="L1647" s="285" t="s">
        <v>16255</v>
      </c>
      <c r="M1647" s="285" t="s">
        <v>9383</v>
      </c>
      <c r="N1647" s="287" t="str">
        <f>IFERROR(
    IF(
        AND(
            VLOOKUP(B1647, 'รายชื่อพนักงานลาออกพ้นสภาพ'!B:I, 8, FALSE)&lt;&gt;"ยกเลิกลาออก",
            VLOOKUP(B1647, 'รายชื่อพนักงานลาออกพ้นสภาพ'!B:I, 7, FALSE)&lt;=TODAY()
        ),
        "ลาออกแล้ว",
        ""
    ),
"")</f>
        <v/>
      </c>
      <c r="O1647" s="292" t="str">
        <f t="array" ref="O1647">IFERROR(INDEX(PCRent!C:D, MATCH(F1647 &amp; " " &amp; G1647, PCRent!A:A &amp; " " &amp; PCRent!B:B, 0)), "")</f>
        <v/>
      </c>
      <c r="P1647" s="293"/>
      <c r="Q1647" s="294" t="str">
        <f t="array" ref="Q1647">IFERROR(INDEX(MonitorRent!C:D, MATCH(F1647 &amp; " " &amp; G1647, MonitorRent!A:A &amp; " " &amp; MonitorRent!B:B, 0)), "")</f>
        <v/>
      </c>
      <c r="R1647" s="295"/>
    </row>
    <row r="1648">
      <c r="A1648" s="284">
        <v>1645.0</v>
      </c>
      <c r="B1648" s="285" t="s">
        <v>16413</v>
      </c>
      <c r="C1648" s="285" t="s">
        <v>16048</v>
      </c>
      <c r="D1648" s="286" t="s">
        <v>16414</v>
      </c>
      <c r="E1648" s="285" t="s">
        <v>6933</v>
      </c>
      <c r="F1648" s="285" t="s">
        <v>12731</v>
      </c>
      <c r="G1648" s="285" t="s">
        <v>9498</v>
      </c>
      <c r="H1648" s="285" t="s">
        <v>12731</v>
      </c>
      <c r="I1648" s="285" t="s">
        <v>16415</v>
      </c>
      <c r="J1648" s="285" t="s">
        <v>5012</v>
      </c>
      <c r="K1648" s="285" t="s">
        <v>16416</v>
      </c>
      <c r="L1648" s="285" t="s">
        <v>5055</v>
      </c>
      <c r="M1648" s="285" t="s">
        <v>9383</v>
      </c>
      <c r="N1648" s="287" t="str">
        <f>IFERROR(
    IF(
        AND(
            VLOOKUP(B1648, 'รายชื่อพนักงานลาออกพ้นสภาพ'!B:I, 8, FALSE)&lt;&gt;"ยกเลิกลาออก",
            VLOOKUP(B1648, 'รายชื่อพนักงานลาออกพ้นสภาพ'!B:I, 7, FALSE)&lt;=TODAY()
        ),
        "ลาออกแล้ว",
        ""
    ),
"")</f>
        <v/>
      </c>
      <c r="O1648" s="292" t="str">
        <f t="array" ref="O1648">IFERROR(INDEX(PCRent!C:D, MATCH(F1648 &amp; " " &amp; G1648, PCRent!A:A &amp; " " &amp; PCRent!B:B, 0)), "")</f>
        <v/>
      </c>
      <c r="P1648" s="293"/>
      <c r="Q1648" s="294" t="str">
        <f t="array" ref="Q1648">IFERROR(INDEX(MonitorRent!C:D, MATCH(F1648 &amp; " " &amp; G1648, MonitorRent!A:A &amp; " " &amp; MonitorRent!B:B, 0)), "")</f>
        <v/>
      </c>
      <c r="R1648" s="295"/>
    </row>
    <row r="1649">
      <c r="A1649" s="284">
        <v>1646.0</v>
      </c>
      <c r="B1649" s="285" t="s">
        <v>16417</v>
      </c>
      <c r="C1649" s="285" t="s">
        <v>16048</v>
      </c>
      <c r="D1649" s="286" t="s">
        <v>13323</v>
      </c>
      <c r="E1649" s="285" t="s">
        <v>6933</v>
      </c>
      <c r="F1649" s="285" t="s">
        <v>12240</v>
      </c>
      <c r="G1649" s="285" t="s">
        <v>16418</v>
      </c>
      <c r="H1649" s="285" t="s">
        <v>9951</v>
      </c>
      <c r="I1649" s="296"/>
      <c r="J1649" s="285" t="s">
        <v>5012</v>
      </c>
      <c r="K1649" s="285" t="s">
        <v>16419</v>
      </c>
      <c r="L1649" s="285" t="s">
        <v>16115</v>
      </c>
      <c r="M1649" s="285" t="s">
        <v>9383</v>
      </c>
      <c r="N1649" s="287" t="str">
        <f>IFERROR(
    IF(
        AND(
            VLOOKUP(B1649, 'รายชื่อพนักงานลาออกพ้นสภาพ'!B:I, 8, FALSE)&lt;&gt;"ยกเลิกลาออก",
            VLOOKUP(B1649, 'รายชื่อพนักงานลาออกพ้นสภาพ'!B:I, 7, FALSE)&lt;=TODAY()
        ),
        "ลาออกแล้ว",
        ""
    ),
"")</f>
        <v/>
      </c>
      <c r="O1649" s="292" t="str">
        <f t="array" ref="O1649">IFERROR(INDEX(PCRent!C:D, MATCH(F1649 &amp; " " &amp; G1649, PCRent!A:A &amp; " " &amp; PCRent!B:B, 0)), "")</f>
        <v/>
      </c>
      <c r="P1649" s="293"/>
      <c r="Q1649" s="294" t="str">
        <f t="array" ref="Q1649">IFERROR(INDEX(MonitorRent!C:D, MATCH(F1649 &amp; " " &amp; G1649, MonitorRent!A:A &amp; " " &amp; MonitorRent!B:B, 0)), "")</f>
        <v/>
      </c>
      <c r="R1649" s="295"/>
    </row>
    <row r="1650">
      <c r="A1650" s="284">
        <v>1647.0</v>
      </c>
      <c r="B1650" s="285" t="s">
        <v>16420</v>
      </c>
      <c r="C1650" s="285" t="s">
        <v>16048</v>
      </c>
      <c r="D1650" s="286" t="s">
        <v>16421</v>
      </c>
      <c r="E1650" s="285" t="s">
        <v>6921</v>
      </c>
      <c r="F1650" s="285" t="s">
        <v>16422</v>
      </c>
      <c r="G1650" s="285" t="s">
        <v>16423</v>
      </c>
      <c r="H1650" s="285" t="s">
        <v>10420</v>
      </c>
      <c r="I1650" s="297"/>
      <c r="J1650" s="285" t="s">
        <v>5012</v>
      </c>
      <c r="K1650" s="285" t="s">
        <v>16190</v>
      </c>
      <c r="L1650" s="285" t="s">
        <v>16066</v>
      </c>
      <c r="M1650" s="285" t="s">
        <v>9383</v>
      </c>
      <c r="N1650" s="287" t="str">
        <f>IFERROR(
    IF(
        AND(
            VLOOKUP(B1650, 'รายชื่อพนักงานลาออกพ้นสภาพ'!B:I, 8, FALSE)&lt;&gt;"ยกเลิกลาออก",
            VLOOKUP(B1650, 'รายชื่อพนักงานลาออกพ้นสภาพ'!B:I, 7, FALSE)&lt;=TODAY()
        ),
        "ลาออกแล้ว",
        ""
    ),
"")</f>
        <v/>
      </c>
      <c r="O1650" s="292" t="str">
        <f t="array" ref="O1650">IFERROR(INDEX(PCRent!C:D, MATCH(F1650 &amp; " " &amp; G1650, PCRent!A:A &amp; " " &amp; PCRent!B:B, 0)), "")</f>
        <v/>
      </c>
      <c r="P1650" s="293"/>
      <c r="Q1650" s="294" t="str">
        <f t="array" ref="Q1650">IFERROR(INDEX(MonitorRent!C:D, MATCH(F1650 &amp; " " &amp; G1650, MonitorRent!A:A &amp; " " &amp; MonitorRent!B:B, 0)), "")</f>
        <v/>
      </c>
      <c r="R1650" s="295"/>
    </row>
    <row r="1651">
      <c r="A1651" s="284">
        <v>1648.0</v>
      </c>
      <c r="B1651" s="285" t="s">
        <v>16424</v>
      </c>
      <c r="C1651" s="285" t="s">
        <v>16048</v>
      </c>
      <c r="D1651" s="286" t="s">
        <v>16128</v>
      </c>
      <c r="E1651" s="285" t="s">
        <v>6933</v>
      </c>
      <c r="F1651" s="285" t="s">
        <v>16425</v>
      </c>
      <c r="G1651" s="285" t="s">
        <v>9498</v>
      </c>
      <c r="H1651" s="285" t="s">
        <v>16426</v>
      </c>
      <c r="I1651" s="297"/>
      <c r="J1651" s="285" t="s">
        <v>5012</v>
      </c>
      <c r="K1651" s="285" t="s">
        <v>12321</v>
      </c>
      <c r="L1651" s="285" t="s">
        <v>16048</v>
      </c>
      <c r="M1651" s="285" t="s">
        <v>9383</v>
      </c>
      <c r="N1651" s="287" t="str">
        <f>IFERROR(
    IF(
        AND(
            VLOOKUP(B1651, 'รายชื่อพนักงานลาออกพ้นสภาพ'!B:I, 8, FALSE)&lt;&gt;"ยกเลิกลาออก",
            VLOOKUP(B1651, 'รายชื่อพนักงานลาออกพ้นสภาพ'!B:I, 7, FALSE)&lt;=TODAY()
        ),
        "ลาออกแล้ว",
        ""
    ),
"")</f>
        <v/>
      </c>
      <c r="O1651" s="292" t="str">
        <f t="array" ref="O1651">IFERROR(INDEX(PCRent!C:D, MATCH(F1651 &amp; " " &amp; G1651, PCRent!A:A &amp; " " &amp; PCRent!B:B, 0)), "")</f>
        <v/>
      </c>
      <c r="P1651" s="293"/>
      <c r="Q1651" s="294" t="str">
        <f t="array" ref="Q1651">IFERROR(INDEX(MonitorRent!C:D, MATCH(F1651 &amp; " " &amp; G1651, MonitorRent!A:A &amp; " " &amp; MonitorRent!B:B, 0)), "")</f>
        <v/>
      </c>
      <c r="R1651" s="295"/>
    </row>
    <row r="1652">
      <c r="A1652" s="284">
        <v>1649.0</v>
      </c>
      <c r="B1652" s="285" t="s">
        <v>16427</v>
      </c>
      <c r="C1652" s="285" t="s">
        <v>8647</v>
      </c>
      <c r="D1652" s="286" t="s">
        <v>16428</v>
      </c>
      <c r="E1652" s="285" t="s">
        <v>6921</v>
      </c>
      <c r="F1652" s="285" t="s">
        <v>13096</v>
      </c>
      <c r="G1652" s="285" t="s">
        <v>16429</v>
      </c>
      <c r="H1652" s="285" t="s">
        <v>14575</v>
      </c>
      <c r="I1652" s="285" t="s">
        <v>16430</v>
      </c>
      <c r="J1652" s="285" t="s">
        <v>5012</v>
      </c>
      <c r="K1652" s="285" t="s">
        <v>3000</v>
      </c>
      <c r="L1652" s="285" t="s">
        <v>4549</v>
      </c>
      <c r="M1652" s="285" t="s">
        <v>9383</v>
      </c>
      <c r="N1652" s="287" t="str">
        <f>IFERROR(
    IF(
        AND(
            VLOOKUP(B1652, 'รายชื่อพนักงานลาออกพ้นสภาพ'!B:I, 8, FALSE)&lt;&gt;"ยกเลิกลาออก",
            VLOOKUP(B1652, 'รายชื่อพนักงานลาออกพ้นสภาพ'!B:I, 7, FALSE)&lt;=TODAY()
        ),
        "ลาออกแล้ว",
        ""
    ),
"")</f>
        <v/>
      </c>
      <c r="O1652" s="292" t="str">
        <f t="array" ref="O1652:P1652">IFERROR(INDEX(PCRent!C:D, MATCH(F1652 &amp; " " &amp; G1652, PCRent!A:A &amp; " " &amp; PCRent!B:B, 0)), "")</f>
        <v>SN:72QD314</v>
      </c>
      <c r="P1652" s="293" t="s">
        <v>7048</v>
      </c>
      <c r="Q1652" s="294" t="str">
        <f t="array" ref="Q1652:R1652">IFERROR(INDEX(MonitorRent!C:D, MATCH(F1652 &amp; " " &amp; G1652, MonitorRent!A:A &amp; " " &amp; MonitorRent!B:B, 0)), "")</f>
        <v>SN:7PKXGZ3</v>
      </c>
      <c r="R1652" s="295" t="s">
        <v>9397</v>
      </c>
    </row>
    <row r="1653">
      <c r="A1653" s="284">
        <v>1650.0</v>
      </c>
      <c r="B1653" s="285" t="s">
        <v>16431</v>
      </c>
      <c r="C1653" s="285" t="s">
        <v>8647</v>
      </c>
      <c r="D1653" s="286" t="s">
        <v>10012</v>
      </c>
      <c r="E1653" s="285" t="s">
        <v>6933</v>
      </c>
      <c r="F1653" s="285" t="s">
        <v>10971</v>
      </c>
      <c r="G1653" s="285" t="s">
        <v>16432</v>
      </c>
      <c r="H1653" s="285" t="s">
        <v>11615</v>
      </c>
      <c r="I1653" s="285" t="s">
        <v>16433</v>
      </c>
      <c r="J1653" s="285" t="s">
        <v>5012</v>
      </c>
      <c r="K1653" s="285" t="s">
        <v>16434</v>
      </c>
      <c r="L1653" s="285" t="s">
        <v>4549</v>
      </c>
      <c r="M1653" s="285" t="s">
        <v>9383</v>
      </c>
      <c r="N1653" s="287" t="str">
        <f>IFERROR(
    IF(
        AND(
            VLOOKUP(B1653, 'รายชื่อพนักงานลาออกพ้นสภาพ'!B:I, 8, FALSE)&lt;&gt;"ยกเลิกลาออก",
            VLOOKUP(B1653, 'รายชื่อพนักงานลาออกพ้นสภาพ'!B:I, 7, FALSE)&lt;=TODAY()
        ),
        "ลาออกแล้ว",
        ""
    ),
"")</f>
        <v/>
      </c>
      <c r="O1653" s="292" t="str">
        <f t="array" ref="O1653">IFERROR(INDEX(PCRent!C:D, MATCH(F1653 &amp; " " &amp; G1653, PCRent!A:A &amp; " " &amp; PCRent!B:B, 0)), "")</f>
        <v/>
      </c>
      <c r="P1653" s="293"/>
      <c r="Q1653" s="294" t="str">
        <f t="array" ref="Q1653">IFERROR(INDEX(MonitorRent!C:D, MATCH(F1653 &amp; " " &amp; G1653, MonitorRent!A:A &amp; " " &amp; MonitorRent!B:B, 0)), "")</f>
        <v/>
      </c>
      <c r="R1653" s="295"/>
    </row>
    <row r="1654">
      <c r="A1654" s="284">
        <v>1651.0</v>
      </c>
      <c r="B1654" s="285" t="s">
        <v>8648</v>
      </c>
      <c r="C1654" s="285" t="s">
        <v>8647</v>
      </c>
      <c r="D1654" s="286" t="s">
        <v>16435</v>
      </c>
      <c r="E1654" s="285" t="s">
        <v>6933</v>
      </c>
      <c r="F1654" s="285" t="s">
        <v>16436</v>
      </c>
      <c r="G1654" s="285" t="s">
        <v>16437</v>
      </c>
      <c r="H1654" s="285" t="s">
        <v>10709</v>
      </c>
      <c r="I1654" s="285" t="s">
        <v>16438</v>
      </c>
      <c r="J1654" s="285" t="s">
        <v>5224</v>
      </c>
      <c r="K1654" s="285" t="s">
        <v>4756</v>
      </c>
      <c r="L1654" s="285" t="s">
        <v>8609</v>
      </c>
      <c r="M1654" s="285" t="s">
        <v>9383</v>
      </c>
      <c r="N1654" s="287" t="str">
        <f>IFERROR(
    IF(
        AND(
            VLOOKUP(B1654, 'รายชื่อพนักงานลาออกพ้นสภาพ'!B:I, 8, FALSE)&lt;&gt;"ยกเลิกลาออก",
            VLOOKUP(B1654, 'รายชื่อพนักงานลาออกพ้นสภาพ'!B:I, 7, FALSE)&lt;=TODAY()
        ),
        "ลาออกแล้ว",
        ""
    ),
"")</f>
        <v/>
      </c>
      <c r="O1654" s="292" t="str">
        <f t="array" ref="O1654">IFERROR(INDEX(PCRent!C:D, MATCH(F1654 &amp; " " &amp; G1654, PCRent!A:A &amp; " " &amp; PCRent!B:B, 0)), "")</f>
        <v/>
      </c>
      <c r="P1654" s="293"/>
      <c r="Q1654" s="294" t="str">
        <f t="array" ref="Q1654">IFERROR(INDEX(MonitorRent!C:D, MATCH(F1654 &amp; " " &amp; G1654, MonitorRent!A:A &amp; " " &amp; MonitorRent!B:B, 0)), "")</f>
        <v/>
      </c>
      <c r="R1654" s="295"/>
    </row>
    <row r="1655">
      <c r="A1655" s="284">
        <v>1652.0</v>
      </c>
      <c r="B1655" s="285" t="s">
        <v>16439</v>
      </c>
      <c r="C1655" s="285" t="s">
        <v>8647</v>
      </c>
      <c r="D1655" s="286" t="s">
        <v>16440</v>
      </c>
      <c r="E1655" s="285" t="s">
        <v>7239</v>
      </c>
      <c r="F1655" s="285" t="s">
        <v>16441</v>
      </c>
      <c r="G1655" s="285" t="s">
        <v>16442</v>
      </c>
      <c r="H1655" s="285" t="s">
        <v>10732</v>
      </c>
      <c r="I1655" s="285" t="s">
        <v>16443</v>
      </c>
      <c r="J1655" s="285" t="s">
        <v>5012</v>
      </c>
      <c r="K1655" s="285" t="s">
        <v>12321</v>
      </c>
      <c r="L1655" s="285" t="s">
        <v>8609</v>
      </c>
      <c r="M1655" s="285" t="s">
        <v>9383</v>
      </c>
      <c r="N1655" s="287" t="str">
        <f>IFERROR(
    IF(
        AND(
            VLOOKUP(B1655, 'รายชื่อพนักงานลาออกพ้นสภาพ'!B:I, 8, FALSE)&lt;&gt;"ยกเลิกลาออก",
            VLOOKUP(B1655, 'รายชื่อพนักงานลาออกพ้นสภาพ'!B:I, 7, FALSE)&lt;=TODAY()
        ),
        "ลาออกแล้ว",
        ""
    ),
"")</f>
        <v/>
      </c>
      <c r="O1655" s="292" t="str">
        <f t="array" ref="O1655">IFERROR(INDEX(PCRent!C:D, MATCH(F1655 &amp; " " &amp; G1655, PCRent!A:A &amp; " " &amp; PCRent!B:B, 0)), "")</f>
        <v/>
      </c>
      <c r="P1655" s="293"/>
      <c r="Q1655" s="294" t="str">
        <f t="array" ref="Q1655">IFERROR(INDEX(MonitorRent!C:D, MATCH(F1655 &amp; " " &amp; G1655, MonitorRent!A:A &amp; " " &amp; MonitorRent!B:B, 0)), "")</f>
        <v/>
      </c>
      <c r="R1655" s="295"/>
    </row>
    <row r="1656">
      <c r="A1656" s="284">
        <v>1653.0</v>
      </c>
      <c r="B1656" s="285" t="s">
        <v>16444</v>
      </c>
      <c r="C1656" s="285" t="s">
        <v>8647</v>
      </c>
      <c r="D1656" s="286" t="s">
        <v>11877</v>
      </c>
      <c r="E1656" s="285" t="s">
        <v>6933</v>
      </c>
      <c r="F1656" s="285" t="s">
        <v>16445</v>
      </c>
      <c r="G1656" s="285" t="s">
        <v>16446</v>
      </c>
      <c r="H1656" s="285" t="s">
        <v>9696</v>
      </c>
      <c r="I1656" s="285" t="s">
        <v>16447</v>
      </c>
      <c r="J1656" s="285" t="s">
        <v>5012</v>
      </c>
      <c r="K1656" s="285" t="s">
        <v>16434</v>
      </c>
      <c r="L1656" s="285" t="s">
        <v>4549</v>
      </c>
      <c r="M1656" s="285" t="s">
        <v>9383</v>
      </c>
      <c r="N1656" s="287" t="str">
        <f>IFERROR(
    IF(
        AND(
            VLOOKUP(B1656, 'รายชื่อพนักงานลาออกพ้นสภาพ'!B:I, 8, FALSE)&lt;&gt;"ยกเลิกลาออก",
            VLOOKUP(B1656, 'รายชื่อพนักงานลาออกพ้นสภาพ'!B:I, 7, FALSE)&lt;=TODAY()
        ),
        "ลาออกแล้ว",
        ""
    ),
"")</f>
        <v/>
      </c>
      <c r="O1656" s="292" t="str">
        <f t="array" ref="O1656">IFERROR(INDEX(PCRent!C:D, MATCH(F1656 &amp; " " &amp; G1656, PCRent!A:A &amp; " " &amp; PCRent!B:B, 0)), "")</f>
        <v/>
      </c>
      <c r="P1656" s="293"/>
      <c r="Q1656" s="294" t="str">
        <f t="array" ref="Q1656">IFERROR(INDEX(MonitorRent!C:D, MATCH(F1656 &amp; " " &amp; G1656, MonitorRent!A:A &amp; " " &amp; MonitorRent!B:B, 0)), "")</f>
        <v/>
      </c>
      <c r="R1656" s="295"/>
    </row>
    <row r="1657">
      <c r="A1657" s="284">
        <v>1654.0</v>
      </c>
      <c r="B1657" s="285" t="s">
        <v>16448</v>
      </c>
      <c r="C1657" s="285" t="s">
        <v>8647</v>
      </c>
      <c r="D1657" s="286" t="s">
        <v>16449</v>
      </c>
      <c r="E1657" s="285" t="s">
        <v>6921</v>
      </c>
      <c r="F1657" s="285" t="s">
        <v>16450</v>
      </c>
      <c r="G1657" s="285" t="s">
        <v>16451</v>
      </c>
      <c r="H1657" s="285" t="s">
        <v>11896</v>
      </c>
      <c r="I1657" s="285" t="s">
        <v>16452</v>
      </c>
      <c r="J1657" s="285" t="s">
        <v>5012</v>
      </c>
      <c r="K1657" s="285" t="s">
        <v>16453</v>
      </c>
      <c r="L1657" s="285" t="s">
        <v>4549</v>
      </c>
      <c r="M1657" s="285" t="s">
        <v>9383</v>
      </c>
      <c r="N1657" s="287" t="str">
        <f>IFERROR(
    IF(
        AND(
            VLOOKUP(B1657, 'รายชื่อพนักงานลาออกพ้นสภาพ'!B:I, 8, FALSE)&lt;&gt;"ยกเลิกลาออก",
            VLOOKUP(B1657, 'รายชื่อพนักงานลาออกพ้นสภาพ'!B:I, 7, FALSE)&lt;=TODAY()
        ),
        "ลาออกแล้ว",
        ""
    ),
"")</f>
        <v/>
      </c>
      <c r="O1657" s="292" t="str">
        <f t="array" ref="O1657">IFERROR(INDEX(PCRent!C:D, MATCH(F1657 &amp; " " &amp; G1657, PCRent!A:A &amp; " " &amp; PCRent!B:B, 0)), "")</f>
        <v/>
      </c>
      <c r="P1657" s="293"/>
      <c r="Q1657" s="294" t="str">
        <f t="array" ref="Q1657">IFERROR(INDEX(MonitorRent!C:D, MATCH(F1657 &amp; " " &amp; G1657, MonitorRent!A:A &amp; " " &amp; MonitorRent!B:B, 0)), "")</f>
        <v/>
      </c>
      <c r="R1657" s="295"/>
    </row>
    <row r="1658">
      <c r="A1658" s="284">
        <v>1655.0</v>
      </c>
      <c r="B1658" s="285" t="s">
        <v>16454</v>
      </c>
      <c r="C1658" s="285" t="s">
        <v>8647</v>
      </c>
      <c r="D1658" s="286" t="s">
        <v>12446</v>
      </c>
      <c r="E1658" s="285" t="s">
        <v>6933</v>
      </c>
      <c r="F1658" s="285" t="s">
        <v>16455</v>
      </c>
      <c r="G1658" s="285" t="s">
        <v>16456</v>
      </c>
      <c r="H1658" s="285" t="s">
        <v>16457</v>
      </c>
      <c r="I1658" s="285" t="s">
        <v>16458</v>
      </c>
      <c r="J1658" s="285" t="s">
        <v>5012</v>
      </c>
      <c r="K1658" s="285" t="s">
        <v>16434</v>
      </c>
      <c r="L1658" s="285" t="s">
        <v>4549</v>
      </c>
      <c r="M1658" s="285" t="s">
        <v>9383</v>
      </c>
      <c r="N1658" s="287" t="str">
        <f>IFERROR(
    IF(
        AND(
            VLOOKUP(B1658, 'รายชื่อพนักงานลาออกพ้นสภาพ'!B:I, 8, FALSE)&lt;&gt;"ยกเลิกลาออก",
            VLOOKUP(B1658, 'รายชื่อพนักงานลาออกพ้นสภาพ'!B:I, 7, FALSE)&lt;=TODAY()
        ),
        "ลาออกแล้ว",
        ""
    ),
"")</f>
        <v/>
      </c>
      <c r="O1658" s="292" t="str">
        <f t="array" ref="O1658">IFERROR(INDEX(PCRent!C:D, MATCH(F1658 &amp; " " &amp; G1658, PCRent!A:A &amp; " " &amp; PCRent!B:B, 0)), "")</f>
        <v/>
      </c>
      <c r="P1658" s="293"/>
      <c r="Q1658" s="294" t="str">
        <f t="array" ref="Q1658">IFERROR(INDEX(MonitorRent!C:D, MATCH(F1658 &amp; " " &amp; G1658, MonitorRent!A:A &amp; " " &amp; MonitorRent!B:B, 0)), "")</f>
        <v/>
      </c>
      <c r="R1658" s="295"/>
    </row>
    <row r="1659">
      <c r="A1659" s="284">
        <v>1656.0</v>
      </c>
      <c r="B1659" s="285" t="s">
        <v>16459</v>
      </c>
      <c r="C1659" s="285" t="s">
        <v>8647</v>
      </c>
      <c r="D1659" s="286" t="s">
        <v>16460</v>
      </c>
      <c r="E1659" s="285" t="s">
        <v>6933</v>
      </c>
      <c r="F1659" s="285" t="s">
        <v>12502</v>
      </c>
      <c r="G1659" s="285" t="s">
        <v>16461</v>
      </c>
      <c r="H1659" s="285" t="s">
        <v>12504</v>
      </c>
      <c r="I1659" s="285" t="s">
        <v>16462</v>
      </c>
      <c r="J1659" s="285" t="s">
        <v>5012</v>
      </c>
      <c r="K1659" s="285" t="s">
        <v>9451</v>
      </c>
      <c r="L1659" s="285" t="s">
        <v>16463</v>
      </c>
      <c r="M1659" s="285" t="s">
        <v>9383</v>
      </c>
      <c r="N1659" s="287" t="str">
        <f>IFERROR(
    IF(
        AND(
            VLOOKUP(B1659, 'รายชื่อพนักงานลาออกพ้นสภาพ'!B:I, 8, FALSE)&lt;&gt;"ยกเลิกลาออก",
            VLOOKUP(B1659, 'รายชื่อพนักงานลาออกพ้นสภาพ'!B:I, 7, FALSE)&lt;=TODAY()
        ),
        "ลาออกแล้ว",
        ""
    ),
"")</f>
        <v/>
      </c>
      <c r="O1659" s="292" t="str">
        <f t="array" ref="O1659">IFERROR(INDEX(PCRent!C:D, MATCH(F1659 &amp; " " &amp; G1659, PCRent!A:A &amp; " " &amp; PCRent!B:B, 0)), "")</f>
        <v/>
      </c>
      <c r="P1659" s="293"/>
      <c r="Q1659" s="294" t="str">
        <f t="array" ref="Q1659">IFERROR(INDEX(MonitorRent!C:D, MATCH(F1659 &amp; " " &amp; G1659, MonitorRent!A:A &amp; " " &amp; MonitorRent!B:B, 0)), "")</f>
        <v/>
      </c>
      <c r="R1659" s="295"/>
    </row>
    <row r="1660">
      <c r="A1660" s="284">
        <v>1657.0</v>
      </c>
      <c r="B1660" s="285" t="s">
        <v>16464</v>
      </c>
      <c r="C1660" s="285" t="s">
        <v>8647</v>
      </c>
      <c r="D1660" s="286" t="s">
        <v>9984</v>
      </c>
      <c r="E1660" s="285" t="s">
        <v>6933</v>
      </c>
      <c r="F1660" s="285" t="s">
        <v>16465</v>
      </c>
      <c r="G1660" s="285" t="s">
        <v>16466</v>
      </c>
      <c r="H1660" s="285" t="s">
        <v>9696</v>
      </c>
      <c r="I1660" s="285" t="s">
        <v>16467</v>
      </c>
      <c r="J1660" s="285" t="s">
        <v>5012</v>
      </c>
      <c r="K1660" s="285" t="s">
        <v>16468</v>
      </c>
      <c r="L1660" s="285" t="s">
        <v>4549</v>
      </c>
      <c r="M1660" s="285" t="s">
        <v>9383</v>
      </c>
      <c r="N1660" s="287" t="str">
        <f>IFERROR(
    IF(
        AND(
            VLOOKUP(B1660, 'รายชื่อพนักงานลาออกพ้นสภาพ'!B:I, 8, FALSE)&lt;&gt;"ยกเลิกลาออก",
            VLOOKUP(B1660, 'รายชื่อพนักงานลาออกพ้นสภาพ'!B:I, 7, FALSE)&lt;=TODAY()
        ),
        "ลาออกแล้ว",
        ""
    ),
"")</f>
        <v/>
      </c>
      <c r="O1660" s="292" t="str">
        <f t="array" ref="O1660">IFERROR(INDEX(PCRent!C:D, MATCH(F1660 &amp; " " &amp; G1660, PCRent!A:A &amp; " " &amp; PCRent!B:B, 0)), "")</f>
        <v/>
      </c>
      <c r="P1660" s="293"/>
      <c r="Q1660" s="294" t="str">
        <f t="array" ref="Q1660">IFERROR(INDEX(MonitorRent!C:D, MATCH(F1660 &amp; " " &amp; G1660, MonitorRent!A:A &amp; " " &amp; MonitorRent!B:B, 0)), "")</f>
        <v/>
      </c>
      <c r="R1660" s="295"/>
    </row>
    <row r="1661">
      <c r="A1661" s="284">
        <v>1658.0</v>
      </c>
      <c r="B1661" s="285" t="s">
        <v>16469</v>
      </c>
      <c r="C1661" s="285" t="s">
        <v>16470</v>
      </c>
      <c r="D1661" s="286" t="s">
        <v>16471</v>
      </c>
      <c r="E1661" s="285" t="s">
        <v>6933</v>
      </c>
      <c r="F1661" s="285" t="s">
        <v>14040</v>
      </c>
      <c r="G1661" s="285" t="s">
        <v>16472</v>
      </c>
      <c r="H1661" s="285" t="s">
        <v>10776</v>
      </c>
      <c r="I1661" s="285" t="s">
        <v>16473</v>
      </c>
      <c r="J1661" s="285" t="s">
        <v>5012</v>
      </c>
      <c r="K1661" s="285" t="s">
        <v>12663</v>
      </c>
      <c r="L1661" s="285" t="s">
        <v>16463</v>
      </c>
      <c r="M1661" s="285" t="s">
        <v>9383</v>
      </c>
      <c r="N1661" s="287" t="str">
        <f>IFERROR(
    IF(
        AND(
            VLOOKUP(B1661, 'รายชื่อพนักงานลาออกพ้นสภาพ'!B:I, 8, FALSE)&lt;&gt;"ยกเลิกลาออก",
            VLOOKUP(B1661, 'รายชื่อพนักงานลาออกพ้นสภาพ'!B:I, 7, FALSE)&lt;=TODAY()
        ),
        "ลาออกแล้ว",
        ""
    ),
"")</f>
        <v/>
      </c>
      <c r="O1661" s="292" t="str">
        <f t="array" ref="O1661:P1661">IFERROR(INDEX(PCRent!C:D, MATCH(F1661 &amp; " " &amp; G1661, PCRent!A:A &amp; " " &amp; PCRent!B:B, 0)), "")</f>
        <v>SN:GKT2CZ3</v>
      </c>
      <c r="P1661" s="293" t="s">
        <v>7048</v>
      </c>
      <c r="Q1661" s="294" t="str">
        <f t="array" ref="Q1661:R1661">IFERROR(INDEX(MonitorRent!C:D, MATCH(F1661 &amp; " " &amp; G1661, MonitorRent!A:A &amp; " " &amp; MonitorRent!B:B, 0)), "")</f>
        <v>SN:B3762Y3</v>
      </c>
      <c r="R1661" s="295" t="s">
        <v>7050</v>
      </c>
    </row>
    <row r="1662">
      <c r="A1662" s="284">
        <v>1659.0</v>
      </c>
      <c r="B1662" s="285" t="s">
        <v>16474</v>
      </c>
      <c r="C1662" s="285" t="s">
        <v>16470</v>
      </c>
      <c r="D1662" s="286" t="s">
        <v>16475</v>
      </c>
      <c r="E1662" s="285" t="s">
        <v>6933</v>
      </c>
      <c r="F1662" s="285" t="s">
        <v>16476</v>
      </c>
      <c r="G1662" s="285" t="s">
        <v>16477</v>
      </c>
      <c r="H1662" s="285" t="s">
        <v>10812</v>
      </c>
      <c r="I1662" s="285" t="s">
        <v>16478</v>
      </c>
      <c r="J1662" s="285" t="s">
        <v>5012</v>
      </c>
      <c r="K1662" s="285" t="s">
        <v>4818</v>
      </c>
      <c r="L1662" s="285" t="s">
        <v>16463</v>
      </c>
      <c r="M1662" s="285" t="s">
        <v>9383</v>
      </c>
      <c r="N1662" s="287" t="str">
        <f>IFERROR(
    IF(
        AND(
            VLOOKUP(B1662, 'รายชื่อพนักงานลาออกพ้นสภาพ'!B:I, 8, FALSE)&lt;&gt;"ยกเลิกลาออก",
            VLOOKUP(B1662, 'รายชื่อพนักงานลาออกพ้นสภาพ'!B:I, 7, FALSE)&lt;=TODAY()
        ),
        "ลาออกแล้ว",
        ""
    ),
"")</f>
        <v/>
      </c>
      <c r="O1662" s="292" t="str">
        <f t="array" ref="O1662:P1662">IFERROR(INDEX(PCRent!C:D, MATCH(F1662 &amp; " " &amp; G1662, PCRent!A:A &amp; " " &amp; PCRent!B:B, 0)), "")</f>
        <v>SN:CMT2CZ3</v>
      </c>
      <c r="P1662" s="293" t="s">
        <v>7048</v>
      </c>
      <c r="Q1662" s="294" t="str">
        <f t="array" ref="Q1662:R1662">IFERROR(INDEX(MonitorRent!C:D, MATCH(F1662 &amp; " " &amp; G1662, MonitorRent!A:A &amp; " " &amp; MonitorRent!B:B, 0)), "")</f>
        <v>SN:DKVH8X3</v>
      </c>
      <c r="R1662" s="295" t="s">
        <v>7050</v>
      </c>
    </row>
    <row r="1663">
      <c r="A1663" s="284">
        <v>1660.0</v>
      </c>
      <c r="B1663" s="285" t="s">
        <v>16479</v>
      </c>
      <c r="C1663" s="285" t="s">
        <v>16470</v>
      </c>
      <c r="D1663" s="286" t="s">
        <v>16480</v>
      </c>
      <c r="E1663" s="285" t="s">
        <v>7239</v>
      </c>
      <c r="F1663" s="285" t="s">
        <v>16481</v>
      </c>
      <c r="G1663" s="285" t="s">
        <v>16482</v>
      </c>
      <c r="H1663" s="285" t="s">
        <v>11896</v>
      </c>
      <c r="I1663" s="285" t="s">
        <v>16483</v>
      </c>
      <c r="J1663" s="285" t="s">
        <v>5012</v>
      </c>
      <c r="K1663" s="285" t="s">
        <v>16484</v>
      </c>
      <c r="L1663" s="285" t="s">
        <v>16463</v>
      </c>
      <c r="M1663" s="285" t="s">
        <v>9383</v>
      </c>
      <c r="N1663" s="287" t="str">
        <f>IFERROR(
    IF(
        AND(
            VLOOKUP(B1663, 'รายชื่อพนักงานลาออกพ้นสภาพ'!B:I, 8, FALSE)&lt;&gt;"ยกเลิกลาออก",
            VLOOKUP(B1663, 'รายชื่อพนักงานลาออกพ้นสภาพ'!B:I, 7, FALSE)&lt;=TODAY()
        ),
        "ลาออกแล้ว",
        ""
    ),
"")</f>
        <v/>
      </c>
      <c r="O1663" s="292" t="str">
        <f t="array" ref="O1663:P1663">IFERROR(INDEX(PCRent!C:D, MATCH(F1663 &amp; " " &amp; G1663, PCRent!A:A &amp; " " &amp; PCRent!B:B, 0)), "")</f>
        <v>SN:7KT2CZ3</v>
      </c>
      <c r="P1663" s="293" t="s">
        <v>7048</v>
      </c>
      <c r="Q1663" s="294" t="str">
        <f t="array" ref="Q1663:R1663">IFERROR(INDEX(MonitorRent!C:D, MATCH(F1663 &amp; " " &amp; G1663, MonitorRent!A:A &amp; " " &amp; MonitorRent!B:B, 0)), "")</f>
        <v>SN:DN2G8X3</v>
      </c>
      <c r="R1663" s="295" t="s">
        <v>7050</v>
      </c>
    </row>
    <row r="1664">
      <c r="A1664" s="284">
        <v>1661.0</v>
      </c>
      <c r="B1664" s="285" t="s">
        <v>16485</v>
      </c>
      <c r="C1664" s="285" t="s">
        <v>16470</v>
      </c>
      <c r="D1664" s="286" t="s">
        <v>16486</v>
      </c>
      <c r="E1664" s="285" t="s">
        <v>6933</v>
      </c>
      <c r="F1664" s="285" t="s">
        <v>16487</v>
      </c>
      <c r="G1664" s="285" t="s">
        <v>16488</v>
      </c>
      <c r="H1664" s="285" t="s">
        <v>15002</v>
      </c>
      <c r="I1664" s="285" t="s">
        <v>16489</v>
      </c>
      <c r="J1664" s="285" t="s">
        <v>5012</v>
      </c>
      <c r="K1664" s="285" t="s">
        <v>16434</v>
      </c>
      <c r="L1664" s="285" t="s">
        <v>16463</v>
      </c>
      <c r="M1664" s="285" t="s">
        <v>9383</v>
      </c>
      <c r="N1664" s="287" t="str">
        <f>IFERROR(
    IF(
        AND(
            VLOOKUP(B1664, 'รายชื่อพนักงานลาออกพ้นสภาพ'!B:I, 8, FALSE)&lt;&gt;"ยกเลิกลาออก",
            VLOOKUP(B1664, 'รายชื่อพนักงานลาออกพ้นสภาพ'!B:I, 7, FALSE)&lt;=TODAY()
        ),
        "ลาออกแล้ว",
        ""
    ),
"")</f>
        <v/>
      </c>
      <c r="O1664" s="292" t="str">
        <f t="array" ref="O1664">IFERROR(INDEX(PCRent!C:D, MATCH(F1664 &amp; " " &amp; G1664, PCRent!A:A &amp; " " &amp; PCRent!B:B, 0)), "")</f>
        <v/>
      </c>
      <c r="P1664" s="293"/>
      <c r="Q1664" s="294" t="str">
        <f t="array" ref="Q1664">IFERROR(INDEX(MonitorRent!C:D, MATCH(F1664 &amp; " " &amp; G1664, MonitorRent!A:A &amp; " " &amp; MonitorRent!B:B, 0)), "")</f>
        <v/>
      </c>
      <c r="R1664" s="295"/>
    </row>
    <row r="1665">
      <c r="A1665" s="284">
        <v>1662.0</v>
      </c>
      <c r="B1665" s="285" t="s">
        <v>16490</v>
      </c>
      <c r="C1665" s="285" t="s">
        <v>16470</v>
      </c>
      <c r="D1665" s="286" t="s">
        <v>16491</v>
      </c>
      <c r="E1665" s="285" t="s">
        <v>6933</v>
      </c>
      <c r="F1665" s="285" t="s">
        <v>15447</v>
      </c>
      <c r="G1665" s="285" t="s">
        <v>16492</v>
      </c>
      <c r="H1665" s="285" t="s">
        <v>10841</v>
      </c>
      <c r="I1665" s="285" t="s">
        <v>16493</v>
      </c>
      <c r="J1665" s="285" t="s">
        <v>5012</v>
      </c>
      <c r="K1665" s="285" t="s">
        <v>9626</v>
      </c>
      <c r="L1665" s="285" t="s">
        <v>16463</v>
      </c>
      <c r="M1665" s="285" t="s">
        <v>9383</v>
      </c>
      <c r="N1665" s="287" t="str">
        <f>IFERROR(
    IF(
        AND(
            VLOOKUP(B1665, 'รายชื่อพนักงานลาออกพ้นสภาพ'!B:I, 8, FALSE)&lt;&gt;"ยกเลิกลาออก",
            VLOOKUP(B1665, 'รายชื่อพนักงานลาออกพ้นสภาพ'!B:I, 7, FALSE)&lt;=TODAY()
        ),
        "ลาออกแล้ว",
        ""
    ),
"")</f>
        <v/>
      </c>
      <c r="O1665" s="292" t="str">
        <f t="array" ref="O1665">IFERROR(INDEX(PCRent!C:D, MATCH(F1665 &amp; " " &amp; G1665, PCRent!A:A &amp; " " &amp; PCRent!B:B, 0)), "")</f>
        <v/>
      </c>
      <c r="P1665" s="293"/>
      <c r="Q1665" s="294" t="str">
        <f t="array" ref="Q1665">IFERROR(INDEX(MonitorRent!C:D, MATCH(F1665 &amp; " " &amp; G1665, MonitorRent!A:A &amp; " " &amp; MonitorRent!B:B, 0)), "")</f>
        <v/>
      </c>
      <c r="R1665" s="295"/>
    </row>
    <row r="1666">
      <c r="A1666" s="284">
        <v>1663.0</v>
      </c>
      <c r="B1666" s="285" t="s">
        <v>7519</v>
      </c>
      <c r="C1666" s="285" t="s">
        <v>7518</v>
      </c>
      <c r="D1666" s="286" t="s">
        <v>16494</v>
      </c>
      <c r="E1666" s="285" t="s">
        <v>6933</v>
      </c>
      <c r="F1666" s="285" t="s">
        <v>16495</v>
      </c>
      <c r="G1666" s="285" t="s">
        <v>16496</v>
      </c>
      <c r="H1666" s="285" t="s">
        <v>10765</v>
      </c>
      <c r="I1666" s="285" t="s">
        <v>16497</v>
      </c>
      <c r="J1666" s="285" t="s">
        <v>5224</v>
      </c>
      <c r="K1666" s="285" t="s">
        <v>9626</v>
      </c>
      <c r="L1666" s="285" t="s">
        <v>4549</v>
      </c>
      <c r="M1666" s="285" t="s">
        <v>9383</v>
      </c>
      <c r="N1666" s="287" t="str">
        <f>IFERROR(
    IF(
        AND(
            VLOOKUP(B1666, 'รายชื่อพนักงานลาออกพ้นสภาพ'!B:I, 8, FALSE)&lt;&gt;"ยกเลิกลาออก",
            VLOOKUP(B1666, 'รายชื่อพนักงานลาออกพ้นสภาพ'!B:I, 7, FALSE)&lt;=TODAY()
        ),
        "ลาออกแล้ว",
        ""
    ),
"")</f>
        <v/>
      </c>
      <c r="O1666" s="292" t="str">
        <f t="array" ref="O1666">IFERROR(INDEX(PCRent!C:D, MATCH(F1666 &amp; " " &amp; G1666, PCRent!A:A &amp; " " &amp; PCRent!B:B, 0)), "")</f>
        <v/>
      </c>
      <c r="P1666" s="293"/>
      <c r="Q1666" s="294" t="str">
        <f t="array" ref="Q1666">IFERROR(INDEX(MonitorRent!C:D, MATCH(F1666 &amp; " " &amp; G1666, MonitorRent!A:A &amp; " " &amp; MonitorRent!B:B, 0)), "")</f>
        <v/>
      </c>
      <c r="R1666" s="295"/>
    </row>
    <row r="1667">
      <c r="A1667" s="284">
        <v>1664.0</v>
      </c>
      <c r="B1667" s="285" t="s">
        <v>16498</v>
      </c>
      <c r="C1667" s="285" t="s">
        <v>16499</v>
      </c>
      <c r="D1667" s="286" t="s">
        <v>10206</v>
      </c>
      <c r="E1667" s="285" t="s">
        <v>6921</v>
      </c>
      <c r="F1667" s="285" t="s">
        <v>16500</v>
      </c>
      <c r="G1667" s="285" t="s">
        <v>16501</v>
      </c>
      <c r="H1667" s="296"/>
      <c r="I1667" s="296"/>
      <c r="J1667" s="285" t="s">
        <v>5224</v>
      </c>
      <c r="K1667" s="285" t="s">
        <v>4835</v>
      </c>
      <c r="L1667" s="285" t="s">
        <v>832</v>
      </c>
      <c r="M1667" s="285" t="s">
        <v>9391</v>
      </c>
      <c r="N1667" s="287" t="str">
        <f>IFERROR(
    IF(
        AND(
            VLOOKUP(B1667, 'รายชื่อพนักงานลาออกพ้นสภาพ'!B:I, 8, FALSE)&lt;&gt;"ยกเลิกลาออก",
            VLOOKUP(B1667, 'รายชื่อพนักงานลาออกพ้นสภาพ'!B:I, 7, FALSE)&lt;=TODAY()
        ),
        "ลาออกแล้ว",
        ""
    ),
"")</f>
        <v/>
      </c>
      <c r="O1667" s="292" t="str">
        <f t="array" ref="O1667">IFERROR(INDEX(PCRent!C:D, MATCH(F1667 &amp; " " &amp; G1667, PCRent!A:A &amp; " " &amp; PCRent!B:B, 0)), "")</f>
        <v/>
      </c>
      <c r="P1667" s="293"/>
      <c r="Q1667" s="294" t="str">
        <f t="array" ref="Q1667">IFERROR(INDEX(MonitorRent!C:D, MATCH(F1667 &amp; " " &amp; G1667, MonitorRent!A:A &amp; " " &amp; MonitorRent!B:B, 0)), "")</f>
        <v/>
      </c>
      <c r="R1667" s="295"/>
    </row>
    <row r="1668">
      <c r="A1668" s="284">
        <v>1665.0</v>
      </c>
      <c r="B1668" s="285" t="s">
        <v>16502</v>
      </c>
      <c r="C1668" s="285" t="s">
        <v>16499</v>
      </c>
      <c r="D1668" s="286" t="s">
        <v>16503</v>
      </c>
      <c r="E1668" s="285" t="s">
        <v>6921</v>
      </c>
      <c r="F1668" s="285" t="s">
        <v>16504</v>
      </c>
      <c r="G1668" s="285" t="s">
        <v>16505</v>
      </c>
      <c r="H1668" s="297"/>
      <c r="I1668" s="297"/>
      <c r="J1668" s="285" t="s">
        <v>16506</v>
      </c>
      <c r="K1668" s="285" t="s">
        <v>16190</v>
      </c>
      <c r="L1668" s="285" t="s">
        <v>832</v>
      </c>
      <c r="M1668" s="285" t="s">
        <v>9391</v>
      </c>
      <c r="N1668" s="287" t="str">
        <f>IFERROR(
    IF(
        AND(
            VLOOKUP(B1668, 'รายชื่อพนักงานลาออกพ้นสภาพ'!B:I, 8, FALSE)&lt;&gt;"ยกเลิกลาออก",
            VLOOKUP(B1668, 'รายชื่อพนักงานลาออกพ้นสภาพ'!B:I, 7, FALSE)&lt;=TODAY()
        ),
        "ลาออกแล้ว",
        ""
    ),
"")</f>
        <v/>
      </c>
      <c r="O1668" s="292" t="str">
        <f t="array" ref="O1668">IFERROR(INDEX(PCRent!C:D, MATCH(F1668 &amp; " " &amp; G1668, PCRent!A:A &amp; " " &amp; PCRent!B:B, 0)), "")</f>
        <v/>
      </c>
      <c r="P1668" s="293"/>
      <c r="Q1668" s="294" t="str">
        <f t="array" ref="Q1668">IFERROR(INDEX(MonitorRent!C:D, MATCH(F1668 &amp; " " &amp; G1668, MonitorRent!A:A &amp; " " &amp; MonitorRent!B:B, 0)), "")</f>
        <v/>
      </c>
      <c r="R1668" s="295"/>
    </row>
    <row r="1669">
      <c r="A1669" s="284">
        <v>1666.0</v>
      </c>
      <c r="B1669" s="285" t="s">
        <v>634</v>
      </c>
      <c r="C1669" s="285" t="s">
        <v>16499</v>
      </c>
      <c r="D1669" s="286" t="s">
        <v>9829</v>
      </c>
      <c r="E1669" s="285" t="s">
        <v>6921</v>
      </c>
      <c r="F1669" s="285" t="s">
        <v>16507</v>
      </c>
      <c r="G1669" s="285" t="s">
        <v>16508</v>
      </c>
      <c r="H1669" s="297"/>
      <c r="I1669" s="297"/>
      <c r="J1669" s="285" t="s">
        <v>5224</v>
      </c>
      <c r="K1669" s="285" t="s">
        <v>10056</v>
      </c>
      <c r="L1669" s="285" t="s">
        <v>832</v>
      </c>
      <c r="M1669" s="285" t="s">
        <v>9391</v>
      </c>
      <c r="N1669" s="287" t="str">
        <f>IFERROR(
    IF(
        AND(
            VLOOKUP(B1669, 'รายชื่อพนักงานลาออกพ้นสภาพ'!B:I, 8, FALSE)&lt;&gt;"ยกเลิกลาออก",
            VLOOKUP(B1669, 'รายชื่อพนักงานลาออกพ้นสภาพ'!B:I, 7, FALSE)&lt;=TODAY()
        ),
        "ลาออกแล้ว",
        ""
    ),
"")</f>
        <v>ลาออกแล้ว</v>
      </c>
      <c r="O1669" s="292" t="str">
        <f t="array" ref="O1669">IFERROR(INDEX(PCRent!C:D, MATCH(F1669 &amp; " " &amp; G1669, PCRent!A:A &amp; " " &amp; PCRent!B:B, 0)), "")</f>
        <v/>
      </c>
      <c r="P1669" s="293"/>
      <c r="Q1669" s="294" t="str">
        <f t="array" ref="Q1669">IFERROR(INDEX(MonitorRent!C:D, MATCH(F1669 &amp; " " &amp; G1669, MonitorRent!A:A &amp; " " &amp; MonitorRent!B:B, 0)), "")</f>
        <v/>
      </c>
      <c r="R1669" s="295"/>
    </row>
    <row r="1670">
      <c r="A1670" s="284">
        <v>1667.0</v>
      </c>
      <c r="B1670" s="285" t="s">
        <v>631</v>
      </c>
      <c r="C1670" s="285" t="s">
        <v>16499</v>
      </c>
      <c r="D1670" s="286" t="s">
        <v>10196</v>
      </c>
      <c r="E1670" s="285" t="s">
        <v>6933</v>
      </c>
      <c r="F1670" s="285" t="s">
        <v>16509</v>
      </c>
      <c r="G1670" s="285" t="s">
        <v>16510</v>
      </c>
      <c r="H1670" s="297"/>
      <c r="I1670" s="297"/>
      <c r="J1670" s="285" t="s">
        <v>5224</v>
      </c>
      <c r="K1670" s="285" t="s">
        <v>16190</v>
      </c>
      <c r="L1670" s="285" t="s">
        <v>832</v>
      </c>
      <c r="M1670" s="285" t="s">
        <v>9391</v>
      </c>
      <c r="N1670" s="287" t="str">
        <f>IFERROR(
    IF(
        AND(
            VLOOKUP(B1670, 'รายชื่อพนักงานลาออกพ้นสภาพ'!B:I, 8, FALSE)&lt;&gt;"ยกเลิกลาออก",
            VLOOKUP(B1670, 'รายชื่อพนักงานลาออกพ้นสภาพ'!B:I, 7, FALSE)&lt;=TODAY()
        ),
        "ลาออกแล้ว",
        ""
    ),
"")</f>
        <v>ลาออกแล้ว</v>
      </c>
      <c r="O1670" s="292" t="str">
        <f t="array" ref="O1670">IFERROR(INDEX(PCRent!C:D, MATCH(F1670 &amp; " " &amp; G1670, PCRent!A:A &amp; " " &amp; PCRent!B:B, 0)), "")</f>
        <v/>
      </c>
      <c r="P1670" s="293"/>
      <c r="Q1670" s="294" t="str">
        <f t="array" ref="Q1670">IFERROR(INDEX(MonitorRent!C:D, MATCH(F1670 &amp; " " &amp; G1670, MonitorRent!A:A &amp; " " &amp; MonitorRent!B:B, 0)), "")</f>
        <v/>
      </c>
      <c r="R1670" s="295"/>
    </row>
    <row r="1671">
      <c r="A1671" s="284">
        <v>1668.0</v>
      </c>
      <c r="B1671" s="285" t="s">
        <v>16511</v>
      </c>
      <c r="C1671" s="285" t="s">
        <v>16499</v>
      </c>
      <c r="D1671" s="286" t="s">
        <v>9547</v>
      </c>
      <c r="E1671" s="285" t="s">
        <v>6921</v>
      </c>
      <c r="F1671" s="285" t="s">
        <v>16512</v>
      </c>
      <c r="G1671" s="285" t="s">
        <v>16513</v>
      </c>
      <c r="H1671" s="297"/>
      <c r="I1671" s="297"/>
      <c r="J1671" s="285" t="s">
        <v>5224</v>
      </c>
      <c r="K1671" s="285" t="s">
        <v>4749</v>
      </c>
      <c r="L1671" s="285" t="s">
        <v>832</v>
      </c>
      <c r="M1671" s="285" t="s">
        <v>9391</v>
      </c>
      <c r="N1671" s="287" t="str">
        <f>IFERROR(
    IF(
        AND(
            VLOOKUP(B1671, 'รายชื่อพนักงานลาออกพ้นสภาพ'!B:I, 8, FALSE)&lt;&gt;"ยกเลิกลาออก",
            VLOOKUP(B1671, 'รายชื่อพนักงานลาออกพ้นสภาพ'!B:I, 7, FALSE)&lt;=TODAY()
        ),
        "ลาออกแล้ว",
        ""
    ),
"")</f>
        <v/>
      </c>
      <c r="O1671" s="292" t="str">
        <f t="array" ref="O1671">IFERROR(INDEX(PCRent!C:D, MATCH(F1671 &amp; " " &amp; G1671, PCRent!A:A &amp; " " &amp; PCRent!B:B, 0)), "")</f>
        <v/>
      </c>
      <c r="P1671" s="293"/>
      <c r="Q1671" s="294" t="str">
        <f t="array" ref="Q1671">IFERROR(INDEX(MonitorRent!C:D, MATCH(F1671 &amp; " " &amp; G1671, MonitorRent!A:A &amp; " " &amp; MonitorRent!B:B, 0)), "")</f>
        <v/>
      </c>
      <c r="R1671" s="295"/>
    </row>
    <row r="1672">
      <c r="A1672" s="284">
        <v>1669.0</v>
      </c>
      <c r="B1672" s="285" t="s">
        <v>16514</v>
      </c>
      <c r="C1672" s="285" t="s">
        <v>16499</v>
      </c>
      <c r="D1672" s="286" t="s">
        <v>9780</v>
      </c>
      <c r="E1672" s="285" t="s">
        <v>6933</v>
      </c>
      <c r="F1672" s="285" t="s">
        <v>16515</v>
      </c>
      <c r="G1672" s="285" t="s">
        <v>16516</v>
      </c>
      <c r="H1672" s="297"/>
      <c r="I1672" s="297"/>
      <c r="J1672" s="285" t="s">
        <v>5224</v>
      </c>
      <c r="K1672" s="285" t="s">
        <v>4749</v>
      </c>
      <c r="L1672" s="285" t="s">
        <v>832</v>
      </c>
      <c r="M1672" s="285" t="s">
        <v>9391</v>
      </c>
      <c r="N1672" s="287" t="str">
        <f>IFERROR(
    IF(
        AND(
            VLOOKUP(B1672, 'รายชื่อพนักงานลาออกพ้นสภาพ'!B:I, 8, FALSE)&lt;&gt;"ยกเลิกลาออก",
            VLOOKUP(B1672, 'รายชื่อพนักงานลาออกพ้นสภาพ'!B:I, 7, FALSE)&lt;=TODAY()
        ),
        "ลาออกแล้ว",
        ""
    ),
"")</f>
        <v/>
      </c>
      <c r="O1672" s="292" t="str">
        <f t="array" ref="O1672:P1672">IFERROR(INDEX(PCRent!C:D, MATCH(F1672 &amp; " " &amp; G1672, PCRent!A:A &amp; " " &amp; PCRent!B:B, 0)), "")</f>
        <v>SN:MP2E0NB9</v>
      </c>
      <c r="P1672" s="293" t="s">
        <v>6993</v>
      </c>
      <c r="Q1672" s="294" t="str">
        <f t="array" ref="Q1672">IFERROR(INDEX(MonitorRent!C:D, MATCH(F1672 &amp; " " &amp; G1672, MonitorRent!A:A &amp; " " &amp; MonitorRent!B:B, 0)), "")</f>
        <v/>
      </c>
      <c r="R1672" s="295"/>
    </row>
    <row r="1673">
      <c r="A1673" s="284">
        <v>1670.0</v>
      </c>
      <c r="B1673" s="285" t="s">
        <v>1007</v>
      </c>
      <c r="C1673" s="285" t="s">
        <v>16499</v>
      </c>
      <c r="D1673" s="286" t="s">
        <v>9718</v>
      </c>
      <c r="E1673" s="285" t="s">
        <v>6921</v>
      </c>
      <c r="F1673" s="285" t="s">
        <v>16517</v>
      </c>
      <c r="G1673" s="285" t="s">
        <v>16518</v>
      </c>
      <c r="H1673" s="285" t="s">
        <v>10491</v>
      </c>
      <c r="I1673" s="285" t="s">
        <v>16519</v>
      </c>
      <c r="J1673" s="285" t="s">
        <v>5224</v>
      </c>
      <c r="K1673" s="285" t="s">
        <v>4749</v>
      </c>
      <c r="L1673" s="285" t="s">
        <v>832</v>
      </c>
      <c r="M1673" s="285" t="s">
        <v>9391</v>
      </c>
      <c r="N1673" s="287" t="str">
        <f>IFERROR(
    IF(
        AND(
            VLOOKUP(B1673, 'รายชื่อพนักงานลาออกพ้นสภาพ'!B:I, 8, FALSE)&lt;&gt;"ยกเลิกลาออก",
            VLOOKUP(B1673, 'รายชื่อพนักงานลาออกพ้นสภาพ'!B:I, 7, FALSE)&lt;=TODAY()
        ),
        "ลาออกแล้ว",
        ""
    ),
"")</f>
        <v>ลาออกแล้ว</v>
      </c>
      <c r="O1673" s="292" t="str">
        <f t="array" ref="O1673:P1673">IFERROR(INDEX(PCRent!C:D, MATCH(F1673 &amp; " " &amp; G1673, PCRent!A:A &amp; " " &amp; PCRent!B:B, 0)), "")</f>
        <v>SN:P-1JM3674</v>
      </c>
      <c r="P1673" s="293" t="s">
        <v>7048</v>
      </c>
      <c r="Q1673" s="294" t="str">
        <f t="array" ref="Q1673:R1673">IFERROR(INDEX(MonitorRent!C:D, MATCH(F1673 &amp; " " &amp; G1673, MonitorRent!A:A &amp; " " &amp; MonitorRent!B:B, 0)), "")</f>
        <v>SN:P-6YVZQB4</v>
      </c>
      <c r="R1673" s="295" t="s">
        <v>9397</v>
      </c>
    </row>
    <row r="1674">
      <c r="A1674" s="284">
        <v>1671.0</v>
      </c>
      <c r="B1674" s="285" t="s">
        <v>16520</v>
      </c>
      <c r="C1674" s="285" t="s">
        <v>16499</v>
      </c>
      <c r="D1674" s="286" t="s">
        <v>9829</v>
      </c>
      <c r="E1674" s="285" t="s">
        <v>6921</v>
      </c>
      <c r="F1674" s="285" t="s">
        <v>16521</v>
      </c>
      <c r="G1674" s="285" t="s">
        <v>16522</v>
      </c>
      <c r="H1674" s="296"/>
      <c r="I1674" s="296"/>
      <c r="J1674" s="285" t="s">
        <v>5224</v>
      </c>
      <c r="K1674" s="285" t="s">
        <v>16190</v>
      </c>
      <c r="L1674" s="285" t="s">
        <v>832</v>
      </c>
      <c r="M1674" s="285" t="s">
        <v>9391</v>
      </c>
      <c r="N1674" s="287" t="str">
        <f>IFERROR(
    IF(
        AND(
            VLOOKUP(B1674, 'รายชื่อพนักงานลาออกพ้นสภาพ'!B:I, 8, FALSE)&lt;&gt;"ยกเลิกลาออก",
            VLOOKUP(B1674, 'รายชื่อพนักงานลาออกพ้นสภาพ'!B:I, 7, FALSE)&lt;=TODAY()
        ),
        "ลาออกแล้ว",
        ""
    ),
"")</f>
        <v/>
      </c>
      <c r="O1674" s="292" t="str">
        <f t="array" ref="O1674">IFERROR(INDEX(PCRent!C:D, MATCH(F1674 &amp; " " &amp; G1674, PCRent!A:A &amp; " " &amp; PCRent!B:B, 0)), "")</f>
        <v/>
      </c>
      <c r="P1674" s="293"/>
      <c r="Q1674" s="294" t="str">
        <f t="array" ref="Q1674">IFERROR(INDEX(MonitorRent!C:D, MATCH(F1674 &amp; " " &amp; G1674, MonitorRent!A:A &amp; " " &amp; MonitorRent!B:B, 0)), "")</f>
        <v/>
      </c>
      <c r="R1674" s="295"/>
    </row>
    <row r="1675">
      <c r="A1675" s="284">
        <v>1672.0</v>
      </c>
      <c r="B1675" s="285" t="s">
        <v>502</v>
      </c>
      <c r="C1675" s="285" t="s">
        <v>16499</v>
      </c>
      <c r="D1675" s="286" t="s">
        <v>16523</v>
      </c>
      <c r="E1675" s="285" t="s">
        <v>6933</v>
      </c>
      <c r="F1675" s="285" t="s">
        <v>16524</v>
      </c>
      <c r="G1675" s="285" t="s">
        <v>16525</v>
      </c>
      <c r="H1675" s="297"/>
      <c r="I1675" s="297"/>
      <c r="J1675" s="285" t="s">
        <v>5224</v>
      </c>
      <c r="K1675" s="285" t="s">
        <v>16122</v>
      </c>
      <c r="L1675" s="285" t="s">
        <v>832</v>
      </c>
      <c r="M1675" s="285" t="s">
        <v>9391</v>
      </c>
      <c r="N1675" s="287" t="str">
        <f>IFERROR(
    IF(
        AND(
            VLOOKUP(B1675, 'รายชื่อพนักงานลาออกพ้นสภาพ'!B:I, 8, FALSE)&lt;&gt;"ยกเลิกลาออก",
            VLOOKUP(B1675, 'รายชื่อพนักงานลาออกพ้นสภาพ'!B:I, 7, FALSE)&lt;=TODAY()
        ),
        "ลาออกแล้ว",
        ""
    ),
"")</f>
        <v>ลาออกแล้ว</v>
      </c>
      <c r="O1675" s="292" t="str">
        <f t="array" ref="O1675">IFERROR(INDEX(PCRent!C:D, MATCH(F1675 &amp; " " &amp; G1675, PCRent!A:A &amp; " " &amp; PCRent!B:B, 0)), "")</f>
        <v/>
      </c>
      <c r="P1675" s="293"/>
      <c r="Q1675" s="294" t="str">
        <f t="array" ref="Q1675">IFERROR(INDEX(MonitorRent!C:D, MATCH(F1675 &amp; " " &amp; G1675, MonitorRent!A:A &amp; " " &amp; MonitorRent!B:B, 0)), "")</f>
        <v/>
      </c>
      <c r="R1675" s="295"/>
    </row>
    <row r="1676">
      <c r="A1676" s="284">
        <v>1673.0</v>
      </c>
      <c r="B1676" s="285" t="s">
        <v>16526</v>
      </c>
      <c r="C1676" s="285" t="s">
        <v>16499</v>
      </c>
      <c r="D1676" s="286" t="s">
        <v>10196</v>
      </c>
      <c r="E1676" s="285" t="s">
        <v>6933</v>
      </c>
      <c r="F1676" s="285" t="s">
        <v>16527</v>
      </c>
      <c r="G1676" s="285" t="s">
        <v>16528</v>
      </c>
      <c r="H1676" s="297"/>
      <c r="I1676" s="297"/>
      <c r="J1676" s="285" t="s">
        <v>5224</v>
      </c>
      <c r="K1676" s="285" t="s">
        <v>4835</v>
      </c>
      <c r="L1676" s="285" t="s">
        <v>832</v>
      </c>
      <c r="M1676" s="285" t="s">
        <v>9391</v>
      </c>
      <c r="N1676" s="287" t="str">
        <f>IFERROR(
    IF(
        AND(
            VLOOKUP(B1676, 'รายชื่อพนักงานลาออกพ้นสภาพ'!B:I, 8, FALSE)&lt;&gt;"ยกเลิกลาออก",
            VLOOKUP(B1676, 'รายชื่อพนักงานลาออกพ้นสภาพ'!B:I, 7, FALSE)&lt;=TODAY()
        ),
        "ลาออกแล้ว",
        ""
    ),
"")</f>
        <v/>
      </c>
      <c r="O1676" s="292" t="str">
        <f t="array" ref="O1676">IFERROR(INDEX(PCRent!C:D, MATCH(F1676 &amp; " " &amp; G1676, PCRent!A:A &amp; " " &amp; PCRent!B:B, 0)), "")</f>
        <v/>
      </c>
      <c r="P1676" s="293"/>
      <c r="Q1676" s="294" t="str">
        <f t="array" ref="Q1676">IFERROR(INDEX(MonitorRent!C:D, MATCH(F1676 &amp; " " &amp; G1676, MonitorRent!A:A &amp; " " &amp; MonitorRent!B:B, 0)), "")</f>
        <v/>
      </c>
      <c r="R1676" s="295"/>
    </row>
    <row r="1677">
      <c r="A1677" s="284">
        <v>1674.0</v>
      </c>
      <c r="B1677" s="285" t="s">
        <v>16529</v>
      </c>
      <c r="C1677" s="285" t="s">
        <v>16499</v>
      </c>
      <c r="D1677" s="286" t="s">
        <v>10996</v>
      </c>
      <c r="E1677" s="285" t="s">
        <v>6933</v>
      </c>
      <c r="F1677" s="285" t="s">
        <v>16530</v>
      </c>
      <c r="G1677" s="285" t="s">
        <v>16531</v>
      </c>
      <c r="H1677" s="285" t="s">
        <v>16532</v>
      </c>
      <c r="I1677" s="285" t="s">
        <v>16533</v>
      </c>
      <c r="J1677" s="285" t="s">
        <v>16506</v>
      </c>
      <c r="K1677" s="285" t="s">
        <v>4805</v>
      </c>
      <c r="L1677" s="285" t="s">
        <v>832</v>
      </c>
      <c r="M1677" s="285" t="s">
        <v>9391</v>
      </c>
      <c r="N1677" s="287" t="str">
        <f>IFERROR(
    IF(
        AND(
            VLOOKUP(B1677, 'รายชื่อพนักงานลาออกพ้นสภาพ'!B:I, 8, FALSE)&lt;&gt;"ยกเลิกลาออก",
            VLOOKUP(B1677, 'รายชื่อพนักงานลาออกพ้นสภาพ'!B:I, 7, FALSE)&lt;=TODAY()
        ),
        "ลาออกแล้ว",
        ""
    ),
"")</f>
        <v/>
      </c>
      <c r="O1677" s="292" t="str">
        <f t="array" ref="O1677:P1677">IFERROR(INDEX(PCRent!C:D, MATCH(F1677 &amp; " " &amp; G1677, PCRent!A:A &amp; " " &amp; PCRent!B:B, 0)), "")</f>
        <v>SN:MP2EJ0LK</v>
      </c>
      <c r="P1677" s="293" t="s">
        <v>6993</v>
      </c>
      <c r="Q1677" s="294" t="str">
        <f t="array" ref="Q1677">IFERROR(INDEX(MonitorRent!C:D, MATCH(F1677 &amp; " " &amp; G1677, MonitorRent!A:A &amp; " " &amp; MonitorRent!B:B, 0)), "")</f>
        <v/>
      </c>
      <c r="R1677" s="295"/>
    </row>
    <row r="1678">
      <c r="A1678" s="284">
        <v>1675.0</v>
      </c>
      <c r="B1678" s="285" t="s">
        <v>1009</v>
      </c>
      <c r="C1678" s="285" t="s">
        <v>16499</v>
      </c>
      <c r="D1678" s="286" t="s">
        <v>9829</v>
      </c>
      <c r="E1678" s="285" t="s">
        <v>6921</v>
      </c>
      <c r="F1678" s="285" t="s">
        <v>16534</v>
      </c>
      <c r="G1678" s="285" t="s">
        <v>16535</v>
      </c>
      <c r="H1678" s="285" t="s">
        <v>15320</v>
      </c>
      <c r="I1678" s="296"/>
      <c r="J1678" s="285" t="s">
        <v>5224</v>
      </c>
      <c r="K1678" s="285" t="s">
        <v>4749</v>
      </c>
      <c r="L1678" s="285" t="s">
        <v>832</v>
      </c>
      <c r="M1678" s="285" t="s">
        <v>9391</v>
      </c>
      <c r="N1678" s="287" t="str">
        <f>IFERROR(
    IF(
        AND(
            VLOOKUP(B1678, 'รายชื่อพนักงานลาออกพ้นสภาพ'!B:I, 8, FALSE)&lt;&gt;"ยกเลิกลาออก",
            VLOOKUP(B1678, 'รายชื่อพนักงานลาออกพ้นสภาพ'!B:I, 7, FALSE)&lt;=TODAY()
        ),
        "ลาออกแล้ว",
        ""
    ),
"")</f>
        <v>ลาออกแล้ว</v>
      </c>
      <c r="O1678" s="292" t="str">
        <f t="array" ref="O1678:P1678">IFERROR(INDEX(PCRent!C:D, MATCH(F1678 &amp; " " &amp; G1678, PCRent!A:A &amp; " " &amp; PCRent!B:B, 0)), "")</f>
        <v>SN:MP2M8GBC</v>
      </c>
      <c r="P1678" s="293" t="s">
        <v>7248</v>
      </c>
      <c r="Q1678" s="294" t="str">
        <f t="array" ref="Q1678">IFERROR(INDEX(MonitorRent!C:D, MATCH(F1678 &amp; " " &amp; G1678, MonitorRent!A:A &amp; " " &amp; MonitorRent!B:B, 0)), "")</f>
        <v/>
      </c>
      <c r="R1678" s="295"/>
    </row>
    <row r="1679">
      <c r="A1679" s="284">
        <v>1676.0</v>
      </c>
      <c r="B1679" s="285" t="s">
        <v>1002</v>
      </c>
      <c r="C1679" s="285" t="s">
        <v>16499</v>
      </c>
      <c r="D1679" s="286" t="s">
        <v>10206</v>
      </c>
      <c r="E1679" s="285" t="s">
        <v>6933</v>
      </c>
      <c r="F1679" s="285" t="s">
        <v>16536</v>
      </c>
      <c r="G1679" s="285" t="s">
        <v>16537</v>
      </c>
      <c r="H1679" s="296"/>
      <c r="I1679" s="297"/>
      <c r="J1679" s="285" t="s">
        <v>5224</v>
      </c>
      <c r="K1679" s="285" t="s">
        <v>16538</v>
      </c>
      <c r="L1679" s="285" t="s">
        <v>832</v>
      </c>
      <c r="M1679" s="285" t="s">
        <v>9391</v>
      </c>
      <c r="N1679" s="287" t="str">
        <f>IFERROR(
    IF(
        AND(
            VLOOKUP(B1679, 'รายชื่อพนักงานลาออกพ้นสภาพ'!B:I, 8, FALSE)&lt;&gt;"ยกเลิกลาออก",
            VLOOKUP(B1679, 'รายชื่อพนักงานลาออกพ้นสภาพ'!B:I, 7, FALSE)&lt;=TODAY()
        ),
        "ลาออกแล้ว",
        ""
    ),
"")</f>
        <v>ลาออกแล้ว</v>
      </c>
      <c r="O1679" s="292" t="str">
        <f t="array" ref="O1679">IFERROR(INDEX(PCRent!C:D, MATCH(F1679 &amp; " " &amp; G1679, PCRent!A:A &amp; " " &amp; PCRent!B:B, 0)), "")</f>
        <v/>
      </c>
      <c r="P1679" s="293"/>
      <c r="Q1679" s="294" t="str">
        <f t="array" ref="Q1679">IFERROR(INDEX(MonitorRent!C:D, MATCH(F1679 &amp; " " &amp; G1679, MonitorRent!A:A &amp; " " &amp; MonitorRent!B:B, 0)), "")</f>
        <v/>
      </c>
      <c r="R1679" s="295"/>
    </row>
    <row r="1680">
      <c r="A1680" s="284">
        <v>1677.0</v>
      </c>
      <c r="B1680" s="296"/>
      <c r="C1680" s="285"/>
      <c r="D1680" s="286"/>
      <c r="E1680" s="285"/>
      <c r="F1680" s="285"/>
      <c r="G1680" s="285"/>
      <c r="H1680" s="297"/>
      <c r="I1680" s="297"/>
      <c r="J1680" s="285"/>
      <c r="K1680" s="285"/>
      <c r="L1680" s="285"/>
      <c r="M1680" s="285"/>
      <c r="N1680" s="287" t="str">
        <f>IFERROR(
    IF(
        AND(
            VLOOKUP(B1680, 'รายชื่อพนักงานลาออกพ้นสภาพ'!B:I, 8, FALSE)&lt;&gt;"ยกเลิกลาออก",
            VLOOKUP(B1680, 'รายชื่อพนักงานลาออกพ้นสภาพ'!B:I, 7, FALSE)&lt;=TODAY()
        ),
        "ลาออกแล้ว",
        ""
    ),
"")</f>
        <v/>
      </c>
      <c r="O1680" s="292" t="str">
        <f t="array" ref="O1680:P1680">IFERROR(INDEX(PCRent!C:D, MATCH(F1680 &amp; " " &amp; G1680, PCRent!A:A &amp; " " &amp; PCRent!B:B, 0)), "")</f>
        <v/>
      </c>
      <c r="P1680" s="293"/>
      <c r="Q1680" s="294" t="str">
        <f t="array" ref="Q1680:R1680">IFERROR(INDEX(MonitorRent!C:D, MATCH(F1680 &amp; " " &amp; G1680, MonitorRent!A:A &amp; " " &amp; MonitorRent!B:B, 0)), "")</f>
        <v/>
      </c>
      <c r="R1680" s="295"/>
    </row>
    <row r="1681">
      <c r="A1681" s="284">
        <v>1678.0</v>
      </c>
      <c r="C1681" s="298"/>
      <c r="D1681" s="299"/>
      <c r="M1681" s="272"/>
      <c r="N1681" s="287" t="str">
        <f>IFERROR(
    IF(
        AND(
            VLOOKUP(B1681, 'รายชื่อพนักงานลาออกพ้นสภาพ'!B:I, 8, FALSE)&lt;&gt;"ยกเลิกลาออก",
            VLOOKUP(B1681, 'รายชื่อพนักงานลาออกพ้นสภาพ'!B:I, 7, FALSE)&lt;=TODAY()
        ),
        "ลาออกแล้ว",
        ""
    ),
"")</f>
        <v/>
      </c>
      <c r="O1681" s="292" t="str">
        <f t="array" ref="O1681:P1681">IFERROR(INDEX(PCRent!C:D, MATCH(F1681 &amp; " " &amp; G1681, PCRent!A:A &amp; " " &amp; PCRent!B:B, 0)), "")</f>
        <v/>
      </c>
      <c r="P1681" s="293"/>
      <c r="Q1681" s="294" t="str">
        <f t="array" ref="Q1681:R1681">IFERROR(INDEX(MonitorRent!C:D, MATCH(F1681 &amp; " " &amp; G1681, MonitorRent!A:A &amp; " " &amp; MonitorRent!B:B, 0)), "")</f>
        <v/>
      </c>
      <c r="R1681" s="295"/>
    </row>
    <row r="1682">
      <c r="A1682" s="284">
        <v>1679.0</v>
      </c>
      <c r="C1682" s="298"/>
      <c r="D1682" s="299"/>
      <c r="M1682" s="272"/>
      <c r="N1682" s="287" t="str">
        <f>IFERROR(
    IF(
        AND(
            VLOOKUP(B1682, 'รายชื่อพนักงานลาออกพ้นสภาพ'!B:I, 8, FALSE)&lt;&gt;"ยกเลิกลาออก",
            VLOOKUP(B1682, 'รายชื่อพนักงานลาออกพ้นสภาพ'!B:I, 7, FALSE)&lt;=TODAY()
        ),
        "ลาออกแล้ว",
        ""
    ),
"")</f>
        <v/>
      </c>
      <c r="O1682" s="292" t="str">
        <f t="array" ref="O1682:P1682">IFERROR(INDEX(PCRent!C:D, MATCH(F1682 &amp; " " &amp; G1682, PCRent!A:A &amp; " " &amp; PCRent!B:B, 0)), "")</f>
        <v/>
      </c>
      <c r="P1682" s="293"/>
      <c r="Q1682" s="294" t="str">
        <f t="array" ref="Q1682:R1682">IFERROR(INDEX(MonitorRent!C:D, MATCH(F1682 &amp; " " &amp; G1682, MonitorRent!A:A &amp; " " &amp; MonitorRent!B:B, 0)), "")</f>
        <v/>
      </c>
      <c r="R1682" s="295"/>
    </row>
    <row r="1683">
      <c r="A1683" s="284">
        <v>1680.0</v>
      </c>
      <c r="C1683" s="298"/>
      <c r="D1683" s="299"/>
      <c r="M1683" s="272"/>
      <c r="N1683" s="287" t="str">
        <f>IFERROR(
    IF(
        AND(
            VLOOKUP(B1683, 'รายชื่อพนักงานลาออกพ้นสภาพ'!B:I, 8, FALSE)&lt;&gt;"ยกเลิกลาออก",
            VLOOKUP(B1683, 'รายชื่อพนักงานลาออกพ้นสภาพ'!B:I, 7, FALSE)&lt;=TODAY()
        ),
        "ลาออกแล้ว",
        ""
    ),
"")</f>
        <v/>
      </c>
      <c r="O1683" s="292" t="str">
        <f t="array" ref="O1683:P1683">IFERROR(INDEX(PCRent!C:D, MATCH(F1683 &amp; " " &amp; G1683, PCRent!A:A &amp; " " &amp; PCRent!B:B, 0)), "")</f>
        <v/>
      </c>
      <c r="P1683" s="293"/>
      <c r="Q1683" s="294" t="str">
        <f t="array" ref="Q1683:R1683">IFERROR(INDEX(MonitorRent!C:D, MATCH(F1683 &amp; " " &amp; G1683, MonitorRent!A:A &amp; " " &amp; MonitorRent!B:B, 0)), "")</f>
        <v/>
      </c>
      <c r="R1683" s="295"/>
    </row>
    <row r="1684">
      <c r="A1684" s="284">
        <v>1681.0</v>
      </c>
      <c r="C1684" s="298"/>
      <c r="D1684" s="299"/>
      <c r="M1684" s="272"/>
      <c r="N1684" s="287" t="str">
        <f>IFERROR(
    IF(
        AND(
            VLOOKUP(B1684, 'รายชื่อพนักงานลาออกพ้นสภาพ'!B:I, 8, FALSE)&lt;&gt;"ยกเลิกลาออก",
            VLOOKUP(B1684, 'รายชื่อพนักงานลาออกพ้นสภาพ'!B:I, 7, FALSE)&lt;=TODAY()
        ),
        "ลาออกแล้ว",
        ""
    ),
"")</f>
        <v/>
      </c>
      <c r="O1684" s="292" t="str">
        <f t="array" ref="O1684:P1684">IFERROR(INDEX(PCRent!C:D, MATCH(F1684 &amp; " " &amp; G1684, PCRent!A:A &amp; " " &amp; PCRent!B:B, 0)), "")</f>
        <v/>
      </c>
      <c r="P1684" s="293"/>
      <c r="Q1684" s="294" t="str">
        <f t="array" ref="Q1684:R1684">IFERROR(INDEX(MonitorRent!C:D, MATCH(F1684 &amp; " " &amp; G1684, MonitorRent!A:A &amp; " " &amp; MonitorRent!B:B, 0)), "")</f>
        <v/>
      </c>
      <c r="R1684" s="295"/>
    </row>
    <row r="1685">
      <c r="A1685" s="284">
        <v>1682.0</v>
      </c>
      <c r="C1685" s="298"/>
      <c r="D1685" s="299"/>
      <c r="M1685" s="272"/>
      <c r="N1685" s="287" t="str">
        <f>IFERROR(
    IF(
        AND(
            VLOOKUP(B1685, 'รายชื่อพนักงานลาออกพ้นสภาพ'!B:I, 8, FALSE)&lt;&gt;"ยกเลิกลาออก",
            VLOOKUP(B1685, 'รายชื่อพนักงานลาออกพ้นสภาพ'!B:I, 7, FALSE)&lt;=TODAY()
        ),
        "ลาออกแล้ว",
        ""
    ),
"")</f>
        <v/>
      </c>
      <c r="O1685" s="292" t="str">
        <f t="array" ref="O1685:P1685">IFERROR(INDEX(PCRent!C:D, MATCH(F1685 &amp; " " &amp; G1685, PCRent!A:A &amp; " " &amp; PCRent!B:B, 0)), "")</f>
        <v/>
      </c>
      <c r="P1685" s="293"/>
      <c r="Q1685" s="294" t="str">
        <f t="array" ref="Q1685:R1685">IFERROR(INDEX(MonitorRent!C:D, MATCH(F1685 &amp; " " &amp; G1685, MonitorRent!A:A &amp; " " &amp; MonitorRent!B:B, 0)), "")</f>
        <v/>
      </c>
      <c r="R1685" s="295"/>
    </row>
    <row r="1686">
      <c r="A1686" s="284">
        <v>1683.0</v>
      </c>
      <c r="C1686" s="298"/>
      <c r="D1686" s="299"/>
      <c r="M1686" s="272"/>
      <c r="N1686" s="287" t="str">
        <f>IFERROR(
    IF(
        AND(
            VLOOKUP(B1686, 'รายชื่อพนักงานลาออกพ้นสภาพ'!B:I, 8, FALSE)&lt;&gt;"ยกเลิกลาออก",
            VLOOKUP(B1686, 'รายชื่อพนักงานลาออกพ้นสภาพ'!B:I, 7, FALSE)&lt;=TODAY()
        ),
        "ลาออกแล้ว",
        ""
    ),
"")</f>
        <v/>
      </c>
      <c r="O1686" s="292" t="str">
        <f t="array" ref="O1686:P1686">IFERROR(INDEX(PCRent!C:D, MATCH(F1686 &amp; " " &amp; G1686, PCRent!A:A &amp; " " &amp; PCRent!B:B, 0)), "")</f>
        <v/>
      </c>
      <c r="P1686" s="293"/>
      <c r="Q1686" s="294" t="str">
        <f t="array" ref="Q1686:R1686">IFERROR(INDEX(MonitorRent!C:D, MATCH(F1686 &amp; " " &amp; G1686, MonitorRent!A:A &amp; " " &amp; MonitorRent!B:B, 0)), "")</f>
        <v/>
      </c>
      <c r="R1686" s="295"/>
    </row>
    <row r="1687">
      <c r="A1687" s="284">
        <v>1684.0</v>
      </c>
      <c r="C1687" s="298"/>
      <c r="D1687" s="299"/>
      <c r="M1687" s="272"/>
      <c r="N1687" s="287" t="str">
        <f>IFERROR(
    IF(
        AND(
            VLOOKUP(B1687, 'รายชื่อพนักงานลาออกพ้นสภาพ'!B:I, 8, FALSE)&lt;&gt;"ยกเลิกลาออก",
            VLOOKUP(B1687, 'รายชื่อพนักงานลาออกพ้นสภาพ'!B:I, 7, FALSE)&lt;=TODAY()
        ),
        "ลาออกแล้ว",
        ""
    ),
"")</f>
        <v/>
      </c>
      <c r="O1687" s="292" t="str">
        <f t="array" ref="O1687:P1687">IFERROR(INDEX(PCRent!C:D, MATCH(F1687 &amp; " " &amp; G1687, PCRent!A:A &amp; " " &amp; PCRent!B:B, 0)), "")</f>
        <v/>
      </c>
      <c r="P1687" s="293"/>
      <c r="Q1687" s="294" t="str">
        <f t="array" ref="Q1687:R1687">IFERROR(INDEX(MonitorRent!C:D, MATCH(F1687 &amp; " " &amp; G1687, MonitorRent!A:A &amp; " " &amp; MonitorRent!B:B, 0)), "")</f>
        <v/>
      </c>
      <c r="R1687" s="295"/>
    </row>
    <row r="1688">
      <c r="A1688" s="284">
        <v>1685.0</v>
      </c>
      <c r="C1688" s="298"/>
      <c r="D1688" s="299"/>
      <c r="M1688" s="272"/>
      <c r="N1688" s="287" t="str">
        <f>IFERROR(
    IF(
        AND(
            VLOOKUP(B1688, 'รายชื่อพนักงานลาออกพ้นสภาพ'!B:I, 8, FALSE)&lt;&gt;"ยกเลิกลาออก",
            VLOOKUP(B1688, 'รายชื่อพนักงานลาออกพ้นสภาพ'!B:I, 7, FALSE)&lt;=TODAY()
        ),
        "ลาออกแล้ว",
        ""
    ),
"")</f>
        <v/>
      </c>
      <c r="O1688" s="292" t="str">
        <f t="array" ref="O1688:P1688">IFERROR(INDEX(PCRent!C:D, MATCH(F1688 &amp; " " &amp; G1688, PCRent!A:A &amp; " " &amp; PCRent!B:B, 0)), "")</f>
        <v/>
      </c>
      <c r="P1688" s="293"/>
      <c r="Q1688" s="294" t="str">
        <f t="array" ref="Q1688:R1688">IFERROR(INDEX(MonitorRent!C:D, MATCH(F1688 &amp; " " &amp; G1688, MonitorRent!A:A &amp; " " &amp; MonitorRent!B:B, 0)), "")</f>
        <v/>
      </c>
      <c r="R1688" s="295"/>
    </row>
    <row r="1689">
      <c r="A1689" s="284">
        <v>1686.0</v>
      </c>
      <c r="C1689" s="298"/>
      <c r="D1689" s="299"/>
      <c r="M1689" s="272"/>
      <c r="N1689" s="287" t="str">
        <f>IFERROR(
    IF(
        AND(
            VLOOKUP(B1689, 'รายชื่อพนักงานลาออกพ้นสภาพ'!B:I, 8, FALSE)&lt;&gt;"ยกเลิกลาออก",
            VLOOKUP(B1689, 'รายชื่อพนักงานลาออกพ้นสภาพ'!B:I, 7, FALSE)&lt;=TODAY()
        ),
        "ลาออกแล้ว",
        ""
    ),
"")</f>
        <v/>
      </c>
      <c r="O1689" s="292" t="str">
        <f t="array" ref="O1689:P1689">IFERROR(INDEX(PCRent!C:D, MATCH(F1689 &amp; " " &amp; G1689, PCRent!A:A &amp; " " &amp; PCRent!B:B, 0)), "")</f>
        <v/>
      </c>
      <c r="P1689" s="293"/>
      <c r="Q1689" s="294" t="str">
        <f t="array" ref="Q1689:R1689">IFERROR(INDEX(MonitorRent!C:D, MATCH(F1689 &amp; " " &amp; G1689, MonitorRent!A:A &amp; " " &amp; MonitorRent!B:B, 0)), "")</f>
        <v/>
      </c>
      <c r="R1689" s="295"/>
    </row>
    <row r="1690">
      <c r="A1690" s="284">
        <v>1687.0</v>
      </c>
      <c r="C1690" s="298"/>
      <c r="D1690" s="299"/>
      <c r="M1690" s="272"/>
      <c r="N1690" s="287" t="str">
        <f>IFERROR(
    IF(
        AND(
            VLOOKUP(B1690, 'รายชื่อพนักงานลาออกพ้นสภาพ'!B:I, 8, FALSE)&lt;&gt;"ยกเลิกลาออก",
            VLOOKUP(B1690, 'รายชื่อพนักงานลาออกพ้นสภาพ'!B:I, 7, FALSE)&lt;=TODAY()
        ),
        "ลาออกแล้ว",
        ""
    ),
"")</f>
        <v/>
      </c>
      <c r="O1690" s="292" t="str">
        <f t="array" ref="O1690:P1690">IFERROR(INDEX(PCRent!C:D, MATCH(F1690 &amp; " " &amp; G1690, PCRent!A:A &amp; " " &amp; PCRent!B:B, 0)), "")</f>
        <v/>
      </c>
      <c r="P1690" s="293"/>
      <c r="Q1690" s="294" t="str">
        <f t="array" ref="Q1690:R1690">IFERROR(INDEX(MonitorRent!C:D, MATCH(F1690 &amp; " " &amp; G1690, MonitorRent!A:A &amp; " " &amp; MonitorRent!B:B, 0)), "")</f>
        <v/>
      </c>
      <c r="R1690" s="295"/>
    </row>
    <row r="1691">
      <c r="A1691" s="284">
        <v>1688.0</v>
      </c>
      <c r="C1691" s="298"/>
      <c r="D1691" s="299"/>
      <c r="M1691" s="272"/>
      <c r="N1691" s="287" t="str">
        <f>IFERROR(
    IF(
        AND(
            VLOOKUP(B1691, 'รายชื่อพนักงานลาออกพ้นสภาพ'!B:I, 8, FALSE)&lt;&gt;"ยกเลิกลาออก",
            VLOOKUP(B1691, 'รายชื่อพนักงานลาออกพ้นสภาพ'!B:I, 7, FALSE)&lt;=TODAY()
        ),
        "ลาออกแล้ว",
        ""
    ),
"")</f>
        <v/>
      </c>
      <c r="O1691" s="292" t="str">
        <f t="array" ref="O1691:P1691">IFERROR(INDEX(PCRent!C:D, MATCH(F1691 &amp; " " &amp; G1691, PCRent!A:A &amp; " " &amp; PCRent!B:B, 0)), "")</f>
        <v/>
      </c>
      <c r="P1691" s="293"/>
      <c r="Q1691" s="294" t="str">
        <f t="array" ref="Q1691:R1691">IFERROR(INDEX(MonitorRent!C:D, MATCH(F1691 &amp; " " &amp; G1691, MonitorRent!A:A &amp; " " &amp; MonitorRent!B:B, 0)), "")</f>
        <v/>
      </c>
      <c r="R1691" s="295"/>
    </row>
    <row r="1692">
      <c r="A1692" s="284">
        <v>1689.0</v>
      </c>
      <c r="C1692" s="298"/>
      <c r="D1692" s="299"/>
      <c r="M1692" s="272"/>
      <c r="N1692" s="287" t="str">
        <f>IFERROR(
    IF(
        AND(
            VLOOKUP(B1692, 'รายชื่อพนักงานลาออกพ้นสภาพ'!B:I, 8, FALSE)&lt;&gt;"ยกเลิกลาออก",
            VLOOKUP(B1692, 'รายชื่อพนักงานลาออกพ้นสภาพ'!B:I, 7, FALSE)&lt;=TODAY()
        ),
        "ลาออกแล้ว",
        ""
    ),
"")</f>
        <v/>
      </c>
      <c r="O1692" s="292" t="str">
        <f t="array" ref="O1692:P1692">IFERROR(INDEX(PCRent!C:D, MATCH(F1692 &amp; " " &amp; G1692, PCRent!A:A &amp; " " &amp; PCRent!B:B, 0)), "")</f>
        <v/>
      </c>
      <c r="P1692" s="293"/>
      <c r="Q1692" s="294" t="str">
        <f t="array" ref="Q1692:R1692">IFERROR(INDEX(MonitorRent!C:D, MATCH(F1692 &amp; " " &amp; G1692, MonitorRent!A:A &amp; " " &amp; MonitorRent!B:B, 0)), "")</f>
        <v/>
      </c>
      <c r="R1692" s="295"/>
    </row>
    <row r="1693">
      <c r="A1693" s="284">
        <v>1690.0</v>
      </c>
      <c r="C1693" s="298"/>
      <c r="D1693" s="299"/>
      <c r="M1693" s="272"/>
      <c r="N1693" s="287" t="str">
        <f>IFERROR(
    IF(
        AND(
            VLOOKUP(B1693, 'รายชื่อพนักงานลาออกพ้นสภาพ'!B:I, 8, FALSE)&lt;&gt;"ยกเลิกลาออก",
            VLOOKUP(B1693, 'รายชื่อพนักงานลาออกพ้นสภาพ'!B:I, 7, FALSE)&lt;=TODAY()
        ),
        "ลาออกแล้ว",
        ""
    ),
"")</f>
        <v/>
      </c>
      <c r="O1693" s="292" t="str">
        <f t="array" ref="O1693:P1693">IFERROR(INDEX(PCRent!C:D, MATCH(F1693 &amp; " " &amp; G1693, PCRent!A:A &amp; " " &amp; PCRent!B:B, 0)), "")</f>
        <v/>
      </c>
      <c r="P1693" s="293"/>
      <c r="Q1693" s="294" t="str">
        <f t="array" ref="Q1693:R1693">IFERROR(INDEX(MonitorRent!C:D, MATCH(F1693 &amp; " " &amp; G1693, MonitorRent!A:A &amp; " " &amp; MonitorRent!B:B, 0)), "")</f>
        <v/>
      </c>
      <c r="R1693" s="295"/>
    </row>
    <row r="1694">
      <c r="A1694" s="284">
        <v>1691.0</v>
      </c>
      <c r="C1694" s="298"/>
      <c r="D1694" s="299"/>
      <c r="M1694" s="272"/>
      <c r="N1694" s="287" t="str">
        <f>IFERROR(
    IF(
        AND(
            VLOOKUP(B1694, 'รายชื่อพนักงานลาออกพ้นสภาพ'!B:I, 8, FALSE)&lt;&gt;"ยกเลิกลาออก",
            VLOOKUP(B1694, 'รายชื่อพนักงานลาออกพ้นสภาพ'!B:I, 7, FALSE)&lt;=TODAY()
        ),
        "ลาออกแล้ว",
        ""
    ),
"")</f>
        <v/>
      </c>
      <c r="O1694" s="292" t="str">
        <f t="array" ref="O1694:P1694">IFERROR(INDEX(PCRent!C:D, MATCH(F1694 &amp; " " &amp; G1694, PCRent!A:A &amp; " " &amp; PCRent!B:B, 0)), "")</f>
        <v/>
      </c>
      <c r="P1694" s="293"/>
      <c r="Q1694" s="294" t="str">
        <f t="array" ref="Q1694:R1694">IFERROR(INDEX(MonitorRent!C:D, MATCH(F1694 &amp; " " &amp; G1694, MonitorRent!A:A &amp; " " &amp; MonitorRent!B:B, 0)), "")</f>
        <v/>
      </c>
      <c r="R1694" s="295"/>
    </row>
    <row r="1695">
      <c r="A1695" s="284">
        <v>1692.0</v>
      </c>
      <c r="C1695" s="298"/>
      <c r="D1695" s="299"/>
      <c r="M1695" s="272"/>
      <c r="N1695" s="287" t="str">
        <f>IFERROR(
    IF(
        AND(
            VLOOKUP(B1695, 'รายชื่อพนักงานลาออกพ้นสภาพ'!B:I, 8, FALSE)&lt;&gt;"ยกเลิกลาออก",
            VLOOKUP(B1695, 'รายชื่อพนักงานลาออกพ้นสภาพ'!B:I, 7, FALSE)&lt;=TODAY()
        ),
        "ลาออกแล้ว",
        ""
    ),
"")</f>
        <v/>
      </c>
      <c r="O1695" s="292" t="str">
        <f t="array" ref="O1695:P1695">IFERROR(INDEX(PCRent!C:D, MATCH(F1695 &amp; " " &amp; G1695, PCRent!A:A &amp; " " &amp; PCRent!B:B, 0)), "")</f>
        <v/>
      </c>
      <c r="P1695" s="293"/>
      <c r="Q1695" s="294" t="str">
        <f t="array" ref="Q1695:R1695">IFERROR(INDEX(MonitorRent!C:D, MATCH(F1695 &amp; " " &amp; G1695, MonitorRent!A:A &amp; " " &amp; MonitorRent!B:B, 0)), "")</f>
        <v/>
      </c>
      <c r="R1695" s="295"/>
    </row>
    <row r="1696">
      <c r="A1696" s="284">
        <v>1693.0</v>
      </c>
      <c r="C1696" s="298"/>
      <c r="D1696" s="299"/>
      <c r="M1696" s="272"/>
      <c r="N1696" s="287" t="str">
        <f>IFERROR(
    IF(
        AND(
            VLOOKUP(B1696, 'รายชื่อพนักงานลาออกพ้นสภาพ'!B:I, 8, FALSE)&lt;&gt;"ยกเลิกลาออก",
            VLOOKUP(B1696, 'รายชื่อพนักงานลาออกพ้นสภาพ'!B:I, 7, FALSE)&lt;=TODAY()
        ),
        "ลาออกแล้ว",
        ""
    ),
"")</f>
        <v/>
      </c>
      <c r="O1696" s="292" t="str">
        <f t="array" ref="O1696:P1696">IFERROR(INDEX(PCRent!C:D, MATCH(F1696 &amp; " " &amp; G1696, PCRent!A:A &amp; " " &amp; PCRent!B:B, 0)), "")</f>
        <v/>
      </c>
      <c r="P1696" s="293"/>
      <c r="Q1696" s="294" t="str">
        <f t="array" ref="Q1696:R1696">IFERROR(INDEX(MonitorRent!C:D, MATCH(F1696 &amp; " " &amp; G1696, MonitorRent!A:A &amp; " " &amp; MonitorRent!B:B, 0)), "")</f>
        <v/>
      </c>
      <c r="R1696" s="295"/>
    </row>
    <row r="1697">
      <c r="A1697" s="284">
        <v>1694.0</v>
      </c>
      <c r="C1697" s="298"/>
      <c r="D1697" s="299"/>
      <c r="M1697" s="272"/>
      <c r="N1697" s="287" t="str">
        <f>IFERROR(
    IF(
        AND(
            VLOOKUP(B1697, 'รายชื่อพนักงานลาออกพ้นสภาพ'!B:I, 8, FALSE)&lt;&gt;"ยกเลิกลาออก",
            VLOOKUP(B1697, 'รายชื่อพนักงานลาออกพ้นสภาพ'!B:I, 7, FALSE)&lt;=TODAY()
        ),
        "ลาออกแล้ว",
        ""
    ),
"")</f>
        <v/>
      </c>
      <c r="O1697" s="292" t="str">
        <f t="array" ref="O1697:P1697">IFERROR(INDEX(PCRent!C:D, MATCH(F1697 &amp; " " &amp; G1697, PCRent!A:A &amp; " " &amp; PCRent!B:B, 0)), "")</f>
        <v/>
      </c>
      <c r="P1697" s="293"/>
      <c r="Q1697" s="294" t="str">
        <f t="array" ref="Q1697:R1697">IFERROR(INDEX(MonitorRent!C:D, MATCH(F1697 &amp; " " &amp; G1697, MonitorRent!A:A &amp; " " &amp; MonitorRent!B:B, 0)), "")</f>
        <v/>
      </c>
      <c r="R1697" s="295"/>
    </row>
    <row r="1698">
      <c r="A1698" s="284">
        <v>1695.0</v>
      </c>
      <c r="C1698" s="298"/>
      <c r="D1698" s="299"/>
      <c r="M1698" s="272"/>
      <c r="N1698" s="287" t="str">
        <f>IFERROR(
    IF(
        AND(
            VLOOKUP(B1698, 'รายชื่อพนักงานลาออกพ้นสภาพ'!B:I, 8, FALSE)&lt;&gt;"ยกเลิกลาออก",
            VLOOKUP(B1698, 'รายชื่อพนักงานลาออกพ้นสภาพ'!B:I, 7, FALSE)&lt;=TODAY()
        ),
        "ลาออกแล้ว",
        ""
    ),
"")</f>
        <v/>
      </c>
      <c r="O1698" s="292" t="str">
        <f t="array" ref="O1698:P1698">IFERROR(INDEX(PCRent!C:D, MATCH(F1698 &amp; " " &amp; G1698, PCRent!A:A &amp; " " &amp; PCRent!B:B, 0)), "")</f>
        <v/>
      </c>
      <c r="P1698" s="293"/>
      <c r="Q1698" s="294" t="str">
        <f t="array" ref="Q1698:R1698">IFERROR(INDEX(MonitorRent!C:D, MATCH(F1698 &amp; " " &amp; G1698, MonitorRent!A:A &amp; " " &amp; MonitorRent!B:B, 0)), "")</f>
        <v/>
      </c>
      <c r="R1698" s="295"/>
    </row>
    <row r="1699">
      <c r="A1699" s="284">
        <v>1696.0</v>
      </c>
      <c r="C1699" s="298"/>
      <c r="D1699" s="299"/>
      <c r="M1699" s="272"/>
      <c r="N1699" s="287" t="str">
        <f>IFERROR(
    IF(
        AND(
            VLOOKUP(B1699, 'รายชื่อพนักงานลาออกพ้นสภาพ'!B:I, 8, FALSE)&lt;&gt;"ยกเลิกลาออก",
            VLOOKUP(B1699, 'รายชื่อพนักงานลาออกพ้นสภาพ'!B:I, 7, FALSE)&lt;=TODAY()
        ),
        "ลาออกแล้ว",
        ""
    ),
"")</f>
        <v/>
      </c>
      <c r="O1699" s="292" t="str">
        <f t="array" ref="O1699:P1699">IFERROR(INDEX(PCRent!C:D, MATCH(F1699 &amp; " " &amp; G1699, PCRent!A:A &amp; " " &amp; PCRent!B:B, 0)), "")</f>
        <v/>
      </c>
      <c r="P1699" s="293"/>
      <c r="Q1699" s="294" t="str">
        <f t="array" ref="Q1699:R1699">IFERROR(INDEX(MonitorRent!C:D, MATCH(F1699 &amp; " " &amp; G1699, MonitorRent!A:A &amp; " " &amp; MonitorRent!B:B, 0)), "")</f>
        <v/>
      </c>
      <c r="R1699" s="295"/>
    </row>
    <row r="1700">
      <c r="A1700" s="284">
        <v>1697.0</v>
      </c>
      <c r="C1700" s="298"/>
      <c r="D1700" s="299"/>
      <c r="M1700" s="272"/>
      <c r="N1700" s="287" t="str">
        <f>IFERROR(
    IF(
        AND(
            VLOOKUP(B1700, 'รายชื่อพนักงานลาออกพ้นสภาพ'!B:I, 8, FALSE)&lt;&gt;"ยกเลิกลาออก",
            VLOOKUP(B1700, 'รายชื่อพนักงานลาออกพ้นสภาพ'!B:I, 7, FALSE)&lt;=TODAY()
        ),
        "ลาออกแล้ว",
        ""
    ),
"")</f>
        <v/>
      </c>
      <c r="O1700" s="292" t="str">
        <f t="array" ref="O1700:P1700">IFERROR(INDEX(PCRent!C:D, MATCH(F1700 &amp; " " &amp; G1700, PCRent!A:A &amp; " " &amp; PCRent!B:B, 0)), "")</f>
        <v/>
      </c>
      <c r="P1700" s="293"/>
      <c r="Q1700" s="294" t="str">
        <f t="array" ref="Q1700:R1700">IFERROR(INDEX(MonitorRent!C:D, MATCH(F1700 &amp; " " &amp; G1700, MonitorRent!A:A &amp; " " &amp; MonitorRent!B:B, 0)), "")</f>
        <v/>
      </c>
      <c r="R1700" s="295"/>
    </row>
    <row r="1701">
      <c r="A1701" s="284">
        <v>1698.0</v>
      </c>
      <c r="C1701" s="298"/>
      <c r="D1701" s="299"/>
      <c r="M1701" s="272"/>
      <c r="N1701" s="287" t="str">
        <f>IFERROR(
    IF(
        AND(
            VLOOKUP(B1701, 'รายชื่อพนักงานลาออกพ้นสภาพ'!B:I, 8, FALSE)&lt;&gt;"ยกเลิกลาออก",
            VLOOKUP(B1701, 'รายชื่อพนักงานลาออกพ้นสภาพ'!B:I, 7, FALSE)&lt;=TODAY()
        ),
        "ลาออกแล้ว",
        ""
    ),
"")</f>
        <v/>
      </c>
      <c r="O1701" s="292" t="str">
        <f t="array" ref="O1701:P1701">IFERROR(INDEX(PCRent!C:D, MATCH(F1701 &amp; " " &amp; G1701, PCRent!A:A &amp; " " &amp; PCRent!B:B, 0)), "")</f>
        <v/>
      </c>
      <c r="P1701" s="293"/>
      <c r="Q1701" s="294" t="str">
        <f t="array" ref="Q1701:R1701">IFERROR(INDEX(MonitorRent!C:D, MATCH(F1701 &amp; " " &amp; G1701, MonitorRent!A:A &amp; " " &amp; MonitorRent!B:B, 0)), "")</f>
        <v/>
      </c>
      <c r="R1701" s="295"/>
    </row>
    <row r="1702">
      <c r="A1702" s="284">
        <v>1699.0</v>
      </c>
      <c r="C1702" s="298"/>
      <c r="D1702" s="262"/>
      <c r="I1702" s="300"/>
      <c r="J1702" s="300"/>
      <c r="K1702" s="300"/>
      <c r="L1702" s="300"/>
      <c r="M1702" s="301"/>
      <c r="N1702" s="287" t="str">
        <f>IFERROR(
    IF(
        AND(
            VLOOKUP(B1702, 'รายชื่อพนักงานลาออกพ้นสภาพ'!B:I, 8, FALSE)&lt;&gt;"ยกเลิกลาออก",
            VLOOKUP(B1702, 'รายชื่อพนักงานลาออกพ้นสภาพ'!B:I, 7, FALSE)&lt;=TODAY()
        ),
        "ลาออกแล้ว",
        ""
    ),
"")</f>
        <v/>
      </c>
      <c r="O1702" s="292" t="str">
        <f t="array" ref="O1702:P1702">IFERROR(INDEX(PCRent!C:D, MATCH(F1702 &amp; " " &amp; G1702, PCRent!A:A &amp; " " &amp; PCRent!B:B, 0)), "")</f>
        <v/>
      </c>
      <c r="P1702" s="293"/>
      <c r="Q1702" s="294" t="str">
        <f t="array" ref="Q1702:R1702">IFERROR(INDEX(MonitorRent!C:D, MATCH(F1702 &amp; " " &amp; G1702, MonitorRent!A:A &amp; " " &amp; MonitorRent!B:B, 0)), "")</f>
        <v/>
      </c>
      <c r="R1702" s="295"/>
    </row>
    <row r="1703">
      <c r="A1703" s="284">
        <v>1700.0</v>
      </c>
      <c r="C1703" s="298"/>
      <c r="D1703" s="262"/>
      <c r="I1703" s="300"/>
      <c r="J1703" s="300"/>
      <c r="K1703" s="300"/>
      <c r="L1703" s="300"/>
      <c r="M1703" s="301"/>
      <c r="N1703" s="287" t="str">
        <f>IFERROR(
    IF(
        AND(
            VLOOKUP(B1703, 'รายชื่อพนักงานลาออกพ้นสภาพ'!B:I, 8, FALSE)&lt;&gt;"ยกเลิกลาออก",
            VLOOKUP(B1703, 'รายชื่อพนักงานลาออกพ้นสภาพ'!B:I, 7, FALSE)&lt;=TODAY()
        ),
        "ลาออกแล้ว",
        ""
    ),
"")</f>
        <v/>
      </c>
      <c r="O1703" s="292" t="str">
        <f t="array" ref="O1703:P1703">IFERROR(INDEX(PCRent!C:D, MATCH(F1703 &amp; " " &amp; G1703, PCRent!A:A &amp; " " &amp; PCRent!B:B, 0)), "")</f>
        <v/>
      </c>
      <c r="P1703" s="293"/>
      <c r="Q1703" s="294" t="str">
        <f t="array" ref="Q1703:R1703">IFERROR(INDEX(MonitorRent!C:D, MATCH(F1703 &amp; " " &amp; G1703, MonitorRent!A:A &amp; " " &amp; MonitorRent!B:B, 0)), "")</f>
        <v/>
      </c>
      <c r="R1703" s="295"/>
    </row>
    <row r="1704">
      <c r="A1704" s="284">
        <v>1701.0</v>
      </c>
      <c r="C1704" s="298"/>
      <c r="D1704" s="262"/>
      <c r="I1704" s="302"/>
      <c r="J1704" s="300"/>
      <c r="K1704" s="300"/>
      <c r="L1704" s="300"/>
      <c r="M1704" s="301"/>
      <c r="N1704" s="287" t="str">
        <f>IFERROR(
    IF(
        AND(
            VLOOKUP(B1704, 'รายชื่อพนักงานลาออกพ้นสภาพ'!B:I, 8, FALSE)&lt;&gt;"ยกเลิกลาออก",
            VLOOKUP(B1704, 'รายชื่อพนักงานลาออกพ้นสภาพ'!B:I, 7, FALSE)&lt;=TODAY()
        ),
        "ลาออกแล้ว",
        ""
    ),
"")</f>
        <v/>
      </c>
      <c r="O1704" s="292" t="str">
        <f t="array" ref="O1704:P1704">IFERROR(INDEX(PCRent!C:D, MATCH(F1704 &amp; " " &amp; G1704, PCRent!A:A &amp; " " &amp; PCRent!B:B, 0)), "")</f>
        <v/>
      </c>
      <c r="P1704" s="293"/>
      <c r="Q1704" s="294" t="str">
        <f t="array" ref="Q1704:R1704">IFERROR(INDEX(MonitorRent!C:D, MATCH(F1704 &amp; " " &amp; G1704, MonitorRent!A:A &amp; " " &amp; MonitorRent!B:B, 0)), "")</f>
        <v/>
      </c>
      <c r="R1704" s="295"/>
    </row>
    <row r="1705">
      <c r="A1705" s="284">
        <v>1702.0</v>
      </c>
      <c r="C1705" s="298"/>
      <c r="D1705" s="262"/>
      <c r="I1705" s="302"/>
      <c r="J1705" s="300"/>
      <c r="K1705" s="300"/>
      <c r="L1705" s="300"/>
      <c r="M1705" s="301"/>
      <c r="N1705" s="287" t="str">
        <f>IFERROR(
    IF(
        AND(
            VLOOKUP(B1705, 'รายชื่อพนักงานลาออกพ้นสภาพ'!B:I, 8, FALSE)&lt;&gt;"ยกเลิกลาออก",
            VLOOKUP(B1705, 'รายชื่อพนักงานลาออกพ้นสภาพ'!B:I, 7, FALSE)&lt;=TODAY()
        ),
        "ลาออกแล้ว",
        ""
    ),
"")</f>
        <v/>
      </c>
      <c r="O1705" s="292" t="str">
        <f t="array" ref="O1705:P1705">IFERROR(INDEX(PCRent!C:D, MATCH(F1705 &amp; " " &amp; G1705, PCRent!A:A &amp; " " &amp; PCRent!B:B, 0)), "")</f>
        <v/>
      </c>
      <c r="P1705" s="293"/>
      <c r="Q1705" s="294" t="str">
        <f t="array" ref="Q1705:R1705">IFERROR(INDEX(MonitorRent!C:D, MATCH(F1705 &amp; " " &amp; G1705, MonitorRent!A:A &amp; " " &amp; MonitorRent!B:B, 0)), "")</f>
        <v/>
      </c>
      <c r="R1705" s="295"/>
    </row>
    <row r="1706">
      <c r="A1706" s="284">
        <v>1703.0</v>
      </c>
      <c r="C1706" s="298"/>
      <c r="D1706" s="262"/>
      <c r="I1706" s="302"/>
      <c r="J1706" s="300"/>
      <c r="K1706" s="300"/>
      <c r="L1706" s="300"/>
      <c r="M1706" s="301"/>
      <c r="N1706" s="287" t="str">
        <f>IFERROR(
    IF(
        AND(
            VLOOKUP(B1706, 'รายชื่อพนักงานลาออกพ้นสภาพ'!B:I, 8, FALSE)&lt;&gt;"ยกเลิกลาออก",
            VLOOKUP(B1706, 'รายชื่อพนักงานลาออกพ้นสภาพ'!B:I, 7, FALSE)&lt;=TODAY()
        ),
        "ลาออกแล้ว",
        ""
    ),
"")</f>
        <v/>
      </c>
      <c r="O1706" s="292" t="str">
        <f t="array" ref="O1706:P1706">IFERROR(INDEX(PCRent!C:D, MATCH(F1706 &amp; " " &amp; G1706, PCRent!A:A &amp; " " &amp; PCRent!B:B, 0)), "")</f>
        <v/>
      </c>
      <c r="P1706" s="293"/>
      <c r="Q1706" s="294" t="str">
        <f t="array" ref="Q1706:R1706">IFERROR(INDEX(MonitorRent!C:D, MATCH(F1706 &amp; " " &amp; G1706, MonitorRent!A:A &amp; " " &amp; MonitorRent!B:B, 0)), "")</f>
        <v/>
      </c>
      <c r="R1706" s="295"/>
    </row>
    <row r="1707">
      <c r="A1707" s="284">
        <v>1704.0</v>
      </c>
      <c r="C1707" s="298"/>
      <c r="D1707" s="262"/>
      <c r="I1707" s="300"/>
      <c r="J1707" s="300"/>
      <c r="K1707" s="300"/>
      <c r="L1707" s="300"/>
      <c r="M1707" s="301"/>
      <c r="N1707" s="287" t="str">
        <f>IFERROR(
    IF(
        AND(
            VLOOKUP(B1707, 'รายชื่อพนักงานลาออกพ้นสภาพ'!B:I, 8, FALSE)&lt;&gt;"ยกเลิกลาออก",
            VLOOKUP(B1707, 'รายชื่อพนักงานลาออกพ้นสภาพ'!B:I, 7, FALSE)&lt;=TODAY()
        ),
        "ลาออกแล้ว",
        ""
    ),
"")</f>
        <v/>
      </c>
      <c r="O1707" s="292" t="str">
        <f t="array" ref="O1707:P1707">IFERROR(INDEX(PCRent!C:D, MATCH(F1707 &amp; " " &amp; G1707, PCRent!A:A &amp; " " &amp; PCRent!B:B, 0)), "")</f>
        <v/>
      </c>
      <c r="P1707" s="293"/>
      <c r="Q1707" s="294" t="str">
        <f t="array" ref="Q1707:R1707">IFERROR(INDEX(MonitorRent!C:D, MATCH(F1707 &amp; " " &amp; G1707, MonitorRent!A:A &amp; " " &amp; MonitorRent!B:B, 0)), "")</f>
        <v/>
      </c>
      <c r="R1707" s="295"/>
    </row>
    <row r="1708">
      <c r="A1708" s="284">
        <v>1705.0</v>
      </c>
      <c r="C1708" s="298"/>
      <c r="D1708" s="262"/>
      <c r="I1708" s="300"/>
      <c r="J1708" s="300"/>
      <c r="K1708" s="300"/>
      <c r="L1708" s="300"/>
      <c r="M1708" s="301"/>
      <c r="N1708" s="287" t="str">
        <f>IFERROR(
    IF(
        AND(
            VLOOKUP(B1708, 'รายชื่อพนักงานลาออกพ้นสภาพ'!B:I, 8, FALSE)&lt;&gt;"ยกเลิกลาออก",
            VLOOKUP(B1708, 'รายชื่อพนักงานลาออกพ้นสภาพ'!B:I, 7, FALSE)&lt;=TODAY()
        ),
        "ลาออกแล้ว",
        ""
    ),
"")</f>
        <v/>
      </c>
      <c r="O1708" s="292" t="str">
        <f t="array" ref="O1708:P1708">IFERROR(INDEX(PCRent!C:D, MATCH(F1708 &amp; " " &amp; G1708, PCRent!A:A &amp; " " &amp; PCRent!B:B, 0)), "")</f>
        <v/>
      </c>
      <c r="P1708" s="293"/>
      <c r="Q1708" s="294" t="str">
        <f t="array" ref="Q1708:R1708">IFERROR(INDEX(MonitorRent!C:D, MATCH(F1708 &amp; " " &amp; G1708, MonitorRent!A:A &amp; " " &amp; MonitorRent!B:B, 0)), "")</f>
        <v/>
      </c>
      <c r="R1708" s="295"/>
    </row>
    <row r="1709">
      <c r="A1709" s="284">
        <v>1706.0</v>
      </c>
      <c r="C1709" s="298"/>
      <c r="D1709" s="262"/>
      <c r="I1709" s="300"/>
      <c r="J1709" s="300"/>
      <c r="K1709" s="300"/>
      <c r="L1709" s="300"/>
      <c r="M1709" s="301"/>
      <c r="N1709" s="287" t="str">
        <f>IFERROR(
    IF(
        AND(
            VLOOKUP(B1709, 'รายชื่อพนักงานลาออกพ้นสภาพ'!B:I, 8, FALSE)&lt;&gt;"ยกเลิกลาออก",
            VLOOKUP(B1709, 'รายชื่อพนักงานลาออกพ้นสภาพ'!B:I, 7, FALSE)&lt;=TODAY()
        ),
        "ลาออกแล้ว",
        ""
    ),
"")</f>
        <v/>
      </c>
      <c r="O1709" s="292" t="str">
        <f t="array" ref="O1709:P1709">IFERROR(INDEX(PCRent!C:D, MATCH(F1709 &amp; " " &amp; G1709, PCRent!A:A &amp; " " &amp; PCRent!B:B, 0)), "")</f>
        <v/>
      </c>
      <c r="P1709" s="293"/>
      <c r="Q1709" s="294" t="str">
        <f t="array" ref="Q1709:R1709">IFERROR(INDEX(MonitorRent!C:D, MATCH(F1709 &amp; " " &amp; G1709, MonitorRent!A:A &amp; " " &amp; MonitorRent!B:B, 0)), "")</f>
        <v/>
      </c>
      <c r="R1709" s="295"/>
    </row>
    <row r="1710">
      <c r="A1710" s="284">
        <v>1707.0</v>
      </c>
      <c r="C1710" s="298"/>
      <c r="D1710" s="262"/>
      <c r="I1710" s="300"/>
      <c r="J1710" s="300"/>
      <c r="K1710" s="300"/>
      <c r="L1710" s="300"/>
      <c r="M1710" s="301"/>
      <c r="N1710" s="287" t="str">
        <f>IFERROR(
    IF(
        AND(
            VLOOKUP(B1710, 'รายชื่อพนักงานลาออกพ้นสภาพ'!B:I, 8, FALSE)&lt;&gt;"ยกเลิกลาออก",
            VLOOKUP(B1710, 'รายชื่อพนักงานลาออกพ้นสภาพ'!B:I, 7, FALSE)&lt;=TODAY()
        ),
        "ลาออกแล้ว",
        ""
    ),
"")</f>
        <v/>
      </c>
      <c r="O1710" s="292" t="str">
        <f t="array" ref="O1710:P1710">IFERROR(INDEX(PCRent!C:D, MATCH(F1710 &amp; " " &amp; G1710, PCRent!A:A &amp; " " &amp; PCRent!B:B, 0)), "")</f>
        <v/>
      </c>
      <c r="P1710" s="293"/>
      <c r="Q1710" s="294" t="str">
        <f t="array" ref="Q1710:R1710">IFERROR(INDEX(MonitorRent!C:D, MATCH(F1710 &amp; " " &amp; G1710, MonitorRent!A:A &amp; " " &amp; MonitorRent!B:B, 0)), "")</f>
        <v/>
      </c>
      <c r="R1710" s="295"/>
    </row>
    <row r="1711">
      <c r="A1711" s="284">
        <v>1708.0</v>
      </c>
      <c r="C1711" s="298"/>
      <c r="D1711" s="262"/>
      <c r="I1711" s="300"/>
      <c r="J1711" s="300"/>
      <c r="K1711" s="300"/>
      <c r="L1711" s="300"/>
      <c r="M1711" s="301"/>
      <c r="N1711" s="287" t="str">
        <f>IFERROR(
    IF(
        AND(
            VLOOKUP(B1711, 'รายชื่อพนักงานลาออกพ้นสภาพ'!B:I, 8, FALSE)&lt;&gt;"ยกเลิกลาออก",
            VLOOKUP(B1711, 'รายชื่อพนักงานลาออกพ้นสภาพ'!B:I, 7, FALSE)&lt;=TODAY()
        ),
        "ลาออกแล้ว",
        ""
    ),
"")</f>
        <v/>
      </c>
      <c r="O1711" s="292" t="str">
        <f t="array" ref="O1711:P1711">IFERROR(INDEX(PCRent!C:D, MATCH(F1711 &amp; " " &amp; G1711, PCRent!A:A &amp; " " &amp; PCRent!B:B, 0)), "")</f>
        <v/>
      </c>
      <c r="P1711" s="293"/>
      <c r="Q1711" s="294" t="str">
        <f t="array" ref="Q1711:R1711">IFERROR(INDEX(MonitorRent!C:D, MATCH(F1711 &amp; " " &amp; G1711, MonitorRent!A:A &amp; " " &amp; MonitorRent!B:B, 0)), "")</f>
        <v/>
      </c>
      <c r="R1711" s="295"/>
    </row>
    <row r="1712">
      <c r="A1712" s="284">
        <v>1709.0</v>
      </c>
      <c r="C1712" s="298"/>
      <c r="D1712" s="262"/>
      <c r="I1712" s="300"/>
      <c r="J1712" s="300"/>
      <c r="K1712" s="300"/>
      <c r="L1712" s="300"/>
      <c r="M1712" s="301"/>
      <c r="N1712" s="287" t="str">
        <f>IFERROR(
    IF(
        AND(
            VLOOKUP(B1712, 'รายชื่อพนักงานลาออกพ้นสภาพ'!B:I, 8, FALSE)&lt;&gt;"ยกเลิกลาออก",
            VLOOKUP(B1712, 'รายชื่อพนักงานลาออกพ้นสภาพ'!B:I, 7, FALSE)&lt;=TODAY()
        ),
        "ลาออกแล้ว",
        ""
    ),
"")</f>
        <v/>
      </c>
      <c r="O1712" s="292" t="str">
        <f t="array" ref="O1712:P1712">IFERROR(INDEX(PCRent!C:D, MATCH(F1712 &amp; " " &amp; G1712, PCRent!A:A &amp; " " &amp; PCRent!B:B, 0)), "")</f>
        <v/>
      </c>
      <c r="P1712" s="293"/>
      <c r="Q1712" s="294" t="str">
        <f t="array" ref="Q1712:R1712">IFERROR(INDEX(MonitorRent!C:D, MATCH(F1712 &amp; " " &amp; G1712, MonitorRent!A:A &amp; " " &amp; MonitorRent!B:B, 0)), "")</f>
        <v/>
      </c>
      <c r="R1712" s="295"/>
    </row>
    <row r="1713">
      <c r="A1713" s="284">
        <v>1710.0</v>
      </c>
      <c r="C1713" s="298"/>
      <c r="D1713" s="262"/>
      <c r="I1713" s="300"/>
      <c r="J1713" s="300"/>
      <c r="K1713" s="300"/>
      <c r="L1713" s="300"/>
      <c r="M1713" s="301"/>
      <c r="N1713" s="287" t="str">
        <f>IFERROR(
    IF(
        AND(
            VLOOKUP(B1713, 'รายชื่อพนักงานลาออกพ้นสภาพ'!B:I, 8, FALSE)&lt;&gt;"ยกเลิกลาออก",
            VLOOKUP(B1713, 'รายชื่อพนักงานลาออกพ้นสภาพ'!B:I, 7, FALSE)&lt;=TODAY()
        ),
        "ลาออกแล้ว",
        ""
    ),
"")</f>
        <v/>
      </c>
      <c r="O1713" s="292" t="str">
        <f t="array" ref="O1713:P1713">IFERROR(INDEX(PCRent!C:D, MATCH(F1713 &amp; " " &amp; G1713, PCRent!A:A &amp; " " &amp; PCRent!B:B, 0)), "")</f>
        <v/>
      </c>
      <c r="P1713" s="293"/>
      <c r="Q1713" s="294" t="str">
        <f t="array" ref="Q1713:R1713">IFERROR(INDEX(MonitorRent!C:D, MATCH(F1713 &amp; " " &amp; G1713, MonitorRent!A:A &amp; " " &amp; MonitorRent!B:B, 0)), "")</f>
        <v/>
      </c>
      <c r="R1713" s="295"/>
    </row>
    <row r="1714">
      <c r="A1714" s="284">
        <v>1711.0</v>
      </c>
      <c r="C1714" s="298"/>
      <c r="D1714" s="262"/>
      <c r="I1714" s="300"/>
      <c r="J1714" s="300"/>
      <c r="K1714" s="300"/>
      <c r="L1714" s="300"/>
      <c r="M1714" s="301"/>
      <c r="N1714" s="287" t="str">
        <f>IFERROR(
    IF(
        AND(
            VLOOKUP(B1714, 'รายชื่อพนักงานลาออกพ้นสภาพ'!B:I, 8, FALSE)&lt;&gt;"ยกเลิกลาออก",
            VLOOKUP(B1714, 'รายชื่อพนักงานลาออกพ้นสภาพ'!B:I, 7, FALSE)&lt;=TODAY()
        ),
        "ลาออกแล้ว",
        ""
    ),
"")</f>
        <v/>
      </c>
      <c r="O1714" s="292" t="str">
        <f t="array" ref="O1714:P1714">IFERROR(INDEX(PCRent!C:D, MATCH(F1714 &amp; " " &amp; G1714, PCRent!A:A &amp; " " &amp; PCRent!B:B, 0)), "")</f>
        <v/>
      </c>
      <c r="P1714" s="293"/>
      <c r="Q1714" s="294" t="str">
        <f t="array" ref="Q1714:R1714">IFERROR(INDEX(MonitorRent!C:D, MATCH(F1714 &amp; " " &amp; G1714, MonitorRent!A:A &amp; " " &amp; MonitorRent!B:B, 0)), "")</f>
        <v/>
      </c>
      <c r="R1714" s="295"/>
    </row>
    <row r="1715">
      <c r="A1715" s="284">
        <v>1712.0</v>
      </c>
      <c r="C1715" s="298"/>
      <c r="D1715" s="262"/>
      <c r="I1715" s="300"/>
      <c r="J1715" s="300"/>
      <c r="K1715" s="300"/>
      <c r="L1715" s="300"/>
      <c r="M1715" s="301"/>
      <c r="N1715" s="287" t="str">
        <f>IFERROR(
    IF(
        AND(
            VLOOKUP(B1715, 'รายชื่อพนักงานลาออกพ้นสภาพ'!B:I, 8, FALSE)&lt;&gt;"ยกเลิกลาออก",
            VLOOKUP(B1715, 'รายชื่อพนักงานลาออกพ้นสภาพ'!B:I, 7, FALSE)&lt;=TODAY()
        ),
        "ลาออกแล้ว",
        ""
    ),
"")</f>
        <v/>
      </c>
      <c r="O1715" s="292" t="str">
        <f t="array" ref="O1715:P1715">IFERROR(INDEX(PCRent!C:D, MATCH(F1715 &amp; " " &amp; G1715, PCRent!A:A &amp; " " &amp; PCRent!B:B, 0)), "")</f>
        <v/>
      </c>
      <c r="P1715" s="293"/>
      <c r="Q1715" s="294" t="str">
        <f t="array" ref="Q1715:R1715">IFERROR(INDEX(MonitorRent!C:D, MATCH(F1715 &amp; " " &amp; G1715, MonitorRent!A:A &amp; " " &amp; MonitorRent!B:B, 0)), "")</f>
        <v/>
      </c>
      <c r="R1715" s="295"/>
    </row>
    <row r="1716">
      <c r="A1716" s="284">
        <v>1713.0</v>
      </c>
      <c r="C1716" s="298"/>
      <c r="D1716" s="262"/>
      <c r="I1716" s="300"/>
      <c r="J1716" s="300"/>
      <c r="K1716" s="300"/>
      <c r="L1716" s="300"/>
      <c r="M1716" s="301"/>
      <c r="N1716" s="287" t="str">
        <f>IFERROR(
    IF(
        AND(
            VLOOKUP(B1716, 'รายชื่อพนักงานลาออกพ้นสภาพ'!B:I, 8, FALSE)&lt;&gt;"ยกเลิกลาออก",
            VLOOKUP(B1716, 'รายชื่อพนักงานลาออกพ้นสภาพ'!B:I, 7, FALSE)&lt;=TODAY()
        ),
        "ลาออกแล้ว",
        ""
    ),
"")</f>
        <v/>
      </c>
      <c r="O1716" s="292" t="str">
        <f t="array" ref="O1716:P1716">IFERROR(INDEX(PCRent!C:D, MATCH(F1716 &amp; " " &amp; G1716, PCRent!A:A &amp; " " &amp; PCRent!B:B, 0)), "")</f>
        <v/>
      </c>
      <c r="P1716" s="293"/>
      <c r="Q1716" s="294" t="str">
        <f t="array" ref="Q1716:R1716">IFERROR(INDEX(MonitorRent!C:D, MATCH(F1716 &amp; " " &amp; G1716, MonitorRent!A:A &amp; " " &amp; MonitorRent!B:B, 0)), "")</f>
        <v/>
      </c>
      <c r="R1716" s="295"/>
    </row>
    <row r="1717">
      <c r="A1717" s="284">
        <v>1714.0</v>
      </c>
      <c r="C1717" s="298"/>
      <c r="D1717" s="262"/>
      <c r="I1717" s="300"/>
      <c r="J1717" s="300"/>
      <c r="K1717" s="300"/>
      <c r="L1717" s="300"/>
      <c r="M1717" s="301"/>
      <c r="N1717" s="287" t="str">
        <f>IFERROR(
    IF(
        AND(
            VLOOKUP(B1717, 'รายชื่อพนักงานลาออกพ้นสภาพ'!B:I, 8, FALSE)&lt;&gt;"ยกเลิกลาออก",
            VLOOKUP(B1717, 'รายชื่อพนักงานลาออกพ้นสภาพ'!B:I, 7, FALSE)&lt;=TODAY()
        ),
        "ลาออกแล้ว",
        ""
    ),
"")</f>
        <v/>
      </c>
      <c r="O1717" s="292" t="str">
        <f t="array" ref="O1717:P1717">IFERROR(INDEX(PCRent!C:D, MATCH(F1717 &amp; " " &amp; G1717, PCRent!A:A &amp; " " &amp; PCRent!B:B, 0)), "")</f>
        <v/>
      </c>
      <c r="P1717" s="293"/>
      <c r="Q1717" s="294" t="str">
        <f t="array" ref="Q1717:R1717">IFERROR(INDEX(MonitorRent!C:D, MATCH(F1717 &amp; " " &amp; G1717, MonitorRent!A:A &amp; " " &amp; MonitorRent!B:B, 0)), "")</f>
        <v/>
      </c>
      <c r="R1717" s="295"/>
    </row>
    <row r="1718">
      <c r="A1718" s="284">
        <v>1715.0</v>
      </c>
      <c r="C1718" s="298"/>
      <c r="D1718" s="262"/>
      <c r="I1718" s="300"/>
      <c r="J1718" s="300"/>
      <c r="K1718" s="300"/>
      <c r="L1718" s="300"/>
      <c r="M1718" s="301"/>
      <c r="N1718" s="287" t="str">
        <f>IFERROR(
    IF(
        AND(
            VLOOKUP(B1718, 'รายชื่อพนักงานลาออกพ้นสภาพ'!B:I, 8, FALSE)&lt;&gt;"ยกเลิกลาออก",
            VLOOKUP(B1718, 'รายชื่อพนักงานลาออกพ้นสภาพ'!B:I, 7, FALSE)&lt;=TODAY()
        ),
        "ลาออกแล้ว",
        ""
    ),
"")</f>
        <v/>
      </c>
      <c r="O1718" s="292" t="str">
        <f t="array" ref="O1718:P1718">IFERROR(INDEX(PCRent!C:D, MATCH(F1718 &amp; " " &amp; G1718, PCRent!A:A &amp; " " &amp; PCRent!B:B, 0)), "")</f>
        <v/>
      </c>
      <c r="P1718" s="293"/>
      <c r="Q1718" s="294" t="str">
        <f t="array" ref="Q1718:R1718">IFERROR(INDEX(MonitorRent!C:D, MATCH(F1718 &amp; " " &amp; G1718, MonitorRent!A:A &amp; " " &amp; MonitorRent!B:B, 0)), "")</f>
        <v/>
      </c>
      <c r="R1718" s="295"/>
    </row>
    <row r="1719">
      <c r="A1719" s="284">
        <v>1716.0</v>
      </c>
      <c r="C1719" s="298"/>
      <c r="D1719" s="262"/>
      <c r="I1719" s="300"/>
      <c r="J1719" s="300"/>
      <c r="K1719" s="300"/>
      <c r="L1719" s="300"/>
      <c r="M1719" s="301"/>
      <c r="N1719" s="287" t="str">
        <f>IFERROR(
    IF(
        AND(
            VLOOKUP(B1719, 'รายชื่อพนักงานลาออกพ้นสภาพ'!B:I, 8, FALSE)&lt;&gt;"ยกเลิกลาออก",
            VLOOKUP(B1719, 'รายชื่อพนักงานลาออกพ้นสภาพ'!B:I, 7, FALSE)&lt;=TODAY()
        ),
        "ลาออกแล้ว",
        ""
    ),
"")</f>
        <v/>
      </c>
      <c r="O1719" s="292" t="str">
        <f t="array" ref="O1719:P1719">IFERROR(INDEX(PCRent!C:D, MATCH(F1719 &amp; " " &amp; G1719, PCRent!A:A &amp; " " &amp; PCRent!B:B, 0)), "")</f>
        <v/>
      </c>
      <c r="P1719" s="293"/>
      <c r="Q1719" s="294" t="str">
        <f t="array" ref="Q1719:R1719">IFERROR(INDEX(MonitorRent!C:D, MATCH(F1719 &amp; " " &amp; G1719, MonitorRent!A:A &amp; " " &amp; MonitorRent!B:B, 0)), "")</f>
        <v/>
      </c>
      <c r="R1719" s="295"/>
    </row>
    <row r="1720">
      <c r="A1720" s="284">
        <v>1717.0</v>
      </c>
      <c r="C1720" s="298"/>
      <c r="D1720" s="262"/>
      <c r="I1720" s="300"/>
      <c r="J1720" s="300"/>
      <c r="K1720" s="300"/>
      <c r="L1720" s="300"/>
      <c r="M1720" s="301"/>
      <c r="N1720" s="287" t="str">
        <f>IFERROR(
    IF(
        AND(
            VLOOKUP(B1720, 'รายชื่อพนักงานลาออกพ้นสภาพ'!B:I, 8, FALSE)&lt;&gt;"ยกเลิกลาออก",
            VLOOKUP(B1720, 'รายชื่อพนักงานลาออกพ้นสภาพ'!B:I, 7, FALSE)&lt;=TODAY()
        ),
        "ลาออกแล้ว",
        ""
    ),
"")</f>
        <v/>
      </c>
      <c r="O1720" s="292" t="str">
        <f t="array" ref="O1720:P1720">IFERROR(INDEX(PCRent!C:D, MATCH(F1720 &amp; " " &amp; G1720, PCRent!A:A &amp; " " &amp; PCRent!B:B, 0)), "")</f>
        <v/>
      </c>
      <c r="P1720" s="293"/>
      <c r="Q1720" s="294" t="str">
        <f t="array" ref="Q1720:R1720">IFERROR(INDEX(MonitorRent!C:D, MATCH(F1720 &amp; " " &amp; G1720, MonitorRent!A:A &amp; " " &amp; MonitorRent!B:B, 0)), "")</f>
        <v/>
      </c>
      <c r="R1720" s="295"/>
    </row>
    <row r="1721">
      <c r="A1721" s="284">
        <v>1718.0</v>
      </c>
      <c r="C1721" s="298"/>
      <c r="D1721" s="262"/>
      <c r="I1721" s="300"/>
      <c r="J1721" s="300"/>
      <c r="K1721" s="300"/>
      <c r="L1721" s="300"/>
      <c r="M1721" s="301"/>
      <c r="N1721" s="287" t="str">
        <f>IFERROR(
    IF(
        AND(
            VLOOKUP(B1721, 'รายชื่อพนักงานลาออกพ้นสภาพ'!B:I, 8, FALSE)&lt;&gt;"ยกเลิกลาออก",
            VLOOKUP(B1721, 'รายชื่อพนักงานลาออกพ้นสภาพ'!B:I, 7, FALSE)&lt;=TODAY()
        ),
        "ลาออกแล้ว",
        ""
    ),
"")</f>
        <v/>
      </c>
      <c r="O1721" s="292" t="str">
        <f t="array" ref="O1721:P1721">IFERROR(INDEX(PCRent!C:D, MATCH(F1721 &amp; " " &amp; G1721, PCRent!A:A &amp; " " &amp; PCRent!B:B, 0)), "")</f>
        <v/>
      </c>
      <c r="P1721" s="293"/>
      <c r="Q1721" s="294" t="str">
        <f t="array" ref="Q1721:R1721">IFERROR(INDEX(MonitorRent!C:D, MATCH(F1721 &amp; " " &amp; G1721, MonitorRent!A:A &amp; " " &amp; MonitorRent!B:B, 0)), "")</f>
        <v/>
      </c>
      <c r="R1721" s="295"/>
    </row>
    <row r="1722">
      <c r="A1722" s="284">
        <v>1719.0</v>
      </c>
      <c r="C1722" s="298"/>
      <c r="D1722" s="262"/>
      <c r="I1722" s="300"/>
      <c r="J1722" s="300"/>
      <c r="K1722" s="300"/>
      <c r="L1722" s="300"/>
      <c r="M1722" s="301"/>
      <c r="N1722" s="287" t="str">
        <f>IFERROR(
    IF(
        AND(
            VLOOKUP(B1722, 'รายชื่อพนักงานลาออกพ้นสภาพ'!B:I, 8, FALSE)&lt;&gt;"ยกเลิกลาออก",
            VLOOKUP(B1722, 'รายชื่อพนักงานลาออกพ้นสภาพ'!B:I, 7, FALSE)&lt;=TODAY()
        ),
        "ลาออกแล้ว",
        ""
    ),
"")</f>
        <v/>
      </c>
      <c r="O1722" s="292" t="str">
        <f t="array" ref="O1722:P1722">IFERROR(INDEX(PCRent!C:D, MATCH(F1722 &amp; " " &amp; G1722, PCRent!A:A &amp; " " &amp; PCRent!B:B, 0)), "")</f>
        <v/>
      </c>
      <c r="P1722" s="293"/>
      <c r="Q1722" s="294" t="str">
        <f t="array" ref="Q1722:R1722">IFERROR(INDEX(MonitorRent!C:D, MATCH(F1722 &amp; " " &amp; G1722, MonitorRent!A:A &amp; " " &amp; MonitorRent!B:B, 0)), "")</f>
        <v/>
      </c>
      <c r="R1722" s="295"/>
    </row>
    <row r="1723">
      <c r="A1723" s="284">
        <v>1720.0</v>
      </c>
      <c r="C1723" s="298"/>
      <c r="D1723" s="262"/>
      <c r="I1723" s="302"/>
      <c r="J1723" s="300"/>
      <c r="K1723" s="300"/>
      <c r="L1723" s="300"/>
      <c r="M1723" s="301"/>
      <c r="N1723" s="287" t="str">
        <f>IFERROR(
    IF(
        AND(
            VLOOKUP(B1723, 'รายชื่อพนักงานลาออกพ้นสภาพ'!B:I, 8, FALSE)&lt;&gt;"ยกเลิกลาออก",
            VLOOKUP(B1723, 'รายชื่อพนักงานลาออกพ้นสภาพ'!B:I, 7, FALSE)&lt;=TODAY()
        ),
        "ลาออกแล้ว",
        ""
    ),
"")</f>
        <v/>
      </c>
      <c r="O1723" s="292" t="str">
        <f t="array" ref="O1723:P1723">IFERROR(INDEX(PCRent!C:D, MATCH(F1723 &amp; " " &amp; G1723, PCRent!A:A &amp; " " &amp; PCRent!B:B, 0)), "")</f>
        <v/>
      </c>
      <c r="P1723" s="293"/>
      <c r="Q1723" s="294" t="str">
        <f t="array" ref="Q1723:R1723">IFERROR(INDEX(MonitorRent!C:D, MATCH(F1723 &amp; " " &amp; G1723, MonitorRent!A:A &amp; " " &amp; MonitorRent!B:B, 0)), "")</f>
        <v/>
      </c>
      <c r="R1723" s="295"/>
    </row>
    <row r="1724">
      <c r="A1724" s="284">
        <v>1721.0</v>
      </c>
      <c r="C1724" s="298"/>
      <c r="D1724" s="262"/>
      <c r="I1724" s="300"/>
      <c r="J1724" s="300"/>
      <c r="K1724" s="300"/>
      <c r="L1724" s="300"/>
      <c r="M1724" s="301"/>
      <c r="N1724" s="287" t="str">
        <f>IFERROR(
    IF(
        AND(
            VLOOKUP(B1724, 'รายชื่อพนักงานลาออกพ้นสภาพ'!B:I, 8, FALSE)&lt;&gt;"ยกเลิกลาออก",
            VLOOKUP(B1724, 'รายชื่อพนักงานลาออกพ้นสภาพ'!B:I, 7, FALSE)&lt;=TODAY()
        ),
        "ลาออกแล้ว",
        ""
    ),
"")</f>
        <v/>
      </c>
      <c r="O1724" s="292" t="str">
        <f t="array" ref="O1724:P1724">IFERROR(INDEX(PCRent!C:D, MATCH(F1724 &amp; " " &amp; G1724, PCRent!A:A &amp; " " &amp; PCRent!B:B, 0)), "")</f>
        <v/>
      </c>
      <c r="P1724" s="293"/>
      <c r="Q1724" s="294" t="str">
        <f t="array" ref="Q1724:R1724">IFERROR(INDEX(MonitorRent!C:D, MATCH(F1724 &amp; " " &amp; G1724, MonitorRent!A:A &amp; " " &amp; MonitorRent!B:B, 0)), "")</f>
        <v/>
      </c>
      <c r="R1724" s="295"/>
    </row>
    <row r="1725">
      <c r="A1725" s="284">
        <v>1722.0</v>
      </c>
      <c r="C1725" s="303"/>
      <c r="D1725" s="262"/>
      <c r="I1725" s="302"/>
      <c r="J1725" s="302"/>
      <c r="K1725" s="302"/>
      <c r="L1725" s="302"/>
      <c r="M1725" s="304"/>
      <c r="N1725" s="287" t="str">
        <f>IFERROR(
    IF(
        AND(
            VLOOKUP(B1725, 'รายชื่อพนักงานลาออกพ้นสภาพ'!B:I, 8, FALSE)&lt;&gt;"ยกเลิกลาออก",
            VLOOKUP(B1725, 'รายชื่อพนักงานลาออกพ้นสภาพ'!B:I, 7, FALSE)&lt;=TODAY()
        ),
        "ลาออกแล้ว",
        ""
    ),
"")</f>
        <v/>
      </c>
      <c r="O1725" s="292" t="str">
        <f t="array" ref="O1725:P1725">IFERROR(INDEX(PCRent!C:D, MATCH(F1725 &amp; " " &amp; G1725, PCRent!A:A &amp; " " &amp; PCRent!B:B, 0)), "")</f>
        <v/>
      </c>
      <c r="P1725" s="293"/>
      <c r="Q1725" s="294" t="str">
        <f t="array" ref="Q1725:R1725">IFERROR(INDEX(MonitorRent!C:D, MATCH(F1725 &amp; " " &amp; G1725, MonitorRent!A:A &amp; " " &amp; MonitorRent!B:B, 0)), "")</f>
        <v/>
      </c>
      <c r="R1725" s="295"/>
    </row>
    <row r="1726">
      <c r="A1726" s="284">
        <v>1723.0</v>
      </c>
      <c r="C1726" s="303"/>
      <c r="D1726" s="262"/>
      <c r="I1726" s="302"/>
      <c r="J1726" s="302"/>
      <c r="K1726" s="302"/>
      <c r="L1726" s="302"/>
      <c r="M1726" s="304"/>
      <c r="N1726" s="287" t="str">
        <f>IFERROR(
    IF(
        AND(
            VLOOKUP(B1726, 'รายชื่อพนักงานลาออกพ้นสภาพ'!B:I, 8, FALSE)&lt;&gt;"ยกเลิกลาออก",
            VLOOKUP(B1726, 'รายชื่อพนักงานลาออกพ้นสภาพ'!B:I, 7, FALSE)&lt;=TODAY()
        ),
        "ลาออกแล้ว",
        ""
    ),
"")</f>
        <v/>
      </c>
      <c r="O1726" s="292" t="str">
        <f t="array" ref="O1726:P1726">IFERROR(INDEX(PCRent!C:D, MATCH(F1726 &amp; " " &amp; G1726, PCRent!A:A &amp; " " &amp; PCRent!B:B, 0)), "")</f>
        <v/>
      </c>
      <c r="P1726" s="293"/>
      <c r="Q1726" s="294" t="str">
        <f t="array" ref="Q1726:R1726">IFERROR(INDEX(MonitorRent!C:D, MATCH(F1726 &amp; " " &amp; G1726, MonitorRent!A:A &amp; " " &amp; MonitorRent!B:B, 0)), "")</f>
        <v/>
      </c>
      <c r="R1726" s="295"/>
    </row>
    <row r="1727">
      <c r="A1727" s="284">
        <v>1724.0</v>
      </c>
      <c r="C1727" s="303"/>
      <c r="D1727" s="262"/>
      <c r="I1727" s="302"/>
      <c r="J1727" s="302"/>
      <c r="K1727" s="302"/>
      <c r="L1727" s="302"/>
      <c r="M1727" s="304"/>
      <c r="N1727" s="287" t="str">
        <f>IFERROR(
    IF(
        AND(
            VLOOKUP(B1727, 'รายชื่อพนักงานลาออกพ้นสภาพ'!B:I, 8, FALSE)&lt;&gt;"ยกเลิกลาออก",
            VLOOKUP(B1727, 'รายชื่อพนักงานลาออกพ้นสภาพ'!B:I, 7, FALSE)&lt;=TODAY()
        ),
        "ลาออกแล้ว",
        ""
    ),
"")</f>
        <v/>
      </c>
      <c r="O1727" s="292" t="str">
        <f t="array" ref="O1727:P1727">IFERROR(INDEX(PCRent!C:D, MATCH(F1727 &amp; " " &amp; G1727, PCRent!A:A &amp; " " &amp; PCRent!B:B, 0)), "")</f>
        <v/>
      </c>
      <c r="P1727" s="293"/>
      <c r="Q1727" s="294" t="str">
        <f t="array" ref="Q1727:R1727">IFERROR(INDEX(MonitorRent!C:D, MATCH(F1727 &amp; " " &amp; G1727, MonitorRent!A:A &amp; " " &amp; MonitorRent!B:B, 0)), "")</f>
        <v/>
      </c>
      <c r="R1727" s="295"/>
    </row>
    <row r="1728">
      <c r="A1728" s="284">
        <v>1725.0</v>
      </c>
      <c r="C1728" s="303"/>
      <c r="D1728" s="262"/>
      <c r="I1728" s="302"/>
      <c r="J1728" s="302"/>
      <c r="K1728" s="302"/>
      <c r="L1728" s="302"/>
      <c r="M1728" s="304"/>
      <c r="N1728" s="287" t="str">
        <f>IFERROR(
    IF(
        AND(
            VLOOKUP(B1728, 'รายชื่อพนักงานลาออกพ้นสภาพ'!B:I, 8, FALSE)&lt;&gt;"ยกเลิกลาออก",
            VLOOKUP(B1728, 'รายชื่อพนักงานลาออกพ้นสภาพ'!B:I, 7, FALSE)&lt;=TODAY()
        ),
        "ลาออกแล้ว",
        ""
    ),
"")</f>
        <v/>
      </c>
      <c r="O1728" s="292" t="str">
        <f t="array" ref="O1728:P1728">IFERROR(INDEX(PCRent!C:D, MATCH(F1728 &amp; " " &amp; G1728, PCRent!A:A &amp; " " &amp; PCRent!B:B, 0)), "")</f>
        <v/>
      </c>
      <c r="P1728" s="293"/>
      <c r="Q1728" s="294" t="str">
        <f t="array" ref="Q1728:R1728">IFERROR(INDEX(MonitorRent!C:D, MATCH(F1728 &amp; " " &amp; G1728, MonitorRent!A:A &amp; " " &amp; MonitorRent!B:B, 0)), "")</f>
        <v/>
      </c>
      <c r="R1728" s="295"/>
    </row>
    <row r="1729">
      <c r="A1729" s="284">
        <v>1726.0</v>
      </c>
      <c r="C1729" s="303"/>
      <c r="D1729" s="262"/>
      <c r="I1729" s="302"/>
      <c r="J1729" s="302"/>
      <c r="K1729" s="302"/>
      <c r="L1729" s="302"/>
      <c r="M1729" s="304"/>
      <c r="N1729" s="287" t="str">
        <f>IFERROR(
    IF(
        AND(
            VLOOKUP(B1729, 'รายชื่อพนักงานลาออกพ้นสภาพ'!B:I, 8, FALSE)&lt;&gt;"ยกเลิกลาออก",
            VLOOKUP(B1729, 'รายชื่อพนักงานลาออกพ้นสภาพ'!B:I, 7, FALSE)&lt;=TODAY()
        ),
        "ลาออกแล้ว",
        ""
    ),
"")</f>
        <v/>
      </c>
      <c r="O1729" s="292" t="str">
        <f t="array" ref="O1729:P1729">IFERROR(INDEX(PCRent!C:D, MATCH(F1729 &amp; " " &amp; G1729, PCRent!A:A &amp; " " &amp; PCRent!B:B, 0)), "")</f>
        <v/>
      </c>
      <c r="P1729" s="293"/>
      <c r="Q1729" s="294" t="str">
        <f t="array" ref="Q1729:R1729">IFERROR(INDEX(MonitorRent!C:D, MATCH(F1729 &amp; " " &amp; G1729, MonitorRent!A:A &amp; " " &amp; MonitorRent!B:B, 0)), "")</f>
        <v/>
      </c>
      <c r="R1729" s="295"/>
    </row>
    <row r="1730">
      <c r="A1730" s="284">
        <v>1727.0</v>
      </c>
      <c r="C1730" s="303"/>
      <c r="D1730" s="262"/>
      <c r="I1730" s="302"/>
      <c r="J1730" s="302"/>
      <c r="K1730" s="302"/>
      <c r="L1730" s="302"/>
      <c r="M1730" s="304"/>
      <c r="N1730" s="287" t="str">
        <f>IFERROR(
    IF(
        AND(
            VLOOKUP(B1730, 'รายชื่อพนักงานลาออกพ้นสภาพ'!B:I, 8, FALSE)&lt;&gt;"ยกเลิกลาออก",
            VLOOKUP(B1730, 'รายชื่อพนักงานลาออกพ้นสภาพ'!B:I, 7, FALSE)&lt;=TODAY()
        ),
        "ลาออกแล้ว",
        ""
    ),
"")</f>
        <v/>
      </c>
      <c r="O1730" s="292" t="str">
        <f t="array" ref="O1730:P1730">IFERROR(INDEX(PCRent!C:D, MATCH(F1730 &amp; " " &amp; G1730, PCRent!A:A &amp; " " &amp; PCRent!B:B, 0)), "")</f>
        <v/>
      </c>
      <c r="P1730" s="293"/>
      <c r="Q1730" s="294" t="str">
        <f t="array" ref="Q1730:R1730">IFERROR(INDEX(MonitorRent!C:D, MATCH(F1730 &amp; " " &amp; G1730, MonitorRent!A:A &amp; " " &amp; MonitorRent!B:B, 0)), "")</f>
        <v/>
      </c>
      <c r="R1730" s="295"/>
    </row>
    <row r="1731">
      <c r="A1731" s="284">
        <v>1728.0</v>
      </c>
      <c r="C1731" s="303"/>
      <c r="D1731" s="262"/>
      <c r="I1731" s="302"/>
      <c r="J1731" s="302"/>
      <c r="K1731" s="302"/>
      <c r="L1731" s="302"/>
      <c r="M1731" s="304"/>
      <c r="N1731" s="287" t="str">
        <f>IFERROR(
    IF(
        AND(
            VLOOKUP(B1731, 'รายชื่อพนักงานลาออกพ้นสภาพ'!B:I, 8, FALSE)&lt;&gt;"ยกเลิกลาออก",
            VLOOKUP(B1731, 'รายชื่อพนักงานลาออกพ้นสภาพ'!B:I, 7, FALSE)&lt;=TODAY()
        ),
        "ลาออกแล้ว",
        ""
    ),
"")</f>
        <v/>
      </c>
      <c r="O1731" s="292" t="str">
        <f t="array" ref="O1731:P1731">IFERROR(INDEX(PCRent!C:D, MATCH(F1731 &amp; " " &amp; G1731, PCRent!A:A &amp; " " &amp; PCRent!B:B, 0)), "")</f>
        <v/>
      </c>
      <c r="P1731" s="293"/>
      <c r="Q1731" s="294" t="str">
        <f t="array" ref="Q1731:R1731">IFERROR(INDEX(MonitorRent!C:D, MATCH(F1731 &amp; " " &amp; G1731, MonitorRent!A:A &amp; " " &amp; MonitorRent!B:B, 0)), "")</f>
        <v/>
      </c>
      <c r="R1731" s="295"/>
    </row>
    <row r="1732">
      <c r="A1732" s="284">
        <v>1729.0</v>
      </c>
      <c r="C1732" s="303"/>
      <c r="D1732" s="262"/>
      <c r="I1732" s="302"/>
      <c r="J1732" s="302"/>
      <c r="K1732" s="302"/>
      <c r="L1732" s="302"/>
      <c r="M1732" s="304"/>
      <c r="N1732" s="287" t="str">
        <f>IFERROR(
    IF(
        AND(
            VLOOKUP(B1732, 'รายชื่อพนักงานลาออกพ้นสภาพ'!B:I, 8, FALSE)&lt;&gt;"ยกเลิกลาออก",
            VLOOKUP(B1732, 'รายชื่อพนักงานลาออกพ้นสภาพ'!B:I, 7, FALSE)&lt;=TODAY()
        ),
        "ลาออกแล้ว",
        ""
    ),
"")</f>
        <v/>
      </c>
      <c r="O1732" s="292" t="str">
        <f t="array" ref="O1732:P1732">IFERROR(INDEX(PCRent!C:D, MATCH(F1732 &amp; " " &amp; G1732, PCRent!A:A &amp; " " &amp; PCRent!B:B, 0)), "")</f>
        <v/>
      </c>
      <c r="P1732" s="293"/>
      <c r="Q1732" s="294" t="str">
        <f t="array" ref="Q1732:R1732">IFERROR(INDEX(MonitorRent!C:D, MATCH(F1732 &amp; " " &amp; G1732, MonitorRent!A:A &amp; " " &amp; MonitorRent!B:B, 0)), "")</f>
        <v/>
      </c>
      <c r="R1732" s="295"/>
    </row>
    <row r="1733">
      <c r="A1733" s="284">
        <v>1730.0</v>
      </c>
      <c r="C1733" s="303"/>
      <c r="D1733" s="262"/>
      <c r="I1733" s="302"/>
      <c r="J1733" s="302"/>
      <c r="K1733" s="302"/>
      <c r="L1733" s="302"/>
      <c r="M1733" s="304"/>
      <c r="N1733" s="287" t="str">
        <f>IFERROR(
    IF(
        AND(
            VLOOKUP(B1733, 'รายชื่อพนักงานลาออกพ้นสภาพ'!B:I, 8, FALSE)&lt;&gt;"ยกเลิกลาออก",
            VLOOKUP(B1733, 'รายชื่อพนักงานลาออกพ้นสภาพ'!B:I, 7, FALSE)&lt;=TODAY()
        ),
        "ลาออกแล้ว",
        ""
    ),
"")</f>
        <v/>
      </c>
      <c r="O1733" s="292" t="str">
        <f t="array" ref="O1733:P1733">IFERROR(INDEX(PCRent!C:D, MATCH(F1733 &amp; " " &amp; G1733, PCRent!A:A &amp; " " &amp; PCRent!B:B, 0)), "")</f>
        <v/>
      </c>
      <c r="P1733" s="293"/>
      <c r="Q1733" s="294" t="str">
        <f t="array" ref="Q1733:R1733">IFERROR(INDEX(MonitorRent!C:D, MATCH(F1733 &amp; " " &amp; G1733, MonitorRent!A:A &amp; " " &amp; MonitorRent!B:B, 0)), "")</f>
        <v/>
      </c>
      <c r="R1733" s="295"/>
    </row>
    <row r="1734">
      <c r="A1734" s="284">
        <v>1731.0</v>
      </c>
      <c r="C1734" s="303"/>
      <c r="D1734" s="262"/>
      <c r="I1734" s="302"/>
      <c r="J1734" s="302"/>
      <c r="K1734" s="302"/>
      <c r="L1734" s="302"/>
      <c r="M1734" s="304"/>
      <c r="N1734" s="287" t="str">
        <f>IFERROR(
    IF(
        AND(
            VLOOKUP(B1734, 'รายชื่อพนักงานลาออกพ้นสภาพ'!B:I, 8, FALSE)&lt;&gt;"ยกเลิกลาออก",
            VLOOKUP(B1734, 'รายชื่อพนักงานลาออกพ้นสภาพ'!B:I, 7, FALSE)&lt;=TODAY()
        ),
        "ลาออกแล้ว",
        ""
    ),
"")</f>
        <v/>
      </c>
      <c r="O1734" s="292" t="str">
        <f t="array" ref="O1734:P1734">IFERROR(INDEX(PCRent!C:D, MATCH(F1734 &amp; " " &amp; G1734, PCRent!A:A &amp; " " &amp; PCRent!B:B, 0)), "")</f>
        <v/>
      </c>
      <c r="P1734" s="293"/>
      <c r="Q1734" s="294" t="str">
        <f t="array" ref="Q1734:R1734">IFERROR(INDEX(MonitorRent!C:D, MATCH(F1734 &amp; " " &amp; G1734, MonitorRent!A:A &amp; " " &amp; MonitorRent!B:B, 0)), "")</f>
        <v/>
      </c>
      <c r="R1734" s="295"/>
    </row>
    <row r="1735">
      <c r="A1735" s="284">
        <v>1732.0</v>
      </c>
      <c r="C1735" s="303"/>
      <c r="D1735" s="262"/>
      <c r="I1735" s="302"/>
      <c r="J1735" s="302"/>
      <c r="K1735" s="302"/>
      <c r="L1735" s="302"/>
      <c r="M1735" s="304"/>
      <c r="N1735" s="287" t="str">
        <f>IFERROR(
    IF(
        AND(
            VLOOKUP(B1735, 'รายชื่อพนักงานลาออกพ้นสภาพ'!B:I, 8, FALSE)&lt;&gt;"ยกเลิกลาออก",
            VLOOKUP(B1735, 'รายชื่อพนักงานลาออกพ้นสภาพ'!B:I, 7, FALSE)&lt;=TODAY()
        ),
        "ลาออกแล้ว",
        ""
    ),
"")</f>
        <v/>
      </c>
      <c r="O1735" s="292" t="str">
        <f t="array" ref="O1735:P1735">IFERROR(INDEX(PCRent!C:D, MATCH(F1735 &amp; " " &amp; G1735, PCRent!A:A &amp; " " &amp; PCRent!B:B, 0)), "")</f>
        <v/>
      </c>
      <c r="P1735" s="293"/>
      <c r="Q1735" s="294" t="str">
        <f t="array" ref="Q1735:R1735">IFERROR(INDEX(MonitorRent!C:D, MATCH(F1735 &amp; " " &amp; G1735, MonitorRent!A:A &amp; " " &amp; MonitorRent!B:B, 0)), "")</f>
        <v/>
      </c>
      <c r="R1735" s="295"/>
    </row>
    <row r="1736">
      <c r="A1736" s="284">
        <v>1733.0</v>
      </c>
      <c r="C1736" s="303"/>
      <c r="D1736" s="262"/>
      <c r="I1736" s="302"/>
      <c r="J1736" s="302"/>
      <c r="K1736" s="302"/>
      <c r="L1736" s="302"/>
      <c r="M1736" s="304"/>
      <c r="N1736" s="287" t="str">
        <f>IFERROR(
    IF(
        AND(
            VLOOKUP(B1736, 'รายชื่อพนักงานลาออกพ้นสภาพ'!B:I, 8, FALSE)&lt;&gt;"ยกเลิกลาออก",
            VLOOKUP(B1736, 'รายชื่อพนักงานลาออกพ้นสภาพ'!B:I, 7, FALSE)&lt;=TODAY()
        ),
        "ลาออกแล้ว",
        ""
    ),
"")</f>
        <v/>
      </c>
      <c r="O1736" s="292" t="str">
        <f t="array" ref="O1736:P1736">IFERROR(INDEX(PCRent!C:D, MATCH(F1736 &amp; " " &amp; G1736, PCRent!A:A &amp; " " &amp; PCRent!B:B, 0)), "")</f>
        <v/>
      </c>
      <c r="P1736" s="293"/>
      <c r="Q1736" s="294" t="str">
        <f t="array" ref="Q1736:R1736">IFERROR(INDEX(MonitorRent!C:D, MATCH(F1736 &amp; " " &amp; G1736, MonitorRent!A:A &amp; " " &amp; MonitorRent!B:B, 0)), "")</f>
        <v/>
      </c>
      <c r="R1736" s="295"/>
    </row>
    <row r="1737">
      <c r="A1737" s="284">
        <v>1734.0</v>
      </c>
      <c r="C1737" s="303"/>
      <c r="D1737" s="262"/>
      <c r="I1737" s="302"/>
      <c r="J1737" s="302"/>
      <c r="K1737" s="302"/>
      <c r="L1737" s="302"/>
      <c r="M1737" s="304"/>
      <c r="N1737" s="287" t="str">
        <f>IFERROR(
    IF(
        AND(
            VLOOKUP(B1737, 'รายชื่อพนักงานลาออกพ้นสภาพ'!B:I, 8, FALSE)&lt;&gt;"ยกเลิกลาออก",
            VLOOKUP(B1737, 'รายชื่อพนักงานลาออกพ้นสภาพ'!B:I, 7, FALSE)&lt;=TODAY()
        ),
        "ลาออกแล้ว",
        ""
    ),
"")</f>
        <v/>
      </c>
      <c r="O1737" s="292" t="str">
        <f t="array" ref="O1737:P1737">IFERROR(INDEX(PCRent!C:D, MATCH(F1737 &amp; " " &amp; G1737, PCRent!A:A &amp; " " &amp; PCRent!B:B, 0)), "")</f>
        <v/>
      </c>
      <c r="P1737" s="293"/>
      <c r="Q1737" s="294" t="str">
        <f t="array" ref="Q1737:R1737">IFERROR(INDEX(MonitorRent!C:D, MATCH(F1737 &amp; " " &amp; G1737, MonitorRent!A:A &amp; " " &amp; MonitorRent!B:B, 0)), "")</f>
        <v/>
      </c>
      <c r="R1737" s="295"/>
    </row>
    <row r="1738">
      <c r="A1738" s="284">
        <v>1735.0</v>
      </c>
      <c r="C1738" s="303"/>
      <c r="D1738" s="262"/>
      <c r="I1738" s="302"/>
      <c r="J1738" s="302"/>
      <c r="K1738" s="302"/>
      <c r="L1738" s="302"/>
      <c r="M1738" s="304"/>
      <c r="N1738" s="287" t="str">
        <f>IFERROR(
    IF(
        AND(
            VLOOKUP(B1738, 'รายชื่อพนักงานลาออกพ้นสภาพ'!B:I, 8, FALSE)&lt;&gt;"ยกเลิกลาออก",
            VLOOKUP(B1738, 'รายชื่อพนักงานลาออกพ้นสภาพ'!B:I, 7, FALSE)&lt;=TODAY()
        ),
        "ลาออกแล้ว",
        ""
    ),
"")</f>
        <v/>
      </c>
      <c r="O1738" s="292" t="str">
        <f t="array" ref="O1738:P1738">IFERROR(INDEX(PCRent!C:D, MATCH(F1738 &amp; " " &amp; G1738, PCRent!A:A &amp; " " &amp; PCRent!B:B, 0)), "")</f>
        <v/>
      </c>
      <c r="P1738" s="293"/>
      <c r="Q1738" s="294" t="str">
        <f t="array" ref="Q1738:R1738">IFERROR(INDEX(MonitorRent!C:D, MATCH(F1738 &amp; " " &amp; G1738, MonitorRent!A:A &amp; " " &amp; MonitorRent!B:B, 0)), "")</f>
        <v/>
      </c>
      <c r="R1738" s="295"/>
    </row>
    <row r="1739">
      <c r="A1739" s="284">
        <v>1736.0</v>
      </c>
      <c r="C1739" s="303"/>
      <c r="D1739" s="262"/>
      <c r="I1739" s="302"/>
      <c r="J1739" s="302"/>
      <c r="K1739" s="302"/>
      <c r="L1739" s="302"/>
      <c r="M1739" s="304"/>
      <c r="N1739" s="287" t="str">
        <f>IFERROR(
    IF(
        AND(
            VLOOKUP(B1739, 'รายชื่อพนักงานลาออกพ้นสภาพ'!B:I, 8, FALSE)&lt;&gt;"ยกเลิกลาออก",
            VLOOKUP(B1739, 'รายชื่อพนักงานลาออกพ้นสภาพ'!B:I, 7, FALSE)&lt;=TODAY()
        ),
        "ลาออกแล้ว",
        ""
    ),
"")</f>
        <v/>
      </c>
      <c r="O1739" s="292" t="str">
        <f t="array" ref="O1739:P1739">IFERROR(INDEX(PCRent!C:D, MATCH(F1739 &amp; " " &amp; G1739, PCRent!A:A &amp; " " &amp; PCRent!B:B, 0)), "")</f>
        <v/>
      </c>
      <c r="P1739" s="293"/>
      <c r="Q1739" s="294" t="str">
        <f t="array" ref="Q1739:R1739">IFERROR(INDEX(MonitorRent!C:D, MATCH(F1739 &amp; " " &amp; G1739, MonitorRent!A:A &amp; " " &amp; MonitorRent!B:B, 0)), "")</f>
        <v/>
      </c>
      <c r="R1739" s="295"/>
    </row>
    <row r="1740">
      <c r="A1740" s="284">
        <v>1737.0</v>
      </c>
      <c r="C1740" s="303"/>
      <c r="D1740" s="262"/>
      <c r="I1740" s="302"/>
      <c r="J1740" s="302"/>
      <c r="K1740" s="302"/>
      <c r="L1740" s="302"/>
      <c r="M1740" s="304"/>
      <c r="N1740" s="287" t="str">
        <f>IFERROR(
    IF(
        AND(
            VLOOKUP(B1740, 'รายชื่อพนักงานลาออกพ้นสภาพ'!B:I, 8, FALSE)&lt;&gt;"ยกเลิกลาออก",
            VLOOKUP(B1740, 'รายชื่อพนักงานลาออกพ้นสภาพ'!B:I, 7, FALSE)&lt;=TODAY()
        ),
        "ลาออกแล้ว",
        ""
    ),
"")</f>
        <v/>
      </c>
      <c r="O1740" s="292" t="str">
        <f t="array" ref="O1740:P1740">IFERROR(INDEX(PCRent!C:D, MATCH(F1740 &amp; " " &amp; G1740, PCRent!A:A &amp; " " &amp; PCRent!B:B, 0)), "")</f>
        <v/>
      </c>
      <c r="P1740" s="293"/>
      <c r="Q1740" s="294" t="str">
        <f t="array" ref="Q1740:R1740">IFERROR(INDEX(MonitorRent!C:D, MATCH(F1740 &amp; " " &amp; G1740, MonitorRent!A:A &amp; " " &amp; MonitorRent!B:B, 0)), "")</f>
        <v/>
      </c>
      <c r="R1740" s="295"/>
    </row>
    <row r="1741">
      <c r="A1741" s="284">
        <v>1738.0</v>
      </c>
      <c r="C1741" s="303"/>
      <c r="D1741" s="262"/>
      <c r="I1741" s="302"/>
      <c r="J1741" s="302"/>
      <c r="K1741" s="302"/>
      <c r="L1741" s="302"/>
      <c r="M1741" s="304"/>
      <c r="N1741" s="287" t="str">
        <f>IFERROR(
    IF(
        AND(
            VLOOKUP(B1741, 'รายชื่อพนักงานลาออกพ้นสภาพ'!B:I, 8, FALSE)&lt;&gt;"ยกเลิกลาออก",
            VLOOKUP(B1741, 'รายชื่อพนักงานลาออกพ้นสภาพ'!B:I, 7, FALSE)&lt;=TODAY()
        ),
        "ลาออกแล้ว",
        ""
    ),
"")</f>
        <v/>
      </c>
      <c r="O1741" s="292" t="str">
        <f t="array" ref="O1741:P1741">IFERROR(INDEX(PCRent!C:D, MATCH(F1741 &amp; " " &amp; G1741, PCRent!A:A &amp; " " &amp; PCRent!B:B, 0)), "")</f>
        <v/>
      </c>
      <c r="P1741" s="293"/>
      <c r="Q1741" s="294" t="str">
        <f t="array" ref="Q1741:R1741">IFERROR(INDEX(MonitorRent!C:D, MATCH(F1741 &amp; " " &amp; G1741, MonitorRent!A:A &amp; " " &amp; MonitorRent!B:B, 0)), "")</f>
        <v/>
      </c>
      <c r="R1741" s="295"/>
    </row>
    <row r="1742">
      <c r="A1742" s="284">
        <v>1739.0</v>
      </c>
      <c r="C1742" s="303"/>
      <c r="D1742" s="262"/>
      <c r="I1742" s="302"/>
      <c r="J1742" s="302"/>
      <c r="K1742" s="302"/>
      <c r="L1742" s="302"/>
      <c r="M1742" s="304"/>
      <c r="N1742" s="287" t="str">
        <f>IFERROR(
    IF(
        AND(
            VLOOKUP(B1742, 'รายชื่อพนักงานลาออกพ้นสภาพ'!B:I, 8, FALSE)&lt;&gt;"ยกเลิกลาออก",
            VLOOKUP(B1742, 'รายชื่อพนักงานลาออกพ้นสภาพ'!B:I, 7, FALSE)&lt;=TODAY()
        ),
        "ลาออกแล้ว",
        ""
    ),
"")</f>
        <v/>
      </c>
      <c r="O1742" s="292" t="str">
        <f t="array" ref="O1742:P1742">IFERROR(INDEX(PCRent!C:D, MATCH(F1742 &amp; " " &amp; G1742, PCRent!A:A &amp; " " &amp; PCRent!B:B, 0)), "")</f>
        <v/>
      </c>
      <c r="P1742" s="293"/>
      <c r="Q1742" s="294" t="str">
        <f t="array" ref="Q1742:R1742">IFERROR(INDEX(MonitorRent!C:D, MATCH(F1742 &amp; " " &amp; G1742, MonitorRent!A:A &amp; " " &amp; MonitorRent!B:B, 0)), "")</f>
        <v/>
      </c>
      <c r="R1742" s="295"/>
    </row>
    <row r="1743">
      <c r="A1743" s="284">
        <v>1740.0</v>
      </c>
      <c r="C1743" s="303"/>
      <c r="D1743" s="262"/>
      <c r="I1743" s="302"/>
      <c r="J1743" s="302"/>
      <c r="K1743" s="302"/>
      <c r="L1743" s="302"/>
      <c r="M1743" s="304"/>
      <c r="N1743" s="287" t="str">
        <f>IFERROR(
    IF(
        AND(
            VLOOKUP(B1743, 'รายชื่อพนักงานลาออกพ้นสภาพ'!B:I, 8, FALSE)&lt;&gt;"ยกเลิกลาออก",
            VLOOKUP(B1743, 'รายชื่อพนักงานลาออกพ้นสภาพ'!B:I, 7, FALSE)&lt;=TODAY()
        ),
        "ลาออกแล้ว",
        ""
    ),
"")</f>
        <v/>
      </c>
      <c r="O1743" s="292" t="str">
        <f t="array" ref="O1743:P1743">IFERROR(INDEX(PCRent!C:D, MATCH(F1743 &amp; " " &amp; G1743, PCRent!A:A &amp; " " &amp; PCRent!B:B, 0)), "")</f>
        <v/>
      </c>
      <c r="P1743" s="293"/>
      <c r="Q1743" s="294" t="str">
        <f t="array" ref="Q1743:R1743">IFERROR(INDEX(MonitorRent!C:D, MATCH(F1743 &amp; " " &amp; G1743, MonitorRent!A:A &amp; " " &amp; MonitorRent!B:B, 0)), "")</f>
        <v/>
      </c>
      <c r="R1743" s="295"/>
    </row>
    <row r="1744">
      <c r="A1744" s="284">
        <v>1741.0</v>
      </c>
      <c r="C1744" s="303"/>
      <c r="D1744" s="262"/>
      <c r="I1744" s="302"/>
      <c r="J1744" s="302"/>
      <c r="K1744" s="302"/>
      <c r="L1744" s="302"/>
      <c r="M1744" s="304"/>
      <c r="N1744" s="287" t="str">
        <f>IFERROR(
    IF(
        AND(
            VLOOKUP(B1744, 'รายชื่อพนักงานลาออกพ้นสภาพ'!B:I, 8, FALSE)&lt;&gt;"ยกเลิกลาออก",
            VLOOKUP(B1744, 'รายชื่อพนักงานลาออกพ้นสภาพ'!B:I, 7, FALSE)&lt;=TODAY()
        ),
        "ลาออกแล้ว",
        ""
    ),
"")</f>
        <v/>
      </c>
      <c r="O1744" s="292" t="str">
        <f t="array" ref="O1744:P1744">IFERROR(INDEX(PCRent!C:D, MATCH(F1744 &amp; " " &amp; G1744, PCRent!A:A &amp; " " &amp; PCRent!B:B, 0)), "")</f>
        <v/>
      </c>
      <c r="P1744" s="293"/>
      <c r="Q1744" s="294" t="str">
        <f t="array" ref="Q1744:R1744">IFERROR(INDEX(MonitorRent!C:D, MATCH(F1744 &amp; " " &amp; G1744, MonitorRent!A:A &amp; " " &amp; MonitorRent!B:B, 0)), "")</f>
        <v/>
      </c>
      <c r="R1744" s="295"/>
    </row>
    <row r="1745">
      <c r="A1745" s="284">
        <v>1742.0</v>
      </c>
      <c r="C1745" s="303"/>
      <c r="D1745" s="262"/>
      <c r="I1745" s="302"/>
      <c r="J1745" s="302"/>
      <c r="K1745" s="302"/>
      <c r="L1745" s="302"/>
      <c r="M1745" s="304"/>
      <c r="N1745" s="287" t="str">
        <f>IFERROR(
    IF(
        AND(
            VLOOKUP(B1745, 'รายชื่อพนักงานลาออกพ้นสภาพ'!B:I, 8, FALSE)&lt;&gt;"ยกเลิกลาออก",
            VLOOKUP(B1745, 'รายชื่อพนักงานลาออกพ้นสภาพ'!B:I, 7, FALSE)&lt;=TODAY()
        ),
        "ลาออกแล้ว",
        ""
    ),
"")</f>
        <v/>
      </c>
      <c r="O1745" s="292" t="str">
        <f t="array" ref="O1745:P1745">IFERROR(INDEX(PCRent!C:D, MATCH(F1745 &amp; " " &amp; G1745, PCRent!A:A &amp; " " &amp; PCRent!B:B, 0)), "")</f>
        <v/>
      </c>
      <c r="P1745" s="293"/>
      <c r="Q1745" s="294" t="str">
        <f t="array" ref="Q1745:R1745">IFERROR(INDEX(MonitorRent!C:D, MATCH(F1745 &amp; " " &amp; G1745, MonitorRent!A:A &amp; " " &amp; MonitorRent!B:B, 0)), "")</f>
        <v/>
      </c>
      <c r="R1745" s="295"/>
    </row>
    <row r="1746">
      <c r="A1746" s="284">
        <v>1743.0</v>
      </c>
      <c r="C1746" s="303"/>
      <c r="D1746" s="262"/>
      <c r="I1746" s="302"/>
      <c r="J1746" s="302"/>
      <c r="K1746" s="302"/>
      <c r="L1746" s="302"/>
      <c r="M1746" s="304"/>
      <c r="N1746" s="287" t="str">
        <f>IFERROR(
    IF(
        AND(
            VLOOKUP(B1746, 'รายชื่อพนักงานลาออกพ้นสภาพ'!B:I, 8, FALSE)&lt;&gt;"ยกเลิกลาออก",
            VLOOKUP(B1746, 'รายชื่อพนักงานลาออกพ้นสภาพ'!B:I, 7, FALSE)&lt;=TODAY()
        ),
        "ลาออกแล้ว",
        ""
    ),
"")</f>
        <v/>
      </c>
      <c r="O1746" s="292" t="str">
        <f t="array" ref="O1746:P1746">IFERROR(INDEX(PCRent!C:D, MATCH(F1746 &amp; " " &amp; G1746, PCRent!A:A &amp; " " &amp; PCRent!B:B, 0)), "")</f>
        <v/>
      </c>
      <c r="P1746" s="293"/>
      <c r="Q1746" s="294" t="str">
        <f t="array" ref="Q1746:R1746">IFERROR(INDEX(MonitorRent!C:D, MATCH(F1746 &amp; " " &amp; G1746, MonitorRent!A:A &amp; " " &amp; MonitorRent!B:B, 0)), "")</f>
        <v/>
      </c>
      <c r="R1746" s="295"/>
    </row>
    <row r="1747">
      <c r="A1747" s="284">
        <v>1744.0</v>
      </c>
      <c r="C1747" s="303"/>
      <c r="D1747" s="262"/>
      <c r="I1747" s="302"/>
      <c r="J1747" s="302"/>
      <c r="K1747" s="302"/>
      <c r="L1747" s="302"/>
      <c r="M1747" s="304"/>
      <c r="N1747" s="287" t="str">
        <f>IFERROR(
    IF(
        AND(
            VLOOKUP(B1747, 'รายชื่อพนักงานลาออกพ้นสภาพ'!B:I, 8, FALSE)&lt;&gt;"ยกเลิกลาออก",
            VLOOKUP(B1747, 'รายชื่อพนักงานลาออกพ้นสภาพ'!B:I, 7, FALSE)&lt;=TODAY()
        ),
        "ลาออกแล้ว",
        ""
    ),
"")</f>
        <v/>
      </c>
      <c r="O1747" s="292" t="str">
        <f t="array" ref="O1747:P1747">IFERROR(INDEX(PCRent!C:D, MATCH(F1747 &amp; " " &amp; G1747, PCRent!A:A &amp; " " &amp; PCRent!B:B, 0)), "")</f>
        <v/>
      </c>
      <c r="P1747" s="293"/>
      <c r="Q1747" s="294" t="str">
        <f t="array" ref="Q1747:R1747">IFERROR(INDEX(MonitorRent!C:D, MATCH(F1747 &amp; " " &amp; G1747, MonitorRent!A:A &amp; " " &amp; MonitorRent!B:B, 0)), "")</f>
        <v/>
      </c>
      <c r="R1747" s="295"/>
    </row>
    <row r="1748">
      <c r="A1748" s="284">
        <v>1745.0</v>
      </c>
      <c r="C1748" s="303"/>
      <c r="D1748" s="262"/>
      <c r="I1748" s="302"/>
      <c r="J1748" s="302"/>
      <c r="K1748" s="302"/>
      <c r="L1748" s="302"/>
      <c r="M1748" s="304"/>
      <c r="N1748" s="287" t="str">
        <f>IFERROR(
    IF(
        AND(
            VLOOKUP(B1748, 'รายชื่อพนักงานลาออกพ้นสภาพ'!B:I, 8, FALSE)&lt;&gt;"ยกเลิกลาออก",
            VLOOKUP(B1748, 'รายชื่อพนักงานลาออกพ้นสภาพ'!B:I, 7, FALSE)&lt;=TODAY()
        ),
        "ลาออกแล้ว",
        ""
    ),
"")</f>
        <v/>
      </c>
      <c r="O1748" s="292" t="str">
        <f t="array" ref="O1748:P1748">IFERROR(INDEX(PCRent!C:D, MATCH(F1748 &amp; " " &amp; G1748, PCRent!A:A &amp; " " &amp; PCRent!B:B, 0)), "")</f>
        <v/>
      </c>
      <c r="P1748" s="293"/>
      <c r="Q1748" s="294" t="str">
        <f t="array" ref="Q1748:R1748">IFERROR(INDEX(MonitorRent!C:D, MATCH(F1748 &amp; " " &amp; G1748, MonitorRent!A:A &amp; " " &amp; MonitorRent!B:B, 0)), "")</f>
        <v/>
      </c>
      <c r="R1748" s="295"/>
    </row>
    <row r="1749">
      <c r="A1749" s="284">
        <v>1746.0</v>
      </c>
      <c r="C1749" s="303"/>
      <c r="D1749" s="262"/>
      <c r="I1749" s="302"/>
      <c r="J1749" s="302"/>
      <c r="K1749" s="302"/>
      <c r="L1749" s="302"/>
      <c r="M1749" s="304"/>
      <c r="N1749" s="287" t="str">
        <f>IFERROR(
    IF(
        AND(
            VLOOKUP(B1749, 'รายชื่อพนักงานลาออกพ้นสภาพ'!B:I, 8, FALSE)&lt;&gt;"ยกเลิกลาออก",
            VLOOKUP(B1749, 'รายชื่อพนักงานลาออกพ้นสภาพ'!B:I, 7, FALSE)&lt;=TODAY()
        ),
        "ลาออกแล้ว",
        ""
    ),
"")</f>
        <v/>
      </c>
      <c r="O1749" s="292" t="str">
        <f t="array" ref="O1749:P1749">IFERROR(INDEX(PCRent!C:D, MATCH(F1749 &amp; " " &amp; G1749, PCRent!A:A &amp; " " &amp; PCRent!B:B, 0)), "")</f>
        <v/>
      </c>
      <c r="P1749" s="293"/>
      <c r="Q1749" s="294" t="str">
        <f t="array" ref="Q1749:R1749">IFERROR(INDEX(MonitorRent!C:D, MATCH(F1749 &amp; " " &amp; G1749, MonitorRent!A:A &amp; " " &amp; MonitorRent!B:B, 0)), "")</f>
        <v/>
      </c>
      <c r="R1749" s="295"/>
    </row>
    <row r="1750">
      <c r="A1750" s="284">
        <v>1747.0</v>
      </c>
      <c r="C1750" s="303"/>
      <c r="D1750" s="262"/>
      <c r="I1750" s="302"/>
      <c r="J1750" s="302"/>
      <c r="K1750" s="302"/>
      <c r="L1750" s="302"/>
      <c r="M1750" s="304"/>
      <c r="N1750" s="287" t="str">
        <f>IFERROR(
    IF(
        AND(
            VLOOKUP(B1750, 'รายชื่อพนักงานลาออกพ้นสภาพ'!B:I, 8, FALSE)&lt;&gt;"ยกเลิกลาออก",
            VLOOKUP(B1750, 'รายชื่อพนักงานลาออกพ้นสภาพ'!B:I, 7, FALSE)&lt;=TODAY()
        ),
        "ลาออกแล้ว",
        ""
    ),
"")</f>
        <v/>
      </c>
      <c r="O1750" s="292" t="str">
        <f t="array" ref="O1750:P1750">IFERROR(INDEX(PCRent!C:D, MATCH(F1750 &amp; " " &amp; G1750, PCRent!A:A &amp; " " &amp; PCRent!B:B, 0)), "")</f>
        <v/>
      </c>
      <c r="P1750" s="293"/>
      <c r="Q1750" s="294" t="str">
        <f t="array" ref="Q1750:R1750">IFERROR(INDEX(MonitorRent!C:D, MATCH(F1750 &amp; " " &amp; G1750, MonitorRent!A:A &amp; " " &amp; MonitorRent!B:B, 0)), "")</f>
        <v/>
      </c>
      <c r="R1750" s="295"/>
    </row>
    <row r="1751">
      <c r="A1751" s="284">
        <v>1748.0</v>
      </c>
      <c r="C1751" s="303"/>
      <c r="D1751" s="262"/>
      <c r="I1751" s="302"/>
      <c r="J1751" s="302"/>
      <c r="K1751" s="302"/>
      <c r="L1751" s="302"/>
      <c r="M1751" s="304"/>
      <c r="N1751" s="287" t="str">
        <f>IFERROR(
    IF(
        AND(
            VLOOKUP(B1751, 'รายชื่อพนักงานลาออกพ้นสภาพ'!B:I, 8, FALSE)&lt;&gt;"ยกเลิกลาออก",
            VLOOKUP(B1751, 'รายชื่อพนักงานลาออกพ้นสภาพ'!B:I, 7, FALSE)&lt;=TODAY()
        ),
        "ลาออกแล้ว",
        ""
    ),
"")</f>
        <v/>
      </c>
      <c r="O1751" s="292" t="str">
        <f t="array" ref="O1751:P1751">IFERROR(INDEX(PCRent!C:D, MATCH(F1751 &amp; " " &amp; G1751, PCRent!A:A &amp; " " &amp; PCRent!B:B, 0)), "")</f>
        <v/>
      </c>
      <c r="P1751" s="293"/>
      <c r="Q1751" s="294" t="str">
        <f t="array" ref="Q1751:R1751">IFERROR(INDEX(MonitorRent!C:D, MATCH(F1751 &amp; " " &amp; G1751, MonitorRent!A:A &amp; " " &amp; MonitorRent!B:B, 0)), "")</f>
        <v/>
      </c>
      <c r="R1751" s="295"/>
    </row>
    <row r="1752">
      <c r="A1752" s="284">
        <v>1749.0</v>
      </c>
      <c r="C1752" s="303"/>
      <c r="D1752" s="262"/>
      <c r="I1752" s="302"/>
      <c r="J1752" s="302"/>
      <c r="K1752" s="302"/>
      <c r="L1752" s="302"/>
      <c r="M1752" s="304"/>
      <c r="N1752" s="287" t="str">
        <f>IFERROR(
    IF(
        AND(
            VLOOKUP(B1752, 'รายชื่อพนักงานลาออกพ้นสภาพ'!B:I, 8, FALSE)&lt;&gt;"ยกเลิกลาออก",
            VLOOKUP(B1752, 'รายชื่อพนักงานลาออกพ้นสภาพ'!B:I, 7, FALSE)&lt;=TODAY()
        ),
        "ลาออกแล้ว",
        ""
    ),
"")</f>
        <v/>
      </c>
      <c r="O1752" s="292" t="str">
        <f t="array" ref="O1752:P1752">IFERROR(INDEX(PCRent!C:D, MATCH(F1752 &amp; " " &amp; G1752, PCRent!A:A &amp; " " &amp; PCRent!B:B, 0)), "")</f>
        <v/>
      </c>
      <c r="P1752" s="293"/>
      <c r="Q1752" s="294" t="str">
        <f t="array" ref="Q1752:R1752">IFERROR(INDEX(MonitorRent!C:D, MATCH(F1752 &amp; " " &amp; G1752, MonitorRent!A:A &amp; " " &amp; MonitorRent!B:B, 0)), "")</f>
        <v/>
      </c>
      <c r="R1752" s="295"/>
    </row>
    <row r="1753">
      <c r="A1753" s="284">
        <v>1750.0</v>
      </c>
      <c r="C1753" s="303"/>
      <c r="D1753" s="262"/>
      <c r="I1753" s="302"/>
      <c r="J1753" s="302"/>
      <c r="K1753" s="302"/>
      <c r="L1753" s="302"/>
      <c r="M1753" s="304"/>
      <c r="N1753" s="287" t="str">
        <f>IFERROR(
    IF(
        AND(
            VLOOKUP(B1753, 'รายชื่อพนักงานลาออกพ้นสภาพ'!B:I, 8, FALSE)&lt;&gt;"ยกเลิกลาออก",
            VLOOKUP(B1753, 'รายชื่อพนักงานลาออกพ้นสภาพ'!B:I, 7, FALSE)&lt;=TODAY()
        ),
        "ลาออกแล้ว",
        ""
    ),
"")</f>
        <v/>
      </c>
      <c r="O1753" s="292" t="str">
        <f t="array" ref="O1753:P1753">IFERROR(INDEX(PCRent!C:D, MATCH(F1753 &amp; " " &amp; G1753, PCRent!A:A &amp; " " &amp; PCRent!B:B, 0)), "")</f>
        <v/>
      </c>
      <c r="P1753" s="293"/>
      <c r="Q1753" s="294" t="str">
        <f t="array" ref="Q1753:R1753">IFERROR(INDEX(MonitorRent!C:D, MATCH(F1753 &amp; " " &amp; G1753, MonitorRent!A:A &amp; " " &amp; MonitorRent!B:B, 0)), "")</f>
        <v/>
      </c>
      <c r="R1753" s="295"/>
    </row>
    <row r="1754">
      <c r="A1754" s="284">
        <v>1751.0</v>
      </c>
      <c r="C1754" s="303"/>
      <c r="D1754" s="262"/>
      <c r="I1754" s="302"/>
      <c r="J1754" s="302"/>
      <c r="K1754" s="302"/>
      <c r="L1754" s="302"/>
      <c r="M1754" s="304"/>
      <c r="N1754" s="287" t="str">
        <f>IFERROR(
    IF(
        AND(
            VLOOKUP(B1754, 'รายชื่อพนักงานลาออกพ้นสภาพ'!B:I, 8, FALSE)&lt;&gt;"ยกเลิกลาออก",
            VLOOKUP(B1754, 'รายชื่อพนักงานลาออกพ้นสภาพ'!B:I, 7, FALSE)&lt;=TODAY()
        ),
        "ลาออกแล้ว",
        ""
    ),
"")</f>
        <v/>
      </c>
      <c r="O1754" s="292" t="str">
        <f t="array" ref="O1754:P1754">IFERROR(INDEX(PCRent!C:D, MATCH(F1754 &amp; " " &amp; G1754, PCRent!A:A &amp; " " &amp; PCRent!B:B, 0)), "")</f>
        <v/>
      </c>
      <c r="P1754" s="293"/>
      <c r="Q1754" s="294" t="str">
        <f t="array" ref="Q1754:R1754">IFERROR(INDEX(MonitorRent!C:D, MATCH(F1754 &amp; " " &amp; G1754, MonitorRent!A:A &amp; " " &amp; MonitorRent!B:B, 0)), "")</f>
        <v/>
      </c>
      <c r="R1754" s="295"/>
    </row>
    <row r="1755">
      <c r="A1755" s="284">
        <v>1752.0</v>
      </c>
      <c r="C1755" s="303"/>
      <c r="D1755" s="262"/>
      <c r="I1755" s="302"/>
      <c r="J1755" s="302"/>
      <c r="K1755" s="302"/>
      <c r="L1755" s="302"/>
      <c r="M1755" s="304"/>
      <c r="N1755" s="287" t="str">
        <f>IFERROR(
    IF(
        AND(
            VLOOKUP(B1755, 'รายชื่อพนักงานลาออกพ้นสภาพ'!B:I, 8, FALSE)&lt;&gt;"ยกเลิกลาออก",
            VLOOKUP(B1755, 'รายชื่อพนักงานลาออกพ้นสภาพ'!B:I, 7, FALSE)&lt;=TODAY()
        ),
        "ลาออกแล้ว",
        ""
    ),
"")</f>
        <v/>
      </c>
      <c r="O1755" s="292" t="str">
        <f t="array" ref="O1755:P1755">IFERROR(INDEX(PCRent!C:D, MATCH(F1755 &amp; " " &amp; G1755, PCRent!A:A &amp; " " &amp; PCRent!B:B, 0)), "")</f>
        <v/>
      </c>
      <c r="P1755" s="293"/>
      <c r="Q1755" s="294" t="str">
        <f t="array" ref="Q1755:R1755">IFERROR(INDEX(MonitorRent!C:D, MATCH(F1755 &amp; " " &amp; G1755, MonitorRent!A:A &amp; " " &amp; MonitorRent!B:B, 0)), "")</f>
        <v/>
      </c>
      <c r="R1755" s="295"/>
    </row>
    <row r="1756">
      <c r="A1756" s="284">
        <v>1753.0</v>
      </c>
      <c r="C1756" s="303"/>
      <c r="D1756" s="262"/>
      <c r="I1756" s="302"/>
      <c r="J1756" s="302"/>
      <c r="K1756" s="302"/>
      <c r="L1756" s="302"/>
      <c r="M1756" s="304"/>
      <c r="N1756" s="287" t="str">
        <f>IFERROR(
    IF(
        AND(
            VLOOKUP(B1756, 'รายชื่อพนักงานลาออกพ้นสภาพ'!B:I, 8, FALSE)&lt;&gt;"ยกเลิกลาออก",
            VLOOKUP(B1756, 'รายชื่อพนักงานลาออกพ้นสภาพ'!B:I, 7, FALSE)&lt;=TODAY()
        ),
        "ลาออกแล้ว",
        ""
    ),
"")</f>
        <v/>
      </c>
      <c r="O1756" s="292" t="str">
        <f t="array" ref="O1756:P1756">IFERROR(INDEX(PCRent!C:D, MATCH(F1756 &amp; " " &amp; G1756, PCRent!A:A &amp; " " &amp; PCRent!B:B, 0)), "")</f>
        <v/>
      </c>
      <c r="P1756" s="293"/>
      <c r="Q1756" s="294" t="str">
        <f t="array" ref="Q1756:R1756">IFERROR(INDEX(MonitorRent!C:D, MATCH(F1756 &amp; " " &amp; G1756, MonitorRent!A:A &amp; " " &amp; MonitorRent!B:B, 0)), "")</f>
        <v/>
      </c>
      <c r="R1756" s="295"/>
    </row>
    <row r="1757">
      <c r="A1757" s="284">
        <v>1754.0</v>
      </c>
      <c r="C1757" s="303"/>
      <c r="D1757" s="262"/>
      <c r="I1757" s="302"/>
      <c r="J1757" s="302"/>
      <c r="K1757" s="302"/>
      <c r="L1757" s="302"/>
      <c r="M1757" s="304"/>
      <c r="N1757" s="287" t="str">
        <f>IFERROR(
    IF(
        AND(
            VLOOKUP(B1757, 'รายชื่อพนักงานลาออกพ้นสภาพ'!B:I, 8, FALSE)&lt;&gt;"ยกเลิกลาออก",
            VLOOKUP(B1757, 'รายชื่อพนักงานลาออกพ้นสภาพ'!B:I, 7, FALSE)&lt;=TODAY()
        ),
        "ลาออกแล้ว",
        ""
    ),
"")</f>
        <v/>
      </c>
      <c r="O1757" s="292" t="str">
        <f t="array" ref="O1757:P1757">IFERROR(INDEX(PCRent!C:D, MATCH(F1757 &amp; " " &amp; G1757, PCRent!A:A &amp; " " &amp; PCRent!B:B, 0)), "")</f>
        <v/>
      </c>
      <c r="P1757" s="293"/>
      <c r="Q1757" s="294" t="str">
        <f t="array" ref="Q1757:R1757">IFERROR(INDEX(MonitorRent!C:D, MATCH(F1757 &amp; " " &amp; G1757, MonitorRent!A:A &amp; " " &amp; MonitorRent!B:B, 0)), "")</f>
        <v/>
      </c>
      <c r="R1757" s="295"/>
    </row>
    <row r="1758">
      <c r="A1758" s="284">
        <v>1755.0</v>
      </c>
      <c r="C1758" s="303"/>
      <c r="D1758" s="262"/>
      <c r="I1758" s="302"/>
      <c r="J1758" s="302"/>
      <c r="K1758" s="302"/>
      <c r="L1758" s="302"/>
      <c r="M1758" s="304"/>
      <c r="N1758" s="287" t="str">
        <f>IFERROR(
    IF(
        AND(
            VLOOKUP(B1758, 'รายชื่อพนักงานลาออกพ้นสภาพ'!B:I, 8, FALSE)&lt;&gt;"ยกเลิกลาออก",
            VLOOKUP(B1758, 'รายชื่อพนักงานลาออกพ้นสภาพ'!B:I, 7, FALSE)&lt;=TODAY()
        ),
        "ลาออกแล้ว",
        ""
    ),
"")</f>
        <v/>
      </c>
      <c r="O1758" s="292" t="str">
        <f t="array" ref="O1758:P1758">IFERROR(INDEX(PCRent!C:D, MATCH(F1758 &amp; " " &amp; G1758, PCRent!A:A &amp; " " &amp; PCRent!B:B, 0)), "")</f>
        <v/>
      </c>
      <c r="P1758" s="293"/>
      <c r="Q1758" s="294" t="str">
        <f t="array" ref="Q1758:R1758">IFERROR(INDEX(MonitorRent!C:D, MATCH(F1758 &amp; " " &amp; G1758, MonitorRent!A:A &amp; " " &amp; MonitorRent!B:B, 0)), "")</f>
        <v/>
      </c>
      <c r="R1758" s="295"/>
    </row>
    <row r="1759">
      <c r="A1759" s="284">
        <v>1756.0</v>
      </c>
      <c r="C1759" s="303"/>
      <c r="D1759" s="262"/>
      <c r="I1759" s="302"/>
      <c r="J1759" s="302"/>
      <c r="K1759" s="302"/>
      <c r="L1759" s="302"/>
      <c r="M1759" s="304"/>
      <c r="N1759" s="287" t="str">
        <f>IFERROR(
    IF(
        AND(
            VLOOKUP(B1759, 'รายชื่อพนักงานลาออกพ้นสภาพ'!B:I, 8, FALSE)&lt;&gt;"ยกเลิกลาออก",
            VLOOKUP(B1759, 'รายชื่อพนักงานลาออกพ้นสภาพ'!B:I, 7, FALSE)&lt;=TODAY()
        ),
        "ลาออกแล้ว",
        ""
    ),
"")</f>
        <v/>
      </c>
      <c r="O1759" s="292" t="str">
        <f t="array" ref="O1759:P1759">IFERROR(INDEX(PCRent!C:D, MATCH(F1759 &amp; " " &amp; G1759, PCRent!A:A &amp; " " &amp; PCRent!B:B, 0)), "")</f>
        <v/>
      </c>
      <c r="P1759" s="293"/>
      <c r="Q1759" s="294" t="str">
        <f t="array" ref="Q1759:R1759">IFERROR(INDEX(MonitorRent!C:D, MATCH(F1759 &amp; " " &amp; G1759, MonitorRent!A:A &amp; " " &amp; MonitorRent!B:B, 0)), "")</f>
        <v/>
      </c>
      <c r="R1759" s="295"/>
    </row>
    <row r="1760">
      <c r="A1760" s="284">
        <v>1757.0</v>
      </c>
      <c r="C1760" s="303"/>
      <c r="D1760" s="262"/>
      <c r="I1760" s="302"/>
      <c r="J1760" s="302"/>
      <c r="K1760" s="302"/>
      <c r="L1760" s="302"/>
      <c r="M1760" s="304"/>
      <c r="N1760" s="287" t="str">
        <f>IFERROR(
    IF(
        AND(
            VLOOKUP(B1760, 'รายชื่อพนักงานลาออกพ้นสภาพ'!B:I, 8, FALSE)&lt;&gt;"ยกเลิกลาออก",
            VLOOKUP(B1760, 'รายชื่อพนักงานลาออกพ้นสภาพ'!B:I, 7, FALSE)&lt;=TODAY()
        ),
        "ลาออกแล้ว",
        ""
    ),
"")</f>
        <v/>
      </c>
      <c r="O1760" s="292" t="str">
        <f t="array" ref="O1760:P1760">IFERROR(INDEX(PCRent!C:D, MATCH(F1760 &amp; " " &amp; G1760, PCRent!A:A &amp; " " &amp; PCRent!B:B, 0)), "")</f>
        <v/>
      </c>
      <c r="P1760" s="293"/>
      <c r="Q1760" s="294" t="str">
        <f t="array" ref="Q1760:R1760">IFERROR(INDEX(MonitorRent!C:D, MATCH(F1760 &amp; " " &amp; G1760, MonitorRent!A:A &amp; " " &amp; MonitorRent!B:B, 0)), "")</f>
        <v/>
      </c>
      <c r="R1760" s="295"/>
    </row>
    <row r="1761">
      <c r="A1761" s="284">
        <v>1758.0</v>
      </c>
      <c r="C1761" s="303"/>
      <c r="D1761" s="262"/>
      <c r="I1761" s="302"/>
      <c r="J1761" s="302"/>
      <c r="K1761" s="302"/>
      <c r="L1761" s="302"/>
      <c r="M1761" s="304"/>
      <c r="N1761" s="287" t="str">
        <f>IFERROR(
    IF(
        AND(
            VLOOKUP(B1761, 'รายชื่อพนักงานลาออกพ้นสภาพ'!B:I, 8, FALSE)&lt;&gt;"ยกเลิกลาออก",
            VLOOKUP(B1761, 'รายชื่อพนักงานลาออกพ้นสภาพ'!B:I, 7, FALSE)&lt;=TODAY()
        ),
        "ลาออกแล้ว",
        ""
    ),
"")</f>
        <v/>
      </c>
      <c r="O1761" s="292" t="str">
        <f t="array" ref="O1761:P1761">IFERROR(INDEX(PCRent!C:D, MATCH(F1761 &amp; " " &amp; G1761, PCRent!A:A &amp; " " &amp; PCRent!B:B, 0)), "")</f>
        <v/>
      </c>
      <c r="P1761" s="293"/>
      <c r="Q1761" s="294" t="str">
        <f t="array" ref="Q1761:R1761">IFERROR(INDEX(MonitorRent!C:D, MATCH(F1761 &amp; " " &amp; G1761, MonitorRent!A:A &amp; " " &amp; MonitorRent!B:B, 0)), "")</f>
        <v/>
      </c>
      <c r="R1761" s="295"/>
    </row>
    <row r="1762">
      <c r="A1762" s="284">
        <v>1759.0</v>
      </c>
      <c r="C1762" s="303"/>
      <c r="D1762" s="262"/>
      <c r="I1762" s="302"/>
      <c r="J1762" s="302"/>
      <c r="K1762" s="302"/>
      <c r="L1762" s="302"/>
      <c r="M1762" s="304"/>
      <c r="N1762" s="287" t="str">
        <f>IFERROR(
    IF(
        AND(
            VLOOKUP(B1762, 'รายชื่อพนักงานลาออกพ้นสภาพ'!B:I, 8, FALSE)&lt;&gt;"ยกเลิกลาออก",
            VLOOKUP(B1762, 'รายชื่อพนักงานลาออกพ้นสภาพ'!B:I, 7, FALSE)&lt;=TODAY()
        ),
        "ลาออกแล้ว",
        ""
    ),
"")</f>
        <v/>
      </c>
      <c r="O1762" s="292" t="str">
        <f t="array" ref="O1762:P1762">IFERROR(INDEX(PCRent!C:D, MATCH(F1762 &amp; " " &amp; G1762, PCRent!A:A &amp; " " &amp; PCRent!B:B, 0)), "")</f>
        <v/>
      </c>
      <c r="P1762" s="293"/>
      <c r="Q1762" s="294" t="str">
        <f t="array" ref="Q1762:R1762">IFERROR(INDEX(MonitorRent!C:D, MATCH(F1762 &amp; " " &amp; G1762, MonitorRent!A:A &amp; " " &amp; MonitorRent!B:B, 0)), "")</f>
        <v/>
      </c>
      <c r="R1762" s="295"/>
    </row>
    <row r="1763">
      <c r="A1763" s="284">
        <v>1760.0</v>
      </c>
      <c r="C1763" s="303"/>
      <c r="D1763" s="262"/>
      <c r="I1763" s="302"/>
      <c r="J1763" s="302"/>
      <c r="K1763" s="302"/>
      <c r="L1763" s="302"/>
      <c r="M1763" s="304"/>
      <c r="N1763" s="287" t="str">
        <f>IFERROR(
    IF(
        AND(
            VLOOKUP(B1763, 'รายชื่อพนักงานลาออกพ้นสภาพ'!B:I, 8, FALSE)&lt;&gt;"ยกเลิกลาออก",
            VLOOKUP(B1763, 'รายชื่อพนักงานลาออกพ้นสภาพ'!B:I, 7, FALSE)&lt;=TODAY()
        ),
        "ลาออกแล้ว",
        ""
    ),
"")</f>
        <v/>
      </c>
      <c r="O1763" s="292" t="str">
        <f t="array" ref="O1763:P1763">IFERROR(INDEX(PCRent!C:D, MATCH(F1763 &amp; " " &amp; G1763, PCRent!A:A &amp; " " &amp; PCRent!B:B, 0)), "")</f>
        <v/>
      </c>
      <c r="P1763" s="293"/>
      <c r="Q1763" s="294" t="str">
        <f t="array" ref="Q1763:R1763">IFERROR(INDEX(MonitorRent!C:D, MATCH(F1763 &amp; " " &amp; G1763, MonitorRent!A:A &amp; " " &amp; MonitorRent!B:B, 0)), "")</f>
        <v/>
      </c>
      <c r="R1763" s="295"/>
    </row>
    <row r="1764">
      <c r="A1764" s="284">
        <v>1761.0</v>
      </c>
      <c r="C1764" s="303"/>
      <c r="D1764" s="262"/>
      <c r="I1764" s="302"/>
      <c r="J1764" s="302"/>
      <c r="K1764" s="302"/>
      <c r="L1764" s="302"/>
      <c r="M1764" s="304"/>
      <c r="N1764" s="287" t="str">
        <f>IFERROR(
    IF(
        AND(
            VLOOKUP(B1764, 'รายชื่อพนักงานลาออกพ้นสภาพ'!B:I, 8, FALSE)&lt;&gt;"ยกเลิกลาออก",
            VLOOKUP(B1764, 'รายชื่อพนักงานลาออกพ้นสภาพ'!B:I, 7, FALSE)&lt;=TODAY()
        ),
        "ลาออกแล้ว",
        ""
    ),
"")</f>
        <v/>
      </c>
      <c r="O1764" s="292" t="str">
        <f t="array" ref="O1764:P1764">IFERROR(INDEX(PCRent!C:D, MATCH(F1764 &amp; " " &amp; G1764, PCRent!A:A &amp; " " &amp; PCRent!B:B, 0)), "")</f>
        <v/>
      </c>
      <c r="P1764" s="293"/>
      <c r="Q1764" s="294" t="str">
        <f t="array" ref="Q1764:R1764">IFERROR(INDEX(MonitorRent!C:D, MATCH(F1764 &amp; " " &amp; G1764, MonitorRent!A:A &amp; " " &amp; MonitorRent!B:B, 0)), "")</f>
        <v/>
      </c>
      <c r="R1764" s="295"/>
    </row>
    <row r="1765">
      <c r="A1765" s="284">
        <v>1762.0</v>
      </c>
      <c r="C1765" s="303"/>
      <c r="D1765" s="262"/>
      <c r="I1765" s="302"/>
      <c r="J1765" s="302"/>
      <c r="K1765" s="302"/>
      <c r="L1765" s="302"/>
      <c r="M1765" s="304"/>
      <c r="N1765" s="287" t="str">
        <f>IFERROR(
    IF(
        AND(
            VLOOKUP(B1765, 'รายชื่อพนักงานลาออกพ้นสภาพ'!B:I, 8, FALSE)&lt;&gt;"ยกเลิกลาออก",
            VLOOKUP(B1765, 'รายชื่อพนักงานลาออกพ้นสภาพ'!B:I, 7, FALSE)&lt;=TODAY()
        ),
        "ลาออกแล้ว",
        ""
    ),
"")</f>
        <v/>
      </c>
      <c r="O1765" s="292" t="str">
        <f t="array" ref="O1765:P1765">IFERROR(INDEX(PCRent!C:D, MATCH(F1765 &amp; " " &amp; G1765, PCRent!A:A &amp; " " &amp; PCRent!B:B, 0)), "")</f>
        <v/>
      </c>
      <c r="P1765" s="293"/>
      <c r="Q1765" s="294" t="str">
        <f t="array" ref="Q1765:R1765">IFERROR(INDEX(MonitorRent!C:D, MATCH(F1765 &amp; " " &amp; G1765, MonitorRent!A:A &amp; " " &amp; MonitorRent!B:B, 0)), "")</f>
        <v/>
      </c>
      <c r="R1765" s="295"/>
    </row>
    <row r="1766">
      <c r="A1766" s="284">
        <v>1763.0</v>
      </c>
      <c r="C1766" s="303"/>
      <c r="D1766" s="262"/>
      <c r="I1766" s="302"/>
      <c r="J1766" s="302"/>
      <c r="K1766" s="302"/>
      <c r="L1766" s="302"/>
      <c r="M1766" s="304"/>
      <c r="N1766" s="287" t="str">
        <f>IFERROR(
    IF(
        AND(
            VLOOKUP(B1766, 'รายชื่อพนักงานลาออกพ้นสภาพ'!B:I, 8, FALSE)&lt;&gt;"ยกเลิกลาออก",
            VLOOKUP(B1766, 'รายชื่อพนักงานลาออกพ้นสภาพ'!B:I, 7, FALSE)&lt;=TODAY()
        ),
        "ลาออกแล้ว",
        ""
    ),
"")</f>
        <v/>
      </c>
      <c r="O1766" s="292" t="str">
        <f t="array" ref="O1766:P1766">IFERROR(INDEX(PCRent!C:D, MATCH(F1766 &amp; " " &amp; G1766, PCRent!A:A &amp; " " &amp; PCRent!B:B, 0)), "")</f>
        <v/>
      </c>
      <c r="P1766" s="293"/>
      <c r="Q1766" s="294" t="str">
        <f t="array" ref="Q1766:R1766">IFERROR(INDEX(MonitorRent!C:D, MATCH(F1766 &amp; " " &amp; G1766, MonitorRent!A:A &amp; " " &amp; MonitorRent!B:B, 0)), "")</f>
        <v/>
      </c>
      <c r="R1766" s="295"/>
    </row>
    <row r="1767">
      <c r="A1767" s="284">
        <v>1764.0</v>
      </c>
      <c r="C1767" s="303"/>
      <c r="D1767" s="262"/>
      <c r="I1767" s="302"/>
      <c r="J1767" s="302"/>
      <c r="K1767" s="302"/>
      <c r="L1767" s="302"/>
      <c r="M1767" s="304"/>
      <c r="N1767" s="287" t="str">
        <f>IFERROR(
    IF(
        AND(
            VLOOKUP(B1767, 'รายชื่อพนักงานลาออกพ้นสภาพ'!B:I, 8, FALSE)&lt;&gt;"ยกเลิกลาออก",
            VLOOKUP(B1767, 'รายชื่อพนักงานลาออกพ้นสภาพ'!B:I, 7, FALSE)&lt;=TODAY()
        ),
        "ลาออกแล้ว",
        ""
    ),
"")</f>
        <v/>
      </c>
      <c r="O1767" s="292" t="str">
        <f t="array" ref="O1767:P1767">IFERROR(INDEX(PCRent!C:D, MATCH(F1767 &amp; " " &amp; G1767, PCRent!A:A &amp; " " &amp; PCRent!B:B, 0)), "")</f>
        <v/>
      </c>
      <c r="P1767" s="293"/>
      <c r="Q1767" s="294" t="str">
        <f t="array" ref="Q1767:R1767">IFERROR(INDEX(MonitorRent!C:D, MATCH(F1767 &amp; " " &amp; G1767, MonitorRent!A:A &amp; " " &amp; MonitorRent!B:B, 0)), "")</f>
        <v/>
      </c>
      <c r="R1767" s="295"/>
    </row>
    <row r="1768">
      <c r="A1768" s="284">
        <v>1765.0</v>
      </c>
      <c r="C1768" s="303"/>
      <c r="D1768" s="262"/>
      <c r="I1768" s="302"/>
      <c r="J1768" s="302"/>
      <c r="K1768" s="302"/>
      <c r="L1768" s="302"/>
      <c r="M1768" s="304"/>
      <c r="N1768" s="287" t="str">
        <f>IFERROR(
    IF(
        AND(
            VLOOKUP(B1768, 'รายชื่อพนักงานลาออกพ้นสภาพ'!B:I, 8, FALSE)&lt;&gt;"ยกเลิกลาออก",
            VLOOKUP(B1768, 'รายชื่อพนักงานลาออกพ้นสภาพ'!B:I, 7, FALSE)&lt;=TODAY()
        ),
        "ลาออกแล้ว",
        ""
    ),
"")</f>
        <v/>
      </c>
      <c r="O1768" s="292" t="str">
        <f t="array" ref="O1768:P1768">IFERROR(INDEX(PCRent!C:D, MATCH(F1768 &amp; " " &amp; G1768, PCRent!A:A &amp; " " &amp; PCRent!B:B, 0)), "")</f>
        <v/>
      </c>
      <c r="P1768" s="293"/>
      <c r="Q1768" s="294" t="str">
        <f t="array" ref="Q1768:R1768">IFERROR(INDEX(MonitorRent!C:D, MATCH(F1768 &amp; " " &amp; G1768, MonitorRent!A:A &amp; " " &amp; MonitorRent!B:B, 0)), "")</f>
        <v/>
      </c>
      <c r="R1768" s="295"/>
    </row>
    <row r="1769">
      <c r="A1769" s="284">
        <v>1766.0</v>
      </c>
      <c r="C1769" s="303"/>
      <c r="D1769" s="262"/>
      <c r="I1769" s="302"/>
      <c r="J1769" s="302"/>
      <c r="K1769" s="302"/>
      <c r="L1769" s="302"/>
      <c r="M1769" s="304"/>
      <c r="N1769" s="287" t="str">
        <f>IFERROR(
    IF(
        AND(
            VLOOKUP(B1769, 'รายชื่อพนักงานลาออกพ้นสภาพ'!B:I, 8, FALSE)&lt;&gt;"ยกเลิกลาออก",
            VLOOKUP(B1769, 'รายชื่อพนักงานลาออกพ้นสภาพ'!B:I, 7, FALSE)&lt;=TODAY()
        ),
        "ลาออกแล้ว",
        ""
    ),
"")</f>
        <v/>
      </c>
      <c r="O1769" s="292" t="str">
        <f t="array" ref="O1769:P1769">IFERROR(INDEX(PCRent!C:D, MATCH(F1769 &amp; " " &amp; G1769, PCRent!A:A &amp; " " &amp; PCRent!B:B, 0)), "")</f>
        <v/>
      </c>
      <c r="P1769" s="293"/>
      <c r="Q1769" s="294" t="str">
        <f t="array" ref="Q1769:R1769">IFERROR(INDEX(MonitorRent!C:D, MATCH(F1769 &amp; " " &amp; G1769, MonitorRent!A:A &amp; " " &amp; MonitorRent!B:B, 0)), "")</f>
        <v/>
      </c>
      <c r="R1769" s="295"/>
    </row>
    <row r="1770">
      <c r="A1770" s="284">
        <v>1767.0</v>
      </c>
      <c r="C1770" s="303"/>
      <c r="D1770" s="262"/>
      <c r="I1770" s="302"/>
      <c r="J1770" s="302"/>
      <c r="K1770" s="302"/>
      <c r="L1770" s="302"/>
      <c r="M1770" s="304"/>
      <c r="N1770" s="287" t="str">
        <f>IFERROR(
    IF(
        AND(
            VLOOKUP(B1770, 'รายชื่อพนักงานลาออกพ้นสภาพ'!B:I, 8, FALSE)&lt;&gt;"ยกเลิกลาออก",
            VLOOKUP(B1770, 'รายชื่อพนักงานลาออกพ้นสภาพ'!B:I, 7, FALSE)&lt;=TODAY()
        ),
        "ลาออกแล้ว",
        ""
    ),
"")</f>
        <v/>
      </c>
      <c r="O1770" s="292" t="str">
        <f t="array" ref="O1770:P1770">IFERROR(INDEX(PCRent!C:D, MATCH(F1770 &amp; " " &amp; G1770, PCRent!A:A &amp; " " &amp; PCRent!B:B, 0)), "")</f>
        <v/>
      </c>
      <c r="P1770" s="293"/>
      <c r="Q1770" s="294" t="str">
        <f t="array" ref="Q1770:R1770">IFERROR(INDEX(MonitorRent!C:D, MATCH(F1770 &amp; " " &amp; G1770, MonitorRent!A:A &amp; " " &amp; MonitorRent!B:B, 0)), "")</f>
        <v/>
      </c>
      <c r="R1770" s="295"/>
    </row>
    <row r="1771">
      <c r="A1771" s="284">
        <v>1768.0</v>
      </c>
      <c r="C1771" s="303"/>
      <c r="D1771" s="262"/>
      <c r="I1771" s="302"/>
      <c r="J1771" s="302"/>
      <c r="K1771" s="302"/>
      <c r="L1771" s="302"/>
      <c r="M1771" s="304"/>
      <c r="N1771" s="287" t="str">
        <f>IFERROR(
    IF(
        AND(
            VLOOKUP(B1771, 'รายชื่อพนักงานลาออกพ้นสภาพ'!B:I, 8, FALSE)&lt;&gt;"ยกเลิกลาออก",
            VLOOKUP(B1771, 'รายชื่อพนักงานลาออกพ้นสภาพ'!B:I, 7, FALSE)&lt;=TODAY()
        ),
        "ลาออกแล้ว",
        ""
    ),
"")</f>
        <v/>
      </c>
      <c r="O1771" s="292" t="str">
        <f t="array" ref="O1771:P1771">IFERROR(INDEX(PCRent!C:D, MATCH(F1771 &amp; " " &amp; G1771, PCRent!A:A &amp; " " &amp; PCRent!B:B, 0)), "")</f>
        <v/>
      </c>
      <c r="P1771" s="293"/>
      <c r="Q1771" s="294" t="str">
        <f t="array" ref="Q1771:R1771">IFERROR(INDEX(MonitorRent!C:D, MATCH(F1771 &amp; " " &amp; G1771, MonitorRent!A:A &amp; " " &amp; MonitorRent!B:B, 0)), "")</f>
        <v/>
      </c>
      <c r="R1771" s="295"/>
    </row>
    <row r="1772">
      <c r="A1772" s="284">
        <v>1769.0</v>
      </c>
      <c r="C1772" s="303"/>
      <c r="D1772" s="262"/>
      <c r="I1772" s="302"/>
      <c r="J1772" s="302"/>
      <c r="K1772" s="302"/>
      <c r="L1772" s="302"/>
      <c r="M1772" s="304"/>
      <c r="N1772" s="287" t="str">
        <f>IFERROR(
    IF(
        AND(
            VLOOKUP(B1772, 'รายชื่อพนักงานลาออกพ้นสภาพ'!B:I, 8, FALSE)&lt;&gt;"ยกเลิกลาออก",
            VLOOKUP(B1772, 'รายชื่อพนักงานลาออกพ้นสภาพ'!B:I, 7, FALSE)&lt;=TODAY()
        ),
        "ลาออกแล้ว",
        ""
    ),
"")</f>
        <v/>
      </c>
      <c r="O1772" s="292" t="str">
        <f t="array" ref="O1772:P1772">IFERROR(INDEX(PCRent!C:D, MATCH(F1772 &amp; " " &amp; G1772, PCRent!A:A &amp; " " &amp; PCRent!B:B, 0)), "")</f>
        <v/>
      </c>
      <c r="P1772" s="293"/>
      <c r="Q1772" s="294" t="str">
        <f t="array" ref="Q1772:R1772">IFERROR(INDEX(MonitorRent!C:D, MATCH(F1772 &amp; " " &amp; G1772, MonitorRent!A:A &amp; " " &amp; MonitorRent!B:B, 0)), "")</f>
        <v/>
      </c>
      <c r="R1772" s="295"/>
    </row>
    <row r="1773">
      <c r="A1773" s="284">
        <v>1770.0</v>
      </c>
      <c r="C1773" s="303"/>
      <c r="D1773" s="262"/>
      <c r="I1773" s="302"/>
      <c r="J1773" s="302"/>
      <c r="K1773" s="302"/>
      <c r="L1773" s="302"/>
      <c r="M1773" s="304"/>
      <c r="N1773" s="287" t="str">
        <f>IFERROR(
    IF(
        AND(
            VLOOKUP(B1773, 'รายชื่อพนักงานลาออกพ้นสภาพ'!B:I, 8, FALSE)&lt;&gt;"ยกเลิกลาออก",
            VLOOKUP(B1773, 'รายชื่อพนักงานลาออกพ้นสภาพ'!B:I, 7, FALSE)&lt;=TODAY()
        ),
        "ลาออกแล้ว",
        ""
    ),
"")</f>
        <v/>
      </c>
      <c r="O1773" s="292" t="str">
        <f t="array" ref="O1773:P1773">IFERROR(INDEX(PCRent!C:D, MATCH(F1773 &amp; " " &amp; G1773, PCRent!A:A &amp; " " &amp; PCRent!B:B, 0)), "")</f>
        <v/>
      </c>
      <c r="P1773" s="293"/>
      <c r="Q1773" s="294" t="str">
        <f t="array" ref="Q1773:R1773">IFERROR(INDEX(MonitorRent!C:D, MATCH(F1773 &amp; " " &amp; G1773, MonitorRent!A:A &amp; " " &amp; MonitorRent!B:B, 0)), "")</f>
        <v/>
      </c>
      <c r="R1773" s="295"/>
    </row>
    <row r="1774">
      <c r="A1774" s="284">
        <v>1771.0</v>
      </c>
      <c r="C1774" s="303"/>
      <c r="D1774" s="262"/>
      <c r="I1774" s="302"/>
      <c r="J1774" s="302"/>
      <c r="K1774" s="302"/>
      <c r="L1774" s="302"/>
      <c r="M1774" s="304"/>
      <c r="N1774" s="287" t="str">
        <f>IFERROR(
    IF(
        AND(
            VLOOKUP(B1774, 'รายชื่อพนักงานลาออกพ้นสภาพ'!B:I, 8, FALSE)&lt;&gt;"ยกเลิกลาออก",
            VLOOKUP(B1774, 'รายชื่อพนักงานลาออกพ้นสภาพ'!B:I, 7, FALSE)&lt;=TODAY()
        ),
        "ลาออกแล้ว",
        ""
    ),
"")</f>
        <v/>
      </c>
      <c r="O1774" s="292" t="str">
        <f t="array" ref="O1774:P1774">IFERROR(INDEX(PCRent!C:D, MATCH(F1774 &amp; " " &amp; G1774, PCRent!A:A &amp; " " &amp; PCRent!B:B, 0)), "")</f>
        <v/>
      </c>
      <c r="P1774" s="293"/>
      <c r="Q1774" s="294" t="str">
        <f t="array" ref="Q1774:R1774">IFERROR(INDEX(MonitorRent!C:D, MATCH(F1774 &amp; " " &amp; G1774, MonitorRent!A:A &amp; " " &amp; MonitorRent!B:B, 0)), "")</f>
        <v/>
      </c>
      <c r="R1774" s="295"/>
    </row>
    <row r="1775">
      <c r="A1775" s="284">
        <v>1772.0</v>
      </c>
      <c r="C1775" s="303"/>
      <c r="D1775" s="262"/>
      <c r="I1775" s="302"/>
      <c r="J1775" s="302"/>
      <c r="K1775" s="302"/>
      <c r="L1775" s="302"/>
      <c r="M1775" s="304"/>
      <c r="N1775" s="287" t="str">
        <f>IFERROR(
    IF(
        AND(
            VLOOKUP(B1775, 'รายชื่อพนักงานลาออกพ้นสภาพ'!B:I, 8, FALSE)&lt;&gt;"ยกเลิกลาออก",
            VLOOKUP(B1775, 'รายชื่อพนักงานลาออกพ้นสภาพ'!B:I, 7, FALSE)&lt;=TODAY()
        ),
        "ลาออกแล้ว",
        ""
    ),
"")</f>
        <v/>
      </c>
      <c r="O1775" s="292" t="str">
        <f t="array" ref="O1775:P1775">IFERROR(INDEX(PCRent!C:D, MATCH(F1775 &amp; " " &amp; G1775, PCRent!A:A &amp; " " &amp; PCRent!B:B, 0)), "")</f>
        <v/>
      </c>
      <c r="P1775" s="293"/>
      <c r="Q1775" s="294" t="str">
        <f t="array" ref="Q1775:R1775">IFERROR(INDEX(MonitorRent!C:D, MATCH(F1775 &amp; " " &amp; G1775, MonitorRent!A:A &amp; " " &amp; MonitorRent!B:B, 0)), "")</f>
        <v/>
      </c>
      <c r="R1775" s="295"/>
    </row>
    <row r="1776">
      <c r="A1776" s="284">
        <v>1773.0</v>
      </c>
      <c r="C1776" s="303"/>
      <c r="D1776" s="262"/>
      <c r="I1776" s="302"/>
      <c r="J1776" s="302"/>
      <c r="K1776" s="302"/>
      <c r="L1776" s="302"/>
      <c r="M1776" s="304"/>
      <c r="N1776" s="287" t="str">
        <f>IFERROR(
    IF(
        AND(
            VLOOKUP(B1776, 'รายชื่อพนักงานลาออกพ้นสภาพ'!B:I, 8, FALSE)&lt;&gt;"ยกเลิกลาออก",
            VLOOKUP(B1776, 'รายชื่อพนักงานลาออกพ้นสภาพ'!B:I, 7, FALSE)&lt;=TODAY()
        ),
        "ลาออกแล้ว",
        ""
    ),
"")</f>
        <v/>
      </c>
      <c r="O1776" s="292" t="str">
        <f t="array" ref="O1776:P1776">IFERROR(INDEX(PCRent!C:D, MATCH(F1776 &amp; " " &amp; G1776, PCRent!A:A &amp; " " &amp; PCRent!B:B, 0)), "")</f>
        <v/>
      </c>
      <c r="P1776" s="293"/>
      <c r="Q1776" s="294" t="str">
        <f t="array" ref="Q1776:R1776">IFERROR(INDEX(MonitorRent!C:D, MATCH(F1776 &amp; " " &amp; G1776, MonitorRent!A:A &amp; " " &amp; MonitorRent!B:B, 0)), "")</f>
        <v/>
      </c>
      <c r="R1776" s="295"/>
    </row>
    <row r="1777">
      <c r="A1777" s="284">
        <v>1774.0</v>
      </c>
      <c r="C1777" s="303"/>
      <c r="D1777" s="262"/>
      <c r="I1777" s="302"/>
      <c r="J1777" s="302"/>
      <c r="K1777" s="302"/>
      <c r="L1777" s="302"/>
      <c r="M1777" s="304"/>
      <c r="N1777" s="287" t="str">
        <f>IFERROR(
    IF(
        AND(
            VLOOKUP(B1777, 'รายชื่อพนักงานลาออกพ้นสภาพ'!B:I, 8, FALSE)&lt;&gt;"ยกเลิกลาออก",
            VLOOKUP(B1777, 'รายชื่อพนักงานลาออกพ้นสภาพ'!B:I, 7, FALSE)&lt;=TODAY()
        ),
        "ลาออกแล้ว",
        ""
    ),
"")</f>
        <v/>
      </c>
      <c r="O1777" s="292" t="str">
        <f t="array" ref="O1777:P1777">IFERROR(INDEX(PCRent!C:D, MATCH(F1777 &amp; " " &amp; G1777, PCRent!A:A &amp; " " &amp; PCRent!B:B, 0)), "")</f>
        <v/>
      </c>
      <c r="P1777" s="293"/>
      <c r="Q1777" s="294" t="str">
        <f t="array" ref="Q1777:R1777">IFERROR(INDEX(MonitorRent!C:D, MATCH(F1777 &amp; " " &amp; G1777, MonitorRent!A:A &amp; " " &amp; MonitorRent!B:B, 0)), "")</f>
        <v/>
      </c>
      <c r="R1777" s="295"/>
    </row>
    <row r="1778">
      <c r="A1778" s="284">
        <v>1775.0</v>
      </c>
      <c r="C1778" s="303"/>
      <c r="D1778" s="262"/>
      <c r="I1778" s="302"/>
      <c r="J1778" s="302"/>
      <c r="K1778" s="302"/>
      <c r="L1778" s="302"/>
      <c r="M1778" s="304"/>
      <c r="N1778" s="287" t="str">
        <f>IFERROR(
    IF(
        AND(
            VLOOKUP(B1778, 'รายชื่อพนักงานลาออกพ้นสภาพ'!B:I, 8, FALSE)&lt;&gt;"ยกเลิกลาออก",
            VLOOKUP(B1778, 'รายชื่อพนักงานลาออกพ้นสภาพ'!B:I, 7, FALSE)&lt;=TODAY()
        ),
        "ลาออกแล้ว",
        ""
    ),
"")</f>
        <v/>
      </c>
      <c r="O1778" s="292" t="str">
        <f t="array" ref="O1778:P1778">IFERROR(INDEX(PCRent!C:D, MATCH(F1778 &amp; " " &amp; G1778, PCRent!A:A &amp; " " &amp; PCRent!B:B, 0)), "")</f>
        <v/>
      </c>
      <c r="P1778" s="293"/>
      <c r="Q1778" s="294" t="str">
        <f t="array" ref="Q1778:R1778">IFERROR(INDEX(MonitorRent!C:D, MATCH(F1778 &amp; " " &amp; G1778, MonitorRent!A:A &amp; " " &amp; MonitorRent!B:B, 0)), "")</f>
        <v/>
      </c>
      <c r="R1778" s="295"/>
    </row>
    <row r="1779">
      <c r="A1779" s="284">
        <v>1776.0</v>
      </c>
      <c r="C1779" s="303"/>
      <c r="D1779" s="262"/>
      <c r="I1779" s="302"/>
      <c r="J1779" s="302"/>
      <c r="K1779" s="302"/>
      <c r="L1779" s="302"/>
      <c r="M1779" s="304"/>
      <c r="N1779" s="287" t="str">
        <f>IFERROR(
    IF(
        AND(
            VLOOKUP(B1779, 'รายชื่อพนักงานลาออกพ้นสภาพ'!B:I, 8, FALSE)&lt;&gt;"ยกเลิกลาออก",
            VLOOKUP(B1779, 'รายชื่อพนักงานลาออกพ้นสภาพ'!B:I, 7, FALSE)&lt;=TODAY()
        ),
        "ลาออกแล้ว",
        ""
    ),
"")</f>
        <v/>
      </c>
      <c r="O1779" s="292" t="str">
        <f t="array" ref="O1779:P1779">IFERROR(INDEX(PCRent!C:D, MATCH(F1779 &amp; " " &amp; G1779, PCRent!A:A &amp; " " &amp; PCRent!B:B, 0)), "")</f>
        <v/>
      </c>
      <c r="P1779" s="293"/>
      <c r="Q1779" s="294" t="str">
        <f t="array" ref="Q1779:R1779">IFERROR(INDEX(MonitorRent!C:D, MATCH(F1779 &amp; " " &amp; G1779, MonitorRent!A:A &amp; " " &amp; MonitorRent!B:B, 0)), "")</f>
        <v/>
      </c>
      <c r="R1779" s="295"/>
    </row>
    <row r="1780">
      <c r="A1780" s="284">
        <v>1777.0</v>
      </c>
      <c r="C1780" s="303"/>
      <c r="D1780" s="262"/>
      <c r="I1780" s="302"/>
      <c r="J1780" s="302"/>
      <c r="K1780" s="302"/>
      <c r="L1780" s="302"/>
      <c r="M1780" s="304"/>
      <c r="N1780" s="287" t="str">
        <f>IFERROR(
    IF(
        AND(
            VLOOKUP(B1780, 'รายชื่อพนักงานลาออกพ้นสภาพ'!B:I, 8, FALSE)&lt;&gt;"ยกเลิกลาออก",
            VLOOKUP(B1780, 'รายชื่อพนักงานลาออกพ้นสภาพ'!B:I, 7, FALSE)&lt;=TODAY()
        ),
        "ลาออกแล้ว",
        ""
    ),
"")</f>
        <v/>
      </c>
      <c r="O1780" s="292" t="str">
        <f t="array" ref="O1780:P1780">IFERROR(INDEX(PCRent!C:D, MATCH(F1780 &amp; " " &amp; G1780, PCRent!A:A &amp; " " &amp; PCRent!B:B, 0)), "")</f>
        <v/>
      </c>
      <c r="P1780" s="293"/>
      <c r="Q1780" s="294" t="str">
        <f t="array" ref="Q1780:R1780">IFERROR(INDEX(MonitorRent!C:D, MATCH(F1780 &amp; " " &amp; G1780, MonitorRent!A:A &amp; " " &amp; MonitorRent!B:B, 0)), "")</f>
        <v/>
      </c>
      <c r="R1780" s="295"/>
    </row>
    <row r="1781">
      <c r="A1781" s="284">
        <v>1778.0</v>
      </c>
      <c r="C1781" s="303"/>
      <c r="D1781" s="262"/>
      <c r="I1781" s="302"/>
      <c r="J1781" s="302"/>
      <c r="K1781" s="302"/>
      <c r="L1781" s="302"/>
      <c r="M1781" s="304"/>
      <c r="N1781" s="287" t="str">
        <f>IFERROR(
    IF(
        AND(
            VLOOKUP(B1781, 'รายชื่อพนักงานลาออกพ้นสภาพ'!B:I, 8, FALSE)&lt;&gt;"ยกเลิกลาออก",
            VLOOKUP(B1781, 'รายชื่อพนักงานลาออกพ้นสภาพ'!B:I, 7, FALSE)&lt;=TODAY()
        ),
        "ลาออกแล้ว",
        ""
    ),
"")</f>
        <v/>
      </c>
      <c r="O1781" s="292" t="str">
        <f t="array" ref="O1781:P1781">IFERROR(INDEX(PCRent!C:D, MATCH(F1781 &amp; " " &amp; G1781, PCRent!A:A &amp; " " &amp; PCRent!B:B, 0)), "")</f>
        <v/>
      </c>
      <c r="P1781" s="293"/>
      <c r="Q1781" s="294" t="str">
        <f t="array" ref="Q1781:R1781">IFERROR(INDEX(MonitorRent!C:D, MATCH(F1781 &amp; " " &amp; G1781, MonitorRent!A:A &amp; " " &amp; MonitorRent!B:B, 0)), "")</f>
        <v/>
      </c>
      <c r="R1781" s="295"/>
    </row>
    <row r="1782">
      <c r="A1782" s="284">
        <v>1779.0</v>
      </c>
      <c r="C1782" s="303"/>
      <c r="D1782" s="262"/>
      <c r="I1782" s="302"/>
      <c r="J1782" s="302"/>
      <c r="K1782" s="302"/>
      <c r="L1782" s="302"/>
      <c r="M1782" s="304"/>
      <c r="N1782" s="287" t="str">
        <f>IFERROR(
    IF(
        AND(
            VLOOKUP(B1782, 'รายชื่อพนักงานลาออกพ้นสภาพ'!B:I, 8, FALSE)&lt;&gt;"ยกเลิกลาออก",
            VLOOKUP(B1782, 'รายชื่อพนักงานลาออกพ้นสภาพ'!B:I, 7, FALSE)&lt;=TODAY()
        ),
        "ลาออกแล้ว",
        ""
    ),
"")</f>
        <v/>
      </c>
      <c r="O1782" s="292" t="str">
        <f t="array" ref="O1782:P1782">IFERROR(INDEX(PCRent!C:D, MATCH(F1782 &amp; " " &amp; G1782, PCRent!A:A &amp; " " &amp; PCRent!B:B, 0)), "")</f>
        <v/>
      </c>
      <c r="P1782" s="293"/>
      <c r="Q1782" s="294" t="str">
        <f t="array" ref="Q1782:R1782">IFERROR(INDEX(MonitorRent!C:D, MATCH(F1782 &amp; " " &amp; G1782, MonitorRent!A:A &amp; " " &amp; MonitorRent!B:B, 0)), "")</f>
        <v/>
      </c>
      <c r="R1782" s="295"/>
    </row>
    <row r="1783">
      <c r="A1783" s="284">
        <v>1780.0</v>
      </c>
      <c r="C1783" s="303"/>
      <c r="D1783" s="262"/>
      <c r="I1783" s="302"/>
      <c r="J1783" s="302"/>
      <c r="K1783" s="302"/>
      <c r="L1783" s="302"/>
      <c r="M1783" s="304"/>
      <c r="N1783" s="287" t="str">
        <f>IFERROR(
    IF(
        AND(
            VLOOKUP(B1783, 'รายชื่อพนักงานลาออกพ้นสภาพ'!B:I, 8, FALSE)&lt;&gt;"ยกเลิกลาออก",
            VLOOKUP(B1783, 'รายชื่อพนักงานลาออกพ้นสภาพ'!B:I, 7, FALSE)&lt;=TODAY()
        ),
        "ลาออกแล้ว",
        ""
    ),
"")</f>
        <v/>
      </c>
      <c r="O1783" s="292" t="str">
        <f t="array" ref="O1783:P1783">IFERROR(INDEX(PCRent!C:D, MATCH(F1783 &amp; " " &amp; G1783, PCRent!A:A &amp; " " &amp; PCRent!B:B, 0)), "")</f>
        <v/>
      </c>
      <c r="P1783" s="293"/>
      <c r="Q1783" s="294" t="str">
        <f t="array" ref="Q1783:R1783">IFERROR(INDEX(MonitorRent!C:D, MATCH(F1783 &amp; " " &amp; G1783, MonitorRent!A:A &amp; " " &amp; MonitorRent!B:B, 0)), "")</f>
        <v/>
      </c>
      <c r="R1783" s="295"/>
    </row>
    <row r="1784">
      <c r="A1784" s="284">
        <v>1781.0</v>
      </c>
      <c r="C1784" s="303"/>
      <c r="D1784" s="262"/>
      <c r="I1784" s="302"/>
      <c r="J1784" s="302"/>
      <c r="K1784" s="302"/>
      <c r="L1784" s="302"/>
      <c r="M1784" s="304"/>
      <c r="N1784" s="287" t="str">
        <f>IFERROR(
    IF(
        AND(
            VLOOKUP(B1784, 'รายชื่อพนักงานลาออกพ้นสภาพ'!B:I, 8, FALSE)&lt;&gt;"ยกเลิกลาออก",
            VLOOKUP(B1784, 'รายชื่อพนักงานลาออกพ้นสภาพ'!B:I, 7, FALSE)&lt;=TODAY()
        ),
        "ลาออกแล้ว",
        ""
    ),
"")</f>
        <v/>
      </c>
      <c r="O1784" s="292" t="str">
        <f t="array" ref="O1784:P1784">IFERROR(INDEX(PCRent!C:D, MATCH(F1784 &amp; " " &amp; G1784, PCRent!A:A &amp; " " &amp; PCRent!B:B, 0)), "")</f>
        <v/>
      </c>
      <c r="P1784" s="293"/>
      <c r="Q1784" s="294" t="str">
        <f t="array" ref="Q1784:R1784">IFERROR(INDEX(MonitorRent!C:D, MATCH(F1784 &amp; " " &amp; G1784, MonitorRent!A:A &amp; " " &amp; MonitorRent!B:B, 0)), "")</f>
        <v/>
      </c>
      <c r="R1784" s="295"/>
    </row>
    <row r="1785">
      <c r="A1785" s="284">
        <v>1782.0</v>
      </c>
      <c r="C1785" s="303"/>
      <c r="D1785" s="262"/>
      <c r="I1785" s="302"/>
      <c r="J1785" s="302"/>
      <c r="K1785" s="302"/>
      <c r="L1785" s="302"/>
      <c r="M1785" s="304"/>
      <c r="N1785" s="287" t="str">
        <f>IFERROR(
    IF(
        AND(
            VLOOKUP(B1785, 'รายชื่อพนักงานลาออกพ้นสภาพ'!B:I, 8, FALSE)&lt;&gt;"ยกเลิกลาออก",
            VLOOKUP(B1785, 'รายชื่อพนักงานลาออกพ้นสภาพ'!B:I, 7, FALSE)&lt;=TODAY()
        ),
        "ลาออกแล้ว",
        ""
    ),
"")</f>
        <v/>
      </c>
      <c r="O1785" s="292" t="str">
        <f t="array" ref="O1785:P1785">IFERROR(INDEX(PCRent!C:D, MATCH(F1785 &amp; " " &amp; G1785, PCRent!A:A &amp; " " &amp; PCRent!B:B, 0)), "")</f>
        <v/>
      </c>
      <c r="P1785" s="293"/>
      <c r="Q1785" s="294" t="str">
        <f t="array" ref="Q1785:R1785">IFERROR(INDEX(MonitorRent!C:D, MATCH(F1785 &amp; " " &amp; G1785, MonitorRent!A:A &amp; " " &amp; MonitorRent!B:B, 0)), "")</f>
        <v/>
      </c>
      <c r="R1785" s="295"/>
    </row>
    <row r="1786">
      <c r="A1786" s="284">
        <v>1783.0</v>
      </c>
      <c r="C1786" s="303"/>
      <c r="D1786" s="262"/>
      <c r="I1786" s="302"/>
      <c r="J1786" s="302"/>
      <c r="K1786" s="302"/>
      <c r="L1786" s="302"/>
      <c r="M1786" s="304"/>
      <c r="N1786" s="287" t="str">
        <f>IFERROR(
    IF(
        AND(
            VLOOKUP(B1786, 'รายชื่อพนักงานลาออกพ้นสภาพ'!B:I, 8, FALSE)&lt;&gt;"ยกเลิกลาออก",
            VLOOKUP(B1786, 'รายชื่อพนักงานลาออกพ้นสภาพ'!B:I, 7, FALSE)&lt;=TODAY()
        ),
        "ลาออกแล้ว",
        ""
    ),
"")</f>
        <v/>
      </c>
      <c r="O1786" s="292" t="str">
        <f t="array" ref="O1786:P1786">IFERROR(INDEX(PCRent!C:D, MATCH(F1786 &amp; " " &amp; G1786, PCRent!A:A &amp; " " &amp; PCRent!B:B, 0)), "")</f>
        <v/>
      </c>
      <c r="P1786" s="293"/>
      <c r="Q1786" s="294" t="str">
        <f t="array" ref="Q1786:R1786">IFERROR(INDEX(MonitorRent!C:D, MATCH(F1786 &amp; " " &amp; G1786, MonitorRent!A:A &amp; " " &amp; MonitorRent!B:B, 0)), "")</f>
        <v/>
      </c>
      <c r="R1786" s="295"/>
    </row>
    <row r="1787">
      <c r="A1787" s="284">
        <v>1784.0</v>
      </c>
      <c r="C1787" s="303"/>
      <c r="D1787" s="262"/>
      <c r="I1787" s="302"/>
      <c r="J1787" s="302"/>
      <c r="K1787" s="302"/>
      <c r="L1787" s="302"/>
      <c r="M1787" s="304"/>
      <c r="N1787" s="287" t="str">
        <f>IFERROR(
    IF(
        AND(
            VLOOKUP(B1787, 'รายชื่อพนักงานลาออกพ้นสภาพ'!B:I, 8, FALSE)&lt;&gt;"ยกเลิกลาออก",
            VLOOKUP(B1787, 'รายชื่อพนักงานลาออกพ้นสภาพ'!B:I, 7, FALSE)&lt;=TODAY()
        ),
        "ลาออกแล้ว",
        ""
    ),
"")</f>
        <v/>
      </c>
      <c r="O1787" s="292" t="str">
        <f t="array" ref="O1787:P1787">IFERROR(INDEX(PCRent!C:D, MATCH(F1787 &amp; " " &amp; G1787, PCRent!A:A &amp; " " &amp; PCRent!B:B, 0)), "")</f>
        <v/>
      </c>
      <c r="P1787" s="293"/>
      <c r="Q1787" s="294" t="str">
        <f t="array" ref="Q1787:R1787">IFERROR(INDEX(MonitorRent!C:D, MATCH(F1787 &amp; " " &amp; G1787, MonitorRent!A:A &amp; " " &amp; MonitorRent!B:B, 0)), "")</f>
        <v/>
      </c>
      <c r="R1787" s="295"/>
    </row>
    <row r="1788">
      <c r="A1788" s="284">
        <v>1785.0</v>
      </c>
      <c r="C1788" s="303"/>
      <c r="D1788" s="262"/>
      <c r="I1788" s="302"/>
      <c r="J1788" s="302"/>
      <c r="K1788" s="302"/>
      <c r="L1788" s="302"/>
      <c r="M1788" s="304"/>
      <c r="N1788" s="287" t="str">
        <f>IFERROR(
    IF(
        AND(
            VLOOKUP(B1788, 'รายชื่อพนักงานลาออกพ้นสภาพ'!B:I, 8, FALSE)&lt;&gt;"ยกเลิกลาออก",
            VLOOKUP(B1788, 'รายชื่อพนักงานลาออกพ้นสภาพ'!B:I, 7, FALSE)&lt;=TODAY()
        ),
        "ลาออกแล้ว",
        ""
    ),
"")</f>
        <v/>
      </c>
      <c r="O1788" s="292" t="str">
        <f t="array" ref="O1788:P1788">IFERROR(INDEX(PCRent!C:D, MATCH(F1788 &amp; " " &amp; G1788, PCRent!A:A &amp; " " &amp; PCRent!B:B, 0)), "")</f>
        <v/>
      </c>
      <c r="P1788" s="293"/>
      <c r="Q1788" s="294" t="str">
        <f t="array" ref="Q1788:R1788">IFERROR(INDEX(MonitorRent!C:D, MATCH(F1788 &amp; " " &amp; G1788, MonitorRent!A:A &amp; " " &amp; MonitorRent!B:B, 0)), "")</f>
        <v/>
      </c>
      <c r="R1788" s="295"/>
    </row>
    <row r="1789">
      <c r="A1789" s="284">
        <v>1786.0</v>
      </c>
      <c r="C1789" s="303"/>
      <c r="D1789" s="262"/>
      <c r="I1789" s="302"/>
      <c r="J1789" s="302"/>
      <c r="K1789" s="302"/>
      <c r="L1789" s="302"/>
      <c r="M1789" s="304"/>
      <c r="N1789" s="287" t="str">
        <f>IFERROR(
    IF(
        AND(
            VLOOKUP(B1789, 'รายชื่อพนักงานลาออกพ้นสภาพ'!B:I, 8, FALSE)&lt;&gt;"ยกเลิกลาออก",
            VLOOKUP(B1789, 'รายชื่อพนักงานลาออกพ้นสภาพ'!B:I, 7, FALSE)&lt;=TODAY()
        ),
        "ลาออกแล้ว",
        ""
    ),
"")</f>
        <v/>
      </c>
      <c r="O1789" s="292" t="str">
        <f t="array" ref="O1789:P1789">IFERROR(INDEX(PCRent!C:D, MATCH(F1789 &amp; " " &amp; G1789, PCRent!A:A &amp; " " &amp; PCRent!B:B, 0)), "")</f>
        <v/>
      </c>
      <c r="P1789" s="293"/>
      <c r="Q1789" s="294" t="str">
        <f t="array" ref="Q1789:R1789">IFERROR(INDEX(MonitorRent!C:D, MATCH(F1789 &amp; " " &amp; G1789, MonitorRent!A:A &amp; " " &amp; MonitorRent!B:B, 0)), "")</f>
        <v/>
      </c>
      <c r="R1789" s="295"/>
    </row>
    <row r="1790">
      <c r="A1790" s="284">
        <v>1787.0</v>
      </c>
      <c r="C1790" s="303"/>
      <c r="D1790" s="262"/>
      <c r="I1790" s="302"/>
      <c r="J1790" s="302"/>
      <c r="K1790" s="302"/>
      <c r="L1790" s="302"/>
      <c r="M1790" s="304"/>
      <c r="N1790" s="287" t="str">
        <f>IFERROR(
    IF(
        AND(
            VLOOKUP(B1790, 'รายชื่อพนักงานลาออกพ้นสภาพ'!B:I, 8, FALSE)&lt;&gt;"ยกเลิกลาออก",
            VLOOKUP(B1790, 'รายชื่อพนักงานลาออกพ้นสภาพ'!B:I, 7, FALSE)&lt;=TODAY()
        ),
        "ลาออกแล้ว",
        ""
    ),
"")</f>
        <v/>
      </c>
      <c r="O1790" s="292" t="str">
        <f t="array" ref="O1790:P1790">IFERROR(INDEX(PCRent!C:D, MATCH(F1790 &amp; " " &amp; G1790, PCRent!A:A &amp; " " &amp; PCRent!B:B, 0)), "")</f>
        <v/>
      </c>
      <c r="P1790" s="293"/>
      <c r="Q1790" s="294" t="str">
        <f t="array" ref="Q1790:R1790">IFERROR(INDEX(MonitorRent!C:D, MATCH(F1790 &amp; " " &amp; G1790, MonitorRent!A:A &amp; " " &amp; MonitorRent!B:B, 0)), "")</f>
        <v/>
      </c>
      <c r="R1790" s="295"/>
    </row>
    <row r="1791">
      <c r="A1791" s="284">
        <v>1788.0</v>
      </c>
      <c r="C1791" s="303"/>
      <c r="D1791" s="262"/>
      <c r="I1791" s="302"/>
      <c r="J1791" s="302"/>
      <c r="K1791" s="302"/>
      <c r="L1791" s="302"/>
      <c r="M1791" s="304"/>
      <c r="N1791" s="287" t="str">
        <f>IFERROR(
    IF(
        AND(
            VLOOKUP(B1791, 'รายชื่อพนักงานลาออกพ้นสภาพ'!B:I, 8, FALSE)&lt;&gt;"ยกเลิกลาออก",
            VLOOKUP(B1791, 'รายชื่อพนักงานลาออกพ้นสภาพ'!B:I, 7, FALSE)&lt;=TODAY()
        ),
        "ลาออกแล้ว",
        ""
    ),
"")</f>
        <v/>
      </c>
      <c r="O1791" s="292" t="str">
        <f t="array" ref="O1791:P1791">IFERROR(INDEX(PCRent!C:D, MATCH(F1791 &amp; " " &amp; G1791, PCRent!A:A &amp; " " &amp; PCRent!B:B, 0)), "")</f>
        <v/>
      </c>
      <c r="P1791" s="293"/>
      <c r="Q1791" s="294" t="str">
        <f t="array" ref="Q1791:R1791">IFERROR(INDEX(MonitorRent!C:D, MATCH(F1791 &amp; " " &amp; G1791, MonitorRent!A:A &amp; " " &amp; MonitorRent!B:B, 0)), "")</f>
        <v/>
      </c>
      <c r="R1791" s="295"/>
    </row>
    <row r="1792">
      <c r="A1792" s="284">
        <v>1789.0</v>
      </c>
      <c r="C1792" s="303"/>
      <c r="D1792" s="262"/>
      <c r="I1792" s="302"/>
      <c r="J1792" s="302"/>
      <c r="K1792" s="302"/>
      <c r="L1792" s="302"/>
      <c r="M1792" s="304"/>
      <c r="N1792" s="287" t="str">
        <f>IFERROR(
    IF(
        AND(
            VLOOKUP(B1792, 'รายชื่อพนักงานลาออกพ้นสภาพ'!B:I, 8, FALSE)&lt;&gt;"ยกเลิกลาออก",
            VLOOKUP(B1792, 'รายชื่อพนักงานลาออกพ้นสภาพ'!B:I, 7, FALSE)&lt;=TODAY()
        ),
        "ลาออกแล้ว",
        ""
    ),
"")</f>
        <v/>
      </c>
      <c r="O1792" s="292" t="str">
        <f t="array" ref="O1792:P1792">IFERROR(INDEX(PCRent!C:D, MATCH(F1792 &amp; " " &amp; G1792, PCRent!A:A &amp; " " &amp; PCRent!B:B, 0)), "")</f>
        <v/>
      </c>
      <c r="P1792" s="293"/>
      <c r="Q1792" s="294" t="str">
        <f t="array" ref="Q1792:R1792">IFERROR(INDEX(MonitorRent!C:D, MATCH(F1792 &amp; " " &amp; G1792, MonitorRent!A:A &amp; " " &amp; MonitorRent!B:B, 0)), "")</f>
        <v/>
      </c>
      <c r="R1792" s="295"/>
    </row>
    <row r="1793">
      <c r="A1793" s="284">
        <v>1790.0</v>
      </c>
      <c r="C1793" s="303"/>
      <c r="D1793" s="262"/>
      <c r="I1793" s="302"/>
      <c r="J1793" s="302"/>
      <c r="K1793" s="302"/>
      <c r="L1793" s="302"/>
      <c r="M1793" s="304"/>
      <c r="N1793" s="287" t="str">
        <f>IFERROR(
    IF(
        AND(
            VLOOKUP(B1793, 'รายชื่อพนักงานลาออกพ้นสภาพ'!B:I, 8, FALSE)&lt;&gt;"ยกเลิกลาออก",
            VLOOKUP(B1793, 'รายชื่อพนักงานลาออกพ้นสภาพ'!B:I, 7, FALSE)&lt;=TODAY()
        ),
        "ลาออกแล้ว",
        ""
    ),
"")</f>
        <v/>
      </c>
      <c r="O1793" s="292" t="str">
        <f t="array" ref="O1793:P1793">IFERROR(INDEX(PCRent!C:D, MATCH(F1793 &amp; " " &amp; G1793, PCRent!A:A &amp; " " &amp; PCRent!B:B, 0)), "")</f>
        <v/>
      </c>
      <c r="P1793" s="293"/>
      <c r="Q1793" s="294" t="str">
        <f t="array" ref="Q1793:R1793">IFERROR(INDEX(MonitorRent!C:D, MATCH(F1793 &amp; " " &amp; G1793, MonitorRent!A:A &amp; " " &amp; MonitorRent!B:B, 0)), "")</f>
        <v/>
      </c>
      <c r="R1793" s="295"/>
    </row>
    <row r="1794">
      <c r="A1794" s="284">
        <v>1791.0</v>
      </c>
      <c r="C1794" s="303"/>
      <c r="D1794" s="262"/>
      <c r="I1794" s="302"/>
      <c r="J1794" s="302"/>
      <c r="K1794" s="302"/>
      <c r="L1794" s="302"/>
      <c r="M1794" s="304"/>
      <c r="N1794" s="287" t="str">
        <f>IFERROR(
    IF(
        AND(
            VLOOKUP(B1794, 'รายชื่อพนักงานลาออกพ้นสภาพ'!B:I, 8, FALSE)&lt;&gt;"ยกเลิกลาออก",
            VLOOKUP(B1794, 'รายชื่อพนักงานลาออกพ้นสภาพ'!B:I, 7, FALSE)&lt;=TODAY()
        ),
        "ลาออกแล้ว",
        ""
    ),
"")</f>
        <v/>
      </c>
      <c r="O1794" s="292" t="str">
        <f t="array" ref="O1794:P1794">IFERROR(INDEX(PCRent!C:D, MATCH(F1794 &amp; " " &amp; G1794, PCRent!A:A &amp; " " &amp; PCRent!B:B, 0)), "")</f>
        <v/>
      </c>
      <c r="P1794" s="293"/>
      <c r="Q1794" s="294" t="str">
        <f t="array" ref="Q1794:R1794">IFERROR(INDEX(MonitorRent!C:D, MATCH(F1794 &amp; " " &amp; G1794, MonitorRent!A:A &amp; " " &amp; MonitorRent!B:B, 0)), "")</f>
        <v/>
      </c>
      <c r="R1794" s="295"/>
    </row>
    <row r="1795">
      <c r="A1795" s="284">
        <v>1792.0</v>
      </c>
      <c r="C1795" s="303"/>
      <c r="D1795" s="262"/>
      <c r="I1795" s="302"/>
      <c r="J1795" s="302"/>
      <c r="K1795" s="302"/>
      <c r="L1795" s="302"/>
      <c r="M1795" s="304"/>
      <c r="N1795" s="287" t="str">
        <f>IFERROR(
    IF(
        AND(
            VLOOKUP(B1795, 'รายชื่อพนักงานลาออกพ้นสภาพ'!B:I, 8, FALSE)&lt;&gt;"ยกเลิกลาออก",
            VLOOKUP(B1795, 'รายชื่อพนักงานลาออกพ้นสภาพ'!B:I, 7, FALSE)&lt;=TODAY()
        ),
        "ลาออกแล้ว",
        ""
    ),
"")</f>
        <v/>
      </c>
      <c r="O1795" s="292" t="str">
        <f t="array" ref="O1795:P1795">IFERROR(INDEX(PCRent!C:D, MATCH(F1795 &amp; " " &amp; G1795, PCRent!A:A &amp; " " &amp; PCRent!B:B, 0)), "")</f>
        <v/>
      </c>
      <c r="P1795" s="293"/>
      <c r="Q1795" s="294" t="str">
        <f t="array" ref="Q1795:R1795">IFERROR(INDEX(MonitorRent!C:D, MATCH(F1795 &amp; " " &amp; G1795, MonitorRent!A:A &amp; " " &amp; MonitorRent!B:B, 0)), "")</f>
        <v/>
      </c>
      <c r="R1795" s="295"/>
    </row>
    <row r="1796">
      <c r="A1796" s="284">
        <v>1793.0</v>
      </c>
      <c r="C1796" s="303"/>
      <c r="D1796" s="262"/>
      <c r="I1796" s="302"/>
      <c r="J1796" s="302"/>
      <c r="K1796" s="302"/>
      <c r="L1796" s="302"/>
      <c r="M1796" s="304"/>
      <c r="N1796" s="287" t="str">
        <f>IFERROR(
    IF(
        AND(
            VLOOKUP(B1796, 'รายชื่อพนักงานลาออกพ้นสภาพ'!B:I, 8, FALSE)&lt;&gt;"ยกเลิกลาออก",
            VLOOKUP(B1796, 'รายชื่อพนักงานลาออกพ้นสภาพ'!B:I, 7, FALSE)&lt;=TODAY()
        ),
        "ลาออกแล้ว",
        ""
    ),
"")</f>
        <v/>
      </c>
      <c r="O1796" s="292" t="str">
        <f t="array" ref="O1796:P1796">IFERROR(INDEX(PCRent!C:D, MATCH(F1796 &amp; " " &amp; G1796, PCRent!A:A &amp; " " &amp; PCRent!B:B, 0)), "")</f>
        <v/>
      </c>
      <c r="P1796" s="293"/>
      <c r="Q1796" s="294" t="str">
        <f t="array" ref="Q1796:R1796">IFERROR(INDEX(MonitorRent!C:D, MATCH(F1796 &amp; " " &amp; G1796, MonitorRent!A:A &amp; " " &amp; MonitorRent!B:B, 0)), "")</f>
        <v/>
      </c>
      <c r="R1796" s="295"/>
    </row>
    <row r="1797">
      <c r="A1797" s="284">
        <v>1794.0</v>
      </c>
      <c r="C1797" s="303"/>
      <c r="D1797" s="262"/>
      <c r="I1797" s="302"/>
      <c r="J1797" s="302"/>
      <c r="K1797" s="302"/>
      <c r="L1797" s="302"/>
      <c r="M1797" s="304"/>
      <c r="N1797" s="287" t="str">
        <f>IFERROR(
    IF(
        AND(
            VLOOKUP(B1797, 'รายชื่อพนักงานลาออกพ้นสภาพ'!B:I, 8, FALSE)&lt;&gt;"ยกเลิกลาออก",
            VLOOKUP(B1797, 'รายชื่อพนักงานลาออกพ้นสภาพ'!B:I, 7, FALSE)&lt;=TODAY()
        ),
        "ลาออกแล้ว",
        ""
    ),
"")</f>
        <v/>
      </c>
      <c r="O1797" s="292" t="str">
        <f t="array" ref="O1797:P1797">IFERROR(INDEX(PCRent!C:D, MATCH(F1797 &amp; " " &amp; G1797, PCRent!A:A &amp; " " &amp; PCRent!B:B, 0)), "")</f>
        <v/>
      </c>
      <c r="P1797" s="293"/>
      <c r="Q1797" s="294" t="str">
        <f t="array" ref="Q1797:R1797">IFERROR(INDEX(MonitorRent!C:D, MATCH(F1797 &amp; " " &amp; G1797, MonitorRent!A:A &amp; " " &amp; MonitorRent!B:B, 0)), "")</f>
        <v/>
      </c>
      <c r="R1797" s="295"/>
    </row>
    <row r="1798">
      <c r="A1798" s="284">
        <v>1795.0</v>
      </c>
      <c r="C1798" s="303"/>
      <c r="D1798" s="262"/>
      <c r="I1798" s="302"/>
      <c r="J1798" s="302"/>
      <c r="K1798" s="302"/>
      <c r="L1798" s="302"/>
      <c r="M1798" s="304"/>
      <c r="N1798" s="287" t="str">
        <f>IFERROR(
    IF(
        AND(
            VLOOKUP(B1798, 'รายชื่อพนักงานลาออกพ้นสภาพ'!B:I, 8, FALSE)&lt;&gt;"ยกเลิกลาออก",
            VLOOKUP(B1798, 'รายชื่อพนักงานลาออกพ้นสภาพ'!B:I, 7, FALSE)&lt;=TODAY()
        ),
        "ลาออกแล้ว",
        ""
    ),
"")</f>
        <v/>
      </c>
      <c r="O1798" s="292" t="str">
        <f t="array" ref="O1798:P1798">IFERROR(INDEX(PCRent!C:D, MATCH(F1798 &amp; " " &amp; G1798, PCRent!A:A &amp; " " &amp; PCRent!B:B, 0)), "")</f>
        <v/>
      </c>
      <c r="P1798" s="293"/>
      <c r="Q1798" s="294" t="str">
        <f t="array" ref="Q1798:R1798">IFERROR(INDEX(MonitorRent!C:D, MATCH(F1798 &amp; " " &amp; G1798, MonitorRent!A:A &amp; " " &amp; MonitorRent!B:B, 0)), "")</f>
        <v/>
      </c>
      <c r="R1798" s="295"/>
    </row>
    <row r="1799">
      <c r="A1799" s="284">
        <v>1796.0</v>
      </c>
      <c r="C1799" s="303"/>
      <c r="D1799" s="262"/>
      <c r="I1799" s="302"/>
      <c r="J1799" s="302"/>
      <c r="K1799" s="302"/>
      <c r="L1799" s="302"/>
      <c r="M1799" s="304"/>
      <c r="N1799" s="287" t="str">
        <f>IFERROR(
    IF(
        AND(
            VLOOKUP(B1799, 'รายชื่อพนักงานลาออกพ้นสภาพ'!B:I, 8, FALSE)&lt;&gt;"ยกเลิกลาออก",
            VLOOKUP(B1799, 'รายชื่อพนักงานลาออกพ้นสภาพ'!B:I, 7, FALSE)&lt;=TODAY()
        ),
        "ลาออกแล้ว",
        ""
    ),
"")</f>
        <v/>
      </c>
      <c r="O1799" s="292" t="str">
        <f t="array" ref="O1799:P1799">IFERROR(INDEX(PCRent!C:D, MATCH(F1799 &amp; " " &amp; G1799, PCRent!A:A &amp; " " &amp; PCRent!B:B, 0)), "")</f>
        <v/>
      </c>
      <c r="P1799" s="293"/>
      <c r="Q1799" s="294" t="str">
        <f t="array" ref="Q1799:R1799">IFERROR(INDEX(MonitorRent!C:D, MATCH(F1799 &amp; " " &amp; G1799, MonitorRent!A:A &amp; " " &amp; MonitorRent!B:B, 0)), "")</f>
        <v/>
      </c>
      <c r="R1799" s="295"/>
    </row>
    <row r="1800">
      <c r="A1800" s="284">
        <v>1797.0</v>
      </c>
      <c r="C1800" s="303"/>
      <c r="D1800" s="262"/>
      <c r="I1800" s="302"/>
      <c r="J1800" s="302"/>
      <c r="K1800" s="302"/>
      <c r="L1800" s="302"/>
      <c r="M1800" s="304"/>
      <c r="N1800" s="287" t="str">
        <f>IFERROR(
    IF(
        AND(
            VLOOKUP(B1800, 'รายชื่อพนักงานลาออกพ้นสภาพ'!B:I, 8, FALSE)&lt;&gt;"ยกเลิกลาออก",
            VLOOKUP(B1800, 'รายชื่อพนักงานลาออกพ้นสภาพ'!B:I, 7, FALSE)&lt;=TODAY()
        ),
        "ลาออกแล้ว",
        ""
    ),
"")</f>
        <v/>
      </c>
      <c r="O1800" s="292" t="str">
        <f t="array" ref="O1800:P1800">IFERROR(INDEX(PCRent!C:D, MATCH(F1800 &amp; " " &amp; G1800, PCRent!A:A &amp; " " &amp; PCRent!B:B, 0)), "")</f>
        <v/>
      </c>
      <c r="P1800" s="293"/>
      <c r="Q1800" s="294" t="str">
        <f t="array" ref="Q1800:R1800">IFERROR(INDEX(MonitorRent!C:D, MATCH(F1800 &amp; " " &amp; G1800, MonitorRent!A:A &amp; " " &amp; MonitorRent!B:B, 0)), "")</f>
        <v/>
      </c>
      <c r="R1800" s="295"/>
    </row>
  </sheetData>
  <mergeCells count="6">
    <mergeCell ref="B1:C2"/>
    <mergeCell ref="D1:E1"/>
    <mergeCell ref="F1:H2"/>
    <mergeCell ref="M1:O1"/>
    <mergeCell ref="M2:O2"/>
    <mergeCell ref="O3:R3"/>
  </mergeCells>
  <conditionalFormatting sqref="B1:C2">
    <cfRule type="notContainsBlanks" dxfId="2" priority="1">
      <formula>LEN(TRIM(B1))&gt;0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63C1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0"/>
    <col customWidth="1" min="2" max="2" width="18.75"/>
    <col customWidth="1" min="3" max="3" width="7.5"/>
    <col customWidth="1" min="4" max="4" width="4.75"/>
    <col customWidth="1" min="5" max="5" width="15.75"/>
    <col customWidth="1" min="6" max="6" width="15.13"/>
    <col customWidth="1" min="7" max="7" width="3.13"/>
    <col customWidth="1" min="8" max="8" width="2.88"/>
    <col customWidth="1" min="9" max="9" width="26.5"/>
    <col customWidth="1" min="10" max="10" width="0.75"/>
    <col customWidth="1" min="11" max="11" width="10.5"/>
    <col customWidth="1" min="12" max="12" width="7.88"/>
    <col customWidth="1" min="13" max="13" width="11.5"/>
    <col customWidth="1" min="14" max="15" width="10.75"/>
    <col customWidth="1" min="16" max="16" width="16.25"/>
    <col customWidth="1" min="17" max="17" width="16.75"/>
    <col customWidth="1" min="19" max="19" width="30.63"/>
  </cols>
  <sheetData>
    <row r="1" ht="28.5" customHeight="1">
      <c r="A1" s="305" t="s">
        <v>6909</v>
      </c>
      <c r="B1" s="306" t="s">
        <v>16539</v>
      </c>
      <c r="C1" s="307" t="s">
        <v>4921</v>
      </c>
      <c r="D1" s="99"/>
      <c r="E1" s="308" t="s">
        <v>16540</v>
      </c>
      <c r="F1" s="309" t="s">
        <v>16541</v>
      </c>
      <c r="I1" s="310" t="s">
        <v>16542</v>
      </c>
      <c r="K1" s="311" t="s">
        <v>16543</v>
      </c>
      <c r="L1" s="311" t="s">
        <v>6911</v>
      </c>
      <c r="M1" s="311" t="s">
        <v>16544</v>
      </c>
      <c r="N1" s="311" t="s">
        <v>16545</v>
      </c>
      <c r="O1" s="311" t="s">
        <v>1</v>
      </c>
      <c r="P1" s="312" t="s">
        <v>16546</v>
      </c>
      <c r="Q1" s="312" t="s">
        <v>9371</v>
      </c>
      <c r="R1" s="311" t="s">
        <v>16547</v>
      </c>
      <c r="S1" s="311" t="s">
        <v>16548</v>
      </c>
      <c r="T1" s="303"/>
      <c r="U1" s="303"/>
      <c r="V1" s="303"/>
    </row>
    <row r="2" ht="20.25" customHeight="1">
      <c r="A2" s="234">
        <v>1.0</v>
      </c>
      <c r="B2" s="313">
        <v>1.0</v>
      </c>
      <c r="C2" s="236"/>
      <c r="E2" s="314"/>
      <c r="F2" s="315">
        <v>1.0</v>
      </c>
      <c r="I2" s="316" t="s">
        <v>16549</v>
      </c>
      <c r="K2" s="317">
        <v>448.0</v>
      </c>
      <c r="L2" s="318">
        <v>1.0</v>
      </c>
      <c r="M2" s="319" t="s">
        <v>13231</v>
      </c>
      <c r="N2" s="319" t="s">
        <v>13232</v>
      </c>
      <c r="O2" s="319" t="s">
        <v>6920</v>
      </c>
      <c r="P2" s="320" t="s">
        <v>16550</v>
      </c>
      <c r="Q2" s="321" t="s">
        <v>16551</v>
      </c>
      <c r="R2" s="319" t="s">
        <v>6923</v>
      </c>
      <c r="S2" s="322" t="s">
        <v>16552</v>
      </c>
      <c r="T2" s="303"/>
      <c r="U2" s="303"/>
      <c r="V2" s="303"/>
    </row>
    <row r="3" ht="20.25" customHeight="1">
      <c r="A3" s="234" t="s">
        <v>6925</v>
      </c>
      <c r="B3" s="313">
        <v>9.0</v>
      </c>
      <c r="C3" s="236"/>
      <c r="E3" s="315">
        <v>8.0</v>
      </c>
      <c r="F3" s="315">
        <v>1.0</v>
      </c>
      <c r="I3" s="316" t="s">
        <v>16553</v>
      </c>
      <c r="K3" s="323">
        <v>448.0</v>
      </c>
      <c r="L3" s="324" t="s">
        <v>6925</v>
      </c>
      <c r="M3" s="325" t="s">
        <v>9421</v>
      </c>
      <c r="N3" s="325" t="s">
        <v>9422</v>
      </c>
      <c r="O3" s="325" t="s">
        <v>8667</v>
      </c>
      <c r="P3" s="325" t="s">
        <v>9425</v>
      </c>
      <c r="Q3" s="326" t="s">
        <v>16554</v>
      </c>
      <c r="R3" s="325" t="s">
        <v>8670</v>
      </c>
      <c r="S3" s="327" t="s">
        <v>8671</v>
      </c>
      <c r="T3" s="303"/>
      <c r="U3" s="303"/>
      <c r="V3" s="303"/>
    </row>
    <row r="4" ht="20.25" customHeight="1">
      <c r="A4" s="234">
        <v>2.0</v>
      </c>
      <c r="B4" s="313">
        <v>44.0</v>
      </c>
      <c r="C4" s="238"/>
      <c r="E4" s="315">
        <v>26.0</v>
      </c>
      <c r="F4" s="315">
        <v>18.0</v>
      </c>
      <c r="I4" s="328"/>
      <c r="K4" s="329">
        <v>448.0</v>
      </c>
      <c r="L4" s="330" t="s">
        <v>6925</v>
      </c>
      <c r="M4" s="331" t="s">
        <v>9416</v>
      </c>
      <c r="N4" s="331" t="s">
        <v>9417</v>
      </c>
      <c r="O4" s="331" t="s">
        <v>8688</v>
      </c>
      <c r="P4" s="332" t="s">
        <v>4818</v>
      </c>
      <c r="Q4" s="333" t="s">
        <v>16555</v>
      </c>
      <c r="R4" s="331" t="s">
        <v>8690</v>
      </c>
      <c r="S4" s="334" t="s">
        <v>7357</v>
      </c>
      <c r="T4" s="303"/>
      <c r="U4" s="303"/>
      <c r="V4" s="303"/>
    </row>
    <row r="5" ht="20.25" customHeight="1">
      <c r="A5" s="234">
        <v>3.0</v>
      </c>
      <c r="B5" s="313">
        <v>55.0</v>
      </c>
      <c r="C5" s="236"/>
      <c r="E5" s="315">
        <v>20.0</v>
      </c>
      <c r="F5" s="315">
        <v>35.0</v>
      </c>
      <c r="I5" s="328"/>
      <c r="K5" s="329">
        <v>448.0</v>
      </c>
      <c r="L5" s="330" t="s">
        <v>6925</v>
      </c>
      <c r="M5" s="331" t="s">
        <v>9428</v>
      </c>
      <c r="N5" s="331" t="s">
        <v>9429</v>
      </c>
      <c r="O5" s="331" t="s">
        <v>8680</v>
      </c>
      <c r="P5" s="332" t="s">
        <v>4818</v>
      </c>
      <c r="Q5" s="335" t="s">
        <v>16556</v>
      </c>
      <c r="R5" s="336"/>
      <c r="S5" s="337"/>
      <c r="T5" s="303"/>
      <c r="U5" s="303"/>
      <c r="V5" s="303"/>
    </row>
    <row r="6" ht="20.25" customHeight="1">
      <c r="A6" s="234">
        <v>4.0</v>
      </c>
      <c r="B6" s="313">
        <v>39.0</v>
      </c>
      <c r="C6" s="238"/>
      <c r="E6" s="315">
        <v>11.0</v>
      </c>
      <c r="F6" s="315">
        <v>28.0</v>
      </c>
      <c r="I6" s="328"/>
      <c r="K6" s="329">
        <v>448.0</v>
      </c>
      <c r="L6" s="330" t="s">
        <v>6925</v>
      </c>
      <c r="M6" s="331" t="s">
        <v>9406</v>
      </c>
      <c r="N6" s="331" t="s">
        <v>9407</v>
      </c>
      <c r="O6" s="331" t="s">
        <v>8675</v>
      </c>
      <c r="P6" s="331" t="s">
        <v>4835</v>
      </c>
      <c r="Q6" s="338" t="s">
        <v>16557</v>
      </c>
      <c r="R6" s="331" t="s">
        <v>8683</v>
      </c>
      <c r="S6" s="334" t="s">
        <v>6993</v>
      </c>
      <c r="T6" s="303"/>
      <c r="U6" s="303"/>
      <c r="V6" s="303"/>
    </row>
    <row r="7" ht="20.25" customHeight="1">
      <c r="A7" s="234">
        <v>5.0</v>
      </c>
      <c r="B7" s="313">
        <v>35.0</v>
      </c>
      <c r="C7" s="339">
        <v>26.0</v>
      </c>
      <c r="E7" s="315">
        <v>17.0</v>
      </c>
      <c r="F7" s="315">
        <v>18.0</v>
      </c>
      <c r="I7" s="328"/>
      <c r="K7" s="329">
        <v>448.0</v>
      </c>
      <c r="L7" s="330" t="s">
        <v>6925</v>
      </c>
      <c r="M7" s="331" t="s">
        <v>9393</v>
      </c>
      <c r="N7" s="331" t="s">
        <v>9394</v>
      </c>
      <c r="O7" s="331" t="s">
        <v>8692</v>
      </c>
      <c r="P7" s="340" t="s">
        <v>4756</v>
      </c>
      <c r="Q7" s="338" t="s">
        <v>16558</v>
      </c>
      <c r="R7" s="331" t="s">
        <v>8694</v>
      </c>
      <c r="S7" s="334" t="s">
        <v>7048</v>
      </c>
      <c r="T7" s="303"/>
      <c r="U7" s="303"/>
      <c r="V7" s="303"/>
    </row>
    <row r="8" ht="20.25" customHeight="1">
      <c r="A8" s="234">
        <v>6.0</v>
      </c>
      <c r="B8" s="313">
        <v>57.0</v>
      </c>
      <c r="C8" s="236"/>
      <c r="E8" s="315">
        <v>21.0</v>
      </c>
      <c r="F8" s="315">
        <v>36.0</v>
      </c>
      <c r="I8" s="328"/>
      <c r="K8" s="329">
        <v>448.0</v>
      </c>
      <c r="L8" s="330" t="s">
        <v>6925</v>
      </c>
      <c r="M8" s="331" t="s">
        <v>9411</v>
      </c>
      <c r="N8" s="331" t="s">
        <v>9412</v>
      </c>
      <c r="O8" s="331" t="s">
        <v>8672</v>
      </c>
      <c r="P8" s="340" t="s">
        <v>4756</v>
      </c>
      <c r="Q8" s="338" t="s">
        <v>16559</v>
      </c>
      <c r="R8" s="331" t="s">
        <v>8674</v>
      </c>
      <c r="S8" s="334" t="s">
        <v>7005</v>
      </c>
      <c r="T8" s="303"/>
      <c r="U8" s="303"/>
      <c r="V8" s="303"/>
    </row>
    <row r="9" ht="20.25" customHeight="1">
      <c r="A9" s="234">
        <v>7.0</v>
      </c>
      <c r="B9" s="313">
        <v>29.0</v>
      </c>
      <c r="C9" s="238"/>
      <c r="E9" s="315">
        <v>9.0</v>
      </c>
      <c r="F9" s="315">
        <v>20.0</v>
      </c>
      <c r="I9" s="328"/>
      <c r="K9" s="329">
        <v>448.0</v>
      </c>
      <c r="L9" s="330" t="s">
        <v>6925</v>
      </c>
      <c r="M9" s="331" t="s">
        <v>9433</v>
      </c>
      <c r="N9" s="331" t="s">
        <v>9434</v>
      </c>
      <c r="O9" s="331" t="s">
        <v>8685</v>
      </c>
      <c r="P9" s="331" t="s">
        <v>9404</v>
      </c>
      <c r="Q9" s="338" t="s">
        <v>16560</v>
      </c>
      <c r="R9" s="331" t="s">
        <v>8687</v>
      </c>
      <c r="S9" s="334" t="s">
        <v>6993</v>
      </c>
      <c r="T9" s="303"/>
      <c r="U9" s="303"/>
      <c r="V9" s="303"/>
    </row>
    <row r="10" ht="20.25" customHeight="1">
      <c r="A10" s="234">
        <v>8.0</v>
      </c>
      <c r="B10" s="313">
        <v>36.0</v>
      </c>
      <c r="C10" s="236"/>
      <c r="E10" s="315">
        <v>26.0</v>
      </c>
      <c r="F10" s="315">
        <v>10.0</v>
      </c>
      <c r="I10" s="328"/>
      <c r="K10" s="341">
        <v>448.0</v>
      </c>
      <c r="L10" s="330" t="s">
        <v>6925</v>
      </c>
      <c r="M10" s="331" t="s">
        <v>9386</v>
      </c>
      <c r="N10" s="331" t="s">
        <v>9387</v>
      </c>
      <c r="O10" s="331" t="s">
        <v>9384</v>
      </c>
      <c r="P10" s="331" t="s">
        <v>9390</v>
      </c>
      <c r="Q10" s="338" t="s">
        <v>16561</v>
      </c>
      <c r="R10" s="331" t="s">
        <v>8697</v>
      </c>
      <c r="S10" s="334" t="s">
        <v>7093</v>
      </c>
      <c r="T10" s="303"/>
      <c r="U10" s="303"/>
      <c r="V10" s="303"/>
    </row>
    <row r="11" ht="20.25" customHeight="1">
      <c r="A11" s="234">
        <v>9.0</v>
      </c>
      <c r="B11" s="313">
        <v>72.0</v>
      </c>
      <c r="C11" s="236"/>
      <c r="E11" s="315">
        <v>24.0</v>
      </c>
      <c r="F11" s="315">
        <v>48.0</v>
      </c>
      <c r="I11" s="328"/>
      <c r="K11" s="342">
        <v>448.0</v>
      </c>
      <c r="L11" s="343" t="s">
        <v>6925</v>
      </c>
      <c r="M11" s="344" t="s">
        <v>9400</v>
      </c>
      <c r="N11" s="344" t="s">
        <v>9401</v>
      </c>
      <c r="O11" s="344" t="s">
        <v>9398</v>
      </c>
      <c r="P11" s="344" t="s">
        <v>16562</v>
      </c>
      <c r="Q11" s="345" t="s">
        <v>16563</v>
      </c>
      <c r="R11" s="344" t="s">
        <v>8947</v>
      </c>
      <c r="S11" s="346" t="s">
        <v>6993</v>
      </c>
      <c r="T11" s="303"/>
      <c r="U11" s="303"/>
      <c r="V11" s="303"/>
    </row>
    <row r="12" ht="20.25" customHeight="1">
      <c r="A12" s="234">
        <v>10.0</v>
      </c>
      <c r="B12" s="313">
        <v>35.0</v>
      </c>
      <c r="C12" s="236"/>
      <c r="E12" s="315">
        <v>7.0</v>
      </c>
      <c r="F12" s="315">
        <v>28.0</v>
      </c>
      <c r="I12" s="316" t="s">
        <v>9231</v>
      </c>
      <c r="K12" s="323">
        <v>448.0</v>
      </c>
      <c r="L12" s="324">
        <v>2.0</v>
      </c>
      <c r="M12" s="325" t="s">
        <v>14174</v>
      </c>
      <c r="N12" s="325" t="s">
        <v>14175</v>
      </c>
      <c r="O12" s="325" t="s">
        <v>14172</v>
      </c>
      <c r="P12" s="347" t="s">
        <v>16564</v>
      </c>
      <c r="Q12" s="348"/>
      <c r="R12" s="348"/>
      <c r="S12" s="349"/>
      <c r="T12" s="303"/>
      <c r="U12" s="303"/>
      <c r="V12" s="303"/>
    </row>
    <row r="13" ht="20.25" customHeight="1">
      <c r="A13" s="234">
        <v>11.0</v>
      </c>
      <c r="B13" s="313">
        <v>13.0</v>
      </c>
      <c r="C13" s="236"/>
      <c r="E13" s="315">
        <v>4.0</v>
      </c>
      <c r="F13" s="315">
        <v>9.0</v>
      </c>
      <c r="I13" s="328"/>
      <c r="K13" s="329">
        <v>448.0</v>
      </c>
      <c r="L13" s="330">
        <v>2.0</v>
      </c>
      <c r="M13" s="331" t="s">
        <v>12179</v>
      </c>
      <c r="N13" s="331" t="s">
        <v>15866</v>
      </c>
      <c r="O13" s="331" t="s">
        <v>7087</v>
      </c>
      <c r="P13" s="331" t="s">
        <v>4805</v>
      </c>
      <c r="Q13" s="338" t="s">
        <v>16565</v>
      </c>
      <c r="R13" s="331" t="s">
        <v>7089</v>
      </c>
      <c r="S13" s="334" t="s">
        <v>6993</v>
      </c>
      <c r="T13" s="303"/>
      <c r="U13" s="303"/>
      <c r="V13" s="303"/>
    </row>
    <row r="14" ht="20.25" customHeight="1">
      <c r="A14" s="239">
        <v>12.0</v>
      </c>
      <c r="B14" s="350">
        <v>3.0</v>
      </c>
      <c r="C14" s="241"/>
      <c r="E14" s="315">
        <v>1.0</v>
      </c>
      <c r="F14" s="315">
        <v>2.0</v>
      </c>
      <c r="I14" s="328"/>
      <c r="K14" s="329">
        <v>448.0</v>
      </c>
      <c r="L14" s="330">
        <v>2.0</v>
      </c>
      <c r="M14" s="331" t="s">
        <v>15533</v>
      </c>
      <c r="N14" s="331" t="s">
        <v>15534</v>
      </c>
      <c r="O14" s="331" t="s">
        <v>4966</v>
      </c>
      <c r="P14" s="331" t="s">
        <v>2062</v>
      </c>
      <c r="Q14" s="338" t="s">
        <v>16566</v>
      </c>
      <c r="R14" s="331" t="s">
        <v>7126</v>
      </c>
      <c r="S14" s="334" t="s">
        <v>7070</v>
      </c>
      <c r="T14" s="303"/>
      <c r="U14" s="303"/>
      <c r="V14" s="303"/>
    </row>
    <row r="15" ht="20.25" customHeight="1">
      <c r="A15" s="242" t="s">
        <v>6996</v>
      </c>
      <c r="B15" s="243">
        <f t="shared" ref="B15:C15" si="1">SUM(B2:B14)</f>
        <v>428</v>
      </c>
      <c r="C15" s="243">
        <f t="shared" si="1"/>
        <v>26</v>
      </c>
      <c r="E15" s="351">
        <f t="shared" ref="E15:F15" si="2">SUM(E2:E14)</f>
        <v>174</v>
      </c>
      <c r="F15" s="352">
        <f t="shared" si="2"/>
        <v>254</v>
      </c>
      <c r="I15" s="328"/>
      <c r="K15" s="329">
        <v>448.0</v>
      </c>
      <c r="L15" s="330">
        <v>2.0</v>
      </c>
      <c r="M15" s="331" t="s">
        <v>15734</v>
      </c>
      <c r="N15" s="331" t="s">
        <v>9498</v>
      </c>
      <c r="O15" s="331" t="s">
        <v>15738</v>
      </c>
      <c r="P15" s="353" t="s">
        <v>2062</v>
      </c>
      <c r="Q15" s="354" t="s">
        <v>16567</v>
      </c>
      <c r="R15" s="331" t="s">
        <v>16568</v>
      </c>
      <c r="S15" s="334" t="s">
        <v>6993</v>
      </c>
      <c r="T15" s="303"/>
      <c r="U15" s="303"/>
      <c r="V15" s="303"/>
    </row>
    <row r="16" ht="20.25" customHeight="1">
      <c r="A16" s="244"/>
      <c r="B16" s="244"/>
      <c r="C16" s="244"/>
      <c r="E16" s="355"/>
      <c r="F16" s="355"/>
      <c r="I16" s="328"/>
      <c r="K16" s="329">
        <v>448.0</v>
      </c>
      <c r="L16" s="330">
        <v>2.0</v>
      </c>
      <c r="M16" s="331" t="s">
        <v>15248</v>
      </c>
      <c r="N16" s="331" t="s">
        <v>15249</v>
      </c>
      <c r="O16" s="331" t="s">
        <v>3152</v>
      </c>
      <c r="P16" s="356" t="s">
        <v>10056</v>
      </c>
      <c r="Q16" s="338" t="s">
        <v>16569</v>
      </c>
      <c r="R16" s="331" t="s">
        <v>16570</v>
      </c>
      <c r="S16" s="334" t="s">
        <v>7048</v>
      </c>
      <c r="T16" s="303"/>
      <c r="U16" s="303"/>
      <c r="V16" s="303"/>
    </row>
    <row r="17" ht="20.25" customHeight="1">
      <c r="A17" s="305" t="s">
        <v>7007</v>
      </c>
      <c r="B17" s="306" t="s">
        <v>16539</v>
      </c>
      <c r="C17" s="307" t="s">
        <v>4921</v>
      </c>
      <c r="E17" s="355"/>
      <c r="F17" s="355"/>
      <c r="I17" s="328"/>
      <c r="K17" s="329">
        <v>448.0</v>
      </c>
      <c r="L17" s="330">
        <v>2.0</v>
      </c>
      <c r="M17" s="331" t="s">
        <v>13607</v>
      </c>
      <c r="N17" s="331" t="s">
        <v>13608</v>
      </c>
      <c r="O17" s="331" t="s">
        <v>7096</v>
      </c>
      <c r="P17" s="356" t="s">
        <v>10056</v>
      </c>
      <c r="Q17" s="338" t="s">
        <v>16571</v>
      </c>
      <c r="R17" s="331" t="s">
        <v>7099</v>
      </c>
      <c r="S17" s="334" t="s">
        <v>6937</v>
      </c>
      <c r="T17" s="303"/>
      <c r="U17" s="303"/>
      <c r="V17" s="303"/>
    </row>
    <row r="18" ht="20.25" customHeight="1">
      <c r="A18" s="234">
        <v>1.0</v>
      </c>
      <c r="B18" s="313">
        <v>1.0</v>
      </c>
      <c r="C18" s="236"/>
      <c r="E18" s="315">
        <v>1.0</v>
      </c>
      <c r="F18" s="314"/>
      <c r="I18" s="328"/>
      <c r="K18" s="341">
        <v>448.0</v>
      </c>
      <c r="L18" s="330">
        <v>2.0</v>
      </c>
      <c r="M18" s="331" t="s">
        <v>13597</v>
      </c>
      <c r="N18" s="331" t="s">
        <v>9764</v>
      </c>
      <c r="O18" s="331" t="s">
        <v>7437</v>
      </c>
      <c r="P18" s="353" t="s">
        <v>9930</v>
      </c>
      <c r="Q18" s="338" t="s">
        <v>16572</v>
      </c>
      <c r="R18" s="331" t="s">
        <v>7439</v>
      </c>
      <c r="S18" s="334" t="s">
        <v>7157</v>
      </c>
      <c r="T18" s="303"/>
      <c r="U18" s="303"/>
      <c r="V18" s="303"/>
    </row>
    <row r="19" ht="20.25" customHeight="1">
      <c r="A19" s="234">
        <v>2.0</v>
      </c>
      <c r="B19" s="313">
        <v>10.0</v>
      </c>
      <c r="C19" s="236"/>
      <c r="E19" s="315">
        <v>4.0</v>
      </c>
      <c r="F19" s="315">
        <v>6.0</v>
      </c>
      <c r="I19" s="328"/>
      <c r="K19" s="329">
        <v>448.0</v>
      </c>
      <c r="L19" s="330">
        <v>2.0</v>
      </c>
      <c r="M19" s="331" t="s">
        <v>9980</v>
      </c>
      <c r="N19" s="331" t="s">
        <v>15663</v>
      </c>
      <c r="O19" s="331" t="s">
        <v>7103</v>
      </c>
      <c r="P19" s="357" t="s">
        <v>4756</v>
      </c>
      <c r="Q19" s="338" t="s">
        <v>16573</v>
      </c>
      <c r="R19" s="331" t="s">
        <v>16574</v>
      </c>
      <c r="S19" s="334" t="s">
        <v>7070</v>
      </c>
      <c r="T19" s="303"/>
      <c r="U19" s="303"/>
      <c r="V19" s="303"/>
    </row>
    <row r="20" ht="20.25" customHeight="1">
      <c r="A20" s="234">
        <v>3.0</v>
      </c>
      <c r="B20" s="313">
        <v>22.0</v>
      </c>
      <c r="C20" s="339">
        <v>3.0</v>
      </c>
      <c r="E20" s="315">
        <v>10.0</v>
      </c>
      <c r="F20" s="315">
        <v>7.0</v>
      </c>
      <c r="I20" s="328"/>
      <c r="K20" s="329">
        <v>448.0</v>
      </c>
      <c r="L20" s="330">
        <v>2.0</v>
      </c>
      <c r="M20" s="331" t="s">
        <v>13587</v>
      </c>
      <c r="N20" s="331" t="s">
        <v>13588</v>
      </c>
      <c r="O20" s="331" t="s">
        <v>7113</v>
      </c>
      <c r="P20" s="357" t="s">
        <v>4756</v>
      </c>
      <c r="Q20" s="338" t="s">
        <v>16575</v>
      </c>
      <c r="R20" s="331" t="s">
        <v>16576</v>
      </c>
      <c r="S20" s="334" t="s">
        <v>6993</v>
      </c>
      <c r="T20" s="303"/>
      <c r="U20" s="303"/>
      <c r="V20" s="303"/>
    </row>
    <row r="21" ht="20.25" customHeight="1">
      <c r="A21" s="234">
        <v>4.0</v>
      </c>
      <c r="B21" s="313">
        <v>39.0</v>
      </c>
      <c r="C21" s="238"/>
      <c r="E21" s="315">
        <v>17.0</v>
      </c>
      <c r="F21" s="315">
        <v>22.0</v>
      </c>
      <c r="I21" s="328"/>
      <c r="K21" s="341">
        <v>448.0</v>
      </c>
      <c r="L21" s="330">
        <v>2.0</v>
      </c>
      <c r="M21" s="331" t="s">
        <v>15440</v>
      </c>
      <c r="N21" s="331" t="s">
        <v>15441</v>
      </c>
      <c r="O21" s="331" t="s">
        <v>7090</v>
      </c>
      <c r="P21" s="331" t="s">
        <v>16577</v>
      </c>
      <c r="Q21" s="338" t="s">
        <v>16578</v>
      </c>
      <c r="R21" s="331" t="s">
        <v>7092</v>
      </c>
      <c r="S21" s="334" t="s">
        <v>7093</v>
      </c>
      <c r="T21" s="303"/>
      <c r="U21" s="303"/>
      <c r="V21" s="303"/>
    </row>
    <row r="22" ht="20.25" customHeight="1">
      <c r="A22" s="234">
        <v>5.0</v>
      </c>
      <c r="B22" s="313">
        <v>19.0</v>
      </c>
      <c r="C22" s="236"/>
      <c r="E22" s="315">
        <v>10.0</v>
      </c>
      <c r="F22" s="315">
        <v>16.0</v>
      </c>
      <c r="I22" s="328"/>
      <c r="K22" s="341">
        <v>448.0</v>
      </c>
      <c r="L22" s="330">
        <v>2.0</v>
      </c>
      <c r="M22" s="331" t="s">
        <v>13183</v>
      </c>
      <c r="N22" s="331" t="s">
        <v>13184</v>
      </c>
      <c r="O22" s="331" t="s">
        <v>13182</v>
      </c>
      <c r="P22" s="353" t="s">
        <v>13186</v>
      </c>
      <c r="Q22" s="338" t="s">
        <v>16579</v>
      </c>
      <c r="R22" s="336"/>
      <c r="S22" s="337"/>
      <c r="T22" s="303"/>
      <c r="U22" s="303"/>
      <c r="V22" s="303"/>
    </row>
    <row r="23" ht="20.25" customHeight="1">
      <c r="A23" s="239">
        <v>6.0</v>
      </c>
      <c r="B23" s="350">
        <v>15.0</v>
      </c>
      <c r="C23" s="358">
        <v>4.0</v>
      </c>
      <c r="E23" s="315">
        <v>8.0</v>
      </c>
      <c r="F23" s="315">
        <v>7.0</v>
      </c>
      <c r="I23" s="328"/>
      <c r="K23" s="341">
        <v>448.0</v>
      </c>
      <c r="L23" s="330">
        <v>2.0</v>
      </c>
      <c r="M23" s="331" t="s">
        <v>13451</v>
      </c>
      <c r="N23" s="331" t="s">
        <v>13452</v>
      </c>
      <c r="O23" s="331" t="s">
        <v>13450</v>
      </c>
      <c r="P23" s="331" t="s">
        <v>9552</v>
      </c>
      <c r="Q23" s="338" t="s">
        <v>16580</v>
      </c>
      <c r="R23" s="336"/>
      <c r="S23" s="337"/>
      <c r="T23" s="303"/>
      <c r="U23" s="303"/>
      <c r="V23" s="303"/>
    </row>
    <row r="24" ht="20.25" customHeight="1">
      <c r="A24" s="246" t="s">
        <v>6996</v>
      </c>
      <c r="B24" s="247">
        <f t="shared" ref="B24:C24" si="3">SUM(B18:B23)</f>
        <v>106</v>
      </c>
      <c r="C24" s="247">
        <f t="shared" si="3"/>
        <v>7</v>
      </c>
      <c r="E24" s="351">
        <f t="shared" ref="E24:F24" si="4">SUM(E18:E23)</f>
        <v>50</v>
      </c>
      <c r="F24" s="352">
        <f t="shared" si="4"/>
        <v>58</v>
      </c>
      <c r="I24" s="328"/>
      <c r="K24" s="329">
        <v>448.0</v>
      </c>
      <c r="L24" s="330">
        <v>2.0</v>
      </c>
      <c r="M24" s="331" t="s">
        <v>12570</v>
      </c>
      <c r="N24" s="331" t="s">
        <v>15821</v>
      </c>
      <c r="O24" s="331" t="s">
        <v>2431</v>
      </c>
      <c r="P24" s="357" t="s">
        <v>16581</v>
      </c>
      <c r="Q24" s="338" t="s">
        <v>16582</v>
      </c>
      <c r="R24" s="331" t="s">
        <v>7108</v>
      </c>
      <c r="S24" s="334" t="s">
        <v>7048</v>
      </c>
      <c r="T24" s="303"/>
      <c r="U24" s="303"/>
      <c r="V24" s="303"/>
    </row>
    <row r="25" ht="20.25" customHeight="1">
      <c r="A25" s="244"/>
      <c r="B25" s="244"/>
      <c r="C25" s="244"/>
      <c r="E25" s="355"/>
      <c r="F25" s="355"/>
      <c r="I25" s="328"/>
      <c r="K25" s="329">
        <v>448.0</v>
      </c>
      <c r="L25" s="330">
        <v>2.0</v>
      </c>
      <c r="M25" s="331" t="s">
        <v>9973</v>
      </c>
      <c r="N25" s="331" t="s">
        <v>9974</v>
      </c>
      <c r="O25" s="331" t="s">
        <v>9971</v>
      </c>
      <c r="P25" s="332" t="s">
        <v>16583</v>
      </c>
      <c r="Q25" s="353" t="s">
        <v>9976</v>
      </c>
      <c r="R25" s="331" t="s">
        <v>16584</v>
      </c>
      <c r="S25" s="334" t="s">
        <v>7750</v>
      </c>
      <c r="T25" s="303"/>
      <c r="U25" s="303"/>
      <c r="V25" s="303"/>
    </row>
    <row r="26" ht="20.25" customHeight="1">
      <c r="A26" s="359" t="s">
        <v>7056</v>
      </c>
      <c r="B26" s="306" t="s">
        <v>16539</v>
      </c>
      <c r="C26" s="307" t="s">
        <v>4921</v>
      </c>
      <c r="E26" s="355"/>
      <c r="F26" s="355"/>
      <c r="I26" s="328"/>
      <c r="K26" s="341">
        <v>448.0</v>
      </c>
      <c r="L26" s="330">
        <v>2.0</v>
      </c>
      <c r="M26" s="331" t="s">
        <v>15318</v>
      </c>
      <c r="N26" s="331" t="s">
        <v>15319</v>
      </c>
      <c r="O26" s="331" t="s">
        <v>15317</v>
      </c>
      <c r="P26" s="332" t="s">
        <v>16585</v>
      </c>
      <c r="Q26" s="338" t="s">
        <v>16586</v>
      </c>
      <c r="R26" s="336"/>
      <c r="S26" s="337"/>
      <c r="T26" s="303"/>
      <c r="U26" s="303"/>
      <c r="V26" s="303"/>
    </row>
    <row r="27" ht="20.25" customHeight="1">
      <c r="A27" s="234">
        <v>1.0</v>
      </c>
      <c r="B27" s="313">
        <v>13.0</v>
      </c>
      <c r="C27" s="236"/>
      <c r="E27" s="315">
        <v>3.0</v>
      </c>
      <c r="F27" s="315">
        <v>10.0</v>
      </c>
      <c r="I27" s="328"/>
      <c r="K27" s="342">
        <v>448.0</v>
      </c>
      <c r="L27" s="343">
        <v>2.0</v>
      </c>
      <c r="M27" s="344" t="s">
        <v>13721</v>
      </c>
      <c r="N27" s="344" t="s">
        <v>13722</v>
      </c>
      <c r="O27" s="344" t="s">
        <v>9221</v>
      </c>
      <c r="P27" s="360" t="s">
        <v>16587</v>
      </c>
      <c r="Q27" s="345" t="s">
        <v>16588</v>
      </c>
      <c r="R27" s="344" t="s">
        <v>9223</v>
      </c>
      <c r="S27" s="346" t="s">
        <v>8146</v>
      </c>
      <c r="T27" s="303"/>
      <c r="U27" s="303"/>
      <c r="V27" s="303"/>
    </row>
    <row r="28" ht="20.25" customHeight="1">
      <c r="A28" s="234">
        <v>2.0</v>
      </c>
      <c r="B28" s="313">
        <v>9.0</v>
      </c>
      <c r="C28" s="236"/>
      <c r="E28" s="315">
        <v>3.0</v>
      </c>
      <c r="F28" s="315">
        <v>6.0</v>
      </c>
      <c r="I28" s="316" t="s">
        <v>16589</v>
      </c>
      <c r="K28" s="361">
        <v>448.0</v>
      </c>
      <c r="L28" s="324">
        <v>2.0</v>
      </c>
      <c r="M28" s="325" t="s">
        <v>11606</v>
      </c>
      <c r="N28" s="325" t="s">
        <v>15066</v>
      </c>
      <c r="O28" s="325" t="s">
        <v>6932</v>
      </c>
      <c r="P28" s="362" t="s">
        <v>1392</v>
      </c>
      <c r="Q28" s="363" t="s">
        <v>16590</v>
      </c>
      <c r="R28" s="325" t="s">
        <v>6936</v>
      </c>
      <c r="S28" s="327" t="s">
        <v>6937</v>
      </c>
      <c r="T28" s="303"/>
      <c r="U28" s="303"/>
      <c r="V28" s="303"/>
    </row>
    <row r="29" ht="20.25" customHeight="1">
      <c r="A29" s="234">
        <v>3.0</v>
      </c>
      <c r="B29" s="313">
        <v>32.0</v>
      </c>
      <c r="C29" s="236"/>
      <c r="E29" s="315">
        <v>12.0</v>
      </c>
      <c r="F29" s="315">
        <v>20.0</v>
      </c>
      <c r="I29" s="328"/>
      <c r="K29" s="329">
        <v>448.0</v>
      </c>
      <c r="L29" s="330">
        <v>2.0</v>
      </c>
      <c r="M29" s="331" t="s">
        <v>14785</v>
      </c>
      <c r="N29" s="331" t="s">
        <v>14786</v>
      </c>
      <c r="O29" s="331" t="s">
        <v>6941</v>
      </c>
      <c r="P29" s="332" t="s">
        <v>4805</v>
      </c>
      <c r="Q29" s="338" t="s">
        <v>16591</v>
      </c>
      <c r="R29" s="331" t="s">
        <v>16592</v>
      </c>
      <c r="S29" s="334" t="s">
        <v>7853</v>
      </c>
      <c r="T29" s="303"/>
      <c r="U29" s="303"/>
      <c r="V29" s="303"/>
    </row>
    <row r="30" ht="20.25" customHeight="1">
      <c r="A30" s="249" t="s">
        <v>6996</v>
      </c>
      <c r="B30" s="250">
        <f t="shared" ref="B30:C30" si="5">SUM(B27:B29)</f>
        <v>54</v>
      </c>
      <c r="C30" s="250">
        <f t="shared" si="5"/>
        <v>0</v>
      </c>
      <c r="E30" s="351">
        <f t="shared" ref="E30:F30" si="6">SUM(E27:E29)</f>
        <v>18</v>
      </c>
      <c r="F30" s="352">
        <f t="shared" si="6"/>
        <v>36</v>
      </c>
      <c r="I30" s="328"/>
      <c r="K30" s="329">
        <v>448.0</v>
      </c>
      <c r="L30" s="330">
        <v>2.0</v>
      </c>
      <c r="M30" s="331" t="s">
        <v>14939</v>
      </c>
      <c r="N30" s="331" t="s">
        <v>14940</v>
      </c>
      <c r="O30" s="331" t="s">
        <v>6964</v>
      </c>
      <c r="P30" s="332" t="s">
        <v>14942</v>
      </c>
      <c r="Q30" s="335" t="s">
        <v>16593</v>
      </c>
      <c r="R30" s="331" t="s">
        <v>16594</v>
      </c>
      <c r="S30" s="334" t="s">
        <v>6993</v>
      </c>
      <c r="T30" s="303"/>
      <c r="U30" s="303"/>
      <c r="V30" s="303"/>
    </row>
    <row r="31" ht="20.25" customHeight="1">
      <c r="E31" s="355"/>
      <c r="F31" s="355"/>
      <c r="I31" s="328"/>
      <c r="K31" s="329">
        <v>448.0</v>
      </c>
      <c r="L31" s="330">
        <v>2.0</v>
      </c>
      <c r="M31" s="331" t="s">
        <v>12738</v>
      </c>
      <c r="N31" s="331" t="s">
        <v>16022</v>
      </c>
      <c r="O31" s="331" t="s">
        <v>6947</v>
      </c>
      <c r="P31" s="332" t="s">
        <v>4818</v>
      </c>
      <c r="Q31" s="335" t="s">
        <v>16595</v>
      </c>
      <c r="R31" s="331" t="s">
        <v>6950</v>
      </c>
      <c r="S31" s="334" t="s">
        <v>6937</v>
      </c>
      <c r="T31" s="303"/>
      <c r="U31" s="303"/>
      <c r="V31" s="303"/>
    </row>
    <row r="32" ht="20.25" customHeight="1">
      <c r="B32" s="364"/>
      <c r="C32" s="365"/>
      <c r="D32" s="365"/>
      <c r="E32" s="365"/>
      <c r="F32" s="365"/>
      <c r="G32" s="366"/>
      <c r="I32" s="328"/>
      <c r="K32" s="329">
        <v>448.0</v>
      </c>
      <c r="L32" s="330">
        <v>2.0</v>
      </c>
      <c r="M32" s="331" t="s">
        <v>11856</v>
      </c>
      <c r="N32" s="331" t="s">
        <v>14198</v>
      </c>
      <c r="O32" s="331" t="s">
        <v>7001</v>
      </c>
      <c r="P32" s="332" t="s">
        <v>4756</v>
      </c>
      <c r="Q32" s="335" t="s">
        <v>16596</v>
      </c>
      <c r="R32" s="331" t="s">
        <v>7004</v>
      </c>
      <c r="S32" s="334" t="s">
        <v>7005</v>
      </c>
      <c r="T32" s="303"/>
      <c r="U32" s="303"/>
      <c r="V32" s="303"/>
    </row>
    <row r="33" ht="20.25" customHeight="1">
      <c r="B33" s="367"/>
      <c r="E33" s="315" t="s">
        <v>16597</v>
      </c>
      <c r="F33" s="315" t="s">
        <v>16598</v>
      </c>
      <c r="G33" s="368"/>
      <c r="I33" s="328"/>
      <c r="K33" s="341">
        <v>448.0</v>
      </c>
      <c r="L33" s="330">
        <v>2.0</v>
      </c>
      <c r="M33" s="331" t="s">
        <v>15535</v>
      </c>
      <c r="N33" s="331" t="s">
        <v>15539</v>
      </c>
      <c r="O33" s="331" t="s">
        <v>6953</v>
      </c>
      <c r="P33" s="332" t="s">
        <v>15541</v>
      </c>
      <c r="Q33" s="335" t="s">
        <v>16599</v>
      </c>
      <c r="R33" s="331" t="s">
        <v>16600</v>
      </c>
      <c r="S33" s="334" t="s">
        <v>6928</v>
      </c>
      <c r="T33" s="303"/>
      <c r="U33" s="303"/>
      <c r="V33" s="303"/>
    </row>
    <row r="34" ht="20.25" customHeight="1">
      <c r="B34" s="369" t="s">
        <v>16601</v>
      </c>
      <c r="E34" s="351">
        <f t="shared" ref="E34:F34" si="7">SUM(E15,E24,E30)</f>
        <v>242</v>
      </c>
      <c r="F34" s="352">
        <f t="shared" si="7"/>
        <v>348</v>
      </c>
      <c r="G34" s="368"/>
      <c r="I34" s="328"/>
      <c r="K34" s="341">
        <v>448.0</v>
      </c>
      <c r="L34" s="330">
        <v>2.0</v>
      </c>
      <c r="M34" s="331" t="s">
        <v>14558</v>
      </c>
      <c r="N34" s="331" t="s">
        <v>14559</v>
      </c>
      <c r="O34" s="331" t="s">
        <v>7013</v>
      </c>
      <c r="P34" s="332" t="s">
        <v>2062</v>
      </c>
      <c r="Q34" s="335" t="s">
        <v>16602</v>
      </c>
      <c r="R34" s="331" t="s">
        <v>16603</v>
      </c>
      <c r="S34" s="334" t="s">
        <v>16604</v>
      </c>
      <c r="T34" s="303"/>
      <c r="U34" s="303"/>
      <c r="V34" s="303"/>
    </row>
    <row r="35" ht="20.25" customHeight="1">
      <c r="B35" s="370"/>
      <c r="C35" s="371"/>
      <c r="D35" s="371"/>
      <c r="E35" s="372"/>
      <c r="F35" s="372"/>
      <c r="G35" s="373"/>
      <c r="I35" s="328"/>
      <c r="K35" s="341">
        <v>448.0</v>
      </c>
      <c r="L35" s="330">
        <v>2.0</v>
      </c>
      <c r="M35" s="331" t="s">
        <v>15571</v>
      </c>
      <c r="N35" s="331" t="s">
        <v>15572</v>
      </c>
      <c r="O35" s="331" t="s">
        <v>7020</v>
      </c>
      <c r="P35" s="332" t="s">
        <v>4756</v>
      </c>
      <c r="Q35" s="335" t="s">
        <v>16605</v>
      </c>
      <c r="R35" s="374" t="s">
        <v>16606</v>
      </c>
      <c r="S35" s="375" t="s">
        <v>7031</v>
      </c>
      <c r="T35" s="303"/>
      <c r="U35" s="303"/>
      <c r="V35" s="303"/>
    </row>
    <row r="36" ht="20.25" customHeight="1">
      <c r="E36" s="355"/>
      <c r="F36" s="355"/>
      <c r="I36" s="328"/>
      <c r="K36" s="341">
        <v>448.0</v>
      </c>
      <c r="L36" s="330">
        <v>2.0</v>
      </c>
      <c r="M36" s="331" t="s">
        <v>13467</v>
      </c>
      <c r="N36" s="331" t="s">
        <v>13468</v>
      </c>
      <c r="O36" s="331" t="s">
        <v>7032</v>
      </c>
      <c r="P36" s="332" t="s">
        <v>13941</v>
      </c>
      <c r="Q36" s="338" t="s">
        <v>16607</v>
      </c>
      <c r="R36" s="374" t="s">
        <v>7035</v>
      </c>
      <c r="S36" s="375" t="s">
        <v>7036</v>
      </c>
      <c r="T36" s="303"/>
      <c r="U36" s="303"/>
      <c r="V36" s="303"/>
    </row>
    <row r="37" ht="20.25" customHeight="1">
      <c r="E37" s="355"/>
      <c r="F37" s="355"/>
      <c r="I37" s="328"/>
      <c r="K37" s="329">
        <v>448.0</v>
      </c>
      <c r="L37" s="330">
        <v>2.0</v>
      </c>
      <c r="M37" s="331" t="s">
        <v>10197</v>
      </c>
      <c r="N37" s="331" t="s">
        <v>13089</v>
      </c>
      <c r="O37" s="331" t="s">
        <v>7119</v>
      </c>
      <c r="P37" s="332" t="s">
        <v>4737</v>
      </c>
      <c r="Q37" s="353" t="s">
        <v>13091</v>
      </c>
      <c r="R37" s="331" t="s">
        <v>7122</v>
      </c>
      <c r="S37" s="334" t="s">
        <v>7048</v>
      </c>
      <c r="T37" s="303"/>
      <c r="U37" s="303"/>
      <c r="V37" s="303"/>
    </row>
    <row r="38" ht="20.25" customHeight="1">
      <c r="A38" s="23" t="s">
        <v>16608</v>
      </c>
      <c r="E38" s="355"/>
      <c r="F38" s="355"/>
      <c r="I38" s="328"/>
      <c r="K38" s="341">
        <v>448.0</v>
      </c>
      <c r="L38" s="330">
        <v>2.0</v>
      </c>
      <c r="M38" s="331" t="s">
        <v>15049</v>
      </c>
      <c r="N38" s="331" t="s">
        <v>15045</v>
      </c>
      <c r="O38" s="331" t="s">
        <v>7027</v>
      </c>
      <c r="P38" s="332" t="s">
        <v>13470</v>
      </c>
      <c r="Q38" s="335" t="s">
        <v>16609</v>
      </c>
      <c r="R38" s="331" t="s">
        <v>7029</v>
      </c>
      <c r="S38" s="334" t="s">
        <v>7017</v>
      </c>
      <c r="T38" s="303"/>
      <c r="U38" s="303"/>
      <c r="V38" s="303"/>
    </row>
    <row r="39" ht="20.25" customHeight="1">
      <c r="E39" s="355"/>
      <c r="F39" s="355"/>
      <c r="I39" s="328"/>
      <c r="K39" s="341">
        <v>448.0</v>
      </c>
      <c r="L39" s="330">
        <v>2.0</v>
      </c>
      <c r="M39" s="331" t="s">
        <v>14302</v>
      </c>
      <c r="N39" s="331" t="s">
        <v>14303</v>
      </c>
      <c r="O39" s="331" t="s">
        <v>7037</v>
      </c>
      <c r="P39" s="331" t="s">
        <v>9784</v>
      </c>
      <c r="Q39" s="338" t="s">
        <v>16610</v>
      </c>
      <c r="R39" s="374" t="s">
        <v>7040</v>
      </c>
      <c r="S39" s="375" t="s">
        <v>6969</v>
      </c>
      <c r="T39" s="303"/>
      <c r="U39" s="303"/>
      <c r="V39" s="303"/>
    </row>
    <row r="40" ht="20.25" customHeight="1">
      <c r="E40" s="355"/>
      <c r="F40" s="355"/>
      <c r="I40" s="328"/>
      <c r="K40" s="341">
        <v>448.0</v>
      </c>
      <c r="L40" s="330">
        <v>2.0</v>
      </c>
      <c r="M40" s="331" t="s">
        <v>13530</v>
      </c>
      <c r="N40" s="331" t="s">
        <v>13531</v>
      </c>
      <c r="O40" s="331" t="s">
        <v>7041</v>
      </c>
      <c r="P40" s="331" t="s">
        <v>9784</v>
      </c>
      <c r="Q40" s="338" t="s">
        <v>16611</v>
      </c>
      <c r="R40" s="331" t="s">
        <v>7043</v>
      </c>
      <c r="S40" s="334" t="s">
        <v>6928</v>
      </c>
      <c r="T40" s="303"/>
      <c r="U40" s="303"/>
      <c r="V40" s="303"/>
    </row>
    <row r="41" ht="20.25" customHeight="1">
      <c r="E41" s="355"/>
      <c r="F41" s="355"/>
      <c r="I41" s="328"/>
      <c r="K41" s="329">
        <v>448.0</v>
      </c>
      <c r="L41" s="330">
        <v>2.0</v>
      </c>
      <c r="M41" s="331" t="s">
        <v>13235</v>
      </c>
      <c r="N41" s="331" t="s">
        <v>13236</v>
      </c>
      <c r="O41" s="331" t="s">
        <v>7045</v>
      </c>
      <c r="P41" s="331" t="s">
        <v>9784</v>
      </c>
      <c r="Q41" s="338" t="s">
        <v>16612</v>
      </c>
      <c r="R41" s="331" t="s">
        <v>7047</v>
      </c>
      <c r="S41" s="334" t="s">
        <v>7048</v>
      </c>
      <c r="T41" s="303"/>
      <c r="U41" s="303"/>
      <c r="V41" s="303"/>
    </row>
    <row r="42" ht="20.25" customHeight="1">
      <c r="E42" s="355"/>
      <c r="F42" s="355"/>
      <c r="I42" s="328"/>
      <c r="K42" s="341">
        <v>448.0</v>
      </c>
      <c r="L42" s="330">
        <v>2.0</v>
      </c>
      <c r="M42" s="331" t="s">
        <v>11836</v>
      </c>
      <c r="N42" s="331" t="s">
        <v>15352</v>
      </c>
      <c r="O42" s="331" t="s">
        <v>7051</v>
      </c>
      <c r="P42" s="331" t="s">
        <v>9784</v>
      </c>
      <c r="Q42" s="338" t="s">
        <v>16613</v>
      </c>
      <c r="R42" s="374" t="s">
        <v>16614</v>
      </c>
      <c r="S42" s="375" t="s">
        <v>6939</v>
      </c>
      <c r="T42" s="303"/>
      <c r="U42" s="303"/>
      <c r="V42" s="303"/>
    </row>
    <row r="43" ht="20.25" customHeight="1">
      <c r="E43" s="355"/>
      <c r="F43" s="355"/>
      <c r="I43" s="328"/>
      <c r="K43" s="329">
        <v>448.0</v>
      </c>
      <c r="L43" s="330">
        <v>2.0</v>
      </c>
      <c r="M43" s="331" t="s">
        <v>15182</v>
      </c>
      <c r="N43" s="331" t="s">
        <v>15183</v>
      </c>
      <c r="O43" s="331" t="s">
        <v>6959</v>
      </c>
      <c r="P43" s="332" t="s">
        <v>4818</v>
      </c>
      <c r="Q43" s="335" t="s">
        <v>16615</v>
      </c>
      <c r="R43" s="331" t="s">
        <v>16616</v>
      </c>
      <c r="S43" s="334" t="s">
        <v>7750</v>
      </c>
      <c r="T43" s="303"/>
      <c r="U43" s="303"/>
      <c r="V43" s="303"/>
    </row>
    <row r="44" ht="20.25" customHeight="1">
      <c r="E44" s="355"/>
      <c r="F44" s="355"/>
      <c r="I44" s="328"/>
      <c r="K44" s="329">
        <v>448.0</v>
      </c>
      <c r="L44" s="330">
        <v>2.0</v>
      </c>
      <c r="M44" s="331" t="s">
        <v>14906</v>
      </c>
      <c r="N44" s="331" t="s">
        <v>14907</v>
      </c>
      <c r="O44" s="331" t="s">
        <v>6974</v>
      </c>
      <c r="P44" s="332" t="s">
        <v>4835</v>
      </c>
      <c r="Q44" s="335" t="s">
        <v>16617</v>
      </c>
      <c r="R44" s="331" t="s">
        <v>16618</v>
      </c>
      <c r="S44" s="334" t="s">
        <v>6993</v>
      </c>
      <c r="T44" s="303"/>
      <c r="U44" s="303"/>
      <c r="V44" s="303"/>
    </row>
    <row r="45" ht="20.25" customHeight="1">
      <c r="E45" s="355"/>
      <c r="F45" s="355"/>
      <c r="I45" s="328"/>
      <c r="K45" s="341">
        <v>448.0</v>
      </c>
      <c r="L45" s="330">
        <v>2.0</v>
      </c>
      <c r="M45" s="331" t="s">
        <v>13938</v>
      </c>
      <c r="N45" s="331" t="s">
        <v>13939</v>
      </c>
      <c r="O45" s="331" t="s">
        <v>6970</v>
      </c>
      <c r="P45" s="332" t="s">
        <v>13941</v>
      </c>
      <c r="Q45" s="335" t="s">
        <v>16619</v>
      </c>
      <c r="R45" s="331" t="s">
        <v>6972</v>
      </c>
      <c r="S45" s="334" t="s">
        <v>6928</v>
      </c>
      <c r="T45" s="303"/>
      <c r="U45" s="303"/>
      <c r="V45" s="303"/>
    </row>
    <row r="46" ht="20.25" customHeight="1">
      <c r="E46" s="355"/>
      <c r="F46" s="355"/>
      <c r="I46" s="328"/>
      <c r="K46" s="329">
        <v>448.0</v>
      </c>
      <c r="L46" s="330">
        <v>2.0</v>
      </c>
      <c r="M46" s="331" t="s">
        <v>15778</v>
      </c>
      <c r="N46" s="331" t="s">
        <v>15779</v>
      </c>
      <c r="O46" s="331" t="s">
        <v>6997</v>
      </c>
      <c r="P46" s="340" t="s">
        <v>13087</v>
      </c>
      <c r="Q46" s="338" t="s">
        <v>16620</v>
      </c>
      <c r="R46" s="331" t="s">
        <v>6999</v>
      </c>
      <c r="S46" s="334" t="s">
        <v>6993</v>
      </c>
      <c r="T46" s="303"/>
      <c r="U46" s="303"/>
      <c r="V46" s="303"/>
    </row>
    <row r="47" ht="20.25" customHeight="1">
      <c r="E47" s="355"/>
      <c r="F47" s="355"/>
      <c r="I47" s="328"/>
      <c r="K47" s="329">
        <v>448.0</v>
      </c>
      <c r="L47" s="330">
        <v>2.0</v>
      </c>
      <c r="M47" s="331" t="s">
        <v>13874</v>
      </c>
      <c r="N47" s="331" t="s">
        <v>13875</v>
      </c>
      <c r="O47" s="331" t="s">
        <v>6980</v>
      </c>
      <c r="P47" s="340" t="s">
        <v>12506</v>
      </c>
      <c r="Q47" s="338" t="s">
        <v>16621</v>
      </c>
      <c r="R47" s="331" t="s">
        <v>6982</v>
      </c>
      <c r="S47" s="376" t="s">
        <v>6983</v>
      </c>
      <c r="T47" s="303"/>
      <c r="U47" s="303"/>
      <c r="V47" s="303"/>
    </row>
    <row r="48" ht="20.25" customHeight="1">
      <c r="E48" s="355"/>
      <c r="F48" s="355"/>
      <c r="I48" s="328"/>
      <c r="K48" s="329">
        <v>448.0</v>
      </c>
      <c r="L48" s="330">
        <v>2.0</v>
      </c>
      <c r="M48" s="331" t="s">
        <v>13696</v>
      </c>
      <c r="N48" s="331" t="s">
        <v>13697</v>
      </c>
      <c r="O48" s="331" t="s">
        <v>6985</v>
      </c>
      <c r="P48" s="377" t="s">
        <v>13181</v>
      </c>
      <c r="Q48" s="333" t="s">
        <v>16622</v>
      </c>
      <c r="R48" s="331" t="s">
        <v>6987</v>
      </c>
      <c r="S48" s="334" t="s">
        <v>6988</v>
      </c>
      <c r="T48" s="303"/>
      <c r="U48" s="303"/>
      <c r="V48" s="303"/>
    </row>
    <row r="49" ht="20.25" customHeight="1">
      <c r="E49" s="355"/>
      <c r="F49" s="355"/>
      <c r="I49" s="328"/>
      <c r="K49" s="329">
        <v>448.0</v>
      </c>
      <c r="L49" s="330">
        <v>2.0</v>
      </c>
      <c r="M49" s="331" t="s">
        <v>14806</v>
      </c>
      <c r="N49" s="331" t="s">
        <v>14807</v>
      </c>
      <c r="O49" s="331" t="s">
        <v>6990</v>
      </c>
      <c r="P49" s="331" t="s">
        <v>13181</v>
      </c>
      <c r="Q49" s="338" t="s">
        <v>16623</v>
      </c>
      <c r="R49" s="331" t="s">
        <v>6992</v>
      </c>
      <c r="S49" s="334" t="s">
        <v>6993</v>
      </c>
      <c r="T49" s="303"/>
      <c r="U49" s="303"/>
      <c r="V49" s="303"/>
    </row>
    <row r="50" ht="20.25" customHeight="1">
      <c r="E50" s="355"/>
      <c r="F50" s="355"/>
      <c r="I50" s="328"/>
      <c r="K50" s="329">
        <v>448.0</v>
      </c>
      <c r="L50" s="330">
        <v>2.0</v>
      </c>
      <c r="M50" s="331" t="s">
        <v>11638</v>
      </c>
      <c r="N50" s="331" t="s">
        <v>15121</v>
      </c>
      <c r="O50" s="331" t="s">
        <v>7008</v>
      </c>
      <c r="P50" s="331" t="s">
        <v>16624</v>
      </c>
      <c r="Q50" s="338" t="s">
        <v>16625</v>
      </c>
      <c r="R50" s="331" t="s">
        <v>7010</v>
      </c>
      <c r="S50" s="334" t="s">
        <v>6993</v>
      </c>
      <c r="T50" s="303"/>
      <c r="U50" s="303"/>
      <c r="V50" s="303"/>
    </row>
    <row r="51" ht="20.25" customHeight="1">
      <c r="E51" s="355"/>
      <c r="F51" s="355"/>
      <c r="I51" s="328"/>
      <c r="K51" s="329">
        <v>448.0</v>
      </c>
      <c r="L51" s="330">
        <v>2.0</v>
      </c>
      <c r="M51" s="331" t="s">
        <v>14570</v>
      </c>
      <c r="N51" s="331" t="s">
        <v>14571</v>
      </c>
      <c r="O51" s="331" t="s">
        <v>7058</v>
      </c>
      <c r="P51" s="353" t="s">
        <v>4818</v>
      </c>
      <c r="Q51" s="338" t="s">
        <v>16626</v>
      </c>
      <c r="R51" s="331" t="s">
        <v>7061</v>
      </c>
      <c r="S51" s="376" t="s">
        <v>7062</v>
      </c>
      <c r="T51" s="303"/>
      <c r="U51" s="303"/>
      <c r="V51" s="303"/>
    </row>
    <row r="52" ht="20.25" customHeight="1">
      <c r="E52" s="355"/>
      <c r="F52" s="355"/>
      <c r="I52" s="328"/>
      <c r="K52" s="329">
        <v>448.0</v>
      </c>
      <c r="L52" s="330">
        <v>2.0</v>
      </c>
      <c r="M52" s="331" t="s">
        <v>13951</v>
      </c>
      <c r="N52" s="331" t="s">
        <v>13952</v>
      </c>
      <c r="O52" s="331" t="s">
        <v>7063</v>
      </c>
      <c r="P52" s="353" t="s">
        <v>4818</v>
      </c>
      <c r="Q52" s="378" t="s">
        <v>16627</v>
      </c>
      <c r="R52" s="331" t="s">
        <v>7065</v>
      </c>
      <c r="S52" s="334" t="s">
        <v>6993</v>
      </c>
      <c r="T52" s="303"/>
      <c r="U52" s="303"/>
      <c r="V52" s="303"/>
    </row>
    <row r="53" ht="20.25" customHeight="1">
      <c r="E53" s="355"/>
      <c r="F53" s="355"/>
      <c r="I53" s="328"/>
      <c r="K53" s="329">
        <v>448.0</v>
      </c>
      <c r="L53" s="330">
        <v>2.0</v>
      </c>
      <c r="M53" s="331" t="s">
        <v>13461</v>
      </c>
      <c r="N53" s="331" t="s">
        <v>13462</v>
      </c>
      <c r="O53" s="331" t="s">
        <v>7075</v>
      </c>
      <c r="P53" s="353" t="s">
        <v>13465</v>
      </c>
      <c r="Q53" s="338" t="s">
        <v>16628</v>
      </c>
      <c r="R53" s="331" t="s">
        <v>7077</v>
      </c>
      <c r="S53" s="376" t="s">
        <v>7062</v>
      </c>
      <c r="T53" s="303"/>
      <c r="U53" s="303"/>
      <c r="V53" s="303"/>
    </row>
    <row r="54" ht="20.25" customHeight="1">
      <c r="E54" s="355"/>
      <c r="F54" s="355"/>
      <c r="I54" s="328"/>
      <c r="K54" s="329">
        <v>448.0</v>
      </c>
      <c r="L54" s="330">
        <v>2.0</v>
      </c>
      <c r="M54" s="331" t="s">
        <v>10774</v>
      </c>
      <c r="N54" s="331" t="s">
        <v>13800</v>
      </c>
      <c r="O54" s="331" t="s">
        <v>7072</v>
      </c>
      <c r="P54" s="353" t="s">
        <v>16629</v>
      </c>
      <c r="Q54" s="338" t="s">
        <v>16630</v>
      </c>
      <c r="R54" s="331" t="s">
        <v>7074</v>
      </c>
      <c r="S54" s="334" t="s">
        <v>7070</v>
      </c>
      <c r="T54" s="303"/>
      <c r="U54" s="303"/>
      <c r="V54" s="303"/>
    </row>
    <row r="55" ht="20.25" customHeight="1">
      <c r="E55" s="355"/>
      <c r="F55" s="355"/>
      <c r="I55" s="328"/>
      <c r="K55" s="342">
        <v>448.0</v>
      </c>
      <c r="L55" s="343">
        <v>2.0</v>
      </c>
      <c r="M55" s="344" t="s">
        <v>15482</v>
      </c>
      <c r="N55" s="344" t="s">
        <v>15483</v>
      </c>
      <c r="O55" s="344" t="s">
        <v>7066</v>
      </c>
      <c r="P55" s="344" t="s">
        <v>10549</v>
      </c>
      <c r="Q55" s="379" t="s">
        <v>16631</v>
      </c>
      <c r="R55" s="344" t="s">
        <v>7069</v>
      </c>
      <c r="S55" s="346" t="s">
        <v>7070</v>
      </c>
      <c r="T55" s="303"/>
      <c r="U55" s="303"/>
      <c r="V55" s="303"/>
    </row>
    <row r="56" ht="20.25" customHeight="1">
      <c r="E56" s="355"/>
      <c r="F56" s="355"/>
      <c r="I56" s="316" t="s">
        <v>16632</v>
      </c>
      <c r="K56" s="323">
        <v>448.0</v>
      </c>
      <c r="L56" s="324">
        <v>3.0</v>
      </c>
      <c r="M56" s="325" t="s">
        <v>9602</v>
      </c>
      <c r="N56" s="325" t="s">
        <v>13831</v>
      </c>
      <c r="O56" s="325" t="s">
        <v>7163</v>
      </c>
      <c r="P56" s="380" t="s">
        <v>2062</v>
      </c>
      <c r="Q56" s="326" t="s">
        <v>16633</v>
      </c>
      <c r="R56" s="325" t="s">
        <v>16634</v>
      </c>
      <c r="S56" s="327" t="s">
        <v>6928</v>
      </c>
      <c r="T56" s="303"/>
      <c r="U56" s="303"/>
      <c r="V56" s="303"/>
    </row>
    <row r="57" ht="20.25" customHeight="1">
      <c r="E57" s="355"/>
      <c r="F57" s="355"/>
      <c r="I57" s="328"/>
      <c r="K57" s="341">
        <v>448.0</v>
      </c>
      <c r="L57" s="330">
        <v>3.0</v>
      </c>
      <c r="M57" s="331" t="s">
        <v>13561</v>
      </c>
      <c r="N57" s="331" t="s">
        <v>13562</v>
      </c>
      <c r="O57" s="331" t="s">
        <v>7169</v>
      </c>
      <c r="P57" s="332" t="s">
        <v>4818</v>
      </c>
      <c r="Q57" s="331" t="s">
        <v>13563</v>
      </c>
      <c r="R57" s="331" t="s">
        <v>7171</v>
      </c>
      <c r="S57" s="334" t="s">
        <v>6928</v>
      </c>
      <c r="T57" s="303"/>
      <c r="U57" s="303"/>
      <c r="V57" s="303"/>
    </row>
    <row r="58" ht="20.25" customHeight="1">
      <c r="E58" s="355"/>
      <c r="F58" s="355"/>
      <c r="I58" s="328"/>
      <c r="K58" s="341">
        <v>448.0</v>
      </c>
      <c r="L58" s="330">
        <v>3.0</v>
      </c>
      <c r="M58" s="331" t="s">
        <v>14222</v>
      </c>
      <c r="N58" s="331" t="s">
        <v>14223</v>
      </c>
      <c r="O58" s="331" t="s">
        <v>7174</v>
      </c>
      <c r="P58" s="332" t="s">
        <v>4835</v>
      </c>
      <c r="Q58" s="335" t="s">
        <v>16635</v>
      </c>
      <c r="R58" s="331" t="s">
        <v>7176</v>
      </c>
      <c r="S58" s="334" t="s">
        <v>6928</v>
      </c>
      <c r="T58" s="303"/>
      <c r="U58" s="303"/>
      <c r="V58" s="303"/>
    </row>
    <row r="59" ht="20.25" customHeight="1">
      <c r="E59" s="355"/>
      <c r="F59" s="355"/>
      <c r="I59" s="328"/>
      <c r="K59" s="341">
        <v>448.0</v>
      </c>
      <c r="L59" s="330">
        <v>3.0</v>
      </c>
      <c r="M59" s="331" t="s">
        <v>13183</v>
      </c>
      <c r="N59" s="331" t="s">
        <v>13189</v>
      </c>
      <c r="O59" s="331" t="s">
        <v>7178</v>
      </c>
      <c r="P59" s="332" t="s">
        <v>4835</v>
      </c>
      <c r="Q59" s="332" t="s">
        <v>16636</v>
      </c>
      <c r="R59" s="331" t="s">
        <v>7180</v>
      </c>
      <c r="S59" s="376" t="s">
        <v>6928</v>
      </c>
      <c r="T59" s="303"/>
      <c r="U59" s="303"/>
      <c r="V59" s="303"/>
    </row>
    <row r="60" ht="20.25" customHeight="1">
      <c r="E60" s="355"/>
      <c r="F60" s="355"/>
      <c r="I60" s="328"/>
      <c r="K60" s="341">
        <v>448.0</v>
      </c>
      <c r="L60" s="330">
        <v>3.0</v>
      </c>
      <c r="M60" s="331" t="s">
        <v>14206</v>
      </c>
      <c r="N60" s="331" t="s">
        <v>14207</v>
      </c>
      <c r="O60" s="331" t="s">
        <v>7234</v>
      </c>
      <c r="P60" s="381" t="s">
        <v>10056</v>
      </c>
      <c r="Q60" s="332" t="s">
        <v>14208</v>
      </c>
      <c r="R60" s="331" t="s">
        <v>7236</v>
      </c>
      <c r="S60" s="334" t="s">
        <v>6928</v>
      </c>
      <c r="T60" s="303"/>
      <c r="U60" s="303"/>
      <c r="V60" s="303"/>
    </row>
    <row r="61" ht="20.25" customHeight="1">
      <c r="E61" s="355"/>
      <c r="F61" s="355"/>
      <c r="I61" s="328"/>
      <c r="K61" s="341">
        <v>448.0</v>
      </c>
      <c r="L61" s="330">
        <v>3.0</v>
      </c>
      <c r="M61" s="331" t="s">
        <v>15027</v>
      </c>
      <c r="N61" s="331" t="s">
        <v>15028</v>
      </c>
      <c r="O61" s="331" t="s">
        <v>7212</v>
      </c>
      <c r="P61" s="381" t="s">
        <v>10056</v>
      </c>
      <c r="Q61" s="381" t="s">
        <v>15030</v>
      </c>
      <c r="R61" s="331" t="s">
        <v>7214</v>
      </c>
      <c r="S61" s="334" t="s">
        <v>6928</v>
      </c>
      <c r="T61" s="303"/>
      <c r="U61" s="303"/>
      <c r="V61" s="303"/>
    </row>
    <row r="62" ht="20.25" customHeight="1">
      <c r="E62" s="355"/>
      <c r="F62" s="355"/>
      <c r="I62" s="328"/>
      <c r="K62" s="341">
        <v>448.0</v>
      </c>
      <c r="L62" s="330">
        <v>3.0</v>
      </c>
      <c r="M62" s="331" t="s">
        <v>9719</v>
      </c>
      <c r="N62" s="331" t="s">
        <v>14472</v>
      </c>
      <c r="O62" s="331" t="s">
        <v>7182</v>
      </c>
      <c r="P62" s="381" t="s">
        <v>4756</v>
      </c>
      <c r="Q62" s="335" t="s">
        <v>16637</v>
      </c>
      <c r="R62" s="331" t="s">
        <v>16638</v>
      </c>
      <c r="S62" s="376" t="s">
        <v>7017</v>
      </c>
      <c r="T62" s="303"/>
      <c r="U62" s="303"/>
      <c r="V62" s="303"/>
    </row>
    <row r="63" ht="20.25" customHeight="1">
      <c r="E63" s="355"/>
      <c r="F63" s="355"/>
      <c r="I63" s="328"/>
      <c r="K63" s="341">
        <v>448.0</v>
      </c>
      <c r="L63" s="330">
        <v>3.0</v>
      </c>
      <c r="M63" s="331" t="s">
        <v>12883</v>
      </c>
      <c r="N63" s="331" t="s">
        <v>15363</v>
      </c>
      <c r="O63" s="331" t="s">
        <v>7224</v>
      </c>
      <c r="P63" s="381" t="s">
        <v>9836</v>
      </c>
      <c r="Q63" s="381" t="s">
        <v>15364</v>
      </c>
      <c r="R63" s="331" t="s">
        <v>7226</v>
      </c>
      <c r="S63" s="334" t="s">
        <v>6928</v>
      </c>
      <c r="T63" s="303"/>
      <c r="U63" s="303"/>
      <c r="V63" s="303"/>
    </row>
    <row r="64" ht="20.25" customHeight="1">
      <c r="E64" s="355"/>
      <c r="F64" s="355"/>
      <c r="I64" s="328"/>
      <c r="K64" s="341">
        <v>448.0</v>
      </c>
      <c r="L64" s="330">
        <v>3.0</v>
      </c>
      <c r="M64" s="331" t="s">
        <v>14091</v>
      </c>
      <c r="N64" s="331" t="s">
        <v>14092</v>
      </c>
      <c r="O64" s="331" t="s">
        <v>7188</v>
      </c>
      <c r="P64" s="381" t="s">
        <v>9836</v>
      </c>
      <c r="Q64" s="338" t="s">
        <v>16639</v>
      </c>
      <c r="R64" s="336"/>
      <c r="S64" s="337"/>
      <c r="T64" s="303"/>
      <c r="U64" s="303"/>
      <c r="V64" s="303"/>
    </row>
    <row r="65" ht="20.25" customHeight="1">
      <c r="E65" s="355"/>
      <c r="F65" s="355"/>
      <c r="I65" s="328"/>
      <c r="K65" s="341">
        <v>448.0</v>
      </c>
      <c r="L65" s="330">
        <v>3.0</v>
      </c>
      <c r="M65" s="331" t="s">
        <v>15824</v>
      </c>
      <c r="N65" s="331" t="s">
        <v>15162</v>
      </c>
      <c r="O65" s="331" t="s">
        <v>7220</v>
      </c>
      <c r="P65" s="381" t="s">
        <v>9836</v>
      </c>
      <c r="Q65" s="335" t="s">
        <v>16640</v>
      </c>
      <c r="R65" s="331" t="s">
        <v>7222</v>
      </c>
      <c r="S65" s="334" t="s">
        <v>6928</v>
      </c>
      <c r="T65" s="303"/>
      <c r="U65" s="303"/>
      <c r="V65" s="303"/>
    </row>
    <row r="66" ht="20.25" customHeight="1">
      <c r="E66" s="355"/>
      <c r="F66" s="355"/>
      <c r="I66" s="328"/>
      <c r="K66" s="341">
        <v>448.0</v>
      </c>
      <c r="L66" s="330">
        <v>3.0</v>
      </c>
      <c r="M66" s="331" t="s">
        <v>14110</v>
      </c>
      <c r="N66" s="331" t="s">
        <v>14111</v>
      </c>
      <c r="O66" s="331" t="s">
        <v>7207</v>
      </c>
      <c r="P66" s="332" t="s">
        <v>9836</v>
      </c>
      <c r="Q66" s="335" t="s">
        <v>16641</v>
      </c>
      <c r="R66" s="331" t="s">
        <v>7210</v>
      </c>
      <c r="S66" s="334" t="s">
        <v>6928</v>
      </c>
      <c r="T66" s="303"/>
      <c r="U66" s="303"/>
      <c r="V66" s="303"/>
    </row>
    <row r="67" ht="20.25" customHeight="1">
      <c r="E67" s="355"/>
      <c r="F67" s="355"/>
      <c r="I67" s="328"/>
      <c r="K67" s="341">
        <v>448.0</v>
      </c>
      <c r="L67" s="330">
        <v>3.0</v>
      </c>
      <c r="M67" s="331" t="s">
        <v>14706</v>
      </c>
      <c r="N67" s="331" t="s">
        <v>14707</v>
      </c>
      <c r="O67" s="331" t="s">
        <v>7203</v>
      </c>
      <c r="P67" s="332" t="s">
        <v>9836</v>
      </c>
      <c r="Q67" s="353" t="s">
        <v>14708</v>
      </c>
      <c r="R67" s="331" t="s">
        <v>7205</v>
      </c>
      <c r="S67" s="334" t="s">
        <v>7157</v>
      </c>
      <c r="T67" s="303"/>
      <c r="U67" s="303"/>
      <c r="V67" s="303"/>
    </row>
    <row r="68" ht="20.25" customHeight="1">
      <c r="E68" s="355"/>
      <c r="F68" s="355"/>
      <c r="I68" s="328"/>
      <c r="K68" s="341">
        <v>448.0</v>
      </c>
      <c r="L68" s="330">
        <v>3.0</v>
      </c>
      <c r="M68" s="331" t="s">
        <v>13246</v>
      </c>
      <c r="N68" s="331" t="s">
        <v>13247</v>
      </c>
      <c r="O68" s="331" t="s">
        <v>8480</v>
      </c>
      <c r="P68" s="332" t="s">
        <v>9836</v>
      </c>
      <c r="Q68" s="338" t="s">
        <v>16642</v>
      </c>
      <c r="R68" s="336"/>
      <c r="S68" s="337"/>
      <c r="T68" s="303"/>
      <c r="U68" s="303"/>
      <c r="V68" s="303"/>
    </row>
    <row r="69" ht="20.25" customHeight="1">
      <c r="E69" s="355"/>
      <c r="F69" s="355"/>
      <c r="I69" s="328"/>
      <c r="K69" s="341">
        <v>448.0</v>
      </c>
      <c r="L69" s="330">
        <v>3.0</v>
      </c>
      <c r="M69" s="331" t="s">
        <v>14990</v>
      </c>
      <c r="N69" s="331" t="s">
        <v>14991</v>
      </c>
      <c r="O69" s="331" t="s">
        <v>7230</v>
      </c>
      <c r="P69" s="332" t="s">
        <v>9761</v>
      </c>
      <c r="Q69" s="335" t="s">
        <v>16643</v>
      </c>
      <c r="R69" s="331" t="s">
        <v>16644</v>
      </c>
      <c r="S69" s="334" t="s">
        <v>6928</v>
      </c>
      <c r="T69" s="303"/>
      <c r="U69" s="303"/>
      <c r="V69" s="303"/>
    </row>
    <row r="70" ht="20.25" customHeight="1">
      <c r="E70" s="355"/>
      <c r="F70" s="355"/>
      <c r="I70" s="328"/>
      <c r="K70" s="341">
        <v>448.0</v>
      </c>
      <c r="L70" s="330">
        <v>3.0</v>
      </c>
      <c r="M70" s="331" t="s">
        <v>14980</v>
      </c>
      <c r="N70" s="331" t="s">
        <v>14981</v>
      </c>
      <c r="O70" s="331" t="s">
        <v>7216</v>
      </c>
      <c r="P70" s="331" t="s">
        <v>9761</v>
      </c>
      <c r="Q70" s="338" t="s">
        <v>16645</v>
      </c>
      <c r="R70" s="336"/>
      <c r="S70" s="337"/>
      <c r="T70" s="303"/>
      <c r="U70" s="303"/>
      <c r="V70" s="303"/>
    </row>
    <row r="71" ht="20.25" customHeight="1">
      <c r="E71" s="355"/>
      <c r="F71" s="355"/>
      <c r="I71" s="328"/>
      <c r="K71" s="341">
        <v>448.0</v>
      </c>
      <c r="L71" s="330">
        <v>3.0</v>
      </c>
      <c r="M71" s="331" t="s">
        <v>14315</v>
      </c>
      <c r="N71" s="331" t="s">
        <v>14316</v>
      </c>
      <c r="O71" s="331" t="s">
        <v>7196</v>
      </c>
      <c r="P71" s="331" t="s">
        <v>9761</v>
      </c>
      <c r="Q71" s="354" t="s">
        <v>16646</v>
      </c>
      <c r="R71" s="336"/>
      <c r="S71" s="337"/>
      <c r="T71" s="303"/>
      <c r="U71" s="303"/>
      <c r="V71" s="303"/>
    </row>
    <row r="72" ht="20.25" customHeight="1">
      <c r="E72" s="355"/>
      <c r="F72" s="355"/>
      <c r="I72" s="328"/>
      <c r="K72" s="341">
        <v>448.0</v>
      </c>
      <c r="L72" s="330">
        <v>3.0</v>
      </c>
      <c r="M72" s="331" t="s">
        <v>11884</v>
      </c>
      <c r="N72" s="331" t="s">
        <v>15444</v>
      </c>
      <c r="O72" s="331" t="s">
        <v>7199</v>
      </c>
      <c r="P72" s="331" t="s">
        <v>9761</v>
      </c>
      <c r="Q72" s="353" t="s">
        <v>15445</v>
      </c>
      <c r="R72" s="336"/>
      <c r="S72" s="337"/>
      <c r="T72" s="303"/>
      <c r="U72" s="303"/>
      <c r="V72" s="303"/>
    </row>
    <row r="73" ht="20.25" customHeight="1">
      <c r="E73" s="355"/>
      <c r="F73" s="355"/>
      <c r="I73" s="328"/>
      <c r="K73" s="382">
        <v>448.0</v>
      </c>
      <c r="L73" s="343">
        <v>3.0</v>
      </c>
      <c r="M73" s="344" t="s">
        <v>15349</v>
      </c>
      <c r="N73" s="344" t="s">
        <v>15350</v>
      </c>
      <c r="O73" s="344" t="s">
        <v>7192</v>
      </c>
      <c r="P73" s="344" t="s">
        <v>16647</v>
      </c>
      <c r="Q73" s="379" t="s">
        <v>16648</v>
      </c>
      <c r="R73" s="383"/>
      <c r="S73" s="384"/>
      <c r="T73" s="303"/>
      <c r="U73" s="303"/>
      <c r="V73" s="303"/>
    </row>
    <row r="74" ht="20.25" customHeight="1">
      <c r="E74" s="355"/>
      <c r="F74" s="355"/>
      <c r="I74" s="316" t="s">
        <v>16649</v>
      </c>
      <c r="K74" s="361">
        <v>448.0</v>
      </c>
      <c r="L74" s="324">
        <v>3.0</v>
      </c>
      <c r="M74" s="325" t="s">
        <v>15214</v>
      </c>
      <c r="N74" s="325" t="s">
        <v>15215</v>
      </c>
      <c r="O74" s="325" t="s">
        <v>7238</v>
      </c>
      <c r="P74" s="325" t="s">
        <v>4818</v>
      </c>
      <c r="Q74" s="326" t="s">
        <v>16650</v>
      </c>
      <c r="R74" s="325" t="s">
        <v>7242</v>
      </c>
      <c r="S74" s="327" t="s">
        <v>7070</v>
      </c>
      <c r="T74" s="303"/>
      <c r="U74" s="303"/>
      <c r="V74" s="303"/>
    </row>
    <row r="75" ht="20.25" customHeight="1">
      <c r="E75" s="355"/>
      <c r="F75" s="355"/>
      <c r="I75" s="328"/>
      <c r="K75" s="329">
        <v>448.0</v>
      </c>
      <c r="L75" s="330">
        <v>3.0</v>
      </c>
      <c r="M75" s="331" t="s">
        <v>15201</v>
      </c>
      <c r="N75" s="331" t="s">
        <v>15204</v>
      </c>
      <c r="O75" s="331" t="s">
        <v>7245</v>
      </c>
      <c r="P75" s="381" t="s">
        <v>4835</v>
      </c>
      <c r="Q75" s="338" t="s">
        <v>16651</v>
      </c>
      <c r="R75" s="331" t="s">
        <v>7247</v>
      </c>
      <c r="S75" s="334" t="s">
        <v>7248</v>
      </c>
      <c r="T75" s="303"/>
      <c r="U75" s="303"/>
      <c r="V75" s="303"/>
    </row>
    <row r="76" ht="20.25" customHeight="1">
      <c r="E76" s="355"/>
      <c r="F76" s="355"/>
      <c r="I76" s="328"/>
      <c r="K76" s="329">
        <v>448.0</v>
      </c>
      <c r="L76" s="330">
        <v>3.0</v>
      </c>
      <c r="M76" s="331" t="s">
        <v>11419</v>
      </c>
      <c r="N76" s="331" t="s">
        <v>14713</v>
      </c>
      <c r="O76" s="331" t="s">
        <v>14712</v>
      </c>
      <c r="P76" s="331" t="s">
        <v>12359</v>
      </c>
      <c r="Q76" s="338" t="s">
        <v>16652</v>
      </c>
      <c r="R76" s="331" t="s">
        <v>16653</v>
      </c>
      <c r="S76" s="334" t="s">
        <v>8751</v>
      </c>
      <c r="T76" s="303"/>
      <c r="U76" s="303"/>
      <c r="V76" s="303"/>
    </row>
    <row r="77" ht="20.25" customHeight="1">
      <c r="E77" s="355"/>
      <c r="F77" s="355"/>
      <c r="I77" s="328"/>
      <c r="K77" s="382">
        <v>448.0</v>
      </c>
      <c r="L77" s="343">
        <v>3.0</v>
      </c>
      <c r="M77" s="344" t="s">
        <v>14860</v>
      </c>
      <c r="N77" s="344" t="s">
        <v>14861</v>
      </c>
      <c r="O77" s="344" t="s">
        <v>1222</v>
      </c>
      <c r="P77" s="344" t="s">
        <v>4737</v>
      </c>
      <c r="Q77" s="379" t="s">
        <v>16654</v>
      </c>
      <c r="R77" s="344" t="s">
        <v>7257</v>
      </c>
      <c r="S77" s="346" t="s">
        <v>7186</v>
      </c>
      <c r="T77" s="303"/>
      <c r="U77" s="303"/>
      <c r="V77" s="303"/>
    </row>
    <row r="78" ht="20.25" customHeight="1">
      <c r="E78" s="355"/>
      <c r="F78" s="355"/>
      <c r="I78" s="316" t="s">
        <v>16655</v>
      </c>
      <c r="K78" s="361">
        <v>448.0</v>
      </c>
      <c r="L78" s="324">
        <v>3.0</v>
      </c>
      <c r="M78" s="325" t="s">
        <v>10091</v>
      </c>
      <c r="N78" s="325" t="s">
        <v>11390</v>
      </c>
      <c r="O78" s="325" t="s">
        <v>576</v>
      </c>
      <c r="P78" s="325" t="s">
        <v>4805</v>
      </c>
      <c r="Q78" s="362" t="s">
        <v>16656</v>
      </c>
      <c r="R78" s="325" t="s">
        <v>16657</v>
      </c>
      <c r="S78" s="327" t="s">
        <v>6993</v>
      </c>
      <c r="T78" s="303"/>
      <c r="U78" s="303"/>
      <c r="V78" s="303"/>
    </row>
    <row r="79" ht="20.25" customHeight="1">
      <c r="E79" s="355"/>
      <c r="F79" s="355"/>
      <c r="I79" s="328"/>
      <c r="K79" s="341">
        <v>448.0</v>
      </c>
      <c r="L79" s="330">
        <v>3.0</v>
      </c>
      <c r="M79" s="331" t="s">
        <v>16658</v>
      </c>
      <c r="N79" s="331" t="s">
        <v>16659</v>
      </c>
      <c r="O79" s="331" t="s">
        <v>3682</v>
      </c>
      <c r="P79" s="353" t="s">
        <v>14460</v>
      </c>
      <c r="Q79" s="338" t="s">
        <v>16660</v>
      </c>
      <c r="R79" s="331" t="s">
        <v>7345</v>
      </c>
      <c r="S79" s="334" t="s">
        <v>6928</v>
      </c>
      <c r="T79" s="303"/>
      <c r="U79" s="303"/>
      <c r="V79" s="303"/>
    </row>
    <row r="80" ht="20.25" customHeight="1">
      <c r="E80" s="355"/>
      <c r="F80" s="355"/>
      <c r="I80" s="328"/>
      <c r="K80" s="341">
        <v>448.0</v>
      </c>
      <c r="L80" s="330">
        <v>3.0</v>
      </c>
      <c r="M80" s="331" t="s">
        <v>10036</v>
      </c>
      <c r="N80" s="331" t="s">
        <v>12735</v>
      </c>
      <c r="O80" s="331" t="s">
        <v>7282</v>
      </c>
      <c r="P80" s="331" t="s">
        <v>4749</v>
      </c>
      <c r="Q80" s="335" t="s">
        <v>16661</v>
      </c>
      <c r="R80" s="336"/>
      <c r="S80" s="337"/>
      <c r="T80" s="303"/>
      <c r="U80" s="303"/>
      <c r="V80" s="303"/>
    </row>
    <row r="81" ht="20.25" customHeight="1">
      <c r="E81" s="355"/>
      <c r="F81" s="355"/>
      <c r="I81" s="328"/>
      <c r="K81" s="341">
        <v>448.0</v>
      </c>
      <c r="L81" s="330">
        <v>3.0</v>
      </c>
      <c r="M81" s="331" t="s">
        <v>12616</v>
      </c>
      <c r="N81" s="331" t="s">
        <v>12617</v>
      </c>
      <c r="O81" s="331" t="s">
        <v>7262</v>
      </c>
      <c r="P81" s="332" t="s">
        <v>4749</v>
      </c>
      <c r="Q81" s="353" t="s">
        <v>16662</v>
      </c>
      <c r="R81" s="331" t="s">
        <v>16663</v>
      </c>
      <c r="S81" s="334" t="s">
        <v>6928</v>
      </c>
      <c r="T81" s="303"/>
      <c r="U81" s="303"/>
      <c r="V81" s="303"/>
    </row>
    <row r="82" ht="20.25" customHeight="1">
      <c r="E82" s="355"/>
      <c r="F82" s="355"/>
      <c r="I82" s="328"/>
      <c r="K82" s="341">
        <v>448.0</v>
      </c>
      <c r="L82" s="330">
        <v>3.0</v>
      </c>
      <c r="M82" s="331" t="s">
        <v>12710</v>
      </c>
      <c r="N82" s="331" t="s">
        <v>12711</v>
      </c>
      <c r="O82" s="331" t="s">
        <v>7304</v>
      </c>
      <c r="P82" s="353" t="s">
        <v>4749</v>
      </c>
      <c r="Q82" s="338" t="s">
        <v>16664</v>
      </c>
      <c r="R82" s="331" t="s">
        <v>16665</v>
      </c>
      <c r="S82" s="334" t="s">
        <v>6928</v>
      </c>
      <c r="T82" s="303"/>
      <c r="U82" s="303"/>
      <c r="V82" s="303"/>
    </row>
    <row r="83" ht="20.25" customHeight="1">
      <c r="E83" s="355"/>
      <c r="F83" s="355"/>
      <c r="I83" s="328"/>
      <c r="K83" s="329">
        <v>448.0</v>
      </c>
      <c r="L83" s="330">
        <v>3.0</v>
      </c>
      <c r="M83" s="331" t="s">
        <v>12604</v>
      </c>
      <c r="N83" s="331" t="s">
        <v>12605</v>
      </c>
      <c r="O83" s="331" t="s">
        <v>7347</v>
      </c>
      <c r="P83" s="332" t="s">
        <v>4835</v>
      </c>
      <c r="Q83" s="338" t="s">
        <v>16666</v>
      </c>
      <c r="R83" s="331" t="s">
        <v>16667</v>
      </c>
      <c r="S83" s="334" t="s">
        <v>7048</v>
      </c>
      <c r="T83" s="303"/>
      <c r="U83" s="303"/>
      <c r="V83" s="303"/>
    </row>
    <row r="84" ht="20.25" customHeight="1">
      <c r="E84" s="355"/>
      <c r="F84" s="355"/>
      <c r="I84" s="328"/>
      <c r="K84" s="329">
        <v>448.0</v>
      </c>
      <c r="L84" s="330">
        <v>3.0</v>
      </c>
      <c r="M84" s="331" t="s">
        <v>12699</v>
      </c>
      <c r="N84" s="331" t="s">
        <v>12700</v>
      </c>
      <c r="O84" s="331" t="s">
        <v>901</v>
      </c>
      <c r="P84" s="353" t="s">
        <v>16668</v>
      </c>
      <c r="Q84" s="338" t="s">
        <v>16669</v>
      </c>
      <c r="R84" s="331" t="s">
        <v>7315</v>
      </c>
      <c r="S84" s="334" t="s">
        <v>6993</v>
      </c>
      <c r="T84" s="303"/>
      <c r="U84" s="303"/>
      <c r="V84" s="303"/>
    </row>
    <row r="85" ht="20.25" customHeight="1">
      <c r="E85" s="355"/>
      <c r="F85" s="355"/>
      <c r="I85" s="328"/>
      <c r="K85" s="341">
        <v>448.0</v>
      </c>
      <c r="L85" s="330">
        <v>3.0</v>
      </c>
      <c r="M85" s="331" t="s">
        <v>12637</v>
      </c>
      <c r="N85" s="331" t="s">
        <v>12638</v>
      </c>
      <c r="O85" s="331" t="s">
        <v>7320</v>
      </c>
      <c r="P85" s="331" t="s">
        <v>12640</v>
      </c>
      <c r="Q85" s="338" t="s">
        <v>16670</v>
      </c>
      <c r="R85" s="331" t="s">
        <v>7322</v>
      </c>
      <c r="S85" s="334" t="s">
        <v>6928</v>
      </c>
      <c r="T85" s="303"/>
      <c r="U85" s="303"/>
      <c r="V85" s="303"/>
    </row>
    <row r="86" ht="20.25" customHeight="1">
      <c r="E86" s="355"/>
      <c r="F86" s="355"/>
      <c r="I86" s="328"/>
      <c r="K86" s="341">
        <v>448.0</v>
      </c>
      <c r="L86" s="330">
        <v>3.0</v>
      </c>
      <c r="M86" s="331" t="s">
        <v>12713</v>
      </c>
      <c r="N86" s="331" t="s">
        <v>16671</v>
      </c>
      <c r="O86" s="331" t="s">
        <v>7316</v>
      </c>
      <c r="P86" s="331" t="s">
        <v>12640</v>
      </c>
      <c r="Q86" s="338" t="s">
        <v>16672</v>
      </c>
      <c r="R86" s="331" t="s">
        <v>7318</v>
      </c>
      <c r="S86" s="334" t="s">
        <v>7048</v>
      </c>
      <c r="T86" s="303"/>
      <c r="U86" s="303"/>
      <c r="V86" s="303"/>
    </row>
    <row r="87" ht="20.25" customHeight="1">
      <c r="E87" s="355"/>
      <c r="F87" s="355"/>
      <c r="I87" s="328"/>
      <c r="K87" s="341">
        <v>448.0</v>
      </c>
      <c r="L87" s="330">
        <v>3.0</v>
      </c>
      <c r="M87" s="331" t="s">
        <v>12619</v>
      </c>
      <c r="N87" s="331" t="s">
        <v>12620</v>
      </c>
      <c r="O87" s="331" t="s">
        <v>7273</v>
      </c>
      <c r="P87" s="353" t="s">
        <v>12414</v>
      </c>
      <c r="Q87" s="353" t="s">
        <v>12621</v>
      </c>
      <c r="R87" s="331" t="s">
        <v>7275</v>
      </c>
      <c r="S87" s="334" t="s">
        <v>7048</v>
      </c>
      <c r="T87" s="303"/>
      <c r="U87" s="303"/>
      <c r="V87" s="303"/>
    </row>
    <row r="88" ht="20.25" customHeight="1">
      <c r="E88" s="355"/>
      <c r="F88" s="355"/>
      <c r="I88" s="328"/>
      <c r="K88" s="341">
        <v>448.0</v>
      </c>
      <c r="L88" s="330">
        <v>3.0</v>
      </c>
      <c r="M88" s="331" t="s">
        <v>12599</v>
      </c>
      <c r="N88" s="331" t="s">
        <v>12600</v>
      </c>
      <c r="O88" s="331" t="s">
        <v>12597</v>
      </c>
      <c r="P88" s="340" t="s">
        <v>9649</v>
      </c>
      <c r="Q88" s="354" t="s">
        <v>16673</v>
      </c>
      <c r="R88" s="331" t="s">
        <v>9206</v>
      </c>
      <c r="S88" s="334" t="s">
        <v>7048</v>
      </c>
      <c r="T88" s="303"/>
      <c r="U88" s="303"/>
      <c r="V88" s="303"/>
    </row>
    <row r="89" ht="20.25" customHeight="1">
      <c r="E89" s="355"/>
      <c r="F89" s="355"/>
      <c r="I89" s="328"/>
      <c r="K89" s="341">
        <v>448.0</v>
      </c>
      <c r="L89" s="330">
        <v>3.0</v>
      </c>
      <c r="M89" s="331" t="s">
        <v>12675</v>
      </c>
      <c r="N89" s="331" t="s">
        <v>12676</v>
      </c>
      <c r="O89" s="331" t="s">
        <v>3783</v>
      </c>
      <c r="P89" s="332" t="s">
        <v>12678</v>
      </c>
      <c r="Q89" s="335" t="s">
        <v>16674</v>
      </c>
      <c r="R89" s="331" t="s">
        <v>7288</v>
      </c>
      <c r="S89" s="334" t="s">
        <v>7289</v>
      </c>
      <c r="T89" s="303"/>
      <c r="U89" s="303"/>
      <c r="V89" s="303"/>
    </row>
    <row r="90" ht="20.25" customHeight="1">
      <c r="E90" s="355"/>
      <c r="F90" s="355"/>
      <c r="I90" s="328"/>
      <c r="K90" s="341">
        <v>448.0</v>
      </c>
      <c r="L90" s="330">
        <v>3.0</v>
      </c>
      <c r="M90" s="331" t="s">
        <v>3158</v>
      </c>
      <c r="N90" s="331" t="s">
        <v>12626</v>
      </c>
      <c r="O90" s="331" t="s">
        <v>494</v>
      </c>
      <c r="P90" s="332" t="s">
        <v>1412</v>
      </c>
      <c r="Q90" s="335" t="s">
        <v>16675</v>
      </c>
      <c r="R90" s="336"/>
      <c r="S90" s="337"/>
      <c r="T90" s="303"/>
      <c r="U90" s="303"/>
      <c r="V90" s="303"/>
    </row>
    <row r="91" ht="20.25" customHeight="1">
      <c r="E91" s="355"/>
      <c r="F91" s="355"/>
      <c r="I91" s="328"/>
      <c r="K91" s="329">
        <v>448.0</v>
      </c>
      <c r="L91" s="330">
        <v>3.0</v>
      </c>
      <c r="M91" s="331" t="s">
        <v>12731</v>
      </c>
      <c r="N91" s="331" t="s">
        <v>12732</v>
      </c>
      <c r="O91" s="331" t="s">
        <v>7292</v>
      </c>
      <c r="P91" s="353" t="s">
        <v>1363</v>
      </c>
      <c r="Q91" s="338" t="s">
        <v>16676</v>
      </c>
      <c r="R91" s="331" t="s">
        <v>16677</v>
      </c>
      <c r="S91" s="334" t="s">
        <v>7750</v>
      </c>
      <c r="T91" s="303"/>
      <c r="U91" s="303"/>
      <c r="V91" s="303"/>
    </row>
    <row r="92" ht="20.25" customHeight="1">
      <c r="E92" s="355"/>
      <c r="F92" s="355"/>
      <c r="I92" s="328"/>
      <c r="K92" s="329">
        <v>448.0</v>
      </c>
      <c r="L92" s="330">
        <v>3.0</v>
      </c>
      <c r="M92" s="331" t="s">
        <v>12704</v>
      </c>
      <c r="N92" s="331" t="s">
        <v>12705</v>
      </c>
      <c r="O92" s="331" t="s">
        <v>7354</v>
      </c>
      <c r="P92" s="353" t="s">
        <v>1363</v>
      </c>
      <c r="Q92" s="338" t="s">
        <v>16678</v>
      </c>
      <c r="R92" s="331" t="s">
        <v>7356</v>
      </c>
      <c r="S92" s="334" t="s">
        <v>7357</v>
      </c>
      <c r="T92" s="303"/>
      <c r="U92" s="303"/>
      <c r="V92" s="303"/>
    </row>
    <row r="93" ht="20.25" customHeight="1">
      <c r="E93" s="355"/>
      <c r="F93" s="355"/>
      <c r="I93" s="328"/>
      <c r="K93" s="329">
        <v>448.0</v>
      </c>
      <c r="L93" s="330">
        <v>3.0</v>
      </c>
      <c r="M93" s="331" t="s">
        <v>12719</v>
      </c>
      <c r="N93" s="331" t="s">
        <v>12720</v>
      </c>
      <c r="O93" s="331" t="s">
        <v>7296</v>
      </c>
      <c r="P93" s="353" t="s">
        <v>1363</v>
      </c>
      <c r="Q93" s="338" t="s">
        <v>16679</v>
      </c>
      <c r="R93" s="331" t="s">
        <v>16680</v>
      </c>
      <c r="S93" s="334" t="s">
        <v>7750</v>
      </c>
      <c r="T93" s="303"/>
      <c r="U93" s="303"/>
      <c r="V93" s="303"/>
    </row>
    <row r="94" ht="20.25" customHeight="1">
      <c r="E94" s="355"/>
      <c r="F94" s="355"/>
      <c r="I94" s="328"/>
      <c r="K94" s="329">
        <v>448.0</v>
      </c>
      <c r="L94" s="330">
        <v>3.0</v>
      </c>
      <c r="M94" s="331" t="s">
        <v>12726</v>
      </c>
      <c r="N94" s="331" t="s">
        <v>12727</v>
      </c>
      <c r="O94" s="331" t="s">
        <v>7327</v>
      </c>
      <c r="P94" s="353" t="s">
        <v>1363</v>
      </c>
      <c r="Q94" s="338" t="s">
        <v>16681</v>
      </c>
      <c r="R94" s="331" t="s">
        <v>7329</v>
      </c>
      <c r="S94" s="334" t="s">
        <v>7330</v>
      </c>
      <c r="T94" s="303"/>
      <c r="U94" s="303"/>
      <c r="V94" s="303"/>
    </row>
    <row r="95" ht="20.25" customHeight="1">
      <c r="E95" s="355"/>
      <c r="F95" s="355"/>
      <c r="I95" s="328"/>
      <c r="K95" s="329">
        <v>448.0</v>
      </c>
      <c r="L95" s="330">
        <v>3.0</v>
      </c>
      <c r="M95" s="331" t="s">
        <v>12671</v>
      </c>
      <c r="N95" s="331" t="s">
        <v>12672</v>
      </c>
      <c r="O95" s="331" t="s">
        <v>12669</v>
      </c>
      <c r="P95" s="331" t="s">
        <v>1363</v>
      </c>
      <c r="Q95" s="338" t="s">
        <v>16682</v>
      </c>
      <c r="R95" s="331" t="s">
        <v>16683</v>
      </c>
      <c r="S95" s="334" t="s">
        <v>8739</v>
      </c>
      <c r="T95" s="303"/>
      <c r="U95" s="303"/>
      <c r="V95" s="303"/>
    </row>
    <row r="96" ht="20.25" customHeight="1">
      <c r="E96" s="355"/>
      <c r="F96" s="355"/>
      <c r="I96" s="328"/>
      <c r="K96" s="341">
        <v>448.0</v>
      </c>
      <c r="L96" s="330">
        <v>3.0</v>
      </c>
      <c r="M96" s="331" t="s">
        <v>12723</v>
      </c>
      <c r="N96" s="331" t="s">
        <v>12724</v>
      </c>
      <c r="O96" s="331" t="s">
        <v>7309</v>
      </c>
      <c r="P96" s="353" t="s">
        <v>16684</v>
      </c>
      <c r="Q96" s="338" t="s">
        <v>16685</v>
      </c>
      <c r="R96" s="331" t="s">
        <v>16686</v>
      </c>
      <c r="S96" s="334" t="s">
        <v>6928</v>
      </c>
      <c r="T96" s="303"/>
      <c r="U96" s="303"/>
      <c r="V96" s="303"/>
    </row>
    <row r="97" ht="20.25" customHeight="1">
      <c r="E97" s="355"/>
      <c r="F97" s="355"/>
      <c r="I97" s="328"/>
      <c r="K97" s="329">
        <v>448.0</v>
      </c>
      <c r="L97" s="330">
        <v>3.0</v>
      </c>
      <c r="M97" s="331" t="s">
        <v>14719</v>
      </c>
      <c r="N97" s="331" t="s">
        <v>12554</v>
      </c>
      <c r="O97" s="385"/>
      <c r="P97" s="331" t="s">
        <v>9425</v>
      </c>
      <c r="Q97" s="338" t="s">
        <v>16687</v>
      </c>
      <c r="R97" s="331" t="s">
        <v>16688</v>
      </c>
      <c r="S97" s="334" t="s">
        <v>6993</v>
      </c>
      <c r="T97" s="303"/>
      <c r="U97" s="303"/>
      <c r="V97" s="303"/>
    </row>
    <row r="98" ht="20.25" customHeight="1">
      <c r="E98" s="355"/>
      <c r="F98" s="355"/>
      <c r="I98" s="328"/>
      <c r="K98" s="329">
        <v>448.0</v>
      </c>
      <c r="L98" s="330">
        <v>3.0</v>
      </c>
      <c r="M98" s="331" t="s">
        <v>9674</v>
      </c>
      <c r="N98" s="331" t="s">
        <v>12530</v>
      </c>
      <c r="O98" s="331" t="s">
        <v>12528</v>
      </c>
      <c r="P98" s="331" t="s">
        <v>12321</v>
      </c>
      <c r="Q98" s="338" t="s">
        <v>16689</v>
      </c>
      <c r="R98" s="331" t="s">
        <v>16690</v>
      </c>
      <c r="S98" s="334" t="s">
        <v>7048</v>
      </c>
      <c r="T98" s="303"/>
      <c r="U98" s="303"/>
      <c r="V98" s="303"/>
    </row>
    <row r="99" ht="20.25" customHeight="1">
      <c r="E99" s="355"/>
      <c r="F99" s="355"/>
      <c r="I99" s="328"/>
      <c r="K99" s="329">
        <v>448.0</v>
      </c>
      <c r="L99" s="330">
        <v>3.0</v>
      </c>
      <c r="M99" s="331" t="s">
        <v>12576</v>
      </c>
      <c r="N99" s="331" t="s">
        <v>12577</v>
      </c>
      <c r="O99" s="331" t="s">
        <v>12575</v>
      </c>
      <c r="P99" s="331" t="s">
        <v>16691</v>
      </c>
      <c r="Q99" s="338" t="s">
        <v>16692</v>
      </c>
      <c r="R99" s="331" t="s">
        <v>16693</v>
      </c>
      <c r="S99" s="334" t="s">
        <v>7048</v>
      </c>
      <c r="T99" s="303"/>
      <c r="U99" s="303"/>
      <c r="V99" s="303"/>
    </row>
    <row r="100" ht="20.25" customHeight="1">
      <c r="E100" s="355"/>
      <c r="F100" s="355"/>
      <c r="I100" s="328"/>
      <c r="K100" s="329">
        <v>448.0</v>
      </c>
      <c r="L100" s="330">
        <v>3.0</v>
      </c>
      <c r="M100" s="331" t="s">
        <v>12534</v>
      </c>
      <c r="N100" s="331" t="s">
        <v>12535</v>
      </c>
      <c r="O100" s="331" t="s">
        <v>12533</v>
      </c>
      <c r="P100" s="331" t="s">
        <v>4835</v>
      </c>
      <c r="Q100" s="338" t="s">
        <v>16694</v>
      </c>
      <c r="R100" s="331" t="s">
        <v>16695</v>
      </c>
      <c r="S100" s="334" t="s">
        <v>7005</v>
      </c>
      <c r="T100" s="303"/>
      <c r="U100" s="303"/>
      <c r="V100" s="303"/>
    </row>
    <row r="101" ht="20.25" customHeight="1">
      <c r="E101" s="355"/>
      <c r="F101" s="355"/>
      <c r="I101" s="328"/>
      <c r="K101" s="329">
        <v>448.0</v>
      </c>
      <c r="L101" s="330">
        <v>3.0</v>
      </c>
      <c r="M101" s="331" t="s">
        <v>12045</v>
      </c>
      <c r="N101" s="331" t="s">
        <v>12613</v>
      </c>
      <c r="O101" s="331" t="s">
        <v>7337</v>
      </c>
      <c r="P101" s="332" t="s">
        <v>4835</v>
      </c>
      <c r="Q101" s="338" t="s">
        <v>16696</v>
      </c>
      <c r="R101" s="331" t="s">
        <v>7339</v>
      </c>
      <c r="S101" s="334" t="s">
        <v>6993</v>
      </c>
      <c r="T101" s="303"/>
      <c r="U101" s="303"/>
      <c r="V101" s="303"/>
    </row>
    <row r="102" ht="20.25" customHeight="1">
      <c r="E102" s="355"/>
      <c r="F102" s="355"/>
      <c r="I102" s="328"/>
      <c r="K102" s="342">
        <v>448.0</v>
      </c>
      <c r="L102" s="343">
        <v>3.0</v>
      </c>
      <c r="M102" s="344" t="s">
        <v>12608</v>
      </c>
      <c r="N102" s="344" t="s">
        <v>12609</v>
      </c>
      <c r="O102" s="344" t="s">
        <v>12607</v>
      </c>
      <c r="P102" s="344" t="s">
        <v>9649</v>
      </c>
      <c r="Q102" s="379" t="s">
        <v>16697</v>
      </c>
      <c r="R102" s="344" t="s">
        <v>7510</v>
      </c>
      <c r="S102" s="346" t="s">
        <v>7048</v>
      </c>
      <c r="T102" s="303"/>
      <c r="U102" s="303"/>
      <c r="V102" s="303"/>
    </row>
    <row r="103" ht="20.25" customHeight="1">
      <c r="E103" s="355"/>
      <c r="F103" s="355"/>
      <c r="I103" s="316" t="s">
        <v>16698</v>
      </c>
      <c r="K103" s="341">
        <v>448.0</v>
      </c>
      <c r="L103" s="330">
        <v>3.0</v>
      </c>
      <c r="M103" s="331" t="s">
        <v>14726</v>
      </c>
      <c r="N103" s="331" t="s">
        <v>14727</v>
      </c>
      <c r="O103" s="331" t="s">
        <v>7131</v>
      </c>
      <c r="P103" s="332" t="s">
        <v>4818</v>
      </c>
      <c r="Q103" s="338" t="s">
        <v>16699</v>
      </c>
      <c r="R103" s="331" t="s">
        <v>16700</v>
      </c>
      <c r="S103" s="334" t="s">
        <v>6928</v>
      </c>
      <c r="T103" s="303"/>
      <c r="U103" s="303"/>
      <c r="V103" s="303"/>
    </row>
    <row r="104" ht="20.25" customHeight="1">
      <c r="E104" s="355"/>
      <c r="F104" s="355"/>
      <c r="I104" s="328"/>
      <c r="K104" s="341">
        <v>448.0</v>
      </c>
      <c r="L104" s="330">
        <v>3.0</v>
      </c>
      <c r="M104" s="331" t="s">
        <v>13564</v>
      </c>
      <c r="N104" s="331" t="s">
        <v>13565</v>
      </c>
      <c r="O104" s="331" t="s">
        <v>7137</v>
      </c>
      <c r="P104" s="332" t="s">
        <v>4835</v>
      </c>
      <c r="Q104" s="338" t="s">
        <v>16701</v>
      </c>
      <c r="R104" s="331" t="s">
        <v>7139</v>
      </c>
      <c r="S104" s="334" t="s">
        <v>7112</v>
      </c>
      <c r="T104" s="303"/>
      <c r="U104" s="303"/>
      <c r="V104" s="303"/>
    </row>
    <row r="105" ht="20.25" customHeight="1">
      <c r="E105" s="355"/>
      <c r="F105" s="355"/>
      <c r="I105" s="328"/>
      <c r="K105" s="341">
        <v>448.0</v>
      </c>
      <c r="L105" s="330">
        <v>3.0</v>
      </c>
      <c r="M105" s="331" t="s">
        <v>13130</v>
      </c>
      <c r="N105" s="331" t="s">
        <v>13131</v>
      </c>
      <c r="O105" s="331" t="s">
        <v>13129</v>
      </c>
      <c r="P105" s="331" t="s">
        <v>4756</v>
      </c>
      <c r="Q105" s="338" t="s">
        <v>16702</v>
      </c>
      <c r="R105" s="331" t="s">
        <v>16703</v>
      </c>
      <c r="S105" s="334" t="s">
        <v>6928</v>
      </c>
      <c r="T105" s="303"/>
      <c r="U105" s="303"/>
      <c r="V105" s="303"/>
    </row>
    <row r="106" ht="20.25" customHeight="1">
      <c r="E106" s="355"/>
      <c r="F106" s="355"/>
      <c r="I106" s="328"/>
      <c r="K106" s="341">
        <v>448.0</v>
      </c>
      <c r="L106" s="330">
        <v>3.0</v>
      </c>
      <c r="M106" s="331" t="s">
        <v>12074</v>
      </c>
      <c r="N106" s="331" t="s">
        <v>15697</v>
      </c>
      <c r="O106" s="331" t="s">
        <v>7141</v>
      </c>
      <c r="P106" s="332" t="s">
        <v>16704</v>
      </c>
      <c r="Q106" s="332" t="s">
        <v>16705</v>
      </c>
      <c r="R106" s="331" t="s">
        <v>7143</v>
      </c>
      <c r="S106" s="334" t="s">
        <v>7144</v>
      </c>
      <c r="T106" s="303"/>
      <c r="U106" s="303"/>
      <c r="V106" s="303"/>
    </row>
    <row r="107" ht="20.25" customHeight="1">
      <c r="E107" s="355"/>
      <c r="F107" s="355"/>
      <c r="I107" s="328"/>
      <c r="K107" s="341">
        <v>448.0</v>
      </c>
      <c r="L107" s="330">
        <v>3.0</v>
      </c>
      <c r="M107" s="331" t="s">
        <v>13954</v>
      </c>
      <c r="N107" s="331" t="s">
        <v>13955</v>
      </c>
      <c r="O107" s="331" t="s">
        <v>7146</v>
      </c>
      <c r="P107" s="332" t="s">
        <v>16704</v>
      </c>
      <c r="Q107" s="335" t="s">
        <v>16706</v>
      </c>
      <c r="R107" s="331" t="s">
        <v>16707</v>
      </c>
      <c r="S107" s="334" t="s">
        <v>7375</v>
      </c>
      <c r="T107" s="303"/>
      <c r="U107" s="303"/>
      <c r="V107" s="303"/>
    </row>
    <row r="108" ht="20.25" customHeight="1">
      <c r="E108" s="355"/>
      <c r="F108" s="355"/>
      <c r="I108" s="328"/>
      <c r="K108" s="341">
        <v>448.0</v>
      </c>
      <c r="L108" s="330">
        <v>3.0</v>
      </c>
      <c r="M108" s="331" t="s">
        <v>14730</v>
      </c>
      <c r="N108" s="331" t="s">
        <v>14731</v>
      </c>
      <c r="O108" s="331" t="s">
        <v>7151</v>
      </c>
      <c r="P108" s="332" t="s">
        <v>16704</v>
      </c>
      <c r="Q108" s="354" t="s">
        <v>16708</v>
      </c>
      <c r="R108" s="331" t="s">
        <v>7153</v>
      </c>
      <c r="S108" s="334" t="s">
        <v>6928</v>
      </c>
      <c r="T108" s="303"/>
      <c r="U108" s="303"/>
      <c r="V108" s="303"/>
    </row>
    <row r="109" ht="20.25" customHeight="1">
      <c r="E109" s="355"/>
      <c r="F109" s="355"/>
      <c r="I109" s="328"/>
      <c r="K109" s="341">
        <v>448.0</v>
      </c>
      <c r="L109" s="330">
        <v>3.0</v>
      </c>
      <c r="M109" s="331" t="s">
        <v>15802</v>
      </c>
      <c r="N109" s="331" t="s">
        <v>15803</v>
      </c>
      <c r="O109" s="331" t="s">
        <v>3807</v>
      </c>
      <c r="P109" s="332" t="s">
        <v>16704</v>
      </c>
      <c r="Q109" s="338" t="s">
        <v>16709</v>
      </c>
      <c r="R109" s="331" t="s">
        <v>7156</v>
      </c>
      <c r="S109" s="334" t="s">
        <v>7157</v>
      </c>
      <c r="T109" s="303"/>
      <c r="U109" s="303"/>
      <c r="V109" s="303"/>
    </row>
    <row r="110" ht="20.25" customHeight="1">
      <c r="E110" s="355"/>
      <c r="F110" s="355"/>
      <c r="I110" s="328"/>
      <c r="K110" s="382">
        <v>448.0</v>
      </c>
      <c r="L110" s="343">
        <v>3.0</v>
      </c>
      <c r="M110" s="344" t="s">
        <v>13913</v>
      </c>
      <c r="N110" s="344" t="s">
        <v>13914</v>
      </c>
      <c r="O110" s="344" t="s">
        <v>13912</v>
      </c>
      <c r="P110" s="386" t="s">
        <v>16710</v>
      </c>
      <c r="Q110" s="379" t="s">
        <v>16711</v>
      </c>
      <c r="R110" s="344" t="s">
        <v>7160</v>
      </c>
      <c r="S110" s="346" t="s">
        <v>6928</v>
      </c>
      <c r="T110" s="303"/>
      <c r="U110" s="303"/>
      <c r="V110" s="303"/>
    </row>
    <row r="111" ht="20.25" customHeight="1">
      <c r="E111" s="355"/>
      <c r="F111" s="355"/>
      <c r="I111" s="316" t="s">
        <v>16712</v>
      </c>
      <c r="K111" s="323">
        <v>448.0</v>
      </c>
      <c r="L111" s="324">
        <v>4.0</v>
      </c>
      <c r="M111" s="325" t="s">
        <v>15792</v>
      </c>
      <c r="N111" s="325" t="s">
        <v>15793</v>
      </c>
      <c r="O111" s="325" t="s">
        <v>7367</v>
      </c>
      <c r="P111" s="362" t="s">
        <v>9604</v>
      </c>
      <c r="Q111" s="362" t="s">
        <v>15794</v>
      </c>
      <c r="R111" s="325" t="s">
        <v>7370</v>
      </c>
      <c r="S111" s="327" t="s">
        <v>7157</v>
      </c>
      <c r="T111" s="303"/>
      <c r="U111" s="303"/>
      <c r="V111" s="303"/>
    </row>
    <row r="112" ht="20.25" customHeight="1">
      <c r="E112" s="355"/>
      <c r="F112" s="355"/>
      <c r="I112" s="328"/>
      <c r="K112" s="341">
        <v>448.0</v>
      </c>
      <c r="L112" s="330">
        <v>4.0</v>
      </c>
      <c r="M112" s="331" t="s">
        <v>12977</v>
      </c>
      <c r="N112" s="331" t="s">
        <v>12978</v>
      </c>
      <c r="O112" s="331" t="s">
        <v>7372</v>
      </c>
      <c r="P112" s="332" t="s">
        <v>2062</v>
      </c>
      <c r="Q112" s="335" t="s">
        <v>16713</v>
      </c>
      <c r="R112" s="331" t="s">
        <v>7374</v>
      </c>
      <c r="S112" s="334" t="s">
        <v>7375</v>
      </c>
      <c r="T112" s="303"/>
      <c r="U112" s="303"/>
      <c r="V112" s="303"/>
    </row>
    <row r="113" ht="20.25" customHeight="1">
      <c r="E113" s="355"/>
      <c r="F113" s="355"/>
      <c r="I113" s="328"/>
      <c r="K113" s="329">
        <v>448.0</v>
      </c>
      <c r="L113" s="330">
        <v>4.0</v>
      </c>
      <c r="M113" s="331" t="s">
        <v>10834</v>
      </c>
      <c r="N113" s="331" t="s">
        <v>12808</v>
      </c>
      <c r="O113" s="331" t="s">
        <v>12806</v>
      </c>
      <c r="P113" s="332" t="s">
        <v>2062</v>
      </c>
      <c r="Q113" s="335" t="s">
        <v>16714</v>
      </c>
      <c r="R113" s="331" t="s">
        <v>7388</v>
      </c>
      <c r="S113" s="334" t="s">
        <v>7389</v>
      </c>
      <c r="T113" s="303"/>
      <c r="U113" s="303"/>
      <c r="V113" s="303"/>
    </row>
    <row r="114" ht="20.25" customHeight="1">
      <c r="E114" s="355"/>
      <c r="F114" s="355"/>
      <c r="I114" s="328"/>
      <c r="K114" s="341">
        <v>448.0</v>
      </c>
      <c r="L114" s="330">
        <v>4.0</v>
      </c>
      <c r="M114" s="331" t="s">
        <v>15817</v>
      </c>
      <c r="N114" s="331" t="s">
        <v>15818</v>
      </c>
      <c r="O114" s="331" t="s">
        <v>7381</v>
      </c>
      <c r="P114" s="332" t="s">
        <v>4818</v>
      </c>
      <c r="Q114" s="338" t="s">
        <v>16715</v>
      </c>
      <c r="R114" s="331" t="s">
        <v>7383</v>
      </c>
      <c r="S114" s="334" t="s">
        <v>6928</v>
      </c>
      <c r="T114" s="303"/>
      <c r="U114" s="303"/>
      <c r="V114" s="303"/>
    </row>
    <row r="115" ht="20.25" customHeight="1">
      <c r="E115" s="355"/>
      <c r="F115" s="355"/>
      <c r="I115" s="328"/>
      <c r="K115" s="341">
        <v>448.0</v>
      </c>
      <c r="L115" s="330">
        <v>4.0</v>
      </c>
      <c r="M115" s="331" t="s">
        <v>14532</v>
      </c>
      <c r="N115" s="331" t="s">
        <v>16716</v>
      </c>
      <c r="O115" s="331" t="s">
        <v>4379</v>
      </c>
      <c r="P115" s="332" t="s">
        <v>4835</v>
      </c>
      <c r="Q115" s="332" t="s">
        <v>6843</v>
      </c>
      <c r="R115" s="331" t="s">
        <v>16717</v>
      </c>
      <c r="S115" s="334" t="s">
        <v>7093</v>
      </c>
      <c r="T115" s="303"/>
      <c r="U115" s="303"/>
      <c r="V115" s="303"/>
    </row>
    <row r="116" ht="20.25" customHeight="1">
      <c r="E116" s="355"/>
      <c r="F116" s="355"/>
      <c r="I116" s="328"/>
      <c r="K116" s="341">
        <v>448.0</v>
      </c>
      <c r="L116" s="330">
        <v>4.0</v>
      </c>
      <c r="M116" s="331" t="s">
        <v>12848</v>
      </c>
      <c r="N116" s="331" t="s">
        <v>12849</v>
      </c>
      <c r="O116" s="331" t="s">
        <v>12846</v>
      </c>
      <c r="P116" s="332" t="s">
        <v>10056</v>
      </c>
      <c r="Q116" s="338" t="s">
        <v>16718</v>
      </c>
      <c r="R116" s="331" t="s">
        <v>7403</v>
      </c>
      <c r="S116" s="334" t="s">
        <v>7157</v>
      </c>
      <c r="T116" s="303"/>
      <c r="U116" s="303"/>
      <c r="V116" s="303"/>
    </row>
    <row r="117" ht="20.25" customHeight="1">
      <c r="E117" s="355"/>
      <c r="F117" s="355"/>
      <c r="I117" s="328"/>
      <c r="K117" s="341">
        <v>448.0</v>
      </c>
      <c r="L117" s="330">
        <v>4.0</v>
      </c>
      <c r="M117" s="331" t="s">
        <v>12772</v>
      </c>
      <c r="N117" s="331" t="s">
        <v>12773</v>
      </c>
      <c r="O117" s="331" t="s">
        <v>12770</v>
      </c>
      <c r="P117" s="332" t="s">
        <v>4756</v>
      </c>
      <c r="Q117" s="338" t="s">
        <v>16719</v>
      </c>
      <c r="R117" s="331" t="s">
        <v>16720</v>
      </c>
      <c r="S117" s="334" t="s">
        <v>7157</v>
      </c>
      <c r="T117" s="303"/>
      <c r="U117" s="303"/>
      <c r="V117" s="303"/>
    </row>
    <row r="118" ht="20.25" customHeight="1">
      <c r="E118" s="355"/>
      <c r="F118" s="355"/>
      <c r="I118" s="328"/>
      <c r="K118" s="341">
        <v>448.0</v>
      </c>
      <c r="L118" s="330">
        <v>4.0</v>
      </c>
      <c r="M118" s="331" t="s">
        <v>9564</v>
      </c>
      <c r="N118" s="331" t="s">
        <v>9565</v>
      </c>
      <c r="O118" s="331" t="s">
        <v>9233</v>
      </c>
      <c r="P118" s="332" t="s">
        <v>9568</v>
      </c>
      <c r="Q118" s="353" t="s">
        <v>9567</v>
      </c>
      <c r="R118" s="331" t="s">
        <v>9236</v>
      </c>
      <c r="S118" s="334" t="s">
        <v>7157</v>
      </c>
      <c r="T118" s="303"/>
      <c r="U118" s="303"/>
      <c r="V118" s="303"/>
    </row>
    <row r="119" ht="20.25" customHeight="1">
      <c r="E119" s="355"/>
      <c r="F119" s="355"/>
      <c r="I119" s="328"/>
      <c r="K119" s="341">
        <v>448.0</v>
      </c>
      <c r="L119" s="330">
        <v>4.0</v>
      </c>
      <c r="M119" s="331" t="s">
        <v>12883</v>
      </c>
      <c r="N119" s="331" t="s">
        <v>12884</v>
      </c>
      <c r="O119" s="331" t="s">
        <v>12882</v>
      </c>
      <c r="P119" s="331" t="s">
        <v>2300</v>
      </c>
      <c r="Q119" s="338" t="s">
        <v>16721</v>
      </c>
      <c r="R119" s="331" t="s">
        <v>7412</v>
      </c>
      <c r="S119" s="334" t="s">
        <v>7157</v>
      </c>
      <c r="T119" s="303"/>
      <c r="U119" s="303"/>
      <c r="V119" s="303"/>
    </row>
    <row r="120" ht="20.25" customHeight="1">
      <c r="E120" s="355"/>
      <c r="F120" s="355"/>
      <c r="I120" s="328"/>
      <c r="K120" s="341">
        <v>448.0</v>
      </c>
      <c r="L120" s="330">
        <v>4.0</v>
      </c>
      <c r="M120" s="331" t="s">
        <v>14480</v>
      </c>
      <c r="N120" s="331" t="s">
        <v>14481</v>
      </c>
      <c r="O120" s="331" t="s">
        <v>7395</v>
      </c>
      <c r="P120" s="331" t="s">
        <v>2300</v>
      </c>
      <c r="Q120" s="335" t="s">
        <v>16722</v>
      </c>
      <c r="R120" s="331" t="s">
        <v>7397</v>
      </c>
      <c r="S120" s="334" t="s">
        <v>7398</v>
      </c>
      <c r="T120" s="303"/>
      <c r="U120" s="303"/>
      <c r="V120" s="303"/>
    </row>
    <row r="121" ht="20.25" customHeight="1">
      <c r="E121" s="355"/>
      <c r="F121" s="355"/>
      <c r="I121" s="328"/>
      <c r="K121" s="329">
        <v>448.0</v>
      </c>
      <c r="L121" s="330">
        <v>4.0</v>
      </c>
      <c r="M121" s="331" t="s">
        <v>10077</v>
      </c>
      <c r="N121" s="331" t="s">
        <v>10078</v>
      </c>
      <c r="O121" s="331" t="s">
        <v>10075</v>
      </c>
      <c r="P121" s="353" t="s">
        <v>9458</v>
      </c>
      <c r="Q121" s="338" t="s">
        <v>16723</v>
      </c>
      <c r="R121" s="331" t="s">
        <v>16724</v>
      </c>
      <c r="S121" s="334" t="s">
        <v>7048</v>
      </c>
      <c r="T121" s="303"/>
      <c r="U121" s="303"/>
      <c r="V121" s="303"/>
    </row>
    <row r="122" ht="20.25" customHeight="1">
      <c r="E122" s="355"/>
      <c r="F122" s="355"/>
      <c r="I122" s="328"/>
      <c r="K122" s="341">
        <v>448.0</v>
      </c>
      <c r="L122" s="330">
        <v>4.0</v>
      </c>
      <c r="M122" s="331" t="s">
        <v>15575</v>
      </c>
      <c r="N122" s="331" t="s">
        <v>15576</v>
      </c>
      <c r="O122" s="331" t="s">
        <v>7432</v>
      </c>
      <c r="P122" s="353" t="s">
        <v>4818</v>
      </c>
      <c r="Q122" s="338" t="s">
        <v>16725</v>
      </c>
      <c r="R122" s="331" t="s">
        <v>16726</v>
      </c>
      <c r="S122" s="334" t="s">
        <v>6928</v>
      </c>
      <c r="T122" s="303"/>
      <c r="U122" s="303"/>
      <c r="V122" s="303"/>
    </row>
    <row r="123" ht="20.25" customHeight="1">
      <c r="E123" s="355"/>
      <c r="F123" s="355"/>
      <c r="I123" s="328"/>
      <c r="K123" s="341">
        <v>448.0</v>
      </c>
      <c r="L123" s="330">
        <v>4.0</v>
      </c>
      <c r="M123" s="331" t="s">
        <v>15056</v>
      </c>
      <c r="N123" s="331" t="s">
        <v>15057</v>
      </c>
      <c r="O123" s="331" t="s">
        <v>7441</v>
      </c>
      <c r="P123" s="332" t="s">
        <v>4756</v>
      </c>
      <c r="Q123" s="338" t="s">
        <v>16727</v>
      </c>
      <c r="R123" s="331" t="s">
        <v>7443</v>
      </c>
      <c r="S123" s="334" t="s">
        <v>7157</v>
      </c>
      <c r="T123" s="303"/>
      <c r="U123" s="303"/>
      <c r="V123" s="303"/>
    </row>
    <row r="124" ht="20.25" customHeight="1">
      <c r="E124" s="355"/>
      <c r="F124" s="355"/>
      <c r="I124" s="328"/>
      <c r="K124" s="341">
        <v>448.0</v>
      </c>
      <c r="L124" s="330">
        <v>4.0</v>
      </c>
      <c r="M124" s="331" t="s">
        <v>13810</v>
      </c>
      <c r="N124" s="331" t="s">
        <v>13811</v>
      </c>
      <c r="O124" s="331" t="s">
        <v>7445</v>
      </c>
      <c r="P124" s="332" t="s">
        <v>16728</v>
      </c>
      <c r="Q124" s="353" t="s">
        <v>16729</v>
      </c>
      <c r="R124" s="331" t="s">
        <v>7447</v>
      </c>
      <c r="S124" s="334" t="s">
        <v>7157</v>
      </c>
      <c r="T124" s="303"/>
      <c r="U124" s="303"/>
      <c r="V124" s="303"/>
    </row>
    <row r="125" ht="20.25" customHeight="1">
      <c r="E125" s="355"/>
      <c r="F125" s="355"/>
      <c r="I125" s="328"/>
      <c r="K125" s="329">
        <v>448.0</v>
      </c>
      <c r="L125" s="330">
        <v>4.0</v>
      </c>
      <c r="M125" s="331" t="s">
        <v>12588</v>
      </c>
      <c r="N125" s="331" t="s">
        <v>12589</v>
      </c>
      <c r="O125" s="331" t="s">
        <v>3450</v>
      </c>
      <c r="P125" s="332" t="s">
        <v>2062</v>
      </c>
      <c r="Q125" s="353" t="s">
        <v>6507</v>
      </c>
      <c r="R125" s="331" t="s">
        <v>7515</v>
      </c>
      <c r="S125" s="334" t="s">
        <v>7070</v>
      </c>
      <c r="T125" s="303"/>
      <c r="U125" s="303"/>
      <c r="V125" s="303"/>
    </row>
    <row r="126" ht="20.25" customHeight="1">
      <c r="E126" s="355"/>
      <c r="F126" s="355"/>
      <c r="I126" s="328"/>
      <c r="K126" s="341">
        <v>448.0</v>
      </c>
      <c r="L126" s="330">
        <v>4.0</v>
      </c>
      <c r="M126" s="331" t="s">
        <v>11141</v>
      </c>
      <c r="N126" s="331" t="s">
        <v>14272</v>
      </c>
      <c r="O126" s="331" t="s">
        <v>7359</v>
      </c>
      <c r="P126" s="332" t="s">
        <v>4835</v>
      </c>
      <c r="Q126" s="338" t="s">
        <v>16730</v>
      </c>
      <c r="R126" s="331" t="s">
        <v>16731</v>
      </c>
      <c r="S126" s="334" t="s">
        <v>7093</v>
      </c>
      <c r="T126" s="303"/>
      <c r="U126" s="303"/>
      <c r="V126" s="303"/>
    </row>
    <row r="127" ht="20.25" customHeight="1">
      <c r="E127" s="355"/>
      <c r="F127" s="355"/>
      <c r="I127" s="328"/>
      <c r="K127" s="341">
        <v>448.0</v>
      </c>
      <c r="L127" s="330">
        <v>4.0</v>
      </c>
      <c r="M127" s="331" t="s">
        <v>14584</v>
      </c>
      <c r="N127" s="331" t="s">
        <v>14585</v>
      </c>
      <c r="O127" s="331" t="s">
        <v>914</v>
      </c>
      <c r="P127" s="332" t="s">
        <v>14586</v>
      </c>
      <c r="Q127" s="335" t="s">
        <v>16732</v>
      </c>
      <c r="R127" s="331" t="s">
        <v>7364</v>
      </c>
      <c r="S127" s="334" t="s">
        <v>6928</v>
      </c>
      <c r="T127" s="303"/>
      <c r="U127" s="303"/>
      <c r="V127" s="303"/>
    </row>
    <row r="128" ht="20.25" customHeight="1">
      <c r="E128" s="355"/>
      <c r="F128" s="355"/>
      <c r="I128" s="328"/>
      <c r="K128" s="329">
        <v>448.0</v>
      </c>
      <c r="L128" s="330">
        <v>4.0</v>
      </c>
      <c r="M128" s="331" t="s">
        <v>12585</v>
      </c>
      <c r="N128" s="331" t="s">
        <v>12586</v>
      </c>
      <c r="O128" s="331" t="s">
        <v>948</v>
      </c>
      <c r="P128" s="331" t="s">
        <v>16733</v>
      </c>
      <c r="Q128" s="338" t="s">
        <v>16734</v>
      </c>
      <c r="R128" s="331" t="s">
        <v>7517</v>
      </c>
      <c r="S128" s="334" t="s">
        <v>7070</v>
      </c>
      <c r="T128" s="303"/>
      <c r="U128" s="303"/>
      <c r="V128" s="303"/>
    </row>
    <row r="129" ht="20.25" customHeight="1">
      <c r="E129" s="355"/>
      <c r="F129" s="355"/>
      <c r="I129" s="328"/>
      <c r="K129" s="341">
        <v>448.0</v>
      </c>
      <c r="L129" s="330">
        <v>4.0</v>
      </c>
      <c r="M129" s="331" t="s">
        <v>15052</v>
      </c>
      <c r="N129" s="331" t="s">
        <v>15053</v>
      </c>
      <c r="O129" s="331" t="s">
        <v>7416</v>
      </c>
      <c r="P129" s="332" t="s">
        <v>9604</v>
      </c>
      <c r="Q129" s="338" t="s">
        <v>16735</v>
      </c>
      <c r="R129" s="331" t="s">
        <v>7419</v>
      </c>
      <c r="S129" s="334" t="s">
        <v>6928</v>
      </c>
      <c r="T129" s="303"/>
      <c r="U129" s="303"/>
      <c r="V129" s="303"/>
    </row>
    <row r="130" ht="20.25" customHeight="1">
      <c r="E130" s="355"/>
      <c r="F130" s="355"/>
      <c r="I130" s="328"/>
      <c r="K130" s="341">
        <v>448.0</v>
      </c>
      <c r="L130" s="330">
        <v>4.0</v>
      </c>
      <c r="M130" s="331" t="s">
        <v>9564</v>
      </c>
      <c r="N130" s="331" t="s">
        <v>12327</v>
      </c>
      <c r="O130" s="331" t="s">
        <v>5067</v>
      </c>
      <c r="P130" s="332" t="s">
        <v>4805</v>
      </c>
      <c r="Q130" s="338" t="s">
        <v>16736</v>
      </c>
      <c r="R130" s="331" t="s">
        <v>16737</v>
      </c>
      <c r="S130" s="334" t="s">
        <v>6928</v>
      </c>
      <c r="T130" s="303"/>
      <c r="U130" s="303"/>
      <c r="V130" s="303"/>
    </row>
    <row r="131" ht="20.25" customHeight="1">
      <c r="E131" s="355"/>
      <c r="F131" s="355"/>
      <c r="I131" s="328"/>
      <c r="K131" s="329">
        <v>448.0</v>
      </c>
      <c r="L131" s="330">
        <v>4.0</v>
      </c>
      <c r="M131" s="331" t="s">
        <v>14047</v>
      </c>
      <c r="N131" s="331" t="s">
        <v>14048</v>
      </c>
      <c r="O131" s="331" t="s">
        <v>4547</v>
      </c>
      <c r="P131" s="332" t="s">
        <v>4749</v>
      </c>
      <c r="Q131" s="332" t="s">
        <v>6906</v>
      </c>
      <c r="R131" s="331" t="s">
        <v>16738</v>
      </c>
      <c r="S131" s="334" t="s">
        <v>6993</v>
      </c>
      <c r="T131" s="303"/>
      <c r="U131" s="303"/>
      <c r="V131" s="303"/>
    </row>
    <row r="132" ht="20.25" customHeight="1">
      <c r="E132" s="355"/>
      <c r="F132" s="355"/>
      <c r="I132" s="328"/>
      <c r="K132" s="341">
        <v>448.0</v>
      </c>
      <c r="L132" s="330">
        <v>4.0</v>
      </c>
      <c r="M132" s="331" t="s">
        <v>12407</v>
      </c>
      <c r="N132" s="331" t="s">
        <v>12408</v>
      </c>
      <c r="O132" s="331" t="s">
        <v>7525</v>
      </c>
      <c r="P132" s="332" t="s">
        <v>4835</v>
      </c>
      <c r="Q132" s="331" t="s">
        <v>12410</v>
      </c>
      <c r="R132" s="331" t="s">
        <v>7527</v>
      </c>
      <c r="S132" s="334" t="s">
        <v>6928</v>
      </c>
      <c r="T132" s="303"/>
      <c r="U132" s="303"/>
      <c r="V132" s="303"/>
    </row>
    <row r="133" ht="20.25" customHeight="1">
      <c r="E133" s="355"/>
      <c r="F133" s="355"/>
      <c r="I133" s="328"/>
      <c r="K133" s="341">
        <v>448.0</v>
      </c>
      <c r="L133" s="330">
        <v>4.0</v>
      </c>
      <c r="M133" s="331" t="s">
        <v>11673</v>
      </c>
      <c r="N133" s="331" t="s">
        <v>15162</v>
      </c>
      <c r="O133" s="331" t="s">
        <v>7421</v>
      </c>
      <c r="P133" s="353" t="s">
        <v>15164</v>
      </c>
      <c r="Q133" s="332" t="s">
        <v>15163</v>
      </c>
      <c r="R133" s="331" t="s">
        <v>16739</v>
      </c>
      <c r="S133" s="334" t="s">
        <v>7144</v>
      </c>
      <c r="T133" s="303"/>
      <c r="U133" s="303"/>
      <c r="V133" s="303"/>
    </row>
    <row r="134" ht="20.25" customHeight="1">
      <c r="E134" s="355"/>
      <c r="F134" s="355"/>
      <c r="I134" s="328"/>
      <c r="K134" s="341">
        <v>448.0</v>
      </c>
      <c r="L134" s="330">
        <v>4.0</v>
      </c>
      <c r="M134" s="331" t="s">
        <v>12416</v>
      </c>
      <c r="N134" s="331" t="s">
        <v>12417</v>
      </c>
      <c r="O134" s="331" t="s">
        <v>7533</v>
      </c>
      <c r="P134" s="332" t="s">
        <v>4756</v>
      </c>
      <c r="Q134" s="331" t="s">
        <v>12418</v>
      </c>
      <c r="R134" s="331" t="s">
        <v>7535</v>
      </c>
      <c r="S134" s="334" t="s">
        <v>6928</v>
      </c>
      <c r="T134" s="303"/>
      <c r="U134" s="303"/>
      <c r="V134" s="303"/>
    </row>
    <row r="135" ht="20.25" customHeight="1">
      <c r="E135" s="355"/>
      <c r="F135" s="355"/>
      <c r="I135" s="328"/>
      <c r="K135" s="341">
        <v>448.0</v>
      </c>
      <c r="L135" s="330">
        <v>4.0</v>
      </c>
      <c r="M135" s="331" t="s">
        <v>10845</v>
      </c>
      <c r="N135" s="331" t="s">
        <v>12403</v>
      </c>
      <c r="O135" s="331" t="s">
        <v>7537</v>
      </c>
      <c r="P135" s="332" t="s">
        <v>4756</v>
      </c>
      <c r="Q135" s="338" t="s">
        <v>16740</v>
      </c>
      <c r="R135" s="331" t="s">
        <v>7539</v>
      </c>
      <c r="S135" s="334" t="s">
        <v>6928</v>
      </c>
      <c r="T135" s="303"/>
      <c r="U135" s="303"/>
      <c r="V135" s="303"/>
    </row>
    <row r="136" ht="20.25" customHeight="1">
      <c r="E136" s="355"/>
      <c r="F136" s="355"/>
      <c r="I136" s="328"/>
      <c r="K136" s="341">
        <v>448.0</v>
      </c>
      <c r="L136" s="330">
        <v>4.0</v>
      </c>
      <c r="M136" s="331" t="s">
        <v>11961</v>
      </c>
      <c r="N136" s="331" t="s">
        <v>12412</v>
      </c>
      <c r="O136" s="331" t="s">
        <v>7529</v>
      </c>
      <c r="P136" s="332" t="s">
        <v>12414</v>
      </c>
      <c r="Q136" s="338" t="s">
        <v>16741</v>
      </c>
      <c r="R136" s="331" t="s">
        <v>7532</v>
      </c>
      <c r="S136" s="334" t="s">
        <v>6928</v>
      </c>
      <c r="T136" s="303"/>
      <c r="U136" s="303"/>
      <c r="V136" s="303"/>
    </row>
    <row r="137" ht="20.25" customHeight="1">
      <c r="E137" s="355"/>
      <c r="F137" s="355"/>
      <c r="I137" s="328"/>
      <c r="K137" s="341">
        <v>448.0</v>
      </c>
      <c r="L137" s="330">
        <v>4.0</v>
      </c>
      <c r="M137" s="331" t="s">
        <v>16495</v>
      </c>
      <c r="N137" s="331" t="s">
        <v>16496</v>
      </c>
      <c r="O137" s="331" t="s">
        <v>7519</v>
      </c>
      <c r="P137" s="381" t="s">
        <v>9626</v>
      </c>
      <c r="Q137" s="381" t="s">
        <v>16497</v>
      </c>
      <c r="R137" s="331" t="s">
        <v>16742</v>
      </c>
      <c r="S137" s="334" t="s">
        <v>6928</v>
      </c>
      <c r="T137" s="303"/>
      <c r="U137" s="303"/>
      <c r="V137" s="303"/>
    </row>
    <row r="138" ht="20.25" customHeight="1">
      <c r="E138" s="355"/>
      <c r="F138" s="355"/>
      <c r="I138" s="328"/>
      <c r="K138" s="329">
        <v>448.0</v>
      </c>
      <c r="L138" s="330">
        <v>4.0</v>
      </c>
      <c r="M138" s="331" t="s">
        <v>14151</v>
      </c>
      <c r="N138" s="331" t="s">
        <v>14152</v>
      </c>
      <c r="O138" s="331" t="s">
        <v>7452</v>
      </c>
      <c r="P138" s="332" t="s">
        <v>1392</v>
      </c>
      <c r="Q138" s="335" t="s">
        <v>16743</v>
      </c>
      <c r="R138" s="331" t="s">
        <v>16744</v>
      </c>
      <c r="S138" s="334" t="s">
        <v>6937</v>
      </c>
      <c r="T138" s="303"/>
      <c r="U138" s="303"/>
      <c r="V138" s="303"/>
    </row>
    <row r="139" ht="20.25" customHeight="1">
      <c r="E139" s="355"/>
      <c r="F139" s="355"/>
      <c r="I139" s="328"/>
      <c r="K139" s="329">
        <v>448.0</v>
      </c>
      <c r="L139" s="330">
        <v>4.0</v>
      </c>
      <c r="M139" s="331" t="s">
        <v>14290</v>
      </c>
      <c r="N139" s="331" t="s">
        <v>14291</v>
      </c>
      <c r="O139" s="331" t="s">
        <v>7463</v>
      </c>
      <c r="P139" s="332" t="s">
        <v>16745</v>
      </c>
      <c r="Q139" s="381" t="s">
        <v>14293</v>
      </c>
      <c r="R139" s="331" t="s">
        <v>7465</v>
      </c>
      <c r="S139" s="334" t="s">
        <v>6937</v>
      </c>
      <c r="T139" s="303"/>
      <c r="U139" s="303"/>
      <c r="V139" s="303"/>
    </row>
    <row r="140" ht="20.25" customHeight="1">
      <c r="E140" s="355"/>
      <c r="F140" s="355"/>
      <c r="I140" s="328"/>
      <c r="K140" s="341">
        <v>448.0</v>
      </c>
      <c r="L140" s="330">
        <v>4.0</v>
      </c>
      <c r="M140" s="331" t="s">
        <v>15977</v>
      </c>
      <c r="N140" s="331" t="s">
        <v>15978</v>
      </c>
      <c r="O140" s="331" t="s">
        <v>7500</v>
      </c>
      <c r="P140" s="332" t="s">
        <v>16746</v>
      </c>
      <c r="Q140" s="338" t="s">
        <v>16747</v>
      </c>
      <c r="R140" s="331" t="s">
        <v>7503</v>
      </c>
      <c r="S140" s="334" t="s">
        <v>6928</v>
      </c>
      <c r="T140" s="303"/>
      <c r="U140" s="303"/>
      <c r="V140" s="303"/>
    </row>
    <row r="141" ht="20.25" customHeight="1">
      <c r="E141" s="355"/>
      <c r="F141" s="355"/>
      <c r="I141" s="328"/>
      <c r="K141" s="341">
        <v>448.0</v>
      </c>
      <c r="L141" s="330">
        <v>4.0</v>
      </c>
      <c r="M141" s="331" t="s">
        <v>14345</v>
      </c>
      <c r="N141" s="331" t="s">
        <v>14346</v>
      </c>
      <c r="O141" s="331" t="s">
        <v>7457</v>
      </c>
      <c r="P141" s="332" t="s">
        <v>16748</v>
      </c>
      <c r="Q141" s="335" t="s">
        <v>16749</v>
      </c>
      <c r="R141" s="331" t="s">
        <v>16750</v>
      </c>
      <c r="S141" s="334" t="s">
        <v>7093</v>
      </c>
      <c r="T141" s="303"/>
      <c r="U141" s="303"/>
      <c r="V141" s="303"/>
    </row>
    <row r="142" ht="20.25" customHeight="1">
      <c r="E142" s="355"/>
      <c r="F142" s="355"/>
      <c r="I142" s="328"/>
      <c r="K142" s="387">
        <v>448.0</v>
      </c>
      <c r="L142" s="330">
        <v>4.0</v>
      </c>
      <c r="M142" s="331" t="s">
        <v>15700</v>
      </c>
      <c r="N142" s="331" t="s">
        <v>15701</v>
      </c>
      <c r="O142" s="331" t="s">
        <v>7484</v>
      </c>
      <c r="P142" s="332" t="s">
        <v>16751</v>
      </c>
      <c r="Q142" s="332" t="s">
        <v>15702</v>
      </c>
      <c r="R142" s="331" t="s">
        <v>16752</v>
      </c>
      <c r="S142" s="334" t="s">
        <v>6993</v>
      </c>
      <c r="T142" s="303"/>
      <c r="U142" s="303"/>
      <c r="V142" s="303"/>
    </row>
    <row r="143" ht="20.25" customHeight="1">
      <c r="E143" s="355"/>
      <c r="F143" s="355"/>
      <c r="I143" s="328"/>
      <c r="K143" s="341">
        <v>448.0</v>
      </c>
      <c r="L143" s="330">
        <v>4.0</v>
      </c>
      <c r="M143" s="331" t="s">
        <v>9740</v>
      </c>
      <c r="N143" s="331" t="s">
        <v>9809</v>
      </c>
      <c r="O143" s="331" t="s">
        <v>7472</v>
      </c>
      <c r="P143" s="332" t="s">
        <v>16753</v>
      </c>
      <c r="Q143" s="381" t="s">
        <v>14581</v>
      </c>
      <c r="R143" s="331" t="s">
        <v>7474</v>
      </c>
      <c r="S143" s="334" t="s">
        <v>6928</v>
      </c>
      <c r="T143" s="303"/>
      <c r="U143" s="303"/>
      <c r="V143" s="303"/>
    </row>
    <row r="144" ht="20.25" customHeight="1">
      <c r="E144" s="355"/>
      <c r="F144" s="355"/>
      <c r="I144" s="328"/>
      <c r="K144" s="341">
        <v>448.0</v>
      </c>
      <c r="L144" s="330">
        <v>4.0</v>
      </c>
      <c r="M144" s="331" t="s">
        <v>15357</v>
      </c>
      <c r="N144" s="331" t="s">
        <v>15360</v>
      </c>
      <c r="O144" s="331" t="s">
        <v>7467</v>
      </c>
      <c r="P144" s="332" t="s">
        <v>16754</v>
      </c>
      <c r="Q144" s="335" t="s">
        <v>16755</v>
      </c>
      <c r="R144" s="331" t="s">
        <v>7470</v>
      </c>
      <c r="S144" s="334" t="s">
        <v>6928</v>
      </c>
      <c r="T144" s="303"/>
      <c r="U144" s="303"/>
      <c r="V144" s="303"/>
    </row>
    <row r="145" ht="20.25" customHeight="1">
      <c r="E145" s="355"/>
      <c r="F145" s="355"/>
      <c r="I145" s="328"/>
      <c r="K145" s="341">
        <v>448.0</v>
      </c>
      <c r="L145" s="330">
        <v>4.0</v>
      </c>
      <c r="M145" s="331" t="s">
        <v>14865</v>
      </c>
      <c r="N145" s="331" t="s">
        <v>14866</v>
      </c>
      <c r="O145" s="331" t="s">
        <v>7495</v>
      </c>
      <c r="P145" s="353" t="s">
        <v>16756</v>
      </c>
      <c r="Q145" s="335" t="s">
        <v>16757</v>
      </c>
      <c r="R145" s="331" t="s">
        <v>7498</v>
      </c>
      <c r="S145" s="334" t="s">
        <v>6928</v>
      </c>
      <c r="T145" s="303"/>
      <c r="U145" s="303"/>
      <c r="V145" s="303"/>
    </row>
    <row r="146" ht="20.25" customHeight="1">
      <c r="E146" s="355"/>
      <c r="F146" s="355"/>
      <c r="I146" s="328"/>
      <c r="K146" s="341">
        <v>448.0</v>
      </c>
      <c r="L146" s="330">
        <v>4.0</v>
      </c>
      <c r="M146" s="331" t="s">
        <v>13667</v>
      </c>
      <c r="N146" s="331" t="s">
        <v>13668</v>
      </c>
      <c r="O146" s="331" t="s">
        <v>7480</v>
      </c>
      <c r="P146" s="353" t="s">
        <v>16758</v>
      </c>
      <c r="Q146" s="338" t="s">
        <v>16759</v>
      </c>
      <c r="R146" s="331" t="s">
        <v>7482</v>
      </c>
      <c r="S146" s="334" t="s">
        <v>7048</v>
      </c>
      <c r="T146" s="303"/>
      <c r="U146" s="303"/>
      <c r="V146" s="303"/>
    </row>
    <row r="147" ht="20.25" customHeight="1">
      <c r="E147" s="355"/>
      <c r="F147" s="355"/>
      <c r="I147" s="328"/>
      <c r="K147" s="341">
        <v>448.0</v>
      </c>
      <c r="L147" s="330">
        <v>4.0</v>
      </c>
      <c r="M147" s="331" t="s">
        <v>14197</v>
      </c>
      <c r="N147" s="331" t="s">
        <v>14198</v>
      </c>
      <c r="O147" s="331" t="s">
        <v>7426</v>
      </c>
      <c r="P147" s="353" t="s">
        <v>16758</v>
      </c>
      <c r="Q147" s="381" t="s">
        <v>14199</v>
      </c>
      <c r="R147" s="331" t="s">
        <v>7429</v>
      </c>
      <c r="S147" s="334" t="s">
        <v>7157</v>
      </c>
      <c r="T147" s="303"/>
      <c r="U147" s="303"/>
      <c r="V147" s="303"/>
    </row>
    <row r="148" ht="20.25" customHeight="1">
      <c r="E148" s="355"/>
      <c r="F148" s="355"/>
      <c r="I148" s="328"/>
      <c r="K148" s="329">
        <v>448.0</v>
      </c>
      <c r="L148" s="330">
        <v>4.0</v>
      </c>
      <c r="M148" s="331" t="s">
        <v>15693</v>
      </c>
      <c r="N148" s="331" t="s">
        <v>15694</v>
      </c>
      <c r="O148" s="331" t="s">
        <v>7491</v>
      </c>
      <c r="P148" s="353" t="s">
        <v>16760</v>
      </c>
      <c r="Q148" s="338" t="s">
        <v>16761</v>
      </c>
      <c r="R148" s="331" t="s">
        <v>7493</v>
      </c>
      <c r="S148" s="334" t="s">
        <v>7048</v>
      </c>
      <c r="T148" s="303"/>
      <c r="U148" s="303"/>
      <c r="V148" s="303"/>
    </row>
    <row r="149" ht="20.25" customHeight="1">
      <c r="E149" s="355"/>
      <c r="F149" s="355"/>
      <c r="I149" s="328"/>
      <c r="K149" s="342">
        <v>448.0</v>
      </c>
      <c r="L149" s="343">
        <v>4.0</v>
      </c>
      <c r="M149" s="344" t="s">
        <v>15082</v>
      </c>
      <c r="N149" s="344" t="s">
        <v>15083</v>
      </c>
      <c r="O149" s="344" t="s">
        <v>7476</v>
      </c>
      <c r="P149" s="386" t="s">
        <v>16762</v>
      </c>
      <c r="Q149" s="379" t="s">
        <v>16763</v>
      </c>
      <c r="R149" s="344" t="s">
        <v>7478</v>
      </c>
      <c r="S149" s="346" t="s">
        <v>7357</v>
      </c>
      <c r="T149" s="303"/>
      <c r="U149" s="303"/>
      <c r="V149" s="303"/>
    </row>
    <row r="150" ht="20.25" customHeight="1">
      <c r="E150" s="355"/>
      <c r="F150" s="355"/>
      <c r="I150" s="316" t="s">
        <v>16764</v>
      </c>
      <c r="K150" s="361">
        <v>448.0</v>
      </c>
      <c r="L150" s="324">
        <v>5.0</v>
      </c>
      <c r="M150" s="325" t="s">
        <v>9933</v>
      </c>
      <c r="N150" s="325" t="s">
        <v>9498</v>
      </c>
      <c r="O150" s="325" t="s">
        <v>9931</v>
      </c>
      <c r="P150" s="362" t="s">
        <v>9936</v>
      </c>
      <c r="Q150" s="388" t="s">
        <v>9935</v>
      </c>
      <c r="R150" s="325" t="s">
        <v>16765</v>
      </c>
      <c r="S150" s="327" t="s">
        <v>16552</v>
      </c>
      <c r="T150" s="303"/>
      <c r="U150" s="303"/>
      <c r="V150" s="303"/>
    </row>
    <row r="151" ht="20.25" customHeight="1">
      <c r="E151" s="355"/>
      <c r="F151" s="355"/>
      <c r="I151" s="328"/>
      <c r="K151" s="329">
        <v>448.0</v>
      </c>
      <c r="L151" s="330">
        <v>5.0</v>
      </c>
      <c r="M151" s="331" t="s">
        <v>9920</v>
      </c>
      <c r="N151" s="331" t="s">
        <v>9921</v>
      </c>
      <c r="O151" s="331" t="s">
        <v>9239</v>
      </c>
      <c r="P151" s="332" t="s">
        <v>2062</v>
      </c>
      <c r="Q151" s="335" t="s">
        <v>16766</v>
      </c>
      <c r="R151" s="331" t="s">
        <v>9318</v>
      </c>
      <c r="S151" s="334" t="s">
        <v>7048</v>
      </c>
      <c r="T151" s="303"/>
      <c r="U151" s="303"/>
      <c r="V151" s="303"/>
    </row>
    <row r="152" ht="20.25" customHeight="1">
      <c r="E152" s="355"/>
      <c r="F152" s="355"/>
      <c r="I152" s="328"/>
      <c r="K152" s="341">
        <v>448.0</v>
      </c>
      <c r="L152" s="330">
        <v>5.0</v>
      </c>
      <c r="M152" s="331" t="s">
        <v>9959</v>
      </c>
      <c r="N152" s="331" t="s">
        <v>9960</v>
      </c>
      <c r="O152" s="331" t="s">
        <v>9267</v>
      </c>
      <c r="P152" s="353" t="s">
        <v>16767</v>
      </c>
      <c r="Q152" s="335" t="s">
        <v>16768</v>
      </c>
      <c r="R152" s="336"/>
      <c r="S152" s="337"/>
      <c r="T152" s="303"/>
      <c r="U152" s="303"/>
      <c r="V152" s="303"/>
    </row>
    <row r="153" ht="20.25" customHeight="1">
      <c r="E153" s="355"/>
      <c r="F153" s="355"/>
      <c r="I153" s="328"/>
      <c r="K153" s="341">
        <v>448.0</v>
      </c>
      <c r="L153" s="330">
        <v>5.0</v>
      </c>
      <c r="M153" s="331" t="s">
        <v>9499</v>
      </c>
      <c r="N153" s="331" t="s">
        <v>9500</v>
      </c>
      <c r="O153" s="331" t="s">
        <v>9271</v>
      </c>
      <c r="P153" s="331" t="s">
        <v>9503</v>
      </c>
      <c r="Q153" s="338" t="s">
        <v>16769</v>
      </c>
      <c r="R153" s="331" t="s">
        <v>16770</v>
      </c>
      <c r="S153" s="334" t="s">
        <v>7157</v>
      </c>
      <c r="T153" s="303"/>
      <c r="U153" s="303"/>
      <c r="V153" s="303"/>
    </row>
    <row r="154" ht="20.25" customHeight="1">
      <c r="E154" s="355"/>
      <c r="F154" s="355"/>
      <c r="I154" s="328"/>
      <c r="K154" s="341">
        <v>448.0</v>
      </c>
      <c r="L154" s="330">
        <v>5.0</v>
      </c>
      <c r="M154" s="331" t="s">
        <v>9938</v>
      </c>
      <c r="N154" s="331" t="s">
        <v>9939</v>
      </c>
      <c r="O154" s="331" t="s">
        <v>9275</v>
      </c>
      <c r="P154" s="332" t="s">
        <v>9503</v>
      </c>
      <c r="Q154" s="353" t="s">
        <v>9941</v>
      </c>
      <c r="R154" s="336"/>
      <c r="S154" s="337"/>
      <c r="T154" s="303"/>
      <c r="U154" s="303"/>
      <c r="V154" s="303"/>
    </row>
    <row r="155" ht="20.25" customHeight="1">
      <c r="E155" s="355"/>
      <c r="F155" s="355"/>
      <c r="I155" s="328"/>
      <c r="K155" s="329">
        <v>448.0</v>
      </c>
      <c r="L155" s="330">
        <v>5.0</v>
      </c>
      <c r="M155" s="331" t="s">
        <v>10001</v>
      </c>
      <c r="N155" s="331" t="s">
        <v>10002</v>
      </c>
      <c r="O155" s="331" t="s">
        <v>9244</v>
      </c>
      <c r="P155" s="331" t="s">
        <v>4818</v>
      </c>
      <c r="Q155" s="338" t="s">
        <v>16771</v>
      </c>
      <c r="R155" s="331" t="s">
        <v>9247</v>
      </c>
      <c r="S155" s="334" t="s">
        <v>7048</v>
      </c>
      <c r="T155" s="303"/>
      <c r="U155" s="303"/>
      <c r="V155" s="303"/>
    </row>
    <row r="156" ht="20.25" customHeight="1">
      <c r="E156" s="355"/>
      <c r="F156" s="355"/>
      <c r="I156" s="328"/>
      <c r="K156" s="341">
        <v>448.0</v>
      </c>
      <c r="L156" s="330">
        <v>5.0</v>
      </c>
      <c r="M156" s="331" t="s">
        <v>9847</v>
      </c>
      <c r="N156" s="331" t="s">
        <v>9848</v>
      </c>
      <c r="O156" s="331" t="s">
        <v>9260</v>
      </c>
      <c r="P156" s="340" t="s">
        <v>9851</v>
      </c>
      <c r="Q156" s="353" t="s">
        <v>9850</v>
      </c>
      <c r="R156" s="331" t="s">
        <v>9262</v>
      </c>
      <c r="S156" s="334" t="s">
        <v>7157</v>
      </c>
      <c r="T156" s="303"/>
      <c r="U156" s="303"/>
      <c r="V156" s="303"/>
    </row>
    <row r="157" ht="20.25" customHeight="1">
      <c r="E157" s="355"/>
      <c r="F157" s="355"/>
      <c r="I157" s="328"/>
      <c r="K157" s="341">
        <v>448.0</v>
      </c>
      <c r="L157" s="330">
        <v>5.0</v>
      </c>
      <c r="M157" s="331" t="s">
        <v>9505</v>
      </c>
      <c r="N157" s="331" t="s">
        <v>9506</v>
      </c>
      <c r="O157" s="331" t="s">
        <v>9252</v>
      </c>
      <c r="P157" s="340" t="s">
        <v>9390</v>
      </c>
      <c r="Q157" s="354" t="s">
        <v>16772</v>
      </c>
      <c r="R157" s="331" t="s">
        <v>9254</v>
      </c>
      <c r="S157" s="334" t="s">
        <v>7157</v>
      </c>
      <c r="T157" s="303"/>
      <c r="U157" s="303"/>
      <c r="V157" s="303"/>
    </row>
    <row r="158" ht="20.25" customHeight="1">
      <c r="E158" s="355"/>
      <c r="F158" s="355"/>
      <c r="I158" s="328"/>
      <c r="K158" s="341">
        <v>448.0</v>
      </c>
      <c r="L158" s="330">
        <v>5.0</v>
      </c>
      <c r="M158" s="331" t="s">
        <v>9740</v>
      </c>
      <c r="N158" s="331" t="s">
        <v>9741</v>
      </c>
      <c r="O158" s="331" t="s">
        <v>9256</v>
      </c>
      <c r="P158" s="331" t="s">
        <v>9390</v>
      </c>
      <c r="Q158" s="353" t="s">
        <v>9743</v>
      </c>
      <c r="R158" s="336"/>
      <c r="S158" s="337"/>
      <c r="T158" s="303"/>
      <c r="U158" s="303"/>
      <c r="V158" s="303"/>
    </row>
    <row r="159" ht="20.25" customHeight="1">
      <c r="E159" s="355"/>
      <c r="F159" s="355"/>
      <c r="I159" s="328"/>
      <c r="K159" s="341">
        <v>448.0</v>
      </c>
      <c r="L159" s="330">
        <v>5.0</v>
      </c>
      <c r="M159" s="331" t="s">
        <v>9542</v>
      </c>
      <c r="N159" s="331" t="s">
        <v>9543</v>
      </c>
      <c r="O159" s="331" t="s">
        <v>9320</v>
      </c>
      <c r="P159" s="353" t="s">
        <v>4749</v>
      </c>
      <c r="Q159" s="338" t="s">
        <v>16773</v>
      </c>
      <c r="R159" s="374" t="s">
        <v>9324</v>
      </c>
      <c r="S159" s="375" t="s">
        <v>7414</v>
      </c>
      <c r="T159" s="303"/>
      <c r="U159" s="303"/>
      <c r="V159" s="303"/>
    </row>
    <row r="160" ht="20.25" customHeight="1">
      <c r="E160" s="355"/>
      <c r="F160" s="355"/>
      <c r="I160" s="328"/>
      <c r="K160" s="329">
        <v>448.0</v>
      </c>
      <c r="L160" s="330">
        <v>5.0</v>
      </c>
      <c r="M160" s="331" t="s">
        <v>9529</v>
      </c>
      <c r="N160" s="331" t="s">
        <v>9530</v>
      </c>
      <c r="O160" s="331" t="s">
        <v>9313</v>
      </c>
      <c r="P160" s="331" t="s">
        <v>9533</v>
      </c>
      <c r="Q160" s="338" t="s">
        <v>16774</v>
      </c>
      <c r="R160" s="331" t="s">
        <v>9315</v>
      </c>
      <c r="S160" s="334" t="s">
        <v>7048</v>
      </c>
      <c r="T160" s="303"/>
      <c r="U160" s="303"/>
      <c r="V160" s="303"/>
    </row>
    <row r="161" ht="20.25" customHeight="1">
      <c r="E161" s="355"/>
      <c r="F161" s="355"/>
      <c r="I161" s="328"/>
      <c r="K161" s="329">
        <v>448.0</v>
      </c>
      <c r="L161" s="330">
        <v>5.0</v>
      </c>
      <c r="M161" s="331" t="s">
        <v>9645</v>
      </c>
      <c r="N161" s="331" t="s">
        <v>9646</v>
      </c>
      <c r="O161" s="331" t="s">
        <v>9325</v>
      </c>
      <c r="P161" s="331" t="s">
        <v>9649</v>
      </c>
      <c r="Q161" s="338" t="s">
        <v>16775</v>
      </c>
      <c r="R161" s="331" t="s">
        <v>9327</v>
      </c>
      <c r="S161" s="334" t="s">
        <v>7048</v>
      </c>
      <c r="T161" s="303"/>
      <c r="U161" s="303"/>
      <c r="V161" s="303"/>
    </row>
    <row r="162" ht="20.25" customHeight="1">
      <c r="E162" s="355"/>
      <c r="F162" s="355"/>
      <c r="I162" s="328"/>
      <c r="K162" s="341">
        <v>448.0</v>
      </c>
      <c r="L162" s="330">
        <v>5.0</v>
      </c>
      <c r="M162" s="331" t="s">
        <v>9954</v>
      </c>
      <c r="N162" s="331" t="s">
        <v>9955</v>
      </c>
      <c r="O162" s="331" t="s">
        <v>9953</v>
      </c>
      <c r="P162" s="331" t="s">
        <v>9649</v>
      </c>
      <c r="Q162" s="353" t="s">
        <v>9957</v>
      </c>
      <c r="R162" s="336"/>
      <c r="S162" s="337"/>
      <c r="T162" s="303"/>
      <c r="U162" s="303"/>
      <c r="V162" s="303"/>
    </row>
    <row r="163" ht="20.25" customHeight="1">
      <c r="E163" s="355"/>
      <c r="F163" s="355"/>
      <c r="I163" s="328"/>
      <c r="K163" s="341">
        <v>448.0</v>
      </c>
      <c r="L163" s="330">
        <v>5.0</v>
      </c>
      <c r="M163" s="331" t="s">
        <v>9719</v>
      </c>
      <c r="N163" s="331" t="s">
        <v>9720</v>
      </c>
      <c r="O163" s="331" t="s">
        <v>196</v>
      </c>
      <c r="P163" s="331" t="s">
        <v>9649</v>
      </c>
      <c r="Q163" s="353" t="s">
        <v>200</v>
      </c>
      <c r="R163" s="336"/>
      <c r="S163" s="337"/>
      <c r="T163" s="303"/>
      <c r="U163" s="303"/>
      <c r="V163" s="303"/>
    </row>
    <row r="164" ht="20.25" customHeight="1">
      <c r="E164" s="355"/>
      <c r="F164" s="355"/>
      <c r="I164" s="328"/>
      <c r="K164" s="329">
        <v>448.0</v>
      </c>
      <c r="L164" s="330">
        <v>5.0</v>
      </c>
      <c r="M164" s="331" t="s">
        <v>9477</v>
      </c>
      <c r="N164" s="331" t="s">
        <v>9478</v>
      </c>
      <c r="O164" s="331" t="s">
        <v>9280</v>
      </c>
      <c r="P164" s="353" t="s">
        <v>4835</v>
      </c>
      <c r="Q164" s="338" t="s">
        <v>16776</v>
      </c>
      <c r="R164" s="331" t="s">
        <v>9283</v>
      </c>
      <c r="S164" s="334" t="s">
        <v>7048</v>
      </c>
      <c r="T164" s="303"/>
      <c r="U164" s="303"/>
      <c r="V164" s="303"/>
    </row>
    <row r="165" ht="20.25" customHeight="1">
      <c r="E165" s="355"/>
      <c r="F165" s="355"/>
      <c r="I165" s="328"/>
      <c r="K165" s="329">
        <v>448.0</v>
      </c>
      <c r="L165" s="330">
        <v>5.0</v>
      </c>
      <c r="M165" s="331" t="s">
        <v>9838</v>
      </c>
      <c r="N165" s="331" t="s">
        <v>9839</v>
      </c>
      <c r="O165" s="331" t="s">
        <v>9285</v>
      </c>
      <c r="P165" s="353" t="s">
        <v>1386</v>
      </c>
      <c r="Q165" s="353" t="s">
        <v>9841</v>
      </c>
      <c r="R165" s="331" t="s">
        <v>9287</v>
      </c>
      <c r="S165" s="334" t="s">
        <v>7048</v>
      </c>
      <c r="T165" s="303"/>
      <c r="U165" s="303"/>
      <c r="V165" s="303"/>
    </row>
    <row r="166" ht="20.25" customHeight="1">
      <c r="E166" s="355"/>
      <c r="F166" s="355"/>
      <c r="I166" s="328"/>
      <c r="K166" s="329">
        <v>448.0</v>
      </c>
      <c r="L166" s="330">
        <v>5.0</v>
      </c>
      <c r="M166" s="331" t="s">
        <v>9745</v>
      </c>
      <c r="N166" s="331" t="s">
        <v>9746</v>
      </c>
      <c r="O166" s="331" t="s">
        <v>9308</v>
      </c>
      <c r="P166" s="340" t="s">
        <v>1386</v>
      </c>
      <c r="Q166" s="354" t="s">
        <v>16777</v>
      </c>
      <c r="R166" s="331" t="s">
        <v>9311</v>
      </c>
      <c r="S166" s="334" t="s">
        <v>7048</v>
      </c>
      <c r="T166" s="303"/>
      <c r="U166" s="303"/>
      <c r="V166" s="303"/>
    </row>
    <row r="167" ht="20.25" customHeight="1">
      <c r="E167" s="355"/>
      <c r="F167" s="355"/>
      <c r="I167" s="328"/>
      <c r="K167" s="329">
        <v>448.0</v>
      </c>
      <c r="L167" s="330">
        <v>5.0</v>
      </c>
      <c r="M167" s="331" t="s">
        <v>9967</v>
      </c>
      <c r="N167" s="331" t="s">
        <v>9968</v>
      </c>
      <c r="O167" s="331" t="s">
        <v>9300</v>
      </c>
      <c r="P167" s="331" t="s">
        <v>16778</v>
      </c>
      <c r="Q167" s="338" t="s">
        <v>16779</v>
      </c>
      <c r="R167" s="331" t="s">
        <v>9303</v>
      </c>
      <c r="S167" s="334" t="s">
        <v>7048</v>
      </c>
      <c r="T167" s="303"/>
      <c r="U167" s="303"/>
      <c r="V167" s="303"/>
    </row>
    <row r="168" ht="20.25" customHeight="1">
      <c r="E168" s="355"/>
      <c r="F168" s="355"/>
      <c r="I168" s="328"/>
      <c r="K168" s="341">
        <v>448.0</v>
      </c>
      <c r="L168" s="330">
        <v>5.0</v>
      </c>
      <c r="M168" s="331" t="s">
        <v>14315</v>
      </c>
      <c r="N168" s="331" t="s">
        <v>16780</v>
      </c>
      <c r="O168" s="331" t="s">
        <v>4480</v>
      </c>
      <c r="P168" s="331" t="s">
        <v>16781</v>
      </c>
      <c r="Q168" s="338" t="s">
        <v>16782</v>
      </c>
      <c r="R168" s="336"/>
      <c r="S168" s="337"/>
      <c r="T168" s="303"/>
      <c r="U168" s="303"/>
      <c r="V168" s="303"/>
    </row>
    <row r="169" ht="20.25" customHeight="1">
      <c r="E169" s="355"/>
      <c r="F169" s="355"/>
      <c r="I169" s="328"/>
      <c r="K169" s="341">
        <v>448.0</v>
      </c>
      <c r="L169" s="330">
        <v>5.0</v>
      </c>
      <c r="M169" s="331" t="s">
        <v>9820</v>
      </c>
      <c r="N169" s="331" t="s">
        <v>9821</v>
      </c>
      <c r="O169" s="331" t="s">
        <v>869</v>
      </c>
      <c r="P169" s="331" t="s">
        <v>1386</v>
      </c>
      <c r="Q169" s="338" t="s">
        <v>16783</v>
      </c>
      <c r="R169" s="331" t="s">
        <v>9291</v>
      </c>
      <c r="S169" s="334" t="s">
        <v>7398</v>
      </c>
      <c r="T169" s="303"/>
      <c r="U169" s="303"/>
      <c r="V169" s="303"/>
    </row>
    <row r="170" ht="20.25" customHeight="1">
      <c r="E170" s="355"/>
      <c r="F170" s="355"/>
      <c r="I170" s="328"/>
      <c r="K170" s="329">
        <v>448.0</v>
      </c>
      <c r="L170" s="330">
        <v>5.0</v>
      </c>
      <c r="M170" s="331" t="s">
        <v>9735</v>
      </c>
      <c r="N170" s="331" t="s">
        <v>9736</v>
      </c>
      <c r="O170" s="331" t="s">
        <v>9296</v>
      </c>
      <c r="P170" s="331" t="s">
        <v>1386</v>
      </c>
      <c r="Q170" s="338" t="s">
        <v>16784</v>
      </c>
      <c r="R170" s="331" t="s">
        <v>9298</v>
      </c>
      <c r="S170" s="334" t="s">
        <v>7048</v>
      </c>
      <c r="T170" s="303"/>
      <c r="U170" s="303"/>
      <c r="V170" s="303"/>
    </row>
    <row r="171" ht="20.25" customHeight="1">
      <c r="E171" s="355"/>
      <c r="F171" s="355"/>
      <c r="I171" s="328"/>
      <c r="K171" s="341">
        <v>448.0</v>
      </c>
      <c r="L171" s="330">
        <v>5.0</v>
      </c>
      <c r="M171" s="331" t="s">
        <v>10030</v>
      </c>
      <c r="N171" s="331" t="s">
        <v>10031</v>
      </c>
      <c r="O171" s="331" t="s">
        <v>9330</v>
      </c>
      <c r="P171" s="332" t="s">
        <v>4835</v>
      </c>
      <c r="Q171" s="335" t="s">
        <v>16785</v>
      </c>
      <c r="R171" s="331" t="s">
        <v>9332</v>
      </c>
      <c r="S171" s="334" t="s">
        <v>6928</v>
      </c>
      <c r="T171" s="303"/>
      <c r="U171" s="303"/>
      <c r="V171" s="303"/>
    </row>
    <row r="172" ht="20.25" customHeight="1">
      <c r="E172" s="355"/>
      <c r="F172" s="355"/>
      <c r="I172" s="328"/>
      <c r="K172" s="329">
        <v>448.0</v>
      </c>
      <c r="L172" s="330">
        <v>5.0</v>
      </c>
      <c r="M172" s="331" t="s">
        <v>9764</v>
      </c>
      <c r="N172" s="331" t="s">
        <v>9765</v>
      </c>
      <c r="O172" s="331" t="s">
        <v>9334</v>
      </c>
      <c r="P172" s="353" t="s">
        <v>9767</v>
      </c>
      <c r="Q172" s="338" t="s">
        <v>16786</v>
      </c>
      <c r="R172" s="331" t="s">
        <v>9336</v>
      </c>
      <c r="S172" s="334" t="s">
        <v>7048</v>
      </c>
      <c r="T172" s="303"/>
      <c r="U172" s="303"/>
      <c r="V172" s="303"/>
    </row>
    <row r="173" ht="20.25" customHeight="1">
      <c r="E173" s="355"/>
      <c r="F173" s="355"/>
      <c r="I173" s="328"/>
      <c r="K173" s="341">
        <v>448.0</v>
      </c>
      <c r="L173" s="330">
        <v>5.0</v>
      </c>
      <c r="M173" s="331" t="s">
        <v>9843</v>
      </c>
      <c r="N173" s="331" t="s">
        <v>9844</v>
      </c>
      <c r="O173" s="331" t="s">
        <v>4952</v>
      </c>
      <c r="P173" s="353" t="s">
        <v>9767</v>
      </c>
      <c r="Q173" s="335" t="s">
        <v>16787</v>
      </c>
      <c r="R173" s="331" t="s">
        <v>6927</v>
      </c>
      <c r="S173" s="334" t="s">
        <v>6928</v>
      </c>
      <c r="T173" s="303"/>
      <c r="U173" s="303"/>
      <c r="V173" s="303"/>
    </row>
    <row r="174" ht="20.25" customHeight="1">
      <c r="E174" s="355"/>
      <c r="F174" s="355"/>
      <c r="I174" s="328"/>
      <c r="K174" s="329">
        <v>448.0</v>
      </c>
      <c r="L174" s="330">
        <v>5.0</v>
      </c>
      <c r="M174" s="331" t="s">
        <v>9571</v>
      </c>
      <c r="N174" s="331" t="s">
        <v>9572</v>
      </c>
      <c r="O174" s="331" t="s">
        <v>9569</v>
      </c>
      <c r="P174" s="353" t="s">
        <v>2300</v>
      </c>
      <c r="Q174" s="389" t="s">
        <v>9574</v>
      </c>
      <c r="R174" s="331" t="s">
        <v>16788</v>
      </c>
      <c r="S174" s="334" t="s">
        <v>7048</v>
      </c>
      <c r="T174" s="303"/>
      <c r="U174" s="303"/>
      <c r="V174" s="303"/>
    </row>
    <row r="175" ht="20.25" customHeight="1">
      <c r="E175" s="355"/>
      <c r="F175" s="355"/>
      <c r="I175" s="328"/>
      <c r="K175" s="342">
        <v>448.0</v>
      </c>
      <c r="L175" s="343">
        <v>5.0</v>
      </c>
      <c r="M175" s="344" t="s">
        <v>11555</v>
      </c>
      <c r="N175" s="344" t="s">
        <v>11556</v>
      </c>
      <c r="O175" s="344" t="s">
        <v>11553</v>
      </c>
      <c r="P175" s="344" t="s">
        <v>16789</v>
      </c>
      <c r="Q175" s="379" t="s">
        <v>16790</v>
      </c>
      <c r="R175" s="344" t="s">
        <v>16791</v>
      </c>
      <c r="S175" s="346" t="s">
        <v>7048</v>
      </c>
      <c r="T175" s="303"/>
      <c r="U175" s="303"/>
      <c r="V175" s="303"/>
    </row>
    <row r="176" ht="20.25" customHeight="1">
      <c r="E176" s="355"/>
      <c r="F176" s="355"/>
      <c r="I176" s="316" t="s">
        <v>16792</v>
      </c>
      <c r="K176" s="323">
        <v>448.0</v>
      </c>
      <c r="L176" s="324">
        <v>5.0</v>
      </c>
      <c r="M176" s="325" t="s">
        <v>16005</v>
      </c>
      <c r="N176" s="325" t="s">
        <v>16006</v>
      </c>
      <c r="O176" s="325" t="s">
        <v>7907</v>
      </c>
      <c r="P176" s="362" t="s">
        <v>1392</v>
      </c>
      <c r="Q176" s="362" t="s">
        <v>16008</v>
      </c>
      <c r="R176" s="325" t="s">
        <v>7909</v>
      </c>
      <c r="S176" s="327" t="s">
        <v>6928</v>
      </c>
      <c r="T176" s="303"/>
      <c r="U176" s="303"/>
      <c r="V176" s="303"/>
    </row>
    <row r="177" ht="20.25" customHeight="1">
      <c r="E177" s="355"/>
      <c r="F177" s="355"/>
      <c r="I177" s="328"/>
      <c r="K177" s="329">
        <v>448.0</v>
      </c>
      <c r="L177" s="330">
        <v>5.0</v>
      </c>
      <c r="M177" s="331" t="s">
        <v>12766</v>
      </c>
      <c r="N177" s="331" t="s">
        <v>12767</v>
      </c>
      <c r="O177" s="331" t="s">
        <v>12764</v>
      </c>
      <c r="P177" s="332" t="s">
        <v>4805</v>
      </c>
      <c r="Q177" s="335" t="s">
        <v>16793</v>
      </c>
      <c r="R177" s="331" t="s">
        <v>7551</v>
      </c>
      <c r="S177" s="334" t="s">
        <v>7552</v>
      </c>
      <c r="T177" s="303"/>
      <c r="U177" s="303"/>
      <c r="V177" s="303"/>
    </row>
    <row r="178" ht="20.25" customHeight="1">
      <c r="E178" s="355"/>
      <c r="F178" s="355"/>
      <c r="I178" s="328"/>
      <c r="K178" s="329">
        <v>448.0</v>
      </c>
      <c r="L178" s="330">
        <v>5.0</v>
      </c>
      <c r="M178" s="331" t="s">
        <v>12879</v>
      </c>
      <c r="N178" s="331" t="s">
        <v>12880</v>
      </c>
      <c r="O178" s="331" t="s">
        <v>12877</v>
      </c>
      <c r="P178" s="332" t="s">
        <v>4805</v>
      </c>
      <c r="Q178" s="331" t="s">
        <v>12881</v>
      </c>
      <c r="R178" s="331" t="s">
        <v>7622</v>
      </c>
      <c r="S178" s="334" t="s">
        <v>7048</v>
      </c>
      <c r="T178" s="303"/>
      <c r="U178" s="303"/>
      <c r="V178" s="303"/>
    </row>
    <row r="179" ht="20.25" customHeight="1">
      <c r="E179" s="355"/>
      <c r="F179" s="355"/>
      <c r="I179" s="328"/>
      <c r="K179" s="341">
        <v>448.0</v>
      </c>
      <c r="L179" s="330">
        <v>5.0</v>
      </c>
      <c r="M179" s="331" t="s">
        <v>12786</v>
      </c>
      <c r="N179" s="331" t="s">
        <v>12787</v>
      </c>
      <c r="O179" s="331" t="s">
        <v>340</v>
      </c>
      <c r="P179" s="331" t="s">
        <v>4835</v>
      </c>
      <c r="Q179" s="331" t="s">
        <v>16794</v>
      </c>
      <c r="R179" s="331" t="s">
        <v>7588</v>
      </c>
      <c r="S179" s="334" t="s">
        <v>7157</v>
      </c>
      <c r="T179" s="303"/>
      <c r="U179" s="303"/>
      <c r="V179" s="303"/>
    </row>
    <row r="180" ht="20.25" customHeight="1">
      <c r="E180" s="355"/>
      <c r="F180" s="355"/>
      <c r="I180" s="328"/>
      <c r="K180" s="341">
        <v>448.0</v>
      </c>
      <c r="L180" s="330">
        <v>5.0</v>
      </c>
      <c r="M180" s="331" t="s">
        <v>12864</v>
      </c>
      <c r="N180" s="331" t="s">
        <v>12865</v>
      </c>
      <c r="O180" s="331" t="s">
        <v>12862</v>
      </c>
      <c r="P180" s="332" t="s">
        <v>4835</v>
      </c>
      <c r="Q180" s="331" t="s">
        <v>12866</v>
      </c>
      <c r="R180" s="331" t="s">
        <v>7627</v>
      </c>
      <c r="S180" s="334" t="s">
        <v>6928</v>
      </c>
      <c r="T180" s="303"/>
      <c r="U180" s="303"/>
      <c r="V180" s="303"/>
    </row>
    <row r="181" ht="20.25" customHeight="1">
      <c r="E181" s="355"/>
      <c r="F181" s="355"/>
      <c r="I181" s="328"/>
      <c r="K181" s="341">
        <v>448.0</v>
      </c>
      <c r="L181" s="330">
        <v>5.0</v>
      </c>
      <c r="M181" s="331" t="s">
        <v>12833</v>
      </c>
      <c r="N181" s="331" t="s">
        <v>12834</v>
      </c>
      <c r="O181" s="331" t="s">
        <v>12831</v>
      </c>
      <c r="P181" s="332" t="s">
        <v>10056</v>
      </c>
      <c r="Q181" s="335" t="s">
        <v>16795</v>
      </c>
      <c r="R181" s="331" t="s">
        <v>16796</v>
      </c>
      <c r="S181" s="334" t="s">
        <v>6928</v>
      </c>
      <c r="T181" s="303"/>
      <c r="U181" s="303"/>
      <c r="V181" s="303"/>
    </row>
    <row r="182" ht="20.25" customHeight="1">
      <c r="E182" s="355"/>
      <c r="F182" s="355"/>
      <c r="I182" s="328"/>
      <c r="K182" s="341">
        <v>448.0</v>
      </c>
      <c r="L182" s="330">
        <v>5.0</v>
      </c>
      <c r="M182" s="331" t="s">
        <v>12838</v>
      </c>
      <c r="N182" s="331" t="s">
        <v>12839</v>
      </c>
      <c r="O182" s="331" t="s">
        <v>12836</v>
      </c>
      <c r="P182" s="332" t="s">
        <v>10056</v>
      </c>
      <c r="Q182" s="332" t="s">
        <v>12840</v>
      </c>
      <c r="R182" s="331" t="s">
        <v>16797</v>
      </c>
      <c r="S182" s="334" t="s">
        <v>6928</v>
      </c>
      <c r="T182" s="303"/>
      <c r="U182" s="303"/>
      <c r="V182" s="303"/>
    </row>
    <row r="183" ht="20.25" customHeight="1">
      <c r="E183" s="355"/>
      <c r="F183" s="355"/>
      <c r="I183" s="328"/>
      <c r="K183" s="329">
        <v>448.0</v>
      </c>
      <c r="L183" s="330">
        <v>5.0</v>
      </c>
      <c r="M183" s="331" t="s">
        <v>12922</v>
      </c>
      <c r="N183" s="331" t="s">
        <v>12923</v>
      </c>
      <c r="O183" s="331" t="s">
        <v>12921</v>
      </c>
      <c r="P183" s="332" t="s">
        <v>10056</v>
      </c>
      <c r="Q183" s="332" t="s">
        <v>5146</v>
      </c>
      <c r="R183" s="331" t="s">
        <v>7201</v>
      </c>
      <c r="S183" s="334" t="s">
        <v>7048</v>
      </c>
      <c r="T183" s="303"/>
      <c r="U183" s="303"/>
      <c r="V183" s="303"/>
    </row>
    <row r="184" ht="20.25" customHeight="1">
      <c r="E184" s="355"/>
      <c r="F184" s="355"/>
      <c r="I184" s="328"/>
      <c r="K184" s="341">
        <v>448.0</v>
      </c>
      <c r="L184" s="330">
        <v>5.0</v>
      </c>
      <c r="M184" s="331" t="s">
        <v>10339</v>
      </c>
      <c r="N184" s="331" t="s">
        <v>12779</v>
      </c>
      <c r="O184" s="331" t="s">
        <v>12777</v>
      </c>
      <c r="P184" s="332" t="s">
        <v>16798</v>
      </c>
      <c r="Q184" s="338" t="s">
        <v>16799</v>
      </c>
      <c r="R184" s="331" t="s">
        <v>7631</v>
      </c>
      <c r="S184" s="334" t="s">
        <v>6928</v>
      </c>
      <c r="T184" s="303"/>
      <c r="U184" s="303"/>
      <c r="V184" s="303"/>
    </row>
    <row r="185" ht="20.25" customHeight="1">
      <c r="E185" s="355"/>
      <c r="F185" s="355"/>
      <c r="I185" s="328"/>
      <c r="K185" s="341">
        <v>448.0</v>
      </c>
      <c r="L185" s="330">
        <v>5.0</v>
      </c>
      <c r="M185" s="331" t="s">
        <v>12815</v>
      </c>
      <c r="N185" s="331" t="s">
        <v>12816</v>
      </c>
      <c r="O185" s="331" t="s">
        <v>12814</v>
      </c>
      <c r="P185" s="332" t="s">
        <v>10118</v>
      </c>
      <c r="Q185" s="338" t="s">
        <v>16800</v>
      </c>
      <c r="R185" s="331" t="s">
        <v>7561</v>
      </c>
      <c r="S185" s="334" t="s">
        <v>6928</v>
      </c>
      <c r="T185" s="303"/>
      <c r="U185" s="303"/>
      <c r="V185" s="303"/>
    </row>
    <row r="186" ht="20.25" customHeight="1">
      <c r="E186" s="355"/>
      <c r="F186" s="355"/>
      <c r="I186" s="328"/>
      <c r="K186" s="341">
        <v>448.0</v>
      </c>
      <c r="L186" s="330">
        <v>5.0</v>
      </c>
      <c r="M186" s="331" t="s">
        <v>12927</v>
      </c>
      <c r="N186" s="331" t="s">
        <v>12928</v>
      </c>
      <c r="O186" s="331" t="s">
        <v>12926</v>
      </c>
      <c r="P186" s="332" t="s">
        <v>10028</v>
      </c>
      <c r="Q186" s="335" t="s">
        <v>16801</v>
      </c>
      <c r="R186" s="331" t="s">
        <v>7565</v>
      </c>
      <c r="S186" s="334" t="s">
        <v>7566</v>
      </c>
      <c r="T186" s="303"/>
      <c r="U186" s="303"/>
      <c r="V186" s="303"/>
    </row>
    <row r="187" ht="20.25" customHeight="1">
      <c r="E187" s="355"/>
      <c r="F187" s="355"/>
      <c r="I187" s="328"/>
      <c r="K187" s="329">
        <v>448.0</v>
      </c>
      <c r="L187" s="330">
        <v>5.0</v>
      </c>
      <c r="M187" s="331" t="s">
        <v>12828</v>
      </c>
      <c r="N187" s="331" t="s">
        <v>12829</v>
      </c>
      <c r="O187" s="331" t="s">
        <v>12827</v>
      </c>
      <c r="P187" s="331" t="s">
        <v>9390</v>
      </c>
      <c r="Q187" s="354" t="s">
        <v>16802</v>
      </c>
      <c r="R187" s="331" t="s">
        <v>7573</v>
      </c>
      <c r="S187" s="334" t="s">
        <v>7048</v>
      </c>
      <c r="T187" s="303"/>
      <c r="U187" s="303"/>
      <c r="V187" s="303"/>
    </row>
    <row r="188" ht="20.25" customHeight="1">
      <c r="E188" s="355"/>
      <c r="F188" s="355"/>
      <c r="I188" s="328"/>
      <c r="K188" s="341">
        <v>448.0</v>
      </c>
      <c r="L188" s="330">
        <v>5.0</v>
      </c>
      <c r="M188" s="331" t="s">
        <v>12868</v>
      </c>
      <c r="N188" s="331" t="s">
        <v>12869</v>
      </c>
      <c r="O188" s="331" t="s">
        <v>12867</v>
      </c>
      <c r="P188" s="331" t="s">
        <v>10028</v>
      </c>
      <c r="Q188" s="331" t="s">
        <v>16803</v>
      </c>
      <c r="R188" s="336"/>
      <c r="S188" s="337"/>
      <c r="T188" s="303"/>
      <c r="U188" s="303"/>
      <c r="V188" s="303"/>
    </row>
    <row r="189" ht="20.25" customHeight="1">
      <c r="E189" s="355"/>
      <c r="F189" s="355"/>
      <c r="I189" s="328"/>
      <c r="K189" s="341">
        <v>448.0</v>
      </c>
      <c r="L189" s="330">
        <v>5.0</v>
      </c>
      <c r="M189" s="331" t="s">
        <v>12917</v>
      </c>
      <c r="N189" s="331" t="s">
        <v>12918</v>
      </c>
      <c r="O189" s="331" t="s">
        <v>12916</v>
      </c>
      <c r="P189" s="331" t="s">
        <v>10028</v>
      </c>
      <c r="Q189" s="338" t="s">
        <v>16804</v>
      </c>
      <c r="R189" s="331" t="s">
        <v>16805</v>
      </c>
      <c r="S189" s="334" t="s">
        <v>7157</v>
      </c>
      <c r="T189" s="303"/>
      <c r="U189" s="303"/>
      <c r="V189" s="303"/>
    </row>
    <row r="190" ht="20.25" customHeight="1">
      <c r="E190" s="355"/>
      <c r="F190" s="355"/>
      <c r="I190" s="328"/>
      <c r="K190" s="341">
        <v>448.0</v>
      </c>
      <c r="L190" s="330">
        <v>5.0</v>
      </c>
      <c r="M190" s="331" t="s">
        <v>12795</v>
      </c>
      <c r="N190" s="331" t="s">
        <v>12796</v>
      </c>
      <c r="O190" s="331" t="s">
        <v>12793</v>
      </c>
      <c r="P190" s="331" t="s">
        <v>10028</v>
      </c>
      <c r="Q190" s="338" t="s">
        <v>16806</v>
      </c>
      <c r="R190" s="331" t="s">
        <v>7555</v>
      </c>
      <c r="S190" s="334" t="s">
        <v>7186</v>
      </c>
      <c r="T190" s="303"/>
      <c r="U190" s="303"/>
      <c r="V190" s="303"/>
    </row>
    <row r="191" ht="20.25" customHeight="1">
      <c r="E191" s="355"/>
      <c r="F191" s="355"/>
      <c r="I191" s="328"/>
      <c r="K191" s="341">
        <v>448.0</v>
      </c>
      <c r="L191" s="330">
        <v>5.0</v>
      </c>
      <c r="M191" s="331" t="s">
        <v>10666</v>
      </c>
      <c r="N191" s="331" t="s">
        <v>12804</v>
      </c>
      <c r="O191" s="331" t="s">
        <v>12803</v>
      </c>
      <c r="P191" s="331" t="s">
        <v>10028</v>
      </c>
      <c r="Q191" s="338" t="s">
        <v>16807</v>
      </c>
      <c r="R191" s="331" t="s">
        <v>16808</v>
      </c>
      <c r="S191" s="334" t="s">
        <v>7157</v>
      </c>
      <c r="T191" s="303"/>
      <c r="U191" s="303"/>
      <c r="V191" s="303"/>
    </row>
    <row r="192" ht="20.25" customHeight="1">
      <c r="E192" s="355"/>
      <c r="F192" s="355"/>
      <c r="I192" s="328"/>
      <c r="K192" s="341">
        <v>448.0</v>
      </c>
      <c r="L192" s="330">
        <v>5.0</v>
      </c>
      <c r="M192" s="331" t="s">
        <v>12819</v>
      </c>
      <c r="N192" s="331" t="s">
        <v>12820</v>
      </c>
      <c r="O192" s="331" t="s">
        <v>12818</v>
      </c>
      <c r="P192" s="340" t="s">
        <v>10028</v>
      </c>
      <c r="Q192" s="340" t="s">
        <v>16809</v>
      </c>
      <c r="R192" s="374" t="s">
        <v>7577</v>
      </c>
      <c r="S192" s="375" t="s">
        <v>7414</v>
      </c>
      <c r="T192" s="303"/>
      <c r="U192" s="303"/>
      <c r="V192" s="303"/>
    </row>
    <row r="193" ht="20.25" customHeight="1">
      <c r="E193" s="355"/>
      <c r="F193" s="355"/>
      <c r="I193" s="328"/>
      <c r="K193" s="341">
        <v>448.0</v>
      </c>
      <c r="L193" s="330">
        <v>5.0</v>
      </c>
      <c r="M193" s="331" t="s">
        <v>12940</v>
      </c>
      <c r="N193" s="331" t="s">
        <v>12941</v>
      </c>
      <c r="O193" s="331" t="s">
        <v>12939</v>
      </c>
      <c r="P193" s="331" t="s">
        <v>12944</v>
      </c>
      <c r="Q193" s="338" t="s">
        <v>16810</v>
      </c>
      <c r="R193" s="331" t="s">
        <v>7558</v>
      </c>
      <c r="S193" s="334" t="s">
        <v>7157</v>
      </c>
      <c r="T193" s="303"/>
      <c r="U193" s="303"/>
      <c r="V193" s="303"/>
    </row>
    <row r="194" ht="20.25" customHeight="1">
      <c r="E194" s="355"/>
      <c r="F194" s="355"/>
      <c r="I194" s="328"/>
      <c r="K194" s="341">
        <v>448.0</v>
      </c>
      <c r="L194" s="330">
        <v>5.0</v>
      </c>
      <c r="M194" s="331" t="s">
        <v>12936</v>
      </c>
      <c r="N194" s="331" t="s">
        <v>12937</v>
      </c>
      <c r="O194" s="331" t="s">
        <v>12935</v>
      </c>
      <c r="P194" s="332" t="s">
        <v>9503</v>
      </c>
      <c r="Q194" s="335" t="s">
        <v>16811</v>
      </c>
      <c r="R194" s="331" t="s">
        <v>7584</v>
      </c>
      <c r="S194" s="334" t="s">
        <v>7375</v>
      </c>
      <c r="T194" s="303"/>
      <c r="U194" s="303"/>
      <c r="V194" s="303"/>
    </row>
    <row r="195" ht="20.25" customHeight="1">
      <c r="E195" s="355"/>
      <c r="F195" s="355"/>
      <c r="I195" s="328"/>
      <c r="K195" s="341">
        <v>448.0</v>
      </c>
      <c r="L195" s="330">
        <v>5.0</v>
      </c>
      <c r="M195" s="331" t="s">
        <v>12789</v>
      </c>
      <c r="N195" s="331" t="s">
        <v>12790</v>
      </c>
      <c r="O195" s="331" t="s">
        <v>12788</v>
      </c>
      <c r="P195" s="331" t="s">
        <v>9503</v>
      </c>
      <c r="Q195" s="338" t="s">
        <v>16812</v>
      </c>
      <c r="R195" s="331" t="s">
        <v>7580</v>
      </c>
      <c r="S195" s="334" t="s">
        <v>7157</v>
      </c>
      <c r="T195" s="303"/>
      <c r="U195" s="303"/>
      <c r="V195" s="303"/>
    </row>
    <row r="196" ht="20.25" customHeight="1">
      <c r="E196" s="355"/>
      <c r="F196" s="355"/>
      <c r="I196" s="328"/>
      <c r="K196" s="341">
        <v>448.0</v>
      </c>
      <c r="L196" s="330">
        <v>5.0</v>
      </c>
      <c r="M196" s="331" t="s">
        <v>9967</v>
      </c>
      <c r="N196" s="331" t="s">
        <v>12902</v>
      </c>
      <c r="O196" s="331" t="s">
        <v>12901</v>
      </c>
      <c r="P196" s="332" t="s">
        <v>12904</v>
      </c>
      <c r="Q196" s="335" t="s">
        <v>16813</v>
      </c>
      <c r="R196" s="331" t="s">
        <v>7635</v>
      </c>
      <c r="S196" s="334" t="s">
        <v>7566</v>
      </c>
      <c r="T196" s="303"/>
      <c r="U196" s="303"/>
      <c r="V196" s="303"/>
    </row>
    <row r="197" ht="20.25" customHeight="1">
      <c r="E197" s="355"/>
      <c r="F197" s="355"/>
      <c r="I197" s="328"/>
      <c r="K197" s="341">
        <v>448.0</v>
      </c>
      <c r="L197" s="330">
        <v>5.0</v>
      </c>
      <c r="M197" s="331" t="s">
        <v>12731</v>
      </c>
      <c r="N197" s="331" t="s">
        <v>12946</v>
      </c>
      <c r="O197" s="331" t="s">
        <v>12945</v>
      </c>
      <c r="P197" s="331" t="s">
        <v>12896</v>
      </c>
      <c r="Q197" s="338" t="s">
        <v>16814</v>
      </c>
      <c r="R197" s="331" t="s">
        <v>7659</v>
      </c>
      <c r="S197" s="334" t="s">
        <v>7157</v>
      </c>
      <c r="T197" s="303"/>
      <c r="U197" s="303"/>
      <c r="V197" s="303"/>
    </row>
    <row r="198" ht="20.25" customHeight="1">
      <c r="E198" s="355"/>
      <c r="F198" s="355"/>
      <c r="I198" s="328"/>
      <c r="K198" s="341">
        <v>448.0</v>
      </c>
      <c r="L198" s="330">
        <v>5.0</v>
      </c>
      <c r="M198" s="331" t="s">
        <v>11852</v>
      </c>
      <c r="N198" s="331" t="s">
        <v>12894</v>
      </c>
      <c r="O198" s="331" t="s">
        <v>12893</v>
      </c>
      <c r="P198" s="331" t="s">
        <v>12896</v>
      </c>
      <c r="Q198" s="338" t="s">
        <v>16815</v>
      </c>
      <c r="R198" s="336"/>
      <c r="S198" s="337"/>
      <c r="T198" s="303"/>
      <c r="U198" s="303"/>
      <c r="V198" s="303"/>
    </row>
    <row r="199" ht="20.25" customHeight="1">
      <c r="E199" s="355"/>
      <c r="F199" s="355"/>
      <c r="I199" s="328"/>
      <c r="K199" s="341">
        <v>448.0</v>
      </c>
      <c r="L199" s="330">
        <v>5.0</v>
      </c>
      <c r="M199" s="331" t="s">
        <v>12842</v>
      </c>
      <c r="N199" s="331" t="s">
        <v>12843</v>
      </c>
      <c r="O199" s="331" t="s">
        <v>12841</v>
      </c>
      <c r="P199" s="332" t="s">
        <v>12845</v>
      </c>
      <c r="Q199" s="335" t="s">
        <v>16816</v>
      </c>
      <c r="R199" s="331" t="s">
        <v>7639</v>
      </c>
      <c r="S199" s="334" t="s">
        <v>7093</v>
      </c>
      <c r="T199" s="303"/>
      <c r="U199" s="303"/>
      <c r="V199" s="303"/>
    </row>
    <row r="200" ht="20.25" customHeight="1">
      <c r="E200" s="355"/>
      <c r="F200" s="355"/>
      <c r="I200" s="328"/>
      <c r="K200" s="341">
        <v>448.0</v>
      </c>
      <c r="L200" s="330">
        <v>5.0</v>
      </c>
      <c r="M200" s="331" t="s">
        <v>12071</v>
      </c>
      <c r="N200" s="331" t="s">
        <v>12913</v>
      </c>
      <c r="O200" s="331" t="s">
        <v>12911</v>
      </c>
      <c r="P200" s="331" t="s">
        <v>12414</v>
      </c>
      <c r="Q200" s="338" t="s">
        <v>16817</v>
      </c>
      <c r="R200" s="331" t="s">
        <v>7643</v>
      </c>
      <c r="S200" s="334" t="s">
        <v>7093</v>
      </c>
      <c r="T200" s="303"/>
      <c r="U200" s="303"/>
      <c r="V200" s="303"/>
    </row>
    <row r="201" ht="20.25" customHeight="1">
      <c r="E201" s="355"/>
      <c r="F201" s="355"/>
      <c r="I201" s="328"/>
      <c r="K201" s="341">
        <v>448.0</v>
      </c>
      <c r="L201" s="330">
        <v>5.0</v>
      </c>
      <c r="M201" s="331" t="s">
        <v>12782</v>
      </c>
      <c r="N201" s="331" t="s">
        <v>12783</v>
      </c>
      <c r="O201" s="331" t="s">
        <v>12781</v>
      </c>
      <c r="P201" s="331" t="s">
        <v>12414</v>
      </c>
      <c r="Q201" s="335" t="s">
        <v>16818</v>
      </c>
      <c r="R201" s="331" t="s">
        <v>7655</v>
      </c>
      <c r="S201" s="334" t="s">
        <v>6928</v>
      </c>
      <c r="T201" s="303"/>
      <c r="U201" s="303"/>
      <c r="V201" s="303"/>
    </row>
    <row r="202" ht="20.25" customHeight="1">
      <c r="E202" s="355"/>
      <c r="F202" s="355"/>
      <c r="I202" s="328"/>
      <c r="K202" s="341">
        <v>448.0</v>
      </c>
      <c r="L202" s="330">
        <v>5.0</v>
      </c>
      <c r="M202" s="331" t="s">
        <v>12873</v>
      </c>
      <c r="N202" s="331" t="s">
        <v>12874</v>
      </c>
      <c r="O202" s="331" t="s">
        <v>12871</v>
      </c>
      <c r="P202" s="332" t="s">
        <v>9649</v>
      </c>
      <c r="Q202" s="353" t="s">
        <v>12876</v>
      </c>
      <c r="R202" s="336"/>
      <c r="S202" s="337"/>
      <c r="T202" s="303"/>
      <c r="U202" s="303"/>
      <c r="V202" s="303"/>
    </row>
    <row r="203" ht="20.25" customHeight="1">
      <c r="E203" s="355"/>
      <c r="F203" s="355"/>
      <c r="I203" s="328"/>
      <c r="K203" s="341">
        <v>448.0</v>
      </c>
      <c r="L203" s="330">
        <v>5.0</v>
      </c>
      <c r="M203" s="331" t="s">
        <v>12859</v>
      </c>
      <c r="N203" s="331" t="s">
        <v>12860</v>
      </c>
      <c r="O203" s="331" t="s">
        <v>12858</v>
      </c>
      <c r="P203" s="331" t="s">
        <v>1386</v>
      </c>
      <c r="Q203" s="338" t="s">
        <v>16819</v>
      </c>
      <c r="R203" s="331" t="s">
        <v>7667</v>
      </c>
      <c r="S203" s="334" t="s">
        <v>7157</v>
      </c>
      <c r="T203" s="303"/>
      <c r="U203" s="303"/>
      <c r="V203" s="303"/>
    </row>
    <row r="204" ht="20.25" customHeight="1">
      <c r="E204" s="355"/>
      <c r="F204" s="355"/>
      <c r="I204" s="328"/>
      <c r="K204" s="341">
        <v>448.0</v>
      </c>
      <c r="L204" s="330">
        <v>5.0</v>
      </c>
      <c r="M204" s="331" t="s">
        <v>12824</v>
      </c>
      <c r="N204" s="331" t="s">
        <v>12825</v>
      </c>
      <c r="O204" s="331" t="s">
        <v>12822</v>
      </c>
      <c r="P204" s="331" t="s">
        <v>1386</v>
      </c>
      <c r="Q204" s="338" t="s">
        <v>16820</v>
      </c>
      <c r="R204" s="331" t="s">
        <v>7663</v>
      </c>
      <c r="S204" s="334" t="s">
        <v>7093</v>
      </c>
      <c r="T204" s="303"/>
      <c r="U204" s="303"/>
      <c r="V204" s="303"/>
    </row>
    <row r="205" ht="20.25" customHeight="1">
      <c r="E205" s="355"/>
      <c r="F205" s="355"/>
      <c r="I205" s="328"/>
      <c r="K205" s="341">
        <v>448.0</v>
      </c>
      <c r="L205" s="330">
        <v>5.0</v>
      </c>
      <c r="M205" s="331" t="s">
        <v>12889</v>
      </c>
      <c r="N205" s="331" t="s">
        <v>12890</v>
      </c>
      <c r="O205" s="331" t="s">
        <v>12887</v>
      </c>
      <c r="P205" s="331" t="s">
        <v>12857</v>
      </c>
      <c r="Q205" s="335" t="s">
        <v>16821</v>
      </c>
      <c r="R205" s="374" t="s">
        <v>7675</v>
      </c>
      <c r="S205" s="375" t="s">
        <v>7031</v>
      </c>
      <c r="T205" s="303"/>
      <c r="U205" s="303"/>
      <c r="V205" s="303"/>
    </row>
    <row r="206" ht="20.25" customHeight="1">
      <c r="E206" s="355"/>
      <c r="F206" s="355"/>
      <c r="I206" s="328"/>
      <c r="K206" s="341">
        <v>448.0</v>
      </c>
      <c r="L206" s="330">
        <v>5.0</v>
      </c>
      <c r="M206" s="331" t="s">
        <v>12853</v>
      </c>
      <c r="N206" s="331" t="s">
        <v>12854</v>
      </c>
      <c r="O206" s="331" t="s">
        <v>12852</v>
      </c>
      <c r="P206" s="332" t="s">
        <v>12857</v>
      </c>
      <c r="Q206" s="335" t="s">
        <v>16822</v>
      </c>
      <c r="R206" s="374" t="s">
        <v>7593</v>
      </c>
      <c r="S206" s="375" t="s">
        <v>7031</v>
      </c>
      <c r="T206" s="303"/>
      <c r="U206" s="303"/>
      <c r="V206" s="303"/>
    </row>
    <row r="207" ht="20.25" customHeight="1">
      <c r="E207" s="355"/>
      <c r="F207" s="355"/>
      <c r="I207" s="328"/>
      <c r="K207" s="341">
        <v>448.0</v>
      </c>
      <c r="L207" s="330">
        <v>5.0</v>
      </c>
      <c r="M207" s="331" t="s">
        <v>12931</v>
      </c>
      <c r="N207" s="331" t="s">
        <v>12932</v>
      </c>
      <c r="O207" s="331" t="s">
        <v>12930</v>
      </c>
      <c r="P207" s="331" t="s">
        <v>2300</v>
      </c>
      <c r="Q207" s="338" t="s">
        <v>16823</v>
      </c>
      <c r="R207" s="331" t="s">
        <v>7617</v>
      </c>
      <c r="S207" s="334" t="s">
        <v>7157</v>
      </c>
      <c r="T207" s="303"/>
      <c r="U207" s="303"/>
      <c r="V207" s="303"/>
    </row>
    <row r="208" ht="20.25" customHeight="1">
      <c r="E208" s="355"/>
      <c r="F208" s="355"/>
      <c r="I208" s="328"/>
      <c r="K208" s="341">
        <v>448.0</v>
      </c>
      <c r="L208" s="330">
        <v>5.0</v>
      </c>
      <c r="M208" s="331" t="s">
        <v>12800</v>
      </c>
      <c r="N208" s="331" t="s">
        <v>11628</v>
      </c>
      <c r="O208" s="331" t="s">
        <v>12798</v>
      </c>
      <c r="P208" s="331" t="s">
        <v>2300</v>
      </c>
      <c r="Q208" s="338" t="s">
        <v>16824</v>
      </c>
      <c r="R208" s="331" t="s">
        <v>7607</v>
      </c>
      <c r="S208" s="334" t="s">
        <v>7157</v>
      </c>
      <c r="T208" s="303"/>
      <c r="U208" s="303"/>
      <c r="V208" s="303"/>
    </row>
    <row r="209" ht="20.25" customHeight="1">
      <c r="E209" s="355"/>
      <c r="F209" s="355"/>
      <c r="I209" s="328"/>
      <c r="K209" s="341">
        <v>448.0</v>
      </c>
      <c r="L209" s="330">
        <v>5.0</v>
      </c>
      <c r="M209" s="331" t="s">
        <v>12811</v>
      </c>
      <c r="N209" s="331" t="s">
        <v>12812</v>
      </c>
      <c r="O209" s="331" t="s">
        <v>12810</v>
      </c>
      <c r="P209" s="331" t="s">
        <v>2300</v>
      </c>
      <c r="Q209" s="338" t="s">
        <v>16825</v>
      </c>
      <c r="R209" s="374" t="s">
        <v>7614</v>
      </c>
      <c r="S209" s="375" t="s">
        <v>7136</v>
      </c>
      <c r="T209" s="303"/>
      <c r="U209" s="303"/>
      <c r="V209" s="303"/>
    </row>
    <row r="210" ht="20.25" customHeight="1">
      <c r="E210" s="355"/>
      <c r="F210" s="355"/>
      <c r="I210" s="328"/>
      <c r="K210" s="382">
        <v>448.0</v>
      </c>
      <c r="L210" s="343">
        <v>5.0</v>
      </c>
      <c r="M210" s="344" t="s">
        <v>12907</v>
      </c>
      <c r="N210" s="344" t="s">
        <v>12908</v>
      </c>
      <c r="O210" s="344" t="s">
        <v>12905</v>
      </c>
      <c r="P210" s="344" t="s">
        <v>12910</v>
      </c>
      <c r="Q210" s="379" t="s">
        <v>16826</v>
      </c>
      <c r="R210" s="344" t="s">
        <v>7603</v>
      </c>
      <c r="S210" s="346" t="s">
        <v>6928</v>
      </c>
      <c r="T210" s="303"/>
      <c r="U210" s="303"/>
      <c r="V210" s="303"/>
    </row>
    <row r="211" ht="20.25" customHeight="1">
      <c r="E211" s="355"/>
      <c r="F211" s="355"/>
      <c r="I211" s="316" t="s">
        <v>16827</v>
      </c>
      <c r="K211" s="323">
        <v>448.0</v>
      </c>
      <c r="L211" s="324">
        <v>6.0</v>
      </c>
      <c r="M211" s="325" t="s">
        <v>14486</v>
      </c>
      <c r="N211" s="325" t="s">
        <v>14487</v>
      </c>
      <c r="O211" s="325" t="s">
        <v>14484</v>
      </c>
      <c r="P211" s="325" t="s">
        <v>12321</v>
      </c>
      <c r="Q211" s="325" t="s">
        <v>16828</v>
      </c>
      <c r="R211" s="325" t="s">
        <v>16829</v>
      </c>
      <c r="S211" s="327" t="s">
        <v>6928</v>
      </c>
      <c r="T211" s="303"/>
      <c r="U211" s="303"/>
      <c r="V211" s="303"/>
    </row>
    <row r="212" ht="20.25" customHeight="1">
      <c r="E212" s="355"/>
      <c r="F212" s="355"/>
      <c r="I212" s="328"/>
      <c r="K212" s="341">
        <v>448.0</v>
      </c>
      <c r="L212" s="330">
        <v>6.0</v>
      </c>
      <c r="M212" s="331" t="s">
        <v>14261</v>
      </c>
      <c r="N212" s="331" t="s">
        <v>14262</v>
      </c>
      <c r="O212" s="331" t="s">
        <v>7677</v>
      </c>
      <c r="P212" s="332" t="s">
        <v>14265</v>
      </c>
      <c r="Q212" s="332" t="s">
        <v>14264</v>
      </c>
      <c r="R212" s="331" t="s">
        <v>16830</v>
      </c>
      <c r="S212" s="334" t="s">
        <v>6928</v>
      </c>
      <c r="T212" s="303"/>
      <c r="U212" s="303"/>
      <c r="V212" s="303"/>
    </row>
    <row r="213" ht="20.25" customHeight="1">
      <c r="E213" s="355"/>
      <c r="F213" s="355"/>
      <c r="I213" s="328"/>
      <c r="K213" s="382">
        <v>448.0</v>
      </c>
      <c r="L213" s="343">
        <v>6.0</v>
      </c>
      <c r="M213" s="344" t="s">
        <v>14797</v>
      </c>
      <c r="N213" s="344" t="s">
        <v>14798</v>
      </c>
      <c r="O213" s="344" t="s">
        <v>7683</v>
      </c>
      <c r="P213" s="386" t="s">
        <v>16831</v>
      </c>
      <c r="Q213" s="344" t="s">
        <v>14799</v>
      </c>
      <c r="R213" s="344" t="s">
        <v>16832</v>
      </c>
      <c r="S213" s="346" t="s">
        <v>7186</v>
      </c>
      <c r="T213" s="303"/>
      <c r="U213" s="303"/>
      <c r="V213" s="303"/>
    </row>
    <row r="214" ht="20.25" customHeight="1">
      <c r="E214" s="355"/>
      <c r="F214" s="355"/>
      <c r="I214" s="316" t="s">
        <v>16833</v>
      </c>
      <c r="K214" s="329">
        <v>448.0</v>
      </c>
      <c r="L214" s="330">
        <v>6.0</v>
      </c>
      <c r="M214" s="331" t="s">
        <v>13341</v>
      </c>
      <c r="N214" s="331" t="s">
        <v>13342</v>
      </c>
      <c r="O214" s="331" t="s">
        <v>7807</v>
      </c>
      <c r="P214" s="381" t="s">
        <v>16834</v>
      </c>
      <c r="Q214" s="335" t="s">
        <v>16835</v>
      </c>
      <c r="R214" s="331" t="s">
        <v>16836</v>
      </c>
      <c r="S214" s="334" t="s">
        <v>7048</v>
      </c>
      <c r="T214" s="303"/>
      <c r="U214" s="303"/>
      <c r="V214" s="303"/>
    </row>
    <row r="215" ht="20.25" customHeight="1">
      <c r="E215" s="355"/>
      <c r="F215" s="355"/>
      <c r="I215" s="328"/>
      <c r="K215" s="341">
        <v>448.0</v>
      </c>
      <c r="L215" s="330">
        <v>6.0</v>
      </c>
      <c r="M215" s="331" t="s">
        <v>13096</v>
      </c>
      <c r="N215" s="331" t="s">
        <v>13103</v>
      </c>
      <c r="O215" s="331" t="s">
        <v>7803</v>
      </c>
      <c r="P215" s="381" t="s">
        <v>2062</v>
      </c>
      <c r="Q215" s="335" t="s">
        <v>16837</v>
      </c>
      <c r="R215" s="336"/>
      <c r="S215" s="337"/>
      <c r="T215" s="303"/>
      <c r="U215" s="303"/>
      <c r="V215" s="303"/>
    </row>
    <row r="216" ht="20.25" customHeight="1">
      <c r="E216" s="355"/>
      <c r="F216" s="355"/>
      <c r="I216" s="328"/>
      <c r="K216" s="329">
        <v>448.0</v>
      </c>
      <c r="L216" s="330">
        <v>6.0</v>
      </c>
      <c r="M216" s="331" t="s">
        <v>15800</v>
      </c>
      <c r="N216" s="331" t="s">
        <v>14427</v>
      </c>
      <c r="O216" s="331" t="s">
        <v>7820</v>
      </c>
      <c r="P216" s="332" t="s">
        <v>10056</v>
      </c>
      <c r="Q216" s="332" t="s">
        <v>16838</v>
      </c>
      <c r="R216" s="331" t="s">
        <v>16839</v>
      </c>
      <c r="S216" s="334" t="s">
        <v>7048</v>
      </c>
      <c r="T216" s="303"/>
      <c r="U216" s="303"/>
      <c r="V216" s="303"/>
    </row>
    <row r="217" ht="20.25" customHeight="1">
      <c r="E217" s="355"/>
      <c r="F217" s="355"/>
      <c r="I217" s="328"/>
      <c r="K217" s="341">
        <v>448.0</v>
      </c>
      <c r="L217" s="330">
        <v>6.0</v>
      </c>
      <c r="M217" s="331" t="s">
        <v>14068</v>
      </c>
      <c r="N217" s="331" t="s">
        <v>14069</v>
      </c>
      <c r="O217" s="331" t="s">
        <v>7828</v>
      </c>
      <c r="P217" s="381" t="s">
        <v>4756</v>
      </c>
      <c r="Q217" s="335" t="s">
        <v>16840</v>
      </c>
      <c r="R217" s="331" t="s">
        <v>16841</v>
      </c>
      <c r="S217" s="334" t="s">
        <v>7157</v>
      </c>
      <c r="T217" s="303"/>
      <c r="U217" s="303"/>
      <c r="V217" s="303"/>
    </row>
    <row r="218" ht="20.25" customHeight="1">
      <c r="E218" s="355"/>
      <c r="F218" s="355"/>
      <c r="I218" s="328"/>
      <c r="K218" s="341">
        <v>448.0</v>
      </c>
      <c r="L218" s="330">
        <v>6.0</v>
      </c>
      <c r="M218" s="331" t="s">
        <v>14066</v>
      </c>
      <c r="N218" s="331" t="s">
        <v>12750</v>
      </c>
      <c r="O218" s="331" t="s">
        <v>7816</v>
      </c>
      <c r="P218" s="381" t="s">
        <v>4756</v>
      </c>
      <c r="Q218" s="332" t="s">
        <v>14067</v>
      </c>
      <c r="R218" s="331" t="s">
        <v>7818</v>
      </c>
      <c r="S218" s="334" t="s">
        <v>6928</v>
      </c>
      <c r="T218" s="303"/>
      <c r="U218" s="303"/>
      <c r="V218" s="303"/>
    </row>
    <row r="219" ht="20.25" customHeight="1">
      <c r="E219" s="355"/>
      <c r="F219" s="355"/>
      <c r="I219" s="328"/>
      <c r="K219" s="341">
        <v>448.0</v>
      </c>
      <c r="L219" s="330">
        <v>6.0</v>
      </c>
      <c r="M219" s="331" t="s">
        <v>11228</v>
      </c>
      <c r="N219" s="331" t="s">
        <v>14435</v>
      </c>
      <c r="O219" s="331" t="s">
        <v>7836</v>
      </c>
      <c r="P219" s="353" t="s">
        <v>12686</v>
      </c>
      <c r="Q219" s="338" t="s">
        <v>16842</v>
      </c>
      <c r="R219" s="331" t="s">
        <v>7841</v>
      </c>
      <c r="S219" s="334" t="s">
        <v>6928</v>
      </c>
      <c r="T219" s="303"/>
      <c r="U219" s="303"/>
      <c r="V219" s="303"/>
    </row>
    <row r="220" ht="20.25" customHeight="1">
      <c r="E220" s="355"/>
      <c r="F220" s="355"/>
      <c r="I220" s="328"/>
      <c r="K220" s="341">
        <v>448.0</v>
      </c>
      <c r="L220" s="330">
        <v>6.0</v>
      </c>
      <c r="M220" s="331" t="s">
        <v>14429</v>
      </c>
      <c r="N220" s="331" t="s">
        <v>14430</v>
      </c>
      <c r="O220" s="331" t="s">
        <v>7824</v>
      </c>
      <c r="P220" s="332" t="s">
        <v>14433</v>
      </c>
      <c r="Q220" s="338" t="s">
        <v>16843</v>
      </c>
      <c r="R220" s="331" t="s">
        <v>7826</v>
      </c>
      <c r="S220" s="334" t="s">
        <v>6928</v>
      </c>
      <c r="T220" s="303"/>
      <c r="U220" s="303"/>
      <c r="V220" s="303"/>
    </row>
    <row r="221" ht="20.25" customHeight="1">
      <c r="E221" s="355"/>
      <c r="F221" s="355"/>
      <c r="I221" s="328"/>
      <c r="K221" s="342">
        <v>448.0</v>
      </c>
      <c r="L221" s="343">
        <v>6.0</v>
      </c>
      <c r="M221" s="344" t="s">
        <v>14980</v>
      </c>
      <c r="N221" s="344" t="s">
        <v>14984</v>
      </c>
      <c r="O221" s="344" t="s">
        <v>7832</v>
      </c>
      <c r="P221" s="386" t="s">
        <v>14433</v>
      </c>
      <c r="Q221" s="390" t="s">
        <v>16844</v>
      </c>
      <c r="R221" s="344" t="s">
        <v>16845</v>
      </c>
      <c r="S221" s="346" t="s">
        <v>7048</v>
      </c>
      <c r="T221" s="303"/>
      <c r="U221" s="303"/>
      <c r="V221" s="303"/>
    </row>
    <row r="222" ht="20.25" customHeight="1">
      <c r="E222" s="355"/>
      <c r="F222" s="355"/>
      <c r="I222" s="316" t="s">
        <v>16846</v>
      </c>
      <c r="K222" s="341">
        <v>448.0</v>
      </c>
      <c r="L222" s="330">
        <v>6.0</v>
      </c>
      <c r="M222" s="331" t="s">
        <v>12502</v>
      </c>
      <c r="N222" s="331" t="s">
        <v>12503</v>
      </c>
      <c r="O222" s="331" t="s">
        <v>7890</v>
      </c>
      <c r="P222" s="381" t="s">
        <v>16834</v>
      </c>
      <c r="Q222" s="381" t="s">
        <v>12505</v>
      </c>
      <c r="R222" s="331" t="s">
        <v>7892</v>
      </c>
      <c r="S222" s="334" t="s">
        <v>7893</v>
      </c>
      <c r="T222" s="303"/>
      <c r="U222" s="303"/>
      <c r="V222" s="303"/>
    </row>
    <row r="223" ht="20.25" customHeight="1">
      <c r="E223" s="355"/>
      <c r="F223" s="355"/>
      <c r="I223" s="328"/>
      <c r="K223" s="341">
        <v>448.0</v>
      </c>
      <c r="L223" s="330">
        <v>6.0</v>
      </c>
      <c r="M223" s="331" t="s">
        <v>15420</v>
      </c>
      <c r="N223" s="331" t="s">
        <v>14481</v>
      </c>
      <c r="O223" s="331" t="s">
        <v>1633</v>
      </c>
      <c r="P223" s="381" t="s">
        <v>4818</v>
      </c>
      <c r="Q223" s="381" t="s">
        <v>15422</v>
      </c>
      <c r="R223" s="331" t="s">
        <v>7689</v>
      </c>
      <c r="S223" s="334" t="s">
        <v>6928</v>
      </c>
      <c r="T223" s="303"/>
      <c r="U223" s="303"/>
      <c r="V223" s="303"/>
    </row>
    <row r="224" ht="20.25" customHeight="1">
      <c r="E224" s="355"/>
      <c r="F224" s="355"/>
      <c r="I224" s="328"/>
      <c r="K224" s="341">
        <v>448.0</v>
      </c>
      <c r="L224" s="330">
        <v>6.0</v>
      </c>
      <c r="M224" s="331" t="s">
        <v>13173</v>
      </c>
      <c r="N224" s="331" t="s">
        <v>13174</v>
      </c>
      <c r="O224" s="331" t="s">
        <v>7700</v>
      </c>
      <c r="P224" s="332" t="s">
        <v>4756</v>
      </c>
      <c r="Q224" s="338" t="s">
        <v>16847</v>
      </c>
      <c r="R224" s="331" t="s">
        <v>7702</v>
      </c>
      <c r="S224" s="334" t="s">
        <v>6928</v>
      </c>
      <c r="T224" s="303"/>
      <c r="U224" s="303"/>
      <c r="V224" s="303"/>
    </row>
    <row r="225" ht="20.25" customHeight="1">
      <c r="E225" s="355"/>
      <c r="F225" s="355"/>
      <c r="I225" s="328"/>
      <c r="K225" s="341">
        <v>448.0</v>
      </c>
      <c r="L225" s="330">
        <v>6.0</v>
      </c>
      <c r="M225" s="331" t="s">
        <v>15019</v>
      </c>
      <c r="N225" s="331" t="s">
        <v>15020</v>
      </c>
      <c r="O225" s="331" t="s">
        <v>7691</v>
      </c>
      <c r="P225" s="332" t="s">
        <v>16848</v>
      </c>
      <c r="Q225" s="332" t="s">
        <v>15021</v>
      </c>
      <c r="R225" s="331" t="s">
        <v>7694</v>
      </c>
      <c r="S225" s="334" t="s">
        <v>6928</v>
      </c>
      <c r="T225" s="303"/>
      <c r="U225" s="303"/>
      <c r="V225" s="303"/>
    </row>
    <row r="226" ht="20.25" customHeight="1">
      <c r="E226" s="355"/>
      <c r="F226" s="355"/>
      <c r="I226" s="328"/>
      <c r="K226" s="341">
        <v>448.0</v>
      </c>
      <c r="L226" s="330">
        <v>6.0</v>
      </c>
      <c r="M226" s="331" t="s">
        <v>15498</v>
      </c>
      <c r="N226" s="331" t="s">
        <v>15499</v>
      </c>
      <c r="O226" s="331" t="s">
        <v>7724</v>
      </c>
      <c r="P226" s="332" t="s">
        <v>12640</v>
      </c>
      <c r="Q226" s="338" t="s">
        <v>16849</v>
      </c>
      <c r="R226" s="331" t="s">
        <v>7727</v>
      </c>
      <c r="S226" s="334" t="s">
        <v>7375</v>
      </c>
      <c r="T226" s="303"/>
      <c r="U226" s="303"/>
      <c r="V226" s="303"/>
    </row>
    <row r="227" ht="20.25" customHeight="1">
      <c r="E227" s="355"/>
      <c r="F227" s="355"/>
      <c r="I227" s="328"/>
      <c r="K227" s="341">
        <v>448.0</v>
      </c>
      <c r="L227" s="330">
        <v>6.0</v>
      </c>
      <c r="M227" s="331" t="s">
        <v>13557</v>
      </c>
      <c r="N227" s="331" t="s">
        <v>13558</v>
      </c>
      <c r="O227" s="331" t="s">
        <v>7696</v>
      </c>
      <c r="P227" s="340" t="s">
        <v>12717</v>
      </c>
      <c r="Q227" s="354" t="s">
        <v>16850</v>
      </c>
      <c r="R227" s="336"/>
      <c r="S227" s="337"/>
      <c r="T227" s="303"/>
      <c r="U227" s="303"/>
      <c r="V227" s="303"/>
    </row>
    <row r="228" ht="20.25" customHeight="1">
      <c r="E228" s="355"/>
      <c r="F228" s="355"/>
      <c r="I228" s="328"/>
      <c r="K228" s="382">
        <v>448.0</v>
      </c>
      <c r="L228" s="343">
        <v>6.0</v>
      </c>
      <c r="M228" s="344" t="s">
        <v>12749</v>
      </c>
      <c r="N228" s="344" t="s">
        <v>12750</v>
      </c>
      <c r="O228" s="344" t="s">
        <v>12748</v>
      </c>
      <c r="P228" s="391" t="s">
        <v>12717</v>
      </c>
      <c r="Q228" s="345" t="s">
        <v>16851</v>
      </c>
      <c r="R228" s="383"/>
      <c r="S228" s="384"/>
      <c r="T228" s="303"/>
      <c r="U228" s="303"/>
      <c r="V228" s="303"/>
    </row>
    <row r="229" ht="20.25" customHeight="1">
      <c r="E229" s="355"/>
      <c r="F229" s="355"/>
      <c r="I229" s="316" t="s">
        <v>9199</v>
      </c>
      <c r="K229" s="329">
        <v>448.0</v>
      </c>
      <c r="L229" s="330">
        <v>6.0</v>
      </c>
      <c r="M229" s="331" t="s">
        <v>12755</v>
      </c>
      <c r="N229" s="331" t="s">
        <v>12756</v>
      </c>
      <c r="O229" s="331" t="s">
        <v>9201</v>
      </c>
      <c r="P229" s="331" t="s">
        <v>4749</v>
      </c>
      <c r="Q229" s="353" t="s">
        <v>12758</v>
      </c>
      <c r="R229" s="331" t="s">
        <v>9203</v>
      </c>
      <c r="S229" s="334" t="s">
        <v>7070</v>
      </c>
      <c r="T229" s="303"/>
      <c r="U229" s="303"/>
      <c r="V229" s="303"/>
    </row>
    <row r="230" ht="20.25" customHeight="1">
      <c r="E230" s="355"/>
      <c r="F230" s="355"/>
      <c r="I230" s="328"/>
      <c r="K230" s="342">
        <v>448.0</v>
      </c>
      <c r="L230" s="343">
        <v>6.0</v>
      </c>
      <c r="M230" s="344" t="s">
        <v>12752</v>
      </c>
      <c r="N230" s="344" t="s">
        <v>12753</v>
      </c>
      <c r="O230" s="344" t="s">
        <v>9197</v>
      </c>
      <c r="P230" s="392" t="s">
        <v>4818</v>
      </c>
      <c r="Q230" s="379" t="s">
        <v>16852</v>
      </c>
      <c r="R230" s="344" t="s">
        <v>9200</v>
      </c>
      <c r="S230" s="346" t="s">
        <v>7005</v>
      </c>
      <c r="T230" s="303"/>
      <c r="U230" s="303"/>
      <c r="V230" s="303"/>
    </row>
    <row r="231" ht="20.25" customHeight="1">
      <c r="E231" s="355"/>
      <c r="F231" s="355"/>
      <c r="I231" s="316" t="s">
        <v>16853</v>
      </c>
      <c r="K231" s="341">
        <v>448.0</v>
      </c>
      <c r="L231" s="330">
        <v>6.0</v>
      </c>
      <c r="M231" s="331" t="s">
        <v>13219</v>
      </c>
      <c r="N231" s="331" t="s">
        <v>13220</v>
      </c>
      <c r="O231" s="331" t="s">
        <v>7704</v>
      </c>
      <c r="P231" s="332" t="s">
        <v>4818</v>
      </c>
      <c r="Q231" s="331" t="s">
        <v>16854</v>
      </c>
      <c r="R231" s="331" t="s">
        <v>7706</v>
      </c>
      <c r="S231" s="334" t="s">
        <v>6928</v>
      </c>
      <c r="T231" s="303"/>
      <c r="U231" s="303"/>
      <c r="V231" s="303"/>
    </row>
    <row r="232" ht="20.25" customHeight="1">
      <c r="E232" s="355"/>
      <c r="F232" s="355"/>
      <c r="I232" s="328"/>
      <c r="K232" s="329">
        <v>448.0</v>
      </c>
      <c r="L232" s="330">
        <v>6.0</v>
      </c>
      <c r="M232" s="331" t="s">
        <v>14129</v>
      </c>
      <c r="N232" s="331" t="s">
        <v>14130</v>
      </c>
      <c r="O232" s="331" t="s">
        <v>7812</v>
      </c>
      <c r="P232" s="332" t="s">
        <v>4749</v>
      </c>
      <c r="Q232" s="381" t="s">
        <v>14131</v>
      </c>
      <c r="R232" s="331" t="s">
        <v>7814</v>
      </c>
      <c r="S232" s="334" t="s">
        <v>7048</v>
      </c>
      <c r="T232" s="303"/>
      <c r="U232" s="303"/>
      <c r="V232" s="303"/>
    </row>
    <row r="233" ht="20.25" customHeight="1">
      <c r="E233" s="355"/>
      <c r="F233" s="355"/>
      <c r="I233" s="328"/>
      <c r="K233" s="341">
        <v>448.0</v>
      </c>
      <c r="L233" s="330">
        <v>6.0</v>
      </c>
      <c r="M233" s="331" t="s">
        <v>15223</v>
      </c>
      <c r="N233" s="331" t="s">
        <v>15224</v>
      </c>
      <c r="O233" s="331" t="s">
        <v>7708</v>
      </c>
      <c r="P233" s="331" t="s">
        <v>10056</v>
      </c>
      <c r="Q233" s="332" t="s">
        <v>15225</v>
      </c>
      <c r="R233" s="331" t="s">
        <v>16855</v>
      </c>
      <c r="S233" s="334" t="s">
        <v>7157</v>
      </c>
      <c r="T233" s="303"/>
      <c r="U233" s="303"/>
      <c r="V233" s="303"/>
    </row>
    <row r="234" ht="20.25" customHeight="1">
      <c r="E234" s="355"/>
      <c r="F234" s="355"/>
      <c r="I234" s="328"/>
      <c r="K234" s="329">
        <v>448.0</v>
      </c>
      <c r="L234" s="330">
        <v>6.0</v>
      </c>
      <c r="M234" s="331" t="s">
        <v>13358</v>
      </c>
      <c r="N234" s="331" t="s">
        <v>13364</v>
      </c>
      <c r="O234" s="331" t="s">
        <v>7713</v>
      </c>
      <c r="P234" s="331" t="s">
        <v>12717</v>
      </c>
      <c r="Q234" s="335" t="s">
        <v>16856</v>
      </c>
      <c r="R234" s="331" t="s">
        <v>7715</v>
      </c>
      <c r="S234" s="334" t="s">
        <v>6937</v>
      </c>
      <c r="T234" s="303"/>
      <c r="U234" s="303"/>
      <c r="V234" s="303"/>
    </row>
    <row r="235" ht="20.25" customHeight="1">
      <c r="E235" s="355"/>
      <c r="F235" s="355"/>
      <c r="I235" s="328"/>
      <c r="K235" s="341">
        <v>448.0</v>
      </c>
      <c r="L235" s="330">
        <v>6.0</v>
      </c>
      <c r="M235" s="331" t="s">
        <v>14238</v>
      </c>
      <c r="N235" s="331" t="s">
        <v>14239</v>
      </c>
      <c r="O235" s="331" t="s">
        <v>7717</v>
      </c>
      <c r="P235" s="340" t="s">
        <v>12717</v>
      </c>
      <c r="Q235" s="332" t="s">
        <v>14241</v>
      </c>
      <c r="R235" s="331" t="s">
        <v>16857</v>
      </c>
      <c r="S235" s="334" t="s">
        <v>6928</v>
      </c>
      <c r="T235" s="303"/>
      <c r="U235" s="303"/>
      <c r="V235" s="303"/>
    </row>
    <row r="236" ht="20.25" customHeight="1">
      <c r="E236" s="355"/>
      <c r="F236" s="355"/>
      <c r="I236" s="328"/>
      <c r="K236" s="341">
        <v>448.0</v>
      </c>
      <c r="L236" s="330">
        <v>6.0</v>
      </c>
      <c r="M236" s="331" t="s">
        <v>11920</v>
      </c>
      <c r="N236" s="331" t="s">
        <v>15506</v>
      </c>
      <c r="O236" s="331" t="s">
        <v>7720</v>
      </c>
      <c r="P236" s="331" t="s">
        <v>12717</v>
      </c>
      <c r="Q236" s="338" t="s">
        <v>16858</v>
      </c>
      <c r="R236" s="331" t="s">
        <v>7722</v>
      </c>
      <c r="S236" s="334" t="s">
        <v>6928</v>
      </c>
      <c r="T236" s="303"/>
      <c r="U236" s="303"/>
      <c r="V236" s="303"/>
    </row>
    <row r="237" ht="20.25" customHeight="1">
      <c r="E237" s="355"/>
      <c r="F237" s="355"/>
      <c r="I237" s="328"/>
      <c r="K237" s="382">
        <v>448.0</v>
      </c>
      <c r="L237" s="343">
        <v>6.0</v>
      </c>
      <c r="M237" s="344" t="s">
        <v>15940</v>
      </c>
      <c r="N237" s="344" t="s">
        <v>15941</v>
      </c>
      <c r="O237" s="344" t="s">
        <v>960</v>
      </c>
      <c r="P237" s="386" t="s">
        <v>1456</v>
      </c>
      <c r="Q237" s="390" t="s">
        <v>16859</v>
      </c>
      <c r="R237" s="344" t="s">
        <v>9068</v>
      </c>
      <c r="S237" s="346" t="s">
        <v>7149</v>
      </c>
      <c r="T237" s="303"/>
      <c r="U237" s="303"/>
      <c r="V237" s="303"/>
    </row>
    <row r="238" ht="20.25" customHeight="1">
      <c r="E238" s="355"/>
      <c r="F238" s="355"/>
      <c r="I238" s="316" t="s">
        <v>16860</v>
      </c>
      <c r="K238" s="329">
        <v>448.0</v>
      </c>
      <c r="L238" s="330">
        <v>6.0</v>
      </c>
      <c r="M238" s="331" t="s">
        <v>14723</v>
      </c>
      <c r="N238" s="331" t="s">
        <v>12503</v>
      </c>
      <c r="O238" s="331" t="s">
        <v>7731</v>
      </c>
      <c r="P238" s="381" t="s">
        <v>2062</v>
      </c>
      <c r="Q238" s="381" t="s">
        <v>14724</v>
      </c>
      <c r="R238" s="331" t="s">
        <v>7733</v>
      </c>
      <c r="S238" s="334" t="s">
        <v>6937</v>
      </c>
      <c r="T238" s="303"/>
      <c r="U238" s="303"/>
      <c r="V238" s="303"/>
    </row>
    <row r="239" ht="20.25" customHeight="1">
      <c r="E239" s="355"/>
      <c r="F239" s="355"/>
      <c r="I239" s="328"/>
      <c r="K239" s="341">
        <v>448.0</v>
      </c>
      <c r="L239" s="330">
        <v>6.0</v>
      </c>
      <c r="M239" s="331" t="s">
        <v>15271</v>
      </c>
      <c r="N239" s="331" t="s">
        <v>15272</v>
      </c>
      <c r="O239" s="331" t="s">
        <v>7752</v>
      </c>
      <c r="P239" s="332" t="s">
        <v>4818</v>
      </c>
      <c r="Q239" s="381" t="s">
        <v>15273</v>
      </c>
      <c r="R239" s="331" t="s">
        <v>16861</v>
      </c>
      <c r="S239" s="334" t="s">
        <v>6928</v>
      </c>
      <c r="T239" s="303"/>
      <c r="U239" s="303"/>
      <c r="V239" s="303"/>
    </row>
    <row r="240" ht="20.25" customHeight="1">
      <c r="E240" s="355"/>
      <c r="F240" s="355"/>
      <c r="I240" s="328"/>
      <c r="K240" s="341">
        <v>448.0</v>
      </c>
      <c r="L240" s="330">
        <v>6.0</v>
      </c>
      <c r="M240" s="331" t="s">
        <v>15853</v>
      </c>
      <c r="N240" s="331" t="s">
        <v>15854</v>
      </c>
      <c r="O240" s="331" t="s">
        <v>7778</v>
      </c>
      <c r="P240" s="332" t="s">
        <v>4818</v>
      </c>
      <c r="Q240" s="338" t="s">
        <v>16862</v>
      </c>
      <c r="R240" s="331" t="s">
        <v>7780</v>
      </c>
      <c r="S240" s="334" t="s">
        <v>6928</v>
      </c>
      <c r="T240" s="303"/>
      <c r="U240" s="303"/>
      <c r="V240" s="303"/>
    </row>
    <row r="241" ht="20.25" customHeight="1">
      <c r="E241" s="355"/>
      <c r="F241" s="355"/>
      <c r="I241" s="328"/>
      <c r="K241" s="341">
        <v>448.0</v>
      </c>
      <c r="L241" s="330">
        <v>6.0</v>
      </c>
      <c r="M241" s="331" t="s">
        <v>9536</v>
      </c>
      <c r="N241" s="331" t="s">
        <v>13385</v>
      </c>
      <c r="O241" s="331" t="s">
        <v>7735</v>
      </c>
      <c r="P241" s="381" t="s">
        <v>4749</v>
      </c>
      <c r="Q241" s="381" t="s">
        <v>13386</v>
      </c>
      <c r="R241" s="331" t="s">
        <v>16863</v>
      </c>
      <c r="S241" s="334" t="s">
        <v>6928</v>
      </c>
      <c r="T241" s="303"/>
      <c r="U241" s="303"/>
      <c r="V241" s="303"/>
    </row>
    <row r="242" ht="20.25" customHeight="1">
      <c r="E242" s="355"/>
      <c r="F242" s="355"/>
      <c r="I242" s="328"/>
      <c r="K242" s="329">
        <v>448.0</v>
      </c>
      <c r="L242" s="330">
        <v>6.0</v>
      </c>
      <c r="M242" s="331" t="s">
        <v>14421</v>
      </c>
      <c r="N242" s="331" t="s">
        <v>14422</v>
      </c>
      <c r="O242" s="331" t="s">
        <v>7789</v>
      </c>
      <c r="P242" s="332" t="s">
        <v>10056</v>
      </c>
      <c r="Q242" s="332" t="s">
        <v>14423</v>
      </c>
      <c r="R242" s="331" t="s">
        <v>7791</v>
      </c>
      <c r="S242" s="334" t="s">
        <v>6937</v>
      </c>
      <c r="T242" s="303"/>
      <c r="U242" s="303"/>
      <c r="V242" s="303"/>
    </row>
    <row r="243" ht="20.25" customHeight="1">
      <c r="E243" s="355"/>
      <c r="F243" s="355"/>
      <c r="I243" s="328"/>
      <c r="K243" s="341">
        <v>448.0</v>
      </c>
      <c r="L243" s="330">
        <v>6.0</v>
      </c>
      <c r="M243" s="331" t="s">
        <v>11067</v>
      </c>
      <c r="N243" s="331" t="s">
        <v>14148</v>
      </c>
      <c r="O243" s="331" t="s">
        <v>7760</v>
      </c>
      <c r="P243" s="332" t="s">
        <v>4756</v>
      </c>
      <c r="Q243" s="335" t="s">
        <v>16864</v>
      </c>
      <c r="R243" s="331" t="s">
        <v>16865</v>
      </c>
      <c r="S243" s="334" t="s">
        <v>6928</v>
      </c>
      <c r="T243" s="303"/>
      <c r="U243" s="303"/>
      <c r="V243" s="303"/>
    </row>
    <row r="244" ht="20.25" customHeight="1">
      <c r="E244" s="355"/>
      <c r="F244" s="355"/>
      <c r="I244" s="328"/>
      <c r="K244" s="329">
        <v>448.0</v>
      </c>
      <c r="L244" s="330">
        <v>6.0</v>
      </c>
      <c r="M244" s="331" t="s">
        <v>9577</v>
      </c>
      <c r="N244" s="331" t="s">
        <v>13703</v>
      </c>
      <c r="O244" s="331" t="s">
        <v>7782</v>
      </c>
      <c r="P244" s="340" t="s">
        <v>4756</v>
      </c>
      <c r="Q244" s="354" t="s">
        <v>16866</v>
      </c>
      <c r="R244" s="331" t="s">
        <v>7784</v>
      </c>
      <c r="S244" s="334" t="s">
        <v>7005</v>
      </c>
      <c r="T244" s="303"/>
      <c r="U244" s="303"/>
      <c r="V244" s="303"/>
    </row>
    <row r="245" ht="20.25" customHeight="1">
      <c r="E245" s="355"/>
      <c r="F245" s="355"/>
      <c r="I245" s="328"/>
      <c r="K245" s="341">
        <v>448.0</v>
      </c>
      <c r="L245" s="330">
        <v>6.0</v>
      </c>
      <c r="M245" s="331" t="s">
        <v>13927</v>
      </c>
      <c r="N245" s="331" t="s">
        <v>13928</v>
      </c>
      <c r="O245" s="331" t="s">
        <v>7756</v>
      </c>
      <c r="P245" s="332" t="s">
        <v>13931</v>
      </c>
      <c r="Q245" s="335" t="s">
        <v>16867</v>
      </c>
      <c r="R245" s="331" t="s">
        <v>7758</v>
      </c>
      <c r="S245" s="334" t="s">
        <v>6928</v>
      </c>
      <c r="T245" s="303"/>
      <c r="U245" s="303"/>
      <c r="V245" s="303"/>
    </row>
    <row r="246" ht="20.25" customHeight="1">
      <c r="E246" s="355"/>
      <c r="F246" s="355"/>
      <c r="I246" s="328"/>
      <c r="K246" s="341">
        <v>448.0</v>
      </c>
      <c r="L246" s="330">
        <v>6.0</v>
      </c>
      <c r="M246" s="331" t="s">
        <v>15241</v>
      </c>
      <c r="N246" s="331" t="s">
        <v>15245</v>
      </c>
      <c r="O246" s="331" t="s">
        <v>7785</v>
      </c>
      <c r="P246" s="332" t="s">
        <v>13931</v>
      </c>
      <c r="Q246" s="338" t="s">
        <v>16868</v>
      </c>
      <c r="R246" s="331" t="s">
        <v>7787</v>
      </c>
      <c r="S246" s="334" t="s">
        <v>6928</v>
      </c>
      <c r="T246" s="303"/>
      <c r="U246" s="303"/>
      <c r="V246" s="303"/>
    </row>
    <row r="247" ht="20.25" customHeight="1">
      <c r="E247" s="355"/>
      <c r="F247" s="355"/>
      <c r="I247" s="328"/>
      <c r="K247" s="341">
        <v>448.0</v>
      </c>
      <c r="L247" s="330">
        <v>6.0</v>
      </c>
      <c r="M247" s="331" t="s">
        <v>13871</v>
      </c>
      <c r="N247" s="331" t="s">
        <v>13872</v>
      </c>
      <c r="O247" s="331" t="s">
        <v>7764</v>
      </c>
      <c r="P247" s="332" t="s">
        <v>9404</v>
      </c>
      <c r="Q247" s="335" t="s">
        <v>16869</v>
      </c>
      <c r="R247" s="331" t="s">
        <v>7766</v>
      </c>
      <c r="S247" s="334" t="s">
        <v>7093</v>
      </c>
      <c r="T247" s="303"/>
      <c r="U247" s="303"/>
      <c r="V247" s="303"/>
    </row>
    <row r="248" ht="20.25" customHeight="1">
      <c r="E248" s="355"/>
      <c r="F248" s="355"/>
      <c r="I248" s="328"/>
      <c r="K248" s="341">
        <v>448.0</v>
      </c>
      <c r="L248" s="330">
        <v>6.0</v>
      </c>
      <c r="M248" s="331" t="s">
        <v>15034</v>
      </c>
      <c r="N248" s="331" t="s">
        <v>15035</v>
      </c>
      <c r="O248" s="331" t="s">
        <v>7768</v>
      </c>
      <c r="P248" s="377" t="s">
        <v>9404</v>
      </c>
      <c r="Q248" s="333" t="s">
        <v>16870</v>
      </c>
      <c r="R248" s="331" t="s">
        <v>7770</v>
      </c>
      <c r="S248" s="334" t="s">
        <v>7157</v>
      </c>
      <c r="T248" s="303"/>
      <c r="U248" s="303"/>
      <c r="V248" s="303"/>
    </row>
    <row r="249" ht="20.25" customHeight="1">
      <c r="E249" s="355"/>
      <c r="F249" s="355"/>
      <c r="I249" s="328"/>
      <c r="K249" s="341">
        <v>448.0</v>
      </c>
      <c r="L249" s="330">
        <v>6.0</v>
      </c>
      <c r="M249" s="331" t="s">
        <v>14968</v>
      </c>
      <c r="N249" s="331" t="s">
        <v>14969</v>
      </c>
      <c r="O249" s="331" t="s">
        <v>7793</v>
      </c>
      <c r="P249" s="340" t="s">
        <v>9404</v>
      </c>
      <c r="Q249" s="354" t="s">
        <v>16871</v>
      </c>
      <c r="R249" s="331" t="s">
        <v>16872</v>
      </c>
      <c r="S249" s="334" t="s">
        <v>6928</v>
      </c>
      <c r="T249" s="303"/>
      <c r="U249" s="303"/>
      <c r="V249" s="303"/>
    </row>
    <row r="250" ht="20.25" customHeight="1">
      <c r="E250" s="355"/>
      <c r="F250" s="355"/>
      <c r="I250" s="328"/>
      <c r="K250" s="329">
        <v>448.0</v>
      </c>
      <c r="L250" s="330">
        <v>6.0</v>
      </c>
      <c r="M250" s="331" t="s">
        <v>13958</v>
      </c>
      <c r="N250" s="331" t="s">
        <v>13959</v>
      </c>
      <c r="O250" s="331" t="s">
        <v>7796</v>
      </c>
      <c r="P250" s="331" t="s">
        <v>9404</v>
      </c>
      <c r="Q250" s="338" t="s">
        <v>16873</v>
      </c>
      <c r="R250" s="331" t="s">
        <v>16874</v>
      </c>
      <c r="S250" s="334" t="s">
        <v>7750</v>
      </c>
      <c r="T250" s="303"/>
      <c r="U250" s="303"/>
      <c r="V250" s="303"/>
    </row>
    <row r="251" ht="20.25" customHeight="1">
      <c r="E251" s="355"/>
      <c r="F251" s="355"/>
      <c r="I251" s="328"/>
      <c r="K251" s="329">
        <v>448.0</v>
      </c>
      <c r="L251" s="330">
        <v>6.0</v>
      </c>
      <c r="M251" s="331" t="s">
        <v>14465</v>
      </c>
      <c r="N251" s="331" t="s">
        <v>14466</v>
      </c>
      <c r="O251" s="331" t="s">
        <v>7799</v>
      </c>
      <c r="P251" s="331" t="s">
        <v>9404</v>
      </c>
      <c r="Q251" s="338" t="s">
        <v>16875</v>
      </c>
      <c r="R251" s="331" t="s">
        <v>7801</v>
      </c>
      <c r="S251" s="334" t="s">
        <v>7005</v>
      </c>
      <c r="T251" s="303"/>
      <c r="U251" s="303"/>
      <c r="V251" s="303"/>
    </row>
    <row r="252" ht="20.25" customHeight="1">
      <c r="E252" s="355"/>
      <c r="F252" s="355"/>
      <c r="I252" s="328"/>
      <c r="K252" s="342">
        <v>448.0</v>
      </c>
      <c r="L252" s="343">
        <v>6.0</v>
      </c>
      <c r="M252" s="344" t="s">
        <v>15804</v>
      </c>
      <c r="N252" s="344" t="s">
        <v>15805</v>
      </c>
      <c r="O252" s="344" t="s">
        <v>7747</v>
      </c>
      <c r="P252" s="386" t="s">
        <v>15807</v>
      </c>
      <c r="Q252" s="390" t="s">
        <v>16876</v>
      </c>
      <c r="R252" s="344" t="s">
        <v>7749</v>
      </c>
      <c r="S252" s="346" t="s">
        <v>7750</v>
      </c>
      <c r="T252" s="303"/>
      <c r="U252" s="303"/>
      <c r="V252" s="303"/>
    </row>
    <row r="253" ht="20.25" customHeight="1">
      <c r="E253" s="355"/>
      <c r="F253" s="355"/>
      <c r="I253" s="316" t="s">
        <v>2117</v>
      </c>
      <c r="K253" s="341">
        <v>448.0</v>
      </c>
      <c r="L253" s="330">
        <v>6.0</v>
      </c>
      <c r="M253" s="331" t="s">
        <v>12297</v>
      </c>
      <c r="N253" s="331" t="s">
        <v>15998</v>
      </c>
      <c r="O253" s="331" t="s">
        <v>7844</v>
      </c>
      <c r="P253" s="332" t="s">
        <v>4805</v>
      </c>
      <c r="Q253" s="332" t="s">
        <v>15999</v>
      </c>
      <c r="R253" s="331" t="s">
        <v>16877</v>
      </c>
      <c r="S253" s="334" t="s">
        <v>6928</v>
      </c>
      <c r="T253" s="303"/>
      <c r="U253" s="303"/>
      <c r="V253" s="303"/>
    </row>
    <row r="254" ht="20.25" customHeight="1">
      <c r="E254" s="355"/>
      <c r="F254" s="355"/>
      <c r="I254" s="328"/>
      <c r="K254" s="341">
        <v>448.0</v>
      </c>
      <c r="L254" s="330">
        <v>6.0</v>
      </c>
      <c r="M254" s="331" t="s">
        <v>14424</v>
      </c>
      <c r="N254" s="331" t="s">
        <v>14427</v>
      </c>
      <c r="O254" s="331" t="s">
        <v>7742</v>
      </c>
      <c r="P254" s="331" t="s">
        <v>4756</v>
      </c>
      <c r="Q254" s="331" t="s">
        <v>14428</v>
      </c>
      <c r="R254" s="331" t="s">
        <v>7745</v>
      </c>
      <c r="S254" s="334" t="s">
        <v>6928</v>
      </c>
      <c r="T254" s="303"/>
      <c r="U254" s="303"/>
      <c r="V254" s="303"/>
    </row>
    <row r="255" ht="20.25" customHeight="1">
      <c r="E255" s="355"/>
      <c r="F255" s="355"/>
      <c r="I255" s="328"/>
      <c r="K255" s="329">
        <v>448.0</v>
      </c>
      <c r="L255" s="330">
        <v>6.0</v>
      </c>
      <c r="M255" s="331" t="s">
        <v>12041</v>
      </c>
      <c r="N255" s="331" t="s">
        <v>13333</v>
      </c>
      <c r="O255" s="331" t="s">
        <v>7864</v>
      </c>
      <c r="P255" s="332" t="s">
        <v>16878</v>
      </c>
      <c r="Q255" s="335" t="s">
        <v>16879</v>
      </c>
      <c r="R255" s="331" t="s">
        <v>7872</v>
      </c>
      <c r="S255" s="334" t="s">
        <v>6993</v>
      </c>
      <c r="T255" s="303"/>
      <c r="U255" s="303"/>
      <c r="V255" s="303"/>
    </row>
    <row r="256" ht="20.25" customHeight="1">
      <c r="E256" s="355"/>
      <c r="F256" s="355"/>
      <c r="I256" s="328"/>
      <c r="K256" s="342">
        <v>448.0</v>
      </c>
      <c r="L256" s="343">
        <v>6.0</v>
      </c>
      <c r="M256" s="344" t="s">
        <v>11145</v>
      </c>
      <c r="N256" s="344" t="s">
        <v>14287</v>
      </c>
      <c r="O256" s="344" t="s">
        <v>7883</v>
      </c>
      <c r="P256" s="344" t="s">
        <v>14289</v>
      </c>
      <c r="Q256" s="379" t="s">
        <v>16880</v>
      </c>
      <c r="R256" s="344" t="s">
        <v>7885</v>
      </c>
      <c r="S256" s="346" t="s">
        <v>7005</v>
      </c>
      <c r="T256" s="303"/>
      <c r="U256" s="303"/>
      <c r="V256" s="303"/>
    </row>
    <row r="257" ht="20.25" customHeight="1">
      <c r="E257" s="355"/>
      <c r="F257" s="355"/>
      <c r="I257" s="316" t="s">
        <v>16881</v>
      </c>
      <c r="K257" s="341">
        <v>448.0</v>
      </c>
      <c r="L257" s="330">
        <v>6.0</v>
      </c>
      <c r="M257" s="331" t="s">
        <v>14735</v>
      </c>
      <c r="N257" s="331" t="s">
        <v>14736</v>
      </c>
      <c r="O257" s="331" t="s">
        <v>7850</v>
      </c>
      <c r="P257" s="353" t="s">
        <v>1392</v>
      </c>
      <c r="Q257" s="332" t="s">
        <v>14738</v>
      </c>
      <c r="R257" s="331" t="s">
        <v>16882</v>
      </c>
      <c r="S257" s="334" t="s">
        <v>6928</v>
      </c>
      <c r="T257" s="303"/>
      <c r="U257" s="303"/>
      <c r="V257" s="303"/>
    </row>
    <row r="258" ht="20.25" customHeight="1">
      <c r="E258" s="355"/>
      <c r="F258" s="355"/>
      <c r="I258" s="328"/>
      <c r="K258" s="341">
        <v>448.0</v>
      </c>
      <c r="L258" s="330">
        <v>6.0</v>
      </c>
      <c r="M258" s="331" t="s">
        <v>12297</v>
      </c>
      <c r="N258" s="331" t="s">
        <v>15998</v>
      </c>
      <c r="O258" s="331" t="s">
        <v>7844</v>
      </c>
      <c r="P258" s="332" t="s">
        <v>4805</v>
      </c>
      <c r="Q258" s="332" t="s">
        <v>15999</v>
      </c>
      <c r="R258" s="331" t="s">
        <v>16877</v>
      </c>
      <c r="S258" s="334" t="s">
        <v>6928</v>
      </c>
      <c r="T258" s="303"/>
      <c r="U258" s="303"/>
      <c r="V258" s="303"/>
    </row>
    <row r="259" ht="20.25" customHeight="1">
      <c r="E259" s="355"/>
      <c r="F259" s="355"/>
      <c r="I259" s="328"/>
      <c r="K259" s="341">
        <v>448.0</v>
      </c>
      <c r="L259" s="330">
        <v>6.0</v>
      </c>
      <c r="M259" s="331" t="s">
        <v>13924</v>
      </c>
      <c r="N259" s="331" t="s">
        <v>13925</v>
      </c>
      <c r="O259" s="331" t="s">
        <v>7855</v>
      </c>
      <c r="P259" s="332" t="s">
        <v>4835</v>
      </c>
      <c r="Q259" s="335" t="s">
        <v>16883</v>
      </c>
      <c r="R259" s="374" t="s">
        <v>7859</v>
      </c>
      <c r="S259" s="375" t="s">
        <v>7136</v>
      </c>
      <c r="T259" s="303"/>
      <c r="U259" s="303"/>
      <c r="V259" s="303"/>
    </row>
    <row r="260" ht="20.25" customHeight="1">
      <c r="E260" s="355"/>
      <c r="F260" s="355"/>
      <c r="I260" s="328"/>
      <c r="K260" s="329">
        <v>448.0</v>
      </c>
      <c r="L260" s="330">
        <v>6.0</v>
      </c>
      <c r="M260" s="331" t="s">
        <v>16009</v>
      </c>
      <c r="N260" s="331" t="s">
        <v>16010</v>
      </c>
      <c r="O260" s="331" t="s">
        <v>7860</v>
      </c>
      <c r="P260" s="331" t="s">
        <v>16884</v>
      </c>
      <c r="Q260" s="331" t="s">
        <v>16011</v>
      </c>
      <c r="R260" s="331" t="s">
        <v>7863</v>
      </c>
      <c r="S260" s="334" t="s">
        <v>7005</v>
      </c>
      <c r="T260" s="303"/>
      <c r="U260" s="303"/>
      <c r="V260" s="303"/>
    </row>
    <row r="261" ht="20.25" customHeight="1">
      <c r="E261" s="355"/>
      <c r="F261" s="355"/>
      <c r="I261" s="328"/>
      <c r="K261" s="329">
        <v>448.0</v>
      </c>
      <c r="L261" s="330">
        <v>6.0</v>
      </c>
      <c r="M261" s="331" t="s">
        <v>12041</v>
      </c>
      <c r="N261" s="331" t="s">
        <v>13333</v>
      </c>
      <c r="O261" s="331" t="s">
        <v>7864</v>
      </c>
      <c r="P261" s="332" t="s">
        <v>16878</v>
      </c>
      <c r="Q261" s="335" t="s">
        <v>16885</v>
      </c>
      <c r="R261" s="331" t="s">
        <v>7872</v>
      </c>
      <c r="S261" s="334" t="s">
        <v>6993</v>
      </c>
      <c r="T261" s="303"/>
      <c r="U261" s="303"/>
      <c r="V261" s="303"/>
    </row>
    <row r="262" ht="20.25" customHeight="1">
      <c r="E262" s="355"/>
      <c r="F262" s="355"/>
      <c r="I262" s="328"/>
      <c r="K262" s="341">
        <v>448.0</v>
      </c>
      <c r="L262" s="330">
        <v>6.0</v>
      </c>
      <c r="M262" s="331" t="s">
        <v>13096</v>
      </c>
      <c r="N262" s="331" t="s">
        <v>13097</v>
      </c>
      <c r="O262" s="331" t="s">
        <v>7879</v>
      </c>
      <c r="P262" s="381" t="s">
        <v>13025</v>
      </c>
      <c r="Q262" s="332" t="s">
        <v>16886</v>
      </c>
      <c r="R262" s="331" t="s">
        <v>7881</v>
      </c>
      <c r="S262" s="334" t="s">
        <v>7093</v>
      </c>
      <c r="T262" s="303"/>
      <c r="U262" s="303"/>
      <c r="V262" s="303"/>
    </row>
    <row r="263" ht="20.25" customHeight="1">
      <c r="E263" s="355"/>
      <c r="F263" s="355"/>
      <c r="I263" s="328"/>
      <c r="K263" s="341">
        <v>448.0</v>
      </c>
      <c r="L263" s="330">
        <v>6.0</v>
      </c>
      <c r="M263" s="331" t="s">
        <v>14497</v>
      </c>
      <c r="N263" s="331" t="s">
        <v>14498</v>
      </c>
      <c r="O263" s="331" t="s">
        <v>7870</v>
      </c>
      <c r="P263" s="332" t="s">
        <v>14500</v>
      </c>
      <c r="Q263" s="338" t="s">
        <v>16887</v>
      </c>
      <c r="R263" s="336"/>
      <c r="S263" s="337"/>
      <c r="T263" s="303"/>
      <c r="U263" s="303"/>
      <c r="V263" s="303"/>
    </row>
    <row r="264" ht="20.25" customHeight="1">
      <c r="E264" s="355"/>
      <c r="F264" s="355"/>
      <c r="I264" s="328"/>
      <c r="K264" s="329">
        <v>448.0</v>
      </c>
      <c r="L264" s="330">
        <v>6.0</v>
      </c>
      <c r="M264" s="340" t="s">
        <v>15905</v>
      </c>
      <c r="N264" s="331" t="s">
        <v>15906</v>
      </c>
      <c r="O264" s="331" t="s">
        <v>7873</v>
      </c>
      <c r="P264" s="332" t="s">
        <v>14289</v>
      </c>
      <c r="Q264" s="335" t="s">
        <v>16888</v>
      </c>
      <c r="R264" s="331" t="s">
        <v>7875</v>
      </c>
      <c r="S264" s="334" t="s">
        <v>7005</v>
      </c>
      <c r="T264" s="303"/>
      <c r="U264" s="303"/>
      <c r="V264" s="303"/>
    </row>
    <row r="265" ht="20.25" customHeight="1">
      <c r="E265" s="355"/>
      <c r="F265" s="355"/>
      <c r="I265" s="328"/>
      <c r="K265" s="329">
        <v>448.0</v>
      </c>
      <c r="L265" s="330">
        <v>6.0</v>
      </c>
      <c r="M265" s="331" t="s">
        <v>12053</v>
      </c>
      <c r="N265" s="331" t="s">
        <v>15688</v>
      </c>
      <c r="O265" s="331" t="s">
        <v>7876</v>
      </c>
      <c r="P265" s="340" t="s">
        <v>16889</v>
      </c>
      <c r="Q265" s="354" t="s">
        <v>16890</v>
      </c>
      <c r="R265" s="331" t="s">
        <v>7878</v>
      </c>
      <c r="S265" s="334" t="s">
        <v>7005</v>
      </c>
      <c r="T265" s="303"/>
      <c r="U265" s="303"/>
      <c r="V265" s="303"/>
    </row>
    <row r="266" ht="20.25" customHeight="1">
      <c r="E266" s="355"/>
      <c r="F266" s="355"/>
      <c r="I266" s="328"/>
      <c r="K266" s="329">
        <v>448.0</v>
      </c>
      <c r="L266" s="330">
        <v>6.0</v>
      </c>
      <c r="M266" s="331" t="s">
        <v>11145</v>
      </c>
      <c r="N266" s="331" t="s">
        <v>14287</v>
      </c>
      <c r="O266" s="331" t="s">
        <v>7883</v>
      </c>
      <c r="P266" s="331" t="s">
        <v>14289</v>
      </c>
      <c r="Q266" s="338" t="s">
        <v>16891</v>
      </c>
      <c r="R266" s="331" t="s">
        <v>7885</v>
      </c>
      <c r="S266" s="334" t="s">
        <v>7005</v>
      </c>
      <c r="T266" s="303"/>
      <c r="U266" s="303"/>
      <c r="V266" s="303"/>
    </row>
    <row r="267" ht="20.25" customHeight="1">
      <c r="E267" s="355"/>
      <c r="F267" s="355"/>
      <c r="I267" s="328"/>
      <c r="K267" s="342">
        <v>448.0</v>
      </c>
      <c r="L267" s="343">
        <v>6.0</v>
      </c>
      <c r="M267" s="344" t="s">
        <v>12045</v>
      </c>
      <c r="N267" s="344" t="s">
        <v>15668</v>
      </c>
      <c r="O267" s="344" t="s">
        <v>7886</v>
      </c>
      <c r="P267" s="344" t="s">
        <v>14289</v>
      </c>
      <c r="Q267" s="379" t="s">
        <v>16892</v>
      </c>
      <c r="R267" s="344" t="s">
        <v>7888</v>
      </c>
      <c r="S267" s="346" t="s">
        <v>7005</v>
      </c>
      <c r="T267" s="303"/>
      <c r="U267" s="303"/>
      <c r="V267" s="303"/>
    </row>
    <row r="268" ht="20.25" customHeight="1">
      <c r="E268" s="355"/>
      <c r="F268" s="355"/>
      <c r="I268" s="316" t="s">
        <v>16893</v>
      </c>
      <c r="K268" s="361">
        <v>448.0</v>
      </c>
      <c r="L268" s="324">
        <v>7.0</v>
      </c>
      <c r="M268" s="325" t="s">
        <v>15267</v>
      </c>
      <c r="N268" s="325" t="s">
        <v>15268</v>
      </c>
      <c r="O268" s="325" t="s">
        <v>7896</v>
      </c>
      <c r="P268" s="362" t="s">
        <v>14265</v>
      </c>
      <c r="Q268" s="326" t="s">
        <v>16894</v>
      </c>
      <c r="R268" s="325" t="s">
        <v>16895</v>
      </c>
      <c r="S268" s="327" t="s">
        <v>8736</v>
      </c>
      <c r="T268" s="303"/>
      <c r="U268" s="303"/>
      <c r="V268" s="303"/>
    </row>
    <row r="269" ht="20.25" customHeight="1">
      <c r="E269" s="355"/>
      <c r="F269" s="355"/>
      <c r="I269" s="328"/>
      <c r="K269" s="382">
        <v>448.0</v>
      </c>
      <c r="L269" s="343">
        <v>7.0</v>
      </c>
      <c r="M269" s="344" t="s">
        <v>15672</v>
      </c>
      <c r="N269" s="344" t="s">
        <v>15673</v>
      </c>
      <c r="O269" s="344" t="s">
        <v>7902</v>
      </c>
      <c r="P269" s="393" t="s">
        <v>4749</v>
      </c>
      <c r="Q269" s="390" t="s">
        <v>16896</v>
      </c>
      <c r="R269" s="344" t="s">
        <v>16897</v>
      </c>
      <c r="S269" s="346" t="s">
        <v>7112</v>
      </c>
      <c r="T269" s="303"/>
      <c r="U269" s="303"/>
      <c r="V269" s="303"/>
    </row>
    <row r="270" ht="20.25" customHeight="1">
      <c r="E270" s="355"/>
      <c r="F270" s="355"/>
      <c r="I270" s="316" t="s">
        <v>16898</v>
      </c>
      <c r="K270" s="329">
        <v>448.0</v>
      </c>
      <c r="L270" s="330">
        <v>7.0</v>
      </c>
      <c r="M270" s="331" t="s">
        <v>15096</v>
      </c>
      <c r="N270" s="331" t="s">
        <v>15097</v>
      </c>
      <c r="O270" s="331" t="s">
        <v>7973</v>
      </c>
      <c r="P270" s="332" t="s">
        <v>4818</v>
      </c>
      <c r="Q270" s="331" t="s">
        <v>15099</v>
      </c>
      <c r="R270" s="331" t="s">
        <v>16899</v>
      </c>
      <c r="S270" s="334" t="s">
        <v>7070</v>
      </c>
      <c r="T270" s="303"/>
      <c r="U270" s="303"/>
      <c r="V270" s="303"/>
    </row>
    <row r="271" ht="20.25" customHeight="1">
      <c r="E271" s="355"/>
      <c r="F271" s="355"/>
      <c r="I271" s="328"/>
      <c r="K271" s="329">
        <v>448.0</v>
      </c>
      <c r="L271" s="330">
        <v>7.0</v>
      </c>
      <c r="M271" s="331" t="s">
        <v>15704</v>
      </c>
      <c r="N271" s="331" t="s">
        <v>15708</v>
      </c>
      <c r="O271" s="331" t="s">
        <v>7984</v>
      </c>
      <c r="P271" s="332" t="s">
        <v>4835</v>
      </c>
      <c r="Q271" s="331" t="s">
        <v>15709</v>
      </c>
      <c r="R271" s="331" t="s">
        <v>16900</v>
      </c>
      <c r="S271" s="334" t="s">
        <v>7048</v>
      </c>
      <c r="T271" s="303"/>
      <c r="U271" s="303"/>
      <c r="V271" s="303"/>
    </row>
    <row r="272" ht="20.25" customHeight="1">
      <c r="E272" s="355"/>
      <c r="F272" s="355"/>
      <c r="I272" s="328"/>
      <c r="K272" s="341">
        <v>448.0</v>
      </c>
      <c r="L272" s="330">
        <v>7.0</v>
      </c>
      <c r="M272" s="331" t="s">
        <v>13849</v>
      </c>
      <c r="N272" s="331" t="s">
        <v>13850</v>
      </c>
      <c r="O272" s="331" t="s">
        <v>7976</v>
      </c>
      <c r="P272" s="332" t="s">
        <v>10056</v>
      </c>
      <c r="Q272" s="331" t="s">
        <v>13851</v>
      </c>
      <c r="R272" s="331" t="s">
        <v>7978</v>
      </c>
      <c r="S272" s="334" t="s">
        <v>7144</v>
      </c>
      <c r="T272" s="303"/>
      <c r="U272" s="303"/>
      <c r="V272" s="303"/>
    </row>
    <row r="273" ht="20.25" customHeight="1">
      <c r="E273" s="355"/>
      <c r="F273" s="355"/>
      <c r="I273" s="328"/>
      <c r="K273" s="341">
        <v>448.0</v>
      </c>
      <c r="L273" s="330">
        <v>7.0</v>
      </c>
      <c r="M273" s="331" t="s">
        <v>14977</v>
      </c>
      <c r="N273" s="331" t="s">
        <v>14978</v>
      </c>
      <c r="O273" s="331" t="s">
        <v>7988</v>
      </c>
      <c r="P273" s="332" t="s">
        <v>4756</v>
      </c>
      <c r="Q273" s="331" t="s">
        <v>14979</v>
      </c>
      <c r="R273" s="331" t="s">
        <v>7990</v>
      </c>
      <c r="S273" s="334" t="s">
        <v>7144</v>
      </c>
      <c r="T273" s="303"/>
      <c r="U273" s="303"/>
      <c r="V273" s="303"/>
    </row>
    <row r="274" ht="20.25" customHeight="1">
      <c r="E274" s="355"/>
      <c r="F274" s="355"/>
      <c r="I274" s="328"/>
      <c r="K274" s="341">
        <v>448.0</v>
      </c>
      <c r="L274" s="330">
        <v>7.0</v>
      </c>
      <c r="M274" s="331" t="s">
        <v>14084</v>
      </c>
      <c r="N274" s="331" t="s">
        <v>14085</v>
      </c>
      <c r="O274" s="331" t="s">
        <v>7980</v>
      </c>
      <c r="P274" s="332" t="s">
        <v>4756</v>
      </c>
      <c r="Q274" s="331" t="s">
        <v>14087</v>
      </c>
      <c r="R274" s="331" t="s">
        <v>7982</v>
      </c>
      <c r="S274" s="334" t="s">
        <v>7144</v>
      </c>
      <c r="T274" s="303"/>
      <c r="U274" s="303"/>
      <c r="V274" s="303"/>
    </row>
    <row r="275" ht="20.25" customHeight="1">
      <c r="E275" s="355"/>
      <c r="F275" s="355"/>
      <c r="I275" s="328"/>
      <c r="K275" s="341">
        <v>448.0</v>
      </c>
      <c r="L275" s="330">
        <v>7.0</v>
      </c>
      <c r="M275" s="331" t="s">
        <v>14988</v>
      </c>
      <c r="N275" s="331" t="s">
        <v>14989</v>
      </c>
      <c r="O275" s="331" t="s">
        <v>684</v>
      </c>
      <c r="P275" s="332" t="s">
        <v>4756</v>
      </c>
      <c r="Q275" s="338" t="s">
        <v>16901</v>
      </c>
      <c r="R275" s="331" t="s">
        <v>16902</v>
      </c>
      <c r="S275" s="334" t="s">
        <v>6928</v>
      </c>
      <c r="T275" s="303"/>
      <c r="U275" s="303"/>
      <c r="V275" s="303"/>
    </row>
    <row r="276" ht="20.25" customHeight="1">
      <c r="E276" s="355"/>
      <c r="F276" s="355"/>
      <c r="I276" s="328"/>
      <c r="K276" s="342">
        <v>448.0</v>
      </c>
      <c r="L276" s="343">
        <v>7.0</v>
      </c>
      <c r="M276" s="344" t="s">
        <v>15007</v>
      </c>
      <c r="N276" s="344" t="s">
        <v>15009</v>
      </c>
      <c r="O276" s="344" t="s">
        <v>8006</v>
      </c>
      <c r="P276" s="386" t="s">
        <v>16903</v>
      </c>
      <c r="Q276" s="379" t="s">
        <v>16904</v>
      </c>
      <c r="R276" s="344" t="s">
        <v>8008</v>
      </c>
      <c r="S276" s="346" t="s">
        <v>7048</v>
      </c>
      <c r="T276" s="303"/>
      <c r="U276" s="303"/>
      <c r="V276" s="303"/>
    </row>
    <row r="277" ht="20.25" customHeight="1">
      <c r="E277" s="355"/>
      <c r="F277" s="355"/>
      <c r="I277" s="316" t="s">
        <v>16905</v>
      </c>
      <c r="K277" s="341">
        <v>448.0</v>
      </c>
      <c r="L277" s="330">
        <v>7.0</v>
      </c>
      <c r="M277" s="331" t="s">
        <v>15044</v>
      </c>
      <c r="N277" s="331" t="s">
        <v>9746</v>
      </c>
      <c r="O277" s="331" t="s">
        <v>943</v>
      </c>
      <c r="P277" s="332" t="s">
        <v>12845</v>
      </c>
      <c r="Q277" s="338" t="s">
        <v>16906</v>
      </c>
      <c r="R277" s="331" t="s">
        <v>16907</v>
      </c>
      <c r="S277" s="334" t="s">
        <v>6928</v>
      </c>
      <c r="T277" s="303"/>
      <c r="U277" s="303"/>
      <c r="V277" s="303"/>
    </row>
    <row r="278" ht="20.25" customHeight="1">
      <c r="E278" s="355"/>
      <c r="F278" s="355"/>
      <c r="I278" s="328"/>
      <c r="K278" s="341">
        <v>448.0</v>
      </c>
      <c r="L278" s="330">
        <v>7.0</v>
      </c>
      <c r="M278" s="331" t="s">
        <v>15977</v>
      </c>
      <c r="N278" s="331" t="s">
        <v>15982</v>
      </c>
      <c r="O278" s="331" t="s">
        <v>7999</v>
      </c>
      <c r="P278" s="332" t="s">
        <v>12414</v>
      </c>
      <c r="Q278" s="353" t="s">
        <v>16908</v>
      </c>
      <c r="R278" s="331" t="s">
        <v>16909</v>
      </c>
      <c r="S278" s="334" t="s">
        <v>7157</v>
      </c>
      <c r="T278" s="303"/>
      <c r="U278" s="303"/>
      <c r="V278" s="303"/>
    </row>
    <row r="279" ht="20.25" customHeight="1">
      <c r="E279" s="355"/>
      <c r="F279" s="355"/>
      <c r="I279" s="328"/>
      <c r="K279" s="382">
        <v>448.0</v>
      </c>
      <c r="L279" s="343">
        <v>7.0</v>
      </c>
      <c r="M279" s="344" t="s">
        <v>13304</v>
      </c>
      <c r="N279" s="344" t="s">
        <v>13305</v>
      </c>
      <c r="O279" s="344" t="s">
        <v>8010</v>
      </c>
      <c r="P279" s="386" t="s">
        <v>12414</v>
      </c>
      <c r="Q279" s="379" t="s">
        <v>16910</v>
      </c>
      <c r="R279" s="344" t="s">
        <v>16911</v>
      </c>
      <c r="S279" s="346" t="s">
        <v>7157</v>
      </c>
      <c r="T279" s="303"/>
      <c r="U279" s="303"/>
      <c r="V279" s="303"/>
    </row>
    <row r="280" ht="20.25" customHeight="1">
      <c r="E280" s="355"/>
      <c r="F280" s="355"/>
      <c r="I280" s="316" t="s">
        <v>16912</v>
      </c>
      <c r="K280" s="341">
        <v>448.0</v>
      </c>
      <c r="L280" s="330">
        <v>7.0</v>
      </c>
      <c r="M280" s="331" t="s">
        <v>14341</v>
      </c>
      <c r="N280" s="331" t="s">
        <v>14342</v>
      </c>
      <c r="O280" s="331" t="s">
        <v>7911</v>
      </c>
      <c r="P280" s="332" t="s">
        <v>4818</v>
      </c>
      <c r="Q280" s="332" t="s">
        <v>14343</v>
      </c>
      <c r="R280" s="331" t="s">
        <v>7914</v>
      </c>
      <c r="S280" s="334" t="s">
        <v>6928</v>
      </c>
      <c r="T280" s="303"/>
      <c r="U280" s="303"/>
      <c r="V280" s="303"/>
    </row>
    <row r="281" ht="20.25" customHeight="1">
      <c r="E281" s="355"/>
      <c r="F281" s="355"/>
      <c r="I281" s="328"/>
      <c r="K281" s="341">
        <v>448.0</v>
      </c>
      <c r="L281" s="330">
        <v>7.0</v>
      </c>
      <c r="M281" s="331" t="s">
        <v>14665</v>
      </c>
      <c r="N281" s="331" t="s">
        <v>14666</v>
      </c>
      <c r="O281" s="331" t="s">
        <v>7916</v>
      </c>
      <c r="P281" s="332" t="s">
        <v>4835</v>
      </c>
      <c r="Q281" s="332" t="s">
        <v>14667</v>
      </c>
      <c r="R281" s="331" t="s">
        <v>16913</v>
      </c>
      <c r="S281" s="334" t="s">
        <v>6928</v>
      </c>
      <c r="T281" s="303"/>
      <c r="U281" s="303"/>
      <c r="V281" s="303"/>
    </row>
    <row r="282" ht="20.25" customHeight="1">
      <c r="E282" s="355"/>
      <c r="F282" s="355"/>
      <c r="I282" s="328"/>
      <c r="K282" s="329">
        <v>448.0</v>
      </c>
      <c r="L282" s="330">
        <v>7.0</v>
      </c>
      <c r="M282" s="331" t="s">
        <v>13246</v>
      </c>
      <c r="N282" s="331" t="s">
        <v>13250</v>
      </c>
      <c r="O282" s="331" t="s">
        <v>7920</v>
      </c>
      <c r="P282" s="332" t="s">
        <v>9533</v>
      </c>
      <c r="Q282" s="335" t="s">
        <v>16914</v>
      </c>
      <c r="R282" s="331" t="s">
        <v>16915</v>
      </c>
      <c r="S282" s="334" t="s">
        <v>7070</v>
      </c>
      <c r="T282" s="303"/>
      <c r="U282" s="303"/>
      <c r="V282" s="303"/>
    </row>
    <row r="283" ht="20.25" customHeight="1">
      <c r="E283" s="355"/>
      <c r="F283" s="355"/>
      <c r="I283" s="328"/>
      <c r="K283" s="342">
        <v>448.0</v>
      </c>
      <c r="L283" s="343">
        <v>7.0</v>
      </c>
      <c r="M283" s="344" t="s">
        <v>13884</v>
      </c>
      <c r="N283" s="344" t="s">
        <v>13885</v>
      </c>
      <c r="O283" s="344" t="s">
        <v>8016</v>
      </c>
      <c r="P283" s="386" t="s">
        <v>9649</v>
      </c>
      <c r="Q283" s="392" t="s">
        <v>13886</v>
      </c>
      <c r="R283" s="344" t="s">
        <v>16916</v>
      </c>
      <c r="S283" s="346" t="s">
        <v>7248</v>
      </c>
      <c r="T283" s="303"/>
      <c r="U283" s="303"/>
      <c r="V283" s="303"/>
    </row>
    <row r="284" ht="20.25" customHeight="1">
      <c r="E284" s="355"/>
      <c r="F284" s="355"/>
      <c r="I284" s="316" t="s">
        <v>16917</v>
      </c>
      <c r="K284" s="341">
        <v>448.0</v>
      </c>
      <c r="L284" s="330">
        <v>7.0</v>
      </c>
      <c r="M284" s="331" t="s">
        <v>14544</v>
      </c>
      <c r="N284" s="331" t="s">
        <v>14545</v>
      </c>
      <c r="O284" s="331" t="s">
        <v>7928</v>
      </c>
      <c r="P284" s="332" t="s">
        <v>4835</v>
      </c>
      <c r="Q284" s="331" t="s">
        <v>14546</v>
      </c>
      <c r="R284" s="331" t="s">
        <v>16918</v>
      </c>
      <c r="S284" s="334" t="s">
        <v>6928</v>
      </c>
      <c r="T284" s="303"/>
      <c r="U284" s="303"/>
      <c r="V284" s="303"/>
    </row>
    <row r="285" ht="20.25" customHeight="1">
      <c r="E285" s="355"/>
      <c r="F285" s="355"/>
      <c r="I285" s="328"/>
      <c r="K285" s="341">
        <v>448.0</v>
      </c>
      <c r="L285" s="330">
        <v>7.0</v>
      </c>
      <c r="M285" s="331" t="s">
        <v>9614</v>
      </c>
      <c r="N285" s="331" t="s">
        <v>14009</v>
      </c>
      <c r="O285" s="331" t="s">
        <v>7932</v>
      </c>
      <c r="P285" s="332" t="s">
        <v>4835</v>
      </c>
      <c r="Q285" s="331" t="s">
        <v>14010</v>
      </c>
      <c r="R285" s="331" t="s">
        <v>16919</v>
      </c>
      <c r="S285" s="334" t="s">
        <v>6928</v>
      </c>
      <c r="T285" s="303"/>
      <c r="U285" s="303"/>
      <c r="V285" s="303"/>
    </row>
    <row r="286" ht="20.25" customHeight="1">
      <c r="E286" s="355"/>
      <c r="F286" s="355"/>
      <c r="I286" s="328"/>
      <c r="K286" s="341">
        <v>448.0</v>
      </c>
      <c r="L286" s="330">
        <v>7.0</v>
      </c>
      <c r="M286" s="331" t="s">
        <v>15759</v>
      </c>
      <c r="N286" s="331" t="s">
        <v>15760</v>
      </c>
      <c r="O286" s="331" t="s">
        <v>7936</v>
      </c>
      <c r="P286" s="332" t="s">
        <v>4756</v>
      </c>
      <c r="Q286" s="338" t="s">
        <v>16920</v>
      </c>
      <c r="R286" s="331" t="s">
        <v>7938</v>
      </c>
      <c r="S286" s="334" t="s">
        <v>7093</v>
      </c>
      <c r="T286" s="303"/>
      <c r="U286" s="303"/>
      <c r="V286" s="303"/>
    </row>
    <row r="287" ht="20.25" customHeight="1">
      <c r="E287" s="355"/>
      <c r="F287" s="355"/>
      <c r="I287" s="328"/>
      <c r="K287" s="341">
        <v>448.0</v>
      </c>
      <c r="L287" s="330">
        <v>7.0</v>
      </c>
      <c r="M287" s="331" t="s">
        <v>14298</v>
      </c>
      <c r="N287" s="331" t="s">
        <v>14299</v>
      </c>
      <c r="O287" s="331" t="s">
        <v>7948</v>
      </c>
      <c r="P287" s="331" t="s">
        <v>9390</v>
      </c>
      <c r="Q287" s="338" t="s">
        <v>16921</v>
      </c>
      <c r="R287" s="331" t="s">
        <v>7950</v>
      </c>
      <c r="S287" s="334" t="s">
        <v>7375</v>
      </c>
      <c r="T287" s="303"/>
      <c r="U287" s="303"/>
      <c r="V287" s="303"/>
    </row>
    <row r="288" ht="20.25" customHeight="1">
      <c r="E288" s="355"/>
      <c r="F288" s="355"/>
      <c r="I288" s="328"/>
      <c r="K288" s="341">
        <v>448.0</v>
      </c>
      <c r="L288" s="330">
        <v>7.0</v>
      </c>
      <c r="M288" s="331" t="s">
        <v>13477</v>
      </c>
      <c r="N288" s="331" t="s">
        <v>13478</v>
      </c>
      <c r="O288" s="331" t="s">
        <v>7924</v>
      </c>
      <c r="P288" s="331" t="s">
        <v>9649</v>
      </c>
      <c r="Q288" s="338" t="s">
        <v>16922</v>
      </c>
      <c r="R288" s="331" t="s">
        <v>16923</v>
      </c>
      <c r="S288" s="334" t="s">
        <v>7093</v>
      </c>
      <c r="T288" s="303"/>
      <c r="U288" s="303"/>
      <c r="V288" s="303"/>
    </row>
    <row r="289" ht="20.25" customHeight="1">
      <c r="E289" s="355"/>
      <c r="F289" s="355"/>
      <c r="I289" s="328"/>
      <c r="K289" s="341">
        <v>448.0</v>
      </c>
      <c r="L289" s="330">
        <v>7.0</v>
      </c>
      <c r="M289" s="331" t="s">
        <v>13814</v>
      </c>
      <c r="N289" s="331" t="s">
        <v>13815</v>
      </c>
      <c r="O289" s="331" t="s">
        <v>7940</v>
      </c>
      <c r="P289" s="332" t="s">
        <v>10118</v>
      </c>
      <c r="Q289" s="335" t="s">
        <v>16924</v>
      </c>
      <c r="R289" s="331" t="s">
        <v>16925</v>
      </c>
      <c r="S289" s="334" t="s">
        <v>7398</v>
      </c>
      <c r="T289" s="303"/>
      <c r="U289" s="303"/>
      <c r="V289" s="303"/>
    </row>
    <row r="290" ht="20.25" customHeight="1">
      <c r="E290" s="355"/>
      <c r="F290" s="355"/>
      <c r="I290" s="328"/>
      <c r="K290" s="382">
        <v>448.0</v>
      </c>
      <c r="L290" s="343">
        <v>7.0</v>
      </c>
      <c r="M290" s="344" t="s">
        <v>13897</v>
      </c>
      <c r="N290" s="344" t="s">
        <v>13898</v>
      </c>
      <c r="O290" s="344" t="s">
        <v>7944</v>
      </c>
      <c r="P290" s="344" t="s">
        <v>10028</v>
      </c>
      <c r="Q290" s="379" t="s">
        <v>16926</v>
      </c>
      <c r="R290" s="344" t="s">
        <v>7946</v>
      </c>
      <c r="S290" s="346" t="s">
        <v>7093</v>
      </c>
      <c r="T290" s="303"/>
      <c r="U290" s="303"/>
      <c r="V290" s="303"/>
    </row>
    <row r="291" ht="20.25" customHeight="1">
      <c r="E291" s="355"/>
      <c r="F291" s="355"/>
      <c r="I291" s="316" t="s">
        <v>16927</v>
      </c>
      <c r="K291" s="341">
        <v>448.0</v>
      </c>
      <c r="L291" s="330">
        <v>7.0</v>
      </c>
      <c r="M291" s="331" t="s">
        <v>14709</v>
      </c>
      <c r="N291" s="331" t="s">
        <v>14710</v>
      </c>
      <c r="O291" s="331" t="s">
        <v>7961</v>
      </c>
      <c r="P291" s="331" t="s">
        <v>9390</v>
      </c>
      <c r="Q291" s="338" t="s">
        <v>16928</v>
      </c>
      <c r="R291" s="331" t="s">
        <v>7963</v>
      </c>
      <c r="S291" s="334" t="s">
        <v>7157</v>
      </c>
      <c r="T291" s="303"/>
      <c r="U291" s="303"/>
      <c r="V291" s="303"/>
    </row>
    <row r="292" ht="20.25" customHeight="1">
      <c r="E292" s="355"/>
      <c r="F292" s="355"/>
      <c r="I292" s="328"/>
      <c r="K292" s="341">
        <v>448.0</v>
      </c>
      <c r="L292" s="330">
        <v>7.0</v>
      </c>
      <c r="M292" s="331" t="s">
        <v>13107</v>
      </c>
      <c r="N292" s="331" t="s">
        <v>13108</v>
      </c>
      <c r="O292" s="331" t="s">
        <v>7954</v>
      </c>
      <c r="P292" s="331" t="s">
        <v>13110</v>
      </c>
      <c r="Q292" s="338" t="s">
        <v>16929</v>
      </c>
      <c r="R292" s="331" t="s">
        <v>7956</v>
      </c>
      <c r="S292" s="334" t="s">
        <v>6928</v>
      </c>
      <c r="T292" s="303"/>
      <c r="U292" s="303"/>
      <c r="V292" s="303"/>
    </row>
    <row r="293" ht="20.25" customHeight="1">
      <c r="E293" s="355"/>
      <c r="F293" s="355"/>
      <c r="I293" s="328"/>
      <c r="K293" s="341">
        <v>448.0</v>
      </c>
      <c r="L293" s="330">
        <v>7.0</v>
      </c>
      <c r="M293" s="331" t="s">
        <v>11192</v>
      </c>
      <c r="N293" s="331" t="s">
        <v>14348</v>
      </c>
      <c r="O293" s="331" t="s">
        <v>3427</v>
      </c>
      <c r="P293" s="331" t="s">
        <v>9503</v>
      </c>
      <c r="Q293" s="338" t="s">
        <v>16930</v>
      </c>
      <c r="R293" s="331" t="s">
        <v>7959</v>
      </c>
      <c r="S293" s="334" t="s">
        <v>6928</v>
      </c>
      <c r="T293" s="303"/>
      <c r="U293" s="303"/>
      <c r="V293" s="303"/>
    </row>
    <row r="294" ht="20.25" customHeight="1">
      <c r="E294" s="355"/>
      <c r="F294" s="355"/>
      <c r="I294" s="328"/>
      <c r="K294" s="342">
        <v>448.0</v>
      </c>
      <c r="L294" s="343">
        <v>7.0</v>
      </c>
      <c r="M294" s="344" t="s">
        <v>14917</v>
      </c>
      <c r="N294" s="344" t="s">
        <v>14918</v>
      </c>
      <c r="O294" s="344" t="s">
        <v>151</v>
      </c>
      <c r="P294" s="386" t="s">
        <v>10028</v>
      </c>
      <c r="Q294" s="392" t="s">
        <v>155</v>
      </c>
      <c r="R294" s="344" t="s">
        <v>7969</v>
      </c>
      <c r="S294" s="346" t="s">
        <v>7048</v>
      </c>
      <c r="T294" s="303"/>
      <c r="U294" s="303"/>
      <c r="V294" s="303"/>
    </row>
    <row r="295" ht="20.25" customHeight="1">
      <c r="E295" s="355"/>
      <c r="F295" s="355"/>
      <c r="I295" s="316" t="s">
        <v>16931</v>
      </c>
      <c r="K295" s="329">
        <v>448.0</v>
      </c>
      <c r="L295" s="330">
        <v>7.0</v>
      </c>
      <c r="M295" s="331" t="s">
        <v>13901</v>
      </c>
      <c r="N295" s="331" t="s">
        <v>13904</v>
      </c>
      <c r="O295" s="331" t="s">
        <v>9344</v>
      </c>
      <c r="P295" s="332" t="s">
        <v>13907</v>
      </c>
      <c r="Q295" s="338" t="s">
        <v>16932</v>
      </c>
      <c r="R295" s="331" t="s">
        <v>9346</v>
      </c>
      <c r="S295" s="334" t="s">
        <v>7048</v>
      </c>
      <c r="T295" s="303"/>
      <c r="U295" s="303"/>
      <c r="V295" s="303"/>
    </row>
    <row r="296" ht="20.25" customHeight="1">
      <c r="E296" s="355"/>
      <c r="F296" s="355"/>
      <c r="I296" s="328"/>
      <c r="K296" s="342">
        <v>448.0</v>
      </c>
      <c r="L296" s="343">
        <v>7.0</v>
      </c>
      <c r="M296" s="344" t="s">
        <v>15415</v>
      </c>
      <c r="N296" s="344" t="s">
        <v>15416</v>
      </c>
      <c r="O296" s="344" t="s">
        <v>7992</v>
      </c>
      <c r="P296" s="386" t="s">
        <v>13907</v>
      </c>
      <c r="Q296" s="379" t="s">
        <v>16933</v>
      </c>
      <c r="R296" s="344" t="s">
        <v>7994</v>
      </c>
      <c r="S296" s="346" t="s">
        <v>7048</v>
      </c>
      <c r="T296" s="303"/>
      <c r="U296" s="303"/>
      <c r="V296" s="303"/>
    </row>
    <row r="297" ht="20.25" customHeight="1">
      <c r="E297" s="355"/>
      <c r="F297" s="355"/>
      <c r="I297" s="316" t="s">
        <v>2165</v>
      </c>
      <c r="K297" s="323">
        <v>448.0</v>
      </c>
      <c r="L297" s="324">
        <v>8.0</v>
      </c>
      <c r="M297" s="325" t="s">
        <v>14306</v>
      </c>
      <c r="N297" s="325" t="s">
        <v>14307</v>
      </c>
      <c r="O297" s="325" t="s">
        <v>8134</v>
      </c>
      <c r="P297" s="362" t="s">
        <v>14265</v>
      </c>
      <c r="Q297" s="362" t="s">
        <v>14308</v>
      </c>
      <c r="R297" s="325" t="s">
        <v>8137</v>
      </c>
      <c r="S297" s="327" t="s">
        <v>8138</v>
      </c>
      <c r="T297" s="303"/>
      <c r="U297" s="303"/>
      <c r="V297" s="303"/>
    </row>
    <row r="298" ht="20.25" customHeight="1">
      <c r="E298" s="355"/>
      <c r="F298" s="355"/>
      <c r="I298" s="328"/>
      <c r="K298" s="341">
        <v>448.0</v>
      </c>
      <c r="L298" s="330">
        <v>8.0</v>
      </c>
      <c r="M298" s="331" t="s">
        <v>13994</v>
      </c>
      <c r="N298" s="331" t="s">
        <v>13995</v>
      </c>
      <c r="O298" s="331" t="s">
        <v>8139</v>
      </c>
      <c r="P298" s="381" t="s">
        <v>14916</v>
      </c>
      <c r="Q298" s="331" t="s">
        <v>13996</v>
      </c>
      <c r="R298" s="331" t="s">
        <v>8141</v>
      </c>
      <c r="S298" s="334" t="s">
        <v>6928</v>
      </c>
      <c r="T298" s="303"/>
      <c r="U298" s="303"/>
      <c r="V298" s="303"/>
    </row>
    <row r="299" ht="20.25" customHeight="1">
      <c r="E299" s="355"/>
      <c r="F299" s="355"/>
      <c r="I299" s="328"/>
      <c r="K299" s="329">
        <v>448.0</v>
      </c>
      <c r="L299" s="330">
        <v>8.0</v>
      </c>
      <c r="M299" s="331" t="s">
        <v>15076</v>
      </c>
      <c r="N299" s="331" t="s">
        <v>11298</v>
      </c>
      <c r="O299" s="331" t="s">
        <v>8143</v>
      </c>
      <c r="P299" s="381" t="s">
        <v>13144</v>
      </c>
      <c r="Q299" s="338" t="s">
        <v>16934</v>
      </c>
      <c r="R299" s="331" t="s">
        <v>8145</v>
      </c>
      <c r="S299" s="334" t="s">
        <v>8146</v>
      </c>
      <c r="T299" s="303"/>
      <c r="U299" s="303"/>
      <c r="V299" s="303"/>
    </row>
    <row r="300" ht="20.25" customHeight="1">
      <c r="E300" s="355"/>
      <c r="F300" s="355"/>
      <c r="I300" s="328"/>
      <c r="K300" s="342">
        <v>448.0</v>
      </c>
      <c r="L300" s="343">
        <v>8.0</v>
      </c>
      <c r="M300" s="344" t="s">
        <v>13674</v>
      </c>
      <c r="N300" s="344" t="s">
        <v>13675</v>
      </c>
      <c r="O300" s="344" t="s">
        <v>8147</v>
      </c>
      <c r="P300" s="344" t="s">
        <v>13398</v>
      </c>
      <c r="Q300" s="379" t="s">
        <v>16935</v>
      </c>
      <c r="R300" s="344" t="s">
        <v>8149</v>
      </c>
      <c r="S300" s="346" t="s">
        <v>7005</v>
      </c>
      <c r="T300" s="303"/>
      <c r="U300" s="303"/>
      <c r="V300" s="303"/>
    </row>
    <row r="301" ht="20.25" customHeight="1">
      <c r="E301" s="355"/>
      <c r="F301" s="355"/>
      <c r="I301" s="316" t="s">
        <v>8136</v>
      </c>
      <c r="K301" s="329">
        <v>448.0</v>
      </c>
      <c r="L301" s="330">
        <v>8.0</v>
      </c>
      <c r="M301" s="331" t="s">
        <v>15454</v>
      </c>
      <c r="N301" s="331" t="s">
        <v>15455</v>
      </c>
      <c r="O301" s="331" t="s">
        <v>8028</v>
      </c>
      <c r="P301" s="332" t="s">
        <v>9604</v>
      </c>
      <c r="Q301" s="353" t="s">
        <v>15457</v>
      </c>
      <c r="R301" s="331" t="s">
        <v>16936</v>
      </c>
      <c r="S301" s="334" t="s">
        <v>6937</v>
      </c>
      <c r="T301" s="303"/>
      <c r="U301" s="303"/>
      <c r="V301" s="303"/>
    </row>
    <row r="302" ht="20.25" customHeight="1">
      <c r="E302" s="355"/>
      <c r="F302" s="355"/>
      <c r="I302" s="328"/>
      <c r="K302" s="382">
        <v>448.0</v>
      </c>
      <c r="L302" s="343">
        <v>8.0</v>
      </c>
      <c r="M302" s="344" t="s">
        <v>14913</v>
      </c>
      <c r="N302" s="344" t="s">
        <v>14914</v>
      </c>
      <c r="O302" s="344" t="s">
        <v>8031</v>
      </c>
      <c r="P302" s="386" t="s">
        <v>14916</v>
      </c>
      <c r="Q302" s="344" t="s">
        <v>16937</v>
      </c>
      <c r="R302" s="344" t="s">
        <v>8033</v>
      </c>
      <c r="S302" s="346" t="s">
        <v>7157</v>
      </c>
      <c r="T302" s="303"/>
      <c r="U302" s="303"/>
      <c r="V302" s="303"/>
    </row>
    <row r="303" ht="20.25" customHeight="1">
      <c r="E303" s="355"/>
      <c r="F303" s="355"/>
      <c r="I303" s="316" t="s">
        <v>16938</v>
      </c>
      <c r="K303" s="361">
        <v>448.0</v>
      </c>
      <c r="L303" s="324">
        <v>8.0</v>
      </c>
      <c r="M303" s="325" t="s">
        <v>12582</v>
      </c>
      <c r="N303" s="325" t="s">
        <v>9498</v>
      </c>
      <c r="O303" s="325" t="s">
        <v>4732</v>
      </c>
      <c r="P303" s="325" t="s">
        <v>9425</v>
      </c>
      <c r="Q303" s="326" t="s">
        <v>16939</v>
      </c>
      <c r="R303" s="325" t="s">
        <v>8038</v>
      </c>
      <c r="S303" s="327" t="s">
        <v>16552</v>
      </c>
      <c r="T303" s="303"/>
      <c r="U303" s="303"/>
      <c r="V303" s="303"/>
    </row>
    <row r="304" ht="20.25" customHeight="1">
      <c r="E304" s="355"/>
      <c r="F304" s="355"/>
      <c r="I304" s="328"/>
      <c r="K304" s="329">
        <v>448.0</v>
      </c>
      <c r="L304" s="330">
        <v>8.0</v>
      </c>
      <c r="M304" s="331" t="s">
        <v>13825</v>
      </c>
      <c r="N304" s="331" t="s">
        <v>13826</v>
      </c>
      <c r="O304" s="331" t="s">
        <v>4808</v>
      </c>
      <c r="P304" s="331" t="s">
        <v>4805</v>
      </c>
      <c r="Q304" s="338" t="s">
        <v>16940</v>
      </c>
      <c r="R304" s="331" t="s">
        <v>8044</v>
      </c>
      <c r="S304" s="334" t="s">
        <v>6993</v>
      </c>
      <c r="T304" s="303"/>
      <c r="U304" s="303"/>
      <c r="V304" s="303"/>
    </row>
    <row r="305" ht="20.25" customHeight="1">
      <c r="E305" s="355"/>
      <c r="F305" s="355"/>
      <c r="I305" s="328"/>
      <c r="K305" s="329">
        <v>448.0</v>
      </c>
      <c r="L305" s="330">
        <v>8.0</v>
      </c>
      <c r="M305" s="331" t="s">
        <v>14716</v>
      </c>
      <c r="N305" s="331" t="s">
        <v>14717</v>
      </c>
      <c r="O305" s="331" t="s">
        <v>4745</v>
      </c>
      <c r="P305" s="331" t="s">
        <v>1392</v>
      </c>
      <c r="Q305" s="338" t="s">
        <v>16941</v>
      </c>
      <c r="R305" s="331" t="s">
        <v>8102</v>
      </c>
      <c r="S305" s="334" t="s">
        <v>7750</v>
      </c>
      <c r="T305" s="303"/>
      <c r="U305" s="303"/>
      <c r="V305" s="303"/>
    </row>
    <row r="306" ht="20.25" customHeight="1">
      <c r="E306" s="355"/>
      <c r="F306" s="355"/>
      <c r="I306" s="328"/>
      <c r="K306" s="329">
        <v>448.0</v>
      </c>
      <c r="L306" s="330">
        <v>8.0</v>
      </c>
      <c r="M306" s="331" t="s">
        <v>13399</v>
      </c>
      <c r="N306" s="331" t="s">
        <v>13400</v>
      </c>
      <c r="O306" s="331" t="s">
        <v>4814</v>
      </c>
      <c r="P306" s="331" t="s">
        <v>2062</v>
      </c>
      <c r="Q306" s="338" t="s">
        <v>16942</v>
      </c>
      <c r="R306" s="331" t="s">
        <v>8072</v>
      </c>
      <c r="S306" s="334" t="s">
        <v>7357</v>
      </c>
      <c r="T306" s="303"/>
      <c r="U306" s="303"/>
      <c r="V306" s="303"/>
    </row>
    <row r="307" ht="20.25" customHeight="1">
      <c r="E307" s="355"/>
      <c r="F307" s="355"/>
      <c r="I307" s="328"/>
      <c r="K307" s="329">
        <v>448.0</v>
      </c>
      <c r="L307" s="330">
        <v>8.0</v>
      </c>
      <c r="M307" s="331" t="s">
        <v>14417</v>
      </c>
      <c r="N307" s="331" t="s">
        <v>14418</v>
      </c>
      <c r="O307" s="331" t="s">
        <v>4821</v>
      </c>
      <c r="P307" s="353" t="s">
        <v>4818</v>
      </c>
      <c r="Q307" s="338" t="s">
        <v>16943</v>
      </c>
      <c r="R307" s="331" t="s">
        <v>8075</v>
      </c>
      <c r="S307" s="334" t="s">
        <v>8076</v>
      </c>
      <c r="T307" s="303"/>
      <c r="U307" s="303"/>
      <c r="V307" s="303"/>
    </row>
    <row r="308" ht="20.25" customHeight="1">
      <c r="E308" s="355"/>
      <c r="F308" s="355"/>
      <c r="I308" s="328"/>
      <c r="K308" s="329">
        <v>448.0</v>
      </c>
      <c r="L308" s="330">
        <v>8.0</v>
      </c>
      <c r="M308" s="331" t="s">
        <v>14608</v>
      </c>
      <c r="N308" s="331" t="s">
        <v>14609</v>
      </c>
      <c r="O308" s="331" t="s">
        <v>4831</v>
      </c>
      <c r="P308" s="353" t="s">
        <v>4818</v>
      </c>
      <c r="Q308" s="338" t="s">
        <v>16944</v>
      </c>
      <c r="R308" s="331" t="s">
        <v>8085</v>
      </c>
      <c r="S308" s="334" t="s">
        <v>6993</v>
      </c>
      <c r="T308" s="303"/>
      <c r="U308" s="303"/>
      <c r="V308" s="303"/>
    </row>
    <row r="309" ht="20.25" customHeight="1">
      <c r="E309" s="355"/>
      <c r="F309" s="355"/>
      <c r="I309" s="328"/>
      <c r="K309" s="329">
        <v>448.0</v>
      </c>
      <c r="L309" s="330">
        <v>8.0</v>
      </c>
      <c r="M309" s="331" t="s">
        <v>15974</v>
      </c>
      <c r="N309" s="331" t="s">
        <v>15975</v>
      </c>
      <c r="O309" s="331" t="s">
        <v>4752</v>
      </c>
      <c r="P309" s="353" t="s">
        <v>4818</v>
      </c>
      <c r="Q309" s="338" t="s">
        <v>16945</v>
      </c>
      <c r="R309" s="331" t="s">
        <v>8105</v>
      </c>
      <c r="S309" s="334" t="s">
        <v>7005</v>
      </c>
      <c r="T309" s="303"/>
      <c r="U309" s="303"/>
      <c r="V309" s="303"/>
    </row>
    <row r="310" ht="20.25" customHeight="1">
      <c r="E310" s="355"/>
      <c r="F310" s="355"/>
      <c r="I310" s="328"/>
      <c r="K310" s="329">
        <v>448.0</v>
      </c>
      <c r="L310" s="330">
        <v>8.0</v>
      </c>
      <c r="M310" s="331" t="s">
        <v>13740</v>
      </c>
      <c r="N310" s="331" t="s">
        <v>13741</v>
      </c>
      <c r="O310" s="331" t="s">
        <v>4838</v>
      </c>
      <c r="P310" s="331" t="s">
        <v>4835</v>
      </c>
      <c r="Q310" s="338" t="s">
        <v>16946</v>
      </c>
      <c r="R310" s="331" t="s">
        <v>8080</v>
      </c>
      <c r="S310" s="334" t="s">
        <v>7357</v>
      </c>
      <c r="T310" s="303"/>
      <c r="U310" s="303"/>
      <c r="V310" s="303"/>
    </row>
    <row r="311" ht="20.25" customHeight="1">
      <c r="E311" s="355"/>
      <c r="F311" s="355"/>
      <c r="I311" s="328"/>
      <c r="K311" s="329">
        <v>448.0</v>
      </c>
      <c r="L311" s="330">
        <v>8.0</v>
      </c>
      <c r="M311" s="331" t="s">
        <v>15357</v>
      </c>
      <c r="N311" s="331" t="s">
        <v>15358</v>
      </c>
      <c r="O311" s="331" t="s">
        <v>4844</v>
      </c>
      <c r="P311" s="331" t="s">
        <v>4835</v>
      </c>
      <c r="Q311" s="338" t="s">
        <v>16947</v>
      </c>
      <c r="R311" s="331" t="s">
        <v>8083</v>
      </c>
      <c r="S311" s="334" t="s">
        <v>6993</v>
      </c>
      <c r="T311" s="303"/>
      <c r="U311" s="303"/>
      <c r="V311" s="303"/>
    </row>
    <row r="312" ht="20.25" customHeight="1">
      <c r="E312" s="355"/>
      <c r="F312" s="355"/>
      <c r="I312" s="328"/>
      <c r="K312" s="329">
        <v>448.0</v>
      </c>
      <c r="L312" s="330">
        <v>8.0</v>
      </c>
      <c r="M312" s="331" t="s">
        <v>14619</v>
      </c>
      <c r="N312" s="331" t="s">
        <v>14620</v>
      </c>
      <c r="O312" s="331" t="s">
        <v>4849</v>
      </c>
      <c r="P312" s="353" t="s">
        <v>4756</v>
      </c>
      <c r="Q312" s="338" t="s">
        <v>16948</v>
      </c>
      <c r="R312" s="331" t="s">
        <v>8048</v>
      </c>
      <c r="S312" s="334" t="s">
        <v>8049</v>
      </c>
      <c r="T312" s="303"/>
      <c r="U312" s="303"/>
      <c r="V312" s="303"/>
    </row>
    <row r="313" ht="20.25" customHeight="1">
      <c r="E313" s="355"/>
      <c r="F313" s="355"/>
      <c r="I313" s="328"/>
      <c r="K313" s="341">
        <v>448.0</v>
      </c>
      <c r="L313" s="330">
        <v>8.0</v>
      </c>
      <c r="M313" s="331" t="s">
        <v>13472</v>
      </c>
      <c r="N313" s="331" t="s">
        <v>13473</v>
      </c>
      <c r="O313" s="331" t="s">
        <v>4862</v>
      </c>
      <c r="P313" s="353" t="s">
        <v>16949</v>
      </c>
      <c r="Q313" s="338" t="s">
        <v>16950</v>
      </c>
      <c r="R313" s="331" t="s">
        <v>16951</v>
      </c>
      <c r="S313" s="334" t="s">
        <v>8052</v>
      </c>
      <c r="T313" s="303"/>
      <c r="U313" s="303"/>
      <c r="V313" s="303"/>
    </row>
    <row r="314" ht="20.25" customHeight="1">
      <c r="E314" s="355"/>
      <c r="F314" s="355"/>
      <c r="I314" s="328"/>
      <c r="K314" s="341">
        <v>448.0</v>
      </c>
      <c r="L314" s="330">
        <v>8.0</v>
      </c>
      <c r="M314" s="331" t="s">
        <v>13156</v>
      </c>
      <c r="N314" s="331" t="s">
        <v>13157</v>
      </c>
      <c r="O314" s="331" t="s">
        <v>4855</v>
      </c>
      <c r="P314" s="353" t="s">
        <v>16949</v>
      </c>
      <c r="Q314" s="338" t="s">
        <v>16952</v>
      </c>
      <c r="R314" s="331" t="s">
        <v>8051</v>
      </c>
      <c r="S314" s="334" t="s">
        <v>8052</v>
      </c>
      <c r="T314" s="303"/>
      <c r="U314" s="303"/>
      <c r="V314" s="303"/>
    </row>
    <row r="315" ht="20.25" customHeight="1">
      <c r="E315" s="355"/>
      <c r="F315" s="355"/>
      <c r="I315" s="328"/>
      <c r="K315" s="341">
        <v>448.0</v>
      </c>
      <c r="L315" s="330">
        <v>8.0</v>
      </c>
      <c r="M315" s="331" t="s">
        <v>15520</v>
      </c>
      <c r="N315" s="331" t="s">
        <v>15521</v>
      </c>
      <c r="O315" s="331" t="s">
        <v>4867</v>
      </c>
      <c r="P315" s="331" t="s">
        <v>4853</v>
      </c>
      <c r="Q315" s="338" t="s">
        <v>16953</v>
      </c>
      <c r="R315" s="331" t="s">
        <v>16954</v>
      </c>
      <c r="S315" s="334" t="s">
        <v>6928</v>
      </c>
      <c r="T315" s="303"/>
      <c r="U315" s="303"/>
      <c r="V315" s="303"/>
    </row>
    <row r="316" ht="20.25" customHeight="1">
      <c r="E316" s="355"/>
      <c r="F316" s="355"/>
      <c r="I316" s="328"/>
      <c r="K316" s="341">
        <v>448.0</v>
      </c>
      <c r="L316" s="330">
        <v>8.0</v>
      </c>
      <c r="M316" s="331" t="s">
        <v>14133</v>
      </c>
      <c r="N316" s="331" t="s">
        <v>14134</v>
      </c>
      <c r="O316" s="331" t="s">
        <v>4758</v>
      </c>
      <c r="P316" s="353" t="s">
        <v>4756</v>
      </c>
      <c r="Q316" s="338" t="s">
        <v>16955</v>
      </c>
      <c r="R316" s="331" t="s">
        <v>8108</v>
      </c>
      <c r="S316" s="334" t="s">
        <v>6928</v>
      </c>
      <c r="T316" s="303"/>
      <c r="U316" s="303"/>
      <c r="V316" s="303"/>
    </row>
    <row r="317" ht="20.25" customHeight="1">
      <c r="E317" s="355"/>
      <c r="F317" s="355"/>
      <c r="I317" s="328"/>
      <c r="K317" s="329">
        <v>448.0</v>
      </c>
      <c r="L317" s="330">
        <v>8.0</v>
      </c>
      <c r="M317" s="331" t="s">
        <v>15681</v>
      </c>
      <c r="N317" s="331" t="s">
        <v>15682</v>
      </c>
      <c r="O317" s="331" t="s">
        <v>4770</v>
      </c>
      <c r="P317" s="353" t="s">
        <v>4756</v>
      </c>
      <c r="Q317" s="338" t="s">
        <v>16956</v>
      </c>
      <c r="R317" s="331" t="s">
        <v>8125</v>
      </c>
      <c r="S317" s="334" t="s">
        <v>7299</v>
      </c>
      <c r="T317" s="303"/>
      <c r="U317" s="303"/>
      <c r="V317" s="303"/>
    </row>
    <row r="318" ht="20.25" customHeight="1">
      <c r="E318" s="355"/>
      <c r="F318" s="355"/>
      <c r="I318" s="328"/>
      <c r="K318" s="329">
        <v>448.0</v>
      </c>
      <c r="L318" s="330">
        <v>8.0</v>
      </c>
      <c r="M318" s="331" t="s">
        <v>14403</v>
      </c>
      <c r="N318" s="331" t="s">
        <v>14239</v>
      </c>
      <c r="O318" s="331" t="s">
        <v>810</v>
      </c>
      <c r="P318" s="353" t="s">
        <v>16949</v>
      </c>
      <c r="Q318" s="338" t="s">
        <v>16957</v>
      </c>
      <c r="R318" s="331" t="s">
        <v>8054</v>
      </c>
      <c r="S318" s="334" t="s">
        <v>8055</v>
      </c>
      <c r="T318" s="303"/>
      <c r="U318" s="303"/>
      <c r="V318" s="303"/>
    </row>
    <row r="319" ht="20.25" customHeight="1">
      <c r="E319" s="355"/>
      <c r="F319" s="355"/>
      <c r="I319" s="328"/>
      <c r="K319" s="329">
        <v>448.0</v>
      </c>
      <c r="L319" s="330">
        <v>8.0</v>
      </c>
      <c r="M319" s="331" t="s">
        <v>13275</v>
      </c>
      <c r="N319" s="331" t="s">
        <v>13276</v>
      </c>
      <c r="O319" s="331" t="s">
        <v>4910</v>
      </c>
      <c r="P319" s="381" t="s">
        <v>4898</v>
      </c>
      <c r="Q319" s="335" t="s">
        <v>16958</v>
      </c>
      <c r="R319" s="331" t="s">
        <v>16959</v>
      </c>
      <c r="S319" s="334" t="s">
        <v>8052</v>
      </c>
      <c r="T319" s="303"/>
      <c r="U319" s="303"/>
      <c r="V319" s="303"/>
    </row>
    <row r="320" ht="20.25" customHeight="1">
      <c r="E320" s="355"/>
      <c r="F320" s="355"/>
      <c r="I320" s="328"/>
      <c r="K320" s="329">
        <v>448.0</v>
      </c>
      <c r="L320" s="330">
        <v>8.0</v>
      </c>
      <c r="M320" s="331" t="s">
        <v>15876</v>
      </c>
      <c r="N320" s="331" t="s">
        <v>15877</v>
      </c>
      <c r="O320" s="331" t="s">
        <v>4900</v>
      </c>
      <c r="P320" s="340" t="s">
        <v>16960</v>
      </c>
      <c r="Q320" s="354" t="s">
        <v>16961</v>
      </c>
      <c r="R320" s="331" t="s">
        <v>8063</v>
      </c>
      <c r="S320" s="334" t="s">
        <v>8052</v>
      </c>
      <c r="T320" s="303"/>
      <c r="U320" s="303"/>
      <c r="V320" s="303"/>
    </row>
    <row r="321" ht="20.25" customHeight="1">
      <c r="E321" s="355"/>
      <c r="F321" s="355"/>
      <c r="I321" s="328"/>
      <c r="K321" s="341">
        <v>448.0</v>
      </c>
      <c r="L321" s="330">
        <v>8.0</v>
      </c>
      <c r="M321" s="331" t="s">
        <v>14053</v>
      </c>
      <c r="N321" s="331" t="s">
        <v>14054</v>
      </c>
      <c r="O321" s="331" t="s">
        <v>4905</v>
      </c>
      <c r="P321" s="340" t="s">
        <v>16960</v>
      </c>
      <c r="Q321" s="338" t="s">
        <v>16962</v>
      </c>
      <c r="R321" s="336"/>
      <c r="S321" s="337"/>
      <c r="T321" s="303"/>
      <c r="U321" s="303"/>
      <c r="V321" s="303"/>
    </row>
    <row r="322" ht="20.25" customHeight="1">
      <c r="E322" s="355"/>
      <c r="F322" s="355"/>
      <c r="I322" s="328"/>
      <c r="K322" s="329">
        <v>448.0</v>
      </c>
      <c r="L322" s="330">
        <v>8.0</v>
      </c>
      <c r="M322" s="331" t="s">
        <v>13159</v>
      </c>
      <c r="N322" s="331" t="s">
        <v>11793</v>
      </c>
      <c r="O322" s="331" t="s">
        <v>4872</v>
      </c>
      <c r="P322" s="331" t="s">
        <v>16963</v>
      </c>
      <c r="Q322" s="354" t="s">
        <v>16964</v>
      </c>
      <c r="R322" s="331" t="s">
        <v>8061</v>
      </c>
      <c r="S322" s="334" t="s">
        <v>8055</v>
      </c>
      <c r="T322" s="303"/>
      <c r="U322" s="303"/>
      <c r="V322" s="303"/>
    </row>
    <row r="323" ht="20.25" customHeight="1">
      <c r="E323" s="355"/>
      <c r="F323" s="355"/>
      <c r="I323" s="328"/>
      <c r="K323" s="341">
        <v>448.0</v>
      </c>
      <c r="L323" s="330">
        <v>8.0</v>
      </c>
      <c r="M323" s="331" t="s">
        <v>16965</v>
      </c>
      <c r="N323" s="331" t="s">
        <v>16966</v>
      </c>
      <c r="O323" s="331" t="s">
        <v>4344</v>
      </c>
      <c r="P323" s="389" t="s">
        <v>16967</v>
      </c>
      <c r="Q323" s="354" t="s">
        <v>16968</v>
      </c>
      <c r="R323" s="374" t="s">
        <v>8109</v>
      </c>
      <c r="S323" s="375" t="s">
        <v>7136</v>
      </c>
      <c r="T323" s="303"/>
      <c r="U323" s="303"/>
      <c r="V323" s="303"/>
    </row>
    <row r="324" ht="20.25" customHeight="1">
      <c r="E324" s="355"/>
      <c r="F324" s="355"/>
      <c r="I324" s="328"/>
      <c r="K324" s="341">
        <v>448.0</v>
      </c>
      <c r="L324" s="330">
        <v>8.0</v>
      </c>
      <c r="M324" s="331" t="s">
        <v>14931</v>
      </c>
      <c r="N324" s="331" t="s">
        <v>14932</v>
      </c>
      <c r="O324" s="331" t="s">
        <v>4782</v>
      </c>
      <c r="P324" s="331" t="s">
        <v>4780</v>
      </c>
      <c r="Q324" s="338" t="s">
        <v>16969</v>
      </c>
      <c r="R324" s="331" t="s">
        <v>8111</v>
      </c>
      <c r="S324" s="334" t="s">
        <v>6928</v>
      </c>
      <c r="T324" s="303"/>
      <c r="U324" s="303"/>
      <c r="V324" s="303"/>
    </row>
    <row r="325" ht="20.25" customHeight="1">
      <c r="E325" s="355"/>
      <c r="F325" s="355"/>
      <c r="I325" s="328"/>
      <c r="K325" s="329">
        <v>448.0</v>
      </c>
      <c r="L325" s="330">
        <v>8.0</v>
      </c>
      <c r="M325" s="331" t="s">
        <v>11276</v>
      </c>
      <c r="N325" s="331" t="s">
        <v>14536</v>
      </c>
      <c r="O325" s="331" t="s">
        <v>4776</v>
      </c>
      <c r="P325" s="353" t="s">
        <v>16970</v>
      </c>
      <c r="Q325" s="335" t="s">
        <v>16971</v>
      </c>
      <c r="R325" s="331" t="s">
        <v>8128</v>
      </c>
      <c r="S325" s="334" t="s">
        <v>7299</v>
      </c>
      <c r="T325" s="303"/>
      <c r="U325" s="303"/>
      <c r="V325" s="303"/>
    </row>
    <row r="326" ht="20.25" customHeight="1">
      <c r="E326" s="355"/>
      <c r="F326" s="355"/>
      <c r="I326" s="328"/>
      <c r="K326" s="329">
        <v>448.0</v>
      </c>
      <c r="L326" s="330">
        <v>8.0</v>
      </c>
      <c r="M326" s="331" t="s">
        <v>15007</v>
      </c>
      <c r="N326" s="331" t="s">
        <v>15008</v>
      </c>
      <c r="O326" s="331" t="s">
        <v>4801</v>
      </c>
      <c r="P326" s="331" t="s">
        <v>16972</v>
      </c>
      <c r="Q326" s="338" t="s">
        <v>16973</v>
      </c>
      <c r="R326" s="331" t="s">
        <v>8131</v>
      </c>
      <c r="S326" s="334" t="s">
        <v>7299</v>
      </c>
      <c r="T326" s="303"/>
      <c r="U326" s="303"/>
      <c r="V326" s="303"/>
    </row>
    <row r="327" ht="20.25" customHeight="1">
      <c r="E327" s="355"/>
      <c r="F327" s="355"/>
      <c r="I327" s="328"/>
      <c r="K327" s="329">
        <v>448.0</v>
      </c>
      <c r="L327" s="330">
        <v>8.0</v>
      </c>
      <c r="M327" s="331" t="s">
        <v>15550</v>
      </c>
      <c r="N327" s="331" t="s">
        <v>15551</v>
      </c>
      <c r="O327" s="331" t="s">
        <v>4764</v>
      </c>
      <c r="P327" s="353" t="s">
        <v>4756</v>
      </c>
      <c r="Q327" s="338" t="s">
        <v>16974</v>
      </c>
      <c r="R327" s="331" t="s">
        <v>8150</v>
      </c>
      <c r="S327" s="334" t="s">
        <v>7070</v>
      </c>
      <c r="T327" s="303"/>
      <c r="U327" s="303"/>
      <c r="V327" s="303"/>
    </row>
    <row r="328" ht="20.25" customHeight="1">
      <c r="E328" s="355"/>
      <c r="F328" s="355"/>
      <c r="I328" s="328"/>
      <c r="K328" s="382">
        <v>448.0</v>
      </c>
      <c r="L328" s="343">
        <v>8.0</v>
      </c>
      <c r="M328" s="344" t="s">
        <v>14782</v>
      </c>
      <c r="N328" s="344" t="s">
        <v>14783</v>
      </c>
      <c r="O328" s="344" t="s">
        <v>4739</v>
      </c>
      <c r="P328" s="344" t="s">
        <v>4737</v>
      </c>
      <c r="Q328" s="386" t="s">
        <v>16975</v>
      </c>
      <c r="R328" s="383"/>
      <c r="S328" s="384"/>
      <c r="T328" s="303"/>
      <c r="U328" s="303"/>
      <c r="V328" s="303"/>
    </row>
    <row r="329" ht="20.25" customHeight="1">
      <c r="E329" s="355"/>
      <c r="F329" s="355"/>
      <c r="I329" s="316" t="s">
        <v>16976</v>
      </c>
      <c r="K329" s="341">
        <v>448.0</v>
      </c>
      <c r="L329" s="330">
        <v>8.0</v>
      </c>
      <c r="M329" s="331" t="s">
        <v>13808</v>
      </c>
      <c r="N329" s="331" t="s">
        <v>13809</v>
      </c>
      <c r="O329" s="331" t="s">
        <v>4889</v>
      </c>
      <c r="P329" s="331" t="s">
        <v>4876</v>
      </c>
      <c r="Q329" s="338" t="s">
        <v>16977</v>
      </c>
      <c r="R329" s="331" t="s">
        <v>16978</v>
      </c>
      <c r="S329" s="334" t="s">
        <v>7112</v>
      </c>
      <c r="T329" s="303"/>
      <c r="U329" s="303"/>
      <c r="V329" s="303"/>
    </row>
    <row r="330" ht="20.25" customHeight="1">
      <c r="E330" s="355"/>
      <c r="F330" s="355"/>
      <c r="I330" s="328"/>
      <c r="K330" s="341">
        <v>448.0</v>
      </c>
      <c r="L330" s="330">
        <v>8.0</v>
      </c>
      <c r="M330" s="331" t="s">
        <v>11145</v>
      </c>
      <c r="N330" s="331" t="s">
        <v>14286</v>
      </c>
      <c r="O330" s="331" t="s">
        <v>4879</v>
      </c>
      <c r="P330" s="331" t="s">
        <v>16979</v>
      </c>
      <c r="Q330" s="338" t="s">
        <v>16980</v>
      </c>
      <c r="R330" s="331" t="s">
        <v>16981</v>
      </c>
      <c r="S330" s="334" t="s">
        <v>7398</v>
      </c>
      <c r="T330" s="303"/>
      <c r="U330" s="303"/>
      <c r="V330" s="303"/>
    </row>
    <row r="331" ht="20.25" customHeight="1">
      <c r="E331" s="355"/>
      <c r="F331" s="355"/>
      <c r="I331" s="328"/>
      <c r="K331" s="341">
        <v>448.0</v>
      </c>
      <c r="L331" s="330">
        <v>8.0</v>
      </c>
      <c r="M331" s="331" t="s">
        <v>14768</v>
      </c>
      <c r="N331" s="331" t="s">
        <v>14769</v>
      </c>
      <c r="O331" s="331" t="s">
        <v>4884</v>
      </c>
      <c r="P331" s="331" t="s">
        <v>16979</v>
      </c>
      <c r="Q331" s="338" t="s">
        <v>16982</v>
      </c>
      <c r="R331" s="331" t="s">
        <v>8090</v>
      </c>
      <c r="S331" s="334" t="s">
        <v>6928</v>
      </c>
      <c r="T331" s="303"/>
      <c r="U331" s="303"/>
      <c r="V331" s="303"/>
    </row>
    <row r="332" ht="20.25" customHeight="1">
      <c r="E332" s="355"/>
      <c r="F332" s="355"/>
      <c r="I332" s="328"/>
      <c r="K332" s="342">
        <v>448.0</v>
      </c>
      <c r="L332" s="343">
        <v>8.0</v>
      </c>
      <c r="M332" s="344" t="s">
        <v>9512</v>
      </c>
      <c r="N332" s="344" t="s">
        <v>13367</v>
      </c>
      <c r="O332" s="344" t="s">
        <v>4894</v>
      </c>
      <c r="P332" s="344" t="s">
        <v>16983</v>
      </c>
      <c r="Q332" s="394" t="s">
        <v>16984</v>
      </c>
      <c r="R332" s="344" t="s">
        <v>8096</v>
      </c>
      <c r="S332" s="346" t="s">
        <v>6993</v>
      </c>
      <c r="T332" s="303"/>
      <c r="U332" s="303"/>
      <c r="V332" s="303"/>
    </row>
    <row r="333" ht="20.25" customHeight="1">
      <c r="E333" s="355"/>
      <c r="F333" s="355"/>
      <c r="I333" s="316" t="s">
        <v>1311</v>
      </c>
      <c r="K333" s="361">
        <v>448.0</v>
      </c>
      <c r="L333" s="324">
        <v>9.0</v>
      </c>
      <c r="M333" s="325" t="s">
        <v>15637</v>
      </c>
      <c r="N333" s="325" t="s">
        <v>15638</v>
      </c>
      <c r="O333" s="325" t="s">
        <v>8239</v>
      </c>
      <c r="P333" s="380" t="s">
        <v>9604</v>
      </c>
      <c r="Q333" s="363" t="s">
        <v>16985</v>
      </c>
      <c r="R333" s="325" t="s">
        <v>8241</v>
      </c>
      <c r="S333" s="327" t="s">
        <v>7299</v>
      </c>
      <c r="T333" s="303"/>
      <c r="U333" s="303"/>
      <c r="V333" s="303"/>
    </row>
    <row r="334" ht="20.25" customHeight="1">
      <c r="E334" s="355"/>
      <c r="F334" s="355"/>
      <c r="I334" s="328"/>
      <c r="K334" s="341">
        <v>448.0</v>
      </c>
      <c r="L334" s="330">
        <v>9.0</v>
      </c>
      <c r="M334" s="331" t="s">
        <v>15918</v>
      </c>
      <c r="N334" s="331" t="s">
        <v>15919</v>
      </c>
      <c r="O334" s="331" t="s">
        <v>8243</v>
      </c>
      <c r="P334" s="332" t="s">
        <v>14916</v>
      </c>
      <c r="Q334" s="338" t="s">
        <v>16986</v>
      </c>
      <c r="R334" s="374" t="s">
        <v>16987</v>
      </c>
      <c r="S334" s="375" t="s">
        <v>6939</v>
      </c>
      <c r="T334" s="303"/>
      <c r="U334" s="303"/>
      <c r="V334" s="303"/>
    </row>
    <row r="335" ht="20.25" customHeight="1">
      <c r="E335" s="355"/>
      <c r="F335" s="355"/>
      <c r="I335" s="328"/>
      <c r="K335" s="329">
        <v>448.0</v>
      </c>
      <c r="L335" s="330">
        <v>9.0</v>
      </c>
      <c r="M335" s="331" t="s">
        <v>10433</v>
      </c>
      <c r="N335" s="331" t="s">
        <v>13475</v>
      </c>
      <c r="O335" s="331" t="s">
        <v>8396</v>
      </c>
      <c r="P335" s="381" t="s">
        <v>4818</v>
      </c>
      <c r="Q335" s="381" t="s">
        <v>13476</v>
      </c>
      <c r="R335" s="331" t="s">
        <v>16988</v>
      </c>
      <c r="S335" s="334" t="s">
        <v>6937</v>
      </c>
      <c r="T335" s="303"/>
      <c r="U335" s="303"/>
      <c r="V335" s="303"/>
    </row>
    <row r="336" ht="20.25" customHeight="1">
      <c r="E336" s="355"/>
      <c r="F336" s="355"/>
      <c r="I336" s="328"/>
      <c r="K336" s="341">
        <v>448.0</v>
      </c>
      <c r="L336" s="330">
        <v>9.0</v>
      </c>
      <c r="M336" s="331" t="s">
        <v>12991</v>
      </c>
      <c r="N336" s="331" t="s">
        <v>12992</v>
      </c>
      <c r="O336" s="331" t="s">
        <v>8410</v>
      </c>
      <c r="P336" s="332" t="s">
        <v>10056</v>
      </c>
      <c r="Q336" s="332" t="s">
        <v>12993</v>
      </c>
      <c r="R336" s="331" t="s">
        <v>8412</v>
      </c>
      <c r="S336" s="334" t="s">
        <v>6928</v>
      </c>
      <c r="T336" s="303"/>
      <c r="U336" s="303"/>
      <c r="V336" s="303"/>
    </row>
    <row r="337" ht="20.25" customHeight="1">
      <c r="E337" s="355"/>
      <c r="F337" s="355"/>
      <c r="I337" s="328"/>
      <c r="K337" s="341">
        <v>448.0</v>
      </c>
      <c r="L337" s="330">
        <v>9.0</v>
      </c>
      <c r="M337" s="331" t="s">
        <v>13354</v>
      </c>
      <c r="N337" s="331" t="s">
        <v>13355</v>
      </c>
      <c r="O337" s="331" t="s">
        <v>8414</v>
      </c>
      <c r="P337" s="332" t="s">
        <v>10056</v>
      </c>
      <c r="Q337" s="381" t="s">
        <v>13357</v>
      </c>
      <c r="R337" s="331" t="s">
        <v>16989</v>
      </c>
      <c r="S337" s="334" t="s">
        <v>7157</v>
      </c>
      <c r="T337" s="303"/>
      <c r="U337" s="303"/>
      <c r="V337" s="303"/>
    </row>
    <row r="338" ht="20.25" customHeight="1">
      <c r="E338" s="355"/>
      <c r="F338" s="355"/>
      <c r="I338" s="328"/>
      <c r="K338" s="341">
        <v>448.0</v>
      </c>
      <c r="L338" s="330">
        <v>9.0</v>
      </c>
      <c r="M338" s="331" t="s">
        <v>14408</v>
      </c>
      <c r="N338" s="331" t="s">
        <v>14409</v>
      </c>
      <c r="O338" s="331" t="s">
        <v>8401</v>
      </c>
      <c r="P338" s="381" t="s">
        <v>10056</v>
      </c>
      <c r="Q338" s="381" t="s">
        <v>14410</v>
      </c>
      <c r="R338" s="331" t="s">
        <v>8404</v>
      </c>
      <c r="S338" s="334" t="s">
        <v>6928</v>
      </c>
      <c r="T338" s="303"/>
      <c r="U338" s="303"/>
      <c r="V338" s="303"/>
    </row>
    <row r="339" ht="20.25" customHeight="1">
      <c r="E339" s="355"/>
      <c r="F339" s="355"/>
      <c r="I339" s="328"/>
      <c r="K339" s="341">
        <v>448.0</v>
      </c>
      <c r="L339" s="330">
        <v>9.0</v>
      </c>
      <c r="M339" s="331" t="s">
        <v>14191</v>
      </c>
      <c r="N339" s="331" t="s">
        <v>14192</v>
      </c>
      <c r="O339" s="331" t="s">
        <v>8406</v>
      </c>
      <c r="P339" s="381" t="s">
        <v>4756</v>
      </c>
      <c r="Q339" s="335" t="s">
        <v>16990</v>
      </c>
      <c r="R339" s="331" t="s">
        <v>8408</v>
      </c>
      <c r="S339" s="334" t="s">
        <v>6928</v>
      </c>
      <c r="T339" s="303"/>
      <c r="U339" s="303"/>
      <c r="V339" s="303"/>
    </row>
    <row r="340" ht="20.25" customHeight="1">
      <c r="E340" s="355"/>
      <c r="F340" s="355"/>
      <c r="I340" s="328"/>
      <c r="K340" s="341">
        <v>448.0</v>
      </c>
      <c r="L340" s="330">
        <v>9.0</v>
      </c>
      <c r="M340" s="331" t="s">
        <v>14698</v>
      </c>
      <c r="N340" s="331" t="s">
        <v>14699</v>
      </c>
      <c r="O340" s="331" t="s">
        <v>8418</v>
      </c>
      <c r="P340" s="381" t="s">
        <v>4756</v>
      </c>
      <c r="Q340" s="381" t="s">
        <v>14700</v>
      </c>
      <c r="R340" s="331" t="s">
        <v>8420</v>
      </c>
      <c r="S340" s="334" t="s">
        <v>6928</v>
      </c>
      <c r="T340" s="303"/>
      <c r="U340" s="303"/>
      <c r="V340" s="303"/>
    </row>
    <row r="341" ht="20.25" customHeight="1">
      <c r="E341" s="355"/>
      <c r="F341" s="355"/>
      <c r="I341" s="328"/>
      <c r="K341" s="329">
        <v>448.0</v>
      </c>
      <c r="L341" s="330">
        <v>9.0</v>
      </c>
      <c r="M341" s="331" t="s">
        <v>9860</v>
      </c>
      <c r="N341" s="331" t="s">
        <v>15005</v>
      </c>
      <c r="O341" s="331" t="s">
        <v>8257</v>
      </c>
      <c r="P341" s="353" t="s">
        <v>2062</v>
      </c>
      <c r="Q341" s="335" t="s">
        <v>16991</v>
      </c>
      <c r="R341" s="331" t="s">
        <v>8259</v>
      </c>
      <c r="S341" s="334" t="s">
        <v>8260</v>
      </c>
      <c r="T341" s="303"/>
      <c r="U341" s="303"/>
      <c r="V341" s="303"/>
    </row>
    <row r="342" ht="20.25" customHeight="1">
      <c r="E342" s="355"/>
      <c r="F342" s="355"/>
      <c r="I342" s="328"/>
      <c r="K342" s="341">
        <v>448.0</v>
      </c>
      <c r="L342" s="330">
        <v>9.0</v>
      </c>
      <c r="M342" s="331" t="s">
        <v>15101</v>
      </c>
      <c r="N342" s="331" t="s">
        <v>15102</v>
      </c>
      <c r="O342" s="331" t="s">
        <v>8262</v>
      </c>
      <c r="P342" s="331" t="s">
        <v>4749</v>
      </c>
      <c r="Q342" s="338" t="s">
        <v>16992</v>
      </c>
      <c r="R342" s="331" t="s">
        <v>8264</v>
      </c>
      <c r="S342" s="334" t="s">
        <v>8265</v>
      </c>
      <c r="T342" s="303"/>
      <c r="U342" s="303"/>
      <c r="V342" s="303"/>
    </row>
    <row r="343" ht="20.25" customHeight="1">
      <c r="E343" s="355"/>
      <c r="F343" s="355"/>
      <c r="I343" s="328"/>
      <c r="K343" s="341">
        <v>448.0</v>
      </c>
      <c r="L343" s="330">
        <v>9.0</v>
      </c>
      <c r="M343" s="331" t="s">
        <v>11708</v>
      </c>
      <c r="N343" s="331" t="s">
        <v>15193</v>
      </c>
      <c r="O343" s="331" t="s">
        <v>8275</v>
      </c>
      <c r="P343" s="331" t="s">
        <v>4749</v>
      </c>
      <c r="Q343" s="338" t="s">
        <v>16993</v>
      </c>
      <c r="R343" s="331" t="s">
        <v>16994</v>
      </c>
      <c r="S343" s="334" t="s">
        <v>6928</v>
      </c>
      <c r="T343" s="303"/>
      <c r="U343" s="303"/>
      <c r="V343" s="303"/>
    </row>
    <row r="344" ht="20.25" customHeight="1">
      <c r="E344" s="355"/>
      <c r="F344" s="355"/>
      <c r="I344" s="328"/>
      <c r="K344" s="341">
        <v>448.0</v>
      </c>
      <c r="L344" s="330">
        <v>9.0</v>
      </c>
      <c r="M344" s="331" t="s">
        <v>15110</v>
      </c>
      <c r="N344" s="331" t="s">
        <v>15114</v>
      </c>
      <c r="O344" s="331" t="s">
        <v>8253</v>
      </c>
      <c r="P344" s="331" t="s">
        <v>4749</v>
      </c>
      <c r="Q344" s="332" t="s">
        <v>15115</v>
      </c>
      <c r="R344" s="331" t="s">
        <v>16995</v>
      </c>
      <c r="S344" s="334" t="s">
        <v>6928</v>
      </c>
      <c r="T344" s="303"/>
      <c r="U344" s="303"/>
      <c r="V344" s="303"/>
    </row>
    <row r="345" ht="20.25" customHeight="1">
      <c r="E345" s="355"/>
      <c r="F345" s="355"/>
      <c r="I345" s="328"/>
      <c r="K345" s="341">
        <v>448.0</v>
      </c>
      <c r="L345" s="330">
        <v>9.0</v>
      </c>
      <c r="M345" s="331" t="s">
        <v>15000</v>
      </c>
      <c r="N345" s="331" t="s">
        <v>15001</v>
      </c>
      <c r="O345" s="331" t="s">
        <v>8248</v>
      </c>
      <c r="P345" s="332" t="s">
        <v>4835</v>
      </c>
      <c r="Q345" s="335" t="s">
        <v>16996</v>
      </c>
      <c r="R345" s="331" t="s">
        <v>8250</v>
      </c>
      <c r="S345" s="334" t="s">
        <v>8251</v>
      </c>
      <c r="T345" s="303"/>
      <c r="U345" s="303"/>
      <c r="V345" s="303"/>
    </row>
    <row r="346" ht="20.25" customHeight="1">
      <c r="E346" s="355"/>
      <c r="F346" s="355"/>
      <c r="I346" s="328"/>
      <c r="K346" s="341">
        <v>448.0</v>
      </c>
      <c r="L346" s="330">
        <v>9.0</v>
      </c>
      <c r="M346" s="331" t="s">
        <v>14898</v>
      </c>
      <c r="N346" s="331" t="s">
        <v>14899</v>
      </c>
      <c r="O346" s="331" t="s">
        <v>8288</v>
      </c>
      <c r="P346" s="332" t="s">
        <v>4835</v>
      </c>
      <c r="Q346" s="335" t="s">
        <v>16997</v>
      </c>
      <c r="R346" s="331" t="s">
        <v>8290</v>
      </c>
      <c r="S346" s="334" t="s">
        <v>6928</v>
      </c>
      <c r="T346" s="303"/>
      <c r="U346" s="303"/>
      <c r="V346" s="303"/>
    </row>
    <row r="347" ht="20.25" customHeight="1">
      <c r="E347" s="355"/>
      <c r="F347" s="355"/>
      <c r="I347" s="328"/>
      <c r="K347" s="341">
        <v>448.0</v>
      </c>
      <c r="L347" s="330">
        <v>9.0</v>
      </c>
      <c r="M347" s="331" t="s">
        <v>13919</v>
      </c>
      <c r="N347" s="331" t="s">
        <v>13920</v>
      </c>
      <c r="O347" s="331" t="s">
        <v>8310</v>
      </c>
      <c r="P347" s="332" t="s">
        <v>13923</v>
      </c>
      <c r="Q347" s="331" t="s">
        <v>13922</v>
      </c>
      <c r="R347" s="331" t="s">
        <v>8313</v>
      </c>
      <c r="S347" s="334" t="s">
        <v>6928</v>
      </c>
      <c r="T347" s="303"/>
      <c r="U347" s="303"/>
      <c r="V347" s="303"/>
    </row>
    <row r="348" ht="20.25" customHeight="1">
      <c r="E348" s="355"/>
      <c r="F348" s="355"/>
      <c r="I348" s="328"/>
      <c r="K348" s="341">
        <v>448.0</v>
      </c>
      <c r="L348" s="330">
        <v>9.0</v>
      </c>
      <c r="M348" s="331" t="s">
        <v>13994</v>
      </c>
      <c r="N348" s="331" t="s">
        <v>13999</v>
      </c>
      <c r="O348" s="331" t="s">
        <v>8318</v>
      </c>
      <c r="P348" s="332" t="s">
        <v>14002</v>
      </c>
      <c r="Q348" s="332" t="s">
        <v>14001</v>
      </c>
      <c r="R348" s="331" t="s">
        <v>8321</v>
      </c>
      <c r="S348" s="334" t="s">
        <v>6928</v>
      </c>
      <c r="T348" s="303"/>
      <c r="U348" s="303"/>
      <c r="V348" s="303"/>
    </row>
    <row r="349" ht="20.25" customHeight="1">
      <c r="E349" s="355"/>
      <c r="F349" s="355"/>
      <c r="I349" s="328"/>
      <c r="K349" s="341">
        <v>448.0</v>
      </c>
      <c r="L349" s="330">
        <v>9.0</v>
      </c>
      <c r="M349" s="331" t="s">
        <v>15535</v>
      </c>
      <c r="N349" s="331" t="s">
        <v>15536</v>
      </c>
      <c r="O349" s="331" t="s">
        <v>8305</v>
      </c>
      <c r="P349" s="332" t="s">
        <v>1363</v>
      </c>
      <c r="Q349" s="335" t="s">
        <v>16998</v>
      </c>
      <c r="R349" s="331" t="s">
        <v>8308</v>
      </c>
      <c r="S349" s="334" t="s">
        <v>7375</v>
      </c>
      <c r="T349" s="303"/>
      <c r="U349" s="303"/>
      <c r="V349" s="303"/>
    </row>
    <row r="350" ht="20.25" customHeight="1">
      <c r="E350" s="355"/>
      <c r="F350" s="355"/>
      <c r="I350" s="328"/>
      <c r="K350" s="341">
        <v>448.0</v>
      </c>
      <c r="L350" s="330">
        <v>9.0</v>
      </c>
      <c r="M350" s="331" t="s">
        <v>15813</v>
      </c>
      <c r="N350" s="331" t="s">
        <v>15814</v>
      </c>
      <c r="O350" s="331" t="s">
        <v>76</v>
      </c>
      <c r="P350" s="332" t="s">
        <v>15815</v>
      </c>
      <c r="Q350" s="338" t="s">
        <v>16999</v>
      </c>
      <c r="R350" s="331" t="s">
        <v>8293</v>
      </c>
      <c r="S350" s="334" t="s">
        <v>6928</v>
      </c>
      <c r="T350" s="303"/>
      <c r="U350" s="303"/>
      <c r="V350" s="303"/>
    </row>
    <row r="351" ht="20.25" customHeight="1">
      <c r="E351" s="355"/>
      <c r="F351" s="355"/>
      <c r="I351" s="328"/>
      <c r="K351" s="341">
        <v>448.0</v>
      </c>
      <c r="L351" s="330">
        <v>9.0</v>
      </c>
      <c r="M351" s="331" t="s">
        <v>13373</v>
      </c>
      <c r="N351" s="331" t="s">
        <v>13374</v>
      </c>
      <c r="O351" s="331" t="s">
        <v>8279</v>
      </c>
      <c r="P351" s="331" t="s">
        <v>13006</v>
      </c>
      <c r="Q351" s="338" t="s">
        <v>17000</v>
      </c>
      <c r="R351" s="331" t="s">
        <v>8282</v>
      </c>
      <c r="S351" s="334" t="s">
        <v>7093</v>
      </c>
      <c r="T351" s="303"/>
      <c r="U351" s="303"/>
      <c r="V351" s="303"/>
    </row>
    <row r="352" ht="20.25" customHeight="1">
      <c r="E352" s="355"/>
      <c r="F352" s="355"/>
      <c r="I352" s="328"/>
      <c r="K352" s="341">
        <v>448.0</v>
      </c>
      <c r="L352" s="330">
        <v>9.0</v>
      </c>
      <c r="M352" s="331" t="s">
        <v>13792</v>
      </c>
      <c r="N352" s="331" t="s">
        <v>13793</v>
      </c>
      <c r="O352" s="331" t="s">
        <v>8295</v>
      </c>
      <c r="P352" s="340" t="s">
        <v>13006</v>
      </c>
      <c r="Q352" s="354" t="s">
        <v>17001</v>
      </c>
      <c r="R352" s="331" t="s">
        <v>8297</v>
      </c>
      <c r="S352" s="334" t="s">
        <v>7157</v>
      </c>
      <c r="T352" s="303"/>
      <c r="U352" s="303"/>
      <c r="V352" s="303"/>
    </row>
    <row r="353" ht="20.25" customHeight="1">
      <c r="E353" s="355"/>
      <c r="F353" s="355"/>
      <c r="I353" s="328"/>
      <c r="K353" s="341">
        <v>448.0</v>
      </c>
      <c r="L353" s="330">
        <v>9.0</v>
      </c>
      <c r="M353" s="331" t="s">
        <v>14614</v>
      </c>
      <c r="N353" s="331" t="s">
        <v>14615</v>
      </c>
      <c r="O353" s="331" t="s">
        <v>8267</v>
      </c>
      <c r="P353" s="331" t="s">
        <v>13006</v>
      </c>
      <c r="Q353" s="338" t="s">
        <v>17002</v>
      </c>
      <c r="R353" s="331" t="s">
        <v>8269</v>
      </c>
      <c r="S353" s="334" t="s">
        <v>8251</v>
      </c>
      <c r="T353" s="303"/>
      <c r="U353" s="303"/>
      <c r="V353" s="303"/>
    </row>
    <row r="354" ht="20.25" customHeight="1">
      <c r="E354" s="355"/>
      <c r="F354" s="355"/>
      <c r="I354" s="328"/>
      <c r="K354" s="341">
        <v>448.0</v>
      </c>
      <c r="L354" s="330">
        <v>9.0</v>
      </c>
      <c r="M354" s="331" t="s">
        <v>15582</v>
      </c>
      <c r="N354" s="331" t="s">
        <v>15583</v>
      </c>
      <c r="O354" s="331" t="s">
        <v>8284</v>
      </c>
      <c r="P354" s="331" t="s">
        <v>13006</v>
      </c>
      <c r="Q354" s="338" t="s">
        <v>17003</v>
      </c>
      <c r="R354" s="331" t="s">
        <v>8286</v>
      </c>
      <c r="S354" s="334" t="s">
        <v>8265</v>
      </c>
      <c r="T354" s="303"/>
      <c r="U354" s="303"/>
      <c r="V354" s="303"/>
    </row>
    <row r="355" ht="20.25" customHeight="1">
      <c r="E355" s="355"/>
      <c r="F355" s="355"/>
      <c r="I355" s="328"/>
      <c r="K355" s="341">
        <v>448.0</v>
      </c>
      <c r="L355" s="330">
        <v>9.0</v>
      </c>
      <c r="M355" s="331" t="s">
        <v>10905</v>
      </c>
      <c r="N355" s="331" t="s">
        <v>13965</v>
      </c>
      <c r="O355" s="331" t="s">
        <v>8323</v>
      </c>
      <c r="P355" s="332" t="s">
        <v>13006</v>
      </c>
      <c r="Q355" s="335" t="s">
        <v>17004</v>
      </c>
      <c r="R355" s="331" t="s">
        <v>8326</v>
      </c>
      <c r="S355" s="334" t="s">
        <v>7093</v>
      </c>
      <c r="T355" s="303"/>
      <c r="U355" s="303"/>
      <c r="V355" s="303"/>
    </row>
    <row r="356" ht="20.25" customHeight="1">
      <c r="E356" s="355"/>
      <c r="F356" s="355"/>
      <c r="I356" s="328"/>
      <c r="K356" s="341">
        <v>448.0</v>
      </c>
      <c r="L356" s="330">
        <v>9.0</v>
      </c>
      <c r="M356" s="331" t="s">
        <v>10666</v>
      </c>
      <c r="N356" s="331" t="s">
        <v>13710</v>
      </c>
      <c r="O356" s="331" t="s">
        <v>13709</v>
      </c>
      <c r="P356" s="340" t="s">
        <v>13006</v>
      </c>
      <c r="Q356" s="354" t="s">
        <v>17005</v>
      </c>
      <c r="R356" s="331" t="s">
        <v>8303</v>
      </c>
      <c r="S356" s="334" t="s">
        <v>8251</v>
      </c>
      <c r="T356" s="303"/>
      <c r="U356" s="303"/>
      <c r="V356" s="303"/>
    </row>
    <row r="357" ht="20.25" customHeight="1">
      <c r="E357" s="355"/>
      <c r="F357" s="355"/>
      <c r="I357" s="328"/>
      <c r="K357" s="341">
        <v>448.0</v>
      </c>
      <c r="L357" s="330">
        <v>9.0</v>
      </c>
      <c r="M357" s="331" t="s">
        <v>13003</v>
      </c>
      <c r="N357" s="331" t="s">
        <v>13004</v>
      </c>
      <c r="O357" s="331" t="s">
        <v>13002</v>
      </c>
      <c r="P357" s="340" t="s">
        <v>13006</v>
      </c>
      <c r="Q357" s="338" t="s">
        <v>17006</v>
      </c>
      <c r="R357" s="336"/>
      <c r="S357" s="337"/>
      <c r="T357" s="303"/>
      <c r="U357" s="303"/>
      <c r="V357" s="303"/>
    </row>
    <row r="358" ht="20.25" customHeight="1">
      <c r="E358" s="355"/>
      <c r="F358" s="355"/>
      <c r="I358" s="328"/>
      <c r="K358" s="329">
        <v>448.0</v>
      </c>
      <c r="L358" s="330">
        <v>9.0</v>
      </c>
      <c r="M358" s="331" t="s">
        <v>9830</v>
      </c>
      <c r="N358" s="331" t="s">
        <v>14965</v>
      </c>
      <c r="O358" s="331" t="s">
        <v>8271</v>
      </c>
      <c r="P358" s="331" t="s">
        <v>16647</v>
      </c>
      <c r="Q358" s="338" t="s">
        <v>17007</v>
      </c>
      <c r="R358" s="331" t="s">
        <v>8273</v>
      </c>
      <c r="S358" s="334" t="s">
        <v>7048</v>
      </c>
      <c r="T358" s="303"/>
      <c r="U358" s="303"/>
      <c r="V358" s="303"/>
    </row>
    <row r="359" ht="20.25" customHeight="1">
      <c r="E359" s="355"/>
      <c r="F359" s="355"/>
      <c r="I359" s="328"/>
      <c r="K359" s="341">
        <v>448.0</v>
      </c>
      <c r="L359" s="330">
        <v>9.0</v>
      </c>
      <c r="M359" s="331" t="s">
        <v>14820</v>
      </c>
      <c r="N359" s="331" t="s">
        <v>14821</v>
      </c>
      <c r="O359" s="331" t="s">
        <v>8334</v>
      </c>
      <c r="P359" s="332" t="s">
        <v>4749</v>
      </c>
      <c r="Q359" s="338" t="s">
        <v>17008</v>
      </c>
      <c r="R359" s="331" t="s">
        <v>8336</v>
      </c>
      <c r="S359" s="334" t="s">
        <v>6928</v>
      </c>
      <c r="T359" s="303"/>
      <c r="U359" s="303"/>
      <c r="V359" s="303"/>
    </row>
    <row r="360" ht="20.25" customHeight="1">
      <c r="E360" s="355"/>
      <c r="F360" s="355"/>
      <c r="I360" s="328"/>
      <c r="K360" s="341">
        <v>448.0</v>
      </c>
      <c r="L360" s="330">
        <v>9.0</v>
      </c>
      <c r="M360" s="331" t="s">
        <v>15908</v>
      </c>
      <c r="N360" s="331" t="s">
        <v>15909</v>
      </c>
      <c r="O360" s="331" t="s">
        <v>8338</v>
      </c>
      <c r="P360" s="332" t="s">
        <v>4749</v>
      </c>
      <c r="Q360" s="331" t="s">
        <v>17009</v>
      </c>
      <c r="R360" s="331" t="s">
        <v>8340</v>
      </c>
      <c r="S360" s="334" t="s">
        <v>7093</v>
      </c>
      <c r="T360" s="303"/>
      <c r="U360" s="303"/>
      <c r="V360" s="303"/>
    </row>
    <row r="361" ht="20.25" customHeight="1">
      <c r="E361" s="355"/>
      <c r="F361" s="355"/>
      <c r="I361" s="328"/>
      <c r="K361" s="341">
        <v>448.0</v>
      </c>
      <c r="L361" s="330">
        <v>9.0</v>
      </c>
      <c r="M361" s="331" t="s">
        <v>14362</v>
      </c>
      <c r="N361" s="331" t="s">
        <v>14363</v>
      </c>
      <c r="O361" s="331" t="s">
        <v>8342</v>
      </c>
      <c r="P361" s="332" t="s">
        <v>14366</v>
      </c>
      <c r="Q361" s="331" t="s">
        <v>17010</v>
      </c>
      <c r="R361" s="331" t="s">
        <v>8345</v>
      </c>
      <c r="S361" s="334" t="s">
        <v>7093</v>
      </c>
      <c r="T361" s="303"/>
      <c r="U361" s="303"/>
      <c r="V361" s="303"/>
    </row>
    <row r="362" ht="20.25" customHeight="1">
      <c r="E362" s="355"/>
      <c r="F362" s="355"/>
      <c r="I362" s="328"/>
      <c r="K362" s="341">
        <v>448.0</v>
      </c>
      <c r="L362" s="330">
        <v>9.0</v>
      </c>
      <c r="M362" s="331" t="s">
        <v>13308</v>
      </c>
      <c r="N362" s="331" t="s">
        <v>13309</v>
      </c>
      <c r="O362" s="331" t="s">
        <v>8350</v>
      </c>
      <c r="P362" s="332" t="s">
        <v>13312</v>
      </c>
      <c r="Q362" s="335" t="s">
        <v>17011</v>
      </c>
      <c r="R362" s="331" t="s">
        <v>8353</v>
      </c>
      <c r="S362" s="334" t="s">
        <v>7093</v>
      </c>
      <c r="T362" s="303"/>
      <c r="U362" s="303"/>
      <c r="V362" s="303"/>
    </row>
    <row r="363" ht="20.25" customHeight="1">
      <c r="E363" s="355"/>
      <c r="F363" s="355"/>
      <c r="I363" s="328"/>
      <c r="K363" s="341">
        <v>448.0</v>
      </c>
      <c r="L363" s="330">
        <v>9.0</v>
      </c>
      <c r="M363" s="331" t="s">
        <v>13442</v>
      </c>
      <c r="N363" s="331" t="s">
        <v>13443</v>
      </c>
      <c r="O363" s="331" t="s">
        <v>8355</v>
      </c>
      <c r="P363" s="331" t="s">
        <v>13312</v>
      </c>
      <c r="Q363" s="338" t="s">
        <v>17012</v>
      </c>
      <c r="R363" s="331" t="s">
        <v>8357</v>
      </c>
      <c r="S363" s="334" t="s">
        <v>7093</v>
      </c>
      <c r="T363" s="303"/>
      <c r="U363" s="303"/>
      <c r="V363" s="303"/>
    </row>
    <row r="364" ht="20.25" customHeight="1">
      <c r="E364" s="355"/>
      <c r="F364" s="355"/>
      <c r="I364" s="328"/>
      <c r="K364" s="341">
        <v>448.0</v>
      </c>
      <c r="L364" s="330">
        <v>9.0</v>
      </c>
      <c r="M364" s="331" t="s">
        <v>15331</v>
      </c>
      <c r="N364" s="331" t="s">
        <v>15332</v>
      </c>
      <c r="O364" s="331" t="s">
        <v>8347</v>
      </c>
      <c r="P364" s="331" t="s">
        <v>13312</v>
      </c>
      <c r="Q364" s="338" t="s">
        <v>17013</v>
      </c>
      <c r="R364" s="374" t="s">
        <v>8349</v>
      </c>
      <c r="S364" s="375" t="s">
        <v>7093</v>
      </c>
      <c r="T364" s="303"/>
      <c r="U364" s="303"/>
      <c r="V364" s="303"/>
    </row>
    <row r="365" ht="20.25" customHeight="1">
      <c r="E365" s="355"/>
      <c r="F365" s="355"/>
      <c r="I365" s="328"/>
      <c r="K365" s="341">
        <v>448.0</v>
      </c>
      <c r="L365" s="330">
        <v>9.0</v>
      </c>
      <c r="M365" s="331" t="s">
        <v>15727</v>
      </c>
      <c r="N365" s="331" t="s">
        <v>15728</v>
      </c>
      <c r="O365" s="331" t="s">
        <v>8329</v>
      </c>
      <c r="P365" s="332" t="s">
        <v>10437</v>
      </c>
      <c r="Q365" s="381" t="s">
        <v>15729</v>
      </c>
      <c r="R365" s="331" t="s">
        <v>17014</v>
      </c>
      <c r="S365" s="334" t="s">
        <v>7893</v>
      </c>
      <c r="T365" s="303"/>
      <c r="U365" s="303"/>
      <c r="V365" s="303"/>
    </row>
    <row r="366" ht="20.25" customHeight="1">
      <c r="E366" s="355"/>
      <c r="F366" s="355"/>
      <c r="I366" s="328"/>
      <c r="K366" s="341">
        <v>448.0</v>
      </c>
      <c r="L366" s="330">
        <v>9.0</v>
      </c>
      <c r="M366" s="331" t="s">
        <v>14026</v>
      </c>
      <c r="N366" s="331" t="s">
        <v>14029</v>
      </c>
      <c r="O366" s="331" t="s">
        <v>8360</v>
      </c>
      <c r="P366" s="353" t="s">
        <v>4749</v>
      </c>
      <c r="Q366" s="332" t="s">
        <v>14031</v>
      </c>
      <c r="R366" s="331" t="s">
        <v>8363</v>
      </c>
      <c r="S366" s="334" t="s">
        <v>7024</v>
      </c>
      <c r="T366" s="303"/>
      <c r="U366" s="303"/>
      <c r="V366" s="303"/>
    </row>
    <row r="367" ht="20.25" customHeight="1">
      <c r="E367" s="355"/>
      <c r="F367" s="355"/>
      <c r="I367" s="328"/>
      <c r="K367" s="341">
        <v>448.0</v>
      </c>
      <c r="L367" s="330">
        <v>9.0</v>
      </c>
      <c r="M367" s="331" t="s">
        <v>15901</v>
      </c>
      <c r="N367" s="331" t="s">
        <v>15902</v>
      </c>
      <c r="O367" s="331" t="s">
        <v>8391</v>
      </c>
      <c r="P367" s="331" t="s">
        <v>15904</v>
      </c>
      <c r="Q367" s="338" t="s">
        <v>17015</v>
      </c>
      <c r="R367" s="331" t="s">
        <v>8394</v>
      </c>
      <c r="S367" s="334" t="s">
        <v>7157</v>
      </c>
      <c r="T367" s="303"/>
      <c r="U367" s="303"/>
      <c r="V367" s="303"/>
    </row>
    <row r="368" ht="20.25" customHeight="1">
      <c r="E368" s="355"/>
      <c r="F368" s="355"/>
      <c r="I368" s="328"/>
      <c r="K368" s="341">
        <v>448.0</v>
      </c>
      <c r="L368" s="330">
        <v>9.0</v>
      </c>
      <c r="M368" s="331" t="s">
        <v>15410</v>
      </c>
      <c r="N368" s="331" t="s">
        <v>15411</v>
      </c>
      <c r="O368" s="331" t="s">
        <v>8383</v>
      </c>
      <c r="P368" s="331" t="s">
        <v>12379</v>
      </c>
      <c r="Q368" s="338" t="s">
        <v>17016</v>
      </c>
      <c r="R368" s="331" t="s">
        <v>8385</v>
      </c>
      <c r="S368" s="334" t="s">
        <v>7157</v>
      </c>
      <c r="T368" s="303"/>
      <c r="U368" s="303"/>
      <c r="V368" s="303"/>
    </row>
    <row r="369" ht="20.25" customHeight="1">
      <c r="E369" s="355"/>
      <c r="F369" s="355"/>
      <c r="I369" s="328"/>
      <c r="K369" s="329">
        <v>448.0</v>
      </c>
      <c r="L369" s="330">
        <v>9.0</v>
      </c>
      <c r="M369" s="331" t="s">
        <v>15104</v>
      </c>
      <c r="N369" s="331" t="s">
        <v>15105</v>
      </c>
      <c r="O369" s="331" t="s">
        <v>8387</v>
      </c>
      <c r="P369" s="331" t="s">
        <v>15108</v>
      </c>
      <c r="Q369" s="338" t="s">
        <v>17017</v>
      </c>
      <c r="R369" s="331" t="s">
        <v>17018</v>
      </c>
      <c r="S369" s="334" t="s">
        <v>7048</v>
      </c>
      <c r="T369" s="303"/>
      <c r="U369" s="303"/>
      <c r="V369" s="303"/>
    </row>
    <row r="370" ht="20.25" customHeight="1">
      <c r="E370" s="355"/>
      <c r="F370" s="355"/>
      <c r="I370" s="328"/>
      <c r="K370" s="341">
        <v>448.0</v>
      </c>
      <c r="L370" s="330">
        <v>9.0</v>
      </c>
      <c r="M370" s="331" t="s">
        <v>13696</v>
      </c>
      <c r="N370" s="331" t="s">
        <v>13701</v>
      </c>
      <c r="O370" s="331" t="s">
        <v>8369</v>
      </c>
      <c r="P370" s="332" t="s">
        <v>10056</v>
      </c>
      <c r="Q370" s="381" t="s">
        <v>13702</v>
      </c>
      <c r="R370" s="331" t="s">
        <v>17019</v>
      </c>
      <c r="S370" s="334" t="s">
        <v>7093</v>
      </c>
      <c r="T370" s="303"/>
      <c r="U370" s="303"/>
      <c r="V370" s="303"/>
    </row>
    <row r="371" ht="20.25" customHeight="1">
      <c r="E371" s="355"/>
      <c r="F371" s="355"/>
      <c r="I371" s="328"/>
      <c r="K371" s="341">
        <v>448.0</v>
      </c>
      <c r="L371" s="330">
        <v>9.0</v>
      </c>
      <c r="M371" s="331" t="s">
        <v>15086</v>
      </c>
      <c r="N371" s="331" t="s">
        <v>15087</v>
      </c>
      <c r="O371" s="331" t="s">
        <v>8373</v>
      </c>
      <c r="P371" s="332" t="s">
        <v>4756</v>
      </c>
      <c r="Q371" s="335" t="s">
        <v>17020</v>
      </c>
      <c r="R371" s="331" t="s">
        <v>8375</v>
      </c>
      <c r="S371" s="334" t="s">
        <v>6928</v>
      </c>
      <c r="T371" s="303"/>
      <c r="U371" s="303"/>
      <c r="V371" s="303"/>
    </row>
    <row r="372" ht="20.25" customHeight="1">
      <c r="E372" s="355"/>
      <c r="F372" s="355"/>
      <c r="I372" s="328"/>
      <c r="K372" s="341">
        <v>448.0</v>
      </c>
      <c r="L372" s="330">
        <v>9.0</v>
      </c>
      <c r="M372" s="331" t="s">
        <v>11694</v>
      </c>
      <c r="N372" s="331" t="s">
        <v>15179</v>
      </c>
      <c r="O372" s="331" t="s">
        <v>8365</v>
      </c>
      <c r="P372" s="332" t="s">
        <v>15108</v>
      </c>
      <c r="Q372" s="338" t="s">
        <v>17021</v>
      </c>
      <c r="R372" s="331" t="s">
        <v>8367</v>
      </c>
      <c r="S372" s="334" t="s">
        <v>7093</v>
      </c>
      <c r="T372" s="303"/>
      <c r="U372" s="303"/>
      <c r="V372" s="303"/>
    </row>
    <row r="373" ht="20.25" customHeight="1">
      <c r="E373" s="355"/>
      <c r="F373" s="355"/>
      <c r="I373" s="328"/>
      <c r="K373" s="341">
        <v>448.0</v>
      </c>
      <c r="L373" s="330">
        <v>9.0</v>
      </c>
      <c r="M373" s="331" t="s">
        <v>17022</v>
      </c>
      <c r="N373" s="331" t="s">
        <v>17023</v>
      </c>
      <c r="O373" s="331" t="s">
        <v>4489</v>
      </c>
      <c r="P373" s="353" t="s">
        <v>12379</v>
      </c>
      <c r="Q373" s="338" t="s">
        <v>17024</v>
      </c>
      <c r="R373" s="331" t="s">
        <v>8012</v>
      </c>
      <c r="S373" s="334" t="s">
        <v>7398</v>
      </c>
      <c r="T373" s="303"/>
      <c r="U373" s="303"/>
      <c r="V373" s="303"/>
    </row>
    <row r="374" ht="20.25" customHeight="1">
      <c r="E374" s="355"/>
      <c r="F374" s="355"/>
      <c r="I374" s="328"/>
      <c r="K374" s="341">
        <v>448.0</v>
      </c>
      <c r="L374" s="330">
        <v>9.0</v>
      </c>
      <c r="M374" s="331" t="s">
        <v>14394</v>
      </c>
      <c r="N374" s="331" t="s">
        <v>14395</v>
      </c>
      <c r="O374" s="331" t="s">
        <v>14393</v>
      </c>
      <c r="P374" s="389" t="s">
        <v>12379</v>
      </c>
      <c r="Q374" s="354" t="s">
        <v>17025</v>
      </c>
      <c r="R374" s="336"/>
      <c r="S374" s="337"/>
      <c r="T374" s="303"/>
      <c r="U374" s="303"/>
      <c r="V374" s="303"/>
    </row>
    <row r="375" ht="20.25" customHeight="1">
      <c r="E375" s="355"/>
      <c r="F375" s="355"/>
      <c r="I375" s="328"/>
      <c r="K375" s="341">
        <v>448.0</v>
      </c>
      <c r="L375" s="330">
        <v>9.0</v>
      </c>
      <c r="M375" s="331" t="s">
        <v>15450</v>
      </c>
      <c r="N375" s="331" t="s">
        <v>15451</v>
      </c>
      <c r="O375" s="331" t="s">
        <v>8171</v>
      </c>
      <c r="P375" s="332" t="s">
        <v>2062</v>
      </c>
      <c r="Q375" s="332" t="s">
        <v>15452</v>
      </c>
      <c r="R375" s="336"/>
      <c r="S375" s="337"/>
      <c r="T375" s="303"/>
      <c r="U375" s="303"/>
      <c r="V375" s="303"/>
    </row>
    <row r="376" ht="20.25" customHeight="1">
      <c r="E376" s="355"/>
      <c r="F376" s="355"/>
      <c r="I376" s="328"/>
      <c r="K376" s="341">
        <v>448.0</v>
      </c>
      <c r="L376" s="330">
        <v>9.0</v>
      </c>
      <c r="M376" s="331" t="s">
        <v>11812</v>
      </c>
      <c r="N376" s="331" t="s">
        <v>15329</v>
      </c>
      <c r="O376" s="331" t="s">
        <v>8167</v>
      </c>
      <c r="P376" s="332" t="s">
        <v>4835</v>
      </c>
      <c r="Q376" s="332" t="s">
        <v>15330</v>
      </c>
      <c r="R376" s="331" t="s">
        <v>17026</v>
      </c>
      <c r="S376" s="334" t="s">
        <v>6928</v>
      </c>
      <c r="T376" s="303"/>
      <c r="U376" s="303"/>
      <c r="V376" s="303"/>
    </row>
    <row r="377" ht="20.25" customHeight="1">
      <c r="E377" s="355"/>
      <c r="F377" s="355"/>
      <c r="I377" s="328"/>
      <c r="K377" s="329">
        <v>448.0</v>
      </c>
      <c r="L377" s="330">
        <v>9.0</v>
      </c>
      <c r="M377" s="331" t="s">
        <v>14234</v>
      </c>
      <c r="N377" s="331" t="s">
        <v>14235</v>
      </c>
      <c r="O377" s="331" t="s">
        <v>8186</v>
      </c>
      <c r="P377" s="332" t="s">
        <v>4756</v>
      </c>
      <c r="Q377" s="332" t="s">
        <v>14237</v>
      </c>
      <c r="R377" s="331" t="s">
        <v>8188</v>
      </c>
      <c r="S377" s="334" t="s">
        <v>6993</v>
      </c>
      <c r="T377" s="303"/>
      <c r="U377" s="303"/>
      <c r="V377" s="303"/>
    </row>
    <row r="378" ht="20.25" customHeight="1">
      <c r="E378" s="355"/>
      <c r="F378" s="355"/>
      <c r="I378" s="328"/>
      <c r="K378" s="329">
        <v>448.0</v>
      </c>
      <c r="L378" s="330">
        <v>9.0</v>
      </c>
      <c r="M378" s="331" t="s">
        <v>14468</v>
      </c>
      <c r="N378" s="331" t="s">
        <v>14469</v>
      </c>
      <c r="O378" s="331" t="s">
        <v>8189</v>
      </c>
      <c r="P378" s="332" t="s">
        <v>4756</v>
      </c>
      <c r="Q378" s="335" t="s">
        <v>17027</v>
      </c>
      <c r="R378" s="331" t="s">
        <v>8191</v>
      </c>
      <c r="S378" s="334" t="s">
        <v>6993</v>
      </c>
      <c r="T378" s="303"/>
      <c r="U378" s="303"/>
      <c r="V378" s="303"/>
    </row>
    <row r="379" ht="20.25" customHeight="1">
      <c r="E379" s="355"/>
      <c r="F379" s="355"/>
      <c r="I379" s="328"/>
      <c r="K379" s="341">
        <v>448.0</v>
      </c>
      <c r="L379" s="330">
        <v>9.0</v>
      </c>
      <c r="M379" s="331" t="s">
        <v>13041</v>
      </c>
      <c r="N379" s="331" t="s">
        <v>13042</v>
      </c>
      <c r="O379" s="331" t="s">
        <v>8224</v>
      </c>
      <c r="P379" s="332" t="s">
        <v>4756</v>
      </c>
      <c r="Q379" s="335" t="s">
        <v>17028</v>
      </c>
      <c r="R379" s="331" t="s">
        <v>17029</v>
      </c>
      <c r="S379" s="334" t="s">
        <v>6928</v>
      </c>
      <c r="T379" s="303"/>
      <c r="U379" s="303"/>
      <c r="V379" s="303"/>
    </row>
    <row r="380" ht="20.25" customHeight="1">
      <c r="E380" s="355"/>
      <c r="F380" s="355"/>
      <c r="I380" s="328"/>
      <c r="K380" s="329">
        <v>448.0</v>
      </c>
      <c r="L380" s="330">
        <v>9.0</v>
      </c>
      <c r="M380" s="331" t="s">
        <v>13439</v>
      </c>
      <c r="N380" s="331" t="s">
        <v>13440</v>
      </c>
      <c r="O380" s="331" t="s">
        <v>8232</v>
      </c>
      <c r="P380" s="332" t="s">
        <v>4756</v>
      </c>
      <c r="Q380" s="335" t="s">
        <v>17030</v>
      </c>
      <c r="R380" s="331" t="s">
        <v>8234</v>
      </c>
      <c r="S380" s="334" t="s">
        <v>6993</v>
      </c>
      <c r="T380" s="303"/>
      <c r="U380" s="303"/>
      <c r="V380" s="303"/>
    </row>
    <row r="381" ht="20.25" customHeight="1">
      <c r="E381" s="355"/>
      <c r="F381" s="355"/>
      <c r="I381" s="328"/>
      <c r="K381" s="329">
        <v>448.0</v>
      </c>
      <c r="L381" s="330">
        <v>9.0</v>
      </c>
      <c r="M381" s="331" t="s">
        <v>13785</v>
      </c>
      <c r="N381" s="331" t="s">
        <v>13786</v>
      </c>
      <c r="O381" s="331" t="s">
        <v>8192</v>
      </c>
      <c r="P381" s="353" t="s">
        <v>4756</v>
      </c>
      <c r="Q381" s="338" t="s">
        <v>17031</v>
      </c>
      <c r="R381" s="331" t="s">
        <v>8194</v>
      </c>
      <c r="S381" s="334" t="s">
        <v>6993</v>
      </c>
      <c r="T381" s="303"/>
      <c r="U381" s="303"/>
      <c r="V381" s="303"/>
    </row>
    <row r="382" ht="20.25" customHeight="1">
      <c r="E382" s="355"/>
      <c r="F382" s="355"/>
      <c r="I382" s="328"/>
      <c r="K382" s="329">
        <v>448.0</v>
      </c>
      <c r="L382" s="330">
        <v>9.0</v>
      </c>
      <c r="M382" s="331" t="s">
        <v>14450</v>
      </c>
      <c r="N382" s="331" t="s">
        <v>14451</v>
      </c>
      <c r="O382" s="331" t="s">
        <v>8229</v>
      </c>
      <c r="P382" s="332" t="s">
        <v>17032</v>
      </c>
      <c r="Q382" s="335" t="s">
        <v>17033</v>
      </c>
      <c r="R382" s="331" t="s">
        <v>8231</v>
      </c>
      <c r="S382" s="334" t="s">
        <v>6993</v>
      </c>
      <c r="T382" s="303"/>
      <c r="U382" s="303"/>
      <c r="V382" s="303"/>
    </row>
    <row r="383" ht="20.25" customHeight="1">
      <c r="E383" s="355"/>
      <c r="F383" s="355"/>
      <c r="I383" s="328"/>
      <c r="K383" s="329">
        <v>448.0</v>
      </c>
      <c r="L383" s="330">
        <v>9.0</v>
      </c>
      <c r="M383" s="331" t="s">
        <v>15796</v>
      </c>
      <c r="N383" s="331" t="s">
        <v>15797</v>
      </c>
      <c r="O383" s="331" t="s">
        <v>4940</v>
      </c>
      <c r="P383" s="332" t="s">
        <v>15798</v>
      </c>
      <c r="Q383" s="338" t="s">
        <v>17034</v>
      </c>
      <c r="R383" s="331" t="s">
        <v>8183</v>
      </c>
      <c r="S383" s="334" t="s">
        <v>8146</v>
      </c>
      <c r="T383" s="303"/>
      <c r="U383" s="303"/>
      <c r="V383" s="303"/>
    </row>
    <row r="384" ht="20.25" customHeight="1">
      <c r="E384" s="355"/>
      <c r="F384" s="355"/>
      <c r="I384" s="328"/>
      <c r="K384" s="329">
        <v>448.0</v>
      </c>
      <c r="L384" s="330">
        <v>9.0</v>
      </c>
      <c r="M384" s="331" t="s">
        <v>13901</v>
      </c>
      <c r="N384" s="331" t="s">
        <v>13909</v>
      </c>
      <c r="O384" s="331" t="s">
        <v>4933</v>
      </c>
      <c r="P384" s="332" t="s">
        <v>13910</v>
      </c>
      <c r="Q384" s="338" t="s">
        <v>17035</v>
      </c>
      <c r="R384" s="331" t="s">
        <v>8185</v>
      </c>
      <c r="S384" s="334" t="s">
        <v>8146</v>
      </c>
      <c r="T384" s="303"/>
      <c r="U384" s="303"/>
      <c r="V384" s="303"/>
    </row>
    <row r="385" ht="20.25" customHeight="1">
      <c r="E385" s="355"/>
      <c r="F385" s="355"/>
      <c r="I385" s="328"/>
      <c r="K385" s="329">
        <v>448.0</v>
      </c>
      <c r="L385" s="330">
        <v>9.0</v>
      </c>
      <c r="M385" s="331" t="s">
        <v>14016</v>
      </c>
      <c r="N385" s="331" t="s">
        <v>14017</v>
      </c>
      <c r="O385" s="331" t="s">
        <v>8235</v>
      </c>
      <c r="P385" s="353" t="s">
        <v>17036</v>
      </c>
      <c r="Q385" s="338" t="s">
        <v>17037</v>
      </c>
      <c r="R385" s="331" t="s">
        <v>8237</v>
      </c>
      <c r="S385" s="334" t="s">
        <v>6993</v>
      </c>
      <c r="T385" s="303"/>
      <c r="U385" s="303"/>
      <c r="V385" s="303"/>
    </row>
    <row r="386" ht="20.25" customHeight="1">
      <c r="E386" s="355"/>
      <c r="F386" s="355"/>
      <c r="I386" s="328"/>
      <c r="K386" s="329">
        <v>448.0</v>
      </c>
      <c r="L386" s="330">
        <v>9.0</v>
      </c>
      <c r="M386" s="331" t="s">
        <v>14646</v>
      </c>
      <c r="N386" s="331" t="s">
        <v>14647</v>
      </c>
      <c r="O386" s="331" t="s">
        <v>8213</v>
      </c>
      <c r="P386" s="331" t="s">
        <v>13123</v>
      </c>
      <c r="Q386" s="338" t="s">
        <v>17038</v>
      </c>
      <c r="R386" s="331" t="s">
        <v>8215</v>
      </c>
      <c r="S386" s="334" t="s">
        <v>6993</v>
      </c>
      <c r="T386" s="303"/>
      <c r="U386" s="303"/>
      <c r="V386" s="303"/>
    </row>
    <row r="387" ht="20.25" customHeight="1">
      <c r="E387" s="355"/>
      <c r="F387" s="355"/>
      <c r="I387" s="328"/>
      <c r="K387" s="329">
        <v>448.0</v>
      </c>
      <c r="L387" s="330">
        <v>9.0</v>
      </c>
      <c r="M387" s="331" t="s">
        <v>13120</v>
      </c>
      <c r="N387" s="331" t="s">
        <v>13121</v>
      </c>
      <c r="O387" s="331" t="s">
        <v>8216</v>
      </c>
      <c r="P387" s="331" t="s">
        <v>13123</v>
      </c>
      <c r="Q387" s="338" t="s">
        <v>17039</v>
      </c>
      <c r="R387" s="331" t="s">
        <v>8218</v>
      </c>
      <c r="S387" s="334" t="s">
        <v>7357</v>
      </c>
      <c r="T387" s="303"/>
      <c r="U387" s="303"/>
      <c r="V387" s="303"/>
    </row>
    <row r="388" ht="20.25" customHeight="1">
      <c r="E388" s="355"/>
      <c r="F388" s="355"/>
      <c r="I388" s="328"/>
      <c r="K388" s="341">
        <v>448.0</v>
      </c>
      <c r="L388" s="330">
        <v>9.0</v>
      </c>
      <c r="M388" s="331" t="s">
        <v>15886</v>
      </c>
      <c r="N388" s="331" t="s">
        <v>15887</v>
      </c>
      <c r="O388" s="331" t="s">
        <v>15885</v>
      </c>
      <c r="P388" s="331" t="s">
        <v>17036</v>
      </c>
      <c r="Q388" s="335" t="s">
        <v>17040</v>
      </c>
      <c r="R388" s="336"/>
      <c r="S388" s="337"/>
      <c r="T388" s="303"/>
      <c r="U388" s="303"/>
      <c r="V388" s="303"/>
    </row>
    <row r="389" ht="20.25" customHeight="1">
      <c r="E389" s="355"/>
      <c r="F389" s="355"/>
      <c r="I389" s="328"/>
      <c r="K389" s="329">
        <v>448.0</v>
      </c>
      <c r="L389" s="330">
        <v>9.0</v>
      </c>
      <c r="M389" s="331" t="s">
        <v>13026</v>
      </c>
      <c r="N389" s="331" t="s">
        <v>13027</v>
      </c>
      <c r="O389" s="331" t="s">
        <v>8197</v>
      </c>
      <c r="P389" s="332" t="s">
        <v>13029</v>
      </c>
      <c r="Q389" s="338" t="s">
        <v>17041</v>
      </c>
      <c r="R389" s="331" t="s">
        <v>8199</v>
      </c>
      <c r="S389" s="334" t="s">
        <v>6993</v>
      </c>
      <c r="T389" s="303"/>
      <c r="U389" s="303"/>
      <c r="V389" s="303"/>
    </row>
    <row r="390" ht="20.25" customHeight="1">
      <c r="E390" s="355"/>
      <c r="F390" s="355"/>
      <c r="I390" s="328"/>
      <c r="K390" s="329">
        <v>448.0</v>
      </c>
      <c r="L390" s="330">
        <v>9.0</v>
      </c>
      <c r="M390" s="331" t="s">
        <v>14919</v>
      </c>
      <c r="N390" s="331" t="s">
        <v>14920</v>
      </c>
      <c r="O390" s="331" t="s">
        <v>8204</v>
      </c>
      <c r="P390" s="331" t="s">
        <v>13029</v>
      </c>
      <c r="Q390" s="338" t="s">
        <v>17042</v>
      </c>
      <c r="R390" s="331" t="s">
        <v>8206</v>
      </c>
      <c r="S390" s="334" t="s">
        <v>6993</v>
      </c>
      <c r="T390" s="303"/>
      <c r="U390" s="303"/>
      <c r="V390" s="303"/>
    </row>
    <row r="391" ht="20.25" customHeight="1">
      <c r="E391" s="355"/>
      <c r="F391" s="355"/>
      <c r="I391" s="328"/>
      <c r="K391" s="329">
        <v>448.0</v>
      </c>
      <c r="L391" s="330">
        <v>9.0</v>
      </c>
      <c r="M391" s="331" t="s">
        <v>14176</v>
      </c>
      <c r="N391" s="331" t="s">
        <v>14177</v>
      </c>
      <c r="O391" s="331" t="s">
        <v>8210</v>
      </c>
      <c r="P391" s="331" t="s">
        <v>13029</v>
      </c>
      <c r="Q391" s="338" t="s">
        <v>17043</v>
      </c>
      <c r="R391" s="331" t="s">
        <v>8212</v>
      </c>
      <c r="S391" s="334" t="s">
        <v>6993</v>
      </c>
      <c r="T391" s="303"/>
      <c r="U391" s="303"/>
      <c r="V391" s="303"/>
    </row>
    <row r="392" ht="20.25" customHeight="1">
      <c r="E392" s="355"/>
      <c r="F392" s="355"/>
      <c r="I392" s="328"/>
      <c r="K392" s="329">
        <v>448.0</v>
      </c>
      <c r="L392" s="330">
        <v>9.0</v>
      </c>
      <c r="M392" s="331" t="s">
        <v>11184</v>
      </c>
      <c r="N392" s="331" t="s">
        <v>14338</v>
      </c>
      <c r="O392" s="331" t="s">
        <v>8207</v>
      </c>
      <c r="P392" s="353" t="s">
        <v>13029</v>
      </c>
      <c r="Q392" s="338" t="s">
        <v>17044</v>
      </c>
      <c r="R392" s="331" t="s">
        <v>8209</v>
      </c>
      <c r="S392" s="334" t="s">
        <v>6993</v>
      </c>
      <c r="T392" s="303"/>
      <c r="U392" s="303"/>
      <c r="V392" s="303"/>
    </row>
    <row r="393" ht="20.25" customHeight="1">
      <c r="E393" s="355"/>
      <c r="F393" s="355"/>
      <c r="I393" s="328"/>
      <c r="K393" s="329">
        <v>448.0</v>
      </c>
      <c r="L393" s="330">
        <v>9.0</v>
      </c>
      <c r="M393" s="331" t="s">
        <v>14013</v>
      </c>
      <c r="N393" s="331" t="s">
        <v>14014</v>
      </c>
      <c r="O393" s="331" t="s">
        <v>8221</v>
      </c>
      <c r="P393" s="331" t="s">
        <v>13029</v>
      </c>
      <c r="Q393" s="338" t="s">
        <v>17045</v>
      </c>
      <c r="R393" s="331" t="s">
        <v>8223</v>
      </c>
      <c r="S393" s="334" t="s">
        <v>7070</v>
      </c>
      <c r="T393" s="303"/>
      <c r="U393" s="303"/>
      <c r="V393" s="303"/>
    </row>
    <row r="394" ht="20.25" customHeight="1">
      <c r="E394" s="355"/>
      <c r="F394" s="355"/>
      <c r="I394" s="328"/>
      <c r="K394" s="341">
        <v>448.0</v>
      </c>
      <c r="L394" s="330">
        <v>9.0</v>
      </c>
      <c r="M394" s="331" t="s">
        <v>15347</v>
      </c>
      <c r="N394" s="331" t="s">
        <v>15339</v>
      </c>
      <c r="O394" s="331" t="s">
        <v>8178</v>
      </c>
      <c r="P394" s="332" t="s">
        <v>12686</v>
      </c>
      <c r="Q394" s="335" t="s">
        <v>17046</v>
      </c>
      <c r="R394" s="331" t="s">
        <v>8180</v>
      </c>
      <c r="S394" s="334" t="s">
        <v>7093</v>
      </c>
      <c r="T394" s="303"/>
      <c r="U394" s="303"/>
      <c r="V394" s="303"/>
    </row>
    <row r="395" ht="20.25" customHeight="1">
      <c r="E395" s="355"/>
      <c r="F395" s="355"/>
      <c r="I395" s="328"/>
      <c r="K395" s="341">
        <v>448.0</v>
      </c>
      <c r="L395" s="330">
        <v>9.0</v>
      </c>
      <c r="M395" s="331" t="s">
        <v>14040</v>
      </c>
      <c r="N395" s="331" t="s">
        <v>14043</v>
      </c>
      <c r="O395" s="331" t="s">
        <v>8423</v>
      </c>
      <c r="P395" s="381" t="s">
        <v>4805</v>
      </c>
      <c r="Q395" s="338" t="s">
        <v>17047</v>
      </c>
      <c r="R395" s="331" t="s">
        <v>8425</v>
      </c>
      <c r="S395" s="334" t="s">
        <v>6928</v>
      </c>
      <c r="T395" s="303"/>
      <c r="U395" s="303"/>
      <c r="V395" s="303"/>
    </row>
    <row r="396" ht="20.25" customHeight="1">
      <c r="E396" s="355"/>
      <c r="F396" s="355"/>
      <c r="I396" s="328"/>
      <c r="K396" s="382">
        <v>448.0</v>
      </c>
      <c r="L396" s="343">
        <v>9.0</v>
      </c>
      <c r="M396" s="344" t="s">
        <v>13096</v>
      </c>
      <c r="N396" s="344" t="s">
        <v>13101</v>
      </c>
      <c r="O396" s="344" t="s">
        <v>1834</v>
      </c>
      <c r="P396" s="386" t="s">
        <v>12668</v>
      </c>
      <c r="Q396" s="379" t="s">
        <v>17048</v>
      </c>
      <c r="R396" s="383"/>
      <c r="S396" s="384"/>
      <c r="T396" s="303"/>
      <c r="U396" s="303"/>
      <c r="V396" s="303"/>
    </row>
    <row r="397" ht="20.25" customHeight="1">
      <c r="E397" s="355"/>
      <c r="F397" s="355"/>
      <c r="I397" s="316" t="s">
        <v>8450</v>
      </c>
      <c r="K397" s="341">
        <v>448.0</v>
      </c>
      <c r="L397" s="330">
        <v>10.0</v>
      </c>
      <c r="M397" s="331" t="s">
        <v>9602</v>
      </c>
      <c r="N397" s="331" t="s">
        <v>9603</v>
      </c>
      <c r="O397" s="331" t="s">
        <v>9600</v>
      </c>
      <c r="P397" s="332" t="s">
        <v>9604</v>
      </c>
      <c r="Q397" s="335" t="s">
        <v>17049</v>
      </c>
      <c r="R397" s="374" t="s">
        <v>8439</v>
      </c>
      <c r="S397" s="375" t="s">
        <v>7050</v>
      </c>
      <c r="T397" s="303"/>
      <c r="U397" s="303"/>
      <c r="V397" s="303"/>
    </row>
    <row r="398" ht="20.25" customHeight="1">
      <c r="E398" s="355"/>
      <c r="F398" s="355"/>
      <c r="I398" s="328"/>
      <c r="K398" s="341">
        <v>448.0</v>
      </c>
      <c r="L398" s="330">
        <v>10.0</v>
      </c>
      <c r="M398" s="331" t="s">
        <v>15129</v>
      </c>
      <c r="N398" s="331" t="s">
        <v>15130</v>
      </c>
      <c r="O398" s="331" t="s">
        <v>8445</v>
      </c>
      <c r="P398" s="340" t="s">
        <v>4805</v>
      </c>
      <c r="Q398" s="354" t="s">
        <v>17050</v>
      </c>
      <c r="R398" s="374" t="s">
        <v>8447</v>
      </c>
      <c r="S398" s="375" t="s">
        <v>7050</v>
      </c>
      <c r="T398" s="303"/>
      <c r="U398" s="303"/>
      <c r="V398" s="303"/>
    </row>
    <row r="399" ht="20.25" customHeight="1">
      <c r="E399" s="355"/>
      <c r="F399" s="355"/>
      <c r="I399" s="328"/>
      <c r="K399" s="341">
        <v>448.0</v>
      </c>
      <c r="L399" s="330">
        <v>10.0</v>
      </c>
      <c r="M399" s="331" t="s">
        <v>13942</v>
      </c>
      <c r="N399" s="331" t="s">
        <v>13943</v>
      </c>
      <c r="O399" s="331" t="s">
        <v>8442</v>
      </c>
      <c r="P399" s="340" t="s">
        <v>17051</v>
      </c>
      <c r="Q399" s="354" t="s">
        <v>17052</v>
      </c>
      <c r="R399" s="374" t="s">
        <v>8444</v>
      </c>
      <c r="S399" s="375" t="s">
        <v>7050</v>
      </c>
      <c r="T399" s="303"/>
      <c r="U399" s="303"/>
      <c r="V399" s="303"/>
    </row>
    <row r="400" ht="20.25" customHeight="1">
      <c r="E400" s="355"/>
      <c r="F400" s="355"/>
      <c r="I400" s="328"/>
      <c r="K400" s="329">
        <v>448.0</v>
      </c>
      <c r="L400" s="330">
        <v>10.0</v>
      </c>
      <c r="M400" s="331" t="s">
        <v>13177</v>
      </c>
      <c r="N400" s="331" t="s">
        <v>13178</v>
      </c>
      <c r="O400" s="331" t="s">
        <v>8458</v>
      </c>
      <c r="P400" s="331" t="s">
        <v>4818</v>
      </c>
      <c r="Q400" s="338" t="s">
        <v>17053</v>
      </c>
      <c r="R400" s="331" t="s">
        <v>8460</v>
      </c>
      <c r="S400" s="334" t="s">
        <v>7005</v>
      </c>
      <c r="T400" s="303"/>
      <c r="U400" s="303"/>
      <c r="V400" s="303"/>
    </row>
    <row r="401" ht="20.25" customHeight="1">
      <c r="E401" s="355"/>
      <c r="F401" s="355"/>
      <c r="I401" s="328"/>
      <c r="K401" s="341">
        <v>448.0</v>
      </c>
      <c r="L401" s="330">
        <v>10.0</v>
      </c>
      <c r="M401" s="331" t="s">
        <v>14539</v>
      </c>
      <c r="N401" s="331" t="s">
        <v>14540</v>
      </c>
      <c r="O401" s="331" t="s">
        <v>8448</v>
      </c>
      <c r="P401" s="357" t="s">
        <v>4818</v>
      </c>
      <c r="Q401" s="331" t="s">
        <v>14542</v>
      </c>
      <c r="R401" s="331" t="s">
        <v>17054</v>
      </c>
      <c r="S401" s="334" t="s">
        <v>6928</v>
      </c>
      <c r="T401" s="303"/>
      <c r="U401" s="303"/>
      <c r="V401" s="303"/>
    </row>
    <row r="402" ht="20.25" customHeight="1">
      <c r="E402" s="355"/>
      <c r="F402" s="355"/>
      <c r="I402" s="328"/>
      <c r="K402" s="341">
        <v>448.0</v>
      </c>
      <c r="L402" s="330">
        <v>10.0</v>
      </c>
      <c r="M402" s="331" t="s">
        <v>15559</v>
      </c>
      <c r="N402" s="331" t="s">
        <v>15560</v>
      </c>
      <c r="O402" s="331" t="s">
        <v>8453</v>
      </c>
      <c r="P402" s="331" t="s">
        <v>4749</v>
      </c>
      <c r="Q402" s="338" t="s">
        <v>17055</v>
      </c>
      <c r="R402" s="336"/>
      <c r="S402" s="337"/>
      <c r="T402" s="303"/>
      <c r="U402" s="303"/>
      <c r="V402" s="303"/>
    </row>
    <row r="403" ht="20.25" customHeight="1">
      <c r="E403" s="355"/>
      <c r="F403" s="355"/>
      <c r="I403" s="328"/>
      <c r="K403" s="341">
        <v>448.0</v>
      </c>
      <c r="L403" s="330">
        <v>10.0</v>
      </c>
      <c r="M403" s="331" t="s">
        <v>15925</v>
      </c>
      <c r="N403" s="331" t="s">
        <v>15926</v>
      </c>
      <c r="O403" s="331" t="s">
        <v>274</v>
      </c>
      <c r="P403" s="353" t="s">
        <v>4835</v>
      </c>
      <c r="Q403" s="338" t="s">
        <v>17056</v>
      </c>
      <c r="R403" s="331" t="s">
        <v>17057</v>
      </c>
      <c r="S403" s="334" t="s">
        <v>7398</v>
      </c>
      <c r="T403" s="303"/>
      <c r="U403" s="303"/>
      <c r="V403" s="303"/>
    </row>
    <row r="404" ht="20.25" customHeight="1">
      <c r="E404" s="355"/>
      <c r="F404" s="355"/>
      <c r="I404" s="328"/>
      <c r="K404" s="382">
        <v>448.0</v>
      </c>
      <c r="L404" s="330">
        <v>10.0</v>
      </c>
      <c r="M404" s="344" t="s">
        <v>14325</v>
      </c>
      <c r="N404" s="344" t="s">
        <v>14089</v>
      </c>
      <c r="O404" s="344" t="s">
        <v>8461</v>
      </c>
      <c r="P404" s="344" t="s">
        <v>14328</v>
      </c>
      <c r="Q404" s="379" t="s">
        <v>17058</v>
      </c>
      <c r="R404" s="344" t="s">
        <v>17059</v>
      </c>
      <c r="S404" s="346" t="s">
        <v>7112</v>
      </c>
      <c r="T404" s="303"/>
      <c r="U404" s="303"/>
      <c r="V404" s="303"/>
    </row>
    <row r="405" ht="20.25" customHeight="1">
      <c r="E405" s="355"/>
      <c r="F405" s="355"/>
      <c r="I405" s="395" t="s">
        <v>17060</v>
      </c>
      <c r="K405" s="323">
        <v>448.0</v>
      </c>
      <c r="L405" s="324">
        <v>10.0</v>
      </c>
      <c r="M405" s="325" t="s">
        <v>15306</v>
      </c>
      <c r="N405" s="325" t="s">
        <v>9498</v>
      </c>
      <c r="O405" s="325" t="s">
        <v>8470</v>
      </c>
      <c r="P405" s="380" t="s">
        <v>1392</v>
      </c>
      <c r="Q405" s="380" t="s">
        <v>15307</v>
      </c>
      <c r="R405" s="325" t="s">
        <v>17061</v>
      </c>
      <c r="S405" s="327" t="s">
        <v>6928</v>
      </c>
      <c r="T405" s="303"/>
      <c r="U405" s="303"/>
      <c r="V405" s="303"/>
    </row>
    <row r="406" ht="20.25" customHeight="1">
      <c r="E406" s="355"/>
      <c r="F406" s="355"/>
      <c r="I406" s="328"/>
      <c r="K406" s="329">
        <v>448.0</v>
      </c>
      <c r="L406" s="330">
        <v>10.0</v>
      </c>
      <c r="M406" s="331" t="s">
        <v>13290</v>
      </c>
      <c r="N406" s="331" t="s">
        <v>13291</v>
      </c>
      <c r="O406" s="331" t="s">
        <v>8601</v>
      </c>
      <c r="P406" s="331" t="s">
        <v>4805</v>
      </c>
      <c r="Q406" s="338" t="s">
        <v>17062</v>
      </c>
      <c r="R406" s="331" t="s">
        <v>8604</v>
      </c>
      <c r="S406" s="334" t="s">
        <v>7299</v>
      </c>
      <c r="T406" s="303"/>
      <c r="U406" s="303"/>
      <c r="V406" s="303"/>
    </row>
    <row r="407" ht="20.25" customHeight="1">
      <c r="E407" s="355"/>
      <c r="F407" s="355"/>
      <c r="I407" s="328"/>
      <c r="K407" s="341">
        <v>448.0</v>
      </c>
      <c r="L407" s="330">
        <v>10.0</v>
      </c>
      <c r="M407" s="331" t="s">
        <v>14404</v>
      </c>
      <c r="N407" s="331" t="s">
        <v>14405</v>
      </c>
      <c r="O407" s="331" t="s">
        <v>8522</v>
      </c>
      <c r="P407" s="332" t="s">
        <v>2062</v>
      </c>
      <c r="Q407" s="335" t="s">
        <v>17063</v>
      </c>
      <c r="R407" s="331" t="s">
        <v>17064</v>
      </c>
      <c r="S407" s="334" t="s">
        <v>7375</v>
      </c>
      <c r="T407" s="303"/>
      <c r="U407" s="303"/>
      <c r="V407" s="303"/>
    </row>
    <row r="408" ht="20.25" customHeight="1">
      <c r="E408" s="355"/>
      <c r="F408" s="355"/>
      <c r="I408" s="328"/>
      <c r="K408" s="341">
        <v>448.0</v>
      </c>
      <c r="L408" s="330">
        <v>10.0</v>
      </c>
      <c r="M408" s="331" t="s">
        <v>14457</v>
      </c>
      <c r="N408" s="331" t="s">
        <v>14458</v>
      </c>
      <c r="O408" s="331" t="s">
        <v>8476</v>
      </c>
      <c r="P408" s="377" t="s">
        <v>14460</v>
      </c>
      <c r="Q408" s="333" t="s">
        <v>17065</v>
      </c>
      <c r="R408" s="331" t="s">
        <v>8478</v>
      </c>
      <c r="S408" s="334" t="s">
        <v>6928</v>
      </c>
      <c r="T408" s="303"/>
      <c r="U408" s="303"/>
      <c r="V408" s="303"/>
    </row>
    <row r="409" ht="20.25" customHeight="1">
      <c r="E409" s="355"/>
      <c r="F409" s="355"/>
      <c r="I409" s="328"/>
      <c r="K409" s="329">
        <v>448.0</v>
      </c>
      <c r="L409" s="330">
        <v>10.0</v>
      </c>
      <c r="M409" s="331" t="s">
        <v>14446</v>
      </c>
      <c r="N409" s="331" t="s">
        <v>14447</v>
      </c>
      <c r="O409" s="331" t="s">
        <v>8559</v>
      </c>
      <c r="P409" s="381" t="s">
        <v>2062</v>
      </c>
      <c r="Q409" s="338" t="s">
        <v>17066</v>
      </c>
      <c r="R409" s="331" t="s">
        <v>17067</v>
      </c>
      <c r="S409" s="334" t="s">
        <v>7252</v>
      </c>
      <c r="T409" s="303"/>
      <c r="U409" s="303"/>
      <c r="V409" s="303"/>
    </row>
    <row r="410" ht="20.25" customHeight="1">
      <c r="E410" s="355"/>
      <c r="F410" s="355"/>
      <c r="I410" s="328"/>
      <c r="K410" s="341">
        <v>448.0</v>
      </c>
      <c r="L410" s="330">
        <v>10.0</v>
      </c>
      <c r="M410" s="331" t="s">
        <v>15468</v>
      </c>
      <c r="N410" s="331" t="s">
        <v>15469</v>
      </c>
      <c r="O410" s="331" t="s">
        <v>8563</v>
      </c>
      <c r="P410" s="332" t="s">
        <v>4835</v>
      </c>
      <c r="Q410" s="353" t="s">
        <v>15471</v>
      </c>
      <c r="R410" s="374" t="s">
        <v>8565</v>
      </c>
      <c r="S410" s="375" t="s">
        <v>7012</v>
      </c>
      <c r="T410" s="303"/>
      <c r="U410" s="303"/>
      <c r="V410" s="303"/>
    </row>
    <row r="411" ht="20.25" customHeight="1">
      <c r="E411" s="355"/>
      <c r="F411" s="355"/>
      <c r="I411" s="328"/>
      <c r="K411" s="341">
        <v>448.0</v>
      </c>
      <c r="L411" s="330">
        <v>10.0</v>
      </c>
      <c r="M411" s="331" t="s">
        <v>14958</v>
      </c>
      <c r="N411" s="331" t="s">
        <v>14959</v>
      </c>
      <c r="O411" s="331" t="s">
        <v>8555</v>
      </c>
      <c r="P411" s="332" t="s">
        <v>17068</v>
      </c>
      <c r="Q411" s="332" t="s">
        <v>14960</v>
      </c>
      <c r="R411" s="374" t="s">
        <v>8558</v>
      </c>
      <c r="S411" s="375" t="s">
        <v>6939</v>
      </c>
      <c r="T411" s="303"/>
      <c r="U411" s="303"/>
      <c r="V411" s="303"/>
    </row>
    <row r="412" ht="20.25" customHeight="1">
      <c r="E412" s="355"/>
      <c r="F412" s="355"/>
      <c r="I412" s="328"/>
      <c r="K412" s="341">
        <v>448.0</v>
      </c>
      <c r="L412" s="330">
        <v>10.0</v>
      </c>
      <c r="M412" s="331" t="s">
        <v>14903</v>
      </c>
      <c r="N412" s="331" t="s">
        <v>14904</v>
      </c>
      <c r="O412" s="331" t="s">
        <v>8571</v>
      </c>
      <c r="P412" s="332" t="s">
        <v>17069</v>
      </c>
      <c r="Q412" s="335" t="s">
        <v>17070</v>
      </c>
      <c r="R412" s="331" t="s">
        <v>8573</v>
      </c>
      <c r="S412" s="334" t="s">
        <v>8251</v>
      </c>
      <c r="T412" s="303"/>
      <c r="U412" s="303"/>
      <c r="V412" s="303"/>
    </row>
    <row r="413" ht="20.25" customHeight="1">
      <c r="E413" s="355"/>
      <c r="F413" s="355"/>
      <c r="I413" s="328"/>
      <c r="K413" s="341">
        <v>448.0</v>
      </c>
      <c r="L413" s="330">
        <v>10.0</v>
      </c>
      <c r="M413" s="331" t="s">
        <v>13032</v>
      </c>
      <c r="N413" s="331" t="s">
        <v>13033</v>
      </c>
      <c r="O413" s="331" t="s">
        <v>8526</v>
      </c>
      <c r="P413" s="332" t="s">
        <v>10056</v>
      </c>
      <c r="Q413" s="335" t="s">
        <v>17071</v>
      </c>
      <c r="R413" s="331" t="s">
        <v>17072</v>
      </c>
      <c r="S413" s="334" t="s">
        <v>6928</v>
      </c>
      <c r="T413" s="303"/>
      <c r="U413" s="303"/>
      <c r="V413" s="303"/>
    </row>
    <row r="414" ht="20.25" customHeight="1">
      <c r="E414" s="355"/>
      <c r="F414" s="355"/>
      <c r="I414" s="328"/>
      <c r="K414" s="341">
        <v>448.0</v>
      </c>
      <c r="L414" s="330">
        <v>10.0</v>
      </c>
      <c r="M414" s="331" t="s">
        <v>14887</v>
      </c>
      <c r="N414" s="331" t="s">
        <v>14888</v>
      </c>
      <c r="O414" s="331" t="s">
        <v>8566</v>
      </c>
      <c r="P414" s="331" t="s">
        <v>4756</v>
      </c>
      <c r="Q414" s="335" t="s">
        <v>17073</v>
      </c>
      <c r="R414" s="331" t="s">
        <v>8569</v>
      </c>
      <c r="S414" s="334" t="s">
        <v>6928</v>
      </c>
      <c r="T414" s="303"/>
      <c r="U414" s="303"/>
      <c r="V414" s="303"/>
    </row>
    <row r="415" ht="20.25" customHeight="1">
      <c r="E415" s="355"/>
      <c r="F415" s="355"/>
      <c r="I415" s="328"/>
      <c r="K415" s="341">
        <v>448.0</v>
      </c>
      <c r="L415" s="330">
        <v>10.0</v>
      </c>
      <c r="M415" s="331" t="s">
        <v>13349</v>
      </c>
      <c r="N415" s="331" t="s">
        <v>13350</v>
      </c>
      <c r="O415" s="331" t="s">
        <v>670</v>
      </c>
      <c r="P415" s="331" t="s">
        <v>13352</v>
      </c>
      <c r="Q415" s="338" t="s">
        <v>17074</v>
      </c>
      <c r="R415" s="331" t="s">
        <v>8538</v>
      </c>
      <c r="S415" s="334" t="s">
        <v>6928</v>
      </c>
      <c r="T415" s="303"/>
      <c r="U415" s="303"/>
      <c r="V415" s="303"/>
    </row>
    <row r="416" ht="20.25" customHeight="1">
      <c r="E416" s="355"/>
      <c r="F416" s="355"/>
      <c r="I416" s="328"/>
      <c r="K416" s="341">
        <v>448.0</v>
      </c>
      <c r="L416" s="330">
        <v>10.0</v>
      </c>
      <c r="M416" s="331" t="s">
        <v>15069</v>
      </c>
      <c r="N416" s="331" t="s">
        <v>15070</v>
      </c>
      <c r="O416" s="331" t="s">
        <v>675</v>
      </c>
      <c r="P416" s="332" t="s">
        <v>15071</v>
      </c>
      <c r="Q416" s="335" t="s">
        <v>17075</v>
      </c>
      <c r="R416" s="336"/>
      <c r="S416" s="337"/>
      <c r="T416" s="303"/>
      <c r="U416" s="303"/>
      <c r="V416" s="303"/>
    </row>
    <row r="417" ht="20.25" customHeight="1">
      <c r="E417" s="355"/>
      <c r="F417" s="355"/>
      <c r="I417" s="328"/>
      <c r="K417" s="329">
        <v>448.0</v>
      </c>
      <c r="L417" s="330">
        <v>10.0</v>
      </c>
      <c r="M417" s="331" t="s">
        <v>15342</v>
      </c>
      <c r="N417" s="331" t="s">
        <v>15343</v>
      </c>
      <c r="O417" s="331" t="s">
        <v>8484</v>
      </c>
      <c r="P417" s="332" t="s">
        <v>2062</v>
      </c>
      <c r="Q417" s="338" t="s">
        <v>17076</v>
      </c>
      <c r="R417" s="331" t="s">
        <v>8487</v>
      </c>
      <c r="S417" s="334" t="s">
        <v>8076</v>
      </c>
      <c r="T417" s="303"/>
      <c r="U417" s="303"/>
      <c r="V417" s="303"/>
    </row>
    <row r="418" ht="20.25" customHeight="1">
      <c r="E418" s="355"/>
      <c r="F418" s="355"/>
      <c r="I418" s="328"/>
      <c r="K418" s="329">
        <v>448.0</v>
      </c>
      <c r="L418" s="330">
        <v>10.0</v>
      </c>
      <c r="M418" s="331" t="s">
        <v>15251</v>
      </c>
      <c r="N418" s="331" t="s">
        <v>15252</v>
      </c>
      <c r="O418" s="331" t="s">
        <v>8488</v>
      </c>
      <c r="P418" s="332" t="s">
        <v>4835</v>
      </c>
      <c r="Q418" s="332" t="s">
        <v>15253</v>
      </c>
      <c r="R418" s="331" t="s">
        <v>8490</v>
      </c>
      <c r="S418" s="334" t="s">
        <v>8491</v>
      </c>
      <c r="T418" s="303"/>
      <c r="U418" s="303"/>
      <c r="V418" s="303"/>
    </row>
    <row r="419" ht="20.25" customHeight="1">
      <c r="E419" s="355"/>
      <c r="F419" s="355"/>
      <c r="I419" s="328"/>
      <c r="K419" s="341">
        <v>448.0</v>
      </c>
      <c r="L419" s="330">
        <v>10.0</v>
      </c>
      <c r="M419" s="331" t="s">
        <v>13037</v>
      </c>
      <c r="N419" s="331" t="s">
        <v>13038</v>
      </c>
      <c r="O419" s="331" t="s">
        <v>8496</v>
      </c>
      <c r="P419" s="332" t="s">
        <v>10056</v>
      </c>
      <c r="Q419" s="338" t="s">
        <v>17077</v>
      </c>
      <c r="R419" s="331" t="s">
        <v>8498</v>
      </c>
      <c r="S419" s="334" t="s">
        <v>6928</v>
      </c>
      <c r="T419" s="303"/>
      <c r="U419" s="303"/>
      <c r="V419" s="303"/>
    </row>
    <row r="420" ht="20.25" customHeight="1">
      <c r="E420" s="355"/>
      <c r="F420" s="355"/>
      <c r="I420" s="328"/>
      <c r="K420" s="329">
        <v>448.0</v>
      </c>
      <c r="L420" s="330">
        <v>10.0</v>
      </c>
      <c r="M420" s="331" t="s">
        <v>9386</v>
      </c>
      <c r="N420" s="331" t="s">
        <v>12975</v>
      </c>
      <c r="O420" s="331" t="s">
        <v>688</v>
      </c>
      <c r="P420" s="332" t="s">
        <v>4756</v>
      </c>
      <c r="Q420" s="338" t="s">
        <v>17078</v>
      </c>
      <c r="R420" s="331" t="s">
        <v>8494</v>
      </c>
      <c r="S420" s="334" t="s">
        <v>8491</v>
      </c>
      <c r="T420" s="303"/>
      <c r="U420" s="303"/>
      <c r="V420" s="303"/>
    </row>
    <row r="421" ht="20.25" customHeight="1">
      <c r="E421" s="355"/>
      <c r="F421" s="355"/>
      <c r="I421" s="328"/>
      <c r="K421" s="341">
        <v>448.0</v>
      </c>
      <c r="L421" s="330">
        <v>10.0</v>
      </c>
      <c r="M421" s="331" t="s">
        <v>14026</v>
      </c>
      <c r="N421" s="331" t="s">
        <v>14027</v>
      </c>
      <c r="O421" s="331" t="s">
        <v>8500</v>
      </c>
      <c r="P421" s="332" t="s">
        <v>4756</v>
      </c>
      <c r="Q421" s="338" t="s">
        <v>17079</v>
      </c>
      <c r="R421" s="336"/>
      <c r="S421" s="337"/>
      <c r="T421" s="303"/>
      <c r="U421" s="303"/>
      <c r="V421" s="303"/>
    </row>
    <row r="422" ht="20.25" customHeight="1">
      <c r="E422" s="355"/>
      <c r="F422" s="355"/>
      <c r="I422" s="328"/>
      <c r="K422" s="341">
        <v>448.0</v>
      </c>
      <c r="L422" s="330">
        <v>10.0</v>
      </c>
      <c r="M422" s="331" t="s">
        <v>12304</v>
      </c>
      <c r="N422" s="331" t="s">
        <v>16019</v>
      </c>
      <c r="O422" s="331" t="s">
        <v>8506</v>
      </c>
      <c r="P422" s="332" t="s">
        <v>4756</v>
      </c>
      <c r="Q422" s="335" t="s">
        <v>17080</v>
      </c>
      <c r="R422" s="331" t="s">
        <v>8509</v>
      </c>
      <c r="S422" s="334" t="s">
        <v>7289</v>
      </c>
      <c r="T422" s="303"/>
      <c r="U422" s="303"/>
      <c r="V422" s="303"/>
    </row>
    <row r="423" ht="20.25" customHeight="1">
      <c r="E423" s="355"/>
      <c r="F423" s="355"/>
      <c r="I423" s="328"/>
      <c r="K423" s="329">
        <v>448.0</v>
      </c>
      <c r="L423" s="330">
        <v>10.0</v>
      </c>
      <c r="M423" s="331" t="s">
        <v>12045</v>
      </c>
      <c r="N423" s="331" t="s">
        <v>15665</v>
      </c>
      <c r="O423" s="331" t="s">
        <v>8510</v>
      </c>
      <c r="P423" s="331" t="s">
        <v>15667</v>
      </c>
      <c r="Q423" s="338" t="s">
        <v>17081</v>
      </c>
      <c r="R423" s="331" t="s">
        <v>8512</v>
      </c>
      <c r="S423" s="334" t="s">
        <v>8513</v>
      </c>
      <c r="T423" s="303"/>
      <c r="U423" s="303"/>
      <c r="V423" s="303"/>
    </row>
    <row r="424" ht="20.25" customHeight="1">
      <c r="E424" s="355"/>
      <c r="F424" s="355"/>
      <c r="I424" s="328"/>
      <c r="K424" s="341">
        <v>448.0</v>
      </c>
      <c r="L424" s="330">
        <v>10.0</v>
      </c>
      <c r="M424" s="331" t="s">
        <v>13358</v>
      </c>
      <c r="N424" s="331" t="s">
        <v>13359</v>
      </c>
      <c r="O424" s="331" t="s">
        <v>8514</v>
      </c>
      <c r="P424" s="331" t="s">
        <v>13362</v>
      </c>
      <c r="Q424" s="338" t="s">
        <v>17082</v>
      </c>
      <c r="R424" s="336"/>
      <c r="S424" s="337"/>
      <c r="T424" s="303"/>
      <c r="U424" s="303"/>
      <c r="V424" s="303"/>
    </row>
    <row r="425" ht="20.25" customHeight="1">
      <c r="E425" s="355"/>
      <c r="F425" s="355"/>
      <c r="I425" s="328"/>
      <c r="K425" s="329">
        <v>448.0</v>
      </c>
      <c r="L425" s="330">
        <v>10.0</v>
      </c>
      <c r="M425" s="331" t="s">
        <v>14475</v>
      </c>
      <c r="N425" s="331" t="s">
        <v>14476</v>
      </c>
      <c r="O425" s="331" t="s">
        <v>8518</v>
      </c>
      <c r="P425" s="331" t="s">
        <v>13362</v>
      </c>
      <c r="Q425" s="354" t="s">
        <v>17083</v>
      </c>
      <c r="R425" s="331" t="s">
        <v>8504</v>
      </c>
      <c r="S425" s="334" t="s">
        <v>8505</v>
      </c>
      <c r="T425" s="303"/>
      <c r="U425" s="303"/>
      <c r="V425" s="303"/>
    </row>
    <row r="426" ht="20.25" customHeight="1">
      <c r="E426" s="355"/>
      <c r="F426" s="355"/>
      <c r="I426" s="328"/>
      <c r="K426" s="341">
        <v>448.0</v>
      </c>
      <c r="L426" s="330">
        <v>10.0</v>
      </c>
      <c r="M426" s="331" t="s">
        <v>13117</v>
      </c>
      <c r="N426" s="331" t="s">
        <v>13118</v>
      </c>
      <c r="O426" s="331" t="s">
        <v>8584</v>
      </c>
      <c r="P426" s="331" t="s">
        <v>4835</v>
      </c>
      <c r="Q426" s="338" t="s">
        <v>17084</v>
      </c>
      <c r="R426" s="331" t="s">
        <v>8586</v>
      </c>
      <c r="S426" s="334" t="s">
        <v>8265</v>
      </c>
      <c r="T426" s="303"/>
      <c r="U426" s="303"/>
      <c r="V426" s="303"/>
    </row>
    <row r="427" ht="20.25" customHeight="1">
      <c r="E427" s="355"/>
      <c r="F427" s="355"/>
      <c r="I427" s="328"/>
      <c r="K427" s="341">
        <v>448.0</v>
      </c>
      <c r="L427" s="330">
        <v>10.0</v>
      </c>
      <c r="M427" s="331" t="s">
        <v>16031</v>
      </c>
      <c r="N427" s="331" t="s">
        <v>16032</v>
      </c>
      <c r="O427" s="331" t="s">
        <v>8547</v>
      </c>
      <c r="P427" s="331" t="s">
        <v>4835</v>
      </c>
      <c r="Q427" s="335" t="s">
        <v>17085</v>
      </c>
      <c r="R427" s="336"/>
      <c r="S427" s="337"/>
      <c r="T427" s="303"/>
      <c r="U427" s="303"/>
      <c r="V427" s="303"/>
    </row>
    <row r="428" ht="20.25" customHeight="1">
      <c r="E428" s="355"/>
      <c r="F428" s="355"/>
      <c r="I428" s="328"/>
      <c r="K428" s="341">
        <v>448.0</v>
      </c>
      <c r="L428" s="330">
        <v>10.0</v>
      </c>
      <c r="M428" s="331" t="s">
        <v>14527</v>
      </c>
      <c r="N428" s="331" t="s">
        <v>14528</v>
      </c>
      <c r="O428" s="331" t="s">
        <v>8540</v>
      </c>
      <c r="P428" s="332" t="s">
        <v>10056</v>
      </c>
      <c r="Q428" s="335" t="s">
        <v>17086</v>
      </c>
      <c r="R428" s="336"/>
      <c r="S428" s="337"/>
      <c r="T428" s="303"/>
      <c r="U428" s="303"/>
      <c r="V428" s="303"/>
    </row>
    <row r="429" ht="20.25" customHeight="1">
      <c r="E429" s="355"/>
      <c r="F429" s="355"/>
      <c r="I429" s="328"/>
      <c r="K429" s="341">
        <v>448.0</v>
      </c>
      <c r="L429" s="330">
        <v>10.0</v>
      </c>
      <c r="M429" s="331" t="s">
        <v>12561</v>
      </c>
      <c r="N429" s="331" t="s">
        <v>11705</v>
      </c>
      <c r="O429" s="331" t="s">
        <v>8577</v>
      </c>
      <c r="P429" s="332" t="s">
        <v>14002</v>
      </c>
      <c r="Q429" s="335" t="s">
        <v>17087</v>
      </c>
      <c r="R429" s="336"/>
      <c r="S429" s="337"/>
      <c r="T429" s="303"/>
      <c r="U429" s="303"/>
      <c r="V429" s="303"/>
    </row>
    <row r="430" ht="20.25" customHeight="1">
      <c r="E430" s="355"/>
      <c r="F430" s="355"/>
      <c r="I430" s="328"/>
      <c r="K430" s="341">
        <v>448.0</v>
      </c>
      <c r="L430" s="330">
        <v>10.0</v>
      </c>
      <c r="M430" s="331" t="s">
        <v>14310</v>
      </c>
      <c r="N430" s="331" t="s">
        <v>14311</v>
      </c>
      <c r="O430" s="331" t="s">
        <v>8544</v>
      </c>
      <c r="P430" s="332" t="s">
        <v>17088</v>
      </c>
      <c r="Q430" s="332" t="s">
        <v>17089</v>
      </c>
      <c r="R430" s="374" t="s">
        <v>8546</v>
      </c>
      <c r="S430" s="375" t="s">
        <v>6939</v>
      </c>
      <c r="T430" s="303"/>
      <c r="U430" s="303"/>
      <c r="V430" s="303"/>
    </row>
    <row r="431" ht="20.25" customHeight="1">
      <c r="E431" s="355"/>
      <c r="F431" s="355"/>
      <c r="I431" s="328"/>
      <c r="K431" s="341">
        <v>448.0</v>
      </c>
      <c r="L431" s="330">
        <v>10.0</v>
      </c>
      <c r="M431" s="331" t="s">
        <v>14003</v>
      </c>
      <c r="N431" s="331" t="s">
        <v>14004</v>
      </c>
      <c r="O431" s="331" t="s">
        <v>8551</v>
      </c>
      <c r="P431" s="331" t="s">
        <v>17090</v>
      </c>
      <c r="Q431" s="338" t="s">
        <v>17091</v>
      </c>
      <c r="R431" s="331" t="s">
        <v>8553</v>
      </c>
      <c r="S431" s="334" t="s">
        <v>7157</v>
      </c>
      <c r="T431" s="303"/>
      <c r="U431" s="303"/>
      <c r="V431" s="303"/>
    </row>
    <row r="432" ht="20.25" customHeight="1">
      <c r="E432" s="355"/>
      <c r="F432" s="355"/>
      <c r="I432" s="328"/>
      <c r="K432" s="341">
        <v>448.0</v>
      </c>
      <c r="L432" s="330">
        <v>10.0</v>
      </c>
      <c r="M432" s="331" t="s">
        <v>13399</v>
      </c>
      <c r="N432" s="331" t="s">
        <v>13403</v>
      </c>
      <c r="O432" s="331" t="s">
        <v>8581</v>
      </c>
      <c r="P432" s="332" t="s">
        <v>17092</v>
      </c>
      <c r="Q432" s="338" t="s">
        <v>17093</v>
      </c>
      <c r="R432" s="331" t="s">
        <v>8583</v>
      </c>
      <c r="S432" s="334" t="s">
        <v>6928</v>
      </c>
      <c r="T432" s="303"/>
      <c r="U432" s="303"/>
      <c r="V432" s="303"/>
    </row>
    <row r="433" ht="20.25" customHeight="1">
      <c r="E433" s="355"/>
      <c r="F433" s="355"/>
      <c r="I433" s="328"/>
      <c r="K433" s="341">
        <v>448.0</v>
      </c>
      <c r="L433" s="330">
        <v>10.0</v>
      </c>
      <c r="M433" s="331" t="s">
        <v>13222</v>
      </c>
      <c r="N433" s="331" t="s">
        <v>13223</v>
      </c>
      <c r="O433" s="331" t="s">
        <v>8588</v>
      </c>
      <c r="P433" s="332" t="s">
        <v>10056</v>
      </c>
      <c r="Q433" s="335" t="s">
        <v>17094</v>
      </c>
      <c r="R433" s="331" t="s">
        <v>8591</v>
      </c>
      <c r="S433" s="334" t="s">
        <v>6928</v>
      </c>
      <c r="T433" s="303"/>
      <c r="U433" s="303"/>
      <c r="V433" s="303"/>
    </row>
    <row r="434" ht="20.25" customHeight="1">
      <c r="E434" s="355"/>
      <c r="F434" s="355"/>
      <c r="I434" s="328"/>
      <c r="K434" s="341">
        <v>448.0</v>
      </c>
      <c r="L434" s="330">
        <v>10.0</v>
      </c>
      <c r="M434" s="331" t="s">
        <v>9740</v>
      </c>
      <c r="N434" s="331" t="s">
        <v>14582</v>
      </c>
      <c r="O434" s="331" t="s">
        <v>8574</v>
      </c>
      <c r="P434" s="332" t="s">
        <v>4756</v>
      </c>
      <c r="Q434" s="338" t="s">
        <v>17095</v>
      </c>
      <c r="R434" s="336"/>
      <c r="S434" s="337"/>
      <c r="T434" s="303"/>
      <c r="U434" s="303"/>
      <c r="V434" s="303"/>
    </row>
    <row r="435" ht="20.25" customHeight="1">
      <c r="E435" s="355"/>
      <c r="F435" s="355"/>
      <c r="I435" s="328"/>
      <c r="K435" s="341">
        <v>448.0</v>
      </c>
      <c r="L435" s="330">
        <v>10.0</v>
      </c>
      <c r="M435" s="331" t="s">
        <v>11002</v>
      </c>
      <c r="N435" s="331" t="s">
        <v>14062</v>
      </c>
      <c r="O435" s="331" t="s">
        <v>8593</v>
      </c>
      <c r="P435" s="332" t="s">
        <v>12668</v>
      </c>
      <c r="Q435" s="335" t="s">
        <v>17096</v>
      </c>
      <c r="R435" s="331" t="s">
        <v>8595</v>
      </c>
      <c r="S435" s="334" t="s">
        <v>6928</v>
      </c>
      <c r="T435" s="303"/>
      <c r="U435" s="303"/>
      <c r="V435" s="303"/>
    </row>
    <row r="436" ht="20.25" customHeight="1">
      <c r="E436" s="355"/>
      <c r="F436" s="355"/>
      <c r="I436" s="328"/>
      <c r="K436" s="341">
        <v>448.0</v>
      </c>
      <c r="L436" s="330">
        <v>10.0</v>
      </c>
      <c r="M436" s="331" t="s">
        <v>13637</v>
      </c>
      <c r="N436" s="331" t="s">
        <v>13638</v>
      </c>
      <c r="O436" s="331" t="s">
        <v>8597</v>
      </c>
      <c r="P436" s="332" t="s">
        <v>13640</v>
      </c>
      <c r="Q436" s="335" t="s">
        <v>17097</v>
      </c>
      <c r="R436" s="331" t="s">
        <v>8599</v>
      </c>
      <c r="S436" s="334" t="s">
        <v>6928</v>
      </c>
      <c r="T436" s="303"/>
      <c r="U436" s="303"/>
      <c r="V436" s="303"/>
    </row>
    <row r="437" ht="20.25" customHeight="1">
      <c r="E437" s="355"/>
      <c r="F437" s="355"/>
      <c r="I437" s="328"/>
      <c r="K437" s="341">
        <v>448.0</v>
      </c>
      <c r="L437" s="330">
        <v>10.0</v>
      </c>
      <c r="M437" s="331" t="s">
        <v>13527</v>
      </c>
      <c r="N437" s="331" t="s">
        <v>9498</v>
      </c>
      <c r="O437" s="331" t="s">
        <v>8153</v>
      </c>
      <c r="P437" s="332" t="s">
        <v>1392</v>
      </c>
      <c r="Q437" s="332" t="s">
        <v>13529</v>
      </c>
      <c r="R437" s="331" t="s">
        <v>17098</v>
      </c>
      <c r="S437" s="334" t="s">
        <v>6928</v>
      </c>
      <c r="T437" s="303"/>
      <c r="U437" s="303"/>
      <c r="V437" s="303"/>
    </row>
    <row r="438" ht="20.25" customHeight="1">
      <c r="E438" s="355"/>
      <c r="F438" s="355"/>
      <c r="I438" s="328"/>
      <c r="K438" s="341">
        <v>448.0</v>
      </c>
      <c r="L438" s="330">
        <v>10.0</v>
      </c>
      <c r="M438" s="331" t="s">
        <v>14643</v>
      </c>
      <c r="N438" s="331" t="s">
        <v>14644</v>
      </c>
      <c r="O438" s="331" t="s">
        <v>8158</v>
      </c>
      <c r="P438" s="381" t="s">
        <v>4756</v>
      </c>
      <c r="Q438" s="381" t="s">
        <v>14645</v>
      </c>
      <c r="R438" s="331" t="s">
        <v>8160</v>
      </c>
      <c r="S438" s="334" t="s">
        <v>6928</v>
      </c>
      <c r="T438" s="303"/>
      <c r="U438" s="303"/>
      <c r="V438" s="303"/>
    </row>
    <row r="439" ht="20.25" customHeight="1">
      <c r="E439" s="355"/>
      <c r="F439" s="355"/>
      <c r="I439" s="328"/>
      <c r="K439" s="382">
        <v>448.0</v>
      </c>
      <c r="L439" s="343">
        <v>10.0</v>
      </c>
      <c r="M439" s="344" t="s">
        <v>14501</v>
      </c>
      <c r="N439" s="344" t="s">
        <v>14502</v>
      </c>
      <c r="O439" s="344" t="s">
        <v>8162</v>
      </c>
      <c r="P439" s="396" t="s">
        <v>13352</v>
      </c>
      <c r="Q439" s="379" t="s">
        <v>17099</v>
      </c>
      <c r="R439" s="344" t="s">
        <v>8164</v>
      </c>
      <c r="S439" s="346" t="s">
        <v>6928</v>
      </c>
      <c r="T439" s="303"/>
      <c r="U439" s="303"/>
      <c r="V439" s="303"/>
    </row>
    <row r="440" ht="20.25" customHeight="1">
      <c r="E440" s="355"/>
      <c r="F440" s="355"/>
      <c r="I440" s="316" t="s">
        <v>8609</v>
      </c>
      <c r="K440" s="361">
        <v>448.0</v>
      </c>
      <c r="L440" s="324">
        <v>11.0</v>
      </c>
      <c r="M440" s="325" t="s">
        <v>13434</v>
      </c>
      <c r="N440" s="325" t="s">
        <v>13435</v>
      </c>
      <c r="O440" s="325" t="s">
        <v>8615</v>
      </c>
      <c r="P440" s="362" t="s">
        <v>13437</v>
      </c>
      <c r="Q440" s="362" t="s">
        <v>13436</v>
      </c>
      <c r="R440" s="325" t="s">
        <v>8617</v>
      </c>
      <c r="S440" s="327" t="s">
        <v>16552</v>
      </c>
      <c r="T440" s="303"/>
      <c r="U440" s="303"/>
      <c r="V440" s="303"/>
    </row>
    <row r="441" ht="20.25" customHeight="1">
      <c r="E441" s="355"/>
      <c r="F441" s="355"/>
      <c r="I441" s="328"/>
      <c r="K441" s="329">
        <v>448.0</v>
      </c>
      <c r="L441" s="330">
        <v>11.0</v>
      </c>
      <c r="M441" s="331" t="s">
        <v>10121</v>
      </c>
      <c r="N441" s="331" t="s">
        <v>12986</v>
      </c>
      <c r="O441" s="331" t="s">
        <v>8618</v>
      </c>
      <c r="P441" s="381" t="s">
        <v>12989</v>
      </c>
      <c r="Q441" s="381" t="s">
        <v>12988</v>
      </c>
      <c r="R441" s="331" t="s">
        <v>17100</v>
      </c>
      <c r="S441" s="334" t="s">
        <v>16552</v>
      </c>
      <c r="T441" s="303"/>
      <c r="U441" s="303"/>
      <c r="V441" s="303"/>
    </row>
    <row r="442" ht="20.25" customHeight="1">
      <c r="E442" s="355"/>
      <c r="F442" s="355"/>
      <c r="I442" s="328"/>
      <c r="K442" s="341">
        <v>448.0</v>
      </c>
      <c r="L442" s="330">
        <v>11.0</v>
      </c>
      <c r="M442" s="331" t="s">
        <v>13653</v>
      </c>
      <c r="N442" s="331" t="s">
        <v>13654</v>
      </c>
      <c r="O442" s="331" t="s">
        <v>8621</v>
      </c>
      <c r="P442" s="381" t="s">
        <v>13657</v>
      </c>
      <c r="Q442" s="381" t="s">
        <v>13656</v>
      </c>
      <c r="R442" s="331" t="s">
        <v>17101</v>
      </c>
      <c r="S442" s="334" t="s">
        <v>6928</v>
      </c>
      <c r="T442" s="303"/>
      <c r="U442" s="303"/>
      <c r="V442" s="303"/>
    </row>
    <row r="443" ht="20.25" customHeight="1">
      <c r="E443" s="355"/>
      <c r="F443" s="355"/>
      <c r="I443" s="328"/>
      <c r="K443" s="341">
        <v>448.0</v>
      </c>
      <c r="L443" s="330">
        <v>11.0</v>
      </c>
      <c r="M443" s="331" t="s">
        <v>14566</v>
      </c>
      <c r="N443" s="331" t="s">
        <v>14567</v>
      </c>
      <c r="O443" s="331" t="s">
        <v>8625</v>
      </c>
      <c r="P443" s="381" t="s">
        <v>4818</v>
      </c>
      <c r="Q443" s="381" t="s">
        <v>14569</v>
      </c>
      <c r="R443" s="331" t="s">
        <v>8627</v>
      </c>
      <c r="S443" s="334" t="s">
        <v>6928</v>
      </c>
      <c r="T443" s="303"/>
      <c r="U443" s="303"/>
      <c r="V443" s="303"/>
    </row>
    <row r="444" ht="20.25" customHeight="1">
      <c r="E444" s="355"/>
      <c r="F444" s="355"/>
      <c r="I444" s="328"/>
      <c r="K444" s="341">
        <v>448.0</v>
      </c>
      <c r="L444" s="330">
        <v>11.0</v>
      </c>
      <c r="M444" s="331" t="s">
        <v>14489</v>
      </c>
      <c r="N444" s="331" t="s">
        <v>14490</v>
      </c>
      <c r="O444" s="331" t="s">
        <v>8628</v>
      </c>
      <c r="P444" s="381" t="s">
        <v>16728</v>
      </c>
      <c r="Q444" s="381" t="s">
        <v>14491</v>
      </c>
      <c r="R444" s="336"/>
      <c r="S444" s="337"/>
      <c r="T444" s="303"/>
      <c r="U444" s="303"/>
      <c r="V444" s="303"/>
    </row>
    <row r="445" ht="20.25" customHeight="1">
      <c r="E445" s="355"/>
      <c r="F445" s="355"/>
      <c r="I445" s="328"/>
      <c r="K445" s="329">
        <v>448.0</v>
      </c>
      <c r="L445" s="330">
        <v>11.0</v>
      </c>
      <c r="M445" s="331" t="s">
        <v>14593</v>
      </c>
      <c r="N445" s="331" t="s">
        <v>14594</v>
      </c>
      <c r="O445" s="331" t="s">
        <v>5053</v>
      </c>
      <c r="P445" s="331" t="s">
        <v>4737</v>
      </c>
      <c r="Q445" s="354" t="s">
        <v>17102</v>
      </c>
      <c r="R445" s="331" t="s">
        <v>17103</v>
      </c>
      <c r="S445" s="334" t="s">
        <v>7357</v>
      </c>
      <c r="T445" s="303"/>
      <c r="U445" s="303"/>
      <c r="V445" s="303"/>
    </row>
    <row r="446" ht="20.25" customHeight="1">
      <c r="E446" s="355"/>
      <c r="F446" s="355"/>
      <c r="I446" s="328"/>
      <c r="K446" s="382">
        <v>448.0</v>
      </c>
      <c r="L446" s="343">
        <v>11.0</v>
      </c>
      <c r="M446" s="344" t="s">
        <v>16436</v>
      </c>
      <c r="N446" s="344" t="s">
        <v>16437</v>
      </c>
      <c r="O446" s="344" t="s">
        <v>8648</v>
      </c>
      <c r="P446" s="386" t="s">
        <v>4756</v>
      </c>
      <c r="Q446" s="386" t="s">
        <v>16438</v>
      </c>
      <c r="R446" s="344" t="s">
        <v>8650</v>
      </c>
      <c r="S446" s="346" t="s">
        <v>6928</v>
      </c>
      <c r="T446" s="303"/>
      <c r="U446" s="303"/>
      <c r="V446" s="303"/>
    </row>
    <row r="447" ht="20.25" customHeight="1">
      <c r="E447" s="355"/>
      <c r="F447" s="355"/>
      <c r="I447" s="316" t="s">
        <v>17104</v>
      </c>
      <c r="K447" s="341">
        <v>448.0</v>
      </c>
      <c r="L447" s="330">
        <v>11.0</v>
      </c>
      <c r="M447" s="331" t="s">
        <v>15755</v>
      </c>
      <c r="N447" s="331" t="s">
        <v>15756</v>
      </c>
      <c r="O447" s="331" t="s">
        <v>8632</v>
      </c>
      <c r="P447" s="381" t="s">
        <v>16834</v>
      </c>
      <c r="Q447" s="332" t="s">
        <v>15757</v>
      </c>
      <c r="R447" s="331" t="s">
        <v>8634</v>
      </c>
      <c r="S447" s="334" t="s">
        <v>6928</v>
      </c>
      <c r="T447" s="303"/>
      <c r="U447" s="303"/>
      <c r="V447" s="303"/>
    </row>
    <row r="448" ht="20.25" customHeight="1">
      <c r="E448" s="355"/>
      <c r="F448" s="355"/>
      <c r="I448" s="328"/>
      <c r="K448" s="341">
        <v>448.0</v>
      </c>
      <c r="L448" s="330">
        <v>11.0</v>
      </c>
      <c r="M448" s="331" t="s">
        <v>13215</v>
      </c>
      <c r="N448" s="331" t="s">
        <v>13216</v>
      </c>
      <c r="O448" s="331" t="s">
        <v>8636</v>
      </c>
      <c r="P448" s="332" t="s">
        <v>9767</v>
      </c>
      <c r="Q448" s="331" t="s">
        <v>13217</v>
      </c>
      <c r="R448" s="331" t="s">
        <v>17105</v>
      </c>
      <c r="S448" s="334" t="s">
        <v>6928</v>
      </c>
      <c r="T448" s="303"/>
      <c r="U448" s="303"/>
      <c r="V448" s="303"/>
    </row>
    <row r="449" ht="20.25" customHeight="1">
      <c r="E449" s="355"/>
      <c r="F449" s="355"/>
      <c r="I449" s="328"/>
      <c r="K449" s="329">
        <v>448.0</v>
      </c>
      <c r="L449" s="330">
        <v>11.0</v>
      </c>
      <c r="M449" s="331" t="s">
        <v>13583</v>
      </c>
      <c r="N449" s="331" t="s">
        <v>13584</v>
      </c>
      <c r="O449" s="331" t="s">
        <v>8643</v>
      </c>
      <c r="P449" s="331" t="s">
        <v>2300</v>
      </c>
      <c r="Q449" s="338" t="s">
        <v>17106</v>
      </c>
      <c r="R449" s="331" t="s">
        <v>17107</v>
      </c>
      <c r="S449" s="334" t="s">
        <v>7048</v>
      </c>
      <c r="T449" s="303"/>
      <c r="U449" s="303"/>
      <c r="V449" s="303"/>
    </row>
    <row r="450" ht="20.25" customHeight="1">
      <c r="E450" s="355"/>
      <c r="F450" s="355"/>
      <c r="I450" s="328"/>
      <c r="K450" s="382">
        <v>448.0</v>
      </c>
      <c r="L450" s="343">
        <v>11.0</v>
      </c>
      <c r="M450" s="344" t="s">
        <v>9830</v>
      </c>
      <c r="N450" s="344" t="s">
        <v>9831</v>
      </c>
      <c r="O450" s="344" t="s">
        <v>4418</v>
      </c>
      <c r="P450" s="391" t="s">
        <v>2300</v>
      </c>
      <c r="Q450" s="391" t="s">
        <v>17108</v>
      </c>
      <c r="R450" s="383"/>
      <c r="S450" s="384"/>
      <c r="T450" s="303"/>
      <c r="U450" s="303"/>
      <c r="V450" s="303"/>
    </row>
    <row r="451" ht="20.25" customHeight="1">
      <c r="E451" s="355"/>
      <c r="F451" s="355"/>
      <c r="I451" s="316" t="s">
        <v>17109</v>
      </c>
      <c r="K451" s="341">
        <v>448.0</v>
      </c>
      <c r="L451" s="330">
        <v>11.0</v>
      </c>
      <c r="M451" s="331" t="s">
        <v>9564</v>
      </c>
      <c r="N451" s="331" t="s">
        <v>9498</v>
      </c>
      <c r="O451" s="331" t="s">
        <v>16173</v>
      </c>
      <c r="P451" s="397"/>
      <c r="Q451" s="338" t="s">
        <v>17110</v>
      </c>
      <c r="R451" s="331" t="s">
        <v>17111</v>
      </c>
      <c r="S451" s="334" t="s">
        <v>6928</v>
      </c>
      <c r="T451" s="303"/>
      <c r="U451" s="303"/>
      <c r="V451" s="303"/>
    </row>
    <row r="452" ht="20.25" customHeight="1">
      <c r="E452" s="355"/>
      <c r="F452" s="355"/>
      <c r="I452" s="328"/>
      <c r="K452" s="382">
        <v>448.0</v>
      </c>
      <c r="L452" s="343">
        <v>11.0</v>
      </c>
      <c r="M452" s="344" t="s">
        <v>15019</v>
      </c>
      <c r="N452" s="344" t="s">
        <v>16321</v>
      </c>
      <c r="O452" s="344" t="s">
        <v>16320</v>
      </c>
      <c r="P452" s="396" t="s">
        <v>17112</v>
      </c>
      <c r="Q452" s="379" t="s">
        <v>17113</v>
      </c>
      <c r="R452" s="344" t="s">
        <v>8614</v>
      </c>
      <c r="S452" s="346" t="s">
        <v>6928</v>
      </c>
      <c r="T452" s="303"/>
      <c r="U452" s="303"/>
      <c r="V452" s="303"/>
    </row>
    <row r="453" ht="20.25" customHeight="1">
      <c r="E453" s="355"/>
      <c r="F453" s="355"/>
      <c r="I453" s="316" t="s">
        <v>17114</v>
      </c>
      <c r="K453" s="341">
        <v>448.0</v>
      </c>
      <c r="L453" s="330">
        <v>12.0</v>
      </c>
      <c r="M453" s="331" t="s">
        <v>13744</v>
      </c>
      <c r="N453" s="331" t="s">
        <v>13745</v>
      </c>
      <c r="O453" s="331" t="s">
        <v>8658</v>
      </c>
      <c r="P453" s="340" t="s">
        <v>13620</v>
      </c>
      <c r="Q453" s="354" t="s">
        <v>17115</v>
      </c>
      <c r="R453" s="336"/>
      <c r="S453" s="337"/>
      <c r="T453" s="303"/>
      <c r="U453" s="303"/>
      <c r="V453" s="303"/>
    </row>
    <row r="454" ht="20.25" customHeight="1">
      <c r="E454" s="355"/>
      <c r="F454" s="355"/>
      <c r="I454" s="328"/>
      <c r="K454" s="329">
        <v>448.0</v>
      </c>
      <c r="L454" s="330">
        <v>12.0</v>
      </c>
      <c r="M454" s="331" t="s">
        <v>13616</v>
      </c>
      <c r="N454" s="331" t="s">
        <v>13617</v>
      </c>
      <c r="O454" s="331" t="s">
        <v>8653</v>
      </c>
      <c r="P454" s="332" t="s">
        <v>13620</v>
      </c>
      <c r="Q454" s="332" t="s">
        <v>17116</v>
      </c>
      <c r="R454" s="331" t="s">
        <v>8660</v>
      </c>
      <c r="S454" s="334" t="s">
        <v>8661</v>
      </c>
      <c r="T454" s="303"/>
      <c r="U454" s="303"/>
      <c r="V454" s="303"/>
    </row>
    <row r="455" ht="20.25" customHeight="1">
      <c r="E455" s="355"/>
      <c r="F455" s="355"/>
      <c r="I455" s="328"/>
      <c r="K455" s="398">
        <v>448.0</v>
      </c>
      <c r="L455" s="399">
        <v>12.0</v>
      </c>
      <c r="M455" s="400" t="s">
        <v>14683</v>
      </c>
      <c r="N455" s="400" t="s">
        <v>14684</v>
      </c>
      <c r="O455" s="400" t="s">
        <v>8662</v>
      </c>
      <c r="P455" s="401" t="s">
        <v>13620</v>
      </c>
      <c r="Q455" s="402" t="s">
        <v>17117</v>
      </c>
      <c r="R455" s="403"/>
      <c r="S455" s="404"/>
      <c r="T455" s="303"/>
      <c r="U455" s="303"/>
      <c r="V455" s="303"/>
    </row>
    <row r="456" ht="20.25" customHeight="1">
      <c r="E456" s="355"/>
      <c r="F456" s="355"/>
      <c r="I456" s="316" t="s">
        <v>17118</v>
      </c>
      <c r="K456" s="405">
        <v>524.0</v>
      </c>
      <c r="L456" s="406">
        <v>1.0</v>
      </c>
      <c r="M456" s="407" t="s">
        <v>13976</v>
      </c>
      <c r="N456" s="407" t="s">
        <v>13977</v>
      </c>
      <c r="O456" s="407" t="s">
        <v>9003</v>
      </c>
      <c r="P456" s="408" t="s">
        <v>4805</v>
      </c>
      <c r="Q456" s="409" t="s">
        <v>17119</v>
      </c>
      <c r="R456" s="407" t="s">
        <v>9006</v>
      </c>
      <c r="S456" s="410" t="s">
        <v>6928</v>
      </c>
      <c r="T456" s="303"/>
      <c r="U456" s="303"/>
      <c r="V456" s="303"/>
    </row>
    <row r="457" ht="20.25" customHeight="1">
      <c r="E457" s="355"/>
      <c r="F457" s="355"/>
      <c r="I457" s="328"/>
      <c r="K457" s="341">
        <v>524.0</v>
      </c>
      <c r="L457" s="330">
        <v>1.0</v>
      </c>
      <c r="M457" s="331" t="s">
        <v>15044</v>
      </c>
      <c r="N457" s="331" t="s">
        <v>15045</v>
      </c>
      <c r="O457" s="331" t="s">
        <v>9008</v>
      </c>
      <c r="P457" s="331" t="s">
        <v>4749</v>
      </c>
      <c r="Q457" s="353" t="s">
        <v>15046</v>
      </c>
      <c r="R457" s="331" t="s">
        <v>17120</v>
      </c>
      <c r="S457" s="334" t="s">
        <v>7112</v>
      </c>
      <c r="T457" s="303"/>
      <c r="U457" s="303"/>
      <c r="V457" s="303"/>
    </row>
    <row r="458" ht="20.25" customHeight="1">
      <c r="E458" s="355"/>
      <c r="F458" s="355"/>
      <c r="I458" s="328"/>
      <c r="K458" s="329">
        <v>524.0</v>
      </c>
      <c r="L458" s="330">
        <v>1.0</v>
      </c>
      <c r="M458" s="331" t="s">
        <v>11650</v>
      </c>
      <c r="N458" s="331" t="s">
        <v>15141</v>
      </c>
      <c r="O458" s="331" t="s">
        <v>7249</v>
      </c>
      <c r="P458" s="381" t="s">
        <v>4749</v>
      </c>
      <c r="Q458" s="335" t="s">
        <v>17121</v>
      </c>
      <c r="R458" s="331" t="s">
        <v>7251</v>
      </c>
      <c r="S458" s="334" t="s">
        <v>7252</v>
      </c>
      <c r="T458" s="303"/>
      <c r="U458" s="303"/>
      <c r="V458" s="303"/>
    </row>
    <row r="459" ht="20.25" customHeight="1">
      <c r="E459" s="355"/>
      <c r="F459" s="355"/>
      <c r="I459" s="328"/>
      <c r="K459" s="341">
        <v>524.0</v>
      </c>
      <c r="L459" s="330">
        <v>1.0</v>
      </c>
      <c r="M459" s="331" t="s">
        <v>15041</v>
      </c>
      <c r="N459" s="331" t="s">
        <v>15042</v>
      </c>
      <c r="O459" s="331" t="s">
        <v>9033</v>
      </c>
      <c r="P459" s="331" t="s">
        <v>4756</v>
      </c>
      <c r="Q459" s="338" t="s">
        <v>17122</v>
      </c>
      <c r="R459" s="331" t="s">
        <v>9035</v>
      </c>
      <c r="S459" s="334" t="s">
        <v>6928</v>
      </c>
      <c r="T459" s="303"/>
      <c r="U459" s="303"/>
      <c r="V459" s="303"/>
    </row>
    <row r="460" ht="20.25" customHeight="1">
      <c r="E460" s="355"/>
      <c r="F460" s="355"/>
      <c r="I460" s="328"/>
      <c r="K460" s="341">
        <v>524.0</v>
      </c>
      <c r="L460" s="330">
        <v>1.0</v>
      </c>
      <c r="M460" s="331" t="s">
        <v>9378</v>
      </c>
      <c r="N460" s="331" t="s">
        <v>9379</v>
      </c>
      <c r="O460" s="411" t="s">
        <v>9053</v>
      </c>
      <c r="P460" s="331" t="s">
        <v>17123</v>
      </c>
      <c r="Q460" s="353" t="s">
        <v>9381</v>
      </c>
      <c r="R460" s="336"/>
      <c r="S460" s="337"/>
      <c r="T460" s="303"/>
      <c r="U460" s="303"/>
      <c r="V460" s="303"/>
    </row>
    <row r="461" ht="20.25" customHeight="1">
      <c r="E461" s="355"/>
      <c r="F461" s="355"/>
      <c r="I461" s="328"/>
      <c r="K461" s="341">
        <v>524.0</v>
      </c>
      <c r="L461" s="330">
        <v>1.0</v>
      </c>
      <c r="M461" s="331" t="s">
        <v>13008</v>
      </c>
      <c r="N461" s="331" t="s">
        <v>13009</v>
      </c>
      <c r="O461" s="331" t="s">
        <v>9045</v>
      </c>
      <c r="P461" s="331" t="s">
        <v>11222</v>
      </c>
      <c r="Q461" s="353" t="s">
        <v>13010</v>
      </c>
      <c r="R461" s="331" t="s">
        <v>9047</v>
      </c>
      <c r="S461" s="334" t="s">
        <v>6928</v>
      </c>
      <c r="T461" s="303"/>
      <c r="U461" s="303"/>
      <c r="V461" s="303"/>
    </row>
    <row r="462" ht="20.25" customHeight="1">
      <c r="E462" s="355"/>
      <c r="F462" s="355"/>
      <c r="I462" s="328"/>
      <c r="K462" s="341">
        <v>524.0</v>
      </c>
      <c r="L462" s="330">
        <v>1.0</v>
      </c>
      <c r="M462" s="331" t="s">
        <v>10481</v>
      </c>
      <c r="N462" s="331" t="s">
        <v>13508</v>
      </c>
      <c r="O462" s="331" t="s">
        <v>9017</v>
      </c>
      <c r="P462" s="331" t="s">
        <v>13510</v>
      </c>
      <c r="Q462" s="338" t="s">
        <v>17124</v>
      </c>
      <c r="R462" s="331" t="s">
        <v>17125</v>
      </c>
      <c r="S462" s="334" t="s">
        <v>6928</v>
      </c>
      <c r="T462" s="303"/>
      <c r="U462" s="303"/>
      <c r="V462" s="303"/>
    </row>
    <row r="463" ht="20.25" customHeight="1">
      <c r="E463" s="355"/>
      <c r="F463" s="355"/>
      <c r="I463" s="328"/>
      <c r="K463" s="341">
        <v>524.0</v>
      </c>
      <c r="L463" s="330">
        <v>1.0</v>
      </c>
      <c r="M463" s="331" t="s">
        <v>14764</v>
      </c>
      <c r="N463" s="331" t="s">
        <v>14765</v>
      </c>
      <c r="O463" s="331" t="s">
        <v>9037</v>
      </c>
      <c r="P463" s="331" t="s">
        <v>14763</v>
      </c>
      <c r="Q463" s="338" t="s">
        <v>17126</v>
      </c>
      <c r="R463" s="331" t="s">
        <v>9039</v>
      </c>
      <c r="S463" s="334" t="s">
        <v>6928</v>
      </c>
      <c r="T463" s="303"/>
      <c r="U463" s="303"/>
      <c r="V463" s="303"/>
    </row>
    <row r="464" ht="20.25" customHeight="1">
      <c r="E464" s="355"/>
      <c r="F464" s="355"/>
      <c r="I464" s="328"/>
      <c r="K464" s="382">
        <v>524.0</v>
      </c>
      <c r="L464" s="343">
        <v>1.0</v>
      </c>
      <c r="M464" s="344" t="s">
        <v>15334</v>
      </c>
      <c r="N464" s="344" t="s">
        <v>15335</v>
      </c>
      <c r="O464" s="344" t="s">
        <v>252</v>
      </c>
      <c r="P464" s="344" t="s">
        <v>15336</v>
      </c>
      <c r="Q464" s="379" t="s">
        <v>17127</v>
      </c>
      <c r="R464" s="344" t="s">
        <v>9050</v>
      </c>
      <c r="S464" s="346" t="s">
        <v>7157</v>
      </c>
      <c r="T464" s="303"/>
      <c r="U464" s="303"/>
      <c r="V464" s="303"/>
    </row>
    <row r="465" ht="20.25" customHeight="1">
      <c r="E465" s="355"/>
      <c r="F465" s="355"/>
      <c r="I465" s="316" t="s">
        <v>17128</v>
      </c>
      <c r="K465" s="329">
        <v>524.0</v>
      </c>
      <c r="L465" s="330">
        <v>1.0</v>
      </c>
      <c r="M465" s="331" t="s">
        <v>15406</v>
      </c>
      <c r="N465" s="331" t="s">
        <v>15407</v>
      </c>
      <c r="O465" s="331" t="s">
        <v>9012</v>
      </c>
      <c r="P465" s="331" t="s">
        <v>15409</v>
      </c>
      <c r="Q465" s="338" t="s">
        <v>17129</v>
      </c>
      <c r="R465" s="331" t="s">
        <v>9019</v>
      </c>
      <c r="S465" s="334" t="s">
        <v>9020</v>
      </c>
      <c r="T465" s="303"/>
      <c r="U465" s="303"/>
      <c r="V465" s="303"/>
    </row>
    <row r="466" ht="20.25" customHeight="1">
      <c r="E466" s="355"/>
      <c r="F466" s="355"/>
      <c r="I466" s="328"/>
      <c r="K466" s="341">
        <v>524.0</v>
      </c>
      <c r="L466" s="330">
        <v>1.0</v>
      </c>
      <c r="M466" s="331" t="s">
        <v>15378</v>
      </c>
      <c r="N466" s="331" t="s">
        <v>15379</v>
      </c>
      <c r="O466" s="331" t="s">
        <v>9022</v>
      </c>
      <c r="P466" s="331" t="s">
        <v>15375</v>
      </c>
      <c r="Q466" s="338" t="s">
        <v>17130</v>
      </c>
      <c r="R466" s="331" t="s">
        <v>17131</v>
      </c>
      <c r="S466" s="334" t="s">
        <v>7157</v>
      </c>
      <c r="T466" s="303"/>
      <c r="U466" s="303"/>
      <c r="V466" s="303"/>
    </row>
    <row r="467" ht="20.25" customHeight="1">
      <c r="E467" s="355"/>
      <c r="F467" s="355"/>
      <c r="I467" s="328"/>
      <c r="K467" s="329">
        <v>524.0</v>
      </c>
      <c r="L467" s="330">
        <v>1.0</v>
      </c>
      <c r="M467" s="331" t="s">
        <v>15373</v>
      </c>
      <c r="N467" s="331" t="s">
        <v>15374</v>
      </c>
      <c r="O467" s="331" t="s">
        <v>658</v>
      </c>
      <c r="P467" s="331" t="s">
        <v>15375</v>
      </c>
      <c r="Q467" s="338" t="s">
        <v>17132</v>
      </c>
      <c r="R467" s="331" t="s">
        <v>9027</v>
      </c>
      <c r="S467" s="334" t="s">
        <v>6937</v>
      </c>
      <c r="T467" s="303"/>
      <c r="U467" s="303"/>
      <c r="V467" s="303"/>
    </row>
    <row r="468" ht="20.25" customHeight="1">
      <c r="E468" s="355"/>
      <c r="F468" s="355"/>
      <c r="I468" s="328"/>
      <c r="K468" s="382">
        <v>524.0</v>
      </c>
      <c r="L468" s="343">
        <v>1.0</v>
      </c>
      <c r="M468" s="344" t="s">
        <v>13542</v>
      </c>
      <c r="N468" s="344" t="s">
        <v>13543</v>
      </c>
      <c r="O468" s="344" t="s">
        <v>9029</v>
      </c>
      <c r="P468" s="344" t="s">
        <v>17133</v>
      </c>
      <c r="Q468" s="379" t="s">
        <v>17134</v>
      </c>
      <c r="R468" s="344" t="s">
        <v>9031</v>
      </c>
      <c r="S468" s="346" t="s">
        <v>7157</v>
      </c>
      <c r="T468" s="303"/>
      <c r="U468" s="303"/>
      <c r="V468" s="303"/>
    </row>
    <row r="469" ht="20.25" customHeight="1">
      <c r="E469" s="355"/>
      <c r="F469" s="355"/>
      <c r="I469" s="316" t="s">
        <v>2508</v>
      </c>
      <c r="K469" s="341">
        <v>524.0</v>
      </c>
      <c r="L469" s="330">
        <v>2.0</v>
      </c>
      <c r="M469" s="331" t="s">
        <v>15892</v>
      </c>
      <c r="N469" s="331" t="s">
        <v>17135</v>
      </c>
      <c r="O469" s="385"/>
      <c r="P469" s="357" t="s">
        <v>17136</v>
      </c>
      <c r="Q469" s="412"/>
      <c r="R469" s="331" t="s">
        <v>17137</v>
      </c>
      <c r="S469" s="334" t="s">
        <v>6928</v>
      </c>
      <c r="T469" s="303"/>
      <c r="U469" s="303"/>
      <c r="V469" s="303"/>
    </row>
    <row r="470" ht="20.25" customHeight="1">
      <c r="E470" s="355"/>
      <c r="F470" s="355"/>
      <c r="I470" s="328"/>
      <c r="K470" s="341">
        <v>524.0</v>
      </c>
      <c r="L470" s="330">
        <v>2.0</v>
      </c>
      <c r="M470" s="331" t="s">
        <v>13839</v>
      </c>
      <c r="N470" s="331" t="s">
        <v>13840</v>
      </c>
      <c r="O470" s="331" t="s">
        <v>9056</v>
      </c>
      <c r="P470" s="413" t="s">
        <v>4818</v>
      </c>
      <c r="Q470" s="338" t="s">
        <v>17138</v>
      </c>
      <c r="R470" s="331" t="s">
        <v>9058</v>
      </c>
      <c r="S470" s="334" t="s">
        <v>7019</v>
      </c>
      <c r="T470" s="303"/>
      <c r="U470" s="303"/>
      <c r="V470" s="303"/>
    </row>
    <row r="471" ht="20.25" customHeight="1">
      <c r="E471" s="355"/>
      <c r="F471" s="355"/>
      <c r="I471" s="328"/>
      <c r="K471" s="341">
        <v>524.0</v>
      </c>
      <c r="L471" s="330">
        <v>2.0</v>
      </c>
      <c r="M471" s="331" t="s">
        <v>13721</v>
      </c>
      <c r="N471" s="331" t="s">
        <v>13724</v>
      </c>
      <c r="O471" s="331" t="s">
        <v>9069</v>
      </c>
      <c r="P471" s="332" t="s">
        <v>13726</v>
      </c>
      <c r="Q471" s="335" t="s">
        <v>17139</v>
      </c>
      <c r="R471" s="331" t="s">
        <v>9071</v>
      </c>
      <c r="S471" s="334" t="s">
        <v>7093</v>
      </c>
      <c r="T471" s="303"/>
      <c r="U471" s="303"/>
      <c r="V471" s="303"/>
    </row>
    <row r="472" ht="20.25" customHeight="1">
      <c r="E472" s="355"/>
      <c r="F472" s="355"/>
      <c r="I472" s="328"/>
      <c r="K472" s="341">
        <v>524.0</v>
      </c>
      <c r="L472" s="330">
        <v>2.0</v>
      </c>
      <c r="M472" s="331" t="s">
        <v>14390</v>
      </c>
      <c r="N472" s="331" t="s">
        <v>14391</v>
      </c>
      <c r="O472" s="331" t="s">
        <v>9076</v>
      </c>
      <c r="P472" s="331" t="s">
        <v>13726</v>
      </c>
      <c r="Q472" s="338" t="s">
        <v>17140</v>
      </c>
      <c r="R472" s="374" t="s">
        <v>9079</v>
      </c>
      <c r="S472" s="375" t="s">
        <v>7031</v>
      </c>
      <c r="T472" s="303"/>
      <c r="U472" s="303"/>
      <c r="V472" s="303"/>
    </row>
    <row r="473" ht="20.25" customHeight="1">
      <c r="E473" s="355"/>
      <c r="F473" s="355"/>
      <c r="I473" s="328"/>
      <c r="K473" s="329">
        <v>524.0</v>
      </c>
      <c r="L473" s="330">
        <v>2.0</v>
      </c>
      <c r="M473" s="331" t="s">
        <v>13834</v>
      </c>
      <c r="N473" s="331" t="s">
        <v>13835</v>
      </c>
      <c r="O473" s="331" t="s">
        <v>13833</v>
      </c>
      <c r="P473" s="331" t="s">
        <v>13837</v>
      </c>
      <c r="Q473" s="338" t="s">
        <v>17141</v>
      </c>
      <c r="R473" s="331" t="s">
        <v>17142</v>
      </c>
      <c r="S473" s="334" t="s">
        <v>7048</v>
      </c>
      <c r="T473" s="303"/>
      <c r="U473" s="303"/>
      <c r="V473" s="303"/>
    </row>
    <row r="474" ht="20.25" customHeight="1">
      <c r="E474" s="355"/>
      <c r="F474" s="355"/>
      <c r="I474" s="328"/>
      <c r="K474" s="329">
        <v>524.0</v>
      </c>
      <c r="L474" s="330">
        <v>2.0</v>
      </c>
      <c r="M474" s="331" t="s">
        <v>17143</v>
      </c>
      <c r="N474" s="331" t="s">
        <v>17144</v>
      </c>
      <c r="O474" s="331" t="s">
        <v>4240</v>
      </c>
      <c r="P474" s="353" t="s">
        <v>17145</v>
      </c>
      <c r="Q474" s="353" t="s">
        <v>4929</v>
      </c>
      <c r="R474" s="331" t="s">
        <v>9080</v>
      </c>
      <c r="S474" s="334" t="s">
        <v>7048</v>
      </c>
      <c r="T474" s="303"/>
      <c r="U474" s="303"/>
      <c r="V474" s="303"/>
    </row>
    <row r="475" ht="20.25" customHeight="1">
      <c r="E475" s="355"/>
      <c r="F475" s="355"/>
      <c r="I475" s="328"/>
      <c r="K475" s="341">
        <v>524.0</v>
      </c>
      <c r="L475" s="330">
        <v>2.0</v>
      </c>
      <c r="M475" s="331" t="s">
        <v>15762</v>
      </c>
      <c r="N475" s="331" t="s">
        <v>15763</v>
      </c>
      <c r="O475" s="331" t="s">
        <v>9059</v>
      </c>
      <c r="P475" s="357" t="s">
        <v>16848</v>
      </c>
      <c r="Q475" s="335" t="s">
        <v>17146</v>
      </c>
      <c r="R475" s="331" t="s">
        <v>9061</v>
      </c>
      <c r="S475" s="334" t="s">
        <v>6928</v>
      </c>
      <c r="T475" s="303"/>
      <c r="U475" s="303"/>
      <c r="V475" s="303"/>
    </row>
    <row r="476" ht="20.25" customHeight="1">
      <c r="E476" s="355"/>
      <c r="F476" s="355"/>
      <c r="I476" s="328"/>
      <c r="K476" s="329">
        <v>524.0</v>
      </c>
      <c r="L476" s="330">
        <v>2.0</v>
      </c>
      <c r="M476" s="331" t="s">
        <v>12955</v>
      </c>
      <c r="N476" s="331" t="s">
        <v>12956</v>
      </c>
      <c r="O476" s="331" t="s">
        <v>9073</v>
      </c>
      <c r="P476" s="357" t="s">
        <v>12717</v>
      </c>
      <c r="Q476" s="335" t="s">
        <v>17147</v>
      </c>
      <c r="R476" s="331" t="s">
        <v>9075</v>
      </c>
      <c r="S476" s="334" t="s">
        <v>7149</v>
      </c>
      <c r="T476" s="303"/>
      <c r="U476" s="303"/>
      <c r="V476" s="303"/>
    </row>
    <row r="477" ht="20.25" customHeight="1">
      <c r="E477" s="355"/>
      <c r="F477" s="355"/>
      <c r="I477" s="328"/>
      <c r="K477" s="382">
        <v>524.0</v>
      </c>
      <c r="L477" s="343">
        <v>2.0</v>
      </c>
      <c r="M477" s="344" t="s">
        <v>13239</v>
      </c>
      <c r="N477" s="344" t="s">
        <v>13240</v>
      </c>
      <c r="O477" s="344" t="s">
        <v>9063</v>
      </c>
      <c r="P477" s="386" t="s">
        <v>4756</v>
      </c>
      <c r="Q477" s="344" t="s">
        <v>13242</v>
      </c>
      <c r="R477" s="344" t="s">
        <v>9065</v>
      </c>
      <c r="S477" s="346" t="s">
        <v>7112</v>
      </c>
      <c r="T477" s="303"/>
      <c r="U477" s="303"/>
      <c r="V477" s="303"/>
    </row>
    <row r="478" ht="20.25" customHeight="1">
      <c r="E478" s="355"/>
      <c r="F478" s="355"/>
      <c r="I478" s="316" t="s">
        <v>17148</v>
      </c>
      <c r="K478" s="329">
        <v>524.0</v>
      </c>
      <c r="L478" s="330">
        <v>3.0</v>
      </c>
      <c r="M478" s="331" t="s">
        <v>12392</v>
      </c>
      <c r="N478" s="331" t="s">
        <v>12393</v>
      </c>
      <c r="O478" s="331" t="s">
        <v>9083</v>
      </c>
      <c r="P478" s="332" t="s">
        <v>9425</v>
      </c>
      <c r="Q478" s="335" t="s">
        <v>17149</v>
      </c>
      <c r="R478" s="331" t="s">
        <v>17150</v>
      </c>
      <c r="S478" s="334" t="s">
        <v>6937</v>
      </c>
      <c r="T478" s="303"/>
      <c r="U478" s="303"/>
      <c r="V478" s="303"/>
    </row>
    <row r="479" ht="20.25" customHeight="1">
      <c r="E479" s="355"/>
      <c r="F479" s="355"/>
      <c r="I479" s="328"/>
      <c r="K479" s="329">
        <v>524.0</v>
      </c>
      <c r="L479" s="330">
        <v>3.0</v>
      </c>
      <c r="M479" s="331" t="s">
        <v>12348</v>
      </c>
      <c r="N479" s="331" t="s">
        <v>12349</v>
      </c>
      <c r="O479" s="331" t="s">
        <v>9167</v>
      </c>
      <c r="P479" s="331" t="s">
        <v>4818</v>
      </c>
      <c r="Q479" s="338" t="s">
        <v>17151</v>
      </c>
      <c r="R479" s="331" t="s">
        <v>9170</v>
      </c>
      <c r="S479" s="334" t="s">
        <v>6993</v>
      </c>
      <c r="T479" s="303"/>
      <c r="U479" s="303"/>
      <c r="V479" s="303"/>
    </row>
    <row r="480" ht="20.25" customHeight="1">
      <c r="E480" s="355"/>
      <c r="F480" s="355"/>
      <c r="I480" s="328"/>
      <c r="K480" s="329">
        <v>524.0</v>
      </c>
      <c r="L480" s="330">
        <v>3.0</v>
      </c>
      <c r="M480" s="331" t="s">
        <v>17152</v>
      </c>
      <c r="N480" s="331" t="s">
        <v>17153</v>
      </c>
      <c r="O480" s="331" t="s">
        <v>4321</v>
      </c>
      <c r="P480" s="331" t="s">
        <v>4749</v>
      </c>
      <c r="Q480" s="338" t="s">
        <v>17154</v>
      </c>
      <c r="R480" s="331" t="s">
        <v>9120</v>
      </c>
      <c r="S480" s="334" t="s">
        <v>6993</v>
      </c>
      <c r="T480" s="303"/>
      <c r="U480" s="303"/>
      <c r="V480" s="303"/>
    </row>
    <row r="481" ht="20.25" customHeight="1">
      <c r="E481" s="355"/>
      <c r="F481" s="355"/>
      <c r="I481" s="328"/>
      <c r="K481" s="341">
        <v>524.0</v>
      </c>
      <c r="L481" s="330">
        <v>3.0</v>
      </c>
      <c r="M481" s="331" t="s">
        <v>15827</v>
      </c>
      <c r="N481" s="331" t="s">
        <v>15828</v>
      </c>
      <c r="O481" s="331" t="s">
        <v>9087</v>
      </c>
      <c r="P481" s="331" t="s">
        <v>9466</v>
      </c>
      <c r="Q481" s="338" t="s">
        <v>17155</v>
      </c>
      <c r="R481" s="336"/>
      <c r="S481" s="337"/>
      <c r="T481" s="303"/>
      <c r="U481" s="303"/>
      <c r="V481" s="303"/>
    </row>
    <row r="482" ht="20.25" customHeight="1">
      <c r="E482" s="355"/>
      <c r="F482" s="355"/>
      <c r="I482" s="328"/>
      <c r="K482" s="329">
        <v>524.0</v>
      </c>
      <c r="L482" s="330">
        <v>3.0</v>
      </c>
      <c r="M482" s="331" t="s">
        <v>15528</v>
      </c>
      <c r="N482" s="331" t="s">
        <v>15529</v>
      </c>
      <c r="O482" s="331" t="s">
        <v>9091</v>
      </c>
      <c r="P482" s="332" t="s">
        <v>4749</v>
      </c>
      <c r="Q482" s="338" t="s">
        <v>17156</v>
      </c>
      <c r="R482" s="331" t="s">
        <v>9094</v>
      </c>
      <c r="S482" s="334" t="s">
        <v>6993</v>
      </c>
      <c r="T482" s="303"/>
      <c r="U482" s="303"/>
      <c r="V482" s="303"/>
    </row>
    <row r="483" ht="20.25" customHeight="1">
      <c r="E483" s="355"/>
      <c r="F483" s="355"/>
      <c r="I483" s="328"/>
      <c r="K483" s="341">
        <v>524.0</v>
      </c>
      <c r="L483" s="330">
        <v>3.0</v>
      </c>
      <c r="M483" s="331" t="s">
        <v>13083</v>
      </c>
      <c r="N483" s="331" t="s">
        <v>13084</v>
      </c>
      <c r="O483" s="331" t="s">
        <v>9115</v>
      </c>
      <c r="P483" s="332" t="s">
        <v>16587</v>
      </c>
      <c r="Q483" s="335" t="s">
        <v>17157</v>
      </c>
      <c r="R483" s="331" t="s">
        <v>9117</v>
      </c>
      <c r="S483" s="334" t="s">
        <v>6928</v>
      </c>
      <c r="T483" s="303"/>
      <c r="U483" s="303"/>
      <c r="V483" s="303"/>
    </row>
    <row r="484" ht="20.25" customHeight="1">
      <c r="E484" s="355"/>
      <c r="F484" s="355"/>
      <c r="I484" s="328"/>
      <c r="K484" s="329">
        <v>524.0</v>
      </c>
      <c r="L484" s="330">
        <v>3.0</v>
      </c>
      <c r="M484" s="331" t="s">
        <v>12864</v>
      </c>
      <c r="N484" s="331" t="s">
        <v>14895</v>
      </c>
      <c r="O484" s="331" t="s">
        <v>9183</v>
      </c>
      <c r="P484" s="381" t="s">
        <v>10056</v>
      </c>
      <c r="Q484" s="335" t="s">
        <v>17158</v>
      </c>
      <c r="R484" s="331" t="s">
        <v>9186</v>
      </c>
      <c r="S484" s="334" t="s">
        <v>7048</v>
      </c>
      <c r="T484" s="303"/>
      <c r="U484" s="303"/>
      <c r="V484" s="303"/>
    </row>
    <row r="485" ht="20.25" customHeight="1">
      <c r="E485" s="355"/>
      <c r="F485" s="355"/>
      <c r="I485" s="328"/>
      <c r="K485" s="341">
        <v>524.0</v>
      </c>
      <c r="L485" s="330">
        <v>3.0</v>
      </c>
      <c r="M485" s="331" t="s">
        <v>12344</v>
      </c>
      <c r="N485" s="331" t="s">
        <v>12345</v>
      </c>
      <c r="O485" s="331" t="s">
        <v>9158</v>
      </c>
      <c r="P485" s="381" t="s">
        <v>10056</v>
      </c>
      <c r="Q485" s="332" t="s">
        <v>12346</v>
      </c>
      <c r="R485" s="331" t="s">
        <v>9160</v>
      </c>
      <c r="S485" s="334" t="s">
        <v>6928</v>
      </c>
      <c r="T485" s="303"/>
      <c r="U485" s="303"/>
      <c r="V485" s="303"/>
    </row>
    <row r="486" ht="20.25" customHeight="1">
      <c r="E486" s="355"/>
      <c r="F486" s="355"/>
      <c r="I486" s="328"/>
      <c r="K486" s="341">
        <v>524.0</v>
      </c>
      <c r="L486" s="330">
        <v>3.0</v>
      </c>
      <c r="M486" s="331" t="s">
        <v>12398</v>
      </c>
      <c r="N486" s="331" t="s">
        <v>17159</v>
      </c>
      <c r="O486" s="331" t="s">
        <v>5018</v>
      </c>
      <c r="P486" s="353" t="s">
        <v>12401</v>
      </c>
      <c r="Q486" s="353" t="s">
        <v>5017</v>
      </c>
      <c r="R486" s="336"/>
      <c r="S486" s="337"/>
      <c r="T486" s="303"/>
      <c r="U486" s="303"/>
      <c r="V486" s="303"/>
    </row>
    <row r="487" ht="20.25" customHeight="1">
      <c r="E487" s="355"/>
      <c r="F487" s="355"/>
      <c r="I487" s="328"/>
      <c r="K487" s="341">
        <v>524.0</v>
      </c>
      <c r="L487" s="330">
        <v>3.0</v>
      </c>
      <c r="M487" s="331" t="s">
        <v>15945</v>
      </c>
      <c r="N487" s="331" t="s">
        <v>15950</v>
      </c>
      <c r="O487" s="331" t="s">
        <v>680</v>
      </c>
      <c r="P487" s="332" t="s">
        <v>4756</v>
      </c>
      <c r="Q487" s="335" t="s">
        <v>17160</v>
      </c>
      <c r="R487" s="331" t="s">
        <v>9097</v>
      </c>
      <c r="S487" s="334" t="s">
        <v>6928</v>
      </c>
      <c r="T487" s="303"/>
      <c r="U487" s="303"/>
      <c r="V487" s="303"/>
    </row>
    <row r="488" ht="20.25" customHeight="1">
      <c r="E488" s="355"/>
      <c r="F488" s="355"/>
      <c r="I488" s="328"/>
      <c r="K488" s="341">
        <v>524.0</v>
      </c>
      <c r="L488" s="330">
        <v>3.0</v>
      </c>
      <c r="M488" s="331" t="s">
        <v>12192</v>
      </c>
      <c r="N488" s="331" t="s">
        <v>15870</v>
      </c>
      <c r="O488" s="331" t="s">
        <v>9099</v>
      </c>
      <c r="P488" s="381" t="s">
        <v>15834</v>
      </c>
      <c r="Q488" s="335" t="s">
        <v>17161</v>
      </c>
      <c r="R488" s="331" t="s">
        <v>9101</v>
      </c>
      <c r="S488" s="334" t="s">
        <v>6928</v>
      </c>
      <c r="T488" s="303"/>
      <c r="U488" s="303"/>
      <c r="V488" s="303"/>
    </row>
    <row r="489" ht="20.25" customHeight="1">
      <c r="E489" s="355"/>
      <c r="F489" s="355"/>
      <c r="I489" s="328"/>
      <c r="K489" s="341">
        <v>524.0</v>
      </c>
      <c r="L489" s="330">
        <v>3.0</v>
      </c>
      <c r="M489" s="331" t="s">
        <v>15831</v>
      </c>
      <c r="N489" s="331" t="s">
        <v>15832</v>
      </c>
      <c r="O489" s="331" t="s">
        <v>9103</v>
      </c>
      <c r="P489" s="381" t="s">
        <v>15834</v>
      </c>
      <c r="Q489" s="338" t="s">
        <v>17162</v>
      </c>
      <c r="R489" s="331" t="s">
        <v>9105</v>
      </c>
      <c r="S489" s="334" t="s">
        <v>6928</v>
      </c>
      <c r="T489" s="303"/>
      <c r="U489" s="303"/>
      <c r="V489" s="303"/>
    </row>
    <row r="490" ht="20.25" customHeight="1">
      <c r="E490" s="355"/>
      <c r="F490" s="355"/>
      <c r="I490" s="328"/>
      <c r="K490" s="341">
        <v>524.0</v>
      </c>
      <c r="L490" s="330">
        <v>3.0</v>
      </c>
      <c r="M490" s="331" t="s">
        <v>12353</v>
      </c>
      <c r="N490" s="331" t="s">
        <v>12354</v>
      </c>
      <c r="O490" s="331" t="s">
        <v>9175</v>
      </c>
      <c r="P490" s="332" t="s">
        <v>10437</v>
      </c>
      <c r="Q490" s="338" t="s">
        <v>17163</v>
      </c>
      <c r="R490" s="331" t="s">
        <v>9178</v>
      </c>
      <c r="S490" s="334" t="s">
        <v>6928</v>
      </c>
      <c r="T490" s="303"/>
      <c r="U490" s="303"/>
      <c r="V490" s="303"/>
    </row>
    <row r="491" ht="20.25" customHeight="1">
      <c r="E491" s="355"/>
      <c r="F491" s="355"/>
      <c r="I491" s="328"/>
      <c r="K491" s="329">
        <v>524.0</v>
      </c>
      <c r="L491" s="330">
        <v>3.0</v>
      </c>
      <c r="M491" s="331" t="s">
        <v>15606</v>
      </c>
      <c r="N491" s="331" t="s">
        <v>15607</v>
      </c>
      <c r="O491" s="331" t="s">
        <v>9107</v>
      </c>
      <c r="P491" s="413" t="s">
        <v>11981</v>
      </c>
      <c r="Q491" s="414" t="s">
        <v>17164</v>
      </c>
      <c r="R491" s="331" t="s">
        <v>17165</v>
      </c>
      <c r="S491" s="334" t="s">
        <v>7048</v>
      </c>
      <c r="T491" s="303"/>
      <c r="U491" s="303"/>
      <c r="V491" s="303"/>
    </row>
    <row r="492" ht="20.25" customHeight="1">
      <c r="E492" s="355"/>
      <c r="F492" s="355"/>
      <c r="I492" s="328"/>
      <c r="K492" s="329">
        <v>524.0</v>
      </c>
      <c r="L492" s="330">
        <v>3.0</v>
      </c>
      <c r="M492" s="331" t="s">
        <v>15971</v>
      </c>
      <c r="N492" s="331" t="s">
        <v>15972</v>
      </c>
      <c r="O492" s="331" t="s">
        <v>9111</v>
      </c>
      <c r="P492" s="413" t="s">
        <v>11981</v>
      </c>
      <c r="Q492" s="338" t="s">
        <v>17166</v>
      </c>
      <c r="R492" s="331" t="s">
        <v>9113</v>
      </c>
      <c r="S492" s="334" t="s">
        <v>7048</v>
      </c>
      <c r="T492" s="303"/>
      <c r="U492" s="303"/>
      <c r="V492" s="303"/>
    </row>
    <row r="493" ht="20.25" customHeight="1">
      <c r="E493" s="355"/>
      <c r="F493" s="355"/>
      <c r="I493" s="328"/>
      <c r="K493" s="341">
        <v>524.0</v>
      </c>
      <c r="L493" s="330">
        <v>3.0</v>
      </c>
      <c r="M493" s="331" t="s">
        <v>15734</v>
      </c>
      <c r="N493" s="331" t="s">
        <v>15735</v>
      </c>
      <c r="O493" s="331" t="s">
        <v>9148</v>
      </c>
      <c r="P493" s="331" t="s">
        <v>1456</v>
      </c>
      <c r="Q493" s="338" t="s">
        <v>17167</v>
      </c>
      <c r="R493" s="331" t="s">
        <v>9150</v>
      </c>
      <c r="S493" s="334" t="s">
        <v>6928</v>
      </c>
      <c r="T493" s="303"/>
      <c r="U493" s="303"/>
      <c r="V493" s="303"/>
    </row>
    <row r="494" ht="20.25" customHeight="1">
      <c r="E494" s="355"/>
      <c r="F494" s="355"/>
      <c r="I494" s="328"/>
      <c r="K494" s="341">
        <v>524.0</v>
      </c>
      <c r="L494" s="330">
        <v>3.0</v>
      </c>
      <c r="M494" s="331" t="s">
        <v>13421</v>
      </c>
      <c r="N494" s="331" t="s">
        <v>13422</v>
      </c>
      <c r="O494" s="331" t="s">
        <v>9142</v>
      </c>
      <c r="P494" s="331" t="s">
        <v>17168</v>
      </c>
      <c r="Q494" s="338" t="s">
        <v>17169</v>
      </c>
      <c r="R494" s="331" t="s">
        <v>9144</v>
      </c>
      <c r="S494" s="334" t="s">
        <v>6928</v>
      </c>
      <c r="T494" s="303"/>
      <c r="U494" s="303"/>
      <c r="V494" s="303"/>
    </row>
    <row r="495" ht="20.25" customHeight="1">
      <c r="E495" s="355"/>
      <c r="F495" s="355"/>
      <c r="I495" s="328"/>
      <c r="K495" s="341">
        <v>524.0</v>
      </c>
      <c r="L495" s="330">
        <v>3.0</v>
      </c>
      <c r="M495" s="331" t="s">
        <v>12883</v>
      </c>
      <c r="N495" s="331" t="s">
        <v>15368</v>
      </c>
      <c r="O495" s="331" t="s">
        <v>783</v>
      </c>
      <c r="P495" s="331" t="s">
        <v>17170</v>
      </c>
      <c r="Q495" s="338" t="s">
        <v>17171</v>
      </c>
      <c r="R495" s="331" t="s">
        <v>9140</v>
      </c>
      <c r="S495" s="334" t="s">
        <v>6928</v>
      </c>
      <c r="T495" s="303"/>
      <c r="U495" s="303"/>
      <c r="V495" s="303"/>
    </row>
    <row r="496" ht="20.25" customHeight="1">
      <c r="E496" s="355"/>
      <c r="F496" s="355"/>
      <c r="I496" s="328"/>
      <c r="K496" s="329">
        <v>524.0</v>
      </c>
      <c r="L496" s="330">
        <v>3.0</v>
      </c>
      <c r="M496" s="331" t="s">
        <v>9577</v>
      </c>
      <c r="N496" s="340" t="s">
        <v>12357</v>
      </c>
      <c r="O496" s="331" t="s">
        <v>9171</v>
      </c>
      <c r="P496" s="331" t="s">
        <v>12359</v>
      </c>
      <c r="Q496" s="338" t="s">
        <v>17172</v>
      </c>
      <c r="R496" s="331" t="s">
        <v>9173</v>
      </c>
      <c r="S496" s="334" t="s">
        <v>7048</v>
      </c>
      <c r="T496" s="303"/>
      <c r="U496" s="303"/>
      <c r="V496" s="303"/>
    </row>
    <row r="497" ht="20.25" customHeight="1">
      <c r="E497" s="355"/>
      <c r="F497" s="355"/>
      <c r="I497" s="328"/>
      <c r="K497" s="329">
        <v>524.0</v>
      </c>
      <c r="L497" s="330">
        <v>3.0</v>
      </c>
      <c r="M497" s="331" t="s">
        <v>11356</v>
      </c>
      <c r="N497" s="331" t="s">
        <v>14650</v>
      </c>
      <c r="O497" s="331" t="s">
        <v>9123</v>
      </c>
      <c r="P497" s="332" t="s">
        <v>13266</v>
      </c>
      <c r="Q497" s="332" t="s">
        <v>14651</v>
      </c>
      <c r="R497" s="331" t="s">
        <v>9126</v>
      </c>
      <c r="S497" s="334" t="s">
        <v>7005</v>
      </c>
      <c r="T497" s="303"/>
      <c r="U497" s="303"/>
      <c r="V497" s="303"/>
    </row>
    <row r="498" ht="20.25" customHeight="1">
      <c r="E498" s="355"/>
      <c r="F498" s="355"/>
      <c r="I498" s="328"/>
      <c r="K498" s="341">
        <v>524.0</v>
      </c>
      <c r="L498" s="330">
        <v>3.0</v>
      </c>
      <c r="M498" s="331" t="s">
        <v>15872</v>
      </c>
      <c r="N498" s="331" t="s">
        <v>15873</v>
      </c>
      <c r="O498" s="331" t="s">
        <v>9146</v>
      </c>
      <c r="P498" s="332" t="s">
        <v>12373</v>
      </c>
      <c r="Q498" s="338" t="s">
        <v>17173</v>
      </c>
      <c r="R498" s="336"/>
      <c r="S498" s="337"/>
      <c r="T498" s="303"/>
      <c r="U498" s="303"/>
      <c r="V498" s="303"/>
    </row>
    <row r="499" ht="20.25" customHeight="1">
      <c r="E499" s="355"/>
      <c r="F499" s="355"/>
      <c r="I499" s="328"/>
      <c r="K499" s="341">
        <v>524.0</v>
      </c>
      <c r="L499" s="330">
        <v>3.0</v>
      </c>
      <c r="M499" s="331" t="s">
        <v>13263</v>
      </c>
      <c r="N499" s="331" t="s">
        <v>13264</v>
      </c>
      <c r="O499" s="331" t="s">
        <v>9132</v>
      </c>
      <c r="P499" s="332" t="s">
        <v>13266</v>
      </c>
      <c r="Q499" s="353" t="s">
        <v>13265</v>
      </c>
      <c r="R499" s="331" t="s">
        <v>9134</v>
      </c>
      <c r="S499" s="334" t="s">
        <v>7112</v>
      </c>
      <c r="T499" s="303"/>
      <c r="U499" s="303"/>
      <c r="V499" s="303"/>
    </row>
    <row r="500" ht="20.25" customHeight="1">
      <c r="E500" s="355"/>
      <c r="F500" s="355"/>
      <c r="I500" s="328"/>
      <c r="K500" s="329">
        <v>524.0</v>
      </c>
      <c r="L500" s="330">
        <v>3.0</v>
      </c>
      <c r="M500" s="331" t="s">
        <v>13877</v>
      </c>
      <c r="N500" s="331" t="s">
        <v>13878</v>
      </c>
      <c r="O500" s="331" t="s">
        <v>9136</v>
      </c>
      <c r="P500" s="332" t="s">
        <v>13266</v>
      </c>
      <c r="Q500" s="353" t="s">
        <v>13879</v>
      </c>
      <c r="R500" s="331" t="s">
        <v>9138</v>
      </c>
      <c r="S500" s="334" t="s">
        <v>7005</v>
      </c>
      <c r="T500" s="303"/>
      <c r="U500" s="303"/>
      <c r="V500" s="303"/>
    </row>
    <row r="501" ht="20.25" customHeight="1">
      <c r="E501" s="355"/>
      <c r="F501" s="355"/>
      <c r="I501" s="328"/>
      <c r="K501" s="329">
        <v>524.0</v>
      </c>
      <c r="L501" s="330">
        <v>3.0</v>
      </c>
      <c r="M501" s="331" t="s">
        <v>13254</v>
      </c>
      <c r="N501" s="331" t="s">
        <v>13255</v>
      </c>
      <c r="O501" s="331" t="s">
        <v>9152</v>
      </c>
      <c r="P501" s="332" t="s">
        <v>12373</v>
      </c>
      <c r="Q501" s="354" t="s">
        <v>17174</v>
      </c>
      <c r="R501" s="331" t="s">
        <v>9154</v>
      </c>
      <c r="S501" s="334" t="s">
        <v>7248</v>
      </c>
      <c r="T501" s="303"/>
      <c r="U501" s="303"/>
      <c r="V501" s="303"/>
    </row>
    <row r="502" ht="20.25" customHeight="1">
      <c r="E502" s="355"/>
      <c r="F502" s="355"/>
      <c r="I502" s="328"/>
      <c r="K502" s="341">
        <v>524.0</v>
      </c>
      <c r="L502" s="330">
        <v>3.0</v>
      </c>
      <c r="M502" s="331" t="s">
        <v>12375</v>
      </c>
      <c r="N502" s="331" t="s">
        <v>12376</v>
      </c>
      <c r="O502" s="331" t="s">
        <v>12374</v>
      </c>
      <c r="P502" s="353" t="s">
        <v>12379</v>
      </c>
      <c r="Q502" s="353" t="s">
        <v>12378</v>
      </c>
      <c r="R502" s="336"/>
      <c r="S502" s="337"/>
      <c r="T502" s="303"/>
      <c r="U502" s="303"/>
      <c r="V502" s="303"/>
    </row>
    <row r="503" ht="20.25" customHeight="1">
      <c r="E503" s="355"/>
      <c r="F503" s="355"/>
      <c r="I503" s="328"/>
      <c r="K503" s="341">
        <v>524.0</v>
      </c>
      <c r="L503" s="330">
        <v>3.0</v>
      </c>
      <c r="M503" s="331" t="s">
        <v>11442</v>
      </c>
      <c r="N503" s="331" t="s">
        <v>12345</v>
      </c>
      <c r="O503" s="331" t="s">
        <v>788</v>
      </c>
      <c r="P503" s="332" t="s">
        <v>12373</v>
      </c>
      <c r="Q503" s="353" t="s">
        <v>792</v>
      </c>
      <c r="R503" s="331" t="s">
        <v>9130</v>
      </c>
      <c r="S503" s="334" t="s">
        <v>6928</v>
      </c>
      <c r="T503" s="303"/>
      <c r="U503" s="303"/>
      <c r="V503" s="303"/>
    </row>
    <row r="504" ht="20.25" customHeight="1">
      <c r="E504" s="355"/>
      <c r="F504" s="355"/>
      <c r="I504" s="328"/>
      <c r="K504" s="341">
        <v>524.0</v>
      </c>
      <c r="L504" s="330">
        <v>3.0</v>
      </c>
      <c r="M504" s="331" t="s">
        <v>9694</v>
      </c>
      <c r="N504" s="331" t="s">
        <v>12366</v>
      </c>
      <c r="O504" s="331" t="s">
        <v>12364</v>
      </c>
      <c r="P504" s="332" t="s">
        <v>12368</v>
      </c>
      <c r="Q504" s="353" t="s">
        <v>12367</v>
      </c>
      <c r="R504" s="336"/>
      <c r="S504" s="337"/>
      <c r="T504" s="303"/>
      <c r="U504" s="303"/>
      <c r="V504" s="303"/>
    </row>
    <row r="505" ht="20.25" customHeight="1">
      <c r="E505" s="355"/>
      <c r="F505" s="355"/>
      <c r="I505" s="328"/>
      <c r="K505" s="341">
        <v>524.0</v>
      </c>
      <c r="L505" s="330">
        <v>3.0</v>
      </c>
      <c r="M505" s="331" t="s">
        <v>15474</v>
      </c>
      <c r="N505" s="331" t="s">
        <v>15475</v>
      </c>
      <c r="O505" s="331" t="s">
        <v>15472</v>
      </c>
      <c r="P505" s="332" t="s">
        <v>9451</v>
      </c>
      <c r="Q505" s="332" t="s">
        <v>15476</v>
      </c>
      <c r="R505" s="336"/>
      <c r="S505" s="337"/>
      <c r="T505" s="303"/>
      <c r="U505" s="303"/>
      <c r="V505" s="303"/>
    </row>
    <row r="506" ht="20.25" customHeight="1">
      <c r="E506" s="355"/>
      <c r="F506" s="355"/>
      <c r="I506" s="328"/>
      <c r="K506" s="341">
        <v>524.0</v>
      </c>
      <c r="L506" s="330">
        <v>3.0</v>
      </c>
      <c r="M506" s="331" t="s">
        <v>12361</v>
      </c>
      <c r="N506" s="331" t="s">
        <v>12345</v>
      </c>
      <c r="O506" s="331" t="s">
        <v>12360</v>
      </c>
      <c r="P506" s="332" t="s">
        <v>9451</v>
      </c>
      <c r="Q506" s="353" t="s">
        <v>12363</v>
      </c>
      <c r="R506" s="331" t="s">
        <v>9130</v>
      </c>
      <c r="S506" s="334" t="s">
        <v>6928</v>
      </c>
      <c r="T506" s="303"/>
      <c r="U506" s="303"/>
      <c r="V506" s="303"/>
    </row>
    <row r="507" ht="20.25" customHeight="1">
      <c r="E507" s="355"/>
      <c r="F507" s="355"/>
      <c r="I507" s="328"/>
      <c r="K507" s="341">
        <v>524.0</v>
      </c>
      <c r="L507" s="330">
        <v>3.0</v>
      </c>
      <c r="M507" s="331" t="s">
        <v>12388</v>
      </c>
      <c r="N507" s="331" t="s">
        <v>12345</v>
      </c>
      <c r="O507" s="331" t="s">
        <v>12386</v>
      </c>
      <c r="P507" s="332" t="s">
        <v>9451</v>
      </c>
      <c r="Q507" s="353" t="s">
        <v>12389</v>
      </c>
      <c r="R507" s="331" t="s">
        <v>9160</v>
      </c>
      <c r="S507" s="334" t="s">
        <v>6928</v>
      </c>
      <c r="T507" s="303"/>
      <c r="U507" s="303"/>
      <c r="V507" s="303"/>
    </row>
    <row r="508" ht="20.25" customHeight="1">
      <c r="E508" s="355"/>
      <c r="F508" s="355"/>
      <c r="I508" s="328"/>
      <c r="K508" s="341">
        <v>524.0</v>
      </c>
      <c r="L508" s="330">
        <v>3.0</v>
      </c>
      <c r="M508" s="331" t="s">
        <v>12381</v>
      </c>
      <c r="N508" s="331" t="s">
        <v>12382</v>
      </c>
      <c r="O508" s="331" t="s">
        <v>9162</v>
      </c>
      <c r="P508" s="332" t="s">
        <v>12385</v>
      </c>
      <c r="Q508" s="353" t="s">
        <v>12384</v>
      </c>
      <c r="R508" s="336"/>
      <c r="S508" s="337"/>
      <c r="T508" s="303"/>
      <c r="U508" s="303"/>
      <c r="V508" s="303"/>
    </row>
    <row r="509" ht="20.25" customHeight="1">
      <c r="E509" s="355"/>
      <c r="F509" s="355"/>
      <c r="I509" s="328"/>
      <c r="K509" s="415">
        <v>524.0</v>
      </c>
      <c r="L509" s="399">
        <v>3.0</v>
      </c>
      <c r="M509" s="400" t="s">
        <v>14399</v>
      </c>
      <c r="N509" s="400" t="s">
        <v>14400</v>
      </c>
      <c r="O509" s="400" t="s">
        <v>14398</v>
      </c>
      <c r="P509" s="401" t="s">
        <v>9626</v>
      </c>
      <c r="Q509" s="416" t="s">
        <v>17175</v>
      </c>
      <c r="R509" s="400" t="s">
        <v>9166</v>
      </c>
      <c r="S509" s="417" t="s">
        <v>6993</v>
      </c>
      <c r="T509" s="303"/>
      <c r="U509" s="303"/>
      <c r="V509" s="303"/>
    </row>
    <row r="510" ht="20.25" customHeight="1">
      <c r="E510" s="355"/>
      <c r="F510" s="355"/>
      <c r="I510" s="316" t="s">
        <v>16549</v>
      </c>
      <c r="K510" s="317">
        <v>522.0</v>
      </c>
      <c r="L510" s="318">
        <v>1.0</v>
      </c>
      <c r="M510" s="319" t="s">
        <v>13299</v>
      </c>
      <c r="N510" s="319" t="s">
        <v>13300</v>
      </c>
      <c r="O510" s="319" t="s">
        <v>8701</v>
      </c>
      <c r="P510" s="320" t="s">
        <v>17176</v>
      </c>
      <c r="Q510" s="321" t="s">
        <v>17177</v>
      </c>
      <c r="R510" s="319" t="s">
        <v>17178</v>
      </c>
      <c r="S510" s="322" t="s">
        <v>7048</v>
      </c>
      <c r="T510" s="303"/>
      <c r="U510" s="303"/>
      <c r="V510" s="303"/>
    </row>
    <row r="511" ht="20.25" customHeight="1">
      <c r="E511" s="355"/>
      <c r="F511" s="355"/>
      <c r="I511" s="316" t="s">
        <v>17179</v>
      </c>
      <c r="K511" s="329">
        <v>522.0</v>
      </c>
      <c r="L511" s="330">
        <v>2.0</v>
      </c>
      <c r="M511" s="331" t="s">
        <v>12743</v>
      </c>
      <c r="N511" s="331" t="s">
        <v>12744</v>
      </c>
      <c r="O511" s="331" t="s">
        <v>12740</v>
      </c>
      <c r="P511" s="331" t="s">
        <v>4805</v>
      </c>
      <c r="Q511" s="338" t="s">
        <v>17180</v>
      </c>
      <c r="R511" s="331" t="s">
        <v>8709</v>
      </c>
      <c r="S511" s="334" t="s">
        <v>7005</v>
      </c>
      <c r="T511" s="303"/>
      <c r="U511" s="303"/>
      <c r="V511" s="303"/>
    </row>
    <row r="512" ht="20.25" customHeight="1">
      <c r="E512" s="355"/>
      <c r="F512" s="355"/>
      <c r="I512" s="328"/>
      <c r="K512" s="341">
        <v>522.0</v>
      </c>
      <c r="L512" s="330">
        <v>2.0</v>
      </c>
      <c r="M512" s="331" t="s">
        <v>15158</v>
      </c>
      <c r="N512" s="331" t="s">
        <v>15159</v>
      </c>
      <c r="O512" s="331" t="s">
        <v>8730</v>
      </c>
      <c r="P512" s="357" t="s">
        <v>12963</v>
      </c>
      <c r="Q512" s="338" t="s">
        <v>17181</v>
      </c>
      <c r="R512" s="331" t="s">
        <v>8732</v>
      </c>
      <c r="S512" s="334" t="s">
        <v>7157</v>
      </c>
      <c r="T512" s="303"/>
      <c r="U512" s="303"/>
      <c r="V512" s="303"/>
    </row>
    <row r="513" ht="20.25" customHeight="1">
      <c r="E513" s="355"/>
      <c r="F513" s="355"/>
      <c r="I513" s="328"/>
      <c r="K513" s="341">
        <v>522.0</v>
      </c>
      <c r="L513" s="330">
        <v>2.0</v>
      </c>
      <c r="M513" s="331" t="s">
        <v>13093</v>
      </c>
      <c r="N513" s="331" t="s">
        <v>13094</v>
      </c>
      <c r="O513" s="331" t="s">
        <v>8718</v>
      </c>
      <c r="P513" s="357" t="s">
        <v>13025</v>
      </c>
      <c r="Q513" s="353" t="s">
        <v>13095</v>
      </c>
      <c r="R513" s="331" t="s">
        <v>8720</v>
      </c>
      <c r="S513" s="334" t="s">
        <v>7157</v>
      </c>
      <c r="T513" s="303"/>
      <c r="U513" s="303"/>
      <c r="V513" s="303"/>
    </row>
    <row r="514" ht="20.25" customHeight="1">
      <c r="E514" s="355"/>
      <c r="F514" s="355"/>
      <c r="I514" s="328"/>
      <c r="K514" s="341">
        <v>522.0</v>
      </c>
      <c r="L514" s="330">
        <v>2.0</v>
      </c>
      <c r="M514" s="331" t="s">
        <v>13141</v>
      </c>
      <c r="N514" s="331" t="s">
        <v>13142</v>
      </c>
      <c r="O514" s="331" t="s">
        <v>8727</v>
      </c>
      <c r="P514" s="357" t="s">
        <v>13144</v>
      </c>
      <c r="Q514" s="338" t="s">
        <v>17182</v>
      </c>
      <c r="R514" s="331" t="s">
        <v>8729</v>
      </c>
      <c r="S514" s="334" t="s">
        <v>7157</v>
      </c>
      <c r="T514" s="303"/>
      <c r="U514" s="303"/>
      <c r="V514" s="303"/>
    </row>
    <row r="515" ht="20.25" customHeight="1">
      <c r="E515" s="355"/>
      <c r="F515" s="355"/>
      <c r="I515" s="328"/>
      <c r="K515" s="341">
        <v>522.0</v>
      </c>
      <c r="L515" s="330">
        <v>2.0</v>
      </c>
      <c r="M515" s="331" t="s">
        <v>15862</v>
      </c>
      <c r="N515" s="331" t="s">
        <v>15863</v>
      </c>
      <c r="O515" s="331" t="s">
        <v>8722</v>
      </c>
      <c r="P515" s="332" t="s">
        <v>15865</v>
      </c>
      <c r="Q515" s="335" t="s">
        <v>17183</v>
      </c>
      <c r="R515" s="331" t="s">
        <v>8724</v>
      </c>
      <c r="S515" s="334" t="s">
        <v>7093</v>
      </c>
      <c r="T515" s="303"/>
      <c r="U515" s="303"/>
      <c r="V515" s="303"/>
    </row>
    <row r="516" ht="20.25" customHeight="1">
      <c r="E516" s="355"/>
      <c r="F516" s="355"/>
      <c r="I516" s="328"/>
      <c r="K516" s="329">
        <v>522.0</v>
      </c>
      <c r="L516" s="330">
        <v>2.0</v>
      </c>
      <c r="M516" s="331" t="s">
        <v>17184</v>
      </c>
      <c r="N516" s="331" t="s">
        <v>17185</v>
      </c>
      <c r="O516" s="331" t="s">
        <v>3855</v>
      </c>
      <c r="P516" s="353" t="s">
        <v>9466</v>
      </c>
      <c r="Q516" s="338" t="s">
        <v>17186</v>
      </c>
      <c r="R516" s="331" t="s">
        <v>17187</v>
      </c>
      <c r="S516" s="334" t="s">
        <v>7005</v>
      </c>
      <c r="T516" s="303"/>
      <c r="U516" s="303"/>
      <c r="V516" s="303"/>
    </row>
    <row r="517" ht="20.25" customHeight="1">
      <c r="E517" s="355"/>
      <c r="F517" s="355"/>
      <c r="I517" s="328"/>
      <c r="K517" s="341">
        <v>522.0</v>
      </c>
      <c r="L517" s="330">
        <v>2.0</v>
      </c>
      <c r="M517" s="331" t="s">
        <v>14136</v>
      </c>
      <c r="N517" s="331" t="s">
        <v>11599</v>
      </c>
      <c r="O517" s="331" t="s">
        <v>8746</v>
      </c>
      <c r="P517" s="331" t="s">
        <v>9466</v>
      </c>
      <c r="Q517" s="338" t="s">
        <v>17188</v>
      </c>
      <c r="R517" s="336"/>
      <c r="S517" s="337"/>
      <c r="T517" s="303"/>
      <c r="U517" s="303"/>
      <c r="V517" s="303"/>
    </row>
    <row r="518" ht="20.25" customHeight="1">
      <c r="E518" s="355"/>
      <c r="F518" s="355"/>
      <c r="I518" s="328"/>
      <c r="K518" s="329">
        <v>522.0</v>
      </c>
      <c r="L518" s="330">
        <v>2.0</v>
      </c>
      <c r="M518" s="331" t="s">
        <v>9792</v>
      </c>
      <c r="N518" s="331" t="s">
        <v>9793</v>
      </c>
      <c r="O518" s="331" t="s">
        <v>9791</v>
      </c>
      <c r="P518" s="332" t="s">
        <v>9796</v>
      </c>
      <c r="Q518" s="338" t="s">
        <v>17189</v>
      </c>
      <c r="R518" s="331" t="s">
        <v>17190</v>
      </c>
      <c r="S518" s="334" t="s">
        <v>8751</v>
      </c>
      <c r="T518" s="303"/>
      <c r="U518" s="303"/>
      <c r="V518" s="303"/>
    </row>
    <row r="519" ht="20.25" customHeight="1">
      <c r="E519" s="355"/>
      <c r="F519" s="355"/>
      <c r="I519" s="328"/>
      <c r="K519" s="341">
        <v>522.0</v>
      </c>
      <c r="L519" s="330">
        <v>2.0</v>
      </c>
      <c r="M519" s="331" t="s">
        <v>9536</v>
      </c>
      <c r="N519" s="331" t="s">
        <v>9537</v>
      </c>
      <c r="O519" s="331" t="s">
        <v>9534</v>
      </c>
      <c r="P519" s="340" t="s">
        <v>9466</v>
      </c>
      <c r="Q519" s="338" t="s">
        <v>17191</v>
      </c>
      <c r="R519" s="336"/>
      <c r="S519" s="337"/>
      <c r="T519" s="303"/>
      <c r="U519" s="303"/>
      <c r="V519" s="303"/>
    </row>
    <row r="520" ht="20.25" customHeight="1">
      <c r="E520" s="355"/>
      <c r="F520" s="355"/>
      <c r="I520" s="328"/>
      <c r="K520" s="342">
        <v>522.0</v>
      </c>
      <c r="L520" s="343">
        <v>2.0</v>
      </c>
      <c r="M520" s="344" t="s">
        <v>15882</v>
      </c>
      <c r="N520" s="344" t="s">
        <v>15883</v>
      </c>
      <c r="O520" s="344" t="s">
        <v>15881</v>
      </c>
      <c r="P520" s="344" t="s">
        <v>9466</v>
      </c>
      <c r="Q520" s="379" t="s">
        <v>17192</v>
      </c>
      <c r="R520" s="344" t="s">
        <v>17193</v>
      </c>
      <c r="S520" s="346" t="s">
        <v>8751</v>
      </c>
      <c r="T520" s="303"/>
      <c r="U520" s="303"/>
      <c r="V520" s="303"/>
    </row>
    <row r="521" ht="20.25" customHeight="1">
      <c r="E521" s="355"/>
      <c r="F521" s="355"/>
      <c r="I521" s="316" t="s">
        <v>17194</v>
      </c>
      <c r="K521" s="329">
        <v>522.0</v>
      </c>
      <c r="L521" s="330">
        <v>3.0</v>
      </c>
      <c r="M521" s="331" t="s">
        <v>13989</v>
      </c>
      <c r="N521" s="331" t="s">
        <v>13990</v>
      </c>
      <c r="O521" s="331" t="s">
        <v>7078</v>
      </c>
      <c r="P521" s="381" t="s">
        <v>4805</v>
      </c>
      <c r="Q521" s="331" t="s">
        <v>13991</v>
      </c>
      <c r="R521" s="331" t="s">
        <v>7081</v>
      </c>
      <c r="S521" s="334" t="s">
        <v>7082</v>
      </c>
      <c r="T521" s="303"/>
      <c r="U521" s="303"/>
      <c r="V521" s="303"/>
    </row>
    <row r="522" ht="20.25" customHeight="1">
      <c r="E522" s="355"/>
      <c r="F522" s="355"/>
      <c r="I522" s="328"/>
      <c r="K522" s="329">
        <v>522.0</v>
      </c>
      <c r="L522" s="330">
        <v>3.0</v>
      </c>
      <c r="M522" s="331" t="s">
        <v>14350</v>
      </c>
      <c r="N522" s="331" t="s">
        <v>14351</v>
      </c>
      <c r="O522" s="331" t="s">
        <v>7083</v>
      </c>
      <c r="P522" s="332" t="s">
        <v>4805</v>
      </c>
      <c r="Q522" s="338" t="s">
        <v>17195</v>
      </c>
      <c r="R522" s="331" t="s">
        <v>7086</v>
      </c>
      <c r="S522" s="334" t="s">
        <v>7082</v>
      </c>
      <c r="T522" s="303"/>
      <c r="U522" s="303"/>
      <c r="V522" s="303"/>
    </row>
    <row r="523" ht="20.25" customHeight="1">
      <c r="E523" s="355"/>
      <c r="F523" s="355"/>
      <c r="I523" s="328"/>
      <c r="K523" s="341">
        <v>522.0</v>
      </c>
      <c r="L523" s="330">
        <v>3.0</v>
      </c>
      <c r="M523" s="331" t="s">
        <v>13125</v>
      </c>
      <c r="N523" s="331" t="s">
        <v>13126</v>
      </c>
      <c r="O523" s="331" t="s">
        <v>8801</v>
      </c>
      <c r="P523" s="332" t="s">
        <v>4805</v>
      </c>
      <c r="Q523" s="332" t="s">
        <v>17196</v>
      </c>
      <c r="R523" s="336"/>
      <c r="S523" s="337"/>
      <c r="T523" s="303"/>
      <c r="U523" s="303"/>
      <c r="V523" s="303"/>
    </row>
    <row r="524" ht="20.25" customHeight="1">
      <c r="E524" s="355"/>
      <c r="F524" s="355"/>
      <c r="I524" s="328"/>
      <c r="K524" s="341">
        <v>522.0</v>
      </c>
      <c r="L524" s="330">
        <v>3.0</v>
      </c>
      <c r="M524" s="331" t="s">
        <v>14788</v>
      </c>
      <c r="N524" s="331" t="s">
        <v>14789</v>
      </c>
      <c r="O524" s="331" t="s">
        <v>8764</v>
      </c>
      <c r="P524" s="381" t="s">
        <v>4756</v>
      </c>
      <c r="Q524" s="338" t="s">
        <v>17197</v>
      </c>
      <c r="R524" s="331" t="s">
        <v>8766</v>
      </c>
      <c r="S524" s="334" t="s">
        <v>6928</v>
      </c>
      <c r="T524" s="303"/>
      <c r="U524" s="303"/>
      <c r="V524" s="303"/>
    </row>
    <row r="525" ht="20.25" customHeight="1">
      <c r="E525" s="355"/>
      <c r="F525" s="355"/>
      <c r="I525" s="328"/>
      <c r="K525" s="341">
        <v>522.0</v>
      </c>
      <c r="L525" s="330">
        <v>3.0</v>
      </c>
      <c r="M525" s="331" t="s">
        <v>16035</v>
      </c>
      <c r="N525" s="331" t="s">
        <v>16036</v>
      </c>
      <c r="O525" s="331" t="s">
        <v>16034</v>
      </c>
      <c r="P525" s="381" t="s">
        <v>14002</v>
      </c>
      <c r="Q525" s="335" t="s">
        <v>17198</v>
      </c>
      <c r="R525" s="336"/>
      <c r="S525" s="337"/>
      <c r="T525" s="303"/>
      <c r="U525" s="303"/>
      <c r="V525" s="303"/>
    </row>
    <row r="526" ht="20.25" customHeight="1">
      <c r="E526" s="355"/>
      <c r="F526" s="355"/>
      <c r="I526" s="328"/>
      <c r="K526" s="341">
        <v>522.0</v>
      </c>
      <c r="L526" s="330">
        <v>3.0</v>
      </c>
      <c r="M526" s="331" t="s">
        <v>11812</v>
      </c>
      <c r="N526" s="331" t="s">
        <v>15326</v>
      </c>
      <c r="O526" s="331" t="s">
        <v>8772</v>
      </c>
      <c r="P526" s="331" t="s">
        <v>14002</v>
      </c>
      <c r="Q526" s="338" t="s">
        <v>17199</v>
      </c>
      <c r="R526" s="336"/>
      <c r="S526" s="337"/>
      <c r="T526" s="303"/>
      <c r="U526" s="303"/>
      <c r="V526" s="303"/>
    </row>
    <row r="527" ht="20.25" customHeight="1">
      <c r="E527" s="355"/>
      <c r="F527" s="355"/>
      <c r="I527" s="328"/>
      <c r="K527" s="329">
        <v>522.0</v>
      </c>
      <c r="L527" s="330">
        <v>3.0</v>
      </c>
      <c r="M527" s="331" t="s">
        <v>9913</v>
      </c>
      <c r="N527" s="331" t="s">
        <v>9914</v>
      </c>
      <c r="O527" s="331" t="s">
        <v>9350</v>
      </c>
      <c r="P527" s="377" t="s">
        <v>13144</v>
      </c>
      <c r="Q527" s="353" t="s">
        <v>9916</v>
      </c>
      <c r="R527" s="331" t="s">
        <v>9352</v>
      </c>
      <c r="S527" s="334" t="s">
        <v>7005</v>
      </c>
      <c r="T527" s="303"/>
      <c r="U527" s="303"/>
      <c r="V527" s="303"/>
    </row>
    <row r="528" ht="20.25" customHeight="1">
      <c r="E528" s="355"/>
      <c r="F528" s="355"/>
      <c r="I528" s="328"/>
      <c r="K528" s="341">
        <v>522.0</v>
      </c>
      <c r="L528" s="330">
        <v>3.0</v>
      </c>
      <c r="M528" s="331" t="s">
        <v>13688</v>
      </c>
      <c r="N528" s="331" t="s">
        <v>13689</v>
      </c>
      <c r="O528" s="331" t="s">
        <v>8791</v>
      </c>
      <c r="P528" s="377" t="s">
        <v>13398</v>
      </c>
      <c r="Q528" s="331" t="s">
        <v>17200</v>
      </c>
      <c r="R528" s="331" t="s">
        <v>8793</v>
      </c>
      <c r="S528" s="334" t="s">
        <v>7375</v>
      </c>
      <c r="T528" s="303"/>
      <c r="U528" s="303"/>
      <c r="V528" s="303"/>
    </row>
    <row r="529" ht="20.25" customHeight="1">
      <c r="E529" s="355"/>
      <c r="F529" s="355"/>
      <c r="I529" s="328"/>
      <c r="K529" s="341">
        <v>522.0</v>
      </c>
      <c r="L529" s="330">
        <v>3.0</v>
      </c>
      <c r="M529" s="331" t="s">
        <v>14249</v>
      </c>
      <c r="N529" s="331" t="s">
        <v>14250</v>
      </c>
      <c r="O529" s="331" t="s">
        <v>8784</v>
      </c>
      <c r="P529" s="377" t="s">
        <v>13025</v>
      </c>
      <c r="Q529" s="333" t="s">
        <v>17201</v>
      </c>
      <c r="R529" s="331" t="s">
        <v>8786</v>
      </c>
      <c r="S529" s="334" t="s">
        <v>7157</v>
      </c>
      <c r="T529" s="303"/>
      <c r="U529" s="303"/>
      <c r="V529" s="303"/>
    </row>
    <row r="530" ht="20.25" customHeight="1">
      <c r="E530" s="355"/>
      <c r="F530" s="355"/>
      <c r="I530" s="328"/>
      <c r="K530" s="341">
        <v>522.0</v>
      </c>
      <c r="L530" s="330">
        <v>3.0</v>
      </c>
      <c r="M530" s="331" t="s">
        <v>9614</v>
      </c>
      <c r="N530" s="331" t="s">
        <v>14011</v>
      </c>
      <c r="O530" s="331" t="s">
        <v>8776</v>
      </c>
      <c r="P530" s="381" t="s">
        <v>13025</v>
      </c>
      <c r="Q530" s="335" t="s">
        <v>17202</v>
      </c>
      <c r="R530" s="331" t="s">
        <v>8778</v>
      </c>
      <c r="S530" s="334" t="s">
        <v>6928</v>
      </c>
      <c r="T530" s="303"/>
      <c r="U530" s="303"/>
      <c r="V530" s="303"/>
    </row>
    <row r="531" ht="20.25" customHeight="1">
      <c r="E531" s="355"/>
      <c r="F531" s="355"/>
      <c r="I531" s="328"/>
      <c r="K531" s="341">
        <v>522.0</v>
      </c>
      <c r="L531" s="330">
        <v>3.0</v>
      </c>
      <c r="M531" s="331" t="s">
        <v>13645</v>
      </c>
      <c r="N531" s="331" t="s">
        <v>13646</v>
      </c>
      <c r="O531" s="331" t="s">
        <v>8780</v>
      </c>
      <c r="P531" s="332" t="s">
        <v>13025</v>
      </c>
      <c r="Q531" s="335" t="s">
        <v>17203</v>
      </c>
      <c r="R531" s="331" t="s">
        <v>8782</v>
      </c>
      <c r="S531" s="334" t="s">
        <v>7093</v>
      </c>
      <c r="T531" s="303"/>
      <c r="U531" s="303"/>
      <c r="V531" s="303"/>
    </row>
    <row r="532" ht="20.25" customHeight="1">
      <c r="E532" s="355"/>
      <c r="F532" s="355"/>
      <c r="I532" s="328"/>
      <c r="K532" s="341">
        <v>522.0</v>
      </c>
      <c r="L532" s="330">
        <v>3.0</v>
      </c>
      <c r="M532" s="331" t="s">
        <v>9462</v>
      </c>
      <c r="N532" s="331" t="s">
        <v>9463</v>
      </c>
      <c r="O532" s="331" t="s">
        <v>9460</v>
      </c>
      <c r="P532" s="331" t="s">
        <v>9466</v>
      </c>
      <c r="Q532" s="414" t="s">
        <v>17204</v>
      </c>
      <c r="R532" s="336"/>
      <c r="S532" s="337"/>
      <c r="T532" s="303"/>
      <c r="U532" s="303"/>
      <c r="V532" s="303"/>
    </row>
    <row r="533" ht="20.25" customHeight="1">
      <c r="E533" s="355"/>
      <c r="F533" s="355"/>
      <c r="I533" s="328"/>
      <c r="K533" s="341">
        <v>522.0</v>
      </c>
      <c r="L533" s="330">
        <v>3.0</v>
      </c>
      <c r="M533" s="331" t="s">
        <v>14670</v>
      </c>
      <c r="N533" s="331" t="s">
        <v>14671</v>
      </c>
      <c r="O533" s="331" t="s">
        <v>14668</v>
      </c>
      <c r="P533" s="331" t="s">
        <v>9796</v>
      </c>
      <c r="Q533" s="331" t="s">
        <v>17205</v>
      </c>
      <c r="R533" s="374" t="s">
        <v>17206</v>
      </c>
      <c r="S533" s="375" t="s">
        <v>7136</v>
      </c>
      <c r="T533" s="303"/>
      <c r="U533" s="303"/>
      <c r="V533" s="303"/>
    </row>
    <row r="534" ht="20.25" customHeight="1">
      <c r="E534" s="355"/>
      <c r="F534" s="355"/>
      <c r="I534" s="328"/>
      <c r="K534" s="329">
        <v>522.0</v>
      </c>
      <c r="L534" s="330">
        <v>3.0</v>
      </c>
      <c r="M534" s="331" t="s">
        <v>11708</v>
      </c>
      <c r="N534" s="331" t="s">
        <v>15191</v>
      </c>
      <c r="O534" s="331" t="s">
        <v>15189</v>
      </c>
      <c r="P534" s="331" t="s">
        <v>9796</v>
      </c>
      <c r="Q534" s="338" t="s">
        <v>17207</v>
      </c>
      <c r="R534" s="331" t="s">
        <v>17208</v>
      </c>
      <c r="S534" s="334" t="s">
        <v>7070</v>
      </c>
      <c r="T534" s="303"/>
      <c r="U534" s="303"/>
      <c r="V534" s="303"/>
    </row>
    <row r="535" ht="20.25" customHeight="1">
      <c r="E535" s="355"/>
      <c r="F535" s="355"/>
      <c r="I535" s="328"/>
      <c r="K535" s="329">
        <v>522.0</v>
      </c>
      <c r="L535" s="330">
        <v>3.0</v>
      </c>
      <c r="M535" s="331" t="s">
        <v>12048</v>
      </c>
      <c r="N535" s="331" t="s">
        <v>15685</v>
      </c>
      <c r="O535" s="331" t="s">
        <v>15683</v>
      </c>
      <c r="P535" s="331" t="s">
        <v>9796</v>
      </c>
      <c r="Q535" s="331" t="s">
        <v>17209</v>
      </c>
      <c r="R535" s="331" t="s">
        <v>17210</v>
      </c>
      <c r="S535" s="334" t="s">
        <v>7252</v>
      </c>
      <c r="T535" s="303"/>
      <c r="U535" s="303"/>
      <c r="V535" s="303"/>
    </row>
    <row r="536" ht="20.25" customHeight="1">
      <c r="E536" s="355"/>
      <c r="F536" s="355"/>
      <c r="I536" s="328"/>
      <c r="K536" s="329">
        <v>522.0</v>
      </c>
      <c r="L536" s="330">
        <v>3.0</v>
      </c>
      <c r="M536" s="331" t="s">
        <v>12392</v>
      </c>
      <c r="N536" s="331" t="s">
        <v>15396</v>
      </c>
      <c r="O536" s="331" t="s">
        <v>15395</v>
      </c>
      <c r="P536" s="331" t="s">
        <v>9466</v>
      </c>
      <c r="Q536" s="338" t="s">
        <v>17211</v>
      </c>
      <c r="R536" s="331" t="s">
        <v>17212</v>
      </c>
      <c r="S536" s="334" t="s">
        <v>7252</v>
      </c>
      <c r="T536" s="303"/>
      <c r="U536" s="303"/>
      <c r="V536" s="303"/>
    </row>
    <row r="537" ht="20.25" customHeight="1">
      <c r="E537" s="355"/>
      <c r="F537" s="355"/>
      <c r="I537" s="328"/>
      <c r="K537" s="329">
        <v>522.0</v>
      </c>
      <c r="L537" s="330">
        <v>3.0</v>
      </c>
      <c r="M537" s="331" t="s">
        <v>11643</v>
      </c>
      <c r="N537" s="331" t="s">
        <v>15138</v>
      </c>
      <c r="O537" s="331" t="s">
        <v>15137</v>
      </c>
      <c r="P537" s="331" t="s">
        <v>9466</v>
      </c>
      <c r="Q537" s="338" t="s">
        <v>17213</v>
      </c>
      <c r="R537" s="331" t="s">
        <v>17214</v>
      </c>
      <c r="S537" s="334" t="s">
        <v>6993</v>
      </c>
      <c r="T537" s="303"/>
      <c r="U537" s="303"/>
      <c r="V537" s="303"/>
    </row>
    <row r="538" ht="20.25" customHeight="1">
      <c r="E538" s="355"/>
      <c r="F538" s="355"/>
      <c r="I538" s="328"/>
      <c r="K538" s="341">
        <v>522.0</v>
      </c>
      <c r="L538" s="330">
        <v>3.0</v>
      </c>
      <c r="M538" s="331" t="s">
        <v>14121</v>
      </c>
      <c r="N538" s="331" t="s">
        <v>14122</v>
      </c>
      <c r="O538" s="331" t="s">
        <v>14119</v>
      </c>
      <c r="P538" s="331" t="s">
        <v>9466</v>
      </c>
      <c r="Q538" s="338" t="s">
        <v>17215</v>
      </c>
      <c r="R538" s="336"/>
      <c r="S538" s="337"/>
      <c r="T538" s="303"/>
      <c r="U538" s="303"/>
      <c r="V538" s="303"/>
    </row>
    <row r="539" ht="20.25" customHeight="1">
      <c r="E539" s="355"/>
      <c r="F539" s="355"/>
      <c r="I539" s="328"/>
      <c r="K539" s="341">
        <v>522.0</v>
      </c>
      <c r="L539" s="330">
        <v>3.0</v>
      </c>
      <c r="M539" s="331" t="s">
        <v>10018</v>
      </c>
      <c r="N539" s="331" t="s">
        <v>10019</v>
      </c>
      <c r="O539" s="331" t="s">
        <v>10017</v>
      </c>
      <c r="P539" s="331" t="s">
        <v>9466</v>
      </c>
      <c r="Q539" s="338" t="s">
        <v>17216</v>
      </c>
      <c r="R539" s="336"/>
      <c r="S539" s="337"/>
      <c r="T539" s="303"/>
      <c r="U539" s="303"/>
      <c r="V539" s="303"/>
    </row>
    <row r="540" ht="20.25" customHeight="1">
      <c r="E540" s="355"/>
      <c r="F540" s="355"/>
      <c r="I540" s="328"/>
      <c r="K540" s="341">
        <v>522.0</v>
      </c>
      <c r="L540" s="330">
        <v>3.0</v>
      </c>
      <c r="M540" s="331" t="s">
        <v>9483</v>
      </c>
      <c r="N540" s="331" t="s">
        <v>9484</v>
      </c>
      <c r="O540" s="331" t="s">
        <v>9481</v>
      </c>
      <c r="P540" s="331" t="s">
        <v>9466</v>
      </c>
      <c r="Q540" s="331" t="s">
        <v>17217</v>
      </c>
      <c r="R540" s="336"/>
      <c r="S540" s="337"/>
      <c r="T540" s="303"/>
      <c r="U540" s="303"/>
      <c r="V540" s="303"/>
    </row>
    <row r="541" ht="20.25" customHeight="1">
      <c r="E541" s="355"/>
      <c r="F541" s="355"/>
      <c r="I541" s="328"/>
      <c r="K541" s="341">
        <v>522.0</v>
      </c>
      <c r="L541" s="330">
        <v>3.0</v>
      </c>
      <c r="M541" s="331" t="s">
        <v>15712</v>
      </c>
      <c r="N541" s="331" t="s">
        <v>15713</v>
      </c>
      <c r="O541" s="331" t="s">
        <v>15710</v>
      </c>
      <c r="P541" s="331" t="s">
        <v>9466</v>
      </c>
      <c r="Q541" s="338" t="s">
        <v>17218</v>
      </c>
      <c r="R541" s="336"/>
      <c r="S541" s="337"/>
      <c r="T541" s="303"/>
      <c r="U541" s="303"/>
      <c r="V541" s="303"/>
    </row>
    <row r="542" ht="20.25" customHeight="1">
      <c r="E542" s="355"/>
      <c r="F542" s="355"/>
      <c r="I542" s="328"/>
      <c r="K542" s="341">
        <v>522.0</v>
      </c>
      <c r="L542" s="330">
        <v>3.0</v>
      </c>
      <c r="M542" s="331" t="s">
        <v>13776</v>
      </c>
      <c r="N542" s="331" t="s">
        <v>13777</v>
      </c>
      <c r="O542" s="331" t="s">
        <v>8839</v>
      </c>
      <c r="P542" s="331" t="s">
        <v>9466</v>
      </c>
      <c r="Q542" s="335" t="s">
        <v>17219</v>
      </c>
      <c r="R542" s="374" t="s">
        <v>8842</v>
      </c>
      <c r="S542" s="375" t="s">
        <v>7136</v>
      </c>
      <c r="T542" s="303"/>
      <c r="U542" s="303"/>
      <c r="V542" s="303"/>
    </row>
    <row r="543" ht="20.25" customHeight="1">
      <c r="E543" s="355"/>
      <c r="F543" s="355"/>
      <c r="I543" s="328"/>
      <c r="K543" s="341">
        <v>522.0</v>
      </c>
      <c r="L543" s="330">
        <v>3.0</v>
      </c>
      <c r="M543" s="331" t="s">
        <v>14891</v>
      </c>
      <c r="N543" s="331" t="s">
        <v>14892</v>
      </c>
      <c r="O543" s="331" t="s">
        <v>14890</v>
      </c>
      <c r="P543" s="331" t="s">
        <v>9466</v>
      </c>
      <c r="Q543" s="338" t="s">
        <v>17220</v>
      </c>
      <c r="R543" s="331" t="s">
        <v>17221</v>
      </c>
      <c r="S543" s="334" t="s">
        <v>8513</v>
      </c>
      <c r="T543" s="303"/>
      <c r="U543" s="303"/>
      <c r="V543" s="303"/>
    </row>
    <row r="544" ht="20.25" customHeight="1">
      <c r="E544" s="355"/>
      <c r="F544" s="355"/>
      <c r="I544" s="328"/>
      <c r="K544" s="329">
        <v>522.0</v>
      </c>
      <c r="L544" s="330">
        <v>3.0</v>
      </c>
      <c r="M544" s="331" t="s">
        <v>14329</v>
      </c>
      <c r="N544" s="331" t="s">
        <v>10588</v>
      </c>
      <c r="O544" s="331" t="s">
        <v>8843</v>
      </c>
      <c r="P544" s="353" t="s">
        <v>9466</v>
      </c>
      <c r="Q544" s="338" t="s">
        <v>17222</v>
      </c>
      <c r="R544" s="331" t="s">
        <v>8846</v>
      </c>
      <c r="S544" s="334" t="s">
        <v>7005</v>
      </c>
      <c r="T544" s="303"/>
      <c r="U544" s="303"/>
      <c r="V544" s="303"/>
    </row>
    <row r="545" ht="20.25" customHeight="1">
      <c r="E545" s="355"/>
      <c r="F545" s="355"/>
      <c r="I545" s="328"/>
      <c r="K545" s="342">
        <v>522.0</v>
      </c>
      <c r="L545" s="343">
        <v>3.0</v>
      </c>
      <c r="M545" s="344" t="s">
        <v>9640</v>
      </c>
      <c r="N545" s="344" t="s">
        <v>9641</v>
      </c>
      <c r="O545" s="344" t="s">
        <v>9638</v>
      </c>
      <c r="P545" s="392" t="s">
        <v>9466</v>
      </c>
      <c r="Q545" s="392" t="s">
        <v>9642</v>
      </c>
      <c r="R545" s="344" t="s">
        <v>17223</v>
      </c>
      <c r="S545" s="346" t="s">
        <v>8146</v>
      </c>
      <c r="T545" s="303"/>
      <c r="U545" s="303"/>
      <c r="V545" s="303"/>
    </row>
    <row r="546" ht="20.25" customHeight="1">
      <c r="E546" s="355"/>
      <c r="F546" s="355"/>
      <c r="I546" s="316" t="s">
        <v>17224</v>
      </c>
      <c r="K546" s="329">
        <v>522.0</v>
      </c>
      <c r="L546" s="330">
        <v>4.0</v>
      </c>
      <c r="M546" s="331" t="s">
        <v>14602</v>
      </c>
      <c r="N546" s="331" t="s">
        <v>14603</v>
      </c>
      <c r="O546" s="331" t="s">
        <v>8804</v>
      </c>
      <c r="P546" s="332" t="s">
        <v>9604</v>
      </c>
      <c r="Q546" s="335" t="s">
        <v>17225</v>
      </c>
      <c r="R546" s="331" t="s">
        <v>17226</v>
      </c>
      <c r="S546" s="334" t="s">
        <v>7048</v>
      </c>
      <c r="T546" s="303"/>
      <c r="U546" s="303"/>
      <c r="V546" s="303"/>
    </row>
    <row r="547" ht="20.25" customHeight="1">
      <c r="E547" s="355"/>
      <c r="F547" s="355"/>
      <c r="I547" s="328"/>
      <c r="K547" s="329">
        <v>522.0</v>
      </c>
      <c r="L547" s="330">
        <v>4.0</v>
      </c>
      <c r="M547" s="331" t="s">
        <v>14679</v>
      </c>
      <c r="N547" s="331" t="s">
        <v>14680</v>
      </c>
      <c r="O547" s="331" t="s">
        <v>454</v>
      </c>
      <c r="P547" s="332" t="s">
        <v>4805</v>
      </c>
      <c r="Q547" s="335" t="s">
        <v>17227</v>
      </c>
      <c r="R547" s="331" t="s">
        <v>8894</v>
      </c>
      <c r="S547" s="334" t="s">
        <v>7750</v>
      </c>
      <c r="T547" s="303"/>
      <c r="U547" s="303"/>
      <c r="V547" s="303"/>
    </row>
    <row r="548" ht="20.25" customHeight="1">
      <c r="E548" s="355"/>
      <c r="F548" s="355"/>
      <c r="I548" s="328"/>
      <c r="K548" s="329">
        <v>522.0</v>
      </c>
      <c r="L548" s="330">
        <v>4.0</v>
      </c>
      <c r="M548" s="331" t="s">
        <v>14927</v>
      </c>
      <c r="N548" s="331" t="s">
        <v>14928</v>
      </c>
      <c r="O548" s="331" t="s">
        <v>8904</v>
      </c>
      <c r="P548" s="357" t="s">
        <v>2062</v>
      </c>
      <c r="Q548" s="338" t="s">
        <v>17228</v>
      </c>
      <c r="R548" s="331" t="s">
        <v>8907</v>
      </c>
      <c r="S548" s="334" t="s">
        <v>6937</v>
      </c>
      <c r="T548" s="303"/>
      <c r="U548" s="303"/>
      <c r="V548" s="303"/>
    </row>
    <row r="549" ht="20.25" customHeight="1">
      <c r="E549" s="355"/>
      <c r="F549" s="355"/>
      <c r="I549" s="328"/>
      <c r="K549" s="341">
        <v>522.0</v>
      </c>
      <c r="L549" s="330">
        <v>4.0</v>
      </c>
      <c r="M549" s="331" t="s">
        <v>15458</v>
      </c>
      <c r="N549" s="331" t="s">
        <v>15459</v>
      </c>
      <c r="O549" s="331" t="s">
        <v>8899</v>
      </c>
      <c r="P549" s="357" t="s">
        <v>2062</v>
      </c>
      <c r="Q549" s="335" t="s">
        <v>17229</v>
      </c>
      <c r="R549" s="374" t="s">
        <v>7777</v>
      </c>
      <c r="S549" s="375" t="s">
        <v>7173</v>
      </c>
      <c r="T549" s="303"/>
      <c r="U549" s="303"/>
      <c r="V549" s="303"/>
    </row>
    <row r="550" ht="20.25" customHeight="1">
      <c r="E550" s="355"/>
      <c r="F550" s="355"/>
      <c r="I550" s="328"/>
      <c r="K550" s="341">
        <v>522.0</v>
      </c>
      <c r="L550" s="330">
        <v>4.0</v>
      </c>
      <c r="M550" s="331" t="s">
        <v>9548</v>
      </c>
      <c r="N550" s="331" t="s">
        <v>13481</v>
      </c>
      <c r="O550" s="331" t="s">
        <v>8854</v>
      </c>
      <c r="P550" s="332" t="s">
        <v>4756</v>
      </c>
      <c r="Q550" s="335" t="s">
        <v>17230</v>
      </c>
      <c r="R550" s="331" t="s">
        <v>8856</v>
      </c>
      <c r="S550" s="334" t="s">
        <v>6928</v>
      </c>
      <c r="T550" s="303"/>
      <c r="U550" s="303"/>
      <c r="V550" s="303"/>
    </row>
    <row r="551" ht="20.25" customHeight="1">
      <c r="E551" s="355"/>
      <c r="F551" s="355"/>
      <c r="I551" s="328"/>
      <c r="K551" s="341">
        <v>522.0</v>
      </c>
      <c r="L551" s="330">
        <v>4.0</v>
      </c>
      <c r="M551" s="331" t="s">
        <v>15370</v>
      </c>
      <c r="N551" s="331" t="s">
        <v>15371</v>
      </c>
      <c r="O551" s="331" t="s">
        <v>8861</v>
      </c>
      <c r="P551" s="331" t="s">
        <v>12963</v>
      </c>
      <c r="Q551" s="335" t="s">
        <v>17231</v>
      </c>
      <c r="R551" s="331" t="s">
        <v>17232</v>
      </c>
      <c r="S551" s="334" t="s">
        <v>7093</v>
      </c>
      <c r="T551" s="303"/>
      <c r="U551" s="303"/>
      <c r="V551" s="303"/>
    </row>
    <row r="552" ht="20.25" customHeight="1">
      <c r="E552" s="355"/>
      <c r="F552" s="355"/>
      <c r="I552" s="328"/>
      <c r="K552" s="341">
        <v>522.0</v>
      </c>
      <c r="L552" s="330">
        <v>4.0</v>
      </c>
      <c r="M552" s="331" t="s">
        <v>14676</v>
      </c>
      <c r="N552" s="331" t="s">
        <v>14677</v>
      </c>
      <c r="O552" s="331" t="s">
        <v>8858</v>
      </c>
      <c r="P552" s="332" t="s">
        <v>12963</v>
      </c>
      <c r="Q552" s="335" t="s">
        <v>17233</v>
      </c>
      <c r="R552" s="331" t="s">
        <v>8860</v>
      </c>
      <c r="S552" s="334" t="s">
        <v>7112</v>
      </c>
      <c r="T552" s="303"/>
      <c r="U552" s="303"/>
      <c r="V552" s="303"/>
    </row>
    <row r="553" ht="20.25" customHeight="1">
      <c r="E553" s="355"/>
      <c r="F553" s="355"/>
      <c r="I553" s="328"/>
      <c r="K553" s="341">
        <v>522.0</v>
      </c>
      <c r="L553" s="330">
        <v>4.0</v>
      </c>
      <c r="M553" s="331" t="s">
        <v>12960</v>
      </c>
      <c r="N553" s="331" t="s">
        <v>12961</v>
      </c>
      <c r="O553" s="331" t="s">
        <v>8863</v>
      </c>
      <c r="P553" s="332" t="s">
        <v>12963</v>
      </c>
      <c r="Q553" s="332" t="s">
        <v>12962</v>
      </c>
      <c r="R553" s="331" t="s">
        <v>8865</v>
      </c>
      <c r="S553" s="334" t="s">
        <v>6928</v>
      </c>
      <c r="T553" s="303"/>
      <c r="U553" s="303"/>
      <c r="V553" s="303"/>
    </row>
    <row r="554" ht="20.25" customHeight="1">
      <c r="E554" s="355"/>
      <c r="F554" s="355"/>
      <c r="I554" s="328"/>
      <c r="K554" s="341">
        <v>522.0</v>
      </c>
      <c r="L554" s="330">
        <v>4.0</v>
      </c>
      <c r="M554" s="331" t="s">
        <v>13022</v>
      </c>
      <c r="N554" s="331" t="s">
        <v>13023</v>
      </c>
      <c r="O554" s="331" t="s">
        <v>8867</v>
      </c>
      <c r="P554" s="331" t="s">
        <v>13025</v>
      </c>
      <c r="Q554" s="338" t="s">
        <v>17234</v>
      </c>
      <c r="R554" s="331" t="s">
        <v>8869</v>
      </c>
      <c r="S554" s="334" t="s">
        <v>7093</v>
      </c>
      <c r="T554" s="303"/>
      <c r="U554" s="303"/>
      <c r="V554" s="303"/>
    </row>
    <row r="555" ht="20.25" customHeight="1">
      <c r="E555" s="355"/>
      <c r="F555" s="355"/>
      <c r="I555" s="328"/>
      <c r="K555" s="341">
        <v>522.0</v>
      </c>
      <c r="L555" s="330">
        <v>4.0</v>
      </c>
      <c r="M555" s="331" t="s">
        <v>15076</v>
      </c>
      <c r="N555" s="331" t="s">
        <v>15080</v>
      </c>
      <c r="O555" s="331" t="s">
        <v>9040</v>
      </c>
      <c r="P555" s="332" t="s">
        <v>13025</v>
      </c>
      <c r="Q555" s="353" t="s">
        <v>15081</v>
      </c>
      <c r="R555" s="331" t="s">
        <v>17235</v>
      </c>
      <c r="S555" s="334" t="s">
        <v>7186</v>
      </c>
      <c r="T555" s="303"/>
      <c r="U555" s="303"/>
      <c r="V555" s="303"/>
    </row>
    <row r="556" ht="20.25" customHeight="1">
      <c r="E556" s="355"/>
      <c r="F556" s="355"/>
      <c r="I556" s="328"/>
      <c r="K556" s="341">
        <v>522.0</v>
      </c>
      <c r="L556" s="330">
        <v>4.0</v>
      </c>
      <c r="M556" s="331" t="s">
        <v>15546</v>
      </c>
      <c r="N556" s="331" t="s">
        <v>15547</v>
      </c>
      <c r="O556" s="331" t="s">
        <v>9217</v>
      </c>
      <c r="P556" s="331" t="s">
        <v>10437</v>
      </c>
      <c r="Q556" s="338" t="s">
        <v>17236</v>
      </c>
      <c r="R556" s="374" t="s">
        <v>8888</v>
      </c>
      <c r="S556" s="375" t="s">
        <v>6939</v>
      </c>
      <c r="T556" s="303"/>
      <c r="U556" s="303"/>
      <c r="V556" s="303"/>
    </row>
    <row r="557" ht="20.25" customHeight="1">
      <c r="E557" s="355"/>
      <c r="F557" s="355"/>
      <c r="I557" s="328"/>
      <c r="K557" s="341">
        <v>522.0</v>
      </c>
      <c r="L557" s="330">
        <v>4.0</v>
      </c>
      <c r="M557" s="331" t="s">
        <v>15945</v>
      </c>
      <c r="N557" s="331" t="s">
        <v>15946</v>
      </c>
      <c r="O557" s="331" t="s">
        <v>8848</v>
      </c>
      <c r="P557" s="332" t="s">
        <v>4835</v>
      </c>
      <c r="Q557" s="418" t="s">
        <v>17237</v>
      </c>
      <c r="R557" s="331" t="s">
        <v>17238</v>
      </c>
      <c r="S557" s="334" t="s">
        <v>7375</v>
      </c>
      <c r="T557" s="303"/>
      <c r="U557" s="303"/>
      <c r="V557" s="303"/>
    </row>
    <row r="558" ht="20.25" customHeight="1">
      <c r="E558" s="355"/>
      <c r="F558" s="355"/>
      <c r="I558" s="328"/>
      <c r="K558" s="341">
        <v>522.0</v>
      </c>
      <c r="L558" s="330">
        <v>4.0</v>
      </c>
      <c r="M558" s="331" t="s">
        <v>14852</v>
      </c>
      <c r="N558" s="331" t="s">
        <v>14853</v>
      </c>
      <c r="O558" s="331" t="s">
        <v>3203</v>
      </c>
      <c r="P558" s="353" t="s">
        <v>9917</v>
      </c>
      <c r="Q558" s="381" t="s">
        <v>17239</v>
      </c>
      <c r="R558" s="331" t="s">
        <v>8891</v>
      </c>
      <c r="S558" s="334" t="s">
        <v>7893</v>
      </c>
      <c r="T558" s="303"/>
      <c r="U558" s="303"/>
      <c r="V558" s="303"/>
    </row>
    <row r="559" ht="20.25" customHeight="1">
      <c r="E559" s="355"/>
      <c r="F559" s="355"/>
      <c r="I559" s="328"/>
      <c r="K559" s="329">
        <v>522.0</v>
      </c>
      <c r="L559" s="330">
        <v>4.0</v>
      </c>
      <c r="M559" s="331" t="s">
        <v>13972</v>
      </c>
      <c r="N559" s="331" t="s">
        <v>13973</v>
      </c>
      <c r="O559" s="331" t="s">
        <v>8878</v>
      </c>
      <c r="P559" s="331" t="s">
        <v>13398</v>
      </c>
      <c r="Q559" s="338" t="s">
        <v>17240</v>
      </c>
      <c r="R559" s="331" t="s">
        <v>8880</v>
      </c>
      <c r="S559" s="334" t="s">
        <v>6993</v>
      </c>
      <c r="T559" s="303"/>
      <c r="U559" s="303"/>
      <c r="V559" s="303"/>
    </row>
    <row r="560" ht="20.25" customHeight="1">
      <c r="E560" s="355"/>
      <c r="F560" s="355"/>
      <c r="I560" s="328"/>
      <c r="K560" s="341">
        <v>522.0</v>
      </c>
      <c r="L560" s="330">
        <v>4.0</v>
      </c>
      <c r="M560" s="331" t="s">
        <v>13395</v>
      </c>
      <c r="N560" s="331" t="s">
        <v>13396</v>
      </c>
      <c r="O560" s="331" t="s">
        <v>8874</v>
      </c>
      <c r="P560" s="331" t="s">
        <v>13398</v>
      </c>
      <c r="Q560" s="338" t="s">
        <v>17241</v>
      </c>
      <c r="R560" s="331" t="s">
        <v>8876</v>
      </c>
      <c r="S560" s="334" t="s">
        <v>7093</v>
      </c>
      <c r="T560" s="303"/>
      <c r="U560" s="303"/>
      <c r="V560" s="303"/>
    </row>
    <row r="561" ht="20.25" customHeight="1">
      <c r="E561" s="355"/>
      <c r="F561" s="355"/>
      <c r="I561" s="328"/>
      <c r="K561" s="329">
        <v>522.0</v>
      </c>
      <c r="L561" s="330">
        <v>4.0</v>
      </c>
      <c r="M561" s="331" t="s">
        <v>14573</v>
      </c>
      <c r="N561" s="331" t="s">
        <v>14574</v>
      </c>
      <c r="O561" s="331" t="s">
        <v>9211</v>
      </c>
      <c r="P561" s="357" t="s">
        <v>13398</v>
      </c>
      <c r="Q561" s="338" t="s">
        <v>17242</v>
      </c>
      <c r="R561" s="331" t="s">
        <v>9213</v>
      </c>
      <c r="S561" s="334" t="s">
        <v>6993</v>
      </c>
      <c r="T561" s="303"/>
      <c r="U561" s="303"/>
      <c r="V561" s="303"/>
    </row>
    <row r="562" ht="20.25" customHeight="1">
      <c r="E562" s="355"/>
      <c r="F562" s="355"/>
      <c r="I562" s="328"/>
      <c r="K562" s="329">
        <v>522.0</v>
      </c>
      <c r="L562" s="330">
        <v>4.0</v>
      </c>
      <c r="M562" s="331" t="s">
        <v>14055</v>
      </c>
      <c r="N562" s="331" t="s">
        <v>14056</v>
      </c>
      <c r="O562" s="331" t="s">
        <v>9191</v>
      </c>
      <c r="P562" s="331" t="s">
        <v>12359</v>
      </c>
      <c r="Q562" s="338" t="s">
        <v>17243</v>
      </c>
      <c r="R562" s="331" t="s">
        <v>9193</v>
      </c>
      <c r="S562" s="334" t="s">
        <v>8739</v>
      </c>
      <c r="T562" s="303"/>
      <c r="U562" s="303"/>
      <c r="V562" s="303"/>
    </row>
    <row r="563" ht="20.25" customHeight="1">
      <c r="E563" s="355"/>
      <c r="F563" s="355"/>
      <c r="I563" s="328"/>
      <c r="K563" s="329">
        <v>522.0</v>
      </c>
      <c r="L563" s="330">
        <v>4.0</v>
      </c>
      <c r="M563" s="331" t="s">
        <v>13412</v>
      </c>
      <c r="N563" s="331" t="s">
        <v>13413</v>
      </c>
      <c r="O563" s="331" t="s">
        <v>709</v>
      </c>
      <c r="P563" s="340" t="s">
        <v>9796</v>
      </c>
      <c r="Q563" s="353" t="s">
        <v>713</v>
      </c>
      <c r="R563" s="331" t="s">
        <v>17244</v>
      </c>
      <c r="S563" s="334" t="s">
        <v>7070</v>
      </c>
      <c r="T563" s="303"/>
      <c r="U563" s="303"/>
      <c r="V563" s="303"/>
    </row>
    <row r="564" ht="20.25" customHeight="1">
      <c r="E564" s="355"/>
      <c r="F564" s="355"/>
      <c r="I564" s="328"/>
      <c r="K564" s="329">
        <v>522.0</v>
      </c>
      <c r="L564" s="330">
        <v>4.0</v>
      </c>
      <c r="M564" s="331" t="s">
        <v>12515</v>
      </c>
      <c r="N564" s="331" t="s">
        <v>13858</v>
      </c>
      <c r="O564" s="331" t="s">
        <v>8925</v>
      </c>
      <c r="P564" s="340" t="s">
        <v>9466</v>
      </c>
      <c r="Q564" s="338" t="s">
        <v>17245</v>
      </c>
      <c r="R564" s="331" t="s">
        <v>8928</v>
      </c>
      <c r="S564" s="334" t="s">
        <v>6993</v>
      </c>
      <c r="T564" s="303"/>
      <c r="U564" s="303"/>
      <c r="V564" s="303"/>
    </row>
    <row r="565" ht="20.25" customHeight="1">
      <c r="E565" s="355"/>
      <c r="F565" s="355"/>
      <c r="I565" s="328"/>
      <c r="K565" s="329">
        <v>522.0</v>
      </c>
      <c r="L565" s="330">
        <v>4.0</v>
      </c>
      <c r="M565" s="331" t="s">
        <v>16000</v>
      </c>
      <c r="N565" s="331" t="s">
        <v>16001</v>
      </c>
      <c r="O565" s="331" t="s">
        <v>8917</v>
      </c>
      <c r="P565" s="331" t="s">
        <v>9466</v>
      </c>
      <c r="Q565" s="331" t="s">
        <v>17246</v>
      </c>
      <c r="R565" s="331" t="s">
        <v>8920</v>
      </c>
      <c r="S565" s="334" t="s">
        <v>7005</v>
      </c>
      <c r="T565" s="303"/>
      <c r="U565" s="303"/>
      <c r="V565" s="303"/>
    </row>
    <row r="566" ht="20.25" customHeight="1">
      <c r="E566" s="355"/>
      <c r="F566" s="355"/>
      <c r="I566" s="328"/>
      <c r="K566" s="329">
        <v>522.0</v>
      </c>
      <c r="L566" s="330">
        <v>4.0</v>
      </c>
      <c r="M566" s="331" t="s">
        <v>10675</v>
      </c>
      <c r="N566" s="331" t="s">
        <v>13672</v>
      </c>
      <c r="O566" s="331" t="s">
        <v>13671</v>
      </c>
      <c r="P566" s="331" t="s">
        <v>9466</v>
      </c>
      <c r="Q566" s="338" t="s">
        <v>17247</v>
      </c>
      <c r="R566" s="331" t="s">
        <v>17248</v>
      </c>
      <c r="S566" s="334" t="s">
        <v>7005</v>
      </c>
      <c r="T566" s="303"/>
      <c r="U566" s="303"/>
      <c r="V566" s="303"/>
    </row>
    <row r="567" ht="20.25" customHeight="1">
      <c r="E567" s="355"/>
      <c r="F567" s="355"/>
      <c r="I567" s="328"/>
      <c r="K567" s="329">
        <v>522.0</v>
      </c>
      <c r="L567" s="330">
        <v>4.0</v>
      </c>
      <c r="M567" s="331" t="s">
        <v>14184</v>
      </c>
      <c r="N567" s="331" t="s">
        <v>14185</v>
      </c>
      <c r="O567" s="331" t="s">
        <v>229</v>
      </c>
      <c r="P567" s="331" t="s">
        <v>9466</v>
      </c>
      <c r="Q567" s="338" t="s">
        <v>17249</v>
      </c>
      <c r="R567" s="331" t="s">
        <v>17250</v>
      </c>
      <c r="S567" s="334" t="s">
        <v>6993</v>
      </c>
      <c r="T567" s="303"/>
      <c r="U567" s="303"/>
      <c r="V567" s="303"/>
    </row>
    <row r="568" ht="20.25" customHeight="1">
      <c r="E568" s="355"/>
      <c r="F568" s="355"/>
      <c r="I568" s="328"/>
      <c r="K568" s="329">
        <v>522.0</v>
      </c>
      <c r="L568" s="330">
        <v>4.0</v>
      </c>
      <c r="M568" s="331" t="s">
        <v>15218</v>
      </c>
      <c r="N568" s="331" t="s">
        <v>15219</v>
      </c>
      <c r="O568" s="331" t="s">
        <v>8921</v>
      </c>
      <c r="P568" s="353" t="s">
        <v>9466</v>
      </c>
      <c r="Q568" s="353" t="s">
        <v>15221</v>
      </c>
      <c r="R568" s="331" t="s">
        <v>17251</v>
      </c>
      <c r="S568" s="334" t="s">
        <v>8513</v>
      </c>
      <c r="T568" s="303"/>
      <c r="U568" s="303"/>
      <c r="V568" s="303"/>
    </row>
    <row r="569" ht="20.25" customHeight="1">
      <c r="E569" s="355"/>
      <c r="F569" s="355"/>
      <c r="I569" s="328"/>
      <c r="K569" s="341">
        <v>522.0</v>
      </c>
      <c r="L569" s="330">
        <v>4.0</v>
      </c>
      <c r="M569" s="331" t="s">
        <v>15338</v>
      </c>
      <c r="N569" s="331" t="s">
        <v>15339</v>
      </c>
      <c r="O569" s="331" t="s">
        <v>15337</v>
      </c>
      <c r="P569" s="332" t="s">
        <v>9466</v>
      </c>
      <c r="Q569" s="335" t="s">
        <v>17252</v>
      </c>
      <c r="R569" s="331" t="s">
        <v>8883</v>
      </c>
      <c r="S569" s="334" t="s">
        <v>7157</v>
      </c>
      <c r="T569" s="303"/>
      <c r="U569" s="303"/>
      <c r="V569" s="303"/>
    </row>
    <row r="570" ht="20.25" customHeight="1">
      <c r="E570" s="355"/>
      <c r="F570" s="355"/>
      <c r="I570" s="328"/>
      <c r="K570" s="382">
        <v>522.0</v>
      </c>
      <c r="L570" s="343">
        <v>4.0</v>
      </c>
      <c r="M570" s="344" t="s">
        <v>13163</v>
      </c>
      <c r="N570" s="344" t="s">
        <v>13164</v>
      </c>
      <c r="O570" s="344" t="s">
        <v>8913</v>
      </c>
      <c r="P570" s="344" t="s">
        <v>13166</v>
      </c>
      <c r="Q570" s="392" t="s">
        <v>13165</v>
      </c>
      <c r="R570" s="419" t="s">
        <v>8916</v>
      </c>
      <c r="S570" s="420" t="s">
        <v>6930</v>
      </c>
      <c r="T570" s="303"/>
      <c r="U570" s="303"/>
      <c r="V570" s="303"/>
    </row>
    <row r="571" ht="20.25" customHeight="1">
      <c r="E571" s="355"/>
      <c r="F571" s="355"/>
      <c r="I571" s="316" t="s">
        <v>17253</v>
      </c>
      <c r="K571" s="329">
        <v>522.0</v>
      </c>
      <c r="L571" s="330">
        <v>4.0</v>
      </c>
      <c r="M571" s="331" t="s">
        <v>13012</v>
      </c>
      <c r="N571" s="331" t="s">
        <v>13013</v>
      </c>
      <c r="O571" s="331" t="s">
        <v>13011</v>
      </c>
      <c r="P571" s="381" t="s">
        <v>1392</v>
      </c>
      <c r="Q571" s="335" t="s">
        <v>17254</v>
      </c>
      <c r="R571" s="331" t="s">
        <v>17255</v>
      </c>
      <c r="S571" s="334" t="s">
        <v>7357</v>
      </c>
      <c r="T571" s="303"/>
      <c r="U571" s="303"/>
      <c r="V571" s="303"/>
    </row>
    <row r="572" ht="20.25" customHeight="1">
      <c r="E572" s="355"/>
      <c r="F572" s="355"/>
      <c r="I572" s="328"/>
      <c r="K572" s="341">
        <v>522.0</v>
      </c>
      <c r="L572" s="330">
        <v>4.0</v>
      </c>
      <c r="M572" s="331" t="s">
        <v>14634</v>
      </c>
      <c r="N572" s="331" t="s">
        <v>14635</v>
      </c>
      <c r="O572" s="331" t="s">
        <v>14632</v>
      </c>
      <c r="P572" s="381" t="s">
        <v>4818</v>
      </c>
      <c r="Q572" s="338" t="s">
        <v>17256</v>
      </c>
      <c r="R572" s="374" t="s">
        <v>17257</v>
      </c>
      <c r="S572" s="375" t="s">
        <v>6952</v>
      </c>
      <c r="T572" s="303"/>
      <c r="U572" s="303"/>
      <c r="V572" s="303"/>
    </row>
    <row r="573" ht="20.25" customHeight="1">
      <c r="E573" s="355"/>
      <c r="F573" s="355"/>
      <c r="I573" s="328"/>
      <c r="K573" s="329">
        <v>522.0</v>
      </c>
      <c r="L573" s="330">
        <v>4.0</v>
      </c>
      <c r="M573" s="331" t="s">
        <v>15156</v>
      </c>
      <c r="N573" s="331" t="s">
        <v>15157</v>
      </c>
      <c r="O573" s="331" t="s">
        <v>793</v>
      </c>
      <c r="P573" s="381" t="s">
        <v>4818</v>
      </c>
      <c r="Q573" s="353" t="s">
        <v>796</v>
      </c>
      <c r="R573" s="331" t="s">
        <v>17258</v>
      </c>
      <c r="S573" s="334" t="s">
        <v>7005</v>
      </c>
      <c r="T573" s="303"/>
      <c r="U573" s="303"/>
      <c r="V573" s="303"/>
    </row>
    <row r="574" ht="20.25" customHeight="1">
      <c r="E574" s="355"/>
      <c r="F574" s="355"/>
      <c r="I574" s="328"/>
      <c r="K574" s="341">
        <v>522.0</v>
      </c>
      <c r="L574" s="330">
        <v>4.0</v>
      </c>
      <c r="M574" s="331" t="s">
        <v>12965</v>
      </c>
      <c r="N574" s="331" t="s">
        <v>12966</v>
      </c>
      <c r="O574" s="331" t="s">
        <v>12964</v>
      </c>
      <c r="P574" s="332" t="s">
        <v>4749</v>
      </c>
      <c r="Q574" s="335" t="s">
        <v>17259</v>
      </c>
      <c r="R574" s="374" t="s">
        <v>17260</v>
      </c>
      <c r="S574" s="375" t="s">
        <v>6939</v>
      </c>
      <c r="T574" s="303"/>
      <c r="U574" s="303"/>
      <c r="V574" s="303"/>
    </row>
    <row r="575" ht="20.25" customHeight="1">
      <c r="E575" s="355"/>
      <c r="F575" s="355"/>
      <c r="I575" s="328"/>
      <c r="K575" s="329">
        <v>522.0</v>
      </c>
      <c r="L575" s="330">
        <v>4.0</v>
      </c>
      <c r="M575" s="331" t="s">
        <v>10642</v>
      </c>
      <c r="N575" s="331" t="s">
        <v>13684</v>
      </c>
      <c r="O575" s="331" t="s">
        <v>13683</v>
      </c>
      <c r="P575" s="331" t="s">
        <v>4749</v>
      </c>
      <c r="Q575" s="338" t="s">
        <v>17261</v>
      </c>
      <c r="R575" s="331" t="s">
        <v>17262</v>
      </c>
      <c r="S575" s="334" t="s">
        <v>7357</v>
      </c>
      <c r="T575" s="303"/>
      <c r="U575" s="303"/>
      <c r="V575" s="303"/>
    </row>
    <row r="576" ht="20.25" customHeight="1">
      <c r="E576" s="355"/>
      <c r="F576" s="355"/>
      <c r="I576" s="328"/>
      <c r="K576" s="341">
        <v>522.0</v>
      </c>
      <c r="L576" s="330">
        <v>4.0</v>
      </c>
      <c r="M576" s="331" t="s">
        <v>14825</v>
      </c>
      <c r="N576" s="331" t="s">
        <v>14826</v>
      </c>
      <c r="O576" s="331" t="s">
        <v>14824</v>
      </c>
      <c r="P576" s="331" t="s">
        <v>4749</v>
      </c>
      <c r="Q576" s="338" t="s">
        <v>17263</v>
      </c>
      <c r="R576" s="374" t="s">
        <v>17264</v>
      </c>
      <c r="S576" s="375" t="s">
        <v>7136</v>
      </c>
      <c r="T576" s="303"/>
      <c r="U576" s="303"/>
      <c r="V576" s="303"/>
    </row>
    <row r="577" ht="20.25" customHeight="1">
      <c r="E577" s="355"/>
      <c r="F577" s="355"/>
      <c r="I577" s="328"/>
      <c r="K577" s="329">
        <v>522.0</v>
      </c>
      <c r="L577" s="330">
        <v>4.0</v>
      </c>
      <c r="M577" s="331" t="s">
        <v>14110</v>
      </c>
      <c r="N577" s="331" t="s">
        <v>14116</v>
      </c>
      <c r="O577" s="331" t="s">
        <v>14114</v>
      </c>
      <c r="P577" s="332" t="s">
        <v>4749</v>
      </c>
      <c r="Q577" s="354" t="s">
        <v>17265</v>
      </c>
      <c r="R577" s="331" t="s">
        <v>17266</v>
      </c>
      <c r="S577" s="334" t="s">
        <v>6993</v>
      </c>
      <c r="T577" s="303"/>
      <c r="U577" s="303"/>
      <c r="V577" s="303"/>
    </row>
    <row r="578" ht="20.25" customHeight="1">
      <c r="E578" s="355"/>
      <c r="F578" s="355"/>
      <c r="I578" s="328"/>
      <c r="K578" s="341">
        <v>522.0</v>
      </c>
      <c r="L578" s="330">
        <v>4.0</v>
      </c>
      <c r="M578" s="331" t="s">
        <v>15323</v>
      </c>
      <c r="N578" s="331" t="s">
        <v>15324</v>
      </c>
      <c r="O578" s="331" t="s">
        <v>15322</v>
      </c>
      <c r="P578" s="331" t="s">
        <v>13577</v>
      </c>
      <c r="Q578" s="354" t="s">
        <v>17267</v>
      </c>
      <c r="R578" s="331" t="s">
        <v>17268</v>
      </c>
      <c r="S578" s="334" t="s">
        <v>7893</v>
      </c>
      <c r="T578" s="303"/>
      <c r="U578" s="303"/>
      <c r="V578" s="303"/>
    </row>
    <row r="579" ht="20.25" customHeight="1">
      <c r="E579" s="355"/>
      <c r="F579" s="355"/>
      <c r="I579" s="328"/>
      <c r="K579" s="341">
        <v>522.0</v>
      </c>
      <c r="L579" s="330">
        <v>4.0</v>
      </c>
      <c r="M579" s="331" t="s">
        <v>13575</v>
      </c>
      <c r="N579" s="331" t="s">
        <v>10295</v>
      </c>
      <c r="O579" s="331" t="s">
        <v>269</v>
      </c>
      <c r="P579" s="331" t="s">
        <v>13577</v>
      </c>
      <c r="Q579" s="338" t="s">
        <v>17269</v>
      </c>
      <c r="R579" s="331" t="s">
        <v>17270</v>
      </c>
      <c r="S579" s="334" t="s">
        <v>6928</v>
      </c>
      <c r="T579" s="303"/>
      <c r="U579" s="303"/>
      <c r="V579" s="303"/>
    </row>
    <row r="580" ht="20.25" customHeight="1">
      <c r="E580" s="355"/>
      <c r="F580" s="355"/>
      <c r="I580" s="328"/>
      <c r="K580" s="341">
        <v>522.0</v>
      </c>
      <c r="L580" s="330">
        <v>4.0</v>
      </c>
      <c r="M580" s="331" t="s">
        <v>17271</v>
      </c>
      <c r="N580" s="331" t="s">
        <v>17272</v>
      </c>
      <c r="O580" s="331" t="s">
        <v>4408</v>
      </c>
      <c r="P580" s="331" t="s">
        <v>9458</v>
      </c>
      <c r="Q580" s="338" t="s">
        <v>17273</v>
      </c>
      <c r="R580" s="331" t="s">
        <v>17274</v>
      </c>
      <c r="S580" s="334" t="s">
        <v>7375</v>
      </c>
      <c r="T580" s="303"/>
      <c r="U580" s="303"/>
      <c r="V580" s="303"/>
    </row>
    <row r="581" ht="20.25" customHeight="1">
      <c r="E581" s="355"/>
      <c r="F581" s="355"/>
      <c r="I581" s="328"/>
      <c r="K581" s="329">
        <v>522.0</v>
      </c>
      <c r="L581" s="330">
        <v>4.0</v>
      </c>
      <c r="M581" s="331" t="s">
        <v>15591</v>
      </c>
      <c r="N581" s="331" t="s">
        <v>15592</v>
      </c>
      <c r="O581" s="331" t="s">
        <v>15590</v>
      </c>
      <c r="P581" s="331" t="s">
        <v>9911</v>
      </c>
      <c r="Q581" s="338" t="s">
        <v>17275</v>
      </c>
      <c r="R581" s="331" t="s">
        <v>17276</v>
      </c>
      <c r="S581" s="334" t="s">
        <v>7357</v>
      </c>
      <c r="T581" s="303"/>
      <c r="U581" s="303"/>
      <c r="V581" s="303"/>
    </row>
    <row r="582" ht="20.25" customHeight="1">
      <c r="E582" s="355"/>
      <c r="F582" s="355"/>
      <c r="I582" s="328"/>
      <c r="K582" s="341">
        <v>522.0</v>
      </c>
      <c r="L582" s="330">
        <v>4.0</v>
      </c>
      <c r="M582" s="331" t="s">
        <v>9529</v>
      </c>
      <c r="N582" s="331" t="s">
        <v>13377</v>
      </c>
      <c r="O582" s="331" t="s">
        <v>13376</v>
      </c>
      <c r="P582" s="332" t="s">
        <v>9911</v>
      </c>
      <c r="Q582" s="335" t="s">
        <v>17277</v>
      </c>
      <c r="R582" s="331" t="s">
        <v>17278</v>
      </c>
      <c r="S582" s="334" t="s">
        <v>6928</v>
      </c>
      <c r="T582" s="303"/>
      <c r="U582" s="303"/>
      <c r="V582" s="303"/>
    </row>
    <row r="583" ht="20.25" customHeight="1">
      <c r="E583" s="355"/>
      <c r="F583" s="355"/>
      <c r="I583" s="328"/>
      <c r="K583" s="341">
        <v>522.0</v>
      </c>
      <c r="L583" s="330">
        <v>4.0</v>
      </c>
      <c r="M583" s="331" t="s">
        <v>14084</v>
      </c>
      <c r="N583" s="331" t="s">
        <v>14089</v>
      </c>
      <c r="O583" s="331" t="s">
        <v>14088</v>
      </c>
      <c r="P583" s="332" t="s">
        <v>9911</v>
      </c>
      <c r="Q583" s="338" t="s">
        <v>17279</v>
      </c>
      <c r="R583" s="331" t="s">
        <v>17059</v>
      </c>
      <c r="S583" s="334" t="s">
        <v>7112</v>
      </c>
      <c r="T583" s="303"/>
      <c r="U583" s="303"/>
      <c r="V583" s="303"/>
    </row>
    <row r="584" ht="20.25" customHeight="1">
      <c r="E584" s="355"/>
      <c r="F584" s="355"/>
      <c r="I584" s="328"/>
      <c r="K584" s="382">
        <v>522.0</v>
      </c>
      <c r="L584" s="343">
        <v>4.0</v>
      </c>
      <c r="M584" s="344" t="s">
        <v>14760</v>
      </c>
      <c r="N584" s="344" t="s">
        <v>14761</v>
      </c>
      <c r="O584" s="344" t="s">
        <v>8909</v>
      </c>
      <c r="P584" s="344" t="s">
        <v>12686</v>
      </c>
      <c r="Q584" s="379" t="s">
        <v>17280</v>
      </c>
      <c r="R584" s="344" t="s">
        <v>8911</v>
      </c>
      <c r="S584" s="346" t="s">
        <v>7157</v>
      </c>
      <c r="T584" s="303"/>
      <c r="U584" s="303"/>
      <c r="V584" s="303"/>
    </row>
    <row r="585" ht="20.25" customHeight="1">
      <c r="E585" s="355"/>
      <c r="F585" s="355"/>
      <c r="I585" s="316" t="s">
        <v>17281</v>
      </c>
      <c r="K585" s="329">
        <v>522.0</v>
      </c>
      <c r="L585" s="330">
        <v>5.0</v>
      </c>
      <c r="M585" s="331" t="s">
        <v>14268</v>
      </c>
      <c r="N585" s="331" t="s">
        <v>14269</v>
      </c>
      <c r="O585" s="331" t="s">
        <v>14266</v>
      </c>
      <c r="P585" s="381" t="s">
        <v>1392</v>
      </c>
      <c r="Q585" s="331" t="s">
        <v>17282</v>
      </c>
      <c r="R585" s="331" t="s">
        <v>17283</v>
      </c>
      <c r="S585" s="334" t="s">
        <v>7005</v>
      </c>
      <c r="T585" s="303"/>
      <c r="U585" s="303"/>
      <c r="V585" s="303"/>
    </row>
    <row r="586" ht="20.25" customHeight="1">
      <c r="E586" s="355"/>
      <c r="F586" s="355"/>
      <c r="I586" s="328"/>
      <c r="K586" s="341">
        <v>522.0</v>
      </c>
      <c r="L586" s="330">
        <v>5.0</v>
      </c>
      <c r="M586" s="331" t="s">
        <v>13552</v>
      </c>
      <c r="N586" s="331" t="s">
        <v>13553</v>
      </c>
      <c r="O586" s="331" t="s">
        <v>8949</v>
      </c>
      <c r="P586" s="332" t="s">
        <v>4818</v>
      </c>
      <c r="Q586" s="332" t="s">
        <v>17284</v>
      </c>
      <c r="R586" s="336"/>
      <c r="S586" s="337"/>
      <c r="T586" s="303"/>
      <c r="U586" s="303"/>
      <c r="V586" s="303"/>
    </row>
    <row r="587" ht="20.25" customHeight="1">
      <c r="E587" s="355"/>
      <c r="F587" s="355"/>
      <c r="I587" s="328"/>
      <c r="K587" s="329">
        <v>522.0</v>
      </c>
      <c r="L587" s="330">
        <v>5.0</v>
      </c>
      <c r="M587" s="331" t="s">
        <v>14695</v>
      </c>
      <c r="N587" s="331" t="s">
        <v>14696</v>
      </c>
      <c r="O587" s="331" t="s">
        <v>14694</v>
      </c>
      <c r="P587" s="353" t="s">
        <v>4749</v>
      </c>
      <c r="Q587" s="338" t="s">
        <v>17285</v>
      </c>
      <c r="R587" s="331" t="s">
        <v>17286</v>
      </c>
      <c r="S587" s="334" t="s">
        <v>9562</v>
      </c>
      <c r="T587" s="303"/>
      <c r="U587" s="303"/>
      <c r="V587" s="303"/>
    </row>
    <row r="588" ht="20.25" customHeight="1">
      <c r="E588" s="355"/>
      <c r="F588" s="355"/>
      <c r="I588" s="328"/>
      <c r="K588" s="329">
        <v>522.0</v>
      </c>
      <c r="L588" s="330">
        <v>5.0</v>
      </c>
      <c r="M588" s="331" t="s">
        <v>15748</v>
      </c>
      <c r="N588" s="331" t="s">
        <v>15749</v>
      </c>
      <c r="O588" s="331" t="s">
        <v>15747</v>
      </c>
      <c r="P588" s="353" t="s">
        <v>4749</v>
      </c>
      <c r="Q588" s="331" t="s">
        <v>17287</v>
      </c>
      <c r="R588" s="331" t="s">
        <v>17288</v>
      </c>
      <c r="S588" s="334" t="s">
        <v>9562</v>
      </c>
      <c r="T588" s="303"/>
      <c r="U588" s="303"/>
      <c r="V588" s="303"/>
    </row>
    <row r="589" ht="20.25" customHeight="1">
      <c r="E589" s="355"/>
      <c r="F589" s="355"/>
      <c r="I589" s="328"/>
      <c r="K589" s="341">
        <v>522.0</v>
      </c>
      <c r="L589" s="330">
        <v>5.0</v>
      </c>
      <c r="M589" s="331" t="s">
        <v>9667</v>
      </c>
      <c r="N589" s="331" t="s">
        <v>14243</v>
      </c>
      <c r="O589" s="331" t="s">
        <v>14242</v>
      </c>
      <c r="P589" s="353" t="s">
        <v>4749</v>
      </c>
      <c r="Q589" s="353" t="s">
        <v>14244</v>
      </c>
      <c r="R589" s="336"/>
      <c r="S589" s="337"/>
      <c r="T589" s="303"/>
      <c r="U589" s="303"/>
      <c r="V589" s="303"/>
    </row>
    <row r="590" ht="20.25" customHeight="1">
      <c r="E590" s="355"/>
      <c r="F590" s="355"/>
      <c r="I590" s="328"/>
      <c r="K590" s="329">
        <v>522.0</v>
      </c>
      <c r="L590" s="330">
        <v>5.0</v>
      </c>
      <c r="M590" s="331" t="s">
        <v>10098</v>
      </c>
      <c r="N590" s="331" t="s">
        <v>15526</v>
      </c>
      <c r="O590" s="331" t="s">
        <v>15525</v>
      </c>
      <c r="P590" s="340" t="s">
        <v>4749</v>
      </c>
      <c r="Q590" s="354" t="s">
        <v>17289</v>
      </c>
      <c r="R590" s="331" t="s">
        <v>17290</v>
      </c>
      <c r="S590" s="334" t="s">
        <v>6993</v>
      </c>
      <c r="T590" s="303"/>
      <c r="U590" s="303"/>
      <c r="V590" s="303"/>
    </row>
    <row r="591" ht="20.25" customHeight="1">
      <c r="E591" s="355"/>
      <c r="F591" s="355"/>
      <c r="I591" s="328"/>
      <c r="K591" s="329">
        <v>522.0</v>
      </c>
      <c r="L591" s="330">
        <v>5.0</v>
      </c>
      <c r="M591" s="331" t="s">
        <v>9967</v>
      </c>
      <c r="N591" s="331" t="s">
        <v>15634</v>
      </c>
      <c r="O591" s="331" t="s">
        <v>8943</v>
      </c>
      <c r="P591" s="381" t="s">
        <v>13577</v>
      </c>
      <c r="Q591" s="335" t="s">
        <v>17291</v>
      </c>
      <c r="R591" s="331" t="s">
        <v>8945</v>
      </c>
      <c r="S591" s="334" t="s">
        <v>7005</v>
      </c>
      <c r="T591" s="303"/>
      <c r="U591" s="303"/>
      <c r="V591" s="303"/>
    </row>
    <row r="592" ht="20.25" customHeight="1">
      <c r="E592" s="355"/>
      <c r="F592" s="355"/>
      <c r="I592" s="328"/>
      <c r="K592" s="329">
        <v>522.0</v>
      </c>
      <c r="L592" s="330">
        <v>5.0</v>
      </c>
      <c r="M592" s="331" t="s">
        <v>15299</v>
      </c>
      <c r="N592" s="331" t="s">
        <v>15300</v>
      </c>
      <c r="O592" s="331" t="s">
        <v>8940</v>
      </c>
      <c r="P592" s="331" t="s">
        <v>13577</v>
      </c>
      <c r="Q592" s="354" t="s">
        <v>17292</v>
      </c>
      <c r="R592" s="331" t="s">
        <v>8942</v>
      </c>
      <c r="S592" s="334" t="s">
        <v>7248</v>
      </c>
      <c r="T592" s="303"/>
      <c r="U592" s="303"/>
      <c r="V592" s="303"/>
    </row>
    <row r="593" ht="20.25" customHeight="1">
      <c r="E593" s="355"/>
      <c r="F593" s="355"/>
      <c r="I593" s="328"/>
      <c r="K593" s="341">
        <v>522.0</v>
      </c>
      <c r="L593" s="330">
        <v>5.0</v>
      </c>
      <c r="M593" s="331" t="s">
        <v>15031</v>
      </c>
      <c r="N593" s="331" t="s">
        <v>15032</v>
      </c>
      <c r="O593" s="331" t="s">
        <v>8933</v>
      </c>
      <c r="P593" s="332" t="s">
        <v>13577</v>
      </c>
      <c r="Q593" s="335" t="s">
        <v>17293</v>
      </c>
      <c r="R593" s="336"/>
      <c r="S593" s="337"/>
      <c r="T593" s="303"/>
      <c r="U593" s="303"/>
      <c r="V593" s="303"/>
    </row>
    <row r="594" ht="20.25" customHeight="1">
      <c r="E594" s="355"/>
      <c r="F594" s="355"/>
      <c r="I594" s="328"/>
      <c r="K594" s="341">
        <v>522.0</v>
      </c>
      <c r="L594" s="330">
        <v>5.0</v>
      </c>
      <c r="M594" s="331" t="s">
        <v>15977</v>
      </c>
      <c r="N594" s="331" t="s">
        <v>15985</v>
      </c>
      <c r="O594" s="331" t="s">
        <v>15984</v>
      </c>
      <c r="P594" s="332" t="s">
        <v>16848</v>
      </c>
      <c r="Q594" s="335" t="s">
        <v>17294</v>
      </c>
      <c r="R594" s="331" t="s">
        <v>17295</v>
      </c>
      <c r="S594" s="334" t="s">
        <v>7093</v>
      </c>
      <c r="T594" s="303"/>
      <c r="U594" s="303"/>
      <c r="V594" s="303"/>
    </row>
    <row r="595" ht="20.25" customHeight="1">
      <c r="E595" s="355"/>
      <c r="F595" s="355"/>
      <c r="I595" s="328"/>
      <c r="K595" s="341">
        <v>522.0</v>
      </c>
      <c r="L595" s="330">
        <v>5.0</v>
      </c>
      <c r="M595" s="331" t="s">
        <v>13679</v>
      </c>
      <c r="N595" s="331" t="s">
        <v>13680</v>
      </c>
      <c r="O595" s="331" t="s">
        <v>13678</v>
      </c>
      <c r="P595" s="332" t="s">
        <v>12686</v>
      </c>
      <c r="Q595" s="354" t="s">
        <v>17296</v>
      </c>
      <c r="R595" s="331" t="s">
        <v>17297</v>
      </c>
      <c r="S595" s="334" t="s">
        <v>7093</v>
      </c>
      <c r="T595" s="303"/>
      <c r="U595" s="303"/>
      <c r="V595" s="303"/>
    </row>
    <row r="596" ht="20.25" customHeight="1">
      <c r="E596" s="355"/>
      <c r="F596" s="355"/>
      <c r="I596" s="328"/>
      <c r="K596" s="342">
        <v>522.0</v>
      </c>
      <c r="L596" s="343">
        <v>5.0</v>
      </c>
      <c r="M596" s="344" t="s">
        <v>15309</v>
      </c>
      <c r="N596" s="344" t="s">
        <v>15310</v>
      </c>
      <c r="O596" s="344" t="s">
        <v>15308</v>
      </c>
      <c r="P596" s="344" t="s">
        <v>10068</v>
      </c>
      <c r="Q596" s="379" t="s">
        <v>17298</v>
      </c>
      <c r="R596" s="344" t="s">
        <v>17299</v>
      </c>
      <c r="S596" s="346" t="s">
        <v>7048</v>
      </c>
      <c r="T596" s="303"/>
      <c r="U596" s="303"/>
      <c r="V596" s="303"/>
    </row>
    <row r="597" ht="20.25" customHeight="1">
      <c r="E597" s="355"/>
      <c r="F597" s="355"/>
      <c r="I597" s="316" t="s">
        <v>17300</v>
      </c>
      <c r="K597" s="329">
        <v>522.0</v>
      </c>
      <c r="L597" s="330">
        <v>5.0</v>
      </c>
      <c r="M597" s="331" t="s">
        <v>15922</v>
      </c>
      <c r="N597" s="331" t="s">
        <v>15923</v>
      </c>
      <c r="O597" s="331" t="s">
        <v>326</v>
      </c>
      <c r="P597" s="331" t="s">
        <v>4805</v>
      </c>
      <c r="Q597" s="331" t="s">
        <v>17301</v>
      </c>
      <c r="R597" s="331" t="s">
        <v>17302</v>
      </c>
      <c r="S597" s="334" t="s">
        <v>7149</v>
      </c>
      <c r="T597" s="303"/>
      <c r="U597" s="303"/>
      <c r="V597" s="303"/>
    </row>
    <row r="598" ht="20.25" customHeight="1">
      <c r="E598" s="355"/>
      <c r="F598" s="355"/>
      <c r="I598" s="328"/>
      <c r="K598" s="341">
        <v>522.0</v>
      </c>
      <c r="L598" s="330">
        <v>5.0</v>
      </c>
      <c r="M598" s="331" t="s">
        <v>15587</v>
      </c>
      <c r="N598" s="331" t="s">
        <v>15588</v>
      </c>
      <c r="O598" s="331" t="s">
        <v>15585</v>
      </c>
      <c r="P598" s="332" t="s">
        <v>2062</v>
      </c>
      <c r="Q598" s="335" t="s">
        <v>17303</v>
      </c>
      <c r="R598" s="331" t="s">
        <v>17304</v>
      </c>
      <c r="S598" s="334" t="s">
        <v>6928</v>
      </c>
      <c r="T598" s="303"/>
      <c r="U598" s="303"/>
      <c r="V598" s="303"/>
    </row>
    <row r="599" ht="20.25" customHeight="1">
      <c r="E599" s="355"/>
      <c r="F599" s="355"/>
      <c r="I599" s="328"/>
      <c r="K599" s="341">
        <v>522.0</v>
      </c>
      <c r="L599" s="330">
        <v>5.0</v>
      </c>
      <c r="M599" s="331" t="s">
        <v>14954</v>
      </c>
      <c r="N599" s="331" t="s">
        <v>14955</v>
      </c>
      <c r="O599" s="331" t="s">
        <v>114</v>
      </c>
      <c r="P599" s="340" t="s">
        <v>4749</v>
      </c>
      <c r="Q599" s="354" t="s">
        <v>17305</v>
      </c>
      <c r="R599" s="336"/>
      <c r="S599" s="337"/>
      <c r="T599" s="303"/>
      <c r="U599" s="303"/>
      <c r="V599" s="303"/>
    </row>
    <row r="600" ht="20.25" customHeight="1">
      <c r="E600" s="355"/>
      <c r="F600" s="355"/>
      <c r="I600" s="328"/>
      <c r="K600" s="329">
        <v>522.0</v>
      </c>
      <c r="L600" s="330">
        <v>5.0</v>
      </c>
      <c r="M600" s="331" t="s">
        <v>13633</v>
      </c>
      <c r="N600" s="331" t="s">
        <v>13634</v>
      </c>
      <c r="O600" s="331" t="s">
        <v>13632</v>
      </c>
      <c r="P600" s="389" t="s">
        <v>4749</v>
      </c>
      <c r="Q600" s="354" t="s">
        <v>17306</v>
      </c>
      <c r="R600" s="331" t="s">
        <v>8220</v>
      </c>
      <c r="S600" s="334" t="s">
        <v>7070</v>
      </c>
      <c r="T600" s="303"/>
      <c r="U600" s="303"/>
      <c r="V600" s="303"/>
    </row>
    <row r="601" ht="20.25" customHeight="1">
      <c r="E601" s="355"/>
      <c r="F601" s="355"/>
      <c r="I601" s="328"/>
      <c r="K601" s="341">
        <v>522.0</v>
      </c>
      <c r="L601" s="330">
        <v>5.0</v>
      </c>
      <c r="M601" s="331" t="s">
        <v>14623</v>
      </c>
      <c r="N601" s="331" t="s">
        <v>14624</v>
      </c>
      <c r="O601" s="331" t="s">
        <v>8834</v>
      </c>
      <c r="P601" s="332" t="s">
        <v>4756</v>
      </c>
      <c r="Q601" s="331" t="s">
        <v>14625</v>
      </c>
      <c r="R601" s="331" t="s">
        <v>8837</v>
      </c>
      <c r="S601" s="334" t="s">
        <v>6928</v>
      </c>
      <c r="T601" s="303"/>
      <c r="U601" s="303"/>
      <c r="V601" s="303"/>
    </row>
    <row r="602" ht="20.25" customHeight="1">
      <c r="E602" s="355"/>
      <c r="F602" s="355"/>
      <c r="I602" s="328"/>
      <c r="K602" s="341">
        <v>522.0</v>
      </c>
      <c r="L602" s="330">
        <v>5.0</v>
      </c>
      <c r="M602" s="331" t="s">
        <v>11673</v>
      </c>
      <c r="N602" s="331" t="s">
        <v>15166</v>
      </c>
      <c r="O602" s="331" t="s">
        <v>15165</v>
      </c>
      <c r="P602" s="331" t="s">
        <v>10068</v>
      </c>
      <c r="Q602" s="338" t="s">
        <v>17307</v>
      </c>
      <c r="R602" s="331" t="s">
        <v>17308</v>
      </c>
      <c r="S602" s="334" t="s">
        <v>7157</v>
      </c>
      <c r="T602" s="303"/>
      <c r="U602" s="303"/>
      <c r="V602" s="303"/>
    </row>
    <row r="603" ht="20.25" customHeight="1">
      <c r="E603" s="355"/>
      <c r="F603" s="355"/>
      <c r="I603" s="328"/>
      <c r="K603" s="342">
        <v>522.0</v>
      </c>
      <c r="L603" s="343">
        <v>5.0</v>
      </c>
      <c r="M603" s="344" t="s">
        <v>15772</v>
      </c>
      <c r="N603" s="344" t="s">
        <v>15773</v>
      </c>
      <c r="O603" s="344" t="s">
        <v>779</v>
      </c>
      <c r="P603" s="344" t="s">
        <v>13577</v>
      </c>
      <c r="Q603" s="379" t="s">
        <v>17309</v>
      </c>
      <c r="R603" s="344" t="s">
        <v>17310</v>
      </c>
      <c r="S603" s="346" t="s">
        <v>6993</v>
      </c>
      <c r="T603" s="303"/>
      <c r="U603" s="303"/>
      <c r="V603" s="303"/>
    </row>
    <row r="604" ht="20.25" customHeight="1">
      <c r="E604" s="355"/>
      <c r="F604" s="355"/>
      <c r="I604" s="316" t="s">
        <v>17311</v>
      </c>
      <c r="K604" s="341">
        <v>522.0</v>
      </c>
      <c r="L604" s="330">
        <v>6.0</v>
      </c>
      <c r="M604" s="331" t="s">
        <v>15313</v>
      </c>
      <c r="N604" s="331" t="s">
        <v>15314</v>
      </c>
      <c r="O604" s="331" t="s">
        <v>8974</v>
      </c>
      <c r="P604" s="331" t="s">
        <v>1392</v>
      </c>
      <c r="Q604" s="338" t="s">
        <v>17312</v>
      </c>
      <c r="R604" s="331" t="s">
        <v>8977</v>
      </c>
      <c r="S604" s="334" t="s">
        <v>6928</v>
      </c>
      <c r="T604" s="303"/>
      <c r="U604" s="303"/>
      <c r="V604" s="303"/>
    </row>
    <row r="605" ht="20.25" customHeight="1">
      <c r="E605" s="355"/>
      <c r="F605" s="355"/>
      <c r="I605" s="328"/>
      <c r="K605" s="341">
        <v>522.0</v>
      </c>
      <c r="L605" s="330">
        <v>6.0</v>
      </c>
      <c r="M605" s="331" t="s">
        <v>14318</v>
      </c>
      <c r="N605" s="331" t="s">
        <v>14322</v>
      </c>
      <c r="O605" s="331" t="s">
        <v>8962</v>
      </c>
      <c r="P605" s="332" t="s">
        <v>2062</v>
      </c>
      <c r="Q605" s="335" t="s">
        <v>17313</v>
      </c>
      <c r="R605" s="331" t="s">
        <v>17314</v>
      </c>
      <c r="S605" s="334" t="s">
        <v>6928</v>
      </c>
      <c r="T605" s="303"/>
      <c r="U605" s="303"/>
      <c r="V605" s="303"/>
    </row>
    <row r="606" ht="20.25" customHeight="1">
      <c r="E606" s="355"/>
      <c r="F606" s="355"/>
      <c r="I606" s="328"/>
      <c r="K606" s="329">
        <v>522.0</v>
      </c>
      <c r="L606" s="330">
        <v>6.0</v>
      </c>
      <c r="M606" s="331" t="s">
        <v>11961</v>
      </c>
      <c r="N606" s="331" t="s">
        <v>14319</v>
      </c>
      <c r="O606" s="331" t="s">
        <v>8966</v>
      </c>
      <c r="P606" s="353" t="s">
        <v>4818</v>
      </c>
      <c r="Q606" s="338" t="s">
        <v>17315</v>
      </c>
      <c r="R606" s="331" t="s">
        <v>17316</v>
      </c>
      <c r="S606" s="334" t="s">
        <v>6993</v>
      </c>
      <c r="T606" s="303"/>
      <c r="U606" s="303"/>
      <c r="V606" s="303"/>
    </row>
    <row r="607" ht="20.25" customHeight="1">
      <c r="E607" s="355"/>
      <c r="F607" s="355"/>
      <c r="I607" s="328"/>
      <c r="K607" s="341">
        <v>522.0</v>
      </c>
      <c r="L607" s="330">
        <v>6.0</v>
      </c>
      <c r="M607" s="331" t="s">
        <v>17317</v>
      </c>
      <c r="N607" s="331" t="s">
        <v>17318</v>
      </c>
      <c r="O607" s="331" t="s">
        <v>4299</v>
      </c>
      <c r="P607" s="331" t="s">
        <v>4749</v>
      </c>
      <c r="Q607" s="338" t="s">
        <v>17319</v>
      </c>
      <c r="R607" s="331" t="s">
        <v>17320</v>
      </c>
      <c r="S607" s="334" t="s">
        <v>6928</v>
      </c>
      <c r="T607" s="303"/>
      <c r="U607" s="303"/>
      <c r="V607" s="303"/>
    </row>
    <row r="608" ht="20.25" customHeight="1">
      <c r="E608" s="355"/>
      <c r="F608" s="355"/>
      <c r="I608" s="328"/>
      <c r="K608" s="341">
        <v>522.0</v>
      </c>
      <c r="L608" s="330">
        <v>6.0</v>
      </c>
      <c r="M608" s="331" t="s">
        <v>15436</v>
      </c>
      <c r="N608" s="331" t="s">
        <v>15437</v>
      </c>
      <c r="O608" s="331" t="s">
        <v>15434</v>
      </c>
      <c r="P608" s="332" t="s">
        <v>4835</v>
      </c>
      <c r="Q608" s="332" t="s">
        <v>15439</v>
      </c>
      <c r="R608" s="331" t="s">
        <v>17321</v>
      </c>
      <c r="S608" s="334" t="s">
        <v>6928</v>
      </c>
      <c r="T608" s="303"/>
      <c r="U608" s="303"/>
      <c r="V608" s="303"/>
    </row>
    <row r="609" ht="20.25" customHeight="1">
      <c r="E609" s="355"/>
      <c r="F609" s="355"/>
      <c r="I609" s="328"/>
      <c r="K609" s="341">
        <v>522.0</v>
      </c>
      <c r="L609" s="330">
        <v>6.0</v>
      </c>
      <c r="M609" s="331" t="s">
        <v>12983</v>
      </c>
      <c r="N609" s="331" t="s">
        <v>10327</v>
      </c>
      <c r="O609" s="331" t="s">
        <v>8954</v>
      </c>
      <c r="P609" s="332" t="s">
        <v>16848</v>
      </c>
      <c r="Q609" s="332" t="s">
        <v>12984</v>
      </c>
      <c r="R609" s="331" t="s">
        <v>17322</v>
      </c>
      <c r="S609" s="334" t="s">
        <v>6928</v>
      </c>
      <c r="T609" s="303"/>
      <c r="U609" s="303"/>
      <c r="V609" s="303"/>
    </row>
    <row r="610" ht="20.25" customHeight="1">
      <c r="E610" s="355"/>
      <c r="F610" s="355"/>
      <c r="I610" s="328"/>
      <c r="K610" s="341">
        <v>522.0</v>
      </c>
      <c r="L610" s="330">
        <v>6.0</v>
      </c>
      <c r="M610" s="331" t="s">
        <v>15034</v>
      </c>
      <c r="N610" s="331" t="s">
        <v>15038</v>
      </c>
      <c r="O610" s="331" t="s">
        <v>8958</v>
      </c>
      <c r="P610" s="332" t="s">
        <v>16848</v>
      </c>
      <c r="Q610" s="332" t="s">
        <v>15039</v>
      </c>
      <c r="R610" s="331" t="s">
        <v>8960</v>
      </c>
      <c r="S610" s="334" t="s">
        <v>6928</v>
      </c>
      <c r="T610" s="303"/>
      <c r="U610" s="303"/>
      <c r="V610" s="303"/>
    </row>
    <row r="611" ht="20.25" customHeight="1">
      <c r="E611" s="355"/>
      <c r="F611" s="355"/>
      <c r="I611" s="328"/>
      <c r="K611" s="329">
        <v>522.0</v>
      </c>
      <c r="L611" s="330">
        <v>6.0</v>
      </c>
      <c r="M611" s="331" t="s">
        <v>9907</v>
      </c>
      <c r="N611" s="331" t="s">
        <v>9908</v>
      </c>
      <c r="O611" s="331" t="s">
        <v>9905</v>
      </c>
      <c r="P611" s="331" t="s">
        <v>9911</v>
      </c>
      <c r="Q611" s="335" t="s">
        <v>17323</v>
      </c>
      <c r="R611" s="331" t="s">
        <v>17324</v>
      </c>
      <c r="S611" s="334" t="s">
        <v>7149</v>
      </c>
      <c r="T611" s="303"/>
      <c r="U611" s="303"/>
      <c r="V611" s="303"/>
    </row>
    <row r="612" ht="20.25" customHeight="1">
      <c r="E612" s="355"/>
      <c r="F612" s="355"/>
      <c r="I612" s="328"/>
      <c r="K612" s="341">
        <v>522.0</v>
      </c>
      <c r="L612" s="330">
        <v>6.0</v>
      </c>
      <c r="M612" s="331" t="s">
        <v>14036</v>
      </c>
      <c r="N612" s="331" t="s">
        <v>14037</v>
      </c>
      <c r="O612" s="331" t="s">
        <v>14035</v>
      </c>
      <c r="P612" s="353" t="s">
        <v>9458</v>
      </c>
      <c r="Q612" s="353" t="s">
        <v>6333</v>
      </c>
      <c r="R612" s="336"/>
      <c r="S612" s="337"/>
      <c r="T612" s="303"/>
      <c r="U612" s="303"/>
      <c r="V612" s="303"/>
    </row>
    <row r="613" ht="20.25" customHeight="1">
      <c r="E613" s="355"/>
      <c r="F613" s="355"/>
      <c r="I613" s="328"/>
      <c r="K613" s="341">
        <v>522.0</v>
      </c>
      <c r="L613" s="330">
        <v>6.0</v>
      </c>
      <c r="M613" s="331" t="s">
        <v>11369</v>
      </c>
      <c r="N613" s="331" t="s">
        <v>14658</v>
      </c>
      <c r="O613" s="331" t="s">
        <v>821</v>
      </c>
      <c r="P613" s="353" t="s">
        <v>9458</v>
      </c>
      <c r="Q613" s="338" t="s">
        <v>17325</v>
      </c>
      <c r="R613" s="331" t="s">
        <v>17326</v>
      </c>
      <c r="S613" s="334" t="s">
        <v>7157</v>
      </c>
      <c r="T613" s="303"/>
      <c r="U613" s="303"/>
      <c r="V613" s="303"/>
    </row>
    <row r="614" ht="20.25" customHeight="1">
      <c r="E614" s="355"/>
      <c r="F614" s="355"/>
      <c r="I614" s="328"/>
      <c r="K614" s="382">
        <v>522.0</v>
      </c>
      <c r="L614" s="343">
        <v>6.0</v>
      </c>
      <c r="M614" s="344" t="s">
        <v>14381</v>
      </c>
      <c r="N614" s="344" t="s">
        <v>14382</v>
      </c>
      <c r="O614" s="344" t="s">
        <v>32</v>
      </c>
      <c r="P614" s="391" t="s">
        <v>9458</v>
      </c>
      <c r="Q614" s="379" t="s">
        <v>17327</v>
      </c>
      <c r="R614" s="344" t="s">
        <v>8972</v>
      </c>
      <c r="S614" s="346" t="s">
        <v>6928</v>
      </c>
      <c r="T614" s="303"/>
      <c r="U614" s="303"/>
      <c r="V614" s="303"/>
    </row>
    <row r="615" ht="20.25" customHeight="1">
      <c r="E615" s="355"/>
      <c r="F615" s="355"/>
      <c r="I615" s="316" t="s">
        <v>17328</v>
      </c>
      <c r="K615" s="329">
        <v>522.0</v>
      </c>
      <c r="L615" s="330">
        <v>6.0</v>
      </c>
      <c r="M615" s="331" t="s">
        <v>16012</v>
      </c>
      <c r="N615" s="331" t="s">
        <v>16013</v>
      </c>
      <c r="O615" s="331" t="s">
        <v>8989</v>
      </c>
      <c r="P615" s="331" t="s">
        <v>1392</v>
      </c>
      <c r="Q615" s="338" t="s">
        <v>17329</v>
      </c>
      <c r="R615" s="331" t="s">
        <v>8992</v>
      </c>
      <c r="S615" s="334" t="s">
        <v>6993</v>
      </c>
      <c r="T615" s="303"/>
      <c r="U615" s="303"/>
      <c r="V615" s="303"/>
    </row>
    <row r="616" ht="20.25" customHeight="1">
      <c r="E616" s="355"/>
      <c r="F616" s="355"/>
      <c r="I616" s="328"/>
      <c r="K616" s="341">
        <v>522.0</v>
      </c>
      <c r="L616" s="330">
        <v>6.0</v>
      </c>
      <c r="M616" s="331" t="s">
        <v>15908</v>
      </c>
      <c r="N616" s="331" t="s">
        <v>15912</v>
      </c>
      <c r="O616" s="331" t="s">
        <v>8993</v>
      </c>
      <c r="P616" s="332" t="s">
        <v>4805</v>
      </c>
      <c r="Q616" s="332" t="s">
        <v>15913</v>
      </c>
      <c r="R616" s="331" t="s">
        <v>17330</v>
      </c>
      <c r="S616" s="334" t="s">
        <v>6928</v>
      </c>
      <c r="T616" s="303"/>
      <c r="U616" s="303"/>
      <c r="V616" s="303"/>
    </row>
    <row r="617" ht="20.25" customHeight="1">
      <c r="E617" s="355"/>
      <c r="F617" s="355"/>
      <c r="I617" s="328"/>
      <c r="K617" s="329">
        <v>522.0</v>
      </c>
      <c r="L617" s="330">
        <v>6.0</v>
      </c>
      <c r="M617" s="331" t="s">
        <v>11603</v>
      </c>
      <c r="N617" s="331" t="s">
        <v>15059</v>
      </c>
      <c r="O617" s="331" t="s">
        <v>8986</v>
      </c>
      <c r="P617" s="331" t="s">
        <v>4749</v>
      </c>
      <c r="Q617" s="338" t="s">
        <v>17331</v>
      </c>
      <c r="R617" s="331" t="s">
        <v>8988</v>
      </c>
      <c r="S617" s="334" t="s">
        <v>7005</v>
      </c>
      <c r="T617" s="303"/>
      <c r="U617" s="303"/>
      <c r="V617" s="303"/>
    </row>
    <row r="618" ht="20.25" customHeight="1">
      <c r="E618" s="355"/>
      <c r="F618" s="355"/>
      <c r="I618" s="328"/>
      <c r="K618" s="329">
        <v>522.0</v>
      </c>
      <c r="L618" s="330">
        <v>6.0</v>
      </c>
      <c r="M618" s="331" t="s">
        <v>13663</v>
      </c>
      <c r="N618" s="331" t="s">
        <v>13664</v>
      </c>
      <c r="O618" s="331" t="s">
        <v>8982</v>
      </c>
      <c r="P618" s="331" t="s">
        <v>4835</v>
      </c>
      <c r="Q618" s="338" t="s">
        <v>17332</v>
      </c>
      <c r="R618" s="331" t="s">
        <v>8985</v>
      </c>
      <c r="S618" s="334" t="s">
        <v>6993</v>
      </c>
      <c r="T618" s="303"/>
      <c r="U618" s="303"/>
      <c r="V618" s="303"/>
    </row>
    <row r="619" ht="20.25" customHeight="1">
      <c r="E619" s="355"/>
      <c r="F619" s="355"/>
      <c r="I619" s="328"/>
      <c r="K619" s="329">
        <v>522.0</v>
      </c>
      <c r="L619" s="330">
        <v>6.0</v>
      </c>
      <c r="M619" s="331" t="s">
        <v>9386</v>
      </c>
      <c r="N619" s="331" t="s">
        <v>17333</v>
      </c>
      <c r="O619" s="331" t="s">
        <v>4327</v>
      </c>
      <c r="P619" s="331" t="s">
        <v>4756</v>
      </c>
      <c r="Q619" s="353" t="s">
        <v>6822</v>
      </c>
      <c r="R619" s="331" t="s">
        <v>9358</v>
      </c>
      <c r="S619" s="334" t="s">
        <v>7070</v>
      </c>
      <c r="T619" s="303"/>
      <c r="U619" s="303"/>
      <c r="V619" s="303"/>
    </row>
    <row r="620" ht="20.25" customHeight="1">
      <c r="E620" s="355"/>
      <c r="F620" s="355"/>
      <c r="I620" s="328"/>
      <c r="K620" s="329">
        <v>522.0</v>
      </c>
      <c r="L620" s="330">
        <v>6.0</v>
      </c>
      <c r="M620" s="331" t="s">
        <v>13201</v>
      </c>
      <c r="N620" s="331" t="s">
        <v>13202</v>
      </c>
      <c r="O620" s="331" t="s">
        <v>13200</v>
      </c>
      <c r="P620" s="331" t="s">
        <v>17334</v>
      </c>
      <c r="Q620" s="338" t="s">
        <v>17335</v>
      </c>
      <c r="R620" s="331" t="s">
        <v>8981</v>
      </c>
      <c r="S620" s="334" t="s">
        <v>7005</v>
      </c>
      <c r="T620" s="303"/>
      <c r="U620" s="303"/>
      <c r="V620" s="303"/>
    </row>
    <row r="621" ht="20.25" customHeight="1">
      <c r="E621" s="355"/>
      <c r="F621" s="355"/>
      <c r="I621" s="328"/>
      <c r="K621" s="329">
        <v>522.0</v>
      </c>
      <c r="L621" s="330">
        <v>6.0</v>
      </c>
      <c r="M621" s="331" t="s">
        <v>9454</v>
      </c>
      <c r="N621" s="331" t="s">
        <v>9455</v>
      </c>
      <c r="O621" s="331" t="s">
        <v>9452</v>
      </c>
      <c r="P621" s="331" t="s">
        <v>10068</v>
      </c>
      <c r="Q621" s="338" t="s">
        <v>17336</v>
      </c>
      <c r="R621" s="331" t="s">
        <v>17337</v>
      </c>
      <c r="S621" s="334" t="s">
        <v>7149</v>
      </c>
      <c r="T621" s="303"/>
      <c r="U621" s="303"/>
      <c r="V621" s="303"/>
    </row>
    <row r="622" ht="20.25" customHeight="1">
      <c r="E622" s="355"/>
      <c r="F622" s="355"/>
      <c r="I622" s="328"/>
      <c r="K622" s="398">
        <v>522.0</v>
      </c>
      <c r="L622" s="399">
        <v>6.0</v>
      </c>
      <c r="M622" s="400" t="s">
        <v>12998</v>
      </c>
      <c r="N622" s="400" t="s">
        <v>12999</v>
      </c>
      <c r="O622" s="400" t="s">
        <v>12997</v>
      </c>
      <c r="P622" s="400" t="s">
        <v>9458</v>
      </c>
      <c r="Q622" s="416" t="s">
        <v>17338</v>
      </c>
      <c r="R622" s="400" t="s">
        <v>8245</v>
      </c>
      <c r="S622" s="417" t="s">
        <v>6928</v>
      </c>
      <c r="T622" s="303"/>
      <c r="U622" s="303"/>
      <c r="V622" s="303"/>
    </row>
    <row r="623" ht="20.25" customHeight="1">
      <c r="E623" s="355"/>
      <c r="F623" s="355"/>
      <c r="I623" s="328"/>
      <c r="K623" s="421"/>
      <c r="L623" s="303"/>
      <c r="M623" s="303"/>
      <c r="N623" s="303"/>
      <c r="O623" s="303"/>
      <c r="P623" s="303"/>
      <c r="Q623" s="303"/>
      <c r="R623" s="303"/>
      <c r="S623" s="303"/>
      <c r="T623" s="303"/>
      <c r="U623" s="303"/>
      <c r="V623" s="303"/>
    </row>
    <row r="624" ht="20.25" customHeight="1">
      <c r="E624" s="355"/>
      <c r="F624" s="355"/>
      <c r="I624" s="328"/>
      <c r="K624" s="421"/>
      <c r="L624" s="303"/>
      <c r="M624" s="303"/>
      <c r="N624" s="303"/>
      <c r="O624" s="303"/>
      <c r="P624" s="303"/>
      <c r="Q624" s="303"/>
      <c r="R624" s="303"/>
      <c r="S624" s="303"/>
      <c r="T624" s="303"/>
      <c r="U624" s="303"/>
      <c r="V624" s="303"/>
    </row>
    <row r="625" ht="20.25" customHeight="1">
      <c r="E625" s="355"/>
      <c r="F625" s="355"/>
      <c r="I625" s="328"/>
      <c r="K625" s="421"/>
      <c r="L625" s="303"/>
      <c r="M625" s="303"/>
      <c r="N625" s="303"/>
      <c r="O625" s="303"/>
      <c r="P625" s="303"/>
      <c r="Q625" s="303"/>
      <c r="R625" s="303"/>
      <c r="S625" s="303"/>
      <c r="T625" s="303"/>
      <c r="U625" s="303"/>
      <c r="V625" s="303"/>
    </row>
    <row r="626" ht="20.25" customHeight="1">
      <c r="E626" s="355"/>
      <c r="F626" s="355"/>
      <c r="I626" s="328"/>
      <c r="K626" s="421"/>
      <c r="L626" s="303"/>
      <c r="M626" s="303"/>
      <c r="N626" s="303"/>
      <c r="O626" s="303"/>
      <c r="P626" s="303"/>
      <c r="Q626" s="303"/>
      <c r="R626" s="303"/>
      <c r="S626" s="303"/>
      <c r="T626" s="303"/>
      <c r="U626" s="303"/>
      <c r="V626" s="303"/>
    </row>
    <row r="627" ht="20.25" customHeight="1">
      <c r="E627" s="355"/>
      <c r="F627" s="355"/>
      <c r="I627" s="328"/>
      <c r="K627" s="421"/>
      <c r="L627" s="303"/>
      <c r="M627" s="303"/>
      <c r="N627" s="303"/>
      <c r="O627" s="303"/>
      <c r="P627" s="303"/>
      <c r="Q627" s="303"/>
      <c r="R627" s="303"/>
      <c r="S627" s="303"/>
      <c r="T627" s="303"/>
      <c r="U627" s="303"/>
      <c r="V627" s="303"/>
    </row>
    <row r="628" ht="20.25" customHeight="1">
      <c r="E628" s="355"/>
      <c r="F628" s="355"/>
      <c r="I628" s="328"/>
      <c r="K628" s="421"/>
      <c r="L628" s="303"/>
      <c r="M628" s="303"/>
      <c r="N628" s="303"/>
      <c r="O628" s="303"/>
      <c r="P628" s="303"/>
      <c r="Q628" s="303"/>
      <c r="R628" s="303"/>
      <c r="S628" s="303"/>
      <c r="T628" s="303"/>
      <c r="U628" s="303"/>
      <c r="V628" s="303"/>
    </row>
    <row r="629" ht="20.25" customHeight="1">
      <c r="E629" s="355"/>
      <c r="F629" s="355"/>
      <c r="I629" s="328"/>
      <c r="K629" s="421"/>
      <c r="L629" s="303"/>
      <c r="M629" s="303"/>
      <c r="N629" s="303"/>
      <c r="O629" s="303"/>
      <c r="P629" s="303"/>
      <c r="Q629" s="303"/>
      <c r="R629" s="303"/>
      <c r="S629" s="303"/>
      <c r="T629" s="303"/>
      <c r="U629" s="303"/>
      <c r="V629" s="303"/>
    </row>
    <row r="630" ht="20.25" customHeight="1">
      <c r="E630" s="355"/>
      <c r="F630" s="355"/>
      <c r="I630" s="328"/>
      <c r="K630" s="421"/>
      <c r="L630" s="303"/>
      <c r="M630" s="303"/>
      <c r="N630" s="303"/>
      <c r="O630" s="303"/>
      <c r="P630" s="303"/>
      <c r="Q630" s="303"/>
      <c r="R630" s="303"/>
      <c r="S630" s="303"/>
      <c r="T630" s="303"/>
      <c r="U630" s="303"/>
      <c r="V630" s="303"/>
    </row>
    <row r="631" ht="20.25" customHeight="1">
      <c r="E631" s="355"/>
      <c r="F631" s="355"/>
      <c r="I631" s="328"/>
      <c r="K631" s="421"/>
      <c r="L631" s="303"/>
      <c r="M631" s="303"/>
      <c r="N631" s="303"/>
      <c r="O631" s="303"/>
      <c r="P631" s="303"/>
      <c r="Q631" s="303"/>
      <c r="R631" s="303"/>
      <c r="S631" s="303"/>
      <c r="T631" s="303"/>
      <c r="U631" s="303"/>
      <c r="V631" s="303"/>
    </row>
    <row r="632" ht="20.25" customHeight="1">
      <c r="E632" s="355"/>
      <c r="F632" s="355"/>
      <c r="I632" s="328"/>
      <c r="K632" s="421"/>
      <c r="L632" s="303"/>
      <c r="M632" s="303"/>
      <c r="N632" s="303"/>
      <c r="O632" s="303"/>
      <c r="P632" s="303"/>
      <c r="Q632" s="303"/>
      <c r="R632" s="303"/>
      <c r="S632" s="303"/>
      <c r="T632" s="303"/>
      <c r="U632" s="303"/>
      <c r="V632" s="303"/>
    </row>
    <row r="633" ht="20.25" customHeight="1">
      <c r="E633" s="355"/>
      <c r="F633" s="355"/>
      <c r="I633" s="328"/>
      <c r="K633" s="421"/>
      <c r="L633" s="303"/>
      <c r="M633" s="303"/>
      <c r="N633" s="303"/>
      <c r="O633" s="303"/>
      <c r="P633" s="303"/>
      <c r="Q633" s="303"/>
      <c r="R633" s="303"/>
      <c r="S633" s="303"/>
      <c r="T633" s="303"/>
      <c r="U633" s="303"/>
      <c r="V633" s="303"/>
    </row>
    <row r="634" ht="20.25" customHeight="1">
      <c r="E634" s="355"/>
      <c r="F634" s="355"/>
      <c r="I634" s="328"/>
      <c r="K634" s="421"/>
      <c r="L634" s="303"/>
      <c r="M634" s="303"/>
      <c r="N634" s="303"/>
      <c r="O634" s="303"/>
      <c r="P634" s="303"/>
      <c r="Q634" s="303"/>
      <c r="R634" s="303"/>
      <c r="S634" s="303"/>
      <c r="T634" s="303"/>
      <c r="U634" s="303"/>
      <c r="V634" s="303"/>
    </row>
    <row r="635" ht="20.25" customHeight="1">
      <c r="E635" s="355"/>
      <c r="F635" s="355"/>
      <c r="I635" s="328"/>
      <c r="K635" s="421"/>
      <c r="L635" s="303"/>
      <c r="M635" s="303"/>
      <c r="N635" s="303"/>
      <c r="O635" s="303"/>
      <c r="P635" s="303"/>
      <c r="Q635" s="303"/>
      <c r="R635" s="303"/>
      <c r="S635" s="303"/>
      <c r="T635" s="303"/>
      <c r="U635" s="303"/>
      <c r="V635" s="303"/>
    </row>
    <row r="636" ht="20.25" customHeight="1">
      <c r="E636" s="355"/>
      <c r="F636" s="355"/>
      <c r="I636" s="328"/>
      <c r="K636" s="421"/>
      <c r="L636" s="303"/>
      <c r="M636" s="303"/>
      <c r="N636" s="303"/>
      <c r="O636" s="303"/>
      <c r="P636" s="303"/>
      <c r="Q636" s="303"/>
      <c r="R636" s="303"/>
      <c r="S636" s="303"/>
      <c r="T636" s="303"/>
      <c r="U636" s="303"/>
      <c r="V636" s="303"/>
    </row>
    <row r="637" ht="20.25" customHeight="1">
      <c r="E637" s="355"/>
      <c r="F637" s="355"/>
      <c r="I637" s="328"/>
      <c r="K637" s="421"/>
      <c r="L637" s="303"/>
      <c r="M637" s="303"/>
      <c r="N637" s="303"/>
      <c r="O637" s="303"/>
      <c r="P637" s="303"/>
      <c r="Q637" s="303"/>
      <c r="R637" s="303"/>
      <c r="S637" s="303"/>
      <c r="T637" s="303"/>
      <c r="U637" s="303"/>
      <c r="V637" s="303"/>
    </row>
    <row r="638" ht="20.25" customHeight="1">
      <c r="E638" s="355"/>
      <c r="F638" s="355"/>
      <c r="I638" s="328"/>
      <c r="K638" s="421"/>
      <c r="L638" s="303"/>
      <c r="M638" s="303"/>
      <c r="N638" s="303"/>
      <c r="O638" s="303"/>
      <c r="P638" s="303"/>
      <c r="Q638" s="303"/>
      <c r="R638" s="303"/>
      <c r="S638" s="303"/>
      <c r="T638" s="303"/>
      <c r="U638" s="303"/>
      <c r="V638" s="303"/>
    </row>
    <row r="639" ht="20.25" customHeight="1">
      <c r="E639" s="355"/>
      <c r="F639" s="355"/>
      <c r="I639" s="328"/>
      <c r="K639" s="421"/>
      <c r="L639" s="303"/>
      <c r="M639" s="303"/>
      <c r="N639" s="303"/>
      <c r="O639" s="303"/>
      <c r="P639" s="303"/>
      <c r="Q639" s="303"/>
      <c r="R639" s="303"/>
      <c r="S639" s="303"/>
      <c r="T639" s="303"/>
      <c r="U639" s="303"/>
      <c r="V639" s="303"/>
    </row>
    <row r="640" ht="20.25" customHeight="1">
      <c r="E640" s="355"/>
      <c r="F640" s="355"/>
      <c r="I640" s="328"/>
      <c r="K640" s="421"/>
      <c r="L640" s="303"/>
      <c r="M640" s="303"/>
      <c r="N640" s="303"/>
      <c r="O640" s="303"/>
      <c r="P640" s="303"/>
      <c r="Q640" s="303"/>
      <c r="R640" s="303"/>
      <c r="S640" s="303"/>
      <c r="T640" s="303"/>
      <c r="U640" s="303"/>
      <c r="V640" s="303"/>
    </row>
    <row r="641" ht="20.25" customHeight="1">
      <c r="E641" s="355"/>
      <c r="F641" s="355"/>
      <c r="I641" s="328"/>
      <c r="K641" s="421"/>
      <c r="L641" s="303"/>
      <c r="M641" s="303"/>
      <c r="N641" s="303"/>
      <c r="O641" s="303"/>
      <c r="P641" s="303"/>
      <c r="Q641" s="303"/>
      <c r="R641" s="303"/>
      <c r="S641" s="303"/>
      <c r="T641" s="303"/>
      <c r="U641" s="303"/>
      <c r="V641" s="303"/>
    </row>
    <row r="642" ht="20.25" customHeight="1">
      <c r="E642" s="355"/>
      <c r="F642" s="355"/>
      <c r="I642" s="328"/>
      <c r="K642" s="421"/>
      <c r="L642" s="303"/>
      <c r="M642" s="303"/>
      <c r="N642" s="303"/>
      <c r="O642" s="303"/>
      <c r="P642" s="303"/>
      <c r="Q642" s="303"/>
      <c r="R642" s="303"/>
      <c r="S642" s="303"/>
      <c r="T642" s="303"/>
      <c r="U642" s="303"/>
      <c r="V642" s="303"/>
    </row>
    <row r="643" ht="20.25" customHeight="1">
      <c r="E643" s="355"/>
      <c r="F643" s="355"/>
      <c r="I643" s="328"/>
      <c r="K643" s="421"/>
      <c r="L643" s="303"/>
      <c r="M643" s="303"/>
      <c r="N643" s="303"/>
      <c r="O643" s="303"/>
      <c r="P643" s="303"/>
      <c r="Q643" s="303"/>
      <c r="R643" s="303"/>
      <c r="S643" s="303"/>
      <c r="T643" s="303"/>
      <c r="U643" s="303"/>
      <c r="V643" s="303"/>
    </row>
    <row r="644" ht="20.25" customHeight="1">
      <c r="E644" s="355"/>
      <c r="F644" s="355"/>
      <c r="I644" s="328"/>
      <c r="K644" s="421"/>
      <c r="L644" s="303"/>
      <c r="M644" s="303"/>
      <c r="N644" s="303"/>
      <c r="O644" s="303"/>
      <c r="P644" s="303"/>
      <c r="Q644" s="303"/>
      <c r="R644" s="303"/>
      <c r="S644" s="303"/>
      <c r="T644" s="303"/>
      <c r="U644" s="303"/>
      <c r="V644" s="303"/>
    </row>
    <row r="645" ht="20.25" customHeight="1">
      <c r="E645" s="355"/>
      <c r="F645" s="355"/>
      <c r="I645" s="328"/>
      <c r="K645" s="421"/>
      <c r="L645" s="303"/>
      <c r="M645" s="303"/>
      <c r="N645" s="303"/>
      <c r="O645" s="303"/>
      <c r="P645" s="303"/>
      <c r="Q645" s="303"/>
      <c r="R645" s="303"/>
      <c r="S645" s="303"/>
      <c r="T645" s="303"/>
      <c r="U645" s="303"/>
      <c r="V645" s="303"/>
    </row>
    <row r="646" ht="20.25" customHeight="1">
      <c r="E646" s="355"/>
      <c r="F646" s="355"/>
      <c r="I646" s="328"/>
      <c r="K646" s="421"/>
      <c r="L646" s="303"/>
      <c r="M646" s="303"/>
      <c r="N646" s="303"/>
      <c r="O646" s="303"/>
      <c r="P646" s="303"/>
      <c r="Q646" s="303"/>
      <c r="R646" s="303"/>
      <c r="S646" s="303"/>
      <c r="T646" s="303"/>
      <c r="U646" s="303"/>
      <c r="V646" s="303"/>
    </row>
    <row r="647" ht="20.25" customHeight="1">
      <c r="E647" s="355"/>
      <c r="F647" s="355"/>
      <c r="I647" s="328"/>
      <c r="K647" s="421"/>
      <c r="L647" s="303"/>
      <c r="M647" s="303"/>
      <c r="N647" s="303"/>
      <c r="O647" s="303"/>
      <c r="P647" s="303"/>
      <c r="Q647" s="303"/>
      <c r="R647" s="303"/>
      <c r="S647" s="303"/>
      <c r="T647" s="303"/>
      <c r="U647" s="303"/>
      <c r="V647" s="303"/>
    </row>
    <row r="648" ht="20.25" customHeight="1">
      <c r="E648" s="355"/>
      <c r="F648" s="355"/>
      <c r="I648" s="328"/>
      <c r="K648" s="421"/>
      <c r="L648" s="303"/>
      <c r="M648" s="303"/>
      <c r="N648" s="303"/>
      <c r="O648" s="303"/>
      <c r="P648" s="303"/>
      <c r="Q648" s="303"/>
      <c r="R648" s="303"/>
      <c r="S648" s="303"/>
      <c r="T648" s="303"/>
      <c r="U648" s="303"/>
      <c r="V648" s="303"/>
    </row>
    <row r="649" ht="20.25" customHeight="1">
      <c r="E649" s="355"/>
      <c r="F649" s="355"/>
      <c r="I649" s="328"/>
      <c r="K649" s="421"/>
      <c r="L649" s="303"/>
      <c r="M649" s="303"/>
      <c r="N649" s="303"/>
      <c r="O649" s="303"/>
      <c r="P649" s="303"/>
      <c r="Q649" s="303"/>
      <c r="R649" s="303"/>
      <c r="S649" s="303"/>
      <c r="T649" s="303"/>
      <c r="U649" s="303"/>
      <c r="V649" s="303"/>
    </row>
    <row r="650" ht="20.25" customHeight="1">
      <c r="E650" s="355"/>
      <c r="F650" s="355"/>
      <c r="I650" s="328"/>
      <c r="K650" s="421"/>
      <c r="L650" s="303"/>
      <c r="M650" s="303"/>
      <c r="N650" s="303"/>
      <c r="O650" s="303"/>
      <c r="P650" s="303"/>
      <c r="Q650" s="303"/>
      <c r="R650" s="303"/>
      <c r="S650" s="303"/>
      <c r="T650" s="303"/>
      <c r="U650" s="303"/>
      <c r="V650" s="303"/>
    </row>
    <row r="651" ht="20.25" customHeight="1">
      <c r="E651" s="355"/>
      <c r="F651" s="355"/>
      <c r="I651" s="328"/>
      <c r="K651" s="421"/>
      <c r="L651" s="303"/>
      <c r="M651" s="303"/>
      <c r="N651" s="303"/>
      <c r="O651" s="303"/>
      <c r="P651" s="303"/>
      <c r="Q651" s="303"/>
      <c r="R651" s="303"/>
      <c r="S651" s="303"/>
      <c r="T651" s="303"/>
      <c r="U651" s="303"/>
      <c r="V651" s="303"/>
    </row>
    <row r="652" ht="20.25" customHeight="1">
      <c r="E652" s="355"/>
      <c r="F652" s="355"/>
      <c r="I652" s="328"/>
      <c r="K652" s="421"/>
      <c r="L652" s="303"/>
      <c r="M652" s="303"/>
      <c r="N652" s="303"/>
      <c r="O652" s="303"/>
      <c r="P652" s="303"/>
      <c r="Q652" s="303"/>
      <c r="R652" s="303"/>
      <c r="S652" s="303"/>
      <c r="T652" s="303"/>
      <c r="U652" s="303"/>
      <c r="V652" s="303"/>
    </row>
    <row r="653" ht="20.25" customHeight="1">
      <c r="E653" s="355"/>
      <c r="F653" s="355"/>
      <c r="I653" s="328"/>
      <c r="K653" s="421"/>
      <c r="L653" s="303"/>
      <c r="M653" s="303"/>
      <c r="N653" s="303"/>
      <c r="O653" s="303"/>
      <c r="P653" s="303"/>
      <c r="Q653" s="303"/>
      <c r="R653" s="303"/>
      <c r="S653" s="303"/>
      <c r="T653" s="303"/>
      <c r="U653" s="303"/>
      <c r="V653" s="303"/>
    </row>
    <row r="654" ht="20.25" customHeight="1">
      <c r="E654" s="355"/>
      <c r="F654" s="355"/>
      <c r="I654" s="328"/>
      <c r="K654" s="421"/>
      <c r="L654" s="303"/>
      <c r="M654" s="303"/>
      <c r="N654" s="303"/>
      <c r="O654" s="303"/>
      <c r="P654" s="303"/>
      <c r="Q654" s="303"/>
      <c r="R654" s="303"/>
      <c r="S654" s="303"/>
      <c r="T654" s="303"/>
      <c r="U654" s="303"/>
      <c r="V654" s="303"/>
    </row>
    <row r="655" ht="20.25" customHeight="1">
      <c r="E655" s="355"/>
      <c r="F655" s="355"/>
      <c r="I655" s="328"/>
      <c r="K655" s="421"/>
      <c r="L655" s="303"/>
      <c r="M655" s="303"/>
      <c r="N655" s="303"/>
      <c r="O655" s="303"/>
      <c r="P655" s="303"/>
      <c r="Q655" s="303"/>
      <c r="R655" s="303"/>
      <c r="S655" s="303"/>
      <c r="T655" s="303"/>
      <c r="U655" s="303"/>
      <c r="V655" s="303"/>
    </row>
    <row r="656" ht="20.25" customHeight="1">
      <c r="E656" s="355"/>
      <c r="F656" s="355"/>
      <c r="I656" s="328"/>
      <c r="K656" s="421"/>
      <c r="L656" s="303"/>
      <c r="M656" s="303"/>
      <c r="N656" s="303"/>
      <c r="O656" s="303"/>
      <c r="P656" s="303"/>
      <c r="Q656" s="303"/>
      <c r="R656" s="303"/>
      <c r="S656" s="303"/>
      <c r="T656" s="303"/>
      <c r="U656" s="303"/>
      <c r="V656" s="303"/>
    </row>
    <row r="657" ht="20.25" customHeight="1">
      <c r="E657" s="355"/>
      <c r="F657" s="355"/>
      <c r="I657" s="328"/>
      <c r="K657" s="421"/>
      <c r="L657" s="303"/>
      <c r="M657" s="303"/>
      <c r="N657" s="303"/>
      <c r="O657" s="303"/>
      <c r="P657" s="303"/>
      <c r="Q657" s="303"/>
      <c r="R657" s="303"/>
      <c r="S657" s="303"/>
      <c r="T657" s="303"/>
      <c r="U657" s="303"/>
      <c r="V657" s="303"/>
    </row>
    <row r="658" ht="20.25" customHeight="1">
      <c r="E658" s="355"/>
      <c r="F658" s="355"/>
      <c r="I658" s="328"/>
      <c r="K658" s="421"/>
      <c r="L658" s="303"/>
      <c r="M658" s="303"/>
      <c r="N658" s="303"/>
      <c r="O658" s="303"/>
      <c r="P658" s="303"/>
      <c r="Q658" s="303"/>
      <c r="R658" s="303"/>
      <c r="S658" s="303"/>
      <c r="T658" s="303"/>
      <c r="U658" s="303"/>
      <c r="V658" s="303"/>
    </row>
    <row r="659" ht="20.25" customHeight="1">
      <c r="E659" s="355"/>
      <c r="F659" s="355"/>
      <c r="I659" s="328"/>
      <c r="K659" s="421"/>
      <c r="L659" s="303"/>
      <c r="M659" s="303"/>
      <c r="N659" s="303"/>
      <c r="O659" s="303"/>
      <c r="P659" s="303"/>
      <c r="Q659" s="303"/>
      <c r="R659" s="303"/>
      <c r="S659" s="303"/>
      <c r="T659" s="303"/>
      <c r="U659" s="303"/>
      <c r="V659" s="303"/>
    </row>
    <row r="660" ht="20.25" customHeight="1">
      <c r="E660" s="355"/>
      <c r="F660" s="355"/>
      <c r="I660" s="328"/>
      <c r="K660" s="421"/>
      <c r="L660" s="303"/>
      <c r="M660" s="303"/>
      <c r="N660" s="303"/>
      <c r="O660" s="303"/>
      <c r="P660" s="303"/>
      <c r="Q660" s="303"/>
      <c r="R660" s="303"/>
      <c r="S660" s="303"/>
      <c r="T660" s="303"/>
      <c r="U660" s="303"/>
      <c r="V660" s="303"/>
    </row>
    <row r="661" ht="20.25" customHeight="1">
      <c r="E661" s="355"/>
      <c r="F661" s="355"/>
      <c r="I661" s="328"/>
      <c r="K661" s="421"/>
      <c r="L661" s="303"/>
      <c r="M661" s="303"/>
      <c r="N661" s="303"/>
      <c r="O661" s="303"/>
      <c r="P661" s="303"/>
      <c r="Q661" s="303"/>
      <c r="R661" s="303"/>
      <c r="S661" s="303"/>
      <c r="T661" s="303"/>
      <c r="U661" s="303"/>
      <c r="V661" s="303"/>
    </row>
    <row r="662" ht="20.25" customHeight="1">
      <c r="E662" s="355"/>
      <c r="F662" s="355"/>
      <c r="I662" s="328"/>
      <c r="K662" s="421"/>
      <c r="L662" s="303"/>
      <c r="M662" s="303"/>
      <c r="N662" s="303"/>
      <c r="O662" s="303"/>
      <c r="P662" s="303"/>
      <c r="Q662" s="303"/>
      <c r="R662" s="303"/>
      <c r="S662" s="303"/>
      <c r="T662" s="303"/>
      <c r="U662" s="303"/>
      <c r="V662" s="303"/>
    </row>
    <row r="663" ht="20.25" customHeight="1">
      <c r="E663" s="355"/>
      <c r="F663" s="355"/>
      <c r="I663" s="328"/>
      <c r="K663" s="421"/>
      <c r="L663" s="303"/>
      <c r="M663" s="303"/>
      <c r="N663" s="303"/>
      <c r="O663" s="303"/>
      <c r="P663" s="303"/>
      <c r="Q663" s="303"/>
      <c r="R663" s="303"/>
      <c r="S663" s="303"/>
      <c r="T663" s="303"/>
      <c r="U663" s="303"/>
      <c r="V663" s="303"/>
    </row>
    <row r="664" ht="20.25" customHeight="1">
      <c r="E664" s="355"/>
      <c r="F664" s="355"/>
      <c r="I664" s="328"/>
      <c r="K664" s="421"/>
      <c r="L664" s="303"/>
      <c r="M664" s="303"/>
      <c r="N664" s="303"/>
      <c r="O664" s="303"/>
      <c r="P664" s="303"/>
      <c r="Q664" s="303"/>
      <c r="R664" s="303"/>
      <c r="S664" s="303"/>
      <c r="T664" s="303"/>
      <c r="U664" s="303"/>
      <c r="V664" s="303"/>
    </row>
    <row r="665" ht="20.25" customHeight="1">
      <c r="E665" s="355"/>
      <c r="F665" s="355"/>
      <c r="I665" s="328"/>
      <c r="K665" s="421"/>
      <c r="L665" s="303"/>
      <c r="M665" s="303"/>
      <c r="N665" s="303"/>
      <c r="O665" s="303"/>
      <c r="P665" s="303"/>
      <c r="Q665" s="303"/>
      <c r="R665" s="303"/>
      <c r="S665" s="303"/>
      <c r="T665" s="303"/>
      <c r="U665" s="303"/>
      <c r="V665" s="303"/>
    </row>
    <row r="666" ht="20.25" customHeight="1">
      <c r="E666" s="355"/>
      <c r="F666" s="355"/>
      <c r="I666" s="328"/>
      <c r="K666" s="421"/>
      <c r="L666" s="303"/>
      <c r="M666" s="303"/>
      <c r="N666" s="303"/>
      <c r="O666" s="303"/>
      <c r="P666" s="303"/>
      <c r="Q666" s="303"/>
      <c r="R666" s="303"/>
      <c r="S666" s="303"/>
      <c r="T666" s="303"/>
      <c r="U666" s="303"/>
      <c r="V666" s="303"/>
    </row>
    <row r="667" ht="20.25" customHeight="1">
      <c r="E667" s="355"/>
      <c r="F667" s="355"/>
      <c r="I667" s="328"/>
      <c r="K667" s="421"/>
      <c r="L667" s="303"/>
      <c r="M667" s="303"/>
      <c r="N667" s="303"/>
      <c r="O667" s="303"/>
      <c r="P667" s="303"/>
      <c r="Q667" s="303"/>
      <c r="R667" s="303"/>
      <c r="S667" s="303"/>
      <c r="T667" s="303"/>
      <c r="U667" s="303"/>
      <c r="V667" s="303"/>
    </row>
    <row r="668" ht="20.25" customHeight="1">
      <c r="E668" s="355"/>
      <c r="F668" s="355"/>
      <c r="I668" s="328"/>
      <c r="K668" s="421"/>
      <c r="L668" s="303"/>
      <c r="M668" s="303"/>
      <c r="N668" s="303"/>
      <c r="O668" s="303"/>
      <c r="P668" s="303"/>
      <c r="Q668" s="303"/>
      <c r="R668" s="303"/>
      <c r="S668" s="303"/>
      <c r="T668" s="303"/>
      <c r="U668" s="303"/>
      <c r="V668" s="303"/>
    </row>
    <row r="669" ht="20.25" customHeight="1">
      <c r="E669" s="355"/>
      <c r="F669" s="355"/>
      <c r="I669" s="328"/>
      <c r="K669" s="421"/>
      <c r="L669" s="303"/>
      <c r="M669" s="303"/>
      <c r="N669" s="303"/>
      <c r="O669" s="303"/>
      <c r="P669" s="303"/>
      <c r="Q669" s="303"/>
      <c r="R669" s="303"/>
      <c r="S669" s="303"/>
      <c r="T669" s="303"/>
      <c r="U669" s="303"/>
      <c r="V669" s="303"/>
    </row>
    <row r="670" ht="20.25" customHeight="1">
      <c r="E670" s="355"/>
      <c r="F670" s="355"/>
      <c r="I670" s="328"/>
      <c r="K670" s="421"/>
      <c r="L670" s="303"/>
      <c r="M670" s="303"/>
      <c r="N670" s="303"/>
      <c r="O670" s="303"/>
      <c r="P670" s="303"/>
      <c r="Q670" s="303"/>
      <c r="R670" s="303"/>
      <c r="S670" s="303"/>
      <c r="T670" s="303"/>
      <c r="U670" s="303"/>
      <c r="V670" s="303"/>
    </row>
    <row r="671" ht="20.25" customHeight="1">
      <c r="E671" s="355"/>
      <c r="F671" s="355"/>
      <c r="I671" s="328"/>
      <c r="K671" s="421"/>
      <c r="L671" s="303"/>
      <c r="M671" s="303"/>
      <c r="N671" s="303"/>
      <c r="O671" s="303"/>
      <c r="P671" s="303"/>
      <c r="Q671" s="303"/>
      <c r="R671" s="303"/>
      <c r="S671" s="303"/>
      <c r="T671" s="303"/>
      <c r="U671" s="303"/>
      <c r="V671" s="303"/>
    </row>
    <row r="672" ht="20.25" customHeight="1">
      <c r="E672" s="355"/>
      <c r="F672" s="355"/>
      <c r="I672" s="328"/>
      <c r="K672" s="421"/>
      <c r="L672" s="303"/>
      <c r="M672" s="303"/>
      <c r="N672" s="303"/>
      <c r="O672" s="303"/>
      <c r="P672" s="303"/>
      <c r="Q672" s="303"/>
      <c r="R672" s="303"/>
      <c r="S672" s="303"/>
      <c r="T672" s="303"/>
      <c r="U672" s="303"/>
      <c r="V672" s="303"/>
    </row>
    <row r="673" ht="20.25" customHeight="1">
      <c r="E673" s="355"/>
      <c r="F673" s="355"/>
      <c r="I673" s="328"/>
      <c r="K673" s="421"/>
      <c r="L673" s="303"/>
      <c r="M673" s="303"/>
      <c r="N673" s="303"/>
      <c r="O673" s="303"/>
      <c r="P673" s="303"/>
      <c r="Q673" s="303"/>
      <c r="R673" s="303"/>
      <c r="S673" s="303"/>
      <c r="T673" s="303"/>
      <c r="U673" s="303"/>
      <c r="V673" s="303"/>
    </row>
    <row r="674" ht="20.25" customHeight="1">
      <c r="E674" s="355"/>
      <c r="F674" s="355"/>
      <c r="I674" s="328"/>
      <c r="K674" s="421"/>
      <c r="L674" s="303"/>
      <c r="M674" s="303"/>
      <c r="N674" s="303"/>
      <c r="O674" s="303"/>
      <c r="P674" s="303"/>
      <c r="Q674" s="303"/>
      <c r="R674" s="303"/>
      <c r="S674" s="303"/>
      <c r="T674" s="303"/>
      <c r="U674" s="303"/>
      <c r="V674" s="303"/>
    </row>
    <row r="675" ht="20.25" customHeight="1">
      <c r="E675" s="355"/>
      <c r="F675" s="355"/>
      <c r="I675" s="328"/>
      <c r="K675" s="421"/>
      <c r="L675" s="303"/>
      <c r="M675" s="303"/>
      <c r="N675" s="303"/>
      <c r="O675" s="303"/>
      <c r="P675" s="303"/>
      <c r="Q675" s="303"/>
      <c r="R675" s="303"/>
      <c r="S675" s="303"/>
      <c r="T675" s="303"/>
      <c r="U675" s="303"/>
      <c r="V675" s="303"/>
    </row>
    <row r="676" ht="20.25" customHeight="1">
      <c r="E676" s="355"/>
      <c r="F676" s="355"/>
      <c r="I676" s="328"/>
      <c r="K676" s="421"/>
      <c r="L676" s="303"/>
      <c r="M676" s="303"/>
      <c r="N676" s="303"/>
      <c r="O676" s="303"/>
      <c r="P676" s="303"/>
      <c r="Q676" s="303"/>
      <c r="R676" s="303"/>
      <c r="S676" s="303"/>
      <c r="T676" s="303"/>
      <c r="U676" s="303"/>
      <c r="V676" s="303"/>
    </row>
    <row r="677" ht="20.25" customHeight="1">
      <c r="E677" s="355"/>
      <c r="F677" s="355"/>
      <c r="I677" s="328"/>
      <c r="K677" s="421"/>
      <c r="L677" s="303"/>
      <c r="M677" s="303"/>
      <c r="N677" s="303"/>
      <c r="O677" s="303"/>
      <c r="P677" s="303"/>
      <c r="Q677" s="303"/>
      <c r="R677" s="303"/>
      <c r="S677" s="303"/>
      <c r="T677" s="303"/>
      <c r="U677" s="303"/>
      <c r="V677" s="303"/>
    </row>
    <row r="678" ht="20.25" customHeight="1">
      <c r="E678" s="355"/>
      <c r="F678" s="355"/>
      <c r="I678" s="328"/>
      <c r="K678" s="421"/>
      <c r="L678" s="303"/>
      <c r="M678" s="303"/>
      <c r="N678" s="303"/>
      <c r="O678" s="303"/>
      <c r="P678" s="303"/>
      <c r="Q678" s="303"/>
      <c r="R678" s="303"/>
      <c r="S678" s="303"/>
      <c r="T678" s="303"/>
      <c r="U678" s="303"/>
      <c r="V678" s="303"/>
    </row>
    <row r="679" ht="20.25" customHeight="1">
      <c r="E679" s="355"/>
      <c r="F679" s="355"/>
      <c r="I679" s="328"/>
      <c r="K679" s="421"/>
      <c r="L679" s="303"/>
      <c r="M679" s="303"/>
      <c r="N679" s="303"/>
      <c r="O679" s="303"/>
      <c r="P679" s="303"/>
      <c r="Q679" s="303"/>
      <c r="R679" s="303"/>
      <c r="S679" s="303"/>
      <c r="T679" s="303"/>
      <c r="U679" s="303"/>
      <c r="V679" s="303"/>
    </row>
    <row r="680" ht="20.25" customHeight="1">
      <c r="E680" s="355"/>
      <c r="F680" s="355"/>
      <c r="I680" s="328"/>
      <c r="K680" s="421"/>
      <c r="L680" s="303"/>
      <c r="M680" s="303"/>
      <c r="N680" s="303"/>
      <c r="O680" s="303"/>
      <c r="P680" s="303"/>
      <c r="Q680" s="303"/>
      <c r="R680" s="303"/>
      <c r="S680" s="303"/>
      <c r="T680" s="303"/>
      <c r="U680" s="303"/>
      <c r="V680" s="303"/>
    </row>
    <row r="681" ht="20.25" customHeight="1">
      <c r="E681" s="355"/>
      <c r="F681" s="355"/>
      <c r="I681" s="328"/>
      <c r="K681" s="421"/>
      <c r="L681" s="303"/>
      <c r="M681" s="303"/>
      <c r="N681" s="303"/>
      <c r="O681" s="303"/>
      <c r="P681" s="303"/>
      <c r="Q681" s="303"/>
      <c r="R681" s="303"/>
      <c r="S681" s="303"/>
      <c r="T681" s="303"/>
      <c r="U681" s="303"/>
      <c r="V681" s="303"/>
    </row>
    <row r="682" ht="20.25" customHeight="1">
      <c r="E682" s="355"/>
      <c r="F682" s="355"/>
      <c r="I682" s="328"/>
      <c r="K682" s="421"/>
      <c r="L682" s="303"/>
      <c r="M682" s="303"/>
      <c r="N682" s="303"/>
      <c r="O682" s="303"/>
      <c r="P682" s="303"/>
      <c r="Q682" s="303"/>
      <c r="R682" s="303"/>
      <c r="S682" s="303"/>
      <c r="T682" s="303"/>
      <c r="U682" s="303"/>
      <c r="V682" s="303"/>
    </row>
    <row r="683" ht="20.25" customHeight="1">
      <c r="E683" s="355"/>
      <c r="F683" s="355"/>
      <c r="I683" s="328"/>
      <c r="K683" s="421"/>
      <c r="L683" s="303"/>
      <c r="M683" s="303"/>
      <c r="N683" s="303"/>
      <c r="O683" s="303"/>
      <c r="P683" s="303"/>
      <c r="Q683" s="303"/>
      <c r="R683" s="303"/>
      <c r="S683" s="303"/>
      <c r="T683" s="303"/>
      <c r="U683" s="303"/>
      <c r="V683" s="303"/>
    </row>
    <row r="684" ht="20.25" customHeight="1">
      <c r="E684" s="355"/>
      <c r="F684" s="355"/>
      <c r="I684" s="328"/>
      <c r="K684" s="421"/>
      <c r="L684" s="303"/>
      <c r="M684" s="303"/>
      <c r="N684" s="303"/>
      <c r="O684" s="303"/>
      <c r="P684" s="303"/>
      <c r="Q684" s="303"/>
      <c r="R684" s="303"/>
      <c r="S684" s="303"/>
      <c r="T684" s="303"/>
      <c r="U684" s="303"/>
      <c r="V684" s="303"/>
    </row>
    <row r="685" ht="20.25" customHeight="1">
      <c r="E685" s="355"/>
      <c r="F685" s="355"/>
      <c r="I685" s="328"/>
      <c r="K685" s="421"/>
      <c r="L685" s="303"/>
      <c r="M685" s="303"/>
      <c r="N685" s="303"/>
      <c r="O685" s="303"/>
      <c r="P685" s="303"/>
      <c r="Q685" s="303"/>
      <c r="R685" s="303"/>
      <c r="S685" s="303"/>
      <c r="T685" s="303"/>
      <c r="U685" s="303"/>
      <c r="V685" s="303"/>
    </row>
    <row r="686" ht="20.25" customHeight="1">
      <c r="E686" s="355"/>
      <c r="F686" s="355"/>
      <c r="I686" s="328"/>
      <c r="K686" s="421"/>
      <c r="L686" s="303"/>
      <c r="M686" s="303"/>
      <c r="N686" s="303"/>
      <c r="O686" s="303"/>
      <c r="P686" s="303"/>
      <c r="Q686" s="303"/>
      <c r="R686" s="303"/>
      <c r="S686" s="303"/>
      <c r="T686" s="303"/>
      <c r="U686" s="303"/>
      <c r="V686" s="303"/>
    </row>
    <row r="687" ht="20.25" customHeight="1">
      <c r="E687" s="355"/>
      <c r="F687" s="355"/>
      <c r="I687" s="328"/>
      <c r="K687" s="421"/>
      <c r="L687" s="303"/>
      <c r="M687" s="303"/>
      <c r="N687" s="303"/>
      <c r="O687" s="303"/>
      <c r="P687" s="303"/>
      <c r="Q687" s="303"/>
      <c r="R687" s="303"/>
      <c r="S687" s="303"/>
      <c r="T687" s="303"/>
      <c r="U687" s="303"/>
      <c r="V687" s="303"/>
    </row>
    <row r="688" ht="20.25" customHeight="1">
      <c r="E688" s="355"/>
      <c r="F688" s="355"/>
      <c r="I688" s="328"/>
      <c r="K688" s="421"/>
      <c r="L688" s="303"/>
      <c r="M688" s="303"/>
      <c r="N688" s="303"/>
      <c r="O688" s="303"/>
      <c r="P688" s="303"/>
      <c r="Q688" s="303"/>
      <c r="R688" s="303"/>
      <c r="S688" s="303"/>
      <c r="T688" s="303"/>
      <c r="U688" s="303"/>
      <c r="V688" s="303"/>
    </row>
    <row r="689" ht="20.25" customHeight="1">
      <c r="E689" s="355"/>
      <c r="F689" s="355"/>
      <c r="I689" s="328"/>
      <c r="K689" s="421"/>
      <c r="L689" s="303"/>
      <c r="M689" s="303"/>
      <c r="N689" s="303"/>
      <c r="O689" s="303"/>
      <c r="P689" s="303"/>
      <c r="Q689" s="303"/>
      <c r="R689" s="303"/>
      <c r="S689" s="303"/>
      <c r="T689" s="303"/>
      <c r="U689" s="303"/>
      <c r="V689" s="303"/>
    </row>
    <row r="690" ht="20.25" customHeight="1">
      <c r="E690" s="355"/>
      <c r="F690" s="355"/>
      <c r="I690" s="328"/>
      <c r="K690" s="421"/>
      <c r="L690" s="303"/>
      <c r="M690" s="303"/>
      <c r="N690" s="303"/>
      <c r="O690" s="303"/>
      <c r="P690" s="303"/>
      <c r="Q690" s="303"/>
      <c r="R690" s="303"/>
      <c r="S690" s="303"/>
      <c r="T690" s="303"/>
      <c r="U690" s="303"/>
      <c r="V690" s="303"/>
    </row>
    <row r="691" ht="20.25" customHeight="1">
      <c r="E691" s="355"/>
      <c r="F691" s="355"/>
      <c r="I691" s="328"/>
      <c r="K691" s="421"/>
      <c r="L691" s="303"/>
      <c r="M691" s="303"/>
      <c r="N691" s="303"/>
      <c r="O691" s="303"/>
      <c r="P691" s="303"/>
      <c r="Q691" s="303"/>
      <c r="R691" s="303"/>
      <c r="S691" s="303"/>
      <c r="T691" s="303"/>
      <c r="U691" s="303"/>
      <c r="V691" s="303"/>
    </row>
    <row r="692" ht="20.25" customHeight="1">
      <c r="E692" s="355"/>
      <c r="F692" s="355"/>
      <c r="I692" s="328"/>
      <c r="K692" s="421"/>
      <c r="L692" s="303"/>
      <c r="M692" s="303"/>
      <c r="N692" s="303"/>
      <c r="O692" s="303"/>
      <c r="P692" s="303"/>
      <c r="Q692" s="303"/>
      <c r="R692" s="303"/>
      <c r="S692" s="303"/>
      <c r="T692" s="303"/>
      <c r="U692" s="303"/>
      <c r="V692" s="303"/>
    </row>
    <row r="693" ht="20.25" customHeight="1">
      <c r="E693" s="355"/>
      <c r="F693" s="355"/>
      <c r="I693" s="328"/>
      <c r="K693" s="421"/>
      <c r="L693" s="303"/>
      <c r="M693" s="303"/>
      <c r="N693" s="303"/>
      <c r="O693" s="303"/>
      <c r="P693" s="303"/>
      <c r="Q693" s="303"/>
      <c r="R693" s="303"/>
      <c r="S693" s="303"/>
      <c r="T693" s="303"/>
      <c r="U693" s="303"/>
      <c r="V693" s="303"/>
    </row>
    <row r="694" ht="20.25" customHeight="1">
      <c r="E694" s="355"/>
      <c r="F694" s="355"/>
      <c r="I694" s="328"/>
      <c r="K694" s="421"/>
      <c r="L694" s="303"/>
      <c r="M694" s="303"/>
      <c r="N694" s="303"/>
      <c r="O694" s="303"/>
      <c r="P694" s="303"/>
      <c r="Q694" s="303"/>
      <c r="R694" s="303"/>
      <c r="S694" s="303"/>
      <c r="T694" s="303"/>
      <c r="U694" s="303"/>
      <c r="V694" s="303"/>
    </row>
    <row r="695" ht="20.25" customHeight="1">
      <c r="E695" s="355"/>
      <c r="F695" s="355"/>
      <c r="I695" s="328"/>
      <c r="K695" s="421"/>
      <c r="L695" s="303"/>
      <c r="M695" s="303"/>
      <c r="N695" s="303"/>
      <c r="O695" s="303"/>
      <c r="P695" s="303"/>
      <c r="Q695" s="303"/>
      <c r="R695" s="303"/>
      <c r="S695" s="303"/>
      <c r="T695" s="303"/>
      <c r="U695" s="303"/>
      <c r="V695" s="303"/>
    </row>
    <row r="696" ht="20.25" customHeight="1">
      <c r="E696" s="355"/>
      <c r="F696" s="355"/>
      <c r="I696" s="328"/>
      <c r="K696" s="421"/>
      <c r="L696" s="303"/>
      <c r="M696" s="303"/>
      <c r="N696" s="303"/>
      <c r="O696" s="303"/>
      <c r="P696" s="303"/>
      <c r="Q696" s="303"/>
      <c r="R696" s="303"/>
      <c r="S696" s="303"/>
      <c r="T696" s="303"/>
      <c r="U696" s="303"/>
      <c r="V696" s="303"/>
    </row>
    <row r="697" ht="20.25" customHeight="1">
      <c r="E697" s="355"/>
      <c r="F697" s="355"/>
      <c r="I697" s="328"/>
      <c r="K697" s="421"/>
      <c r="L697" s="303"/>
      <c r="M697" s="303"/>
      <c r="N697" s="303"/>
      <c r="O697" s="303"/>
      <c r="P697" s="303"/>
      <c r="Q697" s="303"/>
      <c r="R697" s="303"/>
      <c r="S697" s="303"/>
      <c r="T697" s="303"/>
      <c r="U697" s="303"/>
      <c r="V697" s="303"/>
    </row>
    <row r="698" ht="20.25" customHeight="1">
      <c r="E698" s="355"/>
      <c r="F698" s="355"/>
      <c r="I698" s="328"/>
      <c r="K698" s="421"/>
      <c r="L698" s="303"/>
      <c r="M698" s="303"/>
      <c r="N698" s="303"/>
      <c r="O698" s="303"/>
      <c r="P698" s="303"/>
      <c r="Q698" s="303"/>
      <c r="R698" s="303"/>
      <c r="S698" s="303"/>
      <c r="T698" s="303"/>
      <c r="U698" s="303"/>
      <c r="V698" s="303"/>
    </row>
    <row r="699" ht="20.25" customHeight="1">
      <c r="E699" s="355"/>
      <c r="F699" s="355"/>
      <c r="I699" s="328"/>
      <c r="K699" s="421"/>
      <c r="L699" s="303"/>
      <c r="M699" s="303"/>
      <c r="N699" s="303"/>
      <c r="O699" s="303"/>
      <c r="P699" s="303"/>
      <c r="Q699" s="303"/>
      <c r="R699" s="303"/>
      <c r="S699" s="303"/>
      <c r="T699" s="303"/>
      <c r="U699" s="303"/>
      <c r="V699" s="303"/>
    </row>
    <row r="700" ht="20.25" customHeight="1">
      <c r="E700" s="355"/>
      <c r="F700" s="355"/>
      <c r="I700" s="328"/>
      <c r="K700" s="421"/>
      <c r="L700" s="303"/>
      <c r="M700" s="303"/>
      <c r="N700" s="303"/>
      <c r="O700" s="303"/>
      <c r="P700" s="303"/>
      <c r="Q700" s="303"/>
      <c r="R700" s="303"/>
      <c r="S700" s="303"/>
      <c r="T700" s="303"/>
      <c r="U700" s="303"/>
      <c r="V700" s="303"/>
    </row>
    <row r="701" ht="20.25" customHeight="1">
      <c r="E701" s="355"/>
      <c r="F701" s="355"/>
      <c r="I701" s="328"/>
      <c r="K701" s="421"/>
      <c r="L701" s="303"/>
      <c r="M701" s="303"/>
      <c r="N701" s="303"/>
      <c r="O701" s="303"/>
      <c r="P701" s="303"/>
      <c r="Q701" s="303"/>
      <c r="R701" s="303"/>
      <c r="S701" s="303"/>
      <c r="T701" s="303"/>
      <c r="U701" s="303"/>
      <c r="V701" s="303"/>
    </row>
    <row r="702" ht="20.25" customHeight="1">
      <c r="E702" s="355"/>
      <c r="F702" s="355"/>
      <c r="I702" s="328"/>
      <c r="K702" s="421"/>
      <c r="L702" s="303"/>
      <c r="M702" s="303"/>
      <c r="N702" s="303"/>
      <c r="O702" s="303"/>
      <c r="P702" s="303"/>
      <c r="Q702" s="303"/>
      <c r="R702" s="303"/>
      <c r="S702" s="303"/>
      <c r="T702" s="303"/>
      <c r="U702" s="303"/>
      <c r="V702" s="303"/>
    </row>
    <row r="703" ht="20.25" customHeight="1">
      <c r="E703" s="355"/>
      <c r="F703" s="355"/>
      <c r="I703" s="328"/>
      <c r="K703" s="421"/>
      <c r="L703" s="303"/>
      <c r="M703" s="303"/>
      <c r="N703" s="303"/>
      <c r="O703" s="303"/>
      <c r="P703" s="303"/>
      <c r="Q703" s="303"/>
      <c r="R703" s="303"/>
      <c r="S703" s="303"/>
      <c r="T703" s="303"/>
      <c r="U703" s="303"/>
      <c r="V703" s="303"/>
    </row>
    <row r="704" ht="20.25" customHeight="1">
      <c r="E704" s="355"/>
      <c r="F704" s="355"/>
      <c r="I704" s="328"/>
      <c r="K704" s="421"/>
      <c r="L704" s="303"/>
      <c r="M704" s="303"/>
      <c r="N704" s="303"/>
      <c r="O704" s="303"/>
      <c r="P704" s="303"/>
      <c r="Q704" s="303"/>
      <c r="R704" s="303"/>
      <c r="S704" s="303"/>
      <c r="T704" s="303"/>
      <c r="U704" s="303"/>
      <c r="V704" s="303"/>
    </row>
    <row r="705" ht="20.25" customHeight="1">
      <c r="E705" s="355"/>
      <c r="F705" s="355"/>
      <c r="I705" s="328"/>
      <c r="K705" s="421"/>
      <c r="L705" s="303"/>
      <c r="M705" s="303"/>
      <c r="N705" s="303"/>
      <c r="O705" s="303"/>
      <c r="P705" s="303"/>
      <c r="Q705" s="303"/>
      <c r="R705" s="303"/>
      <c r="S705" s="303"/>
      <c r="T705" s="303"/>
      <c r="U705" s="303"/>
      <c r="V705" s="303"/>
    </row>
    <row r="706" ht="20.25" customHeight="1">
      <c r="E706" s="355"/>
      <c r="F706" s="355"/>
      <c r="I706" s="328"/>
      <c r="K706" s="421"/>
      <c r="L706" s="303"/>
      <c r="M706" s="303"/>
      <c r="N706" s="303"/>
      <c r="O706" s="303"/>
      <c r="P706" s="303"/>
      <c r="Q706" s="303"/>
      <c r="R706" s="303"/>
      <c r="S706" s="303"/>
      <c r="T706" s="303"/>
      <c r="U706" s="303"/>
      <c r="V706" s="303"/>
    </row>
    <row r="707" ht="20.25" customHeight="1">
      <c r="E707" s="355"/>
      <c r="F707" s="355"/>
      <c r="I707" s="328"/>
      <c r="K707" s="421"/>
      <c r="L707" s="303"/>
      <c r="M707" s="303"/>
      <c r="N707" s="303"/>
      <c r="O707" s="303"/>
      <c r="P707" s="303"/>
      <c r="Q707" s="303"/>
      <c r="R707" s="303"/>
      <c r="S707" s="303"/>
      <c r="T707" s="303"/>
      <c r="U707" s="303"/>
      <c r="V707" s="303"/>
    </row>
    <row r="708" ht="20.25" customHeight="1">
      <c r="E708" s="355"/>
      <c r="F708" s="355"/>
      <c r="I708" s="328"/>
      <c r="K708" s="421"/>
      <c r="L708" s="303"/>
      <c r="M708" s="303"/>
      <c r="N708" s="303"/>
      <c r="O708" s="303"/>
      <c r="P708" s="303"/>
      <c r="Q708" s="303"/>
      <c r="R708" s="303"/>
      <c r="S708" s="303"/>
      <c r="T708" s="303"/>
      <c r="U708" s="303"/>
      <c r="V708" s="303"/>
    </row>
    <row r="709" ht="20.25" customHeight="1">
      <c r="E709" s="355"/>
      <c r="F709" s="355"/>
      <c r="I709" s="328"/>
      <c r="K709" s="421"/>
      <c r="L709" s="303"/>
      <c r="M709" s="303"/>
      <c r="N709" s="303"/>
      <c r="O709" s="303"/>
      <c r="P709" s="303"/>
      <c r="Q709" s="303"/>
      <c r="R709" s="303"/>
      <c r="S709" s="303"/>
      <c r="T709" s="303"/>
      <c r="U709" s="303"/>
      <c r="V709" s="303"/>
    </row>
    <row r="710" ht="20.25" customHeight="1">
      <c r="E710" s="355"/>
      <c r="F710" s="355"/>
      <c r="I710" s="328"/>
      <c r="K710" s="421"/>
      <c r="L710" s="303"/>
      <c r="M710" s="303"/>
      <c r="N710" s="303"/>
      <c r="O710" s="303"/>
      <c r="P710" s="303"/>
      <c r="Q710" s="303"/>
      <c r="R710" s="303"/>
      <c r="S710" s="303"/>
      <c r="T710" s="303"/>
      <c r="U710" s="303"/>
      <c r="V710" s="303"/>
    </row>
    <row r="711" ht="20.25" customHeight="1">
      <c r="E711" s="355"/>
      <c r="F711" s="355"/>
      <c r="I711" s="328"/>
      <c r="K711" s="421"/>
      <c r="L711" s="303"/>
      <c r="M711" s="303"/>
      <c r="N711" s="303"/>
      <c r="O711" s="303"/>
      <c r="P711" s="303"/>
      <c r="Q711" s="303"/>
      <c r="R711" s="303"/>
      <c r="S711" s="303"/>
      <c r="T711" s="303"/>
      <c r="U711" s="303"/>
      <c r="V711" s="303"/>
    </row>
    <row r="712" ht="20.25" customHeight="1">
      <c r="E712" s="355"/>
      <c r="F712" s="355"/>
      <c r="I712" s="328"/>
      <c r="K712" s="421"/>
      <c r="L712" s="303"/>
      <c r="M712" s="303"/>
      <c r="N712" s="303"/>
      <c r="O712" s="303"/>
      <c r="P712" s="303"/>
      <c r="Q712" s="303"/>
      <c r="R712" s="303"/>
      <c r="S712" s="303"/>
      <c r="T712" s="303"/>
      <c r="U712" s="303"/>
      <c r="V712" s="303"/>
    </row>
    <row r="713" ht="20.25" customHeight="1">
      <c r="E713" s="355"/>
      <c r="F713" s="355"/>
      <c r="I713" s="328"/>
      <c r="K713" s="421"/>
      <c r="L713" s="303"/>
      <c r="M713" s="303"/>
      <c r="N713" s="303"/>
      <c r="O713" s="303"/>
      <c r="P713" s="303"/>
      <c r="Q713" s="303"/>
      <c r="R713" s="303"/>
      <c r="S713" s="303"/>
      <c r="T713" s="303"/>
      <c r="U713" s="303"/>
      <c r="V713" s="303"/>
    </row>
    <row r="714" ht="20.25" customHeight="1">
      <c r="E714" s="355"/>
      <c r="F714" s="355"/>
      <c r="I714" s="328"/>
      <c r="K714" s="421"/>
      <c r="L714" s="303"/>
      <c r="M714" s="303"/>
      <c r="N714" s="303"/>
      <c r="O714" s="303"/>
      <c r="P714" s="303"/>
      <c r="Q714" s="303"/>
      <c r="R714" s="303"/>
      <c r="S714" s="303"/>
      <c r="T714" s="303"/>
      <c r="U714" s="303"/>
      <c r="V714" s="303"/>
    </row>
    <row r="715" ht="20.25" customHeight="1">
      <c r="E715" s="355"/>
      <c r="F715" s="355"/>
      <c r="I715" s="328"/>
      <c r="K715" s="421"/>
      <c r="L715" s="303"/>
      <c r="M715" s="303"/>
      <c r="N715" s="303"/>
      <c r="O715" s="303"/>
      <c r="P715" s="303"/>
      <c r="Q715" s="303"/>
      <c r="R715" s="303"/>
      <c r="S715" s="303"/>
      <c r="T715" s="303"/>
      <c r="U715" s="303"/>
      <c r="V715" s="303"/>
    </row>
    <row r="716" ht="20.25" customHeight="1">
      <c r="E716" s="355"/>
      <c r="F716" s="355"/>
      <c r="I716" s="328"/>
      <c r="K716" s="421"/>
      <c r="L716" s="303"/>
      <c r="M716" s="303"/>
      <c r="N716" s="303"/>
      <c r="O716" s="303"/>
      <c r="P716" s="303"/>
      <c r="Q716" s="303"/>
      <c r="R716" s="303"/>
      <c r="S716" s="303"/>
      <c r="T716" s="303"/>
      <c r="U716" s="303"/>
      <c r="V716" s="303"/>
    </row>
    <row r="717" ht="20.25" customHeight="1">
      <c r="E717" s="355"/>
      <c r="F717" s="355"/>
      <c r="I717" s="328"/>
      <c r="K717" s="421"/>
      <c r="L717" s="303"/>
      <c r="M717" s="303"/>
      <c r="N717" s="303"/>
      <c r="O717" s="303"/>
      <c r="P717" s="303"/>
      <c r="Q717" s="303"/>
      <c r="R717" s="303"/>
      <c r="S717" s="303"/>
      <c r="T717" s="303"/>
      <c r="U717" s="303"/>
      <c r="V717" s="303"/>
    </row>
    <row r="718" ht="20.25" customHeight="1">
      <c r="E718" s="355"/>
      <c r="F718" s="355"/>
      <c r="I718" s="328"/>
      <c r="K718" s="421"/>
      <c r="L718" s="303"/>
      <c r="M718" s="303"/>
      <c r="N718" s="303"/>
      <c r="O718" s="303"/>
      <c r="P718" s="303"/>
      <c r="Q718" s="303"/>
      <c r="R718" s="303"/>
      <c r="S718" s="303"/>
      <c r="T718" s="303"/>
      <c r="U718" s="303"/>
      <c r="V718" s="303"/>
    </row>
    <row r="719" ht="20.25" customHeight="1">
      <c r="E719" s="355"/>
      <c r="F719" s="355"/>
      <c r="I719" s="328"/>
      <c r="K719" s="421"/>
      <c r="L719" s="303"/>
      <c r="M719" s="303"/>
      <c r="N719" s="303"/>
      <c r="O719" s="303"/>
      <c r="P719" s="303"/>
      <c r="Q719" s="303"/>
      <c r="R719" s="303"/>
      <c r="S719" s="303"/>
      <c r="T719" s="303"/>
      <c r="U719" s="303"/>
      <c r="V719" s="303"/>
    </row>
    <row r="720" ht="20.25" customHeight="1">
      <c r="E720" s="355"/>
      <c r="F720" s="355"/>
      <c r="I720" s="328"/>
      <c r="K720" s="421"/>
      <c r="L720" s="303"/>
      <c r="M720" s="303"/>
      <c r="N720" s="303"/>
      <c r="O720" s="303"/>
      <c r="P720" s="303"/>
      <c r="Q720" s="303"/>
      <c r="R720" s="303"/>
      <c r="S720" s="303"/>
      <c r="T720" s="303"/>
      <c r="U720" s="303"/>
      <c r="V720" s="303"/>
    </row>
    <row r="721" ht="20.25" customHeight="1">
      <c r="E721" s="355"/>
      <c r="F721" s="355"/>
      <c r="I721" s="328"/>
      <c r="K721" s="421"/>
      <c r="L721" s="303"/>
      <c r="M721" s="303"/>
      <c r="N721" s="303"/>
      <c r="O721" s="303"/>
      <c r="P721" s="303"/>
      <c r="Q721" s="303"/>
      <c r="R721" s="303"/>
      <c r="S721" s="303"/>
      <c r="T721" s="303"/>
      <c r="U721" s="303"/>
      <c r="V721" s="303"/>
    </row>
    <row r="722" ht="20.25" customHeight="1">
      <c r="E722" s="355"/>
      <c r="F722" s="355"/>
      <c r="I722" s="328"/>
      <c r="K722" s="421"/>
      <c r="L722" s="303"/>
      <c r="M722" s="303"/>
      <c r="N722" s="303"/>
      <c r="O722" s="303"/>
      <c r="P722" s="303"/>
      <c r="Q722" s="303"/>
      <c r="R722" s="303"/>
      <c r="S722" s="303"/>
      <c r="T722" s="303"/>
      <c r="U722" s="303"/>
      <c r="V722" s="303"/>
    </row>
    <row r="723" ht="20.25" customHeight="1">
      <c r="E723" s="355"/>
      <c r="F723" s="355"/>
      <c r="I723" s="328"/>
      <c r="K723" s="421"/>
      <c r="L723" s="303"/>
      <c r="M723" s="303"/>
      <c r="N723" s="303"/>
      <c r="O723" s="303"/>
      <c r="P723" s="303"/>
      <c r="Q723" s="303"/>
      <c r="R723" s="303"/>
      <c r="S723" s="303"/>
      <c r="T723" s="303"/>
      <c r="U723" s="303"/>
      <c r="V723" s="303"/>
    </row>
    <row r="724" ht="20.25" customHeight="1">
      <c r="E724" s="355"/>
      <c r="F724" s="355"/>
      <c r="I724" s="328"/>
      <c r="K724" s="421"/>
      <c r="L724" s="303"/>
      <c r="M724" s="303"/>
      <c r="N724" s="303"/>
      <c r="O724" s="303"/>
      <c r="P724" s="303"/>
      <c r="Q724" s="303"/>
      <c r="R724" s="303"/>
      <c r="S724" s="303"/>
      <c r="T724" s="303"/>
      <c r="U724" s="303"/>
      <c r="V724" s="303"/>
    </row>
    <row r="725" ht="20.25" customHeight="1">
      <c r="E725" s="355"/>
      <c r="F725" s="355"/>
      <c r="I725" s="328"/>
      <c r="K725" s="421"/>
      <c r="L725" s="303"/>
      <c r="M725" s="303"/>
      <c r="N725" s="303"/>
      <c r="O725" s="303"/>
      <c r="P725" s="303"/>
      <c r="Q725" s="303"/>
      <c r="R725" s="303"/>
      <c r="S725" s="303"/>
      <c r="T725" s="303"/>
      <c r="U725" s="303"/>
      <c r="V725" s="303"/>
    </row>
    <row r="726" ht="20.25" customHeight="1">
      <c r="E726" s="355"/>
      <c r="F726" s="355"/>
      <c r="I726" s="328"/>
      <c r="K726" s="421"/>
      <c r="L726" s="303"/>
      <c r="M726" s="303"/>
      <c r="N726" s="303"/>
      <c r="O726" s="303"/>
      <c r="P726" s="303"/>
      <c r="Q726" s="303"/>
      <c r="R726" s="303"/>
      <c r="S726" s="303"/>
      <c r="T726" s="303"/>
      <c r="U726" s="303"/>
      <c r="V726" s="303"/>
    </row>
    <row r="727" ht="20.25" customHeight="1">
      <c r="E727" s="355"/>
      <c r="F727" s="355"/>
      <c r="I727" s="328"/>
      <c r="K727" s="421"/>
      <c r="L727" s="303"/>
      <c r="M727" s="303"/>
      <c r="N727" s="303"/>
      <c r="O727" s="303"/>
      <c r="P727" s="303"/>
      <c r="Q727" s="303"/>
      <c r="R727" s="303"/>
      <c r="S727" s="303"/>
      <c r="T727" s="303"/>
      <c r="U727" s="303"/>
      <c r="V727" s="303"/>
    </row>
    <row r="728" ht="20.25" customHeight="1">
      <c r="E728" s="355"/>
      <c r="F728" s="355"/>
      <c r="I728" s="328"/>
      <c r="K728" s="421"/>
      <c r="L728" s="303"/>
      <c r="M728" s="303"/>
      <c r="N728" s="303"/>
      <c r="O728" s="303"/>
      <c r="P728" s="303"/>
      <c r="Q728" s="303"/>
      <c r="R728" s="303"/>
      <c r="S728" s="303"/>
      <c r="T728" s="303"/>
      <c r="U728" s="303"/>
      <c r="V728" s="303"/>
    </row>
    <row r="729" ht="20.25" customHeight="1">
      <c r="E729" s="355"/>
      <c r="F729" s="355"/>
      <c r="I729" s="328"/>
      <c r="K729" s="421"/>
      <c r="L729" s="303"/>
      <c r="M729" s="303"/>
      <c r="N729" s="303"/>
      <c r="O729" s="303"/>
      <c r="P729" s="303"/>
      <c r="Q729" s="303"/>
      <c r="R729" s="303"/>
      <c r="S729" s="303"/>
      <c r="T729" s="303"/>
      <c r="U729" s="303"/>
      <c r="V729" s="303"/>
    </row>
    <row r="730" ht="20.25" customHeight="1">
      <c r="E730" s="355"/>
      <c r="F730" s="355"/>
      <c r="I730" s="328"/>
      <c r="K730" s="421"/>
      <c r="L730" s="303"/>
      <c r="M730" s="303"/>
      <c r="N730" s="303"/>
      <c r="O730" s="303"/>
      <c r="P730" s="303"/>
      <c r="Q730" s="303"/>
      <c r="R730" s="303"/>
      <c r="S730" s="303"/>
      <c r="T730" s="303"/>
      <c r="U730" s="303"/>
      <c r="V730" s="303"/>
    </row>
    <row r="731" ht="20.25" customHeight="1">
      <c r="E731" s="355"/>
      <c r="F731" s="355"/>
      <c r="I731" s="328"/>
      <c r="K731" s="421"/>
      <c r="L731" s="303"/>
      <c r="M731" s="303"/>
      <c r="N731" s="303"/>
      <c r="O731" s="303"/>
      <c r="P731" s="303"/>
      <c r="Q731" s="303"/>
      <c r="R731" s="303"/>
      <c r="S731" s="303"/>
      <c r="T731" s="303"/>
      <c r="U731" s="303"/>
      <c r="V731" s="303"/>
    </row>
    <row r="732" ht="20.25" customHeight="1">
      <c r="E732" s="355"/>
      <c r="F732" s="355"/>
      <c r="I732" s="328"/>
      <c r="K732" s="421"/>
      <c r="L732" s="303"/>
      <c r="M732" s="303"/>
      <c r="N732" s="303"/>
      <c r="O732" s="303"/>
      <c r="P732" s="303"/>
      <c r="Q732" s="303"/>
      <c r="R732" s="303"/>
      <c r="S732" s="303"/>
      <c r="T732" s="303"/>
      <c r="U732" s="303"/>
      <c r="V732" s="303"/>
    </row>
    <row r="733" ht="20.25" customHeight="1">
      <c r="E733" s="355"/>
      <c r="F733" s="355"/>
      <c r="I733" s="328"/>
      <c r="K733" s="421"/>
      <c r="L733" s="303"/>
      <c r="M733" s="303"/>
      <c r="N733" s="303"/>
      <c r="O733" s="303"/>
      <c r="P733" s="303"/>
      <c r="Q733" s="303"/>
      <c r="R733" s="303"/>
      <c r="S733" s="303"/>
      <c r="T733" s="303"/>
      <c r="U733" s="303"/>
      <c r="V733" s="303"/>
    </row>
    <row r="734" ht="20.25" customHeight="1">
      <c r="E734" s="355"/>
      <c r="F734" s="355"/>
      <c r="I734" s="328"/>
      <c r="K734" s="421"/>
      <c r="L734" s="303"/>
      <c r="M734" s="303"/>
      <c r="N734" s="303"/>
      <c r="O734" s="303"/>
      <c r="P734" s="303"/>
      <c r="Q734" s="303"/>
      <c r="R734" s="303"/>
      <c r="S734" s="303"/>
      <c r="T734" s="303"/>
      <c r="U734" s="303"/>
      <c r="V734" s="303"/>
    </row>
    <row r="735" ht="20.25" customHeight="1">
      <c r="E735" s="355"/>
      <c r="F735" s="355"/>
      <c r="I735" s="328"/>
      <c r="K735" s="421"/>
      <c r="L735" s="303"/>
      <c r="M735" s="303"/>
      <c r="N735" s="303"/>
      <c r="O735" s="303"/>
      <c r="P735" s="303"/>
      <c r="Q735" s="303"/>
      <c r="R735" s="303"/>
      <c r="S735" s="303"/>
      <c r="T735" s="303"/>
      <c r="U735" s="303"/>
      <c r="V735" s="303"/>
    </row>
    <row r="736" ht="20.25" customHeight="1">
      <c r="E736" s="355"/>
      <c r="F736" s="355"/>
      <c r="I736" s="328"/>
      <c r="K736" s="421"/>
      <c r="L736" s="303"/>
      <c r="M736" s="303"/>
      <c r="N736" s="303"/>
      <c r="O736" s="303"/>
      <c r="P736" s="303"/>
      <c r="Q736" s="303"/>
      <c r="R736" s="303"/>
      <c r="S736" s="303"/>
      <c r="T736" s="303"/>
      <c r="U736" s="303"/>
      <c r="V736" s="303"/>
    </row>
    <row r="737" ht="20.25" customHeight="1">
      <c r="E737" s="355"/>
      <c r="F737" s="355"/>
      <c r="I737" s="328"/>
      <c r="K737" s="421"/>
      <c r="L737" s="303"/>
      <c r="M737" s="303"/>
      <c r="N737" s="303"/>
      <c r="O737" s="303"/>
      <c r="P737" s="303"/>
      <c r="Q737" s="303"/>
      <c r="R737" s="303"/>
      <c r="S737" s="303"/>
      <c r="T737" s="303"/>
      <c r="U737" s="303"/>
      <c r="V737" s="303"/>
    </row>
    <row r="738" ht="20.25" customHeight="1">
      <c r="E738" s="355"/>
      <c r="F738" s="355"/>
      <c r="I738" s="328"/>
      <c r="K738" s="421"/>
      <c r="L738" s="303"/>
      <c r="M738" s="303"/>
      <c r="N738" s="303"/>
      <c r="O738" s="303"/>
      <c r="P738" s="303"/>
      <c r="Q738" s="303"/>
      <c r="R738" s="303"/>
      <c r="S738" s="303"/>
      <c r="T738" s="303"/>
      <c r="U738" s="303"/>
      <c r="V738" s="303"/>
    </row>
    <row r="739" ht="20.25" customHeight="1">
      <c r="E739" s="355"/>
      <c r="F739" s="355"/>
      <c r="I739" s="328"/>
      <c r="K739" s="421"/>
      <c r="L739" s="303"/>
      <c r="M739" s="303"/>
      <c r="N739" s="303"/>
      <c r="O739" s="303"/>
      <c r="P739" s="303"/>
      <c r="Q739" s="303"/>
      <c r="R739" s="303"/>
      <c r="S739" s="303"/>
      <c r="T739" s="303"/>
      <c r="U739" s="303"/>
      <c r="V739" s="303"/>
    </row>
    <row r="740" ht="20.25" customHeight="1">
      <c r="E740" s="355"/>
      <c r="F740" s="355"/>
      <c r="I740" s="328"/>
      <c r="K740" s="421"/>
      <c r="L740" s="303"/>
      <c r="M740" s="303"/>
      <c r="N740" s="303"/>
      <c r="O740" s="303"/>
      <c r="P740" s="303"/>
      <c r="Q740" s="303"/>
      <c r="R740" s="303"/>
      <c r="S740" s="303"/>
      <c r="T740" s="303"/>
      <c r="U740" s="303"/>
      <c r="V740" s="303"/>
    </row>
    <row r="741" ht="20.25" customHeight="1">
      <c r="E741" s="355"/>
      <c r="F741" s="355"/>
      <c r="I741" s="328"/>
      <c r="K741" s="421"/>
      <c r="L741" s="303"/>
      <c r="M741" s="303"/>
      <c r="N741" s="303"/>
      <c r="O741" s="303"/>
      <c r="P741" s="303"/>
      <c r="Q741" s="303"/>
      <c r="R741" s="303"/>
      <c r="S741" s="303"/>
      <c r="T741" s="303"/>
      <c r="U741" s="303"/>
      <c r="V741" s="303"/>
    </row>
    <row r="742" ht="20.25" customHeight="1">
      <c r="E742" s="355"/>
      <c r="F742" s="355"/>
      <c r="I742" s="328"/>
      <c r="K742" s="421"/>
      <c r="L742" s="303"/>
      <c r="M742" s="303"/>
      <c r="N742" s="303"/>
      <c r="O742" s="303"/>
      <c r="P742" s="303"/>
      <c r="Q742" s="303"/>
      <c r="R742" s="303"/>
      <c r="S742" s="303"/>
      <c r="T742" s="303"/>
      <c r="U742" s="303"/>
      <c r="V742" s="303"/>
    </row>
    <row r="743" ht="20.25" customHeight="1">
      <c r="E743" s="355"/>
      <c r="F743" s="355"/>
      <c r="I743" s="328"/>
      <c r="K743" s="421"/>
      <c r="L743" s="303"/>
      <c r="M743" s="303"/>
      <c r="N743" s="303"/>
      <c r="O743" s="303"/>
      <c r="P743" s="303"/>
      <c r="Q743" s="303"/>
      <c r="R743" s="303"/>
      <c r="S743" s="303"/>
      <c r="T743" s="303"/>
      <c r="U743" s="303"/>
      <c r="V743" s="303"/>
    </row>
    <row r="744" ht="20.25" customHeight="1">
      <c r="E744" s="355"/>
      <c r="F744" s="355"/>
      <c r="I744" s="328"/>
      <c r="K744" s="421"/>
      <c r="L744" s="303"/>
      <c r="M744" s="303"/>
      <c r="N744" s="303"/>
      <c r="O744" s="303"/>
      <c r="P744" s="303"/>
      <c r="Q744" s="303"/>
      <c r="R744" s="303"/>
      <c r="S744" s="303"/>
      <c r="T744" s="303"/>
      <c r="U744" s="303"/>
      <c r="V744" s="303"/>
    </row>
    <row r="745" ht="20.25" customHeight="1">
      <c r="E745" s="355"/>
      <c r="F745" s="355"/>
      <c r="I745" s="328"/>
      <c r="K745" s="421"/>
      <c r="L745" s="303"/>
      <c r="M745" s="303"/>
      <c r="N745" s="303"/>
      <c r="O745" s="303"/>
      <c r="P745" s="303"/>
      <c r="Q745" s="303"/>
      <c r="R745" s="303"/>
      <c r="S745" s="303"/>
      <c r="T745" s="303"/>
      <c r="U745" s="303"/>
      <c r="V745" s="303"/>
    </row>
    <row r="746" ht="20.25" customHeight="1">
      <c r="E746" s="355"/>
      <c r="F746" s="355"/>
      <c r="I746" s="328"/>
      <c r="K746" s="421"/>
      <c r="L746" s="303"/>
      <c r="M746" s="303"/>
      <c r="N746" s="303"/>
      <c r="O746" s="303"/>
      <c r="P746" s="303"/>
      <c r="Q746" s="303"/>
      <c r="R746" s="303"/>
      <c r="S746" s="303"/>
      <c r="T746" s="303"/>
      <c r="U746" s="303"/>
      <c r="V746" s="303"/>
    </row>
    <row r="747" ht="20.25" customHeight="1">
      <c r="E747" s="355"/>
      <c r="F747" s="355"/>
      <c r="I747" s="328"/>
      <c r="K747" s="421"/>
      <c r="L747" s="303"/>
      <c r="M747" s="303"/>
      <c r="N747" s="303"/>
      <c r="O747" s="303"/>
      <c r="P747" s="303"/>
      <c r="Q747" s="303"/>
      <c r="R747" s="303"/>
      <c r="S747" s="303"/>
      <c r="T747" s="303"/>
      <c r="U747" s="303"/>
      <c r="V747" s="303"/>
    </row>
    <row r="748" ht="20.25" customHeight="1">
      <c r="E748" s="355"/>
      <c r="F748" s="355"/>
      <c r="I748" s="328"/>
      <c r="K748" s="421"/>
      <c r="L748" s="303"/>
      <c r="M748" s="303"/>
      <c r="N748" s="303"/>
      <c r="O748" s="303"/>
      <c r="P748" s="303"/>
      <c r="Q748" s="303"/>
      <c r="R748" s="303"/>
      <c r="S748" s="303"/>
      <c r="T748" s="303"/>
      <c r="U748" s="303"/>
      <c r="V748" s="303"/>
    </row>
    <row r="749" ht="20.25" customHeight="1">
      <c r="E749" s="355"/>
      <c r="F749" s="355"/>
      <c r="I749" s="328"/>
      <c r="K749" s="421"/>
      <c r="L749" s="303"/>
      <c r="M749" s="303"/>
      <c r="N749" s="303"/>
      <c r="O749" s="303"/>
      <c r="P749" s="303"/>
      <c r="Q749" s="303"/>
      <c r="R749" s="303"/>
      <c r="S749" s="303"/>
      <c r="T749" s="303"/>
      <c r="U749" s="303"/>
      <c r="V749" s="303"/>
    </row>
    <row r="750" ht="20.25" customHeight="1">
      <c r="E750" s="355"/>
      <c r="F750" s="355"/>
      <c r="I750" s="328"/>
      <c r="K750" s="421"/>
      <c r="L750" s="303"/>
      <c r="M750" s="303"/>
      <c r="N750" s="303"/>
      <c r="O750" s="303"/>
      <c r="P750" s="303"/>
      <c r="Q750" s="303"/>
      <c r="R750" s="303"/>
      <c r="S750" s="303"/>
      <c r="T750" s="303"/>
      <c r="U750" s="303"/>
      <c r="V750" s="303"/>
    </row>
    <row r="751" ht="20.25" customHeight="1">
      <c r="E751" s="355"/>
      <c r="F751" s="355"/>
      <c r="I751" s="328"/>
      <c r="K751" s="421"/>
      <c r="L751" s="303"/>
      <c r="M751" s="303"/>
      <c r="N751" s="303"/>
      <c r="O751" s="303"/>
      <c r="P751" s="303"/>
      <c r="Q751" s="303"/>
      <c r="R751" s="303"/>
      <c r="S751" s="303"/>
      <c r="T751" s="303"/>
      <c r="U751" s="303"/>
      <c r="V751" s="303"/>
    </row>
    <row r="752" ht="20.25" customHeight="1">
      <c r="E752" s="355"/>
      <c r="F752" s="355"/>
      <c r="I752" s="328"/>
      <c r="K752" s="421"/>
      <c r="L752" s="303"/>
      <c r="M752" s="303"/>
      <c r="N752" s="303"/>
      <c r="O752" s="303"/>
      <c r="P752" s="303"/>
      <c r="Q752" s="303"/>
      <c r="R752" s="303"/>
      <c r="S752" s="303"/>
      <c r="T752" s="303"/>
      <c r="U752" s="303"/>
      <c r="V752" s="303"/>
    </row>
    <row r="753" ht="20.25" customHeight="1">
      <c r="E753" s="355"/>
      <c r="F753" s="355"/>
      <c r="I753" s="328"/>
      <c r="K753" s="421"/>
      <c r="L753" s="303"/>
      <c r="M753" s="303"/>
      <c r="N753" s="303"/>
      <c r="O753" s="303"/>
      <c r="P753" s="303"/>
      <c r="Q753" s="303"/>
      <c r="R753" s="303"/>
      <c r="S753" s="303"/>
      <c r="T753" s="303"/>
      <c r="U753" s="303"/>
      <c r="V753" s="303"/>
    </row>
    <row r="754" ht="20.25" customHeight="1">
      <c r="E754" s="355"/>
      <c r="F754" s="355"/>
      <c r="I754" s="328"/>
      <c r="K754" s="421"/>
      <c r="L754" s="303"/>
      <c r="M754" s="303"/>
      <c r="N754" s="303"/>
      <c r="O754" s="303"/>
      <c r="P754" s="303"/>
      <c r="Q754" s="303"/>
      <c r="R754" s="303"/>
      <c r="S754" s="303"/>
      <c r="T754" s="303"/>
      <c r="U754" s="303"/>
      <c r="V754" s="303"/>
    </row>
    <row r="755" ht="20.25" customHeight="1">
      <c r="E755" s="355"/>
      <c r="F755" s="355"/>
      <c r="I755" s="328"/>
      <c r="K755" s="421"/>
      <c r="L755" s="303"/>
      <c r="M755" s="303"/>
      <c r="N755" s="303"/>
      <c r="O755" s="303"/>
      <c r="P755" s="303"/>
      <c r="Q755" s="303"/>
      <c r="R755" s="303"/>
      <c r="S755" s="303"/>
      <c r="T755" s="303"/>
      <c r="U755" s="303"/>
      <c r="V755" s="303"/>
    </row>
    <row r="756" ht="20.25" customHeight="1">
      <c r="E756" s="355"/>
      <c r="F756" s="355"/>
      <c r="I756" s="328"/>
      <c r="K756" s="421"/>
      <c r="L756" s="303"/>
      <c r="M756" s="303"/>
      <c r="N756" s="303"/>
      <c r="O756" s="303"/>
      <c r="P756" s="303"/>
      <c r="Q756" s="303"/>
      <c r="R756" s="303"/>
      <c r="S756" s="303"/>
      <c r="T756" s="303"/>
      <c r="U756" s="303"/>
      <c r="V756" s="303"/>
    </row>
    <row r="757" ht="20.25" customHeight="1">
      <c r="E757" s="355"/>
      <c r="F757" s="355"/>
      <c r="I757" s="328"/>
      <c r="K757" s="421"/>
      <c r="L757" s="303"/>
      <c r="M757" s="303"/>
      <c r="N757" s="303"/>
      <c r="O757" s="303"/>
      <c r="P757" s="303"/>
      <c r="Q757" s="303"/>
      <c r="R757" s="303"/>
      <c r="S757" s="303"/>
      <c r="T757" s="303"/>
      <c r="U757" s="303"/>
      <c r="V757" s="303"/>
    </row>
    <row r="758" ht="20.25" customHeight="1">
      <c r="E758" s="355"/>
      <c r="F758" s="355"/>
      <c r="I758" s="328"/>
      <c r="K758" s="421"/>
      <c r="L758" s="303"/>
      <c r="M758" s="303"/>
      <c r="N758" s="303"/>
      <c r="O758" s="303"/>
      <c r="P758" s="303"/>
      <c r="Q758" s="303"/>
      <c r="R758" s="303"/>
      <c r="S758" s="303"/>
      <c r="T758" s="303"/>
      <c r="U758" s="303"/>
      <c r="V758" s="303"/>
    </row>
    <row r="759" ht="20.25" customHeight="1">
      <c r="E759" s="355"/>
      <c r="F759" s="355"/>
      <c r="I759" s="328"/>
      <c r="K759" s="421"/>
      <c r="L759" s="303"/>
      <c r="M759" s="303"/>
      <c r="N759" s="303"/>
      <c r="O759" s="303"/>
      <c r="P759" s="303"/>
      <c r="Q759" s="303"/>
      <c r="R759" s="303"/>
      <c r="S759" s="303"/>
      <c r="T759" s="303"/>
      <c r="U759" s="303"/>
      <c r="V759" s="303"/>
    </row>
    <row r="760" ht="20.25" customHeight="1">
      <c r="E760" s="355"/>
      <c r="F760" s="355"/>
      <c r="I760" s="328"/>
      <c r="K760" s="421"/>
      <c r="L760" s="303"/>
      <c r="M760" s="303"/>
      <c r="N760" s="303"/>
      <c r="O760" s="303"/>
      <c r="P760" s="303"/>
      <c r="Q760" s="303"/>
      <c r="R760" s="303"/>
      <c r="S760" s="303"/>
      <c r="T760" s="303"/>
      <c r="U760" s="303"/>
      <c r="V760" s="303"/>
    </row>
    <row r="761" ht="20.25" customHeight="1">
      <c r="E761" s="355"/>
      <c r="F761" s="355"/>
      <c r="I761" s="328"/>
      <c r="K761" s="421"/>
      <c r="L761" s="303"/>
      <c r="M761" s="303"/>
      <c r="N761" s="303"/>
      <c r="O761" s="303"/>
      <c r="P761" s="303"/>
      <c r="Q761" s="303"/>
      <c r="R761" s="303"/>
      <c r="S761" s="303"/>
      <c r="T761" s="303"/>
      <c r="U761" s="303"/>
      <c r="V761" s="303"/>
    </row>
    <row r="762" ht="20.25" customHeight="1">
      <c r="E762" s="355"/>
      <c r="F762" s="355"/>
      <c r="I762" s="328"/>
      <c r="K762" s="421"/>
      <c r="L762" s="303"/>
      <c r="M762" s="303"/>
      <c r="N762" s="303"/>
      <c r="O762" s="303"/>
      <c r="P762" s="303"/>
      <c r="Q762" s="303"/>
      <c r="R762" s="303"/>
      <c r="S762" s="303"/>
      <c r="T762" s="303"/>
      <c r="U762" s="303"/>
      <c r="V762" s="303"/>
    </row>
    <row r="763" ht="20.25" customHeight="1">
      <c r="E763" s="355"/>
      <c r="F763" s="355"/>
      <c r="I763" s="328"/>
      <c r="K763" s="421"/>
      <c r="L763" s="303"/>
      <c r="M763" s="303"/>
      <c r="N763" s="303"/>
      <c r="O763" s="303"/>
      <c r="P763" s="303"/>
      <c r="Q763" s="303"/>
      <c r="R763" s="303"/>
      <c r="S763" s="303"/>
      <c r="T763" s="303"/>
      <c r="U763" s="303"/>
      <c r="V763" s="303"/>
    </row>
    <row r="764" ht="20.25" customHeight="1">
      <c r="E764" s="355"/>
      <c r="F764" s="355"/>
      <c r="I764" s="328"/>
      <c r="K764" s="421"/>
      <c r="L764" s="303"/>
      <c r="M764" s="303"/>
      <c r="N764" s="303"/>
      <c r="O764" s="303"/>
      <c r="P764" s="303"/>
      <c r="Q764" s="303"/>
      <c r="R764" s="303"/>
      <c r="S764" s="303"/>
      <c r="T764" s="303"/>
      <c r="U764" s="303"/>
      <c r="V764" s="303"/>
    </row>
    <row r="765" ht="20.25" customHeight="1">
      <c r="E765" s="355"/>
      <c r="F765" s="355"/>
      <c r="I765" s="328"/>
      <c r="K765" s="421"/>
      <c r="L765" s="303"/>
      <c r="M765" s="303"/>
      <c r="N765" s="303"/>
      <c r="O765" s="303"/>
      <c r="P765" s="303"/>
      <c r="Q765" s="303"/>
      <c r="R765" s="303"/>
      <c r="S765" s="303"/>
      <c r="T765" s="303"/>
      <c r="U765" s="303"/>
      <c r="V765" s="303"/>
    </row>
    <row r="766" ht="20.25" customHeight="1">
      <c r="E766" s="355"/>
      <c r="F766" s="355"/>
      <c r="I766" s="328"/>
      <c r="K766" s="421"/>
      <c r="L766" s="303"/>
      <c r="M766" s="303"/>
      <c r="N766" s="303"/>
      <c r="O766" s="303"/>
      <c r="P766" s="303"/>
      <c r="Q766" s="303"/>
      <c r="R766" s="303"/>
      <c r="S766" s="303"/>
      <c r="T766" s="303"/>
      <c r="U766" s="303"/>
      <c r="V766" s="303"/>
    </row>
    <row r="767" ht="20.25" customHeight="1">
      <c r="E767" s="355"/>
      <c r="F767" s="355"/>
      <c r="I767" s="328"/>
      <c r="K767" s="421"/>
      <c r="L767" s="303"/>
      <c r="M767" s="303"/>
      <c r="N767" s="303"/>
      <c r="O767" s="303"/>
      <c r="P767" s="303"/>
      <c r="Q767" s="303"/>
      <c r="R767" s="303"/>
      <c r="S767" s="303"/>
      <c r="T767" s="303"/>
      <c r="U767" s="303"/>
      <c r="V767" s="303"/>
    </row>
    <row r="768" ht="20.25" customHeight="1">
      <c r="E768" s="355"/>
      <c r="F768" s="355"/>
      <c r="I768" s="328"/>
      <c r="K768" s="421"/>
      <c r="L768" s="303"/>
      <c r="M768" s="303"/>
      <c r="N768" s="303"/>
      <c r="O768" s="303"/>
      <c r="P768" s="303"/>
      <c r="Q768" s="303"/>
      <c r="R768" s="303"/>
      <c r="S768" s="303"/>
      <c r="T768" s="303"/>
      <c r="U768" s="303"/>
      <c r="V768" s="303"/>
    </row>
    <row r="769" ht="20.25" customHeight="1">
      <c r="E769" s="355"/>
      <c r="F769" s="355"/>
      <c r="I769" s="328"/>
      <c r="K769" s="421"/>
      <c r="L769" s="303"/>
      <c r="M769" s="303"/>
      <c r="N769" s="303"/>
      <c r="O769" s="303"/>
      <c r="P769" s="303"/>
      <c r="Q769" s="303"/>
      <c r="R769" s="303"/>
      <c r="S769" s="303"/>
      <c r="T769" s="303"/>
      <c r="U769" s="303"/>
      <c r="V769" s="303"/>
    </row>
    <row r="770" ht="20.25" customHeight="1">
      <c r="E770" s="355"/>
      <c r="F770" s="355"/>
      <c r="I770" s="328"/>
      <c r="K770" s="421"/>
      <c r="L770" s="303"/>
      <c r="M770" s="303"/>
      <c r="N770" s="303"/>
      <c r="O770" s="303"/>
      <c r="P770" s="303"/>
      <c r="Q770" s="303"/>
      <c r="R770" s="303"/>
      <c r="S770" s="303"/>
      <c r="T770" s="303"/>
      <c r="U770" s="303"/>
      <c r="V770" s="303"/>
    </row>
    <row r="771" ht="20.25" customHeight="1">
      <c r="E771" s="355"/>
      <c r="F771" s="355"/>
      <c r="I771" s="328"/>
      <c r="K771" s="421"/>
      <c r="L771" s="303"/>
      <c r="M771" s="303"/>
      <c r="N771" s="303"/>
      <c r="O771" s="303"/>
      <c r="P771" s="303"/>
      <c r="Q771" s="303"/>
      <c r="R771" s="303"/>
      <c r="S771" s="303"/>
      <c r="T771" s="303"/>
      <c r="U771" s="303"/>
      <c r="V771" s="303"/>
    </row>
    <row r="772" ht="20.25" customHeight="1">
      <c r="E772" s="355"/>
      <c r="F772" s="355"/>
      <c r="I772" s="328"/>
      <c r="K772" s="421"/>
      <c r="L772" s="303"/>
      <c r="M772" s="303"/>
      <c r="N772" s="303"/>
      <c r="O772" s="303"/>
      <c r="P772" s="303"/>
      <c r="Q772" s="303"/>
      <c r="R772" s="303"/>
      <c r="S772" s="303"/>
      <c r="T772" s="303"/>
      <c r="U772" s="303"/>
      <c r="V772" s="303"/>
    </row>
    <row r="773" ht="20.25" customHeight="1">
      <c r="E773" s="355"/>
      <c r="F773" s="355"/>
      <c r="I773" s="328"/>
      <c r="K773" s="421"/>
      <c r="L773" s="303"/>
      <c r="M773" s="303"/>
      <c r="N773" s="303"/>
      <c r="O773" s="303"/>
      <c r="P773" s="303"/>
      <c r="Q773" s="303"/>
      <c r="R773" s="303"/>
      <c r="S773" s="303"/>
      <c r="T773" s="303"/>
      <c r="U773" s="303"/>
      <c r="V773" s="303"/>
    </row>
    <row r="774" ht="20.25" customHeight="1">
      <c r="E774" s="355"/>
      <c r="F774" s="355"/>
      <c r="I774" s="328"/>
      <c r="K774" s="421"/>
      <c r="L774" s="303"/>
      <c r="M774" s="303"/>
      <c r="N774" s="303"/>
      <c r="O774" s="303"/>
      <c r="P774" s="303"/>
      <c r="Q774" s="303"/>
      <c r="R774" s="303"/>
      <c r="S774" s="303"/>
      <c r="T774" s="303"/>
      <c r="U774" s="303"/>
      <c r="V774" s="303"/>
    </row>
    <row r="775" ht="20.25" customHeight="1">
      <c r="E775" s="355"/>
      <c r="F775" s="355"/>
      <c r="I775" s="328"/>
      <c r="K775" s="421"/>
      <c r="L775" s="303"/>
      <c r="M775" s="303"/>
      <c r="N775" s="303"/>
      <c r="O775" s="303"/>
      <c r="P775" s="303"/>
      <c r="Q775" s="303"/>
      <c r="R775" s="303"/>
      <c r="S775" s="303"/>
      <c r="T775" s="303"/>
      <c r="U775" s="303"/>
      <c r="V775" s="303"/>
    </row>
    <row r="776" ht="20.25" customHeight="1">
      <c r="E776" s="355"/>
      <c r="F776" s="355"/>
      <c r="I776" s="328"/>
      <c r="K776" s="421"/>
      <c r="L776" s="303"/>
      <c r="M776" s="303"/>
      <c r="N776" s="303"/>
      <c r="O776" s="303"/>
      <c r="P776" s="303"/>
      <c r="Q776" s="303"/>
      <c r="R776" s="303"/>
      <c r="S776" s="303"/>
      <c r="T776" s="303"/>
      <c r="U776" s="303"/>
      <c r="V776" s="303"/>
    </row>
    <row r="777" ht="20.25" customHeight="1">
      <c r="E777" s="355"/>
      <c r="F777" s="355"/>
      <c r="I777" s="328"/>
      <c r="K777" s="421"/>
      <c r="L777" s="303"/>
      <c r="M777" s="303"/>
      <c r="N777" s="303"/>
      <c r="O777" s="303"/>
      <c r="P777" s="303"/>
      <c r="Q777" s="303"/>
      <c r="R777" s="303"/>
      <c r="S777" s="303"/>
      <c r="T777" s="303"/>
      <c r="U777" s="303"/>
      <c r="V777" s="303"/>
    </row>
    <row r="778" ht="20.25" customHeight="1">
      <c r="E778" s="355"/>
      <c r="F778" s="355"/>
      <c r="I778" s="328"/>
      <c r="K778" s="421"/>
      <c r="L778" s="303"/>
      <c r="M778" s="303"/>
      <c r="N778" s="303"/>
      <c r="O778" s="303"/>
      <c r="P778" s="303"/>
      <c r="Q778" s="303"/>
      <c r="R778" s="303"/>
      <c r="S778" s="303"/>
      <c r="T778" s="303"/>
      <c r="U778" s="303"/>
      <c r="V778" s="303"/>
    </row>
    <row r="779" ht="20.25" customHeight="1">
      <c r="E779" s="355"/>
      <c r="F779" s="355"/>
      <c r="I779" s="328"/>
      <c r="K779" s="421"/>
      <c r="L779" s="303"/>
      <c r="M779" s="303"/>
      <c r="N779" s="303"/>
      <c r="O779" s="303"/>
      <c r="P779" s="303"/>
      <c r="Q779" s="303"/>
      <c r="R779" s="303"/>
      <c r="S779" s="303"/>
      <c r="T779" s="303"/>
      <c r="U779" s="303"/>
      <c r="V779" s="303"/>
    </row>
    <row r="780" ht="20.25" customHeight="1">
      <c r="E780" s="355"/>
      <c r="F780" s="355"/>
      <c r="I780" s="328"/>
      <c r="K780" s="421"/>
      <c r="L780" s="303"/>
      <c r="M780" s="303"/>
      <c r="N780" s="303"/>
      <c r="O780" s="303"/>
      <c r="P780" s="303"/>
      <c r="Q780" s="303"/>
      <c r="R780" s="303"/>
      <c r="S780" s="303"/>
      <c r="T780" s="303"/>
      <c r="U780" s="303"/>
      <c r="V780" s="303"/>
    </row>
    <row r="781" ht="20.25" customHeight="1">
      <c r="E781" s="355"/>
      <c r="F781" s="355"/>
      <c r="I781" s="328"/>
      <c r="K781" s="421"/>
      <c r="L781" s="303"/>
      <c r="M781" s="303"/>
      <c r="N781" s="303"/>
      <c r="O781" s="303"/>
      <c r="P781" s="303"/>
      <c r="Q781" s="303"/>
      <c r="R781" s="303"/>
      <c r="S781" s="303"/>
      <c r="T781" s="303"/>
      <c r="U781" s="303"/>
      <c r="V781" s="303"/>
    </row>
    <row r="782" ht="20.25" customHeight="1">
      <c r="E782" s="355"/>
      <c r="F782" s="355"/>
      <c r="I782" s="328"/>
      <c r="K782" s="421"/>
      <c r="L782" s="303"/>
      <c r="M782" s="303"/>
      <c r="N782" s="303"/>
      <c r="O782" s="303"/>
      <c r="P782" s="303"/>
      <c r="Q782" s="303"/>
      <c r="R782" s="303"/>
      <c r="S782" s="303"/>
      <c r="T782" s="303"/>
      <c r="U782" s="303"/>
      <c r="V782" s="303"/>
    </row>
    <row r="783" ht="20.25" customHeight="1">
      <c r="E783" s="355"/>
      <c r="F783" s="355"/>
      <c r="I783" s="328"/>
      <c r="K783" s="421"/>
      <c r="L783" s="303"/>
      <c r="M783" s="303"/>
      <c r="N783" s="303"/>
      <c r="O783" s="303"/>
      <c r="P783" s="303"/>
      <c r="Q783" s="303"/>
      <c r="R783" s="303"/>
      <c r="S783" s="303"/>
      <c r="T783" s="303"/>
      <c r="U783" s="303"/>
      <c r="V783" s="303"/>
    </row>
    <row r="784" ht="20.25" customHeight="1">
      <c r="E784" s="355"/>
      <c r="F784" s="355"/>
      <c r="I784" s="328"/>
      <c r="K784" s="421"/>
      <c r="L784" s="303"/>
      <c r="M784" s="303"/>
      <c r="N784" s="303"/>
      <c r="O784" s="303"/>
      <c r="P784" s="303"/>
      <c r="Q784" s="303"/>
      <c r="R784" s="303"/>
      <c r="S784" s="303"/>
      <c r="T784" s="303"/>
      <c r="U784" s="303"/>
      <c r="V784" s="303"/>
    </row>
    <row r="785" ht="20.25" customHeight="1">
      <c r="E785" s="355"/>
      <c r="F785" s="355"/>
      <c r="I785" s="328"/>
      <c r="K785" s="421"/>
      <c r="L785" s="303"/>
      <c r="M785" s="303"/>
      <c r="N785" s="303"/>
      <c r="O785" s="303"/>
      <c r="P785" s="303"/>
      <c r="Q785" s="303"/>
      <c r="R785" s="303"/>
      <c r="S785" s="303"/>
      <c r="T785" s="303"/>
      <c r="U785" s="303"/>
      <c r="V785" s="303"/>
    </row>
    <row r="786" ht="20.25" customHeight="1">
      <c r="E786" s="355"/>
      <c r="F786" s="355"/>
      <c r="I786" s="328"/>
      <c r="K786" s="421"/>
      <c r="L786" s="303"/>
      <c r="M786" s="303"/>
      <c r="N786" s="303"/>
      <c r="O786" s="303"/>
      <c r="P786" s="303"/>
      <c r="Q786" s="303"/>
      <c r="R786" s="303"/>
      <c r="S786" s="303"/>
      <c r="T786" s="303"/>
      <c r="U786" s="303"/>
      <c r="V786" s="303"/>
    </row>
    <row r="787" ht="20.25" customHeight="1">
      <c r="E787" s="355"/>
      <c r="F787" s="355"/>
      <c r="I787" s="328"/>
      <c r="K787" s="421"/>
      <c r="L787" s="303"/>
      <c r="M787" s="303"/>
      <c r="N787" s="303"/>
      <c r="O787" s="303"/>
      <c r="P787" s="303"/>
      <c r="Q787" s="303"/>
      <c r="R787" s="303"/>
      <c r="S787" s="303"/>
      <c r="T787" s="303"/>
      <c r="U787" s="303"/>
      <c r="V787" s="303"/>
    </row>
    <row r="788" ht="20.25" customHeight="1">
      <c r="E788" s="355"/>
      <c r="F788" s="355"/>
      <c r="I788" s="328"/>
      <c r="K788" s="421"/>
      <c r="L788" s="303"/>
      <c r="M788" s="303"/>
      <c r="N788" s="303"/>
      <c r="O788" s="303"/>
      <c r="P788" s="303"/>
      <c r="Q788" s="303"/>
      <c r="R788" s="303"/>
      <c r="S788" s="303"/>
      <c r="T788" s="303"/>
      <c r="U788" s="303"/>
      <c r="V788" s="303"/>
    </row>
    <row r="789" ht="20.25" customHeight="1">
      <c r="E789" s="355"/>
      <c r="F789" s="355"/>
      <c r="I789" s="328"/>
      <c r="K789" s="421"/>
      <c r="L789" s="303"/>
      <c r="M789" s="303"/>
      <c r="N789" s="303"/>
      <c r="O789" s="303"/>
      <c r="P789" s="303"/>
      <c r="Q789" s="303"/>
      <c r="R789" s="303"/>
      <c r="S789" s="303"/>
      <c r="T789" s="303"/>
      <c r="U789" s="303"/>
      <c r="V789" s="303"/>
    </row>
    <row r="790" ht="20.25" customHeight="1">
      <c r="E790" s="355"/>
      <c r="F790" s="355"/>
      <c r="I790" s="328"/>
      <c r="K790" s="421"/>
      <c r="L790" s="303"/>
      <c r="M790" s="303"/>
      <c r="N790" s="303"/>
      <c r="O790" s="303"/>
      <c r="P790" s="303"/>
      <c r="Q790" s="303"/>
      <c r="R790" s="303"/>
      <c r="S790" s="303"/>
      <c r="T790" s="303"/>
      <c r="U790" s="303"/>
      <c r="V790" s="303"/>
    </row>
    <row r="791" ht="20.25" customHeight="1">
      <c r="E791" s="355"/>
      <c r="F791" s="355"/>
      <c r="I791" s="328"/>
      <c r="K791" s="421"/>
      <c r="L791" s="303"/>
      <c r="M791" s="303"/>
      <c r="N791" s="303"/>
      <c r="O791" s="303"/>
      <c r="P791" s="303"/>
      <c r="Q791" s="303"/>
      <c r="R791" s="303"/>
      <c r="S791" s="303"/>
      <c r="T791" s="303"/>
      <c r="U791" s="303"/>
      <c r="V791" s="303"/>
    </row>
    <row r="792" ht="20.25" customHeight="1">
      <c r="E792" s="355"/>
      <c r="F792" s="355"/>
      <c r="I792" s="328"/>
      <c r="K792" s="421"/>
      <c r="L792" s="303"/>
      <c r="M792" s="303"/>
      <c r="N792" s="303"/>
      <c r="O792" s="303"/>
      <c r="P792" s="303"/>
      <c r="Q792" s="303"/>
      <c r="R792" s="303"/>
      <c r="S792" s="303"/>
      <c r="T792" s="303"/>
      <c r="U792" s="303"/>
      <c r="V792" s="303"/>
    </row>
    <row r="793" ht="20.25" customHeight="1">
      <c r="E793" s="355"/>
      <c r="F793" s="355"/>
      <c r="I793" s="328"/>
      <c r="K793" s="421"/>
      <c r="L793" s="303"/>
      <c r="M793" s="303"/>
      <c r="N793" s="303"/>
      <c r="O793" s="303"/>
      <c r="P793" s="303"/>
      <c r="Q793" s="303"/>
      <c r="R793" s="303"/>
      <c r="S793" s="303"/>
      <c r="T793" s="303"/>
      <c r="U793" s="303"/>
      <c r="V793" s="303"/>
    </row>
    <row r="794" ht="20.25" customHeight="1">
      <c r="E794" s="355"/>
      <c r="F794" s="355"/>
      <c r="I794" s="328"/>
      <c r="K794" s="421"/>
      <c r="L794" s="303"/>
      <c r="M794" s="303"/>
      <c r="N794" s="303"/>
      <c r="O794" s="303"/>
      <c r="P794" s="303"/>
      <c r="Q794" s="303"/>
      <c r="R794" s="303"/>
      <c r="S794" s="303"/>
      <c r="T794" s="303"/>
      <c r="U794" s="303"/>
      <c r="V794" s="303"/>
    </row>
    <row r="795" ht="20.25" customHeight="1">
      <c r="E795" s="355"/>
      <c r="F795" s="355"/>
      <c r="I795" s="328"/>
      <c r="K795" s="421"/>
      <c r="L795" s="303"/>
      <c r="M795" s="303"/>
      <c r="N795" s="303"/>
      <c r="O795" s="303"/>
      <c r="P795" s="303"/>
      <c r="Q795" s="303"/>
      <c r="R795" s="303"/>
      <c r="S795" s="303"/>
      <c r="T795" s="303"/>
      <c r="U795" s="303"/>
      <c r="V795" s="303"/>
    </row>
    <row r="796" ht="20.25" customHeight="1">
      <c r="E796" s="355"/>
      <c r="F796" s="355"/>
      <c r="I796" s="328"/>
      <c r="K796" s="421"/>
      <c r="L796" s="303"/>
      <c r="M796" s="303"/>
      <c r="N796" s="303"/>
      <c r="O796" s="303"/>
      <c r="P796" s="303"/>
      <c r="Q796" s="303"/>
      <c r="R796" s="303"/>
      <c r="S796" s="303"/>
      <c r="T796" s="303"/>
      <c r="U796" s="303"/>
      <c r="V796" s="303"/>
    </row>
    <row r="797" ht="20.25" customHeight="1">
      <c r="E797" s="355"/>
      <c r="F797" s="355"/>
      <c r="I797" s="328"/>
      <c r="K797" s="421"/>
      <c r="L797" s="303"/>
      <c r="M797" s="303"/>
      <c r="N797" s="303"/>
      <c r="O797" s="303"/>
      <c r="P797" s="303"/>
      <c r="Q797" s="303"/>
      <c r="R797" s="303"/>
      <c r="S797" s="303"/>
      <c r="T797" s="303"/>
      <c r="U797" s="303"/>
      <c r="V797" s="303"/>
    </row>
    <row r="798" ht="20.25" customHeight="1">
      <c r="E798" s="355"/>
      <c r="F798" s="355"/>
      <c r="I798" s="328"/>
      <c r="K798" s="421"/>
      <c r="L798" s="303"/>
      <c r="M798" s="303"/>
      <c r="N798" s="303"/>
      <c r="O798" s="303"/>
      <c r="P798" s="303"/>
      <c r="Q798" s="303"/>
      <c r="R798" s="303"/>
      <c r="S798" s="303"/>
      <c r="T798" s="303"/>
      <c r="U798" s="303"/>
      <c r="V798" s="303"/>
    </row>
    <row r="799" ht="20.25" customHeight="1">
      <c r="E799" s="355"/>
      <c r="F799" s="355"/>
      <c r="I799" s="328"/>
      <c r="K799" s="421"/>
      <c r="L799" s="303"/>
      <c r="M799" s="303"/>
      <c r="N799" s="303"/>
      <c r="O799" s="303"/>
      <c r="P799" s="303"/>
      <c r="Q799" s="303"/>
      <c r="R799" s="303"/>
      <c r="S799" s="303"/>
      <c r="T799" s="303"/>
      <c r="U799" s="303"/>
      <c r="V799" s="303"/>
    </row>
    <row r="800" ht="20.25" customHeight="1">
      <c r="E800" s="355"/>
      <c r="F800" s="355"/>
      <c r="I800" s="328"/>
      <c r="K800" s="421"/>
      <c r="L800" s="303"/>
      <c r="M800" s="303"/>
      <c r="N800" s="303"/>
      <c r="O800" s="303"/>
      <c r="P800" s="303"/>
      <c r="Q800" s="303"/>
      <c r="R800" s="303"/>
      <c r="S800" s="303"/>
      <c r="T800" s="303"/>
      <c r="U800" s="303"/>
      <c r="V800" s="303"/>
    </row>
    <row r="801" ht="20.25" customHeight="1">
      <c r="E801" s="355"/>
      <c r="F801" s="355"/>
      <c r="I801" s="328"/>
      <c r="K801" s="421"/>
      <c r="L801" s="303"/>
      <c r="M801" s="303"/>
      <c r="N801" s="303"/>
      <c r="O801" s="303"/>
      <c r="P801" s="303"/>
      <c r="Q801" s="303"/>
      <c r="R801" s="303"/>
      <c r="S801" s="303"/>
      <c r="T801" s="303"/>
      <c r="U801" s="303"/>
      <c r="V801" s="303"/>
    </row>
    <row r="802" ht="20.25" customHeight="1">
      <c r="E802" s="355"/>
      <c r="F802" s="355"/>
      <c r="I802" s="328"/>
      <c r="K802" s="421"/>
      <c r="L802" s="303"/>
      <c r="M802" s="303"/>
      <c r="N802" s="303"/>
      <c r="O802" s="303"/>
      <c r="P802" s="303"/>
      <c r="Q802" s="303"/>
      <c r="R802" s="303"/>
      <c r="S802" s="303"/>
      <c r="T802" s="303"/>
      <c r="U802" s="303"/>
      <c r="V802" s="303"/>
    </row>
    <row r="803" ht="20.25" customHeight="1">
      <c r="E803" s="355"/>
      <c r="F803" s="355"/>
      <c r="I803" s="328"/>
      <c r="K803" s="421"/>
      <c r="L803" s="303"/>
      <c r="M803" s="303"/>
      <c r="N803" s="303"/>
      <c r="O803" s="303"/>
      <c r="P803" s="303"/>
      <c r="Q803" s="303"/>
      <c r="R803" s="303"/>
      <c r="S803" s="303"/>
      <c r="T803" s="303"/>
      <c r="U803" s="303"/>
      <c r="V803" s="303"/>
    </row>
    <row r="804" ht="20.25" customHeight="1">
      <c r="E804" s="355"/>
      <c r="F804" s="355"/>
      <c r="I804" s="328"/>
      <c r="K804" s="421"/>
      <c r="L804" s="303"/>
      <c r="M804" s="303"/>
      <c r="N804" s="303"/>
      <c r="O804" s="303"/>
      <c r="P804" s="303"/>
      <c r="Q804" s="303"/>
      <c r="R804" s="303"/>
      <c r="S804" s="303"/>
      <c r="T804" s="303"/>
      <c r="U804" s="303"/>
      <c r="V804" s="303"/>
    </row>
    <row r="805" ht="20.25" customHeight="1">
      <c r="E805" s="355"/>
      <c r="F805" s="355"/>
      <c r="I805" s="328"/>
      <c r="K805" s="421"/>
      <c r="L805" s="303"/>
      <c r="M805" s="303"/>
      <c r="N805" s="303"/>
      <c r="O805" s="303"/>
      <c r="P805" s="303"/>
      <c r="Q805" s="303"/>
      <c r="R805" s="303"/>
      <c r="S805" s="303"/>
      <c r="T805" s="303"/>
      <c r="U805" s="303"/>
      <c r="V805" s="303"/>
    </row>
    <row r="806" ht="20.25" customHeight="1">
      <c r="E806" s="355"/>
      <c r="F806" s="355"/>
      <c r="I806" s="328"/>
      <c r="K806" s="421"/>
      <c r="L806" s="303"/>
      <c r="M806" s="303"/>
      <c r="N806" s="303"/>
      <c r="O806" s="303"/>
      <c r="P806" s="303"/>
      <c r="Q806" s="303"/>
      <c r="R806" s="303"/>
      <c r="S806" s="303"/>
      <c r="T806" s="303"/>
      <c r="U806" s="303"/>
      <c r="V806" s="303"/>
    </row>
    <row r="807" ht="20.25" customHeight="1">
      <c r="E807" s="355"/>
      <c r="F807" s="355"/>
      <c r="I807" s="328"/>
      <c r="K807" s="421"/>
      <c r="L807" s="303"/>
      <c r="M807" s="303"/>
      <c r="N807" s="303"/>
      <c r="O807" s="303"/>
      <c r="P807" s="303"/>
      <c r="Q807" s="303"/>
      <c r="R807" s="303"/>
      <c r="S807" s="303"/>
      <c r="T807" s="303"/>
      <c r="U807" s="303"/>
      <c r="V807" s="303"/>
    </row>
    <row r="808" ht="20.25" customHeight="1">
      <c r="E808" s="355"/>
      <c r="F808" s="355"/>
      <c r="I808" s="328"/>
      <c r="K808" s="421"/>
      <c r="L808" s="303"/>
      <c r="M808" s="303"/>
      <c r="N808" s="303"/>
      <c r="O808" s="303"/>
      <c r="P808" s="303"/>
      <c r="Q808" s="303"/>
      <c r="R808" s="303"/>
      <c r="S808" s="303"/>
      <c r="T808" s="303"/>
      <c r="U808" s="303"/>
      <c r="V808" s="303"/>
    </row>
    <row r="809" ht="20.25" customHeight="1">
      <c r="E809" s="355"/>
      <c r="F809" s="355"/>
      <c r="I809" s="328"/>
      <c r="K809" s="421"/>
      <c r="L809" s="303"/>
      <c r="M809" s="303"/>
      <c r="N809" s="303"/>
      <c r="O809" s="303"/>
      <c r="P809" s="303"/>
      <c r="Q809" s="303"/>
      <c r="R809" s="303"/>
      <c r="S809" s="303"/>
      <c r="T809" s="303"/>
      <c r="U809" s="303"/>
      <c r="V809" s="303"/>
    </row>
    <row r="810" ht="20.25" customHeight="1">
      <c r="E810" s="355"/>
      <c r="F810" s="355"/>
      <c r="I810" s="328"/>
      <c r="K810" s="421"/>
      <c r="L810" s="303"/>
      <c r="M810" s="303"/>
      <c r="N810" s="303"/>
      <c r="O810" s="303"/>
      <c r="P810" s="303"/>
      <c r="Q810" s="303"/>
      <c r="R810" s="303"/>
      <c r="S810" s="303"/>
      <c r="T810" s="303"/>
      <c r="U810" s="303"/>
      <c r="V810" s="303"/>
    </row>
    <row r="811" ht="20.25" customHeight="1">
      <c r="E811" s="355"/>
      <c r="F811" s="355"/>
      <c r="I811" s="328"/>
      <c r="K811" s="421"/>
      <c r="L811" s="303"/>
      <c r="M811" s="303"/>
      <c r="N811" s="303"/>
      <c r="O811" s="303"/>
      <c r="P811" s="303"/>
      <c r="Q811" s="303"/>
      <c r="R811" s="303"/>
      <c r="S811" s="303"/>
      <c r="T811" s="303"/>
      <c r="U811" s="303"/>
      <c r="V811" s="303"/>
    </row>
    <row r="812" ht="20.25" customHeight="1">
      <c r="E812" s="355"/>
      <c r="F812" s="355"/>
      <c r="I812" s="328"/>
      <c r="K812" s="421"/>
      <c r="L812" s="303"/>
      <c r="M812" s="303"/>
      <c r="N812" s="303"/>
      <c r="O812" s="303"/>
      <c r="P812" s="303"/>
      <c r="Q812" s="303"/>
      <c r="R812" s="303"/>
      <c r="S812" s="303"/>
      <c r="T812" s="303"/>
      <c r="U812" s="303"/>
      <c r="V812" s="303"/>
    </row>
    <row r="813" ht="20.25" customHeight="1">
      <c r="E813" s="355"/>
      <c r="F813" s="355"/>
      <c r="I813" s="328"/>
      <c r="K813" s="421"/>
      <c r="L813" s="303"/>
      <c r="M813" s="303"/>
      <c r="N813" s="303"/>
      <c r="O813" s="303"/>
      <c r="P813" s="303"/>
      <c r="Q813" s="303"/>
      <c r="R813" s="303"/>
      <c r="S813" s="303"/>
      <c r="T813" s="303"/>
      <c r="U813" s="303"/>
      <c r="V813" s="303"/>
    </row>
    <row r="814" ht="20.25" customHeight="1">
      <c r="E814" s="355"/>
      <c r="F814" s="355"/>
      <c r="I814" s="328"/>
      <c r="K814" s="421"/>
      <c r="L814" s="303"/>
      <c r="M814" s="303"/>
      <c r="N814" s="303"/>
      <c r="O814" s="303"/>
      <c r="P814" s="303"/>
      <c r="Q814" s="303"/>
      <c r="R814" s="303"/>
      <c r="S814" s="303"/>
      <c r="T814" s="303"/>
      <c r="U814" s="303"/>
      <c r="V814" s="303"/>
    </row>
    <row r="815" ht="20.25" customHeight="1">
      <c r="E815" s="355"/>
      <c r="F815" s="355"/>
      <c r="I815" s="328"/>
      <c r="K815" s="421"/>
      <c r="L815" s="303"/>
      <c r="M815" s="303"/>
      <c r="N815" s="303"/>
      <c r="O815" s="303"/>
      <c r="P815" s="303"/>
      <c r="Q815" s="303"/>
      <c r="R815" s="303"/>
      <c r="S815" s="303"/>
      <c r="T815" s="303"/>
      <c r="U815" s="303"/>
      <c r="V815" s="303"/>
    </row>
    <row r="816" ht="20.25" customHeight="1">
      <c r="E816" s="355"/>
      <c r="F816" s="355"/>
      <c r="I816" s="328"/>
      <c r="K816" s="421"/>
      <c r="L816" s="303"/>
      <c r="M816" s="303"/>
      <c r="N816" s="303"/>
      <c r="O816" s="303"/>
      <c r="P816" s="303"/>
      <c r="Q816" s="303"/>
      <c r="R816" s="303"/>
      <c r="S816" s="303"/>
      <c r="T816" s="303"/>
      <c r="U816" s="303"/>
      <c r="V816" s="303"/>
    </row>
    <row r="817" ht="20.25" customHeight="1">
      <c r="E817" s="355"/>
      <c r="F817" s="355"/>
      <c r="I817" s="328"/>
      <c r="K817" s="421"/>
      <c r="L817" s="303"/>
      <c r="M817" s="303"/>
      <c r="N817" s="303"/>
      <c r="O817" s="303"/>
      <c r="P817" s="303"/>
      <c r="Q817" s="303"/>
      <c r="R817" s="303"/>
      <c r="S817" s="303"/>
      <c r="T817" s="303"/>
      <c r="U817" s="303"/>
      <c r="V817" s="303"/>
    </row>
    <row r="818" ht="20.25" customHeight="1">
      <c r="E818" s="355"/>
      <c r="F818" s="355"/>
      <c r="I818" s="328"/>
      <c r="K818" s="421"/>
      <c r="L818" s="303"/>
      <c r="M818" s="303"/>
      <c r="N818" s="303"/>
      <c r="O818" s="303"/>
      <c r="P818" s="303"/>
      <c r="Q818" s="303"/>
      <c r="R818" s="303"/>
      <c r="S818" s="303"/>
      <c r="T818" s="303"/>
      <c r="U818" s="303"/>
      <c r="V818" s="303"/>
    </row>
    <row r="819" ht="20.25" customHeight="1">
      <c r="E819" s="355"/>
      <c r="F819" s="355"/>
      <c r="I819" s="328"/>
      <c r="K819" s="421"/>
      <c r="L819" s="303"/>
      <c r="M819" s="303"/>
      <c r="N819" s="303"/>
      <c r="O819" s="303"/>
      <c r="P819" s="303"/>
      <c r="Q819" s="303"/>
      <c r="R819" s="303"/>
      <c r="S819" s="303"/>
      <c r="T819" s="303"/>
      <c r="U819" s="303"/>
      <c r="V819" s="303"/>
    </row>
    <row r="820" ht="20.25" customHeight="1">
      <c r="E820" s="355"/>
      <c r="F820" s="355"/>
      <c r="I820" s="328"/>
      <c r="K820" s="421"/>
      <c r="L820" s="303"/>
      <c r="M820" s="303"/>
      <c r="N820" s="303"/>
      <c r="O820" s="303"/>
      <c r="P820" s="303"/>
      <c r="Q820" s="303"/>
      <c r="R820" s="303"/>
      <c r="S820" s="303"/>
      <c r="T820" s="303"/>
      <c r="U820" s="303"/>
      <c r="V820" s="303"/>
    </row>
    <row r="821" ht="20.25" customHeight="1">
      <c r="E821" s="355"/>
      <c r="F821" s="355"/>
      <c r="I821" s="328"/>
      <c r="K821" s="421"/>
      <c r="L821" s="303"/>
      <c r="M821" s="303"/>
      <c r="N821" s="303"/>
      <c r="O821" s="303"/>
      <c r="P821" s="303"/>
      <c r="Q821" s="303"/>
      <c r="R821" s="303"/>
      <c r="S821" s="303"/>
      <c r="T821" s="303"/>
      <c r="U821" s="303"/>
      <c r="V821" s="303"/>
    </row>
    <row r="822" ht="20.25" customHeight="1">
      <c r="E822" s="355"/>
      <c r="F822" s="355"/>
      <c r="I822" s="328"/>
      <c r="K822" s="421"/>
      <c r="L822" s="303"/>
      <c r="M822" s="303"/>
      <c r="N822" s="303"/>
      <c r="O822" s="303"/>
      <c r="P822" s="303"/>
      <c r="Q822" s="303"/>
      <c r="R822" s="303"/>
      <c r="S822" s="303"/>
      <c r="T822" s="303"/>
      <c r="U822" s="303"/>
      <c r="V822" s="303"/>
    </row>
    <row r="823" ht="20.25" customHeight="1">
      <c r="E823" s="355"/>
      <c r="F823" s="355"/>
      <c r="I823" s="328"/>
      <c r="K823" s="421"/>
      <c r="L823" s="303"/>
      <c r="M823" s="303"/>
      <c r="N823" s="303"/>
      <c r="O823" s="303"/>
      <c r="P823" s="303"/>
      <c r="Q823" s="303"/>
      <c r="R823" s="303"/>
      <c r="S823" s="303"/>
      <c r="T823" s="303"/>
      <c r="U823" s="303"/>
      <c r="V823" s="303"/>
    </row>
    <row r="824" ht="20.25" customHeight="1">
      <c r="E824" s="355"/>
      <c r="F824" s="355"/>
      <c r="I824" s="328"/>
      <c r="K824" s="421"/>
      <c r="L824" s="303"/>
      <c r="M824" s="303"/>
      <c r="N824" s="303"/>
      <c r="O824" s="303"/>
      <c r="P824" s="303"/>
      <c r="Q824" s="303"/>
      <c r="R824" s="303"/>
      <c r="S824" s="303"/>
      <c r="T824" s="303"/>
      <c r="U824" s="303"/>
      <c r="V824" s="303"/>
    </row>
    <row r="825" ht="20.25" customHeight="1">
      <c r="E825" s="355"/>
      <c r="F825" s="355"/>
      <c r="I825" s="328"/>
      <c r="K825" s="421"/>
      <c r="L825" s="303"/>
      <c r="M825" s="303"/>
      <c r="N825" s="303"/>
      <c r="O825" s="303"/>
      <c r="P825" s="303"/>
      <c r="Q825" s="303"/>
      <c r="R825" s="303"/>
      <c r="S825" s="303"/>
      <c r="T825" s="303"/>
      <c r="U825" s="303"/>
      <c r="V825" s="303"/>
    </row>
    <row r="826" ht="20.25" customHeight="1">
      <c r="E826" s="355"/>
      <c r="F826" s="355"/>
      <c r="I826" s="328"/>
      <c r="K826" s="421"/>
      <c r="L826" s="303"/>
      <c r="M826" s="303"/>
      <c r="N826" s="303"/>
      <c r="O826" s="303"/>
      <c r="P826" s="303"/>
      <c r="Q826" s="303"/>
      <c r="R826" s="303"/>
      <c r="S826" s="303"/>
      <c r="T826" s="303"/>
      <c r="U826" s="303"/>
      <c r="V826" s="303"/>
    </row>
    <row r="827" ht="20.25" customHeight="1">
      <c r="E827" s="355"/>
      <c r="F827" s="355"/>
      <c r="I827" s="328"/>
      <c r="K827" s="421"/>
      <c r="L827" s="303"/>
      <c r="M827" s="303"/>
      <c r="N827" s="303"/>
      <c r="O827" s="303"/>
      <c r="P827" s="303"/>
      <c r="Q827" s="303"/>
      <c r="R827" s="303"/>
      <c r="S827" s="303"/>
      <c r="T827" s="303"/>
      <c r="U827" s="303"/>
      <c r="V827" s="303"/>
    </row>
    <row r="828" ht="20.25" customHeight="1">
      <c r="E828" s="355"/>
      <c r="F828" s="355"/>
      <c r="I828" s="328"/>
      <c r="K828" s="421"/>
      <c r="L828" s="303"/>
      <c r="M828" s="303"/>
      <c r="N828" s="303"/>
      <c r="O828" s="303"/>
      <c r="P828" s="303"/>
      <c r="Q828" s="303"/>
      <c r="R828" s="303"/>
      <c r="S828" s="303"/>
      <c r="T828" s="303"/>
      <c r="U828" s="303"/>
      <c r="V828" s="303"/>
    </row>
    <row r="829" ht="20.25" customHeight="1">
      <c r="E829" s="355"/>
      <c r="F829" s="355"/>
      <c r="I829" s="328"/>
      <c r="K829" s="421"/>
      <c r="L829" s="303"/>
      <c r="M829" s="303"/>
      <c r="N829" s="303"/>
      <c r="O829" s="303"/>
      <c r="P829" s="303"/>
      <c r="Q829" s="303"/>
      <c r="R829" s="303"/>
      <c r="S829" s="303"/>
      <c r="T829" s="303"/>
      <c r="U829" s="303"/>
      <c r="V829" s="303"/>
    </row>
    <row r="830" ht="20.25" customHeight="1">
      <c r="E830" s="355"/>
      <c r="F830" s="355"/>
      <c r="I830" s="328"/>
      <c r="K830" s="421"/>
      <c r="L830" s="303"/>
      <c r="M830" s="303"/>
      <c r="N830" s="303"/>
      <c r="O830" s="303"/>
      <c r="P830" s="303"/>
      <c r="Q830" s="303"/>
      <c r="R830" s="303"/>
      <c r="S830" s="303"/>
      <c r="T830" s="303"/>
      <c r="U830" s="303"/>
      <c r="V830" s="303"/>
    </row>
    <row r="831" ht="20.25" customHeight="1">
      <c r="E831" s="355"/>
      <c r="F831" s="355"/>
      <c r="I831" s="328"/>
      <c r="K831" s="421"/>
      <c r="L831" s="303"/>
      <c r="M831" s="303"/>
      <c r="N831" s="303"/>
      <c r="O831" s="303"/>
      <c r="P831" s="303"/>
      <c r="Q831" s="303"/>
      <c r="R831" s="303"/>
      <c r="S831" s="303"/>
      <c r="T831" s="303"/>
      <c r="U831" s="303"/>
      <c r="V831" s="303"/>
    </row>
    <row r="832" ht="20.25" customHeight="1">
      <c r="E832" s="355"/>
      <c r="F832" s="355"/>
      <c r="I832" s="328"/>
      <c r="K832" s="421"/>
      <c r="L832" s="303"/>
      <c r="M832" s="303"/>
      <c r="N832" s="303"/>
      <c r="O832" s="303"/>
      <c r="P832" s="303"/>
      <c r="Q832" s="303"/>
      <c r="R832" s="303"/>
      <c r="S832" s="303"/>
      <c r="T832" s="303"/>
      <c r="U832" s="303"/>
      <c r="V832" s="303"/>
    </row>
    <row r="833" ht="20.25" customHeight="1">
      <c r="E833" s="355"/>
      <c r="F833" s="355"/>
      <c r="I833" s="328"/>
      <c r="K833" s="421"/>
      <c r="L833" s="303"/>
      <c r="M833" s="303"/>
      <c r="N833" s="303"/>
      <c r="O833" s="303"/>
      <c r="P833" s="303"/>
      <c r="Q833" s="303"/>
      <c r="R833" s="303"/>
      <c r="S833" s="303"/>
      <c r="T833" s="303"/>
      <c r="U833" s="303"/>
      <c r="V833" s="303"/>
    </row>
    <row r="834" ht="20.25" customHeight="1">
      <c r="E834" s="355"/>
      <c r="F834" s="355"/>
      <c r="I834" s="328"/>
      <c r="K834" s="421"/>
      <c r="L834" s="303"/>
      <c r="M834" s="303"/>
      <c r="N834" s="303"/>
      <c r="O834" s="303"/>
      <c r="P834" s="303"/>
      <c r="Q834" s="303"/>
      <c r="R834" s="303"/>
      <c r="S834" s="303"/>
      <c r="T834" s="303"/>
      <c r="U834" s="303"/>
      <c r="V834" s="303"/>
    </row>
    <row r="835" ht="20.25" customHeight="1">
      <c r="E835" s="355"/>
      <c r="F835" s="355"/>
      <c r="I835" s="328"/>
      <c r="K835" s="421"/>
      <c r="L835" s="303"/>
      <c r="M835" s="303"/>
      <c r="N835" s="303"/>
      <c r="O835" s="303"/>
      <c r="P835" s="303"/>
      <c r="Q835" s="303"/>
      <c r="R835" s="303"/>
      <c r="S835" s="303"/>
      <c r="T835" s="303"/>
      <c r="U835" s="303"/>
      <c r="V835" s="303"/>
    </row>
    <row r="836" ht="20.25" customHeight="1">
      <c r="E836" s="355"/>
      <c r="F836" s="355"/>
      <c r="I836" s="328"/>
      <c r="K836" s="421"/>
      <c r="L836" s="303"/>
      <c r="M836" s="303"/>
      <c r="N836" s="303"/>
      <c r="O836" s="303"/>
      <c r="P836" s="303"/>
      <c r="Q836" s="303"/>
      <c r="R836" s="303"/>
      <c r="S836" s="303"/>
      <c r="T836" s="303"/>
      <c r="U836" s="303"/>
      <c r="V836" s="303"/>
    </row>
    <row r="837" ht="20.25" customHeight="1">
      <c r="E837" s="355"/>
      <c r="F837" s="355"/>
      <c r="I837" s="328"/>
      <c r="K837" s="421"/>
      <c r="L837" s="303"/>
      <c r="M837" s="303"/>
      <c r="N837" s="303"/>
      <c r="O837" s="303"/>
      <c r="P837" s="303"/>
      <c r="Q837" s="303"/>
      <c r="R837" s="303"/>
      <c r="S837" s="303"/>
      <c r="T837" s="303"/>
      <c r="U837" s="303"/>
      <c r="V837" s="303"/>
    </row>
    <row r="838" ht="20.25" customHeight="1">
      <c r="E838" s="355"/>
      <c r="F838" s="355"/>
      <c r="I838" s="328"/>
      <c r="K838" s="421"/>
      <c r="L838" s="303"/>
      <c r="M838" s="303"/>
      <c r="N838" s="303"/>
      <c r="O838" s="303"/>
      <c r="P838" s="303"/>
      <c r="Q838" s="303"/>
      <c r="R838" s="303"/>
      <c r="S838" s="303"/>
      <c r="T838" s="303"/>
      <c r="U838" s="303"/>
      <c r="V838" s="303"/>
    </row>
    <row r="839" ht="20.25" customHeight="1">
      <c r="E839" s="355"/>
      <c r="F839" s="355"/>
      <c r="I839" s="328"/>
      <c r="K839" s="421"/>
      <c r="L839" s="303"/>
      <c r="M839" s="303"/>
      <c r="N839" s="303"/>
      <c r="O839" s="303"/>
      <c r="P839" s="303"/>
      <c r="Q839" s="303"/>
      <c r="R839" s="303"/>
      <c r="S839" s="303"/>
      <c r="T839" s="303"/>
      <c r="U839" s="303"/>
      <c r="V839" s="303"/>
    </row>
    <row r="840" ht="20.25" customHeight="1">
      <c r="E840" s="355"/>
      <c r="F840" s="355"/>
      <c r="I840" s="328"/>
      <c r="K840" s="421"/>
      <c r="L840" s="303"/>
      <c r="M840" s="303"/>
      <c r="N840" s="303"/>
      <c r="O840" s="303"/>
      <c r="P840" s="303"/>
      <c r="Q840" s="303"/>
      <c r="R840" s="303"/>
      <c r="S840" s="303"/>
      <c r="T840" s="303"/>
      <c r="U840" s="303"/>
      <c r="V840" s="303"/>
    </row>
    <row r="841" ht="20.25" customHeight="1">
      <c r="E841" s="355"/>
      <c r="F841" s="355"/>
      <c r="I841" s="328"/>
      <c r="K841" s="421"/>
      <c r="L841" s="303"/>
      <c r="M841" s="303"/>
      <c r="N841" s="303"/>
      <c r="O841" s="303"/>
      <c r="P841" s="303"/>
      <c r="Q841" s="303"/>
      <c r="R841" s="303"/>
      <c r="S841" s="303"/>
      <c r="T841" s="303"/>
      <c r="U841" s="303"/>
      <c r="V841" s="303"/>
    </row>
    <row r="842" ht="20.25" customHeight="1">
      <c r="E842" s="355"/>
      <c r="F842" s="355"/>
      <c r="I842" s="328"/>
      <c r="K842" s="421"/>
      <c r="L842" s="303"/>
      <c r="M842" s="303"/>
      <c r="N842" s="303"/>
      <c r="O842" s="303"/>
      <c r="P842" s="303"/>
      <c r="Q842" s="303"/>
      <c r="R842" s="303"/>
      <c r="S842" s="303"/>
      <c r="T842" s="303"/>
      <c r="U842" s="303"/>
      <c r="V842" s="303"/>
    </row>
    <row r="843" ht="20.25" customHeight="1">
      <c r="E843" s="355"/>
      <c r="F843" s="355"/>
      <c r="I843" s="328"/>
      <c r="K843" s="421"/>
      <c r="L843" s="303"/>
      <c r="M843" s="303"/>
      <c r="N843" s="303"/>
      <c r="O843" s="303"/>
      <c r="P843" s="303"/>
      <c r="Q843" s="303"/>
      <c r="R843" s="303"/>
      <c r="S843" s="303"/>
      <c r="T843" s="303"/>
      <c r="U843" s="303"/>
      <c r="V843" s="303"/>
    </row>
    <row r="844" ht="20.25" customHeight="1">
      <c r="E844" s="355"/>
      <c r="F844" s="355"/>
      <c r="I844" s="328"/>
      <c r="K844" s="421"/>
      <c r="L844" s="303"/>
      <c r="M844" s="303"/>
      <c r="N844" s="303"/>
      <c r="O844" s="303"/>
      <c r="P844" s="303"/>
      <c r="Q844" s="303"/>
      <c r="R844" s="303"/>
      <c r="S844" s="303"/>
      <c r="T844" s="303"/>
      <c r="U844" s="303"/>
      <c r="V844" s="303"/>
    </row>
    <row r="845" ht="20.25" customHeight="1">
      <c r="E845" s="355"/>
      <c r="F845" s="355"/>
      <c r="I845" s="328"/>
      <c r="K845" s="421"/>
      <c r="L845" s="303"/>
      <c r="M845" s="303"/>
      <c r="N845" s="303"/>
      <c r="O845" s="303"/>
      <c r="P845" s="303"/>
      <c r="Q845" s="303"/>
      <c r="R845" s="303"/>
      <c r="S845" s="303"/>
      <c r="T845" s="303"/>
      <c r="U845" s="303"/>
      <c r="V845" s="303"/>
    </row>
    <row r="846" ht="20.25" customHeight="1">
      <c r="E846" s="355"/>
      <c r="F846" s="355"/>
      <c r="I846" s="328"/>
      <c r="K846" s="421"/>
      <c r="L846" s="303"/>
      <c r="M846" s="303"/>
      <c r="N846" s="303"/>
      <c r="O846" s="303"/>
      <c r="P846" s="303"/>
      <c r="Q846" s="303"/>
      <c r="R846" s="303"/>
      <c r="S846" s="303"/>
      <c r="T846" s="303"/>
      <c r="U846" s="303"/>
      <c r="V846" s="303"/>
    </row>
    <row r="847" ht="20.25" customHeight="1">
      <c r="E847" s="355"/>
      <c r="F847" s="355"/>
      <c r="I847" s="328"/>
      <c r="K847" s="421"/>
      <c r="L847" s="303"/>
      <c r="M847" s="303"/>
      <c r="N847" s="303"/>
      <c r="O847" s="303"/>
      <c r="P847" s="303"/>
      <c r="Q847" s="303"/>
      <c r="R847" s="303"/>
      <c r="S847" s="303"/>
      <c r="T847" s="303"/>
      <c r="U847" s="303"/>
      <c r="V847" s="303"/>
    </row>
    <row r="848" ht="20.25" customHeight="1">
      <c r="E848" s="355"/>
      <c r="F848" s="355"/>
      <c r="I848" s="328"/>
      <c r="K848" s="421"/>
      <c r="L848" s="303"/>
      <c r="M848" s="303"/>
      <c r="N848" s="303"/>
      <c r="O848" s="303"/>
      <c r="P848" s="303"/>
      <c r="Q848" s="303"/>
      <c r="R848" s="303"/>
      <c r="S848" s="303"/>
      <c r="T848" s="303"/>
      <c r="U848" s="303"/>
      <c r="V848" s="303"/>
    </row>
    <row r="849" ht="20.25" customHeight="1">
      <c r="E849" s="355"/>
      <c r="F849" s="355"/>
      <c r="I849" s="328"/>
      <c r="K849" s="421"/>
      <c r="L849" s="303"/>
      <c r="M849" s="303"/>
      <c r="N849" s="303"/>
      <c r="O849" s="303"/>
      <c r="P849" s="303"/>
      <c r="Q849" s="303"/>
      <c r="R849" s="303"/>
      <c r="S849" s="303"/>
      <c r="T849" s="303"/>
      <c r="U849" s="303"/>
      <c r="V849" s="303"/>
    </row>
    <row r="850" ht="20.25" customHeight="1">
      <c r="E850" s="355"/>
      <c r="F850" s="355"/>
      <c r="I850" s="328"/>
      <c r="K850" s="421"/>
      <c r="L850" s="303"/>
      <c r="M850" s="303"/>
      <c r="N850" s="303"/>
      <c r="O850" s="303"/>
      <c r="P850" s="303"/>
      <c r="Q850" s="303"/>
      <c r="R850" s="303"/>
      <c r="S850" s="303"/>
      <c r="T850" s="303"/>
      <c r="U850" s="303"/>
      <c r="V850" s="303"/>
    </row>
    <row r="851" ht="20.25" customHeight="1">
      <c r="E851" s="355"/>
      <c r="F851" s="355"/>
      <c r="I851" s="328"/>
      <c r="K851" s="421"/>
      <c r="L851" s="303"/>
      <c r="M851" s="303"/>
      <c r="N851" s="303"/>
      <c r="O851" s="303"/>
      <c r="P851" s="303"/>
      <c r="Q851" s="303"/>
      <c r="R851" s="303"/>
      <c r="S851" s="303"/>
      <c r="T851" s="303"/>
      <c r="U851" s="303"/>
      <c r="V851" s="303"/>
    </row>
    <row r="852" ht="20.25" customHeight="1">
      <c r="E852" s="355"/>
      <c r="F852" s="355"/>
      <c r="I852" s="328"/>
      <c r="K852" s="421"/>
      <c r="L852" s="303"/>
      <c r="M852" s="303"/>
      <c r="N852" s="303"/>
      <c r="O852" s="303"/>
      <c r="P852" s="303"/>
      <c r="Q852" s="303"/>
      <c r="R852" s="303"/>
      <c r="S852" s="303"/>
      <c r="T852" s="303"/>
      <c r="U852" s="303"/>
      <c r="V852" s="303"/>
    </row>
    <row r="853" ht="20.25" customHeight="1">
      <c r="E853" s="355"/>
      <c r="F853" s="355"/>
      <c r="I853" s="328"/>
      <c r="K853" s="421"/>
      <c r="L853" s="303"/>
      <c r="M853" s="303"/>
      <c r="N853" s="303"/>
      <c r="O853" s="303"/>
      <c r="P853" s="303"/>
      <c r="Q853" s="303"/>
      <c r="R853" s="303"/>
      <c r="S853" s="303"/>
      <c r="T853" s="303"/>
      <c r="U853" s="303"/>
      <c r="V853" s="303"/>
    </row>
    <row r="854" ht="20.25" customHeight="1">
      <c r="E854" s="355"/>
      <c r="F854" s="355"/>
      <c r="I854" s="328"/>
      <c r="K854" s="421"/>
      <c r="L854" s="303"/>
      <c r="M854" s="303"/>
      <c r="N854" s="303"/>
      <c r="O854" s="303"/>
      <c r="P854" s="303"/>
      <c r="Q854" s="303"/>
      <c r="R854" s="303"/>
      <c r="S854" s="303"/>
      <c r="T854" s="303"/>
      <c r="U854" s="303"/>
      <c r="V854" s="303"/>
    </row>
    <row r="855" ht="20.25" customHeight="1">
      <c r="E855" s="355"/>
      <c r="F855" s="355"/>
      <c r="I855" s="328"/>
      <c r="K855" s="421"/>
      <c r="L855" s="303"/>
      <c r="M855" s="303"/>
      <c r="N855" s="303"/>
      <c r="O855" s="303"/>
      <c r="P855" s="303"/>
      <c r="Q855" s="303"/>
      <c r="R855" s="303"/>
      <c r="S855" s="303"/>
      <c r="T855" s="303"/>
      <c r="U855" s="303"/>
      <c r="V855" s="303"/>
    </row>
    <row r="856" ht="20.25" customHeight="1">
      <c r="E856" s="355"/>
      <c r="F856" s="355"/>
      <c r="I856" s="328"/>
      <c r="K856" s="421"/>
      <c r="L856" s="303"/>
      <c r="M856" s="303"/>
      <c r="N856" s="303"/>
      <c r="O856" s="303"/>
      <c r="P856" s="303"/>
      <c r="Q856" s="303"/>
      <c r="R856" s="303"/>
      <c r="S856" s="303"/>
      <c r="T856" s="303"/>
      <c r="U856" s="303"/>
      <c r="V856" s="303"/>
    </row>
    <row r="857" ht="20.25" customHeight="1">
      <c r="E857" s="355"/>
      <c r="F857" s="355"/>
      <c r="I857" s="328"/>
      <c r="K857" s="421"/>
      <c r="L857" s="303"/>
      <c r="M857" s="303"/>
      <c r="N857" s="303"/>
      <c r="O857" s="303"/>
      <c r="P857" s="303"/>
      <c r="Q857" s="303"/>
      <c r="R857" s="303"/>
      <c r="S857" s="303"/>
      <c r="T857" s="303"/>
      <c r="U857" s="303"/>
      <c r="V857" s="303"/>
    </row>
    <row r="858" ht="20.25" customHeight="1">
      <c r="E858" s="355"/>
      <c r="F858" s="355"/>
      <c r="I858" s="328"/>
      <c r="K858" s="421"/>
      <c r="L858" s="303"/>
      <c r="M858" s="303"/>
      <c r="N858" s="303"/>
      <c r="O858" s="303"/>
      <c r="P858" s="303"/>
      <c r="Q858" s="303"/>
      <c r="R858" s="303"/>
      <c r="S858" s="303"/>
      <c r="T858" s="303"/>
      <c r="U858" s="303"/>
      <c r="V858" s="303"/>
    </row>
    <row r="859" ht="20.25" customHeight="1">
      <c r="E859" s="355"/>
      <c r="F859" s="355"/>
      <c r="I859" s="328"/>
      <c r="K859" s="421"/>
      <c r="L859" s="303"/>
      <c r="M859" s="303"/>
      <c r="N859" s="303"/>
      <c r="O859" s="303"/>
      <c r="P859" s="303"/>
      <c r="Q859" s="303"/>
      <c r="R859" s="303"/>
      <c r="S859" s="303"/>
      <c r="T859" s="303"/>
      <c r="U859" s="303"/>
      <c r="V859" s="303"/>
    </row>
    <row r="860" ht="20.25" customHeight="1">
      <c r="E860" s="355"/>
      <c r="F860" s="355"/>
      <c r="I860" s="328"/>
      <c r="K860" s="421"/>
      <c r="L860" s="303"/>
      <c r="M860" s="303"/>
      <c r="N860" s="303"/>
      <c r="O860" s="303"/>
      <c r="P860" s="303"/>
      <c r="Q860" s="303"/>
      <c r="R860" s="303"/>
      <c r="S860" s="303"/>
      <c r="T860" s="303"/>
      <c r="U860" s="303"/>
      <c r="V860" s="303"/>
    </row>
    <row r="861" ht="20.25" customHeight="1">
      <c r="E861" s="355"/>
      <c r="F861" s="355"/>
      <c r="I861" s="328"/>
      <c r="K861" s="421"/>
      <c r="L861" s="303"/>
      <c r="M861" s="303"/>
      <c r="N861" s="303"/>
      <c r="O861" s="303"/>
      <c r="P861" s="303"/>
      <c r="Q861" s="303"/>
      <c r="R861" s="303"/>
      <c r="S861" s="303"/>
      <c r="T861" s="303"/>
      <c r="U861" s="303"/>
      <c r="V861" s="303"/>
    </row>
    <row r="862" ht="20.25" customHeight="1">
      <c r="E862" s="355"/>
      <c r="F862" s="355"/>
      <c r="I862" s="328"/>
      <c r="K862" s="421"/>
      <c r="L862" s="303"/>
      <c r="M862" s="303"/>
      <c r="N862" s="303"/>
      <c r="O862" s="303"/>
      <c r="P862" s="303"/>
      <c r="Q862" s="303"/>
      <c r="R862" s="303"/>
      <c r="S862" s="303"/>
      <c r="T862" s="303"/>
      <c r="U862" s="303"/>
      <c r="V862" s="303"/>
    </row>
    <row r="863" ht="20.25" customHeight="1">
      <c r="E863" s="355"/>
      <c r="F863" s="355"/>
      <c r="I863" s="328"/>
      <c r="K863" s="421"/>
      <c r="L863" s="303"/>
      <c r="M863" s="303"/>
      <c r="N863" s="303"/>
      <c r="O863" s="303"/>
      <c r="P863" s="303"/>
      <c r="Q863" s="303"/>
      <c r="R863" s="303"/>
      <c r="S863" s="303"/>
      <c r="T863" s="303"/>
      <c r="U863" s="303"/>
      <c r="V863" s="303"/>
    </row>
    <row r="864" ht="20.25" customHeight="1">
      <c r="E864" s="355"/>
      <c r="F864" s="355"/>
      <c r="I864" s="328"/>
      <c r="K864" s="421"/>
      <c r="L864" s="303"/>
      <c r="M864" s="303"/>
      <c r="N864" s="303"/>
      <c r="O864" s="303"/>
      <c r="P864" s="303"/>
      <c r="Q864" s="303"/>
      <c r="R864" s="303"/>
      <c r="S864" s="303"/>
      <c r="T864" s="303"/>
      <c r="U864" s="303"/>
      <c r="V864" s="303"/>
    </row>
    <row r="865" ht="20.25" customHeight="1">
      <c r="E865" s="355"/>
      <c r="F865" s="355"/>
      <c r="I865" s="328"/>
      <c r="K865" s="421"/>
      <c r="L865" s="303"/>
      <c r="M865" s="303"/>
      <c r="N865" s="303"/>
      <c r="O865" s="303"/>
      <c r="P865" s="303"/>
      <c r="Q865" s="303"/>
      <c r="R865" s="303"/>
      <c r="S865" s="303"/>
      <c r="T865" s="303"/>
      <c r="U865" s="303"/>
      <c r="V865" s="303"/>
    </row>
    <row r="866" ht="20.25" customHeight="1">
      <c r="E866" s="355"/>
      <c r="F866" s="355"/>
      <c r="I866" s="328"/>
      <c r="K866" s="421"/>
      <c r="L866" s="303"/>
      <c r="M866" s="303"/>
      <c r="N866" s="303"/>
      <c r="O866" s="303"/>
      <c r="P866" s="303"/>
      <c r="Q866" s="303"/>
      <c r="R866" s="303"/>
      <c r="S866" s="303"/>
      <c r="T866" s="303"/>
      <c r="U866" s="303"/>
      <c r="V866" s="303"/>
    </row>
    <row r="867" ht="20.25" customHeight="1">
      <c r="E867" s="355"/>
      <c r="F867" s="355"/>
      <c r="I867" s="328"/>
      <c r="K867" s="421"/>
      <c r="L867" s="303"/>
      <c r="M867" s="303"/>
      <c r="N867" s="303"/>
      <c r="O867" s="303"/>
      <c r="P867" s="303"/>
      <c r="Q867" s="303"/>
      <c r="R867" s="303"/>
      <c r="S867" s="303"/>
      <c r="T867" s="303"/>
      <c r="U867" s="303"/>
      <c r="V867" s="303"/>
    </row>
    <row r="868" ht="20.25" customHeight="1">
      <c r="E868" s="355"/>
      <c r="F868" s="355"/>
      <c r="I868" s="328"/>
      <c r="K868" s="421"/>
      <c r="L868" s="303"/>
      <c r="M868" s="303"/>
      <c r="N868" s="303"/>
      <c r="O868" s="303"/>
      <c r="P868" s="303"/>
      <c r="Q868" s="303"/>
      <c r="R868" s="303"/>
      <c r="S868" s="303"/>
      <c r="T868" s="303"/>
      <c r="U868" s="303"/>
      <c r="V868" s="303"/>
    </row>
    <row r="869" ht="20.25" customHeight="1">
      <c r="E869" s="355"/>
      <c r="F869" s="355"/>
      <c r="I869" s="328"/>
      <c r="K869" s="421"/>
      <c r="L869" s="303"/>
      <c r="M869" s="303"/>
      <c r="N869" s="303"/>
      <c r="O869" s="303"/>
      <c r="P869" s="303"/>
      <c r="Q869" s="303"/>
      <c r="R869" s="303"/>
      <c r="S869" s="303"/>
      <c r="T869" s="303"/>
      <c r="U869" s="303"/>
      <c r="V869" s="303"/>
    </row>
    <row r="870" ht="20.25" customHeight="1">
      <c r="E870" s="355"/>
      <c r="F870" s="355"/>
      <c r="I870" s="328"/>
      <c r="K870" s="421"/>
      <c r="L870" s="303"/>
      <c r="M870" s="303"/>
      <c r="N870" s="303"/>
      <c r="O870" s="303"/>
      <c r="P870" s="303"/>
      <c r="Q870" s="303"/>
      <c r="R870" s="303"/>
      <c r="S870" s="303"/>
      <c r="T870" s="303"/>
      <c r="U870" s="303"/>
      <c r="V870" s="303"/>
    </row>
    <row r="871" ht="20.25" customHeight="1">
      <c r="E871" s="355"/>
      <c r="F871" s="355"/>
      <c r="I871" s="328"/>
      <c r="K871" s="421"/>
      <c r="L871" s="303"/>
      <c r="M871" s="303"/>
      <c r="N871" s="303"/>
      <c r="O871" s="303"/>
      <c r="P871" s="303"/>
      <c r="Q871" s="303"/>
      <c r="R871" s="303"/>
      <c r="S871" s="303"/>
      <c r="T871" s="303"/>
      <c r="U871" s="303"/>
      <c r="V871" s="303"/>
    </row>
    <row r="872" ht="20.25" customHeight="1">
      <c r="E872" s="355"/>
      <c r="F872" s="355"/>
      <c r="I872" s="328"/>
      <c r="K872" s="421"/>
      <c r="L872" s="303"/>
      <c r="M872" s="303"/>
      <c r="N872" s="303"/>
      <c r="O872" s="303"/>
      <c r="P872" s="303"/>
      <c r="Q872" s="303"/>
      <c r="R872" s="303"/>
      <c r="S872" s="303"/>
      <c r="T872" s="303"/>
      <c r="U872" s="303"/>
      <c r="V872" s="303"/>
    </row>
    <row r="873" ht="20.25" customHeight="1">
      <c r="E873" s="355"/>
      <c r="F873" s="355"/>
      <c r="I873" s="328"/>
      <c r="K873" s="421"/>
      <c r="L873" s="303"/>
      <c r="M873" s="303"/>
      <c r="N873" s="303"/>
      <c r="O873" s="303"/>
      <c r="P873" s="303"/>
      <c r="Q873" s="303"/>
      <c r="R873" s="303"/>
      <c r="S873" s="303"/>
      <c r="T873" s="303"/>
      <c r="U873" s="303"/>
      <c r="V873" s="303"/>
    </row>
    <row r="874" ht="20.25" customHeight="1">
      <c r="E874" s="355"/>
      <c r="F874" s="355"/>
      <c r="I874" s="328"/>
      <c r="K874" s="421"/>
      <c r="L874" s="303"/>
      <c r="M874" s="303"/>
      <c r="N874" s="303"/>
      <c r="O874" s="303"/>
      <c r="P874" s="303"/>
      <c r="Q874" s="303"/>
      <c r="R874" s="303"/>
      <c r="S874" s="303"/>
      <c r="T874" s="303"/>
      <c r="U874" s="303"/>
      <c r="V874" s="303"/>
    </row>
    <row r="875" ht="20.25" customHeight="1">
      <c r="E875" s="355"/>
      <c r="F875" s="355"/>
      <c r="I875" s="328"/>
      <c r="K875" s="421"/>
      <c r="L875" s="303"/>
      <c r="M875" s="303"/>
      <c r="N875" s="303"/>
      <c r="O875" s="303"/>
      <c r="P875" s="303"/>
      <c r="Q875" s="303"/>
      <c r="R875" s="303"/>
      <c r="S875" s="303"/>
      <c r="T875" s="303"/>
      <c r="U875" s="303"/>
      <c r="V875" s="303"/>
    </row>
    <row r="876" ht="20.25" customHeight="1">
      <c r="E876" s="355"/>
      <c r="F876" s="355"/>
      <c r="I876" s="328"/>
      <c r="K876" s="421"/>
      <c r="L876" s="303"/>
      <c r="M876" s="303"/>
      <c r="N876" s="303"/>
      <c r="O876" s="303"/>
      <c r="P876" s="303"/>
      <c r="Q876" s="303"/>
      <c r="R876" s="303"/>
      <c r="S876" s="303"/>
      <c r="T876" s="303"/>
      <c r="U876" s="303"/>
      <c r="V876" s="303"/>
    </row>
    <row r="877" ht="20.25" customHeight="1">
      <c r="E877" s="355"/>
      <c r="F877" s="355"/>
      <c r="I877" s="328"/>
      <c r="K877" s="421"/>
      <c r="L877" s="303"/>
      <c r="M877" s="303"/>
      <c r="N877" s="303"/>
      <c r="O877" s="303"/>
      <c r="P877" s="303"/>
      <c r="Q877" s="303"/>
      <c r="R877" s="303"/>
      <c r="S877" s="303"/>
      <c r="T877" s="303"/>
      <c r="U877" s="303"/>
      <c r="V877" s="303"/>
    </row>
    <row r="878" ht="20.25" customHeight="1">
      <c r="E878" s="355"/>
      <c r="F878" s="355"/>
      <c r="I878" s="328"/>
      <c r="K878" s="421"/>
      <c r="L878" s="303"/>
      <c r="M878" s="303"/>
      <c r="N878" s="303"/>
      <c r="O878" s="303"/>
      <c r="P878" s="303"/>
      <c r="Q878" s="303"/>
      <c r="R878" s="303"/>
      <c r="S878" s="303"/>
      <c r="T878" s="303"/>
      <c r="U878" s="303"/>
      <c r="V878" s="303"/>
    </row>
    <row r="879" ht="20.25" customHeight="1">
      <c r="E879" s="355"/>
      <c r="F879" s="355"/>
      <c r="I879" s="328"/>
      <c r="K879" s="421"/>
      <c r="L879" s="303"/>
      <c r="M879" s="303"/>
      <c r="N879" s="303"/>
      <c r="O879" s="303"/>
      <c r="P879" s="303"/>
      <c r="Q879" s="303"/>
      <c r="R879" s="303"/>
      <c r="S879" s="303"/>
      <c r="T879" s="303"/>
      <c r="U879" s="303"/>
      <c r="V879" s="303"/>
    </row>
    <row r="880" ht="20.25" customHeight="1">
      <c r="E880" s="355"/>
      <c r="F880" s="355"/>
      <c r="I880" s="328"/>
      <c r="K880" s="421"/>
      <c r="L880" s="303"/>
      <c r="M880" s="303"/>
      <c r="N880" s="303"/>
      <c r="O880" s="303"/>
      <c r="P880" s="303"/>
      <c r="Q880" s="303"/>
      <c r="R880" s="303"/>
      <c r="S880" s="303"/>
      <c r="T880" s="303"/>
      <c r="U880" s="303"/>
      <c r="V880" s="303"/>
    </row>
    <row r="881" ht="20.25" customHeight="1">
      <c r="E881" s="355"/>
      <c r="F881" s="355"/>
      <c r="I881" s="328"/>
      <c r="K881" s="421"/>
      <c r="L881" s="303"/>
      <c r="M881" s="303"/>
      <c r="N881" s="303"/>
      <c r="O881" s="303"/>
      <c r="P881" s="303"/>
      <c r="Q881" s="303"/>
      <c r="R881" s="303"/>
      <c r="S881" s="303"/>
      <c r="T881" s="303"/>
      <c r="U881" s="303"/>
      <c r="V881" s="303"/>
    </row>
    <row r="882" ht="20.25" customHeight="1">
      <c r="E882" s="355"/>
      <c r="F882" s="355"/>
      <c r="I882" s="328"/>
      <c r="K882" s="421"/>
      <c r="L882" s="303"/>
      <c r="M882" s="303"/>
      <c r="N882" s="303"/>
      <c r="O882" s="303"/>
      <c r="P882" s="303"/>
      <c r="Q882" s="303"/>
      <c r="R882" s="303"/>
      <c r="S882" s="303"/>
      <c r="T882" s="303"/>
      <c r="U882" s="303"/>
      <c r="V882" s="303"/>
    </row>
    <row r="883" ht="20.25" customHeight="1">
      <c r="E883" s="355"/>
      <c r="F883" s="355"/>
      <c r="I883" s="328"/>
      <c r="K883" s="421"/>
      <c r="L883" s="303"/>
      <c r="M883" s="303"/>
      <c r="N883" s="303"/>
      <c r="O883" s="303"/>
      <c r="P883" s="303"/>
      <c r="Q883" s="303"/>
      <c r="R883" s="303"/>
      <c r="S883" s="303"/>
      <c r="T883" s="303"/>
      <c r="U883" s="303"/>
      <c r="V883" s="303"/>
    </row>
    <row r="884" ht="20.25" customHeight="1">
      <c r="E884" s="355"/>
      <c r="F884" s="355"/>
      <c r="I884" s="328"/>
      <c r="K884" s="421"/>
      <c r="L884" s="303"/>
      <c r="M884" s="303"/>
      <c r="N884" s="303"/>
      <c r="O884" s="303"/>
      <c r="P884" s="303"/>
      <c r="Q884" s="303"/>
      <c r="R884" s="303"/>
      <c r="S884" s="303"/>
      <c r="T884" s="303"/>
      <c r="U884" s="303"/>
      <c r="V884" s="303"/>
    </row>
    <row r="885" ht="20.25" customHeight="1">
      <c r="E885" s="355"/>
      <c r="F885" s="355"/>
      <c r="I885" s="328"/>
      <c r="K885" s="421"/>
      <c r="L885" s="303"/>
      <c r="M885" s="303"/>
      <c r="N885" s="303"/>
      <c r="O885" s="303"/>
      <c r="P885" s="303"/>
      <c r="Q885" s="303"/>
      <c r="R885" s="303"/>
      <c r="S885" s="303"/>
      <c r="T885" s="303"/>
      <c r="U885" s="303"/>
      <c r="V885" s="303"/>
    </row>
    <row r="886" ht="20.25" customHeight="1">
      <c r="E886" s="355"/>
      <c r="F886" s="355"/>
      <c r="I886" s="328"/>
      <c r="K886" s="421"/>
      <c r="L886" s="303"/>
      <c r="M886" s="303"/>
      <c r="N886" s="303"/>
      <c r="O886" s="303"/>
      <c r="P886" s="303"/>
      <c r="Q886" s="303"/>
      <c r="R886" s="303"/>
      <c r="S886" s="303"/>
      <c r="T886" s="303"/>
      <c r="U886" s="303"/>
      <c r="V886" s="303"/>
    </row>
    <row r="887" ht="20.25" customHeight="1">
      <c r="E887" s="355"/>
      <c r="F887" s="355"/>
      <c r="I887" s="328"/>
      <c r="K887" s="421"/>
      <c r="L887" s="303"/>
      <c r="M887" s="303"/>
      <c r="N887" s="303"/>
      <c r="O887" s="303"/>
      <c r="P887" s="303"/>
      <c r="Q887" s="303"/>
      <c r="R887" s="303"/>
      <c r="S887" s="303"/>
      <c r="T887" s="303"/>
      <c r="U887" s="303"/>
      <c r="V887" s="303"/>
    </row>
    <row r="888" ht="20.25" customHeight="1">
      <c r="E888" s="355"/>
      <c r="F888" s="355"/>
      <c r="I888" s="328"/>
      <c r="K888" s="421"/>
      <c r="L888" s="303"/>
      <c r="M888" s="303"/>
      <c r="N888" s="303"/>
      <c r="O888" s="303"/>
      <c r="P888" s="303"/>
      <c r="Q888" s="303"/>
      <c r="R888" s="303"/>
      <c r="S888" s="303"/>
      <c r="T888" s="303"/>
      <c r="U888" s="303"/>
      <c r="V888" s="303"/>
    </row>
    <row r="889" ht="20.25" customHeight="1">
      <c r="E889" s="355"/>
      <c r="F889" s="355"/>
      <c r="I889" s="328"/>
      <c r="K889" s="421"/>
      <c r="L889" s="303"/>
      <c r="M889" s="303"/>
      <c r="N889" s="303"/>
      <c r="O889" s="303"/>
      <c r="P889" s="303"/>
      <c r="Q889" s="303"/>
      <c r="R889" s="303"/>
      <c r="S889" s="303"/>
      <c r="T889" s="303"/>
      <c r="U889" s="303"/>
      <c r="V889" s="303"/>
    </row>
    <row r="890" ht="20.25" customHeight="1">
      <c r="E890" s="355"/>
      <c r="F890" s="355"/>
      <c r="I890" s="328"/>
      <c r="K890" s="421"/>
      <c r="L890" s="303"/>
      <c r="M890" s="303"/>
      <c r="N890" s="303"/>
      <c r="O890" s="303"/>
      <c r="P890" s="303"/>
      <c r="Q890" s="303"/>
      <c r="R890" s="303"/>
      <c r="S890" s="303"/>
      <c r="T890" s="303"/>
      <c r="U890" s="303"/>
      <c r="V890" s="303"/>
    </row>
    <row r="891" ht="20.25" customHeight="1">
      <c r="E891" s="355"/>
      <c r="F891" s="355"/>
      <c r="I891" s="328"/>
      <c r="K891" s="421"/>
      <c r="L891" s="303"/>
      <c r="M891" s="303"/>
      <c r="N891" s="303"/>
      <c r="O891" s="303"/>
      <c r="P891" s="303"/>
      <c r="Q891" s="303"/>
      <c r="R891" s="303"/>
      <c r="S891" s="303"/>
      <c r="T891" s="303"/>
      <c r="U891" s="303"/>
      <c r="V891" s="303"/>
    </row>
    <row r="892" ht="20.25" customHeight="1">
      <c r="E892" s="355"/>
      <c r="F892" s="355"/>
      <c r="I892" s="328"/>
      <c r="K892" s="421"/>
      <c r="L892" s="303"/>
      <c r="M892" s="303"/>
      <c r="N892" s="303"/>
      <c r="O892" s="303"/>
      <c r="P892" s="303"/>
      <c r="Q892" s="303"/>
      <c r="R892" s="303"/>
      <c r="S892" s="303"/>
      <c r="T892" s="303"/>
      <c r="U892" s="303"/>
      <c r="V892" s="303"/>
    </row>
    <row r="893" ht="20.25" customHeight="1">
      <c r="E893" s="355"/>
      <c r="F893" s="355"/>
      <c r="I893" s="328"/>
      <c r="K893" s="421"/>
      <c r="L893" s="303"/>
      <c r="M893" s="303"/>
      <c r="N893" s="303"/>
      <c r="O893" s="303"/>
      <c r="P893" s="303"/>
      <c r="Q893" s="303"/>
      <c r="R893" s="303"/>
      <c r="S893" s="303"/>
      <c r="T893" s="303"/>
      <c r="U893" s="303"/>
      <c r="V893" s="303"/>
    </row>
    <row r="894" ht="20.25" customHeight="1">
      <c r="E894" s="355"/>
      <c r="F894" s="355"/>
      <c r="I894" s="328"/>
      <c r="K894" s="421"/>
      <c r="L894" s="303"/>
      <c r="M894" s="303"/>
      <c r="N894" s="303"/>
      <c r="O894" s="303"/>
      <c r="P894" s="303"/>
      <c r="Q894" s="303"/>
      <c r="R894" s="303"/>
      <c r="S894" s="303"/>
      <c r="T894" s="303"/>
      <c r="U894" s="303"/>
      <c r="V894" s="303"/>
    </row>
    <row r="895" ht="20.25" customHeight="1">
      <c r="E895" s="355"/>
      <c r="F895" s="355"/>
      <c r="I895" s="328"/>
      <c r="K895" s="421"/>
      <c r="L895" s="303"/>
      <c r="M895" s="303"/>
      <c r="N895" s="303"/>
      <c r="O895" s="303"/>
      <c r="P895" s="303"/>
      <c r="Q895" s="303"/>
      <c r="R895" s="303"/>
      <c r="S895" s="303"/>
      <c r="T895" s="303"/>
      <c r="U895" s="303"/>
      <c r="V895" s="303"/>
    </row>
    <row r="896" ht="20.25" customHeight="1">
      <c r="E896" s="355"/>
      <c r="F896" s="355"/>
      <c r="I896" s="328"/>
      <c r="K896" s="421"/>
      <c r="L896" s="303"/>
      <c r="M896" s="303"/>
      <c r="N896" s="303"/>
      <c r="O896" s="303"/>
      <c r="P896" s="303"/>
      <c r="Q896" s="303"/>
      <c r="R896" s="303"/>
      <c r="S896" s="303"/>
      <c r="T896" s="303"/>
      <c r="U896" s="303"/>
      <c r="V896" s="303"/>
    </row>
    <row r="897" ht="20.25" customHeight="1">
      <c r="E897" s="355"/>
      <c r="F897" s="355"/>
      <c r="I897" s="328"/>
      <c r="K897" s="421"/>
      <c r="L897" s="303"/>
      <c r="M897" s="303"/>
      <c r="N897" s="303"/>
      <c r="O897" s="303"/>
      <c r="P897" s="303"/>
      <c r="Q897" s="303"/>
      <c r="R897" s="303"/>
      <c r="S897" s="303"/>
      <c r="T897" s="303"/>
      <c r="U897" s="303"/>
      <c r="V897" s="303"/>
    </row>
    <row r="898" ht="20.25" customHeight="1">
      <c r="E898" s="355"/>
      <c r="F898" s="355"/>
      <c r="I898" s="328"/>
      <c r="K898" s="421"/>
      <c r="L898" s="303"/>
      <c r="M898" s="303"/>
      <c r="N898" s="303"/>
      <c r="O898" s="303"/>
      <c r="P898" s="303"/>
      <c r="Q898" s="303"/>
      <c r="R898" s="303"/>
      <c r="S898" s="303"/>
      <c r="T898" s="303"/>
      <c r="U898" s="303"/>
      <c r="V898" s="303"/>
    </row>
    <row r="899" ht="20.25" customHeight="1">
      <c r="E899" s="355"/>
      <c r="F899" s="355"/>
      <c r="I899" s="328"/>
      <c r="K899" s="421"/>
      <c r="L899" s="303"/>
      <c r="M899" s="303"/>
      <c r="N899" s="303"/>
      <c r="O899" s="303"/>
      <c r="P899" s="303"/>
      <c r="Q899" s="303"/>
      <c r="R899" s="303"/>
      <c r="S899" s="303"/>
      <c r="T899" s="303"/>
      <c r="U899" s="303"/>
      <c r="V899" s="303"/>
    </row>
    <row r="900" ht="20.25" customHeight="1">
      <c r="E900" s="355"/>
      <c r="F900" s="355"/>
      <c r="I900" s="328"/>
      <c r="K900" s="421"/>
      <c r="L900" s="303"/>
      <c r="M900" s="303"/>
      <c r="N900" s="303"/>
      <c r="O900" s="303"/>
      <c r="P900" s="303"/>
      <c r="Q900" s="303"/>
      <c r="R900" s="303"/>
      <c r="S900" s="303"/>
      <c r="T900" s="303"/>
      <c r="U900" s="303"/>
      <c r="V900" s="303"/>
    </row>
    <row r="901" ht="20.25" customHeight="1">
      <c r="E901" s="355"/>
      <c r="F901" s="355"/>
      <c r="I901" s="328"/>
      <c r="K901" s="421"/>
      <c r="L901" s="303"/>
      <c r="M901" s="303"/>
      <c r="N901" s="303"/>
      <c r="O901" s="303"/>
      <c r="P901" s="303"/>
      <c r="Q901" s="303"/>
      <c r="R901" s="303"/>
      <c r="S901" s="303"/>
      <c r="T901" s="303"/>
      <c r="U901" s="303"/>
      <c r="V901" s="303"/>
    </row>
    <row r="902" ht="20.25" customHeight="1">
      <c r="E902" s="355"/>
      <c r="F902" s="355"/>
      <c r="I902" s="328"/>
      <c r="K902" s="421"/>
      <c r="L902" s="303"/>
      <c r="M902" s="303"/>
      <c r="N902" s="303"/>
      <c r="O902" s="303"/>
      <c r="P902" s="303"/>
      <c r="Q902" s="303"/>
      <c r="R902" s="303"/>
      <c r="S902" s="303"/>
      <c r="T902" s="303"/>
      <c r="U902" s="303"/>
      <c r="V902" s="303"/>
    </row>
    <row r="903" ht="20.25" customHeight="1">
      <c r="E903" s="355"/>
      <c r="F903" s="355"/>
      <c r="I903" s="328"/>
      <c r="K903" s="421"/>
      <c r="L903" s="303"/>
      <c r="M903" s="303"/>
      <c r="N903" s="303"/>
      <c r="O903" s="303"/>
      <c r="P903" s="303"/>
      <c r="Q903" s="303"/>
      <c r="R903" s="303"/>
      <c r="S903" s="303"/>
      <c r="T903" s="303"/>
      <c r="U903" s="303"/>
      <c r="V903" s="303"/>
    </row>
    <row r="904" ht="20.25" customHeight="1">
      <c r="E904" s="355"/>
      <c r="F904" s="355"/>
      <c r="I904" s="328"/>
      <c r="K904" s="421"/>
      <c r="L904" s="303"/>
      <c r="M904" s="303"/>
      <c r="N904" s="303"/>
      <c r="O904" s="303"/>
      <c r="P904" s="303"/>
      <c r="Q904" s="303"/>
      <c r="R904" s="303"/>
      <c r="S904" s="303"/>
      <c r="T904" s="303"/>
      <c r="U904" s="303"/>
      <c r="V904" s="303"/>
    </row>
    <row r="905" ht="20.25" customHeight="1">
      <c r="E905" s="355"/>
      <c r="F905" s="355"/>
      <c r="I905" s="328"/>
      <c r="K905" s="421"/>
      <c r="L905" s="303"/>
      <c r="M905" s="303"/>
      <c r="N905" s="303"/>
      <c r="O905" s="303"/>
      <c r="P905" s="303"/>
      <c r="Q905" s="303"/>
      <c r="R905" s="303"/>
      <c r="S905" s="303"/>
      <c r="T905" s="303"/>
      <c r="U905" s="303"/>
      <c r="V905" s="303"/>
    </row>
    <row r="906" ht="20.25" customHeight="1">
      <c r="E906" s="355"/>
      <c r="F906" s="355"/>
      <c r="I906" s="328"/>
      <c r="K906" s="421"/>
      <c r="L906" s="303"/>
      <c r="M906" s="303"/>
      <c r="N906" s="303"/>
      <c r="O906" s="303"/>
      <c r="P906" s="303"/>
      <c r="Q906" s="303"/>
      <c r="R906" s="303"/>
      <c r="S906" s="303"/>
      <c r="T906" s="303"/>
      <c r="U906" s="303"/>
      <c r="V906" s="303"/>
    </row>
    <row r="907" ht="20.25" customHeight="1">
      <c r="E907" s="355"/>
      <c r="F907" s="355"/>
      <c r="I907" s="328"/>
      <c r="K907" s="421"/>
      <c r="L907" s="303"/>
      <c r="M907" s="303"/>
      <c r="N907" s="303"/>
      <c r="O907" s="303"/>
      <c r="P907" s="303"/>
      <c r="Q907" s="303"/>
      <c r="R907" s="303"/>
      <c r="S907" s="303"/>
      <c r="T907" s="303"/>
      <c r="U907" s="303"/>
      <c r="V907" s="303"/>
    </row>
    <row r="908" ht="20.25" customHeight="1">
      <c r="E908" s="355"/>
      <c r="F908" s="355"/>
      <c r="I908" s="328"/>
      <c r="K908" s="421"/>
      <c r="L908" s="303"/>
      <c r="M908" s="303"/>
      <c r="N908" s="303"/>
      <c r="O908" s="303"/>
      <c r="P908" s="303"/>
      <c r="Q908" s="303"/>
      <c r="R908" s="303"/>
      <c r="S908" s="303"/>
      <c r="T908" s="303"/>
      <c r="U908" s="303"/>
      <c r="V908" s="303"/>
    </row>
    <row r="909" ht="20.25" customHeight="1">
      <c r="E909" s="355"/>
      <c r="F909" s="355"/>
      <c r="I909" s="328"/>
      <c r="K909" s="421"/>
      <c r="L909" s="303"/>
      <c r="M909" s="303"/>
      <c r="N909" s="303"/>
      <c r="O909" s="303"/>
      <c r="P909" s="303"/>
      <c r="Q909" s="303"/>
      <c r="R909" s="303"/>
      <c r="S909" s="303"/>
      <c r="T909" s="303"/>
      <c r="U909" s="303"/>
      <c r="V909" s="303"/>
    </row>
    <row r="910" ht="20.25" customHeight="1">
      <c r="E910" s="355"/>
      <c r="F910" s="355"/>
      <c r="I910" s="328"/>
      <c r="K910" s="421"/>
      <c r="L910" s="303"/>
      <c r="M910" s="303"/>
      <c r="N910" s="303"/>
      <c r="O910" s="303"/>
      <c r="P910" s="303"/>
      <c r="Q910" s="303"/>
      <c r="R910" s="303"/>
      <c r="S910" s="303"/>
      <c r="T910" s="303"/>
      <c r="U910" s="303"/>
      <c r="V910" s="303"/>
    </row>
    <row r="911" ht="20.25" customHeight="1">
      <c r="E911" s="355"/>
      <c r="F911" s="355"/>
      <c r="I911" s="328"/>
      <c r="K911" s="421"/>
      <c r="L911" s="303"/>
      <c r="M911" s="303"/>
      <c r="N911" s="303"/>
      <c r="O911" s="303"/>
      <c r="P911" s="303"/>
      <c r="Q911" s="303"/>
      <c r="R911" s="303"/>
      <c r="S911" s="303"/>
      <c r="T911" s="303"/>
      <c r="U911" s="303"/>
      <c r="V911" s="303"/>
    </row>
    <row r="912" ht="20.25" customHeight="1">
      <c r="E912" s="355"/>
      <c r="F912" s="355"/>
      <c r="I912" s="328"/>
      <c r="K912" s="421"/>
      <c r="L912" s="303"/>
      <c r="M912" s="303"/>
      <c r="N912" s="303"/>
      <c r="O912" s="303"/>
      <c r="P912" s="303"/>
      <c r="Q912" s="303"/>
      <c r="R912" s="303"/>
      <c r="S912" s="303"/>
      <c r="T912" s="303"/>
      <c r="U912" s="303"/>
      <c r="V912" s="303"/>
    </row>
    <row r="913" ht="20.25" customHeight="1">
      <c r="E913" s="355"/>
      <c r="F913" s="355"/>
      <c r="I913" s="328"/>
      <c r="K913" s="421"/>
      <c r="L913" s="303"/>
      <c r="M913" s="303"/>
      <c r="N913" s="303"/>
      <c r="O913" s="303"/>
      <c r="P913" s="303"/>
      <c r="Q913" s="303"/>
      <c r="R913" s="303"/>
      <c r="S913" s="303"/>
      <c r="T913" s="303"/>
      <c r="U913" s="303"/>
      <c r="V913" s="303"/>
    </row>
    <row r="914" ht="20.25" customHeight="1">
      <c r="E914" s="355"/>
      <c r="F914" s="355"/>
      <c r="I914" s="328"/>
      <c r="K914" s="421"/>
      <c r="L914" s="303"/>
      <c r="M914" s="303"/>
      <c r="N914" s="303"/>
      <c r="O914" s="303"/>
      <c r="P914" s="303"/>
      <c r="Q914" s="303"/>
      <c r="R914" s="303"/>
      <c r="S914" s="303"/>
      <c r="T914" s="303"/>
      <c r="U914" s="303"/>
      <c r="V914" s="303"/>
    </row>
    <row r="915" ht="20.25" customHeight="1">
      <c r="E915" s="355"/>
      <c r="F915" s="355"/>
      <c r="I915" s="328"/>
      <c r="K915" s="421"/>
      <c r="L915" s="303"/>
      <c r="M915" s="303"/>
      <c r="N915" s="303"/>
      <c r="O915" s="303"/>
      <c r="P915" s="303"/>
      <c r="Q915" s="303"/>
      <c r="R915" s="303"/>
      <c r="S915" s="303"/>
      <c r="T915" s="303"/>
      <c r="U915" s="303"/>
      <c r="V915" s="303"/>
    </row>
    <row r="916" ht="20.25" customHeight="1">
      <c r="E916" s="355"/>
      <c r="F916" s="355"/>
      <c r="I916" s="328"/>
      <c r="K916" s="421"/>
      <c r="L916" s="303"/>
      <c r="M916" s="303"/>
      <c r="N916" s="303"/>
      <c r="O916" s="303"/>
      <c r="P916" s="303"/>
      <c r="Q916" s="303"/>
      <c r="R916" s="303"/>
      <c r="S916" s="303"/>
      <c r="T916" s="303"/>
      <c r="U916" s="303"/>
      <c r="V916" s="303"/>
    </row>
    <row r="917" ht="20.25" customHeight="1">
      <c r="E917" s="355"/>
      <c r="F917" s="355"/>
      <c r="I917" s="328"/>
      <c r="K917" s="421"/>
      <c r="L917" s="303"/>
      <c r="M917" s="303"/>
      <c r="N917" s="303"/>
      <c r="O917" s="303"/>
      <c r="P917" s="303"/>
      <c r="Q917" s="303"/>
      <c r="R917" s="303"/>
      <c r="S917" s="303"/>
      <c r="T917" s="303"/>
      <c r="U917" s="303"/>
      <c r="V917" s="303"/>
    </row>
    <row r="918" ht="20.25" customHeight="1">
      <c r="E918" s="355"/>
      <c r="F918" s="355"/>
      <c r="I918" s="328"/>
      <c r="K918" s="421"/>
      <c r="L918" s="303"/>
      <c r="M918" s="303"/>
      <c r="N918" s="303"/>
      <c r="O918" s="303"/>
      <c r="P918" s="303"/>
      <c r="Q918" s="303"/>
      <c r="R918" s="303"/>
      <c r="S918" s="303"/>
      <c r="T918" s="303"/>
      <c r="U918" s="303"/>
      <c r="V918" s="303"/>
    </row>
    <row r="919" ht="20.25" customHeight="1">
      <c r="E919" s="355"/>
      <c r="F919" s="355"/>
      <c r="I919" s="328"/>
      <c r="K919" s="421"/>
      <c r="L919" s="303"/>
      <c r="M919" s="303"/>
      <c r="N919" s="303"/>
      <c r="O919" s="303"/>
      <c r="P919" s="303"/>
      <c r="Q919" s="303"/>
      <c r="R919" s="303"/>
      <c r="S919" s="303"/>
      <c r="T919" s="303"/>
      <c r="U919" s="303"/>
      <c r="V919" s="303"/>
    </row>
    <row r="920" ht="20.25" customHeight="1">
      <c r="E920" s="355"/>
      <c r="F920" s="355"/>
      <c r="I920" s="328"/>
      <c r="K920" s="421"/>
      <c r="L920" s="303"/>
      <c r="M920" s="303"/>
      <c r="N920" s="303"/>
      <c r="O920" s="303"/>
      <c r="P920" s="303"/>
      <c r="Q920" s="303"/>
      <c r="R920" s="303"/>
      <c r="S920" s="303"/>
      <c r="T920" s="303"/>
      <c r="U920" s="303"/>
      <c r="V920" s="303"/>
    </row>
    <row r="921" ht="20.25" customHeight="1">
      <c r="E921" s="355"/>
      <c r="F921" s="355"/>
      <c r="I921" s="328"/>
      <c r="K921" s="421"/>
      <c r="L921" s="303"/>
      <c r="M921" s="303"/>
      <c r="N921" s="303"/>
      <c r="O921" s="303"/>
      <c r="P921" s="303"/>
      <c r="Q921" s="303"/>
      <c r="R921" s="303"/>
      <c r="S921" s="303"/>
      <c r="T921" s="303"/>
      <c r="U921" s="303"/>
      <c r="V921" s="303"/>
    </row>
    <row r="922" ht="20.25" customHeight="1">
      <c r="E922" s="355"/>
      <c r="F922" s="355"/>
      <c r="I922" s="328"/>
      <c r="K922" s="421"/>
      <c r="L922" s="303"/>
      <c r="M922" s="303"/>
      <c r="N922" s="303"/>
      <c r="O922" s="303"/>
      <c r="P922" s="303"/>
      <c r="Q922" s="303"/>
      <c r="R922" s="303"/>
      <c r="S922" s="303"/>
      <c r="T922" s="303"/>
      <c r="U922" s="303"/>
      <c r="V922" s="303"/>
    </row>
    <row r="923" ht="20.25" customHeight="1">
      <c r="E923" s="355"/>
      <c r="F923" s="355"/>
      <c r="I923" s="328"/>
      <c r="K923" s="421"/>
      <c r="L923" s="303"/>
      <c r="M923" s="303"/>
      <c r="N923" s="303"/>
      <c r="O923" s="303"/>
      <c r="P923" s="303"/>
      <c r="Q923" s="303"/>
      <c r="R923" s="303"/>
      <c r="S923" s="303"/>
      <c r="T923" s="303"/>
      <c r="U923" s="303"/>
      <c r="V923" s="303"/>
    </row>
    <row r="924" ht="20.25" customHeight="1">
      <c r="E924" s="355"/>
      <c r="F924" s="355"/>
      <c r="I924" s="328"/>
      <c r="K924" s="421"/>
      <c r="L924" s="303"/>
      <c r="M924" s="303"/>
      <c r="N924" s="303"/>
      <c r="O924" s="303"/>
      <c r="P924" s="303"/>
      <c r="Q924" s="303"/>
      <c r="R924" s="303"/>
      <c r="S924" s="303"/>
      <c r="T924" s="303"/>
      <c r="U924" s="303"/>
      <c r="V924" s="303"/>
    </row>
    <row r="925" ht="20.25" customHeight="1">
      <c r="E925" s="355"/>
      <c r="F925" s="355"/>
      <c r="I925" s="328"/>
      <c r="K925" s="421"/>
      <c r="L925" s="303"/>
      <c r="M925" s="303"/>
      <c r="N925" s="303"/>
      <c r="O925" s="303"/>
      <c r="P925" s="303"/>
      <c r="Q925" s="303"/>
      <c r="R925" s="303"/>
      <c r="S925" s="303"/>
      <c r="T925" s="303"/>
      <c r="U925" s="303"/>
      <c r="V925" s="303"/>
    </row>
    <row r="926" ht="20.25" customHeight="1">
      <c r="E926" s="355"/>
      <c r="F926" s="355"/>
      <c r="I926" s="328"/>
      <c r="K926" s="421"/>
      <c r="L926" s="303"/>
      <c r="M926" s="303"/>
      <c r="N926" s="303"/>
      <c r="O926" s="303"/>
      <c r="P926" s="303"/>
      <c r="Q926" s="303"/>
      <c r="R926" s="303"/>
      <c r="S926" s="303"/>
      <c r="T926" s="303"/>
      <c r="U926" s="303"/>
      <c r="V926" s="303"/>
    </row>
    <row r="927" ht="20.25" customHeight="1">
      <c r="E927" s="355"/>
      <c r="F927" s="355"/>
      <c r="I927" s="328"/>
      <c r="K927" s="421"/>
      <c r="L927" s="303"/>
      <c r="M927" s="303"/>
      <c r="N927" s="303"/>
      <c r="O927" s="303"/>
      <c r="P927" s="303"/>
      <c r="Q927" s="303"/>
      <c r="R927" s="303"/>
      <c r="S927" s="303"/>
      <c r="T927" s="303"/>
      <c r="U927" s="303"/>
      <c r="V927" s="303"/>
    </row>
    <row r="928" ht="20.25" customHeight="1">
      <c r="E928" s="355"/>
      <c r="F928" s="355"/>
      <c r="I928" s="328"/>
      <c r="K928" s="421"/>
      <c r="L928" s="303"/>
      <c r="M928" s="303"/>
      <c r="N928" s="303"/>
      <c r="O928" s="303"/>
      <c r="P928" s="303"/>
      <c r="Q928" s="303"/>
      <c r="R928" s="303"/>
      <c r="S928" s="303"/>
      <c r="T928" s="303"/>
      <c r="U928" s="303"/>
      <c r="V928" s="303"/>
    </row>
    <row r="929" ht="20.25" customHeight="1">
      <c r="E929" s="355"/>
      <c r="F929" s="355"/>
      <c r="I929" s="328"/>
      <c r="K929" s="421"/>
      <c r="L929" s="303"/>
      <c r="M929" s="303"/>
      <c r="N929" s="303"/>
      <c r="O929" s="303"/>
      <c r="P929" s="303"/>
      <c r="Q929" s="303"/>
      <c r="R929" s="303"/>
      <c r="S929" s="303"/>
      <c r="T929" s="303"/>
      <c r="U929" s="303"/>
      <c r="V929" s="303"/>
    </row>
    <row r="930" ht="20.25" customHeight="1">
      <c r="E930" s="355"/>
      <c r="F930" s="355"/>
      <c r="I930" s="328"/>
      <c r="K930" s="421"/>
      <c r="L930" s="303"/>
      <c r="M930" s="303"/>
      <c r="N930" s="303"/>
      <c r="O930" s="303"/>
      <c r="P930" s="303"/>
      <c r="Q930" s="303"/>
      <c r="R930" s="303"/>
      <c r="S930" s="303"/>
      <c r="T930" s="303"/>
      <c r="U930" s="303"/>
      <c r="V930" s="303"/>
    </row>
    <row r="931" ht="20.25" customHeight="1">
      <c r="E931" s="355"/>
      <c r="F931" s="355"/>
      <c r="I931" s="328"/>
      <c r="K931" s="421"/>
      <c r="L931" s="303"/>
      <c r="M931" s="303"/>
      <c r="N931" s="303"/>
      <c r="O931" s="303"/>
      <c r="P931" s="303"/>
      <c r="Q931" s="303"/>
      <c r="R931" s="303"/>
      <c r="S931" s="303"/>
      <c r="T931" s="303"/>
      <c r="U931" s="303"/>
      <c r="V931" s="303"/>
    </row>
    <row r="932" ht="20.25" customHeight="1">
      <c r="E932" s="355"/>
      <c r="F932" s="355"/>
      <c r="I932" s="328"/>
      <c r="K932" s="421"/>
      <c r="L932" s="303"/>
      <c r="M932" s="303"/>
      <c r="N932" s="303"/>
      <c r="O932" s="303"/>
      <c r="P932" s="303"/>
      <c r="Q932" s="303"/>
      <c r="R932" s="303"/>
      <c r="S932" s="303"/>
      <c r="T932" s="303"/>
      <c r="U932" s="303"/>
      <c r="V932" s="303"/>
    </row>
    <row r="933" ht="20.25" customHeight="1">
      <c r="E933" s="355"/>
      <c r="F933" s="355"/>
      <c r="I933" s="328"/>
      <c r="K933" s="421"/>
      <c r="L933" s="303"/>
      <c r="M933" s="303"/>
      <c r="N933" s="303"/>
      <c r="O933" s="303"/>
      <c r="P933" s="303"/>
      <c r="Q933" s="303"/>
      <c r="R933" s="303"/>
      <c r="S933" s="303"/>
      <c r="T933" s="303"/>
      <c r="U933" s="303"/>
      <c r="V933" s="303"/>
    </row>
    <row r="934" ht="20.25" customHeight="1">
      <c r="E934" s="355"/>
      <c r="F934" s="355"/>
      <c r="I934" s="328"/>
      <c r="K934" s="421"/>
      <c r="L934" s="303"/>
      <c r="M934" s="303"/>
      <c r="N934" s="303"/>
      <c r="O934" s="303"/>
      <c r="P934" s="303"/>
      <c r="Q934" s="303"/>
      <c r="R934" s="303"/>
      <c r="S934" s="303"/>
      <c r="T934" s="303"/>
      <c r="U934" s="303"/>
      <c r="V934" s="303"/>
    </row>
    <row r="935" ht="20.25" customHeight="1">
      <c r="E935" s="355"/>
      <c r="F935" s="355"/>
      <c r="I935" s="328"/>
      <c r="K935" s="421"/>
      <c r="L935" s="303"/>
      <c r="M935" s="303"/>
      <c r="N935" s="303"/>
      <c r="O935" s="303"/>
      <c r="P935" s="303"/>
      <c r="Q935" s="303"/>
      <c r="R935" s="303"/>
      <c r="S935" s="303"/>
      <c r="T935" s="303"/>
      <c r="U935" s="303"/>
      <c r="V935" s="303"/>
    </row>
    <row r="936" ht="20.25" customHeight="1">
      <c r="E936" s="355"/>
      <c r="F936" s="355"/>
      <c r="I936" s="328"/>
      <c r="K936" s="421"/>
      <c r="L936" s="303"/>
      <c r="M936" s="303"/>
      <c r="N936" s="303"/>
      <c r="O936" s="303"/>
      <c r="P936" s="303"/>
      <c r="Q936" s="303"/>
      <c r="R936" s="303"/>
      <c r="S936" s="303"/>
      <c r="T936" s="303"/>
      <c r="U936" s="303"/>
      <c r="V936" s="303"/>
    </row>
    <row r="937" ht="20.25" customHeight="1">
      <c r="E937" s="355"/>
      <c r="F937" s="355"/>
      <c r="I937" s="328"/>
      <c r="K937" s="421"/>
      <c r="L937" s="303"/>
      <c r="M937" s="303"/>
      <c r="N937" s="303"/>
      <c r="O937" s="303"/>
      <c r="P937" s="303"/>
      <c r="Q937" s="303"/>
      <c r="R937" s="303"/>
      <c r="S937" s="303"/>
      <c r="T937" s="303"/>
      <c r="U937" s="303"/>
      <c r="V937" s="303"/>
    </row>
    <row r="938" ht="20.25" customHeight="1">
      <c r="E938" s="355"/>
      <c r="F938" s="355"/>
      <c r="I938" s="328"/>
      <c r="K938" s="421"/>
      <c r="L938" s="303"/>
      <c r="M938" s="303"/>
      <c r="N938" s="303"/>
      <c r="O938" s="303"/>
      <c r="P938" s="303"/>
      <c r="Q938" s="303"/>
      <c r="R938" s="303"/>
      <c r="S938" s="303"/>
      <c r="T938" s="303"/>
      <c r="U938" s="303"/>
      <c r="V938" s="303"/>
    </row>
    <row r="939" ht="20.25" customHeight="1">
      <c r="E939" s="355"/>
      <c r="F939" s="355"/>
      <c r="I939" s="328"/>
      <c r="K939" s="421"/>
      <c r="L939" s="303"/>
      <c r="M939" s="303"/>
      <c r="N939" s="303"/>
      <c r="O939" s="303"/>
      <c r="P939" s="303"/>
      <c r="Q939" s="303"/>
      <c r="R939" s="303"/>
      <c r="S939" s="303"/>
      <c r="T939" s="303"/>
      <c r="U939" s="303"/>
      <c r="V939" s="303"/>
    </row>
    <row r="940" ht="20.25" customHeight="1">
      <c r="E940" s="355"/>
      <c r="F940" s="355"/>
      <c r="I940" s="328"/>
      <c r="K940" s="421"/>
      <c r="L940" s="303"/>
      <c r="M940" s="303"/>
      <c r="N940" s="303"/>
      <c r="O940" s="303"/>
      <c r="P940" s="303"/>
      <c r="Q940" s="303"/>
      <c r="R940" s="303"/>
      <c r="S940" s="303"/>
      <c r="T940" s="303"/>
      <c r="U940" s="303"/>
      <c r="V940" s="303"/>
    </row>
    <row r="941" ht="20.25" customHeight="1">
      <c r="E941" s="355"/>
      <c r="F941" s="355"/>
      <c r="I941" s="328"/>
      <c r="K941" s="421"/>
      <c r="L941" s="303"/>
      <c r="M941" s="303"/>
      <c r="N941" s="303"/>
      <c r="O941" s="303"/>
      <c r="P941" s="303"/>
      <c r="Q941" s="303"/>
      <c r="R941" s="303"/>
      <c r="S941" s="303"/>
      <c r="T941" s="303"/>
      <c r="U941" s="303"/>
      <c r="V941" s="303"/>
    </row>
    <row r="942" ht="20.25" customHeight="1">
      <c r="E942" s="355"/>
      <c r="F942" s="355"/>
      <c r="I942" s="328"/>
      <c r="K942" s="421"/>
      <c r="L942" s="303"/>
      <c r="M942" s="303"/>
      <c r="N942" s="303"/>
      <c r="O942" s="303"/>
      <c r="P942" s="303"/>
      <c r="Q942" s="303"/>
      <c r="R942" s="303"/>
      <c r="S942" s="303"/>
      <c r="T942" s="303"/>
      <c r="U942" s="303"/>
      <c r="V942" s="303"/>
    </row>
    <row r="943" ht="20.25" customHeight="1">
      <c r="E943" s="355"/>
      <c r="F943" s="355"/>
      <c r="I943" s="328"/>
      <c r="K943" s="421"/>
      <c r="L943" s="303"/>
      <c r="M943" s="303"/>
      <c r="N943" s="303"/>
      <c r="O943" s="303"/>
      <c r="P943" s="303"/>
      <c r="Q943" s="303"/>
      <c r="R943" s="303"/>
      <c r="S943" s="303"/>
      <c r="T943" s="303"/>
      <c r="U943" s="303"/>
      <c r="V943" s="303"/>
    </row>
    <row r="944" ht="20.25" customHeight="1">
      <c r="E944" s="355"/>
      <c r="F944" s="355"/>
      <c r="I944" s="328"/>
      <c r="K944" s="421"/>
      <c r="L944" s="303"/>
      <c r="M944" s="303"/>
      <c r="N944" s="303"/>
      <c r="O944" s="303"/>
      <c r="P944" s="303"/>
      <c r="Q944" s="303"/>
      <c r="R944" s="303"/>
      <c r="S944" s="303"/>
      <c r="T944" s="303"/>
      <c r="U944" s="303"/>
      <c r="V944" s="303"/>
    </row>
    <row r="945" ht="20.25" customHeight="1">
      <c r="E945" s="355"/>
      <c r="F945" s="355"/>
      <c r="I945" s="328"/>
      <c r="K945" s="421"/>
      <c r="L945" s="303"/>
      <c r="M945" s="303"/>
      <c r="N945" s="303"/>
      <c r="O945" s="303"/>
      <c r="P945" s="303"/>
      <c r="Q945" s="303"/>
      <c r="R945" s="303"/>
      <c r="S945" s="303"/>
      <c r="T945" s="303"/>
      <c r="U945" s="303"/>
      <c r="V945" s="303"/>
    </row>
    <row r="946" ht="20.25" customHeight="1">
      <c r="E946" s="355"/>
      <c r="F946" s="355"/>
      <c r="I946" s="328"/>
      <c r="K946" s="421"/>
      <c r="L946" s="303"/>
      <c r="M946" s="303"/>
      <c r="N946" s="303"/>
      <c r="O946" s="303"/>
      <c r="P946" s="303"/>
      <c r="Q946" s="303"/>
      <c r="R946" s="303"/>
      <c r="S946" s="303"/>
      <c r="T946" s="303"/>
      <c r="U946" s="303"/>
      <c r="V946" s="303"/>
    </row>
    <row r="947" ht="20.25" customHeight="1">
      <c r="E947" s="355"/>
      <c r="F947" s="355"/>
      <c r="I947" s="328"/>
      <c r="K947" s="421"/>
      <c r="L947" s="303"/>
      <c r="M947" s="303"/>
      <c r="N947" s="303"/>
      <c r="O947" s="303"/>
      <c r="P947" s="303"/>
      <c r="Q947" s="303"/>
      <c r="R947" s="303"/>
      <c r="S947" s="303"/>
      <c r="T947" s="303"/>
      <c r="U947" s="303"/>
      <c r="V947" s="303"/>
    </row>
    <row r="948" ht="20.25" customHeight="1">
      <c r="E948" s="355"/>
      <c r="F948" s="355"/>
      <c r="I948" s="328"/>
      <c r="K948" s="421"/>
      <c r="L948" s="303"/>
      <c r="M948" s="303"/>
      <c r="N948" s="303"/>
      <c r="O948" s="303"/>
      <c r="P948" s="303"/>
      <c r="Q948" s="303"/>
      <c r="R948" s="303"/>
      <c r="S948" s="303"/>
      <c r="T948" s="303"/>
      <c r="U948" s="303"/>
      <c r="V948" s="303"/>
    </row>
    <row r="949" ht="20.25" customHeight="1">
      <c r="E949" s="355"/>
      <c r="F949" s="355"/>
      <c r="I949" s="328"/>
      <c r="K949" s="421"/>
      <c r="L949" s="303"/>
      <c r="M949" s="303"/>
      <c r="N949" s="303"/>
      <c r="O949" s="303"/>
      <c r="P949" s="303"/>
      <c r="Q949" s="303"/>
      <c r="R949" s="303"/>
      <c r="S949" s="303"/>
      <c r="T949" s="303"/>
      <c r="U949" s="303"/>
      <c r="V949" s="303"/>
    </row>
    <row r="950" ht="20.25" customHeight="1">
      <c r="E950" s="355"/>
      <c r="F950" s="355"/>
      <c r="I950" s="328"/>
      <c r="K950" s="421"/>
      <c r="L950" s="303"/>
      <c r="M950" s="303"/>
      <c r="N950" s="303"/>
      <c r="O950" s="303"/>
      <c r="P950" s="303"/>
      <c r="Q950" s="303"/>
      <c r="R950" s="303"/>
      <c r="S950" s="303"/>
      <c r="T950" s="303"/>
      <c r="U950" s="303"/>
      <c r="V950" s="303"/>
    </row>
    <row r="951" ht="20.25" customHeight="1">
      <c r="E951" s="355"/>
      <c r="F951" s="355"/>
      <c r="I951" s="328"/>
      <c r="K951" s="421"/>
      <c r="L951" s="303"/>
      <c r="M951" s="303"/>
      <c r="N951" s="303"/>
      <c r="O951" s="303"/>
      <c r="P951" s="303"/>
      <c r="Q951" s="303"/>
      <c r="R951" s="303"/>
      <c r="S951" s="303"/>
      <c r="T951" s="303"/>
      <c r="U951" s="303"/>
      <c r="V951" s="303"/>
    </row>
    <row r="952" ht="20.25" customHeight="1">
      <c r="E952" s="355"/>
      <c r="F952" s="355"/>
      <c r="I952" s="328"/>
      <c r="K952" s="421"/>
      <c r="L952" s="303"/>
      <c r="M952" s="303"/>
      <c r="N952" s="303"/>
      <c r="O952" s="303"/>
      <c r="P952" s="303"/>
      <c r="Q952" s="303"/>
      <c r="R952" s="303"/>
      <c r="S952" s="303"/>
      <c r="T952" s="303"/>
      <c r="U952" s="303"/>
      <c r="V952" s="303"/>
    </row>
    <row r="953" ht="20.25" customHeight="1">
      <c r="E953" s="355"/>
      <c r="F953" s="355"/>
      <c r="I953" s="328"/>
      <c r="K953" s="421"/>
      <c r="L953" s="303"/>
      <c r="M953" s="303"/>
      <c r="N953" s="303"/>
      <c r="O953" s="303"/>
      <c r="P953" s="303"/>
      <c r="Q953" s="303"/>
      <c r="R953" s="303"/>
      <c r="S953" s="303"/>
      <c r="T953" s="303"/>
      <c r="U953" s="303"/>
      <c r="V953" s="303"/>
    </row>
    <row r="954" ht="20.25" customHeight="1">
      <c r="E954" s="355"/>
      <c r="F954" s="355"/>
      <c r="I954" s="328"/>
      <c r="K954" s="421"/>
      <c r="L954" s="303"/>
      <c r="M954" s="303"/>
      <c r="N954" s="303"/>
      <c r="O954" s="303"/>
      <c r="P954" s="303"/>
      <c r="Q954" s="303"/>
      <c r="R954" s="303"/>
      <c r="S954" s="303"/>
      <c r="T954" s="303"/>
      <c r="U954" s="303"/>
      <c r="V954" s="303"/>
    </row>
    <row r="955" ht="20.25" customHeight="1">
      <c r="E955" s="355"/>
      <c r="F955" s="355"/>
      <c r="I955" s="328"/>
      <c r="K955" s="421"/>
      <c r="L955" s="303"/>
      <c r="M955" s="303"/>
      <c r="N955" s="303"/>
      <c r="O955" s="303"/>
      <c r="P955" s="303"/>
      <c r="Q955" s="303"/>
      <c r="R955" s="303"/>
      <c r="S955" s="303"/>
      <c r="T955" s="303"/>
      <c r="U955" s="303"/>
      <c r="V955" s="303"/>
    </row>
    <row r="956" ht="20.25" customHeight="1">
      <c r="E956" s="355"/>
      <c r="F956" s="355"/>
      <c r="I956" s="328"/>
      <c r="K956" s="421"/>
      <c r="L956" s="303"/>
      <c r="M956" s="303"/>
      <c r="N956" s="303"/>
      <c r="O956" s="303"/>
      <c r="P956" s="303"/>
      <c r="Q956" s="303"/>
      <c r="R956" s="303"/>
      <c r="S956" s="303"/>
      <c r="T956" s="303"/>
      <c r="U956" s="303"/>
      <c r="V956" s="303"/>
    </row>
    <row r="957" ht="20.25" customHeight="1">
      <c r="E957" s="355"/>
      <c r="F957" s="355"/>
      <c r="I957" s="328"/>
      <c r="K957" s="421"/>
      <c r="L957" s="303"/>
      <c r="M957" s="303"/>
      <c r="N957" s="303"/>
      <c r="O957" s="303"/>
      <c r="P957" s="303"/>
      <c r="Q957" s="303"/>
      <c r="R957" s="303"/>
      <c r="S957" s="303"/>
      <c r="T957" s="303"/>
      <c r="U957" s="303"/>
      <c r="V957" s="303"/>
    </row>
    <row r="958" ht="20.25" customHeight="1">
      <c r="E958" s="355"/>
      <c r="F958" s="355"/>
      <c r="I958" s="328"/>
      <c r="K958" s="421"/>
      <c r="L958" s="303"/>
      <c r="M958" s="303"/>
      <c r="N958" s="303"/>
      <c r="O958" s="303"/>
      <c r="P958" s="303"/>
      <c r="Q958" s="303"/>
      <c r="R958" s="303"/>
      <c r="S958" s="303"/>
      <c r="T958" s="303"/>
      <c r="U958" s="303"/>
      <c r="V958" s="303"/>
    </row>
    <row r="959" ht="20.25" customHeight="1">
      <c r="E959" s="355"/>
      <c r="F959" s="355"/>
      <c r="I959" s="328"/>
      <c r="K959" s="421"/>
      <c r="L959" s="303"/>
      <c r="M959" s="303"/>
      <c r="N959" s="303"/>
      <c r="O959" s="303"/>
      <c r="P959" s="303"/>
      <c r="Q959" s="303"/>
      <c r="R959" s="303"/>
      <c r="S959" s="303"/>
      <c r="T959" s="303"/>
      <c r="U959" s="303"/>
      <c r="V959" s="303"/>
    </row>
    <row r="960" ht="20.25" customHeight="1">
      <c r="E960" s="355"/>
      <c r="F960" s="355"/>
      <c r="I960" s="328"/>
      <c r="K960" s="421"/>
      <c r="L960" s="303"/>
      <c r="M960" s="303"/>
      <c r="N960" s="303"/>
      <c r="O960" s="303"/>
      <c r="P960" s="303"/>
      <c r="Q960" s="303"/>
      <c r="R960" s="303"/>
      <c r="S960" s="303"/>
      <c r="T960" s="303"/>
      <c r="U960" s="303"/>
      <c r="V960" s="303"/>
    </row>
    <row r="961" ht="20.25" customHeight="1">
      <c r="E961" s="355"/>
      <c r="F961" s="355"/>
      <c r="I961" s="328"/>
      <c r="K961" s="421"/>
      <c r="L961" s="303"/>
      <c r="M961" s="303"/>
      <c r="N961" s="303"/>
      <c r="O961" s="303"/>
      <c r="P961" s="303"/>
      <c r="Q961" s="303"/>
      <c r="R961" s="303"/>
      <c r="S961" s="303"/>
      <c r="T961" s="303"/>
      <c r="U961" s="303"/>
      <c r="V961" s="303"/>
    </row>
    <row r="962" ht="20.25" customHeight="1">
      <c r="E962" s="355"/>
      <c r="F962" s="355"/>
      <c r="I962" s="328"/>
      <c r="K962" s="421"/>
      <c r="L962" s="303"/>
      <c r="M962" s="303"/>
      <c r="N962" s="303"/>
      <c r="O962" s="303"/>
      <c r="P962" s="303"/>
      <c r="Q962" s="303"/>
      <c r="R962" s="303"/>
      <c r="S962" s="303"/>
      <c r="T962" s="303"/>
      <c r="U962" s="303"/>
      <c r="V962" s="303"/>
    </row>
    <row r="963" ht="20.25" customHeight="1">
      <c r="E963" s="355"/>
      <c r="F963" s="355"/>
      <c r="I963" s="328"/>
      <c r="K963" s="421"/>
      <c r="L963" s="303"/>
      <c r="M963" s="303"/>
      <c r="N963" s="303"/>
      <c r="O963" s="303"/>
      <c r="P963" s="303"/>
      <c r="Q963" s="303"/>
      <c r="R963" s="303"/>
      <c r="S963" s="303"/>
      <c r="T963" s="303"/>
      <c r="U963" s="303"/>
      <c r="V963" s="303"/>
    </row>
    <row r="964" ht="20.25" customHeight="1">
      <c r="E964" s="355"/>
      <c r="F964" s="355"/>
      <c r="I964" s="328"/>
      <c r="K964" s="421"/>
      <c r="L964" s="303"/>
      <c r="M964" s="303"/>
      <c r="N964" s="303"/>
      <c r="O964" s="303"/>
      <c r="P964" s="303"/>
      <c r="Q964" s="303"/>
      <c r="R964" s="303"/>
      <c r="S964" s="303"/>
      <c r="T964" s="303"/>
      <c r="U964" s="303"/>
      <c r="V964" s="303"/>
    </row>
    <row r="965" ht="20.25" customHeight="1">
      <c r="E965" s="355"/>
      <c r="F965" s="355"/>
      <c r="I965" s="328"/>
      <c r="K965" s="421"/>
      <c r="L965" s="303"/>
      <c r="M965" s="303"/>
      <c r="N965" s="303"/>
      <c r="O965" s="303"/>
      <c r="P965" s="303"/>
      <c r="Q965" s="303"/>
      <c r="R965" s="303"/>
      <c r="S965" s="303"/>
      <c r="T965" s="303"/>
      <c r="U965" s="303"/>
      <c r="V965" s="303"/>
    </row>
    <row r="966" ht="20.25" customHeight="1">
      <c r="E966" s="355"/>
      <c r="F966" s="355"/>
      <c r="I966" s="328"/>
      <c r="K966" s="421"/>
      <c r="L966" s="303"/>
      <c r="M966" s="303"/>
      <c r="N966" s="303"/>
      <c r="O966" s="303"/>
      <c r="P966" s="303"/>
      <c r="Q966" s="303"/>
      <c r="R966" s="303"/>
      <c r="S966" s="303"/>
      <c r="T966" s="303"/>
      <c r="U966" s="303"/>
      <c r="V966" s="303"/>
    </row>
    <row r="967" ht="20.25" customHeight="1">
      <c r="E967" s="355"/>
      <c r="F967" s="355"/>
      <c r="I967" s="328"/>
      <c r="K967" s="421"/>
      <c r="L967" s="303"/>
      <c r="M967" s="303"/>
      <c r="N967" s="303"/>
      <c r="O967" s="303"/>
      <c r="P967" s="303"/>
      <c r="Q967" s="303"/>
      <c r="R967" s="303"/>
      <c r="S967" s="303"/>
      <c r="T967" s="303"/>
      <c r="U967" s="303"/>
      <c r="V967" s="303"/>
    </row>
    <row r="968" ht="20.25" customHeight="1">
      <c r="E968" s="355"/>
      <c r="F968" s="355"/>
      <c r="I968" s="328"/>
      <c r="K968" s="421"/>
      <c r="L968" s="303"/>
      <c r="M968" s="303"/>
      <c r="N968" s="303"/>
      <c r="O968" s="303"/>
      <c r="P968" s="303"/>
      <c r="Q968" s="303"/>
      <c r="R968" s="303"/>
      <c r="S968" s="303"/>
      <c r="T968" s="303"/>
      <c r="U968" s="303"/>
      <c r="V968" s="303"/>
    </row>
    <row r="969" ht="20.25" customHeight="1">
      <c r="E969" s="355"/>
      <c r="F969" s="355"/>
      <c r="I969" s="328"/>
      <c r="K969" s="421"/>
      <c r="L969" s="303"/>
      <c r="M969" s="303"/>
      <c r="N969" s="303"/>
      <c r="O969" s="303"/>
      <c r="P969" s="303"/>
      <c r="Q969" s="303"/>
      <c r="R969" s="303"/>
      <c r="S969" s="303"/>
      <c r="T969" s="303"/>
      <c r="U969" s="303"/>
      <c r="V969" s="303"/>
    </row>
    <row r="970" ht="20.25" customHeight="1">
      <c r="E970" s="355"/>
      <c r="F970" s="355"/>
      <c r="I970" s="328"/>
      <c r="K970" s="421"/>
      <c r="L970" s="303"/>
      <c r="M970" s="303"/>
      <c r="N970" s="303"/>
      <c r="O970" s="303"/>
      <c r="P970" s="303"/>
      <c r="Q970" s="303"/>
      <c r="R970" s="303"/>
      <c r="S970" s="303"/>
      <c r="T970" s="303"/>
      <c r="U970" s="303"/>
      <c r="V970" s="303"/>
    </row>
    <row r="971" ht="20.25" customHeight="1">
      <c r="E971" s="355"/>
      <c r="F971" s="355"/>
      <c r="I971" s="328"/>
      <c r="K971" s="421"/>
      <c r="L971" s="303"/>
      <c r="M971" s="303"/>
      <c r="N971" s="303"/>
      <c r="O971" s="303"/>
      <c r="P971" s="303"/>
      <c r="Q971" s="303"/>
      <c r="R971" s="303"/>
      <c r="S971" s="303"/>
      <c r="T971" s="303"/>
      <c r="U971" s="303"/>
      <c r="V971" s="303"/>
    </row>
    <row r="972" ht="20.25" customHeight="1">
      <c r="E972" s="355"/>
      <c r="F972" s="355"/>
      <c r="I972" s="328"/>
      <c r="K972" s="421"/>
      <c r="L972" s="303"/>
      <c r="M972" s="303"/>
      <c r="N972" s="303"/>
      <c r="O972" s="303"/>
      <c r="P972" s="303"/>
      <c r="Q972" s="303"/>
      <c r="R972" s="303"/>
      <c r="S972" s="303"/>
      <c r="T972" s="303"/>
      <c r="U972" s="303"/>
      <c r="V972" s="303"/>
    </row>
    <row r="973" ht="20.25" customHeight="1">
      <c r="E973" s="355"/>
      <c r="F973" s="355"/>
      <c r="I973" s="328"/>
      <c r="K973" s="421"/>
      <c r="L973" s="303"/>
      <c r="M973" s="303"/>
      <c r="N973" s="303"/>
      <c r="O973" s="303"/>
      <c r="P973" s="303"/>
      <c r="Q973" s="303"/>
      <c r="R973" s="303"/>
      <c r="S973" s="303"/>
      <c r="T973" s="303"/>
      <c r="U973" s="303"/>
      <c r="V973" s="303"/>
    </row>
    <row r="974" ht="20.25" customHeight="1">
      <c r="E974" s="355"/>
      <c r="F974" s="355"/>
      <c r="I974" s="328"/>
      <c r="K974" s="421"/>
      <c r="L974" s="303"/>
      <c r="M974" s="303"/>
      <c r="N974" s="303"/>
      <c r="O974" s="303"/>
      <c r="P974" s="303"/>
      <c r="Q974" s="303"/>
      <c r="R974" s="303"/>
      <c r="S974" s="303"/>
      <c r="T974" s="303"/>
      <c r="U974" s="303"/>
      <c r="V974" s="303"/>
    </row>
    <row r="975" ht="20.25" customHeight="1">
      <c r="E975" s="355"/>
      <c r="F975" s="355"/>
      <c r="I975" s="328"/>
      <c r="K975" s="421"/>
      <c r="L975" s="303"/>
      <c r="M975" s="303"/>
      <c r="N975" s="303"/>
      <c r="O975" s="303"/>
      <c r="P975" s="303"/>
      <c r="Q975" s="303"/>
      <c r="R975" s="303"/>
      <c r="S975" s="303"/>
      <c r="T975" s="303"/>
      <c r="U975" s="303"/>
      <c r="V975" s="303"/>
    </row>
    <row r="976" ht="20.25" customHeight="1">
      <c r="E976" s="355"/>
      <c r="F976" s="355"/>
      <c r="I976" s="328"/>
      <c r="K976" s="421"/>
      <c r="L976" s="303"/>
      <c r="M976" s="303"/>
      <c r="N976" s="303"/>
      <c r="O976" s="303"/>
      <c r="P976" s="303"/>
      <c r="Q976" s="303"/>
      <c r="R976" s="303"/>
      <c r="S976" s="303"/>
      <c r="T976" s="303"/>
      <c r="U976" s="303"/>
      <c r="V976" s="303"/>
    </row>
    <row r="977" ht="20.25" customHeight="1">
      <c r="E977" s="355"/>
      <c r="F977" s="355"/>
      <c r="I977" s="328"/>
      <c r="K977" s="421"/>
      <c r="L977" s="303"/>
      <c r="M977" s="303"/>
      <c r="N977" s="303"/>
      <c r="O977" s="303"/>
      <c r="P977" s="303"/>
      <c r="Q977" s="303"/>
      <c r="R977" s="303"/>
      <c r="S977" s="303"/>
      <c r="T977" s="303"/>
      <c r="U977" s="303"/>
      <c r="V977" s="303"/>
    </row>
    <row r="978" ht="20.25" customHeight="1">
      <c r="E978" s="355"/>
      <c r="F978" s="355"/>
      <c r="I978" s="328"/>
      <c r="K978" s="421"/>
      <c r="L978" s="303"/>
      <c r="M978" s="303"/>
      <c r="N978" s="303"/>
      <c r="O978" s="303"/>
      <c r="P978" s="303"/>
      <c r="Q978" s="303"/>
      <c r="R978" s="303"/>
      <c r="S978" s="303"/>
      <c r="T978" s="303"/>
      <c r="U978" s="303"/>
      <c r="V978" s="303"/>
    </row>
    <row r="979" ht="20.25" customHeight="1">
      <c r="E979" s="355"/>
      <c r="F979" s="355"/>
      <c r="I979" s="328"/>
      <c r="K979" s="421"/>
      <c r="L979" s="303"/>
      <c r="M979" s="303"/>
      <c r="N979" s="303"/>
      <c r="O979" s="303"/>
      <c r="P979" s="303"/>
      <c r="Q979" s="303"/>
      <c r="R979" s="303"/>
      <c r="S979" s="303"/>
      <c r="T979" s="303"/>
      <c r="U979" s="303"/>
      <c r="V979" s="303"/>
    </row>
    <row r="980" ht="20.25" customHeight="1">
      <c r="E980" s="355"/>
      <c r="F980" s="355"/>
      <c r="I980" s="328"/>
      <c r="K980" s="421"/>
      <c r="L980" s="303"/>
      <c r="M980" s="303"/>
      <c r="N980" s="303"/>
      <c r="O980" s="303"/>
      <c r="P980" s="303"/>
      <c r="Q980" s="303"/>
      <c r="R980" s="303"/>
      <c r="S980" s="303"/>
      <c r="T980" s="303"/>
      <c r="U980" s="303"/>
      <c r="V980" s="303"/>
    </row>
    <row r="981" ht="20.25" customHeight="1">
      <c r="E981" s="355"/>
      <c r="F981" s="355"/>
      <c r="I981" s="328"/>
      <c r="K981" s="421"/>
      <c r="L981" s="303"/>
      <c r="M981" s="303"/>
      <c r="N981" s="303"/>
      <c r="O981" s="303"/>
      <c r="P981" s="303"/>
      <c r="Q981" s="303"/>
      <c r="R981" s="303"/>
      <c r="S981" s="303"/>
      <c r="T981" s="303"/>
      <c r="U981" s="303"/>
      <c r="V981" s="303"/>
    </row>
    <row r="982" ht="20.25" customHeight="1">
      <c r="E982" s="355"/>
      <c r="F982" s="355"/>
      <c r="I982" s="328"/>
      <c r="K982" s="421"/>
      <c r="L982" s="303"/>
      <c r="M982" s="303"/>
      <c r="N982" s="303"/>
      <c r="O982" s="303"/>
      <c r="P982" s="303"/>
      <c r="Q982" s="303"/>
      <c r="R982" s="303"/>
      <c r="S982" s="303"/>
      <c r="T982" s="303"/>
      <c r="U982" s="303"/>
      <c r="V982" s="303"/>
    </row>
    <row r="983" ht="20.25" customHeight="1">
      <c r="E983" s="355"/>
      <c r="F983" s="355"/>
      <c r="I983" s="328"/>
      <c r="K983" s="421"/>
      <c r="L983" s="303"/>
      <c r="M983" s="303"/>
      <c r="N983" s="303"/>
      <c r="O983" s="303"/>
      <c r="P983" s="303"/>
      <c r="Q983" s="303"/>
      <c r="R983" s="303"/>
      <c r="S983" s="303"/>
      <c r="T983" s="303"/>
      <c r="U983" s="303"/>
      <c r="V983" s="303"/>
    </row>
    <row r="984" ht="20.25" customHeight="1">
      <c r="E984" s="355"/>
      <c r="F984" s="355"/>
      <c r="I984" s="328"/>
      <c r="K984" s="421"/>
      <c r="L984" s="303"/>
      <c r="M984" s="303"/>
      <c r="N984" s="303"/>
      <c r="O984" s="303"/>
      <c r="P984" s="303"/>
      <c r="Q984" s="303"/>
      <c r="R984" s="303"/>
      <c r="S984" s="303"/>
      <c r="T984" s="303"/>
      <c r="U984" s="303"/>
      <c r="V984" s="303"/>
    </row>
    <row r="985" ht="20.25" customHeight="1">
      <c r="E985" s="355"/>
      <c r="F985" s="355"/>
      <c r="I985" s="328"/>
      <c r="K985" s="421"/>
      <c r="L985" s="303"/>
      <c r="M985" s="303"/>
      <c r="N985" s="303"/>
      <c r="O985" s="303"/>
      <c r="P985" s="303"/>
      <c r="Q985" s="303"/>
      <c r="R985" s="303"/>
      <c r="S985" s="303"/>
      <c r="T985" s="303"/>
      <c r="U985" s="303"/>
      <c r="V985" s="303"/>
    </row>
    <row r="986" ht="20.25" customHeight="1">
      <c r="E986" s="355"/>
      <c r="F986" s="355"/>
      <c r="I986" s="328"/>
      <c r="K986" s="421"/>
      <c r="L986" s="303"/>
      <c r="M986" s="303"/>
      <c r="N986" s="303"/>
      <c r="O986" s="303"/>
      <c r="P986" s="303"/>
      <c r="Q986" s="303"/>
      <c r="R986" s="303"/>
      <c r="S986" s="303"/>
      <c r="T986" s="303"/>
      <c r="U986" s="303"/>
      <c r="V986" s="303"/>
    </row>
    <row r="987" ht="20.25" customHeight="1">
      <c r="E987" s="355"/>
      <c r="F987" s="355"/>
      <c r="I987" s="328"/>
      <c r="K987" s="421"/>
      <c r="L987" s="303"/>
      <c r="M987" s="303"/>
      <c r="N987" s="303"/>
      <c r="O987" s="303"/>
      <c r="P987" s="303"/>
      <c r="Q987" s="303"/>
      <c r="R987" s="303"/>
      <c r="S987" s="303"/>
      <c r="T987" s="303"/>
      <c r="U987" s="303"/>
      <c r="V987" s="303"/>
    </row>
    <row r="988" ht="20.25" customHeight="1">
      <c r="E988" s="355"/>
      <c r="F988" s="355"/>
      <c r="I988" s="328"/>
      <c r="K988" s="421"/>
      <c r="L988" s="303"/>
      <c r="M988" s="303"/>
      <c r="N988" s="303"/>
      <c r="O988" s="303"/>
      <c r="P988" s="303"/>
      <c r="Q988" s="303"/>
      <c r="R988" s="303"/>
      <c r="S988" s="303"/>
      <c r="T988" s="303"/>
      <c r="U988" s="303"/>
      <c r="V988" s="303"/>
    </row>
    <row r="989" ht="20.25" customHeight="1">
      <c r="E989" s="355"/>
      <c r="F989" s="355"/>
      <c r="I989" s="328"/>
      <c r="K989" s="421"/>
      <c r="L989" s="303"/>
      <c r="M989" s="303"/>
      <c r="N989" s="303"/>
      <c r="O989" s="303"/>
      <c r="P989" s="303"/>
      <c r="Q989" s="303"/>
      <c r="R989" s="303"/>
      <c r="S989" s="303"/>
      <c r="T989" s="303"/>
      <c r="U989" s="303"/>
      <c r="V989" s="303"/>
    </row>
    <row r="990" ht="20.25" customHeight="1">
      <c r="E990" s="355"/>
      <c r="F990" s="355"/>
      <c r="I990" s="328"/>
      <c r="K990" s="421"/>
      <c r="L990" s="303"/>
      <c r="M990" s="303"/>
      <c r="N990" s="303"/>
      <c r="O990" s="303"/>
      <c r="P990" s="303"/>
      <c r="Q990" s="303"/>
      <c r="R990" s="303"/>
      <c r="S990" s="303"/>
      <c r="T990" s="303"/>
      <c r="U990" s="303"/>
      <c r="V990" s="303"/>
    </row>
    <row r="991" ht="20.25" customHeight="1">
      <c r="E991" s="355"/>
      <c r="F991" s="355"/>
      <c r="I991" s="328"/>
      <c r="K991" s="421"/>
      <c r="L991" s="303"/>
      <c r="M991" s="303"/>
      <c r="N991" s="303"/>
      <c r="O991" s="303"/>
      <c r="P991" s="303"/>
      <c r="Q991" s="303"/>
      <c r="R991" s="303"/>
      <c r="S991" s="303"/>
      <c r="T991" s="303"/>
      <c r="U991" s="303"/>
      <c r="V991" s="303"/>
    </row>
    <row r="992" ht="20.25" customHeight="1">
      <c r="E992" s="355"/>
      <c r="F992" s="355"/>
      <c r="I992" s="328"/>
      <c r="K992" s="421"/>
      <c r="L992" s="303"/>
      <c r="M992" s="303"/>
      <c r="N992" s="303"/>
      <c r="O992" s="303"/>
      <c r="P992" s="303"/>
      <c r="Q992" s="303"/>
      <c r="R992" s="303"/>
      <c r="S992" s="303"/>
      <c r="T992" s="303"/>
      <c r="U992" s="303"/>
      <c r="V992" s="303"/>
    </row>
    <row r="993" ht="20.25" customHeight="1">
      <c r="E993" s="355"/>
      <c r="F993" s="355"/>
      <c r="I993" s="328"/>
      <c r="K993" s="421"/>
      <c r="L993" s="303"/>
      <c r="M993" s="303"/>
      <c r="N993" s="303"/>
      <c r="O993" s="303"/>
      <c r="P993" s="303"/>
      <c r="Q993" s="303"/>
      <c r="R993" s="303"/>
      <c r="S993" s="303"/>
      <c r="T993" s="303"/>
      <c r="U993" s="303"/>
      <c r="V993" s="303"/>
    </row>
    <row r="994" ht="20.25" customHeight="1">
      <c r="E994" s="355"/>
      <c r="F994" s="355"/>
      <c r="I994" s="328"/>
      <c r="K994" s="421"/>
      <c r="L994" s="303"/>
      <c r="M994" s="303"/>
      <c r="N994" s="303"/>
      <c r="O994" s="303"/>
      <c r="P994" s="303"/>
      <c r="Q994" s="303"/>
      <c r="R994" s="303"/>
      <c r="S994" s="303"/>
      <c r="T994" s="303"/>
      <c r="U994" s="303"/>
      <c r="V994" s="303"/>
    </row>
    <row r="995" ht="20.25" customHeight="1">
      <c r="E995" s="355"/>
      <c r="F995" s="355"/>
      <c r="I995" s="328"/>
      <c r="K995" s="421"/>
      <c r="L995" s="303"/>
      <c r="M995" s="303"/>
      <c r="N995" s="303"/>
      <c r="O995" s="303"/>
      <c r="P995" s="303"/>
      <c r="Q995" s="303"/>
      <c r="R995" s="303"/>
      <c r="S995" s="303"/>
      <c r="T995" s="303"/>
      <c r="U995" s="303"/>
      <c r="V995" s="303"/>
    </row>
    <row r="996" ht="20.25" customHeight="1">
      <c r="E996" s="355"/>
      <c r="F996" s="355"/>
      <c r="I996" s="328"/>
      <c r="K996" s="421"/>
      <c r="L996" s="303"/>
      <c r="M996" s="303"/>
      <c r="N996" s="303"/>
      <c r="O996" s="303"/>
      <c r="P996" s="303"/>
      <c r="Q996" s="303"/>
      <c r="R996" s="303"/>
      <c r="S996" s="303"/>
      <c r="T996" s="303"/>
      <c r="U996" s="303"/>
      <c r="V996" s="303"/>
    </row>
    <row r="997" ht="20.25" customHeight="1">
      <c r="E997" s="355"/>
      <c r="F997" s="355"/>
      <c r="I997" s="328"/>
      <c r="K997" s="421"/>
      <c r="L997" s="303"/>
      <c r="M997" s="303"/>
      <c r="N997" s="303"/>
      <c r="O997" s="303"/>
      <c r="P997" s="303"/>
      <c r="Q997" s="303"/>
      <c r="R997" s="303"/>
      <c r="S997" s="303"/>
      <c r="T997" s="303"/>
      <c r="U997" s="303"/>
      <c r="V997" s="303"/>
    </row>
    <row r="998" ht="20.25" customHeight="1">
      <c r="E998" s="355"/>
      <c r="F998" s="355"/>
      <c r="I998" s="328"/>
      <c r="K998" s="421"/>
      <c r="L998" s="303"/>
      <c r="M998" s="303"/>
      <c r="N998" s="303"/>
      <c r="O998" s="303"/>
      <c r="P998" s="303"/>
      <c r="Q998" s="303"/>
      <c r="R998" s="303"/>
      <c r="S998" s="303"/>
      <c r="T998" s="303"/>
      <c r="U998" s="303"/>
      <c r="V998" s="303"/>
    </row>
    <row r="999" ht="20.25" customHeight="1">
      <c r="E999" s="355"/>
      <c r="F999" s="355"/>
      <c r="I999" s="328"/>
      <c r="K999" s="421"/>
      <c r="L999" s="303"/>
      <c r="M999" s="303"/>
      <c r="N999" s="303"/>
      <c r="O999" s="303"/>
      <c r="P999" s="303"/>
      <c r="Q999" s="303"/>
      <c r="R999" s="303"/>
      <c r="S999" s="303"/>
      <c r="T999" s="303"/>
      <c r="U999" s="303"/>
      <c r="V999" s="303"/>
    </row>
    <row r="1000" ht="20.25" customHeight="1">
      <c r="E1000" s="355"/>
      <c r="F1000" s="355"/>
      <c r="I1000" s="328"/>
      <c r="K1000" s="421"/>
      <c r="L1000" s="303"/>
      <c r="M1000" s="303"/>
      <c r="N1000" s="303"/>
      <c r="O1000" s="303"/>
      <c r="P1000" s="303"/>
      <c r="Q1000" s="303"/>
      <c r="R1000" s="303"/>
      <c r="S1000" s="303"/>
      <c r="T1000" s="303"/>
      <c r="U1000" s="303"/>
      <c r="V1000" s="303"/>
    </row>
    <row r="1001" ht="20.25" customHeight="1">
      <c r="E1001" s="355"/>
      <c r="F1001" s="355"/>
      <c r="I1001" s="328"/>
      <c r="K1001" s="421"/>
      <c r="L1001" s="303"/>
      <c r="M1001" s="303"/>
      <c r="N1001" s="303"/>
      <c r="O1001" s="303"/>
      <c r="P1001" s="303"/>
      <c r="Q1001" s="303"/>
      <c r="R1001" s="303"/>
      <c r="S1001" s="303"/>
      <c r="T1001" s="303"/>
      <c r="U1001" s="303"/>
      <c r="V1001" s="303"/>
    </row>
  </sheetData>
  <mergeCells count="1">
    <mergeCell ref="B34:D34"/>
  </mergeCell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3"/>
    <hyperlink r:id="rId12" ref="Q14"/>
    <hyperlink r:id="rId13" ref="Q15"/>
    <hyperlink r:id="rId14" ref="Q16"/>
    <hyperlink r:id="rId15" ref="Q17"/>
    <hyperlink r:id="rId16" ref="Q18"/>
    <hyperlink r:id="rId17" ref="Q19"/>
    <hyperlink r:id="rId18" ref="Q20"/>
    <hyperlink r:id="rId19" ref="Q21"/>
    <hyperlink r:id="rId20" ref="Q22"/>
    <hyperlink r:id="rId21" ref="Q23"/>
    <hyperlink r:id="rId22" ref="Q24"/>
    <hyperlink r:id="rId23" ref="Q26"/>
    <hyperlink r:id="rId24" ref="Q27"/>
    <hyperlink r:id="rId25" ref="Q28"/>
    <hyperlink r:id="rId26" ref="Q29"/>
    <hyperlink r:id="rId27" ref="Q30"/>
    <hyperlink r:id="rId28" ref="Q31"/>
    <hyperlink r:id="rId29" ref="Q32"/>
    <hyperlink r:id="rId30" ref="Q33"/>
    <hyperlink r:id="rId31" ref="Q34"/>
    <hyperlink r:id="rId32" ref="Q35"/>
    <hyperlink r:id="rId33" ref="Q36"/>
    <hyperlink r:id="rId34" ref="Q38"/>
    <hyperlink r:id="rId35" ref="Q39"/>
    <hyperlink r:id="rId36" ref="Q40"/>
    <hyperlink r:id="rId37" ref="Q41"/>
    <hyperlink r:id="rId38" ref="Q42"/>
    <hyperlink r:id="rId39" ref="Q43"/>
    <hyperlink r:id="rId40" ref="Q44"/>
    <hyperlink r:id="rId41" ref="Q45"/>
    <hyperlink r:id="rId42" ref="Q46"/>
    <hyperlink r:id="rId43" ref="Q47"/>
    <hyperlink r:id="rId44" ref="Q48"/>
    <hyperlink r:id="rId45" ref="Q49"/>
    <hyperlink r:id="rId46" ref="Q50"/>
    <hyperlink r:id="rId47" ref="Q51"/>
    <hyperlink r:id="rId48" ref="Q52"/>
    <hyperlink r:id="rId49" ref="Q53"/>
    <hyperlink r:id="rId50" ref="Q54"/>
    <hyperlink r:id="rId51" ref="Q55"/>
    <hyperlink r:id="rId52" ref="Q56"/>
    <hyperlink r:id="rId53" ref="Q58"/>
    <hyperlink r:id="rId54" ref="Q62"/>
    <hyperlink r:id="rId55" ref="Q64"/>
    <hyperlink r:id="rId56" ref="Q65"/>
    <hyperlink r:id="rId57" ref="Q66"/>
    <hyperlink r:id="rId58" ref="Q68"/>
    <hyperlink r:id="rId59" ref="Q69"/>
    <hyperlink r:id="rId60" ref="Q70"/>
    <hyperlink r:id="rId61" ref="Q71"/>
    <hyperlink r:id="rId62" ref="Q73"/>
    <hyperlink r:id="rId63" ref="Q74"/>
    <hyperlink r:id="rId64" ref="Q75"/>
    <hyperlink r:id="rId65" ref="Q76"/>
    <hyperlink r:id="rId66" ref="Q77"/>
    <hyperlink r:id="rId67" ref="Q79"/>
    <hyperlink r:id="rId68" ref="Q80"/>
    <hyperlink r:id="rId69" ref="Q82"/>
    <hyperlink r:id="rId70" ref="Q83"/>
    <hyperlink r:id="rId71" ref="Q84"/>
    <hyperlink r:id="rId72" ref="Q85"/>
    <hyperlink r:id="rId73" ref="Q86"/>
    <hyperlink r:id="rId74" ref="Q88"/>
    <hyperlink r:id="rId75" ref="Q89"/>
    <hyperlink r:id="rId76" ref="Q90"/>
    <hyperlink r:id="rId77" ref="Q91"/>
    <hyperlink r:id="rId78" ref="Q92"/>
    <hyperlink r:id="rId79" ref="Q93"/>
    <hyperlink r:id="rId80" ref="Q94"/>
    <hyperlink r:id="rId81" ref="Q95"/>
    <hyperlink r:id="rId82" ref="Q96"/>
    <hyperlink r:id="rId83" ref="Q97"/>
    <hyperlink r:id="rId84" ref="Q98"/>
    <hyperlink r:id="rId85" ref="Q99"/>
    <hyperlink r:id="rId86" ref="Q100"/>
    <hyperlink r:id="rId87" ref="Q101"/>
    <hyperlink r:id="rId88" ref="Q102"/>
    <hyperlink r:id="rId89" ref="Q103"/>
    <hyperlink r:id="rId90" ref="Q104"/>
    <hyperlink r:id="rId91" ref="Q105"/>
    <hyperlink r:id="rId92" ref="Q107"/>
    <hyperlink r:id="rId93" ref="Q108"/>
    <hyperlink r:id="rId94" ref="Q109"/>
    <hyperlink r:id="rId95" ref="Q110"/>
    <hyperlink r:id="rId96" ref="Q112"/>
    <hyperlink r:id="rId97" ref="Q113"/>
    <hyperlink r:id="rId98" ref="Q114"/>
    <hyperlink r:id="rId99" ref="Q116"/>
    <hyperlink r:id="rId100" ref="Q117"/>
    <hyperlink r:id="rId101" ref="Q119"/>
    <hyperlink r:id="rId102" ref="Q120"/>
    <hyperlink r:id="rId103" ref="Q121"/>
    <hyperlink r:id="rId104" ref="Q122"/>
    <hyperlink r:id="rId105" ref="Q123"/>
    <hyperlink r:id="rId106" ref="Q126"/>
    <hyperlink r:id="rId107" ref="Q127"/>
    <hyperlink r:id="rId108" ref="Q128"/>
    <hyperlink r:id="rId109" ref="Q129"/>
    <hyperlink r:id="rId110" ref="Q130"/>
    <hyperlink r:id="rId111" ref="Q135"/>
    <hyperlink r:id="rId112" ref="Q136"/>
    <hyperlink r:id="rId113" ref="Q138"/>
    <hyperlink r:id="rId114" ref="Q140"/>
    <hyperlink r:id="rId115" ref="Q141"/>
    <hyperlink r:id="rId116" ref="Q144"/>
    <hyperlink r:id="rId117" ref="Q145"/>
    <hyperlink r:id="rId118" ref="Q146"/>
    <hyperlink r:id="rId119" ref="Q148"/>
    <hyperlink r:id="rId120" ref="Q149"/>
    <hyperlink r:id="rId121" ref="Q151"/>
    <hyperlink r:id="rId122" ref="Q152"/>
    <hyperlink r:id="rId123" ref="Q153"/>
    <hyperlink r:id="rId124" ref="Q155"/>
    <hyperlink r:id="rId125" ref="Q157"/>
    <hyperlink r:id="rId126" ref="Q159"/>
    <hyperlink r:id="rId127" ref="Q160"/>
    <hyperlink r:id="rId128" ref="Q161"/>
    <hyperlink r:id="rId129" ref="Q164"/>
    <hyperlink r:id="rId130" ref="Q166"/>
    <hyperlink r:id="rId131" ref="Q167"/>
    <hyperlink r:id="rId132" ref="Q168"/>
    <hyperlink r:id="rId133" ref="Q169"/>
    <hyperlink r:id="rId134" ref="Q170"/>
    <hyperlink r:id="rId135" ref="Q171"/>
    <hyperlink r:id="rId136" ref="Q172"/>
    <hyperlink r:id="rId137" ref="Q173"/>
    <hyperlink r:id="rId138" ref="Q175"/>
    <hyperlink r:id="rId139" ref="Q177"/>
    <hyperlink r:id="rId140" ref="Q181"/>
    <hyperlink r:id="rId141" ref="Q184"/>
    <hyperlink r:id="rId142" ref="Q185"/>
    <hyperlink r:id="rId143" ref="Q186"/>
    <hyperlink r:id="rId144" ref="Q187"/>
    <hyperlink r:id="rId145" ref="Q189"/>
    <hyperlink r:id="rId146" ref="Q190"/>
    <hyperlink r:id="rId147" ref="Q191"/>
    <hyperlink r:id="rId148" ref="Q193"/>
    <hyperlink r:id="rId149" ref="Q194"/>
    <hyperlink r:id="rId150" ref="Q195"/>
    <hyperlink r:id="rId151" ref="Q196"/>
    <hyperlink r:id="rId152" ref="Q197"/>
    <hyperlink r:id="rId153" ref="Q198"/>
    <hyperlink r:id="rId154" ref="Q199"/>
    <hyperlink r:id="rId155" ref="Q200"/>
    <hyperlink r:id="rId156" ref="Q201"/>
    <hyperlink r:id="rId157" ref="Q203"/>
    <hyperlink r:id="rId158" ref="Q204"/>
    <hyperlink r:id="rId159" ref="Q205"/>
    <hyperlink r:id="rId160" ref="Q206"/>
    <hyperlink r:id="rId161" ref="Q207"/>
    <hyperlink r:id="rId162" ref="Q208"/>
    <hyperlink r:id="rId163" ref="Q209"/>
    <hyperlink r:id="rId164" ref="Q210"/>
    <hyperlink r:id="rId165" ref="Q214"/>
    <hyperlink r:id="rId166" ref="Q215"/>
    <hyperlink r:id="rId167" ref="Q217"/>
    <hyperlink r:id="rId168" ref="Q219"/>
    <hyperlink r:id="rId169" ref="Q220"/>
    <hyperlink r:id="rId170" ref="Q221"/>
    <hyperlink r:id="rId171" ref="Q224"/>
    <hyperlink r:id="rId172" ref="Q226"/>
    <hyperlink r:id="rId173" ref="Q227"/>
    <hyperlink r:id="rId174" ref="Q228"/>
    <hyperlink r:id="rId175" ref="Q230"/>
    <hyperlink r:id="rId176" ref="Q234"/>
    <hyperlink r:id="rId177" ref="Q236"/>
    <hyperlink r:id="rId178" ref="Q237"/>
    <hyperlink r:id="rId179" ref="Q240"/>
    <hyperlink r:id="rId180" ref="Q243"/>
    <hyperlink r:id="rId181" ref="Q244"/>
    <hyperlink r:id="rId182" ref="Q245"/>
    <hyperlink r:id="rId183" ref="Q246"/>
    <hyperlink r:id="rId184" ref="Q247"/>
    <hyperlink r:id="rId185" ref="Q248"/>
    <hyperlink r:id="rId186" ref="Q249"/>
    <hyperlink r:id="rId187" ref="Q250"/>
    <hyperlink r:id="rId188" ref="Q251"/>
    <hyperlink r:id="rId189" ref="Q252"/>
    <hyperlink r:id="rId190" ref="Q255"/>
    <hyperlink r:id="rId191" ref="Q256"/>
    <hyperlink r:id="rId192" ref="Q259"/>
    <hyperlink r:id="rId193" ref="Q261"/>
    <hyperlink r:id="rId194" ref="Q263"/>
    <hyperlink r:id="rId195" ref="Q264"/>
    <hyperlink r:id="rId196" ref="Q265"/>
    <hyperlink r:id="rId197" ref="Q266"/>
    <hyperlink r:id="rId198" ref="Q267"/>
    <hyperlink r:id="rId199" ref="Q268"/>
    <hyperlink r:id="rId200" ref="Q269"/>
    <hyperlink r:id="rId201" ref="Q275"/>
    <hyperlink r:id="rId202" ref="Q276"/>
    <hyperlink r:id="rId203" ref="Q277"/>
    <hyperlink r:id="rId204" ref="Q279"/>
    <hyperlink r:id="rId205" ref="Q282"/>
    <hyperlink r:id="rId206" ref="Q286"/>
    <hyperlink r:id="rId207" ref="Q287"/>
    <hyperlink r:id="rId208" ref="Q288"/>
    <hyperlink r:id="rId209" ref="Q289"/>
    <hyperlink r:id="rId210" ref="Q290"/>
    <hyperlink r:id="rId211" ref="Q291"/>
    <hyperlink r:id="rId212" ref="Q292"/>
    <hyperlink r:id="rId213" ref="Q293"/>
    <hyperlink r:id="rId214" ref="Q295"/>
    <hyperlink r:id="rId215" ref="Q296"/>
    <hyperlink r:id="rId216" ref="Q299"/>
    <hyperlink r:id="rId217" ref="Q300"/>
    <hyperlink r:id="rId218" ref="Q303"/>
    <hyperlink r:id="rId219" ref="Q304"/>
    <hyperlink r:id="rId220" ref="Q305"/>
    <hyperlink r:id="rId221" ref="Q306"/>
    <hyperlink r:id="rId222" ref="Q307"/>
    <hyperlink r:id="rId223" ref="Q308"/>
    <hyperlink r:id="rId224" ref="Q309"/>
    <hyperlink r:id="rId225" ref="Q310"/>
    <hyperlink r:id="rId226" ref="Q311"/>
    <hyperlink r:id="rId227" ref="Q312"/>
    <hyperlink r:id="rId228" ref="Q313"/>
    <hyperlink r:id="rId229" ref="Q314"/>
    <hyperlink r:id="rId230" ref="Q315"/>
    <hyperlink r:id="rId231" ref="Q316"/>
    <hyperlink r:id="rId232" ref="Q317"/>
    <hyperlink r:id="rId233" ref="Q318"/>
    <hyperlink r:id="rId234" ref="Q319"/>
    <hyperlink r:id="rId235" ref="Q320"/>
    <hyperlink r:id="rId236" ref="Q321"/>
    <hyperlink r:id="rId237" ref="Q322"/>
    <hyperlink r:id="rId238" ref="Q323"/>
    <hyperlink r:id="rId239" ref="Q324"/>
    <hyperlink r:id="rId240" ref="Q325"/>
    <hyperlink r:id="rId241" ref="Q326"/>
    <hyperlink r:id="rId242" ref="Q327"/>
    <hyperlink r:id="rId243" ref="Q329"/>
    <hyperlink r:id="rId244" ref="Q330"/>
    <hyperlink r:id="rId245" ref="Q331"/>
    <hyperlink r:id="rId246" ref="Q333"/>
    <hyperlink r:id="rId247" ref="Q334"/>
    <hyperlink r:id="rId248" ref="Q339"/>
    <hyperlink r:id="rId249" ref="Q341"/>
    <hyperlink r:id="rId250" ref="Q342"/>
    <hyperlink r:id="rId251" ref="Q343"/>
    <hyperlink r:id="rId252" ref="Q345"/>
    <hyperlink r:id="rId253" ref="Q346"/>
    <hyperlink r:id="rId254" ref="Q349"/>
    <hyperlink r:id="rId255" ref="Q350"/>
    <hyperlink r:id="rId256" ref="Q351"/>
    <hyperlink r:id="rId257" ref="Q352"/>
    <hyperlink r:id="rId258" ref="Q353"/>
    <hyperlink r:id="rId259" ref="Q354"/>
    <hyperlink r:id="rId260" ref="Q355"/>
    <hyperlink r:id="rId261" ref="Q356"/>
    <hyperlink r:id="rId262" ref="Q357"/>
    <hyperlink r:id="rId263" ref="Q358"/>
    <hyperlink r:id="rId264" ref="Q359"/>
    <hyperlink r:id="rId265" ref="Q362"/>
    <hyperlink r:id="rId266" ref="Q363"/>
    <hyperlink r:id="rId267" ref="Q364"/>
    <hyperlink r:id="rId268" ref="Q367"/>
    <hyperlink r:id="rId269" ref="Q368"/>
    <hyperlink r:id="rId270" ref="Q369"/>
    <hyperlink r:id="rId271" ref="Q371"/>
    <hyperlink r:id="rId272" ref="Q372"/>
    <hyperlink r:id="rId273" ref="Q373"/>
    <hyperlink r:id="rId274" ref="Q374"/>
    <hyperlink r:id="rId275" ref="Q378"/>
    <hyperlink r:id="rId276" ref="Q379"/>
    <hyperlink r:id="rId277" ref="Q380"/>
    <hyperlink r:id="rId278" ref="Q381"/>
    <hyperlink r:id="rId279" ref="Q382"/>
    <hyperlink r:id="rId280" ref="Q383"/>
    <hyperlink r:id="rId281" ref="Q384"/>
    <hyperlink r:id="rId282" ref="Q385"/>
    <hyperlink r:id="rId283" ref="Q386"/>
    <hyperlink r:id="rId284" ref="Q387"/>
    <hyperlink r:id="rId285" ref="Q388"/>
    <hyperlink r:id="rId286" ref="Q389"/>
    <hyperlink r:id="rId287" ref="Q390"/>
    <hyperlink r:id="rId288" ref="Q391"/>
    <hyperlink r:id="rId289" ref="Q392"/>
    <hyperlink r:id="rId290" ref="Q393"/>
    <hyperlink r:id="rId291" ref="Q394"/>
    <hyperlink r:id="rId292" ref="Q395"/>
    <hyperlink r:id="rId293" ref="Q396"/>
    <hyperlink r:id="rId294" ref="Q397"/>
    <hyperlink r:id="rId295" ref="Q398"/>
    <hyperlink r:id="rId296" ref="Q399"/>
    <hyperlink r:id="rId297" ref="Q400"/>
    <hyperlink r:id="rId298" ref="Q402"/>
    <hyperlink r:id="rId299" ref="Q403"/>
    <hyperlink r:id="rId300" ref="Q404"/>
    <hyperlink r:id="rId301" ref="Q406"/>
    <hyperlink r:id="rId302" ref="Q407"/>
    <hyperlink r:id="rId303" ref="Q408"/>
    <hyperlink r:id="rId304" ref="Q409"/>
    <hyperlink r:id="rId305" ref="Q412"/>
    <hyperlink r:id="rId306" ref="Q413"/>
    <hyperlink r:id="rId307" ref="Q414"/>
    <hyperlink r:id="rId308" ref="Q415"/>
    <hyperlink r:id="rId309" ref="Q416"/>
    <hyperlink r:id="rId310" ref="Q417"/>
    <hyperlink r:id="rId311" ref="Q419"/>
    <hyperlink r:id="rId312" ref="Q420"/>
    <hyperlink r:id="rId313" ref="Q421"/>
    <hyperlink r:id="rId314" ref="Q422"/>
    <hyperlink r:id="rId315" ref="Q423"/>
    <hyperlink r:id="rId316" ref="Q424"/>
    <hyperlink r:id="rId317" ref="Q425"/>
    <hyperlink r:id="rId318" ref="Q426"/>
    <hyperlink r:id="rId319" ref="Q427"/>
    <hyperlink r:id="rId320" ref="Q428"/>
    <hyperlink r:id="rId321" ref="Q429"/>
    <hyperlink r:id="rId322" ref="Q431"/>
    <hyperlink r:id="rId323" ref="Q432"/>
    <hyperlink r:id="rId324" ref="Q433"/>
    <hyperlink r:id="rId325" ref="Q434"/>
    <hyperlink r:id="rId326" ref="Q435"/>
    <hyperlink r:id="rId327" ref="Q436"/>
    <hyperlink r:id="rId328" ref="Q439"/>
    <hyperlink r:id="rId329" ref="Q445"/>
    <hyperlink r:id="rId330" ref="Q449"/>
    <hyperlink r:id="rId331" ref="Q451"/>
    <hyperlink r:id="rId332" ref="Q452"/>
    <hyperlink r:id="rId333" ref="Q453"/>
    <hyperlink r:id="rId334" ref="Q455"/>
    <hyperlink r:id="rId335" ref="Q456"/>
    <hyperlink r:id="rId336" ref="Q458"/>
    <hyperlink r:id="rId337" ref="Q459"/>
    <hyperlink r:id="rId338" ref="Q462"/>
    <hyperlink r:id="rId339" ref="Q463"/>
    <hyperlink r:id="rId340" ref="Q464"/>
    <hyperlink r:id="rId341" ref="Q465"/>
    <hyperlink r:id="rId342" ref="Q466"/>
    <hyperlink r:id="rId343" ref="Q467"/>
    <hyperlink r:id="rId344" ref="Q468"/>
    <hyperlink r:id="rId345" ref="Q470"/>
    <hyperlink r:id="rId346" ref="Q471"/>
    <hyperlink r:id="rId347" ref="Q472"/>
    <hyperlink r:id="rId348" ref="Q473"/>
    <hyperlink r:id="rId349" ref="Q475"/>
    <hyperlink r:id="rId350" ref="Q476"/>
    <hyperlink r:id="rId351" ref="Q478"/>
    <hyperlink r:id="rId352" ref="Q479"/>
    <hyperlink r:id="rId353" ref="Q480"/>
    <hyperlink r:id="rId354" ref="Q481"/>
    <hyperlink r:id="rId355" ref="Q482"/>
    <hyperlink r:id="rId356" ref="Q483"/>
    <hyperlink r:id="rId357" ref="Q484"/>
    <hyperlink r:id="rId358" ref="Q487"/>
    <hyperlink r:id="rId359" ref="Q488"/>
    <hyperlink r:id="rId360" ref="Q489"/>
    <hyperlink r:id="rId361" ref="Q490"/>
    <hyperlink r:id="rId362" ref="Q491"/>
    <hyperlink r:id="rId363" ref="Q492"/>
    <hyperlink r:id="rId364" ref="Q493"/>
    <hyperlink r:id="rId365" ref="Q494"/>
    <hyperlink r:id="rId366" ref="Q495"/>
    <hyperlink r:id="rId367" ref="Q496"/>
    <hyperlink r:id="rId368" ref="Q498"/>
    <hyperlink r:id="rId369" ref="Q501"/>
    <hyperlink r:id="rId370" ref="Q509"/>
    <hyperlink r:id="rId371" ref="Q510"/>
    <hyperlink r:id="rId372" ref="Q511"/>
    <hyperlink r:id="rId373" ref="Q512"/>
    <hyperlink r:id="rId374" ref="Q514"/>
    <hyperlink r:id="rId375" ref="Q515"/>
    <hyperlink r:id="rId376" ref="Q516"/>
    <hyperlink r:id="rId377" ref="Q517"/>
    <hyperlink r:id="rId378" ref="Q518"/>
    <hyperlink r:id="rId379" ref="Q519"/>
    <hyperlink r:id="rId380" ref="Q520"/>
    <hyperlink r:id="rId381" ref="Q522"/>
    <hyperlink r:id="rId382" ref="Q524"/>
    <hyperlink r:id="rId383" ref="Q525"/>
    <hyperlink r:id="rId384" ref="Q526"/>
    <hyperlink r:id="rId385" ref="Q529"/>
    <hyperlink r:id="rId386" ref="Q530"/>
    <hyperlink r:id="rId387" ref="Q531"/>
    <hyperlink r:id="rId388" ref="Q532"/>
    <hyperlink r:id="rId389" ref="Q534"/>
    <hyperlink r:id="rId390" ref="Q536"/>
    <hyperlink r:id="rId391" ref="Q537"/>
    <hyperlink r:id="rId392" ref="Q538"/>
    <hyperlink r:id="rId393" ref="Q539"/>
    <hyperlink r:id="rId394" ref="Q541"/>
    <hyperlink r:id="rId395" ref="Q542"/>
    <hyperlink r:id="rId396" ref="Q543"/>
    <hyperlink r:id="rId397" ref="Q544"/>
    <hyperlink r:id="rId398" ref="Q546"/>
    <hyperlink r:id="rId399" ref="Q547"/>
    <hyperlink r:id="rId400" ref="Q548"/>
    <hyperlink r:id="rId401" ref="Q549"/>
    <hyperlink r:id="rId402" ref="Q550"/>
    <hyperlink r:id="rId403" ref="Q551"/>
    <hyperlink r:id="rId404" ref="Q552"/>
    <hyperlink r:id="rId405" ref="Q554"/>
    <hyperlink r:id="rId406" ref="Q556"/>
    <hyperlink r:id="rId407" ref="Q557"/>
    <hyperlink r:id="rId408" ref="Q559"/>
    <hyperlink r:id="rId409" ref="Q560"/>
    <hyperlink r:id="rId410" ref="Q561"/>
    <hyperlink r:id="rId411" ref="Q562"/>
    <hyperlink r:id="rId412" ref="Q564"/>
    <hyperlink r:id="rId413" ref="Q566"/>
    <hyperlink r:id="rId414" ref="Q567"/>
    <hyperlink r:id="rId415" ref="Q569"/>
    <hyperlink r:id="rId416" ref="Q571"/>
    <hyperlink r:id="rId417" ref="Q572"/>
    <hyperlink r:id="rId418" ref="Q574"/>
    <hyperlink r:id="rId419" ref="Q575"/>
    <hyperlink r:id="rId420" ref="Q576"/>
    <hyperlink r:id="rId421" ref="Q577"/>
    <hyperlink r:id="rId422" ref="Q578"/>
    <hyperlink r:id="rId423" ref="Q579"/>
    <hyperlink r:id="rId424" ref="Q580"/>
    <hyperlink r:id="rId425" ref="Q581"/>
    <hyperlink r:id="rId426" ref="Q582"/>
    <hyperlink r:id="rId427" ref="Q583"/>
    <hyperlink r:id="rId428" ref="Q584"/>
    <hyperlink r:id="rId429" ref="Q587"/>
    <hyperlink r:id="rId430" ref="Q590"/>
    <hyperlink r:id="rId431" ref="Q591"/>
    <hyperlink r:id="rId432" ref="Q592"/>
    <hyperlink r:id="rId433" ref="Q593"/>
    <hyperlink r:id="rId434" ref="Q594"/>
    <hyperlink r:id="rId435" ref="Q595"/>
    <hyperlink r:id="rId436" ref="Q596"/>
    <hyperlink r:id="rId437" ref="Q598"/>
    <hyperlink r:id="rId438" ref="Q599"/>
    <hyperlink r:id="rId439" ref="Q600"/>
    <hyperlink r:id="rId440" ref="Q602"/>
    <hyperlink r:id="rId441" ref="Q603"/>
    <hyperlink r:id="rId442" ref="Q604"/>
    <hyperlink r:id="rId443" ref="Q605"/>
    <hyperlink r:id="rId444" ref="Q606"/>
    <hyperlink r:id="rId445" ref="Q607"/>
    <hyperlink r:id="rId446" ref="Q611"/>
    <hyperlink r:id="rId447" ref="Q613"/>
    <hyperlink r:id="rId448" ref="Q614"/>
    <hyperlink r:id="rId449" ref="Q615"/>
    <hyperlink r:id="rId450" ref="Q617"/>
    <hyperlink r:id="rId451" ref="Q618"/>
    <hyperlink r:id="rId452" ref="Q620"/>
    <hyperlink r:id="rId453" ref="Q621"/>
    <hyperlink r:id="rId454" ref="Q622"/>
  </hyperlinks>
  <drawing r:id="rId45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74.25"/>
  </cols>
  <sheetData>
    <row r="1">
      <c r="A1" s="222" t="s">
        <v>17339</v>
      </c>
      <c r="B1" s="23" t="s">
        <v>17340</v>
      </c>
    </row>
    <row r="2">
      <c r="A2" s="222" t="s">
        <v>17341</v>
      </c>
      <c r="B2" s="23" t="s">
        <v>17342</v>
      </c>
    </row>
    <row r="3">
      <c r="A3" s="222" t="s">
        <v>17343</v>
      </c>
      <c r="B3" s="23" t="s">
        <v>17344</v>
      </c>
    </row>
    <row r="9">
      <c r="A9" s="422">
        <v>45965.0</v>
      </c>
      <c r="B9" s="423" t="s">
        <v>17345</v>
      </c>
    </row>
    <row r="10">
      <c r="B10" s="423" t="s">
        <v>17346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3" max="3" width="32.25"/>
    <col customWidth="1" min="4" max="4" width="11.75"/>
    <col customWidth="1" min="5" max="5" width="7.88"/>
    <col customWidth="1" min="9" max="9" width="22.13"/>
    <col customWidth="1" min="10" max="10" width="16.25"/>
    <col customWidth="1" min="11" max="11" width="29.88"/>
    <col customWidth="1" min="12" max="12" width="28.0"/>
    <col customWidth="1" min="13" max="13" width="12.25"/>
  </cols>
  <sheetData>
    <row r="1">
      <c r="A1" s="424" t="s">
        <v>9363</v>
      </c>
      <c r="B1" s="425" t="s">
        <v>17347</v>
      </c>
      <c r="C1" s="279" t="s">
        <v>9365</v>
      </c>
      <c r="D1" s="279" t="s">
        <v>9366</v>
      </c>
      <c r="E1" s="279" t="s">
        <v>9367</v>
      </c>
      <c r="F1" s="279" t="s">
        <v>9368</v>
      </c>
      <c r="G1" s="279" t="s">
        <v>9369</v>
      </c>
      <c r="H1" s="279" t="s">
        <v>9370</v>
      </c>
      <c r="I1" s="279" t="s">
        <v>9371</v>
      </c>
      <c r="J1" s="279" t="s">
        <v>9372</v>
      </c>
      <c r="K1" s="279" t="s">
        <v>9373</v>
      </c>
      <c r="L1" s="279" t="s">
        <v>9374</v>
      </c>
      <c r="M1" s="282" t="s">
        <v>17348</v>
      </c>
      <c r="N1" s="426" t="s">
        <v>17349</v>
      </c>
    </row>
    <row r="2">
      <c r="A2" s="427">
        <v>1.0</v>
      </c>
      <c r="B2" s="237" t="s">
        <v>7072</v>
      </c>
      <c r="C2" s="237" t="s">
        <v>6918</v>
      </c>
      <c r="D2" s="428">
        <v>45323.0</v>
      </c>
      <c r="E2" s="237" t="s">
        <v>6933</v>
      </c>
      <c r="F2" s="237" t="s">
        <v>10774</v>
      </c>
      <c r="G2" s="237" t="s">
        <v>13800</v>
      </c>
      <c r="H2" s="237" t="s">
        <v>10476</v>
      </c>
      <c r="I2" s="237" t="s">
        <v>13801</v>
      </c>
      <c r="J2" s="237" t="s">
        <v>5224</v>
      </c>
      <c r="K2" s="237" t="s">
        <v>13802</v>
      </c>
      <c r="L2" s="237" t="s">
        <v>7060</v>
      </c>
      <c r="M2" s="232" t="s">
        <v>9383</v>
      </c>
      <c r="N2" s="429" t="s">
        <v>17350</v>
      </c>
    </row>
    <row r="3">
      <c r="A3" s="427">
        <v>2.0</v>
      </c>
      <c r="B3" s="237" t="s">
        <v>9211</v>
      </c>
      <c r="C3" s="237" t="s">
        <v>6918</v>
      </c>
      <c r="D3" s="428">
        <v>45201.0</v>
      </c>
      <c r="E3" s="237" t="s">
        <v>6921</v>
      </c>
      <c r="F3" s="237" t="s">
        <v>14573</v>
      </c>
      <c r="G3" s="237" t="s">
        <v>14574</v>
      </c>
      <c r="H3" s="237" t="s">
        <v>14575</v>
      </c>
      <c r="I3" s="237" t="s">
        <v>14576</v>
      </c>
      <c r="J3" s="237" t="s">
        <v>5224</v>
      </c>
      <c r="K3" s="237" t="s">
        <v>13398</v>
      </c>
      <c r="L3" s="237" t="s">
        <v>8850</v>
      </c>
      <c r="M3" s="232" t="s">
        <v>9383</v>
      </c>
      <c r="N3" s="429" t="s">
        <v>17350</v>
      </c>
    </row>
    <row r="4">
      <c r="A4" s="427">
        <v>3.0</v>
      </c>
      <c r="B4" s="237" t="s">
        <v>8878</v>
      </c>
      <c r="C4" s="237" t="s">
        <v>6918</v>
      </c>
      <c r="D4" s="428">
        <v>45154.0</v>
      </c>
      <c r="E4" s="237" t="s">
        <v>6921</v>
      </c>
      <c r="F4" s="237" t="s">
        <v>13972</v>
      </c>
      <c r="G4" s="237" t="s">
        <v>13973</v>
      </c>
      <c r="H4" s="237" t="s">
        <v>10100</v>
      </c>
      <c r="I4" s="237" t="s">
        <v>13974</v>
      </c>
      <c r="J4" s="237" t="s">
        <v>5224</v>
      </c>
      <c r="K4" s="237" t="s">
        <v>13398</v>
      </c>
      <c r="L4" s="237" t="s">
        <v>8850</v>
      </c>
      <c r="M4" s="232" t="s">
        <v>9383</v>
      </c>
      <c r="N4" s="429" t="s">
        <v>17350</v>
      </c>
    </row>
    <row r="5">
      <c r="A5" s="427">
        <v>4.0</v>
      </c>
      <c r="B5" s="237" t="s">
        <v>8147</v>
      </c>
      <c r="C5" s="237" t="s">
        <v>6918</v>
      </c>
      <c r="D5" s="428">
        <v>45078.0</v>
      </c>
      <c r="E5" s="237" t="s">
        <v>6921</v>
      </c>
      <c r="F5" s="237" t="s">
        <v>13674</v>
      </c>
      <c r="G5" s="237" t="s">
        <v>13675</v>
      </c>
      <c r="H5" s="237" t="s">
        <v>13676</v>
      </c>
      <c r="I5" s="237" t="s">
        <v>13677</v>
      </c>
      <c r="J5" s="237" t="s">
        <v>5224</v>
      </c>
      <c r="K5" s="237" t="s">
        <v>13398</v>
      </c>
      <c r="L5" s="237" t="s">
        <v>8136</v>
      </c>
      <c r="M5" s="232" t="s">
        <v>9383</v>
      </c>
      <c r="N5" s="429" t="s">
        <v>17350</v>
      </c>
    </row>
    <row r="6">
      <c r="A6" s="427">
        <v>5.0</v>
      </c>
      <c r="B6" s="237" t="s">
        <v>9350</v>
      </c>
      <c r="C6" s="237" t="s">
        <v>8796</v>
      </c>
      <c r="D6" s="428">
        <v>44648.0</v>
      </c>
      <c r="E6" s="237" t="s">
        <v>7239</v>
      </c>
      <c r="F6" s="237" t="s">
        <v>9913</v>
      </c>
      <c r="G6" s="237" t="s">
        <v>9914</v>
      </c>
      <c r="H6" s="237" t="s">
        <v>9915</v>
      </c>
      <c r="I6" s="237" t="s">
        <v>9916</v>
      </c>
      <c r="J6" s="237" t="s">
        <v>5224</v>
      </c>
      <c r="K6" s="237" t="s">
        <v>9917</v>
      </c>
      <c r="L6" s="237" t="s">
        <v>8850</v>
      </c>
      <c r="M6" s="232" t="s">
        <v>9383</v>
      </c>
      <c r="N6" s="429" t="s">
        <v>17350</v>
      </c>
    </row>
    <row r="7">
      <c r="A7" s="427">
        <v>6.0</v>
      </c>
      <c r="B7" s="237" t="s">
        <v>8143</v>
      </c>
      <c r="C7" s="237" t="s">
        <v>6918</v>
      </c>
      <c r="D7" s="428">
        <v>44452.0</v>
      </c>
      <c r="E7" s="237" t="s">
        <v>6921</v>
      </c>
      <c r="F7" s="237" t="s">
        <v>15076</v>
      </c>
      <c r="G7" s="237" t="s">
        <v>11298</v>
      </c>
      <c r="H7" s="237" t="s">
        <v>15077</v>
      </c>
      <c r="I7" s="237" t="s">
        <v>15078</v>
      </c>
      <c r="J7" s="237" t="s">
        <v>5224</v>
      </c>
      <c r="K7" s="237" t="s">
        <v>13144</v>
      </c>
      <c r="L7" s="237" t="s">
        <v>8136</v>
      </c>
      <c r="M7" s="232" t="s">
        <v>9383</v>
      </c>
      <c r="N7" s="429" t="s">
        <v>17350</v>
      </c>
    </row>
    <row r="8">
      <c r="A8" s="427">
        <v>7.0</v>
      </c>
      <c r="B8" s="237" t="s">
        <v>6953</v>
      </c>
      <c r="C8" s="237" t="s">
        <v>6918</v>
      </c>
      <c r="D8" s="428">
        <v>43045.0</v>
      </c>
      <c r="E8" s="237" t="s">
        <v>6933</v>
      </c>
      <c r="F8" s="237" t="s">
        <v>15535</v>
      </c>
      <c r="G8" s="237" t="s">
        <v>15539</v>
      </c>
      <c r="H8" s="237" t="s">
        <v>11916</v>
      </c>
      <c r="I8" s="237" t="s">
        <v>15540</v>
      </c>
      <c r="J8" s="237" t="s">
        <v>5224</v>
      </c>
      <c r="K8" s="237" t="s">
        <v>15541</v>
      </c>
      <c r="L8" s="237" t="s">
        <v>6949</v>
      </c>
      <c r="M8" s="232" t="s">
        <v>9383</v>
      </c>
      <c r="N8" s="429" t="s">
        <v>17350</v>
      </c>
    </row>
    <row r="9">
      <c r="A9" s="427">
        <v>8.0</v>
      </c>
      <c r="B9" s="237" t="s">
        <v>4894</v>
      </c>
      <c r="C9" s="237" t="s">
        <v>6918</v>
      </c>
      <c r="D9" s="428">
        <v>44317.0</v>
      </c>
      <c r="E9" s="237" t="s">
        <v>6921</v>
      </c>
      <c r="F9" s="237" t="s">
        <v>9512</v>
      </c>
      <c r="G9" s="237" t="s">
        <v>13367</v>
      </c>
      <c r="H9" s="237" t="s">
        <v>11202</v>
      </c>
      <c r="I9" s="237" t="s">
        <v>4895</v>
      </c>
      <c r="J9" s="237" t="s">
        <v>5224</v>
      </c>
      <c r="K9" s="237" t="s">
        <v>4876</v>
      </c>
      <c r="L9" s="237" t="s">
        <v>17351</v>
      </c>
      <c r="M9" s="232" t="s">
        <v>9383</v>
      </c>
      <c r="N9" s="429" t="s">
        <v>17350</v>
      </c>
    </row>
    <row r="10">
      <c r="A10" s="427">
        <v>9.0</v>
      </c>
      <c r="B10" s="237" t="s">
        <v>948</v>
      </c>
      <c r="C10" s="237" t="s">
        <v>7124</v>
      </c>
      <c r="D10" s="428">
        <v>44866.0</v>
      </c>
      <c r="E10" s="237" t="s">
        <v>6933</v>
      </c>
      <c r="F10" s="237" t="s">
        <v>12585</v>
      </c>
      <c r="G10" s="237" t="s">
        <v>12586</v>
      </c>
      <c r="H10" s="237" t="s">
        <v>11289</v>
      </c>
      <c r="I10" s="237" t="s">
        <v>17352</v>
      </c>
      <c r="J10" s="237" t="s">
        <v>5224</v>
      </c>
      <c r="K10" s="237" t="s">
        <v>12587</v>
      </c>
      <c r="L10" s="237" t="s">
        <v>7514</v>
      </c>
      <c r="M10" s="232" t="s">
        <v>9383</v>
      </c>
      <c r="N10" s="429" t="s">
        <v>17350</v>
      </c>
    </row>
    <row r="11">
      <c r="A11" s="427">
        <v>10.0</v>
      </c>
      <c r="B11" s="237" t="s">
        <v>407</v>
      </c>
      <c r="C11" s="237" t="s">
        <v>6918</v>
      </c>
      <c r="D11" s="428">
        <v>45201.0</v>
      </c>
      <c r="E11" s="237" t="s">
        <v>6933</v>
      </c>
      <c r="F11" s="237" t="s">
        <v>15603</v>
      </c>
      <c r="G11" s="237" t="s">
        <v>15604</v>
      </c>
      <c r="H11" s="237" t="s">
        <v>11581</v>
      </c>
      <c r="I11" s="237" t="s">
        <v>411</v>
      </c>
      <c r="J11" s="237" t="s">
        <v>5012</v>
      </c>
      <c r="K11" s="237" t="s">
        <v>14002</v>
      </c>
      <c r="L11" s="237" t="s">
        <v>8850</v>
      </c>
      <c r="M11" s="232" t="s">
        <v>9383</v>
      </c>
      <c r="N11" s="429" t="s">
        <v>17350</v>
      </c>
    </row>
    <row r="12">
      <c r="A12" s="427">
        <v>11.0</v>
      </c>
      <c r="B12" s="237" t="s">
        <v>7832</v>
      </c>
      <c r="C12" s="237" t="s">
        <v>6918</v>
      </c>
      <c r="D12" s="428">
        <v>43770.0</v>
      </c>
      <c r="E12" s="237" t="s">
        <v>6921</v>
      </c>
      <c r="F12" s="237" t="s">
        <v>14980</v>
      </c>
      <c r="G12" s="237" t="s">
        <v>14984</v>
      </c>
      <c r="H12" s="237" t="s">
        <v>14985</v>
      </c>
      <c r="I12" s="237" t="s">
        <v>14986</v>
      </c>
      <c r="J12" s="237" t="s">
        <v>5224</v>
      </c>
      <c r="K12" s="237" t="s">
        <v>14987</v>
      </c>
      <c r="L12" s="237" t="s">
        <v>7809</v>
      </c>
      <c r="M12" s="232" t="s">
        <v>9383</v>
      </c>
      <c r="N12" s="429" t="s">
        <v>17350</v>
      </c>
    </row>
    <row r="13">
      <c r="A13" s="427">
        <v>12.0</v>
      </c>
      <c r="B13" s="237" t="s">
        <v>4240</v>
      </c>
      <c r="C13" s="237" t="s">
        <v>6918</v>
      </c>
      <c r="D13" s="428">
        <v>43126.0</v>
      </c>
      <c r="E13" s="237" t="s">
        <v>6933</v>
      </c>
      <c r="F13" s="237" t="s">
        <v>17143</v>
      </c>
      <c r="G13" s="237" t="s">
        <v>17144</v>
      </c>
      <c r="H13" s="237" t="s">
        <v>10512</v>
      </c>
      <c r="I13" s="237" t="s">
        <v>4929</v>
      </c>
      <c r="J13" s="237" t="s">
        <v>5224</v>
      </c>
      <c r="K13" s="237" t="s">
        <v>17353</v>
      </c>
      <c r="L13" s="237" t="s">
        <v>2508</v>
      </c>
      <c r="M13" s="232" t="s">
        <v>9383</v>
      </c>
      <c r="N13" s="429" t="s">
        <v>17350</v>
      </c>
    </row>
    <row r="14">
      <c r="A14" s="427">
        <v>13.0</v>
      </c>
      <c r="B14" s="237" t="s">
        <v>4910</v>
      </c>
      <c r="C14" s="237" t="s">
        <v>6918</v>
      </c>
      <c r="D14" s="428">
        <v>44263.0</v>
      </c>
      <c r="E14" s="237" t="s">
        <v>6933</v>
      </c>
      <c r="F14" s="237" t="s">
        <v>13275</v>
      </c>
      <c r="G14" s="237" t="s">
        <v>13276</v>
      </c>
      <c r="H14" s="237" t="s">
        <v>13277</v>
      </c>
      <c r="I14" s="237" t="s">
        <v>4909</v>
      </c>
      <c r="J14" s="237" t="s">
        <v>5224</v>
      </c>
      <c r="K14" s="237" t="s">
        <v>4898</v>
      </c>
      <c r="L14" s="237" t="s">
        <v>2177</v>
      </c>
      <c r="M14" s="232" t="s">
        <v>9383</v>
      </c>
      <c r="N14" s="429" t="s">
        <v>17350</v>
      </c>
    </row>
    <row r="15">
      <c r="A15" s="427">
        <v>14.0</v>
      </c>
      <c r="B15" s="237" t="s">
        <v>9569</v>
      </c>
      <c r="C15" s="237" t="s">
        <v>8796</v>
      </c>
      <c r="D15" s="428">
        <v>45666.0</v>
      </c>
      <c r="E15" s="237" t="s">
        <v>6921</v>
      </c>
      <c r="F15" s="237" t="s">
        <v>9571</v>
      </c>
      <c r="G15" s="237" t="s">
        <v>9572</v>
      </c>
      <c r="H15" s="237" t="s">
        <v>9573</v>
      </c>
      <c r="I15" s="237" t="s">
        <v>9574</v>
      </c>
      <c r="J15" s="237" t="s">
        <v>5224</v>
      </c>
      <c r="K15" s="237" t="s">
        <v>2300</v>
      </c>
      <c r="L15" s="237" t="s">
        <v>9241</v>
      </c>
      <c r="M15" s="232" t="s">
        <v>9391</v>
      </c>
      <c r="N15" s="429" t="s">
        <v>17350</v>
      </c>
    </row>
    <row r="16">
      <c r="A16" s="427">
        <v>15.0</v>
      </c>
      <c r="B16" s="237" t="s">
        <v>3248</v>
      </c>
      <c r="C16" s="237" t="s">
        <v>8796</v>
      </c>
      <c r="D16" s="428">
        <v>44669.0</v>
      </c>
      <c r="E16" s="237" t="s">
        <v>6921</v>
      </c>
      <c r="F16" s="237" t="s">
        <v>17354</v>
      </c>
      <c r="G16" s="237" t="s">
        <v>17355</v>
      </c>
      <c r="H16" s="237" t="s">
        <v>17356</v>
      </c>
      <c r="I16" s="237" t="s">
        <v>6430</v>
      </c>
      <c r="J16" s="237" t="s">
        <v>5224</v>
      </c>
      <c r="K16" s="237" t="s">
        <v>2300</v>
      </c>
      <c r="L16" s="237" t="s">
        <v>5805</v>
      </c>
      <c r="M16" s="232" t="s">
        <v>9383</v>
      </c>
      <c r="N16" s="429" t="s">
        <v>17350</v>
      </c>
    </row>
    <row r="17">
      <c r="A17" s="427">
        <v>16.0</v>
      </c>
      <c r="B17" s="237" t="s">
        <v>4952</v>
      </c>
      <c r="C17" s="237" t="s">
        <v>8796</v>
      </c>
      <c r="D17" s="428">
        <v>41641.0</v>
      </c>
      <c r="E17" s="237" t="s">
        <v>6921</v>
      </c>
      <c r="F17" s="237" t="s">
        <v>9843</v>
      </c>
      <c r="G17" s="237" t="s">
        <v>9844</v>
      </c>
      <c r="H17" s="237" t="s">
        <v>9845</v>
      </c>
      <c r="I17" s="237" t="s">
        <v>4954</v>
      </c>
      <c r="J17" s="237" t="s">
        <v>5224</v>
      </c>
      <c r="K17" s="237" t="s">
        <v>9767</v>
      </c>
      <c r="L17" s="237" t="s">
        <v>5805</v>
      </c>
      <c r="M17" s="232" t="s">
        <v>9383</v>
      </c>
      <c r="N17" s="429" t="s">
        <v>17350</v>
      </c>
    </row>
    <row r="18">
      <c r="A18" s="427">
        <v>17.0</v>
      </c>
      <c r="B18" s="237" t="s">
        <v>9334</v>
      </c>
      <c r="C18" s="237" t="s">
        <v>8796</v>
      </c>
      <c r="D18" s="428">
        <v>43998.0</v>
      </c>
      <c r="E18" s="237" t="s">
        <v>6921</v>
      </c>
      <c r="F18" s="237" t="s">
        <v>9764</v>
      </c>
      <c r="G18" s="237" t="s">
        <v>9765</v>
      </c>
      <c r="H18" s="237" t="s">
        <v>9592</v>
      </c>
      <c r="I18" s="237" t="s">
        <v>9766</v>
      </c>
      <c r="J18" s="237" t="s">
        <v>5224</v>
      </c>
      <c r="K18" s="237" t="s">
        <v>9767</v>
      </c>
      <c r="L18" s="237" t="s">
        <v>5805</v>
      </c>
      <c r="M18" s="232" t="s">
        <v>9383</v>
      </c>
      <c r="N18" s="429" t="s">
        <v>17350</v>
      </c>
    </row>
    <row r="19">
      <c r="A19" s="427">
        <v>18.0</v>
      </c>
      <c r="B19" s="237" t="s">
        <v>10075</v>
      </c>
      <c r="C19" s="237" t="s">
        <v>10040</v>
      </c>
      <c r="D19" s="428">
        <v>43346.0</v>
      </c>
      <c r="E19" s="237" t="s">
        <v>6933</v>
      </c>
      <c r="F19" s="237" t="s">
        <v>10077</v>
      </c>
      <c r="G19" s="237" t="s">
        <v>10078</v>
      </c>
      <c r="H19" s="237" t="s">
        <v>10079</v>
      </c>
      <c r="I19" s="237" t="s">
        <v>10080</v>
      </c>
      <c r="J19" s="237" t="s">
        <v>5224</v>
      </c>
      <c r="K19" s="237" t="s">
        <v>9458</v>
      </c>
      <c r="L19" s="237" t="s">
        <v>10081</v>
      </c>
      <c r="M19" s="232" t="s">
        <v>9383</v>
      </c>
      <c r="N19" s="429" t="s">
        <v>17350</v>
      </c>
    </row>
    <row r="20">
      <c r="A20" s="427">
        <v>19.0</v>
      </c>
      <c r="B20" s="237" t="s">
        <v>360</v>
      </c>
      <c r="C20" s="237" t="s">
        <v>6918</v>
      </c>
      <c r="D20" s="428">
        <v>44368.0</v>
      </c>
      <c r="E20" s="237" t="s">
        <v>6921</v>
      </c>
      <c r="F20" s="237" t="s">
        <v>12041</v>
      </c>
      <c r="G20" s="237" t="s">
        <v>15660</v>
      </c>
      <c r="H20" s="237" t="s">
        <v>15661</v>
      </c>
      <c r="I20" s="237" t="s">
        <v>364</v>
      </c>
      <c r="J20" s="237" t="s">
        <v>5224</v>
      </c>
      <c r="K20" s="237" t="s">
        <v>9458</v>
      </c>
      <c r="L20" s="237" t="s">
        <v>3313</v>
      </c>
      <c r="M20" s="232" t="s">
        <v>9383</v>
      </c>
      <c r="N20" s="429" t="s">
        <v>17350</v>
      </c>
    </row>
    <row r="21">
      <c r="A21" s="427">
        <v>20.0</v>
      </c>
      <c r="B21" s="237" t="s">
        <v>7075</v>
      </c>
      <c r="C21" s="237" t="s">
        <v>6918</v>
      </c>
      <c r="D21" s="428">
        <v>43437.0</v>
      </c>
      <c r="E21" s="237" t="s">
        <v>6933</v>
      </c>
      <c r="F21" s="237" t="s">
        <v>13461</v>
      </c>
      <c r="G21" s="237" t="s">
        <v>13462</v>
      </c>
      <c r="H21" s="237" t="s">
        <v>13463</v>
      </c>
      <c r="I21" s="237" t="s">
        <v>13464</v>
      </c>
      <c r="J21" s="237" t="s">
        <v>5224</v>
      </c>
      <c r="K21" s="237" t="s">
        <v>13465</v>
      </c>
      <c r="L21" s="237" t="s">
        <v>7060</v>
      </c>
      <c r="M21" s="232" t="s">
        <v>9383</v>
      </c>
      <c r="N21" s="429" t="s">
        <v>17350</v>
      </c>
    </row>
    <row r="22">
      <c r="A22" s="427">
        <v>21.0</v>
      </c>
      <c r="B22" s="237" t="s">
        <v>4102</v>
      </c>
      <c r="C22" s="237" t="s">
        <v>6918</v>
      </c>
      <c r="D22" s="428">
        <v>44378.0</v>
      </c>
      <c r="E22" s="237" t="s">
        <v>6921</v>
      </c>
      <c r="F22" s="237" t="s">
        <v>17357</v>
      </c>
      <c r="G22" s="237" t="s">
        <v>17358</v>
      </c>
      <c r="H22" s="237" t="s">
        <v>10732</v>
      </c>
      <c r="I22" s="237" t="s">
        <v>4791</v>
      </c>
      <c r="J22" s="237" t="s">
        <v>5224</v>
      </c>
      <c r="K22" s="237" t="s">
        <v>4780</v>
      </c>
      <c r="L22" s="237" t="s">
        <v>14135</v>
      </c>
      <c r="M22" s="232" t="s">
        <v>9383</v>
      </c>
      <c r="N22" s="429" t="s">
        <v>17350</v>
      </c>
    </row>
    <row r="23">
      <c r="A23" s="427">
        <v>22.0</v>
      </c>
      <c r="B23" s="237" t="s">
        <v>15322</v>
      </c>
      <c r="C23" s="237" t="s">
        <v>6918</v>
      </c>
      <c r="D23" s="428">
        <v>45294.0</v>
      </c>
      <c r="E23" s="237" t="s">
        <v>6921</v>
      </c>
      <c r="F23" s="237" t="s">
        <v>15323</v>
      </c>
      <c r="G23" s="237" t="s">
        <v>15324</v>
      </c>
      <c r="H23" s="237" t="s">
        <v>11164</v>
      </c>
      <c r="I23" s="237" t="s">
        <v>15325</v>
      </c>
      <c r="J23" s="237" t="s">
        <v>5224</v>
      </c>
      <c r="K23" s="237" t="s">
        <v>13577</v>
      </c>
      <c r="L23" s="237" t="s">
        <v>17359</v>
      </c>
      <c r="M23" s="232" t="s">
        <v>9383</v>
      </c>
      <c r="N23" s="429" t="s">
        <v>17350</v>
      </c>
    </row>
    <row r="24">
      <c r="A24" s="427">
        <v>23.0</v>
      </c>
      <c r="B24" s="237" t="s">
        <v>779</v>
      </c>
      <c r="C24" s="237" t="s">
        <v>6918</v>
      </c>
      <c r="D24" s="428">
        <v>45140.0</v>
      </c>
      <c r="E24" s="237" t="s">
        <v>6921</v>
      </c>
      <c r="F24" s="237" t="s">
        <v>15772</v>
      </c>
      <c r="G24" s="237" t="s">
        <v>15773</v>
      </c>
      <c r="H24" s="237" t="s">
        <v>15774</v>
      </c>
      <c r="I24" s="237" t="s">
        <v>782</v>
      </c>
      <c r="J24" s="237" t="s">
        <v>5224</v>
      </c>
      <c r="K24" s="237" t="s">
        <v>13577</v>
      </c>
      <c r="L24" s="237" t="s">
        <v>2251</v>
      </c>
      <c r="M24" s="232" t="s">
        <v>9383</v>
      </c>
      <c r="N24" s="429" t="s">
        <v>17350</v>
      </c>
    </row>
    <row r="25">
      <c r="A25" s="427">
        <v>24.0</v>
      </c>
      <c r="B25" s="237" t="s">
        <v>8940</v>
      </c>
      <c r="C25" s="237" t="s">
        <v>6918</v>
      </c>
      <c r="D25" s="428">
        <v>45481.0</v>
      </c>
      <c r="E25" s="237" t="s">
        <v>6921</v>
      </c>
      <c r="F25" s="237" t="s">
        <v>15299</v>
      </c>
      <c r="G25" s="237" t="s">
        <v>15300</v>
      </c>
      <c r="H25" s="237" t="s">
        <v>9956</v>
      </c>
      <c r="I25" s="237" t="s">
        <v>15301</v>
      </c>
      <c r="J25" s="237" t="s">
        <v>5224</v>
      </c>
      <c r="K25" s="237" t="s">
        <v>13577</v>
      </c>
      <c r="L25" s="237" t="s">
        <v>2244</v>
      </c>
      <c r="M25" s="232" t="s">
        <v>9383</v>
      </c>
      <c r="N25" s="429" t="s">
        <v>17350</v>
      </c>
    </row>
    <row r="26">
      <c r="A26" s="427">
        <v>25.0</v>
      </c>
      <c r="B26" s="237" t="s">
        <v>8943</v>
      </c>
      <c r="C26" s="237" t="s">
        <v>6918</v>
      </c>
      <c r="D26" s="428">
        <v>44445.0</v>
      </c>
      <c r="E26" s="237" t="s">
        <v>6921</v>
      </c>
      <c r="F26" s="237" t="s">
        <v>9967</v>
      </c>
      <c r="G26" s="237" t="s">
        <v>15634</v>
      </c>
      <c r="H26" s="237" t="s">
        <v>10884</v>
      </c>
      <c r="I26" s="237" t="s">
        <v>15635</v>
      </c>
      <c r="J26" s="237" t="s">
        <v>5224</v>
      </c>
      <c r="K26" s="237" t="s">
        <v>13577</v>
      </c>
      <c r="L26" s="237" t="s">
        <v>3122</v>
      </c>
      <c r="M26" s="232" t="s">
        <v>9383</v>
      </c>
      <c r="N26" s="429" t="s">
        <v>17350</v>
      </c>
    </row>
    <row r="27">
      <c r="A27" s="427">
        <v>26.0</v>
      </c>
      <c r="B27" s="237" t="s">
        <v>3738</v>
      </c>
      <c r="C27" s="237" t="s">
        <v>6918</v>
      </c>
      <c r="D27" s="428">
        <v>45201.0</v>
      </c>
      <c r="E27" s="237" t="s">
        <v>7239</v>
      </c>
      <c r="F27" s="237" t="s">
        <v>14373</v>
      </c>
      <c r="G27" s="237" t="s">
        <v>17360</v>
      </c>
      <c r="H27" s="237" t="s">
        <v>10491</v>
      </c>
      <c r="I27" s="237" t="s">
        <v>6638</v>
      </c>
      <c r="J27" s="237" t="s">
        <v>5224</v>
      </c>
      <c r="K27" s="237" t="s">
        <v>17361</v>
      </c>
      <c r="L27" s="237" t="s">
        <v>7434</v>
      </c>
      <c r="M27" s="232" t="s">
        <v>9383</v>
      </c>
      <c r="N27" s="429" t="s">
        <v>17350</v>
      </c>
    </row>
    <row r="28">
      <c r="A28" s="427">
        <v>27.0</v>
      </c>
      <c r="B28" s="237" t="s">
        <v>4474</v>
      </c>
      <c r="C28" s="237" t="s">
        <v>6918</v>
      </c>
      <c r="D28" s="428">
        <v>45597.0</v>
      </c>
      <c r="E28" s="237" t="s">
        <v>6933</v>
      </c>
      <c r="F28" s="237" t="s">
        <v>12122</v>
      </c>
      <c r="G28" s="237" t="s">
        <v>17362</v>
      </c>
      <c r="H28" s="237" t="s">
        <v>9647</v>
      </c>
      <c r="I28" s="237" t="s">
        <v>6881</v>
      </c>
      <c r="J28" s="237" t="s">
        <v>5012</v>
      </c>
      <c r="K28" s="237" t="s">
        <v>9560</v>
      </c>
      <c r="L28" s="237" t="s">
        <v>17363</v>
      </c>
      <c r="M28" s="232" t="s">
        <v>9383</v>
      </c>
      <c r="N28" s="429" t="s">
        <v>17350</v>
      </c>
    </row>
    <row r="29">
      <c r="A29" s="427">
        <v>28.0</v>
      </c>
      <c r="B29" s="237" t="s">
        <v>3748</v>
      </c>
      <c r="C29" s="237" t="s">
        <v>6918</v>
      </c>
      <c r="D29" s="428">
        <v>45323.0</v>
      </c>
      <c r="E29" s="237" t="s">
        <v>6921</v>
      </c>
      <c r="F29" s="237" t="s">
        <v>17364</v>
      </c>
      <c r="G29" s="237" t="s">
        <v>17365</v>
      </c>
      <c r="H29" s="237" t="s">
        <v>10117</v>
      </c>
      <c r="I29" s="237" t="s">
        <v>6641</v>
      </c>
      <c r="J29" s="237" t="s">
        <v>5012</v>
      </c>
      <c r="K29" s="237" t="s">
        <v>9560</v>
      </c>
      <c r="L29" s="237" t="s">
        <v>17366</v>
      </c>
      <c r="M29" s="232" t="s">
        <v>9383</v>
      </c>
      <c r="N29" s="429" t="s">
        <v>17350</v>
      </c>
    </row>
    <row r="30">
      <c r="A30" s="427">
        <v>29.0</v>
      </c>
      <c r="B30" s="237" t="s">
        <v>13747</v>
      </c>
      <c r="C30" s="237" t="s">
        <v>6918</v>
      </c>
      <c r="D30" s="428">
        <v>45078.0</v>
      </c>
      <c r="E30" s="237" t="s">
        <v>6921</v>
      </c>
      <c r="F30" s="237" t="s">
        <v>13748</v>
      </c>
      <c r="G30" s="237" t="s">
        <v>13749</v>
      </c>
      <c r="H30" s="237" t="s">
        <v>13750</v>
      </c>
      <c r="I30" s="237" t="s">
        <v>6297</v>
      </c>
      <c r="J30" s="237" t="s">
        <v>5012</v>
      </c>
      <c r="K30" s="237" t="s">
        <v>9560</v>
      </c>
      <c r="L30" s="237" t="s">
        <v>13751</v>
      </c>
      <c r="M30" s="232" t="s">
        <v>9383</v>
      </c>
      <c r="N30" s="429" t="s">
        <v>17350</v>
      </c>
    </row>
    <row r="31">
      <c r="A31" s="427">
        <v>30.0</v>
      </c>
      <c r="B31" s="237" t="s">
        <v>234</v>
      </c>
      <c r="C31" s="237" t="s">
        <v>6918</v>
      </c>
      <c r="D31" s="428">
        <v>45266.0</v>
      </c>
      <c r="E31" s="237" t="s">
        <v>6933</v>
      </c>
      <c r="F31" s="237" t="s">
        <v>13206</v>
      </c>
      <c r="G31" s="237" t="s">
        <v>13207</v>
      </c>
      <c r="H31" s="237" t="s">
        <v>13208</v>
      </c>
      <c r="I31" s="237" t="s">
        <v>237</v>
      </c>
      <c r="J31" s="237" t="s">
        <v>5012</v>
      </c>
      <c r="K31" s="237" t="s">
        <v>9560</v>
      </c>
      <c r="L31" s="237" t="s">
        <v>17367</v>
      </c>
      <c r="M31" s="232" t="s">
        <v>9383</v>
      </c>
      <c r="N31" s="429" t="s">
        <v>17350</v>
      </c>
    </row>
    <row r="32">
      <c r="A32" s="427">
        <v>31.0</v>
      </c>
      <c r="B32" s="237" t="s">
        <v>15401</v>
      </c>
      <c r="C32" s="237" t="s">
        <v>6918</v>
      </c>
      <c r="D32" s="428">
        <v>45096.0</v>
      </c>
      <c r="E32" s="237" t="s">
        <v>6933</v>
      </c>
      <c r="F32" s="237" t="s">
        <v>15402</v>
      </c>
      <c r="G32" s="237" t="s">
        <v>15403</v>
      </c>
      <c r="H32" s="237" t="s">
        <v>11900</v>
      </c>
      <c r="I32" s="237" t="s">
        <v>15404</v>
      </c>
      <c r="J32" s="237" t="s">
        <v>5012</v>
      </c>
      <c r="K32" s="237" t="s">
        <v>9560</v>
      </c>
      <c r="L32" s="237" t="s">
        <v>17368</v>
      </c>
      <c r="M32" s="232" t="s">
        <v>9383</v>
      </c>
      <c r="N32" s="429" t="s">
        <v>17350</v>
      </c>
    </row>
    <row r="33">
      <c r="A33" s="427">
        <v>32.0</v>
      </c>
      <c r="B33" s="237" t="s">
        <v>4237</v>
      </c>
      <c r="C33" s="237" t="s">
        <v>6918</v>
      </c>
      <c r="D33" s="428">
        <v>45444.0</v>
      </c>
      <c r="E33" s="237" t="s">
        <v>6921</v>
      </c>
      <c r="F33" s="237" t="s">
        <v>10873</v>
      </c>
      <c r="G33" s="237" t="s">
        <v>17369</v>
      </c>
      <c r="H33" s="237" t="s">
        <v>9435</v>
      </c>
      <c r="I33" s="237" t="s">
        <v>4992</v>
      </c>
      <c r="J33" s="237" t="s">
        <v>5012</v>
      </c>
      <c r="K33" s="237" t="s">
        <v>9560</v>
      </c>
      <c r="L33" s="237" t="s">
        <v>17370</v>
      </c>
      <c r="M33" s="232" t="s">
        <v>9383</v>
      </c>
      <c r="N33" s="429" t="s">
        <v>17350</v>
      </c>
    </row>
    <row r="34">
      <c r="A34" s="427">
        <v>33.0</v>
      </c>
      <c r="B34" s="237" t="s">
        <v>14531</v>
      </c>
      <c r="C34" s="237" t="s">
        <v>6918</v>
      </c>
      <c r="D34" s="428">
        <v>44725.0</v>
      </c>
      <c r="E34" s="237" t="s">
        <v>6933</v>
      </c>
      <c r="F34" s="237" t="s">
        <v>14532</v>
      </c>
      <c r="G34" s="237" t="s">
        <v>14533</v>
      </c>
      <c r="H34" s="237" t="s">
        <v>14534</v>
      </c>
      <c r="I34" s="237" t="s">
        <v>14535</v>
      </c>
      <c r="J34" s="237" t="s">
        <v>5012</v>
      </c>
      <c r="K34" s="237" t="s">
        <v>9560</v>
      </c>
      <c r="L34" s="237" t="s">
        <v>17371</v>
      </c>
      <c r="M34" s="232" t="s">
        <v>9383</v>
      </c>
      <c r="N34" s="429" t="s">
        <v>17350</v>
      </c>
    </row>
    <row r="35">
      <c r="A35" s="427">
        <v>34.0</v>
      </c>
      <c r="B35" s="237" t="s">
        <v>3399</v>
      </c>
      <c r="C35" s="237" t="s">
        <v>6918</v>
      </c>
      <c r="D35" s="428">
        <v>45187.0</v>
      </c>
      <c r="E35" s="237" t="s">
        <v>6921</v>
      </c>
      <c r="F35" s="237" t="s">
        <v>13426</v>
      </c>
      <c r="G35" s="237" t="s">
        <v>13427</v>
      </c>
      <c r="H35" s="237" t="s">
        <v>13428</v>
      </c>
      <c r="I35" s="237" t="s">
        <v>6486</v>
      </c>
      <c r="J35" s="237" t="s">
        <v>5012</v>
      </c>
      <c r="K35" s="237" t="s">
        <v>9560</v>
      </c>
      <c r="L35" s="237" t="s">
        <v>17368</v>
      </c>
      <c r="M35" s="232" t="s">
        <v>9383</v>
      </c>
      <c r="N35" s="429" t="s">
        <v>17350</v>
      </c>
    </row>
    <row r="36">
      <c r="A36" s="427">
        <v>35.0</v>
      </c>
      <c r="B36" s="237" t="s">
        <v>13758</v>
      </c>
      <c r="C36" s="237" t="s">
        <v>6918</v>
      </c>
      <c r="D36" s="428">
        <v>42632.0</v>
      </c>
      <c r="E36" s="237" t="s">
        <v>6921</v>
      </c>
      <c r="F36" s="237" t="s">
        <v>13760</v>
      </c>
      <c r="G36" s="237" t="s">
        <v>13761</v>
      </c>
      <c r="H36" s="237" t="s">
        <v>9663</v>
      </c>
      <c r="I36" s="237" t="s">
        <v>13762</v>
      </c>
      <c r="J36" s="237" t="s">
        <v>5012</v>
      </c>
      <c r="K36" s="237" t="s">
        <v>9560</v>
      </c>
      <c r="L36" s="237" t="s">
        <v>17372</v>
      </c>
      <c r="M36" s="232" t="s">
        <v>9383</v>
      </c>
      <c r="N36" s="429" t="s">
        <v>17350</v>
      </c>
    </row>
    <row r="37">
      <c r="A37" s="427">
        <v>36.0</v>
      </c>
      <c r="B37" s="237" t="s">
        <v>13712</v>
      </c>
      <c r="C37" s="237" t="s">
        <v>6918</v>
      </c>
      <c r="D37" s="428">
        <v>45414.0</v>
      </c>
      <c r="E37" s="237" t="s">
        <v>6921</v>
      </c>
      <c r="F37" s="237" t="s">
        <v>13713</v>
      </c>
      <c r="G37" s="237" t="s">
        <v>13714</v>
      </c>
      <c r="H37" s="237" t="s">
        <v>13715</v>
      </c>
      <c r="I37" s="237" t="s">
        <v>13716</v>
      </c>
      <c r="J37" s="237" t="s">
        <v>5012</v>
      </c>
      <c r="K37" s="237" t="s">
        <v>9560</v>
      </c>
      <c r="L37" s="237" t="s">
        <v>17373</v>
      </c>
      <c r="M37" s="232" t="s">
        <v>9383</v>
      </c>
      <c r="N37" s="429" t="s">
        <v>17350</v>
      </c>
    </row>
    <row r="38">
      <c r="A38" s="427">
        <v>37.0</v>
      </c>
      <c r="B38" s="237" t="s">
        <v>3971</v>
      </c>
      <c r="C38" s="237" t="s">
        <v>6918</v>
      </c>
      <c r="D38" s="428">
        <v>45261.0</v>
      </c>
      <c r="E38" s="237" t="s">
        <v>6933</v>
      </c>
      <c r="F38" s="237" t="s">
        <v>17374</v>
      </c>
      <c r="G38" s="237" t="s">
        <v>17375</v>
      </c>
      <c r="H38" s="237" t="s">
        <v>9592</v>
      </c>
      <c r="I38" s="237" t="s">
        <v>6722</v>
      </c>
      <c r="J38" s="237" t="s">
        <v>5012</v>
      </c>
      <c r="K38" s="237" t="s">
        <v>9560</v>
      </c>
      <c r="L38" s="237" t="s">
        <v>17376</v>
      </c>
      <c r="M38" s="232" t="s">
        <v>9383</v>
      </c>
      <c r="N38" s="429" t="s">
        <v>17350</v>
      </c>
    </row>
    <row r="39">
      <c r="A39" s="427">
        <v>38.0</v>
      </c>
      <c r="B39" s="237" t="s">
        <v>15239</v>
      </c>
      <c r="C39" s="237" t="s">
        <v>6918</v>
      </c>
      <c r="D39" s="428">
        <v>43507.0</v>
      </c>
      <c r="E39" s="237" t="s">
        <v>6921</v>
      </c>
      <c r="F39" s="237" t="s">
        <v>15241</v>
      </c>
      <c r="G39" s="237" t="s">
        <v>15242</v>
      </c>
      <c r="H39" s="237" t="s">
        <v>9413</v>
      </c>
      <c r="I39" s="237" t="s">
        <v>15243</v>
      </c>
      <c r="J39" s="237" t="s">
        <v>5012</v>
      </c>
      <c r="K39" s="237" t="s">
        <v>9560</v>
      </c>
      <c r="L39" s="237" t="s">
        <v>17372</v>
      </c>
      <c r="M39" s="232" t="s">
        <v>9383</v>
      </c>
      <c r="N39" s="429" t="s">
        <v>17350</v>
      </c>
    </row>
    <row r="40">
      <c r="A40" s="427">
        <v>39.0</v>
      </c>
      <c r="B40" s="237" t="s">
        <v>9575</v>
      </c>
      <c r="C40" s="237" t="s">
        <v>8796</v>
      </c>
      <c r="D40" s="428">
        <v>45215.0</v>
      </c>
      <c r="E40" s="237" t="s">
        <v>6933</v>
      </c>
      <c r="F40" s="237" t="s">
        <v>9577</v>
      </c>
      <c r="G40" s="237" t="s">
        <v>9578</v>
      </c>
      <c r="H40" s="237" t="s">
        <v>9579</v>
      </c>
      <c r="I40" s="237" t="s">
        <v>9580</v>
      </c>
      <c r="J40" s="237" t="s">
        <v>5012</v>
      </c>
      <c r="K40" s="237" t="s">
        <v>9560</v>
      </c>
      <c r="L40" s="237" t="s">
        <v>8991</v>
      </c>
      <c r="M40" s="232" t="s">
        <v>9383</v>
      </c>
      <c r="N40" s="429" t="s">
        <v>17350</v>
      </c>
    </row>
    <row r="41">
      <c r="A41" s="427">
        <v>40.0</v>
      </c>
      <c r="B41" s="237" t="s">
        <v>14167</v>
      </c>
      <c r="C41" s="237" t="s">
        <v>6918</v>
      </c>
      <c r="D41" s="428">
        <v>44291.0</v>
      </c>
      <c r="E41" s="237" t="s">
        <v>6921</v>
      </c>
      <c r="F41" s="237" t="s">
        <v>14169</v>
      </c>
      <c r="G41" s="237" t="s">
        <v>14170</v>
      </c>
      <c r="H41" s="237" t="s">
        <v>13288</v>
      </c>
      <c r="I41" s="237" t="s">
        <v>14171</v>
      </c>
      <c r="J41" s="237" t="s">
        <v>5012</v>
      </c>
      <c r="K41" s="237" t="s">
        <v>9560</v>
      </c>
      <c r="L41" s="237" t="s">
        <v>3280</v>
      </c>
      <c r="M41" s="232" t="s">
        <v>9383</v>
      </c>
      <c r="N41" s="429" t="s">
        <v>17350</v>
      </c>
    </row>
    <row r="42">
      <c r="A42" s="427">
        <v>41.0</v>
      </c>
      <c r="B42" s="237" t="s">
        <v>9554</v>
      </c>
      <c r="C42" s="237" t="s">
        <v>8796</v>
      </c>
      <c r="D42" s="428">
        <v>45433.0</v>
      </c>
      <c r="E42" s="237" t="s">
        <v>6921</v>
      </c>
      <c r="F42" s="237" t="s">
        <v>9556</v>
      </c>
      <c r="G42" s="237" t="s">
        <v>9557</v>
      </c>
      <c r="H42" s="237" t="s">
        <v>9558</v>
      </c>
      <c r="I42" s="237" t="s">
        <v>9559</v>
      </c>
      <c r="J42" s="237" t="s">
        <v>5012</v>
      </c>
      <c r="K42" s="237" t="s">
        <v>9560</v>
      </c>
      <c r="L42" s="237" t="s">
        <v>8991</v>
      </c>
      <c r="M42" s="232" t="s">
        <v>9383</v>
      </c>
      <c r="N42" s="429" t="s">
        <v>17350</v>
      </c>
    </row>
    <row r="43">
      <c r="A43" s="427">
        <v>42.0</v>
      </c>
      <c r="B43" s="237" t="s">
        <v>6383</v>
      </c>
      <c r="C43" s="237" t="s">
        <v>6918</v>
      </c>
      <c r="D43" s="428">
        <v>45353.0</v>
      </c>
      <c r="E43" s="237" t="s">
        <v>6921</v>
      </c>
      <c r="F43" s="237" t="s">
        <v>17377</v>
      </c>
      <c r="G43" s="237" t="s">
        <v>17378</v>
      </c>
      <c r="H43" s="237" t="s">
        <v>13867</v>
      </c>
      <c r="I43" s="237" t="s">
        <v>6384</v>
      </c>
      <c r="J43" s="237" t="s">
        <v>5012</v>
      </c>
      <c r="K43" s="237" t="s">
        <v>9560</v>
      </c>
      <c r="L43" s="237" t="s">
        <v>15386</v>
      </c>
      <c r="M43" s="232" t="s">
        <v>9383</v>
      </c>
      <c r="N43" s="429" t="s">
        <v>17350</v>
      </c>
    </row>
    <row r="44">
      <c r="A44" s="427">
        <v>43.0</v>
      </c>
      <c r="B44" s="237" t="s">
        <v>13391</v>
      </c>
      <c r="C44" s="237" t="s">
        <v>6918</v>
      </c>
      <c r="D44" s="428">
        <v>45201.0</v>
      </c>
      <c r="E44" s="237" t="s">
        <v>6921</v>
      </c>
      <c r="F44" s="237" t="s">
        <v>13392</v>
      </c>
      <c r="G44" s="237" t="s">
        <v>10588</v>
      </c>
      <c r="H44" s="237" t="s">
        <v>9413</v>
      </c>
      <c r="I44" s="237" t="s">
        <v>13393</v>
      </c>
      <c r="J44" s="237" t="s">
        <v>5012</v>
      </c>
      <c r="K44" s="237" t="s">
        <v>9560</v>
      </c>
      <c r="L44" s="237" t="s">
        <v>17367</v>
      </c>
      <c r="M44" s="232" t="s">
        <v>9383</v>
      </c>
      <c r="N44" s="429" t="s">
        <v>17350</v>
      </c>
    </row>
    <row r="45">
      <c r="A45" s="427">
        <v>44.0</v>
      </c>
      <c r="B45" s="237" t="s">
        <v>4178</v>
      </c>
      <c r="C45" s="237" t="s">
        <v>6918</v>
      </c>
      <c r="D45" s="428">
        <v>45334.0</v>
      </c>
      <c r="E45" s="237" t="s">
        <v>6921</v>
      </c>
      <c r="F45" s="237" t="s">
        <v>17379</v>
      </c>
      <c r="G45" s="237" t="s">
        <v>17380</v>
      </c>
      <c r="H45" s="237" t="s">
        <v>17381</v>
      </c>
      <c r="I45" s="237" t="s">
        <v>6784</v>
      </c>
      <c r="J45" s="237" t="s">
        <v>5012</v>
      </c>
      <c r="K45" s="237" t="s">
        <v>9560</v>
      </c>
      <c r="L45" s="237" t="s">
        <v>17382</v>
      </c>
      <c r="M45" s="232" t="s">
        <v>9383</v>
      </c>
      <c r="N45" s="429" t="s">
        <v>17350</v>
      </c>
    </row>
    <row r="46">
      <c r="A46" s="427">
        <v>45.0</v>
      </c>
      <c r="B46" s="237" t="s">
        <v>3545</v>
      </c>
      <c r="C46" s="237" t="s">
        <v>6918</v>
      </c>
      <c r="D46" s="428">
        <v>45691.0</v>
      </c>
      <c r="E46" s="237" t="s">
        <v>6933</v>
      </c>
      <c r="F46" s="237" t="s">
        <v>17383</v>
      </c>
      <c r="G46" s="237" t="s">
        <v>17384</v>
      </c>
      <c r="H46" s="237" t="s">
        <v>11289</v>
      </c>
      <c r="I46" s="237" t="s">
        <v>6568</v>
      </c>
      <c r="J46" s="237" t="s">
        <v>5012</v>
      </c>
      <c r="K46" s="237" t="s">
        <v>9560</v>
      </c>
      <c r="L46" s="237" t="s">
        <v>17368</v>
      </c>
      <c r="M46" s="232" t="s">
        <v>9391</v>
      </c>
      <c r="N46" s="429" t="s">
        <v>17350</v>
      </c>
    </row>
    <row r="47">
      <c r="A47" s="427">
        <v>46.0</v>
      </c>
      <c r="B47" s="237" t="s">
        <v>13981</v>
      </c>
      <c r="C47" s="237" t="s">
        <v>6918</v>
      </c>
      <c r="D47" s="428">
        <v>45096.0</v>
      </c>
      <c r="E47" s="237" t="s">
        <v>6921</v>
      </c>
      <c r="F47" s="237" t="s">
        <v>13982</v>
      </c>
      <c r="G47" s="237" t="s">
        <v>13983</v>
      </c>
      <c r="H47" s="237" t="s">
        <v>10989</v>
      </c>
      <c r="I47" s="237" t="s">
        <v>13984</v>
      </c>
      <c r="J47" s="237" t="s">
        <v>5012</v>
      </c>
      <c r="K47" s="237" t="s">
        <v>9560</v>
      </c>
      <c r="L47" s="237" t="s">
        <v>17371</v>
      </c>
      <c r="M47" s="232" t="s">
        <v>9383</v>
      </c>
      <c r="N47" s="429" t="s">
        <v>17350</v>
      </c>
    </row>
    <row r="48">
      <c r="A48" s="427">
        <v>47.0</v>
      </c>
      <c r="B48" s="237" t="s">
        <v>4290</v>
      </c>
      <c r="C48" s="237" t="s">
        <v>6918</v>
      </c>
      <c r="D48" s="428">
        <v>45019.0</v>
      </c>
      <c r="E48" s="237" t="s">
        <v>6921</v>
      </c>
      <c r="F48" s="237" t="s">
        <v>14318</v>
      </c>
      <c r="G48" s="237" t="s">
        <v>14319</v>
      </c>
      <c r="H48" s="237" t="s">
        <v>14320</v>
      </c>
      <c r="I48" s="237" t="s">
        <v>6812</v>
      </c>
      <c r="J48" s="237" t="s">
        <v>5012</v>
      </c>
      <c r="K48" s="237" t="s">
        <v>9560</v>
      </c>
      <c r="L48" s="237" t="s">
        <v>17385</v>
      </c>
      <c r="M48" s="232" t="s">
        <v>9383</v>
      </c>
      <c r="N48" s="429" t="s">
        <v>17350</v>
      </c>
    </row>
    <row r="49">
      <c r="A49" s="427">
        <v>48.0</v>
      </c>
      <c r="B49" s="237" t="s">
        <v>14589</v>
      </c>
      <c r="C49" s="237" t="s">
        <v>6918</v>
      </c>
      <c r="D49" s="428">
        <v>45597.0</v>
      </c>
      <c r="E49" s="237" t="s">
        <v>6921</v>
      </c>
      <c r="F49" s="237" t="s">
        <v>14590</v>
      </c>
      <c r="G49" s="237" t="s">
        <v>14591</v>
      </c>
      <c r="H49" s="237" t="s">
        <v>11014</v>
      </c>
      <c r="I49" s="237" t="s">
        <v>14592</v>
      </c>
      <c r="J49" s="237" t="s">
        <v>5012</v>
      </c>
      <c r="K49" s="237" t="s">
        <v>6322</v>
      </c>
      <c r="L49" s="237" t="s">
        <v>17373</v>
      </c>
      <c r="M49" s="232" t="s">
        <v>9383</v>
      </c>
      <c r="N49" s="429" t="s">
        <v>17350</v>
      </c>
    </row>
    <row r="50">
      <c r="A50" s="427">
        <v>49.0</v>
      </c>
      <c r="B50" s="237" t="s">
        <v>4079</v>
      </c>
      <c r="C50" s="237" t="s">
        <v>6918</v>
      </c>
      <c r="D50" s="428">
        <v>45323.0</v>
      </c>
      <c r="E50" s="237" t="s">
        <v>6921</v>
      </c>
      <c r="F50" s="237" t="s">
        <v>13693</v>
      </c>
      <c r="G50" s="237" t="s">
        <v>17386</v>
      </c>
      <c r="H50" s="237" t="s">
        <v>9868</v>
      </c>
      <c r="I50" s="237" t="s">
        <v>6756</v>
      </c>
      <c r="J50" s="237" t="s">
        <v>5012</v>
      </c>
      <c r="K50" s="237" t="s">
        <v>6322</v>
      </c>
      <c r="L50" s="237" t="s">
        <v>17387</v>
      </c>
      <c r="M50" s="232" t="s">
        <v>9383</v>
      </c>
      <c r="N50" s="429" t="s">
        <v>17350</v>
      </c>
    </row>
    <row r="51">
      <c r="A51" s="427">
        <v>50.0</v>
      </c>
      <c r="B51" s="237" t="s">
        <v>15597</v>
      </c>
      <c r="C51" s="237" t="s">
        <v>6918</v>
      </c>
      <c r="D51" s="428">
        <v>44893.0</v>
      </c>
      <c r="E51" s="237" t="s">
        <v>6921</v>
      </c>
      <c r="F51" s="237" t="s">
        <v>11974</v>
      </c>
      <c r="G51" s="237" t="s">
        <v>15598</v>
      </c>
      <c r="H51" s="237" t="s">
        <v>11585</v>
      </c>
      <c r="I51" s="237" t="s">
        <v>15599</v>
      </c>
      <c r="J51" s="237" t="s">
        <v>5012</v>
      </c>
      <c r="K51" s="237" t="s">
        <v>6322</v>
      </c>
      <c r="L51" s="237" t="s">
        <v>3129</v>
      </c>
      <c r="M51" s="232" t="s">
        <v>9383</v>
      </c>
      <c r="N51" s="429" t="s">
        <v>17350</v>
      </c>
    </row>
    <row r="52">
      <c r="A52" s="427">
        <v>51.0</v>
      </c>
      <c r="B52" s="237" t="s">
        <v>3181</v>
      </c>
      <c r="C52" s="237" t="s">
        <v>6918</v>
      </c>
      <c r="D52" s="428">
        <v>45698.0</v>
      </c>
      <c r="E52" s="237" t="s">
        <v>6921</v>
      </c>
      <c r="F52" s="237" t="s">
        <v>17388</v>
      </c>
      <c r="G52" s="237" t="s">
        <v>17389</v>
      </c>
      <c r="H52" s="237" t="s">
        <v>10664</v>
      </c>
      <c r="I52" s="237" t="s">
        <v>6397</v>
      </c>
      <c r="J52" s="237" t="s">
        <v>5012</v>
      </c>
      <c r="K52" s="237" t="s">
        <v>6322</v>
      </c>
      <c r="L52" s="237" t="s">
        <v>15386</v>
      </c>
      <c r="M52" s="232" t="s">
        <v>9383</v>
      </c>
      <c r="N52" s="429" t="s">
        <v>17350</v>
      </c>
    </row>
    <row r="53">
      <c r="A53" s="427">
        <v>52.0</v>
      </c>
      <c r="B53" s="237" t="s">
        <v>3977</v>
      </c>
      <c r="C53" s="237" t="s">
        <v>6918</v>
      </c>
      <c r="D53" s="428">
        <v>45733.0</v>
      </c>
      <c r="E53" s="237" t="s">
        <v>6921</v>
      </c>
      <c r="F53" s="237" t="s">
        <v>15625</v>
      </c>
      <c r="G53" s="237" t="s">
        <v>15626</v>
      </c>
      <c r="H53" s="237" t="s">
        <v>10852</v>
      </c>
      <c r="I53" s="237" t="s">
        <v>6723</v>
      </c>
      <c r="J53" s="237" t="s">
        <v>5012</v>
      </c>
      <c r="K53" s="237" t="s">
        <v>6322</v>
      </c>
      <c r="L53" s="237" t="s">
        <v>13414</v>
      </c>
      <c r="M53" s="232" t="s">
        <v>9391</v>
      </c>
      <c r="N53" s="429" t="s">
        <v>17350</v>
      </c>
    </row>
    <row r="54">
      <c r="A54" s="427">
        <v>53.0</v>
      </c>
      <c r="B54" s="237" t="s">
        <v>15624</v>
      </c>
      <c r="C54" s="237" t="s">
        <v>6918</v>
      </c>
      <c r="D54" s="428">
        <v>45733.0</v>
      </c>
      <c r="E54" s="237" t="s">
        <v>6921</v>
      </c>
      <c r="F54" s="237" t="s">
        <v>15625</v>
      </c>
      <c r="G54" s="237" t="s">
        <v>15626</v>
      </c>
      <c r="H54" s="237" t="s">
        <v>10852</v>
      </c>
      <c r="I54" s="237" t="s">
        <v>6723</v>
      </c>
      <c r="J54" s="237" t="s">
        <v>5012</v>
      </c>
      <c r="K54" s="237" t="s">
        <v>6322</v>
      </c>
      <c r="L54" s="237" t="s">
        <v>13414</v>
      </c>
      <c r="M54" s="232" t="s">
        <v>9391</v>
      </c>
      <c r="N54" s="429" t="s">
        <v>17350</v>
      </c>
    </row>
    <row r="55">
      <c r="A55" s="427">
        <v>54.0</v>
      </c>
      <c r="B55" s="237" t="s">
        <v>14358</v>
      </c>
      <c r="C55" s="237" t="s">
        <v>6918</v>
      </c>
      <c r="D55" s="428">
        <v>45719.0</v>
      </c>
      <c r="E55" s="237" t="s">
        <v>6921</v>
      </c>
      <c r="F55" s="237" t="s">
        <v>14359</v>
      </c>
      <c r="G55" s="237" t="s">
        <v>14360</v>
      </c>
      <c r="H55" s="237" t="s">
        <v>10420</v>
      </c>
      <c r="I55" s="237" t="s">
        <v>14361</v>
      </c>
      <c r="J55" s="237" t="s">
        <v>5012</v>
      </c>
      <c r="K55" s="237" t="s">
        <v>6322</v>
      </c>
      <c r="L55" s="237" t="s">
        <v>15386</v>
      </c>
      <c r="M55" s="232" t="s">
        <v>9391</v>
      </c>
      <c r="N55" s="429" t="s">
        <v>17350</v>
      </c>
    </row>
    <row r="56">
      <c r="A56" s="427">
        <v>55.0</v>
      </c>
      <c r="B56" s="237" t="s">
        <v>15565</v>
      </c>
      <c r="C56" s="237" t="s">
        <v>6918</v>
      </c>
      <c r="D56" s="428">
        <v>44550.0</v>
      </c>
      <c r="E56" s="237" t="s">
        <v>6921</v>
      </c>
      <c r="F56" s="237" t="s">
        <v>11961</v>
      </c>
      <c r="G56" s="237" t="s">
        <v>15566</v>
      </c>
      <c r="H56" s="237" t="s">
        <v>10311</v>
      </c>
      <c r="I56" s="237" t="s">
        <v>15567</v>
      </c>
      <c r="J56" s="237" t="s">
        <v>5012</v>
      </c>
      <c r="K56" s="237" t="s">
        <v>6322</v>
      </c>
      <c r="L56" s="237" t="s">
        <v>17390</v>
      </c>
      <c r="M56" s="232" t="s">
        <v>9383</v>
      </c>
      <c r="N56" s="429" t="s">
        <v>17350</v>
      </c>
    </row>
    <row r="57">
      <c r="A57" s="427">
        <v>56.0</v>
      </c>
      <c r="B57" s="237" t="s">
        <v>15147</v>
      </c>
      <c r="C57" s="237" t="s">
        <v>6918</v>
      </c>
      <c r="D57" s="428">
        <v>45243.0</v>
      </c>
      <c r="E57" s="237" t="s">
        <v>6921</v>
      </c>
      <c r="F57" s="237" t="s">
        <v>11655</v>
      </c>
      <c r="G57" s="237" t="s">
        <v>15148</v>
      </c>
      <c r="H57" s="237" t="s">
        <v>12030</v>
      </c>
      <c r="I57" s="237" t="s">
        <v>15149</v>
      </c>
      <c r="J57" s="237" t="s">
        <v>5012</v>
      </c>
      <c r="K57" s="237" t="s">
        <v>6322</v>
      </c>
      <c r="L57" s="237" t="s">
        <v>17372</v>
      </c>
      <c r="M57" s="232" t="s">
        <v>9383</v>
      </c>
      <c r="N57" s="429" t="s">
        <v>17350</v>
      </c>
    </row>
    <row r="58">
      <c r="A58" s="427">
        <v>57.0</v>
      </c>
      <c r="B58" s="237" t="s">
        <v>14870</v>
      </c>
      <c r="C58" s="237" t="s">
        <v>6918</v>
      </c>
      <c r="D58" s="428">
        <v>45348.0</v>
      </c>
      <c r="E58" s="237" t="s">
        <v>6921</v>
      </c>
      <c r="F58" s="237" t="s">
        <v>14872</v>
      </c>
      <c r="G58" s="237" t="s">
        <v>14873</v>
      </c>
      <c r="H58" s="237" t="s">
        <v>10236</v>
      </c>
      <c r="I58" s="237" t="s">
        <v>14874</v>
      </c>
      <c r="J58" s="237" t="s">
        <v>5012</v>
      </c>
      <c r="K58" s="237" t="s">
        <v>6322</v>
      </c>
      <c r="L58" s="237" t="s">
        <v>17391</v>
      </c>
      <c r="M58" s="232" t="s">
        <v>9383</v>
      </c>
      <c r="N58" s="429" t="s">
        <v>17350</v>
      </c>
    </row>
    <row r="59">
      <c r="A59" s="427">
        <v>58.0</v>
      </c>
      <c r="B59" s="237" t="s">
        <v>14367</v>
      </c>
      <c r="C59" s="237" t="s">
        <v>6918</v>
      </c>
      <c r="D59" s="428">
        <v>43207.0</v>
      </c>
      <c r="E59" s="237" t="s">
        <v>6921</v>
      </c>
      <c r="F59" s="237" t="s">
        <v>14368</v>
      </c>
      <c r="G59" s="237" t="s">
        <v>14369</v>
      </c>
      <c r="H59" s="237" t="s">
        <v>14370</v>
      </c>
      <c r="I59" s="237" t="s">
        <v>14371</v>
      </c>
      <c r="J59" s="237" t="s">
        <v>5012</v>
      </c>
      <c r="K59" s="237" t="s">
        <v>6322</v>
      </c>
      <c r="L59" s="237" t="s">
        <v>17390</v>
      </c>
      <c r="M59" s="232" t="s">
        <v>9383</v>
      </c>
      <c r="N59" s="429" t="s">
        <v>17350</v>
      </c>
    </row>
    <row r="60">
      <c r="A60" s="427">
        <v>59.0</v>
      </c>
      <c r="B60" s="237" t="s">
        <v>10096</v>
      </c>
      <c r="C60" s="237" t="s">
        <v>10040</v>
      </c>
      <c r="D60" s="428">
        <v>45175.0</v>
      </c>
      <c r="E60" s="237" t="s">
        <v>6921</v>
      </c>
      <c r="F60" s="237" t="s">
        <v>10098</v>
      </c>
      <c r="G60" s="237" t="s">
        <v>10099</v>
      </c>
      <c r="H60" s="237" t="s">
        <v>10100</v>
      </c>
      <c r="I60" s="237" t="s">
        <v>10101</v>
      </c>
      <c r="J60" s="237" t="s">
        <v>5012</v>
      </c>
      <c r="K60" s="237" t="s">
        <v>6322</v>
      </c>
      <c r="L60" s="237" t="s">
        <v>389</v>
      </c>
      <c r="M60" s="232" t="s">
        <v>9383</v>
      </c>
      <c r="N60" s="429" t="s">
        <v>17350</v>
      </c>
    </row>
    <row r="61">
      <c r="A61" s="427">
        <v>60.0</v>
      </c>
      <c r="B61" s="237" t="s">
        <v>16469</v>
      </c>
      <c r="C61" s="237" t="s">
        <v>16470</v>
      </c>
      <c r="D61" s="428">
        <v>42461.0</v>
      </c>
      <c r="E61" s="237" t="s">
        <v>6933</v>
      </c>
      <c r="F61" s="237" t="s">
        <v>14040</v>
      </c>
      <c r="G61" s="237" t="s">
        <v>16472</v>
      </c>
      <c r="H61" s="237" t="s">
        <v>10776</v>
      </c>
      <c r="I61" s="237" t="s">
        <v>16473</v>
      </c>
      <c r="J61" s="237" t="s">
        <v>5012</v>
      </c>
      <c r="K61" s="237" t="s">
        <v>12663</v>
      </c>
      <c r="L61" s="237" t="s">
        <v>16463</v>
      </c>
      <c r="M61" s="232" t="s">
        <v>9383</v>
      </c>
      <c r="N61" s="429" t="s">
        <v>17350</v>
      </c>
    </row>
    <row r="62">
      <c r="A62" s="427">
        <v>61.0</v>
      </c>
      <c r="B62" s="237" t="s">
        <v>7309</v>
      </c>
      <c r="C62" s="237" t="s">
        <v>7277</v>
      </c>
      <c r="D62" s="428">
        <v>43108.0</v>
      </c>
      <c r="E62" s="237" t="s">
        <v>6921</v>
      </c>
      <c r="F62" s="237" t="s">
        <v>12723</v>
      </c>
      <c r="G62" s="237" t="s">
        <v>12724</v>
      </c>
      <c r="H62" s="237" t="s">
        <v>9827</v>
      </c>
      <c r="I62" s="237" t="s">
        <v>12725</v>
      </c>
      <c r="J62" s="237" t="s">
        <v>5224</v>
      </c>
      <c r="K62" s="237" t="s">
        <v>12663</v>
      </c>
      <c r="L62" s="237" t="s">
        <v>2919</v>
      </c>
      <c r="M62" s="232" t="s">
        <v>9383</v>
      </c>
      <c r="N62" s="429" t="s">
        <v>17350</v>
      </c>
    </row>
    <row r="63">
      <c r="A63" s="427">
        <v>62.0</v>
      </c>
      <c r="B63" s="237" t="s">
        <v>7876</v>
      </c>
      <c r="C63" s="237" t="s">
        <v>6918</v>
      </c>
      <c r="D63" s="428">
        <v>44805.0</v>
      </c>
      <c r="E63" s="237" t="s">
        <v>6933</v>
      </c>
      <c r="F63" s="237" t="s">
        <v>12053</v>
      </c>
      <c r="G63" s="237" t="s">
        <v>15688</v>
      </c>
      <c r="H63" s="237" t="s">
        <v>10920</v>
      </c>
      <c r="I63" s="237" t="s">
        <v>15689</v>
      </c>
      <c r="J63" s="237" t="s">
        <v>5012</v>
      </c>
      <c r="K63" s="237" t="s">
        <v>14289</v>
      </c>
      <c r="L63" s="237" t="s">
        <v>7857</v>
      </c>
      <c r="M63" s="232" t="s">
        <v>9383</v>
      </c>
      <c r="N63" s="429" t="s">
        <v>17350</v>
      </c>
    </row>
    <row r="64">
      <c r="A64" s="427">
        <v>63.0</v>
      </c>
      <c r="B64" s="237" t="s">
        <v>7883</v>
      </c>
      <c r="C64" s="237" t="s">
        <v>6918</v>
      </c>
      <c r="D64" s="428">
        <v>44986.0</v>
      </c>
      <c r="E64" s="237" t="s">
        <v>6921</v>
      </c>
      <c r="F64" s="237" t="s">
        <v>11145</v>
      </c>
      <c r="G64" s="237" t="s">
        <v>14287</v>
      </c>
      <c r="H64" s="237" t="s">
        <v>9783</v>
      </c>
      <c r="I64" s="237" t="s">
        <v>14288</v>
      </c>
      <c r="J64" s="237" t="s">
        <v>5012</v>
      </c>
      <c r="K64" s="237" t="s">
        <v>14289</v>
      </c>
      <c r="L64" s="237" t="s">
        <v>7857</v>
      </c>
      <c r="M64" s="232" t="s">
        <v>9383</v>
      </c>
      <c r="N64" s="429" t="s">
        <v>17350</v>
      </c>
    </row>
    <row r="65">
      <c r="A65" s="427">
        <v>64.0</v>
      </c>
      <c r="B65" s="237" t="s">
        <v>7873</v>
      </c>
      <c r="C65" s="237" t="s">
        <v>6918</v>
      </c>
      <c r="D65" s="428">
        <v>44774.0</v>
      </c>
      <c r="E65" s="237" t="s">
        <v>6921</v>
      </c>
      <c r="F65" s="237" t="s">
        <v>15905</v>
      </c>
      <c r="G65" s="237" t="s">
        <v>15906</v>
      </c>
      <c r="H65" s="237" t="s">
        <v>10993</v>
      </c>
      <c r="I65" s="237" t="s">
        <v>15907</v>
      </c>
      <c r="J65" s="237" t="s">
        <v>5012</v>
      </c>
      <c r="K65" s="237" t="s">
        <v>14289</v>
      </c>
      <c r="L65" s="237" t="s">
        <v>7857</v>
      </c>
      <c r="M65" s="232" t="s">
        <v>9383</v>
      </c>
      <c r="N65" s="429" t="s">
        <v>17350</v>
      </c>
    </row>
    <row r="66">
      <c r="A66" s="427">
        <v>65.0</v>
      </c>
      <c r="B66" s="237" t="s">
        <v>7870</v>
      </c>
      <c r="C66" s="237" t="s">
        <v>6918</v>
      </c>
      <c r="D66" s="428">
        <v>43528.0</v>
      </c>
      <c r="E66" s="237" t="s">
        <v>6933</v>
      </c>
      <c r="F66" s="237" t="s">
        <v>14497</v>
      </c>
      <c r="G66" s="237" t="s">
        <v>14498</v>
      </c>
      <c r="H66" s="237" t="s">
        <v>13514</v>
      </c>
      <c r="I66" s="237" t="s">
        <v>14499</v>
      </c>
      <c r="J66" s="237" t="s">
        <v>5224</v>
      </c>
      <c r="K66" s="237" t="s">
        <v>14500</v>
      </c>
      <c r="L66" s="237" t="s">
        <v>7857</v>
      </c>
      <c r="M66" s="232" t="s">
        <v>9383</v>
      </c>
      <c r="N66" s="429" t="s">
        <v>17350</v>
      </c>
    </row>
    <row r="67">
      <c r="A67" s="427">
        <v>66.0</v>
      </c>
      <c r="B67" s="237" t="s">
        <v>9947</v>
      </c>
      <c r="C67" s="237" t="s">
        <v>8796</v>
      </c>
      <c r="D67" s="428">
        <v>45391.0</v>
      </c>
      <c r="E67" s="237" t="s">
        <v>6933</v>
      </c>
      <c r="F67" s="237" t="s">
        <v>9949</v>
      </c>
      <c r="G67" s="237" t="s">
        <v>9950</v>
      </c>
      <c r="H67" s="237" t="s">
        <v>9951</v>
      </c>
      <c r="I67" s="237" t="s">
        <v>9952</v>
      </c>
      <c r="J67" s="237" t="s">
        <v>5224</v>
      </c>
      <c r="K67" s="237" t="s">
        <v>1456</v>
      </c>
      <c r="L67" s="237" t="s">
        <v>17392</v>
      </c>
      <c r="M67" s="232" t="s">
        <v>9383</v>
      </c>
      <c r="N67" s="429" t="s">
        <v>17350</v>
      </c>
    </row>
    <row r="68">
      <c r="A68" s="427">
        <v>67.0</v>
      </c>
      <c r="B68" s="237" t="s">
        <v>16427</v>
      </c>
      <c r="C68" s="237" t="s">
        <v>8647</v>
      </c>
      <c r="D68" s="428">
        <v>45327.0</v>
      </c>
      <c r="E68" s="237" t="s">
        <v>6921</v>
      </c>
      <c r="F68" s="237" t="s">
        <v>13096</v>
      </c>
      <c r="G68" s="237" t="s">
        <v>16429</v>
      </c>
      <c r="H68" s="237" t="s">
        <v>14575</v>
      </c>
      <c r="I68" s="237" t="s">
        <v>16430</v>
      </c>
      <c r="J68" s="237" t="s">
        <v>5012</v>
      </c>
      <c r="K68" s="237" t="s">
        <v>3000</v>
      </c>
      <c r="L68" s="237" t="s">
        <v>4549</v>
      </c>
      <c r="M68" s="232" t="s">
        <v>9383</v>
      </c>
      <c r="N68" s="429" t="s">
        <v>17350</v>
      </c>
    </row>
    <row r="69">
      <c r="A69" s="427">
        <v>68.0</v>
      </c>
      <c r="B69" s="237" t="s">
        <v>17393</v>
      </c>
      <c r="C69" s="237" t="s">
        <v>6918</v>
      </c>
      <c r="D69" s="428">
        <v>45140.0</v>
      </c>
      <c r="E69" s="237" t="s">
        <v>6933</v>
      </c>
      <c r="F69" s="237" t="s">
        <v>11852</v>
      </c>
      <c r="G69" s="237" t="s">
        <v>12894</v>
      </c>
      <c r="H69" s="237" t="s">
        <v>9691</v>
      </c>
      <c r="I69" s="237" t="s">
        <v>12895</v>
      </c>
      <c r="J69" s="237" t="s">
        <v>5012</v>
      </c>
      <c r="K69" s="237" t="s">
        <v>3000</v>
      </c>
      <c r="L69" s="237" t="s">
        <v>2316</v>
      </c>
      <c r="M69" s="232" t="s">
        <v>9383</v>
      </c>
      <c r="N69" s="429" t="s">
        <v>17350</v>
      </c>
    </row>
    <row r="70">
      <c r="A70" s="427">
        <v>69.0</v>
      </c>
      <c r="B70" s="237" t="s">
        <v>14453</v>
      </c>
      <c r="C70" s="237" t="s">
        <v>6918</v>
      </c>
      <c r="D70" s="428">
        <v>45170.0</v>
      </c>
      <c r="E70" s="237" t="s">
        <v>6921</v>
      </c>
      <c r="F70" s="237" t="s">
        <v>14454</v>
      </c>
      <c r="G70" s="237" t="s">
        <v>14455</v>
      </c>
      <c r="H70" s="237" t="s">
        <v>11574</v>
      </c>
      <c r="I70" s="237" t="s">
        <v>14456</v>
      </c>
      <c r="J70" s="237" t="s">
        <v>5012</v>
      </c>
      <c r="K70" s="237" t="s">
        <v>3000</v>
      </c>
      <c r="L70" s="237" t="s">
        <v>17394</v>
      </c>
      <c r="M70" s="232" t="s">
        <v>9383</v>
      </c>
      <c r="N70" s="429" t="s">
        <v>17350</v>
      </c>
    </row>
    <row r="71">
      <c r="A71" s="427">
        <v>70.0</v>
      </c>
      <c r="B71" s="237" t="s">
        <v>9994</v>
      </c>
      <c r="C71" s="237" t="s">
        <v>8796</v>
      </c>
      <c r="D71" s="428">
        <v>44896.0</v>
      </c>
      <c r="E71" s="237" t="s">
        <v>6921</v>
      </c>
      <c r="F71" s="237" t="s">
        <v>9996</v>
      </c>
      <c r="G71" s="237" t="s">
        <v>9997</v>
      </c>
      <c r="H71" s="237" t="s">
        <v>9998</v>
      </c>
      <c r="I71" s="237" t="s">
        <v>9999</v>
      </c>
      <c r="J71" s="237" t="s">
        <v>5012</v>
      </c>
      <c r="K71" s="237" t="s">
        <v>3000</v>
      </c>
      <c r="L71" s="237" t="s">
        <v>17395</v>
      </c>
      <c r="M71" s="232" t="s">
        <v>9383</v>
      </c>
      <c r="N71" s="429" t="s">
        <v>17350</v>
      </c>
    </row>
    <row r="72">
      <c r="A72" s="427">
        <v>71.0</v>
      </c>
      <c r="B72" s="237" t="s">
        <v>14972</v>
      </c>
      <c r="C72" s="237" t="s">
        <v>6918</v>
      </c>
      <c r="D72" s="428">
        <v>44743.0</v>
      </c>
      <c r="E72" s="237" t="s">
        <v>6921</v>
      </c>
      <c r="F72" s="237" t="s">
        <v>14973</v>
      </c>
      <c r="G72" s="237" t="s">
        <v>14974</v>
      </c>
      <c r="H72" s="237" t="s">
        <v>12791</v>
      </c>
      <c r="I72" s="237" t="s">
        <v>14975</v>
      </c>
      <c r="J72" s="237" t="s">
        <v>5012</v>
      </c>
      <c r="K72" s="237" t="s">
        <v>9588</v>
      </c>
      <c r="L72" s="237" t="s">
        <v>17396</v>
      </c>
      <c r="M72" s="232" t="s">
        <v>9383</v>
      </c>
      <c r="N72" s="429" t="s">
        <v>17350</v>
      </c>
    </row>
    <row r="73">
      <c r="A73" s="427">
        <v>72.0</v>
      </c>
      <c r="B73" s="237" t="s">
        <v>13335</v>
      </c>
      <c r="C73" s="237" t="s">
        <v>6918</v>
      </c>
      <c r="D73" s="428">
        <v>44305.0</v>
      </c>
      <c r="E73" s="237" t="s">
        <v>6921</v>
      </c>
      <c r="F73" s="237" t="s">
        <v>13336</v>
      </c>
      <c r="G73" s="237" t="s">
        <v>13337</v>
      </c>
      <c r="H73" s="237" t="s">
        <v>13338</v>
      </c>
      <c r="I73" s="237" t="s">
        <v>13339</v>
      </c>
      <c r="J73" s="237" t="s">
        <v>5012</v>
      </c>
      <c r="K73" s="237" t="s">
        <v>9588</v>
      </c>
      <c r="L73" s="237" t="s">
        <v>3857</v>
      </c>
      <c r="M73" s="232" t="s">
        <v>9383</v>
      </c>
      <c r="N73" s="429" t="s">
        <v>17350</v>
      </c>
    </row>
    <row r="74">
      <c r="A74" s="427">
        <v>73.0</v>
      </c>
      <c r="B74" s="237" t="s">
        <v>15646</v>
      </c>
      <c r="C74" s="237" t="s">
        <v>6918</v>
      </c>
      <c r="D74" s="428">
        <v>40511.0</v>
      </c>
      <c r="E74" s="237" t="s">
        <v>6921</v>
      </c>
      <c r="F74" s="237" t="s">
        <v>15648</v>
      </c>
      <c r="G74" s="237" t="s">
        <v>15649</v>
      </c>
      <c r="H74" s="237" t="s">
        <v>10749</v>
      </c>
      <c r="I74" s="237" t="s">
        <v>15650</v>
      </c>
      <c r="J74" s="237" t="s">
        <v>5012</v>
      </c>
      <c r="K74" s="237" t="s">
        <v>9588</v>
      </c>
      <c r="L74" s="237" t="s">
        <v>17394</v>
      </c>
      <c r="M74" s="232" t="s">
        <v>9383</v>
      </c>
      <c r="N74" s="429" t="s">
        <v>17350</v>
      </c>
    </row>
    <row r="75">
      <c r="A75" s="427">
        <v>74.0</v>
      </c>
      <c r="B75" s="237" t="s">
        <v>15627</v>
      </c>
      <c r="C75" s="237" t="s">
        <v>6918</v>
      </c>
      <c r="D75" s="428">
        <v>42219.0</v>
      </c>
      <c r="E75" s="237" t="s">
        <v>6921</v>
      </c>
      <c r="F75" s="237" t="s">
        <v>15629</v>
      </c>
      <c r="G75" s="237" t="s">
        <v>15630</v>
      </c>
      <c r="H75" s="237" t="s">
        <v>10744</v>
      </c>
      <c r="I75" s="237" t="s">
        <v>15631</v>
      </c>
      <c r="J75" s="237" t="s">
        <v>5012</v>
      </c>
      <c r="K75" s="237" t="s">
        <v>9588</v>
      </c>
      <c r="L75" s="237" t="s">
        <v>8841</v>
      </c>
      <c r="M75" s="232" t="s">
        <v>9383</v>
      </c>
      <c r="N75" s="429" t="s">
        <v>17350</v>
      </c>
    </row>
    <row r="76">
      <c r="A76" s="427">
        <v>75.0</v>
      </c>
      <c r="B76" s="237" t="s">
        <v>15842</v>
      </c>
      <c r="C76" s="237" t="s">
        <v>6918</v>
      </c>
      <c r="D76" s="428">
        <v>45170.0</v>
      </c>
      <c r="E76" s="237" t="s">
        <v>6921</v>
      </c>
      <c r="F76" s="237" t="s">
        <v>12924</v>
      </c>
      <c r="G76" s="237" t="s">
        <v>15843</v>
      </c>
      <c r="H76" s="237" t="s">
        <v>15844</v>
      </c>
      <c r="I76" s="237" t="s">
        <v>15845</v>
      </c>
      <c r="J76" s="237" t="s">
        <v>5012</v>
      </c>
      <c r="K76" s="237" t="s">
        <v>9588</v>
      </c>
      <c r="L76" s="237" t="s">
        <v>8841</v>
      </c>
      <c r="M76" s="232" t="s">
        <v>9383</v>
      </c>
      <c r="N76" s="429" t="s">
        <v>17350</v>
      </c>
    </row>
    <row r="77">
      <c r="A77" s="427">
        <v>76.0</v>
      </c>
      <c r="B77" s="237" t="s">
        <v>3985</v>
      </c>
      <c r="C77" s="237" t="s">
        <v>8796</v>
      </c>
      <c r="D77" s="428">
        <v>43710.0</v>
      </c>
      <c r="E77" s="237" t="s">
        <v>6921</v>
      </c>
      <c r="F77" s="237" t="s">
        <v>17397</v>
      </c>
      <c r="G77" s="237" t="s">
        <v>17398</v>
      </c>
      <c r="H77" s="237" t="s">
        <v>17399</v>
      </c>
      <c r="I77" s="237" t="s">
        <v>6726</v>
      </c>
      <c r="J77" s="237" t="s">
        <v>5224</v>
      </c>
      <c r="K77" s="237" t="s">
        <v>11222</v>
      </c>
      <c r="L77" s="237" t="s">
        <v>17392</v>
      </c>
      <c r="M77" s="232" t="s">
        <v>9383</v>
      </c>
      <c r="N77" s="429" t="s">
        <v>17350</v>
      </c>
    </row>
    <row r="78">
      <c r="A78" s="427">
        <v>77.0</v>
      </c>
      <c r="B78" s="237" t="s">
        <v>9296</v>
      </c>
      <c r="C78" s="237" t="s">
        <v>8796</v>
      </c>
      <c r="D78" s="428">
        <v>45117.0</v>
      </c>
      <c r="E78" s="237" t="s">
        <v>6921</v>
      </c>
      <c r="F78" s="237" t="s">
        <v>9735</v>
      </c>
      <c r="G78" s="237" t="s">
        <v>9736</v>
      </c>
      <c r="H78" s="237" t="s">
        <v>9573</v>
      </c>
      <c r="I78" s="237" t="s">
        <v>9737</v>
      </c>
      <c r="J78" s="237" t="s">
        <v>5224</v>
      </c>
      <c r="K78" s="237" t="s">
        <v>1386</v>
      </c>
      <c r="L78" s="237" t="s">
        <v>9738</v>
      </c>
      <c r="M78" s="232" t="s">
        <v>9383</v>
      </c>
      <c r="N78" s="429" t="s">
        <v>17350</v>
      </c>
    </row>
    <row r="79">
      <c r="A79" s="427">
        <v>78.0</v>
      </c>
      <c r="B79" s="237" t="s">
        <v>9300</v>
      </c>
      <c r="C79" s="237" t="s">
        <v>8796</v>
      </c>
      <c r="D79" s="428">
        <v>44866.0</v>
      </c>
      <c r="E79" s="237" t="s">
        <v>6921</v>
      </c>
      <c r="F79" s="237" t="s">
        <v>9967</v>
      </c>
      <c r="G79" s="237" t="s">
        <v>9968</v>
      </c>
      <c r="H79" s="237" t="s">
        <v>9519</v>
      </c>
      <c r="I79" s="237" t="s">
        <v>9969</v>
      </c>
      <c r="J79" s="237" t="s">
        <v>5224</v>
      </c>
      <c r="K79" s="237" t="s">
        <v>1386</v>
      </c>
      <c r="L79" s="237" t="s">
        <v>9970</v>
      </c>
      <c r="M79" s="232" t="s">
        <v>9383</v>
      </c>
      <c r="N79" s="429" t="s">
        <v>17350</v>
      </c>
    </row>
    <row r="80">
      <c r="A80" s="427">
        <v>79.0</v>
      </c>
      <c r="B80" s="237" t="s">
        <v>9308</v>
      </c>
      <c r="C80" s="237" t="s">
        <v>8796</v>
      </c>
      <c r="D80" s="428">
        <v>44802.0</v>
      </c>
      <c r="E80" s="237" t="s">
        <v>6921</v>
      </c>
      <c r="F80" s="237" t="s">
        <v>9745</v>
      </c>
      <c r="G80" s="237" t="s">
        <v>9746</v>
      </c>
      <c r="H80" s="237" t="s">
        <v>9747</v>
      </c>
      <c r="I80" s="237" t="s">
        <v>9748</v>
      </c>
      <c r="J80" s="237" t="s">
        <v>5224</v>
      </c>
      <c r="K80" s="237" t="s">
        <v>1386</v>
      </c>
      <c r="L80" s="237" t="s">
        <v>9749</v>
      </c>
      <c r="M80" s="232" t="s">
        <v>9383</v>
      </c>
      <c r="N80" s="429" t="s">
        <v>17350</v>
      </c>
    </row>
    <row r="81">
      <c r="A81" s="427">
        <v>80.0</v>
      </c>
      <c r="B81" s="237" t="s">
        <v>9285</v>
      </c>
      <c r="C81" s="237" t="s">
        <v>8796</v>
      </c>
      <c r="D81" s="428">
        <v>45432.0</v>
      </c>
      <c r="E81" s="237" t="s">
        <v>6921</v>
      </c>
      <c r="F81" s="237" t="s">
        <v>9838</v>
      </c>
      <c r="G81" s="237" t="s">
        <v>9839</v>
      </c>
      <c r="H81" s="237" t="s">
        <v>9840</v>
      </c>
      <c r="I81" s="237" t="s">
        <v>9841</v>
      </c>
      <c r="J81" s="237" t="s">
        <v>5224</v>
      </c>
      <c r="K81" s="237" t="s">
        <v>1386</v>
      </c>
      <c r="L81" s="237" t="s">
        <v>9282</v>
      </c>
      <c r="M81" s="232" t="s">
        <v>9391</v>
      </c>
      <c r="N81" s="429" t="s">
        <v>17350</v>
      </c>
    </row>
    <row r="82">
      <c r="A82" s="427">
        <v>81.0</v>
      </c>
      <c r="B82" s="237" t="s">
        <v>9344</v>
      </c>
      <c r="C82" s="237" t="s">
        <v>6918</v>
      </c>
      <c r="D82" s="428">
        <v>45110.0</v>
      </c>
      <c r="E82" s="237" t="s">
        <v>6933</v>
      </c>
      <c r="F82" s="237" t="s">
        <v>13901</v>
      </c>
      <c r="G82" s="237" t="s">
        <v>13904</v>
      </c>
      <c r="H82" s="237" t="s">
        <v>13905</v>
      </c>
      <c r="I82" s="237" t="s">
        <v>13906</v>
      </c>
      <c r="J82" s="237" t="s">
        <v>5224</v>
      </c>
      <c r="K82" s="237" t="s">
        <v>13907</v>
      </c>
      <c r="L82" s="237" t="s">
        <v>13908</v>
      </c>
      <c r="M82" s="232" t="s">
        <v>9383</v>
      </c>
      <c r="N82" s="429" t="s">
        <v>17350</v>
      </c>
    </row>
    <row r="83">
      <c r="A83" s="427">
        <v>82.0</v>
      </c>
      <c r="B83" s="237" t="s">
        <v>7992</v>
      </c>
      <c r="C83" s="237" t="s">
        <v>6918</v>
      </c>
      <c r="D83" s="428">
        <v>45448.0</v>
      </c>
      <c r="E83" s="237" t="s">
        <v>6921</v>
      </c>
      <c r="F83" s="237" t="s">
        <v>15415</v>
      </c>
      <c r="G83" s="237" t="s">
        <v>15416</v>
      </c>
      <c r="H83" s="237" t="s">
        <v>15417</v>
      </c>
      <c r="I83" s="237" t="s">
        <v>15418</v>
      </c>
      <c r="J83" s="237" t="s">
        <v>5224</v>
      </c>
      <c r="K83" s="237" t="s">
        <v>13907</v>
      </c>
      <c r="L83" s="237" t="s">
        <v>13908</v>
      </c>
      <c r="M83" s="232" t="s">
        <v>9383</v>
      </c>
      <c r="N83" s="429" t="s">
        <v>17350</v>
      </c>
    </row>
    <row r="84">
      <c r="A84" s="427">
        <v>83.0</v>
      </c>
      <c r="B84" s="237" t="s">
        <v>7273</v>
      </c>
      <c r="C84" s="237" t="s">
        <v>7124</v>
      </c>
      <c r="D84" s="428">
        <v>45460.0</v>
      </c>
      <c r="E84" s="237" t="s">
        <v>6921</v>
      </c>
      <c r="F84" s="237" t="s">
        <v>12619</v>
      </c>
      <c r="G84" s="237" t="s">
        <v>12620</v>
      </c>
      <c r="H84" s="237" t="s">
        <v>9586</v>
      </c>
      <c r="I84" s="237" t="s">
        <v>12621</v>
      </c>
      <c r="J84" s="237" t="s">
        <v>5224</v>
      </c>
      <c r="K84" s="237" t="s">
        <v>12414</v>
      </c>
      <c r="L84" s="237" t="s">
        <v>7264</v>
      </c>
      <c r="M84" s="232" t="s">
        <v>9383</v>
      </c>
      <c r="N84" s="429" t="s">
        <v>17350</v>
      </c>
    </row>
    <row r="85">
      <c r="A85" s="427">
        <v>84.0</v>
      </c>
      <c r="B85" s="237" t="s">
        <v>8006</v>
      </c>
      <c r="C85" s="237" t="s">
        <v>6918</v>
      </c>
      <c r="D85" s="428">
        <v>45201.0</v>
      </c>
      <c r="E85" s="237" t="s">
        <v>6921</v>
      </c>
      <c r="F85" s="237" t="s">
        <v>15007</v>
      </c>
      <c r="G85" s="237" t="s">
        <v>15009</v>
      </c>
      <c r="H85" s="237" t="s">
        <v>10168</v>
      </c>
      <c r="I85" s="237" t="s">
        <v>15010</v>
      </c>
      <c r="J85" s="237" t="s">
        <v>5224</v>
      </c>
      <c r="K85" s="237" t="s">
        <v>12414</v>
      </c>
      <c r="L85" s="237" t="s">
        <v>2603</v>
      </c>
      <c r="M85" s="232" t="s">
        <v>9383</v>
      </c>
      <c r="N85" s="429" t="s">
        <v>17350</v>
      </c>
    </row>
    <row r="86">
      <c r="A86" s="427">
        <v>85.0</v>
      </c>
      <c r="B86" s="237" t="s">
        <v>943</v>
      </c>
      <c r="C86" s="237" t="s">
        <v>6918</v>
      </c>
      <c r="D86" s="428">
        <v>43252.0</v>
      </c>
      <c r="E86" s="237" t="s">
        <v>6921</v>
      </c>
      <c r="F86" s="237" t="s">
        <v>15044</v>
      </c>
      <c r="G86" s="237" t="s">
        <v>9746</v>
      </c>
      <c r="H86" s="237" t="s">
        <v>10744</v>
      </c>
      <c r="I86" s="237" t="s">
        <v>947</v>
      </c>
      <c r="J86" s="237" t="s">
        <v>5224</v>
      </c>
      <c r="K86" s="237" t="s">
        <v>12845</v>
      </c>
      <c r="L86" s="237" t="s">
        <v>2603</v>
      </c>
      <c r="M86" s="232" t="s">
        <v>9383</v>
      </c>
      <c r="N86" s="429" t="s">
        <v>17350</v>
      </c>
    </row>
    <row r="87">
      <c r="A87" s="427">
        <v>86.0</v>
      </c>
      <c r="B87" s="237" t="s">
        <v>7571</v>
      </c>
      <c r="C87" s="237" t="s">
        <v>7385</v>
      </c>
      <c r="D87" s="428">
        <v>45313.0</v>
      </c>
      <c r="E87" s="237" t="s">
        <v>6921</v>
      </c>
      <c r="F87" s="237" t="s">
        <v>12828</v>
      </c>
      <c r="G87" s="237" t="s">
        <v>12829</v>
      </c>
      <c r="H87" s="237" t="s">
        <v>10345</v>
      </c>
      <c r="I87" s="237" t="s">
        <v>12830</v>
      </c>
      <c r="J87" s="237" t="s">
        <v>5224</v>
      </c>
      <c r="K87" s="237" t="s">
        <v>9390</v>
      </c>
      <c r="L87" s="237" t="s">
        <v>3096</v>
      </c>
      <c r="M87" s="232" t="s">
        <v>9383</v>
      </c>
      <c r="N87" s="429" t="s">
        <v>17350</v>
      </c>
    </row>
    <row r="88">
      <c r="A88" s="427">
        <v>87.0</v>
      </c>
      <c r="B88" s="237" t="s">
        <v>3586</v>
      </c>
      <c r="C88" s="237" t="s">
        <v>7124</v>
      </c>
      <c r="D88" s="428">
        <v>45285.0</v>
      </c>
      <c r="E88" s="237" t="s">
        <v>6921</v>
      </c>
      <c r="F88" s="237" t="s">
        <v>17400</v>
      </c>
      <c r="G88" s="237" t="s">
        <v>17401</v>
      </c>
      <c r="H88" s="237" t="s">
        <v>13949</v>
      </c>
      <c r="I88" s="237" t="s">
        <v>6584</v>
      </c>
      <c r="J88" s="237" t="s">
        <v>5224</v>
      </c>
      <c r="K88" s="237" t="s">
        <v>9390</v>
      </c>
      <c r="L88" s="237" t="s">
        <v>7264</v>
      </c>
      <c r="M88" s="232" t="s">
        <v>9383</v>
      </c>
      <c r="N88" s="429" t="s">
        <v>17350</v>
      </c>
    </row>
    <row r="89">
      <c r="A89" s="427">
        <v>88.0</v>
      </c>
      <c r="B89" s="237" t="s">
        <v>4485</v>
      </c>
      <c r="C89" s="237" t="s">
        <v>10103</v>
      </c>
      <c r="D89" s="428">
        <v>45236.0</v>
      </c>
      <c r="E89" s="237" t="s">
        <v>6921</v>
      </c>
      <c r="F89" s="237" t="s">
        <v>11914</v>
      </c>
      <c r="G89" s="237" t="s">
        <v>11915</v>
      </c>
      <c r="H89" s="237" t="s">
        <v>11916</v>
      </c>
      <c r="I89" s="237" t="s">
        <v>6885</v>
      </c>
      <c r="J89" s="237" t="s">
        <v>5224</v>
      </c>
      <c r="K89" s="237" t="s">
        <v>10273</v>
      </c>
      <c r="L89" s="237" t="s">
        <v>10538</v>
      </c>
      <c r="M89" s="232" t="s">
        <v>9383</v>
      </c>
      <c r="N89" s="429" t="s">
        <v>17350</v>
      </c>
    </row>
    <row r="90">
      <c r="A90" s="427">
        <v>89.0</v>
      </c>
      <c r="B90" s="237" t="s">
        <v>151</v>
      </c>
      <c r="C90" s="237" t="s">
        <v>6918</v>
      </c>
      <c r="D90" s="428">
        <v>45474.0</v>
      </c>
      <c r="E90" s="237" t="s">
        <v>6921</v>
      </c>
      <c r="F90" s="237" t="s">
        <v>14917</v>
      </c>
      <c r="G90" s="237" t="s">
        <v>14918</v>
      </c>
      <c r="H90" s="237" t="s">
        <v>7239</v>
      </c>
      <c r="I90" s="237" t="s">
        <v>155</v>
      </c>
      <c r="J90" s="237" t="s">
        <v>5224</v>
      </c>
      <c r="K90" s="237" t="s">
        <v>10028</v>
      </c>
      <c r="L90" s="237" t="s">
        <v>3179</v>
      </c>
      <c r="M90" s="232" t="s">
        <v>9383</v>
      </c>
      <c r="N90" s="429" t="s">
        <v>17350</v>
      </c>
    </row>
    <row r="91">
      <c r="A91" s="427">
        <v>90.0</v>
      </c>
      <c r="B91" s="237" t="s">
        <v>9325</v>
      </c>
      <c r="C91" s="237" t="s">
        <v>8796</v>
      </c>
      <c r="D91" s="428">
        <v>45659.0</v>
      </c>
      <c r="E91" s="237" t="s">
        <v>6921</v>
      </c>
      <c r="F91" s="237" t="s">
        <v>9645</v>
      </c>
      <c r="G91" s="237" t="s">
        <v>9646</v>
      </c>
      <c r="H91" s="237" t="s">
        <v>9647</v>
      </c>
      <c r="I91" s="237" t="s">
        <v>9648</v>
      </c>
      <c r="J91" s="237" t="s">
        <v>5224</v>
      </c>
      <c r="K91" s="237" t="s">
        <v>9649</v>
      </c>
      <c r="L91" s="237" t="s">
        <v>9322</v>
      </c>
      <c r="M91" s="232" t="s">
        <v>9391</v>
      </c>
      <c r="N91" s="429" t="s">
        <v>17350</v>
      </c>
    </row>
    <row r="92">
      <c r="A92" s="427">
        <v>91.0</v>
      </c>
      <c r="B92" s="237" t="s">
        <v>3244</v>
      </c>
      <c r="C92" s="237" t="s">
        <v>8796</v>
      </c>
      <c r="D92" s="428">
        <v>44753.0</v>
      </c>
      <c r="E92" s="237" t="s">
        <v>6921</v>
      </c>
      <c r="F92" s="237" t="s">
        <v>11729</v>
      </c>
      <c r="G92" s="237" t="s">
        <v>17402</v>
      </c>
      <c r="H92" s="237" t="s">
        <v>11850</v>
      </c>
      <c r="I92" s="237" t="s">
        <v>6429</v>
      </c>
      <c r="J92" s="237" t="s">
        <v>5224</v>
      </c>
      <c r="K92" s="237" t="s">
        <v>9649</v>
      </c>
      <c r="L92" s="237" t="s">
        <v>9322</v>
      </c>
      <c r="M92" s="232" t="s">
        <v>9383</v>
      </c>
      <c r="N92" s="429" t="s">
        <v>17350</v>
      </c>
    </row>
    <row r="93">
      <c r="A93" s="427">
        <v>92.0</v>
      </c>
      <c r="B93" s="237" t="s">
        <v>3184</v>
      </c>
      <c r="C93" s="237" t="s">
        <v>7124</v>
      </c>
      <c r="D93" s="428">
        <v>45334.0</v>
      </c>
      <c r="E93" s="237" t="s">
        <v>6921</v>
      </c>
      <c r="F93" s="237" t="s">
        <v>12924</v>
      </c>
      <c r="G93" s="237" t="s">
        <v>17403</v>
      </c>
      <c r="H93" s="237" t="s">
        <v>10435</v>
      </c>
      <c r="I93" s="237" t="s">
        <v>6398</v>
      </c>
      <c r="J93" s="237" t="s">
        <v>5224</v>
      </c>
      <c r="K93" s="237" t="s">
        <v>9649</v>
      </c>
      <c r="L93" s="237" t="s">
        <v>7264</v>
      </c>
      <c r="M93" s="232" t="s">
        <v>9383</v>
      </c>
      <c r="N93" s="429" t="s">
        <v>17350</v>
      </c>
    </row>
    <row r="94">
      <c r="A94" s="427">
        <v>93.0</v>
      </c>
      <c r="B94" s="237" t="s">
        <v>9313</v>
      </c>
      <c r="C94" s="237" t="s">
        <v>8796</v>
      </c>
      <c r="D94" s="428">
        <v>44370.0</v>
      </c>
      <c r="E94" s="237" t="s">
        <v>6921</v>
      </c>
      <c r="F94" s="237" t="s">
        <v>9529</v>
      </c>
      <c r="G94" s="237" t="s">
        <v>9530</v>
      </c>
      <c r="H94" s="237" t="s">
        <v>9531</v>
      </c>
      <c r="I94" s="237" t="s">
        <v>9532</v>
      </c>
      <c r="J94" s="237" t="s">
        <v>5224</v>
      </c>
      <c r="K94" s="237" t="s">
        <v>9533</v>
      </c>
      <c r="L94" s="237" t="s">
        <v>9322</v>
      </c>
      <c r="M94" s="232" t="s">
        <v>9383</v>
      </c>
      <c r="N94" s="429" t="s">
        <v>17350</v>
      </c>
    </row>
    <row r="95">
      <c r="A95" s="427">
        <v>94.0</v>
      </c>
      <c r="B95" s="237" t="s">
        <v>3801</v>
      </c>
      <c r="C95" s="237" t="s">
        <v>7546</v>
      </c>
      <c r="D95" s="428">
        <v>44067.0</v>
      </c>
      <c r="E95" s="237" t="s">
        <v>6921</v>
      </c>
      <c r="F95" s="237" t="s">
        <v>12899</v>
      </c>
      <c r="G95" s="237" t="s">
        <v>12900</v>
      </c>
      <c r="H95" s="237" t="s">
        <v>9659</v>
      </c>
      <c r="I95" s="237" t="s">
        <v>6660</v>
      </c>
      <c r="J95" s="237" t="s">
        <v>5224</v>
      </c>
      <c r="K95" s="237" t="s">
        <v>9533</v>
      </c>
      <c r="L95" s="237" t="s">
        <v>10538</v>
      </c>
      <c r="M95" s="232" t="s">
        <v>9383</v>
      </c>
      <c r="N95" s="429" t="s">
        <v>17350</v>
      </c>
    </row>
    <row r="96">
      <c r="A96" s="427">
        <v>95.0</v>
      </c>
      <c r="B96" s="237" t="s">
        <v>9971</v>
      </c>
      <c r="C96" s="237" t="s">
        <v>8796</v>
      </c>
      <c r="D96" s="428">
        <v>45553.0</v>
      </c>
      <c r="E96" s="237" t="s">
        <v>6921</v>
      </c>
      <c r="F96" s="237" t="s">
        <v>9973</v>
      </c>
      <c r="G96" s="237" t="s">
        <v>9974</v>
      </c>
      <c r="H96" s="237" t="s">
        <v>9975</v>
      </c>
      <c r="I96" s="237" t="s">
        <v>9976</v>
      </c>
      <c r="J96" s="237" t="s">
        <v>5224</v>
      </c>
      <c r="K96" s="237" t="s">
        <v>9552</v>
      </c>
      <c r="L96" s="237" t="s">
        <v>9977</v>
      </c>
      <c r="M96" s="232" t="s">
        <v>9383</v>
      </c>
      <c r="N96" s="429" t="s">
        <v>17350</v>
      </c>
    </row>
    <row r="97">
      <c r="A97" s="427">
        <v>96.0</v>
      </c>
      <c r="B97" s="237" t="s">
        <v>2431</v>
      </c>
      <c r="C97" s="237" t="s">
        <v>6918</v>
      </c>
      <c r="D97" s="428">
        <v>45323.0</v>
      </c>
      <c r="E97" s="237" t="s">
        <v>6933</v>
      </c>
      <c r="F97" s="237" t="s">
        <v>12570</v>
      </c>
      <c r="G97" s="237" t="s">
        <v>15821</v>
      </c>
      <c r="H97" s="237" t="s">
        <v>15822</v>
      </c>
      <c r="I97" s="237" t="s">
        <v>6171</v>
      </c>
      <c r="J97" s="237" t="s">
        <v>5224</v>
      </c>
      <c r="K97" s="237" t="s">
        <v>9552</v>
      </c>
      <c r="L97" s="237" t="s">
        <v>13600</v>
      </c>
      <c r="M97" s="232" t="s">
        <v>9383</v>
      </c>
      <c r="N97" s="429" t="s">
        <v>17350</v>
      </c>
    </row>
    <row r="98">
      <c r="A98" s="427">
        <v>97.0</v>
      </c>
      <c r="B98" s="237" t="s">
        <v>9924</v>
      </c>
      <c r="C98" s="237" t="s">
        <v>8796</v>
      </c>
      <c r="D98" s="428">
        <v>41171.0</v>
      </c>
      <c r="E98" s="237" t="s">
        <v>7239</v>
      </c>
      <c r="F98" s="237" t="s">
        <v>9926</v>
      </c>
      <c r="G98" s="237" t="s">
        <v>9927</v>
      </c>
      <c r="H98" s="237" t="s">
        <v>9928</v>
      </c>
      <c r="I98" s="237" t="s">
        <v>9929</v>
      </c>
      <c r="J98" s="237" t="s">
        <v>5224</v>
      </c>
      <c r="K98" s="237" t="s">
        <v>9930</v>
      </c>
      <c r="L98" s="237" t="s">
        <v>9679</v>
      </c>
      <c r="M98" s="232" t="s">
        <v>9383</v>
      </c>
      <c r="N98" s="429" t="s">
        <v>17350</v>
      </c>
    </row>
    <row r="99">
      <c r="A99" s="427">
        <v>98.0</v>
      </c>
      <c r="B99" s="237" t="s">
        <v>9852</v>
      </c>
      <c r="C99" s="237" t="s">
        <v>8796</v>
      </c>
      <c r="D99" s="428">
        <v>45414.0</v>
      </c>
      <c r="E99" s="237" t="s">
        <v>6921</v>
      </c>
      <c r="F99" s="237" t="s">
        <v>9854</v>
      </c>
      <c r="G99" s="237" t="s">
        <v>9855</v>
      </c>
      <c r="H99" s="237" t="s">
        <v>9856</v>
      </c>
      <c r="I99" s="237" t="s">
        <v>9857</v>
      </c>
      <c r="J99" s="237" t="s">
        <v>5224</v>
      </c>
      <c r="K99" s="237" t="s">
        <v>9858</v>
      </c>
      <c r="L99" s="237" t="s">
        <v>17392</v>
      </c>
      <c r="M99" s="232" t="s">
        <v>9383</v>
      </c>
      <c r="N99" s="429" t="s">
        <v>17350</v>
      </c>
    </row>
    <row r="100">
      <c r="A100" s="427">
        <v>99.0</v>
      </c>
      <c r="B100" s="237" t="s">
        <v>8701</v>
      </c>
      <c r="C100" s="237" t="s">
        <v>6918</v>
      </c>
      <c r="D100" s="428">
        <v>43348.0</v>
      </c>
      <c r="E100" s="237" t="s">
        <v>6921</v>
      </c>
      <c r="F100" s="237" t="s">
        <v>13299</v>
      </c>
      <c r="G100" s="237" t="s">
        <v>13300</v>
      </c>
      <c r="H100" s="237" t="s">
        <v>13301</v>
      </c>
      <c r="I100" s="237" t="s">
        <v>13302</v>
      </c>
      <c r="J100" s="237" t="s">
        <v>5224</v>
      </c>
      <c r="K100" s="237" t="s">
        <v>9858</v>
      </c>
      <c r="L100" s="237" t="s">
        <v>3041</v>
      </c>
      <c r="M100" s="232" t="s">
        <v>9383</v>
      </c>
      <c r="N100" s="429" t="s">
        <v>17350</v>
      </c>
    </row>
    <row r="101">
      <c r="A101" s="427">
        <v>100.0</v>
      </c>
      <c r="B101" s="237" t="s">
        <v>6401</v>
      </c>
      <c r="C101" s="237" t="s">
        <v>9195</v>
      </c>
      <c r="D101" s="428">
        <v>45201.0</v>
      </c>
      <c r="E101" s="237" t="s">
        <v>6921</v>
      </c>
      <c r="F101" s="237" t="s">
        <v>17404</v>
      </c>
      <c r="G101" s="237" t="s">
        <v>17405</v>
      </c>
      <c r="H101" s="237" t="s">
        <v>17406</v>
      </c>
      <c r="I101" s="237" t="s">
        <v>6402</v>
      </c>
      <c r="J101" s="237" t="s">
        <v>5224</v>
      </c>
      <c r="K101" s="237" t="s">
        <v>10549</v>
      </c>
      <c r="L101" s="237" t="s">
        <v>2919</v>
      </c>
      <c r="M101" s="232" t="s">
        <v>9383</v>
      </c>
      <c r="N101" s="429" t="s">
        <v>17350</v>
      </c>
    </row>
    <row r="102">
      <c r="A102" s="427">
        <v>101.0</v>
      </c>
      <c r="B102" s="237" t="s">
        <v>3767</v>
      </c>
      <c r="C102" s="237" t="s">
        <v>9195</v>
      </c>
      <c r="D102" s="428">
        <v>45399.0</v>
      </c>
      <c r="E102" s="237" t="s">
        <v>6921</v>
      </c>
      <c r="F102" s="237" t="s">
        <v>17407</v>
      </c>
      <c r="G102" s="237" t="s">
        <v>17408</v>
      </c>
      <c r="H102" s="237" t="s">
        <v>17409</v>
      </c>
      <c r="I102" s="237" t="s">
        <v>6648</v>
      </c>
      <c r="J102" s="237" t="s">
        <v>5224</v>
      </c>
      <c r="K102" s="237" t="s">
        <v>10549</v>
      </c>
      <c r="L102" s="237" t="s">
        <v>2919</v>
      </c>
      <c r="M102" s="232" t="s">
        <v>9383</v>
      </c>
      <c r="N102" s="429" t="s">
        <v>17350</v>
      </c>
    </row>
    <row r="103">
      <c r="A103" s="427">
        <v>102.0</v>
      </c>
      <c r="B103" s="237" t="s">
        <v>3549</v>
      </c>
      <c r="C103" s="237" t="s">
        <v>7124</v>
      </c>
      <c r="D103" s="428">
        <v>45267.0</v>
      </c>
      <c r="E103" s="237" t="s">
        <v>6933</v>
      </c>
      <c r="F103" s="237" t="s">
        <v>17410</v>
      </c>
      <c r="G103" s="237" t="s">
        <v>17411</v>
      </c>
      <c r="H103" s="237" t="s">
        <v>17412</v>
      </c>
      <c r="I103" s="237" t="s">
        <v>6565</v>
      </c>
      <c r="J103" s="237" t="s">
        <v>5224</v>
      </c>
      <c r="K103" s="237" t="s">
        <v>10549</v>
      </c>
      <c r="L103" s="237" t="s">
        <v>1167</v>
      </c>
      <c r="M103" s="232" t="s">
        <v>9383</v>
      </c>
      <c r="N103" s="429" t="s">
        <v>17350</v>
      </c>
    </row>
    <row r="104">
      <c r="A104" s="427">
        <v>103.0</v>
      </c>
      <c r="B104" s="237" t="s">
        <v>214</v>
      </c>
      <c r="C104" s="237" t="s">
        <v>12420</v>
      </c>
      <c r="D104" s="428">
        <v>45117.0</v>
      </c>
      <c r="E104" s="237" t="s">
        <v>6921</v>
      </c>
      <c r="F104" s="237" t="s">
        <v>12488</v>
      </c>
      <c r="G104" s="237" t="s">
        <v>12489</v>
      </c>
      <c r="H104" s="237" t="s">
        <v>12490</v>
      </c>
      <c r="I104" s="237" t="s">
        <v>218</v>
      </c>
      <c r="J104" s="237" t="s">
        <v>5224</v>
      </c>
      <c r="K104" s="237" t="s">
        <v>10549</v>
      </c>
      <c r="L104" s="237" t="s">
        <v>12491</v>
      </c>
      <c r="M104" s="232" t="s">
        <v>9383</v>
      </c>
      <c r="N104" s="429" t="s">
        <v>17350</v>
      </c>
    </row>
    <row r="105">
      <c r="A105" s="427">
        <v>104.0</v>
      </c>
      <c r="B105" s="237" t="s">
        <v>7066</v>
      </c>
      <c r="C105" s="237" t="s">
        <v>6918</v>
      </c>
      <c r="D105" s="428">
        <v>45338.0</v>
      </c>
      <c r="E105" s="237" t="s">
        <v>6921</v>
      </c>
      <c r="F105" s="237" t="s">
        <v>15482</v>
      </c>
      <c r="G105" s="237" t="s">
        <v>15483</v>
      </c>
      <c r="H105" s="237" t="s">
        <v>15484</v>
      </c>
      <c r="I105" s="237" t="s">
        <v>15485</v>
      </c>
      <c r="J105" s="237" t="s">
        <v>5224</v>
      </c>
      <c r="K105" s="237" t="s">
        <v>10549</v>
      </c>
      <c r="L105" s="237" t="s">
        <v>7060</v>
      </c>
      <c r="M105" s="232" t="s">
        <v>9383</v>
      </c>
      <c r="N105" s="429" t="s">
        <v>17350</v>
      </c>
    </row>
    <row r="106">
      <c r="A106" s="427">
        <v>105.0</v>
      </c>
      <c r="B106" s="237" t="s">
        <v>6964</v>
      </c>
      <c r="C106" s="237" t="s">
        <v>6918</v>
      </c>
      <c r="D106" s="428">
        <v>41974.0</v>
      </c>
      <c r="E106" s="237" t="s">
        <v>6921</v>
      </c>
      <c r="F106" s="237" t="s">
        <v>14939</v>
      </c>
      <c r="G106" s="237" t="s">
        <v>14940</v>
      </c>
      <c r="H106" s="237" t="s">
        <v>9413</v>
      </c>
      <c r="I106" s="237" t="s">
        <v>14941</v>
      </c>
      <c r="J106" s="237" t="s">
        <v>5224</v>
      </c>
      <c r="K106" s="237" t="s">
        <v>14942</v>
      </c>
      <c r="L106" s="237" t="s">
        <v>6961</v>
      </c>
      <c r="M106" s="232" t="s">
        <v>9383</v>
      </c>
      <c r="N106" s="429" t="s">
        <v>17350</v>
      </c>
    </row>
    <row r="107">
      <c r="A107" s="427">
        <v>106.0</v>
      </c>
      <c r="B107" s="237" t="s">
        <v>3650</v>
      </c>
      <c r="C107" s="237" t="s">
        <v>6918</v>
      </c>
      <c r="D107" s="428">
        <v>45154.0</v>
      </c>
      <c r="E107" s="237" t="s">
        <v>6921</v>
      </c>
      <c r="F107" s="237" t="s">
        <v>17413</v>
      </c>
      <c r="G107" s="237" t="s">
        <v>16040</v>
      </c>
      <c r="H107" s="237" t="s">
        <v>11896</v>
      </c>
      <c r="I107" s="237" t="s">
        <v>6609</v>
      </c>
      <c r="J107" s="237" t="s">
        <v>5224</v>
      </c>
      <c r="K107" s="237" t="s">
        <v>12963</v>
      </c>
      <c r="L107" s="237" t="s">
        <v>8428</v>
      </c>
      <c r="M107" s="232" t="s">
        <v>9383</v>
      </c>
      <c r="N107" s="429" t="s">
        <v>17350</v>
      </c>
    </row>
    <row r="108">
      <c r="A108" s="427">
        <v>107.0</v>
      </c>
      <c r="B108" s="237" t="s">
        <v>7480</v>
      </c>
      <c r="C108" s="237" t="s">
        <v>6918</v>
      </c>
      <c r="D108" s="428">
        <v>45231.0</v>
      </c>
      <c r="E108" s="237" t="s">
        <v>6921</v>
      </c>
      <c r="F108" s="237" t="s">
        <v>13667</v>
      </c>
      <c r="G108" s="237" t="s">
        <v>13668</v>
      </c>
      <c r="H108" s="237" t="s">
        <v>12610</v>
      </c>
      <c r="I108" s="237" t="s">
        <v>13669</v>
      </c>
      <c r="J108" s="237" t="s">
        <v>5224</v>
      </c>
      <c r="K108" s="237" t="s">
        <v>12963</v>
      </c>
      <c r="L108" s="237" t="s">
        <v>7459</v>
      </c>
      <c r="M108" s="232" t="s">
        <v>9383</v>
      </c>
      <c r="N108" s="429" t="s">
        <v>17350</v>
      </c>
    </row>
    <row r="109">
      <c r="A109" s="427">
        <v>108.0</v>
      </c>
      <c r="B109" s="237" t="s">
        <v>15308</v>
      </c>
      <c r="C109" s="237" t="s">
        <v>6918</v>
      </c>
      <c r="D109" s="428">
        <v>45231.0</v>
      </c>
      <c r="E109" s="237" t="s">
        <v>6921</v>
      </c>
      <c r="F109" s="237" t="s">
        <v>15309</v>
      </c>
      <c r="G109" s="237" t="s">
        <v>15310</v>
      </c>
      <c r="H109" s="237" t="s">
        <v>11194</v>
      </c>
      <c r="I109" s="237" t="s">
        <v>15311</v>
      </c>
      <c r="J109" s="237" t="s">
        <v>5224</v>
      </c>
      <c r="K109" s="237" t="s">
        <v>10068</v>
      </c>
      <c r="L109" s="237" t="s">
        <v>2625</v>
      </c>
      <c r="M109" s="232" t="s">
        <v>9383</v>
      </c>
      <c r="N109" s="429" t="s">
        <v>17350</v>
      </c>
    </row>
    <row r="110">
      <c r="A110" s="427">
        <v>109.0</v>
      </c>
      <c r="B110" s="237" t="s">
        <v>3371</v>
      </c>
      <c r="C110" s="237" t="s">
        <v>10040</v>
      </c>
      <c r="D110" s="428">
        <v>44935.0</v>
      </c>
      <c r="E110" s="237" t="s">
        <v>6921</v>
      </c>
      <c r="F110" s="237" t="s">
        <v>17414</v>
      </c>
      <c r="G110" s="237" t="s">
        <v>11126</v>
      </c>
      <c r="H110" s="237" t="s">
        <v>17415</v>
      </c>
      <c r="I110" s="237" t="s">
        <v>6475</v>
      </c>
      <c r="J110" s="237" t="s">
        <v>5224</v>
      </c>
      <c r="K110" s="237" t="s">
        <v>10068</v>
      </c>
      <c r="L110" s="237" t="s">
        <v>10081</v>
      </c>
      <c r="M110" s="232" t="s">
        <v>9383</v>
      </c>
      <c r="N110" s="429" t="s">
        <v>17350</v>
      </c>
    </row>
    <row r="111">
      <c r="A111" s="427">
        <v>110.0</v>
      </c>
      <c r="B111" s="237" t="s">
        <v>7119</v>
      </c>
      <c r="C111" s="237" t="s">
        <v>6918</v>
      </c>
      <c r="D111" s="428">
        <v>44901.0</v>
      </c>
      <c r="E111" s="237" t="s">
        <v>6921</v>
      </c>
      <c r="F111" s="237" t="s">
        <v>10197</v>
      </c>
      <c r="G111" s="237" t="s">
        <v>13089</v>
      </c>
      <c r="H111" s="237" t="s">
        <v>13090</v>
      </c>
      <c r="I111" s="237" t="s">
        <v>13091</v>
      </c>
      <c r="J111" s="237" t="s">
        <v>5224</v>
      </c>
      <c r="K111" s="237" t="s">
        <v>4737</v>
      </c>
      <c r="L111" s="237" t="s">
        <v>7121</v>
      </c>
      <c r="M111" s="232" t="s">
        <v>9383</v>
      </c>
      <c r="N111" s="429" t="s">
        <v>17350</v>
      </c>
    </row>
    <row r="112">
      <c r="A112" s="427">
        <v>111.0</v>
      </c>
      <c r="B112" s="237" t="s">
        <v>1222</v>
      </c>
      <c r="C112" s="237" t="s">
        <v>6918</v>
      </c>
      <c r="D112" s="428">
        <v>45215.0</v>
      </c>
      <c r="E112" s="237" t="s">
        <v>6921</v>
      </c>
      <c r="F112" s="237" t="s">
        <v>14860</v>
      </c>
      <c r="G112" s="237" t="s">
        <v>14861</v>
      </c>
      <c r="H112" s="237" t="s">
        <v>14862</v>
      </c>
      <c r="I112" s="237" t="s">
        <v>14863</v>
      </c>
      <c r="J112" s="237" t="s">
        <v>5224</v>
      </c>
      <c r="K112" s="237" t="s">
        <v>4737</v>
      </c>
      <c r="L112" s="237" t="s">
        <v>7241</v>
      </c>
      <c r="M112" s="232" t="s">
        <v>9383</v>
      </c>
      <c r="N112" s="429" t="s">
        <v>17350</v>
      </c>
    </row>
    <row r="113">
      <c r="A113" s="427">
        <v>112.0</v>
      </c>
      <c r="B113" s="237" t="s">
        <v>7491</v>
      </c>
      <c r="C113" s="237" t="s">
        <v>6918</v>
      </c>
      <c r="D113" s="428">
        <v>45154.0</v>
      </c>
      <c r="E113" s="237" t="s">
        <v>6921</v>
      </c>
      <c r="F113" s="237" t="s">
        <v>15693</v>
      </c>
      <c r="G113" s="237" t="s">
        <v>15694</v>
      </c>
      <c r="H113" s="237" t="s">
        <v>13160</v>
      </c>
      <c r="I113" s="237" t="s">
        <v>15695</v>
      </c>
      <c r="J113" s="237" t="s">
        <v>5224</v>
      </c>
      <c r="K113" s="237" t="s">
        <v>15696</v>
      </c>
      <c r="L113" s="237" t="s">
        <v>14869</v>
      </c>
      <c r="M113" s="232" t="s">
        <v>9383</v>
      </c>
      <c r="N113" s="429" t="s">
        <v>17350</v>
      </c>
    </row>
    <row r="114">
      <c r="A114" s="427">
        <v>113.0</v>
      </c>
      <c r="B114" s="237" t="s">
        <v>7316</v>
      </c>
      <c r="C114" s="237" t="s">
        <v>7277</v>
      </c>
      <c r="D114" s="428">
        <v>45173.0</v>
      </c>
      <c r="E114" s="237" t="s">
        <v>6933</v>
      </c>
      <c r="F114" s="237" t="s">
        <v>12713</v>
      </c>
      <c r="G114" s="237" t="s">
        <v>12714</v>
      </c>
      <c r="H114" s="237" t="s">
        <v>12715</v>
      </c>
      <c r="I114" s="237" t="s">
        <v>12716</v>
      </c>
      <c r="J114" s="237" t="s">
        <v>5224</v>
      </c>
      <c r="K114" s="237" t="s">
        <v>12717</v>
      </c>
      <c r="L114" s="237" t="s">
        <v>2919</v>
      </c>
      <c r="M114" s="232" t="s">
        <v>9383</v>
      </c>
      <c r="N114" s="429" t="s">
        <v>17350</v>
      </c>
    </row>
    <row r="115">
      <c r="A115" s="427">
        <v>114.0</v>
      </c>
      <c r="B115" s="237" t="s">
        <v>7717</v>
      </c>
      <c r="C115" s="237" t="s">
        <v>6918</v>
      </c>
      <c r="D115" s="428">
        <v>44410.0</v>
      </c>
      <c r="E115" s="237" t="s">
        <v>6933</v>
      </c>
      <c r="F115" s="237" t="s">
        <v>14238</v>
      </c>
      <c r="G115" s="237" t="s">
        <v>14239</v>
      </c>
      <c r="H115" s="237" t="s">
        <v>14240</v>
      </c>
      <c r="I115" s="237" t="s">
        <v>14241</v>
      </c>
      <c r="J115" s="237" t="s">
        <v>5224</v>
      </c>
      <c r="K115" s="237" t="s">
        <v>12717</v>
      </c>
      <c r="L115" s="237" t="s">
        <v>2716</v>
      </c>
      <c r="M115" s="232" t="s">
        <v>9383</v>
      </c>
      <c r="N115" s="429" t="s">
        <v>17350</v>
      </c>
    </row>
    <row r="116">
      <c r="A116" s="427">
        <v>115.0</v>
      </c>
      <c r="B116" s="237" t="s">
        <v>8387</v>
      </c>
      <c r="C116" s="237" t="s">
        <v>6918</v>
      </c>
      <c r="D116" s="428">
        <v>45266.0</v>
      </c>
      <c r="E116" s="237" t="s">
        <v>6933</v>
      </c>
      <c r="F116" s="237" t="s">
        <v>15104</v>
      </c>
      <c r="G116" s="237" t="s">
        <v>15105</v>
      </c>
      <c r="H116" s="237" t="s">
        <v>15106</v>
      </c>
      <c r="I116" s="237" t="s">
        <v>15107</v>
      </c>
      <c r="J116" s="237" t="s">
        <v>5224</v>
      </c>
      <c r="K116" s="237" t="s">
        <v>15108</v>
      </c>
      <c r="L116" s="237" t="s">
        <v>8362</v>
      </c>
      <c r="M116" s="232" t="s">
        <v>9383</v>
      </c>
      <c r="N116" s="429" t="s">
        <v>17350</v>
      </c>
    </row>
    <row r="117">
      <c r="A117" s="427">
        <v>116.0</v>
      </c>
      <c r="B117" s="237" t="s">
        <v>9111</v>
      </c>
      <c r="C117" s="237" t="s">
        <v>6918</v>
      </c>
      <c r="D117" s="428">
        <v>45383.0</v>
      </c>
      <c r="E117" s="237" t="s">
        <v>6933</v>
      </c>
      <c r="F117" s="237" t="s">
        <v>15971</v>
      </c>
      <c r="G117" s="237" t="s">
        <v>15972</v>
      </c>
      <c r="H117" s="237" t="s">
        <v>10915</v>
      </c>
      <c r="I117" s="237" t="s">
        <v>15973</v>
      </c>
      <c r="J117" s="237" t="s">
        <v>5224</v>
      </c>
      <c r="K117" s="237" t="s">
        <v>11981</v>
      </c>
      <c r="L117" s="237" t="s">
        <v>9093</v>
      </c>
      <c r="M117" s="232" t="s">
        <v>9383</v>
      </c>
      <c r="N117" s="429" t="s">
        <v>17350</v>
      </c>
    </row>
    <row r="118">
      <c r="A118" s="427">
        <v>117.0</v>
      </c>
      <c r="B118" s="237" t="s">
        <v>9107</v>
      </c>
      <c r="C118" s="237" t="s">
        <v>6918</v>
      </c>
      <c r="D118" s="428">
        <v>45342.0</v>
      </c>
      <c r="E118" s="237" t="s">
        <v>6933</v>
      </c>
      <c r="F118" s="237" t="s">
        <v>15606</v>
      </c>
      <c r="G118" s="237" t="s">
        <v>15607</v>
      </c>
      <c r="H118" s="237" t="s">
        <v>10592</v>
      </c>
      <c r="I118" s="237" t="s">
        <v>15608</v>
      </c>
      <c r="J118" s="237" t="s">
        <v>5224</v>
      </c>
      <c r="K118" s="237" t="s">
        <v>11981</v>
      </c>
      <c r="L118" s="237" t="s">
        <v>9093</v>
      </c>
      <c r="M118" s="232" t="s">
        <v>9383</v>
      </c>
      <c r="N118" s="429" t="s">
        <v>17350</v>
      </c>
    </row>
    <row r="119">
      <c r="A119" s="427">
        <v>118.0</v>
      </c>
      <c r="B119" s="237" t="s">
        <v>5006</v>
      </c>
      <c r="C119" s="237" t="s">
        <v>6918</v>
      </c>
      <c r="D119" s="428">
        <v>45597.0</v>
      </c>
      <c r="E119" s="237" t="s">
        <v>6921</v>
      </c>
      <c r="F119" s="237" t="s">
        <v>17416</v>
      </c>
      <c r="G119" s="237" t="s">
        <v>17417</v>
      </c>
      <c r="H119" s="237" t="s">
        <v>13867</v>
      </c>
      <c r="I119" s="237" t="s">
        <v>5008</v>
      </c>
      <c r="J119" s="237" t="s">
        <v>5012</v>
      </c>
      <c r="K119" s="237" t="s">
        <v>15235</v>
      </c>
      <c r="L119" s="237" t="s">
        <v>2316</v>
      </c>
      <c r="M119" s="232" t="s">
        <v>9383</v>
      </c>
      <c r="N119" s="429" t="s">
        <v>17350</v>
      </c>
    </row>
    <row r="120">
      <c r="A120" s="427">
        <v>119.0</v>
      </c>
      <c r="B120" s="237" t="s">
        <v>16043</v>
      </c>
      <c r="C120" s="237" t="s">
        <v>6918</v>
      </c>
      <c r="D120" s="428">
        <v>45231.0</v>
      </c>
      <c r="E120" s="237" t="s">
        <v>6921</v>
      </c>
      <c r="F120" s="237" t="s">
        <v>16044</v>
      </c>
      <c r="G120" s="237" t="s">
        <v>16045</v>
      </c>
      <c r="H120" s="237" t="s">
        <v>11635</v>
      </c>
      <c r="I120" s="237" t="s">
        <v>16046</v>
      </c>
      <c r="J120" s="237" t="s">
        <v>5012</v>
      </c>
      <c r="K120" s="237" t="s">
        <v>15235</v>
      </c>
      <c r="L120" s="237" t="s">
        <v>17418</v>
      </c>
      <c r="M120" s="232" t="s">
        <v>9383</v>
      </c>
      <c r="N120" s="429" t="s">
        <v>17350</v>
      </c>
    </row>
    <row r="121">
      <c r="A121" s="427">
        <v>120.0</v>
      </c>
      <c r="B121" s="237" t="s">
        <v>13046</v>
      </c>
      <c r="C121" s="237" t="s">
        <v>6918</v>
      </c>
      <c r="D121" s="428">
        <v>45187.0</v>
      </c>
      <c r="E121" s="237" t="s">
        <v>6921</v>
      </c>
      <c r="F121" s="237" t="s">
        <v>13047</v>
      </c>
      <c r="G121" s="237" t="s">
        <v>13048</v>
      </c>
      <c r="H121" s="237" t="s">
        <v>9975</v>
      </c>
      <c r="I121" s="237" t="s">
        <v>13049</v>
      </c>
      <c r="J121" s="237" t="s">
        <v>5012</v>
      </c>
      <c r="K121" s="237" t="s">
        <v>13050</v>
      </c>
      <c r="L121" s="237" t="s">
        <v>8845</v>
      </c>
      <c r="M121" s="232" t="s">
        <v>9383</v>
      </c>
      <c r="N121" s="429" t="s">
        <v>17350</v>
      </c>
    </row>
    <row r="122">
      <c r="A122" s="427">
        <v>121.0</v>
      </c>
      <c r="B122" s="237" t="s">
        <v>7045</v>
      </c>
      <c r="C122" s="237" t="s">
        <v>6918</v>
      </c>
      <c r="D122" s="428">
        <v>45180.0</v>
      </c>
      <c r="E122" s="237" t="s">
        <v>6933</v>
      </c>
      <c r="F122" s="237" t="s">
        <v>13235</v>
      </c>
      <c r="G122" s="237" t="s">
        <v>13236</v>
      </c>
      <c r="H122" s="237" t="s">
        <v>11177</v>
      </c>
      <c r="I122" s="237" t="s">
        <v>13237</v>
      </c>
      <c r="J122" s="237" t="s">
        <v>5224</v>
      </c>
      <c r="K122" s="237" t="s">
        <v>9784</v>
      </c>
      <c r="L122" s="237" t="s">
        <v>7015</v>
      </c>
      <c r="M122" s="232" t="s">
        <v>9383</v>
      </c>
      <c r="N122" s="429" t="s">
        <v>17350</v>
      </c>
    </row>
    <row r="123">
      <c r="A123" s="427">
        <v>122.0</v>
      </c>
      <c r="B123" s="237" t="s">
        <v>8685</v>
      </c>
      <c r="C123" s="237" t="s">
        <v>1631</v>
      </c>
      <c r="D123" s="428">
        <v>45194.0</v>
      </c>
      <c r="E123" s="237" t="s">
        <v>6921</v>
      </c>
      <c r="F123" s="237" t="s">
        <v>9433</v>
      </c>
      <c r="G123" s="237" t="s">
        <v>9434</v>
      </c>
      <c r="H123" s="237" t="s">
        <v>9435</v>
      </c>
      <c r="I123" s="237" t="s">
        <v>9436</v>
      </c>
      <c r="J123" s="237" t="s">
        <v>5224</v>
      </c>
      <c r="K123" s="237" t="s">
        <v>9404</v>
      </c>
      <c r="L123" s="237" t="s">
        <v>5890</v>
      </c>
      <c r="M123" s="232" t="s">
        <v>9383</v>
      </c>
      <c r="N123" s="429" t="s">
        <v>17350</v>
      </c>
    </row>
    <row r="124">
      <c r="A124" s="427">
        <v>123.0</v>
      </c>
      <c r="B124" s="237" t="s">
        <v>7799</v>
      </c>
      <c r="C124" s="237" t="s">
        <v>6918</v>
      </c>
      <c r="D124" s="428">
        <v>45566.0</v>
      </c>
      <c r="E124" s="237" t="s">
        <v>6921</v>
      </c>
      <c r="F124" s="237" t="s">
        <v>14465</v>
      </c>
      <c r="G124" s="237" t="s">
        <v>14466</v>
      </c>
      <c r="H124" s="237" t="s">
        <v>10073</v>
      </c>
      <c r="I124" s="237" t="s">
        <v>14467</v>
      </c>
      <c r="J124" s="237" t="s">
        <v>5224</v>
      </c>
      <c r="K124" s="237" t="s">
        <v>9404</v>
      </c>
      <c r="L124" s="237" t="s">
        <v>5890</v>
      </c>
      <c r="M124" s="232" t="s">
        <v>9391</v>
      </c>
      <c r="N124" s="429" t="s">
        <v>17350</v>
      </c>
    </row>
    <row r="125">
      <c r="A125" s="427">
        <v>124.0</v>
      </c>
      <c r="B125" s="237" t="s">
        <v>4801</v>
      </c>
      <c r="C125" s="237" t="s">
        <v>6918</v>
      </c>
      <c r="D125" s="428">
        <v>45096.0</v>
      </c>
      <c r="E125" s="237" t="s">
        <v>6921</v>
      </c>
      <c r="F125" s="237" t="s">
        <v>15007</v>
      </c>
      <c r="G125" s="237" t="s">
        <v>15008</v>
      </c>
      <c r="H125" s="237" t="s">
        <v>12007</v>
      </c>
      <c r="I125" s="237" t="s">
        <v>4802</v>
      </c>
      <c r="J125" s="237" t="s">
        <v>5224</v>
      </c>
      <c r="K125" s="237" t="s">
        <v>4799</v>
      </c>
      <c r="L125" s="237" t="s">
        <v>14537</v>
      </c>
      <c r="M125" s="232" t="s">
        <v>9383</v>
      </c>
      <c r="N125" s="429" t="s">
        <v>17350</v>
      </c>
    </row>
    <row r="126">
      <c r="A126" s="427">
        <v>125.0</v>
      </c>
      <c r="B126" s="237" t="s">
        <v>4776</v>
      </c>
      <c r="C126" s="237" t="s">
        <v>6918</v>
      </c>
      <c r="D126" s="428">
        <v>44634.0</v>
      </c>
      <c r="E126" s="237" t="s">
        <v>6921</v>
      </c>
      <c r="F126" s="237" t="s">
        <v>11276</v>
      </c>
      <c r="G126" s="237" t="s">
        <v>14536</v>
      </c>
      <c r="H126" s="237" t="s">
        <v>10161</v>
      </c>
      <c r="I126" s="237" t="s">
        <v>4777</v>
      </c>
      <c r="J126" s="237" t="s">
        <v>5224</v>
      </c>
      <c r="K126" s="237" t="s">
        <v>4774</v>
      </c>
      <c r="L126" s="237" t="s">
        <v>14537</v>
      </c>
      <c r="M126" s="232" t="s">
        <v>9383</v>
      </c>
      <c r="N126" s="429" t="s">
        <v>17350</v>
      </c>
    </row>
    <row r="127">
      <c r="A127" s="427">
        <v>126.0</v>
      </c>
      <c r="B127" s="237" t="s">
        <v>8243</v>
      </c>
      <c r="C127" s="237" t="s">
        <v>6918</v>
      </c>
      <c r="D127" s="428">
        <v>45140.0</v>
      </c>
      <c r="E127" s="237" t="s">
        <v>6921</v>
      </c>
      <c r="F127" s="237" t="s">
        <v>15918</v>
      </c>
      <c r="G127" s="237" t="s">
        <v>15919</v>
      </c>
      <c r="H127" s="237" t="s">
        <v>15920</v>
      </c>
      <c r="I127" s="237" t="s">
        <v>15921</v>
      </c>
      <c r="J127" s="237" t="s">
        <v>5224</v>
      </c>
      <c r="K127" s="237" t="s">
        <v>14460</v>
      </c>
      <c r="L127" s="237" t="s">
        <v>1311</v>
      </c>
      <c r="M127" s="232" t="s">
        <v>9383</v>
      </c>
      <c r="N127" s="429" t="s">
        <v>17350</v>
      </c>
    </row>
    <row r="128">
      <c r="A128" s="427">
        <v>127.0</v>
      </c>
      <c r="B128" s="237" t="s">
        <v>9217</v>
      </c>
      <c r="C128" s="237" t="s">
        <v>6918</v>
      </c>
      <c r="D128" s="428">
        <v>45201.0</v>
      </c>
      <c r="E128" s="237" t="s">
        <v>6933</v>
      </c>
      <c r="F128" s="237" t="s">
        <v>15546</v>
      </c>
      <c r="G128" s="237" t="s">
        <v>15547</v>
      </c>
      <c r="H128" s="237" t="s">
        <v>15548</v>
      </c>
      <c r="I128" s="237" t="s">
        <v>15549</v>
      </c>
      <c r="J128" s="237" t="s">
        <v>5224</v>
      </c>
      <c r="K128" s="237" t="s">
        <v>14460</v>
      </c>
      <c r="L128" s="237" t="s">
        <v>9215</v>
      </c>
      <c r="M128" s="232" t="s">
        <v>9383</v>
      </c>
      <c r="N128" s="429" t="s">
        <v>17350</v>
      </c>
    </row>
    <row r="129">
      <c r="A129" s="427">
        <v>128.0</v>
      </c>
      <c r="B129" s="237" t="s">
        <v>8653</v>
      </c>
      <c r="C129" s="237" t="s">
        <v>6918</v>
      </c>
      <c r="D129" s="428">
        <v>44746.0</v>
      </c>
      <c r="E129" s="237" t="s">
        <v>6921</v>
      </c>
      <c r="F129" s="237" t="s">
        <v>13616</v>
      </c>
      <c r="G129" s="237" t="s">
        <v>13617</v>
      </c>
      <c r="H129" s="237" t="s">
        <v>13618</v>
      </c>
      <c r="I129" s="237" t="s">
        <v>13619</v>
      </c>
      <c r="J129" s="237" t="s">
        <v>5224</v>
      </c>
      <c r="K129" s="237" t="s">
        <v>13620</v>
      </c>
      <c r="L129" s="237" t="s">
        <v>8655</v>
      </c>
      <c r="M129" s="232" t="s">
        <v>9383</v>
      </c>
      <c r="N129" s="429" t="s">
        <v>17350</v>
      </c>
    </row>
    <row r="130">
      <c r="A130" s="427">
        <v>129.0</v>
      </c>
      <c r="B130" s="237" t="s">
        <v>10431</v>
      </c>
      <c r="C130" s="237" t="s">
        <v>10103</v>
      </c>
      <c r="D130" s="428">
        <v>42927.0</v>
      </c>
      <c r="E130" s="237" t="s">
        <v>6921</v>
      </c>
      <c r="F130" s="237" t="s">
        <v>10433</v>
      </c>
      <c r="G130" s="237" t="s">
        <v>10434</v>
      </c>
      <c r="H130" s="237" t="s">
        <v>10435</v>
      </c>
      <c r="I130" s="237" t="s">
        <v>10436</v>
      </c>
      <c r="J130" s="237" t="s">
        <v>5224</v>
      </c>
      <c r="K130" s="237" t="s">
        <v>17419</v>
      </c>
      <c r="L130" s="237" t="s">
        <v>17420</v>
      </c>
      <c r="M130" s="232" t="s">
        <v>9383</v>
      </c>
      <c r="N130" s="429" t="s">
        <v>17350</v>
      </c>
    </row>
    <row r="131">
      <c r="A131" s="427">
        <v>130.0</v>
      </c>
      <c r="B131" s="237" t="s">
        <v>7008</v>
      </c>
      <c r="C131" s="237" t="s">
        <v>6918</v>
      </c>
      <c r="D131" s="428">
        <v>45110.0</v>
      </c>
      <c r="E131" s="237" t="s">
        <v>6921</v>
      </c>
      <c r="F131" s="237" t="s">
        <v>11638</v>
      </c>
      <c r="G131" s="237" t="s">
        <v>15121</v>
      </c>
      <c r="H131" s="237" t="s">
        <v>15122</v>
      </c>
      <c r="I131" s="237" t="s">
        <v>15123</v>
      </c>
      <c r="J131" s="237" t="s">
        <v>5224</v>
      </c>
      <c r="K131" s="237" t="s">
        <v>15124</v>
      </c>
      <c r="L131" s="237" t="s">
        <v>13699</v>
      </c>
      <c r="M131" s="232" t="s">
        <v>9383</v>
      </c>
      <c r="N131" s="429" t="s">
        <v>17350</v>
      </c>
    </row>
    <row r="132">
      <c r="A132" s="427">
        <v>131.0</v>
      </c>
      <c r="B132" s="237" t="s">
        <v>8895</v>
      </c>
      <c r="C132" s="237" t="s">
        <v>6918</v>
      </c>
      <c r="D132" s="428">
        <v>43227.0</v>
      </c>
      <c r="E132" s="237" t="s">
        <v>6933</v>
      </c>
      <c r="F132" s="237" t="s">
        <v>13754</v>
      </c>
      <c r="G132" s="237" t="s">
        <v>13755</v>
      </c>
      <c r="H132" s="237" t="s">
        <v>13756</v>
      </c>
      <c r="I132" s="237" t="s">
        <v>13757</v>
      </c>
      <c r="J132" s="237" t="s">
        <v>5224</v>
      </c>
      <c r="K132" s="237" t="s">
        <v>9626</v>
      </c>
      <c r="L132" s="237" t="s">
        <v>8919</v>
      </c>
      <c r="M132" s="232" t="s">
        <v>9383</v>
      </c>
      <c r="N132" s="429" t="s">
        <v>17350</v>
      </c>
    </row>
    <row r="133">
      <c r="A133" s="427">
        <v>132.0</v>
      </c>
      <c r="B133" s="237" t="s">
        <v>9164</v>
      </c>
      <c r="C133" s="237" t="s">
        <v>9157</v>
      </c>
      <c r="D133" s="428">
        <v>45096.0</v>
      </c>
      <c r="E133" s="237" t="s">
        <v>6921</v>
      </c>
      <c r="F133" s="237" t="s">
        <v>14399</v>
      </c>
      <c r="G133" s="237" t="s">
        <v>14400</v>
      </c>
      <c r="H133" s="237" t="s">
        <v>10672</v>
      </c>
      <c r="I133" s="237" t="s">
        <v>14401</v>
      </c>
      <c r="J133" s="237" t="s">
        <v>5224</v>
      </c>
      <c r="K133" s="237" t="s">
        <v>9626</v>
      </c>
      <c r="L133" s="237" t="s">
        <v>2138</v>
      </c>
      <c r="M133" s="232" t="s">
        <v>9383</v>
      </c>
      <c r="N133" s="429" t="s">
        <v>17350</v>
      </c>
    </row>
    <row r="134">
      <c r="A134" s="427">
        <v>133.0</v>
      </c>
      <c r="B134" s="237" t="s">
        <v>26</v>
      </c>
      <c r="C134" s="237" t="s">
        <v>6918</v>
      </c>
      <c r="D134" s="428">
        <v>44958.0</v>
      </c>
      <c r="E134" s="237" t="s">
        <v>6933</v>
      </c>
      <c r="F134" s="237" t="s">
        <v>11708</v>
      </c>
      <c r="G134" s="237" t="s">
        <v>15188</v>
      </c>
      <c r="H134" s="237" t="s">
        <v>11265</v>
      </c>
      <c r="I134" s="237" t="s">
        <v>30</v>
      </c>
      <c r="J134" s="237" t="s">
        <v>5012</v>
      </c>
      <c r="K134" s="237" t="s">
        <v>9626</v>
      </c>
      <c r="L134" s="237" t="s">
        <v>17421</v>
      </c>
      <c r="M134" s="232" t="s">
        <v>9383</v>
      </c>
      <c r="N134" s="429" t="s">
        <v>17350</v>
      </c>
    </row>
    <row r="135">
      <c r="A135" s="427">
        <v>134.0</v>
      </c>
      <c r="B135" s="237" t="s">
        <v>5039</v>
      </c>
      <c r="C135" s="237" t="s">
        <v>6918</v>
      </c>
      <c r="D135" s="428">
        <v>45096.0</v>
      </c>
      <c r="E135" s="237" t="s">
        <v>6933</v>
      </c>
      <c r="F135" s="237" t="s">
        <v>10979</v>
      </c>
      <c r="G135" s="237" t="s">
        <v>10980</v>
      </c>
      <c r="H135" s="237" t="s">
        <v>10981</v>
      </c>
      <c r="I135" s="237" t="s">
        <v>5041</v>
      </c>
      <c r="J135" s="237" t="s">
        <v>5012</v>
      </c>
      <c r="K135" s="237" t="s">
        <v>9626</v>
      </c>
      <c r="L135" s="237" t="s">
        <v>17422</v>
      </c>
      <c r="M135" s="232" t="s">
        <v>9383</v>
      </c>
      <c r="N135" s="429" t="s">
        <v>17350</v>
      </c>
    </row>
    <row r="136">
      <c r="A136" s="427">
        <v>135.0</v>
      </c>
      <c r="B136" s="237" t="s">
        <v>15133</v>
      </c>
      <c r="C136" s="237" t="s">
        <v>6918</v>
      </c>
      <c r="D136" s="428">
        <v>44977.0</v>
      </c>
      <c r="E136" s="237" t="s">
        <v>7097</v>
      </c>
      <c r="F136" s="237" t="s">
        <v>15134</v>
      </c>
      <c r="G136" s="237" t="s">
        <v>15135</v>
      </c>
      <c r="H136" s="237" t="s">
        <v>13432</v>
      </c>
      <c r="I136" s="237" t="s">
        <v>15136</v>
      </c>
      <c r="J136" s="237" t="s">
        <v>5012</v>
      </c>
      <c r="K136" s="237" t="s">
        <v>9474</v>
      </c>
      <c r="L136" s="237" t="s">
        <v>8841</v>
      </c>
      <c r="M136" s="232" t="s">
        <v>9383</v>
      </c>
      <c r="N136" s="429" t="s">
        <v>17350</v>
      </c>
    </row>
    <row r="137">
      <c r="A137" s="427">
        <v>136.0</v>
      </c>
      <c r="B137" s="237" t="s">
        <v>8229</v>
      </c>
      <c r="C137" s="237" t="s">
        <v>6918</v>
      </c>
      <c r="D137" s="428">
        <v>44690.0</v>
      </c>
      <c r="E137" s="237" t="s">
        <v>6933</v>
      </c>
      <c r="F137" s="237" t="s">
        <v>14450</v>
      </c>
      <c r="G137" s="237" t="s">
        <v>14451</v>
      </c>
      <c r="H137" s="237" t="s">
        <v>14137</v>
      </c>
      <c r="I137" s="237" t="s">
        <v>14452</v>
      </c>
      <c r="J137" s="237" t="s">
        <v>5224</v>
      </c>
      <c r="K137" s="237" t="s">
        <v>9474</v>
      </c>
      <c r="L137" s="237" t="s">
        <v>2342</v>
      </c>
      <c r="M137" s="232" t="s">
        <v>9383</v>
      </c>
      <c r="N137" s="429" t="s">
        <v>17350</v>
      </c>
    </row>
    <row r="138">
      <c r="A138" s="427">
        <v>137.0</v>
      </c>
      <c r="B138" s="237" t="s">
        <v>3838</v>
      </c>
      <c r="C138" s="237" t="s">
        <v>6918</v>
      </c>
      <c r="D138" s="428">
        <v>44382.0</v>
      </c>
      <c r="E138" s="237" t="s">
        <v>6921</v>
      </c>
      <c r="F138" s="237" t="s">
        <v>17423</v>
      </c>
      <c r="G138" s="237" t="s">
        <v>17424</v>
      </c>
      <c r="H138" s="237" t="s">
        <v>11147</v>
      </c>
      <c r="I138" s="237" t="s">
        <v>6675</v>
      </c>
      <c r="J138" s="237" t="s">
        <v>5012</v>
      </c>
      <c r="K138" s="237" t="s">
        <v>9474</v>
      </c>
      <c r="L138" s="237" t="s">
        <v>8927</v>
      </c>
      <c r="M138" s="232" t="s">
        <v>9383</v>
      </c>
      <c r="N138" s="429" t="s">
        <v>17350</v>
      </c>
    </row>
    <row r="139">
      <c r="A139" s="427">
        <v>138.0</v>
      </c>
      <c r="B139" s="237" t="s">
        <v>8197</v>
      </c>
      <c r="C139" s="237" t="s">
        <v>6918</v>
      </c>
      <c r="D139" s="428">
        <v>44788.0</v>
      </c>
      <c r="E139" s="237" t="s">
        <v>6933</v>
      </c>
      <c r="F139" s="237" t="s">
        <v>13026</v>
      </c>
      <c r="G139" s="237" t="s">
        <v>13027</v>
      </c>
      <c r="H139" s="237" t="s">
        <v>10812</v>
      </c>
      <c r="I139" s="237" t="s">
        <v>13028</v>
      </c>
      <c r="J139" s="237" t="s">
        <v>5224</v>
      </c>
      <c r="K139" s="237" t="s">
        <v>13029</v>
      </c>
      <c r="L139" s="237" t="s">
        <v>2342</v>
      </c>
      <c r="M139" s="232" t="s">
        <v>9383</v>
      </c>
      <c r="N139" s="429" t="s">
        <v>17350</v>
      </c>
    </row>
    <row r="140">
      <c r="A140" s="427">
        <v>139.0</v>
      </c>
      <c r="B140" s="237" t="s">
        <v>8204</v>
      </c>
      <c r="C140" s="237" t="s">
        <v>6918</v>
      </c>
      <c r="D140" s="428">
        <v>45048.0</v>
      </c>
      <c r="E140" s="237" t="s">
        <v>6933</v>
      </c>
      <c r="F140" s="237" t="s">
        <v>14919</v>
      </c>
      <c r="G140" s="237" t="s">
        <v>14920</v>
      </c>
      <c r="H140" s="237" t="s">
        <v>10491</v>
      </c>
      <c r="I140" s="237" t="s">
        <v>14921</v>
      </c>
      <c r="J140" s="237" t="s">
        <v>5224</v>
      </c>
      <c r="K140" s="237" t="s">
        <v>13029</v>
      </c>
      <c r="L140" s="237" t="s">
        <v>2342</v>
      </c>
      <c r="M140" s="232" t="s">
        <v>9383</v>
      </c>
      <c r="N140" s="429" t="s">
        <v>17350</v>
      </c>
    </row>
    <row r="141">
      <c r="A141" s="427">
        <v>140.0</v>
      </c>
      <c r="B141" s="237" t="s">
        <v>8207</v>
      </c>
      <c r="C141" s="237" t="s">
        <v>6918</v>
      </c>
      <c r="D141" s="428">
        <v>45033.0</v>
      </c>
      <c r="E141" s="237" t="s">
        <v>6933</v>
      </c>
      <c r="F141" s="237" t="s">
        <v>11184</v>
      </c>
      <c r="G141" s="237" t="s">
        <v>14338</v>
      </c>
      <c r="H141" s="237" t="s">
        <v>13778</v>
      </c>
      <c r="I141" s="237" t="s">
        <v>14339</v>
      </c>
      <c r="J141" s="237" t="s">
        <v>5224</v>
      </c>
      <c r="K141" s="237" t="s">
        <v>13029</v>
      </c>
      <c r="L141" s="237" t="s">
        <v>2342</v>
      </c>
      <c r="M141" s="232" t="s">
        <v>9383</v>
      </c>
      <c r="N141" s="429" t="s">
        <v>17350</v>
      </c>
    </row>
    <row r="142">
      <c r="A142" s="427">
        <v>141.0</v>
      </c>
      <c r="B142" s="237" t="s">
        <v>4130</v>
      </c>
      <c r="C142" s="237" t="s">
        <v>6918</v>
      </c>
      <c r="D142" s="428">
        <v>44725.0</v>
      </c>
      <c r="E142" s="237" t="s">
        <v>6933</v>
      </c>
      <c r="F142" s="237" t="s">
        <v>10489</v>
      </c>
      <c r="G142" s="237" t="s">
        <v>10494</v>
      </c>
      <c r="H142" s="237" t="s">
        <v>10495</v>
      </c>
      <c r="I142" s="237" t="s">
        <v>5049</v>
      </c>
      <c r="J142" s="237" t="s">
        <v>5224</v>
      </c>
      <c r="K142" s="237" t="s">
        <v>13029</v>
      </c>
      <c r="L142" s="237" t="s">
        <v>2342</v>
      </c>
      <c r="M142" s="232" t="s">
        <v>9383</v>
      </c>
      <c r="N142" s="429" t="s">
        <v>17350</v>
      </c>
    </row>
    <row r="143">
      <c r="A143" s="427">
        <v>142.0</v>
      </c>
      <c r="B143" s="237" t="s">
        <v>8210</v>
      </c>
      <c r="C143" s="237" t="s">
        <v>6918</v>
      </c>
      <c r="D143" s="428">
        <v>45048.0</v>
      </c>
      <c r="E143" s="237" t="s">
        <v>6933</v>
      </c>
      <c r="F143" s="237" t="s">
        <v>14176</v>
      </c>
      <c r="G143" s="237" t="s">
        <v>14177</v>
      </c>
      <c r="H143" s="237" t="s">
        <v>9691</v>
      </c>
      <c r="I143" s="237" t="s">
        <v>14178</v>
      </c>
      <c r="J143" s="237" t="s">
        <v>5224</v>
      </c>
      <c r="K143" s="237" t="s">
        <v>13029</v>
      </c>
      <c r="L143" s="237" t="s">
        <v>2342</v>
      </c>
      <c r="M143" s="232" t="s">
        <v>9383</v>
      </c>
      <c r="N143" s="429" t="s">
        <v>17350</v>
      </c>
    </row>
    <row r="144">
      <c r="A144" s="427">
        <v>143.0</v>
      </c>
      <c r="B144" s="237" t="s">
        <v>8221</v>
      </c>
      <c r="C144" s="237" t="s">
        <v>6918</v>
      </c>
      <c r="D144" s="428">
        <v>45338.0</v>
      </c>
      <c r="E144" s="237" t="s">
        <v>6933</v>
      </c>
      <c r="F144" s="237" t="s">
        <v>14013</v>
      </c>
      <c r="G144" s="237" t="s">
        <v>14014</v>
      </c>
      <c r="H144" s="237" t="s">
        <v>9592</v>
      </c>
      <c r="I144" s="237" t="s">
        <v>14015</v>
      </c>
      <c r="J144" s="237" t="s">
        <v>5224</v>
      </c>
      <c r="K144" s="237" t="s">
        <v>13029</v>
      </c>
      <c r="L144" s="237" t="s">
        <v>2342</v>
      </c>
      <c r="M144" s="232" t="s">
        <v>9383</v>
      </c>
      <c r="N144" s="429" t="s">
        <v>17350</v>
      </c>
    </row>
    <row r="145">
      <c r="A145" s="427">
        <v>144.0</v>
      </c>
      <c r="B145" s="237" t="s">
        <v>9152</v>
      </c>
      <c r="C145" s="237" t="s">
        <v>6918</v>
      </c>
      <c r="D145" s="428">
        <v>45307.0</v>
      </c>
      <c r="E145" s="237" t="s">
        <v>6933</v>
      </c>
      <c r="F145" s="237" t="s">
        <v>13254</v>
      </c>
      <c r="G145" s="237" t="s">
        <v>13255</v>
      </c>
      <c r="H145" s="237" t="s">
        <v>9696</v>
      </c>
      <c r="I145" s="237" t="s">
        <v>13256</v>
      </c>
      <c r="J145" s="237" t="s">
        <v>5224</v>
      </c>
      <c r="K145" s="237" t="s">
        <v>12373</v>
      </c>
      <c r="L145" s="237" t="s">
        <v>2138</v>
      </c>
      <c r="M145" s="232" t="s">
        <v>9383</v>
      </c>
      <c r="N145" s="429" t="s">
        <v>17350</v>
      </c>
    </row>
    <row r="146">
      <c r="A146" s="427">
        <v>145.0</v>
      </c>
      <c r="B146" s="237" t="s">
        <v>9136</v>
      </c>
      <c r="C146" s="237" t="s">
        <v>6918</v>
      </c>
      <c r="D146" s="428">
        <v>44287.0</v>
      </c>
      <c r="E146" s="237" t="s">
        <v>6933</v>
      </c>
      <c r="F146" s="237" t="s">
        <v>13877</v>
      </c>
      <c r="G146" s="237" t="s">
        <v>13878</v>
      </c>
      <c r="H146" s="237" t="s">
        <v>10323</v>
      </c>
      <c r="I146" s="237" t="s">
        <v>13879</v>
      </c>
      <c r="J146" s="237" t="s">
        <v>5224</v>
      </c>
      <c r="K146" s="237" t="s">
        <v>13266</v>
      </c>
      <c r="L146" s="237" t="s">
        <v>2138</v>
      </c>
      <c r="M146" s="232" t="s">
        <v>9383</v>
      </c>
      <c r="N146" s="429" t="s">
        <v>17350</v>
      </c>
    </row>
    <row r="147">
      <c r="A147" s="427">
        <v>146.0</v>
      </c>
      <c r="B147" s="237" t="s">
        <v>9123</v>
      </c>
      <c r="C147" s="237" t="s">
        <v>6918</v>
      </c>
      <c r="D147" s="428">
        <v>41155.0</v>
      </c>
      <c r="E147" s="237" t="s">
        <v>6933</v>
      </c>
      <c r="F147" s="237" t="s">
        <v>11356</v>
      </c>
      <c r="G147" s="237" t="s">
        <v>14650</v>
      </c>
      <c r="H147" s="237" t="s">
        <v>10629</v>
      </c>
      <c r="I147" s="237" t="s">
        <v>14651</v>
      </c>
      <c r="J147" s="237" t="s">
        <v>5224</v>
      </c>
      <c r="K147" s="237" t="s">
        <v>13266</v>
      </c>
      <c r="L147" s="237" t="s">
        <v>2138</v>
      </c>
      <c r="M147" s="232" t="s">
        <v>9383</v>
      </c>
      <c r="N147" s="429" t="s">
        <v>17350</v>
      </c>
    </row>
    <row r="148">
      <c r="A148" s="427">
        <v>147.0</v>
      </c>
      <c r="B148" s="237" t="s">
        <v>12551</v>
      </c>
      <c r="C148" s="237" t="s">
        <v>1652</v>
      </c>
      <c r="D148" s="428">
        <v>45200.0</v>
      </c>
      <c r="E148" s="237" t="s">
        <v>6933</v>
      </c>
      <c r="F148" s="237" t="s">
        <v>12553</v>
      </c>
      <c r="G148" s="237" t="s">
        <v>12554</v>
      </c>
      <c r="H148" s="237" t="s">
        <v>12555</v>
      </c>
      <c r="I148" s="237" t="s">
        <v>12556</v>
      </c>
      <c r="J148" s="237" t="s">
        <v>5224</v>
      </c>
      <c r="K148" s="237" t="s">
        <v>9425</v>
      </c>
      <c r="L148" s="237" t="s">
        <v>12557</v>
      </c>
      <c r="M148" s="232" t="s">
        <v>9383</v>
      </c>
      <c r="N148" s="429" t="s">
        <v>17350</v>
      </c>
    </row>
    <row r="149">
      <c r="A149" s="427">
        <v>148.0</v>
      </c>
      <c r="B149" s="237" t="s">
        <v>4915</v>
      </c>
      <c r="C149" s="237" t="s">
        <v>7277</v>
      </c>
      <c r="D149" s="428">
        <v>44200.0</v>
      </c>
      <c r="E149" s="237" t="s">
        <v>6933</v>
      </c>
      <c r="F149" s="237" t="s">
        <v>17425</v>
      </c>
      <c r="G149" s="237" t="s">
        <v>17426</v>
      </c>
      <c r="H149" s="237" t="s">
        <v>9669</v>
      </c>
      <c r="I149" s="237" t="s">
        <v>4917</v>
      </c>
      <c r="J149" s="237" t="s">
        <v>5224</v>
      </c>
      <c r="K149" s="237" t="s">
        <v>9425</v>
      </c>
      <c r="L149" s="237" t="s">
        <v>6503</v>
      </c>
      <c r="M149" s="232" t="s">
        <v>9383</v>
      </c>
      <c r="N149" s="429" t="s">
        <v>17350</v>
      </c>
    </row>
    <row r="150">
      <c r="A150" s="427">
        <v>149.0</v>
      </c>
      <c r="B150" s="237" t="s">
        <v>15987</v>
      </c>
      <c r="C150" s="237" t="s">
        <v>6918</v>
      </c>
      <c r="D150" s="428">
        <v>45201.0</v>
      </c>
      <c r="E150" s="237" t="s">
        <v>6933</v>
      </c>
      <c r="F150" s="237" t="s">
        <v>15988</v>
      </c>
      <c r="G150" s="237" t="s">
        <v>15989</v>
      </c>
      <c r="H150" s="237" t="s">
        <v>15990</v>
      </c>
      <c r="I150" s="237" t="s">
        <v>15991</v>
      </c>
      <c r="J150" s="237" t="s">
        <v>5012</v>
      </c>
      <c r="K150" s="237" t="s">
        <v>14357</v>
      </c>
      <c r="L150" s="237" t="s">
        <v>8845</v>
      </c>
      <c r="M150" s="232" t="s">
        <v>9383</v>
      </c>
      <c r="N150" s="429" t="s">
        <v>17350</v>
      </c>
    </row>
    <row r="151">
      <c r="A151" s="427">
        <v>150.0</v>
      </c>
      <c r="B151" s="237" t="s">
        <v>14353</v>
      </c>
      <c r="C151" s="237" t="s">
        <v>6918</v>
      </c>
      <c r="D151" s="428">
        <v>45173.0</v>
      </c>
      <c r="E151" s="237" t="s">
        <v>6921</v>
      </c>
      <c r="F151" s="237" t="s">
        <v>14354</v>
      </c>
      <c r="G151" s="237" t="s">
        <v>14355</v>
      </c>
      <c r="H151" s="237" t="s">
        <v>12875</v>
      </c>
      <c r="I151" s="237" t="s">
        <v>14356</v>
      </c>
      <c r="J151" s="237" t="s">
        <v>5012</v>
      </c>
      <c r="K151" s="237" t="s">
        <v>14357</v>
      </c>
      <c r="L151" s="237" t="s">
        <v>8841</v>
      </c>
      <c r="M151" s="232" t="s">
        <v>9383</v>
      </c>
      <c r="N151" s="429" t="s">
        <v>17350</v>
      </c>
    </row>
    <row r="152">
      <c r="A152" s="427">
        <v>151.0</v>
      </c>
      <c r="B152" s="237" t="s">
        <v>4256</v>
      </c>
      <c r="C152" s="237" t="s">
        <v>7277</v>
      </c>
      <c r="D152" s="428">
        <v>45231.0</v>
      </c>
      <c r="E152" s="237" t="s">
        <v>6933</v>
      </c>
      <c r="F152" s="237" t="s">
        <v>17427</v>
      </c>
      <c r="G152" s="237" t="s">
        <v>17428</v>
      </c>
      <c r="H152" s="237" t="s">
        <v>17429</v>
      </c>
      <c r="I152" s="237" t="s">
        <v>6802</v>
      </c>
      <c r="J152" s="237" t="s">
        <v>5224</v>
      </c>
      <c r="K152" s="237" t="s">
        <v>1412</v>
      </c>
      <c r="L152" s="237" t="s">
        <v>352</v>
      </c>
      <c r="M152" s="232" t="s">
        <v>9383</v>
      </c>
      <c r="N152" s="429" t="s">
        <v>17350</v>
      </c>
    </row>
    <row r="153">
      <c r="A153" s="427">
        <v>152.0</v>
      </c>
      <c r="B153" s="237" t="s">
        <v>4405</v>
      </c>
      <c r="C153" s="237" t="s">
        <v>1652</v>
      </c>
      <c r="D153" s="428">
        <v>45447.0</v>
      </c>
      <c r="E153" s="237" t="s">
        <v>6933</v>
      </c>
      <c r="F153" s="237" t="s">
        <v>17430</v>
      </c>
      <c r="G153" s="237" t="s">
        <v>17431</v>
      </c>
      <c r="H153" s="237" t="s">
        <v>10528</v>
      </c>
      <c r="I153" s="237" t="s">
        <v>6857</v>
      </c>
      <c r="J153" s="237" t="s">
        <v>5012</v>
      </c>
      <c r="K153" s="237" t="s">
        <v>12546</v>
      </c>
      <c r="L153" s="237" t="s">
        <v>4319</v>
      </c>
      <c r="M153" s="232" t="s">
        <v>9383</v>
      </c>
      <c r="N153" s="429" t="s">
        <v>17350</v>
      </c>
    </row>
    <row r="154">
      <c r="A154" s="427">
        <v>153.0</v>
      </c>
      <c r="B154" s="237" t="s">
        <v>12528</v>
      </c>
      <c r="C154" s="237" t="s">
        <v>1652</v>
      </c>
      <c r="D154" s="428">
        <v>45201.0</v>
      </c>
      <c r="E154" s="237" t="s">
        <v>6933</v>
      </c>
      <c r="F154" s="237" t="s">
        <v>9674</v>
      </c>
      <c r="G154" s="237" t="s">
        <v>12530</v>
      </c>
      <c r="H154" s="237" t="s">
        <v>12531</v>
      </c>
      <c r="I154" s="237" t="s">
        <v>12532</v>
      </c>
      <c r="J154" s="237" t="s">
        <v>5012</v>
      </c>
      <c r="K154" s="237" t="s">
        <v>12523</v>
      </c>
      <c r="L154" s="237" t="s">
        <v>368</v>
      </c>
      <c r="M154" s="232" t="s">
        <v>9383</v>
      </c>
      <c r="N154" s="429" t="s">
        <v>17350</v>
      </c>
    </row>
    <row r="155">
      <c r="A155" s="427">
        <v>154.0</v>
      </c>
      <c r="B155" s="237" t="s">
        <v>9931</v>
      </c>
      <c r="C155" s="237" t="s">
        <v>8796</v>
      </c>
      <c r="D155" s="428">
        <v>45413.0</v>
      </c>
      <c r="E155" s="237" t="s">
        <v>6921</v>
      </c>
      <c r="F155" s="237" t="s">
        <v>9933</v>
      </c>
      <c r="G155" s="237" t="s">
        <v>9498</v>
      </c>
      <c r="H155" s="237" t="s">
        <v>9934</v>
      </c>
      <c r="I155" s="237" t="s">
        <v>9935</v>
      </c>
      <c r="J155" s="237" t="s">
        <v>5224</v>
      </c>
      <c r="K155" s="237" t="s">
        <v>9936</v>
      </c>
      <c r="L155" s="237" t="s">
        <v>9342</v>
      </c>
      <c r="M155" s="232" t="s">
        <v>9383</v>
      </c>
      <c r="N155" s="429" t="s">
        <v>17350</v>
      </c>
    </row>
    <row r="156">
      <c r="A156" s="427">
        <v>155.0</v>
      </c>
      <c r="B156" s="237" t="s">
        <v>7812</v>
      </c>
      <c r="C156" s="237" t="s">
        <v>6918</v>
      </c>
      <c r="D156" s="428">
        <v>39583.0</v>
      </c>
      <c r="E156" s="237" t="s">
        <v>6921</v>
      </c>
      <c r="F156" s="237" t="s">
        <v>14129</v>
      </c>
      <c r="G156" s="237" t="s">
        <v>14130</v>
      </c>
      <c r="H156" s="237" t="s">
        <v>9849</v>
      </c>
      <c r="I156" s="237" t="s">
        <v>14131</v>
      </c>
      <c r="J156" s="237" t="s">
        <v>5224</v>
      </c>
      <c r="K156" s="237" t="s">
        <v>4749</v>
      </c>
      <c r="L156" s="237" t="s">
        <v>7809</v>
      </c>
      <c r="M156" s="232" t="s">
        <v>9383</v>
      </c>
      <c r="N156" s="429" t="s">
        <v>17350</v>
      </c>
    </row>
    <row r="157">
      <c r="A157" s="427">
        <v>156.0</v>
      </c>
      <c r="B157" s="237" t="s">
        <v>4831</v>
      </c>
      <c r="C157" s="237" t="s">
        <v>6918</v>
      </c>
      <c r="D157" s="428">
        <v>45383.0</v>
      </c>
      <c r="E157" s="237" t="s">
        <v>6921</v>
      </c>
      <c r="F157" s="237" t="s">
        <v>14608</v>
      </c>
      <c r="G157" s="237" t="s">
        <v>14609</v>
      </c>
      <c r="H157" s="237" t="s">
        <v>11243</v>
      </c>
      <c r="I157" s="237" t="s">
        <v>4832</v>
      </c>
      <c r="J157" s="237" t="s">
        <v>5224</v>
      </c>
      <c r="K157" s="237" t="s">
        <v>4749</v>
      </c>
      <c r="L157" s="237" t="s">
        <v>17351</v>
      </c>
      <c r="M157" s="232" t="s">
        <v>9383</v>
      </c>
      <c r="N157" s="429" t="s">
        <v>17350</v>
      </c>
    </row>
    <row r="158">
      <c r="A158" s="427">
        <v>157.0</v>
      </c>
      <c r="B158" s="237" t="s">
        <v>3278</v>
      </c>
      <c r="C158" s="237" t="s">
        <v>6918</v>
      </c>
      <c r="D158" s="428">
        <v>45002.0</v>
      </c>
      <c r="E158" s="237" t="s">
        <v>6921</v>
      </c>
      <c r="F158" s="237" t="s">
        <v>17432</v>
      </c>
      <c r="G158" s="237" t="s">
        <v>17433</v>
      </c>
      <c r="H158" s="237" t="s">
        <v>9526</v>
      </c>
      <c r="I158" s="237" t="s">
        <v>6445</v>
      </c>
      <c r="J158" s="237" t="s">
        <v>5012</v>
      </c>
      <c r="K158" s="237" t="s">
        <v>4749</v>
      </c>
      <c r="L158" s="237" t="s">
        <v>3280</v>
      </c>
      <c r="M158" s="232" t="s">
        <v>9383</v>
      </c>
      <c r="N158" s="429" t="s">
        <v>17350</v>
      </c>
    </row>
    <row r="159">
      <c r="A159" s="427">
        <v>158.0</v>
      </c>
      <c r="B159" s="237" t="s">
        <v>15747</v>
      </c>
      <c r="C159" s="237" t="s">
        <v>6918</v>
      </c>
      <c r="D159" s="428">
        <v>45215.0</v>
      </c>
      <c r="E159" s="237" t="s">
        <v>6921</v>
      </c>
      <c r="F159" s="237" t="s">
        <v>15748</v>
      </c>
      <c r="G159" s="237" t="s">
        <v>15749</v>
      </c>
      <c r="H159" s="237" t="s">
        <v>9586</v>
      </c>
      <c r="I159" s="237" t="s">
        <v>15750</v>
      </c>
      <c r="J159" s="237" t="s">
        <v>5012</v>
      </c>
      <c r="K159" s="237" t="s">
        <v>4749</v>
      </c>
      <c r="L159" s="237" t="s">
        <v>15386</v>
      </c>
      <c r="M159" s="232" t="s">
        <v>9383</v>
      </c>
      <c r="N159" s="429" t="s">
        <v>17350</v>
      </c>
    </row>
    <row r="160">
      <c r="A160" s="427">
        <v>159.0</v>
      </c>
      <c r="B160" s="237" t="s">
        <v>12524</v>
      </c>
      <c r="C160" s="237" t="s">
        <v>1652</v>
      </c>
      <c r="D160" s="428">
        <v>45231.0</v>
      </c>
      <c r="E160" s="237" t="s">
        <v>6933</v>
      </c>
      <c r="F160" s="237" t="s">
        <v>12525</v>
      </c>
      <c r="G160" s="237" t="s">
        <v>12526</v>
      </c>
      <c r="H160" s="237" t="s">
        <v>9637</v>
      </c>
      <c r="I160" s="237" t="s">
        <v>12527</v>
      </c>
      <c r="J160" s="237" t="s">
        <v>5012</v>
      </c>
      <c r="K160" s="237" t="s">
        <v>4749</v>
      </c>
      <c r="L160" s="237" t="s">
        <v>3773</v>
      </c>
      <c r="M160" s="232" t="s">
        <v>9383</v>
      </c>
      <c r="N160" s="429" t="s">
        <v>17350</v>
      </c>
    </row>
    <row r="161">
      <c r="A161" s="427">
        <v>160.0</v>
      </c>
      <c r="B161" s="237" t="s">
        <v>12051</v>
      </c>
      <c r="C161" s="237" t="s">
        <v>10103</v>
      </c>
      <c r="D161" s="428">
        <v>40158.0</v>
      </c>
      <c r="E161" s="237" t="s">
        <v>6933</v>
      </c>
      <c r="F161" s="237" t="s">
        <v>12053</v>
      </c>
      <c r="G161" s="237" t="s">
        <v>12054</v>
      </c>
      <c r="H161" s="237" t="s">
        <v>12055</v>
      </c>
      <c r="I161" s="237" t="s">
        <v>12056</v>
      </c>
      <c r="J161" s="237" t="s">
        <v>5224</v>
      </c>
      <c r="K161" s="237" t="s">
        <v>4749</v>
      </c>
      <c r="L161" s="237" t="s">
        <v>17434</v>
      </c>
      <c r="M161" s="232" t="s">
        <v>9383</v>
      </c>
      <c r="N161" s="429" t="s">
        <v>17350</v>
      </c>
    </row>
    <row r="162">
      <c r="A162" s="427">
        <v>161.0</v>
      </c>
      <c r="B162" s="237" t="s">
        <v>9650</v>
      </c>
      <c r="C162" s="237" t="s">
        <v>8796</v>
      </c>
      <c r="D162" s="428">
        <v>40131.0</v>
      </c>
      <c r="E162" s="237" t="s">
        <v>6921</v>
      </c>
      <c r="F162" s="237" t="s">
        <v>9652</v>
      </c>
      <c r="G162" s="237" t="s">
        <v>9653</v>
      </c>
      <c r="H162" s="237" t="s">
        <v>9654</v>
      </c>
      <c r="I162" s="237" t="s">
        <v>9655</v>
      </c>
      <c r="J162" s="237" t="s">
        <v>5224</v>
      </c>
      <c r="K162" s="237" t="s">
        <v>4749</v>
      </c>
      <c r="L162" s="237" t="s">
        <v>17392</v>
      </c>
      <c r="M162" s="232" t="s">
        <v>9383</v>
      </c>
      <c r="N162" s="429" t="s">
        <v>17350</v>
      </c>
    </row>
    <row r="163">
      <c r="A163" s="427">
        <v>162.0</v>
      </c>
      <c r="B163" s="237" t="s">
        <v>14694</v>
      </c>
      <c r="C163" s="237" t="s">
        <v>6918</v>
      </c>
      <c r="D163" s="428">
        <v>45124.0</v>
      </c>
      <c r="E163" s="237" t="s">
        <v>6921</v>
      </c>
      <c r="F163" s="237" t="s">
        <v>14695</v>
      </c>
      <c r="G163" s="237" t="s">
        <v>14696</v>
      </c>
      <c r="H163" s="237" t="s">
        <v>10749</v>
      </c>
      <c r="I163" s="237" t="s">
        <v>14697</v>
      </c>
      <c r="J163" s="237" t="s">
        <v>5012</v>
      </c>
      <c r="K163" s="237" t="s">
        <v>4749</v>
      </c>
      <c r="L163" s="237" t="s">
        <v>17391</v>
      </c>
      <c r="M163" s="232" t="s">
        <v>9383</v>
      </c>
      <c r="N163" s="429" t="s">
        <v>17350</v>
      </c>
    </row>
    <row r="164">
      <c r="A164" s="427">
        <v>163.0</v>
      </c>
      <c r="B164" s="237" t="s">
        <v>12229</v>
      </c>
      <c r="C164" s="237" t="s">
        <v>10103</v>
      </c>
      <c r="D164" s="428">
        <v>45726.0</v>
      </c>
      <c r="E164" s="237" t="s">
        <v>6933</v>
      </c>
      <c r="F164" s="237" t="s">
        <v>12231</v>
      </c>
      <c r="G164" s="237" t="s">
        <v>12232</v>
      </c>
      <c r="H164" s="237" t="s">
        <v>10483</v>
      </c>
      <c r="I164" s="237" t="s">
        <v>12233</v>
      </c>
      <c r="J164" s="237" t="s">
        <v>5224</v>
      </c>
      <c r="K164" s="237" t="s">
        <v>4749</v>
      </c>
      <c r="L164" s="237" t="s">
        <v>832</v>
      </c>
      <c r="M164" s="232" t="s">
        <v>9383</v>
      </c>
      <c r="N164" s="429" t="s">
        <v>17350</v>
      </c>
    </row>
    <row r="165">
      <c r="A165" s="427">
        <v>164.0</v>
      </c>
      <c r="B165" s="237" t="s">
        <v>3688</v>
      </c>
      <c r="C165" s="237" t="s">
        <v>6918</v>
      </c>
      <c r="D165" s="428">
        <v>45691.0</v>
      </c>
      <c r="E165" s="237" t="s">
        <v>6933</v>
      </c>
      <c r="F165" s="237" t="s">
        <v>17435</v>
      </c>
      <c r="G165" s="237" t="s">
        <v>17436</v>
      </c>
      <c r="H165" s="237" t="s">
        <v>17437</v>
      </c>
      <c r="I165" s="237" t="s">
        <v>6618</v>
      </c>
      <c r="J165" s="237" t="s">
        <v>5224</v>
      </c>
      <c r="K165" s="237" t="s">
        <v>4749</v>
      </c>
      <c r="L165" s="237" t="s">
        <v>17438</v>
      </c>
      <c r="M165" s="232" t="s">
        <v>9391</v>
      </c>
      <c r="N165" s="429" t="s">
        <v>17350</v>
      </c>
    </row>
    <row r="166">
      <c r="A166" s="427">
        <v>165.0</v>
      </c>
      <c r="B166" s="237" t="s">
        <v>10005</v>
      </c>
      <c r="C166" s="237" t="s">
        <v>8796</v>
      </c>
      <c r="D166" s="428">
        <v>40960.0</v>
      </c>
      <c r="E166" s="237" t="s">
        <v>7239</v>
      </c>
      <c r="F166" s="237" t="s">
        <v>10007</v>
      </c>
      <c r="G166" s="237" t="s">
        <v>10008</v>
      </c>
      <c r="H166" s="237" t="s">
        <v>10009</v>
      </c>
      <c r="I166" s="237" t="s">
        <v>10010</v>
      </c>
      <c r="J166" s="237" t="s">
        <v>5224</v>
      </c>
      <c r="K166" s="237" t="s">
        <v>4749</v>
      </c>
      <c r="L166" s="237" t="s">
        <v>17392</v>
      </c>
      <c r="M166" s="232" t="s">
        <v>9383</v>
      </c>
      <c r="N166" s="429" t="s">
        <v>17350</v>
      </c>
    </row>
    <row r="167">
      <c r="A167" s="427">
        <v>166.0</v>
      </c>
      <c r="B167" s="237" t="s">
        <v>7304</v>
      </c>
      <c r="C167" s="237" t="s">
        <v>7277</v>
      </c>
      <c r="D167" s="428">
        <v>42646.0</v>
      </c>
      <c r="E167" s="237" t="s">
        <v>6933</v>
      </c>
      <c r="F167" s="237" t="s">
        <v>12710</v>
      </c>
      <c r="G167" s="237" t="s">
        <v>12711</v>
      </c>
      <c r="H167" s="237" t="s">
        <v>11911</v>
      </c>
      <c r="I167" s="237" t="s">
        <v>12712</v>
      </c>
      <c r="J167" s="237" t="s">
        <v>5224</v>
      </c>
      <c r="K167" s="237" t="s">
        <v>4749</v>
      </c>
      <c r="L167" s="237" t="s">
        <v>2919</v>
      </c>
      <c r="M167" s="232" t="s">
        <v>9383</v>
      </c>
      <c r="N167" s="429" t="s">
        <v>17350</v>
      </c>
    </row>
    <row r="168">
      <c r="A168" s="427">
        <v>167.0</v>
      </c>
      <c r="B168" s="237" t="s">
        <v>4321</v>
      </c>
      <c r="C168" s="237" t="s">
        <v>6918</v>
      </c>
      <c r="D168" s="428">
        <v>45154.0</v>
      </c>
      <c r="E168" s="237" t="s">
        <v>6933</v>
      </c>
      <c r="F168" s="237" t="s">
        <v>17152</v>
      </c>
      <c r="G168" s="237" t="s">
        <v>17153</v>
      </c>
      <c r="H168" s="237" t="s">
        <v>17439</v>
      </c>
      <c r="I168" s="237" t="s">
        <v>6820</v>
      </c>
      <c r="J168" s="237" t="s">
        <v>5224</v>
      </c>
      <c r="K168" s="237" t="s">
        <v>4749</v>
      </c>
      <c r="L168" s="237" t="s">
        <v>2138</v>
      </c>
      <c r="M168" s="232" t="s">
        <v>9383</v>
      </c>
      <c r="N168" s="429" t="s">
        <v>17350</v>
      </c>
    </row>
    <row r="169">
      <c r="A169" s="427">
        <v>168.0</v>
      </c>
      <c r="B169" s="237" t="s">
        <v>6391</v>
      </c>
      <c r="C169" s="237" t="s">
        <v>6918</v>
      </c>
      <c r="D169" s="428">
        <v>45294.0</v>
      </c>
      <c r="E169" s="237" t="s">
        <v>6933</v>
      </c>
      <c r="F169" s="237" t="s">
        <v>3158</v>
      </c>
      <c r="G169" s="237" t="s">
        <v>17440</v>
      </c>
      <c r="H169" s="237" t="s">
        <v>11754</v>
      </c>
      <c r="I169" s="237" t="s">
        <v>6394</v>
      </c>
      <c r="J169" s="237" t="s">
        <v>5224</v>
      </c>
      <c r="K169" s="237" t="s">
        <v>4749</v>
      </c>
      <c r="L169" s="237" t="s">
        <v>17441</v>
      </c>
      <c r="M169" s="232" t="s">
        <v>9383</v>
      </c>
      <c r="N169" s="429" t="s">
        <v>17350</v>
      </c>
    </row>
    <row r="170">
      <c r="A170" s="427">
        <v>169.0</v>
      </c>
      <c r="B170" s="237" t="s">
        <v>11347</v>
      </c>
      <c r="C170" s="237" t="s">
        <v>10103</v>
      </c>
      <c r="D170" s="428">
        <v>42898.0</v>
      </c>
      <c r="E170" s="237" t="s">
        <v>6921</v>
      </c>
      <c r="F170" s="237" t="s">
        <v>11349</v>
      </c>
      <c r="G170" s="237" t="s">
        <v>11350</v>
      </c>
      <c r="H170" s="237" t="s">
        <v>9747</v>
      </c>
      <c r="I170" s="237" t="s">
        <v>11351</v>
      </c>
      <c r="J170" s="237" t="s">
        <v>5012</v>
      </c>
      <c r="K170" s="237" t="s">
        <v>4749</v>
      </c>
      <c r="L170" s="237" t="s">
        <v>566</v>
      </c>
      <c r="M170" s="232" t="s">
        <v>9383</v>
      </c>
      <c r="N170" s="429" t="s">
        <v>17350</v>
      </c>
    </row>
    <row r="171">
      <c r="A171" s="427">
        <v>170.0</v>
      </c>
      <c r="B171" s="237" t="s">
        <v>9091</v>
      </c>
      <c r="C171" s="237" t="s">
        <v>6918</v>
      </c>
      <c r="D171" s="428">
        <v>43402.0</v>
      </c>
      <c r="E171" s="237" t="s">
        <v>6921</v>
      </c>
      <c r="F171" s="237" t="s">
        <v>15528</v>
      </c>
      <c r="G171" s="237" t="s">
        <v>15529</v>
      </c>
      <c r="H171" s="237" t="s">
        <v>13310</v>
      </c>
      <c r="I171" s="237" t="s">
        <v>15530</v>
      </c>
      <c r="J171" s="237" t="s">
        <v>5224</v>
      </c>
      <c r="K171" s="237" t="s">
        <v>4749</v>
      </c>
      <c r="L171" s="237" t="s">
        <v>9093</v>
      </c>
      <c r="M171" s="232" t="s">
        <v>9383</v>
      </c>
      <c r="N171" s="429" t="s">
        <v>17350</v>
      </c>
    </row>
    <row r="172">
      <c r="A172" s="427">
        <v>171.0</v>
      </c>
      <c r="B172" s="237" t="s">
        <v>4547</v>
      </c>
      <c r="C172" s="237" t="s">
        <v>6918</v>
      </c>
      <c r="D172" s="428">
        <v>40878.0</v>
      </c>
      <c r="E172" s="237" t="s">
        <v>6933</v>
      </c>
      <c r="F172" s="237" t="s">
        <v>14047</v>
      </c>
      <c r="G172" s="237" t="s">
        <v>14048</v>
      </c>
      <c r="H172" s="237" t="s">
        <v>14018</v>
      </c>
      <c r="I172" s="237" t="s">
        <v>6906</v>
      </c>
      <c r="J172" s="237" t="s">
        <v>5012</v>
      </c>
      <c r="K172" s="237" t="s">
        <v>4749</v>
      </c>
      <c r="L172" s="237" t="s">
        <v>4549</v>
      </c>
      <c r="M172" s="232" t="s">
        <v>9383</v>
      </c>
      <c r="N172" s="429" t="s">
        <v>17350</v>
      </c>
    </row>
    <row r="173">
      <c r="A173" s="427">
        <v>172.0</v>
      </c>
      <c r="B173" s="237" t="s">
        <v>10044</v>
      </c>
      <c r="C173" s="237" t="s">
        <v>10040</v>
      </c>
      <c r="D173" s="428">
        <v>45170.0</v>
      </c>
      <c r="E173" s="237" t="s">
        <v>6921</v>
      </c>
      <c r="F173" s="237" t="s">
        <v>10046</v>
      </c>
      <c r="G173" s="237" t="s">
        <v>10047</v>
      </c>
      <c r="H173" s="237" t="s">
        <v>10048</v>
      </c>
      <c r="I173" s="237" t="s">
        <v>10049</v>
      </c>
      <c r="J173" s="237" t="s">
        <v>5012</v>
      </c>
      <c r="K173" s="237" t="s">
        <v>4749</v>
      </c>
      <c r="L173" s="237" t="s">
        <v>389</v>
      </c>
      <c r="M173" s="232" t="s">
        <v>9383</v>
      </c>
      <c r="N173" s="429" t="s">
        <v>17350</v>
      </c>
    </row>
    <row r="174">
      <c r="A174" s="427">
        <v>173.0</v>
      </c>
      <c r="B174" s="237" t="s">
        <v>3188</v>
      </c>
      <c r="C174" s="237" t="s">
        <v>7277</v>
      </c>
      <c r="D174" s="428">
        <v>45161.0</v>
      </c>
      <c r="E174" s="237" t="s">
        <v>6933</v>
      </c>
      <c r="F174" s="237" t="s">
        <v>17442</v>
      </c>
      <c r="G174" s="237" t="s">
        <v>17443</v>
      </c>
      <c r="H174" s="237" t="s">
        <v>15780</v>
      </c>
      <c r="I174" s="237" t="s">
        <v>6399</v>
      </c>
      <c r="J174" s="237" t="s">
        <v>5224</v>
      </c>
      <c r="K174" s="237" t="s">
        <v>4749</v>
      </c>
      <c r="L174" s="237" t="s">
        <v>352</v>
      </c>
      <c r="M174" s="232" t="s">
        <v>9383</v>
      </c>
      <c r="N174" s="429" t="s">
        <v>17350</v>
      </c>
    </row>
    <row r="175">
      <c r="A175" s="427">
        <v>174.0</v>
      </c>
      <c r="B175" s="237" t="s">
        <v>3678</v>
      </c>
      <c r="C175" s="237" t="s">
        <v>6918</v>
      </c>
      <c r="D175" s="428">
        <v>45173.0</v>
      </c>
      <c r="E175" s="237" t="s">
        <v>6921</v>
      </c>
      <c r="F175" s="237" t="s">
        <v>17444</v>
      </c>
      <c r="G175" s="237" t="s">
        <v>17445</v>
      </c>
      <c r="H175" s="237" t="s">
        <v>17446</v>
      </c>
      <c r="I175" s="237" t="s">
        <v>6614</v>
      </c>
      <c r="J175" s="237" t="s">
        <v>5012</v>
      </c>
      <c r="K175" s="237" t="s">
        <v>4749</v>
      </c>
      <c r="L175" s="237" t="s">
        <v>17376</v>
      </c>
      <c r="M175" s="232" t="s">
        <v>9383</v>
      </c>
      <c r="N175" s="429" t="s">
        <v>17350</v>
      </c>
    </row>
    <row r="176">
      <c r="A176" s="427">
        <v>175.0</v>
      </c>
      <c r="B176" s="237" t="s">
        <v>939</v>
      </c>
      <c r="C176" s="237" t="s">
        <v>6918</v>
      </c>
      <c r="D176" s="428">
        <v>43773.0</v>
      </c>
      <c r="E176" s="237" t="s">
        <v>6921</v>
      </c>
      <c r="F176" s="237" t="s">
        <v>14817</v>
      </c>
      <c r="G176" s="237" t="s">
        <v>14818</v>
      </c>
      <c r="H176" s="237" t="s">
        <v>14529</v>
      </c>
      <c r="I176" s="237" t="s">
        <v>942</v>
      </c>
      <c r="J176" s="237" t="s">
        <v>5012</v>
      </c>
      <c r="K176" s="237" t="s">
        <v>4749</v>
      </c>
      <c r="L176" s="237" t="s">
        <v>17372</v>
      </c>
      <c r="M176" s="232" t="s">
        <v>9383</v>
      </c>
      <c r="N176" s="429" t="s">
        <v>17350</v>
      </c>
    </row>
    <row r="177">
      <c r="A177" s="427">
        <v>176.0</v>
      </c>
      <c r="B177" s="237" t="s">
        <v>3305</v>
      </c>
      <c r="C177" s="237" t="s">
        <v>1652</v>
      </c>
      <c r="D177" s="428">
        <v>45187.0</v>
      </c>
      <c r="E177" s="237" t="s">
        <v>6933</v>
      </c>
      <c r="F177" s="237" t="s">
        <v>11369</v>
      </c>
      <c r="G177" s="237" t="s">
        <v>17447</v>
      </c>
      <c r="H177" s="237" t="s">
        <v>11467</v>
      </c>
      <c r="I177" s="237" t="s">
        <v>6453</v>
      </c>
      <c r="J177" s="237" t="s">
        <v>5012</v>
      </c>
      <c r="K177" s="237" t="s">
        <v>4749</v>
      </c>
      <c r="L177" s="237" t="s">
        <v>2047</v>
      </c>
      <c r="M177" s="232" t="s">
        <v>9383</v>
      </c>
      <c r="N177" s="429" t="s">
        <v>17350</v>
      </c>
    </row>
    <row r="178">
      <c r="A178" s="427">
        <v>177.0</v>
      </c>
      <c r="B178" s="237" t="s">
        <v>9201</v>
      </c>
      <c r="C178" s="237" t="s">
        <v>9195</v>
      </c>
      <c r="D178" s="428">
        <v>45294.0</v>
      </c>
      <c r="E178" s="237" t="s">
        <v>6933</v>
      </c>
      <c r="F178" s="237" t="s">
        <v>12755</v>
      </c>
      <c r="G178" s="237" t="s">
        <v>12756</v>
      </c>
      <c r="H178" s="237" t="s">
        <v>12757</v>
      </c>
      <c r="I178" s="237" t="s">
        <v>12758</v>
      </c>
      <c r="J178" s="237" t="s">
        <v>5224</v>
      </c>
      <c r="K178" s="237" t="s">
        <v>4749</v>
      </c>
      <c r="L178" s="237" t="s">
        <v>9199</v>
      </c>
      <c r="M178" s="232" t="s">
        <v>9383</v>
      </c>
      <c r="N178" s="429" t="s">
        <v>17350</v>
      </c>
    </row>
    <row r="179">
      <c r="A179" s="427">
        <v>178.0</v>
      </c>
      <c r="B179" s="237" t="s">
        <v>11982</v>
      </c>
      <c r="C179" s="237" t="s">
        <v>10103</v>
      </c>
      <c r="D179" s="428">
        <v>42954.0</v>
      </c>
      <c r="E179" s="237" t="s">
        <v>6933</v>
      </c>
      <c r="F179" s="237" t="s">
        <v>11984</v>
      </c>
      <c r="G179" s="237" t="s">
        <v>11985</v>
      </c>
      <c r="H179" s="237" t="s">
        <v>9885</v>
      </c>
      <c r="I179" s="237" t="s">
        <v>11986</v>
      </c>
      <c r="J179" s="237" t="s">
        <v>5224</v>
      </c>
      <c r="K179" s="237" t="s">
        <v>4749</v>
      </c>
      <c r="L179" s="237" t="s">
        <v>1258</v>
      </c>
      <c r="M179" s="232" t="s">
        <v>9383</v>
      </c>
      <c r="N179" s="429" t="s">
        <v>17350</v>
      </c>
    </row>
    <row r="180">
      <c r="A180" s="427">
        <v>179.0</v>
      </c>
      <c r="B180" s="237" t="s">
        <v>9229</v>
      </c>
      <c r="C180" s="237" t="s">
        <v>8796</v>
      </c>
      <c r="D180" s="428">
        <v>45352.0</v>
      </c>
      <c r="E180" s="237" t="s">
        <v>6933</v>
      </c>
      <c r="F180" s="237" t="s">
        <v>9943</v>
      </c>
      <c r="G180" s="237" t="s">
        <v>9944</v>
      </c>
      <c r="H180" s="237" t="s">
        <v>9945</v>
      </c>
      <c r="I180" s="237" t="s">
        <v>9946</v>
      </c>
      <c r="J180" s="237" t="s">
        <v>5224</v>
      </c>
      <c r="K180" s="237" t="s">
        <v>4749</v>
      </c>
      <c r="L180" s="237" t="s">
        <v>9231</v>
      </c>
      <c r="M180" s="232" t="s">
        <v>9383</v>
      </c>
      <c r="N180" s="429" t="s">
        <v>17350</v>
      </c>
    </row>
    <row r="181">
      <c r="A181" s="427">
        <v>180.0</v>
      </c>
      <c r="B181" s="237" t="s">
        <v>9802</v>
      </c>
      <c r="C181" s="237" t="s">
        <v>8796</v>
      </c>
      <c r="D181" s="428">
        <v>43948.0</v>
      </c>
      <c r="E181" s="237" t="s">
        <v>6921</v>
      </c>
      <c r="F181" s="237" t="s">
        <v>9803</v>
      </c>
      <c r="G181" s="237" t="s">
        <v>9804</v>
      </c>
      <c r="H181" s="237" t="s">
        <v>9805</v>
      </c>
      <c r="I181" s="237" t="s">
        <v>5565</v>
      </c>
      <c r="J181" s="237" t="s">
        <v>5224</v>
      </c>
      <c r="K181" s="237" t="s">
        <v>4749</v>
      </c>
      <c r="L181" s="237" t="s">
        <v>17448</v>
      </c>
      <c r="M181" s="232" t="s">
        <v>9383</v>
      </c>
      <c r="N181" s="429" t="s">
        <v>17350</v>
      </c>
    </row>
    <row r="182">
      <c r="A182" s="427">
        <v>181.0</v>
      </c>
      <c r="B182" s="237" t="s">
        <v>8986</v>
      </c>
      <c r="C182" s="237" t="s">
        <v>6918</v>
      </c>
      <c r="D182" s="428">
        <v>45566.0</v>
      </c>
      <c r="E182" s="237" t="s">
        <v>6933</v>
      </c>
      <c r="F182" s="237" t="s">
        <v>11603</v>
      </c>
      <c r="G182" s="237" t="s">
        <v>15059</v>
      </c>
      <c r="H182" s="237" t="s">
        <v>12055</v>
      </c>
      <c r="I182" s="237" t="s">
        <v>15060</v>
      </c>
      <c r="J182" s="237" t="s">
        <v>5224</v>
      </c>
      <c r="K182" s="237" t="s">
        <v>4749</v>
      </c>
      <c r="L182" s="237" t="s">
        <v>8968</v>
      </c>
      <c r="M182" s="232" t="s">
        <v>9383</v>
      </c>
      <c r="N182" s="429" t="s">
        <v>17350</v>
      </c>
    </row>
    <row r="183">
      <c r="A183" s="427">
        <v>182.0</v>
      </c>
      <c r="B183" s="237" t="s">
        <v>12200</v>
      </c>
      <c r="C183" s="237" t="s">
        <v>10103</v>
      </c>
      <c r="D183" s="428">
        <v>45537.0</v>
      </c>
      <c r="E183" s="237" t="s">
        <v>6921</v>
      </c>
      <c r="F183" s="237" t="s">
        <v>12201</v>
      </c>
      <c r="G183" s="237" t="s">
        <v>12202</v>
      </c>
      <c r="H183" s="237" t="s">
        <v>12203</v>
      </c>
      <c r="I183" s="237" t="s">
        <v>12204</v>
      </c>
      <c r="J183" s="237" t="s">
        <v>5224</v>
      </c>
      <c r="K183" s="237" t="s">
        <v>4749</v>
      </c>
      <c r="L183" s="237" t="s">
        <v>10127</v>
      </c>
      <c r="M183" s="232" t="s">
        <v>9383</v>
      </c>
      <c r="N183" s="429" t="s">
        <v>17350</v>
      </c>
    </row>
    <row r="184">
      <c r="A184" s="427">
        <v>183.0</v>
      </c>
      <c r="B184" s="237" t="s">
        <v>4752</v>
      </c>
      <c r="C184" s="237" t="s">
        <v>6918</v>
      </c>
      <c r="D184" s="428">
        <v>45432.0</v>
      </c>
      <c r="E184" s="237" t="s">
        <v>6921</v>
      </c>
      <c r="F184" s="237" t="s">
        <v>15974</v>
      </c>
      <c r="G184" s="237" t="s">
        <v>15975</v>
      </c>
      <c r="H184" s="237" t="s">
        <v>15976</v>
      </c>
      <c r="I184" s="237" t="s">
        <v>4753</v>
      </c>
      <c r="J184" s="237" t="s">
        <v>5224</v>
      </c>
      <c r="K184" s="237" t="s">
        <v>4749</v>
      </c>
      <c r="L184" s="237" t="s">
        <v>4750</v>
      </c>
      <c r="M184" s="232" t="s">
        <v>9383</v>
      </c>
      <c r="N184" s="429" t="s">
        <v>17350</v>
      </c>
    </row>
    <row r="185">
      <c r="A185" s="427">
        <v>184.0</v>
      </c>
      <c r="B185" s="237" t="s">
        <v>7735</v>
      </c>
      <c r="C185" s="237" t="s">
        <v>6918</v>
      </c>
      <c r="D185" s="428">
        <v>39996.0</v>
      </c>
      <c r="E185" s="237" t="s">
        <v>6933</v>
      </c>
      <c r="F185" s="237" t="s">
        <v>9536</v>
      </c>
      <c r="G185" s="237" t="s">
        <v>13385</v>
      </c>
      <c r="H185" s="237" t="s">
        <v>10866</v>
      </c>
      <c r="I185" s="237" t="s">
        <v>13386</v>
      </c>
      <c r="J185" s="237" t="s">
        <v>5224</v>
      </c>
      <c r="K185" s="237" t="s">
        <v>4749</v>
      </c>
      <c r="L185" s="237" t="s">
        <v>2117</v>
      </c>
      <c r="M185" s="232" t="s">
        <v>9383</v>
      </c>
      <c r="N185" s="429" t="s">
        <v>17350</v>
      </c>
    </row>
    <row r="186">
      <c r="A186" s="427">
        <v>185.0</v>
      </c>
      <c r="B186" s="237" t="s">
        <v>7262</v>
      </c>
      <c r="C186" s="237" t="s">
        <v>7124</v>
      </c>
      <c r="D186" s="428">
        <v>42296.0</v>
      </c>
      <c r="E186" s="237" t="s">
        <v>6921</v>
      </c>
      <c r="F186" s="237" t="s">
        <v>12616</v>
      </c>
      <c r="G186" s="237" t="s">
        <v>12617</v>
      </c>
      <c r="H186" s="237" t="s">
        <v>9501</v>
      </c>
      <c r="I186" s="237" t="s">
        <v>12618</v>
      </c>
      <c r="J186" s="237" t="s">
        <v>5224</v>
      </c>
      <c r="K186" s="237" t="s">
        <v>4749</v>
      </c>
      <c r="L186" s="237" t="s">
        <v>7264</v>
      </c>
      <c r="M186" s="232" t="s">
        <v>9383</v>
      </c>
      <c r="N186" s="429" t="s">
        <v>17350</v>
      </c>
    </row>
    <row r="187">
      <c r="A187" s="427">
        <v>186.0</v>
      </c>
      <c r="B187" s="237" t="s">
        <v>9638</v>
      </c>
      <c r="C187" s="237" t="s">
        <v>8796</v>
      </c>
      <c r="D187" s="428">
        <v>45246.0</v>
      </c>
      <c r="E187" s="237" t="s">
        <v>6933</v>
      </c>
      <c r="F187" s="237" t="s">
        <v>9640</v>
      </c>
      <c r="G187" s="237" t="s">
        <v>9641</v>
      </c>
      <c r="H187" s="237" t="s">
        <v>9501</v>
      </c>
      <c r="I187" s="237" t="s">
        <v>9642</v>
      </c>
      <c r="J187" s="237" t="s">
        <v>5012</v>
      </c>
      <c r="K187" s="237" t="s">
        <v>9466</v>
      </c>
      <c r="L187" s="237" t="s">
        <v>17449</v>
      </c>
      <c r="M187" s="232" t="s">
        <v>9383</v>
      </c>
      <c r="N187" s="429" t="s">
        <v>17350</v>
      </c>
    </row>
    <row r="188">
      <c r="A188" s="427">
        <v>187.0</v>
      </c>
      <c r="B188" s="237" t="s">
        <v>15137</v>
      </c>
      <c r="C188" s="237" t="s">
        <v>6918</v>
      </c>
      <c r="D188" s="428">
        <v>45223.0</v>
      </c>
      <c r="E188" s="237" t="s">
        <v>6933</v>
      </c>
      <c r="F188" s="237" t="s">
        <v>11643</v>
      </c>
      <c r="G188" s="237" t="s">
        <v>15138</v>
      </c>
      <c r="H188" s="237" t="s">
        <v>10644</v>
      </c>
      <c r="I188" s="237" t="s">
        <v>15139</v>
      </c>
      <c r="J188" s="237" t="s">
        <v>5012</v>
      </c>
      <c r="K188" s="237" t="s">
        <v>9466</v>
      </c>
      <c r="L188" s="237" t="s">
        <v>17450</v>
      </c>
      <c r="M188" s="232" t="s">
        <v>9383</v>
      </c>
      <c r="N188" s="429" t="s">
        <v>17350</v>
      </c>
    </row>
    <row r="189">
      <c r="A189" s="427">
        <v>188.0</v>
      </c>
      <c r="B189" s="237" t="s">
        <v>229</v>
      </c>
      <c r="C189" s="237" t="s">
        <v>6918</v>
      </c>
      <c r="D189" s="428">
        <v>45019.0</v>
      </c>
      <c r="E189" s="237" t="s">
        <v>6933</v>
      </c>
      <c r="F189" s="237" t="s">
        <v>14184</v>
      </c>
      <c r="G189" s="237" t="s">
        <v>14185</v>
      </c>
      <c r="H189" s="237" t="s">
        <v>11138</v>
      </c>
      <c r="I189" s="237" t="s">
        <v>233</v>
      </c>
      <c r="J189" s="237" t="s">
        <v>5012</v>
      </c>
      <c r="K189" s="237" t="s">
        <v>9466</v>
      </c>
      <c r="L189" s="237" t="s">
        <v>232</v>
      </c>
      <c r="M189" s="232" t="s">
        <v>9383</v>
      </c>
      <c r="N189" s="429" t="s">
        <v>17350</v>
      </c>
    </row>
    <row r="190">
      <c r="A190" s="427">
        <v>189.0</v>
      </c>
      <c r="B190" s="237" t="s">
        <v>3282</v>
      </c>
      <c r="C190" s="237" t="s">
        <v>6918</v>
      </c>
      <c r="D190" s="428">
        <v>45078.0</v>
      </c>
      <c r="E190" s="237" t="s">
        <v>6933</v>
      </c>
      <c r="F190" s="237" t="s">
        <v>17451</v>
      </c>
      <c r="G190" s="237" t="s">
        <v>17452</v>
      </c>
      <c r="H190" s="237" t="s">
        <v>10952</v>
      </c>
      <c r="I190" s="237" t="s">
        <v>6446</v>
      </c>
      <c r="J190" s="237" t="s">
        <v>5012</v>
      </c>
      <c r="K190" s="237" t="s">
        <v>9466</v>
      </c>
      <c r="L190" s="237" t="s">
        <v>3284</v>
      </c>
      <c r="M190" s="232" t="s">
        <v>9383</v>
      </c>
      <c r="N190" s="429" t="s">
        <v>17350</v>
      </c>
    </row>
    <row r="191">
      <c r="A191" s="427">
        <v>190.0</v>
      </c>
      <c r="B191" s="237" t="s">
        <v>8925</v>
      </c>
      <c r="C191" s="237" t="s">
        <v>6918</v>
      </c>
      <c r="D191" s="428">
        <v>45170.0</v>
      </c>
      <c r="E191" s="237" t="s">
        <v>6933</v>
      </c>
      <c r="F191" s="237" t="s">
        <v>12515</v>
      </c>
      <c r="G191" s="237" t="s">
        <v>13858</v>
      </c>
      <c r="H191" s="237" t="s">
        <v>11092</v>
      </c>
      <c r="I191" s="237" t="s">
        <v>13859</v>
      </c>
      <c r="J191" s="237" t="s">
        <v>5012</v>
      </c>
      <c r="K191" s="237" t="s">
        <v>9466</v>
      </c>
      <c r="L191" s="237" t="s">
        <v>8927</v>
      </c>
      <c r="M191" s="232" t="s">
        <v>9383</v>
      </c>
      <c r="N191" s="429" t="s">
        <v>17350</v>
      </c>
    </row>
    <row r="192">
      <c r="A192" s="427">
        <v>191.0</v>
      </c>
      <c r="B192" s="237" t="s">
        <v>4075</v>
      </c>
      <c r="C192" s="237" t="s">
        <v>6918</v>
      </c>
      <c r="D192" s="428">
        <v>45489.0</v>
      </c>
      <c r="E192" s="237" t="s">
        <v>6933</v>
      </c>
      <c r="F192" s="237" t="s">
        <v>17453</v>
      </c>
      <c r="G192" s="237" t="s">
        <v>17454</v>
      </c>
      <c r="H192" s="237" t="s">
        <v>17455</v>
      </c>
      <c r="I192" s="237" t="s">
        <v>6755</v>
      </c>
      <c r="J192" s="237" t="s">
        <v>5012</v>
      </c>
      <c r="K192" s="237" t="s">
        <v>9466</v>
      </c>
      <c r="L192" s="237" t="s">
        <v>4077</v>
      </c>
      <c r="M192" s="232" t="s">
        <v>9383</v>
      </c>
      <c r="N192" s="429" t="s">
        <v>17350</v>
      </c>
    </row>
    <row r="193">
      <c r="A193" s="427">
        <v>192.0</v>
      </c>
      <c r="B193" s="237" t="s">
        <v>13671</v>
      </c>
      <c r="C193" s="237" t="s">
        <v>6918</v>
      </c>
      <c r="D193" s="428">
        <v>45187.0</v>
      </c>
      <c r="E193" s="237" t="s">
        <v>6933</v>
      </c>
      <c r="F193" s="237" t="s">
        <v>10675</v>
      </c>
      <c r="G193" s="237" t="s">
        <v>13672</v>
      </c>
      <c r="H193" s="237" t="s">
        <v>11398</v>
      </c>
      <c r="I193" s="237" t="s">
        <v>13673</v>
      </c>
      <c r="J193" s="237" t="s">
        <v>5012</v>
      </c>
      <c r="K193" s="237" t="s">
        <v>9466</v>
      </c>
      <c r="L193" s="237" t="s">
        <v>2258</v>
      </c>
      <c r="M193" s="232" t="s">
        <v>9383</v>
      </c>
      <c r="N193" s="429" t="s">
        <v>17350</v>
      </c>
    </row>
    <row r="194">
      <c r="A194" s="427">
        <v>193.0</v>
      </c>
      <c r="B194" s="237" t="s">
        <v>8917</v>
      </c>
      <c r="C194" s="237" t="s">
        <v>6918</v>
      </c>
      <c r="D194" s="428">
        <v>44958.0</v>
      </c>
      <c r="E194" s="237" t="s">
        <v>6933</v>
      </c>
      <c r="F194" s="237" t="s">
        <v>16000</v>
      </c>
      <c r="G194" s="237" t="s">
        <v>16001</v>
      </c>
      <c r="H194" s="237" t="s">
        <v>14575</v>
      </c>
      <c r="I194" s="237" t="s">
        <v>16002</v>
      </c>
      <c r="J194" s="237" t="s">
        <v>5012</v>
      </c>
      <c r="K194" s="237" t="s">
        <v>9466</v>
      </c>
      <c r="L194" s="237" t="s">
        <v>8919</v>
      </c>
      <c r="M194" s="232" t="s">
        <v>9383</v>
      </c>
      <c r="N194" s="429" t="s">
        <v>17350</v>
      </c>
    </row>
    <row r="195">
      <c r="A195" s="427">
        <v>194.0</v>
      </c>
      <c r="B195" s="237" t="s">
        <v>3855</v>
      </c>
      <c r="C195" s="237" t="s">
        <v>8796</v>
      </c>
      <c r="D195" s="428">
        <v>44866.0</v>
      </c>
      <c r="E195" s="237" t="s">
        <v>6933</v>
      </c>
      <c r="F195" s="237" t="s">
        <v>17184</v>
      </c>
      <c r="G195" s="237" t="s">
        <v>17185</v>
      </c>
      <c r="H195" s="237" t="s">
        <v>11916</v>
      </c>
      <c r="I195" s="237" t="s">
        <v>6680</v>
      </c>
      <c r="J195" s="237" t="s">
        <v>5012</v>
      </c>
      <c r="K195" s="237" t="s">
        <v>9466</v>
      </c>
      <c r="L195" s="237" t="s">
        <v>3857</v>
      </c>
      <c r="M195" s="232" t="s">
        <v>9383</v>
      </c>
      <c r="N195" s="429" t="s">
        <v>17350</v>
      </c>
    </row>
    <row r="196">
      <c r="A196" s="427">
        <v>195.0</v>
      </c>
      <c r="B196" s="237" t="s">
        <v>8843</v>
      </c>
      <c r="C196" s="237" t="s">
        <v>6918</v>
      </c>
      <c r="D196" s="428">
        <v>45019.0</v>
      </c>
      <c r="E196" s="237" t="s">
        <v>6933</v>
      </c>
      <c r="F196" s="237" t="s">
        <v>14329</v>
      </c>
      <c r="G196" s="237" t="s">
        <v>10588</v>
      </c>
      <c r="H196" s="237" t="s">
        <v>14330</v>
      </c>
      <c r="I196" s="237" t="s">
        <v>14331</v>
      </c>
      <c r="J196" s="237" t="s">
        <v>5012</v>
      </c>
      <c r="K196" s="237" t="s">
        <v>9466</v>
      </c>
      <c r="L196" s="237" t="s">
        <v>8845</v>
      </c>
      <c r="M196" s="232" t="s">
        <v>9383</v>
      </c>
      <c r="N196" s="429" t="s">
        <v>17350</v>
      </c>
    </row>
    <row r="197">
      <c r="A197" s="427">
        <v>196.0</v>
      </c>
      <c r="B197" s="237" t="s">
        <v>709</v>
      </c>
      <c r="C197" s="237" t="s">
        <v>6918</v>
      </c>
      <c r="D197" s="428">
        <v>45294.0</v>
      </c>
      <c r="E197" s="237" t="s">
        <v>6933</v>
      </c>
      <c r="F197" s="237" t="s">
        <v>13412</v>
      </c>
      <c r="G197" s="237" t="s">
        <v>13413</v>
      </c>
      <c r="H197" s="237" t="s">
        <v>9579</v>
      </c>
      <c r="I197" s="237" t="s">
        <v>713</v>
      </c>
      <c r="J197" s="237" t="s">
        <v>5012</v>
      </c>
      <c r="K197" s="237" t="s">
        <v>9796</v>
      </c>
      <c r="L197" s="237" t="s">
        <v>13414</v>
      </c>
      <c r="M197" s="232" t="s">
        <v>9383</v>
      </c>
      <c r="N197" s="429" t="s">
        <v>17350</v>
      </c>
    </row>
    <row r="198">
      <c r="A198" s="427">
        <v>197.0</v>
      </c>
      <c r="B198" s="237" t="s">
        <v>15189</v>
      </c>
      <c r="C198" s="237" t="s">
        <v>6918</v>
      </c>
      <c r="D198" s="428">
        <v>45558.0</v>
      </c>
      <c r="E198" s="237" t="s">
        <v>6933</v>
      </c>
      <c r="F198" s="237" t="s">
        <v>11708</v>
      </c>
      <c r="G198" s="237" t="s">
        <v>15191</v>
      </c>
      <c r="H198" s="237" t="s">
        <v>15192</v>
      </c>
      <c r="I198" s="237" t="s">
        <v>5670</v>
      </c>
      <c r="J198" s="237" t="s">
        <v>5012</v>
      </c>
      <c r="K198" s="237" t="s">
        <v>9796</v>
      </c>
      <c r="L198" s="237" t="s">
        <v>17394</v>
      </c>
      <c r="M198" s="232" t="s">
        <v>9383</v>
      </c>
      <c r="N198" s="429" t="s">
        <v>17350</v>
      </c>
    </row>
    <row r="199">
      <c r="A199" s="427">
        <v>198.0</v>
      </c>
      <c r="B199" s="237" t="s">
        <v>6387</v>
      </c>
      <c r="C199" s="237" t="s">
        <v>6918</v>
      </c>
      <c r="D199" s="428">
        <v>45294.0</v>
      </c>
      <c r="E199" s="237" t="s">
        <v>6933</v>
      </c>
      <c r="F199" s="237" t="s">
        <v>17456</v>
      </c>
      <c r="G199" s="237" t="s">
        <v>16258</v>
      </c>
      <c r="H199" s="237" t="s">
        <v>10770</v>
      </c>
      <c r="I199" s="237" t="s">
        <v>6390</v>
      </c>
      <c r="J199" s="237" t="s">
        <v>5012</v>
      </c>
      <c r="K199" s="237" t="s">
        <v>9796</v>
      </c>
      <c r="L199" s="237" t="s">
        <v>6389</v>
      </c>
      <c r="M199" s="232" t="s">
        <v>9383</v>
      </c>
      <c r="N199" s="429" t="s">
        <v>17350</v>
      </c>
    </row>
    <row r="200">
      <c r="A200" s="427">
        <v>199.0</v>
      </c>
      <c r="B200" s="237" t="s">
        <v>11553</v>
      </c>
      <c r="C200" s="237" t="s">
        <v>10103</v>
      </c>
      <c r="D200" s="428">
        <v>44799.0</v>
      </c>
      <c r="E200" s="237" t="s">
        <v>6921</v>
      </c>
      <c r="F200" s="237" t="s">
        <v>11555</v>
      </c>
      <c r="G200" s="237" t="s">
        <v>11556</v>
      </c>
      <c r="H200" s="237" t="s">
        <v>9586</v>
      </c>
      <c r="I200" s="237" t="s">
        <v>11557</v>
      </c>
      <c r="J200" s="237" t="s">
        <v>5012</v>
      </c>
      <c r="K200" s="237" t="s">
        <v>1417</v>
      </c>
      <c r="L200" s="237" t="s">
        <v>17457</v>
      </c>
      <c r="M200" s="232" t="s">
        <v>9383</v>
      </c>
      <c r="N200" s="429" t="s">
        <v>17350</v>
      </c>
    </row>
    <row r="201">
      <c r="A201" s="427">
        <v>200.0</v>
      </c>
      <c r="B201" s="237" t="s">
        <v>12429</v>
      </c>
      <c r="C201" s="237" t="s">
        <v>12420</v>
      </c>
      <c r="D201" s="428">
        <v>45124.0</v>
      </c>
      <c r="E201" s="237" t="s">
        <v>6933</v>
      </c>
      <c r="F201" s="237" t="s">
        <v>12430</v>
      </c>
      <c r="G201" s="237" t="s">
        <v>12431</v>
      </c>
      <c r="H201" s="237" t="s">
        <v>12432</v>
      </c>
      <c r="I201" s="237" t="s">
        <v>12433</v>
      </c>
      <c r="J201" s="237" t="s">
        <v>5224</v>
      </c>
      <c r="K201" s="237" t="s">
        <v>4818</v>
      </c>
      <c r="L201" s="237" t="s">
        <v>12434</v>
      </c>
      <c r="M201" s="232" t="s">
        <v>9383</v>
      </c>
      <c r="N201" s="429" t="s">
        <v>17350</v>
      </c>
    </row>
    <row r="202">
      <c r="A202" s="427">
        <v>201.0</v>
      </c>
      <c r="B202" s="237" t="s">
        <v>9244</v>
      </c>
      <c r="C202" s="237" t="s">
        <v>8796</v>
      </c>
      <c r="D202" s="428">
        <v>45141.0</v>
      </c>
      <c r="E202" s="237" t="s">
        <v>6921</v>
      </c>
      <c r="F202" s="237" t="s">
        <v>10001</v>
      </c>
      <c r="G202" s="237" t="s">
        <v>10002</v>
      </c>
      <c r="H202" s="237" t="s">
        <v>10003</v>
      </c>
      <c r="I202" s="237" t="s">
        <v>10004</v>
      </c>
      <c r="J202" s="237" t="s">
        <v>5224</v>
      </c>
      <c r="K202" s="237" t="s">
        <v>4818</v>
      </c>
      <c r="L202" s="237" t="s">
        <v>9246</v>
      </c>
      <c r="M202" s="232" t="s">
        <v>9383</v>
      </c>
      <c r="N202" s="429" t="s">
        <v>17350</v>
      </c>
    </row>
    <row r="203">
      <c r="A203" s="427">
        <v>202.0</v>
      </c>
      <c r="B203" s="237" t="s">
        <v>16474</v>
      </c>
      <c r="C203" s="237" t="s">
        <v>16470</v>
      </c>
      <c r="D203" s="428">
        <v>42099.0</v>
      </c>
      <c r="E203" s="237" t="s">
        <v>6933</v>
      </c>
      <c r="F203" s="237" t="s">
        <v>16476</v>
      </c>
      <c r="G203" s="237" t="s">
        <v>16477</v>
      </c>
      <c r="H203" s="237" t="s">
        <v>10812</v>
      </c>
      <c r="I203" s="237" t="s">
        <v>16478</v>
      </c>
      <c r="J203" s="237" t="s">
        <v>5012</v>
      </c>
      <c r="K203" s="237" t="s">
        <v>4818</v>
      </c>
      <c r="L203" s="237" t="s">
        <v>16463</v>
      </c>
      <c r="M203" s="232" t="s">
        <v>9383</v>
      </c>
      <c r="N203" s="429" t="s">
        <v>17350</v>
      </c>
    </row>
    <row r="204">
      <c r="A204" s="427">
        <v>203.0</v>
      </c>
      <c r="B204" s="237" t="s">
        <v>8688</v>
      </c>
      <c r="C204" s="237" t="s">
        <v>1631</v>
      </c>
      <c r="D204" s="428">
        <v>45231.0</v>
      </c>
      <c r="E204" s="237" t="s">
        <v>6933</v>
      </c>
      <c r="F204" s="237" t="s">
        <v>9416</v>
      </c>
      <c r="G204" s="237" t="s">
        <v>9417</v>
      </c>
      <c r="H204" s="237" t="s">
        <v>9418</v>
      </c>
      <c r="I204" s="237" t="s">
        <v>9419</v>
      </c>
      <c r="J204" s="237" t="s">
        <v>5224</v>
      </c>
      <c r="K204" s="237" t="s">
        <v>4818</v>
      </c>
      <c r="L204" s="237" t="s">
        <v>5890</v>
      </c>
      <c r="M204" s="232" t="s">
        <v>9383</v>
      </c>
      <c r="N204" s="429" t="s">
        <v>17350</v>
      </c>
    </row>
    <row r="205">
      <c r="A205" s="427">
        <v>204.0</v>
      </c>
      <c r="B205" s="237" t="s">
        <v>9823</v>
      </c>
      <c r="C205" s="237" t="s">
        <v>8796</v>
      </c>
      <c r="D205" s="428">
        <v>42767.0</v>
      </c>
      <c r="E205" s="237" t="s">
        <v>6921</v>
      </c>
      <c r="F205" s="237" t="s">
        <v>9825</v>
      </c>
      <c r="G205" s="237" t="s">
        <v>9826</v>
      </c>
      <c r="H205" s="237" t="s">
        <v>9827</v>
      </c>
      <c r="I205" s="237" t="s">
        <v>9828</v>
      </c>
      <c r="J205" s="237" t="s">
        <v>5012</v>
      </c>
      <c r="K205" s="237" t="s">
        <v>4818</v>
      </c>
      <c r="L205" s="237" t="s">
        <v>17458</v>
      </c>
      <c r="M205" s="232" t="s">
        <v>9383</v>
      </c>
      <c r="N205" s="429" t="s">
        <v>17350</v>
      </c>
    </row>
    <row r="206">
      <c r="A206" s="427">
        <v>205.0</v>
      </c>
      <c r="B206" s="237" t="s">
        <v>9167</v>
      </c>
      <c r="C206" s="237" t="s">
        <v>9157</v>
      </c>
      <c r="D206" s="428">
        <v>45243.0</v>
      </c>
      <c r="E206" s="237" t="s">
        <v>6933</v>
      </c>
      <c r="F206" s="237" t="s">
        <v>12348</v>
      </c>
      <c r="G206" s="237" t="s">
        <v>12349</v>
      </c>
      <c r="H206" s="237" t="s">
        <v>12350</v>
      </c>
      <c r="I206" s="237" t="s">
        <v>12351</v>
      </c>
      <c r="J206" s="237" t="s">
        <v>5224</v>
      </c>
      <c r="K206" s="237" t="s">
        <v>4818</v>
      </c>
      <c r="L206" s="237" t="s">
        <v>17459</v>
      </c>
      <c r="M206" s="232" t="s">
        <v>9383</v>
      </c>
      <c r="N206" s="429" t="s">
        <v>17350</v>
      </c>
    </row>
    <row r="207">
      <c r="A207" s="427">
        <v>206.0</v>
      </c>
      <c r="B207" s="237" t="s">
        <v>7063</v>
      </c>
      <c r="C207" s="237" t="s">
        <v>6918</v>
      </c>
      <c r="D207" s="428">
        <v>45352.0</v>
      </c>
      <c r="E207" s="237" t="s">
        <v>6933</v>
      </c>
      <c r="F207" s="237" t="s">
        <v>10214</v>
      </c>
      <c r="G207" s="237" t="s">
        <v>17460</v>
      </c>
      <c r="H207" s="237" t="s">
        <v>10214</v>
      </c>
      <c r="I207" s="237" t="s">
        <v>13953</v>
      </c>
      <c r="J207" s="237" t="s">
        <v>5224</v>
      </c>
      <c r="K207" s="237" t="s">
        <v>4818</v>
      </c>
      <c r="L207" s="237" t="s">
        <v>7060</v>
      </c>
      <c r="M207" s="232" t="s">
        <v>9383</v>
      </c>
      <c r="N207" s="429" t="s">
        <v>17350</v>
      </c>
    </row>
    <row r="208">
      <c r="A208" s="427">
        <v>207.0</v>
      </c>
      <c r="B208" s="237" t="s">
        <v>8966</v>
      </c>
      <c r="C208" s="237" t="s">
        <v>6918</v>
      </c>
      <c r="D208" s="428">
        <v>41617.0</v>
      </c>
      <c r="E208" s="237" t="s">
        <v>7239</v>
      </c>
      <c r="F208" s="237" t="s">
        <v>11961</v>
      </c>
      <c r="G208" s="237" t="s">
        <v>14319</v>
      </c>
      <c r="H208" s="237" t="s">
        <v>15563</v>
      </c>
      <c r="I208" s="237" t="s">
        <v>15564</v>
      </c>
      <c r="J208" s="237" t="s">
        <v>5224</v>
      </c>
      <c r="K208" s="237" t="s">
        <v>4818</v>
      </c>
      <c r="L208" s="237" t="s">
        <v>8968</v>
      </c>
      <c r="M208" s="232" t="s">
        <v>9383</v>
      </c>
      <c r="N208" s="429" t="s">
        <v>17350</v>
      </c>
    </row>
    <row r="209">
      <c r="A209" s="427">
        <v>208.0</v>
      </c>
      <c r="B209" s="237" t="s">
        <v>8680</v>
      </c>
      <c r="C209" s="237" t="s">
        <v>1631</v>
      </c>
      <c r="D209" s="428">
        <v>44531.0</v>
      </c>
      <c r="E209" s="237" t="s">
        <v>6921</v>
      </c>
      <c r="F209" s="237" t="s">
        <v>9428</v>
      </c>
      <c r="G209" s="237" t="s">
        <v>9429</v>
      </c>
      <c r="H209" s="237" t="s">
        <v>9430</v>
      </c>
      <c r="I209" s="237" t="s">
        <v>9431</v>
      </c>
      <c r="J209" s="237" t="s">
        <v>5224</v>
      </c>
      <c r="K209" s="237" t="s">
        <v>4818</v>
      </c>
      <c r="L209" s="237" t="s">
        <v>8682</v>
      </c>
      <c r="M209" s="232" t="s">
        <v>9383</v>
      </c>
      <c r="N209" s="429" t="s">
        <v>17350</v>
      </c>
    </row>
    <row r="210">
      <c r="A210" s="427">
        <v>209.0</v>
      </c>
      <c r="B210" s="237" t="s">
        <v>7131</v>
      </c>
      <c r="C210" s="237" t="s">
        <v>6918</v>
      </c>
      <c r="D210" s="428">
        <v>43592.0</v>
      </c>
      <c r="E210" s="237" t="s">
        <v>6921</v>
      </c>
      <c r="F210" s="237" t="s">
        <v>14726</v>
      </c>
      <c r="G210" s="237" t="s">
        <v>14727</v>
      </c>
      <c r="H210" s="237" t="s">
        <v>14728</v>
      </c>
      <c r="I210" s="237" t="s">
        <v>14729</v>
      </c>
      <c r="J210" s="237" t="s">
        <v>5224</v>
      </c>
      <c r="K210" s="237" t="s">
        <v>4818</v>
      </c>
      <c r="L210" s="237" t="s">
        <v>7133</v>
      </c>
      <c r="M210" s="232" t="s">
        <v>9383</v>
      </c>
      <c r="N210" s="429" t="s">
        <v>17350</v>
      </c>
    </row>
    <row r="211">
      <c r="A211" s="427">
        <v>210.0</v>
      </c>
      <c r="B211" s="237" t="s">
        <v>7238</v>
      </c>
      <c r="C211" s="237" t="s">
        <v>6918</v>
      </c>
      <c r="D211" s="428">
        <v>45257.0</v>
      </c>
      <c r="E211" s="237" t="s">
        <v>7239</v>
      </c>
      <c r="F211" s="237" t="s">
        <v>15214</v>
      </c>
      <c r="G211" s="237" t="s">
        <v>15215</v>
      </c>
      <c r="H211" s="237" t="s">
        <v>15216</v>
      </c>
      <c r="I211" s="237" t="s">
        <v>15217</v>
      </c>
      <c r="J211" s="237" t="s">
        <v>5224</v>
      </c>
      <c r="K211" s="237" t="s">
        <v>4818</v>
      </c>
      <c r="L211" s="237" t="s">
        <v>7241</v>
      </c>
      <c r="M211" s="232" t="s">
        <v>9383</v>
      </c>
      <c r="N211" s="429" t="s">
        <v>17350</v>
      </c>
    </row>
    <row r="212">
      <c r="A212" s="427">
        <v>211.0</v>
      </c>
      <c r="B212" s="237" t="s">
        <v>10283</v>
      </c>
      <c r="C212" s="237" t="s">
        <v>10103</v>
      </c>
      <c r="D212" s="428">
        <v>44634.0</v>
      </c>
      <c r="E212" s="237" t="s">
        <v>6933</v>
      </c>
      <c r="F212" s="237" t="s">
        <v>10284</v>
      </c>
      <c r="G212" s="237" t="s">
        <v>10285</v>
      </c>
      <c r="H212" s="237" t="s">
        <v>10286</v>
      </c>
      <c r="I212" s="237" t="s">
        <v>10287</v>
      </c>
      <c r="J212" s="237" t="s">
        <v>5224</v>
      </c>
      <c r="K212" s="237" t="s">
        <v>4818</v>
      </c>
      <c r="L212" s="237" t="s">
        <v>1258</v>
      </c>
      <c r="M212" s="232" t="s">
        <v>9383</v>
      </c>
      <c r="N212" s="429" t="s">
        <v>17350</v>
      </c>
    </row>
    <row r="213">
      <c r="A213" s="427">
        <v>212.0</v>
      </c>
      <c r="B213" s="237" t="s">
        <v>15656</v>
      </c>
      <c r="C213" s="237" t="s">
        <v>6918</v>
      </c>
      <c r="D213" s="428">
        <v>41411.0</v>
      </c>
      <c r="E213" s="237" t="s">
        <v>6921</v>
      </c>
      <c r="F213" s="237" t="s">
        <v>12041</v>
      </c>
      <c r="G213" s="237" t="s">
        <v>15658</v>
      </c>
      <c r="H213" s="237" t="s">
        <v>9956</v>
      </c>
      <c r="I213" s="237" t="s">
        <v>15659</v>
      </c>
      <c r="J213" s="237" t="s">
        <v>5012</v>
      </c>
      <c r="K213" s="237" t="s">
        <v>4818</v>
      </c>
      <c r="L213" s="237" t="s">
        <v>17366</v>
      </c>
      <c r="M213" s="232" t="s">
        <v>9383</v>
      </c>
      <c r="N213" s="429" t="s">
        <v>17350</v>
      </c>
    </row>
    <row r="214">
      <c r="A214" s="427">
        <v>213.0</v>
      </c>
      <c r="B214" s="237" t="s">
        <v>3251</v>
      </c>
      <c r="C214" s="237" t="s">
        <v>6918</v>
      </c>
      <c r="D214" s="428">
        <v>44669.0</v>
      </c>
      <c r="E214" s="237" t="s">
        <v>6933</v>
      </c>
      <c r="F214" s="237" t="s">
        <v>12731</v>
      </c>
      <c r="G214" s="237" t="s">
        <v>17461</v>
      </c>
      <c r="H214" s="237" t="s">
        <v>10244</v>
      </c>
      <c r="I214" s="237" t="s">
        <v>6431</v>
      </c>
      <c r="J214" s="237" t="s">
        <v>5224</v>
      </c>
      <c r="K214" s="237" t="s">
        <v>4818</v>
      </c>
      <c r="L214" s="237" t="s">
        <v>3253</v>
      </c>
      <c r="M214" s="232" t="s">
        <v>9383</v>
      </c>
      <c r="N214" s="429" t="s">
        <v>17350</v>
      </c>
    </row>
    <row r="215">
      <c r="A215" s="427">
        <v>214.0</v>
      </c>
      <c r="B215" s="237" t="s">
        <v>9197</v>
      </c>
      <c r="C215" s="237" t="s">
        <v>9195</v>
      </c>
      <c r="D215" s="428">
        <v>45019.0</v>
      </c>
      <c r="E215" s="237" t="s">
        <v>6933</v>
      </c>
      <c r="F215" s="237" t="s">
        <v>12752</v>
      </c>
      <c r="G215" s="237" t="s">
        <v>12753</v>
      </c>
      <c r="H215" s="237" t="s">
        <v>9388</v>
      </c>
      <c r="I215" s="237" t="s">
        <v>12754</v>
      </c>
      <c r="J215" s="237" t="s">
        <v>5224</v>
      </c>
      <c r="K215" s="237" t="s">
        <v>4818</v>
      </c>
      <c r="L215" s="237" t="s">
        <v>9199</v>
      </c>
      <c r="M215" s="232" t="s">
        <v>9383</v>
      </c>
      <c r="N215" s="429" t="s">
        <v>17350</v>
      </c>
    </row>
    <row r="216">
      <c r="A216" s="427">
        <v>215.0</v>
      </c>
      <c r="B216" s="237" t="s">
        <v>793</v>
      </c>
      <c r="C216" s="237" t="s">
        <v>6918</v>
      </c>
      <c r="D216" s="428">
        <v>44321.0</v>
      </c>
      <c r="E216" s="237" t="s">
        <v>7239</v>
      </c>
      <c r="F216" s="237" t="s">
        <v>15156</v>
      </c>
      <c r="G216" s="237" t="s">
        <v>15157</v>
      </c>
      <c r="H216" s="237" t="s">
        <v>9975</v>
      </c>
      <c r="I216" s="237" t="s">
        <v>796</v>
      </c>
      <c r="J216" s="237" t="s">
        <v>5012</v>
      </c>
      <c r="K216" s="237" t="s">
        <v>4818</v>
      </c>
      <c r="L216" s="237" t="s">
        <v>17390</v>
      </c>
      <c r="M216" s="232" t="s">
        <v>9383</v>
      </c>
      <c r="N216" s="429" t="s">
        <v>17350</v>
      </c>
    </row>
    <row r="217">
      <c r="A217" s="427">
        <v>216.0</v>
      </c>
      <c r="B217" s="237" t="s">
        <v>8458</v>
      </c>
      <c r="C217" s="237" t="s">
        <v>6918</v>
      </c>
      <c r="D217" s="428">
        <v>45061.0</v>
      </c>
      <c r="E217" s="237" t="s">
        <v>6933</v>
      </c>
      <c r="F217" s="237" t="s">
        <v>13177</v>
      </c>
      <c r="G217" s="237" t="s">
        <v>13178</v>
      </c>
      <c r="H217" s="237" t="s">
        <v>13179</v>
      </c>
      <c r="I217" s="237" t="s">
        <v>13180</v>
      </c>
      <c r="J217" s="237" t="s">
        <v>5224</v>
      </c>
      <c r="K217" s="237" t="s">
        <v>4818</v>
      </c>
      <c r="L217" s="237" t="s">
        <v>8450</v>
      </c>
      <c r="M217" s="232" t="s">
        <v>9383</v>
      </c>
      <c r="N217" s="429" t="s">
        <v>17350</v>
      </c>
    </row>
    <row r="218">
      <c r="A218" s="427">
        <v>217.0</v>
      </c>
      <c r="B218" s="237" t="s">
        <v>8448</v>
      </c>
      <c r="C218" s="237" t="s">
        <v>6918</v>
      </c>
      <c r="D218" s="428">
        <v>41799.0</v>
      </c>
      <c r="E218" s="237" t="s">
        <v>6921</v>
      </c>
      <c r="F218" s="237" t="s">
        <v>14539</v>
      </c>
      <c r="G218" s="237" t="s">
        <v>14540</v>
      </c>
      <c r="H218" s="237" t="s">
        <v>14541</v>
      </c>
      <c r="I218" s="237" t="s">
        <v>14542</v>
      </c>
      <c r="J218" s="237" t="s">
        <v>5224</v>
      </c>
      <c r="K218" s="237" t="s">
        <v>4818</v>
      </c>
      <c r="L218" s="237" t="s">
        <v>8450</v>
      </c>
      <c r="M218" s="232" t="s">
        <v>9383</v>
      </c>
      <c r="N218" s="429" t="s">
        <v>17350</v>
      </c>
    </row>
    <row r="219">
      <c r="A219" s="427">
        <v>218.0</v>
      </c>
      <c r="B219" s="237" t="s">
        <v>7752</v>
      </c>
      <c r="C219" s="237" t="s">
        <v>6918</v>
      </c>
      <c r="D219" s="428">
        <v>40651.0</v>
      </c>
      <c r="E219" s="237" t="s">
        <v>7239</v>
      </c>
      <c r="F219" s="237" t="s">
        <v>15271</v>
      </c>
      <c r="G219" s="237" t="s">
        <v>15272</v>
      </c>
      <c r="H219" s="237" t="s">
        <v>10435</v>
      </c>
      <c r="I219" s="237" t="s">
        <v>15273</v>
      </c>
      <c r="J219" s="237" t="s">
        <v>5224</v>
      </c>
      <c r="K219" s="237" t="s">
        <v>4818</v>
      </c>
      <c r="L219" s="237" t="s">
        <v>3170</v>
      </c>
      <c r="M219" s="232" t="s">
        <v>9383</v>
      </c>
      <c r="N219" s="429" t="s">
        <v>17350</v>
      </c>
    </row>
    <row r="220">
      <c r="A220" s="427">
        <v>219.0</v>
      </c>
      <c r="B220" s="237" t="s">
        <v>7058</v>
      </c>
      <c r="C220" s="237" t="s">
        <v>6918</v>
      </c>
      <c r="D220" s="428">
        <v>43339.0</v>
      </c>
      <c r="E220" s="237" t="s">
        <v>6933</v>
      </c>
      <c r="F220" s="237" t="s">
        <v>14570</v>
      </c>
      <c r="G220" s="237" t="s">
        <v>14571</v>
      </c>
      <c r="H220" s="237" t="s">
        <v>11701</v>
      </c>
      <c r="I220" s="237" t="s">
        <v>14572</v>
      </c>
      <c r="J220" s="237" t="s">
        <v>5224</v>
      </c>
      <c r="K220" s="237" t="s">
        <v>4818</v>
      </c>
      <c r="L220" s="237" t="s">
        <v>7060</v>
      </c>
      <c r="M220" s="232" t="s">
        <v>9383</v>
      </c>
      <c r="N220" s="429" t="s">
        <v>17350</v>
      </c>
    </row>
    <row r="221">
      <c r="A221" s="427">
        <v>220.0</v>
      </c>
      <c r="B221" s="237" t="s">
        <v>8239</v>
      </c>
      <c r="C221" s="237" t="s">
        <v>6918</v>
      </c>
      <c r="D221" s="428">
        <v>43739.0</v>
      </c>
      <c r="E221" s="237" t="s">
        <v>6933</v>
      </c>
      <c r="F221" s="237" t="s">
        <v>15637</v>
      </c>
      <c r="G221" s="237" t="s">
        <v>15638</v>
      </c>
      <c r="H221" s="237" t="s">
        <v>15639</v>
      </c>
      <c r="I221" s="237" t="s">
        <v>15640</v>
      </c>
      <c r="J221" s="237" t="s">
        <v>5224</v>
      </c>
      <c r="K221" s="237" t="s">
        <v>9604</v>
      </c>
      <c r="L221" s="237" t="s">
        <v>1311</v>
      </c>
      <c r="M221" s="232" t="s">
        <v>9383</v>
      </c>
      <c r="N221" s="429" t="s">
        <v>17350</v>
      </c>
    </row>
    <row r="222">
      <c r="A222" s="427">
        <v>221.0</v>
      </c>
      <c r="B222" s="237" t="s">
        <v>8804</v>
      </c>
      <c r="C222" s="237" t="s">
        <v>6918</v>
      </c>
      <c r="D222" s="428">
        <v>43647.0</v>
      </c>
      <c r="E222" s="237" t="s">
        <v>6933</v>
      </c>
      <c r="F222" s="237" t="s">
        <v>14602</v>
      </c>
      <c r="G222" s="237" t="s">
        <v>14603</v>
      </c>
      <c r="H222" s="237" t="s">
        <v>13778</v>
      </c>
      <c r="I222" s="237" t="s">
        <v>14604</v>
      </c>
      <c r="J222" s="237" t="s">
        <v>5224</v>
      </c>
      <c r="K222" s="237" t="s">
        <v>9604</v>
      </c>
      <c r="L222" s="237" t="s">
        <v>8806</v>
      </c>
      <c r="M222" s="232" t="s">
        <v>9383</v>
      </c>
      <c r="N222" s="429" t="s">
        <v>17350</v>
      </c>
    </row>
    <row r="223">
      <c r="A223" s="427">
        <v>222.0</v>
      </c>
      <c r="B223" s="237" t="s">
        <v>4294</v>
      </c>
      <c r="C223" s="237" t="s">
        <v>10040</v>
      </c>
      <c r="D223" s="428">
        <v>44879.0</v>
      </c>
      <c r="E223" s="237" t="s">
        <v>7239</v>
      </c>
      <c r="F223" s="237" t="s">
        <v>17462</v>
      </c>
      <c r="G223" s="237" t="s">
        <v>17463</v>
      </c>
      <c r="H223" s="237" t="s">
        <v>9789</v>
      </c>
      <c r="I223" s="237" t="s">
        <v>6813</v>
      </c>
      <c r="J223" s="237" t="s">
        <v>5224</v>
      </c>
      <c r="K223" s="237" t="s">
        <v>9604</v>
      </c>
      <c r="L223" s="237" t="s">
        <v>17464</v>
      </c>
      <c r="M223" s="232" t="s">
        <v>9383</v>
      </c>
      <c r="N223" s="429" t="s">
        <v>17350</v>
      </c>
    </row>
    <row r="224">
      <c r="A224" s="427">
        <v>223.0</v>
      </c>
      <c r="B224" s="237" t="s">
        <v>3955</v>
      </c>
      <c r="C224" s="237" t="s">
        <v>6918</v>
      </c>
      <c r="D224" s="428">
        <v>45019.0</v>
      </c>
      <c r="E224" s="237" t="s">
        <v>6933</v>
      </c>
      <c r="F224" s="237" t="s">
        <v>13017</v>
      </c>
      <c r="G224" s="237" t="s">
        <v>17465</v>
      </c>
      <c r="H224" s="237" t="s">
        <v>13017</v>
      </c>
      <c r="I224" s="237" t="s">
        <v>6715</v>
      </c>
      <c r="J224" s="237" t="s">
        <v>5224</v>
      </c>
      <c r="K224" s="237" t="s">
        <v>9604</v>
      </c>
      <c r="L224" s="237" t="s">
        <v>9215</v>
      </c>
      <c r="M224" s="232" t="s">
        <v>9383</v>
      </c>
      <c r="N224" s="429" t="s">
        <v>17350</v>
      </c>
    </row>
    <row r="225">
      <c r="A225" s="427">
        <v>224.0</v>
      </c>
      <c r="B225" s="237" t="s">
        <v>13833</v>
      </c>
      <c r="C225" s="237" t="s">
        <v>6918</v>
      </c>
      <c r="D225" s="428">
        <v>45748.0</v>
      </c>
      <c r="E225" s="237" t="s">
        <v>6921</v>
      </c>
      <c r="F225" s="237" t="s">
        <v>13834</v>
      </c>
      <c r="G225" s="237" t="s">
        <v>13835</v>
      </c>
      <c r="H225" s="237" t="s">
        <v>11846</v>
      </c>
      <c r="I225" s="237" t="s">
        <v>13836</v>
      </c>
      <c r="J225" s="237" t="s">
        <v>5224</v>
      </c>
      <c r="K225" s="237" t="s">
        <v>13837</v>
      </c>
      <c r="L225" s="237" t="s">
        <v>2508</v>
      </c>
      <c r="M225" s="232" t="s">
        <v>9391</v>
      </c>
      <c r="N225" s="429" t="s">
        <v>17350</v>
      </c>
    </row>
    <row r="226">
      <c r="A226" s="427">
        <v>225.0</v>
      </c>
      <c r="B226" s="237" t="s">
        <v>5143</v>
      </c>
      <c r="C226" s="237" t="s">
        <v>7400</v>
      </c>
      <c r="D226" s="428">
        <v>41641.0</v>
      </c>
      <c r="E226" s="237" t="s">
        <v>6921</v>
      </c>
      <c r="F226" s="237" t="s">
        <v>12922</v>
      </c>
      <c r="G226" s="237" t="s">
        <v>12923</v>
      </c>
      <c r="H226" s="237" t="s">
        <v>10244</v>
      </c>
      <c r="I226" s="237" t="s">
        <v>5146</v>
      </c>
      <c r="J226" s="237" t="s">
        <v>5224</v>
      </c>
      <c r="K226" s="237" t="s">
        <v>4835</v>
      </c>
      <c r="L226" s="237" t="s">
        <v>10538</v>
      </c>
      <c r="M226" s="232" t="s">
        <v>9383</v>
      </c>
      <c r="N226" s="429" t="s">
        <v>17350</v>
      </c>
    </row>
    <row r="227">
      <c r="A227" s="427">
        <v>226.0</v>
      </c>
      <c r="B227" s="237" t="s">
        <v>14791</v>
      </c>
      <c r="C227" s="237" t="s">
        <v>6918</v>
      </c>
      <c r="D227" s="428">
        <v>41246.0</v>
      </c>
      <c r="E227" s="237" t="s">
        <v>6921</v>
      </c>
      <c r="F227" s="237" t="s">
        <v>14793</v>
      </c>
      <c r="G227" s="237" t="s">
        <v>14794</v>
      </c>
      <c r="H227" s="237" t="s">
        <v>14793</v>
      </c>
      <c r="I227" s="237" t="s">
        <v>14795</v>
      </c>
      <c r="J227" s="237" t="s">
        <v>5012</v>
      </c>
      <c r="K227" s="237" t="s">
        <v>4835</v>
      </c>
      <c r="L227" s="237" t="s">
        <v>17466</v>
      </c>
      <c r="M227" s="232" t="s">
        <v>9383</v>
      </c>
      <c r="N227" s="429" t="s">
        <v>17350</v>
      </c>
    </row>
    <row r="228">
      <c r="A228" s="427">
        <v>227.0</v>
      </c>
      <c r="B228" s="237" t="s">
        <v>7984</v>
      </c>
      <c r="C228" s="237" t="s">
        <v>6918</v>
      </c>
      <c r="D228" s="428">
        <v>40392.0</v>
      </c>
      <c r="E228" s="237" t="s">
        <v>6933</v>
      </c>
      <c r="F228" s="237" t="s">
        <v>15704</v>
      </c>
      <c r="G228" s="237" t="s">
        <v>15708</v>
      </c>
      <c r="H228" s="237" t="s">
        <v>9696</v>
      </c>
      <c r="I228" s="237" t="s">
        <v>15709</v>
      </c>
      <c r="J228" s="237" t="s">
        <v>5224</v>
      </c>
      <c r="K228" s="237" t="s">
        <v>4835</v>
      </c>
      <c r="L228" s="237" t="s">
        <v>7626</v>
      </c>
      <c r="M228" s="232" t="s">
        <v>9383</v>
      </c>
      <c r="N228" s="429" t="s">
        <v>17350</v>
      </c>
    </row>
    <row r="229">
      <c r="A229" s="427">
        <v>228.0</v>
      </c>
      <c r="B229" s="237" t="s">
        <v>7347</v>
      </c>
      <c r="C229" s="237" t="s">
        <v>7124</v>
      </c>
      <c r="D229" s="428">
        <v>39539.0</v>
      </c>
      <c r="E229" s="237" t="s">
        <v>6921</v>
      </c>
      <c r="F229" s="237" t="s">
        <v>12604</v>
      </c>
      <c r="G229" s="237" t="s">
        <v>12605</v>
      </c>
      <c r="H229" s="237" t="s">
        <v>10765</v>
      </c>
      <c r="I229" s="237" t="s">
        <v>17467</v>
      </c>
      <c r="J229" s="237" t="s">
        <v>5224</v>
      </c>
      <c r="K229" s="237" t="s">
        <v>4835</v>
      </c>
      <c r="L229" s="237" t="s">
        <v>7264</v>
      </c>
      <c r="M229" s="232" t="s">
        <v>9383</v>
      </c>
      <c r="N229" s="429" t="s">
        <v>17350</v>
      </c>
    </row>
    <row r="230">
      <c r="A230" s="427">
        <v>229.0</v>
      </c>
      <c r="B230" s="237" t="s">
        <v>7916</v>
      </c>
      <c r="C230" s="237" t="s">
        <v>6918</v>
      </c>
      <c r="D230" s="428">
        <v>40630.0</v>
      </c>
      <c r="E230" s="237" t="s">
        <v>6921</v>
      </c>
      <c r="F230" s="237" t="s">
        <v>14665</v>
      </c>
      <c r="G230" s="237" t="s">
        <v>14666</v>
      </c>
      <c r="H230" s="237" t="s">
        <v>11896</v>
      </c>
      <c r="I230" s="237" t="s">
        <v>14667</v>
      </c>
      <c r="J230" s="237" t="s">
        <v>5224</v>
      </c>
      <c r="K230" s="237" t="s">
        <v>4835</v>
      </c>
      <c r="L230" s="237" t="s">
        <v>7913</v>
      </c>
      <c r="M230" s="232" t="s">
        <v>9383</v>
      </c>
      <c r="N230" s="429" t="s">
        <v>17350</v>
      </c>
    </row>
    <row r="231">
      <c r="A231" s="427">
        <v>230.0</v>
      </c>
      <c r="B231" s="237" t="s">
        <v>9280</v>
      </c>
      <c r="C231" s="237" t="s">
        <v>8796</v>
      </c>
      <c r="D231" s="428">
        <v>44328.0</v>
      </c>
      <c r="E231" s="237" t="s">
        <v>6921</v>
      </c>
      <c r="F231" s="237" t="s">
        <v>9477</v>
      </c>
      <c r="G231" s="237" t="s">
        <v>9478</v>
      </c>
      <c r="H231" s="237" t="s">
        <v>9479</v>
      </c>
      <c r="I231" s="237" t="s">
        <v>9480</v>
      </c>
      <c r="J231" s="237" t="s">
        <v>5224</v>
      </c>
      <c r="K231" s="237" t="s">
        <v>4835</v>
      </c>
      <c r="L231" s="237" t="s">
        <v>9282</v>
      </c>
      <c r="M231" s="232" t="s">
        <v>9383</v>
      </c>
      <c r="N231" s="429" t="s">
        <v>17350</v>
      </c>
    </row>
    <row r="232">
      <c r="A232" s="427">
        <v>231.0</v>
      </c>
      <c r="B232" s="237" t="s">
        <v>11505</v>
      </c>
      <c r="C232" s="237" t="s">
        <v>10103</v>
      </c>
      <c r="D232" s="428">
        <v>43850.0</v>
      </c>
      <c r="E232" s="237" t="s">
        <v>7239</v>
      </c>
      <c r="F232" s="237" t="s">
        <v>11506</v>
      </c>
      <c r="G232" s="237" t="s">
        <v>11507</v>
      </c>
      <c r="H232" s="237" t="s">
        <v>11508</v>
      </c>
      <c r="I232" s="237" t="s">
        <v>11509</v>
      </c>
      <c r="J232" s="237" t="s">
        <v>5224</v>
      </c>
      <c r="K232" s="237" t="s">
        <v>4835</v>
      </c>
      <c r="L232" s="237" t="s">
        <v>832</v>
      </c>
      <c r="M232" s="232" t="s">
        <v>9383</v>
      </c>
      <c r="N232" s="429" t="s">
        <v>17350</v>
      </c>
    </row>
    <row r="233">
      <c r="A233" s="427">
        <v>232.0</v>
      </c>
      <c r="B233" s="237" t="s">
        <v>4838</v>
      </c>
      <c r="C233" s="237" t="s">
        <v>6918</v>
      </c>
      <c r="D233" s="428">
        <v>45170.0</v>
      </c>
      <c r="E233" s="237" t="s">
        <v>6921</v>
      </c>
      <c r="F233" s="237" t="s">
        <v>13740</v>
      </c>
      <c r="G233" s="237" t="s">
        <v>13741</v>
      </c>
      <c r="H233" s="237" t="s">
        <v>13742</v>
      </c>
      <c r="I233" s="237" t="s">
        <v>4839</v>
      </c>
      <c r="J233" s="237" t="s">
        <v>5224</v>
      </c>
      <c r="K233" s="237" t="s">
        <v>4835</v>
      </c>
      <c r="L233" s="237" t="s">
        <v>13402</v>
      </c>
      <c r="M233" s="232" t="s">
        <v>9383</v>
      </c>
      <c r="N233" s="429" t="s">
        <v>17350</v>
      </c>
    </row>
    <row r="234">
      <c r="A234" s="427">
        <v>233.0</v>
      </c>
      <c r="B234" s="237" t="s">
        <v>834</v>
      </c>
      <c r="C234" s="237" t="s">
        <v>10103</v>
      </c>
      <c r="D234" s="428">
        <v>42996.0</v>
      </c>
      <c r="E234" s="237" t="s">
        <v>6921</v>
      </c>
      <c r="F234" s="237" t="s">
        <v>12009</v>
      </c>
      <c r="G234" s="237" t="s">
        <v>12010</v>
      </c>
      <c r="H234" s="237" t="s">
        <v>12011</v>
      </c>
      <c r="I234" s="237" t="s">
        <v>836</v>
      </c>
      <c r="J234" s="237" t="s">
        <v>5224</v>
      </c>
      <c r="K234" s="237" t="s">
        <v>4835</v>
      </c>
      <c r="L234" s="237" t="s">
        <v>832</v>
      </c>
      <c r="M234" s="232" t="s">
        <v>9383</v>
      </c>
      <c r="N234" s="429" t="s">
        <v>17350</v>
      </c>
    </row>
    <row r="235">
      <c r="A235" s="427">
        <v>234.0</v>
      </c>
      <c r="B235" s="237" t="s">
        <v>10385</v>
      </c>
      <c r="C235" s="237" t="s">
        <v>10103</v>
      </c>
      <c r="D235" s="428">
        <v>41324.0</v>
      </c>
      <c r="E235" s="237" t="s">
        <v>6921</v>
      </c>
      <c r="F235" s="237" t="s">
        <v>10387</v>
      </c>
      <c r="G235" s="237" t="s">
        <v>10388</v>
      </c>
      <c r="H235" s="237" t="s">
        <v>10389</v>
      </c>
      <c r="I235" s="237" t="s">
        <v>10390</v>
      </c>
      <c r="J235" s="237" t="s">
        <v>5224</v>
      </c>
      <c r="K235" s="237" t="s">
        <v>4835</v>
      </c>
      <c r="L235" s="237" t="s">
        <v>832</v>
      </c>
      <c r="M235" s="232" t="s">
        <v>9383</v>
      </c>
      <c r="N235" s="429" t="s">
        <v>17350</v>
      </c>
    </row>
    <row r="236">
      <c r="A236" s="427">
        <v>235.0</v>
      </c>
      <c r="B236" s="237" t="s">
        <v>4844</v>
      </c>
      <c r="C236" s="237" t="s">
        <v>6918</v>
      </c>
      <c r="D236" s="428">
        <v>45597.0</v>
      </c>
      <c r="E236" s="237" t="s">
        <v>6921</v>
      </c>
      <c r="F236" s="237" t="s">
        <v>15357</v>
      </c>
      <c r="G236" s="237" t="s">
        <v>15358</v>
      </c>
      <c r="H236" s="237" t="s">
        <v>9827</v>
      </c>
      <c r="I236" s="237" t="s">
        <v>4843</v>
      </c>
      <c r="J236" s="237" t="s">
        <v>5224</v>
      </c>
      <c r="K236" s="237" t="s">
        <v>4835</v>
      </c>
      <c r="L236" s="237" t="s">
        <v>17351</v>
      </c>
      <c r="M236" s="232" t="s">
        <v>9383</v>
      </c>
      <c r="N236" s="429" t="s">
        <v>17350</v>
      </c>
    </row>
    <row r="237">
      <c r="A237" s="427">
        <v>236.0</v>
      </c>
      <c r="B237" s="237" t="s">
        <v>3552</v>
      </c>
      <c r="C237" s="237" t="s">
        <v>10103</v>
      </c>
      <c r="D237" s="428">
        <v>41946.0</v>
      </c>
      <c r="E237" s="237" t="s">
        <v>6933</v>
      </c>
      <c r="F237" s="237" t="s">
        <v>17468</v>
      </c>
      <c r="G237" s="237" t="s">
        <v>17469</v>
      </c>
      <c r="H237" s="237" t="s">
        <v>10721</v>
      </c>
      <c r="I237" s="237" t="s">
        <v>6566</v>
      </c>
      <c r="J237" s="237" t="s">
        <v>5224</v>
      </c>
      <c r="K237" s="237" t="s">
        <v>4835</v>
      </c>
      <c r="L237" s="237" t="s">
        <v>17470</v>
      </c>
      <c r="M237" s="232" t="s">
        <v>9383</v>
      </c>
      <c r="N237" s="429" t="s">
        <v>17350</v>
      </c>
    </row>
    <row r="238">
      <c r="A238" s="427">
        <v>237.0</v>
      </c>
      <c r="B238" s="237" t="s">
        <v>8982</v>
      </c>
      <c r="C238" s="237" t="s">
        <v>6918</v>
      </c>
      <c r="D238" s="428">
        <v>45173.0</v>
      </c>
      <c r="E238" s="237" t="s">
        <v>6921</v>
      </c>
      <c r="F238" s="237" t="s">
        <v>13663</v>
      </c>
      <c r="G238" s="237" t="s">
        <v>13664</v>
      </c>
      <c r="H238" s="237" t="s">
        <v>13665</v>
      </c>
      <c r="I238" s="237" t="s">
        <v>13666</v>
      </c>
      <c r="J238" s="237" t="s">
        <v>5012</v>
      </c>
      <c r="K238" s="237" t="s">
        <v>4835</v>
      </c>
      <c r="L238" s="237" t="s">
        <v>8984</v>
      </c>
      <c r="M238" s="232" t="s">
        <v>9383</v>
      </c>
      <c r="N238" s="429" t="s">
        <v>17350</v>
      </c>
    </row>
    <row r="239">
      <c r="A239" s="427">
        <v>238.0</v>
      </c>
      <c r="B239" s="237" t="s">
        <v>11697</v>
      </c>
      <c r="C239" s="237" t="s">
        <v>10103</v>
      </c>
      <c r="D239" s="428">
        <v>41092.0</v>
      </c>
      <c r="E239" s="237" t="s">
        <v>6933</v>
      </c>
      <c r="F239" s="237" t="s">
        <v>11699</v>
      </c>
      <c r="G239" s="237" t="s">
        <v>11700</v>
      </c>
      <c r="H239" s="237" t="s">
        <v>11701</v>
      </c>
      <c r="I239" s="237" t="s">
        <v>11702</v>
      </c>
      <c r="J239" s="237" t="s">
        <v>5224</v>
      </c>
      <c r="K239" s="237" t="s">
        <v>4835</v>
      </c>
      <c r="L239" s="237" t="s">
        <v>17471</v>
      </c>
      <c r="M239" s="232" t="s">
        <v>9383</v>
      </c>
      <c r="N239" s="429" t="s">
        <v>17350</v>
      </c>
    </row>
    <row r="240">
      <c r="A240" s="427">
        <v>239.0</v>
      </c>
      <c r="B240" s="237" t="s">
        <v>8848</v>
      </c>
      <c r="C240" s="237" t="s">
        <v>6918</v>
      </c>
      <c r="D240" s="428">
        <v>44466.0</v>
      </c>
      <c r="E240" s="237" t="s">
        <v>6921</v>
      </c>
      <c r="F240" s="237" t="s">
        <v>15945</v>
      </c>
      <c r="G240" s="237" t="s">
        <v>15946</v>
      </c>
      <c r="H240" s="237" t="s">
        <v>15947</v>
      </c>
      <c r="I240" s="237" t="s">
        <v>15948</v>
      </c>
      <c r="J240" s="237" t="s">
        <v>5224</v>
      </c>
      <c r="K240" s="237" t="s">
        <v>4835</v>
      </c>
      <c r="L240" s="237" t="s">
        <v>8850</v>
      </c>
      <c r="M240" s="232" t="s">
        <v>9383</v>
      </c>
      <c r="N240" s="429" t="s">
        <v>17350</v>
      </c>
    </row>
    <row r="241">
      <c r="A241" s="427">
        <v>240.0</v>
      </c>
      <c r="B241" s="237" t="s">
        <v>13318</v>
      </c>
      <c r="C241" s="237" t="s">
        <v>6918</v>
      </c>
      <c r="D241" s="428">
        <v>44676.0</v>
      </c>
      <c r="E241" s="237" t="s">
        <v>6933</v>
      </c>
      <c r="F241" s="237" t="s">
        <v>13320</v>
      </c>
      <c r="G241" s="237" t="s">
        <v>13321</v>
      </c>
      <c r="H241" s="237" t="s">
        <v>10831</v>
      </c>
      <c r="I241" s="237" t="s">
        <v>13322</v>
      </c>
      <c r="J241" s="237" t="s">
        <v>5012</v>
      </c>
      <c r="K241" s="237" t="s">
        <v>4835</v>
      </c>
      <c r="L241" s="237" t="s">
        <v>17367</v>
      </c>
      <c r="M241" s="232" t="s">
        <v>9383</v>
      </c>
      <c r="N241" s="429" t="s">
        <v>17350</v>
      </c>
    </row>
    <row r="242">
      <c r="A242" s="427">
        <v>241.0</v>
      </c>
      <c r="B242" s="237" t="s">
        <v>13051</v>
      </c>
      <c r="C242" s="237" t="s">
        <v>6918</v>
      </c>
      <c r="D242" s="428">
        <v>43001.0</v>
      </c>
      <c r="E242" s="237" t="s">
        <v>6933</v>
      </c>
      <c r="F242" s="237" t="s">
        <v>13053</v>
      </c>
      <c r="G242" s="237" t="s">
        <v>13054</v>
      </c>
      <c r="H242" s="237" t="s">
        <v>13055</v>
      </c>
      <c r="I242" s="237" t="s">
        <v>13056</v>
      </c>
      <c r="J242" s="237" t="s">
        <v>5012</v>
      </c>
      <c r="K242" s="237" t="s">
        <v>4835</v>
      </c>
      <c r="L242" s="237" t="s">
        <v>17472</v>
      </c>
      <c r="M242" s="232" t="s">
        <v>9383</v>
      </c>
      <c r="N242" s="429" t="s">
        <v>17350</v>
      </c>
    </row>
    <row r="243">
      <c r="A243" s="427">
        <v>242.0</v>
      </c>
      <c r="B243" s="237" t="s">
        <v>7337</v>
      </c>
      <c r="C243" s="237" t="s">
        <v>7124</v>
      </c>
      <c r="D243" s="428">
        <v>40087.0</v>
      </c>
      <c r="E243" s="237" t="s">
        <v>6921</v>
      </c>
      <c r="F243" s="237" t="s">
        <v>12045</v>
      </c>
      <c r="G243" s="237" t="s">
        <v>12613</v>
      </c>
      <c r="H243" s="237" t="s">
        <v>10749</v>
      </c>
      <c r="I243" s="237" t="s">
        <v>17473</v>
      </c>
      <c r="J243" s="237" t="s">
        <v>5224</v>
      </c>
      <c r="K243" s="237" t="s">
        <v>4835</v>
      </c>
      <c r="L243" s="237" t="s">
        <v>1167</v>
      </c>
      <c r="M243" s="232" t="s">
        <v>9383</v>
      </c>
      <c r="N243" s="429" t="s">
        <v>17350</v>
      </c>
    </row>
    <row r="244">
      <c r="A244" s="427">
        <v>243.0</v>
      </c>
      <c r="B244" s="237" t="s">
        <v>6974</v>
      </c>
      <c r="C244" s="237" t="s">
        <v>6918</v>
      </c>
      <c r="D244" s="428">
        <v>44732.0</v>
      </c>
      <c r="E244" s="237" t="s">
        <v>6921</v>
      </c>
      <c r="F244" s="237" t="s">
        <v>14906</v>
      </c>
      <c r="G244" s="237" t="s">
        <v>14907</v>
      </c>
      <c r="H244" s="237" t="s">
        <v>9659</v>
      </c>
      <c r="I244" s="237" t="s">
        <v>14908</v>
      </c>
      <c r="J244" s="237" t="s">
        <v>5224</v>
      </c>
      <c r="K244" s="237" t="s">
        <v>4835</v>
      </c>
      <c r="L244" s="237" t="s">
        <v>13699</v>
      </c>
      <c r="M244" s="232" t="s">
        <v>9383</v>
      </c>
      <c r="N244" s="429" t="s">
        <v>17350</v>
      </c>
    </row>
    <row r="245">
      <c r="A245" s="427">
        <v>244.0</v>
      </c>
      <c r="B245" s="237" t="s">
        <v>11663</v>
      </c>
      <c r="C245" s="237" t="s">
        <v>10103</v>
      </c>
      <c r="D245" s="428">
        <v>41745.0</v>
      </c>
      <c r="E245" s="237" t="s">
        <v>6921</v>
      </c>
      <c r="F245" s="237" t="s">
        <v>11665</v>
      </c>
      <c r="G245" s="237" t="s">
        <v>11666</v>
      </c>
      <c r="H245" s="237" t="s">
        <v>9849</v>
      </c>
      <c r="I245" s="237" t="s">
        <v>11667</v>
      </c>
      <c r="J245" s="237" t="s">
        <v>5224</v>
      </c>
      <c r="K245" s="237" t="s">
        <v>4835</v>
      </c>
      <c r="L245" s="237" t="s">
        <v>17474</v>
      </c>
      <c r="M245" s="232" t="s">
        <v>9383</v>
      </c>
      <c r="N245" s="429" t="s">
        <v>17350</v>
      </c>
    </row>
    <row r="246">
      <c r="A246" s="427">
        <v>245.0</v>
      </c>
      <c r="B246" s="237" t="s">
        <v>12076</v>
      </c>
      <c r="C246" s="237" t="s">
        <v>10103</v>
      </c>
      <c r="D246" s="428">
        <v>44494.0</v>
      </c>
      <c r="E246" s="237" t="s">
        <v>6933</v>
      </c>
      <c r="F246" s="237" t="s">
        <v>11584</v>
      </c>
      <c r="G246" s="237" t="s">
        <v>12078</v>
      </c>
      <c r="H246" s="237" t="s">
        <v>12079</v>
      </c>
      <c r="I246" s="237" t="s">
        <v>12080</v>
      </c>
      <c r="J246" s="237" t="s">
        <v>5224</v>
      </c>
      <c r="K246" s="237" t="s">
        <v>4835</v>
      </c>
      <c r="L246" s="237" t="s">
        <v>1258</v>
      </c>
      <c r="M246" s="232" t="s">
        <v>9383</v>
      </c>
      <c r="N246" s="429" t="s">
        <v>17350</v>
      </c>
    </row>
    <row r="247">
      <c r="A247" s="427">
        <v>246.0</v>
      </c>
      <c r="B247" s="237" t="s">
        <v>3779</v>
      </c>
      <c r="C247" s="237" t="s">
        <v>10103</v>
      </c>
      <c r="D247" s="428">
        <v>40603.0</v>
      </c>
      <c r="E247" s="237" t="s">
        <v>6921</v>
      </c>
      <c r="F247" s="237" t="s">
        <v>17475</v>
      </c>
      <c r="G247" s="237" t="s">
        <v>17476</v>
      </c>
      <c r="H247" s="237" t="s">
        <v>10178</v>
      </c>
      <c r="I247" s="237" t="s">
        <v>6653</v>
      </c>
      <c r="J247" s="237" t="s">
        <v>5224</v>
      </c>
      <c r="K247" s="237" t="s">
        <v>4835</v>
      </c>
      <c r="L247" s="237" t="s">
        <v>17477</v>
      </c>
      <c r="M247" s="232" t="s">
        <v>9383</v>
      </c>
      <c r="N247" s="429" t="s">
        <v>17350</v>
      </c>
    </row>
    <row r="248">
      <c r="A248" s="427">
        <v>247.0</v>
      </c>
      <c r="B248" s="237" t="s">
        <v>3228</v>
      </c>
      <c r="C248" s="237" t="s">
        <v>10103</v>
      </c>
      <c r="D248" s="428">
        <v>40728.0</v>
      </c>
      <c r="E248" s="237" t="s">
        <v>6933</v>
      </c>
      <c r="F248" s="237" t="s">
        <v>17478</v>
      </c>
      <c r="G248" s="237" t="s">
        <v>12593</v>
      </c>
      <c r="H248" s="237" t="s">
        <v>11014</v>
      </c>
      <c r="I248" s="237" t="s">
        <v>6417</v>
      </c>
      <c r="J248" s="237" t="s">
        <v>5224</v>
      </c>
      <c r="K248" s="237" t="s">
        <v>4835</v>
      </c>
      <c r="L248" s="237" t="s">
        <v>832</v>
      </c>
      <c r="M248" s="232" t="s">
        <v>9383</v>
      </c>
      <c r="N248" s="429" t="s">
        <v>17350</v>
      </c>
    </row>
    <row r="249">
      <c r="A249" s="427">
        <v>248.0</v>
      </c>
      <c r="B249" s="237" t="s">
        <v>7245</v>
      </c>
      <c r="C249" s="237" t="s">
        <v>6918</v>
      </c>
      <c r="D249" s="428">
        <v>45369.0</v>
      </c>
      <c r="E249" s="237" t="s">
        <v>6933</v>
      </c>
      <c r="F249" s="237" t="s">
        <v>15201</v>
      </c>
      <c r="G249" s="237" t="s">
        <v>15204</v>
      </c>
      <c r="H249" s="237" t="s">
        <v>13524</v>
      </c>
      <c r="I249" s="237" t="s">
        <v>15205</v>
      </c>
      <c r="J249" s="237" t="s">
        <v>5224</v>
      </c>
      <c r="K249" s="237" t="s">
        <v>4835</v>
      </c>
      <c r="L249" s="237" t="s">
        <v>7241</v>
      </c>
      <c r="M249" s="232" t="s">
        <v>9383</v>
      </c>
      <c r="N249" s="429" t="s">
        <v>17350</v>
      </c>
    </row>
    <row r="250">
      <c r="A250" s="427">
        <v>249.0</v>
      </c>
      <c r="B250" s="237" t="s">
        <v>11902</v>
      </c>
      <c r="C250" s="237" t="s">
        <v>10103</v>
      </c>
      <c r="D250" s="428">
        <v>41995.0</v>
      </c>
      <c r="E250" s="237" t="s">
        <v>6933</v>
      </c>
      <c r="F250" s="237" t="s">
        <v>11904</v>
      </c>
      <c r="G250" s="237" t="s">
        <v>11905</v>
      </c>
      <c r="H250" s="237" t="s">
        <v>11906</v>
      </c>
      <c r="I250" s="237" t="s">
        <v>11907</v>
      </c>
      <c r="J250" s="237" t="s">
        <v>5224</v>
      </c>
      <c r="K250" s="237" t="s">
        <v>4835</v>
      </c>
      <c r="L250" s="237" t="s">
        <v>832</v>
      </c>
      <c r="M250" s="232" t="s">
        <v>9383</v>
      </c>
      <c r="N250" s="429" t="s">
        <v>17350</v>
      </c>
    </row>
    <row r="251">
      <c r="A251" s="427">
        <v>250.0</v>
      </c>
      <c r="B251" s="237" t="s">
        <v>3919</v>
      </c>
      <c r="C251" s="237" t="s">
        <v>6918</v>
      </c>
      <c r="D251" s="428">
        <v>45663.0</v>
      </c>
      <c r="E251" s="237" t="s">
        <v>6933</v>
      </c>
      <c r="F251" s="237" t="s">
        <v>17479</v>
      </c>
      <c r="G251" s="237" t="s">
        <v>17480</v>
      </c>
      <c r="H251" s="237" t="s">
        <v>17481</v>
      </c>
      <c r="I251" s="237" t="s">
        <v>6703</v>
      </c>
      <c r="J251" s="237" t="s">
        <v>5224</v>
      </c>
      <c r="K251" s="237" t="s">
        <v>4835</v>
      </c>
      <c r="L251" s="237" t="s">
        <v>8980</v>
      </c>
      <c r="M251" s="232" t="s">
        <v>9391</v>
      </c>
      <c r="N251" s="429" t="s">
        <v>17350</v>
      </c>
    </row>
    <row r="252">
      <c r="A252" s="427">
        <v>251.0</v>
      </c>
      <c r="B252" s="237" t="s">
        <v>12533</v>
      </c>
      <c r="C252" s="237" t="s">
        <v>1652</v>
      </c>
      <c r="D252" s="428">
        <v>45187.0</v>
      </c>
      <c r="E252" s="237" t="s">
        <v>6921</v>
      </c>
      <c r="F252" s="237" t="s">
        <v>12534</v>
      </c>
      <c r="G252" s="237" t="s">
        <v>12535</v>
      </c>
      <c r="H252" s="237" t="s">
        <v>12536</v>
      </c>
      <c r="I252" s="237" t="s">
        <v>12537</v>
      </c>
      <c r="J252" s="237" t="s">
        <v>5012</v>
      </c>
      <c r="K252" s="237" t="s">
        <v>4835</v>
      </c>
      <c r="L252" s="237" t="s">
        <v>368</v>
      </c>
      <c r="M252" s="232" t="s">
        <v>9383</v>
      </c>
      <c r="N252" s="429" t="s">
        <v>17350</v>
      </c>
    </row>
    <row r="253">
      <c r="A253" s="427">
        <v>252.0</v>
      </c>
      <c r="B253" s="237" t="s">
        <v>6626</v>
      </c>
      <c r="C253" s="237" t="s">
        <v>6918</v>
      </c>
      <c r="D253" s="428">
        <v>44594.0</v>
      </c>
      <c r="E253" s="237" t="s">
        <v>6933</v>
      </c>
      <c r="F253" s="237" t="s">
        <v>17482</v>
      </c>
      <c r="G253" s="237" t="s">
        <v>17483</v>
      </c>
      <c r="H253" s="237" t="s">
        <v>17484</v>
      </c>
      <c r="I253" s="237" t="s">
        <v>6628</v>
      </c>
      <c r="J253" s="237" t="s">
        <v>5224</v>
      </c>
      <c r="K253" s="237" t="s">
        <v>4835</v>
      </c>
      <c r="L253" s="237" t="s">
        <v>2292</v>
      </c>
      <c r="M253" s="232" t="s">
        <v>9383</v>
      </c>
      <c r="N253" s="429" t="s">
        <v>17350</v>
      </c>
    </row>
    <row r="254">
      <c r="A254" s="427">
        <v>253.0</v>
      </c>
      <c r="B254" s="237" t="s">
        <v>387</v>
      </c>
      <c r="C254" s="237" t="s">
        <v>10040</v>
      </c>
      <c r="D254" s="428">
        <v>45306.0</v>
      </c>
      <c r="E254" s="237" t="s">
        <v>6921</v>
      </c>
      <c r="F254" s="237" t="s">
        <v>10042</v>
      </c>
      <c r="G254" s="237" t="s">
        <v>10043</v>
      </c>
      <c r="H254" s="237" t="s">
        <v>9435</v>
      </c>
      <c r="I254" s="237" t="s">
        <v>390</v>
      </c>
      <c r="J254" s="237" t="s">
        <v>5224</v>
      </c>
      <c r="K254" s="237" t="s">
        <v>4835</v>
      </c>
      <c r="L254" s="237" t="s">
        <v>389</v>
      </c>
      <c r="M254" s="232" t="s">
        <v>9383</v>
      </c>
      <c r="N254" s="429" t="s">
        <v>17350</v>
      </c>
    </row>
    <row r="255">
      <c r="A255" s="427">
        <v>254.0</v>
      </c>
      <c r="B255" s="237" t="s">
        <v>8675</v>
      </c>
      <c r="C255" s="237" t="s">
        <v>1631</v>
      </c>
      <c r="D255" s="428">
        <v>45048.0</v>
      </c>
      <c r="E255" s="237" t="s">
        <v>6933</v>
      </c>
      <c r="F255" s="237" t="s">
        <v>9406</v>
      </c>
      <c r="G255" s="237" t="s">
        <v>9407</v>
      </c>
      <c r="H255" s="237" t="s">
        <v>9408</v>
      </c>
      <c r="I255" s="237" t="s">
        <v>9409</v>
      </c>
      <c r="J255" s="237" t="s">
        <v>5224</v>
      </c>
      <c r="K255" s="237" t="s">
        <v>4835</v>
      </c>
      <c r="L255" s="237" t="s">
        <v>8677</v>
      </c>
      <c r="M255" s="232" t="s">
        <v>9383</v>
      </c>
      <c r="N255" s="429" t="s">
        <v>17350</v>
      </c>
    </row>
    <row r="256">
      <c r="A256" s="427">
        <v>255.0</v>
      </c>
      <c r="B256" s="237" t="s">
        <v>17485</v>
      </c>
      <c r="C256" s="237" t="s">
        <v>10103</v>
      </c>
      <c r="D256" s="428">
        <v>42493.0</v>
      </c>
      <c r="E256" s="237" t="s">
        <v>6933</v>
      </c>
      <c r="F256" s="237" t="s">
        <v>12498</v>
      </c>
      <c r="G256" s="237" t="s">
        <v>12499</v>
      </c>
      <c r="H256" s="237" t="s">
        <v>10244</v>
      </c>
      <c r="I256" s="237" t="s">
        <v>12500</v>
      </c>
      <c r="J256" s="237" t="s">
        <v>5224</v>
      </c>
      <c r="K256" s="237" t="s">
        <v>2062</v>
      </c>
      <c r="L256" s="237" t="s">
        <v>17486</v>
      </c>
      <c r="M256" s="232" t="s">
        <v>9383</v>
      </c>
      <c r="N256" s="429" t="s">
        <v>17350</v>
      </c>
    </row>
    <row r="257">
      <c r="A257" s="427">
        <v>256.0</v>
      </c>
      <c r="B257" s="237" t="s">
        <v>4814</v>
      </c>
      <c r="C257" s="237" t="s">
        <v>6918</v>
      </c>
      <c r="D257" s="428">
        <v>44746.0</v>
      </c>
      <c r="E257" s="237" t="s">
        <v>6933</v>
      </c>
      <c r="F257" s="237" t="s">
        <v>13399</v>
      </c>
      <c r="G257" s="237" t="s">
        <v>13400</v>
      </c>
      <c r="H257" s="237" t="s">
        <v>13401</v>
      </c>
      <c r="I257" s="237" t="s">
        <v>4815</v>
      </c>
      <c r="J257" s="237" t="s">
        <v>5224</v>
      </c>
      <c r="K257" s="237" t="s">
        <v>2062</v>
      </c>
      <c r="L257" s="237" t="s">
        <v>13402</v>
      </c>
      <c r="M257" s="232" t="s">
        <v>9383</v>
      </c>
      <c r="N257" s="429" t="s">
        <v>17350</v>
      </c>
    </row>
    <row r="258">
      <c r="A258" s="427">
        <v>257.0</v>
      </c>
      <c r="B258" s="237" t="s">
        <v>10772</v>
      </c>
      <c r="C258" s="237" t="s">
        <v>10103</v>
      </c>
      <c r="D258" s="428">
        <v>42597.0</v>
      </c>
      <c r="E258" s="237" t="s">
        <v>6933</v>
      </c>
      <c r="F258" s="237" t="s">
        <v>10774</v>
      </c>
      <c r="G258" s="237" t="s">
        <v>10775</v>
      </c>
      <c r="H258" s="237" t="s">
        <v>10776</v>
      </c>
      <c r="I258" s="237" t="s">
        <v>10777</v>
      </c>
      <c r="J258" s="237" t="s">
        <v>5224</v>
      </c>
      <c r="K258" s="237" t="s">
        <v>2062</v>
      </c>
      <c r="L258" s="237" t="s">
        <v>832</v>
      </c>
      <c r="M258" s="232" t="s">
        <v>9383</v>
      </c>
      <c r="N258" s="429" t="s">
        <v>17350</v>
      </c>
    </row>
    <row r="259">
      <c r="A259" s="427">
        <v>258.0</v>
      </c>
      <c r="B259" s="237" t="s">
        <v>15585</v>
      </c>
      <c r="C259" s="237" t="s">
        <v>6918</v>
      </c>
      <c r="D259" s="428">
        <v>43446.0</v>
      </c>
      <c r="E259" s="237" t="s">
        <v>6921</v>
      </c>
      <c r="F259" s="237" t="s">
        <v>15587</v>
      </c>
      <c r="G259" s="237" t="s">
        <v>15588</v>
      </c>
      <c r="H259" s="237" t="s">
        <v>9805</v>
      </c>
      <c r="I259" s="237" t="s">
        <v>15589</v>
      </c>
      <c r="J259" s="237" t="s">
        <v>5224</v>
      </c>
      <c r="K259" s="237" t="s">
        <v>2062</v>
      </c>
      <c r="L259" s="237" t="s">
        <v>15169</v>
      </c>
      <c r="M259" s="232" t="s">
        <v>9383</v>
      </c>
      <c r="N259" s="429" t="s">
        <v>17350</v>
      </c>
    </row>
    <row r="260">
      <c r="A260" s="427">
        <v>259.0</v>
      </c>
      <c r="B260" s="237" t="s">
        <v>8904</v>
      </c>
      <c r="C260" s="237" t="s">
        <v>6918</v>
      </c>
      <c r="D260" s="428">
        <v>43213.0</v>
      </c>
      <c r="E260" s="237" t="s">
        <v>6933</v>
      </c>
      <c r="F260" s="237" t="s">
        <v>14927</v>
      </c>
      <c r="G260" s="237" t="s">
        <v>14928</v>
      </c>
      <c r="H260" s="237" t="s">
        <v>14929</v>
      </c>
      <c r="I260" s="237" t="s">
        <v>14930</v>
      </c>
      <c r="J260" s="237" t="s">
        <v>5224</v>
      </c>
      <c r="K260" s="237" t="s">
        <v>2062</v>
      </c>
      <c r="L260" s="237" t="s">
        <v>8906</v>
      </c>
      <c r="M260" s="232" t="s">
        <v>9383</v>
      </c>
      <c r="N260" s="429" t="s">
        <v>17350</v>
      </c>
    </row>
    <row r="261">
      <c r="A261" s="427">
        <v>260.0</v>
      </c>
      <c r="B261" s="237" t="s">
        <v>3450</v>
      </c>
      <c r="C261" s="237" t="s">
        <v>7124</v>
      </c>
      <c r="D261" s="428">
        <v>45261.0</v>
      </c>
      <c r="E261" s="237" t="s">
        <v>6921</v>
      </c>
      <c r="F261" s="237" t="s">
        <v>12588</v>
      </c>
      <c r="G261" s="237" t="s">
        <v>12589</v>
      </c>
      <c r="H261" s="237" t="s">
        <v>9754</v>
      </c>
      <c r="I261" s="237" t="s">
        <v>6507</v>
      </c>
      <c r="J261" s="237" t="s">
        <v>5224</v>
      </c>
      <c r="K261" s="237" t="s">
        <v>2062</v>
      </c>
      <c r="L261" s="237" t="s">
        <v>7514</v>
      </c>
      <c r="M261" s="232" t="s">
        <v>9383</v>
      </c>
      <c r="N261" s="429" t="s">
        <v>17350</v>
      </c>
    </row>
    <row r="262">
      <c r="A262" s="427">
        <v>261.0</v>
      </c>
      <c r="B262" s="237" t="s">
        <v>4966</v>
      </c>
      <c r="C262" s="237" t="s">
        <v>6918</v>
      </c>
      <c r="D262" s="428">
        <v>45274.0</v>
      </c>
      <c r="E262" s="237" t="s">
        <v>6933</v>
      </c>
      <c r="F262" s="237" t="s">
        <v>15533</v>
      </c>
      <c r="G262" s="237" t="s">
        <v>15534</v>
      </c>
      <c r="H262" s="237" t="s">
        <v>11101</v>
      </c>
      <c r="I262" s="237" t="s">
        <v>4965</v>
      </c>
      <c r="J262" s="237" t="s">
        <v>5224</v>
      </c>
      <c r="K262" s="237" t="s">
        <v>2062</v>
      </c>
      <c r="L262" s="237" t="s">
        <v>1349</v>
      </c>
      <c r="M262" s="232" t="s">
        <v>9383</v>
      </c>
      <c r="N262" s="429" t="s">
        <v>17350</v>
      </c>
    </row>
    <row r="263">
      <c r="A263" s="427">
        <v>262.0</v>
      </c>
      <c r="B263" s="237" t="s">
        <v>695</v>
      </c>
      <c r="C263" s="237" t="s">
        <v>6918</v>
      </c>
      <c r="D263" s="428">
        <v>45719.0</v>
      </c>
      <c r="E263" s="237" t="s">
        <v>6921</v>
      </c>
      <c r="F263" s="237" t="s">
        <v>15835</v>
      </c>
      <c r="G263" s="237" t="s">
        <v>15836</v>
      </c>
      <c r="H263" s="237" t="s">
        <v>15837</v>
      </c>
      <c r="I263" s="237" t="s">
        <v>698</v>
      </c>
      <c r="J263" s="237" t="s">
        <v>5224</v>
      </c>
      <c r="K263" s="237" t="s">
        <v>2062</v>
      </c>
      <c r="L263" s="237" t="s">
        <v>3313</v>
      </c>
      <c r="M263" s="232" t="s">
        <v>9391</v>
      </c>
      <c r="N263" s="429" t="s">
        <v>17350</v>
      </c>
    </row>
    <row r="264">
      <c r="A264" s="427">
        <v>263.0</v>
      </c>
      <c r="B264" s="237" t="s">
        <v>8692</v>
      </c>
      <c r="C264" s="237" t="s">
        <v>1631</v>
      </c>
      <c r="D264" s="428">
        <v>45334.0</v>
      </c>
      <c r="E264" s="237" t="s">
        <v>6921</v>
      </c>
      <c r="F264" s="237" t="s">
        <v>9393</v>
      </c>
      <c r="G264" s="237" t="s">
        <v>9394</v>
      </c>
      <c r="H264" s="237" t="s">
        <v>9395</v>
      </c>
      <c r="I264" s="237" t="s">
        <v>9396</v>
      </c>
      <c r="J264" s="237" t="s">
        <v>5224</v>
      </c>
      <c r="K264" s="237" t="s">
        <v>4756</v>
      </c>
      <c r="L264" s="237" t="s">
        <v>8682</v>
      </c>
      <c r="M264" s="232" t="s">
        <v>9383</v>
      </c>
      <c r="N264" s="429" t="s">
        <v>17350</v>
      </c>
    </row>
    <row r="265">
      <c r="A265" s="427">
        <v>264.0</v>
      </c>
      <c r="B265" s="237" t="s">
        <v>4208</v>
      </c>
      <c r="C265" s="237" t="s">
        <v>8796</v>
      </c>
      <c r="D265" s="428">
        <v>41276.0</v>
      </c>
      <c r="E265" s="237" t="s">
        <v>6933</v>
      </c>
      <c r="F265" s="237" t="s">
        <v>17487</v>
      </c>
      <c r="G265" s="237" t="s">
        <v>17488</v>
      </c>
      <c r="H265" s="237" t="s">
        <v>17489</v>
      </c>
      <c r="I265" s="237" t="s">
        <v>6792</v>
      </c>
      <c r="J265" s="237" t="s">
        <v>5224</v>
      </c>
      <c r="K265" s="237" t="s">
        <v>4756</v>
      </c>
      <c r="L265" s="237" t="s">
        <v>9553</v>
      </c>
      <c r="M265" s="232" t="s">
        <v>9383</v>
      </c>
      <c r="N265" s="429" t="s">
        <v>17350</v>
      </c>
    </row>
    <row r="266">
      <c r="A266" s="427">
        <v>265.0</v>
      </c>
      <c r="B266" s="237" t="s">
        <v>4770</v>
      </c>
      <c r="C266" s="237" t="s">
        <v>6918</v>
      </c>
      <c r="D266" s="428">
        <v>43207.0</v>
      </c>
      <c r="E266" s="237" t="s">
        <v>6933</v>
      </c>
      <c r="F266" s="237" t="s">
        <v>15681</v>
      </c>
      <c r="G266" s="237" t="s">
        <v>15682</v>
      </c>
      <c r="H266" s="237" t="s">
        <v>9538</v>
      </c>
      <c r="I266" s="237" t="s">
        <v>4771</v>
      </c>
      <c r="J266" s="237" t="s">
        <v>5224</v>
      </c>
      <c r="K266" s="237" t="s">
        <v>4756</v>
      </c>
      <c r="L266" s="237" t="s">
        <v>14537</v>
      </c>
      <c r="M266" s="232" t="s">
        <v>9383</v>
      </c>
      <c r="N266" s="429" t="s">
        <v>17350</v>
      </c>
    </row>
    <row r="267">
      <c r="A267" s="427">
        <v>266.0</v>
      </c>
      <c r="B267" s="237" t="s">
        <v>10158</v>
      </c>
      <c r="C267" s="237" t="s">
        <v>10103</v>
      </c>
      <c r="D267" s="428">
        <v>42387.0</v>
      </c>
      <c r="E267" s="237" t="s">
        <v>6921</v>
      </c>
      <c r="F267" s="237" t="s">
        <v>10154</v>
      </c>
      <c r="G267" s="237" t="s">
        <v>10160</v>
      </c>
      <c r="H267" s="237" t="s">
        <v>10161</v>
      </c>
      <c r="I267" s="237" t="s">
        <v>10162</v>
      </c>
      <c r="J267" s="237" t="s">
        <v>5224</v>
      </c>
      <c r="K267" s="237" t="s">
        <v>4756</v>
      </c>
      <c r="L267" s="237" t="s">
        <v>832</v>
      </c>
      <c r="M267" s="232" t="s">
        <v>9383</v>
      </c>
      <c r="N267" s="429" t="s">
        <v>17350</v>
      </c>
    </row>
    <row r="268">
      <c r="A268" s="427">
        <v>267.0</v>
      </c>
      <c r="B268" s="237" t="s">
        <v>8189</v>
      </c>
      <c r="C268" s="237" t="s">
        <v>6918</v>
      </c>
      <c r="D268" s="428">
        <v>43010.0</v>
      </c>
      <c r="E268" s="237" t="s">
        <v>6933</v>
      </c>
      <c r="F268" s="237" t="s">
        <v>14468</v>
      </c>
      <c r="G268" s="237" t="s">
        <v>14469</v>
      </c>
      <c r="H268" s="237" t="s">
        <v>14273</v>
      </c>
      <c r="I268" s="237" t="s">
        <v>14470</v>
      </c>
      <c r="J268" s="237" t="s">
        <v>5224</v>
      </c>
      <c r="K268" s="237" t="s">
        <v>4756</v>
      </c>
      <c r="L268" s="237" t="s">
        <v>2342</v>
      </c>
      <c r="M268" s="232" t="s">
        <v>9383</v>
      </c>
      <c r="N268" s="429" t="s">
        <v>17350</v>
      </c>
    </row>
    <row r="269">
      <c r="A269" s="427">
        <v>268.0</v>
      </c>
      <c r="B269" s="237" t="s">
        <v>8192</v>
      </c>
      <c r="C269" s="237" t="s">
        <v>6918</v>
      </c>
      <c r="D269" s="428">
        <v>44676.0</v>
      </c>
      <c r="E269" s="237" t="s">
        <v>6933</v>
      </c>
      <c r="F269" s="237" t="s">
        <v>13785</v>
      </c>
      <c r="G269" s="237" t="s">
        <v>13786</v>
      </c>
      <c r="H269" s="237" t="s">
        <v>10812</v>
      </c>
      <c r="I269" s="237" t="s">
        <v>13787</v>
      </c>
      <c r="J269" s="237" t="s">
        <v>5224</v>
      </c>
      <c r="K269" s="237" t="s">
        <v>4756</v>
      </c>
      <c r="L269" s="237" t="s">
        <v>2342</v>
      </c>
      <c r="M269" s="232" t="s">
        <v>9383</v>
      </c>
      <c r="N269" s="429" t="s">
        <v>17350</v>
      </c>
    </row>
    <row r="270">
      <c r="A270" s="427">
        <v>269.0</v>
      </c>
      <c r="B270" s="237" t="s">
        <v>8232</v>
      </c>
      <c r="C270" s="237" t="s">
        <v>6918</v>
      </c>
      <c r="D270" s="428">
        <v>43847.0</v>
      </c>
      <c r="E270" s="237" t="s">
        <v>6933</v>
      </c>
      <c r="F270" s="237" t="s">
        <v>13439</v>
      </c>
      <c r="G270" s="237" t="s">
        <v>13440</v>
      </c>
      <c r="H270" s="237" t="s">
        <v>13439</v>
      </c>
      <c r="I270" s="237" t="s">
        <v>13441</v>
      </c>
      <c r="J270" s="237" t="s">
        <v>5224</v>
      </c>
      <c r="K270" s="237" t="s">
        <v>4756</v>
      </c>
      <c r="L270" s="237" t="s">
        <v>2342</v>
      </c>
      <c r="M270" s="232" t="s">
        <v>9383</v>
      </c>
      <c r="N270" s="429" t="s">
        <v>17350</v>
      </c>
    </row>
    <row r="271">
      <c r="A271" s="427">
        <v>270.0</v>
      </c>
      <c r="B271" s="237" t="s">
        <v>8186</v>
      </c>
      <c r="C271" s="237" t="s">
        <v>6918</v>
      </c>
      <c r="D271" s="428">
        <v>41673.0</v>
      </c>
      <c r="E271" s="237" t="s">
        <v>6933</v>
      </c>
      <c r="F271" s="237" t="s">
        <v>14234</v>
      </c>
      <c r="G271" s="237" t="s">
        <v>14235</v>
      </c>
      <c r="H271" s="237" t="s">
        <v>14236</v>
      </c>
      <c r="I271" s="237" t="s">
        <v>14237</v>
      </c>
      <c r="J271" s="237" t="s">
        <v>5224</v>
      </c>
      <c r="K271" s="237" t="s">
        <v>4756</v>
      </c>
      <c r="L271" s="237" t="s">
        <v>2342</v>
      </c>
      <c r="M271" s="232" t="s">
        <v>9383</v>
      </c>
      <c r="N271" s="429" t="s">
        <v>17350</v>
      </c>
    </row>
    <row r="272">
      <c r="A272" s="427">
        <v>271.0</v>
      </c>
      <c r="B272" s="237" t="s">
        <v>7113</v>
      </c>
      <c r="C272" s="237" t="s">
        <v>6918</v>
      </c>
      <c r="D272" s="428">
        <v>44131.0</v>
      </c>
      <c r="E272" s="237" t="s">
        <v>6933</v>
      </c>
      <c r="F272" s="237" t="s">
        <v>13587</v>
      </c>
      <c r="G272" s="237" t="s">
        <v>13588</v>
      </c>
      <c r="H272" s="237" t="s">
        <v>9579</v>
      </c>
      <c r="I272" s="237" t="s">
        <v>13589</v>
      </c>
      <c r="J272" s="237" t="s">
        <v>5224</v>
      </c>
      <c r="K272" s="237" t="s">
        <v>4756</v>
      </c>
      <c r="L272" s="237" t="s">
        <v>13187</v>
      </c>
      <c r="M272" s="232" t="s">
        <v>9383</v>
      </c>
      <c r="N272" s="429" t="s">
        <v>17350</v>
      </c>
    </row>
    <row r="273">
      <c r="A273" s="427">
        <v>272.0</v>
      </c>
      <c r="B273" s="237" t="s">
        <v>4764</v>
      </c>
      <c r="C273" s="237" t="s">
        <v>6918</v>
      </c>
      <c r="D273" s="428">
        <v>43472.0</v>
      </c>
      <c r="E273" s="237" t="s">
        <v>6921</v>
      </c>
      <c r="F273" s="237" t="s">
        <v>15550</v>
      </c>
      <c r="G273" s="237" t="s">
        <v>15551</v>
      </c>
      <c r="H273" s="237" t="s">
        <v>15552</v>
      </c>
      <c r="I273" s="237" t="s">
        <v>4765</v>
      </c>
      <c r="J273" s="237" t="s">
        <v>5224</v>
      </c>
      <c r="K273" s="237" t="s">
        <v>4756</v>
      </c>
      <c r="L273" s="237" t="s">
        <v>15553</v>
      </c>
      <c r="M273" s="232" t="s">
        <v>9383</v>
      </c>
      <c r="N273" s="429" t="s">
        <v>17350</v>
      </c>
    </row>
    <row r="274">
      <c r="A274" s="427">
        <v>273.0</v>
      </c>
      <c r="B274" s="237" t="s">
        <v>7103</v>
      </c>
      <c r="C274" s="237" t="s">
        <v>6918</v>
      </c>
      <c r="D274" s="428">
        <v>40669.0</v>
      </c>
      <c r="E274" s="237" t="s">
        <v>6921</v>
      </c>
      <c r="F274" s="237" t="s">
        <v>9980</v>
      </c>
      <c r="G274" s="237" t="s">
        <v>15663</v>
      </c>
      <c r="H274" s="237" t="s">
        <v>9754</v>
      </c>
      <c r="I274" s="237" t="s">
        <v>15664</v>
      </c>
      <c r="J274" s="237" t="s">
        <v>5224</v>
      </c>
      <c r="K274" s="237" t="s">
        <v>4756</v>
      </c>
      <c r="L274" s="237" t="s">
        <v>13600</v>
      </c>
      <c r="M274" s="232" t="s">
        <v>9383</v>
      </c>
      <c r="N274" s="429" t="s">
        <v>17350</v>
      </c>
    </row>
    <row r="275">
      <c r="A275" s="427">
        <v>274.0</v>
      </c>
      <c r="B275" s="237" t="s">
        <v>4327</v>
      </c>
      <c r="C275" s="237" t="s">
        <v>8796</v>
      </c>
      <c r="D275" s="428">
        <v>45505.0</v>
      </c>
      <c r="E275" s="237" t="s">
        <v>6921</v>
      </c>
      <c r="F275" s="237" t="s">
        <v>9386</v>
      </c>
      <c r="G275" s="237" t="s">
        <v>17333</v>
      </c>
      <c r="H275" s="237" t="s">
        <v>17490</v>
      </c>
      <c r="I275" s="237" t="s">
        <v>6822</v>
      </c>
      <c r="J275" s="237" t="s">
        <v>5224</v>
      </c>
      <c r="K275" s="237" t="s">
        <v>4756</v>
      </c>
      <c r="L275" s="237" t="s">
        <v>3313</v>
      </c>
      <c r="M275" s="232" t="s">
        <v>9383</v>
      </c>
      <c r="N275" s="429" t="s">
        <v>17350</v>
      </c>
    </row>
    <row r="276">
      <c r="A276" s="427">
        <v>275.0</v>
      </c>
      <c r="B276" s="237" t="s">
        <v>11684</v>
      </c>
      <c r="C276" s="237" t="s">
        <v>10103</v>
      </c>
      <c r="D276" s="428">
        <v>45447.0</v>
      </c>
      <c r="E276" s="237" t="s">
        <v>6933</v>
      </c>
      <c r="F276" s="237" t="s">
        <v>11685</v>
      </c>
      <c r="G276" s="237" t="s">
        <v>11686</v>
      </c>
      <c r="H276" s="237" t="s">
        <v>10907</v>
      </c>
      <c r="I276" s="237" t="s">
        <v>11687</v>
      </c>
      <c r="J276" s="237" t="s">
        <v>5224</v>
      </c>
      <c r="K276" s="237" t="s">
        <v>4756</v>
      </c>
      <c r="L276" s="237" t="s">
        <v>832</v>
      </c>
      <c r="M276" s="232" t="s">
        <v>9391</v>
      </c>
      <c r="N276" s="429" t="s">
        <v>17350</v>
      </c>
    </row>
    <row r="277">
      <c r="A277" s="427">
        <v>276.0</v>
      </c>
      <c r="B277" s="237" t="s">
        <v>17491</v>
      </c>
      <c r="C277" s="237" t="s">
        <v>10103</v>
      </c>
      <c r="D277" s="428">
        <v>42583.0</v>
      </c>
      <c r="E277" s="237" t="s">
        <v>6933</v>
      </c>
      <c r="F277" s="237" t="s">
        <v>12451</v>
      </c>
      <c r="G277" s="237" t="s">
        <v>12452</v>
      </c>
      <c r="H277" s="237" t="s">
        <v>10866</v>
      </c>
      <c r="I277" s="237" t="s">
        <v>12453</v>
      </c>
      <c r="J277" s="237" t="s">
        <v>5224</v>
      </c>
      <c r="K277" s="237" t="s">
        <v>4756</v>
      </c>
      <c r="L277" s="237" t="s">
        <v>17457</v>
      </c>
      <c r="M277" s="232" t="s">
        <v>9383</v>
      </c>
      <c r="N277" s="429" t="s">
        <v>17350</v>
      </c>
    </row>
    <row r="278">
      <c r="A278" s="427">
        <v>277.0</v>
      </c>
      <c r="B278" s="237" t="s">
        <v>17492</v>
      </c>
      <c r="C278" s="237" t="s">
        <v>10103</v>
      </c>
      <c r="D278" s="428">
        <v>42552.0</v>
      </c>
      <c r="E278" s="237" t="s">
        <v>6933</v>
      </c>
      <c r="F278" s="237" t="s">
        <v>12473</v>
      </c>
      <c r="G278" s="237" t="s">
        <v>12474</v>
      </c>
      <c r="H278" s="237" t="s">
        <v>10812</v>
      </c>
      <c r="I278" s="237" t="s">
        <v>12475</v>
      </c>
      <c r="J278" s="237" t="s">
        <v>5224</v>
      </c>
      <c r="K278" s="237" t="s">
        <v>4756</v>
      </c>
      <c r="L278" s="237" t="s">
        <v>17457</v>
      </c>
      <c r="M278" s="232" t="s">
        <v>9383</v>
      </c>
      <c r="N278" s="429" t="s">
        <v>17350</v>
      </c>
    </row>
    <row r="279">
      <c r="A279" s="427">
        <v>278.0</v>
      </c>
      <c r="B279" s="237" t="s">
        <v>12242</v>
      </c>
      <c r="C279" s="237" t="s">
        <v>10103</v>
      </c>
      <c r="D279" s="428">
        <v>44774.0</v>
      </c>
      <c r="E279" s="237" t="s">
        <v>6933</v>
      </c>
      <c r="F279" s="237" t="s">
        <v>12240</v>
      </c>
      <c r="G279" s="237" t="s">
        <v>12244</v>
      </c>
      <c r="H279" s="237" t="s">
        <v>9951</v>
      </c>
      <c r="I279" s="237" t="s">
        <v>12245</v>
      </c>
      <c r="J279" s="237" t="s">
        <v>5224</v>
      </c>
      <c r="K279" s="237" t="s">
        <v>4756</v>
      </c>
      <c r="L279" s="237" t="s">
        <v>832</v>
      </c>
      <c r="M279" s="232" t="s">
        <v>9383</v>
      </c>
      <c r="N279" s="429" t="s">
        <v>17350</v>
      </c>
    </row>
    <row r="280">
      <c r="A280" s="427">
        <v>279.0</v>
      </c>
      <c r="B280" s="237" t="s">
        <v>7001</v>
      </c>
      <c r="C280" s="237" t="s">
        <v>6918</v>
      </c>
      <c r="D280" s="428">
        <v>42552.0</v>
      </c>
      <c r="E280" s="237" t="s">
        <v>6933</v>
      </c>
      <c r="F280" s="237" t="s">
        <v>11856</v>
      </c>
      <c r="G280" s="237" t="s">
        <v>14198</v>
      </c>
      <c r="H280" s="237" t="s">
        <v>11482</v>
      </c>
      <c r="I280" s="237" t="s">
        <v>15390</v>
      </c>
      <c r="J280" s="237" t="s">
        <v>5224</v>
      </c>
      <c r="K280" s="237" t="s">
        <v>4756</v>
      </c>
      <c r="L280" s="237" t="s">
        <v>13699</v>
      </c>
      <c r="M280" s="232" t="s">
        <v>9383</v>
      </c>
      <c r="N280" s="429" t="s">
        <v>17350</v>
      </c>
    </row>
    <row r="281">
      <c r="A281" s="427">
        <v>280.0</v>
      </c>
      <c r="B281" s="237" t="s">
        <v>7760</v>
      </c>
      <c r="C281" s="237" t="s">
        <v>6918</v>
      </c>
      <c r="D281" s="428">
        <v>41190.0</v>
      </c>
      <c r="E281" s="237" t="s">
        <v>6921</v>
      </c>
      <c r="F281" s="237" t="s">
        <v>11067</v>
      </c>
      <c r="G281" s="237" t="s">
        <v>14148</v>
      </c>
      <c r="H281" s="237" t="s">
        <v>10020</v>
      </c>
      <c r="I281" s="237" t="s">
        <v>14149</v>
      </c>
      <c r="J281" s="237" t="s">
        <v>5224</v>
      </c>
      <c r="K281" s="237" t="s">
        <v>4756</v>
      </c>
      <c r="L281" s="237" t="s">
        <v>5890</v>
      </c>
      <c r="M281" s="232" t="s">
        <v>9383</v>
      </c>
      <c r="N281" s="429" t="s">
        <v>17350</v>
      </c>
    </row>
    <row r="282">
      <c r="A282" s="427">
        <v>281.0</v>
      </c>
      <c r="B282" s="237" t="s">
        <v>7782</v>
      </c>
      <c r="C282" s="237" t="s">
        <v>6918</v>
      </c>
      <c r="D282" s="428">
        <v>45537.0</v>
      </c>
      <c r="E282" s="237" t="s">
        <v>6933</v>
      </c>
      <c r="F282" s="237" t="s">
        <v>9577</v>
      </c>
      <c r="G282" s="237" t="s">
        <v>13703</v>
      </c>
      <c r="H282" s="237" t="s">
        <v>9579</v>
      </c>
      <c r="I282" s="237" t="s">
        <v>13704</v>
      </c>
      <c r="J282" s="237" t="s">
        <v>5224</v>
      </c>
      <c r="K282" s="237" t="s">
        <v>4756</v>
      </c>
      <c r="L282" s="237" t="s">
        <v>5890</v>
      </c>
      <c r="M282" s="232" t="s">
        <v>9383</v>
      </c>
      <c r="N282" s="429" t="s">
        <v>17350</v>
      </c>
    </row>
    <row r="283">
      <c r="A283" s="427">
        <v>282.0</v>
      </c>
      <c r="B283" s="237" t="s">
        <v>13521</v>
      </c>
      <c r="C283" s="237" t="s">
        <v>6918</v>
      </c>
      <c r="D283" s="428">
        <v>41579.0</v>
      </c>
      <c r="E283" s="237" t="s">
        <v>6933</v>
      </c>
      <c r="F283" s="237" t="s">
        <v>10489</v>
      </c>
      <c r="G283" s="237" t="s">
        <v>13523</v>
      </c>
      <c r="H283" s="237" t="s">
        <v>13524</v>
      </c>
      <c r="I283" s="237" t="s">
        <v>13525</v>
      </c>
      <c r="J283" s="237" t="s">
        <v>5012</v>
      </c>
      <c r="K283" s="237" t="s">
        <v>12973</v>
      </c>
      <c r="L283" s="237" t="s">
        <v>17493</v>
      </c>
      <c r="M283" s="232" t="s">
        <v>9383</v>
      </c>
      <c r="N283" s="429" t="s">
        <v>17350</v>
      </c>
    </row>
    <row r="284">
      <c r="A284" s="427">
        <v>283.0</v>
      </c>
      <c r="B284" s="237" t="s">
        <v>15150</v>
      </c>
      <c r="C284" s="237" t="s">
        <v>6918</v>
      </c>
      <c r="D284" s="428">
        <v>40738.0</v>
      </c>
      <c r="E284" s="237" t="s">
        <v>6933</v>
      </c>
      <c r="F284" s="237" t="s">
        <v>15152</v>
      </c>
      <c r="G284" s="237" t="s">
        <v>15153</v>
      </c>
      <c r="H284" s="237" t="s">
        <v>9550</v>
      </c>
      <c r="I284" s="237" t="s">
        <v>15154</v>
      </c>
      <c r="J284" s="237" t="s">
        <v>5012</v>
      </c>
      <c r="K284" s="237" t="s">
        <v>12973</v>
      </c>
      <c r="L284" s="237" t="s">
        <v>17371</v>
      </c>
      <c r="M284" s="232" t="s">
        <v>9383</v>
      </c>
      <c r="N284" s="429" t="s">
        <v>17350</v>
      </c>
    </row>
    <row r="285">
      <c r="A285" s="427">
        <v>284.0</v>
      </c>
      <c r="B285" s="237" t="s">
        <v>14071</v>
      </c>
      <c r="C285" s="237" t="s">
        <v>6918</v>
      </c>
      <c r="D285" s="428">
        <v>41334.0</v>
      </c>
      <c r="E285" s="237" t="s">
        <v>6921</v>
      </c>
      <c r="F285" s="237" t="s">
        <v>14072</v>
      </c>
      <c r="G285" s="237" t="s">
        <v>14073</v>
      </c>
      <c r="H285" s="237" t="s">
        <v>11014</v>
      </c>
      <c r="I285" s="237" t="s">
        <v>14074</v>
      </c>
      <c r="J285" s="237" t="s">
        <v>5012</v>
      </c>
      <c r="K285" s="237" t="s">
        <v>12973</v>
      </c>
      <c r="L285" s="237" t="s">
        <v>17376</v>
      </c>
      <c r="M285" s="232" t="s">
        <v>9383</v>
      </c>
      <c r="N285" s="429" t="s">
        <v>17350</v>
      </c>
    </row>
    <row r="286">
      <c r="A286" s="427">
        <v>285.0</v>
      </c>
      <c r="B286" s="237" t="s">
        <v>331</v>
      </c>
      <c r="C286" s="237" t="s">
        <v>6918</v>
      </c>
      <c r="D286" s="428">
        <v>45369.0</v>
      </c>
      <c r="E286" s="237" t="s">
        <v>6921</v>
      </c>
      <c r="F286" s="237" t="s">
        <v>13602</v>
      </c>
      <c r="G286" s="237" t="s">
        <v>13603</v>
      </c>
      <c r="H286" s="237" t="s">
        <v>13604</v>
      </c>
      <c r="I286" s="237" t="s">
        <v>335</v>
      </c>
      <c r="J286" s="237" t="s">
        <v>5012</v>
      </c>
      <c r="K286" s="237" t="s">
        <v>12973</v>
      </c>
      <c r="L286" s="237" t="s">
        <v>15386</v>
      </c>
      <c r="M286" s="232" t="s">
        <v>9383</v>
      </c>
      <c r="N286" s="429" t="s">
        <v>17350</v>
      </c>
    </row>
    <row r="287">
      <c r="A287" s="427">
        <v>286.0</v>
      </c>
      <c r="B287" s="237" t="s">
        <v>3991</v>
      </c>
      <c r="C287" s="237" t="s">
        <v>6918</v>
      </c>
      <c r="D287" s="428">
        <v>45187.0</v>
      </c>
      <c r="E287" s="237" t="s">
        <v>6921</v>
      </c>
      <c r="F287" s="237" t="s">
        <v>11673</v>
      </c>
      <c r="G287" s="237" t="s">
        <v>17494</v>
      </c>
      <c r="H287" s="237" t="s">
        <v>11194</v>
      </c>
      <c r="I287" s="237" t="s">
        <v>6728</v>
      </c>
      <c r="J287" s="237" t="s">
        <v>5012</v>
      </c>
      <c r="K287" s="237" t="s">
        <v>12973</v>
      </c>
      <c r="L287" s="237" t="s">
        <v>17382</v>
      </c>
      <c r="M287" s="232" t="s">
        <v>9383</v>
      </c>
      <c r="N287" s="429" t="s">
        <v>17350</v>
      </c>
    </row>
    <row r="288">
      <c r="A288" s="427">
        <v>287.0</v>
      </c>
      <c r="B288" s="237" t="s">
        <v>15720</v>
      </c>
      <c r="C288" s="237" t="s">
        <v>6918</v>
      </c>
      <c r="D288" s="428">
        <v>43182.0</v>
      </c>
      <c r="E288" s="237" t="s">
        <v>6921</v>
      </c>
      <c r="F288" s="237" t="s">
        <v>15722</v>
      </c>
      <c r="G288" s="237" t="s">
        <v>15723</v>
      </c>
      <c r="H288" s="237" t="s">
        <v>15724</v>
      </c>
      <c r="I288" s="237" t="s">
        <v>15725</v>
      </c>
      <c r="J288" s="237" t="s">
        <v>5012</v>
      </c>
      <c r="K288" s="237" t="s">
        <v>12973</v>
      </c>
      <c r="L288" s="237" t="s">
        <v>17372</v>
      </c>
      <c r="M288" s="232" t="s">
        <v>9383</v>
      </c>
      <c r="N288" s="429" t="s">
        <v>17350</v>
      </c>
    </row>
    <row r="289">
      <c r="A289" s="427">
        <v>288.0</v>
      </c>
      <c r="B289" s="237" t="s">
        <v>12969</v>
      </c>
      <c r="C289" s="237" t="s">
        <v>6918</v>
      </c>
      <c r="D289" s="428">
        <v>45474.0</v>
      </c>
      <c r="E289" s="237" t="s">
        <v>6921</v>
      </c>
      <c r="F289" s="237" t="s">
        <v>12970</v>
      </c>
      <c r="G289" s="237" t="s">
        <v>12971</v>
      </c>
      <c r="H289" s="237" t="s">
        <v>12030</v>
      </c>
      <c r="I289" s="237" t="s">
        <v>12972</v>
      </c>
      <c r="J289" s="237" t="s">
        <v>5012</v>
      </c>
      <c r="K289" s="237" t="s">
        <v>12973</v>
      </c>
      <c r="L289" s="237" t="s">
        <v>17373</v>
      </c>
      <c r="M289" s="232" t="s">
        <v>9383</v>
      </c>
      <c r="N289" s="429" t="s">
        <v>17350</v>
      </c>
    </row>
    <row r="290">
      <c r="A290" s="427">
        <v>289.0</v>
      </c>
      <c r="B290" s="237" t="s">
        <v>9221</v>
      </c>
      <c r="C290" s="237" t="s">
        <v>6918</v>
      </c>
      <c r="D290" s="428">
        <v>39524.0</v>
      </c>
      <c r="E290" s="237" t="s">
        <v>6933</v>
      </c>
      <c r="F290" s="237" t="s">
        <v>13721</v>
      </c>
      <c r="G290" s="237" t="s">
        <v>13722</v>
      </c>
      <c r="H290" s="237" t="s">
        <v>10812</v>
      </c>
      <c r="I290" s="237" t="s">
        <v>17495</v>
      </c>
      <c r="J290" s="237" t="s">
        <v>5224</v>
      </c>
      <c r="K290" s="237" t="s">
        <v>13087</v>
      </c>
      <c r="L290" s="237" t="s">
        <v>13699</v>
      </c>
      <c r="M290" s="232" t="s">
        <v>9383</v>
      </c>
      <c r="N290" s="429" t="s">
        <v>17350</v>
      </c>
    </row>
    <row r="291">
      <c r="A291" s="427">
        <v>290.0</v>
      </c>
      <c r="B291" s="237" t="s">
        <v>274</v>
      </c>
      <c r="C291" s="237" t="s">
        <v>6918</v>
      </c>
      <c r="D291" s="428">
        <v>45019.0</v>
      </c>
      <c r="E291" s="237" t="s">
        <v>6933</v>
      </c>
      <c r="F291" s="237" t="s">
        <v>15925</v>
      </c>
      <c r="G291" s="237" t="s">
        <v>15926</v>
      </c>
      <c r="H291" s="237" t="s">
        <v>15927</v>
      </c>
      <c r="I291" s="237" t="s">
        <v>278</v>
      </c>
      <c r="J291" s="237" t="s">
        <v>5224</v>
      </c>
      <c r="K291" s="237" t="s">
        <v>13087</v>
      </c>
      <c r="L291" s="237" t="s">
        <v>8438</v>
      </c>
      <c r="M291" s="232" t="s">
        <v>9383</v>
      </c>
      <c r="N291" s="429" t="s">
        <v>17350</v>
      </c>
    </row>
    <row r="292">
      <c r="A292" s="427">
        <v>291.0</v>
      </c>
      <c r="B292" s="237" t="s">
        <v>7807</v>
      </c>
      <c r="C292" s="237" t="s">
        <v>6918</v>
      </c>
      <c r="D292" s="428">
        <v>30445.0</v>
      </c>
      <c r="E292" s="237" t="s">
        <v>7239</v>
      </c>
      <c r="F292" s="237" t="s">
        <v>13341</v>
      </c>
      <c r="G292" s="237" t="s">
        <v>13342</v>
      </c>
      <c r="H292" s="237" t="s">
        <v>13343</v>
      </c>
      <c r="I292" s="237" t="s">
        <v>13344</v>
      </c>
      <c r="J292" s="237" t="s">
        <v>5224</v>
      </c>
      <c r="K292" s="237" t="s">
        <v>12506</v>
      </c>
      <c r="L292" s="237" t="s">
        <v>7809</v>
      </c>
      <c r="M292" s="232" t="s">
        <v>9383</v>
      </c>
      <c r="N292" s="429" t="s">
        <v>17350</v>
      </c>
    </row>
    <row r="293">
      <c r="A293" s="427">
        <v>292.0</v>
      </c>
      <c r="B293" s="237" t="s">
        <v>6990</v>
      </c>
      <c r="C293" s="237" t="s">
        <v>6918</v>
      </c>
      <c r="D293" s="428">
        <v>45173.0</v>
      </c>
      <c r="E293" s="237" t="s">
        <v>6933</v>
      </c>
      <c r="F293" s="237" t="s">
        <v>14806</v>
      </c>
      <c r="G293" s="237" t="s">
        <v>14807</v>
      </c>
      <c r="H293" s="237" t="s">
        <v>14808</v>
      </c>
      <c r="I293" s="237" t="s">
        <v>14809</v>
      </c>
      <c r="J293" s="237" t="s">
        <v>5224</v>
      </c>
      <c r="K293" s="237" t="s">
        <v>13181</v>
      </c>
      <c r="L293" s="237" t="s">
        <v>13699</v>
      </c>
      <c r="M293" s="232" t="s">
        <v>9383</v>
      </c>
      <c r="N293" s="429" t="s">
        <v>17350</v>
      </c>
    </row>
    <row r="294">
      <c r="A294" s="427">
        <v>293.0</v>
      </c>
      <c r="B294" s="237" t="s">
        <v>7541</v>
      </c>
      <c r="C294" s="237" t="s">
        <v>6918</v>
      </c>
      <c r="D294" s="428">
        <v>40973.0</v>
      </c>
      <c r="E294" s="237" t="s">
        <v>6921</v>
      </c>
      <c r="F294" s="237" t="s">
        <v>9933</v>
      </c>
      <c r="G294" s="237" t="s">
        <v>9498</v>
      </c>
      <c r="H294" s="237" t="s">
        <v>9934</v>
      </c>
      <c r="I294" s="237" t="s">
        <v>15377</v>
      </c>
      <c r="J294" s="237" t="s">
        <v>5224</v>
      </c>
      <c r="K294" s="237" t="s">
        <v>4805</v>
      </c>
      <c r="L294" s="237" t="s">
        <v>7543</v>
      </c>
      <c r="M294" s="232" t="s">
        <v>9383</v>
      </c>
      <c r="N294" s="429" t="s">
        <v>17350</v>
      </c>
    </row>
    <row r="295">
      <c r="A295" s="427">
        <v>294.0</v>
      </c>
      <c r="B295" s="237" t="s">
        <v>8601</v>
      </c>
      <c r="C295" s="237" t="s">
        <v>6918</v>
      </c>
      <c r="D295" s="428">
        <v>45124.0</v>
      </c>
      <c r="E295" s="237" t="s">
        <v>6933</v>
      </c>
      <c r="F295" s="237" t="s">
        <v>13290</v>
      </c>
      <c r="G295" s="237" t="s">
        <v>13291</v>
      </c>
      <c r="H295" s="237" t="s">
        <v>10507</v>
      </c>
      <c r="I295" s="237" t="s">
        <v>13292</v>
      </c>
      <c r="J295" s="237" t="s">
        <v>5224</v>
      </c>
      <c r="K295" s="237" t="s">
        <v>4805</v>
      </c>
      <c r="L295" s="237" t="s">
        <v>8603</v>
      </c>
      <c r="M295" s="232" t="s">
        <v>9383</v>
      </c>
      <c r="N295" s="429" t="s">
        <v>17350</v>
      </c>
    </row>
    <row r="296">
      <c r="A296" s="427">
        <v>295.0</v>
      </c>
      <c r="B296" s="237" t="s">
        <v>7619</v>
      </c>
      <c r="C296" s="237" t="s">
        <v>7575</v>
      </c>
      <c r="D296" s="428">
        <v>39685.0</v>
      </c>
      <c r="E296" s="237" t="s">
        <v>6921</v>
      </c>
      <c r="F296" s="237" t="s">
        <v>12879</v>
      </c>
      <c r="G296" s="237" t="s">
        <v>12880</v>
      </c>
      <c r="H296" s="237" t="s">
        <v>10420</v>
      </c>
      <c r="I296" s="237" t="s">
        <v>12881</v>
      </c>
      <c r="J296" s="237" t="s">
        <v>5224</v>
      </c>
      <c r="K296" s="237" t="s">
        <v>4805</v>
      </c>
      <c r="L296" s="237" t="s">
        <v>7621</v>
      </c>
      <c r="M296" s="232" t="s">
        <v>9383</v>
      </c>
      <c r="N296" s="429" t="s">
        <v>17350</v>
      </c>
    </row>
    <row r="297">
      <c r="A297" s="427">
        <v>296.0</v>
      </c>
      <c r="B297" s="237" t="s">
        <v>7087</v>
      </c>
      <c r="C297" s="237" t="s">
        <v>6918</v>
      </c>
      <c r="D297" s="428">
        <v>45352.0</v>
      </c>
      <c r="E297" s="237" t="s">
        <v>6933</v>
      </c>
      <c r="F297" s="237" t="s">
        <v>12179</v>
      </c>
      <c r="G297" s="237" t="s">
        <v>15866</v>
      </c>
      <c r="H297" s="237" t="s">
        <v>15867</v>
      </c>
      <c r="I297" s="237" t="s">
        <v>15868</v>
      </c>
      <c r="J297" s="237" t="s">
        <v>5224</v>
      </c>
      <c r="K297" s="237" t="s">
        <v>4805</v>
      </c>
      <c r="L297" s="237" t="s">
        <v>1349</v>
      </c>
      <c r="M297" s="232" t="s">
        <v>9383</v>
      </c>
      <c r="N297" s="429" t="s">
        <v>17350</v>
      </c>
    </row>
    <row r="298">
      <c r="A298" s="427">
        <v>297.0</v>
      </c>
      <c r="B298" s="237" t="s">
        <v>10069</v>
      </c>
      <c r="C298" s="237" t="s">
        <v>10040</v>
      </c>
      <c r="D298" s="428">
        <v>45551.0</v>
      </c>
      <c r="E298" s="237" t="s">
        <v>6921</v>
      </c>
      <c r="F298" s="237" t="s">
        <v>10071</v>
      </c>
      <c r="G298" s="237" t="s">
        <v>10072</v>
      </c>
      <c r="H298" s="237" t="s">
        <v>10073</v>
      </c>
      <c r="I298" s="237" t="s">
        <v>10074</v>
      </c>
      <c r="J298" s="237" t="s">
        <v>5224</v>
      </c>
      <c r="K298" s="237" t="s">
        <v>4805</v>
      </c>
      <c r="L298" s="237" t="s">
        <v>17464</v>
      </c>
      <c r="M298" s="232" t="s">
        <v>9391</v>
      </c>
      <c r="N298" s="429" t="s">
        <v>17350</v>
      </c>
    </row>
    <row r="299">
      <c r="A299" s="427">
        <v>298.0</v>
      </c>
      <c r="B299" s="237" t="s">
        <v>4112</v>
      </c>
      <c r="C299" s="237" t="s">
        <v>6918</v>
      </c>
      <c r="D299" s="428">
        <v>45428.0</v>
      </c>
      <c r="E299" s="237" t="s">
        <v>6921</v>
      </c>
      <c r="F299" s="237" t="s">
        <v>17496</v>
      </c>
      <c r="G299" s="237" t="s">
        <v>17497</v>
      </c>
      <c r="H299" s="237" t="s">
        <v>10389</v>
      </c>
      <c r="I299" s="237" t="s">
        <v>4979</v>
      </c>
      <c r="J299" s="237" t="s">
        <v>5224</v>
      </c>
      <c r="K299" s="237" t="s">
        <v>4805</v>
      </c>
      <c r="L299" s="237" t="s">
        <v>4978</v>
      </c>
      <c r="M299" s="232" t="s">
        <v>9383</v>
      </c>
      <c r="N299" s="429" t="s">
        <v>17350</v>
      </c>
    </row>
    <row r="300">
      <c r="A300" s="427">
        <v>299.0</v>
      </c>
      <c r="B300" s="237" t="s">
        <v>4808</v>
      </c>
      <c r="C300" s="237" t="s">
        <v>6918</v>
      </c>
      <c r="D300" s="428">
        <v>45140.0</v>
      </c>
      <c r="E300" s="237" t="s">
        <v>6921</v>
      </c>
      <c r="F300" s="237" t="s">
        <v>13825</v>
      </c>
      <c r="G300" s="237" t="s">
        <v>13826</v>
      </c>
      <c r="H300" s="237" t="s">
        <v>13827</v>
      </c>
      <c r="I300" s="237" t="s">
        <v>4809</v>
      </c>
      <c r="J300" s="237" t="s">
        <v>5224</v>
      </c>
      <c r="K300" s="237" t="s">
        <v>4805</v>
      </c>
      <c r="L300" s="237" t="s">
        <v>2204</v>
      </c>
      <c r="M300" s="232" t="s">
        <v>9383</v>
      </c>
      <c r="N300" s="429" t="s">
        <v>17350</v>
      </c>
    </row>
    <row r="301">
      <c r="A301" s="427">
        <v>300.0</v>
      </c>
      <c r="B301" s="237" t="s">
        <v>9488</v>
      </c>
      <c r="C301" s="237" t="s">
        <v>8796</v>
      </c>
      <c r="D301" s="428">
        <v>45323.0</v>
      </c>
      <c r="E301" s="237" t="s">
        <v>6933</v>
      </c>
      <c r="F301" s="237" t="s">
        <v>9490</v>
      </c>
      <c r="G301" s="237" t="s">
        <v>9491</v>
      </c>
      <c r="H301" s="237" t="s">
        <v>9492</v>
      </c>
      <c r="I301" s="237" t="s">
        <v>9493</v>
      </c>
      <c r="J301" s="237" t="s">
        <v>5224</v>
      </c>
      <c r="K301" s="237" t="s">
        <v>4805</v>
      </c>
      <c r="L301" s="237" t="s">
        <v>17498</v>
      </c>
      <c r="M301" s="232" t="s">
        <v>9383</v>
      </c>
      <c r="N301" s="429" t="s">
        <v>17350</v>
      </c>
    </row>
    <row r="302">
      <c r="A302" s="427">
        <v>301.0</v>
      </c>
      <c r="B302" s="237" t="s">
        <v>326</v>
      </c>
      <c r="C302" s="237" t="s">
        <v>6918</v>
      </c>
      <c r="D302" s="428">
        <v>45721.0</v>
      </c>
      <c r="E302" s="237" t="s">
        <v>6921</v>
      </c>
      <c r="F302" s="237" t="s">
        <v>15922</v>
      </c>
      <c r="G302" s="237" t="s">
        <v>15923</v>
      </c>
      <c r="H302" s="237" t="s">
        <v>15924</v>
      </c>
      <c r="I302" s="237" t="s">
        <v>330</v>
      </c>
      <c r="J302" s="237" t="s">
        <v>5224</v>
      </c>
      <c r="K302" s="237" t="s">
        <v>4805</v>
      </c>
      <c r="L302" s="237" t="s">
        <v>329</v>
      </c>
      <c r="M302" s="232" t="s">
        <v>9391</v>
      </c>
      <c r="N302" s="429" t="s">
        <v>17350</v>
      </c>
    </row>
    <row r="303">
      <c r="A303" s="427">
        <v>302.0</v>
      </c>
      <c r="B303" s="237" t="s">
        <v>8706</v>
      </c>
      <c r="C303" s="237" t="s">
        <v>6918</v>
      </c>
      <c r="D303" s="428">
        <v>44935.0</v>
      </c>
      <c r="E303" s="237" t="s">
        <v>6933</v>
      </c>
      <c r="F303" s="237" t="s">
        <v>12743</v>
      </c>
      <c r="G303" s="237" t="s">
        <v>12744</v>
      </c>
      <c r="H303" s="237" t="s">
        <v>12745</v>
      </c>
      <c r="I303" s="237" t="s">
        <v>12746</v>
      </c>
      <c r="J303" s="237" t="s">
        <v>5012</v>
      </c>
      <c r="K303" s="237" t="s">
        <v>4805</v>
      </c>
      <c r="L303" s="237" t="s">
        <v>8708</v>
      </c>
      <c r="M303" s="232" t="s">
        <v>9383</v>
      </c>
      <c r="N303" s="429" t="s">
        <v>17350</v>
      </c>
    </row>
    <row r="304">
      <c r="A304" s="427">
        <v>303.0</v>
      </c>
      <c r="B304" s="237" t="s">
        <v>12740</v>
      </c>
      <c r="C304" s="237" t="s">
        <v>12741</v>
      </c>
      <c r="D304" s="428">
        <v>44935.0</v>
      </c>
      <c r="E304" s="237" t="s">
        <v>6933</v>
      </c>
      <c r="F304" s="237" t="s">
        <v>12743</v>
      </c>
      <c r="G304" s="237" t="s">
        <v>12744</v>
      </c>
      <c r="H304" s="237" t="s">
        <v>12745</v>
      </c>
      <c r="I304" s="237" t="s">
        <v>12746</v>
      </c>
      <c r="J304" s="237" t="s">
        <v>5012</v>
      </c>
      <c r="K304" s="237" t="s">
        <v>4805</v>
      </c>
      <c r="L304" s="237" t="s">
        <v>12747</v>
      </c>
      <c r="M304" s="232" t="s">
        <v>9383</v>
      </c>
      <c r="N304" s="429" t="s">
        <v>17350</v>
      </c>
    </row>
    <row r="305">
      <c r="A305" s="427">
        <v>304.0</v>
      </c>
      <c r="B305" s="237" t="s">
        <v>5067</v>
      </c>
      <c r="C305" s="237" t="s">
        <v>7505</v>
      </c>
      <c r="D305" s="428">
        <v>43587.0</v>
      </c>
      <c r="E305" s="237" t="s">
        <v>7239</v>
      </c>
      <c r="F305" s="237" t="s">
        <v>9564</v>
      </c>
      <c r="G305" s="237" t="s">
        <v>12327</v>
      </c>
      <c r="H305" s="237" t="s">
        <v>12328</v>
      </c>
      <c r="I305" s="237" t="s">
        <v>5071</v>
      </c>
      <c r="J305" s="237" t="s">
        <v>5224</v>
      </c>
      <c r="K305" s="237" t="s">
        <v>4805</v>
      </c>
      <c r="L305" s="237" t="s">
        <v>5069</v>
      </c>
      <c r="M305" s="232" t="s">
        <v>9383</v>
      </c>
      <c r="N305" s="429" t="s">
        <v>17350</v>
      </c>
    </row>
    <row r="306">
      <c r="A306" s="427">
        <v>305.0</v>
      </c>
      <c r="B306" s="237" t="s">
        <v>8989</v>
      </c>
      <c r="C306" s="237" t="s">
        <v>6918</v>
      </c>
      <c r="D306" s="428">
        <v>45215.0</v>
      </c>
      <c r="E306" s="237" t="s">
        <v>6933</v>
      </c>
      <c r="F306" s="237" t="s">
        <v>16012</v>
      </c>
      <c r="G306" s="237" t="s">
        <v>16013</v>
      </c>
      <c r="H306" s="237" t="s">
        <v>9538</v>
      </c>
      <c r="I306" s="237" t="s">
        <v>16014</v>
      </c>
      <c r="J306" s="237" t="s">
        <v>5224</v>
      </c>
      <c r="K306" s="237" t="s">
        <v>1392</v>
      </c>
      <c r="L306" s="237" t="s">
        <v>8991</v>
      </c>
      <c r="M306" s="232" t="s">
        <v>9383</v>
      </c>
      <c r="N306" s="429" t="s">
        <v>17350</v>
      </c>
    </row>
    <row r="307">
      <c r="A307" s="427">
        <v>306.0</v>
      </c>
      <c r="B307" s="237" t="s">
        <v>13011</v>
      </c>
      <c r="C307" s="237" t="s">
        <v>6918</v>
      </c>
      <c r="D307" s="428">
        <v>43572.0</v>
      </c>
      <c r="E307" s="237" t="s">
        <v>6921</v>
      </c>
      <c r="F307" s="237" t="s">
        <v>13012</v>
      </c>
      <c r="G307" s="237" t="s">
        <v>13013</v>
      </c>
      <c r="H307" s="237" t="s">
        <v>6933</v>
      </c>
      <c r="I307" s="237" t="s">
        <v>13014</v>
      </c>
      <c r="J307" s="237" t="s">
        <v>5224</v>
      </c>
      <c r="K307" s="237" t="s">
        <v>1392</v>
      </c>
      <c r="L307" s="237" t="s">
        <v>17499</v>
      </c>
      <c r="M307" s="232" t="s">
        <v>9383</v>
      </c>
      <c r="N307" s="429" t="s">
        <v>17350</v>
      </c>
    </row>
    <row r="308">
      <c r="A308" s="427">
        <v>307.0</v>
      </c>
      <c r="B308" s="237" t="s">
        <v>8811</v>
      </c>
      <c r="C308" s="237" t="s">
        <v>6918</v>
      </c>
      <c r="D308" s="428">
        <v>45551.0</v>
      </c>
      <c r="E308" s="237" t="s">
        <v>7239</v>
      </c>
      <c r="F308" s="237" t="s">
        <v>13243</v>
      </c>
      <c r="G308" s="237" t="s">
        <v>13244</v>
      </c>
      <c r="H308" s="237" t="s">
        <v>10761</v>
      </c>
      <c r="I308" s="237" t="s">
        <v>13245</v>
      </c>
      <c r="J308" s="237" t="s">
        <v>5224</v>
      </c>
      <c r="K308" s="237" t="s">
        <v>1392</v>
      </c>
      <c r="L308" s="237" t="s">
        <v>3313</v>
      </c>
      <c r="M308" s="232" t="s">
        <v>9383</v>
      </c>
      <c r="N308" s="429" t="s">
        <v>17350</v>
      </c>
    </row>
    <row r="309">
      <c r="A309" s="427">
        <v>308.0</v>
      </c>
      <c r="B309" s="237" t="s">
        <v>12027</v>
      </c>
      <c r="C309" s="237" t="s">
        <v>10103</v>
      </c>
      <c r="D309" s="428">
        <v>40151.0</v>
      </c>
      <c r="E309" s="237" t="s">
        <v>6921</v>
      </c>
      <c r="F309" s="237" t="s">
        <v>12028</v>
      </c>
      <c r="G309" s="237" t="s">
        <v>12029</v>
      </c>
      <c r="H309" s="237" t="s">
        <v>12030</v>
      </c>
      <c r="I309" s="237" t="s">
        <v>12031</v>
      </c>
      <c r="J309" s="237" t="s">
        <v>5224</v>
      </c>
      <c r="K309" s="237" t="s">
        <v>1392</v>
      </c>
      <c r="L309" s="237" t="s">
        <v>12032</v>
      </c>
      <c r="M309" s="232" t="s">
        <v>9383</v>
      </c>
      <c r="N309" s="429" t="s">
        <v>17350</v>
      </c>
    </row>
    <row r="310">
      <c r="A310" s="427">
        <v>309.0</v>
      </c>
      <c r="B310" s="237" t="s">
        <v>14266</v>
      </c>
      <c r="C310" s="237" t="s">
        <v>6918</v>
      </c>
      <c r="D310" s="428">
        <v>44354.0</v>
      </c>
      <c r="E310" s="237" t="s">
        <v>6921</v>
      </c>
      <c r="F310" s="237" t="s">
        <v>14268</v>
      </c>
      <c r="G310" s="237" t="s">
        <v>14269</v>
      </c>
      <c r="H310" s="237" t="s">
        <v>10244</v>
      </c>
      <c r="I310" s="237" t="s">
        <v>14270</v>
      </c>
      <c r="J310" s="237" t="s">
        <v>5224</v>
      </c>
      <c r="K310" s="237" t="s">
        <v>1392</v>
      </c>
      <c r="L310" s="237" t="s">
        <v>2625</v>
      </c>
      <c r="M310" s="232" t="s">
        <v>9383</v>
      </c>
      <c r="N310" s="429" t="s">
        <v>17350</v>
      </c>
    </row>
    <row r="311">
      <c r="A311" s="427">
        <v>310.0</v>
      </c>
      <c r="B311" s="237" t="s">
        <v>238</v>
      </c>
      <c r="C311" s="237" t="s">
        <v>6918</v>
      </c>
      <c r="D311" s="428">
        <v>44669.0</v>
      </c>
      <c r="E311" s="237" t="s">
        <v>6921</v>
      </c>
      <c r="F311" s="237" t="s">
        <v>13073</v>
      </c>
      <c r="G311" s="237" t="s">
        <v>13074</v>
      </c>
      <c r="H311" s="237" t="s">
        <v>13075</v>
      </c>
      <c r="I311" s="237" t="s">
        <v>242</v>
      </c>
      <c r="J311" s="237" t="s">
        <v>5012</v>
      </c>
      <c r="K311" s="237" t="s">
        <v>13076</v>
      </c>
      <c r="L311" s="237" t="s">
        <v>17363</v>
      </c>
      <c r="M311" s="232" t="s">
        <v>9383</v>
      </c>
      <c r="N311" s="429" t="s">
        <v>17350</v>
      </c>
    </row>
    <row r="312">
      <c r="A312" s="427">
        <v>311.0</v>
      </c>
      <c r="B312" s="237" t="s">
        <v>8271</v>
      </c>
      <c r="C312" s="237" t="s">
        <v>6918</v>
      </c>
      <c r="D312" s="428">
        <v>45208.0</v>
      </c>
      <c r="E312" s="237" t="s">
        <v>6921</v>
      </c>
      <c r="F312" s="237" t="s">
        <v>9830</v>
      </c>
      <c r="G312" s="237" t="s">
        <v>14965</v>
      </c>
      <c r="H312" s="237" t="s">
        <v>14966</v>
      </c>
      <c r="I312" s="237" t="s">
        <v>14967</v>
      </c>
      <c r="J312" s="237" t="s">
        <v>5224</v>
      </c>
      <c r="K312" s="237" t="s">
        <v>14763</v>
      </c>
      <c r="L312" s="237" t="s">
        <v>2730</v>
      </c>
      <c r="M312" s="232" t="s">
        <v>9383</v>
      </c>
      <c r="N312" s="429" t="s">
        <v>17350</v>
      </c>
    </row>
    <row r="313">
      <c r="A313" s="427">
        <v>312.0</v>
      </c>
      <c r="B313" s="237" t="s">
        <v>87</v>
      </c>
      <c r="C313" s="237" t="s">
        <v>6918</v>
      </c>
      <c r="D313" s="428">
        <v>43747.0</v>
      </c>
      <c r="E313" s="237" t="s">
        <v>6921</v>
      </c>
      <c r="F313" s="237" t="s">
        <v>13192</v>
      </c>
      <c r="G313" s="237" t="s">
        <v>13193</v>
      </c>
      <c r="H313" s="237" t="s">
        <v>13194</v>
      </c>
      <c r="I313" s="237" t="s">
        <v>91</v>
      </c>
      <c r="J313" s="237" t="s">
        <v>5012</v>
      </c>
      <c r="K313" s="237" t="s">
        <v>9671</v>
      </c>
      <c r="L313" s="237" t="s">
        <v>3857</v>
      </c>
      <c r="M313" s="232" t="s">
        <v>9383</v>
      </c>
      <c r="N313" s="429" t="s">
        <v>17350</v>
      </c>
    </row>
    <row r="314">
      <c r="A314" s="427">
        <v>313.0</v>
      </c>
      <c r="B314" s="237" t="s">
        <v>8672</v>
      </c>
      <c r="C314" s="237" t="s">
        <v>1631</v>
      </c>
      <c r="D314" s="428">
        <v>45093.0</v>
      </c>
      <c r="E314" s="237" t="s">
        <v>6921</v>
      </c>
      <c r="F314" s="237" t="s">
        <v>9411</v>
      </c>
      <c r="G314" s="237" t="s">
        <v>9412</v>
      </c>
      <c r="H314" s="237" t="s">
        <v>9413</v>
      </c>
      <c r="I314" s="237" t="s">
        <v>9414</v>
      </c>
      <c r="J314" s="237" t="s">
        <v>5224</v>
      </c>
      <c r="K314" s="237" t="s">
        <v>17500</v>
      </c>
      <c r="L314" s="237" t="s">
        <v>8669</v>
      </c>
      <c r="M314" s="232" t="s">
        <v>9383</v>
      </c>
      <c r="N314" s="429" t="s">
        <v>17350</v>
      </c>
    </row>
    <row r="315">
      <c r="A315" s="427">
        <v>314.0</v>
      </c>
      <c r="B315" s="237" t="s">
        <v>8216</v>
      </c>
      <c r="C315" s="237" t="s">
        <v>6918</v>
      </c>
      <c r="D315" s="428">
        <v>45231.0</v>
      </c>
      <c r="E315" s="237" t="s">
        <v>6933</v>
      </c>
      <c r="F315" s="237" t="s">
        <v>13120</v>
      </c>
      <c r="G315" s="237" t="s">
        <v>13121</v>
      </c>
      <c r="H315" s="237" t="s">
        <v>10831</v>
      </c>
      <c r="I315" s="237" t="s">
        <v>13122</v>
      </c>
      <c r="J315" s="237" t="s">
        <v>5224</v>
      </c>
      <c r="K315" s="237" t="s">
        <v>13123</v>
      </c>
      <c r="L315" s="237" t="s">
        <v>2342</v>
      </c>
      <c r="M315" s="232" t="s">
        <v>9383</v>
      </c>
      <c r="N315" s="429" t="s">
        <v>17350</v>
      </c>
    </row>
    <row r="316">
      <c r="A316" s="427">
        <v>315.0</v>
      </c>
      <c r="B316" s="237" t="s">
        <v>8213</v>
      </c>
      <c r="C316" s="237" t="s">
        <v>6918</v>
      </c>
      <c r="D316" s="428">
        <v>45173.0</v>
      </c>
      <c r="E316" s="237" t="s">
        <v>6933</v>
      </c>
      <c r="F316" s="237" t="s">
        <v>14646</v>
      </c>
      <c r="G316" s="237" t="s">
        <v>14647</v>
      </c>
      <c r="H316" s="237" t="s">
        <v>9691</v>
      </c>
      <c r="I316" s="237" t="s">
        <v>14648</v>
      </c>
      <c r="J316" s="237" t="s">
        <v>5224</v>
      </c>
      <c r="K316" s="237" t="s">
        <v>13123</v>
      </c>
      <c r="L316" s="237" t="s">
        <v>2342</v>
      </c>
      <c r="M316" s="232" t="s">
        <v>9383</v>
      </c>
      <c r="N316" s="429" t="s">
        <v>17350</v>
      </c>
    </row>
    <row r="317">
      <c r="A317" s="427">
        <v>316.0</v>
      </c>
      <c r="B317" s="237" t="s">
        <v>9859</v>
      </c>
      <c r="C317" s="237" t="s">
        <v>8796</v>
      </c>
      <c r="D317" s="428">
        <v>45414.0</v>
      </c>
      <c r="E317" s="237" t="s">
        <v>6933</v>
      </c>
      <c r="F317" s="237" t="s">
        <v>9860</v>
      </c>
      <c r="G317" s="237" t="s">
        <v>9861</v>
      </c>
      <c r="H317" s="237" t="s">
        <v>9862</v>
      </c>
      <c r="I317" s="237" t="s">
        <v>9863</v>
      </c>
      <c r="J317" s="237" t="s">
        <v>5012</v>
      </c>
      <c r="K317" s="237" t="s">
        <v>9633</v>
      </c>
      <c r="L317" s="237" t="s">
        <v>17449</v>
      </c>
      <c r="M317" s="232" t="s">
        <v>9383</v>
      </c>
      <c r="N317" s="429" t="s">
        <v>17350</v>
      </c>
    </row>
    <row r="318">
      <c r="A318" s="427">
        <v>317.0</v>
      </c>
      <c r="B318" s="237" t="s">
        <v>15959</v>
      </c>
      <c r="C318" s="237" t="s">
        <v>6918</v>
      </c>
      <c r="D318" s="428">
        <v>45078.0</v>
      </c>
      <c r="E318" s="237" t="s">
        <v>6933</v>
      </c>
      <c r="F318" s="237" t="s">
        <v>12240</v>
      </c>
      <c r="G318" s="237" t="s">
        <v>15960</v>
      </c>
      <c r="H318" s="237" t="s">
        <v>15961</v>
      </c>
      <c r="I318" s="237" t="s">
        <v>15962</v>
      </c>
      <c r="J318" s="237" t="s">
        <v>5012</v>
      </c>
      <c r="K318" s="237" t="s">
        <v>9633</v>
      </c>
      <c r="L318" s="237" t="s">
        <v>8841</v>
      </c>
      <c r="M318" s="232" t="s">
        <v>9383</v>
      </c>
      <c r="N318" s="429" t="s">
        <v>17350</v>
      </c>
    </row>
    <row r="319">
      <c r="A319" s="427">
        <v>318.0</v>
      </c>
      <c r="B319" s="237" t="s">
        <v>9680</v>
      </c>
      <c r="C319" s="237" t="s">
        <v>8796</v>
      </c>
      <c r="D319" s="428">
        <v>44760.0</v>
      </c>
      <c r="E319" s="237" t="s">
        <v>6933</v>
      </c>
      <c r="F319" s="237" t="s">
        <v>9682</v>
      </c>
      <c r="G319" s="237" t="s">
        <v>9683</v>
      </c>
      <c r="H319" s="237" t="s">
        <v>9684</v>
      </c>
      <c r="I319" s="237" t="s">
        <v>9685</v>
      </c>
      <c r="J319" s="237" t="s">
        <v>5012</v>
      </c>
      <c r="K319" s="237" t="s">
        <v>9633</v>
      </c>
      <c r="L319" s="237" t="s">
        <v>17450</v>
      </c>
      <c r="M319" s="232" t="s">
        <v>9383</v>
      </c>
      <c r="N319" s="429" t="s">
        <v>17350</v>
      </c>
    </row>
    <row r="320">
      <c r="A320" s="427">
        <v>319.0</v>
      </c>
      <c r="B320" s="237" t="s">
        <v>13705</v>
      </c>
      <c r="C320" s="237" t="s">
        <v>6918</v>
      </c>
      <c r="D320" s="428">
        <v>45170.0</v>
      </c>
      <c r="E320" s="237" t="s">
        <v>6933</v>
      </c>
      <c r="F320" s="237" t="s">
        <v>10666</v>
      </c>
      <c r="G320" s="237" t="s">
        <v>13706</v>
      </c>
      <c r="H320" s="237" t="s">
        <v>13707</v>
      </c>
      <c r="I320" s="237" t="s">
        <v>13708</v>
      </c>
      <c r="J320" s="237" t="s">
        <v>5012</v>
      </c>
      <c r="K320" s="237" t="s">
        <v>9633</v>
      </c>
      <c r="L320" s="237" t="s">
        <v>8841</v>
      </c>
      <c r="M320" s="232" t="s">
        <v>9383</v>
      </c>
      <c r="N320" s="429" t="s">
        <v>17350</v>
      </c>
    </row>
    <row r="321">
      <c r="A321" s="427">
        <v>320.0</v>
      </c>
      <c r="B321" s="237" t="s">
        <v>13843</v>
      </c>
      <c r="C321" s="237" t="s">
        <v>6918</v>
      </c>
      <c r="D321" s="428">
        <v>44795.0</v>
      </c>
      <c r="E321" s="237" t="s">
        <v>6933</v>
      </c>
      <c r="F321" s="237" t="s">
        <v>13839</v>
      </c>
      <c r="G321" s="237" t="s">
        <v>13845</v>
      </c>
      <c r="H321" s="237" t="s">
        <v>13846</v>
      </c>
      <c r="I321" s="237" t="s">
        <v>13847</v>
      </c>
      <c r="J321" s="237" t="s">
        <v>5012</v>
      </c>
      <c r="K321" s="237" t="s">
        <v>9633</v>
      </c>
      <c r="L321" s="237" t="s">
        <v>8845</v>
      </c>
      <c r="M321" s="232" t="s">
        <v>9383</v>
      </c>
      <c r="N321" s="429" t="s">
        <v>17350</v>
      </c>
    </row>
    <row r="322">
      <c r="A322" s="427">
        <v>321.0</v>
      </c>
      <c r="B322" s="237" t="s">
        <v>14718</v>
      </c>
      <c r="C322" s="237" t="s">
        <v>6918</v>
      </c>
      <c r="D322" s="428">
        <v>45048.0</v>
      </c>
      <c r="E322" s="237" t="s">
        <v>6933</v>
      </c>
      <c r="F322" s="237" t="s">
        <v>14719</v>
      </c>
      <c r="G322" s="237" t="s">
        <v>14720</v>
      </c>
      <c r="H322" s="237" t="s">
        <v>9721</v>
      </c>
      <c r="I322" s="237" t="s">
        <v>14721</v>
      </c>
      <c r="J322" s="237" t="s">
        <v>5012</v>
      </c>
      <c r="K322" s="237" t="s">
        <v>9633</v>
      </c>
      <c r="L322" s="237" t="s">
        <v>232</v>
      </c>
      <c r="M322" s="232" t="s">
        <v>9383</v>
      </c>
      <c r="N322" s="429" t="s">
        <v>17350</v>
      </c>
    </row>
    <row r="323">
      <c r="A323" s="427">
        <v>322.0</v>
      </c>
      <c r="B323" s="237" t="s">
        <v>6499</v>
      </c>
      <c r="C323" s="237" t="s">
        <v>6918</v>
      </c>
      <c r="D323" s="428">
        <v>45187.0</v>
      </c>
      <c r="E323" s="237" t="s">
        <v>6933</v>
      </c>
      <c r="F323" s="237" t="s">
        <v>11920</v>
      </c>
      <c r="G323" s="237" t="s">
        <v>17501</v>
      </c>
      <c r="H323" s="237" t="s">
        <v>10249</v>
      </c>
      <c r="I323" s="237" t="s">
        <v>6500</v>
      </c>
      <c r="J323" s="237" t="s">
        <v>5012</v>
      </c>
      <c r="K323" s="237" t="s">
        <v>9633</v>
      </c>
      <c r="L323" s="237" t="s">
        <v>17502</v>
      </c>
      <c r="M323" s="232" t="s">
        <v>9383</v>
      </c>
      <c r="N323" s="429" t="s">
        <v>17350</v>
      </c>
    </row>
    <row r="324">
      <c r="A324" s="427">
        <v>323.0</v>
      </c>
      <c r="B324" s="237" t="s">
        <v>14510</v>
      </c>
      <c r="C324" s="237" t="s">
        <v>6918</v>
      </c>
      <c r="D324" s="428">
        <v>45110.0</v>
      </c>
      <c r="E324" s="237" t="s">
        <v>6933</v>
      </c>
      <c r="F324" s="237" t="s">
        <v>14511</v>
      </c>
      <c r="G324" s="237" t="s">
        <v>14512</v>
      </c>
      <c r="H324" s="237" t="s">
        <v>12030</v>
      </c>
      <c r="I324" s="237" t="s">
        <v>14513</v>
      </c>
      <c r="J324" s="237" t="s">
        <v>5012</v>
      </c>
      <c r="K324" s="237" t="s">
        <v>9633</v>
      </c>
      <c r="L324" s="237" t="s">
        <v>17394</v>
      </c>
      <c r="M324" s="232" t="s">
        <v>9383</v>
      </c>
      <c r="N324" s="429" t="s">
        <v>17350</v>
      </c>
    </row>
    <row r="325">
      <c r="A325" s="427">
        <v>324.0</v>
      </c>
      <c r="B325" s="237" t="s">
        <v>9627</v>
      </c>
      <c r="C325" s="237" t="s">
        <v>8796</v>
      </c>
      <c r="D325" s="428">
        <v>44908.0</v>
      </c>
      <c r="E325" s="237" t="s">
        <v>6933</v>
      </c>
      <c r="F325" s="237" t="s">
        <v>9629</v>
      </c>
      <c r="G325" s="237" t="s">
        <v>9630</v>
      </c>
      <c r="H325" s="237" t="s">
        <v>9631</v>
      </c>
      <c r="I325" s="237" t="s">
        <v>9632</v>
      </c>
      <c r="J325" s="237" t="s">
        <v>5012</v>
      </c>
      <c r="K325" s="237" t="s">
        <v>9633</v>
      </c>
      <c r="L325" s="237" t="s">
        <v>15018</v>
      </c>
      <c r="M325" s="232" t="s">
        <v>9383</v>
      </c>
      <c r="N325" s="429" t="s">
        <v>17350</v>
      </c>
    </row>
    <row r="326">
      <c r="A326" s="427">
        <v>325.0</v>
      </c>
      <c r="B326" s="237" t="s">
        <v>13167</v>
      </c>
      <c r="C326" s="237" t="s">
        <v>6918</v>
      </c>
      <c r="D326" s="428">
        <v>45170.0</v>
      </c>
      <c r="E326" s="237" t="s">
        <v>6933</v>
      </c>
      <c r="F326" s="237" t="s">
        <v>13168</v>
      </c>
      <c r="G326" s="237" t="s">
        <v>13169</v>
      </c>
      <c r="H326" s="237" t="s">
        <v>13170</v>
      </c>
      <c r="I326" s="237" t="s">
        <v>13171</v>
      </c>
      <c r="J326" s="237" t="s">
        <v>5012</v>
      </c>
      <c r="K326" s="237" t="s">
        <v>9633</v>
      </c>
      <c r="L326" s="237" t="s">
        <v>15018</v>
      </c>
      <c r="M326" s="232" t="s">
        <v>9383</v>
      </c>
      <c r="N326" s="429" t="s">
        <v>17350</v>
      </c>
    </row>
    <row r="327">
      <c r="A327" s="427">
        <v>326.0</v>
      </c>
      <c r="B327" s="237" t="s">
        <v>9180</v>
      </c>
      <c r="C327" s="237" t="s">
        <v>9157</v>
      </c>
      <c r="D327" s="428">
        <v>45294.0</v>
      </c>
      <c r="E327" s="237" t="s">
        <v>6933</v>
      </c>
      <c r="F327" s="237" t="s">
        <v>12369</v>
      </c>
      <c r="G327" s="237" t="s">
        <v>12370</v>
      </c>
      <c r="H327" s="237" t="s">
        <v>10145</v>
      </c>
      <c r="I327" s="237" t="s">
        <v>12371</v>
      </c>
      <c r="J327" s="237" t="s">
        <v>5012</v>
      </c>
      <c r="K327" s="237" t="s">
        <v>9633</v>
      </c>
      <c r="L327" s="237" t="s">
        <v>5011</v>
      </c>
      <c r="M327" s="232" t="s">
        <v>9383</v>
      </c>
      <c r="N327" s="429" t="s">
        <v>17350</v>
      </c>
    </row>
    <row r="328">
      <c r="A328" s="427">
        <v>327.0</v>
      </c>
      <c r="B328" s="237" t="s">
        <v>13405</v>
      </c>
      <c r="C328" s="237" t="s">
        <v>6918</v>
      </c>
      <c r="D328" s="428">
        <v>45294.0</v>
      </c>
      <c r="E328" s="237" t="s">
        <v>6933</v>
      </c>
      <c r="F328" s="237" t="s">
        <v>13399</v>
      </c>
      <c r="G328" s="237" t="s">
        <v>13406</v>
      </c>
      <c r="H328" s="237" t="s">
        <v>13407</v>
      </c>
      <c r="I328" s="237" t="s">
        <v>13408</v>
      </c>
      <c r="J328" s="237" t="s">
        <v>5012</v>
      </c>
      <c r="K328" s="237" t="s">
        <v>9633</v>
      </c>
      <c r="L328" s="237" t="s">
        <v>13020</v>
      </c>
      <c r="M328" s="232" t="s">
        <v>9383</v>
      </c>
      <c r="N328" s="429" t="s">
        <v>17350</v>
      </c>
    </row>
    <row r="329">
      <c r="A329" s="427">
        <v>328.0</v>
      </c>
      <c r="B329" s="237" t="s">
        <v>15295</v>
      </c>
      <c r="C329" s="237" t="s">
        <v>6918</v>
      </c>
      <c r="D329" s="428">
        <v>45261.0</v>
      </c>
      <c r="E329" s="237" t="s">
        <v>6933</v>
      </c>
      <c r="F329" s="237" t="s">
        <v>15296</v>
      </c>
      <c r="G329" s="237" t="s">
        <v>15297</v>
      </c>
      <c r="H329" s="237" t="s">
        <v>13136</v>
      </c>
      <c r="I329" s="237" t="s">
        <v>15298</v>
      </c>
      <c r="J329" s="237" t="s">
        <v>5012</v>
      </c>
      <c r="K329" s="237" t="s">
        <v>9633</v>
      </c>
      <c r="L329" s="237" t="s">
        <v>17503</v>
      </c>
      <c r="M329" s="232" t="s">
        <v>9383</v>
      </c>
      <c r="N329" s="429" t="s">
        <v>17350</v>
      </c>
    </row>
    <row r="330">
      <c r="A330" s="427">
        <v>329.0</v>
      </c>
      <c r="B330" s="237" t="s">
        <v>699</v>
      </c>
      <c r="C330" s="237" t="s">
        <v>6918</v>
      </c>
      <c r="D330" s="428">
        <v>45019.0</v>
      </c>
      <c r="E330" s="237" t="s">
        <v>6921</v>
      </c>
      <c r="F330" s="237" t="s">
        <v>14587</v>
      </c>
      <c r="G330" s="237" t="s">
        <v>14588</v>
      </c>
      <c r="H330" s="237" t="s">
        <v>11177</v>
      </c>
      <c r="I330" s="237" t="s">
        <v>703</v>
      </c>
      <c r="J330" s="237" t="s">
        <v>5012</v>
      </c>
      <c r="K330" s="237" t="s">
        <v>9633</v>
      </c>
      <c r="L330" s="237" t="s">
        <v>232</v>
      </c>
      <c r="M330" s="232" t="s">
        <v>9383</v>
      </c>
      <c r="N330" s="429" t="s">
        <v>17350</v>
      </c>
    </row>
    <row r="331">
      <c r="A331" s="427">
        <v>330.0</v>
      </c>
      <c r="B331" s="237" t="s">
        <v>15542</v>
      </c>
      <c r="C331" s="237" t="s">
        <v>6918</v>
      </c>
      <c r="D331" s="428">
        <v>45005.0</v>
      </c>
      <c r="E331" s="237" t="s">
        <v>6933</v>
      </c>
      <c r="F331" s="237" t="s">
        <v>11934</v>
      </c>
      <c r="G331" s="237" t="s">
        <v>15544</v>
      </c>
      <c r="H331" s="237" t="s">
        <v>10323</v>
      </c>
      <c r="I331" s="237" t="s">
        <v>15545</v>
      </c>
      <c r="J331" s="237" t="s">
        <v>5012</v>
      </c>
      <c r="K331" s="237" t="s">
        <v>9633</v>
      </c>
      <c r="L331" s="237" t="s">
        <v>13020</v>
      </c>
      <c r="M331" s="232" t="s">
        <v>9383</v>
      </c>
      <c r="N331" s="429" t="s">
        <v>17350</v>
      </c>
    </row>
    <row r="332">
      <c r="A332" s="427">
        <v>331.0</v>
      </c>
      <c r="B332" s="237" t="s">
        <v>4368</v>
      </c>
      <c r="C332" s="237" t="s">
        <v>8796</v>
      </c>
      <c r="D332" s="428">
        <v>45048.0</v>
      </c>
      <c r="E332" s="237" t="s">
        <v>6933</v>
      </c>
      <c r="F332" s="237" t="s">
        <v>17504</v>
      </c>
      <c r="G332" s="237" t="s">
        <v>17505</v>
      </c>
      <c r="H332" s="237" t="s">
        <v>11051</v>
      </c>
      <c r="I332" s="237" t="s">
        <v>6839</v>
      </c>
      <c r="J332" s="237" t="s">
        <v>5012</v>
      </c>
      <c r="K332" s="237" t="s">
        <v>9633</v>
      </c>
      <c r="L332" s="237" t="s">
        <v>17395</v>
      </c>
      <c r="M332" s="232" t="s">
        <v>9383</v>
      </c>
      <c r="N332" s="429" t="s">
        <v>17350</v>
      </c>
    </row>
    <row r="333">
      <c r="A333" s="427">
        <v>332.0</v>
      </c>
      <c r="B333" s="237" t="s">
        <v>3611</v>
      </c>
      <c r="C333" s="237" t="s">
        <v>8796</v>
      </c>
      <c r="D333" s="428">
        <v>44866.0</v>
      </c>
      <c r="E333" s="237" t="s">
        <v>6933</v>
      </c>
      <c r="F333" s="237" t="s">
        <v>17506</v>
      </c>
      <c r="G333" s="237" t="s">
        <v>17507</v>
      </c>
      <c r="H333" s="237" t="s">
        <v>10791</v>
      </c>
      <c r="I333" s="237" t="s">
        <v>6590</v>
      </c>
      <c r="J333" s="237" t="s">
        <v>5012</v>
      </c>
      <c r="K333" s="237" t="s">
        <v>9633</v>
      </c>
      <c r="L333" s="237" t="s">
        <v>17395</v>
      </c>
      <c r="M333" s="232" t="s">
        <v>9383</v>
      </c>
      <c r="N333" s="429" t="s">
        <v>17350</v>
      </c>
    </row>
    <row r="334">
      <c r="A334" s="427">
        <v>333.0</v>
      </c>
      <c r="B334" s="237" t="s">
        <v>7296</v>
      </c>
      <c r="C334" s="237" t="s">
        <v>7277</v>
      </c>
      <c r="D334" s="428">
        <v>45224.0</v>
      </c>
      <c r="E334" s="237" t="s">
        <v>6933</v>
      </c>
      <c r="F334" s="237" t="s">
        <v>12719</v>
      </c>
      <c r="G334" s="237" t="s">
        <v>12720</v>
      </c>
      <c r="H334" s="237" t="s">
        <v>10507</v>
      </c>
      <c r="I334" s="237" t="s">
        <v>12721</v>
      </c>
      <c r="J334" s="237" t="s">
        <v>5224</v>
      </c>
      <c r="K334" s="237" t="s">
        <v>1363</v>
      </c>
      <c r="L334" s="237" t="s">
        <v>5055</v>
      </c>
      <c r="M334" s="232" t="s">
        <v>9383</v>
      </c>
      <c r="N334" s="429" t="s">
        <v>17350</v>
      </c>
    </row>
    <row r="335">
      <c r="A335" s="427">
        <v>334.0</v>
      </c>
      <c r="B335" s="237" t="s">
        <v>7354</v>
      </c>
      <c r="C335" s="237" t="s">
        <v>7277</v>
      </c>
      <c r="D335" s="428">
        <v>43528.0</v>
      </c>
      <c r="E335" s="237" t="s">
        <v>6933</v>
      </c>
      <c r="F335" s="237" t="s">
        <v>12704</v>
      </c>
      <c r="G335" s="237" t="s">
        <v>12705</v>
      </c>
      <c r="H335" s="237" t="s">
        <v>12706</v>
      </c>
      <c r="I335" s="237" t="s">
        <v>12707</v>
      </c>
      <c r="J335" s="237" t="s">
        <v>5224</v>
      </c>
      <c r="K335" s="237" t="s">
        <v>1363</v>
      </c>
      <c r="L335" s="237" t="s">
        <v>3786</v>
      </c>
      <c r="M335" s="232" t="s">
        <v>9383</v>
      </c>
      <c r="N335" s="429" t="s">
        <v>17350</v>
      </c>
    </row>
    <row r="336">
      <c r="A336" s="427">
        <v>335.0</v>
      </c>
      <c r="B336" s="237" t="s">
        <v>15279</v>
      </c>
      <c r="C336" s="237" t="s">
        <v>6918</v>
      </c>
      <c r="D336" s="428">
        <v>44713.0</v>
      </c>
      <c r="E336" s="237" t="s">
        <v>7097</v>
      </c>
      <c r="F336" s="237" t="s">
        <v>11772</v>
      </c>
      <c r="G336" s="237" t="s">
        <v>15280</v>
      </c>
      <c r="H336" s="237" t="s">
        <v>11563</v>
      </c>
      <c r="I336" s="237" t="s">
        <v>15281</v>
      </c>
      <c r="J336" s="237" t="s">
        <v>5012</v>
      </c>
      <c r="K336" s="237" t="s">
        <v>1363</v>
      </c>
      <c r="L336" s="237" t="s">
        <v>17418</v>
      </c>
      <c r="M336" s="232" t="s">
        <v>9383</v>
      </c>
      <c r="N336" s="429" t="s">
        <v>17350</v>
      </c>
    </row>
    <row r="337">
      <c r="A337" s="427">
        <v>336.0</v>
      </c>
      <c r="B337" s="237" t="s">
        <v>3882</v>
      </c>
      <c r="C337" s="237" t="s">
        <v>6918</v>
      </c>
      <c r="D337" s="428">
        <v>44788.0</v>
      </c>
      <c r="E337" s="237" t="s">
        <v>6933</v>
      </c>
      <c r="F337" s="237" t="s">
        <v>15892</v>
      </c>
      <c r="G337" s="237" t="s">
        <v>17508</v>
      </c>
      <c r="H337" s="237" t="s">
        <v>10517</v>
      </c>
      <c r="I337" s="237" t="s">
        <v>6690</v>
      </c>
      <c r="J337" s="237" t="s">
        <v>5224</v>
      </c>
      <c r="K337" s="237" t="s">
        <v>1363</v>
      </c>
      <c r="L337" s="237" t="s">
        <v>2342</v>
      </c>
      <c r="M337" s="232" t="s">
        <v>9383</v>
      </c>
      <c r="N337" s="429" t="s">
        <v>17350</v>
      </c>
    </row>
    <row r="338">
      <c r="A338" s="427">
        <v>337.0</v>
      </c>
      <c r="B338" s="237" t="s">
        <v>5044</v>
      </c>
      <c r="C338" s="237" t="s">
        <v>6918</v>
      </c>
      <c r="D338" s="428">
        <v>45019.0</v>
      </c>
      <c r="E338" s="237" t="s">
        <v>6933</v>
      </c>
      <c r="F338" s="237" t="s">
        <v>11917</v>
      </c>
      <c r="G338" s="237" t="s">
        <v>11918</v>
      </c>
      <c r="H338" s="237" t="s">
        <v>11457</v>
      </c>
      <c r="I338" s="237" t="s">
        <v>5046</v>
      </c>
      <c r="J338" s="237" t="s">
        <v>5224</v>
      </c>
      <c r="K338" s="237" t="s">
        <v>1363</v>
      </c>
      <c r="L338" s="237" t="s">
        <v>2342</v>
      </c>
      <c r="M338" s="232" t="s">
        <v>9383</v>
      </c>
      <c r="N338" s="429" t="s">
        <v>17350</v>
      </c>
    </row>
    <row r="339">
      <c r="A339" s="427">
        <v>338.0</v>
      </c>
      <c r="B339" s="237" t="s">
        <v>14943</v>
      </c>
      <c r="C339" s="237" t="s">
        <v>6918</v>
      </c>
      <c r="D339" s="428">
        <v>45294.0</v>
      </c>
      <c r="E339" s="237" t="s">
        <v>6933</v>
      </c>
      <c r="F339" s="237" t="s">
        <v>14944</v>
      </c>
      <c r="G339" s="237" t="s">
        <v>14945</v>
      </c>
      <c r="H339" s="237" t="s">
        <v>14946</v>
      </c>
      <c r="I339" s="237" t="s">
        <v>14947</v>
      </c>
      <c r="J339" s="237" t="s">
        <v>5012</v>
      </c>
      <c r="K339" s="237" t="s">
        <v>1363</v>
      </c>
      <c r="L339" s="237" t="s">
        <v>17503</v>
      </c>
      <c r="M339" s="232" t="s">
        <v>9383</v>
      </c>
      <c r="N339" s="429" t="s">
        <v>17350</v>
      </c>
    </row>
    <row r="340">
      <c r="A340" s="427">
        <v>339.0</v>
      </c>
      <c r="B340" s="237" t="s">
        <v>4053</v>
      </c>
      <c r="C340" s="237" t="s">
        <v>6918</v>
      </c>
      <c r="D340" s="428">
        <v>45338.0</v>
      </c>
      <c r="E340" s="237" t="s">
        <v>6933</v>
      </c>
      <c r="F340" s="237" t="s">
        <v>9577</v>
      </c>
      <c r="G340" s="237" t="s">
        <v>17509</v>
      </c>
      <c r="H340" s="237" t="s">
        <v>17510</v>
      </c>
      <c r="I340" s="237" t="s">
        <v>6748</v>
      </c>
      <c r="J340" s="237" t="s">
        <v>5224</v>
      </c>
      <c r="K340" s="237" t="s">
        <v>1363</v>
      </c>
      <c r="L340" s="237" t="s">
        <v>2342</v>
      </c>
      <c r="M340" s="232" t="s">
        <v>9383</v>
      </c>
      <c r="N340" s="429" t="s">
        <v>17350</v>
      </c>
    </row>
    <row r="341">
      <c r="A341" s="427">
        <v>340.0</v>
      </c>
      <c r="B341" s="237" t="s">
        <v>8235</v>
      </c>
      <c r="C341" s="237" t="s">
        <v>6918</v>
      </c>
      <c r="D341" s="428">
        <v>44837.0</v>
      </c>
      <c r="E341" s="237" t="s">
        <v>6933</v>
      </c>
      <c r="F341" s="237" t="s">
        <v>14016</v>
      </c>
      <c r="G341" s="237" t="s">
        <v>14017</v>
      </c>
      <c r="H341" s="237" t="s">
        <v>14018</v>
      </c>
      <c r="I341" s="237" t="s">
        <v>14019</v>
      </c>
      <c r="J341" s="237" t="s">
        <v>5224</v>
      </c>
      <c r="K341" s="237" t="s">
        <v>14020</v>
      </c>
      <c r="L341" s="237" t="s">
        <v>2342</v>
      </c>
      <c r="M341" s="232" t="s">
        <v>9383</v>
      </c>
      <c r="N341" s="429" t="s">
        <v>17350</v>
      </c>
    </row>
    <row r="342">
      <c r="A342" s="427">
        <v>341.0</v>
      </c>
      <c r="B342" s="237" t="s">
        <v>13138</v>
      </c>
      <c r="C342" s="237" t="s">
        <v>6918</v>
      </c>
      <c r="D342" s="428">
        <v>44879.0</v>
      </c>
      <c r="E342" s="237" t="s">
        <v>6933</v>
      </c>
      <c r="F342" s="237" t="s">
        <v>3158</v>
      </c>
      <c r="G342" s="237" t="s">
        <v>13139</v>
      </c>
      <c r="H342" s="237" t="s">
        <v>13140</v>
      </c>
      <c r="I342" s="237" t="s">
        <v>5693</v>
      </c>
      <c r="J342" s="237" t="s">
        <v>5012</v>
      </c>
      <c r="K342" s="237" t="s">
        <v>9521</v>
      </c>
      <c r="L342" s="237" t="s">
        <v>232</v>
      </c>
      <c r="M342" s="232" t="s">
        <v>9383</v>
      </c>
      <c r="N342" s="429" t="s">
        <v>17350</v>
      </c>
    </row>
    <row r="343">
      <c r="A343" s="427">
        <v>342.0</v>
      </c>
      <c r="B343" s="237" t="s">
        <v>13611</v>
      </c>
      <c r="C343" s="237" t="s">
        <v>6918</v>
      </c>
      <c r="D343" s="428">
        <v>44186.0</v>
      </c>
      <c r="E343" s="237" t="s">
        <v>6933</v>
      </c>
      <c r="F343" s="237" t="s">
        <v>13613</v>
      </c>
      <c r="G343" s="237" t="s">
        <v>13614</v>
      </c>
      <c r="H343" s="237" t="s">
        <v>9579</v>
      </c>
      <c r="I343" s="237" t="s">
        <v>13615</v>
      </c>
      <c r="J343" s="237" t="s">
        <v>5012</v>
      </c>
      <c r="K343" s="237" t="s">
        <v>9521</v>
      </c>
      <c r="L343" s="237" t="s">
        <v>17418</v>
      </c>
      <c r="M343" s="232" t="s">
        <v>9383</v>
      </c>
      <c r="N343" s="429" t="s">
        <v>17350</v>
      </c>
    </row>
    <row r="344">
      <c r="A344" s="427">
        <v>343.0</v>
      </c>
      <c r="B344" s="237" t="s">
        <v>3410</v>
      </c>
      <c r="C344" s="237" t="s">
        <v>6918</v>
      </c>
      <c r="D344" s="428">
        <v>45261.0</v>
      </c>
      <c r="E344" s="237" t="s">
        <v>6933</v>
      </c>
      <c r="F344" s="237" t="s">
        <v>17511</v>
      </c>
      <c r="G344" s="237" t="s">
        <v>17512</v>
      </c>
      <c r="H344" s="237" t="s">
        <v>9732</v>
      </c>
      <c r="I344" s="237" t="s">
        <v>6490</v>
      </c>
      <c r="J344" s="237" t="s">
        <v>5012</v>
      </c>
      <c r="K344" s="237" t="s">
        <v>9521</v>
      </c>
      <c r="L344" s="237" t="s">
        <v>17422</v>
      </c>
      <c r="M344" s="232" t="s">
        <v>9383</v>
      </c>
      <c r="N344" s="429" t="s">
        <v>17350</v>
      </c>
    </row>
    <row r="345">
      <c r="A345" s="427">
        <v>344.0</v>
      </c>
      <c r="B345" s="237" t="s">
        <v>13016</v>
      </c>
      <c r="C345" s="237" t="s">
        <v>6918</v>
      </c>
      <c r="D345" s="428">
        <v>45266.0</v>
      </c>
      <c r="E345" s="237" t="s">
        <v>6933</v>
      </c>
      <c r="F345" s="237" t="s">
        <v>13017</v>
      </c>
      <c r="G345" s="237" t="s">
        <v>13018</v>
      </c>
      <c r="H345" s="237" t="s">
        <v>13017</v>
      </c>
      <c r="I345" s="237" t="s">
        <v>13019</v>
      </c>
      <c r="J345" s="237" t="s">
        <v>5012</v>
      </c>
      <c r="K345" s="237" t="s">
        <v>9521</v>
      </c>
      <c r="L345" s="237" t="s">
        <v>17422</v>
      </c>
      <c r="M345" s="232" t="s">
        <v>9383</v>
      </c>
      <c r="N345" s="429" t="s">
        <v>17350</v>
      </c>
    </row>
    <row r="346">
      <c r="A346" s="427">
        <v>345.0</v>
      </c>
      <c r="B346" s="237" t="s">
        <v>3272</v>
      </c>
      <c r="C346" s="237" t="s">
        <v>6918</v>
      </c>
      <c r="D346" s="428">
        <v>45078.0</v>
      </c>
      <c r="E346" s="237" t="s">
        <v>6933</v>
      </c>
      <c r="F346" s="237" t="s">
        <v>10859</v>
      </c>
      <c r="G346" s="237" t="s">
        <v>17513</v>
      </c>
      <c r="H346" s="237" t="s">
        <v>10020</v>
      </c>
      <c r="I346" s="237" t="s">
        <v>6441</v>
      </c>
      <c r="J346" s="237" t="s">
        <v>5012</v>
      </c>
      <c r="K346" s="237" t="s">
        <v>9521</v>
      </c>
      <c r="L346" s="237" t="s">
        <v>3857</v>
      </c>
      <c r="M346" s="232" t="s">
        <v>9383</v>
      </c>
      <c r="N346" s="429" t="s">
        <v>17350</v>
      </c>
    </row>
    <row r="347">
      <c r="A347" s="427">
        <v>346.0</v>
      </c>
      <c r="B347" s="237" t="s">
        <v>9191</v>
      </c>
      <c r="C347" s="237" t="s">
        <v>6918</v>
      </c>
      <c r="D347" s="428">
        <v>45231.0</v>
      </c>
      <c r="E347" s="237" t="s">
        <v>6921</v>
      </c>
      <c r="F347" s="237" t="s">
        <v>14055</v>
      </c>
      <c r="G347" s="237" t="s">
        <v>14056</v>
      </c>
      <c r="H347" s="237" t="s">
        <v>11596</v>
      </c>
      <c r="I347" s="237" t="s">
        <v>14057</v>
      </c>
      <c r="J347" s="237" t="s">
        <v>5224</v>
      </c>
      <c r="K347" s="237" t="s">
        <v>12359</v>
      </c>
      <c r="L347" s="237" t="s">
        <v>17502</v>
      </c>
      <c r="M347" s="232" t="s">
        <v>9383</v>
      </c>
      <c r="N347" s="429" t="s">
        <v>17350</v>
      </c>
    </row>
    <row r="348">
      <c r="A348" s="427">
        <v>347.0</v>
      </c>
      <c r="B348" s="237" t="s">
        <v>9171</v>
      </c>
      <c r="C348" s="237" t="s">
        <v>9157</v>
      </c>
      <c r="D348" s="428">
        <v>45362.0</v>
      </c>
      <c r="E348" s="237" t="s">
        <v>6933</v>
      </c>
      <c r="F348" s="237" t="s">
        <v>9577</v>
      </c>
      <c r="G348" s="237" t="s">
        <v>12357</v>
      </c>
      <c r="H348" s="237" t="s">
        <v>11014</v>
      </c>
      <c r="I348" s="237" t="s">
        <v>12358</v>
      </c>
      <c r="J348" s="237" t="s">
        <v>5224</v>
      </c>
      <c r="K348" s="237" t="s">
        <v>12359</v>
      </c>
      <c r="L348" s="237" t="s">
        <v>17459</v>
      </c>
      <c r="M348" s="232" t="s">
        <v>9383</v>
      </c>
      <c r="N348" s="429" t="s">
        <v>17350</v>
      </c>
    </row>
    <row r="349">
      <c r="A349" s="427">
        <v>348.0</v>
      </c>
      <c r="B349" s="237" t="s">
        <v>4933</v>
      </c>
      <c r="C349" s="237" t="s">
        <v>6918</v>
      </c>
      <c r="D349" s="428">
        <v>45223.0</v>
      </c>
      <c r="E349" s="237" t="s">
        <v>6933</v>
      </c>
      <c r="F349" s="237" t="s">
        <v>13901</v>
      </c>
      <c r="G349" s="237" t="s">
        <v>13909</v>
      </c>
      <c r="H349" s="237" t="s">
        <v>10504</v>
      </c>
      <c r="I349" s="237" t="s">
        <v>4935</v>
      </c>
      <c r="J349" s="237" t="s">
        <v>5224</v>
      </c>
      <c r="K349" s="237" t="s">
        <v>13910</v>
      </c>
      <c r="L349" s="237" t="s">
        <v>2342</v>
      </c>
      <c r="M349" s="232" t="s">
        <v>9383</v>
      </c>
      <c r="N349" s="429" t="s">
        <v>17350</v>
      </c>
    </row>
    <row r="350">
      <c r="A350" s="427">
        <v>349.0</v>
      </c>
      <c r="B350" s="237" t="s">
        <v>4940</v>
      </c>
      <c r="C350" s="237" t="s">
        <v>6918</v>
      </c>
      <c r="D350" s="428">
        <v>44713.0</v>
      </c>
      <c r="E350" s="237" t="s">
        <v>6933</v>
      </c>
      <c r="F350" s="237" t="s">
        <v>15796</v>
      </c>
      <c r="G350" s="237" t="s">
        <v>15797</v>
      </c>
      <c r="H350" s="237" t="s">
        <v>10831</v>
      </c>
      <c r="I350" s="237" t="s">
        <v>4941</v>
      </c>
      <c r="J350" s="237" t="s">
        <v>5224</v>
      </c>
      <c r="K350" s="237" t="s">
        <v>15798</v>
      </c>
      <c r="L350" s="237" t="s">
        <v>2342</v>
      </c>
      <c r="M350" s="232" t="s">
        <v>9383</v>
      </c>
      <c r="N350" s="429" t="s">
        <v>17350</v>
      </c>
    </row>
    <row r="351">
      <c r="A351" s="427">
        <v>350.0</v>
      </c>
      <c r="B351" s="237" t="s">
        <v>12666</v>
      </c>
      <c r="C351" s="237" t="s">
        <v>7277</v>
      </c>
      <c r="D351" s="428">
        <v>45266.0</v>
      </c>
      <c r="E351" s="237" t="s">
        <v>6933</v>
      </c>
      <c r="F351" s="237" t="s">
        <v>11192</v>
      </c>
      <c r="G351" s="237" t="s">
        <v>12667</v>
      </c>
      <c r="H351" s="237" t="s">
        <v>10709</v>
      </c>
      <c r="I351" s="237" t="s">
        <v>5866</v>
      </c>
      <c r="J351" s="237" t="s">
        <v>5224</v>
      </c>
      <c r="K351" s="237" t="s">
        <v>12668</v>
      </c>
      <c r="L351" s="237" t="s">
        <v>290</v>
      </c>
      <c r="M351" s="232" t="s">
        <v>9383</v>
      </c>
      <c r="N351" s="429" t="s">
        <v>17350</v>
      </c>
    </row>
    <row r="352">
      <c r="A352" s="427">
        <v>351.0</v>
      </c>
      <c r="B352" s="237" t="s">
        <v>9183</v>
      </c>
      <c r="C352" s="237" t="s">
        <v>6918</v>
      </c>
      <c r="D352" s="428">
        <v>40709.0</v>
      </c>
      <c r="E352" s="237" t="s">
        <v>6921</v>
      </c>
      <c r="F352" s="237" t="s">
        <v>12864</v>
      </c>
      <c r="G352" s="237" t="s">
        <v>14895</v>
      </c>
      <c r="H352" s="237" t="s">
        <v>14896</v>
      </c>
      <c r="I352" s="237" t="s">
        <v>14897</v>
      </c>
      <c r="J352" s="237" t="s">
        <v>5224</v>
      </c>
      <c r="K352" s="237" t="s">
        <v>10056</v>
      </c>
      <c r="L352" s="237" t="s">
        <v>5011</v>
      </c>
      <c r="M352" s="232" t="s">
        <v>9383</v>
      </c>
      <c r="N352" s="429" t="s">
        <v>17350</v>
      </c>
    </row>
    <row r="353">
      <c r="A353" s="427">
        <v>352.0</v>
      </c>
      <c r="B353" s="237" t="s">
        <v>3152</v>
      </c>
      <c r="C353" s="237" t="s">
        <v>6918</v>
      </c>
      <c r="D353" s="428">
        <v>40316.0</v>
      </c>
      <c r="E353" s="237" t="s">
        <v>6921</v>
      </c>
      <c r="F353" s="237" t="s">
        <v>15248</v>
      </c>
      <c r="G353" s="237" t="s">
        <v>15249</v>
      </c>
      <c r="H353" s="237" t="s">
        <v>12957</v>
      </c>
      <c r="I353" s="237" t="s">
        <v>6434</v>
      </c>
      <c r="J353" s="237" t="s">
        <v>5224</v>
      </c>
      <c r="K353" s="237" t="s">
        <v>10056</v>
      </c>
      <c r="L353" s="237" t="s">
        <v>9977</v>
      </c>
      <c r="M353" s="232" t="s">
        <v>9383</v>
      </c>
      <c r="N353" s="429" t="s">
        <v>17350</v>
      </c>
    </row>
    <row r="354">
      <c r="A354" s="427">
        <v>353.0</v>
      </c>
      <c r="B354" s="237" t="s">
        <v>7820</v>
      </c>
      <c r="C354" s="237" t="s">
        <v>6918</v>
      </c>
      <c r="D354" s="428">
        <v>40427.0</v>
      </c>
      <c r="E354" s="237" t="s">
        <v>6933</v>
      </c>
      <c r="F354" s="237" t="s">
        <v>15800</v>
      </c>
      <c r="G354" s="237" t="s">
        <v>14427</v>
      </c>
      <c r="H354" s="237" t="s">
        <v>9418</v>
      </c>
      <c r="I354" s="237" t="s">
        <v>15801</v>
      </c>
      <c r="J354" s="237" t="s">
        <v>5224</v>
      </c>
      <c r="K354" s="237" t="s">
        <v>10056</v>
      </c>
      <c r="L354" s="237" t="s">
        <v>7809</v>
      </c>
      <c r="M354" s="232" t="s">
        <v>9383</v>
      </c>
      <c r="N354" s="429" t="s">
        <v>17350</v>
      </c>
    </row>
    <row r="355">
      <c r="A355" s="427">
        <v>354.0</v>
      </c>
      <c r="B355" s="237" t="s">
        <v>8526</v>
      </c>
      <c r="C355" s="237" t="s">
        <v>6918</v>
      </c>
      <c r="D355" s="428">
        <v>44594.0</v>
      </c>
      <c r="E355" s="237" t="s">
        <v>6933</v>
      </c>
      <c r="F355" s="237" t="s">
        <v>13032</v>
      </c>
      <c r="G355" s="237" t="s">
        <v>13033</v>
      </c>
      <c r="H355" s="237" t="s">
        <v>13034</v>
      </c>
      <c r="I355" s="237" t="s">
        <v>13035</v>
      </c>
      <c r="J355" s="237" t="s">
        <v>5224</v>
      </c>
      <c r="K355" s="237" t="s">
        <v>10056</v>
      </c>
      <c r="L355" s="237" t="s">
        <v>2081</v>
      </c>
      <c r="M355" s="232" t="s">
        <v>9383</v>
      </c>
      <c r="N355" s="429" t="s">
        <v>17350</v>
      </c>
    </row>
    <row r="356">
      <c r="A356" s="427">
        <v>355.0</v>
      </c>
      <c r="B356" s="237" t="s">
        <v>7484</v>
      </c>
      <c r="C356" s="237" t="s">
        <v>6918</v>
      </c>
      <c r="D356" s="428">
        <v>42948.0</v>
      </c>
      <c r="E356" s="237" t="s">
        <v>6921</v>
      </c>
      <c r="F356" s="237" t="s">
        <v>15700</v>
      </c>
      <c r="G356" s="237" t="s">
        <v>15701</v>
      </c>
      <c r="H356" s="237" t="s">
        <v>9659</v>
      </c>
      <c r="I356" s="237" t="s">
        <v>15702</v>
      </c>
      <c r="J356" s="237" t="s">
        <v>5224</v>
      </c>
      <c r="K356" s="237" t="s">
        <v>10056</v>
      </c>
      <c r="L356" s="237" t="s">
        <v>14869</v>
      </c>
      <c r="M356" s="232" t="s">
        <v>9383</v>
      </c>
      <c r="N356" s="429" t="s">
        <v>17350</v>
      </c>
    </row>
    <row r="357">
      <c r="A357" s="427">
        <v>356.0</v>
      </c>
      <c r="B357" s="237" t="s">
        <v>10050</v>
      </c>
      <c r="C357" s="237" t="s">
        <v>10040</v>
      </c>
      <c r="D357" s="428">
        <v>43472.0</v>
      </c>
      <c r="E357" s="237" t="s">
        <v>6933</v>
      </c>
      <c r="F357" s="237" t="s">
        <v>10052</v>
      </c>
      <c r="G357" s="237" t="s">
        <v>10053</v>
      </c>
      <c r="H357" s="237" t="s">
        <v>10054</v>
      </c>
      <c r="I357" s="237" t="s">
        <v>10055</v>
      </c>
      <c r="J357" s="237" t="s">
        <v>5224</v>
      </c>
      <c r="K357" s="237" t="s">
        <v>10056</v>
      </c>
      <c r="L357" s="237" t="s">
        <v>10057</v>
      </c>
      <c r="M357" s="232" t="s">
        <v>9383</v>
      </c>
      <c r="N357" s="429" t="s">
        <v>17350</v>
      </c>
    </row>
    <row r="358">
      <c r="A358" s="427">
        <v>357.0</v>
      </c>
      <c r="B358" s="237" t="s">
        <v>17514</v>
      </c>
      <c r="C358" s="237" t="s">
        <v>10103</v>
      </c>
      <c r="D358" s="428">
        <v>43227.0</v>
      </c>
      <c r="E358" s="237" t="s">
        <v>6921</v>
      </c>
      <c r="F358" s="237" t="s">
        <v>12447</v>
      </c>
      <c r="G358" s="237" t="s">
        <v>12448</v>
      </c>
      <c r="H358" s="237" t="s">
        <v>10679</v>
      </c>
      <c r="I358" s="237" t="s">
        <v>12449</v>
      </c>
      <c r="J358" s="237" t="s">
        <v>5224</v>
      </c>
      <c r="K358" s="237" t="s">
        <v>10056</v>
      </c>
      <c r="L358" s="237" t="s">
        <v>17457</v>
      </c>
      <c r="M358" s="232" t="s">
        <v>9383</v>
      </c>
      <c r="N358" s="429" t="s">
        <v>17350</v>
      </c>
    </row>
    <row r="359">
      <c r="A359" s="427">
        <v>358.0</v>
      </c>
      <c r="B359" s="237" t="s">
        <v>7860</v>
      </c>
      <c r="C359" s="237" t="s">
        <v>6918</v>
      </c>
      <c r="D359" s="428">
        <v>40148.0</v>
      </c>
      <c r="E359" s="237" t="s">
        <v>6933</v>
      </c>
      <c r="F359" s="237" t="s">
        <v>16009</v>
      </c>
      <c r="G359" s="237" t="s">
        <v>16010</v>
      </c>
      <c r="H359" s="237" t="s">
        <v>11503</v>
      </c>
      <c r="I359" s="237" t="s">
        <v>16011</v>
      </c>
      <c r="J359" s="237" t="s">
        <v>5224</v>
      </c>
      <c r="K359" s="237" t="s">
        <v>10056</v>
      </c>
      <c r="L359" s="237" t="s">
        <v>7857</v>
      </c>
      <c r="M359" s="232" t="s">
        <v>9383</v>
      </c>
      <c r="N359" s="429" t="s">
        <v>17350</v>
      </c>
    </row>
    <row r="360">
      <c r="A360" s="427">
        <v>359.0</v>
      </c>
      <c r="B360" s="237" t="s">
        <v>3262</v>
      </c>
      <c r="C360" s="237" t="s">
        <v>8796</v>
      </c>
      <c r="D360" s="428">
        <v>45537.0</v>
      </c>
      <c r="E360" s="237" t="s">
        <v>6933</v>
      </c>
      <c r="F360" s="237" t="s">
        <v>17515</v>
      </c>
      <c r="G360" s="237" t="s">
        <v>17516</v>
      </c>
      <c r="H360" s="237" t="s">
        <v>17517</v>
      </c>
      <c r="I360" s="237" t="s">
        <v>6437</v>
      </c>
      <c r="J360" s="237" t="s">
        <v>5224</v>
      </c>
      <c r="K360" s="237" t="s">
        <v>17518</v>
      </c>
      <c r="L360" s="237" t="s">
        <v>1167</v>
      </c>
      <c r="M360" s="232" t="s">
        <v>9383</v>
      </c>
      <c r="N360" s="429" t="s">
        <v>17350</v>
      </c>
    </row>
    <row r="361">
      <c r="A361" s="427">
        <v>360.0</v>
      </c>
      <c r="B361" s="237" t="s">
        <v>16479</v>
      </c>
      <c r="C361" s="237" t="s">
        <v>16470</v>
      </c>
      <c r="D361" s="428">
        <v>40897.0</v>
      </c>
      <c r="E361" s="237" t="s">
        <v>7239</v>
      </c>
      <c r="F361" s="237" t="s">
        <v>16481</v>
      </c>
      <c r="G361" s="237" t="s">
        <v>16482</v>
      </c>
      <c r="H361" s="237" t="s">
        <v>11896</v>
      </c>
      <c r="I361" s="237" t="s">
        <v>16483</v>
      </c>
      <c r="J361" s="237" t="s">
        <v>5012</v>
      </c>
      <c r="K361" s="237" t="s">
        <v>16484</v>
      </c>
      <c r="L361" s="237" t="s">
        <v>16463</v>
      </c>
      <c r="M361" s="232" t="s">
        <v>9383</v>
      </c>
      <c r="N361" s="429" t="s">
        <v>17350</v>
      </c>
    </row>
    <row r="362">
      <c r="A362" s="427">
        <v>361.0</v>
      </c>
      <c r="B362" s="237" t="s">
        <v>12575</v>
      </c>
      <c r="C362" s="237" t="s">
        <v>1652</v>
      </c>
      <c r="D362" s="428">
        <v>45201.0</v>
      </c>
      <c r="E362" s="237" t="s">
        <v>6921</v>
      </c>
      <c r="F362" s="237" t="s">
        <v>12576</v>
      </c>
      <c r="G362" s="237" t="s">
        <v>12577</v>
      </c>
      <c r="H362" s="237" t="s">
        <v>12578</v>
      </c>
      <c r="I362" s="237" t="s">
        <v>12579</v>
      </c>
      <c r="J362" s="237" t="s">
        <v>5012</v>
      </c>
      <c r="K362" s="237" t="s">
        <v>12580</v>
      </c>
      <c r="L362" s="237" t="s">
        <v>368</v>
      </c>
      <c r="M362" s="232" t="s">
        <v>9383</v>
      </c>
      <c r="N362" s="429" t="s">
        <v>17350</v>
      </c>
    </row>
    <row r="363">
      <c r="A363" s="427">
        <v>362.0</v>
      </c>
      <c r="B363" s="237" t="s">
        <v>14075</v>
      </c>
      <c r="C363" s="237" t="s">
        <v>6918</v>
      </c>
      <c r="D363" s="428">
        <v>45170.0</v>
      </c>
      <c r="E363" s="237" t="s">
        <v>6921</v>
      </c>
      <c r="F363" s="237" t="s">
        <v>14076</v>
      </c>
      <c r="G363" s="237" t="s">
        <v>14077</v>
      </c>
      <c r="H363" s="237" t="s">
        <v>10495</v>
      </c>
      <c r="I363" s="237" t="s">
        <v>14078</v>
      </c>
      <c r="J363" s="237" t="s">
        <v>5224</v>
      </c>
      <c r="K363" s="237" t="s">
        <v>13204</v>
      </c>
      <c r="L363" s="237" t="s">
        <v>17519</v>
      </c>
      <c r="M363" s="232" t="s">
        <v>9383</v>
      </c>
      <c r="N363" s="429" t="s">
        <v>17350</v>
      </c>
    </row>
    <row r="364">
      <c r="A364" s="427">
        <v>363.0</v>
      </c>
      <c r="B364" s="237" t="s">
        <v>9698</v>
      </c>
      <c r="C364" s="237" t="s">
        <v>8796</v>
      </c>
      <c r="D364" s="428">
        <v>45033.0</v>
      </c>
      <c r="E364" s="237" t="s">
        <v>6921</v>
      </c>
      <c r="F364" s="237" t="s">
        <v>9700</v>
      </c>
      <c r="G364" s="237" t="s">
        <v>9701</v>
      </c>
      <c r="H364" s="237" t="s">
        <v>9637</v>
      </c>
      <c r="I364" s="237" t="s">
        <v>9702</v>
      </c>
      <c r="J364" s="237" t="s">
        <v>5012</v>
      </c>
      <c r="K364" s="237" t="s">
        <v>9703</v>
      </c>
      <c r="L364" s="237" t="s">
        <v>17458</v>
      </c>
      <c r="M364" s="232" t="s">
        <v>9383</v>
      </c>
      <c r="N364" s="429" t="s">
        <v>17350</v>
      </c>
    </row>
    <row r="365">
      <c r="A365" s="427">
        <v>364.0</v>
      </c>
      <c r="B365" s="237" t="s">
        <v>13077</v>
      </c>
      <c r="C365" s="237" t="s">
        <v>6918</v>
      </c>
      <c r="D365" s="428">
        <v>44565.0</v>
      </c>
      <c r="E365" s="237" t="s">
        <v>6921</v>
      </c>
      <c r="F365" s="237" t="s">
        <v>10176</v>
      </c>
      <c r="G365" s="237" t="s">
        <v>13079</v>
      </c>
      <c r="H365" s="237" t="s">
        <v>10079</v>
      </c>
      <c r="I365" s="237" t="s">
        <v>13080</v>
      </c>
      <c r="J365" s="237" t="s">
        <v>5012</v>
      </c>
      <c r="K365" s="237" t="s">
        <v>9703</v>
      </c>
      <c r="L365" s="237" t="s">
        <v>17371</v>
      </c>
      <c r="M365" s="232" t="s">
        <v>9383</v>
      </c>
      <c r="N365" s="429" t="s">
        <v>17350</v>
      </c>
    </row>
    <row r="366">
      <c r="A366" s="427">
        <v>365.0</v>
      </c>
      <c r="B366" s="237" t="s">
        <v>14437</v>
      </c>
      <c r="C366" s="237" t="s">
        <v>6918</v>
      </c>
      <c r="D366" s="428">
        <v>44621.0</v>
      </c>
      <c r="E366" s="237" t="s">
        <v>6921</v>
      </c>
      <c r="F366" s="237" t="s">
        <v>9707</v>
      </c>
      <c r="G366" s="237" t="s">
        <v>14438</v>
      </c>
      <c r="H366" s="237" t="s">
        <v>9388</v>
      </c>
      <c r="I366" s="237" t="s">
        <v>14439</v>
      </c>
      <c r="J366" s="237" t="s">
        <v>5012</v>
      </c>
      <c r="K366" s="237" t="s">
        <v>9703</v>
      </c>
      <c r="L366" s="237" t="s">
        <v>17373</v>
      </c>
      <c r="M366" s="232" t="s">
        <v>9383</v>
      </c>
      <c r="N366" s="429" t="s">
        <v>17350</v>
      </c>
    </row>
    <row r="367">
      <c r="A367" s="427">
        <v>366.0</v>
      </c>
      <c r="B367" s="237" t="s">
        <v>644</v>
      </c>
      <c r="C367" s="237" t="s">
        <v>8796</v>
      </c>
      <c r="D367" s="428">
        <v>45428.0</v>
      </c>
      <c r="E367" s="237" t="s">
        <v>6921</v>
      </c>
      <c r="F367" s="237" t="s">
        <v>9964</v>
      </c>
      <c r="G367" s="237" t="s">
        <v>9965</v>
      </c>
      <c r="H367" s="237" t="s">
        <v>9966</v>
      </c>
      <c r="I367" s="237" t="s">
        <v>648</v>
      </c>
      <c r="J367" s="237" t="s">
        <v>5012</v>
      </c>
      <c r="K367" s="237" t="s">
        <v>9703</v>
      </c>
      <c r="L367" s="237" t="s">
        <v>17387</v>
      </c>
      <c r="M367" s="232" t="s">
        <v>9383</v>
      </c>
      <c r="N367" s="429" t="s">
        <v>17350</v>
      </c>
    </row>
    <row r="368">
      <c r="A368" s="427">
        <v>367.0</v>
      </c>
      <c r="B368" s="237" t="s">
        <v>10011</v>
      </c>
      <c r="C368" s="237" t="s">
        <v>8796</v>
      </c>
      <c r="D368" s="428">
        <v>45140.0</v>
      </c>
      <c r="E368" s="237" t="s">
        <v>6921</v>
      </c>
      <c r="F368" s="237" t="s">
        <v>10013</v>
      </c>
      <c r="G368" s="237" t="s">
        <v>10014</v>
      </c>
      <c r="H368" s="237" t="s">
        <v>10015</v>
      </c>
      <c r="I368" s="237" t="s">
        <v>10016</v>
      </c>
      <c r="J368" s="237" t="s">
        <v>5012</v>
      </c>
      <c r="K368" s="237" t="s">
        <v>9703</v>
      </c>
      <c r="L368" s="237" t="s">
        <v>17387</v>
      </c>
      <c r="M368" s="232" t="s">
        <v>9383</v>
      </c>
      <c r="N368" s="429" t="s">
        <v>17350</v>
      </c>
    </row>
    <row r="369">
      <c r="A369" s="427">
        <v>368.0</v>
      </c>
      <c r="B369" s="237" t="s">
        <v>13415</v>
      </c>
      <c r="C369" s="237" t="s">
        <v>6918</v>
      </c>
      <c r="D369" s="428">
        <v>45721.0</v>
      </c>
      <c r="E369" s="237" t="s">
        <v>6921</v>
      </c>
      <c r="F369" s="237" t="s">
        <v>13417</v>
      </c>
      <c r="G369" s="237" t="s">
        <v>13418</v>
      </c>
      <c r="H369" s="237" t="s">
        <v>13419</v>
      </c>
      <c r="I369" s="237" t="s">
        <v>13420</v>
      </c>
      <c r="J369" s="237" t="s">
        <v>5012</v>
      </c>
      <c r="K369" s="237" t="s">
        <v>9703</v>
      </c>
      <c r="L369" s="237" t="s">
        <v>3129</v>
      </c>
      <c r="M369" s="232" t="s">
        <v>9391</v>
      </c>
      <c r="N369" s="429" t="s">
        <v>17350</v>
      </c>
    </row>
    <row r="370">
      <c r="A370" s="427">
        <v>369.0</v>
      </c>
      <c r="B370" s="237" t="s">
        <v>13627</v>
      </c>
      <c r="C370" s="237" t="s">
        <v>6918</v>
      </c>
      <c r="D370" s="428">
        <v>38839.0</v>
      </c>
      <c r="E370" s="237" t="s">
        <v>6921</v>
      </c>
      <c r="F370" s="237" t="s">
        <v>13629</v>
      </c>
      <c r="G370" s="237" t="s">
        <v>13630</v>
      </c>
      <c r="H370" s="237" t="s">
        <v>11788</v>
      </c>
      <c r="I370" s="237" t="s">
        <v>13631</v>
      </c>
      <c r="J370" s="237" t="s">
        <v>5012</v>
      </c>
      <c r="K370" s="237" t="s">
        <v>9703</v>
      </c>
      <c r="L370" s="237" t="s">
        <v>17382</v>
      </c>
      <c r="M370" s="232" t="s">
        <v>9383</v>
      </c>
      <c r="N370" s="429" t="s">
        <v>17350</v>
      </c>
    </row>
    <row r="371">
      <c r="A371" s="427">
        <v>370.0</v>
      </c>
      <c r="B371" s="237" t="s">
        <v>4127</v>
      </c>
      <c r="C371" s="237" t="s">
        <v>6918</v>
      </c>
      <c r="D371" s="428">
        <v>45140.0</v>
      </c>
      <c r="E371" s="237" t="s">
        <v>6921</v>
      </c>
      <c r="F371" s="237" t="s">
        <v>17520</v>
      </c>
      <c r="G371" s="237" t="s">
        <v>17521</v>
      </c>
      <c r="H371" s="237" t="s">
        <v>13655</v>
      </c>
      <c r="I371" s="237" t="s">
        <v>6766</v>
      </c>
      <c r="J371" s="237" t="s">
        <v>5012</v>
      </c>
      <c r="K371" s="237" t="s">
        <v>9703</v>
      </c>
      <c r="L371" s="237" t="s">
        <v>17376</v>
      </c>
      <c r="M371" s="232" t="s">
        <v>9383</v>
      </c>
      <c r="N371" s="429" t="s">
        <v>17350</v>
      </c>
    </row>
    <row r="372">
      <c r="A372" s="427">
        <v>371.0</v>
      </c>
      <c r="B372" s="237" t="s">
        <v>13517</v>
      </c>
      <c r="C372" s="237" t="s">
        <v>6918</v>
      </c>
      <c r="D372" s="428">
        <v>43633.0</v>
      </c>
      <c r="E372" s="237" t="s">
        <v>6921</v>
      </c>
      <c r="F372" s="237" t="s">
        <v>13518</v>
      </c>
      <c r="G372" s="237" t="s">
        <v>13519</v>
      </c>
      <c r="H372" s="237" t="s">
        <v>9669</v>
      </c>
      <c r="I372" s="237" t="s">
        <v>13520</v>
      </c>
      <c r="J372" s="237" t="s">
        <v>5012</v>
      </c>
      <c r="K372" s="237" t="s">
        <v>9703</v>
      </c>
      <c r="L372" s="237" t="s">
        <v>17458</v>
      </c>
      <c r="M372" s="232" t="s">
        <v>9383</v>
      </c>
      <c r="N372" s="429" t="s">
        <v>17350</v>
      </c>
    </row>
    <row r="373">
      <c r="A373" s="427">
        <v>372.0</v>
      </c>
      <c r="B373" s="237" t="s">
        <v>13967</v>
      </c>
      <c r="C373" s="237" t="s">
        <v>6918</v>
      </c>
      <c r="D373" s="428">
        <v>41610.0</v>
      </c>
      <c r="E373" s="237" t="s">
        <v>6921</v>
      </c>
      <c r="F373" s="237" t="s">
        <v>13968</v>
      </c>
      <c r="G373" s="237" t="s">
        <v>13969</v>
      </c>
      <c r="H373" s="237" t="s">
        <v>13970</v>
      </c>
      <c r="I373" s="237" t="s">
        <v>13971</v>
      </c>
      <c r="J373" s="237" t="s">
        <v>5012</v>
      </c>
      <c r="K373" s="237" t="s">
        <v>9703</v>
      </c>
      <c r="L373" s="237" t="s">
        <v>17391</v>
      </c>
      <c r="M373" s="232" t="s">
        <v>9383</v>
      </c>
      <c r="N373" s="429" t="s">
        <v>17350</v>
      </c>
    </row>
    <row r="374">
      <c r="A374" s="427">
        <v>373.0</v>
      </c>
      <c r="B374" s="237" t="s">
        <v>15554</v>
      </c>
      <c r="C374" s="237" t="s">
        <v>6918</v>
      </c>
      <c r="D374" s="428">
        <v>45124.0</v>
      </c>
      <c r="E374" s="237" t="s">
        <v>6921</v>
      </c>
      <c r="F374" s="237" t="s">
        <v>15555</v>
      </c>
      <c r="G374" s="237" t="s">
        <v>15556</v>
      </c>
      <c r="H374" s="237" t="s">
        <v>10048</v>
      </c>
      <c r="I374" s="237" t="s">
        <v>15557</v>
      </c>
      <c r="J374" s="237" t="s">
        <v>5012</v>
      </c>
      <c r="K374" s="237" t="s">
        <v>9703</v>
      </c>
      <c r="L374" s="237" t="s">
        <v>17367</v>
      </c>
      <c r="M374" s="232" t="s">
        <v>9383</v>
      </c>
      <c r="N374" s="429" t="s">
        <v>17350</v>
      </c>
    </row>
    <row r="375">
      <c r="A375" s="427">
        <v>374.0</v>
      </c>
      <c r="B375" s="237" t="s">
        <v>13887</v>
      </c>
      <c r="C375" s="237" t="s">
        <v>6918</v>
      </c>
      <c r="D375" s="428">
        <v>45110.0</v>
      </c>
      <c r="E375" s="237" t="s">
        <v>6921</v>
      </c>
      <c r="F375" s="237" t="s">
        <v>13888</v>
      </c>
      <c r="G375" s="237" t="s">
        <v>13889</v>
      </c>
      <c r="H375" s="237" t="s">
        <v>13890</v>
      </c>
      <c r="I375" s="237" t="s">
        <v>5552</v>
      </c>
      <c r="J375" s="237" t="s">
        <v>5012</v>
      </c>
      <c r="K375" s="237" t="s">
        <v>9703</v>
      </c>
      <c r="L375" s="237" t="s">
        <v>3280</v>
      </c>
      <c r="M375" s="232" t="s">
        <v>9383</v>
      </c>
      <c r="N375" s="429" t="s">
        <v>17350</v>
      </c>
    </row>
    <row r="376">
      <c r="A376" s="427">
        <v>375.0</v>
      </c>
      <c r="B376" s="237" t="s">
        <v>15522</v>
      </c>
      <c r="C376" s="237" t="s">
        <v>6918</v>
      </c>
      <c r="D376" s="428">
        <v>44305.0</v>
      </c>
      <c r="E376" s="237" t="s">
        <v>6921</v>
      </c>
      <c r="F376" s="237" t="s">
        <v>10098</v>
      </c>
      <c r="G376" s="237" t="s">
        <v>15523</v>
      </c>
      <c r="H376" s="237" t="s">
        <v>9654</v>
      </c>
      <c r="I376" s="237" t="s">
        <v>15524</v>
      </c>
      <c r="J376" s="237" t="s">
        <v>5012</v>
      </c>
      <c r="K376" s="237" t="s">
        <v>9703</v>
      </c>
      <c r="L376" s="237" t="s">
        <v>17390</v>
      </c>
      <c r="M376" s="232" t="s">
        <v>9383</v>
      </c>
      <c r="N376" s="429" t="s">
        <v>17350</v>
      </c>
    </row>
    <row r="377">
      <c r="A377" s="427">
        <v>376.0</v>
      </c>
      <c r="B377" s="237" t="s">
        <v>13648</v>
      </c>
      <c r="C377" s="237" t="s">
        <v>6918</v>
      </c>
      <c r="D377" s="428">
        <v>45338.0</v>
      </c>
      <c r="E377" s="237" t="s">
        <v>6921</v>
      </c>
      <c r="F377" s="237" t="s">
        <v>13649</v>
      </c>
      <c r="G377" s="237" t="s">
        <v>13650</v>
      </c>
      <c r="H377" s="237" t="s">
        <v>12595</v>
      </c>
      <c r="I377" s="237" t="s">
        <v>13651</v>
      </c>
      <c r="J377" s="237" t="s">
        <v>5012</v>
      </c>
      <c r="K377" s="237" t="s">
        <v>9703</v>
      </c>
      <c r="L377" s="237" t="s">
        <v>17373</v>
      </c>
      <c r="M377" s="232" t="s">
        <v>9383</v>
      </c>
      <c r="N377" s="429" t="s">
        <v>17350</v>
      </c>
    </row>
    <row r="378">
      <c r="A378" s="427">
        <v>377.0</v>
      </c>
      <c r="B378" s="237" t="s">
        <v>12419</v>
      </c>
      <c r="C378" s="237" t="s">
        <v>12420</v>
      </c>
      <c r="D378" s="428">
        <v>45071.0</v>
      </c>
      <c r="E378" s="237" t="s">
        <v>6933</v>
      </c>
      <c r="F378" s="237" t="s">
        <v>9483</v>
      </c>
      <c r="G378" s="237" t="s">
        <v>12422</v>
      </c>
      <c r="H378" s="237" t="s">
        <v>11374</v>
      </c>
      <c r="I378" s="237" t="s">
        <v>12423</v>
      </c>
      <c r="J378" s="237" t="s">
        <v>5224</v>
      </c>
      <c r="K378" s="237" t="s">
        <v>9703</v>
      </c>
      <c r="L378" s="237" t="s">
        <v>12424</v>
      </c>
      <c r="M378" s="232" t="s">
        <v>9383</v>
      </c>
      <c r="N378" s="429" t="s">
        <v>17350</v>
      </c>
    </row>
    <row r="379">
      <c r="A379" s="427">
        <v>378.0</v>
      </c>
      <c r="B379" s="237" t="s">
        <v>10307</v>
      </c>
      <c r="C379" s="237" t="s">
        <v>10103</v>
      </c>
      <c r="D379" s="428">
        <v>42979.0</v>
      </c>
      <c r="E379" s="237" t="s">
        <v>6933</v>
      </c>
      <c r="F379" s="237" t="s">
        <v>10309</v>
      </c>
      <c r="G379" s="237" t="s">
        <v>10310</v>
      </c>
      <c r="H379" s="237" t="s">
        <v>10311</v>
      </c>
      <c r="I379" s="237" t="s">
        <v>10312</v>
      </c>
      <c r="J379" s="237" t="s">
        <v>5224</v>
      </c>
      <c r="K379" s="237" t="s">
        <v>5638</v>
      </c>
      <c r="L379" s="237" t="s">
        <v>17471</v>
      </c>
      <c r="M379" s="232" t="s">
        <v>9383</v>
      </c>
      <c r="N379" s="429" t="s">
        <v>17350</v>
      </c>
    </row>
    <row r="380">
      <c r="A380" s="427">
        <v>379.0</v>
      </c>
      <c r="B380" s="237" t="s">
        <v>17522</v>
      </c>
      <c r="C380" s="237" t="s">
        <v>10103</v>
      </c>
      <c r="D380" s="428">
        <v>44378.0</v>
      </c>
      <c r="E380" s="237" t="s">
        <v>6933</v>
      </c>
      <c r="F380" s="237" t="s">
        <v>12248</v>
      </c>
      <c r="G380" s="237" t="s">
        <v>12494</v>
      </c>
      <c r="H380" s="237" t="s">
        <v>12495</v>
      </c>
      <c r="I380" s="237" t="s">
        <v>12496</v>
      </c>
      <c r="J380" s="237" t="s">
        <v>5224</v>
      </c>
      <c r="K380" s="237" t="s">
        <v>12325</v>
      </c>
      <c r="L380" s="237" t="s">
        <v>17457</v>
      </c>
      <c r="M380" s="232" t="s">
        <v>9383</v>
      </c>
      <c r="N380" s="429" t="s">
        <v>17350</v>
      </c>
    </row>
    <row r="381">
      <c r="A381" s="427">
        <v>380.0</v>
      </c>
      <c r="B381" s="237" t="s">
        <v>17523</v>
      </c>
      <c r="C381" s="237" t="s">
        <v>10103</v>
      </c>
      <c r="D381" s="428">
        <v>42380.0</v>
      </c>
      <c r="E381" s="237" t="s">
        <v>6933</v>
      </c>
      <c r="F381" s="237" t="s">
        <v>12441</v>
      </c>
      <c r="G381" s="237" t="s">
        <v>12442</v>
      </c>
      <c r="H381" s="237" t="s">
        <v>9380</v>
      </c>
      <c r="I381" s="237" t="s">
        <v>12443</v>
      </c>
      <c r="J381" s="237" t="s">
        <v>5224</v>
      </c>
      <c r="K381" s="237" t="s">
        <v>12325</v>
      </c>
      <c r="L381" s="237" t="s">
        <v>17457</v>
      </c>
      <c r="M381" s="232" t="s">
        <v>9383</v>
      </c>
      <c r="N381" s="429" t="s">
        <v>17350</v>
      </c>
    </row>
    <row r="382">
      <c r="A382" s="427">
        <v>381.0</v>
      </c>
      <c r="B382" s="237" t="s">
        <v>901</v>
      </c>
      <c r="C382" s="237" t="s">
        <v>7277</v>
      </c>
      <c r="D382" s="428">
        <v>43329.0</v>
      </c>
      <c r="E382" s="237" t="s">
        <v>6933</v>
      </c>
      <c r="F382" s="237" t="s">
        <v>12699</v>
      </c>
      <c r="G382" s="237" t="s">
        <v>12700</v>
      </c>
      <c r="H382" s="237" t="s">
        <v>12701</v>
      </c>
      <c r="I382" s="237" t="s">
        <v>905</v>
      </c>
      <c r="J382" s="237" t="s">
        <v>5224</v>
      </c>
      <c r="K382" s="237" t="s">
        <v>12702</v>
      </c>
      <c r="L382" s="237" t="s">
        <v>2919</v>
      </c>
      <c r="M382" s="232" t="s">
        <v>9383</v>
      </c>
      <c r="N382" s="429" t="s">
        <v>17350</v>
      </c>
    </row>
    <row r="383">
      <c r="A383" s="427">
        <v>382.0</v>
      </c>
      <c r="B383" s="237" t="s">
        <v>3816</v>
      </c>
      <c r="C383" s="237" t="s">
        <v>6918</v>
      </c>
      <c r="D383" s="428">
        <v>45201.0</v>
      </c>
      <c r="E383" s="237" t="s">
        <v>6921</v>
      </c>
      <c r="F383" s="237" t="s">
        <v>17524</v>
      </c>
      <c r="G383" s="237" t="s">
        <v>17525</v>
      </c>
      <c r="H383" s="237" t="s">
        <v>17526</v>
      </c>
      <c r="I383" s="237" t="s">
        <v>6667</v>
      </c>
      <c r="J383" s="237" t="s">
        <v>5224</v>
      </c>
      <c r="K383" s="237" t="s">
        <v>13917</v>
      </c>
      <c r="L383" s="237" t="s">
        <v>7133</v>
      </c>
      <c r="M383" s="232" t="s">
        <v>9383</v>
      </c>
      <c r="N383" s="430" t="s">
        <v>17527</v>
      </c>
    </row>
    <row r="384">
      <c r="A384" s="427">
        <v>383.0</v>
      </c>
      <c r="B384" s="237" t="s">
        <v>6651</v>
      </c>
      <c r="C384" s="237" t="s">
        <v>1652</v>
      </c>
      <c r="D384" s="428">
        <v>45231.0</v>
      </c>
      <c r="E384" s="237" t="s">
        <v>6933</v>
      </c>
      <c r="F384" s="237" t="s">
        <v>9577</v>
      </c>
      <c r="G384" s="237" t="s">
        <v>17528</v>
      </c>
      <c r="H384" s="237" t="s">
        <v>9430</v>
      </c>
      <c r="I384" s="237" t="s">
        <v>6652</v>
      </c>
      <c r="J384" s="237" t="s">
        <v>5012</v>
      </c>
      <c r="K384" s="237" t="s">
        <v>17529</v>
      </c>
      <c r="L384" s="237" t="s">
        <v>3773</v>
      </c>
      <c r="M384" s="232" t="s">
        <v>9383</v>
      </c>
      <c r="N384" s="430" t="s">
        <v>17527</v>
      </c>
    </row>
    <row r="385">
      <c r="A385" s="427">
        <v>384.0</v>
      </c>
      <c r="B385" s="237" t="s">
        <v>3788</v>
      </c>
      <c r="C385" s="237" t="s">
        <v>6918</v>
      </c>
      <c r="D385" s="428">
        <v>44970.0</v>
      </c>
      <c r="E385" s="237" t="s">
        <v>6921</v>
      </c>
      <c r="F385" s="237" t="s">
        <v>12616</v>
      </c>
      <c r="G385" s="237" t="s">
        <v>17530</v>
      </c>
      <c r="H385" s="237" t="s">
        <v>9915</v>
      </c>
      <c r="I385" s="237" t="s">
        <v>6655</v>
      </c>
      <c r="J385" s="237" t="s">
        <v>5224</v>
      </c>
      <c r="K385" s="237" t="s">
        <v>13398</v>
      </c>
      <c r="L385" s="237" t="s">
        <v>8850</v>
      </c>
      <c r="M385" s="232" t="s">
        <v>9383</v>
      </c>
      <c r="N385" s="430" t="s">
        <v>17527</v>
      </c>
    </row>
    <row r="386">
      <c r="A386" s="427">
        <v>385.0</v>
      </c>
      <c r="B386" s="237" t="s">
        <v>3645</v>
      </c>
      <c r="C386" s="237" t="s">
        <v>6918</v>
      </c>
      <c r="D386" s="428">
        <v>45474.0</v>
      </c>
      <c r="E386" s="237" t="s">
        <v>6921</v>
      </c>
      <c r="F386" s="237" t="s">
        <v>12201</v>
      </c>
      <c r="G386" s="237" t="s">
        <v>17531</v>
      </c>
      <c r="H386" s="237" t="s">
        <v>10079</v>
      </c>
      <c r="I386" s="237" t="s">
        <v>6603</v>
      </c>
      <c r="J386" s="237" t="s">
        <v>5224</v>
      </c>
      <c r="K386" s="237" t="s">
        <v>13398</v>
      </c>
      <c r="L386" s="237" t="s">
        <v>8850</v>
      </c>
      <c r="M386" s="232" t="s">
        <v>9383</v>
      </c>
      <c r="N386" s="430" t="s">
        <v>17527</v>
      </c>
    </row>
    <row r="387">
      <c r="A387" s="427">
        <v>386.0</v>
      </c>
      <c r="B387" s="237" t="s">
        <v>8874</v>
      </c>
      <c r="C387" s="237" t="s">
        <v>6918</v>
      </c>
      <c r="D387" s="428">
        <v>44977.0</v>
      </c>
      <c r="E387" s="237" t="s">
        <v>6921</v>
      </c>
      <c r="F387" s="237" t="s">
        <v>13395</v>
      </c>
      <c r="G387" s="237" t="s">
        <v>13396</v>
      </c>
      <c r="H387" s="237" t="s">
        <v>13351</v>
      </c>
      <c r="I387" s="237" t="s">
        <v>13397</v>
      </c>
      <c r="J387" s="237" t="s">
        <v>5224</v>
      </c>
      <c r="K387" s="237" t="s">
        <v>13398</v>
      </c>
      <c r="L387" s="237" t="s">
        <v>8850</v>
      </c>
      <c r="M387" s="232" t="s">
        <v>9383</v>
      </c>
      <c r="N387" s="430" t="s">
        <v>17527</v>
      </c>
    </row>
    <row r="388">
      <c r="A388" s="427">
        <v>387.0</v>
      </c>
      <c r="B388" s="237" t="s">
        <v>3905</v>
      </c>
      <c r="C388" s="237" t="s">
        <v>6918</v>
      </c>
      <c r="D388" s="428">
        <v>44823.0</v>
      </c>
      <c r="E388" s="237" t="s">
        <v>6921</v>
      </c>
      <c r="F388" s="237" t="s">
        <v>17532</v>
      </c>
      <c r="G388" s="237" t="s">
        <v>17533</v>
      </c>
      <c r="H388" s="237" t="s">
        <v>10203</v>
      </c>
      <c r="I388" s="237" t="s">
        <v>6698</v>
      </c>
      <c r="J388" s="237" t="s">
        <v>5012</v>
      </c>
      <c r="K388" s="237" t="s">
        <v>13398</v>
      </c>
      <c r="L388" s="237" t="s">
        <v>8850</v>
      </c>
      <c r="M388" s="232" t="s">
        <v>9383</v>
      </c>
      <c r="N388" s="430" t="s">
        <v>17527</v>
      </c>
    </row>
    <row r="389">
      <c r="A389" s="427">
        <v>388.0</v>
      </c>
      <c r="B389" s="237" t="s">
        <v>8791</v>
      </c>
      <c r="C389" s="237" t="s">
        <v>6918</v>
      </c>
      <c r="D389" s="428">
        <v>44369.0</v>
      </c>
      <c r="E389" s="237" t="s">
        <v>6921</v>
      </c>
      <c r="F389" s="237" t="s">
        <v>13688</v>
      </c>
      <c r="G389" s="237" t="s">
        <v>13689</v>
      </c>
      <c r="H389" s="237" t="s">
        <v>12079</v>
      </c>
      <c r="I389" s="237" t="s">
        <v>13690</v>
      </c>
      <c r="J389" s="237" t="s">
        <v>5224</v>
      </c>
      <c r="K389" s="237" t="s">
        <v>13398</v>
      </c>
      <c r="L389" s="237" t="s">
        <v>8850</v>
      </c>
      <c r="M389" s="232" t="s">
        <v>9383</v>
      </c>
      <c r="N389" s="430" t="s">
        <v>17527</v>
      </c>
    </row>
    <row r="390">
      <c r="A390" s="427">
        <v>389.0</v>
      </c>
      <c r="B390" s="237" t="s">
        <v>3697</v>
      </c>
      <c r="C390" s="237" t="s">
        <v>6918</v>
      </c>
      <c r="D390" s="428">
        <v>44805.0</v>
      </c>
      <c r="E390" s="237" t="s">
        <v>6921</v>
      </c>
      <c r="F390" s="237" t="s">
        <v>17534</v>
      </c>
      <c r="G390" s="237" t="s">
        <v>17535</v>
      </c>
      <c r="H390" s="237" t="s">
        <v>9501</v>
      </c>
      <c r="I390" s="237" t="s">
        <v>6620</v>
      </c>
      <c r="J390" s="237" t="s">
        <v>5224</v>
      </c>
      <c r="K390" s="237" t="s">
        <v>13398</v>
      </c>
      <c r="L390" s="237" t="s">
        <v>17536</v>
      </c>
      <c r="M390" s="232" t="s">
        <v>9383</v>
      </c>
      <c r="N390" s="430" t="s">
        <v>17527</v>
      </c>
    </row>
    <row r="391">
      <c r="A391" s="427">
        <v>390.0</v>
      </c>
      <c r="B391" s="237" t="s">
        <v>3315</v>
      </c>
      <c r="C391" s="237" t="s">
        <v>6918</v>
      </c>
      <c r="D391" s="428">
        <v>44466.0</v>
      </c>
      <c r="E391" s="237" t="s">
        <v>6933</v>
      </c>
      <c r="F391" s="237" t="s">
        <v>17537</v>
      </c>
      <c r="G391" s="237" t="s">
        <v>17538</v>
      </c>
      <c r="H391" s="237" t="s">
        <v>17356</v>
      </c>
      <c r="I391" s="237" t="s">
        <v>6457</v>
      </c>
      <c r="J391" s="237" t="s">
        <v>5224</v>
      </c>
      <c r="K391" s="237" t="s">
        <v>13398</v>
      </c>
      <c r="L391" s="237" t="s">
        <v>8850</v>
      </c>
      <c r="M391" s="232" t="s">
        <v>9383</v>
      </c>
      <c r="N391" s="430" t="s">
        <v>17527</v>
      </c>
    </row>
    <row r="392">
      <c r="A392" s="427">
        <v>391.0</v>
      </c>
      <c r="B392" s="237" t="s">
        <v>3807</v>
      </c>
      <c r="C392" s="237" t="s">
        <v>6918</v>
      </c>
      <c r="D392" s="428">
        <v>44866.0</v>
      </c>
      <c r="E392" s="237" t="s">
        <v>6921</v>
      </c>
      <c r="F392" s="237" t="s">
        <v>15802</v>
      </c>
      <c r="G392" s="237" t="s">
        <v>15803</v>
      </c>
      <c r="H392" s="237" t="s">
        <v>12601</v>
      </c>
      <c r="I392" s="237" t="s">
        <v>6665</v>
      </c>
      <c r="J392" s="237" t="s">
        <v>5224</v>
      </c>
      <c r="K392" s="237" t="s">
        <v>14734</v>
      </c>
      <c r="L392" s="237" t="s">
        <v>7133</v>
      </c>
      <c r="M392" s="232" t="s">
        <v>9383</v>
      </c>
      <c r="N392" s="430" t="s">
        <v>17527</v>
      </c>
    </row>
    <row r="393">
      <c r="A393" s="427">
        <v>392.0</v>
      </c>
      <c r="B393" s="237" t="s">
        <v>7151</v>
      </c>
      <c r="C393" s="237" t="s">
        <v>6918</v>
      </c>
      <c r="D393" s="428">
        <v>44802.0</v>
      </c>
      <c r="E393" s="237" t="s">
        <v>6933</v>
      </c>
      <c r="F393" s="237" t="s">
        <v>14730</v>
      </c>
      <c r="G393" s="237" t="s">
        <v>14731</v>
      </c>
      <c r="H393" s="237" t="s">
        <v>14732</v>
      </c>
      <c r="I393" s="237" t="s">
        <v>14733</v>
      </c>
      <c r="J393" s="237" t="s">
        <v>5224</v>
      </c>
      <c r="K393" s="237" t="s">
        <v>14734</v>
      </c>
      <c r="L393" s="237" t="s">
        <v>7133</v>
      </c>
      <c r="M393" s="232" t="s">
        <v>9383</v>
      </c>
      <c r="N393" s="430" t="s">
        <v>17527</v>
      </c>
    </row>
    <row r="394">
      <c r="A394" s="427">
        <v>393.0</v>
      </c>
      <c r="B394" s="237" t="s">
        <v>7141</v>
      </c>
      <c r="C394" s="237" t="s">
        <v>6918</v>
      </c>
      <c r="D394" s="428">
        <v>44473.0</v>
      </c>
      <c r="E394" s="237" t="s">
        <v>6921</v>
      </c>
      <c r="F394" s="237" t="s">
        <v>12074</v>
      </c>
      <c r="G394" s="237" t="s">
        <v>15697</v>
      </c>
      <c r="H394" s="237" t="s">
        <v>9413</v>
      </c>
      <c r="I394" s="237" t="s">
        <v>15698</v>
      </c>
      <c r="J394" s="237" t="s">
        <v>5224</v>
      </c>
      <c r="K394" s="237" t="s">
        <v>14734</v>
      </c>
      <c r="L394" s="237" t="s">
        <v>7133</v>
      </c>
      <c r="M394" s="232" t="s">
        <v>9383</v>
      </c>
      <c r="N394" s="430" t="s">
        <v>17527</v>
      </c>
    </row>
    <row r="395">
      <c r="A395" s="427">
        <v>394.0</v>
      </c>
      <c r="B395" s="237" t="s">
        <v>7146</v>
      </c>
      <c r="C395" s="237" t="s">
        <v>6918</v>
      </c>
      <c r="D395" s="428">
        <v>44473.0</v>
      </c>
      <c r="E395" s="237" t="s">
        <v>6933</v>
      </c>
      <c r="F395" s="237" t="s">
        <v>13954</v>
      </c>
      <c r="G395" s="237" t="s">
        <v>13955</v>
      </c>
      <c r="H395" s="237" t="s">
        <v>11467</v>
      </c>
      <c r="I395" s="237" t="s">
        <v>13956</v>
      </c>
      <c r="J395" s="237" t="s">
        <v>5224</v>
      </c>
      <c r="K395" s="237" t="s">
        <v>13957</v>
      </c>
      <c r="L395" s="237" t="s">
        <v>7133</v>
      </c>
      <c r="M395" s="232" t="s">
        <v>9383</v>
      </c>
      <c r="N395" s="430" t="s">
        <v>17527</v>
      </c>
    </row>
    <row r="396">
      <c r="A396" s="427">
        <v>395.0</v>
      </c>
      <c r="B396" s="237" t="s">
        <v>8727</v>
      </c>
      <c r="C396" s="237" t="s">
        <v>6918</v>
      </c>
      <c r="D396" s="428">
        <v>44137.0</v>
      </c>
      <c r="E396" s="237" t="s">
        <v>6921</v>
      </c>
      <c r="F396" s="237" t="s">
        <v>13141</v>
      </c>
      <c r="G396" s="237" t="s">
        <v>13142</v>
      </c>
      <c r="H396" s="237" t="s">
        <v>10048</v>
      </c>
      <c r="I396" s="237" t="s">
        <v>13143</v>
      </c>
      <c r="J396" s="237" t="s">
        <v>5224</v>
      </c>
      <c r="K396" s="237" t="s">
        <v>13144</v>
      </c>
      <c r="L396" s="237" t="s">
        <v>17536</v>
      </c>
      <c r="M396" s="232" t="s">
        <v>9383</v>
      </c>
      <c r="N396" s="430" t="s">
        <v>17527</v>
      </c>
    </row>
    <row r="397">
      <c r="A397" s="427">
        <v>396.0</v>
      </c>
      <c r="B397" s="237" t="s">
        <v>4884</v>
      </c>
      <c r="C397" s="237" t="s">
        <v>6918</v>
      </c>
      <c r="D397" s="428">
        <v>41376.0</v>
      </c>
      <c r="E397" s="237" t="s">
        <v>7239</v>
      </c>
      <c r="F397" s="237" t="s">
        <v>14768</v>
      </c>
      <c r="G397" s="237" t="s">
        <v>14769</v>
      </c>
      <c r="H397" s="237" t="s">
        <v>14770</v>
      </c>
      <c r="I397" s="237" t="s">
        <v>4885</v>
      </c>
      <c r="J397" s="237" t="s">
        <v>5224</v>
      </c>
      <c r="K397" s="237" t="s">
        <v>4876</v>
      </c>
      <c r="L397" s="237" t="s">
        <v>17351</v>
      </c>
      <c r="M397" s="232" t="s">
        <v>9383</v>
      </c>
      <c r="N397" s="430" t="s">
        <v>17527</v>
      </c>
    </row>
    <row r="398">
      <c r="A398" s="427">
        <v>397.0</v>
      </c>
      <c r="B398" s="237" t="s">
        <v>4879</v>
      </c>
      <c r="C398" s="237" t="s">
        <v>6918</v>
      </c>
      <c r="D398" s="428">
        <v>40431.0</v>
      </c>
      <c r="E398" s="237" t="s">
        <v>6921</v>
      </c>
      <c r="F398" s="237" t="s">
        <v>11145</v>
      </c>
      <c r="G398" s="237" t="s">
        <v>14286</v>
      </c>
      <c r="H398" s="237" t="s">
        <v>10765</v>
      </c>
      <c r="I398" s="237" t="s">
        <v>4880</v>
      </c>
      <c r="J398" s="237" t="s">
        <v>5224</v>
      </c>
      <c r="K398" s="237" t="s">
        <v>4876</v>
      </c>
      <c r="L398" s="237" t="s">
        <v>17351</v>
      </c>
      <c r="M398" s="232" t="s">
        <v>9383</v>
      </c>
      <c r="N398" s="430" t="s">
        <v>17527</v>
      </c>
    </row>
    <row r="399">
      <c r="A399" s="427">
        <v>398.0</v>
      </c>
      <c r="B399" s="237" t="s">
        <v>4889</v>
      </c>
      <c r="C399" s="237" t="s">
        <v>6918</v>
      </c>
      <c r="D399" s="428">
        <v>41610.0</v>
      </c>
      <c r="E399" s="237" t="s">
        <v>6933</v>
      </c>
      <c r="F399" s="237" t="s">
        <v>13808</v>
      </c>
      <c r="G399" s="237" t="s">
        <v>13809</v>
      </c>
      <c r="H399" s="237" t="s">
        <v>10831</v>
      </c>
      <c r="I399" s="237" t="s">
        <v>4890</v>
      </c>
      <c r="J399" s="237" t="s">
        <v>5224</v>
      </c>
      <c r="K399" s="237" t="s">
        <v>4876</v>
      </c>
      <c r="L399" s="237" t="s">
        <v>17351</v>
      </c>
      <c r="M399" s="232" t="s">
        <v>9383</v>
      </c>
      <c r="N399" s="430" t="s">
        <v>17527</v>
      </c>
    </row>
    <row r="400">
      <c r="A400" s="427">
        <v>399.0</v>
      </c>
      <c r="B400" s="237" t="s">
        <v>3319</v>
      </c>
      <c r="C400" s="237" t="s">
        <v>6918</v>
      </c>
      <c r="D400" s="428">
        <v>43710.0</v>
      </c>
      <c r="E400" s="237" t="s">
        <v>6921</v>
      </c>
      <c r="F400" s="237" t="s">
        <v>15831</v>
      </c>
      <c r="G400" s="237" t="s">
        <v>17539</v>
      </c>
      <c r="H400" s="237" t="s">
        <v>9573</v>
      </c>
      <c r="I400" s="237" t="s">
        <v>4796</v>
      </c>
      <c r="J400" s="237" t="s">
        <v>5224</v>
      </c>
      <c r="K400" s="237" t="s">
        <v>4794</v>
      </c>
      <c r="L400" s="237" t="s">
        <v>15553</v>
      </c>
      <c r="M400" s="232" t="s">
        <v>9383</v>
      </c>
      <c r="N400" s="430" t="s">
        <v>17527</v>
      </c>
    </row>
    <row r="401">
      <c r="A401" s="427">
        <v>400.0</v>
      </c>
      <c r="B401" s="237" t="s">
        <v>3783</v>
      </c>
      <c r="C401" s="237" t="s">
        <v>7277</v>
      </c>
      <c r="D401" s="428">
        <v>44445.0</v>
      </c>
      <c r="E401" s="237" t="s">
        <v>6933</v>
      </c>
      <c r="F401" s="237" t="s">
        <v>12675</v>
      </c>
      <c r="G401" s="237" t="s">
        <v>12676</v>
      </c>
      <c r="H401" s="237" t="s">
        <v>12677</v>
      </c>
      <c r="I401" s="237" t="s">
        <v>6654</v>
      </c>
      <c r="J401" s="237" t="s">
        <v>5224</v>
      </c>
      <c r="K401" s="237" t="s">
        <v>12678</v>
      </c>
      <c r="L401" s="237" t="s">
        <v>3786</v>
      </c>
      <c r="M401" s="232" t="s">
        <v>9383</v>
      </c>
      <c r="N401" s="430" t="s">
        <v>17527</v>
      </c>
    </row>
    <row r="402">
      <c r="A402" s="427">
        <v>401.0</v>
      </c>
      <c r="B402" s="237" t="s">
        <v>3948</v>
      </c>
      <c r="C402" s="237" t="s">
        <v>6918</v>
      </c>
      <c r="D402" s="428">
        <v>43437.0</v>
      </c>
      <c r="E402" s="237" t="s">
        <v>6933</v>
      </c>
      <c r="F402" s="237" t="s">
        <v>17540</v>
      </c>
      <c r="G402" s="237" t="s">
        <v>17541</v>
      </c>
      <c r="H402" s="237" t="s">
        <v>14161</v>
      </c>
      <c r="I402" s="237" t="s">
        <v>6713</v>
      </c>
      <c r="J402" s="237" t="s">
        <v>5224</v>
      </c>
      <c r="K402" s="237" t="s">
        <v>12678</v>
      </c>
      <c r="L402" s="237" t="s">
        <v>8850</v>
      </c>
      <c r="M402" s="232" t="s">
        <v>9383</v>
      </c>
      <c r="N402" s="430" t="s">
        <v>17527</v>
      </c>
    </row>
    <row r="403">
      <c r="A403" s="427">
        <v>402.0</v>
      </c>
      <c r="B403" s="237" t="s">
        <v>16034</v>
      </c>
      <c r="C403" s="237" t="s">
        <v>6918</v>
      </c>
      <c r="D403" s="428">
        <v>44746.0</v>
      </c>
      <c r="E403" s="237" t="s">
        <v>6933</v>
      </c>
      <c r="F403" s="237" t="s">
        <v>16035</v>
      </c>
      <c r="G403" s="237" t="s">
        <v>16036</v>
      </c>
      <c r="H403" s="237" t="s">
        <v>9538</v>
      </c>
      <c r="I403" s="237" t="s">
        <v>16037</v>
      </c>
      <c r="J403" s="237" t="s">
        <v>5012</v>
      </c>
      <c r="K403" s="237" t="s">
        <v>14002</v>
      </c>
      <c r="L403" s="237" t="s">
        <v>17394</v>
      </c>
      <c r="M403" s="232" t="s">
        <v>9383</v>
      </c>
      <c r="N403" s="430" t="s">
        <v>17527</v>
      </c>
    </row>
    <row r="404">
      <c r="A404" s="427">
        <v>403.0</v>
      </c>
      <c r="B404" s="237" t="s">
        <v>8577</v>
      </c>
      <c r="C404" s="237" t="s">
        <v>6918</v>
      </c>
      <c r="D404" s="428">
        <v>44323.0</v>
      </c>
      <c r="E404" s="237" t="s">
        <v>6933</v>
      </c>
      <c r="F404" s="237" t="s">
        <v>12561</v>
      </c>
      <c r="G404" s="237" t="s">
        <v>11705</v>
      </c>
      <c r="H404" s="237" t="s">
        <v>14801</v>
      </c>
      <c r="I404" s="237" t="s">
        <v>14802</v>
      </c>
      <c r="J404" s="237" t="s">
        <v>5224</v>
      </c>
      <c r="K404" s="237" t="s">
        <v>14002</v>
      </c>
      <c r="L404" s="237" t="s">
        <v>2208</v>
      </c>
      <c r="M404" s="232" t="s">
        <v>9383</v>
      </c>
      <c r="N404" s="430" t="s">
        <v>17527</v>
      </c>
    </row>
    <row r="405">
      <c r="A405" s="427">
        <v>404.0</v>
      </c>
      <c r="B405" s="237" t="s">
        <v>8772</v>
      </c>
      <c r="C405" s="237" t="s">
        <v>6918</v>
      </c>
      <c r="D405" s="428">
        <v>44986.0</v>
      </c>
      <c r="E405" s="237" t="s">
        <v>6933</v>
      </c>
      <c r="F405" s="237" t="s">
        <v>11812</v>
      </c>
      <c r="G405" s="237" t="s">
        <v>15326</v>
      </c>
      <c r="H405" s="237" t="s">
        <v>12007</v>
      </c>
      <c r="I405" s="237" t="s">
        <v>15327</v>
      </c>
      <c r="J405" s="237" t="s">
        <v>5012</v>
      </c>
      <c r="K405" s="237" t="s">
        <v>14002</v>
      </c>
      <c r="L405" s="237" t="s">
        <v>8850</v>
      </c>
      <c r="M405" s="232" t="s">
        <v>9383</v>
      </c>
      <c r="N405" s="430" t="s">
        <v>17527</v>
      </c>
    </row>
    <row r="406">
      <c r="A406" s="427">
        <v>405.0</v>
      </c>
      <c r="B406" s="237" t="s">
        <v>8318</v>
      </c>
      <c r="C406" s="237" t="s">
        <v>6918</v>
      </c>
      <c r="D406" s="428">
        <v>37366.0</v>
      </c>
      <c r="E406" s="237" t="s">
        <v>6933</v>
      </c>
      <c r="F406" s="237" t="s">
        <v>13994</v>
      </c>
      <c r="G406" s="237" t="s">
        <v>13999</v>
      </c>
      <c r="H406" s="237" t="s">
        <v>14000</v>
      </c>
      <c r="I406" s="237" t="s">
        <v>14001</v>
      </c>
      <c r="J406" s="237" t="s">
        <v>5224</v>
      </c>
      <c r="K406" s="237" t="s">
        <v>14002</v>
      </c>
      <c r="L406" s="237" t="s">
        <v>2730</v>
      </c>
      <c r="M406" s="232" t="s">
        <v>9383</v>
      </c>
      <c r="N406" s="430" t="s">
        <v>17527</v>
      </c>
    </row>
    <row r="407">
      <c r="A407" s="427">
        <v>406.0</v>
      </c>
      <c r="B407" s="237" t="s">
        <v>8741</v>
      </c>
      <c r="C407" s="237" t="s">
        <v>6918</v>
      </c>
      <c r="D407" s="428">
        <v>44958.0</v>
      </c>
      <c r="E407" s="237" t="s">
        <v>6933</v>
      </c>
      <c r="F407" s="237" t="s">
        <v>15254</v>
      </c>
      <c r="G407" s="237" t="s">
        <v>15255</v>
      </c>
      <c r="H407" s="237" t="s">
        <v>11358</v>
      </c>
      <c r="I407" s="237" t="s">
        <v>15256</v>
      </c>
      <c r="J407" s="237" t="s">
        <v>5012</v>
      </c>
      <c r="K407" s="237" t="s">
        <v>14002</v>
      </c>
      <c r="L407" s="237" t="s">
        <v>17536</v>
      </c>
      <c r="M407" s="232" t="s">
        <v>9383</v>
      </c>
      <c r="N407" s="430" t="s">
        <v>17527</v>
      </c>
    </row>
    <row r="408">
      <c r="A408" s="427">
        <v>407.0</v>
      </c>
      <c r="B408" s="237" t="s">
        <v>8566</v>
      </c>
      <c r="C408" s="237" t="s">
        <v>6918</v>
      </c>
      <c r="D408" s="428">
        <v>43832.0</v>
      </c>
      <c r="E408" s="237" t="s">
        <v>6933</v>
      </c>
      <c r="F408" s="237" t="s">
        <v>14887</v>
      </c>
      <c r="G408" s="237" t="s">
        <v>14888</v>
      </c>
      <c r="H408" s="237" t="s">
        <v>9597</v>
      </c>
      <c r="I408" s="237" t="s">
        <v>14889</v>
      </c>
      <c r="J408" s="237" t="s">
        <v>5224</v>
      </c>
      <c r="K408" s="237" t="s">
        <v>14002</v>
      </c>
      <c r="L408" s="237" t="s">
        <v>2208</v>
      </c>
      <c r="M408" s="232" t="s">
        <v>9383</v>
      </c>
      <c r="N408" s="430" t="s">
        <v>17527</v>
      </c>
    </row>
    <row r="409">
      <c r="A409" s="427">
        <v>408.0</v>
      </c>
      <c r="B409" s="237" t="s">
        <v>3721</v>
      </c>
      <c r="C409" s="237" t="s">
        <v>6918</v>
      </c>
      <c r="D409" s="428">
        <v>45323.0</v>
      </c>
      <c r="E409" s="237" t="s">
        <v>6933</v>
      </c>
      <c r="F409" s="237" t="s">
        <v>17542</v>
      </c>
      <c r="G409" s="237" t="s">
        <v>17543</v>
      </c>
      <c r="H409" s="237" t="s">
        <v>10866</v>
      </c>
      <c r="I409" s="237" t="s">
        <v>6631</v>
      </c>
      <c r="J409" s="237" t="s">
        <v>5224</v>
      </c>
      <c r="K409" s="237" t="s">
        <v>14987</v>
      </c>
      <c r="L409" s="237" t="s">
        <v>7809</v>
      </c>
      <c r="M409" s="232" t="s">
        <v>9383</v>
      </c>
      <c r="N409" s="430" t="s">
        <v>17527</v>
      </c>
    </row>
    <row r="410">
      <c r="A410" s="427">
        <v>409.0</v>
      </c>
      <c r="B410" s="237" t="s">
        <v>9522</v>
      </c>
      <c r="C410" s="237" t="s">
        <v>8796</v>
      </c>
      <c r="D410" s="428">
        <v>43878.0</v>
      </c>
      <c r="E410" s="237" t="s">
        <v>6921</v>
      </c>
      <c r="F410" s="237" t="s">
        <v>9524</v>
      </c>
      <c r="G410" s="237" t="s">
        <v>9525</v>
      </c>
      <c r="H410" s="237" t="s">
        <v>9526</v>
      </c>
      <c r="I410" s="237" t="s">
        <v>9527</v>
      </c>
      <c r="J410" s="237" t="s">
        <v>5224</v>
      </c>
      <c r="K410" s="237" t="s">
        <v>4898</v>
      </c>
      <c r="L410" s="237" t="s">
        <v>566</v>
      </c>
      <c r="M410" s="232" t="s">
        <v>9383</v>
      </c>
      <c r="N410" s="430" t="s">
        <v>17527</v>
      </c>
    </row>
    <row r="411">
      <c r="A411" s="427">
        <v>410.0</v>
      </c>
      <c r="B411" s="237" t="s">
        <v>4900</v>
      </c>
      <c r="C411" s="237" t="s">
        <v>6918</v>
      </c>
      <c r="D411" s="428">
        <v>44851.0</v>
      </c>
      <c r="E411" s="237" t="s">
        <v>6921</v>
      </c>
      <c r="F411" s="237" t="s">
        <v>15876</v>
      </c>
      <c r="G411" s="237" t="s">
        <v>15877</v>
      </c>
      <c r="H411" s="237" t="s">
        <v>9413</v>
      </c>
      <c r="I411" s="237" t="s">
        <v>4901</v>
      </c>
      <c r="J411" s="237" t="s">
        <v>5224</v>
      </c>
      <c r="K411" s="237" t="s">
        <v>4898</v>
      </c>
      <c r="L411" s="237" t="s">
        <v>2177</v>
      </c>
      <c r="M411" s="232" t="s">
        <v>9383</v>
      </c>
      <c r="N411" s="430" t="s">
        <v>17527</v>
      </c>
    </row>
    <row r="412">
      <c r="A412" s="427">
        <v>411.0</v>
      </c>
      <c r="B412" s="237" t="s">
        <v>4905</v>
      </c>
      <c r="C412" s="237" t="s">
        <v>6918</v>
      </c>
      <c r="D412" s="428">
        <v>45447.0</v>
      </c>
      <c r="E412" s="237" t="s">
        <v>6933</v>
      </c>
      <c r="F412" s="237" t="s">
        <v>14053</v>
      </c>
      <c r="G412" s="237" t="s">
        <v>14054</v>
      </c>
      <c r="H412" s="237" t="s">
        <v>10249</v>
      </c>
      <c r="I412" s="237" t="s">
        <v>4906</v>
      </c>
      <c r="J412" s="237" t="s">
        <v>5224</v>
      </c>
      <c r="K412" s="237" t="s">
        <v>4898</v>
      </c>
      <c r="L412" s="237" t="s">
        <v>2177</v>
      </c>
      <c r="M412" s="232" t="s">
        <v>9383</v>
      </c>
      <c r="N412" s="430" t="s">
        <v>17527</v>
      </c>
    </row>
    <row r="413">
      <c r="A413" s="427">
        <v>412.0</v>
      </c>
      <c r="B413" s="237" t="s">
        <v>4862</v>
      </c>
      <c r="C413" s="237" t="s">
        <v>6918</v>
      </c>
      <c r="D413" s="428">
        <v>41043.0</v>
      </c>
      <c r="E413" s="237" t="s">
        <v>6933</v>
      </c>
      <c r="F413" s="237" t="s">
        <v>13472</v>
      </c>
      <c r="G413" s="237" t="s">
        <v>13473</v>
      </c>
      <c r="H413" s="237" t="s">
        <v>10183</v>
      </c>
      <c r="I413" s="237" t="s">
        <v>4863</v>
      </c>
      <c r="J413" s="237" t="s">
        <v>5224</v>
      </c>
      <c r="K413" s="237" t="s">
        <v>4853</v>
      </c>
      <c r="L413" s="237" t="s">
        <v>2177</v>
      </c>
      <c r="M413" s="232" t="s">
        <v>9383</v>
      </c>
      <c r="N413" s="430" t="s">
        <v>17527</v>
      </c>
    </row>
    <row r="414">
      <c r="A414" s="427">
        <v>413.0</v>
      </c>
      <c r="B414" s="237" t="s">
        <v>4872</v>
      </c>
      <c r="C414" s="237" t="s">
        <v>6918</v>
      </c>
      <c r="D414" s="428">
        <v>45352.0</v>
      </c>
      <c r="E414" s="237" t="s">
        <v>6921</v>
      </c>
      <c r="F414" s="237" t="s">
        <v>13159</v>
      </c>
      <c r="G414" s="237" t="s">
        <v>11793</v>
      </c>
      <c r="H414" s="237" t="s">
        <v>13160</v>
      </c>
      <c r="I414" s="237" t="s">
        <v>4873</v>
      </c>
      <c r="J414" s="237" t="s">
        <v>5224</v>
      </c>
      <c r="K414" s="237" t="s">
        <v>4853</v>
      </c>
      <c r="L414" s="237" t="s">
        <v>2177</v>
      </c>
      <c r="M414" s="232" t="s">
        <v>9383</v>
      </c>
      <c r="N414" s="430" t="s">
        <v>17527</v>
      </c>
    </row>
    <row r="415">
      <c r="A415" s="427">
        <v>414.0</v>
      </c>
      <c r="B415" s="237" t="s">
        <v>4855</v>
      </c>
      <c r="C415" s="237" t="s">
        <v>6918</v>
      </c>
      <c r="D415" s="428">
        <v>42065.0</v>
      </c>
      <c r="E415" s="237" t="s">
        <v>6933</v>
      </c>
      <c r="F415" s="237" t="s">
        <v>13156</v>
      </c>
      <c r="G415" s="237" t="s">
        <v>13157</v>
      </c>
      <c r="H415" s="237" t="s">
        <v>13158</v>
      </c>
      <c r="I415" s="237" t="s">
        <v>4856</v>
      </c>
      <c r="J415" s="237" t="s">
        <v>5224</v>
      </c>
      <c r="K415" s="237" t="s">
        <v>4853</v>
      </c>
      <c r="L415" s="237" t="s">
        <v>2177</v>
      </c>
      <c r="M415" s="232" t="s">
        <v>9383</v>
      </c>
      <c r="N415" s="430" t="s">
        <v>17527</v>
      </c>
    </row>
    <row r="416">
      <c r="A416" s="427">
        <v>415.0</v>
      </c>
      <c r="B416" s="237" t="s">
        <v>810</v>
      </c>
      <c r="C416" s="237" t="s">
        <v>6918</v>
      </c>
      <c r="D416" s="428">
        <v>43661.0</v>
      </c>
      <c r="E416" s="237" t="s">
        <v>6933</v>
      </c>
      <c r="F416" s="237" t="s">
        <v>14403</v>
      </c>
      <c r="G416" s="237" t="s">
        <v>14239</v>
      </c>
      <c r="H416" s="237" t="s">
        <v>10269</v>
      </c>
      <c r="I416" s="237" t="s">
        <v>814</v>
      </c>
      <c r="J416" s="237" t="s">
        <v>5224</v>
      </c>
      <c r="K416" s="237" t="s">
        <v>4853</v>
      </c>
      <c r="L416" s="237" t="s">
        <v>2177</v>
      </c>
      <c r="M416" s="232" t="s">
        <v>9383</v>
      </c>
      <c r="N416" s="430" t="s">
        <v>17527</v>
      </c>
    </row>
    <row r="417">
      <c r="A417" s="427">
        <v>416.0</v>
      </c>
      <c r="B417" s="237" t="s">
        <v>4867</v>
      </c>
      <c r="C417" s="237" t="s">
        <v>6918</v>
      </c>
      <c r="D417" s="428">
        <v>45019.0</v>
      </c>
      <c r="E417" s="237" t="s">
        <v>6933</v>
      </c>
      <c r="F417" s="237" t="s">
        <v>15520</v>
      </c>
      <c r="G417" s="237" t="s">
        <v>15521</v>
      </c>
      <c r="H417" s="237" t="s">
        <v>10952</v>
      </c>
      <c r="I417" s="237" t="s">
        <v>4868</v>
      </c>
      <c r="J417" s="237" t="s">
        <v>5224</v>
      </c>
      <c r="K417" s="237" t="s">
        <v>4853</v>
      </c>
      <c r="L417" s="237" t="s">
        <v>2177</v>
      </c>
      <c r="M417" s="232" t="s">
        <v>9383</v>
      </c>
      <c r="N417" s="430" t="s">
        <v>17527</v>
      </c>
    </row>
    <row r="418">
      <c r="A418" s="427">
        <v>417.0</v>
      </c>
      <c r="B418" s="237" t="s">
        <v>8461</v>
      </c>
      <c r="C418" s="237" t="s">
        <v>6918</v>
      </c>
      <c r="D418" s="428">
        <v>43805.0</v>
      </c>
      <c r="E418" s="237" t="s">
        <v>6933</v>
      </c>
      <c r="F418" s="237" t="s">
        <v>14325</v>
      </c>
      <c r="G418" s="237" t="s">
        <v>14089</v>
      </c>
      <c r="H418" s="237" t="s">
        <v>14326</v>
      </c>
      <c r="I418" s="237" t="s">
        <v>14327</v>
      </c>
      <c r="J418" s="237" t="s">
        <v>5224</v>
      </c>
      <c r="K418" s="237" t="s">
        <v>14328</v>
      </c>
      <c r="L418" s="237" t="s">
        <v>8450</v>
      </c>
      <c r="M418" s="232" t="s">
        <v>9383</v>
      </c>
      <c r="N418" s="430" t="s">
        <v>17527</v>
      </c>
    </row>
    <row r="419">
      <c r="A419" s="427">
        <v>418.0</v>
      </c>
      <c r="B419" s="237" t="s">
        <v>7612</v>
      </c>
      <c r="C419" s="237" t="s">
        <v>7546</v>
      </c>
      <c r="D419" s="428">
        <v>45173.0</v>
      </c>
      <c r="E419" s="237" t="s">
        <v>6921</v>
      </c>
      <c r="F419" s="237" t="s">
        <v>12811</v>
      </c>
      <c r="G419" s="237" t="s">
        <v>12812</v>
      </c>
      <c r="H419" s="237" t="s">
        <v>10168</v>
      </c>
      <c r="I419" s="237" t="s">
        <v>12813</v>
      </c>
      <c r="J419" s="237" t="s">
        <v>5224</v>
      </c>
      <c r="K419" s="237" t="s">
        <v>2300</v>
      </c>
      <c r="L419" s="237" t="s">
        <v>10538</v>
      </c>
      <c r="M419" s="232" t="s">
        <v>9383</v>
      </c>
      <c r="N419" s="430" t="s">
        <v>17527</v>
      </c>
    </row>
    <row r="420">
      <c r="A420" s="427">
        <v>419.0</v>
      </c>
      <c r="B420" s="237" t="s">
        <v>3529</v>
      </c>
      <c r="C420" s="237" t="s">
        <v>7546</v>
      </c>
      <c r="D420" s="428">
        <v>45040.0</v>
      </c>
      <c r="E420" s="237" t="s">
        <v>6921</v>
      </c>
      <c r="F420" s="237" t="s">
        <v>15034</v>
      </c>
      <c r="G420" s="237" t="s">
        <v>17544</v>
      </c>
      <c r="H420" s="237" t="s">
        <v>9789</v>
      </c>
      <c r="I420" s="237" t="s">
        <v>6559</v>
      </c>
      <c r="J420" s="237" t="s">
        <v>5224</v>
      </c>
      <c r="K420" s="237" t="s">
        <v>2300</v>
      </c>
      <c r="L420" s="237" t="s">
        <v>10538</v>
      </c>
      <c r="M420" s="232" t="s">
        <v>9383</v>
      </c>
      <c r="N420" s="430" t="s">
        <v>17527</v>
      </c>
    </row>
    <row r="421">
      <c r="A421" s="427">
        <v>420.0</v>
      </c>
      <c r="B421" s="237" t="s">
        <v>7605</v>
      </c>
      <c r="C421" s="237" t="s">
        <v>7546</v>
      </c>
      <c r="D421" s="428">
        <v>44992.0</v>
      </c>
      <c r="E421" s="237" t="s">
        <v>6921</v>
      </c>
      <c r="F421" s="237" t="s">
        <v>12800</v>
      </c>
      <c r="G421" s="237" t="s">
        <v>11628</v>
      </c>
      <c r="H421" s="237" t="s">
        <v>12801</v>
      </c>
      <c r="I421" s="237" t="s">
        <v>12802</v>
      </c>
      <c r="J421" s="237" t="s">
        <v>5224</v>
      </c>
      <c r="K421" s="237" t="s">
        <v>2300</v>
      </c>
      <c r="L421" s="237" t="s">
        <v>10538</v>
      </c>
      <c r="M421" s="232" t="s">
        <v>9383</v>
      </c>
      <c r="N421" s="430" t="s">
        <v>17527</v>
      </c>
    </row>
    <row r="422">
      <c r="A422" s="427">
        <v>421.0</v>
      </c>
      <c r="B422" s="237" t="s">
        <v>7410</v>
      </c>
      <c r="C422" s="237" t="s">
        <v>7405</v>
      </c>
      <c r="D422" s="428">
        <v>45110.0</v>
      </c>
      <c r="E422" s="237" t="s">
        <v>6921</v>
      </c>
      <c r="F422" s="237" t="s">
        <v>12883</v>
      </c>
      <c r="G422" s="237" t="s">
        <v>12884</v>
      </c>
      <c r="H422" s="237" t="s">
        <v>12885</v>
      </c>
      <c r="I422" s="237" t="s">
        <v>12886</v>
      </c>
      <c r="J422" s="237" t="s">
        <v>5224</v>
      </c>
      <c r="K422" s="237" t="s">
        <v>2300</v>
      </c>
      <c r="L422" s="237" t="s">
        <v>2904</v>
      </c>
      <c r="M422" s="232" t="s">
        <v>9383</v>
      </c>
      <c r="N422" s="430" t="s">
        <v>17527</v>
      </c>
    </row>
    <row r="423">
      <c r="A423" s="427">
        <v>422.0</v>
      </c>
      <c r="B423" s="237" t="s">
        <v>7615</v>
      </c>
      <c r="C423" s="237" t="s">
        <v>7575</v>
      </c>
      <c r="D423" s="428">
        <v>44986.0</v>
      </c>
      <c r="E423" s="237" t="s">
        <v>6921</v>
      </c>
      <c r="F423" s="237" t="s">
        <v>12931</v>
      </c>
      <c r="G423" s="237" t="s">
        <v>12932</v>
      </c>
      <c r="H423" s="237" t="s">
        <v>12933</v>
      </c>
      <c r="I423" s="237" t="s">
        <v>12934</v>
      </c>
      <c r="J423" s="237" t="s">
        <v>5224</v>
      </c>
      <c r="K423" s="237" t="s">
        <v>2300</v>
      </c>
      <c r="L423" s="237" t="s">
        <v>10538</v>
      </c>
      <c r="M423" s="232" t="s">
        <v>9383</v>
      </c>
      <c r="N423" s="430" t="s">
        <v>17527</v>
      </c>
    </row>
    <row r="424">
      <c r="A424" s="427">
        <v>423.0</v>
      </c>
      <c r="B424" s="237" t="s">
        <v>6405</v>
      </c>
      <c r="C424" s="237" t="s">
        <v>6918</v>
      </c>
      <c r="D424" s="428">
        <v>45307.0</v>
      </c>
      <c r="E424" s="237" t="s">
        <v>6921</v>
      </c>
      <c r="F424" s="237" t="s">
        <v>17545</v>
      </c>
      <c r="G424" s="237" t="s">
        <v>17546</v>
      </c>
      <c r="H424" s="237" t="s">
        <v>11147</v>
      </c>
      <c r="I424" s="237" t="s">
        <v>6407</v>
      </c>
      <c r="J424" s="237" t="s">
        <v>5224</v>
      </c>
      <c r="K424" s="237" t="s">
        <v>2300</v>
      </c>
      <c r="L424" s="237" t="s">
        <v>5805</v>
      </c>
      <c r="M424" s="232" t="s">
        <v>9383</v>
      </c>
      <c r="N424" s="430" t="s">
        <v>17527</v>
      </c>
    </row>
    <row r="425">
      <c r="A425" s="427">
        <v>424.0</v>
      </c>
      <c r="B425" s="237" t="s">
        <v>7395</v>
      </c>
      <c r="C425" s="237" t="s">
        <v>6918</v>
      </c>
      <c r="D425" s="428">
        <v>44440.0</v>
      </c>
      <c r="E425" s="237" t="s">
        <v>6921</v>
      </c>
      <c r="F425" s="237" t="s">
        <v>14480</v>
      </c>
      <c r="G425" s="237" t="s">
        <v>14481</v>
      </c>
      <c r="H425" s="237" t="s">
        <v>14482</v>
      </c>
      <c r="I425" s="237" t="s">
        <v>14483</v>
      </c>
      <c r="J425" s="237" t="s">
        <v>5224</v>
      </c>
      <c r="K425" s="237" t="s">
        <v>2300</v>
      </c>
      <c r="L425" s="237" t="s">
        <v>2904</v>
      </c>
      <c r="M425" s="232" t="s">
        <v>9383</v>
      </c>
      <c r="N425" s="430" t="s">
        <v>17527</v>
      </c>
    </row>
    <row r="426">
      <c r="A426" s="427">
        <v>425.0</v>
      </c>
      <c r="B426" s="237" t="s">
        <v>8643</v>
      </c>
      <c r="C426" s="237" t="s">
        <v>6918</v>
      </c>
      <c r="D426" s="428">
        <v>45566.0</v>
      </c>
      <c r="E426" s="237" t="s">
        <v>6921</v>
      </c>
      <c r="F426" s="237" t="s">
        <v>13583</v>
      </c>
      <c r="G426" s="237" t="s">
        <v>13584</v>
      </c>
      <c r="H426" s="237" t="s">
        <v>13566</v>
      </c>
      <c r="I426" s="237" t="s">
        <v>13585</v>
      </c>
      <c r="J426" s="237" t="s">
        <v>5224</v>
      </c>
      <c r="K426" s="237" t="s">
        <v>2300</v>
      </c>
      <c r="L426" s="237" t="s">
        <v>5805</v>
      </c>
      <c r="M426" s="232" t="s">
        <v>9383</v>
      </c>
      <c r="N426" s="430" t="s">
        <v>17527</v>
      </c>
    </row>
    <row r="427">
      <c r="A427" s="427">
        <v>426.0</v>
      </c>
      <c r="B427" s="237" t="s">
        <v>7944</v>
      </c>
      <c r="C427" s="237" t="s">
        <v>6918</v>
      </c>
      <c r="D427" s="428">
        <v>44760.0</v>
      </c>
      <c r="E427" s="237" t="s">
        <v>6933</v>
      </c>
      <c r="F427" s="237" t="s">
        <v>13897</v>
      </c>
      <c r="G427" s="237" t="s">
        <v>13898</v>
      </c>
      <c r="H427" s="237" t="s">
        <v>9579</v>
      </c>
      <c r="I427" s="237" t="s">
        <v>13899</v>
      </c>
      <c r="J427" s="237" t="s">
        <v>5224</v>
      </c>
      <c r="K427" s="237" t="s">
        <v>2300</v>
      </c>
      <c r="L427" s="237" t="s">
        <v>3096</v>
      </c>
      <c r="M427" s="232" t="s">
        <v>9383</v>
      </c>
      <c r="N427" s="430" t="s">
        <v>17527</v>
      </c>
    </row>
    <row r="428">
      <c r="A428" s="427">
        <v>427.0</v>
      </c>
      <c r="B428" s="237" t="s">
        <v>8636</v>
      </c>
      <c r="C428" s="237" t="s">
        <v>6918</v>
      </c>
      <c r="D428" s="428">
        <v>41429.0</v>
      </c>
      <c r="E428" s="237" t="s">
        <v>6921</v>
      </c>
      <c r="F428" s="237" t="s">
        <v>13215</v>
      </c>
      <c r="G428" s="237" t="s">
        <v>13216</v>
      </c>
      <c r="H428" s="237" t="s">
        <v>11916</v>
      </c>
      <c r="I428" s="237" t="s">
        <v>13217</v>
      </c>
      <c r="J428" s="237" t="s">
        <v>5224</v>
      </c>
      <c r="K428" s="237" t="s">
        <v>9767</v>
      </c>
      <c r="L428" s="237" t="s">
        <v>5805</v>
      </c>
      <c r="M428" s="232" t="s">
        <v>9383</v>
      </c>
      <c r="N428" s="430" t="s">
        <v>17527</v>
      </c>
    </row>
    <row r="429">
      <c r="A429" s="427">
        <v>428.0</v>
      </c>
      <c r="B429" s="237" t="s">
        <v>9452</v>
      </c>
      <c r="C429" s="237" t="s">
        <v>8796</v>
      </c>
      <c r="D429" s="428">
        <v>44788.0</v>
      </c>
      <c r="E429" s="237" t="s">
        <v>6921</v>
      </c>
      <c r="F429" s="237" t="s">
        <v>9454</v>
      </c>
      <c r="G429" s="237" t="s">
        <v>9455</v>
      </c>
      <c r="H429" s="237" t="s">
        <v>9456</v>
      </c>
      <c r="I429" s="237" t="s">
        <v>9457</v>
      </c>
      <c r="J429" s="237" t="s">
        <v>5224</v>
      </c>
      <c r="K429" s="237" t="s">
        <v>9458</v>
      </c>
      <c r="L429" s="237" t="s">
        <v>8991</v>
      </c>
      <c r="M429" s="232" t="s">
        <v>9383</v>
      </c>
      <c r="N429" s="430" t="s">
        <v>17527</v>
      </c>
    </row>
    <row r="430">
      <c r="A430" s="427">
        <v>429.0</v>
      </c>
      <c r="B430" s="237" t="s">
        <v>3714</v>
      </c>
      <c r="C430" s="237" t="s">
        <v>6918</v>
      </c>
      <c r="D430" s="428">
        <v>44992.0</v>
      </c>
      <c r="E430" s="237" t="s">
        <v>6933</v>
      </c>
      <c r="F430" s="237" t="s">
        <v>17547</v>
      </c>
      <c r="G430" s="237" t="s">
        <v>17548</v>
      </c>
      <c r="H430" s="237" t="s">
        <v>17549</v>
      </c>
      <c r="I430" s="237" t="s">
        <v>6625</v>
      </c>
      <c r="J430" s="237" t="s">
        <v>5224</v>
      </c>
      <c r="K430" s="237" t="s">
        <v>9458</v>
      </c>
      <c r="L430" s="237" t="s">
        <v>17550</v>
      </c>
      <c r="M430" s="232" t="s">
        <v>9383</v>
      </c>
      <c r="N430" s="430" t="s">
        <v>17527</v>
      </c>
    </row>
    <row r="431">
      <c r="A431" s="427">
        <v>430.0</v>
      </c>
      <c r="B431" s="237" t="s">
        <v>13736</v>
      </c>
      <c r="C431" s="237" t="s">
        <v>6918</v>
      </c>
      <c r="D431" s="428">
        <v>45537.0</v>
      </c>
      <c r="E431" s="237" t="s">
        <v>6933</v>
      </c>
      <c r="F431" s="237" t="s">
        <v>13737</v>
      </c>
      <c r="G431" s="237" t="s">
        <v>13738</v>
      </c>
      <c r="H431" s="237" t="s">
        <v>11113</v>
      </c>
      <c r="I431" s="237" t="s">
        <v>13739</v>
      </c>
      <c r="J431" s="237" t="s">
        <v>5224</v>
      </c>
      <c r="K431" s="237" t="s">
        <v>9458</v>
      </c>
      <c r="L431" s="237" t="s">
        <v>2836</v>
      </c>
      <c r="M431" s="232" t="s">
        <v>9383</v>
      </c>
      <c r="N431" s="430" t="s">
        <v>17527</v>
      </c>
    </row>
    <row r="432">
      <c r="A432" s="427">
        <v>431.0</v>
      </c>
      <c r="B432" s="237" t="s">
        <v>3908</v>
      </c>
      <c r="C432" s="237" t="s">
        <v>6918</v>
      </c>
      <c r="D432" s="428">
        <v>45019.0</v>
      </c>
      <c r="E432" s="237" t="s">
        <v>6933</v>
      </c>
      <c r="F432" s="237" t="s">
        <v>17551</v>
      </c>
      <c r="G432" s="237" t="s">
        <v>17552</v>
      </c>
      <c r="H432" s="237" t="s">
        <v>13514</v>
      </c>
      <c r="I432" s="237" t="s">
        <v>6699</v>
      </c>
      <c r="J432" s="237" t="s">
        <v>5224</v>
      </c>
      <c r="K432" s="237" t="s">
        <v>9458</v>
      </c>
      <c r="L432" s="237" t="s">
        <v>2292</v>
      </c>
      <c r="M432" s="232" t="s">
        <v>9383</v>
      </c>
      <c r="N432" s="430" t="s">
        <v>17527</v>
      </c>
    </row>
    <row r="433">
      <c r="A433" s="427">
        <v>432.0</v>
      </c>
      <c r="B433" s="237" t="s">
        <v>3912</v>
      </c>
      <c r="C433" s="237" t="s">
        <v>6918</v>
      </c>
      <c r="D433" s="428">
        <v>45383.0</v>
      </c>
      <c r="E433" s="237" t="s">
        <v>6921</v>
      </c>
      <c r="F433" s="237" t="s">
        <v>17553</v>
      </c>
      <c r="G433" s="237" t="s">
        <v>17554</v>
      </c>
      <c r="H433" s="237" t="s">
        <v>11482</v>
      </c>
      <c r="I433" s="237" t="s">
        <v>6700</v>
      </c>
      <c r="J433" s="237" t="s">
        <v>5224</v>
      </c>
      <c r="K433" s="237" t="s">
        <v>9458</v>
      </c>
      <c r="L433" s="237" t="s">
        <v>17359</v>
      </c>
      <c r="M433" s="232" t="s">
        <v>9383</v>
      </c>
      <c r="N433" s="430" t="s">
        <v>17527</v>
      </c>
    </row>
    <row r="434">
      <c r="A434" s="427">
        <v>433.0</v>
      </c>
      <c r="B434" s="237" t="s">
        <v>821</v>
      </c>
      <c r="C434" s="237" t="s">
        <v>6918</v>
      </c>
      <c r="D434" s="428">
        <v>45586.0</v>
      </c>
      <c r="E434" s="237" t="s">
        <v>6933</v>
      </c>
      <c r="F434" s="237" t="s">
        <v>11369</v>
      </c>
      <c r="G434" s="237" t="s">
        <v>14658</v>
      </c>
      <c r="H434" s="237" t="s">
        <v>9909</v>
      </c>
      <c r="I434" s="237" t="s">
        <v>824</v>
      </c>
      <c r="J434" s="237" t="s">
        <v>5224</v>
      </c>
      <c r="K434" s="237" t="s">
        <v>9458</v>
      </c>
      <c r="L434" s="237" t="s">
        <v>17555</v>
      </c>
      <c r="M434" s="232" t="s">
        <v>9383</v>
      </c>
      <c r="N434" s="430" t="s">
        <v>17527</v>
      </c>
    </row>
    <row r="435">
      <c r="A435" s="427">
        <v>434.0</v>
      </c>
      <c r="B435" s="237" t="s">
        <v>3798</v>
      </c>
      <c r="C435" s="237" t="s">
        <v>6918</v>
      </c>
      <c r="D435" s="428">
        <v>44531.0</v>
      </c>
      <c r="E435" s="237" t="s">
        <v>6921</v>
      </c>
      <c r="F435" s="237" t="s">
        <v>17556</v>
      </c>
      <c r="G435" s="237" t="s">
        <v>17557</v>
      </c>
      <c r="H435" s="237" t="s">
        <v>9526</v>
      </c>
      <c r="I435" s="237" t="s">
        <v>6659</v>
      </c>
      <c r="J435" s="237" t="s">
        <v>5224</v>
      </c>
      <c r="K435" s="237" t="s">
        <v>9458</v>
      </c>
      <c r="L435" s="237" t="s">
        <v>3313</v>
      </c>
      <c r="M435" s="232" t="s">
        <v>9383</v>
      </c>
      <c r="N435" s="430" t="s">
        <v>17527</v>
      </c>
    </row>
    <row r="436">
      <c r="A436" s="427">
        <v>435.0</v>
      </c>
      <c r="B436" s="237" t="s">
        <v>14035</v>
      </c>
      <c r="C436" s="237" t="s">
        <v>6918</v>
      </c>
      <c r="D436" s="428">
        <v>45154.0</v>
      </c>
      <c r="E436" s="237" t="s">
        <v>6933</v>
      </c>
      <c r="F436" s="237" t="s">
        <v>14036</v>
      </c>
      <c r="G436" s="237" t="s">
        <v>14037</v>
      </c>
      <c r="H436" s="237" t="s">
        <v>12947</v>
      </c>
      <c r="I436" s="237" t="s">
        <v>6333</v>
      </c>
      <c r="J436" s="237" t="s">
        <v>5224</v>
      </c>
      <c r="K436" s="237" t="s">
        <v>9458</v>
      </c>
      <c r="L436" s="237" t="s">
        <v>14038</v>
      </c>
      <c r="M436" s="232" t="s">
        <v>9383</v>
      </c>
      <c r="N436" s="430" t="s">
        <v>17527</v>
      </c>
    </row>
    <row r="437">
      <c r="A437" s="427">
        <v>436.0</v>
      </c>
      <c r="B437" s="237" t="s">
        <v>4782</v>
      </c>
      <c r="C437" s="237" t="s">
        <v>6918</v>
      </c>
      <c r="D437" s="428">
        <v>45110.0</v>
      </c>
      <c r="E437" s="237" t="s">
        <v>6921</v>
      </c>
      <c r="F437" s="237" t="s">
        <v>14931</v>
      </c>
      <c r="G437" s="237" t="s">
        <v>14932</v>
      </c>
      <c r="H437" s="237" t="s">
        <v>10086</v>
      </c>
      <c r="I437" s="237" t="s">
        <v>4783</v>
      </c>
      <c r="J437" s="237" t="s">
        <v>5224</v>
      </c>
      <c r="K437" s="237" t="s">
        <v>4780</v>
      </c>
      <c r="L437" s="237" t="s">
        <v>14135</v>
      </c>
      <c r="M437" s="232" t="s">
        <v>9383</v>
      </c>
      <c r="N437" s="430" t="s">
        <v>17527</v>
      </c>
    </row>
    <row r="438">
      <c r="A438" s="427">
        <v>437.0</v>
      </c>
      <c r="B438" s="237" t="s">
        <v>4106</v>
      </c>
      <c r="C438" s="237" t="s">
        <v>6918</v>
      </c>
      <c r="D438" s="428">
        <v>45474.0</v>
      </c>
      <c r="E438" s="237" t="s">
        <v>6921</v>
      </c>
      <c r="F438" s="237" t="s">
        <v>11617</v>
      </c>
      <c r="G438" s="237" t="s">
        <v>17558</v>
      </c>
      <c r="H438" s="237" t="s">
        <v>9956</v>
      </c>
      <c r="I438" s="237" t="s">
        <v>4787</v>
      </c>
      <c r="J438" s="237" t="s">
        <v>5224</v>
      </c>
      <c r="K438" s="237" t="s">
        <v>4780</v>
      </c>
      <c r="L438" s="237" t="s">
        <v>14135</v>
      </c>
      <c r="M438" s="232" t="s">
        <v>9383</v>
      </c>
      <c r="N438" s="430" t="s">
        <v>17527</v>
      </c>
    </row>
    <row r="439">
      <c r="A439" s="427">
        <v>438.0</v>
      </c>
      <c r="B439" s="237" t="s">
        <v>269</v>
      </c>
      <c r="C439" s="237" t="s">
        <v>6918</v>
      </c>
      <c r="D439" s="428">
        <v>45642.0</v>
      </c>
      <c r="E439" s="237" t="s">
        <v>6921</v>
      </c>
      <c r="F439" s="237" t="s">
        <v>13575</v>
      </c>
      <c r="G439" s="237" t="s">
        <v>10295</v>
      </c>
      <c r="H439" s="237" t="s">
        <v>13576</v>
      </c>
      <c r="I439" s="237" t="s">
        <v>273</v>
      </c>
      <c r="J439" s="237" t="s">
        <v>5224</v>
      </c>
      <c r="K439" s="237" t="s">
        <v>13577</v>
      </c>
      <c r="L439" s="237" t="s">
        <v>17359</v>
      </c>
      <c r="M439" s="232" t="s">
        <v>9383</v>
      </c>
      <c r="N439" s="430" t="s">
        <v>17527</v>
      </c>
    </row>
    <row r="440">
      <c r="A440" s="427">
        <v>439.0</v>
      </c>
      <c r="B440" s="237" t="s">
        <v>8933</v>
      </c>
      <c r="C440" s="237" t="s">
        <v>6918</v>
      </c>
      <c r="D440" s="428">
        <v>44459.0</v>
      </c>
      <c r="E440" s="237" t="s">
        <v>6921</v>
      </c>
      <c r="F440" s="237" t="s">
        <v>15031</v>
      </c>
      <c r="G440" s="237" t="s">
        <v>15032</v>
      </c>
      <c r="H440" s="237" t="s">
        <v>11585</v>
      </c>
      <c r="I440" s="237" t="s">
        <v>15033</v>
      </c>
      <c r="J440" s="237" t="s">
        <v>5224</v>
      </c>
      <c r="K440" s="237" t="s">
        <v>13577</v>
      </c>
      <c r="L440" s="237" t="s">
        <v>2244</v>
      </c>
      <c r="M440" s="232" t="s">
        <v>9383</v>
      </c>
      <c r="N440" s="430" t="s">
        <v>17527</v>
      </c>
    </row>
    <row r="441">
      <c r="A441" s="427">
        <v>440.0</v>
      </c>
      <c r="B441" s="237" t="s">
        <v>7445</v>
      </c>
      <c r="C441" s="237" t="s">
        <v>6918</v>
      </c>
      <c r="D441" s="428">
        <v>45019.0</v>
      </c>
      <c r="E441" s="237" t="s">
        <v>6921</v>
      </c>
      <c r="F441" s="237" t="s">
        <v>13810</v>
      </c>
      <c r="G441" s="237" t="s">
        <v>13811</v>
      </c>
      <c r="H441" s="237" t="s">
        <v>10193</v>
      </c>
      <c r="I441" s="237" t="s">
        <v>13812</v>
      </c>
      <c r="J441" s="237" t="s">
        <v>5224</v>
      </c>
      <c r="K441" s="237" t="s">
        <v>13813</v>
      </c>
      <c r="L441" s="237" t="s">
        <v>7434</v>
      </c>
      <c r="M441" s="232" t="s">
        <v>9383</v>
      </c>
      <c r="N441" s="430" t="s">
        <v>17527</v>
      </c>
    </row>
    <row r="442">
      <c r="A442" s="427">
        <v>441.0</v>
      </c>
      <c r="B442" s="237" t="s">
        <v>7437</v>
      </c>
      <c r="C442" s="237" t="s">
        <v>6918</v>
      </c>
      <c r="D442" s="428">
        <v>43497.0</v>
      </c>
      <c r="E442" s="237" t="s">
        <v>6933</v>
      </c>
      <c r="F442" s="237" t="s">
        <v>13597</v>
      </c>
      <c r="G442" s="237" t="s">
        <v>9764</v>
      </c>
      <c r="H442" s="237" t="s">
        <v>13598</v>
      </c>
      <c r="I442" s="237" t="s">
        <v>13599</v>
      </c>
      <c r="J442" s="237" t="s">
        <v>5224</v>
      </c>
      <c r="K442" s="237" t="s">
        <v>13813</v>
      </c>
      <c r="L442" s="237" t="s">
        <v>7434</v>
      </c>
      <c r="M442" s="232" t="s">
        <v>9383</v>
      </c>
      <c r="N442" s="430" t="s">
        <v>17527</v>
      </c>
    </row>
    <row r="443">
      <c r="A443" s="427">
        <v>442.0</v>
      </c>
      <c r="B443" s="237" t="s">
        <v>4347</v>
      </c>
      <c r="C443" s="237" t="s">
        <v>8796</v>
      </c>
      <c r="D443" s="428">
        <v>45447.0</v>
      </c>
      <c r="E443" s="237" t="s">
        <v>6921</v>
      </c>
      <c r="F443" s="237" t="s">
        <v>9657</v>
      </c>
      <c r="G443" s="237" t="s">
        <v>9658</v>
      </c>
      <c r="H443" s="237" t="s">
        <v>9659</v>
      </c>
      <c r="I443" s="237" t="s">
        <v>6831</v>
      </c>
      <c r="J443" s="237" t="s">
        <v>5012</v>
      </c>
      <c r="K443" s="237" t="s">
        <v>9560</v>
      </c>
      <c r="L443" s="237" t="s">
        <v>8991</v>
      </c>
      <c r="M443" s="232" t="s">
        <v>9383</v>
      </c>
      <c r="N443" s="430" t="s">
        <v>17527</v>
      </c>
    </row>
    <row r="444">
      <c r="A444" s="427">
        <v>443.0</v>
      </c>
      <c r="B444" s="237" t="s">
        <v>15849</v>
      </c>
      <c r="C444" s="237" t="s">
        <v>6918</v>
      </c>
      <c r="D444" s="428">
        <v>45005.0</v>
      </c>
      <c r="E444" s="237" t="s">
        <v>6921</v>
      </c>
      <c r="F444" s="237" t="s">
        <v>15850</v>
      </c>
      <c r="G444" s="237" t="s">
        <v>15851</v>
      </c>
      <c r="H444" s="237" t="s">
        <v>11533</v>
      </c>
      <c r="I444" s="237" t="s">
        <v>15852</v>
      </c>
      <c r="J444" s="237" t="s">
        <v>5012</v>
      </c>
      <c r="K444" s="237" t="s">
        <v>9560</v>
      </c>
      <c r="L444" s="237" t="s">
        <v>17367</v>
      </c>
      <c r="M444" s="232" t="s">
        <v>9383</v>
      </c>
      <c r="N444" s="430" t="s">
        <v>17527</v>
      </c>
    </row>
    <row r="445">
      <c r="A445" s="427">
        <v>444.0</v>
      </c>
      <c r="B445" s="237" t="s">
        <v>14245</v>
      </c>
      <c r="C445" s="237" t="s">
        <v>6918</v>
      </c>
      <c r="D445" s="428">
        <v>45054.0</v>
      </c>
      <c r="E445" s="237" t="s">
        <v>6921</v>
      </c>
      <c r="F445" s="237" t="s">
        <v>14246</v>
      </c>
      <c r="G445" s="237" t="s">
        <v>14247</v>
      </c>
      <c r="H445" s="237" t="s">
        <v>9566</v>
      </c>
      <c r="I445" s="237" t="s">
        <v>14248</v>
      </c>
      <c r="J445" s="237" t="s">
        <v>5012</v>
      </c>
      <c r="K445" s="237" t="s">
        <v>9560</v>
      </c>
      <c r="L445" s="237" t="s">
        <v>3280</v>
      </c>
      <c r="M445" s="232" t="s">
        <v>9383</v>
      </c>
      <c r="N445" s="430" t="s">
        <v>17527</v>
      </c>
    </row>
    <row r="446">
      <c r="A446" s="427">
        <v>445.0</v>
      </c>
      <c r="B446" s="237" t="s">
        <v>4228</v>
      </c>
      <c r="C446" s="237" t="s">
        <v>6918</v>
      </c>
      <c r="D446" s="428">
        <v>45764.0</v>
      </c>
      <c r="E446" s="237" t="s">
        <v>6921</v>
      </c>
      <c r="F446" s="237" t="s">
        <v>17559</v>
      </c>
      <c r="G446" s="237" t="s">
        <v>17560</v>
      </c>
      <c r="H446" s="231"/>
      <c r="I446" s="237" t="s">
        <v>6797</v>
      </c>
      <c r="J446" s="237" t="s">
        <v>5012</v>
      </c>
      <c r="K446" s="237" t="s">
        <v>9560</v>
      </c>
      <c r="L446" s="237" t="s">
        <v>17370</v>
      </c>
      <c r="M446" s="232" t="s">
        <v>9391</v>
      </c>
      <c r="N446" s="430" t="s">
        <v>17527</v>
      </c>
    </row>
    <row r="447">
      <c r="A447" s="427">
        <v>446.0</v>
      </c>
      <c r="B447" s="237" t="s">
        <v>13491</v>
      </c>
      <c r="C447" s="237" t="s">
        <v>6918</v>
      </c>
      <c r="D447" s="428">
        <v>43170.0</v>
      </c>
      <c r="E447" s="237" t="s">
        <v>6921</v>
      </c>
      <c r="F447" s="237" t="s">
        <v>13493</v>
      </c>
      <c r="G447" s="237" t="s">
        <v>13494</v>
      </c>
      <c r="H447" s="237" t="s">
        <v>13495</v>
      </c>
      <c r="I447" s="237" t="s">
        <v>13496</v>
      </c>
      <c r="J447" s="237" t="s">
        <v>5012</v>
      </c>
      <c r="K447" s="237" t="s">
        <v>9560</v>
      </c>
      <c r="L447" s="237" t="s">
        <v>17472</v>
      </c>
      <c r="M447" s="232" t="s">
        <v>9383</v>
      </c>
      <c r="N447" s="430" t="s">
        <v>17527</v>
      </c>
    </row>
    <row r="448">
      <c r="A448" s="427">
        <v>447.0</v>
      </c>
      <c r="B448" s="237" t="s">
        <v>13313</v>
      </c>
      <c r="C448" s="237" t="s">
        <v>6918</v>
      </c>
      <c r="D448" s="428">
        <v>44851.0</v>
      </c>
      <c r="E448" s="237" t="s">
        <v>6921</v>
      </c>
      <c r="F448" s="237" t="s">
        <v>13315</v>
      </c>
      <c r="G448" s="237" t="s">
        <v>13316</v>
      </c>
      <c r="H448" s="237" t="s">
        <v>10761</v>
      </c>
      <c r="I448" s="237" t="s">
        <v>13317</v>
      </c>
      <c r="J448" s="237" t="s">
        <v>5012</v>
      </c>
      <c r="K448" s="237" t="s">
        <v>9560</v>
      </c>
      <c r="L448" s="237" t="s">
        <v>17385</v>
      </c>
      <c r="M448" s="232" t="s">
        <v>9383</v>
      </c>
      <c r="N448" s="430" t="s">
        <v>17527</v>
      </c>
    </row>
    <row r="449">
      <c r="A449" s="427">
        <v>448.0</v>
      </c>
      <c r="B449" s="237" t="s">
        <v>13293</v>
      </c>
      <c r="C449" s="237" t="s">
        <v>6918</v>
      </c>
      <c r="D449" s="428">
        <v>45597.0</v>
      </c>
      <c r="E449" s="237" t="s">
        <v>6921</v>
      </c>
      <c r="F449" s="237" t="s">
        <v>13294</v>
      </c>
      <c r="G449" s="237" t="s">
        <v>13295</v>
      </c>
      <c r="H449" s="237" t="s">
        <v>13296</v>
      </c>
      <c r="I449" s="237" t="s">
        <v>13297</v>
      </c>
      <c r="J449" s="237" t="s">
        <v>5012</v>
      </c>
      <c r="K449" s="237" t="s">
        <v>9560</v>
      </c>
      <c r="L449" s="237" t="s">
        <v>17368</v>
      </c>
      <c r="M449" s="232" t="s">
        <v>9383</v>
      </c>
      <c r="N449" s="430" t="s">
        <v>17527</v>
      </c>
    </row>
    <row r="450">
      <c r="A450" s="427">
        <v>449.0</v>
      </c>
      <c r="B450" s="237" t="s">
        <v>13068</v>
      </c>
      <c r="C450" s="237" t="s">
        <v>6918</v>
      </c>
      <c r="D450" s="428">
        <v>45719.0</v>
      </c>
      <c r="E450" s="237" t="s">
        <v>6921</v>
      </c>
      <c r="F450" s="237" t="s">
        <v>13069</v>
      </c>
      <c r="G450" s="237" t="s">
        <v>13070</v>
      </c>
      <c r="H450" s="231"/>
      <c r="I450" s="237" t="s">
        <v>13071</v>
      </c>
      <c r="J450" s="237" t="s">
        <v>5012</v>
      </c>
      <c r="K450" s="237" t="s">
        <v>9560</v>
      </c>
      <c r="L450" s="237" t="s">
        <v>17458</v>
      </c>
      <c r="M450" s="232" t="s">
        <v>9391</v>
      </c>
      <c r="N450" s="430" t="s">
        <v>17527</v>
      </c>
    </row>
    <row r="451">
      <c r="A451" s="427">
        <v>450.0</v>
      </c>
      <c r="B451" s="237" t="s">
        <v>3923</v>
      </c>
      <c r="C451" s="237" t="s">
        <v>6918</v>
      </c>
      <c r="D451" s="428">
        <v>45096.0</v>
      </c>
      <c r="E451" s="237" t="s">
        <v>6921</v>
      </c>
      <c r="F451" s="237" t="s">
        <v>17561</v>
      </c>
      <c r="G451" s="237" t="s">
        <v>17562</v>
      </c>
      <c r="H451" s="237" t="s">
        <v>11710</v>
      </c>
      <c r="I451" s="237" t="s">
        <v>6704</v>
      </c>
      <c r="J451" s="237" t="s">
        <v>5012</v>
      </c>
      <c r="K451" s="237" t="s">
        <v>9560</v>
      </c>
      <c r="L451" s="237" t="s">
        <v>17385</v>
      </c>
      <c r="M451" s="232" t="s">
        <v>9383</v>
      </c>
      <c r="N451" s="430" t="s">
        <v>17527</v>
      </c>
    </row>
    <row r="452">
      <c r="A452" s="427">
        <v>451.0</v>
      </c>
      <c r="B452" s="237" t="s">
        <v>12949</v>
      </c>
      <c r="C452" s="237" t="s">
        <v>6918</v>
      </c>
      <c r="D452" s="428">
        <v>45019.0</v>
      </c>
      <c r="E452" s="237" t="s">
        <v>6921</v>
      </c>
      <c r="F452" s="237" t="s">
        <v>12950</v>
      </c>
      <c r="G452" s="237" t="s">
        <v>12951</v>
      </c>
      <c r="H452" s="237" t="s">
        <v>9531</v>
      </c>
      <c r="I452" s="237" t="s">
        <v>12952</v>
      </c>
      <c r="J452" s="237" t="s">
        <v>5012</v>
      </c>
      <c r="K452" s="237" t="s">
        <v>9560</v>
      </c>
      <c r="L452" s="237" t="s">
        <v>17493</v>
      </c>
      <c r="M452" s="232" t="s">
        <v>9383</v>
      </c>
      <c r="N452" s="430" t="s">
        <v>17527</v>
      </c>
    </row>
    <row r="453">
      <c r="A453" s="427">
        <v>452.0</v>
      </c>
      <c r="B453" s="237" t="s">
        <v>13145</v>
      </c>
      <c r="C453" s="237" t="s">
        <v>6918</v>
      </c>
      <c r="D453" s="428">
        <v>44305.0</v>
      </c>
      <c r="E453" s="237" t="s">
        <v>6921</v>
      </c>
      <c r="F453" s="237" t="s">
        <v>13147</v>
      </c>
      <c r="G453" s="237" t="s">
        <v>17563</v>
      </c>
      <c r="H453" s="237" t="s">
        <v>13149</v>
      </c>
      <c r="I453" s="237" t="s">
        <v>13150</v>
      </c>
      <c r="J453" s="237" t="s">
        <v>5012</v>
      </c>
      <c r="K453" s="237" t="s">
        <v>9560</v>
      </c>
      <c r="L453" s="237" t="s">
        <v>17373</v>
      </c>
      <c r="M453" s="232" t="s">
        <v>9383</v>
      </c>
      <c r="N453" s="430" t="s">
        <v>17527</v>
      </c>
    </row>
    <row r="454">
      <c r="A454" s="427">
        <v>453.0</v>
      </c>
      <c r="B454" s="237" t="s">
        <v>14157</v>
      </c>
      <c r="C454" s="237" t="s">
        <v>6918</v>
      </c>
      <c r="D454" s="428">
        <v>44781.0</v>
      </c>
      <c r="E454" s="237" t="s">
        <v>6921</v>
      </c>
      <c r="F454" s="237" t="s">
        <v>14159</v>
      </c>
      <c r="G454" s="237" t="s">
        <v>14160</v>
      </c>
      <c r="H454" s="237" t="s">
        <v>14161</v>
      </c>
      <c r="I454" s="237" t="s">
        <v>14162</v>
      </c>
      <c r="J454" s="237" t="s">
        <v>5012</v>
      </c>
      <c r="K454" s="237" t="s">
        <v>9560</v>
      </c>
      <c r="L454" s="237" t="s">
        <v>17466</v>
      </c>
      <c r="M454" s="232" t="s">
        <v>9383</v>
      </c>
      <c r="N454" s="430" t="s">
        <v>17527</v>
      </c>
    </row>
    <row r="455">
      <c r="A455" s="427">
        <v>454.0</v>
      </c>
      <c r="B455" s="237" t="s">
        <v>3395</v>
      </c>
      <c r="C455" s="237" t="s">
        <v>6918</v>
      </c>
      <c r="D455" s="428">
        <v>45748.0</v>
      </c>
      <c r="E455" s="237" t="s">
        <v>6921</v>
      </c>
      <c r="F455" s="237" t="s">
        <v>14277</v>
      </c>
      <c r="G455" s="237" t="s">
        <v>14278</v>
      </c>
      <c r="H455" s="237" t="s">
        <v>14279</v>
      </c>
      <c r="I455" s="237" t="s">
        <v>6485</v>
      </c>
      <c r="J455" s="237" t="s">
        <v>5012</v>
      </c>
      <c r="K455" s="237" t="s">
        <v>9560</v>
      </c>
      <c r="L455" s="237" t="s">
        <v>13414</v>
      </c>
      <c r="M455" s="232" t="s">
        <v>9391</v>
      </c>
      <c r="N455" s="430" t="s">
        <v>17527</v>
      </c>
    </row>
    <row r="456">
      <c r="A456" s="427">
        <v>455.0</v>
      </c>
      <c r="B456" s="237" t="s">
        <v>14276</v>
      </c>
      <c r="C456" s="237" t="s">
        <v>6918</v>
      </c>
      <c r="D456" s="428">
        <v>45748.0</v>
      </c>
      <c r="E456" s="237" t="s">
        <v>6921</v>
      </c>
      <c r="F456" s="237" t="s">
        <v>14277</v>
      </c>
      <c r="G456" s="237" t="s">
        <v>14278</v>
      </c>
      <c r="H456" s="237" t="s">
        <v>14279</v>
      </c>
      <c r="I456" s="237" t="s">
        <v>6485</v>
      </c>
      <c r="J456" s="237" t="s">
        <v>5012</v>
      </c>
      <c r="K456" s="237" t="s">
        <v>9560</v>
      </c>
      <c r="L456" s="237" t="s">
        <v>13414</v>
      </c>
      <c r="M456" s="232" t="s">
        <v>9391</v>
      </c>
      <c r="N456" s="430" t="s">
        <v>17527</v>
      </c>
    </row>
    <row r="457">
      <c r="A457" s="427">
        <v>456.0</v>
      </c>
      <c r="B457" s="237" t="s">
        <v>14701</v>
      </c>
      <c r="C457" s="237" t="s">
        <v>6918</v>
      </c>
      <c r="D457" s="428">
        <v>45352.0</v>
      </c>
      <c r="E457" s="237" t="s">
        <v>6933</v>
      </c>
      <c r="F457" s="237" t="s">
        <v>14702</v>
      </c>
      <c r="G457" s="237" t="s">
        <v>14703</v>
      </c>
      <c r="H457" s="237" t="s">
        <v>14704</v>
      </c>
      <c r="I457" s="237" t="s">
        <v>14705</v>
      </c>
      <c r="J457" s="237" t="s">
        <v>5012</v>
      </c>
      <c r="K457" s="237" t="s">
        <v>9560</v>
      </c>
      <c r="L457" s="237" t="s">
        <v>17493</v>
      </c>
      <c r="M457" s="232" t="s">
        <v>9383</v>
      </c>
      <c r="N457" s="430" t="s">
        <v>17527</v>
      </c>
    </row>
    <row r="458">
      <c r="A458" s="427">
        <v>457.0</v>
      </c>
      <c r="B458" s="237" t="s">
        <v>14577</v>
      </c>
      <c r="C458" s="237" t="s">
        <v>6918</v>
      </c>
      <c r="D458" s="428">
        <v>45719.0</v>
      </c>
      <c r="E458" s="237" t="s">
        <v>6921</v>
      </c>
      <c r="F458" s="237" t="s">
        <v>14578</v>
      </c>
      <c r="G458" s="237" t="s">
        <v>14579</v>
      </c>
      <c r="H458" s="237" t="s">
        <v>9754</v>
      </c>
      <c r="I458" s="237" t="s">
        <v>14580</v>
      </c>
      <c r="J458" s="237" t="s">
        <v>5012</v>
      </c>
      <c r="K458" s="237" t="s">
        <v>9560</v>
      </c>
      <c r="L458" s="237" t="s">
        <v>17366</v>
      </c>
      <c r="M458" s="232" t="s">
        <v>9391</v>
      </c>
      <c r="N458" s="430" t="s">
        <v>17527</v>
      </c>
    </row>
    <row r="459">
      <c r="A459" s="427">
        <v>458.0</v>
      </c>
      <c r="B459" s="237" t="s">
        <v>4109</v>
      </c>
      <c r="C459" s="237" t="s">
        <v>6918</v>
      </c>
      <c r="D459" s="428">
        <v>45048.0</v>
      </c>
      <c r="E459" s="237" t="s">
        <v>6921</v>
      </c>
      <c r="F459" s="237" t="s">
        <v>14454</v>
      </c>
      <c r="G459" s="237" t="s">
        <v>17564</v>
      </c>
      <c r="H459" s="237" t="s">
        <v>17565</v>
      </c>
      <c r="I459" s="237" t="s">
        <v>6763</v>
      </c>
      <c r="J459" s="237" t="s">
        <v>5012</v>
      </c>
      <c r="K459" s="237" t="s">
        <v>9560</v>
      </c>
      <c r="L459" s="237" t="s">
        <v>17371</v>
      </c>
      <c r="M459" s="232" t="s">
        <v>9383</v>
      </c>
      <c r="N459" s="430" t="s">
        <v>17527</v>
      </c>
    </row>
    <row r="460">
      <c r="A460" s="427">
        <v>459.0</v>
      </c>
      <c r="B460" s="237" t="s">
        <v>14372</v>
      </c>
      <c r="C460" s="237" t="s">
        <v>6918</v>
      </c>
      <c r="D460" s="428">
        <v>45124.0</v>
      </c>
      <c r="E460" s="237" t="s">
        <v>6921</v>
      </c>
      <c r="F460" s="237" t="s">
        <v>14373</v>
      </c>
      <c r="G460" s="237" t="s">
        <v>14374</v>
      </c>
      <c r="H460" s="237" t="s">
        <v>14375</v>
      </c>
      <c r="I460" s="237" t="s">
        <v>14376</v>
      </c>
      <c r="J460" s="237" t="s">
        <v>5012</v>
      </c>
      <c r="K460" s="237" t="s">
        <v>9560</v>
      </c>
      <c r="L460" s="237" t="s">
        <v>17466</v>
      </c>
      <c r="M460" s="232" t="s">
        <v>9383</v>
      </c>
      <c r="N460" s="430" t="s">
        <v>17527</v>
      </c>
    </row>
    <row r="461">
      <c r="A461" s="427">
        <v>460.0</v>
      </c>
      <c r="B461" s="237" t="s">
        <v>14948</v>
      </c>
      <c r="C461" s="237" t="s">
        <v>6918</v>
      </c>
      <c r="D461" s="428">
        <v>44970.0</v>
      </c>
      <c r="E461" s="237" t="s">
        <v>6921</v>
      </c>
      <c r="F461" s="237" t="s">
        <v>14949</v>
      </c>
      <c r="G461" s="237" t="s">
        <v>14950</v>
      </c>
      <c r="H461" s="237" t="s">
        <v>14951</v>
      </c>
      <c r="I461" s="237" t="s">
        <v>14952</v>
      </c>
      <c r="J461" s="237" t="s">
        <v>5012</v>
      </c>
      <c r="K461" s="237" t="s">
        <v>9560</v>
      </c>
      <c r="L461" s="237" t="s">
        <v>17472</v>
      </c>
      <c r="M461" s="232" t="s">
        <v>9383</v>
      </c>
      <c r="N461" s="430" t="s">
        <v>17527</v>
      </c>
    </row>
    <row r="462">
      <c r="A462" s="427">
        <v>461.0</v>
      </c>
      <c r="B462" s="237" t="s">
        <v>15493</v>
      </c>
      <c r="C462" s="237" t="s">
        <v>6918</v>
      </c>
      <c r="D462" s="428">
        <v>45581.0</v>
      </c>
      <c r="E462" s="237" t="s">
        <v>6933</v>
      </c>
      <c r="F462" s="237" t="s">
        <v>15494</v>
      </c>
      <c r="G462" s="237" t="s">
        <v>15495</v>
      </c>
      <c r="H462" s="237" t="s">
        <v>9691</v>
      </c>
      <c r="I462" s="237" t="s">
        <v>15496</v>
      </c>
      <c r="J462" s="237" t="s">
        <v>5012</v>
      </c>
      <c r="K462" s="237" t="s">
        <v>9560</v>
      </c>
      <c r="L462" s="237" t="s">
        <v>17376</v>
      </c>
      <c r="M462" s="232" t="s">
        <v>9383</v>
      </c>
      <c r="N462" s="430" t="s">
        <v>17527</v>
      </c>
    </row>
    <row r="463">
      <c r="A463" s="427">
        <v>462.0</v>
      </c>
      <c r="B463" s="237" t="s">
        <v>3705</v>
      </c>
      <c r="C463" s="237" t="s">
        <v>6918</v>
      </c>
      <c r="D463" s="428">
        <v>43601.0</v>
      </c>
      <c r="E463" s="237" t="s">
        <v>6921</v>
      </c>
      <c r="F463" s="237" t="s">
        <v>17566</v>
      </c>
      <c r="G463" s="237" t="s">
        <v>17567</v>
      </c>
      <c r="H463" s="237" t="s">
        <v>11870</v>
      </c>
      <c r="I463" s="237" t="s">
        <v>6622</v>
      </c>
      <c r="J463" s="237" t="s">
        <v>5012</v>
      </c>
      <c r="K463" s="237" t="s">
        <v>9560</v>
      </c>
      <c r="L463" s="237" t="s">
        <v>3129</v>
      </c>
      <c r="M463" s="232" t="s">
        <v>9383</v>
      </c>
      <c r="N463" s="430" t="s">
        <v>17527</v>
      </c>
    </row>
    <row r="464">
      <c r="A464" s="427">
        <v>463.0</v>
      </c>
      <c r="B464" s="237" t="s">
        <v>13817</v>
      </c>
      <c r="C464" s="237" t="s">
        <v>6918</v>
      </c>
      <c r="D464" s="428">
        <v>44816.0</v>
      </c>
      <c r="E464" s="237" t="s">
        <v>6921</v>
      </c>
      <c r="F464" s="237" t="s">
        <v>13818</v>
      </c>
      <c r="G464" s="237" t="s">
        <v>13819</v>
      </c>
      <c r="H464" s="237" t="s">
        <v>11194</v>
      </c>
      <c r="I464" s="237" t="s">
        <v>13820</v>
      </c>
      <c r="J464" s="237" t="s">
        <v>5012</v>
      </c>
      <c r="K464" s="237" t="s">
        <v>9560</v>
      </c>
      <c r="L464" s="237" t="s">
        <v>3280</v>
      </c>
      <c r="M464" s="232" t="s">
        <v>9383</v>
      </c>
      <c r="N464" s="430" t="s">
        <v>17527</v>
      </c>
    </row>
    <row r="465">
      <c r="A465" s="427">
        <v>464.0</v>
      </c>
      <c r="B465" s="237" t="s">
        <v>14833</v>
      </c>
      <c r="C465" s="237" t="s">
        <v>6918</v>
      </c>
      <c r="D465" s="428">
        <v>45215.0</v>
      </c>
      <c r="E465" s="237" t="s">
        <v>6921</v>
      </c>
      <c r="F465" s="237" t="s">
        <v>14834</v>
      </c>
      <c r="G465" s="237" t="s">
        <v>14835</v>
      </c>
      <c r="H465" s="237" t="s">
        <v>10749</v>
      </c>
      <c r="I465" s="237" t="s">
        <v>14836</v>
      </c>
      <c r="J465" s="237" t="s">
        <v>5012</v>
      </c>
      <c r="K465" s="237" t="s">
        <v>9560</v>
      </c>
      <c r="L465" s="237" t="s">
        <v>17371</v>
      </c>
      <c r="M465" s="232" t="s">
        <v>9383</v>
      </c>
      <c r="N465" s="430" t="s">
        <v>17527</v>
      </c>
    </row>
    <row r="466">
      <c r="A466" s="427">
        <v>465.0</v>
      </c>
      <c r="B466" s="237" t="s">
        <v>14229</v>
      </c>
      <c r="C466" s="237" t="s">
        <v>6918</v>
      </c>
      <c r="D466" s="428">
        <v>44137.0</v>
      </c>
      <c r="E466" s="237" t="s">
        <v>6921</v>
      </c>
      <c r="F466" s="237" t="s">
        <v>14230</v>
      </c>
      <c r="G466" s="237" t="s">
        <v>14231</v>
      </c>
      <c r="H466" s="237" t="s">
        <v>10145</v>
      </c>
      <c r="I466" s="237" t="s">
        <v>14232</v>
      </c>
      <c r="J466" s="237" t="s">
        <v>5012</v>
      </c>
      <c r="K466" s="237" t="s">
        <v>6322</v>
      </c>
      <c r="L466" s="237" t="s">
        <v>17472</v>
      </c>
      <c r="M466" s="232" t="s">
        <v>9383</v>
      </c>
      <c r="N466" s="430" t="s">
        <v>17527</v>
      </c>
    </row>
    <row r="467">
      <c r="A467" s="427">
        <v>466.0</v>
      </c>
      <c r="B467" s="237" t="s">
        <v>13511</v>
      </c>
      <c r="C467" s="237" t="s">
        <v>6918</v>
      </c>
      <c r="D467" s="428">
        <v>45231.0</v>
      </c>
      <c r="E467" s="237" t="s">
        <v>6933</v>
      </c>
      <c r="F467" s="237" t="s">
        <v>13512</v>
      </c>
      <c r="G467" s="237" t="s">
        <v>13513</v>
      </c>
      <c r="H467" s="237" t="s">
        <v>13514</v>
      </c>
      <c r="I467" s="237" t="s">
        <v>13515</v>
      </c>
      <c r="J467" s="237" t="s">
        <v>5012</v>
      </c>
      <c r="K467" s="237" t="s">
        <v>6322</v>
      </c>
      <c r="L467" s="237" t="s">
        <v>17385</v>
      </c>
      <c r="M467" s="232" t="s">
        <v>9383</v>
      </c>
      <c r="N467" s="430" t="s">
        <v>17527</v>
      </c>
    </row>
    <row r="468">
      <c r="A468" s="427">
        <v>467.0</v>
      </c>
      <c r="B468" s="237" t="s">
        <v>13345</v>
      </c>
      <c r="C468" s="237" t="s">
        <v>6918</v>
      </c>
      <c r="D468" s="428">
        <v>45033.0</v>
      </c>
      <c r="E468" s="237" t="s">
        <v>6921</v>
      </c>
      <c r="F468" s="237" t="s">
        <v>13346</v>
      </c>
      <c r="G468" s="237" t="s">
        <v>13347</v>
      </c>
      <c r="H468" s="237" t="s">
        <v>13198</v>
      </c>
      <c r="I468" s="237" t="s">
        <v>13348</v>
      </c>
      <c r="J468" s="237" t="s">
        <v>5012</v>
      </c>
      <c r="K468" s="237" t="s">
        <v>6322</v>
      </c>
      <c r="L468" s="237" t="s">
        <v>17390</v>
      </c>
      <c r="M468" s="232" t="s">
        <v>9383</v>
      </c>
      <c r="N468" s="430" t="s">
        <v>17527</v>
      </c>
    </row>
    <row r="469">
      <c r="A469" s="427">
        <v>468.0</v>
      </c>
      <c r="B469" s="237" t="s">
        <v>14961</v>
      </c>
      <c r="C469" s="237" t="s">
        <v>6918</v>
      </c>
      <c r="D469" s="428">
        <v>45748.0</v>
      </c>
      <c r="E469" s="237" t="s">
        <v>6921</v>
      </c>
      <c r="F469" s="237" t="s">
        <v>14962</v>
      </c>
      <c r="G469" s="237" t="s">
        <v>14963</v>
      </c>
      <c r="H469" s="237" t="s">
        <v>9856</v>
      </c>
      <c r="I469" s="237" t="s">
        <v>14964</v>
      </c>
      <c r="J469" s="237" t="s">
        <v>5012</v>
      </c>
      <c r="K469" s="237" t="s">
        <v>6322</v>
      </c>
      <c r="L469" s="237" t="s">
        <v>17371</v>
      </c>
      <c r="M469" s="232" t="s">
        <v>9391</v>
      </c>
      <c r="N469" s="430" t="s">
        <v>17527</v>
      </c>
    </row>
    <row r="470">
      <c r="A470" s="427">
        <v>469.0</v>
      </c>
      <c r="B470" s="237" t="s">
        <v>14080</v>
      </c>
      <c r="C470" s="237" t="s">
        <v>6918</v>
      </c>
      <c r="D470" s="428">
        <v>45447.0</v>
      </c>
      <c r="E470" s="237" t="s">
        <v>6921</v>
      </c>
      <c r="F470" s="237" t="s">
        <v>14081</v>
      </c>
      <c r="G470" s="237" t="s">
        <v>14082</v>
      </c>
      <c r="H470" s="237" t="s">
        <v>9754</v>
      </c>
      <c r="I470" s="237" t="s">
        <v>14083</v>
      </c>
      <c r="J470" s="237" t="s">
        <v>5012</v>
      </c>
      <c r="K470" s="237" t="s">
        <v>6322</v>
      </c>
      <c r="L470" s="237" t="s">
        <v>17458</v>
      </c>
      <c r="M470" s="232" t="s">
        <v>9383</v>
      </c>
      <c r="N470" s="430" t="s">
        <v>17527</v>
      </c>
    </row>
    <row r="471">
      <c r="A471" s="427">
        <v>470.0</v>
      </c>
      <c r="B471" s="237" t="s">
        <v>2995</v>
      </c>
      <c r="C471" s="237" t="s">
        <v>6918</v>
      </c>
      <c r="D471" s="428">
        <v>44353.0</v>
      </c>
      <c r="E471" s="237" t="s">
        <v>7239</v>
      </c>
      <c r="F471" s="237" t="s">
        <v>17568</v>
      </c>
      <c r="G471" s="237" t="s">
        <v>17569</v>
      </c>
      <c r="H471" s="237" t="s">
        <v>10765</v>
      </c>
      <c r="I471" s="237" t="s">
        <v>6433</v>
      </c>
      <c r="J471" s="237" t="s">
        <v>5012</v>
      </c>
      <c r="K471" s="237" t="s">
        <v>6322</v>
      </c>
      <c r="L471" s="237" t="s">
        <v>17372</v>
      </c>
      <c r="M471" s="232" t="s">
        <v>9383</v>
      </c>
      <c r="N471" s="430" t="s">
        <v>17527</v>
      </c>
    </row>
    <row r="472">
      <c r="A472" s="427">
        <v>471.0</v>
      </c>
      <c r="B472" s="237" t="s">
        <v>14514</v>
      </c>
      <c r="C472" s="237" t="s">
        <v>6918</v>
      </c>
      <c r="D472" s="428">
        <v>45719.0</v>
      </c>
      <c r="E472" s="237" t="s">
        <v>6921</v>
      </c>
      <c r="F472" s="237" t="s">
        <v>14515</v>
      </c>
      <c r="G472" s="237" t="s">
        <v>13793</v>
      </c>
      <c r="H472" s="237" t="s">
        <v>9691</v>
      </c>
      <c r="I472" s="237" t="s">
        <v>14516</v>
      </c>
      <c r="J472" s="237" t="s">
        <v>5012</v>
      </c>
      <c r="K472" s="237" t="s">
        <v>6322</v>
      </c>
      <c r="L472" s="237" t="s">
        <v>17366</v>
      </c>
      <c r="M472" s="232" t="s">
        <v>9391</v>
      </c>
      <c r="N472" s="430" t="s">
        <v>17527</v>
      </c>
    </row>
    <row r="473">
      <c r="A473" s="427">
        <v>472.0</v>
      </c>
      <c r="B473" s="237" t="s">
        <v>14638</v>
      </c>
      <c r="C473" s="237" t="s">
        <v>6918</v>
      </c>
      <c r="D473" s="428">
        <v>45748.0</v>
      </c>
      <c r="E473" s="237" t="s">
        <v>6921</v>
      </c>
      <c r="F473" s="237" t="s">
        <v>14639</v>
      </c>
      <c r="G473" s="237" t="s">
        <v>14640</v>
      </c>
      <c r="H473" s="237" t="s">
        <v>9747</v>
      </c>
      <c r="I473" s="237" t="s">
        <v>14641</v>
      </c>
      <c r="J473" s="237" t="s">
        <v>5012</v>
      </c>
      <c r="K473" s="237" t="s">
        <v>6322</v>
      </c>
      <c r="L473" s="237" t="s">
        <v>17472</v>
      </c>
      <c r="M473" s="232" t="s">
        <v>9391</v>
      </c>
      <c r="N473" s="430" t="s">
        <v>17527</v>
      </c>
    </row>
    <row r="474">
      <c r="A474" s="427">
        <v>473.0</v>
      </c>
      <c r="B474" s="237" t="s">
        <v>14909</v>
      </c>
      <c r="C474" s="237" t="s">
        <v>6918</v>
      </c>
      <c r="D474" s="428">
        <v>44830.0</v>
      </c>
      <c r="E474" s="237" t="s">
        <v>6921</v>
      </c>
      <c r="F474" s="237" t="s">
        <v>14910</v>
      </c>
      <c r="G474" s="237" t="s">
        <v>14911</v>
      </c>
      <c r="H474" s="237" t="s">
        <v>9413</v>
      </c>
      <c r="I474" s="237" t="s">
        <v>14912</v>
      </c>
      <c r="J474" s="237" t="s">
        <v>5012</v>
      </c>
      <c r="K474" s="237" t="s">
        <v>6322</v>
      </c>
      <c r="L474" s="237" t="s">
        <v>17385</v>
      </c>
      <c r="M474" s="232" t="s">
        <v>9383</v>
      </c>
      <c r="N474" s="430" t="s">
        <v>17527</v>
      </c>
    </row>
    <row r="475">
      <c r="A475" s="427">
        <v>474.0</v>
      </c>
      <c r="B475" s="237" t="s">
        <v>15518</v>
      </c>
      <c r="C475" s="237" t="s">
        <v>6918</v>
      </c>
      <c r="D475" s="428">
        <v>45173.0</v>
      </c>
      <c r="E475" s="237" t="s">
        <v>6921</v>
      </c>
      <c r="F475" s="237" t="s">
        <v>15514</v>
      </c>
      <c r="G475" s="237" t="s">
        <v>15519</v>
      </c>
      <c r="H475" s="237" t="s">
        <v>15516</v>
      </c>
      <c r="I475" s="237" t="s">
        <v>5248</v>
      </c>
      <c r="J475" s="237" t="s">
        <v>5012</v>
      </c>
      <c r="K475" s="237" t="s">
        <v>6322</v>
      </c>
      <c r="L475" s="237" t="s">
        <v>17390</v>
      </c>
      <c r="M475" s="232" t="s">
        <v>9383</v>
      </c>
      <c r="N475" s="430" t="s">
        <v>17527</v>
      </c>
    </row>
    <row r="476">
      <c r="A476" s="427">
        <v>475.0</v>
      </c>
      <c r="B476" s="237" t="s">
        <v>15423</v>
      </c>
      <c r="C476" s="237" t="s">
        <v>6918</v>
      </c>
      <c r="D476" s="428">
        <v>40118.0</v>
      </c>
      <c r="E476" s="237" t="s">
        <v>6921</v>
      </c>
      <c r="F476" s="237" t="s">
        <v>15425</v>
      </c>
      <c r="G476" s="237" t="s">
        <v>15426</v>
      </c>
      <c r="H476" s="237" t="s">
        <v>11520</v>
      </c>
      <c r="I476" s="237" t="s">
        <v>15427</v>
      </c>
      <c r="J476" s="237" t="s">
        <v>5012</v>
      </c>
      <c r="K476" s="237" t="s">
        <v>6322</v>
      </c>
      <c r="L476" s="237" t="s">
        <v>17366</v>
      </c>
      <c r="M476" s="232" t="s">
        <v>9383</v>
      </c>
      <c r="N476" s="430" t="s">
        <v>17527</v>
      </c>
    </row>
    <row r="477">
      <c r="A477" s="427">
        <v>476.0</v>
      </c>
      <c r="B477" s="237" t="s">
        <v>15486</v>
      </c>
      <c r="C477" s="237" t="s">
        <v>6918</v>
      </c>
      <c r="D477" s="428">
        <v>43213.0</v>
      </c>
      <c r="E477" s="237" t="s">
        <v>6921</v>
      </c>
      <c r="F477" s="237" t="s">
        <v>15487</v>
      </c>
      <c r="G477" s="237" t="s">
        <v>15488</v>
      </c>
      <c r="H477" s="237" t="s">
        <v>11289</v>
      </c>
      <c r="I477" s="237" t="s">
        <v>15489</v>
      </c>
      <c r="J477" s="237" t="s">
        <v>5012</v>
      </c>
      <c r="K477" s="237" t="s">
        <v>6322</v>
      </c>
      <c r="L477" s="237" t="s">
        <v>17472</v>
      </c>
      <c r="M477" s="232" t="s">
        <v>9383</v>
      </c>
      <c r="N477" s="430" t="s">
        <v>17527</v>
      </c>
    </row>
    <row r="478">
      <c r="A478" s="427">
        <v>477.0</v>
      </c>
      <c r="B478" s="237" t="s">
        <v>15354</v>
      </c>
      <c r="C478" s="237" t="s">
        <v>6918</v>
      </c>
      <c r="D478" s="428">
        <v>45719.0</v>
      </c>
      <c r="E478" s="237" t="s">
        <v>6921</v>
      </c>
      <c r="F478" s="237" t="s">
        <v>11836</v>
      </c>
      <c r="G478" s="237" t="s">
        <v>15355</v>
      </c>
      <c r="H478" s="237" t="s">
        <v>9526</v>
      </c>
      <c r="I478" s="237" t="s">
        <v>15356</v>
      </c>
      <c r="J478" s="237" t="s">
        <v>5012</v>
      </c>
      <c r="K478" s="237" t="s">
        <v>6322</v>
      </c>
      <c r="L478" s="237" t="s">
        <v>17376</v>
      </c>
      <c r="M478" s="232" t="s">
        <v>9391</v>
      </c>
      <c r="N478" s="430" t="s">
        <v>17527</v>
      </c>
    </row>
    <row r="479">
      <c r="A479" s="427">
        <v>478.0</v>
      </c>
      <c r="B479" s="237" t="s">
        <v>15391</v>
      </c>
      <c r="C479" s="237" t="s">
        <v>6918</v>
      </c>
      <c r="D479" s="428">
        <v>45586.0</v>
      </c>
      <c r="E479" s="237" t="s">
        <v>6921</v>
      </c>
      <c r="F479" s="237" t="s">
        <v>15392</v>
      </c>
      <c r="G479" s="237" t="s">
        <v>15393</v>
      </c>
      <c r="H479" s="237" t="s">
        <v>15394</v>
      </c>
      <c r="I479" s="237" t="s">
        <v>5138</v>
      </c>
      <c r="J479" s="237" t="s">
        <v>5012</v>
      </c>
      <c r="K479" s="237" t="s">
        <v>6322</v>
      </c>
      <c r="L479" s="237" t="s">
        <v>17466</v>
      </c>
      <c r="M479" s="232" t="s">
        <v>9383</v>
      </c>
      <c r="N479" s="430" t="s">
        <v>17527</v>
      </c>
    </row>
    <row r="480">
      <c r="A480" s="427">
        <v>479.0</v>
      </c>
      <c r="B480" s="237" t="s">
        <v>15274</v>
      </c>
      <c r="C480" s="237" t="s">
        <v>6918</v>
      </c>
      <c r="D480" s="428">
        <v>45140.0</v>
      </c>
      <c r="E480" s="237" t="s">
        <v>6933</v>
      </c>
      <c r="F480" s="237" t="s">
        <v>11772</v>
      </c>
      <c r="G480" s="237" t="s">
        <v>15275</v>
      </c>
      <c r="H480" s="237" t="s">
        <v>15276</v>
      </c>
      <c r="I480" s="237" t="s">
        <v>15277</v>
      </c>
      <c r="J480" s="237" t="s">
        <v>5012</v>
      </c>
      <c r="K480" s="237" t="s">
        <v>6322</v>
      </c>
      <c r="L480" s="237" t="s">
        <v>17373</v>
      </c>
      <c r="M480" s="232" t="s">
        <v>9383</v>
      </c>
      <c r="N480" s="430" t="s">
        <v>17527</v>
      </c>
    </row>
    <row r="481">
      <c r="A481" s="427">
        <v>480.0</v>
      </c>
      <c r="B481" s="237" t="s">
        <v>14837</v>
      </c>
      <c r="C481" s="237" t="s">
        <v>6918</v>
      </c>
      <c r="D481" s="428">
        <v>45154.0</v>
      </c>
      <c r="E481" s="237" t="s">
        <v>6933</v>
      </c>
      <c r="F481" s="237" t="s">
        <v>14838</v>
      </c>
      <c r="G481" s="237" t="s">
        <v>14839</v>
      </c>
      <c r="H481" s="237" t="s">
        <v>14840</v>
      </c>
      <c r="I481" s="237" t="s">
        <v>14841</v>
      </c>
      <c r="J481" s="237" t="s">
        <v>5012</v>
      </c>
      <c r="K481" s="237" t="s">
        <v>6322</v>
      </c>
      <c r="L481" s="237" t="s">
        <v>17367</v>
      </c>
      <c r="M481" s="232" t="s">
        <v>9383</v>
      </c>
      <c r="N481" s="430" t="s">
        <v>17527</v>
      </c>
    </row>
    <row r="482">
      <c r="A482" s="427">
        <v>481.0</v>
      </c>
      <c r="B482" s="237" t="s">
        <v>12687</v>
      </c>
      <c r="C482" s="237" t="s">
        <v>7277</v>
      </c>
      <c r="D482" s="428">
        <v>44980.0</v>
      </c>
      <c r="E482" s="237" t="s">
        <v>6921</v>
      </c>
      <c r="F482" s="237" t="s">
        <v>12689</v>
      </c>
      <c r="G482" s="237" t="s">
        <v>12690</v>
      </c>
      <c r="H482" s="237" t="s">
        <v>12691</v>
      </c>
      <c r="I482" s="237" t="s">
        <v>12692</v>
      </c>
      <c r="J482" s="237" t="s">
        <v>5224</v>
      </c>
      <c r="K482" s="237" t="s">
        <v>12693</v>
      </c>
      <c r="L482" s="237" t="s">
        <v>2915</v>
      </c>
      <c r="M482" s="232" t="s">
        <v>9383</v>
      </c>
      <c r="N482" s="430" t="s">
        <v>17527</v>
      </c>
    </row>
    <row r="483">
      <c r="A483" s="427">
        <v>482.0</v>
      </c>
      <c r="B483" s="237" t="s">
        <v>12664</v>
      </c>
      <c r="C483" s="237" t="s">
        <v>7277</v>
      </c>
      <c r="D483" s="428">
        <v>43577.0</v>
      </c>
      <c r="E483" s="237" t="s">
        <v>6921</v>
      </c>
      <c r="F483" s="237" t="s">
        <v>9667</v>
      </c>
      <c r="G483" s="237" t="s">
        <v>12665</v>
      </c>
      <c r="H483" s="237" t="s">
        <v>11101</v>
      </c>
      <c r="I483" s="237" t="s">
        <v>5863</v>
      </c>
      <c r="J483" s="237" t="s">
        <v>5224</v>
      </c>
      <c r="K483" s="237" t="s">
        <v>9761</v>
      </c>
      <c r="L483" s="237" t="s">
        <v>5862</v>
      </c>
      <c r="M483" s="232" t="s">
        <v>9383</v>
      </c>
      <c r="N483" s="430" t="s">
        <v>17527</v>
      </c>
    </row>
    <row r="484">
      <c r="A484" s="427">
        <v>483.0</v>
      </c>
      <c r="B484" s="237" t="s">
        <v>7216</v>
      </c>
      <c r="C484" s="237" t="s">
        <v>6918</v>
      </c>
      <c r="D484" s="428">
        <v>45033.0</v>
      </c>
      <c r="E484" s="237" t="s">
        <v>6921</v>
      </c>
      <c r="F484" s="237" t="s">
        <v>14980</v>
      </c>
      <c r="G484" s="237" t="s">
        <v>14981</v>
      </c>
      <c r="H484" s="237" t="s">
        <v>14982</v>
      </c>
      <c r="I484" s="237" t="s">
        <v>14983</v>
      </c>
      <c r="J484" s="237" t="s">
        <v>5224</v>
      </c>
      <c r="K484" s="237" t="s">
        <v>9761</v>
      </c>
      <c r="L484" s="237" t="s">
        <v>1602</v>
      </c>
      <c r="M484" s="232" t="s">
        <v>9383</v>
      </c>
      <c r="N484" s="430" t="s">
        <v>17527</v>
      </c>
    </row>
    <row r="485">
      <c r="A485" s="427">
        <v>484.0</v>
      </c>
      <c r="B485" s="237" t="s">
        <v>7230</v>
      </c>
      <c r="C485" s="237" t="s">
        <v>6918</v>
      </c>
      <c r="D485" s="428">
        <v>44713.0</v>
      </c>
      <c r="E485" s="237" t="s">
        <v>6921</v>
      </c>
      <c r="F485" s="237" t="s">
        <v>14990</v>
      </c>
      <c r="G485" s="237" t="s">
        <v>14991</v>
      </c>
      <c r="H485" s="237" t="s">
        <v>9592</v>
      </c>
      <c r="I485" s="237" t="s">
        <v>14992</v>
      </c>
      <c r="J485" s="237" t="s">
        <v>5224</v>
      </c>
      <c r="K485" s="237" t="s">
        <v>9761</v>
      </c>
      <c r="L485" s="237" t="s">
        <v>1602</v>
      </c>
      <c r="M485" s="232" t="s">
        <v>9383</v>
      </c>
      <c r="N485" s="430" t="s">
        <v>17527</v>
      </c>
    </row>
    <row r="486">
      <c r="A486" s="427">
        <v>485.0</v>
      </c>
      <c r="B486" s="237" t="s">
        <v>3820</v>
      </c>
      <c r="C486" s="237" t="s">
        <v>6918</v>
      </c>
      <c r="D486" s="428">
        <v>43678.0</v>
      </c>
      <c r="E486" s="237" t="s">
        <v>6921</v>
      </c>
      <c r="F486" s="237" t="s">
        <v>14169</v>
      </c>
      <c r="G486" s="237" t="s">
        <v>17570</v>
      </c>
      <c r="H486" s="237" t="s">
        <v>17571</v>
      </c>
      <c r="I486" s="237" t="s">
        <v>6668</v>
      </c>
      <c r="J486" s="237" t="s">
        <v>5224</v>
      </c>
      <c r="K486" s="237" t="s">
        <v>9761</v>
      </c>
      <c r="L486" s="237" t="s">
        <v>1602</v>
      </c>
      <c r="M486" s="232" t="s">
        <v>9383</v>
      </c>
      <c r="N486" s="430" t="s">
        <v>17527</v>
      </c>
    </row>
    <row r="487">
      <c r="A487" s="427">
        <v>486.0</v>
      </c>
      <c r="B487" s="237" t="s">
        <v>7196</v>
      </c>
      <c r="C487" s="237" t="s">
        <v>6918</v>
      </c>
      <c r="D487" s="428">
        <v>44015.0</v>
      </c>
      <c r="E487" s="237" t="s">
        <v>6921</v>
      </c>
      <c r="F487" s="237" t="s">
        <v>14315</v>
      </c>
      <c r="G487" s="237" t="s">
        <v>14316</v>
      </c>
      <c r="H487" s="237" t="s">
        <v>10073</v>
      </c>
      <c r="I487" s="237" t="s">
        <v>14317</v>
      </c>
      <c r="J487" s="237" t="s">
        <v>5224</v>
      </c>
      <c r="K487" s="237" t="s">
        <v>9761</v>
      </c>
      <c r="L487" s="237" t="s">
        <v>1602</v>
      </c>
      <c r="M487" s="232" t="s">
        <v>9383</v>
      </c>
      <c r="N487" s="430" t="s">
        <v>17527</v>
      </c>
    </row>
    <row r="488">
      <c r="A488" s="427">
        <v>487.0</v>
      </c>
      <c r="B488" s="237" t="s">
        <v>7199</v>
      </c>
      <c r="C488" s="237" t="s">
        <v>6918</v>
      </c>
      <c r="D488" s="428">
        <v>45187.0</v>
      </c>
      <c r="E488" s="237" t="s">
        <v>6921</v>
      </c>
      <c r="F488" s="237" t="s">
        <v>11884</v>
      </c>
      <c r="G488" s="237" t="s">
        <v>15444</v>
      </c>
      <c r="H488" s="237" t="s">
        <v>9934</v>
      </c>
      <c r="I488" s="237" t="s">
        <v>15445</v>
      </c>
      <c r="J488" s="237" t="s">
        <v>5224</v>
      </c>
      <c r="K488" s="237" t="s">
        <v>9761</v>
      </c>
      <c r="L488" s="237" t="s">
        <v>1602</v>
      </c>
      <c r="M488" s="232" t="s">
        <v>9383</v>
      </c>
      <c r="N488" s="430" t="s">
        <v>17527</v>
      </c>
    </row>
    <row r="489">
      <c r="A489" s="427">
        <v>488.0</v>
      </c>
      <c r="B489" s="237" t="s">
        <v>7220</v>
      </c>
      <c r="C489" s="237" t="s">
        <v>6918</v>
      </c>
      <c r="D489" s="428">
        <v>43578.0</v>
      </c>
      <c r="E489" s="237" t="s">
        <v>6921</v>
      </c>
      <c r="F489" s="237" t="s">
        <v>15824</v>
      </c>
      <c r="G489" s="237" t="s">
        <v>15162</v>
      </c>
      <c r="H489" s="237" t="s">
        <v>11107</v>
      </c>
      <c r="I489" s="237" t="s">
        <v>15825</v>
      </c>
      <c r="J489" s="237" t="s">
        <v>5224</v>
      </c>
      <c r="K489" s="237" t="s">
        <v>9836</v>
      </c>
      <c r="L489" s="237" t="s">
        <v>1602</v>
      </c>
      <c r="M489" s="232" t="s">
        <v>9383</v>
      </c>
      <c r="N489" s="430" t="s">
        <v>17527</v>
      </c>
    </row>
    <row r="490">
      <c r="A490" s="427">
        <v>489.0</v>
      </c>
      <c r="B490" s="237" t="s">
        <v>7188</v>
      </c>
      <c r="C490" s="237" t="s">
        <v>6918</v>
      </c>
      <c r="D490" s="428">
        <v>44410.0</v>
      </c>
      <c r="E490" s="237" t="s">
        <v>6921</v>
      </c>
      <c r="F490" s="237" t="s">
        <v>14091</v>
      </c>
      <c r="G490" s="237" t="s">
        <v>14092</v>
      </c>
      <c r="H490" s="237" t="s">
        <v>13194</v>
      </c>
      <c r="I490" s="237" t="s">
        <v>14093</v>
      </c>
      <c r="J490" s="237" t="s">
        <v>5224</v>
      </c>
      <c r="K490" s="237" t="s">
        <v>9836</v>
      </c>
      <c r="L490" s="237" t="s">
        <v>1602</v>
      </c>
      <c r="M490" s="232" t="s">
        <v>9383</v>
      </c>
      <c r="N490" s="430" t="s">
        <v>17527</v>
      </c>
    </row>
    <row r="491">
      <c r="A491" s="427">
        <v>490.0</v>
      </c>
      <c r="B491" s="237" t="s">
        <v>7207</v>
      </c>
      <c r="C491" s="237" t="s">
        <v>6918</v>
      </c>
      <c r="D491" s="428">
        <v>43313.0</v>
      </c>
      <c r="E491" s="237" t="s">
        <v>6921</v>
      </c>
      <c r="F491" s="237" t="s">
        <v>14110</v>
      </c>
      <c r="G491" s="237" t="s">
        <v>14111</v>
      </c>
      <c r="H491" s="237" t="s">
        <v>14112</v>
      </c>
      <c r="I491" s="237" t="s">
        <v>14113</v>
      </c>
      <c r="J491" s="237" t="s">
        <v>5224</v>
      </c>
      <c r="K491" s="237" t="s">
        <v>9836</v>
      </c>
      <c r="L491" s="237" t="s">
        <v>1602</v>
      </c>
      <c r="M491" s="232" t="s">
        <v>9383</v>
      </c>
      <c r="N491" s="430" t="s">
        <v>17527</v>
      </c>
    </row>
    <row r="492">
      <c r="A492" s="427">
        <v>491.0</v>
      </c>
      <c r="B492" s="237" t="s">
        <v>7203</v>
      </c>
      <c r="C492" s="237" t="s">
        <v>6918</v>
      </c>
      <c r="D492" s="428">
        <v>45124.0</v>
      </c>
      <c r="E492" s="237" t="s">
        <v>6921</v>
      </c>
      <c r="F492" s="237" t="s">
        <v>14706</v>
      </c>
      <c r="G492" s="237" t="s">
        <v>14707</v>
      </c>
      <c r="H492" s="237" t="s">
        <v>9586</v>
      </c>
      <c r="I492" s="237" t="s">
        <v>14708</v>
      </c>
      <c r="J492" s="237" t="s">
        <v>5224</v>
      </c>
      <c r="K492" s="237" t="s">
        <v>9836</v>
      </c>
      <c r="L492" s="237" t="s">
        <v>1602</v>
      </c>
      <c r="M492" s="232" t="s">
        <v>9383</v>
      </c>
      <c r="N492" s="430" t="s">
        <v>17527</v>
      </c>
    </row>
    <row r="493">
      <c r="A493" s="427">
        <v>492.0</v>
      </c>
      <c r="B493" s="237" t="s">
        <v>7182</v>
      </c>
      <c r="C493" s="237" t="s">
        <v>6918</v>
      </c>
      <c r="D493" s="428">
        <v>40666.0</v>
      </c>
      <c r="E493" s="237" t="s">
        <v>6921</v>
      </c>
      <c r="F493" s="237" t="s">
        <v>9719</v>
      </c>
      <c r="G493" s="237" t="s">
        <v>14472</v>
      </c>
      <c r="H493" s="237" t="s">
        <v>14473</v>
      </c>
      <c r="I493" s="237" t="s">
        <v>14474</v>
      </c>
      <c r="J493" s="237" t="s">
        <v>5224</v>
      </c>
      <c r="K493" s="237" t="s">
        <v>9836</v>
      </c>
      <c r="L493" s="237" t="s">
        <v>1602</v>
      </c>
      <c r="M493" s="232" t="s">
        <v>9383</v>
      </c>
      <c r="N493" s="430" t="s">
        <v>17527</v>
      </c>
    </row>
    <row r="494">
      <c r="A494" s="427">
        <v>493.0</v>
      </c>
      <c r="B494" s="237" t="s">
        <v>7224</v>
      </c>
      <c r="C494" s="237" t="s">
        <v>6918</v>
      </c>
      <c r="D494" s="428">
        <v>40969.0</v>
      </c>
      <c r="E494" s="237" t="s">
        <v>6921</v>
      </c>
      <c r="F494" s="237" t="s">
        <v>12883</v>
      </c>
      <c r="G494" s="237" t="s">
        <v>15363</v>
      </c>
      <c r="H494" s="237" t="s">
        <v>11788</v>
      </c>
      <c r="I494" s="237" t="s">
        <v>15364</v>
      </c>
      <c r="J494" s="237" t="s">
        <v>5224</v>
      </c>
      <c r="K494" s="237" t="s">
        <v>9836</v>
      </c>
      <c r="L494" s="237" t="s">
        <v>1602</v>
      </c>
      <c r="M494" s="232" t="s">
        <v>9383</v>
      </c>
      <c r="N494" s="430" t="s">
        <v>17527</v>
      </c>
    </row>
    <row r="495">
      <c r="A495" s="427">
        <v>494.0</v>
      </c>
      <c r="B495" s="237" t="s">
        <v>9233</v>
      </c>
      <c r="C495" s="237" t="s">
        <v>8796</v>
      </c>
      <c r="D495" s="428">
        <v>44728.0</v>
      </c>
      <c r="E495" s="237" t="s">
        <v>6921</v>
      </c>
      <c r="F495" s="237" t="s">
        <v>9564</v>
      </c>
      <c r="G495" s="237" t="s">
        <v>9565</v>
      </c>
      <c r="H495" s="237" t="s">
        <v>9566</v>
      </c>
      <c r="I495" s="237" t="s">
        <v>9567</v>
      </c>
      <c r="J495" s="237" t="s">
        <v>5224</v>
      </c>
      <c r="K495" s="237" t="s">
        <v>9568</v>
      </c>
      <c r="L495" s="237" t="s">
        <v>1167</v>
      </c>
      <c r="M495" s="232" t="s">
        <v>9383</v>
      </c>
      <c r="N495" s="430" t="s">
        <v>17527</v>
      </c>
    </row>
    <row r="496">
      <c r="A496" s="427">
        <v>495.0</v>
      </c>
      <c r="B496" s="237" t="s">
        <v>4220</v>
      </c>
      <c r="C496" s="237" t="s">
        <v>6918</v>
      </c>
      <c r="D496" s="428">
        <v>44805.0</v>
      </c>
      <c r="E496" s="237" t="s">
        <v>6921</v>
      </c>
      <c r="F496" s="237" t="s">
        <v>17572</v>
      </c>
      <c r="G496" s="237" t="s">
        <v>17573</v>
      </c>
      <c r="H496" s="237" t="s">
        <v>17574</v>
      </c>
      <c r="I496" s="237" t="s">
        <v>6796</v>
      </c>
      <c r="J496" s="237" t="s">
        <v>5224</v>
      </c>
      <c r="K496" s="237" t="s">
        <v>17575</v>
      </c>
      <c r="L496" s="237" t="s">
        <v>2904</v>
      </c>
      <c r="M496" s="232" t="s">
        <v>9383</v>
      </c>
      <c r="N496" s="430" t="s">
        <v>17527</v>
      </c>
    </row>
    <row r="497">
      <c r="A497" s="427">
        <v>496.0</v>
      </c>
      <c r="B497" s="237" t="s">
        <v>16448</v>
      </c>
      <c r="C497" s="237" t="s">
        <v>8647</v>
      </c>
      <c r="D497" s="428">
        <v>42774.0</v>
      </c>
      <c r="E497" s="237" t="s">
        <v>6921</v>
      </c>
      <c r="F497" s="237" t="s">
        <v>16450</v>
      </c>
      <c r="G497" s="237" t="s">
        <v>16451</v>
      </c>
      <c r="H497" s="237" t="s">
        <v>11896</v>
      </c>
      <c r="I497" s="237" t="s">
        <v>16452</v>
      </c>
      <c r="J497" s="237" t="s">
        <v>5012</v>
      </c>
      <c r="K497" s="237" t="s">
        <v>16453</v>
      </c>
      <c r="L497" s="237" t="s">
        <v>17576</v>
      </c>
      <c r="M497" s="232" t="s">
        <v>9383</v>
      </c>
      <c r="N497" s="430" t="s">
        <v>17527</v>
      </c>
    </row>
    <row r="498">
      <c r="A498" s="427">
        <v>497.0</v>
      </c>
      <c r="B498" s="237" t="s">
        <v>7886</v>
      </c>
      <c r="C498" s="237" t="s">
        <v>6918</v>
      </c>
      <c r="D498" s="428">
        <v>45140.0</v>
      </c>
      <c r="E498" s="237" t="s">
        <v>6921</v>
      </c>
      <c r="F498" s="237" t="s">
        <v>12045</v>
      </c>
      <c r="G498" s="237" t="s">
        <v>15668</v>
      </c>
      <c r="H498" s="237" t="s">
        <v>15669</v>
      </c>
      <c r="I498" s="237" t="s">
        <v>15670</v>
      </c>
      <c r="J498" s="237" t="s">
        <v>5012</v>
      </c>
      <c r="K498" s="237" t="s">
        <v>14289</v>
      </c>
      <c r="L498" s="237" t="s">
        <v>7857</v>
      </c>
      <c r="M498" s="232" t="s">
        <v>9383</v>
      </c>
      <c r="N498" s="430" t="s">
        <v>17527</v>
      </c>
    </row>
    <row r="499">
      <c r="A499" s="427">
        <v>498.0</v>
      </c>
      <c r="B499" s="237" t="s">
        <v>9022</v>
      </c>
      <c r="C499" s="237" t="s">
        <v>6918</v>
      </c>
      <c r="D499" s="428">
        <v>45019.0</v>
      </c>
      <c r="E499" s="237" t="s">
        <v>6933</v>
      </c>
      <c r="F499" s="237" t="s">
        <v>15378</v>
      </c>
      <c r="G499" s="237" t="s">
        <v>15379</v>
      </c>
      <c r="H499" s="237" t="s">
        <v>13140</v>
      </c>
      <c r="I499" s="237" t="s">
        <v>15380</v>
      </c>
      <c r="J499" s="237" t="s">
        <v>5224</v>
      </c>
      <c r="K499" s="237" t="s">
        <v>15375</v>
      </c>
      <c r="L499" s="237" t="s">
        <v>3041</v>
      </c>
      <c r="M499" s="232" t="s">
        <v>9383</v>
      </c>
      <c r="N499" s="430" t="s">
        <v>17527</v>
      </c>
    </row>
    <row r="500">
      <c r="A500" s="427">
        <v>499.0</v>
      </c>
      <c r="B500" s="237" t="s">
        <v>658</v>
      </c>
      <c r="C500" s="237" t="s">
        <v>6918</v>
      </c>
      <c r="D500" s="428">
        <v>45019.0</v>
      </c>
      <c r="E500" s="237" t="s">
        <v>6933</v>
      </c>
      <c r="F500" s="237" t="s">
        <v>15373</v>
      </c>
      <c r="G500" s="237" t="s">
        <v>15374</v>
      </c>
      <c r="H500" s="237" t="s">
        <v>11155</v>
      </c>
      <c r="I500" s="237" t="s">
        <v>661</v>
      </c>
      <c r="J500" s="237" t="s">
        <v>5224</v>
      </c>
      <c r="K500" s="237" t="s">
        <v>15375</v>
      </c>
      <c r="L500" s="237" t="s">
        <v>3041</v>
      </c>
      <c r="M500" s="232" t="s">
        <v>9383</v>
      </c>
      <c r="N500" s="430" t="s">
        <v>17527</v>
      </c>
    </row>
    <row r="501">
      <c r="A501" s="427">
        <v>500.0</v>
      </c>
      <c r="B501" s="237" t="s">
        <v>9017</v>
      </c>
      <c r="C501" s="237" t="s">
        <v>6918</v>
      </c>
      <c r="D501" s="428">
        <v>44144.0</v>
      </c>
      <c r="E501" s="237" t="s">
        <v>6933</v>
      </c>
      <c r="F501" s="237" t="s">
        <v>10481</v>
      </c>
      <c r="G501" s="237" t="s">
        <v>13508</v>
      </c>
      <c r="H501" s="237" t="s">
        <v>11294</v>
      </c>
      <c r="I501" s="237" t="s">
        <v>13509</v>
      </c>
      <c r="J501" s="237" t="s">
        <v>5224</v>
      </c>
      <c r="K501" s="237" t="s">
        <v>17123</v>
      </c>
      <c r="L501" s="237" t="s">
        <v>3041</v>
      </c>
      <c r="M501" s="232" t="s">
        <v>9383</v>
      </c>
      <c r="N501" s="430" t="s">
        <v>17527</v>
      </c>
    </row>
    <row r="502">
      <c r="A502" s="427">
        <v>501.0</v>
      </c>
      <c r="B502" s="237" t="s">
        <v>12289</v>
      </c>
      <c r="C502" s="237" t="s">
        <v>10103</v>
      </c>
      <c r="D502" s="428">
        <v>43357.0</v>
      </c>
      <c r="E502" s="237" t="s">
        <v>6921</v>
      </c>
      <c r="F502" s="237" t="s">
        <v>12291</v>
      </c>
      <c r="G502" s="237" t="s">
        <v>12292</v>
      </c>
      <c r="H502" s="237" t="s">
        <v>9915</v>
      </c>
      <c r="I502" s="237" t="s">
        <v>12293</v>
      </c>
      <c r="J502" s="237" t="s">
        <v>5012</v>
      </c>
      <c r="K502" s="237" t="s">
        <v>1456</v>
      </c>
      <c r="L502" s="237" t="s">
        <v>566</v>
      </c>
      <c r="M502" s="232" t="s">
        <v>9383</v>
      </c>
      <c r="N502" s="430" t="s">
        <v>17527</v>
      </c>
    </row>
    <row r="503">
      <c r="A503" s="427">
        <v>502.0</v>
      </c>
      <c r="B503" s="237" t="s">
        <v>3599</v>
      </c>
      <c r="C503" s="237" t="s">
        <v>10103</v>
      </c>
      <c r="D503" s="428">
        <v>45748.0</v>
      </c>
      <c r="E503" s="237" t="s">
        <v>6921</v>
      </c>
      <c r="F503" s="237" t="s">
        <v>17577</v>
      </c>
      <c r="G503" s="237" t="s">
        <v>17578</v>
      </c>
      <c r="H503" s="237" t="s">
        <v>17579</v>
      </c>
      <c r="I503" s="237" t="s">
        <v>6587</v>
      </c>
      <c r="J503" s="237" t="s">
        <v>5012</v>
      </c>
      <c r="K503" s="237" t="s">
        <v>1456</v>
      </c>
      <c r="L503" s="237" t="s">
        <v>566</v>
      </c>
      <c r="M503" s="232" t="s">
        <v>9391</v>
      </c>
      <c r="N503" s="430" t="s">
        <v>17527</v>
      </c>
    </row>
    <row r="504">
      <c r="A504" s="427">
        <v>503.0</v>
      </c>
      <c r="B504" s="237" t="s">
        <v>11806</v>
      </c>
      <c r="C504" s="237" t="s">
        <v>10103</v>
      </c>
      <c r="D504" s="428">
        <v>45488.0</v>
      </c>
      <c r="E504" s="237" t="s">
        <v>6921</v>
      </c>
      <c r="F504" s="237" t="s">
        <v>11807</v>
      </c>
      <c r="G504" s="237" t="s">
        <v>11808</v>
      </c>
      <c r="H504" s="237" t="s">
        <v>11809</v>
      </c>
      <c r="I504" s="237" t="s">
        <v>11810</v>
      </c>
      <c r="J504" s="237" t="s">
        <v>5012</v>
      </c>
      <c r="K504" s="237" t="s">
        <v>1456</v>
      </c>
      <c r="L504" s="237" t="s">
        <v>1258</v>
      </c>
      <c r="M504" s="232" t="s">
        <v>9391</v>
      </c>
      <c r="N504" s="430" t="s">
        <v>17527</v>
      </c>
    </row>
    <row r="505">
      <c r="A505" s="427">
        <v>504.0</v>
      </c>
      <c r="B505" s="237" t="s">
        <v>12017</v>
      </c>
      <c r="C505" s="237" t="s">
        <v>10103</v>
      </c>
      <c r="D505" s="428">
        <v>45581.0</v>
      </c>
      <c r="E505" s="237" t="s">
        <v>6921</v>
      </c>
      <c r="F505" s="237" t="s">
        <v>12018</v>
      </c>
      <c r="G505" s="237" t="s">
        <v>12019</v>
      </c>
      <c r="H505" s="237" t="s">
        <v>10957</v>
      </c>
      <c r="I505" s="237" t="s">
        <v>12020</v>
      </c>
      <c r="J505" s="237" t="s">
        <v>5224</v>
      </c>
      <c r="K505" s="237" t="s">
        <v>1456</v>
      </c>
      <c r="L505" s="237" t="s">
        <v>1258</v>
      </c>
      <c r="M505" s="232" t="s">
        <v>9383</v>
      </c>
      <c r="N505" s="430" t="s">
        <v>17527</v>
      </c>
    </row>
    <row r="506">
      <c r="A506" s="427">
        <v>505.0</v>
      </c>
      <c r="B506" s="237" t="s">
        <v>732</v>
      </c>
      <c r="C506" s="237" t="s">
        <v>10103</v>
      </c>
      <c r="D506" s="428">
        <v>45439.0</v>
      </c>
      <c r="E506" s="237" t="s">
        <v>6921</v>
      </c>
      <c r="F506" s="237" t="s">
        <v>11587</v>
      </c>
      <c r="G506" s="237" t="s">
        <v>11588</v>
      </c>
      <c r="H506" s="237" t="s">
        <v>9435</v>
      </c>
      <c r="I506" s="237" t="s">
        <v>735</v>
      </c>
      <c r="J506" s="237" t="s">
        <v>5012</v>
      </c>
      <c r="K506" s="237" t="s">
        <v>1456</v>
      </c>
      <c r="L506" s="237" t="s">
        <v>10127</v>
      </c>
      <c r="M506" s="232" t="s">
        <v>9383</v>
      </c>
      <c r="N506" s="430" t="s">
        <v>17527</v>
      </c>
    </row>
    <row r="507">
      <c r="A507" s="427">
        <v>506.0</v>
      </c>
      <c r="B507" s="237" t="s">
        <v>3869</v>
      </c>
      <c r="C507" s="237" t="s">
        <v>10103</v>
      </c>
      <c r="D507" s="428">
        <v>44992.0</v>
      </c>
      <c r="E507" s="237" t="s">
        <v>6921</v>
      </c>
      <c r="F507" s="237" t="s">
        <v>15076</v>
      </c>
      <c r="G507" s="237" t="s">
        <v>17580</v>
      </c>
      <c r="H507" s="237" t="s">
        <v>13655</v>
      </c>
      <c r="I507" s="237" t="s">
        <v>6685</v>
      </c>
      <c r="J507" s="237" t="s">
        <v>5224</v>
      </c>
      <c r="K507" s="237" t="s">
        <v>1456</v>
      </c>
      <c r="L507" s="237" t="s">
        <v>1258</v>
      </c>
      <c r="M507" s="232" t="s">
        <v>9383</v>
      </c>
      <c r="N507" s="430" t="s">
        <v>17527</v>
      </c>
    </row>
    <row r="508">
      <c r="A508" s="427">
        <v>507.0</v>
      </c>
      <c r="B508" s="237" t="s">
        <v>3614</v>
      </c>
      <c r="C508" s="237" t="s">
        <v>10103</v>
      </c>
      <c r="D508" s="428">
        <v>45266.0</v>
      </c>
      <c r="E508" s="237" t="s">
        <v>6921</v>
      </c>
      <c r="F508" s="237" t="s">
        <v>11617</v>
      </c>
      <c r="G508" s="237" t="s">
        <v>17581</v>
      </c>
      <c r="H508" s="237" t="s">
        <v>10693</v>
      </c>
      <c r="I508" s="237" t="s">
        <v>6592</v>
      </c>
      <c r="J508" s="237" t="s">
        <v>5224</v>
      </c>
      <c r="K508" s="237" t="s">
        <v>1456</v>
      </c>
      <c r="L508" s="237" t="s">
        <v>17457</v>
      </c>
      <c r="M508" s="232" t="s">
        <v>9383</v>
      </c>
      <c r="N508" s="430" t="s">
        <v>17527</v>
      </c>
    </row>
    <row r="509">
      <c r="A509" s="427">
        <v>508.0</v>
      </c>
      <c r="B509" s="237" t="s">
        <v>960</v>
      </c>
      <c r="C509" s="237" t="s">
        <v>6918</v>
      </c>
      <c r="D509" s="428">
        <v>44621.0</v>
      </c>
      <c r="E509" s="237" t="s">
        <v>6921</v>
      </c>
      <c r="F509" s="237" t="s">
        <v>15940</v>
      </c>
      <c r="G509" s="237" t="s">
        <v>15941</v>
      </c>
      <c r="H509" s="237" t="s">
        <v>15942</v>
      </c>
      <c r="I509" s="237" t="s">
        <v>963</v>
      </c>
      <c r="J509" s="237" t="s">
        <v>5224</v>
      </c>
      <c r="K509" s="237" t="s">
        <v>1456</v>
      </c>
      <c r="L509" s="237" t="s">
        <v>2508</v>
      </c>
      <c r="M509" s="232" t="s">
        <v>9383</v>
      </c>
      <c r="N509" s="430" t="s">
        <v>17527</v>
      </c>
    </row>
    <row r="510">
      <c r="A510" s="427">
        <v>509.0</v>
      </c>
      <c r="B510" s="237" t="s">
        <v>13678</v>
      </c>
      <c r="C510" s="237" t="s">
        <v>6918</v>
      </c>
      <c r="D510" s="428">
        <v>45096.0</v>
      </c>
      <c r="E510" s="237" t="s">
        <v>6921</v>
      </c>
      <c r="F510" s="237" t="s">
        <v>13679</v>
      </c>
      <c r="G510" s="237" t="s">
        <v>13680</v>
      </c>
      <c r="H510" s="237" t="s">
        <v>12706</v>
      </c>
      <c r="I510" s="237" t="s">
        <v>13681</v>
      </c>
      <c r="J510" s="237" t="s">
        <v>5224</v>
      </c>
      <c r="K510" s="237" t="s">
        <v>1456</v>
      </c>
      <c r="L510" s="237" t="s">
        <v>17582</v>
      </c>
      <c r="M510" s="232" t="s">
        <v>9383</v>
      </c>
      <c r="N510" s="430" t="s">
        <v>17527</v>
      </c>
    </row>
    <row r="511">
      <c r="A511" s="427">
        <v>510.0</v>
      </c>
      <c r="B511" s="237" t="s">
        <v>7836</v>
      </c>
      <c r="C511" s="237" t="s">
        <v>6918</v>
      </c>
      <c r="D511" s="428">
        <v>45271.0</v>
      </c>
      <c r="E511" s="237" t="s">
        <v>6921</v>
      </c>
      <c r="F511" s="237" t="s">
        <v>11228</v>
      </c>
      <c r="G511" s="237" t="s">
        <v>14435</v>
      </c>
      <c r="H511" s="237" t="s">
        <v>9579</v>
      </c>
      <c r="I511" s="237" t="s">
        <v>14436</v>
      </c>
      <c r="J511" s="237" t="s">
        <v>5224</v>
      </c>
      <c r="K511" s="237" t="s">
        <v>1456</v>
      </c>
      <c r="L511" s="237" t="s">
        <v>7809</v>
      </c>
      <c r="M511" s="232" t="s">
        <v>9383</v>
      </c>
      <c r="N511" s="430" t="s">
        <v>17527</v>
      </c>
    </row>
    <row r="512">
      <c r="A512" s="427">
        <v>511.0</v>
      </c>
      <c r="B512" s="237" t="s">
        <v>3311</v>
      </c>
      <c r="C512" s="237" t="s">
        <v>6918</v>
      </c>
      <c r="D512" s="428">
        <v>45096.0</v>
      </c>
      <c r="E512" s="237" t="s">
        <v>6921</v>
      </c>
      <c r="F512" s="237" t="s">
        <v>17583</v>
      </c>
      <c r="G512" s="237" t="s">
        <v>17584</v>
      </c>
      <c r="H512" s="237" t="s">
        <v>11147</v>
      </c>
      <c r="I512" s="237" t="s">
        <v>17585</v>
      </c>
      <c r="J512" s="237" t="s">
        <v>5224</v>
      </c>
      <c r="K512" s="237" t="s">
        <v>1456</v>
      </c>
      <c r="L512" s="237" t="s">
        <v>3313</v>
      </c>
      <c r="M512" s="232" t="s">
        <v>9383</v>
      </c>
      <c r="N512" s="430" t="s">
        <v>17527</v>
      </c>
    </row>
    <row r="513">
      <c r="A513" s="427">
        <v>512.0</v>
      </c>
      <c r="B513" s="237" t="s">
        <v>8178</v>
      </c>
      <c r="C513" s="237" t="s">
        <v>6918</v>
      </c>
      <c r="D513" s="428">
        <v>44704.0</v>
      </c>
      <c r="E513" s="237" t="s">
        <v>6921</v>
      </c>
      <c r="F513" s="237" t="s">
        <v>15347</v>
      </c>
      <c r="G513" s="237" t="s">
        <v>15339</v>
      </c>
      <c r="H513" s="237" t="s">
        <v>9526</v>
      </c>
      <c r="I513" s="237" t="s">
        <v>15348</v>
      </c>
      <c r="J513" s="237" t="s">
        <v>5224</v>
      </c>
      <c r="K513" s="237" t="s">
        <v>1456</v>
      </c>
      <c r="L513" s="237" t="s">
        <v>2342</v>
      </c>
      <c r="M513" s="232" t="s">
        <v>9383</v>
      </c>
      <c r="N513" s="430" t="s">
        <v>17527</v>
      </c>
    </row>
    <row r="514">
      <c r="A514" s="427">
        <v>513.0</v>
      </c>
      <c r="B514" s="237" t="s">
        <v>8822</v>
      </c>
      <c r="C514" s="237" t="s">
        <v>6918</v>
      </c>
      <c r="D514" s="428">
        <v>45054.0</v>
      </c>
      <c r="E514" s="237" t="s">
        <v>6921</v>
      </c>
      <c r="F514" s="237" t="s">
        <v>15690</v>
      </c>
      <c r="G514" s="237" t="s">
        <v>15691</v>
      </c>
      <c r="H514" s="237" t="s">
        <v>12578</v>
      </c>
      <c r="I514" s="237" t="s">
        <v>15692</v>
      </c>
      <c r="J514" s="237" t="s">
        <v>5224</v>
      </c>
      <c r="K514" s="237" t="s">
        <v>1456</v>
      </c>
      <c r="L514" s="237" t="s">
        <v>3313</v>
      </c>
      <c r="M514" s="232" t="s">
        <v>9383</v>
      </c>
      <c r="N514" s="430" t="s">
        <v>17527</v>
      </c>
    </row>
    <row r="515">
      <c r="A515" s="427">
        <v>514.0</v>
      </c>
      <c r="B515" s="237" t="s">
        <v>9040</v>
      </c>
      <c r="C515" s="237" t="s">
        <v>6918</v>
      </c>
      <c r="D515" s="428">
        <v>42375.0</v>
      </c>
      <c r="E515" s="237" t="s">
        <v>9041</v>
      </c>
      <c r="F515" s="237" t="s">
        <v>15076</v>
      </c>
      <c r="G515" s="237" t="s">
        <v>15080</v>
      </c>
      <c r="H515" s="237" t="s">
        <v>14320</v>
      </c>
      <c r="I515" s="237" t="s">
        <v>15081</v>
      </c>
      <c r="J515" s="237" t="s">
        <v>5224</v>
      </c>
      <c r="K515" s="237" t="s">
        <v>1456</v>
      </c>
      <c r="L515" s="237" t="s">
        <v>8850</v>
      </c>
      <c r="M515" s="232" t="s">
        <v>9383</v>
      </c>
      <c r="N515" s="430" t="s">
        <v>17527</v>
      </c>
    </row>
    <row r="516">
      <c r="A516" s="427">
        <v>515.0</v>
      </c>
      <c r="B516" s="237" t="s">
        <v>9813</v>
      </c>
      <c r="C516" s="237" t="s">
        <v>8796</v>
      </c>
      <c r="D516" s="428">
        <v>45124.0</v>
      </c>
      <c r="E516" s="237" t="s">
        <v>6921</v>
      </c>
      <c r="F516" s="237" t="s">
        <v>9815</v>
      </c>
      <c r="G516" s="237" t="s">
        <v>9816</v>
      </c>
      <c r="H516" s="237" t="s">
        <v>9817</v>
      </c>
      <c r="I516" s="237" t="s">
        <v>9818</v>
      </c>
      <c r="J516" s="237" t="s">
        <v>5012</v>
      </c>
      <c r="K516" s="237" t="s">
        <v>3000</v>
      </c>
      <c r="L516" s="237" t="s">
        <v>17450</v>
      </c>
      <c r="M516" s="232" t="s">
        <v>9383</v>
      </c>
      <c r="N516" s="430" t="s">
        <v>17527</v>
      </c>
    </row>
    <row r="517">
      <c r="A517" s="427">
        <v>516.0</v>
      </c>
      <c r="B517" s="237" t="s">
        <v>11527</v>
      </c>
      <c r="C517" s="237" t="s">
        <v>10103</v>
      </c>
      <c r="D517" s="428">
        <v>45323.0</v>
      </c>
      <c r="E517" s="237" t="s">
        <v>6921</v>
      </c>
      <c r="F517" s="237" t="s">
        <v>11528</v>
      </c>
      <c r="G517" s="237" t="s">
        <v>11529</v>
      </c>
      <c r="H517" s="237" t="s">
        <v>9388</v>
      </c>
      <c r="I517" s="237" t="s">
        <v>11530</v>
      </c>
      <c r="J517" s="237" t="s">
        <v>5012</v>
      </c>
      <c r="K517" s="237" t="s">
        <v>3000</v>
      </c>
      <c r="L517" s="237" t="s">
        <v>9692</v>
      </c>
      <c r="M517" s="232" t="s">
        <v>9383</v>
      </c>
      <c r="N517" s="430" t="s">
        <v>17527</v>
      </c>
    </row>
    <row r="518">
      <c r="A518" s="427">
        <v>517.0</v>
      </c>
      <c r="B518" s="237" t="s">
        <v>15954</v>
      </c>
      <c r="C518" s="237" t="s">
        <v>6918</v>
      </c>
      <c r="D518" s="428">
        <v>44872.0</v>
      </c>
      <c r="E518" s="237" t="s">
        <v>6921</v>
      </c>
      <c r="F518" s="237" t="s">
        <v>15945</v>
      </c>
      <c r="G518" s="237" t="s">
        <v>15956</v>
      </c>
      <c r="H518" s="237" t="s">
        <v>15957</v>
      </c>
      <c r="I518" s="237" t="s">
        <v>15958</v>
      </c>
      <c r="J518" s="237" t="s">
        <v>5012</v>
      </c>
      <c r="K518" s="237" t="s">
        <v>3000</v>
      </c>
      <c r="L518" s="237" t="s">
        <v>8845</v>
      </c>
      <c r="M518" s="232" t="s">
        <v>9383</v>
      </c>
      <c r="N518" s="430" t="s">
        <v>17527</v>
      </c>
    </row>
    <row r="519">
      <c r="A519" s="427">
        <v>518.0</v>
      </c>
      <c r="B519" s="237" t="s">
        <v>17586</v>
      </c>
      <c r="C519" s="237" t="s">
        <v>6918</v>
      </c>
      <c r="D519" s="428">
        <v>44725.0</v>
      </c>
      <c r="E519" s="237" t="s">
        <v>6933</v>
      </c>
      <c r="F519" s="237" t="s">
        <v>12940</v>
      </c>
      <c r="G519" s="237" t="s">
        <v>12941</v>
      </c>
      <c r="H519" s="237" t="s">
        <v>12942</v>
      </c>
      <c r="I519" s="237" t="s">
        <v>12943</v>
      </c>
      <c r="J519" s="237" t="s">
        <v>5012</v>
      </c>
      <c r="K519" s="237" t="s">
        <v>3000</v>
      </c>
      <c r="L519" s="237" t="s">
        <v>17587</v>
      </c>
      <c r="M519" s="232" t="s">
        <v>9383</v>
      </c>
      <c r="N519" s="430" t="s">
        <v>17527</v>
      </c>
    </row>
    <row r="520">
      <c r="A520" s="427">
        <v>519.0</v>
      </c>
      <c r="B520" s="237" t="s">
        <v>13226</v>
      </c>
      <c r="C520" s="237" t="s">
        <v>6918</v>
      </c>
      <c r="D520" s="428">
        <v>41449.0</v>
      </c>
      <c r="E520" s="237" t="s">
        <v>6921</v>
      </c>
      <c r="F520" s="237" t="s">
        <v>13228</v>
      </c>
      <c r="G520" s="237" t="s">
        <v>13229</v>
      </c>
      <c r="H520" s="237" t="s">
        <v>9456</v>
      </c>
      <c r="I520" s="237" t="s">
        <v>13230</v>
      </c>
      <c r="J520" s="237" t="s">
        <v>5012</v>
      </c>
      <c r="K520" s="237" t="s">
        <v>3000</v>
      </c>
      <c r="L520" s="237" t="s">
        <v>15018</v>
      </c>
      <c r="M520" s="232" t="s">
        <v>9383</v>
      </c>
      <c r="N520" s="430" t="s">
        <v>17527</v>
      </c>
    </row>
    <row r="521">
      <c r="A521" s="427">
        <v>520.0</v>
      </c>
      <c r="B521" s="237" t="s">
        <v>13454</v>
      </c>
      <c r="C521" s="237" t="s">
        <v>6918</v>
      </c>
      <c r="D521" s="428">
        <v>44578.0</v>
      </c>
      <c r="E521" s="237" t="s">
        <v>6921</v>
      </c>
      <c r="F521" s="237" t="s">
        <v>13456</v>
      </c>
      <c r="G521" s="237" t="s">
        <v>13457</v>
      </c>
      <c r="H521" s="237" t="s">
        <v>13458</v>
      </c>
      <c r="I521" s="237" t="s">
        <v>13459</v>
      </c>
      <c r="J521" s="237" t="s">
        <v>5012</v>
      </c>
      <c r="K521" s="237" t="s">
        <v>3000</v>
      </c>
      <c r="L521" s="237" t="s">
        <v>2212</v>
      </c>
      <c r="M521" s="232" t="s">
        <v>9383</v>
      </c>
      <c r="N521" s="430" t="s">
        <v>17527</v>
      </c>
    </row>
    <row r="522">
      <c r="A522" s="427">
        <v>521.0</v>
      </c>
      <c r="B522" s="237" t="s">
        <v>201</v>
      </c>
      <c r="C522" s="237" t="s">
        <v>6918</v>
      </c>
      <c r="D522" s="428">
        <v>43437.0</v>
      </c>
      <c r="E522" s="237" t="s">
        <v>6921</v>
      </c>
      <c r="F522" s="237" t="s">
        <v>13763</v>
      </c>
      <c r="G522" s="237" t="s">
        <v>13764</v>
      </c>
      <c r="H522" s="237" t="s">
        <v>13765</v>
      </c>
      <c r="I522" s="237" t="s">
        <v>204</v>
      </c>
      <c r="J522" s="237" t="s">
        <v>5012</v>
      </c>
      <c r="K522" s="237" t="s">
        <v>3000</v>
      </c>
      <c r="L522" s="237" t="s">
        <v>17588</v>
      </c>
      <c r="M522" s="232" t="s">
        <v>9383</v>
      </c>
      <c r="N522" s="430" t="s">
        <v>17527</v>
      </c>
    </row>
    <row r="523">
      <c r="A523" s="427">
        <v>522.0</v>
      </c>
      <c r="B523" s="237" t="s">
        <v>16038</v>
      </c>
      <c r="C523" s="237" t="s">
        <v>6918</v>
      </c>
      <c r="D523" s="428">
        <v>45140.0</v>
      </c>
      <c r="E523" s="237" t="s">
        <v>6921</v>
      </c>
      <c r="F523" s="237" t="s">
        <v>16039</v>
      </c>
      <c r="G523" s="237" t="s">
        <v>16040</v>
      </c>
      <c r="H523" s="237" t="s">
        <v>16041</v>
      </c>
      <c r="I523" s="237" t="s">
        <v>16042</v>
      </c>
      <c r="J523" s="237" t="s">
        <v>5012</v>
      </c>
      <c r="K523" s="237" t="s">
        <v>3000</v>
      </c>
      <c r="L523" s="237" t="s">
        <v>17418</v>
      </c>
      <c r="M523" s="232" t="s">
        <v>9383</v>
      </c>
      <c r="N523" s="430" t="s">
        <v>17527</v>
      </c>
    </row>
    <row r="524">
      <c r="A524" s="427">
        <v>523.0</v>
      </c>
      <c r="B524" s="237" t="s">
        <v>8718</v>
      </c>
      <c r="C524" s="237" t="s">
        <v>6918</v>
      </c>
      <c r="D524" s="428">
        <v>44144.0</v>
      </c>
      <c r="E524" s="237" t="s">
        <v>6921</v>
      </c>
      <c r="F524" s="237" t="s">
        <v>13093</v>
      </c>
      <c r="G524" s="237" t="s">
        <v>13094</v>
      </c>
      <c r="H524" s="237" t="s">
        <v>10048</v>
      </c>
      <c r="I524" s="237" t="s">
        <v>13095</v>
      </c>
      <c r="J524" s="237" t="s">
        <v>5224</v>
      </c>
      <c r="K524" s="237" t="s">
        <v>3000</v>
      </c>
      <c r="L524" s="237" t="s">
        <v>8850</v>
      </c>
      <c r="M524" s="232" t="s">
        <v>9383</v>
      </c>
      <c r="N524" s="430" t="s">
        <v>17527</v>
      </c>
    </row>
    <row r="525">
      <c r="A525" s="427">
        <v>524.0</v>
      </c>
      <c r="B525" s="237" t="s">
        <v>4188</v>
      </c>
      <c r="C525" s="237" t="s">
        <v>6918</v>
      </c>
      <c r="D525" s="428">
        <v>44795.0</v>
      </c>
      <c r="E525" s="237" t="s">
        <v>6921</v>
      </c>
      <c r="F525" s="237" t="s">
        <v>17589</v>
      </c>
      <c r="G525" s="237" t="s">
        <v>17590</v>
      </c>
      <c r="H525" s="237" t="s">
        <v>12578</v>
      </c>
      <c r="I525" s="237" t="s">
        <v>6787</v>
      </c>
      <c r="J525" s="237" t="s">
        <v>5012</v>
      </c>
      <c r="K525" s="237" t="s">
        <v>3000</v>
      </c>
      <c r="L525" s="237" t="s">
        <v>15018</v>
      </c>
      <c r="M525" s="232" t="s">
        <v>9383</v>
      </c>
      <c r="N525" s="430" t="s">
        <v>17527</v>
      </c>
    </row>
    <row r="526">
      <c r="A526" s="427">
        <v>525.0</v>
      </c>
      <c r="B526" s="237" t="s">
        <v>6411</v>
      </c>
      <c r="C526" s="237" t="s">
        <v>6918</v>
      </c>
      <c r="D526" s="428">
        <v>44896.0</v>
      </c>
      <c r="E526" s="237" t="s">
        <v>6921</v>
      </c>
      <c r="F526" s="237" t="s">
        <v>17591</v>
      </c>
      <c r="G526" s="237" t="s">
        <v>17592</v>
      </c>
      <c r="H526" s="237" t="s">
        <v>10732</v>
      </c>
      <c r="I526" s="237" t="s">
        <v>6412</v>
      </c>
      <c r="J526" s="237" t="s">
        <v>5012</v>
      </c>
      <c r="K526" s="237" t="s">
        <v>3000</v>
      </c>
      <c r="L526" s="237" t="s">
        <v>17593</v>
      </c>
      <c r="M526" s="232" t="s">
        <v>9383</v>
      </c>
      <c r="N526" s="430" t="s">
        <v>17527</v>
      </c>
    </row>
    <row r="527">
      <c r="A527" s="427">
        <v>526.0</v>
      </c>
      <c r="B527" s="237" t="s">
        <v>57</v>
      </c>
      <c r="C527" s="237" t="s">
        <v>6918</v>
      </c>
      <c r="D527" s="428">
        <v>44986.0</v>
      </c>
      <c r="E527" s="237" t="s">
        <v>6921</v>
      </c>
      <c r="F527" s="237" t="s">
        <v>14154</v>
      </c>
      <c r="G527" s="237" t="s">
        <v>14155</v>
      </c>
      <c r="H527" s="237" t="s">
        <v>14156</v>
      </c>
      <c r="I527" s="237" t="s">
        <v>61</v>
      </c>
      <c r="J527" s="237" t="s">
        <v>5012</v>
      </c>
      <c r="K527" s="237" t="s">
        <v>3000</v>
      </c>
      <c r="L527" s="237" t="s">
        <v>232</v>
      </c>
      <c r="M527" s="232" t="s">
        <v>9383</v>
      </c>
      <c r="N527" s="430" t="s">
        <v>17527</v>
      </c>
    </row>
    <row r="528">
      <c r="A528" s="427">
        <v>527.0</v>
      </c>
      <c r="B528" s="237" t="s">
        <v>14686</v>
      </c>
      <c r="C528" s="237" t="s">
        <v>6918</v>
      </c>
      <c r="D528" s="428">
        <v>44578.0</v>
      </c>
      <c r="E528" s="237" t="s">
        <v>6921</v>
      </c>
      <c r="F528" s="237" t="s">
        <v>14687</v>
      </c>
      <c r="G528" s="237" t="s">
        <v>14688</v>
      </c>
      <c r="H528" s="237" t="s">
        <v>9934</v>
      </c>
      <c r="I528" s="237" t="s">
        <v>14689</v>
      </c>
      <c r="J528" s="237" t="s">
        <v>5012</v>
      </c>
      <c r="K528" s="237" t="s">
        <v>3000</v>
      </c>
      <c r="L528" s="237" t="s">
        <v>13490</v>
      </c>
      <c r="M528" s="232" t="s">
        <v>9383</v>
      </c>
      <c r="N528" s="430" t="s">
        <v>17527</v>
      </c>
    </row>
    <row r="529">
      <c r="A529" s="427">
        <v>528.0</v>
      </c>
      <c r="B529" s="237" t="s">
        <v>15730</v>
      </c>
      <c r="C529" s="237" t="s">
        <v>6918</v>
      </c>
      <c r="D529" s="428">
        <v>45110.0</v>
      </c>
      <c r="E529" s="237" t="s">
        <v>6921</v>
      </c>
      <c r="F529" s="237" t="s">
        <v>15731</v>
      </c>
      <c r="G529" s="237" t="s">
        <v>15732</v>
      </c>
      <c r="H529" s="237" t="s">
        <v>9573</v>
      </c>
      <c r="I529" s="237" t="s">
        <v>15733</v>
      </c>
      <c r="J529" s="237" t="s">
        <v>5012</v>
      </c>
      <c r="K529" s="237" t="s">
        <v>3000</v>
      </c>
      <c r="L529" s="237" t="s">
        <v>17587</v>
      </c>
      <c r="M529" s="232" t="s">
        <v>9383</v>
      </c>
      <c r="N529" s="430" t="s">
        <v>17527</v>
      </c>
    </row>
    <row r="530">
      <c r="A530" s="427">
        <v>529.0</v>
      </c>
      <c r="B530" s="237" t="s">
        <v>15620</v>
      </c>
      <c r="C530" s="237" t="s">
        <v>6918</v>
      </c>
      <c r="D530" s="428">
        <v>41487.0</v>
      </c>
      <c r="E530" s="237" t="s">
        <v>6921</v>
      </c>
      <c r="F530" s="237" t="s">
        <v>15621</v>
      </c>
      <c r="G530" s="237" t="s">
        <v>15622</v>
      </c>
      <c r="H530" s="237" t="s">
        <v>9456</v>
      </c>
      <c r="I530" s="237" t="s">
        <v>15623</v>
      </c>
      <c r="J530" s="237" t="s">
        <v>5012</v>
      </c>
      <c r="K530" s="237" t="s">
        <v>3000</v>
      </c>
      <c r="L530" s="237" t="s">
        <v>3857</v>
      </c>
      <c r="M530" s="232" t="s">
        <v>9383</v>
      </c>
      <c r="N530" s="430" t="s">
        <v>17527</v>
      </c>
    </row>
    <row r="531">
      <c r="A531" s="427">
        <v>530.0</v>
      </c>
      <c r="B531" s="237" t="s">
        <v>82</v>
      </c>
      <c r="C531" s="237" t="s">
        <v>6918</v>
      </c>
      <c r="D531" s="428">
        <v>44515.0</v>
      </c>
      <c r="E531" s="237" t="s">
        <v>6921</v>
      </c>
      <c r="F531" s="237" t="s">
        <v>15632</v>
      </c>
      <c r="G531" s="237" t="s">
        <v>15633</v>
      </c>
      <c r="H531" s="237" t="s">
        <v>11014</v>
      </c>
      <c r="I531" s="237" t="s">
        <v>85</v>
      </c>
      <c r="J531" s="237" t="s">
        <v>5012</v>
      </c>
      <c r="K531" s="237" t="s">
        <v>3000</v>
      </c>
      <c r="L531" s="237" t="s">
        <v>17503</v>
      </c>
      <c r="M531" s="232" t="s">
        <v>9383</v>
      </c>
      <c r="N531" s="430" t="s">
        <v>17527</v>
      </c>
    </row>
    <row r="532">
      <c r="A532" s="427">
        <v>531.0</v>
      </c>
      <c r="B532" s="237" t="s">
        <v>818</v>
      </c>
      <c r="C532" s="237" t="s">
        <v>6918</v>
      </c>
      <c r="D532" s="428">
        <v>45173.0</v>
      </c>
      <c r="E532" s="237" t="s">
        <v>6921</v>
      </c>
      <c r="F532" s="237" t="s">
        <v>9433</v>
      </c>
      <c r="G532" s="237" t="s">
        <v>14435</v>
      </c>
      <c r="H532" s="237" t="s">
        <v>9659</v>
      </c>
      <c r="I532" s="237" t="s">
        <v>820</v>
      </c>
      <c r="J532" s="237" t="s">
        <v>5012</v>
      </c>
      <c r="K532" s="237" t="s">
        <v>3000</v>
      </c>
      <c r="L532" s="237" t="s">
        <v>17588</v>
      </c>
      <c r="M532" s="232" t="s">
        <v>9383</v>
      </c>
      <c r="N532" s="430" t="s">
        <v>17527</v>
      </c>
    </row>
    <row r="533">
      <c r="A533" s="427">
        <v>532.0</v>
      </c>
      <c r="B533" s="237" t="s">
        <v>15022</v>
      </c>
      <c r="C533" s="237" t="s">
        <v>6918</v>
      </c>
      <c r="D533" s="428">
        <v>44837.0</v>
      </c>
      <c r="E533" s="237" t="s">
        <v>6921</v>
      </c>
      <c r="F533" s="237" t="s">
        <v>15023</v>
      </c>
      <c r="G533" s="237" t="s">
        <v>15024</v>
      </c>
      <c r="H533" s="237" t="s">
        <v>15025</v>
      </c>
      <c r="I533" s="237" t="s">
        <v>15026</v>
      </c>
      <c r="J533" s="237" t="s">
        <v>5012</v>
      </c>
      <c r="K533" s="237" t="s">
        <v>3000</v>
      </c>
      <c r="L533" s="237" t="s">
        <v>232</v>
      </c>
      <c r="M533" s="232" t="s">
        <v>9383</v>
      </c>
      <c r="N533" s="430" t="s">
        <v>17527</v>
      </c>
    </row>
    <row r="534">
      <c r="A534" s="427">
        <v>533.0</v>
      </c>
      <c r="B534" s="237" t="s">
        <v>14842</v>
      </c>
      <c r="C534" s="237" t="s">
        <v>6918</v>
      </c>
      <c r="D534" s="428">
        <v>43430.0</v>
      </c>
      <c r="E534" s="237" t="s">
        <v>7239</v>
      </c>
      <c r="F534" s="237" t="s">
        <v>14844</v>
      </c>
      <c r="G534" s="237" t="s">
        <v>14845</v>
      </c>
      <c r="H534" s="237" t="s">
        <v>11155</v>
      </c>
      <c r="I534" s="237" t="s">
        <v>14846</v>
      </c>
      <c r="J534" s="237" t="s">
        <v>5012</v>
      </c>
      <c r="K534" s="237" t="s">
        <v>3000</v>
      </c>
      <c r="L534" s="237" t="s">
        <v>13490</v>
      </c>
      <c r="M534" s="232" t="s">
        <v>9383</v>
      </c>
      <c r="N534" s="430" t="s">
        <v>17527</v>
      </c>
    </row>
    <row r="535">
      <c r="A535" s="427">
        <v>534.0</v>
      </c>
      <c r="B535" s="237" t="s">
        <v>4267</v>
      </c>
      <c r="C535" s="237" t="s">
        <v>6918</v>
      </c>
      <c r="D535" s="428">
        <v>44805.0</v>
      </c>
      <c r="E535" s="237" t="s">
        <v>6921</v>
      </c>
      <c r="F535" s="237" t="s">
        <v>12023</v>
      </c>
      <c r="G535" s="237" t="s">
        <v>17594</v>
      </c>
      <c r="H535" s="237" t="s">
        <v>9573</v>
      </c>
      <c r="I535" s="237" t="s">
        <v>6805</v>
      </c>
      <c r="J535" s="237" t="s">
        <v>5012</v>
      </c>
      <c r="K535" s="237" t="s">
        <v>3000</v>
      </c>
      <c r="L535" s="237" t="s">
        <v>13020</v>
      </c>
      <c r="M535" s="232" t="s">
        <v>9383</v>
      </c>
      <c r="N535" s="430" t="s">
        <v>17527</v>
      </c>
    </row>
    <row r="536">
      <c r="A536" s="427">
        <v>535.0</v>
      </c>
      <c r="B536" s="237" t="s">
        <v>9582</v>
      </c>
      <c r="C536" s="237" t="s">
        <v>8796</v>
      </c>
      <c r="D536" s="428">
        <v>44866.0</v>
      </c>
      <c r="E536" s="237" t="s">
        <v>6921</v>
      </c>
      <c r="F536" s="237" t="s">
        <v>9584</v>
      </c>
      <c r="G536" s="237" t="s">
        <v>9585</v>
      </c>
      <c r="H536" s="237" t="s">
        <v>9586</v>
      </c>
      <c r="I536" s="237" t="s">
        <v>9587</v>
      </c>
      <c r="J536" s="237" t="s">
        <v>5012</v>
      </c>
      <c r="K536" s="237" t="s">
        <v>9588</v>
      </c>
      <c r="L536" s="237" t="s">
        <v>15018</v>
      </c>
      <c r="M536" s="232" t="s">
        <v>9383</v>
      </c>
      <c r="N536" s="430" t="s">
        <v>17527</v>
      </c>
    </row>
    <row r="537">
      <c r="A537" s="427">
        <v>536.0</v>
      </c>
      <c r="B537" s="237" t="s">
        <v>9712</v>
      </c>
      <c r="C537" s="237" t="s">
        <v>8796</v>
      </c>
      <c r="D537" s="428">
        <v>45078.0</v>
      </c>
      <c r="E537" s="237" t="s">
        <v>6921</v>
      </c>
      <c r="F537" s="237" t="s">
        <v>9714</v>
      </c>
      <c r="G537" s="237" t="s">
        <v>9715</v>
      </c>
      <c r="H537" s="237" t="s">
        <v>9716</v>
      </c>
      <c r="I537" s="237" t="s">
        <v>9717</v>
      </c>
      <c r="J537" s="237" t="s">
        <v>5012</v>
      </c>
      <c r="K537" s="237" t="s">
        <v>9588</v>
      </c>
      <c r="L537" s="237" t="s">
        <v>15018</v>
      </c>
      <c r="M537" s="232" t="s">
        <v>9383</v>
      </c>
      <c r="N537" s="430" t="s">
        <v>17527</v>
      </c>
    </row>
    <row r="538">
      <c r="A538" s="427">
        <v>537.0</v>
      </c>
      <c r="B538" s="237" t="s">
        <v>9978</v>
      </c>
      <c r="C538" s="237" t="s">
        <v>8796</v>
      </c>
      <c r="D538" s="428">
        <v>44641.0</v>
      </c>
      <c r="E538" s="237" t="s">
        <v>6921</v>
      </c>
      <c r="F538" s="237" t="s">
        <v>9980</v>
      </c>
      <c r="G538" s="237" t="s">
        <v>9981</v>
      </c>
      <c r="H538" s="237" t="s">
        <v>9566</v>
      </c>
      <c r="I538" s="237" t="s">
        <v>9982</v>
      </c>
      <c r="J538" s="237" t="s">
        <v>5012</v>
      </c>
      <c r="K538" s="237" t="s">
        <v>9588</v>
      </c>
      <c r="L538" s="237" t="s">
        <v>17595</v>
      </c>
      <c r="M538" s="232" t="s">
        <v>9383</v>
      </c>
      <c r="N538" s="430" t="s">
        <v>17527</v>
      </c>
    </row>
    <row r="539">
      <c r="A539" s="427">
        <v>538.0</v>
      </c>
      <c r="B539" s="237" t="s">
        <v>9864</v>
      </c>
      <c r="C539" s="237" t="s">
        <v>8796</v>
      </c>
      <c r="D539" s="428">
        <v>44958.0</v>
      </c>
      <c r="E539" s="237" t="s">
        <v>6921</v>
      </c>
      <c r="F539" s="237" t="s">
        <v>9866</v>
      </c>
      <c r="G539" s="237" t="s">
        <v>9867</v>
      </c>
      <c r="H539" s="237" t="s">
        <v>9868</v>
      </c>
      <c r="I539" s="237" t="s">
        <v>9869</v>
      </c>
      <c r="J539" s="237" t="s">
        <v>5012</v>
      </c>
      <c r="K539" s="237" t="s">
        <v>9588</v>
      </c>
      <c r="L539" s="237" t="s">
        <v>17449</v>
      </c>
      <c r="M539" s="232" t="s">
        <v>9383</v>
      </c>
      <c r="N539" s="430" t="s">
        <v>17527</v>
      </c>
    </row>
    <row r="540">
      <c r="A540" s="427">
        <v>539.0</v>
      </c>
      <c r="B540" s="237" t="s">
        <v>5098</v>
      </c>
      <c r="C540" s="237" t="s">
        <v>7505</v>
      </c>
      <c r="D540" s="428">
        <v>42705.0</v>
      </c>
      <c r="E540" s="237" t="s">
        <v>6921</v>
      </c>
      <c r="F540" s="237" t="s">
        <v>12338</v>
      </c>
      <c r="G540" s="237" t="s">
        <v>12339</v>
      </c>
      <c r="H540" s="237" t="s">
        <v>11850</v>
      </c>
      <c r="I540" s="237" t="s">
        <v>5100</v>
      </c>
      <c r="J540" s="237" t="s">
        <v>5012</v>
      </c>
      <c r="K540" s="237" t="s">
        <v>9588</v>
      </c>
      <c r="L540" s="237" t="s">
        <v>12315</v>
      </c>
      <c r="M540" s="232" t="s">
        <v>9383</v>
      </c>
      <c r="N540" s="430" t="s">
        <v>17527</v>
      </c>
    </row>
    <row r="541">
      <c r="A541" s="427">
        <v>540.0</v>
      </c>
      <c r="B541" s="237" t="s">
        <v>14215</v>
      </c>
      <c r="C541" s="237" t="s">
        <v>6918</v>
      </c>
      <c r="D541" s="428">
        <v>42534.0</v>
      </c>
      <c r="E541" s="237" t="s">
        <v>6921</v>
      </c>
      <c r="F541" s="237" t="s">
        <v>14217</v>
      </c>
      <c r="G541" s="237" t="s">
        <v>14218</v>
      </c>
      <c r="H541" s="237" t="s">
        <v>14219</v>
      </c>
      <c r="I541" s="237" t="s">
        <v>14220</v>
      </c>
      <c r="J541" s="237" t="s">
        <v>5012</v>
      </c>
      <c r="K541" s="237" t="s">
        <v>9588</v>
      </c>
      <c r="L541" s="237" t="s">
        <v>3857</v>
      </c>
      <c r="M541" s="232" t="s">
        <v>9383</v>
      </c>
      <c r="N541" s="430" t="s">
        <v>17527</v>
      </c>
    </row>
    <row r="542">
      <c r="A542" s="427">
        <v>541.0</v>
      </c>
      <c r="B542" s="237" t="s">
        <v>13284</v>
      </c>
      <c r="C542" s="237" t="s">
        <v>6918</v>
      </c>
      <c r="D542" s="428">
        <v>44951.0</v>
      </c>
      <c r="E542" s="237" t="s">
        <v>7239</v>
      </c>
      <c r="F542" s="237" t="s">
        <v>13286</v>
      </c>
      <c r="G542" s="237" t="s">
        <v>13287</v>
      </c>
      <c r="H542" s="237" t="s">
        <v>13288</v>
      </c>
      <c r="I542" s="237" t="s">
        <v>13289</v>
      </c>
      <c r="J542" s="237" t="s">
        <v>5012</v>
      </c>
      <c r="K542" s="237" t="s">
        <v>9588</v>
      </c>
      <c r="L542" s="237" t="s">
        <v>13020</v>
      </c>
      <c r="M542" s="232" t="s">
        <v>9383</v>
      </c>
      <c r="N542" s="430" t="s">
        <v>17527</v>
      </c>
    </row>
    <row r="543">
      <c r="A543" s="427">
        <v>542.0</v>
      </c>
      <c r="B543" s="237" t="s">
        <v>13486</v>
      </c>
      <c r="C543" s="237" t="s">
        <v>6918</v>
      </c>
      <c r="D543" s="428">
        <v>43794.0</v>
      </c>
      <c r="E543" s="237" t="s">
        <v>7239</v>
      </c>
      <c r="F543" s="237" t="s">
        <v>13487</v>
      </c>
      <c r="G543" s="237" t="s">
        <v>13488</v>
      </c>
      <c r="H543" s="237" t="s">
        <v>11014</v>
      </c>
      <c r="I543" s="237" t="s">
        <v>13489</v>
      </c>
      <c r="J543" s="237" t="s">
        <v>5012</v>
      </c>
      <c r="K543" s="237" t="s">
        <v>9588</v>
      </c>
      <c r="L543" s="237" t="s">
        <v>17593</v>
      </c>
      <c r="M543" s="232" t="s">
        <v>9383</v>
      </c>
      <c r="N543" s="430" t="s">
        <v>17527</v>
      </c>
    </row>
    <row r="544">
      <c r="A544" s="427">
        <v>543.0</v>
      </c>
      <c r="B544" s="237" t="s">
        <v>13369</v>
      </c>
      <c r="C544" s="237" t="s">
        <v>6918</v>
      </c>
      <c r="D544" s="428">
        <v>44634.0</v>
      </c>
      <c r="E544" s="237" t="s">
        <v>6921</v>
      </c>
      <c r="F544" s="237" t="s">
        <v>9512</v>
      </c>
      <c r="G544" s="237" t="s">
        <v>13370</v>
      </c>
      <c r="H544" s="237" t="s">
        <v>11448</v>
      </c>
      <c r="I544" s="237" t="s">
        <v>13371</v>
      </c>
      <c r="J544" s="237" t="s">
        <v>5012</v>
      </c>
      <c r="K544" s="237" t="s">
        <v>9588</v>
      </c>
      <c r="L544" s="237" t="s">
        <v>13490</v>
      </c>
      <c r="M544" s="232" t="s">
        <v>9383</v>
      </c>
      <c r="N544" s="430" t="s">
        <v>17527</v>
      </c>
    </row>
    <row r="545">
      <c r="A545" s="427">
        <v>544.0</v>
      </c>
      <c r="B545" s="237" t="s">
        <v>13731</v>
      </c>
      <c r="C545" s="237" t="s">
        <v>6918</v>
      </c>
      <c r="D545" s="428">
        <v>43040.0</v>
      </c>
      <c r="E545" s="237" t="s">
        <v>6933</v>
      </c>
      <c r="F545" s="237" t="s">
        <v>13732</v>
      </c>
      <c r="G545" s="237" t="s">
        <v>13733</v>
      </c>
      <c r="H545" s="237" t="s">
        <v>13734</v>
      </c>
      <c r="I545" s="237" t="s">
        <v>13735</v>
      </c>
      <c r="J545" s="237" t="s">
        <v>5012</v>
      </c>
      <c r="K545" s="237" t="s">
        <v>9588</v>
      </c>
      <c r="L545" s="237" t="s">
        <v>17503</v>
      </c>
      <c r="M545" s="232" t="s">
        <v>9383</v>
      </c>
      <c r="N545" s="430" t="s">
        <v>17527</v>
      </c>
    </row>
    <row r="546">
      <c r="A546" s="427">
        <v>545.0</v>
      </c>
      <c r="B546" s="237" t="s">
        <v>14294</v>
      </c>
      <c r="C546" s="237" t="s">
        <v>6918</v>
      </c>
      <c r="D546" s="428">
        <v>41351.0</v>
      </c>
      <c r="E546" s="237" t="s">
        <v>6921</v>
      </c>
      <c r="F546" s="237" t="s">
        <v>14295</v>
      </c>
      <c r="G546" s="237" t="s">
        <v>14296</v>
      </c>
      <c r="H546" s="237" t="s">
        <v>10420</v>
      </c>
      <c r="I546" s="237" t="s">
        <v>14297</v>
      </c>
      <c r="J546" s="237" t="s">
        <v>5012</v>
      </c>
      <c r="K546" s="237" t="s">
        <v>9588</v>
      </c>
      <c r="L546" s="237" t="s">
        <v>17587</v>
      </c>
      <c r="M546" s="232" t="s">
        <v>9383</v>
      </c>
      <c r="N546" s="430" t="s">
        <v>17527</v>
      </c>
    </row>
    <row r="547">
      <c r="A547" s="427">
        <v>546.0</v>
      </c>
      <c r="B547" s="237" t="s">
        <v>14552</v>
      </c>
      <c r="C547" s="237" t="s">
        <v>6918</v>
      </c>
      <c r="D547" s="428">
        <v>43207.0</v>
      </c>
      <c r="E547" s="237" t="s">
        <v>6921</v>
      </c>
      <c r="F547" s="237" t="s">
        <v>14553</v>
      </c>
      <c r="G547" s="237" t="s">
        <v>14554</v>
      </c>
      <c r="H547" s="237" t="s">
        <v>14555</v>
      </c>
      <c r="I547" s="237" t="s">
        <v>14556</v>
      </c>
      <c r="J547" s="237" t="s">
        <v>5012</v>
      </c>
      <c r="K547" s="237" t="s">
        <v>9588</v>
      </c>
      <c r="L547" s="237" t="s">
        <v>17596</v>
      </c>
      <c r="M547" s="232" t="s">
        <v>9383</v>
      </c>
      <c r="N547" s="430" t="s">
        <v>17527</v>
      </c>
    </row>
    <row r="548">
      <c r="A548" s="427">
        <v>547.0</v>
      </c>
      <c r="B548" s="237" t="s">
        <v>3866</v>
      </c>
      <c r="C548" s="237" t="s">
        <v>6918</v>
      </c>
      <c r="D548" s="428">
        <v>45019.0</v>
      </c>
      <c r="E548" s="237" t="s">
        <v>6921</v>
      </c>
      <c r="F548" s="237" t="s">
        <v>17597</v>
      </c>
      <c r="G548" s="237" t="s">
        <v>17598</v>
      </c>
      <c r="H548" s="237" t="s">
        <v>9691</v>
      </c>
      <c r="I548" s="237" t="s">
        <v>6684</v>
      </c>
      <c r="J548" s="237" t="s">
        <v>5012</v>
      </c>
      <c r="K548" s="237" t="s">
        <v>9588</v>
      </c>
      <c r="L548" s="237" t="s">
        <v>17422</v>
      </c>
      <c r="M548" s="232" t="s">
        <v>9383</v>
      </c>
      <c r="N548" s="430" t="s">
        <v>17527</v>
      </c>
    </row>
    <row r="549">
      <c r="A549" s="427">
        <v>548.0</v>
      </c>
      <c r="B549" s="237" t="s">
        <v>12684</v>
      </c>
      <c r="C549" s="237" t="s">
        <v>7277</v>
      </c>
      <c r="D549" s="428">
        <v>45243.0</v>
      </c>
      <c r="E549" s="237" t="s">
        <v>6921</v>
      </c>
      <c r="F549" s="237" t="s">
        <v>11282</v>
      </c>
      <c r="G549" s="237" t="s">
        <v>12685</v>
      </c>
      <c r="H549" s="237" t="s">
        <v>10536</v>
      </c>
      <c r="I549" s="237" t="s">
        <v>5855</v>
      </c>
      <c r="J549" s="237" t="s">
        <v>5224</v>
      </c>
      <c r="K549" s="237" t="s">
        <v>12686</v>
      </c>
      <c r="L549" s="237" t="s">
        <v>5834</v>
      </c>
      <c r="M549" s="232" t="s">
        <v>9383</v>
      </c>
      <c r="N549" s="430" t="s">
        <v>17527</v>
      </c>
    </row>
    <row r="550">
      <c r="A550" s="427">
        <v>549.0</v>
      </c>
      <c r="B550" s="237" t="s">
        <v>1011</v>
      </c>
      <c r="C550" s="237" t="s">
        <v>10103</v>
      </c>
      <c r="D550" s="428">
        <v>42843.0</v>
      </c>
      <c r="E550" s="237" t="s">
        <v>7239</v>
      </c>
      <c r="F550" s="237" t="s">
        <v>11220</v>
      </c>
      <c r="G550" s="237" t="s">
        <v>11221</v>
      </c>
      <c r="H550" s="237" t="s">
        <v>11107</v>
      </c>
      <c r="I550" s="237" t="s">
        <v>1014</v>
      </c>
      <c r="J550" s="237" t="s">
        <v>5224</v>
      </c>
      <c r="K550" s="237" t="s">
        <v>11222</v>
      </c>
      <c r="L550" s="237" t="s">
        <v>5805</v>
      </c>
      <c r="M550" s="232" t="s">
        <v>9383</v>
      </c>
      <c r="N550" s="430" t="s">
        <v>17527</v>
      </c>
    </row>
    <row r="551">
      <c r="A551" s="427">
        <v>550.0</v>
      </c>
      <c r="B551" s="237" t="s">
        <v>9059</v>
      </c>
      <c r="C551" s="237" t="s">
        <v>6918</v>
      </c>
      <c r="D551" s="428">
        <v>42625.0</v>
      </c>
      <c r="E551" s="237" t="s">
        <v>6921</v>
      </c>
      <c r="F551" s="237" t="s">
        <v>15762</v>
      </c>
      <c r="G551" s="237" t="s">
        <v>15763</v>
      </c>
      <c r="H551" s="237" t="s">
        <v>12007</v>
      </c>
      <c r="I551" s="237" t="s">
        <v>15764</v>
      </c>
      <c r="J551" s="237" t="s">
        <v>5224</v>
      </c>
      <c r="K551" s="237" t="s">
        <v>11222</v>
      </c>
      <c r="L551" s="237" t="s">
        <v>2508</v>
      </c>
      <c r="M551" s="232" t="s">
        <v>9383</v>
      </c>
      <c r="N551" s="430" t="s">
        <v>17527</v>
      </c>
    </row>
    <row r="552">
      <c r="A552" s="427">
        <v>551.0</v>
      </c>
      <c r="B552" s="237" t="s">
        <v>15984</v>
      </c>
      <c r="C552" s="237" t="s">
        <v>6918</v>
      </c>
      <c r="D552" s="428">
        <v>44676.0</v>
      </c>
      <c r="E552" s="237" t="s">
        <v>6921</v>
      </c>
      <c r="F552" s="237" t="s">
        <v>15977</v>
      </c>
      <c r="G552" s="237" t="s">
        <v>15985</v>
      </c>
      <c r="H552" s="237" t="s">
        <v>10311</v>
      </c>
      <c r="I552" s="237" t="s">
        <v>15986</v>
      </c>
      <c r="J552" s="237" t="s">
        <v>5224</v>
      </c>
      <c r="K552" s="237" t="s">
        <v>11222</v>
      </c>
      <c r="L552" s="237" t="s">
        <v>2625</v>
      </c>
      <c r="M552" s="232" t="s">
        <v>9383</v>
      </c>
      <c r="N552" s="430" t="s">
        <v>17527</v>
      </c>
    </row>
    <row r="553">
      <c r="A553" s="427">
        <v>552.0</v>
      </c>
      <c r="B553" s="237" t="s">
        <v>8954</v>
      </c>
      <c r="C553" s="237" t="s">
        <v>6918</v>
      </c>
      <c r="D553" s="428">
        <v>42590.0</v>
      </c>
      <c r="E553" s="237" t="s">
        <v>6921</v>
      </c>
      <c r="F553" s="237" t="s">
        <v>12983</v>
      </c>
      <c r="G553" s="237" t="s">
        <v>10327</v>
      </c>
      <c r="H553" s="237" t="s">
        <v>10420</v>
      </c>
      <c r="I553" s="237" t="s">
        <v>12984</v>
      </c>
      <c r="J553" s="237" t="s">
        <v>5224</v>
      </c>
      <c r="K553" s="237" t="s">
        <v>11222</v>
      </c>
      <c r="L553" s="237" t="s">
        <v>2625</v>
      </c>
      <c r="M553" s="232" t="s">
        <v>9383</v>
      </c>
      <c r="N553" s="430" t="s">
        <v>17527</v>
      </c>
    </row>
    <row r="554">
      <c r="A554" s="427">
        <v>553.0</v>
      </c>
      <c r="B554" s="237" t="s">
        <v>3724</v>
      </c>
      <c r="C554" s="237" t="s">
        <v>6918</v>
      </c>
      <c r="D554" s="428">
        <v>43892.0</v>
      </c>
      <c r="E554" s="237" t="s">
        <v>6921</v>
      </c>
      <c r="F554" s="237" t="s">
        <v>17599</v>
      </c>
      <c r="G554" s="237" t="s">
        <v>17600</v>
      </c>
      <c r="H554" s="237" t="s">
        <v>10048</v>
      </c>
      <c r="I554" s="237" t="s">
        <v>6632</v>
      </c>
      <c r="J554" s="237" t="s">
        <v>5224</v>
      </c>
      <c r="K554" s="237" t="s">
        <v>11222</v>
      </c>
      <c r="L554" s="237" t="s">
        <v>2342</v>
      </c>
      <c r="M554" s="232" t="s">
        <v>9383</v>
      </c>
      <c r="N554" s="430" t="s">
        <v>17527</v>
      </c>
    </row>
    <row r="555">
      <c r="A555" s="427">
        <v>554.0</v>
      </c>
      <c r="B555" s="237" t="s">
        <v>7691</v>
      </c>
      <c r="C555" s="237" t="s">
        <v>6918</v>
      </c>
      <c r="D555" s="428">
        <v>43045.0</v>
      </c>
      <c r="E555" s="237" t="s">
        <v>6921</v>
      </c>
      <c r="F555" s="237" t="s">
        <v>15019</v>
      </c>
      <c r="G555" s="237" t="s">
        <v>15020</v>
      </c>
      <c r="H555" s="237" t="s">
        <v>14801</v>
      </c>
      <c r="I555" s="237" t="s">
        <v>15021</v>
      </c>
      <c r="J555" s="237" t="s">
        <v>5224</v>
      </c>
      <c r="K555" s="237" t="s">
        <v>11222</v>
      </c>
      <c r="L555" s="237" t="s">
        <v>7688</v>
      </c>
      <c r="M555" s="232" t="s">
        <v>9383</v>
      </c>
      <c r="N555" s="430" t="s">
        <v>17527</v>
      </c>
    </row>
    <row r="556">
      <c r="A556" s="427">
        <v>555.0</v>
      </c>
      <c r="B556" s="237" t="s">
        <v>8958</v>
      </c>
      <c r="C556" s="237" t="s">
        <v>6918</v>
      </c>
      <c r="D556" s="428">
        <v>42751.0</v>
      </c>
      <c r="E556" s="237" t="s">
        <v>6921</v>
      </c>
      <c r="F556" s="237" t="s">
        <v>15034</v>
      </c>
      <c r="G556" s="237" t="s">
        <v>15038</v>
      </c>
      <c r="H556" s="237" t="s">
        <v>11243</v>
      </c>
      <c r="I556" s="237" t="s">
        <v>15039</v>
      </c>
      <c r="J556" s="237" t="s">
        <v>5224</v>
      </c>
      <c r="K556" s="237" t="s">
        <v>11222</v>
      </c>
      <c r="L556" s="237" t="s">
        <v>2320</v>
      </c>
      <c r="M556" s="232" t="s">
        <v>9383</v>
      </c>
      <c r="N556" s="430" t="s">
        <v>17527</v>
      </c>
    </row>
    <row r="557">
      <c r="A557" s="427">
        <v>556.0</v>
      </c>
      <c r="B557" s="237" t="s">
        <v>914</v>
      </c>
      <c r="C557" s="237" t="s">
        <v>6918</v>
      </c>
      <c r="D557" s="428">
        <v>44594.0</v>
      </c>
      <c r="E557" s="237" t="s">
        <v>6921</v>
      </c>
      <c r="F557" s="237" t="s">
        <v>14584</v>
      </c>
      <c r="G557" s="237" t="s">
        <v>14585</v>
      </c>
      <c r="H557" s="237" t="s">
        <v>12601</v>
      </c>
      <c r="I557" s="237" t="s">
        <v>918</v>
      </c>
      <c r="J557" s="237" t="s">
        <v>5224</v>
      </c>
      <c r="K557" s="237" t="s">
        <v>14586</v>
      </c>
      <c r="L557" s="237" t="s">
        <v>14275</v>
      </c>
      <c r="M557" s="232" t="s">
        <v>9383</v>
      </c>
      <c r="N557" s="430" t="s">
        <v>17527</v>
      </c>
    </row>
    <row r="558">
      <c r="A558" s="427">
        <v>557.0</v>
      </c>
      <c r="B558" s="237" t="s">
        <v>3701</v>
      </c>
      <c r="C558" s="237" t="s">
        <v>8796</v>
      </c>
      <c r="D558" s="428">
        <v>45078.0</v>
      </c>
      <c r="E558" s="237" t="s">
        <v>6921</v>
      </c>
      <c r="F558" s="237" t="s">
        <v>17601</v>
      </c>
      <c r="G558" s="237" t="s">
        <v>17602</v>
      </c>
      <c r="H558" s="237" t="s">
        <v>11107</v>
      </c>
      <c r="I558" s="237" t="s">
        <v>6621</v>
      </c>
      <c r="J558" s="237" t="s">
        <v>5224</v>
      </c>
      <c r="K558" s="237" t="s">
        <v>1386</v>
      </c>
      <c r="L558" s="237" t="s">
        <v>9738</v>
      </c>
      <c r="M558" s="232" t="s">
        <v>9383</v>
      </c>
      <c r="N558" s="430" t="s">
        <v>17527</v>
      </c>
    </row>
    <row r="559">
      <c r="A559" s="427">
        <v>558.0</v>
      </c>
      <c r="B559" s="237" t="s">
        <v>869</v>
      </c>
      <c r="C559" s="237" t="s">
        <v>8796</v>
      </c>
      <c r="D559" s="428">
        <v>44879.0</v>
      </c>
      <c r="E559" s="237" t="s">
        <v>6921</v>
      </c>
      <c r="F559" s="237" t="s">
        <v>9820</v>
      </c>
      <c r="G559" s="237" t="s">
        <v>9821</v>
      </c>
      <c r="H559" s="237" t="s">
        <v>9822</v>
      </c>
      <c r="I559" s="237" t="s">
        <v>873</v>
      </c>
      <c r="J559" s="237" t="s">
        <v>5224</v>
      </c>
      <c r="K559" s="237" t="s">
        <v>1386</v>
      </c>
      <c r="L559" s="237" t="s">
        <v>9738</v>
      </c>
      <c r="M559" s="232" t="s">
        <v>9383</v>
      </c>
      <c r="N559" s="430" t="s">
        <v>17527</v>
      </c>
    </row>
    <row r="560">
      <c r="A560" s="427">
        <v>559.0</v>
      </c>
      <c r="B560" s="237" t="s">
        <v>7661</v>
      </c>
      <c r="C560" s="237" t="s">
        <v>7546</v>
      </c>
      <c r="D560" s="428">
        <v>44753.0</v>
      </c>
      <c r="E560" s="237" t="s">
        <v>6921</v>
      </c>
      <c r="F560" s="237" t="s">
        <v>12824</v>
      </c>
      <c r="G560" s="237" t="s">
        <v>12825</v>
      </c>
      <c r="H560" s="237" t="s">
        <v>9669</v>
      </c>
      <c r="I560" s="237" t="s">
        <v>12826</v>
      </c>
      <c r="J560" s="237" t="s">
        <v>5224</v>
      </c>
      <c r="K560" s="237" t="s">
        <v>1386</v>
      </c>
      <c r="L560" s="237" t="s">
        <v>2603</v>
      </c>
      <c r="M560" s="232" t="s">
        <v>9383</v>
      </c>
      <c r="N560" s="430" t="s">
        <v>17527</v>
      </c>
    </row>
    <row r="561">
      <c r="A561" s="427">
        <v>560.0</v>
      </c>
      <c r="B561" s="237" t="s">
        <v>7665</v>
      </c>
      <c r="C561" s="237" t="s">
        <v>7546</v>
      </c>
      <c r="D561" s="428">
        <v>45154.0</v>
      </c>
      <c r="E561" s="237" t="s">
        <v>6921</v>
      </c>
      <c r="F561" s="237" t="s">
        <v>12859</v>
      </c>
      <c r="G561" s="237" t="s">
        <v>12860</v>
      </c>
      <c r="H561" s="231"/>
      <c r="I561" s="237" t="s">
        <v>12861</v>
      </c>
      <c r="J561" s="237" t="s">
        <v>5224</v>
      </c>
      <c r="K561" s="237" t="s">
        <v>1386</v>
      </c>
      <c r="L561" s="237" t="s">
        <v>2603</v>
      </c>
      <c r="M561" s="232" t="s">
        <v>9383</v>
      </c>
      <c r="N561" s="430" t="s">
        <v>17527</v>
      </c>
    </row>
    <row r="562">
      <c r="A562" s="427">
        <v>561.0</v>
      </c>
      <c r="B562" s="237" t="s">
        <v>7673</v>
      </c>
      <c r="C562" s="237" t="s">
        <v>7575</v>
      </c>
      <c r="D562" s="428">
        <v>44543.0</v>
      </c>
      <c r="E562" s="237" t="s">
        <v>6921</v>
      </c>
      <c r="F562" s="237" t="s">
        <v>12889</v>
      </c>
      <c r="G562" s="237" t="s">
        <v>12890</v>
      </c>
      <c r="H562" s="237" t="s">
        <v>12891</v>
      </c>
      <c r="I562" s="237" t="s">
        <v>12892</v>
      </c>
      <c r="J562" s="237" t="s">
        <v>5224</v>
      </c>
      <c r="K562" s="237" t="s">
        <v>12857</v>
      </c>
      <c r="L562" s="237" t="s">
        <v>2603</v>
      </c>
      <c r="M562" s="232" t="s">
        <v>9383</v>
      </c>
      <c r="N562" s="430" t="s">
        <v>17527</v>
      </c>
    </row>
    <row r="563">
      <c r="A563" s="427">
        <v>562.0</v>
      </c>
      <c r="B563" s="237" t="s">
        <v>7591</v>
      </c>
      <c r="C563" s="237" t="s">
        <v>7590</v>
      </c>
      <c r="D563" s="428">
        <v>44531.0</v>
      </c>
      <c r="E563" s="237" t="s">
        <v>6921</v>
      </c>
      <c r="F563" s="237" t="s">
        <v>12853</v>
      </c>
      <c r="G563" s="237" t="s">
        <v>12854</v>
      </c>
      <c r="H563" s="237" t="s">
        <v>12855</v>
      </c>
      <c r="I563" s="237" t="s">
        <v>12856</v>
      </c>
      <c r="J563" s="237" t="s">
        <v>5224</v>
      </c>
      <c r="K563" s="237" t="s">
        <v>12857</v>
      </c>
      <c r="L563" s="237" t="s">
        <v>10538</v>
      </c>
      <c r="M563" s="232" t="s">
        <v>9383</v>
      </c>
      <c r="N563" s="430" t="s">
        <v>17527</v>
      </c>
    </row>
    <row r="564">
      <c r="A564" s="427">
        <v>563.0</v>
      </c>
      <c r="B564" s="237" t="s">
        <v>7529</v>
      </c>
      <c r="C564" s="237" t="s">
        <v>7523</v>
      </c>
      <c r="D564" s="428">
        <v>45474.0</v>
      </c>
      <c r="E564" s="237" t="s">
        <v>6921</v>
      </c>
      <c r="F564" s="237" t="s">
        <v>11961</v>
      </c>
      <c r="G564" s="237" t="s">
        <v>12412</v>
      </c>
      <c r="H564" s="237" t="s">
        <v>9915</v>
      </c>
      <c r="I564" s="237" t="s">
        <v>12413</v>
      </c>
      <c r="J564" s="237" t="s">
        <v>5224</v>
      </c>
      <c r="K564" s="237" t="s">
        <v>12414</v>
      </c>
      <c r="L564" s="237" t="s">
        <v>7531</v>
      </c>
      <c r="M564" s="232" t="s">
        <v>9383</v>
      </c>
      <c r="N564" s="430" t="s">
        <v>17527</v>
      </c>
    </row>
    <row r="565">
      <c r="A565" s="427">
        <v>564.0</v>
      </c>
      <c r="B565" s="237" t="s">
        <v>7641</v>
      </c>
      <c r="C565" s="237" t="s">
        <v>7546</v>
      </c>
      <c r="D565" s="428">
        <v>44893.0</v>
      </c>
      <c r="E565" s="237" t="s">
        <v>6921</v>
      </c>
      <c r="F565" s="237" t="s">
        <v>12071</v>
      </c>
      <c r="G565" s="237" t="s">
        <v>12913</v>
      </c>
      <c r="H565" s="237" t="s">
        <v>12914</v>
      </c>
      <c r="I565" s="237" t="s">
        <v>12915</v>
      </c>
      <c r="J565" s="237" t="s">
        <v>5224</v>
      </c>
      <c r="K565" s="237" t="s">
        <v>12414</v>
      </c>
      <c r="L565" s="237" t="s">
        <v>7626</v>
      </c>
      <c r="M565" s="232" t="s">
        <v>9383</v>
      </c>
      <c r="N565" s="430" t="s">
        <v>17527</v>
      </c>
    </row>
    <row r="566">
      <c r="A566" s="427">
        <v>565.0</v>
      </c>
      <c r="B566" s="237" t="s">
        <v>7653</v>
      </c>
      <c r="C566" s="237" t="s">
        <v>7575</v>
      </c>
      <c r="D566" s="428">
        <v>44621.0</v>
      </c>
      <c r="E566" s="237" t="s">
        <v>6921</v>
      </c>
      <c r="F566" s="237" t="s">
        <v>12782</v>
      </c>
      <c r="G566" s="237" t="s">
        <v>12783</v>
      </c>
      <c r="H566" s="237" t="s">
        <v>12784</v>
      </c>
      <c r="I566" s="237" t="s">
        <v>12785</v>
      </c>
      <c r="J566" s="237" t="s">
        <v>5224</v>
      </c>
      <c r="K566" s="237" t="s">
        <v>12414</v>
      </c>
      <c r="L566" s="237" t="s">
        <v>7626</v>
      </c>
      <c r="M566" s="232" t="s">
        <v>9383</v>
      </c>
      <c r="N566" s="430" t="s">
        <v>17527</v>
      </c>
    </row>
    <row r="567">
      <c r="A567" s="427">
        <v>566.0</v>
      </c>
      <c r="B567" s="237" t="s">
        <v>7999</v>
      </c>
      <c r="C567" s="237" t="s">
        <v>6918</v>
      </c>
      <c r="D567" s="428">
        <v>45509.0</v>
      </c>
      <c r="E567" s="237" t="s">
        <v>6921</v>
      </c>
      <c r="F567" s="237" t="s">
        <v>15977</v>
      </c>
      <c r="G567" s="237" t="s">
        <v>15982</v>
      </c>
      <c r="H567" s="237" t="s">
        <v>12212</v>
      </c>
      <c r="I567" s="237" t="s">
        <v>15983</v>
      </c>
      <c r="J567" s="237" t="s">
        <v>5224</v>
      </c>
      <c r="K567" s="237" t="s">
        <v>12414</v>
      </c>
      <c r="L567" s="237" t="s">
        <v>2603</v>
      </c>
      <c r="M567" s="232" t="s">
        <v>9383</v>
      </c>
      <c r="N567" s="430" t="s">
        <v>17527</v>
      </c>
    </row>
    <row r="568">
      <c r="A568" s="427">
        <v>567.0</v>
      </c>
      <c r="B568" s="237" t="s">
        <v>8010</v>
      </c>
      <c r="C568" s="237" t="s">
        <v>6918</v>
      </c>
      <c r="D568" s="428">
        <v>45573.0</v>
      </c>
      <c r="E568" s="237" t="s">
        <v>6921</v>
      </c>
      <c r="F568" s="237" t="s">
        <v>13304</v>
      </c>
      <c r="G568" s="237" t="s">
        <v>13305</v>
      </c>
      <c r="H568" s="237" t="s">
        <v>13306</v>
      </c>
      <c r="I568" s="237" t="s">
        <v>13307</v>
      </c>
      <c r="J568" s="237" t="s">
        <v>5224</v>
      </c>
      <c r="K568" s="237" t="s">
        <v>12414</v>
      </c>
      <c r="L568" s="237" t="s">
        <v>2603</v>
      </c>
      <c r="M568" s="232" t="s">
        <v>9391</v>
      </c>
      <c r="N568" s="430" t="s">
        <v>17527</v>
      </c>
    </row>
    <row r="569">
      <c r="A569" s="427">
        <v>568.0</v>
      </c>
      <c r="B569" s="237" t="s">
        <v>3461</v>
      </c>
      <c r="C569" s="237" t="s">
        <v>6918</v>
      </c>
      <c r="D569" s="428">
        <v>45154.0</v>
      </c>
      <c r="E569" s="237" t="s">
        <v>6921</v>
      </c>
      <c r="F569" s="237" t="s">
        <v>17603</v>
      </c>
      <c r="G569" s="237" t="s">
        <v>17604</v>
      </c>
      <c r="H569" s="237" t="s">
        <v>12037</v>
      </c>
      <c r="I569" s="237" t="s">
        <v>4949</v>
      </c>
      <c r="J569" s="237" t="s">
        <v>5224</v>
      </c>
      <c r="K569" s="237" t="s">
        <v>12414</v>
      </c>
      <c r="L569" s="237" t="s">
        <v>2603</v>
      </c>
      <c r="M569" s="232" t="s">
        <v>9383</v>
      </c>
      <c r="N569" s="430" t="s">
        <v>17527</v>
      </c>
    </row>
    <row r="570">
      <c r="A570" s="427">
        <v>569.0</v>
      </c>
      <c r="B570" s="237" t="s">
        <v>7637</v>
      </c>
      <c r="C570" s="237" t="s">
        <v>7546</v>
      </c>
      <c r="D570" s="428">
        <v>44713.0</v>
      </c>
      <c r="E570" s="237" t="s">
        <v>6921</v>
      </c>
      <c r="F570" s="237" t="s">
        <v>12842</v>
      </c>
      <c r="G570" s="237" t="s">
        <v>12843</v>
      </c>
      <c r="H570" s="237" t="s">
        <v>10744</v>
      </c>
      <c r="I570" s="237" t="s">
        <v>12844</v>
      </c>
      <c r="J570" s="237" t="s">
        <v>5224</v>
      </c>
      <c r="K570" s="237" t="s">
        <v>12845</v>
      </c>
      <c r="L570" s="237" t="s">
        <v>7626</v>
      </c>
      <c r="M570" s="232" t="s">
        <v>9383</v>
      </c>
      <c r="N570" s="430" t="s">
        <v>17527</v>
      </c>
    </row>
    <row r="571">
      <c r="A571" s="427">
        <v>570.0</v>
      </c>
      <c r="B571" s="237" t="s">
        <v>9271</v>
      </c>
      <c r="C571" s="237" t="s">
        <v>8796</v>
      </c>
      <c r="D571" s="428">
        <v>45048.0</v>
      </c>
      <c r="E571" s="237" t="s">
        <v>6921</v>
      </c>
      <c r="F571" s="237" t="s">
        <v>9499</v>
      </c>
      <c r="G571" s="237" t="s">
        <v>9500</v>
      </c>
      <c r="H571" s="237" t="s">
        <v>9501</v>
      </c>
      <c r="I571" s="237" t="s">
        <v>9502</v>
      </c>
      <c r="J571" s="237" t="s">
        <v>5224</v>
      </c>
      <c r="K571" s="237" t="s">
        <v>9503</v>
      </c>
      <c r="L571" s="237" t="s">
        <v>3179</v>
      </c>
      <c r="M571" s="232" t="s">
        <v>9383</v>
      </c>
      <c r="N571" s="430" t="s">
        <v>17527</v>
      </c>
    </row>
    <row r="572">
      <c r="A572" s="427">
        <v>571.0</v>
      </c>
      <c r="B572" s="237" t="s">
        <v>9275</v>
      </c>
      <c r="C572" s="237" t="s">
        <v>8796</v>
      </c>
      <c r="D572" s="428">
        <v>45488.0</v>
      </c>
      <c r="E572" s="237" t="s">
        <v>6921</v>
      </c>
      <c r="F572" s="237" t="s">
        <v>9938</v>
      </c>
      <c r="G572" s="237" t="s">
        <v>9939</v>
      </c>
      <c r="H572" s="237" t="s">
        <v>9940</v>
      </c>
      <c r="I572" s="237" t="s">
        <v>9941</v>
      </c>
      <c r="J572" s="237" t="s">
        <v>5224</v>
      </c>
      <c r="K572" s="237" t="s">
        <v>9503</v>
      </c>
      <c r="L572" s="237" t="s">
        <v>3179</v>
      </c>
      <c r="M572" s="232" t="s">
        <v>9391</v>
      </c>
      <c r="N572" s="430" t="s">
        <v>17527</v>
      </c>
    </row>
    <row r="573">
      <c r="A573" s="427">
        <v>572.0</v>
      </c>
      <c r="B573" s="237" t="s">
        <v>4352</v>
      </c>
      <c r="C573" s="237" t="s">
        <v>8796</v>
      </c>
      <c r="D573" s="428">
        <v>45474.0</v>
      </c>
      <c r="E573" s="237" t="s">
        <v>6921</v>
      </c>
      <c r="F573" s="237" t="s">
        <v>10869</v>
      </c>
      <c r="G573" s="237" t="s">
        <v>17605</v>
      </c>
      <c r="H573" s="237" t="s">
        <v>13576</v>
      </c>
      <c r="I573" s="237" t="s">
        <v>4951</v>
      </c>
      <c r="J573" s="237" t="s">
        <v>5224</v>
      </c>
      <c r="K573" s="237" t="s">
        <v>9503</v>
      </c>
      <c r="L573" s="237" t="s">
        <v>3179</v>
      </c>
      <c r="M573" s="232" t="s">
        <v>9383</v>
      </c>
      <c r="N573" s="430" t="s">
        <v>17527</v>
      </c>
    </row>
    <row r="574">
      <c r="A574" s="427">
        <v>573.0</v>
      </c>
      <c r="B574" s="237" t="s">
        <v>7578</v>
      </c>
      <c r="C574" s="237" t="s">
        <v>7546</v>
      </c>
      <c r="D574" s="428">
        <v>44866.0</v>
      </c>
      <c r="E574" s="237" t="s">
        <v>6921</v>
      </c>
      <c r="F574" s="237" t="s">
        <v>12789</v>
      </c>
      <c r="G574" s="237" t="s">
        <v>12790</v>
      </c>
      <c r="H574" s="237" t="s">
        <v>12791</v>
      </c>
      <c r="I574" s="237" t="s">
        <v>12792</v>
      </c>
      <c r="J574" s="237" t="s">
        <v>5224</v>
      </c>
      <c r="K574" s="237" t="s">
        <v>9503</v>
      </c>
      <c r="L574" s="237" t="s">
        <v>10538</v>
      </c>
      <c r="M574" s="232" t="s">
        <v>9383</v>
      </c>
      <c r="N574" s="430" t="s">
        <v>17527</v>
      </c>
    </row>
    <row r="575">
      <c r="A575" s="427">
        <v>574.0</v>
      </c>
      <c r="B575" s="237" t="s">
        <v>7582</v>
      </c>
      <c r="C575" s="237" t="s">
        <v>7405</v>
      </c>
      <c r="D575" s="428">
        <v>44508.0</v>
      </c>
      <c r="E575" s="237" t="s">
        <v>6933</v>
      </c>
      <c r="F575" s="237" t="s">
        <v>12936</v>
      </c>
      <c r="G575" s="237" t="s">
        <v>12937</v>
      </c>
      <c r="H575" s="237" t="s">
        <v>10311</v>
      </c>
      <c r="I575" s="237" t="s">
        <v>12938</v>
      </c>
      <c r="J575" s="237" t="s">
        <v>5224</v>
      </c>
      <c r="K575" s="237" t="s">
        <v>9503</v>
      </c>
      <c r="L575" s="237" t="s">
        <v>10538</v>
      </c>
      <c r="M575" s="232" t="s">
        <v>9383</v>
      </c>
      <c r="N575" s="430" t="s">
        <v>17527</v>
      </c>
    </row>
    <row r="576">
      <c r="A576" s="427">
        <v>575.0</v>
      </c>
      <c r="B576" s="237" t="s">
        <v>3177</v>
      </c>
      <c r="C576" s="237" t="s">
        <v>6918</v>
      </c>
      <c r="D576" s="428">
        <v>45551.0</v>
      </c>
      <c r="E576" s="237" t="s">
        <v>6921</v>
      </c>
      <c r="F576" s="237" t="s">
        <v>17606</v>
      </c>
      <c r="G576" s="237" t="s">
        <v>17607</v>
      </c>
      <c r="H576" s="237" t="s">
        <v>17608</v>
      </c>
      <c r="I576" s="237" t="s">
        <v>6396</v>
      </c>
      <c r="J576" s="237" t="s">
        <v>5224</v>
      </c>
      <c r="K576" s="237" t="s">
        <v>9503</v>
      </c>
      <c r="L576" s="237" t="s">
        <v>3179</v>
      </c>
      <c r="M576" s="232" t="s">
        <v>9383</v>
      </c>
      <c r="N576" s="430" t="s">
        <v>17527</v>
      </c>
    </row>
    <row r="577">
      <c r="A577" s="427">
        <v>576.0</v>
      </c>
      <c r="B577" s="237" t="s">
        <v>3427</v>
      </c>
      <c r="C577" s="237" t="s">
        <v>6918</v>
      </c>
      <c r="D577" s="428">
        <v>44746.0</v>
      </c>
      <c r="E577" s="237" t="s">
        <v>6933</v>
      </c>
      <c r="F577" s="237" t="s">
        <v>11192</v>
      </c>
      <c r="G577" s="237" t="s">
        <v>14348</v>
      </c>
      <c r="H577" s="237" t="s">
        <v>12094</v>
      </c>
      <c r="I577" s="237" t="s">
        <v>6497</v>
      </c>
      <c r="J577" s="237" t="s">
        <v>5224</v>
      </c>
      <c r="K577" s="237" t="s">
        <v>9503</v>
      </c>
      <c r="L577" s="237" t="s">
        <v>3179</v>
      </c>
      <c r="M577" s="232" t="s">
        <v>9383</v>
      </c>
      <c r="N577" s="430" t="s">
        <v>17527</v>
      </c>
    </row>
    <row r="578">
      <c r="A578" s="427">
        <v>577.0</v>
      </c>
      <c r="B578" s="237" t="s">
        <v>7954</v>
      </c>
      <c r="C578" s="237" t="s">
        <v>6918</v>
      </c>
      <c r="D578" s="428">
        <v>44732.0</v>
      </c>
      <c r="E578" s="237" t="s">
        <v>6933</v>
      </c>
      <c r="F578" s="237" t="s">
        <v>13107</v>
      </c>
      <c r="G578" s="237" t="s">
        <v>13108</v>
      </c>
      <c r="H578" s="237" t="s">
        <v>10483</v>
      </c>
      <c r="I578" s="237" t="s">
        <v>13109</v>
      </c>
      <c r="J578" s="237" t="s">
        <v>5224</v>
      </c>
      <c r="K578" s="237" t="s">
        <v>13110</v>
      </c>
      <c r="L578" s="237" t="s">
        <v>3179</v>
      </c>
      <c r="M578" s="232" t="s">
        <v>9383</v>
      </c>
      <c r="N578" s="430" t="s">
        <v>17527</v>
      </c>
    </row>
    <row r="579">
      <c r="A579" s="427">
        <v>578.0</v>
      </c>
      <c r="B579" s="237" t="s">
        <v>4023</v>
      </c>
      <c r="C579" s="237" t="s">
        <v>1631</v>
      </c>
      <c r="D579" s="428">
        <v>45474.0</v>
      </c>
      <c r="E579" s="237" t="s">
        <v>6921</v>
      </c>
      <c r="F579" s="237" t="s">
        <v>17609</v>
      </c>
      <c r="G579" s="237" t="s">
        <v>17610</v>
      </c>
      <c r="H579" s="237" t="s">
        <v>12037</v>
      </c>
      <c r="I579" s="237" t="s">
        <v>6739</v>
      </c>
      <c r="J579" s="237" t="s">
        <v>5224</v>
      </c>
      <c r="K579" s="237" t="s">
        <v>9390</v>
      </c>
      <c r="L579" s="237" t="s">
        <v>8682</v>
      </c>
      <c r="M579" s="232" t="s">
        <v>9383</v>
      </c>
      <c r="N579" s="430" t="s">
        <v>17527</v>
      </c>
    </row>
    <row r="580">
      <c r="A580" s="427">
        <v>579.0</v>
      </c>
      <c r="B580" s="237" t="s">
        <v>9256</v>
      </c>
      <c r="C580" s="237" t="s">
        <v>8796</v>
      </c>
      <c r="D580" s="428">
        <v>44998.0</v>
      </c>
      <c r="E580" s="237" t="s">
        <v>6921</v>
      </c>
      <c r="F580" s="237" t="s">
        <v>9740</v>
      </c>
      <c r="G580" s="237" t="s">
        <v>9741</v>
      </c>
      <c r="H580" s="237" t="s">
        <v>9742</v>
      </c>
      <c r="I580" s="237" t="s">
        <v>9743</v>
      </c>
      <c r="J580" s="237" t="s">
        <v>5224</v>
      </c>
      <c r="K580" s="237" t="s">
        <v>9390</v>
      </c>
      <c r="L580" s="237" t="s">
        <v>9246</v>
      </c>
      <c r="M580" s="232" t="s">
        <v>9383</v>
      </c>
      <c r="N580" s="430" t="s">
        <v>17527</v>
      </c>
    </row>
    <row r="581">
      <c r="A581" s="427">
        <v>580.0</v>
      </c>
      <c r="B581" s="237" t="s">
        <v>3975</v>
      </c>
      <c r="C581" s="237" t="s">
        <v>8796</v>
      </c>
      <c r="D581" s="428">
        <v>43319.0</v>
      </c>
      <c r="E581" s="237" t="s">
        <v>6921</v>
      </c>
      <c r="F581" s="237" t="s">
        <v>9719</v>
      </c>
      <c r="G581" s="237" t="s">
        <v>9720</v>
      </c>
      <c r="H581" s="237" t="s">
        <v>9721</v>
      </c>
      <c r="I581" s="237" t="s">
        <v>200</v>
      </c>
      <c r="J581" s="237" t="s">
        <v>5224</v>
      </c>
      <c r="K581" s="237" t="s">
        <v>9390</v>
      </c>
      <c r="L581" s="237" t="s">
        <v>9246</v>
      </c>
      <c r="M581" s="232" t="s">
        <v>9383</v>
      </c>
      <c r="N581" s="430" t="s">
        <v>17527</v>
      </c>
    </row>
    <row r="582">
      <c r="A582" s="427">
        <v>581.0</v>
      </c>
      <c r="B582" s="237" t="s">
        <v>704</v>
      </c>
      <c r="C582" s="237" t="s">
        <v>10103</v>
      </c>
      <c r="D582" s="428">
        <v>45748.0</v>
      </c>
      <c r="E582" s="237" t="s">
        <v>6921</v>
      </c>
      <c r="F582" s="237" t="s">
        <v>12294</v>
      </c>
      <c r="G582" s="237" t="s">
        <v>12295</v>
      </c>
      <c r="H582" s="237" t="s">
        <v>12296</v>
      </c>
      <c r="I582" s="237" t="s">
        <v>707</v>
      </c>
      <c r="J582" s="237" t="s">
        <v>5224</v>
      </c>
      <c r="K582" s="237" t="s">
        <v>9390</v>
      </c>
      <c r="L582" s="237" t="s">
        <v>54</v>
      </c>
      <c r="M582" s="232" t="s">
        <v>9391</v>
      </c>
      <c r="N582" s="430" t="s">
        <v>17527</v>
      </c>
    </row>
    <row r="583">
      <c r="A583" s="427">
        <v>582.0</v>
      </c>
      <c r="B583" s="237" t="s">
        <v>3741</v>
      </c>
      <c r="C583" s="237" t="s">
        <v>6918</v>
      </c>
      <c r="D583" s="428">
        <v>45530.0</v>
      </c>
      <c r="E583" s="237" t="s">
        <v>6921</v>
      </c>
      <c r="F583" s="237" t="s">
        <v>17611</v>
      </c>
      <c r="G583" s="237" t="s">
        <v>17612</v>
      </c>
      <c r="H583" s="237" t="s">
        <v>11533</v>
      </c>
      <c r="I583" s="237" t="s">
        <v>6639</v>
      </c>
      <c r="J583" s="237" t="s">
        <v>5224</v>
      </c>
      <c r="K583" s="237" t="s">
        <v>9390</v>
      </c>
      <c r="L583" s="237" t="s">
        <v>3096</v>
      </c>
      <c r="M583" s="232" t="s">
        <v>9383</v>
      </c>
      <c r="N583" s="430" t="s">
        <v>17527</v>
      </c>
    </row>
    <row r="584">
      <c r="A584" s="427">
        <v>583.0</v>
      </c>
      <c r="B584" s="237" t="s">
        <v>7961</v>
      </c>
      <c r="C584" s="237" t="s">
        <v>6918</v>
      </c>
      <c r="D584" s="428">
        <v>45215.0</v>
      </c>
      <c r="E584" s="237" t="s">
        <v>6921</v>
      </c>
      <c r="F584" s="237" t="s">
        <v>14709</v>
      </c>
      <c r="G584" s="237" t="s">
        <v>14710</v>
      </c>
      <c r="H584" s="237" t="s">
        <v>9961</v>
      </c>
      <c r="I584" s="237" t="s">
        <v>14711</v>
      </c>
      <c r="J584" s="237" t="s">
        <v>5224</v>
      </c>
      <c r="K584" s="237" t="s">
        <v>9390</v>
      </c>
      <c r="L584" s="237" t="s">
        <v>3179</v>
      </c>
      <c r="M584" s="232" t="s">
        <v>9383</v>
      </c>
      <c r="N584" s="430" t="s">
        <v>17527</v>
      </c>
    </row>
    <row r="585">
      <c r="A585" s="427">
        <v>584.0</v>
      </c>
      <c r="B585" s="237" t="s">
        <v>9260</v>
      </c>
      <c r="C585" s="237" t="s">
        <v>8796</v>
      </c>
      <c r="D585" s="428">
        <v>43313.0</v>
      </c>
      <c r="E585" s="237" t="s">
        <v>6921</v>
      </c>
      <c r="F585" s="237" t="s">
        <v>9847</v>
      </c>
      <c r="G585" s="237" t="s">
        <v>9848</v>
      </c>
      <c r="H585" s="237" t="s">
        <v>9849</v>
      </c>
      <c r="I585" s="237" t="s">
        <v>9850</v>
      </c>
      <c r="J585" s="237" t="s">
        <v>5224</v>
      </c>
      <c r="K585" s="237" t="s">
        <v>9851</v>
      </c>
      <c r="L585" s="237" t="s">
        <v>9246</v>
      </c>
      <c r="M585" s="232" t="s">
        <v>9383</v>
      </c>
      <c r="N585" s="430" t="s">
        <v>17527</v>
      </c>
    </row>
    <row r="586">
      <c r="A586" s="427">
        <v>585.0</v>
      </c>
      <c r="B586" s="237" t="s">
        <v>10170</v>
      </c>
      <c r="C586" s="237" t="s">
        <v>10103</v>
      </c>
      <c r="D586" s="428">
        <v>41876.0</v>
      </c>
      <c r="E586" s="237" t="s">
        <v>6921</v>
      </c>
      <c r="F586" s="237" t="s">
        <v>10166</v>
      </c>
      <c r="G586" s="237" t="s">
        <v>10172</v>
      </c>
      <c r="H586" s="237" t="s">
        <v>9975</v>
      </c>
      <c r="I586" s="237" t="s">
        <v>10173</v>
      </c>
      <c r="J586" s="237" t="s">
        <v>5224</v>
      </c>
      <c r="K586" s="237" t="s">
        <v>9851</v>
      </c>
      <c r="L586" s="237" t="s">
        <v>54</v>
      </c>
      <c r="M586" s="232" t="s">
        <v>9383</v>
      </c>
      <c r="N586" s="430" t="s">
        <v>17527</v>
      </c>
    </row>
    <row r="587">
      <c r="A587" s="427">
        <v>586.0</v>
      </c>
      <c r="B587" s="237" t="s">
        <v>4170</v>
      </c>
      <c r="C587" s="237" t="s">
        <v>10103</v>
      </c>
      <c r="D587" s="428">
        <v>41505.0</v>
      </c>
      <c r="E587" s="237" t="s">
        <v>6921</v>
      </c>
      <c r="F587" s="237" t="s">
        <v>9719</v>
      </c>
      <c r="G587" s="237" t="s">
        <v>17613</v>
      </c>
      <c r="H587" s="237" t="s">
        <v>13890</v>
      </c>
      <c r="I587" s="237" t="s">
        <v>6781</v>
      </c>
      <c r="J587" s="237" t="s">
        <v>5224</v>
      </c>
      <c r="K587" s="237" t="s">
        <v>9851</v>
      </c>
      <c r="L587" s="237" t="s">
        <v>54</v>
      </c>
      <c r="M587" s="232" t="s">
        <v>9383</v>
      </c>
      <c r="N587" s="430" t="s">
        <v>17527</v>
      </c>
    </row>
    <row r="588">
      <c r="A588" s="427">
        <v>587.0</v>
      </c>
      <c r="B588" s="237" t="s">
        <v>11999</v>
      </c>
      <c r="C588" s="237" t="s">
        <v>10103</v>
      </c>
      <c r="D588" s="428">
        <v>43956.0</v>
      </c>
      <c r="E588" s="237" t="s">
        <v>6921</v>
      </c>
      <c r="F588" s="237" t="s">
        <v>12001</v>
      </c>
      <c r="G588" s="237" t="s">
        <v>12002</v>
      </c>
      <c r="H588" s="237" t="s">
        <v>10048</v>
      </c>
      <c r="I588" s="237" t="s">
        <v>12003</v>
      </c>
      <c r="J588" s="237" t="s">
        <v>5224</v>
      </c>
      <c r="K588" s="237" t="s">
        <v>9851</v>
      </c>
      <c r="L588" s="237" t="s">
        <v>54</v>
      </c>
      <c r="M588" s="232" t="s">
        <v>9383</v>
      </c>
      <c r="N588" s="430" t="s">
        <v>17527</v>
      </c>
    </row>
    <row r="589">
      <c r="A589" s="427">
        <v>588.0</v>
      </c>
      <c r="B589" s="237" t="s">
        <v>12086</v>
      </c>
      <c r="C589" s="237" t="s">
        <v>10103</v>
      </c>
      <c r="D589" s="428">
        <v>41703.0</v>
      </c>
      <c r="E589" s="237" t="s">
        <v>6921</v>
      </c>
      <c r="F589" s="237" t="s">
        <v>12088</v>
      </c>
      <c r="G589" s="237" t="s">
        <v>12089</v>
      </c>
      <c r="H589" s="237" t="s">
        <v>12030</v>
      </c>
      <c r="I589" s="237" t="s">
        <v>12090</v>
      </c>
      <c r="J589" s="237" t="s">
        <v>5224</v>
      </c>
      <c r="K589" s="237" t="s">
        <v>9851</v>
      </c>
      <c r="L589" s="237" t="s">
        <v>54</v>
      </c>
      <c r="M589" s="232" t="s">
        <v>9383</v>
      </c>
      <c r="N589" s="430" t="s">
        <v>17527</v>
      </c>
    </row>
    <row r="590">
      <c r="A590" s="427">
        <v>589.0</v>
      </c>
      <c r="B590" s="237" t="s">
        <v>3761</v>
      </c>
      <c r="C590" s="237" t="s">
        <v>10103</v>
      </c>
      <c r="D590" s="428">
        <v>45173.0</v>
      </c>
      <c r="E590" s="237" t="s">
        <v>6921</v>
      </c>
      <c r="F590" s="237" t="s">
        <v>17614</v>
      </c>
      <c r="G590" s="237" t="s">
        <v>17615</v>
      </c>
      <c r="H590" s="237" t="s">
        <v>15077</v>
      </c>
      <c r="I590" s="237" t="s">
        <v>6646</v>
      </c>
      <c r="J590" s="237" t="s">
        <v>5224</v>
      </c>
      <c r="K590" s="237" t="s">
        <v>10273</v>
      </c>
      <c r="L590" s="237" t="s">
        <v>5805</v>
      </c>
      <c r="M590" s="232" t="s">
        <v>9383</v>
      </c>
      <c r="N590" s="430" t="s">
        <v>17527</v>
      </c>
    </row>
    <row r="591">
      <c r="A591" s="427">
        <v>590.0</v>
      </c>
      <c r="B591" s="237" t="s">
        <v>3603</v>
      </c>
      <c r="C591" s="237" t="s">
        <v>10103</v>
      </c>
      <c r="D591" s="428">
        <v>45243.0</v>
      </c>
      <c r="E591" s="237" t="s">
        <v>6921</v>
      </c>
      <c r="F591" s="237" t="s">
        <v>16144</v>
      </c>
      <c r="G591" s="237" t="s">
        <v>17616</v>
      </c>
      <c r="H591" s="237" t="s">
        <v>9544</v>
      </c>
      <c r="I591" s="237" t="s">
        <v>6588</v>
      </c>
      <c r="J591" s="237" t="s">
        <v>5224</v>
      </c>
      <c r="K591" s="237" t="s">
        <v>10273</v>
      </c>
      <c r="L591" s="237" t="s">
        <v>5805</v>
      </c>
      <c r="M591" s="232" t="s">
        <v>9383</v>
      </c>
      <c r="N591" s="430" t="s">
        <v>17527</v>
      </c>
    </row>
    <row r="592">
      <c r="A592" s="427">
        <v>591.0</v>
      </c>
      <c r="B592" s="237" t="s">
        <v>3392</v>
      </c>
      <c r="C592" s="237" t="s">
        <v>10103</v>
      </c>
      <c r="D592" s="428">
        <v>44256.0</v>
      </c>
      <c r="E592" s="237" t="s">
        <v>6921</v>
      </c>
      <c r="F592" s="237" t="s">
        <v>17617</v>
      </c>
      <c r="G592" s="237" t="s">
        <v>17618</v>
      </c>
      <c r="H592" s="237" t="s">
        <v>17619</v>
      </c>
      <c r="I592" s="237" t="s">
        <v>6483</v>
      </c>
      <c r="J592" s="237" t="s">
        <v>5224</v>
      </c>
      <c r="K592" s="237" t="s">
        <v>10273</v>
      </c>
      <c r="L592" s="237" t="s">
        <v>10538</v>
      </c>
      <c r="M592" s="232" t="s">
        <v>9383</v>
      </c>
      <c r="N592" s="430" t="s">
        <v>17527</v>
      </c>
    </row>
    <row r="593">
      <c r="A593" s="427">
        <v>592.0</v>
      </c>
      <c r="B593" s="237" t="s">
        <v>161</v>
      </c>
      <c r="C593" s="237" t="s">
        <v>10103</v>
      </c>
      <c r="D593" s="428">
        <v>45748.0</v>
      </c>
      <c r="E593" s="237" t="s">
        <v>6921</v>
      </c>
      <c r="F593" s="237" t="s">
        <v>10271</v>
      </c>
      <c r="G593" s="237" t="s">
        <v>10272</v>
      </c>
      <c r="H593" s="237" t="s">
        <v>9915</v>
      </c>
      <c r="I593" s="237" t="s">
        <v>164</v>
      </c>
      <c r="J593" s="237" t="s">
        <v>5224</v>
      </c>
      <c r="K593" s="237" t="s">
        <v>10273</v>
      </c>
      <c r="L593" s="237" t="s">
        <v>5805</v>
      </c>
      <c r="M593" s="232" t="s">
        <v>9391</v>
      </c>
      <c r="N593" s="430" t="s">
        <v>17527</v>
      </c>
    </row>
    <row r="594">
      <c r="A594" s="427">
        <v>593.0</v>
      </c>
      <c r="B594" s="237" t="s">
        <v>11352</v>
      </c>
      <c r="C594" s="237" t="s">
        <v>10103</v>
      </c>
      <c r="D594" s="428">
        <v>45764.0</v>
      </c>
      <c r="E594" s="237" t="s">
        <v>6921</v>
      </c>
      <c r="F594" s="237" t="s">
        <v>11353</v>
      </c>
      <c r="G594" s="237" t="s">
        <v>11354</v>
      </c>
      <c r="H594" s="237" t="s">
        <v>9659</v>
      </c>
      <c r="I594" s="237" t="s">
        <v>11355</v>
      </c>
      <c r="J594" s="237" t="s">
        <v>5224</v>
      </c>
      <c r="K594" s="237" t="s">
        <v>10273</v>
      </c>
      <c r="L594" s="237" t="s">
        <v>10538</v>
      </c>
      <c r="M594" s="232" t="s">
        <v>9391</v>
      </c>
      <c r="N594" s="430" t="s">
        <v>17527</v>
      </c>
    </row>
    <row r="595">
      <c r="A595" s="427">
        <v>594.0</v>
      </c>
      <c r="B595" s="237" t="s">
        <v>3692</v>
      </c>
      <c r="C595" s="237" t="s">
        <v>10103</v>
      </c>
      <c r="D595" s="428">
        <v>41920.0</v>
      </c>
      <c r="E595" s="237" t="s">
        <v>6921</v>
      </c>
      <c r="F595" s="237" t="s">
        <v>17620</v>
      </c>
      <c r="G595" s="237" t="s">
        <v>17621</v>
      </c>
      <c r="H595" s="237" t="s">
        <v>9810</v>
      </c>
      <c r="I595" s="237" t="s">
        <v>6617</v>
      </c>
      <c r="J595" s="237" t="s">
        <v>5224</v>
      </c>
      <c r="K595" s="237" t="s">
        <v>10273</v>
      </c>
      <c r="L595" s="237" t="s">
        <v>10538</v>
      </c>
      <c r="M595" s="232" t="s">
        <v>9383</v>
      </c>
      <c r="N595" s="430" t="s">
        <v>17527</v>
      </c>
    </row>
    <row r="596">
      <c r="A596" s="427">
        <v>595.0</v>
      </c>
      <c r="B596" s="237" t="s">
        <v>3890</v>
      </c>
      <c r="C596" s="237" t="s">
        <v>10103</v>
      </c>
      <c r="D596" s="428">
        <v>45334.0</v>
      </c>
      <c r="E596" s="237" t="s">
        <v>6933</v>
      </c>
      <c r="F596" s="237" t="s">
        <v>10794</v>
      </c>
      <c r="G596" s="237" t="s">
        <v>17622</v>
      </c>
      <c r="H596" s="237" t="s">
        <v>11467</v>
      </c>
      <c r="I596" s="237" t="s">
        <v>6693</v>
      </c>
      <c r="J596" s="237" t="s">
        <v>5224</v>
      </c>
      <c r="K596" s="237" t="s">
        <v>10273</v>
      </c>
      <c r="L596" s="237" t="s">
        <v>10538</v>
      </c>
      <c r="M596" s="232" t="s">
        <v>9383</v>
      </c>
      <c r="N596" s="430" t="s">
        <v>17527</v>
      </c>
    </row>
    <row r="597">
      <c r="A597" s="427">
        <v>596.0</v>
      </c>
      <c r="B597" s="237" t="s">
        <v>10532</v>
      </c>
      <c r="C597" s="237" t="s">
        <v>10103</v>
      </c>
      <c r="D597" s="428">
        <v>45519.0</v>
      </c>
      <c r="E597" s="237" t="s">
        <v>6921</v>
      </c>
      <c r="F597" s="237" t="s">
        <v>10534</v>
      </c>
      <c r="G597" s="237" t="s">
        <v>10535</v>
      </c>
      <c r="H597" s="237" t="s">
        <v>10536</v>
      </c>
      <c r="I597" s="237" t="s">
        <v>10537</v>
      </c>
      <c r="J597" s="237" t="s">
        <v>5224</v>
      </c>
      <c r="K597" s="237" t="s">
        <v>10028</v>
      </c>
      <c r="L597" s="237" t="s">
        <v>10538</v>
      </c>
      <c r="M597" s="232" t="s">
        <v>9383</v>
      </c>
      <c r="N597" s="430" t="s">
        <v>17527</v>
      </c>
    </row>
    <row r="598">
      <c r="A598" s="427">
        <v>597.0</v>
      </c>
      <c r="B598" s="237" t="s">
        <v>3057</v>
      </c>
      <c r="C598" s="237" t="s">
        <v>10103</v>
      </c>
      <c r="D598" s="428">
        <v>45509.0</v>
      </c>
      <c r="E598" s="237" t="s">
        <v>6921</v>
      </c>
      <c r="F598" s="237" t="s">
        <v>17623</v>
      </c>
      <c r="G598" s="237" t="s">
        <v>17624</v>
      </c>
      <c r="H598" s="237" t="s">
        <v>9659</v>
      </c>
      <c r="I598" s="237" t="s">
        <v>6344</v>
      </c>
      <c r="J598" s="237" t="s">
        <v>5224</v>
      </c>
      <c r="K598" s="237" t="s">
        <v>10028</v>
      </c>
      <c r="L598" s="237" t="s">
        <v>54</v>
      </c>
      <c r="M598" s="232" t="s">
        <v>9383</v>
      </c>
      <c r="N598" s="430" t="s">
        <v>17527</v>
      </c>
    </row>
    <row r="599">
      <c r="A599" s="427">
        <v>598.0</v>
      </c>
      <c r="B599" s="237" t="s">
        <v>11165</v>
      </c>
      <c r="C599" s="237" t="s">
        <v>10103</v>
      </c>
      <c r="D599" s="428">
        <v>45764.0</v>
      </c>
      <c r="E599" s="237" t="s">
        <v>6921</v>
      </c>
      <c r="F599" s="237" t="s">
        <v>11162</v>
      </c>
      <c r="G599" s="237" t="s">
        <v>11166</v>
      </c>
      <c r="H599" s="237" t="s">
        <v>11167</v>
      </c>
      <c r="I599" s="237" t="s">
        <v>11168</v>
      </c>
      <c r="J599" s="237" t="s">
        <v>5224</v>
      </c>
      <c r="K599" s="237" t="s">
        <v>10028</v>
      </c>
      <c r="L599" s="237" t="s">
        <v>54</v>
      </c>
      <c r="M599" s="232" t="s">
        <v>9391</v>
      </c>
      <c r="N599" s="430" t="s">
        <v>17527</v>
      </c>
    </row>
    <row r="600">
      <c r="A600" s="427">
        <v>599.0</v>
      </c>
      <c r="B600" s="237" t="s">
        <v>7563</v>
      </c>
      <c r="C600" s="237" t="s">
        <v>7546</v>
      </c>
      <c r="D600" s="428">
        <v>44686.0</v>
      </c>
      <c r="E600" s="237" t="s">
        <v>6921</v>
      </c>
      <c r="F600" s="237" t="s">
        <v>12927</v>
      </c>
      <c r="G600" s="237" t="s">
        <v>12928</v>
      </c>
      <c r="H600" s="237" t="s">
        <v>10852</v>
      </c>
      <c r="I600" s="237" t="s">
        <v>12929</v>
      </c>
      <c r="J600" s="237" t="s">
        <v>5224</v>
      </c>
      <c r="K600" s="237" t="s">
        <v>10028</v>
      </c>
      <c r="L600" s="237" t="s">
        <v>3096</v>
      </c>
      <c r="M600" s="232" t="s">
        <v>9383</v>
      </c>
      <c r="N600" s="430" t="s">
        <v>17527</v>
      </c>
    </row>
    <row r="601">
      <c r="A601" s="427">
        <v>600.0</v>
      </c>
      <c r="B601" s="237" t="s">
        <v>3173</v>
      </c>
      <c r="C601" s="237" t="s">
        <v>7546</v>
      </c>
      <c r="D601" s="428">
        <v>45201.0</v>
      </c>
      <c r="E601" s="237" t="s">
        <v>6933</v>
      </c>
      <c r="F601" s="237" t="s">
        <v>17625</v>
      </c>
      <c r="G601" s="237" t="s">
        <v>17626</v>
      </c>
      <c r="H601" s="237" t="s">
        <v>11457</v>
      </c>
      <c r="I601" s="237" t="s">
        <v>6386</v>
      </c>
      <c r="J601" s="237" t="s">
        <v>5224</v>
      </c>
      <c r="K601" s="237" t="s">
        <v>10028</v>
      </c>
      <c r="L601" s="237" t="s">
        <v>3096</v>
      </c>
      <c r="M601" s="232" t="s">
        <v>9383</v>
      </c>
      <c r="N601" s="430" t="s">
        <v>17527</v>
      </c>
    </row>
    <row r="602">
      <c r="A602" s="427">
        <v>601.0</v>
      </c>
      <c r="B602" s="237" t="s">
        <v>3124</v>
      </c>
      <c r="C602" s="237" t="s">
        <v>7400</v>
      </c>
      <c r="D602" s="428">
        <v>45510.0</v>
      </c>
      <c r="E602" s="237" t="s">
        <v>6921</v>
      </c>
      <c r="F602" s="237" t="s">
        <v>17627</v>
      </c>
      <c r="G602" s="237" t="s">
        <v>17628</v>
      </c>
      <c r="H602" s="237" t="s">
        <v>11954</v>
      </c>
      <c r="I602" s="237" t="s">
        <v>6371</v>
      </c>
      <c r="J602" s="237" t="s">
        <v>5224</v>
      </c>
      <c r="K602" s="237" t="s">
        <v>10028</v>
      </c>
      <c r="L602" s="237" t="s">
        <v>1207</v>
      </c>
      <c r="M602" s="232" t="s">
        <v>9383</v>
      </c>
      <c r="N602" s="430" t="s">
        <v>17527</v>
      </c>
    </row>
    <row r="603">
      <c r="A603" s="427">
        <v>602.0</v>
      </c>
      <c r="B603" s="237" t="s">
        <v>7948</v>
      </c>
      <c r="C603" s="237" t="s">
        <v>6918</v>
      </c>
      <c r="D603" s="428">
        <v>45352.0</v>
      </c>
      <c r="E603" s="237" t="s">
        <v>6921</v>
      </c>
      <c r="F603" s="237" t="s">
        <v>14298</v>
      </c>
      <c r="G603" s="237" t="s">
        <v>14299</v>
      </c>
      <c r="H603" s="237" t="s">
        <v>14300</v>
      </c>
      <c r="I603" s="237" t="s">
        <v>14301</v>
      </c>
      <c r="J603" s="237" t="s">
        <v>5224</v>
      </c>
      <c r="K603" s="237" t="s">
        <v>10028</v>
      </c>
      <c r="L603" s="237" t="s">
        <v>3096</v>
      </c>
      <c r="M603" s="232" t="s">
        <v>9383</v>
      </c>
      <c r="N603" s="430" t="s">
        <v>17527</v>
      </c>
    </row>
    <row r="604">
      <c r="A604" s="427">
        <v>603.0</v>
      </c>
      <c r="B604" s="237" t="s">
        <v>9252</v>
      </c>
      <c r="C604" s="237" t="s">
        <v>8796</v>
      </c>
      <c r="D604" s="428">
        <v>44746.0</v>
      </c>
      <c r="E604" s="237" t="s">
        <v>6921</v>
      </c>
      <c r="F604" s="237" t="s">
        <v>9505</v>
      </c>
      <c r="G604" s="237" t="s">
        <v>9506</v>
      </c>
      <c r="H604" s="237" t="s">
        <v>9507</v>
      </c>
      <c r="I604" s="237" t="s">
        <v>9508</v>
      </c>
      <c r="J604" s="237" t="s">
        <v>5224</v>
      </c>
      <c r="K604" s="237" t="s">
        <v>9509</v>
      </c>
      <c r="L604" s="237" t="s">
        <v>9246</v>
      </c>
      <c r="M604" s="232" t="s">
        <v>9391</v>
      </c>
      <c r="N604" s="430" t="s">
        <v>17527</v>
      </c>
    </row>
    <row r="605">
      <c r="A605" s="427">
        <v>604.0</v>
      </c>
      <c r="B605" s="237" t="s">
        <v>10844</v>
      </c>
      <c r="C605" s="237" t="s">
        <v>10103</v>
      </c>
      <c r="D605" s="428">
        <v>45306.0</v>
      </c>
      <c r="E605" s="237" t="s">
        <v>6921</v>
      </c>
      <c r="F605" s="237" t="s">
        <v>10845</v>
      </c>
      <c r="G605" s="237" t="s">
        <v>10846</v>
      </c>
      <c r="H605" s="237" t="s">
        <v>10847</v>
      </c>
      <c r="I605" s="237" t="s">
        <v>10848</v>
      </c>
      <c r="J605" s="237" t="s">
        <v>5224</v>
      </c>
      <c r="K605" s="237" t="s">
        <v>10118</v>
      </c>
      <c r="L605" s="237" t="s">
        <v>10538</v>
      </c>
      <c r="M605" s="232" t="s">
        <v>9383</v>
      </c>
      <c r="N605" s="430" t="s">
        <v>17527</v>
      </c>
    </row>
    <row r="606">
      <c r="A606" s="427">
        <v>605.0</v>
      </c>
      <c r="B606" s="237" t="s">
        <v>1596</v>
      </c>
      <c r="C606" s="237" t="s">
        <v>7546</v>
      </c>
      <c r="D606" s="428">
        <v>44287.0</v>
      </c>
      <c r="E606" s="237" t="s">
        <v>6921</v>
      </c>
      <c r="F606" s="237" t="s">
        <v>12815</v>
      </c>
      <c r="G606" s="237" t="s">
        <v>12816</v>
      </c>
      <c r="H606" s="237" t="s">
        <v>12817</v>
      </c>
      <c r="I606" s="237" t="s">
        <v>5671</v>
      </c>
      <c r="J606" s="237" t="s">
        <v>5224</v>
      </c>
      <c r="K606" s="237" t="s">
        <v>10118</v>
      </c>
      <c r="L606" s="237" t="s">
        <v>3096</v>
      </c>
      <c r="M606" s="232" t="s">
        <v>9383</v>
      </c>
      <c r="N606" s="430" t="s">
        <v>17527</v>
      </c>
    </row>
    <row r="607">
      <c r="A607" s="427">
        <v>606.0</v>
      </c>
      <c r="B607" s="237" t="s">
        <v>3618</v>
      </c>
      <c r="C607" s="237" t="s">
        <v>7575</v>
      </c>
      <c r="D607" s="428">
        <v>44627.0</v>
      </c>
      <c r="E607" s="237" t="s">
        <v>6921</v>
      </c>
      <c r="F607" s="237" t="s">
        <v>17629</v>
      </c>
      <c r="G607" s="237" t="s">
        <v>17630</v>
      </c>
      <c r="H607" s="237" t="s">
        <v>10664</v>
      </c>
      <c r="I607" s="237" t="s">
        <v>6594</v>
      </c>
      <c r="J607" s="237" t="s">
        <v>5224</v>
      </c>
      <c r="K607" s="237" t="s">
        <v>10118</v>
      </c>
      <c r="L607" s="237" t="s">
        <v>3096</v>
      </c>
      <c r="M607" s="232" t="s">
        <v>9383</v>
      </c>
      <c r="N607" s="430" t="s">
        <v>17527</v>
      </c>
    </row>
    <row r="608">
      <c r="A608" s="427">
        <v>607.0</v>
      </c>
      <c r="B608" s="237" t="s">
        <v>7940</v>
      </c>
      <c r="C608" s="237" t="s">
        <v>6918</v>
      </c>
      <c r="D608" s="428">
        <v>44669.0</v>
      </c>
      <c r="E608" s="237" t="s">
        <v>6933</v>
      </c>
      <c r="F608" s="237" t="s">
        <v>13814</v>
      </c>
      <c r="G608" s="237" t="s">
        <v>13815</v>
      </c>
      <c r="H608" s="237" t="s">
        <v>9402</v>
      </c>
      <c r="I608" s="237" t="s">
        <v>13816</v>
      </c>
      <c r="J608" s="237" t="s">
        <v>5224</v>
      </c>
      <c r="K608" s="237" t="s">
        <v>10118</v>
      </c>
      <c r="L608" s="237" t="s">
        <v>3096</v>
      </c>
      <c r="M608" s="232" t="s">
        <v>9383</v>
      </c>
      <c r="N608" s="430" t="s">
        <v>17527</v>
      </c>
    </row>
    <row r="609">
      <c r="A609" s="427">
        <v>608.0</v>
      </c>
      <c r="B609" s="237" t="s">
        <v>3569</v>
      </c>
      <c r="C609" s="237" t="s">
        <v>7385</v>
      </c>
      <c r="D609" s="428">
        <v>45054.0</v>
      </c>
      <c r="E609" s="237" t="s">
        <v>6933</v>
      </c>
      <c r="F609" s="237" t="s">
        <v>14050</v>
      </c>
      <c r="G609" s="237" t="s">
        <v>9964</v>
      </c>
      <c r="H609" s="237" t="s">
        <v>10483</v>
      </c>
      <c r="I609" s="237" t="s">
        <v>6574</v>
      </c>
      <c r="J609" s="237" t="s">
        <v>5224</v>
      </c>
      <c r="K609" s="237" t="s">
        <v>12896</v>
      </c>
      <c r="L609" s="237" t="s">
        <v>7626</v>
      </c>
      <c r="M609" s="232" t="s">
        <v>9383</v>
      </c>
      <c r="N609" s="430" t="s">
        <v>17527</v>
      </c>
    </row>
    <row r="610">
      <c r="A610" s="427">
        <v>609.0</v>
      </c>
      <c r="B610" s="237" t="s">
        <v>7657</v>
      </c>
      <c r="C610" s="237" t="s">
        <v>7575</v>
      </c>
      <c r="D610" s="428">
        <v>45064.0</v>
      </c>
      <c r="E610" s="237" t="s">
        <v>6933</v>
      </c>
      <c r="F610" s="237" t="s">
        <v>12731</v>
      </c>
      <c r="G610" s="237" t="s">
        <v>12946</v>
      </c>
      <c r="H610" s="237" t="s">
        <v>12947</v>
      </c>
      <c r="I610" s="237" t="s">
        <v>12948</v>
      </c>
      <c r="J610" s="237" t="s">
        <v>5224</v>
      </c>
      <c r="K610" s="237" t="s">
        <v>12896</v>
      </c>
      <c r="L610" s="237" t="s">
        <v>7626</v>
      </c>
      <c r="M610" s="232" t="s">
        <v>9383</v>
      </c>
      <c r="N610" s="430" t="s">
        <v>17527</v>
      </c>
    </row>
    <row r="611">
      <c r="A611" s="427">
        <v>610.0</v>
      </c>
      <c r="B611" s="237" t="s">
        <v>7633</v>
      </c>
      <c r="C611" s="237" t="s">
        <v>7546</v>
      </c>
      <c r="D611" s="428">
        <v>44655.0</v>
      </c>
      <c r="E611" s="237" t="s">
        <v>6921</v>
      </c>
      <c r="F611" s="237" t="s">
        <v>9967</v>
      </c>
      <c r="G611" s="237" t="s">
        <v>12902</v>
      </c>
      <c r="H611" s="237" t="s">
        <v>9934</v>
      </c>
      <c r="I611" s="237" t="s">
        <v>12903</v>
      </c>
      <c r="J611" s="237" t="s">
        <v>5224</v>
      </c>
      <c r="K611" s="237" t="s">
        <v>12904</v>
      </c>
      <c r="L611" s="237" t="s">
        <v>7626</v>
      </c>
      <c r="M611" s="232" t="s">
        <v>9383</v>
      </c>
      <c r="N611" s="430" t="s">
        <v>17527</v>
      </c>
    </row>
    <row r="612">
      <c r="A612" s="427">
        <v>611.0</v>
      </c>
      <c r="B612" s="237" t="s">
        <v>10514</v>
      </c>
      <c r="C612" s="237" t="s">
        <v>10103</v>
      </c>
      <c r="D612" s="428">
        <v>44725.0</v>
      </c>
      <c r="E612" s="237" t="s">
        <v>6921</v>
      </c>
      <c r="F612" s="237" t="s">
        <v>10515</v>
      </c>
      <c r="G612" s="237" t="s">
        <v>10516</v>
      </c>
      <c r="H612" s="237" t="s">
        <v>10517</v>
      </c>
      <c r="I612" s="237" t="s">
        <v>10518</v>
      </c>
      <c r="J612" s="237" t="s">
        <v>5012</v>
      </c>
      <c r="K612" s="237" t="s">
        <v>9649</v>
      </c>
      <c r="L612" s="237" t="s">
        <v>566</v>
      </c>
      <c r="M612" s="232" t="s">
        <v>9383</v>
      </c>
      <c r="N612" s="430" t="s">
        <v>17527</v>
      </c>
    </row>
    <row r="613">
      <c r="A613" s="427">
        <v>612.0</v>
      </c>
      <c r="B613" s="237" t="s">
        <v>8023</v>
      </c>
      <c r="C613" s="237" t="s">
        <v>7385</v>
      </c>
      <c r="D613" s="428">
        <v>45510.0</v>
      </c>
      <c r="E613" s="237" t="s">
        <v>6921</v>
      </c>
      <c r="F613" s="237" t="s">
        <v>12873</v>
      </c>
      <c r="G613" s="237" t="s">
        <v>12874</v>
      </c>
      <c r="H613" s="237" t="s">
        <v>12875</v>
      </c>
      <c r="I613" s="237" t="s">
        <v>12876</v>
      </c>
      <c r="J613" s="237" t="s">
        <v>5224</v>
      </c>
      <c r="K613" s="237" t="s">
        <v>9649</v>
      </c>
      <c r="L613" s="237" t="s">
        <v>1171</v>
      </c>
      <c r="M613" s="232" t="s">
        <v>9383</v>
      </c>
      <c r="N613" s="430" t="s">
        <v>17527</v>
      </c>
    </row>
    <row r="614">
      <c r="A614" s="427">
        <v>613.0</v>
      </c>
      <c r="B614" s="237" t="s">
        <v>3402</v>
      </c>
      <c r="C614" s="237" t="s">
        <v>7405</v>
      </c>
      <c r="D614" s="428">
        <v>44669.0</v>
      </c>
      <c r="E614" s="237" t="s">
        <v>6921</v>
      </c>
      <c r="F614" s="237" t="s">
        <v>15625</v>
      </c>
      <c r="G614" s="237" t="s">
        <v>17631</v>
      </c>
      <c r="H614" s="237" t="s">
        <v>9966</v>
      </c>
      <c r="I614" s="237" t="s">
        <v>6487</v>
      </c>
      <c r="J614" s="237" t="s">
        <v>5224</v>
      </c>
      <c r="K614" s="237" t="s">
        <v>9649</v>
      </c>
      <c r="L614" s="237" t="s">
        <v>10538</v>
      </c>
      <c r="M614" s="232" t="s">
        <v>9383</v>
      </c>
      <c r="N614" s="430" t="s">
        <v>17527</v>
      </c>
    </row>
    <row r="615">
      <c r="A615" s="427">
        <v>614.0</v>
      </c>
      <c r="B615" s="237" t="s">
        <v>7924</v>
      </c>
      <c r="C615" s="237" t="s">
        <v>6918</v>
      </c>
      <c r="D615" s="428">
        <v>44998.0</v>
      </c>
      <c r="E615" s="237" t="s">
        <v>6921</v>
      </c>
      <c r="F615" s="237" t="s">
        <v>13477</v>
      </c>
      <c r="G615" s="237" t="s">
        <v>13478</v>
      </c>
      <c r="H615" s="237" t="s">
        <v>10318</v>
      </c>
      <c r="I615" s="237" t="s">
        <v>13479</v>
      </c>
      <c r="J615" s="237" t="s">
        <v>5224</v>
      </c>
      <c r="K615" s="237" t="s">
        <v>9649</v>
      </c>
      <c r="L615" s="237" t="s">
        <v>7913</v>
      </c>
      <c r="M615" s="232" t="s">
        <v>9383</v>
      </c>
      <c r="N615" s="430" t="s">
        <v>17527</v>
      </c>
    </row>
    <row r="616">
      <c r="A616" s="427">
        <v>615.0</v>
      </c>
      <c r="B616" s="237" t="s">
        <v>8016</v>
      </c>
      <c r="C616" s="237" t="s">
        <v>6918</v>
      </c>
      <c r="D616" s="428">
        <v>45474.0</v>
      </c>
      <c r="E616" s="237" t="s">
        <v>6921</v>
      </c>
      <c r="F616" s="237" t="s">
        <v>13884</v>
      </c>
      <c r="G616" s="237" t="s">
        <v>13885</v>
      </c>
      <c r="H616" s="237" t="s">
        <v>11073</v>
      </c>
      <c r="I616" s="237" t="s">
        <v>13886</v>
      </c>
      <c r="J616" s="237" t="s">
        <v>5224</v>
      </c>
      <c r="K616" s="237" t="s">
        <v>9649</v>
      </c>
      <c r="L616" s="237" t="s">
        <v>624</v>
      </c>
      <c r="M616" s="232" t="s">
        <v>9383</v>
      </c>
      <c r="N616" s="430" t="s">
        <v>17527</v>
      </c>
    </row>
    <row r="617">
      <c r="A617" s="427">
        <v>616.0</v>
      </c>
      <c r="B617" s="237" t="s">
        <v>7920</v>
      </c>
      <c r="C617" s="237" t="s">
        <v>6918</v>
      </c>
      <c r="D617" s="428">
        <v>43654.0</v>
      </c>
      <c r="E617" s="237" t="s">
        <v>6921</v>
      </c>
      <c r="F617" s="237" t="s">
        <v>13246</v>
      </c>
      <c r="G617" s="237" t="s">
        <v>13250</v>
      </c>
      <c r="H617" s="237" t="s">
        <v>13251</v>
      </c>
      <c r="I617" s="237" t="s">
        <v>13252</v>
      </c>
      <c r="J617" s="237" t="s">
        <v>5224</v>
      </c>
      <c r="K617" s="237" t="s">
        <v>9533</v>
      </c>
      <c r="L617" s="237" t="s">
        <v>7913</v>
      </c>
      <c r="M617" s="232" t="s">
        <v>9383</v>
      </c>
      <c r="N617" s="430" t="s">
        <v>17527</v>
      </c>
    </row>
    <row r="618">
      <c r="A618" s="427">
        <v>617.0</v>
      </c>
      <c r="B618" s="237" t="s">
        <v>2812</v>
      </c>
      <c r="C618" s="237" t="s">
        <v>6918</v>
      </c>
      <c r="D618" s="428">
        <v>45447.0</v>
      </c>
      <c r="E618" s="237" t="s">
        <v>6921</v>
      </c>
      <c r="F618" s="237" t="s">
        <v>17632</v>
      </c>
      <c r="G618" s="237" t="s">
        <v>17633</v>
      </c>
      <c r="H618" s="237" t="s">
        <v>17634</v>
      </c>
      <c r="I618" s="237" t="s">
        <v>6245</v>
      </c>
      <c r="J618" s="237" t="s">
        <v>5224</v>
      </c>
      <c r="K618" s="237" t="s">
        <v>9552</v>
      </c>
      <c r="L618" s="237" t="s">
        <v>13600</v>
      </c>
      <c r="M618" s="232" t="s">
        <v>9383</v>
      </c>
      <c r="N618" s="430" t="s">
        <v>17527</v>
      </c>
    </row>
    <row r="619">
      <c r="A619" s="427">
        <v>618.0</v>
      </c>
      <c r="B619" s="237" t="s">
        <v>3269</v>
      </c>
      <c r="C619" s="237" t="s">
        <v>6918</v>
      </c>
      <c r="D619" s="428">
        <v>45680.0</v>
      </c>
      <c r="E619" s="237" t="s">
        <v>6921</v>
      </c>
      <c r="F619" s="237" t="s">
        <v>15734</v>
      </c>
      <c r="G619" s="237" t="s">
        <v>17635</v>
      </c>
      <c r="H619" s="237" t="s">
        <v>17636</v>
      </c>
      <c r="I619" s="237" t="s">
        <v>6440</v>
      </c>
      <c r="J619" s="237" t="s">
        <v>5224</v>
      </c>
      <c r="K619" s="237" t="s">
        <v>9552</v>
      </c>
      <c r="L619" s="237" t="s">
        <v>9977</v>
      </c>
      <c r="M619" s="232" t="s">
        <v>9391</v>
      </c>
      <c r="N619" s="430" t="s">
        <v>17527</v>
      </c>
    </row>
    <row r="620">
      <c r="A620" s="427">
        <v>619.0</v>
      </c>
      <c r="B620" s="237" t="s">
        <v>4098</v>
      </c>
      <c r="C620" s="237" t="s">
        <v>10103</v>
      </c>
      <c r="D620" s="428">
        <v>41867.0</v>
      </c>
      <c r="E620" s="237" t="s">
        <v>6921</v>
      </c>
      <c r="F620" s="237" t="s">
        <v>17637</v>
      </c>
      <c r="G620" s="237" t="s">
        <v>13101</v>
      </c>
      <c r="H620" s="237" t="s">
        <v>11243</v>
      </c>
      <c r="I620" s="237" t="s">
        <v>6762</v>
      </c>
      <c r="J620" s="237" t="s">
        <v>5012</v>
      </c>
      <c r="K620" s="237" t="s">
        <v>9858</v>
      </c>
      <c r="L620" s="237" t="s">
        <v>10127</v>
      </c>
      <c r="M620" s="232" t="s">
        <v>9383</v>
      </c>
      <c r="N620" s="430" t="s">
        <v>17527</v>
      </c>
    </row>
    <row r="621">
      <c r="A621" s="427">
        <v>620.0</v>
      </c>
      <c r="B621" s="237" t="s">
        <v>12101</v>
      </c>
      <c r="C621" s="237" t="s">
        <v>10103</v>
      </c>
      <c r="D621" s="428">
        <v>44979.0</v>
      </c>
      <c r="E621" s="237" t="s">
        <v>6921</v>
      </c>
      <c r="F621" s="237" t="s">
        <v>10007</v>
      </c>
      <c r="G621" s="237" t="s">
        <v>12103</v>
      </c>
      <c r="H621" s="237" t="s">
        <v>10441</v>
      </c>
      <c r="I621" s="237" t="s">
        <v>12104</v>
      </c>
      <c r="J621" s="237" t="s">
        <v>5012</v>
      </c>
      <c r="K621" s="237" t="s">
        <v>10902</v>
      </c>
      <c r="L621" s="237" t="s">
        <v>566</v>
      </c>
      <c r="M621" s="232" t="s">
        <v>9383</v>
      </c>
      <c r="N621" s="430" t="s">
        <v>17527</v>
      </c>
    </row>
    <row r="622">
      <c r="A622" s="427">
        <v>621.0</v>
      </c>
      <c r="B622" s="237" t="s">
        <v>10896</v>
      </c>
      <c r="C622" s="237" t="s">
        <v>10103</v>
      </c>
      <c r="D622" s="428">
        <v>45385.0</v>
      </c>
      <c r="E622" s="237" t="s">
        <v>6921</v>
      </c>
      <c r="F622" s="237" t="s">
        <v>10898</v>
      </c>
      <c r="G622" s="237" t="s">
        <v>10899</v>
      </c>
      <c r="H622" s="237" t="s">
        <v>10900</v>
      </c>
      <c r="I622" s="237" t="s">
        <v>10901</v>
      </c>
      <c r="J622" s="237" t="s">
        <v>5012</v>
      </c>
      <c r="K622" s="237" t="s">
        <v>10902</v>
      </c>
      <c r="L622" s="237" t="s">
        <v>566</v>
      </c>
      <c r="M622" s="232" t="s">
        <v>9391</v>
      </c>
      <c r="N622" s="430" t="s">
        <v>17527</v>
      </c>
    </row>
    <row r="623">
      <c r="A623" s="427">
        <v>622.0</v>
      </c>
      <c r="B623" s="237" t="s">
        <v>6920</v>
      </c>
      <c r="C623" s="237" t="s">
        <v>6918</v>
      </c>
      <c r="D623" s="428">
        <v>43556.0</v>
      </c>
      <c r="E623" s="237" t="s">
        <v>6921</v>
      </c>
      <c r="F623" s="237" t="s">
        <v>13231</v>
      </c>
      <c r="G623" s="237" t="s">
        <v>13232</v>
      </c>
      <c r="H623" s="237" t="s">
        <v>10100</v>
      </c>
      <c r="I623" s="237" t="s">
        <v>13233</v>
      </c>
      <c r="J623" s="237" t="s">
        <v>5224</v>
      </c>
      <c r="K623" s="237" t="s">
        <v>13234</v>
      </c>
      <c r="L623" s="237" t="s">
        <v>3041</v>
      </c>
      <c r="M623" s="232" t="s">
        <v>9383</v>
      </c>
      <c r="N623" s="430" t="s">
        <v>17527</v>
      </c>
    </row>
    <row r="624">
      <c r="A624" s="427">
        <v>623.0</v>
      </c>
      <c r="B624" s="237" t="s">
        <v>8391</v>
      </c>
      <c r="C624" s="237" t="s">
        <v>6918</v>
      </c>
      <c r="D624" s="428">
        <v>45215.0</v>
      </c>
      <c r="E624" s="237" t="s">
        <v>6921</v>
      </c>
      <c r="F624" s="237" t="s">
        <v>15901</v>
      </c>
      <c r="G624" s="237" t="s">
        <v>15902</v>
      </c>
      <c r="H624" s="237" t="s">
        <v>11574</v>
      </c>
      <c r="I624" s="237" t="s">
        <v>15903</v>
      </c>
      <c r="J624" s="237" t="s">
        <v>5224</v>
      </c>
      <c r="K624" s="237" t="s">
        <v>15904</v>
      </c>
      <c r="L624" s="237" t="s">
        <v>8362</v>
      </c>
      <c r="M624" s="232" t="s">
        <v>9383</v>
      </c>
      <c r="N624" s="430" t="s">
        <v>17527</v>
      </c>
    </row>
    <row r="625">
      <c r="A625" s="427">
        <v>624.0</v>
      </c>
      <c r="B625" s="237" t="s">
        <v>8310</v>
      </c>
      <c r="C625" s="237" t="s">
        <v>6918</v>
      </c>
      <c r="D625" s="428">
        <v>41351.0</v>
      </c>
      <c r="E625" s="237" t="s">
        <v>6933</v>
      </c>
      <c r="F625" s="237" t="s">
        <v>13919</v>
      </c>
      <c r="G625" s="237" t="s">
        <v>13920</v>
      </c>
      <c r="H625" s="237" t="s">
        <v>13921</v>
      </c>
      <c r="I625" s="237" t="s">
        <v>13922</v>
      </c>
      <c r="J625" s="237" t="s">
        <v>5224</v>
      </c>
      <c r="K625" s="237" t="s">
        <v>13923</v>
      </c>
      <c r="L625" s="237" t="s">
        <v>2730</v>
      </c>
      <c r="M625" s="232" t="s">
        <v>9383</v>
      </c>
      <c r="N625" s="430" t="s">
        <v>17527</v>
      </c>
    </row>
    <row r="626">
      <c r="A626" s="427">
        <v>625.0</v>
      </c>
      <c r="B626" s="237" t="s">
        <v>10543</v>
      </c>
      <c r="C626" s="237" t="s">
        <v>10103</v>
      </c>
      <c r="D626" s="428">
        <v>45376.0</v>
      </c>
      <c r="E626" s="237" t="s">
        <v>6921</v>
      </c>
      <c r="F626" s="237" t="s">
        <v>10545</v>
      </c>
      <c r="G626" s="237" t="s">
        <v>10546</v>
      </c>
      <c r="H626" s="237" t="s">
        <v>10547</v>
      </c>
      <c r="I626" s="237" t="s">
        <v>10548</v>
      </c>
      <c r="J626" s="237" t="s">
        <v>5224</v>
      </c>
      <c r="K626" s="237" t="s">
        <v>10549</v>
      </c>
      <c r="L626" s="237" t="s">
        <v>17434</v>
      </c>
      <c r="M626" s="232" t="s">
        <v>9383</v>
      </c>
      <c r="N626" s="430" t="s">
        <v>17527</v>
      </c>
    </row>
    <row r="627">
      <c r="A627" s="427">
        <v>626.0</v>
      </c>
      <c r="B627" s="237" t="s">
        <v>9029</v>
      </c>
      <c r="C627" s="237" t="s">
        <v>6918</v>
      </c>
      <c r="D627" s="428">
        <v>45061.0</v>
      </c>
      <c r="E627" s="237" t="s">
        <v>6921</v>
      </c>
      <c r="F627" s="237" t="s">
        <v>13542</v>
      </c>
      <c r="G627" s="237" t="s">
        <v>13543</v>
      </c>
      <c r="H627" s="237" t="s">
        <v>13198</v>
      </c>
      <c r="I627" s="237" t="s">
        <v>13544</v>
      </c>
      <c r="J627" s="237" t="s">
        <v>5224</v>
      </c>
      <c r="K627" s="237" t="s">
        <v>10549</v>
      </c>
      <c r="L627" s="237" t="s">
        <v>3041</v>
      </c>
      <c r="M627" s="232" t="s">
        <v>9383</v>
      </c>
      <c r="N627" s="430" t="s">
        <v>17527</v>
      </c>
    </row>
    <row r="628">
      <c r="A628" s="427">
        <v>627.0</v>
      </c>
      <c r="B628" s="237" t="s">
        <v>6970</v>
      </c>
      <c r="C628" s="237" t="s">
        <v>6918</v>
      </c>
      <c r="D628" s="428">
        <v>44655.0</v>
      </c>
      <c r="E628" s="237" t="s">
        <v>6933</v>
      </c>
      <c r="F628" s="237" t="s">
        <v>13938</v>
      </c>
      <c r="G628" s="237" t="s">
        <v>13939</v>
      </c>
      <c r="H628" s="237" t="s">
        <v>11398</v>
      </c>
      <c r="I628" s="237" t="s">
        <v>13940</v>
      </c>
      <c r="J628" s="237" t="s">
        <v>5224</v>
      </c>
      <c r="K628" s="237" t="s">
        <v>13941</v>
      </c>
      <c r="L628" s="237" t="s">
        <v>6961</v>
      </c>
      <c r="M628" s="232" t="s">
        <v>9383</v>
      </c>
      <c r="N628" s="430" t="s">
        <v>17527</v>
      </c>
    </row>
    <row r="629">
      <c r="A629" s="427">
        <v>628.0</v>
      </c>
      <c r="B629" s="237" t="s">
        <v>8784</v>
      </c>
      <c r="C629" s="237" t="s">
        <v>6918</v>
      </c>
      <c r="D629" s="428">
        <v>44844.0</v>
      </c>
      <c r="E629" s="237" t="s">
        <v>6921</v>
      </c>
      <c r="F629" s="237" t="s">
        <v>14249</v>
      </c>
      <c r="G629" s="237" t="s">
        <v>14250</v>
      </c>
      <c r="H629" s="237" t="s">
        <v>10145</v>
      </c>
      <c r="I629" s="237" t="s">
        <v>14251</v>
      </c>
      <c r="J629" s="237" t="s">
        <v>5224</v>
      </c>
      <c r="K629" s="237" t="s">
        <v>13025</v>
      </c>
      <c r="L629" s="237" t="s">
        <v>8850</v>
      </c>
      <c r="M629" s="232" t="s">
        <v>9383</v>
      </c>
      <c r="N629" s="430" t="s">
        <v>17527</v>
      </c>
    </row>
    <row r="630">
      <c r="A630" s="427">
        <v>629.0</v>
      </c>
      <c r="B630" s="237" t="s">
        <v>7879</v>
      </c>
      <c r="C630" s="237" t="s">
        <v>6918</v>
      </c>
      <c r="D630" s="428">
        <v>44713.0</v>
      </c>
      <c r="E630" s="237" t="s">
        <v>6921</v>
      </c>
      <c r="F630" s="237" t="s">
        <v>13096</v>
      </c>
      <c r="G630" s="237" t="s">
        <v>13097</v>
      </c>
      <c r="H630" s="237" t="s">
        <v>13098</v>
      </c>
      <c r="I630" s="237" t="s">
        <v>13099</v>
      </c>
      <c r="J630" s="237" t="s">
        <v>5224</v>
      </c>
      <c r="K630" s="237" t="s">
        <v>13025</v>
      </c>
      <c r="L630" s="237" t="s">
        <v>7857</v>
      </c>
      <c r="M630" s="232" t="s">
        <v>9383</v>
      </c>
      <c r="N630" s="430" t="s">
        <v>17527</v>
      </c>
    </row>
    <row r="631">
      <c r="A631" s="427">
        <v>630.0</v>
      </c>
      <c r="B631" s="237" t="s">
        <v>8867</v>
      </c>
      <c r="C631" s="237" t="s">
        <v>6918</v>
      </c>
      <c r="D631" s="428">
        <v>44970.0</v>
      </c>
      <c r="E631" s="237" t="s">
        <v>6921</v>
      </c>
      <c r="F631" s="237" t="s">
        <v>13022</v>
      </c>
      <c r="G631" s="237" t="s">
        <v>13023</v>
      </c>
      <c r="H631" s="237" t="s">
        <v>11799</v>
      </c>
      <c r="I631" s="237" t="s">
        <v>13024</v>
      </c>
      <c r="J631" s="237" t="s">
        <v>5224</v>
      </c>
      <c r="K631" s="237" t="s">
        <v>13025</v>
      </c>
      <c r="L631" s="237" t="s">
        <v>8850</v>
      </c>
      <c r="M631" s="232" t="s">
        <v>9383</v>
      </c>
      <c r="N631" s="430" t="s">
        <v>17527</v>
      </c>
    </row>
    <row r="632">
      <c r="A632" s="427">
        <v>631.0</v>
      </c>
      <c r="B632" s="237" t="s">
        <v>8780</v>
      </c>
      <c r="C632" s="237" t="s">
        <v>6918</v>
      </c>
      <c r="D632" s="428">
        <v>44698.0</v>
      </c>
      <c r="E632" s="237" t="s">
        <v>6921</v>
      </c>
      <c r="F632" s="237" t="s">
        <v>13645</v>
      </c>
      <c r="G632" s="237" t="s">
        <v>13646</v>
      </c>
      <c r="H632" s="237" t="s">
        <v>10048</v>
      </c>
      <c r="I632" s="237" t="s">
        <v>13647</v>
      </c>
      <c r="J632" s="237" t="s">
        <v>5224</v>
      </c>
      <c r="K632" s="237" t="s">
        <v>13025</v>
      </c>
      <c r="L632" s="237" t="s">
        <v>8850</v>
      </c>
      <c r="M632" s="232" t="s">
        <v>9383</v>
      </c>
      <c r="N632" s="430" t="s">
        <v>17527</v>
      </c>
    </row>
    <row r="633">
      <c r="A633" s="427">
        <v>632.0</v>
      </c>
      <c r="B633" s="237" t="s">
        <v>8776</v>
      </c>
      <c r="C633" s="237" t="s">
        <v>6918</v>
      </c>
      <c r="D633" s="428">
        <v>44621.0</v>
      </c>
      <c r="E633" s="237" t="s">
        <v>6921</v>
      </c>
      <c r="F633" s="237" t="s">
        <v>9614</v>
      </c>
      <c r="G633" s="237" t="s">
        <v>14011</v>
      </c>
      <c r="H633" s="237" t="s">
        <v>12536</v>
      </c>
      <c r="I633" s="237" t="s">
        <v>14012</v>
      </c>
      <c r="J633" s="237" t="s">
        <v>5224</v>
      </c>
      <c r="K633" s="237" t="s">
        <v>13025</v>
      </c>
      <c r="L633" s="237" t="s">
        <v>8850</v>
      </c>
      <c r="M633" s="232" t="s">
        <v>9383</v>
      </c>
      <c r="N633" s="430" t="s">
        <v>17527</v>
      </c>
    </row>
    <row r="634">
      <c r="A634" s="427">
        <v>633.0</v>
      </c>
      <c r="B634" s="237" t="s">
        <v>7476</v>
      </c>
      <c r="C634" s="237" t="s">
        <v>6918</v>
      </c>
      <c r="D634" s="428">
        <v>45266.0</v>
      </c>
      <c r="E634" s="237" t="s">
        <v>6921</v>
      </c>
      <c r="F634" s="237" t="s">
        <v>15082</v>
      </c>
      <c r="G634" s="237" t="s">
        <v>15083</v>
      </c>
      <c r="H634" s="237" t="s">
        <v>15084</v>
      </c>
      <c r="I634" s="237" t="s">
        <v>15085</v>
      </c>
      <c r="J634" s="237" t="s">
        <v>5224</v>
      </c>
      <c r="K634" s="237" t="s">
        <v>13025</v>
      </c>
      <c r="L634" s="237" t="s">
        <v>7459</v>
      </c>
      <c r="M634" s="232" t="s">
        <v>9383</v>
      </c>
      <c r="N634" s="430" t="s">
        <v>17527</v>
      </c>
    </row>
    <row r="635">
      <c r="A635" s="427">
        <v>634.0</v>
      </c>
      <c r="B635" s="237" t="s">
        <v>8480</v>
      </c>
      <c r="C635" s="237" t="s">
        <v>6918</v>
      </c>
      <c r="D635" s="428">
        <v>44886.0</v>
      </c>
      <c r="E635" s="237" t="s">
        <v>6921</v>
      </c>
      <c r="F635" s="237" t="s">
        <v>13246</v>
      </c>
      <c r="G635" s="237" t="s">
        <v>13247</v>
      </c>
      <c r="H635" s="237" t="s">
        <v>10086</v>
      </c>
      <c r="I635" s="237" t="s">
        <v>13248</v>
      </c>
      <c r="J635" s="237" t="s">
        <v>5224</v>
      </c>
      <c r="K635" s="237" t="s">
        <v>12963</v>
      </c>
      <c r="L635" s="237" t="s">
        <v>8472</v>
      </c>
      <c r="M635" s="232" t="s">
        <v>9383</v>
      </c>
      <c r="N635" s="430" t="s">
        <v>17527</v>
      </c>
    </row>
    <row r="636">
      <c r="A636" s="427">
        <v>635.0</v>
      </c>
      <c r="B636" s="237" t="s">
        <v>8863</v>
      </c>
      <c r="C636" s="237" t="s">
        <v>6918</v>
      </c>
      <c r="D636" s="428">
        <v>44393.0</v>
      </c>
      <c r="E636" s="237" t="s">
        <v>6921</v>
      </c>
      <c r="F636" s="237" t="s">
        <v>12960</v>
      </c>
      <c r="G636" s="237" t="s">
        <v>12961</v>
      </c>
      <c r="H636" s="237" t="s">
        <v>11025</v>
      </c>
      <c r="I636" s="237" t="s">
        <v>12962</v>
      </c>
      <c r="J636" s="237" t="s">
        <v>5224</v>
      </c>
      <c r="K636" s="237" t="s">
        <v>12963</v>
      </c>
      <c r="L636" s="237" t="s">
        <v>8850</v>
      </c>
      <c r="M636" s="232" t="s">
        <v>9383</v>
      </c>
      <c r="N636" s="430" t="s">
        <v>17527</v>
      </c>
    </row>
    <row r="637">
      <c r="A637" s="427">
        <v>636.0</v>
      </c>
      <c r="B637" s="237" t="s">
        <v>7426</v>
      </c>
      <c r="C637" s="237" t="s">
        <v>6918</v>
      </c>
      <c r="D637" s="428">
        <v>42552.0</v>
      </c>
      <c r="E637" s="237" t="s">
        <v>6921</v>
      </c>
      <c r="F637" s="237" t="s">
        <v>14197</v>
      </c>
      <c r="G637" s="237" t="s">
        <v>14198</v>
      </c>
      <c r="H637" s="237" t="s">
        <v>9840</v>
      </c>
      <c r="I637" s="237" t="s">
        <v>14199</v>
      </c>
      <c r="J637" s="237" t="s">
        <v>5224</v>
      </c>
      <c r="K637" s="237" t="s">
        <v>12963</v>
      </c>
      <c r="L637" s="237" t="s">
        <v>17638</v>
      </c>
      <c r="M637" s="232" t="s">
        <v>9383</v>
      </c>
      <c r="N637" s="430" t="s">
        <v>17527</v>
      </c>
    </row>
    <row r="638">
      <c r="A638" s="427">
        <v>637.0</v>
      </c>
      <c r="B638" s="237" t="s">
        <v>8858</v>
      </c>
      <c r="C638" s="237" t="s">
        <v>6918</v>
      </c>
      <c r="D638" s="428">
        <v>44459.0</v>
      </c>
      <c r="E638" s="237" t="s">
        <v>6921</v>
      </c>
      <c r="F638" s="237" t="s">
        <v>14676</v>
      </c>
      <c r="G638" s="237" t="s">
        <v>14677</v>
      </c>
      <c r="H638" s="237" t="s">
        <v>10749</v>
      </c>
      <c r="I638" s="237" t="s">
        <v>14678</v>
      </c>
      <c r="J638" s="237" t="s">
        <v>5224</v>
      </c>
      <c r="K638" s="237" t="s">
        <v>12963</v>
      </c>
      <c r="L638" s="237" t="s">
        <v>8850</v>
      </c>
      <c r="M638" s="232" t="s">
        <v>9383</v>
      </c>
      <c r="N638" s="430" t="s">
        <v>17527</v>
      </c>
    </row>
    <row r="639">
      <c r="A639" s="427">
        <v>638.0</v>
      </c>
      <c r="B639" s="237" t="s">
        <v>8861</v>
      </c>
      <c r="C639" s="237" t="s">
        <v>6918</v>
      </c>
      <c r="D639" s="428">
        <v>44655.0</v>
      </c>
      <c r="E639" s="237" t="s">
        <v>6921</v>
      </c>
      <c r="F639" s="237" t="s">
        <v>15370</v>
      </c>
      <c r="G639" s="237" t="s">
        <v>15371</v>
      </c>
      <c r="H639" s="237" t="s">
        <v>15372</v>
      </c>
      <c r="I639" s="237" t="s">
        <v>5113</v>
      </c>
      <c r="J639" s="237" t="s">
        <v>5224</v>
      </c>
      <c r="K639" s="237" t="s">
        <v>12963</v>
      </c>
      <c r="L639" s="237" t="s">
        <v>8850</v>
      </c>
      <c r="M639" s="232" t="s">
        <v>9383</v>
      </c>
      <c r="N639" s="430" t="s">
        <v>17527</v>
      </c>
    </row>
    <row r="640">
      <c r="A640" s="427">
        <v>639.0</v>
      </c>
      <c r="B640" s="237" t="s">
        <v>7864</v>
      </c>
      <c r="C640" s="237" t="s">
        <v>6918</v>
      </c>
      <c r="D640" s="428">
        <v>43283.0</v>
      </c>
      <c r="E640" s="237" t="s">
        <v>6921</v>
      </c>
      <c r="F640" s="237" t="s">
        <v>12041</v>
      </c>
      <c r="G640" s="237" t="s">
        <v>13333</v>
      </c>
      <c r="H640" s="237" t="s">
        <v>10086</v>
      </c>
      <c r="I640" s="237" t="s">
        <v>15655</v>
      </c>
      <c r="J640" s="237" t="s">
        <v>5224</v>
      </c>
      <c r="K640" s="237" t="s">
        <v>12963</v>
      </c>
      <c r="L640" s="237" t="s">
        <v>7857</v>
      </c>
      <c r="M640" s="232" t="s">
        <v>9383</v>
      </c>
      <c r="N640" s="430" t="s">
        <v>17527</v>
      </c>
    </row>
    <row r="641">
      <c r="A641" s="427">
        <v>640.0</v>
      </c>
      <c r="B641" s="237" t="s">
        <v>8730</v>
      </c>
      <c r="C641" s="237" t="s">
        <v>6918</v>
      </c>
      <c r="D641" s="428">
        <v>44531.0</v>
      </c>
      <c r="E641" s="237" t="s">
        <v>7239</v>
      </c>
      <c r="F641" s="237" t="s">
        <v>15158</v>
      </c>
      <c r="G641" s="237" t="s">
        <v>15159</v>
      </c>
      <c r="H641" s="237" t="s">
        <v>10318</v>
      </c>
      <c r="I641" s="237" t="s">
        <v>15160</v>
      </c>
      <c r="J641" s="237" t="s">
        <v>5224</v>
      </c>
      <c r="K641" s="237" t="s">
        <v>12963</v>
      </c>
      <c r="L641" s="237" t="s">
        <v>17536</v>
      </c>
      <c r="M641" s="232" t="s">
        <v>9383</v>
      </c>
      <c r="N641" s="430" t="s">
        <v>17527</v>
      </c>
    </row>
    <row r="642">
      <c r="A642" s="427">
        <v>641.0</v>
      </c>
      <c r="B642" s="237" t="s">
        <v>3656</v>
      </c>
      <c r="C642" s="237" t="s">
        <v>10040</v>
      </c>
      <c r="D642" s="428">
        <v>45755.0</v>
      </c>
      <c r="E642" s="237" t="s">
        <v>6921</v>
      </c>
      <c r="F642" s="237" t="s">
        <v>17639</v>
      </c>
      <c r="G642" s="237" t="s">
        <v>17640</v>
      </c>
      <c r="H642" s="237" t="s">
        <v>10193</v>
      </c>
      <c r="I642" s="237" t="s">
        <v>6606</v>
      </c>
      <c r="J642" s="237" t="s">
        <v>5224</v>
      </c>
      <c r="K642" s="237" t="s">
        <v>10068</v>
      </c>
      <c r="L642" s="237" t="s">
        <v>389</v>
      </c>
      <c r="M642" s="232" t="s">
        <v>9391</v>
      </c>
      <c r="N642" s="430" t="s">
        <v>17527</v>
      </c>
    </row>
    <row r="643">
      <c r="A643" s="427">
        <v>642.0</v>
      </c>
      <c r="B643" s="237" t="s">
        <v>12655</v>
      </c>
      <c r="C643" s="237" t="s">
        <v>7277</v>
      </c>
      <c r="D643" s="428">
        <v>45110.0</v>
      </c>
      <c r="E643" s="237" t="s">
        <v>6921</v>
      </c>
      <c r="F643" s="237" t="s">
        <v>12656</v>
      </c>
      <c r="G643" s="237" t="s">
        <v>12657</v>
      </c>
      <c r="H643" s="237" t="s">
        <v>10817</v>
      </c>
      <c r="I643" s="237" t="s">
        <v>5869</v>
      </c>
      <c r="J643" s="237" t="s">
        <v>5224</v>
      </c>
      <c r="K643" s="237" t="s">
        <v>10068</v>
      </c>
      <c r="L643" s="237" t="s">
        <v>2915</v>
      </c>
      <c r="M643" s="232" t="s">
        <v>9383</v>
      </c>
      <c r="N643" s="430" t="s">
        <v>17527</v>
      </c>
    </row>
    <row r="644">
      <c r="A644" s="427">
        <v>643.0</v>
      </c>
      <c r="B644" s="237" t="s">
        <v>8997</v>
      </c>
      <c r="C644" s="237" t="s">
        <v>6918</v>
      </c>
      <c r="D644" s="428">
        <v>45215.0</v>
      </c>
      <c r="E644" s="237" t="s">
        <v>6921</v>
      </c>
      <c r="F644" s="237" t="s">
        <v>15751</v>
      </c>
      <c r="G644" s="237" t="s">
        <v>15752</v>
      </c>
      <c r="H644" s="237" t="s">
        <v>11533</v>
      </c>
      <c r="I644" s="237" t="s">
        <v>15753</v>
      </c>
      <c r="J644" s="237" t="s">
        <v>5224</v>
      </c>
      <c r="K644" s="237" t="s">
        <v>10068</v>
      </c>
      <c r="L644" s="237" t="s">
        <v>8991</v>
      </c>
      <c r="M644" s="232" t="s">
        <v>9383</v>
      </c>
      <c r="N644" s="430" t="s">
        <v>17527</v>
      </c>
    </row>
    <row r="645">
      <c r="A645" s="427">
        <v>644.0</v>
      </c>
      <c r="B645" s="237" t="s">
        <v>370</v>
      </c>
      <c r="C645" s="237" t="s">
        <v>6918</v>
      </c>
      <c r="D645" s="428">
        <v>45474.0</v>
      </c>
      <c r="E645" s="237" t="s">
        <v>6921</v>
      </c>
      <c r="F645" s="237" t="s">
        <v>15011</v>
      </c>
      <c r="G645" s="237" t="s">
        <v>15012</v>
      </c>
      <c r="H645" s="237" t="s">
        <v>10732</v>
      </c>
      <c r="I645" s="237" t="s">
        <v>374</v>
      </c>
      <c r="J645" s="237" t="s">
        <v>5224</v>
      </c>
      <c r="K645" s="237" t="s">
        <v>10068</v>
      </c>
      <c r="L645" s="237" t="s">
        <v>2942</v>
      </c>
      <c r="M645" s="232" t="s">
        <v>9383</v>
      </c>
      <c r="N645" s="430" t="s">
        <v>17527</v>
      </c>
    </row>
    <row r="646">
      <c r="A646" s="427">
        <v>645.0</v>
      </c>
      <c r="B646" s="237" t="s">
        <v>15165</v>
      </c>
      <c r="C646" s="237" t="s">
        <v>6918</v>
      </c>
      <c r="D646" s="428">
        <v>45019.0</v>
      </c>
      <c r="E646" s="237" t="s">
        <v>6921</v>
      </c>
      <c r="F646" s="237" t="s">
        <v>11673</v>
      </c>
      <c r="G646" s="237" t="s">
        <v>15166</v>
      </c>
      <c r="H646" s="237" t="s">
        <v>15167</v>
      </c>
      <c r="I646" s="237" t="s">
        <v>15168</v>
      </c>
      <c r="J646" s="237" t="s">
        <v>5224</v>
      </c>
      <c r="K646" s="237" t="s">
        <v>10068</v>
      </c>
      <c r="L646" s="237" t="s">
        <v>15169</v>
      </c>
      <c r="M646" s="232" t="s">
        <v>9383</v>
      </c>
      <c r="N646" s="430" t="s">
        <v>17527</v>
      </c>
    </row>
    <row r="647">
      <c r="A647" s="427">
        <v>646.0</v>
      </c>
      <c r="B647" s="237" t="s">
        <v>9905</v>
      </c>
      <c r="C647" s="237" t="s">
        <v>8796</v>
      </c>
      <c r="D647" s="428">
        <v>44125.0</v>
      </c>
      <c r="E647" s="237" t="s">
        <v>6921</v>
      </c>
      <c r="F647" s="237" t="s">
        <v>9907</v>
      </c>
      <c r="G647" s="237" t="s">
        <v>9908</v>
      </c>
      <c r="H647" s="237" t="s">
        <v>9909</v>
      </c>
      <c r="I647" s="237" t="s">
        <v>9910</v>
      </c>
      <c r="J647" s="237" t="s">
        <v>5224</v>
      </c>
      <c r="K647" s="237" t="s">
        <v>9911</v>
      </c>
      <c r="L647" s="237" t="s">
        <v>2926</v>
      </c>
      <c r="M647" s="232" t="s">
        <v>9383</v>
      </c>
      <c r="N647" s="430" t="s">
        <v>17527</v>
      </c>
    </row>
    <row r="648">
      <c r="A648" s="427">
        <v>647.0</v>
      </c>
      <c r="B648" s="237" t="s">
        <v>13376</v>
      </c>
      <c r="C648" s="237" t="s">
        <v>6918</v>
      </c>
      <c r="D648" s="428">
        <v>44473.0</v>
      </c>
      <c r="E648" s="237" t="s">
        <v>6921</v>
      </c>
      <c r="F648" s="237" t="s">
        <v>9529</v>
      </c>
      <c r="G648" s="237" t="s">
        <v>13377</v>
      </c>
      <c r="H648" s="237" t="s">
        <v>13378</v>
      </c>
      <c r="I648" s="237" t="s">
        <v>13379</v>
      </c>
      <c r="J648" s="237" t="s">
        <v>5224</v>
      </c>
      <c r="K648" s="237" t="s">
        <v>9911</v>
      </c>
      <c r="L648" s="237" t="s">
        <v>17550</v>
      </c>
      <c r="M648" s="232" t="s">
        <v>9383</v>
      </c>
      <c r="N648" s="430" t="s">
        <v>17527</v>
      </c>
    </row>
    <row r="649">
      <c r="A649" s="427">
        <v>648.0</v>
      </c>
      <c r="B649" s="237" t="s">
        <v>14088</v>
      </c>
      <c r="C649" s="237" t="s">
        <v>6918</v>
      </c>
      <c r="D649" s="428">
        <v>44137.0</v>
      </c>
      <c r="E649" s="237" t="s">
        <v>6921</v>
      </c>
      <c r="F649" s="237" t="s">
        <v>14084</v>
      </c>
      <c r="G649" s="237" t="s">
        <v>14089</v>
      </c>
      <c r="H649" s="237" t="s">
        <v>10957</v>
      </c>
      <c r="I649" s="237" t="s">
        <v>14090</v>
      </c>
      <c r="J649" s="237" t="s">
        <v>5224</v>
      </c>
      <c r="K649" s="237" t="s">
        <v>9911</v>
      </c>
      <c r="L649" s="237" t="s">
        <v>4978</v>
      </c>
      <c r="M649" s="232" t="s">
        <v>9383</v>
      </c>
      <c r="N649" s="430" t="s">
        <v>17527</v>
      </c>
    </row>
    <row r="650">
      <c r="A650" s="427">
        <v>649.0</v>
      </c>
      <c r="B650" s="237" t="s">
        <v>15590</v>
      </c>
      <c r="C650" s="237" t="s">
        <v>6918</v>
      </c>
      <c r="D650" s="428">
        <v>45061.0</v>
      </c>
      <c r="E650" s="237" t="s">
        <v>6921</v>
      </c>
      <c r="F650" s="237" t="s">
        <v>15591</v>
      </c>
      <c r="G650" s="237" t="s">
        <v>15592</v>
      </c>
      <c r="H650" s="237" t="s">
        <v>9654</v>
      </c>
      <c r="I650" s="237" t="s">
        <v>15593</v>
      </c>
      <c r="J650" s="237" t="s">
        <v>5224</v>
      </c>
      <c r="K650" s="237" t="s">
        <v>9911</v>
      </c>
      <c r="L650" s="237" t="s">
        <v>17359</v>
      </c>
      <c r="M650" s="232" t="s">
        <v>9383</v>
      </c>
      <c r="N650" s="430" t="s">
        <v>17527</v>
      </c>
    </row>
    <row r="651">
      <c r="A651" s="427">
        <v>650.0</v>
      </c>
      <c r="B651" s="237" t="s">
        <v>9142</v>
      </c>
      <c r="C651" s="237" t="s">
        <v>6918</v>
      </c>
      <c r="D651" s="428">
        <v>45061.0</v>
      </c>
      <c r="E651" s="237" t="s">
        <v>6933</v>
      </c>
      <c r="F651" s="237" t="s">
        <v>13421</v>
      </c>
      <c r="G651" s="237" t="s">
        <v>13422</v>
      </c>
      <c r="H651" s="237" t="s">
        <v>13423</v>
      </c>
      <c r="I651" s="237" t="s">
        <v>13424</v>
      </c>
      <c r="J651" s="237" t="s">
        <v>5224</v>
      </c>
      <c r="K651" s="237" t="s">
        <v>4737</v>
      </c>
      <c r="L651" s="237" t="s">
        <v>2138</v>
      </c>
      <c r="M651" s="232" t="s">
        <v>9383</v>
      </c>
      <c r="N651" s="430" t="s">
        <v>17527</v>
      </c>
    </row>
    <row r="652">
      <c r="A652" s="427">
        <v>651.0</v>
      </c>
      <c r="B652" s="237" t="s">
        <v>4739</v>
      </c>
      <c r="C652" s="237" t="s">
        <v>6918</v>
      </c>
      <c r="D652" s="428">
        <v>44641.0</v>
      </c>
      <c r="E652" s="237" t="s">
        <v>6921</v>
      </c>
      <c r="F652" s="237" t="s">
        <v>14782</v>
      </c>
      <c r="G652" s="237" t="s">
        <v>14783</v>
      </c>
      <c r="H652" s="237" t="s">
        <v>14784</v>
      </c>
      <c r="I652" s="237" t="s">
        <v>4740</v>
      </c>
      <c r="J652" s="237" t="s">
        <v>5224</v>
      </c>
      <c r="K652" s="237" t="s">
        <v>4737</v>
      </c>
      <c r="L652" s="237" t="s">
        <v>8037</v>
      </c>
      <c r="M652" s="232" t="s">
        <v>9383</v>
      </c>
      <c r="N652" s="430" t="s">
        <v>17527</v>
      </c>
    </row>
    <row r="653">
      <c r="A653" s="427">
        <v>652.0</v>
      </c>
      <c r="B653" s="237" t="s">
        <v>9148</v>
      </c>
      <c r="C653" s="237" t="s">
        <v>6918</v>
      </c>
      <c r="D653" s="428">
        <v>45078.0</v>
      </c>
      <c r="E653" s="237" t="s">
        <v>6921</v>
      </c>
      <c r="F653" s="237" t="s">
        <v>15734</v>
      </c>
      <c r="G653" s="237" t="s">
        <v>15735</v>
      </c>
      <c r="H653" s="237" t="s">
        <v>15736</v>
      </c>
      <c r="I653" s="237" t="s">
        <v>15737</v>
      </c>
      <c r="J653" s="237" t="s">
        <v>5224</v>
      </c>
      <c r="K653" s="237" t="s">
        <v>4737</v>
      </c>
      <c r="L653" s="237" t="s">
        <v>2138</v>
      </c>
      <c r="M653" s="232" t="s">
        <v>9383</v>
      </c>
      <c r="N653" s="430" t="s">
        <v>17527</v>
      </c>
    </row>
    <row r="654">
      <c r="A654" s="427">
        <v>653.0</v>
      </c>
      <c r="B654" s="237" t="s">
        <v>783</v>
      </c>
      <c r="C654" s="237" t="s">
        <v>6918</v>
      </c>
      <c r="D654" s="428">
        <v>44879.0</v>
      </c>
      <c r="E654" s="237" t="s">
        <v>6921</v>
      </c>
      <c r="F654" s="237" t="s">
        <v>12883</v>
      </c>
      <c r="G654" s="237" t="s">
        <v>15368</v>
      </c>
      <c r="H654" s="237" t="s">
        <v>15369</v>
      </c>
      <c r="I654" s="237" t="s">
        <v>787</v>
      </c>
      <c r="J654" s="237" t="s">
        <v>5224</v>
      </c>
      <c r="K654" s="237" t="s">
        <v>4737</v>
      </c>
      <c r="L654" s="237" t="s">
        <v>2138</v>
      </c>
      <c r="M654" s="232" t="s">
        <v>9383</v>
      </c>
      <c r="N654" s="430" t="s">
        <v>17527</v>
      </c>
    </row>
    <row r="655">
      <c r="A655" s="427">
        <v>654.0</v>
      </c>
      <c r="B655" s="237" t="s">
        <v>9175</v>
      </c>
      <c r="C655" s="237" t="s">
        <v>9157</v>
      </c>
      <c r="D655" s="428">
        <v>42217.0</v>
      </c>
      <c r="E655" s="237" t="s">
        <v>6921</v>
      </c>
      <c r="F655" s="237" t="s">
        <v>12353</v>
      </c>
      <c r="G655" s="237" t="s">
        <v>12354</v>
      </c>
      <c r="H655" s="237" t="s">
        <v>9659</v>
      </c>
      <c r="I655" s="237" t="s">
        <v>12355</v>
      </c>
      <c r="J655" s="237" t="s">
        <v>5224</v>
      </c>
      <c r="K655" s="237" t="s">
        <v>10437</v>
      </c>
      <c r="L655" s="237" t="s">
        <v>9177</v>
      </c>
      <c r="M655" s="232" t="s">
        <v>9383</v>
      </c>
      <c r="N655" s="430" t="s">
        <v>17527</v>
      </c>
    </row>
    <row r="656">
      <c r="A656" s="427">
        <v>655.0</v>
      </c>
      <c r="B656" s="237" t="s">
        <v>8628</v>
      </c>
      <c r="C656" s="237" t="s">
        <v>6918</v>
      </c>
      <c r="D656" s="428">
        <v>42037.0</v>
      </c>
      <c r="E656" s="237" t="s">
        <v>6933</v>
      </c>
      <c r="F656" s="237" t="s">
        <v>14489</v>
      </c>
      <c r="G656" s="237" t="s">
        <v>14490</v>
      </c>
      <c r="H656" s="237" t="s">
        <v>10812</v>
      </c>
      <c r="I656" s="237" t="s">
        <v>14491</v>
      </c>
      <c r="J656" s="237" t="s">
        <v>5224</v>
      </c>
      <c r="K656" s="237" t="s">
        <v>10437</v>
      </c>
      <c r="L656" s="237" t="s">
        <v>8609</v>
      </c>
      <c r="M656" s="232" t="s">
        <v>9383</v>
      </c>
      <c r="N656" s="430" t="s">
        <v>17527</v>
      </c>
    </row>
    <row r="657">
      <c r="A657" s="427">
        <v>656.0</v>
      </c>
      <c r="B657" s="237" t="s">
        <v>8329</v>
      </c>
      <c r="C657" s="237" t="s">
        <v>6918</v>
      </c>
      <c r="D657" s="428">
        <v>41122.0</v>
      </c>
      <c r="E657" s="237" t="s">
        <v>6921</v>
      </c>
      <c r="F657" s="237" t="s">
        <v>15727</v>
      </c>
      <c r="G657" s="237" t="s">
        <v>15728</v>
      </c>
      <c r="H657" s="237" t="s">
        <v>9975</v>
      </c>
      <c r="I657" s="237" t="s">
        <v>15729</v>
      </c>
      <c r="J657" s="237" t="s">
        <v>5224</v>
      </c>
      <c r="K657" s="237" t="s">
        <v>10437</v>
      </c>
      <c r="L657" s="237" t="s">
        <v>8331</v>
      </c>
      <c r="M657" s="232" t="s">
        <v>9383</v>
      </c>
      <c r="N657" s="430" t="s">
        <v>17527</v>
      </c>
    </row>
    <row r="658">
      <c r="A658" s="427">
        <v>657.0</v>
      </c>
      <c r="B658" s="237" t="s">
        <v>7696</v>
      </c>
      <c r="C658" s="237" t="s">
        <v>6918</v>
      </c>
      <c r="D658" s="428">
        <v>44819.0</v>
      </c>
      <c r="E658" s="237" t="s">
        <v>6933</v>
      </c>
      <c r="F658" s="237" t="s">
        <v>13557</v>
      </c>
      <c r="G658" s="237" t="s">
        <v>13558</v>
      </c>
      <c r="H658" s="237" t="s">
        <v>11374</v>
      </c>
      <c r="I658" s="237" t="s">
        <v>13559</v>
      </c>
      <c r="J658" s="237" t="s">
        <v>5224</v>
      </c>
      <c r="K658" s="237" t="s">
        <v>12717</v>
      </c>
      <c r="L658" s="237" t="s">
        <v>7688</v>
      </c>
      <c r="M658" s="232" t="s">
        <v>9383</v>
      </c>
      <c r="N658" s="430" t="s">
        <v>17527</v>
      </c>
    </row>
    <row r="659">
      <c r="A659" s="427">
        <v>658.0</v>
      </c>
      <c r="B659" s="237" t="s">
        <v>7713</v>
      </c>
      <c r="C659" s="237" t="s">
        <v>6918</v>
      </c>
      <c r="D659" s="428">
        <v>42746.0</v>
      </c>
      <c r="E659" s="237" t="s">
        <v>6921</v>
      </c>
      <c r="F659" s="237" t="s">
        <v>13358</v>
      </c>
      <c r="G659" s="237" t="s">
        <v>13364</v>
      </c>
      <c r="H659" s="237" t="s">
        <v>11482</v>
      </c>
      <c r="I659" s="237" t="s">
        <v>13365</v>
      </c>
      <c r="J659" s="237" t="s">
        <v>5224</v>
      </c>
      <c r="K659" s="237" t="s">
        <v>12717</v>
      </c>
      <c r="L659" s="237" t="s">
        <v>2716</v>
      </c>
      <c r="M659" s="232" t="s">
        <v>9383</v>
      </c>
      <c r="N659" s="430" t="s">
        <v>17527</v>
      </c>
    </row>
    <row r="660">
      <c r="A660" s="427">
        <v>659.0</v>
      </c>
      <c r="B660" s="237" t="s">
        <v>9073</v>
      </c>
      <c r="C660" s="237" t="s">
        <v>6918</v>
      </c>
      <c r="D660" s="428">
        <v>41883.0</v>
      </c>
      <c r="E660" s="237" t="s">
        <v>6921</v>
      </c>
      <c r="F660" s="237" t="s">
        <v>12955</v>
      </c>
      <c r="G660" s="237" t="s">
        <v>12956</v>
      </c>
      <c r="H660" s="237" t="s">
        <v>12957</v>
      </c>
      <c r="I660" s="237" t="s">
        <v>12958</v>
      </c>
      <c r="J660" s="237" t="s">
        <v>5224</v>
      </c>
      <c r="K660" s="237" t="s">
        <v>12717</v>
      </c>
      <c r="L660" s="237" t="s">
        <v>2508</v>
      </c>
      <c r="M660" s="232" t="s">
        <v>9383</v>
      </c>
      <c r="N660" s="430" t="s">
        <v>17527</v>
      </c>
    </row>
    <row r="661">
      <c r="A661" s="427">
        <v>660.0</v>
      </c>
      <c r="B661" s="237" t="s">
        <v>7720</v>
      </c>
      <c r="C661" s="237" t="s">
        <v>6918</v>
      </c>
      <c r="D661" s="428">
        <v>45019.0</v>
      </c>
      <c r="E661" s="237" t="s">
        <v>6933</v>
      </c>
      <c r="F661" s="237" t="s">
        <v>11920</v>
      </c>
      <c r="G661" s="237" t="s">
        <v>15506</v>
      </c>
      <c r="H661" s="237" t="s">
        <v>10732</v>
      </c>
      <c r="I661" s="237" t="s">
        <v>15507</v>
      </c>
      <c r="J661" s="237" t="s">
        <v>5224</v>
      </c>
      <c r="K661" s="237" t="s">
        <v>12717</v>
      </c>
      <c r="L661" s="237" t="s">
        <v>2716</v>
      </c>
      <c r="M661" s="232" t="s">
        <v>9383</v>
      </c>
      <c r="N661" s="430" t="s">
        <v>17527</v>
      </c>
    </row>
    <row r="662">
      <c r="A662" s="427">
        <v>661.0</v>
      </c>
      <c r="B662" s="237" t="s">
        <v>7320</v>
      </c>
      <c r="C662" s="237" t="s">
        <v>7277</v>
      </c>
      <c r="D662" s="428">
        <v>45257.0</v>
      </c>
      <c r="E662" s="237" t="s">
        <v>6921</v>
      </c>
      <c r="F662" s="237" t="s">
        <v>12637</v>
      </c>
      <c r="G662" s="237" t="s">
        <v>12638</v>
      </c>
      <c r="H662" s="237" t="s">
        <v>11710</v>
      </c>
      <c r="I662" s="237" t="s">
        <v>12639</v>
      </c>
      <c r="J662" s="237" t="s">
        <v>5224</v>
      </c>
      <c r="K662" s="237" t="s">
        <v>12640</v>
      </c>
      <c r="L662" s="237" t="s">
        <v>2919</v>
      </c>
      <c r="M662" s="232" t="s">
        <v>9383</v>
      </c>
      <c r="N662" s="430" t="s">
        <v>17527</v>
      </c>
    </row>
    <row r="663">
      <c r="A663" s="427">
        <v>662.0</v>
      </c>
      <c r="B663" s="237" t="s">
        <v>4262</v>
      </c>
      <c r="C663" s="237" t="s">
        <v>6918</v>
      </c>
      <c r="D663" s="428">
        <v>43815.0</v>
      </c>
      <c r="E663" s="237" t="s">
        <v>6921</v>
      </c>
      <c r="F663" s="237" t="s">
        <v>17641</v>
      </c>
      <c r="G663" s="237" t="s">
        <v>17642</v>
      </c>
      <c r="H663" s="237" t="s">
        <v>11850</v>
      </c>
      <c r="I663" s="237" t="s">
        <v>6804</v>
      </c>
      <c r="J663" s="237" t="s">
        <v>5224</v>
      </c>
      <c r="K663" s="237" t="s">
        <v>17643</v>
      </c>
      <c r="L663" s="237" t="s">
        <v>14869</v>
      </c>
      <c r="M663" s="232" t="s">
        <v>9383</v>
      </c>
      <c r="N663" s="430" t="s">
        <v>17527</v>
      </c>
    </row>
    <row r="664">
      <c r="A664" s="427">
        <v>663.0</v>
      </c>
      <c r="B664" s="237" t="s">
        <v>8365</v>
      </c>
      <c r="C664" s="237" t="s">
        <v>6918</v>
      </c>
      <c r="D664" s="428">
        <v>45110.0</v>
      </c>
      <c r="E664" s="237" t="s">
        <v>6921</v>
      </c>
      <c r="F664" s="237" t="s">
        <v>11694</v>
      </c>
      <c r="G664" s="237" t="s">
        <v>15179</v>
      </c>
      <c r="H664" s="237" t="s">
        <v>10183</v>
      </c>
      <c r="I664" s="237" t="s">
        <v>15180</v>
      </c>
      <c r="J664" s="237" t="s">
        <v>5224</v>
      </c>
      <c r="K664" s="237" t="s">
        <v>15108</v>
      </c>
      <c r="L664" s="237" t="s">
        <v>8362</v>
      </c>
      <c r="M664" s="232" t="s">
        <v>9383</v>
      </c>
      <c r="N664" s="430" t="s">
        <v>17527</v>
      </c>
    </row>
    <row r="665">
      <c r="A665" s="427">
        <v>664.0</v>
      </c>
      <c r="B665" s="237" t="s">
        <v>9103</v>
      </c>
      <c r="C665" s="237" t="s">
        <v>6918</v>
      </c>
      <c r="D665" s="428">
        <v>43229.0</v>
      </c>
      <c r="E665" s="237" t="s">
        <v>6921</v>
      </c>
      <c r="F665" s="237" t="s">
        <v>15831</v>
      </c>
      <c r="G665" s="237" t="s">
        <v>15832</v>
      </c>
      <c r="H665" s="237" t="s">
        <v>13288</v>
      </c>
      <c r="I665" s="237" t="s">
        <v>15833</v>
      </c>
      <c r="J665" s="237" t="s">
        <v>5224</v>
      </c>
      <c r="K665" s="237" t="s">
        <v>15834</v>
      </c>
      <c r="L665" s="237" t="s">
        <v>9093</v>
      </c>
      <c r="M665" s="232" t="s">
        <v>9383</v>
      </c>
      <c r="N665" s="430" t="s">
        <v>17527</v>
      </c>
    </row>
    <row r="666">
      <c r="A666" s="427">
        <v>665.0</v>
      </c>
      <c r="B666" s="237" t="s">
        <v>15231</v>
      </c>
      <c r="C666" s="237" t="s">
        <v>6918</v>
      </c>
      <c r="D666" s="428">
        <v>45170.0</v>
      </c>
      <c r="E666" s="237" t="s">
        <v>6933</v>
      </c>
      <c r="F666" s="237" t="s">
        <v>15232</v>
      </c>
      <c r="G666" s="237" t="s">
        <v>15233</v>
      </c>
      <c r="H666" s="237" t="s">
        <v>12633</v>
      </c>
      <c r="I666" s="237" t="s">
        <v>15234</v>
      </c>
      <c r="J666" s="237" t="s">
        <v>5012</v>
      </c>
      <c r="K666" s="237" t="s">
        <v>15235</v>
      </c>
      <c r="L666" s="237" t="s">
        <v>5932</v>
      </c>
      <c r="M666" s="232" t="s">
        <v>9383</v>
      </c>
      <c r="N666" s="430" t="s">
        <v>17527</v>
      </c>
    </row>
    <row r="667">
      <c r="A667" s="427">
        <v>666.0</v>
      </c>
      <c r="B667" s="237" t="s">
        <v>32</v>
      </c>
      <c r="C667" s="237" t="s">
        <v>6918</v>
      </c>
      <c r="D667" s="428">
        <v>44774.0</v>
      </c>
      <c r="E667" s="237" t="s">
        <v>6933</v>
      </c>
      <c r="F667" s="237" t="s">
        <v>14381</v>
      </c>
      <c r="G667" s="237" t="s">
        <v>14382</v>
      </c>
      <c r="H667" s="237" t="s">
        <v>9579</v>
      </c>
      <c r="I667" s="237" t="s">
        <v>36</v>
      </c>
      <c r="J667" s="237" t="s">
        <v>5224</v>
      </c>
      <c r="K667" s="237" t="s">
        <v>14383</v>
      </c>
      <c r="L667" s="237" t="s">
        <v>17555</v>
      </c>
      <c r="M667" s="232" t="s">
        <v>9383</v>
      </c>
      <c r="N667" s="430" t="s">
        <v>17527</v>
      </c>
    </row>
    <row r="668">
      <c r="A668" s="427">
        <v>667.0</v>
      </c>
      <c r="B668" s="237" t="s">
        <v>7041</v>
      </c>
      <c r="C668" s="237" t="s">
        <v>6918</v>
      </c>
      <c r="D668" s="428">
        <v>44949.0</v>
      </c>
      <c r="E668" s="237" t="s">
        <v>6933</v>
      </c>
      <c r="F668" s="237" t="s">
        <v>13530</v>
      </c>
      <c r="G668" s="237" t="s">
        <v>13531</v>
      </c>
      <c r="H668" s="237" t="s">
        <v>9380</v>
      </c>
      <c r="I668" s="237" t="s">
        <v>13532</v>
      </c>
      <c r="J668" s="237" t="s">
        <v>5224</v>
      </c>
      <c r="K668" s="237" t="s">
        <v>9784</v>
      </c>
      <c r="L668" s="237" t="s">
        <v>7015</v>
      </c>
      <c r="M668" s="232" t="s">
        <v>9383</v>
      </c>
      <c r="N668" s="430" t="s">
        <v>17527</v>
      </c>
    </row>
    <row r="669">
      <c r="A669" s="427">
        <v>668.0</v>
      </c>
      <c r="B669" s="237" t="s">
        <v>7037</v>
      </c>
      <c r="C669" s="237" t="s">
        <v>6918</v>
      </c>
      <c r="D669" s="428">
        <v>44844.0</v>
      </c>
      <c r="E669" s="237" t="s">
        <v>6933</v>
      </c>
      <c r="F669" s="237" t="s">
        <v>14302</v>
      </c>
      <c r="G669" s="237" t="s">
        <v>14303</v>
      </c>
      <c r="H669" s="237" t="s">
        <v>11467</v>
      </c>
      <c r="I669" s="237" t="s">
        <v>14304</v>
      </c>
      <c r="J669" s="237" t="s">
        <v>5224</v>
      </c>
      <c r="K669" s="237" t="s">
        <v>9784</v>
      </c>
      <c r="L669" s="237" t="s">
        <v>7015</v>
      </c>
      <c r="M669" s="232" t="s">
        <v>9383</v>
      </c>
      <c r="N669" s="430" t="s">
        <v>17527</v>
      </c>
    </row>
    <row r="670">
      <c r="A670" s="427">
        <v>669.0</v>
      </c>
      <c r="B670" s="237" t="s">
        <v>7051</v>
      </c>
      <c r="C670" s="237" t="s">
        <v>6918</v>
      </c>
      <c r="D670" s="428">
        <v>45447.0</v>
      </c>
      <c r="E670" s="237" t="s">
        <v>6921</v>
      </c>
      <c r="F670" s="237" t="s">
        <v>11836</v>
      </c>
      <c r="G670" s="237" t="s">
        <v>15352</v>
      </c>
      <c r="H670" s="237" t="s">
        <v>10441</v>
      </c>
      <c r="I670" s="237" t="s">
        <v>15353</v>
      </c>
      <c r="J670" s="237" t="s">
        <v>5224</v>
      </c>
      <c r="K670" s="237" t="s">
        <v>9784</v>
      </c>
      <c r="L670" s="237" t="s">
        <v>7015</v>
      </c>
      <c r="M670" s="232" t="s">
        <v>9383</v>
      </c>
      <c r="N670" s="430" t="s">
        <v>17527</v>
      </c>
    </row>
    <row r="671">
      <c r="A671" s="427">
        <v>670.0</v>
      </c>
      <c r="B671" s="237" t="s">
        <v>7032</v>
      </c>
      <c r="C671" s="237" t="s">
        <v>6918</v>
      </c>
      <c r="D671" s="428">
        <v>44333.0</v>
      </c>
      <c r="E671" s="237" t="s">
        <v>6933</v>
      </c>
      <c r="F671" s="237" t="s">
        <v>13467</v>
      </c>
      <c r="G671" s="237" t="s">
        <v>13468</v>
      </c>
      <c r="H671" s="237" t="s">
        <v>9827</v>
      </c>
      <c r="I671" s="237" t="s">
        <v>13469</v>
      </c>
      <c r="J671" s="237" t="s">
        <v>5224</v>
      </c>
      <c r="K671" s="237" t="s">
        <v>13470</v>
      </c>
      <c r="L671" s="237" t="s">
        <v>7015</v>
      </c>
      <c r="M671" s="232" t="s">
        <v>9383</v>
      </c>
      <c r="N671" s="430" t="s">
        <v>17527</v>
      </c>
    </row>
    <row r="672">
      <c r="A672" s="427">
        <v>671.0</v>
      </c>
      <c r="B672" s="237" t="s">
        <v>7027</v>
      </c>
      <c r="C672" s="237" t="s">
        <v>6918</v>
      </c>
      <c r="D672" s="428">
        <v>44550.0</v>
      </c>
      <c r="E672" s="237" t="s">
        <v>6933</v>
      </c>
      <c r="F672" s="237" t="s">
        <v>15049</v>
      </c>
      <c r="G672" s="237" t="s">
        <v>15045</v>
      </c>
      <c r="H672" s="237" t="s">
        <v>11533</v>
      </c>
      <c r="I672" s="237" t="s">
        <v>15050</v>
      </c>
      <c r="J672" s="237" t="s">
        <v>5224</v>
      </c>
      <c r="K672" s="237" t="s">
        <v>13470</v>
      </c>
      <c r="L672" s="237" t="s">
        <v>7015</v>
      </c>
      <c r="M672" s="232" t="s">
        <v>9383</v>
      </c>
      <c r="N672" s="430" t="s">
        <v>17527</v>
      </c>
    </row>
    <row r="673">
      <c r="A673" s="427">
        <v>672.0</v>
      </c>
      <c r="B673" s="237" t="s">
        <v>7090</v>
      </c>
      <c r="C673" s="237" t="s">
        <v>6918</v>
      </c>
      <c r="D673" s="428">
        <v>44746.0</v>
      </c>
      <c r="E673" s="237" t="s">
        <v>6921</v>
      </c>
      <c r="F673" s="237" t="s">
        <v>15440</v>
      </c>
      <c r="G673" s="237" t="s">
        <v>15441</v>
      </c>
      <c r="H673" s="237" t="s">
        <v>15442</v>
      </c>
      <c r="I673" s="237" t="s">
        <v>15443</v>
      </c>
      <c r="J673" s="237" t="s">
        <v>5224</v>
      </c>
      <c r="K673" s="237" t="s">
        <v>13186</v>
      </c>
      <c r="L673" s="237" t="s">
        <v>13187</v>
      </c>
      <c r="M673" s="232" t="s">
        <v>9383</v>
      </c>
      <c r="N673" s="430" t="s">
        <v>17527</v>
      </c>
    </row>
    <row r="674">
      <c r="A674" s="427">
        <v>673.0</v>
      </c>
      <c r="B674" s="237" t="s">
        <v>9672</v>
      </c>
      <c r="C674" s="237" t="s">
        <v>8796</v>
      </c>
      <c r="D674" s="428">
        <v>45628.0</v>
      </c>
      <c r="E674" s="237" t="s">
        <v>6933</v>
      </c>
      <c r="F674" s="237" t="s">
        <v>9674</v>
      </c>
      <c r="G674" s="237" t="s">
        <v>9675</v>
      </c>
      <c r="H674" s="237" t="s">
        <v>9676</v>
      </c>
      <c r="I674" s="237" t="s">
        <v>9677</v>
      </c>
      <c r="J674" s="237" t="s">
        <v>5224</v>
      </c>
      <c r="K674" s="237" t="s">
        <v>9678</v>
      </c>
      <c r="L674" s="237" t="s">
        <v>9679</v>
      </c>
      <c r="M674" s="232" t="s">
        <v>9383</v>
      </c>
      <c r="N674" s="430" t="s">
        <v>17527</v>
      </c>
    </row>
    <row r="675">
      <c r="A675" s="427">
        <v>674.0</v>
      </c>
      <c r="B675" s="237" t="s">
        <v>3168</v>
      </c>
      <c r="C675" s="237" t="s">
        <v>6918</v>
      </c>
      <c r="D675" s="428">
        <v>45352.0</v>
      </c>
      <c r="E675" s="237" t="s">
        <v>6921</v>
      </c>
      <c r="F675" s="237" t="s">
        <v>17357</v>
      </c>
      <c r="G675" s="237" t="s">
        <v>17644</v>
      </c>
      <c r="H675" s="237" t="s">
        <v>9805</v>
      </c>
      <c r="I675" s="237" t="s">
        <v>6385</v>
      </c>
      <c r="J675" s="237" t="s">
        <v>5224</v>
      </c>
      <c r="K675" s="237" t="s">
        <v>9404</v>
      </c>
      <c r="L675" s="237" t="s">
        <v>3170</v>
      </c>
      <c r="M675" s="232" t="s">
        <v>9383</v>
      </c>
      <c r="N675" s="430" t="s">
        <v>17527</v>
      </c>
    </row>
    <row r="676">
      <c r="A676" s="427">
        <v>675.0</v>
      </c>
      <c r="B676" s="237" t="s">
        <v>7793</v>
      </c>
      <c r="C676" s="237" t="s">
        <v>6918</v>
      </c>
      <c r="D676" s="428">
        <v>44805.0</v>
      </c>
      <c r="E676" s="237" t="s">
        <v>6921</v>
      </c>
      <c r="F676" s="237" t="s">
        <v>14968</v>
      </c>
      <c r="G676" s="237" t="s">
        <v>14969</v>
      </c>
      <c r="H676" s="237" t="s">
        <v>14970</v>
      </c>
      <c r="I676" s="237" t="s">
        <v>14971</v>
      </c>
      <c r="J676" s="237" t="s">
        <v>5224</v>
      </c>
      <c r="K676" s="237" t="s">
        <v>9404</v>
      </c>
      <c r="L676" s="237" t="s">
        <v>5890</v>
      </c>
      <c r="M676" s="232" t="s">
        <v>9383</v>
      </c>
      <c r="N676" s="430" t="s">
        <v>17527</v>
      </c>
    </row>
    <row r="677">
      <c r="A677" s="427">
        <v>676.0</v>
      </c>
      <c r="B677" s="237" t="s">
        <v>3430</v>
      </c>
      <c r="C677" s="237" t="s">
        <v>6918</v>
      </c>
      <c r="D677" s="428">
        <v>45352.0</v>
      </c>
      <c r="E677" s="237" t="s">
        <v>6921</v>
      </c>
      <c r="F677" s="237" t="s">
        <v>17645</v>
      </c>
      <c r="G677" s="237" t="s">
        <v>17646</v>
      </c>
      <c r="H677" s="237" t="s">
        <v>14770</v>
      </c>
      <c r="I677" s="237" t="s">
        <v>6498</v>
      </c>
      <c r="J677" s="237" t="s">
        <v>5224</v>
      </c>
      <c r="K677" s="237" t="s">
        <v>9404</v>
      </c>
      <c r="L677" s="237" t="s">
        <v>3170</v>
      </c>
      <c r="M677" s="232" t="s">
        <v>9383</v>
      </c>
      <c r="N677" s="430" t="s">
        <v>17527</v>
      </c>
    </row>
    <row r="678">
      <c r="A678" s="427">
        <v>677.0</v>
      </c>
      <c r="B678" s="237" t="s">
        <v>7764</v>
      </c>
      <c r="C678" s="237" t="s">
        <v>6918</v>
      </c>
      <c r="D678" s="428">
        <v>44718.0</v>
      </c>
      <c r="E678" s="237" t="s">
        <v>6921</v>
      </c>
      <c r="F678" s="237" t="s">
        <v>13871</v>
      </c>
      <c r="G678" s="237" t="s">
        <v>13872</v>
      </c>
      <c r="H678" s="237" t="s">
        <v>10435</v>
      </c>
      <c r="I678" s="237" t="s">
        <v>13873</v>
      </c>
      <c r="J678" s="237" t="s">
        <v>5224</v>
      </c>
      <c r="K678" s="237" t="s">
        <v>9404</v>
      </c>
      <c r="L678" s="237" t="s">
        <v>3170</v>
      </c>
      <c r="M678" s="232" t="s">
        <v>9383</v>
      </c>
      <c r="N678" s="430" t="s">
        <v>17527</v>
      </c>
    </row>
    <row r="679">
      <c r="A679" s="427">
        <v>678.0</v>
      </c>
      <c r="B679" s="237" t="s">
        <v>7796</v>
      </c>
      <c r="C679" s="237" t="s">
        <v>6918</v>
      </c>
      <c r="D679" s="428">
        <v>45566.0</v>
      </c>
      <c r="E679" s="237" t="s">
        <v>6933</v>
      </c>
      <c r="F679" s="237" t="s">
        <v>13958</v>
      </c>
      <c r="G679" s="237" t="s">
        <v>13959</v>
      </c>
      <c r="H679" s="237" t="s">
        <v>13179</v>
      </c>
      <c r="I679" s="237" t="s">
        <v>13960</v>
      </c>
      <c r="J679" s="237" t="s">
        <v>5224</v>
      </c>
      <c r="K679" s="237" t="s">
        <v>9404</v>
      </c>
      <c r="L679" s="237" t="s">
        <v>5890</v>
      </c>
      <c r="M679" s="232" t="s">
        <v>9391</v>
      </c>
      <c r="N679" s="430" t="s">
        <v>17527</v>
      </c>
    </row>
    <row r="680">
      <c r="A680" s="427">
        <v>679.0</v>
      </c>
      <c r="B680" s="237" t="s">
        <v>7768</v>
      </c>
      <c r="C680" s="237" t="s">
        <v>6918</v>
      </c>
      <c r="D680" s="428">
        <v>44795.0</v>
      </c>
      <c r="E680" s="237" t="s">
        <v>6921</v>
      </c>
      <c r="F680" s="237" t="s">
        <v>15034</v>
      </c>
      <c r="G680" s="237" t="s">
        <v>15035</v>
      </c>
      <c r="H680" s="237" t="s">
        <v>11194</v>
      </c>
      <c r="I680" s="237" t="s">
        <v>15036</v>
      </c>
      <c r="J680" s="237" t="s">
        <v>5224</v>
      </c>
      <c r="K680" s="237" t="s">
        <v>9404</v>
      </c>
      <c r="L680" s="237" t="s">
        <v>3170</v>
      </c>
      <c r="M680" s="232" t="s">
        <v>9383</v>
      </c>
      <c r="N680" s="430" t="s">
        <v>17527</v>
      </c>
    </row>
    <row r="681">
      <c r="A681" s="427">
        <v>680.0</v>
      </c>
      <c r="B681" s="237" t="s">
        <v>7756</v>
      </c>
      <c r="C681" s="237" t="s">
        <v>6918</v>
      </c>
      <c r="D681" s="428">
        <v>43556.0</v>
      </c>
      <c r="E681" s="237" t="s">
        <v>6921</v>
      </c>
      <c r="F681" s="237" t="s">
        <v>13927</v>
      </c>
      <c r="G681" s="237" t="s">
        <v>13928</v>
      </c>
      <c r="H681" s="237" t="s">
        <v>13929</v>
      </c>
      <c r="I681" s="237" t="s">
        <v>13930</v>
      </c>
      <c r="J681" s="237" t="s">
        <v>5224</v>
      </c>
      <c r="K681" s="237" t="s">
        <v>13931</v>
      </c>
      <c r="L681" s="237" t="s">
        <v>3170</v>
      </c>
      <c r="M681" s="232" t="s">
        <v>9383</v>
      </c>
      <c r="N681" s="430" t="s">
        <v>17527</v>
      </c>
    </row>
    <row r="682">
      <c r="A682" s="427">
        <v>681.0</v>
      </c>
      <c r="B682" s="237" t="s">
        <v>7785</v>
      </c>
      <c r="C682" s="237" t="s">
        <v>6918</v>
      </c>
      <c r="D682" s="428">
        <v>43280.0</v>
      </c>
      <c r="E682" s="237" t="s">
        <v>6921</v>
      </c>
      <c r="F682" s="237" t="s">
        <v>15241</v>
      </c>
      <c r="G682" s="237" t="s">
        <v>15245</v>
      </c>
      <c r="H682" s="237" t="s">
        <v>14575</v>
      </c>
      <c r="I682" s="237" t="s">
        <v>15246</v>
      </c>
      <c r="J682" s="237" t="s">
        <v>5224</v>
      </c>
      <c r="K682" s="237" t="s">
        <v>13931</v>
      </c>
      <c r="L682" s="237" t="s">
        <v>5890</v>
      </c>
      <c r="M682" s="232" t="s">
        <v>9383</v>
      </c>
      <c r="N682" s="430" t="s">
        <v>17527</v>
      </c>
    </row>
    <row r="683">
      <c r="A683" s="427">
        <v>682.0</v>
      </c>
      <c r="B683" s="237" t="s">
        <v>9510</v>
      </c>
      <c r="C683" s="237" t="s">
        <v>8796</v>
      </c>
      <c r="D683" s="428">
        <v>43948.0</v>
      </c>
      <c r="E683" s="237" t="s">
        <v>6921</v>
      </c>
      <c r="F683" s="237" t="s">
        <v>9512</v>
      </c>
      <c r="G683" s="237" t="s">
        <v>9513</v>
      </c>
      <c r="H683" s="237" t="s">
        <v>9514</v>
      </c>
      <c r="I683" s="237" t="s">
        <v>5569</v>
      </c>
      <c r="J683" s="237" t="s">
        <v>5224</v>
      </c>
      <c r="K683" s="237" t="s">
        <v>9515</v>
      </c>
      <c r="L683" s="237" t="s">
        <v>17647</v>
      </c>
      <c r="M683" s="232" t="s">
        <v>9383</v>
      </c>
      <c r="N683" s="430" t="s">
        <v>17527</v>
      </c>
    </row>
    <row r="684">
      <c r="A684" s="427">
        <v>683.0</v>
      </c>
      <c r="B684" s="237" t="s">
        <v>9053</v>
      </c>
      <c r="C684" s="237" t="s">
        <v>9052</v>
      </c>
      <c r="D684" s="428">
        <v>43168.0</v>
      </c>
      <c r="E684" s="237" t="s">
        <v>6933</v>
      </c>
      <c r="F684" s="237" t="s">
        <v>9378</v>
      </c>
      <c r="G684" s="237" t="s">
        <v>9379</v>
      </c>
      <c r="H684" s="237" t="s">
        <v>9380</v>
      </c>
      <c r="I684" s="237" t="s">
        <v>9381</v>
      </c>
      <c r="J684" s="237" t="s">
        <v>5012</v>
      </c>
      <c r="K684" s="237" t="s">
        <v>9382</v>
      </c>
      <c r="L684" s="237" t="s">
        <v>3041</v>
      </c>
      <c r="M684" s="232" t="s">
        <v>9383</v>
      </c>
      <c r="N684" s="430" t="s">
        <v>17527</v>
      </c>
    </row>
    <row r="685">
      <c r="A685" s="427">
        <v>684.0</v>
      </c>
      <c r="B685" s="237" t="s">
        <v>9045</v>
      </c>
      <c r="C685" s="237" t="s">
        <v>6918</v>
      </c>
      <c r="D685" s="428">
        <v>40820.0</v>
      </c>
      <c r="E685" s="237" t="s">
        <v>6933</v>
      </c>
      <c r="F685" s="237" t="s">
        <v>13008</v>
      </c>
      <c r="G685" s="237" t="s">
        <v>13009</v>
      </c>
      <c r="H685" s="237" t="s">
        <v>10020</v>
      </c>
      <c r="I685" s="237" t="s">
        <v>13010</v>
      </c>
      <c r="J685" s="237" t="s">
        <v>5224</v>
      </c>
      <c r="K685" s="237" t="s">
        <v>9382</v>
      </c>
      <c r="L685" s="237" t="s">
        <v>3041</v>
      </c>
      <c r="M685" s="232" t="s">
        <v>9383</v>
      </c>
      <c r="N685" s="430" t="s">
        <v>17527</v>
      </c>
    </row>
    <row r="686">
      <c r="A686" s="427">
        <v>685.0</v>
      </c>
      <c r="B686" s="237" t="s">
        <v>3682</v>
      </c>
      <c r="C686" s="237" t="s">
        <v>7277</v>
      </c>
      <c r="D686" s="428">
        <v>43276.0</v>
      </c>
      <c r="E686" s="237" t="s">
        <v>6921</v>
      </c>
      <c r="F686" s="237" t="s">
        <v>16658</v>
      </c>
      <c r="G686" s="237" t="s">
        <v>16659</v>
      </c>
      <c r="H686" s="237" t="s">
        <v>10048</v>
      </c>
      <c r="I686" s="237" t="s">
        <v>6615</v>
      </c>
      <c r="J686" s="237" t="s">
        <v>5224</v>
      </c>
      <c r="K686" s="237" t="s">
        <v>14460</v>
      </c>
      <c r="L686" s="237" t="s">
        <v>2919</v>
      </c>
      <c r="M686" s="232" t="s">
        <v>9383</v>
      </c>
      <c r="N686" s="430" t="s">
        <v>17527</v>
      </c>
    </row>
    <row r="687">
      <c r="A687" s="427">
        <v>686.0</v>
      </c>
      <c r="B687" s="237" t="s">
        <v>8476</v>
      </c>
      <c r="C687" s="237" t="s">
        <v>6918</v>
      </c>
      <c r="D687" s="428">
        <v>44805.0</v>
      </c>
      <c r="E687" s="237" t="s">
        <v>6921</v>
      </c>
      <c r="F687" s="237" t="s">
        <v>14457</v>
      </c>
      <c r="G687" s="237" t="s">
        <v>14458</v>
      </c>
      <c r="H687" s="237" t="s">
        <v>10048</v>
      </c>
      <c r="I687" s="237" t="s">
        <v>14459</v>
      </c>
      <c r="J687" s="237" t="s">
        <v>5224</v>
      </c>
      <c r="K687" s="237" t="s">
        <v>14460</v>
      </c>
      <c r="L687" s="237" t="s">
        <v>8472</v>
      </c>
      <c r="M687" s="232" t="s">
        <v>9383</v>
      </c>
      <c r="N687" s="430" t="s">
        <v>17527</v>
      </c>
    </row>
    <row r="688">
      <c r="A688" s="427">
        <v>687.0</v>
      </c>
      <c r="B688" s="237" t="s">
        <v>8658</v>
      </c>
      <c r="C688" s="237" t="s">
        <v>6918</v>
      </c>
      <c r="D688" s="428">
        <v>44789.0</v>
      </c>
      <c r="E688" s="237" t="s">
        <v>6921</v>
      </c>
      <c r="F688" s="237" t="s">
        <v>13744</v>
      </c>
      <c r="G688" s="237" t="s">
        <v>13745</v>
      </c>
      <c r="H688" s="237" t="s">
        <v>10100</v>
      </c>
      <c r="I688" s="237" t="s">
        <v>13746</v>
      </c>
      <c r="J688" s="237" t="s">
        <v>5224</v>
      </c>
      <c r="K688" s="237" t="s">
        <v>13620</v>
      </c>
      <c r="L688" s="237" t="s">
        <v>8655</v>
      </c>
      <c r="M688" s="232" t="s">
        <v>9383</v>
      </c>
      <c r="N688" s="430" t="s">
        <v>17527</v>
      </c>
    </row>
    <row r="689">
      <c r="A689" s="427">
        <v>688.0</v>
      </c>
      <c r="B689" s="237" t="s">
        <v>8662</v>
      </c>
      <c r="C689" s="237" t="s">
        <v>6918</v>
      </c>
      <c r="D689" s="428">
        <v>45299.0</v>
      </c>
      <c r="E689" s="237" t="s">
        <v>6921</v>
      </c>
      <c r="F689" s="237" t="s">
        <v>14683</v>
      </c>
      <c r="G689" s="237" t="s">
        <v>14684</v>
      </c>
      <c r="H689" s="237" t="s">
        <v>9501</v>
      </c>
      <c r="I689" s="237" t="s">
        <v>14685</v>
      </c>
      <c r="J689" s="237" t="s">
        <v>5224</v>
      </c>
      <c r="K689" s="237" t="s">
        <v>13620</v>
      </c>
      <c r="L689" s="237" t="s">
        <v>8655</v>
      </c>
      <c r="M689" s="232" t="s">
        <v>9383</v>
      </c>
      <c r="N689" s="430" t="s">
        <v>17527</v>
      </c>
    </row>
    <row r="690">
      <c r="A690" s="427">
        <v>689.0</v>
      </c>
      <c r="B690" s="237" t="s">
        <v>8615</v>
      </c>
      <c r="C690" s="237" t="s">
        <v>6918</v>
      </c>
      <c r="D690" s="428">
        <v>33274.0</v>
      </c>
      <c r="E690" s="237" t="s">
        <v>6921</v>
      </c>
      <c r="F690" s="237" t="s">
        <v>13434</v>
      </c>
      <c r="G690" s="237" t="s">
        <v>13435</v>
      </c>
      <c r="H690" s="237" t="s">
        <v>9669</v>
      </c>
      <c r="I690" s="237" t="s">
        <v>13436</v>
      </c>
      <c r="J690" s="237" t="s">
        <v>5224</v>
      </c>
      <c r="K690" s="237" t="s">
        <v>13437</v>
      </c>
      <c r="L690" s="237" t="s">
        <v>8609</v>
      </c>
      <c r="M690" s="232" t="s">
        <v>9383</v>
      </c>
      <c r="N690" s="430" t="s">
        <v>17527</v>
      </c>
    </row>
    <row r="691">
      <c r="A691" s="427">
        <v>690.0</v>
      </c>
      <c r="B691" s="237" t="s">
        <v>4142</v>
      </c>
      <c r="C691" s="237" t="s">
        <v>8796</v>
      </c>
      <c r="D691" s="428">
        <v>44823.0</v>
      </c>
      <c r="E691" s="237" t="s">
        <v>6921</v>
      </c>
      <c r="F691" s="237" t="s">
        <v>17648</v>
      </c>
      <c r="G691" s="237" t="s">
        <v>17649</v>
      </c>
      <c r="H691" s="237" t="s">
        <v>10009</v>
      </c>
      <c r="I691" s="237" t="s">
        <v>6770</v>
      </c>
      <c r="J691" s="237" t="s">
        <v>5224</v>
      </c>
      <c r="K691" s="237" t="s">
        <v>17650</v>
      </c>
      <c r="L691" s="237" t="s">
        <v>9342</v>
      </c>
      <c r="M691" s="232" t="s">
        <v>9383</v>
      </c>
      <c r="N691" s="430" t="s">
        <v>17527</v>
      </c>
    </row>
    <row r="692">
      <c r="A692" s="427">
        <v>691.0</v>
      </c>
      <c r="B692" s="237" t="s">
        <v>8031</v>
      </c>
      <c r="C692" s="237" t="s">
        <v>6918</v>
      </c>
      <c r="D692" s="428">
        <v>43528.0</v>
      </c>
      <c r="E692" s="237" t="s">
        <v>6921</v>
      </c>
      <c r="F692" s="237" t="s">
        <v>14913</v>
      </c>
      <c r="G692" s="237" t="s">
        <v>14914</v>
      </c>
      <c r="H692" s="237" t="s">
        <v>10879</v>
      </c>
      <c r="I692" s="237" t="s">
        <v>14915</v>
      </c>
      <c r="J692" s="237" t="s">
        <v>5224</v>
      </c>
      <c r="K692" s="237" t="s">
        <v>14916</v>
      </c>
      <c r="L692" s="237" t="s">
        <v>2165</v>
      </c>
      <c r="M692" s="232" t="s">
        <v>9383</v>
      </c>
      <c r="N692" s="430" t="s">
        <v>17527</v>
      </c>
    </row>
    <row r="693">
      <c r="A693" s="427">
        <v>692.0</v>
      </c>
      <c r="B693" s="237" t="s">
        <v>9750</v>
      </c>
      <c r="C693" s="237" t="s">
        <v>8796</v>
      </c>
      <c r="D693" s="428">
        <v>44190.0</v>
      </c>
      <c r="E693" s="237" t="s">
        <v>6921</v>
      </c>
      <c r="F693" s="237" t="s">
        <v>9752</v>
      </c>
      <c r="G693" s="237" t="s">
        <v>9753</v>
      </c>
      <c r="H693" s="237" t="s">
        <v>9754</v>
      </c>
      <c r="I693" s="237" t="s">
        <v>9755</v>
      </c>
      <c r="J693" s="237" t="s">
        <v>5224</v>
      </c>
      <c r="K693" s="237" t="s">
        <v>9756</v>
      </c>
      <c r="L693" s="237" t="s">
        <v>9619</v>
      </c>
      <c r="M693" s="232" t="s">
        <v>9383</v>
      </c>
      <c r="N693" s="430" t="s">
        <v>17527</v>
      </c>
    </row>
    <row r="694">
      <c r="A694" s="427">
        <v>693.0</v>
      </c>
      <c r="B694" s="237" t="s">
        <v>7683</v>
      </c>
      <c r="C694" s="237" t="s">
        <v>6918</v>
      </c>
      <c r="D694" s="428">
        <v>42095.0</v>
      </c>
      <c r="E694" s="237" t="s">
        <v>7239</v>
      </c>
      <c r="F694" s="237" t="s">
        <v>14797</v>
      </c>
      <c r="G694" s="237" t="s">
        <v>14798</v>
      </c>
      <c r="H694" s="237" t="s">
        <v>11574</v>
      </c>
      <c r="I694" s="237" t="s">
        <v>14799</v>
      </c>
      <c r="J694" s="237" t="s">
        <v>5224</v>
      </c>
      <c r="K694" s="237" t="s">
        <v>13997</v>
      </c>
      <c r="L694" s="237" t="s">
        <v>7679</v>
      </c>
      <c r="M694" s="232" t="s">
        <v>9383</v>
      </c>
      <c r="N694" s="430" t="s">
        <v>17527</v>
      </c>
    </row>
    <row r="695">
      <c r="A695" s="427">
        <v>694.0</v>
      </c>
      <c r="B695" s="237" t="s">
        <v>8139</v>
      </c>
      <c r="C695" s="237" t="s">
        <v>6918</v>
      </c>
      <c r="D695" s="428">
        <v>43150.0</v>
      </c>
      <c r="E695" s="237" t="s">
        <v>6921</v>
      </c>
      <c r="F695" s="237" t="s">
        <v>13994</v>
      </c>
      <c r="G695" s="237" t="s">
        <v>13995</v>
      </c>
      <c r="H695" s="237" t="s">
        <v>9805</v>
      </c>
      <c r="I695" s="237" t="s">
        <v>13996</v>
      </c>
      <c r="J695" s="237" t="s">
        <v>5224</v>
      </c>
      <c r="K695" s="237" t="s">
        <v>13997</v>
      </c>
      <c r="L695" s="237" t="s">
        <v>8136</v>
      </c>
      <c r="M695" s="232" t="s">
        <v>9383</v>
      </c>
      <c r="N695" s="430" t="s">
        <v>17527</v>
      </c>
    </row>
    <row r="696">
      <c r="A696" s="427">
        <v>695.0</v>
      </c>
      <c r="B696" s="237" t="s">
        <v>8621</v>
      </c>
      <c r="C696" s="237" t="s">
        <v>6918</v>
      </c>
      <c r="D696" s="428">
        <v>41220.0</v>
      </c>
      <c r="E696" s="237" t="s">
        <v>6921</v>
      </c>
      <c r="F696" s="237" t="s">
        <v>13653</v>
      </c>
      <c r="G696" s="237" t="s">
        <v>13654</v>
      </c>
      <c r="H696" s="237" t="s">
        <v>13655</v>
      </c>
      <c r="I696" s="237" t="s">
        <v>13656</v>
      </c>
      <c r="J696" s="237" t="s">
        <v>5224</v>
      </c>
      <c r="K696" s="237" t="s">
        <v>13657</v>
      </c>
      <c r="L696" s="237" t="s">
        <v>8609</v>
      </c>
      <c r="M696" s="232" t="s">
        <v>9383</v>
      </c>
      <c r="N696" s="430" t="s">
        <v>17527</v>
      </c>
    </row>
    <row r="697">
      <c r="A697" s="427">
        <v>696.0</v>
      </c>
      <c r="B697" s="237" t="s">
        <v>14810</v>
      </c>
      <c r="C697" s="237" t="s">
        <v>6918</v>
      </c>
      <c r="D697" s="428">
        <v>40068.0</v>
      </c>
      <c r="E697" s="237" t="s">
        <v>7239</v>
      </c>
      <c r="F697" s="237" t="s">
        <v>14812</v>
      </c>
      <c r="G697" s="237" t="s">
        <v>14813</v>
      </c>
      <c r="H697" s="237" t="s">
        <v>14812</v>
      </c>
      <c r="I697" s="237" t="s">
        <v>14814</v>
      </c>
      <c r="J697" s="237" t="s">
        <v>5224</v>
      </c>
      <c r="K697" s="237" t="s">
        <v>14815</v>
      </c>
      <c r="L697" s="237" t="s">
        <v>3041</v>
      </c>
      <c r="M697" s="232" t="s">
        <v>9383</v>
      </c>
      <c r="N697" s="430" t="s">
        <v>17527</v>
      </c>
    </row>
    <row r="698">
      <c r="A698" s="427">
        <v>697.0</v>
      </c>
      <c r="B698" s="237" t="s">
        <v>8667</v>
      </c>
      <c r="C698" s="237" t="s">
        <v>1631</v>
      </c>
      <c r="D698" s="428">
        <v>43872.0</v>
      </c>
      <c r="E698" s="237" t="s">
        <v>6933</v>
      </c>
      <c r="F698" s="237" t="s">
        <v>9421</v>
      </c>
      <c r="G698" s="237" t="s">
        <v>9422</v>
      </c>
      <c r="H698" s="237" t="s">
        <v>9423</v>
      </c>
      <c r="I698" s="237" t="s">
        <v>9424</v>
      </c>
      <c r="J698" s="237" t="s">
        <v>5224</v>
      </c>
      <c r="K698" s="237" t="s">
        <v>9425</v>
      </c>
      <c r="L698" s="237" t="s">
        <v>8669</v>
      </c>
      <c r="M698" s="232" t="s">
        <v>9383</v>
      </c>
      <c r="N698" s="430" t="s">
        <v>17527</v>
      </c>
    </row>
    <row r="699">
      <c r="A699" s="427">
        <v>698.0</v>
      </c>
      <c r="B699" s="237" t="s">
        <v>12694</v>
      </c>
      <c r="C699" s="237" t="s">
        <v>7277</v>
      </c>
      <c r="D699" s="428">
        <v>44454.0</v>
      </c>
      <c r="E699" s="237" t="s">
        <v>6933</v>
      </c>
      <c r="F699" s="237" t="s">
        <v>12696</v>
      </c>
      <c r="G699" s="237" t="s">
        <v>12697</v>
      </c>
      <c r="H699" s="237" t="s">
        <v>9827</v>
      </c>
      <c r="I699" s="237" t="s">
        <v>6292</v>
      </c>
      <c r="J699" s="237" t="s">
        <v>5224</v>
      </c>
      <c r="K699" s="237" t="s">
        <v>9425</v>
      </c>
      <c r="L699" s="237" t="s">
        <v>2915</v>
      </c>
      <c r="M699" s="232" t="s">
        <v>9383</v>
      </c>
      <c r="N699" s="430" t="s">
        <v>17527</v>
      </c>
    </row>
    <row r="700">
      <c r="A700" s="427">
        <v>699.0</v>
      </c>
      <c r="B700" s="237" t="s">
        <v>9083</v>
      </c>
      <c r="C700" s="237" t="s">
        <v>6918</v>
      </c>
      <c r="D700" s="428">
        <v>36718.0</v>
      </c>
      <c r="E700" s="237" t="s">
        <v>6933</v>
      </c>
      <c r="F700" s="237" t="s">
        <v>12392</v>
      </c>
      <c r="G700" s="237" t="s">
        <v>12393</v>
      </c>
      <c r="H700" s="237" t="s">
        <v>12394</v>
      </c>
      <c r="I700" s="237" t="s">
        <v>12395</v>
      </c>
      <c r="J700" s="237" t="s">
        <v>5224</v>
      </c>
      <c r="K700" s="237" t="s">
        <v>9425</v>
      </c>
      <c r="L700" s="237" t="s">
        <v>2265</v>
      </c>
      <c r="M700" s="232" t="s">
        <v>9383</v>
      </c>
      <c r="N700" s="430" t="s">
        <v>17527</v>
      </c>
    </row>
    <row r="701">
      <c r="A701" s="427">
        <v>700.0</v>
      </c>
      <c r="B701" s="237" t="s">
        <v>4732</v>
      </c>
      <c r="C701" s="237" t="s">
        <v>6918</v>
      </c>
      <c r="D701" s="428">
        <v>40057.0</v>
      </c>
      <c r="E701" s="237" t="s">
        <v>6921</v>
      </c>
      <c r="F701" s="237" t="s">
        <v>12582</v>
      </c>
      <c r="G701" s="237" t="s">
        <v>9498</v>
      </c>
      <c r="H701" s="237" t="s">
        <v>15979</v>
      </c>
      <c r="I701" s="237" t="s">
        <v>4734</v>
      </c>
      <c r="J701" s="237" t="s">
        <v>5224</v>
      </c>
      <c r="K701" s="237" t="s">
        <v>9425</v>
      </c>
      <c r="L701" s="237" t="s">
        <v>8037</v>
      </c>
      <c r="M701" s="232" t="s">
        <v>9383</v>
      </c>
      <c r="N701" s="430" t="s">
        <v>17527</v>
      </c>
    </row>
    <row r="702">
      <c r="A702" s="427">
        <v>701.0</v>
      </c>
      <c r="B702" s="237" t="s">
        <v>14517</v>
      </c>
      <c r="C702" s="237" t="s">
        <v>6918</v>
      </c>
      <c r="D702" s="428">
        <v>45154.0</v>
      </c>
      <c r="E702" s="237" t="s">
        <v>6933</v>
      </c>
      <c r="F702" s="237" t="s">
        <v>14518</v>
      </c>
      <c r="G702" s="237" t="s">
        <v>14519</v>
      </c>
      <c r="H702" s="237" t="s">
        <v>9538</v>
      </c>
      <c r="I702" s="237" t="s">
        <v>14520</v>
      </c>
      <c r="J702" s="237" t="s">
        <v>5012</v>
      </c>
      <c r="K702" s="237" t="s">
        <v>14357</v>
      </c>
      <c r="L702" s="237" t="s">
        <v>232</v>
      </c>
      <c r="M702" s="232" t="s">
        <v>9383</v>
      </c>
      <c r="N702" s="430" t="s">
        <v>17527</v>
      </c>
    </row>
    <row r="703">
      <c r="A703" s="427">
        <v>702.0</v>
      </c>
      <c r="B703" s="237" t="s">
        <v>14739</v>
      </c>
      <c r="C703" s="237" t="s">
        <v>6918</v>
      </c>
      <c r="D703" s="428">
        <v>45048.0</v>
      </c>
      <c r="E703" s="237" t="s">
        <v>6933</v>
      </c>
      <c r="F703" s="237" t="s">
        <v>14740</v>
      </c>
      <c r="G703" s="237" t="s">
        <v>14741</v>
      </c>
      <c r="H703" s="237" t="s">
        <v>14742</v>
      </c>
      <c r="I703" s="237" t="s">
        <v>14743</v>
      </c>
      <c r="J703" s="237" t="s">
        <v>5012</v>
      </c>
      <c r="K703" s="237" t="s">
        <v>14357</v>
      </c>
      <c r="L703" s="237" t="s">
        <v>2316</v>
      </c>
      <c r="M703" s="232" t="s">
        <v>9383</v>
      </c>
      <c r="N703" s="430" t="s">
        <v>17527</v>
      </c>
    </row>
    <row r="704">
      <c r="A704" s="427">
        <v>703.0</v>
      </c>
      <c r="B704" s="237" t="s">
        <v>15600</v>
      </c>
      <c r="C704" s="237" t="s">
        <v>6918</v>
      </c>
      <c r="D704" s="428">
        <v>44805.0</v>
      </c>
      <c r="E704" s="237" t="s">
        <v>6921</v>
      </c>
      <c r="F704" s="237" t="s">
        <v>11974</v>
      </c>
      <c r="G704" s="237" t="s">
        <v>15601</v>
      </c>
      <c r="H704" s="237" t="s">
        <v>11782</v>
      </c>
      <c r="I704" s="237" t="s">
        <v>15602</v>
      </c>
      <c r="J704" s="237" t="s">
        <v>5012</v>
      </c>
      <c r="K704" s="237" t="s">
        <v>14357</v>
      </c>
      <c r="L704" s="237" t="s">
        <v>2316</v>
      </c>
      <c r="M704" s="232" t="s">
        <v>9383</v>
      </c>
      <c r="N704" s="430" t="s">
        <v>17527</v>
      </c>
    </row>
    <row r="705">
      <c r="A705" s="427">
        <v>704.0</v>
      </c>
      <c r="B705" s="237" t="s">
        <v>15765</v>
      </c>
      <c r="C705" s="237" t="s">
        <v>6918</v>
      </c>
      <c r="D705" s="428">
        <v>44013.0</v>
      </c>
      <c r="E705" s="237" t="s">
        <v>6933</v>
      </c>
      <c r="F705" s="237" t="s">
        <v>15767</v>
      </c>
      <c r="G705" s="237" t="s">
        <v>15768</v>
      </c>
      <c r="H705" s="237" t="s">
        <v>15769</v>
      </c>
      <c r="I705" s="237" t="s">
        <v>15770</v>
      </c>
      <c r="J705" s="237" t="s">
        <v>5012</v>
      </c>
      <c r="K705" s="237" t="s">
        <v>15771</v>
      </c>
      <c r="L705" s="237" t="s">
        <v>17418</v>
      </c>
      <c r="M705" s="232" t="s">
        <v>9383</v>
      </c>
      <c r="N705" s="430" t="s">
        <v>17527</v>
      </c>
    </row>
    <row r="706">
      <c r="A706" s="427">
        <v>705.0</v>
      </c>
      <c r="B706" s="237" t="s">
        <v>9445</v>
      </c>
      <c r="C706" s="237" t="s">
        <v>9438</v>
      </c>
      <c r="D706" s="428">
        <v>41421.0</v>
      </c>
      <c r="E706" s="237" t="s">
        <v>6933</v>
      </c>
      <c r="F706" s="237" t="s">
        <v>9447</v>
      </c>
      <c r="G706" s="237" t="s">
        <v>9448</v>
      </c>
      <c r="H706" s="237" t="s">
        <v>9449</v>
      </c>
      <c r="I706" s="237" t="s">
        <v>9450</v>
      </c>
      <c r="J706" s="237" t="s">
        <v>5012</v>
      </c>
      <c r="K706" s="237" t="s">
        <v>9451</v>
      </c>
      <c r="L706" s="237" t="s">
        <v>3953</v>
      </c>
      <c r="M706" s="232" t="s">
        <v>9383</v>
      </c>
      <c r="N706" s="430" t="s">
        <v>17527</v>
      </c>
    </row>
    <row r="707">
      <c r="A707" s="427">
        <v>706.0</v>
      </c>
      <c r="B707" s="237" t="s">
        <v>12386</v>
      </c>
      <c r="C707" s="237" t="s">
        <v>9157</v>
      </c>
      <c r="D707" s="428">
        <v>43084.0</v>
      </c>
      <c r="E707" s="237" t="s">
        <v>6933</v>
      </c>
      <c r="F707" s="237" t="s">
        <v>12388</v>
      </c>
      <c r="G707" s="237" t="s">
        <v>12345</v>
      </c>
      <c r="H707" s="237" t="s">
        <v>10311</v>
      </c>
      <c r="I707" s="237" t="s">
        <v>12389</v>
      </c>
      <c r="J707" s="237" t="s">
        <v>5224</v>
      </c>
      <c r="K707" s="237" t="s">
        <v>9451</v>
      </c>
      <c r="L707" s="237" t="s">
        <v>2138</v>
      </c>
      <c r="M707" s="232" t="s">
        <v>9383</v>
      </c>
      <c r="N707" s="430" t="s">
        <v>17527</v>
      </c>
    </row>
    <row r="708">
      <c r="A708" s="427">
        <v>707.0</v>
      </c>
      <c r="B708" s="237" t="s">
        <v>12360</v>
      </c>
      <c r="C708" s="237" t="s">
        <v>9157</v>
      </c>
      <c r="D708" s="428">
        <v>42996.0</v>
      </c>
      <c r="E708" s="237" t="s">
        <v>6933</v>
      </c>
      <c r="F708" s="237" t="s">
        <v>12361</v>
      </c>
      <c r="G708" s="237" t="s">
        <v>12345</v>
      </c>
      <c r="H708" s="237" t="s">
        <v>12362</v>
      </c>
      <c r="I708" s="237" t="s">
        <v>12363</v>
      </c>
      <c r="J708" s="237" t="s">
        <v>5224</v>
      </c>
      <c r="K708" s="237" t="s">
        <v>9451</v>
      </c>
      <c r="L708" s="237" t="s">
        <v>2138</v>
      </c>
      <c r="M708" s="232" t="s">
        <v>9383</v>
      </c>
      <c r="N708" s="430" t="s">
        <v>17527</v>
      </c>
    </row>
    <row r="709">
      <c r="A709" s="427">
        <v>708.0</v>
      </c>
      <c r="B709" s="237" t="s">
        <v>15472</v>
      </c>
      <c r="C709" s="237" t="s">
        <v>6918</v>
      </c>
      <c r="D709" s="428">
        <v>41801.0</v>
      </c>
      <c r="E709" s="237" t="s">
        <v>6933</v>
      </c>
      <c r="F709" s="237" t="s">
        <v>15474</v>
      </c>
      <c r="G709" s="237" t="s">
        <v>15475</v>
      </c>
      <c r="H709" s="237" t="s">
        <v>9909</v>
      </c>
      <c r="I709" s="237" t="s">
        <v>15476</v>
      </c>
      <c r="J709" s="237" t="s">
        <v>5224</v>
      </c>
      <c r="K709" s="237" t="s">
        <v>9451</v>
      </c>
      <c r="L709" s="237" t="s">
        <v>2138</v>
      </c>
      <c r="M709" s="232" t="s">
        <v>9383</v>
      </c>
      <c r="N709" s="430" t="s">
        <v>17527</v>
      </c>
    </row>
    <row r="710">
      <c r="A710" s="427">
        <v>709.0</v>
      </c>
      <c r="B710" s="237" t="s">
        <v>3213</v>
      </c>
      <c r="C710" s="237" t="s">
        <v>16470</v>
      </c>
      <c r="D710" s="428">
        <v>43171.0</v>
      </c>
      <c r="E710" s="237" t="s">
        <v>6933</v>
      </c>
      <c r="F710" s="237" t="s">
        <v>17651</v>
      </c>
      <c r="G710" s="237" t="s">
        <v>17652</v>
      </c>
      <c r="H710" s="237" t="s">
        <v>17651</v>
      </c>
      <c r="I710" s="237" t="s">
        <v>17653</v>
      </c>
      <c r="J710" s="237" t="s">
        <v>5012</v>
      </c>
      <c r="K710" s="237" t="s">
        <v>9451</v>
      </c>
      <c r="L710" s="237" t="s">
        <v>16463</v>
      </c>
      <c r="M710" s="232" t="s">
        <v>9383</v>
      </c>
      <c r="N710" s="430" t="s">
        <v>17527</v>
      </c>
    </row>
    <row r="711">
      <c r="A711" s="427">
        <v>710.0</v>
      </c>
      <c r="B711" s="237" t="s">
        <v>12364</v>
      </c>
      <c r="C711" s="237" t="s">
        <v>9157</v>
      </c>
      <c r="D711" s="428">
        <v>43045.0</v>
      </c>
      <c r="E711" s="237" t="s">
        <v>6933</v>
      </c>
      <c r="F711" s="237" t="s">
        <v>9694</v>
      </c>
      <c r="G711" s="237" t="s">
        <v>12366</v>
      </c>
      <c r="H711" s="237" t="s">
        <v>9694</v>
      </c>
      <c r="I711" s="237" t="s">
        <v>12367</v>
      </c>
      <c r="J711" s="237" t="s">
        <v>5224</v>
      </c>
      <c r="K711" s="237" t="s">
        <v>12368</v>
      </c>
      <c r="L711" s="237" t="s">
        <v>2138</v>
      </c>
      <c r="M711" s="232" t="s">
        <v>9383</v>
      </c>
      <c r="N711" s="430" t="s">
        <v>17527</v>
      </c>
    </row>
    <row r="712">
      <c r="A712" s="427">
        <v>711.0</v>
      </c>
      <c r="B712" s="237" t="s">
        <v>9069</v>
      </c>
      <c r="C712" s="237" t="s">
        <v>6918</v>
      </c>
      <c r="D712" s="428">
        <v>44655.0</v>
      </c>
      <c r="E712" s="237" t="s">
        <v>6933</v>
      </c>
      <c r="F712" s="237" t="s">
        <v>13721</v>
      </c>
      <c r="G712" s="237" t="s">
        <v>13724</v>
      </c>
      <c r="H712" s="237" t="s">
        <v>12633</v>
      </c>
      <c r="I712" s="237" t="s">
        <v>13725</v>
      </c>
      <c r="J712" s="237" t="s">
        <v>5224</v>
      </c>
      <c r="K712" s="237" t="s">
        <v>13726</v>
      </c>
      <c r="L712" s="237" t="s">
        <v>2508</v>
      </c>
      <c r="M712" s="232" t="s">
        <v>9383</v>
      </c>
      <c r="N712" s="430" t="s">
        <v>17527</v>
      </c>
    </row>
    <row r="713">
      <c r="A713" s="427">
        <v>712.0</v>
      </c>
      <c r="B713" s="237" t="s">
        <v>9076</v>
      </c>
      <c r="C713" s="237" t="s">
        <v>6918</v>
      </c>
      <c r="D713" s="428">
        <v>45110.0</v>
      </c>
      <c r="E713" s="237" t="s">
        <v>6933</v>
      </c>
      <c r="F713" s="237" t="s">
        <v>14390</v>
      </c>
      <c r="G713" s="237" t="s">
        <v>14391</v>
      </c>
      <c r="H713" s="237" t="s">
        <v>11900</v>
      </c>
      <c r="I713" s="237" t="s">
        <v>14392</v>
      </c>
      <c r="J713" s="237" t="s">
        <v>5224</v>
      </c>
      <c r="K713" s="237" t="s">
        <v>13726</v>
      </c>
      <c r="L713" s="237" t="s">
        <v>2508</v>
      </c>
      <c r="M713" s="232" t="s">
        <v>9383</v>
      </c>
      <c r="N713" s="430" t="s">
        <v>17527</v>
      </c>
    </row>
    <row r="714">
      <c r="A714" s="427">
        <v>713.0</v>
      </c>
      <c r="B714" s="237" t="s">
        <v>12316</v>
      </c>
      <c r="C714" s="237" t="s">
        <v>7505</v>
      </c>
      <c r="D714" s="428">
        <v>34711.0</v>
      </c>
      <c r="E714" s="237" t="s">
        <v>9496</v>
      </c>
      <c r="F714" s="237" t="s">
        <v>12318</v>
      </c>
      <c r="G714" s="237" t="s">
        <v>12319</v>
      </c>
      <c r="H714" s="237" t="s">
        <v>10244</v>
      </c>
      <c r="I714" s="237" t="s">
        <v>12320</v>
      </c>
      <c r="J714" s="237" t="s">
        <v>5224</v>
      </c>
      <c r="K714" s="237" t="s">
        <v>12321</v>
      </c>
      <c r="L714" s="237" t="s">
        <v>8609</v>
      </c>
      <c r="M714" s="232" t="s">
        <v>9383</v>
      </c>
      <c r="N714" s="430" t="s">
        <v>17527</v>
      </c>
    </row>
    <row r="715">
      <c r="A715" s="427">
        <v>714.0</v>
      </c>
      <c r="B715" s="237" t="s">
        <v>14172</v>
      </c>
      <c r="C715" s="237" t="s">
        <v>6918</v>
      </c>
      <c r="D715" s="428">
        <v>45292.0</v>
      </c>
      <c r="E715" s="237" t="s">
        <v>6921</v>
      </c>
      <c r="F715" s="237" t="s">
        <v>14174</v>
      </c>
      <c r="G715" s="237" t="s">
        <v>14175</v>
      </c>
      <c r="H715" s="231"/>
      <c r="I715" s="231"/>
      <c r="J715" s="237" t="s">
        <v>5224</v>
      </c>
      <c r="K715" s="237" t="s">
        <v>12321</v>
      </c>
      <c r="L715" s="237" t="s">
        <v>8655</v>
      </c>
      <c r="M715" s="232" t="s">
        <v>9383</v>
      </c>
      <c r="N715" s="430" t="s">
        <v>17527</v>
      </c>
    </row>
    <row r="716">
      <c r="A716" s="427">
        <v>715.0</v>
      </c>
      <c r="B716" s="237" t="s">
        <v>14484</v>
      </c>
      <c r="C716" s="237" t="s">
        <v>6918</v>
      </c>
      <c r="D716" s="428">
        <v>36800.0</v>
      </c>
      <c r="E716" s="237" t="s">
        <v>6933</v>
      </c>
      <c r="F716" s="237" t="s">
        <v>14486</v>
      </c>
      <c r="G716" s="237" t="s">
        <v>14487</v>
      </c>
      <c r="H716" s="231"/>
      <c r="I716" s="231"/>
      <c r="J716" s="237" t="s">
        <v>5224</v>
      </c>
      <c r="K716" s="237" t="s">
        <v>12321</v>
      </c>
      <c r="L716" s="237" t="s">
        <v>8609</v>
      </c>
      <c r="M716" s="232" t="s">
        <v>9391</v>
      </c>
      <c r="N716" s="430" t="s">
        <v>17527</v>
      </c>
    </row>
    <row r="717">
      <c r="A717" s="427">
        <v>716.0</v>
      </c>
      <c r="B717" s="237" t="s">
        <v>17654</v>
      </c>
      <c r="C717" s="237" t="s">
        <v>6918</v>
      </c>
      <c r="D717" s="428">
        <v>45292.0</v>
      </c>
      <c r="E717" s="237" t="s">
        <v>6933</v>
      </c>
      <c r="F717" s="237" t="s">
        <v>17655</v>
      </c>
      <c r="G717" s="237" t="s">
        <v>17656</v>
      </c>
      <c r="H717" s="231"/>
      <c r="I717" s="231"/>
      <c r="J717" s="237" t="s">
        <v>5224</v>
      </c>
      <c r="K717" s="237" t="s">
        <v>12321</v>
      </c>
      <c r="L717" s="237" t="s">
        <v>8609</v>
      </c>
      <c r="M717" s="232" t="s">
        <v>9391</v>
      </c>
      <c r="N717" s="430" t="s">
        <v>17527</v>
      </c>
    </row>
    <row r="718">
      <c r="A718" s="427">
        <v>717.0</v>
      </c>
      <c r="B718" s="237" t="s">
        <v>14875</v>
      </c>
      <c r="C718" s="237" t="s">
        <v>6918</v>
      </c>
      <c r="D718" s="428">
        <v>45292.0</v>
      </c>
      <c r="E718" s="237" t="s">
        <v>7239</v>
      </c>
      <c r="F718" s="237" t="s">
        <v>14876</v>
      </c>
      <c r="G718" s="237" t="s">
        <v>14877</v>
      </c>
      <c r="H718" s="231"/>
      <c r="I718" s="231"/>
      <c r="J718" s="237" t="s">
        <v>5224</v>
      </c>
      <c r="K718" s="237" t="s">
        <v>12321</v>
      </c>
      <c r="L718" s="237" t="s">
        <v>8655</v>
      </c>
      <c r="M718" s="232" t="s">
        <v>9391</v>
      </c>
      <c r="N718" s="430" t="s">
        <v>17527</v>
      </c>
    </row>
    <row r="719">
      <c r="A719" s="427">
        <v>718.0</v>
      </c>
      <c r="B719" s="237" t="s">
        <v>16439</v>
      </c>
      <c r="C719" s="237" t="s">
        <v>8647</v>
      </c>
      <c r="D719" s="428">
        <v>35728.0</v>
      </c>
      <c r="E719" s="237" t="s">
        <v>7239</v>
      </c>
      <c r="F719" s="237" t="s">
        <v>16441</v>
      </c>
      <c r="G719" s="237" t="s">
        <v>16442</v>
      </c>
      <c r="H719" s="237" t="s">
        <v>10732</v>
      </c>
      <c r="I719" s="237" t="s">
        <v>16443</v>
      </c>
      <c r="J719" s="237" t="s">
        <v>5012</v>
      </c>
      <c r="K719" s="237" t="s">
        <v>12321</v>
      </c>
      <c r="L719" s="237" t="s">
        <v>8609</v>
      </c>
      <c r="M719" s="232" t="s">
        <v>9383</v>
      </c>
      <c r="N719" s="430" t="s">
        <v>17527</v>
      </c>
    </row>
    <row r="720">
      <c r="A720" s="427">
        <v>719.0</v>
      </c>
      <c r="B720" s="237" t="s">
        <v>8607</v>
      </c>
      <c r="C720" s="237" t="s">
        <v>6918</v>
      </c>
      <c r="D720" s="428">
        <v>29952.0</v>
      </c>
      <c r="E720" s="237" t="s">
        <v>6933</v>
      </c>
      <c r="F720" s="237" t="s">
        <v>10967</v>
      </c>
      <c r="G720" s="237" t="s">
        <v>9498</v>
      </c>
      <c r="H720" s="231"/>
      <c r="I720" s="237" t="s">
        <v>14033</v>
      </c>
      <c r="J720" s="237" t="s">
        <v>5224</v>
      </c>
      <c r="K720" s="237" t="s">
        <v>14034</v>
      </c>
      <c r="L720" s="237" t="s">
        <v>8609</v>
      </c>
      <c r="M720" s="232" t="s">
        <v>9383</v>
      </c>
      <c r="N720" s="430" t="s">
        <v>17527</v>
      </c>
    </row>
    <row r="721">
      <c r="A721" s="427">
        <v>720.0</v>
      </c>
      <c r="B721" s="237" t="s">
        <v>6510</v>
      </c>
      <c r="C721" s="237" t="s">
        <v>6918</v>
      </c>
      <c r="D721" s="428">
        <v>40603.0</v>
      </c>
      <c r="E721" s="237" t="s">
        <v>6921</v>
      </c>
      <c r="F721" s="237" t="s">
        <v>17657</v>
      </c>
      <c r="G721" s="237" t="s">
        <v>17658</v>
      </c>
      <c r="H721" s="237" t="s">
        <v>11177</v>
      </c>
      <c r="I721" s="237" t="s">
        <v>6513</v>
      </c>
      <c r="J721" s="237" t="s">
        <v>5224</v>
      </c>
      <c r="K721" s="237" t="s">
        <v>17659</v>
      </c>
      <c r="L721" s="237" t="s">
        <v>2269</v>
      </c>
      <c r="M721" s="232" t="s">
        <v>9383</v>
      </c>
      <c r="N721" s="430" t="s">
        <v>17527</v>
      </c>
    </row>
    <row r="722">
      <c r="A722" s="427">
        <v>721.0</v>
      </c>
      <c r="B722" s="237" t="s">
        <v>8442</v>
      </c>
      <c r="C722" s="237" t="s">
        <v>6918</v>
      </c>
      <c r="D722" s="428">
        <v>44837.0</v>
      </c>
      <c r="E722" s="237" t="s">
        <v>6933</v>
      </c>
      <c r="F722" s="237" t="s">
        <v>13942</v>
      </c>
      <c r="G722" s="237" t="s">
        <v>13943</v>
      </c>
      <c r="H722" s="237" t="s">
        <v>13944</v>
      </c>
      <c r="I722" s="237" t="s">
        <v>13945</v>
      </c>
      <c r="J722" s="237" t="s">
        <v>5224</v>
      </c>
      <c r="K722" s="237" t="s">
        <v>17659</v>
      </c>
      <c r="L722" s="237" t="s">
        <v>1393</v>
      </c>
      <c r="M722" s="232" t="s">
        <v>9383</v>
      </c>
      <c r="N722" s="430" t="s">
        <v>17527</v>
      </c>
    </row>
    <row r="723">
      <c r="A723" s="427">
        <v>722.0</v>
      </c>
      <c r="B723" s="237" t="s">
        <v>9320</v>
      </c>
      <c r="C723" s="237" t="s">
        <v>8796</v>
      </c>
      <c r="D723" s="428">
        <v>44516.0</v>
      </c>
      <c r="E723" s="237" t="s">
        <v>6921</v>
      </c>
      <c r="F723" s="237" t="s">
        <v>9542</v>
      </c>
      <c r="G723" s="237" t="s">
        <v>9543</v>
      </c>
      <c r="H723" s="237" t="s">
        <v>9544</v>
      </c>
      <c r="I723" s="237" t="s">
        <v>9545</v>
      </c>
      <c r="J723" s="237" t="s">
        <v>5224</v>
      </c>
      <c r="K723" s="237" t="s">
        <v>4749</v>
      </c>
      <c r="L723" s="237" t="s">
        <v>9322</v>
      </c>
      <c r="M723" s="232" t="s">
        <v>9383</v>
      </c>
      <c r="N723" s="430" t="s">
        <v>17527</v>
      </c>
    </row>
    <row r="724">
      <c r="A724" s="427">
        <v>723.0</v>
      </c>
      <c r="B724" s="237" t="s">
        <v>9705</v>
      </c>
      <c r="C724" s="237" t="s">
        <v>8796</v>
      </c>
      <c r="D724" s="428">
        <v>44648.0</v>
      </c>
      <c r="E724" s="237" t="s">
        <v>6921</v>
      </c>
      <c r="F724" s="237" t="s">
        <v>9707</v>
      </c>
      <c r="G724" s="237" t="s">
        <v>9708</v>
      </c>
      <c r="H724" s="237" t="s">
        <v>9709</v>
      </c>
      <c r="I724" s="237" t="s">
        <v>9710</v>
      </c>
      <c r="J724" s="237" t="s">
        <v>5012</v>
      </c>
      <c r="K724" s="237" t="s">
        <v>4749</v>
      </c>
      <c r="L724" s="237" t="s">
        <v>17387</v>
      </c>
      <c r="M724" s="232" t="s">
        <v>9383</v>
      </c>
      <c r="N724" s="430" t="s">
        <v>17527</v>
      </c>
    </row>
    <row r="725">
      <c r="A725" s="427">
        <v>724.0</v>
      </c>
      <c r="B725" s="237" t="s">
        <v>4299</v>
      </c>
      <c r="C725" s="237" t="s">
        <v>8796</v>
      </c>
      <c r="D725" s="428">
        <v>44410.0</v>
      </c>
      <c r="E725" s="237" t="s">
        <v>6921</v>
      </c>
      <c r="F725" s="237" t="s">
        <v>17317</v>
      </c>
      <c r="G725" s="237" t="s">
        <v>17318</v>
      </c>
      <c r="H725" s="237" t="s">
        <v>10193</v>
      </c>
      <c r="I725" s="237" t="s">
        <v>6814</v>
      </c>
      <c r="J725" s="237" t="s">
        <v>5224</v>
      </c>
      <c r="K725" s="237" t="s">
        <v>4749</v>
      </c>
      <c r="L725" s="237" t="s">
        <v>3910</v>
      </c>
      <c r="M725" s="232" t="s">
        <v>9383</v>
      </c>
      <c r="N725" s="430" t="s">
        <v>17527</v>
      </c>
    </row>
    <row r="726">
      <c r="A726" s="427">
        <v>725.0</v>
      </c>
      <c r="B726" s="237" t="s">
        <v>9267</v>
      </c>
      <c r="C726" s="237" t="s">
        <v>8796</v>
      </c>
      <c r="D726" s="428">
        <v>43969.0</v>
      </c>
      <c r="E726" s="237" t="s">
        <v>6921</v>
      </c>
      <c r="F726" s="237" t="s">
        <v>9959</v>
      </c>
      <c r="G726" s="237" t="s">
        <v>9960</v>
      </c>
      <c r="H726" s="237" t="s">
        <v>9961</v>
      </c>
      <c r="I726" s="237" t="s">
        <v>9962</v>
      </c>
      <c r="J726" s="237" t="s">
        <v>5224</v>
      </c>
      <c r="K726" s="237" t="s">
        <v>4749</v>
      </c>
      <c r="L726" s="237" t="s">
        <v>3179</v>
      </c>
      <c r="M726" s="232" t="s">
        <v>9383</v>
      </c>
      <c r="N726" s="430" t="s">
        <v>17527</v>
      </c>
    </row>
    <row r="727">
      <c r="A727" s="427">
        <v>726.0</v>
      </c>
      <c r="B727" s="237" t="s">
        <v>9593</v>
      </c>
      <c r="C727" s="237" t="s">
        <v>8796</v>
      </c>
      <c r="D727" s="428">
        <v>44287.0</v>
      </c>
      <c r="E727" s="237" t="s">
        <v>6933</v>
      </c>
      <c r="F727" s="237" t="s">
        <v>9595</v>
      </c>
      <c r="G727" s="237" t="s">
        <v>9596</v>
      </c>
      <c r="H727" s="237" t="s">
        <v>9597</v>
      </c>
      <c r="I727" s="237" t="s">
        <v>9598</v>
      </c>
      <c r="J727" s="237" t="s">
        <v>5224</v>
      </c>
      <c r="K727" s="237" t="s">
        <v>4749</v>
      </c>
      <c r="L727" s="237" t="s">
        <v>17448</v>
      </c>
      <c r="M727" s="232" t="s">
        <v>9383</v>
      </c>
      <c r="N727" s="430" t="s">
        <v>17527</v>
      </c>
    </row>
    <row r="728">
      <c r="A728" s="427">
        <v>727.0</v>
      </c>
      <c r="B728" s="237" t="s">
        <v>10089</v>
      </c>
      <c r="C728" s="237" t="s">
        <v>10040</v>
      </c>
      <c r="D728" s="428">
        <v>45705.0</v>
      </c>
      <c r="E728" s="237" t="s">
        <v>6933</v>
      </c>
      <c r="F728" s="237" t="s">
        <v>10091</v>
      </c>
      <c r="G728" s="237" t="s">
        <v>10092</v>
      </c>
      <c r="H728" s="237" t="s">
        <v>10093</v>
      </c>
      <c r="I728" s="237" t="s">
        <v>10094</v>
      </c>
      <c r="J728" s="237" t="s">
        <v>5224</v>
      </c>
      <c r="K728" s="237" t="s">
        <v>4749</v>
      </c>
      <c r="L728" s="237" t="s">
        <v>2831</v>
      </c>
      <c r="M728" s="232" t="s">
        <v>9391</v>
      </c>
      <c r="N728" s="430" t="s">
        <v>17527</v>
      </c>
    </row>
    <row r="729">
      <c r="A729" s="427">
        <v>728.0</v>
      </c>
      <c r="B729" s="237" t="s">
        <v>10184</v>
      </c>
      <c r="C729" s="237" t="s">
        <v>10103</v>
      </c>
      <c r="D729" s="428">
        <v>40911.0</v>
      </c>
      <c r="E729" s="237" t="s">
        <v>6933</v>
      </c>
      <c r="F729" s="237" t="s">
        <v>10186</v>
      </c>
      <c r="G729" s="237" t="s">
        <v>10187</v>
      </c>
      <c r="H729" s="237" t="s">
        <v>10135</v>
      </c>
      <c r="I729" s="237" t="s">
        <v>10188</v>
      </c>
      <c r="J729" s="237" t="s">
        <v>5224</v>
      </c>
      <c r="K729" s="237" t="s">
        <v>4749</v>
      </c>
      <c r="L729" s="237" t="s">
        <v>10127</v>
      </c>
      <c r="M729" s="232" t="s">
        <v>9383</v>
      </c>
      <c r="N729" s="430" t="s">
        <v>17527</v>
      </c>
    </row>
    <row r="730">
      <c r="A730" s="427">
        <v>729.0</v>
      </c>
      <c r="B730" s="237" t="s">
        <v>10607</v>
      </c>
      <c r="C730" s="237" t="s">
        <v>10103</v>
      </c>
      <c r="D730" s="428">
        <v>45764.0</v>
      </c>
      <c r="E730" s="237" t="s">
        <v>6933</v>
      </c>
      <c r="F730" s="237" t="s">
        <v>10609</v>
      </c>
      <c r="G730" s="237" t="s">
        <v>10610</v>
      </c>
      <c r="H730" s="237" t="s">
        <v>9940</v>
      </c>
      <c r="I730" s="237" t="s">
        <v>10611</v>
      </c>
      <c r="J730" s="237" t="s">
        <v>5224</v>
      </c>
      <c r="K730" s="237" t="s">
        <v>4749</v>
      </c>
      <c r="L730" s="237" t="s">
        <v>2677</v>
      </c>
      <c r="M730" s="232" t="s">
        <v>9391</v>
      </c>
      <c r="N730" s="430" t="s">
        <v>17527</v>
      </c>
    </row>
    <row r="731">
      <c r="A731" s="427">
        <v>730.0</v>
      </c>
      <c r="B731" s="237" t="s">
        <v>11095</v>
      </c>
      <c r="C731" s="237" t="s">
        <v>10103</v>
      </c>
      <c r="D731" s="428">
        <v>44200.0</v>
      </c>
      <c r="E731" s="237" t="s">
        <v>6921</v>
      </c>
      <c r="F731" s="237" t="s">
        <v>11096</v>
      </c>
      <c r="G731" s="237" t="s">
        <v>10775</v>
      </c>
      <c r="H731" s="237" t="s">
        <v>10145</v>
      </c>
      <c r="I731" s="237" t="s">
        <v>11097</v>
      </c>
      <c r="J731" s="237" t="s">
        <v>5224</v>
      </c>
      <c r="K731" s="237" t="s">
        <v>4749</v>
      </c>
      <c r="L731" s="237" t="s">
        <v>5805</v>
      </c>
      <c r="M731" s="232" t="s">
        <v>9383</v>
      </c>
      <c r="N731" s="430" t="s">
        <v>17527</v>
      </c>
    </row>
    <row r="732">
      <c r="A732" s="427">
        <v>731.0</v>
      </c>
      <c r="B732" s="237" t="s">
        <v>11191</v>
      </c>
      <c r="C732" s="237" t="s">
        <v>10103</v>
      </c>
      <c r="D732" s="428">
        <v>45140.0</v>
      </c>
      <c r="E732" s="237" t="s">
        <v>6933</v>
      </c>
      <c r="F732" s="237" t="s">
        <v>11192</v>
      </c>
      <c r="G732" s="237" t="s">
        <v>11193</v>
      </c>
      <c r="H732" s="237" t="s">
        <v>11194</v>
      </c>
      <c r="I732" s="237" t="s">
        <v>11195</v>
      </c>
      <c r="J732" s="237" t="s">
        <v>5224</v>
      </c>
      <c r="K732" s="237" t="s">
        <v>4749</v>
      </c>
      <c r="L732" s="237" t="s">
        <v>17471</v>
      </c>
      <c r="M732" s="232" t="s">
        <v>9383</v>
      </c>
      <c r="N732" s="430" t="s">
        <v>17527</v>
      </c>
    </row>
    <row r="733">
      <c r="A733" s="427">
        <v>732.0</v>
      </c>
      <c r="B733" s="237" t="s">
        <v>12039</v>
      </c>
      <c r="C733" s="237" t="s">
        <v>10103</v>
      </c>
      <c r="D733" s="428">
        <v>40940.0</v>
      </c>
      <c r="E733" s="237" t="s">
        <v>6921</v>
      </c>
      <c r="F733" s="237" t="s">
        <v>12041</v>
      </c>
      <c r="G733" s="237" t="s">
        <v>12042</v>
      </c>
      <c r="H733" s="237" t="s">
        <v>9413</v>
      </c>
      <c r="I733" s="237" t="s">
        <v>12043</v>
      </c>
      <c r="J733" s="237" t="s">
        <v>5224</v>
      </c>
      <c r="K733" s="237" t="s">
        <v>4749</v>
      </c>
      <c r="L733" s="237" t="s">
        <v>10127</v>
      </c>
      <c r="M733" s="232" t="s">
        <v>9383</v>
      </c>
      <c r="N733" s="430" t="s">
        <v>17527</v>
      </c>
    </row>
    <row r="734">
      <c r="A734" s="427">
        <v>733.0</v>
      </c>
      <c r="B734" s="237" t="s">
        <v>4085</v>
      </c>
      <c r="C734" s="237" t="s">
        <v>10103</v>
      </c>
      <c r="D734" s="428">
        <v>45566.0</v>
      </c>
      <c r="E734" s="237" t="s">
        <v>6933</v>
      </c>
      <c r="F734" s="237" t="s">
        <v>17660</v>
      </c>
      <c r="G734" s="237" t="s">
        <v>17661</v>
      </c>
      <c r="H734" s="237" t="s">
        <v>17662</v>
      </c>
      <c r="I734" s="237" t="s">
        <v>6758</v>
      </c>
      <c r="J734" s="237" t="s">
        <v>5224</v>
      </c>
      <c r="K734" s="237" t="s">
        <v>4749</v>
      </c>
      <c r="L734" s="237" t="s">
        <v>10127</v>
      </c>
      <c r="M734" s="232" t="s">
        <v>9391</v>
      </c>
      <c r="N734" s="430" t="s">
        <v>17527</v>
      </c>
    </row>
    <row r="735">
      <c r="A735" s="427">
        <v>734.0</v>
      </c>
      <c r="B735" s="237" t="s">
        <v>4008</v>
      </c>
      <c r="C735" s="237" t="s">
        <v>10103</v>
      </c>
      <c r="D735" s="428">
        <v>40217.0</v>
      </c>
      <c r="E735" s="237" t="s">
        <v>6921</v>
      </c>
      <c r="F735" s="237" t="s">
        <v>17663</v>
      </c>
      <c r="G735" s="237" t="s">
        <v>17664</v>
      </c>
      <c r="H735" s="237" t="s">
        <v>17665</v>
      </c>
      <c r="I735" s="237" t="s">
        <v>6734</v>
      </c>
      <c r="J735" s="237" t="s">
        <v>5224</v>
      </c>
      <c r="K735" s="237" t="s">
        <v>4749</v>
      </c>
      <c r="L735" s="237" t="s">
        <v>54</v>
      </c>
      <c r="M735" s="232" t="s">
        <v>9383</v>
      </c>
      <c r="N735" s="430" t="s">
        <v>17527</v>
      </c>
    </row>
    <row r="736">
      <c r="A736" s="427">
        <v>735.0</v>
      </c>
      <c r="B736" s="237" t="s">
        <v>17666</v>
      </c>
      <c r="C736" s="237" t="s">
        <v>10103</v>
      </c>
      <c r="D736" s="428">
        <v>45764.0</v>
      </c>
      <c r="E736" s="237" t="s">
        <v>6933</v>
      </c>
      <c r="F736" s="237" t="s">
        <v>11627</v>
      </c>
      <c r="G736" s="237" t="s">
        <v>12485</v>
      </c>
      <c r="H736" s="237" t="s">
        <v>10150</v>
      </c>
      <c r="I736" s="237" t="s">
        <v>12486</v>
      </c>
      <c r="J736" s="237" t="s">
        <v>5224</v>
      </c>
      <c r="K736" s="237" t="s">
        <v>4749</v>
      </c>
      <c r="L736" s="237" t="s">
        <v>17486</v>
      </c>
      <c r="M736" s="232" t="s">
        <v>9391</v>
      </c>
      <c r="N736" s="430" t="s">
        <v>17527</v>
      </c>
    </row>
    <row r="737">
      <c r="A737" s="427">
        <v>736.0</v>
      </c>
      <c r="B737" s="237" t="s">
        <v>11791</v>
      </c>
      <c r="C737" s="237" t="s">
        <v>10103</v>
      </c>
      <c r="D737" s="428">
        <v>44579.0</v>
      </c>
      <c r="E737" s="237" t="s">
        <v>6933</v>
      </c>
      <c r="F737" s="237" t="s">
        <v>11786</v>
      </c>
      <c r="G737" s="237" t="s">
        <v>11793</v>
      </c>
      <c r="H737" s="237" t="s">
        <v>10765</v>
      </c>
      <c r="I737" s="237" t="s">
        <v>11794</v>
      </c>
      <c r="J737" s="237" t="s">
        <v>5224</v>
      </c>
      <c r="K737" s="237" t="s">
        <v>4749</v>
      </c>
      <c r="L737" s="237" t="s">
        <v>10095</v>
      </c>
      <c r="M737" s="232" t="s">
        <v>9383</v>
      </c>
      <c r="N737" s="430" t="s">
        <v>17527</v>
      </c>
    </row>
    <row r="738">
      <c r="A738" s="427">
        <v>737.0</v>
      </c>
      <c r="B738" s="237" t="s">
        <v>10539</v>
      </c>
      <c r="C738" s="237" t="s">
        <v>10103</v>
      </c>
      <c r="D738" s="428">
        <v>41276.0</v>
      </c>
      <c r="E738" s="237" t="s">
        <v>6921</v>
      </c>
      <c r="F738" s="237" t="s">
        <v>10541</v>
      </c>
      <c r="G738" s="237" t="s">
        <v>10223</v>
      </c>
      <c r="H738" s="237" t="s">
        <v>9789</v>
      </c>
      <c r="I738" s="237" t="s">
        <v>10542</v>
      </c>
      <c r="J738" s="237" t="s">
        <v>5012</v>
      </c>
      <c r="K738" s="237" t="s">
        <v>4749</v>
      </c>
      <c r="L738" s="237" t="s">
        <v>566</v>
      </c>
      <c r="M738" s="232" t="s">
        <v>9383</v>
      </c>
      <c r="N738" s="430" t="s">
        <v>17527</v>
      </c>
    </row>
    <row r="739">
      <c r="A739" s="427">
        <v>738.0</v>
      </c>
      <c r="B739" s="237" t="s">
        <v>12425</v>
      </c>
      <c r="C739" s="237" t="s">
        <v>12420</v>
      </c>
      <c r="D739" s="428">
        <v>45523.0</v>
      </c>
      <c r="E739" s="237" t="s">
        <v>6933</v>
      </c>
      <c r="F739" s="237" t="s">
        <v>12427</v>
      </c>
      <c r="G739" s="237" t="s">
        <v>12428</v>
      </c>
      <c r="H739" s="237" t="s">
        <v>10441</v>
      </c>
      <c r="I739" s="237" t="s">
        <v>5124</v>
      </c>
      <c r="J739" s="237" t="s">
        <v>5012</v>
      </c>
      <c r="K739" s="237" t="s">
        <v>4749</v>
      </c>
      <c r="L739" s="237" t="s">
        <v>5834</v>
      </c>
      <c r="M739" s="232" t="s">
        <v>9383</v>
      </c>
      <c r="N739" s="430" t="s">
        <v>17527</v>
      </c>
    </row>
    <row r="740">
      <c r="A740" s="427">
        <v>739.0</v>
      </c>
      <c r="B740" s="237" t="s">
        <v>12514</v>
      </c>
      <c r="C740" s="237" t="s">
        <v>1652</v>
      </c>
      <c r="D740" s="428">
        <v>45460.0</v>
      </c>
      <c r="E740" s="237" t="s">
        <v>6933</v>
      </c>
      <c r="F740" s="237" t="s">
        <v>12515</v>
      </c>
      <c r="G740" s="237" t="s">
        <v>12516</v>
      </c>
      <c r="H740" s="237" t="s">
        <v>9526</v>
      </c>
      <c r="I740" s="237" t="s">
        <v>12517</v>
      </c>
      <c r="J740" s="237" t="s">
        <v>5012</v>
      </c>
      <c r="K740" s="237" t="s">
        <v>4749</v>
      </c>
      <c r="L740" s="237" t="s">
        <v>4319</v>
      </c>
      <c r="M740" s="232" t="s">
        <v>9383</v>
      </c>
      <c r="N740" s="430" t="s">
        <v>17527</v>
      </c>
    </row>
    <row r="741">
      <c r="A741" s="427">
        <v>740.0</v>
      </c>
      <c r="B741" s="237" t="s">
        <v>7282</v>
      </c>
      <c r="C741" s="237" t="s">
        <v>7277</v>
      </c>
      <c r="D741" s="428">
        <v>40834.0</v>
      </c>
      <c r="E741" s="237" t="s">
        <v>6933</v>
      </c>
      <c r="F741" s="237" t="s">
        <v>10036</v>
      </c>
      <c r="G741" s="237" t="s">
        <v>12735</v>
      </c>
      <c r="H741" s="237" t="s">
        <v>10038</v>
      </c>
      <c r="I741" s="237" t="s">
        <v>5889</v>
      </c>
      <c r="J741" s="237" t="s">
        <v>5224</v>
      </c>
      <c r="K741" s="237" t="s">
        <v>4749</v>
      </c>
      <c r="L741" s="237" t="s">
        <v>3786</v>
      </c>
      <c r="M741" s="232" t="s">
        <v>9383</v>
      </c>
      <c r="N741" s="430" t="s">
        <v>17527</v>
      </c>
    </row>
    <row r="742">
      <c r="A742" s="427">
        <v>741.0</v>
      </c>
      <c r="B742" s="237" t="s">
        <v>2442</v>
      </c>
      <c r="C742" s="237" t="s">
        <v>7277</v>
      </c>
      <c r="D742" s="428">
        <v>45537.0</v>
      </c>
      <c r="E742" s="237" t="s">
        <v>6933</v>
      </c>
      <c r="F742" s="237" t="s">
        <v>10310</v>
      </c>
      <c r="G742" s="237" t="s">
        <v>17667</v>
      </c>
      <c r="H742" s="237" t="s">
        <v>10952</v>
      </c>
      <c r="I742" s="237" t="s">
        <v>6172</v>
      </c>
      <c r="J742" s="237" t="s">
        <v>5224</v>
      </c>
      <c r="K742" s="237" t="s">
        <v>4749</v>
      </c>
      <c r="L742" s="237" t="s">
        <v>2444</v>
      </c>
      <c r="M742" s="232" t="s">
        <v>9391</v>
      </c>
      <c r="N742" s="430" t="s">
        <v>17527</v>
      </c>
    </row>
    <row r="743">
      <c r="A743" s="427">
        <v>742.0</v>
      </c>
      <c r="B743" s="237" t="s">
        <v>7292</v>
      </c>
      <c r="C743" s="237" t="s">
        <v>7277</v>
      </c>
      <c r="D743" s="428">
        <v>41761.0</v>
      </c>
      <c r="E743" s="237" t="s">
        <v>6933</v>
      </c>
      <c r="F743" s="237" t="s">
        <v>12731</v>
      </c>
      <c r="G743" s="237" t="s">
        <v>12732</v>
      </c>
      <c r="H743" s="237" t="s">
        <v>11520</v>
      </c>
      <c r="I743" s="237" t="s">
        <v>12733</v>
      </c>
      <c r="J743" s="237" t="s">
        <v>5224</v>
      </c>
      <c r="K743" s="237" t="s">
        <v>4749</v>
      </c>
      <c r="L743" s="237" t="s">
        <v>3786</v>
      </c>
      <c r="M743" s="232" t="s">
        <v>9383</v>
      </c>
      <c r="N743" s="430" t="s">
        <v>17527</v>
      </c>
    </row>
    <row r="744">
      <c r="A744" s="427">
        <v>743.0</v>
      </c>
      <c r="B744" s="237" t="s">
        <v>12629</v>
      </c>
      <c r="C744" s="237" t="s">
        <v>7277</v>
      </c>
      <c r="D744" s="428">
        <v>45167.0</v>
      </c>
      <c r="E744" s="237" t="s">
        <v>6933</v>
      </c>
      <c r="F744" s="237" t="s">
        <v>12631</v>
      </c>
      <c r="G744" s="237" t="s">
        <v>12632</v>
      </c>
      <c r="H744" s="237" t="s">
        <v>12633</v>
      </c>
      <c r="I744" s="237" t="s">
        <v>6355</v>
      </c>
      <c r="J744" s="237" t="s">
        <v>5224</v>
      </c>
      <c r="K744" s="237" t="s">
        <v>4749</v>
      </c>
      <c r="L744" s="237" t="s">
        <v>290</v>
      </c>
      <c r="M744" s="232" t="s">
        <v>9383</v>
      </c>
      <c r="N744" s="430" t="s">
        <v>17527</v>
      </c>
    </row>
    <row r="745">
      <c r="A745" s="427">
        <v>744.0</v>
      </c>
      <c r="B745" s="237" t="s">
        <v>2816</v>
      </c>
      <c r="C745" s="237" t="s">
        <v>7277</v>
      </c>
      <c r="D745" s="428">
        <v>45519.0</v>
      </c>
      <c r="E745" s="237" t="s">
        <v>6933</v>
      </c>
      <c r="F745" s="237" t="s">
        <v>9602</v>
      </c>
      <c r="G745" s="237" t="s">
        <v>17668</v>
      </c>
      <c r="H745" s="237" t="s">
        <v>11916</v>
      </c>
      <c r="I745" s="237" t="s">
        <v>6246</v>
      </c>
      <c r="J745" s="237" t="s">
        <v>5224</v>
      </c>
      <c r="K745" s="237" t="s">
        <v>4749</v>
      </c>
      <c r="L745" s="237" t="s">
        <v>2915</v>
      </c>
      <c r="M745" s="232" t="s">
        <v>9391</v>
      </c>
      <c r="N745" s="430" t="s">
        <v>17527</v>
      </c>
    </row>
    <row r="746">
      <c r="A746" s="427">
        <v>745.0</v>
      </c>
      <c r="B746" s="237" t="s">
        <v>3094</v>
      </c>
      <c r="C746" s="237" t="s">
        <v>7546</v>
      </c>
      <c r="D746" s="428">
        <v>40070.0</v>
      </c>
      <c r="E746" s="237" t="s">
        <v>6921</v>
      </c>
      <c r="F746" s="237" t="s">
        <v>17669</v>
      </c>
      <c r="G746" s="237" t="s">
        <v>17670</v>
      </c>
      <c r="H746" s="237" t="s">
        <v>17671</v>
      </c>
      <c r="I746" s="237" t="s">
        <v>6361</v>
      </c>
      <c r="J746" s="237" t="s">
        <v>5224</v>
      </c>
      <c r="K746" s="237" t="s">
        <v>4749</v>
      </c>
      <c r="L746" s="237" t="s">
        <v>3096</v>
      </c>
      <c r="M746" s="232" t="s">
        <v>9383</v>
      </c>
      <c r="N746" s="430" t="s">
        <v>17527</v>
      </c>
    </row>
    <row r="747">
      <c r="A747" s="427">
        <v>746.0</v>
      </c>
      <c r="B747" s="237" t="s">
        <v>9087</v>
      </c>
      <c r="C747" s="237" t="s">
        <v>6918</v>
      </c>
      <c r="D747" s="428">
        <v>38097.0</v>
      </c>
      <c r="E747" s="237" t="s">
        <v>6933</v>
      </c>
      <c r="F747" s="237" t="s">
        <v>15827</v>
      </c>
      <c r="G747" s="237" t="s">
        <v>15828</v>
      </c>
      <c r="H747" s="237" t="s">
        <v>13524</v>
      </c>
      <c r="I747" s="237" t="s">
        <v>15829</v>
      </c>
      <c r="J747" s="237" t="s">
        <v>5012</v>
      </c>
      <c r="K747" s="237" t="s">
        <v>4749</v>
      </c>
      <c r="L747" s="237" t="s">
        <v>5011</v>
      </c>
      <c r="M747" s="232" t="s">
        <v>9383</v>
      </c>
      <c r="N747" s="430" t="s">
        <v>17527</v>
      </c>
    </row>
    <row r="748">
      <c r="A748" s="427">
        <v>747.0</v>
      </c>
      <c r="B748" s="237" t="s">
        <v>8338</v>
      </c>
      <c r="C748" s="237" t="s">
        <v>6918</v>
      </c>
      <c r="D748" s="428">
        <v>44431.0</v>
      </c>
      <c r="E748" s="237" t="s">
        <v>6921</v>
      </c>
      <c r="F748" s="237" t="s">
        <v>15908</v>
      </c>
      <c r="G748" s="237" t="s">
        <v>15909</v>
      </c>
      <c r="H748" s="237" t="s">
        <v>15724</v>
      </c>
      <c r="I748" s="237" t="s">
        <v>15910</v>
      </c>
      <c r="J748" s="237" t="s">
        <v>5224</v>
      </c>
      <c r="K748" s="237" t="s">
        <v>4749</v>
      </c>
      <c r="L748" s="237" t="s">
        <v>8331</v>
      </c>
      <c r="M748" s="232" t="s">
        <v>9383</v>
      </c>
      <c r="N748" s="430" t="s">
        <v>17527</v>
      </c>
    </row>
    <row r="749">
      <c r="A749" s="427">
        <v>748.0</v>
      </c>
      <c r="B749" s="237" t="s">
        <v>12964</v>
      </c>
      <c r="C749" s="237" t="s">
        <v>6918</v>
      </c>
      <c r="D749" s="428">
        <v>44641.0</v>
      </c>
      <c r="E749" s="237" t="s">
        <v>6921</v>
      </c>
      <c r="F749" s="237" t="s">
        <v>12965</v>
      </c>
      <c r="G749" s="237" t="s">
        <v>12966</v>
      </c>
      <c r="H749" s="237" t="s">
        <v>9573</v>
      </c>
      <c r="I749" s="237" t="s">
        <v>12967</v>
      </c>
      <c r="J749" s="237" t="s">
        <v>5224</v>
      </c>
      <c r="K749" s="237" t="s">
        <v>4749</v>
      </c>
      <c r="L749" s="237" t="s">
        <v>17550</v>
      </c>
      <c r="M749" s="232" t="s">
        <v>9383</v>
      </c>
      <c r="N749" s="430" t="s">
        <v>17527</v>
      </c>
    </row>
    <row r="750">
      <c r="A750" s="427">
        <v>749.0</v>
      </c>
      <c r="B750" s="237" t="s">
        <v>114</v>
      </c>
      <c r="C750" s="237" t="s">
        <v>6918</v>
      </c>
      <c r="D750" s="428">
        <v>45497.0</v>
      </c>
      <c r="E750" s="237" t="s">
        <v>6921</v>
      </c>
      <c r="F750" s="237" t="s">
        <v>14954</v>
      </c>
      <c r="G750" s="237" t="s">
        <v>14955</v>
      </c>
      <c r="H750" s="237" t="s">
        <v>14956</v>
      </c>
      <c r="I750" s="237" t="s">
        <v>118</v>
      </c>
      <c r="J750" s="237" t="s">
        <v>5224</v>
      </c>
      <c r="K750" s="237" t="s">
        <v>4749</v>
      </c>
      <c r="L750" s="237" t="s">
        <v>17373</v>
      </c>
      <c r="M750" s="232" t="s">
        <v>9383</v>
      </c>
      <c r="N750" s="430" t="s">
        <v>17527</v>
      </c>
    </row>
    <row r="751">
      <c r="A751" s="427">
        <v>750.0</v>
      </c>
      <c r="B751" s="237" t="s">
        <v>14824</v>
      </c>
      <c r="C751" s="237" t="s">
        <v>6918</v>
      </c>
      <c r="D751" s="428">
        <v>45154.0</v>
      </c>
      <c r="E751" s="237" t="s">
        <v>6921</v>
      </c>
      <c r="F751" s="237" t="s">
        <v>14825</v>
      </c>
      <c r="G751" s="237" t="s">
        <v>14826</v>
      </c>
      <c r="H751" s="237" t="s">
        <v>14827</v>
      </c>
      <c r="I751" s="237" t="s">
        <v>14828</v>
      </c>
      <c r="J751" s="237" t="s">
        <v>5012</v>
      </c>
      <c r="K751" s="237" t="s">
        <v>4749</v>
      </c>
      <c r="L751" s="237" t="s">
        <v>17371</v>
      </c>
      <c r="M751" s="232" t="s">
        <v>9383</v>
      </c>
      <c r="N751" s="430" t="s">
        <v>17527</v>
      </c>
    </row>
    <row r="752">
      <c r="A752" s="427">
        <v>751.0</v>
      </c>
      <c r="B752" s="237" t="s">
        <v>8334</v>
      </c>
      <c r="C752" s="237" t="s">
        <v>6918</v>
      </c>
      <c r="D752" s="428">
        <v>43222.0</v>
      </c>
      <c r="E752" s="237" t="s">
        <v>6921</v>
      </c>
      <c r="F752" s="237" t="s">
        <v>14820</v>
      </c>
      <c r="G752" s="237" t="s">
        <v>14821</v>
      </c>
      <c r="H752" s="237" t="s">
        <v>14822</v>
      </c>
      <c r="I752" s="237" t="s">
        <v>14823</v>
      </c>
      <c r="J752" s="237" t="s">
        <v>5224</v>
      </c>
      <c r="K752" s="237" t="s">
        <v>4749</v>
      </c>
      <c r="L752" s="237" t="s">
        <v>8331</v>
      </c>
      <c r="M752" s="232" t="s">
        <v>9383</v>
      </c>
      <c r="N752" s="430" t="s">
        <v>17527</v>
      </c>
    </row>
    <row r="753">
      <c r="A753" s="427">
        <v>752.0</v>
      </c>
      <c r="B753" s="237" t="s">
        <v>3851</v>
      </c>
      <c r="C753" s="237" t="s">
        <v>6918</v>
      </c>
      <c r="D753" s="428">
        <v>38626.0</v>
      </c>
      <c r="E753" s="237" t="s">
        <v>6933</v>
      </c>
      <c r="F753" s="237" t="s">
        <v>17672</v>
      </c>
      <c r="G753" s="237" t="s">
        <v>13630</v>
      </c>
      <c r="H753" s="237" t="s">
        <v>17673</v>
      </c>
      <c r="I753" s="237" t="s">
        <v>6679</v>
      </c>
      <c r="J753" s="237" t="s">
        <v>5012</v>
      </c>
      <c r="K753" s="237" t="s">
        <v>4749</v>
      </c>
      <c r="L753" s="237" t="s">
        <v>3853</v>
      </c>
      <c r="M753" s="232" t="s">
        <v>9383</v>
      </c>
      <c r="N753" s="430" t="s">
        <v>17527</v>
      </c>
    </row>
    <row r="754">
      <c r="A754" s="427">
        <v>753.0</v>
      </c>
      <c r="B754" s="237" t="s">
        <v>13683</v>
      </c>
      <c r="C754" s="237" t="s">
        <v>6918</v>
      </c>
      <c r="D754" s="428">
        <v>44986.0</v>
      </c>
      <c r="E754" s="237" t="s">
        <v>6933</v>
      </c>
      <c r="F754" s="237" t="s">
        <v>10642</v>
      </c>
      <c r="G754" s="237" t="s">
        <v>13684</v>
      </c>
      <c r="H754" s="237" t="s">
        <v>13685</v>
      </c>
      <c r="I754" s="237" t="s">
        <v>13686</v>
      </c>
      <c r="J754" s="237" t="s">
        <v>5012</v>
      </c>
      <c r="K754" s="237" t="s">
        <v>4749</v>
      </c>
      <c r="L754" s="237" t="s">
        <v>17385</v>
      </c>
      <c r="M754" s="232" t="s">
        <v>9383</v>
      </c>
      <c r="N754" s="430" t="s">
        <v>17527</v>
      </c>
    </row>
    <row r="755">
      <c r="A755" s="427">
        <v>754.0</v>
      </c>
      <c r="B755" s="237" t="s">
        <v>14521</v>
      </c>
      <c r="C755" s="237" t="s">
        <v>6918</v>
      </c>
      <c r="D755" s="428">
        <v>45154.0</v>
      </c>
      <c r="E755" s="237" t="s">
        <v>6921</v>
      </c>
      <c r="F755" s="237" t="s">
        <v>14522</v>
      </c>
      <c r="G755" s="237" t="s">
        <v>14523</v>
      </c>
      <c r="H755" s="237" t="s">
        <v>10441</v>
      </c>
      <c r="I755" s="237" t="s">
        <v>14524</v>
      </c>
      <c r="J755" s="237" t="s">
        <v>5224</v>
      </c>
      <c r="K755" s="237" t="s">
        <v>4749</v>
      </c>
      <c r="L755" s="237" t="s">
        <v>17674</v>
      </c>
      <c r="M755" s="232" t="s">
        <v>9383</v>
      </c>
      <c r="N755" s="430" t="s">
        <v>17527</v>
      </c>
    </row>
    <row r="756">
      <c r="A756" s="427">
        <v>755.0</v>
      </c>
      <c r="B756" s="237" t="s">
        <v>8453</v>
      </c>
      <c r="C756" s="237" t="s">
        <v>6918</v>
      </c>
      <c r="D756" s="428">
        <v>44046.0</v>
      </c>
      <c r="E756" s="237" t="s">
        <v>6933</v>
      </c>
      <c r="F756" s="237" t="s">
        <v>15559</v>
      </c>
      <c r="G756" s="237" t="s">
        <v>15560</v>
      </c>
      <c r="H756" s="237" t="s">
        <v>9579</v>
      </c>
      <c r="I756" s="237" t="s">
        <v>15561</v>
      </c>
      <c r="J756" s="237" t="s">
        <v>5224</v>
      </c>
      <c r="K756" s="237" t="s">
        <v>4749</v>
      </c>
      <c r="L756" s="237" t="s">
        <v>8450</v>
      </c>
      <c r="M756" s="232" t="s">
        <v>9383</v>
      </c>
      <c r="N756" s="430" t="s">
        <v>17527</v>
      </c>
    </row>
    <row r="757">
      <c r="A757" s="427">
        <v>756.0</v>
      </c>
      <c r="B757" s="237" t="s">
        <v>7902</v>
      </c>
      <c r="C757" s="237" t="s">
        <v>6918</v>
      </c>
      <c r="D757" s="428">
        <v>39482.0</v>
      </c>
      <c r="E757" s="237" t="s">
        <v>6921</v>
      </c>
      <c r="F757" s="237" t="s">
        <v>15672</v>
      </c>
      <c r="G757" s="237" t="s">
        <v>15673</v>
      </c>
      <c r="H757" s="237" t="s">
        <v>11493</v>
      </c>
      <c r="I757" s="237" t="s">
        <v>15674</v>
      </c>
      <c r="J757" s="237" t="s">
        <v>5224</v>
      </c>
      <c r="K757" s="237" t="s">
        <v>4749</v>
      </c>
      <c r="L757" s="237" t="s">
        <v>5805</v>
      </c>
      <c r="M757" s="232" t="s">
        <v>9383</v>
      </c>
      <c r="N757" s="430" t="s">
        <v>17527</v>
      </c>
    </row>
    <row r="758">
      <c r="A758" s="427">
        <v>757.0</v>
      </c>
      <c r="B758" s="237" t="s">
        <v>8360</v>
      </c>
      <c r="C758" s="237" t="s">
        <v>6918</v>
      </c>
      <c r="D758" s="428">
        <v>41641.0</v>
      </c>
      <c r="E758" s="237" t="s">
        <v>6933</v>
      </c>
      <c r="F758" s="237" t="s">
        <v>14026</v>
      </c>
      <c r="G758" s="237" t="s">
        <v>14029</v>
      </c>
      <c r="H758" s="237" t="s">
        <v>14030</v>
      </c>
      <c r="I758" s="237" t="s">
        <v>14031</v>
      </c>
      <c r="J758" s="237" t="s">
        <v>5224</v>
      </c>
      <c r="K758" s="237" t="s">
        <v>4749</v>
      </c>
      <c r="L758" s="237" t="s">
        <v>8362</v>
      </c>
      <c r="M758" s="232" t="s">
        <v>9383</v>
      </c>
      <c r="N758" s="430" t="s">
        <v>17527</v>
      </c>
    </row>
    <row r="759">
      <c r="A759" s="427">
        <v>758.0</v>
      </c>
      <c r="B759" s="237" t="s">
        <v>7249</v>
      </c>
      <c r="C759" s="237" t="s">
        <v>6918</v>
      </c>
      <c r="D759" s="428">
        <v>39560.0</v>
      </c>
      <c r="E759" s="237" t="s">
        <v>6933</v>
      </c>
      <c r="F759" s="237" t="s">
        <v>11650</v>
      </c>
      <c r="G759" s="237" t="s">
        <v>15141</v>
      </c>
      <c r="H759" s="237" t="s">
        <v>11650</v>
      </c>
      <c r="I759" s="237" t="s">
        <v>15142</v>
      </c>
      <c r="J759" s="237" t="s">
        <v>5224</v>
      </c>
      <c r="K759" s="237" t="s">
        <v>4749</v>
      </c>
      <c r="L759" s="237" t="s">
        <v>7241</v>
      </c>
      <c r="M759" s="232" t="s">
        <v>9383</v>
      </c>
      <c r="N759" s="430" t="s">
        <v>17527</v>
      </c>
    </row>
    <row r="760">
      <c r="A760" s="427">
        <v>759.0</v>
      </c>
      <c r="B760" s="237" t="s">
        <v>9008</v>
      </c>
      <c r="C760" s="237" t="s">
        <v>6918</v>
      </c>
      <c r="D760" s="428">
        <v>36718.0</v>
      </c>
      <c r="E760" s="237" t="s">
        <v>7239</v>
      </c>
      <c r="F760" s="237" t="s">
        <v>15044</v>
      </c>
      <c r="G760" s="237" t="s">
        <v>15045</v>
      </c>
      <c r="H760" s="237" t="s">
        <v>10073</v>
      </c>
      <c r="I760" s="237" t="s">
        <v>15046</v>
      </c>
      <c r="J760" s="237" t="s">
        <v>5224</v>
      </c>
      <c r="K760" s="237" t="s">
        <v>4749</v>
      </c>
      <c r="L760" s="237" t="s">
        <v>3041</v>
      </c>
      <c r="M760" s="232" t="s">
        <v>9383</v>
      </c>
      <c r="N760" s="430" t="s">
        <v>17527</v>
      </c>
    </row>
    <row r="761">
      <c r="A761" s="427">
        <v>760.0</v>
      </c>
      <c r="B761" s="237" t="s">
        <v>8262</v>
      </c>
      <c r="C761" s="237" t="s">
        <v>6918</v>
      </c>
      <c r="D761" s="428">
        <v>45070.0</v>
      </c>
      <c r="E761" s="237" t="s">
        <v>6933</v>
      </c>
      <c r="F761" s="237" t="s">
        <v>15101</v>
      </c>
      <c r="G761" s="237" t="s">
        <v>15102</v>
      </c>
      <c r="H761" s="237" t="s">
        <v>10269</v>
      </c>
      <c r="I761" s="237" t="s">
        <v>15103</v>
      </c>
      <c r="J761" s="237" t="s">
        <v>5224</v>
      </c>
      <c r="K761" s="237" t="s">
        <v>4749</v>
      </c>
      <c r="L761" s="237" t="s">
        <v>2730</v>
      </c>
      <c r="M761" s="232" t="s">
        <v>9383</v>
      </c>
      <c r="N761" s="430" t="s">
        <v>17527</v>
      </c>
    </row>
    <row r="762">
      <c r="A762" s="427">
        <v>761.0</v>
      </c>
      <c r="B762" s="237" t="s">
        <v>8253</v>
      </c>
      <c r="C762" s="237" t="s">
        <v>6918</v>
      </c>
      <c r="D762" s="428">
        <v>40616.0</v>
      </c>
      <c r="E762" s="237" t="s">
        <v>6933</v>
      </c>
      <c r="F762" s="237" t="s">
        <v>15110</v>
      </c>
      <c r="G762" s="237" t="s">
        <v>15114</v>
      </c>
      <c r="H762" s="237" t="s">
        <v>13179</v>
      </c>
      <c r="I762" s="237" t="s">
        <v>15115</v>
      </c>
      <c r="J762" s="237" t="s">
        <v>5224</v>
      </c>
      <c r="K762" s="237" t="s">
        <v>4749</v>
      </c>
      <c r="L762" s="237" t="s">
        <v>2730</v>
      </c>
      <c r="M762" s="232" t="s">
        <v>9383</v>
      </c>
      <c r="N762" s="430" t="s">
        <v>17527</v>
      </c>
    </row>
    <row r="763">
      <c r="A763" s="427">
        <v>762.0</v>
      </c>
      <c r="B763" s="237" t="s">
        <v>8275</v>
      </c>
      <c r="C763" s="237" t="s">
        <v>6918</v>
      </c>
      <c r="D763" s="428">
        <v>45551.0</v>
      </c>
      <c r="E763" s="237" t="s">
        <v>6933</v>
      </c>
      <c r="F763" s="237" t="s">
        <v>11708</v>
      </c>
      <c r="G763" s="237" t="s">
        <v>15193</v>
      </c>
      <c r="H763" s="237" t="s">
        <v>9430</v>
      </c>
      <c r="I763" s="237" t="s">
        <v>15194</v>
      </c>
      <c r="J763" s="237" t="s">
        <v>5224</v>
      </c>
      <c r="K763" s="237" t="s">
        <v>4749</v>
      </c>
      <c r="L763" s="237" t="s">
        <v>2730</v>
      </c>
      <c r="M763" s="232" t="s">
        <v>9383</v>
      </c>
      <c r="N763" s="430" t="s">
        <v>17527</v>
      </c>
    </row>
    <row r="764">
      <c r="A764" s="427">
        <v>763.0</v>
      </c>
      <c r="B764" s="237" t="s">
        <v>9534</v>
      </c>
      <c r="C764" s="237" t="s">
        <v>8796</v>
      </c>
      <c r="D764" s="428">
        <v>44490.0</v>
      </c>
      <c r="E764" s="237" t="s">
        <v>6933</v>
      </c>
      <c r="F764" s="237" t="s">
        <v>9536</v>
      </c>
      <c r="G764" s="237" t="s">
        <v>9537</v>
      </c>
      <c r="H764" s="237" t="s">
        <v>9538</v>
      </c>
      <c r="I764" s="237" t="s">
        <v>9539</v>
      </c>
      <c r="J764" s="237" t="s">
        <v>5012</v>
      </c>
      <c r="K764" s="237" t="s">
        <v>9466</v>
      </c>
      <c r="L764" s="237" t="s">
        <v>13020</v>
      </c>
      <c r="M764" s="232" t="s">
        <v>9383</v>
      </c>
      <c r="N764" s="430" t="s">
        <v>17527</v>
      </c>
    </row>
    <row r="765">
      <c r="A765" s="427">
        <v>764.0</v>
      </c>
      <c r="B765" s="237" t="s">
        <v>9481</v>
      </c>
      <c r="C765" s="237" t="s">
        <v>8796</v>
      </c>
      <c r="D765" s="428">
        <v>44207.0</v>
      </c>
      <c r="E765" s="237" t="s">
        <v>6933</v>
      </c>
      <c r="F765" s="237" t="s">
        <v>9483</v>
      </c>
      <c r="G765" s="237" t="s">
        <v>9484</v>
      </c>
      <c r="H765" s="237" t="s">
        <v>9485</v>
      </c>
      <c r="I765" s="237" t="s">
        <v>9486</v>
      </c>
      <c r="J765" s="237" t="s">
        <v>5012</v>
      </c>
      <c r="K765" s="237" t="s">
        <v>9466</v>
      </c>
      <c r="L765" s="237" t="s">
        <v>17675</v>
      </c>
      <c r="M765" s="232" t="s">
        <v>9383</v>
      </c>
      <c r="N765" s="430" t="s">
        <v>17527</v>
      </c>
    </row>
    <row r="766">
      <c r="A766" s="427">
        <v>765.0</v>
      </c>
      <c r="B766" s="237" t="s">
        <v>9460</v>
      </c>
      <c r="C766" s="237" t="s">
        <v>8796</v>
      </c>
      <c r="D766" s="428">
        <v>44634.0</v>
      </c>
      <c r="E766" s="237" t="s">
        <v>6933</v>
      </c>
      <c r="F766" s="237" t="s">
        <v>9462</v>
      </c>
      <c r="G766" s="237" t="s">
        <v>9463</v>
      </c>
      <c r="H766" s="237" t="s">
        <v>9464</v>
      </c>
      <c r="I766" s="237" t="s">
        <v>9465</v>
      </c>
      <c r="J766" s="237" t="s">
        <v>5012</v>
      </c>
      <c r="K766" s="237" t="s">
        <v>9466</v>
      </c>
      <c r="L766" s="237" t="s">
        <v>17588</v>
      </c>
      <c r="M766" s="232" t="s">
        <v>9383</v>
      </c>
      <c r="N766" s="430" t="s">
        <v>17527</v>
      </c>
    </row>
    <row r="767">
      <c r="A767" s="427">
        <v>766.0</v>
      </c>
      <c r="B767" s="237" t="s">
        <v>10017</v>
      </c>
      <c r="C767" s="237" t="s">
        <v>8796</v>
      </c>
      <c r="D767" s="428">
        <v>45048.0</v>
      </c>
      <c r="E767" s="237" t="s">
        <v>6933</v>
      </c>
      <c r="F767" s="237" t="s">
        <v>10018</v>
      </c>
      <c r="G767" s="237" t="s">
        <v>10019</v>
      </c>
      <c r="H767" s="237" t="s">
        <v>10020</v>
      </c>
      <c r="I767" s="237" t="s">
        <v>10021</v>
      </c>
      <c r="J767" s="237" t="s">
        <v>5012</v>
      </c>
      <c r="K767" s="237" t="s">
        <v>9466</v>
      </c>
      <c r="L767" s="237" t="s">
        <v>17595</v>
      </c>
      <c r="M767" s="232" t="s">
        <v>9383</v>
      </c>
      <c r="N767" s="430" t="s">
        <v>17527</v>
      </c>
    </row>
    <row r="768">
      <c r="A768" s="427">
        <v>767.0</v>
      </c>
      <c r="B768" s="237" t="s">
        <v>15881</v>
      </c>
      <c r="C768" s="237" t="s">
        <v>6918</v>
      </c>
      <c r="D768" s="428">
        <v>44977.0</v>
      </c>
      <c r="E768" s="237" t="s">
        <v>6933</v>
      </c>
      <c r="F768" s="237" t="s">
        <v>15882</v>
      </c>
      <c r="G768" s="237" t="s">
        <v>15883</v>
      </c>
      <c r="H768" s="237" t="s">
        <v>10920</v>
      </c>
      <c r="I768" s="237" t="s">
        <v>15884</v>
      </c>
      <c r="J768" s="237" t="s">
        <v>5012</v>
      </c>
      <c r="K768" s="237" t="s">
        <v>9466</v>
      </c>
      <c r="L768" s="237" t="s">
        <v>13896</v>
      </c>
      <c r="M768" s="232" t="s">
        <v>9383</v>
      </c>
      <c r="N768" s="430" t="s">
        <v>17527</v>
      </c>
    </row>
    <row r="769">
      <c r="A769" s="427">
        <v>768.0</v>
      </c>
      <c r="B769" s="237" t="s">
        <v>8755</v>
      </c>
      <c r="C769" s="237" t="s">
        <v>6918</v>
      </c>
      <c r="D769" s="428">
        <v>44929.0</v>
      </c>
      <c r="E769" s="237" t="s">
        <v>6933</v>
      </c>
      <c r="F769" s="237" t="s">
        <v>15846</v>
      </c>
      <c r="G769" s="237" t="s">
        <v>15847</v>
      </c>
      <c r="H769" s="237" t="s">
        <v>10389</v>
      </c>
      <c r="I769" s="237" t="s">
        <v>15848</v>
      </c>
      <c r="J769" s="237" t="s">
        <v>5012</v>
      </c>
      <c r="K769" s="237" t="s">
        <v>9466</v>
      </c>
      <c r="L769" s="237" t="s">
        <v>8850</v>
      </c>
      <c r="M769" s="232" t="s">
        <v>9383</v>
      </c>
      <c r="N769" s="430" t="s">
        <v>17527</v>
      </c>
    </row>
    <row r="770">
      <c r="A770" s="427">
        <v>769.0</v>
      </c>
      <c r="B770" s="237" t="s">
        <v>4968</v>
      </c>
      <c r="C770" s="237" t="s">
        <v>6918</v>
      </c>
      <c r="D770" s="428">
        <v>43405.0</v>
      </c>
      <c r="E770" s="237" t="s">
        <v>6933</v>
      </c>
      <c r="F770" s="237" t="s">
        <v>10474</v>
      </c>
      <c r="G770" s="237" t="s">
        <v>10475</v>
      </c>
      <c r="H770" s="237" t="s">
        <v>10476</v>
      </c>
      <c r="I770" s="237" t="s">
        <v>4970</v>
      </c>
      <c r="J770" s="237" t="s">
        <v>5224</v>
      </c>
      <c r="K770" s="237" t="s">
        <v>9466</v>
      </c>
      <c r="L770" s="237" t="s">
        <v>8428</v>
      </c>
      <c r="M770" s="232" t="s">
        <v>9383</v>
      </c>
      <c r="N770" s="430" t="s">
        <v>17527</v>
      </c>
    </row>
    <row r="771">
      <c r="A771" s="427">
        <v>770.0</v>
      </c>
      <c r="B771" s="237" t="s">
        <v>8839</v>
      </c>
      <c r="C771" s="237" t="s">
        <v>6918</v>
      </c>
      <c r="D771" s="428">
        <v>44452.0</v>
      </c>
      <c r="E771" s="237" t="s">
        <v>6933</v>
      </c>
      <c r="F771" s="237" t="s">
        <v>13776</v>
      </c>
      <c r="G771" s="237" t="s">
        <v>13777</v>
      </c>
      <c r="H771" s="237" t="s">
        <v>13778</v>
      </c>
      <c r="I771" s="237" t="s">
        <v>13779</v>
      </c>
      <c r="J771" s="237" t="s">
        <v>5012</v>
      </c>
      <c r="K771" s="237" t="s">
        <v>9466</v>
      </c>
      <c r="L771" s="237" t="s">
        <v>8841</v>
      </c>
      <c r="M771" s="232" t="s">
        <v>9383</v>
      </c>
      <c r="N771" s="430" t="s">
        <v>17527</v>
      </c>
    </row>
    <row r="772">
      <c r="A772" s="427">
        <v>771.0</v>
      </c>
      <c r="B772" s="237" t="s">
        <v>14119</v>
      </c>
      <c r="C772" s="237" t="s">
        <v>6918</v>
      </c>
      <c r="D772" s="428">
        <v>41410.0</v>
      </c>
      <c r="E772" s="237" t="s">
        <v>6933</v>
      </c>
      <c r="F772" s="237" t="s">
        <v>14121</v>
      </c>
      <c r="G772" s="237" t="s">
        <v>14122</v>
      </c>
      <c r="H772" s="237" t="s">
        <v>13432</v>
      </c>
      <c r="I772" s="237" t="s">
        <v>14123</v>
      </c>
      <c r="J772" s="237" t="s">
        <v>5012</v>
      </c>
      <c r="K772" s="237" t="s">
        <v>9466</v>
      </c>
      <c r="L772" s="237" t="s">
        <v>15018</v>
      </c>
      <c r="M772" s="232" t="s">
        <v>9383</v>
      </c>
      <c r="N772" s="430" t="s">
        <v>17527</v>
      </c>
    </row>
    <row r="773">
      <c r="A773" s="427">
        <v>772.0</v>
      </c>
      <c r="B773" s="237" t="s">
        <v>8746</v>
      </c>
      <c r="C773" s="237" t="s">
        <v>6918</v>
      </c>
      <c r="D773" s="428">
        <v>42051.0</v>
      </c>
      <c r="E773" s="237" t="s">
        <v>6933</v>
      </c>
      <c r="F773" s="237" t="s">
        <v>14136</v>
      </c>
      <c r="G773" s="237" t="s">
        <v>11599</v>
      </c>
      <c r="H773" s="237" t="s">
        <v>14137</v>
      </c>
      <c r="I773" s="237" t="s">
        <v>14138</v>
      </c>
      <c r="J773" s="237" t="s">
        <v>5012</v>
      </c>
      <c r="K773" s="237" t="s">
        <v>9466</v>
      </c>
      <c r="L773" s="237" t="s">
        <v>14139</v>
      </c>
      <c r="M773" s="232" t="s">
        <v>9383</v>
      </c>
      <c r="N773" s="430" t="s">
        <v>17527</v>
      </c>
    </row>
    <row r="774">
      <c r="A774" s="427">
        <v>773.0</v>
      </c>
      <c r="B774" s="237" t="s">
        <v>14890</v>
      </c>
      <c r="C774" s="237" t="s">
        <v>6918</v>
      </c>
      <c r="D774" s="428">
        <v>44781.0</v>
      </c>
      <c r="E774" s="237" t="s">
        <v>6933</v>
      </c>
      <c r="F774" s="237" t="s">
        <v>14891</v>
      </c>
      <c r="G774" s="237" t="s">
        <v>14892</v>
      </c>
      <c r="H774" s="237" t="s">
        <v>10528</v>
      </c>
      <c r="I774" s="237" t="s">
        <v>14893</v>
      </c>
      <c r="J774" s="237" t="s">
        <v>5012</v>
      </c>
      <c r="K774" s="237" t="s">
        <v>9466</v>
      </c>
      <c r="L774" s="237" t="s">
        <v>17587</v>
      </c>
      <c r="M774" s="232" t="s">
        <v>9383</v>
      </c>
      <c r="N774" s="430" t="s">
        <v>17527</v>
      </c>
    </row>
    <row r="775">
      <c r="A775" s="427">
        <v>774.0</v>
      </c>
      <c r="B775" s="237" t="s">
        <v>15337</v>
      </c>
      <c r="C775" s="237" t="s">
        <v>6918</v>
      </c>
      <c r="D775" s="428">
        <v>44713.0</v>
      </c>
      <c r="E775" s="237" t="s">
        <v>6933</v>
      </c>
      <c r="F775" s="237" t="s">
        <v>15338</v>
      </c>
      <c r="G775" s="237" t="s">
        <v>15339</v>
      </c>
      <c r="H775" s="237" t="s">
        <v>10770</v>
      </c>
      <c r="I775" s="237" t="s">
        <v>15340</v>
      </c>
      <c r="J775" s="237" t="s">
        <v>5012</v>
      </c>
      <c r="K775" s="237" t="s">
        <v>9466</v>
      </c>
      <c r="L775" s="237" t="s">
        <v>5932</v>
      </c>
      <c r="M775" s="232" t="s">
        <v>9383</v>
      </c>
      <c r="N775" s="430" t="s">
        <v>17527</v>
      </c>
    </row>
    <row r="776">
      <c r="A776" s="427">
        <v>775.0</v>
      </c>
      <c r="B776" s="237" t="s">
        <v>15395</v>
      </c>
      <c r="C776" s="237" t="s">
        <v>6918</v>
      </c>
      <c r="D776" s="428">
        <v>45048.0</v>
      </c>
      <c r="E776" s="237" t="s">
        <v>6933</v>
      </c>
      <c r="F776" s="237" t="s">
        <v>12392</v>
      </c>
      <c r="G776" s="237" t="s">
        <v>15396</v>
      </c>
      <c r="H776" s="237" t="s">
        <v>11147</v>
      </c>
      <c r="I776" s="237" t="s">
        <v>15397</v>
      </c>
      <c r="J776" s="237" t="s">
        <v>5012</v>
      </c>
      <c r="K776" s="237" t="s">
        <v>9466</v>
      </c>
      <c r="L776" s="237" t="s">
        <v>17593</v>
      </c>
      <c r="M776" s="232" t="s">
        <v>9383</v>
      </c>
      <c r="N776" s="430" t="s">
        <v>17527</v>
      </c>
    </row>
    <row r="777">
      <c r="A777" s="427">
        <v>776.0</v>
      </c>
      <c r="B777" s="237" t="s">
        <v>15710</v>
      </c>
      <c r="C777" s="237" t="s">
        <v>6918</v>
      </c>
      <c r="D777" s="428">
        <v>44775.0</v>
      </c>
      <c r="E777" s="237" t="s">
        <v>6933</v>
      </c>
      <c r="F777" s="237" t="s">
        <v>15712</v>
      </c>
      <c r="G777" s="237" t="s">
        <v>15713</v>
      </c>
      <c r="H777" s="237" t="s">
        <v>13524</v>
      </c>
      <c r="I777" s="237" t="s">
        <v>15714</v>
      </c>
      <c r="J777" s="237" t="s">
        <v>5012</v>
      </c>
      <c r="K777" s="237" t="s">
        <v>9466</v>
      </c>
      <c r="L777" s="237" t="s">
        <v>17418</v>
      </c>
      <c r="M777" s="232" t="s">
        <v>9383</v>
      </c>
      <c r="N777" s="430" t="s">
        <v>17527</v>
      </c>
    </row>
    <row r="778">
      <c r="A778" s="427">
        <v>777.0</v>
      </c>
      <c r="B778" s="237" t="s">
        <v>8921</v>
      </c>
      <c r="C778" s="237" t="s">
        <v>6918</v>
      </c>
      <c r="D778" s="428">
        <v>43185.0</v>
      </c>
      <c r="E778" s="237" t="s">
        <v>6933</v>
      </c>
      <c r="F778" s="237" t="s">
        <v>15218</v>
      </c>
      <c r="G778" s="237" t="s">
        <v>15219</v>
      </c>
      <c r="H778" s="237" t="s">
        <v>15220</v>
      </c>
      <c r="I778" s="237" t="s">
        <v>15221</v>
      </c>
      <c r="J778" s="237" t="s">
        <v>5012</v>
      </c>
      <c r="K778" s="237" t="s">
        <v>9466</v>
      </c>
      <c r="L778" s="237" t="s">
        <v>8923</v>
      </c>
      <c r="M778" s="232" t="s">
        <v>9383</v>
      </c>
      <c r="N778" s="430" t="s">
        <v>17527</v>
      </c>
    </row>
    <row r="779">
      <c r="A779" s="427">
        <v>778.0</v>
      </c>
      <c r="B779" s="237" t="s">
        <v>9791</v>
      </c>
      <c r="C779" s="237" t="s">
        <v>8796</v>
      </c>
      <c r="D779" s="428">
        <v>44760.0</v>
      </c>
      <c r="E779" s="237" t="s">
        <v>6933</v>
      </c>
      <c r="F779" s="237" t="s">
        <v>9792</v>
      </c>
      <c r="G779" s="237" t="s">
        <v>9793</v>
      </c>
      <c r="H779" s="237" t="s">
        <v>9794</v>
      </c>
      <c r="I779" s="237" t="s">
        <v>9795</v>
      </c>
      <c r="J779" s="237" t="s">
        <v>5012</v>
      </c>
      <c r="K779" s="237" t="s">
        <v>9796</v>
      </c>
      <c r="L779" s="237" t="s">
        <v>17396</v>
      </c>
      <c r="M779" s="232" t="s">
        <v>9383</v>
      </c>
      <c r="N779" s="430" t="s">
        <v>17527</v>
      </c>
    </row>
    <row r="780">
      <c r="A780" s="427">
        <v>779.0</v>
      </c>
      <c r="B780" s="237" t="s">
        <v>3607</v>
      </c>
      <c r="C780" s="237" t="s">
        <v>6918</v>
      </c>
      <c r="D780" s="428">
        <v>45261.0</v>
      </c>
      <c r="E780" s="237" t="s">
        <v>6933</v>
      </c>
      <c r="F780" s="237" t="s">
        <v>17676</v>
      </c>
      <c r="G780" s="237" t="s">
        <v>17677</v>
      </c>
      <c r="H780" s="237" t="s">
        <v>10776</v>
      </c>
      <c r="I780" s="237" t="s">
        <v>6589</v>
      </c>
      <c r="J780" s="237" t="s">
        <v>5012</v>
      </c>
      <c r="K780" s="237" t="s">
        <v>9796</v>
      </c>
      <c r="L780" s="237" t="s">
        <v>13490</v>
      </c>
      <c r="M780" s="232" t="s">
        <v>9383</v>
      </c>
      <c r="N780" s="430" t="s">
        <v>17527</v>
      </c>
    </row>
    <row r="781">
      <c r="A781" s="427">
        <v>780.0</v>
      </c>
      <c r="B781" s="237" t="s">
        <v>14668</v>
      </c>
      <c r="C781" s="237" t="s">
        <v>6918</v>
      </c>
      <c r="D781" s="428">
        <v>40371.0</v>
      </c>
      <c r="E781" s="237" t="s">
        <v>6933</v>
      </c>
      <c r="F781" s="237" t="s">
        <v>14670</v>
      </c>
      <c r="G781" s="237" t="s">
        <v>14671</v>
      </c>
      <c r="H781" s="237" t="s">
        <v>14672</v>
      </c>
      <c r="I781" s="237" t="s">
        <v>5970</v>
      </c>
      <c r="J781" s="237" t="s">
        <v>5012</v>
      </c>
      <c r="K781" s="237" t="s">
        <v>9796</v>
      </c>
      <c r="L781" s="237" t="s">
        <v>2212</v>
      </c>
      <c r="M781" s="232" t="s">
        <v>9383</v>
      </c>
      <c r="N781" s="430" t="s">
        <v>17527</v>
      </c>
    </row>
    <row r="782">
      <c r="A782" s="427">
        <v>781.0</v>
      </c>
      <c r="B782" s="237" t="s">
        <v>15683</v>
      </c>
      <c r="C782" s="237" t="s">
        <v>6918</v>
      </c>
      <c r="D782" s="428">
        <v>39935.0</v>
      </c>
      <c r="E782" s="237" t="s">
        <v>6933</v>
      </c>
      <c r="F782" s="237" t="s">
        <v>12048</v>
      </c>
      <c r="G782" s="237" t="s">
        <v>15685</v>
      </c>
      <c r="H782" s="237" t="s">
        <v>15686</v>
      </c>
      <c r="I782" s="237" t="s">
        <v>15687</v>
      </c>
      <c r="J782" s="237" t="s">
        <v>5012</v>
      </c>
      <c r="K782" s="237" t="s">
        <v>9796</v>
      </c>
      <c r="L782" s="237" t="s">
        <v>17395</v>
      </c>
      <c r="M782" s="232" t="s">
        <v>9383</v>
      </c>
      <c r="N782" s="430" t="s">
        <v>17527</v>
      </c>
    </row>
    <row r="783">
      <c r="A783" s="427">
        <v>782.0</v>
      </c>
      <c r="B783" s="237" t="s">
        <v>11021</v>
      </c>
      <c r="C783" s="237" t="s">
        <v>10103</v>
      </c>
      <c r="D783" s="428">
        <v>41649.0</v>
      </c>
      <c r="E783" s="237" t="s">
        <v>6933</v>
      </c>
      <c r="F783" s="237" t="s">
        <v>11023</v>
      </c>
      <c r="G783" s="237" t="s">
        <v>11024</v>
      </c>
      <c r="H783" s="237" t="s">
        <v>11025</v>
      </c>
      <c r="I783" s="237" t="s">
        <v>11026</v>
      </c>
      <c r="J783" s="237" t="s">
        <v>5224</v>
      </c>
      <c r="K783" s="237" t="s">
        <v>10405</v>
      </c>
      <c r="L783" s="237" t="s">
        <v>17477</v>
      </c>
      <c r="M783" s="232" t="s">
        <v>9383</v>
      </c>
      <c r="N783" s="430" t="s">
        <v>17527</v>
      </c>
    </row>
    <row r="784">
      <c r="A784" s="427">
        <v>783.0</v>
      </c>
      <c r="B784" s="237" t="s">
        <v>10630</v>
      </c>
      <c r="C784" s="237" t="s">
        <v>10103</v>
      </c>
      <c r="D784" s="428">
        <v>44200.0</v>
      </c>
      <c r="E784" s="237" t="s">
        <v>6933</v>
      </c>
      <c r="F784" s="237" t="s">
        <v>10632</v>
      </c>
      <c r="G784" s="237" t="s">
        <v>10633</v>
      </c>
      <c r="H784" s="237" t="s">
        <v>10634</v>
      </c>
      <c r="I784" s="237" t="s">
        <v>10635</v>
      </c>
      <c r="J784" s="237" t="s">
        <v>5224</v>
      </c>
      <c r="K784" s="237" t="s">
        <v>4818</v>
      </c>
      <c r="L784" s="237" t="s">
        <v>10127</v>
      </c>
      <c r="M784" s="232" t="s">
        <v>9383</v>
      </c>
      <c r="N784" s="430" t="s">
        <v>17527</v>
      </c>
    </row>
    <row r="785">
      <c r="A785" s="427">
        <v>784.0</v>
      </c>
      <c r="B785" s="237" t="s">
        <v>12641</v>
      </c>
      <c r="C785" s="237" t="s">
        <v>7277</v>
      </c>
      <c r="D785" s="428">
        <v>44287.0</v>
      </c>
      <c r="E785" s="237" t="s">
        <v>6933</v>
      </c>
      <c r="F785" s="237" t="s">
        <v>12642</v>
      </c>
      <c r="G785" s="237" t="s">
        <v>12643</v>
      </c>
      <c r="H785" s="237" t="s">
        <v>9430</v>
      </c>
      <c r="I785" s="237" t="s">
        <v>5906</v>
      </c>
      <c r="J785" s="237" t="s">
        <v>5224</v>
      </c>
      <c r="K785" s="237" t="s">
        <v>4818</v>
      </c>
      <c r="L785" s="237" t="s">
        <v>5834</v>
      </c>
      <c r="M785" s="232" t="s">
        <v>9383</v>
      </c>
      <c r="N785" s="430" t="s">
        <v>17527</v>
      </c>
    </row>
    <row r="786">
      <c r="A786" s="427">
        <v>785.0</v>
      </c>
      <c r="B786" s="237" t="s">
        <v>4816</v>
      </c>
      <c r="C786" s="237" t="s">
        <v>17678</v>
      </c>
      <c r="D786" s="428">
        <v>43693.0</v>
      </c>
      <c r="E786" s="237" t="s">
        <v>6933</v>
      </c>
      <c r="F786" s="237" t="s">
        <v>14417</v>
      </c>
      <c r="G786" s="237" t="s">
        <v>14418</v>
      </c>
      <c r="H786" s="237" t="s">
        <v>14419</v>
      </c>
      <c r="I786" s="237" t="s">
        <v>17679</v>
      </c>
      <c r="J786" s="237" t="s">
        <v>5224</v>
      </c>
      <c r="K786" s="237" t="s">
        <v>4818</v>
      </c>
      <c r="L786" s="237" t="s">
        <v>17680</v>
      </c>
      <c r="M786" s="232" t="s">
        <v>9383</v>
      </c>
      <c r="N786" s="430" t="s">
        <v>17527</v>
      </c>
    </row>
    <row r="787">
      <c r="A787" s="427">
        <v>786.0</v>
      </c>
      <c r="B787" s="237" t="s">
        <v>7381</v>
      </c>
      <c r="C787" s="237" t="s">
        <v>6918</v>
      </c>
      <c r="D787" s="428">
        <v>45420.0</v>
      </c>
      <c r="E787" s="237" t="s">
        <v>6921</v>
      </c>
      <c r="F787" s="237" t="s">
        <v>15817</v>
      </c>
      <c r="G787" s="237" t="s">
        <v>15818</v>
      </c>
      <c r="H787" s="237" t="s">
        <v>15819</v>
      </c>
      <c r="I787" s="237" t="s">
        <v>5553</v>
      </c>
      <c r="J787" s="237" t="s">
        <v>5224</v>
      </c>
      <c r="K787" s="237" t="s">
        <v>4818</v>
      </c>
      <c r="L787" s="237" t="s">
        <v>2904</v>
      </c>
      <c r="M787" s="232" t="s">
        <v>9383</v>
      </c>
      <c r="N787" s="430" t="s">
        <v>17527</v>
      </c>
    </row>
    <row r="788">
      <c r="A788" s="427">
        <v>787.0</v>
      </c>
      <c r="B788" s="237" t="s">
        <v>14242</v>
      </c>
      <c r="C788" s="237" t="s">
        <v>6918</v>
      </c>
      <c r="D788" s="428">
        <v>44445.0</v>
      </c>
      <c r="E788" s="237" t="s">
        <v>6921</v>
      </c>
      <c r="F788" s="237" t="s">
        <v>9667</v>
      </c>
      <c r="G788" s="237" t="s">
        <v>14243</v>
      </c>
      <c r="H788" s="237" t="s">
        <v>9915</v>
      </c>
      <c r="I788" s="237" t="s">
        <v>14244</v>
      </c>
      <c r="J788" s="237" t="s">
        <v>5012</v>
      </c>
      <c r="K788" s="237" t="s">
        <v>4818</v>
      </c>
      <c r="L788" s="237" t="s">
        <v>17367</v>
      </c>
      <c r="M788" s="232" t="s">
        <v>9383</v>
      </c>
      <c r="N788" s="430" t="s">
        <v>17527</v>
      </c>
    </row>
    <row r="789">
      <c r="A789" s="427">
        <v>788.0</v>
      </c>
      <c r="B789" s="237" t="s">
        <v>8581</v>
      </c>
      <c r="C789" s="237" t="s">
        <v>6918</v>
      </c>
      <c r="D789" s="428">
        <v>44713.0</v>
      </c>
      <c r="E789" s="237" t="s">
        <v>6933</v>
      </c>
      <c r="F789" s="237" t="s">
        <v>13399</v>
      </c>
      <c r="G789" s="237" t="s">
        <v>13403</v>
      </c>
      <c r="H789" s="237" t="s">
        <v>10765</v>
      </c>
      <c r="I789" s="237" t="s">
        <v>13404</v>
      </c>
      <c r="J789" s="237" t="s">
        <v>5224</v>
      </c>
      <c r="K789" s="237" t="s">
        <v>4818</v>
      </c>
      <c r="L789" s="237" t="s">
        <v>1896</v>
      </c>
      <c r="M789" s="232" t="s">
        <v>9383</v>
      </c>
      <c r="N789" s="430" t="s">
        <v>17527</v>
      </c>
    </row>
    <row r="790">
      <c r="A790" s="427">
        <v>789.0</v>
      </c>
      <c r="B790" s="237" t="s">
        <v>8949</v>
      </c>
      <c r="C790" s="237" t="s">
        <v>6918</v>
      </c>
      <c r="D790" s="428">
        <v>44396.0</v>
      </c>
      <c r="E790" s="237" t="s">
        <v>6921</v>
      </c>
      <c r="F790" s="237" t="s">
        <v>13552</v>
      </c>
      <c r="G790" s="237" t="s">
        <v>13553</v>
      </c>
      <c r="H790" s="237" t="s">
        <v>11585</v>
      </c>
      <c r="I790" s="237" t="s">
        <v>13554</v>
      </c>
      <c r="J790" s="237" t="s">
        <v>5224</v>
      </c>
      <c r="K790" s="237" t="s">
        <v>4818</v>
      </c>
      <c r="L790" s="237" t="s">
        <v>2244</v>
      </c>
      <c r="M790" s="232" t="s">
        <v>9383</v>
      </c>
      <c r="N790" s="430" t="s">
        <v>17527</v>
      </c>
    </row>
    <row r="791">
      <c r="A791" s="427">
        <v>790.0</v>
      </c>
      <c r="B791" s="237" t="s">
        <v>8396</v>
      </c>
      <c r="C791" s="237" t="s">
        <v>6918</v>
      </c>
      <c r="D791" s="428">
        <v>34051.0</v>
      </c>
      <c r="E791" s="237" t="s">
        <v>6921</v>
      </c>
      <c r="F791" s="237" t="s">
        <v>10433</v>
      </c>
      <c r="G791" s="237" t="s">
        <v>13475</v>
      </c>
      <c r="H791" s="237" t="s">
        <v>10749</v>
      </c>
      <c r="I791" s="237" t="s">
        <v>13476</v>
      </c>
      <c r="J791" s="237" t="s">
        <v>5224</v>
      </c>
      <c r="K791" s="237" t="s">
        <v>4818</v>
      </c>
      <c r="L791" s="237" t="s">
        <v>8398</v>
      </c>
      <c r="M791" s="232" t="s">
        <v>9383</v>
      </c>
      <c r="N791" s="430" t="s">
        <v>17527</v>
      </c>
    </row>
    <row r="792">
      <c r="A792" s="427">
        <v>791.0</v>
      </c>
      <c r="B792" s="237" t="s">
        <v>7169</v>
      </c>
      <c r="C792" s="237" t="s">
        <v>6918</v>
      </c>
      <c r="D792" s="428">
        <v>40695.0</v>
      </c>
      <c r="E792" s="237" t="s">
        <v>6921</v>
      </c>
      <c r="F792" s="237" t="s">
        <v>13561</v>
      </c>
      <c r="G792" s="237" t="s">
        <v>13562</v>
      </c>
      <c r="H792" s="237" t="s">
        <v>9669</v>
      </c>
      <c r="I792" s="237" t="s">
        <v>13563</v>
      </c>
      <c r="J792" s="237" t="s">
        <v>5224</v>
      </c>
      <c r="K792" s="237" t="s">
        <v>4818</v>
      </c>
      <c r="L792" s="237" t="s">
        <v>1602</v>
      </c>
      <c r="M792" s="232" t="s">
        <v>9383</v>
      </c>
      <c r="N792" s="430" t="s">
        <v>17527</v>
      </c>
    </row>
    <row r="793">
      <c r="A793" s="427">
        <v>792.0</v>
      </c>
      <c r="B793" s="237" t="s">
        <v>6947</v>
      </c>
      <c r="C793" s="237" t="s">
        <v>6918</v>
      </c>
      <c r="D793" s="428">
        <v>40513.0</v>
      </c>
      <c r="E793" s="237" t="s">
        <v>6933</v>
      </c>
      <c r="F793" s="237" t="s">
        <v>12738</v>
      </c>
      <c r="G793" s="237" t="s">
        <v>16022</v>
      </c>
      <c r="H793" s="237" t="s">
        <v>10629</v>
      </c>
      <c r="I793" s="237" t="s">
        <v>16023</v>
      </c>
      <c r="J793" s="237" t="s">
        <v>5224</v>
      </c>
      <c r="K793" s="237" t="s">
        <v>4818</v>
      </c>
      <c r="L793" s="237" t="s">
        <v>6949</v>
      </c>
      <c r="M793" s="232" t="s">
        <v>9383</v>
      </c>
      <c r="N793" s="430" t="s">
        <v>17527</v>
      </c>
    </row>
    <row r="794">
      <c r="A794" s="427">
        <v>793.0</v>
      </c>
      <c r="B794" s="237" t="s">
        <v>7704</v>
      </c>
      <c r="C794" s="237" t="s">
        <v>6918</v>
      </c>
      <c r="D794" s="428">
        <v>38975.0</v>
      </c>
      <c r="E794" s="237" t="s">
        <v>6933</v>
      </c>
      <c r="F794" s="237" t="s">
        <v>13219</v>
      </c>
      <c r="G794" s="237" t="s">
        <v>13220</v>
      </c>
      <c r="H794" s="237" t="s">
        <v>11911</v>
      </c>
      <c r="I794" s="237" t="s">
        <v>13221</v>
      </c>
      <c r="J794" s="237" t="s">
        <v>5224</v>
      </c>
      <c r="K794" s="237" t="s">
        <v>4818</v>
      </c>
      <c r="L794" s="237" t="s">
        <v>2716</v>
      </c>
      <c r="M794" s="232" t="s">
        <v>9383</v>
      </c>
      <c r="N794" s="430" t="s">
        <v>17527</v>
      </c>
    </row>
    <row r="795">
      <c r="A795" s="427">
        <v>794.0</v>
      </c>
      <c r="B795" s="237" t="s">
        <v>4116</v>
      </c>
      <c r="C795" s="237" t="s">
        <v>6918</v>
      </c>
      <c r="D795" s="428">
        <v>45383.0</v>
      </c>
      <c r="E795" s="237" t="s">
        <v>6933</v>
      </c>
      <c r="F795" s="237" t="s">
        <v>17681</v>
      </c>
      <c r="G795" s="237" t="s">
        <v>17682</v>
      </c>
      <c r="H795" s="237" t="s">
        <v>9464</v>
      </c>
      <c r="I795" s="237" t="s">
        <v>4826</v>
      </c>
      <c r="J795" s="237" t="s">
        <v>5224</v>
      </c>
      <c r="K795" s="237" t="s">
        <v>4818</v>
      </c>
      <c r="L795" s="237" t="s">
        <v>17683</v>
      </c>
      <c r="M795" s="232" t="s">
        <v>9383</v>
      </c>
      <c r="N795" s="430" t="s">
        <v>17527</v>
      </c>
    </row>
    <row r="796">
      <c r="A796" s="427">
        <v>795.0</v>
      </c>
      <c r="B796" s="237" t="s">
        <v>6985</v>
      </c>
      <c r="C796" s="237" t="s">
        <v>6918</v>
      </c>
      <c r="D796" s="428">
        <v>44866.0</v>
      </c>
      <c r="E796" s="237" t="s">
        <v>6933</v>
      </c>
      <c r="F796" s="237" t="s">
        <v>13696</v>
      </c>
      <c r="G796" s="237" t="s">
        <v>13697</v>
      </c>
      <c r="H796" s="237" t="s">
        <v>10495</v>
      </c>
      <c r="I796" s="237" t="s">
        <v>13698</v>
      </c>
      <c r="J796" s="237" t="s">
        <v>5224</v>
      </c>
      <c r="K796" s="237" t="s">
        <v>4818</v>
      </c>
      <c r="L796" s="237" t="s">
        <v>13699</v>
      </c>
      <c r="M796" s="232" t="s">
        <v>9383</v>
      </c>
      <c r="N796" s="430" t="s">
        <v>17527</v>
      </c>
    </row>
    <row r="797">
      <c r="A797" s="427">
        <v>796.0</v>
      </c>
      <c r="B797" s="237" t="s">
        <v>7778</v>
      </c>
      <c r="C797" s="237" t="s">
        <v>6918</v>
      </c>
      <c r="D797" s="428">
        <v>43528.0</v>
      </c>
      <c r="E797" s="237" t="s">
        <v>6921</v>
      </c>
      <c r="F797" s="237" t="s">
        <v>15853</v>
      </c>
      <c r="G797" s="237" t="s">
        <v>15854</v>
      </c>
      <c r="H797" s="237" t="s">
        <v>9573</v>
      </c>
      <c r="I797" s="237" t="s">
        <v>15855</v>
      </c>
      <c r="J797" s="237" t="s">
        <v>5224</v>
      </c>
      <c r="K797" s="237" t="s">
        <v>4818</v>
      </c>
      <c r="L797" s="237" t="s">
        <v>5890</v>
      </c>
      <c r="M797" s="232" t="s">
        <v>9383</v>
      </c>
      <c r="N797" s="430" t="s">
        <v>17527</v>
      </c>
    </row>
    <row r="798">
      <c r="A798" s="427">
        <v>797.0</v>
      </c>
      <c r="B798" s="237" t="s">
        <v>4231</v>
      </c>
      <c r="C798" s="237" t="s">
        <v>6918</v>
      </c>
      <c r="D798" s="428">
        <v>45439.0</v>
      </c>
      <c r="E798" s="237" t="s">
        <v>6921</v>
      </c>
      <c r="F798" s="237" t="s">
        <v>17684</v>
      </c>
      <c r="G798" s="237" t="s">
        <v>17685</v>
      </c>
      <c r="H798" s="237" t="s">
        <v>17686</v>
      </c>
      <c r="I798" s="237" t="s">
        <v>4983</v>
      </c>
      <c r="J798" s="237" t="s">
        <v>5012</v>
      </c>
      <c r="K798" s="237" t="s">
        <v>4818</v>
      </c>
      <c r="L798" s="237" t="s">
        <v>17370</v>
      </c>
      <c r="M798" s="232" t="s">
        <v>9383</v>
      </c>
      <c r="N798" s="430" t="s">
        <v>17527</v>
      </c>
    </row>
    <row r="799">
      <c r="A799" s="427">
        <v>798.0</v>
      </c>
      <c r="B799" s="237" t="s">
        <v>4821</v>
      </c>
      <c r="C799" s="237" t="s">
        <v>6918</v>
      </c>
      <c r="D799" s="428">
        <v>43693.0</v>
      </c>
      <c r="E799" s="237" t="s">
        <v>6933</v>
      </c>
      <c r="F799" s="237" t="s">
        <v>14417</v>
      </c>
      <c r="G799" s="237" t="s">
        <v>14418</v>
      </c>
      <c r="H799" s="237" t="s">
        <v>14419</v>
      </c>
      <c r="I799" s="237" t="s">
        <v>4822</v>
      </c>
      <c r="J799" s="237" t="s">
        <v>5224</v>
      </c>
      <c r="K799" s="237" t="s">
        <v>4818</v>
      </c>
      <c r="L799" s="237" t="s">
        <v>13402</v>
      </c>
      <c r="M799" s="232" t="s">
        <v>9383</v>
      </c>
      <c r="N799" s="430" t="s">
        <v>17527</v>
      </c>
    </row>
    <row r="800">
      <c r="A800" s="427">
        <v>799.0</v>
      </c>
      <c r="B800" s="237" t="s">
        <v>14632</v>
      </c>
      <c r="C800" s="237" t="s">
        <v>6918</v>
      </c>
      <c r="D800" s="428">
        <v>44361.0</v>
      </c>
      <c r="E800" s="237" t="s">
        <v>6921</v>
      </c>
      <c r="F800" s="237" t="s">
        <v>14634</v>
      </c>
      <c r="G800" s="237" t="s">
        <v>14635</v>
      </c>
      <c r="H800" s="237" t="s">
        <v>14636</v>
      </c>
      <c r="I800" s="237" t="s">
        <v>14637</v>
      </c>
      <c r="J800" s="237" t="s">
        <v>5224</v>
      </c>
      <c r="K800" s="237" t="s">
        <v>4818</v>
      </c>
      <c r="L800" s="237" t="s">
        <v>17359</v>
      </c>
      <c r="M800" s="232" t="s">
        <v>9383</v>
      </c>
      <c r="N800" s="430" t="s">
        <v>17527</v>
      </c>
    </row>
    <row r="801">
      <c r="A801" s="427">
        <v>800.0</v>
      </c>
      <c r="B801" s="237" t="s">
        <v>8625</v>
      </c>
      <c r="C801" s="237" t="s">
        <v>6918</v>
      </c>
      <c r="D801" s="428">
        <v>34561.0</v>
      </c>
      <c r="E801" s="237" t="s">
        <v>6921</v>
      </c>
      <c r="F801" s="237" t="s">
        <v>14566</v>
      </c>
      <c r="G801" s="237" t="s">
        <v>14567</v>
      </c>
      <c r="H801" s="237" t="s">
        <v>14568</v>
      </c>
      <c r="I801" s="237" t="s">
        <v>14569</v>
      </c>
      <c r="J801" s="237" t="s">
        <v>5224</v>
      </c>
      <c r="K801" s="237" t="s">
        <v>4818</v>
      </c>
      <c r="L801" s="237" t="s">
        <v>8609</v>
      </c>
      <c r="M801" s="232" t="s">
        <v>9383</v>
      </c>
      <c r="N801" s="430" t="s">
        <v>17527</v>
      </c>
    </row>
    <row r="802">
      <c r="A802" s="427">
        <v>801.0</v>
      </c>
      <c r="B802" s="237" t="s">
        <v>7911</v>
      </c>
      <c r="C802" s="237" t="s">
        <v>6918</v>
      </c>
      <c r="D802" s="428">
        <v>36894.0</v>
      </c>
      <c r="E802" s="237" t="s">
        <v>6921</v>
      </c>
      <c r="F802" s="237" t="s">
        <v>14341</v>
      </c>
      <c r="G802" s="237" t="s">
        <v>14342</v>
      </c>
      <c r="H802" s="237" t="s">
        <v>12025</v>
      </c>
      <c r="I802" s="237" t="s">
        <v>14343</v>
      </c>
      <c r="J802" s="237" t="s">
        <v>5224</v>
      </c>
      <c r="K802" s="237" t="s">
        <v>4818</v>
      </c>
      <c r="L802" s="237" t="s">
        <v>7913</v>
      </c>
      <c r="M802" s="232" t="s">
        <v>9383</v>
      </c>
      <c r="N802" s="430" t="s">
        <v>17527</v>
      </c>
    </row>
    <row r="803">
      <c r="A803" s="427">
        <v>802.0</v>
      </c>
      <c r="B803" s="237" t="s">
        <v>1633</v>
      </c>
      <c r="C803" s="237" t="s">
        <v>6918</v>
      </c>
      <c r="D803" s="428">
        <v>40042.0</v>
      </c>
      <c r="E803" s="237" t="s">
        <v>6933</v>
      </c>
      <c r="F803" s="237" t="s">
        <v>15420</v>
      </c>
      <c r="G803" s="237" t="s">
        <v>14481</v>
      </c>
      <c r="H803" s="237" t="s">
        <v>15421</v>
      </c>
      <c r="I803" s="237" t="s">
        <v>15422</v>
      </c>
      <c r="J803" s="237" t="s">
        <v>5224</v>
      </c>
      <c r="K803" s="237" t="s">
        <v>4818</v>
      </c>
      <c r="L803" s="237" t="s">
        <v>7688</v>
      </c>
      <c r="M803" s="232" t="s">
        <v>9383</v>
      </c>
      <c r="N803" s="430" t="s">
        <v>17527</v>
      </c>
    </row>
    <row r="804">
      <c r="A804" s="427">
        <v>803.0</v>
      </c>
      <c r="B804" s="237" t="s">
        <v>7432</v>
      </c>
      <c r="C804" s="237" t="s">
        <v>6918</v>
      </c>
      <c r="D804" s="428">
        <v>43997.0</v>
      </c>
      <c r="E804" s="237" t="s">
        <v>6921</v>
      </c>
      <c r="F804" s="237" t="s">
        <v>15575</v>
      </c>
      <c r="G804" s="237" t="s">
        <v>15576</v>
      </c>
      <c r="H804" s="237" t="s">
        <v>10126</v>
      </c>
      <c r="I804" s="237" t="s">
        <v>15577</v>
      </c>
      <c r="J804" s="237" t="s">
        <v>5224</v>
      </c>
      <c r="K804" s="237" t="s">
        <v>4818</v>
      </c>
      <c r="L804" s="237" t="s">
        <v>7434</v>
      </c>
      <c r="M804" s="232" t="s">
        <v>9383</v>
      </c>
      <c r="N804" s="430" t="s">
        <v>17527</v>
      </c>
    </row>
    <row r="805">
      <c r="A805" s="427">
        <v>804.0</v>
      </c>
      <c r="B805" s="237" t="s">
        <v>9056</v>
      </c>
      <c r="C805" s="237" t="s">
        <v>6918</v>
      </c>
      <c r="D805" s="428">
        <v>44166.0</v>
      </c>
      <c r="E805" s="237" t="s">
        <v>6933</v>
      </c>
      <c r="F805" s="237" t="s">
        <v>13839</v>
      </c>
      <c r="G805" s="237" t="s">
        <v>13840</v>
      </c>
      <c r="H805" s="237" t="s">
        <v>13841</v>
      </c>
      <c r="I805" s="237" t="s">
        <v>13842</v>
      </c>
      <c r="J805" s="237" t="s">
        <v>5224</v>
      </c>
      <c r="K805" s="237" t="s">
        <v>4818</v>
      </c>
      <c r="L805" s="237" t="s">
        <v>2508</v>
      </c>
      <c r="M805" s="232" t="s">
        <v>9383</v>
      </c>
      <c r="N805" s="430" t="s">
        <v>17527</v>
      </c>
    </row>
    <row r="806">
      <c r="A806" s="427">
        <v>805.0</v>
      </c>
      <c r="B806" s="237" t="s">
        <v>6959</v>
      </c>
      <c r="C806" s="237" t="s">
        <v>6918</v>
      </c>
      <c r="D806" s="428">
        <v>39783.0</v>
      </c>
      <c r="E806" s="237" t="s">
        <v>6933</v>
      </c>
      <c r="F806" s="237" t="s">
        <v>15182</v>
      </c>
      <c r="G806" s="237" t="s">
        <v>15183</v>
      </c>
      <c r="H806" s="237" t="s">
        <v>15184</v>
      </c>
      <c r="I806" s="237" t="s">
        <v>15185</v>
      </c>
      <c r="J806" s="237" t="s">
        <v>5224</v>
      </c>
      <c r="K806" s="237" t="s">
        <v>4818</v>
      </c>
      <c r="L806" s="237" t="s">
        <v>6961</v>
      </c>
      <c r="M806" s="232" t="s">
        <v>9383</v>
      </c>
      <c r="N806" s="430" t="s">
        <v>17527</v>
      </c>
    </row>
    <row r="807">
      <c r="A807" s="427">
        <v>806.0</v>
      </c>
      <c r="B807" s="237" t="s">
        <v>7973</v>
      </c>
      <c r="C807" s="237" t="s">
        <v>6918</v>
      </c>
      <c r="D807" s="428">
        <v>39417.0</v>
      </c>
      <c r="E807" s="237" t="s">
        <v>6921</v>
      </c>
      <c r="F807" s="237" t="s">
        <v>15096</v>
      </c>
      <c r="G807" s="237" t="s">
        <v>15097</v>
      </c>
      <c r="H807" s="237" t="s">
        <v>15098</v>
      </c>
      <c r="I807" s="237" t="s">
        <v>15099</v>
      </c>
      <c r="J807" s="237" t="s">
        <v>5224</v>
      </c>
      <c r="K807" s="237" t="s">
        <v>4818</v>
      </c>
      <c r="L807" s="237" t="s">
        <v>7626</v>
      </c>
      <c r="M807" s="232" t="s">
        <v>9383</v>
      </c>
      <c r="N807" s="430" t="s">
        <v>17527</v>
      </c>
    </row>
    <row r="808">
      <c r="A808" s="427">
        <v>807.0</v>
      </c>
      <c r="B808" s="237" t="s">
        <v>8618</v>
      </c>
      <c r="C808" s="237" t="s">
        <v>6918</v>
      </c>
      <c r="D808" s="428">
        <v>37473.0</v>
      </c>
      <c r="E808" s="237" t="s">
        <v>6921</v>
      </c>
      <c r="F808" s="237" t="s">
        <v>10121</v>
      </c>
      <c r="G808" s="237" t="s">
        <v>12986</v>
      </c>
      <c r="H808" s="237" t="s">
        <v>12987</v>
      </c>
      <c r="I808" s="237" t="s">
        <v>12988</v>
      </c>
      <c r="J808" s="237" t="s">
        <v>5224</v>
      </c>
      <c r="K808" s="237" t="s">
        <v>12989</v>
      </c>
      <c r="L808" s="237" t="s">
        <v>8609</v>
      </c>
      <c r="M808" s="232" t="s">
        <v>9383</v>
      </c>
      <c r="N808" s="430" t="s">
        <v>17527</v>
      </c>
    </row>
    <row r="809">
      <c r="A809" s="427">
        <v>808.0</v>
      </c>
      <c r="B809" s="237" t="s">
        <v>9600</v>
      </c>
      <c r="C809" s="237" t="s">
        <v>8796</v>
      </c>
      <c r="D809" s="428">
        <v>44410.0</v>
      </c>
      <c r="E809" s="237" t="s">
        <v>6933</v>
      </c>
      <c r="F809" s="237" t="s">
        <v>9602</v>
      </c>
      <c r="G809" s="237" t="s">
        <v>9603</v>
      </c>
      <c r="H809" s="231"/>
      <c r="I809" s="231"/>
      <c r="J809" s="237" t="s">
        <v>5224</v>
      </c>
      <c r="K809" s="237" t="s">
        <v>9604</v>
      </c>
      <c r="L809" s="237" t="s">
        <v>8655</v>
      </c>
      <c r="M809" s="232" t="s">
        <v>9383</v>
      </c>
      <c r="N809" s="430" t="s">
        <v>17527</v>
      </c>
    </row>
    <row r="810">
      <c r="A810" s="427">
        <v>809.0</v>
      </c>
      <c r="B810" s="237" t="s">
        <v>7367</v>
      </c>
      <c r="C810" s="237" t="s">
        <v>6918</v>
      </c>
      <c r="D810" s="428">
        <v>39673.0</v>
      </c>
      <c r="E810" s="237" t="s">
        <v>6921</v>
      </c>
      <c r="F810" s="237" t="s">
        <v>15792</v>
      </c>
      <c r="G810" s="237" t="s">
        <v>15793</v>
      </c>
      <c r="H810" s="237" t="s">
        <v>12404</v>
      </c>
      <c r="I810" s="237" t="s">
        <v>15794</v>
      </c>
      <c r="J810" s="237" t="s">
        <v>5224</v>
      </c>
      <c r="K810" s="237" t="s">
        <v>9604</v>
      </c>
      <c r="L810" s="237" t="s">
        <v>15795</v>
      </c>
      <c r="M810" s="232" t="s">
        <v>9383</v>
      </c>
      <c r="N810" s="430" t="s">
        <v>17527</v>
      </c>
    </row>
    <row r="811">
      <c r="A811" s="427">
        <v>810.0</v>
      </c>
      <c r="B811" s="237" t="s">
        <v>8028</v>
      </c>
      <c r="C811" s="237" t="s">
        <v>6918</v>
      </c>
      <c r="D811" s="428">
        <v>39295.0</v>
      </c>
      <c r="E811" s="237" t="s">
        <v>6921</v>
      </c>
      <c r="F811" s="237" t="s">
        <v>15454</v>
      </c>
      <c r="G811" s="237" t="s">
        <v>15455</v>
      </c>
      <c r="H811" s="237" t="s">
        <v>15456</v>
      </c>
      <c r="I811" s="237" t="s">
        <v>15457</v>
      </c>
      <c r="J811" s="237" t="s">
        <v>5224</v>
      </c>
      <c r="K811" s="237" t="s">
        <v>9604</v>
      </c>
      <c r="L811" s="237" t="s">
        <v>2165</v>
      </c>
      <c r="M811" s="232" t="s">
        <v>9383</v>
      </c>
      <c r="N811" s="430" t="s">
        <v>17527</v>
      </c>
    </row>
    <row r="812">
      <c r="A812" s="427">
        <v>811.0</v>
      </c>
      <c r="B812" s="237" t="s">
        <v>8436</v>
      </c>
      <c r="C812" s="237" t="s">
        <v>6918</v>
      </c>
      <c r="D812" s="428">
        <v>44410.0</v>
      </c>
      <c r="E812" s="237" t="s">
        <v>6933</v>
      </c>
      <c r="F812" s="237" t="s">
        <v>9602</v>
      </c>
      <c r="G812" s="237" t="s">
        <v>9603</v>
      </c>
      <c r="H812" s="237" t="s">
        <v>9637</v>
      </c>
      <c r="I812" s="237" t="s">
        <v>13829</v>
      </c>
      <c r="J812" s="237" t="s">
        <v>5224</v>
      </c>
      <c r="K812" s="237" t="s">
        <v>9604</v>
      </c>
      <c r="L812" s="237" t="s">
        <v>8438</v>
      </c>
      <c r="M812" s="232" t="s">
        <v>9383</v>
      </c>
      <c r="N812" s="430" t="s">
        <v>17527</v>
      </c>
    </row>
    <row r="813">
      <c r="A813" s="427">
        <v>812.0</v>
      </c>
      <c r="B813" s="237" t="s">
        <v>9612</v>
      </c>
      <c r="C813" s="237" t="s">
        <v>8796</v>
      </c>
      <c r="D813" s="428">
        <v>41078.0</v>
      </c>
      <c r="E813" s="237" t="s">
        <v>6921</v>
      </c>
      <c r="F813" s="237" t="s">
        <v>9614</v>
      </c>
      <c r="G813" s="237" t="s">
        <v>9615</v>
      </c>
      <c r="H813" s="237" t="s">
        <v>9616</v>
      </c>
      <c r="I813" s="237" t="s">
        <v>9617</v>
      </c>
      <c r="J813" s="237" t="s">
        <v>5012</v>
      </c>
      <c r="K813" s="237" t="s">
        <v>9618</v>
      </c>
      <c r="L813" s="237" t="s">
        <v>9619</v>
      </c>
      <c r="M813" s="232" t="s">
        <v>9383</v>
      </c>
      <c r="N813" s="430" t="s">
        <v>17527</v>
      </c>
    </row>
    <row r="814">
      <c r="A814" s="427">
        <v>813.0</v>
      </c>
      <c r="B814" s="237" t="s">
        <v>9330</v>
      </c>
      <c r="C814" s="237" t="s">
        <v>8796</v>
      </c>
      <c r="D814" s="428">
        <v>40350.0</v>
      </c>
      <c r="E814" s="237" t="s">
        <v>6921</v>
      </c>
      <c r="F814" s="237" t="s">
        <v>10030</v>
      </c>
      <c r="G814" s="237" t="s">
        <v>10031</v>
      </c>
      <c r="H814" s="237" t="s">
        <v>10032</v>
      </c>
      <c r="I814" s="237" t="s">
        <v>10033</v>
      </c>
      <c r="J814" s="237" t="s">
        <v>5224</v>
      </c>
      <c r="K814" s="237" t="s">
        <v>4835</v>
      </c>
      <c r="L814" s="237" t="s">
        <v>5805</v>
      </c>
      <c r="M814" s="232" t="s">
        <v>9383</v>
      </c>
      <c r="N814" s="430" t="s">
        <v>17527</v>
      </c>
    </row>
    <row r="815">
      <c r="A815" s="427">
        <v>814.0</v>
      </c>
      <c r="B815" s="237" t="s">
        <v>9870</v>
      </c>
      <c r="C815" s="237" t="s">
        <v>8796</v>
      </c>
      <c r="D815" s="428">
        <v>41837.0</v>
      </c>
      <c r="E815" s="237" t="s">
        <v>6921</v>
      </c>
      <c r="F815" s="237" t="s">
        <v>9872</v>
      </c>
      <c r="G815" s="237" t="s">
        <v>9873</v>
      </c>
      <c r="H815" s="237" t="s">
        <v>9874</v>
      </c>
      <c r="I815" s="237" t="s">
        <v>5561</v>
      </c>
      <c r="J815" s="237" t="s">
        <v>5224</v>
      </c>
      <c r="K815" s="237" t="s">
        <v>4835</v>
      </c>
      <c r="L815" s="237" t="s">
        <v>17392</v>
      </c>
      <c r="M815" s="232" t="s">
        <v>9383</v>
      </c>
      <c r="N815" s="430" t="s">
        <v>17527</v>
      </c>
    </row>
    <row r="816">
      <c r="A816" s="427">
        <v>815.0</v>
      </c>
      <c r="B816" s="237" t="s">
        <v>10288</v>
      </c>
      <c r="C816" s="237" t="s">
        <v>10103</v>
      </c>
      <c r="D816" s="428">
        <v>44256.0</v>
      </c>
      <c r="E816" s="237" t="s">
        <v>6921</v>
      </c>
      <c r="F816" s="237" t="s">
        <v>10289</v>
      </c>
      <c r="G816" s="237" t="s">
        <v>10290</v>
      </c>
      <c r="H816" s="237" t="s">
        <v>9956</v>
      </c>
      <c r="I816" s="237" t="s">
        <v>10291</v>
      </c>
      <c r="J816" s="237" t="s">
        <v>5224</v>
      </c>
      <c r="K816" s="237" t="s">
        <v>4835</v>
      </c>
      <c r="L816" s="237" t="s">
        <v>17687</v>
      </c>
      <c r="M816" s="232" t="s">
        <v>9383</v>
      </c>
      <c r="N816" s="430" t="s">
        <v>17527</v>
      </c>
    </row>
    <row r="817">
      <c r="A817" s="427">
        <v>816.0</v>
      </c>
      <c r="B817" s="237" t="s">
        <v>4167</v>
      </c>
      <c r="C817" s="237" t="s">
        <v>10103</v>
      </c>
      <c r="D817" s="428">
        <v>40269.0</v>
      </c>
      <c r="E817" s="237" t="s">
        <v>6921</v>
      </c>
      <c r="F817" s="237" t="s">
        <v>17688</v>
      </c>
      <c r="G817" s="237" t="s">
        <v>17689</v>
      </c>
      <c r="H817" s="237" t="s">
        <v>14117</v>
      </c>
      <c r="I817" s="237" t="s">
        <v>6779</v>
      </c>
      <c r="J817" s="237" t="s">
        <v>5224</v>
      </c>
      <c r="K817" s="237" t="s">
        <v>4835</v>
      </c>
      <c r="L817" s="237" t="s">
        <v>54</v>
      </c>
      <c r="M817" s="232" t="s">
        <v>9383</v>
      </c>
      <c r="N817" s="430" t="s">
        <v>17527</v>
      </c>
    </row>
    <row r="818">
      <c r="A818" s="427">
        <v>817.0</v>
      </c>
      <c r="B818" s="237" t="s">
        <v>830</v>
      </c>
      <c r="C818" s="237" t="s">
        <v>10103</v>
      </c>
      <c r="D818" s="428">
        <v>45306.0</v>
      </c>
      <c r="E818" s="237" t="s">
        <v>6921</v>
      </c>
      <c r="F818" s="237" t="s">
        <v>11045</v>
      </c>
      <c r="G818" s="237" t="s">
        <v>11046</v>
      </c>
      <c r="H818" s="237" t="s">
        <v>9669</v>
      </c>
      <c r="I818" s="237" t="s">
        <v>833</v>
      </c>
      <c r="J818" s="237" t="s">
        <v>5224</v>
      </c>
      <c r="K818" s="237" t="s">
        <v>4835</v>
      </c>
      <c r="L818" s="237" t="s">
        <v>832</v>
      </c>
      <c r="M818" s="232" t="s">
        <v>9383</v>
      </c>
      <c r="N818" s="430" t="s">
        <v>17527</v>
      </c>
    </row>
    <row r="819">
      <c r="A819" s="427">
        <v>818.0</v>
      </c>
      <c r="B819" s="237" t="s">
        <v>11380</v>
      </c>
      <c r="C819" s="237" t="s">
        <v>10103</v>
      </c>
      <c r="D819" s="428">
        <v>45257.0</v>
      </c>
      <c r="E819" s="237" t="s">
        <v>6933</v>
      </c>
      <c r="F819" s="237" t="s">
        <v>11382</v>
      </c>
      <c r="G819" s="237" t="s">
        <v>11383</v>
      </c>
      <c r="H819" s="237" t="s">
        <v>9827</v>
      </c>
      <c r="I819" s="237" t="s">
        <v>11384</v>
      </c>
      <c r="J819" s="237" t="s">
        <v>5224</v>
      </c>
      <c r="K819" s="237" t="s">
        <v>4835</v>
      </c>
      <c r="L819" s="237" t="s">
        <v>832</v>
      </c>
      <c r="M819" s="232" t="s">
        <v>9383</v>
      </c>
      <c r="N819" s="430" t="s">
        <v>17527</v>
      </c>
    </row>
    <row r="820">
      <c r="A820" s="427">
        <v>819.0</v>
      </c>
      <c r="B820" s="237" t="s">
        <v>12021</v>
      </c>
      <c r="C820" s="237" t="s">
        <v>10103</v>
      </c>
      <c r="D820" s="428">
        <v>44910.0</v>
      </c>
      <c r="E820" s="237" t="s">
        <v>6921</v>
      </c>
      <c r="F820" s="237" t="s">
        <v>12023</v>
      </c>
      <c r="G820" s="237" t="s">
        <v>12024</v>
      </c>
      <c r="H820" s="237" t="s">
        <v>12025</v>
      </c>
      <c r="I820" s="237" t="s">
        <v>12026</v>
      </c>
      <c r="J820" s="237" t="s">
        <v>5012</v>
      </c>
      <c r="K820" s="237" t="s">
        <v>4835</v>
      </c>
      <c r="L820" s="237" t="s">
        <v>566</v>
      </c>
      <c r="M820" s="232" t="s">
        <v>9383</v>
      </c>
      <c r="N820" s="430" t="s">
        <v>17527</v>
      </c>
    </row>
    <row r="821">
      <c r="A821" s="427">
        <v>820.0</v>
      </c>
      <c r="B821" s="237" t="s">
        <v>7525</v>
      </c>
      <c r="C821" s="237" t="s">
        <v>7523</v>
      </c>
      <c r="D821" s="428">
        <v>37502.0</v>
      </c>
      <c r="E821" s="237" t="s">
        <v>6921</v>
      </c>
      <c r="F821" s="237" t="s">
        <v>12407</v>
      </c>
      <c r="G821" s="237" t="s">
        <v>12408</v>
      </c>
      <c r="H821" s="237" t="s">
        <v>12409</v>
      </c>
      <c r="I821" s="237" t="s">
        <v>12410</v>
      </c>
      <c r="J821" s="237" t="s">
        <v>5224</v>
      </c>
      <c r="K821" s="237" t="s">
        <v>4835</v>
      </c>
      <c r="L821" s="237" t="s">
        <v>7264</v>
      </c>
      <c r="M821" s="232" t="s">
        <v>9383</v>
      </c>
      <c r="N821" s="430" t="s">
        <v>17527</v>
      </c>
    </row>
    <row r="822">
      <c r="A822" s="427">
        <v>821.0</v>
      </c>
      <c r="B822" s="237" t="s">
        <v>3413</v>
      </c>
      <c r="C822" s="237" t="s">
        <v>12420</v>
      </c>
      <c r="D822" s="428">
        <v>44986.0</v>
      </c>
      <c r="E822" s="237" t="s">
        <v>6933</v>
      </c>
      <c r="F822" s="237" t="s">
        <v>17690</v>
      </c>
      <c r="G822" s="237" t="s">
        <v>17691</v>
      </c>
      <c r="H822" s="237" t="s">
        <v>17692</v>
      </c>
      <c r="I822" s="237" t="s">
        <v>6491</v>
      </c>
      <c r="J822" s="237" t="s">
        <v>5224</v>
      </c>
      <c r="K822" s="237" t="s">
        <v>4835</v>
      </c>
      <c r="L822" s="237" t="s">
        <v>2047</v>
      </c>
      <c r="M822" s="232" t="s">
        <v>9383</v>
      </c>
      <c r="N822" s="430" t="s">
        <v>17527</v>
      </c>
    </row>
    <row r="823">
      <c r="A823" s="427">
        <v>822.0</v>
      </c>
      <c r="B823" s="237" t="s">
        <v>7624</v>
      </c>
      <c r="C823" s="237" t="s">
        <v>7385</v>
      </c>
      <c r="D823" s="428">
        <v>39610.0</v>
      </c>
      <c r="E823" s="237" t="s">
        <v>6921</v>
      </c>
      <c r="F823" s="237" t="s">
        <v>12864</v>
      </c>
      <c r="G823" s="237" t="s">
        <v>12865</v>
      </c>
      <c r="H823" s="237" t="s">
        <v>9637</v>
      </c>
      <c r="I823" s="237" t="s">
        <v>12866</v>
      </c>
      <c r="J823" s="237" t="s">
        <v>5224</v>
      </c>
      <c r="K823" s="237" t="s">
        <v>4835</v>
      </c>
      <c r="L823" s="237" t="s">
        <v>7626</v>
      </c>
      <c r="M823" s="232" t="s">
        <v>9383</v>
      </c>
      <c r="N823" s="430" t="s">
        <v>17527</v>
      </c>
    </row>
    <row r="824">
      <c r="A824" s="427">
        <v>823.0</v>
      </c>
      <c r="B824" s="237" t="s">
        <v>7586</v>
      </c>
      <c r="C824" s="237" t="s">
        <v>7575</v>
      </c>
      <c r="D824" s="428">
        <v>45140.0</v>
      </c>
      <c r="E824" s="237" t="s">
        <v>6921</v>
      </c>
      <c r="F824" s="237" t="s">
        <v>12786</v>
      </c>
      <c r="G824" s="237" t="s">
        <v>12787</v>
      </c>
      <c r="H824" s="237" t="s">
        <v>10003</v>
      </c>
      <c r="I824" s="237" t="s">
        <v>343</v>
      </c>
      <c r="J824" s="237" t="s">
        <v>5224</v>
      </c>
      <c r="K824" s="237" t="s">
        <v>4835</v>
      </c>
      <c r="L824" s="237" t="s">
        <v>10538</v>
      </c>
      <c r="M824" s="232" t="s">
        <v>9383</v>
      </c>
      <c r="N824" s="430" t="s">
        <v>17527</v>
      </c>
    </row>
    <row r="825">
      <c r="A825" s="427">
        <v>824.0</v>
      </c>
      <c r="B825" s="237" t="s">
        <v>8547</v>
      </c>
      <c r="C825" s="237" t="s">
        <v>6918</v>
      </c>
      <c r="D825" s="428">
        <v>44321.0</v>
      </c>
      <c r="E825" s="237" t="s">
        <v>6933</v>
      </c>
      <c r="F825" s="237" t="s">
        <v>16031</v>
      </c>
      <c r="G825" s="237" t="s">
        <v>16032</v>
      </c>
      <c r="H825" s="237" t="s">
        <v>11563</v>
      </c>
      <c r="I825" s="237" t="s">
        <v>16033</v>
      </c>
      <c r="J825" s="237" t="s">
        <v>5224</v>
      </c>
      <c r="K825" s="237" t="s">
        <v>4835</v>
      </c>
      <c r="L825" s="237" t="s">
        <v>2081</v>
      </c>
      <c r="M825" s="232" t="s">
        <v>9383</v>
      </c>
      <c r="N825" s="430" t="s">
        <v>17527</v>
      </c>
    </row>
    <row r="826">
      <c r="A826" s="427">
        <v>825.0</v>
      </c>
      <c r="B826" s="237" t="s">
        <v>14225</v>
      </c>
      <c r="C826" s="237" t="s">
        <v>6918</v>
      </c>
      <c r="D826" s="428">
        <v>45383.0</v>
      </c>
      <c r="E826" s="237" t="s">
        <v>6933</v>
      </c>
      <c r="F826" s="237" t="s">
        <v>14226</v>
      </c>
      <c r="G826" s="237" t="s">
        <v>14227</v>
      </c>
      <c r="H826" s="237" t="s">
        <v>14228</v>
      </c>
      <c r="I826" s="237" t="s">
        <v>6294</v>
      </c>
      <c r="J826" s="237" t="s">
        <v>5012</v>
      </c>
      <c r="K826" s="237" t="s">
        <v>4835</v>
      </c>
      <c r="L826" s="237" t="s">
        <v>2513</v>
      </c>
      <c r="M826" s="232" t="s">
        <v>9383</v>
      </c>
      <c r="N826" s="430" t="s">
        <v>17527</v>
      </c>
    </row>
    <row r="827">
      <c r="A827" s="427">
        <v>826.0</v>
      </c>
      <c r="B827" s="237" t="s">
        <v>7174</v>
      </c>
      <c r="C827" s="237" t="s">
        <v>6918</v>
      </c>
      <c r="D827" s="428">
        <v>38693.0</v>
      </c>
      <c r="E827" s="237" t="s">
        <v>6933</v>
      </c>
      <c r="F827" s="237" t="s">
        <v>14222</v>
      </c>
      <c r="G827" s="237" t="s">
        <v>14223</v>
      </c>
      <c r="H827" s="237" t="s">
        <v>9538</v>
      </c>
      <c r="I827" s="237" t="s">
        <v>14224</v>
      </c>
      <c r="J827" s="237" t="s">
        <v>5224</v>
      </c>
      <c r="K827" s="237" t="s">
        <v>4835</v>
      </c>
      <c r="L827" s="237" t="s">
        <v>1602</v>
      </c>
      <c r="M827" s="232" t="s">
        <v>9383</v>
      </c>
      <c r="N827" s="430" t="s">
        <v>17527</v>
      </c>
    </row>
    <row r="828">
      <c r="A828" s="427">
        <v>827.0</v>
      </c>
      <c r="B828" s="237" t="s">
        <v>13502</v>
      </c>
      <c r="C828" s="237" t="s">
        <v>6918</v>
      </c>
      <c r="D828" s="428">
        <v>40308.0</v>
      </c>
      <c r="E828" s="237" t="s">
        <v>6933</v>
      </c>
      <c r="F828" s="237" t="s">
        <v>13504</v>
      </c>
      <c r="G828" s="237" t="s">
        <v>13505</v>
      </c>
      <c r="H828" s="237" t="s">
        <v>13506</v>
      </c>
      <c r="I828" s="237" t="s">
        <v>13507</v>
      </c>
      <c r="J828" s="237" t="s">
        <v>5012</v>
      </c>
      <c r="K828" s="237" t="s">
        <v>4835</v>
      </c>
      <c r="L828" s="237" t="s">
        <v>13020</v>
      </c>
      <c r="M828" s="232" t="s">
        <v>9383</v>
      </c>
      <c r="N828" s="430" t="s">
        <v>17527</v>
      </c>
    </row>
    <row r="829">
      <c r="A829" s="427">
        <v>828.0</v>
      </c>
      <c r="B829" s="237" t="s">
        <v>7137</v>
      </c>
      <c r="C829" s="237" t="s">
        <v>6918</v>
      </c>
      <c r="D829" s="428">
        <v>44287.0</v>
      </c>
      <c r="E829" s="237" t="s">
        <v>6933</v>
      </c>
      <c r="F829" s="237" t="s">
        <v>13564</v>
      </c>
      <c r="G829" s="237" t="s">
        <v>13565</v>
      </c>
      <c r="H829" s="237" t="s">
        <v>13566</v>
      </c>
      <c r="I829" s="237" t="s">
        <v>13567</v>
      </c>
      <c r="J829" s="237" t="s">
        <v>5224</v>
      </c>
      <c r="K829" s="237" t="s">
        <v>4835</v>
      </c>
      <c r="L829" s="237" t="s">
        <v>7133</v>
      </c>
      <c r="M829" s="232" t="s">
        <v>9383</v>
      </c>
      <c r="N829" s="430" t="s">
        <v>17527</v>
      </c>
    </row>
    <row r="830">
      <c r="A830" s="427">
        <v>829.0</v>
      </c>
      <c r="B830" s="237" t="s">
        <v>7500</v>
      </c>
      <c r="C830" s="237" t="s">
        <v>6918</v>
      </c>
      <c r="D830" s="428">
        <v>43374.0</v>
      </c>
      <c r="E830" s="237" t="s">
        <v>6921</v>
      </c>
      <c r="F830" s="237" t="s">
        <v>15977</v>
      </c>
      <c r="G830" s="237" t="s">
        <v>15978</v>
      </c>
      <c r="H830" s="237" t="s">
        <v>15979</v>
      </c>
      <c r="I830" s="237" t="s">
        <v>15980</v>
      </c>
      <c r="J830" s="237" t="s">
        <v>5224</v>
      </c>
      <c r="K830" s="237" t="s">
        <v>4835</v>
      </c>
      <c r="L830" s="237" t="s">
        <v>7502</v>
      </c>
      <c r="M830" s="232" t="s">
        <v>9383</v>
      </c>
      <c r="N830" s="430" t="s">
        <v>17527</v>
      </c>
    </row>
    <row r="831">
      <c r="A831" s="427">
        <v>830.0</v>
      </c>
      <c r="B831" s="237" t="s">
        <v>3523</v>
      </c>
      <c r="C831" s="237" t="s">
        <v>6918</v>
      </c>
      <c r="D831" s="428">
        <v>43696.0</v>
      </c>
      <c r="E831" s="237" t="s">
        <v>6921</v>
      </c>
      <c r="F831" s="237" t="s">
        <v>17693</v>
      </c>
      <c r="G831" s="237" t="s">
        <v>17694</v>
      </c>
      <c r="H831" s="237" t="s">
        <v>17695</v>
      </c>
      <c r="I831" s="237" t="s">
        <v>6557</v>
      </c>
      <c r="J831" s="237" t="s">
        <v>5224</v>
      </c>
      <c r="K831" s="237" t="s">
        <v>4835</v>
      </c>
      <c r="L831" s="237" t="s">
        <v>8850</v>
      </c>
      <c r="M831" s="232" t="s">
        <v>9383</v>
      </c>
      <c r="N831" s="430" t="s">
        <v>17527</v>
      </c>
    </row>
    <row r="832">
      <c r="A832" s="427">
        <v>831.0</v>
      </c>
      <c r="B832" s="237" t="s">
        <v>8584</v>
      </c>
      <c r="C832" s="237" t="s">
        <v>6918</v>
      </c>
      <c r="D832" s="428">
        <v>45096.0</v>
      </c>
      <c r="E832" s="237" t="s">
        <v>6933</v>
      </c>
      <c r="F832" s="237" t="s">
        <v>13117</v>
      </c>
      <c r="G832" s="237" t="s">
        <v>13118</v>
      </c>
      <c r="H832" s="237" t="s">
        <v>10491</v>
      </c>
      <c r="I832" s="237" t="s">
        <v>13119</v>
      </c>
      <c r="J832" s="237" t="s">
        <v>5224</v>
      </c>
      <c r="K832" s="237" t="s">
        <v>4835</v>
      </c>
      <c r="L832" s="237" t="s">
        <v>1896</v>
      </c>
      <c r="M832" s="232" t="s">
        <v>9383</v>
      </c>
      <c r="N832" s="430" t="s">
        <v>17527</v>
      </c>
    </row>
    <row r="833">
      <c r="A833" s="427">
        <v>832.0</v>
      </c>
      <c r="B833" s="237" t="s">
        <v>7178</v>
      </c>
      <c r="C833" s="237" t="s">
        <v>6918</v>
      </c>
      <c r="D833" s="428">
        <v>45223.0</v>
      </c>
      <c r="E833" s="237" t="s">
        <v>6921</v>
      </c>
      <c r="F833" s="237" t="s">
        <v>13183</v>
      </c>
      <c r="G833" s="237" t="s">
        <v>13189</v>
      </c>
      <c r="H833" s="237" t="s">
        <v>10420</v>
      </c>
      <c r="I833" s="237" t="s">
        <v>13190</v>
      </c>
      <c r="J833" s="237" t="s">
        <v>5224</v>
      </c>
      <c r="K833" s="237" t="s">
        <v>4835</v>
      </c>
      <c r="L833" s="237" t="s">
        <v>1602</v>
      </c>
      <c r="M833" s="232" t="s">
        <v>9383</v>
      </c>
      <c r="N833" s="430" t="s">
        <v>17527</v>
      </c>
    </row>
    <row r="834">
      <c r="A834" s="427">
        <v>833.0</v>
      </c>
      <c r="B834" s="237" t="s">
        <v>8555</v>
      </c>
      <c r="C834" s="237" t="s">
        <v>6918</v>
      </c>
      <c r="D834" s="428">
        <v>40763.0</v>
      </c>
      <c r="E834" s="237" t="s">
        <v>6921</v>
      </c>
      <c r="F834" s="237" t="s">
        <v>14958</v>
      </c>
      <c r="G834" s="237" t="s">
        <v>14959</v>
      </c>
      <c r="H834" s="237" t="s">
        <v>14320</v>
      </c>
      <c r="I834" s="237" t="s">
        <v>14960</v>
      </c>
      <c r="J834" s="237" t="s">
        <v>5224</v>
      </c>
      <c r="K834" s="237" t="s">
        <v>4835</v>
      </c>
      <c r="L834" s="237" t="s">
        <v>2208</v>
      </c>
      <c r="M834" s="232" t="s">
        <v>9383</v>
      </c>
      <c r="N834" s="430" t="s">
        <v>17527</v>
      </c>
    </row>
    <row r="835">
      <c r="A835" s="427">
        <v>834.0</v>
      </c>
      <c r="B835" s="237" t="s">
        <v>7359</v>
      </c>
      <c r="C835" s="237" t="s">
        <v>6918</v>
      </c>
      <c r="D835" s="428">
        <v>42668.0</v>
      </c>
      <c r="E835" s="237" t="s">
        <v>6921</v>
      </c>
      <c r="F835" s="237" t="s">
        <v>11141</v>
      </c>
      <c r="G835" s="237" t="s">
        <v>14272</v>
      </c>
      <c r="H835" s="237" t="s">
        <v>14273</v>
      </c>
      <c r="I835" s="237" t="s">
        <v>14274</v>
      </c>
      <c r="J835" s="237" t="s">
        <v>5224</v>
      </c>
      <c r="K835" s="237" t="s">
        <v>4835</v>
      </c>
      <c r="L835" s="237" t="s">
        <v>14275</v>
      </c>
      <c r="M835" s="232" t="s">
        <v>9383</v>
      </c>
      <c r="N835" s="430" t="s">
        <v>17527</v>
      </c>
    </row>
    <row r="836">
      <c r="A836" s="427">
        <v>835.0</v>
      </c>
      <c r="B836" s="237" t="s">
        <v>7928</v>
      </c>
      <c r="C836" s="237" t="s">
        <v>6918</v>
      </c>
      <c r="D836" s="428">
        <v>40452.0</v>
      </c>
      <c r="E836" s="237" t="s">
        <v>6921</v>
      </c>
      <c r="F836" s="237" t="s">
        <v>14544</v>
      </c>
      <c r="G836" s="237" t="s">
        <v>14545</v>
      </c>
      <c r="H836" s="237" t="s">
        <v>11838</v>
      </c>
      <c r="I836" s="237" t="s">
        <v>14546</v>
      </c>
      <c r="J836" s="237" t="s">
        <v>5224</v>
      </c>
      <c r="K836" s="237" t="s">
        <v>4835</v>
      </c>
      <c r="L836" s="237" t="s">
        <v>3096</v>
      </c>
      <c r="M836" s="232" t="s">
        <v>9383</v>
      </c>
      <c r="N836" s="430" t="s">
        <v>17527</v>
      </c>
    </row>
    <row r="837">
      <c r="A837" s="427">
        <v>836.0</v>
      </c>
      <c r="B837" s="237" t="s">
        <v>4234</v>
      </c>
      <c r="C837" s="237" t="s">
        <v>6918</v>
      </c>
      <c r="D837" s="428">
        <v>45444.0</v>
      </c>
      <c r="E837" s="237" t="s">
        <v>6933</v>
      </c>
      <c r="F837" s="237" t="s">
        <v>17696</v>
      </c>
      <c r="G837" s="237" t="s">
        <v>17697</v>
      </c>
      <c r="H837" s="237" t="s">
        <v>9827</v>
      </c>
      <c r="I837" s="237" t="s">
        <v>4988</v>
      </c>
      <c r="J837" s="237" t="s">
        <v>5012</v>
      </c>
      <c r="K837" s="237" t="s">
        <v>4835</v>
      </c>
      <c r="L837" s="237" t="s">
        <v>17370</v>
      </c>
      <c r="M837" s="232" t="s">
        <v>9383</v>
      </c>
      <c r="N837" s="430" t="s">
        <v>17527</v>
      </c>
    </row>
    <row r="838">
      <c r="A838" s="427">
        <v>837.0</v>
      </c>
      <c r="B838" s="237" t="s">
        <v>4379</v>
      </c>
      <c r="C838" s="237" t="s">
        <v>6918</v>
      </c>
      <c r="D838" s="428">
        <v>43103.0</v>
      </c>
      <c r="E838" s="237" t="s">
        <v>6933</v>
      </c>
      <c r="F838" s="237" t="s">
        <v>14532</v>
      </c>
      <c r="G838" s="237" t="s">
        <v>16716</v>
      </c>
      <c r="H838" s="237" t="s">
        <v>17698</v>
      </c>
      <c r="I838" s="237" t="s">
        <v>6843</v>
      </c>
      <c r="J838" s="237" t="s">
        <v>5224</v>
      </c>
      <c r="K838" s="237" t="s">
        <v>4835</v>
      </c>
      <c r="L838" s="237" t="s">
        <v>2904</v>
      </c>
      <c r="M838" s="232" t="s">
        <v>9383</v>
      </c>
      <c r="N838" s="430" t="s">
        <v>17527</v>
      </c>
    </row>
    <row r="839">
      <c r="A839" s="427">
        <v>838.0</v>
      </c>
      <c r="B839" s="237" t="s">
        <v>7457</v>
      </c>
      <c r="C839" s="237" t="s">
        <v>6918</v>
      </c>
      <c r="D839" s="428">
        <v>43467.0</v>
      </c>
      <c r="E839" s="237" t="s">
        <v>7239</v>
      </c>
      <c r="F839" s="237" t="s">
        <v>14345</v>
      </c>
      <c r="G839" s="237" t="s">
        <v>14346</v>
      </c>
      <c r="H839" s="237" t="s">
        <v>9544</v>
      </c>
      <c r="I839" s="237" t="s">
        <v>14347</v>
      </c>
      <c r="J839" s="237" t="s">
        <v>5224</v>
      </c>
      <c r="K839" s="237" t="s">
        <v>4835</v>
      </c>
      <c r="L839" s="237" t="s">
        <v>7459</v>
      </c>
      <c r="M839" s="232" t="s">
        <v>9383</v>
      </c>
      <c r="N839" s="430" t="s">
        <v>17527</v>
      </c>
    </row>
    <row r="840">
      <c r="A840" s="427">
        <v>839.0</v>
      </c>
      <c r="B840" s="237" t="s">
        <v>8288</v>
      </c>
      <c r="C840" s="237" t="s">
        <v>6918</v>
      </c>
      <c r="D840" s="428">
        <v>43010.0</v>
      </c>
      <c r="E840" s="237" t="s">
        <v>7239</v>
      </c>
      <c r="F840" s="237" t="s">
        <v>14898</v>
      </c>
      <c r="G840" s="237" t="s">
        <v>14899</v>
      </c>
      <c r="H840" s="237" t="s">
        <v>14900</v>
      </c>
      <c r="I840" s="237" t="s">
        <v>14901</v>
      </c>
      <c r="J840" s="237" t="s">
        <v>5224</v>
      </c>
      <c r="K840" s="237" t="s">
        <v>4835</v>
      </c>
      <c r="L840" s="237" t="s">
        <v>2730</v>
      </c>
      <c r="M840" s="232" t="s">
        <v>9383</v>
      </c>
      <c r="N840" s="430" t="s">
        <v>17527</v>
      </c>
    </row>
    <row r="841">
      <c r="A841" s="427">
        <v>840.0</v>
      </c>
      <c r="B841" s="237" t="s">
        <v>8167</v>
      </c>
      <c r="C841" s="237" t="s">
        <v>6918</v>
      </c>
      <c r="D841" s="428">
        <v>41529.0</v>
      </c>
      <c r="E841" s="237" t="s">
        <v>6933</v>
      </c>
      <c r="F841" s="237" t="s">
        <v>11812</v>
      </c>
      <c r="G841" s="237" t="s">
        <v>15329</v>
      </c>
      <c r="H841" s="237" t="s">
        <v>9418</v>
      </c>
      <c r="I841" s="237" t="s">
        <v>15330</v>
      </c>
      <c r="J841" s="237" t="s">
        <v>5224</v>
      </c>
      <c r="K841" s="237" t="s">
        <v>4835</v>
      </c>
      <c r="L841" s="237" t="s">
        <v>2342</v>
      </c>
      <c r="M841" s="232" t="s">
        <v>9383</v>
      </c>
      <c r="N841" s="430" t="s">
        <v>17527</v>
      </c>
    </row>
    <row r="842">
      <c r="A842" s="427">
        <v>841.0</v>
      </c>
      <c r="B842" s="237" t="s">
        <v>8563</v>
      </c>
      <c r="C842" s="237" t="s">
        <v>6918</v>
      </c>
      <c r="D842" s="428">
        <v>43192.0</v>
      </c>
      <c r="E842" s="237" t="s">
        <v>7239</v>
      </c>
      <c r="F842" s="237" t="s">
        <v>15468</v>
      </c>
      <c r="G842" s="237" t="s">
        <v>15469</v>
      </c>
      <c r="H842" s="237" t="s">
        <v>15470</v>
      </c>
      <c r="I842" s="237" t="s">
        <v>15471</v>
      </c>
      <c r="J842" s="237" t="s">
        <v>5224</v>
      </c>
      <c r="K842" s="237" t="s">
        <v>4835</v>
      </c>
      <c r="L842" s="237" t="s">
        <v>2208</v>
      </c>
      <c r="M842" s="232" t="s">
        <v>9383</v>
      </c>
      <c r="N842" s="430" t="s">
        <v>17527</v>
      </c>
    </row>
    <row r="843">
      <c r="A843" s="427">
        <v>842.0</v>
      </c>
      <c r="B843" s="237" t="s">
        <v>15434</v>
      </c>
      <c r="C843" s="237" t="s">
        <v>6918</v>
      </c>
      <c r="D843" s="428">
        <v>41089.0</v>
      </c>
      <c r="E843" s="237" t="s">
        <v>6933</v>
      </c>
      <c r="F843" s="237" t="s">
        <v>15436</v>
      </c>
      <c r="G843" s="237" t="s">
        <v>15437</v>
      </c>
      <c r="H843" s="237" t="s">
        <v>15438</v>
      </c>
      <c r="I843" s="237" t="s">
        <v>15439</v>
      </c>
      <c r="J843" s="237" t="s">
        <v>5224</v>
      </c>
      <c r="K843" s="237" t="s">
        <v>4835</v>
      </c>
      <c r="L843" s="237" t="s">
        <v>14038</v>
      </c>
      <c r="M843" s="232" t="s">
        <v>9383</v>
      </c>
      <c r="N843" s="430" t="s">
        <v>17527</v>
      </c>
    </row>
    <row r="844">
      <c r="A844" s="427">
        <v>843.0</v>
      </c>
      <c r="B844" s="237" t="s">
        <v>7855</v>
      </c>
      <c r="C844" s="237" t="s">
        <v>6918</v>
      </c>
      <c r="D844" s="428">
        <v>44655.0</v>
      </c>
      <c r="E844" s="237" t="s">
        <v>6933</v>
      </c>
      <c r="F844" s="237" t="s">
        <v>13924</v>
      </c>
      <c r="G844" s="237" t="s">
        <v>13925</v>
      </c>
      <c r="H844" s="237" t="s">
        <v>10311</v>
      </c>
      <c r="I844" s="237" t="s">
        <v>13926</v>
      </c>
      <c r="J844" s="237" t="s">
        <v>5012</v>
      </c>
      <c r="K844" s="237" t="s">
        <v>4835</v>
      </c>
      <c r="L844" s="237" t="s">
        <v>7857</v>
      </c>
      <c r="M844" s="232" t="s">
        <v>9383</v>
      </c>
      <c r="N844" s="430" t="s">
        <v>17527</v>
      </c>
    </row>
    <row r="845">
      <c r="A845" s="427">
        <v>844.0</v>
      </c>
      <c r="B845" s="237" t="s">
        <v>7932</v>
      </c>
      <c r="C845" s="237" t="s">
        <v>6918</v>
      </c>
      <c r="D845" s="428">
        <v>42186.0</v>
      </c>
      <c r="E845" s="237" t="s">
        <v>6921</v>
      </c>
      <c r="F845" s="237" t="s">
        <v>9614</v>
      </c>
      <c r="G845" s="237" t="s">
        <v>14009</v>
      </c>
      <c r="H845" s="237" t="s">
        <v>9669</v>
      </c>
      <c r="I845" s="237" t="s">
        <v>14010</v>
      </c>
      <c r="J845" s="237" t="s">
        <v>5224</v>
      </c>
      <c r="K845" s="237" t="s">
        <v>4835</v>
      </c>
      <c r="L845" s="237" t="s">
        <v>3096</v>
      </c>
      <c r="M845" s="232" t="s">
        <v>9383</v>
      </c>
      <c r="N845" s="430" t="s">
        <v>17527</v>
      </c>
    </row>
    <row r="846">
      <c r="A846" s="427">
        <v>845.0</v>
      </c>
      <c r="B846" s="237" t="s">
        <v>8248</v>
      </c>
      <c r="C846" s="237" t="s">
        <v>6918</v>
      </c>
      <c r="D846" s="428">
        <v>43467.0</v>
      </c>
      <c r="E846" s="237" t="s">
        <v>6933</v>
      </c>
      <c r="F846" s="237" t="s">
        <v>15000</v>
      </c>
      <c r="G846" s="237" t="s">
        <v>15001</v>
      </c>
      <c r="H846" s="237" t="s">
        <v>15002</v>
      </c>
      <c r="I846" s="237" t="s">
        <v>15003</v>
      </c>
      <c r="J846" s="237" t="s">
        <v>5224</v>
      </c>
      <c r="K846" s="237" t="s">
        <v>4835</v>
      </c>
      <c r="L846" s="237" t="s">
        <v>2730</v>
      </c>
      <c r="M846" s="232" t="s">
        <v>9383</v>
      </c>
      <c r="N846" s="430" t="s">
        <v>17527</v>
      </c>
    </row>
    <row r="847">
      <c r="A847" s="427">
        <v>846.0</v>
      </c>
      <c r="B847" s="237" t="s">
        <v>8488</v>
      </c>
      <c r="C847" s="237" t="s">
        <v>6918</v>
      </c>
      <c r="D847" s="428">
        <v>42982.0</v>
      </c>
      <c r="E847" s="237" t="s">
        <v>6921</v>
      </c>
      <c r="F847" s="237" t="s">
        <v>15251</v>
      </c>
      <c r="G847" s="237" t="s">
        <v>15252</v>
      </c>
      <c r="H847" s="237" t="s">
        <v>9835</v>
      </c>
      <c r="I847" s="237" t="s">
        <v>15253</v>
      </c>
      <c r="J847" s="237" t="s">
        <v>5224</v>
      </c>
      <c r="K847" s="237" t="s">
        <v>4835</v>
      </c>
      <c r="L847" s="237" t="s">
        <v>8486</v>
      </c>
      <c r="M847" s="232" t="s">
        <v>9383</v>
      </c>
      <c r="N847" s="430" t="s">
        <v>17527</v>
      </c>
    </row>
    <row r="848">
      <c r="A848" s="427">
        <v>847.0</v>
      </c>
      <c r="B848" s="237" t="s">
        <v>8913</v>
      </c>
      <c r="C848" s="237" t="s">
        <v>6918</v>
      </c>
      <c r="D848" s="428">
        <v>44214.0</v>
      </c>
      <c r="E848" s="237" t="s">
        <v>6933</v>
      </c>
      <c r="F848" s="237" t="s">
        <v>13163</v>
      </c>
      <c r="G848" s="237" t="s">
        <v>13164</v>
      </c>
      <c r="H848" s="237" t="s">
        <v>9472</v>
      </c>
      <c r="I848" s="237" t="s">
        <v>13165</v>
      </c>
      <c r="J848" s="237" t="s">
        <v>5012</v>
      </c>
      <c r="K848" s="237" t="s">
        <v>13166</v>
      </c>
      <c r="L848" s="237" t="s">
        <v>8806</v>
      </c>
      <c r="M848" s="232" t="s">
        <v>9383</v>
      </c>
      <c r="N848" s="430" t="s">
        <v>17527</v>
      </c>
    </row>
    <row r="849">
      <c r="A849" s="427">
        <v>848.0</v>
      </c>
      <c r="B849" s="237" t="s">
        <v>11517</v>
      </c>
      <c r="C849" s="237" t="s">
        <v>10103</v>
      </c>
      <c r="D849" s="428">
        <v>44886.0</v>
      </c>
      <c r="E849" s="237" t="s">
        <v>6933</v>
      </c>
      <c r="F849" s="237" t="s">
        <v>11518</v>
      </c>
      <c r="G849" s="237" t="s">
        <v>11519</v>
      </c>
      <c r="H849" s="237" t="s">
        <v>11520</v>
      </c>
      <c r="I849" s="237" t="s">
        <v>11521</v>
      </c>
      <c r="J849" s="237" t="s">
        <v>5012</v>
      </c>
      <c r="K849" s="237" t="s">
        <v>5341</v>
      </c>
      <c r="L849" s="237" t="s">
        <v>17687</v>
      </c>
      <c r="M849" s="232" t="s">
        <v>9383</v>
      </c>
      <c r="N849" s="430" t="s">
        <v>17527</v>
      </c>
    </row>
    <row r="850">
      <c r="A850" s="427">
        <v>849.0</v>
      </c>
      <c r="B850" s="237" t="s">
        <v>9768</v>
      </c>
      <c r="C850" s="237" t="s">
        <v>8796</v>
      </c>
      <c r="D850" s="428">
        <v>42857.0</v>
      </c>
      <c r="E850" s="237" t="s">
        <v>6921</v>
      </c>
      <c r="F850" s="237" t="s">
        <v>9770</v>
      </c>
      <c r="G850" s="237" t="s">
        <v>9771</v>
      </c>
      <c r="H850" s="237" t="s">
        <v>9772</v>
      </c>
      <c r="I850" s="237" t="s">
        <v>9773</v>
      </c>
      <c r="J850" s="237" t="s">
        <v>5012</v>
      </c>
      <c r="K850" s="237" t="s">
        <v>2062</v>
      </c>
      <c r="L850" s="237" t="s">
        <v>6012</v>
      </c>
      <c r="M850" s="232" t="s">
        <v>9383</v>
      </c>
      <c r="N850" s="430" t="s">
        <v>17527</v>
      </c>
    </row>
    <row r="851">
      <c r="A851" s="427">
        <v>850.0</v>
      </c>
      <c r="B851" s="237" t="s">
        <v>9239</v>
      </c>
      <c r="C851" s="237" t="s">
        <v>8796</v>
      </c>
      <c r="D851" s="428">
        <v>39321.0</v>
      </c>
      <c r="E851" s="237" t="s">
        <v>6921</v>
      </c>
      <c r="F851" s="237" t="s">
        <v>9920</v>
      </c>
      <c r="G851" s="237" t="s">
        <v>9921</v>
      </c>
      <c r="H851" s="237" t="s">
        <v>9922</v>
      </c>
      <c r="I851" s="237" t="s">
        <v>9923</v>
      </c>
      <c r="J851" s="237" t="s">
        <v>5224</v>
      </c>
      <c r="K851" s="237" t="s">
        <v>2062</v>
      </c>
      <c r="L851" s="237" t="s">
        <v>9241</v>
      </c>
      <c r="M851" s="232" t="s">
        <v>9383</v>
      </c>
      <c r="N851" s="430" t="s">
        <v>17527</v>
      </c>
    </row>
    <row r="852">
      <c r="A852" s="427">
        <v>851.0</v>
      </c>
      <c r="B852" s="237" t="s">
        <v>4922</v>
      </c>
      <c r="C852" s="237" t="s">
        <v>7277</v>
      </c>
      <c r="D852" s="428">
        <v>44228.0</v>
      </c>
      <c r="E852" s="237" t="s">
        <v>6933</v>
      </c>
      <c r="F852" s="237" t="s">
        <v>11472</v>
      </c>
      <c r="G852" s="237" t="s">
        <v>11473</v>
      </c>
      <c r="H852" s="237" t="s">
        <v>11474</v>
      </c>
      <c r="I852" s="237" t="s">
        <v>4924</v>
      </c>
      <c r="J852" s="237" t="s">
        <v>5224</v>
      </c>
      <c r="K852" s="237" t="s">
        <v>2062</v>
      </c>
      <c r="L852" s="237" t="s">
        <v>4974</v>
      </c>
      <c r="M852" s="232" t="s">
        <v>9383</v>
      </c>
      <c r="N852" s="430" t="s">
        <v>17527</v>
      </c>
    </row>
    <row r="853">
      <c r="A853" s="427">
        <v>852.0</v>
      </c>
      <c r="B853" s="237" t="s">
        <v>7386</v>
      </c>
      <c r="C853" s="237" t="s">
        <v>7385</v>
      </c>
      <c r="D853" s="428">
        <v>43332.0</v>
      </c>
      <c r="E853" s="237" t="s">
        <v>6933</v>
      </c>
      <c r="F853" s="237" t="s">
        <v>10834</v>
      </c>
      <c r="G853" s="237" t="s">
        <v>12808</v>
      </c>
      <c r="H853" s="237" t="s">
        <v>10866</v>
      </c>
      <c r="I853" s="237" t="s">
        <v>12809</v>
      </c>
      <c r="J853" s="237" t="s">
        <v>5224</v>
      </c>
      <c r="K853" s="237" t="s">
        <v>2062</v>
      </c>
      <c r="L853" s="237" t="s">
        <v>2904</v>
      </c>
      <c r="M853" s="232" t="s">
        <v>9383</v>
      </c>
      <c r="N853" s="430" t="s">
        <v>17527</v>
      </c>
    </row>
    <row r="854">
      <c r="A854" s="427">
        <v>853.0</v>
      </c>
      <c r="B854" s="237" t="s">
        <v>7372</v>
      </c>
      <c r="C854" s="237" t="s">
        <v>6918</v>
      </c>
      <c r="D854" s="428">
        <v>44487.0</v>
      </c>
      <c r="E854" s="237" t="s">
        <v>6933</v>
      </c>
      <c r="F854" s="237" t="s">
        <v>12977</v>
      </c>
      <c r="G854" s="237" t="s">
        <v>12978</v>
      </c>
      <c r="H854" s="237" t="s">
        <v>12979</v>
      </c>
      <c r="I854" s="237" t="s">
        <v>12980</v>
      </c>
      <c r="J854" s="237" t="s">
        <v>5224</v>
      </c>
      <c r="K854" s="237" t="s">
        <v>2062</v>
      </c>
      <c r="L854" s="237" t="s">
        <v>15795</v>
      </c>
      <c r="M854" s="232" t="s">
        <v>9383</v>
      </c>
      <c r="N854" s="430" t="s">
        <v>17527</v>
      </c>
    </row>
    <row r="855">
      <c r="A855" s="427">
        <v>854.0</v>
      </c>
      <c r="B855" s="237" t="s">
        <v>7803</v>
      </c>
      <c r="C855" s="237" t="s">
        <v>6918</v>
      </c>
      <c r="D855" s="428">
        <v>42979.0</v>
      </c>
      <c r="E855" s="237" t="s">
        <v>7239</v>
      </c>
      <c r="F855" s="237" t="s">
        <v>13096</v>
      </c>
      <c r="G855" s="237" t="s">
        <v>13103</v>
      </c>
      <c r="H855" s="237" t="s">
        <v>13104</v>
      </c>
      <c r="I855" s="237" t="s">
        <v>13105</v>
      </c>
      <c r="J855" s="237" t="s">
        <v>5224</v>
      </c>
      <c r="K855" s="237" t="s">
        <v>2062</v>
      </c>
      <c r="L855" s="237" t="s">
        <v>7805</v>
      </c>
      <c r="M855" s="232" t="s">
        <v>9383</v>
      </c>
      <c r="N855" s="430" t="s">
        <v>17527</v>
      </c>
    </row>
    <row r="856">
      <c r="A856" s="427">
        <v>855.0</v>
      </c>
      <c r="B856" s="237" t="s">
        <v>2950</v>
      </c>
      <c r="C856" s="237" t="s">
        <v>6918</v>
      </c>
      <c r="D856" s="428">
        <v>42445.0</v>
      </c>
      <c r="E856" s="237" t="s">
        <v>7097</v>
      </c>
      <c r="F856" s="237" t="s">
        <v>3158</v>
      </c>
      <c r="G856" s="237" t="s">
        <v>17699</v>
      </c>
      <c r="H856" s="237" t="s">
        <v>17700</v>
      </c>
      <c r="I856" s="237" t="s">
        <v>6303</v>
      </c>
      <c r="J856" s="237" t="s">
        <v>5012</v>
      </c>
      <c r="K856" s="237" t="s">
        <v>2062</v>
      </c>
      <c r="L856" s="237" t="s">
        <v>2952</v>
      </c>
      <c r="M856" s="232" t="s">
        <v>9383</v>
      </c>
      <c r="N856" s="430" t="s">
        <v>17527</v>
      </c>
    </row>
    <row r="857">
      <c r="A857" s="427">
        <v>856.0</v>
      </c>
      <c r="B857" s="237" t="s">
        <v>13111</v>
      </c>
      <c r="C857" s="237" t="s">
        <v>6918</v>
      </c>
      <c r="D857" s="428">
        <v>45768.0</v>
      </c>
      <c r="E857" s="237" t="s">
        <v>6933</v>
      </c>
      <c r="F857" s="237" t="s">
        <v>13113</v>
      </c>
      <c r="G857" s="237" t="s">
        <v>13114</v>
      </c>
      <c r="H857" s="237" t="s">
        <v>11025</v>
      </c>
      <c r="I857" s="231"/>
      <c r="J857" s="237" t="s">
        <v>5224</v>
      </c>
      <c r="K857" s="237" t="s">
        <v>2062</v>
      </c>
      <c r="L857" s="237" t="s">
        <v>6393</v>
      </c>
      <c r="M857" s="232" t="s">
        <v>9391</v>
      </c>
      <c r="N857" s="430" t="s">
        <v>17527</v>
      </c>
    </row>
    <row r="858">
      <c r="A858" s="427">
        <v>857.0</v>
      </c>
      <c r="B858" s="237" t="s">
        <v>8522</v>
      </c>
      <c r="C858" s="237" t="s">
        <v>6918</v>
      </c>
      <c r="D858" s="428">
        <v>44410.0</v>
      </c>
      <c r="E858" s="237" t="s">
        <v>6933</v>
      </c>
      <c r="F858" s="237" t="s">
        <v>14404</v>
      </c>
      <c r="G858" s="237" t="s">
        <v>14405</v>
      </c>
      <c r="H858" s="237" t="s">
        <v>14330</v>
      </c>
      <c r="I858" s="237" t="s">
        <v>14406</v>
      </c>
      <c r="J858" s="237" t="s">
        <v>5224</v>
      </c>
      <c r="K858" s="237" t="s">
        <v>2062</v>
      </c>
      <c r="L858" s="237" t="s">
        <v>2081</v>
      </c>
      <c r="M858" s="232" t="s">
        <v>9383</v>
      </c>
      <c r="N858" s="430" t="s">
        <v>17527</v>
      </c>
    </row>
    <row r="859">
      <c r="A859" s="427">
        <v>858.0</v>
      </c>
      <c r="B859" s="237" t="s">
        <v>14690</v>
      </c>
      <c r="C859" s="237" t="s">
        <v>6918</v>
      </c>
      <c r="D859" s="428">
        <v>45352.0</v>
      </c>
      <c r="E859" s="237" t="s">
        <v>7239</v>
      </c>
      <c r="F859" s="237" t="s">
        <v>14691</v>
      </c>
      <c r="G859" s="237" t="s">
        <v>14692</v>
      </c>
      <c r="H859" s="237" t="s">
        <v>14693</v>
      </c>
      <c r="I859" s="237" t="s">
        <v>6295</v>
      </c>
      <c r="J859" s="237" t="s">
        <v>5224</v>
      </c>
      <c r="K859" s="237" t="s">
        <v>2062</v>
      </c>
      <c r="L859" s="237" t="s">
        <v>2926</v>
      </c>
      <c r="M859" s="232" t="s">
        <v>9383</v>
      </c>
      <c r="N859" s="430" t="s">
        <v>17527</v>
      </c>
    </row>
    <row r="860">
      <c r="A860" s="427">
        <v>859.0</v>
      </c>
      <c r="B860" s="237" t="s">
        <v>7731</v>
      </c>
      <c r="C860" s="237" t="s">
        <v>6918</v>
      </c>
      <c r="D860" s="428">
        <v>35218.0</v>
      </c>
      <c r="E860" s="237" t="s">
        <v>7239</v>
      </c>
      <c r="F860" s="237" t="s">
        <v>14723</v>
      </c>
      <c r="G860" s="237" t="s">
        <v>12503</v>
      </c>
      <c r="H860" s="237" t="s">
        <v>10178</v>
      </c>
      <c r="I860" s="237" t="s">
        <v>14724</v>
      </c>
      <c r="J860" s="237" t="s">
        <v>5224</v>
      </c>
      <c r="K860" s="237" t="s">
        <v>2062</v>
      </c>
      <c r="L860" s="237" t="s">
        <v>1228</v>
      </c>
      <c r="M860" s="232" t="s">
        <v>9383</v>
      </c>
      <c r="N860" s="430" t="s">
        <v>17527</v>
      </c>
    </row>
    <row r="861">
      <c r="A861" s="427">
        <v>860.0</v>
      </c>
      <c r="B861" s="237" t="s">
        <v>8559</v>
      </c>
      <c r="C861" s="237" t="s">
        <v>6918</v>
      </c>
      <c r="D861" s="428">
        <v>44158.0</v>
      </c>
      <c r="E861" s="237" t="s">
        <v>6921</v>
      </c>
      <c r="F861" s="237" t="s">
        <v>14446</v>
      </c>
      <c r="G861" s="237" t="s">
        <v>14447</v>
      </c>
      <c r="H861" s="237" t="s">
        <v>9669</v>
      </c>
      <c r="I861" s="237" t="s">
        <v>14448</v>
      </c>
      <c r="J861" s="237" t="s">
        <v>5224</v>
      </c>
      <c r="K861" s="237" t="s">
        <v>2062</v>
      </c>
      <c r="L861" s="237" t="s">
        <v>2208</v>
      </c>
      <c r="M861" s="232" t="s">
        <v>9383</v>
      </c>
      <c r="N861" s="430" t="s">
        <v>17527</v>
      </c>
    </row>
    <row r="862">
      <c r="A862" s="427">
        <v>861.0</v>
      </c>
      <c r="B862" s="237" t="s">
        <v>7013</v>
      </c>
      <c r="C862" s="237" t="s">
        <v>6918</v>
      </c>
      <c r="D862" s="428">
        <v>40071.0</v>
      </c>
      <c r="E862" s="237" t="s">
        <v>6933</v>
      </c>
      <c r="F862" s="237" t="s">
        <v>14558</v>
      </c>
      <c r="G862" s="237" t="s">
        <v>14559</v>
      </c>
      <c r="H862" s="237" t="s">
        <v>10920</v>
      </c>
      <c r="I862" s="237" t="s">
        <v>14560</v>
      </c>
      <c r="J862" s="237" t="s">
        <v>5224</v>
      </c>
      <c r="K862" s="237" t="s">
        <v>2062</v>
      </c>
      <c r="L862" s="237" t="s">
        <v>7015</v>
      </c>
      <c r="M862" s="232" t="s">
        <v>9383</v>
      </c>
      <c r="N862" s="430" t="s">
        <v>17527</v>
      </c>
    </row>
    <row r="863">
      <c r="A863" s="427">
        <v>862.0</v>
      </c>
      <c r="B863" s="237" t="s">
        <v>8962</v>
      </c>
      <c r="C863" s="237" t="s">
        <v>6918</v>
      </c>
      <c r="D863" s="428">
        <v>42394.0</v>
      </c>
      <c r="E863" s="237" t="s">
        <v>6921</v>
      </c>
      <c r="F863" s="237" t="s">
        <v>14318</v>
      </c>
      <c r="G863" s="237" t="s">
        <v>14322</v>
      </c>
      <c r="H863" s="237" t="s">
        <v>10420</v>
      </c>
      <c r="I863" s="237" t="s">
        <v>14323</v>
      </c>
      <c r="J863" s="237" t="s">
        <v>5224</v>
      </c>
      <c r="K863" s="237" t="s">
        <v>2062</v>
      </c>
      <c r="L863" s="237" t="s">
        <v>2296</v>
      </c>
      <c r="M863" s="232" t="s">
        <v>9383</v>
      </c>
      <c r="N863" s="430" t="s">
        <v>17527</v>
      </c>
    </row>
    <row r="864">
      <c r="A864" s="427">
        <v>863.0</v>
      </c>
      <c r="B864" s="237" t="s">
        <v>8484</v>
      </c>
      <c r="C864" s="237" t="s">
        <v>6918</v>
      </c>
      <c r="D864" s="428">
        <v>43374.0</v>
      </c>
      <c r="E864" s="237" t="s">
        <v>6921</v>
      </c>
      <c r="F864" s="237" t="s">
        <v>15342</v>
      </c>
      <c r="G864" s="237" t="s">
        <v>15343</v>
      </c>
      <c r="H864" s="237" t="s">
        <v>15344</v>
      </c>
      <c r="I864" s="237" t="s">
        <v>15345</v>
      </c>
      <c r="J864" s="237" t="s">
        <v>5224</v>
      </c>
      <c r="K864" s="237" t="s">
        <v>2062</v>
      </c>
      <c r="L864" s="237" t="s">
        <v>8486</v>
      </c>
      <c r="M864" s="232" t="s">
        <v>9383</v>
      </c>
      <c r="N864" s="430" t="s">
        <v>17527</v>
      </c>
    </row>
    <row r="865">
      <c r="A865" s="427">
        <v>864.0</v>
      </c>
      <c r="B865" s="237" t="s">
        <v>8899</v>
      </c>
      <c r="C865" s="237" t="s">
        <v>6918</v>
      </c>
      <c r="D865" s="428">
        <v>44718.0</v>
      </c>
      <c r="E865" s="237" t="s">
        <v>6933</v>
      </c>
      <c r="F865" s="237" t="s">
        <v>15458</v>
      </c>
      <c r="G865" s="237" t="s">
        <v>15459</v>
      </c>
      <c r="H865" s="237" t="s">
        <v>15460</v>
      </c>
      <c r="I865" s="237" t="s">
        <v>15461</v>
      </c>
      <c r="J865" s="237" t="s">
        <v>5012</v>
      </c>
      <c r="K865" s="237" t="s">
        <v>2062</v>
      </c>
      <c r="L865" s="237" t="s">
        <v>8901</v>
      </c>
      <c r="M865" s="232" t="s">
        <v>9383</v>
      </c>
      <c r="N865" s="430" t="s">
        <v>17527</v>
      </c>
    </row>
    <row r="866">
      <c r="A866" s="427">
        <v>865.0</v>
      </c>
      <c r="B866" s="237" t="s">
        <v>8171</v>
      </c>
      <c r="C866" s="237" t="s">
        <v>6918</v>
      </c>
      <c r="D866" s="428">
        <v>39407.0</v>
      </c>
      <c r="E866" s="237" t="s">
        <v>6933</v>
      </c>
      <c r="F866" s="237" t="s">
        <v>15450</v>
      </c>
      <c r="G866" s="237" t="s">
        <v>15451</v>
      </c>
      <c r="H866" s="237" t="s">
        <v>10765</v>
      </c>
      <c r="I866" s="237" t="s">
        <v>15452</v>
      </c>
      <c r="J866" s="237" t="s">
        <v>5224</v>
      </c>
      <c r="K866" s="237" t="s">
        <v>2062</v>
      </c>
      <c r="L866" s="237" t="s">
        <v>2342</v>
      </c>
      <c r="M866" s="232" t="s">
        <v>9383</v>
      </c>
      <c r="N866" s="430" t="s">
        <v>17527</v>
      </c>
    </row>
    <row r="867">
      <c r="A867" s="427">
        <v>866.0</v>
      </c>
      <c r="B867" s="237" t="s">
        <v>7163</v>
      </c>
      <c r="C867" s="237" t="s">
        <v>6918</v>
      </c>
      <c r="D867" s="428">
        <v>37760.0</v>
      </c>
      <c r="E867" s="237" t="s">
        <v>6933</v>
      </c>
      <c r="F867" s="237" t="s">
        <v>9602</v>
      </c>
      <c r="G867" s="237" t="s">
        <v>13831</v>
      </c>
      <c r="H867" s="237" t="s">
        <v>11113</v>
      </c>
      <c r="I867" s="237" t="s">
        <v>13832</v>
      </c>
      <c r="J867" s="237" t="s">
        <v>5224</v>
      </c>
      <c r="K867" s="237" t="s">
        <v>2062</v>
      </c>
      <c r="L867" s="237" t="s">
        <v>7165</v>
      </c>
      <c r="M867" s="232" t="s">
        <v>9383</v>
      </c>
      <c r="N867" s="430" t="s">
        <v>17527</v>
      </c>
    </row>
    <row r="868">
      <c r="A868" s="427">
        <v>867.0</v>
      </c>
      <c r="B868" s="237" t="s">
        <v>8257</v>
      </c>
      <c r="C868" s="237" t="s">
        <v>6918</v>
      </c>
      <c r="D868" s="428">
        <v>43846.0</v>
      </c>
      <c r="E868" s="237" t="s">
        <v>6933</v>
      </c>
      <c r="F868" s="237" t="s">
        <v>9860</v>
      </c>
      <c r="G868" s="237" t="s">
        <v>15005</v>
      </c>
      <c r="H868" s="237" t="s">
        <v>9800</v>
      </c>
      <c r="I868" s="237" t="s">
        <v>15006</v>
      </c>
      <c r="J868" s="237" t="s">
        <v>5224</v>
      </c>
      <c r="K868" s="237" t="s">
        <v>2062</v>
      </c>
      <c r="L868" s="237" t="s">
        <v>2730</v>
      </c>
      <c r="M868" s="232" t="s">
        <v>9383</v>
      </c>
      <c r="N868" s="430" t="s">
        <v>17527</v>
      </c>
    </row>
    <row r="869">
      <c r="A869" s="427">
        <v>868.0</v>
      </c>
      <c r="B869" s="237" t="s">
        <v>10717</v>
      </c>
      <c r="C869" s="237" t="s">
        <v>10103</v>
      </c>
      <c r="D869" s="428">
        <v>43542.0</v>
      </c>
      <c r="E869" s="237" t="s">
        <v>6921</v>
      </c>
      <c r="F869" s="237" t="s">
        <v>10719</v>
      </c>
      <c r="G869" s="237" t="s">
        <v>10720</v>
      </c>
      <c r="H869" s="237" t="s">
        <v>10721</v>
      </c>
      <c r="I869" s="237" t="s">
        <v>10722</v>
      </c>
      <c r="J869" s="237" t="s">
        <v>5224</v>
      </c>
      <c r="K869" s="237" t="s">
        <v>4756</v>
      </c>
      <c r="L869" s="237" t="s">
        <v>10538</v>
      </c>
      <c r="M869" s="232" t="s">
        <v>9383</v>
      </c>
      <c r="N869" s="430" t="s">
        <v>17527</v>
      </c>
    </row>
    <row r="870">
      <c r="A870" s="427">
        <v>869.0</v>
      </c>
      <c r="B870" s="237" t="s">
        <v>11653</v>
      </c>
      <c r="C870" s="237" t="s">
        <v>10103</v>
      </c>
      <c r="D870" s="428">
        <v>42493.0</v>
      </c>
      <c r="E870" s="237" t="s">
        <v>6921</v>
      </c>
      <c r="F870" s="237" t="s">
        <v>11655</v>
      </c>
      <c r="G870" s="237" t="s">
        <v>11656</v>
      </c>
      <c r="H870" s="237" t="s">
        <v>10957</v>
      </c>
      <c r="I870" s="237" t="s">
        <v>11657</v>
      </c>
      <c r="J870" s="237" t="s">
        <v>5224</v>
      </c>
      <c r="K870" s="237" t="s">
        <v>4756</v>
      </c>
      <c r="L870" s="237" t="s">
        <v>5805</v>
      </c>
      <c r="M870" s="232" t="s">
        <v>9383</v>
      </c>
      <c r="N870" s="430" t="s">
        <v>17527</v>
      </c>
    </row>
    <row r="871">
      <c r="A871" s="427">
        <v>870.0</v>
      </c>
      <c r="B871" s="237" t="s">
        <v>7533</v>
      </c>
      <c r="C871" s="237" t="s">
        <v>7523</v>
      </c>
      <c r="D871" s="428">
        <v>43339.0</v>
      </c>
      <c r="E871" s="237" t="s">
        <v>6921</v>
      </c>
      <c r="F871" s="237" t="s">
        <v>12416</v>
      </c>
      <c r="G871" s="237" t="s">
        <v>12417</v>
      </c>
      <c r="H871" s="237" t="s">
        <v>10441</v>
      </c>
      <c r="I871" s="237" t="s">
        <v>12418</v>
      </c>
      <c r="J871" s="237" t="s">
        <v>5224</v>
      </c>
      <c r="K871" s="237" t="s">
        <v>4756</v>
      </c>
      <c r="L871" s="237" t="s">
        <v>624</v>
      </c>
      <c r="M871" s="232" t="s">
        <v>9383</v>
      </c>
      <c r="N871" s="430" t="s">
        <v>17527</v>
      </c>
    </row>
    <row r="872">
      <c r="A872" s="427">
        <v>871.0</v>
      </c>
      <c r="B872" s="237" t="s">
        <v>7537</v>
      </c>
      <c r="C872" s="237" t="s">
        <v>7523</v>
      </c>
      <c r="D872" s="428">
        <v>43416.0</v>
      </c>
      <c r="E872" s="237" t="s">
        <v>6921</v>
      </c>
      <c r="F872" s="237" t="s">
        <v>10845</v>
      </c>
      <c r="G872" s="237" t="s">
        <v>12403</v>
      </c>
      <c r="H872" s="237" t="s">
        <v>12404</v>
      </c>
      <c r="I872" s="237" t="s">
        <v>12405</v>
      </c>
      <c r="J872" s="237" t="s">
        <v>5224</v>
      </c>
      <c r="K872" s="237" t="s">
        <v>4756</v>
      </c>
      <c r="L872" s="237" t="s">
        <v>1291</v>
      </c>
      <c r="M872" s="232" t="s">
        <v>9383</v>
      </c>
      <c r="N872" s="430" t="s">
        <v>17527</v>
      </c>
    </row>
    <row r="873">
      <c r="A873" s="427">
        <v>872.0</v>
      </c>
      <c r="B873" s="237" t="s">
        <v>7629</v>
      </c>
      <c r="C873" s="237" t="s">
        <v>7546</v>
      </c>
      <c r="D873" s="428">
        <v>44599.0</v>
      </c>
      <c r="E873" s="237" t="s">
        <v>6933</v>
      </c>
      <c r="F873" s="237" t="s">
        <v>10339</v>
      </c>
      <c r="G873" s="237" t="s">
        <v>12779</v>
      </c>
      <c r="H873" s="237" t="s">
        <v>12578</v>
      </c>
      <c r="I873" s="237" t="s">
        <v>12780</v>
      </c>
      <c r="J873" s="237" t="s">
        <v>5224</v>
      </c>
      <c r="K873" s="237" t="s">
        <v>4756</v>
      </c>
      <c r="L873" s="237" t="s">
        <v>7626</v>
      </c>
      <c r="M873" s="232" t="s">
        <v>9383</v>
      </c>
      <c r="N873" s="430" t="s">
        <v>17527</v>
      </c>
    </row>
    <row r="874">
      <c r="A874" s="427">
        <v>873.0</v>
      </c>
      <c r="B874" s="237" t="s">
        <v>7406</v>
      </c>
      <c r="C874" s="237" t="s">
        <v>7405</v>
      </c>
      <c r="D874" s="428">
        <v>44025.0</v>
      </c>
      <c r="E874" s="237" t="s">
        <v>6921</v>
      </c>
      <c r="F874" s="237" t="s">
        <v>12772</v>
      </c>
      <c r="G874" s="237" t="s">
        <v>12773</v>
      </c>
      <c r="H874" s="237" t="s">
        <v>12774</v>
      </c>
      <c r="I874" s="237" t="s">
        <v>12775</v>
      </c>
      <c r="J874" s="237" t="s">
        <v>5224</v>
      </c>
      <c r="K874" s="237" t="s">
        <v>4756</v>
      </c>
      <c r="L874" s="237" t="s">
        <v>2904</v>
      </c>
      <c r="M874" s="232" t="s">
        <v>9383</v>
      </c>
      <c r="N874" s="430" t="s">
        <v>17527</v>
      </c>
    </row>
    <row r="875">
      <c r="A875" s="427">
        <v>874.0</v>
      </c>
      <c r="B875" s="237" t="s">
        <v>8506</v>
      </c>
      <c r="C875" s="237" t="s">
        <v>6918</v>
      </c>
      <c r="D875" s="428">
        <v>44445.0</v>
      </c>
      <c r="E875" s="237" t="s">
        <v>6933</v>
      </c>
      <c r="F875" s="237" t="s">
        <v>12304</v>
      </c>
      <c r="G875" s="237" t="s">
        <v>16019</v>
      </c>
      <c r="H875" s="237" t="s">
        <v>9538</v>
      </c>
      <c r="I875" s="237" t="s">
        <v>16020</v>
      </c>
      <c r="J875" s="237" t="s">
        <v>5224</v>
      </c>
      <c r="K875" s="237" t="s">
        <v>4756</v>
      </c>
      <c r="L875" s="237" t="s">
        <v>13363</v>
      </c>
      <c r="M875" s="232" t="s">
        <v>9383</v>
      </c>
      <c r="N875" s="430" t="s">
        <v>17527</v>
      </c>
    </row>
    <row r="876">
      <c r="A876" s="427">
        <v>875.0</v>
      </c>
      <c r="B876" s="237" t="s">
        <v>680</v>
      </c>
      <c r="C876" s="237" t="s">
        <v>6918</v>
      </c>
      <c r="D876" s="428">
        <v>42968.0</v>
      </c>
      <c r="E876" s="237" t="s">
        <v>6921</v>
      </c>
      <c r="F876" s="237" t="s">
        <v>15945</v>
      </c>
      <c r="G876" s="237" t="s">
        <v>15950</v>
      </c>
      <c r="H876" s="237" t="s">
        <v>14370</v>
      </c>
      <c r="I876" s="237" t="s">
        <v>683</v>
      </c>
      <c r="J876" s="237" t="s">
        <v>5224</v>
      </c>
      <c r="K876" s="237" t="s">
        <v>4756</v>
      </c>
      <c r="L876" s="237" t="s">
        <v>9093</v>
      </c>
      <c r="M876" s="232" t="s">
        <v>9383</v>
      </c>
      <c r="N876" s="430" t="s">
        <v>17527</v>
      </c>
    </row>
    <row r="877">
      <c r="A877" s="427">
        <v>876.0</v>
      </c>
      <c r="B877" s="237" t="s">
        <v>8854</v>
      </c>
      <c r="C877" s="237" t="s">
        <v>6918</v>
      </c>
      <c r="D877" s="428">
        <v>43318.0</v>
      </c>
      <c r="E877" s="237" t="s">
        <v>6921</v>
      </c>
      <c r="F877" s="237" t="s">
        <v>9548</v>
      </c>
      <c r="G877" s="237" t="s">
        <v>13481</v>
      </c>
      <c r="H877" s="237" t="s">
        <v>11155</v>
      </c>
      <c r="I877" s="237" t="s">
        <v>13482</v>
      </c>
      <c r="J877" s="237" t="s">
        <v>5224</v>
      </c>
      <c r="K877" s="237" t="s">
        <v>4756</v>
      </c>
      <c r="L877" s="237" t="s">
        <v>8850</v>
      </c>
      <c r="M877" s="232" t="s">
        <v>9383</v>
      </c>
      <c r="N877" s="430" t="s">
        <v>17527</v>
      </c>
    </row>
    <row r="878">
      <c r="A878" s="427">
        <v>877.0</v>
      </c>
      <c r="B878" s="237" t="s">
        <v>7936</v>
      </c>
      <c r="C878" s="237" t="s">
        <v>6918</v>
      </c>
      <c r="D878" s="428">
        <v>43291.0</v>
      </c>
      <c r="E878" s="237" t="s">
        <v>6921</v>
      </c>
      <c r="F878" s="237" t="s">
        <v>15759</v>
      </c>
      <c r="G878" s="237" t="s">
        <v>15760</v>
      </c>
      <c r="H878" s="237" t="s">
        <v>9501</v>
      </c>
      <c r="I878" s="237" t="s">
        <v>15761</v>
      </c>
      <c r="J878" s="237" t="s">
        <v>5224</v>
      </c>
      <c r="K878" s="237" t="s">
        <v>4756</v>
      </c>
      <c r="L878" s="237" t="s">
        <v>3096</v>
      </c>
      <c r="M878" s="232" t="s">
        <v>9383</v>
      </c>
      <c r="N878" s="430" t="s">
        <v>17527</v>
      </c>
    </row>
    <row r="879">
      <c r="A879" s="427">
        <v>878.0</v>
      </c>
      <c r="B879" s="237" t="s">
        <v>9063</v>
      </c>
      <c r="C879" s="237" t="s">
        <v>6918</v>
      </c>
      <c r="D879" s="428">
        <v>43185.0</v>
      </c>
      <c r="E879" s="237" t="s">
        <v>6921</v>
      </c>
      <c r="F879" s="237" t="s">
        <v>13239</v>
      </c>
      <c r="G879" s="237" t="s">
        <v>13240</v>
      </c>
      <c r="H879" s="237" t="s">
        <v>13241</v>
      </c>
      <c r="I879" s="237" t="s">
        <v>13242</v>
      </c>
      <c r="J879" s="237" t="s">
        <v>5224</v>
      </c>
      <c r="K879" s="237" t="s">
        <v>4756</v>
      </c>
      <c r="L879" s="237" t="s">
        <v>2508</v>
      </c>
      <c r="M879" s="232" t="s">
        <v>9383</v>
      </c>
      <c r="N879" s="430" t="s">
        <v>17527</v>
      </c>
    </row>
    <row r="880">
      <c r="A880" s="427">
        <v>879.0</v>
      </c>
      <c r="B880" s="237" t="s">
        <v>688</v>
      </c>
      <c r="C880" s="237" t="s">
        <v>6918</v>
      </c>
      <c r="D880" s="428">
        <v>44743.0</v>
      </c>
      <c r="E880" s="237" t="s">
        <v>6921</v>
      </c>
      <c r="F880" s="237" t="s">
        <v>9386</v>
      </c>
      <c r="G880" s="237" t="s">
        <v>12975</v>
      </c>
      <c r="H880" s="237" t="s">
        <v>12976</v>
      </c>
      <c r="I880" s="237" t="s">
        <v>691</v>
      </c>
      <c r="J880" s="237" t="s">
        <v>5224</v>
      </c>
      <c r="K880" s="237" t="s">
        <v>4756</v>
      </c>
      <c r="L880" s="237" t="s">
        <v>8486</v>
      </c>
      <c r="M880" s="232" t="s">
        <v>9383</v>
      </c>
      <c r="N880" s="430" t="s">
        <v>17527</v>
      </c>
    </row>
    <row r="881">
      <c r="A881" s="427">
        <v>880.0</v>
      </c>
      <c r="B881" s="237" t="s">
        <v>7700</v>
      </c>
      <c r="C881" s="237" t="s">
        <v>6918</v>
      </c>
      <c r="D881" s="428">
        <v>45278.0</v>
      </c>
      <c r="E881" s="237" t="s">
        <v>6933</v>
      </c>
      <c r="F881" s="237" t="s">
        <v>13173</v>
      </c>
      <c r="G881" s="237" t="s">
        <v>13174</v>
      </c>
      <c r="H881" s="237" t="s">
        <v>10420</v>
      </c>
      <c r="I881" s="237" t="s">
        <v>13175</v>
      </c>
      <c r="J881" s="237" t="s">
        <v>5224</v>
      </c>
      <c r="K881" s="237" t="s">
        <v>4756</v>
      </c>
      <c r="L881" s="237" t="s">
        <v>7688</v>
      </c>
      <c r="M881" s="232" t="s">
        <v>9383</v>
      </c>
      <c r="N881" s="430" t="s">
        <v>17527</v>
      </c>
    </row>
    <row r="882">
      <c r="A882" s="427">
        <v>881.0</v>
      </c>
      <c r="B882" s="237" t="s">
        <v>8224</v>
      </c>
      <c r="C882" s="237" t="s">
        <v>6918</v>
      </c>
      <c r="D882" s="428">
        <v>43626.0</v>
      </c>
      <c r="E882" s="237" t="s">
        <v>6933</v>
      </c>
      <c r="F882" s="237" t="s">
        <v>13041</v>
      </c>
      <c r="G882" s="237" t="s">
        <v>13042</v>
      </c>
      <c r="H882" s="237" t="s">
        <v>13043</v>
      </c>
      <c r="I882" s="237" t="s">
        <v>13044</v>
      </c>
      <c r="J882" s="237" t="s">
        <v>5224</v>
      </c>
      <c r="K882" s="237" t="s">
        <v>4756</v>
      </c>
      <c r="L882" s="237" t="s">
        <v>2342</v>
      </c>
      <c r="M882" s="232" t="s">
        <v>9383</v>
      </c>
      <c r="N882" s="430" t="s">
        <v>17527</v>
      </c>
    </row>
    <row r="883">
      <c r="A883" s="427">
        <v>882.0</v>
      </c>
      <c r="B883" s="237" t="s">
        <v>7988</v>
      </c>
      <c r="C883" s="237" t="s">
        <v>6918</v>
      </c>
      <c r="D883" s="428">
        <v>41659.0</v>
      </c>
      <c r="E883" s="237" t="s">
        <v>6921</v>
      </c>
      <c r="F883" s="237" t="s">
        <v>14977</v>
      </c>
      <c r="G883" s="237" t="s">
        <v>14978</v>
      </c>
      <c r="H883" s="237" t="s">
        <v>12007</v>
      </c>
      <c r="I883" s="237" t="s">
        <v>14979</v>
      </c>
      <c r="J883" s="237" t="s">
        <v>5224</v>
      </c>
      <c r="K883" s="237" t="s">
        <v>4756</v>
      </c>
      <c r="L883" s="237" t="s">
        <v>7626</v>
      </c>
      <c r="M883" s="232" t="s">
        <v>9383</v>
      </c>
      <c r="N883" s="430" t="s">
        <v>17527</v>
      </c>
    </row>
    <row r="884">
      <c r="A884" s="427">
        <v>883.0</v>
      </c>
      <c r="B884" s="237" t="s">
        <v>684</v>
      </c>
      <c r="C884" s="237" t="s">
        <v>6918</v>
      </c>
      <c r="D884" s="428">
        <v>43283.0</v>
      </c>
      <c r="E884" s="237" t="s">
        <v>6921</v>
      </c>
      <c r="F884" s="237" t="s">
        <v>14988</v>
      </c>
      <c r="G884" s="237" t="s">
        <v>14989</v>
      </c>
      <c r="H884" s="237" t="s">
        <v>13742</v>
      </c>
      <c r="I884" s="237" t="s">
        <v>687</v>
      </c>
      <c r="J884" s="237" t="s">
        <v>5224</v>
      </c>
      <c r="K884" s="237" t="s">
        <v>4756</v>
      </c>
      <c r="L884" s="237" t="s">
        <v>1722</v>
      </c>
      <c r="M884" s="232" t="s">
        <v>9383</v>
      </c>
      <c r="N884" s="430" t="s">
        <v>17527</v>
      </c>
    </row>
    <row r="885">
      <c r="A885" s="427">
        <v>884.0</v>
      </c>
      <c r="B885" s="237" t="s">
        <v>8764</v>
      </c>
      <c r="C885" s="237" t="s">
        <v>6918</v>
      </c>
      <c r="D885" s="428">
        <v>43528.0</v>
      </c>
      <c r="E885" s="237" t="s">
        <v>6921</v>
      </c>
      <c r="F885" s="237" t="s">
        <v>14788</v>
      </c>
      <c r="G885" s="237" t="s">
        <v>14789</v>
      </c>
      <c r="H885" s="237" t="s">
        <v>10761</v>
      </c>
      <c r="I885" s="237" t="s">
        <v>14790</v>
      </c>
      <c r="J885" s="237" t="s">
        <v>5224</v>
      </c>
      <c r="K885" s="237" t="s">
        <v>4756</v>
      </c>
      <c r="L885" s="237" t="s">
        <v>8850</v>
      </c>
      <c r="M885" s="232" t="s">
        <v>9383</v>
      </c>
      <c r="N885" s="430" t="s">
        <v>17527</v>
      </c>
    </row>
    <row r="886">
      <c r="A886" s="427">
        <v>885.0</v>
      </c>
      <c r="B886" s="237" t="s">
        <v>7980</v>
      </c>
      <c r="C886" s="237" t="s">
        <v>6918</v>
      </c>
      <c r="D886" s="428">
        <v>42387.0</v>
      </c>
      <c r="E886" s="237" t="s">
        <v>6921</v>
      </c>
      <c r="F886" s="237" t="s">
        <v>14084</v>
      </c>
      <c r="G886" s="237" t="s">
        <v>14085</v>
      </c>
      <c r="H886" s="237" t="s">
        <v>14086</v>
      </c>
      <c r="I886" s="237" t="s">
        <v>14087</v>
      </c>
      <c r="J886" s="237" t="s">
        <v>5224</v>
      </c>
      <c r="K886" s="237" t="s">
        <v>4756</v>
      </c>
      <c r="L886" s="237" t="s">
        <v>7626</v>
      </c>
      <c r="M886" s="232" t="s">
        <v>9383</v>
      </c>
      <c r="N886" s="430" t="s">
        <v>17527</v>
      </c>
    </row>
    <row r="887">
      <c r="A887" s="427">
        <v>886.0</v>
      </c>
      <c r="B887" s="237" t="s">
        <v>8406</v>
      </c>
      <c r="C887" s="237" t="s">
        <v>6918</v>
      </c>
      <c r="D887" s="428">
        <v>43059.0</v>
      </c>
      <c r="E887" s="237" t="s">
        <v>6921</v>
      </c>
      <c r="F887" s="237" t="s">
        <v>14191</v>
      </c>
      <c r="G887" s="237" t="s">
        <v>14192</v>
      </c>
      <c r="H887" s="237" t="s">
        <v>9789</v>
      </c>
      <c r="I887" s="237" t="s">
        <v>14193</v>
      </c>
      <c r="J887" s="237" t="s">
        <v>5224</v>
      </c>
      <c r="K887" s="237" t="s">
        <v>4756</v>
      </c>
      <c r="L887" s="237" t="s">
        <v>8398</v>
      </c>
      <c r="M887" s="232" t="s">
        <v>9383</v>
      </c>
      <c r="N887" s="430" t="s">
        <v>17527</v>
      </c>
    </row>
    <row r="888">
      <c r="A888" s="427">
        <v>887.0</v>
      </c>
      <c r="B888" s="237" t="s">
        <v>7828</v>
      </c>
      <c r="C888" s="237" t="s">
        <v>6918</v>
      </c>
      <c r="D888" s="428">
        <v>42646.0</v>
      </c>
      <c r="E888" s="237" t="s">
        <v>6921</v>
      </c>
      <c r="F888" s="237" t="s">
        <v>14068</v>
      </c>
      <c r="G888" s="237" t="s">
        <v>14069</v>
      </c>
      <c r="H888" s="237" t="s">
        <v>10444</v>
      </c>
      <c r="I888" s="237" t="s">
        <v>14070</v>
      </c>
      <c r="J888" s="237" t="s">
        <v>5224</v>
      </c>
      <c r="K888" s="237" t="s">
        <v>4756</v>
      </c>
      <c r="L888" s="237" t="s">
        <v>7809</v>
      </c>
      <c r="M888" s="232" t="s">
        <v>9383</v>
      </c>
      <c r="N888" s="430" t="s">
        <v>17527</v>
      </c>
    </row>
    <row r="889">
      <c r="A889" s="427">
        <v>888.0</v>
      </c>
      <c r="B889" s="237" t="s">
        <v>7816</v>
      </c>
      <c r="C889" s="237" t="s">
        <v>6918</v>
      </c>
      <c r="D889" s="428">
        <v>41548.0</v>
      </c>
      <c r="E889" s="237" t="s">
        <v>6921</v>
      </c>
      <c r="F889" s="237" t="s">
        <v>14066</v>
      </c>
      <c r="G889" s="237" t="s">
        <v>12750</v>
      </c>
      <c r="H889" s="237" t="s">
        <v>9435</v>
      </c>
      <c r="I889" s="237" t="s">
        <v>14067</v>
      </c>
      <c r="J889" s="237" t="s">
        <v>5224</v>
      </c>
      <c r="K889" s="237" t="s">
        <v>4756</v>
      </c>
      <c r="L889" s="237" t="s">
        <v>7809</v>
      </c>
      <c r="M889" s="232" t="s">
        <v>9383</v>
      </c>
      <c r="N889" s="430" t="s">
        <v>17527</v>
      </c>
    </row>
    <row r="890">
      <c r="A890" s="427">
        <v>889.0</v>
      </c>
      <c r="B890" s="237" t="s">
        <v>4758</v>
      </c>
      <c r="C890" s="237" t="s">
        <v>6918</v>
      </c>
      <c r="D890" s="428">
        <v>43601.0</v>
      </c>
      <c r="E890" s="237" t="s">
        <v>6921</v>
      </c>
      <c r="F890" s="237" t="s">
        <v>14133</v>
      </c>
      <c r="G890" s="237" t="s">
        <v>14134</v>
      </c>
      <c r="H890" s="237" t="s">
        <v>9849</v>
      </c>
      <c r="I890" s="237" t="s">
        <v>4759</v>
      </c>
      <c r="J890" s="237" t="s">
        <v>5224</v>
      </c>
      <c r="K890" s="237" t="s">
        <v>4756</v>
      </c>
      <c r="L890" s="237" t="s">
        <v>14135</v>
      </c>
      <c r="M890" s="232" t="s">
        <v>9383</v>
      </c>
      <c r="N890" s="430" t="s">
        <v>17527</v>
      </c>
    </row>
    <row r="891">
      <c r="A891" s="427">
        <v>890.0</v>
      </c>
      <c r="B891" s="237" t="s">
        <v>9099</v>
      </c>
      <c r="C891" s="237" t="s">
        <v>6918</v>
      </c>
      <c r="D891" s="428">
        <v>42688.0</v>
      </c>
      <c r="E891" s="237" t="s">
        <v>6921</v>
      </c>
      <c r="F891" s="237" t="s">
        <v>12192</v>
      </c>
      <c r="G891" s="237" t="s">
        <v>15870</v>
      </c>
      <c r="H891" s="237" t="s">
        <v>10003</v>
      </c>
      <c r="I891" s="237" t="s">
        <v>15871</v>
      </c>
      <c r="J891" s="237" t="s">
        <v>5224</v>
      </c>
      <c r="K891" s="237" t="s">
        <v>4756</v>
      </c>
      <c r="L891" s="237" t="s">
        <v>9093</v>
      </c>
      <c r="M891" s="232" t="s">
        <v>9383</v>
      </c>
      <c r="N891" s="430" t="s">
        <v>17527</v>
      </c>
    </row>
    <row r="892">
      <c r="A892" s="427">
        <v>891.0</v>
      </c>
      <c r="B892" s="237" t="s">
        <v>7742</v>
      </c>
      <c r="C892" s="237" t="s">
        <v>6918</v>
      </c>
      <c r="D892" s="428">
        <v>43692.0</v>
      </c>
      <c r="E892" s="237" t="s">
        <v>6921</v>
      </c>
      <c r="F892" s="237" t="s">
        <v>14424</v>
      </c>
      <c r="G892" s="237" t="s">
        <v>14427</v>
      </c>
      <c r="H892" s="237" t="s">
        <v>10015</v>
      </c>
      <c r="I892" s="237" t="s">
        <v>14428</v>
      </c>
      <c r="J892" s="237" t="s">
        <v>5224</v>
      </c>
      <c r="K892" s="237" t="s">
        <v>4756</v>
      </c>
      <c r="L892" s="237" t="s">
        <v>2117</v>
      </c>
      <c r="M892" s="232" t="s">
        <v>9383</v>
      </c>
      <c r="N892" s="430" t="s">
        <v>17527</v>
      </c>
    </row>
    <row r="893">
      <c r="A893" s="427">
        <v>892.0</v>
      </c>
      <c r="B893" s="237" t="s">
        <v>8574</v>
      </c>
      <c r="C893" s="237" t="s">
        <v>6918</v>
      </c>
      <c r="D893" s="428">
        <v>44516.0</v>
      </c>
      <c r="E893" s="237" t="s">
        <v>7239</v>
      </c>
      <c r="F893" s="237" t="s">
        <v>9740</v>
      </c>
      <c r="G893" s="237" t="s">
        <v>14582</v>
      </c>
      <c r="H893" s="237" t="s">
        <v>9742</v>
      </c>
      <c r="I893" s="237" t="s">
        <v>14583</v>
      </c>
      <c r="J893" s="237" t="s">
        <v>5224</v>
      </c>
      <c r="K893" s="237" t="s">
        <v>4756</v>
      </c>
      <c r="L893" s="237" t="s">
        <v>2208</v>
      </c>
      <c r="M893" s="232" t="s">
        <v>9383</v>
      </c>
      <c r="N893" s="430" t="s">
        <v>17527</v>
      </c>
    </row>
    <row r="894">
      <c r="A894" s="427">
        <v>893.0</v>
      </c>
      <c r="B894" s="237" t="s">
        <v>8418</v>
      </c>
      <c r="C894" s="237" t="s">
        <v>6918</v>
      </c>
      <c r="D894" s="428">
        <v>42534.0</v>
      </c>
      <c r="E894" s="237" t="s">
        <v>7239</v>
      </c>
      <c r="F894" s="237" t="s">
        <v>14698</v>
      </c>
      <c r="G894" s="237" t="s">
        <v>14699</v>
      </c>
      <c r="H894" s="237" t="s">
        <v>11155</v>
      </c>
      <c r="I894" s="237" t="s">
        <v>14700</v>
      </c>
      <c r="J894" s="237" t="s">
        <v>5224</v>
      </c>
      <c r="K894" s="237" t="s">
        <v>4756</v>
      </c>
      <c r="L894" s="237" t="s">
        <v>8398</v>
      </c>
      <c r="M894" s="232" t="s">
        <v>9383</v>
      </c>
      <c r="N894" s="430" t="s">
        <v>17527</v>
      </c>
    </row>
    <row r="895">
      <c r="A895" s="427">
        <v>894.0</v>
      </c>
      <c r="B895" s="237" t="s">
        <v>4849</v>
      </c>
      <c r="C895" s="237" t="s">
        <v>6918</v>
      </c>
      <c r="D895" s="428">
        <v>42675.0</v>
      </c>
      <c r="E895" s="237" t="s">
        <v>6933</v>
      </c>
      <c r="F895" s="237" t="s">
        <v>14619</v>
      </c>
      <c r="G895" s="237" t="s">
        <v>14620</v>
      </c>
      <c r="H895" s="237" t="s">
        <v>14621</v>
      </c>
      <c r="I895" s="237" t="s">
        <v>4850</v>
      </c>
      <c r="J895" s="237" t="s">
        <v>5224</v>
      </c>
      <c r="K895" s="237" t="s">
        <v>4756</v>
      </c>
      <c r="L895" s="237" t="s">
        <v>2177</v>
      </c>
      <c r="M895" s="232" t="s">
        <v>9383</v>
      </c>
      <c r="N895" s="430" t="s">
        <v>17527</v>
      </c>
    </row>
    <row r="896">
      <c r="A896" s="427">
        <v>895.0</v>
      </c>
      <c r="B896" s="237" t="s">
        <v>8834</v>
      </c>
      <c r="C896" s="237" t="s">
        <v>6918</v>
      </c>
      <c r="D896" s="428">
        <v>42135.0</v>
      </c>
      <c r="E896" s="237" t="s">
        <v>6933</v>
      </c>
      <c r="F896" s="237" t="s">
        <v>14623</v>
      </c>
      <c r="G896" s="237" t="s">
        <v>14624</v>
      </c>
      <c r="H896" s="237" t="s">
        <v>10952</v>
      </c>
      <c r="I896" s="237" t="s">
        <v>14625</v>
      </c>
      <c r="J896" s="237" t="s">
        <v>5224</v>
      </c>
      <c r="K896" s="237" t="s">
        <v>4756</v>
      </c>
      <c r="L896" s="237" t="s">
        <v>17519</v>
      </c>
      <c r="M896" s="232" t="s">
        <v>9383</v>
      </c>
      <c r="N896" s="430" t="s">
        <v>17527</v>
      </c>
    </row>
    <row r="897">
      <c r="A897" s="427">
        <v>896.0</v>
      </c>
      <c r="B897" s="237" t="s">
        <v>8158</v>
      </c>
      <c r="C897" s="237" t="s">
        <v>6918</v>
      </c>
      <c r="D897" s="428">
        <v>42648.0</v>
      </c>
      <c r="E897" s="237" t="s">
        <v>6921</v>
      </c>
      <c r="F897" s="237" t="s">
        <v>14643</v>
      </c>
      <c r="G897" s="237" t="s">
        <v>14644</v>
      </c>
      <c r="H897" s="237" t="s">
        <v>11870</v>
      </c>
      <c r="I897" s="237" t="s">
        <v>14645</v>
      </c>
      <c r="J897" s="237" t="s">
        <v>5224</v>
      </c>
      <c r="K897" s="237" t="s">
        <v>4756</v>
      </c>
      <c r="L897" s="237" t="s">
        <v>14504</v>
      </c>
      <c r="M897" s="232" t="s">
        <v>9383</v>
      </c>
      <c r="N897" s="430" t="s">
        <v>17527</v>
      </c>
    </row>
    <row r="898">
      <c r="A898" s="427">
        <v>897.0</v>
      </c>
      <c r="B898" s="237" t="s">
        <v>7724</v>
      </c>
      <c r="C898" s="237" t="s">
        <v>6918</v>
      </c>
      <c r="D898" s="428">
        <v>44326.0</v>
      </c>
      <c r="E898" s="237" t="s">
        <v>7097</v>
      </c>
      <c r="F898" s="237" t="s">
        <v>15498</v>
      </c>
      <c r="G898" s="237" t="s">
        <v>15499</v>
      </c>
      <c r="H898" s="237" t="s">
        <v>15498</v>
      </c>
      <c r="I898" s="237" t="s">
        <v>15500</v>
      </c>
      <c r="J898" s="237" t="s">
        <v>5224</v>
      </c>
      <c r="K898" s="237" t="s">
        <v>4756</v>
      </c>
      <c r="L898" s="237" t="s">
        <v>15501</v>
      </c>
      <c r="M898" s="232" t="s">
        <v>9383</v>
      </c>
      <c r="N898" s="430" t="s">
        <v>17527</v>
      </c>
    </row>
    <row r="899">
      <c r="A899" s="427">
        <v>898.0</v>
      </c>
      <c r="B899" s="237" t="s">
        <v>7467</v>
      </c>
      <c r="C899" s="237" t="s">
        <v>6918</v>
      </c>
      <c r="D899" s="428">
        <v>43087.0</v>
      </c>
      <c r="E899" s="237" t="s">
        <v>6921</v>
      </c>
      <c r="F899" s="237" t="s">
        <v>15357</v>
      </c>
      <c r="G899" s="237" t="s">
        <v>15360</v>
      </c>
      <c r="H899" s="237" t="s">
        <v>9669</v>
      </c>
      <c r="I899" s="237" t="s">
        <v>15361</v>
      </c>
      <c r="J899" s="237" t="s">
        <v>5224</v>
      </c>
      <c r="K899" s="237" t="s">
        <v>4756</v>
      </c>
      <c r="L899" s="237" t="s">
        <v>7459</v>
      </c>
      <c r="M899" s="232" t="s">
        <v>9383</v>
      </c>
      <c r="N899" s="430" t="s">
        <v>17527</v>
      </c>
    </row>
    <row r="900">
      <c r="A900" s="427">
        <v>899.0</v>
      </c>
      <c r="B900" s="237" t="s">
        <v>7020</v>
      </c>
      <c r="C900" s="237" t="s">
        <v>6918</v>
      </c>
      <c r="D900" s="428">
        <v>43692.0</v>
      </c>
      <c r="E900" s="237" t="s">
        <v>6933</v>
      </c>
      <c r="F900" s="237" t="s">
        <v>15571</v>
      </c>
      <c r="G900" s="237" t="s">
        <v>15572</v>
      </c>
      <c r="H900" s="237" t="s">
        <v>10441</v>
      </c>
      <c r="I900" s="237" t="s">
        <v>15573</v>
      </c>
      <c r="J900" s="237" t="s">
        <v>5224</v>
      </c>
      <c r="K900" s="237" t="s">
        <v>4756</v>
      </c>
      <c r="L900" s="237" t="s">
        <v>7015</v>
      </c>
      <c r="M900" s="232" t="s">
        <v>9383</v>
      </c>
      <c r="N900" s="430" t="s">
        <v>17527</v>
      </c>
    </row>
    <row r="901">
      <c r="A901" s="427">
        <v>900.0</v>
      </c>
      <c r="B901" s="237" t="s">
        <v>8500</v>
      </c>
      <c r="C901" s="237" t="s">
        <v>6918</v>
      </c>
      <c r="D901" s="428">
        <v>44760.0</v>
      </c>
      <c r="E901" s="237" t="s">
        <v>6933</v>
      </c>
      <c r="F901" s="237" t="s">
        <v>14026</v>
      </c>
      <c r="G901" s="237" t="s">
        <v>14027</v>
      </c>
      <c r="H901" s="237" t="s">
        <v>10536</v>
      </c>
      <c r="I901" s="237" t="s">
        <v>14028</v>
      </c>
      <c r="J901" s="237" t="s">
        <v>5224</v>
      </c>
      <c r="K901" s="237" t="s">
        <v>4756</v>
      </c>
      <c r="L901" s="237" t="s">
        <v>8486</v>
      </c>
      <c r="M901" s="232" t="s">
        <v>9383</v>
      </c>
      <c r="N901" s="430" t="s">
        <v>17527</v>
      </c>
    </row>
    <row r="902">
      <c r="A902" s="427">
        <v>901.0</v>
      </c>
      <c r="B902" s="237" t="s">
        <v>9033</v>
      </c>
      <c r="C902" s="237" t="s">
        <v>6918</v>
      </c>
      <c r="D902" s="428">
        <v>43647.0</v>
      </c>
      <c r="E902" s="237" t="s">
        <v>6921</v>
      </c>
      <c r="F902" s="237" t="s">
        <v>15041</v>
      </c>
      <c r="G902" s="237" t="s">
        <v>15042</v>
      </c>
      <c r="H902" s="237" t="s">
        <v>9501</v>
      </c>
      <c r="I902" s="237" t="s">
        <v>15043</v>
      </c>
      <c r="J902" s="237" t="s">
        <v>5224</v>
      </c>
      <c r="K902" s="237" t="s">
        <v>4756</v>
      </c>
      <c r="L902" s="237" t="s">
        <v>3041</v>
      </c>
      <c r="M902" s="232" t="s">
        <v>9383</v>
      </c>
      <c r="N902" s="430" t="s">
        <v>17527</v>
      </c>
    </row>
    <row r="903">
      <c r="A903" s="427">
        <v>902.0</v>
      </c>
      <c r="B903" s="237" t="s">
        <v>7441</v>
      </c>
      <c r="C903" s="237" t="s">
        <v>6918</v>
      </c>
      <c r="D903" s="428">
        <v>44228.0</v>
      </c>
      <c r="E903" s="237" t="s">
        <v>7239</v>
      </c>
      <c r="F903" s="237" t="s">
        <v>15056</v>
      </c>
      <c r="G903" s="237" t="s">
        <v>15057</v>
      </c>
      <c r="H903" s="237" t="s">
        <v>10086</v>
      </c>
      <c r="I903" s="237" t="s">
        <v>15058</v>
      </c>
      <c r="J903" s="237" t="s">
        <v>5224</v>
      </c>
      <c r="K903" s="237" t="s">
        <v>4756</v>
      </c>
      <c r="L903" s="237" t="s">
        <v>7434</v>
      </c>
      <c r="M903" s="232" t="s">
        <v>9383</v>
      </c>
      <c r="N903" s="430" t="s">
        <v>17527</v>
      </c>
    </row>
    <row r="904">
      <c r="A904" s="427">
        <v>903.0</v>
      </c>
      <c r="B904" s="237" t="s">
        <v>8373</v>
      </c>
      <c r="C904" s="237" t="s">
        <v>6918</v>
      </c>
      <c r="D904" s="428">
        <v>44348.0</v>
      </c>
      <c r="E904" s="237" t="s">
        <v>6921</v>
      </c>
      <c r="F904" s="237" t="s">
        <v>15086</v>
      </c>
      <c r="G904" s="237" t="s">
        <v>15087</v>
      </c>
      <c r="H904" s="237" t="s">
        <v>15088</v>
      </c>
      <c r="I904" s="237" t="s">
        <v>15089</v>
      </c>
      <c r="J904" s="237" t="s">
        <v>5224</v>
      </c>
      <c r="K904" s="237" t="s">
        <v>4756</v>
      </c>
      <c r="L904" s="237" t="s">
        <v>8362</v>
      </c>
      <c r="M904" s="232" t="s">
        <v>9383</v>
      </c>
      <c r="N904" s="430" t="s">
        <v>17527</v>
      </c>
    </row>
    <row r="905">
      <c r="A905" s="427">
        <v>904.0</v>
      </c>
      <c r="B905" s="237" t="s">
        <v>8768</v>
      </c>
      <c r="C905" s="237" t="s">
        <v>6918</v>
      </c>
      <c r="D905" s="428">
        <v>44543.0</v>
      </c>
      <c r="E905" s="237" t="s">
        <v>6933</v>
      </c>
      <c r="F905" s="237" t="s">
        <v>11708</v>
      </c>
      <c r="G905" s="237" t="s">
        <v>15186</v>
      </c>
      <c r="H905" s="237" t="s">
        <v>13778</v>
      </c>
      <c r="I905" s="237" t="s">
        <v>15187</v>
      </c>
      <c r="J905" s="237" t="s">
        <v>5012</v>
      </c>
      <c r="K905" s="237" t="s">
        <v>4756</v>
      </c>
      <c r="L905" s="237" t="s">
        <v>8850</v>
      </c>
      <c r="M905" s="232" t="s">
        <v>9383</v>
      </c>
      <c r="N905" s="430" t="s">
        <v>17527</v>
      </c>
    </row>
    <row r="906">
      <c r="A906" s="427">
        <v>905.0</v>
      </c>
      <c r="B906" s="237" t="s">
        <v>7495</v>
      </c>
      <c r="C906" s="237" t="s">
        <v>6918</v>
      </c>
      <c r="D906" s="428">
        <v>43678.0</v>
      </c>
      <c r="E906" s="237" t="s">
        <v>6921</v>
      </c>
      <c r="F906" s="237" t="s">
        <v>14865</v>
      </c>
      <c r="G906" s="237" t="s">
        <v>14866</v>
      </c>
      <c r="H906" s="237" t="s">
        <v>14867</v>
      </c>
      <c r="I906" s="237" t="s">
        <v>14868</v>
      </c>
      <c r="J906" s="237" t="s">
        <v>5224</v>
      </c>
      <c r="K906" s="237" t="s">
        <v>4756</v>
      </c>
      <c r="L906" s="237" t="s">
        <v>14869</v>
      </c>
      <c r="M906" s="232" t="s">
        <v>9383</v>
      </c>
      <c r="N906" s="430" t="s">
        <v>17527</v>
      </c>
    </row>
    <row r="907">
      <c r="A907" s="427">
        <v>906.0</v>
      </c>
      <c r="B907" s="237" t="s">
        <v>8648</v>
      </c>
      <c r="C907" s="237" t="s">
        <v>8647</v>
      </c>
      <c r="D907" s="428">
        <v>40947.0</v>
      </c>
      <c r="E907" s="237" t="s">
        <v>6933</v>
      </c>
      <c r="F907" s="237" t="s">
        <v>16436</v>
      </c>
      <c r="G907" s="237" t="s">
        <v>16437</v>
      </c>
      <c r="H907" s="237" t="s">
        <v>10709</v>
      </c>
      <c r="I907" s="237" t="s">
        <v>16438</v>
      </c>
      <c r="J907" s="237" t="s">
        <v>5224</v>
      </c>
      <c r="K907" s="237" t="s">
        <v>4756</v>
      </c>
      <c r="L907" s="237" t="s">
        <v>8609</v>
      </c>
      <c r="M907" s="232" t="s">
        <v>9383</v>
      </c>
      <c r="N907" s="430" t="s">
        <v>17527</v>
      </c>
    </row>
    <row r="908">
      <c r="A908" s="427">
        <v>907.0</v>
      </c>
      <c r="B908" s="237" t="s">
        <v>15914</v>
      </c>
      <c r="C908" s="237" t="s">
        <v>6918</v>
      </c>
      <c r="D908" s="428">
        <v>45154.0</v>
      </c>
      <c r="E908" s="237" t="s">
        <v>6921</v>
      </c>
      <c r="F908" s="237" t="s">
        <v>15915</v>
      </c>
      <c r="G908" s="237" t="s">
        <v>15916</v>
      </c>
      <c r="H908" s="237" t="s">
        <v>11164</v>
      </c>
      <c r="I908" s="237" t="s">
        <v>15917</v>
      </c>
      <c r="J908" s="237" t="s">
        <v>5012</v>
      </c>
      <c r="K908" s="237" t="s">
        <v>12973</v>
      </c>
      <c r="L908" s="237" t="s">
        <v>17385</v>
      </c>
      <c r="M908" s="232" t="s">
        <v>9383</v>
      </c>
      <c r="N908" s="430" t="s">
        <v>17527</v>
      </c>
    </row>
    <row r="909">
      <c r="A909" s="427">
        <v>908.0</v>
      </c>
      <c r="B909" s="237" t="s">
        <v>13533</v>
      </c>
      <c r="C909" s="237" t="s">
        <v>6918</v>
      </c>
      <c r="D909" s="428">
        <v>41842.0</v>
      </c>
      <c r="E909" s="237" t="s">
        <v>6921</v>
      </c>
      <c r="F909" s="237" t="s">
        <v>13535</v>
      </c>
      <c r="G909" s="237" t="s">
        <v>13536</v>
      </c>
      <c r="H909" s="237" t="s">
        <v>9659</v>
      </c>
      <c r="I909" s="237" t="s">
        <v>13537</v>
      </c>
      <c r="J909" s="237" t="s">
        <v>5012</v>
      </c>
      <c r="K909" s="237" t="s">
        <v>12973</v>
      </c>
      <c r="L909" s="237" t="s">
        <v>3280</v>
      </c>
      <c r="M909" s="232" t="s">
        <v>9383</v>
      </c>
      <c r="N909" s="430" t="s">
        <v>17527</v>
      </c>
    </row>
    <row r="910">
      <c r="A910" s="427">
        <v>909.0</v>
      </c>
      <c r="B910" s="237" t="s">
        <v>4056</v>
      </c>
      <c r="C910" s="237" t="s">
        <v>6918</v>
      </c>
      <c r="D910" s="428">
        <v>45597.0</v>
      </c>
      <c r="E910" s="237" t="s">
        <v>6921</v>
      </c>
      <c r="F910" s="237" t="s">
        <v>9584</v>
      </c>
      <c r="G910" s="237" t="s">
        <v>17701</v>
      </c>
      <c r="H910" s="237" t="s">
        <v>9669</v>
      </c>
      <c r="I910" s="237" t="s">
        <v>6749</v>
      </c>
      <c r="J910" s="237" t="s">
        <v>5012</v>
      </c>
      <c r="K910" s="237" t="s">
        <v>12973</v>
      </c>
      <c r="L910" s="237" t="s">
        <v>17385</v>
      </c>
      <c r="M910" s="232" t="s">
        <v>9383</v>
      </c>
      <c r="N910" s="430" t="s">
        <v>17527</v>
      </c>
    </row>
    <row r="911">
      <c r="A911" s="427">
        <v>910.0</v>
      </c>
      <c r="B911" s="237" t="s">
        <v>13691</v>
      </c>
      <c r="C911" s="237" t="s">
        <v>6918</v>
      </c>
      <c r="D911" s="428">
        <v>43941.0</v>
      </c>
      <c r="E911" s="237" t="s">
        <v>6921</v>
      </c>
      <c r="F911" s="237" t="s">
        <v>13693</v>
      </c>
      <c r="G911" s="237" t="s">
        <v>13694</v>
      </c>
      <c r="H911" s="237" t="s">
        <v>9754</v>
      </c>
      <c r="I911" s="237" t="s">
        <v>13695</v>
      </c>
      <c r="J911" s="237" t="s">
        <v>5012</v>
      </c>
      <c r="K911" s="237" t="s">
        <v>12973</v>
      </c>
      <c r="L911" s="237" t="s">
        <v>17382</v>
      </c>
      <c r="M911" s="232" t="s">
        <v>9383</v>
      </c>
      <c r="N911" s="430" t="s">
        <v>17527</v>
      </c>
    </row>
    <row r="912">
      <c r="A912" s="427">
        <v>911.0</v>
      </c>
      <c r="B912" s="237" t="s">
        <v>15856</v>
      </c>
      <c r="C912" s="237" t="s">
        <v>6918</v>
      </c>
      <c r="D912" s="428">
        <v>41718.0</v>
      </c>
      <c r="E912" s="237" t="s">
        <v>6921</v>
      </c>
      <c r="F912" s="237" t="s">
        <v>15858</v>
      </c>
      <c r="G912" s="237" t="s">
        <v>15859</v>
      </c>
      <c r="H912" s="237" t="s">
        <v>15860</v>
      </c>
      <c r="I912" s="237" t="s">
        <v>15861</v>
      </c>
      <c r="J912" s="237" t="s">
        <v>5012</v>
      </c>
      <c r="K912" s="237" t="s">
        <v>12973</v>
      </c>
      <c r="L912" s="237" t="s">
        <v>17372</v>
      </c>
      <c r="M912" s="232" t="s">
        <v>9383</v>
      </c>
      <c r="N912" s="430" t="s">
        <v>17527</v>
      </c>
    </row>
    <row r="913">
      <c r="A913" s="427">
        <v>912.0</v>
      </c>
      <c r="B913" s="237" t="s">
        <v>15741</v>
      </c>
      <c r="C913" s="237" t="s">
        <v>6918</v>
      </c>
      <c r="D913" s="428">
        <v>40400.0</v>
      </c>
      <c r="E913" s="237" t="s">
        <v>6921</v>
      </c>
      <c r="F913" s="237" t="s">
        <v>15743</v>
      </c>
      <c r="G913" s="237" t="s">
        <v>15744</v>
      </c>
      <c r="H913" s="237" t="s">
        <v>15745</v>
      </c>
      <c r="I913" s="237" t="s">
        <v>15746</v>
      </c>
      <c r="J913" s="237" t="s">
        <v>5012</v>
      </c>
      <c r="K913" s="237" t="s">
        <v>12973</v>
      </c>
      <c r="L913" s="237" t="s">
        <v>17376</v>
      </c>
      <c r="M913" s="232" t="s">
        <v>9383</v>
      </c>
      <c r="N913" s="430" t="s">
        <v>17527</v>
      </c>
    </row>
    <row r="914">
      <c r="A914" s="427">
        <v>913.0</v>
      </c>
      <c r="B914" s="237" t="s">
        <v>15896</v>
      </c>
      <c r="C914" s="237" t="s">
        <v>6918</v>
      </c>
      <c r="D914" s="428">
        <v>44333.0</v>
      </c>
      <c r="E914" s="237" t="s">
        <v>6921</v>
      </c>
      <c r="F914" s="237" t="s">
        <v>15897</v>
      </c>
      <c r="G914" s="237" t="s">
        <v>15898</v>
      </c>
      <c r="H914" s="237" t="s">
        <v>15899</v>
      </c>
      <c r="I914" s="237" t="s">
        <v>15900</v>
      </c>
      <c r="J914" s="237" t="s">
        <v>5012</v>
      </c>
      <c r="K914" s="237" t="s">
        <v>12973</v>
      </c>
      <c r="L914" s="237" t="s">
        <v>17466</v>
      </c>
      <c r="M914" s="232" t="s">
        <v>9383</v>
      </c>
      <c r="N914" s="430" t="s">
        <v>17527</v>
      </c>
    </row>
    <row r="915">
      <c r="A915" s="427">
        <v>914.0</v>
      </c>
      <c r="B915" s="237" t="s">
        <v>6997</v>
      </c>
      <c r="C915" s="237" t="s">
        <v>6918</v>
      </c>
      <c r="D915" s="428">
        <v>45231.0</v>
      </c>
      <c r="E915" s="237" t="s">
        <v>6933</v>
      </c>
      <c r="F915" s="237" t="s">
        <v>15778</v>
      </c>
      <c r="G915" s="237" t="s">
        <v>15779</v>
      </c>
      <c r="H915" s="237" t="s">
        <v>15780</v>
      </c>
      <c r="I915" s="237" t="s">
        <v>15781</v>
      </c>
      <c r="J915" s="237" t="s">
        <v>5224</v>
      </c>
      <c r="K915" s="237" t="s">
        <v>13087</v>
      </c>
      <c r="L915" s="237" t="s">
        <v>13699</v>
      </c>
      <c r="M915" s="232" t="s">
        <v>9383</v>
      </c>
      <c r="N915" s="430" t="s">
        <v>17527</v>
      </c>
    </row>
    <row r="916">
      <c r="A916" s="427">
        <v>915.0</v>
      </c>
      <c r="B916" s="237" t="s">
        <v>9115</v>
      </c>
      <c r="C916" s="237" t="s">
        <v>6918</v>
      </c>
      <c r="D916" s="428">
        <v>39421.0</v>
      </c>
      <c r="E916" s="237" t="s">
        <v>6933</v>
      </c>
      <c r="F916" s="237" t="s">
        <v>13083</v>
      </c>
      <c r="G916" s="237" t="s">
        <v>13084</v>
      </c>
      <c r="H916" s="237" t="s">
        <v>13085</v>
      </c>
      <c r="I916" s="237" t="s">
        <v>13086</v>
      </c>
      <c r="J916" s="237" t="s">
        <v>5224</v>
      </c>
      <c r="K916" s="237" t="s">
        <v>13087</v>
      </c>
      <c r="L916" s="237" t="s">
        <v>2138</v>
      </c>
      <c r="M916" s="232" t="s">
        <v>9383</v>
      </c>
      <c r="N916" s="430" t="s">
        <v>17527</v>
      </c>
    </row>
    <row r="917">
      <c r="A917" s="427">
        <v>916.0</v>
      </c>
      <c r="B917" s="237" t="s">
        <v>7890</v>
      </c>
      <c r="C917" s="237" t="s">
        <v>7889</v>
      </c>
      <c r="D917" s="428">
        <v>30452.0</v>
      </c>
      <c r="E917" s="237" t="s">
        <v>6933</v>
      </c>
      <c r="F917" s="237" t="s">
        <v>12502</v>
      </c>
      <c r="G917" s="237" t="s">
        <v>12503</v>
      </c>
      <c r="H917" s="237" t="s">
        <v>12504</v>
      </c>
      <c r="I917" s="237" t="s">
        <v>12505</v>
      </c>
      <c r="J917" s="237" t="s">
        <v>5224</v>
      </c>
      <c r="K917" s="237" t="s">
        <v>12506</v>
      </c>
      <c r="L917" s="237" t="s">
        <v>4549</v>
      </c>
      <c r="M917" s="232" t="s">
        <v>9383</v>
      </c>
      <c r="N917" s="430" t="s">
        <v>17527</v>
      </c>
    </row>
    <row r="918">
      <c r="A918" s="427">
        <v>917.0</v>
      </c>
      <c r="B918" s="237" t="s">
        <v>7463</v>
      </c>
      <c r="C918" s="237" t="s">
        <v>6918</v>
      </c>
      <c r="D918" s="428">
        <v>42522.0</v>
      </c>
      <c r="E918" s="237" t="s">
        <v>7239</v>
      </c>
      <c r="F918" s="237" t="s">
        <v>17702</v>
      </c>
      <c r="G918" s="237" t="s">
        <v>14291</v>
      </c>
      <c r="H918" s="237" t="s">
        <v>14292</v>
      </c>
      <c r="I918" s="237" t="s">
        <v>14293</v>
      </c>
      <c r="J918" s="237" t="s">
        <v>5224</v>
      </c>
      <c r="K918" s="237" t="s">
        <v>12506</v>
      </c>
      <c r="L918" s="237" t="s">
        <v>7459</v>
      </c>
      <c r="M918" s="232" t="s">
        <v>9383</v>
      </c>
      <c r="N918" s="430" t="s">
        <v>17527</v>
      </c>
    </row>
    <row r="919">
      <c r="A919" s="427">
        <v>918.0</v>
      </c>
      <c r="B919" s="237" t="s">
        <v>8632</v>
      </c>
      <c r="C919" s="237" t="s">
        <v>6918</v>
      </c>
      <c r="D919" s="428">
        <v>34304.0</v>
      </c>
      <c r="E919" s="237" t="s">
        <v>6921</v>
      </c>
      <c r="F919" s="237" t="s">
        <v>15755</v>
      </c>
      <c r="G919" s="237" t="s">
        <v>15756</v>
      </c>
      <c r="H919" s="237" t="s">
        <v>9709</v>
      </c>
      <c r="I919" s="237" t="s">
        <v>15757</v>
      </c>
      <c r="J919" s="237" t="s">
        <v>5224</v>
      </c>
      <c r="K919" s="237" t="s">
        <v>12506</v>
      </c>
      <c r="L919" s="237" t="s">
        <v>5805</v>
      </c>
      <c r="M919" s="232" t="s">
        <v>9383</v>
      </c>
      <c r="N919" s="430" t="s">
        <v>17527</v>
      </c>
    </row>
    <row r="920">
      <c r="A920" s="427">
        <v>919.0</v>
      </c>
      <c r="B920" s="237" t="s">
        <v>6980</v>
      </c>
      <c r="C920" s="237" t="s">
        <v>6918</v>
      </c>
      <c r="D920" s="428">
        <v>44795.0</v>
      </c>
      <c r="E920" s="237" t="s">
        <v>6933</v>
      </c>
      <c r="F920" s="237" t="s">
        <v>13874</v>
      </c>
      <c r="G920" s="237" t="s">
        <v>13875</v>
      </c>
      <c r="H920" s="237" t="s">
        <v>13432</v>
      </c>
      <c r="I920" s="237" t="s">
        <v>13876</v>
      </c>
      <c r="J920" s="237" t="s">
        <v>5224</v>
      </c>
      <c r="K920" s="237" t="s">
        <v>12506</v>
      </c>
      <c r="L920" s="237" t="s">
        <v>13699</v>
      </c>
      <c r="M920" s="232" t="s">
        <v>9383</v>
      </c>
      <c r="N920" s="430" t="s">
        <v>17527</v>
      </c>
    </row>
    <row r="921">
      <c r="A921" s="427">
        <v>920.0</v>
      </c>
      <c r="B921" s="237" t="s">
        <v>4042</v>
      </c>
      <c r="C921" s="237" t="s">
        <v>8796</v>
      </c>
      <c r="D921" s="428">
        <v>45054.0</v>
      </c>
      <c r="E921" s="237" t="s">
        <v>6933</v>
      </c>
      <c r="F921" s="237" t="s">
        <v>9635</v>
      </c>
      <c r="G921" s="237" t="s">
        <v>9636</v>
      </c>
      <c r="H921" s="237" t="s">
        <v>9637</v>
      </c>
      <c r="I921" s="237" t="s">
        <v>4999</v>
      </c>
      <c r="J921" s="237" t="s">
        <v>5012</v>
      </c>
      <c r="K921" s="237" t="s">
        <v>4805</v>
      </c>
      <c r="L921" s="237" t="s">
        <v>8799</v>
      </c>
      <c r="M921" s="232" t="s">
        <v>9383</v>
      </c>
      <c r="N921" s="430" t="s">
        <v>17527</v>
      </c>
    </row>
    <row r="922">
      <c r="A922" s="427">
        <v>921.0</v>
      </c>
      <c r="B922" s="237" t="s">
        <v>4311</v>
      </c>
      <c r="C922" s="237" t="s">
        <v>10103</v>
      </c>
      <c r="D922" s="428">
        <v>43252.0</v>
      </c>
      <c r="E922" s="237" t="s">
        <v>6933</v>
      </c>
      <c r="F922" s="237" t="s">
        <v>17703</v>
      </c>
      <c r="G922" s="237" t="s">
        <v>17704</v>
      </c>
      <c r="H922" s="237" t="s">
        <v>9579</v>
      </c>
      <c r="I922" s="237" t="s">
        <v>6817</v>
      </c>
      <c r="J922" s="237" t="s">
        <v>5224</v>
      </c>
      <c r="K922" s="237" t="s">
        <v>4805</v>
      </c>
      <c r="L922" s="237" t="s">
        <v>10127</v>
      </c>
      <c r="M922" s="232" t="s">
        <v>9383</v>
      </c>
      <c r="N922" s="430" t="s">
        <v>17527</v>
      </c>
    </row>
    <row r="923">
      <c r="A923" s="427">
        <v>922.0</v>
      </c>
      <c r="B923" s="237" t="s">
        <v>12454</v>
      </c>
      <c r="C923" s="237" t="s">
        <v>12420</v>
      </c>
      <c r="D923" s="428">
        <v>45034.0</v>
      </c>
      <c r="E923" s="237" t="s">
        <v>6921</v>
      </c>
      <c r="F923" s="237" t="s">
        <v>12456</v>
      </c>
      <c r="G923" s="237" t="s">
        <v>12457</v>
      </c>
      <c r="H923" s="237" t="s">
        <v>10009</v>
      </c>
      <c r="I923" s="237" t="s">
        <v>12458</v>
      </c>
      <c r="J923" s="237" t="s">
        <v>5224</v>
      </c>
      <c r="K923" s="237" t="s">
        <v>4805</v>
      </c>
      <c r="L923" s="237" t="s">
        <v>12459</v>
      </c>
      <c r="M923" s="232" t="s">
        <v>9383</v>
      </c>
      <c r="N923" s="430" t="s">
        <v>17527</v>
      </c>
    </row>
    <row r="924">
      <c r="A924" s="427">
        <v>923.0</v>
      </c>
      <c r="B924" s="237" t="s">
        <v>7548</v>
      </c>
      <c r="C924" s="237" t="s">
        <v>7546</v>
      </c>
      <c r="D924" s="428">
        <v>43313.0</v>
      </c>
      <c r="E924" s="237" t="s">
        <v>6921</v>
      </c>
      <c r="F924" s="237" t="s">
        <v>12766</v>
      </c>
      <c r="G924" s="237" t="s">
        <v>12767</v>
      </c>
      <c r="H924" s="237" t="s">
        <v>12768</v>
      </c>
      <c r="I924" s="237" t="s">
        <v>12769</v>
      </c>
      <c r="J924" s="237" t="s">
        <v>5224</v>
      </c>
      <c r="K924" s="237" t="s">
        <v>4805</v>
      </c>
      <c r="L924" s="237" t="s">
        <v>7550</v>
      </c>
      <c r="M924" s="232" t="s">
        <v>9383</v>
      </c>
      <c r="N924" s="430" t="s">
        <v>17527</v>
      </c>
    </row>
    <row r="925">
      <c r="A925" s="427">
        <v>924.0</v>
      </c>
      <c r="B925" s="237" t="s">
        <v>8993</v>
      </c>
      <c r="C925" s="237" t="s">
        <v>6918</v>
      </c>
      <c r="D925" s="428">
        <v>34943.0</v>
      </c>
      <c r="E925" s="237" t="s">
        <v>7239</v>
      </c>
      <c r="F925" s="237" t="s">
        <v>15908</v>
      </c>
      <c r="G925" s="237" t="s">
        <v>15912</v>
      </c>
      <c r="H925" s="237" t="s">
        <v>9754</v>
      </c>
      <c r="I925" s="237" t="s">
        <v>15913</v>
      </c>
      <c r="J925" s="237" t="s">
        <v>5224</v>
      </c>
      <c r="K925" s="237" t="s">
        <v>4805</v>
      </c>
      <c r="L925" s="237" t="s">
        <v>8991</v>
      </c>
      <c r="M925" s="232" t="s">
        <v>9383</v>
      </c>
      <c r="N925" s="430" t="s">
        <v>17527</v>
      </c>
    </row>
    <row r="926">
      <c r="A926" s="427">
        <v>925.0</v>
      </c>
      <c r="B926" s="237" t="s">
        <v>8801</v>
      </c>
      <c r="C926" s="237" t="s">
        <v>6918</v>
      </c>
      <c r="D926" s="428">
        <v>44739.0</v>
      </c>
      <c r="E926" s="237" t="s">
        <v>6933</v>
      </c>
      <c r="F926" s="237" t="s">
        <v>13125</v>
      </c>
      <c r="G926" s="237" t="s">
        <v>13126</v>
      </c>
      <c r="H926" s="237" t="s">
        <v>13127</v>
      </c>
      <c r="I926" s="237" t="s">
        <v>13128</v>
      </c>
      <c r="J926" s="237" t="s">
        <v>5012</v>
      </c>
      <c r="K926" s="237" t="s">
        <v>4805</v>
      </c>
      <c r="L926" s="237" t="s">
        <v>8803</v>
      </c>
      <c r="M926" s="232" t="s">
        <v>9383</v>
      </c>
      <c r="N926" s="430" t="s">
        <v>17527</v>
      </c>
    </row>
    <row r="927">
      <c r="A927" s="427">
        <v>926.0</v>
      </c>
      <c r="B927" s="237" t="s">
        <v>6941</v>
      </c>
      <c r="C927" s="237" t="s">
        <v>6918</v>
      </c>
      <c r="D927" s="428">
        <v>44788.0</v>
      </c>
      <c r="E927" s="237" t="s">
        <v>6933</v>
      </c>
      <c r="F927" s="237" t="s">
        <v>14785</v>
      </c>
      <c r="G927" s="237" t="s">
        <v>14786</v>
      </c>
      <c r="H927" s="237" t="s">
        <v>9891</v>
      </c>
      <c r="I927" s="237" t="s">
        <v>14787</v>
      </c>
      <c r="J927" s="237" t="s">
        <v>5224</v>
      </c>
      <c r="K927" s="237" t="s">
        <v>4805</v>
      </c>
      <c r="L927" s="237" t="s">
        <v>6935</v>
      </c>
      <c r="M927" s="232" t="s">
        <v>9383</v>
      </c>
      <c r="N927" s="430" t="s">
        <v>17527</v>
      </c>
    </row>
    <row r="928">
      <c r="A928" s="427">
        <v>927.0</v>
      </c>
      <c r="B928" s="237" t="s">
        <v>454</v>
      </c>
      <c r="C928" s="237" t="s">
        <v>6918</v>
      </c>
      <c r="D928" s="428">
        <v>44725.0</v>
      </c>
      <c r="E928" s="237" t="s">
        <v>6933</v>
      </c>
      <c r="F928" s="237" t="s">
        <v>14679</v>
      </c>
      <c r="G928" s="237" t="s">
        <v>14680</v>
      </c>
      <c r="H928" s="237" t="s">
        <v>14681</v>
      </c>
      <c r="I928" s="237" t="s">
        <v>457</v>
      </c>
      <c r="J928" s="237" t="s">
        <v>5012</v>
      </c>
      <c r="K928" s="237" t="s">
        <v>4805</v>
      </c>
      <c r="L928" s="237" t="s">
        <v>456</v>
      </c>
      <c r="M928" s="232" t="s">
        <v>9383</v>
      </c>
      <c r="N928" s="430" t="s">
        <v>17527</v>
      </c>
    </row>
    <row r="929">
      <c r="A929" s="427">
        <v>928.0</v>
      </c>
      <c r="B929" s="237" t="s">
        <v>7083</v>
      </c>
      <c r="C929" s="237" t="s">
        <v>6918</v>
      </c>
      <c r="D929" s="428">
        <v>41348.0</v>
      </c>
      <c r="E929" s="237" t="s">
        <v>6933</v>
      </c>
      <c r="F929" s="237" t="s">
        <v>14350</v>
      </c>
      <c r="G929" s="237" t="s">
        <v>14351</v>
      </c>
      <c r="H929" s="237" t="s">
        <v>13929</v>
      </c>
      <c r="I929" s="237" t="s">
        <v>14352</v>
      </c>
      <c r="J929" s="237" t="s">
        <v>5012</v>
      </c>
      <c r="K929" s="237" t="s">
        <v>4805</v>
      </c>
      <c r="L929" s="237" t="s">
        <v>7085</v>
      </c>
      <c r="M929" s="232" t="s">
        <v>9383</v>
      </c>
      <c r="N929" s="430" t="s">
        <v>17527</v>
      </c>
    </row>
    <row r="930">
      <c r="A930" s="427">
        <v>929.0</v>
      </c>
      <c r="B930" s="237" t="s">
        <v>7078</v>
      </c>
      <c r="C930" s="237" t="s">
        <v>6918</v>
      </c>
      <c r="D930" s="428">
        <v>41381.0</v>
      </c>
      <c r="E930" s="237" t="s">
        <v>6933</v>
      </c>
      <c r="F930" s="237" t="s">
        <v>13989</v>
      </c>
      <c r="G930" s="237" t="s">
        <v>13990</v>
      </c>
      <c r="H930" s="237" t="s">
        <v>10425</v>
      </c>
      <c r="I930" s="237" t="s">
        <v>13991</v>
      </c>
      <c r="J930" s="237" t="s">
        <v>5012</v>
      </c>
      <c r="K930" s="237" t="s">
        <v>4805</v>
      </c>
      <c r="L930" s="237" t="s">
        <v>7080</v>
      </c>
      <c r="M930" s="232" t="s">
        <v>9383</v>
      </c>
      <c r="N930" s="430" t="s">
        <v>17527</v>
      </c>
    </row>
    <row r="931">
      <c r="A931" s="427">
        <v>930.0</v>
      </c>
      <c r="B931" s="237" t="s">
        <v>8423</v>
      </c>
      <c r="C931" s="237" t="s">
        <v>6918</v>
      </c>
      <c r="D931" s="428">
        <v>44287.0</v>
      </c>
      <c r="E931" s="237" t="s">
        <v>6933</v>
      </c>
      <c r="F931" s="237" t="s">
        <v>14040</v>
      </c>
      <c r="G931" s="237" t="s">
        <v>14043</v>
      </c>
      <c r="H931" s="237" t="s">
        <v>14044</v>
      </c>
      <c r="I931" s="237" t="s">
        <v>14045</v>
      </c>
      <c r="J931" s="237" t="s">
        <v>5224</v>
      </c>
      <c r="K931" s="237" t="s">
        <v>4805</v>
      </c>
      <c r="L931" s="237" t="s">
        <v>1837</v>
      </c>
      <c r="M931" s="232" t="s">
        <v>9383</v>
      </c>
      <c r="N931" s="430" t="s">
        <v>17527</v>
      </c>
    </row>
    <row r="932">
      <c r="A932" s="427">
        <v>931.0</v>
      </c>
      <c r="B932" s="237" t="s">
        <v>13796</v>
      </c>
      <c r="C932" s="237" t="s">
        <v>6918</v>
      </c>
      <c r="D932" s="428">
        <v>43472.0</v>
      </c>
      <c r="E932" s="237" t="s">
        <v>6933</v>
      </c>
      <c r="F932" s="237" t="s">
        <v>13797</v>
      </c>
      <c r="G932" s="237" t="s">
        <v>13798</v>
      </c>
      <c r="H932" s="231"/>
      <c r="I932" s="231"/>
      <c r="J932" s="237" t="s">
        <v>5224</v>
      </c>
      <c r="K932" s="237" t="s">
        <v>4805</v>
      </c>
      <c r="L932" s="237" t="s">
        <v>13799</v>
      </c>
      <c r="M932" s="232" t="s">
        <v>9383</v>
      </c>
      <c r="N932" s="430" t="s">
        <v>17527</v>
      </c>
    </row>
    <row r="933">
      <c r="A933" s="427">
        <v>932.0</v>
      </c>
      <c r="B933" s="237" t="s">
        <v>9003</v>
      </c>
      <c r="C933" s="237" t="s">
        <v>6918</v>
      </c>
      <c r="D933" s="428">
        <v>40344.0</v>
      </c>
      <c r="E933" s="237" t="s">
        <v>6933</v>
      </c>
      <c r="F933" s="237" t="s">
        <v>13976</v>
      </c>
      <c r="G933" s="237" t="s">
        <v>13977</v>
      </c>
      <c r="H933" s="237" t="s">
        <v>13978</v>
      </c>
      <c r="I933" s="237" t="s">
        <v>13979</v>
      </c>
      <c r="J933" s="237" t="s">
        <v>5224</v>
      </c>
      <c r="K933" s="237" t="s">
        <v>4805</v>
      </c>
      <c r="L933" s="237" t="s">
        <v>9005</v>
      </c>
      <c r="M933" s="232" t="s">
        <v>9383</v>
      </c>
      <c r="N933" s="430" t="s">
        <v>17527</v>
      </c>
    </row>
    <row r="934">
      <c r="A934" s="427">
        <v>933.0</v>
      </c>
      <c r="B934" s="237" t="s">
        <v>7844</v>
      </c>
      <c r="C934" s="237" t="s">
        <v>6918</v>
      </c>
      <c r="D934" s="428">
        <v>39996.0</v>
      </c>
      <c r="E934" s="237" t="s">
        <v>6933</v>
      </c>
      <c r="F934" s="237" t="s">
        <v>12297</v>
      </c>
      <c r="G934" s="237" t="s">
        <v>15998</v>
      </c>
      <c r="H934" s="237" t="s">
        <v>12146</v>
      </c>
      <c r="I934" s="237" t="s">
        <v>15999</v>
      </c>
      <c r="J934" s="237" t="s">
        <v>5224</v>
      </c>
      <c r="K934" s="237" t="s">
        <v>4805</v>
      </c>
      <c r="L934" s="237" t="s">
        <v>7846</v>
      </c>
      <c r="M934" s="232" t="s">
        <v>9383</v>
      </c>
      <c r="N934" s="430" t="s">
        <v>17527</v>
      </c>
    </row>
    <row r="935">
      <c r="A935" s="427">
        <v>934.0</v>
      </c>
      <c r="B935" s="237" t="s">
        <v>8445</v>
      </c>
      <c r="C935" s="237" t="s">
        <v>6918</v>
      </c>
      <c r="D935" s="428">
        <v>44837.0</v>
      </c>
      <c r="E935" s="237" t="s">
        <v>6933</v>
      </c>
      <c r="F935" s="237" t="s">
        <v>15129</v>
      </c>
      <c r="G935" s="237" t="s">
        <v>15130</v>
      </c>
      <c r="H935" s="237" t="s">
        <v>9430</v>
      </c>
      <c r="I935" s="237" t="s">
        <v>15131</v>
      </c>
      <c r="J935" s="237" t="s">
        <v>5224</v>
      </c>
      <c r="K935" s="237" t="s">
        <v>4805</v>
      </c>
      <c r="L935" s="237" t="s">
        <v>1393</v>
      </c>
      <c r="M935" s="232" t="s">
        <v>9383</v>
      </c>
      <c r="N935" s="430" t="s">
        <v>17527</v>
      </c>
    </row>
    <row r="936">
      <c r="A936" s="427">
        <v>935.0</v>
      </c>
      <c r="B936" s="237" t="s">
        <v>3988</v>
      </c>
      <c r="C936" s="237" t="s">
        <v>10103</v>
      </c>
      <c r="D936" s="428">
        <v>36647.0</v>
      </c>
      <c r="E936" s="237" t="s">
        <v>6921</v>
      </c>
      <c r="F936" s="237" t="s">
        <v>17705</v>
      </c>
      <c r="G936" s="237" t="s">
        <v>17706</v>
      </c>
      <c r="H936" s="237" t="s">
        <v>17707</v>
      </c>
      <c r="I936" s="237" t="s">
        <v>6727</v>
      </c>
      <c r="J936" s="237" t="s">
        <v>5224</v>
      </c>
      <c r="K936" s="237" t="s">
        <v>1392</v>
      </c>
      <c r="L936" s="237" t="s">
        <v>54</v>
      </c>
      <c r="M936" s="232" t="s">
        <v>9383</v>
      </c>
      <c r="N936" s="430" t="s">
        <v>17527</v>
      </c>
    </row>
    <row r="937">
      <c r="A937" s="427">
        <v>936.0</v>
      </c>
      <c r="B937" s="237" t="s">
        <v>8153</v>
      </c>
      <c r="C937" s="237" t="s">
        <v>6918</v>
      </c>
      <c r="D937" s="428">
        <v>38978.0</v>
      </c>
      <c r="E937" s="237" t="s">
        <v>6933</v>
      </c>
      <c r="F937" s="237" t="s">
        <v>13527</v>
      </c>
      <c r="G937" s="237" t="s">
        <v>9498</v>
      </c>
      <c r="H937" s="237" t="s">
        <v>13528</v>
      </c>
      <c r="I937" s="237" t="s">
        <v>13529</v>
      </c>
      <c r="J937" s="237" t="s">
        <v>5224</v>
      </c>
      <c r="K937" s="237" t="s">
        <v>1392</v>
      </c>
      <c r="L937" s="237" t="s">
        <v>8155</v>
      </c>
      <c r="M937" s="232" t="s">
        <v>9383</v>
      </c>
      <c r="N937" s="430" t="s">
        <v>17527</v>
      </c>
    </row>
    <row r="938">
      <c r="A938" s="427">
        <v>937.0</v>
      </c>
      <c r="B938" s="237" t="s">
        <v>7452</v>
      </c>
      <c r="C938" s="237" t="s">
        <v>6918</v>
      </c>
      <c r="D938" s="428">
        <v>39295.0</v>
      </c>
      <c r="E938" s="237" t="s">
        <v>7239</v>
      </c>
      <c r="F938" s="237" t="s">
        <v>14151</v>
      </c>
      <c r="G938" s="237" t="s">
        <v>14152</v>
      </c>
      <c r="H938" s="237" t="s">
        <v>11107</v>
      </c>
      <c r="I938" s="237" t="s">
        <v>14153</v>
      </c>
      <c r="J938" s="237" t="s">
        <v>5224</v>
      </c>
      <c r="K938" s="237" t="s">
        <v>1392</v>
      </c>
      <c r="L938" s="237" t="s">
        <v>7454</v>
      </c>
      <c r="M938" s="232" t="s">
        <v>9383</v>
      </c>
      <c r="N938" s="430" t="s">
        <v>17527</v>
      </c>
    </row>
    <row r="939">
      <c r="A939" s="427">
        <v>938.0</v>
      </c>
      <c r="B939" s="237" t="s">
        <v>4745</v>
      </c>
      <c r="C939" s="237" t="s">
        <v>6918</v>
      </c>
      <c r="D939" s="428">
        <v>45173.0</v>
      </c>
      <c r="E939" s="237" t="s">
        <v>6933</v>
      </c>
      <c r="F939" s="237" t="s">
        <v>14716</v>
      </c>
      <c r="G939" s="237" t="s">
        <v>14717</v>
      </c>
      <c r="H939" s="237" t="s">
        <v>10236</v>
      </c>
      <c r="I939" s="237" t="s">
        <v>4746</v>
      </c>
      <c r="J939" s="237" t="s">
        <v>5224</v>
      </c>
      <c r="K939" s="237" t="s">
        <v>1392</v>
      </c>
      <c r="L939" s="237" t="s">
        <v>3322</v>
      </c>
      <c r="M939" s="232" t="s">
        <v>9383</v>
      </c>
      <c r="N939" s="430" t="s">
        <v>17527</v>
      </c>
    </row>
    <row r="940">
      <c r="A940" s="427">
        <v>939.0</v>
      </c>
      <c r="B940" s="237" t="s">
        <v>7850</v>
      </c>
      <c r="C940" s="237" t="s">
        <v>6918</v>
      </c>
      <c r="D940" s="428">
        <v>41652.0</v>
      </c>
      <c r="E940" s="237" t="s">
        <v>6921</v>
      </c>
      <c r="F940" s="237" t="s">
        <v>14735</v>
      </c>
      <c r="G940" s="237" t="s">
        <v>14736</v>
      </c>
      <c r="H940" s="237" t="s">
        <v>14737</v>
      </c>
      <c r="I940" s="237" t="s">
        <v>14738</v>
      </c>
      <c r="J940" s="237" t="s">
        <v>5224</v>
      </c>
      <c r="K940" s="237" t="s">
        <v>1392</v>
      </c>
      <c r="L940" s="237" t="s">
        <v>7846</v>
      </c>
      <c r="M940" s="232" t="s">
        <v>9383</v>
      </c>
      <c r="N940" s="430" t="s">
        <v>17527</v>
      </c>
    </row>
    <row r="941">
      <c r="A941" s="427">
        <v>940.0</v>
      </c>
      <c r="B941" s="237" t="s">
        <v>8974</v>
      </c>
      <c r="C941" s="237" t="s">
        <v>6918</v>
      </c>
      <c r="D941" s="428">
        <v>41508.0</v>
      </c>
      <c r="E941" s="237" t="s">
        <v>6921</v>
      </c>
      <c r="F941" s="237" t="s">
        <v>15313</v>
      </c>
      <c r="G941" s="237" t="s">
        <v>15314</v>
      </c>
      <c r="H941" s="237" t="s">
        <v>15315</v>
      </c>
      <c r="I941" s="237" t="s">
        <v>15316</v>
      </c>
      <c r="J941" s="237" t="s">
        <v>5224</v>
      </c>
      <c r="K941" s="237" t="s">
        <v>1392</v>
      </c>
      <c r="L941" s="237" t="s">
        <v>8976</v>
      </c>
      <c r="M941" s="232" t="s">
        <v>9383</v>
      </c>
      <c r="N941" s="430" t="s">
        <v>17527</v>
      </c>
    </row>
    <row r="942">
      <c r="A942" s="427">
        <v>941.0</v>
      </c>
      <c r="B942" s="237" t="s">
        <v>8470</v>
      </c>
      <c r="C942" s="237" t="s">
        <v>6918</v>
      </c>
      <c r="D942" s="428">
        <v>42493.0</v>
      </c>
      <c r="E942" s="237" t="s">
        <v>6921</v>
      </c>
      <c r="F942" s="237" t="s">
        <v>15306</v>
      </c>
      <c r="G942" s="237" t="s">
        <v>9498</v>
      </c>
      <c r="H942" s="237" t="s">
        <v>9435</v>
      </c>
      <c r="I942" s="237" t="s">
        <v>15307</v>
      </c>
      <c r="J942" s="237" t="s">
        <v>5224</v>
      </c>
      <c r="K942" s="237" t="s">
        <v>1392</v>
      </c>
      <c r="L942" s="237" t="s">
        <v>8472</v>
      </c>
      <c r="M942" s="232" t="s">
        <v>9383</v>
      </c>
      <c r="N942" s="430" t="s">
        <v>17527</v>
      </c>
    </row>
    <row r="943">
      <c r="A943" s="427">
        <v>942.0</v>
      </c>
      <c r="B943" s="237" t="s">
        <v>7907</v>
      </c>
      <c r="C943" s="237" t="s">
        <v>6918</v>
      </c>
      <c r="D943" s="428">
        <v>39085.0</v>
      </c>
      <c r="E943" s="237" t="s">
        <v>6921</v>
      </c>
      <c r="F943" s="237" t="s">
        <v>16005</v>
      </c>
      <c r="G943" s="237" t="s">
        <v>16006</v>
      </c>
      <c r="H943" s="237" t="s">
        <v>16007</v>
      </c>
      <c r="I943" s="237" t="s">
        <v>16008</v>
      </c>
      <c r="J943" s="237" t="s">
        <v>5224</v>
      </c>
      <c r="K943" s="237" t="s">
        <v>1392</v>
      </c>
      <c r="L943" s="237" t="s">
        <v>2127</v>
      </c>
      <c r="M943" s="232" t="s">
        <v>9383</v>
      </c>
      <c r="N943" s="430" t="s">
        <v>17527</v>
      </c>
    </row>
    <row r="944">
      <c r="A944" s="427">
        <v>943.0</v>
      </c>
      <c r="B944" s="237" t="s">
        <v>6932</v>
      </c>
      <c r="C944" s="237" t="s">
        <v>6918</v>
      </c>
      <c r="D944" s="428">
        <v>41928.0</v>
      </c>
      <c r="E944" s="237" t="s">
        <v>6933</v>
      </c>
      <c r="F944" s="237" t="s">
        <v>11606</v>
      </c>
      <c r="G944" s="237" t="s">
        <v>15066</v>
      </c>
      <c r="H944" s="237" t="s">
        <v>15067</v>
      </c>
      <c r="I944" s="237" t="s">
        <v>15068</v>
      </c>
      <c r="J944" s="237" t="s">
        <v>5224</v>
      </c>
      <c r="K944" s="237" t="s">
        <v>1392</v>
      </c>
      <c r="L944" s="237" t="s">
        <v>6935</v>
      </c>
      <c r="M944" s="232" t="s">
        <v>9383</v>
      </c>
      <c r="N944" s="430" t="s">
        <v>17527</v>
      </c>
    </row>
    <row r="945">
      <c r="A945" s="427">
        <v>944.0</v>
      </c>
      <c r="B945" s="237" t="s">
        <v>7824</v>
      </c>
      <c r="C945" s="237" t="s">
        <v>6918</v>
      </c>
      <c r="D945" s="428">
        <v>43255.0</v>
      </c>
      <c r="E945" s="237" t="s">
        <v>6921</v>
      </c>
      <c r="F945" s="237" t="s">
        <v>14429</v>
      </c>
      <c r="G945" s="237" t="s">
        <v>14430</v>
      </c>
      <c r="H945" s="237" t="s">
        <v>14431</v>
      </c>
      <c r="I945" s="237" t="s">
        <v>14432</v>
      </c>
      <c r="J945" s="237" t="s">
        <v>5224</v>
      </c>
      <c r="K945" s="237" t="s">
        <v>14433</v>
      </c>
      <c r="L945" s="237" t="s">
        <v>7809</v>
      </c>
      <c r="M945" s="232" t="s">
        <v>9383</v>
      </c>
      <c r="N945" s="430" t="s">
        <v>17527</v>
      </c>
    </row>
    <row r="946">
      <c r="A946" s="427">
        <v>945.0</v>
      </c>
      <c r="B946" s="237" t="s">
        <v>7601</v>
      </c>
      <c r="C946" s="237" t="s">
        <v>7546</v>
      </c>
      <c r="D946" s="428">
        <v>44949.0</v>
      </c>
      <c r="E946" s="237" t="s">
        <v>6921</v>
      </c>
      <c r="F946" s="237" t="s">
        <v>12907</v>
      </c>
      <c r="G946" s="237" t="s">
        <v>12908</v>
      </c>
      <c r="H946" s="237" t="s">
        <v>10765</v>
      </c>
      <c r="I946" s="237" t="s">
        <v>12909</v>
      </c>
      <c r="J946" s="237" t="s">
        <v>5224</v>
      </c>
      <c r="K946" s="237" t="s">
        <v>12910</v>
      </c>
      <c r="L946" s="237" t="s">
        <v>10538</v>
      </c>
      <c r="M946" s="232" t="s">
        <v>9383</v>
      </c>
      <c r="N946" s="430" t="s">
        <v>17527</v>
      </c>
    </row>
    <row r="947">
      <c r="A947" s="427">
        <v>946.0</v>
      </c>
      <c r="B947" s="237" t="s">
        <v>14933</v>
      </c>
      <c r="C947" s="237" t="s">
        <v>6918</v>
      </c>
      <c r="D947" s="428">
        <v>45600.0</v>
      </c>
      <c r="E947" s="237" t="s">
        <v>6921</v>
      </c>
      <c r="F947" s="237" t="s">
        <v>14935</v>
      </c>
      <c r="G947" s="237" t="s">
        <v>14936</v>
      </c>
      <c r="H947" s="237" t="s">
        <v>13789</v>
      </c>
      <c r="I947" s="237" t="s">
        <v>14937</v>
      </c>
      <c r="J947" s="237" t="s">
        <v>5012</v>
      </c>
      <c r="K947" s="237" t="s">
        <v>13076</v>
      </c>
      <c r="L947" s="237" t="s">
        <v>17366</v>
      </c>
      <c r="M947" s="232" t="s">
        <v>9391</v>
      </c>
      <c r="N947" s="430" t="s">
        <v>17527</v>
      </c>
    </row>
    <row r="948">
      <c r="A948" s="427">
        <v>947.0</v>
      </c>
      <c r="B948" s="237" t="s">
        <v>16464</v>
      </c>
      <c r="C948" s="237" t="s">
        <v>8647</v>
      </c>
      <c r="D948" s="428">
        <v>44929.0</v>
      </c>
      <c r="E948" s="237" t="s">
        <v>6933</v>
      </c>
      <c r="F948" s="237" t="s">
        <v>16465</v>
      </c>
      <c r="G948" s="237" t="s">
        <v>16466</v>
      </c>
      <c r="H948" s="237" t="s">
        <v>9696</v>
      </c>
      <c r="I948" s="237" t="s">
        <v>16467</v>
      </c>
      <c r="J948" s="237" t="s">
        <v>5012</v>
      </c>
      <c r="K948" s="237" t="s">
        <v>16468</v>
      </c>
      <c r="L948" s="237" t="s">
        <v>17576</v>
      </c>
      <c r="M948" s="232" t="s">
        <v>9383</v>
      </c>
      <c r="N948" s="430" t="s">
        <v>17527</v>
      </c>
    </row>
    <row r="949">
      <c r="A949" s="427">
        <v>948.0</v>
      </c>
      <c r="B949" s="237" t="s">
        <v>10320</v>
      </c>
      <c r="C949" s="237" t="s">
        <v>10103</v>
      </c>
      <c r="D949" s="428">
        <v>44652.0</v>
      </c>
      <c r="E949" s="237" t="s">
        <v>6933</v>
      </c>
      <c r="F949" s="237" t="s">
        <v>10321</v>
      </c>
      <c r="G949" s="237" t="s">
        <v>10322</v>
      </c>
      <c r="H949" s="237" t="s">
        <v>10323</v>
      </c>
      <c r="I949" s="237" t="s">
        <v>10324</v>
      </c>
      <c r="J949" s="237" t="s">
        <v>5012</v>
      </c>
      <c r="K949" s="237" t="s">
        <v>5760</v>
      </c>
      <c r="L949" s="237" t="s">
        <v>9692</v>
      </c>
      <c r="M949" s="232" t="s">
        <v>9383</v>
      </c>
      <c r="N949" s="430" t="s">
        <v>17527</v>
      </c>
    </row>
    <row r="950">
      <c r="A950" s="427">
        <v>949.0</v>
      </c>
      <c r="B950" s="237" t="s">
        <v>3456</v>
      </c>
      <c r="C950" s="237" t="s">
        <v>10103</v>
      </c>
      <c r="D950" s="428">
        <v>45323.0</v>
      </c>
      <c r="E950" s="237" t="s">
        <v>6933</v>
      </c>
      <c r="F950" s="237" t="s">
        <v>17425</v>
      </c>
      <c r="G950" s="237" t="s">
        <v>17708</v>
      </c>
      <c r="H950" s="237" t="s">
        <v>9388</v>
      </c>
      <c r="I950" s="237" t="s">
        <v>6509</v>
      </c>
      <c r="J950" s="237" t="s">
        <v>5012</v>
      </c>
      <c r="K950" s="237" t="s">
        <v>5760</v>
      </c>
      <c r="L950" s="237" t="s">
        <v>9692</v>
      </c>
      <c r="M950" s="232" t="s">
        <v>9383</v>
      </c>
      <c r="N950" s="430" t="s">
        <v>17527</v>
      </c>
    </row>
    <row r="951">
      <c r="A951" s="427">
        <v>950.0</v>
      </c>
      <c r="B951" s="237" t="s">
        <v>10241</v>
      </c>
      <c r="C951" s="237" t="s">
        <v>10103</v>
      </c>
      <c r="D951" s="428">
        <v>43831.0</v>
      </c>
      <c r="E951" s="237" t="s">
        <v>6933</v>
      </c>
      <c r="F951" s="237" t="s">
        <v>10234</v>
      </c>
      <c r="G951" s="237" t="s">
        <v>10243</v>
      </c>
      <c r="H951" s="237" t="s">
        <v>10244</v>
      </c>
      <c r="I951" s="237" t="s">
        <v>10245</v>
      </c>
      <c r="J951" s="237" t="s">
        <v>5012</v>
      </c>
      <c r="K951" s="237" t="s">
        <v>5760</v>
      </c>
      <c r="L951" s="237" t="s">
        <v>9692</v>
      </c>
      <c r="M951" s="232" t="s">
        <v>9383</v>
      </c>
      <c r="N951" s="430" t="s">
        <v>17527</v>
      </c>
    </row>
    <row r="952">
      <c r="A952" s="427">
        <v>951.0</v>
      </c>
      <c r="B952" s="237" t="s">
        <v>9037</v>
      </c>
      <c r="C952" s="237" t="s">
        <v>6918</v>
      </c>
      <c r="D952" s="428">
        <v>45159.0</v>
      </c>
      <c r="E952" s="237" t="s">
        <v>6933</v>
      </c>
      <c r="F952" s="237" t="s">
        <v>14764</v>
      </c>
      <c r="G952" s="237" t="s">
        <v>14765</v>
      </c>
      <c r="H952" s="237" t="s">
        <v>11444</v>
      </c>
      <c r="I952" s="237" t="s">
        <v>14766</v>
      </c>
      <c r="J952" s="237" t="s">
        <v>5224</v>
      </c>
      <c r="K952" s="237" t="s">
        <v>14763</v>
      </c>
      <c r="L952" s="237" t="s">
        <v>3041</v>
      </c>
      <c r="M952" s="232" t="s">
        <v>9383</v>
      </c>
      <c r="N952" s="430" t="s">
        <v>17527</v>
      </c>
    </row>
    <row r="953">
      <c r="A953" s="427">
        <v>952.0</v>
      </c>
      <c r="B953" s="237" t="s">
        <v>8909</v>
      </c>
      <c r="C953" s="237" t="s">
        <v>6918</v>
      </c>
      <c r="D953" s="428">
        <v>44935.0</v>
      </c>
      <c r="E953" s="237" t="s">
        <v>6921</v>
      </c>
      <c r="F953" s="237" t="s">
        <v>14760</v>
      </c>
      <c r="G953" s="237" t="s">
        <v>14761</v>
      </c>
      <c r="H953" s="237" t="s">
        <v>9586</v>
      </c>
      <c r="I953" s="237" t="s">
        <v>14762</v>
      </c>
      <c r="J953" s="237" t="s">
        <v>5224</v>
      </c>
      <c r="K953" s="237" t="s">
        <v>14763</v>
      </c>
      <c r="L953" s="237" t="s">
        <v>4978</v>
      </c>
      <c r="M953" s="232" t="s">
        <v>9383</v>
      </c>
      <c r="N953" s="430" t="s">
        <v>17527</v>
      </c>
    </row>
    <row r="954">
      <c r="A954" s="427">
        <v>953.0</v>
      </c>
      <c r="B954" s="237" t="s">
        <v>7192</v>
      </c>
      <c r="C954" s="237" t="s">
        <v>6918</v>
      </c>
      <c r="D954" s="428">
        <v>44935.0</v>
      </c>
      <c r="E954" s="237" t="s">
        <v>6921</v>
      </c>
      <c r="F954" s="237" t="s">
        <v>15349</v>
      </c>
      <c r="G954" s="237" t="s">
        <v>15350</v>
      </c>
      <c r="H954" s="237" t="s">
        <v>9915</v>
      </c>
      <c r="I954" s="237" t="s">
        <v>15351</v>
      </c>
      <c r="J954" s="237" t="s">
        <v>5224</v>
      </c>
      <c r="K954" s="237" t="s">
        <v>14763</v>
      </c>
      <c r="L954" s="237" t="s">
        <v>1602</v>
      </c>
      <c r="M954" s="232" t="s">
        <v>9383</v>
      </c>
      <c r="N954" s="430" t="s">
        <v>17527</v>
      </c>
    </row>
    <row r="955">
      <c r="A955" s="427">
        <v>954.0</v>
      </c>
      <c r="B955" s="237" t="s">
        <v>9665</v>
      </c>
      <c r="C955" s="237" t="s">
        <v>8796</v>
      </c>
      <c r="D955" s="428">
        <v>44235.0</v>
      </c>
      <c r="E955" s="237" t="s">
        <v>7239</v>
      </c>
      <c r="F955" s="237" t="s">
        <v>9667</v>
      </c>
      <c r="G955" s="237" t="s">
        <v>9668</v>
      </c>
      <c r="H955" s="237" t="s">
        <v>9669</v>
      </c>
      <c r="I955" s="237" t="s">
        <v>9670</v>
      </c>
      <c r="J955" s="237" t="s">
        <v>5012</v>
      </c>
      <c r="K955" s="237" t="s">
        <v>9671</v>
      </c>
      <c r="L955" s="237" t="s">
        <v>17675</v>
      </c>
      <c r="M955" s="232" t="s">
        <v>9383</v>
      </c>
      <c r="N955" s="430" t="s">
        <v>17527</v>
      </c>
    </row>
    <row r="956">
      <c r="A956" s="427">
        <v>955.0</v>
      </c>
      <c r="B956" s="237" t="s">
        <v>13330</v>
      </c>
      <c r="C956" s="237" t="s">
        <v>6918</v>
      </c>
      <c r="D956" s="428">
        <v>39371.0</v>
      </c>
      <c r="E956" s="237" t="s">
        <v>6933</v>
      </c>
      <c r="F956" s="237" t="s">
        <v>13332</v>
      </c>
      <c r="G956" s="237" t="s">
        <v>13333</v>
      </c>
      <c r="H956" s="237" t="s">
        <v>13288</v>
      </c>
      <c r="I956" s="237" t="s">
        <v>13334</v>
      </c>
      <c r="J956" s="237" t="s">
        <v>5012</v>
      </c>
      <c r="K956" s="237" t="s">
        <v>9671</v>
      </c>
      <c r="L956" s="237" t="s">
        <v>17587</v>
      </c>
      <c r="M956" s="232" t="s">
        <v>9383</v>
      </c>
      <c r="N956" s="430" t="s">
        <v>17527</v>
      </c>
    </row>
    <row r="957">
      <c r="A957" s="427">
        <v>956.0</v>
      </c>
      <c r="B957" s="237" t="s">
        <v>15365</v>
      </c>
      <c r="C957" s="237" t="s">
        <v>6918</v>
      </c>
      <c r="D957" s="428">
        <v>44986.0</v>
      </c>
      <c r="E957" s="237" t="s">
        <v>6921</v>
      </c>
      <c r="F957" s="237" t="s">
        <v>12883</v>
      </c>
      <c r="G957" s="237" t="s">
        <v>15366</v>
      </c>
      <c r="H957" s="237" t="s">
        <v>13351</v>
      </c>
      <c r="I957" s="237" t="s">
        <v>15367</v>
      </c>
      <c r="J957" s="237" t="s">
        <v>5012</v>
      </c>
      <c r="K957" s="237" t="s">
        <v>9671</v>
      </c>
      <c r="L957" s="237" t="s">
        <v>8845</v>
      </c>
      <c r="M957" s="232" t="s">
        <v>9383</v>
      </c>
      <c r="N957" s="430" t="s">
        <v>17527</v>
      </c>
    </row>
    <row r="958">
      <c r="A958" s="427">
        <v>957.0</v>
      </c>
      <c r="B958" s="237" t="s">
        <v>4480</v>
      </c>
      <c r="C958" s="237" t="s">
        <v>8796</v>
      </c>
      <c r="D958" s="428">
        <v>45117.0</v>
      </c>
      <c r="E958" s="237" t="s">
        <v>6921</v>
      </c>
      <c r="F958" s="237" t="s">
        <v>14315</v>
      </c>
      <c r="G958" s="237" t="s">
        <v>16780</v>
      </c>
      <c r="H958" s="237" t="s">
        <v>9998</v>
      </c>
      <c r="I958" s="237" t="s">
        <v>6883</v>
      </c>
      <c r="J958" s="237" t="s">
        <v>5224</v>
      </c>
      <c r="K958" s="237" t="s">
        <v>17709</v>
      </c>
      <c r="L958" s="237" t="s">
        <v>9970</v>
      </c>
      <c r="M958" s="232" t="s">
        <v>9383</v>
      </c>
      <c r="N958" s="430" t="s">
        <v>17527</v>
      </c>
    </row>
    <row r="959">
      <c r="A959" s="427">
        <v>958.0</v>
      </c>
      <c r="B959" s="237" t="s">
        <v>8722</v>
      </c>
      <c r="C959" s="237" t="s">
        <v>6918</v>
      </c>
      <c r="D959" s="428">
        <v>44684.0</v>
      </c>
      <c r="E959" s="237" t="s">
        <v>6921</v>
      </c>
      <c r="F959" s="237" t="s">
        <v>15862</v>
      </c>
      <c r="G959" s="237" t="s">
        <v>15863</v>
      </c>
      <c r="H959" s="237" t="s">
        <v>11916</v>
      </c>
      <c r="I959" s="237" t="s">
        <v>15864</v>
      </c>
      <c r="J959" s="237" t="s">
        <v>5224</v>
      </c>
      <c r="K959" s="237" t="s">
        <v>15865</v>
      </c>
      <c r="L959" s="237" t="s">
        <v>8850</v>
      </c>
      <c r="M959" s="232" t="s">
        <v>9383</v>
      </c>
      <c r="N959" s="430" t="s">
        <v>17527</v>
      </c>
    </row>
    <row r="960">
      <c r="A960" s="427">
        <v>959.0</v>
      </c>
      <c r="B960" s="237" t="s">
        <v>12112</v>
      </c>
      <c r="C960" s="237" t="s">
        <v>10103</v>
      </c>
      <c r="D960" s="428">
        <v>43556.0</v>
      </c>
      <c r="E960" s="237" t="s">
        <v>6933</v>
      </c>
      <c r="F960" s="237" t="s">
        <v>12114</v>
      </c>
      <c r="G960" s="237" t="s">
        <v>12115</v>
      </c>
      <c r="H960" s="237" t="s">
        <v>12116</v>
      </c>
      <c r="I960" s="237" t="s">
        <v>12117</v>
      </c>
      <c r="J960" s="237" t="s">
        <v>5224</v>
      </c>
      <c r="K960" s="237" t="s">
        <v>12118</v>
      </c>
      <c r="L960" s="237" t="s">
        <v>12119</v>
      </c>
      <c r="M960" s="232" t="s">
        <v>9383</v>
      </c>
      <c r="N960" s="430" t="s">
        <v>17527</v>
      </c>
    </row>
    <row r="961">
      <c r="A961" s="427">
        <v>960.0</v>
      </c>
      <c r="B961" s="237" t="s">
        <v>14803</v>
      </c>
      <c r="C961" s="237" t="s">
        <v>6918</v>
      </c>
      <c r="D961" s="428">
        <v>45061.0</v>
      </c>
      <c r="E961" s="237" t="s">
        <v>6933</v>
      </c>
      <c r="F961" s="237" t="s">
        <v>11501</v>
      </c>
      <c r="G961" s="237" t="s">
        <v>14804</v>
      </c>
      <c r="H961" s="237" t="s">
        <v>11648</v>
      </c>
      <c r="I961" s="237" t="s">
        <v>14805</v>
      </c>
      <c r="J961" s="237" t="s">
        <v>5224</v>
      </c>
      <c r="K961" s="237" t="s">
        <v>12118</v>
      </c>
      <c r="L961" s="237" t="s">
        <v>3041</v>
      </c>
      <c r="M961" s="232" t="s">
        <v>9383</v>
      </c>
      <c r="N961" s="430" t="s">
        <v>17527</v>
      </c>
    </row>
    <row r="962">
      <c r="A962" s="427">
        <v>961.0</v>
      </c>
      <c r="B962" s="237" t="s">
        <v>15992</v>
      </c>
      <c r="C962" s="237" t="s">
        <v>6918</v>
      </c>
      <c r="D962" s="428">
        <v>39456.0</v>
      </c>
      <c r="E962" s="237" t="s">
        <v>6933</v>
      </c>
      <c r="F962" s="237" t="s">
        <v>15994</v>
      </c>
      <c r="G962" s="237" t="s">
        <v>15995</v>
      </c>
      <c r="H962" s="237" t="s">
        <v>15996</v>
      </c>
      <c r="I962" s="237" t="s">
        <v>15997</v>
      </c>
      <c r="J962" s="237" t="s">
        <v>5224</v>
      </c>
      <c r="K962" s="237" t="s">
        <v>12118</v>
      </c>
      <c r="L962" s="237" t="s">
        <v>3041</v>
      </c>
      <c r="M962" s="232" t="s">
        <v>9383</v>
      </c>
      <c r="N962" s="430" t="s">
        <v>17527</v>
      </c>
    </row>
    <row r="963">
      <c r="A963" s="427">
        <v>962.0</v>
      </c>
      <c r="B963" s="237" t="s">
        <v>15125</v>
      </c>
      <c r="C963" s="237" t="s">
        <v>6918</v>
      </c>
      <c r="D963" s="428">
        <v>31559.0</v>
      </c>
      <c r="E963" s="237" t="s">
        <v>6933</v>
      </c>
      <c r="F963" s="237" t="s">
        <v>11638</v>
      </c>
      <c r="G963" s="237" t="s">
        <v>15127</v>
      </c>
      <c r="H963" s="237" t="s">
        <v>11638</v>
      </c>
      <c r="I963" s="237" t="s">
        <v>15128</v>
      </c>
      <c r="J963" s="237" t="s">
        <v>5224</v>
      </c>
      <c r="K963" s="237" t="s">
        <v>12118</v>
      </c>
      <c r="L963" s="237" t="s">
        <v>3041</v>
      </c>
      <c r="M963" s="232" t="s">
        <v>9383</v>
      </c>
      <c r="N963" s="430" t="s">
        <v>17527</v>
      </c>
    </row>
    <row r="964">
      <c r="A964" s="427">
        <v>963.0</v>
      </c>
      <c r="B964" s="237" t="s">
        <v>7747</v>
      </c>
      <c r="C964" s="237" t="s">
        <v>6918</v>
      </c>
      <c r="D964" s="428">
        <v>44698.0</v>
      </c>
      <c r="E964" s="237" t="s">
        <v>6933</v>
      </c>
      <c r="F964" s="237" t="s">
        <v>15804</v>
      </c>
      <c r="G964" s="237" t="s">
        <v>15805</v>
      </c>
      <c r="H964" s="237" t="s">
        <v>9951</v>
      </c>
      <c r="I964" s="237" t="s">
        <v>15806</v>
      </c>
      <c r="J964" s="237" t="s">
        <v>5224</v>
      </c>
      <c r="K964" s="237" t="s">
        <v>15807</v>
      </c>
      <c r="L964" s="237" t="s">
        <v>2117</v>
      </c>
      <c r="M964" s="232" t="s">
        <v>9383</v>
      </c>
      <c r="N964" s="430" t="s">
        <v>17527</v>
      </c>
    </row>
    <row r="965">
      <c r="A965" s="427">
        <v>964.0</v>
      </c>
      <c r="B965" s="237" t="s">
        <v>8551</v>
      </c>
      <c r="C965" s="237" t="s">
        <v>6918</v>
      </c>
      <c r="D965" s="428">
        <v>45173.0</v>
      </c>
      <c r="E965" s="237" t="s">
        <v>6933</v>
      </c>
      <c r="F965" s="237" t="s">
        <v>14003</v>
      </c>
      <c r="G965" s="237" t="s">
        <v>14004</v>
      </c>
      <c r="H965" s="237" t="s">
        <v>14005</v>
      </c>
      <c r="I965" s="237" t="s">
        <v>14006</v>
      </c>
      <c r="J965" s="237" t="s">
        <v>5224</v>
      </c>
      <c r="K965" s="237" t="s">
        <v>14007</v>
      </c>
      <c r="L965" s="237" t="s">
        <v>2081</v>
      </c>
      <c r="M965" s="232" t="s">
        <v>9383</v>
      </c>
      <c r="N965" s="430" t="s">
        <v>17527</v>
      </c>
    </row>
    <row r="966">
      <c r="A966" s="427">
        <v>965.0</v>
      </c>
      <c r="B966" s="237" t="s">
        <v>8544</v>
      </c>
      <c r="C966" s="237" t="s">
        <v>6918</v>
      </c>
      <c r="D966" s="428">
        <v>44417.0</v>
      </c>
      <c r="E966" s="237" t="s">
        <v>6921</v>
      </c>
      <c r="F966" s="237" t="s">
        <v>14310</v>
      </c>
      <c r="G966" s="237" t="s">
        <v>14311</v>
      </c>
      <c r="H966" s="237" t="s">
        <v>10073</v>
      </c>
      <c r="I966" s="237" t="s">
        <v>14312</v>
      </c>
      <c r="J966" s="237" t="s">
        <v>5224</v>
      </c>
      <c r="K966" s="237" t="s">
        <v>14313</v>
      </c>
      <c r="L966" s="237" t="s">
        <v>2081</v>
      </c>
      <c r="M966" s="232" t="s">
        <v>9383</v>
      </c>
      <c r="N966" s="430" t="s">
        <v>17527</v>
      </c>
    </row>
    <row r="967">
      <c r="A967" s="427">
        <v>966.0</v>
      </c>
      <c r="B967" s="237" t="s">
        <v>8514</v>
      </c>
      <c r="C967" s="237" t="s">
        <v>6918</v>
      </c>
      <c r="D967" s="428">
        <v>44986.0</v>
      </c>
      <c r="E967" s="237" t="s">
        <v>6921</v>
      </c>
      <c r="F967" s="237" t="s">
        <v>13358</v>
      </c>
      <c r="G967" s="237" t="s">
        <v>13359</v>
      </c>
      <c r="H967" s="237" t="s">
        <v>13360</v>
      </c>
      <c r="I967" s="237" t="s">
        <v>13361</v>
      </c>
      <c r="J967" s="237" t="s">
        <v>5224</v>
      </c>
      <c r="K967" s="237" t="s">
        <v>13362</v>
      </c>
      <c r="L967" s="237" t="s">
        <v>13363</v>
      </c>
      <c r="M967" s="232" t="s">
        <v>9383</v>
      </c>
      <c r="N967" s="430" t="s">
        <v>17527</v>
      </c>
    </row>
    <row r="968">
      <c r="A968" s="427">
        <v>967.0</v>
      </c>
      <c r="B968" s="237" t="s">
        <v>8518</v>
      </c>
      <c r="C968" s="237" t="s">
        <v>6918</v>
      </c>
      <c r="D968" s="428">
        <v>45294.0</v>
      </c>
      <c r="E968" s="237" t="s">
        <v>6921</v>
      </c>
      <c r="F968" s="237" t="s">
        <v>14475</v>
      </c>
      <c r="G968" s="237" t="s">
        <v>14476</v>
      </c>
      <c r="H968" s="237" t="s">
        <v>14477</v>
      </c>
      <c r="I968" s="237" t="s">
        <v>14478</v>
      </c>
      <c r="J968" s="237" t="s">
        <v>5224</v>
      </c>
      <c r="K968" s="237" t="s">
        <v>13362</v>
      </c>
      <c r="L968" s="237" t="s">
        <v>13363</v>
      </c>
      <c r="M968" s="232" t="s">
        <v>9383</v>
      </c>
      <c r="N968" s="430" t="s">
        <v>17527</v>
      </c>
    </row>
    <row r="969">
      <c r="A969" s="427">
        <v>968.0</v>
      </c>
      <c r="B969" s="237" t="s">
        <v>8510</v>
      </c>
      <c r="C969" s="237" t="s">
        <v>6918</v>
      </c>
      <c r="D969" s="428">
        <v>44739.0</v>
      </c>
      <c r="E969" s="237" t="s">
        <v>6921</v>
      </c>
      <c r="F969" s="237" t="s">
        <v>12045</v>
      </c>
      <c r="G969" s="237" t="s">
        <v>15665</v>
      </c>
      <c r="H969" s="237" t="s">
        <v>10345</v>
      </c>
      <c r="I969" s="237" t="s">
        <v>15666</v>
      </c>
      <c r="J969" s="237" t="s">
        <v>5224</v>
      </c>
      <c r="K969" s="237" t="s">
        <v>15667</v>
      </c>
      <c r="L969" s="237" t="s">
        <v>13363</v>
      </c>
      <c r="M969" s="232" t="s">
        <v>9383</v>
      </c>
      <c r="N969" s="430" t="s">
        <v>17527</v>
      </c>
    </row>
    <row r="970">
      <c r="A970" s="427">
        <v>969.0</v>
      </c>
      <c r="B970" s="237" t="s">
        <v>7677</v>
      </c>
      <c r="C970" s="237" t="s">
        <v>6918</v>
      </c>
      <c r="D970" s="428">
        <v>40452.0</v>
      </c>
      <c r="E970" s="237" t="s">
        <v>6933</v>
      </c>
      <c r="F970" s="237" t="s">
        <v>14261</v>
      </c>
      <c r="G970" s="237" t="s">
        <v>14262</v>
      </c>
      <c r="H970" s="237" t="s">
        <v>14263</v>
      </c>
      <c r="I970" s="237" t="s">
        <v>14264</v>
      </c>
      <c r="J970" s="237" t="s">
        <v>5224</v>
      </c>
      <c r="K970" s="237" t="s">
        <v>14265</v>
      </c>
      <c r="L970" s="237" t="s">
        <v>7679</v>
      </c>
      <c r="M970" s="232" t="s">
        <v>9383</v>
      </c>
      <c r="N970" s="430" t="s">
        <v>17527</v>
      </c>
    </row>
    <row r="971">
      <c r="A971" s="427">
        <v>970.0</v>
      </c>
      <c r="B971" s="237" t="s">
        <v>8134</v>
      </c>
      <c r="C971" s="237" t="s">
        <v>6918</v>
      </c>
      <c r="D971" s="428">
        <v>41365.0</v>
      </c>
      <c r="E971" s="237" t="s">
        <v>6933</v>
      </c>
      <c r="F971" s="237" t="s">
        <v>14306</v>
      </c>
      <c r="G971" s="237" t="s">
        <v>14307</v>
      </c>
      <c r="H971" s="237" t="s">
        <v>13043</v>
      </c>
      <c r="I971" s="237" t="s">
        <v>14308</v>
      </c>
      <c r="J971" s="237" t="s">
        <v>5224</v>
      </c>
      <c r="K971" s="237" t="s">
        <v>14265</v>
      </c>
      <c r="L971" s="237" t="s">
        <v>8136</v>
      </c>
      <c r="M971" s="232" t="s">
        <v>9383</v>
      </c>
      <c r="N971" s="430" t="s">
        <v>17527</v>
      </c>
    </row>
    <row r="972">
      <c r="A972" s="427">
        <v>971.0</v>
      </c>
      <c r="B972" s="237" t="s">
        <v>7416</v>
      </c>
      <c r="C972" s="237" t="s">
        <v>6918</v>
      </c>
      <c r="D972" s="428">
        <v>42628.0</v>
      </c>
      <c r="E972" s="237" t="s">
        <v>7239</v>
      </c>
      <c r="F972" s="237" t="s">
        <v>15052</v>
      </c>
      <c r="G972" s="237" t="s">
        <v>15053</v>
      </c>
      <c r="H972" s="237" t="s">
        <v>15054</v>
      </c>
      <c r="I972" s="237" t="s">
        <v>15055</v>
      </c>
      <c r="J972" s="237" t="s">
        <v>5224</v>
      </c>
      <c r="K972" s="237" t="s">
        <v>14265</v>
      </c>
      <c r="L972" s="237" t="s">
        <v>7418</v>
      </c>
      <c r="M972" s="232" t="s">
        <v>9383</v>
      </c>
      <c r="N972" s="430" t="s">
        <v>17527</v>
      </c>
    </row>
    <row r="973">
      <c r="A973" s="427">
        <v>972.0</v>
      </c>
      <c r="B973" s="237" t="s">
        <v>7896</v>
      </c>
      <c r="C973" s="237" t="s">
        <v>6918</v>
      </c>
      <c r="D973" s="428">
        <v>36495.0</v>
      </c>
      <c r="E973" s="237" t="s">
        <v>7239</v>
      </c>
      <c r="F973" s="237" t="s">
        <v>15267</v>
      </c>
      <c r="G973" s="237" t="s">
        <v>15268</v>
      </c>
      <c r="H973" s="237" t="s">
        <v>11754</v>
      </c>
      <c r="I973" s="237" t="s">
        <v>15269</v>
      </c>
      <c r="J973" s="237" t="s">
        <v>5224</v>
      </c>
      <c r="K973" s="237" t="s">
        <v>14265</v>
      </c>
      <c r="L973" s="237" t="s">
        <v>7898</v>
      </c>
      <c r="M973" s="232" t="s">
        <v>9383</v>
      </c>
      <c r="N973" s="430" t="s">
        <v>17527</v>
      </c>
    </row>
    <row r="974">
      <c r="A974" s="427">
        <v>973.0</v>
      </c>
      <c r="B974" s="237" t="s">
        <v>8612</v>
      </c>
      <c r="C974" s="237" t="s">
        <v>6918</v>
      </c>
      <c r="D974" s="428">
        <v>33604.0</v>
      </c>
      <c r="E974" s="237" t="s">
        <v>6921</v>
      </c>
      <c r="F974" s="237" t="s">
        <v>14253</v>
      </c>
      <c r="G974" s="237" t="s">
        <v>9498</v>
      </c>
      <c r="H974" s="231"/>
      <c r="I974" s="237" t="s">
        <v>14254</v>
      </c>
      <c r="J974" s="237" t="s">
        <v>5224</v>
      </c>
      <c r="K974" s="237" t="s">
        <v>14255</v>
      </c>
      <c r="L974" s="237" t="s">
        <v>8609</v>
      </c>
      <c r="M974" s="232" t="s">
        <v>9383</v>
      </c>
      <c r="N974" s="430" t="s">
        <v>17527</v>
      </c>
    </row>
    <row r="975">
      <c r="A975" s="427">
        <v>974.0</v>
      </c>
      <c r="B975" s="237" t="s">
        <v>3900</v>
      </c>
      <c r="C975" s="237" t="s">
        <v>6918</v>
      </c>
      <c r="D975" s="428">
        <v>44760.0</v>
      </c>
      <c r="E975" s="237" t="s">
        <v>6933</v>
      </c>
      <c r="F975" s="237" t="s">
        <v>12738</v>
      </c>
      <c r="G975" s="237" t="s">
        <v>17710</v>
      </c>
      <c r="H975" s="237" t="s">
        <v>10644</v>
      </c>
      <c r="I975" s="237" t="s">
        <v>6697</v>
      </c>
      <c r="J975" s="237" t="s">
        <v>5012</v>
      </c>
      <c r="K975" s="237" t="s">
        <v>17711</v>
      </c>
      <c r="L975" s="237" t="s">
        <v>3903</v>
      </c>
      <c r="M975" s="232" t="s">
        <v>9383</v>
      </c>
      <c r="N975" s="430" t="s">
        <v>17527</v>
      </c>
    </row>
    <row r="976">
      <c r="A976" s="427">
        <v>975.0</v>
      </c>
      <c r="B976" s="237" t="s">
        <v>9693</v>
      </c>
      <c r="C976" s="237" t="s">
        <v>8796</v>
      </c>
      <c r="D976" s="428">
        <v>44516.0</v>
      </c>
      <c r="E976" s="237" t="s">
        <v>6933</v>
      </c>
      <c r="F976" s="237" t="s">
        <v>9694</v>
      </c>
      <c r="G976" s="237" t="s">
        <v>9695</v>
      </c>
      <c r="H976" s="237" t="s">
        <v>9696</v>
      </c>
      <c r="I976" s="237" t="s">
        <v>9697</v>
      </c>
      <c r="J976" s="237" t="s">
        <v>5012</v>
      </c>
      <c r="K976" s="237" t="s">
        <v>9633</v>
      </c>
      <c r="L976" s="237" t="s">
        <v>17595</v>
      </c>
      <c r="M976" s="232" t="s">
        <v>9383</v>
      </c>
      <c r="N976" s="430" t="s">
        <v>17527</v>
      </c>
    </row>
    <row r="977">
      <c r="A977" s="427">
        <v>976.0</v>
      </c>
      <c r="B977" s="237" t="s">
        <v>9983</v>
      </c>
      <c r="C977" s="237" t="s">
        <v>8796</v>
      </c>
      <c r="D977" s="428">
        <v>44929.0</v>
      </c>
      <c r="E977" s="237" t="s">
        <v>6933</v>
      </c>
      <c r="F977" s="237" t="s">
        <v>9985</v>
      </c>
      <c r="G977" s="237" t="s">
        <v>9986</v>
      </c>
      <c r="H977" s="237" t="s">
        <v>9987</v>
      </c>
      <c r="I977" s="237" t="s">
        <v>9988</v>
      </c>
      <c r="J977" s="237" t="s">
        <v>5012</v>
      </c>
      <c r="K977" s="237" t="s">
        <v>9633</v>
      </c>
      <c r="L977" s="237" t="s">
        <v>15018</v>
      </c>
      <c r="M977" s="232" t="s">
        <v>9383</v>
      </c>
      <c r="N977" s="430" t="s">
        <v>17527</v>
      </c>
    </row>
    <row r="978">
      <c r="A978" s="427">
        <v>977.0</v>
      </c>
      <c r="B978" s="237" t="s">
        <v>4211</v>
      </c>
      <c r="C978" s="237" t="s">
        <v>6918</v>
      </c>
      <c r="D978" s="428">
        <v>44998.0</v>
      </c>
      <c r="E978" s="237" t="s">
        <v>6933</v>
      </c>
      <c r="F978" s="237" t="s">
        <v>12304</v>
      </c>
      <c r="G978" s="237" t="s">
        <v>17712</v>
      </c>
      <c r="H978" s="237" t="s">
        <v>9538</v>
      </c>
      <c r="I978" s="237" t="s">
        <v>6793</v>
      </c>
      <c r="J978" s="237" t="s">
        <v>5012</v>
      </c>
      <c r="K978" s="237" t="s">
        <v>9633</v>
      </c>
      <c r="L978" s="237" t="s">
        <v>2316</v>
      </c>
      <c r="M978" s="232" t="s">
        <v>9383</v>
      </c>
      <c r="N978" s="430" t="s">
        <v>17527</v>
      </c>
    </row>
    <row r="979">
      <c r="A979" s="427">
        <v>978.0</v>
      </c>
      <c r="B979" s="237" t="s">
        <v>12994</v>
      </c>
      <c r="C979" s="237" t="s">
        <v>6918</v>
      </c>
      <c r="D979" s="428">
        <v>45019.0</v>
      </c>
      <c r="E979" s="237" t="s">
        <v>6933</v>
      </c>
      <c r="F979" s="237" t="s">
        <v>10135</v>
      </c>
      <c r="G979" s="237" t="s">
        <v>12995</v>
      </c>
      <c r="H979" s="237" t="s">
        <v>10203</v>
      </c>
      <c r="I979" s="237" t="s">
        <v>12996</v>
      </c>
      <c r="J979" s="237" t="s">
        <v>5012</v>
      </c>
      <c r="K979" s="237" t="s">
        <v>9633</v>
      </c>
      <c r="L979" s="237" t="s">
        <v>4297</v>
      </c>
      <c r="M979" s="232" t="s">
        <v>9383</v>
      </c>
      <c r="N979" s="430" t="s">
        <v>17527</v>
      </c>
    </row>
    <row r="980">
      <c r="A980" s="427">
        <v>979.0</v>
      </c>
      <c r="B980" s="237" t="s">
        <v>14778</v>
      </c>
      <c r="C980" s="237" t="s">
        <v>6918</v>
      </c>
      <c r="D980" s="428">
        <v>44516.0</v>
      </c>
      <c r="E980" s="237" t="s">
        <v>6933</v>
      </c>
      <c r="F980" s="237" t="s">
        <v>14779</v>
      </c>
      <c r="G980" s="237" t="s">
        <v>14780</v>
      </c>
      <c r="H980" s="237" t="s">
        <v>11482</v>
      </c>
      <c r="I980" s="237" t="s">
        <v>14781</v>
      </c>
      <c r="J980" s="237" t="s">
        <v>5012</v>
      </c>
      <c r="K980" s="237" t="s">
        <v>9633</v>
      </c>
      <c r="L980" s="237" t="s">
        <v>17593</v>
      </c>
      <c r="M980" s="232" t="s">
        <v>9383</v>
      </c>
      <c r="N980" s="430" t="s">
        <v>17527</v>
      </c>
    </row>
    <row r="981">
      <c r="A981" s="427">
        <v>980.0</v>
      </c>
      <c r="B981" s="237" t="s">
        <v>14102</v>
      </c>
      <c r="C981" s="237" t="s">
        <v>6918</v>
      </c>
      <c r="D981" s="428">
        <v>45019.0</v>
      </c>
      <c r="E981" s="237" t="s">
        <v>6933</v>
      </c>
      <c r="F981" s="237" t="s">
        <v>14103</v>
      </c>
      <c r="G981" s="237" t="s">
        <v>14104</v>
      </c>
      <c r="H981" s="237" t="s">
        <v>14105</v>
      </c>
      <c r="I981" s="237" t="s">
        <v>14106</v>
      </c>
      <c r="J981" s="237" t="s">
        <v>5012</v>
      </c>
      <c r="K981" s="237" t="s">
        <v>9633</v>
      </c>
      <c r="L981" s="237" t="s">
        <v>17596</v>
      </c>
      <c r="M981" s="232" t="s">
        <v>9383</v>
      </c>
      <c r="N981" s="430" t="s">
        <v>17527</v>
      </c>
    </row>
    <row r="982">
      <c r="A982" s="427">
        <v>981.0</v>
      </c>
      <c r="B982" s="237" t="s">
        <v>13900</v>
      </c>
      <c r="C982" s="237" t="s">
        <v>6918</v>
      </c>
      <c r="D982" s="428">
        <v>44287.0</v>
      </c>
      <c r="E982" s="237" t="s">
        <v>6933</v>
      </c>
      <c r="F982" s="237" t="s">
        <v>13901</v>
      </c>
      <c r="G982" s="237" t="s">
        <v>13902</v>
      </c>
      <c r="H982" s="237" t="s">
        <v>10907</v>
      </c>
      <c r="I982" s="237" t="s">
        <v>13903</v>
      </c>
      <c r="J982" s="237" t="s">
        <v>5012</v>
      </c>
      <c r="K982" s="237" t="s">
        <v>9633</v>
      </c>
      <c r="L982" s="237" t="s">
        <v>17713</v>
      </c>
      <c r="M982" s="232" t="s">
        <v>9383</v>
      </c>
      <c r="N982" s="430" t="s">
        <v>17527</v>
      </c>
    </row>
    <row r="983">
      <c r="A983" s="427">
        <v>982.0</v>
      </c>
      <c r="B983" s="237" t="s">
        <v>15257</v>
      </c>
      <c r="C983" s="237" t="s">
        <v>6918</v>
      </c>
      <c r="D983" s="428">
        <v>44866.0</v>
      </c>
      <c r="E983" s="237" t="s">
        <v>6933</v>
      </c>
      <c r="F983" s="237" t="s">
        <v>15258</v>
      </c>
      <c r="G983" s="237" t="s">
        <v>15259</v>
      </c>
      <c r="H983" s="237" t="s">
        <v>15119</v>
      </c>
      <c r="I983" s="237" t="s">
        <v>15260</v>
      </c>
      <c r="J983" s="237" t="s">
        <v>5012</v>
      </c>
      <c r="K983" s="237" t="s">
        <v>9633</v>
      </c>
      <c r="L983" s="237" t="s">
        <v>17587</v>
      </c>
      <c r="M983" s="232" t="s">
        <v>9383</v>
      </c>
      <c r="N983" s="430" t="s">
        <v>17527</v>
      </c>
    </row>
    <row r="984">
      <c r="A984" s="427">
        <v>983.0</v>
      </c>
      <c r="B984" s="237" t="s">
        <v>3203</v>
      </c>
      <c r="C984" s="237" t="s">
        <v>6918</v>
      </c>
      <c r="D984" s="428">
        <v>43717.0</v>
      </c>
      <c r="E984" s="237" t="s">
        <v>6933</v>
      </c>
      <c r="F984" s="237" t="s">
        <v>14852</v>
      </c>
      <c r="G984" s="237" t="s">
        <v>14853</v>
      </c>
      <c r="H984" s="237" t="s">
        <v>10812</v>
      </c>
      <c r="I984" s="237" t="s">
        <v>6404</v>
      </c>
      <c r="J984" s="237" t="s">
        <v>5224</v>
      </c>
      <c r="K984" s="237" t="s">
        <v>9633</v>
      </c>
      <c r="L984" s="237" t="s">
        <v>9215</v>
      </c>
      <c r="M984" s="232" t="s">
        <v>9383</v>
      </c>
      <c r="N984" s="430" t="s">
        <v>17527</v>
      </c>
    </row>
    <row r="985">
      <c r="A985" s="427">
        <v>984.0</v>
      </c>
      <c r="B985" s="237" t="s">
        <v>12736</v>
      </c>
      <c r="C985" s="237" t="s">
        <v>7277</v>
      </c>
      <c r="D985" s="428">
        <v>44075.0</v>
      </c>
      <c r="E985" s="237" t="s">
        <v>6933</v>
      </c>
      <c r="F985" s="237" t="s">
        <v>12738</v>
      </c>
      <c r="G985" s="237" t="s">
        <v>12739</v>
      </c>
      <c r="H985" s="237" t="s">
        <v>9538</v>
      </c>
      <c r="I985" s="237" t="s">
        <v>5878</v>
      </c>
      <c r="J985" s="237" t="s">
        <v>5224</v>
      </c>
      <c r="K985" s="237" t="s">
        <v>1363</v>
      </c>
      <c r="L985" s="237" t="s">
        <v>1827</v>
      </c>
      <c r="M985" s="232" t="s">
        <v>9383</v>
      </c>
      <c r="N985" s="430" t="s">
        <v>17527</v>
      </c>
    </row>
    <row r="986">
      <c r="A986" s="427">
        <v>985.0</v>
      </c>
      <c r="B986" s="237" t="s">
        <v>12627</v>
      </c>
      <c r="C986" s="237" t="s">
        <v>7277</v>
      </c>
      <c r="D986" s="428">
        <v>45338.0</v>
      </c>
      <c r="E986" s="237" t="s">
        <v>6933</v>
      </c>
      <c r="F986" s="237" t="s">
        <v>12628</v>
      </c>
      <c r="G986" s="237" t="s">
        <v>10696</v>
      </c>
      <c r="H986" s="237" t="s">
        <v>9388</v>
      </c>
      <c r="I986" s="237" t="s">
        <v>5852</v>
      </c>
      <c r="J986" s="237" t="s">
        <v>5224</v>
      </c>
      <c r="K986" s="237" t="s">
        <v>1363</v>
      </c>
      <c r="L986" s="237" t="s">
        <v>496</v>
      </c>
      <c r="M986" s="232" t="s">
        <v>9383</v>
      </c>
      <c r="N986" s="430" t="s">
        <v>17527</v>
      </c>
    </row>
    <row r="987">
      <c r="A987" s="427">
        <v>986.0</v>
      </c>
      <c r="B987" s="237" t="s">
        <v>12652</v>
      </c>
      <c r="C987" s="237" t="s">
        <v>7277</v>
      </c>
      <c r="D987" s="428">
        <v>45231.0</v>
      </c>
      <c r="E987" s="237" t="s">
        <v>6933</v>
      </c>
      <c r="F987" s="237" t="s">
        <v>12653</v>
      </c>
      <c r="G987" s="237" t="s">
        <v>12654</v>
      </c>
      <c r="H987" s="237" t="s">
        <v>10741</v>
      </c>
      <c r="I987" s="237" t="s">
        <v>5859</v>
      </c>
      <c r="J987" s="237" t="s">
        <v>5224</v>
      </c>
      <c r="K987" s="237" t="s">
        <v>1363</v>
      </c>
      <c r="L987" s="237" t="s">
        <v>3769</v>
      </c>
      <c r="M987" s="232" t="s">
        <v>9383</v>
      </c>
      <c r="N987" s="430" t="s">
        <v>17527</v>
      </c>
    </row>
    <row r="988">
      <c r="A988" s="427">
        <v>987.0</v>
      </c>
      <c r="B988" s="237" t="s">
        <v>12679</v>
      </c>
      <c r="C988" s="237" t="s">
        <v>7277</v>
      </c>
      <c r="D988" s="428">
        <v>44713.0</v>
      </c>
      <c r="E988" s="237" t="s">
        <v>6933</v>
      </c>
      <c r="F988" s="237" t="s">
        <v>12680</v>
      </c>
      <c r="G988" s="237" t="s">
        <v>12681</v>
      </c>
      <c r="H988" s="237" t="s">
        <v>12682</v>
      </c>
      <c r="I988" s="237" t="s">
        <v>12683</v>
      </c>
      <c r="J988" s="237" t="s">
        <v>5224</v>
      </c>
      <c r="K988" s="237" t="s">
        <v>1363</v>
      </c>
      <c r="L988" s="237" t="s">
        <v>1827</v>
      </c>
      <c r="M988" s="232" t="s">
        <v>9383</v>
      </c>
      <c r="N988" s="430" t="s">
        <v>17527</v>
      </c>
    </row>
    <row r="989">
      <c r="A989" s="427">
        <v>988.0</v>
      </c>
      <c r="B989" s="237" t="s">
        <v>7327</v>
      </c>
      <c r="C989" s="237" t="s">
        <v>7277</v>
      </c>
      <c r="D989" s="428">
        <v>45628.0</v>
      </c>
      <c r="E989" s="237" t="s">
        <v>6933</v>
      </c>
      <c r="F989" s="237" t="s">
        <v>12726</v>
      </c>
      <c r="G989" s="237" t="s">
        <v>12727</v>
      </c>
      <c r="H989" s="237" t="s">
        <v>12728</v>
      </c>
      <c r="I989" s="237" t="s">
        <v>12729</v>
      </c>
      <c r="J989" s="237" t="s">
        <v>5224</v>
      </c>
      <c r="K989" s="237" t="s">
        <v>1363</v>
      </c>
      <c r="L989" s="237" t="s">
        <v>496</v>
      </c>
      <c r="M989" s="232" t="s">
        <v>9383</v>
      </c>
      <c r="N989" s="430" t="s">
        <v>17527</v>
      </c>
    </row>
    <row r="990">
      <c r="A990" s="427">
        <v>989.0</v>
      </c>
      <c r="B990" s="237" t="s">
        <v>5000</v>
      </c>
      <c r="C990" s="237" t="s">
        <v>6918</v>
      </c>
      <c r="D990" s="428">
        <v>45154.0</v>
      </c>
      <c r="E990" s="237" t="s">
        <v>6933</v>
      </c>
      <c r="F990" s="237" t="s">
        <v>12274</v>
      </c>
      <c r="G990" s="237" t="s">
        <v>12277</v>
      </c>
      <c r="H990" s="237" t="s">
        <v>12278</v>
      </c>
      <c r="I990" s="237" t="s">
        <v>5002</v>
      </c>
      <c r="J990" s="237" t="s">
        <v>5012</v>
      </c>
      <c r="K990" s="237" t="s">
        <v>1363</v>
      </c>
      <c r="L990" s="237" t="s">
        <v>8845</v>
      </c>
      <c r="M990" s="232" t="s">
        <v>9383</v>
      </c>
      <c r="N990" s="430" t="s">
        <v>17527</v>
      </c>
    </row>
    <row r="991">
      <c r="A991" s="427">
        <v>990.0</v>
      </c>
      <c r="B991" s="237" t="s">
        <v>45</v>
      </c>
      <c r="C991" s="237" t="s">
        <v>6918</v>
      </c>
      <c r="D991" s="428">
        <v>44788.0</v>
      </c>
      <c r="E991" s="237" t="s">
        <v>6933</v>
      </c>
      <c r="F991" s="237" t="s">
        <v>13752</v>
      </c>
      <c r="G991" s="237" t="s">
        <v>13753</v>
      </c>
      <c r="H991" s="237" t="s">
        <v>6933</v>
      </c>
      <c r="I991" s="237" t="s">
        <v>49</v>
      </c>
      <c r="J991" s="237" t="s">
        <v>5012</v>
      </c>
      <c r="K991" s="237" t="s">
        <v>1363</v>
      </c>
      <c r="L991" s="237" t="s">
        <v>8845</v>
      </c>
      <c r="M991" s="232" t="s">
        <v>9383</v>
      </c>
      <c r="N991" s="430" t="s">
        <v>17527</v>
      </c>
    </row>
    <row r="992">
      <c r="A992" s="427">
        <v>991.0</v>
      </c>
      <c r="B992" s="237" t="s">
        <v>13727</v>
      </c>
      <c r="C992" s="237" t="s">
        <v>6918</v>
      </c>
      <c r="D992" s="428">
        <v>45145.0</v>
      </c>
      <c r="E992" s="237" t="s">
        <v>6933</v>
      </c>
      <c r="F992" s="237" t="s">
        <v>13721</v>
      </c>
      <c r="G992" s="237" t="s">
        <v>13729</v>
      </c>
      <c r="H992" s="237" t="s">
        <v>10770</v>
      </c>
      <c r="I992" s="237" t="s">
        <v>13730</v>
      </c>
      <c r="J992" s="237" t="s">
        <v>5012</v>
      </c>
      <c r="K992" s="237" t="s">
        <v>1363</v>
      </c>
      <c r="L992" s="237" t="s">
        <v>232</v>
      </c>
      <c r="M992" s="232" t="s">
        <v>9383</v>
      </c>
      <c r="N992" s="430" t="s">
        <v>17527</v>
      </c>
    </row>
    <row r="993">
      <c r="A993" s="427">
        <v>992.0</v>
      </c>
      <c r="B993" s="237" t="s">
        <v>8305</v>
      </c>
      <c r="C993" s="237" t="s">
        <v>6918</v>
      </c>
      <c r="D993" s="428">
        <v>44515.0</v>
      </c>
      <c r="E993" s="237" t="s">
        <v>6933</v>
      </c>
      <c r="F993" s="237" t="s">
        <v>15535</v>
      </c>
      <c r="G993" s="237" t="s">
        <v>15536</v>
      </c>
      <c r="H993" s="237" t="s">
        <v>15537</v>
      </c>
      <c r="I993" s="237" t="s">
        <v>15538</v>
      </c>
      <c r="J993" s="237" t="s">
        <v>5224</v>
      </c>
      <c r="K993" s="237" t="s">
        <v>1363</v>
      </c>
      <c r="L993" s="237" t="s">
        <v>2730</v>
      </c>
      <c r="M993" s="232" t="s">
        <v>9383</v>
      </c>
      <c r="N993" s="430" t="s">
        <v>17527</v>
      </c>
    </row>
    <row r="994">
      <c r="A994" s="427">
        <v>993.0</v>
      </c>
      <c r="B994" s="237" t="s">
        <v>5116</v>
      </c>
      <c r="C994" s="237" t="s">
        <v>6918</v>
      </c>
      <c r="D994" s="428">
        <v>44166.0</v>
      </c>
      <c r="E994" s="237" t="s">
        <v>6933</v>
      </c>
      <c r="F994" s="237" t="s">
        <v>11772</v>
      </c>
      <c r="G994" s="237" t="s">
        <v>15278</v>
      </c>
      <c r="H994" s="237" t="s">
        <v>11151</v>
      </c>
      <c r="I994" s="237" t="s">
        <v>5118</v>
      </c>
      <c r="J994" s="237" t="s">
        <v>5012</v>
      </c>
      <c r="K994" s="237" t="s">
        <v>1363</v>
      </c>
      <c r="L994" s="237" t="s">
        <v>5932</v>
      </c>
      <c r="M994" s="232" t="s">
        <v>9383</v>
      </c>
      <c r="N994" s="430" t="s">
        <v>17527</v>
      </c>
    </row>
    <row r="995">
      <c r="A995" s="427">
        <v>994.0</v>
      </c>
      <c r="B995" s="237" t="s">
        <v>8597</v>
      </c>
      <c r="C995" s="237" t="s">
        <v>6918</v>
      </c>
      <c r="D995" s="428">
        <v>43241.0</v>
      </c>
      <c r="E995" s="237" t="s">
        <v>6933</v>
      </c>
      <c r="F995" s="237" t="s">
        <v>13637</v>
      </c>
      <c r="G995" s="237" t="s">
        <v>13638</v>
      </c>
      <c r="H995" s="237" t="s">
        <v>10765</v>
      </c>
      <c r="I995" s="237" t="s">
        <v>13639</v>
      </c>
      <c r="J995" s="237" t="s">
        <v>5224</v>
      </c>
      <c r="K995" s="237" t="s">
        <v>13640</v>
      </c>
      <c r="L995" s="237" t="s">
        <v>1896</v>
      </c>
      <c r="M995" s="232" t="s">
        <v>9383</v>
      </c>
      <c r="N995" s="430" t="s">
        <v>17527</v>
      </c>
    </row>
    <row r="996">
      <c r="A996" s="427">
        <v>995.0</v>
      </c>
      <c r="B996" s="237" t="s">
        <v>8355</v>
      </c>
      <c r="C996" s="237" t="s">
        <v>6918</v>
      </c>
      <c r="D996" s="428">
        <v>44949.0</v>
      </c>
      <c r="E996" s="237" t="s">
        <v>6933</v>
      </c>
      <c r="F996" s="237" t="s">
        <v>13442</v>
      </c>
      <c r="G996" s="237" t="s">
        <v>13443</v>
      </c>
      <c r="H996" s="237" t="s">
        <v>13444</v>
      </c>
      <c r="I996" s="237" t="s">
        <v>13445</v>
      </c>
      <c r="J996" s="237" t="s">
        <v>5224</v>
      </c>
      <c r="K996" s="237" t="s">
        <v>13312</v>
      </c>
      <c r="L996" s="237" t="s">
        <v>8331</v>
      </c>
      <c r="M996" s="232" t="s">
        <v>9383</v>
      </c>
      <c r="N996" s="430" t="s">
        <v>17527</v>
      </c>
    </row>
    <row r="997">
      <c r="A997" s="427">
        <v>996.0</v>
      </c>
      <c r="B997" s="237" t="s">
        <v>8350</v>
      </c>
      <c r="C997" s="237" t="s">
        <v>6918</v>
      </c>
      <c r="D997" s="428">
        <v>44713.0</v>
      </c>
      <c r="E997" s="237" t="s">
        <v>6921</v>
      </c>
      <c r="F997" s="237" t="s">
        <v>13308</v>
      </c>
      <c r="G997" s="237" t="s">
        <v>13309</v>
      </c>
      <c r="H997" s="237" t="s">
        <v>13310</v>
      </c>
      <c r="I997" s="237" t="s">
        <v>13311</v>
      </c>
      <c r="J997" s="237" t="s">
        <v>5224</v>
      </c>
      <c r="K997" s="237" t="s">
        <v>13312</v>
      </c>
      <c r="L997" s="237" t="s">
        <v>8331</v>
      </c>
      <c r="M997" s="232" t="s">
        <v>9383</v>
      </c>
      <c r="N997" s="430" t="s">
        <v>17527</v>
      </c>
    </row>
    <row r="998">
      <c r="A998" s="427">
        <v>997.0</v>
      </c>
      <c r="B998" s="237" t="s">
        <v>8347</v>
      </c>
      <c r="C998" s="237" t="s">
        <v>6918</v>
      </c>
      <c r="D998" s="428">
        <v>45110.0</v>
      </c>
      <c r="E998" s="237" t="s">
        <v>6933</v>
      </c>
      <c r="F998" s="237" t="s">
        <v>15331</v>
      </c>
      <c r="G998" s="237" t="s">
        <v>15332</v>
      </c>
      <c r="H998" s="237" t="s">
        <v>14156</v>
      </c>
      <c r="I998" s="237" t="s">
        <v>15333</v>
      </c>
      <c r="J998" s="237" t="s">
        <v>5224</v>
      </c>
      <c r="K998" s="237" t="s">
        <v>13312</v>
      </c>
      <c r="L998" s="237" t="s">
        <v>8331</v>
      </c>
      <c r="M998" s="232" t="s">
        <v>9383</v>
      </c>
      <c r="N998" s="430" t="s">
        <v>17527</v>
      </c>
    </row>
    <row r="999">
      <c r="A999" s="427">
        <v>998.0</v>
      </c>
      <c r="B999" s="237" t="s">
        <v>8342</v>
      </c>
      <c r="C999" s="237" t="s">
        <v>6918</v>
      </c>
      <c r="D999" s="428">
        <v>44531.0</v>
      </c>
      <c r="E999" s="237" t="s">
        <v>7239</v>
      </c>
      <c r="F999" s="237" t="s">
        <v>14362</v>
      </c>
      <c r="G999" s="237" t="s">
        <v>14363</v>
      </c>
      <c r="H999" s="237" t="s">
        <v>14364</v>
      </c>
      <c r="I999" s="237" t="s">
        <v>14365</v>
      </c>
      <c r="J999" s="237" t="s">
        <v>5224</v>
      </c>
      <c r="K999" s="237" t="s">
        <v>14366</v>
      </c>
      <c r="L999" s="237" t="s">
        <v>8331</v>
      </c>
      <c r="M999" s="232" t="s">
        <v>9383</v>
      </c>
      <c r="N999" s="430" t="s">
        <v>17527</v>
      </c>
    </row>
    <row r="1000">
      <c r="A1000" s="427">
        <v>999.0</v>
      </c>
      <c r="B1000" s="237" t="s">
        <v>15885</v>
      </c>
      <c r="C1000" s="237" t="s">
        <v>6918</v>
      </c>
      <c r="D1000" s="428">
        <v>44725.0</v>
      </c>
      <c r="E1000" s="237" t="s">
        <v>6933</v>
      </c>
      <c r="F1000" s="237" t="s">
        <v>15886</v>
      </c>
      <c r="G1000" s="237" t="s">
        <v>15887</v>
      </c>
      <c r="H1000" s="237" t="s">
        <v>15888</v>
      </c>
      <c r="I1000" s="237" t="s">
        <v>15889</v>
      </c>
      <c r="J1000" s="237" t="s">
        <v>5224</v>
      </c>
      <c r="K1000" s="237" t="s">
        <v>14020</v>
      </c>
      <c r="L1000" s="237" t="s">
        <v>2342</v>
      </c>
      <c r="M1000" s="232" t="s">
        <v>9383</v>
      </c>
      <c r="N1000" s="430" t="s">
        <v>17527</v>
      </c>
    </row>
    <row r="1001">
      <c r="A1001" s="427">
        <v>1000.0</v>
      </c>
      <c r="B1001" s="237" t="s">
        <v>8279</v>
      </c>
      <c r="C1001" s="237" t="s">
        <v>6918</v>
      </c>
      <c r="D1001" s="428">
        <v>44739.0</v>
      </c>
      <c r="E1001" s="237" t="s">
        <v>6921</v>
      </c>
      <c r="F1001" s="237" t="s">
        <v>13373</v>
      </c>
      <c r="G1001" s="237" t="s">
        <v>13374</v>
      </c>
      <c r="H1001" s="237" t="s">
        <v>11101</v>
      </c>
      <c r="I1001" s="237" t="s">
        <v>13375</v>
      </c>
      <c r="J1001" s="237" t="s">
        <v>5224</v>
      </c>
      <c r="K1001" s="237" t="s">
        <v>13006</v>
      </c>
      <c r="L1001" s="237" t="s">
        <v>2730</v>
      </c>
      <c r="M1001" s="232" t="s">
        <v>9383</v>
      </c>
      <c r="N1001" s="430" t="s">
        <v>17527</v>
      </c>
    </row>
    <row r="1002">
      <c r="A1002" s="427">
        <v>1001.0</v>
      </c>
      <c r="B1002" s="237" t="s">
        <v>4205</v>
      </c>
      <c r="C1002" s="237" t="s">
        <v>6918</v>
      </c>
      <c r="D1002" s="428">
        <v>44929.0</v>
      </c>
      <c r="E1002" s="237" t="s">
        <v>6921</v>
      </c>
      <c r="F1002" s="237" t="s">
        <v>17714</v>
      </c>
      <c r="G1002" s="237" t="s">
        <v>17715</v>
      </c>
      <c r="H1002" s="237" t="s">
        <v>10203</v>
      </c>
      <c r="I1002" s="237" t="s">
        <v>4962</v>
      </c>
      <c r="J1002" s="237" t="s">
        <v>5012</v>
      </c>
      <c r="K1002" s="237" t="s">
        <v>13006</v>
      </c>
      <c r="L1002" s="237" t="s">
        <v>2730</v>
      </c>
      <c r="M1002" s="232" t="s">
        <v>9383</v>
      </c>
      <c r="N1002" s="430" t="s">
        <v>17527</v>
      </c>
    </row>
    <row r="1003">
      <c r="A1003" s="427">
        <v>1002.0</v>
      </c>
      <c r="B1003" s="237" t="s">
        <v>8267</v>
      </c>
      <c r="C1003" s="237" t="s">
        <v>6918</v>
      </c>
      <c r="D1003" s="428">
        <v>45173.0</v>
      </c>
      <c r="E1003" s="237" t="s">
        <v>6921</v>
      </c>
      <c r="F1003" s="237" t="s">
        <v>14614</v>
      </c>
      <c r="G1003" s="237" t="s">
        <v>14615</v>
      </c>
      <c r="H1003" s="237" t="s">
        <v>14616</v>
      </c>
      <c r="I1003" s="237" t="s">
        <v>14617</v>
      </c>
      <c r="J1003" s="237" t="s">
        <v>5224</v>
      </c>
      <c r="K1003" s="237" t="s">
        <v>13006</v>
      </c>
      <c r="L1003" s="237" t="s">
        <v>2730</v>
      </c>
      <c r="M1003" s="232" t="s">
        <v>9383</v>
      </c>
      <c r="N1003" s="430" t="s">
        <v>17527</v>
      </c>
    </row>
    <row r="1004">
      <c r="A1004" s="427">
        <v>1003.0</v>
      </c>
      <c r="B1004" s="237" t="s">
        <v>8284</v>
      </c>
      <c r="C1004" s="237" t="s">
        <v>6918</v>
      </c>
      <c r="D1004" s="428">
        <v>45154.0</v>
      </c>
      <c r="E1004" s="237" t="s">
        <v>6921</v>
      </c>
      <c r="F1004" s="237" t="s">
        <v>15582</v>
      </c>
      <c r="G1004" s="237" t="s">
        <v>15583</v>
      </c>
      <c r="H1004" s="237" t="s">
        <v>11968</v>
      </c>
      <c r="I1004" s="237" t="s">
        <v>15584</v>
      </c>
      <c r="J1004" s="237" t="s">
        <v>5224</v>
      </c>
      <c r="K1004" s="237" t="s">
        <v>13006</v>
      </c>
      <c r="L1004" s="237" t="s">
        <v>2730</v>
      </c>
      <c r="M1004" s="232" t="s">
        <v>9383</v>
      </c>
      <c r="N1004" s="430" t="s">
        <v>17527</v>
      </c>
    </row>
    <row r="1005">
      <c r="A1005" s="427">
        <v>1004.0</v>
      </c>
      <c r="B1005" s="237" t="s">
        <v>8323</v>
      </c>
      <c r="C1005" s="237" t="s">
        <v>6918</v>
      </c>
      <c r="D1005" s="428">
        <v>44698.0</v>
      </c>
      <c r="E1005" s="237" t="s">
        <v>6933</v>
      </c>
      <c r="F1005" s="237" t="s">
        <v>10905</v>
      </c>
      <c r="G1005" s="237" t="s">
        <v>13965</v>
      </c>
      <c r="H1005" s="237" t="s">
        <v>9691</v>
      </c>
      <c r="I1005" s="237" t="s">
        <v>13966</v>
      </c>
      <c r="J1005" s="237" t="s">
        <v>5224</v>
      </c>
      <c r="K1005" s="237" t="s">
        <v>13006</v>
      </c>
      <c r="L1005" s="237" t="s">
        <v>2730</v>
      </c>
      <c r="M1005" s="232" t="s">
        <v>9383</v>
      </c>
      <c r="N1005" s="430" t="s">
        <v>17527</v>
      </c>
    </row>
    <row r="1006">
      <c r="A1006" s="427">
        <v>1005.0</v>
      </c>
      <c r="B1006" s="237" t="s">
        <v>8295</v>
      </c>
      <c r="C1006" s="237" t="s">
        <v>6918</v>
      </c>
      <c r="D1006" s="428">
        <v>44805.0</v>
      </c>
      <c r="E1006" s="237" t="s">
        <v>6921</v>
      </c>
      <c r="F1006" s="237" t="s">
        <v>13792</v>
      </c>
      <c r="G1006" s="237" t="s">
        <v>13793</v>
      </c>
      <c r="H1006" s="237" t="s">
        <v>13794</v>
      </c>
      <c r="I1006" s="237" t="s">
        <v>13795</v>
      </c>
      <c r="J1006" s="237" t="s">
        <v>5224</v>
      </c>
      <c r="K1006" s="237" t="s">
        <v>13006</v>
      </c>
      <c r="L1006" s="237" t="s">
        <v>2730</v>
      </c>
      <c r="M1006" s="232" t="s">
        <v>9383</v>
      </c>
      <c r="N1006" s="430" t="s">
        <v>17527</v>
      </c>
    </row>
    <row r="1007">
      <c r="A1007" s="427">
        <v>1006.0</v>
      </c>
      <c r="B1007" s="237" t="s">
        <v>76</v>
      </c>
      <c r="C1007" s="237" t="s">
        <v>6918</v>
      </c>
      <c r="D1007" s="428">
        <v>43024.0</v>
      </c>
      <c r="E1007" s="237" t="s">
        <v>6921</v>
      </c>
      <c r="F1007" s="237" t="s">
        <v>15813</v>
      </c>
      <c r="G1007" s="237" t="s">
        <v>15814</v>
      </c>
      <c r="H1007" s="237" t="s">
        <v>10168</v>
      </c>
      <c r="I1007" s="237" t="s">
        <v>80</v>
      </c>
      <c r="J1007" s="237" t="s">
        <v>5224</v>
      </c>
      <c r="K1007" s="237" t="s">
        <v>15815</v>
      </c>
      <c r="L1007" s="237" t="s">
        <v>2730</v>
      </c>
      <c r="M1007" s="232" t="s">
        <v>9383</v>
      </c>
      <c r="N1007" s="430" t="s">
        <v>17527</v>
      </c>
    </row>
    <row r="1008">
      <c r="A1008" s="427">
        <v>1007.0</v>
      </c>
      <c r="B1008" s="237" t="s">
        <v>3623</v>
      </c>
      <c r="C1008" s="237" t="s">
        <v>6918</v>
      </c>
      <c r="D1008" s="428">
        <v>43185.0</v>
      </c>
      <c r="E1008" s="237" t="s">
        <v>6921</v>
      </c>
      <c r="F1008" s="237" t="s">
        <v>17716</v>
      </c>
      <c r="G1008" s="237" t="s">
        <v>17717</v>
      </c>
      <c r="H1008" s="237" t="s">
        <v>9669</v>
      </c>
      <c r="I1008" s="237" t="s">
        <v>6596</v>
      </c>
      <c r="J1008" s="237" t="s">
        <v>5224</v>
      </c>
      <c r="K1008" s="237" t="s">
        <v>15815</v>
      </c>
      <c r="L1008" s="237" t="s">
        <v>2730</v>
      </c>
      <c r="M1008" s="232" t="s">
        <v>9383</v>
      </c>
      <c r="N1008" s="430" t="s">
        <v>17527</v>
      </c>
    </row>
    <row r="1009">
      <c r="A1009" s="427">
        <v>1008.0</v>
      </c>
      <c r="B1009" s="237" t="s">
        <v>3941</v>
      </c>
      <c r="C1009" s="237" t="s">
        <v>6918</v>
      </c>
      <c r="D1009" s="428">
        <v>43892.0</v>
      </c>
      <c r="E1009" s="237" t="s">
        <v>6921</v>
      </c>
      <c r="F1009" s="237" t="s">
        <v>14169</v>
      </c>
      <c r="G1009" s="237" t="s">
        <v>17718</v>
      </c>
      <c r="H1009" s="237" t="s">
        <v>9654</v>
      </c>
      <c r="I1009" s="237" t="s">
        <v>6711</v>
      </c>
      <c r="J1009" s="237" t="s">
        <v>5224</v>
      </c>
      <c r="K1009" s="237" t="s">
        <v>15815</v>
      </c>
      <c r="L1009" s="237" t="s">
        <v>2730</v>
      </c>
      <c r="M1009" s="232" t="s">
        <v>9383</v>
      </c>
      <c r="N1009" s="430" t="s">
        <v>17527</v>
      </c>
    </row>
    <row r="1010">
      <c r="A1010" s="427">
        <v>1009.0</v>
      </c>
      <c r="B1010" s="237" t="s">
        <v>9516</v>
      </c>
      <c r="C1010" s="237" t="s">
        <v>8796</v>
      </c>
      <c r="D1010" s="428">
        <v>45450.0</v>
      </c>
      <c r="E1010" s="237" t="s">
        <v>6921</v>
      </c>
      <c r="F1010" s="237" t="s">
        <v>9512</v>
      </c>
      <c r="G1010" s="237" t="s">
        <v>9518</v>
      </c>
      <c r="H1010" s="237" t="s">
        <v>9519</v>
      </c>
      <c r="I1010" s="237" t="s">
        <v>9520</v>
      </c>
      <c r="J1010" s="237" t="s">
        <v>5012</v>
      </c>
      <c r="K1010" s="237" t="s">
        <v>9521</v>
      </c>
      <c r="L1010" s="237" t="s">
        <v>17675</v>
      </c>
      <c r="M1010" s="232" t="s">
        <v>9383</v>
      </c>
      <c r="N1010" s="430" t="s">
        <v>17527</v>
      </c>
    </row>
    <row r="1011">
      <c r="A1011" s="427">
        <v>1010.0</v>
      </c>
      <c r="B1011" s="237" t="s">
        <v>13497</v>
      </c>
      <c r="C1011" s="237" t="s">
        <v>6918</v>
      </c>
      <c r="D1011" s="428">
        <v>44676.0</v>
      </c>
      <c r="E1011" s="237" t="s">
        <v>6933</v>
      </c>
      <c r="F1011" s="237" t="s">
        <v>13498</v>
      </c>
      <c r="G1011" s="237" t="s">
        <v>13499</v>
      </c>
      <c r="H1011" s="237" t="s">
        <v>6925</v>
      </c>
      <c r="I1011" s="237" t="s">
        <v>13500</v>
      </c>
      <c r="J1011" s="237" t="s">
        <v>5012</v>
      </c>
      <c r="K1011" s="237" t="s">
        <v>9521</v>
      </c>
      <c r="L1011" s="237" t="s">
        <v>8841</v>
      </c>
      <c r="M1011" s="232" t="s">
        <v>9383</v>
      </c>
      <c r="N1011" s="430" t="s">
        <v>17527</v>
      </c>
    </row>
    <row r="1012">
      <c r="A1012" s="427">
        <v>1011.0</v>
      </c>
      <c r="B1012" s="237" t="s">
        <v>13380</v>
      </c>
      <c r="C1012" s="237" t="s">
        <v>6918</v>
      </c>
      <c r="D1012" s="428">
        <v>44713.0</v>
      </c>
      <c r="E1012" s="237" t="s">
        <v>6933</v>
      </c>
      <c r="F1012" s="237" t="s">
        <v>13381</v>
      </c>
      <c r="G1012" s="237" t="s">
        <v>13382</v>
      </c>
      <c r="H1012" s="237" t="s">
        <v>10499</v>
      </c>
      <c r="I1012" s="237" t="s">
        <v>13383</v>
      </c>
      <c r="J1012" s="237" t="s">
        <v>5012</v>
      </c>
      <c r="K1012" s="237" t="s">
        <v>9521</v>
      </c>
      <c r="L1012" s="237" t="s">
        <v>17503</v>
      </c>
      <c r="M1012" s="232" t="s">
        <v>9383</v>
      </c>
      <c r="N1012" s="430" t="s">
        <v>17527</v>
      </c>
    </row>
    <row r="1013">
      <c r="A1013" s="427">
        <v>1012.0</v>
      </c>
      <c r="B1013" s="237" t="s">
        <v>16024</v>
      </c>
      <c r="C1013" s="237" t="s">
        <v>6918</v>
      </c>
      <c r="D1013" s="428">
        <v>44844.0</v>
      </c>
      <c r="E1013" s="237" t="s">
        <v>6933</v>
      </c>
      <c r="F1013" s="237" t="s">
        <v>10860</v>
      </c>
      <c r="G1013" s="237" t="s">
        <v>16025</v>
      </c>
      <c r="H1013" s="237" t="s">
        <v>9538</v>
      </c>
      <c r="I1013" s="237" t="s">
        <v>16026</v>
      </c>
      <c r="J1013" s="237" t="s">
        <v>5012</v>
      </c>
      <c r="K1013" s="237" t="s">
        <v>9521</v>
      </c>
      <c r="L1013" s="237" t="s">
        <v>17587</v>
      </c>
      <c r="M1013" s="232" t="s">
        <v>9383</v>
      </c>
      <c r="N1013" s="430" t="s">
        <v>17527</v>
      </c>
    </row>
    <row r="1014">
      <c r="A1014" s="427">
        <v>1013.0</v>
      </c>
      <c r="B1014" s="237" t="s">
        <v>13210</v>
      </c>
      <c r="C1014" s="237" t="s">
        <v>6918</v>
      </c>
      <c r="D1014" s="428">
        <v>44958.0</v>
      </c>
      <c r="E1014" s="237" t="s">
        <v>6933</v>
      </c>
      <c r="F1014" s="237" t="s">
        <v>13211</v>
      </c>
      <c r="G1014" s="237" t="s">
        <v>13212</v>
      </c>
      <c r="H1014" s="237" t="s">
        <v>11374</v>
      </c>
      <c r="I1014" s="237" t="s">
        <v>13213</v>
      </c>
      <c r="J1014" s="237" t="s">
        <v>5012</v>
      </c>
      <c r="K1014" s="237" t="s">
        <v>9521</v>
      </c>
      <c r="L1014" s="237" t="s">
        <v>13414</v>
      </c>
      <c r="M1014" s="232" t="s">
        <v>9383</v>
      </c>
      <c r="N1014" s="430" t="s">
        <v>17527</v>
      </c>
    </row>
    <row r="1015">
      <c r="A1015" s="427">
        <v>1014.0</v>
      </c>
      <c r="B1015" s="237" t="s">
        <v>3440</v>
      </c>
      <c r="C1015" s="237" t="s">
        <v>6918</v>
      </c>
      <c r="D1015" s="428">
        <v>45019.0</v>
      </c>
      <c r="E1015" s="237" t="s">
        <v>6933</v>
      </c>
      <c r="F1015" s="237" t="s">
        <v>17719</v>
      </c>
      <c r="G1015" s="237" t="s">
        <v>17720</v>
      </c>
      <c r="H1015" s="237" t="s">
        <v>10311</v>
      </c>
      <c r="I1015" s="237" t="s">
        <v>6502</v>
      </c>
      <c r="J1015" s="237" t="s">
        <v>5012</v>
      </c>
      <c r="K1015" s="237" t="s">
        <v>9521</v>
      </c>
      <c r="L1015" s="237" t="s">
        <v>17587</v>
      </c>
      <c r="M1015" s="232" t="s">
        <v>9383</v>
      </c>
      <c r="N1015" s="430" t="s">
        <v>17527</v>
      </c>
    </row>
    <row r="1016">
      <c r="A1016" s="427">
        <v>1015.0</v>
      </c>
      <c r="B1016" s="237" t="s">
        <v>14461</v>
      </c>
      <c r="C1016" s="237" t="s">
        <v>6918</v>
      </c>
      <c r="D1016" s="428">
        <v>45110.0</v>
      </c>
      <c r="E1016" s="237" t="s">
        <v>6933</v>
      </c>
      <c r="F1016" s="237" t="s">
        <v>14462</v>
      </c>
      <c r="G1016" s="237" t="s">
        <v>14463</v>
      </c>
      <c r="H1016" s="237" t="s">
        <v>13778</v>
      </c>
      <c r="I1016" s="237" t="s">
        <v>14464</v>
      </c>
      <c r="J1016" s="237" t="s">
        <v>5012</v>
      </c>
      <c r="K1016" s="237" t="s">
        <v>9521</v>
      </c>
      <c r="L1016" s="237" t="s">
        <v>8845</v>
      </c>
      <c r="M1016" s="232" t="s">
        <v>9383</v>
      </c>
      <c r="N1016" s="430" t="s">
        <v>17527</v>
      </c>
    </row>
    <row r="1017">
      <c r="A1017" s="427">
        <v>1016.0</v>
      </c>
      <c r="B1017" s="237" t="s">
        <v>3199</v>
      </c>
      <c r="C1017" s="237" t="s">
        <v>6918</v>
      </c>
      <c r="D1017" s="428">
        <v>44802.0</v>
      </c>
      <c r="E1017" s="237" t="s">
        <v>6933</v>
      </c>
      <c r="F1017" s="237" t="s">
        <v>17721</v>
      </c>
      <c r="G1017" s="237" t="s">
        <v>17722</v>
      </c>
      <c r="H1017" s="237" t="s">
        <v>17723</v>
      </c>
      <c r="I1017" s="237" t="s">
        <v>6403</v>
      </c>
      <c r="J1017" s="237" t="s">
        <v>5012</v>
      </c>
      <c r="K1017" s="237" t="s">
        <v>9521</v>
      </c>
      <c r="L1017" s="237" t="s">
        <v>17596</v>
      </c>
      <c r="M1017" s="232" t="s">
        <v>9383</v>
      </c>
      <c r="N1017" s="430" t="s">
        <v>17527</v>
      </c>
    </row>
    <row r="1018">
      <c r="A1018" s="427">
        <v>1017.0</v>
      </c>
      <c r="B1018" s="237" t="s">
        <v>13803</v>
      </c>
      <c r="C1018" s="237" t="s">
        <v>6918</v>
      </c>
      <c r="D1018" s="428">
        <v>44525.0</v>
      </c>
      <c r="E1018" s="237" t="s">
        <v>6933</v>
      </c>
      <c r="F1018" s="237" t="s">
        <v>10784</v>
      </c>
      <c r="G1018" s="237" t="s">
        <v>13805</v>
      </c>
      <c r="H1018" s="237" t="s">
        <v>10374</v>
      </c>
      <c r="I1018" s="237" t="s">
        <v>13806</v>
      </c>
      <c r="J1018" s="237" t="s">
        <v>5012</v>
      </c>
      <c r="K1018" s="237" t="s">
        <v>9521</v>
      </c>
      <c r="L1018" s="237" t="s">
        <v>17587</v>
      </c>
      <c r="M1018" s="232" t="s">
        <v>9383</v>
      </c>
      <c r="N1018" s="430" t="s">
        <v>17527</v>
      </c>
    </row>
    <row r="1019">
      <c r="A1019" s="427">
        <v>1018.0</v>
      </c>
      <c r="B1019" s="237" t="s">
        <v>205</v>
      </c>
      <c r="C1019" s="237" t="s">
        <v>6918</v>
      </c>
      <c r="D1019" s="428">
        <v>44851.0</v>
      </c>
      <c r="E1019" s="237" t="s">
        <v>6933</v>
      </c>
      <c r="F1019" s="237" t="s">
        <v>15679</v>
      </c>
      <c r="G1019" s="237" t="s">
        <v>15680</v>
      </c>
      <c r="H1019" s="237" t="s">
        <v>11777</v>
      </c>
      <c r="I1019" s="237" t="s">
        <v>208</v>
      </c>
      <c r="J1019" s="237" t="s">
        <v>5012</v>
      </c>
      <c r="K1019" s="237" t="s">
        <v>9521</v>
      </c>
      <c r="L1019" s="237" t="s">
        <v>8841</v>
      </c>
      <c r="M1019" s="232" t="s">
        <v>9383</v>
      </c>
      <c r="N1019" s="430" t="s">
        <v>17527</v>
      </c>
    </row>
    <row r="1020">
      <c r="A1020" s="427">
        <v>1019.0</v>
      </c>
      <c r="B1020" s="237" t="s">
        <v>13864</v>
      </c>
      <c r="C1020" s="237" t="s">
        <v>6918</v>
      </c>
      <c r="D1020" s="428">
        <v>44879.0</v>
      </c>
      <c r="E1020" s="237" t="s">
        <v>6933</v>
      </c>
      <c r="F1020" s="237" t="s">
        <v>13865</v>
      </c>
      <c r="G1020" s="237" t="s">
        <v>13866</v>
      </c>
      <c r="H1020" s="237" t="s">
        <v>13867</v>
      </c>
      <c r="I1020" s="237" t="s">
        <v>13868</v>
      </c>
      <c r="J1020" s="237" t="s">
        <v>5012</v>
      </c>
      <c r="K1020" s="237" t="s">
        <v>9521</v>
      </c>
      <c r="L1020" s="237" t="s">
        <v>17596</v>
      </c>
      <c r="M1020" s="232" t="s">
        <v>9383</v>
      </c>
      <c r="N1020" s="430" t="s">
        <v>17527</v>
      </c>
    </row>
    <row r="1021">
      <c r="A1021" s="427">
        <v>1020.0</v>
      </c>
      <c r="B1021" s="237" t="s">
        <v>15013</v>
      </c>
      <c r="C1021" s="237" t="s">
        <v>6918</v>
      </c>
      <c r="D1021" s="428">
        <v>45083.0</v>
      </c>
      <c r="E1021" s="237" t="s">
        <v>6933</v>
      </c>
      <c r="F1021" s="237" t="s">
        <v>15015</v>
      </c>
      <c r="G1021" s="237" t="s">
        <v>15016</v>
      </c>
      <c r="H1021" s="237" t="s">
        <v>15017</v>
      </c>
      <c r="I1021" s="237" t="s">
        <v>6332</v>
      </c>
      <c r="J1021" s="237" t="s">
        <v>5012</v>
      </c>
      <c r="K1021" s="237" t="s">
        <v>9521</v>
      </c>
      <c r="L1021" s="237" t="s">
        <v>15018</v>
      </c>
      <c r="M1021" s="232" t="s">
        <v>9383</v>
      </c>
      <c r="N1021" s="430" t="s">
        <v>17527</v>
      </c>
    </row>
    <row r="1022">
      <c r="A1022" s="427">
        <v>1021.0</v>
      </c>
      <c r="B1022" s="237" t="s">
        <v>14712</v>
      </c>
      <c r="C1022" s="237" t="s">
        <v>6918</v>
      </c>
      <c r="D1022" s="428">
        <v>45154.0</v>
      </c>
      <c r="E1022" s="237" t="s">
        <v>6933</v>
      </c>
      <c r="F1022" s="237" t="s">
        <v>11419</v>
      </c>
      <c r="G1022" s="237" t="s">
        <v>14713</v>
      </c>
      <c r="H1022" s="237" t="s">
        <v>10528</v>
      </c>
      <c r="I1022" s="237" t="s">
        <v>14714</v>
      </c>
      <c r="J1022" s="237" t="s">
        <v>5224</v>
      </c>
      <c r="K1022" s="237" t="s">
        <v>12359</v>
      </c>
      <c r="L1022" s="237" t="s">
        <v>1224</v>
      </c>
      <c r="M1022" s="232" t="s">
        <v>9383</v>
      </c>
      <c r="N1022" s="430" t="s">
        <v>17527</v>
      </c>
    </row>
    <row r="1023">
      <c r="A1023" s="427">
        <v>1022.0</v>
      </c>
      <c r="B1023" s="237" t="s">
        <v>1834</v>
      </c>
      <c r="C1023" s="237" t="s">
        <v>6918</v>
      </c>
      <c r="D1023" s="428">
        <v>44137.0</v>
      </c>
      <c r="E1023" s="237" t="s">
        <v>6921</v>
      </c>
      <c r="F1023" s="237" t="s">
        <v>13096</v>
      </c>
      <c r="G1023" s="237" t="s">
        <v>13101</v>
      </c>
      <c r="H1023" s="237" t="s">
        <v>10009</v>
      </c>
      <c r="I1023" s="237" t="s">
        <v>5797</v>
      </c>
      <c r="J1023" s="237" t="s">
        <v>5224</v>
      </c>
      <c r="K1023" s="237" t="s">
        <v>12668</v>
      </c>
      <c r="L1023" s="237" t="s">
        <v>8428</v>
      </c>
      <c r="M1023" s="232" t="s">
        <v>9383</v>
      </c>
      <c r="N1023" s="430" t="s">
        <v>17527</v>
      </c>
    </row>
    <row r="1024">
      <c r="A1024" s="427">
        <v>1023.0</v>
      </c>
      <c r="B1024" s="237" t="s">
        <v>8593</v>
      </c>
      <c r="C1024" s="237" t="s">
        <v>6918</v>
      </c>
      <c r="D1024" s="428">
        <v>42522.0</v>
      </c>
      <c r="E1024" s="237" t="s">
        <v>6933</v>
      </c>
      <c r="F1024" s="237" t="s">
        <v>11002</v>
      </c>
      <c r="G1024" s="237" t="s">
        <v>14062</v>
      </c>
      <c r="H1024" s="237" t="s">
        <v>14063</v>
      </c>
      <c r="I1024" s="237" t="s">
        <v>14064</v>
      </c>
      <c r="J1024" s="237" t="s">
        <v>5224</v>
      </c>
      <c r="K1024" s="237" t="s">
        <v>12668</v>
      </c>
      <c r="L1024" s="237" t="s">
        <v>1896</v>
      </c>
      <c r="M1024" s="232" t="s">
        <v>9383</v>
      </c>
      <c r="N1024" s="430" t="s">
        <v>17527</v>
      </c>
    </row>
    <row r="1025">
      <c r="A1025" s="427">
        <v>1024.0</v>
      </c>
      <c r="B1025" s="237" t="s">
        <v>3538</v>
      </c>
      <c r="C1025" s="237" t="s">
        <v>6918</v>
      </c>
      <c r="D1025" s="428">
        <v>44788.0</v>
      </c>
      <c r="E1025" s="237" t="s">
        <v>6921</v>
      </c>
      <c r="F1025" s="237" t="s">
        <v>13336</v>
      </c>
      <c r="G1025" s="237" t="s">
        <v>17724</v>
      </c>
      <c r="H1025" s="237" t="s">
        <v>17725</v>
      </c>
      <c r="I1025" s="237" t="s">
        <v>6562</v>
      </c>
      <c r="J1025" s="237" t="s">
        <v>5224</v>
      </c>
      <c r="K1025" s="237" t="s">
        <v>15071</v>
      </c>
      <c r="L1025" s="237" t="s">
        <v>8486</v>
      </c>
      <c r="M1025" s="232" t="s">
        <v>9383</v>
      </c>
      <c r="N1025" s="430" t="s">
        <v>17527</v>
      </c>
    </row>
    <row r="1026">
      <c r="A1026" s="427">
        <v>1025.0</v>
      </c>
      <c r="B1026" s="237" t="s">
        <v>675</v>
      </c>
      <c r="C1026" s="237" t="s">
        <v>6918</v>
      </c>
      <c r="D1026" s="428">
        <v>44879.0</v>
      </c>
      <c r="E1026" s="237" t="s">
        <v>6921</v>
      </c>
      <c r="F1026" s="237" t="s">
        <v>15069</v>
      </c>
      <c r="G1026" s="237" t="s">
        <v>15070</v>
      </c>
      <c r="H1026" s="237" t="s">
        <v>14482</v>
      </c>
      <c r="I1026" s="237" t="s">
        <v>679</v>
      </c>
      <c r="J1026" s="237" t="s">
        <v>5224</v>
      </c>
      <c r="K1026" s="237" t="s">
        <v>15071</v>
      </c>
      <c r="L1026" s="237" t="s">
        <v>2081</v>
      </c>
      <c r="M1026" s="232" t="s">
        <v>9383</v>
      </c>
      <c r="N1026" s="430" t="s">
        <v>17527</v>
      </c>
    </row>
    <row r="1027">
      <c r="A1027" s="427">
        <v>1026.0</v>
      </c>
      <c r="B1027" s="237" t="s">
        <v>670</v>
      </c>
      <c r="C1027" s="237" t="s">
        <v>6918</v>
      </c>
      <c r="D1027" s="428">
        <v>45173.0</v>
      </c>
      <c r="E1027" s="237" t="s">
        <v>6921</v>
      </c>
      <c r="F1027" s="237" t="s">
        <v>13349</v>
      </c>
      <c r="G1027" s="237" t="s">
        <v>13350</v>
      </c>
      <c r="H1027" s="237" t="s">
        <v>13351</v>
      </c>
      <c r="I1027" s="237" t="s">
        <v>674</v>
      </c>
      <c r="J1027" s="237" t="s">
        <v>5224</v>
      </c>
      <c r="K1027" s="237" t="s">
        <v>13352</v>
      </c>
      <c r="L1027" s="237" t="s">
        <v>2081</v>
      </c>
      <c r="M1027" s="232" t="s">
        <v>9383</v>
      </c>
      <c r="N1027" s="430" t="s">
        <v>17527</v>
      </c>
    </row>
    <row r="1028">
      <c r="A1028" s="427">
        <v>1027.0</v>
      </c>
      <c r="B1028" s="237" t="s">
        <v>8162</v>
      </c>
      <c r="C1028" s="237" t="s">
        <v>6918</v>
      </c>
      <c r="D1028" s="428">
        <v>45266.0</v>
      </c>
      <c r="E1028" s="237" t="s">
        <v>6933</v>
      </c>
      <c r="F1028" s="237" t="s">
        <v>14501</v>
      </c>
      <c r="G1028" s="237" t="s">
        <v>14502</v>
      </c>
      <c r="H1028" s="237" t="s">
        <v>9579</v>
      </c>
      <c r="I1028" s="237" t="s">
        <v>14503</v>
      </c>
      <c r="J1028" s="237" t="s">
        <v>5224</v>
      </c>
      <c r="K1028" s="237" t="s">
        <v>13352</v>
      </c>
      <c r="L1028" s="237" t="s">
        <v>14504</v>
      </c>
      <c r="M1028" s="232" t="s">
        <v>9383</v>
      </c>
      <c r="N1028" s="430" t="s">
        <v>17527</v>
      </c>
    </row>
    <row r="1029">
      <c r="A1029" s="427">
        <v>1028.0</v>
      </c>
      <c r="B1029" s="237" t="s">
        <v>12195</v>
      </c>
      <c r="C1029" s="237" t="s">
        <v>10103</v>
      </c>
      <c r="D1029" s="428">
        <v>43633.0</v>
      </c>
      <c r="E1029" s="237" t="s">
        <v>6921</v>
      </c>
      <c r="F1029" s="237" t="s">
        <v>12197</v>
      </c>
      <c r="G1029" s="237" t="s">
        <v>12198</v>
      </c>
      <c r="H1029" s="237" t="s">
        <v>10998</v>
      </c>
      <c r="I1029" s="237" t="s">
        <v>12199</v>
      </c>
      <c r="J1029" s="237" t="s">
        <v>5224</v>
      </c>
      <c r="K1029" s="237" t="s">
        <v>10056</v>
      </c>
      <c r="L1029" s="237" t="s">
        <v>10538</v>
      </c>
      <c r="M1029" s="232" t="s">
        <v>9383</v>
      </c>
      <c r="N1029" s="430" t="s">
        <v>17527</v>
      </c>
    </row>
    <row r="1030">
      <c r="A1030" s="427">
        <v>1029.0</v>
      </c>
      <c r="B1030" s="237" t="s">
        <v>10265</v>
      </c>
      <c r="C1030" s="237" t="s">
        <v>10103</v>
      </c>
      <c r="D1030" s="428">
        <v>42527.0</v>
      </c>
      <c r="E1030" s="237" t="s">
        <v>6933</v>
      </c>
      <c r="F1030" s="237" t="s">
        <v>10267</v>
      </c>
      <c r="G1030" s="237" t="s">
        <v>10268</v>
      </c>
      <c r="H1030" s="237" t="s">
        <v>10269</v>
      </c>
      <c r="I1030" s="237" t="s">
        <v>10270</v>
      </c>
      <c r="J1030" s="237" t="s">
        <v>5012</v>
      </c>
      <c r="K1030" s="237" t="s">
        <v>10056</v>
      </c>
      <c r="L1030" s="237" t="s">
        <v>566</v>
      </c>
      <c r="M1030" s="232" t="s">
        <v>9383</v>
      </c>
      <c r="N1030" s="430" t="s">
        <v>17527</v>
      </c>
    </row>
    <row r="1031">
      <c r="A1031" s="427">
        <v>1030.0</v>
      </c>
      <c r="B1031" s="237" t="s">
        <v>4147</v>
      </c>
      <c r="C1031" s="237" t="s">
        <v>10103</v>
      </c>
      <c r="D1031" s="428">
        <v>45433.0</v>
      </c>
      <c r="E1031" s="237" t="s">
        <v>6933</v>
      </c>
      <c r="F1031" s="237" t="s">
        <v>17726</v>
      </c>
      <c r="G1031" s="237" t="s">
        <v>17727</v>
      </c>
      <c r="H1031" s="237" t="s">
        <v>11533</v>
      </c>
      <c r="I1031" s="237" t="s">
        <v>6771</v>
      </c>
      <c r="J1031" s="237" t="s">
        <v>5224</v>
      </c>
      <c r="K1031" s="237" t="s">
        <v>10056</v>
      </c>
      <c r="L1031" s="237" t="s">
        <v>17434</v>
      </c>
      <c r="M1031" s="232" t="s">
        <v>9383</v>
      </c>
      <c r="N1031" s="430" t="s">
        <v>17527</v>
      </c>
    </row>
    <row r="1032">
      <c r="A1032" s="427">
        <v>1031.0</v>
      </c>
      <c r="B1032" s="237" t="s">
        <v>12165</v>
      </c>
      <c r="C1032" s="237" t="s">
        <v>10103</v>
      </c>
      <c r="D1032" s="428">
        <v>43207.0</v>
      </c>
      <c r="E1032" s="237" t="s">
        <v>6921</v>
      </c>
      <c r="F1032" s="237" t="s">
        <v>12166</v>
      </c>
      <c r="G1032" s="237" t="s">
        <v>12167</v>
      </c>
      <c r="H1032" s="237" t="s">
        <v>12168</v>
      </c>
      <c r="I1032" s="237" t="s">
        <v>12169</v>
      </c>
      <c r="J1032" s="237" t="s">
        <v>5224</v>
      </c>
      <c r="K1032" s="237" t="s">
        <v>10056</v>
      </c>
      <c r="L1032" s="237" t="s">
        <v>17434</v>
      </c>
      <c r="M1032" s="232" t="s">
        <v>9383</v>
      </c>
      <c r="N1032" s="430" t="s">
        <v>17527</v>
      </c>
    </row>
    <row r="1033">
      <c r="A1033" s="427">
        <v>1032.0</v>
      </c>
      <c r="B1033" s="237" t="s">
        <v>17728</v>
      </c>
      <c r="C1033" s="237" t="s">
        <v>10103</v>
      </c>
      <c r="D1033" s="428">
        <v>43815.0</v>
      </c>
      <c r="E1033" s="237" t="s">
        <v>6921</v>
      </c>
      <c r="F1033" s="237" t="s">
        <v>12466</v>
      </c>
      <c r="G1033" s="237" t="s">
        <v>12467</v>
      </c>
      <c r="H1033" s="237" t="s">
        <v>11482</v>
      </c>
      <c r="I1033" s="237" t="s">
        <v>12468</v>
      </c>
      <c r="J1033" s="237" t="s">
        <v>5224</v>
      </c>
      <c r="K1033" s="237" t="s">
        <v>10056</v>
      </c>
      <c r="L1033" s="237" t="s">
        <v>17486</v>
      </c>
      <c r="M1033" s="232" t="s">
        <v>9383</v>
      </c>
      <c r="N1033" s="430" t="s">
        <v>17527</v>
      </c>
    </row>
    <row r="1034">
      <c r="A1034" s="427">
        <v>1033.0</v>
      </c>
      <c r="B1034" s="237" t="s">
        <v>9158</v>
      </c>
      <c r="C1034" s="237" t="s">
        <v>9157</v>
      </c>
      <c r="D1034" s="428">
        <v>42788.0</v>
      </c>
      <c r="E1034" s="237" t="s">
        <v>6933</v>
      </c>
      <c r="F1034" s="237" t="s">
        <v>12344</v>
      </c>
      <c r="G1034" s="237" t="s">
        <v>12345</v>
      </c>
      <c r="H1034" s="237" t="s">
        <v>12094</v>
      </c>
      <c r="I1034" s="237" t="s">
        <v>12346</v>
      </c>
      <c r="J1034" s="237" t="s">
        <v>5224</v>
      </c>
      <c r="K1034" s="237" t="s">
        <v>10056</v>
      </c>
      <c r="L1034" s="237" t="s">
        <v>2138</v>
      </c>
      <c r="M1034" s="232" t="s">
        <v>9383</v>
      </c>
      <c r="N1034" s="430" t="s">
        <v>17527</v>
      </c>
    </row>
    <row r="1035">
      <c r="A1035" s="427">
        <v>1034.0</v>
      </c>
      <c r="B1035" s="237" t="s">
        <v>4317</v>
      </c>
      <c r="C1035" s="237" t="s">
        <v>1652</v>
      </c>
      <c r="D1035" s="428">
        <v>45474.0</v>
      </c>
      <c r="E1035" s="237" t="s">
        <v>6933</v>
      </c>
      <c r="F1035" s="237" t="s">
        <v>17729</v>
      </c>
      <c r="G1035" s="237" t="s">
        <v>17730</v>
      </c>
      <c r="H1035" s="237" t="s">
        <v>17731</v>
      </c>
      <c r="I1035" s="237" t="s">
        <v>6819</v>
      </c>
      <c r="J1035" s="237" t="s">
        <v>5012</v>
      </c>
      <c r="K1035" s="237" t="s">
        <v>10056</v>
      </c>
      <c r="L1035" s="237" t="s">
        <v>4319</v>
      </c>
      <c r="M1035" s="232" t="s">
        <v>9383</v>
      </c>
      <c r="N1035" s="430" t="s">
        <v>17527</v>
      </c>
    </row>
    <row r="1036">
      <c r="A1036" s="427">
        <v>1035.0</v>
      </c>
      <c r="B1036" s="237" t="s">
        <v>3526</v>
      </c>
      <c r="C1036" s="237" t="s">
        <v>7124</v>
      </c>
      <c r="D1036" s="428">
        <v>42552.0</v>
      </c>
      <c r="E1036" s="237" t="s">
        <v>6921</v>
      </c>
      <c r="F1036" s="237" t="s">
        <v>17732</v>
      </c>
      <c r="G1036" s="237" t="s">
        <v>17651</v>
      </c>
      <c r="H1036" s="237" t="s">
        <v>17733</v>
      </c>
      <c r="I1036" s="237" t="s">
        <v>6558</v>
      </c>
      <c r="J1036" s="237" t="s">
        <v>5224</v>
      </c>
      <c r="K1036" s="237" t="s">
        <v>10056</v>
      </c>
      <c r="L1036" s="237" t="s">
        <v>7264</v>
      </c>
      <c r="M1036" s="232" t="s">
        <v>9383</v>
      </c>
      <c r="N1036" s="430" t="s">
        <v>17527</v>
      </c>
    </row>
    <row r="1037">
      <c r="A1037" s="427">
        <v>1036.0</v>
      </c>
      <c r="B1037" s="237" t="s">
        <v>7649</v>
      </c>
      <c r="C1037" s="237" t="s">
        <v>7385</v>
      </c>
      <c r="D1037" s="428">
        <v>41022.0</v>
      </c>
      <c r="E1037" s="237" t="s">
        <v>6921</v>
      </c>
      <c r="F1037" s="237" t="s">
        <v>12838</v>
      </c>
      <c r="G1037" s="237" t="s">
        <v>12839</v>
      </c>
      <c r="H1037" s="237" t="s">
        <v>12025</v>
      </c>
      <c r="I1037" s="237" t="s">
        <v>12840</v>
      </c>
      <c r="J1037" s="237" t="s">
        <v>5224</v>
      </c>
      <c r="K1037" s="237" t="s">
        <v>10056</v>
      </c>
      <c r="L1037" s="237" t="s">
        <v>7626</v>
      </c>
      <c r="M1037" s="232" t="s">
        <v>9383</v>
      </c>
      <c r="N1037" s="430" t="s">
        <v>17527</v>
      </c>
    </row>
    <row r="1038">
      <c r="A1038" s="427">
        <v>1037.0</v>
      </c>
      <c r="B1038" s="237" t="s">
        <v>7401</v>
      </c>
      <c r="C1038" s="237" t="s">
        <v>7400</v>
      </c>
      <c r="D1038" s="428">
        <v>44118.0</v>
      </c>
      <c r="E1038" s="237" t="s">
        <v>6933</v>
      </c>
      <c r="F1038" s="237" t="s">
        <v>12848</v>
      </c>
      <c r="G1038" s="237" t="s">
        <v>12849</v>
      </c>
      <c r="H1038" s="237" t="s">
        <v>12850</v>
      </c>
      <c r="I1038" s="237" t="s">
        <v>12851</v>
      </c>
      <c r="J1038" s="237" t="s">
        <v>5224</v>
      </c>
      <c r="K1038" s="237" t="s">
        <v>10056</v>
      </c>
      <c r="L1038" s="237" t="s">
        <v>2904</v>
      </c>
      <c r="M1038" s="232" t="s">
        <v>9383</v>
      </c>
      <c r="N1038" s="430" t="s">
        <v>17527</v>
      </c>
    </row>
    <row r="1039">
      <c r="A1039" s="427">
        <v>1038.0</v>
      </c>
      <c r="B1039" s="237" t="s">
        <v>7669</v>
      </c>
      <c r="C1039" s="237" t="s">
        <v>7575</v>
      </c>
      <c r="D1039" s="428">
        <v>43391.0</v>
      </c>
      <c r="E1039" s="237" t="s">
        <v>6921</v>
      </c>
      <c r="F1039" s="237" t="s">
        <v>12833</v>
      </c>
      <c r="G1039" s="237" t="s">
        <v>12834</v>
      </c>
      <c r="H1039" s="237" t="s">
        <v>12037</v>
      </c>
      <c r="I1039" s="237" t="s">
        <v>12835</v>
      </c>
      <c r="J1039" s="237" t="s">
        <v>5224</v>
      </c>
      <c r="K1039" s="237" t="s">
        <v>10056</v>
      </c>
      <c r="L1039" s="237" t="s">
        <v>2603</v>
      </c>
      <c r="M1039" s="232" t="s">
        <v>9383</v>
      </c>
      <c r="N1039" s="430" t="s">
        <v>17527</v>
      </c>
    </row>
    <row r="1040">
      <c r="A1040" s="427">
        <v>1039.0</v>
      </c>
      <c r="B1040" s="237" t="s">
        <v>7234</v>
      </c>
      <c r="C1040" s="237" t="s">
        <v>6918</v>
      </c>
      <c r="D1040" s="428">
        <v>40148.0</v>
      </c>
      <c r="E1040" s="237" t="s">
        <v>6921</v>
      </c>
      <c r="F1040" s="237" t="s">
        <v>14206</v>
      </c>
      <c r="G1040" s="237" t="s">
        <v>14207</v>
      </c>
      <c r="H1040" s="237" t="s">
        <v>10225</v>
      </c>
      <c r="I1040" s="237" t="s">
        <v>14208</v>
      </c>
      <c r="J1040" s="237" t="s">
        <v>5224</v>
      </c>
      <c r="K1040" s="237" t="s">
        <v>10056</v>
      </c>
      <c r="L1040" s="237" t="s">
        <v>1602</v>
      </c>
      <c r="M1040" s="232" t="s">
        <v>9383</v>
      </c>
      <c r="N1040" s="430" t="s">
        <v>17527</v>
      </c>
    </row>
    <row r="1041">
      <c r="A1041" s="427">
        <v>1040.0</v>
      </c>
      <c r="B1041" s="237" t="s">
        <v>8414</v>
      </c>
      <c r="C1041" s="237" t="s">
        <v>6918</v>
      </c>
      <c r="D1041" s="428">
        <v>41652.0</v>
      </c>
      <c r="E1041" s="237" t="s">
        <v>6921</v>
      </c>
      <c r="F1041" s="237" t="s">
        <v>13354</v>
      </c>
      <c r="G1041" s="237" t="s">
        <v>13355</v>
      </c>
      <c r="H1041" s="237" t="s">
        <v>13356</v>
      </c>
      <c r="I1041" s="237" t="s">
        <v>13357</v>
      </c>
      <c r="J1041" s="237" t="s">
        <v>5224</v>
      </c>
      <c r="K1041" s="237" t="s">
        <v>10056</v>
      </c>
      <c r="L1041" s="237" t="s">
        <v>8398</v>
      </c>
      <c r="M1041" s="232" t="s">
        <v>9383</v>
      </c>
      <c r="N1041" s="430" t="s">
        <v>17527</v>
      </c>
    </row>
    <row r="1042">
      <c r="A1042" s="427">
        <v>1041.0</v>
      </c>
      <c r="B1042" s="237" t="s">
        <v>8410</v>
      </c>
      <c r="C1042" s="237" t="s">
        <v>6918</v>
      </c>
      <c r="D1042" s="428">
        <v>40081.0</v>
      </c>
      <c r="E1042" s="237" t="s">
        <v>6921</v>
      </c>
      <c r="F1042" s="237" t="s">
        <v>12991</v>
      </c>
      <c r="G1042" s="237" t="s">
        <v>12992</v>
      </c>
      <c r="H1042" s="237" t="s">
        <v>11155</v>
      </c>
      <c r="I1042" s="237" t="s">
        <v>12993</v>
      </c>
      <c r="J1042" s="237" t="s">
        <v>5224</v>
      </c>
      <c r="K1042" s="237" t="s">
        <v>10056</v>
      </c>
      <c r="L1042" s="237" t="s">
        <v>8398</v>
      </c>
      <c r="M1042" s="232" t="s">
        <v>9383</v>
      </c>
      <c r="N1042" s="430" t="s">
        <v>17527</v>
      </c>
    </row>
    <row r="1043">
      <c r="A1043" s="427">
        <v>1042.0</v>
      </c>
      <c r="B1043" s="237" t="s">
        <v>8496</v>
      </c>
      <c r="C1043" s="237" t="s">
        <v>6918</v>
      </c>
      <c r="D1043" s="428">
        <v>43417.0</v>
      </c>
      <c r="E1043" s="237" t="s">
        <v>6933</v>
      </c>
      <c r="F1043" s="237" t="s">
        <v>13037</v>
      </c>
      <c r="G1043" s="237" t="s">
        <v>13038</v>
      </c>
      <c r="H1043" s="237" t="s">
        <v>11648</v>
      </c>
      <c r="I1043" s="237" t="s">
        <v>13039</v>
      </c>
      <c r="J1043" s="237" t="s">
        <v>5224</v>
      </c>
      <c r="K1043" s="237" t="s">
        <v>10056</v>
      </c>
      <c r="L1043" s="237" t="s">
        <v>8486</v>
      </c>
      <c r="M1043" s="232" t="s">
        <v>9383</v>
      </c>
      <c r="N1043" s="430" t="s">
        <v>17527</v>
      </c>
    </row>
    <row r="1044">
      <c r="A1044" s="427">
        <v>1043.0</v>
      </c>
      <c r="B1044" s="237" t="s">
        <v>8588</v>
      </c>
      <c r="C1044" s="237" t="s">
        <v>6918</v>
      </c>
      <c r="D1044" s="428">
        <v>42537.0</v>
      </c>
      <c r="E1044" s="237" t="s">
        <v>6933</v>
      </c>
      <c r="F1044" s="237" t="s">
        <v>13222</v>
      </c>
      <c r="G1044" s="237" t="s">
        <v>13223</v>
      </c>
      <c r="H1044" s="237" t="s">
        <v>13224</v>
      </c>
      <c r="I1044" s="237" t="s">
        <v>13225</v>
      </c>
      <c r="J1044" s="237" t="s">
        <v>5224</v>
      </c>
      <c r="K1044" s="237" t="s">
        <v>10056</v>
      </c>
      <c r="L1044" s="237" t="s">
        <v>1896</v>
      </c>
      <c r="M1044" s="232" t="s">
        <v>9383</v>
      </c>
      <c r="N1044" s="430" t="s">
        <v>17527</v>
      </c>
    </row>
    <row r="1045">
      <c r="A1045" s="427">
        <v>1044.0</v>
      </c>
      <c r="B1045" s="237" t="s">
        <v>8758</v>
      </c>
      <c r="C1045" s="237" t="s">
        <v>6918</v>
      </c>
      <c r="D1045" s="428">
        <v>45231.0</v>
      </c>
      <c r="E1045" s="237" t="s">
        <v>6933</v>
      </c>
      <c r="F1045" s="237" t="s">
        <v>10595</v>
      </c>
      <c r="G1045" s="237" t="s">
        <v>13641</v>
      </c>
      <c r="H1045" s="237" t="s">
        <v>13642</v>
      </c>
      <c r="I1045" s="237" t="s">
        <v>13643</v>
      </c>
      <c r="J1045" s="237" t="s">
        <v>5012</v>
      </c>
      <c r="K1045" s="237" t="s">
        <v>10056</v>
      </c>
      <c r="L1045" s="237" t="s">
        <v>8850</v>
      </c>
      <c r="M1045" s="232" t="s">
        <v>9383</v>
      </c>
      <c r="N1045" s="430" t="s">
        <v>17527</v>
      </c>
    </row>
    <row r="1046">
      <c r="A1046" s="427">
        <v>1045.0</v>
      </c>
      <c r="B1046" s="237" t="s">
        <v>8369</v>
      </c>
      <c r="C1046" s="237" t="s">
        <v>6918</v>
      </c>
      <c r="D1046" s="428">
        <v>42760.0</v>
      </c>
      <c r="E1046" s="237" t="s">
        <v>6933</v>
      </c>
      <c r="F1046" s="237" t="s">
        <v>13696</v>
      </c>
      <c r="G1046" s="237" t="s">
        <v>13701</v>
      </c>
      <c r="H1046" s="237" t="s">
        <v>12490</v>
      </c>
      <c r="I1046" s="237" t="s">
        <v>13702</v>
      </c>
      <c r="J1046" s="237" t="s">
        <v>5224</v>
      </c>
      <c r="K1046" s="237" t="s">
        <v>10056</v>
      </c>
      <c r="L1046" s="237" t="s">
        <v>8362</v>
      </c>
      <c r="M1046" s="232" t="s">
        <v>9383</v>
      </c>
      <c r="N1046" s="430" t="s">
        <v>17527</v>
      </c>
    </row>
    <row r="1047">
      <c r="A1047" s="427">
        <v>1046.0</v>
      </c>
      <c r="B1047" s="237" t="s">
        <v>7472</v>
      </c>
      <c r="C1047" s="237" t="s">
        <v>6918</v>
      </c>
      <c r="D1047" s="428">
        <v>42493.0</v>
      </c>
      <c r="E1047" s="237" t="s">
        <v>6921</v>
      </c>
      <c r="F1047" s="237" t="s">
        <v>9740</v>
      </c>
      <c r="G1047" s="237" t="s">
        <v>9809</v>
      </c>
      <c r="H1047" s="237" t="s">
        <v>11574</v>
      </c>
      <c r="I1047" s="237" t="s">
        <v>14581</v>
      </c>
      <c r="J1047" s="237" t="s">
        <v>5224</v>
      </c>
      <c r="K1047" s="237" t="s">
        <v>10056</v>
      </c>
      <c r="L1047" s="237" t="s">
        <v>7459</v>
      </c>
      <c r="M1047" s="232" t="s">
        <v>9383</v>
      </c>
      <c r="N1047" s="430" t="s">
        <v>17527</v>
      </c>
    </row>
    <row r="1048">
      <c r="A1048" s="427">
        <v>1047.0</v>
      </c>
      <c r="B1048" s="237" t="s">
        <v>7789</v>
      </c>
      <c r="C1048" s="237" t="s">
        <v>6918</v>
      </c>
      <c r="D1048" s="428">
        <v>42828.0</v>
      </c>
      <c r="E1048" s="237" t="s">
        <v>6921</v>
      </c>
      <c r="F1048" s="237" t="s">
        <v>14421</v>
      </c>
      <c r="G1048" s="237" t="s">
        <v>14422</v>
      </c>
      <c r="H1048" s="237" t="s">
        <v>10318</v>
      </c>
      <c r="I1048" s="237" t="s">
        <v>14423</v>
      </c>
      <c r="J1048" s="237" t="s">
        <v>5224</v>
      </c>
      <c r="K1048" s="237" t="s">
        <v>10056</v>
      </c>
      <c r="L1048" s="237" t="s">
        <v>5890</v>
      </c>
      <c r="M1048" s="232" t="s">
        <v>9383</v>
      </c>
      <c r="N1048" s="430" t="s">
        <v>17527</v>
      </c>
    </row>
    <row r="1049">
      <c r="A1049" s="427">
        <v>1048.0</v>
      </c>
      <c r="B1049" s="237" t="s">
        <v>8401</v>
      </c>
      <c r="C1049" s="237" t="s">
        <v>6918</v>
      </c>
      <c r="D1049" s="428">
        <v>40252.0</v>
      </c>
      <c r="E1049" s="237" t="s">
        <v>6921</v>
      </c>
      <c r="F1049" s="237" t="s">
        <v>14408</v>
      </c>
      <c r="G1049" s="237" t="s">
        <v>14409</v>
      </c>
      <c r="H1049" s="237" t="s">
        <v>11782</v>
      </c>
      <c r="I1049" s="237" t="s">
        <v>14410</v>
      </c>
      <c r="J1049" s="237" t="s">
        <v>5224</v>
      </c>
      <c r="K1049" s="237" t="s">
        <v>10056</v>
      </c>
      <c r="L1049" s="237" t="s">
        <v>8398</v>
      </c>
      <c r="M1049" s="232" t="s">
        <v>9383</v>
      </c>
      <c r="N1049" s="430" t="s">
        <v>17527</v>
      </c>
    </row>
    <row r="1050">
      <c r="A1050" s="427">
        <v>1049.0</v>
      </c>
      <c r="B1050" s="237" t="s">
        <v>8540</v>
      </c>
      <c r="C1050" s="237" t="s">
        <v>6918</v>
      </c>
      <c r="D1050" s="428">
        <v>42506.0</v>
      </c>
      <c r="E1050" s="237" t="s">
        <v>6921</v>
      </c>
      <c r="F1050" s="237" t="s">
        <v>14527</v>
      </c>
      <c r="G1050" s="237" t="s">
        <v>14528</v>
      </c>
      <c r="H1050" s="237" t="s">
        <v>14529</v>
      </c>
      <c r="I1050" s="237" t="s">
        <v>14530</v>
      </c>
      <c r="J1050" s="237" t="s">
        <v>5224</v>
      </c>
      <c r="K1050" s="237" t="s">
        <v>10056</v>
      </c>
      <c r="L1050" s="237" t="s">
        <v>2081</v>
      </c>
      <c r="M1050" s="232" t="s">
        <v>9383</v>
      </c>
      <c r="N1050" s="430" t="s">
        <v>17527</v>
      </c>
    </row>
    <row r="1051">
      <c r="A1051" s="427">
        <v>1050.0</v>
      </c>
      <c r="B1051" s="237" t="s">
        <v>8571</v>
      </c>
      <c r="C1051" s="237" t="s">
        <v>6918</v>
      </c>
      <c r="D1051" s="428">
        <v>44480.0</v>
      </c>
      <c r="E1051" s="237" t="s">
        <v>6933</v>
      </c>
      <c r="F1051" s="237" t="s">
        <v>14903</v>
      </c>
      <c r="G1051" s="237" t="s">
        <v>14904</v>
      </c>
      <c r="H1051" s="237" t="s">
        <v>9637</v>
      </c>
      <c r="I1051" s="237" t="s">
        <v>14905</v>
      </c>
      <c r="J1051" s="237" t="s">
        <v>5224</v>
      </c>
      <c r="K1051" s="237" t="s">
        <v>10056</v>
      </c>
      <c r="L1051" s="237" t="s">
        <v>2208</v>
      </c>
      <c r="M1051" s="232" t="s">
        <v>9383</v>
      </c>
      <c r="N1051" s="430" t="s">
        <v>17527</v>
      </c>
    </row>
    <row r="1052">
      <c r="A1052" s="427">
        <v>1051.0</v>
      </c>
      <c r="B1052" s="237" t="s">
        <v>7096</v>
      </c>
      <c r="C1052" s="237" t="s">
        <v>6918</v>
      </c>
      <c r="D1052" s="428">
        <v>40315.0</v>
      </c>
      <c r="E1052" s="237" t="s">
        <v>7097</v>
      </c>
      <c r="F1052" s="237" t="s">
        <v>13607</v>
      </c>
      <c r="G1052" s="237" t="s">
        <v>13608</v>
      </c>
      <c r="H1052" s="237" t="s">
        <v>13609</v>
      </c>
      <c r="I1052" s="237" t="s">
        <v>13610</v>
      </c>
      <c r="J1052" s="237" t="s">
        <v>5224</v>
      </c>
      <c r="K1052" s="237" t="s">
        <v>10056</v>
      </c>
      <c r="L1052" s="237" t="s">
        <v>9553</v>
      </c>
      <c r="M1052" s="232" t="s">
        <v>9383</v>
      </c>
      <c r="N1052" s="430" t="s">
        <v>17527</v>
      </c>
    </row>
    <row r="1053">
      <c r="A1053" s="427">
        <v>1052.0</v>
      </c>
      <c r="B1053" s="237" t="s">
        <v>7976</v>
      </c>
      <c r="C1053" s="237" t="s">
        <v>6918</v>
      </c>
      <c r="D1053" s="428">
        <v>41666.0</v>
      </c>
      <c r="E1053" s="237" t="s">
        <v>6921</v>
      </c>
      <c r="F1053" s="237" t="s">
        <v>13849</v>
      </c>
      <c r="G1053" s="237" t="s">
        <v>13850</v>
      </c>
      <c r="H1053" s="237" t="s">
        <v>12030</v>
      </c>
      <c r="I1053" s="237" t="s">
        <v>13851</v>
      </c>
      <c r="J1053" s="237" t="s">
        <v>5224</v>
      </c>
      <c r="K1053" s="237" t="s">
        <v>10056</v>
      </c>
      <c r="L1053" s="237" t="s">
        <v>7626</v>
      </c>
      <c r="M1053" s="232" t="s">
        <v>9383</v>
      </c>
      <c r="N1053" s="430" t="s">
        <v>17527</v>
      </c>
    </row>
    <row r="1054">
      <c r="A1054" s="427">
        <v>1053.0</v>
      </c>
      <c r="B1054" s="237" t="s">
        <v>7708</v>
      </c>
      <c r="C1054" s="237" t="s">
        <v>6918</v>
      </c>
      <c r="D1054" s="428">
        <v>40617.0</v>
      </c>
      <c r="E1054" s="237" t="s">
        <v>6933</v>
      </c>
      <c r="F1054" s="237" t="s">
        <v>15223</v>
      </c>
      <c r="G1054" s="237" t="s">
        <v>15224</v>
      </c>
      <c r="H1054" s="237" t="s">
        <v>10812</v>
      </c>
      <c r="I1054" s="237" t="s">
        <v>15225</v>
      </c>
      <c r="J1054" s="237" t="s">
        <v>5224</v>
      </c>
      <c r="K1054" s="237" t="s">
        <v>10056</v>
      </c>
      <c r="L1054" s="237" t="s">
        <v>2716</v>
      </c>
      <c r="M1054" s="232" t="s">
        <v>9383</v>
      </c>
      <c r="N1054" s="430" t="s">
        <v>17527</v>
      </c>
    </row>
    <row r="1055">
      <c r="A1055" s="427">
        <v>1054.0</v>
      </c>
      <c r="B1055" s="237" t="s">
        <v>7212</v>
      </c>
      <c r="C1055" s="237" t="s">
        <v>6918</v>
      </c>
      <c r="D1055" s="428">
        <v>41031.0</v>
      </c>
      <c r="E1055" s="237" t="s">
        <v>6933</v>
      </c>
      <c r="F1055" s="237" t="s">
        <v>15027</v>
      </c>
      <c r="G1055" s="237" t="s">
        <v>15028</v>
      </c>
      <c r="H1055" s="237" t="s">
        <v>15029</v>
      </c>
      <c r="I1055" s="237" t="s">
        <v>15030</v>
      </c>
      <c r="J1055" s="237" t="s">
        <v>5224</v>
      </c>
      <c r="K1055" s="237" t="s">
        <v>10056</v>
      </c>
      <c r="L1055" s="237" t="s">
        <v>1602</v>
      </c>
      <c r="M1055" s="232" t="s">
        <v>9383</v>
      </c>
      <c r="N1055" s="430" t="s">
        <v>17527</v>
      </c>
    </row>
    <row r="1056">
      <c r="A1056" s="427">
        <v>1055.0</v>
      </c>
      <c r="B1056" s="237" t="s">
        <v>9012</v>
      </c>
      <c r="C1056" s="237" t="s">
        <v>6918</v>
      </c>
      <c r="D1056" s="428">
        <v>43070.0</v>
      </c>
      <c r="E1056" s="237" t="s">
        <v>6933</v>
      </c>
      <c r="F1056" s="237" t="s">
        <v>15406</v>
      </c>
      <c r="G1056" s="237" t="s">
        <v>15407</v>
      </c>
      <c r="H1056" s="237" t="s">
        <v>11289</v>
      </c>
      <c r="I1056" s="237" t="s">
        <v>15408</v>
      </c>
      <c r="J1056" s="237" t="s">
        <v>5224</v>
      </c>
      <c r="K1056" s="237" t="s">
        <v>15409</v>
      </c>
      <c r="L1056" s="237" t="s">
        <v>3041</v>
      </c>
      <c r="M1056" s="232" t="s">
        <v>9383</v>
      </c>
      <c r="N1056" s="430" t="s">
        <v>17527</v>
      </c>
    </row>
    <row r="1057">
      <c r="A1057" s="427">
        <v>1056.0</v>
      </c>
      <c r="B1057" s="237" t="s">
        <v>606</v>
      </c>
      <c r="C1057" s="237" t="s">
        <v>6918</v>
      </c>
      <c r="D1057" s="428">
        <v>44473.0</v>
      </c>
      <c r="E1057" s="237" t="s">
        <v>6933</v>
      </c>
      <c r="F1057" s="237" t="s">
        <v>13409</v>
      </c>
      <c r="G1057" s="237" t="s">
        <v>13410</v>
      </c>
      <c r="H1057" s="237" t="s">
        <v>9669</v>
      </c>
      <c r="I1057" s="237" t="s">
        <v>610</v>
      </c>
      <c r="J1057" s="237" t="s">
        <v>5012</v>
      </c>
      <c r="K1057" s="237" t="s">
        <v>13411</v>
      </c>
      <c r="L1057" s="237" t="s">
        <v>17503</v>
      </c>
      <c r="M1057" s="232" t="s">
        <v>9383</v>
      </c>
      <c r="N1057" s="430" t="s">
        <v>17527</v>
      </c>
    </row>
    <row r="1058">
      <c r="A1058" s="427">
        <v>1057.0</v>
      </c>
      <c r="B1058" s="237" t="s">
        <v>14186</v>
      </c>
      <c r="C1058" s="237" t="s">
        <v>6918</v>
      </c>
      <c r="D1058" s="428">
        <v>42376.0</v>
      </c>
      <c r="E1058" s="237" t="s">
        <v>6933</v>
      </c>
      <c r="F1058" s="237" t="s">
        <v>14184</v>
      </c>
      <c r="G1058" s="237" t="s">
        <v>14188</v>
      </c>
      <c r="H1058" s="237" t="s">
        <v>14184</v>
      </c>
      <c r="I1058" s="237" t="s">
        <v>14189</v>
      </c>
      <c r="J1058" s="237" t="s">
        <v>5012</v>
      </c>
      <c r="K1058" s="237" t="s">
        <v>13411</v>
      </c>
      <c r="L1058" s="237" t="s">
        <v>13020</v>
      </c>
      <c r="M1058" s="232" t="s">
        <v>9383</v>
      </c>
      <c r="N1058" s="430" t="s">
        <v>17527</v>
      </c>
    </row>
    <row r="1059">
      <c r="A1059" s="427">
        <v>1058.0</v>
      </c>
      <c r="B1059" s="237" t="s">
        <v>10082</v>
      </c>
      <c r="C1059" s="237" t="s">
        <v>10040</v>
      </c>
      <c r="D1059" s="428">
        <v>43353.0</v>
      </c>
      <c r="E1059" s="237" t="s">
        <v>6921</v>
      </c>
      <c r="F1059" s="237" t="s">
        <v>10084</v>
      </c>
      <c r="G1059" s="237" t="s">
        <v>10085</v>
      </c>
      <c r="H1059" s="237" t="s">
        <v>10086</v>
      </c>
      <c r="I1059" s="237" t="s">
        <v>10087</v>
      </c>
      <c r="J1059" s="237" t="s">
        <v>5012</v>
      </c>
      <c r="K1059" s="237" t="s">
        <v>10088</v>
      </c>
      <c r="L1059" s="237" t="s">
        <v>2584</v>
      </c>
      <c r="M1059" s="232" t="s">
        <v>9383</v>
      </c>
      <c r="N1059" s="430" t="s">
        <v>17527</v>
      </c>
    </row>
    <row r="1060">
      <c r="A1060" s="427">
        <v>1059.0</v>
      </c>
      <c r="B1060" s="237" t="s">
        <v>4034</v>
      </c>
      <c r="C1060" s="237" t="s">
        <v>1652</v>
      </c>
      <c r="D1060" s="428">
        <v>45597.0</v>
      </c>
      <c r="E1060" s="237" t="s">
        <v>6921</v>
      </c>
      <c r="F1060" s="237" t="s">
        <v>17734</v>
      </c>
      <c r="G1060" s="237" t="s">
        <v>17735</v>
      </c>
      <c r="H1060" s="237" t="s">
        <v>17736</v>
      </c>
      <c r="I1060" s="237" t="s">
        <v>17737</v>
      </c>
      <c r="J1060" s="237" t="s">
        <v>5012</v>
      </c>
      <c r="K1060" s="237" t="s">
        <v>10088</v>
      </c>
      <c r="L1060" s="237" t="s">
        <v>3773</v>
      </c>
      <c r="M1060" s="232" t="s">
        <v>9383</v>
      </c>
      <c r="N1060" s="430" t="s">
        <v>17527</v>
      </c>
    </row>
    <row r="1061">
      <c r="A1061" s="427">
        <v>1060.0</v>
      </c>
      <c r="B1061" s="237" t="s">
        <v>287</v>
      </c>
      <c r="C1061" s="237" t="s">
        <v>1652</v>
      </c>
      <c r="D1061" s="428">
        <v>45748.0</v>
      </c>
      <c r="E1061" s="237" t="s">
        <v>6933</v>
      </c>
      <c r="F1061" s="237" t="s">
        <v>12561</v>
      </c>
      <c r="G1061" s="237" t="s">
        <v>12562</v>
      </c>
      <c r="H1061" s="237" t="s">
        <v>12563</v>
      </c>
      <c r="I1061" s="237" t="s">
        <v>17738</v>
      </c>
      <c r="J1061" s="237" t="s">
        <v>5012</v>
      </c>
      <c r="K1061" s="237" t="s">
        <v>10088</v>
      </c>
      <c r="L1061" s="237" t="s">
        <v>12557</v>
      </c>
      <c r="M1061" s="232" t="s">
        <v>9391</v>
      </c>
      <c r="N1061" s="430" t="s">
        <v>17527</v>
      </c>
    </row>
    <row r="1062">
      <c r="A1062" s="427">
        <v>1061.0</v>
      </c>
      <c r="B1062" s="237" t="s">
        <v>3842</v>
      </c>
      <c r="C1062" s="237" t="s">
        <v>1652</v>
      </c>
      <c r="D1062" s="428">
        <v>45748.0</v>
      </c>
      <c r="E1062" s="237" t="s">
        <v>6921</v>
      </c>
      <c r="F1062" s="237" t="s">
        <v>17739</v>
      </c>
      <c r="G1062" s="237" t="s">
        <v>17740</v>
      </c>
      <c r="H1062" s="237" t="s">
        <v>17741</v>
      </c>
      <c r="I1062" s="237" t="s">
        <v>17742</v>
      </c>
      <c r="J1062" s="237" t="s">
        <v>5012</v>
      </c>
      <c r="K1062" s="237" t="s">
        <v>10088</v>
      </c>
      <c r="L1062" s="237" t="s">
        <v>12557</v>
      </c>
      <c r="M1062" s="232" t="s">
        <v>9391</v>
      </c>
      <c r="N1062" s="430" t="s">
        <v>17527</v>
      </c>
    </row>
    <row r="1063">
      <c r="A1063" s="427">
        <v>1062.0</v>
      </c>
      <c r="B1063" s="237" t="s">
        <v>6649</v>
      </c>
      <c r="C1063" s="237" t="s">
        <v>1652</v>
      </c>
      <c r="D1063" s="428">
        <v>45231.0</v>
      </c>
      <c r="E1063" s="237" t="s">
        <v>6933</v>
      </c>
      <c r="F1063" s="237" t="s">
        <v>17743</v>
      </c>
      <c r="G1063" s="237" t="s">
        <v>17744</v>
      </c>
      <c r="H1063" s="237" t="s">
        <v>10644</v>
      </c>
      <c r="I1063" s="237" t="s">
        <v>6650</v>
      </c>
      <c r="J1063" s="237" t="s">
        <v>5012</v>
      </c>
      <c r="K1063" s="237" t="s">
        <v>10088</v>
      </c>
      <c r="L1063" s="237" t="s">
        <v>3773</v>
      </c>
      <c r="M1063" s="232" t="s">
        <v>9383</v>
      </c>
      <c r="N1063" s="430" t="s">
        <v>17527</v>
      </c>
    </row>
    <row r="1064">
      <c r="A1064" s="427">
        <v>1063.0</v>
      </c>
      <c r="B1064" s="237" t="s">
        <v>12538</v>
      </c>
      <c r="C1064" s="237" t="s">
        <v>1652</v>
      </c>
      <c r="D1064" s="428">
        <v>45338.0</v>
      </c>
      <c r="E1064" s="237" t="s">
        <v>6921</v>
      </c>
      <c r="F1064" s="237" t="s">
        <v>12540</v>
      </c>
      <c r="G1064" s="237" t="s">
        <v>12541</v>
      </c>
      <c r="H1064" s="237" t="s">
        <v>9669</v>
      </c>
      <c r="I1064" s="237" t="s">
        <v>12542</v>
      </c>
      <c r="J1064" s="237" t="s">
        <v>5012</v>
      </c>
      <c r="K1064" s="237" t="s">
        <v>10088</v>
      </c>
      <c r="L1064" s="237" t="s">
        <v>3773</v>
      </c>
      <c r="M1064" s="232" t="s">
        <v>9383</v>
      </c>
      <c r="N1064" s="430" t="s">
        <v>17527</v>
      </c>
    </row>
    <row r="1065">
      <c r="A1065" s="427">
        <v>1064.0</v>
      </c>
      <c r="B1065" s="237" t="s">
        <v>3583</v>
      </c>
      <c r="C1065" s="237" t="s">
        <v>1652</v>
      </c>
      <c r="D1065" s="428">
        <v>45383.0</v>
      </c>
      <c r="E1065" s="237" t="s">
        <v>6933</v>
      </c>
      <c r="F1065" s="237" t="s">
        <v>11772</v>
      </c>
      <c r="G1065" s="237" t="s">
        <v>17745</v>
      </c>
      <c r="H1065" s="237" t="s">
        <v>10952</v>
      </c>
      <c r="I1065" s="237" t="s">
        <v>6583</v>
      </c>
      <c r="J1065" s="237" t="s">
        <v>5012</v>
      </c>
      <c r="K1065" s="237" t="s">
        <v>10088</v>
      </c>
      <c r="L1065" s="237" t="s">
        <v>3773</v>
      </c>
      <c r="M1065" s="232" t="s">
        <v>9383</v>
      </c>
      <c r="N1065" s="430" t="s">
        <v>17527</v>
      </c>
    </row>
    <row r="1066">
      <c r="A1066" s="427">
        <v>1065.0</v>
      </c>
      <c r="B1066" s="237" t="s">
        <v>9807</v>
      </c>
      <c r="C1066" s="237" t="s">
        <v>8796</v>
      </c>
      <c r="D1066" s="428">
        <v>45215.0</v>
      </c>
      <c r="E1066" s="237" t="s">
        <v>6933</v>
      </c>
      <c r="F1066" s="237" t="s">
        <v>9808</v>
      </c>
      <c r="G1066" s="237" t="s">
        <v>9809</v>
      </c>
      <c r="H1066" s="237" t="s">
        <v>9810</v>
      </c>
      <c r="I1066" s="237" t="s">
        <v>9811</v>
      </c>
      <c r="J1066" s="237" t="s">
        <v>5012</v>
      </c>
      <c r="K1066" s="237" t="s">
        <v>9703</v>
      </c>
      <c r="L1066" s="237" t="s">
        <v>8991</v>
      </c>
      <c r="M1066" s="232" t="s">
        <v>9383</v>
      </c>
      <c r="N1066" s="430" t="s">
        <v>17527</v>
      </c>
    </row>
    <row r="1067">
      <c r="A1067" s="427">
        <v>1066.0</v>
      </c>
      <c r="B1067" s="237" t="s">
        <v>9722</v>
      </c>
      <c r="C1067" s="237" t="s">
        <v>8796</v>
      </c>
      <c r="D1067" s="428">
        <v>44228.0</v>
      </c>
      <c r="E1067" s="237" t="s">
        <v>6921</v>
      </c>
      <c r="F1067" s="237" t="s">
        <v>9724</v>
      </c>
      <c r="G1067" s="237" t="s">
        <v>9725</v>
      </c>
      <c r="H1067" s="237" t="s">
        <v>9726</v>
      </c>
      <c r="I1067" s="237" t="s">
        <v>9727</v>
      </c>
      <c r="J1067" s="237" t="s">
        <v>5012</v>
      </c>
      <c r="K1067" s="237" t="s">
        <v>9703</v>
      </c>
      <c r="L1067" s="237" t="s">
        <v>17363</v>
      </c>
      <c r="M1067" s="232" t="s">
        <v>9383</v>
      </c>
      <c r="N1067" s="430" t="s">
        <v>17527</v>
      </c>
    </row>
    <row r="1068">
      <c r="A1068" s="427">
        <v>1067.0</v>
      </c>
      <c r="B1068" s="237" t="s">
        <v>15782</v>
      </c>
      <c r="C1068" s="237" t="s">
        <v>6918</v>
      </c>
      <c r="D1068" s="428">
        <v>44287.0</v>
      </c>
      <c r="E1068" s="237" t="s">
        <v>6933</v>
      </c>
      <c r="F1068" s="237" t="s">
        <v>15783</v>
      </c>
      <c r="G1068" s="237" t="s">
        <v>15784</v>
      </c>
      <c r="H1068" s="237" t="s">
        <v>15686</v>
      </c>
      <c r="I1068" s="237" t="s">
        <v>15785</v>
      </c>
      <c r="J1068" s="237" t="s">
        <v>5012</v>
      </c>
      <c r="K1068" s="237" t="s">
        <v>9703</v>
      </c>
      <c r="L1068" s="237" t="s">
        <v>17366</v>
      </c>
      <c r="M1068" s="232" t="s">
        <v>9383</v>
      </c>
      <c r="N1068" s="430" t="s">
        <v>17527</v>
      </c>
    </row>
    <row r="1069">
      <c r="A1069" s="427">
        <v>1068.0</v>
      </c>
      <c r="B1069" s="237" t="s">
        <v>15928</v>
      </c>
      <c r="C1069" s="237" t="s">
        <v>6918</v>
      </c>
      <c r="D1069" s="428">
        <v>45733.0</v>
      </c>
      <c r="E1069" s="237" t="s">
        <v>6921</v>
      </c>
      <c r="F1069" s="237" t="s">
        <v>15929</v>
      </c>
      <c r="G1069" s="237" t="s">
        <v>15930</v>
      </c>
      <c r="H1069" s="237" t="s">
        <v>13419</v>
      </c>
      <c r="I1069" s="237" t="s">
        <v>15931</v>
      </c>
      <c r="J1069" s="237" t="s">
        <v>5012</v>
      </c>
      <c r="K1069" s="237" t="s">
        <v>9703</v>
      </c>
      <c r="L1069" s="237" t="s">
        <v>17370</v>
      </c>
      <c r="M1069" s="232" t="s">
        <v>9391</v>
      </c>
      <c r="N1069" s="430" t="s">
        <v>17527</v>
      </c>
    </row>
    <row r="1070">
      <c r="A1070" s="427">
        <v>1069.0</v>
      </c>
      <c r="B1070" s="237" t="s">
        <v>3573</v>
      </c>
      <c r="C1070" s="237" t="s">
        <v>6918</v>
      </c>
      <c r="D1070" s="428">
        <v>45719.0</v>
      </c>
      <c r="E1070" s="237" t="s">
        <v>6921</v>
      </c>
      <c r="F1070" s="237" t="s">
        <v>17746</v>
      </c>
      <c r="G1070" s="237" t="s">
        <v>17747</v>
      </c>
      <c r="H1070" s="237" t="s">
        <v>17748</v>
      </c>
      <c r="I1070" s="237" t="s">
        <v>6575</v>
      </c>
      <c r="J1070" s="237" t="s">
        <v>5012</v>
      </c>
      <c r="K1070" s="237" t="s">
        <v>9703</v>
      </c>
      <c r="L1070" s="237" t="s">
        <v>17368</v>
      </c>
      <c r="M1070" s="232" t="s">
        <v>9391</v>
      </c>
      <c r="N1070" s="430" t="s">
        <v>17527</v>
      </c>
    </row>
    <row r="1071">
      <c r="A1071" s="427">
        <v>1070.0</v>
      </c>
      <c r="B1071" s="237" t="s">
        <v>4039</v>
      </c>
      <c r="C1071" s="237" t="s">
        <v>6918</v>
      </c>
      <c r="D1071" s="428">
        <v>45642.0</v>
      </c>
      <c r="E1071" s="237" t="s">
        <v>6921</v>
      </c>
      <c r="F1071" s="237" t="s">
        <v>12983</v>
      </c>
      <c r="G1071" s="237" t="s">
        <v>17749</v>
      </c>
      <c r="H1071" s="237" t="s">
        <v>17736</v>
      </c>
      <c r="I1071" s="237" t="s">
        <v>6745</v>
      </c>
      <c r="J1071" s="237" t="s">
        <v>5012</v>
      </c>
      <c r="K1071" s="237" t="s">
        <v>9703</v>
      </c>
      <c r="L1071" s="237" t="s">
        <v>17373</v>
      </c>
      <c r="M1071" s="232" t="s">
        <v>9383</v>
      </c>
      <c r="N1071" s="430" t="s">
        <v>17527</v>
      </c>
    </row>
    <row r="1072">
      <c r="A1072" s="427">
        <v>1071.0</v>
      </c>
      <c r="B1072" s="237" t="s">
        <v>14280</v>
      </c>
      <c r="C1072" s="237" t="s">
        <v>6918</v>
      </c>
      <c r="D1072" s="428">
        <v>44669.0</v>
      </c>
      <c r="E1072" s="237" t="s">
        <v>6921</v>
      </c>
      <c r="F1072" s="237" t="s">
        <v>14281</v>
      </c>
      <c r="G1072" s="237" t="s">
        <v>14282</v>
      </c>
      <c r="H1072" s="237" t="s">
        <v>14283</v>
      </c>
      <c r="I1072" s="237" t="s">
        <v>14284</v>
      </c>
      <c r="J1072" s="237" t="s">
        <v>5012</v>
      </c>
      <c r="K1072" s="237" t="s">
        <v>9703</v>
      </c>
      <c r="L1072" s="237" t="s">
        <v>17466</v>
      </c>
      <c r="M1072" s="232" t="s">
        <v>9383</v>
      </c>
      <c r="N1072" s="430" t="s">
        <v>17527</v>
      </c>
    </row>
    <row r="1073">
      <c r="A1073" s="427">
        <v>1072.0</v>
      </c>
      <c r="B1073" s="237" t="s">
        <v>953</v>
      </c>
      <c r="C1073" s="237" t="s">
        <v>6918</v>
      </c>
      <c r="D1073" s="428">
        <v>45250.0</v>
      </c>
      <c r="E1073" s="237" t="s">
        <v>6921</v>
      </c>
      <c r="F1073" s="237" t="s">
        <v>13539</v>
      </c>
      <c r="G1073" s="237" t="s">
        <v>13540</v>
      </c>
      <c r="H1073" s="237" t="s">
        <v>13541</v>
      </c>
      <c r="I1073" s="237" t="s">
        <v>956</v>
      </c>
      <c r="J1073" s="237" t="s">
        <v>5012</v>
      </c>
      <c r="K1073" s="237" t="s">
        <v>9703</v>
      </c>
      <c r="L1073" s="237" t="s">
        <v>17472</v>
      </c>
      <c r="M1073" s="232" t="s">
        <v>9383</v>
      </c>
      <c r="N1073" s="430" t="s">
        <v>17527</v>
      </c>
    </row>
    <row r="1074">
      <c r="A1074" s="427">
        <v>1073.0</v>
      </c>
      <c r="B1074" s="237" t="s">
        <v>4375</v>
      </c>
      <c r="C1074" s="237" t="s">
        <v>6918</v>
      </c>
      <c r="D1074" s="428">
        <v>45414.0</v>
      </c>
      <c r="E1074" s="237" t="s">
        <v>6921</v>
      </c>
      <c r="F1074" s="237" t="s">
        <v>17750</v>
      </c>
      <c r="G1074" s="237" t="s">
        <v>17751</v>
      </c>
      <c r="H1074" s="237" t="s">
        <v>11842</v>
      </c>
      <c r="I1074" s="237" t="s">
        <v>6842</v>
      </c>
      <c r="J1074" s="237" t="s">
        <v>5012</v>
      </c>
      <c r="K1074" s="237" t="s">
        <v>9703</v>
      </c>
      <c r="L1074" s="237" t="s">
        <v>17371</v>
      </c>
      <c r="M1074" s="232" t="s">
        <v>9383</v>
      </c>
      <c r="N1074" s="430" t="s">
        <v>17527</v>
      </c>
    </row>
    <row r="1075">
      <c r="A1075" s="427">
        <v>1074.0</v>
      </c>
      <c r="B1075" s="237" t="s">
        <v>15175</v>
      </c>
      <c r="C1075" s="237" t="s">
        <v>6918</v>
      </c>
      <c r="D1075" s="428">
        <v>44200.0</v>
      </c>
      <c r="E1075" s="237" t="s">
        <v>6921</v>
      </c>
      <c r="F1075" s="237" t="s">
        <v>15176</v>
      </c>
      <c r="G1075" s="237" t="s">
        <v>15177</v>
      </c>
      <c r="H1075" s="237" t="s">
        <v>10817</v>
      </c>
      <c r="I1075" s="237" t="s">
        <v>15178</v>
      </c>
      <c r="J1075" s="237" t="s">
        <v>5012</v>
      </c>
      <c r="K1075" s="237" t="s">
        <v>9703</v>
      </c>
      <c r="L1075" s="237" t="s">
        <v>17493</v>
      </c>
      <c r="M1075" s="232" t="s">
        <v>9383</v>
      </c>
      <c r="N1075" s="430" t="s">
        <v>17527</v>
      </c>
    </row>
    <row r="1076">
      <c r="A1076" s="427">
        <v>1075.0</v>
      </c>
      <c r="B1076" s="237" t="s">
        <v>3387</v>
      </c>
      <c r="C1076" s="237" t="s">
        <v>6918</v>
      </c>
      <c r="D1076" s="428">
        <v>45033.0</v>
      </c>
      <c r="E1076" s="237" t="s">
        <v>6933</v>
      </c>
      <c r="F1076" s="237" t="s">
        <v>15827</v>
      </c>
      <c r="G1076" s="237" t="s">
        <v>17752</v>
      </c>
      <c r="H1076" s="237" t="s">
        <v>17753</v>
      </c>
      <c r="I1076" s="237" t="s">
        <v>6482</v>
      </c>
      <c r="J1076" s="237" t="s">
        <v>5012</v>
      </c>
      <c r="K1076" s="237" t="s">
        <v>17754</v>
      </c>
      <c r="L1076" s="237" t="s">
        <v>17422</v>
      </c>
      <c r="M1076" s="232" t="s">
        <v>9383</v>
      </c>
      <c r="N1076" s="430" t="s">
        <v>17527</v>
      </c>
    </row>
    <row r="1077">
      <c r="A1077" s="427">
        <v>1076.0</v>
      </c>
      <c r="B1077" s="237" t="s">
        <v>6545</v>
      </c>
      <c r="C1077" s="237" t="s">
        <v>8796</v>
      </c>
      <c r="D1077" s="428">
        <v>44928.0</v>
      </c>
      <c r="E1077" s="237" t="s">
        <v>6933</v>
      </c>
      <c r="F1077" s="237" t="s">
        <v>11931</v>
      </c>
      <c r="G1077" s="237" t="s">
        <v>17755</v>
      </c>
      <c r="H1077" s="237" t="s">
        <v>12362</v>
      </c>
      <c r="I1077" s="237" t="s">
        <v>6548</v>
      </c>
      <c r="J1077" s="237" t="s">
        <v>5012</v>
      </c>
      <c r="K1077" s="237" t="s">
        <v>17756</v>
      </c>
      <c r="L1077" s="237" t="s">
        <v>17395</v>
      </c>
      <c r="M1077" s="232" t="s">
        <v>9383</v>
      </c>
      <c r="N1077" s="430" t="s">
        <v>17527</v>
      </c>
    </row>
    <row r="1078">
      <c r="A1078" s="427">
        <v>1077.0</v>
      </c>
      <c r="B1078" s="237" t="s">
        <v>17757</v>
      </c>
      <c r="C1078" s="237" t="s">
        <v>6918</v>
      </c>
      <c r="D1078" s="428">
        <v>44734.0</v>
      </c>
      <c r="E1078" s="237" t="s">
        <v>6933</v>
      </c>
      <c r="F1078" s="237" t="s">
        <v>12502</v>
      </c>
      <c r="G1078" s="237" t="s">
        <v>16461</v>
      </c>
      <c r="H1078" s="237" t="s">
        <v>12504</v>
      </c>
      <c r="I1078" s="237" t="s">
        <v>16462</v>
      </c>
      <c r="J1078" s="237" t="s">
        <v>5012</v>
      </c>
      <c r="K1078" s="237" t="s">
        <v>17756</v>
      </c>
      <c r="L1078" s="237" t="s">
        <v>5932</v>
      </c>
      <c r="M1078" s="232" t="s">
        <v>9383</v>
      </c>
      <c r="N1078" s="430" t="s">
        <v>17527</v>
      </c>
    </row>
    <row r="1079">
      <c r="A1079" s="431">
        <v>1078.0</v>
      </c>
      <c r="B1079" s="432" t="s">
        <v>7421</v>
      </c>
      <c r="C1079" s="432" t="s">
        <v>6918</v>
      </c>
      <c r="D1079" s="433">
        <v>42018.0</v>
      </c>
      <c r="E1079" s="432" t="s">
        <v>6921</v>
      </c>
      <c r="F1079" s="432" t="s">
        <v>11673</v>
      </c>
      <c r="G1079" s="432" t="s">
        <v>15162</v>
      </c>
      <c r="H1079" s="432" t="s">
        <v>9789</v>
      </c>
      <c r="I1079" s="432" t="s">
        <v>15163</v>
      </c>
      <c r="J1079" s="432" t="s">
        <v>5224</v>
      </c>
      <c r="K1079" s="432" t="s">
        <v>15164</v>
      </c>
      <c r="L1079" s="432" t="s">
        <v>7418</v>
      </c>
      <c r="M1079" s="434" t="s">
        <v>9383</v>
      </c>
      <c r="N1079" s="435" t="s">
        <v>17527</v>
      </c>
    </row>
    <row r="1080">
      <c r="A1080" s="232"/>
      <c r="B1080" s="237"/>
      <c r="C1080" s="237"/>
      <c r="D1080" s="428"/>
      <c r="E1080" s="237"/>
      <c r="F1080" s="237"/>
      <c r="G1080" s="237"/>
      <c r="H1080" s="237"/>
      <c r="I1080" s="237"/>
      <c r="J1080" s="237"/>
      <c r="K1080" s="237"/>
      <c r="L1080" s="237"/>
      <c r="M1080" s="232"/>
      <c r="N1080" s="436"/>
    </row>
    <row r="1081">
      <c r="A1081" s="232"/>
      <c r="B1081" s="237"/>
      <c r="C1081" s="237"/>
      <c r="D1081" s="428"/>
      <c r="E1081" s="237"/>
      <c r="F1081" s="237"/>
      <c r="G1081" s="237"/>
      <c r="H1081" s="237"/>
      <c r="I1081" s="237"/>
      <c r="J1081" s="237"/>
      <c r="K1081" s="237"/>
      <c r="L1081" s="237"/>
      <c r="M1081" s="232"/>
      <c r="N1081" s="436"/>
    </row>
    <row r="1082">
      <c r="A1082" s="232"/>
      <c r="B1082" s="237"/>
      <c r="C1082" s="237"/>
      <c r="D1082" s="428"/>
      <c r="E1082" s="237"/>
      <c r="F1082" s="237"/>
      <c r="G1082" s="237"/>
      <c r="H1082" s="237"/>
      <c r="I1082" s="237"/>
      <c r="J1082" s="237"/>
      <c r="K1082" s="237"/>
      <c r="L1082" s="237"/>
      <c r="M1082" s="232"/>
      <c r="N1082" s="436"/>
    </row>
    <row r="1083">
      <c r="A1083" s="232"/>
      <c r="B1083" s="237"/>
      <c r="C1083" s="237"/>
      <c r="D1083" s="428"/>
      <c r="E1083" s="237"/>
      <c r="F1083" s="237"/>
      <c r="G1083" s="237"/>
      <c r="H1083" s="237"/>
      <c r="I1083" s="237"/>
      <c r="J1083" s="237"/>
      <c r="K1083" s="237"/>
      <c r="L1083" s="237"/>
      <c r="M1083" s="232"/>
      <c r="N1083" s="43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9.88"/>
    <col customWidth="1" min="3" max="3" width="20.0"/>
    <col customWidth="1" min="4" max="4" width="33.63"/>
    <col customWidth="1" min="7" max="7" width="94.88"/>
  </cols>
  <sheetData>
    <row r="1">
      <c r="A1" s="437" t="s">
        <v>16515</v>
      </c>
      <c r="B1" s="437" t="s">
        <v>16516</v>
      </c>
      <c r="C1" s="437" t="s">
        <v>17758</v>
      </c>
      <c r="D1" s="437" t="s">
        <v>6993</v>
      </c>
      <c r="E1" s="437" t="s">
        <v>17759</v>
      </c>
      <c r="F1" s="437" t="s">
        <v>17760</v>
      </c>
      <c r="G1" s="437" t="s">
        <v>4509</v>
      </c>
    </row>
    <row r="2">
      <c r="A2" s="437" t="s">
        <v>13012</v>
      </c>
      <c r="B2" s="437" t="s">
        <v>13013</v>
      </c>
      <c r="C2" s="437" t="s">
        <v>17255</v>
      </c>
      <c r="D2" s="437" t="s">
        <v>7357</v>
      </c>
      <c r="E2" s="437" t="s">
        <v>17761</v>
      </c>
      <c r="F2" s="437" t="s">
        <v>17762</v>
      </c>
      <c r="G2" s="437" t="s">
        <v>17499</v>
      </c>
    </row>
    <row r="3">
      <c r="A3" s="437" t="s">
        <v>17763</v>
      </c>
      <c r="B3" s="437"/>
      <c r="C3" s="437" t="s">
        <v>8441</v>
      </c>
      <c r="D3" s="437" t="s">
        <v>7005</v>
      </c>
      <c r="E3" s="438">
        <v>45236.0</v>
      </c>
      <c r="F3" s="439">
        <v>45973.0</v>
      </c>
      <c r="G3" s="437" t="s">
        <v>17764</v>
      </c>
    </row>
    <row r="4">
      <c r="A4" s="437" t="s">
        <v>13294</v>
      </c>
      <c r="B4" s="437" t="s">
        <v>13295</v>
      </c>
      <c r="C4" s="437" t="s">
        <v>17765</v>
      </c>
      <c r="D4" s="437" t="s">
        <v>9562</v>
      </c>
      <c r="E4" s="437" t="s">
        <v>17766</v>
      </c>
      <c r="F4" s="437" t="s">
        <v>17767</v>
      </c>
      <c r="G4" s="437" t="s">
        <v>13682</v>
      </c>
    </row>
    <row r="5">
      <c r="A5" s="437" t="s">
        <v>9548</v>
      </c>
      <c r="B5" s="437" t="s">
        <v>9549</v>
      </c>
      <c r="C5" s="437" t="s">
        <v>17768</v>
      </c>
      <c r="D5" s="437" t="s">
        <v>7048</v>
      </c>
      <c r="E5" s="437" t="s">
        <v>17769</v>
      </c>
      <c r="F5" s="437" t="s">
        <v>17770</v>
      </c>
      <c r="G5" s="437" t="s">
        <v>1349</v>
      </c>
    </row>
    <row r="6">
      <c r="A6" s="437" t="s">
        <v>16517</v>
      </c>
      <c r="B6" s="437" t="s">
        <v>16518</v>
      </c>
      <c r="C6" s="437" t="s">
        <v>17771</v>
      </c>
      <c r="D6" s="437" t="s">
        <v>7048</v>
      </c>
      <c r="E6" s="437" t="s">
        <v>17772</v>
      </c>
      <c r="F6" s="437" t="s">
        <v>17773</v>
      </c>
      <c r="G6" s="437" t="s">
        <v>4509</v>
      </c>
    </row>
    <row r="7">
      <c r="A7" s="437" t="s">
        <v>16517</v>
      </c>
      <c r="B7" s="437" t="s">
        <v>16518</v>
      </c>
      <c r="C7" s="437" t="s">
        <v>17774</v>
      </c>
      <c r="D7" s="437" t="s">
        <v>7048</v>
      </c>
      <c r="E7" s="437" t="s">
        <v>17772</v>
      </c>
      <c r="F7" s="437" t="s">
        <v>17773</v>
      </c>
      <c r="G7" s="437" t="s">
        <v>4509</v>
      </c>
    </row>
    <row r="8">
      <c r="A8" s="437" t="s">
        <v>16517</v>
      </c>
      <c r="B8" s="437" t="s">
        <v>16518</v>
      </c>
      <c r="C8" s="437" t="s">
        <v>17775</v>
      </c>
      <c r="D8" s="437" t="s">
        <v>7048</v>
      </c>
      <c r="E8" s="437" t="s">
        <v>17772</v>
      </c>
      <c r="F8" s="437" t="s">
        <v>17773</v>
      </c>
      <c r="G8" s="437" t="s">
        <v>4509</v>
      </c>
    </row>
    <row r="9">
      <c r="A9" s="437" t="s">
        <v>16517</v>
      </c>
      <c r="B9" s="437" t="s">
        <v>16518</v>
      </c>
      <c r="C9" s="437" t="s">
        <v>17776</v>
      </c>
      <c r="D9" s="437" t="s">
        <v>7048</v>
      </c>
      <c r="E9" s="437" t="s">
        <v>17772</v>
      </c>
      <c r="F9" s="437" t="s">
        <v>17773</v>
      </c>
      <c r="G9" s="437" t="s">
        <v>4509</v>
      </c>
    </row>
    <row r="10">
      <c r="A10" s="437" t="s">
        <v>16517</v>
      </c>
      <c r="B10" s="437" t="s">
        <v>16518</v>
      </c>
      <c r="C10" s="437" t="s">
        <v>17777</v>
      </c>
      <c r="D10" s="437" t="s">
        <v>7048</v>
      </c>
      <c r="E10" s="437" t="s">
        <v>17772</v>
      </c>
      <c r="F10" s="437" t="s">
        <v>17773</v>
      </c>
      <c r="G10" s="437" t="s">
        <v>4509</v>
      </c>
    </row>
    <row r="11">
      <c r="A11" s="437" t="s">
        <v>16517</v>
      </c>
      <c r="B11" s="437" t="s">
        <v>16518</v>
      </c>
      <c r="C11" s="437" t="s">
        <v>17778</v>
      </c>
      <c r="D11" s="437" t="s">
        <v>7048</v>
      </c>
      <c r="E11" s="437" t="s">
        <v>17772</v>
      </c>
      <c r="F11" s="437" t="s">
        <v>17773</v>
      </c>
      <c r="G11" s="437" t="s">
        <v>4509</v>
      </c>
    </row>
    <row r="12">
      <c r="A12" s="437" t="s">
        <v>16517</v>
      </c>
      <c r="B12" s="437" t="s">
        <v>16518</v>
      </c>
      <c r="C12" s="437" t="s">
        <v>17779</v>
      </c>
      <c r="D12" s="437" t="s">
        <v>7048</v>
      </c>
      <c r="E12" s="437" t="s">
        <v>17772</v>
      </c>
      <c r="F12" s="437" t="s">
        <v>17773</v>
      </c>
      <c r="G12" s="437" t="s">
        <v>4509</v>
      </c>
    </row>
    <row r="13">
      <c r="A13" s="437" t="s">
        <v>14318</v>
      </c>
      <c r="B13" s="437" t="s">
        <v>14319</v>
      </c>
      <c r="C13" s="437" t="s">
        <v>17780</v>
      </c>
      <c r="D13" s="437" t="s">
        <v>9562</v>
      </c>
      <c r="E13" s="437" t="s">
        <v>17759</v>
      </c>
      <c r="F13" s="437" t="s">
        <v>17760</v>
      </c>
      <c r="G13" s="437" t="s">
        <v>13682</v>
      </c>
    </row>
    <row r="14">
      <c r="A14" s="437" t="s">
        <v>9400</v>
      </c>
      <c r="B14" s="437" t="s">
        <v>9401</v>
      </c>
      <c r="C14" s="437" t="s">
        <v>8947</v>
      </c>
      <c r="D14" s="437" t="s">
        <v>6993</v>
      </c>
      <c r="E14" s="437" t="s">
        <v>17781</v>
      </c>
      <c r="F14" s="437" t="s">
        <v>17782</v>
      </c>
      <c r="G14" s="437" t="s">
        <v>17783</v>
      </c>
    </row>
    <row r="15">
      <c r="A15" s="437" t="s">
        <v>14578</v>
      </c>
      <c r="B15" s="437" t="s">
        <v>14579</v>
      </c>
      <c r="C15" s="437" t="s">
        <v>17784</v>
      </c>
      <c r="D15" s="437" t="s">
        <v>7048</v>
      </c>
      <c r="E15" s="437" t="s">
        <v>17769</v>
      </c>
      <c r="F15" s="437" t="s">
        <v>17770</v>
      </c>
      <c r="G15" s="437" t="s">
        <v>9459</v>
      </c>
    </row>
    <row r="16">
      <c r="A16" s="437" t="s">
        <v>13315</v>
      </c>
      <c r="B16" s="437" t="s">
        <v>13316</v>
      </c>
      <c r="C16" s="437" t="s">
        <v>17785</v>
      </c>
      <c r="D16" s="437" t="s">
        <v>9562</v>
      </c>
      <c r="E16" s="437" t="s">
        <v>17766</v>
      </c>
      <c r="F16" s="437" t="s">
        <v>17767</v>
      </c>
      <c r="G16" s="437" t="s">
        <v>4978</v>
      </c>
    </row>
    <row r="17">
      <c r="A17" s="437" t="s">
        <v>15929</v>
      </c>
      <c r="B17" s="437" t="s">
        <v>15930</v>
      </c>
      <c r="C17" s="437" t="s">
        <v>17786</v>
      </c>
      <c r="D17" s="437" t="s">
        <v>9562</v>
      </c>
      <c r="E17" s="437" t="s">
        <v>17766</v>
      </c>
      <c r="F17" s="437" t="s">
        <v>17767</v>
      </c>
      <c r="G17" s="437" t="s">
        <v>4978</v>
      </c>
    </row>
    <row r="18">
      <c r="A18" s="437" t="s">
        <v>17763</v>
      </c>
      <c r="B18" s="437"/>
      <c r="C18" s="437" t="s">
        <v>17787</v>
      </c>
      <c r="D18" s="437" t="s">
        <v>7005</v>
      </c>
      <c r="E18" s="438">
        <v>45236.0</v>
      </c>
      <c r="F18" s="439">
        <v>45972.0</v>
      </c>
      <c r="G18" s="437" t="s">
        <v>17764</v>
      </c>
    </row>
    <row r="19">
      <c r="A19" s="437" t="s">
        <v>13201</v>
      </c>
      <c r="B19" s="437" t="s">
        <v>13202</v>
      </c>
      <c r="C19" s="437" t="s">
        <v>8981</v>
      </c>
      <c r="D19" s="437" t="s">
        <v>7005</v>
      </c>
      <c r="E19" s="437" t="s">
        <v>17788</v>
      </c>
      <c r="F19" s="437" t="s">
        <v>17789</v>
      </c>
      <c r="G19" s="437" t="s">
        <v>9459</v>
      </c>
    </row>
    <row r="20">
      <c r="A20" s="437" t="s">
        <v>9707</v>
      </c>
      <c r="B20" s="437" t="s">
        <v>9708</v>
      </c>
      <c r="C20" s="437" t="s">
        <v>17790</v>
      </c>
      <c r="D20" s="437" t="s">
        <v>9562</v>
      </c>
      <c r="E20" s="437" t="s">
        <v>17766</v>
      </c>
      <c r="F20" s="437" t="s">
        <v>17767</v>
      </c>
      <c r="G20" s="437" t="s">
        <v>2320</v>
      </c>
    </row>
    <row r="21">
      <c r="A21" s="437" t="s">
        <v>10013</v>
      </c>
      <c r="B21" s="437" t="s">
        <v>10014</v>
      </c>
      <c r="C21" s="437" t="s">
        <v>17791</v>
      </c>
      <c r="D21" s="437" t="s">
        <v>9562</v>
      </c>
      <c r="E21" s="437" t="s">
        <v>17766</v>
      </c>
      <c r="F21" s="437" t="s">
        <v>17767</v>
      </c>
      <c r="G21" s="437" t="s">
        <v>2320</v>
      </c>
    </row>
    <row r="22">
      <c r="A22" s="437" t="s">
        <v>10587</v>
      </c>
      <c r="B22" s="437" t="s">
        <v>13636</v>
      </c>
      <c r="C22" s="437" t="s">
        <v>17792</v>
      </c>
      <c r="D22" s="437" t="s">
        <v>9562</v>
      </c>
      <c r="E22" s="437" t="s">
        <v>17766</v>
      </c>
      <c r="F22" s="437" t="s">
        <v>17767</v>
      </c>
      <c r="G22" s="437" t="s">
        <v>13682</v>
      </c>
    </row>
    <row r="23">
      <c r="A23" s="437" t="s">
        <v>9512</v>
      </c>
      <c r="B23" s="437" t="s">
        <v>9513</v>
      </c>
      <c r="C23" s="437" t="s">
        <v>17793</v>
      </c>
      <c r="D23" s="437" t="s">
        <v>7070</v>
      </c>
      <c r="E23" s="438">
        <v>45598.0</v>
      </c>
      <c r="F23" s="438">
        <v>46692.0</v>
      </c>
      <c r="G23" s="437" t="s">
        <v>8155</v>
      </c>
    </row>
    <row r="24">
      <c r="A24" s="437" t="s">
        <v>17763</v>
      </c>
      <c r="B24" s="437"/>
      <c r="C24" s="437" t="s">
        <v>8201</v>
      </c>
      <c r="D24" s="437" t="s">
        <v>6993</v>
      </c>
      <c r="E24" s="437" t="s">
        <v>17794</v>
      </c>
      <c r="F24" s="437" t="s">
        <v>17795</v>
      </c>
      <c r="G24" s="437" t="s">
        <v>17764</v>
      </c>
    </row>
    <row r="25">
      <c r="A25" s="437" t="s">
        <v>10176</v>
      </c>
      <c r="B25" s="437" t="s">
        <v>13079</v>
      </c>
      <c r="C25" s="437" t="s">
        <v>17796</v>
      </c>
      <c r="D25" s="437" t="s">
        <v>7149</v>
      </c>
      <c r="E25" s="437" t="s">
        <v>17761</v>
      </c>
      <c r="F25" s="437" t="s">
        <v>17762</v>
      </c>
      <c r="G25" s="437" t="s">
        <v>17797</v>
      </c>
    </row>
    <row r="26">
      <c r="A26" s="437" t="s">
        <v>15915</v>
      </c>
      <c r="B26" s="437" t="s">
        <v>15916</v>
      </c>
      <c r="C26" s="437" t="s">
        <v>17798</v>
      </c>
      <c r="D26" s="437" t="s">
        <v>7357</v>
      </c>
      <c r="E26" s="437" t="s">
        <v>17761</v>
      </c>
      <c r="F26" s="437" t="s">
        <v>17762</v>
      </c>
      <c r="G26" s="437" t="s">
        <v>4978</v>
      </c>
    </row>
    <row r="27">
      <c r="A27" s="437" t="s">
        <v>15514</v>
      </c>
      <c r="B27" s="437" t="s">
        <v>15519</v>
      </c>
      <c r="C27" s="437" t="s">
        <v>17799</v>
      </c>
      <c r="D27" s="437" t="s">
        <v>13394</v>
      </c>
      <c r="E27" s="437" t="s">
        <v>17761</v>
      </c>
      <c r="F27" s="437" t="s">
        <v>17762</v>
      </c>
      <c r="G27" s="437" t="s">
        <v>4978</v>
      </c>
    </row>
    <row r="28">
      <c r="A28" s="437" t="s">
        <v>13493</v>
      </c>
      <c r="B28" s="437" t="s">
        <v>13494</v>
      </c>
      <c r="C28" s="437" t="s">
        <v>17800</v>
      </c>
      <c r="D28" s="437" t="s">
        <v>9562</v>
      </c>
      <c r="E28" s="437" t="s">
        <v>17766</v>
      </c>
      <c r="F28" s="437" t="s">
        <v>17767</v>
      </c>
      <c r="G28" s="437" t="s">
        <v>2942</v>
      </c>
    </row>
    <row r="29">
      <c r="A29" s="437" t="s">
        <v>9607</v>
      </c>
      <c r="B29" s="437" t="s">
        <v>9608</v>
      </c>
      <c r="C29" s="437" t="s">
        <v>17801</v>
      </c>
      <c r="D29" s="437" t="s">
        <v>7248</v>
      </c>
      <c r="E29" s="438">
        <v>45630.0</v>
      </c>
      <c r="F29" s="438">
        <v>46724.0</v>
      </c>
      <c r="G29" s="437" t="s">
        <v>9774</v>
      </c>
    </row>
    <row r="30">
      <c r="A30" s="437" t="s">
        <v>15922</v>
      </c>
      <c r="B30" s="437" t="s">
        <v>15923</v>
      </c>
      <c r="C30" s="437" t="s">
        <v>17802</v>
      </c>
      <c r="D30" s="437" t="s">
        <v>7070</v>
      </c>
      <c r="E30" s="437" t="s">
        <v>17803</v>
      </c>
      <c r="F30" s="437" t="s">
        <v>17804</v>
      </c>
      <c r="G30" s="437" t="s">
        <v>329</v>
      </c>
    </row>
    <row r="31">
      <c r="A31" s="437" t="s">
        <v>15922</v>
      </c>
      <c r="B31" s="437" t="s">
        <v>15923</v>
      </c>
      <c r="C31" s="437" t="s">
        <v>17302</v>
      </c>
      <c r="D31" s="437" t="s">
        <v>7149</v>
      </c>
      <c r="E31" s="437" t="s">
        <v>17761</v>
      </c>
      <c r="F31" s="437" t="s">
        <v>17762</v>
      </c>
      <c r="G31" s="437" t="s">
        <v>329</v>
      </c>
    </row>
    <row r="32">
      <c r="A32" s="437" t="s">
        <v>10139</v>
      </c>
      <c r="B32" s="437" t="s">
        <v>10140</v>
      </c>
      <c r="C32" s="437" t="s">
        <v>17805</v>
      </c>
      <c r="D32" s="437" t="s">
        <v>7048</v>
      </c>
      <c r="E32" s="437" t="s">
        <v>17781</v>
      </c>
      <c r="F32" s="437" t="s">
        <v>17782</v>
      </c>
      <c r="G32" s="437" t="s">
        <v>4509</v>
      </c>
    </row>
    <row r="33">
      <c r="A33" s="437" t="s">
        <v>9847</v>
      </c>
      <c r="B33" s="437" t="s">
        <v>9848</v>
      </c>
      <c r="C33" s="437" t="s">
        <v>9339</v>
      </c>
      <c r="D33" s="437" t="s">
        <v>7048</v>
      </c>
      <c r="E33" s="437" t="s">
        <v>17803</v>
      </c>
      <c r="F33" s="437" t="s">
        <v>17804</v>
      </c>
      <c r="G33" s="437" t="s">
        <v>9241</v>
      </c>
    </row>
    <row r="34">
      <c r="A34" s="437" t="s">
        <v>15392</v>
      </c>
      <c r="B34" s="437" t="s">
        <v>15393</v>
      </c>
      <c r="C34" s="437" t="s">
        <v>17806</v>
      </c>
      <c r="D34" s="437" t="s">
        <v>13621</v>
      </c>
      <c r="E34" s="437" t="s">
        <v>17781</v>
      </c>
      <c r="F34" s="437" t="s">
        <v>17782</v>
      </c>
      <c r="G34" s="437" t="s">
        <v>2942</v>
      </c>
    </row>
    <row r="35">
      <c r="A35" s="437" t="s">
        <v>14935</v>
      </c>
      <c r="B35" s="437" t="s">
        <v>14936</v>
      </c>
      <c r="C35" s="437" t="s">
        <v>17807</v>
      </c>
      <c r="D35" s="437" t="s">
        <v>7048</v>
      </c>
      <c r="E35" s="437" t="s">
        <v>17781</v>
      </c>
      <c r="F35" s="437" t="s">
        <v>17782</v>
      </c>
      <c r="G35" s="437" t="s">
        <v>9459</v>
      </c>
    </row>
    <row r="36">
      <c r="A36" s="437" t="s">
        <v>9406</v>
      </c>
      <c r="B36" s="437" t="s">
        <v>9407</v>
      </c>
      <c r="C36" s="437" t="s">
        <v>8683</v>
      </c>
      <c r="D36" s="437" t="s">
        <v>6993</v>
      </c>
      <c r="E36" s="437" t="s">
        <v>17781</v>
      </c>
      <c r="F36" s="437" t="s">
        <v>17782</v>
      </c>
      <c r="G36" s="437" t="s">
        <v>17783</v>
      </c>
    </row>
    <row r="37">
      <c r="A37" s="437" t="s">
        <v>13417</v>
      </c>
      <c r="B37" s="437" t="s">
        <v>13418</v>
      </c>
      <c r="C37" s="437" t="s">
        <v>17808</v>
      </c>
      <c r="D37" s="437" t="s">
        <v>7149</v>
      </c>
      <c r="E37" s="437" t="s">
        <v>17761</v>
      </c>
      <c r="F37" s="437" t="s">
        <v>17762</v>
      </c>
      <c r="G37" s="437" t="s">
        <v>2320</v>
      </c>
    </row>
    <row r="38">
      <c r="A38" s="437" t="s">
        <v>9667</v>
      </c>
      <c r="B38" s="437" t="s">
        <v>9668</v>
      </c>
      <c r="C38" s="437" t="s">
        <v>17809</v>
      </c>
      <c r="D38" s="437" t="s">
        <v>7048</v>
      </c>
      <c r="E38" s="438">
        <v>45570.0</v>
      </c>
      <c r="F38" s="438">
        <v>46664.0</v>
      </c>
      <c r="G38" s="437" t="s">
        <v>4044</v>
      </c>
    </row>
    <row r="39">
      <c r="A39" s="437" t="s">
        <v>15402</v>
      </c>
      <c r="B39" s="437" t="s">
        <v>15403</v>
      </c>
      <c r="C39" s="437" t="s">
        <v>17810</v>
      </c>
      <c r="D39" s="437" t="s">
        <v>9562</v>
      </c>
      <c r="E39" s="437" t="s">
        <v>17766</v>
      </c>
      <c r="F39" s="437" t="s">
        <v>17767</v>
      </c>
      <c r="G39" s="437" t="s">
        <v>13682</v>
      </c>
    </row>
    <row r="40">
      <c r="A40" s="437" t="s">
        <v>15778</v>
      </c>
      <c r="B40" s="437" t="s">
        <v>15779</v>
      </c>
      <c r="C40" s="437" t="s">
        <v>6999</v>
      </c>
      <c r="D40" s="437" t="s">
        <v>6993</v>
      </c>
      <c r="E40" s="437" t="s">
        <v>17794</v>
      </c>
      <c r="F40" s="437" t="s">
        <v>17795</v>
      </c>
      <c r="G40" s="437" t="s">
        <v>6935</v>
      </c>
    </row>
    <row r="41">
      <c r="A41" s="437" t="s">
        <v>9524</v>
      </c>
      <c r="B41" s="437" t="s">
        <v>9525</v>
      </c>
      <c r="C41" s="437" t="s">
        <v>17811</v>
      </c>
      <c r="D41" s="437" t="s">
        <v>8070</v>
      </c>
      <c r="E41" s="437" t="s">
        <v>17781</v>
      </c>
      <c r="F41" s="437" t="s">
        <v>17782</v>
      </c>
      <c r="G41" s="437" t="s">
        <v>8155</v>
      </c>
    </row>
    <row r="42">
      <c r="A42" s="437" t="s">
        <v>12427</v>
      </c>
      <c r="B42" s="437" t="s">
        <v>12428</v>
      </c>
      <c r="C42" s="437" t="s">
        <v>17812</v>
      </c>
      <c r="D42" s="437" t="s">
        <v>8070</v>
      </c>
      <c r="E42" s="437" t="s">
        <v>17781</v>
      </c>
      <c r="F42" s="437" t="s">
        <v>17782</v>
      </c>
      <c r="G42" s="437" t="s">
        <v>12459</v>
      </c>
    </row>
    <row r="43">
      <c r="A43" s="437" t="s">
        <v>15248</v>
      </c>
      <c r="B43" s="437" t="s">
        <v>15249</v>
      </c>
      <c r="C43" s="437" t="s">
        <v>16570</v>
      </c>
      <c r="D43" s="437" t="s">
        <v>7048</v>
      </c>
      <c r="E43" s="437" t="s">
        <v>17759</v>
      </c>
      <c r="F43" s="437" t="s">
        <v>17760</v>
      </c>
      <c r="G43" s="437" t="s">
        <v>1349</v>
      </c>
    </row>
    <row r="44">
      <c r="A44" s="437" t="s">
        <v>13583</v>
      </c>
      <c r="B44" s="437" t="s">
        <v>13584</v>
      </c>
      <c r="C44" s="437" t="s">
        <v>17107</v>
      </c>
      <c r="D44" s="437" t="s">
        <v>7048</v>
      </c>
      <c r="E44" s="437" t="s">
        <v>17761</v>
      </c>
      <c r="F44" s="437" t="s">
        <v>17762</v>
      </c>
      <c r="G44" s="437" t="s">
        <v>4420</v>
      </c>
    </row>
    <row r="45">
      <c r="A45" s="437" t="s">
        <v>17763</v>
      </c>
      <c r="B45" s="437"/>
      <c r="C45" s="437" t="s">
        <v>17813</v>
      </c>
      <c r="D45" s="437" t="s">
        <v>7299</v>
      </c>
      <c r="E45" s="437" t="s">
        <v>17794</v>
      </c>
      <c r="F45" s="437" t="s">
        <v>17795</v>
      </c>
      <c r="G45" s="437" t="s">
        <v>17764</v>
      </c>
    </row>
    <row r="46">
      <c r="A46" s="437" t="s">
        <v>13653</v>
      </c>
      <c r="B46" s="437" t="s">
        <v>13659</v>
      </c>
      <c r="C46" s="437" t="s">
        <v>17814</v>
      </c>
      <c r="D46" s="437" t="s">
        <v>9562</v>
      </c>
      <c r="E46" s="437" t="s">
        <v>17766</v>
      </c>
      <c r="F46" s="437" t="s">
        <v>17767</v>
      </c>
      <c r="G46" s="437" t="s">
        <v>2320</v>
      </c>
    </row>
    <row r="47">
      <c r="A47" s="437" t="s">
        <v>13417</v>
      </c>
      <c r="B47" s="437" t="s">
        <v>13418</v>
      </c>
      <c r="C47" s="437" t="s">
        <v>17815</v>
      </c>
      <c r="D47" s="437" t="s">
        <v>9562</v>
      </c>
      <c r="E47" s="437" t="s">
        <v>17766</v>
      </c>
      <c r="F47" s="437" t="s">
        <v>17767</v>
      </c>
      <c r="G47" s="437" t="s">
        <v>2320</v>
      </c>
    </row>
    <row r="48">
      <c r="A48" s="437" t="s">
        <v>15621</v>
      </c>
      <c r="B48" s="437" t="s">
        <v>15622</v>
      </c>
      <c r="C48" s="437" t="s">
        <v>17816</v>
      </c>
      <c r="D48" s="437" t="s">
        <v>7048</v>
      </c>
      <c r="E48" s="437" t="s">
        <v>17761</v>
      </c>
      <c r="F48" s="437" t="s">
        <v>17762</v>
      </c>
      <c r="G48" s="437" t="s">
        <v>3903</v>
      </c>
    </row>
    <row r="49">
      <c r="A49" s="437" t="s">
        <v>15743</v>
      </c>
      <c r="B49" s="437" t="s">
        <v>15744</v>
      </c>
      <c r="C49" s="437" t="s">
        <v>17817</v>
      </c>
      <c r="D49" s="437" t="s">
        <v>9562</v>
      </c>
      <c r="E49" s="437" t="s">
        <v>17766</v>
      </c>
      <c r="F49" s="437" t="s">
        <v>17767</v>
      </c>
      <c r="G49" s="437" t="s">
        <v>2942</v>
      </c>
    </row>
    <row r="50">
      <c r="A50" s="437" t="s">
        <v>14381</v>
      </c>
      <c r="B50" s="437" t="s">
        <v>14382</v>
      </c>
      <c r="C50" s="437" t="s">
        <v>17818</v>
      </c>
      <c r="D50" s="437" t="s">
        <v>14385</v>
      </c>
      <c r="E50" s="437" t="s">
        <v>17819</v>
      </c>
      <c r="F50" s="437" t="s">
        <v>17820</v>
      </c>
      <c r="G50" s="437" t="s">
        <v>2296</v>
      </c>
    </row>
    <row r="51">
      <c r="A51" s="437" t="s">
        <v>17821</v>
      </c>
      <c r="B51" s="437" t="s">
        <v>17822</v>
      </c>
      <c r="C51" s="437" t="s">
        <v>7280</v>
      </c>
      <c r="D51" s="437" t="s">
        <v>6993</v>
      </c>
      <c r="E51" s="437" t="s">
        <v>17794</v>
      </c>
      <c r="F51" s="437" t="s">
        <v>17795</v>
      </c>
      <c r="G51" s="437" t="s">
        <v>4509</v>
      </c>
    </row>
    <row r="52">
      <c r="A52" s="437" t="s">
        <v>14110</v>
      </c>
      <c r="B52" s="437" t="s">
        <v>14116</v>
      </c>
      <c r="C52" s="437" t="s">
        <v>17266</v>
      </c>
      <c r="D52" s="437" t="s">
        <v>6993</v>
      </c>
      <c r="E52" s="437" t="s">
        <v>17794</v>
      </c>
      <c r="F52" s="437" t="s">
        <v>17795</v>
      </c>
      <c r="G52" s="437" t="s">
        <v>17823</v>
      </c>
    </row>
    <row r="53">
      <c r="A53" s="437" t="s">
        <v>16658</v>
      </c>
      <c r="B53" s="437" t="s">
        <v>16659</v>
      </c>
      <c r="C53" s="437" t="s">
        <v>17824</v>
      </c>
      <c r="D53" s="437" t="s">
        <v>7070</v>
      </c>
      <c r="E53" s="438">
        <v>45598.0</v>
      </c>
      <c r="F53" s="438">
        <v>46692.0</v>
      </c>
      <c r="G53" s="437" t="s">
        <v>6503</v>
      </c>
    </row>
    <row r="54">
      <c r="A54" s="437" t="s">
        <v>17763</v>
      </c>
      <c r="B54" s="437"/>
      <c r="C54" s="437" t="s">
        <v>17825</v>
      </c>
      <c r="D54" s="437" t="s">
        <v>7005</v>
      </c>
      <c r="E54" s="438">
        <v>45236.0</v>
      </c>
      <c r="F54" s="439">
        <v>45972.0</v>
      </c>
      <c r="G54" s="437" t="s">
        <v>17764</v>
      </c>
    </row>
    <row r="55">
      <c r="A55" s="437" t="s">
        <v>15579</v>
      </c>
      <c r="B55" s="437" t="s">
        <v>15580</v>
      </c>
      <c r="C55" s="437" t="s">
        <v>17826</v>
      </c>
      <c r="D55" s="437" t="s">
        <v>6993</v>
      </c>
      <c r="E55" s="437" t="s">
        <v>17781</v>
      </c>
      <c r="F55" s="437" t="s">
        <v>17782</v>
      </c>
      <c r="G55" s="437" t="s">
        <v>2942</v>
      </c>
    </row>
    <row r="56">
      <c r="A56" s="437" t="s">
        <v>17416</v>
      </c>
      <c r="B56" s="437" t="s">
        <v>13548</v>
      </c>
      <c r="C56" s="437" t="s">
        <v>7595</v>
      </c>
      <c r="D56" s="437" t="s">
        <v>7048</v>
      </c>
      <c r="E56" s="437" t="s">
        <v>17769</v>
      </c>
      <c r="F56" s="437" t="s">
        <v>17770</v>
      </c>
      <c r="G56" s="437" t="s">
        <v>7550</v>
      </c>
    </row>
    <row r="57">
      <c r="A57" s="437" t="s">
        <v>17763</v>
      </c>
      <c r="B57" s="437"/>
      <c r="C57" s="437" t="s">
        <v>17827</v>
      </c>
      <c r="D57" s="437" t="s">
        <v>7005</v>
      </c>
      <c r="E57" s="437" t="s">
        <v>17788</v>
      </c>
      <c r="F57" s="437" t="s">
        <v>17789</v>
      </c>
      <c r="G57" s="437" t="s">
        <v>17764</v>
      </c>
    </row>
    <row r="58">
      <c r="A58" s="437" t="s">
        <v>13073</v>
      </c>
      <c r="B58" s="437" t="s">
        <v>13074</v>
      </c>
      <c r="C58" s="437" t="s">
        <v>17828</v>
      </c>
      <c r="D58" s="437" t="s">
        <v>7048</v>
      </c>
      <c r="E58" s="437" t="s">
        <v>17769</v>
      </c>
      <c r="F58" s="437" t="s">
        <v>17770</v>
      </c>
      <c r="G58" s="437" t="s">
        <v>9459</v>
      </c>
    </row>
    <row r="59">
      <c r="A59" s="437" t="s">
        <v>9724</v>
      </c>
      <c r="B59" s="437" t="s">
        <v>9725</v>
      </c>
      <c r="C59" s="437" t="s">
        <v>17829</v>
      </c>
      <c r="D59" s="437" t="s">
        <v>7048</v>
      </c>
      <c r="E59" s="437" t="s">
        <v>17769</v>
      </c>
      <c r="F59" s="437" t="s">
        <v>17770</v>
      </c>
      <c r="G59" s="437" t="s">
        <v>9459</v>
      </c>
    </row>
    <row r="60">
      <c r="A60" s="437" t="s">
        <v>17763</v>
      </c>
      <c r="B60" s="437"/>
      <c r="C60" s="437" t="s">
        <v>17830</v>
      </c>
      <c r="D60" s="437" t="s">
        <v>7248</v>
      </c>
      <c r="E60" s="438">
        <v>45570.0</v>
      </c>
      <c r="F60" s="438">
        <v>46664.0</v>
      </c>
      <c r="G60" s="437" t="s">
        <v>17764</v>
      </c>
    </row>
    <row r="61">
      <c r="A61" s="437" t="s">
        <v>10747</v>
      </c>
      <c r="B61" s="437" t="s">
        <v>10748</v>
      </c>
      <c r="C61" s="437" t="s">
        <v>17831</v>
      </c>
      <c r="D61" s="437" t="s">
        <v>7248</v>
      </c>
      <c r="E61" s="438">
        <v>45630.0</v>
      </c>
      <c r="F61" s="438">
        <v>46724.0</v>
      </c>
      <c r="G61" s="437" t="s">
        <v>17832</v>
      </c>
    </row>
    <row r="62">
      <c r="A62" s="437" t="s">
        <v>10609</v>
      </c>
      <c r="B62" s="437" t="s">
        <v>10610</v>
      </c>
      <c r="C62" s="437" t="s">
        <v>9190</v>
      </c>
      <c r="D62" s="437" t="s">
        <v>6993</v>
      </c>
      <c r="E62" s="437" t="s">
        <v>17769</v>
      </c>
      <c r="F62" s="437" t="s">
        <v>17770</v>
      </c>
      <c r="G62" s="437" t="s">
        <v>17833</v>
      </c>
    </row>
    <row r="63">
      <c r="A63" s="437" t="s">
        <v>12041</v>
      </c>
      <c r="B63" s="437" t="s">
        <v>13333</v>
      </c>
      <c r="C63" s="437" t="s">
        <v>7872</v>
      </c>
      <c r="D63" s="437" t="s">
        <v>6993</v>
      </c>
      <c r="E63" s="437" t="s">
        <v>17794</v>
      </c>
      <c r="F63" s="437" t="s">
        <v>17795</v>
      </c>
      <c r="G63" s="437" t="s">
        <v>7846</v>
      </c>
    </row>
    <row r="64">
      <c r="A64" s="437" t="s">
        <v>13211</v>
      </c>
      <c r="B64" s="437" t="s">
        <v>13212</v>
      </c>
      <c r="C64" s="437" t="s">
        <v>8434</v>
      </c>
      <c r="D64" s="437" t="s">
        <v>7048</v>
      </c>
      <c r="E64" s="437" t="s">
        <v>17794</v>
      </c>
      <c r="F64" s="437" t="s">
        <v>17795</v>
      </c>
      <c r="G64" s="437" t="s">
        <v>1837</v>
      </c>
    </row>
    <row r="65">
      <c r="A65" s="437" t="s">
        <v>14515</v>
      </c>
      <c r="B65" s="437" t="s">
        <v>13793</v>
      </c>
      <c r="C65" s="437" t="s">
        <v>17834</v>
      </c>
      <c r="D65" s="437" t="s">
        <v>7048</v>
      </c>
      <c r="E65" s="437" t="s">
        <v>17769</v>
      </c>
      <c r="F65" s="437" t="s">
        <v>17770</v>
      </c>
      <c r="G65" s="437" t="s">
        <v>9459</v>
      </c>
    </row>
    <row r="66">
      <c r="A66" s="437" t="s">
        <v>12436</v>
      </c>
      <c r="B66" s="437" t="s">
        <v>12437</v>
      </c>
      <c r="C66" s="437" t="s">
        <v>17835</v>
      </c>
      <c r="D66" s="437" t="s">
        <v>6993</v>
      </c>
      <c r="E66" s="437" t="s">
        <v>17769</v>
      </c>
      <c r="F66" s="437" t="s">
        <v>17770</v>
      </c>
      <c r="G66" s="437" t="s">
        <v>12459</v>
      </c>
    </row>
    <row r="67">
      <c r="A67" s="437" t="s">
        <v>12608</v>
      </c>
      <c r="B67" s="437" t="s">
        <v>12609</v>
      </c>
      <c r="C67" s="437" t="s">
        <v>7510</v>
      </c>
      <c r="D67" s="437" t="s">
        <v>7048</v>
      </c>
      <c r="E67" s="437" t="s">
        <v>17759</v>
      </c>
      <c r="F67" s="437" t="s">
        <v>17760</v>
      </c>
      <c r="G67" s="437" t="s">
        <v>17836</v>
      </c>
    </row>
    <row r="68">
      <c r="A68" s="437" t="s">
        <v>13498</v>
      </c>
      <c r="B68" s="437" t="s">
        <v>13499</v>
      </c>
      <c r="C68" s="437" t="s">
        <v>17837</v>
      </c>
      <c r="D68" s="437" t="s">
        <v>7048</v>
      </c>
      <c r="E68" s="437" t="s">
        <v>17761</v>
      </c>
      <c r="F68" s="437" t="s">
        <v>17762</v>
      </c>
      <c r="G68" s="437" t="s">
        <v>13992</v>
      </c>
    </row>
    <row r="69">
      <c r="A69" s="437" t="s">
        <v>13417</v>
      </c>
      <c r="B69" s="437" t="s">
        <v>13418</v>
      </c>
      <c r="C69" s="437" t="s">
        <v>17838</v>
      </c>
      <c r="D69" s="437" t="s">
        <v>9562</v>
      </c>
      <c r="E69" s="437" t="s">
        <v>17766</v>
      </c>
      <c r="F69" s="437" t="s">
        <v>17767</v>
      </c>
      <c r="G69" s="437" t="s">
        <v>2320</v>
      </c>
    </row>
    <row r="70">
      <c r="A70" s="437" t="s">
        <v>13649</v>
      </c>
      <c r="B70" s="437" t="s">
        <v>13650</v>
      </c>
      <c r="C70" s="437" t="s">
        <v>17839</v>
      </c>
      <c r="D70" s="437" t="s">
        <v>7149</v>
      </c>
      <c r="E70" s="437" t="s">
        <v>17840</v>
      </c>
      <c r="F70" s="437" t="s">
        <v>17841</v>
      </c>
      <c r="G70" s="437" t="s">
        <v>13682</v>
      </c>
    </row>
    <row r="71">
      <c r="A71" s="437" t="s">
        <v>12515</v>
      </c>
      <c r="B71" s="437" t="s">
        <v>12516</v>
      </c>
      <c r="C71" s="437" t="s">
        <v>17842</v>
      </c>
      <c r="D71" s="437" t="s">
        <v>6993</v>
      </c>
      <c r="E71" s="437" t="s">
        <v>17819</v>
      </c>
      <c r="F71" s="437" t="s">
        <v>17820</v>
      </c>
      <c r="G71" s="437" t="s">
        <v>12557</v>
      </c>
    </row>
    <row r="72">
      <c r="A72" s="437" t="s">
        <v>17416</v>
      </c>
      <c r="B72" s="437" t="s">
        <v>17417</v>
      </c>
      <c r="C72" s="437" t="s">
        <v>7271</v>
      </c>
      <c r="D72" s="437" t="s">
        <v>7048</v>
      </c>
      <c r="E72" s="437" t="s">
        <v>17766</v>
      </c>
      <c r="F72" s="437" t="s">
        <v>17767</v>
      </c>
      <c r="G72" s="437" t="s">
        <v>17836</v>
      </c>
    </row>
    <row r="73">
      <c r="A73" s="437" t="s">
        <v>16530</v>
      </c>
      <c r="B73" s="437" t="s">
        <v>16531</v>
      </c>
      <c r="C73" s="437" t="s">
        <v>17843</v>
      </c>
      <c r="D73" s="437" t="s">
        <v>6993</v>
      </c>
      <c r="E73" s="437" t="s">
        <v>17781</v>
      </c>
      <c r="F73" s="437" t="s">
        <v>17782</v>
      </c>
      <c r="G73" s="437" t="s">
        <v>4509</v>
      </c>
    </row>
    <row r="74">
      <c r="A74" s="437" t="s">
        <v>17763</v>
      </c>
      <c r="B74" s="437"/>
      <c r="C74" s="437" t="s">
        <v>17844</v>
      </c>
      <c r="D74" s="437" t="s">
        <v>6993</v>
      </c>
      <c r="E74" s="437" t="s">
        <v>17794</v>
      </c>
      <c r="F74" s="437" t="s">
        <v>17795</v>
      </c>
      <c r="G74" s="437" t="s">
        <v>17764</v>
      </c>
    </row>
    <row r="75">
      <c r="A75" s="437" t="s">
        <v>15796</v>
      </c>
      <c r="B75" s="437" t="s">
        <v>15797</v>
      </c>
      <c r="C75" s="437" t="s">
        <v>17845</v>
      </c>
      <c r="D75" s="437" t="s">
        <v>8739</v>
      </c>
      <c r="E75" s="437" t="s">
        <v>17759</v>
      </c>
      <c r="F75" s="437" t="s">
        <v>17760</v>
      </c>
      <c r="G75" s="437" t="s">
        <v>15453</v>
      </c>
    </row>
    <row r="76">
      <c r="A76" s="437" t="s">
        <v>10197</v>
      </c>
      <c r="B76" s="437" t="s">
        <v>13089</v>
      </c>
      <c r="C76" s="437" t="s">
        <v>7122</v>
      </c>
      <c r="D76" s="437" t="s">
        <v>7048</v>
      </c>
      <c r="E76" s="437" t="s">
        <v>17794</v>
      </c>
      <c r="F76" s="437" t="s">
        <v>17795</v>
      </c>
      <c r="G76" s="437" t="s">
        <v>6935</v>
      </c>
    </row>
    <row r="77">
      <c r="A77" s="437" t="s">
        <v>12045</v>
      </c>
      <c r="B77" s="437" t="s">
        <v>15668</v>
      </c>
      <c r="C77" s="437" t="s">
        <v>7888</v>
      </c>
      <c r="D77" s="437" t="s">
        <v>7005</v>
      </c>
      <c r="E77" s="438">
        <v>45236.0</v>
      </c>
      <c r="F77" s="439">
        <v>45972.0</v>
      </c>
      <c r="G77" s="437" t="s">
        <v>7846</v>
      </c>
    </row>
    <row r="78">
      <c r="A78" s="437" t="s">
        <v>15625</v>
      </c>
      <c r="B78" s="437" t="s">
        <v>15626</v>
      </c>
      <c r="C78" s="437" t="s">
        <v>17846</v>
      </c>
      <c r="D78" s="437" t="s">
        <v>7149</v>
      </c>
      <c r="E78" s="437" t="s">
        <v>17761</v>
      </c>
      <c r="F78" s="437" t="s">
        <v>17762</v>
      </c>
      <c r="G78" s="437" t="s">
        <v>13682</v>
      </c>
    </row>
    <row r="79">
      <c r="A79" s="437" t="s">
        <v>13246</v>
      </c>
      <c r="B79" s="437" t="s">
        <v>13250</v>
      </c>
      <c r="C79" s="437" t="s">
        <v>16915</v>
      </c>
      <c r="D79" s="437" t="s">
        <v>7070</v>
      </c>
      <c r="E79" s="437" t="s">
        <v>17766</v>
      </c>
      <c r="F79" s="437" t="s">
        <v>17767</v>
      </c>
      <c r="G79" s="437" t="s">
        <v>2127</v>
      </c>
    </row>
    <row r="80">
      <c r="A80" s="437" t="s">
        <v>12481</v>
      </c>
      <c r="B80" s="437" t="s">
        <v>12482</v>
      </c>
      <c r="C80" s="437" t="s">
        <v>17847</v>
      </c>
      <c r="D80" s="437" t="s">
        <v>7070</v>
      </c>
      <c r="E80" s="437" t="s">
        <v>17803</v>
      </c>
      <c r="F80" s="437" t="s">
        <v>17804</v>
      </c>
      <c r="G80" s="437" t="s">
        <v>12459</v>
      </c>
    </row>
    <row r="81">
      <c r="A81" s="437" t="s">
        <v>12648</v>
      </c>
      <c r="B81" s="437" t="s">
        <v>12649</v>
      </c>
      <c r="C81" s="437" t="s">
        <v>7332</v>
      </c>
      <c r="D81" s="437" t="s">
        <v>6993</v>
      </c>
      <c r="E81" s="437" t="s">
        <v>17781</v>
      </c>
      <c r="F81" s="437" t="s">
        <v>17782</v>
      </c>
      <c r="G81" s="437" t="s">
        <v>4974</v>
      </c>
    </row>
    <row r="82">
      <c r="A82" s="437" t="s">
        <v>13884</v>
      </c>
      <c r="B82" s="437" t="s">
        <v>13885</v>
      </c>
      <c r="C82" s="437" t="s">
        <v>16916</v>
      </c>
      <c r="D82" s="437" t="s">
        <v>7248</v>
      </c>
      <c r="E82" s="438">
        <v>45630.0</v>
      </c>
      <c r="F82" s="438">
        <v>46724.0</v>
      </c>
      <c r="G82" s="437" t="s">
        <v>2127</v>
      </c>
    </row>
    <row r="83">
      <c r="A83" s="437" t="s">
        <v>9920</v>
      </c>
      <c r="B83" s="437" t="s">
        <v>9921</v>
      </c>
      <c r="C83" s="437" t="s">
        <v>9318</v>
      </c>
      <c r="D83" s="437" t="s">
        <v>7048</v>
      </c>
      <c r="E83" s="437" t="s">
        <v>17803</v>
      </c>
      <c r="F83" s="437" t="s">
        <v>17804</v>
      </c>
      <c r="G83" s="437" t="s">
        <v>9241</v>
      </c>
    </row>
    <row r="84">
      <c r="A84" s="437" t="s">
        <v>12671</v>
      </c>
      <c r="B84" s="437" t="s">
        <v>12672</v>
      </c>
      <c r="C84" s="437" t="s">
        <v>16683</v>
      </c>
      <c r="D84" s="437" t="s">
        <v>8739</v>
      </c>
      <c r="E84" s="437" t="s">
        <v>17761</v>
      </c>
      <c r="F84" s="437" t="s">
        <v>17762</v>
      </c>
      <c r="G84" s="437" t="s">
        <v>4974</v>
      </c>
    </row>
    <row r="85">
      <c r="A85" s="437" t="s">
        <v>13602</v>
      </c>
      <c r="B85" s="437" t="s">
        <v>13603</v>
      </c>
      <c r="C85" s="437" t="s">
        <v>17848</v>
      </c>
      <c r="D85" s="437" t="s">
        <v>9562</v>
      </c>
      <c r="E85" s="437" t="s">
        <v>17803</v>
      </c>
      <c r="F85" s="437" t="s">
        <v>17804</v>
      </c>
      <c r="G85" s="437" t="s">
        <v>13682</v>
      </c>
    </row>
    <row r="86">
      <c r="A86" s="437" t="s">
        <v>13972</v>
      </c>
      <c r="B86" s="437" t="s">
        <v>13973</v>
      </c>
      <c r="C86" s="437" t="s">
        <v>8880</v>
      </c>
      <c r="D86" s="437" t="s">
        <v>6993</v>
      </c>
      <c r="E86" s="437" t="s">
        <v>17819</v>
      </c>
      <c r="F86" s="437" t="s">
        <v>17820</v>
      </c>
      <c r="G86" s="437" t="s">
        <v>8806</v>
      </c>
    </row>
    <row r="87">
      <c r="A87" s="437" t="s">
        <v>15134</v>
      </c>
      <c r="B87" s="437" t="s">
        <v>15135</v>
      </c>
      <c r="C87" s="437" t="s">
        <v>17849</v>
      </c>
      <c r="D87" s="437" t="s">
        <v>8739</v>
      </c>
      <c r="E87" s="437" t="s">
        <v>17781</v>
      </c>
      <c r="F87" s="437" t="s">
        <v>17782</v>
      </c>
      <c r="G87" s="437" t="s">
        <v>456</v>
      </c>
    </row>
    <row r="88">
      <c r="A88" s="437" t="s">
        <v>14602</v>
      </c>
      <c r="B88" s="437" t="s">
        <v>14603</v>
      </c>
      <c r="C88" s="437" t="s">
        <v>17226</v>
      </c>
      <c r="D88" s="437" t="s">
        <v>7048</v>
      </c>
      <c r="E88" s="437" t="s">
        <v>17759</v>
      </c>
      <c r="F88" s="437" t="s">
        <v>17760</v>
      </c>
      <c r="G88" s="437" t="s">
        <v>8806</v>
      </c>
    </row>
    <row r="89">
      <c r="A89" s="437" t="s">
        <v>14573</v>
      </c>
      <c r="B89" s="437" t="s">
        <v>14574</v>
      </c>
      <c r="C89" s="437" t="s">
        <v>9213</v>
      </c>
      <c r="D89" s="437" t="s">
        <v>6993</v>
      </c>
      <c r="E89" s="437" t="s">
        <v>17761</v>
      </c>
      <c r="F89" s="437" t="s">
        <v>17762</v>
      </c>
      <c r="G89" s="437" t="s">
        <v>8806</v>
      </c>
    </row>
    <row r="90">
      <c r="A90" s="437" t="s">
        <v>17763</v>
      </c>
      <c r="B90" s="437"/>
      <c r="C90" s="437" t="s">
        <v>8939</v>
      </c>
      <c r="D90" s="437" t="s">
        <v>7005</v>
      </c>
      <c r="E90" s="437" t="s">
        <v>17788</v>
      </c>
      <c r="F90" s="437" t="s">
        <v>17789</v>
      </c>
      <c r="G90" s="437" t="s">
        <v>17764</v>
      </c>
    </row>
    <row r="91">
      <c r="A91" s="437" t="s">
        <v>13113</v>
      </c>
      <c r="B91" s="437" t="s">
        <v>13114</v>
      </c>
      <c r="C91" s="437" t="s">
        <v>17850</v>
      </c>
      <c r="D91" s="437" t="s">
        <v>7005</v>
      </c>
      <c r="E91" s="438">
        <v>45236.0</v>
      </c>
      <c r="F91" s="439">
        <v>45972.0</v>
      </c>
      <c r="G91" s="437" t="s">
        <v>6393</v>
      </c>
    </row>
    <row r="92">
      <c r="A92" s="437" t="s">
        <v>13877</v>
      </c>
      <c r="B92" s="437" t="s">
        <v>13878</v>
      </c>
      <c r="C92" s="437" t="s">
        <v>9138</v>
      </c>
      <c r="D92" s="437" t="s">
        <v>7005</v>
      </c>
      <c r="E92" s="438">
        <v>45236.0</v>
      </c>
      <c r="F92" s="438">
        <v>45972.0</v>
      </c>
      <c r="G92" s="437" t="s">
        <v>2265</v>
      </c>
    </row>
    <row r="93">
      <c r="A93" s="437" t="s">
        <v>14590</v>
      </c>
      <c r="B93" s="437" t="s">
        <v>14591</v>
      </c>
      <c r="C93" s="437" t="s">
        <v>17851</v>
      </c>
      <c r="D93" s="437" t="s">
        <v>9562</v>
      </c>
      <c r="E93" s="437" t="s">
        <v>17766</v>
      </c>
      <c r="F93" s="437" t="s">
        <v>17767</v>
      </c>
      <c r="G93" s="437" t="s">
        <v>17797</v>
      </c>
    </row>
    <row r="94">
      <c r="A94" s="437" t="s">
        <v>14695</v>
      </c>
      <c r="B94" s="437" t="s">
        <v>14696</v>
      </c>
      <c r="C94" s="437" t="s">
        <v>17286</v>
      </c>
      <c r="D94" s="437" t="s">
        <v>9562</v>
      </c>
      <c r="E94" s="437" t="s">
        <v>17759</v>
      </c>
      <c r="F94" s="437" t="s">
        <v>17760</v>
      </c>
      <c r="G94" s="437" t="s">
        <v>13682</v>
      </c>
    </row>
    <row r="95">
      <c r="A95" s="437" t="s">
        <v>15722</v>
      </c>
      <c r="B95" s="437" t="s">
        <v>15723</v>
      </c>
      <c r="C95" s="437" t="s">
        <v>17852</v>
      </c>
      <c r="D95" s="437" t="s">
        <v>7149</v>
      </c>
      <c r="E95" s="438">
        <v>45598.0</v>
      </c>
      <c r="F95" s="438">
        <v>46692.0</v>
      </c>
      <c r="G95" s="437" t="s">
        <v>2320</v>
      </c>
    </row>
    <row r="96">
      <c r="A96" s="437" t="s">
        <v>9577</v>
      </c>
      <c r="B96" s="437" t="s">
        <v>9578</v>
      </c>
      <c r="C96" s="437" t="s">
        <v>17853</v>
      </c>
      <c r="D96" s="437" t="s">
        <v>9562</v>
      </c>
      <c r="E96" s="437" t="s">
        <v>17766</v>
      </c>
      <c r="F96" s="437" t="s">
        <v>17767</v>
      </c>
      <c r="G96" s="437" t="s">
        <v>9459</v>
      </c>
    </row>
    <row r="97">
      <c r="A97" s="437" t="s">
        <v>13587</v>
      </c>
      <c r="B97" s="437" t="s">
        <v>13588</v>
      </c>
      <c r="C97" s="437" t="s">
        <v>16576</v>
      </c>
      <c r="D97" s="437" t="s">
        <v>6993</v>
      </c>
      <c r="E97" s="437" t="s">
        <v>17819</v>
      </c>
      <c r="F97" s="437" t="s">
        <v>17820</v>
      </c>
      <c r="G97" s="437" t="s">
        <v>1349</v>
      </c>
    </row>
    <row r="98">
      <c r="A98" s="437" t="s">
        <v>13713</v>
      </c>
      <c r="B98" s="437" t="s">
        <v>13714</v>
      </c>
      <c r="C98" s="437" t="s">
        <v>17854</v>
      </c>
      <c r="D98" s="437" t="s">
        <v>9562</v>
      </c>
      <c r="E98" s="437" t="s">
        <v>17766</v>
      </c>
      <c r="F98" s="437" t="s">
        <v>17767</v>
      </c>
      <c r="G98" s="437" t="s">
        <v>17797</v>
      </c>
    </row>
    <row r="99">
      <c r="A99" s="437" t="s">
        <v>15748</v>
      </c>
      <c r="B99" s="437" t="s">
        <v>15749</v>
      </c>
      <c r="C99" s="437" t="s">
        <v>17288</v>
      </c>
      <c r="D99" s="437" t="s">
        <v>9562</v>
      </c>
      <c r="E99" s="438">
        <v>45570.0</v>
      </c>
      <c r="F99" s="438">
        <v>46664.0</v>
      </c>
      <c r="G99" s="437" t="s">
        <v>13682</v>
      </c>
    </row>
    <row r="100">
      <c r="A100" s="437" t="s">
        <v>9843</v>
      </c>
      <c r="B100" s="437" t="s">
        <v>9844</v>
      </c>
      <c r="C100" s="437" t="s">
        <v>17855</v>
      </c>
      <c r="D100" s="437" t="s">
        <v>7048</v>
      </c>
      <c r="E100" s="437" t="s">
        <v>17803</v>
      </c>
      <c r="F100" s="437" t="s">
        <v>17804</v>
      </c>
      <c r="G100" s="437" t="s">
        <v>9241</v>
      </c>
    </row>
    <row r="101">
      <c r="A101" s="437" t="s">
        <v>13602</v>
      </c>
      <c r="B101" s="437" t="s">
        <v>13603</v>
      </c>
      <c r="C101" s="437" t="s">
        <v>17856</v>
      </c>
      <c r="D101" s="437" t="s">
        <v>9562</v>
      </c>
      <c r="E101" s="438">
        <v>45570.0</v>
      </c>
      <c r="F101" s="439">
        <v>46664.0</v>
      </c>
      <c r="G101" s="437" t="s">
        <v>13682</v>
      </c>
    </row>
    <row r="102">
      <c r="A102" s="437" t="s">
        <v>13968</v>
      </c>
      <c r="B102" s="437" t="s">
        <v>13969</v>
      </c>
      <c r="C102" s="437" t="s">
        <v>17857</v>
      </c>
      <c r="D102" s="437" t="s">
        <v>7149</v>
      </c>
      <c r="E102" s="437" t="s">
        <v>17761</v>
      </c>
      <c r="F102" s="437" t="s">
        <v>17762</v>
      </c>
      <c r="G102" s="437" t="s">
        <v>13682</v>
      </c>
    </row>
    <row r="103">
      <c r="A103" s="437" t="s">
        <v>14238</v>
      </c>
      <c r="B103" s="437" t="s">
        <v>14239</v>
      </c>
      <c r="C103" s="437" t="s">
        <v>17858</v>
      </c>
      <c r="D103" s="437" t="s">
        <v>7048</v>
      </c>
      <c r="E103" s="437" t="s">
        <v>17794</v>
      </c>
      <c r="F103" s="437" t="s">
        <v>17795</v>
      </c>
      <c r="G103" s="437" t="s">
        <v>1635</v>
      </c>
    </row>
    <row r="104">
      <c r="A104" s="437" t="s">
        <v>17763</v>
      </c>
      <c r="B104" s="437"/>
      <c r="C104" s="437" t="s">
        <v>17859</v>
      </c>
      <c r="D104" s="437" t="s">
        <v>7005</v>
      </c>
      <c r="E104" s="438">
        <v>45236.0</v>
      </c>
      <c r="F104" s="439">
        <v>45972.0</v>
      </c>
      <c r="G104" s="437" t="s">
        <v>17764</v>
      </c>
    </row>
    <row r="105">
      <c r="A105" s="437" t="s">
        <v>17763</v>
      </c>
      <c r="B105" s="437"/>
      <c r="C105" s="437" t="s">
        <v>8754</v>
      </c>
      <c r="D105" s="437" t="s">
        <v>7357</v>
      </c>
      <c r="E105" s="437" t="s">
        <v>17761</v>
      </c>
      <c r="F105" s="437" t="s">
        <v>17762</v>
      </c>
      <c r="G105" s="437" t="s">
        <v>17764</v>
      </c>
    </row>
    <row r="106">
      <c r="A106" s="437" t="s">
        <v>14368</v>
      </c>
      <c r="B106" s="437" t="s">
        <v>14369</v>
      </c>
      <c r="C106" s="437" t="s">
        <v>17860</v>
      </c>
      <c r="D106" s="437" t="s">
        <v>7149</v>
      </c>
      <c r="E106" s="437" t="s">
        <v>17840</v>
      </c>
      <c r="F106" s="437" t="s">
        <v>17841</v>
      </c>
      <c r="G106" s="437" t="s">
        <v>4978</v>
      </c>
    </row>
    <row r="107">
      <c r="A107" s="437" t="s">
        <v>14359</v>
      </c>
      <c r="B107" s="437" t="s">
        <v>14360</v>
      </c>
      <c r="C107" s="437" t="s">
        <v>17861</v>
      </c>
      <c r="D107" s="437" t="s">
        <v>7149</v>
      </c>
      <c r="E107" s="437" t="s">
        <v>17840</v>
      </c>
      <c r="F107" s="437" t="s">
        <v>17841</v>
      </c>
      <c r="G107" s="437" t="s">
        <v>13682</v>
      </c>
    </row>
    <row r="108">
      <c r="A108" s="437" t="s">
        <v>9556</v>
      </c>
      <c r="B108" s="437" t="s">
        <v>9557</v>
      </c>
      <c r="C108" s="437" t="s">
        <v>17862</v>
      </c>
      <c r="D108" s="437" t="s">
        <v>9562</v>
      </c>
      <c r="E108" s="437" t="s">
        <v>17766</v>
      </c>
      <c r="F108" s="437" t="s">
        <v>17767</v>
      </c>
      <c r="G108" s="437" t="s">
        <v>9459</v>
      </c>
    </row>
    <row r="109">
      <c r="A109" s="437" t="s">
        <v>14793</v>
      </c>
      <c r="B109" s="437" t="s">
        <v>14794</v>
      </c>
      <c r="C109" s="437" t="s">
        <v>17863</v>
      </c>
      <c r="D109" s="437" t="s">
        <v>7048</v>
      </c>
      <c r="E109" s="437" t="s">
        <v>17781</v>
      </c>
      <c r="F109" s="437" t="s">
        <v>17782</v>
      </c>
      <c r="G109" s="437" t="s">
        <v>2942</v>
      </c>
    </row>
    <row r="110">
      <c r="A110" s="437" t="s">
        <v>9980</v>
      </c>
      <c r="B110" s="437" t="s">
        <v>15663</v>
      </c>
      <c r="C110" s="437" t="s">
        <v>16574</v>
      </c>
      <c r="D110" s="437" t="s">
        <v>7070</v>
      </c>
      <c r="E110" s="437" t="s">
        <v>17803</v>
      </c>
      <c r="F110" s="437" t="s">
        <v>17804</v>
      </c>
      <c r="G110" s="437" t="s">
        <v>1349</v>
      </c>
    </row>
    <row r="111">
      <c r="A111" s="437" t="s">
        <v>13417</v>
      </c>
      <c r="B111" s="437" t="s">
        <v>13418</v>
      </c>
      <c r="C111" s="437" t="s">
        <v>17864</v>
      </c>
      <c r="D111" s="437" t="s">
        <v>9562</v>
      </c>
      <c r="E111" s="437" t="s">
        <v>17766</v>
      </c>
      <c r="F111" s="437" t="s">
        <v>17767</v>
      </c>
      <c r="G111" s="437" t="s">
        <v>2320</v>
      </c>
    </row>
    <row r="112">
      <c r="A112" s="437" t="s">
        <v>10489</v>
      </c>
      <c r="B112" s="437" t="s">
        <v>13523</v>
      </c>
      <c r="C112" s="437" t="s">
        <v>17865</v>
      </c>
      <c r="D112" s="437" t="s">
        <v>7149</v>
      </c>
      <c r="E112" s="438">
        <v>45598.0</v>
      </c>
      <c r="F112" s="438">
        <v>46692.0</v>
      </c>
      <c r="G112" s="437" t="s">
        <v>2942</v>
      </c>
    </row>
    <row r="113">
      <c r="A113" s="437" t="s">
        <v>17430</v>
      </c>
      <c r="B113" s="437" t="s">
        <v>17431</v>
      </c>
      <c r="C113" s="437" t="s">
        <v>17866</v>
      </c>
      <c r="D113" s="437" t="s">
        <v>7048</v>
      </c>
      <c r="E113" s="437" t="s">
        <v>17759</v>
      </c>
      <c r="F113" s="437" t="s">
        <v>17760</v>
      </c>
      <c r="G113" s="437" t="s">
        <v>12557</v>
      </c>
    </row>
    <row r="114">
      <c r="A114" s="437" t="s">
        <v>14872</v>
      </c>
      <c r="B114" s="437" t="s">
        <v>14873</v>
      </c>
      <c r="C114" s="437" t="s">
        <v>17867</v>
      </c>
      <c r="D114" s="437" t="s">
        <v>7149</v>
      </c>
      <c r="E114" s="437" t="s">
        <v>17761</v>
      </c>
      <c r="F114" s="437" t="s">
        <v>17762</v>
      </c>
      <c r="G114" s="437" t="s">
        <v>13682</v>
      </c>
    </row>
    <row r="115">
      <c r="A115" s="437" t="s">
        <v>12041</v>
      </c>
      <c r="B115" s="437" t="s">
        <v>15660</v>
      </c>
      <c r="C115" s="437" t="s">
        <v>17868</v>
      </c>
      <c r="D115" s="437" t="s">
        <v>7005</v>
      </c>
      <c r="E115" s="438">
        <v>45236.0</v>
      </c>
      <c r="F115" s="439">
        <v>45972.0</v>
      </c>
      <c r="G115" s="437" t="s">
        <v>3313</v>
      </c>
    </row>
    <row r="116">
      <c r="A116" s="437" t="s">
        <v>13616</v>
      </c>
      <c r="B116" s="437" t="s">
        <v>13617</v>
      </c>
      <c r="C116" s="437" t="s">
        <v>8660</v>
      </c>
      <c r="D116" s="437" t="s">
        <v>13621</v>
      </c>
      <c r="E116" s="437" t="s">
        <v>17781</v>
      </c>
      <c r="F116" s="437" t="s">
        <v>17782</v>
      </c>
      <c r="G116" s="437" t="s">
        <v>8655</v>
      </c>
    </row>
    <row r="117">
      <c r="A117" s="437" t="s">
        <v>12122</v>
      </c>
      <c r="B117" s="437" t="s">
        <v>17362</v>
      </c>
      <c r="C117" s="437" t="s">
        <v>17869</v>
      </c>
      <c r="D117" s="437" t="s">
        <v>7048</v>
      </c>
      <c r="E117" s="437" t="s">
        <v>17781</v>
      </c>
      <c r="F117" s="437" t="s">
        <v>17782</v>
      </c>
      <c r="G117" s="437" t="s">
        <v>9459</v>
      </c>
    </row>
    <row r="118">
      <c r="A118" s="437" t="s">
        <v>12498</v>
      </c>
      <c r="B118" s="437" t="s">
        <v>12499</v>
      </c>
      <c r="C118" s="437" t="s">
        <v>17870</v>
      </c>
      <c r="D118" s="437" t="s">
        <v>7048</v>
      </c>
      <c r="E118" s="437" t="s">
        <v>17769</v>
      </c>
      <c r="F118" s="437" t="s">
        <v>17770</v>
      </c>
      <c r="G118" s="437" t="s">
        <v>12469</v>
      </c>
    </row>
    <row r="119">
      <c r="A119" s="437" t="s">
        <v>10098</v>
      </c>
      <c r="B119" s="437" t="s">
        <v>15526</v>
      </c>
      <c r="C119" s="437" t="s">
        <v>17290</v>
      </c>
      <c r="D119" s="437" t="s">
        <v>6993</v>
      </c>
      <c r="E119" s="437" t="s">
        <v>17781</v>
      </c>
      <c r="F119" s="437" t="s">
        <v>17782</v>
      </c>
      <c r="G119" s="437" t="s">
        <v>13682</v>
      </c>
    </row>
    <row r="120">
      <c r="A120" s="437" t="s">
        <v>13196</v>
      </c>
      <c r="B120" s="437" t="s">
        <v>13197</v>
      </c>
      <c r="C120" s="437" t="s">
        <v>17871</v>
      </c>
      <c r="D120" s="437" t="s">
        <v>9562</v>
      </c>
      <c r="E120" s="437" t="s">
        <v>17766</v>
      </c>
      <c r="F120" s="437" t="s">
        <v>17767</v>
      </c>
      <c r="G120" s="437" t="s">
        <v>2320</v>
      </c>
    </row>
    <row r="121">
      <c r="A121" s="437" t="s">
        <v>17872</v>
      </c>
      <c r="B121" s="437" t="s">
        <v>17873</v>
      </c>
      <c r="C121" s="437" t="s">
        <v>17874</v>
      </c>
      <c r="D121" s="437" t="s">
        <v>9562</v>
      </c>
      <c r="E121" s="437" t="s">
        <v>17766</v>
      </c>
      <c r="F121" s="437" t="s">
        <v>17767</v>
      </c>
      <c r="G121" s="437" t="s">
        <v>4978</v>
      </c>
    </row>
    <row r="122">
      <c r="A122" s="437" t="s">
        <v>10873</v>
      </c>
      <c r="B122" s="437" t="s">
        <v>17369</v>
      </c>
      <c r="C122" s="437" t="s">
        <v>17875</v>
      </c>
      <c r="D122" s="437" t="s">
        <v>9562</v>
      </c>
      <c r="E122" s="437" t="s">
        <v>17766</v>
      </c>
      <c r="F122" s="437" t="s">
        <v>17767</v>
      </c>
      <c r="G122" s="437" t="s">
        <v>4978</v>
      </c>
    </row>
    <row r="123">
      <c r="A123" s="437" t="s">
        <v>13299</v>
      </c>
      <c r="B123" s="437" t="s">
        <v>13300</v>
      </c>
      <c r="C123" s="437" t="s">
        <v>17178</v>
      </c>
      <c r="D123" s="437" t="s">
        <v>7048</v>
      </c>
      <c r="E123" s="437" t="s">
        <v>17781</v>
      </c>
      <c r="F123" s="437" t="s">
        <v>17782</v>
      </c>
      <c r="G123" s="437" t="s">
        <v>9005</v>
      </c>
    </row>
    <row r="124">
      <c r="A124" s="437" t="s">
        <v>11067</v>
      </c>
      <c r="B124" s="437" t="s">
        <v>14148</v>
      </c>
      <c r="C124" s="437" t="s">
        <v>7762</v>
      </c>
      <c r="D124" s="437" t="s">
        <v>7005</v>
      </c>
      <c r="E124" s="438">
        <v>45236.0</v>
      </c>
      <c r="F124" s="439">
        <v>45972.0</v>
      </c>
      <c r="G124" s="437" t="s">
        <v>1228</v>
      </c>
    </row>
    <row r="125">
      <c r="A125" s="437" t="s">
        <v>9571</v>
      </c>
      <c r="B125" s="437" t="s">
        <v>9572</v>
      </c>
      <c r="C125" s="437" t="s">
        <v>16788</v>
      </c>
      <c r="D125" s="437" t="s">
        <v>7048</v>
      </c>
      <c r="E125" s="437" t="s">
        <v>17803</v>
      </c>
      <c r="F125" s="437" t="s">
        <v>17804</v>
      </c>
      <c r="G125" s="437" t="s">
        <v>9241</v>
      </c>
    </row>
    <row r="126">
      <c r="A126" s="437" t="s">
        <v>9860</v>
      </c>
      <c r="B126" s="437" t="s">
        <v>9861</v>
      </c>
      <c r="C126" s="437" t="s">
        <v>17876</v>
      </c>
      <c r="D126" s="437" t="s">
        <v>7048</v>
      </c>
      <c r="E126" s="438">
        <v>45598.0</v>
      </c>
      <c r="F126" s="439">
        <v>46692.0</v>
      </c>
      <c r="G126" s="437" t="s">
        <v>4044</v>
      </c>
    </row>
    <row r="127">
      <c r="A127" s="437" t="s">
        <v>11555</v>
      </c>
      <c r="B127" s="437" t="s">
        <v>11556</v>
      </c>
      <c r="C127" s="437" t="s">
        <v>16791</v>
      </c>
      <c r="D127" s="437" t="s">
        <v>7048</v>
      </c>
      <c r="E127" s="437" t="s">
        <v>17759</v>
      </c>
      <c r="F127" s="437" t="s">
        <v>17760</v>
      </c>
      <c r="G127" s="437" t="s">
        <v>17832</v>
      </c>
    </row>
    <row r="128">
      <c r="A128" s="437" t="s">
        <v>9645</v>
      </c>
      <c r="B128" s="437" t="s">
        <v>9646</v>
      </c>
      <c r="C128" s="437" t="s">
        <v>9327</v>
      </c>
      <c r="D128" s="437" t="s">
        <v>7048</v>
      </c>
      <c r="E128" s="437" t="s">
        <v>17803</v>
      </c>
      <c r="F128" s="437" t="s">
        <v>17804</v>
      </c>
      <c r="G128" s="437" t="s">
        <v>9241</v>
      </c>
    </row>
    <row r="129">
      <c r="A129" s="437" t="s">
        <v>15201</v>
      </c>
      <c r="B129" s="437" t="s">
        <v>15204</v>
      </c>
      <c r="C129" s="437" t="s">
        <v>7247</v>
      </c>
      <c r="D129" s="437" t="s">
        <v>7248</v>
      </c>
      <c r="E129" s="438">
        <v>45630.0</v>
      </c>
      <c r="F129" s="438">
        <v>46724.0</v>
      </c>
      <c r="G129" s="437" t="s">
        <v>1224</v>
      </c>
    </row>
    <row r="130">
      <c r="A130" s="437" t="s">
        <v>15214</v>
      </c>
      <c r="B130" s="437" t="s">
        <v>15215</v>
      </c>
      <c r="C130" s="437" t="s">
        <v>7242</v>
      </c>
      <c r="D130" s="437" t="s">
        <v>7070</v>
      </c>
      <c r="E130" s="438">
        <v>45598.0</v>
      </c>
      <c r="F130" s="438">
        <v>46692.0</v>
      </c>
      <c r="G130" s="437" t="s">
        <v>1224</v>
      </c>
    </row>
    <row r="131">
      <c r="A131" s="437" t="s">
        <v>15974</v>
      </c>
      <c r="B131" s="437" t="s">
        <v>15975</v>
      </c>
      <c r="C131" s="437" t="s">
        <v>8105</v>
      </c>
      <c r="D131" s="437" t="s">
        <v>7005</v>
      </c>
      <c r="E131" s="438">
        <v>45236.0</v>
      </c>
      <c r="F131" s="439">
        <v>45972.0</v>
      </c>
      <c r="G131" s="437" t="s">
        <v>3322</v>
      </c>
    </row>
    <row r="132">
      <c r="A132" s="437" t="s">
        <v>13275</v>
      </c>
      <c r="B132" s="437" t="s">
        <v>13276</v>
      </c>
      <c r="C132" s="437" t="s">
        <v>8069</v>
      </c>
      <c r="D132" s="437" t="s">
        <v>8070</v>
      </c>
      <c r="E132" s="437" t="s">
        <v>17877</v>
      </c>
      <c r="F132" s="437" t="s">
        <v>17878</v>
      </c>
      <c r="G132" s="437" t="s">
        <v>2204</v>
      </c>
    </row>
    <row r="133">
      <c r="A133" s="437" t="s">
        <v>11276</v>
      </c>
      <c r="B133" s="437" t="s">
        <v>14536</v>
      </c>
      <c r="C133" s="437" t="s">
        <v>8128</v>
      </c>
      <c r="D133" s="437" t="s">
        <v>7299</v>
      </c>
      <c r="E133" s="437" t="s">
        <v>17877</v>
      </c>
      <c r="F133" s="437" t="s">
        <v>17878</v>
      </c>
      <c r="G133" s="437" t="s">
        <v>3322</v>
      </c>
    </row>
    <row r="134">
      <c r="A134" s="437" t="s">
        <v>15007</v>
      </c>
      <c r="B134" s="437" t="s">
        <v>15008</v>
      </c>
      <c r="C134" s="437" t="s">
        <v>8131</v>
      </c>
      <c r="D134" s="437" t="s">
        <v>7299</v>
      </c>
      <c r="E134" s="437" t="s">
        <v>17877</v>
      </c>
      <c r="F134" s="437" t="s">
        <v>17878</v>
      </c>
      <c r="G134" s="437" t="s">
        <v>3322</v>
      </c>
    </row>
    <row r="135">
      <c r="A135" s="437" t="s">
        <v>15681</v>
      </c>
      <c r="B135" s="437" t="s">
        <v>15682</v>
      </c>
      <c r="C135" s="437" t="s">
        <v>8125</v>
      </c>
      <c r="D135" s="437" t="s">
        <v>7299</v>
      </c>
      <c r="E135" s="437" t="s">
        <v>17877</v>
      </c>
      <c r="F135" s="437" t="s">
        <v>17878</v>
      </c>
      <c r="G135" s="437" t="s">
        <v>3322</v>
      </c>
    </row>
    <row r="136">
      <c r="A136" s="437" t="s">
        <v>14539</v>
      </c>
      <c r="B136" s="437" t="s">
        <v>14540</v>
      </c>
      <c r="C136" s="437" t="s">
        <v>8451</v>
      </c>
      <c r="D136" s="437" t="s">
        <v>7005</v>
      </c>
      <c r="E136" s="438">
        <v>45236.0</v>
      </c>
      <c r="F136" s="439">
        <v>45972.0</v>
      </c>
      <c r="G136" s="437" t="s">
        <v>1393</v>
      </c>
    </row>
    <row r="137">
      <c r="A137" s="437" t="s">
        <v>17763</v>
      </c>
      <c r="B137" s="437"/>
      <c r="C137" s="437" t="s">
        <v>17879</v>
      </c>
      <c r="D137" s="437" t="s">
        <v>6993</v>
      </c>
      <c r="E137" s="437" t="s">
        <v>17819</v>
      </c>
      <c r="F137" s="437" t="s">
        <v>17820</v>
      </c>
      <c r="G137" s="437" t="s">
        <v>17764</v>
      </c>
    </row>
    <row r="138">
      <c r="A138" s="437" t="s">
        <v>12970</v>
      </c>
      <c r="B138" s="437" t="s">
        <v>12971</v>
      </c>
      <c r="C138" s="437" t="s">
        <v>17880</v>
      </c>
      <c r="D138" s="437" t="s">
        <v>7005</v>
      </c>
      <c r="E138" s="437" t="s">
        <v>17788</v>
      </c>
      <c r="F138" s="437" t="s">
        <v>17789</v>
      </c>
      <c r="G138" s="437" t="s">
        <v>17797</v>
      </c>
    </row>
    <row r="139">
      <c r="A139" s="437" t="s">
        <v>11603</v>
      </c>
      <c r="B139" s="437" t="s">
        <v>15059</v>
      </c>
      <c r="C139" s="437" t="s">
        <v>8988</v>
      </c>
      <c r="D139" s="437" t="s">
        <v>7005</v>
      </c>
      <c r="E139" s="437" t="s">
        <v>17788</v>
      </c>
      <c r="F139" s="437" t="s">
        <v>17789</v>
      </c>
      <c r="G139" s="437" t="s">
        <v>9459</v>
      </c>
    </row>
    <row r="140">
      <c r="A140" s="437" t="s">
        <v>14465</v>
      </c>
      <c r="B140" s="437" t="s">
        <v>14466</v>
      </c>
      <c r="C140" s="437" t="s">
        <v>7801</v>
      </c>
      <c r="D140" s="437" t="s">
        <v>7005</v>
      </c>
      <c r="E140" s="438">
        <v>45236.0</v>
      </c>
      <c r="F140" s="439">
        <v>45972.0</v>
      </c>
      <c r="G140" s="437" t="s">
        <v>1228</v>
      </c>
    </row>
    <row r="141">
      <c r="A141" s="437" t="s">
        <v>15044</v>
      </c>
      <c r="B141" s="437" t="s">
        <v>9746</v>
      </c>
      <c r="C141" s="437" t="s">
        <v>17881</v>
      </c>
      <c r="D141" s="437" t="s">
        <v>7048</v>
      </c>
      <c r="E141" s="437" t="s">
        <v>17882</v>
      </c>
      <c r="F141" s="437" t="s">
        <v>17883</v>
      </c>
      <c r="G141" s="437" t="s">
        <v>2269</v>
      </c>
    </row>
    <row r="142">
      <c r="A142" s="437" t="s">
        <v>15637</v>
      </c>
      <c r="B142" s="437" t="s">
        <v>15638</v>
      </c>
      <c r="C142" s="437" t="s">
        <v>8241</v>
      </c>
      <c r="D142" s="437" t="s">
        <v>7299</v>
      </c>
      <c r="E142" s="437" t="s">
        <v>17882</v>
      </c>
      <c r="F142" s="437" t="s">
        <v>17883</v>
      </c>
      <c r="G142" s="437" t="s">
        <v>1311</v>
      </c>
    </row>
    <row r="143">
      <c r="A143" s="437" t="s">
        <v>17763</v>
      </c>
      <c r="B143" s="437"/>
      <c r="C143" s="437" t="s">
        <v>17884</v>
      </c>
      <c r="D143" s="437" t="s">
        <v>7248</v>
      </c>
      <c r="E143" s="437" t="s">
        <v>17882</v>
      </c>
      <c r="F143" s="437" t="s">
        <v>17883</v>
      </c>
      <c r="G143" s="437" t="s">
        <v>17764</v>
      </c>
    </row>
    <row r="144">
      <c r="A144" s="437" t="s">
        <v>12041</v>
      </c>
      <c r="B144" s="437" t="s">
        <v>15658</v>
      </c>
      <c r="C144" s="437" t="s">
        <v>17885</v>
      </c>
      <c r="D144" s="437" t="s">
        <v>7248</v>
      </c>
      <c r="E144" s="437" t="s">
        <v>17882</v>
      </c>
      <c r="F144" s="437" t="s">
        <v>17883</v>
      </c>
      <c r="G144" s="437" t="s">
        <v>9459</v>
      </c>
    </row>
    <row r="145">
      <c r="A145" s="437" t="s">
        <v>15299</v>
      </c>
      <c r="B145" s="437" t="s">
        <v>15300</v>
      </c>
      <c r="C145" s="437" t="s">
        <v>8942</v>
      </c>
      <c r="D145" s="437" t="s">
        <v>7248</v>
      </c>
      <c r="E145" s="437" t="s">
        <v>17882</v>
      </c>
      <c r="F145" s="437" t="s">
        <v>17883</v>
      </c>
      <c r="G145" s="437" t="s">
        <v>13682</v>
      </c>
    </row>
    <row r="146">
      <c r="A146" s="437" t="s">
        <v>11506</v>
      </c>
      <c r="B146" s="437" t="s">
        <v>11507</v>
      </c>
      <c r="C146" s="437" t="s">
        <v>17886</v>
      </c>
      <c r="D146" s="437" t="s">
        <v>6993</v>
      </c>
      <c r="E146" s="437" t="s">
        <v>17761</v>
      </c>
      <c r="F146" s="437" t="s">
        <v>17762</v>
      </c>
      <c r="G146" s="437" t="s">
        <v>4509</v>
      </c>
    </row>
    <row r="147">
      <c r="A147" s="437" t="s">
        <v>9973</v>
      </c>
      <c r="B147" s="437" t="s">
        <v>9974</v>
      </c>
      <c r="C147" s="437" t="s">
        <v>17887</v>
      </c>
      <c r="D147" s="437" t="s">
        <v>7048</v>
      </c>
      <c r="E147" s="438">
        <v>45570.0</v>
      </c>
      <c r="F147" s="438">
        <v>46664.0</v>
      </c>
      <c r="G147" s="437" t="s">
        <v>1349</v>
      </c>
    </row>
    <row r="148">
      <c r="A148" s="437" t="s">
        <v>17763</v>
      </c>
      <c r="B148" s="437"/>
      <c r="C148" s="437" t="s">
        <v>17888</v>
      </c>
      <c r="D148" s="437" t="s">
        <v>7005</v>
      </c>
      <c r="E148" s="438">
        <v>45236.0</v>
      </c>
      <c r="F148" s="438">
        <v>45972.0</v>
      </c>
      <c r="G148" s="437" t="s">
        <v>17764</v>
      </c>
    </row>
    <row r="149">
      <c r="A149" s="437" t="s">
        <v>9577</v>
      </c>
      <c r="B149" s="437" t="s">
        <v>13703</v>
      </c>
      <c r="C149" s="437" t="s">
        <v>7784</v>
      </c>
      <c r="D149" s="437" t="s">
        <v>7005</v>
      </c>
      <c r="E149" s="438">
        <v>45236.0</v>
      </c>
      <c r="F149" s="438">
        <v>45972.0</v>
      </c>
      <c r="G149" s="437" t="s">
        <v>1228</v>
      </c>
    </row>
    <row r="150">
      <c r="A150" s="437" t="s">
        <v>10820</v>
      </c>
      <c r="B150" s="437" t="s">
        <v>10821</v>
      </c>
      <c r="C150" s="437" t="s">
        <v>17889</v>
      </c>
      <c r="D150" s="437" t="s">
        <v>7248</v>
      </c>
      <c r="E150" s="438">
        <v>45570.0</v>
      </c>
      <c r="F150" s="438">
        <v>46664.0</v>
      </c>
      <c r="G150" s="437" t="s">
        <v>17833</v>
      </c>
    </row>
    <row r="151">
      <c r="A151" s="437" t="s">
        <v>12441</v>
      </c>
      <c r="B151" s="437" t="s">
        <v>12442</v>
      </c>
      <c r="C151" s="437" t="s">
        <v>17890</v>
      </c>
      <c r="D151" s="437" t="s">
        <v>7248</v>
      </c>
      <c r="E151" s="438">
        <v>45630.0</v>
      </c>
      <c r="F151" s="438">
        <v>46724.0</v>
      </c>
      <c r="G151" s="437" t="s">
        <v>12469</v>
      </c>
    </row>
    <row r="152">
      <c r="A152" s="437" t="s">
        <v>11685</v>
      </c>
      <c r="B152" s="437" t="s">
        <v>11686</v>
      </c>
      <c r="C152" s="437" t="s">
        <v>17891</v>
      </c>
      <c r="D152" s="437" t="s">
        <v>7248</v>
      </c>
      <c r="E152" s="438">
        <v>45630.0</v>
      </c>
      <c r="F152" s="438">
        <v>46724.0</v>
      </c>
      <c r="G152" s="437" t="s">
        <v>927</v>
      </c>
    </row>
    <row r="153">
      <c r="A153" s="437" t="s">
        <v>14417</v>
      </c>
      <c r="B153" s="437" t="s">
        <v>14418</v>
      </c>
      <c r="C153" s="437" t="s">
        <v>17892</v>
      </c>
      <c r="D153" s="437" t="s">
        <v>6993</v>
      </c>
      <c r="E153" s="437" t="s">
        <v>17761</v>
      </c>
      <c r="F153" s="437" t="s">
        <v>17762</v>
      </c>
      <c r="G153" s="437" t="s">
        <v>2204</v>
      </c>
    </row>
    <row r="154">
      <c r="A154" s="437" t="s">
        <v>9386</v>
      </c>
      <c r="B154" s="437" t="s">
        <v>17333</v>
      </c>
      <c r="C154" s="437" t="s">
        <v>9358</v>
      </c>
      <c r="D154" s="437" t="s">
        <v>7070</v>
      </c>
      <c r="E154" s="437" t="s">
        <v>17803</v>
      </c>
      <c r="F154" s="437" t="s">
        <v>17804</v>
      </c>
      <c r="G154" s="437" t="s">
        <v>9459</v>
      </c>
    </row>
    <row r="155">
      <c r="A155" s="437" t="s">
        <v>17763</v>
      </c>
      <c r="B155" s="437"/>
      <c r="C155" s="437" t="s">
        <v>9355</v>
      </c>
      <c r="D155" s="437" t="s">
        <v>6993</v>
      </c>
      <c r="E155" s="437" t="s">
        <v>17819</v>
      </c>
      <c r="F155" s="437" t="s">
        <v>17820</v>
      </c>
      <c r="G155" s="437" t="s">
        <v>17764</v>
      </c>
    </row>
    <row r="156">
      <c r="A156" s="437" t="s">
        <v>9838</v>
      </c>
      <c r="B156" s="437" t="s">
        <v>9839</v>
      </c>
      <c r="C156" s="437" t="s">
        <v>9287</v>
      </c>
      <c r="D156" s="437" t="s">
        <v>7048</v>
      </c>
      <c r="E156" s="437" t="s">
        <v>17769</v>
      </c>
      <c r="F156" s="437" t="s">
        <v>17770</v>
      </c>
      <c r="G156" s="437" t="s">
        <v>9241</v>
      </c>
    </row>
    <row r="157">
      <c r="A157" s="437" t="s">
        <v>14917</v>
      </c>
      <c r="B157" s="437" t="s">
        <v>14918</v>
      </c>
      <c r="C157" s="437" t="s">
        <v>7969</v>
      </c>
      <c r="D157" s="437" t="s">
        <v>7048</v>
      </c>
      <c r="E157" s="437" t="s">
        <v>17769</v>
      </c>
      <c r="F157" s="437" t="s">
        <v>17770</v>
      </c>
      <c r="G157" s="437" t="s">
        <v>2127</v>
      </c>
    </row>
    <row r="158">
      <c r="A158" s="437" t="s">
        <v>12619</v>
      </c>
      <c r="B158" s="437" t="s">
        <v>12620</v>
      </c>
      <c r="C158" s="437" t="s">
        <v>7275</v>
      </c>
      <c r="D158" s="437" t="s">
        <v>7048</v>
      </c>
      <c r="E158" s="437" t="s">
        <v>17803</v>
      </c>
      <c r="F158" s="437" t="s">
        <v>17804</v>
      </c>
      <c r="G158" s="437" t="s">
        <v>17836</v>
      </c>
    </row>
    <row r="159">
      <c r="A159" s="437" t="s">
        <v>14608</v>
      </c>
      <c r="B159" s="437" t="s">
        <v>14609</v>
      </c>
      <c r="C159" s="437" t="s">
        <v>8085</v>
      </c>
      <c r="D159" s="437" t="s">
        <v>6993</v>
      </c>
      <c r="E159" s="437" t="s">
        <v>17761</v>
      </c>
      <c r="F159" s="437" t="s">
        <v>17762</v>
      </c>
      <c r="G159" s="437" t="s">
        <v>2204</v>
      </c>
    </row>
    <row r="160">
      <c r="A160" s="437" t="s">
        <v>17143</v>
      </c>
      <c r="B160" s="437" t="s">
        <v>17144</v>
      </c>
      <c r="C160" s="437" t="s">
        <v>9080</v>
      </c>
      <c r="D160" s="437" t="s">
        <v>7048</v>
      </c>
      <c r="E160" s="438">
        <v>45570.0</v>
      </c>
      <c r="F160" s="438">
        <v>46664.0</v>
      </c>
      <c r="G160" s="437" t="s">
        <v>17893</v>
      </c>
    </row>
    <row r="161">
      <c r="A161" s="437" t="s">
        <v>12604</v>
      </c>
      <c r="B161" s="437" t="s">
        <v>12605</v>
      </c>
      <c r="C161" s="437" t="s">
        <v>16667</v>
      </c>
      <c r="D161" s="437" t="s">
        <v>7048</v>
      </c>
      <c r="E161" s="438">
        <v>45570.0</v>
      </c>
      <c r="F161" s="438">
        <v>46664.0</v>
      </c>
      <c r="G161" s="437" t="s">
        <v>17836</v>
      </c>
    </row>
    <row r="162">
      <c r="A162" s="437" t="s">
        <v>9416</v>
      </c>
      <c r="B162" s="437" t="s">
        <v>9417</v>
      </c>
      <c r="C162" s="437" t="s">
        <v>17894</v>
      </c>
      <c r="D162" s="437" t="s">
        <v>7048</v>
      </c>
      <c r="E162" s="438">
        <v>45570.0</v>
      </c>
      <c r="F162" s="438">
        <v>46664.0</v>
      </c>
      <c r="G162" s="437" t="s">
        <v>17783</v>
      </c>
    </row>
    <row r="163">
      <c r="A163" s="437" t="s">
        <v>9577</v>
      </c>
      <c r="B163" s="437" t="s">
        <v>12357</v>
      </c>
      <c r="C163" s="437" t="s">
        <v>9173</v>
      </c>
      <c r="D163" s="437" t="s">
        <v>7048</v>
      </c>
      <c r="E163" s="438">
        <v>45570.0</v>
      </c>
      <c r="F163" s="438">
        <v>46664.0</v>
      </c>
      <c r="G163" s="437" t="s">
        <v>2265</v>
      </c>
    </row>
    <row r="164">
      <c r="A164" s="437" t="s">
        <v>9682</v>
      </c>
      <c r="B164" s="437" t="s">
        <v>9683</v>
      </c>
      <c r="C164" s="437" t="s">
        <v>17895</v>
      </c>
      <c r="D164" s="437" t="s">
        <v>7048</v>
      </c>
      <c r="E164" s="438">
        <v>45570.0</v>
      </c>
      <c r="F164" s="438">
        <v>46664.0</v>
      </c>
      <c r="G164" s="437" t="s">
        <v>4044</v>
      </c>
    </row>
    <row r="165">
      <c r="A165" s="437" t="s">
        <v>13341</v>
      </c>
      <c r="B165" s="437" t="s">
        <v>13342</v>
      </c>
      <c r="C165" s="437" t="s">
        <v>16836</v>
      </c>
      <c r="D165" s="437" t="s">
        <v>7048</v>
      </c>
      <c r="E165" s="438">
        <v>45570.0</v>
      </c>
      <c r="F165" s="438">
        <v>46664.0</v>
      </c>
      <c r="G165" s="437" t="s">
        <v>7805</v>
      </c>
    </row>
    <row r="166">
      <c r="A166" s="437" t="s">
        <v>9926</v>
      </c>
      <c r="B166" s="437" t="s">
        <v>9927</v>
      </c>
      <c r="C166" s="437" t="s">
        <v>17896</v>
      </c>
      <c r="D166" s="437" t="s">
        <v>7048</v>
      </c>
      <c r="E166" s="438">
        <v>45570.0</v>
      </c>
      <c r="F166" s="438">
        <v>46664.0</v>
      </c>
      <c r="G166" s="437" t="s">
        <v>6005</v>
      </c>
    </row>
    <row r="167">
      <c r="A167" s="437" t="s">
        <v>13096</v>
      </c>
      <c r="B167" s="437" t="s">
        <v>16429</v>
      </c>
      <c r="C167" s="437" t="s">
        <v>17897</v>
      </c>
      <c r="D167" s="437" t="s">
        <v>7048</v>
      </c>
      <c r="E167" s="438">
        <v>45570.0</v>
      </c>
      <c r="F167" s="438">
        <v>46664.0</v>
      </c>
      <c r="G167" s="437" t="s">
        <v>17898</v>
      </c>
    </row>
    <row r="168">
      <c r="A168" s="437" t="s">
        <v>15971</v>
      </c>
      <c r="B168" s="437" t="s">
        <v>15972</v>
      </c>
      <c r="C168" s="437" t="s">
        <v>9113</v>
      </c>
      <c r="D168" s="437" t="s">
        <v>7048</v>
      </c>
      <c r="E168" s="438">
        <v>45570.0</v>
      </c>
      <c r="F168" s="438">
        <v>46664.0</v>
      </c>
      <c r="G168" s="437" t="s">
        <v>2265</v>
      </c>
    </row>
    <row r="169">
      <c r="A169" s="437" t="s">
        <v>15800</v>
      </c>
      <c r="B169" s="437" t="s">
        <v>14427</v>
      </c>
      <c r="C169" s="437" t="s">
        <v>16839</v>
      </c>
      <c r="D169" s="437" t="s">
        <v>7048</v>
      </c>
      <c r="E169" s="438">
        <v>45570.0</v>
      </c>
      <c r="F169" s="438">
        <v>46664.0</v>
      </c>
      <c r="G169" s="437" t="s">
        <v>7805</v>
      </c>
    </row>
    <row r="170">
      <c r="A170" s="437" t="s">
        <v>15606</v>
      </c>
      <c r="B170" s="437" t="s">
        <v>15607</v>
      </c>
      <c r="C170" s="437" t="s">
        <v>17165</v>
      </c>
      <c r="D170" s="437" t="s">
        <v>7048</v>
      </c>
      <c r="E170" s="438">
        <v>45570.0</v>
      </c>
      <c r="F170" s="438">
        <v>46664.0</v>
      </c>
      <c r="G170" s="437" t="s">
        <v>2265</v>
      </c>
    </row>
    <row r="171">
      <c r="A171" s="437" t="s">
        <v>14973</v>
      </c>
      <c r="B171" s="437" t="s">
        <v>14974</v>
      </c>
      <c r="C171" s="437" t="s">
        <v>17899</v>
      </c>
      <c r="D171" s="437" t="s">
        <v>7048</v>
      </c>
      <c r="E171" s="438">
        <v>45570.0</v>
      </c>
      <c r="F171" s="438">
        <v>46664.0</v>
      </c>
      <c r="G171" s="437" t="s">
        <v>8708</v>
      </c>
    </row>
    <row r="172">
      <c r="A172" s="437" t="s">
        <v>14980</v>
      </c>
      <c r="B172" s="437" t="s">
        <v>14984</v>
      </c>
      <c r="C172" s="437" t="s">
        <v>16845</v>
      </c>
      <c r="D172" s="437" t="s">
        <v>7048</v>
      </c>
      <c r="E172" s="438">
        <v>45570.0</v>
      </c>
      <c r="F172" s="438">
        <v>46664.0</v>
      </c>
      <c r="G172" s="437" t="s">
        <v>7805</v>
      </c>
    </row>
    <row r="173">
      <c r="A173" s="437" t="s">
        <v>12599</v>
      </c>
      <c r="B173" s="437" t="s">
        <v>12600</v>
      </c>
      <c r="C173" s="437" t="s">
        <v>9206</v>
      </c>
      <c r="D173" s="437" t="s">
        <v>7048</v>
      </c>
      <c r="E173" s="438">
        <v>45570.0</v>
      </c>
      <c r="F173" s="438">
        <v>46664.0</v>
      </c>
      <c r="G173" s="437" t="s">
        <v>17836</v>
      </c>
    </row>
    <row r="174">
      <c r="A174" s="437" t="s">
        <v>13336</v>
      </c>
      <c r="B174" s="437" t="s">
        <v>13337</v>
      </c>
      <c r="C174" s="437" t="s">
        <v>17900</v>
      </c>
      <c r="D174" s="437" t="s">
        <v>7048</v>
      </c>
      <c r="E174" s="438">
        <v>45570.0</v>
      </c>
      <c r="F174" s="438">
        <v>46664.0</v>
      </c>
      <c r="G174" s="437" t="s">
        <v>3903</v>
      </c>
    </row>
    <row r="175">
      <c r="A175" s="437" t="s">
        <v>15555</v>
      </c>
      <c r="B175" s="437" t="s">
        <v>15556</v>
      </c>
      <c r="C175" s="437" t="s">
        <v>17901</v>
      </c>
      <c r="D175" s="437" t="s">
        <v>9562</v>
      </c>
      <c r="E175" s="438">
        <v>45570.0</v>
      </c>
      <c r="F175" s="438">
        <v>46664.0</v>
      </c>
      <c r="G175" s="437" t="s">
        <v>13682</v>
      </c>
    </row>
    <row r="176">
      <c r="A176" s="437" t="s">
        <v>16534</v>
      </c>
      <c r="B176" s="437" t="s">
        <v>16535</v>
      </c>
      <c r="C176" s="437" t="s">
        <v>17902</v>
      </c>
      <c r="D176" s="437" t="s">
        <v>7248</v>
      </c>
      <c r="E176" s="438">
        <v>45570.0</v>
      </c>
      <c r="F176" s="438">
        <v>46664.0</v>
      </c>
      <c r="G176" s="437" t="s">
        <v>4509</v>
      </c>
    </row>
    <row r="177">
      <c r="A177" s="437" t="s">
        <v>9803</v>
      </c>
      <c r="B177" s="437" t="s">
        <v>9804</v>
      </c>
      <c r="C177" s="437" t="s">
        <v>17903</v>
      </c>
      <c r="D177" s="437" t="s">
        <v>7248</v>
      </c>
      <c r="E177" s="438">
        <v>45570.0</v>
      </c>
      <c r="F177" s="438">
        <v>46664.0</v>
      </c>
      <c r="G177" s="437" t="s">
        <v>9774</v>
      </c>
    </row>
    <row r="178">
      <c r="A178" s="437" t="s">
        <v>13254</v>
      </c>
      <c r="B178" s="437" t="s">
        <v>13255</v>
      </c>
      <c r="C178" s="437" t="s">
        <v>9154</v>
      </c>
      <c r="D178" s="437" t="s">
        <v>7248</v>
      </c>
      <c r="E178" s="438">
        <v>45570.0</v>
      </c>
      <c r="F178" s="438">
        <v>46664.0</v>
      </c>
      <c r="G178" s="437" t="s">
        <v>2265</v>
      </c>
    </row>
    <row r="179">
      <c r="A179" s="437" t="s">
        <v>12179</v>
      </c>
      <c r="B179" s="437" t="s">
        <v>15866</v>
      </c>
      <c r="C179" s="437" t="s">
        <v>7089</v>
      </c>
      <c r="D179" s="437" t="s">
        <v>6993</v>
      </c>
      <c r="E179" s="437" t="s">
        <v>17761</v>
      </c>
      <c r="F179" s="437" t="s">
        <v>17762</v>
      </c>
      <c r="G179" s="437" t="s">
        <v>1349</v>
      </c>
    </row>
    <row r="180">
      <c r="A180" s="437" t="s">
        <v>15922</v>
      </c>
      <c r="B180" s="437" t="s">
        <v>15923</v>
      </c>
      <c r="C180" s="437" t="s">
        <v>17904</v>
      </c>
      <c r="D180" s="437" t="s">
        <v>7248</v>
      </c>
      <c r="E180" s="438">
        <v>45630.0</v>
      </c>
      <c r="F180" s="438">
        <v>46724.0</v>
      </c>
      <c r="G180" s="437" t="s">
        <v>329</v>
      </c>
    </row>
    <row r="181">
      <c r="A181" s="437" t="s">
        <v>15835</v>
      </c>
      <c r="B181" s="437" t="s">
        <v>15836</v>
      </c>
      <c r="C181" s="437" t="s">
        <v>17905</v>
      </c>
      <c r="D181" s="437" t="s">
        <v>7248</v>
      </c>
      <c r="E181" s="438">
        <v>45630.0</v>
      </c>
      <c r="F181" s="438">
        <v>46724.0</v>
      </c>
      <c r="G181" s="437" t="s">
        <v>3313</v>
      </c>
    </row>
    <row r="182">
      <c r="A182" s="437" t="s">
        <v>9943</v>
      </c>
      <c r="B182" s="437" t="s">
        <v>9944</v>
      </c>
      <c r="C182" s="437" t="s">
        <v>9232</v>
      </c>
      <c r="D182" s="437" t="s">
        <v>7248</v>
      </c>
      <c r="E182" s="438">
        <v>45630.0</v>
      </c>
      <c r="F182" s="438">
        <v>46724.0</v>
      </c>
      <c r="G182" s="437" t="s">
        <v>6005</v>
      </c>
    </row>
    <row r="183">
      <c r="A183" s="437" t="s">
        <v>12248</v>
      </c>
      <c r="B183" s="437" t="s">
        <v>12494</v>
      </c>
      <c r="C183" s="437" t="s">
        <v>17906</v>
      </c>
      <c r="D183" s="437" t="s">
        <v>7248</v>
      </c>
      <c r="E183" s="438">
        <v>45630.0</v>
      </c>
      <c r="F183" s="438">
        <v>46724.0</v>
      </c>
      <c r="G183" s="437" t="s">
        <v>12469</v>
      </c>
    </row>
    <row r="184">
      <c r="A184" s="437" t="s">
        <v>12240</v>
      </c>
      <c r="B184" s="437" t="s">
        <v>12244</v>
      </c>
      <c r="C184" s="437" t="s">
        <v>17907</v>
      </c>
      <c r="D184" s="437" t="s">
        <v>7248</v>
      </c>
      <c r="E184" s="438">
        <v>45630.0</v>
      </c>
      <c r="F184" s="438">
        <v>46724.0</v>
      </c>
      <c r="G184" s="437" t="s">
        <v>927</v>
      </c>
    </row>
    <row r="185">
      <c r="A185" s="437" t="s">
        <v>11584</v>
      </c>
      <c r="B185" s="437" t="s">
        <v>12078</v>
      </c>
      <c r="C185" s="437" t="s">
        <v>17908</v>
      </c>
      <c r="D185" s="437" t="s">
        <v>7248</v>
      </c>
      <c r="E185" s="438">
        <v>45630.0</v>
      </c>
      <c r="F185" s="438">
        <v>46724.0</v>
      </c>
      <c r="G185" s="437" t="s">
        <v>4509</v>
      </c>
    </row>
    <row r="186">
      <c r="A186" s="437" t="s">
        <v>12028</v>
      </c>
      <c r="B186" s="437" t="s">
        <v>12029</v>
      </c>
      <c r="C186" s="437" t="s">
        <v>17909</v>
      </c>
      <c r="D186" s="437" t="s">
        <v>7248</v>
      </c>
      <c r="E186" s="438">
        <v>45630.0</v>
      </c>
      <c r="F186" s="438">
        <v>46724.0</v>
      </c>
      <c r="G186" s="437" t="s">
        <v>4509</v>
      </c>
    </row>
    <row r="187">
      <c r="A187" s="437" t="s">
        <v>11984</v>
      </c>
      <c r="B187" s="437" t="s">
        <v>11985</v>
      </c>
      <c r="C187" s="437" t="s">
        <v>17910</v>
      </c>
      <c r="D187" s="437" t="s">
        <v>7248</v>
      </c>
      <c r="E187" s="438">
        <v>45630.0</v>
      </c>
      <c r="F187" s="438">
        <v>46724.0</v>
      </c>
      <c r="G187" s="437" t="s">
        <v>4509</v>
      </c>
    </row>
    <row r="188">
      <c r="A188" s="437" t="s">
        <v>11904</v>
      </c>
      <c r="B188" s="437" t="s">
        <v>11905</v>
      </c>
      <c r="C188" s="437" t="s">
        <v>17911</v>
      </c>
      <c r="D188" s="437" t="s">
        <v>7248</v>
      </c>
      <c r="E188" s="438">
        <v>45630.0</v>
      </c>
      <c r="F188" s="438">
        <v>46724.0</v>
      </c>
      <c r="G188" s="437" t="s">
        <v>927</v>
      </c>
    </row>
    <row r="189">
      <c r="A189" s="437" t="s">
        <v>11665</v>
      </c>
      <c r="B189" s="437" t="s">
        <v>11666</v>
      </c>
      <c r="C189" s="437" t="s">
        <v>17912</v>
      </c>
      <c r="D189" s="437" t="s">
        <v>7248</v>
      </c>
      <c r="E189" s="438">
        <v>45630.0</v>
      </c>
      <c r="F189" s="438">
        <v>46724.0</v>
      </c>
      <c r="G189" s="437" t="s">
        <v>17832</v>
      </c>
    </row>
    <row r="190">
      <c r="A190" s="437" t="s">
        <v>12473</v>
      </c>
      <c r="B190" s="437" t="s">
        <v>12474</v>
      </c>
      <c r="C190" s="437" t="s">
        <v>17913</v>
      </c>
      <c r="D190" s="437" t="s">
        <v>7248</v>
      </c>
      <c r="E190" s="438">
        <v>45630.0</v>
      </c>
      <c r="F190" s="438">
        <v>46724.0</v>
      </c>
      <c r="G190" s="437" t="s">
        <v>12469</v>
      </c>
    </row>
    <row r="191">
      <c r="A191" s="437" t="s">
        <v>12451</v>
      </c>
      <c r="B191" s="437" t="s">
        <v>12452</v>
      </c>
      <c r="C191" s="437" t="s">
        <v>17914</v>
      </c>
      <c r="D191" s="437" t="s">
        <v>7248</v>
      </c>
      <c r="E191" s="438">
        <v>45630.0</v>
      </c>
      <c r="F191" s="438">
        <v>46724.0</v>
      </c>
      <c r="G191" s="437" t="s">
        <v>12469</v>
      </c>
    </row>
    <row r="192">
      <c r="A192" s="437" t="s">
        <v>10433</v>
      </c>
      <c r="B192" s="437" t="s">
        <v>10434</v>
      </c>
      <c r="C192" s="437" t="s">
        <v>17915</v>
      </c>
      <c r="D192" s="437" t="s">
        <v>7248</v>
      </c>
      <c r="E192" s="438">
        <v>45630.0</v>
      </c>
      <c r="F192" s="438">
        <v>46724.0</v>
      </c>
      <c r="G192" s="437" t="s">
        <v>17832</v>
      </c>
    </row>
    <row r="193">
      <c r="A193" s="437" t="s">
        <v>12447</v>
      </c>
      <c r="B193" s="437" t="s">
        <v>12448</v>
      </c>
      <c r="C193" s="437" t="s">
        <v>17916</v>
      </c>
      <c r="D193" s="437" t="s">
        <v>7248</v>
      </c>
      <c r="E193" s="438">
        <v>45630.0</v>
      </c>
      <c r="F193" s="438">
        <v>46724.0</v>
      </c>
      <c r="G193" s="437" t="s">
        <v>12469</v>
      </c>
    </row>
    <row r="194">
      <c r="A194" s="437" t="s">
        <v>10309</v>
      </c>
      <c r="B194" s="437" t="s">
        <v>10310</v>
      </c>
      <c r="C194" s="437" t="s">
        <v>17917</v>
      </c>
      <c r="D194" s="437" t="s">
        <v>7248</v>
      </c>
      <c r="E194" s="438">
        <v>45630.0</v>
      </c>
      <c r="F194" s="438">
        <v>46724.0</v>
      </c>
      <c r="G194" s="437" t="s">
        <v>17833</v>
      </c>
    </row>
    <row r="195">
      <c r="A195" s="437" t="s">
        <v>10284</v>
      </c>
      <c r="B195" s="437" t="s">
        <v>10285</v>
      </c>
      <c r="C195" s="437" t="s">
        <v>17918</v>
      </c>
      <c r="D195" s="437" t="s">
        <v>7248</v>
      </c>
      <c r="E195" s="438">
        <v>45630.0</v>
      </c>
      <c r="F195" s="438">
        <v>46724.0</v>
      </c>
      <c r="G195" s="437" t="s">
        <v>4509</v>
      </c>
    </row>
    <row r="196">
      <c r="A196" s="437" t="s">
        <v>12864</v>
      </c>
      <c r="B196" s="437" t="s">
        <v>14895</v>
      </c>
      <c r="C196" s="437" t="s">
        <v>9186</v>
      </c>
      <c r="D196" s="437" t="s">
        <v>7048</v>
      </c>
      <c r="E196" s="437" t="s">
        <v>17761</v>
      </c>
      <c r="F196" s="437" t="s">
        <v>17762</v>
      </c>
      <c r="G196" s="437" t="s">
        <v>2265</v>
      </c>
    </row>
    <row r="197">
      <c r="A197" s="437" t="s">
        <v>13215</v>
      </c>
      <c r="B197" s="437" t="s">
        <v>13216</v>
      </c>
      <c r="C197" s="437" t="s">
        <v>7268</v>
      </c>
      <c r="D197" s="437" t="s">
        <v>7048</v>
      </c>
      <c r="E197" s="437" t="s">
        <v>17803</v>
      </c>
      <c r="F197" s="437" t="s">
        <v>17804</v>
      </c>
      <c r="G197" s="437" t="s">
        <v>4420</v>
      </c>
    </row>
    <row r="198">
      <c r="A198" s="437" t="s">
        <v>12570</v>
      </c>
      <c r="B198" s="437" t="s">
        <v>15821</v>
      </c>
      <c r="C198" s="437" t="s">
        <v>7108</v>
      </c>
      <c r="D198" s="437" t="s">
        <v>7048</v>
      </c>
      <c r="E198" s="437" t="s">
        <v>17803</v>
      </c>
      <c r="F198" s="437" t="s">
        <v>17804</v>
      </c>
      <c r="G198" s="437" t="s">
        <v>1349</v>
      </c>
    </row>
    <row r="199">
      <c r="A199" s="437" t="s">
        <v>14665</v>
      </c>
      <c r="B199" s="437" t="s">
        <v>14666</v>
      </c>
      <c r="C199" s="437" t="s">
        <v>17919</v>
      </c>
      <c r="D199" s="437" t="s">
        <v>7048</v>
      </c>
      <c r="E199" s="437" t="s">
        <v>17803</v>
      </c>
      <c r="F199" s="437" t="s">
        <v>17804</v>
      </c>
      <c r="G199" s="437" t="s">
        <v>2127</v>
      </c>
    </row>
    <row r="200">
      <c r="A200" s="437" t="s">
        <v>12828</v>
      </c>
      <c r="B200" s="437" t="s">
        <v>12829</v>
      </c>
      <c r="C200" s="437" t="s">
        <v>7573</v>
      </c>
      <c r="D200" s="437" t="s">
        <v>7048</v>
      </c>
      <c r="E200" s="437" t="s">
        <v>17803</v>
      </c>
      <c r="F200" s="437" t="s">
        <v>17804</v>
      </c>
      <c r="G200" s="437" t="s">
        <v>7550</v>
      </c>
    </row>
    <row r="201">
      <c r="A201" s="437" t="s">
        <v>9393</v>
      </c>
      <c r="B201" s="437" t="s">
        <v>9394</v>
      </c>
      <c r="C201" s="437" t="s">
        <v>8694</v>
      </c>
      <c r="D201" s="437" t="s">
        <v>7048</v>
      </c>
      <c r="E201" s="437" t="s">
        <v>17803</v>
      </c>
      <c r="F201" s="437" t="s">
        <v>17804</v>
      </c>
      <c r="G201" s="437" t="s">
        <v>17783</v>
      </c>
    </row>
    <row r="202">
      <c r="A202" s="437" t="s">
        <v>9529</v>
      </c>
      <c r="B202" s="437" t="s">
        <v>9530</v>
      </c>
      <c r="C202" s="437" t="s">
        <v>9315</v>
      </c>
      <c r="D202" s="437" t="s">
        <v>7048</v>
      </c>
      <c r="E202" s="437" t="s">
        <v>17803</v>
      </c>
      <c r="F202" s="437" t="s">
        <v>17804</v>
      </c>
      <c r="G202" s="437" t="s">
        <v>9241</v>
      </c>
    </row>
    <row r="203">
      <c r="A203" s="437" t="s">
        <v>15482</v>
      </c>
      <c r="B203" s="437" t="s">
        <v>15483</v>
      </c>
      <c r="C203" s="437" t="s">
        <v>7069</v>
      </c>
      <c r="D203" s="437" t="s">
        <v>7070</v>
      </c>
      <c r="E203" s="437" t="s">
        <v>17803</v>
      </c>
      <c r="F203" s="437" t="s">
        <v>17804</v>
      </c>
      <c r="G203" s="437" t="s">
        <v>6935</v>
      </c>
    </row>
    <row r="204">
      <c r="A204" s="437" t="s">
        <v>12755</v>
      </c>
      <c r="B204" s="437" t="s">
        <v>12756</v>
      </c>
      <c r="C204" s="437" t="s">
        <v>9203</v>
      </c>
      <c r="D204" s="437" t="s">
        <v>7070</v>
      </c>
      <c r="E204" s="437" t="s">
        <v>17803</v>
      </c>
      <c r="F204" s="437" t="s">
        <v>17804</v>
      </c>
      <c r="G204" s="437" t="s">
        <v>17920</v>
      </c>
    </row>
    <row r="205">
      <c r="A205" s="437" t="s">
        <v>12369</v>
      </c>
      <c r="B205" s="437" t="s">
        <v>12370</v>
      </c>
      <c r="C205" s="437" t="s">
        <v>9182</v>
      </c>
      <c r="D205" s="437" t="s">
        <v>7070</v>
      </c>
      <c r="E205" s="437" t="s">
        <v>17803</v>
      </c>
      <c r="F205" s="437" t="s">
        <v>17804</v>
      </c>
      <c r="G205" s="437" t="s">
        <v>2265</v>
      </c>
    </row>
    <row r="206">
      <c r="A206" s="437" t="s">
        <v>14013</v>
      </c>
      <c r="B206" s="437" t="s">
        <v>14014</v>
      </c>
      <c r="C206" s="437" t="s">
        <v>8223</v>
      </c>
      <c r="D206" s="437" t="s">
        <v>7070</v>
      </c>
      <c r="E206" s="437" t="s">
        <v>17803</v>
      </c>
      <c r="F206" s="437" t="s">
        <v>17804</v>
      </c>
      <c r="G206" s="437" t="s">
        <v>15453</v>
      </c>
    </row>
    <row r="207">
      <c r="A207" s="437" t="s">
        <v>10091</v>
      </c>
      <c r="B207" s="437" t="s">
        <v>10092</v>
      </c>
      <c r="C207" s="437" t="s">
        <v>17921</v>
      </c>
      <c r="D207" s="437" t="s">
        <v>7070</v>
      </c>
      <c r="E207" s="437" t="s">
        <v>17803</v>
      </c>
      <c r="F207" s="437" t="s">
        <v>17804</v>
      </c>
      <c r="G207" s="437" t="s">
        <v>17922</v>
      </c>
    </row>
    <row r="208">
      <c r="A208" s="437" t="s">
        <v>10774</v>
      </c>
      <c r="B208" s="437" t="s">
        <v>13800</v>
      </c>
      <c r="C208" s="437" t="s">
        <v>7074</v>
      </c>
      <c r="D208" s="437" t="s">
        <v>7070</v>
      </c>
      <c r="E208" s="437" t="s">
        <v>17803</v>
      </c>
      <c r="F208" s="437" t="s">
        <v>17804</v>
      </c>
      <c r="G208" s="437" t="s">
        <v>6935</v>
      </c>
    </row>
    <row r="209">
      <c r="A209" s="437" t="s">
        <v>10052</v>
      </c>
      <c r="B209" s="437" t="s">
        <v>10053</v>
      </c>
      <c r="C209" s="437" t="s">
        <v>17923</v>
      </c>
      <c r="D209" s="437" t="s">
        <v>7070</v>
      </c>
      <c r="E209" s="437" t="s">
        <v>17803</v>
      </c>
      <c r="F209" s="437" t="s">
        <v>17804</v>
      </c>
      <c r="G209" s="437" t="s">
        <v>17464</v>
      </c>
    </row>
    <row r="210">
      <c r="A210" s="437" t="s">
        <v>13633</v>
      </c>
      <c r="B210" s="437" t="s">
        <v>13634</v>
      </c>
      <c r="C210" s="437" t="s">
        <v>8220</v>
      </c>
      <c r="D210" s="437" t="s">
        <v>7070</v>
      </c>
      <c r="E210" s="437" t="s">
        <v>17803</v>
      </c>
      <c r="F210" s="437" t="s">
        <v>17804</v>
      </c>
      <c r="G210" s="437" t="s">
        <v>329</v>
      </c>
    </row>
    <row r="211">
      <c r="A211" s="437" t="s">
        <v>9933</v>
      </c>
      <c r="B211" s="437" t="s">
        <v>9498</v>
      </c>
      <c r="C211" s="437" t="s">
        <v>7544</v>
      </c>
      <c r="D211" s="437" t="s">
        <v>7545</v>
      </c>
      <c r="E211" s="437" t="s">
        <v>17766</v>
      </c>
      <c r="F211" s="437" t="s">
        <v>17767</v>
      </c>
      <c r="G211" s="437" t="s">
        <v>7543</v>
      </c>
    </row>
    <row r="212">
      <c r="A212" s="437" t="s">
        <v>13518</v>
      </c>
      <c r="B212" s="437" t="s">
        <v>13519</v>
      </c>
      <c r="C212" s="437" t="s">
        <v>17924</v>
      </c>
      <c r="D212" s="437" t="s">
        <v>9562</v>
      </c>
      <c r="E212" s="437" t="s">
        <v>17766</v>
      </c>
      <c r="F212" s="437" t="s">
        <v>17767</v>
      </c>
      <c r="G212" s="437" t="s">
        <v>2320</v>
      </c>
    </row>
    <row r="213">
      <c r="A213" s="437" t="s">
        <v>11974</v>
      </c>
      <c r="B213" s="437" t="s">
        <v>15598</v>
      </c>
      <c r="C213" s="437" t="s">
        <v>17925</v>
      </c>
      <c r="D213" s="437" t="s">
        <v>9562</v>
      </c>
      <c r="E213" s="437" t="s">
        <v>17766</v>
      </c>
      <c r="F213" s="437" t="s">
        <v>17767</v>
      </c>
      <c r="G213" s="437" t="s">
        <v>2320</v>
      </c>
    </row>
    <row r="214">
      <c r="A214" s="437" t="s">
        <v>14169</v>
      </c>
      <c r="B214" s="437" t="s">
        <v>14170</v>
      </c>
      <c r="C214" s="437" t="s">
        <v>17926</v>
      </c>
      <c r="D214" s="437" t="s">
        <v>9562</v>
      </c>
      <c r="E214" s="437" t="s">
        <v>17766</v>
      </c>
      <c r="F214" s="437" t="s">
        <v>17767</v>
      </c>
      <c r="G214" s="437" t="s">
        <v>2942</v>
      </c>
    </row>
    <row r="215">
      <c r="A215" s="437" t="s">
        <v>15241</v>
      </c>
      <c r="B215" s="437" t="s">
        <v>15242</v>
      </c>
      <c r="C215" s="437" t="s">
        <v>17927</v>
      </c>
      <c r="D215" s="437" t="s">
        <v>9562</v>
      </c>
      <c r="E215" s="437" t="s">
        <v>17766</v>
      </c>
      <c r="F215" s="437" t="s">
        <v>17767</v>
      </c>
      <c r="G215" s="437" t="s">
        <v>2320</v>
      </c>
    </row>
    <row r="216">
      <c r="A216" s="437" t="s">
        <v>17520</v>
      </c>
      <c r="B216" s="437" t="s">
        <v>17521</v>
      </c>
      <c r="C216" s="437" t="s">
        <v>17928</v>
      </c>
      <c r="D216" s="437" t="s">
        <v>9562</v>
      </c>
      <c r="E216" s="437" t="s">
        <v>17766</v>
      </c>
      <c r="F216" s="437" t="s">
        <v>17767</v>
      </c>
      <c r="G216" s="437" t="s">
        <v>2942</v>
      </c>
    </row>
    <row r="217">
      <c r="A217" s="437" t="s">
        <v>13629</v>
      </c>
      <c r="B217" s="437" t="s">
        <v>13630</v>
      </c>
      <c r="C217" s="437" t="s">
        <v>17929</v>
      </c>
      <c r="D217" s="437" t="s">
        <v>9562</v>
      </c>
      <c r="E217" s="437" t="s">
        <v>17766</v>
      </c>
      <c r="F217" s="437" t="s">
        <v>17767</v>
      </c>
      <c r="G217" s="437" t="s">
        <v>17797</v>
      </c>
    </row>
    <row r="218">
      <c r="A218" s="437" t="s">
        <v>13760</v>
      </c>
      <c r="B218" s="437" t="s">
        <v>13761</v>
      </c>
      <c r="C218" s="437" t="s">
        <v>17930</v>
      </c>
      <c r="D218" s="437" t="s">
        <v>9562</v>
      </c>
      <c r="E218" s="437" t="s">
        <v>17766</v>
      </c>
      <c r="F218" s="437" t="s">
        <v>17767</v>
      </c>
      <c r="G218" s="437" t="s">
        <v>2320</v>
      </c>
    </row>
    <row r="219">
      <c r="A219" s="437" t="s">
        <v>14532</v>
      </c>
      <c r="B219" s="437" t="s">
        <v>14533</v>
      </c>
      <c r="C219" s="437" t="s">
        <v>17931</v>
      </c>
      <c r="D219" s="437" t="s">
        <v>9562</v>
      </c>
      <c r="E219" s="437" t="s">
        <v>17766</v>
      </c>
      <c r="F219" s="437" t="s">
        <v>17767</v>
      </c>
      <c r="G219" s="437" t="s">
        <v>4978</v>
      </c>
    </row>
    <row r="220">
      <c r="A220" s="437" t="s">
        <v>9707</v>
      </c>
      <c r="B220" s="437" t="s">
        <v>14438</v>
      </c>
      <c r="C220" s="437" t="s">
        <v>17932</v>
      </c>
      <c r="D220" s="437" t="s">
        <v>9562</v>
      </c>
      <c r="E220" s="437" t="s">
        <v>17766</v>
      </c>
      <c r="F220" s="437" t="s">
        <v>17767</v>
      </c>
      <c r="G220" s="437" t="s">
        <v>17797</v>
      </c>
    </row>
    <row r="221">
      <c r="A221" s="437" t="s">
        <v>9700</v>
      </c>
      <c r="B221" s="437" t="s">
        <v>9701</v>
      </c>
      <c r="C221" s="437" t="s">
        <v>17933</v>
      </c>
      <c r="D221" s="437" t="s">
        <v>9562</v>
      </c>
      <c r="E221" s="437" t="s">
        <v>17766</v>
      </c>
      <c r="F221" s="437" t="s">
        <v>17767</v>
      </c>
      <c r="G221" s="437" t="s">
        <v>2320</v>
      </c>
    </row>
    <row r="222">
      <c r="A222" s="437" t="s">
        <v>9825</v>
      </c>
      <c r="B222" s="437" t="s">
        <v>9826</v>
      </c>
      <c r="C222" s="437" t="s">
        <v>17934</v>
      </c>
      <c r="D222" s="437" t="s">
        <v>9562</v>
      </c>
      <c r="E222" s="437" t="s">
        <v>17766</v>
      </c>
      <c r="F222" s="437" t="s">
        <v>17767</v>
      </c>
      <c r="G222" s="437" t="s">
        <v>2320</v>
      </c>
    </row>
    <row r="223">
      <c r="A223" s="437" t="s">
        <v>14944</v>
      </c>
      <c r="B223" s="437" t="s">
        <v>14945</v>
      </c>
      <c r="C223" s="437" t="s">
        <v>17935</v>
      </c>
      <c r="D223" s="437" t="s">
        <v>7070</v>
      </c>
      <c r="E223" s="437" t="s">
        <v>17766</v>
      </c>
      <c r="F223" s="437" t="s">
        <v>17767</v>
      </c>
      <c r="G223" s="437" t="s">
        <v>3903</v>
      </c>
    </row>
    <row r="224">
      <c r="A224" s="437" t="s">
        <v>13243</v>
      </c>
      <c r="B224" s="437" t="s">
        <v>13244</v>
      </c>
      <c r="C224" s="437" t="s">
        <v>8813</v>
      </c>
      <c r="D224" s="437" t="s">
        <v>7070</v>
      </c>
      <c r="E224" s="437" t="s">
        <v>17766</v>
      </c>
      <c r="F224" s="437" t="s">
        <v>17767</v>
      </c>
      <c r="G224" s="437" t="s">
        <v>3313</v>
      </c>
    </row>
    <row r="225">
      <c r="A225" s="437" t="s">
        <v>11708</v>
      </c>
      <c r="B225" s="437" t="s">
        <v>15191</v>
      </c>
      <c r="C225" s="437" t="s">
        <v>17208</v>
      </c>
      <c r="D225" s="437" t="s">
        <v>7070</v>
      </c>
      <c r="E225" s="437" t="s">
        <v>17766</v>
      </c>
      <c r="F225" s="437" t="s">
        <v>17767</v>
      </c>
      <c r="G225" s="437" t="s">
        <v>13992</v>
      </c>
    </row>
    <row r="226">
      <c r="A226" s="437" t="s">
        <v>13412</v>
      </c>
      <c r="B226" s="437" t="s">
        <v>13413</v>
      </c>
      <c r="C226" s="437" t="s">
        <v>17244</v>
      </c>
      <c r="D226" s="437" t="s">
        <v>7070</v>
      </c>
      <c r="E226" s="437" t="s">
        <v>17766</v>
      </c>
      <c r="F226" s="437" t="s">
        <v>17767</v>
      </c>
      <c r="G226" s="437" t="s">
        <v>456</v>
      </c>
    </row>
    <row r="227">
      <c r="A227" s="437" t="s">
        <v>13399</v>
      </c>
      <c r="B227" s="437" t="s">
        <v>13406</v>
      </c>
      <c r="C227" s="437" t="s">
        <v>17936</v>
      </c>
      <c r="D227" s="437" t="s">
        <v>7070</v>
      </c>
      <c r="E227" s="437" t="s">
        <v>17766</v>
      </c>
      <c r="F227" s="437" t="s">
        <v>17767</v>
      </c>
      <c r="G227" s="437" t="s">
        <v>456</v>
      </c>
    </row>
    <row r="228">
      <c r="A228" s="437" t="s">
        <v>9854</v>
      </c>
      <c r="B228" s="437" t="s">
        <v>9855</v>
      </c>
      <c r="C228" s="437" t="s">
        <v>17937</v>
      </c>
      <c r="D228" s="437" t="s">
        <v>7048</v>
      </c>
      <c r="E228" s="437" t="s">
        <v>17766</v>
      </c>
      <c r="F228" s="437" t="s">
        <v>17767</v>
      </c>
      <c r="G228" s="437" t="s">
        <v>9774</v>
      </c>
    </row>
    <row r="229">
      <c r="A229" s="437" t="s">
        <v>9764</v>
      </c>
      <c r="B229" s="437" t="s">
        <v>9765</v>
      </c>
      <c r="C229" s="437" t="s">
        <v>9336</v>
      </c>
      <c r="D229" s="437" t="s">
        <v>7048</v>
      </c>
      <c r="E229" s="437" t="s">
        <v>17766</v>
      </c>
      <c r="F229" s="437" t="s">
        <v>17767</v>
      </c>
      <c r="G229" s="437" t="s">
        <v>9241</v>
      </c>
    </row>
    <row r="230">
      <c r="A230" s="437" t="s">
        <v>9745</v>
      </c>
      <c r="B230" s="437" t="s">
        <v>9746</v>
      </c>
      <c r="C230" s="437" t="s">
        <v>9311</v>
      </c>
      <c r="D230" s="437" t="s">
        <v>7048</v>
      </c>
      <c r="E230" s="437" t="s">
        <v>17766</v>
      </c>
      <c r="F230" s="437" t="s">
        <v>17767</v>
      </c>
      <c r="G230" s="437" t="s">
        <v>9241</v>
      </c>
    </row>
    <row r="231">
      <c r="A231" s="437" t="s">
        <v>12585</v>
      </c>
      <c r="B231" s="437" t="s">
        <v>12586</v>
      </c>
      <c r="C231" s="437" t="s">
        <v>7517</v>
      </c>
      <c r="D231" s="437" t="s">
        <v>7070</v>
      </c>
      <c r="E231" s="438">
        <v>45598.0</v>
      </c>
      <c r="F231" s="438">
        <v>46692.0</v>
      </c>
      <c r="G231" s="437" t="s">
        <v>951</v>
      </c>
    </row>
    <row r="232">
      <c r="A232" s="437" t="s">
        <v>15533</v>
      </c>
      <c r="B232" s="437" t="s">
        <v>15534</v>
      </c>
      <c r="C232" s="437" t="s">
        <v>7126</v>
      </c>
      <c r="D232" s="437" t="s">
        <v>7070</v>
      </c>
      <c r="E232" s="438">
        <v>45598.0</v>
      </c>
      <c r="F232" s="438">
        <v>46692.0</v>
      </c>
      <c r="G232" s="437" t="s">
        <v>1349</v>
      </c>
    </row>
    <row r="233">
      <c r="A233" s="437" t="s">
        <v>15296</v>
      </c>
      <c r="B233" s="437" t="s">
        <v>15297</v>
      </c>
      <c r="C233" s="437" t="s">
        <v>17938</v>
      </c>
      <c r="D233" s="437" t="s">
        <v>7070</v>
      </c>
      <c r="E233" s="438">
        <v>45598.0</v>
      </c>
      <c r="F233" s="438">
        <v>46692.0</v>
      </c>
      <c r="G233" s="437" t="s">
        <v>3903</v>
      </c>
    </row>
    <row r="234">
      <c r="A234" s="437" t="s">
        <v>15096</v>
      </c>
      <c r="B234" s="437" t="s">
        <v>15097</v>
      </c>
      <c r="C234" s="437" t="s">
        <v>16899</v>
      </c>
      <c r="D234" s="437" t="s">
        <v>7070</v>
      </c>
      <c r="E234" s="438">
        <v>45598.0</v>
      </c>
      <c r="F234" s="438">
        <v>46692.0</v>
      </c>
      <c r="G234" s="437" t="s">
        <v>2127</v>
      </c>
    </row>
    <row r="235">
      <c r="A235" s="437" t="s">
        <v>14726</v>
      </c>
      <c r="B235" s="437" t="s">
        <v>14727</v>
      </c>
      <c r="C235" s="437" t="s">
        <v>7134</v>
      </c>
      <c r="D235" s="437" t="s">
        <v>7070</v>
      </c>
      <c r="E235" s="438">
        <v>45598.0</v>
      </c>
      <c r="F235" s="438">
        <v>46692.0</v>
      </c>
      <c r="G235" s="437" t="s">
        <v>17939</v>
      </c>
    </row>
    <row r="236">
      <c r="A236" s="437" t="s">
        <v>15550</v>
      </c>
      <c r="B236" s="437" t="s">
        <v>15551</v>
      </c>
      <c r="C236" s="437" t="s">
        <v>8150</v>
      </c>
      <c r="D236" s="437" t="s">
        <v>7070</v>
      </c>
      <c r="E236" s="438">
        <v>45598.0</v>
      </c>
      <c r="F236" s="438">
        <v>46692.0</v>
      </c>
      <c r="G236" s="437" t="s">
        <v>3322</v>
      </c>
    </row>
    <row r="237">
      <c r="A237" s="437" t="s">
        <v>12588</v>
      </c>
      <c r="B237" s="437" t="s">
        <v>12589</v>
      </c>
      <c r="C237" s="437" t="s">
        <v>7515</v>
      </c>
      <c r="D237" s="437" t="s">
        <v>7070</v>
      </c>
      <c r="E237" s="438">
        <v>45598.0</v>
      </c>
      <c r="F237" s="438">
        <v>46692.0</v>
      </c>
      <c r="G237" s="437" t="s">
        <v>951</v>
      </c>
    </row>
    <row r="238">
      <c r="A238" s="437" t="s">
        <v>13017</v>
      </c>
      <c r="B238" s="437" t="s">
        <v>13018</v>
      </c>
      <c r="C238" s="437" t="s">
        <v>17940</v>
      </c>
      <c r="D238" s="437" t="s">
        <v>7070</v>
      </c>
      <c r="E238" s="438">
        <v>45598.0</v>
      </c>
      <c r="F238" s="438">
        <v>46692.0</v>
      </c>
      <c r="G238" s="437" t="s">
        <v>8708</v>
      </c>
    </row>
    <row r="239">
      <c r="A239" s="437" t="s">
        <v>14570</v>
      </c>
      <c r="B239" s="437" t="s">
        <v>14571</v>
      </c>
      <c r="C239" s="437" t="s">
        <v>7061</v>
      </c>
      <c r="D239" s="437" t="s">
        <v>7062</v>
      </c>
      <c r="E239" s="438">
        <v>45598.0</v>
      </c>
      <c r="F239" s="438">
        <v>46692.0</v>
      </c>
      <c r="G239" s="437" t="s">
        <v>6935</v>
      </c>
    </row>
    <row r="240">
      <c r="A240" s="437" t="s">
        <v>13461</v>
      </c>
      <c r="B240" s="437" t="s">
        <v>13462</v>
      </c>
      <c r="C240" s="437" t="s">
        <v>7077</v>
      </c>
      <c r="D240" s="437" t="s">
        <v>7062</v>
      </c>
      <c r="E240" s="438">
        <v>45598.0</v>
      </c>
      <c r="F240" s="438">
        <v>46692.0</v>
      </c>
      <c r="G240" s="437" t="s">
        <v>6935</v>
      </c>
    </row>
    <row r="241">
      <c r="A241" s="437" t="s">
        <v>15104</v>
      </c>
      <c r="B241" s="437" t="s">
        <v>15105</v>
      </c>
      <c r="C241" s="437" t="s">
        <v>17018</v>
      </c>
      <c r="D241" s="437" t="s">
        <v>7048</v>
      </c>
      <c r="E241" s="438">
        <v>45598.0</v>
      </c>
      <c r="F241" s="438">
        <v>46692.0</v>
      </c>
      <c r="G241" s="437" t="s">
        <v>1311</v>
      </c>
    </row>
    <row r="242">
      <c r="A242" s="437" t="s">
        <v>15415</v>
      </c>
      <c r="B242" s="437" t="s">
        <v>15416</v>
      </c>
      <c r="C242" s="437" t="s">
        <v>7994</v>
      </c>
      <c r="D242" s="437" t="s">
        <v>7048</v>
      </c>
      <c r="E242" s="438">
        <v>45598.0</v>
      </c>
      <c r="F242" s="438">
        <v>46692.0</v>
      </c>
      <c r="G242" s="437" t="s">
        <v>2127</v>
      </c>
    </row>
    <row r="243">
      <c r="A243" s="437" t="s">
        <v>9577</v>
      </c>
      <c r="B243" s="437" t="s">
        <v>9578</v>
      </c>
      <c r="C243" s="437" t="s">
        <v>17941</v>
      </c>
      <c r="D243" s="437" t="s">
        <v>7048</v>
      </c>
      <c r="E243" s="438">
        <v>45598.0</v>
      </c>
      <c r="F243" s="438">
        <v>46692.0</v>
      </c>
      <c r="G243" s="437" t="s">
        <v>9459</v>
      </c>
    </row>
    <row r="244">
      <c r="A244" s="437" t="s">
        <v>11655</v>
      </c>
      <c r="B244" s="437" t="s">
        <v>15148</v>
      </c>
      <c r="C244" s="437" t="s">
        <v>17942</v>
      </c>
      <c r="D244" s="437" t="s">
        <v>7149</v>
      </c>
      <c r="E244" s="438">
        <v>45598.0</v>
      </c>
      <c r="F244" s="438">
        <v>46692.0</v>
      </c>
      <c r="G244" s="437" t="s">
        <v>2320</v>
      </c>
    </row>
    <row r="245">
      <c r="A245" s="437" t="s">
        <v>17427</v>
      </c>
      <c r="B245" s="437" t="s">
        <v>17428</v>
      </c>
      <c r="C245" s="437" t="s">
        <v>7335</v>
      </c>
      <c r="D245" s="437" t="s">
        <v>6993</v>
      </c>
      <c r="E245" s="437" t="s">
        <v>17781</v>
      </c>
      <c r="F245" s="437" t="s">
        <v>17782</v>
      </c>
      <c r="G245" s="437" t="s">
        <v>4974</v>
      </c>
    </row>
    <row r="246">
      <c r="A246" s="437" t="s">
        <v>9996</v>
      </c>
      <c r="B246" s="437" t="s">
        <v>9997</v>
      </c>
      <c r="C246" s="437" t="s">
        <v>17943</v>
      </c>
      <c r="D246" s="437" t="s">
        <v>7048</v>
      </c>
      <c r="E246" s="437" t="s">
        <v>17759</v>
      </c>
      <c r="F246" s="437" t="s">
        <v>17760</v>
      </c>
      <c r="G246" s="437" t="s">
        <v>4044</v>
      </c>
    </row>
    <row r="247">
      <c r="A247" s="437" t="s">
        <v>13834</v>
      </c>
      <c r="B247" s="437" t="s">
        <v>13835</v>
      </c>
      <c r="C247" s="437" t="s">
        <v>17142</v>
      </c>
      <c r="D247" s="437" t="s">
        <v>7048</v>
      </c>
      <c r="E247" s="437" t="s">
        <v>17759</v>
      </c>
      <c r="F247" s="437" t="s">
        <v>17760</v>
      </c>
      <c r="G247" s="437" t="s">
        <v>17893</v>
      </c>
    </row>
    <row r="248">
      <c r="A248" s="437" t="s">
        <v>16481</v>
      </c>
      <c r="B248" s="437" t="s">
        <v>16482</v>
      </c>
      <c r="C248" s="437" t="s">
        <v>17944</v>
      </c>
      <c r="D248" s="437" t="s">
        <v>7048</v>
      </c>
      <c r="E248" s="437" t="s">
        <v>17759</v>
      </c>
      <c r="F248" s="437" t="s">
        <v>17760</v>
      </c>
      <c r="G248" s="437" t="s">
        <v>3216</v>
      </c>
    </row>
    <row r="249">
      <c r="A249" s="437" t="s">
        <v>16476</v>
      </c>
      <c r="B249" s="437" t="s">
        <v>16477</v>
      </c>
      <c r="C249" s="437" t="s">
        <v>17945</v>
      </c>
      <c r="D249" s="437" t="s">
        <v>7048</v>
      </c>
      <c r="E249" s="437" t="s">
        <v>17759</v>
      </c>
      <c r="F249" s="437" t="s">
        <v>17760</v>
      </c>
      <c r="G249" s="437" t="s">
        <v>3216</v>
      </c>
    </row>
    <row r="250">
      <c r="A250" s="437" t="s">
        <v>14040</v>
      </c>
      <c r="B250" s="437" t="s">
        <v>16472</v>
      </c>
      <c r="C250" s="437" t="s">
        <v>17946</v>
      </c>
      <c r="D250" s="437" t="s">
        <v>7048</v>
      </c>
      <c r="E250" s="437" t="s">
        <v>17759</v>
      </c>
      <c r="F250" s="437" t="s">
        <v>17760</v>
      </c>
      <c r="G250" s="437" t="s">
        <v>3216</v>
      </c>
    </row>
    <row r="251">
      <c r="A251" s="437" t="s">
        <v>14164</v>
      </c>
      <c r="B251" s="437" t="s">
        <v>14165</v>
      </c>
      <c r="C251" s="437" t="s">
        <v>17947</v>
      </c>
      <c r="D251" s="437" t="s">
        <v>6993</v>
      </c>
      <c r="E251" s="437" t="s">
        <v>17759</v>
      </c>
      <c r="F251" s="437" t="s">
        <v>17760</v>
      </c>
      <c r="G251" s="437" t="s">
        <v>6393</v>
      </c>
    </row>
    <row r="252">
      <c r="A252" s="437" t="s">
        <v>14695</v>
      </c>
      <c r="B252" s="437" t="s">
        <v>14696</v>
      </c>
      <c r="C252" s="437" t="s">
        <v>17948</v>
      </c>
      <c r="D252" s="437" t="s">
        <v>6993</v>
      </c>
      <c r="E252" s="437" t="s">
        <v>17759</v>
      </c>
      <c r="F252" s="437" t="s">
        <v>17760</v>
      </c>
      <c r="G252" s="437" t="s">
        <v>13682</v>
      </c>
    </row>
    <row r="253">
      <c r="A253" s="437" t="s">
        <v>12525</v>
      </c>
      <c r="B253" s="437" t="s">
        <v>12526</v>
      </c>
      <c r="C253" s="437" t="s">
        <v>17949</v>
      </c>
      <c r="D253" s="437" t="s">
        <v>6993</v>
      </c>
      <c r="E253" s="437" t="s">
        <v>17759</v>
      </c>
      <c r="F253" s="437" t="s">
        <v>17760</v>
      </c>
      <c r="G253" s="437" t="s">
        <v>12557</v>
      </c>
    </row>
    <row r="254">
      <c r="A254" s="437" t="s">
        <v>13951</v>
      </c>
      <c r="B254" s="437" t="s">
        <v>13952</v>
      </c>
      <c r="C254" s="437" t="s">
        <v>7065</v>
      </c>
      <c r="D254" s="437" t="s">
        <v>6993</v>
      </c>
      <c r="E254" s="437" t="s">
        <v>17759</v>
      </c>
      <c r="F254" s="437" t="s">
        <v>17760</v>
      </c>
      <c r="G254" s="437" t="s">
        <v>6935</v>
      </c>
    </row>
    <row r="255">
      <c r="A255" s="437" t="s">
        <v>9949</v>
      </c>
      <c r="B255" s="437" t="s">
        <v>9950</v>
      </c>
      <c r="C255" s="437" t="s">
        <v>17950</v>
      </c>
      <c r="D255" s="437" t="s">
        <v>6993</v>
      </c>
      <c r="E255" s="437" t="s">
        <v>17759</v>
      </c>
      <c r="F255" s="437" t="s">
        <v>17760</v>
      </c>
      <c r="G255" s="437" t="s">
        <v>9774</v>
      </c>
    </row>
    <row r="256">
      <c r="A256" s="437" t="s">
        <v>14055</v>
      </c>
      <c r="B256" s="437" t="s">
        <v>14056</v>
      </c>
      <c r="C256" s="437" t="s">
        <v>9193</v>
      </c>
      <c r="D256" s="437" t="s">
        <v>8739</v>
      </c>
      <c r="E256" s="437" t="s">
        <v>17759</v>
      </c>
      <c r="F256" s="437" t="s">
        <v>17760</v>
      </c>
      <c r="G256" s="437" t="s">
        <v>8806</v>
      </c>
    </row>
    <row r="257">
      <c r="A257" s="437" t="s">
        <v>15796</v>
      </c>
      <c r="B257" s="437" t="s">
        <v>15797</v>
      </c>
      <c r="C257" s="437" t="s">
        <v>8183</v>
      </c>
      <c r="D257" s="437" t="s">
        <v>8146</v>
      </c>
      <c r="E257" s="437" t="s">
        <v>17759</v>
      </c>
      <c r="F257" s="437" t="s">
        <v>17760</v>
      </c>
      <c r="G257" s="437" t="s">
        <v>15453</v>
      </c>
    </row>
    <row r="258">
      <c r="A258" s="437" t="s">
        <v>15076</v>
      </c>
      <c r="B258" s="437" t="s">
        <v>11298</v>
      </c>
      <c r="C258" s="437" t="s">
        <v>8145</v>
      </c>
      <c r="D258" s="437" t="s">
        <v>8146</v>
      </c>
      <c r="E258" s="437" t="s">
        <v>17759</v>
      </c>
      <c r="F258" s="437" t="s">
        <v>17760</v>
      </c>
      <c r="G258" s="437" t="s">
        <v>8136</v>
      </c>
    </row>
    <row r="259">
      <c r="A259" s="437" t="s">
        <v>13721</v>
      </c>
      <c r="B259" s="437" t="s">
        <v>13722</v>
      </c>
      <c r="C259" s="437" t="s">
        <v>9223</v>
      </c>
      <c r="D259" s="437" t="s">
        <v>8146</v>
      </c>
      <c r="E259" s="437" t="s">
        <v>17759</v>
      </c>
      <c r="F259" s="437" t="s">
        <v>17760</v>
      </c>
      <c r="G259" s="437" t="s">
        <v>6935</v>
      </c>
    </row>
    <row r="260">
      <c r="A260" s="437" t="s">
        <v>9640</v>
      </c>
      <c r="B260" s="437" t="s">
        <v>9641</v>
      </c>
      <c r="C260" s="437" t="s">
        <v>17223</v>
      </c>
      <c r="D260" s="437" t="s">
        <v>8146</v>
      </c>
      <c r="E260" s="437" t="s">
        <v>17759</v>
      </c>
      <c r="F260" s="437" t="s">
        <v>17760</v>
      </c>
      <c r="G260" s="437" t="s">
        <v>4044</v>
      </c>
    </row>
    <row r="261">
      <c r="A261" s="437" t="s">
        <v>13901</v>
      </c>
      <c r="B261" s="437" t="s">
        <v>13909</v>
      </c>
      <c r="C261" s="437" t="s">
        <v>8185</v>
      </c>
      <c r="D261" s="437" t="s">
        <v>8146</v>
      </c>
      <c r="E261" s="437" t="s">
        <v>17759</v>
      </c>
      <c r="F261" s="437" t="s">
        <v>17760</v>
      </c>
      <c r="G261" s="437" t="s">
        <v>15453</v>
      </c>
    </row>
    <row r="262">
      <c r="A262" s="437" t="s">
        <v>15402</v>
      </c>
      <c r="B262" s="437" t="s">
        <v>15403</v>
      </c>
      <c r="C262" s="437" t="s">
        <v>17951</v>
      </c>
      <c r="D262" s="437" t="s">
        <v>9562</v>
      </c>
      <c r="E262" s="437" t="s">
        <v>17759</v>
      </c>
      <c r="F262" s="437" t="s">
        <v>17760</v>
      </c>
      <c r="G262" s="437" t="s">
        <v>13682</v>
      </c>
    </row>
    <row r="263">
      <c r="A263" s="437" t="s">
        <v>13888</v>
      </c>
      <c r="B263" s="437" t="s">
        <v>13889</v>
      </c>
      <c r="C263" s="437" t="s">
        <v>17952</v>
      </c>
      <c r="D263" s="437" t="s">
        <v>9562</v>
      </c>
      <c r="E263" s="437" t="s">
        <v>17759</v>
      </c>
      <c r="F263" s="437" t="s">
        <v>17760</v>
      </c>
      <c r="G263" s="437" t="s">
        <v>2942</v>
      </c>
    </row>
    <row r="264">
      <c r="A264" s="437" t="s">
        <v>16044</v>
      </c>
      <c r="B264" s="437" t="s">
        <v>16045</v>
      </c>
      <c r="C264" s="437" t="s">
        <v>17953</v>
      </c>
      <c r="D264" s="437" t="s">
        <v>7048</v>
      </c>
      <c r="E264" s="437" t="s">
        <v>17759</v>
      </c>
      <c r="F264" s="437" t="s">
        <v>17760</v>
      </c>
      <c r="G264" s="437" t="s">
        <v>13992</v>
      </c>
    </row>
    <row r="265">
      <c r="A265" s="437" t="s">
        <v>11914</v>
      </c>
      <c r="B265" s="437" t="s">
        <v>11915</v>
      </c>
      <c r="C265" s="437" t="s">
        <v>17954</v>
      </c>
      <c r="D265" s="437" t="s">
        <v>7048</v>
      </c>
      <c r="E265" s="437" t="s">
        <v>17759</v>
      </c>
      <c r="F265" s="437" t="s">
        <v>17760</v>
      </c>
      <c r="G265" s="437" t="s">
        <v>4509</v>
      </c>
    </row>
    <row r="266">
      <c r="A266" s="437" t="s">
        <v>12879</v>
      </c>
      <c r="B266" s="437" t="s">
        <v>12880</v>
      </c>
      <c r="C266" s="437" t="s">
        <v>7622</v>
      </c>
      <c r="D266" s="437" t="s">
        <v>7048</v>
      </c>
      <c r="E266" s="437" t="s">
        <v>17759</v>
      </c>
      <c r="F266" s="437" t="s">
        <v>17760</v>
      </c>
      <c r="G266" s="437" t="s">
        <v>7621</v>
      </c>
    </row>
    <row r="267">
      <c r="A267" s="437" t="s">
        <v>15248</v>
      </c>
      <c r="B267" s="437" t="s">
        <v>15249</v>
      </c>
      <c r="C267" s="437" t="s">
        <v>17955</v>
      </c>
      <c r="D267" s="437" t="s">
        <v>7048</v>
      </c>
      <c r="E267" s="437" t="s">
        <v>17759</v>
      </c>
      <c r="F267" s="437" t="s">
        <v>17760</v>
      </c>
      <c r="G267" s="437" t="s">
        <v>1349</v>
      </c>
    </row>
    <row r="268">
      <c r="A268" s="437" t="s">
        <v>15007</v>
      </c>
      <c r="B268" s="437" t="s">
        <v>15009</v>
      </c>
      <c r="C268" s="437" t="s">
        <v>8008</v>
      </c>
      <c r="D268" s="437" t="s">
        <v>7048</v>
      </c>
      <c r="E268" s="437" t="s">
        <v>17759</v>
      </c>
      <c r="F268" s="437" t="s">
        <v>17760</v>
      </c>
      <c r="G268" s="437" t="s">
        <v>2269</v>
      </c>
    </row>
    <row r="269">
      <c r="A269" s="437" t="s">
        <v>13901</v>
      </c>
      <c r="B269" s="437" t="s">
        <v>13904</v>
      </c>
      <c r="C269" s="437" t="s">
        <v>9346</v>
      </c>
      <c r="D269" s="437" t="s">
        <v>7048</v>
      </c>
      <c r="E269" s="437" t="s">
        <v>17759</v>
      </c>
      <c r="F269" s="437" t="s">
        <v>17760</v>
      </c>
      <c r="G269" s="437" t="s">
        <v>2127</v>
      </c>
    </row>
    <row r="270">
      <c r="A270" s="437" t="s">
        <v>13667</v>
      </c>
      <c r="B270" s="437" t="s">
        <v>13668</v>
      </c>
      <c r="C270" s="437" t="s">
        <v>7482</v>
      </c>
      <c r="D270" s="437" t="s">
        <v>7048</v>
      </c>
      <c r="E270" s="437" t="s">
        <v>17759</v>
      </c>
      <c r="F270" s="437" t="s">
        <v>17760</v>
      </c>
      <c r="G270" s="437" t="s">
        <v>7454</v>
      </c>
    </row>
    <row r="271">
      <c r="A271" s="437" t="s">
        <v>12053</v>
      </c>
      <c r="B271" s="437" t="s">
        <v>12054</v>
      </c>
      <c r="C271" s="437" t="s">
        <v>17956</v>
      </c>
      <c r="D271" s="437" t="s">
        <v>6993</v>
      </c>
      <c r="E271" s="437" t="s">
        <v>17759</v>
      </c>
      <c r="F271" s="437" t="s">
        <v>17760</v>
      </c>
      <c r="G271" s="437" t="s">
        <v>17832</v>
      </c>
    </row>
    <row r="272">
      <c r="A272" s="437" t="s">
        <v>12009</v>
      </c>
      <c r="B272" s="437" t="s">
        <v>12010</v>
      </c>
      <c r="C272" s="437" t="s">
        <v>17957</v>
      </c>
      <c r="D272" s="437" t="s">
        <v>6993</v>
      </c>
      <c r="E272" s="437" t="s">
        <v>17759</v>
      </c>
      <c r="F272" s="437" t="s">
        <v>17760</v>
      </c>
      <c r="G272" s="437" t="s">
        <v>4509</v>
      </c>
    </row>
    <row r="273">
      <c r="A273" s="437" t="s">
        <v>9652</v>
      </c>
      <c r="B273" s="437" t="s">
        <v>9653</v>
      </c>
      <c r="C273" s="437" t="s">
        <v>17958</v>
      </c>
      <c r="D273" s="437" t="s">
        <v>6993</v>
      </c>
      <c r="E273" s="437" t="s">
        <v>17759</v>
      </c>
      <c r="F273" s="437" t="s">
        <v>17760</v>
      </c>
      <c r="G273" s="437" t="s">
        <v>9774</v>
      </c>
    </row>
    <row r="274">
      <c r="A274" s="437" t="s">
        <v>17357</v>
      </c>
      <c r="B274" s="437" t="s">
        <v>17358</v>
      </c>
      <c r="C274" s="437" t="s">
        <v>8116</v>
      </c>
      <c r="D274" s="437" t="s">
        <v>6993</v>
      </c>
      <c r="E274" s="437" t="s">
        <v>17759</v>
      </c>
      <c r="F274" s="437" t="s">
        <v>17760</v>
      </c>
      <c r="G274" s="437" t="s">
        <v>3322</v>
      </c>
    </row>
    <row r="275">
      <c r="A275" s="437" t="s">
        <v>12348</v>
      </c>
      <c r="B275" s="437" t="s">
        <v>12349</v>
      </c>
      <c r="C275" s="437" t="s">
        <v>9170</v>
      </c>
      <c r="D275" s="437" t="s">
        <v>6993</v>
      </c>
      <c r="E275" s="437" t="s">
        <v>17759</v>
      </c>
      <c r="F275" s="437" t="s">
        <v>17760</v>
      </c>
      <c r="G275" s="437" t="s">
        <v>2265</v>
      </c>
    </row>
    <row r="276">
      <c r="A276" s="437" t="s">
        <v>15535</v>
      </c>
      <c r="B276" s="437" t="s">
        <v>15539</v>
      </c>
      <c r="C276" s="437" t="s">
        <v>17959</v>
      </c>
      <c r="D276" s="437" t="s">
        <v>7299</v>
      </c>
      <c r="E276" s="437" t="s">
        <v>17761</v>
      </c>
      <c r="F276" s="437" t="s">
        <v>17762</v>
      </c>
      <c r="G276" s="437" t="s">
        <v>6935</v>
      </c>
    </row>
    <row r="277">
      <c r="A277" s="437" t="s">
        <v>13748</v>
      </c>
      <c r="B277" s="437" t="s">
        <v>13749</v>
      </c>
      <c r="C277" s="437" t="s">
        <v>17960</v>
      </c>
      <c r="D277" s="437" t="s">
        <v>7048</v>
      </c>
      <c r="E277" s="437" t="s">
        <v>17761</v>
      </c>
      <c r="F277" s="437" t="s">
        <v>17762</v>
      </c>
      <c r="G277" s="437" t="s">
        <v>2926</v>
      </c>
    </row>
    <row r="278">
      <c r="A278" s="437" t="s">
        <v>15309</v>
      </c>
      <c r="B278" s="437" t="s">
        <v>15310</v>
      </c>
      <c r="C278" s="437" t="s">
        <v>17299</v>
      </c>
      <c r="D278" s="437" t="s">
        <v>7048</v>
      </c>
      <c r="E278" s="437" t="s">
        <v>17761</v>
      </c>
      <c r="F278" s="437" t="s">
        <v>17762</v>
      </c>
      <c r="G278" s="437" t="s">
        <v>13682</v>
      </c>
    </row>
    <row r="279">
      <c r="A279" s="437" t="s">
        <v>9477</v>
      </c>
      <c r="B279" s="437" t="s">
        <v>9478</v>
      </c>
      <c r="C279" s="437" t="s">
        <v>9283</v>
      </c>
      <c r="D279" s="437" t="s">
        <v>7048</v>
      </c>
      <c r="E279" s="437" t="s">
        <v>17761</v>
      </c>
      <c r="F279" s="437" t="s">
        <v>17762</v>
      </c>
      <c r="G279" s="437" t="s">
        <v>9241</v>
      </c>
    </row>
    <row r="280">
      <c r="A280" s="437" t="s">
        <v>13192</v>
      </c>
      <c r="B280" s="437" t="s">
        <v>13193</v>
      </c>
      <c r="C280" s="437" t="s">
        <v>17961</v>
      </c>
      <c r="D280" s="437" t="s">
        <v>7048</v>
      </c>
      <c r="E280" s="437" t="s">
        <v>17761</v>
      </c>
      <c r="F280" s="437" t="s">
        <v>17762</v>
      </c>
      <c r="G280" s="437" t="s">
        <v>3903</v>
      </c>
    </row>
    <row r="281">
      <c r="A281" s="437" t="s">
        <v>9416</v>
      </c>
      <c r="B281" s="437" t="s">
        <v>9417</v>
      </c>
      <c r="C281" s="437" t="s">
        <v>8690</v>
      </c>
      <c r="D281" s="437" t="s">
        <v>7357</v>
      </c>
      <c r="E281" s="437" t="s">
        <v>17761</v>
      </c>
      <c r="F281" s="437" t="s">
        <v>17762</v>
      </c>
      <c r="G281" s="437" t="s">
        <v>17783</v>
      </c>
    </row>
    <row r="282">
      <c r="A282" s="437" t="s">
        <v>13399</v>
      </c>
      <c r="B282" s="437" t="s">
        <v>13400</v>
      </c>
      <c r="C282" s="437" t="s">
        <v>8072</v>
      </c>
      <c r="D282" s="437" t="s">
        <v>7357</v>
      </c>
      <c r="E282" s="437" t="s">
        <v>17761</v>
      </c>
      <c r="F282" s="437" t="s">
        <v>17762</v>
      </c>
      <c r="G282" s="437" t="s">
        <v>2204</v>
      </c>
    </row>
    <row r="283">
      <c r="A283" s="437" t="s">
        <v>13740</v>
      </c>
      <c r="B283" s="437" t="s">
        <v>13741</v>
      </c>
      <c r="C283" s="437" t="s">
        <v>8080</v>
      </c>
      <c r="D283" s="437" t="s">
        <v>7357</v>
      </c>
      <c r="E283" s="437" t="s">
        <v>17761</v>
      </c>
      <c r="F283" s="437" t="s">
        <v>17762</v>
      </c>
      <c r="G283" s="437" t="s">
        <v>2204</v>
      </c>
    </row>
    <row r="284">
      <c r="A284" s="437" t="s">
        <v>10071</v>
      </c>
      <c r="B284" s="437" t="s">
        <v>10072</v>
      </c>
      <c r="C284" s="437" t="s">
        <v>17962</v>
      </c>
      <c r="D284" s="437" t="s">
        <v>7357</v>
      </c>
      <c r="E284" s="437" t="s">
        <v>17761</v>
      </c>
      <c r="F284" s="437" t="s">
        <v>17762</v>
      </c>
      <c r="G284" s="437" t="s">
        <v>17464</v>
      </c>
    </row>
    <row r="285">
      <c r="A285" s="437" t="s">
        <v>14593</v>
      </c>
      <c r="B285" s="437" t="s">
        <v>14594</v>
      </c>
      <c r="C285" s="437" t="s">
        <v>17103</v>
      </c>
      <c r="D285" s="437" t="s">
        <v>7357</v>
      </c>
      <c r="E285" s="437" t="s">
        <v>17761</v>
      </c>
      <c r="F285" s="437" t="s">
        <v>17963</v>
      </c>
      <c r="G285" s="437" t="s">
        <v>8609</v>
      </c>
    </row>
    <row r="286">
      <c r="A286" s="437" t="s">
        <v>12704</v>
      </c>
      <c r="B286" s="437" t="s">
        <v>12705</v>
      </c>
      <c r="C286" s="437" t="s">
        <v>7356</v>
      </c>
      <c r="D286" s="437" t="s">
        <v>7357</v>
      </c>
      <c r="E286" s="437" t="s">
        <v>17761</v>
      </c>
      <c r="F286" s="437" t="s">
        <v>17762</v>
      </c>
      <c r="G286" s="437" t="s">
        <v>6503</v>
      </c>
    </row>
    <row r="287">
      <c r="A287" s="437" t="s">
        <v>10098</v>
      </c>
      <c r="B287" s="437" t="s">
        <v>15523</v>
      </c>
      <c r="C287" s="437" t="s">
        <v>17964</v>
      </c>
      <c r="D287" s="437" t="s">
        <v>7357</v>
      </c>
      <c r="E287" s="437" t="s">
        <v>17761</v>
      </c>
      <c r="F287" s="437" t="s">
        <v>17762</v>
      </c>
      <c r="G287" s="437" t="s">
        <v>4978</v>
      </c>
    </row>
    <row r="288">
      <c r="A288" s="437" t="s">
        <v>13120</v>
      </c>
      <c r="B288" s="437" t="s">
        <v>13121</v>
      </c>
      <c r="C288" s="437" t="s">
        <v>8218</v>
      </c>
      <c r="D288" s="437" t="s">
        <v>7357</v>
      </c>
      <c r="E288" s="437" t="s">
        <v>17761</v>
      </c>
      <c r="F288" s="437" t="s">
        <v>17762</v>
      </c>
      <c r="G288" s="437" t="s">
        <v>15453</v>
      </c>
    </row>
    <row r="289">
      <c r="A289" s="437" t="s">
        <v>12553</v>
      </c>
      <c r="B289" s="437" t="s">
        <v>12554</v>
      </c>
      <c r="C289" s="437" t="s">
        <v>17965</v>
      </c>
      <c r="D289" s="437" t="s">
        <v>7357</v>
      </c>
      <c r="E289" s="437" t="s">
        <v>17761</v>
      </c>
      <c r="F289" s="437" t="s">
        <v>17762</v>
      </c>
      <c r="G289" s="437" t="s">
        <v>12557</v>
      </c>
    </row>
    <row r="290">
      <c r="A290" s="437" t="s">
        <v>13392</v>
      </c>
      <c r="B290" s="437" t="s">
        <v>10588</v>
      </c>
      <c r="C290" s="437" t="s">
        <v>17966</v>
      </c>
      <c r="D290" s="437" t="s">
        <v>13394</v>
      </c>
      <c r="E290" s="437" t="s">
        <v>17761</v>
      </c>
      <c r="F290" s="437" t="s">
        <v>17762</v>
      </c>
      <c r="G290" s="437" t="s">
        <v>13682</v>
      </c>
    </row>
    <row r="291">
      <c r="A291" s="437" t="s">
        <v>14368</v>
      </c>
      <c r="B291" s="437" t="s">
        <v>14369</v>
      </c>
      <c r="C291" s="437" t="s">
        <v>17967</v>
      </c>
      <c r="D291" s="437" t="s">
        <v>13394</v>
      </c>
      <c r="E291" s="437" t="s">
        <v>17761</v>
      </c>
      <c r="F291" s="437" t="s">
        <v>17762</v>
      </c>
      <c r="G291" s="437" t="s">
        <v>4978</v>
      </c>
    </row>
    <row r="292">
      <c r="A292" s="437" t="s">
        <v>15722</v>
      </c>
      <c r="B292" s="437" t="s">
        <v>15723</v>
      </c>
      <c r="C292" s="437" t="s">
        <v>17968</v>
      </c>
      <c r="D292" s="437" t="s">
        <v>13394</v>
      </c>
      <c r="E292" s="437" t="s">
        <v>17761</v>
      </c>
      <c r="F292" s="437" t="s">
        <v>17762</v>
      </c>
      <c r="G292" s="437" t="s">
        <v>2320</v>
      </c>
    </row>
    <row r="293">
      <c r="A293" s="437" t="s">
        <v>11961</v>
      </c>
      <c r="B293" s="437" t="s">
        <v>15566</v>
      </c>
      <c r="C293" s="437" t="s">
        <v>17969</v>
      </c>
      <c r="D293" s="437" t="s">
        <v>13394</v>
      </c>
      <c r="E293" s="437" t="s">
        <v>17761</v>
      </c>
      <c r="F293" s="437" t="s">
        <v>17762</v>
      </c>
      <c r="G293" s="437" t="s">
        <v>4978</v>
      </c>
    </row>
    <row r="294">
      <c r="A294" s="437" t="s">
        <v>15555</v>
      </c>
      <c r="B294" s="437" t="s">
        <v>15556</v>
      </c>
      <c r="C294" s="437" t="s">
        <v>17970</v>
      </c>
      <c r="D294" s="437" t="s">
        <v>13394</v>
      </c>
      <c r="E294" s="437" t="s">
        <v>17761</v>
      </c>
      <c r="F294" s="437" t="s">
        <v>17762</v>
      </c>
      <c r="G294" s="437" t="s">
        <v>13682</v>
      </c>
    </row>
    <row r="295">
      <c r="A295" s="437" t="s">
        <v>14268</v>
      </c>
      <c r="B295" s="437" t="s">
        <v>14269</v>
      </c>
      <c r="C295" s="437" t="s">
        <v>17283</v>
      </c>
      <c r="D295" s="437" t="s">
        <v>7005</v>
      </c>
      <c r="E295" s="437" t="s">
        <v>17788</v>
      </c>
      <c r="F295" s="437" t="s">
        <v>17789</v>
      </c>
      <c r="G295" s="437" t="s">
        <v>13682</v>
      </c>
    </row>
    <row r="296">
      <c r="A296" s="437" t="s">
        <v>9433</v>
      </c>
      <c r="B296" s="437" t="s">
        <v>9434</v>
      </c>
      <c r="C296" s="437" t="s">
        <v>8687</v>
      </c>
      <c r="D296" s="437" t="s">
        <v>6993</v>
      </c>
      <c r="E296" s="437" t="s">
        <v>17761</v>
      </c>
      <c r="F296" s="437" t="s">
        <v>17762</v>
      </c>
      <c r="G296" s="437" t="s">
        <v>17783</v>
      </c>
    </row>
    <row r="297">
      <c r="A297" s="437" t="s">
        <v>12570</v>
      </c>
      <c r="B297" s="437" t="s">
        <v>12571</v>
      </c>
      <c r="C297" s="437" t="s">
        <v>9219</v>
      </c>
      <c r="D297" s="437" t="s">
        <v>6993</v>
      </c>
      <c r="E297" s="437" t="s">
        <v>17761</v>
      </c>
      <c r="F297" s="437" t="s">
        <v>17762</v>
      </c>
      <c r="G297" s="437" t="s">
        <v>1652</v>
      </c>
    </row>
    <row r="298">
      <c r="A298" s="437" t="s">
        <v>16012</v>
      </c>
      <c r="B298" s="437" t="s">
        <v>16013</v>
      </c>
      <c r="C298" s="437" t="s">
        <v>8992</v>
      </c>
      <c r="D298" s="437" t="s">
        <v>6993</v>
      </c>
      <c r="E298" s="437" t="s">
        <v>17761</v>
      </c>
      <c r="F298" s="437" t="s">
        <v>17762</v>
      </c>
      <c r="G298" s="437" t="s">
        <v>9459</v>
      </c>
    </row>
    <row r="299">
      <c r="A299" s="437" t="s">
        <v>17763</v>
      </c>
      <c r="B299" s="437"/>
      <c r="C299" s="437" t="s">
        <v>17971</v>
      </c>
      <c r="D299" s="437" t="s">
        <v>6993</v>
      </c>
      <c r="E299" s="437" t="s">
        <v>17761</v>
      </c>
      <c r="F299" s="437" t="s">
        <v>17762</v>
      </c>
      <c r="G299" s="437" t="s">
        <v>17764</v>
      </c>
    </row>
    <row r="300">
      <c r="A300" s="437" t="s">
        <v>11643</v>
      </c>
      <c r="B300" s="437" t="s">
        <v>15138</v>
      </c>
      <c r="C300" s="437" t="s">
        <v>17214</v>
      </c>
      <c r="D300" s="437" t="s">
        <v>6993</v>
      </c>
      <c r="E300" s="437" t="s">
        <v>17761</v>
      </c>
      <c r="F300" s="437" t="s">
        <v>17762</v>
      </c>
      <c r="G300" s="437" t="s">
        <v>4044</v>
      </c>
    </row>
    <row r="301">
      <c r="A301" s="437" t="s">
        <v>15988</v>
      </c>
      <c r="B301" s="437" t="s">
        <v>15989</v>
      </c>
      <c r="C301" s="437" t="s">
        <v>17972</v>
      </c>
      <c r="D301" s="437" t="s">
        <v>6993</v>
      </c>
      <c r="E301" s="437" t="s">
        <v>17761</v>
      </c>
      <c r="F301" s="437" t="s">
        <v>17762</v>
      </c>
      <c r="G301" s="437" t="s">
        <v>13992</v>
      </c>
    </row>
    <row r="302">
      <c r="A302" s="437" t="s">
        <v>13968</v>
      </c>
      <c r="B302" s="437" t="s">
        <v>13969</v>
      </c>
      <c r="C302" s="437" t="s">
        <v>17973</v>
      </c>
      <c r="D302" s="437" t="s">
        <v>7149</v>
      </c>
      <c r="E302" s="437" t="s">
        <v>17761</v>
      </c>
      <c r="F302" s="437" t="s">
        <v>17762</v>
      </c>
      <c r="G302" s="437" t="s">
        <v>13682</v>
      </c>
    </row>
    <row r="303">
      <c r="A303" s="437" t="s">
        <v>12576</v>
      </c>
      <c r="B303" s="437" t="s">
        <v>12577</v>
      </c>
      <c r="C303" s="437" t="s">
        <v>16693</v>
      </c>
      <c r="D303" s="437" t="s">
        <v>7048</v>
      </c>
      <c r="E303" s="437" t="s">
        <v>17761</v>
      </c>
      <c r="F303" s="437" t="s">
        <v>17762</v>
      </c>
      <c r="G303" s="437" t="s">
        <v>12557</v>
      </c>
    </row>
    <row r="304">
      <c r="A304" s="437" t="s">
        <v>17763</v>
      </c>
      <c r="B304" s="437"/>
      <c r="C304" s="437" t="s">
        <v>17974</v>
      </c>
      <c r="D304" s="437" t="s">
        <v>7005</v>
      </c>
      <c r="E304" s="438">
        <v>45236.0</v>
      </c>
      <c r="F304" s="439">
        <v>45972.0</v>
      </c>
      <c r="G304" s="437" t="s">
        <v>17764</v>
      </c>
    </row>
    <row r="305">
      <c r="A305" s="437" t="s">
        <v>10675</v>
      </c>
      <c r="B305" s="437" t="s">
        <v>13672</v>
      </c>
      <c r="C305" s="437" t="s">
        <v>17248</v>
      </c>
      <c r="D305" s="437" t="s">
        <v>7005</v>
      </c>
      <c r="E305" s="438">
        <v>45236.0</v>
      </c>
      <c r="F305" s="439">
        <v>45972.0</v>
      </c>
      <c r="G305" s="437" t="s">
        <v>8901</v>
      </c>
    </row>
    <row r="306">
      <c r="A306" s="437" t="s">
        <v>15603</v>
      </c>
      <c r="B306" s="437" t="s">
        <v>15604</v>
      </c>
      <c r="C306" s="437" t="s">
        <v>8738</v>
      </c>
      <c r="D306" s="437" t="s">
        <v>8739</v>
      </c>
      <c r="E306" s="437" t="s">
        <v>17781</v>
      </c>
      <c r="F306" s="437" t="s">
        <v>17782</v>
      </c>
      <c r="G306" s="437" t="s">
        <v>456</v>
      </c>
    </row>
    <row r="307">
      <c r="A307" s="437" t="s">
        <v>12534</v>
      </c>
      <c r="B307" s="437" t="s">
        <v>12535</v>
      </c>
      <c r="C307" s="437" t="s">
        <v>16695</v>
      </c>
      <c r="D307" s="437" t="s">
        <v>7005</v>
      </c>
      <c r="E307" s="438">
        <v>45236.0</v>
      </c>
      <c r="F307" s="439">
        <v>45972.0</v>
      </c>
      <c r="G307" s="437" t="s">
        <v>12557</v>
      </c>
    </row>
    <row r="308">
      <c r="A308" s="437" t="s">
        <v>12045</v>
      </c>
      <c r="B308" s="437" t="s">
        <v>12613</v>
      </c>
      <c r="C308" s="437" t="s">
        <v>7339</v>
      </c>
      <c r="D308" s="437" t="s">
        <v>6993</v>
      </c>
      <c r="E308" s="437" t="s">
        <v>17781</v>
      </c>
      <c r="F308" s="437" t="s">
        <v>17782</v>
      </c>
      <c r="G308" s="437" t="s">
        <v>1648</v>
      </c>
    </row>
    <row r="309">
      <c r="A309" s="437" t="s">
        <v>14511</v>
      </c>
      <c r="B309" s="437" t="s">
        <v>14512</v>
      </c>
      <c r="C309" s="437" t="s">
        <v>17975</v>
      </c>
      <c r="D309" s="437" t="s">
        <v>6993</v>
      </c>
      <c r="E309" s="437" t="s">
        <v>17769</v>
      </c>
      <c r="F309" s="437" t="s">
        <v>17770</v>
      </c>
      <c r="G309" s="437" t="s">
        <v>13992</v>
      </c>
    </row>
    <row r="310">
      <c r="A310" s="437" t="s">
        <v>14354</v>
      </c>
      <c r="B310" s="437" t="s">
        <v>14355</v>
      </c>
      <c r="C310" s="437" t="s">
        <v>17976</v>
      </c>
      <c r="D310" s="437" t="s">
        <v>6993</v>
      </c>
      <c r="E310" s="437" t="s">
        <v>17769</v>
      </c>
      <c r="F310" s="437" t="s">
        <v>17770</v>
      </c>
      <c r="G310" s="437" t="s">
        <v>13992</v>
      </c>
    </row>
    <row r="311">
      <c r="A311" s="437" t="s">
        <v>10666</v>
      </c>
      <c r="B311" s="437" t="s">
        <v>13706</v>
      </c>
      <c r="C311" s="437" t="s">
        <v>17977</v>
      </c>
      <c r="D311" s="437" t="s">
        <v>6993</v>
      </c>
      <c r="E311" s="437" t="s">
        <v>17769</v>
      </c>
      <c r="F311" s="437" t="s">
        <v>17770</v>
      </c>
      <c r="G311" s="437" t="s">
        <v>13992</v>
      </c>
    </row>
    <row r="312">
      <c r="A312" s="437" t="s">
        <v>12240</v>
      </c>
      <c r="B312" s="437" t="s">
        <v>15960</v>
      </c>
      <c r="C312" s="437" t="s">
        <v>17978</v>
      </c>
      <c r="D312" s="437" t="s">
        <v>7048</v>
      </c>
      <c r="E312" s="437" t="s">
        <v>17769</v>
      </c>
      <c r="F312" s="437" t="s">
        <v>17770</v>
      </c>
      <c r="G312" s="437" t="s">
        <v>13992</v>
      </c>
    </row>
    <row r="313">
      <c r="A313" s="437" t="s">
        <v>9830</v>
      </c>
      <c r="B313" s="437" t="s">
        <v>14965</v>
      </c>
      <c r="C313" s="437" t="s">
        <v>8273</v>
      </c>
      <c r="D313" s="437" t="s">
        <v>7048</v>
      </c>
      <c r="E313" s="437" t="s">
        <v>17769</v>
      </c>
      <c r="F313" s="437" t="s">
        <v>17770</v>
      </c>
      <c r="G313" s="437" t="s">
        <v>1311</v>
      </c>
    </row>
    <row r="314">
      <c r="A314" s="437" t="s">
        <v>15629</v>
      </c>
      <c r="B314" s="437" t="s">
        <v>15630</v>
      </c>
      <c r="C314" s="437" t="s">
        <v>17979</v>
      </c>
      <c r="D314" s="437" t="s">
        <v>7048</v>
      </c>
      <c r="E314" s="437" t="s">
        <v>17769</v>
      </c>
      <c r="F314" s="437" t="s">
        <v>17770</v>
      </c>
      <c r="G314" s="437" t="s">
        <v>13992</v>
      </c>
    </row>
    <row r="315">
      <c r="A315" s="437" t="s">
        <v>9674</v>
      </c>
      <c r="B315" s="437" t="s">
        <v>12530</v>
      </c>
      <c r="C315" s="437" t="s">
        <v>16690</v>
      </c>
      <c r="D315" s="437" t="s">
        <v>7048</v>
      </c>
      <c r="E315" s="437" t="s">
        <v>17769</v>
      </c>
      <c r="F315" s="437" t="s">
        <v>17770</v>
      </c>
      <c r="G315" s="437" t="s">
        <v>12557</v>
      </c>
    </row>
    <row r="316">
      <c r="A316" s="437" t="s">
        <v>12922</v>
      </c>
      <c r="B316" s="437" t="s">
        <v>12923</v>
      </c>
      <c r="C316" s="437" t="s">
        <v>7201</v>
      </c>
      <c r="D316" s="437" t="s">
        <v>7048</v>
      </c>
      <c r="E316" s="437" t="s">
        <v>17769</v>
      </c>
      <c r="F316" s="437" t="s">
        <v>17770</v>
      </c>
      <c r="G316" s="437" t="s">
        <v>7550</v>
      </c>
    </row>
    <row r="317">
      <c r="A317" s="437" t="s">
        <v>13047</v>
      </c>
      <c r="B317" s="437" t="s">
        <v>13048</v>
      </c>
      <c r="C317" s="437" t="s">
        <v>17980</v>
      </c>
      <c r="D317" s="437" t="s">
        <v>7048</v>
      </c>
      <c r="E317" s="437" t="s">
        <v>17769</v>
      </c>
      <c r="F317" s="437" t="s">
        <v>17770</v>
      </c>
      <c r="G317" s="437" t="s">
        <v>13992</v>
      </c>
    </row>
    <row r="318">
      <c r="A318" s="437" t="s">
        <v>14103</v>
      </c>
      <c r="B318" s="437" t="s">
        <v>14104</v>
      </c>
      <c r="C318" s="437" t="s">
        <v>7450</v>
      </c>
      <c r="D318" s="437" t="s">
        <v>7048</v>
      </c>
      <c r="E318" s="437" t="s">
        <v>17769</v>
      </c>
      <c r="F318" s="437" t="s">
        <v>17770</v>
      </c>
      <c r="G318" s="437" t="s">
        <v>13992</v>
      </c>
    </row>
    <row r="319">
      <c r="A319" s="437" t="s">
        <v>15232</v>
      </c>
      <c r="B319" s="437" t="s">
        <v>15233</v>
      </c>
      <c r="C319" s="437" t="s">
        <v>9209</v>
      </c>
      <c r="D319" s="437" t="s">
        <v>7048</v>
      </c>
      <c r="E319" s="437" t="s">
        <v>17769</v>
      </c>
      <c r="F319" s="437" t="s">
        <v>17770</v>
      </c>
      <c r="G319" s="437" t="s">
        <v>17898</v>
      </c>
    </row>
    <row r="320">
      <c r="A320" s="437" t="s">
        <v>14939</v>
      </c>
      <c r="B320" s="437" t="s">
        <v>14940</v>
      </c>
      <c r="C320" s="437" t="s">
        <v>16594</v>
      </c>
      <c r="D320" s="437" t="s">
        <v>6993</v>
      </c>
      <c r="E320" s="437" t="s">
        <v>17769</v>
      </c>
      <c r="F320" s="437" t="s">
        <v>17770</v>
      </c>
      <c r="G320" s="437" t="s">
        <v>6935</v>
      </c>
    </row>
    <row r="321">
      <c r="A321" s="437" t="s">
        <v>15357</v>
      </c>
      <c r="B321" s="437" t="s">
        <v>15358</v>
      </c>
      <c r="C321" s="437" t="s">
        <v>8083</v>
      </c>
      <c r="D321" s="437" t="s">
        <v>6993</v>
      </c>
      <c r="E321" s="437" t="s">
        <v>17769</v>
      </c>
      <c r="F321" s="437" t="s">
        <v>17770</v>
      </c>
      <c r="G321" s="437" t="s">
        <v>2204</v>
      </c>
    </row>
    <row r="322">
      <c r="A322" s="437" t="s">
        <v>3158</v>
      </c>
      <c r="B322" s="437" t="s">
        <v>13139</v>
      </c>
      <c r="C322" s="437" t="s">
        <v>17981</v>
      </c>
      <c r="D322" s="437" t="s">
        <v>6993</v>
      </c>
      <c r="E322" s="437" t="s">
        <v>17769</v>
      </c>
      <c r="F322" s="437" t="s">
        <v>17770</v>
      </c>
      <c r="G322" s="437" t="s">
        <v>456</v>
      </c>
    </row>
    <row r="323">
      <c r="A323" s="437" t="s">
        <v>13663</v>
      </c>
      <c r="B323" s="437" t="s">
        <v>13664</v>
      </c>
      <c r="C323" s="437" t="s">
        <v>8985</v>
      </c>
      <c r="D323" s="437" t="s">
        <v>6993</v>
      </c>
      <c r="E323" s="437" t="s">
        <v>17781</v>
      </c>
      <c r="F323" s="437" t="s">
        <v>17782</v>
      </c>
      <c r="G323" s="437" t="s">
        <v>9459</v>
      </c>
    </row>
    <row r="324">
      <c r="A324" s="437" t="s">
        <v>12231</v>
      </c>
      <c r="B324" s="437" t="s">
        <v>12232</v>
      </c>
      <c r="C324" s="437" t="s">
        <v>17982</v>
      </c>
      <c r="D324" s="437" t="s">
        <v>6993</v>
      </c>
      <c r="E324" s="437" t="s">
        <v>17781</v>
      </c>
      <c r="F324" s="437" t="s">
        <v>17782</v>
      </c>
      <c r="G324" s="437" t="s">
        <v>4509</v>
      </c>
    </row>
    <row r="325">
      <c r="A325" s="437" t="s">
        <v>12515</v>
      </c>
      <c r="B325" s="437" t="s">
        <v>13858</v>
      </c>
      <c r="C325" s="437" t="s">
        <v>8928</v>
      </c>
      <c r="D325" s="437" t="s">
        <v>6993</v>
      </c>
      <c r="E325" s="437" t="s">
        <v>17781</v>
      </c>
      <c r="F325" s="437" t="s">
        <v>17782</v>
      </c>
      <c r="G325" s="437" t="s">
        <v>456</v>
      </c>
    </row>
    <row r="326">
      <c r="A326" s="437" t="s">
        <v>14817</v>
      </c>
      <c r="B326" s="437" t="s">
        <v>14818</v>
      </c>
      <c r="C326" s="437" t="s">
        <v>17983</v>
      </c>
      <c r="D326" s="437" t="s">
        <v>6993</v>
      </c>
      <c r="E326" s="437" t="s">
        <v>17781</v>
      </c>
      <c r="F326" s="437" t="s">
        <v>17782</v>
      </c>
      <c r="G326" s="437" t="s">
        <v>2320</v>
      </c>
    </row>
    <row r="327">
      <c r="A327" s="437" t="s">
        <v>13168</v>
      </c>
      <c r="B327" s="437" t="s">
        <v>13169</v>
      </c>
      <c r="C327" s="437" t="s">
        <v>17984</v>
      </c>
      <c r="D327" s="437" t="s">
        <v>6993</v>
      </c>
      <c r="E327" s="437" t="s">
        <v>17781</v>
      </c>
      <c r="F327" s="437" t="s">
        <v>17782</v>
      </c>
      <c r="G327" s="437" t="s">
        <v>4044</v>
      </c>
    </row>
    <row r="328">
      <c r="A328" s="437" t="s">
        <v>13235</v>
      </c>
      <c r="B328" s="437" t="s">
        <v>13236</v>
      </c>
      <c r="C328" s="437" t="s">
        <v>7047</v>
      </c>
      <c r="D328" s="437" t="s">
        <v>7048</v>
      </c>
      <c r="E328" s="437" t="s">
        <v>17781</v>
      </c>
      <c r="F328" s="437" t="s">
        <v>17782</v>
      </c>
      <c r="G328" s="437" t="s">
        <v>6935</v>
      </c>
    </row>
    <row r="329">
      <c r="A329" s="437" t="s">
        <v>14076</v>
      </c>
      <c r="B329" s="437" t="s">
        <v>14077</v>
      </c>
      <c r="C329" s="437" t="s">
        <v>17985</v>
      </c>
      <c r="D329" s="437" t="s">
        <v>6993</v>
      </c>
      <c r="E329" s="437" t="s">
        <v>17781</v>
      </c>
      <c r="F329" s="437" t="s">
        <v>17782</v>
      </c>
      <c r="G329" s="437" t="s">
        <v>6393</v>
      </c>
    </row>
    <row r="330">
      <c r="A330" s="437" t="s">
        <v>10046</v>
      </c>
      <c r="B330" s="437" t="s">
        <v>10047</v>
      </c>
      <c r="C330" s="437" t="s">
        <v>17986</v>
      </c>
      <c r="D330" s="437" t="s">
        <v>6993</v>
      </c>
      <c r="E330" s="437" t="s">
        <v>17781</v>
      </c>
      <c r="F330" s="437" t="s">
        <v>17782</v>
      </c>
      <c r="G330" s="437" t="s">
        <v>17464</v>
      </c>
    </row>
    <row r="331">
      <c r="A331" s="437" t="s">
        <v>14454</v>
      </c>
      <c r="B331" s="437" t="s">
        <v>14455</v>
      </c>
      <c r="C331" s="437" t="s">
        <v>17987</v>
      </c>
      <c r="D331" s="437" t="s">
        <v>7048</v>
      </c>
      <c r="E331" s="437" t="s">
        <v>17781</v>
      </c>
      <c r="F331" s="437" t="s">
        <v>17782</v>
      </c>
      <c r="G331" s="437" t="s">
        <v>13992</v>
      </c>
    </row>
    <row r="332">
      <c r="A332" s="437" t="s">
        <v>12924</v>
      </c>
      <c r="B332" s="437" t="s">
        <v>15843</v>
      </c>
      <c r="C332" s="437" t="s">
        <v>17988</v>
      </c>
      <c r="D332" s="437" t="s">
        <v>7048</v>
      </c>
      <c r="E332" s="437" t="s">
        <v>17794</v>
      </c>
      <c r="F332" s="437" t="s">
        <v>17795</v>
      </c>
      <c r="G332" s="437" t="s">
        <v>13992</v>
      </c>
    </row>
    <row r="333">
      <c r="A333" s="437" t="s">
        <v>13613</v>
      </c>
      <c r="B333" s="437" t="s">
        <v>13614</v>
      </c>
      <c r="C333" s="437" t="s">
        <v>17989</v>
      </c>
      <c r="D333" s="437" t="s">
        <v>6993</v>
      </c>
      <c r="E333" s="437" t="s">
        <v>17769</v>
      </c>
      <c r="F333" s="437" t="s">
        <v>17770</v>
      </c>
      <c r="G333" s="437" t="s">
        <v>13992</v>
      </c>
    </row>
    <row r="334">
      <c r="A334" s="437" t="s">
        <v>9512</v>
      </c>
      <c r="B334" s="437" t="s">
        <v>13367</v>
      </c>
      <c r="C334" s="437" t="s">
        <v>8096</v>
      </c>
      <c r="D334" s="437" t="s">
        <v>6993</v>
      </c>
      <c r="E334" s="437" t="s">
        <v>17769</v>
      </c>
      <c r="F334" s="437" t="s">
        <v>17770</v>
      </c>
      <c r="G334" s="437" t="s">
        <v>2204</v>
      </c>
    </row>
    <row r="335">
      <c r="A335" s="437" t="s">
        <v>17990</v>
      </c>
      <c r="B335" s="437" t="s">
        <v>17991</v>
      </c>
      <c r="C335" s="437" t="s">
        <v>17992</v>
      </c>
      <c r="D335" s="437" t="s">
        <v>6993</v>
      </c>
      <c r="E335" s="437" t="s">
        <v>17769</v>
      </c>
      <c r="F335" s="437" t="s">
        <v>17770</v>
      </c>
      <c r="G335" s="437" t="s">
        <v>17993</v>
      </c>
    </row>
    <row r="336">
      <c r="A336" s="437" t="s">
        <v>14719</v>
      </c>
      <c r="B336" s="437" t="s">
        <v>14720</v>
      </c>
      <c r="C336" s="437" t="s">
        <v>16688</v>
      </c>
      <c r="D336" s="437" t="s">
        <v>6993</v>
      </c>
      <c r="E336" s="437" t="s">
        <v>17769</v>
      </c>
      <c r="F336" s="437" t="s">
        <v>17770</v>
      </c>
      <c r="G336" s="437" t="s">
        <v>456</v>
      </c>
    </row>
    <row r="337">
      <c r="A337" s="437" t="s">
        <v>11772</v>
      </c>
      <c r="B337" s="437" t="s">
        <v>15280</v>
      </c>
      <c r="C337" s="437" t="s">
        <v>17994</v>
      </c>
      <c r="D337" s="437" t="s">
        <v>6993</v>
      </c>
      <c r="E337" s="437" t="s">
        <v>17769</v>
      </c>
      <c r="F337" s="437" t="s">
        <v>17770</v>
      </c>
      <c r="G337" s="437" t="s">
        <v>13992</v>
      </c>
    </row>
    <row r="338">
      <c r="A338" s="437" t="s">
        <v>10387</v>
      </c>
      <c r="B338" s="437" t="s">
        <v>10388</v>
      </c>
      <c r="C338" s="437" t="s">
        <v>17995</v>
      </c>
      <c r="D338" s="437" t="s">
        <v>6993</v>
      </c>
      <c r="E338" s="437" t="s">
        <v>17769</v>
      </c>
      <c r="F338" s="437" t="s">
        <v>17770</v>
      </c>
      <c r="G338" s="437" t="s">
        <v>4509</v>
      </c>
    </row>
    <row r="339">
      <c r="A339" s="437" t="s">
        <v>12713</v>
      </c>
      <c r="B339" s="437" t="s">
        <v>12714</v>
      </c>
      <c r="C339" s="437" t="s">
        <v>7318</v>
      </c>
      <c r="D339" s="437" t="s">
        <v>7048</v>
      </c>
      <c r="E339" s="437" t="s">
        <v>17781</v>
      </c>
      <c r="F339" s="437" t="s">
        <v>17782</v>
      </c>
      <c r="G339" s="437" t="s">
        <v>6503</v>
      </c>
    </row>
    <row r="340">
      <c r="A340" s="437" t="s">
        <v>15704</v>
      </c>
      <c r="B340" s="437" t="s">
        <v>15708</v>
      </c>
      <c r="C340" s="437" t="s">
        <v>16900</v>
      </c>
      <c r="D340" s="437" t="s">
        <v>7048</v>
      </c>
      <c r="E340" s="437" t="s">
        <v>17769</v>
      </c>
      <c r="F340" s="437" t="s">
        <v>17770</v>
      </c>
      <c r="G340" s="437" t="s">
        <v>2127</v>
      </c>
    </row>
    <row r="341">
      <c r="A341" s="437" t="s">
        <v>13839</v>
      </c>
      <c r="B341" s="437" t="s">
        <v>13845</v>
      </c>
      <c r="C341" s="437" t="s">
        <v>17996</v>
      </c>
      <c r="D341" s="437" t="s">
        <v>6993</v>
      </c>
      <c r="E341" s="437" t="s">
        <v>17769</v>
      </c>
      <c r="F341" s="437" t="s">
        <v>17770</v>
      </c>
      <c r="G341" s="437" t="s">
        <v>13992</v>
      </c>
    </row>
    <row r="342">
      <c r="A342" s="437" t="s">
        <v>11961</v>
      </c>
      <c r="B342" s="437" t="s">
        <v>14319</v>
      </c>
      <c r="C342" s="437" t="s">
        <v>17316</v>
      </c>
      <c r="D342" s="437" t="s">
        <v>6993</v>
      </c>
      <c r="E342" s="437" t="s">
        <v>17781</v>
      </c>
      <c r="F342" s="437" t="s">
        <v>17782</v>
      </c>
      <c r="G342" s="437" t="s">
        <v>2296</v>
      </c>
    </row>
    <row r="343">
      <c r="A343" s="437" t="s">
        <v>10098</v>
      </c>
      <c r="B343" s="437" t="s">
        <v>10099</v>
      </c>
      <c r="C343" s="437" t="s">
        <v>17997</v>
      </c>
      <c r="D343" s="437" t="s">
        <v>6993</v>
      </c>
      <c r="E343" s="437" t="s">
        <v>17781</v>
      </c>
      <c r="F343" s="437" t="s">
        <v>17782</v>
      </c>
      <c r="G343" s="437" t="s">
        <v>17922</v>
      </c>
    </row>
    <row r="344">
      <c r="A344" s="437" t="s">
        <v>15587</v>
      </c>
      <c r="B344" s="437" t="s">
        <v>15588</v>
      </c>
      <c r="C344" s="437" t="s">
        <v>17998</v>
      </c>
      <c r="D344" s="437" t="s">
        <v>6993</v>
      </c>
      <c r="E344" s="437" t="s">
        <v>17781</v>
      </c>
      <c r="F344" s="437" t="s">
        <v>17782</v>
      </c>
      <c r="G344" s="437" t="s">
        <v>3253</v>
      </c>
    </row>
    <row r="345">
      <c r="A345" s="437" t="s">
        <v>14646</v>
      </c>
      <c r="B345" s="437" t="s">
        <v>14647</v>
      </c>
      <c r="C345" s="437" t="s">
        <v>8215</v>
      </c>
      <c r="D345" s="437" t="s">
        <v>6993</v>
      </c>
      <c r="E345" s="437" t="s">
        <v>17781</v>
      </c>
      <c r="F345" s="437" t="s">
        <v>17782</v>
      </c>
      <c r="G345" s="437" t="s">
        <v>15453</v>
      </c>
    </row>
    <row r="346">
      <c r="A346" s="437" t="s">
        <v>17152</v>
      </c>
      <c r="B346" s="437" t="s">
        <v>17153</v>
      </c>
      <c r="C346" s="437" t="s">
        <v>9120</v>
      </c>
      <c r="D346" s="437" t="s">
        <v>6993</v>
      </c>
      <c r="E346" s="437" t="s">
        <v>17781</v>
      </c>
      <c r="F346" s="437" t="s">
        <v>17782</v>
      </c>
      <c r="G346" s="437" t="s">
        <v>2265</v>
      </c>
    </row>
    <row r="347">
      <c r="A347" s="437" t="s">
        <v>14806</v>
      </c>
      <c r="B347" s="437" t="s">
        <v>14807</v>
      </c>
      <c r="C347" s="437" t="s">
        <v>6992</v>
      </c>
      <c r="D347" s="437" t="s">
        <v>6993</v>
      </c>
      <c r="E347" s="437" t="s">
        <v>17781</v>
      </c>
      <c r="F347" s="437" t="s">
        <v>17782</v>
      </c>
      <c r="G347" s="437" t="s">
        <v>6935</v>
      </c>
    </row>
    <row r="348">
      <c r="A348" s="437" t="s">
        <v>15693</v>
      </c>
      <c r="B348" s="437" t="s">
        <v>15694</v>
      </c>
      <c r="C348" s="437" t="s">
        <v>7493</v>
      </c>
      <c r="D348" s="437" t="s">
        <v>7048</v>
      </c>
      <c r="E348" s="437" t="s">
        <v>17781</v>
      </c>
      <c r="F348" s="437" t="s">
        <v>17782</v>
      </c>
      <c r="G348" s="437" t="s">
        <v>7454</v>
      </c>
    </row>
    <row r="349">
      <c r="A349" s="437" t="s">
        <v>17763</v>
      </c>
      <c r="B349" s="437"/>
      <c r="C349" s="437" t="s">
        <v>17999</v>
      </c>
      <c r="D349" s="437" t="s">
        <v>7005</v>
      </c>
      <c r="E349" s="438">
        <v>45236.0</v>
      </c>
      <c r="F349" s="439">
        <v>45972.0</v>
      </c>
      <c r="G349" s="437" t="s">
        <v>17764</v>
      </c>
    </row>
    <row r="350">
      <c r="A350" s="437" t="s">
        <v>11699</v>
      </c>
      <c r="B350" s="437" t="s">
        <v>11700</v>
      </c>
      <c r="C350" s="437" t="s">
        <v>18000</v>
      </c>
      <c r="D350" s="437" t="s">
        <v>6993</v>
      </c>
      <c r="E350" s="437" t="s">
        <v>17781</v>
      </c>
      <c r="F350" s="437" t="s">
        <v>17782</v>
      </c>
      <c r="G350" s="437" t="s">
        <v>927</v>
      </c>
    </row>
    <row r="351">
      <c r="A351" s="437" t="s">
        <v>15528</v>
      </c>
      <c r="B351" s="437" t="s">
        <v>15529</v>
      </c>
      <c r="C351" s="437" t="s">
        <v>9094</v>
      </c>
      <c r="D351" s="437" t="s">
        <v>6993</v>
      </c>
      <c r="E351" s="437" t="s">
        <v>17781</v>
      </c>
      <c r="F351" s="437" t="s">
        <v>17782</v>
      </c>
      <c r="G351" s="437" t="s">
        <v>2265</v>
      </c>
    </row>
    <row r="352">
      <c r="A352" s="437" t="s">
        <v>10077</v>
      </c>
      <c r="B352" s="437" t="s">
        <v>10078</v>
      </c>
      <c r="C352" s="437" t="s">
        <v>16724</v>
      </c>
      <c r="D352" s="437" t="s">
        <v>7048</v>
      </c>
      <c r="E352" s="437" t="s">
        <v>17781</v>
      </c>
      <c r="F352" s="437" t="s">
        <v>17782</v>
      </c>
      <c r="G352" s="437" t="s">
        <v>17464</v>
      </c>
    </row>
    <row r="353">
      <c r="A353" s="437" t="s">
        <v>13982</v>
      </c>
      <c r="B353" s="437" t="s">
        <v>13983</v>
      </c>
      <c r="C353" s="437" t="s">
        <v>18001</v>
      </c>
      <c r="D353" s="437" t="s">
        <v>13621</v>
      </c>
      <c r="E353" s="437" t="s">
        <v>17781</v>
      </c>
      <c r="F353" s="437" t="s">
        <v>17782</v>
      </c>
      <c r="G353" s="437" t="s">
        <v>4978</v>
      </c>
    </row>
    <row r="354">
      <c r="A354" s="437" t="s">
        <v>14318</v>
      </c>
      <c r="B354" s="437" t="s">
        <v>14319</v>
      </c>
      <c r="C354" s="437" t="s">
        <v>18002</v>
      </c>
      <c r="D354" s="437" t="s">
        <v>13621</v>
      </c>
      <c r="E354" s="437" t="s">
        <v>17781</v>
      </c>
      <c r="F354" s="437" t="s">
        <v>17782</v>
      </c>
      <c r="G354" s="437" t="s">
        <v>13682</v>
      </c>
    </row>
    <row r="355">
      <c r="A355" s="437" t="s">
        <v>15734</v>
      </c>
      <c r="B355" s="437" t="s">
        <v>9498</v>
      </c>
      <c r="C355" s="437" t="s">
        <v>16568</v>
      </c>
      <c r="D355" s="437" t="s">
        <v>6993</v>
      </c>
      <c r="E355" s="437" t="s">
        <v>17781</v>
      </c>
      <c r="F355" s="437" t="s">
        <v>17782</v>
      </c>
      <c r="G355" s="437" t="s">
        <v>1349</v>
      </c>
    </row>
    <row r="356">
      <c r="A356" s="437" t="s">
        <v>14184</v>
      </c>
      <c r="B356" s="437" t="s">
        <v>14185</v>
      </c>
      <c r="C356" s="437" t="s">
        <v>17250</v>
      </c>
      <c r="D356" s="437" t="s">
        <v>6993</v>
      </c>
      <c r="E356" s="437" t="s">
        <v>17781</v>
      </c>
      <c r="F356" s="437" t="s">
        <v>17782</v>
      </c>
      <c r="G356" s="437" t="s">
        <v>456</v>
      </c>
    </row>
    <row r="357">
      <c r="A357" s="437" t="s">
        <v>9629</v>
      </c>
      <c r="B357" s="437" t="s">
        <v>9630</v>
      </c>
      <c r="C357" s="437" t="s">
        <v>18003</v>
      </c>
      <c r="D357" s="437" t="s">
        <v>6993</v>
      </c>
      <c r="E357" s="437" t="s">
        <v>17781</v>
      </c>
      <c r="F357" s="437" t="s">
        <v>17782</v>
      </c>
      <c r="G357" s="437" t="s">
        <v>4044</v>
      </c>
    </row>
    <row r="358">
      <c r="A358" s="437" t="s">
        <v>12710</v>
      </c>
      <c r="B358" s="437" t="s">
        <v>12711</v>
      </c>
      <c r="C358" s="437" t="s">
        <v>18004</v>
      </c>
      <c r="D358" s="437" t="s">
        <v>6993</v>
      </c>
      <c r="E358" s="437" t="s">
        <v>17781</v>
      </c>
      <c r="F358" s="437" t="s">
        <v>17782</v>
      </c>
      <c r="G358" s="437" t="s">
        <v>6503</v>
      </c>
    </row>
    <row r="359">
      <c r="A359" s="437" t="s">
        <v>12699</v>
      </c>
      <c r="B359" s="437" t="s">
        <v>12700</v>
      </c>
      <c r="C359" s="437" t="s">
        <v>7315</v>
      </c>
      <c r="D359" s="437" t="s">
        <v>6993</v>
      </c>
      <c r="E359" s="437" t="s">
        <v>17781</v>
      </c>
      <c r="F359" s="437" t="s">
        <v>17782</v>
      </c>
      <c r="G359" s="437" t="s">
        <v>6503</v>
      </c>
    </row>
    <row r="360">
      <c r="A360" s="437" t="s">
        <v>12723</v>
      </c>
      <c r="B360" s="437" t="s">
        <v>12724</v>
      </c>
      <c r="C360" s="437" t="s">
        <v>18005</v>
      </c>
      <c r="D360" s="437" t="s">
        <v>6993</v>
      </c>
      <c r="E360" s="437" t="s">
        <v>17781</v>
      </c>
      <c r="F360" s="437" t="s">
        <v>17782</v>
      </c>
      <c r="G360" s="437" t="s">
        <v>6503</v>
      </c>
    </row>
    <row r="361">
      <c r="A361" s="437" t="s">
        <v>13320</v>
      </c>
      <c r="B361" s="437" t="s">
        <v>13321</v>
      </c>
      <c r="C361" s="437" t="s">
        <v>18006</v>
      </c>
      <c r="D361" s="437" t="s">
        <v>6993</v>
      </c>
      <c r="E361" s="437" t="s">
        <v>17781</v>
      </c>
      <c r="F361" s="437" t="s">
        <v>17782</v>
      </c>
      <c r="G361" s="437" t="s">
        <v>13682</v>
      </c>
    </row>
    <row r="362">
      <c r="A362" s="437" t="s">
        <v>10154</v>
      </c>
      <c r="B362" s="437" t="s">
        <v>10160</v>
      </c>
      <c r="C362" s="437" t="s">
        <v>18007</v>
      </c>
      <c r="D362" s="437" t="s">
        <v>6993</v>
      </c>
      <c r="E362" s="437" t="s">
        <v>17819</v>
      </c>
      <c r="F362" s="437" t="s">
        <v>17820</v>
      </c>
      <c r="G362" s="437" t="s">
        <v>17833</v>
      </c>
    </row>
    <row r="363">
      <c r="A363" s="437" t="s">
        <v>12498</v>
      </c>
      <c r="B363" s="437" t="s">
        <v>12499</v>
      </c>
      <c r="C363" s="437" t="s">
        <v>18008</v>
      </c>
      <c r="D363" s="437" t="s">
        <v>6993</v>
      </c>
      <c r="E363" s="437" t="s">
        <v>17819</v>
      </c>
      <c r="F363" s="437" t="s">
        <v>17820</v>
      </c>
      <c r="G363" s="437" t="s">
        <v>12469</v>
      </c>
    </row>
    <row r="364">
      <c r="A364" s="437" t="s">
        <v>10774</v>
      </c>
      <c r="B364" s="437" t="s">
        <v>10775</v>
      </c>
      <c r="C364" s="437" t="s">
        <v>18009</v>
      </c>
      <c r="D364" s="437" t="s">
        <v>6993</v>
      </c>
      <c r="E364" s="437" t="s">
        <v>17819</v>
      </c>
      <c r="F364" s="437" t="s">
        <v>17820</v>
      </c>
      <c r="G364" s="437" t="s">
        <v>4509</v>
      </c>
    </row>
    <row r="365">
      <c r="A365" s="437" t="s">
        <v>12519</v>
      </c>
      <c r="B365" s="437" t="s">
        <v>12520</v>
      </c>
      <c r="C365" s="437" t="s">
        <v>18010</v>
      </c>
      <c r="D365" s="437" t="s">
        <v>6993</v>
      </c>
      <c r="E365" s="437" t="s">
        <v>17819</v>
      </c>
      <c r="F365" s="437" t="s">
        <v>17820</v>
      </c>
      <c r="G365" s="437" t="s">
        <v>12557</v>
      </c>
    </row>
    <row r="366">
      <c r="A366" s="437" t="s">
        <v>14587</v>
      </c>
      <c r="B366" s="437" t="s">
        <v>14588</v>
      </c>
      <c r="C366" s="437" t="s">
        <v>18011</v>
      </c>
      <c r="D366" s="437" t="s">
        <v>7005</v>
      </c>
      <c r="E366" s="437" t="s">
        <v>17788</v>
      </c>
      <c r="F366" s="437" t="s">
        <v>17789</v>
      </c>
      <c r="G366" s="437" t="s">
        <v>456</v>
      </c>
    </row>
    <row r="367">
      <c r="A367" s="437" t="s">
        <v>17504</v>
      </c>
      <c r="B367" s="437" t="s">
        <v>17505</v>
      </c>
      <c r="C367" s="437" t="s">
        <v>18012</v>
      </c>
      <c r="D367" s="437" t="s">
        <v>7005</v>
      </c>
      <c r="E367" s="438">
        <v>45236.0</v>
      </c>
      <c r="F367" s="439">
        <v>45972.0</v>
      </c>
      <c r="G367" s="437" t="s">
        <v>4044</v>
      </c>
    </row>
    <row r="368">
      <c r="A368" s="437" t="s">
        <v>10979</v>
      </c>
      <c r="B368" s="437" t="s">
        <v>10980</v>
      </c>
      <c r="C368" s="437" t="s">
        <v>18013</v>
      </c>
      <c r="D368" s="437" t="s">
        <v>7005</v>
      </c>
      <c r="E368" s="438">
        <v>45236.0</v>
      </c>
      <c r="F368" s="439">
        <v>45972.0</v>
      </c>
      <c r="G368" s="437" t="s">
        <v>4509</v>
      </c>
    </row>
    <row r="369">
      <c r="A369" s="437" t="s">
        <v>13177</v>
      </c>
      <c r="B369" s="437" t="s">
        <v>13178</v>
      </c>
      <c r="C369" s="437" t="s">
        <v>8460</v>
      </c>
      <c r="D369" s="437" t="s">
        <v>7005</v>
      </c>
      <c r="E369" s="438">
        <v>45236.0</v>
      </c>
      <c r="F369" s="439">
        <v>45972.0</v>
      </c>
      <c r="G369" s="437" t="s">
        <v>1393</v>
      </c>
    </row>
    <row r="370">
      <c r="A370" s="437" t="s">
        <v>9967</v>
      </c>
      <c r="B370" s="437" t="s">
        <v>9968</v>
      </c>
      <c r="C370" s="437" t="s">
        <v>9303</v>
      </c>
      <c r="D370" s="437" t="s">
        <v>7048</v>
      </c>
      <c r="E370" s="437" t="s">
        <v>17794</v>
      </c>
      <c r="F370" s="437" t="s">
        <v>17795</v>
      </c>
      <c r="G370" s="437" t="s">
        <v>9241</v>
      </c>
    </row>
    <row r="371">
      <c r="A371" s="437" t="s">
        <v>15905</v>
      </c>
      <c r="B371" s="437" t="s">
        <v>15906</v>
      </c>
      <c r="C371" s="437" t="s">
        <v>7875</v>
      </c>
      <c r="D371" s="437" t="s">
        <v>7005</v>
      </c>
      <c r="E371" s="438">
        <v>45236.0</v>
      </c>
      <c r="F371" s="439">
        <v>45972.0</v>
      </c>
      <c r="G371" s="437" t="s">
        <v>7846</v>
      </c>
    </row>
    <row r="372">
      <c r="A372" s="437" t="s">
        <v>12053</v>
      </c>
      <c r="B372" s="437" t="s">
        <v>15688</v>
      </c>
      <c r="C372" s="437" t="s">
        <v>7878</v>
      </c>
      <c r="D372" s="437" t="s">
        <v>7005</v>
      </c>
      <c r="E372" s="437" t="s">
        <v>17788</v>
      </c>
      <c r="F372" s="437" t="s">
        <v>17789</v>
      </c>
      <c r="G372" s="437" t="s">
        <v>7846</v>
      </c>
    </row>
    <row r="373">
      <c r="A373" s="437" t="s">
        <v>18014</v>
      </c>
      <c r="B373" s="437" t="s">
        <v>18015</v>
      </c>
      <c r="C373" s="437" t="s">
        <v>18016</v>
      </c>
      <c r="D373" s="437" t="s">
        <v>6993</v>
      </c>
      <c r="E373" s="437" t="s">
        <v>17819</v>
      </c>
      <c r="F373" s="437" t="s">
        <v>17820</v>
      </c>
      <c r="G373" s="437" t="s">
        <v>18017</v>
      </c>
    </row>
    <row r="374">
      <c r="A374" s="437" t="s">
        <v>11934</v>
      </c>
      <c r="B374" s="437" t="s">
        <v>15544</v>
      </c>
      <c r="C374" s="437" t="s">
        <v>18018</v>
      </c>
      <c r="D374" s="437" t="s">
        <v>7005</v>
      </c>
      <c r="E374" s="437" t="s">
        <v>17788</v>
      </c>
      <c r="F374" s="437" t="s">
        <v>17789</v>
      </c>
      <c r="G374" s="437" t="s">
        <v>8708</v>
      </c>
    </row>
    <row r="375">
      <c r="A375" s="437" t="s">
        <v>13290</v>
      </c>
      <c r="B375" s="437" t="s">
        <v>13291</v>
      </c>
      <c r="C375" s="437" t="s">
        <v>8604</v>
      </c>
      <c r="D375" s="437" t="s">
        <v>7299</v>
      </c>
      <c r="E375" s="437" t="s">
        <v>17781</v>
      </c>
      <c r="F375" s="437" t="s">
        <v>17782</v>
      </c>
      <c r="G375" s="437" t="s">
        <v>8472</v>
      </c>
    </row>
    <row r="376">
      <c r="A376" s="437" t="s">
        <v>10001</v>
      </c>
      <c r="B376" s="437" t="s">
        <v>10002</v>
      </c>
      <c r="C376" s="437" t="s">
        <v>9247</v>
      </c>
      <c r="D376" s="437" t="s">
        <v>7048</v>
      </c>
      <c r="E376" s="437" t="s">
        <v>17794</v>
      </c>
      <c r="F376" s="437" t="s">
        <v>17795</v>
      </c>
      <c r="G376" s="437" t="s">
        <v>9241</v>
      </c>
    </row>
    <row r="377">
      <c r="A377" s="437" t="s">
        <v>18019</v>
      </c>
      <c r="B377" s="437" t="s">
        <v>18020</v>
      </c>
      <c r="C377" s="437" t="s">
        <v>18021</v>
      </c>
      <c r="D377" s="437" t="s">
        <v>6993</v>
      </c>
      <c r="E377" s="437" t="s">
        <v>17819</v>
      </c>
      <c r="F377" s="437" t="s">
        <v>17820</v>
      </c>
      <c r="G377" s="437" t="s">
        <v>12557</v>
      </c>
    </row>
    <row r="378">
      <c r="A378" s="437" t="s">
        <v>14906</v>
      </c>
      <c r="B378" s="437" t="s">
        <v>14907</v>
      </c>
      <c r="C378" s="437" t="s">
        <v>16618</v>
      </c>
      <c r="D378" s="437" t="s">
        <v>6993</v>
      </c>
      <c r="E378" s="437" t="s">
        <v>17819</v>
      </c>
      <c r="F378" s="437" t="s">
        <v>17820</v>
      </c>
      <c r="G378" s="437" t="s">
        <v>6935</v>
      </c>
    </row>
    <row r="379">
      <c r="A379" s="437" t="s">
        <v>15772</v>
      </c>
      <c r="B379" s="437" t="s">
        <v>15773</v>
      </c>
      <c r="C379" s="437" t="s">
        <v>17310</v>
      </c>
      <c r="D379" s="437" t="s">
        <v>6993</v>
      </c>
      <c r="E379" s="437" t="s">
        <v>17819</v>
      </c>
      <c r="F379" s="437" t="s">
        <v>17820</v>
      </c>
      <c r="G379" s="437" t="s">
        <v>3253</v>
      </c>
    </row>
    <row r="380">
      <c r="A380" s="437" t="s">
        <v>14047</v>
      </c>
      <c r="B380" s="437" t="s">
        <v>14048</v>
      </c>
      <c r="C380" s="437" t="s">
        <v>16738</v>
      </c>
      <c r="D380" s="437" t="s">
        <v>6993</v>
      </c>
      <c r="E380" s="437" t="s">
        <v>17819</v>
      </c>
      <c r="F380" s="437" t="s">
        <v>17820</v>
      </c>
      <c r="G380" s="437" t="s">
        <v>17898</v>
      </c>
    </row>
    <row r="381">
      <c r="A381" s="437" t="s">
        <v>17763</v>
      </c>
      <c r="B381" s="437"/>
      <c r="C381" s="437" t="s">
        <v>18022</v>
      </c>
      <c r="D381" s="437" t="s">
        <v>7005</v>
      </c>
      <c r="E381" s="437" t="s">
        <v>17788</v>
      </c>
      <c r="F381" s="437" t="s">
        <v>17789</v>
      </c>
      <c r="G381" s="437" t="s">
        <v>17764</v>
      </c>
    </row>
    <row r="382">
      <c r="A382" s="437" t="s">
        <v>9735</v>
      </c>
      <c r="B382" s="437" t="s">
        <v>9736</v>
      </c>
      <c r="C382" s="437" t="s">
        <v>9298</v>
      </c>
      <c r="D382" s="437" t="s">
        <v>7048</v>
      </c>
      <c r="E382" s="437" t="s">
        <v>17794</v>
      </c>
      <c r="F382" s="437" t="s">
        <v>17795</v>
      </c>
      <c r="G382" s="437" t="s">
        <v>9241</v>
      </c>
    </row>
    <row r="383">
      <c r="A383" s="437" t="s">
        <v>12430</v>
      </c>
      <c r="B383" s="437" t="s">
        <v>12431</v>
      </c>
      <c r="C383" s="437" t="s">
        <v>18023</v>
      </c>
      <c r="D383" s="437" t="s">
        <v>7299</v>
      </c>
      <c r="E383" s="437" t="s">
        <v>17781</v>
      </c>
      <c r="F383" s="437" t="s">
        <v>17782</v>
      </c>
      <c r="G383" s="437" t="s">
        <v>12459</v>
      </c>
    </row>
    <row r="384">
      <c r="A384" s="437" t="s">
        <v>17763</v>
      </c>
      <c r="B384" s="437"/>
      <c r="C384" s="437" t="s">
        <v>18024</v>
      </c>
      <c r="D384" s="437" t="s">
        <v>6993</v>
      </c>
      <c r="E384" s="437" t="s">
        <v>17794</v>
      </c>
      <c r="F384" s="437" t="s">
        <v>17795</v>
      </c>
      <c r="G384" s="437" t="s">
        <v>17764</v>
      </c>
    </row>
    <row r="385">
      <c r="A385" s="437" t="s">
        <v>15323</v>
      </c>
      <c r="B385" s="437" t="s">
        <v>15324</v>
      </c>
      <c r="C385" s="437" t="s">
        <v>18025</v>
      </c>
      <c r="D385" s="437" t="s">
        <v>6993</v>
      </c>
      <c r="E385" s="437" t="s">
        <v>17794</v>
      </c>
      <c r="F385" s="437" t="s">
        <v>17795</v>
      </c>
      <c r="G385" s="437" t="s">
        <v>17823</v>
      </c>
    </row>
    <row r="386">
      <c r="A386" s="437" t="s">
        <v>11638</v>
      </c>
      <c r="B386" s="437" t="s">
        <v>15121</v>
      </c>
      <c r="C386" s="437" t="s">
        <v>7010</v>
      </c>
      <c r="D386" s="437" t="s">
        <v>6993</v>
      </c>
      <c r="E386" s="437" t="s">
        <v>17794</v>
      </c>
      <c r="F386" s="437" t="s">
        <v>17795</v>
      </c>
      <c r="G386" s="437" t="s">
        <v>6935</v>
      </c>
    </row>
    <row r="387">
      <c r="A387" s="437" t="s">
        <v>9483</v>
      </c>
      <c r="B387" s="437" t="s">
        <v>12422</v>
      </c>
      <c r="C387" s="437" t="s">
        <v>18026</v>
      </c>
      <c r="D387" s="437" t="s">
        <v>7005</v>
      </c>
      <c r="E387" s="437" t="s">
        <v>17788</v>
      </c>
      <c r="F387" s="437" t="s">
        <v>17789</v>
      </c>
      <c r="G387" s="437" t="s">
        <v>12459</v>
      </c>
    </row>
    <row r="388">
      <c r="A388" s="437" t="s">
        <v>15700</v>
      </c>
      <c r="B388" s="437" t="s">
        <v>15701</v>
      </c>
      <c r="C388" s="437" t="s">
        <v>16752</v>
      </c>
      <c r="D388" s="437" t="s">
        <v>6993</v>
      </c>
      <c r="E388" s="437" t="s">
        <v>17819</v>
      </c>
      <c r="F388" s="437" t="s">
        <v>17820</v>
      </c>
      <c r="G388" s="437" t="s">
        <v>7454</v>
      </c>
    </row>
    <row r="389">
      <c r="A389" s="437" t="s">
        <v>11856</v>
      </c>
      <c r="B389" s="437" t="s">
        <v>14198</v>
      </c>
      <c r="C389" s="437" t="s">
        <v>7004</v>
      </c>
      <c r="D389" s="437" t="s">
        <v>7005</v>
      </c>
      <c r="E389" s="438">
        <v>45236.0</v>
      </c>
      <c r="F389" s="439">
        <v>45973.0</v>
      </c>
      <c r="G389" s="437" t="s">
        <v>6935</v>
      </c>
    </row>
    <row r="390">
      <c r="A390" s="437" t="s">
        <v>9411</v>
      </c>
      <c r="B390" s="437" t="s">
        <v>9412</v>
      </c>
      <c r="C390" s="437" t="s">
        <v>8674</v>
      </c>
      <c r="D390" s="437" t="s">
        <v>7005</v>
      </c>
      <c r="E390" s="438">
        <v>45236.0</v>
      </c>
      <c r="F390" s="439">
        <v>45973.0</v>
      </c>
      <c r="G390" s="437" t="s">
        <v>17783</v>
      </c>
    </row>
    <row r="391">
      <c r="A391" s="437" t="s">
        <v>12201</v>
      </c>
      <c r="B391" s="437" t="s">
        <v>12202</v>
      </c>
      <c r="C391" s="437" t="s">
        <v>18027</v>
      </c>
      <c r="D391" s="437" t="s">
        <v>7005</v>
      </c>
      <c r="E391" s="438">
        <v>45236.0</v>
      </c>
      <c r="F391" s="439">
        <v>45972.0</v>
      </c>
      <c r="G391" s="437" t="s">
        <v>6204</v>
      </c>
    </row>
    <row r="392">
      <c r="A392" s="437" t="s">
        <v>17763</v>
      </c>
      <c r="B392" s="437"/>
      <c r="C392" s="437" t="s">
        <v>18028</v>
      </c>
      <c r="D392" s="437" t="s">
        <v>7005</v>
      </c>
      <c r="E392" s="438">
        <v>45236.0</v>
      </c>
      <c r="F392" s="439">
        <v>45972.0</v>
      </c>
      <c r="G392" s="437" t="s">
        <v>17764</v>
      </c>
    </row>
    <row r="393">
      <c r="A393" s="437" t="s">
        <v>13825</v>
      </c>
      <c r="B393" s="437" t="s">
        <v>13826</v>
      </c>
      <c r="C393" s="437" t="s">
        <v>8044</v>
      </c>
      <c r="D393" s="437" t="s">
        <v>6993</v>
      </c>
      <c r="E393" s="437" t="s">
        <v>17819</v>
      </c>
      <c r="F393" s="437" t="s">
        <v>17820</v>
      </c>
      <c r="G393" s="437" t="s">
        <v>2204</v>
      </c>
    </row>
    <row r="394">
      <c r="A394" s="437" t="s">
        <v>11356</v>
      </c>
      <c r="B394" s="437" t="s">
        <v>14650</v>
      </c>
      <c r="C394" s="437" t="s">
        <v>9126</v>
      </c>
      <c r="D394" s="437" t="s">
        <v>7005</v>
      </c>
      <c r="E394" s="438">
        <v>45236.0</v>
      </c>
      <c r="F394" s="439">
        <v>45972.0</v>
      </c>
      <c r="G394" s="437" t="s">
        <v>2265</v>
      </c>
    </row>
    <row r="395">
      <c r="A395" s="437" t="s">
        <v>17462</v>
      </c>
      <c r="B395" s="437" t="s">
        <v>17463</v>
      </c>
      <c r="C395" s="437" t="s">
        <v>18029</v>
      </c>
      <c r="D395" s="437" t="s">
        <v>7005</v>
      </c>
      <c r="E395" s="438">
        <v>45236.0</v>
      </c>
      <c r="F395" s="439">
        <v>45972.0</v>
      </c>
      <c r="G395" s="437" t="s">
        <v>17464</v>
      </c>
    </row>
    <row r="396">
      <c r="A396" s="437" t="s">
        <v>17763</v>
      </c>
      <c r="B396" s="437"/>
      <c r="C396" s="437" t="s">
        <v>18030</v>
      </c>
      <c r="D396" s="437" t="s">
        <v>7005</v>
      </c>
      <c r="E396" s="438">
        <v>45236.0</v>
      </c>
      <c r="F396" s="439">
        <v>45972.0</v>
      </c>
      <c r="G396" s="437" t="s">
        <v>17764</v>
      </c>
    </row>
    <row r="397">
      <c r="A397" s="437" t="s">
        <v>12488</v>
      </c>
      <c r="B397" s="437" t="s">
        <v>12489</v>
      </c>
      <c r="C397" s="437" t="s">
        <v>18031</v>
      </c>
      <c r="D397" s="437" t="s">
        <v>6993</v>
      </c>
      <c r="E397" s="437" t="s">
        <v>17794</v>
      </c>
      <c r="F397" s="437" t="s">
        <v>17795</v>
      </c>
      <c r="G397" s="437" t="s">
        <v>12459</v>
      </c>
    </row>
    <row r="398">
      <c r="A398" s="437" t="s">
        <v>14176</v>
      </c>
      <c r="B398" s="437" t="s">
        <v>14177</v>
      </c>
      <c r="C398" s="437" t="s">
        <v>8212</v>
      </c>
      <c r="D398" s="437" t="s">
        <v>6993</v>
      </c>
      <c r="E398" s="437" t="s">
        <v>17794</v>
      </c>
      <c r="F398" s="437" t="s">
        <v>17795</v>
      </c>
      <c r="G398" s="437" t="s">
        <v>15453</v>
      </c>
    </row>
    <row r="399">
      <c r="A399" s="437" t="s">
        <v>13754</v>
      </c>
      <c r="B399" s="437" t="s">
        <v>13755</v>
      </c>
      <c r="C399" s="437" t="s">
        <v>8897</v>
      </c>
      <c r="D399" s="437" t="s">
        <v>6993</v>
      </c>
      <c r="E399" s="437" t="s">
        <v>17819</v>
      </c>
      <c r="F399" s="437" t="s">
        <v>17820</v>
      </c>
      <c r="G399" s="437" t="s">
        <v>8901</v>
      </c>
    </row>
    <row r="400">
      <c r="A400" s="437" t="s">
        <v>10007</v>
      </c>
      <c r="B400" s="437" t="s">
        <v>10008</v>
      </c>
      <c r="C400" s="437" t="s">
        <v>18032</v>
      </c>
      <c r="D400" s="437" t="s">
        <v>6993</v>
      </c>
      <c r="E400" s="437" t="s">
        <v>17819</v>
      </c>
      <c r="F400" s="437" t="s">
        <v>17820</v>
      </c>
      <c r="G400" s="437" t="s">
        <v>9774</v>
      </c>
    </row>
    <row r="401">
      <c r="A401" s="437" t="s">
        <v>10091</v>
      </c>
      <c r="B401" s="437" t="s">
        <v>11390</v>
      </c>
      <c r="C401" s="437" t="s">
        <v>16657</v>
      </c>
      <c r="D401" s="437" t="s">
        <v>6993</v>
      </c>
      <c r="E401" s="437" t="s">
        <v>17819</v>
      </c>
      <c r="F401" s="437" t="s">
        <v>17820</v>
      </c>
      <c r="G401" s="437" t="s">
        <v>6503</v>
      </c>
    </row>
    <row r="402">
      <c r="A402" s="437" t="s">
        <v>15648</v>
      </c>
      <c r="B402" s="437" t="s">
        <v>15649</v>
      </c>
      <c r="C402" s="437" t="s">
        <v>18033</v>
      </c>
      <c r="D402" s="437" t="s">
        <v>7048</v>
      </c>
      <c r="E402" s="437" t="s">
        <v>17794</v>
      </c>
      <c r="F402" s="437" t="s">
        <v>17795</v>
      </c>
      <c r="G402" s="437" t="s">
        <v>13992</v>
      </c>
    </row>
    <row r="403">
      <c r="A403" s="437" t="s">
        <v>14129</v>
      </c>
      <c r="B403" s="437" t="s">
        <v>14130</v>
      </c>
      <c r="C403" s="437" t="s">
        <v>7814</v>
      </c>
      <c r="D403" s="437" t="s">
        <v>7048</v>
      </c>
      <c r="E403" s="437" t="s">
        <v>17794</v>
      </c>
      <c r="F403" s="437" t="s">
        <v>17795</v>
      </c>
      <c r="G403" s="437" t="s">
        <v>1635</v>
      </c>
    </row>
    <row r="404">
      <c r="A404" s="437" t="s">
        <v>13053</v>
      </c>
      <c r="B404" s="437" t="s">
        <v>13054</v>
      </c>
      <c r="C404" s="437" t="s">
        <v>18034</v>
      </c>
      <c r="D404" s="437" t="s">
        <v>6993</v>
      </c>
      <c r="E404" s="437" t="s">
        <v>17794</v>
      </c>
      <c r="F404" s="437" t="s">
        <v>17795</v>
      </c>
      <c r="G404" s="437" t="s">
        <v>2942</v>
      </c>
    </row>
    <row r="405">
      <c r="A405" s="437" t="s">
        <v>17763</v>
      </c>
      <c r="B405" s="437"/>
      <c r="C405" s="437" t="s">
        <v>18035</v>
      </c>
      <c r="D405" s="437" t="s">
        <v>6993</v>
      </c>
      <c r="E405" s="437" t="s">
        <v>17794</v>
      </c>
      <c r="F405" s="437" t="s">
        <v>17795</v>
      </c>
      <c r="G405" s="437" t="s">
        <v>17764</v>
      </c>
    </row>
    <row r="406">
      <c r="A406" s="437" t="s">
        <v>14927</v>
      </c>
      <c r="B406" s="437" t="s">
        <v>14928</v>
      </c>
      <c r="C406" s="437" t="s">
        <v>18036</v>
      </c>
      <c r="D406" s="437" t="s">
        <v>6993</v>
      </c>
      <c r="E406" s="437" t="s">
        <v>17794</v>
      </c>
      <c r="F406" s="437" t="s">
        <v>17795</v>
      </c>
      <c r="G406" s="437" t="s">
        <v>8906</v>
      </c>
    </row>
    <row r="407">
      <c r="A407" s="437" t="s">
        <v>14399</v>
      </c>
      <c r="B407" s="437" t="s">
        <v>14400</v>
      </c>
      <c r="C407" s="437" t="s">
        <v>9166</v>
      </c>
      <c r="D407" s="437" t="s">
        <v>6993</v>
      </c>
      <c r="E407" s="437" t="s">
        <v>17794</v>
      </c>
      <c r="F407" s="437" t="s">
        <v>17795</v>
      </c>
      <c r="G407" s="437" t="s">
        <v>2265</v>
      </c>
    </row>
    <row r="408">
      <c r="A408" s="437" t="s">
        <v>13032</v>
      </c>
      <c r="B408" s="437" t="s">
        <v>13033</v>
      </c>
      <c r="C408" s="437" t="s">
        <v>8528</v>
      </c>
      <c r="D408" s="437" t="s">
        <v>7299</v>
      </c>
      <c r="E408" s="437" t="s">
        <v>17781</v>
      </c>
      <c r="F408" s="437" t="s">
        <v>17782</v>
      </c>
      <c r="G408" s="437" t="s">
        <v>8472</v>
      </c>
    </row>
    <row r="409">
      <c r="A409" s="437" t="s">
        <v>11349</v>
      </c>
      <c r="B409" s="437" t="s">
        <v>11350</v>
      </c>
      <c r="C409" s="437" t="s">
        <v>18037</v>
      </c>
      <c r="D409" s="437" t="s">
        <v>6993</v>
      </c>
      <c r="E409" s="437" t="s">
        <v>17794</v>
      </c>
      <c r="F409" s="437" t="s">
        <v>17795</v>
      </c>
      <c r="G409" s="437" t="s">
        <v>6012</v>
      </c>
    </row>
    <row r="410">
      <c r="A410" s="437" t="s">
        <v>9564</v>
      </c>
      <c r="B410" s="437" t="s">
        <v>12327</v>
      </c>
      <c r="C410" s="437" t="s">
        <v>7507</v>
      </c>
      <c r="D410" s="437" t="s">
        <v>7005</v>
      </c>
      <c r="E410" s="438">
        <v>45236.0</v>
      </c>
      <c r="F410" s="439">
        <v>45972.0</v>
      </c>
      <c r="G410" s="437" t="s">
        <v>5069</v>
      </c>
    </row>
    <row r="411">
      <c r="A411" s="437" t="s">
        <v>13674</v>
      </c>
      <c r="B411" s="437" t="s">
        <v>13675</v>
      </c>
      <c r="C411" s="437" t="s">
        <v>8149</v>
      </c>
      <c r="D411" s="437" t="s">
        <v>7005</v>
      </c>
      <c r="E411" s="438">
        <v>45236.0</v>
      </c>
      <c r="F411" s="439">
        <v>45972.0</v>
      </c>
      <c r="G411" s="437" t="s">
        <v>8136</v>
      </c>
    </row>
    <row r="412">
      <c r="A412" s="437" t="s">
        <v>9406</v>
      </c>
      <c r="B412" s="437" t="s">
        <v>9407</v>
      </c>
      <c r="C412" s="437" t="s">
        <v>8678</v>
      </c>
      <c r="D412" s="437" t="s">
        <v>7005</v>
      </c>
      <c r="E412" s="438">
        <v>45236.0</v>
      </c>
      <c r="F412" s="439">
        <v>45972.0</v>
      </c>
      <c r="G412" s="437" t="s">
        <v>17783</v>
      </c>
    </row>
    <row r="413">
      <c r="A413" s="437" t="s">
        <v>14468</v>
      </c>
      <c r="B413" s="437" t="s">
        <v>14469</v>
      </c>
      <c r="C413" s="437" t="s">
        <v>8191</v>
      </c>
      <c r="D413" s="437" t="s">
        <v>6993</v>
      </c>
      <c r="E413" s="437" t="s">
        <v>17794</v>
      </c>
      <c r="F413" s="437" t="s">
        <v>17795</v>
      </c>
      <c r="G413" s="437" t="s">
        <v>15453</v>
      </c>
    </row>
    <row r="414">
      <c r="A414" s="437" t="s">
        <v>14234</v>
      </c>
      <c r="B414" s="437" t="s">
        <v>14235</v>
      </c>
      <c r="C414" s="437" t="s">
        <v>8188</v>
      </c>
      <c r="D414" s="437" t="s">
        <v>6993</v>
      </c>
      <c r="E414" s="437" t="s">
        <v>17794</v>
      </c>
      <c r="F414" s="437" t="s">
        <v>17795</v>
      </c>
      <c r="G414" s="437" t="s">
        <v>15453</v>
      </c>
    </row>
    <row r="415">
      <c r="A415" s="437" t="s">
        <v>13439</v>
      </c>
      <c r="B415" s="437" t="s">
        <v>13440</v>
      </c>
      <c r="C415" s="437" t="s">
        <v>8234</v>
      </c>
      <c r="D415" s="437" t="s">
        <v>6993</v>
      </c>
      <c r="E415" s="437" t="s">
        <v>17794</v>
      </c>
      <c r="F415" s="437" t="s">
        <v>17795</v>
      </c>
      <c r="G415" s="437" t="s">
        <v>15453</v>
      </c>
    </row>
    <row r="416">
      <c r="A416" s="437" t="s">
        <v>13785</v>
      </c>
      <c r="B416" s="437" t="s">
        <v>13786</v>
      </c>
      <c r="C416" s="437" t="s">
        <v>8194</v>
      </c>
      <c r="D416" s="437" t="s">
        <v>6993</v>
      </c>
      <c r="E416" s="437" t="s">
        <v>17794</v>
      </c>
      <c r="F416" s="437" t="s">
        <v>17795</v>
      </c>
      <c r="G416" s="437" t="s">
        <v>15453</v>
      </c>
    </row>
    <row r="417">
      <c r="A417" s="437" t="s">
        <v>13026</v>
      </c>
      <c r="B417" s="437" t="s">
        <v>13027</v>
      </c>
      <c r="C417" s="437" t="s">
        <v>8199</v>
      </c>
      <c r="D417" s="437" t="s">
        <v>6993</v>
      </c>
      <c r="E417" s="437" t="s">
        <v>17794</v>
      </c>
      <c r="F417" s="437" t="s">
        <v>17795</v>
      </c>
      <c r="G417" s="437" t="s">
        <v>15453</v>
      </c>
    </row>
    <row r="418">
      <c r="A418" s="437" t="s">
        <v>14450</v>
      </c>
      <c r="B418" s="437" t="s">
        <v>14451</v>
      </c>
      <c r="C418" s="437" t="s">
        <v>8231</v>
      </c>
      <c r="D418" s="437" t="s">
        <v>6993</v>
      </c>
      <c r="E418" s="437" t="s">
        <v>17794</v>
      </c>
      <c r="F418" s="437" t="s">
        <v>17795</v>
      </c>
      <c r="G418" s="437" t="s">
        <v>15453</v>
      </c>
    </row>
    <row r="419">
      <c r="A419" s="437" t="s">
        <v>15945</v>
      </c>
      <c r="B419" s="437" t="s">
        <v>15946</v>
      </c>
      <c r="C419" s="437" t="s">
        <v>8851</v>
      </c>
      <c r="D419" s="437" t="s">
        <v>6993</v>
      </c>
      <c r="E419" s="437" t="s">
        <v>17794</v>
      </c>
      <c r="F419" s="437" t="s">
        <v>17795</v>
      </c>
      <c r="G419" s="437" t="s">
        <v>8806</v>
      </c>
    </row>
    <row r="420">
      <c r="A420" s="437" t="s">
        <v>10489</v>
      </c>
      <c r="B420" s="437" t="s">
        <v>10494</v>
      </c>
      <c r="C420" s="437" t="s">
        <v>8196</v>
      </c>
      <c r="D420" s="437" t="s">
        <v>6993</v>
      </c>
      <c r="E420" s="437" t="s">
        <v>17794</v>
      </c>
      <c r="F420" s="437" t="s">
        <v>17795</v>
      </c>
      <c r="G420" s="437" t="s">
        <v>927</v>
      </c>
    </row>
    <row r="421">
      <c r="A421" s="437" t="s">
        <v>14016</v>
      </c>
      <c r="B421" s="437" t="s">
        <v>14017</v>
      </c>
      <c r="C421" s="437" t="s">
        <v>8237</v>
      </c>
      <c r="D421" s="437" t="s">
        <v>6993</v>
      </c>
      <c r="E421" s="437" t="s">
        <v>17794</v>
      </c>
      <c r="F421" s="437" t="s">
        <v>17795</v>
      </c>
      <c r="G421" s="437" t="s">
        <v>15453</v>
      </c>
    </row>
    <row r="422">
      <c r="A422" s="437" t="s">
        <v>11917</v>
      </c>
      <c r="B422" s="437" t="s">
        <v>11918</v>
      </c>
      <c r="C422" s="437" t="s">
        <v>8203</v>
      </c>
      <c r="D422" s="437" t="s">
        <v>6993</v>
      </c>
      <c r="E422" s="437" t="s">
        <v>17794</v>
      </c>
      <c r="F422" s="437" t="s">
        <v>17795</v>
      </c>
      <c r="G422" s="437" t="s">
        <v>4509</v>
      </c>
    </row>
    <row r="423">
      <c r="A423" s="437" t="s">
        <v>14919</v>
      </c>
      <c r="B423" s="437" t="s">
        <v>14920</v>
      </c>
      <c r="C423" s="437" t="s">
        <v>8206</v>
      </c>
      <c r="D423" s="437" t="s">
        <v>6993</v>
      </c>
      <c r="E423" s="437" t="s">
        <v>17794</v>
      </c>
      <c r="F423" s="437" t="s">
        <v>17795</v>
      </c>
      <c r="G423" s="437" t="s">
        <v>15453</v>
      </c>
    </row>
    <row r="424">
      <c r="A424" s="437" t="s">
        <v>11184</v>
      </c>
      <c r="B424" s="437" t="s">
        <v>14338</v>
      </c>
      <c r="C424" s="437" t="s">
        <v>8209</v>
      </c>
      <c r="D424" s="437" t="s">
        <v>6993</v>
      </c>
      <c r="E424" s="437" t="s">
        <v>17794</v>
      </c>
      <c r="F424" s="437" t="s">
        <v>17795</v>
      </c>
      <c r="G424" s="437" t="s">
        <v>15453</v>
      </c>
    </row>
    <row r="425">
      <c r="A425" s="437" t="s">
        <v>14329</v>
      </c>
      <c r="B425" s="437" t="s">
        <v>10588</v>
      </c>
      <c r="C425" s="437" t="s">
        <v>8846</v>
      </c>
      <c r="D425" s="437" t="s">
        <v>7005</v>
      </c>
      <c r="E425" s="437" t="s">
        <v>17788</v>
      </c>
      <c r="F425" s="437" t="s">
        <v>17789</v>
      </c>
      <c r="G425" s="437" t="s">
        <v>13992</v>
      </c>
    </row>
    <row r="426">
      <c r="A426" s="437" t="s">
        <v>10176</v>
      </c>
      <c r="B426" s="437" t="s">
        <v>13079</v>
      </c>
      <c r="C426" s="437" t="s">
        <v>18038</v>
      </c>
      <c r="D426" s="437" t="s">
        <v>7005</v>
      </c>
      <c r="E426" s="437" t="s">
        <v>17788</v>
      </c>
      <c r="F426" s="437" t="s">
        <v>17789</v>
      </c>
      <c r="G426" s="437" t="s">
        <v>17797</v>
      </c>
    </row>
    <row r="427">
      <c r="A427" s="437" t="s">
        <v>11145</v>
      </c>
      <c r="B427" s="437" t="s">
        <v>14287</v>
      </c>
      <c r="C427" s="437" t="s">
        <v>7885</v>
      </c>
      <c r="D427" s="437" t="s">
        <v>7005</v>
      </c>
      <c r="E427" s="437" t="s">
        <v>17788</v>
      </c>
      <c r="F427" s="437" t="s">
        <v>17789</v>
      </c>
      <c r="G427" s="437" t="s">
        <v>7846</v>
      </c>
    </row>
    <row r="428">
      <c r="A428" s="437" t="s">
        <v>9967</v>
      </c>
      <c r="B428" s="437" t="s">
        <v>15634</v>
      </c>
      <c r="C428" s="437" t="s">
        <v>8945</v>
      </c>
      <c r="D428" s="437" t="s">
        <v>7005</v>
      </c>
      <c r="E428" s="437" t="s">
        <v>17788</v>
      </c>
      <c r="F428" s="437" t="s">
        <v>17789</v>
      </c>
      <c r="G428" s="437" t="s">
        <v>13682</v>
      </c>
    </row>
    <row r="429">
      <c r="A429" s="437" t="s">
        <v>12719</v>
      </c>
      <c r="B429" s="437" t="s">
        <v>12720</v>
      </c>
      <c r="C429" s="437" t="s">
        <v>7298</v>
      </c>
      <c r="D429" s="437" t="s">
        <v>7299</v>
      </c>
      <c r="E429" s="437" t="s">
        <v>17794</v>
      </c>
      <c r="F429" s="437" t="s">
        <v>17795</v>
      </c>
      <c r="G429" s="437" t="s">
        <v>6503</v>
      </c>
    </row>
    <row r="430">
      <c r="A430" s="437" t="s">
        <v>17763</v>
      </c>
      <c r="B430" s="437"/>
      <c r="C430" s="437" t="s">
        <v>9216</v>
      </c>
      <c r="D430" s="437" t="s">
        <v>7005</v>
      </c>
      <c r="E430" s="438">
        <v>45236.0</v>
      </c>
      <c r="F430" s="439">
        <v>45973.0</v>
      </c>
      <c r="G430" s="437" t="s">
        <v>17764</v>
      </c>
    </row>
    <row r="431">
      <c r="A431" s="437" t="s">
        <v>14793</v>
      </c>
      <c r="B431" s="437" t="s">
        <v>14794</v>
      </c>
      <c r="C431" s="437" t="s">
        <v>18039</v>
      </c>
      <c r="D431" s="437" t="s">
        <v>7005</v>
      </c>
      <c r="E431" s="438">
        <v>45236.0</v>
      </c>
      <c r="F431" s="439">
        <v>45972.0</v>
      </c>
      <c r="G431" s="437" t="s">
        <v>2942</v>
      </c>
    </row>
    <row r="432">
      <c r="A432" s="437" t="s">
        <v>12743</v>
      </c>
      <c r="B432" s="437" t="s">
        <v>12744</v>
      </c>
      <c r="C432" s="437" t="s">
        <v>8709</v>
      </c>
      <c r="D432" s="437" t="s">
        <v>7005</v>
      </c>
      <c r="E432" s="438">
        <v>45236.0</v>
      </c>
      <c r="F432" s="439">
        <v>45972.0</v>
      </c>
      <c r="G432" s="437" t="s">
        <v>8708</v>
      </c>
    </row>
    <row r="433">
      <c r="A433" s="437" t="s">
        <v>15156</v>
      </c>
      <c r="B433" s="437" t="s">
        <v>15157</v>
      </c>
      <c r="C433" s="437" t="s">
        <v>17258</v>
      </c>
      <c r="D433" s="437" t="s">
        <v>7005</v>
      </c>
      <c r="E433" s="438">
        <v>45236.0</v>
      </c>
      <c r="F433" s="439">
        <v>45972.0</v>
      </c>
      <c r="G433" s="437" t="s">
        <v>4978</v>
      </c>
    </row>
    <row r="434">
      <c r="A434" s="437" t="s">
        <v>11708</v>
      </c>
      <c r="B434" s="437" t="s">
        <v>15188</v>
      </c>
      <c r="C434" s="437" t="s">
        <v>18040</v>
      </c>
      <c r="D434" s="437" t="s">
        <v>7005</v>
      </c>
      <c r="E434" s="438">
        <v>45236.0</v>
      </c>
      <c r="F434" s="439">
        <v>45972.0</v>
      </c>
      <c r="G434" s="437" t="s">
        <v>8901</v>
      </c>
    </row>
    <row r="435">
      <c r="A435" s="437" t="s">
        <v>12616</v>
      </c>
      <c r="B435" s="437" t="s">
        <v>12617</v>
      </c>
      <c r="C435" s="437" t="s">
        <v>7265</v>
      </c>
      <c r="D435" s="437" t="s">
        <v>7005</v>
      </c>
      <c r="E435" s="438">
        <v>45236.0</v>
      </c>
      <c r="F435" s="439">
        <v>45972.0</v>
      </c>
      <c r="G435" s="437" t="s">
        <v>17836</v>
      </c>
    </row>
    <row r="436">
      <c r="A436" s="437" t="s">
        <v>13649</v>
      </c>
      <c r="B436" s="437" t="s">
        <v>13650</v>
      </c>
      <c r="C436" s="437" t="s">
        <v>18041</v>
      </c>
      <c r="D436" s="437" t="s">
        <v>7005</v>
      </c>
      <c r="E436" s="438">
        <v>45236.0</v>
      </c>
      <c r="F436" s="439">
        <v>45973.0</v>
      </c>
      <c r="G436" s="437" t="s">
        <v>13682</v>
      </c>
    </row>
    <row r="437">
      <c r="A437" s="437" t="s">
        <v>12752</v>
      </c>
      <c r="B437" s="437" t="s">
        <v>12753</v>
      </c>
      <c r="C437" s="437" t="s">
        <v>9200</v>
      </c>
      <c r="D437" s="437" t="s">
        <v>7005</v>
      </c>
      <c r="E437" s="438">
        <v>45236.0</v>
      </c>
      <c r="F437" s="439">
        <v>45973.0</v>
      </c>
      <c r="G437" s="437" t="s">
        <v>17920</v>
      </c>
    </row>
    <row r="438">
      <c r="A438" s="437" t="s">
        <v>10042</v>
      </c>
      <c r="B438" s="437" t="s">
        <v>10043</v>
      </c>
      <c r="C438" s="437" t="s">
        <v>18042</v>
      </c>
      <c r="D438" s="437" t="s">
        <v>7005</v>
      </c>
      <c r="E438" s="438">
        <v>45236.0</v>
      </c>
      <c r="F438" s="439">
        <v>45972.0</v>
      </c>
      <c r="G438" s="437" t="s">
        <v>17464</v>
      </c>
    </row>
    <row r="439">
      <c r="A439" s="437" t="s">
        <v>17763</v>
      </c>
      <c r="B439" s="437"/>
      <c r="C439" s="437" t="s">
        <v>18043</v>
      </c>
      <c r="D439" s="437" t="s">
        <v>7005</v>
      </c>
      <c r="E439" s="438">
        <v>45236.0</v>
      </c>
      <c r="F439" s="439">
        <v>45972.0</v>
      </c>
      <c r="G439" s="437" t="s">
        <v>17764</v>
      </c>
    </row>
    <row r="440">
      <c r="A440" s="437" t="s">
        <v>16009</v>
      </c>
      <c r="B440" s="437" t="s">
        <v>16010</v>
      </c>
      <c r="C440" s="437" t="s">
        <v>7863</v>
      </c>
      <c r="D440" s="437" t="s">
        <v>7005</v>
      </c>
      <c r="E440" s="438">
        <v>45236.0</v>
      </c>
      <c r="F440" s="439">
        <v>45972.0</v>
      </c>
      <c r="G440" s="437" t="s">
        <v>7846</v>
      </c>
    </row>
    <row r="441">
      <c r="A441" s="23" t="s">
        <v>16000</v>
      </c>
      <c r="B441" s="23" t="s">
        <v>16001</v>
      </c>
      <c r="C441" s="23" t="s">
        <v>8920</v>
      </c>
      <c r="D441" s="23" t="s">
        <v>7005</v>
      </c>
      <c r="E441" s="440">
        <v>45236.0</v>
      </c>
      <c r="F441" s="422">
        <v>45972.0</v>
      </c>
      <c r="G441" s="23" t="s">
        <v>456</v>
      </c>
    </row>
    <row r="442">
      <c r="A442" s="23" t="s">
        <v>17763</v>
      </c>
      <c r="C442" s="23" t="s">
        <v>18044</v>
      </c>
      <c r="D442" s="23" t="s">
        <v>7005</v>
      </c>
      <c r="E442" s="440">
        <v>45236.0</v>
      </c>
      <c r="F442" s="422">
        <v>45972.0</v>
      </c>
      <c r="G442" s="23" t="s">
        <v>17764</v>
      </c>
    </row>
    <row r="443">
      <c r="A443" s="23" t="s">
        <v>17184</v>
      </c>
      <c r="B443" s="23" t="s">
        <v>17185</v>
      </c>
      <c r="C443" s="23" t="s">
        <v>17187</v>
      </c>
      <c r="D443" s="23" t="s">
        <v>7005</v>
      </c>
      <c r="E443" s="440">
        <v>45236.0</v>
      </c>
      <c r="F443" s="422">
        <v>45972.0</v>
      </c>
      <c r="G443" s="23" t="s">
        <v>3903</v>
      </c>
    </row>
    <row r="444">
      <c r="A444" s="23" t="s">
        <v>9913</v>
      </c>
      <c r="B444" s="23" t="s">
        <v>9914</v>
      </c>
      <c r="C444" s="23" t="s">
        <v>9352</v>
      </c>
      <c r="D444" s="23" t="s">
        <v>7005</v>
      </c>
      <c r="E444" s="440">
        <v>45236.0</v>
      </c>
      <c r="F444" s="422">
        <v>45972.0</v>
      </c>
      <c r="G444" s="23" t="s">
        <v>18045</v>
      </c>
    </row>
    <row r="445">
      <c r="A445" s="23" t="s">
        <v>9536</v>
      </c>
      <c r="B445" s="23" t="s">
        <v>13385</v>
      </c>
      <c r="C445" s="23" t="s">
        <v>18046</v>
      </c>
      <c r="D445" s="23" t="s">
        <v>7005</v>
      </c>
      <c r="E445" s="440">
        <v>45236.0</v>
      </c>
      <c r="F445" s="422">
        <v>45972.0</v>
      </c>
      <c r="G445" s="23" t="s">
        <v>1228</v>
      </c>
    </row>
    <row r="446">
      <c r="A446" s="23" t="s">
        <v>15271</v>
      </c>
      <c r="B446" s="23" t="s">
        <v>15272</v>
      </c>
      <c r="C446" s="23" t="s">
        <v>18047</v>
      </c>
      <c r="D446" s="23" t="s">
        <v>7005</v>
      </c>
      <c r="E446" s="440">
        <v>45236.0</v>
      </c>
      <c r="F446" s="422">
        <v>45972.0</v>
      </c>
      <c r="G446" s="23" t="s">
        <v>1228</v>
      </c>
    </row>
    <row r="447">
      <c r="A447" s="23" t="s">
        <v>13602</v>
      </c>
      <c r="B447" s="23" t="s">
        <v>13603</v>
      </c>
      <c r="C447" s="23" t="s">
        <v>18048</v>
      </c>
      <c r="D447" s="23" t="s">
        <v>7005</v>
      </c>
      <c r="E447" s="440">
        <v>45236.0</v>
      </c>
      <c r="F447" s="422">
        <v>45972.0</v>
      </c>
      <c r="G447" s="23" t="s">
        <v>13682</v>
      </c>
    </row>
    <row r="448">
      <c r="E448" s="440"/>
      <c r="F448" s="422"/>
    </row>
    <row r="449">
      <c r="E449" s="440"/>
      <c r="F449" s="422"/>
    </row>
    <row r="452">
      <c r="E452" s="440"/>
      <c r="F452" s="422"/>
    </row>
    <row r="476">
      <c r="E476" s="440"/>
      <c r="F476" s="422"/>
    </row>
    <row r="477">
      <c r="E477" s="440"/>
      <c r="F477" s="422"/>
    </row>
    <row r="478">
      <c r="E478" s="440"/>
      <c r="F478" s="422"/>
    </row>
    <row r="479">
      <c r="E479" s="440"/>
      <c r="F479" s="422"/>
    </row>
    <row r="480">
      <c r="E480" s="440"/>
      <c r="F480" s="422"/>
    </row>
    <row r="482">
      <c r="E482" s="440"/>
      <c r="F482" s="422"/>
    </row>
    <row r="483">
      <c r="E483" s="440"/>
      <c r="F483" s="422"/>
    </row>
    <row r="484">
      <c r="E484" s="440"/>
      <c r="F484" s="422"/>
    </row>
    <row r="505">
      <c r="E505" s="440"/>
      <c r="F505" s="422"/>
    </row>
    <row r="506">
      <c r="E506" s="440"/>
      <c r="F506" s="422"/>
    </row>
    <row r="507">
      <c r="E507" s="440"/>
      <c r="F507" s="422"/>
    </row>
    <row r="530">
      <c r="E530" s="440"/>
      <c r="F530" s="422"/>
    </row>
    <row r="531">
      <c r="E531" s="440"/>
      <c r="F531" s="422"/>
    </row>
    <row r="532">
      <c r="E532" s="440"/>
      <c r="F532" s="422"/>
    </row>
    <row r="533">
      <c r="E533" s="440"/>
      <c r="F533" s="422"/>
    </row>
    <row r="534">
      <c r="E534" s="440"/>
      <c r="F534" s="422"/>
    </row>
    <row r="535">
      <c r="E535" s="440"/>
      <c r="F535" s="422"/>
    </row>
    <row r="536">
      <c r="E536" s="440"/>
      <c r="F536" s="422"/>
    </row>
    <row r="537">
      <c r="E537" s="440"/>
      <c r="F537" s="422"/>
    </row>
    <row r="538">
      <c r="E538" s="440"/>
      <c r="F538" s="422"/>
    </row>
    <row r="539">
      <c r="E539" s="440"/>
      <c r="F539" s="422"/>
    </row>
    <row r="540">
      <c r="E540" s="440"/>
      <c r="F540" s="422"/>
    </row>
    <row r="541">
      <c r="E541" s="440"/>
      <c r="F541" s="422"/>
    </row>
    <row r="542">
      <c r="E542" s="440"/>
      <c r="F542" s="422"/>
    </row>
    <row r="543">
      <c r="E543" s="440"/>
      <c r="F543" s="422"/>
    </row>
    <row r="544">
      <c r="E544" s="440"/>
      <c r="F544" s="422"/>
    </row>
    <row r="545">
      <c r="E545" s="440"/>
      <c r="F545" s="422"/>
    </row>
    <row r="546">
      <c r="E546" s="440"/>
      <c r="F546" s="422"/>
    </row>
    <row r="547">
      <c r="E547" s="440"/>
      <c r="F547" s="422"/>
    </row>
    <row r="548">
      <c r="E548" s="440"/>
      <c r="F548" s="422"/>
    </row>
    <row r="549">
      <c r="E549" s="440"/>
      <c r="F549" s="422"/>
    </row>
    <row r="550">
      <c r="E550" s="440"/>
      <c r="F550" s="42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  <col customWidth="1" min="4" max="4" width="35.88"/>
    <col customWidth="1" min="7" max="7" width="56.0"/>
  </cols>
  <sheetData>
    <row r="1">
      <c r="A1" s="23" t="s">
        <v>15796</v>
      </c>
      <c r="B1" s="23" t="s">
        <v>15797</v>
      </c>
      <c r="C1" s="23" t="s">
        <v>18049</v>
      </c>
      <c r="D1" s="23" t="s">
        <v>6995</v>
      </c>
      <c r="E1" s="437" t="s">
        <v>17759</v>
      </c>
      <c r="F1" s="437" t="s">
        <v>17760</v>
      </c>
      <c r="G1" s="23" t="s">
        <v>15453</v>
      </c>
    </row>
    <row r="2">
      <c r="A2" s="23" t="s">
        <v>9548</v>
      </c>
      <c r="B2" s="23" t="s">
        <v>9549</v>
      </c>
      <c r="C2" s="23" t="s">
        <v>9228</v>
      </c>
      <c r="D2" s="23" t="s">
        <v>7050</v>
      </c>
      <c r="E2" s="437" t="s">
        <v>17769</v>
      </c>
      <c r="F2" s="437" t="s">
        <v>17770</v>
      </c>
      <c r="G2" s="23" t="s">
        <v>1349</v>
      </c>
    </row>
    <row r="3">
      <c r="A3" s="23" t="s">
        <v>16517</v>
      </c>
      <c r="B3" s="23" t="s">
        <v>16518</v>
      </c>
      <c r="C3" s="23" t="s">
        <v>18050</v>
      </c>
      <c r="D3" s="23" t="s">
        <v>9397</v>
      </c>
      <c r="E3" s="437" t="s">
        <v>17772</v>
      </c>
      <c r="F3" s="437" t="s">
        <v>17773</v>
      </c>
      <c r="G3" s="23" t="s">
        <v>4509</v>
      </c>
    </row>
    <row r="4">
      <c r="A4" s="23" t="s">
        <v>16517</v>
      </c>
      <c r="B4" s="23" t="s">
        <v>16518</v>
      </c>
      <c r="C4" s="23" t="s">
        <v>18051</v>
      </c>
      <c r="D4" s="23" t="s">
        <v>9397</v>
      </c>
      <c r="E4" s="437" t="s">
        <v>17772</v>
      </c>
      <c r="F4" s="437" t="s">
        <v>17773</v>
      </c>
      <c r="G4" s="23" t="s">
        <v>4509</v>
      </c>
    </row>
    <row r="5">
      <c r="A5" s="23" t="s">
        <v>16517</v>
      </c>
      <c r="B5" s="23" t="s">
        <v>16518</v>
      </c>
      <c r="C5" s="23" t="s">
        <v>18052</v>
      </c>
      <c r="D5" s="23" t="s">
        <v>9397</v>
      </c>
      <c r="E5" s="437" t="s">
        <v>17772</v>
      </c>
      <c r="F5" s="437" t="s">
        <v>17773</v>
      </c>
      <c r="G5" s="23" t="s">
        <v>4509</v>
      </c>
    </row>
    <row r="6">
      <c r="A6" s="23" t="s">
        <v>16517</v>
      </c>
      <c r="B6" s="23" t="s">
        <v>16518</v>
      </c>
      <c r="C6" s="23" t="s">
        <v>18053</v>
      </c>
      <c r="D6" s="23" t="s">
        <v>9397</v>
      </c>
      <c r="E6" s="437" t="s">
        <v>17772</v>
      </c>
      <c r="F6" s="437" t="s">
        <v>17773</v>
      </c>
      <c r="G6" s="23" t="s">
        <v>4509</v>
      </c>
    </row>
    <row r="7">
      <c r="A7" s="23" t="s">
        <v>16517</v>
      </c>
      <c r="B7" s="23" t="s">
        <v>16518</v>
      </c>
      <c r="C7" s="23" t="s">
        <v>18054</v>
      </c>
      <c r="D7" s="23" t="s">
        <v>9397</v>
      </c>
      <c r="E7" s="437" t="s">
        <v>17772</v>
      </c>
      <c r="F7" s="437" t="s">
        <v>17773</v>
      </c>
      <c r="G7" s="23" t="s">
        <v>4509</v>
      </c>
    </row>
    <row r="8">
      <c r="A8" s="23" t="s">
        <v>16517</v>
      </c>
      <c r="B8" s="23" t="s">
        <v>16518</v>
      </c>
      <c r="C8" s="23" t="s">
        <v>18055</v>
      </c>
      <c r="D8" s="23" t="s">
        <v>9397</v>
      </c>
      <c r="E8" s="437" t="s">
        <v>17772</v>
      </c>
      <c r="F8" s="437" t="s">
        <v>17773</v>
      </c>
      <c r="G8" s="23" t="s">
        <v>4509</v>
      </c>
    </row>
    <row r="9">
      <c r="A9" s="23" t="s">
        <v>16517</v>
      </c>
      <c r="B9" s="23" t="s">
        <v>16518</v>
      </c>
      <c r="C9" s="23" t="s">
        <v>18056</v>
      </c>
      <c r="D9" s="23" t="s">
        <v>9397</v>
      </c>
      <c r="E9" s="437" t="s">
        <v>17772</v>
      </c>
      <c r="F9" s="437" t="s">
        <v>17773</v>
      </c>
      <c r="G9" s="23" t="s">
        <v>4509</v>
      </c>
    </row>
    <row r="10">
      <c r="A10" s="23" t="s">
        <v>14578</v>
      </c>
      <c r="B10" s="23" t="s">
        <v>14579</v>
      </c>
      <c r="C10" s="23" t="s">
        <v>18057</v>
      </c>
      <c r="D10" s="23" t="s">
        <v>7050</v>
      </c>
      <c r="E10" s="437" t="s">
        <v>17769</v>
      </c>
      <c r="F10" s="437" t="s">
        <v>17770</v>
      </c>
      <c r="G10" s="23" t="s">
        <v>9459</v>
      </c>
    </row>
    <row r="11">
      <c r="A11" s="23" t="s">
        <v>10139</v>
      </c>
      <c r="B11" s="23" t="s">
        <v>10140</v>
      </c>
      <c r="C11" s="23" t="s">
        <v>8246</v>
      </c>
      <c r="D11" s="23" t="s">
        <v>7050</v>
      </c>
      <c r="E11" s="437" t="s">
        <v>17781</v>
      </c>
      <c r="F11" s="437" t="s">
        <v>17782</v>
      </c>
      <c r="G11" s="23" t="s">
        <v>4509</v>
      </c>
    </row>
    <row r="12">
      <c r="A12" s="23" t="s">
        <v>9847</v>
      </c>
      <c r="B12" s="23" t="s">
        <v>9848</v>
      </c>
      <c r="C12" s="23" t="s">
        <v>9340</v>
      </c>
      <c r="D12" s="23" t="s">
        <v>9397</v>
      </c>
      <c r="E12" s="437" t="s">
        <v>17803</v>
      </c>
      <c r="F12" s="437" t="s">
        <v>17804</v>
      </c>
      <c r="G12" s="23" t="s">
        <v>9241</v>
      </c>
    </row>
    <row r="13">
      <c r="A13" s="23" t="s">
        <v>14935</v>
      </c>
      <c r="B13" s="23" t="s">
        <v>14936</v>
      </c>
      <c r="C13" s="23" t="s">
        <v>18058</v>
      </c>
      <c r="D13" s="23" t="s">
        <v>7050</v>
      </c>
      <c r="E13" s="437" t="s">
        <v>17781</v>
      </c>
      <c r="F13" s="437" t="s">
        <v>17782</v>
      </c>
      <c r="G13" s="23" t="s">
        <v>9459</v>
      </c>
    </row>
    <row r="14">
      <c r="A14" s="23" t="s">
        <v>9667</v>
      </c>
      <c r="B14" s="23" t="s">
        <v>9668</v>
      </c>
      <c r="C14" s="23" t="s">
        <v>18059</v>
      </c>
      <c r="D14" s="23" t="s">
        <v>9397</v>
      </c>
      <c r="E14" s="438">
        <v>45570.0</v>
      </c>
      <c r="F14" s="438">
        <v>46664.0</v>
      </c>
      <c r="G14" s="23" t="s">
        <v>4044</v>
      </c>
    </row>
    <row r="15">
      <c r="A15" s="23" t="s">
        <v>15248</v>
      </c>
      <c r="B15" s="23" t="s">
        <v>15249</v>
      </c>
      <c r="C15" s="23" t="s">
        <v>18060</v>
      </c>
      <c r="D15" s="23" t="s">
        <v>7050</v>
      </c>
      <c r="E15" s="437" t="s">
        <v>17759</v>
      </c>
      <c r="F15" s="437" t="s">
        <v>17760</v>
      </c>
      <c r="G15" s="23" t="s">
        <v>1349</v>
      </c>
    </row>
    <row r="16">
      <c r="A16" s="23" t="s">
        <v>13583</v>
      </c>
      <c r="B16" s="23" t="s">
        <v>13584</v>
      </c>
      <c r="C16" s="23" t="s">
        <v>18061</v>
      </c>
      <c r="D16" s="23" t="s">
        <v>7050</v>
      </c>
      <c r="E16" s="437" t="s">
        <v>17761</v>
      </c>
      <c r="F16" s="437" t="s">
        <v>17762</v>
      </c>
      <c r="G16" s="23" t="s">
        <v>4420</v>
      </c>
    </row>
    <row r="17">
      <c r="A17" s="23" t="s">
        <v>15621</v>
      </c>
      <c r="B17" s="23" t="s">
        <v>15622</v>
      </c>
      <c r="C17" s="23" t="s">
        <v>18062</v>
      </c>
      <c r="D17" s="23" t="s">
        <v>7050</v>
      </c>
      <c r="E17" s="437" t="s">
        <v>17761</v>
      </c>
      <c r="F17" s="437" t="s">
        <v>17762</v>
      </c>
      <c r="G17" s="23" t="s">
        <v>3903</v>
      </c>
    </row>
    <row r="18">
      <c r="A18" s="23" t="s">
        <v>14381</v>
      </c>
      <c r="B18" s="23" t="s">
        <v>14382</v>
      </c>
      <c r="C18" s="23" t="s">
        <v>18063</v>
      </c>
      <c r="D18" s="23" t="s">
        <v>9397</v>
      </c>
      <c r="E18" s="437" t="s">
        <v>17819</v>
      </c>
      <c r="F18" s="437" t="s">
        <v>17820</v>
      </c>
      <c r="G18" s="23" t="s">
        <v>2296</v>
      </c>
    </row>
    <row r="19">
      <c r="A19" s="23" t="s">
        <v>17416</v>
      </c>
      <c r="B19" s="23" t="s">
        <v>13548</v>
      </c>
      <c r="C19" s="23" t="s">
        <v>7596</v>
      </c>
      <c r="D19" s="23" t="s">
        <v>7050</v>
      </c>
      <c r="E19" s="437" t="s">
        <v>17769</v>
      </c>
      <c r="F19" s="437" t="s">
        <v>17770</v>
      </c>
      <c r="G19" s="23" t="s">
        <v>7550</v>
      </c>
    </row>
    <row r="20">
      <c r="A20" s="23" t="s">
        <v>13073</v>
      </c>
      <c r="B20" s="23" t="s">
        <v>13074</v>
      </c>
      <c r="C20" s="23" t="s">
        <v>18064</v>
      </c>
      <c r="D20" s="23" t="s">
        <v>7050</v>
      </c>
      <c r="E20" s="437" t="s">
        <v>17769</v>
      </c>
      <c r="F20" s="437" t="s">
        <v>17770</v>
      </c>
      <c r="G20" s="23" t="s">
        <v>9459</v>
      </c>
    </row>
    <row r="21">
      <c r="A21" s="23" t="s">
        <v>9724</v>
      </c>
      <c r="B21" s="23" t="s">
        <v>9725</v>
      </c>
      <c r="C21" s="23" t="s">
        <v>18065</v>
      </c>
      <c r="D21" s="23" t="s">
        <v>7050</v>
      </c>
      <c r="E21" s="437" t="s">
        <v>17769</v>
      </c>
      <c r="F21" s="437" t="s">
        <v>17770</v>
      </c>
      <c r="G21" s="23" t="s">
        <v>9459</v>
      </c>
    </row>
    <row r="22">
      <c r="A22" s="23" t="s">
        <v>13211</v>
      </c>
      <c r="B22" s="23" t="s">
        <v>13212</v>
      </c>
      <c r="C22" s="23" t="s">
        <v>8435</v>
      </c>
      <c r="D22" s="23" t="s">
        <v>7050</v>
      </c>
      <c r="E22" s="437" t="s">
        <v>17794</v>
      </c>
      <c r="F22" s="437" t="s">
        <v>17795</v>
      </c>
      <c r="G22" s="23" t="s">
        <v>1837</v>
      </c>
    </row>
    <row r="23">
      <c r="A23" s="23" t="s">
        <v>14515</v>
      </c>
      <c r="B23" s="23" t="s">
        <v>13793</v>
      </c>
      <c r="C23" s="23" t="s">
        <v>18066</v>
      </c>
      <c r="D23" s="23" t="s">
        <v>7050</v>
      </c>
      <c r="E23" s="437" t="s">
        <v>17769</v>
      </c>
      <c r="F23" s="437" t="s">
        <v>17770</v>
      </c>
      <c r="G23" s="23" t="s">
        <v>9459</v>
      </c>
    </row>
    <row r="24">
      <c r="A24" s="23" t="s">
        <v>12608</v>
      </c>
      <c r="B24" s="23" t="s">
        <v>12609</v>
      </c>
      <c r="C24" s="23" t="s">
        <v>7511</v>
      </c>
      <c r="D24" s="23" t="s">
        <v>7050</v>
      </c>
      <c r="E24" s="437" t="s">
        <v>17759</v>
      </c>
      <c r="F24" s="437" t="s">
        <v>17760</v>
      </c>
      <c r="G24" s="23" t="s">
        <v>17836</v>
      </c>
    </row>
    <row r="25">
      <c r="A25" s="23" t="s">
        <v>13498</v>
      </c>
      <c r="B25" s="23" t="s">
        <v>13499</v>
      </c>
      <c r="C25" s="23" t="s">
        <v>7258</v>
      </c>
      <c r="D25" s="23" t="s">
        <v>7050</v>
      </c>
      <c r="E25" s="437" t="s">
        <v>17761</v>
      </c>
      <c r="F25" s="437" t="s">
        <v>17762</v>
      </c>
      <c r="G25" s="23" t="s">
        <v>13992</v>
      </c>
    </row>
    <row r="26">
      <c r="A26" s="23" t="s">
        <v>17416</v>
      </c>
      <c r="B26" s="23" t="s">
        <v>17417</v>
      </c>
      <c r="C26" s="23" t="s">
        <v>7272</v>
      </c>
      <c r="D26" s="23" t="s">
        <v>7050</v>
      </c>
      <c r="E26" s="437" t="s">
        <v>17766</v>
      </c>
      <c r="F26" s="437" t="s">
        <v>17767</v>
      </c>
      <c r="G26" s="23" t="s">
        <v>17836</v>
      </c>
    </row>
    <row r="27">
      <c r="A27" s="23" t="s">
        <v>9920</v>
      </c>
      <c r="B27" s="23" t="s">
        <v>9921</v>
      </c>
      <c r="C27" s="23" t="s">
        <v>9319</v>
      </c>
      <c r="D27" s="23" t="s">
        <v>9397</v>
      </c>
      <c r="E27" s="437" t="s">
        <v>17803</v>
      </c>
      <c r="F27" s="437" t="s">
        <v>17804</v>
      </c>
      <c r="G27" s="23" t="s">
        <v>9241</v>
      </c>
    </row>
    <row r="28">
      <c r="A28" s="23" t="s">
        <v>12671</v>
      </c>
      <c r="B28" s="23" t="s">
        <v>12672</v>
      </c>
      <c r="C28" s="23" t="s">
        <v>18067</v>
      </c>
      <c r="D28" s="23" t="s">
        <v>6995</v>
      </c>
      <c r="E28" s="437" t="s">
        <v>17761</v>
      </c>
      <c r="F28" s="437" t="s">
        <v>17762</v>
      </c>
      <c r="G28" s="23" t="s">
        <v>4974</v>
      </c>
    </row>
    <row r="29">
      <c r="A29" s="23" t="s">
        <v>15134</v>
      </c>
      <c r="B29" s="23" t="s">
        <v>15135</v>
      </c>
      <c r="C29" s="23" t="s">
        <v>18068</v>
      </c>
      <c r="D29" s="23" t="s">
        <v>9397</v>
      </c>
      <c r="E29" s="437" t="s">
        <v>17781</v>
      </c>
      <c r="F29" s="437" t="s">
        <v>17782</v>
      </c>
      <c r="G29" s="23" t="s">
        <v>456</v>
      </c>
    </row>
    <row r="30">
      <c r="A30" s="23" t="s">
        <v>14602</v>
      </c>
      <c r="B30" s="23" t="s">
        <v>14603</v>
      </c>
      <c r="C30" s="23" t="s">
        <v>8809</v>
      </c>
      <c r="D30" s="23" t="s">
        <v>6995</v>
      </c>
      <c r="E30" s="437" t="s">
        <v>17759</v>
      </c>
      <c r="F30" s="437" t="s">
        <v>17760</v>
      </c>
      <c r="G30" s="23" t="s">
        <v>8806</v>
      </c>
    </row>
    <row r="31">
      <c r="A31" s="23" t="s">
        <v>9843</v>
      </c>
      <c r="B31" s="23" t="s">
        <v>9844</v>
      </c>
      <c r="C31" s="23" t="s">
        <v>8684</v>
      </c>
      <c r="D31" s="23" t="s">
        <v>9397</v>
      </c>
      <c r="E31" s="437" t="s">
        <v>17803</v>
      </c>
      <c r="F31" s="437" t="s">
        <v>17804</v>
      </c>
      <c r="G31" s="23" t="s">
        <v>9241</v>
      </c>
    </row>
    <row r="32">
      <c r="A32" s="23" t="s">
        <v>14238</v>
      </c>
      <c r="B32" s="23" t="s">
        <v>14239</v>
      </c>
      <c r="C32" s="23" t="s">
        <v>18069</v>
      </c>
      <c r="D32" s="23" t="s">
        <v>7050</v>
      </c>
      <c r="E32" s="437" t="s">
        <v>17794</v>
      </c>
      <c r="F32" s="437" t="s">
        <v>17795</v>
      </c>
      <c r="G32" s="23" t="s">
        <v>1635</v>
      </c>
    </row>
    <row r="33">
      <c r="A33" s="23" t="s">
        <v>14793</v>
      </c>
      <c r="B33" s="23" t="s">
        <v>14794</v>
      </c>
      <c r="C33" s="23" t="s">
        <v>18070</v>
      </c>
      <c r="D33" s="23" t="s">
        <v>7050</v>
      </c>
      <c r="E33" s="437" t="s">
        <v>17781</v>
      </c>
      <c r="F33" s="437" t="s">
        <v>17782</v>
      </c>
      <c r="G33" s="23" t="s">
        <v>2942</v>
      </c>
    </row>
    <row r="34">
      <c r="A34" s="23" t="s">
        <v>17430</v>
      </c>
      <c r="B34" s="23" t="s">
        <v>17431</v>
      </c>
      <c r="C34" s="23" t="s">
        <v>18071</v>
      </c>
      <c r="D34" s="23" t="s">
        <v>7050</v>
      </c>
      <c r="E34" s="437" t="s">
        <v>17759</v>
      </c>
      <c r="F34" s="437" t="s">
        <v>17760</v>
      </c>
      <c r="G34" s="23" t="s">
        <v>12557</v>
      </c>
    </row>
    <row r="35">
      <c r="A35" s="23" t="s">
        <v>12122</v>
      </c>
      <c r="B35" s="23" t="s">
        <v>17362</v>
      </c>
      <c r="C35" s="23" t="s">
        <v>18072</v>
      </c>
      <c r="D35" s="23" t="s">
        <v>7050</v>
      </c>
      <c r="E35" s="437" t="s">
        <v>17781</v>
      </c>
      <c r="F35" s="437" t="s">
        <v>17782</v>
      </c>
      <c r="G35" s="23" t="s">
        <v>9459</v>
      </c>
    </row>
    <row r="36">
      <c r="A36" s="23" t="s">
        <v>12498</v>
      </c>
      <c r="B36" s="23" t="s">
        <v>12499</v>
      </c>
      <c r="C36" s="23" t="s">
        <v>18073</v>
      </c>
      <c r="D36" s="23" t="s">
        <v>7050</v>
      </c>
      <c r="E36" s="437" t="s">
        <v>17769</v>
      </c>
      <c r="F36" s="437" t="s">
        <v>17770</v>
      </c>
      <c r="G36" s="23" t="s">
        <v>12469</v>
      </c>
    </row>
    <row r="37">
      <c r="A37" s="23" t="s">
        <v>13299</v>
      </c>
      <c r="B37" s="23" t="s">
        <v>13300</v>
      </c>
      <c r="C37" s="23" t="s">
        <v>8704</v>
      </c>
      <c r="D37" s="23" t="s">
        <v>7050</v>
      </c>
      <c r="E37" s="437" t="s">
        <v>17781</v>
      </c>
      <c r="F37" s="437" t="s">
        <v>17782</v>
      </c>
      <c r="G37" s="23" t="s">
        <v>9005</v>
      </c>
    </row>
    <row r="38">
      <c r="A38" s="23" t="s">
        <v>9571</v>
      </c>
      <c r="B38" s="23" t="s">
        <v>9572</v>
      </c>
      <c r="C38" s="23" t="s">
        <v>18074</v>
      </c>
      <c r="D38" s="23" t="s">
        <v>9397</v>
      </c>
      <c r="E38" s="437" t="s">
        <v>17803</v>
      </c>
      <c r="F38" s="437" t="s">
        <v>17804</v>
      </c>
      <c r="G38" s="23" t="s">
        <v>9241</v>
      </c>
    </row>
    <row r="39">
      <c r="A39" s="23" t="s">
        <v>9860</v>
      </c>
      <c r="B39" s="23" t="s">
        <v>9861</v>
      </c>
      <c r="C39" s="23" t="s">
        <v>18075</v>
      </c>
      <c r="D39" s="23" t="s">
        <v>7050</v>
      </c>
      <c r="E39" s="438">
        <v>45598.0</v>
      </c>
      <c r="F39" s="438">
        <v>46692.0</v>
      </c>
      <c r="G39" s="23" t="s">
        <v>4044</v>
      </c>
    </row>
    <row r="40">
      <c r="A40" s="23" t="s">
        <v>11555</v>
      </c>
      <c r="B40" s="23" t="s">
        <v>11556</v>
      </c>
      <c r="C40" s="23" t="s">
        <v>18076</v>
      </c>
      <c r="D40" s="23" t="s">
        <v>7050</v>
      </c>
      <c r="E40" s="437" t="s">
        <v>17759</v>
      </c>
      <c r="F40" s="437" t="s">
        <v>17760</v>
      </c>
      <c r="G40" s="23" t="s">
        <v>17832</v>
      </c>
    </row>
    <row r="41">
      <c r="A41" s="23" t="s">
        <v>9645</v>
      </c>
      <c r="B41" s="23" t="s">
        <v>9646</v>
      </c>
      <c r="C41" s="23" t="s">
        <v>9328</v>
      </c>
      <c r="D41" s="23" t="s">
        <v>9397</v>
      </c>
      <c r="E41" s="437" t="s">
        <v>17803</v>
      </c>
      <c r="F41" s="437" t="s">
        <v>17804</v>
      </c>
      <c r="G41" s="23" t="s">
        <v>9241</v>
      </c>
    </row>
    <row r="42">
      <c r="A42" s="23" t="s">
        <v>10197</v>
      </c>
      <c r="B42" s="23" t="s">
        <v>13089</v>
      </c>
      <c r="C42" s="23" t="s">
        <v>7123</v>
      </c>
      <c r="D42" s="23" t="s">
        <v>7050</v>
      </c>
      <c r="E42" s="437" t="s">
        <v>17794</v>
      </c>
      <c r="F42" s="437" t="s">
        <v>17795</v>
      </c>
      <c r="G42" s="23" t="s">
        <v>6935</v>
      </c>
    </row>
    <row r="43">
      <c r="A43" s="23" t="s">
        <v>15044</v>
      </c>
      <c r="B43" s="23" t="s">
        <v>9746</v>
      </c>
      <c r="C43" s="23" t="s">
        <v>8005</v>
      </c>
      <c r="D43" s="23" t="s">
        <v>9397</v>
      </c>
      <c r="E43" s="437" t="s">
        <v>17882</v>
      </c>
      <c r="F43" s="437" t="s">
        <v>17883</v>
      </c>
      <c r="G43" s="23" t="s">
        <v>2269</v>
      </c>
    </row>
    <row r="44">
      <c r="A44" s="23" t="s">
        <v>9973</v>
      </c>
      <c r="B44" s="23" t="s">
        <v>9974</v>
      </c>
      <c r="C44" s="23" t="s">
        <v>18077</v>
      </c>
      <c r="D44" s="23" t="s">
        <v>9397</v>
      </c>
      <c r="E44" s="438">
        <v>45570.0</v>
      </c>
      <c r="F44" s="438">
        <v>46664.0</v>
      </c>
      <c r="G44" s="23" t="s">
        <v>1349</v>
      </c>
    </row>
    <row r="45">
      <c r="A45" s="23" t="s">
        <v>9838</v>
      </c>
      <c r="B45" s="23" t="s">
        <v>9839</v>
      </c>
      <c r="C45" s="23" t="s">
        <v>9288</v>
      </c>
      <c r="D45" s="23" t="s">
        <v>7050</v>
      </c>
      <c r="E45" s="437" t="s">
        <v>17769</v>
      </c>
      <c r="F45" s="437" t="s">
        <v>17770</v>
      </c>
      <c r="G45" s="23" t="s">
        <v>9241</v>
      </c>
    </row>
    <row r="46">
      <c r="A46" s="23" t="s">
        <v>12619</v>
      </c>
      <c r="B46" s="23" t="s">
        <v>12620</v>
      </c>
      <c r="C46" s="23" t="s">
        <v>7276</v>
      </c>
      <c r="D46" s="23" t="s">
        <v>9397</v>
      </c>
      <c r="E46" s="437" t="s">
        <v>17803</v>
      </c>
      <c r="F46" s="437" t="s">
        <v>17804</v>
      </c>
      <c r="G46" s="23" t="s">
        <v>17836</v>
      </c>
    </row>
    <row r="47">
      <c r="A47" s="23" t="s">
        <v>14917</v>
      </c>
      <c r="B47" s="23" t="s">
        <v>14918</v>
      </c>
      <c r="C47" s="23" t="s">
        <v>7970</v>
      </c>
      <c r="D47" s="23" t="s">
        <v>7050</v>
      </c>
      <c r="E47" s="437" t="s">
        <v>17769</v>
      </c>
      <c r="F47" s="437" t="s">
        <v>17770</v>
      </c>
      <c r="G47" s="23" t="s">
        <v>2127</v>
      </c>
    </row>
    <row r="48">
      <c r="A48" s="23" t="s">
        <v>9854</v>
      </c>
      <c r="B48" s="23" t="s">
        <v>9855</v>
      </c>
      <c r="C48" s="23" t="s">
        <v>18078</v>
      </c>
      <c r="D48" s="23" t="s">
        <v>7050</v>
      </c>
      <c r="E48" s="437" t="s">
        <v>17766</v>
      </c>
      <c r="F48" s="437" t="s">
        <v>17767</v>
      </c>
      <c r="G48" s="23" t="s">
        <v>9774</v>
      </c>
    </row>
    <row r="49">
      <c r="A49" s="23" t="s">
        <v>17143</v>
      </c>
      <c r="B49" s="23" t="s">
        <v>17144</v>
      </c>
      <c r="C49" s="23" t="s">
        <v>9081</v>
      </c>
      <c r="D49" s="23" t="s">
        <v>9397</v>
      </c>
      <c r="E49" s="438">
        <v>45570.0</v>
      </c>
      <c r="F49" s="438">
        <v>46664.0</v>
      </c>
      <c r="G49" s="23" t="s">
        <v>17893</v>
      </c>
    </row>
    <row r="50">
      <c r="A50" s="23" t="s">
        <v>9577</v>
      </c>
      <c r="B50" s="23" t="s">
        <v>12357</v>
      </c>
      <c r="C50" s="23" t="s">
        <v>9174</v>
      </c>
      <c r="D50" s="23" t="s">
        <v>9397</v>
      </c>
      <c r="E50" s="438">
        <v>45570.0</v>
      </c>
      <c r="F50" s="438">
        <v>46664.0</v>
      </c>
      <c r="G50" s="23" t="s">
        <v>2265</v>
      </c>
    </row>
    <row r="51">
      <c r="A51" s="23" t="s">
        <v>9926</v>
      </c>
      <c r="B51" s="23" t="s">
        <v>9927</v>
      </c>
      <c r="C51" s="23" t="s">
        <v>18079</v>
      </c>
      <c r="D51" s="23" t="s">
        <v>9397</v>
      </c>
      <c r="E51" s="438">
        <v>45570.0</v>
      </c>
      <c r="F51" s="438">
        <v>46664.0</v>
      </c>
      <c r="G51" s="23" t="s">
        <v>6005</v>
      </c>
    </row>
    <row r="52">
      <c r="A52" s="23" t="s">
        <v>13096</v>
      </c>
      <c r="B52" s="23" t="s">
        <v>16429</v>
      </c>
      <c r="C52" s="23" t="s">
        <v>18080</v>
      </c>
      <c r="D52" s="23" t="s">
        <v>9397</v>
      </c>
      <c r="E52" s="438">
        <v>45570.0</v>
      </c>
      <c r="F52" s="438">
        <v>46664.0</v>
      </c>
      <c r="G52" s="23" t="s">
        <v>17898</v>
      </c>
    </row>
    <row r="53">
      <c r="A53" s="23" t="s">
        <v>13341</v>
      </c>
      <c r="B53" s="23" t="s">
        <v>13342</v>
      </c>
      <c r="C53" s="23" t="s">
        <v>7811</v>
      </c>
      <c r="D53" s="23" t="s">
        <v>9397</v>
      </c>
      <c r="E53" s="438">
        <v>45570.0</v>
      </c>
      <c r="F53" s="438">
        <v>46664.0</v>
      </c>
      <c r="G53" s="23" t="s">
        <v>7805</v>
      </c>
    </row>
    <row r="54">
      <c r="A54" s="23" t="s">
        <v>12604</v>
      </c>
      <c r="B54" s="23" t="s">
        <v>12605</v>
      </c>
      <c r="C54" s="23" t="s">
        <v>7350</v>
      </c>
      <c r="D54" s="23" t="s">
        <v>9397</v>
      </c>
      <c r="E54" s="438">
        <v>45570.0</v>
      </c>
      <c r="F54" s="438">
        <v>46664.0</v>
      </c>
      <c r="G54" s="23" t="s">
        <v>17836</v>
      </c>
    </row>
    <row r="55">
      <c r="A55" s="23" t="s">
        <v>15800</v>
      </c>
      <c r="B55" s="23" t="s">
        <v>14427</v>
      </c>
      <c r="C55" s="23" t="s">
        <v>7823</v>
      </c>
      <c r="D55" s="23" t="s">
        <v>9397</v>
      </c>
      <c r="E55" s="438">
        <v>45570.0</v>
      </c>
      <c r="F55" s="438">
        <v>46664.0</v>
      </c>
      <c r="G55" s="23" t="s">
        <v>7805</v>
      </c>
    </row>
    <row r="56">
      <c r="A56" s="23" t="s">
        <v>14980</v>
      </c>
      <c r="B56" s="23" t="s">
        <v>14984</v>
      </c>
      <c r="C56" s="23" t="s">
        <v>7835</v>
      </c>
      <c r="D56" s="23" t="s">
        <v>9397</v>
      </c>
      <c r="E56" s="438">
        <v>45570.0</v>
      </c>
      <c r="F56" s="438">
        <v>46664.0</v>
      </c>
      <c r="G56" s="23" t="s">
        <v>7805</v>
      </c>
    </row>
    <row r="57">
      <c r="A57" s="23" t="s">
        <v>12599</v>
      </c>
      <c r="B57" s="23" t="s">
        <v>12600</v>
      </c>
      <c r="C57" s="23" t="s">
        <v>9207</v>
      </c>
      <c r="D57" s="23" t="s">
        <v>9397</v>
      </c>
      <c r="E57" s="438">
        <v>45570.0</v>
      </c>
      <c r="F57" s="438">
        <v>46664.0</v>
      </c>
      <c r="G57" s="23" t="s">
        <v>17836</v>
      </c>
    </row>
    <row r="58">
      <c r="A58" s="23" t="s">
        <v>14973</v>
      </c>
      <c r="B58" s="23" t="s">
        <v>14974</v>
      </c>
      <c r="C58" s="23" t="s">
        <v>18081</v>
      </c>
      <c r="D58" s="23" t="s">
        <v>9397</v>
      </c>
      <c r="E58" s="438">
        <v>45570.0</v>
      </c>
      <c r="F58" s="438">
        <v>46664.0</v>
      </c>
      <c r="G58" s="23" t="s">
        <v>8708</v>
      </c>
    </row>
    <row r="59">
      <c r="A59" s="23" t="s">
        <v>15606</v>
      </c>
      <c r="B59" s="23" t="s">
        <v>15607</v>
      </c>
      <c r="C59" s="23" t="s">
        <v>9110</v>
      </c>
      <c r="D59" s="23" t="s">
        <v>9397</v>
      </c>
      <c r="E59" s="438">
        <v>45570.0</v>
      </c>
      <c r="F59" s="438">
        <v>46664.0</v>
      </c>
      <c r="G59" s="23" t="s">
        <v>2265</v>
      </c>
    </row>
    <row r="60">
      <c r="A60" s="23" t="s">
        <v>9682</v>
      </c>
      <c r="B60" s="23" t="s">
        <v>9683</v>
      </c>
      <c r="C60" s="23" t="s">
        <v>18082</v>
      </c>
      <c r="D60" s="23" t="s">
        <v>9397</v>
      </c>
      <c r="E60" s="438">
        <v>45570.0</v>
      </c>
      <c r="F60" s="438">
        <v>46664.0</v>
      </c>
      <c r="G60" s="23" t="s">
        <v>4044</v>
      </c>
    </row>
    <row r="61">
      <c r="A61" s="23" t="s">
        <v>13336</v>
      </c>
      <c r="B61" s="23" t="s">
        <v>13337</v>
      </c>
      <c r="C61" s="23" t="s">
        <v>18083</v>
      </c>
      <c r="D61" s="23" t="s">
        <v>9397</v>
      </c>
      <c r="E61" s="438">
        <v>45570.0</v>
      </c>
      <c r="F61" s="438">
        <v>46664.0</v>
      </c>
      <c r="G61" s="23" t="s">
        <v>3903</v>
      </c>
    </row>
    <row r="62">
      <c r="A62" s="23" t="s">
        <v>9416</v>
      </c>
      <c r="B62" s="23" t="s">
        <v>9417</v>
      </c>
      <c r="C62" s="23" t="s">
        <v>8691</v>
      </c>
      <c r="D62" s="23" t="s">
        <v>9397</v>
      </c>
      <c r="E62" s="438">
        <v>45570.0</v>
      </c>
      <c r="F62" s="438">
        <v>46664.0</v>
      </c>
      <c r="G62" s="23" t="s">
        <v>17783</v>
      </c>
    </row>
    <row r="63">
      <c r="A63" s="23" t="s">
        <v>15971</v>
      </c>
      <c r="B63" s="23" t="s">
        <v>15972</v>
      </c>
      <c r="C63" s="23" t="s">
        <v>9114</v>
      </c>
      <c r="D63" s="23" t="s">
        <v>9397</v>
      </c>
      <c r="E63" s="438">
        <v>45570.0</v>
      </c>
      <c r="F63" s="438">
        <v>46664.0</v>
      </c>
      <c r="G63" s="23" t="s">
        <v>2265</v>
      </c>
    </row>
    <row r="64">
      <c r="A64" s="23" t="s">
        <v>12864</v>
      </c>
      <c r="B64" s="23" t="s">
        <v>14895</v>
      </c>
      <c r="C64" s="23" t="s">
        <v>9187</v>
      </c>
      <c r="D64" s="23" t="s">
        <v>7050</v>
      </c>
      <c r="E64" s="437" t="s">
        <v>17761</v>
      </c>
      <c r="F64" s="437" t="s">
        <v>17762</v>
      </c>
      <c r="G64" s="23" t="s">
        <v>2265</v>
      </c>
    </row>
    <row r="65">
      <c r="A65" s="23" t="s">
        <v>13215</v>
      </c>
      <c r="B65" s="23" t="s">
        <v>13216</v>
      </c>
      <c r="C65" s="23" t="s">
        <v>7269</v>
      </c>
      <c r="D65" s="23" t="s">
        <v>9397</v>
      </c>
      <c r="E65" s="437" t="s">
        <v>17803</v>
      </c>
      <c r="F65" s="437" t="s">
        <v>17804</v>
      </c>
      <c r="G65" s="23" t="s">
        <v>4420</v>
      </c>
    </row>
    <row r="66">
      <c r="A66" s="23" t="s">
        <v>12570</v>
      </c>
      <c r="B66" s="23" t="s">
        <v>15821</v>
      </c>
      <c r="C66" s="23" t="s">
        <v>7109</v>
      </c>
      <c r="D66" s="23" t="s">
        <v>9397</v>
      </c>
      <c r="E66" s="437" t="s">
        <v>17803</v>
      </c>
      <c r="F66" s="437" t="s">
        <v>17804</v>
      </c>
      <c r="G66" s="23" t="s">
        <v>1349</v>
      </c>
    </row>
    <row r="67">
      <c r="A67" s="23" t="s">
        <v>14665</v>
      </c>
      <c r="B67" s="23" t="s">
        <v>14666</v>
      </c>
      <c r="C67" s="23" t="s">
        <v>18084</v>
      </c>
      <c r="D67" s="23" t="s">
        <v>9397</v>
      </c>
      <c r="E67" s="437" t="s">
        <v>17803</v>
      </c>
      <c r="F67" s="437" t="s">
        <v>17804</v>
      </c>
      <c r="G67" s="23" t="s">
        <v>2127</v>
      </c>
    </row>
    <row r="68">
      <c r="A68" s="23" t="s">
        <v>12828</v>
      </c>
      <c r="B68" s="23" t="s">
        <v>12829</v>
      </c>
      <c r="C68" s="23" t="s">
        <v>7574</v>
      </c>
      <c r="D68" s="23" t="s">
        <v>9397</v>
      </c>
      <c r="E68" s="437" t="s">
        <v>17803</v>
      </c>
      <c r="F68" s="437" t="s">
        <v>17804</v>
      </c>
      <c r="G68" s="23" t="s">
        <v>7550</v>
      </c>
    </row>
    <row r="69">
      <c r="A69" s="23" t="s">
        <v>9393</v>
      </c>
      <c r="B69" s="23" t="s">
        <v>9394</v>
      </c>
      <c r="C69" s="23" t="s">
        <v>8695</v>
      </c>
      <c r="D69" s="23" t="s">
        <v>9397</v>
      </c>
      <c r="E69" s="437" t="s">
        <v>17803</v>
      </c>
      <c r="F69" s="437" t="s">
        <v>17804</v>
      </c>
      <c r="G69" s="23" t="s">
        <v>17783</v>
      </c>
    </row>
    <row r="70">
      <c r="A70" s="23" t="s">
        <v>9529</v>
      </c>
      <c r="B70" s="23" t="s">
        <v>9530</v>
      </c>
      <c r="C70" s="23" t="s">
        <v>9316</v>
      </c>
      <c r="D70" s="23" t="s">
        <v>9397</v>
      </c>
      <c r="E70" s="437" t="s">
        <v>17803</v>
      </c>
      <c r="F70" s="437" t="s">
        <v>17804</v>
      </c>
      <c r="G70" s="23" t="s">
        <v>9241</v>
      </c>
    </row>
    <row r="71">
      <c r="A71" s="23" t="s">
        <v>9764</v>
      </c>
      <c r="B71" s="23" t="s">
        <v>9765</v>
      </c>
      <c r="C71" s="23" t="s">
        <v>9337</v>
      </c>
      <c r="D71" s="23" t="s">
        <v>7050</v>
      </c>
      <c r="E71" s="437" t="s">
        <v>17766</v>
      </c>
      <c r="F71" s="437" t="s">
        <v>17767</v>
      </c>
      <c r="G71" s="23" t="s">
        <v>9241</v>
      </c>
    </row>
    <row r="72">
      <c r="A72" s="23" t="s">
        <v>9745</v>
      </c>
      <c r="B72" s="23" t="s">
        <v>9746</v>
      </c>
      <c r="C72" s="23" t="s">
        <v>9312</v>
      </c>
      <c r="D72" s="23" t="s">
        <v>7050</v>
      </c>
      <c r="E72" s="437" t="s">
        <v>17766</v>
      </c>
      <c r="F72" s="437" t="s">
        <v>17767</v>
      </c>
      <c r="G72" s="23" t="s">
        <v>9241</v>
      </c>
    </row>
    <row r="73">
      <c r="A73" s="23" t="s">
        <v>15104</v>
      </c>
      <c r="B73" s="23" t="s">
        <v>15105</v>
      </c>
      <c r="C73" s="23" t="s">
        <v>8390</v>
      </c>
      <c r="D73" s="23" t="s">
        <v>7050</v>
      </c>
      <c r="E73" s="438">
        <v>45598.0</v>
      </c>
      <c r="F73" s="438">
        <v>46692.0</v>
      </c>
      <c r="G73" s="23" t="s">
        <v>1311</v>
      </c>
    </row>
    <row r="74">
      <c r="A74" s="23" t="s">
        <v>15415</v>
      </c>
      <c r="B74" s="23" t="s">
        <v>15416</v>
      </c>
      <c r="C74" s="23" t="s">
        <v>7995</v>
      </c>
      <c r="D74" s="23" t="s">
        <v>7050</v>
      </c>
      <c r="E74" s="438">
        <v>45598.0</v>
      </c>
      <c r="F74" s="438">
        <v>46692.0</v>
      </c>
      <c r="G74" s="23" t="s">
        <v>2127</v>
      </c>
    </row>
    <row r="75">
      <c r="A75" s="23" t="s">
        <v>9577</v>
      </c>
      <c r="B75" s="23" t="s">
        <v>9578</v>
      </c>
      <c r="C75" s="23" t="s">
        <v>18085</v>
      </c>
      <c r="D75" s="23" t="s">
        <v>7050</v>
      </c>
      <c r="E75" s="438">
        <v>45598.0</v>
      </c>
      <c r="F75" s="438">
        <v>46692.0</v>
      </c>
      <c r="G75" s="23" t="s">
        <v>9459</v>
      </c>
    </row>
    <row r="76">
      <c r="A76" s="23" t="s">
        <v>9996</v>
      </c>
      <c r="B76" s="23" t="s">
        <v>9997</v>
      </c>
      <c r="C76" s="23" t="s">
        <v>18086</v>
      </c>
      <c r="D76" s="23" t="s">
        <v>7050</v>
      </c>
      <c r="E76" s="437" t="s">
        <v>17759</v>
      </c>
      <c r="F76" s="437" t="s">
        <v>17760</v>
      </c>
      <c r="G76" s="23" t="s">
        <v>4044</v>
      </c>
    </row>
    <row r="77">
      <c r="A77" s="23" t="s">
        <v>13834</v>
      </c>
      <c r="B77" s="23" t="s">
        <v>13835</v>
      </c>
      <c r="C77" s="23" t="s">
        <v>7106</v>
      </c>
      <c r="D77" s="23" t="s">
        <v>7050</v>
      </c>
      <c r="E77" s="437" t="s">
        <v>17759</v>
      </c>
      <c r="F77" s="437" t="s">
        <v>17760</v>
      </c>
      <c r="G77" s="23" t="s">
        <v>17893</v>
      </c>
    </row>
    <row r="78">
      <c r="A78" s="23" t="s">
        <v>16481</v>
      </c>
      <c r="B78" s="23" t="s">
        <v>16482</v>
      </c>
      <c r="C78" s="23" t="s">
        <v>18087</v>
      </c>
      <c r="D78" s="23" t="s">
        <v>7050</v>
      </c>
      <c r="E78" s="437" t="s">
        <v>17759</v>
      </c>
      <c r="F78" s="437" t="s">
        <v>17760</v>
      </c>
      <c r="G78" s="23" t="s">
        <v>3216</v>
      </c>
    </row>
    <row r="79">
      <c r="A79" s="23" t="s">
        <v>16476</v>
      </c>
      <c r="B79" s="23" t="s">
        <v>16477</v>
      </c>
      <c r="C79" s="23" t="s">
        <v>18088</v>
      </c>
      <c r="D79" s="23" t="s">
        <v>7050</v>
      </c>
      <c r="E79" s="437" t="s">
        <v>17759</v>
      </c>
      <c r="F79" s="437" t="s">
        <v>17760</v>
      </c>
      <c r="G79" s="23" t="s">
        <v>3216</v>
      </c>
    </row>
    <row r="80">
      <c r="A80" s="23" t="s">
        <v>14040</v>
      </c>
      <c r="B80" s="23" t="s">
        <v>16472</v>
      </c>
      <c r="C80" s="23" t="s">
        <v>18089</v>
      </c>
      <c r="D80" s="23" t="s">
        <v>7050</v>
      </c>
      <c r="E80" s="437" t="s">
        <v>17759</v>
      </c>
      <c r="F80" s="437" t="s">
        <v>17760</v>
      </c>
      <c r="G80" s="23" t="s">
        <v>3216</v>
      </c>
    </row>
    <row r="81">
      <c r="A81" s="23" t="s">
        <v>14055</v>
      </c>
      <c r="B81" s="23" t="s">
        <v>14056</v>
      </c>
      <c r="C81" s="23" t="s">
        <v>9194</v>
      </c>
      <c r="D81" s="23" t="s">
        <v>6995</v>
      </c>
      <c r="E81" s="437" t="s">
        <v>17759</v>
      </c>
      <c r="F81" s="437" t="s">
        <v>17760</v>
      </c>
      <c r="G81" s="23" t="s">
        <v>8806</v>
      </c>
    </row>
    <row r="82">
      <c r="A82" s="23" t="s">
        <v>12879</v>
      </c>
      <c r="B82" s="23" t="s">
        <v>12880</v>
      </c>
      <c r="C82" s="23" t="s">
        <v>7623</v>
      </c>
      <c r="D82" s="23" t="s">
        <v>6995</v>
      </c>
      <c r="E82" s="437" t="s">
        <v>17759</v>
      </c>
      <c r="F82" s="437" t="s">
        <v>17760</v>
      </c>
      <c r="G82" s="23" t="s">
        <v>7621</v>
      </c>
    </row>
    <row r="83">
      <c r="A83" s="23" t="s">
        <v>16044</v>
      </c>
      <c r="B83" s="23" t="s">
        <v>16045</v>
      </c>
      <c r="C83" s="23" t="s">
        <v>18090</v>
      </c>
      <c r="D83" s="23" t="s">
        <v>7050</v>
      </c>
      <c r="E83" s="437" t="s">
        <v>17759</v>
      </c>
      <c r="F83" s="437" t="s">
        <v>17760</v>
      </c>
      <c r="G83" s="23" t="s">
        <v>13992</v>
      </c>
    </row>
    <row r="84">
      <c r="A84" s="23" t="s">
        <v>11914</v>
      </c>
      <c r="B84" s="23" t="s">
        <v>11915</v>
      </c>
      <c r="C84" s="23" t="s">
        <v>18091</v>
      </c>
      <c r="D84" s="23" t="s">
        <v>7050</v>
      </c>
      <c r="E84" s="437" t="s">
        <v>17759</v>
      </c>
      <c r="F84" s="437" t="s">
        <v>17760</v>
      </c>
      <c r="G84" s="23" t="s">
        <v>4509</v>
      </c>
    </row>
    <row r="85">
      <c r="A85" s="23" t="s">
        <v>15248</v>
      </c>
      <c r="B85" s="23" t="s">
        <v>15249</v>
      </c>
      <c r="C85" s="23" t="s">
        <v>7129</v>
      </c>
      <c r="D85" s="23" t="s">
        <v>7050</v>
      </c>
      <c r="E85" s="437" t="s">
        <v>17759</v>
      </c>
      <c r="F85" s="437" t="s">
        <v>17760</v>
      </c>
      <c r="G85" s="23" t="s">
        <v>1349</v>
      </c>
    </row>
    <row r="86">
      <c r="A86" s="23" t="s">
        <v>15007</v>
      </c>
      <c r="B86" s="23" t="s">
        <v>15009</v>
      </c>
      <c r="C86" s="23" t="s">
        <v>8009</v>
      </c>
      <c r="D86" s="23" t="s">
        <v>7050</v>
      </c>
      <c r="E86" s="437" t="s">
        <v>17759</v>
      </c>
      <c r="F86" s="437" t="s">
        <v>17760</v>
      </c>
      <c r="G86" s="23" t="s">
        <v>2269</v>
      </c>
    </row>
    <row r="87">
      <c r="A87" s="23" t="s">
        <v>13901</v>
      </c>
      <c r="B87" s="23" t="s">
        <v>13904</v>
      </c>
      <c r="C87" s="23" t="s">
        <v>9347</v>
      </c>
      <c r="D87" s="23" t="s">
        <v>7050</v>
      </c>
      <c r="E87" s="437" t="s">
        <v>17759</v>
      </c>
      <c r="F87" s="437" t="s">
        <v>17760</v>
      </c>
      <c r="G87" s="23" t="s">
        <v>2127</v>
      </c>
    </row>
    <row r="88">
      <c r="A88" s="23" t="s">
        <v>13667</v>
      </c>
      <c r="B88" s="23" t="s">
        <v>13668</v>
      </c>
      <c r="C88" s="23" t="s">
        <v>7483</v>
      </c>
      <c r="D88" s="23" t="s">
        <v>7050</v>
      </c>
      <c r="E88" s="437" t="s">
        <v>17759</v>
      </c>
      <c r="F88" s="437" t="s">
        <v>17760</v>
      </c>
      <c r="G88" s="23" t="s">
        <v>7454</v>
      </c>
    </row>
    <row r="89">
      <c r="A89" s="23" t="s">
        <v>10433</v>
      </c>
      <c r="B89" s="23" t="s">
        <v>13475</v>
      </c>
      <c r="C89" s="23" t="s">
        <v>8400</v>
      </c>
      <c r="D89" s="23" t="s">
        <v>6995</v>
      </c>
      <c r="E89" s="437" t="s">
        <v>17761</v>
      </c>
      <c r="F89" s="437" t="s">
        <v>17762</v>
      </c>
      <c r="G89" s="23" t="s">
        <v>1311</v>
      </c>
    </row>
    <row r="90">
      <c r="A90" s="23" t="s">
        <v>13192</v>
      </c>
      <c r="B90" s="23" t="s">
        <v>13193</v>
      </c>
      <c r="C90" s="23" t="s">
        <v>18092</v>
      </c>
      <c r="D90" s="23" t="s">
        <v>7050</v>
      </c>
      <c r="E90" s="437" t="s">
        <v>17761</v>
      </c>
      <c r="F90" s="437" t="s">
        <v>17762</v>
      </c>
      <c r="G90" s="23" t="s">
        <v>3903</v>
      </c>
    </row>
    <row r="91">
      <c r="A91" s="23" t="s">
        <v>13748</v>
      </c>
      <c r="B91" s="23" t="s">
        <v>13749</v>
      </c>
      <c r="C91" s="23" t="s">
        <v>18093</v>
      </c>
      <c r="D91" s="23" t="s">
        <v>7050</v>
      </c>
      <c r="E91" s="437" t="s">
        <v>17761</v>
      </c>
      <c r="F91" s="437" t="s">
        <v>17762</v>
      </c>
      <c r="G91" s="23" t="s">
        <v>2926</v>
      </c>
    </row>
    <row r="92">
      <c r="A92" s="23" t="s">
        <v>15309</v>
      </c>
      <c r="B92" s="23" t="s">
        <v>15310</v>
      </c>
      <c r="C92" s="23" t="s">
        <v>18094</v>
      </c>
      <c r="D92" s="23" t="s">
        <v>7050</v>
      </c>
      <c r="E92" s="437" t="s">
        <v>17761</v>
      </c>
      <c r="F92" s="437" t="s">
        <v>17762</v>
      </c>
      <c r="G92" s="23" t="s">
        <v>13682</v>
      </c>
    </row>
    <row r="93">
      <c r="A93" s="23" t="s">
        <v>9477</v>
      </c>
      <c r="B93" s="23" t="s">
        <v>9478</v>
      </c>
      <c r="C93" s="23" t="s">
        <v>9284</v>
      </c>
      <c r="D93" s="23" t="s">
        <v>7050</v>
      </c>
      <c r="E93" s="437" t="s">
        <v>17761</v>
      </c>
      <c r="F93" s="437" t="s">
        <v>17762</v>
      </c>
      <c r="G93" s="23" t="s">
        <v>9241</v>
      </c>
    </row>
    <row r="94">
      <c r="A94" s="23" t="s">
        <v>12576</v>
      </c>
      <c r="B94" s="23" t="s">
        <v>12577</v>
      </c>
      <c r="C94" s="23" t="s">
        <v>18095</v>
      </c>
      <c r="D94" s="23" t="s">
        <v>7050</v>
      </c>
      <c r="E94" s="437" t="s">
        <v>17761</v>
      </c>
      <c r="F94" s="437" t="s">
        <v>17762</v>
      </c>
      <c r="G94" s="23" t="s">
        <v>12557</v>
      </c>
    </row>
    <row r="95">
      <c r="A95" s="23" t="s">
        <v>14806</v>
      </c>
      <c r="B95" s="23" t="s">
        <v>14807</v>
      </c>
      <c r="C95" s="23" t="s">
        <v>6994</v>
      </c>
      <c r="D95" s="23" t="s">
        <v>6995</v>
      </c>
      <c r="E95" s="437" t="s">
        <v>17761</v>
      </c>
      <c r="F95" s="437" t="s">
        <v>17762</v>
      </c>
      <c r="G95" s="23" t="s">
        <v>6935</v>
      </c>
    </row>
    <row r="96">
      <c r="A96" s="23" t="s">
        <v>15603</v>
      </c>
      <c r="B96" s="23" t="s">
        <v>15604</v>
      </c>
      <c r="C96" s="23" t="s">
        <v>8740</v>
      </c>
      <c r="D96" s="23" t="s">
        <v>9397</v>
      </c>
      <c r="E96" s="437" t="s">
        <v>17781</v>
      </c>
      <c r="F96" s="437" t="s">
        <v>17782</v>
      </c>
      <c r="G96" s="23" t="s">
        <v>456</v>
      </c>
    </row>
    <row r="97">
      <c r="A97" s="23" t="s">
        <v>9830</v>
      </c>
      <c r="B97" s="23" t="s">
        <v>14965</v>
      </c>
      <c r="C97" s="23" t="s">
        <v>8274</v>
      </c>
      <c r="D97" s="23" t="s">
        <v>7050</v>
      </c>
      <c r="E97" s="437" t="s">
        <v>17769</v>
      </c>
      <c r="F97" s="437" t="s">
        <v>17770</v>
      </c>
      <c r="G97" s="23" t="s">
        <v>1311</v>
      </c>
    </row>
    <row r="98">
      <c r="A98" s="23" t="s">
        <v>15232</v>
      </c>
      <c r="B98" s="23" t="s">
        <v>15233</v>
      </c>
      <c r="C98" s="23" t="s">
        <v>9210</v>
      </c>
      <c r="D98" s="23" t="s">
        <v>7050</v>
      </c>
      <c r="E98" s="437" t="s">
        <v>17769</v>
      </c>
      <c r="F98" s="437" t="s">
        <v>17770</v>
      </c>
      <c r="G98" s="23" t="s">
        <v>17898</v>
      </c>
    </row>
    <row r="99">
      <c r="A99" s="23" t="s">
        <v>15629</v>
      </c>
      <c r="B99" s="23" t="s">
        <v>15630</v>
      </c>
      <c r="C99" s="23" t="s">
        <v>18096</v>
      </c>
      <c r="D99" s="23" t="s">
        <v>7050</v>
      </c>
      <c r="E99" s="437" t="s">
        <v>17769</v>
      </c>
      <c r="F99" s="437" t="s">
        <v>17770</v>
      </c>
      <c r="G99" s="23" t="s">
        <v>13992</v>
      </c>
    </row>
    <row r="100">
      <c r="A100" s="23" t="s">
        <v>14103</v>
      </c>
      <c r="B100" s="23" t="s">
        <v>14104</v>
      </c>
      <c r="C100" s="23" t="s">
        <v>7451</v>
      </c>
      <c r="D100" s="23" t="s">
        <v>7050</v>
      </c>
      <c r="E100" s="437" t="s">
        <v>17769</v>
      </c>
      <c r="F100" s="437" t="s">
        <v>17770</v>
      </c>
      <c r="G100" s="23" t="s">
        <v>13992</v>
      </c>
    </row>
    <row r="101">
      <c r="A101" s="23" t="s">
        <v>12922</v>
      </c>
      <c r="B101" s="23" t="s">
        <v>12923</v>
      </c>
      <c r="C101" s="23" t="s">
        <v>7202</v>
      </c>
      <c r="D101" s="23" t="s">
        <v>7050</v>
      </c>
      <c r="E101" s="437" t="s">
        <v>17769</v>
      </c>
      <c r="F101" s="437" t="s">
        <v>17770</v>
      </c>
      <c r="G101" s="23" t="s">
        <v>7550</v>
      </c>
    </row>
    <row r="102">
      <c r="A102" s="23" t="s">
        <v>13047</v>
      </c>
      <c r="B102" s="23" t="s">
        <v>13048</v>
      </c>
      <c r="C102" s="23" t="s">
        <v>18097</v>
      </c>
      <c r="D102" s="23" t="s">
        <v>7050</v>
      </c>
      <c r="E102" s="437" t="s">
        <v>17769</v>
      </c>
      <c r="F102" s="437" t="s">
        <v>17770</v>
      </c>
      <c r="G102" s="23" t="s">
        <v>13992</v>
      </c>
    </row>
    <row r="103">
      <c r="A103" s="23" t="s">
        <v>12240</v>
      </c>
      <c r="B103" s="23" t="s">
        <v>15960</v>
      </c>
      <c r="C103" s="23" t="s">
        <v>18098</v>
      </c>
      <c r="D103" s="23" t="s">
        <v>7050</v>
      </c>
      <c r="E103" s="437" t="s">
        <v>17769</v>
      </c>
      <c r="F103" s="437" t="s">
        <v>17770</v>
      </c>
      <c r="G103" s="23" t="s">
        <v>13992</v>
      </c>
    </row>
    <row r="104">
      <c r="A104" s="23" t="s">
        <v>9674</v>
      </c>
      <c r="B104" s="23" t="s">
        <v>12530</v>
      </c>
      <c r="C104" s="23" t="s">
        <v>18099</v>
      </c>
      <c r="D104" s="23" t="s">
        <v>7050</v>
      </c>
      <c r="E104" s="437" t="s">
        <v>17769</v>
      </c>
      <c r="F104" s="437" t="s">
        <v>17770</v>
      </c>
      <c r="G104" s="23" t="s">
        <v>12557</v>
      </c>
    </row>
    <row r="105">
      <c r="A105" s="23" t="s">
        <v>14454</v>
      </c>
      <c r="B105" s="23" t="s">
        <v>14455</v>
      </c>
      <c r="C105" s="23" t="s">
        <v>18100</v>
      </c>
      <c r="D105" s="23" t="s">
        <v>7050</v>
      </c>
      <c r="E105" s="437" t="s">
        <v>17781</v>
      </c>
      <c r="F105" s="437" t="s">
        <v>17782</v>
      </c>
      <c r="G105" s="23" t="s">
        <v>13992</v>
      </c>
    </row>
    <row r="106">
      <c r="A106" s="23" t="s">
        <v>12924</v>
      </c>
      <c r="B106" s="23" t="s">
        <v>15843</v>
      </c>
      <c r="C106" s="23" t="s">
        <v>18101</v>
      </c>
      <c r="D106" s="23" t="s">
        <v>7050</v>
      </c>
      <c r="E106" s="437" t="s">
        <v>17794</v>
      </c>
      <c r="F106" s="437" t="s">
        <v>17795</v>
      </c>
      <c r="G106" s="23" t="s">
        <v>13992</v>
      </c>
    </row>
    <row r="107">
      <c r="A107" s="23" t="s">
        <v>12713</v>
      </c>
      <c r="B107" s="23" t="s">
        <v>12714</v>
      </c>
      <c r="C107" s="23" t="s">
        <v>7319</v>
      </c>
      <c r="D107" s="23" t="s">
        <v>7050</v>
      </c>
      <c r="E107" s="437" t="s">
        <v>17781</v>
      </c>
      <c r="F107" s="437" t="s">
        <v>17782</v>
      </c>
      <c r="G107" s="23" t="s">
        <v>6503</v>
      </c>
    </row>
    <row r="108">
      <c r="A108" s="23" t="s">
        <v>15704</v>
      </c>
      <c r="B108" s="23" t="s">
        <v>15708</v>
      </c>
      <c r="C108" s="23" t="s">
        <v>7987</v>
      </c>
      <c r="D108" s="23" t="s">
        <v>7050</v>
      </c>
      <c r="E108" s="437" t="s">
        <v>17769</v>
      </c>
      <c r="F108" s="437" t="s">
        <v>17770</v>
      </c>
      <c r="G108" s="23" t="s">
        <v>2127</v>
      </c>
    </row>
    <row r="109">
      <c r="A109" s="23" t="s">
        <v>13235</v>
      </c>
      <c r="B109" s="23" t="s">
        <v>13236</v>
      </c>
      <c r="C109" s="23" t="s">
        <v>7049</v>
      </c>
      <c r="D109" s="23" t="s">
        <v>7050</v>
      </c>
      <c r="E109" s="437" t="s">
        <v>17794</v>
      </c>
      <c r="F109" s="437" t="s">
        <v>17795</v>
      </c>
      <c r="G109" s="23" t="s">
        <v>6935</v>
      </c>
    </row>
    <row r="110">
      <c r="A110" s="23" t="s">
        <v>15693</v>
      </c>
      <c r="B110" s="23" t="s">
        <v>15694</v>
      </c>
      <c r="C110" s="23" t="s">
        <v>7494</v>
      </c>
      <c r="D110" s="23" t="s">
        <v>7050</v>
      </c>
      <c r="E110" s="437" t="s">
        <v>17781</v>
      </c>
      <c r="F110" s="437" t="s">
        <v>17782</v>
      </c>
      <c r="G110" s="23" t="s">
        <v>7454</v>
      </c>
    </row>
    <row r="111">
      <c r="A111" s="23" t="s">
        <v>10077</v>
      </c>
      <c r="B111" s="23" t="s">
        <v>10078</v>
      </c>
      <c r="C111" s="23" t="s">
        <v>18102</v>
      </c>
      <c r="D111" s="23" t="s">
        <v>7050</v>
      </c>
      <c r="E111" s="437" t="s">
        <v>17781</v>
      </c>
      <c r="F111" s="437" t="s">
        <v>17782</v>
      </c>
      <c r="G111" s="23" t="s">
        <v>17464</v>
      </c>
    </row>
    <row r="112">
      <c r="A112" s="23" t="s">
        <v>9967</v>
      </c>
      <c r="B112" s="23" t="s">
        <v>9968</v>
      </c>
      <c r="C112" s="23" t="s">
        <v>9304</v>
      </c>
      <c r="D112" s="23" t="s">
        <v>7050</v>
      </c>
      <c r="E112" s="437" t="s">
        <v>17794</v>
      </c>
      <c r="F112" s="437" t="s">
        <v>17795</v>
      </c>
      <c r="G112" s="23" t="s">
        <v>9241</v>
      </c>
    </row>
    <row r="113">
      <c r="A113" s="23" t="s">
        <v>10001</v>
      </c>
      <c r="B113" s="23" t="s">
        <v>10002</v>
      </c>
      <c r="C113" s="23" t="s">
        <v>9248</v>
      </c>
      <c r="D113" s="23" t="s">
        <v>7050</v>
      </c>
      <c r="E113" s="437" t="s">
        <v>17794</v>
      </c>
      <c r="F113" s="437" t="s">
        <v>17795</v>
      </c>
      <c r="G113" s="23" t="s">
        <v>9241</v>
      </c>
    </row>
    <row r="114">
      <c r="A114" s="23" t="s">
        <v>9735</v>
      </c>
      <c r="B114" s="23" t="s">
        <v>9736</v>
      </c>
      <c r="C114" s="23" t="s">
        <v>18103</v>
      </c>
      <c r="D114" s="23" t="s">
        <v>7050</v>
      </c>
      <c r="E114" s="437" t="s">
        <v>17794</v>
      </c>
      <c r="F114" s="437" t="s">
        <v>17795</v>
      </c>
      <c r="G114" s="23" t="s">
        <v>9241</v>
      </c>
    </row>
    <row r="115">
      <c r="A115" s="23" t="s">
        <v>11638</v>
      </c>
      <c r="B115" s="23" t="s">
        <v>15121</v>
      </c>
      <c r="C115" s="23" t="s">
        <v>7011</v>
      </c>
      <c r="D115" s="23" t="s">
        <v>9397</v>
      </c>
      <c r="E115" s="437" t="s">
        <v>17819</v>
      </c>
      <c r="F115" s="437" t="s">
        <v>17820</v>
      </c>
      <c r="G115" s="23" t="s">
        <v>6935</v>
      </c>
    </row>
    <row r="116">
      <c r="A116" s="23" t="s">
        <v>15648</v>
      </c>
      <c r="B116" s="23" t="s">
        <v>15649</v>
      </c>
      <c r="C116" s="23" t="s">
        <v>18104</v>
      </c>
      <c r="D116" s="23" t="s">
        <v>7050</v>
      </c>
      <c r="E116" s="437" t="s">
        <v>17794</v>
      </c>
      <c r="F116" s="437" t="s">
        <v>17795</v>
      </c>
      <c r="G116" s="23" t="s">
        <v>13992</v>
      </c>
    </row>
    <row r="117">
      <c r="A117" s="23" t="s">
        <v>14129</v>
      </c>
      <c r="B117" s="23" t="s">
        <v>14130</v>
      </c>
      <c r="C117" s="23" t="s">
        <v>7815</v>
      </c>
      <c r="D117" s="23" t="s">
        <v>7050</v>
      </c>
      <c r="E117" s="437" t="s">
        <v>17794</v>
      </c>
      <c r="F117" s="437" t="s">
        <v>17795</v>
      </c>
      <c r="G117" s="23" t="s">
        <v>1635</v>
      </c>
    </row>
    <row r="118">
      <c r="E118" s="441"/>
      <c r="F118" s="441"/>
    </row>
    <row r="119">
      <c r="E119" s="441"/>
      <c r="F119" s="441"/>
    </row>
    <row r="120">
      <c r="E120" s="441"/>
      <c r="F120" s="441"/>
    </row>
    <row r="121">
      <c r="E121" s="441"/>
      <c r="F121" s="441"/>
    </row>
    <row r="122">
      <c r="E122" s="441"/>
      <c r="F122" s="441"/>
    </row>
    <row r="123">
      <c r="E123" s="441"/>
      <c r="F123" s="441"/>
    </row>
    <row r="124">
      <c r="E124" s="441"/>
      <c r="F124" s="441"/>
    </row>
    <row r="125">
      <c r="E125" s="441"/>
      <c r="F125" s="441"/>
    </row>
    <row r="126">
      <c r="E126" s="441"/>
      <c r="F126" s="441"/>
    </row>
    <row r="127">
      <c r="E127" s="441"/>
      <c r="F127" s="441"/>
    </row>
    <row r="128">
      <c r="E128" s="441"/>
      <c r="F128" s="441"/>
    </row>
    <row r="129">
      <c r="E129" s="441"/>
      <c r="F129" s="441"/>
    </row>
    <row r="130">
      <c r="E130" s="441"/>
      <c r="F130" s="441"/>
    </row>
    <row r="131">
      <c r="E131" s="441"/>
      <c r="F131" s="441"/>
    </row>
    <row r="132">
      <c r="E132" s="441"/>
      <c r="F132" s="441"/>
    </row>
    <row r="133">
      <c r="E133" s="441"/>
      <c r="F133" s="441"/>
    </row>
    <row r="134">
      <c r="E134" s="441"/>
      <c r="F134" s="441"/>
    </row>
    <row r="135">
      <c r="E135" s="441"/>
      <c r="F135" s="441"/>
    </row>
    <row r="136">
      <c r="E136" s="441"/>
      <c r="F136" s="441"/>
    </row>
    <row r="137">
      <c r="E137" s="441"/>
      <c r="F137" s="441"/>
    </row>
    <row r="138">
      <c r="E138" s="441"/>
      <c r="F138" s="441"/>
    </row>
    <row r="139">
      <c r="E139" s="441"/>
      <c r="F139" s="441"/>
    </row>
    <row r="140">
      <c r="E140" s="441"/>
      <c r="F140" s="441"/>
    </row>
    <row r="141">
      <c r="E141" s="441"/>
      <c r="F141" s="441"/>
    </row>
    <row r="142">
      <c r="E142" s="441"/>
      <c r="F142" s="441"/>
    </row>
    <row r="143">
      <c r="E143" s="441"/>
      <c r="F143" s="441"/>
    </row>
    <row r="144">
      <c r="E144" s="441"/>
      <c r="F144" s="441"/>
    </row>
    <row r="145">
      <c r="E145" s="441"/>
      <c r="F145" s="441"/>
    </row>
    <row r="146">
      <c r="E146" s="441"/>
      <c r="F146" s="441"/>
    </row>
    <row r="147">
      <c r="E147" s="441"/>
      <c r="F147" s="441"/>
    </row>
    <row r="148">
      <c r="E148" s="441"/>
      <c r="F148" s="441"/>
    </row>
    <row r="149">
      <c r="E149" s="441"/>
      <c r="F149" s="441"/>
    </row>
    <row r="150">
      <c r="E150" s="441"/>
      <c r="F150" s="441"/>
    </row>
    <row r="151">
      <c r="E151" s="441"/>
      <c r="F151" s="441"/>
    </row>
    <row r="152">
      <c r="E152" s="441"/>
      <c r="F152" s="441"/>
    </row>
    <row r="153">
      <c r="E153" s="441"/>
      <c r="F153" s="441"/>
    </row>
    <row r="154">
      <c r="E154" s="441"/>
      <c r="F154" s="441"/>
    </row>
    <row r="155">
      <c r="E155" s="441"/>
      <c r="F155" s="441"/>
    </row>
    <row r="156">
      <c r="E156" s="441"/>
      <c r="F156" s="441"/>
    </row>
    <row r="157">
      <c r="E157" s="441"/>
      <c r="F157" s="441"/>
    </row>
    <row r="158">
      <c r="E158" s="441"/>
      <c r="F158" s="441"/>
    </row>
    <row r="159">
      <c r="E159" s="441"/>
      <c r="F159" s="441"/>
    </row>
    <row r="160">
      <c r="E160" s="441"/>
      <c r="F160" s="441"/>
    </row>
    <row r="161">
      <c r="E161" s="441"/>
      <c r="F161" s="441"/>
    </row>
    <row r="162">
      <c r="E162" s="441"/>
      <c r="F162" s="441"/>
    </row>
    <row r="163">
      <c r="E163" s="441"/>
      <c r="F163" s="441"/>
    </row>
    <row r="164">
      <c r="E164" s="441"/>
      <c r="F164" s="441"/>
    </row>
    <row r="165">
      <c r="E165" s="441"/>
      <c r="F165" s="441"/>
    </row>
    <row r="166">
      <c r="E166" s="441"/>
      <c r="F166" s="441"/>
    </row>
    <row r="167">
      <c r="E167" s="441"/>
      <c r="F167" s="441"/>
    </row>
    <row r="168">
      <c r="E168" s="441"/>
      <c r="F168" s="441"/>
    </row>
    <row r="169">
      <c r="E169" s="441"/>
      <c r="F169" s="441"/>
    </row>
    <row r="170">
      <c r="E170" s="441"/>
      <c r="F170" s="441"/>
    </row>
    <row r="171">
      <c r="E171" s="441"/>
      <c r="F171" s="441"/>
    </row>
    <row r="172">
      <c r="E172" s="441"/>
      <c r="F172" s="441"/>
    </row>
    <row r="173">
      <c r="E173" s="441"/>
      <c r="F173" s="441"/>
    </row>
    <row r="174">
      <c r="E174" s="441"/>
      <c r="F174" s="441"/>
    </row>
    <row r="175">
      <c r="E175" s="441"/>
      <c r="F175" s="441"/>
    </row>
    <row r="176">
      <c r="E176" s="441"/>
      <c r="F176" s="441"/>
    </row>
    <row r="177">
      <c r="E177" s="441"/>
      <c r="F177" s="441"/>
    </row>
    <row r="178">
      <c r="E178" s="441"/>
      <c r="F178" s="441"/>
    </row>
    <row r="179">
      <c r="E179" s="441"/>
      <c r="F179" s="441"/>
    </row>
    <row r="180">
      <c r="E180" s="441"/>
      <c r="F180" s="441"/>
    </row>
    <row r="181">
      <c r="E181" s="441"/>
      <c r="F181" s="441"/>
    </row>
    <row r="182">
      <c r="E182" s="441"/>
      <c r="F182" s="441"/>
    </row>
    <row r="183">
      <c r="E183" s="441"/>
      <c r="F183" s="441"/>
    </row>
    <row r="184">
      <c r="E184" s="441"/>
      <c r="F184" s="441"/>
    </row>
    <row r="185">
      <c r="E185" s="441"/>
      <c r="F185" s="441"/>
    </row>
    <row r="186">
      <c r="E186" s="441"/>
      <c r="F186" s="441"/>
    </row>
    <row r="187">
      <c r="E187" s="441"/>
      <c r="F187" s="441"/>
    </row>
    <row r="188">
      <c r="E188" s="441"/>
      <c r="F188" s="441"/>
    </row>
    <row r="189">
      <c r="E189" s="441"/>
      <c r="F189" s="441"/>
    </row>
    <row r="190">
      <c r="E190" s="441"/>
      <c r="F190" s="441"/>
    </row>
    <row r="191">
      <c r="E191" s="441"/>
      <c r="F191" s="441"/>
    </row>
    <row r="192">
      <c r="E192" s="441"/>
      <c r="F192" s="441"/>
    </row>
    <row r="193">
      <c r="E193" s="441"/>
      <c r="F193" s="441"/>
    </row>
    <row r="194">
      <c r="E194" s="441"/>
      <c r="F194" s="441"/>
    </row>
    <row r="195">
      <c r="E195" s="441"/>
      <c r="F195" s="441"/>
    </row>
    <row r="196">
      <c r="E196" s="441"/>
      <c r="F196" s="441"/>
    </row>
    <row r="197">
      <c r="E197" s="441"/>
      <c r="F197" s="441"/>
    </row>
    <row r="198">
      <c r="E198" s="441"/>
      <c r="F198" s="441"/>
    </row>
    <row r="199">
      <c r="E199" s="441"/>
      <c r="F199" s="441"/>
    </row>
    <row r="200">
      <c r="E200" s="441"/>
      <c r="F200" s="441"/>
    </row>
    <row r="201">
      <c r="E201" s="441"/>
      <c r="F201" s="441"/>
    </row>
    <row r="202">
      <c r="E202" s="441"/>
      <c r="F202" s="441"/>
    </row>
    <row r="203">
      <c r="E203" s="441"/>
      <c r="F203" s="441"/>
    </row>
    <row r="204">
      <c r="E204" s="441"/>
      <c r="F204" s="441"/>
    </row>
    <row r="205">
      <c r="E205" s="441"/>
      <c r="F205" s="441"/>
    </row>
    <row r="206">
      <c r="E206" s="441"/>
      <c r="F206" s="441"/>
    </row>
    <row r="207">
      <c r="E207" s="441"/>
      <c r="F207" s="441"/>
    </row>
    <row r="208">
      <c r="E208" s="441"/>
      <c r="F208" s="441"/>
    </row>
    <row r="209">
      <c r="E209" s="441"/>
      <c r="F209" s="441"/>
    </row>
    <row r="210">
      <c r="E210" s="441"/>
      <c r="F210" s="441"/>
    </row>
    <row r="211">
      <c r="E211" s="441"/>
      <c r="F211" s="441"/>
    </row>
    <row r="212">
      <c r="E212" s="441"/>
      <c r="F212" s="441"/>
    </row>
    <row r="213">
      <c r="E213" s="441"/>
      <c r="F213" s="441"/>
    </row>
    <row r="214">
      <c r="E214" s="441"/>
      <c r="F214" s="441"/>
    </row>
    <row r="215">
      <c r="E215" s="441"/>
      <c r="F215" s="441"/>
    </row>
    <row r="216">
      <c r="E216" s="441"/>
      <c r="F216" s="441"/>
    </row>
    <row r="217">
      <c r="E217" s="441"/>
      <c r="F217" s="441"/>
    </row>
    <row r="218">
      <c r="E218" s="441"/>
      <c r="F218" s="441"/>
    </row>
    <row r="219">
      <c r="E219" s="441"/>
      <c r="F219" s="441"/>
    </row>
    <row r="220">
      <c r="E220" s="441"/>
      <c r="F220" s="441"/>
    </row>
    <row r="221">
      <c r="E221" s="441"/>
      <c r="F221" s="441"/>
    </row>
    <row r="222">
      <c r="E222" s="441"/>
      <c r="F222" s="441"/>
    </row>
    <row r="223">
      <c r="E223" s="441"/>
      <c r="F223" s="441"/>
    </row>
    <row r="224">
      <c r="E224" s="441"/>
      <c r="F224" s="441"/>
    </row>
    <row r="225">
      <c r="E225" s="441"/>
      <c r="F225" s="441"/>
    </row>
    <row r="226">
      <c r="E226" s="441"/>
      <c r="F226" s="441"/>
    </row>
    <row r="227">
      <c r="E227" s="441"/>
      <c r="F227" s="441"/>
    </row>
    <row r="228">
      <c r="E228" s="441"/>
      <c r="F228" s="441"/>
    </row>
    <row r="229">
      <c r="E229" s="441"/>
      <c r="F229" s="441"/>
    </row>
    <row r="230">
      <c r="E230" s="441"/>
      <c r="F230" s="441"/>
    </row>
    <row r="231">
      <c r="E231" s="441"/>
      <c r="F231" s="441"/>
    </row>
    <row r="232">
      <c r="E232" s="441"/>
      <c r="F232" s="441"/>
    </row>
    <row r="233">
      <c r="E233" s="441"/>
      <c r="F233" s="441"/>
    </row>
    <row r="234">
      <c r="E234" s="441"/>
      <c r="F234" s="441"/>
    </row>
    <row r="235">
      <c r="E235" s="441"/>
      <c r="F235" s="441"/>
    </row>
    <row r="236">
      <c r="E236" s="441"/>
      <c r="F236" s="441"/>
    </row>
    <row r="237">
      <c r="E237" s="441"/>
      <c r="F237" s="441"/>
    </row>
    <row r="238">
      <c r="E238" s="441"/>
      <c r="F238" s="441"/>
    </row>
    <row r="239">
      <c r="E239" s="441"/>
      <c r="F239" s="441"/>
    </row>
    <row r="240">
      <c r="E240" s="441"/>
      <c r="F240" s="441"/>
    </row>
    <row r="241">
      <c r="E241" s="441"/>
      <c r="F241" s="441"/>
    </row>
    <row r="242">
      <c r="E242" s="441"/>
      <c r="F242" s="441"/>
    </row>
    <row r="243">
      <c r="E243" s="441"/>
      <c r="F243" s="441"/>
    </row>
    <row r="244">
      <c r="E244" s="441"/>
      <c r="F244" s="441"/>
    </row>
    <row r="245">
      <c r="E245" s="441"/>
      <c r="F245" s="441"/>
    </row>
    <row r="246">
      <c r="E246" s="441"/>
      <c r="F246" s="441"/>
    </row>
    <row r="247">
      <c r="E247" s="441"/>
      <c r="F247" s="441"/>
    </row>
    <row r="248">
      <c r="E248" s="441"/>
      <c r="F248" s="441"/>
    </row>
    <row r="249">
      <c r="E249" s="441"/>
      <c r="F249" s="441"/>
    </row>
    <row r="250">
      <c r="E250" s="441"/>
      <c r="F250" s="441"/>
    </row>
    <row r="251">
      <c r="E251" s="441"/>
      <c r="F251" s="441"/>
    </row>
    <row r="252">
      <c r="E252" s="441"/>
      <c r="F252" s="441"/>
    </row>
    <row r="253">
      <c r="E253" s="441"/>
      <c r="F253" s="441"/>
    </row>
    <row r="254">
      <c r="E254" s="441"/>
      <c r="F254" s="441"/>
    </row>
    <row r="255">
      <c r="E255" s="441"/>
      <c r="F255" s="441"/>
    </row>
    <row r="256">
      <c r="E256" s="441"/>
      <c r="F256" s="441"/>
    </row>
    <row r="257">
      <c r="E257" s="441"/>
      <c r="F257" s="441"/>
    </row>
    <row r="258">
      <c r="E258" s="441"/>
      <c r="F258" s="441"/>
    </row>
    <row r="259">
      <c r="E259" s="441"/>
      <c r="F259" s="441"/>
    </row>
    <row r="260">
      <c r="E260" s="441"/>
      <c r="F260" s="441"/>
    </row>
    <row r="261">
      <c r="E261" s="441"/>
      <c r="F261" s="441"/>
    </row>
    <row r="262">
      <c r="E262" s="441"/>
      <c r="F262" s="441"/>
    </row>
    <row r="263">
      <c r="E263" s="441"/>
      <c r="F263" s="441"/>
    </row>
    <row r="264">
      <c r="E264" s="441"/>
      <c r="F264" s="441"/>
    </row>
    <row r="265">
      <c r="E265" s="441"/>
      <c r="F265" s="441"/>
    </row>
    <row r="266">
      <c r="E266" s="441"/>
      <c r="F266" s="441"/>
    </row>
    <row r="267">
      <c r="E267" s="441"/>
      <c r="F267" s="441"/>
    </row>
    <row r="268">
      <c r="E268" s="441"/>
      <c r="F268" s="441"/>
    </row>
    <row r="269">
      <c r="E269" s="441"/>
      <c r="F269" s="441"/>
    </row>
    <row r="270">
      <c r="E270" s="441"/>
      <c r="F270" s="441"/>
    </row>
    <row r="271">
      <c r="E271" s="441"/>
      <c r="F271" s="441"/>
    </row>
    <row r="272">
      <c r="E272" s="441"/>
      <c r="F272" s="441"/>
    </row>
    <row r="273">
      <c r="E273" s="441"/>
      <c r="F273" s="441"/>
    </row>
    <row r="274">
      <c r="E274" s="441"/>
      <c r="F274" s="441"/>
    </row>
    <row r="275">
      <c r="E275" s="441"/>
      <c r="F275" s="441"/>
    </row>
    <row r="276">
      <c r="E276" s="441"/>
      <c r="F276" s="441"/>
    </row>
    <row r="277">
      <c r="E277" s="441"/>
      <c r="F277" s="441"/>
    </row>
    <row r="278">
      <c r="E278" s="441"/>
      <c r="F278" s="441"/>
    </row>
    <row r="279">
      <c r="E279" s="441"/>
      <c r="F279" s="441"/>
    </row>
    <row r="280">
      <c r="E280" s="441"/>
      <c r="F280" s="441"/>
    </row>
    <row r="281">
      <c r="E281" s="441"/>
      <c r="F281" s="441"/>
    </row>
    <row r="282">
      <c r="E282" s="441"/>
      <c r="F282" s="441"/>
    </row>
    <row r="283">
      <c r="E283" s="441"/>
      <c r="F283" s="441"/>
    </row>
    <row r="284">
      <c r="E284" s="441"/>
      <c r="F284" s="441"/>
    </row>
    <row r="285">
      <c r="E285" s="441"/>
      <c r="F285" s="441"/>
    </row>
    <row r="286">
      <c r="E286" s="441"/>
      <c r="F286" s="441"/>
    </row>
    <row r="287">
      <c r="E287" s="441"/>
      <c r="F287" s="441"/>
    </row>
    <row r="288">
      <c r="E288" s="441"/>
      <c r="F288" s="441"/>
    </row>
    <row r="289">
      <c r="E289" s="441"/>
      <c r="F289" s="441"/>
    </row>
    <row r="290">
      <c r="E290" s="441"/>
      <c r="F290" s="441"/>
    </row>
    <row r="291">
      <c r="E291" s="441"/>
      <c r="F291" s="441"/>
    </row>
    <row r="292">
      <c r="E292" s="441"/>
      <c r="F292" s="441"/>
    </row>
    <row r="293">
      <c r="E293" s="441"/>
      <c r="F293" s="441"/>
    </row>
    <row r="294">
      <c r="E294" s="441"/>
      <c r="F294" s="441"/>
    </row>
    <row r="295">
      <c r="E295" s="441"/>
      <c r="F295" s="441"/>
    </row>
    <row r="296">
      <c r="E296" s="441"/>
      <c r="F296" s="441"/>
    </row>
    <row r="297">
      <c r="E297" s="441"/>
      <c r="F297" s="441"/>
    </row>
    <row r="298">
      <c r="E298" s="441"/>
      <c r="F298" s="441"/>
    </row>
    <row r="299">
      <c r="E299" s="441"/>
      <c r="F299" s="441"/>
    </row>
    <row r="300">
      <c r="E300" s="441"/>
      <c r="F300" s="441"/>
    </row>
    <row r="301">
      <c r="E301" s="441"/>
      <c r="F301" s="441"/>
    </row>
    <row r="302">
      <c r="E302" s="441"/>
      <c r="F302" s="441"/>
    </row>
    <row r="303">
      <c r="E303" s="441"/>
      <c r="F303" s="441"/>
    </row>
    <row r="304">
      <c r="E304" s="441"/>
      <c r="F304" s="441"/>
    </row>
    <row r="305">
      <c r="E305" s="441"/>
      <c r="F305" s="441"/>
    </row>
    <row r="306">
      <c r="E306" s="441"/>
      <c r="F306" s="441"/>
    </row>
    <row r="307">
      <c r="E307" s="441"/>
      <c r="F307" s="441"/>
    </row>
    <row r="308">
      <c r="E308" s="441"/>
      <c r="F308" s="441"/>
    </row>
    <row r="309">
      <c r="E309" s="441"/>
      <c r="F309" s="441"/>
    </row>
    <row r="310">
      <c r="E310" s="441"/>
      <c r="F310" s="441"/>
    </row>
    <row r="311">
      <c r="E311" s="441"/>
      <c r="F311" s="441"/>
    </row>
    <row r="312">
      <c r="E312" s="441"/>
      <c r="F312" s="441"/>
    </row>
    <row r="313">
      <c r="E313" s="441"/>
      <c r="F313" s="441"/>
    </row>
    <row r="314">
      <c r="E314" s="441"/>
      <c r="F314" s="441"/>
    </row>
    <row r="315">
      <c r="E315" s="441"/>
      <c r="F315" s="441"/>
    </row>
    <row r="316">
      <c r="E316" s="441"/>
      <c r="F316" s="441"/>
    </row>
    <row r="317">
      <c r="E317" s="441"/>
      <c r="F317" s="441"/>
    </row>
    <row r="318">
      <c r="E318" s="441"/>
      <c r="F318" s="441"/>
    </row>
    <row r="319">
      <c r="E319" s="441"/>
      <c r="F319" s="441"/>
    </row>
    <row r="320">
      <c r="E320" s="441"/>
      <c r="F320" s="441"/>
    </row>
    <row r="321">
      <c r="E321" s="441"/>
      <c r="F321" s="441"/>
    </row>
    <row r="322">
      <c r="E322" s="441"/>
      <c r="F322" s="441"/>
    </row>
    <row r="323">
      <c r="E323" s="441"/>
      <c r="F323" s="441"/>
    </row>
    <row r="324">
      <c r="E324" s="441"/>
      <c r="F324" s="441"/>
    </row>
    <row r="325">
      <c r="E325" s="441"/>
      <c r="F325" s="441"/>
    </row>
    <row r="326">
      <c r="E326" s="441"/>
      <c r="F326" s="441"/>
    </row>
    <row r="327">
      <c r="E327" s="441"/>
      <c r="F327" s="441"/>
    </row>
    <row r="328">
      <c r="E328" s="441"/>
      <c r="F328" s="441"/>
    </row>
    <row r="329">
      <c r="E329" s="441"/>
      <c r="F329" s="441"/>
    </row>
    <row r="330">
      <c r="E330" s="441"/>
      <c r="F330" s="441"/>
    </row>
    <row r="331">
      <c r="E331" s="441"/>
      <c r="F331" s="441"/>
    </row>
    <row r="332">
      <c r="E332" s="441"/>
      <c r="F332" s="441"/>
    </row>
    <row r="333">
      <c r="E333" s="441"/>
      <c r="F333" s="441"/>
    </row>
    <row r="334">
      <c r="E334" s="441"/>
      <c r="F334" s="441"/>
    </row>
    <row r="335">
      <c r="E335" s="441"/>
      <c r="F335" s="441"/>
    </row>
    <row r="336">
      <c r="E336" s="441"/>
      <c r="F336" s="441"/>
    </row>
    <row r="337">
      <c r="E337" s="441"/>
      <c r="F337" s="441"/>
    </row>
    <row r="338">
      <c r="E338" s="441"/>
      <c r="F338" s="441"/>
    </row>
    <row r="339">
      <c r="E339" s="441"/>
      <c r="F339" s="441"/>
    </row>
    <row r="340">
      <c r="E340" s="441"/>
      <c r="F340" s="441"/>
    </row>
    <row r="341">
      <c r="E341" s="441"/>
      <c r="F341" s="441"/>
    </row>
    <row r="342">
      <c r="E342" s="441"/>
      <c r="F342" s="441"/>
    </row>
    <row r="343">
      <c r="E343" s="441"/>
      <c r="F343" s="441"/>
    </row>
    <row r="344">
      <c r="E344" s="441"/>
      <c r="F344" s="441"/>
    </row>
    <row r="345">
      <c r="E345" s="441"/>
      <c r="F345" s="441"/>
    </row>
    <row r="346">
      <c r="E346" s="441"/>
      <c r="F346" s="441"/>
    </row>
    <row r="347">
      <c r="E347" s="441"/>
      <c r="F347" s="441"/>
    </row>
    <row r="348">
      <c r="E348" s="441"/>
      <c r="F348" s="441"/>
    </row>
    <row r="349">
      <c r="E349" s="441"/>
      <c r="F349" s="441"/>
    </row>
    <row r="350">
      <c r="E350" s="441"/>
      <c r="F350" s="441"/>
    </row>
    <row r="351">
      <c r="E351" s="441"/>
      <c r="F351" s="441"/>
    </row>
    <row r="352">
      <c r="E352" s="441"/>
      <c r="F352" s="441"/>
    </row>
    <row r="353">
      <c r="E353" s="441"/>
      <c r="F353" s="441"/>
    </row>
    <row r="354">
      <c r="E354" s="441"/>
      <c r="F354" s="441"/>
    </row>
    <row r="355">
      <c r="E355" s="441"/>
      <c r="F355" s="441"/>
    </row>
    <row r="356">
      <c r="E356" s="441"/>
      <c r="F356" s="441"/>
    </row>
    <row r="357">
      <c r="E357" s="441"/>
      <c r="F357" s="441"/>
    </row>
    <row r="358">
      <c r="E358" s="441"/>
      <c r="F358" s="441"/>
    </row>
    <row r="359">
      <c r="E359" s="441"/>
      <c r="F359" s="441"/>
    </row>
    <row r="360">
      <c r="E360" s="441"/>
      <c r="F360" s="441"/>
    </row>
    <row r="361">
      <c r="E361" s="441"/>
      <c r="F361" s="441"/>
    </row>
    <row r="362">
      <c r="E362" s="441"/>
      <c r="F362" s="441"/>
    </row>
    <row r="363">
      <c r="E363" s="441"/>
      <c r="F363" s="441"/>
    </row>
    <row r="364">
      <c r="E364" s="441"/>
      <c r="F364" s="441"/>
    </row>
    <row r="365">
      <c r="E365" s="441"/>
      <c r="F365" s="441"/>
    </row>
    <row r="366">
      <c r="E366" s="441"/>
      <c r="F366" s="441"/>
    </row>
    <row r="367">
      <c r="E367" s="441"/>
      <c r="F367" s="441"/>
    </row>
    <row r="368">
      <c r="E368" s="441"/>
      <c r="F368" s="441"/>
    </row>
    <row r="369">
      <c r="E369" s="441"/>
      <c r="F369" s="441"/>
    </row>
    <row r="370">
      <c r="E370" s="441"/>
      <c r="F370" s="441"/>
    </row>
    <row r="371">
      <c r="E371" s="441"/>
      <c r="F371" s="441"/>
    </row>
    <row r="372">
      <c r="E372" s="441"/>
      <c r="F372" s="441"/>
    </row>
    <row r="373">
      <c r="E373" s="441"/>
      <c r="F373" s="441"/>
    </row>
    <row r="374">
      <c r="E374" s="441"/>
      <c r="F374" s="441"/>
    </row>
    <row r="375">
      <c r="E375" s="441"/>
      <c r="F375" s="441"/>
    </row>
    <row r="376">
      <c r="E376" s="441"/>
      <c r="F376" s="441"/>
    </row>
    <row r="377">
      <c r="E377" s="441"/>
      <c r="F377" s="441"/>
    </row>
    <row r="378">
      <c r="E378" s="441"/>
      <c r="F378" s="441"/>
    </row>
    <row r="379">
      <c r="E379" s="441"/>
      <c r="F379" s="441"/>
    </row>
    <row r="380">
      <c r="E380" s="441"/>
      <c r="F380" s="441"/>
    </row>
    <row r="381">
      <c r="E381" s="441"/>
      <c r="F381" s="441"/>
    </row>
    <row r="382">
      <c r="E382" s="441"/>
      <c r="F382" s="441"/>
    </row>
    <row r="383">
      <c r="E383" s="441"/>
      <c r="F383" s="441"/>
    </row>
    <row r="384">
      <c r="E384" s="441"/>
      <c r="F384" s="441"/>
    </row>
    <row r="385">
      <c r="E385" s="441"/>
      <c r="F385" s="441"/>
    </row>
    <row r="386">
      <c r="E386" s="441"/>
      <c r="F386" s="441"/>
    </row>
    <row r="387">
      <c r="E387" s="441"/>
      <c r="F387" s="441"/>
    </row>
    <row r="388">
      <c r="E388" s="441"/>
      <c r="F388" s="441"/>
    </row>
    <row r="389">
      <c r="E389" s="441"/>
      <c r="F389" s="441"/>
    </row>
    <row r="390">
      <c r="E390" s="441"/>
      <c r="F390" s="441"/>
    </row>
    <row r="391">
      <c r="E391" s="441"/>
      <c r="F391" s="441"/>
    </row>
    <row r="392">
      <c r="E392" s="441"/>
      <c r="F392" s="441"/>
    </row>
    <row r="393">
      <c r="E393" s="441"/>
      <c r="F393" s="441"/>
    </row>
    <row r="394">
      <c r="E394" s="441"/>
      <c r="F394" s="441"/>
    </row>
    <row r="395">
      <c r="E395" s="441"/>
      <c r="F395" s="441"/>
    </row>
    <row r="396">
      <c r="E396" s="441"/>
      <c r="F396" s="441"/>
    </row>
    <row r="397">
      <c r="E397" s="441"/>
      <c r="F397" s="441"/>
    </row>
    <row r="398">
      <c r="E398" s="441"/>
      <c r="F398" s="441"/>
    </row>
    <row r="399">
      <c r="E399" s="441"/>
      <c r="F399" s="441"/>
    </row>
    <row r="400">
      <c r="E400" s="441"/>
      <c r="F400" s="441"/>
    </row>
    <row r="401">
      <c r="E401" s="441"/>
      <c r="F401" s="441"/>
    </row>
    <row r="402">
      <c r="E402" s="441"/>
      <c r="F402" s="441"/>
    </row>
    <row r="403">
      <c r="E403" s="441"/>
      <c r="F403" s="441"/>
    </row>
    <row r="404">
      <c r="E404" s="441"/>
      <c r="F404" s="441"/>
    </row>
    <row r="405">
      <c r="E405" s="441"/>
      <c r="F405" s="441"/>
    </row>
    <row r="406">
      <c r="E406" s="441"/>
      <c r="F406" s="441"/>
    </row>
    <row r="407">
      <c r="E407" s="441"/>
      <c r="F407" s="441"/>
    </row>
    <row r="408">
      <c r="E408" s="441"/>
      <c r="F408" s="441"/>
    </row>
    <row r="409">
      <c r="E409" s="441"/>
      <c r="F409" s="441"/>
    </row>
    <row r="410">
      <c r="E410" s="441"/>
      <c r="F410" s="441"/>
    </row>
    <row r="411">
      <c r="E411" s="441"/>
      <c r="F411" s="441"/>
    </row>
    <row r="412">
      <c r="E412" s="441"/>
      <c r="F412" s="441"/>
    </row>
    <row r="413">
      <c r="E413" s="441"/>
      <c r="F413" s="441"/>
    </row>
    <row r="414">
      <c r="E414" s="441"/>
      <c r="F414" s="441"/>
    </row>
    <row r="415">
      <c r="E415" s="441"/>
      <c r="F415" s="441"/>
    </row>
    <row r="416">
      <c r="E416" s="441"/>
      <c r="F416" s="441"/>
    </row>
    <row r="417">
      <c r="E417" s="441"/>
      <c r="F417" s="441"/>
    </row>
    <row r="418">
      <c r="E418" s="441"/>
      <c r="F418" s="441"/>
    </row>
    <row r="419">
      <c r="E419" s="441"/>
      <c r="F419" s="441"/>
    </row>
    <row r="420">
      <c r="E420" s="441"/>
      <c r="F420" s="441"/>
    </row>
    <row r="421">
      <c r="E421" s="441"/>
      <c r="F421" s="441"/>
    </row>
    <row r="422">
      <c r="E422" s="441"/>
      <c r="F422" s="441"/>
    </row>
    <row r="423">
      <c r="E423" s="441"/>
      <c r="F423" s="441"/>
    </row>
    <row r="424">
      <c r="E424" s="441"/>
      <c r="F424" s="441"/>
    </row>
    <row r="425">
      <c r="E425" s="441"/>
      <c r="F425" s="441"/>
    </row>
    <row r="426">
      <c r="E426" s="441"/>
      <c r="F426" s="441"/>
    </row>
    <row r="427">
      <c r="E427" s="441"/>
      <c r="F427" s="441"/>
    </row>
    <row r="428">
      <c r="E428" s="441"/>
      <c r="F428" s="441"/>
    </row>
    <row r="429">
      <c r="E429" s="441"/>
      <c r="F429" s="441"/>
    </row>
    <row r="430">
      <c r="E430" s="441"/>
      <c r="F430" s="441"/>
    </row>
    <row r="431">
      <c r="E431" s="441"/>
      <c r="F431" s="441"/>
    </row>
    <row r="432">
      <c r="E432" s="441"/>
      <c r="F432" s="441"/>
    </row>
    <row r="433">
      <c r="E433" s="441"/>
      <c r="F433" s="441"/>
    </row>
    <row r="434">
      <c r="E434" s="441"/>
      <c r="F434" s="441"/>
    </row>
    <row r="435">
      <c r="E435" s="441"/>
      <c r="F435" s="441"/>
    </row>
    <row r="436">
      <c r="E436" s="441"/>
      <c r="F436" s="441"/>
    </row>
    <row r="437">
      <c r="E437" s="441"/>
      <c r="F437" s="441"/>
    </row>
    <row r="438">
      <c r="E438" s="441"/>
      <c r="F438" s="441"/>
    </row>
    <row r="439">
      <c r="E439" s="441"/>
      <c r="F439" s="441"/>
    </row>
    <row r="440">
      <c r="E440" s="441"/>
      <c r="F440" s="441"/>
    </row>
    <row r="441">
      <c r="E441" s="441"/>
      <c r="F441" s="441"/>
    </row>
    <row r="442">
      <c r="E442" s="441"/>
      <c r="F442" s="441"/>
    </row>
    <row r="443">
      <c r="E443" s="441"/>
      <c r="F443" s="441"/>
    </row>
    <row r="444">
      <c r="E444" s="441"/>
      <c r="F444" s="441"/>
    </row>
    <row r="445">
      <c r="E445" s="441"/>
      <c r="F445" s="441"/>
    </row>
    <row r="446">
      <c r="E446" s="441"/>
      <c r="F446" s="441"/>
    </row>
    <row r="447">
      <c r="E447" s="441"/>
      <c r="F447" s="441"/>
    </row>
    <row r="448">
      <c r="E448" s="441"/>
      <c r="F448" s="441"/>
    </row>
    <row r="449">
      <c r="E449" s="441"/>
      <c r="F449" s="441"/>
    </row>
    <row r="450">
      <c r="E450" s="441"/>
      <c r="F450" s="441"/>
    </row>
    <row r="451">
      <c r="E451" s="441"/>
      <c r="F451" s="441"/>
    </row>
    <row r="452">
      <c r="E452" s="441"/>
      <c r="F452" s="441"/>
    </row>
    <row r="453">
      <c r="E453" s="441"/>
      <c r="F453" s="441"/>
    </row>
    <row r="454">
      <c r="E454" s="441"/>
      <c r="F454" s="441"/>
    </row>
    <row r="455">
      <c r="E455" s="441"/>
      <c r="F455" s="441"/>
    </row>
    <row r="456">
      <c r="E456" s="441"/>
      <c r="F456" s="441"/>
    </row>
    <row r="457">
      <c r="E457" s="441"/>
      <c r="F457" s="441"/>
    </row>
    <row r="458">
      <c r="E458" s="441"/>
      <c r="F458" s="441"/>
    </row>
    <row r="459">
      <c r="E459" s="441"/>
      <c r="F459" s="441"/>
    </row>
    <row r="460">
      <c r="E460" s="441"/>
      <c r="F460" s="441"/>
    </row>
    <row r="461">
      <c r="E461" s="441"/>
      <c r="F461" s="441"/>
    </row>
    <row r="462">
      <c r="E462" s="441"/>
      <c r="F462" s="441"/>
    </row>
    <row r="463">
      <c r="E463" s="441"/>
      <c r="F463" s="441"/>
    </row>
    <row r="464">
      <c r="E464" s="441"/>
      <c r="F464" s="441"/>
    </row>
    <row r="465">
      <c r="E465" s="441"/>
      <c r="F465" s="441"/>
    </row>
    <row r="466">
      <c r="E466" s="441"/>
      <c r="F466" s="441"/>
    </row>
    <row r="467">
      <c r="E467" s="441"/>
      <c r="F467" s="441"/>
    </row>
    <row r="468">
      <c r="E468" s="441"/>
      <c r="F468" s="441"/>
    </row>
    <row r="469">
      <c r="E469" s="441"/>
      <c r="F469" s="441"/>
    </row>
    <row r="470">
      <c r="E470" s="441"/>
      <c r="F470" s="441"/>
    </row>
    <row r="471">
      <c r="E471" s="441"/>
      <c r="F471" s="441"/>
    </row>
    <row r="472">
      <c r="E472" s="441"/>
      <c r="F472" s="441"/>
    </row>
    <row r="473">
      <c r="E473" s="441"/>
      <c r="F473" s="441"/>
    </row>
    <row r="474">
      <c r="E474" s="441"/>
      <c r="F474" s="441"/>
    </row>
    <row r="475">
      <c r="E475" s="441"/>
      <c r="F475" s="441"/>
    </row>
    <row r="476">
      <c r="E476" s="441"/>
      <c r="F476" s="441"/>
    </row>
    <row r="477">
      <c r="E477" s="441"/>
      <c r="F477" s="441"/>
    </row>
    <row r="478">
      <c r="E478" s="441"/>
      <c r="F478" s="441"/>
    </row>
    <row r="479">
      <c r="E479" s="441"/>
      <c r="F479" s="441"/>
    </row>
    <row r="480">
      <c r="E480" s="441"/>
      <c r="F480" s="441"/>
    </row>
    <row r="481">
      <c r="E481" s="441"/>
      <c r="F481" s="441"/>
    </row>
    <row r="482">
      <c r="E482" s="441"/>
      <c r="F482" s="441"/>
    </row>
    <row r="483">
      <c r="E483" s="441"/>
      <c r="F483" s="441"/>
    </row>
    <row r="484">
      <c r="E484" s="441"/>
      <c r="F484" s="441"/>
    </row>
    <row r="485">
      <c r="E485" s="441"/>
      <c r="F485" s="441"/>
    </row>
    <row r="486">
      <c r="E486" s="441"/>
      <c r="F486" s="441"/>
    </row>
    <row r="487">
      <c r="E487" s="441"/>
      <c r="F487" s="441"/>
    </row>
    <row r="488">
      <c r="E488" s="441"/>
      <c r="F488" s="441"/>
    </row>
    <row r="489">
      <c r="E489" s="441"/>
      <c r="F489" s="441"/>
    </row>
    <row r="490">
      <c r="E490" s="441"/>
      <c r="F490" s="441"/>
    </row>
    <row r="491">
      <c r="E491" s="441"/>
      <c r="F491" s="441"/>
    </row>
    <row r="492">
      <c r="E492" s="441"/>
      <c r="F492" s="441"/>
    </row>
    <row r="493">
      <c r="E493" s="441"/>
      <c r="F493" s="441"/>
    </row>
    <row r="494">
      <c r="E494" s="441"/>
      <c r="F494" s="441"/>
    </row>
    <row r="495">
      <c r="E495" s="441"/>
      <c r="F495" s="441"/>
    </row>
    <row r="496">
      <c r="E496" s="441"/>
      <c r="F496" s="441"/>
    </row>
    <row r="497">
      <c r="E497" s="441"/>
      <c r="F497" s="441"/>
    </row>
    <row r="498">
      <c r="E498" s="441"/>
      <c r="F498" s="441"/>
    </row>
    <row r="499">
      <c r="E499" s="441"/>
      <c r="F499" s="441"/>
    </row>
    <row r="500">
      <c r="E500" s="441"/>
      <c r="F500" s="441"/>
    </row>
    <row r="501">
      <c r="E501" s="441"/>
      <c r="F501" s="441"/>
    </row>
    <row r="502">
      <c r="E502" s="441"/>
      <c r="F502" s="441"/>
    </row>
    <row r="503">
      <c r="E503" s="441"/>
      <c r="F503" s="441"/>
    </row>
    <row r="504">
      <c r="E504" s="441"/>
      <c r="F504" s="441"/>
    </row>
    <row r="505">
      <c r="E505" s="441"/>
      <c r="F505" s="441"/>
    </row>
    <row r="506">
      <c r="E506" s="441"/>
      <c r="F506" s="441"/>
    </row>
    <row r="507">
      <c r="E507" s="441"/>
      <c r="F507" s="441"/>
    </row>
    <row r="508">
      <c r="E508" s="441"/>
      <c r="F508" s="441"/>
    </row>
    <row r="509">
      <c r="E509" s="441"/>
      <c r="F509" s="441"/>
    </row>
    <row r="510">
      <c r="E510" s="441"/>
      <c r="F510" s="441"/>
    </row>
    <row r="511">
      <c r="E511" s="441"/>
      <c r="F511" s="441"/>
    </row>
    <row r="512">
      <c r="E512" s="441"/>
      <c r="F512" s="441"/>
    </row>
    <row r="513">
      <c r="E513" s="441"/>
      <c r="F513" s="441"/>
    </row>
    <row r="514">
      <c r="E514" s="441"/>
      <c r="F514" s="441"/>
    </row>
    <row r="515">
      <c r="E515" s="441"/>
      <c r="F515" s="441"/>
    </row>
    <row r="516">
      <c r="E516" s="441"/>
      <c r="F516" s="441"/>
    </row>
    <row r="517">
      <c r="E517" s="441"/>
      <c r="F517" s="441"/>
    </row>
    <row r="518">
      <c r="E518" s="441"/>
      <c r="F518" s="441"/>
    </row>
    <row r="519">
      <c r="E519" s="441"/>
      <c r="F519" s="441"/>
    </row>
    <row r="520">
      <c r="E520" s="441"/>
      <c r="F520" s="441"/>
    </row>
    <row r="521">
      <c r="E521" s="441"/>
      <c r="F521" s="441"/>
    </row>
    <row r="522">
      <c r="E522" s="441"/>
      <c r="F522" s="441"/>
    </row>
    <row r="523">
      <c r="E523" s="441"/>
      <c r="F523" s="441"/>
    </row>
    <row r="524">
      <c r="E524" s="441"/>
      <c r="F524" s="441"/>
    </row>
    <row r="525">
      <c r="E525" s="441"/>
      <c r="F525" s="441"/>
    </row>
    <row r="526">
      <c r="E526" s="441"/>
      <c r="F526" s="441"/>
    </row>
    <row r="527">
      <c r="E527" s="441"/>
      <c r="F527" s="441"/>
    </row>
    <row r="528">
      <c r="E528" s="441"/>
      <c r="F528" s="441"/>
    </row>
    <row r="529">
      <c r="E529" s="441"/>
      <c r="F529" s="441"/>
    </row>
    <row r="530">
      <c r="E530" s="441"/>
      <c r="F530" s="441"/>
    </row>
    <row r="531">
      <c r="E531" s="441"/>
      <c r="F531" s="441"/>
    </row>
    <row r="532">
      <c r="E532" s="441"/>
      <c r="F532" s="441"/>
    </row>
    <row r="533">
      <c r="E533" s="441"/>
      <c r="F533" s="441"/>
    </row>
    <row r="534">
      <c r="E534" s="441"/>
      <c r="F534" s="441"/>
    </row>
    <row r="535">
      <c r="E535" s="441"/>
      <c r="F535" s="441"/>
    </row>
    <row r="536">
      <c r="E536" s="441"/>
      <c r="F536" s="441"/>
    </row>
    <row r="537">
      <c r="E537" s="441"/>
      <c r="F537" s="441"/>
    </row>
    <row r="538">
      <c r="E538" s="441"/>
      <c r="F538" s="441"/>
    </row>
    <row r="539">
      <c r="E539" s="441"/>
      <c r="F539" s="441"/>
    </row>
    <row r="540">
      <c r="E540" s="441"/>
      <c r="F540" s="441"/>
    </row>
    <row r="541">
      <c r="E541" s="441"/>
      <c r="F541" s="441"/>
    </row>
    <row r="542">
      <c r="E542" s="441"/>
      <c r="F542" s="441"/>
    </row>
    <row r="543">
      <c r="E543" s="441"/>
      <c r="F543" s="441"/>
    </row>
    <row r="544">
      <c r="E544" s="441"/>
      <c r="F544" s="441"/>
    </row>
    <row r="545">
      <c r="E545" s="441"/>
      <c r="F545" s="441"/>
    </row>
    <row r="546">
      <c r="E546" s="441"/>
      <c r="F546" s="441"/>
    </row>
    <row r="547">
      <c r="E547" s="441"/>
      <c r="F547" s="441"/>
    </row>
    <row r="548">
      <c r="E548" s="441"/>
      <c r="F548" s="441"/>
    </row>
    <row r="549">
      <c r="E549" s="441"/>
      <c r="F549" s="441"/>
    </row>
    <row r="550">
      <c r="E550" s="441"/>
      <c r="F550" s="441"/>
    </row>
    <row r="551">
      <c r="E551" s="441"/>
      <c r="F551" s="441"/>
    </row>
    <row r="552">
      <c r="E552" s="441"/>
      <c r="F552" s="441"/>
    </row>
    <row r="553">
      <c r="E553" s="441"/>
      <c r="F553" s="441"/>
    </row>
    <row r="554">
      <c r="E554" s="441"/>
      <c r="F554" s="441"/>
    </row>
    <row r="555">
      <c r="E555" s="441"/>
      <c r="F555" s="441"/>
    </row>
    <row r="556">
      <c r="E556" s="441"/>
      <c r="F556" s="441"/>
    </row>
    <row r="557">
      <c r="E557" s="441"/>
      <c r="F557" s="441"/>
    </row>
    <row r="558">
      <c r="E558" s="441"/>
      <c r="F558" s="441"/>
    </row>
    <row r="559">
      <c r="E559" s="441"/>
      <c r="F559" s="441"/>
    </row>
    <row r="560">
      <c r="E560" s="441"/>
      <c r="F560" s="441"/>
    </row>
    <row r="561">
      <c r="E561" s="441"/>
      <c r="F561" s="441"/>
    </row>
    <row r="562">
      <c r="E562" s="441"/>
      <c r="F562" s="441"/>
    </row>
    <row r="563">
      <c r="E563" s="441"/>
      <c r="F563" s="441"/>
    </row>
    <row r="564">
      <c r="E564" s="441"/>
      <c r="F564" s="441"/>
    </row>
    <row r="565">
      <c r="E565" s="441"/>
      <c r="F565" s="441"/>
    </row>
    <row r="566">
      <c r="E566" s="441"/>
      <c r="F566" s="441"/>
    </row>
    <row r="567">
      <c r="E567" s="441"/>
      <c r="F567" s="441"/>
    </row>
    <row r="568">
      <c r="E568" s="441"/>
      <c r="F568" s="441"/>
    </row>
    <row r="569">
      <c r="E569" s="441"/>
      <c r="F569" s="441"/>
    </row>
    <row r="570">
      <c r="E570" s="441"/>
      <c r="F570" s="441"/>
    </row>
    <row r="571">
      <c r="E571" s="441"/>
      <c r="F571" s="441"/>
    </row>
    <row r="572">
      <c r="E572" s="441"/>
      <c r="F572" s="441"/>
    </row>
    <row r="573">
      <c r="E573" s="441"/>
      <c r="F573" s="441"/>
    </row>
    <row r="574">
      <c r="E574" s="441"/>
      <c r="F574" s="441"/>
    </row>
    <row r="575">
      <c r="E575" s="441"/>
      <c r="F575" s="441"/>
    </row>
    <row r="576">
      <c r="E576" s="441"/>
      <c r="F576" s="441"/>
    </row>
    <row r="577">
      <c r="E577" s="441"/>
      <c r="F577" s="441"/>
    </row>
    <row r="578">
      <c r="E578" s="441"/>
      <c r="F578" s="441"/>
    </row>
    <row r="579">
      <c r="E579" s="441"/>
      <c r="F579" s="441"/>
    </row>
    <row r="580">
      <c r="E580" s="441"/>
      <c r="F580" s="441"/>
    </row>
    <row r="581">
      <c r="E581" s="441"/>
      <c r="F581" s="441"/>
    </row>
    <row r="582">
      <c r="E582" s="441"/>
      <c r="F582" s="441"/>
    </row>
    <row r="583">
      <c r="E583" s="441"/>
      <c r="F583" s="441"/>
    </row>
    <row r="584">
      <c r="E584" s="441"/>
      <c r="F584" s="441"/>
    </row>
    <row r="585">
      <c r="E585" s="441"/>
      <c r="F585" s="441"/>
    </row>
    <row r="586">
      <c r="E586" s="441"/>
      <c r="F586" s="441"/>
    </row>
    <row r="587">
      <c r="E587" s="441"/>
      <c r="F587" s="441"/>
    </row>
    <row r="588">
      <c r="E588" s="441"/>
      <c r="F588" s="441"/>
    </row>
    <row r="589">
      <c r="E589" s="441"/>
      <c r="F589" s="441"/>
    </row>
    <row r="590">
      <c r="E590" s="441"/>
      <c r="F590" s="441"/>
    </row>
    <row r="591">
      <c r="E591" s="441"/>
      <c r="F591" s="441"/>
    </row>
    <row r="592">
      <c r="E592" s="441"/>
      <c r="F592" s="441"/>
    </row>
    <row r="593">
      <c r="E593" s="441"/>
      <c r="F593" s="441"/>
    </row>
    <row r="594">
      <c r="E594" s="441"/>
      <c r="F594" s="441"/>
    </row>
    <row r="595">
      <c r="E595" s="441"/>
      <c r="F595" s="441"/>
    </row>
    <row r="596">
      <c r="E596" s="441"/>
      <c r="F596" s="441"/>
    </row>
    <row r="597">
      <c r="E597" s="441"/>
      <c r="F597" s="441"/>
    </row>
    <row r="598">
      <c r="E598" s="441"/>
      <c r="F598" s="441"/>
    </row>
    <row r="599">
      <c r="E599" s="441"/>
      <c r="F599" s="441"/>
    </row>
    <row r="600">
      <c r="E600" s="441"/>
      <c r="F600" s="441"/>
    </row>
    <row r="601">
      <c r="E601" s="441"/>
      <c r="F601" s="441"/>
    </row>
    <row r="602">
      <c r="E602" s="441"/>
      <c r="F602" s="441"/>
    </row>
    <row r="603">
      <c r="E603" s="441"/>
      <c r="F603" s="441"/>
    </row>
    <row r="604">
      <c r="E604" s="441"/>
      <c r="F604" s="441"/>
    </row>
    <row r="605">
      <c r="E605" s="441"/>
      <c r="F605" s="441"/>
    </row>
    <row r="606">
      <c r="E606" s="441"/>
      <c r="F606" s="441"/>
    </row>
    <row r="607">
      <c r="E607" s="441"/>
      <c r="F607" s="441"/>
    </row>
    <row r="608">
      <c r="E608" s="441"/>
      <c r="F608" s="441"/>
    </row>
    <row r="609">
      <c r="E609" s="441"/>
      <c r="F609" s="441"/>
    </row>
    <row r="610">
      <c r="E610" s="441"/>
      <c r="F610" s="441"/>
    </row>
    <row r="611">
      <c r="E611" s="441"/>
      <c r="F611" s="441"/>
    </row>
    <row r="612">
      <c r="E612" s="441"/>
      <c r="F612" s="441"/>
    </row>
    <row r="613">
      <c r="E613" s="441"/>
      <c r="F613" s="441"/>
    </row>
    <row r="614">
      <c r="E614" s="441"/>
      <c r="F614" s="441"/>
    </row>
    <row r="615">
      <c r="E615" s="441"/>
      <c r="F615" s="441"/>
    </row>
    <row r="616">
      <c r="E616" s="441"/>
      <c r="F616" s="441"/>
    </row>
    <row r="617">
      <c r="E617" s="441"/>
      <c r="F617" s="441"/>
    </row>
    <row r="618">
      <c r="E618" s="441"/>
      <c r="F618" s="441"/>
    </row>
    <row r="619">
      <c r="E619" s="441"/>
      <c r="F619" s="441"/>
    </row>
    <row r="620">
      <c r="E620" s="441"/>
      <c r="F620" s="441"/>
    </row>
    <row r="621">
      <c r="E621" s="441"/>
      <c r="F621" s="441"/>
    </row>
    <row r="622">
      <c r="E622" s="441"/>
      <c r="F622" s="441"/>
    </row>
    <row r="623">
      <c r="E623" s="441"/>
      <c r="F623" s="441"/>
    </row>
    <row r="624">
      <c r="E624" s="441"/>
      <c r="F624" s="441"/>
    </row>
    <row r="625">
      <c r="E625" s="441"/>
      <c r="F625" s="441"/>
    </row>
    <row r="626">
      <c r="E626" s="441"/>
      <c r="F626" s="441"/>
    </row>
    <row r="627">
      <c r="E627" s="441"/>
      <c r="F627" s="441"/>
    </row>
    <row r="628">
      <c r="E628" s="441"/>
      <c r="F628" s="441"/>
    </row>
    <row r="629">
      <c r="E629" s="441"/>
      <c r="F629" s="441"/>
    </row>
    <row r="630">
      <c r="E630" s="441"/>
      <c r="F630" s="441"/>
    </row>
    <row r="631">
      <c r="E631" s="441"/>
      <c r="F631" s="441"/>
    </row>
    <row r="632">
      <c r="E632" s="441"/>
      <c r="F632" s="441"/>
    </row>
    <row r="633">
      <c r="E633" s="441"/>
      <c r="F633" s="441"/>
    </row>
    <row r="634">
      <c r="E634" s="441"/>
      <c r="F634" s="441"/>
    </row>
    <row r="635">
      <c r="E635" s="441"/>
      <c r="F635" s="441"/>
    </row>
    <row r="636">
      <c r="E636" s="441"/>
      <c r="F636" s="441"/>
    </row>
    <row r="637">
      <c r="E637" s="441"/>
      <c r="F637" s="441"/>
    </row>
    <row r="638">
      <c r="E638" s="441"/>
      <c r="F638" s="441"/>
    </row>
    <row r="639">
      <c r="E639" s="441"/>
      <c r="F639" s="441"/>
    </row>
    <row r="640">
      <c r="E640" s="441"/>
      <c r="F640" s="441"/>
    </row>
    <row r="641">
      <c r="E641" s="441"/>
      <c r="F641" s="441"/>
    </row>
    <row r="642">
      <c r="E642" s="441"/>
      <c r="F642" s="441"/>
    </row>
    <row r="643">
      <c r="E643" s="441"/>
      <c r="F643" s="441"/>
    </row>
    <row r="644">
      <c r="E644" s="441"/>
      <c r="F644" s="441"/>
    </row>
    <row r="645">
      <c r="E645" s="441"/>
      <c r="F645" s="441"/>
    </row>
    <row r="646">
      <c r="E646" s="441"/>
      <c r="F646" s="441"/>
    </row>
    <row r="647">
      <c r="E647" s="441"/>
      <c r="F647" s="441"/>
    </row>
    <row r="648">
      <c r="E648" s="441"/>
      <c r="F648" s="441"/>
    </row>
    <row r="649">
      <c r="E649" s="441"/>
      <c r="F649" s="441"/>
    </row>
    <row r="650">
      <c r="E650" s="441"/>
      <c r="F650" s="441"/>
    </row>
    <row r="651">
      <c r="E651" s="441"/>
      <c r="F651" s="441"/>
    </row>
    <row r="652">
      <c r="E652" s="441"/>
      <c r="F652" s="441"/>
    </row>
    <row r="653">
      <c r="E653" s="441"/>
      <c r="F653" s="441"/>
    </row>
    <row r="654">
      <c r="E654" s="441"/>
      <c r="F654" s="441"/>
    </row>
    <row r="655">
      <c r="E655" s="441"/>
      <c r="F655" s="441"/>
    </row>
    <row r="656">
      <c r="E656" s="441"/>
      <c r="F656" s="441"/>
    </row>
    <row r="657">
      <c r="E657" s="441"/>
      <c r="F657" s="441"/>
    </row>
    <row r="658">
      <c r="E658" s="441"/>
      <c r="F658" s="441"/>
    </row>
    <row r="659">
      <c r="E659" s="441"/>
      <c r="F659" s="441"/>
    </row>
    <row r="660">
      <c r="E660" s="441"/>
      <c r="F660" s="441"/>
    </row>
    <row r="661">
      <c r="E661" s="441"/>
      <c r="F661" s="441"/>
    </row>
    <row r="662">
      <c r="E662" s="441"/>
      <c r="F662" s="441"/>
    </row>
    <row r="663">
      <c r="E663" s="441"/>
      <c r="F663" s="441"/>
    </row>
    <row r="664">
      <c r="E664" s="441"/>
      <c r="F664" s="441"/>
    </row>
    <row r="665">
      <c r="E665" s="441"/>
      <c r="F665" s="441"/>
    </row>
    <row r="666">
      <c r="E666" s="441"/>
      <c r="F666" s="441"/>
    </row>
    <row r="667">
      <c r="E667" s="441"/>
      <c r="F667" s="441"/>
    </row>
    <row r="668">
      <c r="E668" s="441"/>
      <c r="F668" s="441"/>
    </row>
    <row r="669">
      <c r="E669" s="441"/>
      <c r="F669" s="441"/>
    </row>
    <row r="670">
      <c r="E670" s="441"/>
      <c r="F670" s="441"/>
    </row>
    <row r="671">
      <c r="E671" s="441"/>
      <c r="F671" s="441"/>
    </row>
    <row r="672">
      <c r="E672" s="441"/>
      <c r="F672" s="441"/>
    </row>
    <row r="673">
      <c r="E673" s="441"/>
      <c r="F673" s="441"/>
    </row>
    <row r="674">
      <c r="E674" s="441"/>
      <c r="F674" s="441"/>
    </row>
    <row r="675">
      <c r="E675" s="441"/>
      <c r="F675" s="441"/>
    </row>
    <row r="676">
      <c r="E676" s="441"/>
      <c r="F676" s="441"/>
    </row>
    <row r="677">
      <c r="E677" s="441"/>
      <c r="F677" s="441"/>
    </row>
    <row r="678">
      <c r="E678" s="441"/>
      <c r="F678" s="441"/>
    </row>
    <row r="679">
      <c r="E679" s="441"/>
      <c r="F679" s="441"/>
    </row>
    <row r="680">
      <c r="E680" s="441"/>
      <c r="F680" s="441"/>
    </row>
    <row r="681">
      <c r="E681" s="441"/>
      <c r="F681" s="441"/>
    </row>
    <row r="682">
      <c r="E682" s="441"/>
      <c r="F682" s="441"/>
    </row>
    <row r="683">
      <c r="E683" s="441"/>
      <c r="F683" s="441"/>
    </row>
    <row r="684">
      <c r="E684" s="441"/>
      <c r="F684" s="441"/>
    </row>
    <row r="685">
      <c r="E685" s="441"/>
      <c r="F685" s="441"/>
    </row>
    <row r="686">
      <c r="E686" s="441"/>
      <c r="F686" s="441"/>
    </row>
    <row r="687">
      <c r="E687" s="441"/>
      <c r="F687" s="441"/>
    </row>
    <row r="688">
      <c r="E688" s="441"/>
      <c r="F688" s="441"/>
    </row>
    <row r="689">
      <c r="E689" s="441"/>
      <c r="F689" s="441"/>
    </row>
    <row r="690">
      <c r="E690" s="441"/>
      <c r="F690" s="441"/>
    </row>
    <row r="691">
      <c r="E691" s="441"/>
      <c r="F691" s="441"/>
    </row>
    <row r="692">
      <c r="E692" s="441"/>
      <c r="F692" s="441"/>
    </row>
    <row r="693">
      <c r="E693" s="441"/>
      <c r="F693" s="441"/>
    </row>
    <row r="694">
      <c r="E694" s="441"/>
      <c r="F694" s="441"/>
    </row>
    <row r="695">
      <c r="E695" s="441"/>
      <c r="F695" s="441"/>
    </row>
    <row r="696">
      <c r="E696" s="441"/>
      <c r="F696" s="441"/>
    </row>
    <row r="697">
      <c r="E697" s="441"/>
      <c r="F697" s="441"/>
    </row>
    <row r="698">
      <c r="E698" s="441"/>
      <c r="F698" s="441"/>
    </row>
    <row r="699">
      <c r="E699" s="441"/>
      <c r="F699" s="441"/>
    </row>
    <row r="700">
      <c r="E700" s="441"/>
      <c r="F700" s="441"/>
    </row>
    <row r="701">
      <c r="E701" s="441"/>
      <c r="F701" s="441"/>
    </row>
    <row r="702">
      <c r="E702" s="441"/>
      <c r="F702" s="441"/>
    </row>
    <row r="703">
      <c r="E703" s="441"/>
      <c r="F703" s="441"/>
    </row>
    <row r="704">
      <c r="E704" s="441"/>
      <c r="F704" s="441"/>
    </row>
    <row r="705">
      <c r="E705" s="441"/>
      <c r="F705" s="441"/>
    </row>
    <row r="706">
      <c r="E706" s="441"/>
      <c r="F706" s="441"/>
    </row>
    <row r="707">
      <c r="E707" s="441"/>
      <c r="F707" s="441"/>
    </row>
    <row r="708">
      <c r="E708" s="441"/>
      <c r="F708" s="441"/>
    </row>
    <row r="709">
      <c r="E709" s="441"/>
      <c r="F709" s="441"/>
    </row>
    <row r="710">
      <c r="E710" s="441"/>
      <c r="F710" s="441"/>
    </row>
    <row r="711">
      <c r="E711" s="441"/>
      <c r="F711" s="441"/>
    </row>
    <row r="712">
      <c r="E712" s="441"/>
      <c r="F712" s="441"/>
    </row>
    <row r="713">
      <c r="E713" s="441"/>
      <c r="F713" s="441"/>
    </row>
    <row r="714">
      <c r="E714" s="441"/>
      <c r="F714" s="441"/>
    </row>
    <row r="715">
      <c r="E715" s="441"/>
      <c r="F715" s="441"/>
    </row>
    <row r="716">
      <c r="E716" s="441"/>
      <c r="F716" s="441"/>
    </row>
    <row r="717">
      <c r="E717" s="441"/>
      <c r="F717" s="441"/>
    </row>
    <row r="718">
      <c r="E718" s="441"/>
      <c r="F718" s="441"/>
    </row>
    <row r="719">
      <c r="E719" s="441"/>
      <c r="F719" s="441"/>
    </row>
    <row r="720">
      <c r="E720" s="441"/>
      <c r="F720" s="441"/>
    </row>
    <row r="721">
      <c r="E721" s="441"/>
      <c r="F721" s="441"/>
    </row>
    <row r="722">
      <c r="E722" s="441"/>
      <c r="F722" s="441"/>
    </row>
    <row r="723">
      <c r="E723" s="441"/>
      <c r="F723" s="441"/>
    </row>
    <row r="724">
      <c r="E724" s="441"/>
      <c r="F724" s="441"/>
    </row>
    <row r="725">
      <c r="E725" s="441"/>
      <c r="F725" s="441"/>
    </row>
    <row r="726">
      <c r="E726" s="441"/>
      <c r="F726" s="441"/>
    </row>
    <row r="727">
      <c r="E727" s="441"/>
      <c r="F727" s="441"/>
    </row>
    <row r="728">
      <c r="E728" s="441"/>
      <c r="F728" s="441"/>
    </row>
    <row r="729">
      <c r="E729" s="441"/>
      <c r="F729" s="441"/>
    </row>
    <row r="730">
      <c r="E730" s="441"/>
      <c r="F730" s="441"/>
    </row>
    <row r="731">
      <c r="E731" s="441"/>
      <c r="F731" s="441"/>
    </row>
    <row r="732">
      <c r="E732" s="441"/>
      <c r="F732" s="441"/>
    </row>
    <row r="733">
      <c r="E733" s="441"/>
      <c r="F733" s="441"/>
    </row>
    <row r="734">
      <c r="E734" s="441"/>
      <c r="F734" s="441"/>
    </row>
    <row r="735">
      <c r="E735" s="441"/>
      <c r="F735" s="441"/>
    </row>
    <row r="736">
      <c r="E736" s="441"/>
      <c r="F736" s="441"/>
    </row>
    <row r="737">
      <c r="E737" s="441"/>
      <c r="F737" s="441"/>
    </row>
    <row r="738">
      <c r="E738" s="441"/>
      <c r="F738" s="441"/>
    </row>
    <row r="739">
      <c r="E739" s="441"/>
      <c r="F739" s="441"/>
    </row>
    <row r="740">
      <c r="E740" s="441"/>
      <c r="F740" s="441"/>
    </row>
    <row r="741">
      <c r="E741" s="441"/>
      <c r="F741" s="441"/>
    </row>
    <row r="742">
      <c r="E742" s="441"/>
      <c r="F742" s="441"/>
    </row>
    <row r="743">
      <c r="E743" s="441"/>
      <c r="F743" s="441"/>
    </row>
    <row r="744">
      <c r="E744" s="441"/>
      <c r="F744" s="441"/>
    </row>
    <row r="745">
      <c r="E745" s="441"/>
      <c r="F745" s="441"/>
    </row>
    <row r="746">
      <c r="E746" s="441"/>
      <c r="F746" s="441"/>
    </row>
    <row r="747">
      <c r="E747" s="441"/>
      <c r="F747" s="441"/>
    </row>
    <row r="748">
      <c r="E748" s="441"/>
      <c r="F748" s="441"/>
    </row>
    <row r="749">
      <c r="E749" s="441"/>
      <c r="F749" s="441"/>
    </row>
    <row r="750">
      <c r="E750" s="441"/>
      <c r="F750" s="441"/>
    </row>
    <row r="751">
      <c r="E751" s="441"/>
      <c r="F751" s="441"/>
    </row>
    <row r="752">
      <c r="E752" s="441"/>
      <c r="F752" s="441"/>
    </row>
    <row r="753">
      <c r="E753" s="441"/>
      <c r="F753" s="441"/>
    </row>
    <row r="754">
      <c r="E754" s="441"/>
      <c r="F754" s="441"/>
    </row>
    <row r="755">
      <c r="E755" s="441"/>
      <c r="F755" s="441"/>
    </row>
    <row r="756">
      <c r="E756" s="441"/>
      <c r="F756" s="441"/>
    </row>
    <row r="757">
      <c r="E757" s="441"/>
      <c r="F757" s="441"/>
    </row>
    <row r="758">
      <c r="E758" s="441"/>
      <c r="F758" s="441"/>
    </row>
    <row r="759">
      <c r="E759" s="441"/>
      <c r="F759" s="441"/>
    </row>
    <row r="760">
      <c r="E760" s="441"/>
      <c r="F760" s="441"/>
    </row>
    <row r="761">
      <c r="E761" s="441"/>
      <c r="F761" s="441"/>
    </row>
    <row r="762">
      <c r="E762" s="441"/>
      <c r="F762" s="441"/>
    </row>
    <row r="763">
      <c r="E763" s="441"/>
      <c r="F763" s="441"/>
    </row>
    <row r="764">
      <c r="E764" s="441"/>
      <c r="F764" s="441"/>
    </row>
    <row r="765">
      <c r="E765" s="441"/>
      <c r="F765" s="441"/>
    </row>
    <row r="766">
      <c r="E766" s="441"/>
      <c r="F766" s="441"/>
    </row>
    <row r="767">
      <c r="E767" s="441"/>
      <c r="F767" s="441"/>
    </row>
    <row r="768">
      <c r="E768" s="441"/>
      <c r="F768" s="441"/>
    </row>
    <row r="769">
      <c r="E769" s="441"/>
      <c r="F769" s="441"/>
    </row>
    <row r="770">
      <c r="E770" s="441"/>
      <c r="F770" s="441"/>
    </row>
    <row r="771">
      <c r="E771" s="441"/>
      <c r="F771" s="441"/>
    </row>
    <row r="772">
      <c r="E772" s="441"/>
      <c r="F772" s="441"/>
    </row>
    <row r="773">
      <c r="E773" s="441"/>
      <c r="F773" s="441"/>
    </row>
    <row r="774">
      <c r="E774" s="441"/>
      <c r="F774" s="441"/>
    </row>
    <row r="775">
      <c r="E775" s="441"/>
      <c r="F775" s="441"/>
    </row>
    <row r="776">
      <c r="E776" s="441"/>
      <c r="F776" s="441"/>
    </row>
    <row r="777">
      <c r="E777" s="441"/>
      <c r="F777" s="441"/>
    </row>
    <row r="778">
      <c r="E778" s="441"/>
      <c r="F778" s="441"/>
    </row>
    <row r="779">
      <c r="E779" s="441"/>
      <c r="F779" s="441"/>
    </row>
    <row r="780">
      <c r="E780" s="441"/>
      <c r="F780" s="441"/>
    </row>
    <row r="781">
      <c r="E781" s="441"/>
      <c r="F781" s="441"/>
    </row>
    <row r="782">
      <c r="E782" s="441"/>
      <c r="F782" s="441"/>
    </row>
    <row r="783">
      <c r="E783" s="441"/>
      <c r="F783" s="441"/>
    </row>
    <row r="784">
      <c r="E784" s="441"/>
      <c r="F784" s="441"/>
    </row>
    <row r="785">
      <c r="E785" s="441"/>
      <c r="F785" s="441"/>
    </row>
    <row r="786">
      <c r="E786" s="441"/>
      <c r="F786" s="441"/>
    </row>
    <row r="787">
      <c r="E787" s="441"/>
      <c r="F787" s="441"/>
    </row>
    <row r="788">
      <c r="E788" s="441"/>
      <c r="F788" s="441"/>
    </row>
    <row r="789">
      <c r="E789" s="441"/>
      <c r="F789" s="441"/>
    </row>
    <row r="790">
      <c r="E790" s="441"/>
      <c r="F790" s="441"/>
    </row>
    <row r="791">
      <c r="E791" s="441"/>
      <c r="F791" s="441"/>
    </row>
    <row r="792">
      <c r="E792" s="441"/>
      <c r="F792" s="441"/>
    </row>
    <row r="793">
      <c r="E793" s="441"/>
      <c r="F793" s="441"/>
    </row>
    <row r="794">
      <c r="E794" s="441"/>
      <c r="F794" s="441"/>
    </row>
    <row r="795">
      <c r="E795" s="441"/>
      <c r="F795" s="441"/>
    </row>
    <row r="796">
      <c r="E796" s="441"/>
      <c r="F796" s="441"/>
    </row>
    <row r="797">
      <c r="E797" s="441"/>
      <c r="F797" s="441"/>
    </row>
    <row r="798">
      <c r="E798" s="441"/>
      <c r="F798" s="441"/>
    </row>
    <row r="799">
      <c r="E799" s="441"/>
      <c r="F799" s="441"/>
    </row>
    <row r="800">
      <c r="E800" s="441"/>
      <c r="F800" s="441"/>
    </row>
    <row r="801">
      <c r="E801" s="441"/>
      <c r="F801" s="441"/>
    </row>
    <row r="802">
      <c r="E802" s="441"/>
      <c r="F802" s="441"/>
    </row>
    <row r="803">
      <c r="E803" s="441"/>
      <c r="F803" s="441"/>
    </row>
    <row r="804">
      <c r="E804" s="441"/>
      <c r="F804" s="441"/>
    </row>
    <row r="805">
      <c r="E805" s="441"/>
      <c r="F805" s="441"/>
    </row>
    <row r="806">
      <c r="E806" s="441"/>
      <c r="F806" s="441"/>
    </row>
    <row r="807">
      <c r="E807" s="441"/>
      <c r="F807" s="441"/>
    </row>
    <row r="808">
      <c r="E808" s="441"/>
      <c r="F808" s="441"/>
    </row>
    <row r="809">
      <c r="E809" s="441"/>
      <c r="F809" s="441"/>
    </row>
    <row r="810">
      <c r="E810" s="441"/>
      <c r="F810" s="441"/>
    </row>
    <row r="811">
      <c r="E811" s="441"/>
      <c r="F811" s="441"/>
    </row>
    <row r="812">
      <c r="E812" s="441"/>
      <c r="F812" s="441"/>
    </row>
    <row r="813">
      <c r="E813" s="441"/>
      <c r="F813" s="441"/>
    </row>
    <row r="814">
      <c r="E814" s="441"/>
      <c r="F814" s="441"/>
    </row>
    <row r="815">
      <c r="E815" s="441"/>
      <c r="F815" s="441"/>
    </row>
    <row r="816">
      <c r="E816" s="441"/>
      <c r="F816" s="441"/>
    </row>
    <row r="817">
      <c r="E817" s="441"/>
      <c r="F817" s="441"/>
    </row>
    <row r="818">
      <c r="E818" s="441"/>
      <c r="F818" s="441"/>
    </row>
    <row r="819">
      <c r="E819" s="441"/>
      <c r="F819" s="441"/>
    </row>
    <row r="820">
      <c r="E820" s="441"/>
      <c r="F820" s="441"/>
    </row>
    <row r="821">
      <c r="E821" s="441"/>
      <c r="F821" s="441"/>
    </row>
    <row r="822">
      <c r="E822" s="441"/>
      <c r="F822" s="441"/>
    </row>
    <row r="823">
      <c r="E823" s="441"/>
      <c r="F823" s="441"/>
    </row>
    <row r="824">
      <c r="E824" s="441"/>
      <c r="F824" s="441"/>
    </row>
    <row r="825">
      <c r="E825" s="441"/>
      <c r="F825" s="441"/>
    </row>
    <row r="826">
      <c r="E826" s="441"/>
      <c r="F826" s="441"/>
    </row>
    <row r="827">
      <c r="E827" s="441"/>
      <c r="F827" s="441"/>
    </row>
    <row r="828">
      <c r="E828" s="441"/>
      <c r="F828" s="441"/>
    </row>
    <row r="829">
      <c r="E829" s="441"/>
      <c r="F829" s="441"/>
    </row>
    <row r="830">
      <c r="E830" s="441"/>
      <c r="F830" s="441"/>
    </row>
    <row r="831">
      <c r="E831" s="441"/>
      <c r="F831" s="441"/>
    </row>
    <row r="832">
      <c r="E832" s="441"/>
      <c r="F832" s="441"/>
    </row>
    <row r="833">
      <c r="E833" s="441"/>
      <c r="F833" s="441"/>
    </row>
    <row r="834">
      <c r="E834" s="441"/>
      <c r="F834" s="441"/>
    </row>
    <row r="835">
      <c r="E835" s="441"/>
      <c r="F835" s="441"/>
    </row>
    <row r="836">
      <c r="E836" s="441"/>
      <c r="F836" s="441"/>
    </row>
    <row r="837">
      <c r="E837" s="441"/>
      <c r="F837" s="441"/>
    </row>
    <row r="838">
      <c r="E838" s="441"/>
      <c r="F838" s="441"/>
    </row>
    <row r="839">
      <c r="E839" s="441"/>
      <c r="F839" s="441"/>
    </row>
    <row r="840">
      <c r="E840" s="441"/>
      <c r="F840" s="441"/>
    </row>
    <row r="841">
      <c r="E841" s="441"/>
      <c r="F841" s="441"/>
    </row>
    <row r="842">
      <c r="E842" s="441"/>
      <c r="F842" s="441"/>
    </row>
    <row r="843">
      <c r="E843" s="441"/>
      <c r="F843" s="441"/>
    </row>
    <row r="844">
      <c r="E844" s="441"/>
      <c r="F844" s="441"/>
    </row>
    <row r="845">
      <c r="E845" s="441"/>
      <c r="F845" s="441"/>
    </row>
    <row r="846">
      <c r="E846" s="441"/>
      <c r="F846" s="441"/>
    </row>
    <row r="847">
      <c r="E847" s="441"/>
      <c r="F847" s="441"/>
    </row>
    <row r="848">
      <c r="E848" s="441"/>
      <c r="F848" s="441"/>
    </row>
    <row r="849">
      <c r="E849" s="441"/>
      <c r="F849" s="441"/>
    </row>
    <row r="850">
      <c r="E850" s="441"/>
      <c r="F850" s="441"/>
    </row>
    <row r="851">
      <c r="E851" s="441"/>
      <c r="F851" s="441"/>
    </row>
    <row r="852">
      <c r="E852" s="441"/>
      <c r="F852" s="441"/>
    </row>
    <row r="853">
      <c r="E853" s="441"/>
      <c r="F853" s="441"/>
    </row>
    <row r="854">
      <c r="E854" s="441"/>
      <c r="F854" s="441"/>
    </row>
    <row r="855">
      <c r="E855" s="441"/>
      <c r="F855" s="441"/>
    </row>
    <row r="856">
      <c r="E856" s="441"/>
      <c r="F856" s="441"/>
    </row>
    <row r="857">
      <c r="E857" s="441"/>
      <c r="F857" s="441"/>
    </row>
    <row r="858">
      <c r="E858" s="441"/>
      <c r="F858" s="441"/>
    </row>
    <row r="859">
      <c r="E859" s="441"/>
      <c r="F859" s="441"/>
    </row>
    <row r="860">
      <c r="E860" s="441"/>
      <c r="F860" s="441"/>
    </row>
    <row r="861">
      <c r="E861" s="441"/>
      <c r="F861" s="441"/>
    </row>
    <row r="862">
      <c r="E862" s="441"/>
      <c r="F862" s="441"/>
    </row>
    <row r="863">
      <c r="E863" s="441"/>
      <c r="F863" s="441"/>
    </row>
    <row r="864">
      <c r="E864" s="441"/>
      <c r="F864" s="441"/>
    </row>
    <row r="865">
      <c r="E865" s="441"/>
      <c r="F865" s="441"/>
    </row>
    <row r="866">
      <c r="E866" s="441"/>
      <c r="F866" s="441"/>
    </row>
    <row r="867">
      <c r="E867" s="441"/>
      <c r="F867" s="441"/>
    </row>
    <row r="868">
      <c r="E868" s="441"/>
      <c r="F868" s="441"/>
    </row>
    <row r="869">
      <c r="E869" s="441"/>
      <c r="F869" s="441"/>
    </row>
    <row r="870">
      <c r="E870" s="441"/>
      <c r="F870" s="441"/>
    </row>
    <row r="871">
      <c r="E871" s="441"/>
      <c r="F871" s="441"/>
    </row>
    <row r="872">
      <c r="E872" s="441"/>
      <c r="F872" s="441"/>
    </row>
    <row r="873">
      <c r="E873" s="441"/>
      <c r="F873" s="441"/>
    </row>
    <row r="874">
      <c r="E874" s="441"/>
      <c r="F874" s="441"/>
    </row>
    <row r="875">
      <c r="E875" s="441"/>
      <c r="F875" s="441"/>
    </row>
    <row r="876">
      <c r="E876" s="441"/>
      <c r="F876" s="441"/>
    </row>
    <row r="877">
      <c r="E877" s="441"/>
      <c r="F877" s="441"/>
    </row>
    <row r="878">
      <c r="E878" s="441"/>
      <c r="F878" s="441"/>
    </row>
    <row r="879">
      <c r="E879" s="441"/>
      <c r="F879" s="441"/>
    </row>
    <row r="880">
      <c r="E880" s="441"/>
      <c r="F880" s="441"/>
    </row>
    <row r="881">
      <c r="E881" s="441"/>
      <c r="F881" s="441"/>
    </row>
    <row r="882">
      <c r="E882" s="441"/>
      <c r="F882" s="441"/>
    </row>
    <row r="883">
      <c r="E883" s="441"/>
      <c r="F883" s="441"/>
    </row>
    <row r="884">
      <c r="E884" s="441"/>
      <c r="F884" s="441"/>
    </row>
    <row r="885">
      <c r="E885" s="441"/>
      <c r="F885" s="441"/>
    </row>
    <row r="886">
      <c r="E886" s="441"/>
      <c r="F886" s="441"/>
    </row>
    <row r="887">
      <c r="E887" s="441"/>
      <c r="F887" s="441"/>
    </row>
    <row r="888">
      <c r="E888" s="441"/>
      <c r="F888" s="441"/>
    </row>
    <row r="889">
      <c r="E889" s="441"/>
      <c r="F889" s="441"/>
    </row>
    <row r="890">
      <c r="E890" s="441"/>
      <c r="F890" s="441"/>
    </row>
    <row r="891">
      <c r="E891" s="441"/>
      <c r="F891" s="441"/>
    </row>
    <row r="892">
      <c r="E892" s="441"/>
      <c r="F892" s="441"/>
    </row>
    <row r="893">
      <c r="E893" s="441"/>
      <c r="F893" s="441"/>
    </row>
    <row r="894">
      <c r="E894" s="441"/>
      <c r="F894" s="441"/>
    </row>
    <row r="895">
      <c r="E895" s="441"/>
      <c r="F895" s="441"/>
    </row>
    <row r="896">
      <c r="E896" s="441"/>
      <c r="F896" s="441"/>
    </row>
    <row r="897">
      <c r="E897" s="441"/>
      <c r="F897" s="441"/>
    </row>
    <row r="898">
      <c r="E898" s="441"/>
      <c r="F898" s="441"/>
    </row>
    <row r="899">
      <c r="E899" s="441"/>
      <c r="F899" s="441"/>
    </row>
    <row r="900">
      <c r="E900" s="441"/>
      <c r="F900" s="441"/>
    </row>
    <row r="901">
      <c r="E901" s="441"/>
      <c r="F901" s="441"/>
    </row>
    <row r="902">
      <c r="E902" s="441"/>
      <c r="F902" s="441"/>
    </row>
    <row r="903">
      <c r="E903" s="441"/>
      <c r="F903" s="441"/>
    </row>
    <row r="904">
      <c r="E904" s="441"/>
      <c r="F904" s="441"/>
    </row>
    <row r="905">
      <c r="E905" s="441"/>
      <c r="F905" s="441"/>
    </row>
    <row r="906">
      <c r="E906" s="441"/>
      <c r="F906" s="441"/>
    </row>
    <row r="907">
      <c r="E907" s="441"/>
      <c r="F907" s="441"/>
    </row>
    <row r="908">
      <c r="E908" s="441"/>
      <c r="F908" s="441"/>
    </row>
    <row r="909">
      <c r="E909" s="441"/>
      <c r="F909" s="441"/>
    </row>
    <row r="910">
      <c r="E910" s="441"/>
      <c r="F910" s="441"/>
    </row>
    <row r="911">
      <c r="E911" s="441"/>
      <c r="F911" s="441"/>
    </row>
    <row r="912">
      <c r="E912" s="441"/>
      <c r="F912" s="441"/>
    </row>
    <row r="913">
      <c r="E913" s="441"/>
      <c r="F913" s="441"/>
    </row>
    <row r="914">
      <c r="E914" s="441"/>
      <c r="F914" s="441"/>
    </row>
    <row r="915">
      <c r="E915" s="441"/>
      <c r="F915" s="441"/>
    </row>
    <row r="916">
      <c r="E916" s="441"/>
      <c r="F916" s="441"/>
    </row>
    <row r="917">
      <c r="E917" s="441"/>
      <c r="F917" s="441"/>
    </row>
    <row r="918">
      <c r="E918" s="441"/>
      <c r="F918" s="441"/>
    </row>
    <row r="919">
      <c r="E919" s="441"/>
      <c r="F919" s="441"/>
    </row>
    <row r="920">
      <c r="E920" s="441"/>
      <c r="F920" s="441"/>
    </row>
    <row r="921">
      <c r="E921" s="441"/>
      <c r="F921" s="441"/>
    </row>
    <row r="922">
      <c r="E922" s="441"/>
      <c r="F922" s="441"/>
    </row>
    <row r="923">
      <c r="E923" s="441"/>
      <c r="F923" s="441"/>
    </row>
    <row r="924">
      <c r="E924" s="441"/>
      <c r="F924" s="441"/>
    </row>
    <row r="925">
      <c r="E925" s="441"/>
      <c r="F925" s="441"/>
    </row>
    <row r="926">
      <c r="E926" s="441"/>
      <c r="F926" s="441"/>
    </row>
    <row r="927">
      <c r="E927" s="441"/>
      <c r="F927" s="441"/>
    </row>
    <row r="928">
      <c r="E928" s="441"/>
      <c r="F928" s="441"/>
    </row>
    <row r="929">
      <c r="E929" s="441"/>
      <c r="F929" s="441"/>
    </row>
    <row r="930">
      <c r="E930" s="441"/>
      <c r="F930" s="441"/>
    </row>
    <row r="931">
      <c r="E931" s="441"/>
      <c r="F931" s="441"/>
    </row>
    <row r="932">
      <c r="E932" s="441"/>
      <c r="F932" s="441"/>
    </row>
    <row r="933">
      <c r="E933" s="441"/>
      <c r="F933" s="441"/>
    </row>
    <row r="934">
      <c r="E934" s="441"/>
      <c r="F934" s="441"/>
    </row>
    <row r="935">
      <c r="E935" s="441"/>
      <c r="F935" s="441"/>
    </row>
    <row r="936">
      <c r="E936" s="441"/>
      <c r="F936" s="441"/>
    </row>
    <row r="937">
      <c r="E937" s="441"/>
      <c r="F937" s="441"/>
    </row>
    <row r="938">
      <c r="E938" s="441"/>
      <c r="F938" s="441"/>
    </row>
    <row r="939">
      <c r="E939" s="441"/>
      <c r="F939" s="441"/>
    </row>
    <row r="940">
      <c r="E940" s="441"/>
      <c r="F940" s="441"/>
    </row>
    <row r="941">
      <c r="E941" s="441"/>
      <c r="F941" s="441"/>
    </row>
    <row r="942">
      <c r="E942" s="441"/>
      <c r="F942" s="441"/>
    </row>
    <row r="943">
      <c r="E943" s="441"/>
      <c r="F943" s="441"/>
    </row>
    <row r="944">
      <c r="E944" s="441"/>
      <c r="F944" s="441"/>
    </row>
    <row r="945">
      <c r="E945" s="441"/>
      <c r="F945" s="441"/>
    </row>
    <row r="946">
      <c r="E946" s="441"/>
      <c r="F946" s="441"/>
    </row>
    <row r="947">
      <c r="E947" s="441"/>
      <c r="F947" s="441"/>
    </row>
    <row r="948">
      <c r="E948" s="441"/>
      <c r="F948" s="441"/>
    </row>
    <row r="949">
      <c r="E949" s="441"/>
      <c r="F949" s="441"/>
    </row>
    <row r="950">
      <c r="E950" s="441"/>
      <c r="F950" s="441"/>
    </row>
    <row r="951">
      <c r="E951" s="441"/>
      <c r="F951" s="441"/>
    </row>
    <row r="952">
      <c r="E952" s="441"/>
      <c r="F952" s="441"/>
    </row>
    <row r="953">
      <c r="E953" s="441"/>
      <c r="F953" s="441"/>
    </row>
    <row r="954">
      <c r="E954" s="441"/>
      <c r="F954" s="441"/>
    </row>
    <row r="955">
      <c r="E955" s="441"/>
      <c r="F955" s="441"/>
    </row>
    <row r="956">
      <c r="E956" s="441"/>
      <c r="F956" s="441"/>
    </row>
    <row r="957">
      <c r="E957" s="441"/>
      <c r="F957" s="441"/>
    </row>
    <row r="958">
      <c r="E958" s="441"/>
      <c r="F958" s="441"/>
    </row>
    <row r="959">
      <c r="E959" s="441"/>
      <c r="F959" s="441"/>
    </row>
    <row r="960">
      <c r="E960" s="441"/>
      <c r="F960" s="441"/>
    </row>
    <row r="961">
      <c r="E961" s="441"/>
      <c r="F961" s="441"/>
    </row>
    <row r="962">
      <c r="E962" s="441"/>
      <c r="F962" s="441"/>
    </row>
    <row r="963">
      <c r="E963" s="441"/>
      <c r="F963" s="441"/>
    </row>
    <row r="964">
      <c r="E964" s="441"/>
      <c r="F964" s="441"/>
    </row>
    <row r="965">
      <c r="E965" s="441"/>
      <c r="F965" s="441"/>
    </row>
    <row r="966">
      <c r="E966" s="441"/>
      <c r="F966" s="441"/>
    </row>
    <row r="967">
      <c r="E967" s="441"/>
      <c r="F967" s="441"/>
    </row>
    <row r="968">
      <c r="E968" s="441"/>
      <c r="F968" s="441"/>
    </row>
    <row r="969">
      <c r="E969" s="441"/>
      <c r="F969" s="441"/>
    </row>
    <row r="970">
      <c r="E970" s="441"/>
      <c r="F970" s="441"/>
    </row>
    <row r="971">
      <c r="E971" s="441"/>
      <c r="F971" s="441"/>
    </row>
    <row r="972">
      <c r="E972" s="441"/>
      <c r="F972" s="441"/>
    </row>
    <row r="973">
      <c r="E973" s="441"/>
      <c r="F973" s="441"/>
    </row>
    <row r="974">
      <c r="E974" s="441"/>
      <c r="F974" s="441"/>
    </row>
    <row r="975">
      <c r="E975" s="441"/>
      <c r="F975" s="441"/>
    </row>
    <row r="976">
      <c r="E976" s="441"/>
      <c r="F976" s="441"/>
    </row>
    <row r="977">
      <c r="E977" s="441"/>
      <c r="F977" s="441"/>
    </row>
    <row r="978">
      <c r="E978" s="441"/>
      <c r="F978" s="441"/>
    </row>
    <row r="979">
      <c r="E979" s="441"/>
      <c r="F979" s="441"/>
    </row>
    <row r="980">
      <c r="E980" s="441"/>
      <c r="F980" s="441"/>
    </row>
    <row r="981">
      <c r="E981" s="441"/>
      <c r="F981" s="441"/>
    </row>
    <row r="982">
      <c r="E982" s="441"/>
      <c r="F982" s="441"/>
    </row>
    <row r="983">
      <c r="E983" s="441"/>
      <c r="F983" s="441"/>
    </row>
    <row r="984">
      <c r="E984" s="441"/>
      <c r="F984" s="441"/>
    </row>
    <row r="985">
      <c r="E985" s="441"/>
      <c r="F985" s="441"/>
    </row>
    <row r="986">
      <c r="E986" s="441"/>
      <c r="F986" s="441"/>
    </row>
    <row r="987">
      <c r="E987" s="441"/>
      <c r="F987" s="441"/>
    </row>
    <row r="988">
      <c r="E988" s="441"/>
      <c r="F988" s="441"/>
    </row>
    <row r="989">
      <c r="E989" s="441"/>
      <c r="F989" s="441"/>
    </row>
    <row r="990">
      <c r="E990" s="441"/>
      <c r="F990" s="441"/>
    </row>
    <row r="991">
      <c r="E991" s="441"/>
      <c r="F991" s="441"/>
    </row>
    <row r="992">
      <c r="E992" s="441"/>
      <c r="F992" s="441"/>
    </row>
    <row r="993">
      <c r="E993" s="441"/>
      <c r="F993" s="441"/>
    </row>
    <row r="994">
      <c r="E994" s="441"/>
      <c r="F994" s="441"/>
    </row>
    <row r="995">
      <c r="E995" s="441"/>
      <c r="F995" s="441"/>
    </row>
    <row r="996">
      <c r="E996" s="441"/>
      <c r="F996" s="441"/>
    </row>
    <row r="997">
      <c r="E997" s="441"/>
      <c r="F997" s="441"/>
    </row>
    <row r="998">
      <c r="E998" s="441"/>
      <c r="F998" s="441"/>
    </row>
    <row r="999">
      <c r="E999" s="441"/>
      <c r="F999" s="441"/>
    </row>
    <row r="1000">
      <c r="E1000" s="441"/>
      <c r="F1000" s="441"/>
    </row>
  </sheetData>
  <drawing r:id="rId1"/>
</worksheet>
</file>